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8" yWindow="-98" windowWidth="23596" windowHeight="15076" tabRatio="600" firstSheet="0" activeTab="7" autoFilterDateGrouping="1"/>
  </bookViews>
  <sheets>
    <sheet name="Исходные данные" sheetId="1" state="visible" r:id="rId1"/>
    <sheet name="Сводная" sheetId="2" state="visible" r:id="rId2"/>
    <sheet name="Профессии" sheetId="3" state="visible" r:id="rId3"/>
    <sheet name="Недостаток и избыток обучения" sheetId="4" state="visible" r:id="rId4"/>
    <sheet name="Повторное обучение и просрочка" sheetId="5" state="visible" r:id="rId5"/>
    <sheet name="Распределение внешний внутр УЦ" sheetId="6" state="visible" r:id="rId6"/>
    <sheet name="Итог" sheetId="7" state="visible" r:id="rId7"/>
    <sheet name="Экономика" sheetId="8" state="visible" r:id="rId8"/>
    <sheet name="несоответствие ПП 2464" sheetId="9" state="visible" r:id="rId9"/>
    <sheet name="варианты решений" sheetId="10" state="visible" r:id="rId10"/>
    <sheet name="Сопоставление ФИО" sheetId="11" state="visible" r:id="rId11"/>
  </sheets>
  <definedNames>
    <definedName name="_xlnm._FilterDatabase" localSheetId="0" hidden="1">'Исходные данные'!$B$1:$S$3565</definedName>
    <definedName name="_xlnm._FilterDatabase" localSheetId="1" hidden="1">'Сводная'!$A$1:$Y$933</definedName>
    <definedName name="_xlnm.Print_Titles" localSheetId="1">'Сводная'!$1:$1</definedName>
    <definedName name="_xlnm.Print_Area" localSheetId="1">'Сводная'!$A$1:$Y$1052</definedName>
    <definedName name="_xlnm._FilterDatabase" localSheetId="2" hidden="1">'Профессии'!$A$2:$R$142</definedName>
    <definedName name="_xlnm.Print_Titles" localSheetId="2">'Профессии'!$1:$2</definedName>
    <definedName name="_xlnm.Print_Area" localSheetId="2">'Профессии'!$A$1:$S$227</definedName>
    <definedName name="_xlnm.Print_Area" localSheetId="3">'Недостаток и избыток обучения'!$A$1:$Q$124</definedName>
    <definedName name="_xlnm._FilterDatabase" localSheetId="4" hidden="1">'Повторное обучение и просрочка'!$A$2:$AC$263</definedName>
    <definedName name="_xlnm.Print_Titles" localSheetId="4">'Повторное обучение и просрочка'!$1:$2</definedName>
    <definedName name="_xlnm.Print_Area" localSheetId="4">'Повторное обучение и просрочка'!$A$1:$AC$981</definedName>
    <definedName name="_xlnm._FilterDatabase" localSheetId="5" hidden="1">'Распределение внешний внутр УЦ'!$A$2:$S$934</definedName>
    <definedName name="_xlnm.Print_Area" localSheetId="5">'Распределение внешний внутр УЦ'!$A$1:$S$956</definedName>
    <definedName name="_xlnm.Print_Area" localSheetId="6">'Итог'!$A$1:$D$97</definedName>
    <definedName name="_xlnm.Print_Titles" localSheetId="7">'Экономика'!$1:$2</definedName>
    <definedName name="_xlnm.Print_Area" localSheetId="7">'Экономика'!$A$1:$J$48</definedName>
    <definedName name="_xlnm._FilterDatabase" localSheetId="8" hidden="1">'несоответствие ПП 2464'!$A$2:$D$13</definedName>
    <definedName name="_xlnm.Print_Titles" localSheetId="8">'несоответствие ПП 2464'!$1:$2</definedName>
    <definedName name="_xlnm.Print_Area" localSheetId="8">'несоответствие ПП 2464'!$A$1:$D$13</definedName>
    <definedName name="_xlnm._FilterDatabase" localSheetId="9" hidden="1">'варианты решений'!$A$2:$D$5</definedName>
    <definedName name="_xlnm.Print_Titles" localSheetId="9">'варианты решений'!$1:$2</definedName>
    <definedName name="_xlnm.Print_Area" localSheetId="9">'варианты решений'!$A$1:$D$5</definedName>
    <definedName name="_xlnm._FilterDatabase" localSheetId="10" hidden="1">'Сопоставление ФИО'!$A$2:$B$934</definedName>
    <definedName name="_xlnm.Print_Area" localSheetId="10">'Сопоставление ФИО'!$A$1:$B$935</definedName>
  </definedNames>
  <calcPr calcId="181029" fullCalcOnLoad="1"/>
</workbook>
</file>

<file path=xl/styles.xml><?xml version="1.0" encoding="utf-8"?>
<styleSheet xmlns="http://schemas.openxmlformats.org/spreadsheetml/2006/main">
  <numFmts count="0"/>
  <fonts count="36">
    <font>
      <name val="Calibri"/>
      <charset val="204"/>
      <family val="2"/>
      <color theme="1"/>
      <sz val="11"/>
      <scheme val="minor"/>
    </font>
    <font>
      <name val="Calibri"/>
      <b val="1"/>
      <color rgb="FFFFFFFF"/>
      <sz val="11"/>
    </font>
    <font>
      <name val="Calibri"/>
      <color rgb="FF000000"/>
      <sz val="11"/>
    </font>
    <font>
      <name val="Calibri"/>
      <b val="1"/>
      <color rgb="FFFFFFFF"/>
      <sz val="10"/>
    </font>
    <font>
      <name val="Calibri"/>
      <sz val="11"/>
    </font>
    <font>
      <name val="Calibri"/>
      <b val="1"/>
      <color rgb="FF166534"/>
      <sz val="14"/>
    </font>
    <font>
      <name val="Calibri"/>
      <b val="1"/>
      <color rgb="FF991B1B"/>
      <sz val="11"/>
    </font>
    <font>
      <name val="Calibri"/>
      <color rgb="FF7F1D1D"/>
      <sz val="11"/>
    </font>
    <font>
      <name val="Calibri"/>
      <b val="1"/>
      <color rgb="FF000000"/>
      <sz val="11"/>
    </font>
    <font>
      <name val="Calibri"/>
      <i val="1"/>
      <color rgb="FF7C2D12"/>
      <sz val="11"/>
    </font>
    <font>
      <name val="Calibri"/>
      <b val="1"/>
      <sz val="11"/>
    </font>
    <font>
      <name val="Calibri"/>
      <b val="1"/>
      <color rgb="FF1E3A8A"/>
      <sz val="11"/>
    </font>
    <font>
      <name val="Calibri"/>
      <color rgb="FF7C2D12"/>
      <sz val="11"/>
    </font>
    <font>
      <name val="Calibri"/>
      <b val="1"/>
      <color rgb="FF1F4E79"/>
      <sz val="14"/>
    </font>
    <font>
      <name val="Calibri"/>
      <color rgb="FF1F2937"/>
      <sz val="11"/>
    </font>
    <font>
      <name val="Calibri"/>
      <b val="1"/>
      <color rgb="FF1F2937"/>
      <sz val="11"/>
    </font>
    <font>
      <name val="Calibri"/>
      <color rgb="001F2937"/>
      <sz val="11"/>
    </font>
    <font>
      <name val="Calibri"/>
      <b val="1"/>
      <color rgb="001F2937"/>
      <sz val="11"/>
    </font>
    <font>
      <name val="Calibri"/>
      <b val="1"/>
      <color rgb="00FFFFFF"/>
      <sz val="11"/>
    </font>
    <font>
      <name val="Calibri"/>
      <b val="1"/>
      <color rgb="001F4E79"/>
      <sz val="14"/>
    </font>
    <font>
      <name val="Calibri"/>
      <color rgb="007C2D12"/>
      <sz val="11"/>
    </font>
    <font>
      <name val="Calibri"/>
      <b val="1"/>
      <color rgb="00FFFFFF"/>
      <sz val="10"/>
    </font>
    <font>
      <name val="Calibri"/>
      <b val="1"/>
      <color rgb="001E3A8A"/>
      <sz val="11"/>
    </font>
    <font>
      <name val="Calibri"/>
      <b val="1"/>
      <color rgb="00000000"/>
      <sz val="11"/>
    </font>
    <font>
      <name val="Calibri"/>
      <b val="1"/>
      <color rgb="00166534"/>
      <sz val="11"/>
    </font>
    <font>
      <name val="Calibri"/>
      <b val="1"/>
      <color rgb="007C2D12"/>
      <sz val="11"/>
    </font>
    <font>
      <name val="Calibri"/>
      <color rgb="001F2937"/>
      <sz val="10"/>
    </font>
    <font>
      <name val="Calibri"/>
      <b val="1"/>
      <color rgb="00000000"/>
      <sz val="10"/>
    </font>
    <font>
      <name val="Calibri"/>
      <b val="1"/>
      <color rgb="001F4E79"/>
      <sz val="16"/>
    </font>
    <font>
      <name val="Calibri"/>
      <b val="1"/>
      <color rgb="001F4E79"/>
      <sz val="13"/>
    </font>
    <font>
      <name val="Calibri"/>
      <b val="1"/>
      <color rgb="FF166534"/>
      <sz val="11"/>
    </font>
    <font>
      <name val="Calibri"/>
      <b val="1"/>
      <color rgb="FF7C2D12"/>
      <sz val="11"/>
    </font>
    <font>
      <name val="Calibri"/>
      <color rgb="FF1F2937"/>
      <sz val="10"/>
    </font>
    <font>
      <name val="Calibri"/>
      <b val="1"/>
      <color rgb="FF000000"/>
      <sz val="10"/>
    </font>
    <font>
      <name val="Calibri"/>
      <b val="1"/>
      <color rgb="FF1F4E79"/>
      <sz val="16"/>
    </font>
    <font>
      <name val="Calibri"/>
      <b val="1"/>
      <color rgb="FF1F4E79"/>
      <sz val="13"/>
    </font>
  </fonts>
  <fills count="37">
    <fill>
      <patternFill/>
    </fill>
    <fill>
      <patternFill patternType="gray125"/>
    </fill>
    <fill>
      <patternFill patternType="solid">
        <fgColor rgb="FF92D050"/>
        <bgColor indexed="64"/>
      </patternFill>
    </fill>
    <fill>
      <patternFill patternType="solid">
        <fgColor rgb="FF14532D"/>
      </patternFill>
    </fill>
    <fill>
      <patternFill patternType="solid">
        <fgColor rgb="FF00FF00"/>
      </patternFill>
    </fill>
    <fill>
      <patternFill patternType="solid">
        <fgColor rgb="FF1F4E79"/>
      </patternFill>
    </fill>
    <fill>
      <patternFill patternType="solid">
        <fgColor rgb="FFBBF7D0"/>
      </patternFill>
    </fill>
    <fill>
      <patternFill patternType="solid">
        <fgColor rgb="FFFECACA"/>
      </patternFill>
    </fill>
    <fill>
      <patternFill patternType="solid">
        <fgColor rgb="FF92D050"/>
      </patternFill>
    </fill>
    <fill>
      <patternFill patternType="solid">
        <fgColor rgb="FFFF0000"/>
      </patternFill>
    </fill>
    <fill>
      <patternFill patternType="solid">
        <fgColor rgb="FFFFF7ED"/>
      </patternFill>
    </fill>
    <fill>
      <patternFill patternType="solid">
        <fgColor rgb="FFFDE68A"/>
      </patternFill>
    </fill>
    <fill>
      <patternFill patternType="solid">
        <fgColor rgb="FF1E3A5F"/>
      </patternFill>
    </fill>
    <fill>
      <patternFill patternType="solid">
        <fgColor rgb="FFDBEAFE"/>
      </patternFill>
    </fill>
    <fill>
      <patternFill patternType="solid">
        <fgColor rgb="FFBFDBFE"/>
      </patternFill>
    </fill>
    <fill>
      <patternFill patternType="solid">
        <fgColor rgb="001E3A5F"/>
      </patternFill>
    </fill>
    <fill>
      <patternFill patternType="solid">
        <fgColor rgb="00FFF7ED"/>
      </patternFill>
    </fill>
    <fill>
      <patternFill patternType="solid">
        <fgColor rgb="001F4E79"/>
      </patternFill>
    </fill>
    <fill>
      <patternFill patternType="solid">
        <fgColor rgb="00FFFF00"/>
      </patternFill>
    </fill>
    <fill>
      <patternFill patternType="solid">
        <fgColor rgb="00BFDBFE"/>
      </patternFill>
    </fill>
    <fill>
      <patternFill patternType="solid">
        <fgColor rgb="00FF0000"/>
      </patternFill>
    </fill>
    <fill>
      <patternFill patternType="solid">
        <fgColor rgb="0000FF00"/>
      </patternFill>
    </fill>
    <fill>
      <patternFill patternType="solid">
        <fgColor rgb="00BBF7D0"/>
      </patternFill>
    </fill>
    <fill>
      <patternFill patternType="solid">
        <fgColor rgb="00D6EAF8"/>
      </patternFill>
    </fill>
    <fill>
      <patternFill patternType="solid">
        <fgColor rgb="FF14532D"/>
        <bgColor rgb="FF000000"/>
      </patternFill>
    </fill>
    <fill>
      <patternFill patternType="solid">
        <fgColor rgb="FF92D050"/>
        <bgColor rgb="FF000000"/>
      </patternFill>
    </fill>
    <fill>
      <patternFill patternType="solid">
        <fgColor rgb="FF00FF00"/>
        <bgColor rgb="FF000000"/>
      </patternFill>
    </fill>
    <fill>
      <patternFill patternType="solid">
        <fgColor rgb="FF1F4E79"/>
        <bgColor rgb="FF000000"/>
      </patternFill>
    </fill>
    <fill>
      <patternFill patternType="solid">
        <fgColor rgb="FFBBF7D0"/>
        <bgColor rgb="FF000000"/>
      </patternFill>
    </fill>
    <fill>
      <patternFill patternType="solid">
        <fgColor rgb="FFFF0000"/>
        <bgColor rgb="FF000000"/>
      </patternFill>
    </fill>
    <fill>
      <patternFill patternType="solid">
        <fgColor rgb="FF1E3A5F"/>
        <bgColor rgb="FF000000"/>
      </patternFill>
    </fill>
    <fill>
      <patternFill patternType="solid">
        <fgColor rgb="FFFFF7ED"/>
        <bgColor rgb="FF000000"/>
      </patternFill>
    </fill>
    <fill>
      <patternFill patternType="solid">
        <fgColor rgb="FFDBEAFE"/>
        <bgColor rgb="FF000000"/>
      </patternFill>
    </fill>
    <fill>
      <patternFill patternType="solid">
        <fgColor rgb="FFBFDBFE"/>
        <bgColor rgb="FF000000"/>
      </patternFill>
    </fill>
    <fill>
      <patternFill patternType="solid">
        <fgColor rgb="FFFFFF00"/>
        <bgColor rgb="FF000000"/>
      </patternFill>
    </fill>
    <fill>
      <patternFill patternType="solid">
        <fgColor rgb="FFFDE68A"/>
        <bgColor rgb="FF000000"/>
      </patternFill>
    </fill>
    <fill>
      <patternFill patternType="solid">
        <fgColor rgb="FFD6EAF8"/>
        <bgColor rgb="FF000000"/>
      </patternFill>
    </fill>
  </fills>
  <borders count="9">
    <border>
      <left/>
      <right/>
      <top/>
      <bottom/>
      <diagonal/>
    </border>
    <border>
      <left style="thin">
        <color rgb="FF166534"/>
      </left>
      <right style="thin">
        <color rgb="FF166534"/>
      </right>
      <top style="thin">
        <color rgb="FF166534"/>
      </top>
      <bottom style="thin">
        <color rgb="FF166534"/>
      </bottom>
    </border>
    <border>
      <left style="thin">
        <color rgb="FFD0D7DE"/>
      </left>
      <right style="thin">
        <color rgb="FFD0D7DE"/>
      </right>
      <top style="thin">
        <color rgb="FFD0D7DE"/>
      </top>
      <bottom style="thin">
        <color rgb="FFD0D7DE"/>
      </bottom>
    </border>
    <border>
      <left style="thin">
        <color rgb="FFCBD5E1"/>
      </left>
      <right style="thin">
        <color rgb="FFCBD5E1"/>
      </right>
      <top style="thin">
        <color rgb="FFCBD5E1"/>
      </top>
      <bottom style="thin">
        <color rgb="FFCBD5E1"/>
      </bottom>
    </border>
    <border>
      <left style="thick">
        <color rgb="FF1E3A8A"/>
      </left>
      <right style="thin">
        <color rgb="FFD0D7DE"/>
      </right>
      <top style="thick">
        <color rgb="FF1E3A8A"/>
      </top>
      <bottom style="thick">
        <color rgb="FF1E3A8A"/>
      </bottom>
    </border>
    <border>
      <left style="thin">
        <color rgb="FFD0D7DE"/>
      </left>
      <right style="thin">
        <color rgb="FFD0D7DE"/>
      </right>
      <top style="thick">
        <color rgb="FF1E3A8A"/>
      </top>
      <bottom style="thick">
        <color rgb="FF1E3A8A"/>
      </bottom>
    </border>
    <border>
      <left style="thin">
        <color rgb="FFD0D7DE"/>
      </left>
      <right style="thick">
        <color rgb="FF1E3A8A"/>
      </right>
      <top style="thick">
        <color rgb="FF1E3A8A"/>
      </top>
      <bottom style="thick">
        <color rgb="FF1E3A8A"/>
      </bottom>
    </border>
    <border/>
    <border>
      <left style="thin">
        <color rgb="00D0D7DE"/>
      </left>
      <right style="thin">
        <color rgb="00D0D7DE"/>
      </right>
      <top style="thin">
        <color rgb="00D0D7DE"/>
      </top>
      <bottom style="thin">
        <color rgb="00D0D7DE"/>
      </bottom>
    </border>
  </borders>
  <cellStyleXfs count="1">
    <xf numFmtId="0" fontId="0" fillId="0" borderId="0"/>
  </cellStyleXfs>
  <cellXfs count="205">
    <xf numFmtId="0" fontId="0" fillId="0" borderId="0" pivotButton="0" quotePrefix="0" xfId="0"/>
    <xf numFmtId="0" fontId="0" fillId="2" borderId="0" pivotButton="0" quotePrefix="0" xfId="0"/>
    <xf numFmtId="0" fontId="1" fillId="3" borderId="0" applyAlignment="1" pivotButton="0" quotePrefix="0" xfId="0">
      <alignment horizontal="center" vertical="center" wrapText="1"/>
    </xf>
    <xf numFmtId="0" fontId="2" fillId="4" borderId="1" applyAlignment="1" pivotButton="0" quotePrefix="0" xfId="0">
      <alignment vertical="center" wrapText="1"/>
    </xf>
    <xf numFmtId="0" fontId="3" fillId="5" borderId="2" applyAlignment="1" pivotButton="0" quotePrefix="0" xfId="0">
      <alignment horizontal="center" vertical="center" wrapText="1"/>
    </xf>
    <xf numFmtId="0" fontId="3" fillId="3" borderId="2" applyAlignment="1" pivotButton="0" quotePrefix="0" xfId="0">
      <alignment horizontal="center" vertical="bottom" textRotation="90" wrapText="1"/>
    </xf>
    <xf numFmtId="0" fontId="4" fillId="0" borderId="2" applyAlignment="1" pivotButton="0" quotePrefix="0" xfId="0">
      <alignment vertical="center" wrapText="1"/>
    </xf>
    <xf numFmtId="0" fontId="4"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5" fillId="6" borderId="2" applyAlignment="1" pivotButton="0" quotePrefix="0" xfId="0">
      <alignment horizontal="center" vertical="center" wrapText="1"/>
    </xf>
    <xf numFmtId="0" fontId="6" fillId="7" borderId="2" applyAlignment="1" pivotButton="0" quotePrefix="0" xfId="0">
      <alignment vertical="center" wrapText="1"/>
    </xf>
    <xf numFmtId="0" fontId="7" fillId="7" borderId="2" applyAlignment="1" pivotButton="0" quotePrefix="0" xfId="0">
      <alignment vertical="center" wrapText="1"/>
    </xf>
    <xf numFmtId="0" fontId="2" fillId="8" borderId="1" applyAlignment="1" pivotButton="0" quotePrefix="0" xfId="0">
      <alignment vertical="center" wrapText="1"/>
    </xf>
    <xf numFmtId="0" fontId="2" fillId="0" borderId="1" applyAlignment="1" pivotButton="0" quotePrefix="0" xfId="0">
      <alignment vertical="center" wrapText="1"/>
    </xf>
    <xf numFmtId="0" fontId="8" fillId="4" borderId="1" applyAlignment="1" pivotButton="0" quotePrefix="0" xfId="0">
      <alignment vertical="center" wrapText="1"/>
    </xf>
    <xf numFmtId="0" fontId="2" fillId="0" borderId="2" applyAlignment="1" pivotButton="0" quotePrefix="0" xfId="0">
      <alignment vertical="center" wrapText="1"/>
    </xf>
    <xf numFmtId="0" fontId="8" fillId="4" borderId="2" applyAlignment="1" pivotButton="0" quotePrefix="0" xfId="0">
      <alignment vertical="center" wrapText="1"/>
    </xf>
    <xf numFmtId="0" fontId="2" fillId="4" borderId="2" applyAlignment="1" pivotButton="0" quotePrefix="0" xfId="0">
      <alignment vertical="center" wrapText="1"/>
    </xf>
    <xf numFmtId="0" fontId="8" fillId="4" borderId="2" applyAlignment="1" pivotButton="0" quotePrefix="0" xfId="0">
      <alignment horizontal="center" vertical="center" wrapText="1"/>
    </xf>
    <xf numFmtId="0" fontId="1" fillId="9" borderId="2" applyAlignment="1" pivotButton="0" quotePrefix="0" xfId="0">
      <alignment vertical="center" wrapText="1"/>
    </xf>
    <xf numFmtId="0" fontId="1" fillId="9" borderId="2" applyAlignment="1" pivotButton="0" quotePrefix="0" xfId="0">
      <alignment horizontal="center" vertical="center" wrapText="1"/>
    </xf>
    <xf numFmtId="0" fontId="1" fillId="9" borderId="2" applyAlignment="1" pivotButton="0" quotePrefix="0" xfId="0">
      <alignment horizontal="center" vertical="center"/>
    </xf>
    <xf numFmtId="0" fontId="9" fillId="10" borderId="0" applyAlignment="1" pivotButton="0" quotePrefix="0" xfId="0">
      <alignment vertical="center" wrapText="1"/>
    </xf>
    <xf numFmtId="0" fontId="3" fillId="5" borderId="2" applyAlignment="1" pivotButton="0" quotePrefix="0" xfId="0">
      <alignment horizontal="center" vertical="bottom" textRotation="90" wrapText="1"/>
    </xf>
    <xf numFmtId="0" fontId="10" fillId="0" borderId="2" applyAlignment="1" pivotButton="0" quotePrefix="0" xfId="0">
      <alignment vertical="center" wrapText="1"/>
    </xf>
    <xf numFmtId="0" fontId="10" fillId="11" borderId="2" applyAlignment="1" pivotButton="0" quotePrefix="0" xfId="0">
      <alignment horizontal="center" vertical="center" wrapText="1"/>
    </xf>
    <xf numFmtId="0" fontId="1" fillId="12" borderId="3" applyAlignment="1" pivotButton="0" quotePrefix="0" xfId="0">
      <alignment vertical="center" wrapText="1"/>
    </xf>
    <xf numFmtId="1" fontId="1" fillId="12" borderId="3" applyAlignment="1" pivotButton="0" quotePrefix="0" xfId="0">
      <alignment horizontal="center" vertical="center" wrapText="1"/>
    </xf>
    <xf numFmtId="1" fontId="10" fillId="11" borderId="2" applyAlignment="1" pivotButton="0" quotePrefix="0" xfId="0">
      <alignment horizontal="center" vertical="center" wrapText="1"/>
    </xf>
    <xf numFmtId="1" fontId="4" fillId="0" borderId="2" applyAlignment="1" pivotButton="0" quotePrefix="0" xfId="0">
      <alignment horizontal="center" vertical="center" wrapText="1"/>
    </xf>
    <xf numFmtId="0" fontId="11" fillId="13" borderId="2" applyAlignment="1" pivotButton="0" quotePrefix="0" xfId="0">
      <alignment vertical="center" wrapText="1"/>
    </xf>
    <xf numFmtId="0" fontId="11" fillId="13" borderId="2" applyAlignment="1" pivotButton="0" quotePrefix="0" xfId="0">
      <alignment horizontal="center" vertical="center" wrapText="1"/>
    </xf>
    <xf numFmtId="1" fontId="11" fillId="14" borderId="2" applyAlignment="1" pivotButton="0" quotePrefix="0" xfId="0">
      <alignment horizontal="center" vertical="center" wrapText="1"/>
    </xf>
    <xf numFmtId="0" fontId="1" fillId="12" borderId="2" applyAlignment="1" pivotButton="0" quotePrefix="0" xfId="0">
      <alignment horizontal="center" vertical="center" wrapText="1"/>
    </xf>
    <xf numFmtId="1" fontId="1" fillId="12" borderId="2" applyAlignment="1" pivotButton="0" quotePrefix="0" xfId="0">
      <alignment horizontal="center" vertical="center" wrapText="1"/>
    </xf>
    <xf numFmtId="0" fontId="12" fillId="10" borderId="0" applyAlignment="1" pivotButton="0" quotePrefix="0" xfId="0">
      <alignment vertical="center" wrapText="1"/>
    </xf>
    <xf numFmtId="1" fontId="11" fillId="14" borderId="4" applyAlignment="1" pivotButton="0" quotePrefix="0" xfId="0">
      <alignment horizontal="center" vertical="center" wrapText="1"/>
    </xf>
    <xf numFmtId="0" fontId="10" fillId="0" borderId="5" applyAlignment="1" pivotButton="0" quotePrefix="0" xfId="0">
      <alignment horizontal="center" vertical="center" wrapText="1"/>
    </xf>
    <xf numFmtId="1" fontId="11" fillId="14" borderId="5" applyAlignment="1" pivotButton="0" quotePrefix="0" xfId="0">
      <alignment horizontal="center" vertical="center" wrapText="1"/>
    </xf>
    <xf numFmtId="0" fontId="10" fillId="0" borderId="6" applyAlignment="1" pivotButton="0" quotePrefix="0" xfId="0">
      <alignment horizontal="center" vertical="center" wrapText="1"/>
    </xf>
    <xf numFmtId="0" fontId="10" fillId="0" borderId="4" applyAlignment="1" pivotButton="0" quotePrefix="0" xfId="0">
      <alignment horizontal="center" vertical="center" wrapText="1"/>
    </xf>
    <xf numFmtId="1" fontId="11" fillId="14" borderId="6" applyAlignment="1" pivotButton="0" quotePrefix="0" xfId="0">
      <alignment horizontal="center" vertical="center" wrapText="1"/>
    </xf>
    <xf numFmtId="1" fontId="10" fillId="0" borderId="5" applyAlignment="1" pivotButton="0" quotePrefix="0" xfId="0">
      <alignment horizontal="center" vertical="center" wrapText="1"/>
    </xf>
    <xf numFmtId="0" fontId="12" fillId="10" borderId="0" applyAlignment="1" pivotButton="0" quotePrefix="0" xfId="0">
      <alignment horizontal="left" vertical="center" wrapText="1"/>
    </xf>
    <xf numFmtId="0" fontId="13" fillId="0" borderId="0" applyAlignment="1" pivotButton="0" quotePrefix="0" xfId="0">
      <alignment horizontal="left" vertical="center" wrapText="1"/>
    </xf>
    <xf numFmtId="0" fontId="14" fillId="0" borderId="2" applyAlignment="1" pivotButton="0" quotePrefix="0" xfId="0">
      <alignment horizontal="left" vertical="center" wrapText="1"/>
    </xf>
    <xf numFmtId="1" fontId="14" fillId="0" borderId="2" applyAlignment="1" pivotButton="0" quotePrefix="0" xfId="0">
      <alignment horizontal="center" vertical="center" wrapText="1"/>
    </xf>
    <xf numFmtId="1" fontId="15" fillId="0" borderId="2" applyAlignment="1" pivotButton="0" quotePrefix="0" xfId="0">
      <alignment horizontal="center" vertical="center" wrapText="1"/>
    </xf>
    <xf numFmtId="0" fontId="1" fillId="12" borderId="2" applyAlignment="1" pivotButton="0" quotePrefix="0" xfId="0">
      <alignment horizontal="left" vertical="center" wrapText="1"/>
    </xf>
    <xf numFmtId="0" fontId="16" fillId="0" borderId="7" applyAlignment="1" pivotButton="0" quotePrefix="0" xfId="0">
      <alignment horizontal="left" vertical="center"/>
    </xf>
    <xf numFmtId="1" fontId="16" fillId="0" borderId="7" applyAlignment="1" pivotButton="0" quotePrefix="0" xfId="0">
      <alignment horizontal="center" vertical="center"/>
    </xf>
    <xf numFmtId="0" fontId="4" fillId="0" borderId="7" pivotButton="0" quotePrefix="0" xfId="0"/>
    <xf numFmtId="1" fontId="17" fillId="0" borderId="7" applyAlignment="1" pivotButton="0" quotePrefix="0" xfId="0">
      <alignment horizontal="center" vertical="center"/>
    </xf>
    <xf numFmtId="1" fontId="4" fillId="0" borderId="7" pivotButton="0" quotePrefix="0" xfId="0"/>
    <xf numFmtId="0" fontId="18" fillId="15" borderId="7" applyAlignment="1" pivotButton="0" quotePrefix="0" xfId="0">
      <alignment horizontal="left" vertical="center"/>
    </xf>
    <xf numFmtId="1" fontId="18" fillId="15" borderId="7" applyAlignment="1" pivotButton="0" quotePrefix="0" xfId="0">
      <alignment horizontal="center" vertical="center"/>
    </xf>
    <xf numFmtId="0" fontId="18" fillId="15" borderId="7" applyAlignment="1" pivotButton="0" quotePrefix="0" xfId="0">
      <alignment horizontal="center" vertical="center"/>
    </xf>
    <xf numFmtId="0" fontId="19" fillId="0" borderId="0" applyAlignment="1" pivotButton="0" quotePrefix="0" xfId="0">
      <alignment horizontal="left" vertical="center" wrapText="1"/>
    </xf>
    <xf numFmtId="0" fontId="20" fillId="16" borderId="0" applyAlignment="1" pivotButton="0" quotePrefix="0" xfId="0">
      <alignment vertical="center" wrapText="1"/>
    </xf>
    <xf numFmtId="0" fontId="21" fillId="17" borderId="0" applyAlignment="1" pivotButton="0" quotePrefix="0" xfId="0">
      <alignment horizontal="center" vertical="center" wrapText="1"/>
    </xf>
    <xf numFmtId="1" fontId="16" fillId="0" borderId="7" applyAlignment="1" pivotButton="0" quotePrefix="0" xfId="0">
      <alignment horizontal="center" vertical="center" wrapText="1"/>
    </xf>
    <xf numFmtId="0" fontId="17" fillId="0" borderId="7" applyAlignment="1" pivotButton="0" quotePrefix="0" xfId="0">
      <alignment horizontal="center" vertical="center" wrapText="1"/>
    </xf>
    <xf numFmtId="1" fontId="17" fillId="18" borderId="7" applyAlignment="1" pivotButton="0" quotePrefix="0" xfId="0">
      <alignment horizontal="center" vertical="center" wrapText="1"/>
    </xf>
    <xf numFmtId="1" fontId="17" fillId="0" borderId="7" applyAlignment="1" pivotButton="0" quotePrefix="0" xfId="0">
      <alignment horizontal="center" vertical="center" wrapText="1"/>
    </xf>
    <xf numFmtId="0" fontId="16" fillId="0" borderId="7" applyAlignment="1" pivotButton="0" quotePrefix="0" xfId="0">
      <alignment horizontal="center" vertical="center" wrapText="1"/>
    </xf>
    <xf numFmtId="0" fontId="18" fillId="15" borderId="7" applyAlignment="1" pivotButton="0" quotePrefix="0" xfId="0">
      <alignment horizontal="center" vertical="center" wrapText="1"/>
    </xf>
    <xf numFmtId="1" fontId="17" fillId="18" borderId="4" applyAlignment="1" pivotButton="0" quotePrefix="0" xfId="0">
      <alignment horizontal="center" vertical="center"/>
    </xf>
    <xf numFmtId="1" fontId="17" fillId="18" borderId="5" applyAlignment="1" pivotButton="0" quotePrefix="0" xfId="0">
      <alignment horizontal="center" vertical="center"/>
    </xf>
    <xf numFmtId="1" fontId="17" fillId="18" borderId="6" applyAlignment="1" pivotButton="0" quotePrefix="0" xfId="0">
      <alignment horizontal="center" vertical="center"/>
    </xf>
    <xf numFmtId="1" fontId="22" fillId="19" borderId="4" applyAlignment="1" pivotButton="0" quotePrefix="0" xfId="0">
      <alignment horizontal="center" vertical="center"/>
    </xf>
    <xf numFmtId="1" fontId="22" fillId="19" borderId="5" applyAlignment="1" pivotButton="0" quotePrefix="0" xfId="0">
      <alignment horizontal="center" vertical="center"/>
    </xf>
    <xf numFmtId="1" fontId="22" fillId="19" borderId="6" applyAlignment="1" pivotButton="0" quotePrefix="0" xfId="0">
      <alignment horizontal="center" vertical="center"/>
    </xf>
    <xf numFmtId="1" fontId="18" fillId="15" borderId="7" applyAlignment="1" pivotButton="0" quotePrefix="0" xfId="0">
      <alignment horizontal="center" vertical="center" wrapText="1"/>
    </xf>
    <xf numFmtId="0" fontId="19" fillId="0" borderId="0" applyAlignment="1" pivotButton="0" quotePrefix="0" xfId="0">
      <alignment vertical="center" wrapText="1"/>
    </xf>
    <xf numFmtId="0" fontId="16" fillId="0" borderId="0" applyAlignment="1" pivotButton="0" quotePrefix="0" xfId="0">
      <alignment horizontal="left" vertical="center" wrapText="1"/>
    </xf>
    <xf numFmtId="0" fontId="16" fillId="0" borderId="0" applyAlignment="1" pivotButton="0" quotePrefix="0" xfId="0">
      <alignment horizontal="center" vertical="center"/>
    </xf>
    <xf numFmtId="0" fontId="17" fillId="0" borderId="0" applyAlignment="1" pivotButton="0" quotePrefix="0" xfId="0">
      <alignment horizontal="center" vertical="center"/>
    </xf>
    <xf numFmtId="0" fontId="18" fillId="15" borderId="0" applyAlignment="1" pivotButton="0" quotePrefix="0" xfId="0">
      <alignment horizontal="left" vertical="center" wrapText="1"/>
    </xf>
    <xf numFmtId="0" fontId="18" fillId="15" borderId="0" applyAlignment="1" pivotButton="0" quotePrefix="0" xfId="0">
      <alignment horizontal="center" vertical="center"/>
    </xf>
    <xf numFmtId="0" fontId="19" fillId="0" borderId="7" applyAlignment="1" pivotButton="0" quotePrefix="0" xfId="0">
      <alignment vertical="center" wrapText="1"/>
    </xf>
    <xf numFmtId="0" fontId="20" fillId="16" borderId="7" applyAlignment="1" pivotButton="0" quotePrefix="0" xfId="0">
      <alignment vertical="center" wrapText="1"/>
    </xf>
    <xf numFmtId="0" fontId="21" fillId="17" borderId="7" applyAlignment="1" pivotButton="0" quotePrefix="0" xfId="0">
      <alignment horizontal="center" vertical="center" wrapText="1"/>
    </xf>
    <xf numFmtId="0" fontId="16" fillId="0" borderId="7" applyAlignment="1" pivotButton="0" quotePrefix="0" xfId="0">
      <alignment horizontal="left" vertical="center" wrapText="1"/>
    </xf>
    <xf numFmtId="0" fontId="16" fillId="0" borderId="7" applyAlignment="1" pivotButton="0" quotePrefix="0" xfId="0">
      <alignment horizontal="center" vertical="center"/>
    </xf>
    <xf numFmtId="0" fontId="17" fillId="0" borderId="7" applyAlignment="1" pivotButton="0" quotePrefix="0" xfId="0">
      <alignment horizontal="center" vertical="center"/>
    </xf>
    <xf numFmtId="0" fontId="18" fillId="15" borderId="7" applyAlignment="1" pivotButton="0" quotePrefix="0" xfId="0">
      <alignment horizontal="left" vertical="center" wrapText="1"/>
    </xf>
    <xf numFmtId="0" fontId="18" fillId="20" borderId="2" applyAlignment="1" pivotButton="0" quotePrefix="0" xfId="0">
      <alignment horizontal="center" vertical="center"/>
    </xf>
    <xf numFmtId="0" fontId="23" fillId="21" borderId="2" applyAlignment="1" pivotButton="0" quotePrefix="0" xfId="0">
      <alignment horizontal="center" vertical="center"/>
    </xf>
    <xf numFmtId="0" fontId="24" fillId="22" borderId="2" applyAlignment="1" pivotButton="0" quotePrefix="0" xfId="0">
      <alignment horizontal="center" vertical="center"/>
    </xf>
    <xf numFmtId="0" fontId="23" fillId="21" borderId="2" applyAlignment="1" pivotButton="0" quotePrefix="0" xfId="0">
      <alignment horizontal="center" vertical="center" wrapText="1"/>
    </xf>
    <xf numFmtId="0" fontId="18" fillId="20" borderId="2" applyAlignment="1" pivotButton="0" quotePrefix="0" xfId="0">
      <alignment horizontal="center" vertical="center" wrapText="1"/>
    </xf>
    <xf numFmtId="0" fontId="19" fillId="0" borderId="7" applyAlignment="1" pivotButton="0" quotePrefix="0" xfId="0">
      <alignment horizontal="left" vertical="center"/>
    </xf>
    <xf numFmtId="0" fontId="20" fillId="16" borderId="7" applyAlignment="1" pivotButton="0" quotePrefix="0" xfId="0">
      <alignment horizontal="left" vertical="center" wrapText="1"/>
    </xf>
    <xf numFmtId="0" fontId="21" fillId="17" borderId="7" applyAlignment="1" pivotButton="0" quotePrefix="0" xfId="0">
      <alignment horizontal="center" vertical="center"/>
    </xf>
    <xf numFmtId="0" fontId="18" fillId="15" borderId="7" pivotButton="0" quotePrefix="0" xfId="0"/>
    <xf numFmtId="0" fontId="16" fillId="0" borderId="7" pivotButton="0" quotePrefix="0" xfId="0"/>
    <xf numFmtId="0" fontId="16" fillId="10" borderId="0" applyAlignment="1" pivotButton="0" quotePrefix="0" xfId="0">
      <alignment horizontal="left" vertical="center" wrapText="1"/>
    </xf>
    <xf numFmtId="0" fontId="20" fillId="16" borderId="0" applyAlignment="1" pivotButton="0" quotePrefix="0" xfId="0">
      <alignment horizontal="left" vertical="center" wrapText="1"/>
    </xf>
    <xf numFmtId="1" fontId="17" fillId="18" borderId="7" applyAlignment="1" pivotButton="0" quotePrefix="0" xfId="0">
      <alignment horizontal="center" vertical="center"/>
    </xf>
    <xf numFmtId="1" fontId="22" fillId="19" borderId="8" applyAlignment="1" pivotButton="0" quotePrefix="0" xfId="0">
      <alignment horizontal="center" vertical="center"/>
    </xf>
    <xf numFmtId="0" fontId="4" fillId="0" borderId="8" applyAlignment="1" pivotButton="0" quotePrefix="0" xfId="0">
      <alignment horizontal="center" vertical="center" wrapText="1"/>
    </xf>
    <xf numFmtId="1" fontId="4" fillId="0" borderId="8" applyAlignment="1" pivotButton="0" quotePrefix="0" xfId="0">
      <alignment horizontal="center" vertical="center" wrapText="1"/>
    </xf>
    <xf numFmtId="0" fontId="19" fillId="0" borderId="0" applyAlignment="1" pivotButton="0" quotePrefix="0" xfId="0">
      <alignment horizontal="left" vertical="center"/>
    </xf>
    <xf numFmtId="0" fontId="18" fillId="17" borderId="8" applyAlignment="1" pivotButton="0" quotePrefix="0" xfId="0">
      <alignment horizontal="center" vertical="center"/>
    </xf>
    <xf numFmtId="0" fontId="16" fillId="0" borderId="8" applyAlignment="1" pivotButton="0" quotePrefix="0" xfId="0">
      <alignment horizontal="left" vertical="center" wrapText="1"/>
    </xf>
    <xf numFmtId="0" fontId="17" fillId="0" borderId="8" applyAlignment="1" pivotButton="0" quotePrefix="0" xfId="0">
      <alignment horizontal="center" vertical="center"/>
    </xf>
    <xf numFmtId="0" fontId="18" fillId="15" borderId="8" applyAlignment="1" pivotButton="0" quotePrefix="0" xfId="0">
      <alignment horizontal="left" vertical="center" wrapText="1"/>
    </xf>
    <xf numFmtId="0" fontId="18" fillId="15" borderId="8" applyAlignment="1" pivotButton="0" quotePrefix="0" xfId="0">
      <alignment horizontal="center" vertical="center"/>
    </xf>
    <xf numFmtId="0" fontId="21" fillId="17" borderId="8" applyAlignment="1" pivotButton="0" quotePrefix="0" xfId="0">
      <alignment horizontal="center" vertical="center" wrapText="1"/>
    </xf>
    <xf numFmtId="0" fontId="16" fillId="0" borderId="8" applyAlignment="1" pivotButton="0" quotePrefix="0" xfId="0">
      <alignment horizontal="center" vertical="center" wrapText="1"/>
    </xf>
    <xf numFmtId="0" fontId="17" fillId="0" borderId="8" applyAlignment="1" pivotButton="0" quotePrefix="0" xfId="0">
      <alignment horizontal="center" vertical="center" wrapText="1"/>
    </xf>
    <xf numFmtId="0" fontId="17" fillId="18" borderId="8" applyAlignment="1" pivotButton="0" quotePrefix="0" xfId="0">
      <alignment horizontal="center" vertical="center" wrapText="1"/>
    </xf>
    <xf numFmtId="0" fontId="18" fillId="15" borderId="8" applyAlignment="1" pivotButton="0" quotePrefix="0" xfId="0">
      <alignment horizontal="center" vertical="center" wrapText="1"/>
    </xf>
    <xf numFmtId="0" fontId="25" fillId="16" borderId="8" applyAlignment="1" pivotButton="0" quotePrefix="0" xfId="0">
      <alignment horizontal="left" vertical="center" wrapText="1"/>
    </xf>
    <xf numFmtId="0" fontId="25" fillId="16" borderId="8" applyAlignment="1" pivotButton="0" quotePrefix="0" xfId="0">
      <alignment horizontal="center" vertical="center" wrapText="1"/>
    </xf>
    <xf numFmtId="0" fontId="26" fillId="0" borderId="8" applyAlignment="1" pivotButton="0" quotePrefix="0" xfId="0">
      <alignment horizontal="left" vertical="center" wrapText="1"/>
    </xf>
    <xf numFmtId="0" fontId="26" fillId="0" borderId="8" applyAlignment="1" pivotButton="0" quotePrefix="0" xfId="0">
      <alignment horizontal="center" vertical="center" wrapText="1"/>
    </xf>
    <xf numFmtId="0" fontId="21" fillId="20" borderId="8" applyAlignment="1" pivotButton="0" quotePrefix="0" xfId="0">
      <alignment horizontal="center" vertical="center" wrapText="1"/>
    </xf>
    <xf numFmtId="0" fontId="27" fillId="21" borderId="8" applyAlignment="1" pivotButton="0" quotePrefix="0" xfId="0">
      <alignment horizontal="center" vertical="center" wrapText="1"/>
    </xf>
    <xf numFmtId="0" fontId="16" fillId="0" borderId="0" pivotButton="0" quotePrefix="0" xfId="0"/>
    <xf numFmtId="0" fontId="17" fillId="0" borderId="0" pivotButton="0" quotePrefix="0" xfId="0"/>
    <xf numFmtId="0" fontId="28" fillId="0" borderId="0" applyAlignment="1" pivotButton="0" quotePrefix="0" xfId="0">
      <alignment horizontal="left" vertical="center" wrapText="1"/>
    </xf>
    <xf numFmtId="0" fontId="29" fillId="0" borderId="0" applyAlignment="1" pivotButton="0" quotePrefix="0" xfId="0">
      <alignment horizontal="left" vertical="center" wrapText="1"/>
    </xf>
    <xf numFmtId="3" fontId="16" fillId="0" borderId="8" applyAlignment="1" pivotButton="0" quotePrefix="0" xfId="0">
      <alignment horizontal="right" vertical="center" wrapText="1"/>
    </xf>
    <xf numFmtId="3" fontId="18" fillId="15" borderId="8" applyAlignment="1" pivotButton="0" quotePrefix="0" xfId="0">
      <alignment horizontal="right" vertical="center" wrapText="1"/>
    </xf>
    <xf numFmtId="3" fontId="17" fillId="23" borderId="8" applyAlignment="1" pivotButton="0" quotePrefix="0" xfId="0">
      <alignment horizontal="right" vertical="center" wrapText="1"/>
    </xf>
    <xf numFmtId="1" fontId="17" fillId="23" borderId="8" applyAlignment="1" pivotButton="0" quotePrefix="0" xfId="0">
      <alignment horizontal="right" vertical="center" wrapText="1"/>
    </xf>
    <xf numFmtId="4" fontId="16" fillId="0" borderId="8" applyAlignment="1" pivotButton="0" quotePrefix="0" xfId="0">
      <alignment horizontal="right" vertical="center" wrapText="1"/>
    </xf>
    <xf numFmtId="1" fontId="16" fillId="0" borderId="8" applyAlignment="1" pivotButton="0" quotePrefix="0" xfId="0">
      <alignment horizontal="left" vertical="center" wrapText="1"/>
    </xf>
    <xf numFmtId="4" fontId="18" fillId="15" borderId="8" applyAlignment="1" pivotButton="0" quotePrefix="0" xfId="0">
      <alignment horizontal="right" vertical="center" wrapText="1"/>
    </xf>
    <xf numFmtId="0" fontId="18" fillId="15" borderId="8" applyAlignment="1" pivotButton="0" quotePrefix="0" xfId="0">
      <alignment horizontal="right" vertical="center" wrapText="1"/>
    </xf>
    <xf numFmtId="0" fontId="1" fillId="24" borderId="0" applyAlignment="1" pivotButton="0" quotePrefix="0" xfId="0">
      <alignment horizontal="center" vertical="center" wrapText="1"/>
    </xf>
    <xf numFmtId="0" fontId="2" fillId="25" borderId="1" applyAlignment="1" pivotButton="0" quotePrefix="0" xfId="0">
      <alignment vertical="center" wrapText="1"/>
    </xf>
    <xf numFmtId="0" fontId="2" fillId="26" borderId="1" applyAlignment="1" pivotButton="0" quotePrefix="0" xfId="0">
      <alignment vertical="center" wrapText="1"/>
    </xf>
    <xf numFmtId="0" fontId="8" fillId="26" borderId="1" applyAlignment="1" pivotButton="0" quotePrefix="0" xfId="0">
      <alignment vertical="center" wrapText="1"/>
    </xf>
    <xf numFmtId="0" fontId="3" fillId="27" borderId="2" applyAlignment="1" pivotButton="0" quotePrefix="0" xfId="0">
      <alignment horizontal="center" vertical="center" wrapText="1"/>
    </xf>
    <xf numFmtId="0" fontId="3" fillId="24" borderId="2" applyAlignment="1" pivotButton="0" quotePrefix="0" xfId="0">
      <alignment horizontal="center" vertical="bottom" textRotation="90" wrapText="1"/>
    </xf>
    <xf numFmtId="0" fontId="5" fillId="28" borderId="2" applyAlignment="1" pivotButton="0" quotePrefix="0" xfId="0">
      <alignment horizontal="center" vertical="center" wrapText="1"/>
    </xf>
    <xf numFmtId="0" fontId="8" fillId="26" borderId="2" applyAlignment="1" pivotButton="0" quotePrefix="0" xfId="0">
      <alignment horizontal="center" vertical="center" wrapText="1"/>
    </xf>
    <xf numFmtId="0" fontId="1" fillId="29" borderId="2" applyAlignment="1" pivotButton="0" quotePrefix="0" xfId="0">
      <alignment horizontal="center" vertical="center"/>
    </xf>
    <xf numFmtId="0" fontId="8" fillId="26" borderId="2" applyAlignment="1" pivotButton="0" quotePrefix="0" xfId="0">
      <alignment horizontal="center" vertical="center"/>
    </xf>
    <xf numFmtId="0" fontId="1" fillId="29" borderId="2" applyAlignment="1" pivotButton="0" quotePrefix="0" xfId="0">
      <alignment horizontal="center" vertical="center" wrapText="1"/>
    </xf>
    <xf numFmtId="0" fontId="30" fillId="28" borderId="2" applyAlignment="1" pivotButton="0" quotePrefix="0" xfId="0">
      <alignment horizontal="center" vertical="center"/>
    </xf>
    <xf numFmtId="0" fontId="1" fillId="30" borderId="3" applyAlignment="1" pivotButton="0" quotePrefix="0" xfId="0">
      <alignment vertical="center" wrapText="1"/>
    </xf>
    <xf numFmtId="1" fontId="1" fillId="30" borderId="3" applyAlignment="1" pivotButton="0" quotePrefix="0" xfId="0">
      <alignment horizontal="center" vertical="center" wrapText="1"/>
    </xf>
    <xf numFmtId="0" fontId="13" fillId="0" borderId="7" applyAlignment="1" pivotButton="0" quotePrefix="0" xfId="0">
      <alignment horizontal="left" vertical="center"/>
    </xf>
    <xf numFmtId="0" fontId="12" fillId="31" borderId="7" applyAlignment="1" pivotButton="0" quotePrefix="0" xfId="0">
      <alignment horizontal="left" vertical="center" wrapText="1"/>
    </xf>
    <xf numFmtId="0" fontId="3" fillId="27" borderId="7" applyAlignment="1" pivotButton="0" quotePrefix="0" xfId="0">
      <alignment horizontal="center" vertical="center"/>
    </xf>
    <xf numFmtId="0" fontId="14" fillId="0" borderId="7" applyAlignment="1" pivotButton="0" quotePrefix="0" xfId="0">
      <alignment horizontal="left" vertical="center" wrapText="1"/>
    </xf>
    <xf numFmtId="0" fontId="14" fillId="0" borderId="7" applyAlignment="1" pivotButton="0" quotePrefix="0" xfId="0">
      <alignment horizontal="center" vertical="center"/>
    </xf>
    <xf numFmtId="0" fontId="15" fillId="0" borderId="7" applyAlignment="1" pivotButton="0" quotePrefix="0" xfId="0">
      <alignment horizontal="center" vertical="center"/>
    </xf>
    <xf numFmtId="0" fontId="1" fillId="30" borderId="7" applyAlignment="1" pivotButton="0" quotePrefix="0" xfId="0">
      <alignment horizontal="left" vertical="center" wrapText="1"/>
    </xf>
    <xf numFmtId="0" fontId="1" fillId="30" borderId="7" pivotButton="0" quotePrefix="0" xfId="0"/>
    <xf numFmtId="0" fontId="1" fillId="30" borderId="7" applyAlignment="1" pivotButton="0" quotePrefix="0" xfId="0">
      <alignment horizontal="center" vertical="center"/>
    </xf>
    <xf numFmtId="0" fontId="14" fillId="0" borderId="7" pivotButton="0" quotePrefix="0" xfId="0"/>
    <xf numFmtId="0" fontId="14" fillId="31" borderId="0" applyAlignment="1" pivotButton="0" quotePrefix="0" xfId="0">
      <alignment horizontal="left" vertical="center" wrapText="1"/>
    </xf>
    <xf numFmtId="0" fontId="3" fillId="27" borderId="2" applyAlignment="1" pivotButton="0" quotePrefix="0" xfId="0">
      <alignment horizontal="center" vertical="bottom" textRotation="90" wrapText="1"/>
    </xf>
    <xf numFmtId="0" fontId="11" fillId="32" borderId="2" applyAlignment="1" pivotButton="0" quotePrefix="0" xfId="0">
      <alignment vertical="center" wrapText="1"/>
    </xf>
    <xf numFmtId="1" fontId="11" fillId="33" borderId="2" applyAlignment="1" pivotButton="0" quotePrefix="0" xfId="0">
      <alignment horizontal="center" vertical="center" wrapText="1"/>
    </xf>
    <xf numFmtId="1" fontId="11" fillId="33" borderId="2" applyAlignment="1" pivotButton="0" quotePrefix="0" xfId="0">
      <alignment horizontal="center" vertical="center"/>
    </xf>
    <xf numFmtId="0" fontId="1" fillId="30" borderId="2" applyAlignment="1" pivotButton="0" quotePrefix="0" xfId="0">
      <alignment horizontal="center" vertical="center" wrapText="1"/>
    </xf>
    <xf numFmtId="1" fontId="1" fillId="30" borderId="2" applyAlignment="1" pivotButton="0" quotePrefix="0" xfId="0">
      <alignment horizontal="center" vertical="center" wrapText="1"/>
    </xf>
    <xf numFmtId="0" fontId="12" fillId="31" borderId="0" applyAlignment="1" pivotButton="0" quotePrefix="0" xfId="0">
      <alignment vertical="center" wrapText="1"/>
    </xf>
    <xf numFmtId="0" fontId="12" fillId="31" borderId="0" applyAlignment="1" pivotButton="0" quotePrefix="0" xfId="0">
      <alignment horizontal="left" vertical="center" wrapText="1"/>
    </xf>
    <xf numFmtId="0" fontId="3" fillId="27" borderId="7" applyAlignment="1" pivotButton="0" quotePrefix="0" xfId="0">
      <alignment horizontal="center" vertical="center" wrapText="1"/>
    </xf>
    <xf numFmtId="1" fontId="14" fillId="0" borderId="7" applyAlignment="1" pivotButton="0" quotePrefix="0" xfId="0">
      <alignment horizontal="center" vertical="center"/>
    </xf>
    <xf numFmtId="1" fontId="15" fillId="34" borderId="7" applyAlignment="1" pivotButton="0" quotePrefix="0" xfId="0">
      <alignment horizontal="center" vertical="center"/>
    </xf>
    <xf numFmtId="1" fontId="15" fillId="0" borderId="7" applyAlignment="1" pivotButton="0" quotePrefix="0" xfId="0">
      <alignment horizontal="center" vertical="center"/>
    </xf>
    <xf numFmtId="0" fontId="1" fillId="30" borderId="7" applyAlignment="1" pivotButton="0" quotePrefix="0" xfId="0">
      <alignment horizontal="left" vertical="center"/>
    </xf>
    <xf numFmtId="0" fontId="13" fillId="0" borderId="0" applyAlignment="1" pivotButton="0" quotePrefix="0" xfId="0">
      <alignment horizontal="left" vertical="center"/>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5" fillId="34" borderId="2" applyAlignment="1" pivotButton="0" quotePrefix="0" xfId="0">
      <alignment horizontal="center" vertical="center" wrapText="1"/>
    </xf>
    <xf numFmtId="0" fontId="1" fillId="30" borderId="2" applyAlignment="1" pivotButton="0" quotePrefix="0" xfId="0">
      <alignment horizontal="left" vertical="center" wrapText="1"/>
    </xf>
    <xf numFmtId="0" fontId="9" fillId="31" borderId="0" applyAlignment="1" pivotButton="0" quotePrefix="0" xfId="0">
      <alignment vertical="center" wrapText="1"/>
    </xf>
    <xf numFmtId="0" fontId="10" fillId="35" borderId="2" applyAlignment="1" pivotButton="0" quotePrefix="0" xfId="0">
      <alignment horizontal="center" vertical="center" wrapText="1"/>
    </xf>
    <xf numFmtId="0" fontId="31" fillId="31" borderId="2" applyAlignment="1" pivotButton="0" quotePrefix="0" xfId="0">
      <alignment horizontal="left" vertical="center" wrapText="1"/>
    </xf>
    <xf numFmtId="0" fontId="31" fillId="31" borderId="2" applyAlignment="1" pivotButton="0" quotePrefix="0" xfId="0">
      <alignment horizontal="center" vertical="center" wrapText="1"/>
    </xf>
    <xf numFmtId="0" fontId="32" fillId="0" borderId="2" applyAlignment="1" pivotButton="0" quotePrefix="0" xfId="0">
      <alignment horizontal="left" vertical="center" wrapText="1"/>
    </xf>
    <xf numFmtId="0" fontId="32" fillId="0" borderId="2" applyAlignment="1" pivotButton="0" quotePrefix="0" xfId="0">
      <alignment horizontal="center" vertical="center" wrapText="1"/>
    </xf>
    <xf numFmtId="0" fontId="3" fillId="29" borderId="2" applyAlignment="1" pivotButton="0" quotePrefix="0" xfId="0">
      <alignment horizontal="center" vertical="center" wrapText="1"/>
    </xf>
    <xf numFmtId="0" fontId="33" fillId="26" borderId="2" applyAlignment="1" pivotButton="0" quotePrefix="0" xfId="0">
      <alignment horizontal="center" vertical="center" wrapText="1"/>
    </xf>
    <xf numFmtId="0" fontId="14" fillId="0" borderId="0" pivotButton="0" quotePrefix="0" xfId="0"/>
    <xf numFmtId="0" fontId="15" fillId="0" borderId="0" pivotButton="0" quotePrefix="0" xfId="0"/>
    <xf numFmtId="0" fontId="34" fillId="0" borderId="0" applyAlignment="1" pivotButton="0" quotePrefix="0" xfId="0">
      <alignment horizontal="left" vertical="center" wrapText="1"/>
    </xf>
    <xf numFmtId="0" fontId="35" fillId="0" borderId="0" applyAlignment="1" pivotButton="0" quotePrefix="0" xfId="0">
      <alignment horizontal="left" vertical="center" wrapText="1"/>
    </xf>
    <xf numFmtId="3" fontId="14" fillId="0" borderId="2" applyAlignment="1" pivotButton="0" quotePrefix="0" xfId="0">
      <alignment horizontal="right" vertical="center" wrapText="1"/>
    </xf>
    <xf numFmtId="3" fontId="1" fillId="30" borderId="2" applyAlignment="1" pivotButton="0" quotePrefix="0" xfId="0">
      <alignment horizontal="right" vertical="center" wrapText="1"/>
    </xf>
    <xf numFmtId="3" fontId="15" fillId="36" borderId="2" applyAlignment="1" pivotButton="0" quotePrefix="0" xfId="0">
      <alignment horizontal="right" vertical="center" wrapText="1"/>
    </xf>
    <xf numFmtId="1" fontId="15" fillId="36" borderId="2" applyAlignment="1" pivotButton="0" quotePrefix="0" xfId="0">
      <alignment horizontal="right" vertical="center" wrapText="1"/>
    </xf>
    <xf numFmtId="4" fontId="14" fillId="0" borderId="2" applyAlignment="1" pivotButton="0" quotePrefix="0" xfId="0">
      <alignment horizontal="right" vertical="center" wrapText="1"/>
    </xf>
    <xf numFmtId="1" fontId="14" fillId="0" borderId="2" applyAlignment="1" pivotButton="0" quotePrefix="0" xfId="0">
      <alignment horizontal="left" vertical="center" wrapText="1"/>
    </xf>
    <xf numFmtId="4" fontId="1" fillId="30" borderId="2" applyAlignment="1" pivotButton="0" quotePrefix="0" xfId="0">
      <alignment horizontal="right" vertical="center" wrapText="1"/>
    </xf>
    <xf numFmtId="0" fontId="1" fillId="30" borderId="2" applyAlignment="1" pivotButton="0" quotePrefix="0" xfId="0">
      <alignment horizontal="right" vertical="center" wrapText="1"/>
    </xf>
    <xf numFmtId="0" fontId="3" fillId="27" borderId="2" applyAlignment="1" pivotButton="0" quotePrefix="0" xfId="0">
      <alignment horizontal="center" vertical="center"/>
    </xf>
    <xf numFmtId="0" fontId="14" fillId="0" borderId="2" applyAlignment="1" pivotButton="0" quotePrefix="0" xfId="0">
      <alignment horizontal="center" vertical="center"/>
    </xf>
    <xf numFmtId="0" fontId="15" fillId="0" borderId="2" applyAlignment="1" pivotButton="0" quotePrefix="0" xfId="0">
      <alignment horizontal="center" vertical="center"/>
    </xf>
    <xf numFmtId="0" fontId="1" fillId="30" borderId="2" pivotButton="0" quotePrefix="0" xfId="0"/>
    <xf numFmtId="0" fontId="1" fillId="30" borderId="2" applyAlignment="1" pivotButton="0" quotePrefix="0" xfId="0">
      <alignment horizontal="center" vertical="center"/>
    </xf>
    <xf numFmtId="0" fontId="4" fillId="0" borderId="2" pivotButton="0" quotePrefix="0" xfId="0"/>
    <xf numFmtId="1" fontId="14" fillId="0" borderId="2" applyAlignment="1" pivotButton="0" quotePrefix="0" xfId="0">
      <alignment horizontal="center" vertical="center"/>
    </xf>
    <xf numFmtId="1" fontId="15" fillId="34" borderId="2" applyAlignment="1" pivotButton="0" quotePrefix="0" xfId="0">
      <alignment horizontal="center" vertical="center"/>
    </xf>
    <xf numFmtId="1" fontId="4" fillId="0" borderId="2" pivotButton="0" quotePrefix="0" xfId="0"/>
    <xf numFmtId="1" fontId="15" fillId="0" borderId="2" applyAlignment="1" pivotButton="0" quotePrefix="0" xfId="0">
      <alignment horizontal="center" vertical="center"/>
    </xf>
    <xf numFmtId="0" fontId="1" fillId="30" borderId="2" applyAlignment="1" pivotButton="0" quotePrefix="0" xfId="0">
      <alignment horizontal="left" vertical="center"/>
    </xf>
  </cellXfs>
  <cellStyles count="1">
    <cellStyle name="Обычный"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B1:S3565"/>
  <sheetViews>
    <sheetView zoomScale="40" workbookViewId="0">
      <selection activeCell="A1" sqref="A1"/>
    </sheetView>
  </sheetViews>
  <sheetFormatPr baseColWidth="8" defaultRowHeight="15"/>
  <cols>
    <col width="21.06640625" customWidth="1" min="4" max="4"/>
    <col width="156.9296875" customWidth="1" min="5" max="5"/>
    <col width="21.19921875" customWidth="1" min="6" max="6"/>
    <col width="22.796875" customWidth="1" min="7" max="7"/>
    <col width="22.6640625" customWidth="1" min="8" max="8"/>
    <col width="30" customWidth="1" min="10" max="10"/>
    <col width="33.265625" customWidth="1" min="11" max="11"/>
    <col width="36" customWidth="1" min="12" max="12"/>
    <col width="21.9296875" customWidth="1" min="14" max="14"/>
    <col width="24" customWidth="1" min="18" max="18"/>
    <col width="78" customWidth="1" min="19" max="19"/>
  </cols>
  <sheetData>
    <row r="1">
      <c r="B1" t="inlineStr">
        <is>
          <t>Номер в реестре</t>
        </is>
      </c>
      <c r="C1" t="inlineStr">
        <is>
          <t>Id пакета</t>
        </is>
      </c>
      <c r="D1" t="inlineStr">
        <is>
          <t>FIO</t>
        </is>
      </c>
      <c r="E1" t="inlineStr">
        <is>
          <t>Наименование работодателя</t>
        </is>
      </c>
      <c r="F1" t="inlineStr">
        <is>
          <t>ИНН работодателя</t>
        </is>
      </c>
      <c r="G1" t="inlineStr">
        <is>
          <t>Должность</t>
        </is>
      </c>
      <c r="H1" t="inlineStr">
        <is>
          <t>Наименование организации проводившей обучение</t>
        </is>
      </c>
      <c r="I1" t="inlineStr">
        <is>
          <t>ИНН организации проводившей обучение</t>
        </is>
      </c>
      <c r="J1" t="inlineStr">
        <is>
          <t>Номер протокола</t>
        </is>
      </c>
      <c r="K1" t="inlineStr">
        <is>
          <t>Программа обучения</t>
        </is>
      </c>
      <c r="L1" t="inlineStr">
        <is>
          <t>Дата проверки знаний</t>
        </is>
      </c>
      <c r="M1" t="inlineStr">
        <is>
          <t>Результат</t>
        </is>
      </c>
      <c r="N1" t="inlineStr">
        <is>
          <t>Дата внесения в реестр</t>
        </is>
      </c>
      <c r="O1" t="inlineStr">
        <is>
          <t>Аннулировано</t>
        </is>
      </c>
      <c r="P1" t="inlineStr">
        <is>
          <t>Дата аннулирования</t>
        </is>
      </c>
      <c r="Q1" t="inlineStr">
        <is>
          <t>Источник отправки</t>
        </is>
      </c>
      <c r="R1" s="131" t="inlineStr">
        <is>
          <t>Избыток / недостаток</t>
        </is>
      </c>
      <c r="S1" s="131" t="inlineStr">
        <is>
          <t>Основание недостатка/избытка</t>
        </is>
      </c>
    </row>
    <row r="2">
      <c r="B2" s="1" t="inlineStr">
        <is>
          <t>6485895</t>
        </is>
      </c>
      <c r="C2" s="1" t="inlineStr">
        <is>
          <t>587412</t>
        </is>
      </c>
      <c r="D2" t="inlineStr">
        <is>
          <t>работник 1</t>
        </is>
      </c>
      <c r="E2" s="1" t="inlineStr">
        <is>
          <t>ООО "Амур золото". Подразделение: горно-обогатительный комплекс "Юбилейный"</t>
        </is>
      </c>
      <c r="F2" s="1" t="inlineStr">
        <is>
          <t>2708001686</t>
        </is>
      </c>
      <c r="G2" s="1" t="inlineStr">
        <is>
          <t>Директор</t>
        </is>
      </c>
      <c r="H2" s="1" t="inlineStr">
        <is>
          <t>Автономная некоммерческая организация дополнительного профессионального образования и сертификации "Перспектива"</t>
        </is>
      </c>
      <c r="I2" s="1" t="inlineStr">
        <is>
          <t>2722126782</t>
        </is>
      </c>
      <c r="J2" s="1" t="inlineStr">
        <is>
          <t>ОТ-А 0035-23</t>
        </is>
      </c>
      <c r="K2" s="132" t="inlineStr">
        <is>
          <t>Общие вопросы охраны труда и функционирования системы управления охраной труда</t>
        </is>
      </c>
      <c r="L2" s="1" t="inlineStr">
        <is>
          <t>26.05.2023</t>
        </is>
      </c>
      <c r="M2" s="1" t="inlineStr">
        <is>
          <t>Успешно</t>
        </is>
      </c>
      <c r="N2" s="1" t="inlineStr">
        <is>
          <t>01.06.2023</t>
        </is>
      </c>
      <c r="O2" s="1" t="inlineStr"/>
      <c r="P2" s="1" t="inlineStr"/>
      <c r="Q2" s="1" t="inlineStr">
        <is>
          <t>Пользовательский интерфейс</t>
        </is>
      </c>
      <c r="R2" s="13" t="inlineStr">
        <is>
          <t>Нет отклонения</t>
        </is>
      </c>
      <c r="S2" s="13" t="inlineStr">
        <is>
          <t>ПП РФ № 2464, п. 53 подп. «а»: руководителю организации программа 46а требуется.</t>
        </is>
      </c>
    </row>
    <row r="3">
      <c r="B3" s="1" t="inlineStr">
        <is>
          <t>6485896</t>
        </is>
      </c>
      <c r="C3" s="1" t="inlineStr">
        <is>
          <t>587412</t>
        </is>
      </c>
      <c r="D3" t="inlineStr">
        <is>
          <t>работник 2</t>
        </is>
      </c>
      <c r="E3" s="1" t="inlineStr">
        <is>
          <t>ООО "Амур золото". Подразделение: горно-обогатительный комплекс "Юбилейный"</t>
        </is>
      </c>
      <c r="F3" s="1" t="inlineStr">
        <is>
          <t>2708001686</t>
        </is>
      </c>
      <c r="G3" s="1" t="inlineStr">
        <is>
          <t>Заместитель директора горно-обогатительного комплекса по производству</t>
        </is>
      </c>
      <c r="H3" s="1" t="inlineStr">
        <is>
          <t>Автономная некоммерческая организация дополнительного профессионального образования и сертификации "Перспектива"</t>
        </is>
      </c>
      <c r="I3" s="1" t="inlineStr">
        <is>
          <t>2722126782</t>
        </is>
      </c>
      <c r="J3" s="1" t="inlineStr">
        <is>
          <t>ОТ-А 0035-23</t>
        </is>
      </c>
      <c r="K3" s="132" t="inlineStr">
        <is>
          <t>Общие вопросы охраны труда и функционирования системы управления охраной труда</t>
        </is>
      </c>
      <c r="L3" s="1" t="inlineStr">
        <is>
          <t>26.05.2023</t>
        </is>
      </c>
      <c r="M3" s="1" t="inlineStr">
        <is>
          <t>Успешно</t>
        </is>
      </c>
      <c r="N3" s="1" t="inlineStr">
        <is>
          <t>01.06.2023</t>
        </is>
      </c>
      <c r="O3" s="1" t="inlineStr"/>
      <c r="P3" s="1" t="inlineStr"/>
      <c r="Q3" s="1" t="inlineStr">
        <is>
          <t>Пользовательский интерфейс</t>
        </is>
      </c>
      <c r="R3" s="13" t="inlineStr">
        <is>
          <t>Нет отклонения</t>
        </is>
      </c>
      <c r="S3" s="13" t="inlineStr">
        <is>
          <t>ПП РФ № 2464, п. 53 подп. «б»: заместителю руководителя структурного подразделения программы 46а и 46б требуются.</t>
        </is>
      </c>
    </row>
    <row r="4">
      <c r="B4" s="1" t="inlineStr">
        <is>
          <t>6485897</t>
        </is>
      </c>
      <c r="C4" s="1" t="inlineStr">
        <is>
          <t>587412</t>
        </is>
      </c>
      <c r="D4" t="inlineStr">
        <is>
          <t>работник 3</t>
        </is>
      </c>
      <c r="E4" s="1" t="inlineStr">
        <is>
          <t>ООО "Амур золото". Подразделение: горно-обогатительный комплекс "Юбилейный"</t>
        </is>
      </c>
      <c r="F4" s="1" t="inlineStr">
        <is>
          <t>2708001686</t>
        </is>
      </c>
      <c r="G4" s="1" t="inlineStr">
        <is>
          <t>Инженер по промышленной безопасности и охране труда</t>
        </is>
      </c>
      <c r="H4" s="1" t="inlineStr">
        <is>
          <t>Автономная некоммерческая организация дополнительного профессионального образования и сертификации "Перспектива"</t>
        </is>
      </c>
      <c r="I4" s="1" t="inlineStr">
        <is>
          <t>2722126782</t>
        </is>
      </c>
      <c r="J4" s="1" t="inlineStr">
        <is>
          <t>ОТ-А 0035-23</t>
        </is>
      </c>
      <c r="K4" s="132" t="inlineStr">
        <is>
          <t>Общие вопросы охраны труда и функционирования системы управления охраной труда</t>
        </is>
      </c>
      <c r="L4" s="1" t="inlineStr">
        <is>
          <t>26.05.2023</t>
        </is>
      </c>
      <c r="M4" s="1" t="inlineStr">
        <is>
          <t>Успешно</t>
        </is>
      </c>
      <c r="N4" s="1" t="inlineStr">
        <is>
          <t>01.06.2023</t>
        </is>
      </c>
      <c r="O4" s="1" t="inlineStr"/>
      <c r="P4" s="1" t="inlineStr"/>
      <c r="Q4" s="1" t="inlineStr">
        <is>
          <t>Пользовательский интерфейс</t>
        </is>
      </c>
      <c r="R4" s="13" t="inlineStr">
        <is>
          <t>Нет отклонения</t>
        </is>
      </c>
      <c r="S4" s="13" t="inlineStr">
        <is>
          <t>ПП РФ № 2464, п. 53 подп. «г»: специалисту по охране труда программа 46а требуется.</t>
        </is>
      </c>
    </row>
    <row r="5">
      <c r="B5" s="1" t="inlineStr">
        <is>
          <t>6485898</t>
        </is>
      </c>
      <c r="C5" s="1" t="inlineStr">
        <is>
          <t>587412</t>
        </is>
      </c>
      <c r="D5" t="inlineStr">
        <is>
          <t>работник 4</t>
        </is>
      </c>
      <c r="E5" s="1" t="inlineStr">
        <is>
          <t>ООО "Амур золото". Подразделение: горно-обогатительный комплекс "Юбилейный"</t>
        </is>
      </c>
      <c r="F5" s="1" t="inlineStr">
        <is>
          <t>2708001686</t>
        </is>
      </c>
      <c r="G5" s="1" t="inlineStr">
        <is>
          <t>Инженер по промышленной безопасности и охране труда</t>
        </is>
      </c>
      <c r="H5" s="1" t="inlineStr">
        <is>
          <t>Автономная некоммерческая организация дополнительного профессионального образования и сертификации "Перспектива"</t>
        </is>
      </c>
      <c r="I5" s="1" t="inlineStr">
        <is>
          <t>2722126782</t>
        </is>
      </c>
      <c r="J5" s="1" t="inlineStr">
        <is>
          <t>ОТ-А 0035-23</t>
        </is>
      </c>
      <c r="K5" s="132" t="inlineStr">
        <is>
          <t>Общие вопросы охраны труда и функционирования системы управления охраной труда</t>
        </is>
      </c>
      <c r="L5" s="1" t="inlineStr">
        <is>
          <t>26.05.2023</t>
        </is>
      </c>
      <c r="M5" s="1" t="inlineStr">
        <is>
          <t>Успешно</t>
        </is>
      </c>
      <c r="N5" s="1" t="inlineStr">
        <is>
          <t>01.06.2023</t>
        </is>
      </c>
      <c r="O5" s="1" t="inlineStr"/>
      <c r="P5" s="1" t="inlineStr"/>
      <c r="Q5" s="1" t="inlineStr">
        <is>
          <t>Пользовательский интерфейс</t>
        </is>
      </c>
      <c r="R5" s="13" t="inlineStr">
        <is>
          <t>Нет отклонения</t>
        </is>
      </c>
      <c r="S5" s="13" t="inlineStr">
        <is>
          <t>ПП РФ № 2464, п. 53 подп. «г»: специалисту по охране труда программа 46а требуется.</t>
        </is>
      </c>
    </row>
    <row r="6">
      <c r="B6" s="1" t="inlineStr">
        <is>
          <t>6485899</t>
        </is>
      </c>
      <c r="C6" s="1" t="inlineStr">
        <is>
          <t>587412</t>
        </is>
      </c>
      <c r="D6" t="inlineStr">
        <is>
          <t>работник 5</t>
        </is>
      </c>
      <c r="E6" s="1" t="inlineStr">
        <is>
          <t>ООО "Амур золото". Подразделение: горно-обогатительный комплекс "Юбилейный"</t>
        </is>
      </c>
      <c r="F6" s="1" t="inlineStr">
        <is>
          <t>2708001686</t>
        </is>
      </c>
      <c r="G6" s="1" t="inlineStr">
        <is>
          <t>Механик по ремонту самоходного транспорта</t>
        </is>
      </c>
      <c r="H6" s="1" t="inlineStr">
        <is>
          <t>Автономная некоммерческая организация дополнительного профессионального образования и сертификации "Перспектива"</t>
        </is>
      </c>
      <c r="I6" s="1" t="inlineStr">
        <is>
          <t>2722126782</t>
        </is>
      </c>
      <c r="J6" s="1" t="inlineStr">
        <is>
          <t>ОТ-А 0035-23</t>
        </is>
      </c>
      <c r="K6" s="133" t="inlineStr">
        <is>
          <t>Общие вопросы охраны труда и функционирования системы управления охраной труда</t>
        </is>
      </c>
      <c r="L6" s="1" t="inlineStr">
        <is>
          <t>26.05.2023</t>
        </is>
      </c>
      <c r="M6" s="1" t="inlineStr">
        <is>
          <t>Успешно</t>
        </is>
      </c>
      <c r="N6" s="1" t="inlineStr">
        <is>
          <t>01.06.2023</t>
        </is>
      </c>
      <c r="O6" s="1" t="inlineStr"/>
      <c r="P6" s="1" t="inlineStr"/>
      <c r="Q6" s="1" t="inlineStr">
        <is>
          <t>Пользовательский интерфейс</t>
        </is>
      </c>
      <c r="R6" s="134" t="inlineStr">
        <is>
          <t>Избыток обучения</t>
        </is>
      </c>
      <c r="S6" s="133" t="inlineStr">
        <is>
          <t>ПП РФ № 2464, п. 53 подп. «в»: специалисту программа 46а не требуется, установлена программа 46б.</t>
        </is>
      </c>
    </row>
    <row r="7">
      <c r="B7" s="1" t="inlineStr">
        <is>
          <t>6485900</t>
        </is>
      </c>
      <c r="C7" s="1" t="inlineStr">
        <is>
          <t>587412</t>
        </is>
      </c>
      <c r="D7" t="inlineStr">
        <is>
          <t>работник 6</t>
        </is>
      </c>
      <c r="E7" s="1" t="inlineStr">
        <is>
          <t>ООО "Амур золото". Подразделение: горно-обогатительный комплекс "Юбилейный"</t>
        </is>
      </c>
      <c r="F7" s="1" t="inlineStr">
        <is>
          <t>2708001686</t>
        </is>
      </c>
      <c r="G7" s="1" t="inlineStr">
        <is>
          <t>Заместитель начальника участка по буровзрывным работам</t>
        </is>
      </c>
      <c r="H7" s="1" t="inlineStr">
        <is>
          <t>Автономная некоммерческая организация дополнительного профессионального образования и сертификации "Перспектива"</t>
        </is>
      </c>
      <c r="I7" s="1" t="inlineStr">
        <is>
          <t>2722126782</t>
        </is>
      </c>
      <c r="J7" s="1" t="inlineStr">
        <is>
          <t>ОТ-А 0035-23</t>
        </is>
      </c>
      <c r="K7" s="132" t="inlineStr">
        <is>
          <t>Общие вопросы охраны труда и функционирования системы управления охраной труда</t>
        </is>
      </c>
      <c r="L7" s="1" t="inlineStr">
        <is>
          <t>26.05.2023</t>
        </is>
      </c>
      <c r="M7" s="1" t="inlineStr">
        <is>
          <t>Успешно</t>
        </is>
      </c>
      <c r="N7" s="1" t="inlineStr">
        <is>
          <t>01.06.2023</t>
        </is>
      </c>
      <c r="O7" s="1" t="inlineStr"/>
      <c r="P7" s="1" t="inlineStr"/>
      <c r="Q7" s="1" t="inlineStr">
        <is>
          <t>Пользовательский интерфейс</t>
        </is>
      </c>
      <c r="R7" s="13" t="inlineStr">
        <is>
          <t>Нет отклонения</t>
        </is>
      </c>
      <c r="S7" s="13" t="inlineStr">
        <is>
          <t>ПП РФ № 2464, п. 53 подп. «б»: заместителю руководителя структурного подразделения программы 46а и 46б требуются.</t>
        </is>
      </c>
    </row>
    <row r="8">
      <c r="B8" s="1" t="inlineStr">
        <is>
          <t>6485901</t>
        </is>
      </c>
      <c r="C8" s="1" t="inlineStr">
        <is>
          <t>587412</t>
        </is>
      </c>
      <c r="D8" t="inlineStr">
        <is>
          <t>работник 7</t>
        </is>
      </c>
      <c r="E8" s="1" t="inlineStr">
        <is>
          <t>ООО "Амур золото". Подразделение: горно-обогатительный комплекс "Юбилейный"</t>
        </is>
      </c>
      <c r="F8" s="1" t="inlineStr">
        <is>
          <t>2708001686</t>
        </is>
      </c>
      <c r="G8" s="1" t="inlineStr">
        <is>
          <t>Главный технолог</t>
        </is>
      </c>
      <c r="H8" s="1" t="inlineStr">
        <is>
          <t>Автономная некоммерческая организация дополнительного профессионального образования и сертификации "Перспектива"</t>
        </is>
      </c>
      <c r="I8" s="1" t="inlineStr">
        <is>
          <t>2722126782</t>
        </is>
      </c>
      <c r="J8" s="1" t="inlineStr">
        <is>
          <t>ОТ-А 0035-23</t>
        </is>
      </c>
      <c r="K8" s="133" t="inlineStr">
        <is>
          <t>Общие вопросы охраны труда и функционирования системы управления охраной труда</t>
        </is>
      </c>
      <c r="L8" s="1" t="inlineStr">
        <is>
          <t>26.05.2023</t>
        </is>
      </c>
      <c r="M8" s="1" t="inlineStr">
        <is>
          <t>Успешно</t>
        </is>
      </c>
      <c r="N8" s="1" t="inlineStr">
        <is>
          <t>01.06.2023</t>
        </is>
      </c>
      <c r="O8" s="1" t="inlineStr"/>
      <c r="P8" s="1" t="inlineStr"/>
      <c r="Q8" s="1" t="inlineStr">
        <is>
          <t>Пользовательский интерфейс</t>
        </is>
      </c>
      <c r="R8" s="134" t="inlineStr">
        <is>
          <t>Избыток обучения</t>
        </is>
      </c>
      <c r="S8" s="133" t="inlineStr">
        <is>
          <t>ПП РФ № 2464, п. 53 подп. «в»: должность не названа руководителем структурного подразделения, специалисту программа 46а не требуется.</t>
        </is>
      </c>
    </row>
    <row r="9">
      <c r="B9" s="1" t="inlineStr">
        <is>
          <t>6485902</t>
        </is>
      </c>
      <c r="C9" s="1" t="inlineStr">
        <is>
          <t>587412</t>
        </is>
      </c>
      <c r="D9" t="inlineStr">
        <is>
          <t>работник 8</t>
        </is>
      </c>
      <c r="E9" s="1" t="inlineStr">
        <is>
          <t>ООО "Амур золото". Подразделение: горно-обогатительный комплекс "Юбилейный"</t>
        </is>
      </c>
      <c r="F9" s="1" t="inlineStr">
        <is>
          <t>2708001686</t>
        </is>
      </c>
      <c r="G9" s="1" t="inlineStr">
        <is>
          <t>Начальник золотоизвлекательной фабрики</t>
        </is>
      </c>
      <c r="H9" s="1" t="inlineStr">
        <is>
          <t>Автономная некоммерческая организация дополнительного профессионального образования и сертификации "Перспектива"</t>
        </is>
      </c>
      <c r="I9" s="1" t="inlineStr">
        <is>
          <t>2722126782</t>
        </is>
      </c>
      <c r="J9" s="1" t="inlineStr">
        <is>
          <t>ОТ-А 0035-23</t>
        </is>
      </c>
      <c r="K9" s="132" t="inlineStr">
        <is>
          <t>Общие вопросы охраны труда и функционирования системы управления охраной труда</t>
        </is>
      </c>
      <c r="L9" s="1" t="inlineStr">
        <is>
          <t>26.05.2023</t>
        </is>
      </c>
      <c r="M9" s="1" t="inlineStr">
        <is>
          <t>Успешно</t>
        </is>
      </c>
      <c r="N9" s="1" t="inlineStr">
        <is>
          <t>01.06.2023</t>
        </is>
      </c>
      <c r="O9" s="1" t="inlineStr"/>
      <c r="P9" s="1" t="inlineStr"/>
      <c r="Q9" s="1" t="inlineStr">
        <is>
          <t>Пользовательский интерфейс</t>
        </is>
      </c>
      <c r="R9" s="13" t="inlineStr">
        <is>
          <t>Нет отклонения</t>
        </is>
      </c>
      <c r="S9" s="13" t="inlineStr">
        <is>
          <t>ПП РФ № 2464, п. 53 подп. «б»: руководителю структурного подразделения программы 46а и 46б требуются.</t>
        </is>
      </c>
    </row>
    <row r="10">
      <c r="B10" s="1" t="inlineStr">
        <is>
          <t>6485903</t>
        </is>
      </c>
      <c r="C10" s="1" t="inlineStr">
        <is>
          <t>587412</t>
        </is>
      </c>
      <c r="D10" t="inlineStr">
        <is>
          <t>работник 9</t>
        </is>
      </c>
      <c r="E10" s="1" t="inlineStr">
        <is>
          <t>ООО "Амур золото". Подразделение: горно-обогатительный комплекс "Юбилейный"</t>
        </is>
      </c>
      <c r="F10" s="1" t="inlineStr">
        <is>
          <t>2708001686</t>
        </is>
      </c>
      <c r="G10" s="1" t="inlineStr">
        <is>
          <t>Заместитель начальника золотоизвлекательной фабрики</t>
        </is>
      </c>
      <c r="H10" s="1" t="inlineStr">
        <is>
          <t>Автономная некоммерческая организация дополнительного профессионального образования и сертификации "Перспектива"</t>
        </is>
      </c>
      <c r="I10" s="1" t="inlineStr">
        <is>
          <t>2722126782</t>
        </is>
      </c>
      <c r="J10" s="1" t="inlineStr">
        <is>
          <t>ОТ-А 0035-23</t>
        </is>
      </c>
      <c r="K10" s="132" t="inlineStr">
        <is>
          <t>Общие вопросы охраны труда и функционирования системы управления охраной труда</t>
        </is>
      </c>
      <c r="L10" s="1" t="inlineStr">
        <is>
          <t>26.05.2023</t>
        </is>
      </c>
      <c r="M10" s="1" t="inlineStr">
        <is>
          <t>Успешно</t>
        </is>
      </c>
      <c r="N10" s="1" t="inlineStr">
        <is>
          <t>01.06.2023</t>
        </is>
      </c>
      <c r="O10" s="1" t="inlineStr"/>
      <c r="P10" s="1" t="inlineStr"/>
      <c r="Q10" s="1" t="inlineStr">
        <is>
          <t>Пользовательский интерфейс</t>
        </is>
      </c>
      <c r="R10" s="13" t="inlineStr">
        <is>
          <t>Нет отклонения</t>
        </is>
      </c>
      <c r="S10" s="13" t="inlineStr">
        <is>
          <t>ПП РФ № 2464, п. 53 подп. «б»: заместителю руководителя структурного подразделения программы 46а и 46б требуются.</t>
        </is>
      </c>
    </row>
    <row r="11">
      <c r="B11" s="1" t="inlineStr">
        <is>
          <t>6485904</t>
        </is>
      </c>
      <c r="C11" s="1" t="inlineStr">
        <is>
          <t>587412</t>
        </is>
      </c>
      <c r="D11" t="inlineStr">
        <is>
          <t>работник 10</t>
        </is>
      </c>
      <c r="E11" s="1" t="inlineStr">
        <is>
          <t>ООО "Амур золото". Подразделение: горно-обогатительный комплекс "Юбилейный"</t>
        </is>
      </c>
      <c r="F11" s="1" t="inlineStr">
        <is>
          <t>2708001686</t>
        </is>
      </c>
      <c r="G11" s="1" t="inlineStr">
        <is>
          <t>Главный энергетик</t>
        </is>
      </c>
      <c r="H11" s="1" t="inlineStr">
        <is>
          <t>Автономная некоммерческая организация дополнительного профессионального образования и сертификации "Перспектива"</t>
        </is>
      </c>
      <c r="I11" s="1" t="inlineStr">
        <is>
          <t>2722126782</t>
        </is>
      </c>
      <c r="J11" s="1" t="inlineStr">
        <is>
          <t>ОТ-А 0035-23</t>
        </is>
      </c>
      <c r="K11" s="133" t="inlineStr">
        <is>
          <t>Общие вопросы охраны труда и функционирования системы управления охраной труда</t>
        </is>
      </c>
      <c r="L11" s="1" t="inlineStr">
        <is>
          <t>26.05.2023</t>
        </is>
      </c>
      <c r="M11" s="1" t="inlineStr">
        <is>
          <t>Успешно</t>
        </is>
      </c>
      <c r="N11" s="1" t="inlineStr">
        <is>
          <t>01.06.2023</t>
        </is>
      </c>
      <c r="O11" s="1" t="inlineStr"/>
      <c r="P11" s="1" t="inlineStr"/>
      <c r="Q11" s="1" t="inlineStr">
        <is>
          <t>Пользовательский интерфейс</t>
        </is>
      </c>
      <c r="R11" s="134" t="inlineStr">
        <is>
          <t>Избыток обучения</t>
        </is>
      </c>
      <c r="S11" s="133" t="inlineStr">
        <is>
          <t>ПП РФ № 2464, п. 53 подп. «в»: должность не названа руководителем структурного подразделения, специалисту программа 46а не требуется.</t>
        </is>
      </c>
    </row>
    <row r="12">
      <c r="B12" s="1" t="inlineStr">
        <is>
          <t>6485905</t>
        </is>
      </c>
      <c r="C12" s="1" t="inlineStr">
        <is>
          <t>587412</t>
        </is>
      </c>
      <c r="D12" t="inlineStr">
        <is>
          <t>работник 11</t>
        </is>
      </c>
      <c r="E12" s="1" t="inlineStr">
        <is>
          <t>ООО "Амур золото". Подразделение: горно-обогатительный комплекс "Юбилейный"</t>
        </is>
      </c>
      <c r="F12" s="1" t="inlineStr">
        <is>
          <t>2708001686</t>
        </is>
      </c>
      <c r="G12" s="1" t="inlineStr">
        <is>
          <t>Теплотехник</t>
        </is>
      </c>
      <c r="H12" s="1" t="inlineStr">
        <is>
          <t>Автономная некоммерческая организация дополнительного профессионального образования и сертификации "Перспектива"</t>
        </is>
      </c>
      <c r="I12" s="1" t="inlineStr">
        <is>
          <t>2722126782</t>
        </is>
      </c>
      <c r="J12" s="1" t="inlineStr">
        <is>
          <t>ОТ-А 0035-23</t>
        </is>
      </c>
      <c r="K12" s="133" t="inlineStr">
        <is>
          <t>Общие вопросы охраны труда и функционирования системы управления охраной труда</t>
        </is>
      </c>
      <c r="L12" s="1" t="inlineStr">
        <is>
          <t>26.05.2023</t>
        </is>
      </c>
      <c r="M12" s="1" t="inlineStr">
        <is>
          <t>Успешно</t>
        </is>
      </c>
      <c r="N12" s="1" t="inlineStr">
        <is>
          <t>01.06.2023</t>
        </is>
      </c>
      <c r="O12" s="1" t="inlineStr"/>
      <c r="P12" s="1" t="inlineStr"/>
      <c r="Q12" s="1" t="inlineStr">
        <is>
          <t>Пользовательский интерфейс</t>
        </is>
      </c>
      <c r="R12" s="134" t="inlineStr">
        <is>
          <t>Избыток обучения</t>
        </is>
      </c>
      <c r="S12" s="133" t="inlineStr">
        <is>
          <t>ПП РФ № 2464, п. 53 подп. «в»: специалисту программа 46а не требуется, установлена программа 46б.</t>
        </is>
      </c>
    </row>
    <row r="13">
      <c r="B13" s="1" t="inlineStr">
        <is>
          <t>6485906</t>
        </is>
      </c>
      <c r="C13" s="1" t="inlineStr">
        <is>
          <t>587412</t>
        </is>
      </c>
      <c r="D13" t="inlineStr">
        <is>
          <t>работник 12</t>
        </is>
      </c>
      <c r="E13" s="1" t="inlineStr">
        <is>
          <t>ООО "Амур золото". Подразделение: горно-обогатительный комплекс "Юбилейный"</t>
        </is>
      </c>
      <c r="F13" s="1" t="inlineStr">
        <is>
          <t>2708001686</t>
        </is>
      </c>
      <c r="G13" s="1" t="inlineStr">
        <is>
          <t>Электромеханик подземного горного участка</t>
        </is>
      </c>
      <c r="H13" s="1" t="inlineStr">
        <is>
          <t>Автономная некоммерческая организация дополнительного профессионального образования и сертификации "Перспектива"</t>
        </is>
      </c>
      <c r="I13" s="1" t="inlineStr">
        <is>
          <t>2722126782</t>
        </is>
      </c>
      <c r="J13" s="1" t="inlineStr">
        <is>
          <t>ОТ-А 0035-23</t>
        </is>
      </c>
      <c r="K13" s="133" t="inlineStr">
        <is>
          <t>Общие вопросы охраны труда и функционирования системы управления охраной труда</t>
        </is>
      </c>
      <c r="L13" s="1" t="inlineStr">
        <is>
          <t>26.05.2023</t>
        </is>
      </c>
      <c r="M13" s="1" t="inlineStr">
        <is>
          <t>Успешно</t>
        </is>
      </c>
      <c r="N13" s="1" t="inlineStr">
        <is>
          <t>01.06.2023</t>
        </is>
      </c>
      <c r="O13" s="1" t="inlineStr"/>
      <c r="P13" s="1" t="inlineStr"/>
      <c r="Q13" s="1" t="inlineStr">
        <is>
          <t>Пользовательский интерфейс</t>
        </is>
      </c>
      <c r="R13" s="134" t="inlineStr">
        <is>
          <t>Избыток обучения</t>
        </is>
      </c>
      <c r="S13" s="133" t="inlineStr">
        <is>
          <t>ПП РФ № 2464, п. 53 подп. «в»: специалисту программа 46а не требуется, установлена программа 46б.</t>
        </is>
      </c>
    </row>
    <row r="14">
      <c r="B14" s="1" t="inlineStr">
        <is>
          <t>6485907</t>
        </is>
      </c>
      <c r="C14" s="1" t="inlineStr">
        <is>
          <t>587412</t>
        </is>
      </c>
      <c r="D14" t="inlineStr">
        <is>
          <t>работник 13</t>
        </is>
      </c>
      <c r="E14" s="1" t="inlineStr">
        <is>
          <t>ООО "Амур золото". Подразделение: горно-обогатительный комплекс "Юбилейный"</t>
        </is>
      </c>
      <c r="F14" s="1" t="inlineStr">
        <is>
          <t>2708001686</t>
        </is>
      </c>
      <c r="G14" s="1" t="inlineStr">
        <is>
          <t>Старший геолог</t>
        </is>
      </c>
      <c r="H14" s="1" t="inlineStr">
        <is>
          <t>Автономная некоммерческая организация дополнительного профессионального образования и сертификации "Перспектива"</t>
        </is>
      </c>
      <c r="I14" s="1" t="inlineStr">
        <is>
          <t>2722126782</t>
        </is>
      </c>
      <c r="J14" s="1" t="inlineStr">
        <is>
          <t>ОТ-А 0035-23</t>
        </is>
      </c>
      <c r="K14" s="133" t="inlineStr">
        <is>
          <t>Общие вопросы охраны труда и функционирования системы управления охраной труда</t>
        </is>
      </c>
      <c r="L14" s="1" t="inlineStr">
        <is>
          <t>26.05.2023</t>
        </is>
      </c>
      <c r="M14" s="1" t="inlineStr">
        <is>
          <t>Успешно</t>
        </is>
      </c>
      <c r="N14" s="1" t="inlineStr">
        <is>
          <t>01.06.2023</t>
        </is>
      </c>
      <c r="O14" s="1" t="inlineStr"/>
      <c r="P14" s="1" t="inlineStr"/>
      <c r="Q14" s="1" t="inlineStr">
        <is>
          <t>Пользовательский интерфейс</t>
        </is>
      </c>
      <c r="R14" s="134" t="inlineStr">
        <is>
          <t>Избыток обучения</t>
        </is>
      </c>
      <c r="S14" s="133" t="inlineStr">
        <is>
          <t>ПП РФ № 2464, п. 53 подп. «в»: специалисту программа 46а не требуется, установлена программа 46б.</t>
        </is>
      </c>
    </row>
    <row r="15">
      <c r="B15" s="1" t="inlineStr">
        <is>
          <t>6485908</t>
        </is>
      </c>
      <c r="C15" s="1" t="inlineStr">
        <is>
          <t>587412</t>
        </is>
      </c>
      <c r="D15" t="inlineStr">
        <is>
          <t>работник 14</t>
        </is>
      </c>
      <c r="E15" s="1" t="inlineStr">
        <is>
          <t>ООО "Амур золото". Подразделение: горно-обогатительный комплекс "Юбилейный"</t>
        </is>
      </c>
      <c r="F15" s="1" t="inlineStr">
        <is>
          <t>2708001686</t>
        </is>
      </c>
      <c r="G15" s="1" t="inlineStr">
        <is>
          <t>Начальник автотранспортного цеха</t>
        </is>
      </c>
      <c r="H15" s="1" t="inlineStr">
        <is>
          <t>Автономная некоммерческая организация дополнительного профессионального образования и сертификации "Перспектива"</t>
        </is>
      </c>
      <c r="I15" s="1" t="inlineStr">
        <is>
          <t>2722126782</t>
        </is>
      </c>
      <c r="J15" s="1" t="inlineStr">
        <is>
          <t>ОТ-А 0035-23</t>
        </is>
      </c>
      <c r="K15" s="132" t="inlineStr">
        <is>
          <t>Общие вопросы охраны труда и функционирования системы управления охраной труда</t>
        </is>
      </c>
      <c r="L15" s="1" t="inlineStr">
        <is>
          <t>26.05.2023</t>
        </is>
      </c>
      <c r="M15" s="1" t="inlineStr">
        <is>
          <t>Успешно</t>
        </is>
      </c>
      <c r="N15" s="1" t="inlineStr">
        <is>
          <t>01.06.2023</t>
        </is>
      </c>
      <c r="O15" s="1" t="inlineStr"/>
      <c r="P15" s="1" t="inlineStr"/>
      <c r="Q15" s="1" t="inlineStr">
        <is>
          <t>Пользовательский интерфейс</t>
        </is>
      </c>
      <c r="R15" s="13" t="inlineStr">
        <is>
          <t>Нет отклонения</t>
        </is>
      </c>
      <c r="S15" s="13" t="inlineStr">
        <is>
          <t>ПП РФ № 2464, п. 53 подп. «б»: руководителю структурного подразделения программы 46а и 46б требуются.</t>
        </is>
      </c>
    </row>
    <row r="16">
      <c r="B16" s="1" t="inlineStr">
        <is>
          <t>6485909</t>
        </is>
      </c>
      <c r="C16" s="1" t="inlineStr">
        <is>
          <t>587412</t>
        </is>
      </c>
      <c r="D16" t="inlineStr">
        <is>
          <t>работник 1</t>
        </is>
      </c>
      <c r="E16" s="1" t="inlineStr">
        <is>
          <t>ООО "Амур золото". Подразделение: горно-обогатительный комплекс "Юбилейный"</t>
        </is>
      </c>
      <c r="F16" s="1" t="inlineStr">
        <is>
          <t>2708001686</t>
        </is>
      </c>
      <c r="G16" s="1" t="inlineStr">
        <is>
          <t>Директор</t>
        </is>
      </c>
      <c r="H16" s="1" t="inlineStr">
        <is>
          <t>Автономная некоммерческая организация дополнительного профессионального образования и сертификации "Перспектива"</t>
        </is>
      </c>
      <c r="I16" s="1" t="inlineStr">
        <is>
          <t>2722126782</t>
        </is>
      </c>
      <c r="J16" s="1" t="inlineStr">
        <is>
          <t>ОТ-Б 0033-23</t>
        </is>
      </c>
      <c r="K1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6" s="1" t="inlineStr">
        <is>
          <t>26.05.2023</t>
        </is>
      </c>
      <c r="M16" s="1" t="inlineStr">
        <is>
          <t>Успешно</t>
        </is>
      </c>
      <c r="N16" s="1" t="inlineStr">
        <is>
          <t>01.06.2023</t>
        </is>
      </c>
      <c r="O16" s="1" t="inlineStr"/>
      <c r="P16" s="1" t="inlineStr"/>
      <c r="Q16" s="1" t="inlineStr">
        <is>
          <t>Пользовательский интерфейс</t>
        </is>
      </c>
    </row>
    <row r="17">
      <c r="B17" s="1" t="inlineStr">
        <is>
          <t>6485910</t>
        </is>
      </c>
      <c r="C17" s="1" t="inlineStr">
        <is>
          <t>587412</t>
        </is>
      </c>
      <c r="D17" t="inlineStr">
        <is>
          <t>работник 2</t>
        </is>
      </c>
      <c r="E17" s="1" t="inlineStr">
        <is>
          <t>ООО "Амур золото". Подразделение: горно-обогатительный комплекс "Юбилейный"</t>
        </is>
      </c>
      <c r="F17" s="1" t="inlineStr">
        <is>
          <t>2708001686</t>
        </is>
      </c>
      <c r="G17" s="1" t="inlineStr">
        <is>
          <t>Заместитель директора горно-обогатительного комплекса по производству</t>
        </is>
      </c>
      <c r="H17" s="1" t="inlineStr">
        <is>
          <t>Автономная некоммерческая организация дополнительного профессионального образования и сертификации "Перспектива"</t>
        </is>
      </c>
      <c r="I17" s="1" t="inlineStr">
        <is>
          <t>2722126782</t>
        </is>
      </c>
      <c r="J17" s="1" t="inlineStr">
        <is>
          <t>ОТ-Б 0033-23</t>
        </is>
      </c>
      <c r="K1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7" s="1" t="inlineStr">
        <is>
          <t>26.05.2023</t>
        </is>
      </c>
      <c r="M17" s="1" t="inlineStr">
        <is>
          <t>Успешно</t>
        </is>
      </c>
      <c r="N17" s="1" t="inlineStr">
        <is>
          <t>01.06.2023</t>
        </is>
      </c>
      <c r="O17" s="1" t="inlineStr"/>
      <c r="P17" s="1" t="inlineStr"/>
      <c r="Q17" s="1" t="inlineStr">
        <is>
          <t>Пользовательский интерфейс</t>
        </is>
      </c>
    </row>
    <row r="18">
      <c r="B18" s="1" t="inlineStr">
        <is>
          <t>6485911</t>
        </is>
      </c>
      <c r="C18" s="1" t="inlineStr">
        <is>
          <t>587412</t>
        </is>
      </c>
      <c r="D18" t="inlineStr">
        <is>
          <t>работник 3</t>
        </is>
      </c>
      <c r="E18" s="1" t="inlineStr">
        <is>
          <t>ООО "Амур золото". Подразделение: горно-обогатительный комплекс "Юбилейный"</t>
        </is>
      </c>
      <c r="F18" s="1" t="inlineStr">
        <is>
          <t>2708001686</t>
        </is>
      </c>
      <c r="G18" s="1" t="inlineStr">
        <is>
          <t>Инженер по промышленной безопасности и охране труда</t>
        </is>
      </c>
      <c r="H18" s="1" t="inlineStr">
        <is>
          <t>Автономная некоммерческая организация дополнительного профессионального образования и сертификации "Перспектива"</t>
        </is>
      </c>
      <c r="I18" s="1" t="inlineStr">
        <is>
          <t>2722126782</t>
        </is>
      </c>
      <c r="J18" s="1" t="inlineStr">
        <is>
          <t>ОТ-Б 0033-23</t>
        </is>
      </c>
      <c r="K1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8" s="1" t="inlineStr">
        <is>
          <t>26.05.2023</t>
        </is>
      </c>
      <c r="M18" s="1" t="inlineStr">
        <is>
          <t>Успешно</t>
        </is>
      </c>
      <c r="N18" s="1" t="inlineStr">
        <is>
          <t>01.06.2023</t>
        </is>
      </c>
      <c r="O18" s="1" t="inlineStr"/>
      <c r="P18" s="1" t="inlineStr"/>
      <c r="Q18" s="1" t="inlineStr">
        <is>
          <t>Пользовательский интерфейс</t>
        </is>
      </c>
    </row>
    <row r="19">
      <c r="B19" s="1" t="inlineStr">
        <is>
          <t>6485912</t>
        </is>
      </c>
      <c r="C19" s="1" t="inlineStr">
        <is>
          <t>587412</t>
        </is>
      </c>
      <c r="D19" t="inlineStr">
        <is>
          <t>работник 4</t>
        </is>
      </c>
      <c r="E19" s="1" t="inlineStr">
        <is>
          <t>ООО "Амур золото". Подразделение: горно-обогатительный комплекс "Юбилейный"</t>
        </is>
      </c>
      <c r="F19" s="1" t="inlineStr">
        <is>
          <t>2708001686</t>
        </is>
      </c>
      <c r="G19" s="1" t="inlineStr">
        <is>
          <t>Инженер по промышленной безопасности и охране труда</t>
        </is>
      </c>
      <c r="H19" s="1" t="inlineStr">
        <is>
          <t>Автономная некоммерческая организация дополнительного профессионального образования и сертификации "Перспектива"</t>
        </is>
      </c>
      <c r="I19" s="1" t="inlineStr">
        <is>
          <t>2722126782</t>
        </is>
      </c>
      <c r="J19" s="1" t="inlineStr">
        <is>
          <t>ОТ-Б 0033-23</t>
        </is>
      </c>
      <c r="K1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9" s="1" t="inlineStr">
        <is>
          <t>26.05.2023</t>
        </is>
      </c>
      <c r="M19" s="1" t="inlineStr">
        <is>
          <t>Успешно</t>
        </is>
      </c>
      <c r="N19" s="1" t="inlineStr">
        <is>
          <t>01.06.2023</t>
        </is>
      </c>
      <c r="O19" s="1" t="inlineStr"/>
      <c r="P19" s="1" t="inlineStr"/>
      <c r="Q19" s="1" t="inlineStr">
        <is>
          <t>Пользовательский интерфейс</t>
        </is>
      </c>
    </row>
    <row r="20">
      <c r="B20" s="1" t="inlineStr">
        <is>
          <t>6485913</t>
        </is>
      </c>
      <c r="C20" s="1" t="inlineStr">
        <is>
          <t>587412</t>
        </is>
      </c>
      <c r="D20" t="inlineStr">
        <is>
          <t>работник 5</t>
        </is>
      </c>
      <c r="E20" s="1" t="inlineStr">
        <is>
          <t>ООО "Амур золото". Подразделение: горно-обогатительный комплекс "Юбилейный"</t>
        </is>
      </c>
      <c r="F20" s="1" t="inlineStr">
        <is>
          <t>2708001686</t>
        </is>
      </c>
      <c r="G20" s="1" t="inlineStr">
        <is>
          <t>Механик по ремонту самоходного транспорта</t>
        </is>
      </c>
      <c r="H20" s="1" t="inlineStr">
        <is>
          <t>Автономная некоммерческая организация дополнительного профессионального образования и сертификации "Перспектива"</t>
        </is>
      </c>
      <c r="I20" s="1" t="inlineStr">
        <is>
          <t>2722126782</t>
        </is>
      </c>
      <c r="J20" s="1" t="inlineStr">
        <is>
          <t>ОТ-Б 0033-23</t>
        </is>
      </c>
      <c r="K2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0" s="1" t="inlineStr">
        <is>
          <t>26.05.2023</t>
        </is>
      </c>
      <c r="M20" s="1" t="inlineStr">
        <is>
          <t>Успешно</t>
        </is>
      </c>
      <c r="N20" s="1" t="inlineStr">
        <is>
          <t>01.06.2023</t>
        </is>
      </c>
      <c r="O20" s="1" t="inlineStr"/>
      <c r="P20" s="1" t="inlineStr"/>
      <c r="Q20" s="1" t="inlineStr">
        <is>
          <t>Пользовательский интерфейс</t>
        </is>
      </c>
    </row>
    <row r="21">
      <c r="B21" s="1" t="inlineStr">
        <is>
          <t>6485914</t>
        </is>
      </c>
      <c r="C21" s="1" t="inlineStr">
        <is>
          <t>587412</t>
        </is>
      </c>
      <c r="D21" t="inlineStr">
        <is>
          <t>работник 6</t>
        </is>
      </c>
      <c r="E21" s="1" t="inlineStr">
        <is>
          <t>ООО "Амур золото". Подразделение: горно-обогатительный комплекс "Юбилейный"</t>
        </is>
      </c>
      <c r="F21" s="1" t="inlineStr">
        <is>
          <t>2708001686</t>
        </is>
      </c>
      <c r="G21" s="1" t="inlineStr">
        <is>
          <t>Заместитель начальника участка по буровзрывным работам</t>
        </is>
      </c>
      <c r="H21" s="1" t="inlineStr">
        <is>
          <t>Автономная некоммерческая организация дополнительного профессионального образования и сертификации "Перспектива"</t>
        </is>
      </c>
      <c r="I21" s="1" t="inlineStr">
        <is>
          <t>2722126782</t>
        </is>
      </c>
      <c r="J21" s="1" t="inlineStr">
        <is>
          <t>ОТ-Б 0033-23</t>
        </is>
      </c>
      <c r="K2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1" s="1" t="inlineStr">
        <is>
          <t>26.05.2023</t>
        </is>
      </c>
      <c r="M21" s="1" t="inlineStr">
        <is>
          <t>Успешно</t>
        </is>
      </c>
      <c r="N21" s="1" t="inlineStr">
        <is>
          <t>01.06.2023</t>
        </is>
      </c>
      <c r="O21" s="1" t="inlineStr"/>
      <c r="P21" s="1" t="inlineStr"/>
      <c r="Q21" s="1" t="inlineStr">
        <is>
          <t>Пользовательский интерфейс</t>
        </is>
      </c>
    </row>
    <row r="22">
      <c r="B22" s="1" t="inlineStr">
        <is>
          <t>6485915</t>
        </is>
      </c>
      <c r="C22" s="1" t="inlineStr">
        <is>
          <t>587412</t>
        </is>
      </c>
      <c r="D22" t="inlineStr">
        <is>
          <t>работник 7</t>
        </is>
      </c>
      <c r="E22" s="1" t="inlineStr">
        <is>
          <t>ООО "Амур золото". Подразделение: горно-обогатительный комплекс "Юбилейный"</t>
        </is>
      </c>
      <c r="F22" s="1" t="inlineStr">
        <is>
          <t>2708001686</t>
        </is>
      </c>
      <c r="G22" s="1" t="inlineStr">
        <is>
          <t>Главный технолог</t>
        </is>
      </c>
      <c r="H22" s="1" t="inlineStr">
        <is>
          <t>Автономная некоммерческая организация дополнительного профессионального образования и сертификации "Перспектива"</t>
        </is>
      </c>
      <c r="I22" s="1" t="inlineStr">
        <is>
          <t>2722126782</t>
        </is>
      </c>
      <c r="J22" s="1" t="inlineStr">
        <is>
          <t>ОТ-Б 0033-23</t>
        </is>
      </c>
      <c r="K2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2" s="1" t="inlineStr">
        <is>
          <t>26.05.2023</t>
        </is>
      </c>
      <c r="M22" s="1" t="inlineStr">
        <is>
          <t>Успешно</t>
        </is>
      </c>
      <c r="N22" s="1" t="inlineStr">
        <is>
          <t>01.06.2023</t>
        </is>
      </c>
      <c r="O22" s="1" t="inlineStr"/>
      <c r="P22" s="1" t="inlineStr"/>
      <c r="Q22" s="1" t="inlineStr">
        <is>
          <t>Пользовательский интерфейс</t>
        </is>
      </c>
    </row>
    <row r="23">
      <c r="B23" s="1" t="inlineStr">
        <is>
          <t>6485916</t>
        </is>
      </c>
      <c r="C23" s="1" t="inlineStr">
        <is>
          <t>587412</t>
        </is>
      </c>
      <c r="D23" t="inlineStr">
        <is>
          <t>работник 8</t>
        </is>
      </c>
      <c r="E23" s="1" t="inlineStr">
        <is>
          <t>ООО "Амур золото". Подразделение: горно-обогатительный комплекс "Юбилейный"</t>
        </is>
      </c>
      <c r="F23" s="1" t="inlineStr">
        <is>
          <t>2708001686</t>
        </is>
      </c>
      <c r="G23" s="1" t="inlineStr">
        <is>
          <t>Начальник золотоизвлекательной фабрики</t>
        </is>
      </c>
      <c r="H23" s="1" t="inlineStr">
        <is>
          <t>Автономная некоммерческая организация дополнительного профессионального образования и сертификации "Перспектива"</t>
        </is>
      </c>
      <c r="I23" s="1" t="inlineStr">
        <is>
          <t>2722126782</t>
        </is>
      </c>
      <c r="J23" s="1" t="inlineStr">
        <is>
          <t>ОТ-Б 0033-23</t>
        </is>
      </c>
      <c r="K2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3" s="1" t="inlineStr">
        <is>
          <t>26.05.2023</t>
        </is>
      </c>
      <c r="M23" s="1" t="inlineStr">
        <is>
          <t>Успешно</t>
        </is>
      </c>
      <c r="N23" s="1" t="inlineStr">
        <is>
          <t>01.06.2023</t>
        </is>
      </c>
      <c r="O23" s="1" t="inlineStr"/>
      <c r="P23" s="1" t="inlineStr"/>
      <c r="Q23" s="1" t="inlineStr">
        <is>
          <t>Пользовательский интерфейс</t>
        </is>
      </c>
    </row>
    <row r="24">
      <c r="B24" s="1" t="inlineStr">
        <is>
          <t>6485917</t>
        </is>
      </c>
      <c r="C24" s="1" t="inlineStr">
        <is>
          <t>587412</t>
        </is>
      </c>
      <c r="D24" t="inlineStr">
        <is>
          <t>работник 9</t>
        </is>
      </c>
      <c r="E24" s="1" t="inlineStr">
        <is>
          <t>ООО "Амур золото". Подразделение: горно-обогатительный комплекс "Юбилейный"</t>
        </is>
      </c>
      <c r="F24" s="1" t="inlineStr">
        <is>
          <t>2708001686</t>
        </is>
      </c>
      <c r="G24" s="1" t="inlineStr">
        <is>
          <t>Заместитель начальника золотоизвлекательной фабрики</t>
        </is>
      </c>
      <c r="H24" s="1" t="inlineStr">
        <is>
          <t>Автономная некоммерческая организация дополнительного профессионального образования и сертификации "Перспектива"</t>
        </is>
      </c>
      <c r="I24" s="1" t="inlineStr">
        <is>
          <t>2722126782</t>
        </is>
      </c>
      <c r="J24" s="1" t="inlineStr">
        <is>
          <t>ОТ-Б 0033-23</t>
        </is>
      </c>
      <c r="K2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4" s="1" t="inlineStr">
        <is>
          <t>26.05.2023</t>
        </is>
      </c>
      <c r="M24" s="1" t="inlineStr">
        <is>
          <t>Успешно</t>
        </is>
      </c>
      <c r="N24" s="1" t="inlineStr">
        <is>
          <t>01.06.2023</t>
        </is>
      </c>
      <c r="O24" s="1" t="inlineStr"/>
      <c r="P24" s="1" t="inlineStr"/>
      <c r="Q24" s="1" t="inlineStr">
        <is>
          <t>Пользовательский интерфейс</t>
        </is>
      </c>
    </row>
    <row r="25">
      <c r="B25" s="1" t="inlineStr">
        <is>
          <t>6485918</t>
        </is>
      </c>
      <c r="C25" s="1" t="inlineStr">
        <is>
          <t>587412</t>
        </is>
      </c>
      <c r="D25" t="inlineStr">
        <is>
          <t>работник 10</t>
        </is>
      </c>
      <c r="E25" s="1" t="inlineStr">
        <is>
          <t>ООО "Амур золото". Подразделение: горно-обогатительный комплекс "Юбилейный"</t>
        </is>
      </c>
      <c r="F25" s="1" t="inlineStr">
        <is>
          <t>2708001686</t>
        </is>
      </c>
      <c r="G25" s="1" t="inlineStr">
        <is>
          <t>Главный энергетик</t>
        </is>
      </c>
      <c r="H25" s="1" t="inlineStr">
        <is>
          <t>Автономная некоммерческая организация дополнительного профессионального образования и сертификации "Перспектива"</t>
        </is>
      </c>
      <c r="I25" s="1" t="inlineStr">
        <is>
          <t>2722126782</t>
        </is>
      </c>
      <c r="J25" s="1" t="inlineStr">
        <is>
          <t>ОТ-Б 0033-23</t>
        </is>
      </c>
      <c r="K2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5" s="1" t="inlineStr">
        <is>
          <t>26.05.2023</t>
        </is>
      </c>
      <c r="M25" s="1" t="inlineStr">
        <is>
          <t>Успешно</t>
        </is>
      </c>
      <c r="N25" s="1" t="inlineStr">
        <is>
          <t>01.06.2023</t>
        </is>
      </c>
      <c r="O25" s="1" t="inlineStr"/>
      <c r="P25" s="1" t="inlineStr"/>
      <c r="Q25" s="1" t="inlineStr">
        <is>
          <t>Пользовательский интерфейс</t>
        </is>
      </c>
    </row>
    <row r="26">
      <c r="B26" s="1" t="inlineStr">
        <is>
          <t>6485919</t>
        </is>
      </c>
      <c r="C26" s="1" t="inlineStr">
        <is>
          <t>587412</t>
        </is>
      </c>
      <c r="D26" t="inlineStr">
        <is>
          <t>работник 11</t>
        </is>
      </c>
      <c r="E26" s="1" t="inlineStr">
        <is>
          <t>ООО "Амур золото". Подразделение: горно-обогатительный комплекс "Юбилейный"</t>
        </is>
      </c>
      <c r="F26" s="1" t="inlineStr">
        <is>
          <t>2708001686</t>
        </is>
      </c>
      <c r="G26" s="1" t="inlineStr">
        <is>
          <t>Теплотехник</t>
        </is>
      </c>
      <c r="H26" s="1" t="inlineStr">
        <is>
          <t>Автономная некоммерческая организация дополнительного профессионального образования и сертификации "Перспектива"</t>
        </is>
      </c>
      <c r="I26" s="1" t="inlineStr">
        <is>
          <t>2722126782</t>
        </is>
      </c>
      <c r="J26" s="1" t="inlineStr">
        <is>
          <t>ОТ-Б 0033-23</t>
        </is>
      </c>
      <c r="K2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6" s="1" t="inlineStr">
        <is>
          <t>26.05.2023</t>
        </is>
      </c>
      <c r="M26" s="1" t="inlineStr">
        <is>
          <t>Успешно</t>
        </is>
      </c>
      <c r="N26" s="1" t="inlineStr">
        <is>
          <t>01.06.2023</t>
        </is>
      </c>
      <c r="O26" s="1" t="inlineStr"/>
      <c r="P26" s="1" t="inlineStr"/>
      <c r="Q26" s="1" t="inlineStr">
        <is>
          <t>Пользовательский интерфейс</t>
        </is>
      </c>
    </row>
    <row r="27">
      <c r="B27" s="1" t="inlineStr">
        <is>
          <t>6485920</t>
        </is>
      </c>
      <c r="C27" s="1" t="inlineStr">
        <is>
          <t>587412</t>
        </is>
      </c>
      <c r="D27" t="inlineStr">
        <is>
          <t>работник 12</t>
        </is>
      </c>
      <c r="E27" s="1" t="inlineStr">
        <is>
          <t>ООО "Амур золото". Подразделение: горно-обогатительный комплекс "Юбилейный"</t>
        </is>
      </c>
      <c r="F27" s="1" t="inlineStr">
        <is>
          <t>2708001686</t>
        </is>
      </c>
      <c r="G27" s="1" t="inlineStr">
        <is>
          <t>Электромеханик подземного горного участка</t>
        </is>
      </c>
      <c r="H27" s="1" t="inlineStr">
        <is>
          <t>Автономная некоммерческая организация дополнительного профессионального образования и сертификации "Перспектива"</t>
        </is>
      </c>
      <c r="I27" s="1" t="inlineStr">
        <is>
          <t>2722126782</t>
        </is>
      </c>
      <c r="J27" s="1" t="inlineStr">
        <is>
          <t>ОТ-Б 0033-23</t>
        </is>
      </c>
      <c r="K2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7" s="1" t="inlineStr">
        <is>
          <t>26.05.2023</t>
        </is>
      </c>
      <c r="M27" s="1" t="inlineStr">
        <is>
          <t>Успешно</t>
        </is>
      </c>
      <c r="N27" s="1" t="inlineStr">
        <is>
          <t>01.06.2023</t>
        </is>
      </c>
      <c r="O27" s="1" t="inlineStr"/>
      <c r="P27" s="1" t="inlineStr"/>
      <c r="Q27" s="1" t="inlineStr">
        <is>
          <t>Пользовательский интерфейс</t>
        </is>
      </c>
    </row>
    <row r="28">
      <c r="B28" s="1" t="inlineStr">
        <is>
          <t>6485921</t>
        </is>
      </c>
      <c r="C28" s="1" t="inlineStr">
        <is>
          <t>587412</t>
        </is>
      </c>
      <c r="D28" t="inlineStr">
        <is>
          <t>работник 13</t>
        </is>
      </c>
      <c r="E28" s="1" t="inlineStr">
        <is>
          <t>ООО "Амур золото". Подразделение: горно-обогатительный комплекс "Юбилейный"</t>
        </is>
      </c>
      <c r="F28" s="1" t="inlineStr">
        <is>
          <t>2708001686</t>
        </is>
      </c>
      <c r="G28" s="1" t="inlineStr">
        <is>
          <t>Старший геолог</t>
        </is>
      </c>
      <c r="H28" s="1" t="inlineStr">
        <is>
          <t>Автономная некоммерческая организация дополнительного профессионального образования и сертификации "Перспектива"</t>
        </is>
      </c>
      <c r="I28" s="1" t="inlineStr">
        <is>
          <t>2722126782</t>
        </is>
      </c>
      <c r="J28" s="1" t="inlineStr">
        <is>
          <t>ОТ-Б 0033-23</t>
        </is>
      </c>
      <c r="K2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8" s="1" t="inlineStr">
        <is>
          <t>26.05.2023</t>
        </is>
      </c>
      <c r="M28" s="1" t="inlineStr">
        <is>
          <t>Успешно</t>
        </is>
      </c>
      <c r="N28" s="1" t="inlineStr">
        <is>
          <t>01.06.2023</t>
        </is>
      </c>
      <c r="O28" s="1" t="inlineStr"/>
      <c r="P28" s="1" t="inlineStr"/>
      <c r="Q28" s="1" t="inlineStr">
        <is>
          <t>Пользовательский интерфейс</t>
        </is>
      </c>
    </row>
    <row r="29">
      <c r="B29" s="1" t="inlineStr">
        <is>
          <t>6485922</t>
        </is>
      </c>
      <c r="C29" s="1" t="inlineStr">
        <is>
          <t>587412</t>
        </is>
      </c>
      <c r="D29" t="inlineStr">
        <is>
          <t>работник 14</t>
        </is>
      </c>
      <c r="E29" s="1" t="inlineStr">
        <is>
          <t>ООО "Амур золото". Подразделение: горно-обогатительный комплекс "Юбилейный"</t>
        </is>
      </c>
      <c r="F29" s="1" t="inlineStr">
        <is>
          <t>2708001686</t>
        </is>
      </c>
      <c r="G29" s="1" t="inlineStr">
        <is>
          <t>Начальник автотранспортного цеха</t>
        </is>
      </c>
      <c r="H29" s="1" t="inlineStr">
        <is>
          <t>Автономная некоммерческая организация дополнительного профессионального образования и сертификации "Перспектива"</t>
        </is>
      </c>
      <c r="I29" s="1" t="inlineStr">
        <is>
          <t>2722126782</t>
        </is>
      </c>
      <c r="J29" s="1" t="inlineStr">
        <is>
          <t>ОТ-Б 0033-23</t>
        </is>
      </c>
      <c r="K2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9" s="1" t="inlineStr">
        <is>
          <t>26.05.2023</t>
        </is>
      </c>
      <c r="M29" s="1" t="inlineStr">
        <is>
          <t>Успешно</t>
        </is>
      </c>
      <c r="N29" s="1" t="inlineStr">
        <is>
          <t>01.06.2023</t>
        </is>
      </c>
      <c r="O29" s="1" t="inlineStr"/>
      <c r="P29" s="1" t="inlineStr"/>
      <c r="Q29" s="1" t="inlineStr">
        <is>
          <t>Пользовательский интерфейс</t>
        </is>
      </c>
    </row>
    <row r="30">
      <c r="B30" s="1" t="inlineStr">
        <is>
          <t>6485923</t>
        </is>
      </c>
      <c r="C30" s="1" t="inlineStr">
        <is>
          <t>587412</t>
        </is>
      </c>
      <c r="D30" t="inlineStr">
        <is>
          <t>работник 1</t>
        </is>
      </c>
      <c r="E30" s="1" t="inlineStr">
        <is>
          <t>ООО "Амур золото". Подразделение: горно-обогатительный комплекс "Юбилейный"</t>
        </is>
      </c>
      <c r="F30" s="1" t="inlineStr">
        <is>
          <t>2708001686</t>
        </is>
      </c>
      <c r="G30" s="1" t="inlineStr">
        <is>
          <t>Директор</t>
        </is>
      </c>
      <c r="H30" s="1" t="inlineStr">
        <is>
          <t>Автономная некоммерческая организация дополнительного профессионального образования и сертификации "Перспектива"</t>
        </is>
      </c>
      <c r="I30" s="1" t="inlineStr">
        <is>
          <t>2722126782</t>
        </is>
      </c>
      <c r="J30" s="1" t="inlineStr">
        <is>
          <t>ОТ-ПП 0033-23</t>
        </is>
      </c>
      <c r="K30" s="1" t="inlineStr">
        <is>
          <t>Оказание первой помощи пострадавшим</t>
        </is>
      </c>
      <c r="L30" s="1" t="inlineStr">
        <is>
          <t>26.05.2023</t>
        </is>
      </c>
      <c r="M30" s="1" t="inlineStr">
        <is>
          <t>Успешно</t>
        </is>
      </c>
      <c r="N30" s="1" t="inlineStr">
        <is>
          <t>01.06.2023</t>
        </is>
      </c>
      <c r="O30" s="1" t="inlineStr"/>
      <c r="P30" s="1" t="inlineStr"/>
      <c r="Q30" s="1" t="inlineStr">
        <is>
          <t>Пользовательский интерфейс</t>
        </is>
      </c>
    </row>
    <row r="31">
      <c r="B31" s="1" t="inlineStr">
        <is>
          <t>6485924</t>
        </is>
      </c>
      <c r="C31" s="1" t="inlineStr">
        <is>
          <t>587412</t>
        </is>
      </c>
      <c r="D31" t="inlineStr">
        <is>
          <t>работник 2</t>
        </is>
      </c>
      <c r="E31" s="1" t="inlineStr">
        <is>
          <t>ООО "Амур золото". Подразделение: горно-обогатительный комплекс "Юбилейный"</t>
        </is>
      </c>
      <c r="F31" s="1" t="inlineStr">
        <is>
          <t>2708001686</t>
        </is>
      </c>
      <c r="G31" s="1" t="inlineStr">
        <is>
          <t>Заместитель директора горно-обогатительного комплекса по производству</t>
        </is>
      </c>
      <c r="H31" s="1" t="inlineStr">
        <is>
          <t>Автономная некоммерческая организация дополнительного профессионального образования и сертификации "Перспектива"</t>
        </is>
      </c>
      <c r="I31" s="1" t="inlineStr">
        <is>
          <t>2722126782</t>
        </is>
      </c>
      <c r="J31" s="1" t="inlineStr">
        <is>
          <t>ОТ-ПП 0033-23</t>
        </is>
      </c>
      <c r="K31" s="1" t="inlineStr">
        <is>
          <t>Оказание первой помощи пострадавшим</t>
        </is>
      </c>
      <c r="L31" s="1" t="inlineStr">
        <is>
          <t>26.05.2023</t>
        </is>
      </c>
      <c r="M31" s="1" t="inlineStr">
        <is>
          <t>Успешно</t>
        </is>
      </c>
      <c r="N31" s="1" t="inlineStr">
        <is>
          <t>01.06.2023</t>
        </is>
      </c>
      <c r="O31" s="1" t="inlineStr"/>
      <c r="P31" s="1" t="inlineStr"/>
      <c r="Q31" s="1" t="inlineStr">
        <is>
          <t>Пользовательский интерфейс</t>
        </is>
      </c>
    </row>
    <row r="32">
      <c r="B32" s="1" t="inlineStr">
        <is>
          <t>6485925</t>
        </is>
      </c>
      <c r="C32" s="1" t="inlineStr">
        <is>
          <t>587412</t>
        </is>
      </c>
      <c r="D32" t="inlineStr">
        <is>
          <t>работник 3</t>
        </is>
      </c>
      <c r="E32" s="1" t="inlineStr">
        <is>
          <t>ООО "Амур золото". Подразделение: горно-обогатительный комплекс "Юбилейный"</t>
        </is>
      </c>
      <c r="F32" s="1" t="inlineStr">
        <is>
          <t>2708001686</t>
        </is>
      </c>
      <c r="G32" s="1" t="inlineStr">
        <is>
          <t>Инженер по промышленной безопасности и охране труда</t>
        </is>
      </c>
      <c r="H32" s="1" t="inlineStr">
        <is>
          <t>Автономная некоммерческая организация дополнительного профессионального образования и сертификации "Перспектива"</t>
        </is>
      </c>
      <c r="I32" s="1" t="inlineStr">
        <is>
          <t>2722126782</t>
        </is>
      </c>
      <c r="J32" s="1" t="inlineStr">
        <is>
          <t>ОТ-ПП 0033-23</t>
        </is>
      </c>
      <c r="K32" s="1" t="inlineStr">
        <is>
          <t>Оказание первой помощи пострадавшим</t>
        </is>
      </c>
      <c r="L32" s="1" t="inlineStr">
        <is>
          <t>26.05.2023</t>
        </is>
      </c>
      <c r="M32" s="1" t="inlineStr">
        <is>
          <t>Успешно</t>
        </is>
      </c>
      <c r="N32" s="1" t="inlineStr">
        <is>
          <t>01.06.2023</t>
        </is>
      </c>
      <c r="O32" s="1" t="inlineStr"/>
      <c r="P32" s="1" t="inlineStr"/>
      <c r="Q32" s="1" t="inlineStr">
        <is>
          <t>Пользовательский интерфейс</t>
        </is>
      </c>
    </row>
    <row r="33">
      <c r="B33" s="1" t="inlineStr">
        <is>
          <t>6485926</t>
        </is>
      </c>
      <c r="C33" s="1" t="inlineStr">
        <is>
          <t>587412</t>
        </is>
      </c>
      <c r="D33" t="inlineStr">
        <is>
          <t>работник 4</t>
        </is>
      </c>
      <c r="E33" s="1" t="inlineStr">
        <is>
          <t>ООО "Амур золото". Подразделение: горно-обогатительный комплекс "Юбилейный"</t>
        </is>
      </c>
      <c r="F33" s="1" t="inlineStr">
        <is>
          <t>2708001686</t>
        </is>
      </c>
      <c r="G33" s="1" t="inlineStr">
        <is>
          <t>Инженер по промышленной безопасности и охране труда</t>
        </is>
      </c>
      <c r="H33" s="1" t="inlineStr">
        <is>
          <t>Автономная некоммерческая организация дополнительного профессионального образования и сертификации "Перспектива"</t>
        </is>
      </c>
      <c r="I33" s="1" t="inlineStr">
        <is>
          <t>2722126782</t>
        </is>
      </c>
      <c r="J33" s="1" t="inlineStr">
        <is>
          <t>ОТ-ПП 0033-23</t>
        </is>
      </c>
      <c r="K33" s="1" t="inlineStr">
        <is>
          <t>Оказание первой помощи пострадавшим</t>
        </is>
      </c>
      <c r="L33" s="1" t="inlineStr">
        <is>
          <t>26.05.2023</t>
        </is>
      </c>
      <c r="M33" s="1" t="inlineStr">
        <is>
          <t>Успешно</t>
        </is>
      </c>
      <c r="N33" s="1" t="inlineStr">
        <is>
          <t>01.06.2023</t>
        </is>
      </c>
      <c r="O33" s="1" t="inlineStr"/>
      <c r="P33" s="1" t="inlineStr"/>
      <c r="Q33" s="1" t="inlineStr">
        <is>
          <t>Пользовательский интерфейс</t>
        </is>
      </c>
    </row>
    <row r="34">
      <c r="B34" s="1" t="inlineStr">
        <is>
          <t>6485927</t>
        </is>
      </c>
      <c r="C34" s="1" t="inlineStr">
        <is>
          <t>587412</t>
        </is>
      </c>
      <c r="D34" t="inlineStr">
        <is>
          <t>работник 5</t>
        </is>
      </c>
      <c r="E34" s="1" t="inlineStr">
        <is>
          <t>ООО "Амур золото". Подразделение: горно-обогатительный комплекс "Юбилейный"</t>
        </is>
      </c>
      <c r="F34" s="1" t="inlineStr">
        <is>
          <t>2708001686</t>
        </is>
      </c>
      <c r="G34" s="1" t="inlineStr">
        <is>
          <t>Механик по ремонту самоходного транспорта</t>
        </is>
      </c>
      <c r="H34" s="1" t="inlineStr">
        <is>
          <t>Автономная некоммерческая организация дополнительного профессионального образования и сертификации "Перспектива"</t>
        </is>
      </c>
      <c r="I34" s="1" t="inlineStr">
        <is>
          <t>2722126782</t>
        </is>
      </c>
      <c r="J34" s="1" t="inlineStr">
        <is>
          <t>ОТ-ПП 0033-23</t>
        </is>
      </c>
      <c r="K34" s="1" t="inlineStr">
        <is>
          <t>Оказание первой помощи пострадавшим</t>
        </is>
      </c>
      <c r="L34" s="1" t="inlineStr">
        <is>
          <t>26.05.2023</t>
        </is>
      </c>
      <c r="M34" s="1" t="inlineStr">
        <is>
          <t>Успешно</t>
        </is>
      </c>
      <c r="N34" s="1" t="inlineStr">
        <is>
          <t>01.06.2023</t>
        </is>
      </c>
      <c r="O34" s="1" t="inlineStr"/>
      <c r="P34" s="1" t="inlineStr"/>
      <c r="Q34" s="1" t="inlineStr">
        <is>
          <t>Пользовательский интерфейс</t>
        </is>
      </c>
    </row>
    <row r="35">
      <c r="B35" s="1" t="inlineStr">
        <is>
          <t>6485928</t>
        </is>
      </c>
      <c r="C35" s="1" t="inlineStr">
        <is>
          <t>587412</t>
        </is>
      </c>
      <c r="D35" t="inlineStr">
        <is>
          <t>работник 6</t>
        </is>
      </c>
      <c r="E35" s="1" t="inlineStr">
        <is>
          <t>ООО "Амур золото". Подразделение: горно-обогатительный комплекс "Юбилейный"</t>
        </is>
      </c>
      <c r="F35" s="1" t="inlineStr">
        <is>
          <t>2708001686</t>
        </is>
      </c>
      <c r="G35" s="1" t="inlineStr">
        <is>
          <t>Заместитель начальника участка по буровзрывным работам</t>
        </is>
      </c>
      <c r="H35" s="1" t="inlineStr">
        <is>
          <t>Автономная некоммерческая организация дополнительного профессионального образования и сертификации "Перспектива"</t>
        </is>
      </c>
      <c r="I35" s="1" t="inlineStr">
        <is>
          <t>2722126782</t>
        </is>
      </c>
      <c r="J35" s="1" t="inlineStr">
        <is>
          <t>ОТ-ПП 0033-23</t>
        </is>
      </c>
      <c r="K35" s="1" t="inlineStr">
        <is>
          <t>Оказание первой помощи пострадавшим</t>
        </is>
      </c>
      <c r="L35" s="1" t="inlineStr">
        <is>
          <t>26.05.2023</t>
        </is>
      </c>
      <c r="M35" s="1" t="inlineStr">
        <is>
          <t>Успешно</t>
        </is>
      </c>
      <c r="N35" s="1" t="inlineStr">
        <is>
          <t>01.06.2023</t>
        </is>
      </c>
      <c r="O35" s="1" t="inlineStr"/>
      <c r="P35" s="1" t="inlineStr"/>
      <c r="Q35" s="1" t="inlineStr">
        <is>
          <t>Пользовательский интерфейс</t>
        </is>
      </c>
    </row>
    <row r="36">
      <c r="B36" s="1" t="inlineStr">
        <is>
          <t>6485929</t>
        </is>
      </c>
      <c r="C36" s="1" t="inlineStr">
        <is>
          <t>587412</t>
        </is>
      </c>
      <c r="D36" t="inlineStr">
        <is>
          <t>работник 7</t>
        </is>
      </c>
      <c r="E36" s="1" t="inlineStr">
        <is>
          <t>ООО "Амур золото". Подразделение: горно-обогатительный комплекс "Юбилейный"</t>
        </is>
      </c>
      <c r="F36" s="1" t="inlineStr">
        <is>
          <t>2708001686</t>
        </is>
      </c>
      <c r="G36" s="1" t="inlineStr">
        <is>
          <t>Главный технолог</t>
        </is>
      </c>
      <c r="H36" s="1" t="inlineStr">
        <is>
          <t>Автономная некоммерческая организация дополнительного профессионального образования и сертификации "Перспектива"</t>
        </is>
      </c>
      <c r="I36" s="1" t="inlineStr">
        <is>
          <t>2722126782</t>
        </is>
      </c>
      <c r="J36" s="1" t="inlineStr">
        <is>
          <t>ОТ-ПП 0033-23</t>
        </is>
      </c>
      <c r="K36" s="1" t="inlineStr">
        <is>
          <t>Оказание первой помощи пострадавшим</t>
        </is>
      </c>
      <c r="L36" s="1" t="inlineStr">
        <is>
          <t>26.05.2023</t>
        </is>
      </c>
      <c r="M36" s="1" t="inlineStr">
        <is>
          <t>Успешно</t>
        </is>
      </c>
      <c r="N36" s="1" t="inlineStr">
        <is>
          <t>01.06.2023</t>
        </is>
      </c>
      <c r="O36" s="1" t="inlineStr"/>
      <c r="P36" s="1" t="inlineStr"/>
      <c r="Q36" s="1" t="inlineStr">
        <is>
          <t>Пользовательский интерфейс</t>
        </is>
      </c>
    </row>
    <row r="37">
      <c r="B37" s="1" t="inlineStr">
        <is>
          <t>6485930</t>
        </is>
      </c>
      <c r="C37" s="1" t="inlineStr">
        <is>
          <t>587412</t>
        </is>
      </c>
      <c r="D37" t="inlineStr">
        <is>
          <t>работник 8</t>
        </is>
      </c>
      <c r="E37" s="1" t="inlineStr">
        <is>
          <t>ООО "Амур золото". Подразделение: горно-обогатительный комплекс "Юбилейный"</t>
        </is>
      </c>
      <c r="F37" s="1" t="inlineStr">
        <is>
          <t>2708001686</t>
        </is>
      </c>
      <c r="G37" s="1" t="inlineStr">
        <is>
          <t>Начальник золотоизвлекательной фабрики</t>
        </is>
      </c>
      <c r="H37" s="1" t="inlineStr">
        <is>
          <t>Автономная некоммерческая организация дополнительного профессионального образования и сертификации "Перспектива"</t>
        </is>
      </c>
      <c r="I37" s="1" t="inlineStr">
        <is>
          <t>2722126782</t>
        </is>
      </c>
      <c r="J37" s="1" t="inlineStr">
        <is>
          <t>ОТ-ПП 0033-23</t>
        </is>
      </c>
      <c r="K37" s="1" t="inlineStr">
        <is>
          <t>Оказание первой помощи пострадавшим</t>
        </is>
      </c>
      <c r="L37" s="1" t="inlineStr">
        <is>
          <t>26.05.2023</t>
        </is>
      </c>
      <c r="M37" s="1" t="inlineStr">
        <is>
          <t>Успешно</t>
        </is>
      </c>
      <c r="N37" s="1" t="inlineStr">
        <is>
          <t>01.06.2023</t>
        </is>
      </c>
      <c r="O37" s="1" t="inlineStr"/>
      <c r="P37" s="1" t="inlineStr"/>
      <c r="Q37" s="1" t="inlineStr">
        <is>
          <t>Пользовательский интерфейс</t>
        </is>
      </c>
    </row>
    <row r="38">
      <c r="B38" s="1" t="inlineStr">
        <is>
          <t>6485931</t>
        </is>
      </c>
      <c r="C38" s="1" t="inlineStr">
        <is>
          <t>587412</t>
        </is>
      </c>
      <c r="D38" t="inlineStr">
        <is>
          <t>работник 9</t>
        </is>
      </c>
      <c r="E38" s="1" t="inlineStr">
        <is>
          <t>ООО "Амур золото". Подразделение: горно-обогатительный комплекс "Юбилейный"</t>
        </is>
      </c>
      <c r="F38" s="1" t="inlineStr">
        <is>
          <t>2708001686</t>
        </is>
      </c>
      <c r="G38" s="1" t="inlineStr">
        <is>
          <t>Заместитель начальника золотоизвлекательной фабрики</t>
        </is>
      </c>
      <c r="H38" s="1" t="inlineStr">
        <is>
          <t>Автономная некоммерческая организация дополнительного профессионального образования и сертификации "Перспектива"</t>
        </is>
      </c>
      <c r="I38" s="1" t="inlineStr">
        <is>
          <t>2722126782</t>
        </is>
      </c>
      <c r="J38" s="1" t="inlineStr">
        <is>
          <t>ОТ-ПП 0033-23</t>
        </is>
      </c>
      <c r="K38" s="1" t="inlineStr">
        <is>
          <t>Оказание первой помощи пострадавшим</t>
        </is>
      </c>
      <c r="L38" s="1" t="inlineStr">
        <is>
          <t>26.05.2023</t>
        </is>
      </c>
      <c r="M38" s="1" t="inlineStr">
        <is>
          <t>Успешно</t>
        </is>
      </c>
      <c r="N38" s="1" t="inlineStr">
        <is>
          <t>01.06.2023</t>
        </is>
      </c>
      <c r="O38" s="1" t="inlineStr"/>
      <c r="P38" s="1" t="inlineStr"/>
      <c r="Q38" s="1" t="inlineStr">
        <is>
          <t>Пользовательский интерфейс</t>
        </is>
      </c>
    </row>
    <row r="39">
      <c r="B39" s="1" t="inlineStr">
        <is>
          <t>6485932</t>
        </is>
      </c>
      <c r="C39" s="1" t="inlineStr">
        <is>
          <t>587412</t>
        </is>
      </c>
      <c r="D39" t="inlineStr">
        <is>
          <t>работник 10</t>
        </is>
      </c>
      <c r="E39" s="1" t="inlineStr">
        <is>
          <t>ООО "Амур золото". Подразделение: горно-обогатительный комплекс "Юбилейный"</t>
        </is>
      </c>
      <c r="F39" s="1" t="inlineStr">
        <is>
          <t>2708001686</t>
        </is>
      </c>
      <c r="G39" s="1" t="inlineStr">
        <is>
          <t>Главный энергетик</t>
        </is>
      </c>
      <c r="H39" s="1" t="inlineStr">
        <is>
          <t>Автономная некоммерческая организация дополнительного профессионального образования и сертификации "Перспектива"</t>
        </is>
      </c>
      <c r="I39" s="1" t="inlineStr">
        <is>
          <t>2722126782</t>
        </is>
      </c>
      <c r="J39" s="1" t="inlineStr">
        <is>
          <t>ОТ-ПП 0033-23</t>
        </is>
      </c>
      <c r="K39" s="1" t="inlineStr">
        <is>
          <t>Оказание первой помощи пострадавшим</t>
        </is>
      </c>
      <c r="L39" s="1" t="inlineStr">
        <is>
          <t>26.05.2023</t>
        </is>
      </c>
      <c r="M39" s="1" t="inlineStr">
        <is>
          <t>Успешно</t>
        </is>
      </c>
      <c r="N39" s="1" t="inlineStr">
        <is>
          <t>01.06.2023</t>
        </is>
      </c>
      <c r="O39" s="1" t="inlineStr"/>
      <c r="P39" s="1" t="inlineStr"/>
      <c r="Q39" s="1" t="inlineStr">
        <is>
          <t>Пользовательский интерфейс</t>
        </is>
      </c>
    </row>
    <row r="40">
      <c r="B40" s="1" t="inlineStr">
        <is>
          <t>6485933</t>
        </is>
      </c>
      <c r="C40" s="1" t="inlineStr">
        <is>
          <t>587412</t>
        </is>
      </c>
      <c r="D40" t="inlineStr">
        <is>
          <t>работник 11</t>
        </is>
      </c>
      <c r="E40" s="1" t="inlineStr">
        <is>
          <t>ООО "Амур золото". Подразделение: горно-обогатительный комплекс "Юбилейный"</t>
        </is>
      </c>
      <c r="F40" s="1" t="inlineStr">
        <is>
          <t>2708001686</t>
        </is>
      </c>
      <c r="G40" s="1" t="inlineStr">
        <is>
          <t>Теплотехник</t>
        </is>
      </c>
      <c r="H40" s="1" t="inlineStr">
        <is>
          <t>Автономная некоммерческая организация дополнительного профессионального образования и сертификации "Перспектива"</t>
        </is>
      </c>
      <c r="I40" s="1" t="inlineStr">
        <is>
          <t>2722126782</t>
        </is>
      </c>
      <c r="J40" s="1" t="inlineStr">
        <is>
          <t>ОТ-ПП 0033-23</t>
        </is>
      </c>
      <c r="K40" s="1" t="inlineStr">
        <is>
          <t>Оказание первой помощи пострадавшим</t>
        </is>
      </c>
      <c r="L40" s="1" t="inlineStr">
        <is>
          <t>26.05.2023</t>
        </is>
      </c>
      <c r="M40" s="1" t="inlineStr">
        <is>
          <t>Успешно</t>
        </is>
      </c>
      <c r="N40" s="1" t="inlineStr">
        <is>
          <t>01.06.2023</t>
        </is>
      </c>
      <c r="O40" s="1" t="inlineStr"/>
      <c r="P40" s="1" t="inlineStr"/>
      <c r="Q40" s="1" t="inlineStr">
        <is>
          <t>Пользовательский интерфейс</t>
        </is>
      </c>
    </row>
    <row r="41">
      <c r="B41" s="1" t="inlineStr">
        <is>
          <t>6485934</t>
        </is>
      </c>
      <c r="C41" s="1" t="inlineStr">
        <is>
          <t>587412</t>
        </is>
      </c>
      <c r="D41" t="inlineStr">
        <is>
          <t>работник 12</t>
        </is>
      </c>
      <c r="E41" s="1" t="inlineStr">
        <is>
          <t>ООО "Амур золото". Подразделение: горно-обогатительный комплекс "Юбилейный"</t>
        </is>
      </c>
      <c r="F41" s="1" t="inlineStr">
        <is>
          <t>2708001686</t>
        </is>
      </c>
      <c r="G41" s="1" t="inlineStr">
        <is>
          <t>Электромеханик подземного горного участка</t>
        </is>
      </c>
      <c r="H41" s="1" t="inlineStr">
        <is>
          <t>Автономная некоммерческая организация дополнительного профессионального образования и сертификации "Перспектива"</t>
        </is>
      </c>
      <c r="I41" s="1" t="inlineStr">
        <is>
          <t>2722126782</t>
        </is>
      </c>
      <c r="J41" s="1" t="inlineStr">
        <is>
          <t>ОТ-ПП 0033-23</t>
        </is>
      </c>
      <c r="K41" s="1" t="inlineStr">
        <is>
          <t>Оказание первой помощи пострадавшим</t>
        </is>
      </c>
      <c r="L41" s="1" t="inlineStr">
        <is>
          <t>26.05.2023</t>
        </is>
      </c>
      <c r="M41" s="1" t="inlineStr">
        <is>
          <t>Успешно</t>
        </is>
      </c>
      <c r="N41" s="1" t="inlineStr">
        <is>
          <t>01.06.2023</t>
        </is>
      </c>
      <c r="O41" s="1" t="inlineStr"/>
      <c r="P41" s="1" t="inlineStr"/>
      <c r="Q41" s="1" t="inlineStr">
        <is>
          <t>Пользовательский интерфейс</t>
        </is>
      </c>
    </row>
    <row r="42">
      <c r="B42" s="1" t="inlineStr">
        <is>
          <t>6485935</t>
        </is>
      </c>
      <c r="C42" s="1" t="inlineStr">
        <is>
          <t>587412</t>
        </is>
      </c>
      <c r="D42" t="inlineStr">
        <is>
          <t>работник 13</t>
        </is>
      </c>
      <c r="E42" s="1" t="inlineStr">
        <is>
          <t>ООО "Амур золото". Подразделение: горно-обогатительный комплекс "Юбилейный"</t>
        </is>
      </c>
      <c r="F42" s="1" t="inlineStr">
        <is>
          <t>2708001686</t>
        </is>
      </c>
      <c r="G42" s="1" t="inlineStr">
        <is>
          <t>Старший геолог</t>
        </is>
      </c>
      <c r="H42" s="1" t="inlineStr">
        <is>
          <t>Автономная некоммерческая организация дополнительного профессионального образования и сертификации "Перспектива"</t>
        </is>
      </c>
      <c r="I42" s="1" t="inlineStr">
        <is>
          <t>2722126782</t>
        </is>
      </c>
      <c r="J42" s="1" t="inlineStr">
        <is>
          <t>ОТ-ПП 0033-23</t>
        </is>
      </c>
      <c r="K42" s="1" t="inlineStr">
        <is>
          <t>Оказание первой помощи пострадавшим</t>
        </is>
      </c>
      <c r="L42" s="1" t="inlineStr">
        <is>
          <t>26.05.2023</t>
        </is>
      </c>
      <c r="M42" s="1" t="inlineStr">
        <is>
          <t>Успешно</t>
        </is>
      </c>
      <c r="N42" s="1" t="inlineStr">
        <is>
          <t>01.06.2023</t>
        </is>
      </c>
      <c r="O42" s="1" t="inlineStr"/>
      <c r="P42" s="1" t="inlineStr"/>
      <c r="Q42" s="1" t="inlineStr">
        <is>
          <t>Пользовательский интерфейс</t>
        </is>
      </c>
    </row>
    <row r="43">
      <c r="B43" s="1" t="inlineStr">
        <is>
          <t>6485936</t>
        </is>
      </c>
      <c r="C43" s="1" t="inlineStr">
        <is>
          <t>587412</t>
        </is>
      </c>
      <c r="D43" t="inlineStr">
        <is>
          <t>работник 14</t>
        </is>
      </c>
      <c r="E43" s="1" t="inlineStr">
        <is>
          <t>ООО "Амур золото". Подразделение: горно-обогатительный комплекс "Юбилейный"</t>
        </is>
      </c>
      <c r="F43" s="1" t="inlineStr">
        <is>
          <t>2708001686</t>
        </is>
      </c>
      <c r="G43" s="1" t="inlineStr">
        <is>
          <t>Начальник автотранспортного цеха</t>
        </is>
      </c>
      <c r="H43" s="1" t="inlineStr">
        <is>
          <t>Автономная некоммерческая организация дополнительного профессионального образования и сертификации "Перспектива"</t>
        </is>
      </c>
      <c r="I43" s="1" t="inlineStr">
        <is>
          <t>2722126782</t>
        </is>
      </c>
      <c r="J43" s="1" t="inlineStr">
        <is>
          <t>ОТ-ПП 0033-23</t>
        </is>
      </c>
      <c r="K43" s="1" t="inlineStr">
        <is>
          <t>Оказание первой помощи пострадавшим</t>
        </is>
      </c>
      <c r="L43" s="1" t="inlineStr">
        <is>
          <t>26.05.2023</t>
        </is>
      </c>
      <c r="M43" s="1" t="inlineStr">
        <is>
          <t>Успешно</t>
        </is>
      </c>
      <c r="N43" s="1" t="inlineStr">
        <is>
          <t>01.06.2023</t>
        </is>
      </c>
      <c r="O43" s="1" t="inlineStr"/>
      <c r="P43" s="1" t="inlineStr"/>
      <c r="Q43" s="1" t="inlineStr">
        <is>
          <t>Пользовательский интерфейс</t>
        </is>
      </c>
    </row>
    <row r="44">
      <c r="B44" s="1" t="inlineStr">
        <is>
          <t>6485937</t>
        </is>
      </c>
      <c r="C44" s="1" t="inlineStr">
        <is>
          <t>587412</t>
        </is>
      </c>
      <c r="D44" t="inlineStr">
        <is>
          <t>работник 1</t>
        </is>
      </c>
      <c r="E44" s="1" t="inlineStr">
        <is>
          <t>ООО "Амур золото". Подразделение: горно-обогатительный комплекс "Юбилейный"</t>
        </is>
      </c>
      <c r="F44" s="1" t="inlineStr">
        <is>
          <t>2708001686</t>
        </is>
      </c>
      <c r="G44" s="1" t="inlineStr">
        <is>
          <t>Директор</t>
        </is>
      </c>
      <c r="H44" s="1" t="inlineStr">
        <is>
          <t>Автономная некоммерческая организация дополнительного профессионального образования и сертификации "Перспектива"</t>
        </is>
      </c>
      <c r="I44" s="1" t="inlineStr">
        <is>
          <t>2722126782</t>
        </is>
      </c>
      <c r="J44" s="1" t="inlineStr">
        <is>
          <t>ОТ-Д 0031-23</t>
        </is>
      </c>
      <c r="K44" s="1" t="inlineStr">
        <is>
          <t>Использование (применение) средств индивидуальной защиты</t>
        </is>
      </c>
      <c r="L44" s="1" t="inlineStr">
        <is>
          <t>26.05.2023</t>
        </is>
      </c>
      <c r="M44" s="1" t="inlineStr">
        <is>
          <t>Успешно</t>
        </is>
      </c>
      <c r="N44" s="1" t="inlineStr">
        <is>
          <t>01.06.2023</t>
        </is>
      </c>
      <c r="O44" s="1" t="inlineStr"/>
      <c r="P44" s="1" t="inlineStr"/>
      <c r="Q44" s="1" t="inlineStr">
        <is>
          <t>Пользовательский интерфейс</t>
        </is>
      </c>
    </row>
    <row r="45">
      <c r="B45" s="1" t="inlineStr">
        <is>
          <t>6485938</t>
        </is>
      </c>
      <c r="C45" s="1" t="inlineStr">
        <is>
          <t>587412</t>
        </is>
      </c>
      <c r="D45" t="inlineStr">
        <is>
          <t>работник 2</t>
        </is>
      </c>
      <c r="E45" s="1" t="inlineStr">
        <is>
          <t>ООО "Амур золото". Подразделение: горно-обогатительный комплекс "Юбилейный"</t>
        </is>
      </c>
      <c r="F45" s="1" t="inlineStr">
        <is>
          <t>2708001686</t>
        </is>
      </c>
      <c r="G45" s="1" t="inlineStr">
        <is>
          <t>Заместитель директора горно-обогатительного комплекса по производству</t>
        </is>
      </c>
      <c r="H45" s="1" t="inlineStr">
        <is>
          <t>Автономная некоммерческая организация дополнительного профессионального образования и сертификации "Перспектива"</t>
        </is>
      </c>
      <c r="I45" s="1" t="inlineStr">
        <is>
          <t>2722126782</t>
        </is>
      </c>
      <c r="J45" s="1" t="inlineStr">
        <is>
          <t>ОТ-Д 0031-23</t>
        </is>
      </c>
      <c r="K45" s="1" t="inlineStr">
        <is>
          <t>Использование (применение) средств индивидуальной защиты</t>
        </is>
      </c>
      <c r="L45" s="1" t="inlineStr">
        <is>
          <t>26.05.2023</t>
        </is>
      </c>
      <c r="M45" s="1" t="inlineStr">
        <is>
          <t>Успешно</t>
        </is>
      </c>
      <c r="N45" s="1" t="inlineStr">
        <is>
          <t>01.06.2023</t>
        </is>
      </c>
      <c r="O45" s="1" t="inlineStr"/>
      <c r="P45" s="1" t="inlineStr"/>
      <c r="Q45" s="1" t="inlineStr">
        <is>
          <t>Пользовательский интерфейс</t>
        </is>
      </c>
    </row>
    <row r="46">
      <c r="B46" s="1" t="inlineStr">
        <is>
          <t>6485939</t>
        </is>
      </c>
      <c r="C46" s="1" t="inlineStr">
        <is>
          <t>587412</t>
        </is>
      </c>
      <c r="D46" t="inlineStr">
        <is>
          <t>работник 3</t>
        </is>
      </c>
      <c r="E46" s="1" t="inlineStr">
        <is>
          <t>ООО "Амур золото". Подразделение: горно-обогатительный комплекс "Юбилейный"</t>
        </is>
      </c>
      <c r="F46" s="1" t="inlineStr">
        <is>
          <t>2708001686</t>
        </is>
      </c>
      <c r="G46" s="1" t="inlineStr">
        <is>
          <t>Инженер по промышленной безопасности и охране труда</t>
        </is>
      </c>
      <c r="H46" s="1" t="inlineStr">
        <is>
          <t>Автономная некоммерческая организация дополнительного профессионального образования и сертификации "Перспектива"</t>
        </is>
      </c>
      <c r="I46" s="1" t="inlineStr">
        <is>
          <t>2722126782</t>
        </is>
      </c>
      <c r="J46" s="1" t="inlineStr">
        <is>
          <t>ОТ-Д 0031-23</t>
        </is>
      </c>
      <c r="K46" s="1" t="inlineStr">
        <is>
          <t>Использование (применение) средств индивидуальной защиты</t>
        </is>
      </c>
      <c r="L46" s="1" t="inlineStr">
        <is>
          <t>26.05.2023</t>
        </is>
      </c>
      <c r="M46" s="1" t="inlineStr">
        <is>
          <t>Успешно</t>
        </is>
      </c>
      <c r="N46" s="1" t="inlineStr">
        <is>
          <t>01.06.2023</t>
        </is>
      </c>
      <c r="O46" s="1" t="inlineStr"/>
      <c r="P46" s="1" t="inlineStr"/>
      <c r="Q46" s="1" t="inlineStr">
        <is>
          <t>Пользовательский интерфейс</t>
        </is>
      </c>
    </row>
    <row r="47">
      <c r="B47" s="1" t="inlineStr">
        <is>
          <t>6485940</t>
        </is>
      </c>
      <c r="C47" s="1" t="inlineStr">
        <is>
          <t>587412</t>
        </is>
      </c>
      <c r="D47" t="inlineStr">
        <is>
          <t>работник 4</t>
        </is>
      </c>
      <c r="E47" s="1" t="inlineStr">
        <is>
          <t>ООО "Амур золото". Подразделение: горно-обогатительный комплекс "Юбилейный"</t>
        </is>
      </c>
      <c r="F47" s="1" t="inlineStr">
        <is>
          <t>2708001686</t>
        </is>
      </c>
      <c r="G47" s="1" t="inlineStr">
        <is>
          <t>Инженер по промышленной безопасности и охране труда</t>
        </is>
      </c>
      <c r="H47" s="1" t="inlineStr">
        <is>
          <t>Автономная некоммерческая организация дополнительного профессионального образования и сертификации "Перспектива"</t>
        </is>
      </c>
      <c r="I47" s="1" t="inlineStr">
        <is>
          <t>2722126782</t>
        </is>
      </c>
      <c r="J47" s="1" t="inlineStr">
        <is>
          <t>ОТ-Д 0031-23</t>
        </is>
      </c>
      <c r="K47" s="1" t="inlineStr">
        <is>
          <t>Использование (применение) средств индивидуальной защиты</t>
        </is>
      </c>
      <c r="L47" s="1" t="inlineStr">
        <is>
          <t>26.05.2023</t>
        </is>
      </c>
      <c r="M47" s="1" t="inlineStr">
        <is>
          <t>Успешно</t>
        </is>
      </c>
      <c r="N47" s="1" t="inlineStr">
        <is>
          <t>01.06.2023</t>
        </is>
      </c>
      <c r="O47" s="1" t="inlineStr"/>
      <c r="P47" s="1" t="inlineStr"/>
      <c r="Q47" s="1" t="inlineStr">
        <is>
          <t>Пользовательский интерфейс</t>
        </is>
      </c>
    </row>
    <row r="48">
      <c r="B48" s="1" t="inlineStr">
        <is>
          <t>6485941</t>
        </is>
      </c>
      <c r="C48" s="1" t="inlineStr">
        <is>
          <t>587412</t>
        </is>
      </c>
      <c r="D48" t="inlineStr">
        <is>
          <t>работник 5</t>
        </is>
      </c>
      <c r="E48" s="1" t="inlineStr">
        <is>
          <t>ООО "Амур золото". Подразделение: горно-обогатительный комплекс "Юбилейный"</t>
        </is>
      </c>
      <c r="F48" s="1" t="inlineStr">
        <is>
          <t>2708001686</t>
        </is>
      </c>
      <c r="G48" s="1" t="inlineStr">
        <is>
          <t>Механик по ремонту самоходного транспорта</t>
        </is>
      </c>
      <c r="H48" s="1" t="inlineStr">
        <is>
          <t>Автономная некоммерческая организация дополнительного профессионального образования и сертификации "Перспектива"</t>
        </is>
      </c>
      <c r="I48" s="1" t="inlineStr">
        <is>
          <t>2722126782</t>
        </is>
      </c>
      <c r="J48" s="1" t="inlineStr">
        <is>
          <t>ОТ-Д 0031-23</t>
        </is>
      </c>
      <c r="K48" s="1" t="inlineStr">
        <is>
          <t>Использование (применение) средств индивидуальной защиты</t>
        </is>
      </c>
      <c r="L48" s="1" t="inlineStr">
        <is>
          <t>26.05.2023</t>
        </is>
      </c>
      <c r="M48" s="1" t="inlineStr">
        <is>
          <t>Успешно</t>
        </is>
      </c>
      <c r="N48" s="1" t="inlineStr">
        <is>
          <t>01.06.2023</t>
        </is>
      </c>
      <c r="O48" s="1" t="inlineStr"/>
      <c r="P48" s="1" t="inlineStr"/>
      <c r="Q48" s="1" t="inlineStr">
        <is>
          <t>Пользовательский интерфейс</t>
        </is>
      </c>
    </row>
    <row r="49">
      <c r="B49" s="1" t="inlineStr">
        <is>
          <t>6485942</t>
        </is>
      </c>
      <c r="C49" s="1" t="inlineStr">
        <is>
          <t>587412</t>
        </is>
      </c>
      <c r="D49" t="inlineStr">
        <is>
          <t>работник 6</t>
        </is>
      </c>
      <c r="E49" s="1" t="inlineStr">
        <is>
          <t>ООО "Амур золото". Подразделение: горно-обогатительный комплекс "Юбилейный"</t>
        </is>
      </c>
      <c r="F49" s="1" t="inlineStr">
        <is>
          <t>2708001686</t>
        </is>
      </c>
      <c r="G49" s="1" t="inlineStr">
        <is>
          <t>Заместитель начальника участка по буровзрывным работам</t>
        </is>
      </c>
      <c r="H49" s="1" t="inlineStr">
        <is>
          <t>Автономная некоммерческая организация дополнительного профессионального образования и сертификации "Перспектива"</t>
        </is>
      </c>
      <c r="I49" s="1" t="inlineStr">
        <is>
          <t>2722126782</t>
        </is>
      </c>
      <c r="J49" s="1" t="inlineStr">
        <is>
          <t>ОТ-Д 0031-23</t>
        </is>
      </c>
      <c r="K49" s="1" t="inlineStr">
        <is>
          <t>Использование (применение) средств индивидуальной защиты</t>
        </is>
      </c>
      <c r="L49" s="1" t="inlineStr">
        <is>
          <t>26.05.2023</t>
        </is>
      </c>
      <c r="M49" s="1" t="inlineStr">
        <is>
          <t>Успешно</t>
        </is>
      </c>
      <c r="N49" s="1" t="inlineStr">
        <is>
          <t>01.06.2023</t>
        </is>
      </c>
      <c r="O49" s="1" t="inlineStr"/>
      <c r="P49" s="1" t="inlineStr"/>
      <c r="Q49" s="1" t="inlineStr">
        <is>
          <t>Пользовательский интерфейс</t>
        </is>
      </c>
    </row>
    <row r="50">
      <c r="B50" s="1" t="inlineStr">
        <is>
          <t>6485943</t>
        </is>
      </c>
      <c r="C50" s="1" t="inlineStr">
        <is>
          <t>587412</t>
        </is>
      </c>
      <c r="D50" t="inlineStr">
        <is>
          <t>работник 7</t>
        </is>
      </c>
      <c r="E50" s="1" t="inlineStr">
        <is>
          <t>ООО "Амур золото". Подразделение: горно-обогатительный комплекс "Юбилейный"</t>
        </is>
      </c>
      <c r="F50" s="1" t="inlineStr">
        <is>
          <t>2708001686</t>
        </is>
      </c>
      <c r="G50" s="1" t="inlineStr">
        <is>
          <t>Главный технолог</t>
        </is>
      </c>
      <c r="H50" s="1" t="inlineStr">
        <is>
          <t>Автономная некоммерческая организация дополнительного профессионального образования и сертификации "Перспектива"</t>
        </is>
      </c>
      <c r="I50" s="1" t="inlineStr">
        <is>
          <t>2722126782</t>
        </is>
      </c>
      <c r="J50" s="1" t="inlineStr">
        <is>
          <t>ОТ-Д 0031-23</t>
        </is>
      </c>
      <c r="K50" s="1" t="inlineStr">
        <is>
          <t>Использование (применение) средств индивидуальной защиты</t>
        </is>
      </c>
      <c r="L50" s="1" t="inlineStr">
        <is>
          <t>26.05.2023</t>
        </is>
      </c>
      <c r="M50" s="1" t="inlineStr">
        <is>
          <t>Успешно</t>
        </is>
      </c>
      <c r="N50" s="1" t="inlineStr">
        <is>
          <t>01.06.2023</t>
        </is>
      </c>
      <c r="O50" s="1" t="inlineStr"/>
      <c r="P50" s="1" t="inlineStr"/>
      <c r="Q50" s="1" t="inlineStr">
        <is>
          <t>Пользовательский интерфейс</t>
        </is>
      </c>
    </row>
    <row r="51">
      <c r="B51" s="1" t="inlineStr">
        <is>
          <t>6485944</t>
        </is>
      </c>
      <c r="C51" s="1" t="inlineStr">
        <is>
          <t>587412</t>
        </is>
      </c>
      <c r="D51" t="inlineStr">
        <is>
          <t>работник 8</t>
        </is>
      </c>
      <c r="E51" s="1" t="inlineStr">
        <is>
          <t>ООО "Амур золото". Подразделение: горно-обогатительный комплекс "Юбилейный"</t>
        </is>
      </c>
      <c r="F51" s="1" t="inlineStr">
        <is>
          <t>2708001686</t>
        </is>
      </c>
      <c r="G51" s="1" t="inlineStr">
        <is>
          <t>Начальник золотоизвлекательной фабрики</t>
        </is>
      </c>
      <c r="H51" s="1" t="inlineStr">
        <is>
          <t>Автономная некоммерческая организация дополнительного профессионального образования и сертификации "Перспектива"</t>
        </is>
      </c>
      <c r="I51" s="1" t="inlineStr">
        <is>
          <t>2722126782</t>
        </is>
      </c>
      <c r="J51" s="1" t="inlineStr">
        <is>
          <t>ОТ-Д 0031-23</t>
        </is>
      </c>
      <c r="K51" s="1" t="inlineStr">
        <is>
          <t>Использование (применение) средств индивидуальной защиты</t>
        </is>
      </c>
      <c r="L51" s="1" t="inlineStr">
        <is>
          <t>26.05.2023</t>
        </is>
      </c>
      <c r="M51" s="1" t="inlineStr">
        <is>
          <t>Успешно</t>
        </is>
      </c>
      <c r="N51" s="1" t="inlineStr">
        <is>
          <t>01.06.2023</t>
        </is>
      </c>
      <c r="O51" s="1" t="inlineStr"/>
      <c r="P51" s="1" t="inlineStr"/>
      <c r="Q51" s="1" t="inlineStr">
        <is>
          <t>Пользовательский интерфейс</t>
        </is>
      </c>
    </row>
    <row r="52">
      <c r="B52" s="1" t="inlineStr">
        <is>
          <t>6485945</t>
        </is>
      </c>
      <c r="C52" s="1" t="inlineStr">
        <is>
          <t>587412</t>
        </is>
      </c>
      <c r="D52" t="inlineStr">
        <is>
          <t>работник 9</t>
        </is>
      </c>
      <c r="E52" s="1" t="inlineStr">
        <is>
          <t>ООО "Амур золото". Подразделение: горно-обогатительный комплекс "Юбилейный"</t>
        </is>
      </c>
      <c r="F52" s="1" t="inlineStr">
        <is>
          <t>2708001686</t>
        </is>
      </c>
      <c r="G52" s="1" t="inlineStr">
        <is>
          <t>Заместитель начальника золотоизвлекательной фабрики</t>
        </is>
      </c>
      <c r="H52" s="1" t="inlineStr">
        <is>
          <t>Автономная некоммерческая организация дополнительного профессионального образования и сертификации "Перспектива"</t>
        </is>
      </c>
      <c r="I52" s="1" t="inlineStr">
        <is>
          <t>2722126782</t>
        </is>
      </c>
      <c r="J52" s="1" t="inlineStr">
        <is>
          <t>ОТ-Д 0031-23</t>
        </is>
      </c>
      <c r="K52" s="1" t="inlineStr">
        <is>
          <t>Использование (применение) средств индивидуальной защиты</t>
        </is>
      </c>
      <c r="L52" s="1" t="inlineStr">
        <is>
          <t>26.05.2023</t>
        </is>
      </c>
      <c r="M52" s="1" t="inlineStr">
        <is>
          <t>Успешно</t>
        </is>
      </c>
      <c r="N52" s="1" t="inlineStr">
        <is>
          <t>01.06.2023</t>
        </is>
      </c>
      <c r="O52" s="1" t="inlineStr"/>
      <c r="P52" s="1" t="inlineStr"/>
      <c r="Q52" s="1" t="inlineStr">
        <is>
          <t>Пользовательский интерфейс</t>
        </is>
      </c>
    </row>
    <row r="53">
      <c r="B53" s="1" t="inlineStr">
        <is>
          <t>6485946</t>
        </is>
      </c>
      <c r="C53" s="1" t="inlineStr">
        <is>
          <t>587412</t>
        </is>
      </c>
      <c r="D53" t="inlineStr">
        <is>
          <t>работник 10</t>
        </is>
      </c>
      <c r="E53" s="1" t="inlineStr">
        <is>
          <t>ООО "Амур золото". Подразделение: горно-обогатительный комплекс "Юбилейный"</t>
        </is>
      </c>
      <c r="F53" s="1" t="inlineStr">
        <is>
          <t>2708001686</t>
        </is>
      </c>
      <c r="G53" s="1" t="inlineStr">
        <is>
          <t>Главный энергетик</t>
        </is>
      </c>
      <c r="H53" s="1" t="inlineStr">
        <is>
          <t>Автономная некоммерческая организация дополнительного профессионального образования и сертификации "Перспектива"</t>
        </is>
      </c>
      <c r="I53" s="1" t="inlineStr">
        <is>
          <t>2722126782</t>
        </is>
      </c>
      <c r="J53" s="1" t="inlineStr">
        <is>
          <t>ОТ-Д 0031-23</t>
        </is>
      </c>
      <c r="K53" s="1" t="inlineStr">
        <is>
          <t>Использование (применение) средств индивидуальной защиты</t>
        </is>
      </c>
      <c r="L53" s="1" t="inlineStr">
        <is>
          <t>26.05.2023</t>
        </is>
      </c>
      <c r="M53" s="1" t="inlineStr">
        <is>
          <t>Успешно</t>
        </is>
      </c>
      <c r="N53" s="1" t="inlineStr">
        <is>
          <t>01.06.2023</t>
        </is>
      </c>
      <c r="O53" s="1" t="inlineStr"/>
      <c r="P53" s="1" t="inlineStr"/>
      <c r="Q53" s="1" t="inlineStr">
        <is>
          <t>Пользовательский интерфейс</t>
        </is>
      </c>
    </row>
    <row r="54">
      <c r="B54" s="1" t="inlineStr">
        <is>
          <t>6485947</t>
        </is>
      </c>
      <c r="C54" s="1" t="inlineStr">
        <is>
          <t>587412</t>
        </is>
      </c>
      <c r="D54" t="inlineStr">
        <is>
          <t>работник 11</t>
        </is>
      </c>
      <c r="E54" s="1" t="inlineStr">
        <is>
          <t>ООО "Амур золото". Подразделение: горно-обогатительный комплекс "Юбилейный"</t>
        </is>
      </c>
      <c r="F54" s="1" t="inlineStr">
        <is>
          <t>2708001686</t>
        </is>
      </c>
      <c r="G54" s="1" t="inlineStr">
        <is>
          <t>Теплотехник</t>
        </is>
      </c>
      <c r="H54" s="1" t="inlineStr">
        <is>
          <t>Автономная некоммерческая организация дополнительного профессионального образования и сертификации "Перспектива"</t>
        </is>
      </c>
      <c r="I54" s="1" t="inlineStr">
        <is>
          <t>2722126782</t>
        </is>
      </c>
      <c r="J54" s="1" t="inlineStr">
        <is>
          <t>ОТ-Д 0031-23</t>
        </is>
      </c>
      <c r="K54" s="1" t="inlineStr">
        <is>
          <t>Использование (применение) средств индивидуальной защиты</t>
        </is>
      </c>
      <c r="L54" s="1" t="inlineStr">
        <is>
          <t>26.05.2023</t>
        </is>
      </c>
      <c r="M54" s="1" t="inlineStr">
        <is>
          <t>Успешно</t>
        </is>
      </c>
      <c r="N54" s="1" t="inlineStr">
        <is>
          <t>01.06.2023</t>
        </is>
      </c>
      <c r="O54" s="1" t="inlineStr"/>
      <c r="P54" s="1" t="inlineStr"/>
      <c r="Q54" s="1" t="inlineStr">
        <is>
          <t>Пользовательский интерфейс</t>
        </is>
      </c>
    </row>
    <row r="55">
      <c r="B55" s="1" t="inlineStr">
        <is>
          <t>6485948</t>
        </is>
      </c>
      <c r="C55" s="1" t="inlineStr">
        <is>
          <t>587412</t>
        </is>
      </c>
      <c r="D55" t="inlineStr">
        <is>
          <t>работник 12</t>
        </is>
      </c>
      <c r="E55" s="1" t="inlineStr">
        <is>
          <t>ООО "Амур золото". Подразделение: горно-обогатительный комплекс "Юбилейный"</t>
        </is>
      </c>
      <c r="F55" s="1" t="inlineStr">
        <is>
          <t>2708001686</t>
        </is>
      </c>
      <c r="G55" s="1" t="inlineStr">
        <is>
          <t>Электромеханик подземного горного участка</t>
        </is>
      </c>
      <c r="H55" s="1" t="inlineStr">
        <is>
          <t>Автономная некоммерческая организация дополнительного профессионального образования и сертификации "Перспектива"</t>
        </is>
      </c>
      <c r="I55" s="1" t="inlineStr">
        <is>
          <t>2722126782</t>
        </is>
      </c>
      <c r="J55" s="1" t="inlineStr">
        <is>
          <t>ОТ-Д 0031-23</t>
        </is>
      </c>
      <c r="K55" s="1" t="inlineStr">
        <is>
          <t>Использование (применение) средств индивидуальной защиты</t>
        </is>
      </c>
      <c r="L55" s="1" t="inlineStr">
        <is>
          <t>26.05.2023</t>
        </is>
      </c>
      <c r="M55" s="1" t="inlineStr">
        <is>
          <t>Успешно</t>
        </is>
      </c>
      <c r="N55" s="1" t="inlineStr">
        <is>
          <t>01.06.2023</t>
        </is>
      </c>
      <c r="O55" s="1" t="inlineStr"/>
      <c r="P55" s="1" t="inlineStr"/>
      <c r="Q55" s="1" t="inlineStr">
        <is>
          <t>Пользовательский интерфейс</t>
        </is>
      </c>
    </row>
    <row r="56">
      <c r="B56" s="1" t="inlineStr">
        <is>
          <t>6485949</t>
        </is>
      </c>
      <c r="C56" s="1" t="inlineStr">
        <is>
          <t>587412</t>
        </is>
      </c>
      <c r="D56" t="inlineStr">
        <is>
          <t>работник 13</t>
        </is>
      </c>
      <c r="E56" s="1" t="inlineStr">
        <is>
          <t>ООО "Амур золото". Подразделение: горно-обогатительный комплекс "Юбилейный"</t>
        </is>
      </c>
      <c r="F56" s="1" t="inlineStr">
        <is>
          <t>2708001686</t>
        </is>
      </c>
      <c r="G56" s="1" t="inlineStr">
        <is>
          <t>Старший геолог</t>
        </is>
      </c>
      <c r="H56" s="1" t="inlineStr">
        <is>
          <t>Автономная некоммерческая организация дополнительного профессионального образования и сертификации "Перспектива"</t>
        </is>
      </c>
      <c r="I56" s="1" t="inlineStr">
        <is>
          <t>2722126782</t>
        </is>
      </c>
      <c r="J56" s="1" t="inlineStr">
        <is>
          <t>ОТ-Д 0031-23</t>
        </is>
      </c>
      <c r="K56" s="1" t="inlineStr">
        <is>
          <t>Использование (применение) средств индивидуальной защиты</t>
        </is>
      </c>
      <c r="L56" s="1" t="inlineStr">
        <is>
          <t>26.05.2023</t>
        </is>
      </c>
      <c r="M56" s="1" t="inlineStr">
        <is>
          <t>Успешно</t>
        </is>
      </c>
      <c r="N56" s="1" t="inlineStr">
        <is>
          <t>01.06.2023</t>
        </is>
      </c>
      <c r="O56" s="1" t="inlineStr"/>
      <c r="P56" s="1" t="inlineStr"/>
      <c r="Q56" s="1" t="inlineStr">
        <is>
          <t>Пользовательский интерфейс</t>
        </is>
      </c>
    </row>
    <row r="57">
      <c r="B57" s="1" t="inlineStr">
        <is>
          <t>6485950</t>
        </is>
      </c>
      <c r="C57" s="1" t="inlineStr">
        <is>
          <t>587412</t>
        </is>
      </c>
      <c r="D57" t="inlineStr">
        <is>
          <t>работник 14</t>
        </is>
      </c>
      <c r="E57" s="1" t="inlineStr">
        <is>
          <t>ООО "Амур золото". Подразделение: горно-обогатительный комплекс "Юбилейный"</t>
        </is>
      </c>
      <c r="F57" s="1" t="inlineStr">
        <is>
          <t>2708001686</t>
        </is>
      </c>
      <c r="G57" s="1" t="inlineStr">
        <is>
          <t>Начальник автотранспортного цеха</t>
        </is>
      </c>
      <c r="H57" s="1" t="inlineStr">
        <is>
          <t>Автономная некоммерческая организация дополнительного профессионального образования и сертификации "Перспектива"</t>
        </is>
      </c>
      <c r="I57" s="1" t="inlineStr">
        <is>
          <t>2722126782</t>
        </is>
      </c>
      <c r="J57" s="1" t="inlineStr">
        <is>
          <t>ОТ-Д 0031-23</t>
        </is>
      </c>
      <c r="K57" s="1" t="inlineStr">
        <is>
          <t>Использование (применение) средств индивидуальной защиты</t>
        </is>
      </c>
      <c r="L57" s="1" t="inlineStr">
        <is>
          <t>26.05.2023</t>
        </is>
      </c>
      <c r="M57" s="1" t="inlineStr">
        <is>
          <t>Успешно</t>
        </is>
      </c>
      <c r="N57" s="1" t="inlineStr">
        <is>
          <t>01.06.2023</t>
        </is>
      </c>
      <c r="O57" s="1" t="inlineStr"/>
      <c r="P57" s="1" t="inlineStr"/>
      <c r="Q57" s="1" t="inlineStr">
        <is>
          <t>Пользовательский интерфейс</t>
        </is>
      </c>
    </row>
    <row r="58">
      <c r="B58" s="1" t="inlineStr">
        <is>
          <t>37117254</t>
        </is>
      </c>
      <c r="C58" s="1" t="inlineStr">
        <is>
          <t>2978778</t>
        </is>
      </c>
      <c r="D58" t="inlineStr">
        <is>
          <t>работник 15</t>
        </is>
      </c>
      <c r="E58" s="1" t="inlineStr">
        <is>
          <t>ОБЩЕСТВО С ОГРАНИЧЕННОЙ ОТВЕТСТВЕННОСТЬЮ "АМУР ЗОЛОТО"</t>
        </is>
      </c>
      <c r="F58" s="1" t="inlineStr">
        <is>
          <t>2708001686</t>
        </is>
      </c>
      <c r="G58" s="1" t="inlineStr">
        <is>
          <t>Проходчик (с исполнением обязанностей взрывника)</t>
        </is>
      </c>
      <c r="H58" s="1" t="inlineStr">
        <is>
          <t>ООО "Амур Золото"</t>
        </is>
      </c>
      <c r="I58" s="1" t="inlineStr">
        <is>
          <t>2708001686</t>
        </is>
      </c>
      <c r="J58" s="1" t="inlineStr">
        <is>
          <t>ОТ № ЮГОК ПГР 23-03</t>
        </is>
      </c>
      <c r="K58" s="1" t="inlineStr">
        <is>
          <t>Оказание первой помощи пострадавшим</t>
        </is>
      </c>
      <c r="L58" s="1" t="inlineStr">
        <is>
          <t>24.11.2023</t>
        </is>
      </c>
      <c r="M58" s="1" t="inlineStr">
        <is>
          <t>Успешно</t>
        </is>
      </c>
      <c r="N58" s="1" t="inlineStr">
        <is>
          <t>05.02.2024</t>
        </is>
      </c>
      <c r="O58" s="1" t="inlineStr"/>
      <c r="P58" s="1" t="inlineStr"/>
      <c r="Q58" s="1" t="inlineStr">
        <is>
          <t>Пользовательский интерфейс</t>
        </is>
      </c>
    </row>
    <row r="59">
      <c r="B59" s="1" t="inlineStr">
        <is>
          <t>37117255</t>
        </is>
      </c>
      <c r="C59" s="1" t="inlineStr">
        <is>
          <t>2978778</t>
        </is>
      </c>
      <c r="D59" t="inlineStr">
        <is>
          <t>работник 15</t>
        </is>
      </c>
      <c r="E59" s="1" t="inlineStr">
        <is>
          <t>ОБЩЕСТВО С ОГРАНИЧЕННОЙ ОТВЕТСТВЕННОСТЬЮ "АМУР ЗОЛОТО"</t>
        </is>
      </c>
      <c r="F59" s="1" t="inlineStr">
        <is>
          <t>2708001686</t>
        </is>
      </c>
      <c r="G59" s="1" t="inlineStr">
        <is>
          <t>Проходчик (с исполнением обязанностей взрывника)</t>
        </is>
      </c>
      <c r="H59" s="1" t="inlineStr">
        <is>
          <t>ООО "Амур Золото"</t>
        </is>
      </c>
      <c r="I59" s="1" t="inlineStr">
        <is>
          <t>2708001686</t>
        </is>
      </c>
      <c r="J59" s="1" t="inlineStr">
        <is>
          <t>ОТ № ЮГОК ПГР 23-03</t>
        </is>
      </c>
      <c r="K59" s="1" t="inlineStr">
        <is>
          <t>Использование (применение) средств индивидуальной защиты</t>
        </is>
      </c>
      <c r="L59" s="1" t="inlineStr">
        <is>
          <t>24.11.2023</t>
        </is>
      </c>
      <c r="M59" s="1" t="inlineStr">
        <is>
          <t>Успешно</t>
        </is>
      </c>
      <c r="N59" s="1" t="inlineStr">
        <is>
          <t>05.02.2024</t>
        </is>
      </c>
      <c r="O59" s="1" t="inlineStr"/>
      <c r="P59" s="1" t="inlineStr"/>
      <c r="Q59" s="1" t="inlineStr">
        <is>
          <t>Пользовательский интерфейс</t>
        </is>
      </c>
    </row>
    <row r="60">
      <c r="B60" s="1" t="inlineStr">
        <is>
          <t>37117256</t>
        </is>
      </c>
      <c r="C60" s="1" t="inlineStr">
        <is>
          <t>2978778</t>
        </is>
      </c>
      <c r="D60" t="inlineStr">
        <is>
          <t>работник 15</t>
        </is>
      </c>
      <c r="E60" s="1" t="inlineStr">
        <is>
          <t>ОБЩЕСТВО С ОГРАНИЧЕННОЙ ОТВЕТСТВЕННОСТЬЮ "АМУР ЗОЛОТО"</t>
        </is>
      </c>
      <c r="F60" s="1" t="inlineStr">
        <is>
          <t>2708001686</t>
        </is>
      </c>
      <c r="G60" s="1" t="inlineStr">
        <is>
          <t>Проходчик (с исполнением обязанностей взрывника)</t>
        </is>
      </c>
      <c r="H60" s="1" t="inlineStr">
        <is>
          <t>ООО "Амур Золото"</t>
        </is>
      </c>
      <c r="I60" s="1" t="inlineStr">
        <is>
          <t>2708001686</t>
        </is>
      </c>
      <c r="J60" s="1" t="inlineStr">
        <is>
          <t>ОТ № ЮГОК ПГР 23-03</t>
        </is>
      </c>
      <c r="K6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60" s="1" t="inlineStr">
        <is>
          <t>24.11.2023</t>
        </is>
      </c>
      <c r="M60" s="1" t="inlineStr">
        <is>
          <t>Успешно</t>
        </is>
      </c>
      <c r="N60" s="1" t="inlineStr">
        <is>
          <t>05.02.2024</t>
        </is>
      </c>
      <c r="O60" s="1" t="inlineStr"/>
      <c r="P60" s="1" t="inlineStr"/>
      <c r="Q60" s="1" t="inlineStr">
        <is>
          <t>Пользовательский интерфейс</t>
        </is>
      </c>
    </row>
    <row r="61">
      <c r="B61" s="1" t="inlineStr">
        <is>
          <t>37117257</t>
        </is>
      </c>
      <c r="C61" s="1" t="inlineStr">
        <is>
          <t>2978778</t>
        </is>
      </c>
      <c r="D61" t="inlineStr">
        <is>
          <t>работник 16</t>
        </is>
      </c>
      <c r="E61" s="1" t="inlineStr">
        <is>
          <t>ОБЩЕСТВО С ОГРАНИЧЕННОЙ ОТВЕТСТВЕННОСТЬЮ "АМУР ЗОЛОТО"</t>
        </is>
      </c>
      <c r="F61" s="1" t="inlineStr">
        <is>
          <t>2708001686</t>
        </is>
      </c>
      <c r="G61" s="1" t="inlineStr">
        <is>
          <t>Машинист буровой установки (НКР)</t>
        </is>
      </c>
      <c r="H61" s="1" t="inlineStr">
        <is>
          <t>ООО "Амур Золото"</t>
        </is>
      </c>
      <c r="I61" s="1" t="inlineStr">
        <is>
          <t>2708001686</t>
        </is>
      </c>
      <c r="J61" s="1" t="inlineStr">
        <is>
          <t>ОТ № ЮГОК ПГР 23-03</t>
        </is>
      </c>
      <c r="K61" s="1" t="inlineStr">
        <is>
          <t>Оказание первой помощи пострадавшим</t>
        </is>
      </c>
      <c r="L61" s="1" t="inlineStr">
        <is>
          <t>24.11.2023</t>
        </is>
      </c>
      <c r="M61" s="1" t="inlineStr">
        <is>
          <t>Успешно</t>
        </is>
      </c>
      <c r="N61" s="1" t="inlineStr">
        <is>
          <t>05.02.2024</t>
        </is>
      </c>
      <c r="O61" s="1" t="inlineStr"/>
      <c r="P61" s="1" t="inlineStr"/>
      <c r="Q61" s="1" t="inlineStr">
        <is>
          <t>Пользовательский интерфейс</t>
        </is>
      </c>
    </row>
    <row r="62">
      <c r="B62" s="1" t="inlineStr">
        <is>
          <t>37117258</t>
        </is>
      </c>
      <c r="C62" s="1" t="inlineStr">
        <is>
          <t>2978778</t>
        </is>
      </c>
      <c r="D62" t="inlineStr">
        <is>
          <t>работник 16</t>
        </is>
      </c>
      <c r="E62" s="1" t="inlineStr">
        <is>
          <t>ОБЩЕСТВО С ОГРАНИЧЕННОЙ ОТВЕТСТВЕННОСТЬЮ "АМУР ЗОЛОТО"</t>
        </is>
      </c>
      <c r="F62" s="1" t="inlineStr">
        <is>
          <t>2708001686</t>
        </is>
      </c>
      <c r="G62" s="1" t="inlineStr">
        <is>
          <t>Машинист буровой установки (НКР)</t>
        </is>
      </c>
      <c r="H62" s="1" t="inlineStr">
        <is>
          <t>ООО "Амур Золото"</t>
        </is>
      </c>
      <c r="I62" s="1" t="inlineStr">
        <is>
          <t>2708001686</t>
        </is>
      </c>
      <c r="J62" s="1" t="inlineStr">
        <is>
          <t>ОТ № ЮГОК ПГР 23-03</t>
        </is>
      </c>
      <c r="K62" s="1" t="inlineStr">
        <is>
          <t>Использование (применение) средств индивидуальной защиты</t>
        </is>
      </c>
      <c r="L62" s="1" t="inlineStr">
        <is>
          <t>24.11.2023</t>
        </is>
      </c>
      <c r="M62" s="1" t="inlineStr">
        <is>
          <t>Успешно</t>
        </is>
      </c>
      <c r="N62" s="1" t="inlineStr">
        <is>
          <t>05.02.2024</t>
        </is>
      </c>
      <c r="O62" s="1" t="inlineStr"/>
      <c r="P62" s="1" t="inlineStr"/>
      <c r="Q62" s="1" t="inlineStr">
        <is>
          <t>Пользовательский интерфейс</t>
        </is>
      </c>
    </row>
    <row r="63">
      <c r="B63" s="1" t="inlineStr">
        <is>
          <t>37117259</t>
        </is>
      </c>
      <c r="C63" s="1" t="inlineStr">
        <is>
          <t>2978778</t>
        </is>
      </c>
      <c r="D63" t="inlineStr">
        <is>
          <t>работник 16</t>
        </is>
      </c>
      <c r="E63" s="1" t="inlineStr">
        <is>
          <t>ОБЩЕСТВО С ОГРАНИЧЕННОЙ ОТВЕТСТВЕННОСТЬЮ "АМУР ЗОЛОТО"</t>
        </is>
      </c>
      <c r="F63" s="1" t="inlineStr">
        <is>
          <t>2708001686</t>
        </is>
      </c>
      <c r="G63" s="1" t="inlineStr">
        <is>
          <t>Машинист буровой установки (НКР)</t>
        </is>
      </c>
      <c r="H63" s="1" t="inlineStr">
        <is>
          <t>ООО "Амур Золото"</t>
        </is>
      </c>
      <c r="I63" s="1" t="inlineStr">
        <is>
          <t>2708001686</t>
        </is>
      </c>
      <c r="J63" s="1" t="inlineStr">
        <is>
          <t>ОТ № ЮГОК ПГР 23-03</t>
        </is>
      </c>
      <c r="K6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63" s="1" t="inlineStr">
        <is>
          <t>24.11.2023</t>
        </is>
      </c>
      <c r="M63" s="1" t="inlineStr">
        <is>
          <t>Успешно</t>
        </is>
      </c>
      <c r="N63" s="1" t="inlineStr">
        <is>
          <t>05.02.2024</t>
        </is>
      </c>
      <c r="O63" s="1" t="inlineStr"/>
      <c r="P63" s="1" t="inlineStr"/>
      <c r="Q63" s="1" t="inlineStr">
        <is>
          <t>Пользовательский интерфейс</t>
        </is>
      </c>
    </row>
    <row r="64">
      <c r="B64" s="1" t="inlineStr">
        <is>
          <t>37117260</t>
        </is>
      </c>
      <c r="C64" s="1" t="inlineStr">
        <is>
          <t>2978778</t>
        </is>
      </c>
      <c r="D64" t="inlineStr">
        <is>
          <t>работник 17</t>
        </is>
      </c>
      <c r="E64" s="1" t="inlineStr">
        <is>
          <t>ОБЩЕСТВО С ОГРАНИЧЕННОЙ ОТВЕТСТВЕННОСТЬЮ "АМУР ЗОЛОТО"</t>
        </is>
      </c>
      <c r="F64" s="1" t="inlineStr">
        <is>
          <t>2708001686</t>
        </is>
      </c>
      <c r="G64" s="1" t="inlineStr">
        <is>
          <t>Проходчик (с исполнением обязанностей взрывника)</t>
        </is>
      </c>
      <c r="H64" s="1" t="inlineStr">
        <is>
          <t>ООО "Амур Золото"</t>
        </is>
      </c>
      <c r="I64" s="1" t="inlineStr">
        <is>
          <t>2708001686</t>
        </is>
      </c>
      <c r="J64" s="1" t="inlineStr">
        <is>
          <t>ОТ № ЮГОК ПГР 23-03</t>
        </is>
      </c>
      <c r="K64" s="1" t="inlineStr">
        <is>
          <t>Оказание первой помощи пострадавшим</t>
        </is>
      </c>
      <c r="L64" s="1" t="inlineStr">
        <is>
          <t>24.11.2023</t>
        </is>
      </c>
      <c r="M64" s="1" t="inlineStr">
        <is>
          <t>Успешно</t>
        </is>
      </c>
      <c r="N64" s="1" t="inlineStr">
        <is>
          <t>05.02.2024</t>
        </is>
      </c>
      <c r="O64" s="1" t="inlineStr"/>
      <c r="P64" s="1" t="inlineStr"/>
      <c r="Q64" s="1" t="inlineStr">
        <is>
          <t>Пользовательский интерфейс</t>
        </is>
      </c>
    </row>
    <row r="65">
      <c r="B65" s="1" t="inlineStr">
        <is>
          <t>37117261</t>
        </is>
      </c>
      <c r="C65" s="1" t="inlineStr">
        <is>
          <t>2978778</t>
        </is>
      </c>
      <c r="D65" t="inlineStr">
        <is>
          <t>работник 17</t>
        </is>
      </c>
      <c r="E65" s="1" t="inlineStr">
        <is>
          <t>ОБЩЕСТВО С ОГРАНИЧЕННОЙ ОТВЕТСТВЕННОСТЬЮ "АМУР ЗОЛОТО"</t>
        </is>
      </c>
      <c r="F65" s="1" t="inlineStr">
        <is>
          <t>2708001686</t>
        </is>
      </c>
      <c r="G65" s="1" t="inlineStr">
        <is>
          <t>Проходчик (с исполнением обязанностей взрывника)</t>
        </is>
      </c>
      <c r="H65" s="1" t="inlineStr">
        <is>
          <t>ООО "Амур Золото"</t>
        </is>
      </c>
      <c r="I65" s="1" t="inlineStr">
        <is>
          <t>2708001686</t>
        </is>
      </c>
      <c r="J65" s="1" t="inlineStr">
        <is>
          <t>ОТ № ЮГОК ПГР 23-03</t>
        </is>
      </c>
      <c r="K65" s="1" t="inlineStr">
        <is>
          <t>Использование (применение) средств индивидуальной защиты</t>
        </is>
      </c>
      <c r="L65" s="1" t="inlineStr">
        <is>
          <t>24.11.2023</t>
        </is>
      </c>
      <c r="M65" s="1" t="inlineStr">
        <is>
          <t>Успешно</t>
        </is>
      </c>
      <c r="N65" s="1" t="inlineStr">
        <is>
          <t>05.02.2024</t>
        </is>
      </c>
      <c r="O65" s="1" t="inlineStr"/>
      <c r="P65" s="1" t="inlineStr"/>
      <c r="Q65" s="1" t="inlineStr">
        <is>
          <t>Пользовательский интерфейс</t>
        </is>
      </c>
    </row>
    <row r="66">
      <c r="B66" s="1" t="inlineStr">
        <is>
          <t>37117262</t>
        </is>
      </c>
      <c r="C66" s="1" t="inlineStr">
        <is>
          <t>2978778</t>
        </is>
      </c>
      <c r="D66" t="inlineStr">
        <is>
          <t>работник 17</t>
        </is>
      </c>
      <c r="E66" s="1" t="inlineStr">
        <is>
          <t>ОБЩЕСТВО С ОГРАНИЧЕННОЙ ОТВЕТСТВЕННОСТЬЮ "АМУР ЗОЛОТО"</t>
        </is>
      </c>
      <c r="F66" s="1" t="inlineStr">
        <is>
          <t>2708001686</t>
        </is>
      </c>
      <c r="G66" s="1" t="inlineStr">
        <is>
          <t>Проходчик (с исполнением обязанностей взрывника)</t>
        </is>
      </c>
      <c r="H66" s="1" t="inlineStr">
        <is>
          <t>ООО "Амур Золото"</t>
        </is>
      </c>
      <c r="I66" s="1" t="inlineStr">
        <is>
          <t>2708001686</t>
        </is>
      </c>
      <c r="J66" s="1" t="inlineStr">
        <is>
          <t>ОТ № ЮГОК ПГР 23-03</t>
        </is>
      </c>
      <c r="K6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66" s="1" t="inlineStr">
        <is>
          <t>24.11.2023</t>
        </is>
      </c>
      <c r="M66" s="1" t="inlineStr">
        <is>
          <t>Успешно</t>
        </is>
      </c>
      <c r="N66" s="1" t="inlineStr">
        <is>
          <t>05.02.2024</t>
        </is>
      </c>
      <c r="O66" s="1" t="inlineStr"/>
      <c r="P66" s="1" t="inlineStr"/>
      <c r="Q66" s="1" t="inlineStr">
        <is>
          <t>Пользовательский интерфейс</t>
        </is>
      </c>
    </row>
    <row r="67">
      <c r="B67" s="1" t="inlineStr">
        <is>
          <t>37117263</t>
        </is>
      </c>
      <c r="C67" s="1" t="inlineStr">
        <is>
          <t>2978778</t>
        </is>
      </c>
      <c r="D67" t="inlineStr">
        <is>
          <t>работник 18</t>
        </is>
      </c>
      <c r="E67" s="1" t="inlineStr">
        <is>
          <t>ОБЩЕСТВО С ОГРАНИЧЕННОЙ ОТВЕТСТВЕННОСТЬЮ "АМУР ЗОЛОТО"</t>
        </is>
      </c>
      <c r="F67" s="1" t="inlineStr">
        <is>
          <t>2708001686</t>
        </is>
      </c>
      <c r="G67" s="1" t="inlineStr">
        <is>
          <t>Машинист буровой установки (НКР)</t>
        </is>
      </c>
      <c r="H67" s="1" t="inlineStr">
        <is>
          <t>ООО "Амур Золото"</t>
        </is>
      </c>
      <c r="I67" s="1" t="inlineStr">
        <is>
          <t>2708001686</t>
        </is>
      </c>
      <c r="J67" s="1" t="inlineStr">
        <is>
          <t>ОТ № ЮГОК ПГР 23-03</t>
        </is>
      </c>
      <c r="K67" s="1" t="inlineStr">
        <is>
          <t>Оказание первой помощи пострадавшим</t>
        </is>
      </c>
      <c r="L67" s="1" t="inlineStr">
        <is>
          <t>24.11.2023</t>
        </is>
      </c>
      <c r="M67" s="1" t="inlineStr">
        <is>
          <t>Успешно</t>
        </is>
      </c>
      <c r="N67" s="1" t="inlineStr">
        <is>
          <t>05.02.2024</t>
        </is>
      </c>
      <c r="O67" s="1" t="inlineStr"/>
      <c r="P67" s="1" t="inlineStr"/>
      <c r="Q67" s="1" t="inlineStr">
        <is>
          <t>Пользовательский интерфейс</t>
        </is>
      </c>
    </row>
    <row r="68">
      <c r="B68" s="1" t="inlineStr">
        <is>
          <t>37117264</t>
        </is>
      </c>
      <c r="C68" s="1" t="inlineStr">
        <is>
          <t>2978778</t>
        </is>
      </c>
      <c r="D68" t="inlineStr">
        <is>
          <t>работник 18</t>
        </is>
      </c>
      <c r="E68" s="1" t="inlineStr">
        <is>
          <t>ОБЩЕСТВО С ОГРАНИЧЕННОЙ ОТВЕТСТВЕННОСТЬЮ "АМУР ЗОЛОТО"</t>
        </is>
      </c>
      <c r="F68" s="1" t="inlineStr">
        <is>
          <t>2708001686</t>
        </is>
      </c>
      <c r="G68" s="1" t="inlineStr">
        <is>
          <t>Машинист буровой установки (НКР)</t>
        </is>
      </c>
      <c r="H68" s="1" t="inlineStr">
        <is>
          <t>ООО "Амур Золото"</t>
        </is>
      </c>
      <c r="I68" s="1" t="inlineStr">
        <is>
          <t>2708001686</t>
        </is>
      </c>
      <c r="J68" s="1" t="inlineStr">
        <is>
          <t>ОТ № ЮГОК ПГР 23-03</t>
        </is>
      </c>
      <c r="K68" s="1" t="inlineStr">
        <is>
          <t>Использование (применение) средств индивидуальной защиты</t>
        </is>
      </c>
      <c r="L68" s="1" t="inlineStr">
        <is>
          <t>24.11.2023</t>
        </is>
      </c>
      <c r="M68" s="1" t="inlineStr">
        <is>
          <t>Успешно</t>
        </is>
      </c>
      <c r="N68" s="1" t="inlineStr">
        <is>
          <t>05.02.2024</t>
        </is>
      </c>
      <c r="O68" s="1" t="inlineStr"/>
      <c r="P68" s="1" t="inlineStr"/>
      <c r="Q68" s="1" t="inlineStr">
        <is>
          <t>Пользовательский интерфейс</t>
        </is>
      </c>
    </row>
    <row r="69">
      <c r="B69" s="1" t="inlineStr">
        <is>
          <t>37117265</t>
        </is>
      </c>
      <c r="C69" s="1" t="inlineStr">
        <is>
          <t>2978778</t>
        </is>
      </c>
      <c r="D69" t="inlineStr">
        <is>
          <t>работник 18</t>
        </is>
      </c>
      <c r="E69" s="1" t="inlineStr">
        <is>
          <t>ОБЩЕСТВО С ОГРАНИЧЕННОЙ ОТВЕТСТВЕННОСТЬЮ "АМУР ЗОЛОТО"</t>
        </is>
      </c>
      <c r="F69" s="1" t="inlineStr">
        <is>
          <t>2708001686</t>
        </is>
      </c>
      <c r="G69" s="1" t="inlineStr">
        <is>
          <t>Машинист буровой установки (НКР)</t>
        </is>
      </c>
      <c r="H69" s="1" t="inlineStr">
        <is>
          <t>ООО "Амур Золото"</t>
        </is>
      </c>
      <c r="I69" s="1" t="inlineStr">
        <is>
          <t>2708001686</t>
        </is>
      </c>
      <c r="J69" s="1" t="inlineStr">
        <is>
          <t>ОТ № ЮГОК ПГР 23-03</t>
        </is>
      </c>
      <c r="K6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69" s="1" t="inlineStr">
        <is>
          <t>24.11.2023</t>
        </is>
      </c>
      <c r="M69" s="1" t="inlineStr">
        <is>
          <t>Успешно</t>
        </is>
      </c>
      <c r="N69" s="1" t="inlineStr">
        <is>
          <t>05.02.2024</t>
        </is>
      </c>
      <c r="O69" s="1" t="inlineStr"/>
      <c r="P69" s="1" t="inlineStr"/>
      <c r="Q69" s="1" t="inlineStr">
        <is>
          <t>Пользовательский интерфейс</t>
        </is>
      </c>
    </row>
    <row r="70">
      <c r="B70" s="1" t="inlineStr">
        <is>
          <t>37117266</t>
        </is>
      </c>
      <c r="C70" s="1" t="inlineStr">
        <is>
          <t>2978778</t>
        </is>
      </c>
      <c r="D70" t="inlineStr">
        <is>
          <t>работник 19</t>
        </is>
      </c>
      <c r="E70" s="1" t="inlineStr">
        <is>
          <t>ОБЩЕСТВО С ОГРАНИЧЕННОЙ ОТВЕТСТВЕННОСТЬЮ "АМУР ЗОЛОТО"</t>
        </is>
      </c>
      <c r="F70" s="1" t="inlineStr">
        <is>
          <t>2708001686</t>
        </is>
      </c>
      <c r="G70" s="1" t="inlineStr">
        <is>
          <t>Водитель автомобиля (категория D)</t>
        </is>
      </c>
      <c r="H70" s="1" t="inlineStr">
        <is>
          <t>ООО "Амур Золото"</t>
        </is>
      </c>
      <c r="I70" s="1" t="inlineStr">
        <is>
          <t>2708001686</t>
        </is>
      </c>
      <c r="J70" s="1" t="inlineStr">
        <is>
          <t>ОТ № ЮГОК АТЦ 23-01</t>
        </is>
      </c>
      <c r="K70" s="1" t="inlineStr">
        <is>
          <t>Оказание первой помощи пострадавшим</t>
        </is>
      </c>
      <c r="L70" s="1" t="inlineStr">
        <is>
          <t>05.07.2023</t>
        </is>
      </c>
      <c r="M70" s="1" t="inlineStr">
        <is>
          <t>Успешно</t>
        </is>
      </c>
      <c r="N70" s="1" t="inlineStr">
        <is>
          <t>05.02.2024</t>
        </is>
      </c>
      <c r="O70" s="1" t="inlineStr"/>
      <c r="P70" s="1" t="inlineStr"/>
      <c r="Q70" s="1" t="inlineStr">
        <is>
          <t>Пользовательский интерфейс</t>
        </is>
      </c>
    </row>
    <row r="71">
      <c r="B71" s="1" t="inlineStr">
        <is>
          <t>37117267</t>
        </is>
      </c>
      <c r="C71" s="1" t="inlineStr">
        <is>
          <t>2978778</t>
        </is>
      </c>
      <c r="D71" t="inlineStr">
        <is>
          <t>работник 19</t>
        </is>
      </c>
      <c r="E71" s="1" t="inlineStr">
        <is>
          <t>ОБЩЕСТВО С ОГРАНИЧЕННОЙ ОТВЕТСТВЕННОСТЬЮ "АМУР ЗОЛОТО"</t>
        </is>
      </c>
      <c r="F71" s="1" t="inlineStr">
        <is>
          <t>2708001686</t>
        </is>
      </c>
      <c r="G71" s="1" t="inlineStr">
        <is>
          <t>Водитель автомобиля (категория D)</t>
        </is>
      </c>
      <c r="H71" s="1" t="inlineStr">
        <is>
          <t>ООО "Амур Золото"</t>
        </is>
      </c>
      <c r="I71" s="1" t="inlineStr">
        <is>
          <t>2708001686</t>
        </is>
      </c>
      <c r="J71" s="1" t="inlineStr">
        <is>
          <t>ОТ № ЮГОК АТЦ 23-01</t>
        </is>
      </c>
      <c r="K71" s="1" t="inlineStr">
        <is>
          <t>Использование (применение) средств индивидуальной защиты</t>
        </is>
      </c>
      <c r="L71" s="1" t="inlineStr">
        <is>
          <t>05.07.2023</t>
        </is>
      </c>
      <c r="M71" s="1" t="inlineStr">
        <is>
          <t>Успешно</t>
        </is>
      </c>
      <c r="N71" s="1" t="inlineStr">
        <is>
          <t>05.02.2024</t>
        </is>
      </c>
      <c r="O71" s="1" t="inlineStr"/>
      <c r="P71" s="1" t="inlineStr"/>
      <c r="Q71" s="1" t="inlineStr">
        <is>
          <t>Пользовательский интерфейс</t>
        </is>
      </c>
    </row>
    <row r="72">
      <c r="B72" s="1" t="inlineStr">
        <is>
          <t>37117268</t>
        </is>
      </c>
      <c r="C72" s="1" t="inlineStr">
        <is>
          <t>2978778</t>
        </is>
      </c>
      <c r="D72" t="inlineStr">
        <is>
          <t>работник 19</t>
        </is>
      </c>
      <c r="E72" s="1" t="inlineStr">
        <is>
          <t>ОБЩЕСТВО С ОГРАНИЧЕННОЙ ОТВЕТСТВЕННОСТЬЮ "АМУР ЗОЛОТО"</t>
        </is>
      </c>
      <c r="F72" s="1" t="inlineStr">
        <is>
          <t>2708001686</t>
        </is>
      </c>
      <c r="G72" s="1" t="inlineStr">
        <is>
          <t>Водитель автомобиля (категория D)</t>
        </is>
      </c>
      <c r="H72" s="1" t="inlineStr">
        <is>
          <t>ООО "Амур Золото"</t>
        </is>
      </c>
      <c r="I72" s="1" t="inlineStr">
        <is>
          <t>2708001686</t>
        </is>
      </c>
      <c r="J72" s="1" t="inlineStr">
        <is>
          <t>ОТ № ЮГОК АТЦ 23-01</t>
        </is>
      </c>
      <c r="K7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72" s="1" t="inlineStr">
        <is>
          <t>05.07.2023</t>
        </is>
      </c>
      <c r="M72" s="1" t="inlineStr">
        <is>
          <t>Успешно</t>
        </is>
      </c>
      <c r="N72" s="1" t="inlineStr">
        <is>
          <t>05.02.2024</t>
        </is>
      </c>
      <c r="O72" s="1" t="inlineStr"/>
      <c r="P72" s="1" t="inlineStr"/>
      <c r="Q72" s="1" t="inlineStr">
        <is>
          <t>Пользовательский интерфейс</t>
        </is>
      </c>
    </row>
    <row r="73">
      <c r="B73" s="1" t="inlineStr">
        <is>
          <t>37117269</t>
        </is>
      </c>
      <c r="C73" s="1" t="inlineStr">
        <is>
          <t>2978778</t>
        </is>
      </c>
      <c r="D73" t="inlineStr">
        <is>
          <t>работник 20</t>
        </is>
      </c>
      <c r="E73" s="1" t="inlineStr">
        <is>
          <t>ОБЩЕСТВО С ОГРАНИЧЕННОЙ ОТВЕТСТВЕННОСТЬЮ "АМУР ЗОЛОТО"</t>
        </is>
      </c>
      <c r="F73" s="1" t="inlineStr">
        <is>
          <t>2708001686</t>
        </is>
      </c>
      <c r="G73" s="1" t="inlineStr">
        <is>
          <t>Водитель погрузчика</t>
        </is>
      </c>
      <c r="H73" s="1" t="inlineStr">
        <is>
          <t>ООО "Амур Золото"</t>
        </is>
      </c>
      <c r="I73" s="1" t="inlineStr">
        <is>
          <t>2708001686</t>
        </is>
      </c>
      <c r="J73" s="1" t="inlineStr">
        <is>
          <t>ОТ № ЮГОК АТЦ 23-01</t>
        </is>
      </c>
      <c r="K73" s="1" t="inlineStr">
        <is>
          <t>Оказание первой помощи пострадавшим</t>
        </is>
      </c>
      <c r="L73" s="1" t="inlineStr">
        <is>
          <t>02.10.2023</t>
        </is>
      </c>
      <c r="M73" s="1" t="inlineStr">
        <is>
          <t>Успешно</t>
        </is>
      </c>
      <c r="N73" s="1" t="inlineStr">
        <is>
          <t>05.02.2024</t>
        </is>
      </c>
      <c r="O73" s="1" t="inlineStr"/>
      <c r="P73" s="1" t="inlineStr"/>
      <c r="Q73" s="1" t="inlineStr">
        <is>
          <t>Пользовательский интерфейс</t>
        </is>
      </c>
    </row>
    <row r="74">
      <c r="B74" s="1" t="inlineStr">
        <is>
          <t>37117270</t>
        </is>
      </c>
      <c r="C74" s="1" t="inlineStr">
        <is>
          <t>2978778</t>
        </is>
      </c>
      <c r="D74" t="inlineStr">
        <is>
          <t>работник 20</t>
        </is>
      </c>
      <c r="E74" s="1" t="inlineStr">
        <is>
          <t>ОБЩЕСТВО С ОГРАНИЧЕННОЙ ОТВЕТСТВЕННОСТЬЮ "АМУР ЗОЛОТО"</t>
        </is>
      </c>
      <c r="F74" s="1" t="inlineStr">
        <is>
          <t>2708001686</t>
        </is>
      </c>
      <c r="G74" s="1" t="inlineStr">
        <is>
          <t>Водитель погрузчика</t>
        </is>
      </c>
      <c r="H74" s="1" t="inlineStr">
        <is>
          <t>ООО "Амур Золото"</t>
        </is>
      </c>
      <c r="I74" s="1" t="inlineStr">
        <is>
          <t>2708001686</t>
        </is>
      </c>
      <c r="J74" s="1" t="inlineStr">
        <is>
          <t>ОТ № ЮГОК АТЦ 23-01</t>
        </is>
      </c>
      <c r="K74" s="1" t="inlineStr">
        <is>
          <t>Использование (применение) средств индивидуальной защиты</t>
        </is>
      </c>
      <c r="L74" s="1" t="inlineStr">
        <is>
          <t>02.10.2023</t>
        </is>
      </c>
      <c r="M74" s="1" t="inlineStr">
        <is>
          <t>Успешно</t>
        </is>
      </c>
      <c r="N74" s="1" t="inlineStr">
        <is>
          <t>05.02.2024</t>
        </is>
      </c>
      <c r="O74" s="1" t="inlineStr"/>
      <c r="P74" s="1" t="inlineStr"/>
      <c r="Q74" s="1" t="inlineStr">
        <is>
          <t>Пользовательский интерфейс</t>
        </is>
      </c>
    </row>
    <row r="75">
      <c r="B75" s="1" t="inlineStr">
        <is>
          <t>37117271</t>
        </is>
      </c>
      <c r="C75" s="1" t="inlineStr">
        <is>
          <t>2978778</t>
        </is>
      </c>
      <c r="D75" t="inlineStr">
        <is>
          <t>работник 20</t>
        </is>
      </c>
      <c r="E75" s="1" t="inlineStr">
        <is>
          <t>ОБЩЕСТВО С ОГРАНИЧЕННОЙ ОТВЕТСТВЕННОСТЬЮ "АМУР ЗОЛОТО"</t>
        </is>
      </c>
      <c r="F75" s="1" t="inlineStr">
        <is>
          <t>2708001686</t>
        </is>
      </c>
      <c r="G75" s="1" t="inlineStr">
        <is>
          <t>Водитель погрузчика</t>
        </is>
      </c>
      <c r="H75" s="1" t="inlineStr">
        <is>
          <t>ООО "Амур Золото"</t>
        </is>
      </c>
      <c r="I75" s="1" t="inlineStr">
        <is>
          <t>2708001686</t>
        </is>
      </c>
      <c r="J75" s="1" t="inlineStr">
        <is>
          <t>ОТ № ЮГОК АТЦ 23-01</t>
        </is>
      </c>
      <c r="K7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75" s="1" t="inlineStr">
        <is>
          <t>02.10.2023</t>
        </is>
      </c>
      <c r="M75" s="1" t="inlineStr">
        <is>
          <t>Успешно</t>
        </is>
      </c>
      <c r="N75" s="1" t="inlineStr">
        <is>
          <t>05.02.2024</t>
        </is>
      </c>
      <c r="O75" s="1" t="inlineStr"/>
      <c r="P75" s="1" t="inlineStr"/>
      <c r="Q75" s="1" t="inlineStr">
        <is>
          <t>Пользовательский интерфейс</t>
        </is>
      </c>
    </row>
    <row r="76">
      <c r="B76" s="1" t="inlineStr">
        <is>
          <t>37117272</t>
        </is>
      </c>
      <c r="C76" s="1" t="inlineStr">
        <is>
          <t>2978778</t>
        </is>
      </c>
      <c r="D76" t="inlineStr">
        <is>
          <t>работник 21</t>
        </is>
      </c>
      <c r="E76" s="1" t="inlineStr">
        <is>
          <t>ОБЩЕСТВО С ОГРАНИЧЕННОЙ ОТВЕТСТВЕННОСТЬЮ "АМУР ЗОЛОТО"</t>
        </is>
      </c>
      <c r="F76" s="1" t="inlineStr">
        <is>
          <t>2708001686</t>
        </is>
      </c>
      <c r="G76" s="1" t="inlineStr">
        <is>
          <t>Машинист бульдозера</t>
        </is>
      </c>
      <c r="H76" s="1" t="inlineStr">
        <is>
          <t>ООО "Амур Золото"</t>
        </is>
      </c>
      <c r="I76" s="1" t="inlineStr">
        <is>
          <t>2708001686</t>
        </is>
      </c>
      <c r="J76" s="1" t="inlineStr">
        <is>
          <t>ОТ № ЮГОК АТЦ 23-01</t>
        </is>
      </c>
      <c r="K76" s="1" t="inlineStr">
        <is>
          <t>Оказание первой помощи пострадавшим</t>
        </is>
      </c>
      <c r="L76" s="1" t="inlineStr">
        <is>
          <t>02.10.2023</t>
        </is>
      </c>
      <c r="M76" s="1" t="inlineStr">
        <is>
          <t>Успешно</t>
        </is>
      </c>
      <c r="N76" s="1" t="inlineStr">
        <is>
          <t>05.02.2024</t>
        </is>
      </c>
      <c r="O76" s="1" t="inlineStr"/>
      <c r="P76" s="1" t="inlineStr"/>
      <c r="Q76" s="1" t="inlineStr">
        <is>
          <t>Пользовательский интерфейс</t>
        </is>
      </c>
    </row>
    <row r="77">
      <c r="B77" s="1" t="inlineStr">
        <is>
          <t>37117273</t>
        </is>
      </c>
      <c r="C77" s="1" t="inlineStr">
        <is>
          <t>2978778</t>
        </is>
      </c>
      <c r="D77" t="inlineStr">
        <is>
          <t>работник 21</t>
        </is>
      </c>
      <c r="E77" s="1" t="inlineStr">
        <is>
          <t>ОБЩЕСТВО С ОГРАНИЧЕННОЙ ОТВЕТСТВЕННОСТЬЮ "АМУР ЗОЛОТО"</t>
        </is>
      </c>
      <c r="F77" s="1" t="inlineStr">
        <is>
          <t>2708001686</t>
        </is>
      </c>
      <c r="G77" s="1" t="inlineStr">
        <is>
          <t>Машинист бульдозера</t>
        </is>
      </c>
      <c r="H77" s="1" t="inlineStr">
        <is>
          <t>ООО "Амур Золото"</t>
        </is>
      </c>
      <c r="I77" s="1" t="inlineStr">
        <is>
          <t>2708001686</t>
        </is>
      </c>
      <c r="J77" s="1" t="inlineStr">
        <is>
          <t>ОТ № ЮГОК АТЦ 23-01</t>
        </is>
      </c>
      <c r="K77" s="1" t="inlineStr">
        <is>
          <t>Использование (применение) средств индивидуальной защиты</t>
        </is>
      </c>
      <c r="L77" s="1" t="inlineStr">
        <is>
          <t>02.10.2023</t>
        </is>
      </c>
      <c r="M77" s="1" t="inlineStr">
        <is>
          <t>Успешно</t>
        </is>
      </c>
      <c r="N77" s="1" t="inlineStr">
        <is>
          <t>05.02.2024</t>
        </is>
      </c>
      <c r="O77" s="1" t="inlineStr"/>
      <c r="P77" s="1" t="inlineStr"/>
      <c r="Q77" s="1" t="inlineStr">
        <is>
          <t>Пользовательский интерфейс</t>
        </is>
      </c>
    </row>
    <row r="78">
      <c r="B78" s="1" t="inlineStr">
        <is>
          <t>37117274</t>
        </is>
      </c>
      <c r="C78" s="1" t="inlineStr">
        <is>
          <t>2978778</t>
        </is>
      </c>
      <c r="D78" t="inlineStr">
        <is>
          <t>работник 21</t>
        </is>
      </c>
      <c r="E78" s="1" t="inlineStr">
        <is>
          <t>ОБЩЕСТВО С ОГРАНИЧЕННОЙ ОТВЕТСТВЕННОСТЬЮ "АМУР ЗОЛОТО"</t>
        </is>
      </c>
      <c r="F78" s="1" t="inlineStr">
        <is>
          <t>2708001686</t>
        </is>
      </c>
      <c r="G78" s="1" t="inlineStr">
        <is>
          <t>Машинист бульдозера</t>
        </is>
      </c>
      <c r="H78" s="1" t="inlineStr">
        <is>
          <t>ООО "Амур Золото"</t>
        </is>
      </c>
      <c r="I78" s="1" t="inlineStr">
        <is>
          <t>2708001686</t>
        </is>
      </c>
      <c r="J78" s="1" t="inlineStr">
        <is>
          <t>ОТ № ЮГОК АТЦ 23-01</t>
        </is>
      </c>
      <c r="K7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78" s="1" t="inlineStr">
        <is>
          <t>02.10.2023</t>
        </is>
      </c>
      <c r="M78" s="1" t="inlineStr">
        <is>
          <t>Успешно</t>
        </is>
      </c>
      <c r="N78" s="1" t="inlineStr">
        <is>
          <t>05.02.2024</t>
        </is>
      </c>
      <c r="O78" s="1" t="inlineStr"/>
      <c r="P78" s="1" t="inlineStr"/>
      <c r="Q78" s="1" t="inlineStr">
        <is>
          <t>Пользовательский интерфейс</t>
        </is>
      </c>
    </row>
    <row r="79">
      <c r="B79" s="1" t="inlineStr">
        <is>
          <t>37117275</t>
        </is>
      </c>
      <c r="C79" s="1" t="inlineStr">
        <is>
          <t>2978778</t>
        </is>
      </c>
      <c r="D79" t="inlineStr">
        <is>
          <t>работник 22</t>
        </is>
      </c>
      <c r="E79" s="1" t="inlineStr">
        <is>
          <t>ОБЩЕСТВО С ОГРАНИЧЕННОЙ ОТВЕТСТВЕННОСТЬЮ "АМУР ЗОЛОТО"</t>
        </is>
      </c>
      <c r="F79" s="1" t="inlineStr">
        <is>
          <t>2708001686</t>
        </is>
      </c>
      <c r="G79" s="1" t="inlineStr">
        <is>
          <t>Электрогазосварщик (занятый на резке и ручной сварке)</t>
        </is>
      </c>
      <c r="H79" s="1" t="inlineStr">
        <is>
          <t>ООО "Амур Золото"</t>
        </is>
      </c>
      <c r="I79" s="1" t="inlineStr">
        <is>
          <t>2708001686</t>
        </is>
      </c>
      <c r="J79" s="1" t="inlineStr">
        <is>
          <t>ОТ № ЮГОК АТЦ 23-01</t>
        </is>
      </c>
      <c r="K79" s="1" t="inlineStr">
        <is>
          <t>Оказание первой помощи пострадавшим</t>
        </is>
      </c>
      <c r="L79" s="1" t="inlineStr">
        <is>
          <t>02.10.2023</t>
        </is>
      </c>
      <c r="M79" s="1" t="inlineStr">
        <is>
          <t>Успешно</t>
        </is>
      </c>
      <c r="N79" s="1" t="inlineStr">
        <is>
          <t>05.02.2024</t>
        </is>
      </c>
      <c r="O79" s="1" t="inlineStr"/>
      <c r="P79" s="1" t="inlineStr"/>
      <c r="Q79" s="1" t="inlineStr">
        <is>
          <t>Пользовательский интерфейс</t>
        </is>
      </c>
    </row>
    <row r="80">
      <c r="B80" s="1" t="inlineStr">
        <is>
          <t>37117276</t>
        </is>
      </c>
      <c r="C80" s="1" t="inlineStr">
        <is>
          <t>2978778</t>
        </is>
      </c>
      <c r="D80" t="inlineStr">
        <is>
          <t>работник 22</t>
        </is>
      </c>
      <c r="E80" s="1" t="inlineStr">
        <is>
          <t>ОБЩЕСТВО С ОГРАНИЧЕННОЙ ОТВЕТСТВЕННОСТЬЮ "АМУР ЗОЛОТО"</t>
        </is>
      </c>
      <c r="F80" s="1" t="inlineStr">
        <is>
          <t>2708001686</t>
        </is>
      </c>
      <c r="G80" s="1" t="inlineStr">
        <is>
          <t>Электрогазосварщик (занятый на резке и ручной сварке)</t>
        </is>
      </c>
      <c r="H80" s="1" t="inlineStr">
        <is>
          <t>ООО "Амур Золото"</t>
        </is>
      </c>
      <c r="I80" s="1" t="inlineStr">
        <is>
          <t>2708001686</t>
        </is>
      </c>
      <c r="J80" s="1" t="inlineStr">
        <is>
          <t>ОТ № ЮГОК АТЦ 23-01</t>
        </is>
      </c>
      <c r="K80" s="1" t="inlineStr">
        <is>
          <t>Использование (применение) средств индивидуальной защиты</t>
        </is>
      </c>
      <c r="L80" s="1" t="inlineStr">
        <is>
          <t>02.10.2023</t>
        </is>
      </c>
      <c r="M80" s="1" t="inlineStr">
        <is>
          <t>Успешно</t>
        </is>
      </c>
      <c r="N80" s="1" t="inlineStr">
        <is>
          <t>05.02.2024</t>
        </is>
      </c>
      <c r="O80" s="1" t="inlineStr"/>
      <c r="P80" s="1" t="inlineStr"/>
      <c r="Q80" s="1" t="inlineStr">
        <is>
          <t>Пользовательский интерфейс</t>
        </is>
      </c>
    </row>
    <row r="81">
      <c r="B81" s="1" t="inlineStr">
        <is>
          <t>37117277</t>
        </is>
      </c>
      <c r="C81" s="1" t="inlineStr">
        <is>
          <t>2978778</t>
        </is>
      </c>
      <c r="D81" t="inlineStr">
        <is>
          <t>работник 22</t>
        </is>
      </c>
      <c r="E81" s="1" t="inlineStr">
        <is>
          <t>ОБЩЕСТВО С ОГРАНИЧЕННОЙ ОТВЕТСТВЕННОСТЬЮ "АМУР ЗОЛОТО"</t>
        </is>
      </c>
      <c r="F81" s="1" t="inlineStr">
        <is>
          <t>2708001686</t>
        </is>
      </c>
      <c r="G81" s="1" t="inlineStr">
        <is>
          <t>Электрогазосварщик (занятый на резке и ручной сварке)</t>
        </is>
      </c>
      <c r="H81" s="1" t="inlineStr">
        <is>
          <t>ООО "Амур Золото"</t>
        </is>
      </c>
      <c r="I81" s="1" t="inlineStr">
        <is>
          <t>2708001686</t>
        </is>
      </c>
      <c r="J81" s="1" t="inlineStr">
        <is>
          <t>ОТ № ЮГОК АТЦ 23-01</t>
        </is>
      </c>
      <c r="K8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81" s="1" t="inlineStr">
        <is>
          <t>02.10.2023</t>
        </is>
      </c>
      <c r="M81" s="1" t="inlineStr">
        <is>
          <t>Успешно</t>
        </is>
      </c>
      <c r="N81" s="1" t="inlineStr">
        <is>
          <t>05.02.2024</t>
        </is>
      </c>
      <c r="O81" s="1" t="inlineStr"/>
      <c r="P81" s="1" t="inlineStr"/>
      <c r="Q81" s="1" t="inlineStr">
        <is>
          <t>Пользовательский интерфейс</t>
        </is>
      </c>
    </row>
    <row r="82">
      <c r="B82" s="1" t="inlineStr">
        <is>
          <t>37117278</t>
        </is>
      </c>
      <c r="C82" s="1" t="inlineStr">
        <is>
          <t>2978778</t>
        </is>
      </c>
      <c r="D82" t="inlineStr">
        <is>
          <t>работник 23</t>
        </is>
      </c>
      <c r="E82" s="1" t="inlineStr">
        <is>
          <t>ОБЩЕСТВО С ОГРАНИЧЕННОЙ ОТВЕТСТВЕННОСТЬЮ "АМУР ЗОЛОТО"</t>
        </is>
      </c>
      <c r="F82" s="1" t="inlineStr">
        <is>
          <t>2708001686</t>
        </is>
      </c>
      <c r="G82" s="1" t="inlineStr">
        <is>
          <t>Слесарь-ремонтник</t>
        </is>
      </c>
      <c r="H82" s="1" t="inlineStr">
        <is>
          <t>ООО "Амур Золото"</t>
        </is>
      </c>
      <c r="I82" s="1" t="inlineStr">
        <is>
          <t>2708001686</t>
        </is>
      </c>
      <c r="J82" s="1" t="inlineStr">
        <is>
          <t>ОТ № ЮГОК ЗИОФ 23-02</t>
        </is>
      </c>
      <c r="K82" s="1" t="inlineStr">
        <is>
          <t>Безопасные методы и приемы выполнения работ при размещении, монтаже, техническом обслуживании и ремонте технологического оборудования (включая технологическое оборудование)</t>
        </is>
      </c>
      <c r="L82" s="1" t="inlineStr">
        <is>
          <t>24.11.2023</t>
        </is>
      </c>
      <c r="M82" s="1" t="inlineStr">
        <is>
          <t>Успешно</t>
        </is>
      </c>
      <c r="N82" s="1" t="inlineStr">
        <is>
          <t>05.02.2024</t>
        </is>
      </c>
      <c r="O82" s="1" t="inlineStr"/>
      <c r="P82" s="1" t="inlineStr"/>
      <c r="Q82" s="1" t="inlineStr">
        <is>
          <t>Пользовательский интерфейс</t>
        </is>
      </c>
    </row>
    <row r="83">
      <c r="B83" s="1" t="inlineStr">
        <is>
          <t>37117279</t>
        </is>
      </c>
      <c r="C83" s="1" t="inlineStr">
        <is>
          <t>2978778</t>
        </is>
      </c>
      <c r="D83" t="inlineStr">
        <is>
          <t>работник 23</t>
        </is>
      </c>
      <c r="E83" s="1" t="inlineStr">
        <is>
          <t>ОБЩЕСТВО С ОГРАНИЧЕННОЙ ОТВЕТСТВЕННОСТЬЮ "АМУР ЗОЛОТО"</t>
        </is>
      </c>
      <c r="F83" s="1" t="inlineStr">
        <is>
          <t>2708001686</t>
        </is>
      </c>
      <c r="G83" s="1" t="inlineStr">
        <is>
          <t>Слесарь-ремонтник</t>
        </is>
      </c>
      <c r="H83" s="1" t="inlineStr">
        <is>
          <t>ООО "Амур Золото"</t>
        </is>
      </c>
      <c r="I83" s="1" t="inlineStr">
        <is>
          <t>2708001686</t>
        </is>
      </c>
      <c r="J83" s="1" t="inlineStr">
        <is>
          <t>ОТ № ЮГОК ЗИОФ 23-02</t>
        </is>
      </c>
      <c r="K83" s="1" t="inlineStr">
        <is>
          <t>Безопасные методы и приемы выполнения работ на высоте</t>
        </is>
      </c>
      <c r="L83" s="1" t="inlineStr">
        <is>
          <t>24.11.2023</t>
        </is>
      </c>
      <c r="M83" s="1" t="inlineStr">
        <is>
          <t>Успешно</t>
        </is>
      </c>
      <c r="N83" s="1" t="inlineStr">
        <is>
          <t>05.02.2024</t>
        </is>
      </c>
      <c r="O83" s="1" t="inlineStr"/>
      <c r="P83" s="1" t="inlineStr"/>
      <c r="Q83" s="1" t="inlineStr">
        <is>
          <t>Пользовательский интерфейс</t>
        </is>
      </c>
    </row>
    <row r="84">
      <c r="B84" s="1" t="inlineStr">
        <is>
          <t>37117280</t>
        </is>
      </c>
      <c r="C84" s="1" t="inlineStr">
        <is>
          <t>2978778</t>
        </is>
      </c>
      <c r="D84" t="inlineStr">
        <is>
          <t>работник 23</t>
        </is>
      </c>
      <c r="E84" s="1" t="inlineStr">
        <is>
          <t>ОБЩЕСТВО С ОГРАНИЧЕННОЙ ОТВЕТСТВЕННОСТЬЮ "АМУР ЗОЛОТО"</t>
        </is>
      </c>
      <c r="F84" s="1" t="inlineStr">
        <is>
          <t>2708001686</t>
        </is>
      </c>
      <c r="G84" s="1" t="inlineStr">
        <is>
          <t>Слесарь-ремонтник</t>
        </is>
      </c>
      <c r="H84" s="1" t="inlineStr">
        <is>
          <t>ООО "Амур Золото"</t>
        </is>
      </c>
      <c r="I84" s="1" t="inlineStr">
        <is>
          <t>2708001686</t>
        </is>
      </c>
      <c r="J84" s="1" t="inlineStr">
        <is>
          <t>ОТ № ЮГОК ЗИОФ 23-02</t>
        </is>
      </c>
      <c r="K84" s="1" t="inlineStr">
        <is>
          <t>Безопасные методы и приемы выполнения работ в ограниченных и замкнутых пространствах (ОЗП)</t>
        </is>
      </c>
      <c r="L84" s="1" t="inlineStr">
        <is>
          <t>24.11.2023</t>
        </is>
      </c>
      <c r="M84" s="1" t="inlineStr">
        <is>
          <t>Успешно</t>
        </is>
      </c>
      <c r="N84" s="1" t="inlineStr">
        <is>
          <t>05.02.2024</t>
        </is>
      </c>
      <c r="O84" s="1" t="inlineStr"/>
      <c r="P84" s="1" t="inlineStr"/>
      <c r="Q84" s="1" t="inlineStr">
        <is>
          <t>Пользовательский интерфейс</t>
        </is>
      </c>
    </row>
    <row r="85">
      <c r="B85" s="1" t="inlineStr">
        <is>
          <t>37117281</t>
        </is>
      </c>
      <c r="C85" s="1" t="inlineStr">
        <is>
          <t>2978778</t>
        </is>
      </c>
      <c r="D85" t="inlineStr">
        <is>
          <t>работник 23</t>
        </is>
      </c>
      <c r="E85" s="1" t="inlineStr">
        <is>
          <t>ОБЩЕСТВО С ОГРАНИЧЕННОЙ ОТВЕТСТВЕННОСТЬЮ "АМУР ЗОЛОТО"</t>
        </is>
      </c>
      <c r="F85" s="1" t="inlineStr">
        <is>
          <t>2708001686</t>
        </is>
      </c>
      <c r="G85" s="1" t="inlineStr">
        <is>
          <t>Слесарь-ремонтник</t>
        </is>
      </c>
      <c r="H85" s="1" t="inlineStr">
        <is>
          <t>ООО "Амур Золото"</t>
        </is>
      </c>
      <c r="I85" s="1" t="inlineStr">
        <is>
          <t>2708001686</t>
        </is>
      </c>
      <c r="J85" s="1" t="inlineStr">
        <is>
          <t>ОТ № ЮГОК ЗИОФ 23-02</t>
        </is>
      </c>
      <c r="K85" s="1" t="inlineStr">
        <is>
          <t>Безопасные методы и приемы выполнения огневых работ</t>
        </is>
      </c>
      <c r="L85" s="1" t="inlineStr">
        <is>
          <t>24.11.2023</t>
        </is>
      </c>
      <c r="M85" s="1" t="inlineStr">
        <is>
          <t>Успешно</t>
        </is>
      </c>
      <c r="N85" s="1" t="inlineStr">
        <is>
          <t>05.02.2024</t>
        </is>
      </c>
      <c r="O85" s="1" t="inlineStr"/>
      <c r="P85" s="1" t="inlineStr"/>
      <c r="Q85" s="1" t="inlineStr">
        <is>
          <t>Пользовательский интерфейс</t>
        </is>
      </c>
    </row>
    <row r="86">
      <c r="B86" s="1" t="inlineStr">
        <is>
          <t>37117282</t>
        </is>
      </c>
      <c r="C86" s="1" t="inlineStr">
        <is>
          <t>2978778</t>
        </is>
      </c>
      <c r="D86" t="inlineStr">
        <is>
          <t>работник 23</t>
        </is>
      </c>
      <c r="E86" s="1" t="inlineStr">
        <is>
          <t>ОБЩЕСТВО С ОГРАНИЧЕННОЙ ОТВЕТСТВЕННОСТЬЮ "АМУР ЗОЛОТО"</t>
        </is>
      </c>
      <c r="F86" s="1" t="inlineStr">
        <is>
          <t>2708001686</t>
        </is>
      </c>
      <c r="G86" s="1" t="inlineStr">
        <is>
          <t>Слесарь-ремонтник</t>
        </is>
      </c>
      <c r="H86" s="1" t="inlineStr">
        <is>
          <t>ООО "Амур Золото"</t>
        </is>
      </c>
      <c r="I86" s="1" t="inlineStr">
        <is>
          <t>2708001686</t>
        </is>
      </c>
      <c r="J86" s="1" t="inlineStr">
        <is>
          <t>ОТ № ЮГОК ЗИОФ 23-02</t>
        </is>
      </c>
      <c r="K86" s="1" t="inlineStr">
        <is>
          <t>Безопасные методы и приемы выполнения работ, связанные с эксплуатацией подъемных сооружений</t>
        </is>
      </c>
      <c r="L86" s="1" t="inlineStr">
        <is>
          <t>24.11.2023</t>
        </is>
      </c>
      <c r="M86" s="1" t="inlineStr">
        <is>
          <t>Успешно</t>
        </is>
      </c>
      <c r="N86" s="1" t="inlineStr">
        <is>
          <t>05.02.2024</t>
        </is>
      </c>
      <c r="O86" s="1" t="inlineStr"/>
      <c r="P86" s="1" t="inlineStr"/>
      <c r="Q86" s="1" t="inlineStr">
        <is>
          <t>Пользовательский интерфейс</t>
        </is>
      </c>
    </row>
    <row r="87">
      <c r="B87" s="1" t="inlineStr">
        <is>
          <t>37117283</t>
        </is>
      </c>
      <c r="C87" s="1" t="inlineStr">
        <is>
          <t>2978778</t>
        </is>
      </c>
      <c r="D87" t="inlineStr">
        <is>
          <t>работник 23</t>
        </is>
      </c>
      <c r="E87" s="1" t="inlineStr">
        <is>
          <t>ОБЩЕСТВО С ОГРАНИЧЕННОЙ ОТВЕТСТВЕННОСТЬЮ "АМУР ЗОЛОТО"</t>
        </is>
      </c>
      <c r="F87" s="1" t="inlineStr">
        <is>
          <t>2708001686</t>
        </is>
      </c>
      <c r="G87" s="1" t="inlineStr">
        <is>
          <t>Слесарь-ремонтник</t>
        </is>
      </c>
      <c r="H87" s="1" t="inlineStr">
        <is>
          <t>ООО "Амур Золото"</t>
        </is>
      </c>
      <c r="I87" s="1" t="inlineStr">
        <is>
          <t>2708001686</t>
        </is>
      </c>
      <c r="J87" s="1" t="inlineStr">
        <is>
          <t>ОТ № ЮГОК ЗИОФ 23-02</t>
        </is>
      </c>
      <c r="K87" s="1" t="inlineStr">
        <is>
          <t>Безопасные методы и приемы выполнения работ, связанные с эксплуатацией сосудов, работающих под избыточным давлением</t>
        </is>
      </c>
      <c r="L87" s="1" t="inlineStr">
        <is>
          <t>24.11.2023</t>
        </is>
      </c>
      <c r="M87" s="1" t="inlineStr">
        <is>
          <t>Успешно</t>
        </is>
      </c>
      <c r="N87" s="1" t="inlineStr">
        <is>
          <t>05.02.2024</t>
        </is>
      </c>
      <c r="O87" s="1" t="inlineStr"/>
      <c r="P87" s="1" t="inlineStr"/>
      <c r="Q87" s="1" t="inlineStr">
        <is>
          <t>Пользовательский интерфейс</t>
        </is>
      </c>
    </row>
    <row r="88">
      <c r="B88" s="1" t="inlineStr">
        <is>
          <t>37117284</t>
        </is>
      </c>
      <c r="C88" s="1" t="inlineStr">
        <is>
          <t>2978778</t>
        </is>
      </c>
      <c r="D88" t="inlineStr">
        <is>
          <t>работник 24</t>
        </is>
      </c>
      <c r="E88" s="1" t="inlineStr">
        <is>
          <t>ОБЩЕСТВО С ОГРАНИЧЕННОЙ ОТВЕТСТВЕННОСТЬЮ "АМУР ЗОЛОТО"</t>
        </is>
      </c>
      <c r="F88" s="1" t="inlineStr">
        <is>
          <t>2708001686</t>
        </is>
      </c>
      <c r="G88" s="1" t="inlineStr">
        <is>
          <t>Слесарь-ремонтник</t>
        </is>
      </c>
      <c r="H88" s="1" t="inlineStr">
        <is>
          <t>ООО "Амур Золото"</t>
        </is>
      </c>
      <c r="I88" s="1" t="inlineStr">
        <is>
          <t>2708001686</t>
        </is>
      </c>
      <c r="J88" s="1" t="inlineStr">
        <is>
          <t>ОТ № ЮГОК ЗИОФ 23-02</t>
        </is>
      </c>
      <c r="K88" s="1" t="inlineStr">
        <is>
          <t>Безопасные методы и приемы выполнения работ при размещении, монтаже, техническом обслуживании и ремонте технологического оборудования (включая технологическое оборудование)</t>
        </is>
      </c>
      <c r="L88" s="1" t="inlineStr">
        <is>
          <t>24.11.2023</t>
        </is>
      </c>
      <c r="M88" s="1" t="inlineStr">
        <is>
          <t>Успешно</t>
        </is>
      </c>
      <c r="N88" s="1" t="inlineStr">
        <is>
          <t>05.02.2024</t>
        </is>
      </c>
      <c r="O88" s="1" t="inlineStr"/>
      <c r="P88" s="1" t="inlineStr"/>
      <c r="Q88" s="1" t="inlineStr">
        <is>
          <t>Пользовательский интерфейс</t>
        </is>
      </c>
    </row>
    <row r="89">
      <c r="B89" s="1" t="inlineStr">
        <is>
          <t>37117285</t>
        </is>
      </c>
      <c r="C89" s="1" t="inlineStr">
        <is>
          <t>2978778</t>
        </is>
      </c>
      <c r="D89" t="inlineStr">
        <is>
          <t>работник 24</t>
        </is>
      </c>
      <c r="E89" s="1" t="inlineStr">
        <is>
          <t>ОБЩЕСТВО С ОГРАНИЧЕННОЙ ОТВЕТСТВЕННОСТЬЮ "АМУР ЗОЛОТО"</t>
        </is>
      </c>
      <c r="F89" s="1" t="inlineStr">
        <is>
          <t>2708001686</t>
        </is>
      </c>
      <c r="G89" s="1" t="inlineStr">
        <is>
          <t>Слесарь-ремонтник</t>
        </is>
      </c>
      <c r="H89" s="1" t="inlineStr">
        <is>
          <t>ООО "Амур Золото"</t>
        </is>
      </c>
      <c r="I89" s="1" t="inlineStr">
        <is>
          <t>2708001686</t>
        </is>
      </c>
      <c r="J89" s="1" t="inlineStr">
        <is>
          <t>ОТ № ЮГОК ЗИОФ 23-02</t>
        </is>
      </c>
      <c r="K89" s="1" t="inlineStr">
        <is>
          <t>Безопасные методы и приемы выполнения работ на высоте</t>
        </is>
      </c>
      <c r="L89" s="1" t="inlineStr">
        <is>
          <t>24.11.2023</t>
        </is>
      </c>
      <c r="M89" s="1" t="inlineStr">
        <is>
          <t>Успешно</t>
        </is>
      </c>
      <c r="N89" s="1" t="inlineStr">
        <is>
          <t>05.02.2024</t>
        </is>
      </c>
      <c r="O89" s="1" t="inlineStr"/>
      <c r="P89" s="1" t="inlineStr"/>
      <c r="Q89" s="1" t="inlineStr">
        <is>
          <t>Пользовательский интерфейс</t>
        </is>
      </c>
    </row>
    <row r="90">
      <c r="B90" s="1" t="inlineStr">
        <is>
          <t>37117286</t>
        </is>
      </c>
      <c r="C90" s="1" t="inlineStr">
        <is>
          <t>2978778</t>
        </is>
      </c>
      <c r="D90" t="inlineStr">
        <is>
          <t>работник 24</t>
        </is>
      </c>
      <c r="E90" s="1" t="inlineStr">
        <is>
          <t>ОБЩЕСТВО С ОГРАНИЧЕННОЙ ОТВЕТСТВЕННОСТЬЮ "АМУР ЗОЛОТО"</t>
        </is>
      </c>
      <c r="F90" s="1" t="inlineStr">
        <is>
          <t>2708001686</t>
        </is>
      </c>
      <c r="G90" s="1" t="inlineStr">
        <is>
          <t>Слесарь-ремонтник</t>
        </is>
      </c>
      <c r="H90" s="1" t="inlineStr">
        <is>
          <t>ООО "Амур Золото"</t>
        </is>
      </c>
      <c r="I90" s="1" t="inlineStr">
        <is>
          <t>2708001686</t>
        </is>
      </c>
      <c r="J90" s="1" t="inlineStr">
        <is>
          <t>ОТ № ЮГОК ЗИОФ 23-02</t>
        </is>
      </c>
      <c r="K90" s="1" t="inlineStr">
        <is>
          <t>Безопасные методы и приемы выполнения работ в ограниченных и замкнутых пространствах (ОЗП)</t>
        </is>
      </c>
      <c r="L90" s="1" t="inlineStr">
        <is>
          <t>24.11.2023</t>
        </is>
      </c>
      <c r="M90" s="1" t="inlineStr">
        <is>
          <t>Успешно</t>
        </is>
      </c>
      <c r="N90" s="1" t="inlineStr">
        <is>
          <t>05.02.2024</t>
        </is>
      </c>
      <c r="O90" s="1" t="inlineStr"/>
      <c r="P90" s="1" t="inlineStr"/>
      <c r="Q90" s="1" t="inlineStr">
        <is>
          <t>Пользовательский интерфейс</t>
        </is>
      </c>
    </row>
    <row r="91">
      <c r="B91" s="1" t="inlineStr">
        <is>
          <t>37117287</t>
        </is>
      </c>
      <c r="C91" s="1" t="inlineStr">
        <is>
          <t>2978778</t>
        </is>
      </c>
      <c r="D91" t="inlineStr">
        <is>
          <t>работник 24</t>
        </is>
      </c>
      <c r="E91" s="1" t="inlineStr">
        <is>
          <t>ОБЩЕСТВО С ОГРАНИЧЕННОЙ ОТВЕТСТВЕННОСТЬЮ "АМУР ЗОЛОТО"</t>
        </is>
      </c>
      <c r="F91" s="1" t="inlineStr">
        <is>
          <t>2708001686</t>
        </is>
      </c>
      <c r="G91" s="1" t="inlineStr">
        <is>
          <t>Слесарь-ремонтник</t>
        </is>
      </c>
      <c r="H91" s="1" t="inlineStr">
        <is>
          <t>ООО "Амур Золото"</t>
        </is>
      </c>
      <c r="I91" s="1" t="inlineStr">
        <is>
          <t>2708001686</t>
        </is>
      </c>
      <c r="J91" s="1" t="inlineStr">
        <is>
          <t>ОТ № ЮГОК ЗИОФ 23-02</t>
        </is>
      </c>
      <c r="K91" s="1" t="inlineStr">
        <is>
          <t>Безопасные методы и приемы выполнения огневых работ</t>
        </is>
      </c>
      <c r="L91" s="1" t="inlineStr">
        <is>
          <t>24.11.2023</t>
        </is>
      </c>
      <c r="M91" s="1" t="inlineStr">
        <is>
          <t>Успешно</t>
        </is>
      </c>
      <c r="N91" s="1" t="inlineStr">
        <is>
          <t>05.02.2024</t>
        </is>
      </c>
      <c r="O91" s="1" t="inlineStr"/>
      <c r="P91" s="1" t="inlineStr"/>
      <c r="Q91" s="1" t="inlineStr">
        <is>
          <t>Пользовательский интерфейс</t>
        </is>
      </c>
    </row>
    <row r="92">
      <c r="B92" s="1" t="inlineStr">
        <is>
          <t>37117288</t>
        </is>
      </c>
      <c r="C92" s="1" t="inlineStr">
        <is>
          <t>2978778</t>
        </is>
      </c>
      <c r="D92" t="inlineStr">
        <is>
          <t>работник 24</t>
        </is>
      </c>
      <c r="E92" s="1" t="inlineStr">
        <is>
          <t>ОБЩЕСТВО С ОГРАНИЧЕННОЙ ОТВЕТСТВЕННОСТЬЮ "АМУР ЗОЛОТО"</t>
        </is>
      </c>
      <c r="F92" s="1" t="inlineStr">
        <is>
          <t>2708001686</t>
        </is>
      </c>
      <c r="G92" s="1" t="inlineStr">
        <is>
          <t>Слесарь-ремонтник</t>
        </is>
      </c>
      <c r="H92" s="1" t="inlineStr">
        <is>
          <t>ООО "Амур Золото"</t>
        </is>
      </c>
      <c r="I92" s="1" t="inlineStr">
        <is>
          <t>2708001686</t>
        </is>
      </c>
      <c r="J92" s="1" t="inlineStr">
        <is>
          <t>ОТ № ЮГОК ЗИОФ 23-02</t>
        </is>
      </c>
      <c r="K92" s="1" t="inlineStr">
        <is>
          <t>Безопасные методы и приемы выполнения работ, связанные с эксплуатацией подъемных сооружений</t>
        </is>
      </c>
      <c r="L92" s="1" t="inlineStr">
        <is>
          <t>24.11.2023</t>
        </is>
      </c>
      <c r="M92" s="1" t="inlineStr">
        <is>
          <t>Успешно</t>
        </is>
      </c>
      <c r="N92" s="1" t="inlineStr">
        <is>
          <t>05.02.2024</t>
        </is>
      </c>
      <c r="O92" s="1" t="inlineStr"/>
      <c r="P92" s="1" t="inlineStr"/>
      <c r="Q92" s="1" t="inlineStr">
        <is>
          <t>Пользовательский интерфейс</t>
        </is>
      </c>
    </row>
    <row r="93">
      <c r="B93" s="1" t="inlineStr">
        <is>
          <t>37117289</t>
        </is>
      </c>
      <c r="C93" s="1" t="inlineStr">
        <is>
          <t>2978778</t>
        </is>
      </c>
      <c r="D93" t="inlineStr">
        <is>
          <t>работник 24</t>
        </is>
      </c>
      <c r="E93" s="1" t="inlineStr">
        <is>
          <t>ОБЩЕСТВО С ОГРАНИЧЕННОЙ ОТВЕТСТВЕННОСТЬЮ "АМУР ЗОЛОТО"</t>
        </is>
      </c>
      <c r="F93" s="1" t="inlineStr">
        <is>
          <t>2708001686</t>
        </is>
      </c>
      <c r="G93" s="1" t="inlineStr">
        <is>
          <t>Слесарь-ремонтник</t>
        </is>
      </c>
      <c r="H93" s="1" t="inlineStr">
        <is>
          <t>ООО "Амур Золото"</t>
        </is>
      </c>
      <c r="I93" s="1" t="inlineStr">
        <is>
          <t>2708001686</t>
        </is>
      </c>
      <c r="J93" s="1" t="inlineStr">
        <is>
          <t>ОТ № ЮГОК ЗИОФ 23-02</t>
        </is>
      </c>
      <c r="K93" s="1" t="inlineStr">
        <is>
          <t>Безопасные методы и приемы выполнения работ, связанные с эксплуатацией сосудов, работающих под избыточным давлением</t>
        </is>
      </c>
      <c r="L93" s="1" t="inlineStr">
        <is>
          <t>24.11.2023</t>
        </is>
      </c>
      <c r="M93" s="1" t="inlineStr">
        <is>
          <t>Успешно</t>
        </is>
      </c>
      <c r="N93" s="1" t="inlineStr">
        <is>
          <t>05.02.2024</t>
        </is>
      </c>
      <c r="O93" s="1" t="inlineStr"/>
      <c r="P93" s="1" t="inlineStr"/>
      <c r="Q93" s="1" t="inlineStr">
        <is>
          <t>Пользовательский интерфейс</t>
        </is>
      </c>
    </row>
    <row r="94">
      <c r="B94" s="1" t="inlineStr">
        <is>
          <t>37117290</t>
        </is>
      </c>
      <c r="C94" s="1" t="inlineStr">
        <is>
          <t>2978778</t>
        </is>
      </c>
      <c r="D94" t="inlineStr">
        <is>
          <t>работник 25</t>
        </is>
      </c>
      <c r="E94" s="1" t="inlineStr">
        <is>
          <t>ОБЩЕСТВО С ОГРАНИЧЕННОЙ ОТВЕТСТВЕННОСТЬЮ "АМУР ЗОЛОТО"</t>
        </is>
      </c>
      <c r="F94" s="1" t="inlineStr">
        <is>
          <t>2708001686</t>
        </is>
      </c>
      <c r="G94" s="1" t="inlineStr">
        <is>
          <t>Слесарь-ремонтник</t>
        </is>
      </c>
      <c r="H94" s="1" t="inlineStr">
        <is>
          <t>ООО "Амур Золото"</t>
        </is>
      </c>
      <c r="I94" s="1" t="inlineStr">
        <is>
          <t>2708001686</t>
        </is>
      </c>
      <c r="J94" s="1" t="inlineStr">
        <is>
          <t>ОТ № ЮГОК ЗИОФ 23-02</t>
        </is>
      </c>
      <c r="K94" s="1" t="inlineStr">
        <is>
          <t>Безопасные методы и приемы выполнения работ при размещении, монтаже, техническом обслуживании и ремонте технологического оборудования (включая технологическое оборудование)</t>
        </is>
      </c>
      <c r="L94" s="1" t="inlineStr">
        <is>
          <t>24.11.2023</t>
        </is>
      </c>
      <c r="M94" s="1" t="inlineStr">
        <is>
          <t>Успешно</t>
        </is>
      </c>
      <c r="N94" s="1" t="inlineStr">
        <is>
          <t>05.02.2024</t>
        </is>
      </c>
      <c r="O94" s="1" t="inlineStr"/>
      <c r="P94" s="1" t="inlineStr"/>
      <c r="Q94" s="1" t="inlineStr">
        <is>
          <t>Пользовательский интерфейс</t>
        </is>
      </c>
    </row>
    <row r="95">
      <c r="B95" s="1" t="inlineStr">
        <is>
          <t>37117291</t>
        </is>
      </c>
      <c r="C95" s="1" t="inlineStr">
        <is>
          <t>2978778</t>
        </is>
      </c>
      <c r="D95" t="inlineStr">
        <is>
          <t>работник 25</t>
        </is>
      </c>
      <c r="E95" s="1" t="inlineStr">
        <is>
          <t>ОБЩЕСТВО С ОГРАНИЧЕННОЙ ОТВЕТСТВЕННОСТЬЮ "АМУР ЗОЛОТО"</t>
        </is>
      </c>
      <c r="F95" s="1" t="inlineStr">
        <is>
          <t>2708001686</t>
        </is>
      </c>
      <c r="G95" s="1" t="inlineStr">
        <is>
          <t>Слесарь-ремонтник</t>
        </is>
      </c>
      <c r="H95" s="1" t="inlineStr">
        <is>
          <t>ООО "Амур Золото"</t>
        </is>
      </c>
      <c r="I95" s="1" t="inlineStr">
        <is>
          <t>2708001686</t>
        </is>
      </c>
      <c r="J95" s="1" t="inlineStr">
        <is>
          <t>ОТ № ЮГОК ЗИОФ 23-02</t>
        </is>
      </c>
      <c r="K95" s="1" t="inlineStr">
        <is>
          <t>Безопасные методы и приемы выполнения работ на высоте</t>
        </is>
      </c>
      <c r="L95" s="1" t="inlineStr">
        <is>
          <t>24.11.2023</t>
        </is>
      </c>
      <c r="M95" s="1" t="inlineStr">
        <is>
          <t>Успешно</t>
        </is>
      </c>
      <c r="N95" s="1" t="inlineStr">
        <is>
          <t>05.02.2024</t>
        </is>
      </c>
      <c r="O95" s="1" t="inlineStr"/>
      <c r="P95" s="1" t="inlineStr"/>
      <c r="Q95" s="1" t="inlineStr">
        <is>
          <t>Пользовательский интерфейс</t>
        </is>
      </c>
    </row>
    <row r="96">
      <c r="B96" s="1" t="inlineStr">
        <is>
          <t>37117292</t>
        </is>
      </c>
      <c r="C96" s="1" t="inlineStr">
        <is>
          <t>2978778</t>
        </is>
      </c>
      <c r="D96" t="inlineStr">
        <is>
          <t>работник 25</t>
        </is>
      </c>
      <c r="E96" s="1" t="inlineStr">
        <is>
          <t>ОБЩЕСТВО С ОГРАНИЧЕННОЙ ОТВЕТСТВЕННОСТЬЮ "АМУР ЗОЛОТО"</t>
        </is>
      </c>
      <c r="F96" s="1" t="inlineStr">
        <is>
          <t>2708001686</t>
        </is>
      </c>
      <c r="G96" s="1" t="inlineStr">
        <is>
          <t>Слесарь-ремонтник</t>
        </is>
      </c>
      <c r="H96" s="1" t="inlineStr">
        <is>
          <t>ООО "Амур Золото"</t>
        </is>
      </c>
      <c r="I96" s="1" t="inlineStr">
        <is>
          <t>2708001686</t>
        </is>
      </c>
      <c r="J96" s="1" t="inlineStr">
        <is>
          <t>ОТ № ЮГОК ЗИОФ 23-02</t>
        </is>
      </c>
      <c r="K96" s="1" t="inlineStr">
        <is>
          <t>Безопасные методы и приемы выполнения работ в ограниченных и замкнутых пространствах (ОЗП)</t>
        </is>
      </c>
      <c r="L96" s="1" t="inlineStr">
        <is>
          <t>24.11.2023</t>
        </is>
      </c>
      <c r="M96" s="1" t="inlineStr">
        <is>
          <t>Успешно</t>
        </is>
      </c>
      <c r="N96" s="1" t="inlineStr">
        <is>
          <t>05.02.2024</t>
        </is>
      </c>
      <c r="O96" s="1" t="inlineStr"/>
      <c r="P96" s="1" t="inlineStr"/>
      <c r="Q96" s="1" t="inlineStr">
        <is>
          <t>Пользовательский интерфейс</t>
        </is>
      </c>
    </row>
    <row r="97">
      <c r="B97" s="1" t="inlineStr">
        <is>
          <t>37117293</t>
        </is>
      </c>
      <c r="C97" s="1" t="inlineStr">
        <is>
          <t>2978778</t>
        </is>
      </c>
      <c r="D97" t="inlineStr">
        <is>
          <t>работник 25</t>
        </is>
      </c>
      <c r="E97" s="1" t="inlineStr">
        <is>
          <t>ОБЩЕСТВО С ОГРАНИЧЕННОЙ ОТВЕТСТВЕННОСТЬЮ "АМУР ЗОЛОТО"</t>
        </is>
      </c>
      <c r="F97" s="1" t="inlineStr">
        <is>
          <t>2708001686</t>
        </is>
      </c>
      <c r="G97" s="1" t="inlineStr">
        <is>
          <t>Слесарь-ремонтник</t>
        </is>
      </c>
      <c r="H97" s="1" t="inlineStr">
        <is>
          <t>ООО "Амур Золото"</t>
        </is>
      </c>
      <c r="I97" s="1" t="inlineStr">
        <is>
          <t>2708001686</t>
        </is>
      </c>
      <c r="J97" s="1" t="inlineStr">
        <is>
          <t>ОТ № ЮГОК ЗИОФ 23-02</t>
        </is>
      </c>
      <c r="K97" s="1" t="inlineStr">
        <is>
          <t>Безопасные методы и приемы выполнения огневых работ</t>
        </is>
      </c>
      <c r="L97" s="1" t="inlineStr">
        <is>
          <t>24.11.2023</t>
        </is>
      </c>
      <c r="M97" s="1" t="inlineStr">
        <is>
          <t>Успешно</t>
        </is>
      </c>
      <c r="N97" s="1" t="inlineStr">
        <is>
          <t>05.02.2024</t>
        </is>
      </c>
      <c r="O97" s="1" t="inlineStr"/>
      <c r="P97" s="1" t="inlineStr"/>
      <c r="Q97" s="1" t="inlineStr">
        <is>
          <t>Пользовательский интерфейс</t>
        </is>
      </c>
    </row>
    <row r="98">
      <c r="B98" s="1" t="inlineStr">
        <is>
          <t>37117294</t>
        </is>
      </c>
      <c r="C98" s="1" t="inlineStr">
        <is>
          <t>2978778</t>
        </is>
      </c>
      <c r="D98" t="inlineStr">
        <is>
          <t>работник 25</t>
        </is>
      </c>
      <c r="E98" s="1" t="inlineStr">
        <is>
          <t>ОБЩЕСТВО С ОГРАНИЧЕННОЙ ОТВЕТСТВЕННОСТЬЮ "АМУР ЗОЛОТО"</t>
        </is>
      </c>
      <c r="F98" s="1" t="inlineStr">
        <is>
          <t>2708001686</t>
        </is>
      </c>
      <c r="G98" s="1" t="inlineStr">
        <is>
          <t>Слесарь-ремонтник</t>
        </is>
      </c>
      <c r="H98" s="1" t="inlineStr">
        <is>
          <t>ООО "Амур Золото"</t>
        </is>
      </c>
      <c r="I98" s="1" t="inlineStr">
        <is>
          <t>2708001686</t>
        </is>
      </c>
      <c r="J98" s="1" t="inlineStr">
        <is>
          <t>ОТ № ЮГОК ЗИОФ 23-02</t>
        </is>
      </c>
      <c r="K98" s="1" t="inlineStr">
        <is>
          <t>Безопасные методы и приемы выполнения работ, связанные с эксплуатацией подъемных сооружений</t>
        </is>
      </c>
      <c r="L98" s="1" t="inlineStr">
        <is>
          <t>24.11.2023</t>
        </is>
      </c>
      <c r="M98" s="1" t="inlineStr">
        <is>
          <t>Успешно</t>
        </is>
      </c>
      <c r="N98" s="1" t="inlineStr">
        <is>
          <t>05.02.2024</t>
        </is>
      </c>
      <c r="O98" s="1" t="inlineStr"/>
      <c r="P98" s="1" t="inlineStr"/>
      <c r="Q98" s="1" t="inlineStr">
        <is>
          <t>Пользовательский интерфейс</t>
        </is>
      </c>
    </row>
    <row r="99">
      <c r="B99" s="1" t="inlineStr">
        <is>
          <t>37117295</t>
        </is>
      </c>
      <c r="C99" s="1" t="inlineStr">
        <is>
          <t>2978778</t>
        </is>
      </c>
      <c r="D99" t="inlineStr">
        <is>
          <t>работник 25</t>
        </is>
      </c>
      <c r="E99" s="1" t="inlineStr">
        <is>
          <t>ОБЩЕСТВО С ОГРАНИЧЕННОЙ ОТВЕТСТВЕННОСТЬЮ "АМУР ЗОЛОТО"</t>
        </is>
      </c>
      <c r="F99" s="1" t="inlineStr">
        <is>
          <t>2708001686</t>
        </is>
      </c>
      <c r="G99" s="1" t="inlineStr">
        <is>
          <t>Слесарь-ремонтник</t>
        </is>
      </c>
      <c r="H99" s="1" t="inlineStr">
        <is>
          <t>ООО "Амур Золото"</t>
        </is>
      </c>
      <c r="I99" s="1" t="inlineStr">
        <is>
          <t>2708001686</t>
        </is>
      </c>
      <c r="J99" s="1" t="inlineStr">
        <is>
          <t>ОТ № ЮГОК ЗИОФ 23-02</t>
        </is>
      </c>
      <c r="K99" s="1" t="inlineStr">
        <is>
          <t>Безопасные методы и приемы выполнения работ, связанные с эксплуатацией сосудов, работающих под избыточным давлением</t>
        </is>
      </c>
      <c r="L99" s="1" t="inlineStr">
        <is>
          <t>24.11.2023</t>
        </is>
      </c>
      <c r="M99" s="1" t="inlineStr">
        <is>
          <t>Успешно</t>
        </is>
      </c>
      <c r="N99" s="1" t="inlineStr">
        <is>
          <t>05.02.2024</t>
        </is>
      </c>
      <c r="O99" s="1" t="inlineStr"/>
      <c r="P99" s="1" t="inlineStr"/>
      <c r="Q99" s="1" t="inlineStr">
        <is>
          <t>Пользовательский интерфейс</t>
        </is>
      </c>
    </row>
    <row r="100">
      <c r="B100" s="1" t="inlineStr">
        <is>
          <t>37117296</t>
        </is>
      </c>
      <c r="C100" s="1" t="inlineStr">
        <is>
          <t>2978778</t>
        </is>
      </c>
      <c r="D100" t="inlineStr">
        <is>
          <t>работник 26</t>
        </is>
      </c>
      <c r="E100" s="1" t="inlineStr">
        <is>
          <t>ОБЩЕСТВО С ОГРАНИЧЕННОЙ ОТВЕТСТВЕННОСТЬЮ "АМУР ЗОЛОТО"</t>
        </is>
      </c>
      <c r="F100" s="1" t="inlineStr">
        <is>
          <t>2708001686</t>
        </is>
      </c>
      <c r="G100" s="1" t="inlineStr">
        <is>
          <t>Электрогазосварщик</t>
        </is>
      </c>
      <c r="H100" s="1" t="inlineStr">
        <is>
          <t>ООО "Амур Золото"</t>
        </is>
      </c>
      <c r="I100" s="1" t="inlineStr">
        <is>
          <t>2708001686</t>
        </is>
      </c>
      <c r="J100" s="1" t="inlineStr">
        <is>
          <t>ОТ № ЮГОК ЗИОФ 23-02</t>
        </is>
      </c>
      <c r="K100" s="1" t="inlineStr">
        <is>
          <t>Безопасные методы и приемы выполнения работ при размещении, монтаже, техническом обслуживании и ремонте технологического оборудования (включая технологическое оборудование)</t>
        </is>
      </c>
      <c r="L100" s="1" t="inlineStr">
        <is>
          <t>24.11.2023</t>
        </is>
      </c>
      <c r="M100" s="1" t="inlineStr">
        <is>
          <t>Успешно</t>
        </is>
      </c>
      <c r="N100" s="1" t="inlineStr">
        <is>
          <t>05.02.2024</t>
        </is>
      </c>
      <c r="O100" s="1" t="inlineStr"/>
      <c r="P100" s="1" t="inlineStr"/>
      <c r="Q100" s="1" t="inlineStr">
        <is>
          <t>Пользовательский интерфейс</t>
        </is>
      </c>
    </row>
    <row r="101">
      <c r="B101" s="1" t="inlineStr">
        <is>
          <t>37117297</t>
        </is>
      </c>
      <c r="C101" s="1" t="inlineStr">
        <is>
          <t>2978778</t>
        </is>
      </c>
      <c r="D101" t="inlineStr">
        <is>
          <t>работник 26</t>
        </is>
      </c>
      <c r="E101" s="1" t="inlineStr">
        <is>
          <t>ОБЩЕСТВО С ОГРАНИЧЕННОЙ ОТВЕТСТВЕННОСТЬЮ "АМУР ЗОЛОТО"</t>
        </is>
      </c>
      <c r="F101" s="1" t="inlineStr">
        <is>
          <t>2708001686</t>
        </is>
      </c>
      <c r="G101" s="1" t="inlineStr">
        <is>
          <t>Электрогазосварщик</t>
        </is>
      </c>
      <c r="H101" s="1" t="inlineStr">
        <is>
          <t>ООО "Амур Золото"</t>
        </is>
      </c>
      <c r="I101" s="1" t="inlineStr">
        <is>
          <t>2708001686</t>
        </is>
      </c>
      <c r="J101" s="1" t="inlineStr">
        <is>
          <t>ОТ № ЮГОК ЗИОФ 23-02</t>
        </is>
      </c>
      <c r="K101" s="1" t="inlineStr">
        <is>
          <t>Безопасные методы и приемы выполнения работ на высоте</t>
        </is>
      </c>
      <c r="L101" s="1" t="inlineStr">
        <is>
          <t>24.11.2023</t>
        </is>
      </c>
      <c r="M101" s="1" t="inlineStr">
        <is>
          <t>Успешно</t>
        </is>
      </c>
      <c r="N101" s="1" t="inlineStr">
        <is>
          <t>05.02.2024</t>
        </is>
      </c>
      <c r="O101" s="1" t="inlineStr"/>
      <c r="P101" s="1" t="inlineStr"/>
      <c r="Q101" s="1" t="inlineStr">
        <is>
          <t>Пользовательский интерфейс</t>
        </is>
      </c>
    </row>
    <row r="102">
      <c r="B102" s="1" t="inlineStr">
        <is>
          <t>37117298</t>
        </is>
      </c>
      <c r="C102" s="1" t="inlineStr">
        <is>
          <t>2978778</t>
        </is>
      </c>
      <c r="D102" t="inlineStr">
        <is>
          <t>работник 26</t>
        </is>
      </c>
      <c r="E102" s="1" t="inlineStr">
        <is>
          <t>ОБЩЕСТВО С ОГРАНИЧЕННОЙ ОТВЕТСТВЕННОСТЬЮ "АМУР ЗОЛОТО"</t>
        </is>
      </c>
      <c r="F102" s="1" t="inlineStr">
        <is>
          <t>2708001686</t>
        </is>
      </c>
      <c r="G102" s="1" t="inlineStr">
        <is>
          <t>Электрогазосварщик</t>
        </is>
      </c>
      <c r="H102" s="1" t="inlineStr">
        <is>
          <t>ООО "Амур Золото"</t>
        </is>
      </c>
      <c r="I102" s="1" t="inlineStr">
        <is>
          <t>2708001686</t>
        </is>
      </c>
      <c r="J102" s="1" t="inlineStr">
        <is>
          <t>ОТ № ЮГОК ЗИОФ 23-02</t>
        </is>
      </c>
      <c r="K102" s="1" t="inlineStr">
        <is>
          <t>Безопасные методы и приемы выполнения работ в ограниченных и замкнутых пространствах (ОЗП)</t>
        </is>
      </c>
      <c r="L102" s="1" t="inlineStr">
        <is>
          <t>24.11.2023</t>
        </is>
      </c>
      <c r="M102" s="1" t="inlineStr">
        <is>
          <t>Успешно</t>
        </is>
      </c>
      <c r="N102" s="1" t="inlineStr">
        <is>
          <t>05.02.2024</t>
        </is>
      </c>
      <c r="O102" s="1" t="inlineStr"/>
      <c r="P102" s="1" t="inlineStr"/>
      <c r="Q102" s="1" t="inlineStr">
        <is>
          <t>Пользовательский интерфейс</t>
        </is>
      </c>
    </row>
    <row r="103">
      <c r="B103" s="1" t="inlineStr">
        <is>
          <t>37117299</t>
        </is>
      </c>
      <c r="C103" s="1" t="inlineStr">
        <is>
          <t>2978778</t>
        </is>
      </c>
      <c r="D103" t="inlineStr">
        <is>
          <t>работник 26</t>
        </is>
      </c>
      <c r="E103" s="1" t="inlineStr">
        <is>
          <t>ОБЩЕСТВО С ОГРАНИЧЕННОЙ ОТВЕТСТВЕННОСТЬЮ "АМУР ЗОЛОТО"</t>
        </is>
      </c>
      <c r="F103" s="1" t="inlineStr">
        <is>
          <t>2708001686</t>
        </is>
      </c>
      <c r="G103" s="1" t="inlineStr">
        <is>
          <t>Электрогазосварщик</t>
        </is>
      </c>
      <c r="H103" s="1" t="inlineStr">
        <is>
          <t>ООО "Амур Золото"</t>
        </is>
      </c>
      <c r="I103" s="1" t="inlineStr">
        <is>
          <t>2708001686</t>
        </is>
      </c>
      <c r="J103" s="1" t="inlineStr">
        <is>
          <t>ОТ № ЮГОК ЗИОФ 23-02</t>
        </is>
      </c>
      <c r="K103" s="1" t="inlineStr">
        <is>
          <t>Безопасные методы и приемы выполнения огневых работ</t>
        </is>
      </c>
      <c r="L103" s="1" t="inlineStr">
        <is>
          <t>24.11.2023</t>
        </is>
      </c>
      <c r="M103" s="1" t="inlineStr">
        <is>
          <t>Успешно</t>
        </is>
      </c>
      <c r="N103" s="1" t="inlineStr">
        <is>
          <t>05.02.2024</t>
        </is>
      </c>
      <c r="O103" s="1" t="inlineStr"/>
      <c r="P103" s="1" t="inlineStr"/>
      <c r="Q103" s="1" t="inlineStr">
        <is>
          <t>Пользовательский интерфейс</t>
        </is>
      </c>
    </row>
    <row r="104">
      <c r="B104" s="1" t="inlineStr">
        <is>
          <t>37117300</t>
        </is>
      </c>
      <c r="C104" s="1" t="inlineStr">
        <is>
          <t>2978778</t>
        </is>
      </c>
      <c r="D104" t="inlineStr">
        <is>
          <t>работник 26</t>
        </is>
      </c>
      <c r="E104" s="1" t="inlineStr">
        <is>
          <t>ОБЩЕСТВО С ОГРАНИЧЕННОЙ ОТВЕТСТВЕННОСТЬЮ "АМУР ЗОЛОТО"</t>
        </is>
      </c>
      <c r="F104" s="1" t="inlineStr">
        <is>
          <t>2708001686</t>
        </is>
      </c>
      <c r="G104" s="1" t="inlineStr">
        <is>
          <t>Электрогазосварщик</t>
        </is>
      </c>
      <c r="H104" s="1" t="inlineStr">
        <is>
          <t>ООО "Амур Золото"</t>
        </is>
      </c>
      <c r="I104" s="1" t="inlineStr">
        <is>
          <t>2708001686</t>
        </is>
      </c>
      <c r="J104" s="1" t="inlineStr">
        <is>
          <t>ОТ № ЮГОК ЗИОФ 23-02</t>
        </is>
      </c>
      <c r="K104" s="1" t="inlineStr">
        <is>
          <t>Безопасные методы и приемы выполнения работ, связанные с эксплуатацией подъемных сооружений</t>
        </is>
      </c>
      <c r="L104" s="1" t="inlineStr">
        <is>
          <t>24.11.2023</t>
        </is>
      </c>
      <c r="M104" s="1" t="inlineStr">
        <is>
          <t>Успешно</t>
        </is>
      </c>
      <c r="N104" s="1" t="inlineStr">
        <is>
          <t>05.02.2024</t>
        </is>
      </c>
      <c r="O104" s="1" t="inlineStr"/>
      <c r="P104" s="1" t="inlineStr"/>
      <c r="Q104" s="1" t="inlineStr">
        <is>
          <t>Пользовательский интерфейс</t>
        </is>
      </c>
    </row>
    <row r="105">
      <c r="B105" s="1" t="inlineStr">
        <is>
          <t>37117301</t>
        </is>
      </c>
      <c r="C105" s="1" t="inlineStr">
        <is>
          <t>2978778</t>
        </is>
      </c>
      <c r="D105" t="inlineStr">
        <is>
          <t>работник 26</t>
        </is>
      </c>
      <c r="E105" s="1" t="inlineStr">
        <is>
          <t>ОБЩЕСТВО С ОГРАНИЧЕННОЙ ОТВЕТСТВЕННОСТЬЮ "АМУР ЗОЛОТО"</t>
        </is>
      </c>
      <c r="F105" s="1" t="inlineStr">
        <is>
          <t>2708001686</t>
        </is>
      </c>
      <c r="G105" s="1" t="inlineStr">
        <is>
          <t>Электрогазосварщик</t>
        </is>
      </c>
      <c r="H105" s="1" t="inlineStr">
        <is>
          <t>ООО "Амур Золото"</t>
        </is>
      </c>
      <c r="I105" s="1" t="inlineStr">
        <is>
          <t>2708001686</t>
        </is>
      </c>
      <c r="J105" s="1" t="inlineStr">
        <is>
          <t>ОТ № ЮГОК ЗИОФ 23-02</t>
        </is>
      </c>
      <c r="K105" s="1" t="inlineStr">
        <is>
          <t>Безопасные методы и приемы выполнения работ, связанные с эксплуатацией сосудов, работающих под избыточным давлением</t>
        </is>
      </c>
      <c r="L105" s="1" t="inlineStr">
        <is>
          <t>24.11.2023</t>
        </is>
      </c>
      <c r="M105" s="1" t="inlineStr">
        <is>
          <t>Успешно</t>
        </is>
      </c>
      <c r="N105" s="1" t="inlineStr">
        <is>
          <t>05.02.2024</t>
        </is>
      </c>
      <c r="O105" s="1" t="inlineStr"/>
      <c r="P105" s="1" t="inlineStr"/>
      <c r="Q105" s="1" t="inlineStr">
        <is>
          <t>Пользовательский интерфейс</t>
        </is>
      </c>
    </row>
    <row r="106">
      <c r="B106" s="1" t="inlineStr">
        <is>
          <t>37117302</t>
        </is>
      </c>
      <c r="C106" s="1" t="inlineStr">
        <is>
          <t>2978778</t>
        </is>
      </c>
      <c r="D106" t="inlineStr">
        <is>
          <t>работник 27</t>
        </is>
      </c>
      <c r="E106" s="1" t="inlineStr">
        <is>
          <t>ОБЩЕСТВО С ОГРАНИЧЕННОЙ ОТВЕТСТВЕННОСТЬЮ "АМУР ЗОЛОТО"</t>
        </is>
      </c>
      <c r="F106" s="1" t="inlineStr">
        <is>
          <t>2708001686</t>
        </is>
      </c>
      <c r="G106" s="1" t="inlineStr">
        <is>
          <t>Электрогазосварщик</t>
        </is>
      </c>
      <c r="H106" s="1" t="inlineStr">
        <is>
          <t>ООО "Амур Золото"</t>
        </is>
      </c>
      <c r="I106" s="1" t="inlineStr">
        <is>
          <t>2708001686</t>
        </is>
      </c>
      <c r="J106" s="1" t="inlineStr">
        <is>
          <t>ОТ № ЮГОК ЗИОФ 23-02</t>
        </is>
      </c>
      <c r="K106" s="1" t="inlineStr">
        <is>
          <t>Безопасные методы и приемы выполнения работ на высоте</t>
        </is>
      </c>
      <c r="L106" s="1" t="inlineStr">
        <is>
          <t>24.11.2023</t>
        </is>
      </c>
      <c r="M106" s="1" t="inlineStr">
        <is>
          <t>Успешно</t>
        </is>
      </c>
      <c r="N106" s="1" t="inlineStr">
        <is>
          <t>05.02.2024</t>
        </is>
      </c>
      <c r="O106" s="1" t="inlineStr"/>
      <c r="P106" s="1" t="inlineStr"/>
      <c r="Q106" s="1" t="inlineStr">
        <is>
          <t>Пользовательский интерфейс</t>
        </is>
      </c>
    </row>
    <row r="107">
      <c r="B107" s="1" t="inlineStr">
        <is>
          <t>37117303</t>
        </is>
      </c>
      <c r="C107" s="1" t="inlineStr">
        <is>
          <t>2978778</t>
        </is>
      </c>
      <c r="D107" t="inlineStr">
        <is>
          <t>работник 27</t>
        </is>
      </c>
      <c r="E107" s="1" t="inlineStr">
        <is>
          <t>ОБЩЕСТВО С ОГРАНИЧЕННОЙ ОТВЕТСТВЕННОСТЬЮ "АМУР ЗОЛОТО"</t>
        </is>
      </c>
      <c r="F107" s="1" t="inlineStr">
        <is>
          <t>2708001686</t>
        </is>
      </c>
      <c r="G107" s="1" t="inlineStr">
        <is>
          <t>Электрогазосварщик</t>
        </is>
      </c>
      <c r="H107" s="1" t="inlineStr">
        <is>
          <t>ООО "Амур Золото"</t>
        </is>
      </c>
      <c r="I107" s="1" t="inlineStr">
        <is>
          <t>2708001686</t>
        </is>
      </c>
      <c r="J107" s="1" t="inlineStr">
        <is>
          <t>ОТ № ЮГОК ЗИОФ 23-02</t>
        </is>
      </c>
      <c r="K107" s="1" t="inlineStr">
        <is>
          <t>Безопасные методы и приемы выполнения работ в ограниченных и замкнутых пространствах (ОЗП)</t>
        </is>
      </c>
      <c r="L107" s="1" t="inlineStr">
        <is>
          <t>24.11.2023</t>
        </is>
      </c>
      <c r="M107" s="1" t="inlineStr">
        <is>
          <t>Успешно</t>
        </is>
      </c>
      <c r="N107" s="1" t="inlineStr">
        <is>
          <t>05.02.2024</t>
        </is>
      </c>
      <c r="O107" s="1" t="inlineStr"/>
      <c r="P107" s="1" t="inlineStr"/>
      <c r="Q107" s="1" t="inlineStr">
        <is>
          <t>Пользовательский интерфейс</t>
        </is>
      </c>
    </row>
    <row r="108">
      <c r="B108" s="1" t="inlineStr">
        <is>
          <t>37117304</t>
        </is>
      </c>
      <c r="C108" s="1" t="inlineStr">
        <is>
          <t>2978778</t>
        </is>
      </c>
      <c r="D108" t="inlineStr">
        <is>
          <t>работник 27</t>
        </is>
      </c>
      <c r="E108" s="1" t="inlineStr">
        <is>
          <t>ОБЩЕСТВО С ОГРАНИЧЕННОЙ ОТВЕТСТВЕННОСТЬЮ "АМУР ЗОЛОТО"</t>
        </is>
      </c>
      <c r="F108" s="1" t="inlineStr">
        <is>
          <t>2708001686</t>
        </is>
      </c>
      <c r="G108" s="1" t="inlineStr">
        <is>
          <t>Электрогазосварщик</t>
        </is>
      </c>
      <c r="H108" s="1" t="inlineStr">
        <is>
          <t>ООО "Амур Золото"</t>
        </is>
      </c>
      <c r="I108" s="1" t="inlineStr">
        <is>
          <t>2708001686</t>
        </is>
      </c>
      <c r="J108" s="1" t="inlineStr">
        <is>
          <t>ОТ № ЮГОК ЗИОФ 23-02</t>
        </is>
      </c>
      <c r="K108" s="1" t="inlineStr">
        <is>
          <t>Безопасные методы и приемы выполнения огневых работ</t>
        </is>
      </c>
      <c r="L108" s="1" t="inlineStr">
        <is>
          <t>24.11.2023</t>
        </is>
      </c>
      <c r="M108" s="1" t="inlineStr">
        <is>
          <t>Успешно</t>
        </is>
      </c>
      <c r="N108" s="1" t="inlineStr">
        <is>
          <t>05.02.2024</t>
        </is>
      </c>
      <c r="O108" s="1" t="inlineStr"/>
      <c r="P108" s="1" t="inlineStr"/>
      <c r="Q108" s="1" t="inlineStr">
        <is>
          <t>Пользовательский интерфейс</t>
        </is>
      </c>
    </row>
    <row r="109">
      <c r="B109" s="1" t="inlineStr">
        <is>
          <t>37117305</t>
        </is>
      </c>
      <c r="C109" s="1" t="inlineStr">
        <is>
          <t>2978778</t>
        </is>
      </c>
      <c r="D109" t="inlineStr">
        <is>
          <t>работник 27</t>
        </is>
      </c>
      <c r="E109" s="1" t="inlineStr">
        <is>
          <t>ОБЩЕСТВО С ОГРАНИЧЕННОЙ ОТВЕТСТВЕННОСТЬЮ "АМУР ЗОЛОТО"</t>
        </is>
      </c>
      <c r="F109" s="1" t="inlineStr">
        <is>
          <t>2708001686</t>
        </is>
      </c>
      <c r="G109" s="1" t="inlineStr">
        <is>
          <t>Электрогазосварщик</t>
        </is>
      </c>
      <c r="H109" s="1" t="inlineStr">
        <is>
          <t>ООО "Амур Золото"</t>
        </is>
      </c>
      <c r="I109" s="1" t="inlineStr">
        <is>
          <t>2708001686</t>
        </is>
      </c>
      <c r="J109" s="1" t="inlineStr">
        <is>
          <t>ОТ № ЮГОК ЗИОФ 23-02</t>
        </is>
      </c>
      <c r="K109" s="1" t="inlineStr">
        <is>
          <t>Безопасные методы и приемы выполнения работ, связанные с эксплуатацией подъемных сооружений</t>
        </is>
      </c>
      <c r="L109" s="1" t="inlineStr">
        <is>
          <t>24.11.2023</t>
        </is>
      </c>
      <c r="M109" s="1" t="inlineStr">
        <is>
          <t>Успешно</t>
        </is>
      </c>
      <c r="N109" s="1" t="inlineStr">
        <is>
          <t>05.02.2024</t>
        </is>
      </c>
      <c r="O109" s="1" t="inlineStr"/>
      <c r="P109" s="1" t="inlineStr"/>
      <c r="Q109" s="1" t="inlineStr">
        <is>
          <t>Пользовательский интерфейс</t>
        </is>
      </c>
    </row>
    <row r="110">
      <c r="B110" s="1" t="inlineStr">
        <is>
          <t>37117306</t>
        </is>
      </c>
      <c r="C110" s="1" t="inlineStr">
        <is>
          <t>2978778</t>
        </is>
      </c>
      <c r="D110" t="inlineStr">
        <is>
          <t>работник 27</t>
        </is>
      </c>
      <c r="E110" s="1" t="inlineStr">
        <is>
          <t>ОБЩЕСТВО С ОГРАНИЧЕННОЙ ОТВЕТСТВЕННОСТЬЮ "АМУР ЗОЛОТО"</t>
        </is>
      </c>
      <c r="F110" s="1" t="inlineStr">
        <is>
          <t>2708001686</t>
        </is>
      </c>
      <c r="G110" s="1" t="inlineStr">
        <is>
          <t>Электрогазосварщик</t>
        </is>
      </c>
      <c r="H110" s="1" t="inlineStr">
        <is>
          <t>ООО "Амур Золото"</t>
        </is>
      </c>
      <c r="I110" s="1" t="inlineStr">
        <is>
          <t>2708001686</t>
        </is>
      </c>
      <c r="J110" s="1" t="inlineStr">
        <is>
          <t>ОТ № ЮГОК ЗИОФ 23-02</t>
        </is>
      </c>
      <c r="K110" s="1" t="inlineStr">
        <is>
          <t>Безопасные методы и приемы выполнения работ, связанные с эксплуатацией сосудов, работающих под избыточным давлением</t>
        </is>
      </c>
      <c r="L110" s="1" t="inlineStr">
        <is>
          <t>24.11.2023</t>
        </is>
      </c>
      <c r="M110" s="1" t="inlineStr">
        <is>
          <t>Успешно</t>
        </is>
      </c>
      <c r="N110" s="1" t="inlineStr">
        <is>
          <t>05.02.2024</t>
        </is>
      </c>
      <c r="O110" s="1" t="inlineStr"/>
      <c r="P110" s="1" t="inlineStr"/>
      <c r="Q110" s="1" t="inlineStr">
        <is>
          <t>Пользовательский интерфейс</t>
        </is>
      </c>
    </row>
    <row r="111">
      <c r="B111" s="1" t="inlineStr">
        <is>
          <t>37117307</t>
        </is>
      </c>
      <c r="C111" s="1" t="inlineStr">
        <is>
          <t>2978778</t>
        </is>
      </c>
      <c r="D111" t="inlineStr">
        <is>
          <t>работник 28</t>
        </is>
      </c>
      <c r="E111" s="1" t="inlineStr">
        <is>
          <t>ОБЩЕСТВО С ОГРАНИЧЕННОЙ ОТВЕТСТВЕННОСТЬЮ "АМУР ЗОЛОТО"</t>
        </is>
      </c>
      <c r="F111" s="1" t="inlineStr">
        <is>
          <t>2708001686</t>
        </is>
      </c>
      <c r="G111" s="1" t="inlineStr">
        <is>
          <t>Электрогазосварщик</t>
        </is>
      </c>
      <c r="H111" s="1" t="inlineStr">
        <is>
          <t>ООО "Амур Золото"</t>
        </is>
      </c>
      <c r="I111" s="1" t="inlineStr">
        <is>
          <t>2708001686</t>
        </is>
      </c>
      <c r="J111" s="1" t="inlineStr">
        <is>
          <t>ОТ № ЮГОК ЗИОФ 23-02</t>
        </is>
      </c>
      <c r="K111" s="1" t="inlineStr">
        <is>
          <t>Безопасные методы и приемы выполнения работ при размещении, монтаже, техническом обслуживании и ремонте технологического оборудования (включая технологическое оборудование)</t>
        </is>
      </c>
      <c r="L111" s="1" t="inlineStr">
        <is>
          <t>24.11.2023</t>
        </is>
      </c>
      <c r="M111" s="1" t="inlineStr">
        <is>
          <t>Успешно</t>
        </is>
      </c>
      <c r="N111" s="1" t="inlineStr">
        <is>
          <t>05.02.2024</t>
        </is>
      </c>
      <c r="O111" s="1" t="inlineStr"/>
      <c r="P111" s="1" t="inlineStr"/>
      <c r="Q111" s="1" t="inlineStr">
        <is>
          <t>Пользовательский интерфейс</t>
        </is>
      </c>
    </row>
    <row r="112">
      <c r="B112" s="1" t="inlineStr">
        <is>
          <t>37117308</t>
        </is>
      </c>
      <c r="C112" s="1" t="inlineStr">
        <is>
          <t>2978778</t>
        </is>
      </c>
      <c r="D112" t="inlineStr">
        <is>
          <t>работник 28</t>
        </is>
      </c>
      <c r="E112" s="1" t="inlineStr">
        <is>
          <t>ОБЩЕСТВО С ОГРАНИЧЕННОЙ ОТВЕТСТВЕННОСТЬЮ "АМУР ЗОЛОТО"</t>
        </is>
      </c>
      <c r="F112" s="1" t="inlineStr">
        <is>
          <t>2708001686</t>
        </is>
      </c>
      <c r="G112" s="1" t="inlineStr">
        <is>
          <t>Электрогазосварщик</t>
        </is>
      </c>
      <c r="H112" s="1" t="inlineStr">
        <is>
          <t>ООО "Амур Золото"</t>
        </is>
      </c>
      <c r="I112" s="1" t="inlineStr">
        <is>
          <t>2708001686</t>
        </is>
      </c>
      <c r="J112" s="1" t="inlineStr">
        <is>
          <t>ОТ № ЮГОК ЗИОФ 23-02</t>
        </is>
      </c>
      <c r="K112" s="1" t="inlineStr">
        <is>
          <t>Безопасные методы и приемы выполнения работ на высоте</t>
        </is>
      </c>
      <c r="L112" s="1" t="inlineStr">
        <is>
          <t>24.11.2023</t>
        </is>
      </c>
      <c r="M112" s="1" t="inlineStr">
        <is>
          <t>Успешно</t>
        </is>
      </c>
      <c r="N112" s="1" t="inlineStr">
        <is>
          <t>05.02.2024</t>
        </is>
      </c>
      <c r="O112" s="1" t="inlineStr"/>
      <c r="P112" s="1" t="inlineStr"/>
      <c r="Q112" s="1" t="inlineStr">
        <is>
          <t>Пользовательский интерфейс</t>
        </is>
      </c>
    </row>
    <row r="113">
      <c r="B113" s="1" t="inlineStr">
        <is>
          <t>37117309</t>
        </is>
      </c>
      <c r="C113" s="1" t="inlineStr">
        <is>
          <t>2978778</t>
        </is>
      </c>
      <c r="D113" t="inlineStr">
        <is>
          <t>работник 28</t>
        </is>
      </c>
      <c r="E113" s="1" t="inlineStr">
        <is>
          <t>ОБЩЕСТВО С ОГРАНИЧЕННОЙ ОТВЕТСТВЕННОСТЬЮ "АМУР ЗОЛОТО"</t>
        </is>
      </c>
      <c r="F113" s="1" t="inlineStr">
        <is>
          <t>2708001686</t>
        </is>
      </c>
      <c r="G113" s="1" t="inlineStr">
        <is>
          <t>Электрогазосварщик</t>
        </is>
      </c>
      <c r="H113" s="1" t="inlineStr">
        <is>
          <t>ООО "Амур Золото"</t>
        </is>
      </c>
      <c r="I113" s="1" t="inlineStr">
        <is>
          <t>2708001686</t>
        </is>
      </c>
      <c r="J113" s="1" t="inlineStr">
        <is>
          <t>ОТ № ЮГОК ЗИОФ 23-02</t>
        </is>
      </c>
      <c r="K113" s="1" t="inlineStr">
        <is>
          <t>Безопасные методы и приемы выполнения работ в ограниченных и замкнутых пространствах (ОЗП)</t>
        </is>
      </c>
      <c r="L113" s="1" t="inlineStr">
        <is>
          <t>24.11.2023</t>
        </is>
      </c>
      <c r="M113" s="1" t="inlineStr">
        <is>
          <t>Успешно</t>
        </is>
      </c>
      <c r="N113" s="1" t="inlineStr">
        <is>
          <t>05.02.2024</t>
        </is>
      </c>
      <c r="O113" s="1" t="inlineStr"/>
      <c r="P113" s="1" t="inlineStr"/>
      <c r="Q113" s="1" t="inlineStr">
        <is>
          <t>Пользовательский интерфейс</t>
        </is>
      </c>
    </row>
    <row r="114">
      <c r="B114" s="1" t="inlineStr">
        <is>
          <t>37117310</t>
        </is>
      </c>
      <c r="C114" s="1" t="inlineStr">
        <is>
          <t>2978778</t>
        </is>
      </c>
      <c r="D114" t="inlineStr">
        <is>
          <t>работник 28</t>
        </is>
      </c>
      <c r="E114" s="1" t="inlineStr">
        <is>
          <t>ОБЩЕСТВО С ОГРАНИЧЕННОЙ ОТВЕТСТВЕННОСТЬЮ "АМУР ЗОЛОТО"</t>
        </is>
      </c>
      <c r="F114" s="1" t="inlineStr">
        <is>
          <t>2708001686</t>
        </is>
      </c>
      <c r="G114" s="1" t="inlineStr">
        <is>
          <t>Электрогазосварщик</t>
        </is>
      </c>
      <c r="H114" s="1" t="inlineStr">
        <is>
          <t>ООО "Амур Золото"</t>
        </is>
      </c>
      <c r="I114" s="1" t="inlineStr">
        <is>
          <t>2708001686</t>
        </is>
      </c>
      <c r="J114" s="1" t="inlineStr">
        <is>
          <t>ОТ № ЮГОК ЗИОФ 23-02</t>
        </is>
      </c>
      <c r="K114" s="1" t="inlineStr">
        <is>
          <t>Безопасные методы и приемы выполнения огневых работ</t>
        </is>
      </c>
      <c r="L114" s="1" t="inlineStr">
        <is>
          <t>24.11.2023</t>
        </is>
      </c>
      <c r="M114" s="1" t="inlineStr">
        <is>
          <t>Успешно</t>
        </is>
      </c>
      <c r="N114" s="1" t="inlineStr">
        <is>
          <t>05.02.2024</t>
        </is>
      </c>
      <c r="O114" s="1" t="inlineStr"/>
      <c r="P114" s="1" t="inlineStr"/>
      <c r="Q114" s="1" t="inlineStr">
        <is>
          <t>Пользовательский интерфейс</t>
        </is>
      </c>
    </row>
    <row r="115">
      <c r="B115" s="1" t="inlineStr">
        <is>
          <t>37117311</t>
        </is>
      </c>
      <c r="C115" s="1" t="inlineStr">
        <is>
          <t>2978778</t>
        </is>
      </c>
      <c r="D115" t="inlineStr">
        <is>
          <t>работник 28</t>
        </is>
      </c>
      <c r="E115" s="1" t="inlineStr">
        <is>
          <t>ОБЩЕСТВО С ОГРАНИЧЕННОЙ ОТВЕТСТВЕННОСТЬЮ "АМУР ЗОЛОТО"</t>
        </is>
      </c>
      <c r="F115" s="1" t="inlineStr">
        <is>
          <t>2708001686</t>
        </is>
      </c>
      <c r="G115" s="1" t="inlineStr">
        <is>
          <t>Электрогазосварщик</t>
        </is>
      </c>
      <c r="H115" s="1" t="inlineStr">
        <is>
          <t>ООО "Амур Золото"</t>
        </is>
      </c>
      <c r="I115" s="1" t="inlineStr">
        <is>
          <t>2708001686</t>
        </is>
      </c>
      <c r="J115" s="1" t="inlineStr">
        <is>
          <t>ОТ № ЮГОК ЗИОФ 23-02</t>
        </is>
      </c>
      <c r="K115" s="1" t="inlineStr">
        <is>
          <t>Безопасные методы и приемы выполнения работ, связанные с эксплуатацией подъемных сооружений</t>
        </is>
      </c>
      <c r="L115" s="1" t="inlineStr">
        <is>
          <t>24.11.2023</t>
        </is>
      </c>
      <c r="M115" s="1" t="inlineStr">
        <is>
          <t>Успешно</t>
        </is>
      </c>
      <c r="N115" s="1" t="inlineStr">
        <is>
          <t>05.02.2024</t>
        </is>
      </c>
      <c r="O115" s="1" t="inlineStr"/>
      <c r="P115" s="1" t="inlineStr"/>
      <c r="Q115" s="1" t="inlineStr">
        <is>
          <t>Пользовательский интерфейс</t>
        </is>
      </c>
    </row>
    <row r="116">
      <c r="B116" s="1" t="inlineStr">
        <is>
          <t>37117312</t>
        </is>
      </c>
      <c r="C116" s="1" t="inlineStr">
        <is>
          <t>2978778</t>
        </is>
      </c>
      <c r="D116" t="inlineStr">
        <is>
          <t>работник 28</t>
        </is>
      </c>
      <c r="E116" s="1" t="inlineStr">
        <is>
          <t>ОБЩЕСТВО С ОГРАНИЧЕННОЙ ОТВЕТСТВЕННОСТЬЮ "АМУР ЗОЛОТО"</t>
        </is>
      </c>
      <c r="F116" s="1" t="inlineStr">
        <is>
          <t>2708001686</t>
        </is>
      </c>
      <c r="G116" s="1" t="inlineStr">
        <is>
          <t>Электрогазосварщик</t>
        </is>
      </c>
      <c r="H116" s="1" t="inlineStr">
        <is>
          <t>ООО "Амур Золото"</t>
        </is>
      </c>
      <c r="I116" s="1" t="inlineStr">
        <is>
          <t>2708001686</t>
        </is>
      </c>
      <c r="J116" s="1" t="inlineStr">
        <is>
          <t>ОТ № ЮГОК ЗИОФ 23-02</t>
        </is>
      </c>
      <c r="K116" s="1" t="inlineStr">
        <is>
          <t>Безопасные методы и приемы выполнения работ, связанные с эксплуатацией сосудов, работающих под избыточным давлением</t>
        </is>
      </c>
      <c r="L116" s="1" t="inlineStr">
        <is>
          <t>24.11.2023</t>
        </is>
      </c>
      <c r="M116" s="1" t="inlineStr">
        <is>
          <t>Успешно</t>
        </is>
      </c>
      <c r="N116" s="1" t="inlineStr">
        <is>
          <t>05.02.2024</t>
        </is>
      </c>
      <c r="O116" s="1" t="inlineStr"/>
      <c r="P116" s="1" t="inlineStr"/>
      <c r="Q116" s="1" t="inlineStr">
        <is>
          <t>Пользовательский интерфейс</t>
        </is>
      </c>
    </row>
    <row r="117">
      <c r="B117" s="1" t="inlineStr">
        <is>
          <t>37117313</t>
        </is>
      </c>
      <c r="C117" s="1" t="inlineStr">
        <is>
          <t>2978778</t>
        </is>
      </c>
      <c r="D117" t="inlineStr">
        <is>
          <t>работник 29</t>
        </is>
      </c>
      <c r="E117" s="1" t="inlineStr">
        <is>
          <t>ОБЩЕСТВО С ОГРАНИЧЕННОЙ ОТВЕТСТВЕННОСТЬЮ "АМУР ЗОЛОТО"</t>
        </is>
      </c>
      <c r="F117" s="1" t="inlineStr">
        <is>
          <t>2708001686</t>
        </is>
      </c>
      <c r="G117" s="1" t="inlineStr">
        <is>
          <t>Электрогазосварщик</t>
        </is>
      </c>
      <c r="H117" s="1" t="inlineStr">
        <is>
          <t>ООО "Амур Золото"</t>
        </is>
      </c>
      <c r="I117" s="1" t="inlineStr">
        <is>
          <t>2708001686</t>
        </is>
      </c>
      <c r="J117" s="1" t="inlineStr">
        <is>
          <t>ОТ № ЮГОК ЗИОФ 23-02</t>
        </is>
      </c>
      <c r="K117" s="1" t="inlineStr">
        <is>
          <t>Безопасные методы и приемы выполнения работ при размещении, монтаже, техническом обслуживании и ремонте технологического оборудования (включая технологическое оборудование)</t>
        </is>
      </c>
      <c r="L117" s="1" t="inlineStr">
        <is>
          <t>24.11.2023</t>
        </is>
      </c>
      <c r="M117" s="1" t="inlineStr">
        <is>
          <t>Успешно</t>
        </is>
      </c>
      <c r="N117" s="1" t="inlineStr">
        <is>
          <t>05.02.2024</t>
        </is>
      </c>
      <c r="O117" s="1" t="inlineStr"/>
      <c r="P117" s="1" t="inlineStr"/>
      <c r="Q117" s="1" t="inlineStr">
        <is>
          <t>Пользовательский интерфейс</t>
        </is>
      </c>
    </row>
    <row r="118">
      <c r="B118" s="1" t="inlineStr">
        <is>
          <t>37117314</t>
        </is>
      </c>
      <c r="C118" s="1" t="inlineStr">
        <is>
          <t>2978778</t>
        </is>
      </c>
      <c r="D118" t="inlineStr">
        <is>
          <t>работник 29</t>
        </is>
      </c>
      <c r="E118" s="1" t="inlineStr">
        <is>
          <t>ОБЩЕСТВО С ОГРАНИЧЕННОЙ ОТВЕТСТВЕННОСТЬЮ "АМУР ЗОЛОТО"</t>
        </is>
      </c>
      <c r="F118" s="1" t="inlineStr">
        <is>
          <t>2708001686</t>
        </is>
      </c>
      <c r="G118" s="1" t="inlineStr">
        <is>
          <t>Электрогазосварщик</t>
        </is>
      </c>
      <c r="H118" s="1" t="inlineStr">
        <is>
          <t>ООО "Амур Золото"</t>
        </is>
      </c>
      <c r="I118" s="1" t="inlineStr">
        <is>
          <t>2708001686</t>
        </is>
      </c>
      <c r="J118" s="1" t="inlineStr">
        <is>
          <t>ОТ № ЮГОК ЗИОФ 23-02</t>
        </is>
      </c>
      <c r="K118" s="1" t="inlineStr">
        <is>
          <t>Безопасные методы и приемы выполнения работ на высоте</t>
        </is>
      </c>
      <c r="L118" s="1" t="inlineStr">
        <is>
          <t>24.11.2023</t>
        </is>
      </c>
      <c r="M118" s="1" t="inlineStr">
        <is>
          <t>Успешно</t>
        </is>
      </c>
      <c r="N118" s="1" t="inlineStr">
        <is>
          <t>05.02.2024</t>
        </is>
      </c>
      <c r="O118" s="1" t="inlineStr"/>
      <c r="P118" s="1" t="inlineStr"/>
      <c r="Q118" s="1" t="inlineStr">
        <is>
          <t>Пользовательский интерфейс</t>
        </is>
      </c>
    </row>
    <row r="119">
      <c r="B119" s="1" t="inlineStr">
        <is>
          <t>37117315</t>
        </is>
      </c>
      <c r="C119" s="1" t="inlineStr">
        <is>
          <t>2978778</t>
        </is>
      </c>
      <c r="D119" t="inlineStr">
        <is>
          <t>работник 29</t>
        </is>
      </c>
      <c r="E119" s="1" t="inlineStr">
        <is>
          <t>ОБЩЕСТВО С ОГРАНИЧЕННОЙ ОТВЕТСТВЕННОСТЬЮ "АМУР ЗОЛОТО"</t>
        </is>
      </c>
      <c r="F119" s="1" t="inlineStr">
        <is>
          <t>2708001686</t>
        </is>
      </c>
      <c r="G119" s="1" t="inlineStr">
        <is>
          <t>Электрогазосварщик</t>
        </is>
      </c>
      <c r="H119" s="1" t="inlineStr">
        <is>
          <t>ООО "Амур Золото"</t>
        </is>
      </c>
      <c r="I119" s="1" t="inlineStr">
        <is>
          <t>2708001686</t>
        </is>
      </c>
      <c r="J119" s="1" t="inlineStr">
        <is>
          <t>ОТ № ЮГОК ЗИОФ 23-02</t>
        </is>
      </c>
      <c r="K119" s="1" t="inlineStr">
        <is>
          <t>Безопасные методы и приемы выполнения работ в ограниченных и замкнутых пространствах (ОЗП)</t>
        </is>
      </c>
      <c r="L119" s="1" t="inlineStr">
        <is>
          <t>24.11.2023</t>
        </is>
      </c>
      <c r="M119" s="1" t="inlineStr">
        <is>
          <t>Успешно</t>
        </is>
      </c>
      <c r="N119" s="1" t="inlineStr">
        <is>
          <t>05.02.2024</t>
        </is>
      </c>
      <c r="O119" s="1" t="inlineStr"/>
      <c r="P119" s="1" t="inlineStr"/>
      <c r="Q119" s="1" t="inlineStr">
        <is>
          <t>Пользовательский интерфейс</t>
        </is>
      </c>
    </row>
    <row r="120">
      <c r="B120" s="1" t="inlineStr">
        <is>
          <t>37117316</t>
        </is>
      </c>
      <c r="C120" s="1" t="inlineStr">
        <is>
          <t>2978778</t>
        </is>
      </c>
      <c r="D120" t="inlineStr">
        <is>
          <t>работник 29</t>
        </is>
      </c>
      <c r="E120" s="1" t="inlineStr">
        <is>
          <t>ОБЩЕСТВО С ОГРАНИЧЕННОЙ ОТВЕТСТВЕННОСТЬЮ "АМУР ЗОЛОТО"</t>
        </is>
      </c>
      <c r="F120" s="1" t="inlineStr">
        <is>
          <t>2708001686</t>
        </is>
      </c>
      <c r="G120" s="1" t="inlineStr">
        <is>
          <t>Электрогазосварщик</t>
        </is>
      </c>
      <c r="H120" s="1" t="inlineStr">
        <is>
          <t>ООО "Амур Золото"</t>
        </is>
      </c>
      <c r="I120" s="1" t="inlineStr">
        <is>
          <t>2708001686</t>
        </is>
      </c>
      <c r="J120" s="1" t="inlineStr">
        <is>
          <t>ОТ № ЮГОК ЗИОФ 23-02</t>
        </is>
      </c>
      <c r="K120" s="1" t="inlineStr">
        <is>
          <t>Безопасные методы и приемы выполнения огневых работ</t>
        </is>
      </c>
      <c r="L120" s="1" t="inlineStr">
        <is>
          <t>24.11.2023</t>
        </is>
      </c>
      <c r="M120" s="1" t="inlineStr">
        <is>
          <t>Успешно</t>
        </is>
      </c>
      <c r="N120" s="1" t="inlineStr">
        <is>
          <t>05.02.2024</t>
        </is>
      </c>
      <c r="O120" s="1" t="inlineStr"/>
      <c r="P120" s="1" t="inlineStr"/>
      <c r="Q120" s="1" t="inlineStr">
        <is>
          <t>Пользовательский интерфейс</t>
        </is>
      </c>
    </row>
    <row r="121">
      <c r="B121" s="1" t="inlineStr">
        <is>
          <t>37117317</t>
        </is>
      </c>
      <c r="C121" s="1" t="inlineStr">
        <is>
          <t>2978778</t>
        </is>
      </c>
      <c r="D121" t="inlineStr">
        <is>
          <t>работник 29</t>
        </is>
      </c>
      <c r="E121" s="1" t="inlineStr">
        <is>
          <t>ОБЩЕСТВО С ОГРАНИЧЕННОЙ ОТВЕТСТВЕННОСТЬЮ "АМУР ЗОЛОТО"</t>
        </is>
      </c>
      <c r="F121" s="1" t="inlineStr">
        <is>
          <t>2708001686</t>
        </is>
      </c>
      <c r="G121" s="1" t="inlineStr">
        <is>
          <t>Электрогазосварщик</t>
        </is>
      </c>
      <c r="H121" s="1" t="inlineStr">
        <is>
          <t>ООО "Амур Золото"</t>
        </is>
      </c>
      <c r="I121" s="1" t="inlineStr">
        <is>
          <t>2708001686</t>
        </is>
      </c>
      <c r="J121" s="1" t="inlineStr">
        <is>
          <t>ОТ № ЮГОК ЗИОФ 23-02</t>
        </is>
      </c>
      <c r="K121" s="1" t="inlineStr">
        <is>
          <t>Безопасные методы и приемы выполнения работ, связанные с эксплуатацией подъемных сооружений</t>
        </is>
      </c>
      <c r="L121" s="1" t="inlineStr">
        <is>
          <t>24.11.2023</t>
        </is>
      </c>
      <c r="M121" s="1" t="inlineStr">
        <is>
          <t>Успешно</t>
        </is>
      </c>
      <c r="N121" s="1" t="inlineStr">
        <is>
          <t>05.02.2024</t>
        </is>
      </c>
      <c r="O121" s="1" t="inlineStr"/>
      <c r="P121" s="1" t="inlineStr"/>
      <c r="Q121" s="1" t="inlineStr">
        <is>
          <t>Пользовательский интерфейс</t>
        </is>
      </c>
    </row>
    <row r="122">
      <c r="B122" s="1" t="inlineStr">
        <is>
          <t>37117318</t>
        </is>
      </c>
      <c r="C122" s="1" t="inlineStr">
        <is>
          <t>2978778</t>
        </is>
      </c>
      <c r="D122" t="inlineStr">
        <is>
          <t>работник 29</t>
        </is>
      </c>
      <c r="E122" s="1" t="inlineStr">
        <is>
          <t>ОБЩЕСТВО С ОГРАНИЧЕННОЙ ОТВЕТСТВЕННОСТЬЮ "АМУР ЗОЛОТО"</t>
        </is>
      </c>
      <c r="F122" s="1" t="inlineStr">
        <is>
          <t>2708001686</t>
        </is>
      </c>
      <c r="G122" s="1" t="inlineStr">
        <is>
          <t>Электрогазосварщик</t>
        </is>
      </c>
      <c r="H122" s="1" t="inlineStr">
        <is>
          <t>ООО "Амур Золото"</t>
        </is>
      </c>
      <c r="I122" s="1" t="inlineStr">
        <is>
          <t>2708001686</t>
        </is>
      </c>
      <c r="J122" s="1" t="inlineStr">
        <is>
          <t>ОТ № ЮГОК ЗИОФ 23-02</t>
        </is>
      </c>
      <c r="K122" s="1" t="inlineStr">
        <is>
          <t>Безопасные методы и приемы выполнения работ, связанные с эксплуатацией сосудов, работающих под избыточным давлением</t>
        </is>
      </c>
      <c r="L122" s="1" t="inlineStr">
        <is>
          <t>24.11.2023</t>
        </is>
      </c>
      <c r="M122" s="1" t="inlineStr">
        <is>
          <t>Успешно</t>
        </is>
      </c>
      <c r="N122" s="1" t="inlineStr">
        <is>
          <t>05.02.2024</t>
        </is>
      </c>
      <c r="O122" s="1" t="inlineStr"/>
      <c r="P122" s="1" t="inlineStr"/>
      <c r="Q122" s="1" t="inlineStr">
        <is>
          <t>Пользовательский интерфейс</t>
        </is>
      </c>
    </row>
    <row r="123">
      <c r="B123" s="1" t="inlineStr">
        <is>
          <t>37117319</t>
        </is>
      </c>
      <c r="C123" s="1" t="inlineStr">
        <is>
          <t>2978778</t>
        </is>
      </c>
      <c r="D123" t="inlineStr">
        <is>
          <t>работник 30</t>
        </is>
      </c>
      <c r="E123" s="1" t="inlineStr">
        <is>
          <t>ОБЩЕСТВО С ОГРАНИЧЕННОЙ ОТВЕТСТВЕННОСТЬЮ "АМУР ЗОЛОТО"</t>
        </is>
      </c>
      <c r="F123" s="1" t="inlineStr">
        <is>
          <t>2708001686</t>
        </is>
      </c>
      <c r="G123" s="1" t="inlineStr">
        <is>
          <t>Электромантер</t>
        </is>
      </c>
      <c r="H123" s="1" t="inlineStr">
        <is>
          <t>ООО "Амур Золото"</t>
        </is>
      </c>
      <c r="I123" s="1" t="inlineStr">
        <is>
          <t>2708001686</t>
        </is>
      </c>
      <c r="J123" s="1" t="inlineStr">
        <is>
          <t>ОТ № ЮГОК ЗИОФ 23-03</t>
        </is>
      </c>
      <c r="K123" s="1" t="inlineStr">
        <is>
          <t>Безопасные методы и приемы выполнения работ на высоте</t>
        </is>
      </c>
      <c r="L123" s="1" t="inlineStr">
        <is>
          <t>24.11.2023</t>
        </is>
      </c>
      <c r="M123" s="1" t="inlineStr">
        <is>
          <t>Успешно</t>
        </is>
      </c>
      <c r="N123" s="1" t="inlineStr">
        <is>
          <t>05.02.2024</t>
        </is>
      </c>
      <c r="O123" s="1" t="inlineStr"/>
      <c r="P123" s="1" t="inlineStr"/>
      <c r="Q123" s="1" t="inlineStr">
        <is>
          <t>Пользовательский интерфейс</t>
        </is>
      </c>
    </row>
    <row r="124">
      <c r="B124" s="1" t="inlineStr">
        <is>
          <t>37117320</t>
        </is>
      </c>
      <c r="C124" s="1" t="inlineStr">
        <is>
          <t>2978778</t>
        </is>
      </c>
      <c r="D124" t="inlineStr">
        <is>
          <t>работник 30</t>
        </is>
      </c>
      <c r="E124" s="1" t="inlineStr">
        <is>
          <t>ОБЩЕСТВО С ОГРАНИЧЕННОЙ ОТВЕТСТВЕННОСТЬЮ "АМУР ЗОЛОТО"</t>
        </is>
      </c>
      <c r="F124" s="1" t="inlineStr">
        <is>
          <t>2708001686</t>
        </is>
      </c>
      <c r="G124" s="1" t="inlineStr">
        <is>
          <t>Электромантер</t>
        </is>
      </c>
      <c r="H124" s="1" t="inlineStr">
        <is>
          <t>ООО "Амур Золото"</t>
        </is>
      </c>
      <c r="I124" s="1" t="inlineStr">
        <is>
          <t>2708001686</t>
        </is>
      </c>
      <c r="J124" s="1" t="inlineStr">
        <is>
          <t>ОТ № ЮГОК ЗИОФ 23-03</t>
        </is>
      </c>
      <c r="K124" s="1" t="inlineStr">
        <is>
          <t>Безопасные методы и приемы выполнения работ в электроустановках</t>
        </is>
      </c>
      <c r="L124" s="1" t="inlineStr">
        <is>
          <t>24.11.2023</t>
        </is>
      </c>
      <c r="M124" s="1" t="inlineStr">
        <is>
          <t>Успешно</t>
        </is>
      </c>
      <c r="N124" s="1" t="inlineStr">
        <is>
          <t>05.02.2024</t>
        </is>
      </c>
      <c r="O124" s="1" t="inlineStr"/>
      <c r="P124" s="1" t="inlineStr"/>
      <c r="Q124" s="1" t="inlineStr">
        <is>
          <t>Пользовательский интерфейс</t>
        </is>
      </c>
    </row>
    <row r="125">
      <c r="B125" s="1" t="inlineStr">
        <is>
          <t>37117321</t>
        </is>
      </c>
      <c r="C125" s="1" t="inlineStr">
        <is>
          <t>2978778</t>
        </is>
      </c>
      <c r="D125" t="inlineStr">
        <is>
          <t>работник 31</t>
        </is>
      </c>
      <c r="E125" s="1" t="inlineStr">
        <is>
          <t>ОБЩЕСТВО С ОГРАНИЧЕННОЙ ОТВЕТСТВЕННОСТЬЮ "АМУР ЗОЛОТО"</t>
        </is>
      </c>
      <c r="F125" s="1" t="inlineStr">
        <is>
          <t>2708001686</t>
        </is>
      </c>
      <c r="G125" s="1" t="inlineStr">
        <is>
          <t>Электромантер</t>
        </is>
      </c>
      <c r="H125" s="1" t="inlineStr">
        <is>
          <t>ООО "Амур Золото"</t>
        </is>
      </c>
      <c r="I125" s="1" t="inlineStr">
        <is>
          <t>2708001686</t>
        </is>
      </c>
      <c r="J125" s="1" t="inlineStr">
        <is>
          <t>ОТ № ЮГОК ЗИОФ 23-03</t>
        </is>
      </c>
      <c r="K125" s="1" t="inlineStr">
        <is>
          <t>Безопасные методы и приемы выполнения работ на высоте</t>
        </is>
      </c>
      <c r="L125" s="1" t="inlineStr">
        <is>
          <t>24.11.2023</t>
        </is>
      </c>
      <c r="M125" s="1" t="inlineStr">
        <is>
          <t>Успешно</t>
        </is>
      </c>
      <c r="N125" s="1" t="inlineStr">
        <is>
          <t>05.02.2024</t>
        </is>
      </c>
      <c r="O125" s="1" t="inlineStr"/>
      <c r="P125" s="1" t="inlineStr"/>
      <c r="Q125" s="1" t="inlineStr">
        <is>
          <t>Пользовательский интерфейс</t>
        </is>
      </c>
    </row>
    <row r="126">
      <c r="B126" s="1" t="inlineStr">
        <is>
          <t>37117322</t>
        </is>
      </c>
      <c r="C126" s="1" t="inlineStr">
        <is>
          <t>2978778</t>
        </is>
      </c>
      <c r="D126" t="inlineStr">
        <is>
          <t>работник 31</t>
        </is>
      </c>
      <c r="E126" s="1" t="inlineStr">
        <is>
          <t>ОБЩЕСТВО С ОГРАНИЧЕННОЙ ОТВЕТСТВЕННОСТЬЮ "АМУР ЗОЛОТО"</t>
        </is>
      </c>
      <c r="F126" s="1" t="inlineStr">
        <is>
          <t>2708001686</t>
        </is>
      </c>
      <c r="G126" s="1" t="inlineStr">
        <is>
          <t>Электромантер</t>
        </is>
      </c>
      <c r="H126" s="1" t="inlineStr">
        <is>
          <t>ООО "Амур Золото"</t>
        </is>
      </c>
      <c r="I126" s="1" t="inlineStr">
        <is>
          <t>2708001686</t>
        </is>
      </c>
      <c r="J126" s="1" t="inlineStr">
        <is>
          <t>ОТ № ЮГОК ЗИОФ 23-03</t>
        </is>
      </c>
      <c r="K126" s="1" t="inlineStr">
        <is>
          <t>Безопасные методы и приемы выполнения работ в электроустановках</t>
        </is>
      </c>
      <c r="L126" s="1" t="inlineStr">
        <is>
          <t>24.11.2023</t>
        </is>
      </c>
      <c r="M126" s="1" t="inlineStr">
        <is>
          <t>Успешно</t>
        </is>
      </c>
      <c r="N126" s="1" t="inlineStr">
        <is>
          <t>05.02.2024</t>
        </is>
      </c>
      <c r="O126" s="1" t="inlineStr"/>
      <c r="P126" s="1" t="inlineStr"/>
      <c r="Q126" s="1" t="inlineStr">
        <is>
          <t>Пользовательский интерфейс</t>
        </is>
      </c>
    </row>
    <row r="127">
      <c r="B127" s="1" t="inlineStr">
        <is>
          <t>37117323</t>
        </is>
      </c>
      <c r="C127" s="1" t="inlineStr">
        <is>
          <t>2978778</t>
        </is>
      </c>
      <c r="D127" t="inlineStr">
        <is>
          <t>работник 32</t>
        </is>
      </c>
      <c r="E127" s="1" t="inlineStr">
        <is>
          <t>ОБЩЕСТВО С ОГРАНИЧЕННОЙ ОТВЕТСТВЕННОСТЬЮ "АМУР ЗОЛОТО"</t>
        </is>
      </c>
      <c r="F127" s="1" t="inlineStr">
        <is>
          <t>2708001686</t>
        </is>
      </c>
      <c r="G127" s="1" t="inlineStr">
        <is>
          <t>Электромантер</t>
        </is>
      </c>
      <c r="H127" s="1" t="inlineStr">
        <is>
          <t>ООО "Амур Золото"</t>
        </is>
      </c>
      <c r="I127" s="1" t="inlineStr">
        <is>
          <t>2708001686</t>
        </is>
      </c>
      <c r="J127" s="1" t="inlineStr">
        <is>
          <t>ОТ № ЮГОК ЗИОФ 23-03</t>
        </is>
      </c>
      <c r="K127" s="1" t="inlineStr">
        <is>
          <t>Безопасные методы и приемы выполнения работ на высоте</t>
        </is>
      </c>
      <c r="L127" s="1" t="inlineStr">
        <is>
          <t>24.11.2023</t>
        </is>
      </c>
      <c r="M127" s="1" t="inlineStr">
        <is>
          <t>Успешно</t>
        </is>
      </c>
      <c r="N127" s="1" t="inlineStr">
        <is>
          <t>05.02.2024</t>
        </is>
      </c>
      <c r="O127" s="1" t="inlineStr"/>
      <c r="P127" s="1" t="inlineStr"/>
      <c r="Q127" s="1" t="inlineStr">
        <is>
          <t>Пользовательский интерфейс</t>
        </is>
      </c>
    </row>
    <row r="128">
      <c r="B128" s="1" t="inlineStr">
        <is>
          <t>37117324</t>
        </is>
      </c>
      <c r="C128" s="1" t="inlineStr">
        <is>
          <t>2978778</t>
        </is>
      </c>
      <c r="D128" t="inlineStr">
        <is>
          <t>работник 32</t>
        </is>
      </c>
      <c r="E128" s="1" t="inlineStr">
        <is>
          <t>ОБЩЕСТВО С ОГРАНИЧЕННОЙ ОТВЕТСТВЕННОСТЬЮ "АМУР ЗОЛОТО"</t>
        </is>
      </c>
      <c r="F128" s="1" t="inlineStr">
        <is>
          <t>2708001686</t>
        </is>
      </c>
      <c r="G128" s="1" t="inlineStr">
        <is>
          <t>Электромантер</t>
        </is>
      </c>
      <c r="H128" s="1" t="inlineStr">
        <is>
          <t>ООО "Амур Золото"</t>
        </is>
      </c>
      <c r="I128" s="1" t="inlineStr">
        <is>
          <t>2708001686</t>
        </is>
      </c>
      <c r="J128" s="1" t="inlineStr">
        <is>
          <t>ОТ № ЮГОК ЗИОФ 23-03</t>
        </is>
      </c>
      <c r="K128" s="1" t="inlineStr">
        <is>
          <t>Безопасные методы и приемы выполнения работ в электроустановках</t>
        </is>
      </c>
      <c r="L128" s="1" t="inlineStr">
        <is>
          <t>24.11.2023</t>
        </is>
      </c>
      <c r="M128" s="1" t="inlineStr">
        <is>
          <t>Успешно</t>
        </is>
      </c>
      <c r="N128" s="1" t="inlineStr">
        <is>
          <t>05.02.2024</t>
        </is>
      </c>
      <c r="O128" s="1" t="inlineStr"/>
      <c r="P128" s="1" t="inlineStr"/>
      <c r="Q128" s="1" t="inlineStr">
        <is>
          <t>Пользовательский интерфейс</t>
        </is>
      </c>
    </row>
    <row r="129">
      <c r="B129" s="1" t="inlineStr">
        <is>
          <t>37117325</t>
        </is>
      </c>
      <c r="C129" s="1" t="inlineStr">
        <is>
          <t>2978778</t>
        </is>
      </c>
      <c r="D129" t="inlineStr">
        <is>
          <t>работник 33</t>
        </is>
      </c>
      <c r="E129" s="1" t="inlineStr">
        <is>
          <t>ОБЩЕСТВО С ОГРАНИЧЕННОЙ ОТВЕТСТВЕННОСТЬЮ "АМУР ЗОЛОТО"</t>
        </is>
      </c>
      <c r="F129" s="1" t="inlineStr">
        <is>
          <t>2708001686</t>
        </is>
      </c>
      <c r="G129" s="1" t="inlineStr">
        <is>
          <t>Лаборант пробирного анализа</t>
        </is>
      </c>
      <c r="H129" s="1" t="inlineStr">
        <is>
          <t>ООО "Амур Золото"</t>
        </is>
      </c>
      <c r="I129" s="1" t="inlineStr">
        <is>
          <t>2708001686</t>
        </is>
      </c>
      <c r="J129" s="1" t="inlineStr">
        <is>
          <t>ОТ № ЮГОК ПАЛ 23-01</t>
        </is>
      </c>
      <c r="K129" s="1" t="inlineStr">
        <is>
          <t>Оказание первой помощи пострадавшим</t>
        </is>
      </c>
      <c r="L129" s="1" t="inlineStr">
        <is>
          <t>24.11.2023</t>
        </is>
      </c>
      <c r="M129" s="1" t="inlineStr">
        <is>
          <t>Успешно</t>
        </is>
      </c>
      <c r="N129" s="1" t="inlineStr">
        <is>
          <t>05.02.2024</t>
        </is>
      </c>
      <c r="O129" s="1" t="inlineStr"/>
      <c r="P129" s="1" t="inlineStr"/>
      <c r="Q129" s="1" t="inlineStr">
        <is>
          <t>Пользовательский интерфейс</t>
        </is>
      </c>
    </row>
    <row r="130">
      <c r="B130" s="1" t="inlineStr">
        <is>
          <t>37117326</t>
        </is>
      </c>
      <c r="C130" s="1" t="inlineStr">
        <is>
          <t>2978778</t>
        </is>
      </c>
      <c r="D130" t="inlineStr">
        <is>
          <t>работник 33</t>
        </is>
      </c>
      <c r="E130" s="1" t="inlineStr">
        <is>
          <t>ОБЩЕСТВО С ОГРАНИЧЕННОЙ ОТВЕТСТВЕННОСТЬЮ "АМУР ЗОЛОТО"</t>
        </is>
      </c>
      <c r="F130" s="1" t="inlineStr">
        <is>
          <t>2708001686</t>
        </is>
      </c>
      <c r="G130" s="1" t="inlineStr">
        <is>
          <t>Лаборант пробирного анализа</t>
        </is>
      </c>
      <c r="H130" s="1" t="inlineStr">
        <is>
          <t>ООО "Амур Золото"</t>
        </is>
      </c>
      <c r="I130" s="1" t="inlineStr">
        <is>
          <t>2708001686</t>
        </is>
      </c>
      <c r="J130" s="1" t="inlineStr">
        <is>
          <t>ОТ № ЮГОК ПАЛ 23-01</t>
        </is>
      </c>
      <c r="K130" s="1" t="inlineStr">
        <is>
          <t>Использование (применение) средств индивидуальной защиты</t>
        </is>
      </c>
      <c r="L130" s="1" t="inlineStr">
        <is>
          <t>24.11.2023</t>
        </is>
      </c>
      <c r="M130" s="1" t="inlineStr">
        <is>
          <t>Успешно</t>
        </is>
      </c>
      <c r="N130" s="1" t="inlineStr">
        <is>
          <t>05.02.2024</t>
        </is>
      </c>
      <c r="O130" s="1" t="inlineStr"/>
      <c r="P130" s="1" t="inlineStr"/>
      <c r="Q130" s="1" t="inlineStr">
        <is>
          <t>Пользовательский интерфейс</t>
        </is>
      </c>
    </row>
    <row r="131">
      <c r="B131" s="1" t="inlineStr">
        <is>
          <t>37117327</t>
        </is>
      </c>
      <c r="C131" s="1" t="inlineStr">
        <is>
          <t>2978778</t>
        </is>
      </c>
      <c r="D131" t="inlineStr">
        <is>
          <t>работник 33</t>
        </is>
      </c>
      <c r="E131" s="1" t="inlineStr">
        <is>
          <t>ОБЩЕСТВО С ОГРАНИЧЕННОЙ ОТВЕТСТВЕННОСТЬЮ "АМУР ЗОЛОТО"</t>
        </is>
      </c>
      <c r="F131" s="1" t="inlineStr">
        <is>
          <t>2708001686</t>
        </is>
      </c>
      <c r="G131" s="1" t="inlineStr">
        <is>
          <t>Лаборант пробирного анализа</t>
        </is>
      </c>
      <c r="H131" s="1" t="inlineStr">
        <is>
          <t>ООО "Амур Золото"</t>
        </is>
      </c>
      <c r="I131" s="1" t="inlineStr">
        <is>
          <t>2708001686</t>
        </is>
      </c>
      <c r="J131" s="1" t="inlineStr">
        <is>
          <t>ОТ № ЮГОК ПАЛ 23-01</t>
        </is>
      </c>
      <c r="K13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31" s="1" t="inlineStr">
        <is>
          <t>24.11.2023</t>
        </is>
      </c>
      <c r="M131" s="1" t="inlineStr">
        <is>
          <t>Успешно</t>
        </is>
      </c>
      <c r="N131" s="1" t="inlineStr">
        <is>
          <t>05.02.2024</t>
        </is>
      </c>
      <c r="O131" s="1" t="inlineStr"/>
      <c r="P131" s="1" t="inlineStr"/>
      <c r="Q131" s="1" t="inlineStr">
        <is>
          <t>Пользовательский интерфейс</t>
        </is>
      </c>
    </row>
    <row r="132">
      <c r="B132" s="1" t="inlineStr">
        <is>
          <t>37117328</t>
        </is>
      </c>
      <c r="C132" s="1" t="inlineStr">
        <is>
          <t>2978778</t>
        </is>
      </c>
      <c r="D132" t="inlineStr">
        <is>
          <t>работник 34</t>
        </is>
      </c>
      <c r="E132" s="1" t="inlineStr">
        <is>
          <t>ОБЩЕСТВО С ОГРАНИЧЕННОЙ ОТВЕТСТВЕННОСТЬЮ "АМУР ЗОЛОТО"</t>
        </is>
      </c>
      <c r="F132" s="1" t="inlineStr">
        <is>
          <t>2708001686</t>
        </is>
      </c>
      <c r="G132" s="1" t="inlineStr">
        <is>
          <t>Лаборант пробирного анализа</t>
        </is>
      </c>
      <c r="H132" s="1" t="inlineStr">
        <is>
          <t>ООО "Амур Золото"</t>
        </is>
      </c>
      <c r="I132" s="1" t="inlineStr">
        <is>
          <t>2708001686</t>
        </is>
      </c>
      <c r="J132" s="1" t="inlineStr">
        <is>
          <t>ОТ № ЮГОК ПАЛ 23-01</t>
        </is>
      </c>
      <c r="K132" s="1" t="inlineStr">
        <is>
          <t>Оказание первой помощи пострадавшим</t>
        </is>
      </c>
      <c r="L132" s="1" t="inlineStr">
        <is>
          <t>24.11.2023</t>
        </is>
      </c>
      <c r="M132" s="1" t="inlineStr">
        <is>
          <t>Успешно</t>
        </is>
      </c>
      <c r="N132" s="1" t="inlineStr">
        <is>
          <t>05.02.2024</t>
        </is>
      </c>
      <c r="O132" s="1" t="inlineStr"/>
      <c r="P132" s="1" t="inlineStr"/>
      <c r="Q132" s="1" t="inlineStr">
        <is>
          <t>Пользовательский интерфейс</t>
        </is>
      </c>
    </row>
    <row r="133">
      <c r="B133" s="1" t="inlineStr">
        <is>
          <t>37117329</t>
        </is>
      </c>
      <c r="C133" s="1" t="inlineStr">
        <is>
          <t>2978778</t>
        </is>
      </c>
      <c r="D133" t="inlineStr">
        <is>
          <t>работник 34</t>
        </is>
      </c>
      <c r="E133" s="1" t="inlineStr">
        <is>
          <t>ОБЩЕСТВО С ОГРАНИЧЕННОЙ ОТВЕТСТВЕННОСТЬЮ "АМУР ЗОЛОТО"</t>
        </is>
      </c>
      <c r="F133" s="1" t="inlineStr">
        <is>
          <t>2708001686</t>
        </is>
      </c>
      <c r="G133" s="1" t="inlineStr">
        <is>
          <t>Лаборант пробирного анализа</t>
        </is>
      </c>
      <c r="H133" s="1" t="inlineStr">
        <is>
          <t>ООО "Амур Золото"</t>
        </is>
      </c>
      <c r="I133" s="1" t="inlineStr">
        <is>
          <t>2708001686</t>
        </is>
      </c>
      <c r="J133" s="1" t="inlineStr">
        <is>
          <t>ОТ № ЮГОК ПАЛ 23-01</t>
        </is>
      </c>
      <c r="K133" s="1" t="inlineStr">
        <is>
          <t>Использование (применение) средств индивидуальной защиты</t>
        </is>
      </c>
      <c r="L133" s="1" t="inlineStr">
        <is>
          <t>24.11.2023</t>
        </is>
      </c>
      <c r="M133" s="1" t="inlineStr">
        <is>
          <t>Успешно</t>
        </is>
      </c>
      <c r="N133" s="1" t="inlineStr">
        <is>
          <t>05.02.2024</t>
        </is>
      </c>
      <c r="O133" s="1" t="inlineStr"/>
      <c r="P133" s="1" t="inlineStr"/>
      <c r="Q133" s="1" t="inlineStr">
        <is>
          <t>Пользовательский интерфейс</t>
        </is>
      </c>
    </row>
    <row r="134">
      <c r="B134" s="1" t="inlineStr">
        <is>
          <t>37117330</t>
        </is>
      </c>
      <c r="C134" s="1" t="inlineStr">
        <is>
          <t>2978778</t>
        </is>
      </c>
      <c r="D134" t="inlineStr">
        <is>
          <t>работник 34</t>
        </is>
      </c>
      <c r="E134" s="1" t="inlineStr">
        <is>
          <t>ОБЩЕСТВО С ОГРАНИЧЕННОЙ ОТВЕТСТВЕННОСТЬЮ "АМУР ЗОЛОТО"</t>
        </is>
      </c>
      <c r="F134" s="1" t="inlineStr">
        <is>
          <t>2708001686</t>
        </is>
      </c>
      <c r="G134" s="1" t="inlineStr">
        <is>
          <t>Лаборант пробирного анализа</t>
        </is>
      </c>
      <c r="H134" s="1" t="inlineStr">
        <is>
          <t>ООО "Амур Золото"</t>
        </is>
      </c>
      <c r="I134" s="1" t="inlineStr">
        <is>
          <t>2708001686</t>
        </is>
      </c>
      <c r="J134" s="1" t="inlineStr">
        <is>
          <t>ОТ № ЮГОК ПАЛ 23-01</t>
        </is>
      </c>
      <c r="K13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34" s="1" t="inlineStr">
        <is>
          <t>24.11.2023</t>
        </is>
      </c>
      <c r="M134" s="1" t="inlineStr">
        <is>
          <t>Успешно</t>
        </is>
      </c>
      <c r="N134" s="1" t="inlineStr">
        <is>
          <t>05.02.2024</t>
        </is>
      </c>
      <c r="O134" s="1" t="inlineStr"/>
      <c r="P134" s="1" t="inlineStr"/>
      <c r="Q134" s="1" t="inlineStr">
        <is>
          <t>Пользовательский интерфейс</t>
        </is>
      </c>
    </row>
    <row r="135">
      <c r="B135" s="1" t="inlineStr">
        <is>
          <t>37117331</t>
        </is>
      </c>
      <c r="C135" s="1" t="inlineStr">
        <is>
          <t>2978778</t>
        </is>
      </c>
      <c r="D135" t="inlineStr">
        <is>
          <t>работник 35</t>
        </is>
      </c>
      <c r="E135" s="1" t="inlineStr">
        <is>
          <t>ОБЩЕСТВО С ОГРАНИЧЕННОЙ ОТВЕТСТВЕННОСТЬЮ "АМУР ЗОЛОТО"</t>
        </is>
      </c>
      <c r="F135" s="1" t="inlineStr">
        <is>
          <t>2708001686</t>
        </is>
      </c>
      <c r="G135" s="1" t="inlineStr">
        <is>
          <t>Лаборант пробирного анализа</t>
        </is>
      </c>
      <c r="H135" s="1" t="inlineStr">
        <is>
          <t>ООО "Амур Золото"</t>
        </is>
      </c>
      <c r="I135" s="1" t="inlineStr">
        <is>
          <t>2708001686</t>
        </is>
      </c>
      <c r="J135" s="1" t="inlineStr">
        <is>
          <t>ОТ № ЮГОК ПАЛ 23-01</t>
        </is>
      </c>
      <c r="K135" s="1" t="inlineStr">
        <is>
          <t>Оказание первой помощи пострадавшим</t>
        </is>
      </c>
      <c r="L135" s="1" t="inlineStr">
        <is>
          <t>24.11.2023</t>
        </is>
      </c>
      <c r="M135" s="1" t="inlineStr">
        <is>
          <t>Успешно</t>
        </is>
      </c>
      <c r="N135" s="1" t="inlineStr">
        <is>
          <t>05.02.2024</t>
        </is>
      </c>
      <c r="O135" s="1" t="inlineStr"/>
      <c r="P135" s="1" t="inlineStr"/>
      <c r="Q135" s="1" t="inlineStr">
        <is>
          <t>Пользовательский интерфейс</t>
        </is>
      </c>
    </row>
    <row r="136">
      <c r="B136" s="1" t="inlineStr">
        <is>
          <t>37117332</t>
        </is>
      </c>
      <c r="C136" s="1" t="inlineStr">
        <is>
          <t>2978778</t>
        </is>
      </c>
      <c r="D136" t="inlineStr">
        <is>
          <t>работник 35</t>
        </is>
      </c>
      <c r="E136" s="1" t="inlineStr">
        <is>
          <t>ОБЩЕСТВО С ОГРАНИЧЕННОЙ ОТВЕТСТВЕННОСТЬЮ "АМУР ЗОЛОТО"</t>
        </is>
      </c>
      <c r="F136" s="1" t="inlineStr">
        <is>
          <t>2708001686</t>
        </is>
      </c>
      <c r="G136" s="1" t="inlineStr">
        <is>
          <t>Лаборант пробирного анализа</t>
        </is>
      </c>
      <c r="H136" s="1" t="inlineStr">
        <is>
          <t>ООО "Амур Золото"</t>
        </is>
      </c>
      <c r="I136" s="1" t="inlineStr">
        <is>
          <t>2708001686</t>
        </is>
      </c>
      <c r="J136" s="1" t="inlineStr">
        <is>
          <t>ОТ № ЮГОК ПАЛ 23-01</t>
        </is>
      </c>
      <c r="K136" s="1" t="inlineStr">
        <is>
          <t>Использование (применение) средств индивидуальной защиты</t>
        </is>
      </c>
      <c r="L136" s="1" t="inlineStr">
        <is>
          <t>24.11.2023</t>
        </is>
      </c>
      <c r="M136" s="1" t="inlineStr">
        <is>
          <t>Успешно</t>
        </is>
      </c>
      <c r="N136" s="1" t="inlineStr">
        <is>
          <t>05.02.2024</t>
        </is>
      </c>
      <c r="O136" s="1" t="inlineStr"/>
      <c r="P136" s="1" t="inlineStr"/>
      <c r="Q136" s="1" t="inlineStr">
        <is>
          <t>Пользовательский интерфейс</t>
        </is>
      </c>
    </row>
    <row r="137">
      <c r="B137" s="1" t="inlineStr">
        <is>
          <t>37117333</t>
        </is>
      </c>
      <c r="C137" s="1" t="inlineStr">
        <is>
          <t>2978778</t>
        </is>
      </c>
      <c r="D137" t="inlineStr">
        <is>
          <t>работник 35</t>
        </is>
      </c>
      <c r="E137" s="1" t="inlineStr">
        <is>
          <t>ОБЩЕСТВО С ОГРАНИЧЕННОЙ ОТВЕТСТВЕННОСТЬЮ "АМУР ЗОЛОТО"</t>
        </is>
      </c>
      <c r="F137" s="1" t="inlineStr">
        <is>
          <t>2708001686</t>
        </is>
      </c>
      <c r="G137" s="1" t="inlineStr">
        <is>
          <t>Лаборант пробирного анализа</t>
        </is>
      </c>
      <c r="H137" s="1" t="inlineStr">
        <is>
          <t>ООО "Амур Золото"</t>
        </is>
      </c>
      <c r="I137" s="1" t="inlineStr">
        <is>
          <t>2708001686</t>
        </is>
      </c>
      <c r="J137" s="1" t="inlineStr">
        <is>
          <t>ОТ № ЮГОК ПАЛ 23-01</t>
        </is>
      </c>
      <c r="K13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37" s="1" t="inlineStr">
        <is>
          <t>24.11.2023</t>
        </is>
      </c>
      <c r="M137" s="1" t="inlineStr">
        <is>
          <t>Успешно</t>
        </is>
      </c>
      <c r="N137" s="1" t="inlineStr">
        <is>
          <t>05.02.2024</t>
        </is>
      </c>
      <c r="O137" s="1" t="inlineStr"/>
      <c r="P137" s="1" t="inlineStr"/>
      <c r="Q137" s="1" t="inlineStr">
        <is>
          <t>Пользовательский интерфейс</t>
        </is>
      </c>
    </row>
    <row r="138">
      <c r="B138" s="1" t="inlineStr">
        <is>
          <t>37117334</t>
        </is>
      </c>
      <c r="C138" s="1" t="inlineStr">
        <is>
          <t>2978778</t>
        </is>
      </c>
      <c r="D138" t="inlineStr">
        <is>
          <t>работник 36</t>
        </is>
      </c>
      <c r="E138" s="1" t="inlineStr">
        <is>
          <t>ОБЩЕСТВО С ОГРАНИЧЕННОЙ ОТВЕТСТВЕННОСТЬЮ "АМУР ЗОЛОТО"</t>
        </is>
      </c>
      <c r="F138" s="1" t="inlineStr">
        <is>
          <t>2708001686</t>
        </is>
      </c>
      <c r="G138" s="1" t="inlineStr">
        <is>
          <t>Дробильщик</t>
        </is>
      </c>
      <c r="H138" s="1" t="inlineStr">
        <is>
          <t>ООО "Амур Золото"</t>
        </is>
      </c>
      <c r="I138" s="1" t="inlineStr">
        <is>
          <t>2708001686</t>
        </is>
      </c>
      <c r="J138" s="1" t="inlineStr">
        <is>
          <t>ОТ № ЮГОК ПАЛ 23-01</t>
        </is>
      </c>
      <c r="K138" s="1" t="inlineStr">
        <is>
          <t>Оказание первой помощи пострадавшим</t>
        </is>
      </c>
      <c r="L138" s="1" t="inlineStr">
        <is>
          <t>24.11.2023</t>
        </is>
      </c>
      <c r="M138" s="1" t="inlineStr">
        <is>
          <t>Успешно</t>
        </is>
      </c>
      <c r="N138" s="1" t="inlineStr">
        <is>
          <t>05.02.2024</t>
        </is>
      </c>
      <c r="O138" s="1" t="inlineStr"/>
      <c r="P138" s="1" t="inlineStr"/>
      <c r="Q138" s="1" t="inlineStr">
        <is>
          <t>Пользовательский интерфейс</t>
        </is>
      </c>
    </row>
    <row r="139">
      <c r="B139" s="1" t="inlineStr">
        <is>
          <t>37117335</t>
        </is>
      </c>
      <c r="C139" s="1" t="inlineStr">
        <is>
          <t>2978778</t>
        </is>
      </c>
      <c r="D139" t="inlineStr">
        <is>
          <t>работник 36</t>
        </is>
      </c>
      <c r="E139" s="1" t="inlineStr">
        <is>
          <t>ОБЩЕСТВО С ОГРАНИЧЕННОЙ ОТВЕТСТВЕННОСТЬЮ "АМУР ЗОЛОТО"</t>
        </is>
      </c>
      <c r="F139" s="1" t="inlineStr">
        <is>
          <t>2708001686</t>
        </is>
      </c>
      <c r="G139" s="1" t="inlineStr">
        <is>
          <t>Дробильщик</t>
        </is>
      </c>
      <c r="H139" s="1" t="inlineStr">
        <is>
          <t>ООО "Амур Золото"</t>
        </is>
      </c>
      <c r="I139" s="1" t="inlineStr">
        <is>
          <t>2708001686</t>
        </is>
      </c>
      <c r="J139" s="1" t="inlineStr">
        <is>
          <t>ОТ № ЮГОК ПАЛ 23-01</t>
        </is>
      </c>
      <c r="K139" s="1" t="inlineStr">
        <is>
          <t>Использование (применение) средств индивидуальной защиты</t>
        </is>
      </c>
      <c r="L139" s="1" t="inlineStr">
        <is>
          <t>24.11.2023</t>
        </is>
      </c>
      <c r="M139" s="1" t="inlineStr">
        <is>
          <t>Успешно</t>
        </is>
      </c>
      <c r="N139" s="1" t="inlineStr">
        <is>
          <t>05.02.2024</t>
        </is>
      </c>
      <c r="O139" s="1" t="inlineStr"/>
      <c r="P139" s="1" t="inlineStr"/>
      <c r="Q139" s="1" t="inlineStr">
        <is>
          <t>Пользовательский интерфейс</t>
        </is>
      </c>
    </row>
    <row r="140">
      <c r="B140" s="1" t="inlineStr">
        <is>
          <t>37117336</t>
        </is>
      </c>
      <c r="C140" s="1" t="inlineStr">
        <is>
          <t>2978778</t>
        </is>
      </c>
      <c r="D140" t="inlineStr">
        <is>
          <t>работник 36</t>
        </is>
      </c>
      <c r="E140" s="1" t="inlineStr">
        <is>
          <t>ОБЩЕСТВО С ОГРАНИЧЕННОЙ ОТВЕТСТВЕННОСТЬЮ "АМУР ЗОЛОТО"</t>
        </is>
      </c>
      <c r="F140" s="1" t="inlineStr">
        <is>
          <t>2708001686</t>
        </is>
      </c>
      <c r="G140" s="1" t="inlineStr">
        <is>
          <t>Дробильщик</t>
        </is>
      </c>
      <c r="H140" s="1" t="inlineStr">
        <is>
          <t>ООО "Амур Золото"</t>
        </is>
      </c>
      <c r="I140" s="1" t="inlineStr">
        <is>
          <t>2708001686</t>
        </is>
      </c>
      <c r="J140" s="1" t="inlineStr">
        <is>
          <t>ОТ № ЮГОК ПАЛ 23-01</t>
        </is>
      </c>
      <c r="K14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40" s="1" t="inlineStr">
        <is>
          <t>24.11.2023</t>
        </is>
      </c>
      <c r="M140" s="1" t="inlineStr">
        <is>
          <t>Успешно</t>
        </is>
      </c>
      <c r="N140" s="1" t="inlineStr">
        <is>
          <t>05.02.2024</t>
        </is>
      </c>
      <c r="O140" s="1" t="inlineStr"/>
      <c r="P140" s="1" t="inlineStr"/>
      <c r="Q140" s="1" t="inlineStr">
        <is>
          <t>Пользовательский интерфейс</t>
        </is>
      </c>
    </row>
    <row r="141">
      <c r="B141" s="1" t="inlineStr">
        <is>
          <t>37117337</t>
        </is>
      </c>
      <c r="C141" s="1" t="inlineStr">
        <is>
          <t>2978778</t>
        </is>
      </c>
      <c r="D141" t="inlineStr">
        <is>
          <t>работник 37</t>
        </is>
      </c>
      <c r="E141" s="1" t="inlineStr">
        <is>
          <t>ОБЩЕСТВО С ОГРАНИЧЕННОЙ ОТВЕТСТВЕННОСТЬЮ "АМУР ЗОЛОТО"</t>
        </is>
      </c>
      <c r="F141" s="1" t="inlineStr">
        <is>
          <t>2708001686</t>
        </is>
      </c>
      <c r="G141" s="1" t="inlineStr">
        <is>
          <t>Дробильщик</t>
        </is>
      </c>
      <c r="H141" s="1" t="inlineStr">
        <is>
          <t>ООО "Амур Золото"</t>
        </is>
      </c>
      <c r="I141" s="1" t="inlineStr">
        <is>
          <t>2708001686</t>
        </is>
      </c>
      <c r="J141" s="1" t="inlineStr">
        <is>
          <t>ОТ № ЮГОК ПАЛ 23-01</t>
        </is>
      </c>
      <c r="K141" s="1" t="inlineStr">
        <is>
          <t>Оказание первой помощи пострадавшим</t>
        </is>
      </c>
      <c r="L141" s="1" t="inlineStr">
        <is>
          <t>24.11.2023</t>
        </is>
      </c>
      <c r="M141" s="1" t="inlineStr">
        <is>
          <t>Успешно</t>
        </is>
      </c>
      <c r="N141" s="1" t="inlineStr">
        <is>
          <t>05.02.2024</t>
        </is>
      </c>
      <c r="O141" s="1" t="inlineStr"/>
      <c r="P141" s="1" t="inlineStr"/>
      <c r="Q141" s="1" t="inlineStr">
        <is>
          <t>Пользовательский интерфейс</t>
        </is>
      </c>
    </row>
    <row r="142">
      <c r="B142" s="1" t="inlineStr">
        <is>
          <t>37117338</t>
        </is>
      </c>
      <c r="C142" s="1" t="inlineStr">
        <is>
          <t>2978778</t>
        </is>
      </c>
      <c r="D142" t="inlineStr">
        <is>
          <t>работник 37</t>
        </is>
      </c>
      <c r="E142" s="1" t="inlineStr">
        <is>
          <t>ОБЩЕСТВО С ОГРАНИЧЕННОЙ ОТВЕТСТВЕННОСТЬЮ "АМУР ЗОЛОТО"</t>
        </is>
      </c>
      <c r="F142" s="1" t="inlineStr">
        <is>
          <t>2708001686</t>
        </is>
      </c>
      <c r="G142" s="1" t="inlineStr">
        <is>
          <t>Дробильщик</t>
        </is>
      </c>
      <c r="H142" s="1" t="inlineStr">
        <is>
          <t>ООО "Амур Золото"</t>
        </is>
      </c>
      <c r="I142" s="1" t="inlineStr">
        <is>
          <t>2708001686</t>
        </is>
      </c>
      <c r="J142" s="1" t="inlineStr">
        <is>
          <t>ОТ № ЮГОК ПАЛ 23-01</t>
        </is>
      </c>
      <c r="K142" s="1" t="inlineStr">
        <is>
          <t>Использование (применение) средств индивидуальной защиты</t>
        </is>
      </c>
      <c r="L142" s="1" t="inlineStr">
        <is>
          <t>24.11.2023</t>
        </is>
      </c>
      <c r="M142" s="1" t="inlineStr">
        <is>
          <t>Успешно</t>
        </is>
      </c>
      <c r="N142" s="1" t="inlineStr">
        <is>
          <t>05.02.2024</t>
        </is>
      </c>
      <c r="O142" s="1" t="inlineStr"/>
      <c r="P142" s="1" t="inlineStr"/>
      <c r="Q142" s="1" t="inlineStr">
        <is>
          <t>Пользовательский интерфейс</t>
        </is>
      </c>
    </row>
    <row r="143">
      <c r="B143" s="1" t="inlineStr">
        <is>
          <t>37117339</t>
        </is>
      </c>
      <c r="C143" s="1" t="inlineStr">
        <is>
          <t>2978778</t>
        </is>
      </c>
      <c r="D143" t="inlineStr">
        <is>
          <t>работник 37</t>
        </is>
      </c>
      <c r="E143" s="1" t="inlineStr">
        <is>
          <t>ОБЩЕСТВО С ОГРАНИЧЕННОЙ ОТВЕТСТВЕННОСТЬЮ "АМУР ЗОЛОТО"</t>
        </is>
      </c>
      <c r="F143" s="1" t="inlineStr">
        <is>
          <t>2708001686</t>
        </is>
      </c>
      <c r="G143" s="1" t="inlineStr">
        <is>
          <t>Дробильщик</t>
        </is>
      </c>
      <c r="H143" s="1" t="inlineStr">
        <is>
          <t>ООО "Амур Золото"</t>
        </is>
      </c>
      <c r="I143" s="1" t="inlineStr">
        <is>
          <t>2708001686</t>
        </is>
      </c>
      <c r="J143" s="1" t="inlineStr">
        <is>
          <t>ОТ № ЮГОК ПАЛ 23-01</t>
        </is>
      </c>
      <c r="K14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43" s="1" t="inlineStr">
        <is>
          <t>24.11.2023</t>
        </is>
      </c>
      <c r="M143" s="1" t="inlineStr">
        <is>
          <t>Успешно</t>
        </is>
      </c>
      <c r="N143" s="1" t="inlineStr">
        <is>
          <t>05.02.2024</t>
        </is>
      </c>
      <c r="O143" s="1" t="inlineStr"/>
      <c r="P143" s="1" t="inlineStr"/>
      <c r="Q143" s="1" t="inlineStr">
        <is>
          <t>Пользовательский интерфейс</t>
        </is>
      </c>
    </row>
    <row r="144">
      <c r="B144" s="1" t="inlineStr">
        <is>
          <t>37117340</t>
        </is>
      </c>
      <c r="C144" s="1" t="inlineStr">
        <is>
          <t>2978778</t>
        </is>
      </c>
      <c r="D144" t="inlineStr">
        <is>
          <t>работник 38</t>
        </is>
      </c>
      <c r="E144" s="1" t="inlineStr">
        <is>
          <t>ОБЩЕСТВО С ОГРАНИЧЕННОЙ ОТВЕТСТВЕННОСТЬЮ "АМУР ЗОЛОТО"</t>
        </is>
      </c>
      <c r="F144" s="1" t="inlineStr">
        <is>
          <t>2708001686</t>
        </is>
      </c>
      <c r="G144" s="1" t="inlineStr">
        <is>
          <t>Дробильщик</t>
        </is>
      </c>
      <c r="H144" s="1" t="inlineStr">
        <is>
          <t>ООО "Амур Золото"</t>
        </is>
      </c>
      <c r="I144" s="1" t="inlineStr">
        <is>
          <t>2708001686</t>
        </is>
      </c>
      <c r="J144" s="1" t="inlineStr">
        <is>
          <t>ОТ № ЮГОК ПАЛ 23-01</t>
        </is>
      </c>
      <c r="K144" s="1" t="inlineStr">
        <is>
          <t>Оказание первой помощи пострадавшим</t>
        </is>
      </c>
      <c r="L144" s="1" t="inlineStr">
        <is>
          <t>24.11.2023</t>
        </is>
      </c>
      <c r="M144" s="1" t="inlineStr">
        <is>
          <t>Успешно</t>
        </is>
      </c>
      <c r="N144" s="1" t="inlineStr">
        <is>
          <t>05.02.2024</t>
        </is>
      </c>
      <c r="O144" s="1" t="inlineStr"/>
      <c r="P144" s="1" t="inlineStr"/>
      <c r="Q144" s="1" t="inlineStr">
        <is>
          <t>Пользовательский интерфейс</t>
        </is>
      </c>
    </row>
    <row r="145">
      <c r="B145" s="1" t="inlineStr">
        <is>
          <t>37117341</t>
        </is>
      </c>
      <c r="C145" s="1" t="inlineStr">
        <is>
          <t>2978778</t>
        </is>
      </c>
      <c r="D145" t="inlineStr">
        <is>
          <t>работник 38</t>
        </is>
      </c>
      <c r="E145" s="1" t="inlineStr">
        <is>
          <t>ОБЩЕСТВО С ОГРАНИЧЕННОЙ ОТВЕТСТВЕННОСТЬЮ "АМУР ЗОЛОТО"</t>
        </is>
      </c>
      <c r="F145" s="1" t="inlineStr">
        <is>
          <t>2708001686</t>
        </is>
      </c>
      <c r="G145" s="1" t="inlineStr">
        <is>
          <t>Дробильщик</t>
        </is>
      </c>
      <c r="H145" s="1" t="inlineStr">
        <is>
          <t>ООО "Амур Золото"</t>
        </is>
      </c>
      <c r="I145" s="1" t="inlineStr">
        <is>
          <t>2708001686</t>
        </is>
      </c>
      <c r="J145" s="1" t="inlineStr">
        <is>
          <t>ОТ № ЮГОК ПАЛ 23-01</t>
        </is>
      </c>
      <c r="K145" s="1" t="inlineStr">
        <is>
          <t>Использование (применение) средств индивидуальной защиты</t>
        </is>
      </c>
      <c r="L145" s="1" t="inlineStr">
        <is>
          <t>24.11.2023</t>
        </is>
      </c>
      <c r="M145" s="1" t="inlineStr">
        <is>
          <t>Успешно</t>
        </is>
      </c>
      <c r="N145" s="1" t="inlineStr">
        <is>
          <t>05.02.2024</t>
        </is>
      </c>
      <c r="O145" s="1" t="inlineStr"/>
      <c r="P145" s="1" t="inlineStr"/>
      <c r="Q145" s="1" t="inlineStr">
        <is>
          <t>Пользовательский интерфейс</t>
        </is>
      </c>
    </row>
    <row r="146">
      <c r="B146" s="1" t="inlineStr">
        <is>
          <t>37117342</t>
        </is>
      </c>
      <c r="C146" s="1" t="inlineStr">
        <is>
          <t>2978778</t>
        </is>
      </c>
      <c r="D146" t="inlineStr">
        <is>
          <t>работник 38</t>
        </is>
      </c>
      <c r="E146" s="1" t="inlineStr">
        <is>
          <t>ОБЩЕСТВО С ОГРАНИЧЕННОЙ ОТВЕТСТВЕННОСТЬЮ "АМУР ЗОЛОТО"</t>
        </is>
      </c>
      <c r="F146" s="1" t="inlineStr">
        <is>
          <t>2708001686</t>
        </is>
      </c>
      <c r="G146" s="1" t="inlineStr">
        <is>
          <t>Дробильщик</t>
        </is>
      </c>
      <c r="H146" s="1" t="inlineStr">
        <is>
          <t>ООО "Амур Золото"</t>
        </is>
      </c>
      <c r="I146" s="1" t="inlineStr">
        <is>
          <t>2708001686</t>
        </is>
      </c>
      <c r="J146" s="1" t="inlineStr">
        <is>
          <t>ОТ № ЮГОК ПАЛ 23-01</t>
        </is>
      </c>
      <c r="K14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46" s="1" t="inlineStr">
        <is>
          <t>24.11.2023</t>
        </is>
      </c>
      <c r="M146" s="1" t="inlineStr">
        <is>
          <t>Успешно</t>
        </is>
      </c>
      <c r="N146" s="1" t="inlineStr">
        <is>
          <t>05.02.2024</t>
        </is>
      </c>
      <c r="O146" s="1" t="inlineStr"/>
      <c r="P146" s="1" t="inlineStr"/>
      <c r="Q146" s="1" t="inlineStr">
        <is>
          <t>Пользовательский интерфейс</t>
        </is>
      </c>
    </row>
    <row r="147">
      <c r="B147" s="1" t="inlineStr">
        <is>
          <t>37117343</t>
        </is>
      </c>
      <c r="C147" s="1" t="inlineStr">
        <is>
          <t>2978778</t>
        </is>
      </c>
      <c r="D147" t="inlineStr">
        <is>
          <t>работник 39</t>
        </is>
      </c>
      <c r="E147" s="1" t="inlineStr">
        <is>
          <t>ОБЩЕСТВО С ОГРАНИЧЕННОЙ ОТВЕТСТВЕННОСТЬЮ "АМУР ЗОЛОТО"</t>
        </is>
      </c>
      <c r="F147" s="1" t="inlineStr">
        <is>
          <t>2708001686</t>
        </is>
      </c>
      <c r="G147" s="1" t="inlineStr">
        <is>
          <t>Дробильщик</t>
        </is>
      </c>
      <c r="H147" s="1" t="inlineStr">
        <is>
          <t>ООО "Амур Золото"</t>
        </is>
      </c>
      <c r="I147" s="1" t="inlineStr">
        <is>
          <t>2708001686</t>
        </is>
      </c>
      <c r="J147" s="1" t="inlineStr">
        <is>
          <t>ОТ № ЮГОК ПАЛ 23-01</t>
        </is>
      </c>
      <c r="K147" s="1" t="inlineStr">
        <is>
          <t>Оказание первой помощи пострадавшим</t>
        </is>
      </c>
      <c r="L147" s="1" t="inlineStr">
        <is>
          <t>24.11.2023</t>
        </is>
      </c>
      <c r="M147" s="1" t="inlineStr">
        <is>
          <t>Успешно</t>
        </is>
      </c>
      <c r="N147" s="1" t="inlineStr">
        <is>
          <t>05.02.2024</t>
        </is>
      </c>
      <c r="O147" s="1" t="inlineStr"/>
      <c r="P147" s="1" t="inlineStr"/>
      <c r="Q147" s="1" t="inlineStr">
        <is>
          <t>Пользовательский интерфейс</t>
        </is>
      </c>
    </row>
    <row r="148">
      <c r="B148" s="1" t="inlineStr">
        <is>
          <t>37117344</t>
        </is>
      </c>
      <c r="C148" s="1" t="inlineStr">
        <is>
          <t>2978778</t>
        </is>
      </c>
      <c r="D148" t="inlineStr">
        <is>
          <t>работник 39</t>
        </is>
      </c>
      <c r="E148" s="1" t="inlineStr">
        <is>
          <t>ОБЩЕСТВО С ОГРАНИЧЕННОЙ ОТВЕТСТВЕННОСТЬЮ "АМУР ЗОЛОТО"</t>
        </is>
      </c>
      <c r="F148" s="1" t="inlineStr">
        <is>
          <t>2708001686</t>
        </is>
      </c>
      <c r="G148" s="1" t="inlineStr">
        <is>
          <t>Дробильщик</t>
        </is>
      </c>
      <c r="H148" s="1" t="inlineStr">
        <is>
          <t>ООО "Амур Золото"</t>
        </is>
      </c>
      <c r="I148" s="1" t="inlineStr">
        <is>
          <t>2708001686</t>
        </is>
      </c>
      <c r="J148" s="1" t="inlineStr">
        <is>
          <t>ОТ № ЮГОК ПАЛ 23-01</t>
        </is>
      </c>
      <c r="K148" s="1" t="inlineStr">
        <is>
          <t>Использование (применение) средств индивидуальной защиты</t>
        </is>
      </c>
      <c r="L148" s="1" t="inlineStr">
        <is>
          <t>24.11.2023</t>
        </is>
      </c>
      <c r="M148" s="1" t="inlineStr">
        <is>
          <t>Успешно</t>
        </is>
      </c>
      <c r="N148" s="1" t="inlineStr">
        <is>
          <t>05.02.2024</t>
        </is>
      </c>
      <c r="O148" s="1" t="inlineStr"/>
      <c r="P148" s="1" t="inlineStr"/>
      <c r="Q148" s="1" t="inlineStr">
        <is>
          <t>Пользовательский интерфейс</t>
        </is>
      </c>
    </row>
    <row r="149">
      <c r="B149" s="1" t="inlineStr">
        <is>
          <t>37117345</t>
        </is>
      </c>
      <c r="C149" s="1" t="inlineStr">
        <is>
          <t>2978778</t>
        </is>
      </c>
      <c r="D149" t="inlineStr">
        <is>
          <t>работник 39</t>
        </is>
      </c>
      <c r="E149" s="1" t="inlineStr">
        <is>
          <t>ОБЩЕСТВО С ОГРАНИЧЕННОЙ ОТВЕТСТВЕННОСТЬЮ "АМУР ЗОЛОТО"</t>
        </is>
      </c>
      <c r="F149" s="1" t="inlineStr">
        <is>
          <t>2708001686</t>
        </is>
      </c>
      <c r="G149" s="1" t="inlineStr">
        <is>
          <t>Дробильщик</t>
        </is>
      </c>
      <c r="H149" s="1" t="inlineStr">
        <is>
          <t>ООО "Амур Золото"</t>
        </is>
      </c>
      <c r="I149" s="1" t="inlineStr">
        <is>
          <t>2708001686</t>
        </is>
      </c>
      <c r="J149" s="1" t="inlineStr">
        <is>
          <t>ОТ № ЮГОК ПАЛ 23-01</t>
        </is>
      </c>
      <c r="K14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49" s="1" t="inlineStr">
        <is>
          <t>24.11.2023</t>
        </is>
      </c>
      <c r="M149" s="1" t="inlineStr">
        <is>
          <t>Успешно</t>
        </is>
      </c>
      <c r="N149" s="1" t="inlineStr">
        <is>
          <t>05.02.2024</t>
        </is>
      </c>
      <c r="O149" s="1" t="inlineStr"/>
      <c r="P149" s="1" t="inlineStr"/>
      <c r="Q149" s="1" t="inlineStr">
        <is>
          <t>Пользовательский интерфейс</t>
        </is>
      </c>
    </row>
    <row r="150">
      <c r="B150" s="1" t="inlineStr">
        <is>
          <t>37117346</t>
        </is>
      </c>
      <c r="C150" s="1" t="inlineStr">
        <is>
          <t>2978778</t>
        </is>
      </c>
      <c r="D150" t="inlineStr">
        <is>
          <t>работник 40</t>
        </is>
      </c>
      <c r="E150" s="1" t="inlineStr">
        <is>
          <t>ОБЩЕСТВО С ОГРАНИЧЕННОЙ ОТВЕТСТВЕННОСТЬЮ "АМУР ЗОЛОТО"</t>
        </is>
      </c>
      <c r="F150" s="1" t="inlineStr">
        <is>
          <t>2708001686</t>
        </is>
      </c>
      <c r="G150" s="1" t="inlineStr">
        <is>
          <t>Лаборант химического анализа</t>
        </is>
      </c>
      <c r="H150" s="1" t="inlineStr">
        <is>
          <t>ООО "Амур Золото"</t>
        </is>
      </c>
      <c r="I150" s="1" t="inlineStr">
        <is>
          <t>2708001686</t>
        </is>
      </c>
      <c r="J150" s="1" t="inlineStr">
        <is>
          <t>ОТ № ЮГОК ПАЛ 23-01</t>
        </is>
      </c>
      <c r="K150" s="1" t="inlineStr">
        <is>
          <t>Оказание первой помощи пострадавшим</t>
        </is>
      </c>
      <c r="L150" s="1" t="inlineStr">
        <is>
          <t>24.11.2023</t>
        </is>
      </c>
      <c r="M150" s="1" t="inlineStr">
        <is>
          <t>Успешно</t>
        </is>
      </c>
      <c r="N150" s="1" t="inlineStr">
        <is>
          <t>05.02.2024</t>
        </is>
      </c>
      <c r="O150" s="1" t="inlineStr"/>
      <c r="P150" s="1" t="inlineStr"/>
      <c r="Q150" s="1" t="inlineStr">
        <is>
          <t>Пользовательский интерфейс</t>
        </is>
      </c>
    </row>
    <row r="151">
      <c r="B151" s="1" t="inlineStr">
        <is>
          <t>37117347</t>
        </is>
      </c>
      <c r="C151" s="1" t="inlineStr">
        <is>
          <t>2978778</t>
        </is>
      </c>
      <c r="D151" t="inlineStr">
        <is>
          <t>работник 40</t>
        </is>
      </c>
      <c r="E151" s="1" t="inlineStr">
        <is>
          <t>ОБЩЕСТВО С ОГРАНИЧЕННОЙ ОТВЕТСТВЕННОСТЬЮ "АМУР ЗОЛОТО"</t>
        </is>
      </c>
      <c r="F151" s="1" t="inlineStr">
        <is>
          <t>2708001686</t>
        </is>
      </c>
      <c r="G151" s="1" t="inlineStr">
        <is>
          <t>Лаборант химического анализа</t>
        </is>
      </c>
      <c r="H151" s="1" t="inlineStr">
        <is>
          <t>ООО "Амур Золото"</t>
        </is>
      </c>
      <c r="I151" s="1" t="inlineStr">
        <is>
          <t>2708001686</t>
        </is>
      </c>
      <c r="J151" s="1" t="inlineStr">
        <is>
          <t>ОТ № ЮГОК ПАЛ 23-01</t>
        </is>
      </c>
      <c r="K151" s="1" t="inlineStr">
        <is>
          <t>Использование (применение) средств индивидуальной защиты</t>
        </is>
      </c>
      <c r="L151" s="1" t="inlineStr">
        <is>
          <t>24.11.2023</t>
        </is>
      </c>
      <c r="M151" s="1" t="inlineStr">
        <is>
          <t>Успешно</t>
        </is>
      </c>
      <c r="N151" s="1" t="inlineStr">
        <is>
          <t>05.02.2024</t>
        </is>
      </c>
      <c r="O151" s="1" t="inlineStr"/>
      <c r="P151" s="1" t="inlineStr"/>
      <c r="Q151" s="1" t="inlineStr">
        <is>
          <t>Пользовательский интерфейс</t>
        </is>
      </c>
    </row>
    <row r="152">
      <c r="B152" s="1" t="inlineStr">
        <is>
          <t>37117348</t>
        </is>
      </c>
      <c r="C152" s="1" t="inlineStr">
        <is>
          <t>2978778</t>
        </is>
      </c>
      <c r="D152" t="inlineStr">
        <is>
          <t>работник 40</t>
        </is>
      </c>
      <c r="E152" s="1" t="inlineStr">
        <is>
          <t>ОБЩЕСТВО С ОГРАНИЧЕННОЙ ОТВЕТСТВЕННОСТЬЮ "АМУР ЗОЛОТО"</t>
        </is>
      </c>
      <c r="F152" s="1" t="inlineStr">
        <is>
          <t>2708001686</t>
        </is>
      </c>
      <c r="G152" s="1" t="inlineStr">
        <is>
          <t>Лаборант химического анализа</t>
        </is>
      </c>
      <c r="H152" s="1" t="inlineStr">
        <is>
          <t>ООО "Амур Золото"</t>
        </is>
      </c>
      <c r="I152" s="1" t="inlineStr">
        <is>
          <t>2708001686</t>
        </is>
      </c>
      <c r="J152" s="1" t="inlineStr">
        <is>
          <t>ОТ № ЮГОК ПАЛ 23-01</t>
        </is>
      </c>
      <c r="K15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52" s="1" t="inlineStr">
        <is>
          <t>24.11.2023</t>
        </is>
      </c>
      <c r="M152" s="1" t="inlineStr">
        <is>
          <t>Успешно</t>
        </is>
      </c>
      <c r="N152" s="1" t="inlineStr">
        <is>
          <t>05.02.2024</t>
        </is>
      </c>
      <c r="O152" s="1" t="inlineStr"/>
      <c r="P152" s="1" t="inlineStr"/>
      <c r="Q152" s="1" t="inlineStr">
        <is>
          <t>Пользовательский интерфейс</t>
        </is>
      </c>
    </row>
    <row r="153">
      <c r="B153" s="1" t="inlineStr">
        <is>
          <t>37117349</t>
        </is>
      </c>
      <c r="C153" s="1" t="inlineStr">
        <is>
          <t>2978778</t>
        </is>
      </c>
      <c r="D153" t="inlineStr">
        <is>
          <t>работник 41</t>
        </is>
      </c>
      <c r="E153" s="1" t="inlineStr">
        <is>
          <t>ОБЩЕСТВО С ОГРАНИЧЕННОЙ ОТВЕТСТВЕННОСТЬЮ "АМУР ЗОЛОТО"</t>
        </is>
      </c>
      <c r="F153" s="1" t="inlineStr">
        <is>
          <t>2708001686</t>
        </is>
      </c>
      <c r="G153" s="1" t="inlineStr">
        <is>
          <t>Стропальщик</t>
        </is>
      </c>
      <c r="H153" s="1" t="inlineStr">
        <is>
          <t>ООО "Амур Золото"</t>
        </is>
      </c>
      <c r="I153" s="1" t="inlineStr">
        <is>
          <t>2708001686</t>
        </is>
      </c>
      <c r="J153" s="1" t="inlineStr">
        <is>
          <t>ОТ № ЮГОК СК 23-01</t>
        </is>
      </c>
      <c r="K153" s="1" t="inlineStr">
        <is>
          <t>Оказание первой помощи пострадавшим</t>
        </is>
      </c>
      <c r="L153" s="1" t="inlineStr">
        <is>
          <t>24.11.2023</t>
        </is>
      </c>
      <c r="M153" s="1" t="inlineStr">
        <is>
          <t>Успешно</t>
        </is>
      </c>
      <c r="N153" s="1" t="inlineStr">
        <is>
          <t>05.02.2024</t>
        </is>
      </c>
      <c r="O153" s="1" t="inlineStr"/>
      <c r="P153" s="1" t="inlineStr"/>
      <c r="Q153" s="1" t="inlineStr">
        <is>
          <t>Пользовательский интерфейс</t>
        </is>
      </c>
    </row>
    <row r="154">
      <c r="B154" s="1" t="inlineStr">
        <is>
          <t>37117350</t>
        </is>
      </c>
      <c r="C154" s="1" t="inlineStr">
        <is>
          <t>2978778</t>
        </is>
      </c>
      <c r="D154" t="inlineStr">
        <is>
          <t>работник 41</t>
        </is>
      </c>
      <c r="E154" s="1" t="inlineStr">
        <is>
          <t>ОБЩЕСТВО С ОГРАНИЧЕННОЙ ОТВЕТСТВЕННОСТЬЮ "АМУР ЗОЛОТО"</t>
        </is>
      </c>
      <c r="F154" s="1" t="inlineStr">
        <is>
          <t>2708001686</t>
        </is>
      </c>
      <c r="G154" s="1" t="inlineStr">
        <is>
          <t>Стропальщик</t>
        </is>
      </c>
      <c r="H154" s="1" t="inlineStr">
        <is>
          <t>ООО "Амур Золото"</t>
        </is>
      </c>
      <c r="I154" s="1" t="inlineStr">
        <is>
          <t>2708001686</t>
        </is>
      </c>
      <c r="J154" s="1" t="inlineStr">
        <is>
          <t>ОТ № ЮГОК СК 23-01</t>
        </is>
      </c>
      <c r="K154" s="1" t="inlineStr">
        <is>
          <t>Использование (применение) средств индивидуальной защиты</t>
        </is>
      </c>
      <c r="L154" s="1" t="inlineStr">
        <is>
          <t>24.11.2023</t>
        </is>
      </c>
      <c r="M154" s="1" t="inlineStr">
        <is>
          <t>Успешно</t>
        </is>
      </c>
      <c r="N154" s="1" t="inlineStr">
        <is>
          <t>05.02.2024</t>
        </is>
      </c>
      <c r="O154" s="1" t="inlineStr"/>
      <c r="P154" s="1" t="inlineStr"/>
      <c r="Q154" s="1" t="inlineStr">
        <is>
          <t>Пользовательский интерфейс</t>
        </is>
      </c>
    </row>
    <row r="155">
      <c r="B155" s="1" t="inlineStr">
        <is>
          <t>37117351</t>
        </is>
      </c>
      <c r="C155" s="1" t="inlineStr">
        <is>
          <t>2978778</t>
        </is>
      </c>
      <c r="D155" t="inlineStr">
        <is>
          <t>работник 41</t>
        </is>
      </c>
      <c r="E155" s="1" t="inlineStr">
        <is>
          <t>ОБЩЕСТВО С ОГРАНИЧЕННОЙ ОТВЕТСТВЕННОСТЬЮ "АМУР ЗОЛОТО"</t>
        </is>
      </c>
      <c r="F155" s="1" t="inlineStr">
        <is>
          <t>2708001686</t>
        </is>
      </c>
      <c r="G155" s="1" t="inlineStr">
        <is>
          <t>Стропальщик</t>
        </is>
      </c>
      <c r="H155" s="1" t="inlineStr">
        <is>
          <t>ООО "Амур Золото"</t>
        </is>
      </c>
      <c r="I155" s="1" t="inlineStr">
        <is>
          <t>2708001686</t>
        </is>
      </c>
      <c r="J155" s="1" t="inlineStr">
        <is>
          <t>ОТ № ЮГОК СК 23-01</t>
        </is>
      </c>
      <c r="K15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55" s="1" t="inlineStr">
        <is>
          <t>24.11.2023</t>
        </is>
      </c>
      <c r="M155" s="1" t="inlineStr">
        <is>
          <t>Успешно</t>
        </is>
      </c>
      <c r="N155" s="1" t="inlineStr">
        <is>
          <t>05.02.2024</t>
        </is>
      </c>
      <c r="O155" s="1" t="inlineStr"/>
      <c r="P155" s="1" t="inlineStr"/>
      <c r="Q155" s="1" t="inlineStr">
        <is>
          <t>Пользовательский интерфейс</t>
        </is>
      </c>
    </row>
    <row r="156">
      <c r="B156" s="1" t="inlineStr">
        <is>
          <t>37117352</t>
        </is>
      </c>
      <c r="C156" s="1" t="inlineStr">
        <is>
          <t>2978778</t>
        </is>
      </c>
      <c r="D156" t="inlineStr">
        <is>
          <t>работник 42</t>
        </is>
      </c>
      <c r="E156" s="1" t="inlineStr">
        <is>
          <t>ОБЩЕСТВО С ОГРАНИЧЕННОЙ ОТВЕТСТВЕННОСТЬЮ "АМУР ЗОЛОТО"</t>
        </is>
      </c>
      <c r="F156" s="1" t="inlineStr">
        <is>
          <t>2708001686</t>
        </is>
      </c>
      <c r="G156" s="1" t="inlineStr">
        <is>
          <t>Стропальщик</t>
        </is>
      </c>
      <c r="H156" s="1" t="inlineStr">
        <is>
          <t>ООО "Амур Золото"</t>
        </is>
      </c>
      <c r="I156" s="1" t="inlineStr">
        <is>
          <t>2708001686</t>
        </is>
      </c>
      <c r="J156" s="1" t="inlineStr">
        <is>
          <t>ОТ № ЮГОК СК 23-01</t>
        </is>
      </c>
      <c r="K156" s="1" t="inlineStr">
        <is>
          <t>Оказание первой помощи пострадавшим</t>
        </is>
      </c>
      <c r="L156" s="1" t="inlineStr">
        <is>
          <t>24.11.2023</t>
        </is>
      </c>
      <c r="M156" s="1" t="inlineStr">
        <is>
          <t>Успешно</t>
        </is>
      </c>
      <c r="N156" s="1" t="inlineStr">
        <is>
          <t>05.02.2024</t>
        </is>
      </c>
      <c r="O156" s="1" t="inlineStr"/>
      <c r="P156" s="1" t="inlineStr"/>
      <c r="Q156" s="1" t="inlineStr">
        <is>
          <t>Пользовательский интерфейс</t>
        </is>
      </c>
    </row>
    <row r="157">
      <c r="B157" s="1" t="inlineStr">
        <is>
          <t>37117353</t>
        </is>
      </c>
      <c r="C157" s="1" t="inlineStr">
        <is>
          <t>2978778</t>
        </is>
      </c>
      <c r="D157" t="inlineStr">
        <is>
          <t>работник 42</t>
        </is>
      </c>
      <c r="E157" s="1" t="inlineStr">
        <is>
          <t>ОБЩЕСТВО С ОГРАНИЧЕННОЙ ОТВЕТСТВЕННОСТЬЮ "АМУР ЗОЛОТО"</t>
        </is>
      </c>
      <c r="F157" s="1" t="inlineStr">
        <is>
          <t>2708001686</t>
        </is>
      </c>
      <c r="G157" s="1" t="inlineStr">
        <is>
          <t>Стропальщик</t>
        </is>
      </c>
      <c r="H157" s="1" t="inlineStr">
        <is>
          <t>ООО "Амур Золото"</t>
        </is>
      </c>
      <c r="I157" s="1" t="inlineStr">
        <is>
          <t>2708001686</t>
        </is>
      </c>
      <c r="J157" s="1" t="inlineStr">
        <is>
          <t>ОТ № ЮГОК СК 23-01</t>
        </is>
      </c>
      <c r="K157" s="1" t="inlineStr">
        <is>
          <t>Использование (применение) средств индивидуальной защиты</t>
        </is>
      </c>
      <c r="L157" s="1" t="inlineStr">
        <is>
          <t>24.11.2023</t>
        </is>
      </c>
      <c r="M157" s="1" t="inlineStr">
        <is>
          <t>Успешно</t>
        </is>
      </c>
      <c r="N157" s="1" t="inlineStr">
        <is>
          <t>05.02.2024</t>
        </is>
      </c>
      <c r="O157" s="1" t="inlineStr"/>
      <c r="P157" s="1" t="inlineStr"/>
      <c r="Q157" s="1" t="inlineStr">
        <is>
          <t>Пользовательский интерфейс</t>
        </is>
      </c>
    </row>
    <row r="158">
      <c r="B158" s="1" t="inlineStr">
        <is>
          <t>37117354</t>
        </is>
      </c>
      <c r="C158" s="1" t="inlineStr">
        <is>
          <t>2978778</t>
        </is>
      </c>
      <c r="D158" t="inlineStr">
        <is>
          <t>работник 42</t>
        </is>
      </c>
      <c r="E158" s="1" t="inlineStr">
        <is>
          <t>ОБЩЕСТВО С ОГРАНИЧЕННОЙ ОТВЕТСТВЕННОСТЬЮ "АМУР ЗОЛОТО"</t>
        </is>
      </c>
      <c r="F158" s="1" t="inlineStr">
        <is>
          <t>2708001686</t>
        </is>
      </c>
      <c r="G158" s="1" t="inlineStr">
        <is>
          <t>Стропальщик</t>
        </is>
      </c>
      <c r="H158" s="1" t="inlineStr">
        <is>
          <t>ООО "Амур Золото"</t>
        </is>
      </c>
      <c r="I158" s="1" t="inlineStr">
        <is>
          <t>2708001686</t>
        </is>
      </c>
      <c r="J158" s="1" t="inlineStr">
        <is>
          <t>ОТ № ЮГОК СК 23-01</t>
        </is>
      </c>
      <c r="K15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58" s="1" t="inlineStr">
        <is>
          <t>24.11.2023</t>
        </is>
      </c>
      <c r="M158" s="1" t="inlineStr">
        <is>
          <t>Успешно</t>
        </is>
      </c>
      <c r="N158" s="1" t="inlineStr">
        <is>
          <t>05.02.2024</t>
        </is>
      </c>
      <c r="O158" s="1" t="inlineStr"/>
      <c r="P158" s="1" t="inlineStr"/>
      <c r="Q158" s="1" t="inlineStr">
        <is>
          <t>Пользовательский интерфейс</t>
        </is>
      </c>
    </row>
    <row r="159">
      <c r="B159" s="1" t="inlineStr">
        <is>
          <t>37117355</t>
        </is>
      </c>
      <c r="C159" s="1" t="inlineStr">
        <is>
          <t>2978778</t>
        </is>
      </c>
      <c r="D159" t="inlineStr">
        <is>
          <t>работник 43</t>
        </is>
      </c>
      <c r="E159" s="1" t="inlineStr">
        <is>
          <t>ОБЩЕСТВО С ОГРАНИЧЕННОЙ ОТВЕТСТВЕННОСТЬЮ "АМУР ЗОЛОТО"</t>
        </is>
      </c>
      <c r="F159" s="1" t="inlineStr">
        <is>
          <t>2708001686</t>
        </is>
      </c>
      <c r="G159" s="1" t="inlineStr">
        <is>
          <t>Стропальщик</t>
        </is>
      </c>
      <c r="H159" s="1" t="inlineStr">
        <is>
          <t>ООО "Амур Золото"</t>
        </is>
      </c>
      <c r="I159" s="1" t="inlineStr">
        <is>
          <t>2708001686</t>
        </is>
      </c>
      <c r="J159" s="1" t="inlineStr">
        <is>
          <t>ОТ № ЮГОК СК 23-01</t>
        </is>
      </c>
      <c r="K159" s="1" t="inlineStr">
        <is>
          <t>Оказание первой помощи пострадавшим</t>
        </is>
      </c>
      <c r="L159" s="1" t="inlineStr">
        <is>
          <t>24.11.2023</t>
        </is>
      </c>
      <c r="M159" s="1" t="inlineStr">
        <is>
          <t>Успешно</t>
        </is>
      </c>
      <c r="N159" s="1" t="inlineStr">
        <is>
          <t>05.02.2024</t>
        </is>
      </c>
      <c r="O159" s="1" t="inlineStr"/>
      <c r="P159" s="1" t="inlineStr"/>
      <c r="Q159" s="1" t="inlineStr">
        <is>
          <t>Пользовательский интерфейс</t>
        </is>
      </c>
    </row>
    <row r="160">
      <c r="B160" s="1" t="inlineStr">
        <is>
          <t>37117356</t>
        </is>
      </c>
      <c r="C160" s="1" t="inlineStr">
        <is>
          <t>2978778</t>
        </is>
      </c>
      <c r="D160" t="inlineStr">
        <is>
          <t>работник 43</t>
        </is>
      </c>
      <c r="E160" s="1" t="inlineStr">
        <is>
          <t>ОБЩЕСТВО С ОГРАНИЧЕННОЙ ОТВЕТСТВЕННОСТЬЮ "АМУР ЗОЛОТО"</t>
        </is>
      </c>
      <c r="F160" s="1" t="inlineStr">
        <is>
          <t>2708001686</t>
        </is>
      </c>
      <c r="G160" s="1" t="inlineStr">
        <is>
          <t>Стропальщик</t>
        </is>
      </c>
      <c r="H160" s="1" t="inlineStr">
        <is>
          <t>ООО "Амур Золото"</t>
        </is>
      </c>
      <c r="I160" s="1" t="inlineStr">
        <is>
          <t>2708001686</t>
        </is>
      </c>
      <c r="J160" s="1" t="inlineStr">
        <is>
          <t>ОТ № ЮГОК СК 23-01</t>
        </is>
      </c>
      <c r="K160" s="1" t="inlineStr">
        <is>
          <t>Использование (применение) средств индивидуальной защиты</t>
        </is>
      </c>
      <c r="L160" s="1" t="inlineStr">
        <is>
          <t>24.11.2023</t>
        </is>
      </c>
      <c r="M160" s="1" t="inlineStr">
        <is>
          <t>Успешно</t>
        </is>
      </c>
      <c r="N160" s="1" t="inlineStr">
        <is>
          <t>05.02.2024</t>
        </is>
      </c>
      <c r="O160" s="1" t="inlineStr"/>
      <c r="P160" s="1" t="inlineStr"/>
      <c r="Q160" s="1" t="inlineStr">
        <is>
          <t>Пользовательский интерфейс</t>
        </is>
      </c>
    </row>
    <row r="161">
      <c r="B161" s="1" t="inlineStr">
        <is>
          <t>37117357</t>
        </is>
      </c>
      <c r="C161" s="1" t="inlineStr">
        <is>
          <t>2978778</t>
        </is>
      </c>
      <c r="D161" t="inlineStr">
        <is>
          <t>работник 43</t>
        </is>
      </c>
      <c r="E161" s="1" t="inlineStr">
        <is>
          <t>ОБЩЕСТВО С ОГРАНИЧЕННОЙ ОТВЕТСТВЕННОСТЬЮ "АМУР ЗОЛОТО"</t>
        </is>
      </c>
      <c r="F161" s="1" t="inlineStr">
        <is>
          <t>2708001686</t>
        </is>
      </c>
      <c r="G161" s="1" t="inlineStr">
        <is>
          <t>Стропальщик</t>
        </is>
      </c>
      <c r="H161" s="1" t="inlineStr">
        <is>
          <t>ООО "Амур Золото"</t>
        </is>
      </c>
      <c r="I161" s="1" t="inlineStr">
        <is>
          <t>2708001686</t>
        </is>
      </c>
      <c r="J161" s="1" t="inlineStr">
        <is>
          <t>ОТ № ЮГОК СК 23-01</t>
        </is>
      </c>
      <c r="K16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61" s="1" t="inlineStr">
        <is>
          <t>24.11.2023</t>
        </is>
      </c>
      <c r="M161" s="1" t="inlineStr">
        <is>
          <t>Успешно</t>
        </is>
      </c>
      <c r="N161" s="1" t="inlineStr">
        <is>
          <t>05.02.2024</t>
        </is>
      </c>
      <c r="O161" s="1" t="inlineStr"/>
      <c r="P161" s="1" t="inlineStr"/>
      <c r="Q161" s="1" t="inlineStr">
        <is>
          <t>Пользовательский интерфейс</t>
        </is>
      </c>
    </row>
    <row r="162">
      <c r="B162" s="1" t="inlineStr">
        <is>
          <t>37117358</t>
        </is>
      </c>
      <c r="C162" s="1" t="inlineStr">
        <is>
          <t>2978778</t>
        </is>
      </c>
      <c r="D162" t="inlineStr">
        <is>
          <t>работник 44</t>
        </is>
      </c>
      <c r="E162" s="1" t="inlineStr">
        <is>
          <t>ОБЩЕСТВО С ОГРАНИЧЕННОЙ ОТВЕТСТВЕННОСТЬЮ "АМУР ЗОЛОТО"</t>
        </is>
      </c>
      <c r="F162" s="1" t="inlineStr">
        <is>
          <t>2708001686</t>
        </is>
      </c>
      <c r="G162" s="1" t="inlineStr">
        <is>
          <t>Электромонтер по ремонту и обслуживанию электрооборудования</t>
        </is>
      </c>
      <c r="H162" s="1" t="inlineStr">
        <is>
          <t>ООО "Амур Золото"</t>
        </is>
      </c>
      <c r="I162" s="1" t="inlineStr">
        <is>
          <t>2708001686</t>
        </is>
      </c>
      <c r="J162" s="1" t="inlineStr">
        <is>
          <t>ОТ № ЮГОК ЭУ 23-01</t>
        </is>
      </c>
      <c r="K162" s="1" t="inlineStr">
        <is>
          <t>Оказание первой помощи пострадавшим</t>
        </is>
      </c>
      <c r="L162" s="1" t="inlineStr">
        <is>
          <t>23.11.2023</t>
        </is>
      </c>
      <c r="M162" s="1" t="inlineStr">
        <is>
          <t>Успешно</t>
        </is>
      </c>
      <c r="N162" s="1" t="inlineStr">
        <is>
          <t>05.02.2024</t>
        </is>
      </c>
      <c r="O162" s="1" t="inlineStr"/>
      <c r="P162" s="1" t="inlineStr"/>
      <c r="Q162" s="1" t="inlineStr">
        <is>
          <t>Пользовательский интерфейс</t>
        </is>
      </c>
    </row>
    <row r="163">
      <c r="B163" s="1" t="inlineStr">
        <is>
          <t>37117359</t>
        </is>
      </c>
      <c r="C163" s="1" t="inlineStr">
        <is>
          <t>2978778</t>
        </is>
      </c>
      <c r="D163" t="inlineStr">
        <is>
          <t>работник 44</t>
        </is>
      </c>
      <c r="E163" s="1" t="inlineStr">
        <is>
          <t>ОБЩЕСТВО С ОГРАНИЧЕННОЙ ОТВЕТСТВЕННОСТЬЮ "АМУР ЗОЛОТО"</t>
        </is>
      </c>
      <c r="F163" s="1" t="inlineStr">
        <is>
          <t>2708001686</t>
        </is>
      </c>
      <c r="G163" s="1" t="inlineStr">
        <is>
          <t>Электромонтер по ремонту и обслуживанию электрооборудования</t>
        </is>
      </c>
      <c r="H163" s="1" t="inlineStr">
        <is>
          <t>ООО "Амур Золото"</t>
        </is>
      </c>
      <c r="I163" s="1" t="inlineStr">
        <is>
          <t>2708001686</t>
        </is>
      </c>
      <c r="J163" s="1" t="inlineStr">
        <is>
          <t>ОТ № ЮГОК ЭУ 23-01</t>
        </is>
      </c>
      <c r="K163" s="1" t="inlineStr">
        <is>
          <t>Использование (применение) средств индивидуальной защиты</t>
        </is>
      </c>
      <c r="L163" s="1" t="inlineStr">
        <is>
          <t>23.11.2023</t>
        </is>
      </c>
      <c r="M163" s="1" t="inlineStr">
        <is>
          <t>Успешно</t>
        </is>
      </c>
      <c r="N163" s="1" t="inlineStr">
        <is>
          <t>05.02.2024</t>
        </is>
      </c>
      <c r="O163" s="1" t="inlineStr"/>
      <c r="P163" s="1" t="inlineStr"/>
      <c r="Q163" s="1" t="inlineStr">
        <is>
          <t>Пользовательский интерфейс</t>
        </is>
      </c>
    </row>
    <row r="164">
      <c r="B164" s="1" t="inlineStr">
        <is>
          <t>37117360</t>
        </is>
      </c>
      <c r="C164" s="1" t="inlineStr">
        <is>
          <t>2978778</t>
        </is>
      </c>
      <c r="D164" t="inlineStr">
        <is>
          <t>работник 44</t>
        </is>
      </c>
      <c r="E164" s="1" t="inlineStr">
        <is>
          <t>ОБЩЕСТВО С ОГРАНИЧЕННОЙ ОТВЕТСТВЕННОСТЬЮ "АМУР ЗОЛОТО"</t>
        </is>
      </c>
      <c r="F164" s="1" t="inlineStr">
        <is>
          <t>2708001686</t>
        </is>
      </c>
      <c r="G164" s="1" t="inlineStr">
        <is>
          <t>Электромонтер по ремонту и обслуживанию электрооборудования</t>
        </is>
      </c>
      <c r="H164" s="1" t="inlineStr">
        <is>
          <t>ООО "Амур Золото"</t>
        </is>
      </c>
      <c r="I164" s="1" t="inlineStr">
        <is>
          <t>2708001686</t>
        </is>
      </c>
      <c r="J164" s="1" t="inlineStr">
        <is>
          <t>ОТ № ЮГОК ЭУ 23-01</t>
        </is>
      </c>
      <c r="K16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64" s="1" t="inlineStr">
        <is>
          <t>23.11.2023</t>
        </is>
      </c>
      <c r="M164" s="1" t="inlineStr">
        <is>
          <t>Успешно</t>
        </is>
      </c>
      <c r="N164" s="1" t="inlineStr">
        <is>
          <t>05.02.2024</t>
        </is>
      </c>
      <c r="O164" s="1" t="inlineStr"/>
      <c r="P164" s="1" t="inlineStr"/>
      <c r="Q164" s="1" t="inlineStr">
        <is>
          <t>Пользовательский интерфейс</t>
        </is>
      </c>
    </row>
    <row r="165">
      <c r="B165" s="1" t="inlineStr">
        <is>
          <t>37117361</t>
        </is>
      </c>
      <c r="C165" s="1" t="inlineStr">
        <is>
          <t>2978778</t>
        </is>
      </c>
      <c r="D165" t="inlineStr">
        <is>
          <t>работник 44</t>
        </is>
      </c>
      <c r="E165" s="1" t="inlineStr">
        <is>
          <t>ОБЩЕСТВО С ОГРАНИЧЕННОЙ ОТВЕТСТВЕННОСТЬЮ "АМУР ЗОЛОТО"</t>
        </is>
      </c>
      <c r="F165" s="1" t="inlineStr">
        <is>
          <t>2708001686</t>
        </is>
      </c>
      <c r="G165" s="1" t="inlineStr">
        <is>
          <t>Электромонтер по ремонту и обслуживанию электрооборудования</t>
        </is>
      </c>
      <c r="H165" s="1" t="inlineStr">
        <is>
          <t>ООО "Амур Золото"</t>
        </is>
      </c>
      <c r="I165" s="1" t="inlineStr">
        <is>
          <t>2708001686</t>
        </is>
      </c>
      <c r="J165" s="1" t="inlineStr">
        <is>
          <t>ОТ № ЮГОК ЭУ 23-04</t>
        </is>
      </c>
      <c r="K165" s="1" t="inlineStr">
        <is>
          <t>Безопасные методы и приемы выполнения работ на высоте</t>
        </is>
      </c>
      <c r="L165" s="1" t="inlineStr">
        <is>
          <t>30.11.2023</t>
        </is>
      </c>
      <c r="M165" s="1" t="inlineStr">
        <is>
          <t>Успешно</t>
        </is>
      </c>
      <c r="N165" s="1" t="inlineStr">
        <is>
          <t>05.02.2024</t>
        </is>
      </c>
      <c r="O165" s="1" t="inlineStr"/>
      <c r="P165" s="1" t="inlineStr"/>
      <c r="Q165" s="1" t="inlineStr">
        <is>
          <t>Пользовательский интерфейс</t>
        </is>
      </c>
    </row>
    <row r="166">
      <c r="B166" s="1" t="inlineStr">
        <is>
          <t>37117362</t>
        </is>
      </c>
      <c r="C166" s="1" t="inlineStr">
        <is>
          <t>2978778</t>
        </is>
      </c>
      <c r="D166" t="inlineStr">
        <is>
          <t>работник 44</t>
        </is>
      </c>
      <c r="E166" s="1" t="inlineStr">
        <is>
          <t>ОБЩЕСТВО С ОГРАНИЧЕННОЙ ОТВЕТСТВЕННОСТЬЮ "АМУР ЗОЛОТО"</t>
        </is>
      </c>
      <c r="F166" s="1" t="inlineStr">
        <is>
          <t>2708001686</t>
        </is>
      </c>
      <c r="G166" s="1" t="inlineStr">
        <is>
          <t>Электромонтер по ремонту и обслуживанию электрооборудования</t>
        </is>
      </c>
      <c r="H166" s="1" t="inlineStr">
        <is>
          <t>ООО "Амур Золото"</t>
        </is>
      </c>
      <c r="I166" s="1" t="inlineStr">
        <is>
          <t>2708001686</t>
        </is>
      </c>
      <c r="J166" s="1" t="inlineStr">
        <is>
          <t>ОТ № ЮГОК ЭУ 23-04</t>
        </is>
      </c>
      <c r="K166" s="1" t="inlineStr">
        <is>
          <t>Безопасные методы и приемы выполнения работ в электроустановках</t>
        </is>
      </c>
      <c r="L166" s="1" t="inlineStr">
        <is>
          <t>30.11.2023</t>
        </is>
      </c>
      <c r="M166" s="1" t="inlineStr">
        <is>
          <t>Успешно</t>
        </is>
      </c>
      <c r="N166" s="1" t="inlineStr">
        <is>
          <t>05.02.2024</t>
        </is>
      </c>
      <c r="O166" s="1" t="inlineStr"/>
      <c r="P166" s="1" t="inlineStr"/>
      <c r="Q166" s="1" t="inlineStr">
        <is>
          <t>Пользовательский интерфейс</t>
        </is>
      </c>
    </row>
    <row r="167">
      <c r="B167" s="1" t="inlineStr">
        <is>
          <t>37117363</t>
        </is>
      </c>
      <c r="C167" s="1" t="inlineStr">
        <is>
          <t>2978778</t>
        </is>
      </c>
      <c r="D167" t="inlineStr">
        <is>
          <t>работник 45</t>
        </is>
      </c>
      <c r="E167" s="1" t="inlineStr">
        <is>
          <t>ОБЩЕСТВО С ОГРАНИЧЕННОЙ ОТВЕТСТВЕННОСТЬЮ "АМУР ЗОЛОТО"</t>
        </is>
      </c>
      <c r="F167" s="1" t="inlineStr">
        <is>
          <t>2708001686</t>
        </is>
      </c>
      <c r="G167" s="1" t="inlineStr">
        <is>
          <t>Электромонтер по ремонту и обслуживанию электрооборудования</t>
        </is>
      </c>
      <c r="H167" s="1" t="inlineStr">
        <is>
          <t>ООО "Амур Золото"</t>
        </is>
      </c>
      <c r="I167" s="1" t="inlineStr">
        <is>
          <t>2708001686</t>
        </is>
      </c>
      <c r="J167" s="1" t="inlineStr">
        <is>
          <t>ОТ № ЮГОК ЭУ 23-01</t>
        </is>
      </c>
      <c r="K167" s="1" t="inlineStr">
        <is>
          <t>Оказание первой помощи пострадавшим</t>
        </is>
      </c>
      <c r="L167" s="1" t="inlineStr">
        <is>
          <t>23.11.2023</t>
        </is>
      </c>
      <c r="M167" s="1" t="inlineStr">
        <is>
          <t>Успешно</t>
        </is>
      </c>
      <c r="N167" s="1" t="inlineStr">
        <is>
          <t>05.02.2024</t>
        </is>
      </c>
      <c r="O167" s="1" t="inlineStr"/>
      <c r="P167" s="1" t="inlineStr"/>
      <c r="Q167" s="1" t="inlineStr">
        <is>
          <t>Пользовательский интерфейс</t>
        </is>
      </c>
    </row>
    <row r="168">
      <c r="B168" s="1" t="inlineStr">
        <is>
          <t>37117364</t>
        </is>
      </c>
      <c r="C168" s="1" t="inlineStr">
        <is>
          <t>2978778</t>
        </is>
      </c>
      <c r="D168" t="inlineStr">
        <is>
          <t>работник 45</t>
        </is>
      </c>
      <c r="E168" s="1" t="inlineStr">
        <is>
          <t>ОБЩЕСТВО С ОГРАНИЧЕННОЙ ОТВЕТСТВЕННОСТЬЮ "АМУР ЗОЛОТО"</t>
        </is>
      </c>
      <c r="F168" s="1" t="inlineStr">
        <is>
          <t>2708001686</t>
        </is>
      </c>
      <c r="G168" s="1" t="inlineStr">
        <is>
          <t>Электромонтер по ремонту и обслуживанию электрооборудования</t>
        </is>
      </c>
      <c r="H168" s="1" t="inlineStr">
        <is>
          <t>ООО "Амур Золото"</t>
        </is>
      </c>
      <c r="I168" s="1" t="inlineStr">
        <is>
          <t>2708001686</t>
        </is>
      </c>
      <c r="J168" s="1" t="inlineStr">
        <is>
          <t>ОТ № ЮГОК ЭУ 23-01</t>
        </is>
      </c>
      <c r="K168" s="1" t="inlineStr">
        <is>
          <t>Использование (применение) средств индивидуальной защиты</t>
        </is>
      </c>
      <c r="L168" s="1" t="inlineStr">
        <is>
          <t>23.11.2023</t>
        </is>
      </c>
      <c r="M168" s="1" t="inlineStr">
        <is>
          <t>Успешно</t>
        </is>
      </c>
      <c r="N168" s="1" t="inlineStr">
        <is>
          <t>05.02.2024</t>
        </is>
      </c>
      <c r="O168" s="1" t="inlineStr"/>
      <c r="P168" s="1" t="inlineStr"/>
      <c r="Q168" s="1" t="inlineStr">
        <is>
          <t>Пользовательский интерфейс</t>
        </is>
      </c>
    </row>
    <row r="169">
      <c r="B169" s="1" t="inlineStr">
        <is>
          <t>37117365</t>
        </is>
      </c>
      <c r="C169" s="1" t="inlineStr">
        <is>
          <t>2978778</t>
        </is>
      </c>
      <c r="D169" t="inlineStr">
        <is>
          <t>работник 45</t>
        </is>
      </c>
      <c r="E169" s="1" t="inlineStr">
        <is>
          <t>ОБЩЕСТВО С ОГРАНИЧЕННОЙ ОТВЕТСТВЕННОСТЬЮ "АМУР ЗОЛОТО"</t>
        </is>
      </c>
      <c r="F169" s="1" t="inlineStr">
        <is>
          <t>2708001686</t>
        </is>
      </c>
      <c r="G169" s="1" t="inlineStr">
        <is>
          <t>Электромонтер по ремонту и обслуживанию электрооборудования</t>
        </is>
      </c>
      <c r="H169" s="1" t="inlineStr">
        <is>
          <t>ООО "Амур Золото"</t>
        </is>
      </c>
      <c r="I169" s="1" t="inlineStr">
        <is>
          <t>2708001686</t>
        </is>
      </c>
      <c r="J169" s="1" t="inlineStr">
        <is>
          <t>ОТ № ЮГОК ЭУ 23-01</t>
        </is>
      </c>
      <c r="K16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69" s="1" t="inlineStr">
        <is>
          <t>23.11.2023</t>
        </is>
      </c>
      <c r="M169" s="1" t="inlineStr">
        <is>
          <t>Успешно</t>
        </is>
      </c>
      <c r="N169" s="1" t="inlineStr">
        <is>
          <t>05.02.2024</t>
        </is>
      </c>
      <c r="O169" s="1" t="inlineStr"/>
      <c r="P169" s="1" t="inlineStr"/>
      <c r="Q169" s="1" t="inlineStr">
        <is>
          <t>Пользовательский интерфейс</t>
        </is>
      </c>
    </row>
    <row r="170">
      <c r="B170" s="1" t="inlineStr">
        <is>
          <t>37117366</t>
        </is>
      </c>
      <c r="C170" s="1" t="inlineStr">
        <is>
          <t>2978778</t>
        </is>
      </c>
      <c r="D170" t="inlineStr">
        <is>
          <t>работник 45</t>
        </is>
      </c>
      <c r="E170" s="1" t="inlineStr">
        <is>
          <t>ОБЩЕСТВО С ОГРАНИЧЕННОЙ ОТВЕТСТВЕННОСТЬЮ "АМУР ЗОЛОТО"</t>
        </is>
      </c>
      <c r="F170" s="1" t="inlineStr">
        <is>
          <t>2708001686</t>
        </is>
      </c>
      <c r="G170" s="1" t="inlineStr">
        <is>
          <t>Электромонтер по ремонту и обслуживанию электрооборудования</t>
        </is>
      </c>
      <c r="H170" s="1" t="inlineStr">
        <is>
          <t>ООО "Амур Золото"</t>
        </is>
      </c>
      <c r="I170" s="1" t="inlineStr">
        <is>
          <t>2708001686</t>
        </is>
      </c>
      <c r="J170" s="1" t="inlineStr">
        <is>
          <t>ОТ № ЮГОК ЭУ 23-04</t>
        </is>
      </c>
      <c r="K170" s="1" t="inlineStr">
        <is>
          <t>Безопасные методы и приемы выполнения работ на высоте</t>
        </is>
      </c>
      <c r="L170" s="1" t="inlineStr">
        <is>
          <t>30.11.2023</t>
        </is>
      </c>
      <c r="M170" s="1" t="inlineStr">
        <is>
          <t>Успешно</t>
        </is>
      </c>
      <c r="N170" s="1" t="inlineStr">
        <is>
          <t>05.02.2024</t>
        </is>
      </c>
      <c r="O170" s="1" t="inlineStr"/>
      <c r="P170" s="1" t="inlineStr"/>
      <c r="Q170" s="1" t="inlineStr">
        <is>
          <t>Пользовательский интерфейс</t>
        </is>
      </c>
    </row>
    <row r="171">
      <c r="B171" s="1" t="inlineStr">
        <is>
          <t>37117367</t>
        </is>
      </c>
      <c r="C171" s="1" t="inlineStr">
        <is>
          <t>2978778</t>
        </is>
      </c>
      <c r="D171" t="inlineStr">
        <is>
          <t>работник 45</t>
        </is>
      </c>
      <c r="E171" s="1" t="inlineStr">
        <is>
          <t>ОБЩЕСТВО С ОГРАНИЧЕННОЙ ОТВЕТСТВЕННОСТЬЮ "АМУР ЗОЛОТО"</t>
        </is>
      </c>
      <c r="F171" s="1" t="inlineStr">
        <is>
          <t>2708001686</t>
        </is>
      </c>
      <c r="G171" s="1" t="inlineStr">
        <is>
          <t>Электромонтер по ремонту и обслуживанию электрооборудования</t>
        </is>
      </c>
      <c r="H171" s="1" t="inlineStr">
        <is>
          <t>ООО "Амур Золото"</t>
        </is>
      </c>
      <c r="I171" s="1" t="inlineStr">
        <is>
          <t>2708001686</t>
        </is>
      </c>
      <c r="J171" s="1" t="inlineStr">
        <is>
          <t>ОТ № ЮГОК ЭУ 23-04</t>
        </is>
      </c>
      <c r="K171" s="1" t="inlineStr">
        <is>
          <t>Безопасные методы и приемы выполнения работ в электроустановках</t>
        </is>
      </c>
      <c r="L171" s="1" t="inlineStr">
        <is>
          <t>30.11.2023</t>
        </is>
      </c>
      <c r="M171" s="1" t="inlineStr">
        <is>
          <t>Успешно</t>
        </is>
      </c>
      <c r="N171" s="1" t="inlineStr">
        <is>
          <t>05.02.2024</t>
        </is>
      </c>
      <c r="O171" s="1" t="inlineStr"/>
      <c r="P171" s="1" t="inlineStr"/>
      <c r="Q171" s="1" t="inlineStr">
        <is>
          <t>Пользовательский интерфейс</t>
        </is>
      </c>
    </row>
    <row r="172">
      <c r="B172" s="1" t="inlineStr">
        <is>
          <t>37117368</t>
        </is>
      </c>
      <c r="C172" s="1" t="inlineStr">
        <is>
          <t>2978778</t>
        </is>
      </c>
      <c r="D172" t="inlineStr">
        <is>
          <t>работник 46</t>
        </is>
      </c>
      <c r="E172" s="1" t="inlineStr">
        <is>
          <t>ОБЩЕСТВО С ОГРАНИЧЕННОЙ ОТВЕТСТВЕННОСТЬЮ "АМУР ЗОЛОТО"</t>
        </is>
      </c>
      <c r="F172" s="1" t="inlineStr">
        <is>
          <t>2708001686</t>
        </is>
      </c>
      <c r="G172" s="1" t="inlineStr">
        <is>
          <t>Механик холодильных установок</t>
        </is>
      </c>
      <c r="H172" s="1" t="inlineStr">
        <is>
          <t>ООО "Амур Золото"</t>
        </is>
      </c>
      <c r="I172" s="1" t="inlineStr">
        <is>
          <t>2708001686</t>
        </is>
      </c>
      <c r="J172" s="1" t="inlineStr">
        <is>
          <t>ОТ № ЮГОК ЭУ 23-01</t>
        </is>
      </c>
      <c r="K172" s="1" t="inlineStr">
        <is>
          <t>Оказание первой помощи пострадавшим</t>
        </is>
      </c>
      <c r="L172" s="1" t="inlineStr">
        <is>
          <t>23.11.2023</t>
        </is>
      </c>
      <c r="M172" s="1" t="inlineStr">
        <is>
          <t>Успешно</t>
        </is>
      </c>
      <c r="N172" s="1" t="inlineStr">
        <is>
          <t>05.02.2024</t>
        </is>
      </c>
      <c r="O172" s="1" t="inlineStr"/>
      <c r="P172" s="1" t="inlineStr"/>
      <c r="Q172" s="1" t="inlineStr">
        <is>
          <t>Пользовательский интерфейс</t>
        </is>
      </c>
    </row>
    <row r="173">
      <c r="B173" s="1" t="inlineStr">
        <is>
          <t>37117369</t>
        </is>
      </c>
      <c r="C173" s="1" t="inlineStr">
        <is>
          <t>2978778</t>
        </is>
      </c>
      <c r="D173" t="inlineStr">
        <is>
          <t>работник 46</t>
        </is>
      </c>
      <c r="E173" s="1" t="inlineStr">
        <is>
          <t>ОБЩЕСТВО С ОГРАНИЧЕННОЙ ОТВЕТСТВЕННОСТЬЮ "АМУР ЗОЛОТО"</t>
        </is>
      </c>
      <c r="F173" s="1" t="inlineStr">
        <is>
          <t>2708001686</t>
        </is>
      </c>
      <c r="G173" s="1" t="inlineStr">
        <is>
          <t>Механик холодильных установок</t>
        </is>
      </c>
      <c r="H173" s="1" t="inlineStr">
        <is>
          <t>ООО "Амур Золото"</t>
        </is>
      </c>
      <c r="I173" s="1" t="inlineStr">
        <is>
          <t>2708001686</t>
        </is>
      </c>
      <c r="J173" s="1" t="inlineStr">
        <is>
          <t>ОТ № ЮГОК ЭУ 23-01</t>
        </is>
      </c>
      <c r="K173" s="1" t="inlineStr">
        <is>
          <t>Использование (применение) средств индивидуальной защиты</t>
        </is>
      </c>
      <c r="L173" s="1" t="inlineStr">
        <is>
          <t>23.11.2023</t>
        </is>
      </c>
      <c r="M173" s="1" t="inlineStr">
        <is>
          <t>Успешно</t>
        </is>
      </c>
      <c r="N173" s="1" t="inlineStr">
        <is>
          <t>05.02.2024</t>
        </is>
      </c>
      <c r="O173" s="1" t="inlineStr"/>
      <c r="P173" s="1" t="inlineStr"/>
      <c r="Q173" s="1" t="inlineStr">
        <is>
          <t>Пользовательский интерфейс</t>
        </is>
      </c>
    </row>
    <row r="174">
      <c r="B174" s="1" t="inlineStr">
        <is>
          <t>37117370</t>
        </is>
      </c>
      <c r="C174" s="1" t="inlineStr">
        <is>
          <t>2978778</t>
        </is>
      </c>
      <c r="D174" t="inlineStr">
        <is>
          <t>работник 46</t>
        </is>
      </c>
      <c r="E174" s="1" t="inlineStr">
        <is>
          <t>ОБЩЕСТВО С ОГРАНИЧЕННОЙ ОТВЕТСТВЕННОСТЬЮ "АМУР ЗОЛОТО"</t>
        </is>
      </c>
      <c r="F174" s="1" t="inlineStr">
        <is>
          <t>2708001686</t>
        </is>
      </c>
      <c r="G174" s="1" t="inlineStr">
        <is>
          <t>Механик холодильных установок</t>
        </is>
      </c>
      <c r="H174" s="1" t="inlineStr">
        <is>
          <t>ООО "Амур Золото"</t>
        </is>
      </c>
      <c r="I174" s="1" t="inlineStr">
        <is>
          <t>2708001686</t>
        </is>
      </c>
      <c r="J174" s="1" t="inlineStr">
        <is>
          <t>ОТ № ЮГОК ЭУ 23-01</t>
        </is>
      </c>
      <c r="K17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74" s="1" t="inlineStr">
        <is>
          <t>23.11.2023</t>
        </is>
      </c>
      <c r="M174" s="1" t="inlineStr">
        <is>
          <t>Успешно</t>
        </is>
      </c>
      <c r="N174" s="1" t="inlineStr">
        <is>
          <t>05.02.2024</t>
        </is>
      </c>
      <c r="O174" s="1" t="inlineStr"/>
      <c r="P174" s="1" t="inlineStr"/>
      <c r="Q174" s="1" t="inlineStr">
        <is>
          <t>Пользовательский интерфейс</t>
        </is>
      </c>
    </row>
    <row r="175">
      <c r="B175" s="1" t="inlineStr">
        <is>
          <t>37117371</t>
        </is>
      </c>
      <c r="C175" s="1" t="inlineStr">
        <is>
          <t>2978778</t>
        </is>
      </c>
      <c r="D175" t="inlineStr">
        <is>
          <t>работник 47</t>
        </is>
      </c>
      <c r="E175" s="1" t="inlineStr">
        <is>
          <t>ОБЩЕСТВО С ОГРАНИЧЕННОЙ ОТВЕТСТВЕННОСТЬЮ "АМУР ЗОЛОТО"</t>
        </is>
      </c>
      <c r="F175" s="1" t="inlineStr">
        <is>
          <t>2708001686</t>
        </is>
      </c>
      <c r="G175" s="1" t="inlineStr">
        <is>
          <t>Механик холодильных установок</t>
        </is>
      </c>
      <c r="H175" s="1" t="inlineStr">
        <is>
          <t>ООО "Амур Золото"</t>
        </is>
      </c>
      <c r="I175" s="1" t="inlineStr">
        <is>
          <t>2708001686</t>
        </is>
      </c>
      <c r="J175" s="1" t="inlineStr">
        <is>
          <t>ОТ № ЮГОК ЭУ 23-01</t>
        </is>
      </c>
      <c r="K175" s="1" t="inlineStr">
        <is>
          <t>Оказание первой помощи пострадавшим</t>
        </is>
      </c>
      <c r="L175" s="1" t="inlineStr">
        <is>
          <t>23.11.2023</t>
        </is>
      </c>
      <c r="M175" s="1" t="inlineStr">
        <is>
          <t>Успешно</t>
        </is>
      </c>
      <c r="N175" s="1" t="inlineStr">
        <is>
          <t>05.02.2024</t>
        </is>
      </c>
      <c r="O175" s="1" t="inlineStr"/>
      <c r="P175" s="1" t="inlineStr"/>
      <c r="Q175" s="1" t="inlineStr">
        <is>
          <t>Пользовательский интерфейс</t>
        </is>
      </c>
    </row>
    <row r="176">
      <c r="B176" s="1" t="inlineStr">
        <is>
          <t>37117372</t>
        </is>
      </c>
      <c r="C176" s="1" t="inlineStr">
        <is>
          <t>2978778</t>
        </is>
      </c>
      <c r="D176" t="inlineStr">
        <is>
          <t>работник 47</t>
        </is>
      </c>
      <c r="E176" s="1" t="inlineStr">
        <is>
          <t>ОБЩЕСТВО С ОГРАНИЧЕННОЙ ОТВЕТСТВЕННОСТЬЮ "АМУР ЗОЛОТО"</t>
        </is>
      </c>
      <c r="F176" s="1" t="inlineStr">
        <is>
          <t>2708001686</t>
        </is>
      </c>
      <c r="G176" s="1" t="inlineStr">
        <is>
          <t>Механик холодильных установок</t>
        </is>
      </c>
      <c r="H176" s="1" t="inlineStr">
        <is>
          <t>ООО "Амур Золото"</t>
        </is>
      </c>
      <c r="I176" s="1" t="inlineStr">
        <is>
          <t>2708001686</t>
        </is>
      </c>
      <c r="J176" s="1" t="inlineStr">
        <is>
          <t>ОТ № ЮГОК ЭУ 23-01</t>
        </is>
      </c>
      <c r="K176" s="1" t="inlineStr">
        <is>
          <t>Использование (применение) средств индивидуальной защиты</t>
        </is>
      </c>
      <c r="L176" s="1" t="inlineStr">
        <is>
          <t>23.11.2023</t>
        </is>
      </c>
      <c r="M176" s="1" t="inlineStr">
        <is>
          <t>Успешно</t>
        </is>
      </c>
      <c r="N176" s="1" t="inlineStr">
        <is>
          <t>05.02.2024</t>
        </is>
      </c>
      <c r="O176" s="1" t="inlineStr"/>
      <c r="P176" s="1" t="inlineStr"/>
      <c r="Q176" s="1" t="inlineStr">
        <is>
          <t>Пользовательский интерфейс</t>
        </is>
      </c>
    </row>
    <row r="177">
      <c r="B177" s="1" t="inlineStr">
        <is>
          <t>37117373</t>
        </is>
      </c>
      <c r="C177" s="1" t="inlineStr">
        <is>
          <t>2978778</t>
        </is>
      </c>
      <c r="D177" t="inlineStr">
        <is>
          <t>работник 47</t>
        </is>
      </c>
      <c r="E177" s="1" t="inlineStr">
        <is>
          <t>ОБЩЕСТВО С ОГРАНИЧЕННОЙ ОТВЕТСТВЕННОСТЬЮ "АМУР ЗОЛОТО"</t>
        </is>
      </c>
      <c r="F177" s="1" t="inlineStr">
        <is>
          <t>2708001686</t>
        </is>
      </c>
      <c r="G177" s="1" t="inlineStr">
        <is>
          <t>Механик холодильных установок</t>
        </is>
      </c>
      <c r="H177" s="1" t="inlineStr">
        <is>
          <t>ООО "Амур Золото"</t>
        </is>
      </c>
      <c r="I177" s="1" t="inlineStr">
        <is>
          <t>2708001686</t>
        </is>
      </c>
      <c r="J177" s="1" t="inlineStr">
        <is>
          <t>ОТ № ЮГОК ЭУ 23-01</t>
        </is>
      </c>
      <c r="K17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77" s="1" t="inlineStr">
        <is>
          <t>23.11.2023</t>
        </is>
      </c>
      <c r="M177" s="1" t="inlineStr">
        <is>
          <t>Успешно</t>
        </is>
      </c>
      <c r="N177" s="1" t="inlineStr">
        <is>
          <t>05.02.2024</t>
        </is>
      </c>
      <c r="O177" s="1" t="inlineStr"/>
      <c r="P177" s="1" t="inlineStr"/>
      <c r="Q177" s="1" t="inlineStr">
        <is>
          <t>Пользовательский интерфейс</t>
        </is>
      </c>
    </row>
    <row r="178">
      <c r="B178" s="1" t="inlineStr">
        <is>
          <t>37117374</t>
        </is>
      </c>
      <c r="C178" s="1" t="inlineStr">
        <is>
          <t>2978778</t>
        </is>
      </c>
      <c r="D178" t="inlineStr">
        <is>
          <t>работник 48</t>
        </is>
      </c>
      <c r="E178" s="1" t="inlineStr">
        <is>
          <t>ОБЩЕСТВО С ОГРАНИЧЕННОЙ ОТВЕТСТВЕННОСТЬЮ "АМУР ЗОЛОТО"</t>
        </is>
      </c>
      <c r="F178" s="1" t="inlineStr">
        <is>
          <t>2708001686</t>
        </is>
      </c>
      <c r="G178" s="1" t="inlineStr">
        <is>
          <t>Машинист ДВС</t>
        </is>
      </c>
      <c r="H178" s="1" t="inlineStr">
        <is>
          <t>ООО "Амур Золото"</t>
        </is>
      </c>
      <c r="I178" s="1" t="inlineStr">
        <is>
          <t>2708001686</t>
        </is>
      </c>
      <c r="J178" s="1" t="inlineStr">
        <is>
          <t>ОТ № ЮГОК ЭУ 23-01</t>
        </is>
      </c>
      <c r="K178" s="1" t="inlineStr">
        <is>
          <t>Оказание первой помощи пострадавшим</t>
        </is>
      </c>
      <c r="L178" s="1" t="inlineStr">
        <is>
          <t>23.11.2023</t>
        </is>
      </c>
      <c r="M178" s="1" t="inlineStr">
        <is>
          <t>Успешно</t>
        </is>
      </c>
      <c r="N178" s="1" t="inlineStr">
        <is>
          <t>05.02.2024</t>
        </is>
      </c>
      <c r="O178" s="1" t="inlineStr"/>
      <c r="P178" s="1" t="inlineStr"/>
      <c r="Q178" s="1" t="inlineStr">
        <is>
          <t>Пользовательский интерфейс</t>
        </is>
      </c>
    </row>
    <row r="179">
      <c r="B179" s="1" t="inlineStr">
        <is>
          <t>37117375</t>
        </is>
      </c>
      <c r="C179" s="1" t="inlineStr">
        <is>
          <t>2978778</t>
        </is>
      </c>
      <c r="D179" t="inlineStr">
        <is>
          <t>работник 48</t>
        </is>
      </c>
      <c r="E179" s="1" t="inlineStr">
        <is>
          <t>ОБЩЕСТВО С ОГРАНИЧЕННОЙ ОТВЕТСТВЕННОСТЬЮ "АМУР ЗОЛОТО"</t>
        </is>
      </c>
      <c r="F179" s="1" t="inlineStr">
        <is>
          <t>2708001686</t>
        </is>
      </c>
      <c r="G179" s="1" t="inlineStr">
        <is>
          <t>Машинист ДВС</t>
        </is>
      </c>
      <c r="H179" s="1" t="inlineStr">
        <is>
          <t>ООО "Амур Золото"</t>
        </is>
      </c>
      <c r="I179" s="1" t="inlineStr">
        <is>
          <t>2708001686</t>
        </is>
      </c>
      <c r="J179" s="1" t="inlineStr">
        <is>
          <t>ОТ № ЮГОК ЭУ 23-01</t>
        </is>
      </c>
      <c r="K179" s="1" t="inlineStr">
        <is>
          <t>Использование (применение) средств индивидуальной защиты</t>
        </is>
      </c>
      <c r="L179" s="1" t="inlineStr">
        <is>
          <t>23.11.2023</t>
        </is>
      </c>
      <c r="M179" s="1" t="inlineStr">
        <is>
          <t>Успешно</t>
        </is>
      </c>
      <c r="N179" s="1" t="inlineStr">
        <is>
          <t>05.02.2024</t>
        </is>
      </c>
      <c r="O179" s="1" t="inlineStr"/>
      <c r="P179" s="1" t="inlineStr"/>
      <c r="Q179" s="1" t="inlineStr">
        <is>
          <t>Пользовательский интерфейс</t>
        </is>
      </c>
    </row>
    <row r="180">
      <c r="B180" s="1" t="inlineStr">
        <is>
          <t>37117376</t>
        </is>
      </c>
      <c r="C180" s="1" t="inlineStr">
        <is>
          <t>2978778</t>
        </is>
      </c>
      <c r="D180" t="inlineStr">
        <is>
          <t>работник 48</t>
        </is>
      </c>
      <c r="E180" s="1" t="inlineStr">
        <is>
          <t>ОБЩЕСТВО С ОГРАНИЧЕННОЙ ОТВЕТСТВЕННОСТЬЮ "АМУР ЗОЛОТО"</t>
        </is>
      </c>
      <c r="F180" s="1" t="inlineStr">
        <is>
          <t>2708001686</t>
        </is>
      </c>
      <c r="G180" s="1" t="inlineStr">
        <is>
          <t>Машинист ДВС</t>
        </is>
      </c>
      <c r="H180" s="1" t="inlineStr">
        <is>
          <t>ООО "Амур Золото"</t>
        </is>
      </c>
      <c r="I180" s="1" t="inlineStr">
        <is>
          <t>2708001686</t>
        </is>
      </c>
      <c r="J180" s="1" t="inlineStr">
        <is>
          <t>ОТ № ЮГОК ЭУ 23-01</t>
        </is>
      </c>
      <c r="K18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80" s="1" t="inlineStr">
        <is>
          <t>23.11.2023</t>
        </is>
      </c>
      <c r="M180" s="1" t="inlineStr">
        <is>
          <t>Успешно</t>
        </is>
      </c>
      <c r="N180" s="1" t="inlineStr">
        <is>
          <t>05.02.2024</t>
        </is>
      </c>
      <c r="O180" s="1" t="inlineStr"/>
      <c r="P180" s="1" t="inlineStr"/>
      <c r="Q180" s="1" t="inlineStr">
        <is>
          <t>Пользовательский интерфейс</t>
        </is>
      </c>
    </row>
    <row r="181">
      <c r="B181" s="1" t="inlineStr">
        <is>
          <t>37117377</t>
        </is>
      </c>
      <c r="C181" s="1" t="inlineStr">
        <is>
          <t>2978778</t>
        </is>
      </c>
      <c r="D181" t="inlineStr">
        <is>
          <t>работник 49</t>
        </is>
      </c>
      <c r="E181" s="1" t="inlineStr">
        <is>
          <t>ОБЩЕСТВО С ОГРАНИЧЕННОЙ ОТВЕТСТВЕННОСТЬЮ "АМУР ЗОЛОТО"</t>
        </is>
      </c>
      <c r="F181" s="1" t="inlineStr">
        <is>
          <t>2708001686</t>
        </is>
      </c>
      <c r="G181" s="1" t="inlineStr">
        <is>
          <t>Машинист ДВС</t>
        </is>
      </c>
      <c r="H181" s="1" t="inlineStr">
        <is>
          <t>ООО "Амур Золото"</t>
        </is>
      </c>
      <c r="I181" s="1" t="inlineStr">
        <is>
          <t>2708001686</t>
        </is>
      </c>
      <c r="J181" s="1" t="inlineStr">
        <is>
          <t>ОТ № ЮГОК ЭУ 23-01</t>
        </is>
      </c>
      <c r="K181" s="1" t="inlineStr">
        <is>
          <t>Оказание первой помощи пострадавшим</t>
        </is>
      </c>
      <c r="L181" s="1" t="inlineStr">
        <is>
          <t>23.11.2023</t>
        </is>
      </c>
      <c r="M181" s="1" t="inlineStr">
        <is>
          <t>Успешно</t>
        </is>
      </c>
      <c r="N181" s="1" t="inlineStr">
        <is>
          <t>05.02.2024</t>
        </is>
      </c>
      <c r="O181" s="1" t="inlineStr"/>
      <c r="P181" s="1" t="inlineStr"/>
      <c r="Q181" s="1" t="inlineStr">
        <is>
          <t>Пользовательский интерфейс</t>
        </is>
      </c>
    </row>
    <row r="182">
      <c r="B182" s="1" t="inlineStr">
        <is>
          <t>37117378</t>
        </is>
      </c>
      <c r="C182" s="1" t="inlineStr">
        <is>
          <t>2978778</t>
        </is>
      </c>
      <c r="D182" t="inlineStr">
        <is>
          <t>работник 49</t>
        </is>
      </c>
      <c r="E182" s="1" t="inlineStr">
        <is>
          <t>ОБЩЕСТВО С ОГРАНИЧЕННОЙ ОТВЕТСТВЕННОСТЬЮ "АМУР ЗОЛОТО"</t>
        </is>
      </c>
      <c r="F182" s="1" t="inlineStr">
        <is>
          <t>2708001686</t>
        </is>
      </c>
      <c r="G182" s="1" t="inlineStr">
        <is>
          <t>Машинист ДВС</t>
        </is>
      </c>
      <c r="H182" s="1" t="inlineStr">
        <is>
          <t>ООО "Амур Золото"</t>
        </is>
      </c>
      <c r="I182" s="1" t="inlineStr">
        <is>
          <t>2708001686</t>
        </is>
      </c>
      <c r="J182" s="1" t="inlineStr">
        <is>
          <t>ОТ № ЮГОК ЭУ 23-01</t>
        </is>
      </c>
      <c r="K182" s="1" t="inlineStr">
        <is>
          <t>Использование (применение) средств индивидуальной защиты</t>
        </is>
      </c>
      <c r="L182" s="1" t="inlineStr">
        <is>
          <t>23.11.2023</t>
        </is>
      </c>
      <c r="M182" s="1" t="inlineStr">
        <is>
          <t>Успешно</t>
        </is>
      </c>
      <c r="N182" s="1" t="inlineStr">
        <is>
          <t>05.02.2024</t>
        </is>
      </c>
      <c r="O182" s="1" t="inlineStr"/>
      <c r="P182" s="1" t="inlineStr"/>
      <c r="Q182" s="1" t="inlineStr">
        <is>
          <t>Пользовательский интерфейс</t>
        </is>
      </c>
    </row>
    <row r="183">
      <c r="B183" s="1" t="inlineStr">
        <is>
          <t>37117379</t>
        </is>
      </c>
      <c r="C183" s="1" t="inlineStr">
        <is>
          <t>2978778</t>
        </is>
      </c>
      <c r="D183" t="inlineStr">
        <is>
          <t>работник 49</t>
        </is>
      </c>
      <c r="E183" s="1" t="inlineStr">
        <is>
          <t>ОБЩЕСТВО С ОГРАНИЧЕННОЙ ОТВЕТСТВЕННОСТЬЮ "АМУР ЗОЛОТО"</t>
        </is>
      </c>
      <c r="F183" s="1" t="inlineStr">
        <is>
          <t>2708001686</t>
        </is>
      </c>
      <c r="G183" s="1" t="inlineStr">
        <is>
          <t>Машинист ДВС</t>
        </is>
      </c>
      <c r="H183" s="1" t="inlineStr">
        <is>
          <t>ООО "Амур Золото"</t>
        </is>
      </c>
      <c r="I183" s="1" t="inlineStr">
        <is>
          <t>2708001686</t>
        </is>
      </c>
      <c r="J183" s="1" t="inlineStr">
        <is>
          <t>ОТ № ЮГОК ЭУ 23-01</t>
        </is>
      </c>
      <c r="K18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83" s="1" t="inlineStr">
        <is>
          <t>23.11.2023</t>
        </is>
      </c>
      <c r="M183" s="1" t="inlineStr">
        <is>
          <t>Успешно</t>
        </is>
      </c>
      <c r="N183" s="1" t="inlineStr">
        <is>
          <t>05.02.2024</t>
        </is>
      </c>
      <c r="O183" s="1" t="inlineStr"/>
      <c r="P183" s="1" t="inlineStr"/>
      <c r="Q183" s="1" t="inlineStr">
        <is>
          <t>Пользовательский интерфейс</t>
        </is>
      </c>
    </row>
    <row r="184">
      <c r="B184" s="1" t="inlineStr">
        <is>
          <t>37117380</t>
        </is>
      </c>
      <c r="C184" s="1" t="inlineStr">
        <is>
          <t>2978778</t>
        </is>
      </c>
      <c r="D184" t="inlineStr">
        <is>
          <t>работник 50</t>
        </is>
      </c>
      <c r="E184" s="1" t="inlineStr">
        <is>
          <t>ОБЩЕСТВО С ОГРАНИЧЕННОЙ ОТВЕТСТВЕННОСТЬЮ "АМУР ЗОЛОТО"</t>
        </is>
      </c>
      <c r="F184" s="1" t="inlineStr">
        <is>
          <t>2708001686</t>
        </is>
      </c>
      <c r="G184" s="1" t="inlineStr">
        <is>
          <t>Машинист ДВС</t>
        </is>
      </c>
      <c r="H184" s="1" t="inlineStr">
        <is>
          <t>ООО "Амур Золото"</t>
        </is>
      </c>
      <c r="I184" s="1" t="inlineStr">
        <is>
          <t>2708001686</t>
        </is>
      </c>
      <c r="J184" s="1" t="inlineStr">
        <is>
          <t>ОТ № ЮГОК ЭУ 23-01</t>
        </is>
      </c>
      <c r="K184" s="1" t="inlineStr">
        <is>
          <t>Оказание первой помощи пострадавшим</t>
        </is>
      </c>
      <c r="L184" s="1" t="inlineStr">
        <is>
          <t>23.11.2023</t>
        </is>
      </c>
      <c r="M184" s="1" t="inlineStr">
        <is>
          <t>Успешно</t>
        </is>
      </c>
      <c r="N184" s="1" t="inlineStr">
        <is>
          <t>05.02.2024</t>
        </is>
      </c>
      <c r="O184" s="1" t="inlineStr"/>
      <c r="P184" s="1" t="inlineStr"/>
      <c r="Q184" s="1" t="inlineStr">
        <is>
          <t>Пользовательский интерфейс</t>
        </is>
      </c>
    </row>
    <row r="185">
      <c r="B185" s="1" t="inlineStr">
        <is>
          <t>37117381</t>
        </is>
      </c>
      <c r="C185" s="1" t="inlineStr">
        <is>
          <t>2978778</t>
        </is>
      </c>
      <c r="D185" t="inlineStr">
        <is>
          <t>работник 50</t>
        </is>
      </c>
      <c r="E185" s="1" t="inlineStr">
        <is>
          <t>ОБЩЕСТВО С ОГРАНИЧЕННОЙ ОТВЕТСТВЕННОСТЬЮ "АМУР ЗОЛОТО"</t>
        </is>
      </c>
      <c r="F185" s="1" t="inlineStr">
        <is>
          <t>2708001686</t>
        </is>
      </c>
      <c r="G185" s="1" t="inlineStr">
        <is>
          <t>Машинист ДВС</t>
        </is>
      </c>
      <c r="H185" s="1" t="inlineStr">
        <is>
          <t>ООО "Амур Золото"</t>
        </is>
      </c>
      <c r="I185" s="1" t="inlineStr">
        <is>
          <t>2708001686</t>
        </is>
      </c>
      <c r="J185" s="1" t="inlineStr">
        <is>
          <t>ОТ № ЮГОК ЭУ 23-01</t>
        </is>
      </c>
      <c r="K185" s="1" t="inlineStr">
        <is>
          <t>Использование (применение) средств индивидуальной защиты</t>
        </is>
      </c>
      <c r="L185" s="1" t="inlineStr">
        <is>
          <t>23.11.2023</t>
        </is>
      </c>
      <c r="M185" s="1" t="inlineStr">
        <is>
          <t>Успешно</t>
        </is>
      </c>
      <c r="N185" s="1" t="inlineStr">
        <is>
          <t>05.02.2024</t>
        </is>
      </c>
      <c r="O185" s="1" t="inlineStr"/>
      <c r="P185" s="1" t="inlineStr"/>
      <c r="Q185" s="1" t="inlineStr">
        <is>
          <t>Пользовательский интерфейс</t>
        </is>
      </c>
    </row>
    <row r="186">
      <c r="B186" s="1" t="inlineStr">
        <is>
          <t>37117382</t>
        </is>
      </c>
      <c r="C186" s="1" t="inlineStr">
        <is>
          <t>2978778</t>
        </is>
      </c>
      <c r="D186" t="inlineStr">
        <is>
          <t>работник 50</t>
        </is>
      </c>
      <c r="E186" s="1" t="inlineStr">
        <is>
          <t>ОБЩЕСТВО С ОГРАНИЧЕННОЙ ОТВЕТСТВЕННОСТЬЮ "АМУР ЗОЛОТО"</t>
        </is>
      </c>
      <c r="F186" s="1" t="inlineStr">
        <is>
          <t>2708001686</t>
        </is>
      </c>
      <c r="G186" s="1" t="inlineStr">
        <is>
          <t>Машинист ДВС</t>
        </is>
      </c>
      <c r="H186" s="1" t="inlineStr">
        <is>
          <t>ООО "Амур Золото"</t>
        </is>
      </c>
      <c r="I186" s="1" t="inlineStr">
        <is>
          <t>2708001686</t>
        </is>
      </c>
      <c r="J186" s="1" t="inlineStr">
        <is>
          <t>ОТ № ЮГОК ЭУ 23-01</t>
        </is>
      </c>
      <c r="K18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86" s="1" t="inlineStr">
        <is>
          <t>23.11.2023</t>
        </is>
      </c>
      <c r="M186" s="1" t="inlineStr">
        <is>
          <t>Успешно</t>
        </is>
      </c>
      <c r="N186" s="1" t="inlineStr">
        <is>
          <t>05.02.2024</t>
        </is>
      </c>
      <c r="O186" s="1" t="inlineStr"/>
      <c r="P186" s="1" t="inlineStr"/>
      <c r="Q186" s="1" t="inlineStr">
        <is>
          <t>Пользовательский интерфейс</t>
        </is>
      </c>
    </row>
    <row r="187">
      <c r="B187" s="1" t="inlineStr">
        <is>
          <t>37117383</t>
        </is>
      </c>
      <c r="C187" s="1" t="inlineStr">
        <is>
          <t>2978778</t>
        </is>
      </c>
      <c r="D187" t="inlineStr">
        <is>
          <t>работник 51</t>
        </is>
      </c>
      <c r="E187" s="1" t="inlineStr">
        <is>
          <t>ОБЩЕСТВО С ОГРАНИЧЕННОЙ ОТВЕТСТВЕННОСТЬЮ "АМУР ЗОЛОТО"</t>
        </is>
      </c>
      <c r="F187" s="1" t="inlineStr">
        <is>
          <t>2708001686</t>
        </is>
      </c>
      <c r="G187" s="1" t="inlineStr">
        <is>
          <t>Машинист ДВС</t>
        </is>
      </c>
      <c r="H187" s="1" t="inlineStr">
        <is>
          <t>ООО "Амур Золото"</t>
        </is>
      </c>
      <c r="I187" s="1" t="inlineStr">
        <is>
          <t>2708001686</t>
        </is>
      </c>
      <c r="J187" s="1" t="inlineStr">
        <is>
          <t>ОТ № ЮГОК ЭУ 23-01</t>
        </is>
      </c>
      <c r="K187" s="1" t="inlineStr">
        <is>
          <t>Оказание первой помощи пострадавшим</t>
        </is>
      </c>
      <c r="L187" s="1" t="inlineStr">
        <is>
          <t>23.11.2023</t>
        </is>
      </c>
      <c r="M187" s="1" t="inlineStr">
        <is>
          <t>Успешно</t>
        </is>
      </c>
      <c r="N187" s="1" t="inlineStr">
        <is>
          <t>05.02.2024</t>
        </is>
      </c>
      <c r="O187" s="1" t="inlineStr"/>
      <c r="P187" s="1" t="inlineStr"/>
      <c r="Q187" s="1" t="inlineStr">
        <is>
          <t>Пользовательский интерфейс</t>
        </is>
      </c>
    </row>
    <row r="188">
      <c r="B188" s="1" t="inlineStr">
        <is>
          <t>37117384</t>
        </is>
      </c>
      <c r="C188" s="1" t="inlineStr">
        <is>
          <t>2978778</t>
        </is>
      </c>
      <c r="D188" t="inlineStr">
        <is>
          <t>работник 51</t>
        </is>
      </c>
      <c r="E188" s="1" t="inlineStr">
        <is>
          <t>ОБЩЕСТВО С ОГРАНИЧЕННОЙ ОТВЕТСТВЕННОСТЬЮ "АМУР ЗОЛОТО"</t>
        </is>
      </c>
      <c r="F188" s="1" t="inlineStr">
        <is>
          <t>2708001686</t>
        </is>
      </c>
      <c r="G188" s="1" t="inlineStr">
        <is>
          <t>Машинист ДВС</t>
        </is>
      </c>
      <c r="H188" s="1" t="inlineStr">
        <is>
          <t>ООО "Амур Золото"</t>
        </is>
      </c>
      <c r="I188" s="1" t="inlineStr">
        <is>
          <t>2708001686</t>
        </is>
      </c>
      <c r="J188" s="1" t="inlineStr">
        <is>
          <t>ОТ № ЮГОК ЭУ 23-01</t>
        </is>
      </c>
      <c r="K188" s="1" t="inlineStr">
        <is>
          <t>Использование (применение) средств индивидуальной защиты</t>
        </is>
      </c>
      <c r="L188" s="1" t="inlineStr">
        <is>
          <t>23.11.2023</t>
        </is>
      </c>
      <c r="M188" s="1" t="inlineStr">
        <is>
          <t>Успешно</t>
        </is>
      </c>
      <c r="N188" s="1" t="inlineStr">
        <is>
          <t>05.02.2024</t>
        </is>
      </c>
      <c r="O188" s="1" t="inlineStr"/>
      <c r="P188" s="1" t="inlineStr"/>
      <c r="Q188" s="1" t="inlineStr">
        <is>
          <t>Пользовательский интерфейс</t>
        </is>
      </c>
    </row>
    <row r="189">
      <c r="B189" s="1" t="inlineStr">
        <is>
          <t>37117385</t>
        </is>
      </c>
      <c r="C189" s="1" t="inlineStr">
        <is>
          <t>2978778</t>
        </is>
      </c>
      <c r="D189" t="inlineStr">
        <is>
          <t>работник 51</t>
        </is>
      </c>
      <c r="E189" s="1" t="inlineStr">
        <is>
          <t>ОБЩЕСТВО С ОГРАНИЧЕННОЙ ОТВЕТСТВЕННОСТЬЮ "АМУР ЗОЛОТО"</t>
        </is>
      </c>
      <c r="F189" s="1" t="inlineStr">
        <is>
          <t>2708001686</t>
        </is>
      </c>
      <c r="G189" s="1" t="inlineStr">
        <is>
          <t>Машинист ДВС</t>
        </is>
      </c>
      <c r="H189" s="1" t="inlineStr">
        <is>
          <t>ООО "Амур Золото"</t>
        </is>
      </c>
      <c r="I189" s="1" t="inlineStr">
        <is>
          <t>2708001686</t>
        </is>
      </c>
      <c r="J189" s="1" t="inlineStr">
        <is>
          <t>ОТ № ЮГОК ЭУ 23-01</t>
        </is>
      </c>
      <c r="K18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89" s="1" t="inlineStr">
        <is>
          <t>23.11.2023</t>
        </is>
      </c>
      <c r="M189" s="1" t="inlineStr">
        <is>
          <t>Успешно</t>
        </is>
      </c>
      <c r="N189" s="1" t="inlineStr">
        <is>
          <t>05.02.2024</t>
        </is>
      </c>
      <c r="O189" s="1" t="inlineStr"/>
      <c r="P189" s="1" t="inlineStr"/>
      <c r="Q189" s="1" t="inlineStr">
        <is>
          <t>Пользовательский интерфейс</t>
        </is>
      </c>
    </row>
    <row r="190">
      <c r="B190" s="1" t="inlineStr">
        <is>
          <t>37117386</t>
        </is>
      </c>
      <c r="C190" s="1" t="inlineStr">
        <is>
          <t>2978778</t>
        </is>
      </c>
      <c r="D190" t="inlineStr">
        <is>
          <t>работник 52</t>
        </is>
      </c>
      <c r="E190" s="1" t="inlineStr">
        <is>
          <t>ОБЩЕСТВО С ОГРАНИЧЕННОЙ ОТВЕТСТВЕННОСТЬЮ "АМУР ЗОЛОТО"</t>
        </is>
      </c>
      <c r="F190" s="1" t="inlineStr">
        <is>
          <t>2708001686</t>
        </is>
      </c>
      <c r="G190" s="1" t="inlineStr">
        <is>
          <t>Машинист ДВС</t>
        </is>
      </c>
      <c r="H190" s="1" t="inlineStr">
        <is>
          <t>ООО "Амур Золото"</t>
        </is>
      </c>
      <c r="I190" s="1" t="inlineStr">
        <is>
          <t>2708001686</t>
        </is>
      </c>
      <c r="J190" s="1" t="inlineStr">
        <is>
          <t>ОТ № ЮГОК ЭУ 23-01</t>
        </is>
      </c>
      <c r="K190" s="1" t="inlineStr">
        <is>
          <t>Оказание первой помощи пострадавшим</t>
        </is>
      </c>
      <c r="L190" s="1" t="inlineStr">
        <is>
          <t>23.11.2023</t>
        </is>
      </c>
      <c r="M190" s="1" t="inlineStr">
        <is>
          <t>Успешно</t>
        </is>
      </c>
      <c r="N190" s="1" t="inlineStr">
        <is>
          <t>05.02.2024</t>
        </is>
      </c>
      <c r="O190" s="1" t="inlineStr"/>
      <c r="P190" s="1" t="inlineStr"/>
      <c r="Q190" s="1" t="inlineStr">
        <is>
          <t>Пользовательский интерфейс</t>
        </is>
      </c>
    </row>
    <row r="191">
      <c r="B191" s="1" t="inlineStr">
        <is>
          <t>37117387</t>
        </is>
      </c>
      <c r="C191" s="1" t="inlineStr">
        <is>
          <t>2978778</t>
        </is>
      </c>
      <c r="D191" t="inlineStr">
        <is>
          <t>работник 52</t>
        </is>
      </c>
      <c r="E191" s="1" t="inlineStr">
        <is>
          <t>ОБЩЕСТВО С ОГРАНИЧЕННОЙ ОТВЕТСТВЕННОСТЬЮ "АМУР ЗОЛОТО"</t>
        </is>
      </c>
      <c r="F191" s="1" t="inlineStr">
        <is>
          <t>2708001686</t>
        </is>
      </c>
      <c r="G191" s="1" t="inlineStr">
        <is>
          <t>Машинист ДВС</t>
        </is>
      </c>
      <c r="H191" s="1" t="inlineStr">
        <is>
          <t>ООО "Амур Золото"</t>
        </is>
      </c>
      <c r="I191" s="1" t="inlineStr">
        <is>
          <t>2708001686</t>
        </is>
      </c>
      <c r="J191" s="1" t="inlineStr">
        <is>
          <t>ОТ № ЮГОК ЭУ 23-01</t>
        </is>
      </c>
      <c r="K191" s="1" t="inlineStr">
        <is>
          <t>Использование (применение) средств индивидуальной защиты</t>
        </is>
      </c>
      <c r="L191" s="1" t="inlineStr">
        <is>
          <t>23.11.2023</t>
        </is>
      </c>
      <c r="M191" s="1" t="inlineStr">
        <is>
          <t>Успешно</t>
        </is>
      </c>
      <c r="N191" s="1" t="inlineStr">
        <is>
          <t>05.02.2024</t>
        </is>
      </c>
      <c r="O191" s="1" t="inlineStr"/>
      <c r="P191" s="1" t="inlineStr"/>
      <c r="Q191" s="1" t="inlineStr">
        <is>
          <t>Пользовательский интерфейс</t>
        </is>
      </c>
    </row>
    <row r="192">
      <c r="B192" s="1" t="inlineStr">
        <is>
          <t>37117388</t>
        </is>
      </c>
      <c r="C192" s="1" t="inlineStr">
        <is>
          <t>2978778</t>
        </is>
      </c>
      <c r="D192" t="inlineStr">
        <is>
          <t>работник 52</t>
        </is>
      </c>
      <c r="E192" s="1" t="inlineStr">
        <is>
          <t>ОБЩЕСТВО С ОГРАНИЧЕННОЙ ОТВЕТСТВЕННОСТЬЮ "АМУР ЗОЛОТО"</t>
        </is>
      </c>
      <c r="F192" s="1" t="inlineStr">
        <is>
          <t>2708001686</t>
        </is>
      </c>
      <c r="G192" s="1" t="inlineStr">
        <is>
          <t>Машинист ДВС</t>
        </is>
      </c>
      <c r="H192" s="1" t="inlineStr">
        <is>
          <t>ООО "Амур Золото"</t>
        </is>
      </c>
      <c r="I192" s="1" t="inlineStr">
        <is>
          <t>2708001686</t>
        </is>
      </c>
      <c r="J192" s="1" t="inlineStr">
        <is>
          <t>ОТ № ЮГОК ЭУ 23-01</t>
        </is>
      </c>
      <c r="K19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92" s="1" t="inlineStr">
        <is>
          <t>23.11.2023</t>
        </is>
      </c>
      <c r="M192" s="1" t="inlineStr">
        <is>
          <t>Успешно</t>
        </is>
      </c>
      <c r="N192" s="1" t="inlineStr">
        <is>
          <t>05.02.2024</t>
        </is>
      </c>
      <c r="O192" s="1" t="inlineStr"/>
      <c r="P192" s="1" t="inlineStr"/>
      <c r="Q192" s="1" t="inlineStr">
        <is>
          <t>Пользовательский интерфейс</t>
        </is>
      </c>
    </row>
    <row r="193">
      <c r="B193" s="1" t="inlineStr">
        <is>
          <t>37117389</t>
        </is>
      </c>
      <c r="C193" s="1" t="inlineStr">
        <is>
          <t>2978778</t>
        </is>
      </c>
      <c r="D193" t="inlineStr">
        <is>
          <t>работник 53</t>
        </is>
      </c>
      <c r="E193" s="1" t="inlineStr">
        <is>
          <t>ОБЩЕСТВО С ОГРАНИЧЕННОЙ ОТВЕТСТВЕННОСТЬЮ "АМУР ЗОЛОТО"</t>
        </is>
      </c>
      <c r="F193" s="1" t="inlineStr">
        <is>
          <t>2708001686</t>
        </is>
      </c>
      <c r="G193" s="1" t="inlineStr">
        <is>
          <t>Машинист ДВС</t>
        </is>
      </c>
      <c r="H193" s="1" t="inlineStr">
        <is>
          <t>ООО "Амур Золото"</t>
        </is>
      </c>
      <c r="I193" s="1" t="inlineStr">
        <is>
          <t>2708001686</t>
        </is>
      </c>
      <c r="J193" s="1" t="inlineStr">
        <is>
          <t>ОТ № ЮГОК ЭУ 23-01</t>
        </is>
      </c>
      <c r="K193" s="1" t="inlineStr">
        <is>
          <t>Оказание первой помощи пострадавшим</t>
        </is>
      </c>
      <c r="L193" s="1" t="inlineStr">
        <is>
          <t>23.11.2023</t>
        </is>
      </c>
      <c r="M193" s="1" t="inlineStr">
        <is>
          <t>Успешно</t>
        </is>
      </c>
      <c r="N193" s="1" t="inlineStr">
        <is>
          <t>05.02.2024</t>
        </is>
      </c>
      <c r="O193" s="1" t="inlineStr"/>
      <c r="P193" s="1" t="inlineStr"/>
      <c r="Q193" s="1" t="inlineStr">
        <is>
          <t>Пользовательский интерфейс</t>
        </is>
      </c>
    </row>
    <row r="194">
      <c r="B194" s="1" t="inlineStr">
        <is>
          <t>37117390</t>
        </is>
      </c>
      <c r="C194" s="1" t="inlineStr">
        <is>
          <t>2978778</t>
        </is>
      </c>
      <c r="D194" t="inlineStr">
        <is>
          <t>работник 53</t>
        </is>
      </c>
      <c r="E194" s="1" t="inlineStr">
        <is>
          <t>ОБЩЕСТВО С ОГРАНИЧЕННОЙ ОТВЕТСТВЕННОСТЬЮ "АМУР ЗОЛОТО"</t>
        </is>
      </c>
      <c r="F194" s="1" t="inlineStr">
        <is>
          <t>2708001686</t>
        </is>
      </c>
      <c r="G194" s="1" t="inlineStr">
        <is>
          <t>Машинист ДВС</t>
        </is>
      </c>
      <c r="H194" s="1" t="inlineStr">
        <is>
          <t>ООО "Амур Золото"</t>
        </is>
      </c>
      <c r="I194" s="1" t="inlineStr">
        <is>
          <t>2708001686</t>
        </is>
      </c>
      <c r="J194" s="1" t="inlineStr">
        <is>
          <t>ОТ № ЮГОК ЭУ 23-01</t>
        </is>
      </c>
      <c r="K194" s="1" t="inlineStr">
        <is>
          <t>Использование (применение) средств индивидуальной защиты</t>
        </is>
      </c>
      <c r="L194" s="1" t="inlineStr">
        <is>
          <t>23.11.2023</t>
        </is>
      </c>
      <c r="M194" s="1" t="inlineStr">
        <is>
          <t>Успешно</t>
        </is>
      </c>
      <c r="N194" s="1" t="inlineStr">
        <is>
          <t>05.02.2024</t>
        </is>
      </c>
      <c r="O194" s="1" t="inlineStr"/>
      <c r="P194" s="1" t="inlineStr"/>
      <c r="Q194" s="1" t="inlineStr">
        <is>
          <t>Пользовательский интерфейс</t>
        </is>
      </c>
    </row>
    <row r="195">
      <c r="B195" s="1" t="inlineStr">
        <is>
          <t>37117391</t>
        </is>
      </c>
      <c r="C195" s="1" t="inlineStr">
        <is>
          <t>2978778</t>
        </is>
      </c>
      <c r="D195" t="inlineStr">
        <is>
          <t>работник 54</t>
        </is>
      </c>
      <c r="E195" s="1" t="inlineStr">
        <is>
          <t>ОБЩЕСТВО С ОГРАНИЧЕННОЙ ОТВЕТСТВЕННОСТЬЮ "АМУР ЗОЛОТО"</t>
        </is>
      </c>
      <c r="F195" s="1" t="inlineStr">
        <is>
          <t>2708001686</t>
        </is>
      </c>
      <c r="G195" s="1" t="inlineStr">
        <is>
          <t>Оператор дизельных котлов</t>
        </is>
      </c>
      <c r="H195" s="1" t="inlineStr">
        <is>
          <t>ООО "Амур Золото"</t>
        </is>
      </c>
      <c r="I195" s="1" t="inlineStr">
        <is>
          <t>2708001686</t>
        </is>
      </c>
      <c r="J195" s="1" t="inlineStr">
        <is>
          <t>ОТ № ЮГОК ЭУ 23-01</t>
        </is>
      </c>
      <c r="K195" s="1" t="inlineStr">
        <is>
          <t>Оказание первой помощи пострадавшим</t>
        </is>
      </c>
      <c r="L195" s="1" t="inlineStr">
        <is>
          <t>23.11.2023</t>
        </is>
      </c>
      <c r="M195" s="1" t="inlineStr">
        <is>
          <t>Успешно</t>
        </is>
      </c>
      <c r="N195" s="1" t="inlineStr">
        <is>
          <t>05.02.2024</t>
        </is>
      </c>
      <c r="O195" s="1" t="inlineStr"/>
      <c r="P195" s="1" t="inlineStr"/>
      <c r="Q195" s="1" t="inlineStr">
        <is>
          <t>Пользовательский интерфейс</t>
        </is>
      </c>
    </row>
    <row r="196">
      <c r="B196" s="1" t="inlineStr">
        <is>
          <t>37117392</t>
        </is>
      </c>
      <c r="C196" s="1" t="inlineStr">
        <is>
          <t>2978778</t>
        </is>
      </c>
      <c r="D196" t="inlineStr">
        <is>
          <t>работник 53</t>
        </is>
      </c>
      <c r="E196" s="1" t="inlineStr">
        <is>
          <t>ОБЩЕСТВО С ОГРАНИЧЕННОЙ ОТВЕТСТВЕННОСТЬЮ "АМУР ЗОЛОТО"</t>
        </is>
      </c>
      <c r="F196" s="1" t="inlineStr">
        <is>
          <t>2708001686</t>
        </is>
      </c>
      <c r="G196" s="1" t="inlineStr">
        <is>
          <t>Машинист ДВС</t>
        </is>
      </c>
      <c r="H196" s="1" t="inlineStr">
        <is>
          <t>ООО "Амур Золото"</t>
        </is>
      </c>
      <c r="I196" s="1" t="inlineStr">
        <is>
          <t>2708001686</t>
        </is>
      </c>
      <c r="J196" s="1" t="inlineStr">
        <is>
          <t>ОТ № ЮГОК ЭУ 23-01</t>
        </is>
      </c>
      <c r="K19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96" s="1" t="inlineStr">
        <is>
          <t>23.11.2023</t>
        </is>
      </c>
      <c r="M196" s="1" t="inlineStr">
        <is>
          <t>Успешно</t>
        </is>
      </c>
      <c r="N196" s="1" t="inlineStr">
        <is>
          <t>05.02.2024</t>
        </is>
      </c>
      <c r="O196" s="1" t="inlineStr"/>
      <c r="P196" s="1" t="inlineStr"/>
      <c r="Q196" s="1" t="inlineStr">
        <is>
          <t>Пользовательский интерфейс</t>
        </is>
      </c>
    </row>
    <row r="197">
      <c r="B197" s="1" t="inlineStr">
        <is>
          <t>37117393</t>
        </is>
      </c>
      <c r="C197" s="1" t="inlineStr">
        <is>
          <t>2978778</t>
        </is>
      </c>
      <c r="D197" t="inlineStr">
        <is>
          <t>работник 55</t>
        </is>
      </c>
      <c r="E197" s="1" t="inlineStr">
        <is>
          <t>ОБЩЕСТВО С ОГРАНИЧЕННОЙ ОТВЕТСТВЕННОСТЬЮ "АМУР ЗОЛОТО"</t>
        </is>
      </c>
      <c r="F197" s="1" t="inlineStr">
        <is>
          <t>2708001686</t>
        </is>
      </c>
      <c r="G197" s="1" t="inlineStr">
        <is>
          <t>Машинист насосных установок</t>
        </is>
      </c>
      <c r="H197" s="1" t="inlineStr">
        <is>
          <t>ООО "Амур Золото"</t>
        </is>
      </c>
      <c r="I197" s="1" t="inlineStr">
        <is>
          <t>2708001686</t>
        </is>
      </c>
      <c r="J197" s="1" t="inlineStr">
        <is>
          <t>ОТ № ЮГОК ЭУ 23-01</t>
        </is>
      </c>
      <c r="K197" s="1" t="inlineStr">
        <is>
          <t>Оказание первой помощи пострадавшим</t>
        </is>
      </c>
      <c r="L197" s="1" t="inlineStr">
        <is>
          <t>23.11.2023</t>
        </is>
      </c>
      <c r="M197" s="1" t="inlineStr">
        <is>
          <t>Успешно</t>
        </is>
      </c>
      <c r="N197" s="1" t="inlineStr">
        <is>
          <t>05.02.2024</t>
        </is>
      </c>
      <c r="O197" s="1" t="inlineStr"/>
      <c r="P197" s="1" t="inlineStr"/>
      <c r="Q197" s="1" t="inlineStr">
        <is>
          <t>Пользовательский интерфейс</t>
        </is>
      </c>
    </row>
    <row r="198">
      <c r="B198" s="1" t="inlineStr">
        <is>
          <t>37117394</t>
        </is>
      </c>
      <c r="C198" s="1" t="inlineStr">
        <is>
          <t>2978778</t>
        </is>
      </c>
      <c r="D198" t="inlineStr">
        <is>
          <t>работник 55</t>
        </is>
      </c>
      <c r="E198" s="1" t="inlineStr">
        <is>
          <t>ОБЩЕСТВО С ОГРАНИЧЕННОЙ ОТВЕТСТВЕННОСТЬЮ "АМУР ЗОЛОТО"</t>
        </is>
      </c>
      <c r="F198" s="1" t="inlineStr">
        <is>
          <t>2708001686</t>
        </is>
      </c>
      <c r="G198" s="1" t="inlineStr">
        <is>
          <t>Машинист насосных установок</t>
        </is>
      </c>
      <c r="H198" s="1" t="inlineStr">
        <is>
          <t>ООО "Амур Золото"</t>
        </is>
      </c>
      <c r="I198" s="1" t="inlineStr">
        <is>
          <t>2708001686</t>
        </is>
      </c>
      <c r="J198" s="1" t="inlineStr">
        <is>
          <t>ОТ № ЮГОК ЭУ 23-01</t>
        </is>
      </c>
      <c r="K198" s="1" t="inlineStr">
        <is>
          <t>Использование (применение) средств индивидуальной защиты</t>
        </is>
      </c>
      <c r="L198" s="1" t="inlineStr">
        <is>
          <t>23.11.2023</t>
        </is>
      </c>
      <c r="M198" s="1" t="inlineStr">
        <is>
          <t>Успешно</t>
        </is>
      </c>
      <c r="N198" s="1" t="inlineStr">
        <is>
          <t>05.02.2024</t>
        </is>
      </c>
      <c r="O198" s="1" t="inlineStr"/>
      <c r="P198" s="1" t="inlineStr"/>
      <c r="Q198" s="1" t="inlineStr">
        <is>
          <t>Пользовательский интерфейс</t>
        </is>
      </c>
    </row>
    <row r="199">
      <c r="B199" s="1" t="inlineStr">
        <is>
          <t>37117395</t>
        </is>
      </c>
      <c r="C199" s="1" t="inlineStr">
        <is>
          <t>2978778</t>
        </is>
      </c>
      <c r="D199" t="inlineStr">
        <is>
          <t>работник 55</t>
        </is>
      </c>
      <c r="E199" s="1" t="inlineStr">
        <is>
          <t>ОБЩЕСТВО С ОГРАНИЧЕННОЙ ОТВЕТСТВЕННОСТЬЮ "АМУР ЗОЛОТО"</t>
        </is>
      </c>
      <c r="F199" s="1" t="inlineStr">
        <is>
          <t>2708001686</t>
        </is>
      </c>
      <c r="G199" s="1" t="inlineStr">
        <is>
          <t>Машинист насосных установок</t>
        </is>
      </c>
      <c r="H199" s="1" t="inlineStr">
        <is>
          <t>ООО "Амур Золото"</t>
        </is>
      </c>
      <c r="I199" s="1" t="inlineStr">
        <is>
          <t>2708001686</t>
        </is>
      </c>
      <c r="J199" s="1" t="inlineStr">
        <is>
          <t>ОТ № ЮГОК ЭУ 23-01</t>
        </is>
      </c>
      <c r="K19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99" s="1" t="inlineStr">
        <is>
          <t>23.11.2023</t>
        </is>
      </c>
      <c r="M199" s="1" t="inlineStr">
        <is>
          <t>Успешно</t>
        </is>
      </c>
      <c r="N199" s="1" t="inlineStr">
        <is>
          <t>05.02.2024</t>
        </is>
      </c>
      <c r="O199" s="1" t="inlineStr"/>
      <c r="P199" s="1" t="inlineStr"/>
      <c r="Q199" s="1" t="inlineStr">
        <is>
          <t>Пользовательский интерфейс</t>
        </is>
      </c>
    </row>
    <row r="200">
      <c r="B200" s="1" t="inlineStr">
        <is>
          <t>37117396</t>
        </is>
      </c>
      <c r="C200" s="1" t="inlineStr">
        <is>
          <t>2978778</t>
        </is>
      </c>
      <c r="D200" t="inlineStr">
        <is>
          <t>работник 56</t>
        </is>
      </c>
      <c r="E200" s="1" t="inlineStr">
        <is>
          <t>ОБЩЕСТВО С ОГРАНИЧЕННОЙ ОТВЕТСТВЕННОСТЬЮ "АМУР ЗОЛОТО"</t>
        </is>
      </c>
      <c r="F200" s="1" t="inlineStr">
        <is>
          <t>2708001686</t>
        </is>
      </c>
      <c r="G200" s="1" t="inlineStr">
        <is>
          <t>Машинист насосных установок</t>
        </is>
      </c>
      <c r="H200" s="1" t="inlineStr">
        <is>
          <t>ООО "Амур Золото"</t>
        </is>
      </c>
      <c r="I200" s="1" t="inlineStr">
        <is>
          <t>2708001686</t>
        </is>
      </c>
      <c r="J200" s="1" t="inlineStr">
        <is>
          <t>ОТ № ЮГОК ЭУ 23-01</t>
        </is>
      </c>
      <c r="K200" s="1" t="inlineStr">
        <is>
          <t>Оказание первой помощи пострадавшим</t>
        </is>
      </c>
      <c r="L200" s="1" t="inlineStr">
        <is>
          <t>23.11.2023</t>
        </is>
      </c>
      <c r="M200" s="1" t="inlineStr">
        <is>
          <t>Успешно</t>
        </is>
      </c>
      <c r="N200" s="1" t="inlineStr">
        <is>
          <t>05.02.2024</t>
        </is>
      </c>
      <c r="O200" s="1" t="inlineStr"/>
      <c r="P200" s="1" t="inlineStr"/>
      <c r="Q200" s="1" t="inlineStr">
        <is>
          <t>Пользовательский интерфейс</t>
        </is>
      </c>
    </row>
    <row r="201">
      <c r="B201" s="1" t="inlineStr">
        <is>
          <t>37117397</t>
        </is>
      </c>
      <c r="C201" s="1" t="inlineStr">
        <is>
          <t>2978778</t>
        </is>
      </c>
      <c r="D201" t="inlineStr">
        <is>
          <t>работник 56</t>
        </is>
      </c>
      <c r="E201" s="1" t="inlineStr">
        <is>
          <t>ОБЩЕСТВО С ОГРАНИЧЕННОЙ ОТВЕТСТВЕННОСТЬЮ "АМУР ЗОЛОТО"</t>
        </is>
      </c>
      <c r="F201" s="1" t="inlineStr">
        <is>
          <t>2708001686</t>
        </is>
      </c>
      <c r="G201" s="1" t="inlineStr">
        <is>
          <t>Машинист насосных установок</t>
        </is>
      </c>
      <c r="H201" s="1" t="inlineStr">
        <is>
          <t>ООО "Амур Золото"</t>
        </is>
      </c>
      <c r="I201" s="1" t="inlineStr">
        <is>
          <t>2708001686</t>
        </is>
      </c>
      <c r="J201" s="1" t="inlineStr">
        <is>
          <t>ОТ № ЮГОК ЭУ 23-01</t>
        </is>
      </c>
      <c r="K201" s="1" t="inlineStr">
        <is>
          <t>Использование (применение) средств индивидуальной защиты</t>
        </is>
      </c>
      <c r="L201" s="1" t="inlineStr">
        <is>
          <t>23.11.2023</t>
        </is>
      </c>
      <c r="M201" s="1" t="inlineStr">
        <is>
          <t>Успешно</t>
        </is>
      </c>
      <c r="N201" s="1" t="inlineStr">
        <is>
          <t>05.02.2024</t>
        </is>
      </c>
      <c r="O201" s="1" t="inlineStr"/>
      <c r="P201" s="1" t="inlineStr"/>
      <c r="Q201" s="1" t="inlineStr">
        <is>
          <t>Пользовательский интерфейс</t>
        </is>
      </c>
    </row>
    <row r="202">
      <c r="B202" s="1" t="inlineStr">
        <is>
          <t>37117398</t>
        </is>
      </c>
      <c r="C202" s="1" t="inlineStr">
        <is>
          <t>2978778</t>
        </is>
      </c>
      <c r="D202" t="inlineStr">
        <is>
          <t>работник 56</t>
        </is>
      </c>
      <c r="E202" s="1" t="inlineStr">
        <is>
          <t>ОБЩЕСТВО С ОГРАНИЧЕННОЙ ОТВЕТСТВЕННОСТЬЮ "АМУР ЗОЛОТО"</t>
        </is>
      </c>
      <c r="F202" s="1" t="inlineStr">
        <is>
          <t>2708001686</t>
        </is>
      </c>
      <c r="G202" s="1" t="inlineStr">
        <is>
          <t>Машинист насосных установок</t>
        </is>
      </c>
      <c r="H202" s="1" t="inlineStr">
        <is>
          <t>ООО "Амур Золото"</t>
        </is>
      </c>
      <c r="I202" s="1" t="inlineStr">
        <is>
          <t>2708001686</t>
        </is>
      </c>
      <c r="J202" s="1" t="inlineStr">
        <is>
          <t>ОТ № ЮГОК ЭУ 23-01</t>
        </is>
      </c>
      <c r="K20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02" s="1" t="inlineStr">
        <is>
          <t>23.11.2023</t>
        </is>
      </c>
      <c r="M202" s="1" t="inlineStr">
        <is>
          <t>Успешно</t>
        </is>
      </c>
      <c r="N202" s="1" t="inlineStr">
        <is>
          <t>05.02.2024</t>
        </is>
      </c>
      <c r="O202" s="1" t="inlineStr"/>
      <c r="P202" s="1" t="inlineStr"/>
      <c r="Q202" s="1" t="inlineStr">
        <is>
          <t>Пользовательский интерфейс</t>
        </is>
      </c>
    </row>
    <row r="203">
      <c r="B203" s="1" t="inlineStr">
        <is>
          <t>37117399</t>
        </is>
      </c>
      <c r="C203" s="1" t="inlineStr">
        <is>
          <t>2978778</t>
        </is>
      </c>
      <c r="D203" t="inlineStr">
        <is>
          <t>работник 57</t>
        </is>
      </c>
      <c r="E203" s="1" t="inlineStr">
        <is>
          <t>ОБЩЕСТВО С ОГРАНИЧЕННОЙ ОТВЕТСТВЕННОСТЬЮ "АМУР ЗОЛОТО"</t>
        </is>
      </c>
      <c r="F203" s="1" t="inlineStr">
        <is>
          <t>2708001686</t>
        </is>
      </c>
      <c r="G203" s="1" t="inlineStr">
        <is>
          <t>Оператор дизельных котлов</t>
        </is>
      </c>
      <c r="H203" s="1" t="inlineStr">
        <is>
          <t>ООО "Амур Золото"</t>
        </is>
      </c>
      <c r="I203" s="1" t="inlineStr">
        <is>
          <t>2708001686</t>
        </is>
      </c>
      <c r="J203" s="1" t="inlineStr">
        <is>
          <t>ОТ № ЮГОК ЭУ 23-01</t>
        </is>
      </c>
      <c r="K203" s="1" t="inlineStr">
        <is>
          <t>Оказание первой помощи пострадавшим</t>
        </is>
      </c>
      <c r="L203" s="1" t="inlineStr">
        <is>
          <t>23.11.2023</t>
        </is>
      </c>
      <c r="M203" s="1" t="inlineStr">
        <is>
          <t>Успешно</t>
        </is>
      </c>
      <c r="N203" s="1" t="inlineStr">
        <is>
          <t>05.02.2024</t>
        </is>
      </c>
      <c r="O203" s="1" t="inlineStr"/>
      <c r="P203" s="1" t="inlineStr"/>
      <c r="Q203" s="1" t="inlineStr">
        <is>
          <t>Пользовательский интерфейс</t>
        </is>
      </c>
    </row>
    <row r="204">
      <c r="B204" s="1" t="inlineStr">
        <is>
          <t>37117400</t>
        </is>
      </c>
      <c r="C204" s="1" t="inlineStr">
        <is>
          <t>2978778</t>
        </is>
      </c>
      <c r="D204" t="inlineStr">
        <is>
          <t>работник 57</t>
        </is>
      </c>
      <c r="E204" s="1" t="inlineStr">
        <is>
          <t>ОБЩЕСТВО С ОГРАНИЧЕННОЙ ОТВЕТСТВЕННОСТЬЮ "АМУР ЗОЛОТО"</t>
        </is>
      </c>
      <c r="F204" s="1" t="inlineStr">
        <is>
          <t>2708001686</t>
        </is>
      </c>
      <c r="G204" s="1" t="inlineStr">
        <is>
          <t>Оператор дизельных котлов</t>
        </is>
      </c>
      <c r="H204" s="1" t="inlineStr">
        <is>
          <t>ООО "Амур Золото"</t>
        </is>
      </c>
      <c r="I204" s="1" t="inlineStr">
        <is>
          <t>2708001686</t>
        </is>
      </c>
      <c r="J204" s="1" t="inlineStr">
        <is>
          <t>ОТ № ЮГОК ЭУ 23-01</t>
        </is>
      </c>
      <c r="K204" s="1" t="inlineStr">
        <is>
          <t>Использование (применение) средств индивидуальной защиты</t>
        </is>
      </c>
      <c r="L204" s="1" t="inlineStr">
        <is>
          <t>23.11.2023</t>
        </is>
      </c>
      <c r="M204" s="1" t="inlineStr">
        <is>
          <t>Успешно</t>
        </is>
      </c>
      <c r="N204" s="1" t="inlineStr">
        <is>
          <t>05.02.2024</t>
        </is>
      </c>
      <c r="O204" s="1" t="inlineStr"/>
      <c r="P204" s="1" t="inlineStr"/>
      <c r="Q204" s="1" t="inlineStr">
        <is>
          <t>Пользовательский интерфейс</t>
        </is>
      </c>
    </row>
    <row r="205">
      <c r="B205" s="1" t="inlineStr">
        <is>
          <t>37117401</t>
        </is>
      </c>
      <c r="C205" s="1" t="inlineStr">
        <is>
          <t>2978778</t>
        </is>
      </c>
      <c r="D205" t="inlineStr">
        <is>
          <t>работник 57</t>
        </is>
      </c>
      <c r="E205" s="1" t="inlineStr">
        <is>
          <t>ОБЩЕСТВО С ОГРАНИЧЕННОЙ ОТВЕТСТВЕННОСТЬЮ "АМУР ЗОЛОТО"</t>
        </is>
      </c>
      <c r="F205" s="1" t="inlineStr">
        <is>
          <t>2708001686</t>
        </is>
      </c>
      <c r="G205" s="1" t="inlineStr">
        <is>
          <t>Оператор дизельных котлов</t>
        </is>
      </c>
      <c r="H205" s="1" t="inlineStr">
        <is>
          <t>ООО "Амур Золото"</t>
        </is>
      </c>
      <c r="I205" s="1" t="inlineStr">
        <is>
          <t>2708001686</t>
        </is>
      </c>
      <c r="J205" s="1" t="inlineStr">
        <is>
          <t>ОТ № ЮГОК ЭУ 23-01</t>
        </is>
      </c>
      <c r="K20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05" s="1" t="inlineStr">
        <is>
          <t>23.11.2023</t>
        </is>
      </c>
      <c r="M205" s="1" t="inlineStr">
        <is>
          <t>Успешно</t>
        </is>
      </c>
      <c r="N205" s="1" t="inlineStr">
        <is>
          <t>05.02.2024</t>
        </is>
      </c>
      <c r="O205" s="1" t="inlineStr"/>
      <c r="P205" s="1" t="inlineStr"/>
      <c r="Q205" s="1" t="inlineStr">
        <is>
          <t>Пользовательский интерфейс</t>
        </is>
      </c>
    </row>
    <row r="206">
      <c r="B206" s="1" t="inlineStr">
        <is>
          <t>37117402</t>
        </is>
      </c>
      <c r="C206" s="1" t="inlineStr">
        <is>
          <t>2978778</t>
        </is>
      </c>
      <c r="D206" t="inlineStr">
        <is>
          <t>работник 58</t>
        </is>
      </c>
      <c r="E206" s="1" t="inlineStr">
        <is>
          <t>ОБЩЕСТВО С ОГРАНИЧЕННОЙ ОТВЕТСТВЕННОСТЬЮ "АМУР ЗОЛОТО"</t>
        </is>
      </c>
      <c r="F206" s="1" t="inlineStr">
        <is>
          <t>2708001686</t>
        </is>
      </c>
      <c r="G206" s="1" t="inlineStr">
        <is>
          <t>Оператор дизельных котлов</t>
        </is>
      </c>
      <c r="H206" s="1" t="inlineStr">
        <is>
          <t>ООО "Амур Золото"</t>
        </is>
      </c>
      <c r="I206" s="1" t="inlineStr">
        <is>
          <t>2708001686</t>
        </is>
      </c>
      <c r="J206" s="1" t="inlineStr">
        <is>
          <t>ОТ № ЮГОК ЭУ 23-01</t>
        </is>
      </c>
      <c r="K206" s="1" t="inlineStr">
        <is>
          <t>Оказание первой помощи пострадавшим</t>
        </is>
      </c>
      <c r="L206" s="1" t="inlineStr">
        <is>
          <t>23.11.2023</t>
        </is>
      </c>
      <c r="M206" s="1" t="inlineStr">
        <is>
          <t>Успешно</t>
        </is>
      </c>
      <c r="N206" s="1" t="inlineStr">
        <is>
          <t>05.02.2024</t>
        </is>
      </c>
      <c r="O206" s="1" t="inlineStr"/>
      <c r="P206" s="1" t="inlineStr"/>
      <c r="Q206" s="1" t="inlineStr">
        <is>
          <t>Пользовательский интерфейс</t>
        </is>
      </c>
    </row>
    <row r="207">
      <c r="B207" s="1" t="inlineStr">
        <is>
          <t>37117403</t>
        </is>
      </c>
      <c r="C207" s="1" t="inlineStr">
        <is>
          <t>2978778</t>
        </is>
      </c>
      <c r="D207" t="inlineStr">
        <is>
          <t>работник 58</t>
        </is>
      </c>
      <c r="E207" s="1" t="inlineStr">
        <is>
          <t>ОБЩЕСТВО С ОГРАНИЧЕННОЙ ОТВЕТСТВЕННОСТЬЮ "АМУР ЗОЛОТО"</t>
        </is>
      </c>
      <c r="F207" s="1" t="inlineStr">
        <is>
          <t>2708001686</t>
        </is>
      </c>
      <c r="G207" s="1" t="inlineStr">
        <is>
          <t>Оператор дизельных котлов</t>
        </is>
      </c>
      <c r="H207" s="1" t="inlineStr">
        <is>
          <t>ООО "Амур Золото"</t>
        </is>
      </c>
      <c r="I207" s="1" t="inlineStr">
        <is>
          <t>2708001686</t>
        </is>
      </c>
      <c r="J207" s="1" t="inlineStr">
        <is>
          <t>ОТ № ЮГОК ЭУ 23-01</t>
        </is>
      </c>
      <c r="K207" s="1" t="inlineStr">
        <is>
          <t>Использование (применение) средств индивидуальной защиты</t>
        </is>
      </c>
      <c r="L207" s="1" t="inlineStr">
        <is>
          <t>23.11.2023</t>
        </is>
      </c>
      <c r="M207" s="1" t="inlineStr">
        <is>
          <t>Успешно</t>
        </is>
      </c>
      <c r="N207" s="1" t="inlineStr">
        <is>
          <t>05.02.2024</t>
        </is>
      </c>
      <c r="O207" s="1" t="inlineStr"/>
      <c r="P207" s="1" t="inlineStr"/>
      <c r="Q207" s="1" t="inlineStr">
        <is>
          <t>Пользовательский интерфейс</t>
        </is>
      </c>
    </row>
    <row r="208">
      <c r="B208" s="1" t="inlineStr">
        <is>
          <t>37117404</t>
        </is>
      </c>
      <c r="C208" s="1" t="inlineStr">
        <is>
          <t>2978778</t>
        </is>
      </c>
      <c r="D208" t="inlineStr">
        <is>
          <t>работник 58</t>
        </is>
      </c>
      <c r="E208" s="1" t="inlineStr">
        <is>
          <t>ОБЩЕСТВО С ОГРАНИЧЕННОЙ ОТВЕТСТВЕННОСТЬЮ "АМУР ЗОЛОТО"</t>
        </is>
      </c>
      <c r="F208" s="1" t="inlineStr">
        <is>
          <t>2708001686</t>
        </is>
      </c>
      <c r="G208" s="1" t="inlineStr">
        <is>
          <t>Оператор дизельных котлов</t>
        </is>
      </c>
      <c r="H208" s="1" t="inlineStr">
        <is>
          <t>ООО "Амур Золото"</t>
        </is>
      </c>
      <c r="I208" s="1" t="inlineStr">
        <is>
          <t>2708001686</t>
        </is>
      </c>
      <c r="J208" s="1" t="inlineStr">
        <is>
          <t>ОТ № ЮГОК ЭУ 23-01</t>
        </is>
      </c>
      <c r="K20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08" s="1" t="inlineStr">
        <is>
          <t>23.11.2023</t>
        </is>
      </c>
      <c r="M208" s="1" t="inlineStr">
        <is>
          <t>Успешно</t>
        </is>
      </c>
      <c r="N208" s="1" t="inlineStr">
        <is>
          <t>05.02.2024</t>
        </is>
      </c>
      <c r="O208" s="1" t="inlineStr"/>
      <c r="P208" s="1" t="inlineStr"/>
      <c r="Q208" s="1" t="inlineStr">
        <is>
          <t>Пользовательский интерфейс</t>
        </is>
      </c>
    </row>
    <row r="209">
      <c r="B209" s="1" t="inlineStr">
        <is>
          <t>37117405</t>
        </is>
      </c>
      <c r="C209" s="1" t="inlineStr">
        <is>
          <t>2978778</t>
        </is>
      </c>
      <c r="D209" t="inlineStr">
        <is>
          <t>работник 54</t>
        </is>
      </c>
      <c r="E209" s="1" t="inlineStr">
        <is>
          <t>ОБЩЕСТВО С ОГРАНИЧЕННОЙ ОТВЕТСТВЕННОСТЬЮ "АМУР ЗОЛОТО"</t>
        </is>
      </c>
      <c r="F209" s="1" t="inlineStr">
        <is>
          <t>2708001686</t>
        </is>
      </c>
      <c r="G209" s="1" t="inlineStr">
        <is>
          <t>Оператор дизельных котлов</t>
        </is>
      </c>
      <c r="H209" s="1" t="inlineStr">
        <is>
          <t>ООО "Амур Золото"</t>
        </is>
      </c>
      <c r="I209" s="1" t="inlineStr">
        <is>
          <t>2708001686</t>
        </is>
      </c>
      <c r="J209" s="1" t="inlineStr">
        <is>
          <t>ОТ № ЮГОК ЭУ 23-01</t>
        </is>
      </c>
      <c r="K209" s="1" t="inlineStr">
        <is>
          <t>Использование (применение) средств индивидуальной защиты</t>
        </is>
      </c>
      <c r="L209" s="1" t="inlineStr">
        <is>
          <t>23.11.2023</t>
        </is>
      </c>
      <c r="M209" s="1" t="inlineStr">
        <is>
          <t>Успешно</t>
        </is>
      </c>
      <c r="N209" s="1" t="inlineStr">
        <is>
          <t>05.02.2024</t>
        </is>
      </c>
      <c r="O209" s="1" t="inlineStr"/>
      <c r="P209" s="1" t="inlineStr"/>
      <c r="Q209" s="1" t="inlineStr">
        <is>
          <t>Пользовательский интерфейс</t>
        </is>
      </c>
    </row>
    <row r="210">
      <c r="B210" s="1" t="inlineStr">
        <is>
          <t>37117406</t>
        </is>
      </c>
      <c r="C210" s="1" t="inlineStr">
        <is>
          <t>2978778</t>
        </is>
      </c>
      <c r="D210" t="inlineStr">
        <is>
          <t>работник 54</t>
        </is>
      </c>
      <c r="E210" s="1" t="inlineStr">
        <is>
          <t>ОБЩЕСТВО С ОГРАНИЧЕННОЙ ОТВЕТСТВЕННОСТЬЮ "АМУР ЗОЛОТО"</t>
        </is>
      </c>
      <c r="F210" s="1" t="inlineStr">
        <is>
          <t>2708001686</t>
        </is>
      </c>
      <c r="G210" s="1" t="inlineStr">
        <is>
          <t>Оператор дизельных котлов</t>
        </is>
      </c>
      <c r="H210" s="1" t="inlineStr">
        <is>
          <t>ООО "Амур Золото"</t>
        </is>
      </c>
      <c r="I210" s="1" t="inlineStr">
        <is>
          <t>2708001686</t>
        </is>
      </c>
      <c r="J210" s="1" t="inlineStr">
        <is>
          <t>ОТ № ЮГОК ЭУ 23-01</t>
        </is>
      </c>
      <c r="K21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10" s="1" t="inlineStr">
        <is>
          <t>23.11.2023</t>
        </is>
      </c>
      <c r="M210" s="1" t="inlineStr">
        <is>
          <t>Успешно</t>
        </is>
      </c>
      <c r="N210" s="1" t="inlineStr">
        <is>
          <t>05.02.2024</t>
        </is>
      </c>
      <c r="O210" s="1" t="inlineStr"/>
      <c r="P210" s="1" t="inlineStr"/>
      <c r="Q210" s="1" t="inlineStr">
        <is>
          <t>Пользовательский интерфейс</t>
        </is>
      </c>
    </row>
    <row r="211">
      <c r="B211" s="1" t="inlineStr">
        <is>
          <t>37117407</t>
        </is>
      </c>
      <c r="C211" s="1" t="inlineStr">
        <is>
          <t>2978778</t>
        </is>
      </c>
      <c r="D211" t="inlineStr">
        <is>
          <t>работник 59</t>
        </is>
      </c>
      <c r="E211" s="1" t="inlineStr">
        <is>
          <t>ОБЩЕСТВО С ОГРАНИЧЕННОЙ ОТВЕТСТВЕННОСТЬЮ "АМУР ЗОЛОТО"</t>
        </is>
      </c>
      <c r="F211" s="1" t="inlineStr">
        <is>
          <t>2708001686</t>
        </is>
      </c>
      <c r="G211" s="1" t="inlineStr">
        <is>
          <t>Машинист кочегар котельной</t>
        </is>
      </c>
      <c r="H211" s="1" t="inlineStr">
        <is>
          <t>ООО "Амур Золото"</t>
        </is>
      </c>
      <c r="I211" s="1" t="inlineStr">
        <is>
          <t>2708001686</t>
        </is>
      </c>
      <c r="J211" s="1" t="inlineStr">
        <is>
          <t>ОТ № ЮГОК ЭУ 23-01</t>
        </is>
      </c>
      <c r="K211" s="1" t="inlineStr">
        <is>
          <t>Оказание первой помощи пострадавшим</t>
        </is>
      </c>
      <c r="L211" s="1" t="inlineStr">
        <is>
          <t>23.11.2023</t>
        </is>
      </c>
      <c r="M211" s="1" t="inlineStr">
        <is>
          <t>Успешно</t>
        </is>
      </c>
      <c r="N211" s="1" t="inlineStr">
        <is>
          <t>05.02.2024</t>
        </is>
      </c>
      <c r="O211" s="1" t="inlineStr"/>
      <c r="P211" s="1" t="inlineStr"/>
      <c r="Q211" s="1" t="inlineStr">
        <is>
          <t>Пользовательский интерфейс</t>
        </is>
      </c>
    </row>
    <row r="212">
      <c r="B212" s="1" t="inlineStr">
        <is>
          <t>37117408</t>
        </is>
      </c>
      <c r="C212" s="1" t="inlineStr">
        <is>
          <t>2978778</t>
        </is>
      </c>
      <c r="D212" t="inlineStr">
        <is>
          <t>работник 59</t>
        </is>
      </c>
      <c r="E212" s="1" t="inlineStr">
        <is>
          <t>ОБЩЕСТВО С ОГРАНИЧЕННОЙ ОТВЕТСТВЕННОСТЬЮ "АМУР ЗОЛОТО"</t>
        </is>
      </c>
      <c r="F212" s="1" t="inlineStr">
        <is>
          <t>2708001686</t>
        </is>
      </c>
      <c r="G212" s="1" t="inlineStr">
        <is>
          <t>Машинист кочегар котельной</t>
        </is>
      </c>
      <c r="H212" s="1" t="inlineStr">
        <is>
          <t>ООО "Амур Золото"</t>
        </is>
      </c>
      <c r="I212" s="1" t="inlineStr">
        <is>
          <t>2708001686</t>
        </is>
      </c>
      <c r="J212" s="1" t="inlineStr">
        <is>
          <t>ОТ № ЮГОК ЭУ 23-01</t>
        </is>
      </c>
      <c r="K212" s="1" t="inlineStr">
        <is>
          <t>Использование (применение) средств индивидуальной защиты</t>
        </is>
      </c>
      <c r="L212" s="1" t="inlineStr">
        <is>
          <t>23.11.2023</t>
        </is>
      </c>
      <c r="M212" s="1" t="inlineStr">
        <is>
          <t>Успешно</t>
        </is>
      </c>
      <c r="N212" s="1" t="inlineStr">
        <is>
          <t>05.02.2024</t>
        </is>
      </c>
      <c r="O212" s="1" t="inlineStr"/>
      <c r="P212" s="1" t="inlineStr"/>
      <c r="Q212" s="1" t="inlineStr">
        <is>
          <t>Пользовательский интерфейс</t>
        </is>
      </c>
    </row>
    <row r="213">
      <c r="B213" s="1" t="inlineStr">
        <is>
          <t>37117409</t>
        </is>
      </c>
      <c r="C213" s="1" t="inlineStr">
        <is>
          <t>2978778</t>
        </is>
      </c>
      <c r="D213" t="inlineStr">
        <is>
          <t>работник 59</t>
        </is>
      </c>
      <c r="E213" s="1" t="inlineStr">
        <is>
          <t>ОБЩЕСТВО С ОГРАНИЧЕННОЙ ОТВЕТСТВЕННОСТЬЮ "АМУР ЗОЛОТО"</t>
        </is>
      </c>
      <c r="F213" s="1" t="inlineStr">
        <is>
          <t>2708001686</t>
        </is>
      </c>
      <c r="G213" s="1" t="inlineStr">
        <is>
          <t>Машинист кочегар котельной</t>
        </is>
      </c>
      <c r="H213" s="1" t="inlineStr">
        <is>
          <t>ООО "Амур Золото"</t>
        </is>
      </c>
      <c r="I213" s="1" t="inlineStr">
        <is>
          <t>2708001686</t>
        </is>
      </c>
      <c r="J213" s="1" t="inlineStr">
        <is>
          <t>ОТ № ЮГОК ЭУ 23-01</t>
        </is>
      </c>
      <c r="K21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13" s="1" t="inlineStr">
        <is>
          <t>23.11.2023</t>
        </is>
      </c>
      <c r="M213" s="1" t="inlineStr">
        <is>
          <t>Успешно</t>
        </is>
      </c>
      <c r="N213" s="1" t="inlineStr">
        <is>
          <t>05.02.2024</t>
        </is>
      </c>
      <c r="O213" s="1" t="inlineStr"/>
      <c r="P213" s="1" t="inlineStr"/>
      <c r="Q213" s="1" t="inlineStr">
        <is>
          <t>Пользовательский интерфейс</t>
        </is>
      </c>
    </row>
    <row r="214">
      <c r="B214" s="1" t="inlineStr">
        <is>
          <t>37117410</t>
        </is>
      </c>
      <c r="C214" s="1" t="inlineStr">
        <is>
          <t>2978778</t>
        </is>
      </c>
      <c r="D214" t="inlineStr">
        <is>
          <t>работник 60</t>
        </is>
      </c>
      <c r="E214" s="1" t="inlineStr">
        <is>
          <t>ОБЩЕСТВО С ОГРАНИЧЕННОЙ ОТВЕТСТВЕННОСТЬЮ "АМУР ЗОЛОТО"</t>
        </is>
      </c>
      <c r="F214" s="1" t="inlineStr">
        <is>
          <t>2708001686</t>
        </is>
      </c>
      <c r="G214" s="1" t="inlineStr">
        <is>
          <t>Слесарь-сантехник</t>
        </is>
      </c>
      <c r="H214" s="1" t="inlineStr">
        <is>
          <t>ООО "Амур Золото"</t>
        </is>
      </c>
      <c r="I214" s="1" t="inlineStr">
        <is>
          <t>2708001686</t>
        </is>
      </c>
      <c r="J214" s="1" t="inlineStr">
        <is>
          <t>ОТ № ЮГОК ЭУ 23-01</t>
        </is>
      </c>
      <c r="K214" s="1" t="inlineStr">
        <is>
          <t>Оказание первой помощи пострадавшим</t>
        </is>
      </c>
      <c r="L214" s="1" t="inlineStr">
        <is>
          <t>23.11.2023</t>
        </is>
      </c>
      <c r="M214" s="1" t="inlineStr">
        <is>
          <t>Успешно</t>
        </is>
      </c>
      <c r="N214" s="1" t="inlineStr">
        <is>
          <t>05.02.2024</t>
        </is>
      </c>
      <c r="O214" s="1" t="inlineStr"/>
      <c r="P214" s="1" t="inlineStr"/>
      <c r="Q214" s="1" t="inlineStr">
        <is>
          <t>Пользовательский интерфейс</t>
        </is>
      </c>
    </row>
    <row r="215">
      <c r="B215" s="1" t="inlineStr">
        <is>
          <t>37117411</t>
        </is>
      </c>
      <c r="C215" s="1" t="inlineStr">
        <is>
          <t>2978778</t>
        </is>
      </c>
      <c r="D215" t="inlineStr">
        <is>
          <t>работник 60</t>
        </is>
      </c>
      <c r="E215" s="1" t="inlineStr">
        <is>
          <t>ОБЩЕСТВО С ОГРАНИЧЕННОЙ ОТВЕТСТВЕННОСТЬЮ "АМУР ЗОЛОТО"</t>
        </is>
      </c>
      <c r="F215" s="1" t="inlineStr">
        <is>
          <t>2708001686</t>
        </is>
      </c>
      <c r="G215" s="1" t="inlineStr">
        <is>
          <t>Слесарь-сантехник</t>
        </is>
      </c>
      <c r="H215" s="1" t="inlineStr">
        <is>
          <t>ООО "Амур Золото"</t>
        </is>
      </c>
      <c r="I215" s="1" t="inlineStr">
        <is>
          <t>2708001686</t>
        </is>
      </c>
      <c r="J215" s="1" t="inlineStr">
        <is>
          <t>ОТ № ЮГОК ЭУ 23-01</t>
        </is>
      </c>
      <c r="K215" s="1" t="inlineStr">
        <is>
          <t>Использование (применение) средств индивидуальной защиты</t>
        </is>
      </c>
      <c r="L215" s="1" t="inlineStr">
        <is>
          <t>23.11.2023</t>
        </is>
      </c>
      <c r="M215" s="1" t="inlineStr">
        <is>
          <t>Успешно</t>
        </is>
      </c>
      <c r="N215" s="1" t="inlineStr">
        <is>
          <t>05.02.2024</t>
        </is>
      </c>
      <c r="O215" s="1" t="inlineStr"/>
      <c r="P215" s="1" t="inlineStr"/>
      <c r="Q215" s="1" t="inlineStr">
        <is>
          <t>Пользовательский интерфейс</t>
        </is>
      </c>
    </row>
    <row r="216">
      <c r="B216" s="1" t="inlineStr">
        <is>
          <t>37117412</t>
        </is>
      </c>
      <c r="C216" s="1" t="inlineStr">
        <is>
          <t>2978778</t>
        </is>
      </c>
      <c r="D216" t="inlineStr">
        <is>
          <t>работник 60</t>
        </is>
      </c>
      <c r="E216" s="1" t="inlineStr">
        <is>
          <t>ОБЩЕСТВО С ОГРАНИЧЕННОЙ ОТВЕТСТВЕННОСТЬЮ "АМУР ЗОЛОТО"</t>
        </is>
      </c>
      <c r="F216" s="1" t="inlineStr">
        <is>
          <t>2708001686</t>
        </is>
      </c>
      <c r="G216" s="1" t="inlineStr">
        <is>
          <t>Слесарь-сантехник</t>
        </is>
      </c>
      <c r="H216" s="1" t="inlineStr">
        <is>
          <t>ООО "Амур Золото"</t>
        </is>
      </c>
      <c r="I216" s="1" t="inlineStr">
        <is>
          <t>2708001686</t>
        </is>
      </c>
      <c r="J216" s="1" t="inlineStr">
        <is>
          <t>ОТ № ЮГОК ЭУ 23-01</t>
        </is>
      </c>
      <c r="K21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16" s="1" t="inlineStr">
        <is>
          <t>23.11.2023</t>
        </is>
      </c>
      <c r="M216" s="1" t="inlineStr">
        <is>
          <t>Успешно</t>
        </is>
      </c>
      <c r="N216" s="1" t="inlineStr">
        <is>
          <t>05.02.2024</t>
        </is>
      </c>
      <c r="O216" s="1" t="inlineStr"/>
      <c r="P216" s="1" t="inlineStr"/>
      <c r="Q216" s="1" t="inlineStr">
        <is>
          <t>Пользовательский интерфейс</t>
        </is>
      </c>
    </row>
    <row r="217">
      <c r="B217" s="1" t="inlineStr">
        <is>
          <t>37117413</t>
        </is>
      </c>
      <c r="C217" s="1" t="inlineStr">
        <is>
          <t>2978778</t>
        </is>
      </c>
      <c r="D217" t="inlineStr">
        <is>
          <t>работник 61</t>
        </is>
      </c>
      <c r="E217" s="1" t="inlineStr">
        <is>
          <t>ОБЩЕСТВО С ОГРАНИЧЕННОЙ ОТВЕТСТВЕННОСТЬЮ "АМУР ЗОЛОТО"</t>
        </is>
      </c>
      <c r="F217" s="1" t="inlineStr">
        <is>
          <t>2708001686</t>
        </is>
      </c>
      <c r="G217" s="1" t="inlineStr">
        <is>
          <t>Машинист ДВС с обязанностями компрессорщик</t>
        </is>
      </c>
      <c r="H217" s="1" t="inlineStr">
        <is>
          <t>ООО "Амур Золото"</t>
        </is>
      </c>
      <c r="I217" s="1" t="inlineStr">
        <is>
          <t>2708001686</t>
        </is>
      </c>
      <c r="J217" s="1" t="inlineStr">
        <is>
          <t>ОТ № ЮГОК ЭУ 23-01</t>
        </is>
      </c>
      <c r="K217" s="1" t="inlineStr">
        <is>
          <t>Оказание первой помощи пострадавшим</t>
        </is>
      </c>
      <c r="L217" s="1" t="inlineStr">
        <is>
          <t>23.11.2023</t>
        </is>
      </c>
      <c r="M217" s="1" t="inlineStr">
        <is>
          <t>Успешно</t>
        </is>
      </c>
      <c r="N217" s="1" t="inlineStr">
        <is>
          <t>05.02.2024</t>
        </is>
      </c>
      <c r="O217" s="1" t="inlineStr"/>
      <c r="P217" s="1" t="inlineStr"/>
      <c r="Q217" s="1" t="inlineStr">
        <is>
          <t>Пользовательский интерфейс</t>
        </is>
      </c>
    </row>
    <row r="218">
      <c r="B218" s="1" t="inlineStr">
        <is>
          <t>37117414</t>
        </is>
      </c>
      <c r="C218" s="1" t="inlineStr">
        <is>
          <t>2978778</t>
        </is>
      </c>
      <c r="D218" t="inlineStr">
        <is>
          <t>работник 61</t>
        </is>
      </c>
      <c r="E218" s="1" t="inlineStr">
        <is>
          <t>ОБЩЕСТВО С ОГРАНИЧЕННОЙ ОТВЕТСТВЕННОСТЬЮ "АМУР ЗОЛОТО"</t>
        </is>
      </c>
      <c r="F218" s="1" t="inlineStr">
        <is>
          <t>2708001686</t>
        </is>
      </c>
      <c r="G218" s="1" t="inlineStr">
        <is>
          <t>Машинист ДВС с обязанностями компрессорщик</t>
        </is>
      </c>
      <c r="H218" s="1" t="inlineStr">
        <is>
          <t>ООО "Амур Золото"</t>
        </is>
      </c>
      <c r="I218" s="1" t="inlineStr">
        <is>
          <t>2708001686</t>
        </is>
      </c>
      <c r="J218" s="1" t="inlineStr">
        <is>
          <t>ОТ № ЮГОК ЭУ 23-01</t>
        </is>
      </c>
      <c r="K218" s="1" t="inlineStr">
        <is>
          <t>Использование (применение) средств индивидуальной защиты</t>
        </is>
      </c>
      <c r="L218" s="1" t="inlineStr">
        <is>
          <t>23.11.2023</t>
        </is>
      </c>
      <c r="M218" s="1" t="inlineStr">
        <is>
          <t>Успешно</t>
        </is>
      </c>
      <c r="N218" s="1" t="inlineStr">
        <is>
          <t>05.02.2024</t>
        </is>
      </c>
      <c r="O218" s="1" t="inlineStr"/>
      <c r="P218" s="1" t="inlineStr"/>
      <c r="Q218" s="1" t="inlineStr">
        <is>
          <t>Пользовательский интерфейс</t>
        </is>
      </c>
    </row>
    <row r="219">
      <c r="B219" s="1" t="inlineStr">
        <is>
          <t>37117415</t>
        </is>
      </c>
      <c r="C219" s="1" t="inlineStr">
        <is>
          <t>2978778</t>
        </is>
      </c>
      <c r="D219" t="inlineStr">
        <is>
          <t>работник 61</t>
        </is>
      </c>
      <c r="E219" s="1" t="inlineStr">
        <is>
          <t>ОБЩЕСТВО С ОГРАНИЧЕННОЙ ОТВЕТСТВЕННОСТЬЮ "АМУР ЗОЛОТО"</t>
        </is>
      </c>
      <c r="F219" s="1" t="inlineStr">
        <is>
          <t>2708001686</t>
        </is>
      </c>
      <c r="G219" s="1" t="inlineStr">
        <is>
          <t>Машинист ДВС с обязанностями компрессорщик</t>
        </is>
      </c>
      <c r="H219" s="1" t="inlineStr">
        <is>
          <t>ООО "Амур Золото"</t>
        </is>
      </c>
      <c r="I219" s="1" t="inlineStr">
        <is>
          <t>2708001686</t>
        </is>
      </c>
      <c r="J219" s="1" t="inlineStr">
        <is>
          <t>ОТ № ЮГОК ЭУ 23-01</t>
        </is>
      </c>
      <c r="K21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19" s="1" t="inlineStr">
        <is>
          <t>23.11.2023</t>
        </is>
      </c>
      <c r="M219" s="1" t="inlineStr">
        <is>
          <t>Успешно</t>
        </is>
      </c>
      <c r="N219" s="1" t="inlineStr">
        <is>
          <t>05.02.2024</t>
        </is>
      </c>
      <c r="O219" s="1" t="inlineStr"/>
      <c r="P219" s="1" t="inlineStr"/>
      <c r="Q219" s="1" t="inlineStr">
        <is>
          <t>Пользовательский интерфейс</t>
        </is>
      </c>
    </row>
    <row r="220">
      <c r="B220" s="1" t="inlineStr">
        <is>
          <t>37117416</t>
        </is>
      </c>
      <c r="C220" s="1" t="inlineStr">
        <is>
          <t>2978778</t>
        </is>
      </c>
      <c r="D220" t="inlineStr">
        <is>
          <t>работник 62</t>
        </is>
      </c>
      <c r="E220" s="1" t="inlineStr">
        <is>
          <t>ОБЩЕСТВО С ОГРАНИЧЕННОЙ ОТВЕТСТВЕННОСТЬЮ "АМУР ЗОЛОТО"</t>
        </is>
      </c>
      <c r="F220" s="1" t="inlineStr">
        <is>
          <t>2708001686</t>
        </is>
      </c>
      <c r="G220" s="1" t="inlineStr">
        <is>
          <t>Машинист ДВС с обязанностями компрессорщик</t>
        </is>
      </c>
      <c r="H220" s="1" t="inlineStr">
        <is>
          <t>ООО "Амур Золото"</t>
        </is>
      </c>
      <c r="I220" s="1" t="inlineStr">
        <is>
          <t>2708001686</t>
        </is>
      </c>
      <c r="J220" s="1" t="inlineStr">
        <is>
          <t>ОТ № ЮГОК ЭУ 23-01</t>
        </is>
      </c>
      <c r="K220" s="1" t="inlineStr">
        <is>
          <t>Оказание первой помощи пострадавшим</t>
        </is>
      </c>
      <c r="L220" s="1" t="inlineStr">
        <is>
          <t>23.11.2023</t>
        </is>
      </c>
      <c r="M220" s="1" t="inlineStr">
        <is>
          <t>Успешно</t>
        </is>
      </c>
      <c r="N220" s="1" t="inlineStr">
        <is>
          <t>05.02.2024</t>
        </is>
      </c>
      <c r="O220" s="1" t="inlineStr"/>
      <c r="P220" s="1" t="inlineStr"/>
      <c r="Q220" s="1" t="inlineStr">
        <is>
          <t>Пользовательский интерфейс</t>
        </is>
      </c>
    </row>
    <row r="221">
      <c r="B221" s="1" t="inlineStr">
        <is>
          <t>37117417</t>
        </is>
      </c>
      <c r="C221" s="1" t="inlineStr">
        <is>
          <t>2978778</t>
        </is>
      </c>
      <c r="D221" t="inlineStr">
        <is>
          <t>работник 62</t>
        </is>
      </c>
      <c r="E221" s="1" t="inlineStr">
        <is>
          <t>ОБЩЕСТВО С ОГРАНИЧЕННОЙ ОТВЕТСТВЕННОСТЬЮ "АМУР ЗОЛОТО"</t>
        </is>
      </c>
      <c r="F221" s="1" t="inlineStr">
        <is>
          <t>2708001686</t>
        </is>
      </c>
      <c r="G221" s="1" t="inlineStr">
        <is>
          <t>Машинист ДВС с обязанностями компрессорщик</t>
        </is>
      </c>
      <c r="H221" s="1" t="inlineStr">
        <is>
          <t>ООО "Амур Золото"</t>
        </is>
      </c>
      <c r="I221" s="1" t="inlineStr">
        <is>
          <t>2708001686</t>
        </is>
      </c>
      <c r="J221" s="1" t="inlineStr">
        <is>
          <t>ОТ № ЮГОК ЭУ 23-01</t>
        </is>
      </c>
      <c r="K221" s="1" t="inlineStr">
        <is>
          <t>Использование (применение) средств индивидуальной защиты</t>
        </is>
      </c>
      <c r="L221" s="1" t="inlineStr">
        <is>
          <t>23.11.2023</t>
        </is>
      </c>
      <c r="M221" s="1" t="inlineStr">
        <is>
          <t>Успешно</t>
        </is>
      </c>
      <c r="N221" s="1" t="inlineStr">
        <is>
          <t>05.02.2024</t>
        </is>
      </c>
      <c r="O221" s="1" t="inlineStr"/>
      <c r="P221" s="1" t="inlineStr"/>
      <c r="Q221" s="1" t="inlineStr">
        <is>
          <t>Пользовательский интерфейс</t>
        </is>
      </c>
    </row>
    <row r="222">
      <c r="B222" s="1" t="inlineStr">
        <is>
          <t>37117418</t>
        </is>
      </c>
      <c r="C222" s="1" t="inlineStr">
        <is>
          <t>2978778</t>
        </is>
      </c>
      <c r="D222" t="inlineStr">
        <is>
          <t>работник 63</t>
        </is>
      </c>
      <c r="E222" s="1" t="inlineStr">
        <is>
          <t>ОБЩЕСТВО С ОГРАНИЧЕННОЙ ОТВЕТСТВЕННОСТЬЮ "АМУР ЗОЛОТО"</t>
        </is>
      </c>
      <c r="F222" s="1" t="inlineStr">
        <is>
          <t>2708001686</t>
        </is>
      </c>
      <c r="G222" s="1" t="inlineStr">
        <is>
          <t>Горнорабочий</t>
        </is>
      </c>
      <c r="H222" s="1" t="inlineStr">
        <is>
          <t>ООО "Амур Золото"</t>
        </is>
      </c>
      <c r="I222" s="1" t="inlineStr">
        <is>
          <t>2708001686</t>
        </is>
      </c>
      <c r="J222" s="1" t="inlineStr">
        <is>
          <t>ОТ № ЮГОК ГМО 23-01</t>
        </is>
      </c>
      <c r="K222" s="1" t="inlineStr">
        <is>
          <t>Оказание первой помощи пострадавшим</t>
        </is>
      </c>
      <c r="L222" s="1" t="inlineStr">
        <is>
          <t>03.12.2023</t>
        </is>
      </c>
      <c r="M222" s="1" t="inlineStr">
        <is>
          <t>Успешно</t>
        </is>
      </c>
      <c r="N222" s="1" t="inlineStr">
        <is>
          <t>05.02.2024</t>
        </is>
      </c>
      <c r="O222" s="1" t="inlineStr"/>
      <c r="P222" s="1" t="inlineStr"/>
      <c r="Q222" s="1" t="inlineStr">
        <is>
          <t>Пользовательский интерфейс</t>
        </is>
      </c>
    </row>
    <row r="223">
      <c r="B223" s="1" t="inlineStr">
        <is>
          <t>37117419</t>
        </is>
      </c>
      <c r="C223" s="1" t="inlineStr">
        <is>
          <t>2978778</t>
        </is>
      </c>
      <c r="D223" t="inlineStr">
        <is>
          <t>работник 62</t>
        </is>
      </c>
      <c r="E223" s="1" t="inlineStr">
        <is>
          <t>ОБЩЕСТВО С ОГРАНИЧЕННОЙ ОТВЕТСТВЕННОСТЬЮ "АМУР ЗОЛОТО"</t>
        </is>
      </c>
      <c r="F223" s="1" t="inlineStr">
        <is>
          <t>2708001686</t>
        </is>
      </c>
      <c r="G223" s="1" t="inlineStr">
        <is>
          <t>Машинист ДВС с обязанностями компрессорщик</t>
        </is>
      </c>
      <c r="H223" s="1" t="inlineStr">
        <is>
          <t>ООО "Амур Золото"</t>
        </is>
      </c>
      <c r="I223" s="1" t="inlineStr">
        <is>
          <t>2708001686</t>
        </is>
      </c>
      <c r="J223" s="1" t="inlineStr">
        <is>
          <t>ОТ № ЮГОК ЭУ 23-01</t>
        </is>
      </c>
      <c r="K22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23" s="1" t="inlineStr">
        <is>
          <t>23.11.2023</t>
        </is>
      </c>
      <c r="M223" s="1" t="inlineStr">
        <is>
          <t>Успешно</t>
        </is>
      </c>
      <c r="N223" s="1" t="inlineStr">
        <is>
          <t>05.02.2024</t>
        </is>
      </c>
      <c r="O223" s="1" t="inlineStr"/>
      <c r="P223" s="1" t="inlineStr"/>
      <c r="Q223" s="1" t="inlineStr">
        <is>
          <t>Пользовательский интерфейс</t>
        </is>
      </c>
    </row>
    <row r="224">
      <c r="B224" s="1" t="inlineStr">
        <is>
          <t>37117420</t>
        </is>
      </c>
      <c r="C224" s="1" t="inlineStr">
        <is>
          <t>2978778</t>
        </is>
      </c>
      <c r="D224" t="inlineStr">
        <is>
          <t>работник 64</t>
        </is>
      </c>
      <c r="E224" s="1" t="inlineStr">
        <is>
          <t>ОБЩЕСТВО С ОГРАНИЧЕННОЙ ОТВЕТСТВЕННОСТЬЮ "АМУР ЗОЛОТО"</t>
        </is>
      </c>
      <c r="F224" s="1" t="inlineStr">
        <is>
          <t>2708001686</t>
        </is>
      </c>
      <c r="G224" s="1" t="inlineStr">
        <is>
          <t>Электрослесарь (слесарь)</t>
        </is>
      </c>
      <c r="H224" s="1" t="inlineStr">
        <is>
          <t>ООО "Амур Золото"</t>
        </is>
      </c>
      <c r="I224" s="1" t="inlineStr">
        <is>
          <t>2708001686</t>
        </is>
      </c>
      <c r="J224" s="1" t="inlineStr">
        <is>
          <t>ОТ № ЮГОК ЭУ 23-01</t>
        </is>
      </c>
      <c r="K224" s="1" t="inlineStr">
        <is>
          <t>Оказание первой помощи пострадавшим</t>
        </is>
      </c>
      <c r="L224" s="1" t="inlineStr">
        <is>
          <t>23.11.2023</t>
        </is>
      </c>
      <c r="M224" s="1" t="inlineStr">
        <is>
          <t>Успешно</t>
        </is>
      </c>
      <c r="N224" s="1" t="inlineStr">
        <is>
          <t>05.02.2024</t>
        </is>
      </c>
      <c r="O224" s="1" t="inlineStr"/>
      <c r="P224" s="1" t="inlineStr"/>
      <c r="Q224" s="1" t="inlineStr">
        <is>
          <t>Пользовательский интерфейс</t>
        </is>
      </c>
    </row>
    <row r="225">
      <c r="B225" s="1" t="inlineStr">
        <is>
          <t>37117421</t>
        </is>
      </c>
      <c r="C225" s="1" t="inlineStr">
        <is>
          <t>2978778</t>
        </is>
      </c>
      <c r="D225" t="inlineStr">
        <is>
          <t>работник 64</t>
        </is>
      </c>
      <c r="E225" s="1" t="inlineStr">
        <is>
          <t>ОБЩЕСТВО С ОГРАНИЧЕННОЙ ОТВЕТСТВЕННОСТЬЮ "АМУР ЗОЛОТО"</t>
        </is>
      </c>
      <c r="F225" s="1" t="inlineStr">
        <is>
          <t>2708001686</t>
        </is>
      </c>
      <c r="G225" s="1" t="inlineStr">
        <is>
          <t>Электрослесарь (слесарь)</t>
        </is>
      </c>
      <c r="H225" s="1" t="inlineStr">
        <is>
          <t>ООО "Амур Золото"</t>
        </is>
      </c>
      <c r="I225" s="1" t="inlineStr">
        <is>
          <t>2708001686</t>
        </is>
      </c>
      <c r="J225" s="1" t="inlineStr">
        <is>
          <t>ОТ № ЮГОК ЭУ 23-01</t>
        </is>
      </c>
      <c r="K225" s="1" t="inlineStr">
        <is>
          <t>Использование (применение) средств индивидуальной защиты</t>
        </is>
      </c>
      <c r="L225" s="1" t="inlineStr">
        <is>
          <t>23.11.2023</t>
        </is>
      </c>
      <c r="M225" s="1" t="inlineStr">
        <is>
          <t>Успешно</t>
        </is>
      </c>
      <c r="N225" s="1" t="inlineStr">
        <is>
          <t>05.02.2024</t>
        </is>
      </c>
      <c r="O225" s="1" t="inlineStr"/>
      <c r="P225" s="1" t="inlineStr"/>
      <c r="Q225" s="1" t="inlineStr">
        <is>
          <t>Пользовательский интерфейс</t>
        </is>
      </c>
    </row>
    <row r="226">
      <c r="B226" s="1" t="inlineStr">
        <is>
          <t>37117422</t>
        </is>
      </c>
      <c r="C226" s="1" t="inlineStr">
        <is>
          <t>2978778</t>
        </is>
      </c>
      <c r="D226" t="inlineStr">
        <is>
          <t>работник 64</t>
        </is>
      </c>
      <c r="E226" s="1" t="inlineStr">
        <is>
          <t>ОБЩЕСТВО С ОГРАНИЧЕННОЙ ОТВЕТСТВЕННОСТЬЮ "АМУР ЗОЛОТО"</t>
        </is>
      </c>
      <c r="F226" s="1" t="inlineStr">
        <is>
          <t>2708001686</t>
        </is>
      </c>
      <c r="G226" s="1" t="inlineStr">
        <is>
          <t>Электрослесарь (слесарь)</t>
        </is>
      </c>
      <c r="H226" s="1" t="inlineStr">
        <is>
          <t>ООО "Амур Золото"</t>
        </is>
      </c>
      <c r="I226" s="1" t="inlineStr">
        <is>
          <t>2708001686</t>
        </is>
      </c>
      <c r="J226" s="1" t="inlineStr">
        <is>
          <t>ОТ № ЮГОК ЭУ 23-01</t>
        </is>
      </c>
      <c r="K22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26" s="1" t="inlineStr">
        <is>
          <t>23.11.2023</t>
        </is>
      </c>
      <c r="M226" s="1" t="inlineStr">
        <is>
          <t>Успешно</t>
        </is>
      </c>
      <c r="N226" s="1" t="inlineStr">
        <is>
          <t>05.02.2024</t>
        </is>
      </c>
      <c r="O226" s="1" t="inlineStr"/>
      <c r="P226" s="1" t="inlineStr"/>
      <c r="Q226" s="1" t="inlineStr">
        <is>
          <t>Пользовательский интерфейс</t>
        </is>
      </c>
    </row>
    <row r="227">
      <c r="B227" s="1" t="inlineStr">
        <is>
          <t>37117423</t>
        </is>
      </c>
      <c r="C227" s="1" t="inlineStr">
        <is>
          <t>2978778</t>
        </is>
      </c>
      <c r="D227" t="inlineStr">
        <is>
          <t>работник 65</t>
        </is>
      </c>
      <c r="E227" s="1" t="inlineStr">
        <is>
          <t>ОБЩЕСТВО С ОГРАНИЧЕННОЙ ОТВЕТСТВЕННОСТЬЮ "АМУР ЗОЛОТО"</t>
        </is>
      </c>
      <c r="F227" s="1" t="inlineStr">
        <is>
          <t>2708001686</t>
        </is>
      </c>
      <c r="G227" s="1" t="inlineStr">
        <is>
          <t>Электрослесарь (слесарь)</t>
        </is>
      </c>
      <c r="H227" s="1" t="inlineStr">
        <is>
          <t>ООО "Амур Золото"</t>
        </is>
      </c>
      <c r="I227" s="1" t="inlineStr">
        <is>
          <t>2708001686</t>
        </is>
      </c>
      <c r="J227" s="1" t="inlineStr">
        <is>
          <t>ОТ № ЮГОК ЭУ 23-01</t>
        </is>
      </c>
      <c r="K227" s="1" t="inlineStr">
        <is>
          <t>Оказание первой помощи пострадавшим</t>
        </is>
      </c>
      <c r="L227" s="1" t="inlineStr">
        <is>
          <t>23.11.2023</t>
        </is>
      </c>
      <c r="M227" s="1" t="inlineStr">
        <is>
          <t>Успешно</t>
        </is>
      </c>
      <c r="N227" s="1" t="inlineStr">
        <is>
          <t>05.02.2024</t>
        </is>
      </c>
      <c r="O227" s="1" t="inlineStr"/>
      <c r="P227" s="1" t="inlineStr"/>
      <c r="Q227" s="1" t="inlineStr">
        <is>
          <t>Пользовательский интерфейс</t>
        </is>
      </c>
    </row>
    <row r="228">
      <c r="B228" s="1" t="inlineStr">
        <is>
          <t>37117424</t>
        </is>
      </c>
      <c r="C228" s="1" t="inlineStr">
        <is>
          <t>2978778</t>
        </is>
      </c>
      <c r="D228" t="inlineStr">
        <is>
          <t>работник 65</t>
        </is>
      </c>
      <c r="E228" s="1" t="inlineStr">
        <is>
          <t>ОБЩЕСТВО С ОГРАНИЧЕННОЙ ОТВЕТСТВЕННОСТЬЮ "АМУР ЗОЛОТО"</t>
        </is>
      </c>
      <c r="F228" s="1" t="inlineStr">
        <is>
          <t>2708001686</t>
        </is>
      </c>
      <c r="G228" s="1" t="inlineStr">
        <is>
          <t>Электрослесарь (слесарь)</t>
        </is>
      </c>
      <c r="H228" s="1" t="inlineStr">
        <is>
          <t>ООО "Амур Золото"</t>
        </is>
      </c>
      <c r="I228" s="1" t="inlineStr">
        <is>
          <t>2708001686</t>
        </is>
      </c>
      <c r="J228" s="1" t="inlineStr">
        <is>
          <t>ОТ № ЮГОК ЭУ 23-01</t>
        </is>
      </c>
      <c r="K228" s="1" t="inlineStr">
        <is>
          <t>Использование (применение) средств индивидуальной защиты</t>
        </is>
      </c>
      <c r="L228" s="1" t="inlineStr">
        <is>
          <t>23.11.2023</t>
        </is>
      </c>
      <c r="M228" s="1" t="inlineStr">
        <is>
          <t>Успешно</t>
        </is>
      </c>
      <c r="N228" s="1" t="inlineStr">
        <is>
          <t>05.02.2024</t>
        </is>
      </c>
      <c r="O228" s="1" t="inlineStr"/>
      <c r="P228" s="1" t="inlineStr"/>
      <c r="Q228" s="1" t="inlineStr">
        <is>
          <t>Пользовательский интерфейс</t>
        </is>
      </c>
    </row>
    <row r="229">
      <c r="B229" s="1" t="inlineStr">
        <is>
          <t>37117425</t>
        </is>
      </c>
      <c r="C229" s="1" t="inlineStr">
        <is>
          <t>2978778</t>
        </is>
      </c>
      <c r="D229" t="inlineStr">
        <is>
          <t>работник 65</t>
        </is>
      </c>
      <c r="E229" s="1" t="inlineStr">
        <is>
          <t>ОБЩЕСТВО С ОГРАНИЧЕННОЙ ОТВЕТСТВЕННОСТЬЮ "АМУР ЗОЛОТО"</t>
        </is>
      </c>
      <c r="F229" s="1" t="inlineStr">
        <is>
          <t>2708001686</t>
        </is>
      </c>
      <c r="G229" s="1" t="inlineStr">
        <is>
          <t>Электрослесарь (слесарь)</t>
        </is>
      </c>
      <c r="H229" s="1" t="inlineStr">
        <is>
          <t>ООО "Амур Золото"</t>
        </is>
      </c>
      <c r="I229" s="1" t="inlineStr">
        <is>
          <t>2708001686</t>
        </is>
      </c>
      <c r="J229" s="1" t="inlineStr">
        <is>
          <t>ОТ № ЮГОК ЭУ 23-01</t>
        </is>
      </c>
      <c r="K22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29" s="1" t="inlineStr">
        <is>
          <t>23.11.2023</t>
        </is>
      </c>
      <c r="M229" s="1" t="inlineStr">
        <is>
          <t>Успешно</t>
        </is>
      </c>
      <c r="N229" s="1" t="inlineStr">
        <is>
          <t>05.02.2024</t>
        </is>
      </c>
      <c r="O229" s="1" t="inlineStr"/>
      <c r="P229" s="1" t="inlineStr"/>
      <c r="Q229" s="1" t="inlineStr">
        <is>
          <t>Пользовательский интерфейс</t>
        </is>
      </c>
    </row>
    <row r="230">
      <c r="B230" s="1" t="inlineStr">
        <is>
          <t>37117426</t>
        </is>
      </c>
      <c r="C230" s="1" t="inlineStr">
        <is>
          <t>2978778</t>
        </is>
      </c>
      <c r="D230" t="inlineStr">
        <is>
          <t>работник 66</t>
        </is>
      </c>
      <c r="E230" s="1" t="inlineStr">
        <is>
          <t>ОБЩЕСТВО С ОГРАНИЧЕННОЙ ОТВЕТСТВЕННОСТЬЮ "АМУР ЗОЛОТО"</t>
        </is>
      </c>
      <c r="F230" s="1" t="inlineStr">
        <is>
          <t>2708001686</t>
        </is>
      </c>
      <c r="G230" s="1" t="inlineStr">
        <is>
          <t>Электрослесарь (слесарь)</t>
        </is>
      </c>
      <c r="H230" s="1" t="inlineStr">
        <is>
          <t>ООО "Амур Золото"</t>
        </is>
      </c>
      <c r="I230" s="1" t="inlineStr">
        <is>
          <t>2708001686</t>
        </is>
      </c>
      <c r="J230" s="1" t="inlineStr">
        <is>
          <t>ОТ № ЮГОК ЭУ 23-01</t>
        </is>
      </c>
      <c r="K230" s="1" t="inlineStr">
        <is>
          <t>Оказание первой помощи пострадавшим</t>
        </is>
      </c>
      <c r="L230" s="1" t="inlineStr">
        <is>
          <t>23.11.2023</t>
        </is>
      </c>
      <c r="M230" s="1" t="inlineStr">
        <is>
          <t>Успешно</t>
        </is>
      </c>
      <c r="N230" s="1" t="inlineStr">
        <is>
          <t>05.02.2024</t>
        </is>
      </c>
      <c r="O230" s="1" t="inlineStr"/>
      <c r="P230" s="1" t="inlineStr"/>
      <c r="Q230" s="1" t="inlineStr">
        <is>
          <t>Пользовательский интерфейс</t>
        </is>
      </c>
    </row>
    <row r="231">
      <c r="B231" s="1" t="inlineStr">
        <is>
          <t>37117427</t>
        </is>
      </c>
      <c r="C231" s="1" t="inlineStr">
        <is>
          <t>2978778</t>
        </is>
      </c>
      <c r="D231" t="inlineStr">
        <is>
          <t>работник 66</t>
        </is>
      </c>
      <c r="E231" s="1" t="inlineStr">
        <is>
          <t>ОБЩЕСТВО С ОГРАНИЧЕННОЙ ОТВЕТСТВЕННОСТЬЮ "АМУР ЗОЛОТО"</t>
        </is>
      </c>
      <c r="F231" s="1" t="inlineStr">
        <is>
          <t>2708001686</t>
        </is>
      </c>
      <c r="G231" s="1" t="inlineStr">
        <is>
          <t>Электрослесарь (слесарь)</t>
        </is>
      </c>
      <c r="H231" s="1" t="inlineStr">
        <is>
          <t>ООО "Амур Золото"</t>
        </is>
      </c>
      <c r="I231" s="1" t="inlineStr">
        <is>
          <t>2708001686</t>
        </is>
      </c>
      <c r="J231" s="1" t="inlineStr">
        <is>
          <t>ОТ № ЮГОК ЭУ 23-01</t>
        </is>
      </c>
      <c r="K231" s="1" t="inlineStr">
        <is>
          <t>Использование (применение) средств индивидуальной защиты</t>
        </is>
      </c>
      <c r="L231" s="1" t="inlineStr">
        <is>
          <t>23.11.2023</t>
        </is>
      </c>
      <c r="M231" s="1" t="inlineStr">
        <is>
          <t>Успешно</t>
        </is>
      </c>
      <c r="N231" s="1" t="inlineStr">
        <is>
          <t>05.02.2024</t>
        </is>
      </c>
      <c r="O231" s="1" t="inlineStr"/>
      <c r="P231" s="1" t="inlineStr"/>
      <c r="Q231" s="1" t="inlineStr">
        <is>
          <t>Пользовательский интерфейс</t>
        </is>
      </c>
    </row>
    <row r="232">
      <c r="B232" s="1" t="inlineStr">
        <is>
          <t>37117428</t>
        </is>
      </c>
      <c r="C232" s="1" t="inlineStr">
        <is>
          <t>2978778</t>
        </is>
      </c>
      <c r="D232" t="inlineStr">
        <is>
          <t>работник 66</t>
        </is>
      </c>
      <c r="E232" s="1" t="inlineStr">
        <is>
          <t>ОБЩЕСТВО С ОГРАНИЧЕННОЙ ОТВЕТСТВЕННОСТЬЮ "АМУР ЗОЛОТО"</t>
        </is>
      </c>
      <c r="F232" s="1" t="inlineStr">
        <is>
          <t>2708001686</t>
        </is>
      </c>
      <c r="G232" s="1" t="inlineStr">
        <is>
          <t>Электрослесарь (слесарь)</t>
        </is>
      </c>
      <c r="H232" s="1" t="inlineStr">
        <is>
          <t>ООО "Амур Золото"</t>
        </is>
      </c>
      <c r="I232" s="1" t="inlineStr">
        <is>
          <t>2708001686</t>
        </is>
      </c>
      <c r="J232" s="1" t="inlineStr">
        <is>
          <t>ОТ № ЮГОК ЭУ 23-01</t>
        </is>
      </c>
      <c r="K23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32" s="1" t="inlineStr">
        <is>
          <t>23.11.2023</t>
        </is>
      </c>
      <c r="M232" s="1" t="inlineStr">
        <is>
          <t>Успешно</t>
        </is>
      </c>
      <c r="N232" s="1" t="inlineStr">
        <is>
          <t>05.02.2024</t>
        </is>
      </c>
      <c r="O232" s="1" t="inlineStr"/>
      <c r="P232" s="1" t="inlineStr"/>
      <c r="Q232" s="1" t="inlineStr">
        <is>
          <t>Пользовательский интерфейс</t>
        </is>
      </c>
    </row>
    <row r="233">
      <c r="B233" s="1" t="inlineStr">
        <is>
          <t>37117429</t>
        </is>
      </c>
      <c r="C233" s="1" t="inlineStr">
        <is>
          <t>2978778</t>
        </is>
      </c>
      <c r="D233" t="inlineStr">
        <is>
          <t>работник 67</t>
        </is>
      </c>
      <c r="E233" s="1" t="inlineStr">
        <is>
          <t>ОБЩЕСТВО С ОГРАНИЧЕННОЙ ОТВЕТСТВЕННОСТЬЮ "АМУР ЗОЛОТО"</t>
        </is>
      </c>
      <c r="F233" s="1" t="inlineStr">
        <is>
          <t>2708001686</t>
        </is>
      </c>
      <c r="G233" s="1" t="inlineStr">
        <is>
          <t>Электрогазосварщик (занятый на резке и ручной сварке</t>
        </is>
      </c>
      <c r="H233" s="1" t="inlineStr">
        <is>
          <t>ООО "Амур Золото"</t>
        </is>
      </c>
      <c r="I233" s="1" t="inlineStr">
        <is>
          <t>2708001686</t>
        </is>
      </c>
      <c r="J233" s="1" t="inlineStr">
        <is>
          <t>ОТ № ЮГОК ЭУ 23-02</t>
        </is>
      </c>
      <c r="K233" s="1" t="inlineStr">
        <is>
          <t>Оказание первой помощи пострадавшим</t>
        </is>
      </c>
      <c r="L233" s="1" t="inlineStr">
        <is>
          <t>23.11.2023</t>
        </is>
      </c>
      <c r="M233" s="1" t="inlineStr">
        <is>
          <t>Успешно</t>
        </is>
      </c>
      <c r="N233" s="1" t="inlineStr">
        <is>
          <t>05.02.2024</t>
        </is>
      </c>
      <c r="O233" s="1" t="inlineStr"/>
      <c r="P233" s="1" t="inlineStr"/>
      <c r="Q233" s="1" t="inlineStr">
        <is>
          <t>Пользовательский интерфейс</t>
        </is>
      </c>
    </row>
    <row r="234">
      <c r="B234" s="1" t="inlineStr">
        <is>
          <t>37117430</t>
        </is>
      </c>
      <c r="C234" s="1" t="inlineStr">
        <is>
          <t>2978778</t>
        </is>
      </c>
      <c r="D234" t="inlineStr">
        <is>
          <t>работник 67</t>
        </is>
      </c>
      <c r="E234" s="1" t="inlineStr">
        <is>
          <t>ОБЩЕСТВО С ОГРАНИЧЕННОЙ ОТВЕТСТВЕННОСТЬЮ "АМУР ЗОЛОТО"</t>
        </is>
      </c>
      <c r="F234" s="1" t="inlineStr">
        <is>
          <t>2708001686</t>
        </is>
      </c>
      <c r="G234" s="1" t="inlineStr">
        <is>
          <t>Электрогазосварщик (занятый на резке и ручной сварке</t>
        </is>
      </c>
      <c r="H234" s="1" t="inlineStr">
        <is>
          <t>ООО "Амур Золото"</t>
        </is>
      </c>
      <c r="I234" s="1" t="inlineStr">
        <is>
          <t>2708001686</t>
        </is>
      </c>
      <c r="J234" s="1" t="inlineStr">
        <is>
          <t>ОТ № ЮГОК ЭУ 23-02</t>
        </is>
      </c>
      <c r="K234" s="1" t="inlineStr">
        <is>
          <t>Использование (применение) средств индивидуальной защиты</t>
        </is>
      </c>
      <c r="L234" s="1" t="inlineStr">
        <is>
          <t>23.11.2023</t>
        </is>
      </c>
      <c r="M234" s="1" t="inlineStr">
        <is>
          <t>Успешно</t>
        </is>
      </c>
      <c r="N234" s="1" t="inlineStr">
        <is>
          <t>05.02.2024</t>
        </is>
      </c>
      <c r="O234" s="1" t="inlineStr"/>
      <c r="P234" s="1" t="inlineStr"/>
      <c r="Q234" s="1" t="inlineStr">
        <is>
          <t>Пользовательский интерфейс</t>
        </is>
      </c>
    </row>
    <row r="235">
      <c r="B235" s="1" t="inlineStr">
        <is>
          <t>37117431</t>
        </is>
      </c>
      <c r="C235" s="1" t="inlineStr">
        <is>
          <t>2978778</t>
        </is>
      </c>
      <c r="D235" t="inlineStr">
        <is>
          <t>работник 67</t>
        </is>
      </c>
      <c r="E235" s="1" t="inlineStr">
        <is>
          <t>ОБЩЕСТВО С ОГРАНИЧЕННОЙ ОТВЕТСТВЕННОСТЬЮ "АМУР ЗОЛОТО"</t>
        </is>
      </c>
      <c r="F235" s="1" t="inlineStr">
        <is>
          <t>2708001686</t>
        </is>
      </c>
      <c r="G235" s="1" t="inlineStr">
        <is>
          <t>Электрогазосварщик (занятый на резке и ручной сварке</t>
        </is>
      </c>
      <c r="H235" s="1" t="inlineStr">
        <is>
          <t>ООО "Амур Золото"</t>
        </is>
      </c>
      <c r="I235" s="1" t="inlineStr">
        <is>
          <t>2708001686</t>
        </is>
      </c>
      <c r="J235" s="1" t="inlineStr">
        <is>
          <t>ОТ № ЮГОК ЭУ 23-02</t>
        </is>
      </c>
      <c r="K23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35" s="1" t="inlineStr">
        <is>
          <t>23.11.2023</t>
        </is>
      </c>
      <c r="M235" s="1" t="inlineStr">
        <is>
          <t>Успешно</t>
        </is>
      </c>
      <c r="N235" s="1" t="inlineStr">
        <is>
          <t>05.02.2024</t>
        </is>
      </c>
      <c r="O235" s="1" t="inlineStr"/>
      <c r="P235" s="1" t="inlineStr"/>
      <c r="Q235" s="1" t="inlineStr">
        <is>
          <t>Пользовательский интерфейс</t>
        </is>
      </c>
    </row>
    <row r="236">
      <c r="B236" s="1" t="inlineStr">
        <is>
          <t>37117432</t>
        </is>
      </c>
      <c r="C236" s="1" t="inlineStr">
        <is>
          <t>2978778</t>
        </is>
      </c>
      <c r="D236" t="inlineStr">
        <is>
          <t>работник 67</t>
        </is>
      </c>
      <c r="E236" s="1" t="inlineStr">
        <is>
          <t>ОБЩЕСТВО С ОГРАНИЧЕННОЙ ОТВЕТСТВЕННОСТЬЮ "АМУР ЗОЛОТО"</t>
        </is>
      </c>
      <c r="F236" s="1" t="inlineStr">
        <is>
          <t>2708001686</t>
        </is>
      </c>
      <c r="G236" s="1" t="inlineStr">
        <is>
          <t>Электрогазосварщик (занятый на резке и ручной сварке</t>
        </is>
      </c>
      <c r="H236" s="1" t="inlineStr">
        <is>
          <t>ООО "Амур Золото"</t>
        </is>
      </c>
      <c r="I236" s="1" t="inlineStr">
        <is>
          <t>2708001686</t>
        </is>
      </c>
      <c r="J236" s="1" t="inlineStr">
        <is>
          <t>ОТ № ЮГОК ЭУ 23-03</t>
        </is>
      </c>
      <c r="K236" s="1" t="inlineStr">
        <is>
          <t>Безопасные методы и приемы выполнения строительных работ, в том числе: - окрасочные работы - электросварочные и газосварочные работы</t>
        </is>
      </c>
      <c r="L236" s="1" t="inlineStr">
        <is>
          <t>30.11.2023</t>
        </is>
      </c>
      <c r="M236" s="1" t="inlineStr">
        <is>
          <t>Успешно</t>
        </is>
      </c>
      <c r="N236" s="1" t="inlineStr">
        <is>
          <t>05.02.2024</t>
        </is>
      </c>
      <c r="O236" s="1" t="inlineStr"/>
      <c r="P236" s="1" t="inlineStr"/>
      <c r="Q236" s="1" t="inlineStr">
        <is>
          <t>Пользовательский интерфейс</t>
        </is>
      </c>
    </row>
    <row r="237">
      <c r="B237" s="1" t="inlineStr">
        <is>
          <t>37117433</t>
        </is>
      </c>
      <c r="C237" s="1" t="inlineStr">
        <is>
          <t>2978778</t>
        </is>
      </c>
      <c r="D237" t="inlineStr">
        <is>
          <t>работник 67</t>
        </is>
      </c>
      <c r="E237" s="1" t="inlineStr">
        <is>
          <t>ОБЩЕСТВО С ОГРАНИЧЕННОЙ ОТВЕТСТВЕННОСТЬЮ "АМУР ЗОЛОТО"</t>
        </is>
      </c>
      <c r="F237" s="1" t="inlineStr">
        <is>
          <t>2708001686</t>
        </is>
      </c>
      <c r="G237" s="1" t="inlineStr">
        <is>
          <t>Электрогазосварщик (занятый на резке и ручной сварке</t>
        </is>
      </c>
      <c r="H237" s="1" t="inlineStr">
        <is>
          <t>ООО "Амур Золото"</t>
        </is>
      </c>
      <c r="I237" s="1" t="inlineStr">
        <is>
          <t>2708001686</t>
        </is>
      </c>
      <c r="J237" s="1" t="inlineStr">
        <is>
          <t>ОТ № ЮГОК ЭУ 23-03</t>
        </is>
      </c>
      <c r="K237" s="1" t="inlineStr">
        <is>
          <t>Безопасные методы и приемы выполнения работ в ограниченных и замкнутых пространствах (ОЗП)</t>
        </is>
      </c>
      <c r="L237" s="1" t="inlineStr">
        <is>
          <t>30.11.2023</t>
        </is>
      </c>
      <c r="M237" s="1" t="inlineStr">
        <is>
          <t>Успешно</t>
        </is>
      </c>
      <c r="N237" s="1" t="inlineStr">
        <is>
          <t>05.02.2024</t>
        </is>
      </c>
      <c r="O237" s="1" t="inlineStr"/>
      <c r="P237" s="1" t="inlineStr"/>
      <c r="Q237" s="1" t="inlineStr">
        <is>
          <t>Пользовательский интерфейс</t>
        </is>
      </c>
    </row>
    <row r="238">
      <c r="B238" s="1" t="inlineStr">
        <is>
          <t>37117434</t>
        </is>
      </c>
      <c r="C238" s="1" t="inlineStr">
        <is>
          <t>2978778</t>
        </is>
      </c>
      <c r="D238" t="inlineStr">
        <is>
          <t>работник 67</t>
        </is>
      </c>
      <c r="E238" s="1" t="inlineStr">
        <is>
          <t>ОБЩЕСТВО С ОГРАНИЧЕННОЙ ОТВЕТСТВЕННОСТЬЮ "АМУР ЗОЛОТО"</t>
        </is>
      </c>
      <c r="F238" s="1" t="inlineStr">
        <is>
          <t>2708001686</t>
        </is>
      </c>
      <c r="G238" s="1" t="inlineStr">
        <is>
          <t>Электрогазосварщик (занятый на резке и ручной сварке</t>
        </is>
      </c>
      <c r="H238" s="1" t="inlineStr">
        <is>
          <t>ООО "Амур Золото"</t>
        </is>
      </c>
      <c r="I238" s="1" t="inlineStr">
        <is>
          <t>2708001686</t>
        </is>
      </c>
      <c r="J238" s="1" t="inlineStr">
        <is>
          <t>ОТ № ЮГОК ЭУ 23-03</t>
        </is>
      </c>
      <c r="K238" s="1" t="inlineStr">
        <is>
          <t>Безопасные методы и приемы выполнения огневых работ</t>
        </is>
      </c>
      <c r="L238" s="1" t="inlineStr">
        <is>
          <t>30.11.2023</t>
        </is>
      </c>
      <c r="M238" s="1" t="inlineStr">
        <is>
          <t>Успешно</t>
        </is>
      </c>
      <c r="N238" s="1" t="inlineStr">
        <is>
          <t>05.02.2024</t>
        </is>
      </c>
      <c r="O238" s="1" t="inlineStr"/>
      <c r="P238" s="1" t="inlineStr"/>
      <c r="Q238" s="1" t="inlineStr">
        <is>
          <t>Пользовательский интерфейс</t>
        </is>
      </c>
    </row>
    <row r="239">
      <c r="B239" s="1" t="inlineStr">
        <is>
          <t>37117435</t>
        </is>
      </c>
      <c r="C239" s="1" t="inlineStr">
        <is>
          <t>2978778</t>
        </is>
      </c>
      <c r="D239" t="inlineStr">
        <is>
          <t>работник 68</t>
        </is>
      </c>
      <c r="E239" s="1" t="inlineStr">
        <is>
          <t>ОБЩЕСТВО С ОГРАНИЧЕННОЙ ОТВЕТСТВЕННОСТЬЮ "АМУР ЗОЛОТО"</t>
        </is>
      </c>
      <c r="F239" s="1" t="inlineStr">
        <is>
          <t>2708001686</t>
        </is>
      </c>
      <c r="G239" s="1" t="inlineStr">
        <is>
          <t>Подсобный рабочий</t>
        </is>
      </c>
      <c r="H239" s="1" t="inlineStr">
        <is>
          <t>ООО "Амур Золото"</t>
        </is>
      </c>
      <c r="I239" s="1" t="inlineStr">
        <is>
          <t>2708001686</t>
        </is>
      </c>
      <c r="J239" s="1" t="inlineStr">
        <is>
          <t>ОТ № ЮГОК УОП 23-01</t>
        </is>
      </c>
      <c r="K239" s="1" t="inlineStr">
        <is>
          <t>Оказание первой помощи пострадавшим</t>
        </is>
      </c>
      <c r="L239" s="1" t="inlineStr">
        <is>
          <t>30.11.2023</t>
        </is>
      </c>
      <c r="M239" s="1" t="inlineStr">
        <is>
          <t>Успешно</t>
        </is>
      </c>
      <c r="N239" s="1" t="inlineStr">
        <is>
          <t>05.02.2024</t>
        </is>
      </c>
      <c r="O239" s="1" t="inlineStr"/>
      <c r="P239" s="1" t="inlineStr"/>
      <c r="Q239" s="1" t="inlineStr">
        <is>
          <t>Пользовательский интерфейс</t>
        </is>
      </c>
    </row>
    <row r="240">
      <c r="B240" s="1" t="inlineStr">
        <is>
          <t>37117436</t>
        </is>
      </c>
      <c r="C240" s="1" t="inlineStr">
        <is>
          <t>2978778</t>
        </is>
      </c>
      <c r="D240" t="inlineStr">
        <is>
          <t>работник 68</t>
        </is>
      </c>
      <c r="E240" s="1" t="inlineStr">
        <is>
          <t>ОБЩЕСТВО С ОГРАНИЧЕННОЙ ОТВЕТСТВЕННОСТЬЮ "АМУР ЗОЛОТО"</t>
        </is>
      </c>
      <c r="F240" s="1" t="inlineStr">
        <is>
          <t>2708001686</t>
        </is>
      </c>
      <c r="G240" s="1" t="inlineStr">
        <is>
          <t>Подсобный рабочий</t>
        </is>
      </c>
      <c r="H240" s="1" t="inlineStr">
        <is>
          <t>ООО "Амур Золото"</t>
        </is>
      </c>
      <c r="I240" s="1" t="inlineStr">
        <is>
          <t>2708001686</t>
        </is>
      </c>
      <c r="J240" s="1" t="inlineStr">
        <is>
          <t>ОТ № ЮГОК УОП 23-01</t>
        </is>
      </c>
      <c r="K240" s="1" t="inlineStr">
        <is>
          <t>Использование (применение) средств индивидуальной защиты</t>
        </is>
      </c>
      <c r="L240" s="1" t="inlineStr">
        <is>
          <t>30.11.2023</t>
        </is>
      </c>
      <c r="M240" s="1" t="inlineStr">
        <is>
          <t>Успешно</t>
        </is>
      </c>
      <c r="N240" s="1" t="inlineStr">
        <is>
          <t>05.02.2024</t>
        </is>
      </c>
      <c r="O240" s="1" t="inlineStr"/>
      <c r="P240" s="1" t="inlineStr"/>
      <c r="Q240" s="1" t="inlineStr">
        <is>
          <t>Пользовательский интерфейс</t>
        </is>
      </c>
    </row>
    <row r="241">
      <c r="B241" s="1" t="inlineStr">
        <is>
          <t>37117437</t>
        </is>
      </c>
      <c r="C241" s="1" t="inlineStr">
        <is>
          <t>2978778</t>
        </is>
      </c>
      <c r="D241" t="inlineStr">
        <is>
          <t>работник 68</t>
        </is>
      </c>
      <c r="E241" s="1" t="inlineStr">
        <is>
          <t>ОБЩЕСТВО С ОГРАНИЧЕННОЙ ОТВЕТСТВЕННОСТЬЮ "АМУР ЗОЛОТО"</t>
        </is>
      </c>
      <c r="F241" s="1" t="inlineStr">
        <is>
          <t>2708001686</t>
        </is>
      </c>
      <c r="G241" s="1" t="inlineStr">
        <is>
          <t>Подсобный рабочий</t>
        </is>
      </c>
      <c r="H241" s="1" t="inlineStr">
        <is>
          <t>ООО "Амур Золото"</t>
        </is>
      </c>
      <c r="I241" s="1" t="inlineStr">
        <is>
          <t>2708001686</t>
        </is>
      </c>
      <c r="J241" s="1" t="inlineStr">
        <is>
          <t>ОТ № ЮГОК УОП 23-01</t>
        </is>
      </c>
      <c r="K24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41" s="1" t="inlineStr">
        <is>
          <t>30.11.2023</t>
        </is>
      </c>
      <c r="M241" s="1" t="inlineStr">
        <is>
          <t>Успешно</t>
        </is>
      </c>
      <c r="N241" s="1" t="inlineStr">
        <is>
          <t>05.02.2024</t>
        </is>
      </c>
      <c r="O241" s="1" t="inlineStr"/>
      <c r="P241" s="1" t="inlineStr"/>
      <c r="Q241" s="1" t="inlineStr">
        <is>
          <t>Пользовательский интерфейс</t>
        </is>
      </c>
    </row>
    <row r="242">
      <c r="B242" s="1" t="inlineStr">
        <is>
          <t>37117438</t>
        </is>
      </c>
      <c r="C242" s="1" t="inlineStr">
        <is>
          <t>2978778</t>
        </is>
      </c>
      <c r="D242" t="inlineStr">
        <is>
          <t>работник 69</t>
        </is>
      </c>
      <c r="E242" s="1" t="inlineStr">
        <is>
          <t>ОБЩЕСТВО С ОГРАНИЧЕННОЙ ОТВЕТСТВЕННОСТЬЮ "АМУР ЗОЛОТО"</t>
        </is>
      </c>
      <c r="F242" s="1" t="inlineStr">
        <is>
          <t>2708001686</t>
        </is>
      </c>
      <c r="G242" s="1" t="inlineStr">
        <is>
          <t>Подсобный рабочий</t>
        </is>
      </c>
      <c r="H242" s="1" t="inlineStr">
        <is>
          <t>ООО "Амур Золото"</t>
        </is>
      </c>
      <c r="I242" s="1" t="inlineStr">
        <is>
          <t>2708001686</t>
        </is>
      </c>
      <c r="J242" s="1" t="inlineStr">
        <is>
          <t>ОТ № ЮГОК УОП 23-01</t>
        </is>
      </c>
      <c r="K242" s="1" t="inlineStr">
        <is>
          <t>Оказание первой помощи пострадавшим</t>
        </is>
      </c>
      <c r="L242" s="1" t="inlineStr">
        <is>
          <t>30.11.2023</t>
        </is>
      </c>
      <c r="M242" s="1" t="inlineStr">
        <is>
          <t>Успешно</t>
        </is>
      </c>
      <c r="N242" s="1" t="inlineStr">
        <is>
          <t>05.02.2024</t>
        </is>
      </c>
      <c r="O242" s="1" t="inlineStr"/>
      <c r="P242" s="1" t="inlineStr"/>
      <c r="Q242" s="1" t="inlineStr">
        <is>
          <t>Пользовательский интерфейс</t>
        </is>
      </c>
    </row>
    <row r="243">
      <c r="B243" s="1" t="inlineStr">
        <is>
          <t>37117439</t>
        </is>
      </c>
      <c r="C243" s="1" t="inlineStr">
        <is>
          <t>2978778</t>
        </is>
      </c>
      <c r="D243" t="inlineStr">
        <is>
          <t>работник 69</t>
        </is>
      </c>
      <c r="E243" s="1" t="inlineStr">
        <is>
          <t>ОБЩЕСТВО С ОГРАНИЧЕННОЙ ОТВЕТСТВЕННОСТЬЮ "АМУР ЗОЛОТО"</t>
        </is>
      </c>
      <c r="F243" s="1" t="inlineStr">
        <is>
          <t>2708001686</t>
        </is>
      </c>
      <c r="G243" s="1" t="inlineStr">
        <is>
          <t>Подсобный рабочий</t>
        </is>
      </c>
      <c r="H243" s="1" t="inlineStr">
        <is>
          <t>ООО "Амур Золото"</t>
        </is>
      </c>
      <c r="I243" s="1" t="inlineStr">
        <is>
          <t>2708001686</t>
        </is>
      </c>
      <c r="J243" s="1" t="inlineStr">
        <is>
          <t>ОТ № ЮГОК УОП 23-01</t>
        </is>
      </c>
      <c r="K243" s="1" t="inlineStr">
        <is>
          <t>Использование (применение) средств индивидуальной защиты</t>
        </is>
      </c>
      <c r="L243" s="1" t="inlineStr">
        <is>
          <t>30.11.2023</t>
        </is>
      </c>
      <c r="M243" s="1" t="inlineStr">
        <is>
          <t>Успешно</t>
        </is>
      </c>
      <c r="N243" s="1" t="inlineStr">
        <is>
          <t>05.02.2024</t>
        </is>
      </c>
      <c r="O243" s="1" t="inlineStr"/>
      <c r="P243" s="1" t="inlineStr"/>
      <c r="Q243" s="1" t="inlineStr">
        <is>
          <t>Пользовательский интерфейс</t>
        </is>
      </c>
    </row>
    <row r="244">
      <c r="B244" s="1" t="inlineStr">
        <is>
          <t>37117440</t>
        </is>
      </c>
      <c r="C244" s="1" t="inlineStr">
        <is>
          <t>2978778</t>
        </is>
      </c>
      <c r="D244" t="inlineStr">
        <is>
          <t>работник 69</t>
        </is>
      </c>
      <c r="E244" s="1" t="inlineStr">
        <is>
          <t>ОБЩЕСТВО С ОГРАНИЧЕННОЙ ОТВЕТСТВЕННОСТЬЮ "АМУР ЗОЛОТО"</t>
        </is>
      </c>
      <c r="F244" s="1" t="inlineStr">
        <is>
          <t>2708001686</t>
        </is>
      </c>
      <c r="G244" s="1" t="inlineStr">
        <is>
          <t>Подсобный рабочий</t>
        </is>
      </c>
      <c r="H244" s="1" t="inlineStr">
        <is>
          <t>ООО "Амур Золото"</t>
        </is>
      </c>
      <c r="I244" s="1" t="inlineStr">
        <is>
          <t>2708001686</t>
        </is>
      </c>
      <c r="J244" s="1" t="inlineStr">
        <is>
          <t>ОТ № ЮГОК УОП 23-01</t>
        </is>
      </c>
      <c r="K24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44" s="1" t="inlineStr">
        <is>
          <t>30.11.2023</t>
        </is>
      </c>
      <c r="M244" s="1" t="inlineStr">
        <is>
          <t>Успешно</t>
        </is>
      </c>
      <c r="N244" s="1" t="inlineStr">
        <is>
          <t>05.02.2024</t>
        </is>
      </c>
      <c r="O244" s="1" t="inlineStr"/>
      <c r="P244" s="1" t="inlineStr"/>
      <c r="Q244" s="1" t="inlineStr">
        <is>
          <t>Пользовательский интерфейс</t>
        </is>
      </c>
    </row>
    <row r="245">
      <c r="B245" s="1" t="inlineStr">
        <is>
          <t>37117441</t>
        </is>
      </c>
      <c r="C245" s="1" t="inlineStr">
        <is>
          <t>2978778</t>
        </is>
      </c>
      <c r="D245" t="inlineStr">
        <is>
          <t>работник 70</t>
        </is>
      </c>
      <c r="E245" s="1" t="inlineStr">
        <is>
          <t>ОБЩЕСТВО С ОГРАНИЧЕННОЙ ОТВЕТСТВЕННОСТЬЮ "АМУР ЗОЛОТО"</t>
        </is>
      </c>
      <c r="F245" s="1" t="inlineStr">
        <is>
          <t>2708001686</t>
        </is>
      </c>
      <c r="G245" s="1" t="inlineStr">
        <is>
          <t>Подсобный рабочий</t>
        </is>
      </c>
      <c r="H245" s="1" t="inlineStr">
        <is>
          <t>ООО "Амур Золото"</t>
        </is>
      </c>
      <c r="I245" s="1" t="inlineStr">
        <is>
          <t>2708001686</t>
        </is>
      </c>
      <c r="J245" s="1" t="inlineStr">
        <is>
          <t>ОТ № ЮГОК УОП 23-01</t>
        </is>
      </c>
      <c r="K245" s="1" t="inlineStr">
        <is>
          <t>Оказание первой помощи пострадавшим</t>
        </is>
      </c>
      <c r="L245" s="1" t="inlineStr">
        <is>
          <t>30.11.2023</t>
        </is>
      </c>
      <c r="M245" s="1" t="inlineStr">
        <is>
          <t>Успешно</t>
        </is>
      </c>
      <c r="N245" s="1" t="inlineStr">
        <is>
          <t>05.02.2024</t>
        </is>
      </c>
      <c r="O245" s="1" t="inlineStr"/>
      <c r="P245" s="1" t="inlineStr"/>
      <c r="Q245" s="1" t="inlineStr">
        <is>
          <t>Пользовательский интерфейс</t>
        </is>
      </c>
    </row>
    <row r="246">
      <c r="B246" s="1" t="inlineStr">
        <is>
          <t>37117442</t>
        </is>
      </c>
      <c r="C246" s="1" t="inlineStr">
        <is>
          <t>2978778</t>
        </is>
      </c>
      <c r="D246" t="inlineStr">
        <is>
          <t>работник 70</t>
        </is>
      </c>
      <c r="E246" s="1" t="inlineStr">
        <is>
          <t>ОБЩЕСТВО С ОГРАНИЧЕННОЙ ОТВЕТСТВЕННОСТЬЮ "АМУР ЗОЛОТО"</t>
        </is>
      </c>
      <c r="F246" s="1" t="inlineStr">
        <is>
          <t>2708001686</t>
        </is>
      </c>
      <c r="G246" s="1" t="inlineStr">
        <is>
          <t>Подсобный рабочий</t>
        </is>
      </c>
      <c r="H246" s="1" t="inlineStr">
        <is>
          <t>ООО "Амур Золото"</t>
        </is>
      </c>
      <c r="I246" s="1" t="inlineStr">
        <is>
          <t>2708001686</t>
        </is>
      </c>
      <c r="J246" s="1" t="inlineStr">
        <is>
          <t>ОТ № ЮГОК УОП 23-01</t>
        </is>
      </c>
      <c r="K246" s="1" t="inlineStr">
        <is>
          <t>Использование (применение) средств индивидуальной защиты</t>
        </is>
      </c>
      <c r="L246" s="1" t="inlineStr">
        <is>
          <t>30.11.2023</t>
        </is>
      </c>
      <c r="M246" s="1" t="inlineStr">
        <is>
          <t>Успешно</t>
        </is>
      </c>
      <c r="N246" s="1" t="inlineStr">
        <is>
          <t>05.02.2024</t>
        </is>
      </c>
      <c r="O246" s="1" t="inlineStr"/>
      <c r="P246" s="1" t="inlineStr"/>
      <c r="Q246" s="1" t="inlineStr">
        <is>
          <t>Пользовательский интерфейс</t>
        </is>
      </c>
    </row>
    <row r="247">
      <c r="B247" s="1" t="inlineStr">
        <is>
          <t>37117443</t>
        </is>
      </c>
      <c r="C247" s="1" t="inlineStr">
        <is>
          <t>2978778</t>
        </is>
      </c>
      <c r="D247" t="inlineStr">
        <is>
          <t>работник 70</t>
        </is>
      </c>
      <c r="E247" s="1" t="inlineStr">
        <is>
          <t>ОБЩЕСТВО С ОГРАНИЧЕННОЙ ОТВЕТСТВЕННОСТЬЮ "АМУР ЗОЛОТО"</t>
        </is>
      </c>
      <c r="F247" s="1" t="inlineStr">
        <is>
          <t>2708001686</t>
        </is>
      </c>
      <c r="G247" s="1" t="inlineStr">
        <is>
          <t>Подсобный рабочий</t>
        </is>
      </c>
      <c r="H247" s="1" t="inlineStr">
        <is>
          <t>ООО "Амур Золото"</t>
        </is>
      </c>
      <c r="I247" s="1" t="inlineStr">
        <is>
          <t>2708001686</t>
        </is>
      </c>
      <c r="J247" s="1" t="inlineStr">
        <is>
          <t>ОТ № ЮГОК УОП 23-01</t>
        </is>
      </c>
      <c r="K24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47" s="1" t="inlineStr">
        <is>
          <t>30.11.2023</t>
        </is>
      </c>
      <c r="M247" s="1" t="inlineStr">
        <is>
          <t>Успешно</t>
        </is>
      </c>
      <c r="N247" s="1" t="inlineStr">
        <is>
          <t>05.02.2024</t>
        </is>
      </c>
      <c r="O247" s="1" t="inlineStr"/>
      <c r="P247" s="1" t="inlineStr"/>
      <c r="Q247" s="1" t="inlineStr">
        <is>
          <t>Пользовательский интерфейс</t>
        </is>
      </c>
    </row>
    <row r="248">
      <c r="B248" s="1" t="inlineStr">
        <is>
          <t>37117444</t>
        </is>
      </c>
      <c r="C248" s="1" t="inlineStr">
        <is>
          <t>2978778</t>
        </is>
      </c>
      <c r="D248" t="inlineStr">
        <is>
          <t>работник 71</t>
        </is>
      </c>
      <c r="E248" s="1" t="inlineStr">
        <is>
          <t>ОБЩЕСТВО С ОГРАНИЧЕННОЙ ОТВЕТСТВЕННОСТЬЮ "АМУР ЗОЛОТО"</t>
        </is>
      </c>
      <c r="F248" s="1" t="inlineStr">
        <is>
          <t>2708001686</t>
        </is>
      </c>
      <c r="G248" s="1" t="inlineStr">
        <is>
          <t>Подсобный рабочий</t>
        </is>
      </c>
      <c r="H248" s="1" t="inlineStr">
        <is>
          <t>ООО "Амур Золото"</t>
        </is>
      </c>
      <c r="I248" s="1" t="inlineStr">
        <is>
          <t>2708001686</t>
        </is>
      </c>
      <c r="J248" s="1" t="inlineStr">
        <is>
          <t>ОТ № ЮГОК УОП 23-01</t>
        </is>
      </c>
      <c r="K248" s="1" t="inlineStr">
        <is>
          <t>Оказание первой помощи пострадавшим</t>
        </is>
      </c>
      <c r="L248" s="1" t="inlineStr">
        <is>
          <t>30.11.2023</t>
        </is>
      </c>
      <c r="M248" s="1" t="inlineStr">
        <is>
          <t>Успешно</t>
        </is>
      </c>
      <c r="N248" s="1" t="inlineStr">
        <is>
          <t>05.02.2024</t>
        </is>
      </c>
      <c r="O248" s="1" t="inlineStr"/>
      <c r="P248" s="1" t="inlineStr"/>
      <c r="Q248" s="1" t="inlineStr">
        <is>
          <t>Пользовательский интерфейс</t>
        </is>
      </c>
    </row>
    <row r="249">
      <c r="B249" s="1" t="inlineStr">
        <is>
          <t>37117445</t>
        </is>
      </c>
      <c r="C249" s="1" t="inlineStr">
        <is>
          <t>2978778</t>
        </is>
      </c>
      <c r="D249" t="inlineStr">
        <is>
          <t>работник 71</t>
        </is>
      </c>
      <c r="E249" s="1" t="inlineStr">
        <is>
          <t>ОБЩЕСТВО С ОГРАНИЧЕННОЙ ОТВЕТСТВЕННОСТЬЮ "АМУР ЗОЛОТО"</t>
        </is>
      </c>
      <c r="F249" s="1" t="inlineStr">
        <is>
          <t>2708001686</t>
        </is>
      </c>
      <c r="G249" s="1" t="inlineStr">
        <is>
          <t>Подсобный рабочий</t>
        </is>
      </c>
      <c r="H249" s="1" t="inlineStr">
        <is>
          <t>ООО "Амур Золото"</t>
        </is>
      </c>
      <c r="I249" s="1" t="inlineStr">
        <is>
          <t>2708001686</t>
        </is>
      </c>
      <c r="J249" s="1" t="inlineStr">
        <is>
          <t>ОТ № ЮГОК УОП 23-01</t>
        </is>
      </c>
      <c r="K249" s="1" t="inlineStr">
        <is>
          <t>Использование (применение) средств индивидуальной защиты</t>
        </is>
      </c>
      <c r="L249" s="1" t="inlineStr">
        <is>
          <t>30.11.2023</t>
        </is>
      </c>
      <c r="M249" s="1" t="inlineStr">
        <is>
          <t>Успешно</t>
        </is>
      </c>
      <c r="N249" s="1" t="inlineStr">
        <is>
          <t>05.02.2024</t>
        </is>
      </c>
      <c r="O249" s="1" t="inlineStr"/>
      <c r="P249" s="1" t="inlineStr"/>
      <c r="Q249" s="1" t="inlineStr">
        <is>
          <t>Пользовательский интерфейс</t>
        </is>
      </c>
    </row>
    <row r="250">
      <c r="B250" s="1" t="inlineStr">
        <is>
          <t>37117446</t>
        </is>
      </c>
      <c r="C250" s="1" t="inlineStr">
        <is>
          <t>2978778</t>
        </is>
      </c>
      <c r="D250" t="inlineStr">
        <is>
          <t>работник 71</t>
        </is>
      </c>
      <c r="E250" s="1" t="inlineStr">
        <is>
          <t>ОБЩЕСТВО С ОГРАНИЧЕННОЙ ОТВЕТСТВЕННОСТЬЮ "АМУР ЗОЛОТО"</t>
        </is>
      </c>
      <c r="F250" s="1" t="inlineStr">
        <is>
          <t>2708001686</t>
        </is>
      </c>
      <c r="G250" s="1" t="inlineStr">
        <is>
          <t>Подсобный рабочий</t>
        </is>
      </c>
      <c r="H250" s="1" t="inlineStr">
        <is>
          <t>ООО "Амур Золото"</t>
        </is>
      </c>
      <c r="I250" s="1" t="inlineStr">
        <is>
          <t>2708001686</t>
        </is>
      </c>
      <c r="J250" s="1" t="inlineStr">
        <is>
          <t>ОТ № ЮГОК УОП 23-01</t>
        </is>
      </c>
      <c r="K25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50" s="1" t="inlineStr">
        <is>
          <t>30.11.2023</t>
        </is>
      </c>
      <c r="M250" s="1" t="inlineStr">
        <is>
          <t>Успешно</t>
        </is>
      </c>
      <c r="N250" s="1" t="inlineStr">
        <is>
          <t>05.02.2024</t>
        </is>
      </c>
      <c r="O250" s="1" t="inlineStr"/>
      <c r="P250" s="1" t="inlineStr"/>
      <c r="Q250" s="1" t="inlineStr">
        <is>
          <t>Пользовательский интерфейс</t>
        </is>
      </c>
    </row>
    <row r="251">
      <c r="B251" s="1" t="inlineStr">
        <is>
          <t>37117447</t>
        </is>
      </c>
      <c r="C251" s="1" t="inlineStr">
        <is>
          <t>2978778</t>
        </is>
      </c>
      <c r="D251" t="inlineStr">
        <is>
          <t>работник 72</t>
        </is>
      </c>
      <c r="E251" s="1" t="inlineStr">
        <is>
          <t>ОБЩЕСТВО С ОГРАНИЧЕННОЙ ОТВЕТСТВЕННОСТЬЮ "АМУР ЗОЛОТО"</t>
        </is>
      </c>
      <c r="F251" s="1" t="inlineStr">
        <is>
          <t>2708001686</t>
        </is>
      </c>
      <c r="G251" s="1" t="inlineStr">
        <is>
          <t>Подсобный рабочий</t>
        </is>
      </c>
      <c r="H251" s="1" t="inlineStr">
        <is>
          <t>ООО "Амур Золото"</t>
        </is>
      </c>
      <c r="I251" s="1" t="inlineStr">
        <is>
          <t>2708001686</t>
        </is>
      </c>
      <c r="J251" s="1" t="inlineStr">
        <is>
          <t>ОТ № ЮГОК УОП 23-01</t>
        </is>
      </c>
      <c r="K251" s="1" t="inlineStr">
        <is>
          <t>Оказание первой помощи пострадавшим</t>
        </is>
      </c>
      <c r="L251" s="1" t="inlineStr">
        <is>
          <t>30.11.2023</t>
        </is>
      </c>
      <c r="M251" s="1" t="inlineStr">
        <is>
          <t>Успешно</t>
        </is>
      </c>
      <c r="N251" s="1" t="inlineStr">
        <is>
          <t>05.02.2024</t>
        </is>
      </c>
      <c r="O251" s="1" t="inlineStr"/>
      <c r="P251" s="1" t="inlineStr"/>
      <c r="Q251" s="1" t="inlineStr">
        <is>
          <t>Пользовательский интерфейс</t>
        </is>
      </c>
    </row>
    <row r="252">
      <c r="B252" s="1" t="inlineStr">
        <is>
          <t>37117448</t>
        </is>
      </c>
      <c r="C252" s="1" t="inlineStr">
        <is>
          <t>2978778</t>
        </is>
      </c>
      <c r="D252" t="inlineStr">
        <is>
          <t>работник 72</t>
        </is>
      </c>
      <c r="E252" s="1" t="inlineStr">
        <is>
          <t>ОБЩЕСТВО С ОГРАНИЧЕННОЙ ОТВЕТСТВЕННОСТЬЮ "АМУР ЗОЛОТО"</t>
        </is>
      </c>
      <c r="F252" s="1" t="inlineStr">
        <is>
          <t>2708001686</t>
        </is>
      </c>
      <c r="G252" s="1" t="inlineStr">
        <is>
          <t>Подсобный рабочий</t>
        </is>
      </c>
      <c r="H252" s="1" t="inlineStr">
        <is>
          <t>ООО "Амур Золото"</t>
        </is>
      </c>
      <c r="I252" s="1" t="inlineStr">
        <is>
          <t>2708001686</t>
        </is>
      </c>
      <c r="J252" s="1" t="inlineStr">
        <is>
          <t>ОТ № ЮГОК УОП 23-01</t>
        </is>
      </c>
      <c r="K252" s="1" t="inlineStr">
        <is>
          <t>Использование (применение) средств индивидуальной защиты</t>
        </is>
      </c>
      <c r="L252" s="1" t="inlineStr">
        <is>
          <t>30.11.2023</t>
        </is>
      </c>
      <c r="M252" s="1" t="inlineStr">
        <is>
          <t>Успешно</t>
        </is>
      </c>
      <c r="N252" s="1" t="inlineStr">
        <is>
          <t>05.02.2024</t>
        </is>
      </c>
      <c r="O252" s="1" t="inlineStr"/>
      <c r="P252" s="1" t="inlineStr"/>
      <c r="Q252" s="1" t="inlineStr">
        <is>
          <t>Пользовательский интерфейс</t>
        </is>
      </c>
    </row>
    <row r="253">
      <c r="B253" s="1" t="inlineStr">
        <is>
          <t>37117449</t>
        </is>
      </c>
      <c r="C253" s="1" t="inlineStr">
        <is>
          <t>2978778</t>
        </is>
      </c>
      <c r="D253" t="inlineStr">
        <is>
          <t>работник 72</t>
        </is>
      </c>
      <c r="E253" s="1" t="inlineStr">
        <is>
          <t>ОБЩЕСТВО С ОГРАНИЧЕННОЙ ОТВЕТСТВЕННОСТЬЮ "АМУР ЗОЛОТО"</t>
        </is>
      </c>
      <c r="F253" s="1" t="inlineStr">
        <is>
          <t>2708001686</t>
        </is>
      </c>
      <c r="G253" s="1" t="inlineStr">
        <is>
          <t>Подсобный рабочий</t>
        </is>
      </c>
      <c r="H253" s="1" t="inlineStr">
        <is>
          <t>ООО "Амур Золото"</t>
        </is>
      </c>
      <c r="I253" s="1" t="inlineStr">
        <is>
          <t>2708001686</t>
        </is>
      </c>
      <c r="J253" s="1" t="inlineStr">
        <is>
          <t>ОТ № ЮГОК УОП 23-01</t>
        </is>
      </c>
      <c r="K25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53" s="1" t="inlineStr">
        <is>
          <t>30.11.2023</t>
        </is>
      </c>
      <c r="M253" s="1" t="inlineStr">
        <is>
          <t>Успешно</t>
        </is>
      </c>
      <c r="N253" s="1" t="inlineStr">
        <is>
          <t>05.02.2024</t>
        </is>
      </c>
      <c r="O253" s="1" t="inlineStr"/>
      <c r="P253" s="1" t="inlineStr"/>
      <c r="Q253" s="1" t="inlineStr">
        <is>
          <t>Пользовательский интерфейс</t>
        </is>
      </c>
    </row>
    <row r="254">
      <c r="B254" s="1" t="inlineStr">
        <is>
          <t>37117450</t>
        </is>
      </c>
      <c r="C254" s="1" t="inlineStr">
        <is>
          <t>2978778</t>
        </is>
      </c>
      <c r="D254" t="inlineStr">
        <is>
          <t>работник 73</t>
        </is>
      </c>
      <c r="E254" s="1" t="inlineStr">
        <is>
          <t>ОБЩЕСТВО С ОГРАНИЧЕННОЙ ОТВЕТСТВЕННОСТЬЮ "АМУР ЗОЛОТО"</t>
        </is>
      </c>
      <c r="F254" s="1" t="inlineStr">
        <is>
          <t>2708001686</t>
        </is>
      </c>
      <c r="G254" s="1" t="inlineStr">
        <is>
          <t>Подсобный рабочий</t>
        </is>
      </c>
      <c r="H254" s="1" t="inlineStr">
        <is>
          <t>ООО "Амур Золото"</t>
        </is>
      </c>
      <c r="I254" s="1" t="inlineStr">
        <is>
          <t>2708001686</t>
        </is>
      </c>
      <c r="J254" s="1" t="inlineStr">
        <is>
          <t>ОТ № ЮГОК УОП 23-01</t>
        </is>
      </c>
      <c r="K254" s="1" t="inlineStr">
        <is>
          <t>Оказание первой помощи пострадавшим</t>
        </is>
      </c>
      <c r="L254" s="1" t="inlineStr">
        <is>
          <t>30.11.2023</t>
        </is>
      </c>
      <c r="M254" s="1" t="inlineStr">
        <is>
          <t>Успешно</t>
        </is>
      </c>
      <c r="N254" s="1" t="inlineStr">
        <is>
          <t>05.02.2024</t>
        </is>
      </c>
      <c r="O254" s="1" t="inlineStr"/>
      <c r="P254" s="1" t="inlineStr"/>
      <c r="Q254" s="1" t="inlineStr">
        <is>
          <t>Пользовательский интерфейс</t>
        </is>
      </c>
    </row>
    <row r="255">
      <c r="B255" s="1" t="inlineStr">
        <is>
          <t>37117451</t>
        </is>
      </c>
      <c r="C255" s="1" t="inlineStr">
        <is>
          <t>2978778</t>
        </is>
      </c>
      <c r="D255" t="inlineStr">
        <is>
          <t>работник 73</t>
        </is>
      </c>
      <c r="E255" s="1" t="inlineStr">
        <is>
          <t>ОБЩЕСТВО С ОГРАНИЧЕННОЙ ОТВЕТСТВЕННОСТЬЮ "АМУР ЗОЛОТО"</t>
        </is>
      </c>
      <c r="F255" s="1" t="inlineStr">
        <is>
          <t>2708001686</t>
        </is>
      </c>
      <c r="G255" s="1" t="inlineStr">
        <is>
          <t>Подсобный рабочий</t>
        </is>
      </c>
      <c r="H255" s="1" t="inlineStr">
        <is>
          <t>ООО "Амур Золото"</t>
        </is>
      </c>
      <c r="I255" s="1" t="inlineStr">
        <is>
          <t>2708001686</t>
        </is>
      </c>
      <c r="J255" s="1" t="inlineStr">
        <is>
          <t>ОТ № ЮГОК УОП 23-01</t>
        </is>
      </c>
      <c r="K255" s="1" t="inlineStr">
        <is>
          <t>Использование (применение) средств индивидуальной защиты</t>
        </is>
      </c>
      <c r="L255" s="1" t="inlineStr">
        <is>
          <t>30.11.2023</t>
        </is>
      </c>
      <c r="M255" s="1" t="inlineStr">
        <is>
          <t>Успешно</t>
        </is>
      </c>
      <c r="N255" s="1" t="inlineStr">
        <is>
          <t>05.02.2024</t>
        </is>
      </c>
      <c r="O255" s="1" t="inlineStr"/>
      <c r="P255" s="1" t="inlineStr"/>
      <c r="Q255" s="1" t="inlineStr">
        <is>
          <t>Пользовательский интерфейс</t>
        </is>
      </c>
    </row>
    <row r="256">
      <c r="B256" s="1" t="inlineStr">
        <is>
          <t>37117452</t>
        </is>
      </c>
      <c r="C256" s="1" t="inlineStr">
        <is>
          <t>2978778</t>
        </is>
      </c>
      <c r="D256" t="inlineStr">
        <is>
          <t>работник 73</t>
        </is>
      </c>
      <c r="E256" s="1" t="inlineStr">
        <is>
          <t>ОБЩЕСТВО С ОГРАНИЧЕННОЙ ОТВЕТСТВЕННОСТЬЮ "АМУР ЗОЛОТО"</t>
        </is>
      </c>
      <c r="F256" s="1" t="inlineStr">
        <is>
          <t>2708001686</t>
        </is>
      </c>
      <c r="G256" s="1" t="inlineStr">
        <is>
          <t>Подсобный рабочий</t>
        </is>
      </c>
      <c r="H256" s="1" t="inlineStr">
        <is>
          <t>ООО "Амур Золото"</t>
        </is>
      </c>
      <c r="I256" s="1" t="inlineStr">
        <is>
          <t>2708001686</t>
        </is>
      </c>
      <c r="J256" s="1" t="inlineStr">
        <is>
          <t>ОТ № ЮГОК УОП 23-01</t>
        </is>
      </c>
      <c r="K25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56" s="1" t="inlineStr">
        <is>
          <t>30.11.2023</t>
        </is>
      </c>
      <c r="M256" s="1" t="inlineStr">
        <is>
          <t>Успешно</t>
        </is>
      </c>
      <c r="N256" s="1" t="inlineStr">
        <is>
          <t>05.02.2024</t>
        </is>
      </c>
      <c r="O256" s="1" t="inlineStr"/>
      <c r="P256" s="1" t="inlineStr"/>
      <c r="Q256" s="1" t="inlineStr">
        <is>
          <t>Пользовательский интерфейс</t>
        </is>
      </c>
    </row>
    <row r="257">
      <c r="B257" s="1" t="inlineStr">
        <is>
          <t>37117453</t>
        </is>
      </c>
      <c r="C257" s="1" t="inlineStr">
        <is>
          <t>2978778</t>
        </is>
      </c>
      <c r="D257" t="inlineStr">
        <is>
          <t>работник 74</t>
        </is>
      </c>
      <c r="E257" s="1" t="inlineStr">
        <is>
          <t>ОБЩЕСТВО С ОГРАНИЧЕННОЙ ОТВЕТСТВЕННОСТЬЮ "АМУР ЗОЛОТО"</t>
        </is>
      </c>
      <c r="F257" s="1" t="inlineStr">
        <is>
          <t>2708001686</t>
        </is>
      </c>
      <c r="G257" s="1" t="inlineStr">
        <is>
          <t>Подсобный рабочий</t>
        </is>
      </c>
      <c r="H257" s="1" t="inlineStr">
        <is>
          <t>ООО "Амур Золото"</t>
        </is>
      </c>
      <c r="I257" s="1" t="inlineStr">
        <is>
          <t>2708001686</t>
        </is>
      </c>
      <c r="J257" s="1" t="inlineStr">
        <is>
          <t>ОТ № ЮГОК УОП 23-01</t>
        </is>
      </c>
      <c r="K257" s="1" t="inlineStr">
        <is>
          <t>Оказание первой помощи пострадавшим</t>
        </is>
      </c>
      <c r="L257" s="1" t="inlineStr">
        <is>
          <t>30.11.2023</t>
        </is>
      </c>
      <c r="M257" s="1" t="inlineStr">
        <is>
          <t>Успешно</t>
        </is>
      </c>
      <c r="N257" s="1" t="inlineStr">
        <is>
          <t>05.02.2024</t>
        </is>
      </c>
      <c r="O257" s="1" t="inlineStr"/>
      <c r="P257" s="1" t="inlineStr"/>
      <c r="Q257" s="1" t="inlineStr">
        <is>
          <t>Пользовательский интерфейс</t>
        </is>
      </c>
    </row>
    <row r="258">
      <c r="B258" s="1" t="inlineStr">
        <is>
          <t>37117454</t>
        </is>
      </c>
      <c r="C258" s="1" t="inlineStr">
        <is>
          <t>2978778</t>
        </is>
      </c>
      <c r="D258" t="inlineStr">
        <is>
          <t>работник 74</t>
        </is>
      </c>
      <c r="E258" s="1" t="inlineStr">
        <is>
          <t>ОБЩЕСТВО С ОГРАНИЧЕННОЙ ОТВЕТСТВЕННОСТЬЮ "АМУР ЗОЛОТО"</t>
        </is>
      </c>
      <c r="F258" s="1" t="inlineStr">
        <is>
          <t>2708001686</t>
        </is>
      </c>
      <c r="G258" s="1" t="inlineStr">
        <is>
          <t>Подсобный рабочий</t>
        </is>
      </c>
      <c r="H258" s="1" t="inlineStr">
        <is>
          <t>ООО "Амур Золото"</t>
        </is>
      </c>
      <c r="I258" s="1" t="inlineStr">
        <is>
          <t>2708001686</t>
        </is>
      </c>
      <c r="J258" s="1" t="inlineStr">
        <is>
          <t>ОТ № ЮГОК УОП 23-01</t>
        </is>
      </c>
      <c r="K258" s="1" t="inlineStr">
        <is>
          <t>Использование (применение) средств индивидуальной защиты</t>
        </is>
      </c>
      <c r="L258" s="1" t="inlineStr">
        <is>
          <t>30.11.2023</t>
        </is>
      </c>
      <c r="M258" s="1" t="inlineStr">
        <is>
          <t>Успешно</t>
        </is>
      </c>
      <c r="N258" s="1" t="inlineStr">
        <is>
          <t>05.02.2024</t>
        </is>
      </c>
      <c r="O258" s="1" t="inlineStr"/>
      <c r="P258" s="1" t="inlineStr"/>
      <c r="Q258" s="1" t="inlineStr">
        <is>
          <t>Пользовательский интерфейс</t>
        </is>
      </c>
    </row>
    <row r="259">
      <c r="B259" s="1" t="inlineStr">
        <is>
          <t>37117455</t>
        </is>
      </c>
      <c r="C259" s="1" t="inlineStr">
        <is>
          <t>2978778</t>
        </is>
      </c>
      <c r="D259" t="inlineStr">
        <is>
          <t>работник 74</t>
        </is>
      </c>
      <c r="E259" s="1" t="inlineStr">
        <is>
          <t>ОБЩЕСТВО С ОГРАНИЧЕННОЙ ОТВЕТСТВЕННОСТЬЮ "АМУР ЗОЛОТО"</t>
        </is>
      </c>
      <c r="F259" s="1" t="inlineStr">
        <is>
          <t>2708001686</t>
        </is>
      </c>
      <c r="G259" s="1" t="inlineStr">
        <is>
          <t>Подсобный рабочий</t>
        </is>
      </c>
      <c r="H259" s="1" t="inlineStr">
        <is>
          <t>ООО "Амур Золото"</t>
        </is>
      </c>
      <c r="I259" s="1" t="inlineStr">
        <is>
          <t>2708001686</t>
        </is>
      </c>
      <c r="J259" s="1" t="inlineStr">
        <is>
          <t>ОТ № ЮГОК УОП 23-01</t>
        </is>
      </c>
      <c r="K25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59" s="1" t="inlineStr">
        <is>
          <t>30.11.2023</t>
        </is>
      </c>
      <c r="M259" s="1" t="inlineStr">
        <is>
          <t>Успешно</t>
        </is>
      </c>
      <c r="N259" s="1" t="inlineStr">
        <is>
          <t>05.02.2024</t>
        </is>
      </c>
      <c r="O259" s="1" t="inlineStr"/>
      <c r="P259" s="1" t="inlineStr"/>
      <c r="Q259" s="1" t="inlineStr">
        <is>
          <t>Пользовательский интерфейс</t>
        </is>
      </c>
    </row>
    <row r="260">
      <c r="B260" s="1" t="inlineStr">
        <is>
          <t>37117456</t>
        </is>
      </c>
      <c r="C260" s="1" t="inlineStr">
        <is>
          <t>2978778</t>
        </is>
      </c>
      <c r="D260" t="inlineStr">
        <is>
          <t>работник 75</t>
        </is>
      </c>
      <c r="E260" s="1" t="inlineStr">
        <is>
          <t>ОБЩЕСТВО С ОГРАНИЧЕННОЙ ОТВЕТСТВЕННОСТЬЮ "АМУР ЗОЛОТО"</t>
        </is>
      </c>
      <c r="F260" s="1" t="inlineStr">
        <is>
          <t>2708001686</t>
        </is>
      </c>
      <c r="G260" s="1" t="inlineStr">
        <is>
          <t>Плотник</t>
        </is>
      </c>
      <c r="H260" s="1" t="inlineStr">
        <is>
          <t>ООО "Амур Золото"</t>
        </is>
      </c>
      <c r="I260" s="1" t="inlineStr">
        <is>
          <t>2708001686</t>
        </is>
      </c>
      <c r="J260" s="1" t="inlineStr">
        <is>
          <t>ОТ № ЮГОК РСУ 23-01</t>
        </is>
      </c>
      <c r="K260" s="1" t="inlineStr">
        <is>
          <t>Оказание первой помощи пострадавшим</t>
        </is>
      </c>
      <c r="L260" s="1" t="inlineStr">
        <is>
          <t>23.11.2023</t>
        </is>
      </c>
      <c r="M260" s="1" t="inlineStr">
        <is>
          <t>Успешно</t>
        </is>
      </c>
      <c r="N260" s="1" t="inlineStr">
        <is>
          <t>05.02.2024</t>
        </is>
      </c>
      <c r="O260" s="1" t="inlineStr"/>
      <c r="P260" s="1" t="inlineStr"/>
      <c r="Q260" s="1" t="inlineStr">
        <is>
          <t>Пользовательский интерфейс</t>
        </is>
      </c>
    </row>
    <row r="261">
      <c r="B261" s="1" t="inlineStr">
        <is>
          <t>37117457</t>
        </is>
      </c>
      <c r="C261" s="1" t="inlineStr">
        <is>
          <t>2978778</t>
        </is>
      </c>
      <c r="D261" t="inlineStr">
        <is>
          <t>работник 75</t>
        </is>
      </c>
      <c r="E261" s="1" t="inlineStr">
        <is>
          <t>ОБЩЕСТВО С ОГРАНИЧЕННОЙ ОТВЕТСТВЕННОСТЬЮ "АМУР ЗОЛОТО"</t>
        </is>
      </c>
      <c r="F261" s="1" t="inlineStr">
        <is>
          <t>2708001686</t>
        </is>
      </c>
      <c r="G261" s="1" t="inlineStr">
        <is>
          <t>Плотник</t>
        </is>
      </c>
      <c r="H261" s="1" t="inlineStr">
        <is>
          <t>ООО "Амур Золото"</t>
        </is>
      </c>
      <c r="I261" s="1" t="inlineStr">
        <is>
          <t>2708001686</t>
        </is>
      </c>
      <c r="J261" s="1" t="inlineStr">
        <is>
          <t>ОТ № ЮГОК РСУ 23-01</t>
        </is>
      </c>
      <c r="K261" s="1" t="inlineStr">
        <is>
          <t>Использование (применение) средств индивидуальной защиты</t>
        </is>
      </c>
      <c r="L261" s="1" t="inlineStr">
        <is>
          <t>23.11.2023</t>
        </is>
      </c>
      <c r="M261" s="1" t="inlineStr">
        <is>
          <t>Успешно</t>
        </is>
      </c>
      <c r="N261" s="1" t="inlineStr">
        <is>
          <t>05.02.2024</t>
        </is>
      </c>
      <c r="O261" s="1" t="inlineStr"/>
      <c r="P261" s="1" t="inlineStr"/>
      <c r="Q261" s="1" t="inlineStr">
        <is>
          <t>Пользовательский интерфейс</t>
        </is>
      </c>
    </row>
    <row r="262">
      <c r="B262" s="1" t="inlineStr">
        <is>
          <t>37117458</t>
        </is>
      </c>
      <c r="C262" s="1" t="inlineStr">
        <is>
          <t>2978778</t>
        </is>
      </c>
      <c r="D262" t="inlineStr">
        <is>
          <t>работник 75</t>
        </is>
      </c>
      <c r="E262" s="1" t="inlineStr">
        <is>
          <t>ОБЩЕСТВО С ОГРАНИЧЕННОЙ ОТВЕТСТВЕННОСТЬЮ "АМУР ЗОЛОТО"</t>
        </is>
      </c>
      <c r="F262" s="1" t="inlineStr">
        <is>
          <t>2708001686</t>
        </is>
      </c>
      <c r="G262" s="1" t="inlineStr">
        <is>
          <t>Плотник</t>
        </is>
      </c>
      <c r="H262" s="1" t="inlineStr">
        <is>
          <t>ООО "Амур Золото"</t>
        </is>
      </c>
      <c r="I262" s="1" t="inlineStr">
        <is>
          <t>2708001686</t>
        </is>
      </c>
      <c r="J262" s="1" t="inlineStr">
        <is>
          <t>ОТ № ЮГОК РСУ 23-01</t>
        </is>
      </c>
      <c r="K26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62" s="1" t="inlineStr">
        <is>
          <t>23.11.2023</t>
        </is>
      </c>
      <c r="M262" s="1" t="inlineStr">
        <is>
          <t>Успешно</t>
        </is>
      </c>
      <c r="N262" s="1" t="inlineStr">
        <is>
          <t>05.02.2024</t>
        </is>
      </c>
      <c r="O262" s="1" t="inlineStr"/>
      <c r="P262" s="1" t="inlineStr"/>
      <c r="Q262" s="1" t="inlineStr">
        <is>
          <t>Пользовательский интерфейс</t>
        </is>
      </c>
    </row>
    <row r="263">
      <c r="B263" s="1" t="inlineStr">
        <is>
          <t>37117459</t>
        </is>
      </c>
      <c r="C263" s="1" t="inlineStr">
        <is>
          <t>2978778</t>
        </is>
      </c>
      <c r="D263" t="inlineStr">
        <is>
          <t>работник 76</t>
        </is>
      </c>
      <c r="E263" s="1" t="inlineStr">
        <is>
          <t>ОБЩЕСТВО С ОГРАНИЧЕННОЙ ОТВЕТСТВЕННОСТЬЮ "АМУР ЗОЛОТО"</t>
        </is>
      </c>
      <c r="F263" s="1" t="inlineStr">
        <is>
          <t>2708001686</t>
        </is>
      </c>
      <c r="G263" s="1" t="inlineStr">
        <is>
          <t>Монтажник по монтажу стальных и железобетонных конструкций</t>
        </is>
      </c>
      <c r="H263" s="1" t="inlineStr">
        <is>
          <t>ООО "Амур Золото"</t>
        </is>
      </c>
      <c r="I263" s="1" t="inlineStr">
        <is>
          <t>2708001686</t>
        </is>
      </c>
      <c r="J263" s="1" t="inlineStr">
        <is>
          <t>ОТ № ЮГОК РСУ 23-01</t>
        </is>
      </c>
      <c r="K263" s="1" t="inlineStr">
        <is>
          <t>Оказание первой помощи пострадавшим</t>
        </is>
      </c>
      <c r="L263" s="1" t="inlineStr">
        <is>
          <t>23.11.2023</t>
        </is>
      </c>
      <c r="M263" s="1" t="inlineStr">
        <is>
          <t>Успешно</t>
        </is>
      </c>
      <c r="N263" s="1" t="inlineStr">
        <is>
          <t>05.02.2024</t>
        </is>
      </c>
      <c r="O263" s="1" t="inlineStr"/>
      <c r="P263" s="1" t="inlineStr"/>
      <c r="Q263" s="1" t="inlineStr">
        <is>
          <t>Пользовательский интерфейс</t>
        </is>
      </c>
    </row>
    <row r="264">
      <c r="B264" s="1" t="inlineStr">
        <is>
          <t>37117460</t>
        </is>
      </c>
      <c r="C264" s="1" t="inlineStr">
        <is>
          <t>2978778</t>
        </is>
      </c>
      <c r="D264" t="inlineStr">
        <is>
          <t>работник 76</t>
        </is>
      </c>
      <c r="E264" s="1" t="inlineStr">
        <is>
          <t>ОБЩЕСТВО С ОГРАНИЧЕННОЙ ОТВЕТСТВЕННОСТЬЮ "АМУР ЗОЛОТО"</t>
        </is>
      </c>
      <c r="F264" s="1" t="inlineStr">
        <is>
          <t>2708001686</t>
        </is>
      </c>
      <c r="G264" s="1" t="inlineStr">
        <is>
          <t>Монтажник по монтажу стальных и железобетонных конструкций</t>
        </is>
      </c>
      <c r="H264" s="1" t="inlineStr">
        <is>
          <t>ООО "Амур Золото"</t>
        </is>
      </c>
      <c r="I264" s="1" t="inlineStr">
        <is>
          <t>2708001686</t>
        </is>
      </c>
      <c r="J264" s="1" t="inlineStr">
        <is>
          <t>ОТ № ЮГОК РСУ 23-01</t>
        </is>
      </c>
      <c r="K264" s="1" t="inlineStr">
        <is>
          <t>Использование (применение) средств индивидуальной защиты</t>
        </is>
      </c>
      <c r="L264" s="1" t="inlineStr">
        <is>
          <t>23.11.2023</t>
        </is>
      </c>
      <c r="M264" s="1" t="inlineStr">
        <is>
          <t>Успешно</t>
        </is>
      </c>
      <c r="N264" s="1" t="inlineStr">
        <is>
          <t>05.02.2024</t>
        </is>
      </c>
      <c r="O264" s="1" t="inlineStr"/>
      <c r="P264" s="1" t="inlineStr"/>
      <c r="Q264" s="1" t="inlineStr">
        <is>
          <t>Пользовательский интерфейс</t>
        </is>
      </c>
    </row>
    <row r="265">
      <c r="B265" s="1" t="inlineStr">
        <is>
          <t>37117461</t>
        </is>
      </c>
      <c r="C265" s="1" t="inlineStr">
        <is>
          <t>2978778</t>
        </is>
      </c>
      <c r="D265" t="inlineStr">
        <is>
          <t>работник 76</t>
        </is>
      </c>
      <c r="E265" s="1" t="inlineStr">
        <is>
          <t>ОБЩЕСТВО С ОГРАНИЧЕННОЙ ОТВЕТСТВЕННОСТЬЮ "АМУР ЗОЛОТО"</t>
        </is>
      </c>
      <c r="F265" s="1" t="inlineStr">
        <is>
          <t>2708001686</t>
        </is>
      </c>
      <c r="G265" s="1" t="inlineStr">
        <is>
          <t>Монтажник по монтажу стальных и железобетонных конструкций</t>
        </is>
      </c>
      <c r="H265" s="1" t="inlineStr">
        <is>
          <t>ООО "Амур Золото"</t>
        </is>
      </c>
      <c r="I265" s="1" t="inlineStr">
        <is>
          <t>2708001686</t>
        </is>
      </c>
      <c r="J265" s="1" t="inlineStr">
        <is>
          <t>ОТ № ЮГОК РСУ 23-01</t>
        </is>
      </c>
      <c r="K26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65" s="1" t="inlineStr">
        <is>
          <t>23.11.2023</t>
        </is>
      </c>
      <c r="M265" s="1" t="inlineStr">
        <is>
          <t>Успешно</t>
        </is>
      </c>
      <c r="N265" s="1" t="inlineStr">
        <is>
          <t>05.02.2024</t>
        </is>
      </c>
      <c r="O265" s="1" t="inlineStr"/>
      <c r="P265" s="1" t="inlineStr"/>
      <c r="Q265" s="1" t="inlineStr">
        <is>
          <t>Пользовательский интерфейс</t>
        </is>
      </c>
    </row>
    <row r="266">
      <c r="B266" s="1" t="inlineStr">
        <is>
          <t>37117462</t>
        </is>
      </c>
      <c r="C266" s="1" t="inlineStr">
        <is>
          <t>2978778</t>
        </is>
      </c>
      <c r="D266" t="inlineStr">
        <is>
          <t>работник 77</t>
        </is>
      </c>
      <c r="E266" s="1" t="inlineStr">
        <is>
          <t>ОБЩЕСТВО С ОГРАНИЧЕННОЙ ОТВЕТСТВЕННОСТЬЮ "АМУР ЗОЛОТО"</t>
        </is>
      </c>
      <c r="F266" s="1" t="inlineStr">
        <is>
          <t>2708001686</t>
        </is>
      </c>
      <c r="G266" s="1" t="inlineStr">
        <is>
          <t>Плотник</t>
        </is>
      </c>
      <c r="H266" s="1" t="inlineStr">
        <is>
          <t>ООО "Амур Золото"</t>
        </is>
      </c>
      <c r="I266" s="1" t="inlineStr">
        <is>
          <t>2708001686</t>
        </is>
      </c>
      <c r="J266" s="1" t="inlineStr">
        <is>
          <t>ОТ № ЮГОК РСУ 23-01</t>
        </is>
      </c>
      <c r="K266" s="1" t="inlineStr">
        <is>
          <t>Оказание первой помощи пострадавшим</t>
        </is>
      </c>
      <c r="L266" s="1" t="inlineStr">
        <is>
          <t>23.11.2023</t>
        </is>
      </c>
      <c r="M266" s="1" t="inlineStr">
        <is>
          <t>Успешно</t>
        </is>
      </c>
      <c r="N266" s="1" t="inlineStr">
        <is>
          <t>05.02.2024</t>
        </is>
      </c>
      <c r="O266" s="1" t="inlineStr"/>
      <c r="P266" s="1" t="inlineStr"/>
      <c r="Q266" s="1" t="inlineStr">
        <is>
          <t>Пользовательский интерфейс</t>
        </is>
      </c>
    </row>
    <row r="267">
      <c r="B267" s="1" t="inlineStr">
        <is>
          <t>37117463</t>
        </is>
      </c>
      <c r="C267" s="1" t="inlineStr">
        <is>
          <t>2978778</t>
        </is>
      </c>
      <c r="D267" t="inlineStr">
        <is>
          <t>работник 77</t>
        </is>
      </c>
      <c r="E267" s="1" t="inlineStr">
        <is>
          <t>ОБЩЕСТВО С ОГРАНИЧЕННОЙ ОТВЕТСТВЕННОСТЬЮ "АМУР ЗОЛОТО"</t>
        </is>
      </c>
      <c r="F267" s="1" t="inlineStr">
        <is>
          <t>2708001686</t>
        </is>
      </c>
      <c r="G267" s="1" t="inlineStr">
        <is>
          <t>Плотник</t>
        </is>
      </c>
      <c r="H267" s="1" t="inlineStr">
        <is>
          <t>ООО "Амур Золото"</t>
        </is>
      </c>
      <c r="I267" s="1" t="inlineStr">
        <is>
          <t>2708001686</t>
        </is>
      </c>
      <c r="J267" s="1" t="inlineStr">
        <is>
          <t>ОТ № ЮГОК РСУ 23-01</t>
        </is>
      </c>
      <c r="K267" s="1" t="inlineStr">
        <is>
          <t>Использование (применение) средств индивидуальной защиты</t>
        </is>
      </c>
      <c r="L267" s="1" t="inlineStr">
        <is>
          <t>23.11.2023</t>
        </is>
      </c>
      <c r="M267" s="1" t="inlineStr">
        <is>
          <t>Успешно</t>
        </is>
      </c>
      <c r="N267" s="1" t="inlineStr">
        <is>
          <t>05.02.2024</t>
        </is>
      </c>
      <c r="O267" s="1" t="inlineStr"/>
      <c r="P267" s="1" t="inlineStr"/>
      <c r="Q267" s="1" t="inlineStr">
        <is>
          <t>Пользовательский интерфейс</t>
        </is>
      </c>
    </row>
    <row r="268">
      <c r="B268" s="1" t="inlineStr">
        <is>
          <t>37117464</t>
        </is>
      </c>
      <c r="C268" s="1" t="inlineStr">
        <is>
          <t>2978778</t>
        </is>
      </c>
      <c r="D268" t="inlineStr">
        <is>
          <t>работник 77</t>
        </is>
      </c>
      <c r="E268" s="1" t="inlineStr">
        <is>
          <t>ОБЩЕСТВО С ОГРАНИЧЕННОЙ ОТВЕТСТВЕННОСТЬЮ "АМУР ЗОЛОТО"</t>
        </is>
      </c>
      <c r="F268" s="1" t="inlineStr">
        <is>
          <t>2708001686</t>
        </is>
      </c>
      <c r="G268" s="1" t="inlineStr">
        <is>
          <t>Плотник</t>
        </is>
      </c>
      <c r="H268" s="1" t="inlineStr">
        <is>
          <t>ООО "Амур Золото"</t>
        </is>
      </c>
      <c r="I268" s="1" t="inlineStr">
        <is>
          <t>2708001686</t>
        </is>
      </c>
      <c r="J268" s="1" t="inlineStr">
        <is>
          <t>ОТ № ЮГОК РСУ 23-01</t>
        </is>
      </c>
      <c r="K26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68" s="1" t="inlineStr">
        <is>
          <t>23.11.2023</t>
        </is>
      </c>
      <c r="M268" s="1" t="inlineStr">
        <is>
          <t>Успешно</t>
        </is>
      </c>
      <c r="N268" s="1" t="inlineStr">
        <is>
          <t>05.02.2024</t>
        </is>
      </c>
      <c r="O268" s="1" t="inlineStr"/>
      <c r="P268" s="1" t="inlineStr"/>
      <c r="Q268" s="1" t="inlineStr">
        <is>
          <t>Пользовательский интерфейс</t>
        </is>
      </c>
    </row>
    <row r="269">
      <c r="B269" s="1" t="inlineStr">
        <is>
          <t>37117465</t>
        </is>
      </c>
      <c r="C269" s="1" t="inlineStr">
        <is>
          <t>2978778</t>
        </is>
      </c>
      <c r="D269" t="inlineStr">
        <is>
          <t>работник 78</t>
        </is>
      </c>
      <c r="E269" s="1" t="inlineStr">
        <is>
          <t>ОБЩЕСТВО С ОГРАНИЧЕННОЙ ОТВЕТСТВЕННОСТЬЮ "АМУР ЗОЛОТО"</t>
        </is>
      </c>
      <c r="F269" s="1" t="inlineStr">
        <is>
          <t>2708001686</t>
        </is>
      </c>
      <c r="G269" s="1" t="inlineStr">
        <is>
          <t>Электрогазосварщик (занятый на резке и ручной сварке)</t>
        </is>
      </c>
      <c r="H269" s="1" t="inlineStr">
        <is>
          <t>ООО "Амур Золото"</t>
        </is>
      </c>
      <c r="I269" s="1" t="inlineStr">
        <is>
          <t>2708001686</t>
        </is>
      </c>
      <c r="J269" s="1" t="inlineStr">
        <is>
          <t>ОТ № ЮГОК РСУ 23-01</t>
        </is>
      </c>
      <c r="K269" s="1" t="inlineStr">
        <is>
          <t>Оказание первой помощи пострадавшим</t>
        </is>
      </c>
      <c r="L269" s="1" t="inlineStr">
        <is>
          <t>23.11.2023</t>
        </is>
      </c>
      <c r="M269" s="1" t="inlineStr">
        <is>
          <t>Успешно</t>
        </is>
      </c>
      <c r="N269" s="1" t="inlineStr">
        <is>
          <t>05.02.2024</t>
        </is>
      </c>
      <c r="O269" s="1" t="inlineStr"/>
      <c r="P269" s="1" t="inlineStr"/>
      <c r="Q269" s="1" t="inlineStr">
        <is>
          <t>Пользовательский интерфейс</t>
        </is>
      </c>
    </row>
    <row r="270">
      <c r="B270" s="1" t="inlineStr">
        <is>
          <t>37117466</t>
        </is>
      </c>
      <c r="C270" s="1" t="inlineStr">
        <is>
          <t>2978778</t>
        </is>
      </c>
      <c r="D270" t="inlineStr">
        <is>
          <t>работник 78</t>
        </is>
      </c>
      <c r="E270" s="1" t="inlineStr">
        <is>
          <t>ОБЩЕСТВО С ОГРАНИЧЕННОЙ ОТВЕТСТВЕННОСТЬЮ "АМУР ЗОЛОТО"</t>
        </is>
      </c>
      <c r="F270" s="1" t="inlineStr">
        <is>
          <t>2708001686</t>
        </is>
      </c>
      <c r="G270" s="1" t="inlineStr">
        <is>
          <t>Электрогазосварщик (занятый на резке и ручной сварке)</t>
        </is>
      </c>
      <c r="H270" s="1" t="inlineStr">
        <is>
          <t>ООО "Амур Золото"</t>
        </is>
      </c>
      <c r="I270" s="1" t="inlineStr">
        <is>
          <t>2708001686</t>
        </is>
      </c>
      <c r="J270" s="1" t="inlineStr">
        <is>
          <t>ОТ № ЮГОК РСУ 23-01</t>
        </is>
      </c>
      <c r="K270" s="1" t="inlineStr">
        <is>
          <t>Использование (применение) средств индивидуальной защиты</t>
        </is>
      </c>
      <c r="L270" s="1" t="inlineStr">
        <is>
          <t>23.11.2023</t>
        </is>
      </c>
      <c r="M270" s="1" t="inlineStr">
        <is>
          <t>Успешно</t>
        </is>
      </c>
      <c r="N270" s="1" t="inlineStr">
        <is>
          <t>05.02.2024</t>
        </is>
      </c>
      <c r="O270" s="1" t="inlineStr"/>
      <c r="P270" s="1" t="inlineStr"/>
      <c r="Q270" s="1" t="inlineStr">
        <is>
          <t>Пользовательский интерфейс</t>
        </is>
      </c>
    </row>
    <row r="271">
      <c r="B271" s="1" t="inlineStr">
        <is>
          <t>37117467</t>
        </is>
      </c>
      <c r="C271" s="1" t="inlineStr">
        <is>
          <t>2978778</t>
        </is>
      </c>
      <c r="D271" t="inlineStr">
        <is>
          <t>работник 78</t>
        </is>
      </c>
      <c r="E271" s="1" t="inlineStr">
        <is>
          <t>ОБЩЕСТВО С ОГРАНИЧЕННОЙ ОТВЕТСТВЕННОСТЬЮ "АМУР ЗОЛОТО"</t>
        </is>
      </c>
      <c r="F271" s="1" t="inlineStr">
        <is>
          <t>2708001686</t>
        </is>
      </c>
      <c r="G271" s="1" t="inlineStr">
        <is>
          <t>Электрогазосварщик (занятый на резке и ручной сварке)</t>
        </is>
      </c>
      <c r="H271" s="1" t="inlineStr">
        <is>
          <t>ООО "Амур Золото"</t>
        </is>
      </c>
      <c r="I271" s="1" t="inlineStr">
        <is>
          <t>2708001686</t>
        </is>
      </c>
      <c r="J271" s="1" t="inlineStr">
        <is>
          <t>ОТ № ЮГОК РСУ 23-01</t>
        </is>
      </c>
      <c r="K27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71" s="1" t="inlineStr">
        <is>
          <t>23.11.2023</t>
        </is>
      </c>
      <c r="M271" s="1" t="inlineStr">
        <is>
          <t>Успешно</t>
        </is>
      </c>
      <c r="N271" s="1" t="inlineStr">
        <is>
          <t>05.02.2024</t>
        </is>
      </c>
      <c r="O271" s="1" t="inlineStr"/>
      <c r="P271" s="1" t="inlineStr"/>
      <c r="Q271" s="1" t="inlineStr">
        <is>
          <t>Пользовательский интерфейс</t>
        </is>
      </c>
    </row>
    <row r="272">
      <c r="B272" s="1" t="inlineStr">
        <is>
          <t>37117468</t>
        </is>
      </c>
      <c r="C272" s="1" t="inlineStr">
        <is>
          <t>2978778</t>
        </is>
      </c>
      <c r="D272" t="inlineStr">
        <is>
          <t>работник 79</t>
        </is>
      </c>
      <c r="E272" s="1" t="inlineStr">
        <is>
          <t>ОБЩЕСТВО С ОГРАНИЧЕННОЙ ОТВЕТСТВЕННОСТЬЮ "АМУР ЗОЛОТО"</t>
        </is>
      </c>
      <c r="F272" s="1" t="inlineStr">
        <is>
          <t>2708001686</t>
        </is>
      </c>
      <c r="G272" s="1" t="inlineStr">
        <is>
          <t>Плотник</t>
        </is>
      </c>
      <c r="H272" s="1" t="inlineStr">
        <is>
          <t>ООО "Амур Золото"</t>
        </is>
      </c>
      <c r="I272" s="1" t="inlineStr">
        <is>
          <t>2708001686</t>
        </is>
      </c>
      <c r="J272" s="1" t="inlineStr">
        <is>
          <t>ОТ № ЮГОК РСУ 23-01</t>
        </is>
      </c>
      <c r="K272" s="1" t="inlineStr">
        <is>
          <t>Оказание первой помощи пострадавшим</t>
        </is>
      </c>
      <c r="L272" s="1" t="inlineStr">
        <is>
          <t>23.11.2023</t>
        </is>
      </c>
      <c r="M272" s="1" t="inlineStr">
        <is>
          <t>Успешно</t>
        </is>
      </c>
      <c r="N272" s="1" t="inlineStr">
        <is>
          <t>05.02.2024</t>
        </is>
      </c>
      <c r="O272" s="1" t="inlineStr"/>
      <c r="P272" s="1" t="inlineStr"/>
      <c r="Q272" s="1" t="inlineStr">
        <is>
          <t>Пользовательский интерфейс</t>
        </is>
      </c>
    </row>
    <row r="273">
      <c r="B273" s="1" t="inlineStr">
        <is>
          <t>37117469</t>
        </is>
      </c>
      <c r="C273" s="1" t="inlineStr">
        <is>
          <t>2978778</t>
        </is>
      </c>
      <c r="D273" t="inlineStr">
        <is>
          <t>работник 79</t>
        </is>
      </c>
      <c r="E273" s="1" t="inlineStr">
        <is>
          <t>ОБЩЕСТВО С ОГРАНИЧЕННОЙ ОТВЕТСТВЕННОСТЬЮ "АМУР ЗОЛОТО"</t>
        </is>
      </c>
      <c r="F273" s="1" t="inlineStr">
        <is>
          <t>2708001686</t>
        </is>
      </c>
      <c r="G273" s="1" t="inlineStr">
        <is>
          <t>Плотник</t>
        </is>
      </c>
      <c r="H273" s="1" t="inlineStr">
        <is>
          <t>ООО "Амур Золото"</t>
        </is>
      </c>
      <c r="I273" s="1" t="inlineStr">
        <is>
          <t>2708001686</t>
        </is>
      </c>
      <c r="J273" s="1" t="inlineStr">
        <is>
          <t>ОТ № ЮГОК РСУ 23-01</t>
        </is>
      </c>
      <c r="K273" s="1" t="inlineStr">
        <is>
          <t>Использование (применение) средств индивидуальной защиты</t>
        </is>
      </c>
      <c r="L273" s="1" t="inlineStr">
        <is>
          <t>23.11.2023</t>
        </is>
      </c>
      <c r="M273" s="1" t="inlineStr">
        <is>
          <t>Успешно</t>
        </is>
      </c>
      <c r="N273" s="1" t="inlineStr">
        <is>
          <t>05.02.2024</t>
        </is>
      </c>
      <c r="O273" s="1" t="inlineStr"/>
      <c r="P273" s="1" t="inlineStr"/>
      <c r="Q273" s="1" t="inlineStr">
        <is>
          <t>Пользовательский интерфейс</t>
        </is>
      </c>
    </row>
    <row r="274">
      <c r="B274" s="1" t="inlineStr">
        <is>
          <t>37117470</t>
        </is>
      </c>
      <c r="C274" s="1" t="inlineStr">
        <is>
          <t>2978778</t>
        </is>
      </c>
      <c r="D274" t="inlineStr">
        <is>
          <t>работник 79</t>
        </is>
      </c>
      <c r="E274" s="1" t="inlineStr">
        <is>
          <t>ОБЩЕСТВО С ОГРАНИЧЕННОЙ ОТВЕТСТВЕННОСТЬЮ "АМУР ЗОЛОТО"</t>
        </is>
      </c>
      <c r="F274" s="1" t="inlineStr">
        <is>
          <t>2708001686</t>
        </is>
      </c>
      <c r="G274" s="1" t="inlineStr">
        <is>
          <t>Плотник</t>
        </is>
      </c>
      <c r="H274" s="1" t="inlineStr">
        <is>
          <t>ООО "Амур Золото"</t>
        </is>
      </c>
      <c r="I274" s="1" t="inlineStr">
        <is>
          <t>2708001686</t>
        </is>
      </c>
      <c r="J274" s="1" t="inlineStr">
        <is>
          <t>ОТ № ЮГОК РСУ 23-01</t>
        </is>
      </c>
      <c r="K27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74" s="1" t="inlineStr">
        <is>
          <t>23.11.2023</t>
        </is>
      </c>
      <c r="M274" s="1" t="inlineStr">
        <is>
          <t>Успешно</t>
        </is>
      </c>
      <c r="N274" s="1" t="inlineStr">
        <is>
          <t>05.02.2024</t>
        </is>
      </c>
      <c r="O274" s="1" t="inlineStr"/>
      <c r="P274" s="1" t="inlineStr"/>
      <c r="Q274" s="1" t="inlineStr">
        <is>
          <t>Пользовательский интерфейс</t>
        </is>
      </c>
    </row>
    <row r="275">
      <c r="B275" s="1" t="inlineStr">
        <is>
          <t>37117471</t>
        </is>
      </c>
      <c r="C275" s="1" t="inlineStr">
        <is>
          <t>2978778</t>
        </is>
      </c>
      <c r="D275" t="inlineStr">
        <is>
          <t>работник 80</t>
        </is>
      </c>
      <c r="E275" s="1" t="inlineStr">
        <is>
          <t>ОБЩЕСТВО С ОГРАНИЧЕННОЙ ОТВЕТСТВЕННОСТЬЮ "АМУР ЗОЛОТО"</t>
        </is>
      </c>
      <c r="F275" s="1" t="inlineStr">
        <is>
          <t>2708001686</t>
        </is>
      </c>
      <c r="G275" s="1" t="inlineStr">
        <is>
          <t>Плотник</t>
        </is>
      </c>
      <c r="H275" s="1" t="inlineStr">
        <is>
          <t>ООО "Амур Золото"</t>
        </is>
      </c>
      <c r="I275" s="1" t="inlineStr">
        <is>
          <t>2708001686</t>
        </is>
      </c>
      <c r="J275" s="1" t="inlineStr">
        <is>
          <t>ОТ № ЮГОК РСУ 23-01</t>
        </is>
      </c>
      <c r="K275" s="1" t="inlineStr">
        <is>
          <t>Оказание первой помощи пострадавшим</t>
        </is>
      </c>
      <c r="L275" s="1" t="inlineStr">
        <is>
          <t>23.11.2023</t>
        </is>
      </c>
      <c r="M275" s="1" t="inlineStr">
        <is>
          <t>Успешно</t>
        </is>
      </c>
      <c r="N275" s="1" t="inlineStr">
        <is>
          <t>05.02.2024</t>
        </is>
      </c>
      <c r="O275" s="1" t="inlineStr"/>
      <c r="P275" s="1" t="inlineStr"/>
      <c r="Q275" s="1" t="inlineStr">
        <is>
          <t>Пользовательский интерфейс</t>
        </is>
      </c>
    </row>
    <row r="276">
      <c r="B276" s="1" t="inlineStr">
        <is>
          <t>37117472</t>
        </is>
      </c>
      <c r="C276" s="1" t="inlineStr">
        <is>
          <t>2978778</t>
        </is>
      </c>
      <c r="D276" t="inlineStr">
        <is>
          <t>работник 80</t>
        </is>
      </c>
      <c r="E276" s="1" t="inlineStr">
        <is>
          <t>ОБЩЕСТВО С ОГРАНИЧЕННОЙ ОТВЕТСТВЕННОСТЬЮ "АМУР ЗОЛОТО"</t>
        </is>
      </c>
      <c r="F276" s="1" t="inlineStr">
        <is>
          <t>2708001686</t>
        </is>
      </c>
      <c r="G276" s="1" t="inlineStr">
        <is>
          <t>Плотник</t>
        </is>
      </c>
      <c r="H276" s="1" t="inlineStr">
        <is>
          <t>ООО "Амур Золото"</t>
        </is>
      </c>
      <c r="I276" s="1" t="inlineStr">
        <is>
          <t>2708001686</t>
        </is>
      </c>
      <c r="J276" s="1" t="inlineStr">
        <is>
          <t>ОТ № ЮГОК РСУ 23-01</t>
        </is>
      </c>
      <c r="K276" s="1" t="inlineStr">
        <is>
          <t>Использование (применение) средств индивидуальной защиты</t>
        </is>
      </c>
      <c r="L276" s="1" t="inlineStr">
        <is>
          <t>23.11.2023</t>
        </is>
      </c>
      <c r="M276" s="1" t="inlineStr">
        <is>
          <t>Успешно</t>
        </is>
      </c>
      <c r="N276" s="1" t="inlineStr">
        <is>
          <t>05.02.2024</t>
        </is>
      </c>
      <c r="O276" s="1" t="inlineStr"/>
      <c r="P276" s="1" t="inlineStr"/>
      <c r="Q276" s="1" t="inlineStr">
        <is>
          <t>Пользовательский интерфейс</t>
        </is>
      </c>
    </row>
    <row r="277">
      <c r="B277" s="1" t="inlineStr">
        <is>
          <t>37117473</t>
        </is>
      </c>
      <c r="C277" s="1" t="inlineStr">
        <is>
          <t>2978778</t>
        </is>
      </c>
      <c r="D277" t="inlineStr">
        <is>
          <t>работник 75</t>
        </is>
      </c>
      <c r="E277" s="1" t="inlineStr">
        <is>
          <t>ОБЩЕСТВО С ОГРАНИЧЕННОЙ ОТВЕТСТВЕННОСТЬЮ "АМУР ЗОЛОТО"</t>
        </is>
      </c>
      <c r="F277" s="1" t="inlineStr">
        <is>
          <t>2708001686</t>
        </is>
      </c>
      <c r="G277" s="1" t="inlineStr">
        <is>
          <t>Плотник</t>
        </is>
      </c>
      <c r="H277" s="1" t="inlineStr">
        <is>
          <t>ООО "Амур Золото"</t>
        </is>
      </c>
      <c r="I277" s="1" t="inlineStr">
        <is>
          <t>2708001686</t>
        </is>
      </c>
      <c r="J277" s="1" t="inlineStr">
        <is>
          <t>ОТ № ЮГОК РСУ 23-02</t>
        </is>
      </c>
      <c r="K277" s="1" t="inlineStr">
        <is>
          <t>Безопасные методы и приемы выполнения ремонтных, монтажных и демонтажных работ зданий и сооружений</t>
        </is>
      </c>
      <c r="L277" s="1" t="inlineStr">
        <is>
          <t>24.11.2023</t>
        </is>
      </c>
      <c r="M277" s="1" t="inlineStr">
        <is>
          <t>Успешно</t>
        </is>
      </c>
      <c r="N277" s="1" t="inlineStr">
        <is>
          <t>05.02.2024</t>
        </is>
      </c>
      <c r="O277" s="1" t="inlineStr"/>
      <c r="P277" s="1" t="inlineStr"/>
      <c r="Q277" s="1" t="inlineStr">
        <is>
          <t>Пользовательский интерфейс</t>
        </is>
      </c>
    </row>
    <row r="278">
      <c r="B278" s="1" t="inlineStr">
        <is>
          <t>37117474</t>
        </is>
      </c>
      <c r="C278" s="1" t="inlineStr">
        <is>
          <t>2978778</t>
        </is>
      </c>
      <c r="D278" t="inlineStr">
        <is>
          <t>работник 80</t>
        </is>
      </c>
      <c r="E278" s="1" t="inlineStr">
        <is>
          <t>ОБЩЕСТВО С ОГРАНИЧЕННОЙ ОТВЕТСТВЕННОСТЬЮ "АМУР ЗОЛОТО"</t>
        </is>
      </c>
      <c r="F278" s="1" t="inlineStr">
        <is>
          <t>2708001686</t>
        </is>
      </c>
      <c r="G278" s="1" t="inlineStr">
        <is>
          <t>Плотник</t>
        </is>
      </c>
      <c r="H278" s="1" t="inlineStr">
        <is>
          <t>ООО "Амур Золото"</t>
        </is>
      </c>
      <c r="I278" s="1" t="inlineStr">
        <is>
          <t>2708001686</t>
        </is>
      </c>
      <c r="J278" s="1" t="inlineStr">
        <is>
          <t>ОТ № ЮГОК РСУ 23-01</t>
        </is>
      </c>
      <c r="K27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78" s="1" t="inlineStr">
        <is>
          <t>23.11.2023</t>
        </is>
      </c>
      <c r="M278" s="1" t="inlineStr">
        <is>
          <t>Успешно</t>
        </is>
      </c>
      <c r="N278" s="1" t="inlineStr">
        <is>
          <t>05.02.2024</t>
        </is>
      </c>
      <c r="O278" s="1" t="inlineStr"/>
      <c r="P278" s="1" t="inlineStr"/>
      <c r="Q278" s="1" t="inlineStr">
        <is>
          <t>Пользовательский интерфейс</t>
        </is>
      </c>
    </row>
    <row r="279">
      <c r="B279" s="1" t="inlineStr">
        <is>
          <t>37117475</t>
        </is>
      </c>
      <c r="C279" s="1" t="inlineStr">
        <is>
          <t>2978778</t>
        </is>
      </c>
      <c r="D279" t="inlineStr">
        <is>
          <t>работник 81</t>
        </is>
      </c>
      <c r="E279" s="1" t="inlineStr">
        <is>
          <t>ОБЩЕСТВО С ОГРАНИЧЕННОЙ ОТВЕТСТВЕННОСТЬЮ "АМУР ЗОЛОТО"</t>
        </is>
      </c>
      <c r="F279" s="1" t="inlineStr">
        <is>
          <t>2708001686</t>
        </is>
      </c>
      <c r="G279" s="1" t="inlineStr">
        <is>
          <t>Плотник</t>
        </is>
      </c>
      <c r="H279" s="1" t="inlineStr">
        <is>
          <t>ООО "Амур Золото"</t>
        </is>
      </c>
      <c r="I279" s="1" t="inlineStr">
        <is>
          <t>2708001686</t>
        </is>
      </c>
      <c r="J279" s="1" t="inlineStr">
        <is>
          <t>ОТ № ЮГОК РСУ 23-01</t>
        </is>
      </c>
      <c r="K279" s="1" t="inlineStr">
        <is>
          <t>Оказание первой помощи пострадавшим</t>
        </is>
      </c>
      <c r="L279" s="1" t="inlineStr">
        <is>
          <t>23.11.2023</t>
        </is>
      </c>
      <c r="M279" s="1" t="inlineStr">
        <is>
          <t>Успешно</t>
        </is>
      </c>
      <c r="N279" s="1" t="inlineStr">
        <is>
          <t>05.02.2024</t>
        </is>
      </c>
      <c r="O279" s="1" t="inlineStr"/>
      <c r="P279" s="1" t="inlineStr"/>
      <c r="Q279" s="1" t="inlineStr">
        <is>
          <t>Пользовательский интерфейс</t>
        </is>
      </c>
    </row>
    <row r="280">
      <c r="B280" s="1" t="inlineStr">
        <is>
          <t>37117476</t>
        </is>
      </c>
      <c r="C280" s="1" t="inlineStr">
        <is>
          <t>2978778</t>
        </is>
      </c>
      <c r="D280" t="inlineStr">
        <is>
          <t>работник 81</t>
        </is>
      </c>
      <c r="E280" s="1" t="inlineStr">
        <is>
          <t>ОБЩЕСТВО С ОГРАНИЧЕННОЙ ОТВЕТСТВЕННОСТЬЮ "АМУР ЗОЛОТО"</t>
        </is>
      </c>
      <c r="F280" s="1" t="inlineStr">
        <is>
          <t>2708001686</t>
        </is>
      </c>
      <c r="G280" s="1" t="inlineStr">
        <is>
          <t>Плотник</t>
        </is>
      </c>
      <c r="H280" s="1" t="inlineStr">
        <is>
          <t>ООО "Амур Золото"</t>
        </is>
      </c>
      <c r="I280" s="1" t="inlineStr">
        <is>
          <t>2708001686</t>
        </is>
      </c>
      <c r="J280" s="1" t="inlineStr">
        <is>
          <t>ОТ № ЮГОК РСУ 23-01</t>
        </is>
      </c>
      <c r="K280" s="1" t="inlineStr">
        <is>
          <t>Использование (применение) средств индивидуальной защиты</t>
        </is>
      </c>
      <c r="L280" s="1" t="inlineStr">
        <is>
          <t>23.11.2023</t>
        </is>
      </c>
      <c r="M280" s="1" t="inlineStr">
        <is>
          <t>Успешно</t>
        </is>
      </c>
      <c r="N280" s="1" t="inlineStr">
        <is>
          <t>05.02.2024</t>
        </is>
      </c>
      <c r="O280" s="1" t="inlineStr"/>
      <c r="P280" s="1" t="inlineStr"/>
      <c r="Q280" s="1" t="inlineStr">
        <is>
          <t>Пользовательский интерфейс</t>
        </is>
      </c>
    </row>
    <row r="281">
      <c r="B281" s="1" t="inlineStr">
        <is>
          <t>37117477</t>
        </is>
      </c>
      <c r="C281" s="1" t="inlineStr">
        <is>
          <t>2978778</t>
        </is>
      </c>
      <c r="D281" t="inlineStr">
        <is>
          <t>работник 81</t>
        </is>
      </c>
      <c r="E281" s="1" t="inlineStr">
        <is>
          <t>ОБЩЕСТВО С ОГРАНИЧЕННОЙ ОТВЕТСТВЕННОСТЬЮ "АМУР ЗОЛОТО"</t>
        </is>
      </c>
      <c r="F281" s="1" t="inlineStr">
        <is>
          <t>2708001686</t>
        </is>
      </c>
      <c r="G281" s="1" t="inlineStr">
        <is>
          <t>Плотник</t>
        </is>
      </c>
      <c r="H281" s="1" t="inlineStr">
        <is>
          <t>ООО "Амур Золото"</t>
        </is>
      </c>
      <c r="I281" s="1" t="inlineStr">
        <is>
          <t>2708001686</t>
        </is>
      </c>
      <c r="J281" s="1" t="inlineStr">
        <is>
          <t>ОТ № ЮГОК РСУ 23-01</t>
        </is>
      </c>
      <c r="K28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81" s="1" t="inlineStr">
        <is>
          <t>23.11.2023</t>
        </is>
      </c>
      <c r="M281" s="1" t="inlineStr">
        <is>
          <t>Успешно</t>
        </is>
      </c>
      <c r="N281" s="1" t="inlineStr">
        <is>
          <t>05.02.2024</t>
        </is>
      </c>
      <c r="O281" s="1" t="inlineStr"/>
      <c r="P281" s="1" t="inlineStr"/>
      <c r="Q281" s="1" t="inlineStr">
        <is>
          <t>Пользовательский интерфейс</t>
        </is>
      </c>
    </row>
    <row r="282">
      <c r="B282" s="1" t="inlineStr">
        <is>
          <t>37117478</t>
        </is>
      </c>
      <c r="C282" s="1" t="inlineStr">
        <is>
          <t>2978778</t>
        </is>
      </c>
      <c r="D282" t="inlineStr">
        <is>
          <t>работник 82</t>
        </is>
      </c>
      <c r="E282" s="1" t="inlineStr">
        <is>
          <t>ОБЩЕСТВО С ОГРАНИЧЕННОЙ ОТВЕТСТВЕННОСТЬЮ "АМУР ЗОЛОТО"</t>
        </is>
      </c>
      <c r="F282" s="1" t="inlineStr">
        <is>
          <t>2708001686</t>
        </is>
      </c>
      <c r="G282" s="1" t="inlineStr">
        <is>
          <t>Электрогазосварщик (занятый на резке и ручной сварке)</t>
        </is>
      </c>
      <c r="H282" s="1" t="inlineStr">
        <is>
          <t>ООО "Амур Золото"</t>
        </is>
      </c>
      <c r="I282" s="1" t="inlineStr">
        <is>
          <t>2708001686</t>
        </is>
      </c>
      <c r="J282" s="1" t="inlineStr">
        <is>
          <t>ОТ № ЮГОК РСУ 23-01</t>
        </is>
      </c>
      <c r="K282" s="1" t="inlineStr">
        <is>
          <t>Оказание первой помощи пострадавшим</t>
        </is>
      </c>
      <c r="L282" s="1" t="inlineStr">
        <is>
          <t>23.11.2023</t>
        </is>
      </c>
      <c r="M282" s="1" t="inlineStr">
        <is>
          <t>Успешно</t>
        </is>
      </c>
      <c r="N282" s="1" t="inlineStr">
        <is>
          <t>05.02.2024</t>
        </is>
      </c>
      <c r="O282" s="1" t="inlineStr"/>
      <c r="P282" s="1" t="inlineStr"/>
      <c r="Q282" s="1" t="inlineStr">
        <is>
          <t>Пользовательский интерфейс</t>
        </is>
      </c>
    </row>
    <row r="283">
      <c r="B283" s="1" t="inlineStr">
        <is>
          <t>37117479</t>
        </is>
      </c>
      <c r="C283" s="1" t="inlineStr">
        <is>
          <t>2978778</t>
        </is>
      </c>
      <c r="D283" t="inlineStr">
        <is>
          <t>работник 82</t>
        </is>
      </c>
      <c r="E283" s="1" t="inlineStr">
        <is>
          <t>ОБЩЕСТВО С ОГРАНИЧЕННОЙ ОТВЕТСТВЕННОСТЬЮ "АМУР ЗОЛОТО"</t>
        </is>
      </c>
      <c r="F283" s="1" t="inlineStr">
        <is>
          <t>2708001686</t>
        </is>
      </c>
      <c r="G283" s="1" t="inlineStr">
        <is>
          <t>Электрогазосварщик (занятый на резке и ручной сварке)</t>
        </is>
      </c>
      <c r="H283" s="1" t="inlineStr">
        <is>
          <t>ООО "Амур Золото"</t>
        </is>
      </c>
      <c r="I283" s="1" t="inlineStr">
        <is>
          <t>2708001686</t>
        </is>
      </c>
      <c r="J283" s="1" t="inlineStr">
        <is>
          <t>ОТ № ЮГОК РСУ 23-01</t>
        </is>
      </c>
      <c r="K283" s="1" t="inlineStr">
        <is>
          <t>Использование (применение) средств индивидуальной защиты</t>
        </is>
      </c>
      <c r="L283" s="1" t="inlineStr">
        <is>
          <t>23.11.2023</t>
        </is>
      </c>
      <c r="M283" s="1" t="inlineStr">
        <is>
          <t>Успешно</t>
        </is>
      </c>
      <c r="N283" s="1" t="inlineStr">
        <is>
          <t>05.02.2024</t>
        </is>
      </c>
      <c r="O283" s="1" t="inlineStr"/>
      <c r="P283" s="1" t="inlineStr"/>
      <c r="Q283" s="1" t="inlineStr">
        <is>
          <t>Пользовательский интерфейс</t>
        </is>
      </c>
    </row>
    <row r="284">
      <c r="B284" s="1" t="inlineStr">
        <is>
          <t>37117480</t>
        </is>
      </c>
      <c r="C284" s="1" t="inlineStr">
        <is>
          <t>2978778</t>
        </is>
      </c>
      <c r="D284" t="inlineStr">
        <is>
          <t>работник 82</t>
        </is>
      </c>
      <c r="E284" s="1" t="inlineStr">
        <is>
          <t>ОБЩЕСТВО С ОГРАНИЧЕННОЙ ОТВЕТСТВЕННОСТЬЮ "АМУР ЗОЛОТО"</t>
        </is>
      </c>
      <c r="F284" s="1" t="inlineStr">
        <is>
          <t>2708001686</t>
        </is>
      </c>
      <c r="G284" s="1" t="inlineStr">
        <is>
          <t>Электрогазосварщик (занятый на резке и ручной сварке)</t>
        </is>
      </c>
      <c r="H284" s="1" t="inlineStr">
        <is>
          <t>ООО "Амур Золото"</t>
        </is>
      </c>
      <c r="I284" s="1" t="inlineStr">
        <is>
          <t>2708001686</t>
        </is>
      </c>
      <c r="J284" s="1" t="inlineStr">
        <is>
          <t>ОТ № ЮГОК РСУ 23-01</t>
        </is>
      </c>
      <c r="K28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84" s="1" t="inlineStr">
        <is>
          <t>23.11.2023</t>
        </is>
      </c>
      <c r="M284" s="1" t="inlineStr">
        <is>
          <t>Успешно</t>
        </is>
      </c>
      <c r="N284" s="1" t="inlineStr">
        <is>
          <t>05.02.2024</t>
        </is>
      </c>
      <c r="O284" s="1" t="inlineStr"/>
      <c r="P284" s="1" t="inlineStr"/>
      <c r="Q284" s="1" t="inlineStr">
        <is>
          <t>Пользовательский интерфейс</t>
        </is>
      </c>
    </row>
    <row r="285">
      <c r="B285" s="1" t="inlineStr">
        <is>
          <t>37117481</t>
        </is>
      </c>
      <c r="C285" s="1" t="inlineStr">
        <is>
          <t>2978778</t>
        </is>
      </c>
      <c r="D285" t="inlineStr">
        <is>
          <t>работник 83</t>
        </is>
      </c>
      <c r="E285" s="1" t="inlineStr">
        <is>
          <t>ОБЩЕСТВО С ОГРАНИЧЕННОЙ ОТВЕТСТВЕННОСТЬЮ "АМУР ЗОЛОТО"</t>
        </is>
      </c>
      <c r="F285" s="1" t="inlineStr">
        <is>
          <t>2708001686</t>
        </is>
      </c>
      <c r="G285" s="1" t="inlineStr">
        <is>
          <t>Плотник</t>
        </is>
      </c>
      <c r="H285" s="1" t="inlineStr">
        <is>
          <t>ООО "Амур Золото"</t>
        </is>
      </c>
      <c r="I285" s="1" t="inlineStr">
        <is>
          <t>2708001686</t>
        </is>
      </c>
      <c r="J285" s="1" t="inlineStr">
        <is>
          <t>ОТ № ЮГОК РСУ 23-01</t>
        </is>
      </c>
      <c r="K285" s="1" t="inlineStr">
        <is>
          <t>Оказание первой помощи пострадавшим</t>
        </is>
      </c>
      <c r="L285" s="1" t="inlineStr">
        <is>
          <t>23.11.2023</t>
        </is>
      </c>
      <c r="M285" s="1" t="inlineStr">
        <is>
          <t>Успешно</t>
        </is>
      </c>
      <c r="N285" s="1" t="inlineStr">
        <is>
          <t>05.02.2024</t>
        </is>
      </c>
      <c r="O285" s="1" t="inlineStr"/>
      <c r="P285" s="1" t="inlineStr"/>
      <c r="Q285" s="1" t="inlineStr">
        <is>
          <t>Пользовательский интерфейс</t>
        </is>
      </c>
    </row>
    <row r="286">
      <c r="B286" s="1" t="inlineStr">
        <is>
          <t>37117482</t>
        </is>
      </c>
      <c r="C286" s="1" t="inlineStr">
        <is>
          <t>2978778</t>
        </is>
      </c>
      <c r="D286" t="inlineStr">
        <is>
          <t>работник 83</t>
        </is>
      </c>
      <c r="E286" s="1" t="inlineStr">
        <is>
          <t>ОБЩЕСТВО С ОГРАНИЧЕННОЙ ОТВЕТСТВЕННОСТЬЮ "АМУР ЗОЛОТО"</t>
        </is>
      </c>
      <c r="F286" s="1" t="inlineStr">
        <is>
          <t>2708001686</t>
        </is>
      </c>
      <c r="G286" s="1" t="inlineStr">
        <is>
          <t>Плотник</t>
        </is>
      </c>
      <c r="H286" s="1" t="inlineStr">
        <is>
          <t>ООО "Амур Золото"</t>
        </is>
      </c>
      <c r="I286" s="1" t="inlineStr">
        <is>
          <t>2708001686</t>
        </is>
      </c>
      <c r="J286" s="1" t="inlineStr">
        <is>
          <t>ОТ № ЮГОК РСУ 23-01</t>
        </is>
      </c>
      <c r="K286" s="1" t="inlineStr">
        <is>
          <t>Использование (применение) средств индивидуальной защиты</t>
        </is>
      </c>
      <c r="L286" s="1" t="inlineStr">
        <is>
          <t>23.11.2023</t>
        </is>
      </c>
      <c r="M286" s="1" t="inlineStr">
        <is>
          <t>Успешно</t>
        </is>
      </c>
      <c r="N286" s="1" t="inlineStr">
        <is>
          <t>05.02.2024</t>
        </is>
      </c>
      <c r="O286" s="1" t="inlineStr"/>
      <c r="P286" s="1" t="inlineStr"/>
      <c r="Q286" s="1" t="inlineStr">
        <is>
          <t>Пользовательский интерфейс</t>
        </is>
      </c>
    </row>
    <row r="287">
      <c r="B287" s="1" t="inlineStr">
        <is>
          <t>37117483</t>
        </is>
      </c>
      <c r="C287" s="1" t="inlineStr">
        <is>
          <t>2978778</t>
        </is>
      </c>
      <c r="D287" t="inlineStr">
        <is>
          <t>работник 83</t>
        </is>
      </c>
      <c r="E287" s="1" t="inlineStr">
        <is>
          <t>ОБЩЕСТВО С ОГРАНИЧЕННОЙ ОТВЕТСТВЕННОСТЬЮ "АМУР ЗОЛОТО"</t>
        </is>
      </c>
      <c r="F287" s="1" t="inlineStr">
        <is>
          <t>2708001686</t>
        </is>
      </c>
      <c r="G287" s="1" t="inlineStr">
        <is>
          <t>Плотник</t>
        </is>
      </c>
      <c r="H287" s="1" t="inlineStr">
        <is>
          <t>ООО "Амур Золото"</t>
        </is>
      </c>
      <c r="I287" s="1" t="inlineStr">
        <is>
          <t>2708001686</t>
        </is>
      </c>
      <c r="J287" s="1" t="inlineStr">
        <is>
          <t>ОТ № ЮГОК РСУ 23-01</t>
        </is>
      </c>
      <c r="K28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87" s="1" t="inlineStr">
        <is>
          <t>23.11.2023</t>
        </is>
      </c>
      <c r="M287" s="1" t="inlineStr">
        <is>
          <t>Успешно</t>
        </is>
      </c>
      <c r="N287" s="1" t="inlineStr">
        <is>
          <t>05.02.2024</t>
        </is>
      </c>
      <c r="O287" s="1" t="inlineStr"/>
      <c r="P287" s="1" t="inlineStr"/>
      <c r="Q287" s="1" t="inlineStr">
        <is>
          <t>Пользовательский интерфейс</t>
        </is>
      </c>
    </row>
    <row r="288">
      <c r="B288" s="1" t="inlineStr">
        <is>
          <t>37117484</t>
        </is>
      </c>
      <c r="C288" s="1" t="inlineStr">
        <is>
          <t>2978778</t>
        </is>
      </c>
      <c r="D288" t="inlineStr">
        <is>
          <t>работник 84</t>
        </is>
      </c>
      <c r="E288" s="1" t="inlineStr">
        <is>
          <t>ОБЩЕСТВО С ОГРАНИЧЕННОЙ ОТВЕТСТВЕННОСТЬЮ "АМУР ЗОЛОТО"</t>
        </is>
      </c>
      <c r="F288" s="1" t="inlineStr">
        <is>
          <t>2708001686</t>
        </is>
      </c>
      <c r="G288" s="1" t="inlineStr">
        <is>
          <t>Плотник</t>
        </is>
      </c>
      <c r="H288" s="1" t="inlineStr">
        <is>
          <t>ООО "Амур Золото"</t>
        </is>
      </c>
      <c r="I288" s="1" t="inlineStr">
        <is>
          <t>2708001686</t>
        </is>
      </c>
      <c r="J288" s="1" t="inlineStr">
        <is>
          <t>ОТ № ЮГОК РСУ 23-01</t>
        </is>
      </c>
      <c r="K288" s="1" t="inlineStr">
        <is>
          <t>Оказание первой помощи пострадавшим</t>
        </is>
      </c>
      <c r="L288" s="1" t="inlineStr">
        <is>
          <t>23.11.2023</t>
        </is>
      </c>
      <c r="M288" s="1" t="inlineStr">
        <is>
          <t>Успешно</t>
        </is>
      </c>
      <c r="N288" s="1" t="inlineStr">
        <is>
          <t>05.02.2024</t>
        </is>
      </c>
      <c r="O288" s="1" t="inlineStr"/>
      <c r="P288" s="1" t="inlineStr"/>
      <c r="Q288" s="1" t="inlineStr">
        <is>
          <t>Пользовательский интерфейс</t>
        </is>
      </c>
    </row>
    <row r="289">
      <c r="B289" s="1" t="inlineStr">
        <is>
          <t>37117485</t>
        </is>
      </c>
      <c r="C289" s="1" t="inlineStr">
        <is>
          <t>2978778</t>
        </is>
      </c>
      <c r="D289" t="inlineStr">
        <is>
          <t>работник 84</t>
        </is>
      </c>
      <c r="E289" s="1" t="inlineStr">
        <is>
          <t>ОБЩЕСТВО С ОГРАНИЧЕННОЙ ОТВЕТСТВЕННОСТЬЮ "АМУР ЗОЛОТО"</t>
        </is>
      </c>
      <c r="F289" s="1" t="inlineStr">
        <is>
          <t>2708001686</t>
        </is>
      </c>
      <c r="G289" s="1" t="inlineStr">
        <is>
          <t>Плотник</t>
        </is>
      </c>
      <c r="H289" s="1" t="inlineStr">
        <is>
          <t>ООО "Амур Золото"</t>
        </is>
      </c>
      <c r="I289" s="1" t="inlineStr">
        <is>
          <t>2708001686</t>
        </is>
      </c>
      <c r="J289" s="1" t="inlineStr">
        <is>
          <t>ОТ № ЮГОК РСУ 23-01</t>
        </is>
      </c>
      <c r="K289" s="1" t="inlineStr">
        <is>
          <t>Использование (применение) средств индивидуальной защиты</t>
        </is>
      </c>
      <c r="L289" s="1" t="inlineStr">
        <is>
          <t>23.11.2023</t>
        </is>
      </c>
      <c r="M289" s="1" t="inlineStr">
        <is>
          <t>Успешно</t>
        </is>
      </c>
      <c r="N289" s="1" t="inlineStr">
        <is>
          <t>05.02.2024</t>
        </is>
      </c>
      <c r="O289" s="1" t="inlineStr"/>
      <c r="P289" s="1" t="inlineStr"/>
      <c r="Q289" s="1" t="inlineStr">
        <is>
          <t>Пользовательский интерфейс</t>
        </is>
      </c>
    </row>
    <row r="290">
      <c r="B290" s="1" t="inlineStr">
        <is>
          <t>37117486</t>
        </is>
      </c>
      <c r="C290" s="1" t="inlineStr">
        <is>
          <t>2978778</t>
        </is>
      </c>
      <c r="D290" t="inlineStr">
        <is>
          <t>работник 84</t>
        </is>
      </c>
      <c r="E290" s="1" t="inlineStr">
        <is>
          <t>ОБЩЕСТВО С ОГРАНИЧЕННОЙ ОТВЕТСТВЕННОСТЬЮ "АМУР ЗОЛОТО"</t>
        </is>
      </c>
      <c r="F290" s="1" t="inlineStr">
        <is>
          <t>2708001686</t>
        </is>
      </c>
      <c r="G290" s="1" t="inlineStr">
        <is>
          <t>Плотник</t>
        </is>
      </c>
      <c r="H290" s="1" t="inlineStr">
        <is>
          <t>ООО "Амур Золото"</t>
        </is>
      </c>
      <c r="I290" s="1" t="inlineStr">
        <is>
          <t>2708001686</t>
        </is>
      </c>
      <c r="J290" s="1" t="inlineStr">
        <is>
          <t>ОТ № ЮГОК РСУ 23-01</t>
        </is>
      </c>
      <c r="K29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90" s="1" t="inlineStr">
        <is>
          <t>23.11.2023</t>
        </is>
      </c>
      <c r="M290" s="1" t="inlineStr">
        <is>
          <t>Успешно</t>
        </is>
      </c>
      <c r="N290" s="1" t="inlineStr">
        <is>
          <t>05.02.2024</t>
        </is>
      </c>
      <c r="O290" s="1" t="inlineStr"/>
      <c r="P290" s="1" t="inlineStr"/>
      <c r="Q290" s="1" t="inlineStr">
        <is>
          <t>Пользовательский интерфейс</t>
        </is>
      </c>
    </row>
    <row r="291">
      <c r="B291" s="1" t="inlineStr">
        <is>
          <t>37117487</t>
        </is>
      </c>
      <c r="C291" s="1" t="inlineStr">
        <is>
          <t>2978778</t>
        </is>
      </c>
      <c r="D291" t="inlineStr">
        <is>
          <t>работник 75</t>
        </is>
      </c>
      <c r="E291" s="1" t="inlineStr">
        <is>
          <t>ОБЩЕСТВО С ОГРАНИЧЕННОЙ ОТВЕТСТВЕННОСТЬЮ "АМУР ЗОЛОТО"</t>
        </is>
      </c>
      <c r="F291" s="1" t="inlineStr">
        <is>
          <t>2708001686</t>
        </is>
      </c>
      <c r="G291" s="1" t="inlineStr">
        <is>
          <t>Плотник</t>
        </is>
      </c>
      <c r="H291" s="1" t="inlineStr">
        <is>
          <t>ООО "Амур Золото"</t>
        </is>
      </c>
      <c r="I291" s="1" t="inlineStr">
        <is>
          <t>2708001686</t>
        </is>
      </c>
      <c r="J291" s="1" t="inlineStr">
        <is>
          <t>ОТ № ЮГОК РСУ 23-02</t>
        </is>
      </c>
      <c r="K291" s="1" t="inlineStr">
        <is>
          <t>Безопасные методы и приемы выполнения работ на высоте</t>
        </is>
      </c>
      <c r="L291" s="1" t="inlineStr">
        <is>
          <t>24.11.2023</t>
        </is>
      </c>
      <c r="M291" s="1" t="inlineStr">
        <is>
          <t>Успешно</t>
        </is>
      </c>
      <c r="N291" s="1" t="inlineStr">
        <is>
          <t>05.02.2024</t>
        </is>
      </c>
      <c r="O291" s="1" t="inlineStr"/>
      <c r="P291" s="1" t="inlineStr"/>
      <c r="Q291" s="1" t="inlineStr">
        <is>
          <t>Пользовательский интерфейс</t>
        </is>
      </c>
    </row>
    <row r="292">
      <c r="B292" s="1" t="inlineStr">
        <is>
          <t>37117488</t>
        </is>
      </c>
      <c r="C292" s="1" t="inlineStr">
        <is>
          <t>2978778</t>
        </is>
      </c>
      <c r="D292" t="inlineStr">
        <is>
          <t>работник 75</t>
        </is>
      </c>
      <c r="E292" s="1" t="inlineStr">
        <is>
          <t>ОБЩЕСТВО С ОГРАНИЧЕННОЙ ОТВЕТСТВЕННОСТЬЮ "АМУР ЗОЛОТО"</t>
        </is>
      </c>
      <c r="F292" s="1" t="inlineStr">
        <is>
          <t>2708001686</t>
        </is>
      </c>
      <c r="G292" s="1" t="inlineStr">
        <is>
          <t>Плотник</t>
        </is>
      </c>
      <c r="H292" s="1" t="inlineStr">
        <is>
          <t>ООО "Амур Золото"</t>
        </is>
      </c>
      <c r="I292" s="1" t="inlineStr">
        <is>
          <t>2708001686</t>
        </is>
      </c>
      <c r="J292" s="1" t="inlineStr">
        <is>
          <t>ОТ № ЮГОК РСУ 23-02</t>
        </is>
      </c>
      <c r="K292" s="1" t="inlineStr">
        <is>
          <t>Безопасные методы и приемы выполнения строительных работ, в том числе: - окрасочные работы - электросварочные и газосварочные работы</t>
        </is>
      </c>
      <c r="L292" s="1" t="inlineStr">
        <is>
          <t>24.11.2023</t>
        </is>
      </c>
      <c r="M292" s="1" t="inlineStr">
        <is>
          <t>Успешно</t>
        </is>
      </c>
      <c r="N292" s="1" t="inlineStr">
        <is>
          <t>05.02.2024</t>
        </is>
      </c>
      <c r="O292" s="1" t="inlineStr"/>
      <c r="P292" s="1" t="inlineStr"/>
      <c r="Q292" s="1" t="inlineStr">
        <is>
          <t>Пользовательский интерфейс</t>
        </is>
      </c>
    </row>
    <row r="293">
      <c r="B293" s="1" t="inlineStr">
        <is>
          <t>37117489</t>
        </is>
      </c>
      <c r="C293" s="1" t="inlineStr">
        <is>
          <t>2978778</t>
        </is>
      </c>
      <c r="D293" t="inlineStr">
        <is>
          <t>работник 76</t>
        </is>
      </c>
      <c r="E293" s="1" t="inlineStr">
        <is>
          <t>ОБЩЕСТВО С ОГРАНИЧЕННОЙ ОТВЕТСТВЕННОСТЬЮ "АМУР ЗОЛОТО"</t>
        </is>
      </c>
      <c r="F293" s="1" t="inlineStr">
        <is>
          <t>2708001686</t>
        </is>
      </c>
      <c r="G293" s="1" t="inlineStr">
        <is>
          <t>Монтажник по монтажу стальных и железобетонных конструкций</t>
        </is>
      </c>
      <c r="H293" s="1" t="inlineStr">
        <is>
          <t>ООО "Амур Золото"</t>
        </is>
      </c>
      <c r="I293" s="1" t="inlineStr">
        <is>
          <t>2708001686</t>
        </is>
      </c>
      <c r="J293" s="1" t="inlineStr">
        <is>
          <t>ОТ № ЮГОК РСУ 23-02</t>
        </is>
      </c>
      <c r="K293" s="1" t="inlineStr">
        <is>
          <t>Безопасные методы и приемы выполнения работ на высоте</t>
        </is>
      </c>
      <c r="L293" s="1" t="inlineStr">
        <is>
          <t>24.11.2023</t>
        </is>
      </c>
      <c r="M293" s="1" t="inlineStr">
        <is>
          <t>Успешно</t>
        </is>
      </c>
      <c r="N293" s="1" t="inlineStr">
        <is>
          <t>05.02.2024</t>
        </is>
      </c>
      <c r="O293" s="1" t="inlineStr"/>
      <c r="P293" s="1" t="inlineStr"/>
      <c r="Q293" s="1" t="inlineStr">
        <is>
          <t>Пользовательский интерфейс</t>
        </is>
      </c>
    </row>
    <row r="294">
      <c r="B294" s="1" t="inlineStr">
        <is>
          <t>37117490</t>
        </is>
      </c>
      <c r="C294" s="1" t="inlineStr">
        <is>
          <t>2978778</t>
        </is>
      </c>
      <c r="D294" t="inlineStr">
        <is>
          <t>работник 76</t>
        </is>
      </c>
      <c r="E294" s="1" t="inlineStr">
        <is>
          <t>ОБЩЕСТВО С ОГРАНИЧЕННОЙ ОТВЕТСТВЕННОСТЬЮ "АМУР ЗОЛОТО"</t>
        </is>
      </c>
      <c r="F294" s="1" t="inlineStr">
        <is>
          <t>2708001686</t>
        </is>
      </c>
      <c r="G294" s="1" t="inlineStr">
        <is>
          <t>Монтажник по монтажу стальных и железобетонных конструкций</t>
        </is>
      </c>
      <c r="H294" s="1" t="inlineStr">
        <is>
          <t>ООО "Амур Золото"</t>
        </is>
      </c>
      <c r="I294" s="1" t="inlineStr">
        <is>
          <t>2708001686</t>
        </is>
      </c>
      <c r="J294" s="1" t="inlineStr">
        <is>
          <t>ОТ № ЮГОК РСУ 23-02</t>
        </is>
      </c>
      <c r="K294" s="1" t="inlineStr">
        <is>
          <t>Безопасные методы и приемы выполнения ремонтных, монтажных и демонтажных работ зданий и сооружений</t>
        </is>
      </c>
      <c r="L294" s="1" t="inlineStr">
        <is>
          <t>24.11.2023</t>
        </is>
      </c>
      <c r="M294" s="1" t="inlineStr">
        <is>
          <t>Успешно</t>
        </is>
      </c>
      <c r="N294" s="1" t="inlineStr">
        <is>
          <t>05.02.2024</t>
        </is>
      </c>
      <c r="O294" s="1" t="inlineStr"/>
      <c r="P294" s="1" t="inlineStr"/>
      <c r="Q294" s="1" t="inlineStr">
        <is>
          <t>Пользовательский интерфейс</t>
        </is>
      </c>
    </row>
    <row r="295">
      <c r="B295" s="1" t="inlineStr">
        <is>
          <t>37117491</t>
        </is>
      </c>
      <c r="C295" s="1" t="inlineStr">
        <is>
          <t>2978778</t>
        </is>
      </c>
      <c r="D295" t="inlineStr">
        <is>
          <t>работник 76</t>
        </is>
      </c>
      <c r="E295" s="1" t="inlineStr">
        <is>
          <t>ОБЩЕСТВО С ОГРАНИЧЕННОЙ ОТВЕТСТВЕННОСТЬЮ "АМУР ЗОЛОТО"</t>
        </is>
      </c>
      <c r="F295" s="1" t="inlineStr">
        <is>
          <t>2708001686</t>
        </is>
      </c>
      <c r="G295" s="1" t="inlineStr">
        <is>
          <t>Монтажник по монтажу стальных и железобетонных конструкций</t>
        </is>
      </c>
      <c r="H295" s="1" t="inlineStr">
        <is>
          <t>ООО "Амур Золото"</t>
        </is>
      </c>
      <c r="I295" s="1" t="inlineStr">
        <is>
          <t>2708001686</t>
        </is>
      </c>
      <c r="J295" s="1" t="inlineStr">
        <is>
          <t>ОТ № ЮГОК РСУ 23-02</t>
        </is>
      </c>
      <c r="K295" s="1" t="inlineStr">
        <is>
          <t>Безопасные методы и приемы выполнения строительных работ, в том числе: - окрасочные работы - электросварочные и газосварочные работы</t>
        </is>
      </c>
      <c r="L295" s="1" t="inlineStr">
        <is>
          <t>24.11.2023</t>
        </is>
      </c>
      <c r="M295" s="1" t="inlineStr">
        <is>
          <t>Успешно</t>
        </is>
      </c>
      <c r="N295" s="1" t="inlineStr">
        <is>
          <t>05.02.2024</t>
        </is>
      </c>
      <c r="O295" s="1" t="inlineStr"/>
      <c r="P295" s="1" t="inlineStr"/>
      <c r="Q295" s="1" t="inlineStr">
        <is>
          <t>Пользовательский интерфейс</t>
        </is>
      </c>
    </row>
    <row r="296">
      <c r="B296" s="1" t="inlineStr">
        <is>
          <t>37117492</t>
        </is>
      </c>
      <c r="C296" s="1" t="inlineStr">
        <is>
          <t>2978778</t>
        </is>
      </c>
      <c r="D296" t="inlineStr">
        <is>
          <t>работник 77</t>
        </is>
      </c>
      <c r="E296" s="1" t="inlineStr">
        <is>
          <t>ОБЩЕСТВО С ОГРАНИЧЕННОЙ ОТВЕТСТВЕННОСТЬЮ "АМУР ЗОЛОТО"</t>
        </is>
      </c>
      <c r="F296" s="1" t="inlineStr">
        <is>
          <t>2708001686</t>
        </is>
      </c>
      <c r="G296" s="1" t="inlineStr">
        <is>
          <t>Плотник</t>
        </is>
      </c>
      <c r="H296" s="1" t="inlineStr">
        <is>
          <t>ООО "Амур Золото"</t>
        </is>
      </c>
      <c r="I296" s="1" t="inlineStr">
        <is>
          <t>2708001686</t>
        </is>
      </c>
      <c r="J296" s="1" t="inlineStr">
        <is>
          <t>ОТ № ЮГОК РСУ 23-02</t>
        </is>
      </c>
      <c r="K296" s="1" t="inlineStr">
        <is>
          <t>Безопасные методы и приемы выполнения работ на высоте</t>
        </is>
      </c>
      <c r="L296" s="1" t="inlineStr">
        <is>
          <t>24.11.2023</t>
        </is>
      </c>
      <c r="M296" s="1" t="inlineStr">
        <is>
          <t>Успешно</t>
        </is>
      </c>
      <c r="N296" s="1" t="inlineStr">
        <is>
          <t>05.02.2024</t>
        </is>
      </c>
      <c r="O296" s="1" t="inlineStr"/>
      <c r="P296" s="1" t="inlineStr"/>
      <c r="Q296" s="1" t="inlineStr">
        <is>
          <t>Пользовательский интерфейс</t>
        </is>
      </c>
    </row>
    <row r="297">
      <c r="B297" s="1" t="inlineStr">
        <is>
          <t>37117493</t>
        </is>
      </c>
      <c r="C297" s="1" t="inlineStr">
        <is>
          <t>2978778</t>
        </is>
      </c>
      <c r="D297" t="inlineStr">
        <is>
          <t>работник 77</t>
        </is>
      </c>
      <c r="E297" s="1" t="inlineStr">
        <is>
          <t>ОБЩЕСТВО С ОГРАНИЧЕННОЙ ОТВЕТСТВЕННОСТЬЮ "АМУР ЗОЛОТО"</t>
        </is>
      </c>
      <c r="F297" s="1" t="inlineStr">
        <is>
          <t>2708001686</t>
        </is>
      </c>
      <c r="G297" s="1" t="inlineStr">
        <is>
          <t>Плотник</t>
        </is>
      </c>
      <c r="H297" s="1" t="inlineStr">
        <is>
          <t>ООО "Амур Золото"</t>
        </is>
      </c>
      <c r="I297" s="1" t="inlineStr">
        <is>
          <t>2708001686</t>
        </is>
      </c>
      <c r="J297" s="1" t="inlineStr">
        <is>
          <t>ОТ № ЮГОК РСУ 23-02</t>
        </is>
      </c>
      <c r="K297" s="1" t="inlineStr">
        <is>
          <t>Безопасные методы и приемы выполнения ремонтных, монтажных и демонтажных работ зданий и сооружений</t>
        </is>
      </c>
      <c r="L297" s="1" t="inlineStr">
        <is>
          <t>24.11.2023</t>
        </is>
      </c>
      <c r="M297" s="1" t="inlineStr">
        <is>
          <t>Успешно</t>
        </is>
      </c>
      <c r="N297" s="1" t="inlineStr">
        <is>
          <t>05.02.2024</t>
        </is>
      </c>
      <c r="O297" s="1" t="inlineStr"/>
      <c r="P297" s="1" t="inlineStr"/>
      <c r="Q297" s="1" t="inlineStr">
        <is>
          <t>Пользовательский интерфейс</t>
        </is>
      </c>
    </row>
    <row r="298">
      <c r="B298" s="1" t="inlineStr">
        <is>
          <t>37117494</t>
        </is>
      </c>
      <c r="C298" s="1" t="inlineStr">
        <is>
          <t>2978778</t>
        </is>
      </c>
      <c r="D298" t="inlineStr">
        <is>
          <t>работник 77</t>
        </is>
      </c>
      <c r="E298" s="1" t="inlineStr">
        <is>
          <t>ОБЩЕСТВО С ОГРАНИЧЕННОЙ ОТВЕТСТВЕННОСТЬЮ "АМУР ЗОЛОТО"</t>
        </is>
      </c>
      <c r="F298" s="1" t="inlineStr">
        <is>
          <t>2708001686</t>
        </is>
      </c>
      <c r="G298" s="1" t="inlineStr">
        <is>
          <t>Плотник</t>
        </is>
      </c>
      <c r="H298" s="1" t="inlineStr">
        <is>
          <t>ООО "Амур Золото"</t>
        </is>
      </c>
      <c r="I298" s="1" t="inlineStr">
        <is>
          <t>2708001686</t>
        </is>
      </c>
      <c r="J298" s="1" t="inlineStr">
        <is>
          <t>ОТ № ЮГОК РСУ 23-02</t>
        </is>
      </c>
      <c r="K298" s="1" t="inlineStr">
        <is>
          <t>Безопасные методы и приемы выполнения строительных работ, в том числе: - окрасочные работы - электросварочные и газосварочные работы</t>
        </is>
      </c>
      <c r="L298" s="1" t="inlineStr">
        <is>
          <t>24.11.2023</t>
        </is>
      </c>
      <c r="M298" s="1" t="inlineStr">
        <is>
          <t>Успешно</t>
        </is>
      </c>
      <c r="N298" s="1" t="inlineStr">
        <is>
          <t>05.02.2024</t>
        </is>
      </c>
      <c r="O298" s="1" t="inlineStr"/>
      <c r="P298" s="1" t="inlineStr"/>
      <c r="Q298" s="1" t="inlineStr">
        <is>
          <t>Пользовательский интерфейс</t>
        </is>
      </c>
    </row>
    <row r="299">
      <c r="B299" s="1" t="inlineStr">
        <is>
          <t>37117495</t>
        </is>
      </c>
      <c r="C299" s="1" t="inlineStr">
        <is>
          <t>2978778</t>
        </is>
      </c>
      <c r="D299" t="inlineStr">
        <is>
          <t>работник 78</t>
        </is>
      </c>
      <c r="E299" s="1" t="inlineStr">
        <is>
          <t>ОБЩЕСТВО С ОГРАНИЧЕННОЙ ОТВЕТСТВЕННОСТЬЮ "АМУР ЗОЛОТО"</t>
        </is>
      </c>
      <c r="F299" s="1" t="inlineStr">
        <is>
          <t>2708001686</t>
        </is>
      </c>
      <c r="G299" s="1" t="inlineStr">
        <is>
          <t>Электрогазосварщик (занятый на резке и ручной сварке)</t>
        </is>
      </c>
      <c r="H299" s="1" t="inlineStr">
        <is>
          <t>ООО "Амур Золото"</t>
        </is>
      </c>
      <c r="I299" s="1" t="inlineStr">
        <is>
          <t>2708001686</t>
        </is>
      </c>
      <c r="J299" s="1" t="inlineStr">
        <is>
          <t>ОТ № ЮГОК РСУ 23-02</t>
        </is>
      </c>
      <c r="K299" s="1" t="inlineStr">
        <is>
          <t>Безопасные методы и приемы выполнения работ на высоте</t>
        </is>
      </c>
      <c r="L299" s="1" t="inlineStr">
        <is>
          <t>24.11.2023</t>
        </is>
      </c>
      <c r="M299" s="1" t="inlineStr">
        <is>
          <t>Успешно</t>
        </is>
      </c>
      <c r="N299" s="1" t="inlineStr">
        <is>
          <t>05.02.2024</t>
        </is>
      </c>
      <c r="O299" s="1" t="inlineStr"/>
      <c r="P299" s="1" t="inlineStr"/>
      <c r="Q299" s="1" t="inlineStr">
        <is>
          <t>Пользовательский интерфейс</t>
        </is>
      </c>
    </row>
    <row r="300">
      <c r="B300" s="1" t="inlineStr">
        <is>
          <t>37117496</t>
        </is>
      </c>
      <c r="C300" s="1" t="inlineStr">
        <is>
          <t>2978778</t>
        </is>
      </c>
      <c r="D300" t="inlineStr">
        <is>
          <t>работник 78</t>
        </is>
      </c>
      <c r="E300" s="1" t="inlineStr">
        <is>
          <t>ОБЩЕСТВО С ОГРАНИЧЕННОЙ ОТВЕТСТВЕННОСТЬЮ "АМУР ЗОЛОТО"</t>
        </is>
      </c>
      <c r="F300" s="1" t="inlineStr">
        <is>
          <t>2708001686</t>
        </is>
      </c>
      <c r="G300" s="1" t="inlineStr">
        <is>
          <t>Электрогазосварщик (занятый на резке и ручной сварке)</t>
        </is>
      </c>
      <c r="H300" s="1" t="inlineStr">
        <is>
          <t>ООО "Амур Золото"</t>
        </is>
      </c>
      <c r="I300" s="1" t="inlineStr">
        <is>
          <t>2708001686</t>
        </is>
      </c>
      <c r="J300" s="1" t="inlineStr">
        <is>
          <t>ОТ № ЮГОК РСУ 23-02</t>
        </is>
      </c>
      <c r="K300" s="1" t="inlineStr">
        <is>
          <t>Безопасные методы и приемы выполнения ремонтных, монтажных и демонтажных работ зданий и сооружений</t>
        </is>
      </c>
      <c r="L300" s="1" t="inlineStr">
        <is>
          <t>24.11.2023</t>
        </is>
      </c>
      <c r="M300" s="1" t="inlineStr">
        <is>
          <t>Успешно</t>
        </is>
      </c>
      <c r="N300" s="1" t="inlineStr">
        <is>
          <t>05.02.2024</t>
        </is>
      </c>
      <c r="O300" s="1" t="inlineStr"/>
      <c r="P300" s="1" t="inlineStr"/>
      <c r="Q300" s="1" t="inlineStr">
        <is>
          <t>Пользовательский интерфейс</t>
        </is>
      </c>
    </row>
    <row r="301">
      <c r="B301" s="1" t="inlineStr">
        <is>
          <t>37117497</t>
        </is>
      </c>
      <c r="C301" s="1" t="inlineStr">
        <is>
          <t>2978778</t>
        </is>
      </c>
      <c r="D301" t="inlineStr">
        <is>
          <t>работник 78</t>
        </is>
      </c>
      <c r="E301" s="1" t="inlineStr">
        <is>
          <t>ОБЩЕСТВО С ОГРАНИЧЕННОЙ ОТВЕТСТВЕННОСТЬЮ "АМУР ЗОЛОТО"</t>
        </is>
      </c>
      <c r="F301" s="1" t="inlineStr">
        <is>
          <t>2708001686</t>
        </is>
      </c>
      <c r="G301" s="1" t="inlineStr">
        <is>
          <t>Электрогазосварщик (занятый на резке и ручной сварке)</t>
        </is>
      </c>
      <c r="H301" s="1" t="inlineStr">
        <is>
          <t>ООО "Амур Золото"</t>
        </is>
      </c>
      <c r="I301" s="1" t="inlineStr">
        <is>
          <t>2708001686</t>
        </is>
      </c>
      <c r="J301" s="1" t="inlineStr">
        <is>
          <t>ОТ № ЮГОК РСУ 23-02</t>
        </is>
      </c>
      <c r="K301" s="1" t="inlineStr">
        <is>
          <t>Безопасные методы и приемы выполнения строительных работ, в том числе: - окрасочные работы - электросварочные и газосварочные работы</t>
        </is>
      </c>
      <c r="L301" s="1" t="inlineStr">
        <is>
          <t>24.11.2023</t>
        </is>
      </c>
      <c r="M301" s="1" t="inlineStr">
        <is>
          <t>Успешно</t>
        </is>
      </c>
      <c r="N301" s="1" t="inlineStr">
        <is>
          <t>05.02.2024</t>
        </is>
      </c>
      <c r="O301" s="1" t="inlineStr"/>
      <c r="P301" s="1" t="inlineStr"/>
      <c r="Q301" s="1" t="inlineStr">
        <is>
          <t>Пользовательский интерфейс</t>
        </is>
      </c>
    </row>
    <row r="302">
      <c r="B302" s="1" t="inlineStr">
        <is>
          <t>37117498</t>
        </is>
      </c>
      <c r="C302" s="1" t="inlineStr">
        <is>
          <t>2978778</t>
        </is>
      </c>
      <c r="D302" t="inlineStr">
        <is>
          <t>работник 79</t>
        </is>
      </c>
      <c r="E302" s="1" t="inlineStr">
        <is>
          <t>ОБЩЕСТВО С ОГРАНИЧЕННОЙ ОТВЕТСТВЕННОСТЬЮ "АМУР ЗОЛОТО"</t>
        </is>
      </c>
      <c r="F302" s="1" t="inlineStr">
        <is>
          <t>2708001686</t>
        </is>
      </c>
      <c r="G302" s="1" t="inlineStr">
        <is>
          <t>Плотник</t>
        </is>
      </c>
      <c r="H302" s="1" t="inlineStr">
        <is>
          <t>ООО "Амур Золото"</t>
        </is>
      </c>
      <c r="I302" s="1" t="inlineStr">
        <is>
          <t>2708001686</t>
        </is>
      </c>
      <c r="J302" s="1" t="inlineStr">
        <is>
          <t>ОТ № ЮГОК РСУ 23-02</t>
        </is>
      </c>
      <c r="K302" s="1" t="inlineStr">
        <is>
          <t>Безопасные методы и приемы выполнения работ на высоте</t>
        </is>
      </c>
      <c r="L302" s="1" t="inlineStr">
        <is>
          <t>24.11.2023</t>
        </is>
      </c>
      <c r="M302" s="1" t="inlineStr">
        <is>
          <t>Успешно</t>
        </is>
      </c>
      <c r="N302" s="1" t="inlineStr">
        <is>
          <t>05.02.2024</t>
        </is>
      </c>
      <c r="O302" s="1" t="inlineStr"/>
      <c r="P302" s="1" t="inlineStr"/>
      <c r="Q302" s="1" t="inlineStr">
        <is>
          <t>Пользовательский интерфейс</t>
        </is>
      </c>
    </row>
    <row r="303">
      <c r="B303" s="1" t="inlineStr">
        <is>
          <t>37117499</t>
        </is>
      </c>
      <c r="C303" s="1" t="inlineStr">
        <is>
          <t>2978778</t>
        </is>
      </c>
      <c r="D303" t="inlineStr">
        <is>
          <t>работник 79</t>
        </is>
      </c>
      <c r="E303" s="1" t="inlineStr">
        <is>
          <t>ОБЩЕСТВО С ОГРАНИЧЕННОЙ ОТВЕТСТВЕННОСТЬЮ "АМУР ЗОЛОТО"</t>
        </is>
      </c>
      <c r="F303" s="1" t="inlineStr">
        <is>
          <t>2708001686</t>
        </is>
      </c>
      <c r="G303" s="1" t="inlineStr">
        <is>
          <t>Плотник</t>
        </is>
      </c>
      <c r="H303" s="1" t="inlineStr">
        <is>
          <t>ООО "Амур Золото"</t>
        </is>
      </c>
      <c r="I303" s="1" t="inlineStr">
        <is>
          <t>2708001686</t>
        </is>
      </c>
      <c r="J303" s="1" t="inlineStr">
        <is>
          <t>ОТ № ЮГОК РСУ 23-02</t>
        </is>
      </c>
      <c r="K303" s="1" t="inlineStr">
        <is>
          <t>Безопасные методы и приемы выполнения ремонтных, монтажных и демонтажных работ зданий и сооружений</t>
        </is>
      </c>
      <c r="L303" s="1" t="inlineStr">
        <is>
          <t>24.11.2023</t>
        </is>
      </c>
      <c r="M303" s="1" t="inlineStr">
        <is>
          <t>Успешно</t>
        </is>
      </c>
      <c r="N303" s="1" t="inlineStr">
        <is>
          <t>05.02.2024</t>
        </is>
      </c>
      <c r="O303" s="1" t="inlineStr"/>
      <c r="P303" s="1" t="inlineStr"/>
      <c r="Q303" s="1" t="inlineStr">
        <is>
          <t>Пользовательский интерфейс</t>
        </is>
      </c>
    </row>
    <row r="304">
      <c r="B304" s="1" t="inlineStr">
        <is>
          <t>37117500</t>
        </is>
      </c>
      <c r="C304" s="1" t="inlineStr">
        <is>
          <t>2978778</t>
        </is>
      </c>
      <c r="D304" t="inlineStr">
        <is>
          <t>работник 79</t>
        </is>
      </c>
      <c r="E304" s="1" t="inlineStr">
        <is>
          <t>ОБЩЕСТВО С ОГРАНИЧЕННОЙ ОТВЕТСТВЕННОСТЬЮ "АМУР ЗОЛОТО"</t>
        </is>
      </c>
      <c r="F304" s="1" t="inlineStr">
        <is>
          <t>2708001686</t>
        </is>
      </c>
      <c r="G304" s="1" t="inlineStr">
        <is>
          <t>Плотник</t>
        </is>
      </c>
      <c r="H304" s="1" t="inlineStr">
        <is>
          <t>ООО "Амур Золото"</t>
        </is>
      </c>
      <c r="I304" s="1" t="inlineStr">
        <is>
          <t>2708001686</t>
        </is>
      </c>
      <c r="J304" s="1" t="inlineStr">
        <is>
          <t>ОТ № ЮГОК РСУ 23-02</t>
        </is>
      </c>
      <c r="K304" s="1" t="inlineStr">
        <is>
          <t>Безопасные методы и приемы выполнения строительных работ, в том числе: - окрасочные работы - электросварочные и газосварочные работы</t>
        </is>
      </c>
      <c r="L304" s="1" t="inlineStr">
        <is>
          <t>24.11.2023</t>
        </is>
      </c>
      <c r="M304" s="1" t="inlineStr">
        <is>
          <t>Успешно</t>
        </is>
      </c>
      <c r="N304" s="1" t="inlineStr">
        <is>
          <t>05.02.2024</t>
        </is>
      </c>
      <c r="O304" s="1" t="inlineStr"/>
      <c r="P304" s="1" t="inlineStr"/>
      <c r="Q304" s="1" t="inlineStr">
        <is>
          <t>Пользовательский интерфейс</t>
        </is>
      </c>
    </row>
    <row r="305">
      <c r="B305" s="1" t="inlineStr">
        <is>
          <t>37117501</t>
        </is>
      </c>
      <c r="C305" s="1" t="inlineStr">
        <is>
          <t>2978778</t>
        </is>
      </c>
      <c r="D305" t="inlineStr">
        <is>
          <t>работник 80</t>
        </is>
      </c>
      <c r="E305" s="1" t="inlineStr">
        <is>
          <t>ОБЩЕСТВО С ОГРАНИЧЕННОЙ ОТВЕТСТВЕННОСТЬЮ "АМУР ЗОЛОТО"</t>
        </is>
      </c>
      <c r="F305" s="1" t="inlineStr">
        <is>
          <t>2708001686</t>
        </is>
      </c>
      <c r="G305" s="1" t="inlineStr">
        <is>
          <t>Плотник</t>
        </is>
      </c>
      <c r="H305" s="1" t="inlineStr">
        <is>
          <t>ООО "Амур Золото"</t>
        </is>
      </c>
      <c r="I305" s="1" t="inlineStr">
        <is>
          <t>2708001686</t>
        </is>
      </c>
      <c r="J305" s="1" t="inlineStr">
        <is>
          <t>ОТ № ЮГОК РСУ 23-02</t>
        </is>
      </c>
      <c r="K305" s="1" t="inlineStr">
        <is>
          <t>Безопасные методы и приемы выполнения работ на высоте</t>
        </is>
      </c>
      <c r="L305" s="1" t="inlineStr">
        <is>
          <t>24.11.2023</t>
        </is>
      </c>
      <c r="M305" s="1" t="inlineStr">
        <is>
          <t>Успешно</t>
        </is>
      </c>
      <c r="N305" s="1" t="inlineStr">
        <is>
          <t>05.02.2024</t>
        </is>
      </c>
      <c r="O305" s="1" t="inlineStr"/>
      <c r="P305" s="1" t="inlineStr"/>
      <c r="Q305" s="1" t="inlineStr">
        <is>
          <t>Пользовательский интерфейс</t>
        </is>
      </c>
    </row>
    <row r="306">
      <c r="B306" s="1" t="inlineStr">
        <is>
          <t>37117502</t>
        </is>
      </c>
      <c r="C306" s="1" t="inlineStr">
        <is>
          <t>2978778</t>
        </is>
      </c>
      <c r="D306" t="inlineStr">
        <is>
          <t>работник 80</t>
        </is>
      </c>
      <c r="E306" s="1" t="inlineStr">
        <is>
          <t>ОБЩЕСТВО С ОГРАНИЧЕННОЙ ОТВЕТСТВЕННОСТЬЮ "АМУР ЗОЛОТО"</t>
        </is>
      </c>
      <c r="F306" s="1" t="inlineStr">
        <is>
          <t>2708001686</t>
        </is>
      </c>
      <c r="G306" s="1" t="inlineStr">
        <is>
          <t>Плотник</t>
        </is>
      </c>
      <c r="H306" s="1" t="inlineStr">
        <is>
          <t>ООО "Амур Золото"</t>
        </is>
      </c>
      <c r="I306" s="1" t="inlineStr">
        <is>
          <t>2708001686</t>
        </is>
      </c>
      <c r="J306" s="1" t="inlineStr">
        <is>
          <t>ОТ № ЮГОК РСУ 23-02</t>
        </is>
      </c>
      <c r="K306" s="1" t="inlineStr">
        <is>
          <t>Безопасные методы и приемы выполнения ремонтных, монтажных и демонтажных работ зданий и сооружений</t>
        </is>
      </c>
      <c r="L306" s="1" t="inlineStr">
        <is>
          <t>24.11.2023</t>
        </is>
      </c>
      <c r="M306" s="1" t="inlineStr">
        <is>
          <t>Успешно</t>
        </is>
      </c>
      <c r="N306" s="1" t="inlineStr">
        <is>
          <t>05.02.2024</t>
        </is>
      </c>
      <c r="O306" s="1" t="inlineStr"/>
      <c r="P306" s="1" t="inlineStr"/>
      <c r="Q306" s="1" t="inlineStr">
        <is>
          <t>Пользовательский интерфейс</t>
        </is>
      </c>
    </row>
    <row r="307">
      <c r="B307" s="1" t="inlineStr">
        <is>
          <t>37117503</t>
        </is>
      </c>
      <c r="C307" s="1" t="inlineStr">
        <is>
          <t>2978778</t>
        </is>
      </c>
      <c r="D307" t="inlineStr">
        <is>
          <t>работник 80</t>
        </is>
      </c>
      <c r="E307" s="1" t="inlineStr">
        <is>
          <t>ОБЩЕСТВО С ОГРАНИЧЕННОЙ ОТВЕТСТВЕННОСТЬЮ "АМУР ЗОЛОТО"</t>
        </is>
      </c>
      <c r="F307" s="1" t="inlineStr">
        <is>
          <t>2708001686</t>
        </is>
      </c>
      <c r="G307" s="1" t="inlineStr">
        <is>
          <t>Плотник</t>
        </is>
      </c>
      <c r="H307" s="1" t="inlineStr">
        <is>
          <t>ООО "Амур Золото"</t>
        </is>
      </c>
      <c r="I307" s="1" t="inlineStr">
        <is>
          <t>2708001686</t>
        </is>
      </c>
      <c r="J307" s="1" t="inlineStr">
        <is>
          <t>ОТ № ЮГОК РСУ 23-02</t>
        </is>
      </c>
      <c r="K307" s="1" t="inlineStr">
        <is>
          <t>Безопасные методы и приемы выполнения строительных работ, в том числе: - окрасочные работы - электросварочные и газосварочные работы</t>
        </is>
      </c>
      <c r="L307" s="1" t="inlineStr">
        <is>
          <t>24.11.2023</t>
        </is>
      </c>
      <c r="M307" s="1" t="inlineStr">
        <is>
          <t>Успешно</t>
        </is>
      </c>
      <c r="N307" s="1" t="inlineStr">
        <is>
          <t>05.02.2024</t>
        </is>
      </c>
      <c r="O307" s="1" t="inlineStr"/>
      <c r="P307" s="1" t="inlineStr"/>
      <c r="Q307" s="1" t="inlineStr">
        <is>
          <t>Пользовательский интерфейс</t>
        </is>
      </c>
    </row>
    <row r="308">
      <c r="B308" s="1" t="inlineStr">
        <is>
          <t>37117504</t>
        </is>
      </c>
      <c r="C308" s="1" t="inlineStr">
        <is>
          <t>2978778</t>
        </is>
      </c>
      <c r="D308" t="inlineStr">
        <is>
          <t>работник 81</t>
        </is>
      </c>
      <c r="E308" s="1" t="inlineStr">
        <is>
          <t>ОБЩЕСТВО С ОГРАНИЧЕННОЙ ОТВЕТСТВЕННОСТЬЮ "АМУР ЗОЛОТО"</t>
        </is>
      </c>
      <c r="F308" s="1" t="inlineStr">
        <is>
          <t>2708001686</t>
        </is>
      </c>
      <c r="G308" s="1" t="inlineStr">
        <is>
          <t>Плотник</t>
        </is>
      </c>
      <c r="H308" s="1" t="inlineStr">
        <is>
          <t>ООО "Амур Золото"</t>
        </is>
      </c>
      <c r="I308" s="1" t="inlineStr">
        <is>
          <t>2708001686</t>
        </is>
      </c>
      <c r="J308" s="1" t="inlineStr">
        <is>
          <t>ОТ № ЮГОК РСУ 23-02</t>
        </is>
      </c>
      <c r="K308" s="1" t="inlineStr">
        <is>
          <t>Безопасные методы и приемы выполнения работ на высоте</t>
        </is>
      </c>
      <c r="L308" s="1" t="inlineStr">
        <is>
          <t>24.11.2023</t>
        </is>
      </c>
      <c r="M308" s="1" t="inlineStr">
        <is>
          <t>Успешно</t>
        </is>
      </c>
      <c r="N308" s="1" t="inlineStr">
        <is>
          <t>05.02.2024</t>
        </is>
      </c>
      <c r="O308" s="1" t="inlineStr"/>
      <c r="P308" s="1" t="inlineStr"/>
      <c r="Q308" s="1" t="inlineStr">
        <is>
          <t>Пользовательский интерфейс</t>
        </is>
      </c>
    </row>
    <row r="309">
      <c r="B309" s="1" t="inlineStr">
        <is>
          <t>37117505</t>
        </is>
      </c>
      <c r="C309" s="1" t="inlineStr">
        <is>
          <t>2978778</t>
        </is>
      </c>
      <c r="D309" t="inlineStr">
        <is>
          <t>работник 81</t>
        </is>
      </c>
      <c r="E309" s="1" t="inlineStr">
        <is>
          <t>ОБЩЕСТВО С ОГРАНИЧЕННОЙ ОТВЕТСТВЕННОСТЬЮ "АМУР ЗОЛОТО"</t>
        </is>
      </c>
      <c r="F309" s="1" t="inlineStr">
        <is>
          <t>2708001686</t>
        </is>
      </c>
      <c r="G309" s="1" t="inlineStr">
        <is>
          <t>Плотник</t>
        </is>
      </c>
      <c r="H309" s="1" t="inlineStr">
        <is>
          <t>ООО "Амур Золото"</t>
        </is>
      </c>
      <c r="I309" s="1" t="inlineStr">
        <is>
          <t>2708001686</t>
        </is>
      </c>
      <c r="J309" s="1" t="inlineStr">
        <is>
          <t>ОТ № ЮГОК РСУ 23-02</t>
        </is>
      </c>
      <c r="K309" s="1" t="inlineStr">
        <is>
          <t>Безопасные методы и приемы выполнения ремонтных, монтажных и демонтажных работ зданий и сооружений</t>
        </is>
      </c>
      <c r="L309" s="1" t="inlineStr">
        <is>
          <t>24.11.2023</t>
        </is>
      </c>
      <c r="M309" s="1" t="inlineStr">
        <is>
          <t>Успешно</t>
        </is>
      </c>
      <c r="N309" s="1" t="inlineStr">
        <is>
          <t>05.02.2024</t>
        </is>
      </c>
      <c r="O309" s="1" t="inlineStr"/>
      <c r="P309" s="1" t="inlineStr"/>
      <c r="Q309" s="1" t="inlineStr">
        <is>
          <t>Пользовательский интерфейс</t>
        </is>
      </c>
    </row>
    <row r="310">
      <c r="B310" s="1" t="inlineStr">
        <is>
          <t>37117506</t>
        </is>
      </c>
      <c r="C310" s="1" t="inlineStr">
        <is>
          <t>2978778</t>
        </is>
      </c>
      <c r="D310" t="inlineStr">
        <is>
          <t>работник 81</t>
        </is>
      </c>
      <c r="E310" s="1" t="inlineStr">
        <is>
          <t>ОБЩЕСТВО С ОГРАНИЧЕННОЙ ОТВЕТСТВЕННОСТЬЮ "АМУР ЗОЛОТО"</t>
        </is>
      </c>
      <c r="F310" s="1" t="inlineStr">
        <is>
          <t>2708001686</t>
        </is>
      </c>
      <c r="G310" s="1" t="inlineStr">
        <is>
          <t>Плотник</t>
        </is>
      </c>
      <c r="H310" s="1" t="inlineStr">
        <is>
          <t>ООО "Амур Золото"</t>
        </is>
      </c>
      <c r="I310" s="1" t="inlineStr">
        <is>
          <t>2708001686</t>
        </is>
      </c>
      <c r="J310" s="1" t="inlineStr">
        <is>
          <t>ОТ № ЮГОК РСУ 23-02</t>
        </is>
      </c>
      <c r="K310" s="1" t="inlineStr">
        <is>
          <t>Безопасные методы и приемы выполнения строительных работ, в том числе: - окрасочные работы - электросварочные и газосварочные работы</t>
        </is>
      </c>
      <c r="L310" s="1" t="inlineStr">
        <is>
          <t>24.11.2023</t>
        </is>
      </c>
      <c r="M310" s="1" t="inlineStr">
        <is>
          <t>Успешно</t>
        </is>
      </c>
      <c r="N310" s="1" t="inlineStr">
        <is>
          <t>05.02.2024</t>
        </is>
      </c>
      <c r="O310" s="1" t="inlineStr"/>
      <c r="P310" s="1" t="inlineStr"/>
      <c r="Q310" s="1" t="inlineStr">
        <is>
          <t>Пользовательский интерфейс</t>
        </is>
      </c>
    </row>
    <row r="311">
      <c r="B311" s="1" t="inlineStr">
        <is>
          <t>37117507</t>
        </is>
      </c>
      <c r="C311" s="1" t="inlineStr">
        <is>
          <t>2978778</t>
        </is>
      </c>
      <c r="D311" t="inlineStr">
        <is>
          <t>работник 82</t>
        </is>
      </c>
      <c r="E311" s="1" t="inlineStr">
        <is>
          <t>ОБЩЕСТВО С ОГРАНИЧЕННОЙ ОТВЕТСТВЕННОСТЬЮ "АМУР ЗОЛОТО"</t>
        </is>
      </c>
      <c r="F311" s="1" t="inlineStr">
        <is>
          <t>2708001686</t>
        </is>
      </c>
      <c r="G311" s="1" t="inlineStr">
        <is>
          <t>Электрогазосварщик (занятый на резке и ручной сварке)</t>
        </is>
      </c>
      <c r="H311" s="1" t="inlineStr">
        <is>
          <t>ООО "Амур Золото"</t>
        </is>
      </c>
      <c r="I311" s="1" t="inlineStr">
        <is>
          <t>2708001686</t>
        </is>
      </c>
      <c r="J311" s="1" t="inlineStr">
        <is>
          <t>ОТ № ЮГОК РСУ 23-02</t>
        </is>
      </c>
      <c r="K311" s="1" t="inlineStr">
        <is>
          <t>Безопасные методы и приемы выполнения работ на высоте</t>
        </is>
      </c>
      <c r="L311" s="1" t="inlineStr">
        <is>
          <t>24.11.2023</t>
        </is>
      </c>
      <c r="M311" s="1" t="inlineStr">
        <is>
          <t>Успешно</t>
        </is>
      </c>
      <c r="N311" s="1" t="inlineStr">
        <is>
          <t>05.02.2024</t>
        </is>
      </c>
      <c r="O311" s="1" t="inlineStr"/>
      <c r="P311" s="1" t="inlineStr"/>
      <c r="Q311" s="1" t="inlineStr">
        <is>
          <t>Пользовательский интерфейс</t>
        </is>
      </c>
    </row>
    <row r="312">
      <c r="B312" s="1" t="inlineStr">
        <is>
          <t>37117508</t>
        </is>
      </c>
      <c r="C312" s="1" t="inlineStr">
        <is>
          <t>2978778</t>
        </is>
      </c>
      <c r="D312" t="inlineStr">
        <is>
          <t>работник 82</t>
        </is>
      </c>
      <c r="E312" s="1" t="inlineStr">
        <is>
          <t>ОБЩЕСТВО С ОГРАНИЧЕННОЙ ОТВЕТСТВЕННОСТЬЮ "АМУР ЗОЛОТО"</t>
        </is>
      </c>
      <c r="F312" s="1" t="inlineStr">
        <is>
          <t>2708001686</t>
        </is>
      </c>
      <c r="G312" s="1" t="inlineStr">
        <is>
          <t>Электрогазосварщик (занятый на резке и ручной сварке)</t>
        </is>
      </c>
      <c r="H312" s="1" t="inlineStr">
        <is>
          <t>ООО "Амур Золото"</t>
        </is>
      </c>
      <c r="I312" s="1" t="inlineStr">
        <is>
          <t>2708001686</t>
        </is>
      </c>
      <c r="J312" s="1" t="inlineStr">
        <is>
          <t>ОТ № ЮГОК РСУ 23-02</t>
        </is>
      </c>
      <c r="K312" s="1" t="inlineStr">
        <is>
          <t>Безопасные методы и приемы выполнения ремонтных, монтажных и демонтажных работ зданий и сооружений</t>
        </is>
      </c>
      <c r="L312" s="1" t="inlineStr">
        <is>
          <t>24.11.2023</t>
        </is>
      </c>
      <c r="M312" s="1" t="inlineStr">
        <is>
          <t>Успешно</t>
        </is>
      </c>
      <c r="N312" s="1" t="inlineStr">
        <is>
          <t>05.02.2024</t>
        </is>
      </c>
      <c r="O312" s="1" t="inlineStr"/>
      <c r="P312" s="1" t="inlineStr"/>
      <c r="Q312" s="1" t="inlineStr">
        <is>
          <t>Пользовательский интерфейс</t>
        </is>
      </c>
    </row>
    <row r="313">
      <c r="B313" s="1" t="inlineStr">
        <is>
          <t>37117509</t>
        </is>
      </c>
      <c r="C313" s="1" t="inlineStr">
        <is>
          <t>2978778</t>
        </is>
      </c>
      <c r="D313" t="inlineStr">
        <is>
          <t>работник 82</t>
        </is>
      </c>
      <c r="E313" s="1" t="inlineStr">
        <is>
          <t>ОБЩЕСТВО С ОГРАНИЧЕННОЙ ОТВЕТСТВЕННОСТЬЮ "АМУР ЗОЛОТО"</t>
        </is>
      </c>
      <c r="F313" s="1" t="inlineStr">
        <is>
          <t>2708001686</t>
        </is>
      </c>
      <c r="G313" s="1" t="inlineStr">
        <is>
          <t>Электрогазосварщик (занятый на резке и ручной сварке)</t>
        </is>
      </c>
      <c r="H313" s="1" t="inlineStr">
        <is>
          <t>ООО "Амур Золото"</t>
        </is>
      </c>
      <c r="I313" s="1" t="inlineStr">
        <is>
          <t>2708001686</t>
        </is>
      </c>
      <c r="J313" s="1" t="inlineStr">
        <is>
          <t>ОТ № ЮГОК РСУ 23-02</t>
        </is>
      </c>
      <c r="K313" s="1" t="inlineStr">
        <is>
          <t>Безопасные методы и приемы выполнения строительных работ, в том числе: - окрасочные работы - электросварочные и газосварочные работы</t>
        </is>
      </c>
      <c r="L313" s="1" t="inlineStr">
        <is>
          <t>24.11.2023</t>
        </is>
      </c>
      <c r="M313" s="1" t="inlineStr">
        <is>
          <t>Успешно</t>
        </is>
      </c>
      <c r="N313" s="1" t="inlineStr">
        <is>
          <t>05.02.2024</t>
        </is>
      </c>
      <c r="O313" s="1" t="inlineStr"/>
      <c r="P313" s="1" t="inlineStr"/>
      <c r="Q313" s="1" t="inlineStr">
        <is>
          <t>Пользовательский интерфейс</t>
        </is>
      </c>
    </row>
    <row r="314">
      <c r="B314" s="1" t="inlineStr">
        <is>
          <t>37117510</t>
        </is>
      </c>
      <c r="C314" s="1" t="inlineStr">
        <is>
          <t>2978778</t>
        </is>
      </c>
      <c r="D314" t="inlineStr">
        <is>
          <t>работник 83</t>
        </is>
      </c>
      <c r="E314" s="1" t="inlineStr">
        <is>
          <t>ОБЩЕСТВО С ОГРАНИЧЕННОЙ ОТВЕТСТВЕННОСТЬЮ "АМУР ЗОЛОТО"</t>
        </is>
      </c>
      <c r="F314" s="1" t="inlineStr">
        <is>
          <t>2708001686</t>
        </is>
      </c>
      <c r="G314" s="1" t="inlineStr">
        <is>
          <t>Плотник</t>
        </is>
      </c>
      <c r="H314" s="1" t="inlineStr">
        <is>
          <t>ООО "Амур Золото"</t>
        </is>
      </c>
      <c r="I314" s="1" t="inlineStr">
        <is>
          <t>2708001686</t>
        </is>
      </c>
      <c r="J314" s="1" t="inlineStr">
        <is>
          <t>ОТ № ЮГОК РСУ 23-02</t>
        </is>
      </c>
      <c r="K314" s="1" t="inlineStr">
        <is>
          <t>Безопасные методы и приемы выполнения работ на высоте</t>
        </is>
      </c>
      <c r="L314" s="1" t="inlineStr">
        <is>
          <t>24.11.2023</t>
        </is>
      </c>
      <c r="M314" s="1" t="inlineStr">
        <is>
          <t>Успешно</t>
        </is>
      </c>
      <c r="N314" s="1" t="inlineStr">
        <is>
          <t>05.02.2024</t>
        </is>
      </c>
      <c r="O314" s="1" t="inlineStr"/>
      <c r="P314" s="1" t="inlineStr"/>
      <c r="Q314" s="1" t="inlineStr">
        <is>
          <t>Пользовательский интерфейс</t>
        </is>
      </c>
    </row>
    <row r="315">
      <c r="B315" s="1" t="inlineStr">
        <is>
          <t>37117511</t>
        </is>
      </c>
      <c r="C315" s="1" t="inlineStr">
        <is>
          <t>2978778</t>
        </is>
      </c>
      <c r="D315" t="inlineStr">
        <is>
          <t>работник 83</t>
        </is>
      </c>
      <c r="E315" s="1" t="inlineStr">
        <is>
          <t>ОБЩЕСТВО С ОГРАНИЧЕННОЙ ОТВЕТСТВЕННОСТЬЮ "АМУР ЗОЛОТО"</t>
        </is>
      </c>
      <c r="F315" s="1" t="inlineStr">
        <is>
          <t>2708001686</t>
        </is>
      </c>
      <c r="G315" s="1" t="inlineStr">
        <is>
          <t>Плотник</t>
        </is>
      </c>
      <c r="H315" s="1" t="inlineStr">
        <is>
          <t>ООО "Амур Золото"</t>
        </is>
      </c>
      <c r="I315" s="1" t="inlineStr">
        <is>
          <t>2708001686</t>
        </is>
      </c>
      <c r="J315" s="1" t="inlineStr">
        <is>
          <t>ОТ № ЮГОК РСУ 23-02</t>
        </is>
      </c>
      <c r="K315" s="1" t="inlineStr">
        <is>
          <t>Безопасные методы и приемы выполнения ремонтных, монтажных и демонтажных работ зданий и сооружений</t>
        </is>
      </c>
      <c r="L315" s="1" t="inlineStr">
        <is>
          <t>24.11.2023</t>
        </is>
      </c>
      <c r="M315" s="1" t="inlineStr">
        <is>
          <t>Успешно</t>
        </is>
      </c>
      <c r="N315" s="1" t="inlineStr">
        <is>
          <t>05.02.2024</t>
        </is>
      </c>
      <c r="O315" s="1" t="inlineStr"/>
      <c r="P315" s="1" t="inlineStr"/>
      <c r="Q315" s="1" t="inlineStr">
        <is>
          <t>Пользовательский интерфейс</t>
        </is>
      </c>
    </row>
    <row r="316">
      <c r="B316" s="1" t="inlineStr">
        <is>
          <t>37117512</t>
        </is>
      </c>
      <c r="C316" s="1" t="inlineStr">
        <is>
          <t>2978778</t>
        </is>
      </c>
      <c r="D316" t="inlineStr">
        <is>
          <t>работник 83</t>
        </is>
      </c>
      <c r="E316" s="1" t="inlineStr">
        <is>
          <t>ОБЩЕСТВО С ОГРАНИЧЕННОЙ ОТВЕТСТВЕННОСТЬЮ "АМУР ЗОЛОТО"</t>
        </is>
      </c>
      <c r="F316" s="1" t="inlineStr">
        <is>
          <t>2708001686</t>
        </is>
      </c>
      <c r="G316" s="1" t="inlineStr">
        <is>
          <t>Плотник</t>
        </is>
      </c>
      <c r="H316" s="1" t="inlineStr">
        <is>
          <t>ООО "Амур Золото"</t>
        </is>
      </c>
      <c r="I316" s="1" t="inlineStr">
        <is>
          <t>2708001686</t>
        </is>
      </c>
      <c r="J316" s="1" t="inlineStr">
        <is>
          <t>ОТ № ЮГОК РСУ 23-02</t>
        </is>
      </c>
      <c r="K316" s="1" t="inlineStr">
        <is>
          <t>Безопасные методы и приемы выполнения строительных работ, в том числе: - окрасочные работы - электросварочные и газосварочные работы</t>
        </is>
      </c>
      <c r="L316" s="1" t="inlineStr">
        <is>
          <t>24.11.2023</t>
        </is>
      </c>
      <c r="M316" s="1" t="inlineStr">
        <is>
          <t>Успешно</t>
        </is>
      </c>
      <c r="N316" s="1" t="inlineStr">
        <is>
          <t>05.02.2024</t>
        </is>
      </c>
      <c r="O316" s="1" t="inlineStr"/>
      <c r="P316" s="1" t="inlineStr"/>
      <c r="Q316" s="1" t="inlineStr">
        <is>
          <t>Пользовательский интерфейс</t>
        </is>
      </c>
    </row>
    <row r="317">
      <c r="B317" s="1" t="inlineStr">
        <is>
          <t>37117513</t>
        </is>
      </c>
      <c r="C317" s="1" t="inlineStr">
        <is>
          <t>2978778</t>
        </is>
      </c>
      <c r="D317" t="inlineStr">
        <is>
          <t>работник 84</t>
        </is>
      </c>
      <c r="E317" s="1" t="inlineStr">
        <is>
          <t>ОБЩЕСТВО С ОГРАНИЧЕННОЙ ОТВЕТСТВЕННОСТЬЮ "АМУР ЗОЛОТО"</t>
        </is>
      </c>
      <c r="F317" s="1" t="inlineStr">
        <is>
          <t>2708001686</t>
        </is>
      </c>
      <c r="G317" s="1" t="inlineStr">
        <is>
          <t>Плотник</t>
        </is>
      </c>
      <c r="H317" s="1" t="inlineStr">
        <is>
          <t>ООО "Амур Золото"</t>
        </is>
      </c>
      <c r="I317" s="1" t="inlineStr">
        <is>
          <t>2708001686</t>
        </is>
      </c>
      <c r="J317" s="1" t="inlineStr">
        <is>
          <t>ОТ № ЮГОК РСУ 23-02</t>
        </is>
      </c>
      <c r="K317" s="1" t="inlineStr">
        <is>
          <t>Безопасные методы и приемы выполнения работ на высоте</t>
        </is>
      </c>
      <c r="L317" s="1" t="inlineStr">
        <is>
          <t>24.11.2023</t>
        </is>
      </c>
      <c r="M317" s="1" t="inlineStr">
        <is>
          <t>Успешно</t>
        </is>
      </c>
      <c r="N317" s="1" t="inlineStr">
        <is>
          <t>05.02.2024</t>
        </is>
      </c>
      <c r="O317" s="1" t="inlineStr"/>
      <c r="P317" s="1" t="inlineStr"/>
      <c r="Q317" s="1" t="inlineStr">
        <is>
          <t>Пользовательский интерфейс</t>
        </is>
      </c>
    </row>
    <row r="318">
      <c r="B318" s="1" t="inlineStr">
        <is>
          <t>37117514</t>
        </is>
      </c>
      <c r="C318" s="1" t="inlineStr">
        <is>
          <t>2978778</t>
        </is>
      </c>
      <c r="D318" t="inlineStr">
        <is>
          <t>работник 84</t>
        </is>
      </c>
      <c r="E318" s="1" t="inlineStr">
        <is>
          <t>ОБЩЕСТВО С ОГРАНИЧЕННОЙ ОТВЕТСТВЕННОСТЬЮ "АМУР ЗОЛОТО"</t>
        </is>
      </c>
      <c r="F318" s="1" t="inlineStr">
        <is>
          <t>2708001686</t>
        </is>
      </c>
      <c r="G318" s="1" t="inlineStr">
        <is>
          <t>Плотник</t>
        </is>
      </c>
      <c r="H318" s="1" t="inlineStr">
        <is>
          <t>ООО "Амур Золото"</t>
        </is>
      </c>
      <c r="I318" s="1" t="inlineStr">
        <is>
          <t>2708001686</t>
        </is>
      </c>
      <c r="J318" s="1" t="inlineStr">
        <is>
          <t>ОТ № ЮГОК РСУ 23-02</t>
        </is>
      </c>
      <c r="K318" s="1" t="inlineStr">
        <is>
          <t>Безопасные методы и приемы выполнения ремонтных, монтажных и демонтажных работ зданий и сооружений</t>
        </is>
      </c>
      <c r="L318" s="1" t="inlineStr">
        <is>
          <t>24.11.2023</t>
        </is>
      </c>
      <c r="M318" s="1" t="inlineStr">
        <is>
          <t>Успешно</t>
        </is>
      </c>
      <c r="N318" s="1" t="inlineStr">
        <is>
          <t>05.02.2024</t>
        </is>
      </c>
      <c r="O318" s="1" t="inlineStr"/>
      <c r="P318" s="1" t="inlineStr"/>
      <c r="Q318" s="1" t="inlineStr">
        <is>
          <t>Пользовательский интерфейс</t>
        </is>
      </c>
    </row>
    <row r="319">
      <c r="B319" s="1" t="inlineStr">
        <is>
          <t>37117515</t>
        </is>
      </c>
      <c r="C319" s="1" t="inlineStr">
        <is>
          <t>2978778</t>
        </is>
      </c>
      <c r="D319" t="inlineStr">
        <is>
          <t>работник 84</t>
        </is>
      </c>
      <c r="E319" s="1" t="inlineStr">
        <is>
          <t>ОБЩЕСТВО С ОГРАНИЧЕННОЙ ОТВЕТСТВЕННОСТЬЮ "АМУР ЗОЛОТО"</t>
        </is>
      </c>
      <c r="F319" s="1" t="inlineStr">
        <is>
          <t>2708001686</t>
        </is>
      </c>
      <c r="G319" s="1" t="inlineStr">
        <is>
          <t>Плотник</t>
        </is>
      </c>
      <c r="H319" s="1" t="inlineStr">
        <is>
          <t>ООО "Амур Золото"</t>
        </is>
      </c>
      <c r="I319" s="1" t="inlineStr">
        <is>
          <t>2708001686</t>
        </is>
      </c>
      <c r="J319" s="1" t="inlineStr">
        <is>
          <t>ОТ № ЮГОК РСУ 23-02</t>
        </is>
      </c>
      <c r="K319" s="1" t="inlineStr">
        <is>
          <t>Безопасные методы и приемы выполнения строительных работ, в том числе: - окрасочные работы - электросварочные и газосварочные работы</t>
        </is>
      </c>
      <c r="L319" s="1" t="inlineStr">
        <is>
          <t>24.11.2023</t>
        </is>
      </c>
      <c r="M319" s="1" t="inlineStr">
        <is>
          <t>Успешно</t>
        </is>
      </c>
      <c r="N319" s="1" t="inlineStr">
        <is>
          <t>05.02.2024</t>
        </is>
      </c>
      <c r="O319" s="1" t="inlineStr"/>
      <c r="P319" s="1" t="inlineStr"/>
      <c r="Q319" s="1" t="inlineStr">
        <is>
          <t>Пользовательский интерфейс</t>
        </is>
      </c>
    </row>
    <row r="320">
      <c r="B320" s="1" t="inlineStr">
        <is>
          <t>37117516</t>
        </is>
      </c>
      <c r="C320" s="1" t="inlineStr">
        <is>
          <t>2978778</t>
        </is>
      </c>
      <c r="D320" t="inlineStr">
        <is>
          <t>работник 63</t>
        </is>
      </c>
      <c r="E320" s="1" t="inlineStr">
        <is>
          <t>ОБЩЕСТВО С ОГРАНИЧЕННОЙ ОТВЕТСТВЕННОСТЬЮ "АМУР ЗОЛОТО"</t>
        </is>
      </c>
      <c r="F320" s="1" t="inlineStr">
        <is>
          <t>2708001686</t>
        </is>
      </c>
      <c r="G320" s="1" t="inlineStr">
        <is>
          <t>Горнорабочий</t>
        </is>
      </c>
      <c r="H320" s="1" t="inlineStr">
        <is>
          <t>ООО "Амур Золото"</t>
        </is>
      </c>
      <c r="I320" s="1" t="inlineStr">
        <is>
          <t>2708001686</t>
        </is>
      </c>
      <c r="J320" s="1" t="inlineStr">
        <is>
          <t>ОТ № ЮГОК ГМО 23-01</t>
        </is>
      </c>
      <c r="K320" s="1" t="inlineStr">
        <is>
          <t>Использование (применение) средств индивидуальной защиты</t>
        </is>
      </c>
      <c r="L320" s="1" t="inlineStr">
        <is>
          <t>03.12.2023</t>
        </is>
      </c>
      <c r="M320" s="1" t="inlineStr">
        <is>
          <t>Успешно</t>
        </is>
      </c>
      <c r="N320" s="1" t="inlineStr">
        <is>
          <t>05.02.2024</t>
        </is>
      </c>
      <c r="O320" s="1" t="inlineStr"/>
      <c r="P320" s="1" t="inlineStr"/>
      <c r="Q320" s="1" t="inlineStr">
        <is>
          <t>Пользовательский интерфейс</t>
        </is>
      </c>
    </row>
    <row r="321">
      <c r="B321" s="1" t="inlineStr">
        <is>
          <t>37117517</t>
        </is>
      </c>
      <c r="C321" s="1" t="inlineStr">
        <is>
          <t>2978778</t>
        </is>
      </c>
      <c r="D321" t="inlineStr">
        <is>
          <t>работник 63</t>
        </is>
      </c>
      <c r="E321" s="1" t="inlineStr">
        <is>
          <t>ОБЩЕСТВО С ОГРАНИЧЕННОЙ ОТВЕТСТВЕННОСТЬЮ "АМУР ЗОЛОТО"</t>
        </is>
      </c>
      <c r="F321" s="1" t="inlineStr">
        <is>
          <t>2708001686</t>
        </is>
      </c>
      <c r="G321" s="1" t="inlineStr">
        <is>
          <t>Горнорабочий</t>
        </is>
      </c>
      <c r="H321" s="1" t="inlineStr">
        <is>
          <t>ООО "Амур Золото"</t>
        </is>
      </c>
      <c r="I321" s="1" t="inlineStr">
        <is>
          <t>2708001686</t>
        </is>
      </c>
      <c r="J321" s="1" t="inlineStr">
        <is>
          <t>ОТ № ЮГОК ГМО 23-01</t>
        </is>
      </c>
      <c r="K32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21" s="1" t="inlineStr">
        <is>
          <t>03.12.2023</t>
        </is>
      </c>
      <c r="M321" s="1" t="inlineStr">
        <is>
          <t>Успешно</t>
        </is>
      </c>
      <c r="N321" s="1" t="inlineStr">
        <is>
          <t>05.02.2024</t>
        </is>
      </c>
      <c r="O321" s="1" t="inlineStr"/>
      <c r="P321" s="1" t="inlineStr"/>
      <c r="Q321" s="1" t="inlineStr">
        <is>
          <t>Пользовательский интерфейс</t>
        </is>
      </c>
    </row>
    <row r="322">
      <c r="B322" s="1" t="inlineStr">
        <is>
          <t>37117518</t>
        </is>
      </c>
      <c r="C322" s="1" t="inlineStr">
        <is>
          <t>2978778</t>
        </is>
      </c>
      <c r="D322" t="inlineStr">
        <is>
          <t>работник 85</t>
        </is>
      </c>
      <c r="E322" s="1" t="inlineStr">
        <is>
          <t>ОБЩЕСТВО С ОГРАНИЧЕННОЙ ОТВЕТСТВЕННОСТЬЮ "АМУР ЗОЛОТО"</t>
        </is>
      </c>
      <c r="F322" s="1" t="inlineStr">
        <is>
          <t>2708001686</t>
        </is>
      </c>
      <c r="G322" s="1" t="inlineStr">
        <is>
          <t>Горнорабочий</t>
        </is>
      </c>
      <c r="H322" s="1" t="inlineStr">
        <is>
          <t>ООО "Амур Золото"</t>
        </is>
      </c>
      <c r="I322" s="1" t="inlineStr">
        <is>
          <t>2708001686</t>
        </is>
      </c>
      <c r="J322" s="1" t="inlineStr">
        <is>
          <t>ОТ № ЮГОК ГМО 23-01</t>
        </is>
      </c>
      <c r="K322" s="1" t="inlineStr">
        <is>
          <t>Оказание первой помощи пострадавшим</t>
        </is>
      </c>
      <c r="L322" s="1" t="inlineStr">
        <is>
          <t>03.12.2023</t>
        </is>
      </c>
      <c r="M322" s="1" t="inlineStr">
        <is>
          <t>Успешно</t>
        </is>
      </c>
      <c r="N322" s="1" t="inlineStr">
        <is>
          <t>05.02.2024</t>
        </is>
      </c>
      <c r="O322" s="1" t="inlineStr"/>
      <c r="P322" s="1" t="inlineStr"/>
      <c r="Q322" s="1" t="inlineStr">
        <is>
          <t>Пользовательский интерфейс</t>
        </is>
      </c>
    </row>
    <row r="323">
      <c r="B323" s="1" t="inlineStr">
        <is>
          <t>37117519</t>
        </is>
      </c>
      <c r="C323" s="1" t="inlineStr">
        <is>
          <t>2978778</t>
        </is>
      </c>
      <c r="D323" t="inlineStr">
        <is>
          <t>работник 85</t>
        </is>
      </c>
      <c r="E323" s="1" t="inlineStr">
        <is>
          <t>ОБЩЕСТВО С ОГРАНИЧЕННОЙ ОТВЕТСТВЕННОСТЬЮ "АМУР ЗОЛОТО"</t>
        </is>
      </c>
      <c r="F323" s="1" t="inlineStr">
        <is>
          <t>2708001686</t>
        </is>
      </c>
      <c r="G323" s="1" t="inlineStr">
        <is>
          <t>Горнорабочий</t>
        </is>
      </c>
      <c r="H323" s="1" t="inlineStr">
        <is>
          <t>ООО "Амур Золото"</t>
        </is>
      </c>
      <c r="I323" s="1" t="inlineStr">
        <is>
          <t>2708001686</t>
        </is>
      </c>
      <c r="J323" s="1" t="inlineStr">
        <is>
          <t>ОТ № ЮГОК ГМО 23-01</t>
        </is>
      </c>
      <c r="K323" s="1" t="inlineStr">
        <is>
          <t>Использование (применение) средств индивидуальной защиты</t>
        </is>
      </c>
      <c r="L323" s="1" t="inlineStr">
        <is>
          <t>03.12.2023</t>
        </is>
      </c>
      <c r="M323" s="1" t="inlineStr">
        <is>
          <t>Успешно</t>
        </is>
      </c>
      <c r="N323" s="1" t="inlineStr">
        <is>
          <t>05.02.2024</t>
        </is>
      </c>
      <c r="O323" s="1" t="inlineStr"/>
      <c r="P323" s="1" t="inlineStr"/>
      <c r="Q323" s="1" t="inlineStr">
        <is>
          <t>Пользовательский интерфейс</t>
        </is>
      </c>
    </row>
    <row r="324">
      <c r="B324" s="1" t="inlineStr">
        <is>
          <t>37117520</t>
        </is>
      </c>
      <c r="C324" s="1" t="inlineStr">
        <is>
          <t>2978778</t>
        </is>
      </c>
      <c r="D324" t="inlineStr">
        <is>
          <t>работник 85</t>
        </is>
      </c>
      <c r="E324" s="1" t="inlineStr">
        <is>
          <t>ОБЩЕСТВО С ОГРАНИЧЕННОЙ ОТВЕТСТВЕННОСТЬЮ "АМУР ЗОЛОТО"</t>
        </is>
      </c>
      <c r="F324" s="1" t="inlineStr">
        <is>
          <t>2708001686</t>
        </is>
      </c>
      <c r="G324" s="1" t="inlineStr">
        <is>
          <t>Горнорабочий</t>
        </is>
      </c>
      <c r="H324" s="1" t="inlineStr">
        <is>
          <t>ООО "Амур Золото"</t>
        </is>
      </c>
      <c r="I324" s="1" t="inlineStr">
        <is>
          <t>2708001686</t>
        </is>
      </c>
      <c r="J324" s="1" t="inlineStr">
        <is>
          <t>ОТ № ЮГОК ГМО 23-01</t>
        </is>
      </c>
      <c r="K32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24" s="1" t="inlineStr">
        <is>
          <t>03.12.2023</t>
        </is>
      </c>
      <c r="M324" s="1" t="inlineStr">
        <is>
          <t>Успешно</t>
        </is>
      </c>
      <c r="N324" s="1" t="inlineStr">
        <is>
          <t>05.02.2024</t>
        </is>
      </c>
      <c r="O324" s="1" t="inlineStr"/>
      <c r="P324" s="1" t="inlineStr"/>
      <c r="Q324" s="1" t="inlineStr">
        <is>
          <t>Пользовательский интерфейс</t>
        </is>
      </c>
    </row>
    <row r="325">
      <c r="B325" s="1" t="inlineStr">
        <is>
          <t>37117521</t>
        </is>
      </c>
      <c r="C325" s="1" t="inlineStr">
        <is>
          <t>2978778</t>
        </is>
      </c>
      <c r="D325" t="inlineStr">
        <is>
          <t>работник 86</t>
        </is>
      </c>
      <c r="E325" s="1" t="inlineStr">
        <is>
          <t>ОБЩЕСТВО С ОГРАНИЧЕННОЙ ОТВЕТСТВЕННОСТЬЮ "АМУР ЗОЛОТО"</t>
        </is>
      </c>
      <c r="F325" s="1" t="inlineStr">
        <is>
          <t>2708001686</t>
        </is>
      </c>
      <c r="G325" s="1" t="inlineStr">
        <is>
          <t>Пробоотборщик</t>
        </is>
      </c>
      <c r="H325" s="1" t="inlineStr">
        <is>
          <t>ООО "Амур Золото"</t>
        </is>
      </c>
      <c r="I325" s="1" t="inlineStr">
        <is>
          <t>2708001686</t>
        </is>
      </c>
      <c r="J325" s="1" t="inlineStr">
        <is>
          <t>ОТ № ЮГОК ГМО 23-01</t>
        </is>
      </c>
      <c r="K325" s="1" t="inlineStr">
        <is>
          <t>Оказание первой помощи пострадавшим</t>
        </is>
      </c>
      <c r="L325" s="1" t="inlineStr">
        <is>
          <t>03.12.2023</t>
        </is>
      </c>
      <c r="M325" s="1" t="inlineStr">
        <is>
          <t>Успешно</t>
        </is>
      </c>
      <c r="N325" s="1" t="inlineStr">
        <is>
          <t>05.02.2024</t>
        </is>
      </c>
      <c r="O325" s="1" t="inlineStr"/>
      <c r="P325" s="1" t="inlineStr"/>
      <c r="Q325" s="1" t="inlineStr">
        <is>
          <t>Пользовательский интерфейс</t>
        </is>
      </c>
    </row>
    <row r="326">
      <c r="B326" s="1" t="inlineStr">
        <is>
          <t>37117522</t>
        </is>
      </c>
      <c r="C326" s="1" t="inlineStr">
        <is>
          <t>2978778</t>
        </is>
      </c>
      <c r="D326" t="inlineStr">
        <is>
          <t>работник 86</t>
        </is>
      </c>
      <c r="E326" s="1" t="inlineStr">
        <is>
          <t>ОБЩЕСТВО С ОГРАНИЧЕННОЙ ОТВЕТСТВЕННОСТЬЮ "АМУР ЗОЛОТО"</t>
        </is>
      </c>
      <c r="F326" s="1" t="inlineStr">
        <is>
          <t>2708001686</t>
        </is>
      </c>
      <c r="G326" s="1" t="inlineStr">
        <is>
          <t>Пробоотборщик</t>
        </is>
      </c>
      <c r="H326" s="1" t="inlineStr">
        <is>
          <t>ООО "Амур Золото"</t>
        </is>
      </c>
      <c r="I326" s="1" t="inlineStr">
        <is>
          <t>2708001686</t>
        </is>
      </c>
      <c r="J326" s="1" t="inlineStr">
        <is>
          <t>ОТ № ЮГОК ГМО 23-01</t>
        </is>
      </c>
      <c r="K326" s="1" t="inlineStr">
        <is>
          <t>Использование (применение) средств индивидуальной защиты</t>
        </is>
      </c>
      <c r="L326" s="1" t="inlineStr">
        <is>
          <t>03.12.2023</t>
        </is>
      </c>
      <c r="M326" s="1" t="inlineStr">
        <is>
          <t>Успешно</t>
        </is>
      </c>
      <c r="N326" s="1" t="inlineStr">
        <is>
          <t>05.02.2024</t>
        </is>
      </c>
      <c r="O326" s="1" t="inlineStr"/>
      <c r="P326" s="1" t="inlineStr"/>
      <c r="Q326" s="1" t="inlineStr">
        <is>
          <t>Пользовательский интерфейс</t>
        </is>
      </c>
    </row>
    <row r="327">
      <c r="B327" s="1" t="inlineStr">
        <is>
          <t>37117523</t>
        </is>
      </c>
      <c r="C327" s="1" t="inlineStr">
        <is>
          <t>2978778</t>
        </is>
      </c>
      <c r="D327" t="inlineStr">
        <is>
          <t>работник 86</t>
        </is>
      </c>
      <c r="E327" s="1" t="inlineStr">
        <is>
          <t>ОБЩЕСТВО С ОГРАНИЧЕННОЙ ОТВЕТСТВЕННОСТЬЮ "АМУР ЗОЛОТО"</t>
        </is>
      </c>
      <c r="F327" s="1" t="inlineStr">
        <is>
          <t>2708001686</t>
        </is>
      </c>
      <c r="G327" s="1" t="inlineStr">
        <is>
          <t>Пробоотборщик</t>
        </is>
      </c>
      <c r="H327" s="1" t="inlineStr">
        <is>
          <t>ООО "Амур Золото"</t>
        </is>
      </c>
      <c r="I327" s="1" t="inlineStr">
        <is>
          <t>2708001686</t>
        </is>
      </c>
      <c r="J327" s="1" t="inlineStr">
        <is>
          <t>ОТ № ЮГОК ГМО 23-01</t>
        </is>
      </c>
      <c r="K32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27" s="1" t="inlineStr">
        <is>
          <t>03.12.2023</t>
        </is>
      </c>
      <c r="M327" s="1" t="inlineStr">
        <is>
          <t>Успешно</t>
        </is>
      </c>
      <c r="N327" s="1" t="inlineStr">
        <is>
          <t>05.02.2024</t>
        </is>
      </c>
      <c r="O327" s="1" t="inlineStr"/>
      <c r="P327" s="1" t="inlineStr"/>
      <c r="Q327" s="1" t="inlineStr">
        <is>
          <t>Пользовательский интерфейс</t>
        </is>
      </c>
    </row>
    <row r="328">
      <c r="B328" s="1" t="inlineStr">
        <is>
          <t>37117524</t>
        </is>
      </c>
      <c r="C328" s="1" t="inlineStr">
        <is>
          <t>2978778</t>
        </is>
      </c>
      <c r="D328" t="inlineStr">
        <is>
          <t>работник 87</t>
        </is>
      </c>
      <c r="E328" s="1" t="inlineStr">
        <is>
          <t>ОБЩЕСТВО С ОГРАНИЧЕННОЙ ОТВЕТСТВЕННОСТЬЮ "АМУР ЗОЛОТО"</t>
        </is>
      </c>
      <c r="F328" s="1" t="inlineStr">
        <is>
          <t>2708001686</t>
        </is>
      </c>
      <c r="G328" s="1" t="inlineStr">
        <is>
          <t>оператор дизельных котлов</t>
        </is>
      </c>
      <c r="H328" s="1" t="inlineStr">
        <is>
          <t>ООО "Амур Золото"</t>
        </is>
      </c>
      <c r="I328" s="1" t="inlineStr">
        <is>
          <t>2708001686</t>
        </is>
      </c>
      <c r="J328" s="1" t="inlineStr">
        <is>
          <t>ОТ № ЮГОК ЭУ 23-06</t>
        </is>
      </c>
      <c r="K328" s="1" t="inlineStr">
        <is>
          <t>Оказание первой помощи пострадавшим</t>
        </is>
      </c>
      <c r="L328" s="1" t="inlineStr">
        <is>
          <t>09.12.2023</t>
        </is>
      </c>
      <c r="M328" s="1" t="inlineStr">
        <is>
          <t>Успешно</t>
        </is>
      </c>
      <c r="N328" s="1" t="inlineStr">
        <is>
          <t>05.02.2024</t>
        </is>
      </c>
      <c r="O328" s="1" t="inlineStr"/>
      <c r="P328" s="1" t="inlineStr"/>
      <c r="Q328" s="1" t="inlineStr">
        <is>
          <t>Пользовательский интерфейс</t>
        </is>
      </c>
    </row>
    <row r="329">
      <c r="B329" s="1" t="inlineStr">
        <is>
          <t>37117525</t>
        </is>
      </c>
      <c r="C329" s="1" t="inlineStr">
        <is>
          <t>2978778</t>
        </is>
      </c>
      <c r="D329" t="inlineStr">
        <is>
          <t>работник 87</t>
        </is>
      </c>
      <c r="E329" s="1" t="inlineStr">
        <is>
          <t>ОБЩЕСТВО С ОГРАНИЧЕННОЙ ОТВЕТСТВЕННОСТЬЮ "АМУР ЗОЛОТО"</t>
        </is>
      </c>
      <c r="F329" s="1" t="inlineStr">
        <is>
          <t>2708001686</t>
        </is>
      </c>
      <c r="G329" s="1" t="inlineStr">
        <is>
          <t>оператор дизельных котлов</t>
        </is>
      </c>
      <c r="H329" s="1" t="inlineStr">
        <is>
          <t>ООО "Амур Золото"</t>
        </is>
      </c>
      <c r="I329" s="1" t="inlineStr">
        <is>
          <t>2708001686</t>
        </is>
      </c>
      <c r="J329" s="1" t="inlineStr">
        <is>
          <t>ОТ № ЮГОК ЭУ 23-06</t>
        </is>
      </c>
      <c r="K329" s="1" t="inlineStr">
        <is>
          <t>Использование (применение) средств индивидуальной защиты</t>
        </is>
      </c>
      <c r="L329" s="1" t="inlineStr">
        <is>
          <t>09.12.2023</t>
        </is>
      </c>
      <c r="M329" s="1" t="inlineStr">
        <is>
          <t>Успешно</t>
        </is>
      </c>
      <c r="N329" s="1" t="inlineStr">
        <is>
          <t>05.02.2024</t>
        </is>
      </c>
      <c r="O329" s="1" t="inlineStr"/>
      <c r="P329" s="1" t="inlineStr"/>
      <c r="Q329" s="1" t="inlineStr">
        <is>
          <t>Пользовательский интерфейс</t>
        </is>
      </c>
    </row>
    <row r="330">
      <c r="B330" s="1" t="inlineStr">
        <is>
          <t>37117526</t>
        </is>
      </c>
      <c r="C330" s="1" t="inlineStr">
        <is>
          <t>2978778</t>
        </is>
      </c>
      <c r="D330" t="inlineStr">
        <is>
          <t>работник 87</t>
        </is>
      </c>
      <c r="E330" s="1" t="inlineStr">
        <is>
          <t>ОБЩЕСТВО С ОГРАНИЧЕННОЙ ОТВЕТСТВЕННОСТЬЮ "АМУР ЗОЛОТО"</t>
        </is>
      </c>
      <c r="F330" s="1" t="inlineStr">
        <is>
          <t>2708001686</t>
        </is>
      </c>
      <c r="G330" s="1" t="inlineStr">
        <is>
          <t>оператор дизельных котлов</t>
        </is>
      </c>
      <c r="H330" s="1" t="inlineStr">
        <is>
          <t>ООО "Амур Золото"</t>
        </is>
      </c>
      <c r="I330" s="1" t="inlineStr">
        <is>
          <t>2708001686</t>
        </is>
      </c>
      <c r="J330" s="1" t="inlineStr">
        <is>
          <t>ОТ № ЮГОК ЭУ 23-06</t>
        </is>
      </c>
      <c r="K33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30" s="1" t="inlineStr">
        <is>
          <t>09.12.2023</t>
        </is>
      </c>
      <c r="M330" s="1" t="inlineStr">
        <is>
          <t>Успешно</t>
        </is>
      </c>
      <c r="N330" s="1" t="inlineStr">
        <is>
          <t>05.02.2024</t>
        </is>
      </c>
      <c r="O330" s="1" t="inlineStr"/>
      <c r="P330" s="1" t="inlineStr"/>
      <c r="Q330" s="1" t="inlineStr">
        <is>
          <t>Пользовательский интерфейс</t>
        </is>
      </c>
    </row>
    <row r="331">
      <c r="B331" s="1" t="inlineStr">
        <is>
          <t>37117527</t>
        </is>
      </c>
      <c r="C331" s="1" t="inlineStr">
        <is>
          <t>2978778</t>
        </is>
      </c>
      <c r="D331" t="inlineStr">
        <is>
          <t>работник 88</t>
        </is>
      </c>
      <c r="E331" s="1" t="inlineStr">
        <is>
          <t>ОБЩЕСТВО С ОГРАНИЧЕННОЙ ОТВЕТСТВЕННОСТЬЮ "АМУР ЗОЛОТО"</t>
        </is>
      </c>
      <c r="F331" s="1" t="inlineStr">
        <is>
          <t>2708001686</t>
        </is>
      </c>
      <c r="G331" s="1" t="inlineStr">
        <is>
          <t>Машинист двигателей внутрениго сгорания</t>
        </is>
      </c>
      <c r="H331" s="1" t="inlineStr">
        <is>
          <t>ООО "Амур Золото"</t>
        </is>
      </c>
      <c r="I331" s="1" t="inlineStr">
        <is>
          <t>2708001686</t>
        </is>
      </c>
      <c r="J331" s="1" t="inlineStr">
        <is>
          <t>ОТ № ЮГОК ЭУ 23-06</t>
        </is>
      </c>
      <c r="K331" s="1" t="inlineStr">
        <is>
          <t>Оказание первой помощи пострадавшим</t>
        </is>
      </c>
      <c r="L331" s="1" t="inlineStr">
        <is>
          <t>09.12.2023</t>
        </is>
      </c>
      <c r="M331" s="1" t="inlineStr">
        <is>
          <t>Успешно</t>
        </is>
      </c>
      <c r="N331" s="1" t="inlineStr">
        <is>
          <t>05.02.2024</t>
        </is>
      </c>
      <c r="O331" s="1" t="inlineStr"/>
      <c r="P331" s="1" t="inlineStr"/>
      <c r="Q331" s="1" t="inlineStr">
        <is>
          <t>Пользовательский интерфейс</t>
        </is>
      </c>
    </row>
    <row r="332">
      <c r="B332" s="1" t="inlineStr">
        <is>
          <t>37117528</t>
        </is>
      </c>
      <c r="C332" s="1" t="inlineStr">
        <is>
          <t>2978778</t>
        </is>
      </c>
      <c r="D332" t="inlineStr">
        <is>
          <t>работник 88</t>
        </is>
      </c>
      <c r="E332" s="1" t="inlineStr">
        <is>
          <t>ОБЩЕСТВО С ОГРАНИЧЕННОЙ ОТВЕТСТВЕННОСТЬЮ "АМУР ЗОЛОТО"</t>
        </is>
      </c>
      <c r="F332" s="1" t="inlineStr">
        <is>
          <t>2708001686</t>
        </is>
      </c>
      <c r="G332" s="1" t="inlineStr">
        <is>
          <t>Машинист двигателей внутрениго сгорания</t>
        </is>
      </c>
      <c r="H332" s="1" t="inlineStr">
        <is>
          <t>ООО "Амур Золото"</t>
        </is>
      </c>
      <c r="I332" s="1" t="inlineStr">
        <is>
          <t>2708001686</t>
        </is>
      </c>
      <c r="J332" s="1" t="inlineStr">
        <is>
          <t>ОТ № ЮГОК ЭУ 23-06</t>
        </is>
      </c>
      <c r="K332" s="1" t="inlineStr">
        <is>
          <t>Использование (применение) средств индивидуальной защиты</t>
        </is>
      </c>
      <c r="L332" s="1" t="inlineStr">
        <is>
          <t>09.12.2023</t>
        </is>
      </c>
      <c r="M332" s="1" t="inlineStr">
        <is>
          <t>Успешно</t>
        </is>
      </c>
      <c r="N332" s="1" t="inlineStr">
        <is>
          <t>05.02.2024</t>
        </is>
      </c>
      <c r="O332" s="1" t="inlineStr"/>
      <c r="P332" s="1" t="inlineStr"/>
      <c r="Q332" s="1" t="inlineStr">
        <is>
          <t>Пользовательский интерфейс</t>
        </is>
      </c>
    </row>
    <row r="333">
      <c r="B333" s="1" t="inlineStr">
        <is>
          <t>37117529</t>
        </is>
      </c>
      <c r="C333" s="1" t="inlineStr">
        <is>
          <t>2978778</t>
        </is>
      </c>
      <c r="D333" t="inlineStr">
        <is>
          <t>работник 89</t>
        </is>
      </c>
      <c r="E333" s="1" t="inlineStr">
        <is>
          <t>ОБЩЕСТВО С ОГРАНИЧЕННОЙ ОТВЕТСТВЕННОСТЬЮ "АМУР ЗОЛОТО"</t>
        </is>
      </c>
      <c r="F333" s="1" t="inlineStr">
        <is>
          <t>2708001686</t>
        </is>
      </c>
      <c r="G333" s="1" t="inlineStr">
        <is>
          <t>Повар</t>
        </is>
      </c>
      <c r="H333" s="1" t="inlineStr">
        <is>
          <t>ООО "Амур Золото"</t>
        </is>
      </c>
      <c r="I333" s="1" t="inlineStr">
        <is>
          <t>2708001686</t>
        </is>
      </c>
      <c r="J333" s="1" t="inlineStr">
        <is>
          <t>ОТ № ЮГОК Столовая 23-01</t>
        </is>
      </c>
      <c r="K333" s="1" t="inlineStr">
        <is>
          <t>Использование (применение) средств индивидуальной защиты</t>
        </is>
      </c>
      <c r="L333" s="1" t="inlineStr">
        <is>
          <t>09.12.2023</t>
        </is>
      </c>
      <c r="M333" s="1" t="inlineStr">
        <is>
          <t>Успешно</t>
        </is>
      </c>
      <c r="N333" s="1" t="inlineStr">
        <is>
          <t>05.02.2024</t>
        </is>
      </c>
      <c r="O333" s="1" t="inlineStr"/>
      <c r="P333" s="1" t="inlineStr"/>
      <c r="Q333" s="1" t="inlineStr">
        <is>
          <t>Пользовательский интерфейс</t>
        </is>
      </c>
    </row>
    <row r="334">
      <c r="B334" s="1" t="inlineStr">
        <is>
          <t>37117530</t>
        </is>
      </c>
      <c r="C334" s="1" t="inlineStr">
        <is>
          <t>2978778</t>
        </is>
      </c>
      <c r="D334" t="inlineStr">
        <is>
          <t>работник 88</t>
        </is>
      </c>
      <c r="E334" s="1" t="inlineStr">
        <is>
          <t>ОБЩЕСТВО С ОГРАНИЧЕННОЙ ОТВЕТСТВЕННОСТЬЮ "АМУР ЗОЛОТО"</t>
        </is>
      </c>
      <c r="F334" s="1" t="inlineStr">
        <is>
          <t>2708001686</t>
        </is>
      </c>
      <c r="G334" s="1" t="inlineStr">
        <is>
          <t>Машинист двигателей внутрениго сгорания</t>
        </is>
      </c>
      <c r="H334" s="1" t="inlineStr">
        <is>
          <t>ООО "Амур Золото"</t>
        </is>
      </c>
      <c r="I334" s="1" t="inlineStr">
        <is>
          <t>2708001686</t>
        </is>
      </c>
      <c r="J334" s="1" t="inlineStr">
        <is>
          <t>ОТ № ЮГОК ЭУ 23-06</t>
        </is>
      </c>
      <c r="K33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34" s="1" t="inlineStr">
        <is>
          <t>09.12.2023</t>
        </is>
      </c>
      <c r="M334" s="1" t="inlineStr">
        <is>
          <t>Успешно</t>
        </is>
      </c>
      <c r="N334" s="1" t="inlineStr">
        <is>
          <t>05.02.2024</t>
        </is>
      </c>
      <c r="O334" s="1" t="inlineStr"/>
      <c r="P334" s="1" t="inlineStr"/>
      <c r="Q334" s="1" t="inlineStr">
        <is>
          <t>Пользовательский интерфейс</t>
        </is>
      </c>
    </row>
    <row r="335">
      <c r="B335" s="1" t="inlineStr">
        <is>
          <t>37117531</t>
        </is>
      </c>
      <c r="C335" s="1" t="inlineStr">
        <is>
          <t>2978778</t>
        </is>
      </c>
      <c r="D335" t="inlineStr">
        <is>
          <t>работник 90</t>
        </is>
      </c>
      <c r="E335" s="1" t="inlineStr">
        <is>
          <t>ОБЩЕСТВО С ОГРАНИЧЕННОЙ ОТВЕТСТВЕННОСТЬЮ "АМУР ЗОЛОТО"</t>
        </is>
      </c>
      <c r="F335" s="1" t="inlineStr">
        <is>
          <t>2708001686</t>
        </is>
      </c>
      <c r="G335" s="1" t="inlineStr">
        <is>
          <t>Электромонтер по ремонту и обслуживанию электрооборудования</t>
        </is>
      </c>
      <c r="H335" s="1" t="inlineStr">
        <is>
          <t>ООО "Амур Золото"</t>
        </is>
      </c>
      <c r="I335" s="1" t="inlineStr">
        <is>
          <t>2708001686</t>
        </is>
      </c>
      <c r="J335" s="1" t="inlineStr">
        <is>
          <t>ОТ № ЮГОК ЭУ 23-06</t>
        </is>
      </c>
      <c r="K335" s="1" t="inlineStr">
        <is>
          <t>Оказание первой помощи пострадавшим</t>
        </is>
      </c>
      <c r="L335" s="1" t="inlineStr">
        <is>
          <t>09.12.2023</t>
        </is>
      </c>
      <c r="M335" s="1" t="inlineStr">
        <is>
          <t>Успешно</t>
        </is>
      </c>
      <c r="N335" s="1" t="inlineStr">
        <is>
          <t>05.02.2024</t>
        </is>
      </c>
      <c r="O335" s="1" t="inlineStr"/>
      <c r="P335" s="1" t="inlineStr"/>
      <c r="Q335" s="1" t="inlineStr">
        <is>
          <t>Пользовательский интерфейс</t>
        </is>
      </c>
    </row>
    <row r="336">
      <c r="B336" s="1" t="inlineStr">
        <is>
          <t>37117532</t>
        </is>
      </c>
      <c r="C336" s="1" t="inlineStr">
        <is>
          <t>2978778</t>
        </is>
      </c>
      <c r="D336" t="inlineStr">
        <is>
          <t>работник 90</t>
        </is>
      </c>
      <c r="E336" s="1" t="inlineStr">
        <is>
          <t>ОБЩЕСТВО С ОГРАНИЧЕННОЙ ОТВЕТСТВЕННОСТЬЮ "АМУР ЗОЛОТО"</t>
        </is>
      </c>
      <c r="F336" s="1" t="inlineStr">
        <is>
          <t>2708001686</t>
        </is>
      </c>
      <c r="G336" s="1" t="inlineStr">
        <is>
          <t>Электромонтер по ремонту и обслуживанию электрооборудования</t>
        </is>
      </c>
      <c r="H336" s="1" t="inlineStr">
        <is>
          <t>ООО "Амур Золото"</t>
        </is>
      </c>
      <c r="I336" s="1" t="inlineStr">
        <is>
          <t>2708001686</t>
        </is>
      </c>
      <c r="J336" s="1" t="inlineStr">
        <is>
          <t>ОТ № ЮГОК ЭУ 23-06</t>
        </is>
      </c>
      <c r="K336" s="1" t="inlineStr">
        <is>
          <t>Использование (применение) средств индивидуальной защиты</t>
        </is>
      </c>
      <c r="L336" s="1" t="inlineStr">
        <is>
          <t>09.12.2023</t>
        </is>
      </c>
      <c r="M336" s="1" t="inlineStr">
        <is>
          <t>Успешно</t>
        </is>
      </c>
      <c r="N336" s="1" t="inlineStr">
        <is>
          <t>05.02.2024</t>
        </is>
      </c>
      <c r="O336" s="1" t="inlineStr"/>
      <c r="P336" s="1" t="inlineStr"/>
      <c r="Q336" s="1" t="inlineStr">
        <is>
          <t>Пользовательский интерфейс</t>
        </is>
      </c>
    </row>
    <row r="337">
      <c r="B337" s="1" t="inlineStr">
        <is>
          <t>37117533</t>
        </is>
      </c>
      <c r="C337" s="1" t="inlineStr">
        <is>
          <t>2978778</t>
        </is>
      </c>
      <c r="D337" t="inlineStr">
        <is>
          <t>работник 90</t>
        </is>
      </c>
      <c r="E337" s="1" t="inlineStr">
        <is>
          <t>ОБЩЕСТВО С ОГРАНИЧЕННОЙ ОТВЕТСТВЕННОСТЬЮ "АМУР ЗОЛОТО"</t>
        </is>
      </c>
      <c r="F337" s="1" t="inlineStr">
        <is>
          <t>2708001686</t>
        </is>
      </c>
      <c r="G337" s="1" t="inlineStr">
        <is>
          <t>Электромонтер по ремонту и обслуживанию электрооборудования</t>
        </is>
      </c>
      <c r="H337" s="1" t="inlineStr">
        <is>
          <t>ООО "Амур Золото"</t>
        </is>
      </c>
      <c r="I337" s="1" t="inlineStr">
        <is>
          <t>2708001686</t>
        </is>
      </c>
      <c r="J337" s="1" t="inlineStr">
        <is>
          <t>ОТ № ЮГОК ЭУ 23-06</t>
        </is>
      </c>
      <c r="K33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37" s="1" t="inlineStr">
        <is>
          <t>09.12.2023</t>
        </is>
      </c>
      <c r="M337" s="1" t="inlineStr">
        <is>
          <t>Успешно</t>
        </is>
      </c>
      <c r="N337" s="1" t="inlineStr">
        <is>
          <t>05.02.2024</t>
        </is>
      </c>
      <c r="O337" s="1" t="inlineStr"/>
      <c r="P337" s="1" t="inlineStr"/>
      <c r="Q337" s="1" t="inlineStr">
        <is>
          <t>Пользовательский интерфейс</t>
        </is>
      </c>
    </row>
    <row r="338">
      <c r="B338" s="1" t="inlineStr">
        <is>
          <t>37117534</t>
        </is>
      </c>
      <c r="C338" s="1" t="inlineStr">
        <is>
          <t>2978778</t>
        </is>
      </c>
      <c r="D338" t="inlineStr">
        <is>
          <t>работник 90</t>
        </is>
      </c>
      <c r="E338" s="1" t="inlineStr">
        <is>
          <t>ОБЩЕСТВО С ОГРАНИЧЕННОЙ ОТВЕТСТВЕННОСТЬЮ "АМУР ЗОЛОТО"</t>
        </is>
      </c>
      <c r="F338" s="1" t="inlineStr">
        <is>
          <t>2708001686</t>
        </is>
      </c>
      <c r="G338" s="1" t="inlineStr">
        <is>
          <t>Электромонтер по ремонту и обслуживанию электрооборудования</t>
        </is>
      </c>
      <c r="H338" s="1" t="inlineStr">
        <is>
          <t>ООО "Амур Золото"</t>
        </is>
      </c>
      <c r="I338" s="1" t="inlineStr">
        <is>
          <t>2708001686</t>
        </is>
      </c>
      <c r="J338" s="1" t="inlineStr">
        <is>
          <t>ОТ № ЮГОК ЭУ 23-07</t>
        </is>
      </c>
      <c r="K338" s="1" t="inlineStr">
        <is>
          <t>Безопасные методы и приемы выполнения работ в электроустановках</t>
        </is>
      </c>
      <c r="L338" s="1" t="inlineStr">
        <is>
          <t>09.12.2023</t>
        </is>
      </c>
      <c r="M338" s="1" t="inlineStr">
        <is>
          <t>Успешно</t>
        </is>
      </c>
      <c r="N338" s="1" t="inlineStr">
        <is>
          <t>05.02.2024</t>
        </is>
      </c>
      <c r="O338" s="1" t="inlineStr"/>
      <c r="P338" s="1" t="inlineStr"/>
      <c r="Q338" s="1" t="inlineStr">
        <is>
          <t>Пользовательский интерфейс</t>
        </is>
      </c>
    </row>
    <row r="339">
      <c r="B339" s="1" t="inlineStr">
        <is>
          <t>37117535</t>
        </is>
      </c>
      <c r="C339" s="1" t="inlineStr">
        <is>
          <t>2978778</t>
        </is>
      </c>
      <c r="D339" t="inlineStr">
        <is>
          <t>работник 90</t>
        </is>
      </c>
      <c r="E339" s="1" t="inlineStr">
        <is>
          <t>ОБЩЕСТВО С ОГРАНИЧЕННОЙ ОТВЕТСТВЕННОСТЬЮ "АМУР ЗОЛОТО"</t>
        </is>
      </c>
      <c r="F339" s="1" t="inlineStr">
        <is>
          <t>2708001686</t>
        </is>
      </c>
      <c r="G339" s="1" t="inlineStr">
        <is>
          <t>Электромонтер по ремонту и обслуживанию электрооборудования</t>
        </is>
      </c>
      <c r="H339" s="1" t="inlineStr">
        <is>
          <t>ООО "Амур Золото"</t>
        </is>
      </c>
      <c r="I339" s="1" t="inlineStr">
        <is>
          <t>2708001686</t>
        </is>
      </c>
      <c r="J339" s="1" t="inlineStr">
        <is>
          <t>ОТ № ЮГОК ЭУ 23-07</t>
        </is>
      </c>
      <c r="K339" s="1" t="inlineStr">
        <is>
          <t>Безопасные методы и приемы выполнения работ на высоте</t>
        </is>
      </c>
      <c r="L339" s="1" t="inlineStr">
        <is>
          <t>09.12.2023</t>
        </is>
      </c>
      <c r="M339" s="1" t="inlineStr">
        <is>
          <t>Успешно</t>
        </is>
      </c>
      <c r="N339" s="1" t="inlineStr">
        <is>
          <t>05.02.2024</t>
        </is>
      </c>
      <c r="O339" s="1" t="inlineStr"/>
      <c r="P339" s="1" t="inlineStr"/>
      <c r="Q339" s="1" t="inlineStr">
        <is>
          <t>Пользовательский интерфейс</t>
        </is>
      </c>
    </row>
    <row r="340">
      <c r="B340" s="1" t="inlineStr">
        <is>
          <t>37117536</t>
        </is>
      </c>
      <c r="C340" s="1" t="inlineStr">
        <is>
          <t>2978778</t>
        </is>
      </c>
      <c r="D340" t="inlineStr">
        <is>
          <t>работник 91</t>
        </is>
      </c>
      <c r="E340" s="1" t="inlineStr">
        <is>
          <t>ОБЩЕСТВО С ОГРАНИЧЕННОЙ ОТВЕТСТВЕННОСТЬЮ "АМУР ЗОЛОТО"</t>
        </is>
      </c>
      <c r="F340" s="1" t="inlineStr">
        <is>
          <t>2708001686</t>
        </is>
      </c>
      <c r="G340" s="1" t="inlineStr">
        <is>
          <t>Машинист насосных установок</t>
        </is>
      </c>
      <c r="H340" s="1" t="inlineStr">
        <is>
          <t>ООО "Амур Золото"</t>
        </is>
      </c>
      <c r="I340" s="1" t="inlineStr">
        <is>
          <t>2708001686</t>
        </is>
      </c>
      <c r="J340" s="1" t="inlineStr">
        <is>
          <t>ОТ № ЮГОК ЭУ 23-05</t>
        </is>
      </c>
      <c r="K340" s="1" t="inlineStr">
        <is>
          <t>Оказание первой помощи пострадавшим</t>
        </is>
      </c>
      <c r="L340" s="1" t="inlineStr">
        <is>
          <t>07.12.2023</t>
        </is>
      </c>
      <c r="M340" s="1" t="inlineStr">
        <is>
          <t>Успешно</t>
        </is>
      </c>
      <c r="N340" s="1" t="inlineStr">
        <is>
          <t>05.02.2024</t>
        </is>
      </c>
      <c r="O340" s="1" t="inlineStr"/>
      <c r="P340" s="1" t="inlineStr"/>
      <c r="Q340" s="1" t="inlineStr">
        <is>
          <t>Пользовательский интерфейс</t>
        </is>
      </c>
    </row>
    <row r="341">
      <c r="B341" s="1" t="inlineStr">
        <is>
          <t>37117537</t>
        </is>
      </c>
      <c r="C341" s="1" t="inlineStr">
        <is>
          <t>2978778</t>
        </is>
      </c>
      <c r="D341" t="inlineStr">
        <is>
          <t>работник 91</t>
        </is>
      </c>
      <c r="E341" s="1" t="inlineStr">
        <is>
          <t>ОБЩЕСТВО С ОГРАНИЧЕННОЙ ОТВЕТСТВЕННОСТЬЮ "АМУР ЗОЛОТО"</t>
        </is>
      </c>
      <c r="F341" s="1" t="inlineStr">
        <is>
          <t>2708001686</t>
        </is>
      </c>
      <c r="G341" s="1" t="inlineStr">
        <is>
          <t>Машинист насосных установок</t>
        </is>
      </c>
      <c r="H341" s="1" t="inlineStr">
        <is>
          <t>ООО "Амур Золото"</t>
        </is>
      </c>
      <c r="I341" s="1" t="inlineStr">
        <is>
          <t>2708001686</t>
        </is>
      </c>
      <c r="J341" s="1" t="inlineStr">
        <is>
          <t>ОТ № ЮГОК ЭУ 23-05</t>
        </is>
      </c>
      <c r="K341" s="1" t="inlineStr">
        <is>
          <t>Использование (применение) средств индивидуальной защиты</t>
        </is>
      </c>
      <c r="L341" s="1" t="inlineStr">
        <is>
          <t>07.12.2023</t>
        </is>
      </c>
      <c r="M341" s="1" t="inlineStr">
        <is>
          <t>Успешно</t>
        </is>
      </c>
      <c r="N341" s="1" t="inlineStr">
        <is>
          <t>05.02.2024</t>
        </is>
      </c>
      <c r="O341" s="1" t="inlineStr"/>
      <c r="P341" s="1" t="inlineStr"/>
      <c r="Q341" s="1" t="inlineStr">
        <is>
          <t>Пользовательский интерфейс</t>
        </is>
      </c>
    </row>
    <row r="342">
      <c r="B342" s="1" t="inlineStr">
        <is>
          <t>37117538</t>
        </is>
      </c>
      <c r="C342" s="1" t="inlineStr">
        <is>
          <t>2978778</t>
        </is>
      </c>
      <c r="D342" t="inlineStr">
        <is>
          <t>работник 91</t>
        </is>
      </c>
      <c r="E342" s="1" t="inlineStr">
        <is>
          <t>ОБЩЕСТВО С ОГРАНИЧЕННОЙ ОТВЕТСТВЕННОСТЬЮ "АМУР ЗОЛОТО"</t>
        </is>
      </c>
      <c r="F342" s="1" t="inlineStr">
        <is>
          <t>2708001686</t>
        </is>
      </c>
      <c r="G342" s="1" t="inlineStr">
        <is>
          <t>Машинист насосных установок</t>
        </is>
      </c>
      <c r="H342" s="1" t="inlineStr">
        <is>
          <t>ООО "Амур Золото"</t>
        </is>
      </c>
      <c r="I342" s="1" t="inlineStr">
        <is>
          <t>2708001686</t>
        </is>
      </c>
      <c r="J342" s="1" t="inlineStr">
        <is>
          <t>ОТ № ЮГОК ЭУ 23-05</t>
        </is>
      </c>
      <c r="K34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42" s="1" t="inlineStr">
        <is>
          <t>07.12.2023</t>
        </is>
      </c>
      <c r="M342" s="1" t="inlineStr">
        <is>
          <t>Успешно</t>
        </is>
      </c>
      <c r="N342" s="1" t="inlineStr">
        <is>
          <t>05.02.2024</t>
        </is>
      </c>
      <c r="O342" s="1" t="inlineStr"/>
      <c r="P342" s="1" t="inlineStr"/>
      <c r="Q342" s="1" t="inlineStr">
        <is>
          <t>Пользовательский интерфейс</t>
        </is>
      </c>
    </row>
    <row r="343">
      <c r="B343" s="1" t="inlineStr">
        <is>
          <t>37117539</t>
        </is>
      </c>
      <c r="C343" s="1" t="inlineStr">
        <is>
          <t>2978778</t>
        </is>
      </c>
      <c r="D343" t="inlineStr">
        <is>
          <t>работник 92</t>
        </is>
      </c>
      <c r="E343" s="1" t="inlineStr">
        <is>
          <t>ОБЩЕСТВО С ОГРАНИЧЕННОЙ ОТВЕТСТВЕННОСТЬЮ "АМУР ЗОЛОТО"</t>
        </is>
      </c>
      <c r="F343" s="1" t="inlineStr">
        <is>
          <t>2708001686</t>
        </is>
      </c>
      <c r="G343" s="1" t="inlineStr">
        <is>
          <t>Машинист насосных установок</t>
        </is>
      </c>
      <c r="H343" s="1" t="inlineStr">
        <is>
          <t>ООО "Амур Золото"</t>
        </is>
      </c>
      <c r="I343" s="1" t="inlineStr">
        <is>
          <t>2708001686</t>
        </is>
      </c>
      <c r="J343" s="1" t="inlineStr">
        <is>
          <t>ОТ № ЮГОК ЭУ 23-05</t>
        </is>
      </c>
      <c r="K343" s="1" t="inlineStr">
        <is>
          <t>Оказание первой помощи пострадавшим</t>
        </is>
      </c>
      <c r="L343" s="1" t="inlineStr">
        <is>
          <t>07.12.2023</t>
        </is>
      </c>
      <c r="M343" s="1" t="inlineStr">
        <is>
          <t>Успешно</t>
        </is>
      </c>
      <c r="N343" s="1" t="inlineStr">
        <is>
          <t>05.02.2024</t>
        </is>
      </c>
      <c r="O343" s="1" t="inlineStr"/>
      <c r="P343" s="1" t="inlineStr"/>
      <c r="Q343" s="1" t="inlineStr">
        <is>
          <t>Пользовательский интерфейс</t>
        </is>
      </c>
    </row>
    <row r="344">
      <c r="B344" s="1" t="inlineStr">
        <is>
          <t>37117540</t>
        </is>
      </c>
      <c r="C344" s="1" t="inlineStr">
        <is>
          <t>2978778</t>
        </is>
      </c>
      <c r="D344" t="inlineStr">
        <is>
          <t>работник 92</t>
        </is>
      </c>
      <c r="E344" s="1" t="inlineStr">
        <is>
          <t>ОБЩЕСТВО С ОГРАНИЧЕННОЙ ОТВЕТСТВЕННОСТЬЮ "АМУР ЗОЛОТО"</t>
        </is>
      </c>
      <c r="F344" s="1" t="inlineStr">
        <is>
          <t>2708001686</t>
        </is>
      </c>
      <c r="G344" s="1" t="inlineStr">
        <is>
          <t>Машинист насосных установок</t>
        </is>
      </c>
      <c r="H344" s="1" t="inlineStr">
        <is>
          <t>ООО "Амур Золото"</t>
        </is>
      </c>
      <c r="I344" s="1" t="inlineStr">
        <is>
          <t>2708001686</t>
        </is>
      </c>
      <c r="J344" s="1" t="inlineStr">
        <is>
          <t>ОТ № ЮГОК ЭУ 23-05</t>
        </is>
      </c>
      <c r="K344" s="1" t="inlineStr">
        <is>
          <t>Использование (применение) средств индивидуальной защиты</t>
        </is>
      </c>
      <c r="L344" s="1" t="inlineStr">
        <is>
          <t>07.12.2023</t>
        </is>
      </c>
      <c r="M344" s="1" t="inlineStr">
        <is>
          <t>Успешно</t>
        </is>
      </c>
      <c r="N344" s="1" t="inlineStr">
        <is>
          <t>05.02.2024</t>
        </is>
      </c>
      <c r="O344" s="1" t="inlineStr"/>
      <c r="P344" s="1" t="inlineStr"/>
      <c r="Q344" s="1" t="inlineStr">
        <is>
          <t>Пользовательский интерфейс</t>
        </is>
      </c>
    </row>
    <row r="345">
      <c r="B345" s="1" t="inlineStr">
        <is>
          <t>37117541</t>
        </is>
      </c>
      <c r="C345" s="1" t="inlineStr">
        <is>
          <t>2978778</t>
        </is>
      </c>
      <c r="D345" t="inlineStr">
        <is>
          <t>работник 92</t>
        </is>
      </c>
      <c r="E345" s="1" t="inlineStr">
        <is>
          <t>ОБЩЕСТВО С ОГРАНИЧЕННОЙ ОТВЕТСТВЕННОСТЬЮ "АМУР ЗОЛОТО"</t>
        </is>
      </c>
      <c r="F345" s="1" t="inlineStr">
        <is>
          <t>2708001686</t>
        </is>
      </c>
      <c r="G345" s="1" t="inlineStr">
        <is>
          <t>Машинист насосных установок</t>
        </is>
      </c>
      <c r="H345" s="1" t="inlineStr">
        <is>
          <t>ООО "Амур Золото"</t>
        </is>
      </c>
      <c r="I345" s="1" t="inlineStr">
        <is>
          <t>2708001686</t>
        </is>
      </c>
      <c r="J345" s="1" t="inlineStr">
        <is>
          <t>ОТ № ЮГОК ЭУ 23-05</t>
        </is>
      </c>
      <c r="K34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45" s="1" t="inlineStr">
        <is>
          <t>07.12.2023</t>
        </is>
      </c>
      <c r="M345" s="1" t="inlineStr">
        <is>
          <t>Успешно</t>
        </is>
      </c>
      <c r="N345" s="1" t="inlineStr">
        <is>
          <t>05.02.2024</t>
        </is>
      </c>
      <c r="O345" s="1" t="inlineStr"/>
      <c r="P345" s="1" t="inlineStr"/>
      <c r="Q345" s="1" t="inlineStr">
        <is>
          <t>Пользовательский интерфейс</t>
        </is>
      </c>
    </row>
    <row r="346">
      <c r="B346" s="1" t="inlineStr">
        <is>
          <t>37117542</t>
        </is>
      </c>
      <c r="C346" s="1" t="inlineStr">
        <is>
          <t>2978778</t>
        </is>
      </c>
      <c r="D346" t="inlineStr">
        <is>
          <t>работник 89</t>
        </is>
      </c>
      <c r="E346" s="1" t="inlineStr">
        <is>
          <t>ОБЩЕСТВО С ОГРАНИЧЕННОЙ ОТВЕТСТВЕННОСТЬЮ "АМУР ЗОЛОТО"</t>
        </is>
      </c>
      <c r="F346" s="1" t="inlineStr">
        <is>
          <t>2708001686</t>
        </is>
      </c>
      <c r="G346" s="1" t="inlineStr">
        <is>
          <t>Повар</t>
        </is>
      </c>
      <c r="H346" s="1" t="inlineStr">
        <is>
          <t>ООО "Амур Золото"</t>
        </is>
      </c>
      <c r="I346" s="1" t="inlineStr">
        <is>
          <t>2708001686</t>
        </is>
      </c>
      <c r="J346" s="1" t="inlineStr">
        <is>
          <t>ОТ № ЮГОК Столовая 23-01</t>
        </is>
      </c>
      <c r="K346" s="1" t="inlineStr">
        <is>
          <t>Оказание первой помощи пострадавшим</t>
        </is>
      </c>
      <c r="L346" s="1" t="inlineStr">
        <is>
          <t>09.12.2023</t>
        </is>
      </c>
      <c r="M346" s="1" t="inlineStr">
        <is>
          <t>Успешно</t>
        </is>
      </c>
      <c r="N346" s="1" t="inlineStr">
        <is>
          <t>05.02.2024</t>
        </is>
      </c>
      <c r="O346" s="1" t="inlineStr"/>
      <c r="P346" s="1" t="inlineStr"/>
      <c r="Q346" s="1" t="inlineStr">
        <is>
          <t>Пользовательский интерфейс</t>
        </is>
      </c>
    </row>
    <row r="347">
      <c r="B347" s="1" t="inlineStr">
        <is>
          <t>37117543</t>
        </is>
      </c>
      <c r="C347" s="1" t="inlineStr">
        <is>
          <t>2978778</t>
        </is>
      </c>
      <c r="D347" t="inlineStr">
        <is>
          <t>работник 89</t>
        </is>
      </c>
      <c r="E347" s="1" t="inlineStr">
        <is>
          <t>ОБЩЕСТВО С ОГРАНИЧЕННОЙ ОТВЕТСТВЕННОСТЬЮ "АМУР ЗОЛОТО"</t>
        </is>
      </c>
      <c r="F347" s="1" t="inlineStr">
        <is>
          <t>2708001686</t>
        </is>
      </c>
      <c r="G347" s="1" t="inlineStr">
        <is>
          <t>Повар</t>
        </is>
      </c>
      <c r="H347" s="1" t="inlineStr">
        <is>
          <t>ООО "Амур Золото"</t>
        </is>
      </c>
      <c r="I347" s="1" t="inlineStr">
        <is>
          <t>2708001686</t>
        </is>
      </c>
      <c r="J347" s="1" t="inlineStr">
        <is>
          <t>ОТ № ЮГОК Столовая 23-01</t>
        </is>
      </c>
      <c r="K34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47" s="1" t="inlineStr">
        <is>
          <t>09.12.2023</t>
        </is>
      </c>
      <c r="M347" s="1" t="inlineStr">
        <is>
          <t>Успешно</t>
        </is>
      </c>
      <c r="N347" s="1" t="inlineStr">
        <is>
          <t>05.02.2024</t>
        </is>
      </c>
      <c r="O347" s="1" t="inlineStr"/>
      <c r="P347" s="1" t="inlineStr"/>
      <c r="Q347" s="1" t="inlineStr">
        <is>
          <t>Пользовательский интерфейс</t>
        </is>
      </c>
    </row>
    <row r="348">
      <c r="B348" s="1" t="inlineStr">
        <is>
          <t>37117544</t>
        </is>
      </c>
      <c r="C348" s="1" t="inlineStr">
        <is>
          <t>2978778</t>
        </is>
      </c>
      <c r="D348" t="inlineStr">
        <is>
          <t>работник 93</t>
        </is>
      </c>
      <c r="E348" s="1" t="inlineStr">
        <is>
          <t>ОБЩЕСТВО С ОГРАНИЧЕННОЙ ОТВЕТСТВЕННОСТЬЮ "АМУР ЗОЛОТО"</t>
        </is>
      </c>
      <c r="F348" s="1" t="inlineStr">
        <is>
          <t>2708001686</t>
        </is>
      </c>
      <c r="G348" s="1" t="inlineStr">
        <is>
          <t>Кухонный рабочий</t>
        </is>
      </c>
      <c r="H348" s="1" t="inlineStr">
        <is>
          <t>ООО "Амур Золото"</t>
        </is>
      </c>
      <c r="I348" s="1" t="inlineStr">
        <is>
          <t>2708001686</t>
        </is>
      </c>
      <c r="J348" s="1" t="inlineStr">
        <is>
          <t>ОТ № ЮГОК Столовая 23-01</t>
        </is>
      </c>
      <c r="K348" s="1" t="inlineStr">
        <is>
          <t>Оказание первой помощи пострадавшим</t>
        </is>
      </c>
      <c r="L348" s="1" t="inlineStr">
        <is>
          <t>09.12.2023</t>
        </is>
      </c>
      <c r="M348" s="1" t="inlineStr">
        <is>
          <t>Успешно</t>
        </is>
      </c>
      <c r="N348" s="1" t="inlineStr">
        <is>
          <t>05.02.2024</t>
        </is>
      </c>
      <c r="O348" s="1" t="inlineStr"/>
      <c r="P348" s="1" t="inlineStr"/>
      <c r="Q348" s="1" t="inlineStr">
        <is>
          <t>Пользовательский интерфейс</t>
        </is>
      </c>
    </row>
    <row r="349">
      <c r="B349" s="1" t="inlineStr">
        <is>
          <t>37117545</t>
        </is>
      </c>
      <c r="C349" s="1" t="inlineStr">
        <is>
          <t>2978778</t>
        </is>
      </c>
      <c r="D349" t="inlineStr">
        <is>
          <t>работник 93</t>
        </is>
      </c>
      <c r="E349" s="1" t="inlineStr">
        <is>
          <t>ОБЩЕСТВО С ОГРАНИЧЕННОЙ ОТВЕТСТВЕННОСТЬЮ "АМУР ЗОЛОТО"</t>
        </is>
      </c>
      <c r="F349" s="1" t="inlineStr">
        <is>
          <t>2708001686</t>
        </is>
      </c>
      <c r="G349" s="1" t="inlineStr">
        <is>
          <t>Кухонный рабочий</t>
        </is>
      </c>
      <c r="H349" s="1" t="inlineStr">
        <is>
          <t>ООО "Амур Золото"</t>
        </is>
      </c>
      <c r="I349" s="1" t="inlineStr">
        <is>
          <t>2708001686</t>
        </is>
      </c>
      <c r="J349" s="1" t="inlineStr">
        <is>
          <t>ОТ № ЮГОК Столовая 23-01</t>
        </is>
      </c>
      <c r="K349" s="1" t="inlineStr">
        <is>
          <t>Использование (применение) средств индивидуальной защиты</t>
        </is>
      </c>
      <c r="L349" s="1" t="inlineStr">
        <is>
          <t>09.12.2023</t>
        </is>
      </c>
      <c r="M349" s="1" t="inlineStr">
        <is>
          <t>Успешно</t>
        </is>
      </c>
      <c r="N349" s="1" t="inlineStr">
        <is>
          <t>05.02.2024</t>
        </is>
      </c>
      <c r="O349" s="1" t="inlineStr"/>
      <c r="P349" s="1" t="inlineStr"/>
      <c r="Q349" s="1" t="inlineStr">
        <is>
          <t>Пользовательский интерфейс</t>
        </is>
      </c>
    </row>
    <row r="350">
      <c r="B350" s="1" t="inlineStr">
        <is>
          <t>37117546</t>
        </is>
      </c>
      <c r="C350" s="1" t="inlineStr">
        <is>
          <t>2978778</t>
        </is>
      </c>
      <c r="D350" t="inlineStr">
        <is>
          <t>работник 93</t>
        </is>
      </c>
      <c r="E350" s="1" t="inlineStr">
        <is>
          <t>ОБЩЕСТВО С ОГРАНИЧЕННОЙ ОТВЕТСТВЕННОСТЬЮ "АМУР ЗОЛОТО"</t>
        </is>
      </c>
      <c r="F350" s="1" t="inlineStr">
        <is>
          <t>2708001686</t>
        </is>
      </c>
      <c r="G350" s="1" t="inlineStr">
        <is>
          <t>Кухонный рабочий</t>
        </is>
      </c>
      <c r="H350" s="1" t="inlineStr">
        <is>
          <t>ООО "Амур Золото"</t>
        </is>
      </c>
      <c r="I350" s="1" t="inlineStr">
        <is>
          <t>2708001686</t>
        </is>
      </c>
      <c r="J350" s="1" t="inlineStr">
        <is>
          <t>ОТ № ЮГОК Столовая 23-01</t>
        </is>
      </c>
      <c r="K35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50" s="1" t="inlineStr">
        <is>
          <t>09.12.2023</t>
        </is>
      </c>
      <c r="M350" s="1" t="inlineStr">
        <is>
          <t>Успешно</t>
        </is>
      </c>
      <c r="N350" s="1" t="inlineStr">
        <is>
          <t>05.02.2024</t>
        </is>
      </c>
      <c r="O350" s="1" t="inlineStr"/>
      <c r="P350" s="1" t="inlineStr"/>
      <c r="Q350" s="1" t="inlineStr">
        <is>
          <t>Пользовательский интерфейс</t>
        </is>
      </c>
    </row>
    <row r="351">
      <c r="B351" s="1" t="inlineStr">
        <is>
          <t>37117547</t>
        </is>
      </c>
      <c r="C351" s="1" t="inlineStr">
        <is>
          <t>2978778</t>
        </is>
      </c>
      <c r="D351" t="inlineStr">
        <is>
          <t>работник 94</t>
        </is>
      </c>
      <c r="E351" s="1" t="inlineStr">
        <is>
          <t>ОБЩЕСТВО С ОГРАНИЧЕННОЙ ОТВЕТСТВЕННОСТЬЮ "АМУР ЗОЛОТО"</t>
        </is>
      </c>
      <c r="F351" s="1" t="inlineStr">
        <is>
          <t>2708001686</t>
        </is>
      </c>
      <c r="G351" s="1" t="inlineStr">
        <is>
          <t>Кухонный рабочий</t>
        </is>
      </c>
      <c r="H351" s="1" t="inlineStr">
        <is>
          <t>ООО "Амур Золото"</t>
        </is>
      </c>
      <c r="I351" s="1" t="inlineStr">
        <is>
          <t>2708001686</t>
        </is>
      </c>
      <c r="J351" s="1" t="inlineStr">
        <is>
          <t>ОТ № ЮГОК Столовая 23-01</t>
        </is>
      </c>
      <c r="K351" s="1" t="inlineStr">
        <is>
          <t>Оказание первой помощи пострадавшим</t>
        </is>
      </c>
      <c r="L351" s="1" t="inlineStr">
        <is>
          <t>09.12.2023</t>
        </is>
      </c>
      <c r="M351" s="1" t="inlineStr">
        <is>
          <t>Успешно</t>
        </is>
      </c>
      <c r="N351" s="1" t="inlineStr">
        <is>
          <t>05.02.2024</t>
        </is>
      </c>
      <c r="O351" s="1" t="inlineStr"/>
      <c r="P351" s="1" t="inlineStr"/>
      <c r="Q351" s="1" t="inlineStr">
        <is>
          <t>Пользовательский интерфейс</t>
        </is>
      </c>
    </row>
    <row r="352">
      <c r="B352" s="1" t="inlineStr">
        <is>
          <t>37117548</t>
        </is>
      </c>
      <c r="C352" s="1" t="inlineStr">
        <is>
          <t>2978778</t>
        </is>
      </c>
      <c r="D352" t="inlineStr">
        <is>
          <t>работник 94</t>
        </is>
      </c>
      <c r="E352" s="1" t="inlineStr">
        <is>
          <t>ОБЩЕСТВО С ОГРАНИЧЕННОЙ ОТВЕТСТВЕННОСТЬЮ "АМУР ЗОЛОТО"</t>
        </is>
      </c>
      <c r="F352" s="1" t="inlineStr">
        <is>
          <t>2708001686</t>
        </is>
      </c>
      <c r="G352" s="1" t="inlineStr">
        <is>
          <t>Кухонный рабочий</t>
        </is>
      </c>
      <c r="H352" s="1" t="inlineStr">
        <is>
          <t>ООО "Амур Золото"</t>
        </is>
      </c>
      <c r="I352" s="1" t="inlineStr">
        <is>
          <t>2708001686</t>
        </is>
      </c>
      <c r="J352" s="1" t="inlineStr">
        <is>
          <t>ОТ № ЮГОК Столовая 23-01</t>
        </is>
      </c>
      <c r="K352" s="1" t="inlineStr">
        <is>
          <t>Использование (применение) средств индивидуальной защиты</t>
        </is>
      </c>
      <c r="L352" s="1" t="inlineStr">
        <is>
          <t>09.12.2023</t>
        </is>
      </c>
      <c r="M352" s="1" t="inlineStr">
        <is>
          <t>Успешно</t>
        </is>
      </c>
      <c r="N352" s="1" t="inlineStr">
        <is>
          <t>05.02.2024</t>
        </is>
      </c>
      <c r="O352" s="1" t="inlineStr"/>
      <c r="P352" s="1" t="inlineStr"/>
      <c r="Q352" s="1" t="inlineStr">
        <is>
          <t>Пользовательский интерфейс</t>
        </is>
      </c>
    </row>
    <row r="353">
      <c r="B353" s="1" t="inlineStr">
        <is>
          <t>37117549</t>
        </is>
      </c>
      <c r="C353" s="1" t="inlineStr">
        <is>
          <t>2978778</t>
        </is>
      </c>
      <c r="D353" t="inlineStr">
        <is>
          <t>работник 94</t>
        </is>
      </c>
      <c r="E353" s="1" t="inlineStr">
        <is>
          <t>ОБЩЕСТВО С ОГРАНИЧЕННОЙ ОТВЕТСТВЕННОСТЬЮ "АМУР ЗОЛОТО"</t>
        </is>
      </c>
      <c r="F353" s="1" t="inlineStr">
        <is>
          <t>2708001686</t>
        </is>
      </c>
      <c r="G353" s="1" t="inlineStr">
        <is>
          <t>Кухонный рабочий</t>
        </is>
      </c>
      <c r="H353" s="1" t="inlineStr">
        <is>
          <t>ООО "Амур Золото"</t>
        </is>
      </c>
      <c r="I353" s="1" t="inlineStr">
        <is>
          <t>2708001686</t>
        </is>
      </c>
      <c r="J353" s="1" t="inlineStr">
        <is>
          <t>ОТ № ЮГОК Столовая 23-01</t>
        </is>
      </c>
      <c r="K35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53" s="1" t="inlineStr">
        <is>
          <t>09.12.2023</t>
        </is>
      </c>
      <c r="M353" s="1" t="inlineStr">
        <is>
          <t>Успешно</t>
        </is>
      </c>
      <c r="N353" s="1" t="inlineStr">
        <is>
          <t>05.02.2024</t>
        </is>
      </c>
      <c r="O353" s="1" t="inlineStr"/>
      <c r="P353" s="1" t="inlineStr"/>
      <c r="Q353" s="1" t="inlineStr">
        <is>
          <t>Пользовательский интерфейс</t>
        </is>
      </c>
    </row>
    <row r="354">
      <c r="B354" s="1" t="inlineStr">
        <is>
          <t>37117550</t>
        </is>
      </c>
      <c r="C354" s="1" t="inlineStr">
        <is>
          <t>2978778</t>
        </is>
      </c>
      <c r="D354" t="inlineStr">
        <is>
          <t>работник 95</t>
        </is>
      </c>
      <c r="E354" s="1" t="inlineStr">
        <is>
          <t>ОБЩЕСТВО С ОГРАНИЧЕННОЙ ОТВЕТСТВЕННОСТЬЮ "АМУР ЗОЛОТО"</t>
        </is>
      </c>
      <c r="F354" s="1" t="inlineStr">
        <is>
          <t>2708001686</t>
        </is>
      </c>
      <c r="G354" s="1" t="inlineStr">
        <is>
          <t>Кухонный рабочий</t>
        </is>
      </c>
      <c r="H354" s="1" t="inlineStr">
        <is>
          <t>ООО "Амур Золото"</t>
        </is>
      </c>
      <c r="I354" s="1" t="inlineStr">
        <is>
          <t>2708001686</t>
        </is>
      </c>
      <c r="J354" s="1" t="inlineStr">
        <is>
          <t>ОТ № ЮГОК Столовая 23-01</t>
        </is>
      </c>
      <c r="K354" s="1" t="inlineStr">
        <is>
          <t>Оказание первой помощи пострадавшим</t>
        </is>
      </c>
      <c r="L354" s="1" t="inlineStr">
        <is>
          <t>09.12.2023</t>
        </is>
      </c>
      <c r="M354" s="1" t="inlineStr">
        <is>
          <t>Успешно</t>
        </is>
      </c>
      <c r="N354" s="1" t="inlineStr">
        <is>
          <t>05.02.2024</t>
        </is>
      </c>
      <c r="O354" s="1" t="inlineStr"/>
      <c r="P354" s="1" t="inlineStr"/>
      <c r="Q354" s="1" t="inlineStr">
        <is>
          <t>Пользовательский интерфейс</t>
        </is>
      </c>
    </row>
    <row r="355">
      <c r="B355" s="1" t="inlineStr">
        <is>
          <t>37117551</t>
        </is>
      </c>
      <c r="C355" s="1" t="inlineStr">
        <is>
          <t>2978778</t>
        </is>
      </c>
      <c r="D355" t="inlineStr">
        <is>
          <t>работник 95</t>
        </is>
      </c>
      <c r="E355" s="1" t="inlineStr">
        <is>
          <t>ОБЩЕСТВО С ОГРАНИЧЕННОЙ ОТВЕТСТВЕННОСТЬЮ "АМУР ЗОЛОТО"</t>
        </is>
      </c>
      <c r="F355" s="1" t="inlineStr">
        <is>
          <t>2708001686</t>
        </is>
      </c>
      <c r="G355" s="1" t="inlineStr">
        <is>
          <t>Кухонный рабочий</t>
        </is>
      </c>
      <c r="H355" s="1" t="inlineStr">
        <is>
          <t>ООО "Амур Золото"</t>
        </is>
      </c>
      <c r="I355" s="1" t="inlineStr">
        <is>
          <t>2708001686</t>
        </is>
      </c>
      <c r="J355" s="1" t="inlineStr">
        <is>
          <t>ОТ № ЮГОК Столовая 23-01</t>
        </is>
      </c>
      <c r="K355" s="1" t="inlineStr">
        <is>
          <t>Использование (применение) средств индивидуальной защиты</t>
        </is>
      </c>
      <c r="L355" s="1" t="inlineStr">
        <is>
          <t>09.12.2023</t>
        </is>
      </c>
      <c r="M355" s="1" t="inlineStr">
        <is>
          <t>Успешно</t>
        </is>
      </c>
      <c r="N355" s="1" t="inlineStr">
        <is>
          <t>05.02.2024</t>
        </is>
      </c>
      <c r="O355" s="1" t="inlineStr"/>
      <c r="P355" s="1" t="inlineStr"/>
      <c r="Q355" s="1" t="inlineStr">
        <is>
          <t>Пользовательский интерфейс</t>
        </is>
      </c>
    </row>
    <row r="356">
      <c r="B356" s="1" t="inlineStr">
        <is>
          <t>37117552</t>
        </is>
      </c>
      <c r="C356" s="1" t="inlineStr">
        <is>
          <t>2978778</t>
        </is>
      </c>
      <c r="D356" t="inlineStr">
        <is>
          <t>работник 95</t>
        </is>
      </c>
      <c r="E356" s="1" t="inlineStr">
        <is>
          <t>ОБЩЕСТВО С ОГРАНИЧЕННОЙ ОТВЕТСТВЕННОСТЬЮ "АМУР ЗОЛОТО"</t>
        </is>
      </c>
      <c r="F356" s="1" t="inlineStr">
        <is>
          <t>2708001686</t>
        </is>
      </c>
      <c r="G356" s="1" t="inlineStr">
        <is>
          <t>Кухонный рабочий</t>
        </is>
      </c>
      <c r="H356" s="1" t="inlineStr">
        <is>
          <t>ООО "Амур Золото"</t>
        </is>
      </c>
      <c r="I356" s="1" t="inlineStr">
        <is>
          <t>2708001686</t>
        </is>
      </c>
      <c r="J356" s="1" t="inlineStr">
        <is>
          <t>ОТ № ЮГОК Столовая 23-01</t>
        </is>
      </c>
      <c r="K35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56" s="1" t="inlineStr">
        <is>
          <t>09.12.2023</t>
        </is>
      </c>
      <c r="M356" s="1" t="inlineStr">
        <is>
          <t>Успешно</t>
        </is>
      </c>
      <c r="N356" s="1" t="inlineStr">
        <is>
          <t>05.02.2024</t>
        </is>
      </c>
      <c r="O356" s="1" t="inlineStr"/>
      <c r="P356" s="1" t="inlineStr"/>
      <c r="Q356" s="1" t="inlineStr">
        <is>
          <t>Пользовательский интерфейс</t>
        </is>
      </c>
    </row>
    <row r="357">
      <c r="B357" s="1" t="inlineStr">
        <is>
          <t>37117553</t>
        </is>
      </c>
      <c r="C357" s="1" t="inlineStr">
        <is>
          <t>2978778</t>
        </is>
      </c>
      <c r="D357" t="inlineStr">
        <is>
          <t>работник 96</t>
        </is>
      </c>
      <c r="E357" s="1" t="inlineStr">
        <is>
          <t>ОБЩЕСТВО С ОГРАНИЧЕННОЙ ОТВЕТСТВЕННОСТЬЮ "АМУР ЗОЛОТО"</t>
        </is>
      </c>
      <c r="F357" s="1" t="inlineStr">
        <is>
          <t>2708001686</t>
        </is>
      </c>
      <c r="G357" s="1" t="inlineStr">
        <is>
          <t>Кухонный рабочий</t>
        </is>
      </c>
      <c r="H357" s="1" t="inlineStr">
        <is>
          <t>ООО "Амур Золото"</t>
        </is>
      </c>
      <c r="I357" s="1" t="inlineStr">
        <is>
          <t>2708001686</t>
        </is>
      </c>
      <c r="J357" s="1" t="inlineStr">
        <is>
          <t>ОТ № ЮГОК Столовая 23-01</t>
        </is>
      </c>
      <c r="K357" s="1" t="inlineStr">
        <is>
          <t>Оказание первой помощи пострадавшим</t>
        </is>
      </c>
      <c r="L357" s="1" t="inlineStr">
        <is>
          <t>09.12.2023</t>
        </is>
      </c>
      <c r="M357" s="1" t="inlineStr">
        <is>
          <t>Успешно</t>
        </is>
      </c>
      <c r="N357" s="1" t="inlineStr">
        <is>
          <t>05.02.2024</t>
        </is>
      </c>
      <c r="O357" s="1" t="inlineStr"/>
      <c r="P357" s="1" t="inlineStr"/>
      <c r="Q357" s="1" t="inlineStr">
        <is>
          <t>Пользовательский интерфейс</t>
        </is>
      </c>
    </row>
    <row r="358">
      <c r="B358" s="1" t="inlineStr">
        <is>
          <t>37117554</t>
        </is>
      </c>
      <c r="C358" s="1" t="inlineStr">
        <is>
          <t>2978778</t>
        </is>
      </c>
      <c r="D358" t="inlineStr">
        <is>
          <t>работник 96</t>
        </is>
      </c>
      <c r="E358" s="1" t="inlineStr">
        <is>
          <t>ОБЩЕСТВО С ОГРАНИЧЕННОЙ ОТВЕТСТВЕННОСТЬЮ "АМУР ЗОЛОТО"</t>
        </is>
      </c>
      <c r="F358" s="1" t="inlineStr">
        <is>
          <t>2708001686</t>
        </is>
      </c>
      <c r="G358" s="1" t="inlineStr">
        <is>
          <t>Кухонный рабочий</t>
        </is>
      </c>
      <c r="H358" s="1" t="inlineStr">
        <is>
          <t>ООО "Амур Золото"</t>
        </is>
      </c>
      <c r="I358" s="1" t="inlineStr">
        <is>
          <t>2708001686</t>
        </is>
      </c>
      <c r="J358" s="1" t="inlineStr">
        <is>
          <t>ОТ № ЮГОК Столовая 23-01</t>
        </is>
      </c>
      <c r="K358" s="1" t="inlineStr">
        <is>
          <t>Использование (применение) средств индивидуальной защиты</t>
        </is>
      </c>
      <c r="L358" s="1" t="inlineStr">
        <is>
          <t>09.12.2023</t>
        </is>
      </c>
      <c r="M358" s="1" t="inlineStr">
        <is>
          <t>Успешно</t>
        </is>
      </c>
      <c r="N358" s="1" t="inlineStr">
        <is>
          <t>05.02.2024</t>
        </is>
      </c>
      <c r="O358" s="1" t="inlineStr"/>
      <c r="P358" s="1" t="inlineStr"/>
      <c r="Q358" s="1" t="inlineStr">
        <is>
          <t>Пользовательский интерфейс</t>
        </is>
      </c>
    </row>
    <row r="359">
      <c r="B359" s="1" t="inlineStr">
        <is>
          <t>37117555</t>
        </is>
      </c>
      <c r="C359" s="1" t="inlineStr">
        <is>
          <t>2978778</t>
        </is>
      </c>
      <c r="D359" t="inlineStr">
        <is>
          <t>работник 96</t>
        </is>
      </c>
      <c r="E359" s="1" t="inlineStr">
        <is>
          <t>ОБЩЕСТВО С ОГРАНИЧЕННОЙ ОТВЕТСТВЕННОСТЬЮ "АМУР ЗОЛОТО"</t>
        </is>
      </c>
      <c r="F359" s="1" t="inlineStr">
        <is>
          <t>2708001686</t>
        </is>
      </c>
      <c r="G359" s="1" t="inlineStr">
        <is>
          <t>Кухонный рабочий</t>
        </is>
      </c>
      <c r="H359" s="1" t="inlineStr">
        <is>
          <t>ООО "Амур Золото"</t>
        </is>
      </c>
      <c r="I359" s="1" t="inlineStr">
        <is>
          <t>2708001686</t>
        </is>
      </c>
      <c r="J359" s="1" t="inlineStr">
        <is>
          <t>ОТ № ЮГОК Столовая 23-01</t>
        </is>
      </c>
      <c r="K35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59" s="1" t="inlineStr">
        <is>
          <t>09.12.2023</t>
        </is>
      </c>
      <c r="M359" s="1" t="inlineStr">
        <is>
          <t>Успешно</t>
        </is>
      </c>
      <c r="N359" s="1" t="inlineStr">
        <is>
          <t>05.02.2024</t>
        </is>
      </c>
      <c r="O359" s="1" t="inlineStr"/>
      <c r="P359" s="1" t="inlineStr"/>
      <c r="Q359" s="1" t="inlineStr">
        <is>
          <t>Пользовательский интерфейс</t>
        </is>
      </c>
    </row>
    <row r="360">
      <c r="B360" s="1" t="inlineStr">
        <is>
          <t>37117556</t>
        </is>
      </c>
      <c r="C360" s="1" t="inlineStr">
        <is>
          <t>2978778</t>
        </is>
      </c>
      <c r="D360" t="inlineStr">
        <is>
          <t>работник 97</t>
        </is>
      </c>
      <c r="E360" s="1" t="inlineStr">
        <is>
          <t>ОБЩЕСТВО С ОГРАНИЧЕННОЙ ОТВЕТСТВЕННОСТЬЮ "АМУР ЗОЛОТО"</t>
        </is>
      </c>
      <c r="F360" s="1" t="inlineStr">
        <is>
          <t>2708001686</t>
        </is>
      </c>
      <c r="G360" s="1" t="inlineStr">
        <is>
          <t>Кухонный рабочий</t>
        </is>
      </c>
      <c r="H360" s="1" t="inlineStr">
        <is>
          <t>ООО "Амур Золото"</t>
        </is>
      </c>
      <c r="I360" s="1" t="inlineStr">
        <is>
          <t>2708001686</t>
        </is>
      </c>
      <c r="J360" s="1" t="inlineStr">
        <is>
          <t>ОТ № ЮГОК Столовая 23-01</t>
        </is>
      </c>
      <c r="K360" s="1" t="inlineStr">
        <is>
          <t>Оказание первой помощи пострадавшим</t>
        </is>
      </c>
      <c r="L360" s="1" t="inlineStr">
        <is>
          <t>09.12.2023</t>
        </is>
      </c>
      <c r="M360" s="1" t="inlineStr">
        <is>
          <t>Успешно</t>
        </is>
      </c>
      <c r="N360" s="1" t="inlineStr">
        <is>
          <t>05.02.2024</t>
        </is>
      </c>
      <c r="O360" s="1" t="inlineStr"/>
      <c r="P360" s="1" t="inlineStr"/>
      <c r="Q360" s="1" t="inlineStr">
        <is>
          <t>Пользовательский интерфейс</t>
        </is>
      </c>
    </row>
    <row r="361">
      <c r="B361" s="1" t="inlineStr">
        <is>
          <t>37117557</t>
        </is>
      </c>
      <c r="C361" s="1" t="inlineStr">
        <is>
          <t>2978778</t>
        </is>
      </c>
      <c r="D361" t="inlineStr">
        <is>
          <t>работник 97</t>
        </is>
      </c>
      <c r="E361" s="1" t="inlineStr">
        <is>
          <t>ОБЩЕСТВО С ОГРАНИЧЕННОЙ ОТВЕТСТВЕННОСТЬЮ "АМУР ЗОЛОТО"</t>
        </is>
      </c>
      <c r="F361" s="1" t="inlineStr">
        <is>
          <t>2708001686</t>
        </is>
      </c>
      <c r="G361" s="1" t="inlineStr">
        <is>
          <t>Кухонный рабочий</t>
        </is>
      </c>
      <c r="H361" s="1" t="inlineStr">
        <is>
          <t>ООО "Амур Золото"</t>
        </is>
      </c>
      <c r="I361" s="1" t="inlineStr">
        <is>
          <t>2708001686</t>
        </is>
      </c>
      <c r="J361" s="1" t="inlineStr">
        <is>
          <t>ОТ № ЮГОК Столовая 23-01</t>
        </is>
      </c>
      <c r="K361" s="1" t="inlineStr">
        <is>
          <t>Использование (применение) средств индивидуальной защиты</t>
        </is>
      </c>
      <c r="L361" s="1" t="inlineStr">
        <is>
          <t>09.12.2023</t>
        </is>
      </c>
      <c r="M361" s="1" t="inlineStr">
        <is>
          <t>Успешно</t>
        </is>
      </c>
      <c r="N361" s="1" t="inlineStr">
        <is>
          <t>05.02.2024</t>
        </is>
      </c>
      <c r="O361" s="1" t="inlineStr"/>
      <c r="P361" s="1" t="inlineStr"/>
      <c r="Q361" s="1" t="inlineStr">
        <is>
          <t>Пользовательский интерфейс</t>
        </is>
      </c>
    </row>
    <row r="362">
      <c r="B362" s="1" t="inlineStr">
        <is>
          <t>37117558</t>
        </is>
      </c>
      <c r="C362" s="1" t="inlineStr">
        <is>
          <t>2978778</t>
        </is>
      </c>
      <c r="D362" t="inlineStr">
        <is>
          <t>работник 97</t>
        </is>
      </c>
      <c r="E362" s="1" t="inlineStr">
        <is>
          <t>ОБЩЕСТВО С ОГРАНИЧЕННОЙ ОТВЕТСТВЕННОСТЬЮ "АМУР ЗОЛОТО"</t>
        </is>
      </c>
      <c r="F362" s="1" t="inlineStr">
        <is>
          <t>2708001686</t>
        </is>
      </c>
      <c r="G362" s="1" t="inlineStr">
        <is>
          <t>Кухонный рабочий</t>
        </is>
      </c>
      <c r="H362" s="1" t="inlineStr">
        <is>
          <t>ООО "Амур Золото"</t>
        </is>
      </c>
      <c r="I362" s="1" t="inlineStr">
        <is>
          <t>2708001686</t>
        </is>
      </c>
      <c r="J362" s="1" t="inlineStr">
        <is>
          <t>ОТ № ЮГОК Столовая 23-01</t>
        </is>
      </c>
      <c r="K36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62" s="1" t="inlineStr">
        <is>
          <t>09.12.2023</t>
        </is>
      </c>
      <c r="M362" s="1" t="inlineStr">
        <is>
          <t>Успешно</t>
        </is>
      </c>
      <c r="N362" s="1" t="inlineStr">
        <is>
          <t>05.02.2024</t>
        </is>
      </c>
      <c r="O362" s="1" t="inlineStr"/>
      <c r="P362" s="1" t="inlineStr"/>
      <c r="Q362" s="1" t="inlineStr">
        <is>
          <t>Пользовательский интерфейс</t>
        </is>
      </c>
    </row>
    <row r="363">
      <c r="B363" s="1" t="inlineStr">
        <is>
          <t>37117559</t>
        </is>
      </c>
      <c r="C363" s="1" t="inlineStr">
        <is>
          <t>2978778</t>
        </is>
      </c>
      <c r="D363" t="inlineStr">
        <is>
          <t>работник 98</t>
        </is>
      </c>
      <c r="E363" s="1" t="inlineStr">
        <is>
          <t>ОБЩЕСТВО С ОГРАНИЧЕННОЙ ОТВЕТСТВЕННОСТЬЮ "АМУР ЗОЛОТО"</t>
        </is>
      </c>
      <c r="F363" s="1" t="inlineStr">
        <is>
          <t>2708001686</t>
        </is>
      </c>
      <c r="G363" s="1" t="inlineStr">
        <is>
          <t>Кухонный рабочий</t>
        </is>
      </c>
      <c r="H363" s="1" t="inlineStr">
        <is>
          <t>ООО "Амур Золото"</t>
        </is>
      </c>
      <c r="I363" s="1" t="inlineStr">
        <is>
          <t>2708001686</t>
        </is>
      </c>
      <c r="J363" s="1" t="inlineStr">
        <is>
          <t>ОТ № ЮГОК Столовая 23-01</t>
        </is>
      </c>
      <c r="K363" s="1" t="inlineStr">
        <is>
          <t>Оказание первой помощи пострадавшим</t>
        </is>
      </c>
      <c r="L363" s="1" t="inlineStr">
        <is>
          <t>09.12.2023</t>
        </is>
      </c>
      <c r="M363" s="1" t="inlineStr">
        <is>
          <t>Успешно</t>
        </is>
      </c>
      <c r="N363" s="1" t="inlineStr">
        <is>
          <t>05.02.2024</t>
        </is>
      </c>
      <c r="O363" s="1" t="inlineStr"/>
      <c r="P363" s="1" t="inlineStr"/>
      <c r="Q363" s="1" t="inlineStr">
        <is>
          <t>Пользовательский интерфейс</t>
        </is>
      </c>
    </row>
    <row r="364">
      <c r="B364" s="1" t="inlineStr">
        <is>
          <t>37117560</t>
        </is>
      </c>
      <c r="C364" s="1" t="inlineStr">
        <is>
          <t>2978778</t>
        </is>
      </c>
      <c r="D364" t="inlineStr">
        <is>
          <t>работник 98</t>
        </is>
      </c>
      <c r="E364" s="1" t="inlineStr">
        <is>
          <t>ОБЩЕСТВО С ОГРАНИЧЕННОЙ ОТВЕТСТВЕННОСТЬЮ "АМУР ЗОЛОТО"</t>
        </is>
      </c>
      <c r="F364" s="1" t="inlineStr">
        <is>
          <t>2708001686</t>
        </is>
      </c>
      <c r="G364" s="1" t="inlineStr">
        <is>
          <t>Кухонный рабочий</t>
        </is>
      </c>
      <c r="H364" s="1" t="inlineStr">
        <is>
          <t>ООО "Амур Золото"</t>
        </is>
      </c>
      <c r="I364" s="1" t="inlineStr">
        <is>
          <t>2708001686</t>
        </is>
      </c>
      <c r="J364" s="1" t="inlineStr">
        <is>
          <t>ОТ № ЮГОК Столовая 23-01</t>
        </is>
      </c>
      <c r="K364" s="1" t="inlineStr">
        <is>
          <t>Использование (применение) средств индивидуальной защиты</t>
        </is>
      </c>
      <c r="L364" s="1" t="inlineStr">
        <is>
          <t>09.12.2023</t>
        </is>
      </c>
      <c r="M364" s="1" t="inlineStr">
        <is>
          <t>Успешно</t>
        </is>
      </c>
      <c r="N364" s="1" t="inlineStr">
        <is>
          <t>05.02.2024</t>
        </is>
      </c>
      <c r="O364" s="1" t="inlineStr"/>
      <c r="P364" s="1" t="inlineStr"/>
      <c r="Q364" s="1" t="inlineStr">
        <is>
          <t>Пользовательский интерфейс</t>
        </is>
      </c>
    </row>
    <row r="365">
      <c r="B365" s="1" t="inlineStr">
        <is>
          <t>37117561</t>
        </is>
      </c>
      <c r="C365" s="1" t="inlineStr">
        <is>
          <t>2978778</t>
        </is>
      </c>
      <c r="D365" t="inlineStr">
        <is>
          <t>работник 98</t>
        </is>
      </c>
      <c r="E365" s="1" t="inlineStr">
        <is>
          <t>ОБЩЕСТВО С ОГРАНИЧЕННОЙ ОТВЕТСТВЕННОСТЬЮ "АМУР ЗОЛОТО"</t>
        </is>
      </c>
      <c r="F365" s="1" t="inlineStr">
        <is>
          <t>2708001686</t>
        </is>
      </c>
      <c r="G365" s="1" t="inlineStr">
        <is>
          <t>Кухонный рабочий</t>
        </is>
      </c>
      <c r="H365" s="1" t="inlineStr">
        <is>
          <t>ООО "Амур Золото"</t>
        </is>
      </c>
      <c r="I365" s="1" t="inlineStr">
        <is>
          <t>2708001686</t>
        </is>
      </c>
      <c r="J365" s="1" t="inlineStr">
        <is>
          <t>ОТ № ЮГОК Столовая 23-01</t>
        </is>
      </c>
      <c r="K36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65" s="1" t="inlineStr">
        <is>
          <t>09.12.2023</t>
        </is>
      </c>
      <c r="M365" s="1" t="inlineStr">
        <is>
          <t>Успешно</t>
        </is>
      </c>
      <c r="N365" s="1" t="inlineStr">
        <is>
          <t>05.02.2024</t>
        </is>
      </c>
      <c r="O365" s="1" t="inlineStr"/>
      <c r="P365" s="1" t="inlineStr"/>
      <c r="Q365" s="1" t="inlineStr">
        <is>
          <t>Пользовательский интерфейс</t>
        </is>
      </c>
    </row>
    <row r="366">
      <c r="B366" s="1" t="inlineStr">
        <is>
          <t>37117562</t>
        </is>
      </c>
      <c r="C366" s="1" t="inlineStr">
        <is>
          <t>2978778</t>
        </is>
      </c>
      <c r="D366" t="inlineStr">
        <is>
          <t>работник 99</t>
        </is>
      </c>
      <c r="E366" s="1" t="inlineStr">
        <is>
          <t>ОБЩЕСТВО С ОГРАНИЧЕННОЙ ОТВЕТСТВЕННОСТЬЮ "АМУР ЗОЛОТО"</t>
        </is>
      </c>
      <c r="F366" s="1" t="inlineStr">
        <is>
          <t>2708001686</t>
        </is>
      </c>
      <c r="G366" s="1" t="inlineStr">
        <is>
          <t>Кухонный рабочий</t>
        </is>
      </c>
      <c r="H366" s="1" t="inlineStr">
        <is>
          <t>ООО "Амур Золото"</t>
        </is>
      </c>
      <c r="I366" s="1" t="inlineStr">
        <is>
          <t>2708001686</t>
        </is>
      </c>
      <c r="J366" s="1" t="inlineStr">
        <is>
          <t>ОТ № ЮГОК Столовая 23-01</t>
        </is>
      </c>
      <c r="K366" s="1" t="inlineStr">
        <is>
          <t>Оказание первой помощи пострадавшим</t>
        </is>
      </c>
      <c r="L366" s="1" t="inlineStr">
        <is>
          <t>09.12.2023</t>
        </is>
      </c>
      <c r="M366" s="1" t="inlineStr">
        <is>
          <t>Успешно</t>
        </is>
      </c>
      <c r="N366" s="1" t="inlineStr">
        <is>
          <t>05.02.2024</t>
        </is>
      </c>
      <c r="O366" s="1" t="inlineStr"/>
      <c r="P366" s="1" t="inlineStr"/>
      <c r="Q366" s="1" t="inlineStr">
        <is>
          <t>Пользовательский интерфейс</t>
        </is>
      </c>
    </row>
    <row r="367">
      <c r="B367" s="1" t="inlineStr">
        <is>
          <t>37117563</t>
        </is>
      </c>
      <c r="C367" s="1" t="inlineStr">
        <is>
          <t>2978778</t>
        </is>
      </c>
      <c r="D367" t="inlineStr">
        <is>
          <t>работник 99</t>
        </is>
      </c>
      <c r="E367" s="1" t="inlineStr">
        <is>
          <t>ОБЩЕСТВО С ОГРАНИЧЕННОЙ ОТВЕТСТВЕННОСТЬЮ "АМУР ЗОЛОТО"</t>
        </is>
      </c>
      <c r="F367" s="1" t="inlineStr">
        <is>
          <t>2708001686</t>
        </is>
      </c>
      <c r="G367" s="1" t="inlineStr">
        <is>
          <t>Кухонный рабочий</t>
        </is>
      </c>
      <c r="H367" s="1" t="inlineStr">
        <is>
          <t>ООО "Амур Золото"</t>
        </is>
      </c>
      <c r="I367" s="1" t="inlineStr">
        <is>
          <t>2708001686</t>
        </is>
      </c>
      <c r="J367" s="1" t="inlineStr">
        <is>
          <t>ОТ № ЮГОК Столовая 23-01</t>
        </is>
      </c>
      <c r="K367" s="1" t="inlineStr">
        <is>
          <t>Использование (применение) средств индивидуальной защиты</t>
        </is>
      </c>
      <c r="L367" s="1" t="inlineStr">
        <is>
          <t>09.12.2023</t>
        </is>
      </c>
      <c r="M367" s="1" t="inlineStr">
        <is>
          <t>Успешно</t>
        </is>
      </c>
      <c r="N367" s="1" t="inlineStr">
        <is>
          <t>05.02.2024</t>
        </is>
      </c>
      <c r="O367" s="1" t="inlineStr"/>
      <c r="P367" s="1" t="inlineStr"/>
      <c r="Q367" s="1" t="inlineStr">
        <is>
          <t>Пользовательский интерфейс</t>
        </is>
      </c>
    </row>
    <row r="368">
      <c r="B368" s="1" t="inlineStr">
        <is>
          <t>37117564</t>
        </is>
      </c>
      <c r="C368" s="1" t="inlineStr">
        <is>
          <t>2978778</t>
        </is>
      </c>
      <c r="D368" t="inlineStr">
        <is>
          <t>работник 99</t>
        </is>
      </c>
      <c r="E368" s="1" t="inlineStr">
        <is>
          <t>ОБЩЕСТВО С ОГРАНИЧЕННОЙ ОТВЕТСТВЕННОСТЬЮ "АМУР ЗОЛОТО"</t>
        </is>
      </c>
      <c r="F368" s="1" t="inlineStr">
        <is>
          <t>2708001686</t>
        </is>
      </c>
      <c r="G368" s="1" t="inlineStr">
        <is>
          <t>Кухонный рабочий</t>
        </is>
      </c>
      <c r="H368" s="1" t="inlineStr">
        <is>
          <t>ООО "Амур Золото"</t>
        </is>
      </c>
      <c r="I368" s="1" t="inlineStr">
        <is>
          <t>2708001686</t>
        </is>
      </c>
      <c r="J368" s="1" t="inlineStr">
        <is>
          <t>ОТ № ЮГОК Столовая 23-01</t>
        </is>
      </c>
      <c r="K36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68" s="1" t="inlineStr">
        <is>
          <t>09.12.2023</t>
        </is>
      </c>
      <c r="M368" s="1" t="inlineStr">
        <is>
          <t>Успешно</t>
        </is>
      </c>
      <c r="N368" s="1" t="inlineStr">
        <is>
          <t>05.02.2024</t>
        </is>
      </c>
      <c r="O368" s="1" t="inlineStr"/>
      <c r="P368" s="1" t="inlineStr"/>
      <c r="Q368" s="1" t="inlineStr">
        <is>
          <t>Пользовательский интерфейс</t>
        </is>
      </c>
    </row>
    <row r="369">
      <c r="B369" s="1" t="inlineStr">
        <is>
          <t>37117565</t>
        </is>
      </c>
      <c r="C369" s="1" t="inlineStr">
        <is>
          <t>2978778</t>
        </is>
      </c>
      <c r="D369" t="inlineStr">
        <is>
          <t>работник 100</t>
        </is>
      </c>
      <c r="E369" s="1" t="inlineStr">
        <is>
          <t>ОБЩЕСТВО С ОГРАНИЧЕННОЙ ОТВЕТСТВЕННОСТЬЮ "АМУР ЗОЛОТО"</t>
        </is>
      </c>
      <c r="F369" s="1" t="inlineStr">
        <is>
          <t>2708001686</t>
        </is>
      </c>
      <c r="G369" s="1" t="inlineStr">
        <is>
          <t>Кухонный рабочий</t>
        </is>
      </c>
      <c r="H369" s="1" t="inlineStr">
        <is>
          <t>ООО "Амур Золото"</t>
        </is>
      </c>
      <c r="I369" s="1" t="inlineStr">
        <is>
          <t>2708001686</t>
        </is>
      </c>
      <c r="J369" s="1" t="inlineStr">
        <is>
          <t>ОТ № ЮГОК Столовая 23-01</t>
        </is>
      </c>
      <c r="K369" s="1" t="inlineStr">
        <is>
          <t>Оказание первой помощи пострадавшим</t>
        </is>
      </c>
      <c r="L369" s="1" t="inlineStr">
        <is>
          <t>09.12.2023</t>
        </is>
      </c>
      <c r="M369" s="1" t="inlineStr">
        <is>
          <t>Успешно</t>
        </is>
      </c>
      <c r="N369" s="1" t="inlineStr">
        <is>
          <t>05.02.2024</t>
        </is>
      </c>
      <c r="O369" s="1" t="inlineStr"/>
      <c r="P369" s="1" t="inlineStr"/>
      <c r="Q369" s="1" t="inlineStr">
        <is>
          <t>Пользовательский интерфейс</t>
        </is>
      </c>
    </row>
    <row r="370">
      <c r="B370" s="1" t="inlineStr">
        <is>
          <t>37117566</t>
        </is>
      </c>
      <c r="C370" s="1" t="inlineStr">
        <is>
          <t>2978778</t>
        </is>
      </c>
      <c r="D370" t="inlineStr">
        <is>
          <t>работник 100</t>
        </is>
      </c>
      <c r="E370" s="1" t="inlineStr">
        <is>
          <t>ОБЩЕСТВО С ОГРАНИЧЕННОЙ ОТВЕТСТВЕННОСТЬЮ "АМУР ЗОЛОТО"</t>
        </is>
      </c>
      <c r="F370" s="1" t="inlineStr">
        <is>
          <t>2708001686</t>
        </is>
      </c>
      <c r="G370" s="1" t="inlineStr">
        <is>
          <t>Кухонный рабочий</t>
        </is>
      </c>
      <c r="H370" s="1" t="inlineStr">
        <is>
          <t>ООО "Амур Золото"</t>
        </is>
      </c>
      <c r="I370" s="1" t="inlineStr">
        <is>
          <t>2708001686</t>
        </is>
      </c>
      <c r="J370" s="1" t="inlineStr">
        <is>
          <t>ОТ № ЮГОК Столовая 23-01</t>
        </is>
      </c>
      <c r="K370" s="1" t="inlineStr">
        <is>
          <t>Использование (применение) средств индивидуальной защиты</t>
        </is>
      </c>
      <c r="L370" s="1" t="inlineStr">
        <is>
          <t>09.12.2023</t>
        </is>
      </c>
      <c r="M370" s="1" t="inlineStr">
        <is>
          <t>Успешно</t>
        </is>
      </c>
      <c r="N370" s="1" t="inlineStr">
        <is>
          <t>05.02.2024</t>
        </is>
      </c>
      <c r="O370" s="1" t="inlineStr"/>
      <c r="P370" s="1" t="inlineStr"/>
      <c r="Q370" s="1" t="inlineStr">
        <is>
          <t>Пользовательский интерфейс</t>
        </is>
      </c>
    </row>
    <row r="371">
      <c r="B371" s="1" t="inlineStr">
        <is>
          <t>37117567</t>
        </is>
      </c>
      <c r="C371" s="1" t="inlineStr">
        <is>
          <t>2978778</t>
        </is>
      </c>
      <c r="D371" t="inlineStr">
        <is>
          <t>работник 100</t>
        </is>
      </c>
      <c r="E371" s="1" t="inlineStr">
        <is>
          <t>ОБЩЕСТВО С ОГРАНИЧЕННОЙ ОТВЕТСТВЕННОСТЬЮ "АМУР ЗОЛОТО"</t>
        </is>
      </c>
      <c r="F371" s="1" t="inlineStr">
        <is>
          <t>2708001686</t>
        </is>
      </c>
      <c r="G371" s="1" t="inlineStr">
        <is>
          <t>Кухонный рабочий</t>
        </is>
      </c>
      <c r="H371" s="1" t="inlineStr">
        <is>
          <t>ООО "Амур Золото"</t>
        </is>
      </c>
      <c r="I371" s="1" t="inlineStr">
        <is>
          <t>2708001686</t>
        </is>
      </c>
      <c r="J371" s="1" t="inlineStr">
        <is>
          <t>ОТ № ЮГОК Столовая 23-01</t>
        </is>
      </c>
      <c r="K37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71" s="1" t="inlineStr">
        <is>
          <t>09.12.2023</t>
        </is>
      </c>
      <c r="M371" s="1" t="inlineStr">
        <is>
          <t>Успешно</t>
        </is>
      </c>
      <c r="N371" s="1" t="inlineStr">
        <is>
          <t>05.02.2024</t>
        </is>
      </c>
      <c r="O371" s="1" t="inlineStr"/>
      <c r="P371" s="1" t="inlineStr"/>
      <c r="Q371" s="1" t="inlineStr">
        <is>
          <t>Пользовательский интерфейс</t>
        </is>
      </c>
    </row>
    <row r="372">
      <c r="B372" s="1" t="inlineStr">
        <is>
          <t>37117568</t>
        </is>
      </c>
      <c r="C372" s="1" t="inlineStr">
        <is>
          <t>2978778</t>
        </is>
      </c>
      <c r="D372" t="inlineStr">
        <is>
          <t>работник 101</t>
        </is>
      </c>
      <c r="E372" s="1" t="inlineStr">
        <is>
          <t>ОБЩЕСТВО С ОГРАНИЧЕННОЙ ОТВЕТСТВЕННОСТЬЮ "АМУР ЗОЛОТО"</t>
        </is>
      </c>
      <c r="F372" s="1" t="inlineStr">
        <is>
          <t>2708001686</t>
        </is>
      </c>
      <c r="G372" s="1" t="inlineStr">
        <is>
          <t>Повар</t>
        </is>
      </c>
      <c r="H372" s="1" t="inlineStr">
        <is>
          <t>ООО "Амур Золото"</t>
        </is>
      </c>
      <c r="I372" s="1" t="inlineStr">
        <is>
          <t>2708001686</t>
        </is>
      </c>
      <c r="J372" s="1" t="inlineStr">
        <is>
          <t>ОТ № ЮГОК Столовая 23-01</t>
        </is>
      </c>
      <c r="K372" s="1" t="inlineStr">
        <is>
          <t>Оказание первой помощи пострадавшим</t>
        </is>
      </c>
      <c r="L372" s="1" t="inlineStr">
        <is>
          <t>09.12.2023</t>
        </is>
      </c>
      <c r="M372" s="1" t="inlineStr">
        <is>
          <t>Успешно</t>
        </is>
      </c>
      <c r="N372" s="1" t="inlineStr">
        <is>
          <t>05.02.2024</t>
        </is>
      </c>
      <c r="O372" s="1" t="inlineStr"/>
      <c r="P372" s="1" t="inlineStr"/>
      <c r="Q372" s="1" t="inlineStr">
        <is>
          <t>Пользовательский интерфейс</t>
        </is>
      </c>
    </row>
    <row r="373">
      <c r="B373" s="1" t="inlineStr">
        <is>
          <t>37117569</t>
        </is>
      </c>
      <c r="C373" s="1" t="inlineStr">
        <is>
          <t>2978778</t>
        </is>
      </c>
      <c r="D373" t="inlineStr">
        <is>
          <t>работник 101</t>
        </is>
      </c>
      <c r="E373" s="1" t="inlineStr">
        <is>
          <t>ОБЩЕСТВО С ОГРАНИЧЕННОЙ ОТВЕТСТВЕННОСТЬЮ "АМУР ЗОЛОТО"</t>
        </is>
      </c>
      <c r="F373" s="1" t="inlineStr">
        <is>
          <t>2708001686</t>
        </is>
      </c>
      <c r="G373" s="1" t="inlineStr">
        <is>
          <t>Повар</t>
        </is>
      </c>
      <c r="H373" s="1" t="inlineStr">
        <is>
          <t>ООО "Амур Золото"</t>
        </is>
      </c>
      <c r="I373" s="1" t="inlineStr">
        <is>
          <t>2708001686</t>
        </is>
      </c>
      <c r="J373" s="1" t="inlineStr">
        <is>
          <t>ОТ № ЮГОК Столовая 23-01</t>
        </is>
      </c>
      <c r="K373" s="1" t="inlineStr">
        <is>
          <t>Использование (применение) средств индивидуальной защиты</t>
        </is>
      </c>
      <c r="L373" s="1" t="inlineStr">
        <is>
          <t>09.12.2023</t>
        </is>
      </c>
      <c r="M373" s="1" t="inlineStr">
        <is>
          <t>Успешно</t>
        </is>
      </c>
      <c r="N373" s="1" t="inlineStr">
        <is>
          <t>05.02.2024</t>
        </is>
      </c>
      <c r="O373" s="1" t="inlineStr"/>
      <c r="P373" s="1" t="inlineStr"/>
      <c r="Q373" s="1" t="inlineStr">
        <is>
          <t>Пользовательский интерфейс</t>
        </is>
      </c>
    </row>
    <row r="374">
      <c r="B374" s="1" t="inlineStr">
        <is>
          <t>37117570</t>
        </is>
      </c>
      <c r="C374" s="1" t="inlineStr">
        <is>
          <t>2978778</t>
        </is>
      </c>
      <c r="D374" t="inlineStr">
        <is>
          <t>работник 101</t>
        </is>
      </c>
      <c r="E374" s="1" t="inlineStr">
        <is>
          <t>ОБЩЕСТВО С ОГРАНИЧЕННОЙ ОТВЕТСТВЕННОСТЬЮ "АМУР ЗОЛОТО"</t>
        </is>
      </c>
      <c r="F374" s="1" t="inlineStr">
        <is>
          <t>2708001686</t>
        </is>
      </c>
      <c r="G374" s="1" t="inlineStr">
        <is>
          <t>Повар</t>
        </is>
      </c>
      <c r="H374" s="1" t="inlineStr">
        <is>
          <t>ООО "Амур Золото"</t>
        </is>
      </c>
      <c r="I374" s="1" t="inlineStr">
        <is>
          <t>2708001686</t>
        </is>
      </c>
      <c r="J374" s="1" t="inlineStr">
        <is>
          <t>ОТ № ЮГОК Столовая 23-01</t>
        </is>
      </c>
      <c r="K37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74" s="1" t="inlineStr">
        <is>
          <t>09.12.2023</t>
        </is>
      </c>
      <c r="M374" s="1" t="inlineStr">
        <is>
          <t>Успешно</t>
        </is>
      </c>
      <c r="N374" s="1" t="inlineStr">
        <is>
          <t>05.02.2024</t>
        </is>
      </c>
      <c r="O374" s="1" t="inlineStr"/>
      <c r="P374" s="1" t="inlineStr"/>
      <c r="Q374" s="1" t="inlineStr">
        <is>
          <t>Пользовательский интерфейс</t>
        </is>
      </c>
    </row>
    <row r="375">
      <c r="B375" s="1" t="inlineStr">
        <is>
          <t>37117571</t>
        </is>
      </c>
      <c r="C375" s="1" t="inlineStr">
        <is>
          <t>2978778</t>
        </is>
      </c>
      <c r="D375" t="inlineStr">
        <is>
          <t>работник 102</t>
        </is>
      </c>
      <c r="E375" s="1" t="inlineStr">
        <is>
          <t>ОБЩЕСТВО С ОГРАНИЧЕННОЙ ОТВЕТСТВЕННОСТЬЮ "АМУР ЗОЛОТО"</t>
        </is>
      </c>
      <c r="F375" s="1" t="inlineStr">
        <is>
          <t>2708001686</t>
        </is>
      </c>
      <c r="G375" s="1" t="inlineStr">
        <is>
          <t>Повар</t>
        </is>
      </c>
      <c r="H375" s="1" t="inlineStr">
        <is>
          <t>ООО "Амур Золото"</t>
        </is>
      </c>
      <c r="I375" s="1" t="inlineStr">
        <is>
          <t>2708001686</t>
        </is>
      </c>
      <c r="J375" s="1" t="inlineStr">
        <is>
          <t>ОТ № ЮГОК Столовая 23-01</t>
        </is>
      </c>
      <c r="K375" s="1" t="inlineStr">
        <is>
          <t>Оказание первой помощи пострадавшим</t>
        </is>
      </c>
      <c r="L375" s="1" t="inlineStr">
        <is>
          <t>09.12.2023</t>
        </is>
      </c>
      <c r="M375" s="1" t="inlineStr">
        <is>
          <t>Успешно</t>
        </is>
      </c>
      <c r="N375" s="1" t="inlineStr">
        <is>
          <t>05.02.2024</t>
        </is>
      </c>
      <c r="O375" s="1" t="inlineStr"/>
      <c r="P375" s="1" t="inlineStr"/>
      <c r="Q375" s="1" t="inlineStr">
        <is>
          <t>Пользовательский интерфейс</t>
        </is>
      </c>
    </row>
    <row r="376">
      <c r="B376" s="1" t="inlineStr">
        <is>
          <t>37117572</t>
        </is>
      </c>
      <c r="C376" s="1" t="inlineStr">
        <is>
          <t>2978778</t>
        </is>
      </c>
      <c r="D376" t="inlineStr">
        <is>
          <t>работник 102</t>
        </is>
      </c>
      <c r="E376" s="1" t="inlineStr">
        <is>
          <t>ОБЩЕСТВО С ОГРАНИЧЕННОЙ ОТВЕТСТВЕННОСТЬЮ "АМУР ЗОЛОТО"</t>
        </is>
      </c>
      <c r="F376" s="1" t="inlineStr">
        <is>
          <t>2708001686</t>
        </is>
      </c>
      <c r="G376" s="1" t="inlineStr">
        <is>
          <t>Повар</t>
        </is>
      </c>
      <c r="H376" s="1" t="inlineStr">
        <is>
          <t>ООО "Амур Золото"</t>
        </is>
      </c>
      <c r="I376" s="1" t="inlineStr">
        <is>
          <t>2708001686</t>
        </is>
      </c>
      <c r="J376" s="1" t="inlineStr">
        <is>
          <t>ОТ № ЮГОК Столовая 23-01</t>
        </is>
      </c>
      <c r="K376" s="1" t="inlineStr">
        <is>
          <t>Использование (применение) средств индивидуальной защиты</t>
        </is>
      </c>
      <c r="L376" s="1" t="inlineStr">
        <is>
          <t>09.12.2023</t>
        </is>
      </c>
      <c r="M376" s="1" t="inlineStr">
        <is>
          <t>Успешно</t>
        </is>
      </c>
      <c r="N376" s="1" t="inlineStr">
        <is>
          <t>05.02.2024</t>
        </is>
      </c>
      <c r="O376" s="1" t="inlineStr"/>
      <c r="P376" s="1" t="inlineStr"/>
      <c r="Q376" s="1" t="inlineStr">
        <is>
          <t>Пользовательский интерфейс</t>
        </is>
      </c>
    </row>
    <row r="377">
      <c r="B377" s="1" t="inlineStr">
        <is>
          <t>37117573</t>
        </is>
      </c>
      <c r="C377" s="1" t="inlineStr">
        <is>
          <t>2978778</t>
        </is>
      </c>
      <c r="D377" t="inlineStr">
        <is>
          <t>работник 102</t>
        </is>
      </c>
      <c r="E377" s="1" t="inlineStr">
        <is>
          <t>ОБЩЕСТВО С ОГРАНИЧЕННОЙ ОТВЕТСТВЕННОСТЬЮ "АМУР ЗОЛОТО"</t>
        </is>
      </c>
      <c r="F377" s="1" t="inlineStr">
        <is>
          <t>2708001686</t>
        </is>
      </c>
      <c r="G377" s="1" t="inlineStr">
        <is>
          <t>Повар</t>
        </is>
      </c>
      <c r="H377" s="1" t="inlineStr">
        <is>
          <t>ООО "Амур Золото"</t>
        </is>
      </c>
      <c r="I377" s="1" t="inlineStr">
        <is>
          <t>2708001686</t>
        </is>
      </c>
      <c r="J377" s="1" t="inlineStr">
        <is>
          <t>ОТ № ЮГОК Столовая 23-01</t>
        </is>
      </c>
      <c r="K37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77" s="1" t="inlineStr">
        <is>
          <t>09.12.2023</t>
        </is>
      </c>
      <c r="M377" s="1" t="inlineStr">
        <is>
          <t>Успешно</t>
        </is>
      </c>
      <c r="N377" s="1" t="inlineStr">
        <is>
          <t>05.02.2024</t>
        </is>
      </c>
      <c r="O377" s="1" t="inlineStr"/>
      <c r="P377" s="1" t="inlineStr"/>
      <c r="Q377" s="1" t="inlineStr">
        <is>
          <t>Пользовательский интерфейс</t>
        </is>
      </c>
    </row>
    <row r="378">
      <c r="B378" s="1" t="inlineStr">
        <is>
          <t>37117574</t>
        </is>
      </c>
      <c r="C378" s="1" t="inlineStr">
        <is>
          <t>2978778</t>
        </is>
      </c>
      <c r="D378" t="inlineStr">
        <is>
          <t>работник 103</t>
        </is>
      </c>
      <c r="E378" s="1" t="inlineStr">
        <is>
          <t>ОБЩЕСТВО С ОГРАНИЧЕННОЙ ОТВЕТСТВЕННОСТЬЮ "АМУР ЗОЛОТО"</t>
        </is>
      </c>
      <c r="F378" s="1" t="inlineStr">
        <is>
          <t>2708001686</t>
        </is>
      </c>
      <c r="G378" s="1" t="inlineStr">
        <is>
          <t>Повар</t>
        </is>
      </c>
      <c r="H378" s="1" t="inlineStr">
        <is>
          <t>ООО "Амур Золото"</t>
        </is>
      </c>
      <c r="I378" s="1" t="inlineStr">
        <is>
          <t>2708001686</t>
        </is>
      </c>
      <c r="J378" s="1" t="inlineStr">
        <is>
          <t>ОТ № ЮГОК Столовая 23-01</t>
        </is>
      </c>
      <c r="K378" s="1" t="inlineStr">
        <is>
          <t>Оказание первой помощи пострадавшим</t>
        </is>
      </c>
      <c r="L378" s="1" t="inlineStr">
        <is>
          <t>09.12.2023</t>
        </is>
      </c>
      <c r="M378" s="1" t="inlineStr">
        <is>
          <t>Успешно</t>
        </is>
      </c>
      <c r="N378" s="1" t="inlineStr">
        <is>
          <t>05.02.2024</t>
        </is>
      </c>
      <c r="O378" s="1" t="inlineStr"/>
      <c r="P378" s="1" t="inlineStr"/>
      <c r="Q378" s="1" t="inlineStr">
        <is>
          <t>Пользовательский интерфейс</t>
        </is>
      </c>
    </row>
    <row r="379">
      <c r="B379" s="1" t="inlineStr">
        <is>
          <t>37117575</t>
        </is>
      </c>
      <c r="C379" s="1" t="inlineStr">
        <is>
          <t>2978778</t>
        </is>
      </c>
      <c r="D379" t="inlineStr">
        <is>
          <t>работник 103</t>
        </is>
      </c>
      <c r="E379" s="1" t="inlineStr">
        <is>
          <t>ОБЩЕСТВО С ОГРАНИЧЕННОЙ ОТВЕТСТВЕННОСТЬЮ "АМУР ЗОЛОТО"</t>
        </is>
      </c>
      <c r="F379" s="1" t="inlineStr">
        <is>
          <t>2708001686</t>
        </is>
      </c>
      <c r="G379" s="1" t="inlineStr">
        <is>
          <t>Повар</t>
        </is>
      </c>
      <c r="H379" s="1" t="inlineStr">
        <is>
          <t>ООО "Амур Золото"</t>
        </is>
      </c>
      <c r="I379" s="1" t="inlineStr">
        <is>
          <t>2708001686</t>
        </is>
      </c>
      <c r="J379" s="1" t="inlineStr">
        <is>
          <t>ОТ № ЮГОК Столовая 23-01</t>
        </is>
      </c>
      <c r="K379" s="1" t="inlineStr">
        <is>
          <t>Использование (применение) средств индивидуальной защиты</t>
        </is>
      </c>
      <c r="L379" s="1" t="inlineStr">
        <is>
          <t>09.12.2023</t>
        </is>
      </c>
      <c r="M379" s="1" t="inlineStr">
        <is>
          <t>Успешно</t>
        </is>
      </c>
      <c r="N379" s="1" t="inlineStr">
        <is>
          <t>05.02.2024</t>
        </is>
      </c>
      <c r="O379" s="1" t="inlineStr"/>
      <c r="P379" s="1" t="inlineStr"/>
      <c r="Q379" s="1" t="inlineStr">
        <is>
          <t>Пользовательский интерфейс</t>
        </is>
      </c>
    </row>
    <row r="380">
      <c r="B380" s="1" t="inlineStr">
        <is>
          <t>37117576</t>
        </is>
      </c>
      <c r="C380" s="1" t="inlineStr">
        <is>
          <t>2978778</t>
        </is>
      </c>
      <c r="D380" t="inlineStr">
        <is>
          <t>работник 103</t>
        </is>
      </c>
      <c r="E380" s="1" t="inlineStr">
        <is>
          <t>ОБЩЕСТВО С ОГРАНИЧЕННОЙ ОТВЕТСТВЕННОСТЬЮ "АМУР ЗОЛОТО"</t>
        </is>
      </c>
      <c r="F380" s="1" t="inlineStr">
        <is>
          <t>2708001686</t>
        </is>
      </c>
      <c r="G380" s="1" t="inlineStr">
        <is>
          <t>Повар</t>
        </is>
      </c>
      <c r="H380" s="1" t="inlineStr">
        <is>
          <t>ООО "Амур Золото"</t>
        </is>
      </c>
      <c r="I380" s="1" t="inlineStr">
        <is>
          <t>2708001686</t>
        </is>
      </c>
      <c r="J380" s="1" t="inlineStr">
        <is>
          <t>ОТ № ЮГОК Столовая 23-01</t>
        </is>
      </c>
      <c r="K38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80" s="1" t="inlineStr">
        <is>
          <t>09.12.2023</t>
        </is>
      </c>
      <c r="M380" s="1" t="inlineStr">
        <is>
          <t>Успешно</t>
        </is>
      </c>
      <c r="N380" s="1" t="inlineStr">
        <is>
          <t>05.02.2024</t>
        </is>
      </c>
      <c r="O380" s="1" t="inlineStr"/>
      <c r="P380" s="1" t="inlineStr"/>
      <c r="Q380" s="1" t="inlineStr">
        <is>
          <t>Пользовательский интерфейс</t>
        </is>
      </c>
    </row>
    <row r="381">
      <c r="B381" s="1" t="inlineStr">
        <is>
          <t>37117577</t>
        </is>
      </c>
      <c r="C381" s="1" t="inlineStr">
        <is>
          <t>2978778</t>
        </is>
      </c>
      <c r="D381" t="inlineStr">
        <is>
          <t>работник 104</t>
        </is>
      </c>
      <c r="E381" s="1" t="inlineStr">
        <is>
          <t>ОБЩЕСТВО С ОГРАНИЧЕННОЙ ОТВЕТСТВЕННОСТЬЮ "АМУР ЗОЛОТО"</t>
        </is>
      </c>
      <c r="F381" s="1" t="inlineStr">
        <is>
          <t>2708001686</t>
        </is>
      </c>
      <c r="G381" s="1" t="inlineStr">
        <is>
          <t>Повар</t>
        </is>
      </c>
      <c r="H381" s="1" t="inlineStr">
        <is>
          <t>ООО "Амур Золото"</t>
        </is>
      </c>
      <c r="I381" s="1" t="inlineStr">
        <is>
          <t>2708001686</t>
        </is>
      </c>
      <c r="J381" s="1" t="inlineStr">
        <is>
          <t>ОТ № ЮГОК Столовая 23-01</t>
        </is>
      </c>
      <c r="K381" s="1" t="inlineStr">
        <is>
          <t>Оказание первой помощи пострадавшим</t>
        </is>
      </c>
      <c r="L381" s="1" t="inlineStr">
        <is>
          <t>09.12.2023</t>
        </is>
      </c>
      <c r="M381" s="1" t="inlineStr">
        <is>
          <t>Успешно</t>
        </is>
      </c>
      <c r="N381" s="1" t="inlineStr">
        <is>
          <t>05.02.2024</t>
        </is>
      </c>
      <c r="O381" s="1" t="inlineStr"/>
      <c r="P381" s="1" t="inlineStr"/>
      <c r="Q381" s="1" t="inlineStr">
        <is>
          <t>Пользовательский интерфейс</t>
        </is>
      </c>
    </row>
    <row r="382">
      <c r="B382" s="1" t="inlineStr">
        <is>
          <t>37117578</t>
        </is>
      </c>
      <c r="C382" s="1" t="inlineStr">
        <is>
          <t>2978778</t>
        </is>
      </c>
      <c r="D382" t="inlineStr">
        <is>
          <t>работник 104</t>
        </is>
      </c>
      <c r="E382" s="1" t="inlineStr">
        <is>
          <t>ОБЩЕСТВО С ОГРАНИЧЕННОЙ ОТВЕТСТВЕННОСТЬЮ "АМУР ЗОЛОТО"</t>
        </is>
      </c>
      <c r="F382" s="1" t="inlineStr">
        <is>
          <t>2708001686</t>
        </is>
      </c>
      <c r="G382" s="1" t="inlineStr">
        <is>
          <t>Повар</t>
        </is>
      </c>
      <c r="H382" s="1" t="inlineStr">
        <is>
          <t>ООО "Амур Золото"</t>
        </is>
      </c>
      <c r="I382" s="1" t="inlineStr">
        <is>
          <t>2708001686</t>
        </is>
      </c>
      <c r="J382" s="1" t="inlineStr">
        <is>
          <t>ОТ № ЮГОК Столовая 23-01</t>
        </is>
      </c>
      <c r="K382" s="1" t="inlineStr">
        <is>
          <t>Использование (применение) средств индивидуальной защиты</t>
        </is>
      </c>
      <c r="L382" s="1" t="inlineStr">
        <is>
          <t>09.12.2023</t>
        </is>
      </c>
      <c r="M382" s="1" t="inlineStr">
        <is>
          <t>Успешно</t>
        </is>
      </c>
      <c r="N382" s="1" t="inlineStr">
        <is>
          <t>05.02.2024</t>
        </is>
      </c>
      <c r="O382" s="1" t="inlineStr"/>
      <c r="P382" s="1" t="inlineStr"/>
      <c r="Q382" s="1" t="inlineStr">
        <is>
          <t>Пользовательский интерфейс</t>
        </is>
      </c>
    </row>
    <row r="383">
      <c r="B383" s="1" t="inlineStr">
        <is>
          <t>37117579</t>
        </is>
      </c>
      <c r="C383" s="1" t="inlineStr">
        <is>
          <t>2978778</t>
        </is>
      </c>
      <c r="D383" t="inlineStr">
        <is>
          <t>работник 104</t>
        </is>
      </c>
      <c r="E383" s="1" t="inlineStr">
        <is>
          <t>ОБЩЕСТВО С ОГРАНИЧЕННОЙ ОТВЕТСТВЕННОСТЬЮ "АМУР ЗОЛОТО"</t>
        </is>
      </c>
      <c r="F383" s="1" t="inlineStr">
        <is>
          <t>2708001686</t>
        </is>
      </c>
      <c r="G383" s="1" t="inlineStr">
        <is>
          <t>Повар</t>
        </is>
      </c>
      <c r="H383" s="1" t="inlineStr">
        <is>
          <t>ООО "Амур Золото"</t>
        </is>
      </c>
      <c r="I383" s="1" t="inlineStr">
        <is>
          <t>2708001686</t>
        </is>
      </c>
      <c r="J383" s="1" t="inlineStr">
        <is>
          <t>ОТ № ЮГОК Столовая 23-01</t>
        </is>
      </c>
      <c r="K38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83" s="1" t="inlineStr">
        <is>
          <t>09.12.2023</t>
        </is>
      </c>
      <c r="M383" s="1" t="inlineStr">
        <is>
          <t>Успешно</t>
        </is>
      </c>
      <c r="N383" s="1" t="inlineStr">
        <is>
          <t>05.02.2024</t>
        </is>
      </c>
      <c r="O383" s="1" t="inlineStr"/>
      <c r="P383" s="1" t="inlineStr"/>
      <c r="Q383" s="1" t="inlineStr">
        <is>
          <t>Пользовательский интерфейс</t>
        </is>
      </c>
    </row>
    <row r="384">
      <c r="B384" s="1" t="inlineStr">
        <is>
          <t>37117580</t>
        </is>
      </c>
      <c r="C384" s="1" t="inlineStr">
        <is>
          <t>2978778</t>
        </is>
      </c>
      <c r="D384" t="inlineStr">
        <is>
          <t>работник 105</t>
        </is>
      </c>
      <c r="E384" s="1" t="inlineStr">
        <is>
          <t>ОБЩЕСТВО С ОГРАНИЧЕННОЙ ОТВЕТСТВЕННОСТЬЮ "АМУР ЗОЛОТО"</t>
        </is>
      </c>
      <c r="F384" s="1" t="inlineStr">
        <is>
          <t>2708001686</t>
        </is>
      </c>
      <c r="G384" s="1" t="inlineStr">
        <is>
          <t>Повар</t>
        </is>
      </c>
      <c r="H384" s="1" t="inlineStr">
        <is>
          <t>ООО "Амур Золото"</t>
        </is>
      </c>
      <c r="I384" s="1" t="inlineStr">
        <is>
          <t>2708001686</t>
        </is>
      </c>
      <c r="J384" s="1" t="inlineStr">
        <is>
          <t>ОТ № ЮГОК Столовая 23-01</t>
        </is>
      </c>
      <c r="K384" s="1" t="inlineStr">
        <is>
          <t>Оказание первой помощи пострадавшим</t>
        </is>
      </c>
      <c r="L384" s="1" t="inlineStr">
        <is>
          <t>09.12.2023</t>
        </is>
      </c>
      <c r="M384" s="1" t="inlineStr">
        <is>
          <t>Успешно</t>
        </is>
      </c>
      <c r="N384" s="1" t="inlineStr">
        <is>
          <t>05.02.2024</t>
        </is>
      </c>
      <c r="O384" s="1" t="inlineStr"/>
      <c r="P384" s="1" t="inlineStr"/>
      <c r="Q384" s="1" t="inlineStr">
        <is>
          <t>Пользовательский интерфейс</t>
        </is>
      </c>
    </row>
    <row r="385">
      <c r="B385" s="1" t="inlineStr">
        <is>
          <t>37117581</t>
        </is>
      </c>
      <c r="C385" s="1" t="inlineStr">
        <is>
          <t>2978778</t>
        </is>
      </c>
      <c r="D385" t="inlineStr">
        <is>
          <t>работник 105</t>
        </is>
      </c>
      <c r="E385" s="1" t="inlineStr">
        <is>
          <t>ОБЩЕСТВО С ОГРАНИЧЕННОЙ ОТВЕТСТВЕННОСТЬЮ "АМУР ЗОЛОТО"</t>
        </is>
      </c>
      <c r="F385" s="1" t="inlineStr">
        <is>
          <t>2708001686</t>
        </is>
      </c>
      <c r="G385" s="1" t="inlineStr">
        <is>
          <t>Повар</t>
        </is>
      </c>
      <c r="H385" s="1" t="inlineStr">
        <is>
          <t>ООО "Амур Золото"</t>
        </is>
      </c>
      <c r="I385" s="1" t="inlineStr">
        <is>
          <t>2708001686</t>
        </is>
      </c>
      <c r="J385" s="1" t="inlineStr">
        <is>
          <t>ОТ № ЮГОК Столовая 23-01</t>
        </is>
      </c>
      <c r="K385" s="1" t="inlineStr">
        <is>
          <t>Использование (применение) средств индивидуальной защиты</t>
        </is>
      </c>
      <c r="L385" s="1" t="inlineStr">
        <is>
          <t>09.12.2023</t>
        </is>
      </c>
      <c r="M385" s="1" t="inlineStr">
        <is>
          <t>Успешно</t>
        </is>
      </c>
      <c r="N385" s="1" t="inlineStr">
        <is>
          <t>05.02.2024</t>
        </is>
      </c>
      <c r="O385" s="1" t="inlineStr"/>
      <c r="P385" s="1" t="inlineStr"/>
      <c r="Q385" s="1" t="inlineStr">
        <is>
          <t>Пользовательский интерфейс</t>
        </is>
      </c>
    </row>
    <row r="386">
      <c r="B386" s="1" t="inlineStr">
        <is>
          <t>37117582</t>
        </is>
      </c>
      <c r="C386" s="1" t="inlineStr">
        <is>
          <t>2978778</t>
        </is>
      </c>
      <c r="D386" t="inlineStr">
        <is>
          <t>работник 105</t>
        </is>
      </c>
      <c r="E386" s="1" t="inlineStr">
        <is>
          <t>ОБЩЕСТВО С ОГРАНИЧЕННОЙ ОТВЕТСТВЕННОСТЬЮ "АМУР ЗОЛОТО"</t>
        </is>
      </c>
      <c r="F386" s="1" t="inlineStr">
        <is>
          <t>2708001686</t>
        </is>
      </c>
      <c r="G386" s="1" t="inlineStr">
        <is>
          <t>Повар</t>
        </is>
      </c>
      <c r="H386" s="1" t="inlineStr">
        <is>
          <t>ООО "Амур Золото"</t>
        </is>
      </c>
      <c r="I386" s="1" t="inlineStr">
        <is>
          <t>2708001686</t>
        </is>
      </c>
      <c r="J386" s="1" t="inlineStr">
        <is>
          <t>ОТ № ЮГОК Столовая 23-01</t>
        </is>
      </c>
      <c r="K38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86" s="1" t="inlineStr">
        <is>
          <t>09.12.2023</t>
        </is>
      </c>
      <c r="M386" s="1" t="inlineStr">
        <is>
          <t>Успешно</t>
        </is>
      </c>
      <c r="N386" s="1" t="inlineStr">
        <is>
          <t>05.02.2024</t>
        </is>
      </c>
      <c r="O386" s="1" t="inlineStr"/>
      <c r="P386" s="1" t="inlineStr"/>
      <c r="Q386" s="1" t="inlineStr">
        <is>
          <t>Пользовательский интерфейс</t>
        </is>
      </c>
    </row>
    <row r="387">
      <c r="B387" s="1" t="inlineStr">
        <is>
          <t>37117583</t>
        </is>
      </c>
      <c r="C387" s="1" t="inlineStr">
        <is>
          <t>2978778</t>
        </is>
      </c>
      <c r="D387" t="inlineStr">
        <is>
          <t>работник 106</t>
        </is>
      </c>
      <c r="E387" s="1" t="inlineStr">
        <is>
          <t>ОБЩЕСТВО С ОГРАНИЧЕННОЙ ОТВЕТСТВЕННОСТЬЮ "АМУР ЗОЛОТО"</t>
        </is>
      </c>
      <c r="F387" s="1" t="inlineStr">
        <is>
          <t>2708001686</t>
        </is>
      </c>
      <c r="G387" s="1" t="inlineStr">
        <is>
          <t>Повар</t>
        </is>
      </c>
      <c r="H387" s="1" t="inlineStr">
        <is>
          <t>ООО "Амур Золото"</t>
        </is>
      </c>
      <c r="I387" s="1" t="inlineStr">
        <is>
          <t>2708001686</t>
        </is>
      </c>
      <c r="J387" s="1" t="inlineStr">
        <is>
          <t>ОТ № ЮГОК Столовая 23-01</t>
        </is>
      </c>
      <c r="K387" s="1" t="inlineStr">
        <is>
          <t>Оказание первой помощи пострадавшим</t>
        </is>
      </c>
      <c r="L387" s="1" t="inlineStr">
        <is>
          <t>09.12.2023</t>
        </is>
      </c>
      <c r="M387" s="1" t="inlineStr">
        <is>
          <t>Успешно</t>
        </is>
      </c>
      <c r="N387" s="1" t="inlineStr">
        <is>
          <t>05.02.2024</t>
        </is>
      </c>
      <c r="O387" s="1" t="inlineStr"/>
      <c r="P387" s="1" t="inlineStr"/>
      <c r="Q387" s="1" t="inlineStr">
        <is>
          <t>Пользовательский интерфейс</t>
        </is>
      </c>
    </row>
    <row r="388">
      <c r="B388" s="1" t="inlineStr">
        <is>
          <t>37117584</t>
        </is>
      </c>
      <c r="C388" s="1" t="inlineStr">
        <is>
          <t>2978778</t>
        </is>
      </c>
      <c r="D388" t="inlineStr">
        <is>
          <t>работник 106</t>
        </is>
      </c>
      <c r="E388" s="1" t="inlineStr">
        <is>
          <t>ОБЩЕСТВО С ОГРАНИЧЕННОЙ ОТВЕТСТВЕННОСТЬЮ "АМУР ЗОЛОТО"</t>
        </is>
      </c>
      <c r="F388" s="1" t="inlineStr">
        <is>
          <t>2708001686</t>
        </is>
      </c>
      <c r="G388" s="1" t="inlineStr">
        <is>
          <t>Повар</t>
        </is>
      </c>
      <c r="H388" s="1" t="inlineStr">
        <is>
          <t>ООО "Амур Золото"</t>
        </is>
      </c>
      <c r="I388" s="1" t="inlineStr">
        <is>
          <t>2708001686</t>
        </is>
      </c>
      <c r="J388" s="1" t="inlineStr">
        <is>
          <t>ОТ № ЮГОК Столовая 23-01</t>
        </is>
      </c>
      <c r="K388" s="1" t="inlineStr">
        <is>
          <t>Использование (применение) средств индивидуальной защиты</t>
        </is>
      </c>
      <c r="L388" s="1" t="inlineStr">
        <is>
          <t>09.12.2023</t>
        </is>
      </c>
      <c r="M388" s="1" t="inlineStr">
        <is>
          <t>Успешно</t>
        </is>
      </c>
      <c r="N388" s="1" t="inlineStr">
        <is>
          <t>05.02.2024</t>
        </is>
      </c>
      <c r="O388" s="1" t="inlineStr"/>
      <c r="P388" s="1" t="inlineStr"/>
      <c r="Q388" s="1" t="inlineStr">
        <is>
          <t>Пользовательский интерфейс</t>
        </is>
      </c>
    </row>
    <row r="389">
      <c r="B389" s="1" t="inlineStr">
        <is>
          <t>37117585</t>
        </is>
      </c>
      <c r="C389" s="1" t="inlineStr">
        <is>
          <t>2978778</t>
        </is>
      </c>
      <c r="D389" t="inlineStr">
        <is>
          <t>работник 106</t>
        </is>
      </c>
      <c r="E389" s="1" t="inlineStr">
        <is>
          <t>ОБЩЕСТВО С ОГРАНИЧЕННОЙ ОТВЕТСТВЕННОСТЬЮ "АМУР ЗОЛОТО"</t>
        </is>
      </c>
      <c r="F389" s="1" t="inlineStr">
        <is>
          <t>2708001686</t>
        </is>
      </c>
      <c r="G389" s="1" t="inlineStr">
        <is>
          <t>Повар</t>
        </is>
      </c>
      <c r="H389" s="1" t="inlineStr">
        <is>
          <t>ООО "Амур Золото"</t>
        </is>
      </c>
      <c r="I389" s="1" t="inlineStr">
        <is>
          <t>2708001686</t>
        </is>
      </c>
      <c r="J389" s="1" t="inlineStr">
        <is>
          <t>ОТ № ЮГОК Столовая 23-01</t>
        </is>
      </c>
      <c r="K38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89" s="1" t="inlineStr">
        <is>
          <t>09.12.2023</t>
        </is>
      </c>
      <c r="M389" s="1" t="inlineStr">
        <is>
          <t>Успешно</t>
        </is>
      </c>
      <c r="N389" s="1" t="inlineStr">
        <is>
          <t>05.02.2024</t>
        </is>
      </c>
      <c r="O389" s="1" t="inlineStr"/>
      <c r="P389" s="1" t="inlineStr"/>
      <c r="Q389" s="1" t="inlineStr">
        <is>
          <t>Пользовательский интерфейс</t>
        </is>
      </c>
    </row>
    <row r="390">
      <c r="B390" s="1" t="inlineStr">
        <is>
          <t>37117586</t>
        </is>
      </c>
      <c r="C390" s="1" t="inlineStr">
        <is>
          <t>2978778</t>
        </is>
      </c>
      <c r="D390" t="inlineStr">
        <is>
          <t>работник 107</t>
        </is>
      </c>
      <c r="E390" s="1" t="inlineStr">
        <is>
          <t>ОБЩЕСТВО С ОГРАНИЧЕННОЙ ОТВЕТСТВЕННОСТЬЮ "АМУР ЗОЛОТО"</t>
        </is>
      </c>
      <c r="F390" s="1" t="inlineStr">
        <is>
          <t>2708001686</t>
        </is>
      </c>
      <c r="G390" s="1" t="inlineStr">
        <is>
          <t>Повар</t>
        </is>
      </c>
      <c r="H390" s="1" t="inlineStr">
        <is>
          <t>ООО "Амур Золото"</t>
        </is>
      </c>
      <c r="I390" s="1" t="inlineStr">
        <is>
          <t>2708001686</t>
        </is>
      </c>
      <c r="J390" s="1" t="inlineStr">
        <is>
          <t>ОТ № ЮГОК Столовая 23-01</t>
        </is>
      </c>
      <c r="K390" s="1" t="inlineStr">
        <is>
          <t>Оказание первой помощи пострадавшим</t>
        </is>
      </c>
      <c r="L390" s="1" t="inlineStr">
        <is>
          <t>09.12.2023</t>
        </is>
      </c>
      <c r="M390" s="1" t="inlineStr">
        <is>
          <t>Успешно</t>
        </is>
      </c>
      <c r="N390" s="1" t="inlineStr">
        <is>
          <t>05.02.2024</t>
        </is>
      </c>
      <c r="O390" s="1" t="inlineStr"/>
      <c r="P390" s="1" t="inlineStr"/>
      <c r="Q390" s="1" t="inlineStr">
        <is>
          <t>Пользовательский интерфейс</t>
        </is>
      </c>
    </row>
    <row r="391">
      <c r="B391" s="1" t="inlineStr">
        <is>
          <t>37117587</t>
        </is>
      </c>
      <c r="C391" s="1" t="inlineStr">
        <is>
          <t>2978778</t>
        </is>
      </c>
      <c r="D391" t="inlineStr">
        <is>
          <t>работник 107</t>
        </is>
      </c>
      <c r="E391" s="1" t="inlineStr">
        <is>
          <t>ОБЩЕСТВО С ОГРАНИЧЕННОЙ ОТВЕТСТВЕННОСТЬЮ "АМУР ЗОЛОТО"</t>
        </is>
      </c>
      <c r="F391" s="1" t="inlineStr">
        <is>
          <t>2708001686</t>
        </is>
      </c>
      <c r="G391" s="1" t="inlineStr">
        <is>
          <t>Повар</t>
        </is>
      </c>
      <c r="H391" s="1" t="inlineStr">
        <is>
          <t>ООО "Амур Золото"</t>
        </is>
      </c>
      <c r="I391" s="1" t="inlineStr">
        <is>
          <t>2708001686</t>
        </is>
      </c>
      <c r="J391" s="1" t="inlineStr">
        <is>
          <t>ОТ № ЮГОК Столовая 23-01</t>
        </is>
      </c>
      <c r="K391" s="1" t="inlineStr">
        <is>
          <t>Использование (применение) средств индивидуальной защиты</t>
        </is>
      </c>
      <c r="L391" s="1" t="inlineStr">
        <is>
          <t>09.12.2023</t>
        </is>
      </c>
      <c r="M391" s="1" t="inlineStr">
        <is>
          <t>Успешно</t>
        </is>
      </c>
      <c r="N391" s="1" t="inlineStr">
        <is>
          <t>05.02.2024</t>
        </is>
      </c>
      <c r="O391" s="1" t="inlineStr"/>
      <c r="P391" s="1" t="inlineStr"/>
      <c r="Q391" s="1" t="inlineStr">
        <is>
          <t>Пользовательский интерфейс</t>
        </is>
      </c>
    </row>
    <row r="392">
      <c r="B392" s="1" t="inlineStr">
        <is>
          <t>37117588</t>
        </is>
      </c>
      <c r="C392" s="1" t="inlineStr">
        <is>
          <t>2978778</t>
        </is>
      </c>
      <c r="D392" t="inlineStr">
        <is>
          <t>работник 107</t>
        </is>
      </c>
      <c r="E392" s="1" t="inlineStr">
        <is>
          <t>ОБЩЕСТВО С ОГРАНИЧЕННОЙ ОТВЕТСТВЕННОСТЬЮ "АМУР ЗОЛОТО"</t>
        </is>
      </c>
      <c r="F392" s="1" t="inlineStr">
        <is>
          <t>2708001686</t>
        </is>
      </c>
      <c r="G392" s="1" t="inlineStr">
        <is>
          <t>Повар</t>
        </is>
      </c>
      <c r="H392" s="1" t="inlineStr">
        <is>
          <t>ООО "Амур Золото"</t>
        </is>
      </c>
      <c r="I392" s="1" t="inlineStr">
        <is>
          <t>2708001686</t>
        </is>
      </c>
      <c r="J392" s="1" t="inlineStr">
        <is>
          <t>ОТ № ЮГОК Столовая 23-01</t>
        </is>
      </c>
      <c r="K39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92" s="1" t="inlineStr">
        <is>
          <t>09.12.2023</t>
        </is>
      </c>
      <c r="M392" s="1" t="inlineStr">
        <is>
          <t>Успешно</t>
        </is>
      </c>
      <c r="N392" s="1" t="inlineStr">
        <is>
          <t>05.02.2024</t>
        </is>
      </c>
      <c r="O392" s="1" t="inlineStr"/>
      <c r="P392" s="1" t="inlineStr"/>
      <c r="Q392" s="1" t="inlineStr">
        <is>
          <t>Пользовательский интерфейс</t>
        </is>
      </c>
    </row>
    <row r="393">
      <c r="B393" s="1" t="inlineStr">
        <is>
          <t>37117589</t>
        </is>
      </c>
      <c r="C393" s="1" t="inlineStr">
        <is>
          <t>2978778</t>
        </is>
      </c>
      <c r="D393" t="inlineStr">
        <is>
          <t>работник 108</t>
        </is>
      </c>
      <c r="E393" s="1" t="inlineStr">
        <is>
          <t>ОБЩЕСТВО С ОГРАНИЧЕННОЙ ОТВЕТСТВЕННОСТЬЮ "АМУР ЗОЛОТО"</t>
        </is>
      </c>
      <c r="F393" s="1" t="inlineStr">
        <is>
          <t>2708001686</t>
        </is>
      </c>
      <c r="G393" s="1" t="inlineStr">
        <is>
          <t>Повар</t>
        </is>
      </c>
      <c r="H393" s="1" t="inlineStr">
        <is>
          <t>ООО "Амур Золото"</t>
        </is>
      </c>
      <c r="I393" s="1" t="inlineStr">
        <is>
          <t>2708001686</t>
        </is>
      </c>
      <c r="J393" s="1" t="inlineStr">
        <is>
          <t>ОТ № ЮГОК Столовая 23-01</t>
        </is>
      </c>
      <c r="K393" s="1" t="inlineStr">
        <is>
          <t>Оказание первой помощи пострадавшим</t>
        </is>
      </c>
      <c r="L393" s="1" t="inlineStr">
        <is>
          <t>09.12.2023</t>
        </is>
      </c>
      <c r="M393" s="1" t="inlineStr">
        <is>
          <t>Успешно</t>
        </is>
      </c>
      <c r="N393" s="1" t="inlineStr">
        <is>
          <t>05.02.2024</t>
        </is>
      </c>
      <c r="O393" s="1" t="inlineStr"/>
      <c r="P393" s="1" t="inlineStr"/>
      <c r="Q393" s="1" t="inlineStr">
        <is>
          <t>Пользовательский интерфейс</t>
        </is>
      </c>
    </row>
    <row r="394">
      <c r="B394" s="1" t="inlineStr">
        <is>
          <t>37117590</t>
        </is>
      </c>
      <c r="C394" s="1" t="inlineStr">
        <is>
          <t>2978778</t>
        </is>
      </c>
      <c r="D394" t="inlineStr">
        <is>
          <t>работник 108</t>
        </is>
      </c>
      <c r="E394" s="1" t="inlineStr">
        <is>
          <t>ОБЩЕСТВО С ОГРАНИЧЕННОЙ ОТВЕТСТВЕННОСТЬЮ "АМУР ЗОЛОТО"</t>
        </is>
      </c>
      <c r="F394" s="1" t="inlineStr">
        <is>
          <t>2708001686</t>
        </is>
      </c>
      <c r="G394" s="1" t="inlineStr">
        <is>
          <t>Повар</t>
        </is>
      </c>
      <c r="H394" s="1" t="inlineStr">
        <is>
          <t>ООО "Амур Золото"</t>
        </is>
      </c>
      <c r="I394" s="1" t="inlineStr">
        <is>
          <t>2708001686</t>
        </is>
      </c>
      <c r="J394" s="1" t="inlineStr">
        <is>
          <t>ОТ № ЮГОК Столовая 23-01</t>
        </is>
      </c>
      <c r="K394" s="1" t="inlineStr">
        <is>
          <t>Использование (применение) средств индивидуальной защиты</t>
        </is>
      </c>
      <c r="L394" s="1" t="inlineStr">
        <is>
          <t>09.12.2023</t>
        </is>
      </c>
      <c r="M394" s="1" t="inlineStr">
        <is>
          <t>Успешно</t>
        </is>
      </c>
      <c r="N394" s="1" t="inlineStr">
        <is>
          <t>05.02.2024</t>
        </is>
      </c>
      <c r="O394" s="1" t="inlineStr"/>
      <c r="P394" s="1" t="inlineStr"/>
      <c r="Q394" s="1" t="inlineStr">
        <is>
          <t>Пользовательский интерфейс</t>
        </is>
      </c>
    </row>
    <row r="395">
      <c r="B395" s="1" t="inlineStr">
        <is>
          <t>37117591</t>
        </is>
      </c>
      <c r="C395" s="1" t="inlineStr">
        <is>
          <t>2978778</t>
        </is>
      </c>
      <c r="D395" t="inlineStr">
        <is>
          <t>работник 108</t>
        </is>
      </c>
      <c r="E395" s="1" t="inlineStr">
        <is>
          <t>ОБЩЕСТВО С ОГРАНИЧЕННОЙ ОТВЕТСТВЕННОСТЬЮ "АМУР ЗОЛОТО"</t>
        </is>
      </c>
      <c r="F395" s="1" t="inlineStr">
        <is>
          <t>2708001686</t>
        </is>
      </c>
      <c r="G395" s="1" t="inlineStr">
        <is>
          <t>Повар</t>
        </is>
      </c>
      <c r="H395" s="1" t="inlineStr">
        <is>
          <t>ООО "Амур Золото"</t>
        </is>
      </c>
      <c r="I395" s="1" t="inlineStr">
        <is>
          <t>2708001686</t>
        </is>
      </c>
      <c r="J395" s="1" t="inlineStr">
        <is>
          <t>ОТ № ЮГОК Столовая 23-01</t>
        </is>
      </c>
      <c r="K39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95" s="1" t="inlineStr">
        <is>
          <t>09.12.2023</t>
        </is>
      </c>
      <c r="M395" s="1" t="inlineStr">
        <is>
          <t>Успешно</t>
        </is>
      </c>
      <c r="N395" s="1" t="inlineStr">
        <is>
          <t>05.02.2024</t>
        </is>
      </c>
      <c r="O395" s="1" t="inlineStr"/>
      <c r="P395" s="1" t="inlineStr"/>
      <c r="Q395" s="1" t="inlineStr">
        <is>
          <t>Пользовательский интерфейс</t>
        </is>
      </c>
    </row>
    <row r="396">
      <c r="B396" s="1" t="inlineStr">
        <is>
          <t>37117592</t>
        </is>
      </c>
      <c r="C396" s="1" t="inlineStr">
        <is>
          <t>2978778</t>
        </is>
      </c>
      <c r="D396" t="inlineStr">
        <is>
          <t>работник 109</t>
        </is>
      </c>
      <c r="E396" s="1" t="inlineStr">
        <is>
          <t>ОБЩЕСТВО С ОГРАНИЧЕННОЙ ОТВЕТСТВЕННОСТЬЮ "АМУР ЗОЛОТО"</t>
        </is>
      </c>
      <c r="F396" s="1" t="inlineStr">
        <is>
          <t>2708001686</t>
        </is>
      </c>
      <c r="G396" s="1" t="inlineStr">
        <is>
          <t>Повар</t>
        </is>
      </c>
      <c r="H396" s="1" t="inlineStr">
        <is>
          <t>ООО "Амур Золото"</t>
        </is>
      </c>
      <c r="I396" s="1" t="inlineStr">
        <is>
          <t>2708001686</t>
        </is>
      </c>
      <c r="J396" s="1" t="inlineStr">
        <is>
          <t>ОТ № ЮГОК Столовая 23-01</t>
        </is>
      </c>
      <c r="K396" s="1" t="inlineStr">
        <is>
          <t>Оказание первой помощи пострадавшим</t>
        </is>
      </c>
      <c r="L396" s="1" t="inlineStr">
        <is>
          <t>09.12.2023</t>
        </is>
      </c>
      <c r="M396" s="1" t="inlineStr">
        <is>
          <t>Успешно</t>
        </is>
      </c>
      <c r="N396" s="1" t="inlineStr">
        <is>
          <t>05.02.2024</t>
        </is>
      </c>
      <c r="O396" s="1" t="inlineStr"/>
      <c r="P396" s="1" t="inlineStr"/>
      <c r="Q396" s="1" t="inlineStr">
        <is>
          <t>Пользовательский интерфейс</t>
        </is>
      </c>
    </row>
    <row r="397">
      <c r="B397" s="1" t="inlineStr">
        <is>
          <t>37117593</t>
        </is>
      </c>
      <c r="C397" s="1" t="inlineStr">
        <is>
          <t>2978778</t>
        </is>
      </c>
      <c r="D397" t="inlineStr">
        <is>
          <t>работник 109</t>
        </is>
      </c>
      <c r="E397" s="1" t="inlineStr">
        <is>
          <t>ОБЩЕСТВО С ОГРАНИЧЕННОЙ ОТВЕТСТВЕННОСТЬЮ "АМУР ЗОЛОТО"</t>
        </is>
      </c>
      <c r="F397" s="1" t="inlineStr">
        <is>
          <t>2708001686</t>
        </is>
      </c>
      <c r="G397" s="1" t="inlineStr">
        <is>
          <t>Повар</t>
        </is>
      </c>
      <c r="H397" s="1" t="inlineStr">
        <is>
          <t>ООО "Амур Золото"</t>
        </is>
      </c>
      <c r="I397" s="1" t="inlineStr">
        <is>
          <t>2708001686</t>
        </is>
      </c>
      <c r="J397" s="1" t="inlineStr">
        <is>
          <t>ОТ № ЮГОК Столовая 23-01</t>
        </is>
      </c>
      <c r="K397" s="1" t="inlineStr">
        <is>
          <t>Использование (применение) средств индивидуальной защиты</t>
        </is>
      </c>
      <c r="L397" s="1" t="inlineStr">
        <is>
          <t>09.12.2023</t>
        </is>
      </c>
      <c r="M397" s="1" t="inlineStr">
        <is>
          <t>Успешно</t>
        </is>
      </c>
      <c r="N397" s="1" t="inlineStr">
        <is>
          <t>05.02.2024</t>
        </is>
      </c>
      <c r="O397" s="1" t="inlineStr"/>
      <c r="P397" s="1" t="inlineStr"/>
      <c r="Q397" s="1" t="inlineStr">
        <is>
          <t>Пользовательский интерфейс</t>
        </is>
      </c>
    </row>
    <row r="398">
      <c r="B398" s="1" t="inlineStr">
        <is>
          <t>37117594</t>
        </is>
      </c>
      <c r="C398" s="1" t="inlineStr">
        <is>
          <t>2978778</t>
        </is>
      </c>
      <c r="D398" t="inlineStr">
        <is>
          <t>работник 109</t>
        </is>
      </c>
      <c r="E398" s="1" t="inlineStr">
        <is>
          <t>ОБЩЕСТВО С ОГРАНИЧЕННОЙ ОТВЕТСТВЕННОСТЬЮ "АМУР ЗОЛОТО"</t>
        </is>
      </c>
      <c r="F398" s="1" t="inlineStr">
        <is>
          <t>2708001686</t>
        </is>
      </c>
      <c r="G398" s="1" t="inlineStr">
        <is>
          <t>Повар</t>
        </is>
      </c>
      <c r="H398" s="1" t="inlineStr">
        <is>
          <t>ООО "Амур Золото"</t>
        </is>
      </c>
      <c r="I398" s="1" t="inlineStr">
        <is>
          <t>2708001686</t>
        </is>
      </c>
      <c r="J398" s="1" t="inlineStr">
        <is>
          <t>ОТ № ЮГОК Столовая 23-01</t>
        </is>
      </c>
      <c r="K39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98" s="1" t="inlineStr">
        <is>
          <t>09.12.2023</t>
        </is>
      </c>
      <c r="M398" s="1" t="inlineStr">
        <is>
          <t>Успешно</t>
        </is>
      </c>
      <c r="N398" s="1" t="inlineStr">
        <is>
          <t>05.02.2024</t>
        </is>
      </c>
      <c r="O398" s="1" t="inlineStr"/>
      <c r="P398" s="1" t="inlineStr"/>
      <c r="Q398" s="1" t="inlineStr">
        <is>
          <t>Пользовательский интерфейс</t>
        </is>
      </c>
    </row>
    <row r="399">
      <c r="B399" s="1" t="inlineStr">
        <is>
          <t>37117595</t>
        </is>
      </c>
      <c r="C399" s="1" t="inlineStr">
        <is>
          <t>2978778</t>
        </is>
      </c>
      <c r="D399" t="inlineStr">
        <is>
          <t>работник 110</t>
        </is>
      </c>
      <c r="E399" s="1" t="inlineStr">
        <is>
          <t>ОБЩЕСТВО С ОГРАНИЧЕННОЙ ОТВЕТСТВЕННОСТЬЮ "АМУР ЗОЛОТО"</t>
        </is>
      </c>
      <c r="F399" s="1" t="inlineStr">
        <is>
          <t>2708001686</t>
        </is>
      </c>
      <c r="G399" s="1" t="inlineStr">
        <is>
          <t>Весовщик</t>
        </is>
      </c>
      <c r="H399" s="1" t="inlineStr">
        <is>
          <t>ООО "Амур Золото"</t>
        </is>
      </c>
      <c r="I399" s="1" t="inlineStr">
        <is>
          <t>2708001686</t>
        </is>
      </c>
      <c r="J399" s="1" t="inlineStr">
        <is>
          <t>ОТ № ЮГОК ОТК 23-01</t>
        </is>
      </c>
      <c r="K399" s="1" t="inlineStr">
        <is>
          <t>Оказание первой помощи пострадавшим</t>
        </is>
      </c>
      <c r="L399" s="1" t="inlineStr">
        <is>
          <t>11.12.2023</t>
        </is>
      </c>
      <c r="M399" s="1" t="inlineStr">
        <is>
          <t>Успешно</t>
        </is>
      </c>
      <c r="N399" s="1" t="inlineStr">
        <is>
          <t>05.02.2024</t>
        </is>
      </c>
      <c r="O399" s="1" t="inlineStr"/>
      <c r="P399" s="1" t="inlineStr"/>
      <c r="Q399" s="1" t="inlineStr">
        <is>
          <t>Пользовательский интерфейс</t>
        </is>
      </c>
    </row>
    <row r="400">
      <c r="B400" s="1" t="inlineStr">
        <is>
          <t>37117596</t>
        </is>
      </c>
      <c r="C400" s="1" t="inlineStr">
        <is>
          <t>2978778</t>
        </is>
      </c>
      <c r="D400" t="inlineStr">
        <is>
          <t>работник 110</t>
        </is>
      </c>
      <c r="E400" s="1" t="inlineStr">
        <is>
          <t>ОБЩЕСТВО С ОГРАНИЧЕННОЙ ОТВЕТСТВЕННОСТЬЮ "АМУР ЗОЛОТО"</t>
        </is>
      </c>
      <c r="F400" s="1" t="inlineStr">
        <is>
          <t>2708001686</t>
        </is>
      </c>
      <c r="G400" s="1" t="inlineStr">
        <is>
          <t>Весовщик</t>
        </is>
      </c>
      <c r="H400" s="1" t="inlineStr">
        <is>
          <t>ООО "Амур Золото"</t>
        </is>
      </c>
      <c r="I400" s="1" t="inlineStr">
        <is>
          <t>2708001686</t>
        </is>
      </c>
      <c r="J400" s="1" t="inlineStr">
        <is>
          <t>ОТ № ЮГОК ОТК 23-01</t>
        </is>
      </c>
      <c r="K400" s="1" t="inlineStr">
        <is>
          <t>Использование (применение) средств индивидуальной защиты</t>
        </is>
      </c>
      <c r="L400" s="1" t="inlineStr">
        <is>
          <t>11.12.2023</t>
        </is>
      </c>
      <c r="M400" s="1" t="inlineStr">
        <is>
          <t>Успешно</t>
        </is>
      </c>
      <c r="N400" s="1" t="inlineStr">
        <is>
          <t>05.02.2024</t>
        </is>
      </c>
      <c r="O400" s="1" t="inlineStr"/>
      <c r="P400" s="1" t="inlineStr"/>
      <c r="Q400" s="1" t="inlineStr">
        <is>
          <t>Пользовательский интерфейс</t>
        </is>
      </c>
    </row>
    <row r="401">
      <c r="B401" s="1" t="inlineStr">
        <is>
          <t>37117597</t>
        </is>
      </c>
      <c r="C401" s="1" t="inlineStr">
        <is>
          <t>2978778</t>
        </is>
      </c>
      <c r="D401" t="inlineStr">
        <is>
          <t>работник 110</t>
        </is>
      </c>
      <c r="E401" s="1" t="inlineStr">
        <is>
          <t>ОБЩЕСТВО С ОГРАНИЧЕННОЙ ОТВЕТСТВЕННОСТЬЮ "АМУР ЗОЛОТО"</t>
        </is>
      </c>
      <c r="F401" s="1" t="inlineStr">
        <is>
          <t>2708001686</t>
        </is>
      </c>
      <c r="G401" s="1" t="inlineStr">
        <is>
          <t>Весовщик</t>
        </is>
      </c>
      <c r="H401" s="1" t="inlineStr">
        <is>
          <t>ООО "Амур Золото"</t>
        </is>
      </c>
      <c r="I401" s="1" t="inlineStr">
        <is>
          <t>2708001686</t>
        </is>
      </c>
      <c r="J401" s="1" t="inlineStr">
        <is>
          <t>ОТ № ЮГОК ОТК 23-01</t>
        </is>
      </c>
      <c r="K40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401" s="1" t="inlineStr">
        <is>
          <t>11.12.2023</t>
        </is>
      </c>
      <c r="M401" s="1" t="inlineStr">
        <is>
          <t>Успешно</t>
        </is>
      </c>
      <c r="N401" s="1" t="inlineStr">
        <is>
          <t>05.02.2024</t>
        </is>
      </c>
      <c r="O401" s="1" t="inlineStr"/>
      <c r="P401" s="1" t="inlineStr"/>
      <c r="Q401" s="1" t="inlineStr">
        <is>
          <t>Пользовательский интерфейс</t>
        </is>
      </c>
    </row>
    <row r="402">
      <c r="B402" s="1" t="inlineStr">
        <is>
          <t>37117598</t>
        </is>
      </c>
      <c r="C402" s="1" t="inlineStr">
        <is>
          <t>2978778</t>
        </is>
      </c>
      <c r="D402" t="inlineStr">
        <is>
          <t>работник 111</t>
        </is>
      </c>
      <c r="E402" s="1" t="inlineStr">
        <is>
          <t>ОБЩЕСТВО С ОГРАНИЧЕННОЙ ОТВЕТСТВЕННОСТЬЮ "АМУР ЗОЛОТО"</t>
        </is>
      </c>
      <c r="F402" s="1" t="inlineStr">
        <is>
          <t>2708001686</t>
        </is>
      </c>
      <c r="G402" s="1" t="inlineStr">
        <is>
          <t>Весовщик</t>
        </is>
      </c>
      <c r="H402" s="1" t="inlineStr">
        <is>
          <t>ООО "Амур Золото"</t>
        </is>
      </c>
      <c r="I402" s="1" t="inlineStr">
        <is>
          <t>2708001686</t>
        </is>
      </c>
      <c r="J402" s="1" t="inlineStr">
        <is>
          <t>ОТ № ЮГОК ОТК 23-01</t>
        </is>
      </c>
      <c r="K402" s="1" t="inlineStr">
        <is>
          <t>Оказание первой помощи пострадавшим</t>
        </is>
      </c>
      <c r="L402" s="1" t="inlineStr">
        <is>
          <t>11.12.2023</t>
        </is>
      </c>
      <c r="M402" s="1" t="inlineStr">
        <is>
          <t>Успешно</t>
        </is>
      </c>
      <c r="N402" s="1" t="inlineStr">
        <is>
          <t>05.02.2024</t>
        </is>
      </c>
      <c r="O402" s="1" t="inlineStr"/>
      <c r="P402" s="1" t="inlineStr"/>
      <c r="Q402" s="1" t="inlineStr">
        <is>
          <t>Пользовательский интерфейс</t>
        </is>
      </c>
    </row>
    <row r="403">
      <c r="B403" s="1" t="inlineStr">
        <is>
          <t>37117599</t>
        </is>
      </c>
      <c r="C403" s="1" t="inlineStr">
        <is>
          <t>2978778</t>
        </is>
      </c>
      <c r="D403" t="inlineStr">
        <is>
          <t>работник 111</t>
        </is>
      </c>
      <c r="E403" s="1" t="inlineStr">
        <is>
          <t>ОБЩЕСТВО С ОГРАНИЧЕННОЙ ОТВЕТСТВЕННОСТЬЮ "АМУР ЗОЛОТО"</t>
        </is>
      </c>
      <c r="F403" s="1" t="inlineStr">
        <is>
          <t>2708001686</t>
        </is>
      </c>
      <c r="G403" s="1" t="inlineStr">
        <is>
          <t>Весовщик</t>
        </is>
      </c>
      <c r="H403" s="1" t="inlineStr">
        <is>
          <t>ООО "Амур Золото"</t>
        </is>
      </c>
      <c r="I403" s="1" t="inlineStr">
        <is>
          <t>2708001686</t>
        </is>
      </c>
      <c r="J403" s="1" t="inlineStr">
        <is>
          <t>ОТ № ЮГОК ОТК 23-01</t>
        </is>
      </c>
      <c r="K403" s="1" t="inlineStr">
        <is>
          <t>Использование (применение) средств индивидуальной защиты</t>
        </is>
      </c>
      <c r="L403" s="1" t="inlineStr">
        <is>
          <t>11.12.2023</t>
        </is>
      </c>
      <c r="M403" s="1" t="inlineStr">
        <is>
          <t>Успешно</t>
        </is>
      </c>
      <c r="N403" s="1" t="inlineStr">
        <is>
          <t>05.02.2024</t>
        </is>
      </c>
      <c r="O403" s="1" t="inlineStr"/>
      <c r="P403" s="1" t="inlineStr"/>
      <c r="Q403" s="1" t="inlineStr">
        <is>
          <t>Пользовательский интерфейс</t>
        </is>
      </c>
    </row>
    <row r="404">
      <c r="B404" s="1" t="inlineStr">
        <is>
          <t>37117600</t>
        </is>
      </c>
      <c r="C404" s="1" t="inlineStr">
        <is>
          <t>2978778</t>
        </is>
      </c>
      <c r="D404" t="inlineStr">
        <is>
          <t>работник 111</t>
        </is>
      </c>
      <c r="E404" s="1" t="inlineStr">
        <is>
          <t>ОБЩЕСТВО С ОГРАНИЧЕННОЙ ОТВЕТСТВЕННОСТЬЮ "АМУР ЗОЛОТО"</t>
        </is>
      </c>
      <c r="F404" s="1" t="inlineStr">
        <is>
          <t>2708001686</t>
        </is>
      </c>
      <c r="G404" s="1" t="inlineStr">
        <is>
          <t>Весовщик</t>
        </is>
      </c>
      <c r="H404" s="1" t="inlineStr">
        <is>
          <t>ООО "Амур Золото"</t>
        </is>
      </c>
      <c r="I404" s="1" t="inlineStr">
        <is>
          <t>2708001686</t>
        </is>
      </c>
      <c r="J404" s="1" t="inlineStr">
        <is>
          <t>ОТ № ЮГОК ОТК 23-01</t>
        </is>
      </c>
      <c r="K40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404" s="1" t="inlineStr">
        <is>
          <t>11.12.2023</t>
        </is>
      </c>
      <c r="M404" s="1" t="inlineStr">
        <is>
          <t>Успешно</t>
        </is>
      </c>
      <c r="N404" s="1" t="inlineStr">
        <is>
          <t>05.02.2024</t>
        </is>
      </c>
      <c r="O404" s="1" t="inlineStr"/>
      <c r="P404" s="1" t="inlineStr"/>
      <c r="Q404" s="1" t="inlineStr">
        <is>
          <t>Пользовательский интерфейс</t>
        </is>
      </c>
    </row>
    <row r="405">
      <c r="B405" s="1" t="inlineStr">
        <is>
          <t>37117601</t>
        </is>
      </c>
      <c r="C405" s="1" t="inlineStr">
        <is>
          <t>2978778</t>
        </is>
      </c>
      <c r="D405" t="inlineStr">
        <is>
          <t>работник 112</t>
        </is>
      </c>
      <c r="E405" s="1" t="inlineStr">
        <is>
          <t>ОБЩЕСТВО С ОГРАНИЧЕННОЙ ОТВЕТСТВЕННОСТЬЮ "АМУР ЗОЛОТО"</t>
        </is>
      </c>
      <c r="F405" s="1" t="inlineStr">
        <is>
          <t>2708001686</t>
        </is>
      </c>
      <c r="G405" s="1" t="inlineStr">
        <is>
          <t>Весовщик</t>
        </is>
      </c>
      <c r="H405" s="1" t="inlineStr">
        <is>
          <t>ООО "Амур Золото"</t>
        </is>
      </c>
      <c r="I405" s="1" t="inlineStr">
        <is>
          <t>2708001686</t>
        </is>
      </c>
      <c r="J405" s="1" t="inlineStr">
        <is>
          <t>ОТ № ЮГОК ОТК 23-01</t>
        </is>
      </c>
      <c r="K405" s="1" t="inlineStr">
        <is>
          <t>Оказание первой помощи пострадавшим</t>
        </is>
      </c>
      <c r="L405" s="1" t="inlineStr">
        <is>
          <t>11.12.2023</t>
        </is>
      </c>
      <c r="M405" s="1" t="inlineStr">
        <is>
          <t>Успешно</t>
        </is>
      </c>
      <c r="N405" s="1" t="inlineStr">
        <is>
          <t>05.02.2024</t>
        </is>
      </c>
      <c r="O405" s="1" t="inlineStr"/>
      <c r="P405" s="1" t="inlineStr"/>
      <c r="Q405" s="1" t="inlineStr">
        <is>
          <t>Пользовательский интерфейс</t>
        </is>
      </c>
    </row>
    <row r="406">
      <c r="B406" s="1" t="inlineStr">
        <is>
          <t>37117602</t>
        </is>
      </c>
      <c r="C406" s="1" t="inlineStr">
        <is>
          <t>2978778</t>
        </is>
      </c>
      <c r="D406" t="inlineStr">
        <is>
          <t>работник 112</t>
        </is>
      </c>
      <c r="E406" s="1" t="inlineStr">
        <is>
          <t>ОБЩЕСТВО С ОГРАНИЧЕННОЙ ОТВЕТСТВЕННОСТЬЮ "АМУР ЗОЛОТО"</t>
        </is>
      </c>
      <c r="F406" s="1" t="inlineStr">
        <is>
          <t>2708001686</t>
        </is>
      </c>
      <c r="G406" s="1" t="inlineStr">
        <is>
          <t>Весовщик</t>
        </is>
      </c>
      <c r="H406" s="1" t="inlineStr">
        <is>
          <t>ООО "Амур Золото"</t>
        </is>
      </c>
      <c r="I406" s="1" t="inlineStr">
        <is>
          <t>2708001686</t>
        </is>
      </c>
      <c r="J406" s="1" t="inlineStr">
        <is>
          <t>ОТ № ЮГОК ОТК 23-01</t>
        </is>
      </c>
      <c r="K406" s="1" t="inlineStr">
        <is>
          <t>Использование (применение) средств индивидуальной защиты</t>
        </is>
      </c>
      <c r="L406" s="1" t="inlineStr">
        <is>
          <t>11.12.2023</t>
        </is>
      </c>
      <c r="M406" s="1" t="inlineStr">
        <is>
          <t>Успешно</t>
        </is>
      </c>
      <c r="N406" s="1" t="inlineStr">
        <is>
          <t>05.02.2024</t>
        </is>
      </c>
      <c r="O406" s="1" t="inlineStr"/>
      <c r="P406" s="1" t="inlineStr"/>
      <c r="Q406" s="1" t="inlineStr">
        <is>
          <t>Пользовательский интерфейс</t>
        </is>
      </c>
    </row>
    <row r="407">
      <c r="B407" s="1" t="inlineStr">
        <is>
          <t>37117603</t>
        </is>
      </c>
      <c r="C407" s="1" t="inlineStr">
        <is>
          <t>2978778</t>
        </is>
      </c>
      <c r="D407" t="inlineStr">
        <is>
          <t>работник 112</t>
        </is>
      </c>
      <c r="E407" s="1" t="inlineStr">
        <is>
          <t>ОБЩЕСТВО С ОГРАНИЧЕННОЙ ОТВЕТСТВЕННОСТЬЮ "АМУР ЗОЛОТО"</t>
        </is>
      </c>
      <c r="F407" s="1" t="inlineStr">
        <is>
          <t>2708001686</t>
        </is>
      </c>
      <c r="G407" s="1" t="inlineStr">
        <is>
          <t>Весовщик</t>
        </is>
      </c>
      <c r="H407" s="1" t="inlineStr">
        <is>
          <t>ООО "Амур Золото"</t>
        </is>
      </c>
      <c r="I407" s="1" t="inlineStr">
        <is>
          <t>2708001686</t>
        </is>
      </c>
      <c r="J407" s="1" t="inlineStr">
        <is>
          <t>ОТ № ЮГОК ОТК 23-01</t>
        </is>
      </c>
      <c r="K40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407" s="1" t="inlineStr">
        <is>
          <t>11.12.2023</t>
        </is>
      </c>
      <c r="M407" s="1" t="inlineStr">
        <is>
          <t>Успешно</t>
        </is>
      </c>
      <c r="N407" s="1" t="inlineStr">
        <is>
          <t>05.02.2024</t>
        </is>
      </c>
      <c r="O407" s="1" t="inlineStr"/>
      <c r="P407" s="1" t="inlineStr"/>
      <c r="Q407" s="1" t="inlineStr">
        <is>
          <t>Пользовательский интерфейс</t>
        </is>
      </c>
    </row>
    <row r="408">
      <c r="B408" s="1" t="inlineStr">
        <is>
          <t>37117604</t>
        </is>
      </c>
      <c r="C408" s="1" t="inlineStr">
        <is>
          <t>2978778</t>
        </is>
      </c>
      <c r="D408" t="inlineStr">
        <is>
          <t>работник 113</t>
        </is>
      </c>
      <c r="E408" s="1" t="inlineStr">
        <is>
          <t>ОБЩЕСТВО С ОГРАНИЧЕННОЙ ОТВЕТСТВЕННОСТЬЮ "АМУР ЗОЛОТО"</t>
        </is>
      </c>
      <c r="F408" s="1" t="inlineStr">
        <is>
          <t>2708001686</t>
        </is>
      </c>
      <c r="G408" s="1" t="inlineStr">
        <is>
          <t>Весовщик</t>
        </is>
      </c>
      <c r="H408" s="1" t="inlineStr">
        <is>
          <t>ООО "Амур Золото"</t>
        </is>
      </c>
      <c r="I408" s="1" t="inlineStr">
        <is>
          <t>2708001686</t>
        </is>
      </c>
      <c r="J408" s="1" t="inlineStr">
        <is>
          <t>ОТ № ЮГОК ОТК 23-01</t>
        </is>
      </c>
      <c r="K408" s="1" t="inlineStr">
        <is>
          <t>Оказание первой помощи пострадавшим</t>
        </is>
      </c>
      <c r="L408" s="1" t="inlineStr">
        <is>
          <t>11.12.2023</t>
        </is>
      </c>
      <c r="M408" s="1" t="inlineStr">
        <is>
          <t>Успешно</t>
        </is>
      </c>
      <c r="N408" s="1" t="inlineStr">
        <is>
          <t>05.02.2024</t>
        </is>
      </c>
      <c r="O408" s="1" t="inlineStr"/>
      <c r="P408" s="1" t="inlineStr"/>
      <c r="Q408" s="1" t="inlineStr">
        <is>
          <t>Пользовательский интерфейс</t>
        </is>
      </c>
    </row>
    <row r="409">
      <c r="B409" s="1" t="inlineStr">
        <is>
          <t>37117605</t>
        </is>
      </c>
      <c r="C409" s="1" t="inlineStr">
        <is>
          <t>2978778</t>
        </is>
      </c>
      <c r="D409" t="inlineStr">
        <is>
          <t>работник 113</t>
        </is>
      </c>
      <c r="E409" s="1" t="inlineStr">
        <is>
          <t>ОБЩЕСТВО С ОГРАНИЧЕННОЙ ОТВЕТСТВЕННОСТЬЮ "АМУР ЗОЛОТО"</t>
        </is>
      </c>
      <c r="F409" s="1" t="inlineStr">
        <is>
          <t>2708001686</t>
        </is>
      </c>
      <c r="G409" s="1" t="inlineStr">
        <is>
          <t>Весовщик</t>
        </is>
      </c>
      <c r="H409" s="1" t="inlineStr">
        <is>
          <t>ООО "Амур Золото"</t>
        </is>
      </c>
      <c r="I409" s="1" t="inlineStr">
        <is>
          <t>2708001686</t>
        </is>
      </c>
      <c r="J409" s="1" t="inlineStr">
        <is>
          <t>ОТ № ЮГОК ОТК 23-01</t>
        </is>
      </c>
      <c r="K409" s="1" t="inlineStr">
        <is>
          <t>Использование (применение) средств индивидуальной защиты</t>
        </is>
      </c>
      <c r="L409" s="1" t="inlineStr">
        <is>
          <t>11.12.2023</t>
        </is>
      </c>
      <c r="M409" s="1" t="inlineStr">
        <is>
          <t>Успешно</t>
        </is>
      </c>
      <c r="N409" s="1" t="inlineStr">
        <is>
          <t>05.02.2024</t>
        </is>
      </c>
      <c r="O409" s="1" t="inlineStr"/>
      <c r="P409" s="1" t="inlineStr"/>
      <c r="Q409" s="1" t="inlineStr">
        <is>
          <t>Пользовательский интерфейс</t>
        </is>
      </c>
    </row>
    <row r="410">
      <c r="B410" s="1" t="inlineStr">
        <is>
          <t>37117606</t>
        </is>
      </c>
      <c r="C410" s="1" t="inlineStr">
        <is>
          <t>2978778</t>
        </is>
      </c>
      <c r="D410" t="inlineStr">
        <is>
          <t>работник 113</t>
        </is>
      </c>
      <c r="E410" s="1" t="inlineStr">
        <is>
          <t>ОБЩЕСТВО С ОГРАНИЧЕННОЙ ОТВЕТСТВЕННОСТЬЮ "АМУР ЗОЛОТО"</t>
        </is>
      </c>
      <c r="F410" s="1" t="inlineStr">
        <is>
          <t>2708001686</t>
        </is>
      </c>
      <c r="G410" s="1" t="inlineStr">
        <is>
          <t>Весовщик</t>
        </is>
      </c>
      <c r="H410" s="1" t="inlineStr">
        <is>
          <t>ООО "Амур Золото"</t>
        </is>
      </c>
      <c r="I410" s="1" t="inlineStr">
        <is>
          <t>2708001686</t>
        </is>
      </c>
      <c r="J410" s="1" t="inlineStr">
        <is>
          <t>ОТ № ЮГОК ОТК 23-01</t>
        </is>
      </c>
      <c r="K41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410" s="1" t="inlineStr">
        <is>
          <t>11.12.2023</t>
        </is>
      </c>
      <c r="M410" s="1" t="inlineStr">
        <is>
          <t>Успешно</t>
        </is>
      </c>
      <c r="N410" s="1" t="inlineStr">
        <is>
          <t>05.02.2024</t>
        </is>
      </c>
      <c r="O410" s="1" t="inlineStr"/>
      <c r="P410" s="1" t="inlineStr"/>
      <c r="Q410" s="1" t="inlineStr">
        <is>
          <t>Пользовательский интерфейс</t>
        </is>
      </c>
    </row>
    <row r="411">
      <c r="B411" s="1" t="inlineStr">
        <is>
          <t>37117607</t>
        </is>
      </c>
      <c r="C411" s="1" t="inlineStr">
        <is>
          <t>2978778</t>
        </is>
      </c>
      <c r="D411" t="inlineStr">
        <is>
          <t>работник 114</t>
        </is>
      </c>
      <c r="E411" s="1" t="inlineStr">
        <is>
          <t>ОБЩЕСТВО С ОГРАНИЧЕННОЙ ОТВЕТСТВЕННОСТЬЮ "АМУР ЗОЛОТО"</t>
        </is>
      </c>
      <c r="F411" s="1" t="inlineStr">
        <is>
          <t>2708001686</t>
        </is>
      </c>
      <c r="G411" s="1" t="inlineStr">
        <is>
          <t>Пробоотборщик</t>
        </is>
      </c>
      <c r="H411" s="1" t="inlineStr">
        <is>
          <t>ООО "Амур Золото"</t>
        </is>
      </c>
      <c r="I411" s="1" t="inlineStr">
        <is>
          <t>2708001686</t>
        </is>
      </c>
      <c r="J411" s="1" t="inlineStr">
        <is>
          <t>ОТ № ЮГОК ОТК 23-01</t>
        </is>
      </c>
      <c r="K411" s="1" t="inlineStr">
        <is>
          <t>Оказание первой помощи пострадавшим</t>
        </is>
      </c>
      <c r="L411" s="1" t="inlineStr">
        <is>
          <t>11.12.2023</t>
        </is>
      </c>
      <c r="M411" s="1" t="inlineStr">
        <is>
          <t>Успешно</t>
        </is>
      </c>
      <c r="N411" s="1" t="inlineStr">
        <is>
          <t>05.02.2024</t>
        </is>
      </c>
      <c r="O411" s="1" t="inlineStr"/>
      <c r="P411" s="1" t="inlineStr"/>
      <c r="Q411" s="1" t="inlineStr">
        <is>
          <t>Пользовательский интерфейс</t>
        </is>
      </c>
    </row>
    <row r="412">
      <c r="B412" s="1" t="inlineStr">
        <is>
          <t>37117608</t>
        </is>
      </c>
      <c r="C412" s="1" t="inlineStr">
        <is>
          <t>2978778</t>
        </is>
      </c>
      <c r="D412" t="inlineStr">
        <is>
          <t>работник 114</t>
        </is>
      </c>
      <c r="E412" s="1" t="inlineStr">
        <is>
          <t>ОБЩЕСТВО С ОГРАНИЧЕННОЙ ОТВЕТСТВЕННОСТЬЮ "АМУР ЗОЛОТО"</t>
        </is>
      </c>
      <c r="F412" s="1" t="inlineStr">
        <is>
          <t>2708001686</t>
        </is>
      </c>
      <c r="G412" s="1" t="inlineStr">
        <is>
          <t>Пробоотборщик</t>
        </is>
      </c>
      <c r="H412" s="1" t="inlineStr">
        <is>
          <t>ООО "Амур Золото"</t>
        </is>
      </c>
      <c r="I412" s="1" t="inlineStr">
        <is>
          <t>2708001686</t>
        </is>
      </c>
      <c r="J412" s="1" t="inlineStr">
        <is>
          <t>ОТ № ЮГОК ОТК 23-01</t>
        </is>
      </c>
      <c r="K412" s="1" t="inlineStr">
        <is>
          <t>Использование (применение) средств индивидуальной защиты</t>
        </is>
      </c>
      <c r="L412" s="1" t="inlineStr">
        <is>
          <t>11.12.2023</t>
        </is>
      </c>
      <c r="M412" s="1" t="inlineStr">
        <is>
          <t>Успешно</t>
        </is>
      </c>
      <c r="N412" s="1" t="inlineStr">
        <is>
          <t>05.02.2024</t>
        </is>
      </c>
      <c r="O412" s="1" t="inlineStr"/>
      <c r="P412" s="1" t="inlineStr"/>
      <c r="Q412" s="1" t="inlineStr">
        <is>
          <t>Пользовательский интерфейс</t>
        </is>
      </c>
    </row>
    <row r="413">
      <c r="B413" s="1" t="inlineStr">
        <is>
          <t>37117609</t>
        </is>
      </c>
      <c r="C413" s="1" t="inlineStr">
        <is>
          <t>2978778</t>
        </is>
      </c>
      <c r="D413" t="inlineStr">
        <is>
          <t>работник 114</t>
        </is>
      </c>
      <c r="E413" s="1" t="inlineStr">
        <is>
          <t>ОБЩЕСТВО С ОГРАНИЧЕННОЙ ОТВЕТСТВЕННОСТЬЮ "АМУР ЗОЛОТО"</t>
        </is>
      </c>
      <c r="F413" s="1" t="inlineStr">
        <is>
          <t>2708001686</t>
        </is>
      </c>
      <c r="G413" s="1" t="inlineStr">
        <is>
          <t>Пробоотборщик</t>
        </is>
      </c>
      <c r="H413" s="1" t="inlineStr">
        <is>
          <t>ООО "Амур Золото"</t>
        </is>
      </c>
      <c r="I413" s="1" t="inlineStr">
        <is>
          <t>2708001686</t>
        </is>
      </c>
      <c r="J413" s="1" t="inlineStr">
        <is>
          <t>ОТ № ЮГОК ОТК 23-01</t>
        </is>
      </c>
      <c r="K41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413" s="1" t="inlineStr">
        <is>
          <t>11.12.2023</t>
        </is>
      </c>
      <c r="M413" s="1" t="inlineStr">
        <is>
          <t>Успешно</t>
        </is>
      </c>
      <c r="N413" s="1" t="inlineStr">
        <is>
          <t>05.02.2024</t>
        </is>
      </c>
      <c r="O413" s="1" t="inlineStr"/>
      <c r="P413" s="1" t="inlineStr"/>
      <c r="Q413" s="1" t="inlineStr">
        <is>
          <t>Пользовательский интерфейс</t>
        </is>
      </c>
    </row>
    <row r="414">
      <c r="B414" s="1" t="inlineStr">
        <is>
          <t>37117610</t>
        </is>
      </c>
      <c r="C414" s="1" t="inlineStr">
        <is>
          <t>2978778</t>
        </is>
      </c>
      <c r="D414" t="inlineStr">
        <is>
          <t>работник 115</t>
        </is>
      </c>
      <c r="E414" s="1" t="inlineStr">
        <is>
          <t>ОБЩЕСТВО С ОГРАНИЧЕННОЙ ОТВЕТСТВЕННОСТЬЮ "АМУР ЗОЛОТО"</t>
        </is>
      </c>
      <c r="F414" s="1" t="inlineStr">
        <is>
          <t>2708001686</t>
        </is>
      </c>
      <c r="G414" s="1" t="inlineStr">
        <is>
          <t>Пробоотборщик</t>
        </is>
      </c>
      <c r="H414" s="1" t="inlineStr">
        <is>
          <t>ООО "Амур Золото"</t>
        </is>
      </c>
      <c r="I414" s="1" t="inlineStr">
        <is>
          <t>2708001686</t>
        </is>
      </c>
      <c r="J414" s="1" t="inlineStr">
        <is>
          <t>ОТ № ЮГОК ОТК 23-01</t>
        </is>
      </c>
      <c r="K414" s="1" t="inlineStr">
        <is>
          <t>Оказание первой помощи пострадавшим</t>
        </is>
      </c>
      <c r="L414" s="1" t="inlineStr">
        <is>
          <t>11.12.2023</t>
        </is>
      </c>
      <c r="M414" s="1" t="inlineStr">
        <is>
          <t>Успешно</t>
        </is>
      </c>
      <c r="N414" s="1" t="inlineStr">
        <is>
          <t>05.02.2024</t>
        </is>
      </c>
      <c r="O414" s="1" t="inlineStr"/>
      <c r="P414" s="1" t="inlineStr"/>
      <c r="Q414" s="1" t="inlineStr">
        <is>
          <t>Пользовательский интерфейс</t>
        </is>
      </c>
    </row>
    <row r="415">
      <c r="B415" s="1" t="inlineStr">
        <is>
          <t>37117611</t>
        </is>
      </c>
      <c r="C415" s="1" t="inlineStr">
        <is>
          <t>2978778</t>
        </is>
      </c>
      <c r="D415" t="inlineStr">
        <is>
          <t>работник 115</t>
        </is>
      </c>
      <c r="E415" s="1" t="inlineStr">
        <is>
          <t>ОБЩЕСТВО С ОГРАНИЧЕННОЙ ОТВЕТСТВЕННОСТЬЮ "АМУР ЗОЛОТО"</t>
        </is>
      </c>
      <c r="F415" s="1" t="inlineStr">
        <is>
          <t>2708001686</t>
        </is>
      </c>
      <c r="G415" s="1" t="inlineStr">
        <is>
          <t>Пробоотборщик</t>
        </is>
      </c>
      <c r="H415" s="1" t="inlineStr">
        <is>
          <t>ООО "Амур Золото"</t>
        </is>
      </c>
      <c r="I415" s="1" t="inlineStr">
        <is>
          <t>2708001686</t>
        </is>
      </c>
      <c r="J415" s="1" t="inlineStr">
        <is>
          <t>ОТ № ЮГОК ОТК 23-01</t>
        </is>
      </c>
      <c r="K415" s="1" t="inlineStr">
        <is>
          <t>Использование (применение) средств индивидуальной защиты</t>
        </is>
      </c>
      <c r="L415" s="1" t="inlineStr">
        <is>
          <t>11.12.2023</t>
        </is>
      </c>
      <c r="M415" s="1" t="inlineStr">
        <is>
          <t>Успешно</t>
        </is>
      </c>
      <c r="N415" s="1" t="inlineStr">
        <is>
          <t>05.02.2024</t>
        </is>
      </c>
      <c r="O415" s="1" t="inlineStr"/>
      <c r="P415" s="1" t="inlineStr"/>
      <c r="Q415" s="1" t="inlineStr">
        <is>
          <t>Пользовательский интерфейс</t>
        </is>
      </c>
    </row>
    <row r="416">
      <c r="B416" s="1" t="inlineStr">
        <is>
          <t>37117612</t>
        </is>
      </c>
      <c r="C416" s="1" t="inlineStr">
        <is>
          <t>2978778</t>
        </is>
      </c>
      <c r="D416" t="inlineStr">
        <is>
          <t>работник 116</t>
        </is>
      </c>
      <c r="E416" s="1" t="inlineStr">
        <is>
          <t>ОБЩЕСТВО С ОГРАНИЧЕННОЙ ОТВЕТСТВЕННОСТЬЮ "АМУР ЗОЛОТО"</t>
        </is>
      </c>
      <c r="F416" s="1" t="inlineStr">
        <is>
          <t>2708001686</t>
        </is>
      </c>
      <c r="G416" s="1" t="inlineStr">
        <is>
          <t>Фильтровальщик</t>
        </is>
      </c>
      <c r="H416" s="1" t="inlineStr">
        <is>
          <t>ООО "Амур Золото"</t>
        </is>
      </c>
      <c r="I416" s="1" t="inlineStr">
        <is>
          <t>2708001686</t>
        </is>
      </c>
      <c r="J416" s="1" t="inlineStr">
        <is>
          <t>ОТ ЮГОК ЗИОФ 23-04</t>
        </is>
      </c>
      <c r="K416" s="1" t="inlineStr">
        <is>
          <t>Использование (применение) средств индивидуальной защиты</t>
        </is>
      </c>
      <c r="L416" s="1" t="inlineStr">
        <is>
          <t>11.12.2023</t>
        </is>
      </c>
      <c r="M416" s="1" t="inlineStr">
        <is>
          <t>Успешно</t>
        </is>
      </c>
      <c r="N416" s="1" t="inlineStr">
        <is>
          <t>05.02.2024</t>
        </is>
      </c>
      <c r="O416" s="1" t="inlineStr"/>
      <c r="P416" s="1" t="inlineStr"/>
      <c r="Q416" s="1" t="inlineStr">
        <is>
          <t>Пользовательский интерфейс</t>
        </is>
      </c>
    </row>
    <row r="417">
      <c r="B417" s="1" t="inlineStr">
        <is>
          <t>37117613</t>
        </is>
      </c>
      <c r="C417" s="1" t="inlineStr">
        <is>
          <t>2978778</t>
        </is>
      </c>
      <c r="D417" t="inlineStr">
        <is>
          <t>работник 115</t>
        </is>
      </c>
      <c r="E417" s="1" t="inlineStr">
        <is>
          <t>ОБЩЕСТВО С ОГРАНИЧЕННОЙ ОТВЕТСТВЕННОСТЬЮ "АМУР ЗОЛОТО"</t>
        </is>
      </c>
      <c r="F417" s="1" t="inlineStr">
        <is>
          <t>2708001686</t>
        </is>
      </c>
      <c r="G417" s="1" t="inlineStr">
        <is>
          <t>Пробоотборщик</t>
        </is>
      </c>
      <c r="H417" s="1" t="inlineStr">
        <is>
          <t>ООО "Амур Золото"</t>
        </is>
      </c>
      <c r="I417" s="1" t="inlineStr">
        <is>
          <t>2708001686</t>
        </is>
      </c>
      <c r="J417" s="1" t="inlineStr">
        <is>
          <t>ОТ № ЮГОК ОТК 23-01</t>
        </is>
      </c>
      <c r="K41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417" s="1" t="inlineStr">
        <is>
          <t>11.12.2023</t>
        </is>
      </c>
      <c r="M417" s="1" t="inlineStr">
        <is>
          <t>Успешно</t>
        </is>
      </c>
      <c r="N417" s="1" t="inlineStr">
        <is>
          <t>05.02.2024</t>
        </is>
      </c>
      <c r="O417" s="1" t="inlineStr"/>
      <c r="P417" s="1" t="inlineStr"/>
      <c r="Q417" s="1" t="inlineStr">
        <is>
          <t>Пользовательский интерфейс</t>
        </is>
      </c>
    </row>
    <row r="418">
      <c r="B418" s="1" t="inlineStr">
        <is>
          <t>37117614</t>
        </is>
      </c>
      <c r="C418" s="1" t="inlineStr">
        <is>
          <t>2978778</t>
        </is>
      </c>
      <c r="D418" t="inlineStr">
        <is>
          <t>работник 117</t>
        </is>
      </c>
      <c r="E418" s="1" t="inlineStr">
        <is>
          <t>ОБЩЕСТВО С ОГРАНИЧЕННОЙ ОТВЕТСТВЕННОСТЬЮ "АМУР ЗОЛОТО"</t>
        </is>
      </c>
      <c r="F418" s="1" t="inlineStr">
        <is>
          <t>2708001686</t>
        </is>
      </c>
      <c r="G418" s="1" t="inlineStr">
        <is>
          <t>Пробоотборщик</t>
        </is>
      </c>
      <c r="H418" s="1" t="inlineStr">
        <is>
          <t>ООО "Амур Золото"</t>
        </is>
      </c>
      <c r="I418" s="1" t="inlineStr">
        <is>
          <t>2708001686</t>
        </is>
      </c>
      <c r="J418" s="1" t="inlineStr">
        <is>
          <t>ОТ № ЮГОК ОТК 23-01</t>
        </is>
      </c>
      <c r="K418" s="1" t="inlineStr">
        <is>
          <t>Оказание первой помощи пострадавшим</t>
        </is>
      </c>
      <c r="L418" s="1" t="inlineStr">
        <is>
          <t>11.12.2023</t>
        </is>
      </c>
      <c r="M418" s="1" t="inlineStr">
        <is>
          <t>Успешно</t>
        </is>
      </c>
      <c r="N418" s="1" t="inlineStr">
        <is>
          <t>05.02.2024</t>
        </is>
      </c>
      <c r="O418" s="1" t="inlineStr"/>
      <c r="P418" s="1" t="inlineStr"/>
      <c r="Q418" s="1" t="inlineStr">
        <is>
          <t>Пользовательский интерфейс</t>
        </is>
      </c>
    </row>
    <row r="419">
      <c r="B419" s="1" t="inlineStr">
        <is>
          <t>37117615</t>
        </is>
      </c>
      <c r="C419" s="1" t="inlineStr">
        <is>
          <t>2978778</t>
        </is>
      </c>
      <c r="D419" t="inlineStr">
        <is>
          <t>работник 117</t>
        </is>
      </c>
      <c r="E419" s="1" t="inlineStr">
        <is>
          <t>ОБЩЕСТВО С ОГРАНИЧЕННОЙ ОТВЕТСТВЕННОСТЬЮ "АМУР ЗОЛОТО"</t>
        </is>
      </c>
      <c r="F419" s="1" t="inlineStr">
        <is>
          <t>2708001686</t>
        </is>
      </c>
      <c r="G419" s="1" t="inlineStr">
        <is>
          <t>Пробоотборщик</t>
        </is>
      </c>
      <c r="H419" s="1" t="inlineStr">
        <is>
          <t>ООО "Амур Золото"</t>
        </is>
      </c>
      <c r="I419" s="1" t="inlineStr">
        <is>
          <t>2708001686</t>
        </is>
      </c>
      <c r="J419" s="1" t="inlineStr">
        <is>
          <t>ОТ № ЮГОК ОТК 23-01</t>
        </is>
      </c>
      <c r="K419" s="1" t="inlineStr">
        <is>
          <t>Использование (применение) средств индивидуальной защиты</t>
        </is>
      </c>
      <c r="L419" s="1" t="inlineStr">
        <is>
          <t>11.12.2023</t>
        </is>
      </c>
      <c r="M419" s="1" t="inlineStr">
        <is>
          <t>Успешно</t>
        </is>
      </c>
      <c r="N419" s="1" t="inlineStr">
        <is>
          <t>05.02.2024</t>
        </is>
      </c>
      <c r="O419" s="1" t="inlineStr"/>
      <c r="P419" s="1" t="inlineStr"/>
      <c r="Q419" s="1" t="inlineStr">
        <is>
          <t>Пользовательский интерфейс</t>
        </is>
      </c>
    </row>
    <row r="420">
      <c r="B420" s="1" t="inlineStr">
        <is>
          <t>37117616</t>
        </is>
      </c>
      <c r="C420" s="1" t="inlineStr">
        <is>
          <t>2978778</t>
        </is>
      </c>
      <c r="D420" t="inlineStr">
        <is>
          <t>работник 117</t>
        </is>
      </c>
      <c r="E420" s="1" t="inlineStr">
        <is>
          <t>ОБЩЕСТВО С ОГРАНИЧЕННОЙ ОТВЕТСТВЕННОСТЬЮ "АМУР ЗОЛОТО"</t>
        </is>
      </c>
      <c r="F420" s="1" t="inlineStr">
        <is>
          <t>2708001686</t>
        </is>
      </c>
      <c r="G420" s="1" t="inlineStr">
        <is>
          <t>Пробоотборщик</t>
        </is>
      </c>
      <c r="H420" s="1" t="inlineStr">
        <is>
          <t>ООО "Амур Золото"</t>
        </is>
      </c>
      <c r="I420" s="1" t="inlineStr">
        <is>
          <t>2708001686</t>
        </is>
      </c>
      <c r="J420" s="1" t="inlineStr">
        <is>
          <t>ОТ № ЮГОК ОТК 23-01</t>
        </is>
      </c>
      <c r="K42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420" s="1" t="inlineStr">
        <is>
          <t>11.12.2023</t>
        </is>
      </c>
      <c r="M420" s="1" t="inlineStr">
        <is>
          <t>Успешно</t>
        </is>
      </c>
      <c r="N420" s="1" t="inlineStr">
        <is>
          <t>05.02.2024</t>
        </is>
      </c>
      <c r="O420" s="1" t="inlineStr"/>
      <c r="P420" s="1" t="inlineStr"/>
      <c r="Q420" s="1" t="inlineStr">
        <is>
          <t>Пользовательский интерфейс</t>
        </is>
      </c>
    </row>
    <row r="421">
      <c r="B421" s="1" t="inlineStr">
        <is>
          <t>37117617</t>
        </is>
      </c>
      <c r="C421" s="1" t="inlineStr">
        <is>
          <t>2978778</t>
        </is>
      </c>
      <c r="D421" t="inlineStr">
        <is>
          <t>работник 118</t>
        </is>
      </c>
      <c r="E421" s="1" t="inlineStr">
        <is>
          <t>ОБЩЕСТВО С ОГРАНИЧЕННОЙ ОТВЕТСТВЕННОСТЬЮ "АМУР ЗОЛОТО"</t>
        </is>
      </c>
      <c r="F421" s="1" t="inlineStr">
        <is>
          <t>2708001686</t>
        </is>
      </c>
      <c r="G421" s="1" t="inlineStr">
        <is>
          <t>Пробоотборщик</t>
        </is>
      </c>
      <c r="H421" s="1" t="inlineStr">
        <is>
          <t>ООО "Амур Золото"</t>
        </is>
      </c>
      <c r="I421" s="1" t="inlineStr">
        <is>
          <t>2708001686</t>
        </is>
      </c>
      <c r="J421" s="1" t="inlineStr">
        <is>
          <t>ОТ № ЮГОК ОТК 23-01</t>
        </is>
      </c>
      <c r="K421" s="1" t="inlineStr">
        <is>
          <t>Оказание первой помощи пострадавшим</t>
        </is>
      </c>
      <c r="L421" s="1" t="inlineStr">
        <is>
          <t>11.12.2023</t>
        </is>
      </c>
      <c r="M421" s="1" t="inlineStr">
        <is>
          <t>Успешно</t>
        </is>
      </c>
      <c r="N421" s="1" t="inlineStr">
        <is>
          <t>05.02.2024</t>
        </is>
      </c>
      <c r="O421" s="1" t="inlineStr"/>
      <c r="P421" s="1" t="inlineStr"/>
      <c r="Q421" s="1" t="inlineStr">
        <is>
          <t>Пользовательский интерфейс</t>
        </is>
      </c>
    </row>
    <row r="422">
      <c r="B422" s="1" t="inlineStr">
        <is>
          <t>37117618</t>
        </is>
      </c>
      <c r="C422" s="1" t="inlineStr">
        <is>
          <t>2978778</t>
        </is>
      </c>
      <c r="D422" t="inlineStr">
        <is>
          <t>работник 118</t>
        </is>
      </c>
      <c r="E422" s="1" t="inlineStr">
        <is>
          <t>ОБЩЕСТВО С ОГРАНИЧЕННОЙ ОТВЕТСТВЕННОСТЬЮ "АМУР ЗОЛОТО"</t>
        </is>
      </c>
      <c r="F422" s="1" t="inlineStr">
        <is>
          <t>2708001686</t>
        </is>
      </c>
      <c r="G422" s="1" t="inlineStr">
        <is>
          <t>Пробоотборщик</t>
        </is>
      </c>
      <c r="H422" s="1" t="inlineStr">
        <is>
          <t>ООО "Амур Золото"</t>
        </is>
      </c>
      <c r="I422" s="1" t="inlineStr">
        <is>
          <t>2708001686</t>
        </is>
      </c>
      <c r="J422" s="1" t="inlineStr">
        <is>
          <t>ОТ № ЮГОК ОТК 23-01</t>
        </is>
      </c>
      <c r="K422" s="1" t="inlineStr">
        <is>
          <t>Использование (применение) средств индивидуальной защиты</t>
        </is>
      </c>
      <c r="L422" s="1" t="inlineStr">
        <is>
          <t>11.12.2023</t>
        </is>
      </c>
      <c r="M422" s="1" t="inlineStr">
        <is>
          <t>Успешно</t>
        </is>
      </c>
      <c r="N422" s="1" t="inlineStr">
        <is>
          <t>05.02.2024</t>
        </is>
      </c>
      <c r="O422" s="1" t="inlineStr"/>
      <c r="P422" s="1" t="inlineStr"/>
      <c r="Q422" s="1" t="inlineStr">
        <is>
          <t>Пользовательский интерфейс</t>
        </is>
      </c>
    </row>
    <row r="423">
      <c r="B423" s="1" t="inlineStr">
        <is>
          <t>37117619</t>
        </is>
      </c>
      <c r="C423" s="1" t="inlineStr">
        <is>
          <t>2978778</t>
        </is>
      </c>
      <c r="D423" t="inlineStr">
        <is>
          <t>работник 118</t>
        </is>
      </c>
      <c r="E423" s="1" t="inlineStr">
        <is>
          <t>ОБЩЕСТВО С ОГРАНИЧЕННОЙ ОТВЕТСТВЕННОСТЬЮ "АМУР ЗОЛОТО"</t>
        </is>
      </c>
      <c r="F423" s="1" t="inlineStr">
        <is>
          <t>2708001686</t>
        </is>
      </c>
      <c r="G423" s="1" t="inlineStr">
        <is>
          <t>Пробоотборщик</t>
        </is>
      </c>
      <c r="H423" s="1" t="inlineStr">
        <is>
          <t>ООО "Амур Золото"</t>
        </is>
      </c>
      <c r="I423" s="1" t="inlineStr">
        <is>
          <t>2708001686</t>
        </is>
      </c>
      <c r="J423" s="1" t="inlineStr">
        <is>
          <t>ОТ № ЮГОК ОТК 23-01</t>
        </is>
      </c>
      <c r="K42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423" s="1" t="inlineStr">
        <is>
          <t>11.12.2023</t>
        </is>
      </c>
      <c r="M423" s="1" t="inlineStr">
        <is>
          <t>Успешно</t>
        </is>
      </c>
      <c r="N423" s="1" t="inlineStr">
        <is>
          <t>05.02.2024</t>
        </is>
      </c>
      <c r="O423" s="1" t="inlineStr"/>
      <c r="P423" s="1" t="inlineStr"/>
      <c r="Q423" s="1" t="inlineStr">
        <is>
          <t>Пользовательский интерфейс</t>
        </is>
      </c>
    </row>
    <row r="424">
      <c r="B424" s="1" t="inlineStr">
        <is>
          <t>37117620</t>
        </is>
      </c>
      <c r="C424" s="1" t="inlineStr">
        <is>
          <t>2978778</t>
        </is>
      </c>
      <c r="D424" t="inlineStr">
        <is>
          <t>работник 119</t>
        </is>
      </c>
      <c r="E424" s="1" t="inlineStr">
        <is>
          <t>ОБЩЕСТВО С ОГРАНИЧЕННОЙ ОТВЕТСТВЕННОСТЬЮ "АМУР ЗОЛОТО"</t>
        </is>
      </c>
      <c r="F424" s="1" t="inlineStr">
        <is>
          <t>2708001686</t>
        </is>
      </c>
      <c r="G424" s="1" t="inlineStr">
        <is>
          <t>Пробоотборщик</t>
        </is>
      </c>
      <c r="H424" s="1" t="inlineStr">
        <is>
          <t>ООО "Амур Золото"</t>
        </is>
      </c>
      <c r="I424" s="1" t="inlineStr">
        <is>
          <t>2708001686</t>
        </is>
      </c>
      <c r="J424" s="1" t="inlineStr">
        <is>
          <t>ОТ № ЮГОК ОТК 23-01</t>
        </is>
      </c>
      <c r="K424" s="1" t="inlineStr">
        <is>
          <t>Оказание первой помощи пострадавшим</t>
        </is>
      </c>
      <c r="L424" s="1" t="inlineStr">
        <is>
          <t>11.12.2023</t>
        </is>
      </c>
      <c r="M424" s="1" t="inlineStr">
        <is>
          <t>Успешно</t>
        </is>
      </c>
      <c r="N424" s="1" t="inlineStr">
        <is>
          <t>05.02.2024</t>
        </is>
      </c>
      <c r="O424" s="1" t="inlineStr"/>
      <c r="P424" s="1" t="inlineStr"/>
      <c r="Q424" s="1" t="inlineStr">
        <is>
          <t>Пользовательский интерфейс</t>
        </is>
      </c>
    </row>
    <row r="425">
      <c r="B425" s="1" t="inlineStr">
        <is>
          <t>37117621</t>
        </is>
      </c>
      <c r="C425" s="1" t="inlineStr">
        <is>
          <t>2978778</t>
        </is>
      </c>
      <c r="D425" t="inlineStr">
        <is>
          <t>работник 119</t>
        </is>
      </c>
      <c r="E425" s="1" t="inlineStr">
        <is>
          <t>ОБЩЕСТВО С ОГРАНИЧЕННОЙ ОТВЕТСТВЕННОСТЬЮ "АМУР ЗОЛОТО"</t>
        </is>
      </c>
      <c r="F425" s="1" t="inlineStr">
        <is>
          <t>2708001686</t>
        </is>
      </c>
      <c r="G425" s="1" t="inlineStr">
        <is>
          <t>Пробоотборщик</t>
        </is>
      </c>
      <c r="H425" s="1" t="inlineStr">
        <is>
          <t>ООО "Амур Золото"</t>
        </is>
      </c>
      <c r="I425" s="1" t="inlineStr">
        <is>
          <t>2708001686</t>
        </is>
      </c>
      <c r="J425" s="1" t="inlineStr">
        <is>
          <t>ОТ № ЮГОК ОТК 23-01</t>
        </is>
      </c>
      <c r="K425" s="1" t="inlineStr">
        <is>
          <t>Использование (применение) средств индивидуальной защиты</t>
        </is>
      </c>
      <c r="L425" s="1" t="inlineStr">
        <is>
          <t>11.12.2023</t>
        </is>
      </c>
      <c r="M425" s="1" t="inlineStr">
        <is>
          <t>Успешно</t>
        </is>
      </c>
      <c r="N425" s="1" t="inlineStr">
        <is>
          <t>05.02.2024</t>
        </is>
      </c>
      <c r="O425" s="1" t="inlineStr"/>
      <c r="P425" s="1" t="inlineStr"/>
      <c r="Q425" s="1" t="inlineStr">
        <is>
          <t>Пользовательский интерфейс</t>
        </is>
      </c>
    </row>
    <row r="426">
      <c r="B426" s="1" t="inlineStr">
        <is>
          <t>37117622</t>
        </is>
      </c>
      <c r="C426" s="1" t="inlineStr">
        <is>
          <t>2978778</t>
        </is>
      </c>
      <c r="D426" t="inlineStr">
        <is>
          <t>работник 119</t>
        </is>
      </c>
      <c r="E426" s="1" t="inlineStr">
        <is>
          <t>ОБЩЕСТВО С ОГРАНИЧЕННОЙ ОТВЕТСТВЕННОСТЬЮ "АМУР ЗОЛОТО"</t>
        </is>
      </c>
      <c r="F426" s="1" t="inlineStr">
        <is>
          <t>2708001686</t>
        </is>
      </c>
      <c r="G426" s="1" t="inlineStr">
        <is>
          <t>Пробоотборщик</t>
        </is>
      </c>
      <c r="H426" s="1" t="inlineStr">
        <is>
          <t>ООО "Амур Золото"</t>
        </is>
      </c>
      <c r="I426" s="1" t="inlineStr">
        <is>
          <t>2708001686</t>
        </is>
      </c>
      <c r="J426" s="1" t="inlineStr">
        <is>
          <t>ОТ № ЮГОК ОТК 23-01</t>
        </is>
      </c>
      <c r="K42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426" s="1" t="inlineStr">
        <is>
          <t>11.12.2023</t>
        </is>
      </c>
      <c r="M426" s="1" t="inlineStr">
        <is>
          <t>Успешно</t>
        </is>
      </c>
      <c r="N426" s="1" t="inlineStr">
        <is>
          <t>05.02.2024</t>
        </is>
      </c>
      <c r="O426" s="1" t="inlineStr"/>
      <c r="P426" s="1" t="inlineStr"/>
      <c r="Q426" s="1" t="inlineStr">
        <is>
          <t>Пользовательский интерфейс</t>
        </is>
      </c>
    </row>
    <row r="427">
      <c r="B427" s="1" t="inlineStr">
        <is>
          <t>37117623</t>
        </is>
      </c>
      <c r="C427" s="1" t="inlineStr">
        <is>
          <t>2978778</t>
        </is>
      </c>
      <c r="D427" t="inlineStr">
        <is>
          <t>работник 120</t>
        </is>
      </c>
      <c r="E427" s="1" t="inlineStr">
        <is>
          <t>ОБЩЕСТВО С ОГРАНИЧЕННОЙ ОТВЕТСТВЕННОСТЬЮ "АМУР ЗОЛОТО"</t>
        </is>
      </c>
      <c r="F427" s="1" t="inlineStr">
        <is>
          <t>2708001686</t>
        </is>
      </c>
      <c r="G427" s="1" t="inlineStr">
        <is>
          <t>Фильтровальщик</t>
        </is>
      </c>
      <c r="H427" s="1" t="inlineStr">
        <is>
          <t>ООО "Амур Золото"</t>
        </is>
      </c>
      <c r="I427" s="1" t="inlineStr">
        <is>
          <t>2708001686</t>
        </is>
      </c>
      <c r="J427" s="1" t="inlineStr">
        <is>
          <t>ОТ ЮГОК ЗИОФ 23-04</t>
        </is>
      </c>
      <c r="K427" s="1" t="inlineStr">
        <is>
          <t>Оказание первой помощи пострадавшим</t>
        </is>
      </c>
      <c r="L427" s="1" t="inlineStr">
        <is>
          <t>11.12.2023</t>
        </is>
      </c>
      <c r="M427" s="1" t="inlineStr">
        <is>
          <t>Успешно</t>
        </is>
      </c>
      <c r="N427" s="1" t="inlineStr">
        <is>
          <t>05.02.2024</t>
        </is>
      </c>
      <c r="O427" s="1" t="inlineStr"/>
      <c r="P427" s="1" t="inlineStr"/>
      <c r="Q427" s="1" t="inlineStr">
        <is>
          <t>Пользовательский интерфейс</t>
        </is>
      </c>
    </row>
    <row r="428">
      <c r="B428" s="1" t="inlineStr">
        <is>
          <t>37117624</t>
        </is>
      </c>
      <c r="C428" s="1" t="inlineStr">
        <is>
          <t>2978778</t>
        </is>
      </c>
      <c r="D428" t="inlineStr">
        <is>
          <t>работник 120</t>
        </is>
      </c>
      <c r="E428" s="1" t="inlineStr">
        <is>
          <t>ОБЩЕСТВО С ОГРАНИЧЕННОЙ ОТВЕТСТВЕННОСТЬЮ "АМУР ЗОЛОТО"</t>
        </is>
      </c>
      <c r="F428" s="1" t="inlineStr">
        <is>
          <t>2708001686</t>
        </is>
      </c>
      <c r="G428" s="1" t="inlineStr">
        <is>
          <t>Фильтровальщик</t>
        </is>
      </c>
      <c r="H428" s="1" t="inlineStr">
        <is>
          <t>ООО "Амур Золото"</t>
        </is>
      </c>
      <c r="I428" s="1" t="inlineStr">
        <is>
          <t>2708001686</t>
        </is>
      </c>
      <c r="J428" s="1" t="inlineStr">
        <is>
          <t>ОТ ЮГОК ЗИОФ 23-04</t>
        </is>
      </c>
      <c r="K428" s="1" t="inlineStr">
        <is>
          <t>Использование (применение) средств индивидуальной защиты</t>
        </is>
      </c>
      <c r="L428" s="1" t="inlineStr">
        <is>
          <t>11.12.2023</t>
        </is>
      </c>
      <c r="M428" s="1" t="inlineStr">
        <is>
          <t>Успешно</t>
        </is>
      </c>
      <c r="N428" s="1" t="inlineStr">
        <is>
          <t>05.02.2024</t>
        </is>
      </c>
      <c r="O428" s="1" t="inlineStr"/>
      <c r="P428" s="1" t="inlineStr"/>
      <c r="Q428" s="1" t="inlineStr">
        <is>
          <t>Пользовательский интерфейс</t>
        </is>
      </c>
    </row>
    <row r="429">
      <c r="B429" s="1" t="inlineStr">
        <is>
          <t>37117625</t>
        </is>
      </c>
      <c r="C429" s="1" t="inlineStr">
        <is>
          <t>2978778</t>
        </is>
      </c>
      <c r="D429" t="inlineStr">
        <is>
          <t>работник 120</t>
        </is>
      </c>
      <c r="E429" s="1" t="inlineStr">
        <is>
          <t>ОБЩЕСТВО С ОГРАНИЧЕННОЙ ОТВЕТСТВЕННОСТЬЮ "АМУР ЗОЛОТО"</t>
        </is>
      </c>
      <c r="F429" s="1" t="inlineStr">
        <is>
          <t>2708001686</t>
        </is>
      </c>
      <c r="G429" s="1" t="inlineStr">
        <is>
          <t>Фильтровальщик</t>
        </is>
      </c>
      <c r="H429" s="1" t="inlineStr">
        <is>
          <t>ООО "Амур Золото"</t>
        </is>
      </c>
      <c r="I429" s="1" t="inlineStr">
        <is>
          <t>2708001686</t>
        </is>
      </c>
      <c r="J429" s="1" t="inlineStr">
        <is>
          <t>ОТ ЮГОК ЗИОФ 23-04</t>
        </is>
      </c>
      <c r="K42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429" s="1" t="inlineStr">
        <is>
          <t>11.12.2023</t>
        </is>
      </c>
      <c r="M429" s="1" t="inlineStr">
        <is>
          <t>Успешно</t>
        </is>
      </c>
      <c r="N429" s="1" t="inlineStr">
        <is>
          <t>05.02.2024</t>
        </is>
      </c>
      <c r="O429" s="1" t="inlineStr"/>
      <c r="P429" s="1" t="inlineStr"/>
      <c r="Q429" s="1" t="inlineStr">
        <is>
          <t>Пользовательский интерфейс</t>
        </is>
      </c>
    </row>
    <row r="430">
      <c r="B430" s="1" t="inlineStr">
        <is>
          <t>37117626</t>
        </is>
      </c>
      <c r="C430" s="1" t="inlineStr">
        <is>
          <t>2978778</t>
        </is>
      </c>
      <c r="D430" t="inlineStr">
        <is>
          <t>работник 116</t>
        </is>
      </c>
      <c r="E430" s="1" t="inlineStr">
        <is>
          <t>ОБЩЕСТВО С ОГРАНИЧЕННОЙ ОТВЕТСТВЕННОСТЬЮ "АМУР ЗОЛОТО"</t>
        </is>
      </c>
      <c r="F430" s="1" t="inlineStr">
        <is>
          <t>2708001686</t>
        </is>
      </c>
      <c r="G430" s="1" t="inlineStr">
        <is>
          <t>Фильтровальщик</t>
        </is>
      </c>
      <c r="H430" s="1" t="inlineStr">
        <is>
          <t>ООО "Амур Золото"</t>
        </is>
      </c>
      <c r="I430" s="1" t="inlineStr">
        <is>
          <t>2708001686</t>
        </is>
      </c>
      <c r="J430" s="1" t="inlineStr">
        <is>
          <t>ОТ ЮГОК ЗИОФ 23-04</t>
        </is>
      </c>
      <c r="K430" s="1" t="inlineStr">
        <is>
          <t>Оказание первой помощи пострадавшим</t>
        </is>
      </c>
      <c r="L430" s="1" t="inlineStr">
        <is>
          <t>11.12.2023</t>
        </is>
      </c>
      <c r="M430" s="1" t="inlineStr">
        <is>
          <t>Успешно</t>
        </is>
      </c>
      <c r="N430" s="1" t="inlineStr">
        <is>
          <t>05.02.2024</t>
        </is>
      </c>
      <c r="O430" s="1" t="inlineStr"/>
      <c r="P430" s="1" t="inlineStr"/>
      <c r="Q430" s="1" t="inlineStr">
        <is>
          <t>Пользовательский интерфейс</t>
        </is>
      </c>
    </row>
    <row r="431">
      <c r="B431" s="1" t="inlineStr">
        <is>
          <t>37117627</t>
        </is>
      </c>
      <c r="C431" s="1" t="inlineStr">
        <is>
          <t>2978778</t>
        </is>
      </c>
      <c r="D431" t="inlineStr">
        <is>
          <t>работник 116</t>
        </is>
      </c>
      <c r="E431" s="1" t="inlineStr">
        <is>
          <t>ОБЩЕСТВО С ОГРАНИЧЕННОЙ ОТВЕТСТВЕННОСТЬЮ "АМУР ЗОЛОТО"</t>
        </is>
      </c>
      <c r="F431" s="1" t="inlineStr">
        <is>
          <t>2708001686</t>
        </is>
      </c>
      <c r="G431" s="1" t="inlineStr">
        <is>
          <t>Фильтровальщик</t>
        </is>
      </c>
      <c r="H431" s="1" t="inlineStr">
        <is>
          <t>ООО "Амур Золото"</t>
        </is>
      </c>
      <c r="I431" s="1" t="inlineStr">
        <is>
          <t>2708001686</t>
        </is>
      </c>
      <c r="J431" s="1" t="inlineStr">
        <is>
          <t>ОТ ЮГОК ЗИОФ 23-04</t>
        </is>
      </c>
      <c r="K43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431" s="1" t="inlineStr">
        <is>
          <t>11.12.2023</t>
        </is>
      </c>
      <c r="M431" s="1" t="inlineStr">
        <is>
          <t>Успешно</t>
        </is>
      </c>
      <c r="N431" s="1" t="inlineStr">
        <is>
          <t>05.02.2024</t>
        </is>
      </c>
      <c r="O431" s="1" t="inlineStr"/>
      <c r="P431" s="1" t="inlineStr"/>
      <c r="Q431" s="1" t="inlineStr">
        <is>
          <t>Пользовательский интерфейс</t>
        </is>
      </c>
    </row>
    <row r="432">
      <c r="B432" s="1" t="inlineStr">
        <is>
          <t>37117628</t>
        </is>
      </c>
      <c r="C432" s="1" t="inlineStr">
        <is>
          <t>2978778</t>
        </is>
      </c>
      <c r="D432" t="inlineStr">
        <is>
          <t>работник 121</t>
        </is>
      </c>
      <c r="E432" s="1" t="inlineStr">
        <is>
          <t>ОБЩЕСТВО С ОГРАНИЧЕННОЙ ОТВЕТСТВЕННОСТЬЮ "АМУР ЗОЛОТО"</t>
        </is>
      </c>
      <c r="F432" s="1" t="inlineStr">
        <is>
          <t>2708001686</t>
        </is>
      </c>
      <c r="G432" s="1" t="inlineStr">
        <is>
          <t>Фильтровальщик</t>
        </is>
      </c>
      <c r="H432" s="1" t="inlineStr">
        <is>
          <t>ООО "Амур Золото"</t>
        </is>
      </c>
      <c r="I432" s="1" t="inlineStr">
        <is>
          <t>2708001686</t>
        </is>
      </c>
      <c r="J432" s="1" t="inlineStr">
        <is>
          <t>ОТ ЮГОК ЗИОФ 23-04</t>
        </is>
      </c>
      <c r="K432" s="1" t="inlineStr">
        <is>
          <t>Оказание первой помощи пострадавшим</t>
        </is>
      </c>
      <c r="L432" s="1" t="inlineStr">
        <is>
          <t>11.12.2023</t>
        </is>
      </c>
      <c r="M432" s="1" t="inlineStr">
        <is>
          <t>Успешно</t>
        </is>
      </c>
      <c r="N432" s="1" t="inlineStr">
        <is>
          <t>05.02.2024</t>
        </is>
      </c>
      <c r="O432" s="1" t="inlineStr"/>
      <c r="P432" s="1" t="inlineStr"/>
      <c r="Q432" s="1" t="inlineStr">
        <is>
          <t>Пользовательский интерфейс</t>
        </is>
      </c>
    </row>
    <row r="433">
      <c r="B433" s="1" t="inlineStr">
        <is>
          <t>37117629</t>
        </is>
      </c>
      <c r="C433" s="1" t="inlineStr">
        <is>
          <t>2978778</t>
        </is>
      </c>
      <c r="D433" t="inlineStr">
        <is>
          <t>работник 121</t>
        </is>
      </c>
      <c r="E433" s="1" t="inlineStr">
        <is>
          <t>ОБЩЕСТВО С ОГРАНИЧЕННОЙ ОТВЕТСТВЕННОСТЬЮ "АМУР ЗОЛОТО"</t>
        </is>
      </c>
      <c r="F433" s="1" t="inlineStr">
        <is>
          <t>2708001686</t>
        </is>
      </c>
      <c r="G433" s="1" t="inlineStr">
        <is>
          <t>Фильтровальщик</t>
        </is>
      </c>
      <c r="H433" s="1" t="inlineStr">
        <is>
          <t>ООО "Амур Золото"</t>
        </is>
      </c>
      <c r="I433" s="1" t="inlineStr">
        <is>
          <t>2708001686</t>
        </is>
      </c>
      <c r="J433" s="1" t="inlineStr">
        <is>
          <t>ОТ ЮГОК ЗИОФ 23-04</t>
        </is>
      </c>
      <c r="K433" s="1" t="inlineStr">
        <is>
          <t>Использование (применение) средств индивидуальной защиты</t>
        </is>
      </c>
      <c r="L433" s="1" t="inlineStr">
        <is>
          <t>11.12.2023</t>
        </is>
      </c>
      <c r="M433" s="1" t="inlineStr">
        <is>
          <t>Успешно</t>
        </is>
      </c>
      <c r="N433" s="1" t="inlineStr">
        <is>
          <t>05.02.2024</t>
        </is>
      </c>
      <c r="O433" s="1" t="inlineStr"/>
      <c r="P433" s="1" t="inlineStr"/>
      <c r="Q433" s="1" t="inlineStr">
        <is>
          <t>Пользовательский интерфейс</t>
        </is>
      </c>
    </row>
    <row r="434">
      <c r="B434" s="1" t="inlineStr">
        <is>
          <t>37117630</t>
        </is>
      </c>
      <c r="C434" s="1" t="inlineStr">
        <is>
          <t>2978778</t>
        </is>
      </c>
      <c r="D434" t="inlineStr">
        <is>
          <t>работник 121</t>
        </is>
      </c>
      <c r="E434" s="1" t="inlineStr">
        <is>
          <t>ОБЩЕСТВО С ОГРАНИЧЕННОЙ ОТВЕТСТВЕННОСТЬЮ "АМУР ЗОЛОТО"</t>
        </is>
      </c>
      <c r="F434" s="1" t="inlineStr">
        <is>
          <t>2708001686</t>
        </is>
      </c>
      <c r="G434" s="1" t="inlineStr">
        <is>
          <t>Фильтровальщик</t>
        </is>
      </c>
      <c r="H434" s="1" t="inlineStr">
        <is>
          <t>ООО "Амур Золото"</t>
        </is>
      </c>
      <c r="I434" s="1" t="inlineStr">
        <is>
          <t>2708001686</t>
        </is>
      </c>
      <c r="J434" s="1" t="inlineStr">
        <is>
          <t>ОТ ЮГОК ЗИОФ 23-04</t>
        </is>
      </c>
      <c r="K43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434" s="1" t="inlineStr">
        <is>
          <t>11.12.2023</t>
        </is>
      </c>
      <c r="M434" s="1" t="inlineStr">
        <is>
          <t>Успешно</t>
        </is>
      </c>
      <c r="N434" s="1" t="inlineStr">
        <is>
          <t>05.02.2024</t>
        </is>
      </c>
      <c r="O434" s="1" t="inlineStr"/>
      <c r="P434" s="1" t="inlineStr"/>
      <c r="Q434" s="1" t="inlineStr">
        <is>
          <t>Пользовательский интерфейс</t>
        </is>
      </c>
    </row>
    <row r="435">
      <c r="B435" s="1" t="inlineStr">
        <is>
          <t>37117631</t>
        </is>
      </c>
      <c r="C435" s="1" t="inlineStr">
        <is>
          <t>2978778</t>
        </is>
      </c>
      <c r="D435" t="inlineStr">
        <is>
          <t>работник 122</t>
        </is>
      </c>
      <c r="E435" s="1" t="inlineStr">
        <is>
          <t>ОБЩЕСТВО С ОГРАНИЧЕННОЙ ОТВЕТСТВЕННОСТЬЮ "АМУР ЗОЛОТО"</t>
        </is>
      </c>
      <c r="F435" s="1" t="inlineStr">
        <is>
          <t>2708001686</t>
        </is>
      </c>
      <c r="G435" s="1" t="inlineStr">
        <is>
          <t>Дробильщик</t>
        </is>
      </c>
      <c r="H435" s="1" t="inlineStr">
        <is>
          <t>ООО "Амур Золото"</t>
        </is>
      </c>
      <c r="I435" s="1" t="inlineStr">
        <is>
          <t>2708001686</t>
        </is>
      </c>
      <c r="J435" s="1" t="inlineStr">
        <is>
          <t>ОТ ЮГОК ЗИОФ 23-04</t>
        </is>
      </c>
      <c r="K435" s="1" t="inlineStr">
        <is>
          <t>Оказание первой помощи пострадавшим</t>
        </is>
      </c>
      <c r="L435" s="1" t="inlineStr">
        <is>
          <t>11.12.2023</t>
        </is>
      </c>
      <c r="M435" s="1" t="inlineStr">
        <is>
          <t>Успешно</t>
        </is>
      </c>
      <c r="N435" s="1" t="inlineStr">
        <is>
          <t>05.02.2024</t>
        </is>
      </c>
      <c r="O435" s="1" t="inlineStr"/>
      <c r="P435" s="1" t="inlineStr"/>
      <c r="Q435" s="1" t="inlineStr">
        <is>
          <t>Пользовательский интерфейс</t>
        </is>
      </c>
    </row>
    <row r="436">
      <c r="B436" s="1" t="inlineStr">
        <is>
          <t>37117632</t>
        </is>
      </c>
      <c r="C436" s="1" t="inlineStr">
        <is>
          <t>2978778</t>
        </is>
      </c>
      <c r="D436" t="inlineStr">
        <is>
          <t>работник 122</t>
        </is>
      </c>
      <c r="E436" s="1" t="inlineStr">
        <is>
          <t>ОБЩЕСТВО С ОГРАНИЧЕННОЙ ОТВЕТСТВЕННОСТЬЮ "АМУР ЗОЛОТО"</t>
        </is>
      </c>
      <c r="F436" s="1" t="inlineStr">
        <is>
          <t>2708001686</t>
        </is>
      </c>
      <c r="G436" s="1" t="inlineStr">
        <is>
          <t>Дробильщик</t>
        </is>
      </c>
      <c r="H436" s="1" t="inlineStr">
        <is>
          <t>ООО "Амур Золото"</t>
        </is>
      </c>
      <c r="I436" s="1" t="inlineStr">
        <is>
          <t>2708001686</t>
        </is>
      </c>
      <c r="J436" s="1" t="inlineStr">
        <is>
          <t>ОТ ЮГОК ЗИОФ 23-04</t>
        </is>
      </c>
      <c r="K436" s="1" t="inlineStr">
        <is>
          <t>Использование (применение) средств индивидуальной защиты</t>
        </is>
      </c>
      <c r="L436" s="1" t="inlineStr">
        <is>
          <t>11.12.2023</t>
        </is>
      </c>
      <c r="M436" s="1" t="inlineStr">
        <is>
          <t>Успешно</t>
        </is>
      </c>
      <c r="N436" s="1" t="inlineStr">
        <is>
          <t>05.02.2024</t>
        </is>
      </c>
      <c r="O436" s="1" t="inlineStr"/>
      <c r="P436" s="1" t="inlineStr"/>
      <c r="Q436" s="1" t="inlineStr">
        <is>
          <t>Пользовательский интерфейс</t>
        </is>
      </c>
    </row>
    <row r="437">
      <c r="B437" s="1" t="inlineStr">
        <is>
          <t>37117633</t>
        </is>
      </c>
      <c r="C437" s="1" t="inlineStr">
        <is>
          <t>2978778</t>
        </is>
      </c>
      <c r="D437" t="inlineStr">
        <is>
          <t>работник 122</t>
        </is>
      </c>
      <c r="E437" s="1" t="inlineStr">
        <is>
          <t>ОБЩЕСТВО С ОГРАНИЧЕННОЙ ОТВЕТСТВЕННОСТЬЮ "АМУР ЗОЛОТО"</t>
        </is>
      </c>
      <c r="F437" s="1" t="inlineStr">
        <is>
          <t>2708001686</t>
        </is>
      </c>
      <c r="G437" s="1" t="inlineStr">
        <is>
          <t>Дробильщик</t>
        </is>
      </c>
      <c r="H437" s="1" t="inlineStr">
        <is>
          <t>ООО "Амур Золото"</t>
        </is>
      </c>
      <c r="I437" s="1" t="inlineStr">
        <is>
          <t>2708001686</t>
        </is>
      </c>
      <c r="J437" s="1" t="inlineStr">
        <is>
          <t>ОТ ЮГОК ЗИОФ 23-04</t>
        </is>
      </c>
      <c r="K43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437" s="1" t="inlineStr">
        <is>
          <t>11.12.2023</t>
        </is>
      </c>
      <c r="M437" s="1" t="inlineStr">
        <is>
          <t>Успешно</t>
        </is>
      </c>
      <c r="N437" s="1" t="inlineStr">
        <is>
          <t>05.02.2024</t>
        </is>
      </c>
      <c r="O437" s="1" t="inlineStr"/>
      <c r="P437" s="1" t="inlineStr"/>
      <c r="Q437" s="1" t="inlineStr">
        <is>
          <t>Пользовательский интерфейс</t>
        </is>
      </c>
    </row>
    <row r="438">
      <c r="B438" s="1" t="inlineStr">
        <is>
          <t>37117634</t>
        </is>
      </c>
      <c r="C438" s="1" t="inlineStr">
        <is>
          <t>2978778</t>
        </is>
      </c>
      <c r="D438" t="inlineStr">
        <is>
          <t>работник 123</t>
        </is>
      </c>
      <c r="E438" s="1" t="inlineStr">
        <is>
          <t>ОБЩЕСТВО С ОГРАНИЧЕННОЙ ОТВЕТСТВЕННОСТЬЮ "АМУР ЗОЛОТО"</t>
        </is>
      </c>
      <c r="F438" s="1" t="inlineStr">
        <is>
          <t>2708001686</t>
        </is>
      </c>
      <c r="G438" s="1" t="inlineStr">
        <is>
          <t>Дробильщик</t>
        </is>
      </c>
      <c r="H438" s="1" t="inlineStr">
        <is>
          <t>ООО "Амур Золото"</t>
        </is>
      </c>
      <c r="I438" s="1" t="inlineStr">
        <is>
          <t>2708001686</t>
        </is>
      </c>
      <c r="J438" s="1" t="inlineStr">
        <is>
          <t>ОТ ЮГОК ЗИОФ 23-04</t>
        </is>
      </c>
      <c r="K438" s="1" t="inlineStr">
        <is>
          <t>Оказание первой помощи пострадавшим</t>
        </is>
      </c>
      <c r="L438" s="1" t="inlineStr">
        <is>
          <t>11.12.2023</t>
        </is>
      </c>
      <c r="M438" s="1" t="inlineStr">
        <is>
          <t>Успешно</t>
        </is>
      </c>
      <c r="N438" s="1" t="inlineStr">
        <is>
          <t>05.02.2024</t>
        </is>
      </c>
      <c r="O438" s="1" t="inlineStr"/>
      <c r="P438" s="1" t="inlineStr"/>
      <c r="Q438" s="1" t="inlineStr">
        <is>
          <t>Пользовательский интерфейс</t>
        </is>
      </c>
    </row>
    <row r="439">
      <c r="B439" s="1" t="inlineStr">
        <is>
          <t>37117635</t>
        </is>
      </c>
      <c r="C439" s="1" t="inlineStr">
        <is>
          <t>2978778</t>
        </is>
      </c>
      <c r="D439" t="inlineStr">
        <is>
          <t>работник 123</t>
        </is>
      </c>
      <c r="E439" s="1" t="inlineStr">
        <is>
          <t>ОБЩЕСТВО С ОГРАНИЧЕННОЙ ОТВЕТСТВЕННОСТЬЮ "АМУР ЗОЛОТО"</t>
        </is>
      </c>
      <c r="F439" s="1" t="inlineStr">
        <is>
          <t>2708001686</t>
        </is>
      </c>
      <c r="G439" s="1" t="inlineStr">
        <is>
          <t>Дробильщик</t>
        </is>
      </c>
      <c r="H439" s="1" t="inlineStr">
        <is>
          <t>ООО "Амур Золото"</t>
        </is>
      </c>
      <c r="I439" s="1" t="inlineStr">
        <is>
          <t>2708001686</t>
        </is>
      </c>
      <c r="J439" s="1" t="inlineStr">
        <is>
          <t>ОТ ЮГОК ЗИОФ 23-04</t>
        </is>
      </c>
      <c r="K439" s="1" t="inlineStr">
        <is>
          <t>Использование (применение) средств индивидуальной защиты</t>
        </is>
      </c>
      <c r="L439" s="1" t="inlineStr">
        <is>
          <t>11.12.2023</t>
        </is>
      </c>
      <c r="M439" s="1" t="inlineStr">
        <is>
          <t>Успешно</t>
        </is>
      </c>
      <c r="N439" s="1" t="inlineStr">
        <is>
          <t>05.02.2024</t>
        </is>
      </c>
      <c r="O439" s="1" t="inlineStr"/>
      <c r="P439" s="1" t="inlineStr"/>
      <c r="Q439" s="1" t="inlineStr">
        <is>
          <t>Пользовательский интерфейс</t>
        </is>
      </c>
    </row>
    <row r="440">
      <c r="B440" s="1" t="inlineStr">
        <is>
          <t>37117636</t>
        </is>
      </c>
      <c r="C440" s="1" t="inlineStr">
        <is>
          <t>2978778</t>
        </is>
      </c>
      <c r="D440" t="inlineStr">
        <is>
          <t>работник 123</t>
        </is>
      </c>
      <c r="E440" s="1" t="inlineStr">
        <is>
          <t>ОБЩЕСТВО С ОГРАНИЧЕННОЙ ОТВЕТСТВЕННОСТЬЮ "АМУР ЗОЛОТО"</t>
        </is>
      </c>
      <c r="F440" s="1" t="inlineStr">
        <is>
          <t>2708001686</t>
        </is>
      </c>
      <c r="G440" s="1" t="inlineStr">
        <is>
          <t>Дробильщик</t>
        </is>
      </c>
      <c r="H440" s="1" t="inlineStr">
        <is>
          <t>ООО "Амур Золото"</t>
        </is>
      </c>
      <c r="I440" s="1" t="inlineStr">
        <is>
          <t>2708001686</t>
        </is>
      </c>
      <c r="J440" s="1" t="inlineStr">
        <is>
          <t>ОТ ЮГОК ЗИОФ 23-04</t>
        </is>
      </c>
      <c r="K44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440" s="1" t="inlineStr">
        <is>
          <t>11.12.2023</t>
        </is>
      </c>
      <c r="M440" s="1" t="inlineStr">
        <is>
          <t>Успешно</t>
        </is>
      </c>
      <c r="N440" s="1" t="inlineStr">
        <is>
          <t>05.02.2024</t>
        </is>
      </c>
      <c r="O440" s="1" t="inlineStr"/>
      <c r="P440" s="1" t="inlineStr"/>
      <c r="Q440" s="1" t="inlineStr">
        <is>
          <t>Пользовательский интерфейс</t>
        </is>
      </c>
    </row>
    <row r="441">
      <c r="B441" s="1" t="inlineStr">
        <is>
          <t>37117637</t>
        </is>
      </c>
      <c r="C441" s="1" t="inlineStr">
        <is>
          <t>2978778</t>
        </is>
      </c>
      <c r="D441" t="inlineStr">
        <is>
          <t>работник 124</t>
        </is>
      </c>
      <c r="E441" s="1" t="inlineStr">
        <is>
          <t>ОБЩЕСТВО С ОГРАНИЧЕННОЙ ОТВЕТСТВЕННОСТЬЮ "АМУР ЗОЛОТО"</t>
        </is>
      </c>
      <c r="F441" s="1" t="inlineStr">
        <is>
          <t>2708001686</t>
        </is>
      </c>
      <c r="G441" s="1" t="inlineStr">
        <is>
          <t>Дробильщик</t>
        </is>
      </c>
      <c r="H441" s="1" t="inlineStr">
        <is>
          <t>ООО "Амур Золото"</t>
        </is>
      </c>
      <c r="I441" s="1" t="inlineStr">
        <is>
          <t>2708001686</t>
        </is>
      </c>
      <c r="J441" s="1" t="inlineStr">
        <is>
          <t>ОТ ЮГОК ЗИОФ 23-04</t>
        </is>
      </c>
      <c r="K441" s="1" t="inlineStr">
        <is>
          <t>Оказание первой помощи пострадавшим</t>
        </is>
      </c>
      <c r="L441" s="1" t="inlineStr">
        <is>
          <t>11.12.2023</t>
        </is>
      </c>
      <c r="M441" s="1" t="inlineStr">
        <is>
          <t>Успешно</t>
        </is>
      </c>
      <c r="N441" s="1" t="inlineStr">
        <is>
          <t>05.02.2024</t>
        </is>
      </c>
      <c r="O441" s="1" t="inlineStr"/>
      <c r="P441" s="1" t="inlineStr"/>
      <c r="Q441" s="1" t="inlineStr">
        <is>
          <t>Пользовательский интерфейс</t>
        </is>
      </c>
    </row>
    <row r="442">
      <c r="B442" s="1" t="inlineStr">
        <is>
          <t>37117638</t>
        </is>
      </c>
      <c r="C442" s="1" t="inlineStr">
        <is>
          <t>2978778</t>
        </is>
      </c>
      <c r="D442" t="inlineStr">
        <is>
          <t>работник 124</t>
        </is>
      </c>
      <c r="E442" s="1" t="inlineStr">
        <is>
          <t>ОБЩЕСТВО С ОГРАНИЧЕННОЙ ОТВЕТСТВЕННОСТЬЮ "АМУР ЗОЛОТО"</t>
        </is>
      </c>
      <c r="F442" s="1" t="inlineStr">
        <is>
          <t>2708001686</t>
        </is>
      </c>
      <c r="G442" s="1" t="inlineStr">
        <is>
          <t>Дробильщик</t>
        </is>
      </c>
      <c r="H442" s="1" t="inlineStr">
        <is>
          <t>ООО "Амур Золото"</t>
        </is>
      </c>
      <c r="I442" s="1" t="inlineStr">
        <is>
          <t>2708001686</t>
        </is>
      </c>
      <c r="J442" s="1" t="inlineStr">
        <is>
          <t>ОТ ЮГОК ЗИОФ 23-04</t>
        </is>
      </c>
      <c r="K442" s="1" t="inlineStr">
        <is>
          <t>Использование (применение) средств индивидуальной защиты</t>
        </is>
      </c>
      <c r="L442" s="1" t="inlineStr">
        <is>
          <t>11.12.2023</t>
        </is>
      </c>
      <c r="M442" s="1" t="inlineStr">
        <is>
          <t>Успешно</t>
        </is>
      </c>
      <c r="N442" s="1" t="inlineStr">
        <is>
          <t>05.02.2024</t>
        </is>
      </c>
      <c r="O442" s="1" t="inlineStr"/>
      <c r="P442" s="1" t="inlineStr"/>
      <c r="Q442" s="1" t="inlineStr">
        <is>
          <t>Пользовательский интерфейс</t>
        </is>
      </c>
    </row>
    <row r="443">
      <c r="B443" s="1" t="inlineStr">
        <is>
          <t>37117639</t>
        </is>
      </c>
      <c r="C443" s="1" t="inlineStr">
        <is>
          <t>2978778</t>
        </is>
      </c>
      <c r="D443" t="inlineStr">
        <is>
          <t>работник 124</t>
        </is>
      </c>
      <c r="E443" s="1" t="inlineStr">
        <is>
          <t>ОБЩЕСТВО С ОГРАНИЧЕННОЙ ОТВЕТСТВЕННОСТЬЮ "АМУР ЗОЛОТО"</t>
        </is>
      </c>
      <c r="F443" s="1" t="inlineStr">
        <is>
          <t>2708001686</t>
        </is>
      </c>
      <c r="G443" s="1" t="inlineStr">
        <is>
          <t>Дробильщик</t>
        </is>
      </c>
      <c r="H443" s="1" t="inlineStr">
        <is>
          <t>ООО "Амур Золото"</t>
        </is>
      </c>
      <c r="I443" s="1" t="inlineStr">
        <is>
          <t>2708001686</t>
        </is>
      </c>
      <c r="J443" s="1" t="inlineStr">
        <is>
          <t>ОТ ЮГОК ЗИОФ 23-04</t>
        </is>
      </c>
      <c r="K44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443" s="1" t="inlineStr">
        <is>
          <t>11.12.2023</t>
        </is>
      </c>
      <c r="M443" s="1" t="inlineStr">
        <is>
          <t>Успешно</t>
        </is>
      </c>
      <c r="N443" s="1" t="inlineStr">
        <is>
          <t>05.02.2024</t>
        </is>
      </c>
      <c r="O443" s="1" t="inlineStr"/>
      <c r="P443" s="1" t="inlineStr"/>
      <c r="Q443" s="1" t="inlineStr">
        <is>
          <t>Пользовательский интерфейс</t>
        </is>
      </c>
    </row>
    <row r="444">
      <c r="B444" s="1" t="inlineStr">
        <is>
          <t>37117640</t>
        </is>
      </c>
      <c r="C444" s="1" t="inlineStr">
        <is>
          <t>2978778</t>
        </is>
      </c>
      <c r="D444" t="inlineStr">
        <is>
          <t>работник 125</t>
        </is>
      </c>
      <c r="E444" s="1" t="inlineStr">
        <is>
          <t>ОБЩЕСТВО С ОГРАНИЧЕННОЙ ОТВЕТСТВЕННОСТЬЮ "АМУР ЗОЛОТО"</t>
        </is>
      </c>
      <c r="F444" s="1" t="inlineStr">
        <is>
          <t>2708001686</t>
        </is>
      </c>
      <c r="G444" s="1" t="inlineStr">
        <is>
          <t>Дробильщик</t>
        </is>
      </c>
      <c r="H444" s="1" t="inlineStr">
        <is>
          <t>ООО "Амур Золото"</t>
        </is>
      </c>
      <c r="I444" s="1" t="inlineStr">
        <is>
          <t>2708001686</t>
        </is>
      </c>
      <c r="J444" s="1" t="inlineStr">
        <is>
          <t>ОТ ЮГОК ЗИОФ 23-04</t>
        </is>
      </c>
      <c r="K444" s="1" t="inlineStr">
        <is>
          <t>Оказание первой помощи пострадавшим</t>
        </is>
      </c>
      <c r="L444" s="1" t="inlineStr">
        <is>
          <t>11.12.2023</t>
        </is>
      </c>
      <c r="M444" s="1" t="inlineStr">
        <is>
          <t>Успешно</t>
        </is>
      </c>
      <c r="N444" s="1" t="inlineStr">
        <is>
          <t>05.02.2024</t>
        </is>
      </c>
      <c r="O444" s="1" t="inlineStr"/>
      <c r="P444" s="1" t="inlineStr"/>
      <c r="Q444" s="1" t="inlineStr">
        <is>
          <t>Пользовательский интерфейс</t>
        </is>
      </c>
    </row>
    <row r="445">
      <c r="B445" s="1" t="inlineStr">
        <is>
          <t>37117641</t>
        </is>
      </c>
      <c r="C445" s="1" t="inlineStr">
        <is>
          <t>2978778</t>
        </is>
      </c>
      <c r="D445" t="inlineStr">
        <is>
          <t>работник 125</t>
        </is>
      </c>
      <c r="E445" s="1" t="inlineStr">
        <is>
          <t>ОБЩЕСТВО С ОГРАНИЧЕННОЙ ОТВЕТСТВЕННОСТЬЮ "АМУР ЗОЛОТО"</t>
        </is>
      </c>
      <c r="F445" s="1" t="inlineStr">
        <is>
          <t>2708001686</t>
        </is>
      </c>
      <c r="G445" s="1" t="inlineStr">
        <is>
          <t>Дробильщик</t>
        </is>
      </c>
      <c r="H445" s="1" t="inlineStr">
        <is>
          <t>ООО "Амур Золото"</t>
        </is>
      </c>
      <c r="I445" s="1" t="inlineStr">
        <is>
          <t>2708001686</t>
        </is>
      </c>
      <c r="J445" s="1" t="inlineStr">
        <is>
          <t>ОТ ЮГОК ЗИОФ 23-04</t>
        </is>
      </c>
      <c r="K445" s="1" t="inlineStr">
        <is>
          <t>Использование (применение) средств индивидуальной защиты</t>
        </is>
      </c>
      <c r="L445" s="1" t="inlineStr">
        <is>
          <t>11.12.2023</t>
        </is>
      </c>
      <c r="M445" s="1" t="inlineStr">
        <is>
          <t>Успешно</t>
        </is>
      </c>
      <c r="N445" s="1" t="inlineStr">
        <is>
          <t>05.02.2024</t>
        </is>
      </c>
      <c r="O445" s="1" t="inlineStr"/>
      <c r="P445" s="1" t="inlineStr"/>
      <c r="Q445" s="1" t="inlineStr">
        <is>
          <t>Пользовательский интерфейс</t>
        </is>
      </c>
    </row>
    <row r="446">
      <c r="B446" s="1" t="inlineStr">
        <is>
          <t>37117642</t>
        </is>
      </c>
      <c r="C446" s="1" t="inlineStr">
        <is>
          <t>2978778</t>
        </is>
      </c>
      <c r="D446" t="inlineStr">
        <is>
          <t>работник 125</t>
        </is>
      </c>
      <c r="E446" s="1" t="inlineStr">
        <is>
          <t>ОБЩЕСТВО С ОГРАНИЧЕННОЙ ОТВЕТСТВЕННОСТЬЮ "АМУР ЗОЛОТО"</t>
        </is>
      </c>
      <c r="F446" s="1" t="inlineStr">
        <is>
          <t>2708001686</t>
        </is>
      </c>
      <c r="G446" s="1" t="inlineStr">
        <is>
          <t>Дробильщик</t>
        </is>
      </c>
      <c r="H446" s="1" t="inlineStr">
        <is>
          <t>ООО "Амур Золото"</t>
        </is>
      </c>
      <c r="I446" s="1" t="inlineStr">
        <is>
          <t>2708001686</t>
        </is>
      </c>
      <c r="J446" s="1" t="inlineStr">
        <is>
          <t>ОТ ЮГОК ЗИОФ 23-04</t>
        </is>
      </c>
      <c r="K44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446" s="1" t="inlineStr">
        <is>
          <t>11.12.2023</t>
        </is>
      </c>
      <c r="M446" s="1" t="inlineStr">
        <is>
          <t>Успешно</t>
        </is>
      </c>
      <c r="N446" s="1" t="inlineStr">
        <is>
          <t>05.02.2024</t>
        </is>
      </c>
      <c r="O446" s="1" t="inlineStr"/>
      <c r="P446" s="1" t="inlineStr"/>
      <c r="Q446" s="1" t="inlineStr">
        <is>
          <t>Пользовательский интерфейс</t>
        </is>
      </c>
    </row>
    <row r="447">
      <c r="B447" s="1" t="inlineStr">
        <is>
          <t>37117643</t>
        </is>
      </c>
      <c r="C447" s="1" t="inlineStr">
        <is>
          <t>2978778</t>
        </is>
      </c>
      <c r="D447" t="inlineStr">
        <is>
          <t>работник 126</t>
        </is>
      </c>
      <c r="E447" s="1" t="inlineStr">
        <is>
          <t>ОБЩЕСТВО С ОГРАНИЧЕННОЙ ОТВЕТСТВЕННОСТЬЮ "АМУР ЗОЛОТО"</t>
        </is>
      </c>
      <c r="F447" s="1" t="inlineStr">
        <is>
          <t>2708001686</t>
        </is>
      </c>
      <c r="G447" s="1" t="inlineStr">
        <is>
          <t>Дробильщик</t>
        </is>
      </c>
      <c r="H447" s="1" t="inlineStr">
        <is>
          <t>ООО "Амур Золото"</t>
        </is>
      </c>
      <c r="I447" s="1" t="inlineStr">
        <is>
          <t>2708001686</t>
        </is>
      </c>
      <c r="J447" s="1" t="inlineStr">
        <is>
          <t>ОТ ЮГОК ЗИОФ 23-04</t>
        </is>
      </c>
      <c r="K447" s="1" t="inlineStr">
        <is>
          <t>Оказание первой помощи пострадавшим</t>
        </is>
      </c>
      <c r="L447" s="1" t="inlineStr">
        <is>
          <t>11.12.2023</t>
        </is>
      </c>
      <c r="M447" s="1" t="inlineStr">
        <is>
          <t>Успешно</t>
        </is>
      </c>
      <c r="N447" s="1" t="inlineStr">
        <is>
          <t>05.02.2024</t>
        </is>
      </c>
      <c r="O447" s="1" t="inlineStr"/>
      <c r="P447" s="1" t="inlineStr"/>
      <c r="Q447" s="1" t="inlineStr">
        <is>
          <t>Пользовательский интерфейс</t>
        </is>
      </c>
    </row>
    <row r="448">
      <c r="B448" s="1" t="inlineStr">
        <is>
          <t>37117644</t>
        </is>
      </c>
      <c r="C448" s="1" t="inlineStr">
        <is>
          <t>2978778</t>
        </is>
      </c>
      <c r="D448" t="inlineStr">
        <is>
          <t>работник 126</t>
        </is>
      </c>
      <c r="E448" s="1" t="inlineStr">
        <is>
          <t>ОБЩЕСТВО С ОГРАНИЧЕННОЙ ОТВЕТСТВЕННОСТЬЮ "АМУР ЗОЛОТО"</t>
        </is>
      </c>
      <c r="F448" s="1" t="inlineStr">
        <is>
          <t>2708001686</t>
        </is>
      </c>
      <c r="G448" s="1" t="inlineStr">
        <is>
          <t>Дробильщик</t>
        </is>
      </c>
      <c r="H448" s="1" t="inlineStr">
        <is>
          <t>ООО "Амур Золото"</t>
        </is>
      </c>
      <c r="I448" s="1" t="inlineStr">
        <is>
          <t>2708001686</t>
        </is>
      </c>
      <c r="J448" s="1" t="inlineStr">
        <is>
          <t>ОТ ЮГОК ЗИОФ 23-04</t>
        </is>
      </c>
      <c r="K448" s="1" t="inlineStr">
        <is>
          <t>Использование (применение) средств индивидуальной защиты</t>
        </is>
      </c>
      <c r="L448" s="1" t="inlineStr">
        <is>
          <t>11.12.2023</t>
        </is>
      </c>
      <c r="M448" s="1" t="inlineStr">
        <is>
          <t>Успешно</t>
        </is>
      </c>
      <c r="N448" s="1" t="inlineStr">
        <is>
          <t>05.02.2024</t>
        </is>
      </c>
      <c r="O448" s="1" t="inlineStr"/>
      <c r="P448" s="1" t="inlineStr"/>
      <c r="Q448" s="1" t="inlineStr">
        <is>
          <t>Пользовательский интерфейс</t>
        </is>
      </c>
    </row>
    <row r="449">
      <c r="B449" s="1" t="inlineStr">
        <is>
          <t>37117645</t>
        </is>
      </c>
      <c r="C449" s="1" t="inlineStr">
        <is>
          <t>2978778</t>
        </is>
      </c>
      <c r="D449" t="inlineStr">
        <is>
          <t>работник 126</t>
        </is>
      </c>
      <c r="E449" s="1" t="inlineStr">
        <is>
          <t>ОБЩЕСТВО С ОГРАНИЧЕННОЙ ОТВЕТСТВЕННОСТЬЮ "АМУР ЗОЛОТО"</t>
        </is>
      </c>
      <c r="F449" s="1" t="inlineStr">
        <is>
          <t>2708001686</t>
        </is>
      </c>
      <c r="G449" s="1" t="inlineStr">
        <is>
          <t>Дробильщик</t>
        </is>
      </c>
      <c r="H449" s="1" t="inlineStr">
        <is>
          <t>ООО "Амур Золото"</t>
        </is>
      </c>
      <c r="I449" s="1" t="inlineStr">
        <is>
          <t>2708001686</t>
        </is>
      </c>
      <c r="J449" s="1" t="inlineStr">
        <is>
          <t>ОТ ЮГОК ЗИОФ 23-04</t>
        </is>
      </c>
      <c r="K44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449" s="1" t="inlineStr">
        <is>
          <t>11.12.2023</t>
        </is>
      </c>
      <c r="M449" s="1" t="inlineStr">
        <is>
          <t>Успешно</t>
        </is>
      </c>
      <c r="N449" s="1" t="inlineStr">
        <is>
          <t>05.02.2024</t>
        </is>
      </c>
      <c r="O449" s="1" t="inlineStr"/>
      <c r="P449" s="1" t="inlineStr"/>
      <c r="Q449" s="1" t="inlineStr">
        <is>
          <t>Пользовательский интерфейс</t>
        </is>
      </c>
    </row>
    <row r="450">
      <c r="B450" s="1" t="inlineStr">
        <is>
          <t>37117646</t>
        </is>
      </c>
      <c r="C450" s="1" t="inlineStr">
        <is>
          <t>2978778</t>
        </is>
      </c>
      <c r="D450" t="inlineStr">
        <is>
          <t>работник 127</t>
        </is>
      </c>
      <c r="E450" s="1" t="inlineStr">
        <is>
          <t>ОБЩЕСТВО С ОГРАНИЧЕННОЙ ОТВЕТСТВЕННОСТЬЮ "АМУР ЗОЛОТО"</t>
        </is>
      </c>
      <c r="F450" s="1" t="inlineStr">
        <is>
          <t>2708001686</t>
        </is>
      </c>
      <c r="G450" s="1" t="inlineStr">
        <is>
          <t>Машинист мельниц</t>
        </is>
      </c>
      <c r="H450" s="1" t="inlineStr">
        <is>
          <t>ООО "Амур Золото"</t>
        </is>
      </c>
      <c r="I450" s="1" t="inlineStr">
        <is>
          <t>2708001686</t>
        </is>
      </c>
      <c r="J450" s="1" t="inlineStr">
        <is>
          <t>ОТ ЮГОК ЗИОФ 23-04</t>
        </is>
      </c>
      <c r="K450" s="1" t="inlineStr">
        <is>
          <t>Оказание первой помощи пострадавшим</t>
        </is>
      </c>
      <c r="L450" s="1" t="inlineStr">
        <is>
          <t>11.12.2023</t>
        </is>
      </c>
      <c r="M450" s="1" t="inlineStr">
        <is>
          <t>Успешно</t>
        </is>
      </c>
      <c r="N450" s="1" t="inlineStr">
        <is>
          <t>05.02.2024</t>
        </is>
      </c>
      <c r="O450" s="1" t="inlineStr"/>
      <c r="P450" s="1" t="inlineStr"/>
      <c r="Q450" s="1" t="inlineStr">
        <is>
          <t>Пользовательский интерфейс</t>
        </is>
      </c>
    </row>
    <row r="451">
      <c r="B451" s="1" t="inlineStr">
        <is>
          <t>37117647</t>
        </is>
      </c>
      <c r="C451" s="1" t="inlineStr">
        <is>
          <t>2978778</t>
        </is>
      </c>
      <c r="D451" t="inlineStr">
        <is>
          <t>работник 127</t>
        </is>
      </c>
      <c r="E451" s="1" t="inlineStr">
        <is>
          <t>ОБЩЕСТВО С ОГРАНИЧЕННОЙ ОТВЕТСТВЕННОСТЬЮ "АМУР ЗОЛОТО"</t>
        </is>
      </c>
      <c r="F451" s="1" t="inlineStr">
        <is>
          <t>2708001686</t>
        </is>
      </c>
      <c r="G451" s="1" t="inlineStr">
        <is>
          <t>Машинист мельниц</t>
        </is>
      </c>
      <c r="H451" s="1" t="inlineStr">
        <is>
          <t>ООО "Амур Золото"</t>
        </is>
      </c>
      <c r="I451" s="1" t="inlineStr">
        <is>
          <t>2708001686</t>
        </is>
      </c>
      <c r="J451" s="1" t="inlineStr">
        <is>
          <t>ОТ ЮГОК ЗИОФ 23-04</t>
        </is>
      </c>
      <c r="K451" s="1" t="inlineStr">
        <is>
          <t>Использование (применение) средств индивидуальной защиты</t>
        </is>
      </c>
      <c r="L451" s="1" t="inlineStr">
        <is>
          <t>11.12.2023</t>
        </is>
      </c>
      <c r="M451" s="1" t="inlineStr">
        <is>
          <t>Успешно</t>
        </is>
      </c>
      <c r="N451" s="1" t="inlineStr">
        <is>
          <t>05.02.2024</t>
        </is>
      </c>
      <c r="O451" s="1" t="inlineStr"/>
      <c r="P451" s="1" t="inlineStr"/>
      <c r="Q451" s="1" t="inlineStr">
        <is>
          <t>Пользовательский интерфейс</t>
        </is>
      </c>
    </row>
    <row r="452">
      <c r="B452" s="1" t="inlineStr">
        <is>
          <t>37117648</t>
        </is>
      </c>
      <c r="C452" s="1" t="inlineStr">
        <is>
          <t>2978778</t>
        </is>
      </c>
      <c r="D452" t="inlineStr">
        <is>
          <t>работник 127</t>
        </is>
      </c>
      <c r="E452" s="1" t="inlineStr">
        <is>
          <t>ОБЩЕСТВО С ОГРАНИЧЕННОЙ ОТВЕТСТВЕННОСТЬЮ "АМУР ЗОЛОТО"</t>
        </is>
      </c>
      <c r="F452" s="1" t="inlineStr">
        <is>
          <t>2708001686</t>
        </is>
      </c>
      <c r="G452" s="1" t="inlineStr">
        <is>
          <t>Машинист мельниц</t>
        </is>
      </c>
      <c r="H452" s="1" t="inlineStr">
        <is>
          <t>ООО "Амур Золото"</t>
        </is>
      </c>
      <c r="I452" s="1" t="inlineStr">
        <is>
          <t>2708001686</t>
        </is>
      </c>
      <c r="J452" s="1" t="inlineStr">
        <is>
          <t>ОТ ЮГОК ЗИОФ 23-04</t>
        </is>
      </c>
      <c r="K45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452" s="1" t="inlineStr">
        <is>
          <t>11.12.2023</t>
        </is>
      </c>
      <c r="M452" s="1" t="inlineStr">
        <is>
          <t>Успешно</t>
        </is>
      </c>
      <c r="N452" s="1" t="inlineStr">
        <is>
          <t>05.02.2024</t>
        </is>
      </c>
      <c r="O452" s="1" t="inlineStr"/>
      <c r="P452" s="1" t="inlineStr"/>
      <c r="Q452" s="1" t="inlineStr">
        <is>
          <t>Пользовательский интерфейс</t>
        </is>
      </c>
    </row>
    <row r="453">
      <c r="B453" s="1" t="inlineStr">
        <is>
          <t>37117649</t>
        </is>
      </c>
      <c r="C453" s="1" t="inlineStr">
        <is>
          <t>2978778</t>
        </is>
      </c>
      <c r="D453" t="inlineStr">
        <is>
          <t>работник 128</t>
        </is>
      </c>
      <c r="E453" s="1" t="inlineStr">
        <is>
          <t>ОБЩЕСТВО С ОГРАНИЧЕННОЙ ОТВЕТСТВЕННОСТЬЮ "АМУР ЗОЛОТО"</t>
        </is>
      </c>
      <c r="F453" s="1" t="inlineStr">
        <is>
          <t>2708001686</t>
        </is>
      </c>
      <c r="G453" s="1" t="inlineStr">
        <is>
          <t>машинист конвейра</t>
        </is>
      </c>
      <c r="H453" s="1" t="inlineStr">
        <is>
          <t>ООО "Амур Золото"</t>
        </is>
      </c>
      <c r="I453" s="1" t="inlineStr">
        <is>
          <t>2708001686</t>
        </is>
      </c>
      <c r="J453" s="1" t="inlineStr">
        <is>
          <t>ОТ ЮГОК ЗИОФ 23-04</t>
        </is>
      </c>
      <c r="K453" s="1" t="inlineStr">
        <is>
          <t>Оказание первой помощи пострадавшим</t>
        </is>
      </c>
      <c r="L453" s="1" t="inlineStr">
        <is>
          <t>11.12.2023</t>
        </is>
      </c>
      <c r="M453" s="1" t="inlineStr">
        <is>
          <t>Успешно</t>
        </is>
      </c>
      <c r="N453" s="1" t="inlineStr">
        <is>
          <t>05.02.2024</t>
        </is>
      </c>
      <c r="O453" s="1" t="inlineStr"/>
      <c r="P453" s="1" t="inlineStr"/>
      <c r="Q453" s="1" t="inlineStr">
        <is>
          <t>Пользовательский интерфейс</t>
        </is>
      </c>
    </row>
    <row r="454">
      <c r="B454" s="1" t="inlineStr">
        <is>
          <t>37117650</t>
        </is>
      </c>
      <c r="C454" s="1" t="inlineStr">
        <is>
          <t>2978778</t>
        </is>
      </c>
      <c r="D454" t="inlineStr">
        <is>
          <t>работник 128</t>
        </is>
      </c>
      <c r="E454" s="1" t="inlineStr">
        <is>
          <t>ОБЩЕСТВО С ОГРАНИЧЕННОЙ ОТВЕТСТВЕННОСТЬЮ "АМУР ЗОЛОТО"</t>
        </is>
      </c>
      <c r="F454" s="1" t="inlineStr">
        <is>
          <t>2708001686</t>
        </is>
      </c>
      <c r="G454" s="1" t="inlineStr">
        <is>
          <t>машинист конвейра</t>
        </is>
      </c>
      <c r="H454" s="1" t="inlineStr">
        <is>
          <t>ООО "Амур Золото"</t>
        </is>
      </c>
      <c r="I454" s="1" t="inlineStr">
        <is>
          <t>2708001686</t>
        </is>
      </c>
      <c r="J454" s="1" t="inlineStr">
        <is>
          <t>ОТ ЮГОК ЗИОФ 23-04</t>
        </is>
      </c>
      <c r="K454" s="1" t="inlineStr">
        <is>
          <t>Использование (применение) средств индивидуальной защиты</t>
        </is>
      </c>
      <c r="L454" s="1" t="inlineStr">
        <is>
          <t>11.12.2023</t>
        </is>
      </c>
      <c r="M454" s="1" t="inlineStr">
        <is>
          <t>Успешно</t>
        </is>
      </c>
      <c r="N454" s="1" t="inlineStr">
        <is>
          <t>05.02.2024</t>
        </is>
      </c>
      <c r="O454" s="1" t="inlineStr"/>
      <c r="P454" s="1" t="inlineStr"/>
      <c r="Q454" s="1" t="inlineStr">
        <is>
          <t>Пользовательский интерфейс</t>
        </is>
      </c>
    </row>
    <row r="455">
      <c r="B455" s="1" t="inlineStr">
        <is>
          <t>37117651</t>
        </is>
      </c>
      <c r="C455" s="1" t="inlineStr">
        <is>
          <t>2978778</t>
        </is>
      </c>
      <c r="D455" t="inlineStr">
        <is>
          <t>работник 128</t>
        </is>
      </c>
      <c r="E455" s="1" t="inlineStr">
        <is>
          <t>ОБЩЕСТВО С ОГРАНИЧЕННОЙ ОТВЕТСТВЕННОСТЬЮ "АМУР ЗОЛОТО"</t>
        </is>
      </c>
      <c r="F455" s="1" t="inlineStr">
        <is>
          <t>2708001686</t>
        </is>
      </c>
      <c r="G455" s="1" t="inlineStr">
        <is>
          <t>машинист конвейра</t>
        </is>
      </c>
      <c r="H455" s="1" t="inlineStr">
        <is>
          <t>ООО "Амур Золото"</t>
        </is>
      </c>
      <c r="I455" s="1" t="inlineStr">
        <is>
          <t>2708001686</t>
        </is>
      </c>
      <c r="J455" s="1" t="inlineStr">
        <is>
          <t>ОТ ЮГОК ЗИОФ 23-04</t>
        </is>
      </c>
      <c r="K45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455" s="1" t="inlineStr">
        <is>
          <t>11.12.2023</t>
        </is>
      </c>
      <c r="M455" s="1" t="inlineStr">
        <is>
          <t>Успешно</t>
        </is>
      </c>
      <c r="N455" s="1" t="inlineStr">
        <is>
          <t>05.02.2024</t>
        </is>
      </c>
      <c r="O455" s="1" t="inlineStr"/>
      <c r="P455" s="1" t="inlineStr"/>
      <c r="Q455" s="1" t="inlineStr">
        <is>
          <t>Пользовательский интерфейс</t>
        </is>
      </c>
    </row>
    <row r="456">
      <c r="B456" s="1" t="inlineStr">
        <is>
          <t>37117652</t>
        </is>
      </c>
      <c r="C456" s="1" t="inlineStr">
        <is>
          <t>2978778</t>
        </is>
      </c>
      <c r="D456" t="inlineStr">
        <is>
          <t>работник 129</t>
        </is>
      </c>
      <c r="E456" s="1" t="inlineStr">
        <is>
          <t>ОБЩЕСТВО С ОГРАНИЧЕННОЙ ОТВЕТСТВЕННОСТЬЮ "АМУР ЗОЛОТО"</t>
        </is>
      </c>
      <c r="F456" s="1" t="inlineStr">
        <is>
          <t>2708001686</t>
        </is>
      </c>
      <c r="G456" s="1" t="inlineStr">
        <is>
          <t>Слесарь-ремонтник</t>
        </is>
      </c>
      <c r="H456" s="1" t="inlineStr">
        <is>
          <t>ООО "Амур Золото"</t>
        </is>
      </c>
      <c r="I456" s="1" t="inlineStr">
        <is>
          <t>2708001686</t>
        </is>
      </c>
      <c r="J456" s="1" t="inlineStr">
        <is>
          <t>ОТ ЮГОК ЗИОФ 23-04</t>
        </is>
      </c>
      <c r="K456" s="1" t="inlineStr">
        <is>
          <t>Использование (применение) средств индивидуальной защиты</t>
        </is>
      </c>
      <c r="L456" s="1" t="inlineStr">
        <is>
          <t>11.12.2023</t>
        </is>
      </c>
      <c r="M456" s="1" t="inlineStr">
        <is>
          <t>Успешно</t>
        </is>
      </c>
      <c r="N456" s="1" t="inlineStr">
        <is>
          <t>05.02.2024</t>
        </is>
      </c>
      <c r="O456" s="1" t="inlineStr"/>
      <c r="P456" s="1" t="inlineStr"/>
      <c r="Q456" s="1" t="inlineStr">
        <is>
          <t>Пользовательский интерфейс</t>
        </is>
      </c>
    </row>
    <row r="457">
      <c r="B457" s="1" t="inlineStr">
        <is>
          <t>37117653</t>
        </is>
      </c>
      <c r="C457" s="1" t="inlineStr">
        <is>
          <t>2978778</t>
        </is>
      </c>
      <c r="D457" t="inlineStr">
        <is>
          <t>работник 129</t>
        </is>
      </c>
      <c r="E457" s="1" t="inlineStr">
        <is>
          <t>ОБЩЕСТВО С ОГРАНИЧЕННОЙ ОТВЕТСТВЕННОСТЬЮ "АМУР ЗОЛОТО"</t>
        </is>
      </c>
      <c r="F457" s="1" t="inlineStr">
        <is>
          <t>2708001686</t>
        </is>
      </c>
      <c r="G457" s="1" t="inlineStr">
        <is>
          <t>Слесарь-ремонтник</t>
        </is>
      </c>
      <c r="H457" s="1" t="inlineStr">
        <is>
          <t>ООО "Амур Золото"</t>
        </is>
      </c>
      <c r="I457" s="1" t="inlineStr">
        <is>
          <t>2708001686</t>
        </is>
      </c>
      <c r="J457" s="1" t="inlineStr">
        <is>
          <t>ОТ ЮГОК ЗИОФ 23-04</t>
        </is>
      </c>
      <c r="K45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457" s="1" t="inlineStr">
        <is>
          <t>11.12.2023</t>
        </is>
      </c>
      <c r="M457" s="1" t="inlineStr">
        <is>
          <t>Успешно</t>
        </is>
      </c>
      <c r="N457" s="1" t="inlineStr">
        <is>
          <t>05.02.2024</t>
        </is>
      </c>
      <c r="O457" s="1" t="inlineStr"/>
      <c r="P457" s="1" t="inlineStr"/>
      <c r="Q457" s="1" t="inlineStr">
        <is>
          <t>Пользовательский интерфейс</t>
        </is>
      </c>
    </row>
    <row r="458">
      <c r="B458" s="1" t="inlineStr">
        <is>
          <t>37117654</t>
        </is>
      </c>
      <c r="C458" s="1" t="inlineStr">
        <is>
          <t>2978778</t>
        </is>
      </c>
      <c r="D458" t="inlineStr">
        <is>
          <t>работник 130</t>
        </is>
      </c>
      <c r="E458" s="1" t="inlineStr">
        <is>
          <t>ОБЩЕСТВО С ОГРАНИЧЕННОЙ ОТВЕТСТВЕННОСТЬЮ "АМУР ЗОЛОТО"</t>
        </is>
      </c>
      <c r="F458" s="1" t="inlineStr">
        <is>
          <t>2708001686</t>
        </is>
      </c>
      <c r="G458" s="1" t="inlineStr">
        <is>
          <t>Слесарь-ремонтник</t>
        </is>
      </c>
      <c r="H458" s="1" t="inlineStr">
        <is>
          <t>ООО "Амур Золото"</t>
        </is>
      </c>
      <c r="I458" s="1" t="inlineStr">
        <is>
          <t>2708001686</t>
        </is>
      </c>
      <c r="J458" s="1" t="inlineStr">
        <is>
          <t>ОТ ЮГОК ЗИОФ 23-04</t>
        </is>
      </c>
      <c r="K458" s="1" t="inlineStr">
        <is>
          <t>Оказание первой помощи пострадавшим</t>
        </is>
      </c>
      <c r="L458" s="1" t="inlineStr">
        <is>
          <t>11.12.2023</t>
        </is>
      </c>
      <c r="M458" s="1" t="inlineStr">
        <is>
          <t>Успешно</t>
        </is>
      </c>
      <c r="N458" s="1" t="inlineStr">
        <is>
          <t>05.02.2024</t>
        </is>
      </c>
      <c r="O458" s="1" t="inlineStr"/>
      <c r="P458" s="1" t="inlineStr"/>
      <c r="Q458" s="1" t="inlineStr">
        <is>
          <t>Пользовательский интерфейс</t>
        </is>
      </c>
    </row>
    <row r="459">
      <c r="B459" s="1" t="inlineStr">
        <is>
          <t>37117655</t>
        </is>
      </c>
      <c r="C459" s="1" t="inlineStr">
        <is>
          <t>2978778</t>
        </is>
      </c>
      <c r="D459" t="inlineStr">
        <is>
          <t>работник 130</t>
        </is>
      </c>
      <c r="E459" s="1" t="inlineStr">
        <is>
          <t>ОБЩЕСТВО С ОГРАНИЧЕННОЙ ОТВЕТСТВЕННОСТЬЮ "АМУР ЗОЛОТО"</t>
        </is>
      </c>
      <c r="F459" s="1" t="inlineStr">
        <is>
          <t>2708001686</t>
        </is>
      </c>
      <c r="G459" s="1" t="inlineStr">
        <is>
          <t>Слесарь-ремонтник</t>
        </is>
      </c>
      <c r="H459" s="1" t="inlineStr">
        <is>
          <t>ООО "Амур Золото"</t>
        </is>
      </c>
      <c r="I459" s="1" t="inlineStr">
        <is>
          <t>2708001686</t>
        </is>
      </c>
      <c r="J459" s="1" t="inlineStr">
        <is>
          <t>ОТ ЮГОК ЗИОФ 23-04</t>
        </is>
      </c>
      <c r="K459" s="1" t="inlineStr">
        <is>
          <t>Использование (применение) средств индивидуальной защиты</t>
        </is>
      </c>
      <c r="L459" s="1" t="inlineStr">
        <is>
          <t>11.12.2023</t>
        </is>
      </c>
      <c r="M459" s="1" t="inlineStr">
        <is>
          <t>Успешно</t>
        </is>
      </c>
      <c r="N459" s="1" t="inlineStr">
        <is>
          <t>05.02.2024</t>
        </is>
      </c>
      <c r="O459" s="1" t="inlineStr"/>
      <c r="P459" s="1" t="inlineStr"/>
      <c r="Q459" s="1" t="inlineStr">
        <is>
          <t>Пользовательский интерфейс</t>
        </is>
      </c>
    </row>
    <row r="460">
      <c r="B460" s="1" t="inlineStr">
        <is>
          <t>37117656</t>
        </is>
      </c>
      <c r="C460" s="1" t="inlineStr">
        <is>
          <t>2978778</t>
        </is>
      </c>
      <c r="D460" t="inlineStr">
        <is>
          <t>работник 130</t>
        </is>
      </c>
      <c r="E460" s="1" t="inlineStr">
        <is>
          <t>ОБЩЕСТВО С ОГРАНИЧЕННОЙ ОТВЕТСТВЕННОСТЬЮ "АМУР ЗОЛОТО"</t>
        </is>
      </c>
      <c r="F460" s="1" t="inlineStr">
        <is>
          <t>2708001686</t>
        </is>
      </c>
      <c r="G460" s="1" t="inlineStr">
        <is>
          <t>Слесарь-ремонтник</t>
        </is>
      </c>
      <c r="H460" s="1" t="inlineStr">
        <is>
          <t>ООО "Амур Золото"</t>
        </is>
      </c>
      <c r="I460" s="1" t="inlineStr">
        <is>
          <t>2708001686</t>
        </is>
      </c>
      <c r="J460" s="1" t="inlineStr">
        <is>
          <t>ОТ ЮГОК ЗИОФ 23-04</t>
        </is>
      </c>
      <c r="K46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460" s="1" t="inlineStr">
        <is>
          <t>11.12.2023</t>
        </is>
      </c>
      <c r="M460" s="1" t="inlineStr">
        <is>
          <t>Успешно</t>
        </is>
      </c>
      <c r="N460" s="1" t="inlineStr">
        <is>
          <t>05.02.2024</t>
        </is>
      </c>
      <c r="O460" s="1" t="inlineStr"/>
      <c r="P460" s="1" t="inlineStr"/>
      <c r="Q460" s="1" t="inlineStr">
        <is>
          <t>Пользовательский интерфейс</t>
        </is>
      </c>
    </row>
    <row r="461">
      <c r="B461" s="1" t="inlineStr">
        <is>
          <t>37117657</t>
        </is>
      </c>
      <c r="C461" s="1" t="inlineStr">
        <is>
          <t>2978778</t>
        </is>
      </c>
      <c r="D461" t="inlineStr">
        <is>
          <t>работник 131</t>
        </is>
      </c>
      <c r="E461" s="1" t="inlineStr">
        <is>
          <t>ОБЩЕСТВО С ОГРАНИЧЕННОЙ ОТВЕТСТВЕННОСТЬЮ "АМУР ЗОЛОТО"</t>
        </is>
      </c>
      <c r="F461" s="1" t="inlineStr">
        <is>
          <t>2708001686</t>
        </is>
      </c>
      <c r="G461" s="1" t="inlineStr">
        <is>
          <t>Электрогазосварщик</t>
        </is>
      </c>
      <c r="H461" s="1" t="inlineStr">
        <is>
          <t>ООО "Амур Золото"</t>
        </is>
      </c>
      <c r="I461" s="1" t="inlineStr">
        <is>
          <t>2708001686</t>
        </is>
      </c>
      <c r="J461" s="1" t="inlineStr">
        <is>
          <t>ОТ ЮГОК ЗИОФ 23-04</t>
        </is>
      </c>
      <c r="K461" s="1" t="inlineStr">
        <is>
          <t>Оказание первой помощи пострадавшим</t>
        </is>
      </c>
      <c r="L461" s="1" t="inlineStr">
        <is>
          <t>11.12.2023</t>
        </is>
      </c>
      <c r="M461" s="1" t="inlineStr">
        <is>
          <t>Успешно</t>
        </is>
      </c>
      <c r="N461" s="1" t="inlineStr">
        <is>
          <t>05.02.2024</t>
        </is>
      </c>
      <c r="O461" s="1" t="inlineStr"/>
      <c r="P461" s="1" t="inlineStr"/>
      <c r="Q461" s="1" t="inlineStr">
        <is>
          <t>Пользовательский интерфейс</t>
        </is>
      </c>
    </row>
    <row r="462">
      <c r="B462" s="1" t="inlineStr">
        <is>
          <t>37117658</t>
        </is>
      </c>
      <c r="C462" s="1" t="inlineStr">
        <is>
          <t>2978778</t>
        </is>
      </c>
      <c r="D462" t="inlineStr">
        <is>
          <t>работник 131</t>
        </is>
      </c>
      <c r="E462" s="1" t="inlineStr">
        <is>
          <t>ОБЩЕСТВО С ОГРАНИЧЕННОЙ ОТВЕТСТВЕННОСТЬЮ "АМУР ЗОЛОТО"</t>
        </is>
      </c>
      <c r="F462" s="1" t="inlineStr">
        <is>
          <t>2708001686</t>
        </is>
      </c>
      <c r="G462" s="1" t="inlineStr">
        <is>
          <t>Электрогазосварщик</t>
        </is>
      </c>
      <c r="H462" s="1" t="inlineStr">
        <is>
          <t>ООО "Амур Золото"</t>
        </is>
      </c>
      <c r="I462" s="1" t="inlineStr">
        <is>
          <t>2708001686</t>
        </is>
      </c>
      <c r="J462" s="1" t="inlineStr">
        <is>
          <t>ОТ ЮГОК ЗИОФ 23-04</t>
        </is>
      </c>
      <c r="K462" s="1" t="inlineStr">
        <is>
          <t>Использование (применение) средств индивидуальной защиты</t>
        </is>
      </c>
      <c r="L462" s="1" t="inlineStr">
        <is>
          <t>11.12.2023</t>
        </is>
      </c>
      <c r="M462" s="1" t="inlineStr">
        <is>
          <t>Успешно</t>
        </is>
      </c>
      <c r="N462" s="1" t="inlineStr">
        <is>
          <t>05.02.2024</t>
        </is>
      </c>
      <c r="O462" s="1" t="inlineStr"/>
      <c r="P462" s="1" t="inlineStr"/>
      <c r="Q462" s="1" t="inlineStr">
        <is>
          <t>Пользовательский интерфейс</t>
        </is>
      </c>
    </row>
    <row r="463">
      <c r="B463" s="1" t="inlineStr">
        <is>
          <t>37117659</t>
        </is>
      </c>
      <c r="C463" s="1" t="inlineStr">
        <is>
          <t>2978778</t>
        </is>
      </c>
      <c r="D463" t="inlineStr">
        <is>
          <t>работник 131</t>
        </is>
      </c>
      <c r="E463" s="1" t="inlineStr">
        <is>
          <t>ОБЩЕСТВО С ОГРАНИЧЕННОЙ ОТВЕТСТВЕННОСТЬЮ "АМУР ЗОЛОТО"</t>
        </is>
      </c>
      <c r="F463" s="1" t="inlineStr">
        <is>
          <t>2708001686</t>
        </is>
      </c>
      <c r="G463" s="1" t="inlineStr">
        <is>
          <t>Электрогазосварщик</t>
        </is>
      </c>
      <c r="H463" s="1" t="inlineStr">
        <is>
          <t>ООО "Амур Золото"</t>
        </is>
      </c>
      <c r="I463" s="1" t="inlineStr">
        <is>
          <t>2708001686</t>
        </is>
      </c>
      <c r="J463" s="1" t="inlineStr">
        <is>
          <t>ОТ ЮГОК ЗИОФ 23-04</t>
        </is>
      </c>
      <c r="K46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463" s="1" t="inlineStr">
        <is>
          <t>11.12.2023</t>
        </is>
      </c>
      <c r="M463" s="1" t="inlineStr">
        <is>
          <t>Успешно</t>
        </is>
      </c>
      <c r="N463" s="1" t="inlineStr">
        <is>
          <t>05.02.2024</t>
        </is>
      </c>
      <c r="O463" s="1" t="inlineStr"/>
      <c r="P463" s="1" t="inlineStr"/>
      <c r="Q463" s="1" t="inlineStr">
        <is>
          <t>Пользовательский интерфейс</t>
        </is>
      </c>
    </row>
    <row r="464">
      <c r="B464" s="1" t="inlineStr">
        <is>
          <t>37117660</t>
        </is>
      </c>
      <c r="C464" s="1" t="inlineStr">
        <is>
          <t>2978778</t>
        </is>
      </c>
      <c r="D464" t="inlineStr">
        <is>
          <t>работник 132</t>
        </is>
      </c>
      <c r="E464" s="1" t="inlineStr">
        <is>
          <t>ОБЩЕСТВО С ОГРАНИЧЕННОЙ ОТВЕТСТВЕННОСТЬЮ "АМУР ЗОЛОТО"</t>
        </is>
      </c>
      <c r="F464" s="1" t="inlineStr">
        <is>
          <t>2708001686</t>
        </is>
      </c>
      <c r="G464" s="1" t="inlineStr">
        <is>
          <t>Электрогазосварщик</t>
        </is>
      </c>
      <c r="H464" s="1" t="inlineStr">
        <is>
          <t>ООО "Амур Золото"</t>
        </is>
      </c>
      <c r="I464" s="1" t="inlineStr">
        <is>
          <t>2708001686</t>
        </is>
      </c>
      <c r="J464" s="1" t="inlineStr">
        <is>
          <t>ОТ ЮГОК ЗИОФ 23-04</t>
        </is>
      </c>
      <c r="K464" s="1" t="inlineStr">
        <is>
          <t>Оказание первой помощи пострадавшим</t>
        </is>
      </c>
      <c r="L464" s="1" t="inlineStr">
        <is>
          <t>11.12.2023</t>
        </is>
      </c>
      <c r="M464" s="1" t="inlineStr">
        <is>
          <t>Успешно</t>
        </is>
      </c>
      <c r="N464" s="1" t="inlineStr">
        <is>
          <t>05.02.2024</t>
        </is>
      </c>
      <c r="O464" s="1" t="inlineStr"/>
      <c r="P464" s="1" t="inlineStr"/>
      <c r="Q464" s="1" t="inlineStr">
        <is>
          <t>Пользовательский интерфейс</t>
        </is>
      </c>
    </row>
    <row r="465">
      <c r="B465" s="1" t="inlineStr">
        <is>
          <t>37117661</t>
        </is>
      </c>
      <c r="C465" s="1" t="inlineStr">
        <is>
          <t>2978778</t>
        </is>
      </c>
      <c r="D465" t="inlineStr">
        <is>
          <t>работник 132</t>
        </is>
      </c>
      <c r="E465" s="1" t="inlineStr">
        <is>
          <t>ОБЩЕСТВО С ОГРАНИЧЕННОЙ ОТВЕТСТВЕННОСТЬЮ "АМУР ЗОЛОТО"</t>
        </is>
      </c>
      <c r="F465" s="1" t="inlineStr">
        <is>
          <t>2708001686</t>
        </is>
      </c>
      <c r="G465" s="1" t="inlineStr">
        <is>
          <t>Электрогазосварщик</t>
        </is>
      </c>
      <c r="H465" s="1" t="inlineStr">
        <is>
          <t>ООО "Амур Золото"</t>
        </is>
      </c>
      <c r="I465" s="1" t="inlineStr">
        <is>
          <t>2708001686</t>
        </is>
      </c>
      <c r="J465" s="1" t="inlineStr">
        <is>
          <t>ОТ ЮГОК ЗИОФ 23-04</t>
        </is>
      </c>
      <c r="K465" s="1" t="inlineStr">
        <is>
          <t>Использование (применение) средств индивидуальной защиты</t>
        </is>
      </c>
      <c r="L465" s="1" t="inlineStr">
        <is>
          <t>11.12.2023</t>
        </is>
      </c>
      <c r="M465" s="1" t="inlineStr">
        <is>
          <t>Успешно</t>
        </is>
      </c>
      <c r="N465" s="1" t="inlineStr">
        <is>
          <t>05.02.2024</t>
        </is>
      </c>
      <c r="O465" s="1" t="inlineStr"/>
      <c r="P465" s="1" t="inlineStr"/>
      <c r="Q465" s="1" t="inlineStr">
        <is>
          <t>Пользовательский интерфейс</t>
        </is>
      </c>
    </row>
    <row r="466">
      <c r="B466" s="1" t="inlineStr">
        <is>
          <t>37117662</t>
        </is>
      </c>
      <c r="C466" s="1" t="inlineStr">
        <is>
          <t>2978778</t>
        </is>
      </c>
      <c r="D466" t="inlineStr">
        <is>
          <t>работник 132</t>
        </is>
      </c>
      <c r="E466" s="1" t="inlineStr">
        <is>
          <t>ОБЩЕСТВО С ОГРАНИЧЕННОЙ ОТВЕТСТВЕННОСТЬЮ "АМУР ЗОЛОТО"</t>
        </is>
      </c>
      <c r="F466" s="1" t="inlineStr">
        <is>
          <t>2708001686</t>
        </is>
      </c>
      <c r="G466" s="1" t="inlineStr">
        <is>
          <t>Электрогазосварщик</t>
        </is>
      </c>
      <c r="H466" s="1" t="inlineStr">
        <is>
          <t>ООО "Амур Золото"</t>
        </is>
      </c>
      <c r="I466" s="1" t="inlineStr">
        <is>
          <t>2708001686</t>
        </is>
      </c>
      <c r="J466" s="1" t="inlineStr">
        <is>
          <t>ОТ ЮГОК ЗИОФ 23-04</t>
        </is>
      </c>
      <c r="K46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466" s="1" t="inlineStr">
        <is>
          <t>11.12.2023</t>
        </is>
      </c>
      <c r="M466" s="1" t="inlineStr">
        <is>
          <t>Успешно</t>
        </is>
      </c>
      <c r="N466" s="1" t="inlineStr">
        <is>
          <t>05.02.2024</t>
        </is>
      </c>
      <c r="O466" s="1" t="inlineStr"/>
      <c r="P466" s="1" t="inlineStr"/>
      <c r="Q466" s="1" t="inlineStr">
        <is>
          <t>Пользовательский интерфейс</t>
        </is>
      </c>
    </row>
    <row r="467">
      <c r="B467" s="1" t="inlineStr">
        <is>
          <t>37117663</t>
        </is>
      </c>
      <c r="C467" s="1" t="inlineStr">
        <is>
          <t>2978778</t>
        </is>
      </c>
      <c r="D467" t="inlineStr">
        <is>
          <t>работник 133</t>
        </is>
      </c>
      <c r="E467" s="1" t="inlineStr">
        <is>
          <t>ОБЩЕСТВО С ОГРАНИЧЕННОЙ ОТВЕТСТВЕННОСТЬЮ "АМУР ЗОЛОТО"</t>
        </is>
      </c>
      <c r="F467" s="1" t="inlineStr">
        <is>
          <t>2708001686</t>
        </is>
      </c>
      <c r="G467" s="1" t="inlineStr">
        <is>
          <t>Электрогазосварщик</t>
        </is>
      </c>
      <c r="H467" s="1" t="inlineStr">
        <is>
          <t>ООО "Амур Золото"</t>
        </is>
      </c>
      <c r="I467" s="1" t="inlineStr">
        <is>
          <t>2708001686</t>
        </is>
      </c>
      <c r="J467" s="1" t="inlineStr">
        <is>
          <t>ОТ ЮГОК ЗИОФ 23-04</t>
        </is>
      </c>
      <c r="K467" s="1" t="inlineStr">
        <is>
          <t>Оказание первой помощи пострадавшим</t>
        </is>
      </c>
      <c r="L467" s="1" t="inlineStr">
        <is>
          <t>11.12.2023</t>
        </is>
      </c>
      <c r="M467" s="1" t="inlineStr">
        <is>
          <t>Успешно</t>
        </is>
      </c>
      <c r="N467" s="1" t="inlineStr">
        <is>
          <t>05.02.2024</t>
        </is>
      </c>
      <c r="O467" s="1" t="inlineStr"/>
      <c r="P467" s="1" t="inlineStr"/>
      <c r="Q467" s="1" t="inlineStr">
        <is>
          <t>Пользовательский интерфейс</t>
        </is>
      </c>
    </row>
    <row r="468">
      <c r="B468" s="1" t="inlineStr">
        <is>
          <t>37117664</t>
        </is>
      </c>
      <c r="C468" s="1" t="inlineStr">
        <is>
          <t>2978778</t>
        </is>
      </c>
      <c r="D468" t="inlineStr">
        <is>
          <t>работник 133</t>
        </is>
      </c>
      <c r="E468" s="1" t="inlineStr">
        <is>
          <t>ОБЩЕСТВО С ОГРАНИЧЕННОЙ ОТВЕТСТВЕННОСТЬЮ "АМУР ЗОЛОТО"</t>
        </is>
      </c>
      <c r="F468" s="1" t="inlineStr">
        <is>
          <t>2708001686</t>
        </is>
      </c>
      <c r="G468" s="1" t="inlineStr">
        <is>
          <t>Электрогазосварщик</t>
        </is>
      </c>
      <c r="H468" s="1" t="inlineStr">
        <is>
          <t>ООО "Амур Золото"</t>
        </is>
      </c>
      <c r="I468" s="1" t="inlineStr">
        <is>
          <t>2708001686</t>
        </is>
      </c>
      <c r="J468" s="1" t="inlineStr">
        <is>
          <t>ОТ ЮГОК ЗИОФ 23-04</t>
        </is>
      </c>
      <c r="K468" s="1" t="inlineStr">
        <is>
          <t>Использование (применение) средств индивидуальной защиты</t>
        </is>
      </c>
      <c r="L468" s="1" t="inlineStr">
        <is>
          <t>11.12.2023</t>
        </is>
      </c>
      <c r="M468" s="1" t="inlineStr">
        <is>
          <t>Успешно</t>
        </is>
      </c>
      <c r="N468" s="1" t="inlineStr">
        <is>
          <t>05.02.2024</t>
        </is>
      </c>
      <c r="O468" s="1" t="inlineStr"/>
      <c r="P468" s="1" t="inlineStr"/>
      <c r="Q468" s="1" t="inlineStr">
        <is>
          <t>Пользовательский интерфейс</t>
        </is>
      </c>
    </row>
    <row r="469">
      <c r="B469" s="1" t="inlineStr">
        <is>
          <t>37117665</t>
        </is>
      </c>
      <c r="C469" s="1" t="inlineStr">
        <is>
          <t>2978778</t>
        </is>
      </c>
      <c r="D469" t="inlineStr">
        <is>
          <t>работник 133</t>
        </is>
      </c>
      <c r="E469" s="1" t="inlineStr">
        <is>
          <t>ОБЩЕСТВО С ОГРАНИЧЕННОЙ ОТВЕТСТВЕННОСТЬЮ "АМУР ЗОЛОТО"</t>
        </is>
      </c>
      <c r="F469" s="1" t="inlineStr">
        <is>
          <t>2708001686</t>
        </is>
      </c>
      <c r="G469" s="1" t="inlineStr">
        <is>
          <t>Электрогазосварщик</t>
        </is>
      </c>
      <c r="H469" s="1" t="inlineStr">
        <is>
          <t>ООО "Амур Золото"</t>
        </is>
      </c>
      <c r="I469" s="1" t="inlineStr">
        <is>
          <t>2708001686</t>
        </is>
      </c>
      <c r="J469" s="1" t="inlineStr">
        <is>
          <t>ОТ ЮГОК ЗИОФ 23-04</t>
        </is>
      </c>
      <c r="K46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469" s="1" t="inlineStr">
        <is>
          <t>11.12.2023</t>
        </is>
      </c>
      <c r="M469" s="1" t="inlineStr">
        <is>
          <t>Успешно</t>
        </is>
      </c>
      <c r="N469" s="1" t="inlineStr">
        <is>
          <t>05.02.2024</t>
        </is>
      </c>
      <c r="O469" s="1" t="inlineStr"/>
      <c r="P469" s="1" t="inlineStr"/>
      <c r="Q469" s="1" t="inlineStr">
        <is>
          <t>Пользовательский интерфейс</t>
        </is>
      </c>
    </row>
    <row r="470">
      <c r="B470" s="1" t="inlineStr">
        <is>
          <t>37117666</t>
        </is>
      </c>
      <c r="C470" s="1" t="inlineStr">
        <is>
          <t>2978778</t>
        </is>
      </c>
      <c r="D470" t="inlineStr">
        <is>
          <t>работник 134</t>
        </is>
      </c>
      <c r="E470" s="1" t="inlineStr">
        <is>
          <t>ОБЩЕСТВО С ОГРАНИЧЕННОЙ ОТВЕТСТВЕННОСТЬЮ "АМУР ЗОЛОТО"</t>
        </is>
      </c>
      <c r="F470" s="1" t="inlineStr">
        <is>
          <t>2708001686</t>
        </is>
      </c>
      <c r="G470" s="1" t="inlineStr">
        <is>
          <t>Электромонтер</t>
        </is>
      </c>
      <c r="H470" s="1" t="inlineStr">
        <is>
          <t>ООО "Амур Золото"</t>
        </is>
      </c>
      <c r="I470" s="1" t="inlineStr">
        <is>
          <t>2708001686</t>
        </is>
      </c>
      <c r="J470" s="1" t="inlineStr">
        <is>
          <t>ОТ ЮГОК ЗИОФ 23-04</t>
        </is>
      </c>
      <c r="K470" s="1" t="inlineStr">
        <is>
          <t>Оказание первой помощи пострадавшим</t>
        </is>
      </c>
      <c r="L470" s="1" t="inlineStr">
        <is>
          <t>11.12.2023</t>
        </is>
      </c>
      <c r="M470" s="1" t="inlineStr">
        <is>
          <t>Успешно</t>
        </is>
      </c>
      <c r="N470" s="1" t="inlineStr">
        <is>
          <t>05.02.2024</t>
        </is>
      </c>
      <c r="O470" s="1" t="inlineStr"/>
      <c r="P470" s="1" t="inlineStr"/>
      <c r="Q470" s="1" t="inlineStr">
        <is>
          <t>Пользовательский интерфейс</t>
        </is>
      </c>
    </row>
    <row r="471">
      <c r="B471" s="1" t="inlineStr">
        <is>
          <t>37117667</t>
        </is>
      </c>
      <c r="C471" s="1" t="inlineStr">
        <is>
          <t>2978778</t>
        </is>
      </c>
      <c r="D471" t="inlineStr">
        <is>
          <t>работник 134</t>
        </is>
      </c>
      <c r="E471" s="1" t="inlineStr">
        <is>
          <t>ОБЩЕСТВО С ОГРАНИЧЕННОЙ ОТВЕТСТВЕННОСТЬЮ "АМУР ЗОЛОТО"</t>
        </is>
      </c>
      <c r="F471" s="1" t="inlineStr">
        <is>
          <t>2708001686</t>
        </is>
      </c>
      <c r="G471" s="1" t="inlineStr">
        <is>
          <t>Электромонтер</t>
        </is>
      </c>
      <c r="H471" s="1" t="inlineStr">
        <is>
          <t>ООО "Амур Золото"</t>
        </is>
      </c>
      <c r="I471" s="1" t="inlineStr">
        <is>
          <t>2708001686</t>
        </is>
      </c>
      <c r="J471" s="1" t="inlineStr">
        <is>
          <t>ОТ ЮГОК ЗИОФ 23-04</t>
        </is>
      </c>
      <c r="K471" s="1" t="inlineStr">
        <is>
          <t>Использование (применение) средств индивидуальной защиты</t>
        </is>
      </c>
      <c r="L471" s="1" t="inlineStr">
        <is>
          <t>11.12.2023</t>
        </is>
      </c>
      <c r="M471" s="1" t="inlineStr">
        <is>
          <t>Успешно</t>
        </is>
      </c>
      <c r="N471" s="1" t="inlineStr">
        <is>
          <t>05.02.2024</t>
        </is>
      </c>
      <c r="O471" s="1" t="inlineStr"/>
      <c r="P471" s="1" t="inlineStr"/>
      <c r="Q471" s="1" t="inlineStr">
        <is>
          <t>Пользовательский интерфейс</t>
        </is>
      </c>
    </row>
    <row r="472">
      <c r="B472" s="1" t="inlineStr">
        <is>
          <t>37117668</t>
        </is>
      </c>
      <c r="C472" s="1" t="inlineStr">
        <is>
          <t>2978778</t>
        </is>
      </c>
      <c r="D472" t="inlineStr">
        <is>
          <t>работник 131</t>
        </is>
      </c>
      <c r="E472" s="1" t="inlineStr">
        <is>
          <t>ОБЩЕСТВО С ОГРАНИЧЕННОЙ ОТВЕТСТВЕННОСТЬЮ "АМУР ЗОЛОТО"</t>
        </is>
      </c>
      <c r="F472" s="1" t="inlineStr">
        <is>
          <t>2708001686</t>
        </is>
      </c>
      <c r="G472" s="1" t="inlineStr">
        <is>
          <t>Электрогазосварщик</t>
        </is>
      </c>
      <c r="H472" s="1" t="inlineStr">
        <is>
          <t>ООО "Амур Золото"</t>
        </is>
      </c>
      <c r="I472" s="1" t="inlineStr">
        <is>
          <t>2708001686</t>
        </is>
      </c>
      <c r="J472" s="1" t="inlineStr">
        <is>
          <t>ОТ ЮГОК ЗИОФ 23-05</t>
        </is>
      </c>
      <c r="K472" s="1" t="inlineStr">
        <is>
          <t>Безопасные методы и приемы выполнения работ на высоте</t>
        </is>
      </c>
      <c r="L472" s="1" t="inlineStr">
        <is>
          <t>11.12.2023</t>
        </is>
      </c>
      <c r="M472" s="1" t="inlineStr">
        <is>
          <t>Успешно</t>
        </is>
      </c>
      <c r="N472" s="1" t="inlineStr">
        <is>
          <t>05.02.2024</t>
        </is>
      </c>
      <c r="O472" s="1" t="inlineStr"/>
      <c r="P472" s="1" t="inlineStr"/>
      <c r="Q472" s="1" t="inlineStr">
        <is>
          <t>Пользовательский интерфейс</t>
        </is>
      </c>
    </row>
    <row r="473">
      <c r="B473" s="1" t="inlineStr">
        <is>
          <t>37117669</t>
        </is>
      </c>
      <c r="C473" s="1" t="inlineStr">
        <is>
          <t>2978778</t>
        </is>
      </c>
      <c r="D473" t="inlineStr">
        <is>
          <t>работник 134</t>
        </is>
      </c>
      <c r="E473" s="1" t="inlineStr">
        <is>
          <t>ОБЩЕСТВО С ОГРАНИЧЕННОЙ ОТВЕТСТВЕННОСТЬЮ "АМУР ЗОЛОТО"</t>
        </is>
      </c>
      <c r="F473" s="1" t="inlineStr">
        <is>
          <t>2708001686</t>
        </is>
      </c>
      <c r="G473" s="1" t="inlineStr">
        <is>
          <t>Электромонтер</t>
        </is>
      </c>
      <c r="H473" s="1" t="inlineStr">
        <is>
          <t>ООО "Амур Золото"</t>
        </is>
      </c>
      <c r="I473" s="1" t="inlineStr">
        <is>
          <t>2708001686</t>
        </is>
      </c>
      <c r="J473" s="1" t="inlineStr">
        <is>
          <t>ОТ ЮГОК ЗИОФ 23-04</t>
        </is>
      </c>
      <c r="K47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473" s="1" t="inlineStr">
        <is>
          <t>11.12.2023</t>
        </is>
      </c>
      <c r="M473" s="1" t="inlineStr">
        <is>
          <t>Успешно</t>
        </is>
      </c>
      <c r="N473" s="1" t="inlineStr">
        <is>
          <t>05.02.2024</t>
        </is>
      </c>
      <c r="O473" s="1" t="inlineStr"/>
      <c r="P473" s="1" t="inlineStr"/>
      <c r="Q473" s="1" t="inlineStr">
        <is>
          <t>Пользовательский интерфейс</t>
        </is>
      </c>
    </row>
    <row r="474">
      <c r="B474" s="1" t="inlineStr">
        <is>
          <t>37117670</t>
        </is>
      </c>
      <c r="C474" s="1" t="inlineStr">
        <is>
          <t>2978778</t>
        </is>
      </c>
      <c r="D474" t="inlineStr">
        <is>
          <t>работник 129</t>
        </is>
      </c>
      <c r="E474" s="1" t="inlineStr">
        <is>
          <t>ОБЩЕСТВО С ОГРАНИЧЕННОЙ ОТВЕТСТВЕННОСТЬЮ "АМУР ЗОЛОТО"</t>
        </is>
      </c>
      <c r="F474" s="1" t="inlineStr">
        <is>
          <t>2708001686</t>
        </is>
      </c>
      <c r="G474" s="1" t="inlineStr">
        <is>
          <t>Слесарь-ремонтник</t>
        </is>
      </c>
      <c r="H474" s="1" t="inlineStr">
        <is>
          <t>ООО "Амур Золото"</t>
        </is>
      </c>
      <c r="I474" s="1" t="inlineStr">
        <is>
          <t>2708001686</t>
        </is>
      </c>
      <c r="J474" s="1" t="inlineStr">
        <is>
          <t>ОТ ЮГОК ЗИОФ 23-05</t>
        </is>
      </c>
      <c r="K474" s="1" t="inlineStr">
        <is>
          <t>Безопасные методы и приемы выполнения работ при размещении, монтаже, техническом обслуживании и ремонте технологического оборудования (включая технологическое оборудование)</t>
        </is>
      </c>
      <c r="L474" s="1" t="inlineStr">
        <is>
          <t>11.12.2023</t>
        </is>
      </c>
      <c r="M474" s="1" t="inlineStr">
        <is>
          <t>Успешно</t>
        </is>
      </c>
      <c r="N474" s="1" t="inlineStr">
        <is>
          <t>05.02.2024</t>
        </is>
      </c>
      <c r="O474" s="1" t="inlineStr"/>
      <c r="P474" s="1" t="inlineStr"/>
      <c r="Q474" s="1" t="inlineStr">
        <is>
          <t>Пользовательский интерфейс</t>
        </is>
      </c>
    </row>
    <row r="475">
      <c r="B475" s="1" t="inlineStr">
        <is>
          <t>37117671</t>
        </is>
      </c>
      <c r="C475" s="1" t="inlineStr">
        <is>
          <t>2978778</t>
        </is>
      </c>
      <c r="D475" t="inlineStr">
        <is>
          <t>работник 129</t>
        </is>
      </c>
      <c r="E475" s="1" t="inlineStr">
        <is>
          <t>ОБЩЕСТВО С ОГРАНИЧЕННОЙ ОТВЕТСТВЕННОСТЬЮ "АМУР ЗОЛОТО"</t>
        </is>
      </c>
      <c r="F475" s="1" t="inlineStr">
        <is>
          <t>2708001686</t>
        </is>
      </c>
      <c r="G475" s="1" t="inlineStr">
        <is>
          <t>Слесарь-ремонтник</t>
        </is>
      </c>
      <c r="H475" s="1" t="inlineStr">
        <is>
          <t>ООО "Амур Золото"</t>
        </is>
      </c>
      <c r="I475" s="1" t="inlineStr">
        <is>
          <t>2708001686</t>
        </is>
      </c>
      <c r="J475" s="1" t="inlineStr">
        <is>
          <t>ОТ ЮГОК ЗИОФ 23-05</t>
        </is>
      </c>
      <c r="K475" s="1" t="inlineStr">
        <is>
          <t>Безопасные методы и приемы выполнения работ на высоте</t>
        </is>
      </c>
      <c r="L475" s="1" t="inlineStr">
        <is>
          <t>11.12.2023</t>
        </is>
      </c>
      <c r="M475" s="1" t="inlineStr">
        <is>
          <t>Успешно</t>
        </is>
      </c>
      <c r="N475" s="1" t="inlineStr">
        <is>
          <t>05.02.2024</t>
        </is>
      </c>
      <c r="O475" s="1" t="inlineStr"/>
      <c r="P475" s="1" t="inlineStr"/>
      <c r="Q475" s="1" t="inlineStr">
        <is>
          <t>Пользовательский интерфейс</t>
        </is>
      </c>
    </row>
    <row r="476">
      <c r="B476" s="1" t="inlineStr">
        <is>
          <t>37117672</t>
        </is>
      </c>
      <c r="C476" s="1" t="inlineStr">
        <is>
          <t>2978778</t>
        </is>
      </c>
      <c r="D476" t="inlineStr">
        <is>
          <t>работник 129</t>
        </is>
      </c>
      <c r="E476" s="1" t="inlineStr">
        <is>
          <t>ОБЩЕСТВО С ОГРАНИЧЕННОЙ ОТВЕТСТВЕННОСТЬЮ "АМУР ЗОЛОТО"</t>
        </is>
      </c>
      <c r="F476" s="1" t="inlineStr">
        <is>
          <t>2708001686</t>
        </is>
      </c>
      <c r="G476" s="1" t="inlineStr">
        <is>
          <t>Слесарь-ремонтник</t>
        </is>
      </c>
      <c r="H476" s="1" t="inlineStr">
        <is>
          <t>ООО "Амур Золото"</t>
        </is>
      </c>
      <c r="I476" s="1" t="inlineStr">
        <is>
          <t>2708001686</t>
        </is>
      </c>
      <c r="J476" s="1" t="inlineStr">
        <is>
          <t>ОТ ЮГОК ЗИОФ 23-05</t>
        </is>
      </c>
      <c r="K476" s="1" t="inlineStr">
        <is>
          <t>Безопасные методы и приемы выполнения работ в ограниченных и замкнутых пространствах (ОЗП)</t>
        </is>
      </c>
      <c r="L476" s="1" t="inlineStr">
        <is>
          <t>11.12.2023</t>
        </is>
      </c>
      <c r="M476" s="1" t="inlineStr">
        <is>
          <t>Успешно</t>
        </is>
      </c>
      <c r="N476" s="1" t="inlineStr">
        <is>
          <t>05.02.2024</t>
        </is>
      </c>
      <c r="O476" s="1" t="inlineStr"/>
      <c r="P476" s="1" t="inlineStr"/>
      <c r="Q476" s="1" t="inlineStr">
        <is>
          <t>Пользовательский интерфейс</t>
        </is>
      </c>
    </row>
    <row r="477">
      <c r="B477" s="1" t="inlineStr">
        <is>
          <t>37117673</t>
        </is>
      </c>
      <c r="C477" s="1" t="inlineStr">
        <is>
          <t>2978778</t>
        </is>
      </c>
      <c r="D477" t="inlineStr">
        <is>
          <t>работник 129</t>
        </is>
      </c>
      <c r="E477" s="1" t="inlineStr">
        <is>
          <t>ОБЩЕСТВО С ОГРАНИЧЕННОЙ ОТВЕТСТВЕННОСТЬЮ "АМУР ЗОЛОТО"</t>
        </is>
      </c>
      <c r="F477" s="1" t="inlineStr">
        <is>
          <t>2708001686</t>
        </is>
      </c>
      <c r="G477" s="1" t="inlineStr">
        <is>
          <t>Слесарь-ремонтник</t>
        </is>
      </c>
      <c r="H477" s="1" t="inlineStr">
        <is>
          <t>ООО "Амур Золото"</t>
        </is>
      </c>
      <c r="I477" s="1" t="inlineStr">
        <is>
          <t>2708001686</t>
        </is>
      </c>
      <c r="J477" s="1" t="inlineStr">
        <is>
          <t>ОТ ЮГОК ЗИОФ 23-05</t>
        </is>
      </c>
      <c r="K477" s="1" t="inlineStr">
        <is>
          <t>Безопасные методы и приемы выполнения огневых работ</t>
        </is>
      </c>
      <c r="L477" s="1" t="inlineStr">
        <is>
          <t>11.12.2023</t>
        </is>
      </c>
      <c r="M477" s="1" t="inlineStr">
        <is>
          <t>Успешно</t>
        </is>
      </c>
      <c r="N477" s="1" t="inlineStr">
        <is>
          <t>05.02.2024</t>
        </is>
      </c>
      <c r="O477" s="1" t="inlineStr"/>
      <c r="P477" s="1" t="inlineStr"/>
      <c r="Q477" s="1" t="inlineStr">
        <is>
          <t>Пользовательский интерфейс</t>
        </is>
      </c>
    </row>
    <row r="478">
      <c r="B478" s="1" t="inlineStr">
        <is>
          <t>37117674</t>
        </is>
      </c>
      <c r="C478" s="1" t="inlineStr">
        <is>
          <t>2978778</t>
        </is>
      </c>
      <c r="D478" t="inlineStr">
        <is>
          <t>работник 129</t>
        </is>
      </c>
      <c r="E478" s="1" t="inlineStr">
        <is>
          <t>ОБЩЕСТВО С ОГРАНИЧЕННОЙ ОТВЕТСТВЕННОСТЬЮ "АМУР ЗОЛОТО"</t>
        </is>
      </c>
      <c r="F478" s="1" t="inlineStr">
        <is>
          <t>2708001686</t>
        </is>
      </c>
      <c r="G478" s="1" t="inlineStr">
        <is>
          <t>Слесарь-ремонтник</t>
        </is>
      </c>
      <c r="H478" s="1" t="inlineStr">
        <is>
          <t>ООО "Амур Золото"</t>
        </is>
      </c>
      <c r="I478" s="1" t="inlineStr">
        <is>
          <t>2708001686</t>
        </is>
      </c>
      <c r="J478" s="1" t="inlineStr">
        <is>
          <t>ОТ ЮГОК ЗИОФ 23-05</t>
        </is>
      </c>
      <c r="K478" s="1" t="inlineStr">
        <is>
          <t>Безопасные методы и приемы выполнения работ, связанные с эксплуатацией подъемных сооружений</t>
        </is>
      </c>
      <c r="L478" s="1" t="inlineStr">
        <is>
          <t>11.12.2023</t>
        </is>
      </c>
      <c r="M478" s="1" t="inlineStr">
        <is>
          <t>Успешно</t>
        </is>
      </c>
      <c r="N478" s="1" t="inlineStr">
        <is>
          <t>05.02.2024</t>
        </is>
      </c>
      <c r="O478" s="1" t="inlineStr"/>
      <c r="P478" s="1" t="inlineStr"/>
      <c r="Q478" s="1" t="inlineStr">
        <is>
          <t>Пользовательский интерфейс</t>
        </is>
      </c>
    </row>
    <row r="479">
      <c r="B479" s="1" t="inlineStr">
        <is>
          <t>37117675</t>
        </is>
      </c>
      <c r="C479" s="1" t="inlineStr">
        <is>
          <t>2978778</t>
        </is>
      </c>
      <c r="D479" t="inlineStr">
        <is>
          <t>работник 129</t>
        </is>
      </c>
      <c r="E479" s="1" t="inlineStr">
        <is>
          <t>ОБЩЕСТВО С ОГРАНИЧЕННОЙ ОТВЕТСТВЕННОСТЬЮ "АМУР ЗОЛОТО"</t>
        </is>
      </c>
      <c r="F479" s="1" t="inlineStr">
        <is>
          <t>2708001686</t>
        </is>
      </c>
      <c r="G479" s="1" t="inlineStr">
        <is>
          <t>Слесарь-ремонтник</t>
        </is>
      </c>
      <c r="H479" s="1" t="inlineStr">
        <is>
          <t>ООО "Амур Золото"</t>
        </is>
      </c>
      <c r="I479" s="1" t="inlineStr">
        <is>
          <t>2708001686</t>
        </is>
      </c>
      <c r="J479" s="1" t="inlineStr">
        <is>
          <t>ОТ ЮГОК ЗИОФ 23-05</t>
        </is>
      </c>
      <c r="K479" s="1" t="inlineStr">
        <is>
          <t>Безопасные методы и приемы выполнения работ, связанные с эксплуатацией сосудов, работающих под избыточным давлением</t>
        </is>
      </c>
      <c r="L479" s="1" t="inlineStr">
        <is>
          <t>11.12.2023</t>
        </is>
      </c>
      <c r="M479" s="1" t="inlineStr">
        <is>
          <t>Успешно</t>
        </is>
      </c>
      <c r="N479" s="1" t="inlineStr">
        <is>
          <t>05.02.2024</t>
        </is>
      </c>
      <c r="O479" s="1" t="inlineStr"/>
      <c r="P479" s="1" t="inlineStr"/>
      <c r="Q479" s="1" t="inlineStr">
        <is>
          <t>Пользовательский интерфейс</t>
        </is>
      </c>
    </row>
    <row r="480">
      <c r="B480" s="1" t="inlineStr">
        <is>
          <t>37117676</t>
        </is>
      </c>
      <c r="C480" s="1" t="inlineStr">
        <is>
          <t>2978778</t>
        </is>
      </c>
      <c r="D480" t="inlineStr">
        <is>
          <t>работник 130</t>
        </is>
      </c>
      <c r="E480" s="1" t="inlineStr">
        <is>
          <t>ОБЩЕСТВО С ОГРАНИЧЕННОЙ ОТВЕТСТВЕННОСТЬЮ "АМУР ЗОЛОТО"</t>
        </is>
      </c>
      <c r="F480" s="1" t="inlineStr">
        <is>
          <t>2708001686</t>
        </is>
      </c>
      <c r="G480" s="1" t="inlineStr">
        <is>
          <t>Слесарь-ремонтник</t>
        </is>
      </c>
      <c r="H480" s="1" t="inlineStr">
        <is>
          <t>ООО "Амур Золото"</t>
        </is>
      </c>
      <c r="I480" s="1" t="inlineStr">
        <is>
          <t>2708001686</t>
        </is>
      </c>
      <c r="J480" s="1" t="inlineStr">
        <is>
          <t>ОТ ЮГОК ЗИОФ 23-05</t>
        </is>
      </c>
      <c r="K480" s="1" t="inlineStr">
        <is>
          <t>Безопасные методы и приемы выполнения работ при размещении, монтаже, техническом обслуживании и ремонте технологического оборудования (включая технологическое оборудование)</t>
        </is>
      </c>
      <c r="L480" s="1" t="inlineStr">
        <is>
          <t>11.12.2023</t>
        </is>
      </c>
      <c r="M480" s="1" t="inlineStr">
        <is>
          <t>Успешно</t>
        </is>
      </c>
      <c r="N480" s="1" t="inlineStr">
        <is>
          <t>05.02.2024</t>
        </is>
      </c>
      <c r="O480" s="1" t="inlineStr"/>
      <c r="P480" s="1" t="inlineStr"/>
      <c r="Q480" s="1" t="inlineStr">
        <is>
          <t>Пользовательский интерфейс</t>
        </is>
      </c>
    </row>
    <row r="481">
      <c r="B481" s="1" t="inlineStr">
        <is>
          <t>37117677</t>
        </is>
      </c>
      <c r="C481" s="1" t="inlineStr">
        <is>
          <t>2978778</t>
        </is>
      </c>
      <c r="D481" t="inlineStr">
        <is>
          <t>работник 130</t>
        </is>
      </c>
      <c r="E481" s="1" t="inlineStr">
        <is>
          <t>ОБЩЕСТВО С ОГРАНИЧЕННОЙ ОТВЕТСТВЕННОСТЬЮ "АМУР ЗОЛОТО"</t>
        </is>
      </c>
      <c r="F481" s="1" t="inlineStr">
        <is>
          <t>2708001686</t>
        </is>
      </c>
      <c r="G481" s="1" t="inlineStr">
        <is>
          <t>Слесарь-ремонтник</t>
        </is>
      </c>
      <c r="H481" s="1" t="inlineStr">
        <is>
          <t>ООО "Амур Золото"</t>
        </is>
      </c>
      <c r="I481" s="1" t="inlineStr">
        <is>
          <t>2708001686</t>
        </is>
      </c>
      <c r="J481" s="1" t="inlineStr">
        <is>
          <t>ОТ ЮГОК ЗИОФ 23-05</t>
        </is>
      </c>
      <c r="K481" s="1" t="inlineStr">
        <is>
          <t>Безопасные методы и приемы выполнения работ на высоте</t>
        </is>
      </c>
      <c r="L481" s="1" t="inlineStr">
        <is>
          <t>11.12.2023</t>
        </is>
      </c>
      <c r="M481" s="1" t="inlineStr">
        <is>
          <t>Успешно</t>
        </is>
      </c>
      <c r="N481" s="1" t="inlineStr">
        <is>
          <t>05.02.2024</t>
        </is>
      </c>
      <c r="O481" s="1" t="inlineStr"/>
      <c r="P481" s="1" t="inlineStr"/>
      <c r="Q481" s="1" t="inlineStr">
        <is>
          <t>Пользовательский интерфейс</t>
        </is>
      </c>
    </row>
    <row r="482">
      <c r="B482" s="1" t="inlineStr">
        <is>
          <t>37117678</t>
        </is>
      </c>
      <c r="C482" s="1" t="inlineStr">
        <is>
          <t>2978778</t>
        </is>
      </c>
      <c r="D482" t="inlineStr">
        <is>
          <t>работник 130</t>
        </is>
      </c>
      <c r="E482" s="1" t="inlineStr">
        <is>
          <t>ОБЩЕСТВО С ОГРАНИЧЕННОЙ ОТВЕТСТВЕННОСТЬЮ "АМУР ЗОЛОТО"</t>
        </is>
      </c>
      <c r="F482" s="1" t="inlineStr">
        <is>
          <t>2708001686</t>
        </is>
      </c>
      <c r="G482" s="1" t="inlineStr">
        <is>
          <t>Слесарь-ремонтник</t>
        </is>
      </c>
      <c r="H482" s="1" t="inlineStr">
        <is>
          <t>ООО "Амур Золото"</t>
        </is>
      </c>
      <c r="I482" s="1" t="inlineStr">
        <is>
          <t>2708001686</t>
        </is>
      </c>
      <c r="J482" s="1" t="inlineStr">
        <is>
          <t>ОТ ЮГОК ЗИОФ 23-05</t>
        </is>
      </c>
      <c r="K482" s="1" t="inlineStr">
        <is>
          <t>Безопасные методы и приемы выполнения работ в ограниченных и замкнутых пространствах (ОЗП)</t>
        </is>
      </c>
      <c r="L482" s="1" t="inlineStr">
        <is>
          <t>11.12.2023</t>
        </is>
      </c>
      <c r="M482" s="1" t="inlineStr">
        <is>
          <t>Успешно</t>
        </is>
      </c>
      <c r="N482" s="1" t="inlineStr">
        <is>
          <t>05.02.2024</t>
        </is>
      </c>
      <c r="O482" s="1" t="inlineStr"/>
      <c r="P482" s="1" t="inlineStr"/>
      <c r="Q482" s="1" t="inlineStr">
        <is>
          <t>Пользовательский интерфейс</t>
        </is>
      </c>
    </row>
    <row r="483">
      <c r="B483" s="1" t="inlineStr">
        <is>
          <t>37117679</t>
        </is>
      </c>
      <c r="C483" s="1" t="inlineStr">
        <is>
          <t>2978778</t>
        </is>
      </c>
      <c r="D483" t="inlineStr">
        <is>
          <t>работник 130</t>
        </is>
      </c>
      <c r="E483" s="1" t="inlineStr">
        <is>
          <t>ОБЩЕСТВО С ОГРАНИЧЕННОЙ ОТВЕТСТВЕННОСТЬЮ "АМУР ЗОЛОТО"</t>
        </is>
      </c>
      <c r="F483" s="1" t="inlineStr">
        <is>
          <t>2708001686</t>
        </is>
      </c>
      <c r="G483" s="1" t="inlineStr">
        <is>
          <t>Слесарь-ремонтник</t>
        </is>
      </c>
      <c r="H483" s="1" t="inlineStr">
        <is>
          <t>ООО "Амур Золото"</t>
        </is>
      </c>
      <c r="I483" s="1" t="inlineStr">
        <is>
          <t>2708001686</t>
        </is>
      </c>
      <c r="J483" s="1" t="inlineStr">
        <is>
          <t>ОТ ЮГОК ЗИОФ 23-05</t>
        </is>
      </c>
      <c r="K483" s="1" t="inlineStr">
        <is>
          <t>Безопасные методы и приемы выполнения огневых работ</t>
        </is>
      </c>
      <c r="L483" s="1" t="inlineStr">
        <is>
          <t>11.12.2023</t>
        </is>
      </c>
      <c r="M483" s="1" t="inlineStr">
        <is>
          <t>Успешно</t>
        </is>
      </c>
      <c r="N483" s="1" t="inlineStr">
        <is>
          <t>05.02.2024</t>
        </is>
      </c>
      <c r="O483" s="1" t="inlineStr"/>
      <c r="P483" s="1" t="inlineStr"/>
      <c r="Q483" s="1" t="inlineStr">
        <is>
          <t>Пользовательский интерфейс</t>
        </is>
      </c>
    </row>
    <row r="484">
      <c r="B484" s="1" t="inlineStr">
        <is>
          <t>37117680</t>
        </is>
      </c>
      <c r="C484" s="1" t="inlineStr">
        <is>
          <t>2978778</t>
        </is>
      </c>
      <c r="D484" t="inlineStr">
        <is>
          <t>работник 130</t>
        </is>
      </c>
      <c r="E484" s="1" t="inlineStr">
        <is>
          <t>ОБЩЕСТВО С ОГРАНИЧЕННОЙ ОТВЕТСТВЕННОСТЬЮ "АМУР ЗОЛОТО"</t>
        </is>
      </c>
      <c r="F484" s="1" t="inlineStr">
        <is>
          <t>2708001686</t>
        </is>
      </c>
      <c r="G484" s="1" t="inlineStr">
        <is>
          <t>Слесарь-ремонтник</t>
        </is>
      </c>
      <c r="H484" s="1" t="inlineStr">
        <is>
          <t>ООО "Амур Золото"</t>
        </is>
      </c>
      <c r="I484" s="1" t="inlineStr">
        <is>
          <t>2708001686</t>
        </is>
      </c>
      <c r="J484" s="1" t="inlineStr">
        <is>
          <t>ОТ ЮГОК ЗИОФ 23-05</t>
        </is>
      </c>
      <c r="K484" s="1" t="inlineStr">
        <is>
          <t>Безопасные методы и приемы выполнения работ, связанные с эксплуатацией подъемных сооружений</t>
        </is>
      </c>
      <c r="L484" s="1" t="inlineStr">
        <is>
          <t>11.12.2023</t>
        </is>
      </c>
      <c r="M484" s="1" t="inlineStr">
        <is>
          <t>Успешно</t>
        </is>
      </c>
      <c r="N484" s="1" t="inlineStr">
        <is>
          <t>05.02.2024</t>
        </is>
      </c>
      <c r="O484" s="1" t="inlineStr"/>
      <c r="P484" s="1" t="inlineStr"/>
      <c r="Q484" s="1" t="inlineStr">
        <is>
          <t>Пользовательский интерфейс</t>
        </is>
      </c>
    </row>
    <row r="485">
      <c r="B485" s="1" t="inlineStr">
        <is>
          <t>37117681</t>
        </is>
      </c>
      <c r="C485" s="1" t="inlineStr">
        <is>
          <t>2978778</t>
        </is>
      </c>
      <c r="D485" t="inlineStr">
        <is>
          <t>работник 130</t>
        </is>
      </c>
      <c r="E485" s="1" t="inlineStr">
        <is>
          <t>ОБЩЕСТВО С ОГРАНИЧЕННОЙ ОТВЕТСТВЕННОСТЬЮ "АМУР ЗОЛОТО"</t>
        </is>
      </c>
      <c r="F485" s="1" t="inlineStr">
        <is>
          <t>2708001686</t>
        </is>
      </c>
      <c r="G485" s="1" t="inlineStr">
        <is>
          <t>Слесарь-ремонтник</t>
        </is>
      </c>
      <c r="H485" s="1" t="inlineStr">
        <is>
          <t>ООО "Амур Золото"</t>
        </is>
      </c>
      <c r="I485" s="1" t="inlineStr">
        <is>
          <t>2708001686</t>
        </is>
      </c>
      <c r="J485" s="1" t="inlineStr">
        <is>
          <t>ОТ ЮГОК ЗИОФ 23-05</t>
        </is>
      </c>
      <c r="K485" s="1" t="inlineStr">
        <is>
          <t>Безопасные методы и приемы выполнения работ, связанные с эксплуатацией сосудов, работающих под избыточным давлением</t>
        </is>
      </c>
      <c r="L485" s="1" t="inlineStr">
        <is>
          <t>11.12.2023</t>
        </is>
      </c>
      <c r="M485" s="1" t="inlineStr">
        <is>
          <t>Успешно</t>
        </is>
      </c>
      <c r="N485" s="1" t="inlineStr">
        <is>
          <t>05.02.2024</t>
        </is>
      </c>
      <c r="O485" s="1" t="inlineStr"/>
      <c r="P485" s="1" t="inlineStr"/>
      <c r="Q485" s="1" t="inlineStr">
        <is>
          <t>Пользовательский интерфейс</t>
        </is>
      </c>
    </row>
    <row r="486">
      <c r="B486" s="1" t="inlineStr">
        <is>
          <t>37117682</t>
        </is>
      </c>
      <c r="C486" s="1" t="inlineStr">
        <is>
          <t>2978778</t>
        </is>
      </c>
      <c r="D486" t="inlineStr">
        <is>
          <t>работник 131</t>
        </is>
      </c>
      <c r="E486" s="1" t="inlineStr">
        <is>
          <t>ОБЩЕСТВО С ОГРАНИЧЕННОЙ ОТВЕТСТВЕННОСТЬЮ "АМУР ЗОЛОТО"</t>
        </is>
      </c>
      <c r="F486" s="1" t="inlineStr">
        <is>
          <t>2708001686</t>
        </is>
      </c>
      <c r="G486" s="1" t="inlineStr">
        <is>
          <t>Электрогазосварщик</t>
        </is>
      </c>
      <c r="H486" s="1" t="inlineStr">
        <is>
          <t>ООО "Амур Золото"</t>
        </is>
      </c>
      <c r="I486" s="1" t="inlineStr">
        <is>
          <t>2708001686</t>
        </is>
      </c>
      <c r="J486" s="1" t="inlineStr">
        <is>
          <t>ОТ ЮГОК ЗИОФ 23-05</t>
        </is>
      </c>
      <c r="K486" s="1" t="inlineStr">
        <is>
          <t>Безопасные методы и приемы выполнения работ при размещении, монтаже, техническом обслуживании и ремонте технологического оборудования (включая технологическое оборудование)</t>
        </is>
      </c>
      <c r="L486" s="1" t="inlineStr">
        <is>
          <t>11.12.2023</t>
        </is>
      </c>
      <c r="M486" s="1" t="inlineStr">
        <is>
          <t>Успешно</t>
        </is>
      </c>
      <c r="N486" s="1" t="inlineStr">
        <is>
          <t>05.02.2024</t>
        </is>
      </c>
      <c r="O486" s="1" t="inlineStr"/>
      <c r="P486" s="1" t="inlineStr"/>
      <c r="Q486" s="1" t="inlineStr">
        <is>
          <t>Пользовательский интерфейс</t>
        </is>
      </c>
    </row>
    <row r="487">
      <c r="B487" s="1" t="inlineStr">
        <is>
          <t>37117683</t>
        </is>
      </c>
      <c r="C487" s="1" t="inlineStr">
        <is>
          <t>2978778</t>
        </is>
      </c>
      <c r="D487" t="inlineStr">
        <is>
          <t>работник 131</t>
        </is>
      </c>
      <c r="E487" s="1" t="inlineStr">
        <is>
          <t>ОБЩЕСТВО С ОГРАНИЧЕННОЙ ОТВЕТСТВЕННОСТЬЮ "АМУР ЗОЛОТО"</t>
        </is>
      </c>
      <c r="F487" s="1" t="inlineStr">
        <is>
          <t>2708001686</t>
        </is>
      </c>
      <c r="G487" s="1" t="inlineStr">
        <is>
          <t>Электрогазосварщик</t>
        </is>
      </c>
      <c r="H487" s="1" t="inlineStr">
        <is>
          <t>ООО "Амур Золото"</t>
        </is>
      </c>
      <c r="I487" s="1" t="inlineStr">
        <is>
          <t>2708001686</t>
        </is>
      </c>
      <c r="J487" s="1" t="inlineStr">
        <is>
          <t>ОТ ЮГОК ЗИОФ 23-05</t>
        </is>
      </c>
      <c r="K487" s="1" t="inlineStr">
        <is>
          <t>Безопасные методы и приемы выполнения работ в ограниченных и замкнутых пространствах (ОЗП)</t>
        </is>
      </c>
      <c r="L487" s="1" t="inlineStr">
        <is>
          <t>11.12.2023</t>
        </is>
      </c>
      <c r="M487" s="1" t="inlineStr">
        <is>
          <t>Успешно</t>
        </is>
      </c>
      <c r="N487" s="1" t="inlineStr">
        <is>
          <t>05.02.2024</t>
        </is>
      </c>
      <c r="O487" s="1" t="inlineStr"/>
      <c r="P487" s="1" t="inlineStr"/>
      <c r="Q487" s="1" t="inlineStr">
        <is>
          <t>Пользовательский интерфейс</t>
        </is>
      </c>
    </row>
    <row r="488">
      <c r="B488" s="1" t="inlineStr">
        <is>
          <t>37117684</t>
        </is>
      </c>
      <c r="C488" s="1" t="inlineStr">
        <is>
          <t>2978778</t>
        </is>
      </c>
      <c r="D488" t="inlineStr">
        <is>
          <t>работник 131</t>
        </is>
      </c>
      <c r="E488" s="1" t="inlineStr">
        <is>
          <t>ОБЩЕСТВО С ОГРАНИЧЕННОЙ ОТВЕТСТВЕННОСТЬЮ "АМУР ЗОЛОТО"</t>
        </is>
      </c>
      <c r="F488" s="1" t="inlineStr">
        <is>
          <t>2708001686</t>
        </is>
      </c>
      <c r="G488" s="1" t="inlineStr">
        <is>
          <t>Электрогазосварщик</t>
        </is>
      </c>
      <c r="H488" s="1" t="inlineStr">
        <is>
          <t>ООО "Амур Золото"</t>
        </is>
      </c>
      <c r="I488" s="1" t="inlineStr">
        <is>
          <t>2708001686</t>
        </is>
      </c>
      <c r="J488" s="1" t="inlineStr">
        <is>
          <t>ОТ ЮГОК ЗИОФ 23-05</t>
        </is>
      </c>
      <c r="K488" s="1" t="inlineStr">
        <is>
          <t>Безопасные методы и приемы выполнения огневых работ</t>
        </is>
      </c>
      <c r="L488" s="1" t="inlineStr">
        <is>
          <t>11.12.2023</t>
        </is>
      </c>
      <c r="M488" s="1" t="inlineStr">
        <is>
          <t>Успешно</t>
        </is>
      </c>
      <c r="N488" s="1" t="inlineStr">
        <is>
          <t>05.02.2024</t>
        </is>
      </c>
      <c r="O488" s="1" t="inlineStr"/>
      <c r="P488" s="1" t="inlineStr"/>
      <c r="Q488" s="1" t="inlineStr">
        <is>
          <t>Пользовательский интерфейс</t>
        </is>
      </c>
    </row>
    <row r="489">
      <c r="B489" s="1" t="inlineStr">
        <is>
          <t>37117685</t>
        </is>
      </c>
      <c r="C489" s="1" t="inlineStr">
        <is>
          <t>2978778</t>
        </is>
      </c>
      <c r="D489" t="inlineStr">
        <is>
          <t>работник 131</t>
        </is>
      </c>
      <c r="E489" s="1" t="inlineStr">
        <is>
          <t>ОБЩЕСТВО С ОГРАНИЧЕННОЙ ОТВЕТСТВЕННОСТЬЮ "АМУР ЗОЛОТО"</t>
        </is>
      </c>
      <c r="F489" s="1" t="inlineStr">
        <is>
          <t>2708001686</t>
        </is>
      </c>
      <c r="G489" s="1" t="inlineStr">
        <is>
          <t>Электрогазосварщик</t>
        </is>
      </c>
      <c r="H489" s="1" t="inlineStr">
        <is>
          <t>ООО "Амур Золото"</t>
        </is>
      </c>
      <c r="I489" s="1" t="inlineStr">
        <is>
          <t>2708001686</t>
        </is>
      </c>
      <c r="J489" s="1" t="inlineStr">
        <is>
          <t>ОТ ЮГОК ЗИОФ 23-05</t>
        </is>
      </c>
      <c r="K489" s="1" t="inlineStr">
        <is>
          <t>Безопасные методы и приемы выполнения работ, связанные с эксплуатацией подъемных сооружений</t>
        </is>
      </c>
      <c r="L489" s="1" t="inlineStr">
        <is>
          <t>11.12.2023</t>
        </is>
      </c>
      <c r="M489" s="1" t="inlineStr">
        <is>
          <t>Успешно</t>
        </is>
      </c>
      <c r="N489" s="1" t="inlineStr">
        <is>
          <t>05.02.2024</t>
        </is>
      </c>
      <c r="O489" s="1" t="inlineStr"/>
      <c r="P489" s="1" t="inlineStr"/>
      <c r="Q489" s="1" t="inlineStr">
        <is>
          <t>Пользовательский интерфейс</t>
        </is>
      </c>
    </row>
    <row r="490">
      <c r="B490" s="1" t="inlineStr">
        <is>
          <t>37117686</t>
        </is>
      </c>
      <c r="C490" s="1" t="inlineStr">
        <is>
          <t>2978778</t>
        </is>
      </c>
      <c r="D490" t="inlineStr">
        <is>
          <t>работник 131</t>
        </is>
      </c>
      <c r="E490" s="1" t="inlineStr">
        <is>
          <t>ОБЩЕСТВО С ОГРАНИЧЕННОЙ ОТВЕТСТВЕННОСТЬЮ "АМУР ЗОЛОТО"</t>
        </is>
      </c>
      <c r="F490" s="1" t="inlineStr">
        <is>
          <t>2708001686</t>
        </is>
      </c>
      <c r="G490" s="1" t="inlineStr">
        <is>
          <t>Электрогазосварщик</t>
        </is>
      </c>
      <c r="H490" s="1" t="inlineStr">
        <is>
          <t>ООО "Амур Золото"</t>
        </is>
      </c>
      <c r="I490" s="1" t="inlineStr">
        <is>
          <t>2708001686</t>
        </is>
      </c>
      <c r="J490" s="1" t="inlineStr">
        <is>
          <t>ОТ ЮГОК ЗИОФ 23-05</t>
        </is>
      </c>
      <c r="K490" s="1" t="inlineStr">
        <is>
          <t>Безопасные методы и приемы выполнения работ, связанные с эксплуатацией сосудов, работающих под избыточным давлением</t>
        </is>
      </c>
      <c r="L490" s="1" t="inlineStr">
        <is>
          <t>11.12.2023</t>
        </is>
      </c>
      <c r="M490" s="1" t="inlineStr">
        <is>
          <t>Успешно</t>
        </is>
      </c>
      <c r="N490" s="1" t="inlineStr">
        <is>
          <t>05.02.2024</t>
        </is>
      </c>
      <c r="O490" s="1" t="inlineStr"/>
      <c r="P490" s="1" t="inlineStr"/>
      <c r="Q490" s="1" t="inlineStr">
        <is>
          <t>Пользовательский интерфейс</t>
        </is>
      </c>
    </row>
    <row r="491">
      <c r="B491" s="1" t="inlineStr">
        <is>
          <t>37117687</t>
        </is>
      </c>
      <c r="C491" s="1" t="inlineStr">
        <is>
          <t>2978778</t>
        </is>
      </c>
      <c r="D491" t="inlineStr">
        <is>
          <t>работник 132</t>
        </is>
      </c>
      <c r="E491" s="1" t="inlineStr">
        <is>
          <t>ОБЩЕСТВО С ОГРАНИЧЕННОЙ ОТВЕТСТВЕННОСТЬЮ "АМУР ЗОЛОТО"</t>
        </is>
      </c>
      <c r="F491" s="1" t="inlineStr">
        <is>
          <t>2708001686</t>
        </is>
      </c>
      <c r="G491" s="1" t="inlineStr">
        <is>
          <t>Электрогазосварщик</t>
        </is>
      </c>
      <c r="H491" s="1" t="inlineStr">
        <is>
          <t>ООО "Амур Золото"</t>
        </is>
      </c>
      <c r="I491" s="1" t="inlineStr">
        <is>
          <t>2708001686</t>
        </is>
      </c>
      <c r="J491" s="1" t="inlineStr">
        <is>
          <t>ОТ ЮГОК ЗИОФ 23-05</t>
        </is>
      </c>
      <c r="K491" s="1" t="inlineStr">
        <is>
          <t>Безопасные методы и приемы выполнения работ при размещении, монтаже, техническом обслуживании и ремонте технологического оборудования (включая технологическое оборудование)</t>
        </is>
      </c>
      <c r="L491" s="1" t="inlineStr">
        <is>
          <t>11.12.2023</t>
        </is>
      </c>
      <c r="M491" s="1" t="inlineStr">
        <is>
          <t>Успешно</t>
        </is>
      </c>
      <c r="N491" s="1" t="inlineStr">
        <is>
          <t>05.02.2024</t>
        </is>
      </c>
      <c r="O491" s="1" t="inlineStr"/>
      <c r="P491" s="1" t="inlineStr"/>
      <c r="Q491" s="1" t="inlineStr">
        <is>
          <t>Пользовательский интерфейс</t>
        </is>
      </c>
    </row>
    <row r="492">
      <c r="B492" s="1" t="inlineStr">
        <is>
          <t>37117688</t>
        </is>
      </c>
      <c r="C492" s="1" t="inlineStr">
        <is>
          <t>2978778</t>
        </is>
      </c>
      <c r="D492" t="inlineStr">
        <is>
          <t>работник 132</t>
        </is>
      </c>
      <c r="E492" s="1" t="inlineStr">
        <is>
          <t>ОБЩЕСТВО С ОГРАНИЧЕННОЙ ОТВЕТСТВЕННОСТЬЮ "АМУР ЗОЛОТО"</t>
        </is>
      </c>
      <c r="F492" s="1" t="inlineStr">
        <is>
          <t>2708001686</t>
        </is>
      </c>
      <c r="G492" s="1" t="inlineStr">
        <is>
          <t>Электрогазосварщик</t>
        </is>
      </c>
      <c r="H492" s="1" t="inlineStr">
        <is>
          <t>ООО "Амур Золото"</t>
        </is>
      </c>
      <c r="I492" s="1" t="inlineStr">
        <is>
          <t>2708001686</t>
        </is>
      </c>
      <c r="J492" s="1" t="inlineStr">
        <is>
          <t>ОТ ЮГОК ЗИОФ 23-05</t>
        </is>
      </c>
      <c r="K492" s="1" t="inlineStr">
        <is>
          <t>Безопасные методы и приемы выполнения работ на высоте</t>
        </is>
      </c>
      <c r="L492" s="1" t="inlineStr">
        <is>
          <t>11.12.2023</t>
        </is>
      </c>
      <c r="M492" s="1" t="inlineStr">
        <is>
          <t>Успешно</t>
        </is>
      </c>
      <c r="N492" s="1" t="inlineStr">
        <is>
          <t>05.02.2024</t>
        </is>
      </c>
      <c r="O492" s="1" t="inlineStr"/>
      <c r="P492" s="1" t="inlineStr"/>
      <c r="Q492" s="1" t="inlineStr">
        <is>
          <t>Пользовательский интерфейс</t>
        </is>
      </c>
    </row>
    <row r="493">
      <c r="B493" s="1" t="inlineStr">
        <is>
          <t>37117689</t>
        </is>
      </c>
      <c r="C493" s="1" t="inlineStr">
        <is>
          <t>2978778</t>
        </is>
      </c>
      <c r="D493" t="inlineStr">
        <is>
          <t>работник 132</t>
        </is>
      </c>
      <c r="E493" s="1" t="inlineStr">
        <is>
          <t>ОБЩЕСТВО С ОГРАНИЧЕННОЙ ОТВЕТСТВЕННОСТЬЮ "АМУР ЗОЛОТО"</t>
        </is>
      </c>
      <c r="F493" s="1" t="inlineStr">
        <is>
          <t>2708001686</t>
        </is>
      </c>
      <c r="G493" s="1" t="inlineStr">
        <is>
          <t>Электрогазосварщик</t>
        </is>
      </c>
      <c r="H493" s="1" t="inlineStr">
        <is>
          <t>ООО "Амур Золото"</t>
        </is>
      </c>
      <c r="I493" s="1" t="inlineStr">
        <is>
          <t>2708001686</t>
        </is>
      </c>
      <c r="J493" s="1" t="inlineStr">
        <is>
          <t>ОТ ЮГОК ЗИОФ 23-05</t>
        </is>
      </c>
      <c r="K493" s="1" t="inlineStr">
        <is>
          <t>Безопасные методы и приемы выполнения работ в ограниченных и замкнутых пространствах (ОЗП)</t>
        </is>
      </c>
      <c r="L493" s="1" t="inlineStr">
        <is>
          <t>11.12.2023</t>
        </is>
      </c>
      <c r="M493" s="1" t="inlineStr">
        <is>
          <t>Успешно</t>
        </is>
      </c>
      <c r="N493" s="1" t="inlineStr">
        <is>
          <t>05.02.2024</t>
        </is>
      </c>
      <c r="O493" s="1" t="inlineStr"/>
      <c r="P493" s="1" t="inlineStr"/>
      <c r="Q493" s="1" t="inlineStr">
        <is>
          <t>Пользовательский интерфейс</t>
        </is>
      </c>
    </row>
    <row r="494">
      <c r="B494" s="1" t="inlineStr">
        <is>
          <t>37117690</t>
        </is>
      </c>
      <c r="C494" s="1" t="inlineStr">
        <is>
          <t>2978778</t>
        </is>
      </c>
      <c r="D494" t="inlineStr">
        <is>
          <t>работник 132</t>
        </is>
      </c>
      <c r="E494" s="1" t="inlineStr">
        <is>
          <t>ОБЩЕСТВО С ОГРАНИЧЕННОЙ ОТВЕТСТВЕННОСТЬЮ "АМУР ЗОЛОТО"</t>
        </is>
      </c>
      <c r="F494" s="1" t="inlineStr">
        <is>
          <t>2708001686</t>
        </is>
      </c>
      <c r="G494" s="1" t="inlineStr">
        <is>
          <t>Электрогазосварщик</t>
        </is>
      </c>
      <c r="H494" s="1" t="inlineStr">
        <is>
          <t>ООО "Амур Золото"</t>
        </is>
      </c>
      <c r="I494" s="1" t="inlineStr">
        <is>
          <t>2708001686</t>
        </is>
      </c>
      <c r="J494" s="1" t="inlineStr">
        <is>
          <t>ОТ ЮГОК ЗИОФ 23-05</t>
        </is>
      </c>
      <c r="K494" s="1" t="inlineStr">
        <is>
          <t>Безопасные методы и приемы выполнения огневых работ</t>
        </is>
      </c>
      <c r="L494" s="1" t="inlineStr">
        <is>
          <t>11.12.2023</t>
        </is>
      </c>
      <c r="M494" s="1" t="inlineStr">
        <is>
          <t>Успешно</t>
        </is>
      </c>
      <c r="N494" s="1" t="inlineStr">
        <is>
          <t>05.02.2024</t>
        </is>
      </c>
      <c r="O494" s="1" t="inlineStr"/>
      <c r="P494" s="1" t="inlineStr"/>
      <c r="Q494" s="1" t="inlineStr">
        <is>
          <t>Пользовательский интерфейс</t>
        </is>
      </c>
    </row>
    <row r="495">
      <c r="B495" s="1" t="inlineStr">
        <is>
          <t>37117691</t>
        </is>
      </c>
      <c r="C495" s="1" t="inlineStr">
        <is>
          <t>2978778</t>
        </is>
      </c>
      <c r="D495" t="inlineStr">
        <is>
          <t>работник 132</t>
        </is>
      </c>
      <c r="E495" s="1" t="inlineStr">
        <is>
          <t>ОБЩЕСТВО С ОГРАНИЧЕННОЙ ОТВЕТСТВЕННОСТЬЮ "АМУР ЗОЛОТО"</t>
        </is>
      </c>
      <c r="F495" s="1" t="inlineStr">
        <is>
          <t>2708001686</t>
        </is>
      </c>
      <c r="G495" s="1" t="inlineStr">
        <is>
          <t>Электрогазосварщик</t>
        </is>
      </c>
      <c r="H495" s="1" t="inlineStr">
        <is>
          <t>ООО "Амур Золото"</t>
        </is>
      </c>
      <c r="I495" s="1" t="inlineStr">
        <is>
          <t>2708001686</t>
        </is>
      </c>
      <c r="J495" s="1" t="inlineStr">
        <is>
          <t>ОТ ЮГОК ЗИОФ 23-05</t>
        </is>
      </c>
      <c r="K495" s="1" t="inlineStr">
        <is>
          <t>Безопасные методы и приемы выполнения работ, связанные с эксплуатацией подъемных сооружений</t>
        </is>
      </c>
      <c r="L495" s="1" t="inlineStr">
        <is>
          <t>11.12.2023</t>
        </is>
      </c>
      <c r="M495" s="1" t="inlineStr">
        <is>
          <t>Успешно</t>
        </is>
      </c>
      <c r="N495" s="1" t="inlineStr">
        <is>
          <t>05.02.2024</t>
        </is>
      </c>
      <c r="O495" s="1" t="inlineStr"/>
      <c r="P495" s="1" t="inlineStr"/>
      <c r="Q495" s="1" t="inlineStr">
        <is>
          <t>Пользовательский интерфейс</t>
        </is>
      </c>
    </row>
    <row r="496">
      <c r="B496" s="1" t="inlineStr">
        <is>
          <t>37117692</t>
        </is>
      </c>
      <c r="C496" s="1" t="inlineStr">
        <is>
          <t>2978778</t>
        </is>
      </c>
      <c r="D496" t="inlineStr">
        <is>
          <t>работник 132</t>
        </is>
      </c>
      <c r="E496" s="1" t="inlineStr">
        <is>
          <t>ОБЩЕСТВО С ОГРАНИЧЕННОЙ ОТВЕТСТВЕННОСТЬЮ "АМУР ЗОЛОТО"</t>
        </is>
      </c>
      <c r="F496" s="1" t="inlineStr">
        <is>
          <t>2708001686</t>
        </is>
      </c>
      <c r="G496" s="1" t="inlineStr">
        <is>
          <t>Электрогазосварщик</t>
        </is>
      </c>
      <c r="H496" s="1" t="inlineStr">
        <is>
          <t>ООО "Амур Золото"</t>
        </is>
      </c>
      <c r="I496" s="1" t="inlineStr">
        <is>
          <t>2708001686</t>
        </is>
      </c>
      <c r="J496" s="1" t="inlineStr">
        <is>
          <t>ОТ ЮГОК ЗИОФ 23-05</t>
        </is>
      </c>
      <c r="K496" s="1" t="inlineStr">
        <is>
          <t>Безопасные методы и приемы выполнения работ, связанные с эксплуатацией сосудов, работающих под избыточным давлением</t>
        </is>
      </c>
      <c r="L496" s="1" t="inlineStr">
        <is>
          <t>11.12.2023</t>
        </is>
      </c>
      <c r="M496" s="1" t="inlineStr">
        <is>
          <t>Успешно</t>
        </is>
      </c>
      <c r="N496" s="1" t="inlineStr">
        <is>
          <t>05.02.2024</t>
        </is>
      </c>
      <c r="O496" s="1" t="inlineStr"/>
      <c r="P496" s="1" t="inlineStr"/>
      <c r="Q496" s="1" t="inlineStr">
        <is>
          <t>Пользовательский интерфейс</t>
        </is>
      </c>
    </row>
    <row r="497">
      <c r="B497" s="1" t="inlineStr">
        <is>
          <t>37117693</t>
        </is>
      </c>
      <c r="C497" s="1" t="inlineStr">
        <is>
          <t>2978778</t>
        </is>
      </c>
      <c r="D497" t="inlineStr">
        <is>
          <t>работник 133</t>
        </is>
      </c>
      <c r="E497" s="1" t="inlineStr">
        <is>
          <t>ОБЩЕСТВО С ОГРАНИЧЕННОЙ ОТВЕТСТВЕННОСТЬЮ "АМУР ЗОЛОТО"</t>
        </is>
      </c>
      <c r="F497" s="1" t="inlineStr">
        <is>
          <t>2708001686</t>
        </is>
      </c>
      <c r="G497" s="1" t="inlineStr">
        <is>
          <t>Электрогазосварщик</t>
        </is>
      </c>
      <c r="H497" s="1" t="inlineStr">
        <is>
          <t>ООО "Амур Золото"</t>
        </is>
      </c>
      <c r="I497" s="1" t="inlineStr">
        <is>
          <t>2708001686</t>
        </is>
      </c>
      <c r="J497" s="1" t="inlineStr">
        <is>
          <t>ОТ ЮГОК ЗИОФ 23-05</t>
        </is>
      </c>
      <c r="K497" s="1" t="inlineStr">
        <is>
          <t>Безопасные методы и приемы выполнения работ при размещении, монтаже, техническом обслуживании и ремонте технологического оборудования (включая технологическое оборудование)</t>
        </is>
      </c>
      <c r="L497" s="1" t="inlineStr">
        <is>
          <t>11.12.2023</t>
        </is>
      </c>
      <c r="M497" s="1" t="inlineStr">
        <is>
          <t>Успешно</t>
        </is>
      </c>
      <c r="N497" s="1" t="inlineStr">
        <is>
          <t>05.02.2024</t>
        </is>
      </c>
      <c r="O497" s="1" t="inlineStr"/>
      <c r="P497" s="1" t="inlineStr"/>
      <c r="Q497" s="1" t="inlineStr">
        <is>
          <t>Пользовательский интерфейс</t>
        </is>
      </c>
    </row>
    <row r="498">
      <c r="B498" s="1" t="inlineStr">
        <is>
          <t>37117694</t>
        </is>
      </c>
      <c r="C498" s="1" t="inlineStr">
        <is>
          <t>2978778</t>
        </is>
      </c>
      <c r="D498" t="inlineStr">
        <is>
          <t>работник 133</t>
        </is>
      </c>
      <c r="E498" s="1" t="inlineStr">
        <is>
          <t>ОБЩЕСТВО С ОГРАНИЧЕННОЙ ОТВЕТСТВЕННОСТЬЮ "АМУР ЗОЛОТО"</t>
        </is>
      </c>
      <c r="F498" s="1" t="inlineStr">
        <is>
          <t>2708001686</t>
        </is>
      </c>
      <c r="G498" s="1" t="inlineStr">
        <is>
          <t>Электрогазосварщик</t>
        </is>
      </c>
      <c r="H498" s="1" t="inlineStr">
        <is>
          <t>ООО "Амур Золото"</t>
        </is>
      </c>
      <c r="I498" s="1" t="inlineStr">
        <is>
          <t>2708001686</t>
        </is>
      </c>
      <c r="J498" s="1" t="inlineStr">
        <is>
          <t>ОТ ЮГОК ЗИОФ 23-05</t>
        </is>
      </c>
      <c r="K498" s="1" t="inlineStr">
        <is>
          <t>Безопасные методы и приемы выполнения работ на высоте</t>
        </is>
      </c>
      <c r="L498" s="1" t="inlineStr">
        <is>
          <t>11.12.2023</t>
        </is>
      </c>
      <c r="M498" s="1" t="inlineStr">
        <is>
          <t>Успешно</t>
        </is>
      </c>
      <c r="N498" s="1" t="inlineStr">
        <is>
          <t>05.02.2024</t>
        </is>
      </c>
      <c r="O498" s="1" t="inlineStr"/>
      <c r="P498" s="1" t="inlineStr"/>
      <c r="Q498" s="1" t="inlineStr">
        <is>
          <t>Пользовательский интерфейс</t>
        </is>
      </c>
    </row>
    <row r="499">
      <c r="B499" s="1" t="inlineStr">
        <is>
          <t>37117695</t>
        </is>
      </c>
      <c r="C499" s="1" t="inlineStr">
        <is>
          <t>2978778</t>
        </is>
      </c>
      <c r="D499" t="inlineStr">
        <is>
          <t>работник 133</t>
        </is>
      </c>
      <c r="E499" s="1" t="inlineStr">
        <is>
          <t>ОБЩЕСТВО С ОГРАНИЧЕННОЙ ОТВЕТСТВЕННОСТЬЮ "АМУР ЗОЛОТО"</t>
        </is>
      </c>
      <c r="F499" s="1" t="inlineStr">
        <is>
          <t>2708001686</t>
        </is>
      </c>
      <c r="G499" s="1" t="inlineStr">
        <is>
          <t>Электрогазосварщик</t>
        </is>
      </c>
      <c r="H499" s="1" t="inlineStr">
        <is>
          <t>ООО "Амур Золото"</t>
        </is>
      </c>
      <c r="I499" s="1" t="inlineStr">
        <is>
          <t>2708001686</t>
        </is>
      </c>
      <c r="J499" s="1" t="inlineStr">
        <is>
          <t>ОТ ЮГОК ЗИОФ 23-05</t>
        </is>
      </c>
      <c r="K499" s="1" t="inlineStr">
        <is>
          <t>Безопасные методы и приемы выполнения работ в ограниченных и замкнутых пространствах (ОЗП)</t>
        </is>
      </c>
      <c r="L499" s="1" t="inlineStr">
        <is>
          <t>11.12.2023</t>
        </is>
      </c>
      <c r="M499" s="1" t="inlineStr">
        <is>
          <t>Успешно</t>
        </is>
      </c>
      <c r="N499" s="1" t="inlineStr">
        <is>
          <t>05.02.2024</t>
        </is>
      </c>
      <c r="O499" s="1" t="inlineStr"/>
      <c r="P499" s="1" t="inlineStr"/>
      <c r="Q499" s="1" t="inlineStr">
        <is>
          <t>Пользовательский интерфейс</t>
        </is>
      </c>
    </row>
    <row r="500">
      <c r="B500" s="1" t="inlineStr">
        <is>
          <t>37117696</t>
        </is>
      </c>
      <c r="C500" s="1" t="inlineStr">
        <is>
          <t>2978778</t>
        </is>
      </c>
      <c r="D500" t="inlineStr">
        <is>
          <t>работник 133</t>
        </is>
      </c>
      <c r="E500" s="1" t="inlineStr">
        <is>
          <t>ОБЩЕСТВО С ОГРАНИЧЕННОЙ ОТВЕТСТВЕННОСТЬЮ "АМУР ЗОЛОТО"</t>
        </is>
      </c>
      <c r="F500" s="1" t="inlineStr">
        <is>
          <t>2708001686</t>
        </is>
      </c>
      <c r="G500" s="1" t="inlineStr">
        <is>
          <t>Электрогазосварщик</t>
        </is>
      </c>
      <c r="H500" s="1" t="inlineStr">
        <is>
          <t>ООО "Амур Золото"</t>
        </is>
      </c>
      <c r="I500" s="1" t="inlineStr">
        <is>
          <t>2708001686</t>
        </is>
      </c>
      <c r="J500" s="1" t="inlineStr">
        <is>
          <t>ОТ ЮГОК ЗИОФ 23-05</t>
        </is>
      </c>
      <c r="K500" s="1" t="inlineStr">
        <is>
          <t>Безопасные методы и приемы выполнения огневых работ</t>
        </is>
      </c>
      <c r="L500" s="1" t="inlineStr">
        <is>
          <t>11.12.2023</t>
        </is>
      </c>
      <c r="M500" s="1" t="inlineStr">
        <is>
          <t>Успешно</t>
        </is>
      </c>
      <c r="N500" s="1" t="inlineStr">
        <is>
          <t>05.02.2024</t>
        </is>
      </c>
      <c r="O500" s="1" t="inlineStr"/>
      <c r="P500" s="1" t="inlineStr"/>
      <c r="Q500" s="1" t="inlineStr">
        <is>
          <t>Пользовательский интерфейс</t>
        </is>
      </c>
    </row>
    <row r="501">
      <c r="B501" s="1" t="inlineStr">
        <is>
          <t>37117697</t>
        </is>
      </c>
      <c r="C501" s="1" t="inlineStr">
        <is>
          <t>2978778</t>
        </is>
      </c>
      <c r="D501" t="inlineStr">
        <is>
          <t>работник 133</t>
        </is>
      </c>
      <c r="E501" s="1" t="inlineStr">
        <is>
          <t>ОБЩЕСТВО С ОГРАНИЧЕННОЙ ОТВЕТСТВЕННОСТЬЮ "АМУР ЗОЛОТО"</t>
        </is>
      </c>
      <c r="F501" s="1" t="inlineStr">
        <is>
          <t>2708001686</t>
        </is>
      </c>
      <c r="G501" s="1" t="inlineStr">
        <is>
          <t>Электрогазосварщик</t>
        </is>
      </c>
      <c r="H501" s="1" t="inlineStr">
        <is>
          <t>ООО "Амур Золото"</t>
        </is>
      </c>
      <c r="I501" s="1" t="inlineStr">
        <is>
          <t>2708001686</t>
        </is>
      </c>
      <c r="J501" s="1" t="inlineStr">
        <is>
          <t>ОТ ЮГОК ЗИОФ 23-05</t>
        </is>
      </c>
      <c r="K501" s="1" t="inlineStr">
        <is>
          <t>Безопасные методы и приемы выполнения работ, связанные с эксплуатацией подъемных сооружений</t>
        </is>
      </c>
      <c r="L501" s="1" t="inlineStr">
        <is>
          <t>11.12.2023</t>
        </is>
      </c>
      <c r="M501" s="1" t="inlineStr">
        <is>
          <t>Успешно</t>
        </is>
      </c>
      <c r="N501" s="1" t="inlineStr">
        <is>
          <t>05.02.2024</t>
        </is>
      </c>
      <c r="O501" s="1" t="inlineStr"/>
      <c r="P501" s="1" t="inlineStr"/>
      <c r="Q501" s="1" t="inlineStr">
        <is>
          <t>Пользовательский интерфейс</t>
        </is>
      </c>
    </row>
    <row r="502">
      <c r="B502" s="1" t="inlineStr">
        <is>
          <t>37117698</t>
        </is>
      </c>
      <c r="C502" s="1" t="inlineStr">
        <is>
          <t>2978778</t>
        </is>
      </c>
      <c r="D502" t="inlineStr">
        <is>
          <t>работник 133</t>
        </is>
      </c>
      <c r="E502" s="1" t="inlineStr">
        <is>
          <t>ОБЩЕСТВО С ОГРАНИЧЕННОЙ ОТВЕТСТВЕННОСТЬЮ "АМУР ЗОЛОТО"</t>
        </is>
      </c>
      <c r="F502" s="1" t="inlineStr">
        <is>
          <t>2708001686</t>
        </is>
      </c>
      <c r="G502" s="1" t="inlineStr">
        <is>
          <t>Электрогазосварщик</t>
        </is>
      </c>
      <c r="H502" s="1" t="inlineStr">
        <is>
          <t>ООО "Амур Золото"</t>
        </is>
      </c>
      <c r="I502" s="1" t="inlineStr">
        <is>
          <t>2708001686</t>
        </is>
      </c>
      <c r="J502" s="1" t="inlineStr">
        <is>
          <t>ОТ ЮГОК ЗИОФ 23-05</t>
        </is>
      </c>
      <c r="K502" s="1" t="inlineStr">
        <is>
          <t>Безопасные методы и приемы выполнения работ, связанные с эксплуатацией сосудов, работающих под избыточным давлением</t>
        </is>
      </c>
      <c r="L502" s="1" t="inlineStr">
        <is>
          <t>11.12.2023</t>
        </is>
      </c>
      <c r="M502" s="1" t="inlineStr">
        <is>
          <t>Успешно</t>
        </is>
      </c>
      <c r="N502" s="1" t="inlineStr">
        <is>
          <t>05.02.2024</t>
        </is>
      </c>
      <c r="O502" s="1" t="inlineStr"/>
      <c r="P502" s="1" t="inlineStr"/>
      <c r="Q502" s="1" t="inlineStr">
        <is>
          <t>Пользовательский интерфейс</t>
        </is>
      </c>
    </row>
    <row r="503">
      <c r="B503" s="1" t="inlineStr">
        <is>
          <t>37117699</t>
        </is>
      </c>
      <c r="C503" s="1" t="inlineStr">
        <is>
          <t>2978778</t>
        </is>
      </c>
      <c r="D503" t="inlineStr">
        <is>
          <t>работник 134</t>
        </is>
      </c>
      <c r="E503" s="1" t="inlineStr">
        <is>
          <t>ОБЩЕСТВО С ОГРАНИЧЕННОЙ ОТВЕТСТВЕННОСТЬЮ "АМУР ЗОЛОТО"</t>
        </is>
      </c>
      <c r="F503" s="1" t="inlineStr">
        <is>
          <t>2708001686</t>
        </is>
      </c>
      <c r="G503" s="1" t="inlineStr">
        <is>
          <t>Электромонтер</t>
        </is>
      </c>
      <c r="H503" s="1" t="inlineStr">
        <is>
          <t>ООО "Амур Золото"</t>
        </is>
      </c>
      <c r="I503" s="1" t="inlineStr">
        <is>
          <t>2708001686</t>
        </is>
      </c>
      <c r="J503" s="1" t="inlineStr">
        <is>
          <t>ОТ ЮГОК ЗИОФ 23-06</t>
        </is>
      </c>
      <c r="K503" s="1" t="inlineStr">
        <is>
          <t>Безопасные методы и приемы выполнения работ на высоте</t>
        </is>
      </c>
      <c r="L503" s="1" t="inlineStr">
        <is>
          <t>11.12.2023</t>
        </is>
      </c>
      <c r="M503" s="1" t="inlineStr">
        <is>
          <t>Успешно</t>
        </is>
      </c>
      <c r="N503" s="1" t="inlineStr">
        <is>
          <t>05.02.2024</t>
        </is>
      </c>
      <c r="O503" s="1" t="inlineStr"/>
      <c r="P503" s="1" t="inlineStr"/>
      <c r="Q503" s="1" t="inlineStr">
        <is>
          <t>Пользовательский интерфейс</t>
        </is>
      </c>
    </row>
    <row r="504">
      <c r="B504" s="1" t="inlineStr">
        <is>
          <t>37117700</t>
        </is>
      </c>
      <c r="C504" s="1" t="inlineStr">
        <is>
          <t>2978778</t>
        </is>
      </c>
      <c r="D504" t="inlineStr">
        <is>
          <t>работник 134</t>
        </is>
      </c>
      <c r="E504" s="1" t="inlineStr">
        <is>
          <t>ОБЩЕСТВО С ОГРАНИЧЕННОЙ ОТВЕТСТВЕННОСТЬЮ "АМУР ЗОЛОТО"</t>
        </is>
      </c>
      <c r="F504" s="1" t="inlineStr">
        <is>
          <t>2708001686</t>
        </is>
      </c>
      <c r="G504" s="1" t="inlineStr">
        <is>
          <t>Электромонтер</t>
        </is>
      </c>
      <c r="H504" s="1" t="inlineStr">
        <is>
          <t>ООО "Амур Золото"</t>
        </is>
      </c>
      <c r="I504" s="1" t="inlineStr">
        <is>
          <t>2708001686</t>
        </is>
      </c>
      <c r="J504" s="1" t="inlineStr">
        <is>
          <t>ОТ ЮГОК ЗИОФ 23-06</t>
        </is>
      </c>
      <c r="K504" s="1" t="inlineStr">
        <is>
          <t>Безопасные методы и приемы выполнения работ в электроустановках</t>
        </is>
      </c>
      <c r="L504" s="1" t="inlineStr">
        <is>
          <t>12.12.2023</t>
        </is>
      </c>
      <c r="M504" s="1" t="inlineStr">
        <is>
          <t>Успешно</t>
        </is>
      </c>
      <c r="N504" s="1" t="inlineStr">
        <is>
          <t>05.02.2024</t>
        </is>
      </c>
      <c r="O504" s="1" t="inlineStr"/>
      <c r="P504" s="1" t="inlineStr"/>
      <c r="Q504" s="1" t="inlineStr">
        <is>
          <t>Пользовательский интерфейс</t>
        </is>
      </c>
    </row>
    <row r="505">
      <c r="B505" s="1" t="inlineStr">
        <is>
          <t>37117701</t>
        </is>
      </c>
      <c r="C505" s="1" t="inlineStr">
        <is>
          <t>2978778</t>
        </is>
      </c>
      <c r="D505" t="inlineStr">
        <is>
          <t>работник 135</t>
        </is>
      </c>
      <c r="E505" s="1" t="inlineStr">
        <is>
          <t>ОБЩЕСТВО С ОГРАНИЧЕННОЙ ОТВЕТСТВЕННОСТЬЮ "АМУР ЗОЛОТО"</t>
        </is>
      </c>
      <c r="F505" s="1" t="inlineStr">
        <is>
          <t>2708001686</t>
        </is>
      </c>
      <c r="G505" s="1" t="inlineStr">
        <is>
          <t>Горнорабочий</t>
        </is>
      </c>
      <c r="H505" s="1" t="inlineStr">
        <is>
          <t>ООО "Амур Золото"</t>
        </is>
      </c>
      <c r="I505" s="1" t="inlineStr">
        <is>
          <t>2708001686</t>
        </is>
      </c>
      <c r="J505" s="1" t="inlineStr">
        <is>
          <t>ОТ № ЮГОК ГМО 23-02</t>
        </is>
      </c>
      <c r="K505" s="1" t="inlineStr">
        <is>
          <t>Оказание первой помощи пострадавшим</t>
        </is>
      </c>
      <c r="L505" s="1" t="inlineStr">
        <is>
          <t>11.12.2023</t>
        </is>
      </c>
      <c r="M505" s="1" t="inlineStr">
        <is>
          <t>Успешно</t>
        </is>
      </c>
      <c r="N505" s="1" t="inlineStr">
        <is>
          <t>05.02.2024</t>
        </is>
      </c>
      <c r="O505" s="1" t="inlineStr"/>
      <c r="P505" s="1" t="inlineStr"/>
      <c r="Q505" s="1" t="inlineStr">
        <is>
          <t>Пользовательский интерфейс</t>
        </is>
      </c>
    </row>
    <row r="506">
      <c r="B506" s="1" t="inlineStr">
        <is>
          <t>37117702</t>
        </is>
      </c>
      <c r="C506" s="1" t="inlineStr">
        <is>
          <t>2978778</t>
        </is>
      </c>
      <c r="D506" t="inlineStr">
        <is>
          <t>работник 135</t>
        </is>
      </c>
      <c r="E506" s="1" t="inlineStr">
        <is>
          <t>ОБЩЕСТВО С ОГРАНИЧЕННОЙ ОТВЕТСТВЕННОСТЬЮ "АМУР ЗОЛОТО"</t>
        </is>
      </c>
      <c r="F506" s="1" t="inlineStr">
        <is>
          <t>2708001686</t>
        </is>
      </c>
      <c r="G506" s="1" t="inlineStr">
        <is>
          <t>Горнорабочий</t>
        </is>
      </c>
      <c r="H506" s="1" t="inlineStr">
        <is>
          <t>ООО "Амур Золото"</t>
        </is>
      </c>
      <c r="I506" s="1" t="inlineStr">
        <is>
          <t>2708001686</t>
        </is>
      </c>
      <c r="J506" s="1" t="inlineStr">
        <is>
          <t>ОТ № ЮГОК ГМО 23-02</t>
        </is>
      </c>
      <c r="K506" s="1" t="inlineStr">
        <is>
          <t>Использование (применение) средств индивидуальной защиты</t>
        </is>
      </c>
      <c r="L506" s="1" t="inlineStr">
        <is>
          <t>11.12.2023</t>
        </is>
      </c>
      <c r="M506" s="1" t="inlineStr">
        <is>
          <t>Успешно</t>
        </is>
      </c>
      <c r="N506" s="1" t="inlineStr">
        <is>
          <t>05.02.2024</t>
        </is>
      </c>
      <c r="O506" s="1" t="inlineStr"/>
      <c r="P506" s="1" t="inlineStr"/>
      <c r="Q506" s="1" t="inlineStr">
        <is>
          <t>Пользовательский интерфейс</t>
        </is>
      </c>
    </row>
    <row r="507">
      <c r="B507" s="1" t="inlineStr">
        <is>
          <t>37117703</t>
        </is>
      </c>
      <c r="C507" s="1" t="inlineStr">
        <is>
          <t>2978778</t>
        </is>
      </c>
      <c r="D507" t="inlineStr">
        <is>
          <t>работник 135</t>
        </is>
      </c>
      <c r="E507" s="1" t="inlineStr">
        <is>
          <t>ОБЩЕСТВО С ОГРАНИЧЕННОЙ ОТВЕТСТВЕННОСТЬЮ "АМУР ЗОЛОТО"</t>
        </is>
      </c>
      <c r="F507" s="1" t="inlineStr">
        <is>
          <t>2708001686</t>
        </is>
      </c>
      <c r="G507" s="1" t="inlineStr">
        <is>
          <t>Горнорабочий</t>
        </is>
      </c>
      <c r="H507" s="1" t="inlineStr">
        <is>
          <t>ООО "Амур Золото"</t>
        </is>
      </c>
      <c r="I507" s="1" t="inlineStr">
        <is>
          <t>2708001686</t>
        </is>
      </c>
      <c r="J507" s="1" t="inlineStr">
        <is>
          <t>ОТ № ЮГОК ГМО 23-02</t>
        </is>
      </c>
      <c r="K50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507" s="1" t="inlineStr">
        <is>
          <t>11.12.2023</t>
        </is>
      </c>
      <c r="M507" s="1" t="inlineStr">
        <is>
          <t>Успешно</t>
        </is>
      </c>
      <c r="N507" s="1" t="inlineStr">
        <is>
          <t>05.02.2024</t>
        </is>
      </c>
      <c r="O507" s="1" t="inlineStr"/>
      <c r="P507" s="1" t="inlineStr"/>
      <c r="Q507" s="1" t="inlineStr">
        <is>
          <t>Пользовательский интерфейс</t>
        </is>
      </c>
    </row>
    <row r="508">
      <c r="B508" s="1" t="inlineStr">
        <is>
          <t>37117704</t>
        </is>
      </c>
      <c r="C508" s="1" t="inlineStr">
        <is>
          <t>2978778</t>
        </is>
      </c>
      <c r="D508" t="inlineStr">
        <is>
          <t>работник 136</t>
        </is>
      </c>
      <c r="E508" s="1" t="inlineStr">
        <is>
          <t>ОБЩЕСТВО С ОГРАНИЧЕННОЙ ОТВЕТСТВЕННОСТЬЮ "АМУР ЗОЛОТО"</t>
        </is>
      </c>
      <c r="F508" s="1" t="inlineStr">
        <is>
          <t>2708001686</t>
        </is>
      </c>
      <c r="G508" s="1" t="inlineStr">
        <is>
          <t>Горнорабочий</t>
        </is>
      </c>
      <c r="H508" s="1" t="inlineStr">
        <is>
          <t>ООО "Амур Золото"</t>
        </is>
      </c>
      <c r="I508" s="1" t="inlineStr">
        <is>
          <t>2708001686</t>
        </is>
      </c>
      <c r="J508" s="1" t="inlineStr">
        <is>
          <t>ОТ № ЮГОК ГМО 23-02</t>
        </is>
      </c>
      <c r="K508" s="1" t="inlineStr">
        <is>
          <t>Оказание первой помощи пострадавшим</t>
        </is>
      </c>
      <c r="L508" s="1" t="inlineStr">
        <is>
          <t>11.12.2023</t>
        </is>
      </c>
      <c r="M508" s="1" t="inlineStr">
        <is>
          <t>Успешно</t>
        </is>
      </c>
      <c r="N508" s="1" t="inlineStr">
        <is>
          <t>05.02.2024</t>
        </is>
      </c>
      <c r="O508" s="1" t="inlineStr"/>
      <c r="P508" s="1" t="inlineStr"/>
      <c r="Q508" s="1" t="inlineStr">
        <is>
          <t>Пользовательский интерфейс</t>
        </is>
      </c>
    </row>
    <row r="509">
      <c r="B509" s="1" t="inlineStr">
        <is>
          <t>37117705</t>
        </is>
      </c>
      <c r="C509" s="1" t="inlineStr">
        <is>
          <t>2978778</t>
        </is>
      </c>
      <c r="D509" t="inlineStr">
        <is>
          <t>работник 136</t>
        </is>
      </c>
      <c r="E509" s="1" t="inlineStr">
        <is>
          <t>ОБЩЕСТВО С ОГРАНИЧЕННОЙ ОТВЕТСТВЕННОСТЬЮ "АМУР ЗОЛОТО"</t>
        </is>
      </c>
      <c r="F509" s="1" t="inlineStr">
        <is>
          <t>2708001686</t>
        </is>
      </c>
      <c r="G509" s="1" t="inlineStr">
        <is>
          <t>Горнорабочий</t>
        </is>
      </c>
      <c r="H509" s="1" t="inlineStr">
        <is>
          <t>ООО "Амур Золото"</t>
        </is>
      </c>
      <c r="I509" s="1" t="inlineStr">
        <is>
          <t>2708001686</t>
        </is>
      </c>
      <c r="J509" s="1" t="inlineStr">
        <is>
          <t>ОТ № ЮГОК ГМО 23-02</t>
        </is>
      </c>
      <c r="K509" s="1" t="inlineStr">
        <is>
          <t>Использование (применение) средств индивидуальной защиты</t>
        </is>
      </c>
      <c r="L509" s="1" t="inlineStr">
        <is>
          <t>11.12.2023</t>
        </is>
      </c>
      <c r="M509" s="1" t="inlineStr">
        <is>
          <t>Успешно</t>
        </is>
      </c>
      <c r="N509" s="1" t="inlineStr">
        <is>
          <t>05.02.2024</t>
        </is>
      </c>
      <c r="O509" s="1" t="inlineStr"/>
      <c r="P509" s="1" t="inlineStr"/>
      <c r="Q509" s="1" t="inlineStr">
        <is>
          <t>Пользовательский интерфейс</t>
        </is>
      </c>
    </row>
    <row r="510">
      <c r="B510" s="1" t="inlineStr">
        <is>
          <t>37117706</t>
        </is>
      </c>
      <c r="C510" s="1" t="inlineStr">
        <is>
          <t>2978778</t>
        </is>
      </c>
      <c r="D510" t="inlineStr">
        <is>
          <t>работник 136</t>
        </is>
      </c>
      <c r="E510" s="1" t="inlineStr">
        <is>
          <t>ОБЩЕСТВО С ОГРАНИЧЕННОЙ ОТВЕТСТВЕННОСТЬЮ "АМУР ЗОЛОТО"</t>
        </is>
      </c>
      <c r="F510" s="1" t="inlineStr">
        <is>
          <t>2708001686</t>
        </is>
      </c>
      <c r="G510" s="1" t="inlineStr">
        <is>
          <t>Горнорабочий</t>
        </is>
      </c>
      <c r="H510" s="1" t="inlineStr">
        <is>
          <t>ООО "Амур Золото"</t>
        </is>
      </c>
      <c r="I510" s="1" t="inlineStr">
        <is>
          <t>2708001686</t>
        </is>
      </c>
      <c r="J510" s="1" t="inlineStr">
        <is>
          <t>ОТ № ЮГОК ГМО 23-02</t>
        </is>
      </c>
      <c r="K51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510" s="1" t="inlineStr">
        <is>
          <t>11.12.2023</t>
        </is>
      </c>
      <c r="M510" s="1" t="inlineStr">
        <is>
          <t>Успешно</t>
        </is>
      </c>
      <c r="N510" s="1" t="inlineStr">
        <is>
          <t>05.02.2024</t>
        </is>
      </c>
      <c r="O510" s="1" t="inlineStr"/>
      <c r="P510" s="1" t="inlineStr"/>
      <c r="Q510" s="1" t="inlineStr">
        <is>
          <t>Пользовательский интерфейс</t>
        </is>
      </c>
    </row>
    <row r="511">
      <c r="B511" s="1" t="inlineStr">
        <is>
          <t>37117707</t>
        </is>
      </c>
      <c r="C511" s="1" t="inlineStr">
        <is>
          <t>2978778</t>
        </is>
      </c>
      <c r="D511" t="inlineStr">
        <is>
          <t>работник 137</t>
        </is>
      </c>
      <c r="E511" s="1" t="inlineStr">
        <is>
          <t>ОБЩЕСТВО С ОГРАНИЧЕННОЙ ОТВЕТСТВЕННОСТЬЮ "АМУР ЗОЛОТО"</t>
        </is>
      </c>
      <c r="F511" s="1" t="inlineStr">
        <is>
          <t>2708001686</t>
        </is>
      </c>
      <c r="G511" s="1" t="inlineStr">
        <is>
          <t>Пробоотборщик</t>
        </is>
      </c>
      <c r="H511" s="1" t="inlineStr">
        <is>
          <t>ООО "Амур Золото"</t>
        </is>
      </c>
      <c r="I511" s="1" t="inlineStr">
        <is>
          <t>2708001686</t>
        </is>
      </c>
      <c r="J511" s="1" t="inlineStr">
        <is>
          <t>ОТ № ЮГОК ГМО 23-02</t>
        </is>
      </c>
      <c r="K511" s="1" t="inlineStr">
        <is>
          <t>Оказание первой помощи пострадавшим</t>
        </is>
      </c>
      <c r="L511" s="1" t="inlineStr">
        <is>
          <t>11.12.2023</t>
        </is>
      </c>
      <c r="M511" s="1" t="inlineStr">
        <is>
          <t>Успешно</t>
        </is>
      </c>
      <c r="N511" s="1" t="inlineStr">
        <is>
          <t>05.02.2024</t>
        </is>
      </c>
      <c r="O511" s="1" t="inlineStr"/>
      <c r="P511" s="1" t="inlineStr"/>
      <c r="Q511" s="1" t="inlineStr">
        <is>
          <t>Пользовательский интерфейс</t>
        </is>
      </c>
    </row>
    <row r="512">
      <c r="B512" s="1" t="inlineStr">
        <is>
          <t>37117708</t>
        </is>
      </c>
      <c r="C512" s="1" t="inlineStr">
        <is>
          <t>2978778</t>
        </is>
      </c>
      <c r="D512" t="inlineStr">
        <is>
          <t>работник 137</t>
        </is>
      </c>
      <c r="E512" s="1" t="inlineStr">
        <is>
          <t>ОБЩЕСТВО С ОГРАНИЧЕННОЙ ОТВЕТСТВЕННОСТЬЮ "АМУР ЗОЛОТО"</t>
        </is>
      </c>
      <c r="F512" s="1" t="inlineStr">
        <is>
          <t>2708001686</t>
        </is>
      </c>
      <c r="G512" s="1" t="inlineStr">
        <is>
          <t>Пробоотборщик</t>
        </is>
      </c>
      <c r="H512" s="1" t="inlineStr">
        <is>
          <t>ООО "Амур Золото"</t>
        </is>
      </c>
      <c r="I512" s="1" t="inlineStr">
        <is>
          <t>2708001686</t>
        </is>
      </c>
      <c r="J512" s="1" t="inlineStr">
        <is>
          <t>ОТ № ЮГОК ГМО 23-02</t>
        </is>
      </c>
      <c r="K512" s="1" t="inlineStr">
        <is>
          <t>Использование (применение) средств индивидуальной защиты</t>
        </is>
      </c>
      <c r="L512" s="1" t="inlineStr">
        <is>
          <t>11.12.2023</t>
        </is>
      </c>
      <c r="M512" s="1" t="inlineStr">
        <is>
          <t>Успешно</t>
        </is>
      </c>
      <c r="N512" s="1" t="inlineStr">
        <is>
          <t>05.02.2024</t>
        </is>
      </c>
      <c r="O512" s="1" t="inlineStr"/>
      <c r="P512" s="1" t="inlineStr"/>
      <c r="Q512" s="1" t="inlineStr">
        <is>
          <t>Пользовательский интерфейс</t>
        </is>
      </c>
    </row>
    <row r="513">
      <c r="B513" s="1" t="inlineStr">
        <is>
          <t>37117709</t>
        </is>
      </c>
      <c r="C513" s="1" t="inlineStr">
        <is>
          <t>2978778</t>
        </is>
      </c>
      <c r="D513" t="inlineStr">
        <is>
          <t>работник 137</t>
        </is>
      </c>
      <c r="E513" s="1" t="inlineStr">
        <is>
          <t>ОБЩЕСТВО С ОГРАНИЧЕННОЙ ОТВЕТСТВЕННОСТЬЮ "АМУР ЗОЛОТО"</t>
        </is>
      </c>
      <c r="F513" s="1" t="inlineStr">
        <is>
          <t>2708001686</t>
        </is>
      </c>
      <c r="G513" s="1" t="inlineStr">
        <is>
          <t>Пробоотборщик</t>
        </is>
      </c>
      <c r="H513" s="1" t="inlineStr">
        <is>
          <t>ООО "Амур Золото"</t>
        </is>
      </c>
      <c r="I513" s="1" t="inlineStr">
        <is>
          <t>2708001686</t>
        </is>
      </c>
      <c r="J513" s="1" t="inlineStr">
        <is>
          <t>ОТ № ЮГОК ГМО 23-02</t>
        </is>
      </c>
      <c r="K51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513" s="1" t="inlineStr">
        <is>
          <t>11.12.2023</t>
        </is>
      </c>
      <c r="M513" s="1" t="inlineStr">
        <is>
          <t>Успешно</t>
        </is>
      </c>
      <c r="N513" s="1" t="inlineStr">
        <is>
          <t>05.02.2024</t>
        </is>
      </c>
      <c r="O513" s="1" t="inlineStr"/>
      <c r="P513" s="1" t="inlineStr"/>
      <c r="Q513" s="1" t="inlineStr">
        <is>
          <t>Пользовательский интерфейс</t>
        </is>
      </c>
    </row>
    <row r="514">
      <c r="B514" s="1" t="inlineStr">
        <is>
          <t>37117710</t>
        </is>
      </c>
      <c r="C514" s="1" t="inlineStr">
        <is>
          <t>2978778</t>
        </is>
      </c>
      <c r="D514" t="inlineStr">
        <is>
          <t>работник 138</t>
        </is>
      </c>
      <c r="E514" s="1" t="inlineStr">
        <is>
          <t>ОБЩЕСТВО С ОГРАНИЧЕННОЙ ОТВЕТСТВЕННОСТЬЮ "АМУР ЗОЛОТО"</t>
        </is>
      </c>
      <c r="F514" s="1" t="inlineStr">
        <is>
          <t>2708001686</t>
        </is>
      </c>
      <c r="G514" s="1" t="inlineStr">
        <is>
          <t>Пробоотборщик</t>
        </is>
      </c>
      <c r="H514" s="1" t="inlineStr">
        <is>
          <t>ООО "Амур Золото"</t>
        </is>
      </c>
      <c r="I514" s="1" t="inlineStr">
        <is>
          <t>2708001686</t>
        </is>
      </c>
      <c r="J514" s="1" t="inlineStr">
        <is>
          <t>ОТ № ЮГОК ГМО 23-02</t>
        </is>
      </c>
      <c r="K514" s="1" t="inlineStr">
        <is>
          <t>Оказание первой помощи пострадавшим</t>
        </is>
      </c>
      <c r="L514" s="1" t="inlineStr">
        <is>
          <t>11.12.2023</t>
        </is>
      </c>
      <c r="M514" s="1" t="inlineStr">
        <is>
          <t>Успешно</t>
        </is>
      </c>
      <c r="N514" s="1" t="inlineStr">
        <is>
          <t>05.02.2024</t>
        </is>
      </c>
      <c r="O514" s="1" t="inlineStr"/>
      <c r="P514" s="1" t="inlineStr"/>
      <c r="Q514" s="1" t="inlineStr">
        <is>
          <t>Пользовательский интерфейс</t>
        </is>
      </c>
    </row>
    <row r="515">
      <c r="B515" s="1" t="inlineStr">
        <is>
          <t>37117711</t>
        </is>
      </c>
      <c r="C515" s="1" t="inlineStr">
        <is>
          <t>2978778</t>
        </is>
      </c>
      <c r="D515" t="inlineStr">
        <is>
          <t>работник 138</t>
        </is>
      </c>
      <c r="E515" s="1" t="inlineStr">
        <is>
          <t>ОБЩЕСТВО С ОГРАНИЧЕННОЙ ОТВЕТСТВЕННОСТЬЮ "АМУР ЗОЛОТО"</t>
        </is>
      </c>
      <c r="F515" s="1" t="inlineStr">
        <is>
          <t>2708001686</t>
        </is>
      </c>
      <c r="G515" s="1" t="inlineStr">
        <is>
          <t>Пробоотборщик</t>
        </is>
      </c>
      <c r="H515" s="1" t="inlineStr">
        <is>
          <t>ООО "Амур Золото"</t>
        </is>
      </c>
      <c r="I515" s="1" t="inlineStr">
        <is>
          <t>2708001686</t>
        </is>
      </c>
      <c r="J515" s="1" t="inlineStr">
        <is>
          <t>ОТ № ЮГОК ГМО 23-02</t>
        </is>
      </c>
      <c r="K515" s="1" t="inlineStr">
        <is>
          <t>Использование (применение) средств индивидуальной защиты</t>
        </is>
      </c>
      <c r="L515" s="1" t="inlineStr">
        <is>
          <t>11.12.2023</t>
        </is>
      </c>
      <c r="M515" s="1" t="inlineStr">
        <is>
          <t>Успешно</t>
        </is>
      </c>
      <c r="N515" s="1" t="inlineStr">
        <is>
          <t>05.02.2024</t>
        </is>
      </c>
      <c r="O515" s="1" t="inlineStr"/>
      <c r="P515" s="1" t="inlineStr"/>
      <c r="Q515" s="1" t="inlineStr">
        <is>
          <t>Пользовательский интерфейс</t>
        </is>
      </c>
    </row>
    <row r="516">
      <c r="B516" s="1" t="inlineStr">
        <is>
          <t>37117712</t>
        </is>
      </c>
      <c r="C516" s="1" t="inlineStr">
        <is>
          <t>2978778</t>
        </is>
      </c>
      <c r="D516" t="inlineStr">
        <is>
          <t>работник 138</t>
        </is>
      </c>
      <c r="E516" s="1" t="inlineStr">
        <is>
          <t>ОБЩЕСТВО С ОГРАНИЧЕННОЙ ОТВЕТСТВЕННОСТЬЮ "АМУР ЗОЛОТО"</t>
        </is>
      </c>
      <c r="F516" s="1" t="inlineStr">
        <is>
          <t>2708001686</t>
        </is>
      </c>
      <c r="G516" s="1" t="inlineStr">
        <is>
          <t>Пробоотборщик</t>
        </is>
      </c>
      <c r="H516" s="1" t="inlineStr">
        <is>
          <t>ООО "Амур Золото"</t>
        </is>
      </c>
      <c r="I516" s="1" t="inlineStr">
        <is>
          <t>2708001686</t>
        </is>
      </c>
      <c r="J516" s="1" t="inlineStr">
        <is>
          <t>ОТ № ЮГОК ГМО 23-02</t>
        </is>
      </c>
      <c r="K51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516" s="1" t="inlineStr">
        <is>
          <t>11.12.2023</t>
        </is>
      </c>
      <c r="M516" s="1" t="inlineStr">
        <is>
          <t>Успешно</t>
        </is>
      </c>
      <c r="N516" s="1" t="inlineStr">
        <is>
          <t>05.02.2024</t>
        </is>
      </c>
      <c r="O516" s="1" t="inlineStr"/>
      <c r="P516" s="1" t="inlineStr"/>
      <c r="Q516" s="1" t="inlineStr">
        <is>
          <t>Пользовательский интерфейс</t>
        </is>
      </c>
    </row>
    <row r="517">
      <c r="B517" s="1" t="inlineStr">
        <is>
          <t>37117713</t>
        </is>
      </c>
      <c r="C517" s="1" t="inlineStr">
        <is>
          <t>2978778</t>
        </is>
      </c>
      <c r="D517" t="inlineStr">
        <is>
          <t>работник 139</t>
        </is>
      </c>
      <c r="E517" s="1" t="inlineStr">
        <is>
          <t>ОБЩЕСТВО С ОГРАНИЧЕННОЙ ОТВЕТСТВЕННОСТЬЮ "АМУР ЗОЛОТО"</t>
        </is>
      </c>
      <c r="F517" s="1" t="inlineStr">
        <is>
          <t>2708001686</t>
        </is>
      </c>
      <c r="G517" s="1" t="inlineStr">
        <is>
          <t>Слесарь-сантехник</t>
        </is>
      </c>
      <c r="H517" s="1" t="inlineStr">
        <is>
          <t>ООО "Амур Золото"</t>
        </is>
      </c>
      <c r="I517" s="1" t="inlineStr">
        <is>
          <t>2708001686</t>
        </is>
      </c>
      <c r="J517" s="1" t="inlineStr">
        <is>
          <t>ОТ № ЮГОК ЭУ 23-11</t>
        </is>
      </c>
      <c r="K517" s="1" t="inlineStr">
        <is>
          <t>Оказание первой помощи пострадавшим</t>
        </is>
      </c>
      <c r="L517" s="1" t="inlineStr">
        <is>
          <t>27.12.2023</t>
        </is>
      </c>
      <c r="M517" s="1" t="inlineStr">
        <is>
          <t>Успешно</t>
        </is>
      </c>
      <c r="N517" s="1" t="inlineStr">
        <is>
          <t>05.02.2024</t>
        </is>
      </c>
      <c r="O517" s="1" t="inlineStr"/>
      <c r="P517" s="1" t="inlineStr"/>
      <c r="Q517" s="1" t="inlineStr">
        <is>
          <t>Пользовательский интерфейс</t>
        </is>
      </c>
    </row>
    <row r="518">
      <c r="B518" s="1" t="inlineStr">
        <is>
          <t>37117714</t>
        </is>
      </c>
      <c r="C518" s="1" t="inlineStr">
        <is>
          <t>2978778</t>
        </is>
      </c>
      <c r="D518" t="inlineStr">
        <is>
          <t>работник 139</t>
        </is>
      </c>
      <c r="E518" s="1" t="inlineStr">
        <is>
          <t>ОБЩЕСТВО С ОГРАНИЧЕННОЙ ОТВЕТСТВЕННОСТЬЮ "АМУР ЗОЛОТО"</t>
        </is>
      </c>
      <c r="F518" s="1" t="inlineStr">
        <is>
          <t>2708001686</t>
        </is>
      </c>
      <c r="G518" s="1" t="inlineStr">
        <is>
          <t>Слесарь-сантехник</t>
        </is>
      </c>
      <c r="H518" s="1" t="inlineStr">
        <is>
          <t>ООО "Амур Золото"</t>
        </is>
      </c>
      <c r="I518" s="1" t="inlineStr">
        <is>
          <t>2708001686</t>
        </is>
      </c>
      <c r="J518" s="1" t="inlineStr">
        <is>
          <t>ОТ № ЮГОК ЭУ 23-11</t>
        </is>
      </c>
      <c r="K518" s="1" t="inlineStr">
        <is>
          <t>Использование (применение) средств индивидуальной защиты</t>
        </is>
      </c>
      <c r="L518" s="1" t="inlineStr">
        <is>
          <t>27.12.2023</t>
        </is>
      </c>
      <c r="M518" s="1" t="inlineStr">
        <is>
          <t>Успешно</t>
        </is>
      </c>
      <c r="N518" s="1" t="inlineStr">
        <is>
          <t>05.02.2024</t>
        </is>
      </c>
      <c r="O518" s="1" t="inlineStr"/>
      <c r="P518" s="1" t="inlineStr"/>
      <c r="Q518" s="1" t="inlineStr">
        <is>
          <t>Пользовательский интерфейс</t>
        </is>
      </c>
    </row>
    <row r="519">
      <c r="B519" s="1" t="inlineStr">
        <is>
          <t>37117715</t>
        </is>
      </c>
      <c r="C519" s="1" t="inlineStr">
        <is>
          <t>2978778</t>
        </is>
      </c>
      <c r="D519" t="inlineStr">
        <is>
          <t>работник 139</t>
        </is>
      </c>
      <c r="E519" s="1" t="inlineStr">
        <is>
          <t>ОБЩЕСТВО С ОГРАНИЧЕННОЙ ОТВЕТСТВЕННОСТЬЮ "АМУР ЗОЛОТО"</t>
        </is>
      </c>
      <c r="F519" s="1" t="inlineStr">
        <is>
          <t>2708001686</t>
        </is>
      </c>
      <c r="G519" s="1" t="inlineStr">
        <is>
          <t>Слесарь-сантехник</t>
        </is>
      </c>
      <c r="H519" s="1" t="inlineStr">
        <is>
          <t>ООО "Амур Золото"</t>
        </is>
      </c>
      <c r="I519" s="1" t="inlineStr">
        <is>
          <t>2708001686</t>
        </is>
      </c>
      <c r="J519" s="1" t="inlineStr">
        <is>
          <t>ОТ № ЮГОК ЭУ 23-11</t>
        </is>
      </c>
      <c r="K51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519" s="1" t="inlineStr">
        <is>
          <t>27.12.2023</t>
        </is>
      </c>
      <c r="M519" s="1" t="inlineStr">
        <is>
          <t>Успешно</t>
        </is>
      </c>
      <c r="N519" s="1" t="inlineStr">
        <is>
          <t>05.02.2024</t>
        </is>
      </c>
      <c r="O519" s="1" t="inlineStr"/>
      <c r="P519" s="1" t="inlineStr"/>
      <c r="Q519" s="1" t="inlineStr">
        <is>
          <t>Пользовательский интерфейс</t>
        </is>
      </c>
    </row>
    <row r="520">
      <c r="B520" s="1" t="inlineStr">
        <is>
          <t>37117716</t>
        </is>
      </c>
      <c r="C520" s="1" t="inlineStr">
        <is>
          <t>2978778</t>
        </is>
      </c>
      <c r="D520" t="inlineStr">
        <is>
          <t>работник 140</t>
        </is>
      </c>
      <c r="E520" s="1" t="inlineStr">
        <is>
          <t>ОБЩЕСТВО С ОГРАНИЧЕННОЙ ОТВЕТСТВЕННОСТЬЮ "АМУР ЗОЛОТО"</t>
        </is>
      </c>
      <c r="F520" s="1" t="inlineStr">
        <is>
          <t>2708001686</t>
        </is>
      </c>
      <c r="G520" s="1" t="inlineStr">
        <is>
          <t>Машинист (кочегар) котельной</t>
        </is>
      </c>
      <c r="H520" s="1" t="inlineStr">
        <is>
          <t>ООО "Амур Золото"</t>
        </is>
      </c>
      <c r="I520" s="1" t="inlineStr">
        <is>
          <t>2708001686</t>
        </is>
      </c>
      <c r="J520" s="1" t="inlineStr">
        <is>
          <t>ОТ № ЮГОК ЭУ 23-11</t>
        </is>
      </c>
      <c r="K520" s="1" t="inlineStr">
        <is>
          <t>Оказание первой помощи пострадавшим</t>
        </is>
      </c>
      <c r="L520" s="1" t="inlineStr">
        <is>
          <t>27.12.2023</t>
        </is>
      </c>
      <c r="M520" s="1" t="inlineStr">
        <is>
          <t>Успешно</t>
        </is>
      </c>
      <c r="N520" s="1" t="inlineStr">
        <is>
          <t>05.02.2024</t>
        </is>
      </c>
      <c r="O520" s="1" t="inlineStr"/>
      <c r="P520" s="1" t="inlineStr"/>
      <c r="Q520" s="1" t="inlineStr">
        <is>
          <t>Пользовательский интерфейс</t>
        </is>
      </c>
    </row>
    <row r="521">
      <c r="B521" s="1" t="inlineStr">
        <is>
          <t>37117717</t>
        </is>
      </c>
      <c r="C521" s="1" t="inlineStr">
        <is>
          <t>2978778</t>
        </is>
      </c>
      <c r="D521" t="inlineStr">
        <is>
          <t>работник 140</t>
        </is>
      </c>
      <c r="E521" s="1" t="inlineStr">
        <is>
          <t>ОБЩЕСТВО С ОГРАНИЧЕННОЙ ОТВЕТСТВЕННОСТЬЮ "АМУР ЗОЛОТО"</t>
        </is>
      </c>
      <c r="F521" s="1" t="inlineStr">
        <is>
          <t>2708001686</t>
        </is>
      </c>
      <c r="G521" s="1" t="inlineStr">
        <is>
          <t>Машинист (кочегар) котельной</t>
        </is>
      </c>
      <c r="H521" s="1" t="inlineStr">
        <is>
          <t>ООО "Амур Золото"</t>
        </is>
      </c>
      <c r="I521" s="1" t="inlineStr">
        <is>
          <t>2708001686</t>
        </is>
      </c>
      <c r="J521" s="1" t="inlineStr">
        <is>
          <t>ОТ № ЮГОК ЭУ 23-11</t>
        </is>
      </c>
      <c r="K521" s="1" t="inlineStr">
        <is>
          <t>Использование (применение) средств индивидуальной защиты</t>
        </is>
      </c>
      <c r="L521" s="1" t="inlineStr">
        <is>
          <t>27.12.2023</t>
        </is>
      </c>
      <c r="M521" s="1" t="inlineStr">
        <is>
          <t>Успешно</t>
        </is>
      </c>
      <c r="N521" s="1" t="inlineStr">
        <is>
          <t>05.02.2024</t>
        </is>
      </c>
      <c r="O521" s="1" t="inlineStr"/>
      <c r="P521" s="1" t="inlineStr"/>
      <c r="Q521" s="1" t="inlineStr">
        <is>
          <t>Пользовательский интерфейс</t>
        </is>
      </c>
    </row>
    <row r="522">
      <c r="B522" s="1" t="inlineStr">
        <is>
          <t>37117718</t>
        </is>
      </c>
      <c r="C522" s="1" t="inlineStr">
        <is>
          <t>2978778</t>
        </is>
      </c>
      <c r="D522" t="inlineStr">
        <is>
          <t>работник 140</t>
        </is>
      </c>
      <c r="E522" s="1" t="inlineStr">
        <is>
          <t>ОБЩЕСТВО С ОГРАНИЧЕННОЙ ОТВЕТСТВЕННОСТЬЮ "АМУР ЗОЛОТО"</t>
        </is>
      </c>
      <c r="F522" s="1" t="inlineStr">
        <is>
          <t>2708001686</t>
        </is>
      </c>
      <c r="G522" s="1" t="inlineStr">
        <is>
          <t>Машинист (кочегар) котельной</t>
        </is>
      </c>
      <c r="H522" s="1" t="inlineStr">
        <is>
          <t>ООО "Амур Золото"</t>
        </is>
      </c>
      <c r="I522" s="1" t="inlineStr">
        <is>
          <t>2708001686</t>
        </is>
      </c>
      <c r="J522" s="1" t="inlineStr">
        <is>
          <t>ОТ № ЮГОК ЭУ 23-11</t>
        </is>
      </c>
      <c r="K52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522" s="1" t="inlineStr">
        <is>
          <t>27.12.2023</t>
        </is>
      </c>
      <c r="M522" s="1" t="inlineStr">
        <is>
          <t>Успешно</t>
        </is>
      </c>
      <c r="N522" s="1" t="inlineStr">
        <is>
          <t>05.02.2024</t>
        </is>
      </c>
      <c r="O522" s="1" t="inlineStr"/>
      <c r="P522" s="1" t="inlineStr"/>
      <c r="Q522" s="1" t="inlineStr">
        <is>
          <t>Пользовательский интерфейс</t>
        </is>
      </c>
    </row>
    <row r="523">
      <c r="B523" s="1" t="inlineStr">
        <is>
          <t>37117719</t>
        </is>
      </c>
      <c r="C523" s="1" t="inlineStr">
        <is>
          <t>2978778</t>
        </is>
      </c>
      <c r="D523" t="inlineStr">
        <is>
          <t>работник 141</t>
        </is>
      </c>
      <c r="E523" s="1" t="inlineStr">
        <is>
          <t>ОБЩЕСТВО С ОГРАНИЧЕННОЙ ОТВЕТСТВЕННОСТЬЮ "АМУР ЗОЛОТО"</t>
        </is>
      </c>
      <c r="F523" s="1" t="inlineStr">
        <is>
          <t>2708001686</t>
        </is>
      </c>
      <c r="G523" s="1" t="inlineStr">
        <is>
          <t>Машинист (кочегар) котельной</t>
        </is>
      </c>
      <c r="H523" s="1" t="inlineStr">
        <is>
          <t>ООО "Амур Золото"</t>
        </is>
      </c>
      <c r="I523" s="1" t="inlineStr">
        <is>
          <t>2708001686</t>
        </is>
      </c>
      <c r="J523" s="1" t="inlineStr">
        <is>
          <t>ОТ № ЮГОК ЭУ 23-11</t>
        </is>
      </c>
      <c r="K523" s="1" t="inlineStr">
        <is>
          <t>Оказание первой помощи пострадавшим</t>
        </is>
      </c>
      <c r="L523" s="1" t="inlineStr">
        <is>
          <t>27.12.2023</t>
        </is>
      </c>
      <c r="M523" s="1" t="inlineStr">
        <is>
          <t>Успешно</t>
        </is>
      </c>
      <c r="N523" s="1" t="inlineStr">
        <is>
          <t>05.02.2024</t>
        </is>
      </c>
      <c r="O523" s="1" t="inlineStr"/>
      <c r="P523" s="1" t="inlineStr"/>
      <c r="Q523" s="1" t="inlineStr">
        <is>
          <t>Пользовательский интерфейс</t>
        </is>
      </c>
    </row>
    <row r="524">
      <c r="B524" s="1" t="inlineStr">
        <is>
          <t>37117720</t>
        </is>
      </c>
      <c r="C524" s="1" t="inlineStr">
        <is>
          <t>2978778</t>
        </is>
      </c>
      <c r="D524" t="inlineStr">
        <is>
          <t>работник 141</t>
        </is>
      </c>
      <c r="E524" s="1" t="inlineStr">
        <is>
          <t>ОБЩЕСТВО С ОГРАНИЧЕННОЙ ОТВЕТСТВЕННОСТЬЮ "АМУР ЗОЛОТО"</t>
        </is>
      </c>
      <c r="F524" s="1" t="inlineStr">
        <is>
          <t>2708001686</t>
        </is>
      </c>
      <c r="G524" s="1" t="inlineStr">
        <is>
          <t>Машинист (кочегар) котельной</t>
        </is>
      </c>
      <c r="H524" s="1" t="inlineStr">
        <is>
          <t>ООО "Амур Золото"</t>
        </is>
      </c>
      <c r="I524" s="1" t="inlineStr">
        <is>
          <t>2708001686</t>
        </is>
      </c>
      <c r="J524" s="1" t="inlineStr">
        <is>
          <t>ОТ № ЮГОК ЭУ 23-11</t>
        </is>
      </c>
      <c r="K524" s="1" t="inlineStr">
        <is>
          <t>Использование (применение) средств индивидуальной защиты</t>
        </is>
      </c>
      <c r="L524" s="1" t="inlineStr">
        <is>
          <t>27.12.2023</t>
        </is>
      </c>
      <c r="M524" s="1" t="inlineStr">
        <is>
          <t>Успешно</t>
        </is>
      </c>
      <c r="N524" s="1" t="inlineStr">
        <is>
          <t>05.02.2024</t>
        </is>
      </c>
      <c r="O524" s="1" t="inlineStr"/>
      <c r="P524" s="1" t="inlineStr"/>
      <c r="Q524" s="1" t="inlineStr">
        <is>
          <t>Пользовательский интерфейс</t>
        </is>
      </c>
    </row>
    <row r="525">
      <c r="B525" s="1" t="inlineStr">
        <is>
          <t>37117721</t>
        </is>
      </c>
      <c r="C525" s="1" t="inlineStr">
        <is>
          <t>2978778</t>
        </is>
      </c>
      <c r="D525" t="inlineStr">
        <is>
          <t>работник 141</t>
        </is>
      </c>
      <c r="E525" s="1" t="inlineStr">
        <is>
          <t>ОБЩЕСТВО С ОГРАНИЧЕННОЙ ОТВЕТСТВЕННОСТЬЮ "АМУР ЗОЛОТО"</t>
        </is>
      </c>
      <c r="F525" s="1" t="inlineStr">
        <is>
          <t>2708001686</t>
        </is>
      </c>
      <c r="G525" s="1" t="inlineStr">
        <is>
          <t>Машинист (кочегар) котельной</t>
        </is>
      </c>
      <c r="H525" s="1" t="inlineStr">
        <is>
          <t>ООО "Амур Золото"</t>
        </is>
      </c>
      <c r="I525" s="1" t="inlineStr">
        <is>
          <t>2708001686</t>
        </is>
      </c>
      <c r="J525" s="1" t="inlineStr">
        <is>
          <t>ОТ № ЮГОК ЭУ 23-11</t>
        </is>
      </c>
      <c r="K52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525" s="1" t="inlineStr">
        <is>
          <t>27.12.2023</t>
        </is>
      </c>
      <c r="M525" s="1" t="inlineStr">
        <is>
          <t>Успешно</t>
        </is>
      </c>
      <c r="N525" s="1" t="inlineStr">
        <is>
          <t>05.02.2024</t>
        </is>
      </c>
      <c r="O525" s="1" t="inlineStr"/>
      <c r="P525" s="1" t="inlineStr"/>
      <c r="Q525" s="1" t="inlineStr">
        <is>
          <t>Пользовательский интерфейс</t>
        </is>
      </c>
    </row>
    <row r="526">
      <c r="B526" s="1" t="inlineStr">
        <is>
          <t>37117722</t>
        </is>
      </c>
      <c r="C526" s="1" t="inlineStr">
        <is>
          <t>2978778</t>
        </is>
      </c>
      <c r="D526" t="inlineStr">
        <is>
          <t>работник 142</t>
        </is>
      </c>
      <c r="E526" s="1" t="inlineStr">
        <is>
          <t>ОБЩЕСТВО С ОГРАНИЧЕННОЙ ОТВЕТСТВЕННОСТЬЮ "АМУР ЗОЛОТО"</t>
        </is>
      </c>
      <c r="F526" s="1" t="inlineStr">
        <is>
          <t>2708001686</t>
        </is>
      </c>
      <c r="G526" s="1" t="inlineStr">
        <is>
          <t>Машинист двигателей внутреннего сгорания</t>
        </is>
      </c>
      <c r="H526" s="1" t="inlineStr">
        <is>
          <t>ООО "Амур Золото"</t>
        </is>
      </c>
      <c r="I526" s="1" t="inlineStr">
        <is>
          <t>2708001686</t>
        </is>
      </c>
      <c r="J526" s="1" t="inlineStr">
        <is>
          <t>ОТ № ЮГОК ЭУ 23-10</t>
        </is>
      </c>
      <c r="K526" s="1" t="inlineStr">
        <is>
          <t>Оказание первой помощи пострадавшим</t>
        </is>
      </c>
      <c r="L526" s="1" t="inlineStr">
        <is>
          <t>21.12.2023</t>
        </is>
      </c>
      <c r="M526" s="1" t="inlineStr">
        <is>
          <t>Успешно</t>
        </is>
      </c>
      <c r="N526" s="1" t="inlineStr">
        <is>
          <t>05.02.2024</t>
        </is>
      </c>
      <c r="O526" s="1" t="inlineStr"/>
      <c r="P526" s="1" t="inlineStr"/>
      <c r="Q526" s="1" t="inlineStr">
        <is>
          <t>Пользовательский интерфейс</t>
        </is>
      </c>
    </row>
    <row r="527">
      <c r="B527" s="1" t="inlineStr">
        <is>
          <t>37117723</t>
        </is>
      </c>
      <c r="C527" s="1" t="inlineStr">
        <is>
          <t>2978778</t>
        </is>
      </c>
      <c r="D527" t="inlineStr">
        <is>
          <t>работник 142</t>
        </is>
      </c>
      <c r="E527" s="1" t="inlineStr">
        <is>
          <t>ОБЩЕСТВО С ОГРАНИЧЕННОЙ ОТВЕТСТВЕННОСТЬЮ "АМУР ЗОЛОТО"</t>
        </is>
      </c>
      <c r="F527" s="1" t="inlineStr">
        <is>
          <t>2708001686</t>
        </is>
      </c>
      <c r="G527" s="1" t="inlineStr">
        <is>
          <t>Машинист двигателей внутреннего сгорания</t>
        </is>
      </c>
      <c r="H527" s="1" t="inlineStr">
        <is>
          <t>ООО "Амур Золото"</t>
        </is>
      </c>
      <c r="I527" s="1" t="inlineStr">
        <is>
          <t>2708001686</t>
        </is>
      </c>
      <c r="J527" s="1" t="inlineStr">
        <is>
          <t>ОТ № ЮГОК ЭУ 23-10</t>
        </is>
      </c>
      <c r="K527" s="1" t="inlineStr">
        <is>
          <t>Использование (применение) средств индивидуальной защиты</t>
        </is>
      </c>
      <c r="L527" s="1" t="inlineStr">
        <is>
          <t>21.12.2023</t>
        </is>
      </c>
      <c r="M527" s="1" t="inlineStr">
        <is>
          <t>Успешно</t>
        </is>
      </c>
      <c r="N527" s="1" t="inlineStr">
        <is>
          <t>05.02.2024</t>
        </is>
      </c>
      <c r="O527" s="1" t="inlineStr"/>
      <c r="P527" s="1" t="inlineStr"/>
      <c r="Q527" s="1" t="inlineStr">
        <is>
          <t>Пользовательский интерфейс</t>
        </is>
      </c>
    </row>
    <row r="528">
      <c r="B528" s="1" t="inlineStr">
        <is>
          <t>37117724</t>
        </is>
      </c>
      <c r="C528" s="1" t="inlineStr">
        <is>
          <t>2978778</t>
        </is>
      </c>
      <c r="D528" t="inlineStr">
        <is>
          <t>работник 142</t>
        </is>
      </c>
      <c r="E528" s="1" t="inlineStr">
        <is>
          <t>ОБЩЕСТВО С ОГРАНИЧЕННОЙ ОТВЕТСТВЕННОСТЬЮ "АМУР ЗОЛОТО"</t>
        </is>
      </c>
      <c r="F528" s="1" t="inlineStr">
        <is>
          <t>2708001686</t>
        </is>
      </c>
      <c r="G528" s="1" t="inlineStr">
        <is>
          <t>Машинист двигателей внутреннего сгорания</t>
        </is>
      </c>
      <c r="H528" s="1" t="inlineStr">
        <is>
          <t>ООО "Амур Золото"</t>
        </is>
      </c>
      <c r="I528" s="1" t="inlineStr">
        <is>
          <t>2708001686</t>
        </is>
      </c>
      <c r="J528" s="1" t="inlineStr">
        <is>
          <t>ОТ № ЮГОК ЭУ 23-10</t>
        </is>
      </c>
      <c r="K52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528" s="1" t="inlineStr">
        <is>
          <t>21.12.2023</t>
        </is>
      </c>
      <c r="M528" s="1" t="inlineStr">
        <is>
          <t>Успешно</t>
        </is>
      </c>
      <c r="N528" s="1" t="inlineStr">
        <is>
          <t>05.02.2024</t>
        </is>
      </c>
      <c r="O528" s="1" t="inlineStr"/>
      <c r="P528" s="1" t="inlineStr"/>
      <c r="Q528" s="1" t="inlineStr">
        <is>
          <t>Пользовательский интерфейс</t>
        </is>
      </c>
    </row>
    <row r="529">
      <c r="B529" s="1" t="inlineStr">
        <is>
          <t>37117725</t>
        </is>
      </c>
      <c r="C529" s="1" t="inlineStr">
        <is>
          <t>2978778</t>
        </is>
      </c>
      <c r="D529" t="inlineStr">
        <is>
          <t>работник 143</t>
        </is>
      </c>
      <c r="E529" s="1" t="inlineStr">
        <is>
          <t>ОБЩЕСТВО С ОГРАНИЧЕННОЙ ОТВЕТСТВЕННОСТЬЮ "АМУР ЗОЛОТО"</t>
        </is>
      </c>
      <c r="F529" s="1" t="inlineStr">
        <is>
          <t>2708001686</t>
        </is>
      </c>
      <c r="G529" s="1" t="inlineStr">
        <is>
          <t>Оператор дизельных котлов</t>
        </is>
      </c>
      <c r="H529" s="1" t="inlineStr">
        <is>
          <t>ООО "Амур Золото"</t>
        </is>
      </c>
      <c r="I529" s="1" t="inlineStr">
        <is>
          <t>2708001686</t>
        </is>
      </c>
      <c r="J529" s="1" t="inlineStr">
        <is>
          <t>ОТ № ЮГОК ЭУ 23-10</t>
        </is>
      </c>
      <c r="K529" s="1" t="inlineStr">
        <is>
          <t>Оказание первой помощи пострадавшим</t>
        </is>
      </c>
      <c r="L529" s="1" t="inlineStr">
        <is>
          <t>21.12.2023</t>
        </is>
      </c>
      <c r="M529" s="1" t="inlineStr">
        <is>
          <t>Успешно</t>
        </is>
      </c>
      <c r="N529" s="1" t="inlineStr">
        <is>
          <t>05.02.2024</t>
        </is>
      </c>
      <c r="O529" s="1" t="inlineStr"/>
      <c r="P529" s="1" t="inlineStr"/>
      <c r="Q529" s="1" t="inlineStr">
        <is>
          <t>Пользовательский интерфейс</t>
        </is>
      </c>
    </row>
    <row r="530">
      <c r="B530" s="1" t="inlineStr">
        <is>
          <t>37117726</t>
        </is>
      </c>
      <c r="C530" s="1" t="inlineStr">
        <is>
          <t>2978778</t>
        </is>
      </c>
      <c r="D530" t="inlineStr">
        <is>
          <t>работник 143</t>
        </is>
      </c>
      <c r="E530" s="1" t="inlineStr">
        <is>
          <t>ОБЩЕСТВО С ОГРАНИЧЕННОЙ ОТВЕТСТВЕННОСТЬЮ "АМУР ЗОЛОТО"</t>
        </is>
      </c>
      <c r="F530" s="1" t="inlineStr">
        <is>
          <t>2708001686</t>
        </is>
      </c>
      <c r="G530" s="1" t="inlineStr">
        <is>
          <t>Оператор дизельных котлов</t>
        </is>
      </c>
      <c r="H530" s="1" t="inlineStr">
        <is>
          <t>ООО "Амур Золото"</t>
        </is>
      </c>
      <c r="I530" s="1" t="inlineStr">
        <is>
          <t>2708001686</t>
        </is>
      </c>
      <c r="J530" s="1" t="inlineStr">
        <is>
          <t>ОТ № ЮГОК ЭУ 23-10</t>
        </is>
      </c>
      <c r="K530" s="1" t="inlineStr">
        <is>
          <t>Использование (применение) средств индивидуальной защиты</t>
        </is>
      </c>
      <c r="L530" s="1" t="inlineStr">
        <is>
          <t>21.12.2023</t>
        </is>
      </c>
      <c r="M530" s="1" t="inlineStr">
        <is>
          <t>Успешно</t>
        </is>
      </c>
      <c r="N530" s="1" t="inlineStr">
        <is>
          <t>05.02.2024</t>
        </is>
      </c>
      <c r="O530" s="1" t="inlineStr"/>
      <c r="P530" s="1" t="inlineStr"/>
      <c r="Q530" s="1" t="inlineStr">
        <is>
          <t>Пользовательский интерфейс</t>
        </is>
      </c>
    </row>
    <row r="531">
      <c r="B531" s="1" t="inlineStr">
        <is>
          <t>37117727</t>
        </is>
      </c>
      <c r="C531" s="1" t="inlineStr">
        <is>
          <t>2978778</t>
        </is>
      </c>
      <c r="D531" t="inlineStr">
        <is>
          <t>работник 143</t>
        </is>
      </c>
      <c r="E531" s="1" t="inlineStr">
        <is>
          <t>ОБЩЕСТВО С ОГРАНИЧЕННОЙ ОТВЕТСТВЕННОСТЬЮ "АМУР ЗОЛОТО"</t>
        </is>
      </c>
      <c r="F531" s="1" t="inlineStr">
        <is>
          <t>2708001686</t>
        </is>
      </c>
      <c r="G531" s="1" t="inlineStr">
        <is>
          <t>Оператор дизельных котлов</t>
        </is>
      </c>
      <c r="H531" s="1" t="inlineStr">
        <is>
          <t>ООО "Амур Золото"</t>
        </is>
      </c>
      <c r="I531" s="1" t="inlineStr">
        <is>
          <t>2708001686</t>
        </is>
      </c>
      <c r="J531" s="1" t="inlineStr">
        <is>
          <t>ОТ № ЮГОК ЭУ 23-10</t>
        </is>
      </c>
      <c r="K53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531" s="1" t="inlineStr">
        <is>
          <t>21.12.2023</t>
        </is>
      </c>
      <c r="M531" s="1" t="inlineStr">
        <is>
          <t>Успешно</t>
        </is>
      </c>
      <c r="N531" s="1" t="inlineStr">
        <is>
          <t>05.02.2024</t>
        </is>
      </c>
      <c r="O531" s="1" t="inlineStr"/>
      <c r="P531" s="1" t="inlineStr"/>
      <c r="Q531" s="1" t="inlineStr">
        <is>
          <t>Пользовательский интерфейс</t>
        </is>
      </c>
    </row>
    <row r="532">
      <c r="B532" s="1" t="inlineStr">
        <is>
          <t>37117728</t>
        </is>
      </c>
      <c r="C532" s="1" t="inlineStr">
        <is>
          <t>2978778</t>
        </is>
      </c>
      <c r="D532" t="inlineStr">
        <is>
          <t>работник 72</t>
        </is>
      </c>
      <c r="E532" s="1" t="inlineStr">
        <is>
          <t>ОБЩЕСТВО С ОГРАНИЧЕННОЙ ОТВЕТСТВЕННОСТЬЮ "АМУР ЗОЛОТО"</t>
        </is>
      </c>
      <c r="F532" s="1" t="inlineStr">
        <is>
          <t>2708001686</t>
        </is>
      </c>
      <c r="G532" s="1" t="inlineStr">
        <is>
          <t>Бункеровщик</t>
        </is>
      </c>
      <c r="H532" s="1" t="inlineStr">
        <is>
          <t>ООО "Амур Золото"</t>
        </is>
      </c>
      <c r="I532" s="1" t="inlineStr">
        <is>
          <t>2708001686</t>
        </is>
      </c>
      <c r="J532" s="1" t="inlineStr">
        <is>
          <t>ОТ № ЮГОК ЗИОФ 23-07</t>
        </is>
      </c>
      <c r="K532" s="1" t="inlineStr">
        <is>
          <t>Оказание первой помощи пострадавшим</t>
        </is>
      </c>
      <c r="L532" s="1" t="inlineStr">
        <is>
          <t>25.12.2023</t>
        </is>
      </c>
      <c r="M532" s="1" t="inlineStr">
        <is>
          <t>Успешно</t>
        </is>
      </c>
      <c r="N532" s="1" t="inlineStr">
        <is>
          <t>05.02.2024</t>
        </is>
      </c>
      <c r="O532" s="1" t="inlineStr"/>
      <c r="P532" s="1" t="inlineStr"/>
      <c r="Q532" s="1" t="inlineStr">
        <is>
          <t>Пользовательский интерфейс</t>
        </is>
      </c>
    </row>
    <row r="533">
      <c r="B533" s="1" t="inlineStr">
        <is>
          <t>37117729</t>
        </is>
      </c>
      <c r="C533" s="1" t="inlineStr">
        <is>
          <t>2978778</t>
        </is>
      </c>
      <c r="D533" t="inlineStr">
        <is>
          <t>работник 72</t>
        </is>
      </c>
      <c r="E533" s="1" t="inlineStr">
        <is>
          <t>ОБЩЕСТВО С ОГРАНИЧЕННОЙ ОТВЕТСТВЕННОСТЬЮ "АМУР ЗОЛОТО"</t>
        </is>
      </c>
      <c r="F533" s="1" t="inlineStr">
        <is>
          <t>2708001686</t>
        </is>
      </c>
      <c r="G533" s="1" t="inlineStr">
        <is>
          <t>Бункеровщик</t>
        </is>
      </c>
      <c r="H533" s="1" t="inlineStr">
        <is>
          <t>ООО "Амур Золото"</t>
        </is>
      </c>
      <c r="I533" s="1" t="inlineStr">
        <is>
          <t>2708001686</t>
        </is>
      </c>
      <c r="J533" s="1" t="inlineStr">
        <is>
          <t>ОТ № ЮГОК ЗИОФ 23-07</t>
        </is>
      </c>
      <c r="K533" s="1" t="inlineStr">
        <is>
          <t>Использование (применение) средств индивидуальной защиты</t>
        </is>
      </c>
      <c r="L533" s="1" t="inlineStr">
        <is>
          <t>25.12.2023</t>
        </is>
      </c>
      <c r="M533" s="1" t="inlineStr">
        <is>
          <t>Успешно</t>
        </is>
      </c>
      <c r="N533" s="1" t="inlineStr">
        <is>
          <t>05.02.2024</t>
        </is>
      </c>
      <c r="O533" s="1" t="inlineStr"/>
      <c r="P533" s="1" t="inlineStr"/>
      <c r="Q533" s="1" t="inlineStr">
        <is>
          <t>Пользовательский интерфейс</t>
        </is>
      </c>
    </row>
    <row r="534">
      <c r="B534" s="1" t="inlineStr">
        <is>
          <t>37117730</t>
        </is>
      </c>
      <c r="C534" s="1" t="inlineStr">
        <is>
          <t>2978778</t>
        </is>
      </c>
      <c r="D534" t="inlineStr">
        <is>
          <t>работник 72</t>
        </is>
      </c>
      <c r="E534" s="1" t="inlineStr">
        <is>
          <t>ОБЩЕСТВО С ОГРАНИЧЕННОЙ ОТВЕТСТВЕННОСТЬЮ "АМУР ЗОЛОТО"</t>
        </is>
      </c>
      <c r="F534" s="1" t="inlineStr">
        <is>
          <t>2708001686</t>
        </is>
      </c>
      <c r="G534" s="1" t="inlineStr">
        <is>
          <t>Бункеровщик</t>
        </is>
      </c>
      <c r="H534" s="1" t="inlineStr">
        <is>
          <t>ООО "Амур Золото"</t>
        </is>
      </c>
      <c r="I534" s="1" t="inlineStr">
        <is>
          <t>2708001686</t>
        </is>
      </c>
      <c r="J534" s="1" t="inlineStr">
        <is>
          <t>ОТ № ЮГОК ЗИОФ 23-07</t>
        </is>
      </c>
      <c r="K53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534" s="1" t="inlineStr">
        <is>
          <t>25.12.2023</t>
        </is>
      </c>
      <c r="M534" s="1" t="inlineStr">
        <is>
          <t>Успешно</t>
        </is>
      </c>
      <c r="N534" s="1" t="inlineStr">
        <is>
          <t>05.02.2024</t>
        </is>
      </c>
      <c r="O534" s="1" t="inlineStr"/>
      <c r="P534" s="1" t="inlineStr"/>
      <c r="Q534" s="1" t="inlineStr">
        <is>
          <t>Пользовательский интерфейс</t>
        </is>
      </c>
    </row>
    <row r="535">
      <c r="B535" s="1" t="inlineStr">
        <is>
          <t>37117731</t>
        </is>
      </c>
      <c r="C535" s="1" t="inlineStr">
        <is>
          <t>2978778</t>
        </is>
      </c>
      <c r="D535" t="inlineStr">
        <is>
          <t>работник 144</t>
        </is>
      </c>
      <c r="E535" s="1" t="inlineStr">
        <is>
          <t>ОБЩЕСТВО С ОГРАНИЧЕННОЙ ОТВЕТСТВЕННОСТЬЮ "АМУР ЗОЛОТО"</t>
        </is>
      </c>
      <c r="F535" s="1" t="inlineStr">
        <is>
          <t>2708001686</t>
        </is>
      </c>
      <c r="G535" s="1" t="inlineStr">
        <is>
          <t>Бункеровщик</t>
        </is>
      </c>
      <c r="H535" s="1" t="inlineStr">
        <is>
          <t>ООО "Амур Золото"</t>
        </is>
      </c>
      <c r="I535" s="1" t="inlineStr">
        <is>
          <t>2708001686</t>
        </is>
      </c>
      <c r="J535" s="1" t="inlineStr">
        <is>
          <t>ОТ № ЮГОК ЗИОФ 23-07</t>
        </is>
      </c>
      <c r="K535" s="1" t="inlineStr">
        <is>
          <t>Оказание первой помощи пострадавшим</t>
        </is>
      </c>
      <c r="L535" s="1" t="inlineStr">
        <is>
          <t>25.12.2023</t>
        </is>
      </c>
      <c r="M535" s="1" t="inlineStr">
        <is>
          <t>Успешно</t>
        </is>
      </c>
      <c r="N535" s="1" t="inlineStr">
        <is>
          <t>05.02.2024</t>
        </is>
      </c>
      <c r="O535" s="1" t="inlineStr"/>
      <c r="P535" s="1" t="inlineStr"/>
      <c r="Q535" s="1" t="inlineStr">
        <is>
          <t>Пользовательский интерфейс</t>
        </is>
      </c>
    </row>
    <row r="536">
      <c r="B536" s="1" t="inlineStr">
        <is>
          <t>37117732</t>
        </is>
      </c>
      <c r="C536" s="1" t="inlineStr">
        <is>
          <t>2978778</t>
        </is>
      </c>
      <c r="D536" t="inlineStr">
        <is>
          <t>работник 144</t>
        </is>
      </c>
      <c r="E536" s="1" t="inlineStr">
        <is>
          <t>ОБЩЕСТВО С ОГРАНИЧЕННОЙ ОТВЕТСТВЕННОСТЬЮ "АМУР ЗОЛОТО"</t>
        </is>
      </c>
      <c r="F536" s="1" t="inlineStr">
        <is>
          <t>2708001686</t>
        </is>
      </c>
      <c r="G536" s="1" t="inlineStr">
        <is>
          <t>Бункеровщик</t>
        </is>
      </c>
      <c r="H536" s="1" t="inlineStr">
        <is>
          <t>ООО "Амур Золото"</t>
        </is>
      </c>
      <c r="I536" s="1" t="inlineStr">
        <is>
          <t>2708001686</t>
        </is>
      </c>
      <c r="J536" s="1" t="inlineStr">
        <is>
          <t>ОТ № ЮГОК ЗИОФ 23-07</t>
        </is>
      </c>
      <c r="K536" s="1" t="inlineStr">
        <is>
          <t>Использование (применение) средств индивидуальной защиты</t>
        </is>
      </c>
      <c r="L536" s="1" t="inlineStr">
        <is>
          <t>25.12.2023</t>
        </is>
      </c>
      <c r="M536" s="1" t="inlineStr">
        <is>
          <t>Успешно</t>
        </is>
      </c>
      <c r="N536" s="1" t="inlineStr">
        <is>
          <t>05.02.2024</t>
        </is>
      </c>
      <c r="O536" s="1" t="inlineStr"/>
      <c r="P536" s="1" t="inlineStr"/>
      <c r="Q536" s="1" t="inlineStr">
        <is>
          <t>Пользовательский интерфейс</t>
        </is>
      </c>
    </row>
    <row r="537">
      <c r="B537" s="1" t="inlineStr">
        <is>
          <t>37117733</t>
        </is>
      </c>
      <c r="C537" s="1" t="inlineStr">
        <is>
          <t>2978778</t>
        </is>
      </c>
      <c r="D537" t="inlineStr">
        <is>
          <t>работник 144</t>
        </is>
      </c>
      <c r="E537" s="1" t="inlineStr">
        <is>
          <t>ОБЩЕСТВО С ОГРАНИЧЕННОЙ ОТВЕТСТВЕННОСТЬЮ "АМУР ЗОЛОТО"</t>
        </is>
      </c>
      <c r="F537" s="1" t="inlineStr">
        <is>
          <t>2708001686</t>
        </is>
      </c>
      <c r="G537" s="1" t="inlineStr">
        <is>
          <t>Бункеровщик</t>
        </is>
      </c>
      <c r="H537" s="1" t="inlineStr">
        <is>
          <t>ООО "Амур Золото"</t>
        </is>
      </c>
      <c r="I537" s="1" t="inlineStr">
        <is>
          <t>2708001686</t>
        </is>
      </c>
      <c r="J537" s="1" t="inlineStr">
        <is>
          <t>ОТ № ЮГОК ЗИОФ 23-07</t>
        </is>
      </c>
      <c r="K53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537" s="1" t="inlineStr">
        <is>
          <t>25.12.2023</t>
        </is>
      </c>
      <c r="M537" s="1" t="inlineStr">
        <is>
          <t>Успешно</t>
        </is>
      </c>
      <c r="N537" s="1" t="inlineStr">
        <is>
          <t>05.02.2024</t>
        </is>
      </c>
      <c r="O537" s="1" t="inlineStr"/>
      <c r="P537" s="1" t="inlineStr"/>
      <c r="Q537" s="1" t="inlineStr">
        <is>
          <t>Пользовательский интерфейс</t>
        </is>
      </c>
    </row>
    <row r="538">
      <c r="B538" s="1" t="inlineStr">
        <is>
          <t>37117734</t>
        </is>
      </c>
      <c r="C538" s="1" t="inlineStr">
        <is>
          <t>2978778</t>
        </is>
      </c>
      <c r="D538" t="inlineStr">
        <is>
          <t>работник 145</t>
        </is>
      </c>
      <c r="E538" s="1" t="inlineStr">
        <is>
          <t>ОБЩЕСТВО С ОГРАНИЧЕННОЙ ОТВЕТСТВЕННОСТЬЮ "АМУР ЗОЛОТО"</t>
        </is>
      </c>
      <c r="F538" s="1" t="inlineStr">
        <is>
          <t>2708001686</t>
        </is>
      </c>
      <c r="G538" s="1" t="inlineStr">
        <is>
          <t>Машинист мельницы</t>
        </is>
      </c>
      <c r="H538" s="1" t="inlineStr">
        <is>
          <t>ООО "Амур Золото"</t>
        </is>
      </c>
      <c r="I538" s="1" t="inlineStr">
        <is>
          <t>2708001686</t>
        </is>
      </c>
      <c r="J538" s="1" t="inlineStr">
        <is>
          <t>ОТ № ЮГОК ЗИОФ 23-08</t>
        </is>
      </c>
      <c r="K538" s="1" t="inlineStr">
        <is>
          <t>Оказание первой помощи пострадавшим</t>
        </is>
      </c>
      <c r="L538" s="1" t="inlineStr">
        <is>
          <t>29.12.2023</t>
        </is>
      </c>
      <c r="M538" s="1" t="inlineStr">
        <is>
          <t>Успешно</t>
        </is>
      </c>
      <c r="N538" s="1" t="inlineStr">
        <is>
          <t>05.02.2024</t>
        </is>
      </c>
      <c r="O538" s="1" t="inlineStr"/>
      <c r="P538" s="1" t="inlineStr"/>
      <c r="Q538" s="1" t="inlineStr">
        <is>
          <t>Пользовательский интерфейс</t>
        </is>
      </c>
    </row>
    <row r="539">
      <c r="B539" s="1" t="inlineStr">
        <is>
          <t>37117735</t>
        </is>
      </c>
      <c r="C539" s="1" t="inlineStr">
        <is>
          <t>2978778</t>
        </is>
      </c>
      <c r="D539" t="inlineStr">
        <is>
          <t>работник 145</t>
        </is>
      </c>
      <c r="E539" s="1" t="inlineStr">
        <is>
          <t>ОБЩЕСТВО С ОГРАНИЧЕННОЙ ОТВЕТСТВЕННОСТЬЮ "АМУР ЗОЛОТО"</t>
        </is>
      </c>
      <c r="F539" s="1" t="inlineStr">
        <is>
          <t>2708001686</t>
        </is>
      </c>
      <c r="G539" s="1" t="inlineStr">
        <is>
          <t>Машинист мельницы</t>
        </is>
      </c>
      <c r="H539" s="1" t="inlineStr">
        <is>
          <t>ООО "Амур Золото"</t>
        </is>
      </c>
      <c r="I539" s="1" t="inlineStr">
        <is>
          <t>2708001686</t>
        </is>
      </c>
      <c r="J539" s="1" t="inlineStr">
        <is>
          <t>ОТ № ЮГОК ЗИОФ 23-08</t>
        </is>
      </c>
      <c r="K539" s="1" t="inlineStr">
        <is>
          <t>Использование (применение) средств индивидуальной защиты</t>
        </is>
      </c>
      <c r="L539" s="1" t="inlineStr">
        <is>
          <t>29.12.2023</t>
        </is>
      </c>
      <c r="M539" s="1" t="inlineStr">
        <is>
          <t>Успешно</t>
        </is>
      </c>
      <c r="N539" s="1" t="inlineStr">
        <is>
          <t>05.02.2024</t>
        </is>
      </c>
      <c r="O539" s="1" t="inlineStr"/>
      <c r="P539" s="1" t="inlineStr"/>
      <c r="Q539" s="1" t="inlineStr">
        <is>
          <t>Пользовательский интерфейс</t>
        </is>
      </c>
    </row>
    <row r="540">
      <c r="B540" s="1" t="inlineStr">
        <is>
          <t>37117736</t>
        </is>
      </c>
      <c r="C540" s="1" t="inlineStr">
        <is>
          <t>2978778</t>
        </is>
      </c>
      <c r="D540" t="inlineStr">
        <is>
          <t>работник 145</t>
        </is>
      </c>
      <c r="E540" s="1" t="inlineStr">
        <is>
          <t>ОБЩЕСТВО С ОГРАНИЧЕННОЙ ОТВЕТСТВЕННОСТЬЮ "АМУР ЗОЛОТО"</t>
        </is>
      </c>
      <c r="F540" s="1" t="inlineStr">
        <is>
          <t>2708001686</t>
        </is>
      </c>
      <c r="G540" s="1" t="inlineStr">
        <is>
          <t>Машинист мельницы</t>
        </is>
      </c>
      <c r="H540" s="1" t="inlineStr">
        <is>
          <t>ООО "Амур Золото"</t>
        </is>
      </c>
      <c r="I540" s="1" t="inlineStr">
        <is>
          <t>2708001686</t>
        </is>
      </c>
      <c r="J540" s="1" t="inlineStr">
        <is>
          <t>ОТ № ЮГОК ЗИОФ 23-08</t>
        </is>
      </c>
      <c r="K54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540" s="1" t="inlineStr">
        <is>
          <t>29.12.2023</t>
        </is>
      </c>
      <c r="M540" s="1" t="inlineStr">
        <is>
          <t>Успешно</t>
        </is>
      </c>
      <c r="N540" s="1" t="inlineStr">
        <is>
          <t>05.02.2024</t>
        </is>
      </c>
      <c r="O540" s="1" t="inlineStr"/>
      <c r="P540" s="1" t="inlineStr"/>
      <c r="Q540" s="1" t="inlineStr">
        <is>
          <t>Пользовательский интерфейс</t>
        </is>
      </c>
    </row>
    <row r="541">
      <c r="B541" s="1" t="inlineStr">
        <is>
          <t>37117737</t>
        </is>
      </c>
      <c r="C541" s="1" t="inlineStr">
        <is>
          <t>2978778</t>
        </is>
      </c>
      <c r="D541" t="inlineStr">
        <is>
          <t>работник 146</t>
        </is>
      </c>
      <c r="E541" s="1" t="inlineStr">
        <is>
          <t>ОБЩЕСТВО С ОГРАНИЧЕННОЙ ОТВЕТСТВЕННОСТЬЮ "АМУР ЗОЛОТО"</t>
        </is>
      </c>
      <c r="F541" s="1" t="inlineStr">
        <is>
          <t>2708001686</t>
        </is>
      </c>
      <c r="G541" s="1" t="inlineStr">
        <is>
          <t>Проходчик (с исполнением обязанностей взрывника)</t>
        </is>
      </c>
      <c r="H541" s="1" t="inlineStr">
        <is>
          <t>ООО "Амур Золото"</t>
        </is>
      </c>
      <c r="I541" s="1" t="inlineStr">
        <is>
          <t>2708001686</t>
        </is>
      </c>
      <c r="J541" s="1" t="inlineStr">
        <is>
          <t>ОТ № ЮГОК ПГУ 24-01</t>
        </is>
      </c>
      <c r="K541" s="1" t="inlineStr">
        <is>
          <t>Оказание первой помощи пострадавшим</t>
        </is>
      </c>
      <c r="L541" s="1" t="inlineStr">
        <is>
          <t>19.01.2024</t>
        </is>
      </c>
      <c r="M541" s="1" t="inlineStr">
        <is>
          <t>Успешно</t>
        </is>
      </c>
      <c r="N541" s="1" t="inlineStr">
        <is>
          <t>05.02.2024</t>
        </is>
      </c>
      <c r="O541" s="1" t="inlineStr"/>
      <c r="P541" s="1" t="inlineStr"/>
      <c r="Q541" s="1" t="inlineStr">
        <is>
          <t>Пользовательский интерфейс</t>
        </is>
      </c>
    </row>
    <row r="542">
      <c r="B542" s="1" t="inlineStr">
        <is>
          <t>37117738</t>
        </is>
      </c>
      <c r="C542" s="1" t="inlineStr">
        <is>
          <t>2978778</t>
        </is>
      </c>
      <c r="D542" t="inlineStr">
        <is>
          <t>работник 146</t>
        </is>
      </c>
      <c r="E542" s="1" t="inlineStr">
        <is>
          <t>ОБЩЕСТВО С ОГРАНИЧЕННОЙ ОТВЕТСТВЕННОСТЬЮ "АМУР ЗОЛОТО"</t>
        </is>
      </c>
      <c r="F542" s="1" t="inlineStr">
        <is>
          <t>2708001686</t>
        </is>
      </c>
      <c r="G542" s="1" t="inlineStr">
        <is>
          <t>Проходчик (с исполнением обязанностей взрывника)</t>
        </is>
      </c>
      <c r="H542" s="1" t="inlineStr">
        <is>
          <t>ООО "Амур Золото"</t>
        </is>
      </c>
      <c r="I542" s="1" t="inlineStr">
        <is>
          <t>2708001686</t>
        </is>
      </c>
      <c r="J542" s="1" t="inlineStr">
        <is>
          <t>ОТ № ЮГОК ПГУ 24-01</t>
        </is>
      </c>
      <c r="K542" s="1" t="inlineStr">
        <is>
          <t>Использование (применение) средств индивидуальной защиты</t>
        </is>
      </c>
      <c r="L542" s="1" t="inlineStr">
        <is>
          <t>19.01.2024</t>
        </is>
      </c>
      <c r="M542" s="1" t="inlineStr">
        <is>
          <t>Успешно</t>
        </is>
      </c>
      <c r="N542" s="1" t="inlineStr">
        <is>
          <t>05.02.2024</t>
        </is>
      </c>
      <c r="O542" s="1" t="inlineStr"/>
      <c r="P542" s="1" t="inlineStr"/>
      <c r="Q542" s="1" t="inlineStr">
        <is>
          <t>Пользовательский интерфейс</t>
        </is>
      </c>
    </row>
    <row r="543">
      <c r="B543" s="1" t="inlineStr">
        <is>
          <t>37117739</t>
        </is>
      </c>
      <c r="C543" s="1" t="inlineStr">
        <is>
          <t>2978778</t>
        </is>
      </c>
      <c r="D543" t="inlineStr">
        <is>
          <t>работник 146</t>
        </is>
      </c>
      <c r="E543" s="1" t="inlineStr">
        <is>
          <t>ОБЩЕСТВО С ОГРАНИЧЕННОЙ ОТВЕТСТВЕННОСТЬЮ "АМУР ЗОЛОТО"</t>
        </is>
      </c>
      <c r="F543" s="1" t="inlineStr">
        <is>
          <t>2708001686</t>
        </is>
      </c>
      <c r="G543" s="1" t="inlineStr">
        <is>
          <t>Проходчик (с исполнением обязанностей взрывника)</t>
        </is>
      </c>
      <c r="H543" s="1" t="inlineStr">
        <is>
          <t>ООО "Амур Золото"</t>
        </is>
      </c>
      <c r="I543" s="1" t="inlineStr">
        <is>
          <t>2708001686</t>
        </is>
      </c>
      <c r="J543" s="1" t="inlineStr">
        <is>
          <t>ОТ № ЮГОК ПГУ 24-01</t>
        </is>
      </c>
      <c r="K54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543" s="1" t="inlineStr">
        <is>
          <t>19.01.2024</t>
        </is>
      </c>
      <c r="M543" s="1" t="inlineStr">
        <is>
          <t>Успешно</t>
        </is>
      </c>
      <c r="N543" s="1" t="inlineStr">
        <is>
          <t>05.02.2024</t>
        </is>
      </c>
      <c r="O543" s="1" t="inlineStr"/>
      <c r="P543" s="1" t="inlineStr"/>
      <c r="Q543" s="1" t="inlineStr">
        <is>
          <t>Пользовательский интерфейс</t>
        </is>
      </c>
    </row>
    <row r="544">
      <c r="B544" s="1" t="inlineStr">
        <is>
          <t>37117740</t>
        </is>
      </c>
      <c r="C544" s="1" t="inlineStr">
        <is>
          <t>2978778</t>
        </is>
      </c>
      <c r="D544" t="inlineStr">
        <is>
          <t>работник 147</t>
        </is>
      </c>
      <c r="E544" s="1" t="inlineStr">
        <is>
          <t>ОБЩЕСТВО С ОГРАНИЧЕННОЙ ОТВЕТСТВЕННОСТЬЮ "АМУР ЗОЛОТО"</t>
        </is>
      </c>
      <c r="F544" s="1" t="inlineStr">
        <is>
          <t>2708001686</t>
        </is>
      </c>
      <c r="G544" s="1" t="inlineStr">
        <is>
          <t>Крепильщик</t>
        </is>
      </c>
      <c r="H544" s="1" t="inlineStr">
        <is>
          <t>ООО "Амур Золото"</t>
        </is>
      </c>
      <c r="I544" s="1" t="inlineStr">
        <is>
          <t>2708001686</t>
        </is>
      </c>
      <c r="J544" s="1" t="inlineStr">
        <is>
          <t>ОТ № ЮГОК ПГУ 24-01</t>
        </is>
      </c>
      <c r="K544" s="1" t="inlineStr">
        <is>
          <t>Оказание первой помощи пострадавшим</t>
        </is>
      </c>
      <c r="L544" s="1" t="inlineStr">
        <is>
          <t>19.01.2024</t>
        </is>
      </c>
      <c r="M544" s="1" t="inlineStr">
        <is>
          <t>Успешно</t>
        </is>
      </c>
      <c r="N544" s="1" t="inlineStr">
        <is>
          <t>05.02.2024</t>
        </is>
      </c>
      <c r="O544" s="1" t="inlineStr"/>
      <c r="P544" s="1" t="inlineStr"/>
      <c r="Q544" s="1" t="inlineStr">
        <is>
          <t>Пользовательский интерфейс</t>
        </is>
      </c>
    </row>
    <row r="545">
      <c r="B545" s="1" t="inlineStr">
        <is>
          <t>37117741</t>
        </is>
      </c>
      <c r="C545" s="1" t="inlineStr">
        <is>
          <t>2978778</t>
        </is>
      </c>
      <c r="D545" t="inlineStr">
        <is>
          <t>работник 147</t>
        </is>
      </c>
      <c r="E545" s="1" t="inlineStr">
        <is>
          <t>ОБЩЕСТВО С ОГРАНИЧЕННОЙ ОТВЕТСТВЕННОСТЬЮ "АМУР ЗОЛОТО"</t>
        </is>
      </c>
      <c r="F545" s="1" t="inlineStr">
        <is>
          <t>2708001686</t>
        </is>
      </c>
      <c r="G545" s="1" t="inlineStr">
        <is>
          <t>Крепильщик</t>
        </is>
      </c>
      <c r="H545" s="1" t="inlineStr">
        <is>
          <t>ООО "Амур Золото"</t>
        </is>
      </c>
      <c r="I545" s="1" t="inlineStr">
        <is>
          <t>2708001686</t>
        </is>
      </c>
      <c r="J545" s="1" t="inlineStr">
        <is>
          <t>ОТ № ЮГОК ПГУ 24-01</t>
        </is>
      </c>
      <c r="K545" s="1" t="inlineStr">
        <is>
          <t>Использование (применение) средств индивидуальной защиты</t>
        </is>
      </c>
      <c r="L545" s="1" t="inlineStr">
        <is>
          <t>19.01.2024</t>
        </is>
      </c>
      <c r="M545" s="1" t="inlineStr">
        <is>
          <t>Успешно</t>
        </is>
      </c>
      <c r="N545" s="1" t="inlineStr">
        <is>
          <t>05.02.2024</t>
        </is>
      </c>
      <c r="O545" s="1" t="inlineStr"/>
      <c r="P545" s="1" t="inlineStr"/>
      <c r="Q545" s="1" t="inlineStr">
        <is>
          <t>Пользовательский интерфейс</t>
        </is>
      </c>
    </row>
    <row r="546">
      <c r="B546" s="1" t="inlineStr">
        <is>
          <t>37117742</t>
        </is>
      </c>
      <c r="C546" s="1" t="inlineStr">
        <is>
          <t>2978778</t>
        </is>
      </c>
      <c r="D546" t="inlineStr">
        <is>
          <t>работник 147</t>
        </is>
      </c>
      <c r="E546" s="1" t="inlineStr">
        <is>
          <t>ОБЩЕСТВО С ОГРАНИЧЕННОЙ ОТВЕТСТВЕННОСТЬЮ "АМУР ЗОЛОТО"</t>
        </is>
      </c>
      <c r="F546" s="1" t="inlineStr">
        <is>
          <t>2708001686</t>
        </is>
      </c>
      <c r="G546" s="1" t="inlineStr">
        <is>
          <t>Крепильщик</t>
        </is>
      </c>
      <c r="H546" s="1" t="inlineStr">
        <is>
          <t>ООО "Амур Золото"</t>
        </is>
      </c>
      <c r="I546" s="1" t="inlineStr">
        <is>
          <t>2708001686</t>
        </is>
      </c>
      <c r="J546" s="1" t="inlineStr">
        <is>
          <t>ОТ № ЮГОК ПГУ 24-01</t>
        </is>
      </c>
      <c r="K54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546" s="1" t="inlineStr">
        <is>
          <t>19.01.2024</t>
        </is>
      </c>
      <c r="M546" s="1" t="inlineStr">
        <is>
          <t>Успешно</t>
        </is>
      </c>
      <c r="N546" s="1" t="inlineStr">
        <is>
          <t>05.02.2024</t>
        </is>
      </c>
      <c r="O546" s="1" t="inlineStr"/>
      <c r="P546" s="1" t="inlineStr"/>
      <c r="Q546" s="1" t="inlineStr">
        <is>
          <t>Пользовательский интерфейс</t>
        </is>
      </c>
    </row>
    <row r="547">
      <c r="B547" s="1" t="inlineStr">
        <is>
          <t>37117743</t>
        </is>
      </c>
      <c r="C547" s="1" t="inlineStr">
        <is>
          <t>2978778</t>
        </is>
      </c>
      <c r="D547" t="inlineStr">
        <is>
          <t>работник 148</t>
        </is>
      </c>
      <c r="E547" s="1" t="inlineStr">
        <is>
          <t>ОБЩЕСТВО С ОГРАНИЧЕННОЙ ОТВЕТСТВЕННОСТЬЮ "АМУР ЗОЛОТО"</t>
        </is>
      </c>
      <c r="F547" s="1" t="inlineStr">
        <is>
          <t>2708001686</t>
        </is>
      </c>
      <c r="G547" s="1" t="inlineStr">
        <is>
          <t>Машинист подземно-доставочной машины</t>
        </is>
      </c>
      <c r="H547" s="1" t="inlineStr">
        <is>
          <t>ООО "Амур Золото"</t>
        </is>
      </c>
      <c r="I547" s="1" t="inlineStr">
        <is>
          <t>2708001686</t>
        </is>
      </c>
      <c r="J547" s="1" t="inlineStr">
        <is>
          <t>ОТ № ЮГОК ПГУ 24-01</t>
        </is>
      </c>
      <c r="K547" s="1" t="inlineStr">
        <is>
          <t>Оказание первой помощи пострадавшим</t>
        </is>
      </c>
      <c r="L547" s="1" t="inlineStr">
        <is>
          <t>19.01.2024</t>
        </is>
      </c>
      <c r="M547" s="1" t="inlineStr">
        <is>
          <t>Успешно</t>
        </is>
      </c>
      <c r="N547" s="1" t="inlineStr">
        <is>
          <t>05.02.2024</t>
        </is>
      </c>
      <c r="O547" s="1" t="inlineStr"/>
      <c r="P547" s="1" t="inlineStr"/>
      <c r="Q547" s="1" t="inlineStr">
        <is>
          <t>Пользовательский интерфейс</t>
        </is>
      </c>
    </row>
    <row r="548">
      <c r="B548" s="1" t="inlineStr">
        <is>
          <t>37117744</t>
        </is>
      </c>
      <c r="C548" s="1" t="inlineStr">
        <is>
          <t>2978778</t>
        </is>
      </c>
      <c r="D548" t="inlineStr">
        <is>
          <t>работник 148</t>
        </is>
      </c>
      <c r="E548" s="1" t="inlineStr">
        <is>
          <t>ОБЩЕСТВО С ОГРАНИЧЕННОЙ ОТВЕТСТВЕННОСТЬЮ "АМУР ЗОЛОТО"</t>
        </is>
      </c>
      <c r="F548" s="1" t="inlineStr">
        <is>
          <t>2708001686</t>
        </is>
      </c>
      <c r="G548" s="1" t="inlineStr">
        <is>
          <t>Машинист подземно-доставочной машины</t>
        </is>
      </c>
      <c r="H548" s="1" t="inlineStr">
        <is>
          <t>ООО "Амур Золото"</t>
        </is>
      </c>
      <c r="I548" s="1" t="inlineStr">
        <is>
          <t>2708001686</t>
        </is>
      </c>
      <c r="J548" s="1" t="inlineStr">
        <is>
          <t>ОТ № ЮГОК ПГУ 24-01</t>
        </is>
      </c>
      <c r="K548" s="1" t="inlineStr">
        <is>
          <t>Использование (применение) средств индивидуальной защиты</t>
        </is>
      </c>
      <c r="L548" s="1" t="inlineStr">
        <is>
          <t>19.01.2024</t>
        </is>
      </c>
      <c r="M548" s="1" t="inlineStr">
        <is>
          <t>Успешно</t>
        </is>
      </c>
      <c r="N548" s="1" t="inlineStr">
        <is>
          <t>05.02.2024</t>
        </is>
      </c>
      <c r="O548" s="1" t="inlineStr"/>
      <c r="P548" s="1" t="inlineStr"/>
      <c r="Q548" s="1" t="inlineStr">
        <is>
          <t>Пользовательский интерфейс</t>
        </is>
      </c>
    </row>
    <row r="549">
      <c r="B549" s="1" t="inlineStr">
        <is>
          <t>37117745</t>
        </is>
      </c>
      <c r="C549" s="1" t="inlineStr">
        <is>
          <t>2978778</t>
        </is>
      </c>
      <c r="D549" t="inlineStr">
        <is>
          <t>работник 148</t>
        </is>
      </c>
      <c r="E549" s="1" t="inlineStr">
        <is>
          <t>ОБЩЕСТВО С ОГРАНИЧЕННОЙ ОТВЕТСТВЕННОСТЬЮ "АМУР ЗОЛОТО"</t>
        </is>
      </c>
      <c r="F549" s="1" t="inlineStr">
        <is>
          <t>2708001686</t>
        </is>
      </c>
      <c r="G549" s="1" t="inlineStr">
        <is>
          <t>Машинист подземно-доставочной машины</t>
        </is>
      </c>
      <c r="H549" s="1" t="inlineStr">
        <is>
          <t>ООО "Амур Золото"</t>
        </is>
      </c>
      <c r="I549" s="1" t="inlineStr">
        <is>
          <t>2708001686</t>
        </is>
      </c>
      <c r="J549" s="1" t="inlineStr">
        <is>
          <t>ОТ № ЮГОК ПГУ 24-01</t>
        </is>
      </c>
      <c r="K54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549" s="1" t="inlineStr">
        <is>
          <t>19.01.2024</t>
        </is>
      </c>
      <c r="M549" s="1" t="inlineStr">
        <is>
          <t>Успешно</t>
        </is>
      </c>
      <c r="N549" s="1" t="inlineStr">
        <is>
          <t>05.02.2024</t>
        </is>
      </c>
      <c r="O549" s="1" t="inlineStr"/>
      <c r="P549" s="1" t="inlineStr"/>
      <c r="Q549" s="1" t="inlineStr">
        <is>
          <t>Пользовательский интерфейс</t>
        </is>
      </c>
    </row>
    <row r="550">
      <c r="B550" s="1" t="inlineStr">
        <is>
          <t>37117746</t>
        </is>
      </c>
      <c r="C550" s="1" t="inlineStr">
        <is>
          <t>2978778</t>
        </is>
      </c>
      <c r="D550" t="inlineStr">
        <is>
          <t>работник 149</t>
        </is>
      </c>
      <c r="E550" s="1" t="inlineStr">
        <is>
          <t>ОБЩЕСТВО С ОГРАНИЧЕННОЙ ОТВЕТСТВЕННОСТЬЮ "АМУР ЗОЛОТО"</t>
        </is>
      </c>
      <c r="F550" s="1" t="inlineStr">
        <is>
          <t>2708001686</t>
        </is>
      </c>
      <c r="G550" s="1" t="inlineStr">
        <is>
          <t>Машинист подземно-доставочной машины</t>
        </is>
      </c>
      <c r="H550" s="1" t="inlineStr">
        <is>
          <t>ООО "Амур Золото"</t>
        </is>
      </c>
      <c r="I550" s="1" t="inlineStr">
        <is>
          <t>2708001686</t>
        </is>
      </c>
      <c r="J550" s="1" t="inlineStr">
        <is>
          <t>ОТ № ЮГОК ПГУ 24-01</t>
        </is>
      </c>
      <c r="K550" s="1" t="inlineStr">
        <is>
          <t>Оказание первой помощи пострадавшим</t>
        </is>
      </c>
      <c r="L550" s="1" t="inlineStr">
        <is>
          <t>19.01.2024</t>
        </is>
      </c>
      <c r="M550" s="1" t="inlineStr">
        <is>
          <t>Успешно</t>
        </is>
      </c>
      <c r="N550" s="1" t="inlineStr">
        <is>
          <t>05.02.2024</t>
        </is>
      </c>
      <c r="O550" s="1" t="inlineStr"/>
      <c r="P550" s="1" t="inlineStr"/>
      <c r="Q550" s="1" t="inlineStr">
        <is>
          <t>Пользовательский интерфейс</t>
        </is>
      </c>
    </row>
    <row r="551">
      <c r="B551" s="1" t="inlineStr">
        <is>
          <t>37117747</t>
        </is>
      </c>
      <c r="C551" s="1" t="inlineStr">
        <is>
          <t>2978778</t>
        </is>
      </c>
      <c r="D551" t="inlineStr">
        <is>
          <t>работник 149</t>
        </is>
      </c>
      <c r="E551" s="1" t="inlineStr">
        <is>
          <t>ОБЩЕСТВО С ОГРАНИЧЕННОЙ ОТВЕТСТВЕННОСТЬЮ "АМУР ЗОЛОТО"</t>
        </is>
      </c>
      <c r="F551" s="1" t="inlineStr">
        <is>
          <t>2708001686</t>
        </is>
      </c>
      <c r="G551" s="1" t="inlineStr">
        <is>
          <t>Машинист подземно-доставочной машины</t>
        </is>
      </c>
      <c r="H551" s="1" t="inlineStr">
        <is>
          <t>ООО "Амур Золото"</t>
        </is>
      </c>
      <c r="I551" s="1" t="inlineStr">
        <is>
          <t>2708001686</t>
        </is>
      </c>
      <c r="J551" s="1" t="inlineStr">
        <is>
          <t>ОТ № ЮГОК ПГУ 24-01</t>
        </is>
      </c>
      <c r="K551" s="1" t="inlineStr">
        <is>
          <t>Использование (применение) средств индивидуальной защиты</t>
        </is>
      </c>
      <c r="L551" s="1" t="inlineStr">
        <is>
          <t>19.01.2024</t>
        </is>
      </c>
      <c r="M551" s="1" t="inlineStr">
        <is>
          <t>Успешно</t>
        </is>
      </c>
      <c r="N551" s="1" t="inlineStr">
        <is>
          <t>05.02.2024</t>
        </is>
      </c>
      <c r="O551" s="1" t="inlineStr"/>
      <c r="P551" s="1" t="inlineStr"/>
      <c r="Q551" s="1" t="inlineStr">
        <is>
          <t>Пользовательский интерфейс</t>
        </is>
      </c>
    </row>
    <row r="552">
      <c r="B552" s="1" t="inlineStr">
        <is>
          <t>37117748</t>
        </is>
      </c>
      <c r="C552" s="1" t="inlineStr">
        <is>
          <t>2978778</t>
        </is>
      </c>
      <c r="D552" t="inlineStr">
        <is>
          <t>работник 149</t>
        </is>
      </c>
      <c r="E552" s="1" t="inlineStr">
        <is>
          <t>ОБЩЕСТВО С ОГРАНИЧЕННОЙ ОТВЕТСТВЕННОСТЬЮ "АМУР ЗОЛОТО"</t>
        </is>
      </c>
      <c r="F552" s="1" t="inlineStr">
        <is>
          <t>2708001686</t>
        </is>
      </c>
      <c r="G552" s="1" t="inlineStr">
        <is>
          <t>Машинист подземно-доставочной машины</t>
        </is>
      </c>
      <c r="H552" s="1" t="inlineStr">
        <is>
          <t>ООО "Амур Золото"</t>
        </is>
      </c>
      <c r="I552" s="1" t="inlineStr">
        <is>
          <t>2708001686</t>
        </is>
      </c>
      <c r="J552" s="1" t="inlineStr">
        <is>
          <t>ОТ № ЮГОК ПГУ 24-01</t>
        </is>
      </c>
      <c r="K55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552" s="1" t="inlineStr">
        <is>
          <t>19.01.2024</t>
        </is>
      </c>
      <c r="M552" s="1" t="inlineStr">
        <is>
          <t>Успешно</t>
        </is>
      </c>
      <c r="N552" s="1" t="inlineStr">
        <is>
          <t>05.02.2024</t>
        </is>
      </c>
      <c r="O552" s="1" t="inlineStr"/>
      <c r="P552" s="1" t="inlineStr"/>
      <c r="Q552" s="1" t="inlineStr">
        <is>
          <t>Пользовательский интерфейс</t>
        </is>
      </c>
    </row>
    <row r="553">
      <c r="B553" s="1" t="inlineStr">
        <is>
          <t>37117749</t>
        </is>
      </c>
      <c r="C553" s="1" t="inlineStr">
        <is>
          <t>2978778</t>
        </is>
      </c>
      <c r="D553" t="inlineStr">
        <is>
          <t>работник 150</t>
        </is>
      </c>
      <c r="E553" s="1" t="inlineStr">
        <is>
          <t>ОБЩЕСТВО С ОГРАНИЧЕННОЙ ОТВЕТСТВЕННОСТЬЮ "АМУР ЗОЛОТО"</t>
        </is>
      </c>
      <c r="F553" s="1" t="inlineStr">
        <is>
          <t>2708001686</t>
        </is>
      </c>
      <c r="G553" s="1" t="inlineStr">
        <is>
          <t>Помощник машиниста самоходной буровой установки</t>
        </is>
      </c>
      <c r="H553" s="1" t="inlineStr">
        <is>
          <t>ООО "Амур Золото"</t>
        </is>
      </c>
      <c r="I553" s="1" t="inlineStr">
        <is>
          <t>2708001686</t>
        </is>
      </c>
      <c r="J553" s="1" t="inlineStr">
        <is>
          <t>ОТ № ЮГОК ПГУ 24-01</t>
        </is>
      </c>
      <c r="K553" s="1" t="inlineStr">
        <is>
          <t>Оказание первой помощи пострадавшим</t>
        </is>
      </c>
      <c r="L553" s="1" t="inlineStr">
        <is>
          <t>19.01.2024</t>
        </is>
      </c>
      <c r="M553" s="1" t="inlineStr">
        <is>
          <t>Успешно</t>
        </is>
      </c>
      <c r="N553" s="1" t="inlineStr">
        <is>
          <t>05.02.2024</t>
        </is>
      </c>
      <c r="O553" s="1" t="inlineStr"/>
      <c r="P553" s="1" t="inlineStr"/>
      <c r="Q553" s="1" t="inlineStr">
        <is>
          <t>Пользовательский интерфейс</t>
        </is>
      </c>
    </row>
    <row r="554">
      <c r="B554" s="1" t="inlineStr">
        <is>
          <t>37117750</t>
        </is>
      </c>
      <c r="C554" s="1" t="inlineStr">
        <is>
          <t>2978778</t>
        </is>
      </c>
      <c r="D554" t="inlineStr">
        <is>
          <t>работник 150</t>
        </is>
      </c>
      <c r="E554" s="1" t="inlineStr">
        <is>
          <t>ОБЩЕСТВО С ОГРАНИЧЕННОЙ ОТВЕТСТВЕННОСТЬЮ "АМУР ЗОЛОТО"</t>
        </is>
      </c>
      <c r="F554" s="1" t="inlineStr">
        <is>
          <t>2708001686</t>
        </is>
      </c>
      <c r="G554" s="1" t="inlineStr">
        <is>
          <t>Помощник машиниста самоходной буровой установки</t>
        </is>
      </c>
      <c r="H554" s="1" t="inlineStr">
        <is>
          <t>ООО "Амур Золото"</t>
        </is>
      </c>
      <c r="I554" s="1" t="inlineStr">
        <is>
          <t>2708001686</t>
        </is>
      </c>
      <c r="J554" s="1" t="inlineStr">
        <is>
          <t>ОТ № ЮГОК ПГУ 24-01</t>
        </is>
      </c>
      <c r="K554" s="1" t="inlineStr">
        <is>
          <t>Использование (применение) средств индивидуальной защиты</t>
        </is>
      </c>
      <c r="L554" s="1" t="inlineStr">
        <is>
          <t>19.01.2024</t>
        </is>
      </c>
      <c r="M554" s="1" t="inlineStr">
        <is>
          <t>Успешно</t>
        </is>
      </c>
      <c r="N554" s="1" t="inlineStr">
        <is>
          <t>05.02.2024</t>
        </is>
      </c>
      <c r="O554" s="1" t="inlineStr"/>
      <c r="P554" s="1" t="inlineStr"/>
      <c r="Q554" s="1" t="inlineStr">
        <is>
          <t>Пользовательский интерфейс</t>
        </is>
      </c>
    </row>
    <row r="555">
      <c r="B555" s="1" t="inlineStr">
        <is>
          <t>37117751</t>
        </is>
      </c>
      <c r="C555" s="1" t="inlineStr">
        <is>
          <t>2978778</t>
        </is>
      </c>
      <c r="D555" t="inlineStr">
        <is>
          <t>работник 150</t>
        </is>
      </c>
      <c r="E555" s="1" t="inlineStr">
        <is>
          <t>ОБЩЕСТВО С ОГРАНИЧЕННОЙ ОТВЕТСТВЕННОСТЬЮ "АМУР ЗОЛОТО"</t>
        </is>
      </c>
      <c r="F555" s="1" t="inlineStr">
        <is>
          <t>2708001686</t>
        </is>
      </c>
      <c r="G555" s="1" t="inlineStr">
        <is>
          <t>Помощник машиниста самоходной буровой установки</t>
        </is>
      </c>
      <c r="H555" s="1" t="inlineStr">
        <is>
          <t>ООО "Амур Золото"</t>
        </is>
      </c>
      <c r="I555" s="1" t="inlineStr">
        <is>
          <t>2708001686</t>
        </is>
      </c>
      <c r="J555" s="1" t="inlineStr">
        <is>
          <t>ОТ № ЮГОК ПГУ 24-01</t>
        </is>
      </c>
      <c r="K55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555" s="1" t="inlineStr">
        <is>
          <t>19.01.2024</t>
        </is>
      </c>
      <c r="M555" s="1" t="inlineStr">
        <is>
          <t>Успешно</t>
        </is>
      </c>
      <c r="N555" s="1" t="inlineStr">
        <is>
          <t>05.02.2024</t>
        </is>
      </c>
      <c r="O555" s="1" t="inlineStr"/>
      <c r="P555" s="1" t="inlineStr"/>
      <c r="Q555" s="1" t="inlineStr">
        <is>
          <t>Пользовательский интерфейс</t>
        </is>
      </c>
    </row>
    <row r="556">
      <c r="B556" s="1" t="inlineStr">
        <is>
          <t>37117752</t>
        </is>
      </c>
      <c r="C556" s="1" t="inlineStr">
        <is>
          <t>2978778</t>
        </is>
      </c>
      <c r="D556" t="inlineStr">
        <is>
          <t>работник 151</t>
        </is>
      </c>
      <c r="E556" s="1" t="inlineStr">
        <is>
          <t>ОБЩЕСТВО С ОГРАНИЧЕННОЙ ОТВЕТСТВЕННОСТЬЮ "АМУР ЗОЛОТО"</t>
        </is>
      </c>
      <c r="F556" s="1" t="inlineStr">
        <is>
          <t>2708001686</t>
        </is>
      </c>
      <c r="G556" s="1" t="inlineStr">
        <is>
          <t>Машинист подземно-доставочной машины</t>
        </is>
      </c>
      <c r="H556" s="1" t="inlineStr">
        <is>
          <t>ООО "Амур Золото"</t>
        </is>
      </c>
      <c r="I556" s="1" t="inlineStr">
        <is>
          <t>2708001686</t>
        </is>
      </c>
      <c r="J556" s="1" t="inlineStr">
        <is>
          <t>ОТ № ЮГОК ПГУ 24-01</t>
        </is>
      </c>
      <c r="K556" s="1" t="inlineStr">
        <is>
          <t>Оказание первой помощи пострадавшим</t>
        </is>
      </c>
      <c r="L556" s="1" t="inlineStr">
        <is>
          <t>19.01.2024</t>
        </is>
      </c>
      <c r="M556" s="1" t="inlineStr">
        <is>
          <t>Успешно</t>
        </is>
      </c>
      <c r="N556" s="1" t="inlineStr">
        <is>
          <t>05.02.2024</t>
        </is>
      </c>
      <c r="O556" s="1" t="inlineStr"/>
      <c r="P556" s="1" t="inlineStr"/>
      <c r="Q556" s="1" t="inlineStr">
        <is>
          <t>Пользовательский интерфейс</t>
        </is>
      </c>
    </row>
    <row r="557">
      <c r="B557" s="1" t="inlineStr">
        <is>
          <t>37117753</t>
        </is>
      </c>
      <c r="C557" s="1" t="inlineStr">
        <is>
          <t>2978778</t>
        </is>
      </c>
      <c r="D557" t="inlineStr">
        <is>
          <t>работник 151</t>
        </is>
      </c>
      <c r="E557" s="1" t="inlineStr">
        <is>
          <t>ОБЩЕСТВО С ОГРАНИЧЕННОЙ ОТВЕТСТВЕННОСТЬЮ "АМУР ЗОЛОТО"</t>
        </is>
      </c>
      <c r="F557" s="1" t="inlineStr">
        <is>
          <t>2708001686</t>
        </is>
      </c>
      <c r="G557" s="1" t="inlineStr">
        <is>
          <t>Машинист подземно-доставочной машины</t>
        </is>
      </c>
      <c r="H557" s="1" t="inlineStr">
        <is>
          <t>ООО "Амур Золото"</t>
        </is>
      </c>
      <c r="I557" s="1" t="inlineStr">
        <is>
          <t>2708001686</t>
        </is>
      </c>
      <c r="J557" s="1" t="inlineStr">
        <is>
          <t>ОТ № ЮГОК ПГУ 24-01</t>
        </is>
      </c>
      <c r="K557" s="1" t="inlineStr">
        <is>
          <t>Использование (применение) средств индивидуальной защиты</t>
        </is>
      </c>
      <c r="L557" s="1" t="inlineStr">
        <is>
          <t>19.01.2024</t>
        </is>
      </c>
      <c r="M557" s="1" t="inlineStr">
        <is>
          <t>Успешно</t>
        </is>
      </c>
      <c r="N557" s="1" t="inlineStr">
        <is>
          <t>05.02.2024</t>
        </is>
      </c>
      <c r="O557" s="1" t="inlineStr"/>
      <c r="P557" s="1" t="inlineStr"/>
      <c r="Q557" s="1" t="inlineStr">
        <is>
          <t>Пользовательский интерфейс</t>
        </is>
      </c>
    </row>
    <row r="558">
      <c r="B558" s="1" t="inlineStr">
        <is>
          <t>37117754</t>
        </is>
      </c>
      <c r="C558" s="1" t="inlineStr">
        <is>
          <t>2978778</t>
        </is>
      </c>
      <c r="D558" t="inlineStr">
        <is>
          <t>работник 151</t>
        </is>
      </c>
      <c r="E558" s="1" t="inlineStr">
        <is>
          <t>ОБЩЕСТВО С ОГРАНИЧЕННОЙ ОТВЕТСТВЕННОСТЬЮ "АМУР ЗОЛОТО"</t>
        </is>
      </c>
      <c r="F558" s="1" t="inlineStr">
        <is>
          <t>2708001686</t>
        </is>
      </c>
      <c r="G558" s="1" t="inlineStr">
        <is>
          <t>Машинист подземно-доставочной машины</t>
        </is>
      </c>
      <c r="H558" s="1" t="inlineStr">
        <is>
          <t>ООО "Амур Золото"</t>
        </is>
      </c>
      <c r="I558" s="1" t="inlineStr">
        <is>
          <t>2708001686</t>
        </is>
      </c>
      <c r="J558" s="1" t="inlineStr">
        <is>
          <t>ОТ № ЮГОК ПГУ 24-01</t>
        </is>
      </c>
      <c r="K55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558" s="1" t="inlineStr">
        <is>
          <t>19.01.2024</t>
        </is>
      </c>
      <c r="M558" s="1" t="inlineStr">
        <is>
          <t>Успешно</t>
        </is>
      </c>
      <c r="N558" s="1" t="inlineStr">
        <is>
          <t>05.02.2024</t>
        </is>
      </c>
      <c r="O558" s="1" t="inlineStr"/>
      <c r="P558" s="1" t="inlineStr"/>
      <c r="Q558" s="1" t="inlineStr">
        <is>
          <t>Пользовательский интерфейс</t>
        </is>
      </c>
    </row>
    <row r="559">
      <c r="B559" s="1" t="inlineStr">
        <is>
          <t>37117755</t>
        </is>
      </c>
      <c r="C559" s="1" t="inlineStr">
        <is>
          <t>2978778</t>
        </is>
      </c>
      <c r="D559" t="inlineStr">
        <is>
          <t>работник 152</t>
        </is>
      </c>
      <c r="E559" s="1" t="inlineStr">
        <is>
          <t>ОБЩЕСТВО С ОГРАНИЧЕННОЙ ОТВЕТСТВЕННОСТЬЮ "АМУР ЗОЛОТО"</t>
        </is>
      </c>
      <c r="F559" s="1" t="inlineStr">
        <is>
          <t>2708001686</t>
        </is>
      </c>
      <c r="G559" s="1" t="inlineStr">
        <is>
          <t>Машинист подземно-доставочной машины</t>
        </is>
      </c>
      <c r="H559" s="1" t="inlineStr">
        <is>
          <t>ООО "Амур Золото"</t>
        </is>
      </c>
      <c r="I559" s="1" t="inlineStr">
        <is>
          <t>2708001686</t>
        </is>
      </c>
      <c r="J559" s="1" t="inlineStr">
        <is>
          <t>ОТ № ЮГОК ПГУ 24-01</t>
        </is>
      </c>
      <c r="K559" s="1" t="inlineStr">
        <is>
          <t>Оказание первой помощи пострадавшим</t>
        </is>
      </c>
      <c r="L559" s="1" t="inlineStr">
        <is>
          <t>19.01.2024</t>
        </is>
      </c>
      <c r="M559" s="1" t="inlineStr">
        <is>
          <t>Успешно</t>
        </is>
      </c>
      <c r="N559" s="1" t="inlineStr">
        <is>
          <t>05.02.2024</t>
        </is>
      </c>
      <c r="O559" s="1" t="inlineStr"/>
      <c r="P559" s="1" t="inlineStr"/>
      <c r="Q559" s="1" t="inlineStr">
        <is>
          <t>Пользовательский интерфейс</t>
        </is>
      </c>
    </row>
    <row r="560">
      <c r="B560" s="1" t="inlineStr">
        <is>
          <t>37117756</t>
        </is>
      </c>
      <c r="C560" s="1" t="inlineStr">
        <is>
          <t>2978778</t>
        </is>
      </c>
      <c r="D560" t="inlineStr">
        <is>
          <t>работник 152</t>
        </is>
      </c>
      <c r="E560" s="1" t="inlineStr">
        <is>
          <t>ОБЩЕСТВО С ОГРАНИЧЕННОЙ ОТВЕТСТВЕННОСТЬЮ "АМУР ЗОЛОТО"</t>
        </is>
      </c>
      <c r="F560" s="1" t="inlineStr">
        <is>
          <t>2708001686</t>
        </is>
      </c>
      <c r="G560" s="1" t="inlineStr">
        <is>
          <t>Машинист подземно-доставочной машины</t>
        </is>
      </c>
      <c r="H560" s="1" t="inlineStr">
        <is>
          <t>ООО "Амур Золото"</t>
        </is>
      </c>
      <c r="I560" s="1" t="inlineStr">
        <is>
          <t>2708001686</t>
        </is>
      </c>
      <c r="J560" s="1" t="inlineStr">
        <is>
          <t>ОТ № ЮГОК ПГУ 24-01</t>
        </is>
      </c>
      <c r="K560" s="1" t="inlineStr">
        <is>
          <t>Использование (применение) средств индивидуальной защиты</t>
        </is>
      </c>
      <c r="L560" s="1" t="inlineStr">
        <is>
          <t>19.01.2024</t>
        </is>
      </c>
      <c r="M560" s="1" t="inlineStr">
        <is>
          <t>Успешно</t>
        </is>
      </c>
      <c r="N560" s="1" t="inlineStr">
        <is>
          <t>05.02.2024</t>
        </is>
      </c>
      <c r="O560" s="1" t="inlineStr"/>
      <c r="P560" s="1" t="inlineStr"/>
      <c r="Q560" s="1" t="inlineStr">
        <is>
          <t>Пользовательский интерфейс</t>
        </is>
      </c>
    </row>
    <row r="561">
      <c r="B561" s="1" t="inlineStr">
        <is>
          <t>37117757</t>
        </is>
      </c>
      <c r="C561" s="1" t="inlineStr">
        <is>
          <t>2978778</t>
        </is>
      </c>
      <c r="D561" t="inlineStr">
        <is>
          <t>работник 152</t>
        </is>
      </c>
      <c r="E561" s="1" t="inlineStr">
        <is>
          <t>ОБЩЕСТВО С ОГРАНИЧЕННОЙ ОТВЕТСТВЕННОСТЬЮ "АМУР ЗОЛОТО"</t>
        </is>
      </c>
      <c r="F561" s="1" t="inlineStr">
        <is>
          <t>2708001686</t>
        </is>
      </c>
      <c r="G561" s="1" t="inlineStr">
        <is>
          <t>Машинист подземно-доставочной машины</t>
        </is>
      </c>
      <c r="H561" s="1" t="inlineStr">
        <is>
          <t>ООО "Амур Золото"</t>
        </is>
      </c>
      <c r="I561" s="1" t="inlineStr">
        <is>
          <t>2708001686</t>
        </is>
      </c>
      <c r="J561" s="1" t="inlineStr">
        <is>
          <t>ОТ № ЮГОК ПГУ 24-01</t>
        </is>
      </c>
      <c r="K56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561" s="1" t="inlineStr">
        <is>
          <t>19.01.2024</t>
        </is>
      </c>
      <c r="M561" s="1" t="inlineStr">
        <is>
          <t>Успешно</t>
        </is>
      </c>
      <c r="N561" s="1" t="inlineStr">
        <is>
          <t>05.02.2024</t>
        </is>
      </c>
      <c r="O561" s="1" t="inlineStr"/>
      <c r="P561" s="1" t="inlineStr"/>
      <c r="Q561" s="1" t="inlineStr">
        <is>
          <t>Пользовательский интерфейс</t>
        </is>
      </c>
    </row>
    <row r="562">
      <c r="B562" s="1" t="inlineStr">
        <is>
          <t>37117758</t>
        </is>
      </c>
      <c r="C562" s="1" t="inlineStr">
        <is>
          <t>2978778</t>
        </is>
      </c>
      <c r="D562" t="inlineStr">
        <is>
          <t>работник 153</t>
        </is>
      </c>
      <c r="E562" s="1" t="inlineStr">
        <is>
          <t>ОБЩЕСТВО С ОГРАНИЧЕННОЙ ОТВЕТСТВЕННОСТЬЮ "АМУР ЗОЛОТО"</t>
        </is>
      </c>
      <c r="F562" s="1" t="inlineStr">
        <is>
          <t>2708001686</t>
        </is>
      </c>
      <c r="G562" s="1" t="inlineStr">
        <is>
          <t>Машинист подземно-доставочной машины</t>
        </is>
      </c>
      <c r="H562" s="1" t="inlineStr">
        <is>
          <t>ООО "Амур Золото"</t>
        </is>
      </c>
      <c r="I562" s="1" t="inlineStr">
        <is>
          <t>2708001686</t>
        </is>
      </c>
      <c r="J562" s="1" t="inlineStr">
        <is>
          <t>ОТ № ЮГОК ПГУ 24-01</t>
        </is>
      </c>
      <c r="K562" s="1" t="inlineStr">
        <is>
          <t>Оказание первой помощи пострадавшим</t>
        </is>
      </c>
      <c r="L562" s="1" t="inlineStr">
        <is>
          <t>19.01.2024</t>
        </is>
      </c>
      <c r="M562" s="1" t="inlineStr">
        <is>
          <t>Успешно</t>
        </is>
      </c>
      <c r="N562" s="1" t="inlineStr">
        <is>
          <t>05.02.2024</t>
        </is>
      </c>
      <c r="O562" s="1" t="inlineStr"/>
      <c r="P562" s="1" t="inlineStr"/>
      <c r="Q562" s="1" t="inlineStr">
        <is>
          <t>Пользовательский интерфейс</t>
        </is>
      </c>
    </row>
    <row r="563">
      <c r="B563" s="1" t="inlineStr">
        <is>
          <t>37117759</t>
        </is>
      </c>
      <c r="C563" s="1" t="inlineStr">
        <is>
          <t>2978778</t>
        </is>
      </c>
      <c r="D563" t="inlineStr">
        <is>
          <t>работник 153</t>
        </is>
      </c>
      <c r="E563" s="1" t="inlineStr">
        <is>
          <t>ОБЩЕСТВО С ОГРАНИЧЕННОЙ ОТВЕТСТВЕННОСТЬЮ "АМУР ЗОЛОТО"</t>
        </is>
      </c>
      <c r="F563" s="1" t="inlineStr">
        <is>
          <t>2708001686</t>
        </is>
      </c>
      <c r="G563" s="1" t="inlineStr">
        <is>
          <t>Машинист подземно-доставочной машины</t>
        </is>
      </c>
      <c r="H563" s="1" t="inlineStr">
        <is>
          <t>ООО "Амур Золото"</t>
        </is>
      </c>
      <c r="I563" s="1" t="inlineStr">
        <is>
          <t>2708001686</t>
        </is>
      </c>
      <c r="J563" s="1" t="inlineStr">
        <is>
          <t>ОТ № ЮГОК ПГУ 24-01</t>
        </is>
      </c>
      <c r="K563" s="1" t="inlineStr">
        <is>
          <t>Использование (применение) средств индивидуальной защиты</t>
        </is>
      </c>
      <c r="L563" s="1" t="inlineStr">
        <is>
          <t>19.01.2024</t>
        </is>
      </c>
      <c r="M563" s="1" t="inlineStr">
        <is>
          <t>Успешно</t>
        </is>
      </c>
      <c r="N563" s="1" t="inlineStr">
        <is>
          <t>05.02.2024</t>
        </is>
      </c>
      <c r="O563" s="1" t="inlineStr"/>
      <c r="P563" s="1" t="inlineStr"/>
      <c r="Q563" s="1" t="inlineStr">
        <is>
          <t>Пользовательский интерфейс</t>
        </is>
      </c>
    </row>
    <row r="564">
      <c r="B564" s="1" t="inlineStr">
        <is>
          <t>37117760</t>
        </is>
      </c>
      <c r="C564" s="1" t="inlineStr">
        <is>
          <t>2978778</t>
        </is>
      </c>
      <c r="D564" t="inlineStr">
        <is>
          <t>работник 153</t>
        </is>
      </c>
      <c r="E564" s="1" t="inlineStr">
        <is>
          <t>ОБЩЕСТВО С ОГРАНИЧЕННОЙ ОТВЕТСТВЕННОСТЬЮ "АМУР ЗОЛОТО"</t>
        </is>
      </c>
      <c r="F564" s="1" t="inlineStr">
        <is>
          <t>2708001686</t>
        </is>
      </c>
      <c r="G564" s="1" t="inlineStr">
        <is>
          <t>Машинист подземно-доставочной машины</t>
        </is>
      </c>
      <c r="H564" s="1" t="inlineStr">
        <is>
          <t>ООО "Амур Золото"</t>
        </is>
      </c>
      <c r="I564" s="1" t="inlineStr">
        <is>
          <t>2708001686</t>
        </is>
      </c>
      <c r="J564" s="1" t="inlineStr">
        <is>
          <t>ОТ № ЮГОК ПГУ 24-01</t>
        </is>
      </c>
      <c r="K56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564" s="1" t="inlineStr">
        <is>
          <t>19.01.2024</t>
        </is>
      </c>
      <c r="M564" s="1" t="inlineStr">
        <is>
          <t>Успешно</t>
        </is>
      </c>
      <c r="N564" s="1" t="inlineStr">
        <is>
          <t>05.02.2024</t>
        </is>
      </c>
      <c r="O564" s="1" t="inlineStr"/>
      <c r="P564" s="1" t="inlineStr"/>
      <c r="Q564" s="1" t="inlineStr">
        <is>
          <t>Пользовательский интерфейс</t>
        </is>
      </c>
    </row>
    <row r="565">
      <c r="B565" s="1" t="inlineStr">
        <is>
          <t>37117761</t>
        </is>
      </c>
      <c r="C565" s="1" t="inlineStr">
        <is>
          <t>2978778</t>
        </is>
      </c>
      <c r="D565" t="inlineStr">
        <is>
          <t>работник 154</t>
        </is>
      </c>
      <c r="E565" s="1" t="inlineStr">
        <is>
          <t>ОБЩЕСТВО С ОГРАНИЧЕННОЙ ОТВЕТСТВЕННОСТЬЮ "АМУР ЗОЛОТО"</t>
        </is>
      </c>
      <c r="F565" s="1" t="inlineStr">
        <is>
          <t>2708001686</t>
        </is>
      </c>
      <c r="G565" s="1" t="inlineStr">
        <is>
          <t>Машинист подземно-доставочной машины</t>
        </is>
      </c>
      <c r="H565" s="1" t="inlineStr">
        <is>
          <t>ООО "Амур Золото"</t>
        </is>
      </c>
      <c r="I565" s="1" t="inlineStr">
        <is>
          <t>2708001686</t>
        </is>
      </c>
      <c r="J565" s="1" t="inlineStr">
        <is>
          <t>ОТ № ЮГОК ПГУ 24-01</t>
        </is>
      </c>
      <c r="K565" s="1" t="inlineStr">
        <is>
          <t>Оказание первой помощи пострадавшим</t>
        </is>
      </c>
      <c r="L565" s="1" t="inlineStr">
        <is>
          <t>19.01.2024</t>
        </is>
      </c>
      <c r="M565" s="1" t="inlineStr">
        <is>
          <t>Успешно</t>
        </is>
      </c>
      <c r="N565" s="1" t="inlineStr">
        <is>
          <t>05.02.2024</t>
        </is>
      </c>
      <c r="O565" s="1" t="inlineStr"/>
      <c r="P565" s="1" t="inlineStr"/>
      <c r="Q565" s="1" t="inlineStr">
        <is>
          <t>Пользовательский интерфейс</t>
        </is>
      </c>
    </row>
    <row r="566">
      <c r="B566" s="1" t="inlineStr">
        <is>
          <t>37117762</t>
        </is>
      </c>
      <c r="C566" s="1" t="inlineStr">
        <is>
          <t>2978778</t>
        </is>
      </c>
      <c r="D566" t="inlineStr">
        <is>
          <t>работник 154</t>
        </is>
      </c>
      <c r="E566" s="1" t="inlineStr">
        <is>
          <t>ОБЩЕСТВО С ОГРАНИЧЕННОЙ ОТВЕТСТВЕННОСТЬЮ "АМУР ЗОЛОТО"</t>
        </is>
      </c>
      <c r="F566" s="1" t="inlineStr">
        <is>
          <t>2708001686</t>
        </is>
      </c>
      <c r="G566" s="1" t="inlineStr">
        <is>
          <t>Машинист подземно-доставочной машины</t>
        </is>
      </c>
      <c r="H566" s="1" t="inlineStr">
        <is>
          <t>ООО "Амур Золото"</t>
        </is>
      </c>
      <c r="I566" s="1" t="inlineStr">
        <is>
          <t>2708001686</t>
        </is>
      </c>
      <c r="J566" s="1" t="inlineStr">
        <is>
          <t>ОТ № ЮГОК ПГУ 24-01</t>
        </is>
      </c>
      <c r="K566" s="1" t="inlineStr">
        <is>
          <t>Использование (применение) средств индивидуальной защиты</t>
        </is>
      </c>
      <c r="L566" s="1" t="inlineStr">
        <is>
          <t>19.01.2024</t>
        </is>
      </c>
      <c r="M566" s="1" t="inlineStr">
        <is>
          <t>Успешно</t>
        </is>
      </c>
      <c r="N566" s="1" t="inlineStr">
        <is>
          <t>05.02.2024</t>
        </is>
      </c>
      <c r="O566" s="1" t="inlineStr"/>
      <c r="P566" s="1" t="inlineStr"/>
      <c r="Q566" s="1" t="inlineStr">
        <is>
          <t>Пользовательский интерфейс</t>
        </is>
      </c>
    </row>
    <row r="567">
      <c r="B567" s="1" t="inlineStr">
        <is>
          <t>37117763</t>
        </is>
      </c>
      <c r="C567" s="1" t="inlineStr">
        <is>
          <t>2978778</t>
        </is>
      </c>
      <c r="D567" t="inlineStr">
        <is>
          <t>работник 154</t>
        </is>
      </c>
      <c r="E567" s="1" t="inlineStr">
        <is>
          <t>ОБЩЕСТВО С ОГРАНИЧЕННОЙ ОТВЕТСТВЕННОСТЬЮ "АМУР ЗОЛОТО"</t>
        </is>
      </c>
      <c r="F567" s="1" t="inlineStr">
        <is>
          <t>2708001686</t>
        </is>
      </c>
      <c r="G567" s="1" t="inlineStr">
        <is>
          <t>Машинист подземно-доставочной машины</t>
        </is>
      </c>
      <c r="H567" s="1" t="inlineStr">
        <is>
          <t>ООО "Амур Золото"</t>
        </is>
      </c>
      <c r="I567" s="1" t="inlineStr">
        <is>
          <t>2708001686</t>
        </is>
      </c>
      <c r="J567" s="1" t="inlineStr">
        <is>
          <t>ОТ № ЮГОК ПГУ 24-01</t>
        </is>
      </c>
      <c r="K56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567" s="1" t="inlineStr">
        <is>
          <t>19.01.2024</t>
        </is>
      </c>
      <c r="M567" s="1" t="inlineStr">
        <is>
          <t>Успешно</t>
        </is>
      </c>
      <c r="N567" s="1" t="inlineStr">
        <is>
          <t>05.02.2024</t>
        </is>
      </c>
      <c r="O567" s="1" t="inlineStr"/>
      <c r="P567" s="1" t="inlineStr"/>
      <c r="Q567" s="1" t="inlineStr">
        <is>
          <t>Пользовательский интерфейс</t>
        </is>
      </c>
    </row>
    <row r="568">
      <c r="B568" s="1" t="inlineStr">
        <is>
          <t>37117764</t>
        </is>
      </c>
      <c r="C568" s="1" t="inlineStr">
        <is>
          <t>2978778</t>
        </is>
      </c>
      <c r="D568" t="inlineStr">
        <is>
          <t>работник 155</t>
        </is>
      </c>
      <c r="E568" s="1" t="inlineStr">
        <is>
          <t>ОБЩЕСТВО С ОГРАНИЧЕННОЙ ОТВЕТСТВЕННОСТЬЮ "АМУР ЗОЛОТО"</t>
        </is>
      </c>
      <c r="F568" s="1" t="inlineStr">
        <is>
          <t>2708001686</t>
        </is>
      </c>
      <c r="G568" s="1" t="inlineStr">
        <is>
          <t>Машинист самоходной буровой установки</t>
        </is>
      </c>
      <c r="H568" s="1" t="inlineStr">
        <is>
          <t>ООО "Амур Золото"</t>
        </is>
      </c>
      <c r="I568" s="1" t="inlineStr">
        <is>
          <t>2708001686</t>
        </is>
      </c>
      <c r="J568" s="1" t="inlineStr">
        <is>
          <t>ОТ № ЮГОК ПГУ 24-01</t>
        </is>
      </c>
      <c r="K568" s="1" t="inlineStr">
        <is>
          <t>Оказание первой помощи пострадавшим</t>
        </is>
      </c>
      <c r="L568" s="1" t="inlineStr">
        <is>
          <t>19.01.2024</t>
        </is>
      </c>
      <c r="M568" s="1" t="inlineStr">
        <is>
          <t>Успешно</t>
        </is>
      </c>
      <c r="N568" s="1" t="inlineStr">
        <is>
          <t>05.02.2024</t>
        </is>
      </c>
      <c r="O568" s="1" t="inlineStr"/>
      <c r="P568" s="1" t="inlineStr"/>
      <c r="Q568" s="1" t="inlineStr">
        <is>
          <t>Пользовательский интерфейс</t>
        </is>
      </c>
    </row>
    <row r="569">
      <c r="B569" s="1" t="inlineStr">
        <is>
          <t>37117765</t>
        </is>
      </c>
      <c r="C569" s="1" t="inlineStr">
        <is>
          <t>2978778</t>
        </is>
      </c>
      <c r="D569" t="inlineStr">
        <is>
          <t>работник 155</t>
        </is>
      </c>
      <c r="E569" s="1" t="inlineStr">
        <is>
          <t>ОБЩЕСТВО С ОГРАНИЧЕННОЙ ОТВЕТСТВЕННОСТЬЮ "АМУР ЗОЛОТО"</t>
        </is>
      </c>
      <c r="F569" s="1" t="inlineStr">
        <is>
          <t>2708001686</t>
        </is>
      </c>
      <c r="G569" s="1" t="inlineStr">
        <is>
          <t>Машинист самоходной буровой установки</t>
        </is>
      </c>
      <c r="H569" s="1" t="inlineStr">
        <is>
          <t>ООО "Амур Золото"</t>
        </is>
      </c>
      <c r="I569" s="1" t="inlineStr">
        <is>
          <t>2708001686</t>
        </is>
      </c>
      <c r="J569" s="1" t="inlineStr">
        <is>
          <t>ОТ № ЮГОК ПГУ 24-01</t>
        </is>
      </c>
      <c r="K569" s="1" t="inlineStr">
        <is>
          <t>Использование (применение) средств индивидуальной защиты</t>
        </is>
      </c>
      <c r="L569" s="1" t="inlineStr">
        <is>
          <t>19.01.2024</t>
        </is>
      </c>
      <c r="M569" s="1" t="inlineStr">
        <is>
          <t>Успешно</t>
        </is>
      </c>
      <c r="N569" s="1" t="inlineStr">
        <is>
          <t>05.02.2024</t>
        </is>
      </c>
      <c r="O569" s="1" t="inlineStr"/>
      <c r="P569" s="1" t="inlineStr"/>
      <c r="Q569" s="1" t="inlineStr">
        <is>
          <t>Пользовательский интерфейс</t>
        </is>
      </c>
    </row>
    <row r="570">
      <c r="B570" s="1" t="inlineStr">
        <is>
          <t>37117766</t>
        </is>
      </c>
      <c r="C570" s="1" t="inlineStr">
        <is>
          <t>2978778</t>
        </is>
      </c>
      <c r="D570" t="inlineStr">
        <is>
          <t>работник 155</t>
        </is>
      </c>
      <c r="E570" s="1" t="inlineStr">
        <is>
          <t>ОБЩЕСТВО С ОГРАНИЧЕННОЙ ОТВЕТСТВЕННОСТЬЮ "АМУР ЗОЛОТО"</t>
        </is>
      </c>
      <c r="F570" s="1" t="inlineStr">
        <is>
          <t>2708001686</t>
        </is>
      </c>
      <c r="G570" s="1" t="inlineStr">
        <is>
          <t>Машинист самоходной буровой установки</t>
        </is>
      </c>
      <c r="H570" s="1" t="inlineStr">
        <is>
          <t>ООО "Амур Золото"</t>
        </is>
      </c>
      <c r="I570" s="1" t="inlineStr">
        <is>
          <t>2708001686</t>
        </is>
      </c>
      <c r="J570" s="1" t="inlineStr">
        <is>
          <t>ОТ № ЮГОК ПГУ 24-01</t>
        </is>
      </c>
      <c r="K57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570" s="1" t="inlineStr">
        <is>
          <t>19.01.2024</t>
        </is>
      </c>
      <c r="M570" s="1" t="inlineStr">
        <is>
          <t>Успешно</t>
        </is>
      </c>
      <c r="N570" s="1" t="inlineStr">
        <is>
          <t>05.02.2024</t>
        </is>
      </c>
      <c r="O570" s="1" t="inlineStr"/>
      <c r="P570" s="1" t="inlineStr"/>
      <c r="Q570" s="1" t="inlineStr">
        <is>
          <t>Пользовательский интерфейс</t>
        </is>
      </c>
    </row>
    <row r="571">
      <c r="B571" s="1" t="inlineStr">
        <is>
          <t>37117767</t>
        </is>
      </c>
      <c r="C571" s="1" t="inlineStr">
        <is>
          <t>2978778</t>
        </is>
      </c>
      <c r="D571" t="inlineStr">
        <is>
          <t>работник 156</t>
        </is>
      </c>
      <c r="E571" s="1" t="inlineStr">
        <is>
          <t>ОБЩЕСТВО С ОГРАНИЧЕННОЙ ОТВЕТСТВЕННОСТЬЮ "АМУР ЗОЛОТО"</t>
        </is>
      </c>
      <c r="F571" s="1" t="inlineStr">
        <is>
          <t>2708001686</t>
        </is>
      </c>
      <c r="G571" s="1" t="inlineStr">
        <is>
          <t>Проходчик (с исполнением обязанностей взрывника)</t>
        </is>
      </c>
      <c r="H571" s="1" t="inlineStr">
        <is>
          <t>ООО "Амур Золото"</t>
        </is>
      </c>
      <c r="I571" s="1" t="inlineStr">
        <is>
          <t>2708001686</t>
        </is>
      </c>
      <c r="J571" s="1" t="inlineStr">
        <is>
          <t>ОТ № ЮГОК ПГУ 24-01</t>
        </is>
      </c>
      <c r="K571" s="1" t="inlineStr">
        <is>
          <t>Оказание первой помощи пострадавшим</t>
        </is>
      </c>
      <c r="L571" s="1" t="inlineStr">
        <is>
          <t>19.01.2024</t>
        </is>
      </c>
      <c r="M571" s="1" t="inlineStr">
        <is>
          <t>Успешно</t>
        </is>
      </c>
      <c r="N571" s="1" t="inlineStr">
        <is>
          <t>05.02.2024</t>
        </is>
      </c>
      <c r="O571" s="1" t="inlineStr"/>
      <c r="P571" s="1" t="inlineStr"/>
      <c r="Q571" s="1" t="inlineStr">
        <is>
          <t>Пользовательский интерфейс</t>
        </is>
      </c>
    </row>
    <row r="572">
      <c r="B572" s="1" t="inlineStr">
        <is>
          <t>37117768</t>
        </is>
      </c>
      <c r="C572" s="1" t="inlineStr">
        <is>
          <t>2978778</t>
        </is>
      </c>
      <c r="D572" t="inlineStr">
        <is>
          <t>работник 156</t>
        </is>
      </c>
      <c r="E572" s="1" t="inlineStr">
        <is>
          <t>ОБЩЕСТВО С ОГРАНИЧЕННОЙ ОТВЕТСТВЕННОСТЬЮ "АМУР ЗОЛОТО"</t>
        </is>
      </c>
      <c r="F572" s="1" t="inlineStr">
        <is>
          <t>2708001686</t>
        </is>
      </c>
      <c r="G572" s="1" t="inlineStr">
        <is>
          <t>Проходчик (с исполнением обязанностей взрывника)</t>
        </is>
      </c>
      <c r="H572" s="1" t="inlineStr">
        <is>
          <t>ООО "Амур Золото"</t>
        </is>
      </c>
      <c r="I572" s="1" t="inlineStr">
        <is>
          <t>2708001686</t>
        </is>
      </c>
      <c r="J572" s="1" t="inlineStr">
        <is>
          <t>ОТ № ЮГОК ПГУ 24-01</t>
        </is>
      </c>
      <c r="K572" s="1" t="inlineStr">
        <is>
          <t>Использование (применение) средств индивидуальной защиты</t>
        </is>
      </c>
      <c r="L572" s="1" t="inlineStr">
        <is>
          <t>19.01.2024</t>
        </is>
      </c>
      <c r="M572" s="1" t="inlineStr">
        <is>
          <t>Успешно</t>
        </is>
      </c>
      <c r="N572" s="1" t="inlineStr">
        <is>
          <t>05.02.2024</t>
        </is>
      </c>
      <c r="O572" s="1" t="inlineStr"/>
      <c r="P572" s="1" t="inlineStr"/>
      <c r="Q572" s="1" t="inlineStr">
        <is>
          <t>Пользовательский интерфейс</t>
        </is>
      </c>
    </row>
    <row r="573">
      <c r="B573" s="1" t="inlineStr">
        <is>
          <t>37117769</t>
        </is>
      </c>
      <c r="C573" s="1" t="inlineStr">
        <is>
          <t>2978778</t>
        </is>
      </c>
      <c r="D573" t="inlineStr">
        <is>
          <t>работник 156</t>
        </is>
      </c>
      <c r="E573" s="1" t="inlineStr">
        <is>
          <t>ОБЩЕСТВО С ОГРАНИЧЕННОЙ ОТВЕТСТВЕННОСТЬЮ "АМУР ЗОЛОТО"</t>
        </is>
      </c>
      <c r="F573" s="1" t="inlineStr">
        <is>
          <t>2708001686</t>
        </is>
      </c>
      <c r="G573" s="1" t="inlineStr">
        <is>
          <t>Проходчик (с исполнением обязанностей взрывника)</t>
        </is>
      </c>
      <c r="H573" s="1" t="inlineStr">
        <is>
          <t>ООО "Амур Золото"</t>
        </is>
      </c>
      <c r="I573" s="1" t="inlineStr">
        <is>
          <t>2708001686</t>
        </is>
      </c>
      <c r="J573" s="1" t="inlineStr">
        <is>
          <t>ОТ № ЮГОК ПГУ 24-01</t>
        </is>
      </c>
      <c r="K57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573" s="1" t="inlineStr">
        <is>
          <t>19.01.2024</t>
        </is>
      </c>
      <c r="M573" s="1" t="inlineStr">
        <is>
          <t>Успешно</t>
        </is>
      </c>
      <c r="N573" s="1" t="inlineStr">
        <is>
          <t>05.02.2024</t>
        </is>
      </c>
      <c r="O573" s="1" t="inlineStr"/>
      <c r="P573" s="1" t="inlineStr"/>
      <c r="Q573" s="1" t="inlineStr">
        <is>
          <t>Пользовательский интерфейс</t>
        </is>
      </c>
    </row>
    <row r="574">
      <c r="B574" s="1" t="inlineStr">
        <is>
          <t>37117770</t>
        </is>
      </c>
      <c r="C574" s="1" t="inlineStr">
        <is>
          <t>2978778</t>
        </is>
      </c>
      <c r="D574" t="inlineStr">
        <is>
          <t>работник 157</t>
        </is>
      </c>
      <c r="E574" s="1" t="inlineStr">
        <is>
          <t>ОБЩЕСТВО С ОГРАНИЧЕННОЙ ОТВЕТСТВЕННОСТЬЮ "АМУР ЗОЛОТО"</t>
        </is>
      </c>
      <c r="F574" s="1" t="inlineStr">
        <is>
          <t>2708001686</t>
        </is>
      </c>
      <c r="G574" s="1" t="inlineStr">
        <is>
          <t>Проходчик (с исполнением обязанностей взрывника)</t>
        </is>
      </c>
      <c r="H574" s="1" t="inlineStr">
        <is>
          <t>ООО "Амур Золото"</t>
        </is>
      </c>
      <c r="I574" s="1" t="inlineStr">
        <is>
          <t>2708001686</t>
        </is>
      </c>
      <c r="J574" s="1" t="inlineStr">
        <is>
          <t>ОТ № ЮГОК ПГУ 24-01</t>
        </is>
      </c>
      <c r="K574" s="1" t="inlineStr">
        <is>
          <t>Оказание первой помощи пострадавшим</t>
        </is>
      </c>
      <c r="L574" s="1" t="inlineStr">
        <is>
          <t>19.01.2024</t>
        </is>
      </c>
      <c r="M574" s="1" t="inlineStr">
        <is>
          <t>Успешно</t>
        </is>
      </c>
      <c r="N574" s="1" t="inlineStr">
        <is>
          <t>05.02.2024</t>
        </is>
      </c>
      <c r="O574" s="1" t="inlineStr"/>
      <c r="P574" s="1" t="inlineStr"/>
      <c r="Q574" s="1" t="inlineStr">
        <is>
          <t>Пользовательский интерфейс</t>
        </is>
      </c>
    </row>
    <row r="575">
      <c r="B575" s="1" t="inlineStr">
        <is>
          <t>37117771</t>
        </is>
      </c>
      <c r="C575" s="1" t="inlineStr">
        <is>
          <t>2978778</t>
        </is>
      </c>
      <c r="D575" t="inlineStr">
        <is>
          <t>работник 157</t>
        </is>
      </c>
      <c r="E575" s="1" t="inlineStr">
        <is>
          <t>ОБЩЕСТВО С ОГРАНИЧЕННОЙ ОТВЕТСТВЕННОСТЬЮ "АМУР ЗОЛОТО"</t>
        </is>
      </c>
      <c r="F575" s="1" t="inlineStr">
        <is>
          <t>2708001686</t>
        </is>
      </c>
      <c r="G575" s="1" t="inlineStr">
        <is>
          <t>Проходчик (с исполнением обязанностей взрывника)</t>
        </is>
      </c>
      <c r="H575" s="1" t="inlineStr">
        <is>
          <t>ООО "Амур Золото"</t>
        </is>
      </c>
      <c r="I575" s="1" t="inlineStr">
        <is>
          <t>2708001686</t>
        </is>
      </c>
      <c r="J575" s="1" t="inlineStr">
        <is>
          <t>ОТ № ЮГОК ПГУ 24-01</t>
        </is>
      </c>
      <c r="K575" s="1" t="inlineStr">
        <is>
          <t>Использование (применение) средств индивидуальной защиты</t>
        </is>
      </c>
      <c r="L575" s="1" t="inlineStr">
        <is>
          <t>19.01.2024</t>
        </is>
      </c>
      <c r="M575" s="1" t="inlineStr">
        <is>
          <t>Успешно</t>
        </is>
      </c>
      <c r="N575" s="1" t="inlineStr">
        <is>
          <t>05.02.2024</t>
        </is>
      </c>
      <c r="O575" s="1" t="inlineStr"/>
      <c r="P575" s="1" t="inlineStr"/>
      <c r="Q575" s="1" t="inlineStr">
        <is>
          <t>Пользовательский интерфейс</t>
        </is>
      </c>
    </row>
    <row r="576">
      <c r="B576" s="1" t="inlineStr">
        <is>
          <t>37117772</t>
        </is>
      </c>
      <c r="C576" s="1" t="inlineStr">
        <is>
          <t>2978778</t>
        </is>
      </c>
      <c r="D576" t="inlineStr">
        <is>
          <t>работник 157</t>
        </is>
      </c>
      <c r="E576" s="1" t="inlineStr">
        <is>
          <t>ОБЩЕСТВО С ОГРАНИЧЕННОЙ ОТВЕТСТВЕННОСТЬЮ "АМУР ЗОЛОТО"</t>
        </is>
      </c>
      <c r="F576" s="1" t="inlineStr">
        <is>
          <t>2708001686</t>
        </is>
      </c>
      <c r="G576" s="1" t="inlineStr">
        <is>
          <t>Проходчик (с исполнением обязанностей взрывника)</t>
        </is>
      </c>
      <c r="H576" s="1" t="inlineStr">
        <is>
          <t>ООО "Амур Золото"</t>
        </is>
      </c>
      <c r="I576" s="1" t="inlineStr">
        <is>
          <t>2708001686</t>
        </is>
      </c>
      <c r="J576" s="1" t="inlineStr">
        <is>
          <t>ОТ № ЮГОК ПГУ 24-01</t>
        </is>
      </c>
      <c r="K57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576" s="1" t="inlineStr">
        <is>
          <t>19.01.2024</t>
        </is>
      </c>
      <c r="M576" s="1" t="inlineStr">
        <is>
          <t>Успешно</t>
        </is>
      </c>
      <c r="N576" s="1" t="inlineStr">
        <is>
          <t>05.02.2024</t>
        </is>
      </c>
      <c r="O576" s="1" t="inlineStr"/>
      <c r="P576" s="1" t="inlineStr"/>
      <c r="Q576" s="1" t="inlineStr">
        <is>
          <t>Пользовательский интерфейс</t>
        </is>
      </c>
    </row>
    <row r="577">
      <c r="B577" s="1" t="inlineStr">
        <is>
          <t>37117773</t>
        </is>
      </c>
      <c r="C577" s="1" t="inlineStr">
        <is>
          <t>2978778</t>
        </is>
      </c>
      <c r="D577" t="inlineStr">
        <is>
          <t>работник 158</t>
        </is>
      </c>
      <c r="E577" s="1" t="inlineStr">
        <is>
          <t>ОБЩЕСТВО С ОГРАНИЧЕННОЙ ОТВЕТСТВЕННОСТЬЮ "АМУР ЗОЛОТО"</t>
        </is>
      </c>
      <c r="F577" s="1" t="inlineStr">
        <is>
          <t>2708001686</t>
        </is>
      </c>
      <c r="G577" s="1" t="inlineStr">
        <is>
          <t>Горный диспетчер</t>
        </is>
      </c>
      <c r="H577" s="1" t="inlineStr">
        <is>
          <t>ООО "Амур Золото"</t>
        </is>
      </c>
      <c r="I577" s="1" t="inlineStr">
        <is>
          <t>2708001686</t>
        </is>
      </c>
      <c r="J577" s="1" t="inlineStr">
        <is>
          <t>ОТ № ЮГОК ПГУ 24-01</t>
        </is>
      </c>
      <c r="K577" s="1" t="inlineStr">
        <is>
          <t>Оказание первой помощи пострадавшим</t>
        </is>
      </c>
      <c r="L577" s="1" t="inlineStr">
        <is>
          <t>19.01.2024</t>
        </is>
      </c>
      <c r="M577" s="1" t="inlineStr">
        <is>
          <t>Успешно</t>
        </is>
      </c>
      <c r="N577" s="1" t="inlineStr">
        <is>
          <t>05.02.2024</t>
        </is>
      </c>
      <c r="O577" s="1" t="inlineStr"/>
      <c r="P577" s="1" t="inlineStr"/>
      <c r="Q577" s="1" t="inlineStr">
        <is>
          <t>Пользовательский интерфейс</t>
        </is>
      </c>
    </row>
    <row r="578">
      <c r="B578" s="1" t="inlineStr">
        <is>
          <t>37117774</t>
        </is>
      </c>
      <c r="C578" s="1" t="inlineStr">
        <is>
          <t>2978778</t>
        </is>
      </c>
      <c r="D578" t="inlineStr">
        <is>
          <t>работник 158</t>
        </is>
      </c>
      <c r="E578" s="1" t="inlineStr">
        <is>
          <t>ОБЩЕСТВО С ОГРАНИЧЕННОЙ ОТВЕТСТВЕННОСТЬЮ "АМУР ЗОЛОТО"</t>
        </is>
      </c>
      <c r="F578" s="1" t="inlineStr">
        <is>
          <t>2708001686</t>
        </is>
      </c>
      <c r="G578" s="1" t="inlineStr">
        <is>
          <t>Горный диспетчер</t>
        </is>
      </c>
      <c r="H578" s="1" t="inlineStr">
        <is>
          <t>ООО "Амур Золото"</t>
        </is>
      </c>
      <c r="I578" s="1" t="inlineStr">
        <is>
          <t>2708001686</t>
        </is>
      </c>
      <c r="J578" s="1" t="inlineStr">
        <is>
          <t>ОТ № ЮГОК ПГУ 24-01</t>
        </is>
      </c>
      <c r="K578" s="1" t="inlineStr">
        <is>
          <t>Использование (применение) средств индивидуальной защиты</t>
        </is>
      </c>
      <c r="L578" s="1" t="inlineStr">
        <is>
          <t>19.01.2024</t>
        </is>
      </c>
      <c r="M578" s="1" t="inlineStr">
        <is>
          <t>Успешно</t>
        </is>
      </c>
      <c r="N578" s="1" t="inlineStr">
        <is>
          <t>05.02.2024</t>
        </is>
      </c>
      <c r="O578" s="1" t="inlineStr"/>
      <c r="P578" s="1" t="inlineStr"/>
      <c r="Q578" s="1" t="inlineStr">
        <is>
          <t>Пользовательский интерфейс</t>
        </is>
      </c>
    </row>
    <row r="579">
      <c r="B579" s="1" t="inlineStr">
        <is>
          <t>37117775</t>
        </is>
      </c>
      <c r="C579" s="1" t="inlineStr">
        <is>
          <t>2978778</t>
        </is>
      </c>
      <c r="D579" t="inlineStr">
        <is>
          <t>работник 158</t>
        </is>
      </c>
      <c r="E579" s="1" t="inlineStr">
        <is>
          <t>ОБЩЕСТВО С ОГРАНИЧЕННОЙ ОТВЕТСТВЕННОСТЬЮ "АМУР ЗОЛОТО"</t>
        </is>
      </c>
      <c r="F579" s="1" t="inlineStr">
        <is>
          <t>2708001686</t>
        </is>
      </c>
      <c r="G579" s="1" t="inlineStr">
        <is>
          <t>Горный диспетчер</t>
        </is>
      </c>
      <c r="H579" s="1" t="inlineStr">
        <is>
          <t>ООО "Амур Золото"</t>
        </is>
      </c>
      <c r="I579" s="1" t="inlineStr">
        <is>
          <t>2708001686</t>
        </is>
      </c>
      <c r="J579" s="1" t="inlineStr">
        <is>
          <t>ОТ № ЮГОК ПГУ 24-01</t>
        </is>
      </c>
      <c r="K57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579" s="1" t="inlineStr">
        <is>
          <t>19.01.2024</t>
        </is>
      </c>
      <c r="M579" s="1" t="inlineStr">
        <is>
          <t>Успешно</t>
        </is>
      </c>
      <c r="N579" s="1" t="inlineStr">
        <is>
          <t>05.02.2024</t>
        </is>
      </c>
      <c r="O579" s="1" t="inlineStr"/>
      <c r="P579" s="1" t="inlineStr"/>
      <c r="Q579" s="1" t="inlineStr">
        <is>
          <t>Пользовательский интерфейс</t>
        </is>
      </c>
    </row>
    <row r="580">
      <c r="B580" s="1" t="inlineStr">
        <is>
          <t>37117776</t>
        </is>
      </c>
      <c r="C580" s="1" t="inlineStr">
        <is>
          <t>2978778</t>
        </is>
      </c>
      <c r="D580" t="inlineStr">
        <is>
          <t>работник 159</t>
        </is>
      </c>
      <c r="E580" s="1" t="inlineStr">
        <is>
          <t>ОБЩЕСТВО С ОГРАНИЧЕННОЙ ОТВЕТСТВЕННОСТЬЮ "АМУР ЗОЛОТО"</t>
        </is>
      </c>
      <c r="F580" s="1" t="inlineStr">
        <is>
          <t>2708001686</t>
        </is>
      </c>
      <c r="G580" s="1" t="inlineStr">
        <is>
          <t>Проходчик (с исполнением обязанностей взрывника)</t>
        </is>
      </c>
      <c r="H580" s="1" t="inlineStr">
        <is>
          <t>ООО "Амур Золото"</t>
        </is>
      </c>
      <c r="I580" s="1" t="inlineStr">
        <is>
          <t>2708001686</t>
        </is>
      </c>
      <c r="J580" s="1" t="inlineStr">
        <is>
          <t>ОТ № ЮГОК ПГУ 24-01</t>
        </is>
      </c>
      <c r="K580" s="1" t="inlineStr">
        <is>
          <t>Оказание первой помощи пострадавшим</t>
        </is>
      </c>
      <c r="L580" s="1" t="inlineStr">
        <is>
          <t>19.01.2024</t>
        </is>
      </c>
      <c r="M580" s="1" t="inlineStr">
        <is>
          <t>Успешно</t>
        </is>
      </c>
      <c r="N580" s="1" t="inlineStr">
        <is>
          <t>05.02.2024</t>
        </is>
      </c>
      <c r="O580" s="1" t="inlineStr"/>
      <c r="P580" s="1" t="inlineStr"/>
      <c r="Q580" s="1" t="inlineStr">
        <is>
          <t>Пользовательский интерфейс</t>
        </is>
      </c>
    </row>
    <row r="581">
      <c r="B581" s="1" t="inlineStr">
        <is>
          <t>37117777</t>
        </is>
      </c>
      <c r="C581" s="1" t="inlineStr">
        <is>
          <t>2978778</t>
        </is>
      </c>
      <c r="D581" t="inlineStr">
        <is>
          <t>работник 159</t>
        </is>
      </c>
      <c r="E581" s="1" t="inlineStr">
        <is>
          <t>ОБЩЕСТВО С ОГРАНИЧЕННОЙ ОТВЕТСТВЕННОСТЬЮ "АМУР ЗОЛОТО"</t>
        </is>
      </c>
      <c r="F581" s="1" t="inlineStr">
        <is>
          <t>2708001686</t>
        </is>
      </c>
      <c r="G581" s="1" t="inlineStr">
        <is>
          <t>Проходчик (с исполнением обязанностей взрывника)</t>
        </is>
      </c>
      <c r="H581" s="1" t="inlineStr">
        <is>
          <t>ООО "Амур Золото"</t>
        </is>
      </c>
      <c r="I581" s="1" t="inlineStr">
        <is>
          <t>2708001686</t>
        </is>
      </c>
      <c r="J581" s="1" t="inlineStr">
        <is>
          <t>ОТ № ЮГОК ПГУ 24-01</t>
        </is>
      </c>
      <c r="K581" s="1" t="inlineStr">
        <is>
          <t>Использование (применение) средств индивидуальной защиты</t>
        </is>
      </c>
      <c r="L581" s="1" t="inlineStr">
        <is>
          <t>19.01.2024</t>
        </is>
      </c>
      <c r="M581" s="1" t="inlineStr">
        <is>
          <t>Успешно</t>
        </is>
      </c>
      <c r="N581" s="1" t="inlineStr">
        <is>
          <t>05.02.2024</t>
        </is>
      </c>
      <c r="O581" s="1" t="inlineStr"/>
      <c r="P581" s="1" t="inlineStr"/>
      <c r="Q581" s="1" t="inlineStr">
        <is>
          <t>Пользовательский интерфейс</t>
        </is>
      </c>
    </row>
    <row r="582">
      <c r="B582" s="1" t="inlineStr">
        <is>
          <t>37117778</t>
        </is>
      </c>
      <c r="C582" s="1" t="inlineStr">
        <is>
          <t>2978778</t>
        </is>
      </c>
      <c r="D582" t="inlineStr">
        <is>
          <t>работник 159</t>
        </is>
      </c>
      <c r="E582" s="1" t="inlineStr">
        <is>
          <t>ОБЩЕСТВО С ОГРАНИЧЕННОЙ ОТВЕТСТВЕННОСТЬЮ "АМУР ЗОЛОТО"</t>
        </is>
      </c>
      <c r="F582" s="1" t="inlineStr">
        <is>
          <t>2708001686</t>
        </is>
      </c>
      <c r="G582" s="1" t="inlineStr">
        <is>
          <t>Проходчик (с исполнением обязанностей взрывника)</t>
        </is>
      </c>
      <c r="H582" s="1" t="inlineStr">
        <is>
          <t>ООО "Амур Золото"</t>
        </is>
      </c>
      <c r="I582" s="1" t="inlineStr">
        <is>
          <t>2708001686</t>
        </is>
      </c>
      <c r="J582" s="1" t="inlineStr">
        <is>
          <t>ОТ № ЮГОК ПГУ 24-01</t>
        </is>
      </c>
      <c r="K58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582" s="1" t="inlineStr">
        <is>
          <t>19.01.2024</t>
        </is>
      </c>
      <c r="M582" s="1" t="inlineStr">
        <is>
          <t>Успешно</t>
        </is>
      </c>
      <c r="N582" s="1" t="inlineStr">
        <is>
          <t>05.02.2024</t>
        </is>
      </c>
      <c r="O582" s="1" t="inlineStr"/>
      <c r="P582" s="1" t="inlineStr"/>
      <c r="Q582" s="1" t="inlineStr">
        <is>
          <t>Пользовательский интерфейс</t>
        </is>
      </c>
    </row>
    <row r="583">
      <c r="B583" s="1" t="inlineStr">
        <is>
          <t>37117779</t>
        </is>
      </c>
      <c r="C583" s="1" t="inlineStr">
        <is>
          <t>2978778</t>
        </is>
      </c>
      <c r="D583" t="inlineStr">
        <is>
          <t>работник 160</t>
        </is>
      </c>
      <c r="E583" s="1" t="inlineStr">
        <is>
          <t>ОБЩЕСТВО С ОГРАНИЧЕННОЙ ОТВЕТСТВЕННОСТЬЮ "АМУР ЗОЛОТО"</t>
        </is>
      </c>
      <c r="F583" s="1" t="inlineStr">
        <is>
          <t>2708001686</t>
        </is>
      </c>
      <c r="G583" s="1" t="inlineStr">
        <is>
          <t>Машинист буровой установки (НКР)</t>
        </is>
      </c>
      <c r="H583" s="1" t="inlineStr">
        <is>
          <t>ООО "Амур Золото"</t>
        </is>
      </c>
      <c r="I583" s="1" t="inlineStr">
        <is>
          <t>2708001686</t>
        </is>
      </c>
      <c r="J583" s="1" t="inlineStr">
        <is>
          <t>ОТ № ЮГОК ПГУ 24-01</t>
        </is>
      </c>
      <c r="K583" s="1" t="inlineStr">
        <is>
          <t>Оказание первой помощи пострадавшим</t>
        </is>
      </c>
      <c r="L583" s="1" t="inlineStr">
        <is>
          <t>19.01.2024</t>
        </is>
      </c>
      <c r="M583" s="1" t="inlineStr">
        <is>
          <t>Успешно</t>
        </is>
      </c>
      <c r="N583" s="1" t="inlineStr">
        <is>
          <t>05.02.2024</t>
        </is>
      </c>
      <c r="O583" s="1" t="inlineStr"/>
      <c r="P583" s="1" t="inlineStr"/>
      <c r="Q583" s="1" t="inlineStr">
        <is>
          <t>Пользовательский интерфейс</t>
        </is>
      </c>
    </row>
    <row r="584">
      <c r="B584" s="1" t="inlineStr">
        <is>
          <t>37117780</t>
        </is>
      </c>
      <c r="C584" s="1" t="inlineStr">
        <is>
          <t>2978778</t>
        </is>
      </c>
      <c r="D584" t="inlineStr">
        <is>
          <t>работник 160</t>
        </is>
      </c>
      <c r="E584" s="1" t="inlineStr">
        <is>
          <t>ОБЩЕСТВО С ОГРАНИЧЕННОЙ ОТВЕТСТВЕННОСТЬЮ "АМУР ЗОЛОТО"</t>
        </is>
      </c>
      <c r="F584" s="1" t="inlineStr">
        <is>
          <t>2708001686</t>
        </is>
      </c>
      <c r="G584" s="1" t="inlineStr">
        <is>
          <t>Машинист буровой установки (НКР)</t>
        </is>
      </c>
      <c r="H584" s="1" t="inlineStr">
        <is>
          <t>ООО "Амур Золото"</t>
        </is>
      </c>
      <c r="I584" s="1" t="inlineStr">
        <is>
          <t>2708001686</t>
        </is>
      </c>
      <c r="J584" s="1" t="inlineStr">
        <is>
          <t>ОТ № ЮГОК ПГУ 24-01</t>
        </is>
      </c>
      <c r="K584" s="1" t="inlineStr">
        <is>
          <t>Использование (применение) средств индивидуальной защиты</t>
        </is>
      </c>
      <c r="L584" s="1" t="inlineStr">
        <is>
          <t>19.01.2024</t>
        </is>
      </c>
      <c r="M584" s="1" t="inlineStr">
        <is>
          <t>Успешно</t>
        </is>
      </c>
      <c r="N584" s="1" t="inlineStr">
        <is>
          <t>05.02.2024</t>
        </is>
      </c>
      <c r="O584" s="1" t="inlineStr"/>
      <c r="P584" s="1" t="inlineStr"/>
      <c r="Q584" s="1" t="inlineStr">
        <is>
          <t>Пользовательский интерфейс</t>
        </is>
      </c>
    </row>
    <row r="585">
      <c r="B585" s="1" t="inlineStr">
        <is>
          <t>37117781</t>
        </is>
      </c>
      <c r="C585" s="1" t="inlineStr">
        <is>
          <t>2978778</t>
        </is>
      </c>
      <c r="D585" t="inlineStr">
        <is>
          <t>работник 160</t>
        </is>
      </c>
      <c r="E585" s="1" t="inlineStr">
        <is>
          <t>ОБЩЕСТВО С ОГРАНИЧЕННОЙ ОТВЕТСТВЕННОСТЬЮ "АМУР ЗОЛОТО"</t>
        </is>
      </c>
      <c r="F585" s="1" t="inlineStr">
        <is>
          <t>2708001686</t>
        </is>
      </c>
      <c r="G585" s="1" t="inlineStr">
        <is>
          <t>Машинист буровой установки (НКР)</t>
        </is>
      </c>
      <c r="H585" s="1" t="inlineStr">
        <is>
          <t>ООО "Амур Золото"</t>
        </is>
      </c>
      <c r="I585" s="1" t="inlineStr">
        <is>
          <t>2708001686</t>
        </is>
      </c>
      <c r="J585" s="1" t="inlineStr">
        <is>
          <t>ОТ № ЮГОК ПГУ 24-01</t>
        </is>
      </c>
      <c r="K58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585" s="1" t="inlineStr">
        <is>
          <t>19.01.2024</t>
        </is>
      </c>
      <c r="M585" s="1" t="inlineStr">
        <is>
          <t>Успешно</t>
        </is>
      </c>
      <c r="N585" s="1" t="inlineStr">
        <is>
          <t>05.02.2024</t>
        </is>
      </c>
      <c r="O585" s="1" t="inlineStr"/>
      <c r="P585" s="1" t="inlineStr"/>
      <c r="Q585" s="1" t="inlineStr">
        <is>
          <t>Пользовательский интерфейс</t>
        </is>
      </c>
    </row>
    <row r="586">
      <c r="B586" s="1" t="inlineStr">
        <is>
          <t>37117782</t>
        </is>
      </c>
      <c r="C586" s="1" t="inlineStr">
        <is>
          <t>2978778</t>
        </is>
      </c>
      <c r="D586" t="inlineStr">
        <is>
          <t>работник 161</t>
        </is>
      </c>
      <c r="E586" s="1" t="inlineStr">
        <is>
          <t>ОБЩЕСТВО С ОГРАНИЧЕННОЙ ОТВЕТСТВЕННОСТЬЮ "АМУР ЗОЛОТО"</t>
        </is>
      </c>
      <c r="F586" s="1" t="inlineStr">
        <is>
          <t>2708001686</t>
        </is>
      </c>
      <c r="G586" s="1" t="inlineStr">
        <is>
          <t>Машинист подземно-доставочной машины</t>
        </is>
      </c>
      <c r="H586" s="1" t="inlineStr">
        <is>
          <t>ООО "Амур Золото"</t>
        </is>
      </c>
      <c r="I586" s="1" t="inlineStr">
        <is>
          <t>2708001686</t>
        </is>
      </c>
      <c r="J586" s="1" t="inlineStr">
        <is>
          <t>ОТ № ЮГОК ПГУ 24-01</t>
        </is>
      </c>
      <c r="K586" s="1" t="inlineStr">
        <is>
          <t>Оказание первой помощи пострадавшим</t>
        </is>
      </c>
      <c r="L586" s="1" t="inlineStr">
        <is>
          <t>19.01.2024</t>
        </is>
      </c>
      <c r="M586" s="1" t="inlineStr">
        <is>
          <t>Успешно</t>
        </is>
      </c>
      <c r="N586" s="1" t="inlineStr">
        <is>
          <t>05.02.2024</t>
        </is>
      </c>
      <c r="O586" s="1" t="inlineStr"/>
      <c r="P586" s="1" t="inlineStr"/>
      <c r="Q586" s="1" t="inlineStr">
        <is>
          <t>Пользовательский интерфейс</t>
        </is>
      </c>
    </row>
    <row r="587">
      <c r="B587" s="1" t="inlineStr">
        <is>
          <t>37117783</t>
        </is>
      </c>
      <c r="C587" s="1" t="inlineStr">
        <is>
          <t>2978778</t>
        </is>
      </c>
      <c r="D587" t="inlineStr">
        <is>
          <t>работник 161</t>
        </is>
      </c>
      <c r="E587" s="1" t="inlineStr">
        <is>
          <t>ОБЩЕСТВО С ОГРАНИЧЕННОЙ ОТВЕТСТВЕННОСТЬЮ "АМУР ЗОЛОТО"</t>
        </is>
      </c>
      <c r="F587" s="1" t="inlineStr">
        <is>
          <t>2708001686</t>
        </is>
      </c>
      <c r="G587" s="1" t="inlineStr">
        <is>
          <t>Машинист подземно-доставочной машины</t>
        </is>
      </c>
      <c r="H587" s="1" t="inlineStr">
        <is>
          <t>ООО "Амур Золото"</t>
        </is>
      </c>
      <c r="I587" s="1" t="inlineStr">
        <is>
          <t>2708001686</t>
        </is>
      </c>
      <c r="J587" s="1" t="inlineStr">
        <is>
          <t>ОТ № ЮГОК ПГУ 24-01</t>
        </is>
      </c>
      <c r="K587" s="1" t="inlineStr">
        <is>
          <t>Использование (применение) средств индивидуальной защиты</t>
        </is>
      </c>
      <c r="L587" s="1" t="inlineStr">
        <is>
          <t>19.01.2024</t>
        </is>
      </c>
      <c r="M587" s="1" t="inlineStr">
        <is>
          <t>Успешно</t>
        </is>
      </c>
      <c r="N587" s="1" t="inlineStr">
        <is>
          <t>05.02.2024</t>
        </is>
      </c>
      <c r="O587" s="1" t="inlineStr"/>
      <c r="P587" s="1" t="inlineStr"/>
      <c r="Q587" s="1" t="inlineStr">
        <is>
          <t>Пользовательский интерфейс</t>
        </is>
      </c>
    </row>
    <row r="588">
      <c r="B588" s="1" t="inlineStr">
        <is>
          <t>37117784</t>
        </is>
      </c>
      <c r="C588" s="1" t="inlineStr">
        <is>
          <t>2978778</t>
        </is>
      </c>
      <c r="D588" t="inlineStr">
        <is>
          <t>работник 161</t>
        </is>
      </c>
      <c r="E588" s="1" t="inlineStr">
        <is>
          <t>ОБЩЕСТВО С ОГРАНИЧЕННОЙ ОТВЕТСТВЕННОСТЬЮ "АМУР ЗОЛОТО"</t>
        </is>
      </c>
      <c r="F588" s="1" t="inlineStr">
        <is>
          <t>2708001686</t>
        </is>
      </c>
      <c r="G588" s="1" t="inlineStr">
        <is>
          <t>Машинист подземно-доставочной машины</t>
        </is>
      </c>
      <c r="H588" s="1" t="inlineStr">
        <is>
          <t>ООО "Амур Золото"</t>
        </is>
      </c>
      <c r="I588" s="1" t="inlineStr">
        <is>
          <t>2708001686</t>
        </is>
      </c>
      <c r="J588" s="1" t="inlineStr">
        <is>
          <t>ОТ № ЮГОК ПГУ 24-01</t>
        </is>
      </c>
      <c r="K58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588" s="1" t="inlineStr">
        <is>
          <t>19.01.2024</t>
        </is>
      </c>
      <c r="M588" s="1" t="inlineStr">
        <is>
          <t>Успешно</t>
        </is>
      </c>
      <c r="N588" s="1" t="inlineStr">
        <is>
          <t>05.02.2024</t>
        </is>
      </c>
      <c r="O588" s="1" t="inlineStr"/>
      <c r="P588" s="1" t="inlineStr"/>
      <c r="Q588" s="1" t="inlineStr">
        <is>
          <t>Пользовательский интерфейс</t>
        </is>
      </c>
    </row>
    <row r="589">
      <c r="B589" s="1" t="inlineStr">
        <is>
          <t>37117785</t>
        </is>
      </c>
      <c r="C589" s="1" t="inlineStr">
        <is>
          <t>2978778</t>
        </is>
      </c>
      <c r="D589" t="inlineStr">
        <is>
          <t>работник 162</t>
        </is>
      </c>
      <c r="E589" s="1" t="inlineStr">
        <is>
          <t>ОБЩЕСТВО С ОГРАНИЧЕННОЙ ОТВЕТСТВЕННОСТЬЮ "АМУР ЗОЛОТО"</t>
        </is>
      </c>
      <c r="F589" s="1" t="inlineStr">
        <is>
          <t>2708001686</t>
        </is>
      </c>
      <c r="G589" s="1" t="inlineStr">
        <is>
          <t>Проходчик (с исполнением обязанностей взрывника)</t>
        </is>
      </c>
      <c r="H589" s="1" t="inlineStr">
        <is>
          <t>ООО "Амур Золото"</t>
        </is>
      </c>
      <c r="I589" s="1" t="inlineStr">
        <is>
          <t>2708001686</t>
        </is>
      </c>
      <c r="J589" s="1" t="inlineStr">
        <is>
          <t>ОТ № ЮГОК ПГУ 24-01</t>
        </is>
      </c>
      <c r="K589" s="1" t="inlineStr">
        <is>
          <t>Оказание первой помощи пострадавшим</t>
        </is>
      </c>
      <c r="L589" s="1" t="inlineStr">
        <is>
          <t>19.01.2024</t>
        </is>
      </c>
      <c r="M589" s="1" t="inlineStr">
        <is>
          <t>Успешно</t>
        </is>
      </c>
      <c r="N589" s="1" t="inlineStr">
        <is>
          <t>05.02.2024</t>
        </is>
      </c>
      <c r="O589" s="1" t="inlineStr"/>
      <c r="P589" s="1" t="inlineStr"/>
      <c r="Q589" s="1" t="inlineStr">
        <is>
          <t>Пользовательский интерфейс</t>
        </is>
      </c>
    </row>
    <row r="590">
      <c r="B590" s="1" t="inlineStr">
        <is>
          <t>37117786</t>
        </is>
      </c>
      <c r="C590" s="1" t="inlineStr">
        <is>
          <t>2978778</t>
        </is>
      </c>
      <c r="D590" t="inlineStr">
        <is>
          <t>работник 162</t>
        </is>
      </c>
      <c r="E590" s="1" t="inlineStr">
        <is>
          <t>ОБЩЕСТВО С ОГРАНИЧЕННОЙ ОТВЕТСТВЕННОСТЬЮ "АМУР ЗОЛОТО"</t>
        </is>
      </c>
      <c r="F590" s="1" t="inlineStr">
        <is>
          <t>2708001686</t>
        </is>
      </c>
      <c r="G590" s="1" t="inlineStr">
        <is>
          <t>Проходчик (с исполнением обязанностей взрывника)</t>
        </is>
      </c>
      <c r="H590" s="1" t="inlineStr">
        <is>
          <t>ООО "Амур Золото"</t>
        </is>
      </c>
      <c r="I590" s="1" t="inlineStr">
        <is>
          <t>2708001686</t>
        </is>
      </c>
      <c r="J590" s="1" t="inlineStr">
        <is>
          <t>ОТ № ЮГОК ПГУ 24-01</t>
        </is>
      </c>
      <c r="K590" s="1" t="inlineStr">
        <is>
          <t>Использование (применение) средств индивидуальной защиты</t>
        </is>
      </c>
      <c r="L590" s="1" t="inlineStr">
        <is>
          <t>19.01.2024</t>
        </is>
      </c>
      <c r="M590" s="1" t="inlineStr">
        <is>
          <t>Успешно</t>
        </is>
      </c>
      <c r="N590" s="1" t="inlineStr">
        <is>
          <t>05.02.2024</t>
        </is>
      </c>
      <c r="O590" s="1" t="inlineStr"/>
      <c r="P590" s="1" t="inlineStr"/>
      <c r="Q590" s="1" t="inlineStr">
        <is>
          <t>Пользовательский интерфейс</t>
        </is>
      </c>
    </row>
    <row r="591">
      <c r="B591" s="1" t="inlineStr">
        <is>
          <t>37117787</t>
        </is>
      </c>
      <c r="C591" s="1" t="inlineStr">
        <is>
          <t>2978778</t>
        </is>
      </c>
      <c r="D591" t="inlineStr">
        <is>
          <t>работник 162</t>
        </is>
      </c>
      <c r="E591" s="1" t="inlineStr">
        <is>
          <t>ОБЩЕСТВО С ОГРАНИЧЕННОЙ ОТВЕТСТВЕННОСТЬЮ "АМУР ЗОЛОТО"</t>
        </is>
      </c>
      <c r="F591" s="1" t="inlineStr">
        <is>
          <t>2708001686</t>
        </is>
      </c>
      <c r="G591" s="1" t="inlineStr">
        <is>
          <t>Проходчик (с исполнением обязанностей взрывника)</t>
        </is>
      </c>
      <c r="H591" s="1" t="inlineStr">
        <is>
          <t>ООО "Амур Золото"</t>
        </is>
      </c>
      <c r="I591" s="1" t="inlineStr">
        <is>
          <t>2708001686</t>
        </is>
      </c>
      <c r="J591" s="1" t="inlineStr">
        <is>
          <t>ОТ № ЮГОК ПГУ 24-01</t>
        </is>
      </c>
      <c r="K59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591" s="1" t="inlineStr">
        <is>
          <t>19.01.2024</t>
        </is>
      </c>
      <c r="M591" s="1" t="inlineStr">
        <is>
          <t>Успешно</t>
        </is>
      </c>
      <c r="N591" s="1" t="inlineStr">
        <is>
          <t>05.02.2024</t>
        </is>
      </c>
      <c r="O591" s="1" t="inlineStr"/>
      <c r="P591" s="1" t="inlineStr"/>
      <c r="Q591" s="1" t="inlineStr">
        <is>
          <t>Пользовательский интерфейс</t>
        </is>
      </c>
    </row>
    <row r="592">
      <c r="B592" s="1" t="inlineStr">
        <is>
          <t>37117788</t>
        </is>
      </c>
      <c r="C592" s="1" t="inlineStr">
        <is>
          <t>2978778</t>
        </is>
      </c>
      <c r="D592" t="inlineStr">
        <is>
          <t>работник 163</t>
        </is>
      </c>
      <c r="E592" s="1" t="inlineStr">
        <is>
          <t>ОБЩЕСТВО С ОГРАНИЧЕННОЙ ОТВЕТСТВЕННОСТЬЮ "АМУР ЗОЛОТО"</t>
        </is>
      </c>
      <c r="F592" s="1" t="inlineStr">
        <is>
          <t>2708001686</t>
        </is>
      </c>
      <c r="G592" s="1" t="inlineStr">
        <is>
          <t>Машинист подземно-доставочной машины</t>
        </is>
      </c>
      <c r="H592" s="1" t="inlineStr">
        <is>
          <t>ООО "Амур Золото"</t>
        </is>
      </c>
      <c r="I592" s="1" t="inlineStr">
        <is>
          <t>2708001686</t>
        </is>
      </c>
      <c r="J592" s="1" t="inlineStr">
        <is>
          <t>ОТ № ЮГОК ПГУ 24-01</t>
        </is>
      </c>
      <c r="K592" s="1" t="inlineStr">
        <is>
          <t>Оказание первой помощи пострадавшим</t>
        </is>
      </c>
      <c r="L592" s="1" t="inlineStr">
        <is>
          <t>19.01.2024</t>
        </is>
      </c>
      <c r="M592" s="1" t="inlineStr">
        <is>
          <t>Успешно</t>
        </is>
      </c>
      <c r="N592" s="1" t="inlineStr">
        <is>
          <t>05.02.2024</t>
        </is>
      </c>
      <c r="O592" s="1" t="inlineStr"/>
      <c r="P592" s="1" t="inlineStr"/>
      <c r="Q592" s="1" t="inlineStr">
        <is>
          <t>Пользовательский интерфейс</t>
        </is>
      </c>
    </row>
    <row r="593">
      <c r="B593" s="1" t="inlineStr">
        <is>
          <t>37117789</t>
        </is>
      </c>
      <c r="C593" s="1" t="inlineStr">
        <is>
          <t>2978778</t>
        </is>
      </c>
      <c r="D593" t="inlineStr">
        <is>
          <t>работник 163</t>
        </is>
      </c>
      <c r="E593" s="1" t="inlineStr">
        <is>
          <t>ОБЩЕСТВО С ОГРАНИЧЕННОЙ ОТВЕТСТВЕННОСТЬЮ "АМУР ЗОЛОТО"</t>
        </is>
      </c>
      <c r="F593" s="1" t="inlineStr">
        <is>
          <t>2708001686</t>
        </is>
      </c>
      <c r="G593" s="1" t="inlineStr">
        <is>
          <t>Машинист подземно-доставочной машины</t>
        </is>
      </c>
      <c r="H593" s="1" t="inlineStr">
        <is>
          <t>ООО "Амур Золото"</t>
        </is>
      </c>
      <c r="I593" s="1" t="inlineStr">
        <is>
          <t>2708001686</t>
        </is>
      </c>
      <c r="J593" s="1" t="inlineStr">
        <is>
          <t>ОТ № ЮГОК ПГУ 24-01</t>
        </is>
      </c>
      <c r="K593" s="1" t="inlineStr">
        <is>
          <t>Использование (применение) средств индивидуальной защиты</t>
        </is>
      </c>
      <c r="L593" s="1" t="inlineStr">
        <is>
          <t>19.01.2024</t>
        </is>
      </c>
      <c r="M593" s="1" t="inlineStr">
        <is>
          <t>Успешно</t>
        </is>
      </c>
      <c r="N593" s="1" t="inlineStr">
        <is>
          <t>05.02.2024</t>
        </is>
      </c>
      <c r="O593" s="1" t="inlineStr"/>
      <c r="P593" s="1" t="inlineStr"/>
      <c r="Q593" s="1" t="inlineStr">
        <is>
          <t>Пользовательский интерфейс</t>
        </is>
      </c>
    </row>
    <row r="594">
      <c r="B594" s="1" t="inlineStr">
        <is>
          <t>37117790</t>
        </is>
      </c>
      <c r="C594" s="1" t="inlineStr">
        <is>
          <t>2978778</t>
        </is>
      </c>
      <c r="D594" t="inlineStr">
        <is>
          <t>работник 164</t>
        </is>
      </c>
      <c r="E594" s="1" t="inlineStr">
        <is>
          <t>ОБЩЕСТВО С ОГРАНИЧЕННОЙ ОТВЕТСТВЕННОСТЬЮ "АМУР ЗОЛОТО"</t>
        </is>
      </c>
      <c r="F594" s="1" t="inlineStr">
        <is>
          <t>2708001686</t>
        </is>
      </c>
      <c r="G594" s="1" t="inlineStr">
        <is>
          <t>Машинист самоходной буровой установки</t>
        </is>
      </c>
      <c r="H594" s="1" t="inlineStr">
        <is>
          <t>ООО "Амур Золото"</t>
        </is>
      </c>
      <c r="I594" s="1" t="inlineStr">
        <is>
          <t>2708001686</t>
        </is>
      </c>
      <c r="J594" s="1" t="inlineStr">
        <is>
          <t>ОТ № ЮГОК ПГУ 24-01</t>
        </is>
      </c>
      <c r="K594" s="1" t="inlineStr">
        <is>
          <t>Оказание первой помощи пострадавшим</t>
        </is>
      </c>
      <c r="L594" s="1" t="inlineStr">
        <is>
          <t>19.01.2024</t>
        </is>
      </c>
      <c r="M594" s="1" t="inlineStr">
        <is>
          <t>Успешно</t>
        </is>
      </c>
      <c r="N594" s="1" t="inlineStr">
        <is>
          <t>05.02.2024</t>
        </is>
      </c>
      <c r="O594" s="1" t="inlineStr"/>
      <c r="P594" s="1" t="inlineStr"/>
      <c r="Q594" s="1" t="inlineStr">
        <is>
          <t>Пользовательский интерфейс</t>
        </is>
      </c>
    </row>
    <row r="595">
      <c r="B595" s="1" t="inlineStr">
        <is>
          <t>37117791</t>
        </is>
      </c>
      <c r="C595" s="1" t="inlineStr">
        <is>
          <t>2978778</t>
        </is>
      </c>
      <c r="D595" t="inlineStr">
        <is>
          <t>работник 163</t>
        </is>
      </c>
      <c r="E595" s="1" t="inlineStr">
        <is>
          <t>ОБЩЕСТВО С ОГРАНИЧЕННОЙ ОТВЕТСТВЕННОСТЬЮ "АМУР ЗОЛОТО"</t>
        </is>
      </c>
      <c r="F595" s="1" t="inlineStr">
        <is>
          <t>2708001686</t>
        </is>
      </c>
      <c r="G595" s="1" t="inlineStr">
        <is>
          <t>Машинист подземно-доставочной машины</t>
        </is>
      </c>
      <c r="H595" s="1" t="inlineStr">
        <is>
          <t>ООО "Амур Золото"</t>
        </is>
      </c>
      <c r="I595" s="1" t="inlineStr">
        <is>
          <t>2708001686</t>
        </is>
      </c>
      <c r="J595" s="1" t="inlineStr">
        <is>
          <t>ОТ № ЮГОК ПГУ 24-01</t>
        </is>
      </c>
      <c r="K59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595" s="1" t="inlineStr">
        <is>
          <t>19.01.2024</t>
        </is>
      </c>
      <c r="M595" s="1" t="inlineStr">
        <is>
          <t>Успешно</t>
        </is>
      </c>
      <c r="N595" s="1" t="inlineStr">
        <is>
          <t>05.02.2024</t>
        </is>
      </c>
      <c r="O595" s="1" t="inlineStr"/>
      <c r="P595" s="1" t="inlineStr"/>
      <c r="Q595" s="1" t="inlineStr">
        <is>
          <t>Пользовательский интерфейс</t>
        </is>
      </c>
    </row>
    <row r="596">
      <c r="B596" s="1" t="inlineStr">
        <is>
          <t>37117792</t>
        </is>
      </c>
      <c r="C596" s="1" t="inlineStr">
        <is>
          <t>2978778</t>
        </is>
      </c>
      <c r="D596" t="inlineStr">
        <is>
          <t>работник 165</t>
        </is>
      </c>
      <c r="E596" s="1" t="inlineStr">
        <is>
          <t>ОБЩЕСТВО С ОГРАНИЧЕННОЙ ОТВЕТСТВЕННОСТЬЮ "АМУР ЗОЛОТО"</t>
        </is>
      </c>
      <c r="F596" s="1" t="inlineStr">
        <is>
          <t>2708001686</t>
        </is>
      </c>
      <c r="G596" s="1" t="inlineStr">
        <is>
          <t>Крепильщик</t>
        </is>
      </c>
      <c r="H596" s="1" t="inlineStr">
        <is>
          <t>ООО "Амур Золото"</t>
        </is>
      </c>
      <c r="I596" s="1" t="inlineStr">
        <is>
          <t>2708001686</t>
        </is>
      </c>
      <c r="J596" s="1" t="inlineStr">
        <is>
          <t>ОТ № ЮГОК ПГУ 24-01</t>
        </is>
      </c>
      <c r="K596" s="1" t="inlineStr">
        <is>
          <t>Оказание первой помощи пострадавшим</t>
        </is>
      </c>
      <c r="L596" s="1" t="inlineStr">
        <is>
          <t>19.01.2024</t>
        </is>
      </c>
      <c r="M596" s="1" t="inlineStr">
        <is>
          <t>Успешно</t>
        </is>
      </c>
      <c r="N596" s="1" t="inlineStr">
        <is>
          <t>05.02.2024</t>
        </is>
      </c>
      <c r="O596" s="1" t="inlineStr"/>
      <c r="P596" s="1" t="inlineStr"/>
      <c r="Q596" s="1" t="inlineStr">
        <is>
          <t>Пользовательский интерфейс</t>
        </is>
      </c>
    </row>
    <row r="597">
      <c r="B597" s="1" t="inlineStr">
        <is>
          <t>37117793</t>
        </is>
      </c>
      <c r="C597" s="1" t="inlineStr">
        <is>
          <t>2978778</t>
        </is>
      </c>
      <c r="D597" t="inlineStr">
        <is>
          <t>работник 165</t>
        </is>
      </c>
      <c r="E597" s="1" t="inlineStr">
        <is>
          <t>ОБЩЕСТВО С ОГРАНИЧЕННОЙ ОТВЕТСТВЕННОСТЬЮ "АМУР ЗОЛОТО"</t>
        </is>
      </c>
      <c r="F597" s="1" t="inlineStr">
        <is>
          <t>2708001686</t>
        </is>
      </c>
      <c r="G597" s="1" t="inlineStr">
        <is>
          <t>Крепильщик</t>
        </is>
      </c>
      <c r="H597" s="1" t="inlineStr">
        <is>
          <t>ООО "Амур Золото"</t>
        </is>
      </c>
      <c r="I597" s="1" t="inlineStr">
        <is>
          <t>2708001686</t>
        </is>
      </c>
      <c r="J597" s="1" t="inlineStr">
        <is>
          <t>ОТ № ЮГОК ПГУ 24-01</t>
        </is>
      </c>
      <c r="K597" s="1" t="inlineStr">
        <is>
          <t>Использование (применение) средств индивидуальной защиты</t>
        </is>
      </c>
      <c r="L597" s="1" t="inlineStr">
        <is>
          <t>19.01.2024</t>
        </is>
      </c>
      <c r="M597" s="1" t="inlineStr">
        <is>
          <t>Успешно</t>
        </is>
      </c>
      <c r="N597" s="1" t="inlineStr">
        <is>
          <t>05.02.2024</t>
        </is>
      </c>
      <c r="O597" s="1" t="inlineStr"/>
      <c r="P597" s="1" t="inlineStr"/>
      <c r="Q597" s="1" t="inlineStr">
        <is>
          <t>Пользовательский интерфейс</t>
        </is>
      </c>
    </row>
    <row r="598">
      <c r="B598" s="1" t="inlineStr">
        <is>
          <t>37117794</t>
        </is>
      </c>
      <c r="C598" s="1" t="inlineStr">
        <is>
          <t>2978778</t>
        </is>
      </c>
      <c r="D598" t="inlineStr">
        <is>
          <t>работник 165</t>
        </is>
      </c>
      <c r="E598" s="1" t="inlineStr">
        <is>
          <t>ОБЩЕСТВО С ОГРАНИЧЕННОЙ ОТВЕТСТВЕННОСТЬЮ "АМУР ЗОЛОТО"</t>
        </is>
      </c>
      <c r="F598" s="1" t="inlineStr">
        <is>
          <t>2708001686</t>
        </is>
      </c>
      <c r="G598" s="1" t="inlineStr">
        <is>
          <t>Крепильщик</t>
        </is>
      </c>
      <c r="H598" s="1" t="inlineStr">
        <is>
          <t>ООО "Амур Золото"</t>
        </is>
      </c>
      <c r="I598" s="1" t="inlineStr">
        <is>
          <t>2708001686</t>
        </is>
      </c>
      <c r="J598" s="1" t="inlineStr">
        <is>
          <t>ОТ № ЮГОК ПГУ 24-01</t>
        </is>
      </c>
      <c r="K59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598" s="1" t="inlineStr">
        <is>
          <t>19.01.2024</t>
        </is>
      </c>
      <c r="M598" s="1" t="inlineStr">
        <is>
          <t>Успешно</t>
        </is>
      </c>
      <c r="N598" s="1" t="inlineStr">
        <is>
          <t>05.02.2024</t>
        </is>
      </c>
      <c r="O598" s="1" t="inlineStr"/>
      <c r="P598" s="1" t="inlineStr"/>
      <c r="Q598" s="1" t="inlineStr">
        <is>
          <t>Пользовательский интерфейс</t>
        </is>
      </c>
    </row>
    <row r="599">
      <c r="B599" s="1" t="inlineStr">
        <is>
          <t>37117795</t>
        </is>
      </c>
      <c r="C599" s="1" t="inlineStr">
        <is>
          <t>2978778</t>
        </is>
      </c>
      <c r="D599" t="inlineStr">
        <is>
          <t>работник 166</t>
        </is>
      </c>
      <c r="E599" s="1" t="inlineStr">
        <is>
          <t>ОБЩЕСТВО С ОГРАНИЧЕННОЙ ОТВЕТСТВЕННОСТЬЮ "АМУР ЗОЛОТО"</t>
        </is>
      </c>
      <c r="F599" s="1" t="inlineStr">
        <is>
          <t>2708001686</t>
        </is>
      </c>
      <c r="G599" s="1" t="inlineStr">
        <is>
          <t>Машинист подземно-доставочной машины</t>
        </is>
      </c>
      <c r="H599" s="1" t="inlineStr">
        <is>
          <t>ООО "Амур Золото"</t>
        </is>
      </c>
      <c r="I599" s="1" t="inlineStr">
        <is>
          <t>2708001686</t>
        </is>
      </c>
      <c r="J599" s="1" t="inlineStr">
        <is>
          <t>ОТ № ЮГОК ПГУ 24-01</t>
        </is>
      </c>
      <c r="K599" s="1" t="inlineStr">
        <is>
          <t>Оказание первой помощи пострадавшим</t>
        </is>
      </c>
      <c r="L599" s="1" t="inlineStr">
        <is>
          <t>19.01.2024</t>
        </is>
      </c>
      <c r="M599" s="1" t="inlineStr">
        <is>
          <t>Успешно</t>
        </is>
      </c>
      <c r="N599" s="1" t="inlineStr">
        <is>
          <t>05.02.2024</t>
        </is>
      </c>
      <c r="O599" s="1" t="inlineStr"/>
      <c r="P599" s="1" t="inlineStr"/>
      <c r="Q599" s="1" t="inlineStr">
        <is>
          <t>Пользовательский интерфейс</t>
        </is>
      </c>
    </row>
    <row r="600">
      <c r="B600" s="1" t="inlineStr">
        <is>
          <t>37117796</t>
        </is>
      </c>
      <c r="C600" s="1" t="inlineStr">
        <is>
          <t>2978778</t>
        </is>
      </c>
      <c r="D600" t="inlineStr">
        <is>
          <t>работник 166</t>
        </is>
      </c>
      <c r="E600" s="1" t="inlineStr">
        <is>
          <t>ОБЩЕСТВО С ОГРАНИЧЕННОЙ ОТВЕТСТВЕННОСТЬЮ "АМУР ЗОЛОТО"</t>
        </is>
      </c>
      <c r="F600" s="1" t="inlineStr">
        <is>
          <t>2708001686</t>
        </is>
      </c>
      <c r="G600" s="1" t="inlineStr">
        <is>
          <t>Машинист подземно-доставочной машины</t>
        </is>
      </c>
      <c r="H600" s="1" t="inlineStr">
        <is>
          <t>ООО "Амур Золото"</t>
        </is>
      </c>
      <c r="I600" s="1" t="inlineStr">
        <is>
          <t>2708001686</t>
        </is>
      </c>
      <c r="J600" s="1" t="inlineStr">
        <is>
          <t>ОТ № ЮГОК ПГУ 24-01</t>
        </is>
      </c>
      <c r="K600" s="1" t="inlineStr">
        <is>
          <t>Использование (применение) средств индивидуальной защиты</t>
        </is>
      </c>
      <c r="L600" s="1" t="inlineStr">
        <is>
          <t>19.01.2024</t>
        </is>
      </c>
      <c r="M600" s="1" t="inlineStr">
        <is>
          <t>Успешно</t>
        </is>
      </c>
      <c r="N600" s="1" t="inlineStr">
        <is>
          <t>05.02.2024</t>
        </is>
      </c>
      <c r="O600" s="1" t="inlineStr"/>
      <c r="P600" s="1" t="inlineStr"/>
      <c r="Q600" s="1" t="inlineStr">
        <is>
          <t>Пользовательский интерфейс</t>
        </is>
      </c>
    </row>
    <row r="601">
      <c r="B601" s="1" t="inlineStr">
        <is>
          <t>37117797</t>
        </is>
      </c>
      <c r="C601" s="1" t="inlineStr">
        <is>
          <t>2978778</t>
        </is>
      </c>
      <c r="D601" t="inlineStr">
        <is>
          <t>работник 166</t>
        </is>
      </c>
      <c r="E601" s="1" t="inlineStr">
        <is>
          <t>ОБЩЕСТВО С ОГРАНИЧЕННОЙ ОТВЕТСТВЕННОСТЬЮ "АМУР ЗОЛОТО"</t>
        </is>
      </c>
      <c r="F601" s="1" t="inlineStr">
        <is>
          <t>2708001686</t>
        </is>
      </c>
      <c r="G601" s="1" t="inlineStr">
        <is>
          <t>Машинист подземно-доставочной машины</t>
        </is>
      </c>
      <c r="H601" s="1" t="inlineStr">
        <is>
          <t>ООО "Амур Золото"</t>
        </is>
      </c>
      <c r="I601" s="1" t="inlineStr">
        <is>
          <t>2708001686</t>
        </is>
      </c>
      <c r="J601" s="1" t="inlineStr">
        <is>
          <t>ОТ № ЮГОК ПГУ 24-01</t>
        </is>
      </c>
      <c r="K60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601" s="1" t="inlineStr">
        <is>
          <t>19.01.2024</t>
        </is>
      </c>
      <c r="M601" s="1" t="inlineStr">
        <is>
          <t>Успешно</t>
        </is>
      </c>
      <c r="N601" s="1" t="inlineStr">
        <is>
          <t>05.02.2024</t>
        </is>
      </c>
      <c r="O601" s="1" t="inlineStr"/>
      <c r="P601" s="1" t="inlineStr"/>
      <c r="Q601" s="1" t="inlineStr">
        <is>
          <t>Пользовательский интерфейс</t>
        </is>
      </c>
    </row>
    <row r="602">
      <c r="B602" s="1" t="inlineStr">
        <is>
          <t>37117798</t>
        </is>
      </c>
      <c r="C602" s="1" t="inlineStr">
        <is>
          <t>2978778</t>
        </is>
      </c>
      <c r="D602" t="inlineStr">
        <is>
          <t>работник 167</t>
        </is>
      </c>
      <c r="E602" s="1" t="inlineStr">
        <is>
          <t>ОБЩЕСТВО С ОГРАНИЧЕННОЙ ОТВЕТСТВЕННОСТЬЮ "АМУР ЗОЛОТО"</t>
        </is>
      </c>
      <c r="F602" s="1" t="inlineStr">
        <is>
          <t>2708001686</t>
        </is>
      </c>
      <c r="G602" s="1" t="inlineStr">
        <is>
          <t>Машинист подземно-доставочной машины</t>
        </is>
      </c>
      <c r="H602" s="1" t="inlineStr">
        <is>
          <t>ООО "Амур Золото"</t>
        </is>
      </c>
      <c r="I602" s="1" t="inlineStr">
        <is>
          <t>2708001686</t>
        </is>
      </c>
      <c r="J602" s="1" t="inlineStr">
        <is>
          <t>ОТ № ЮГОК ПГУ 24-01</t>
        </is>
      </c>
      <c r="K602" s="1" t="inlineStr">
        <is>
          <t>Оказание первой помощи пострадавшим</t>
        </is>
      </c>
      <c r="L602" s="1" t="inlineStr">
        <is>
          <t>19.01.2024</t>
        </is>
      </c>
      <c r="M602" s="1" t="inlineStr">
        <is>
          <t>Успешно</t>
        </is>
      </c>
      <c r="N602" s="1" t="inlineStr">
        <is>
          <t>05.02.2024</t>
        </is>
      </c>
      <c r="O602" s="1" t="inlineStr"/>
      <c r="P602" s="1" t="inlineStr"/>
      <c r="Q602" s="1" t="inlineStr">
        <is>
          <t>Пользовательский интерфейс</t>
        </is>
      </c>
    </row>
    <row r="603">
      <c r="B603" s="1" t="inlineStr">
        <is>
          <t>37117799</t>
        </is>
      </c>
      <c r="C603" s="1" t="inlineStr">
        <is>
          <t>2978778</t>
        </is>
      </c>
      <c r="D603" t="inlineStr">
        <is>
          <t>работник 167</t>
        </is>
      </c>
      <c r="E603" s="1" t="inlineStr">
        <is>
          <t>ОБЩЕСТВО С ОГРАНИЧЕННОЙ ОТВЕТСТВЕННОСТЬЮ "АМУР ЗОЛОТО"</t>
        </is>
      </c>
      <c r="F603" s="1" t="inlineStr">
        <is>
          <t>2708001686</t>
        </is>
      </c>
      <c r="G603" s="1" t="inlineStr">
        <is>
          <t>Машинист подземно-доставочной машины</t>
        </is>
      </c>
      <c r="H603" s="1" t="inlineStr">
        <is>
          <t>ООО "Амур Золото"</t>
        </is>
      </c>
      <c r="I603" s="1" t="inlineStr">
        <is>
          <t>2708001686</t>
        </is>
      </c>
      <c r="J603" s="1" t="inlineStr">
        <is>
          <t>ОТ № ЮГОК ПГУ 24-01</t>
        </is>
      </c>
      <c r="K603" s="1" t="inlineStr">
        <is>
          <t>Использование (применение) средств индивидуальной защиты</t>
        </is>
      </c>
      <c r="L603" s="1" t="inlineStr">
        <is>
          <t>19.01.2024</t>
        </is>
      </c>
      <c r="M603" s="1" t="inlineStr">
        <is>
          <t>Успешно</t>
        </is>
      </c>
      <c r="N603" s="1" t="inlineStr">
        <is>
          <t>05.02.2024</t>
        </is>
      </c>
      <c r="O603" s="1" t="inlineStr"/>
      <c r="P603" s="1" t="inlineStr"/>
      <c r="Q603" s="1" t="inlineStr">
        <is>
          <t>Пользовательский интерфейс</t>
        </is>
      </c>
    </row>
    <row r="604">
      <c r="B604" s="1" t="inlineStr">
        <is>
          <t>37117800</t>
        </is>
      </c>
      <c r="C604" s="1" t="inlineStr">
        <is>
          <t>2978778</t>
        </is>
      </c>
      <c r="D604" t="inlineStr">
        <is>
          <t>работник 167</t>
        </is>
      </c>
      <c r="E604" s="1" t="inlineStr">
        <is>
          <t>ОБЩЕСТВО С ОГРАНИЧЕННОЙ ОТВЕТСТВЕННОСТЬЮ "АМУР ЗОЛОТО"</t>
        </is>
      </c>
      <c r="F604" s="1" t="inlineStr">
        <is>
          <t>2708001686</t>
        </is>
      </c>
      <c r="G604" s="1" t="inlineStr">
        <is>
          <t>Машинист подземно-доставочной машины</t>
        </is>
      </c>
      <c r="H604" s="1" t="inlineStr">
        <is>
          <t>ООО "Амур Золото"</t>
        </is>
      </c>
      <c r="I604" s="1" t="inlineStr">
        <is>
          <t>2708001686</t>
        </is>
      </c>
      <c r="J604" s="1" t="inlineStr">
        <is>
          <t>ОТ № ЮГОК ПГУ 24-01</t>
        </is>
      </c>
      <c r="K60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604" s="1" t="inlineStr">
        <is>
          <t>19.01.2024</t>
        </is>
      </c>
      <c r="M604" s="1" t="inlineStr">
        <is>
          <t>Успешно</t>
        </is>
      </c>
      <c r="N604" s="1" t="inlineStr">
        <is>
          <t>05.02.2024</t>
        </is>
      </c>
      <c r="O604" s="1" t="inlineStr"/>
      <c r="P604" s="1" t="inlineStr"/>
      <c r="Q604" s="1" t="inlineStr">
        <is>
          <t>Пользовательский интерфейс</t>
        </is>
      </c>
    </row>
    <row r="605">
      <c r="B605" s="1" t="inlineStr">
        <is>
          <t>37117801</t>
        </is>
      </c>
      <c r="C605" s="1" t="inlineStr">
        <is>
          <t>2978778</t>
        </is>
      </c>
      <c r="D605" t="inlineStr">
        <is>
          <t>работник 168</t>
        </is>
      </c>
      <c r="E605" s="1" t="inlineStr">
        <is>
          <t>ОБЩЕСТВО С ОГРАНИЧЕННОЙ ОТВЕТСТВЕННОСТЬЮ "АМУР ЗОЛОТО"</t>
        </is>
      </c>
      <c r="F605" s="1" t="inlineStr">
        <is>
          <t>2708001686</t>
        </is>
      </c>
      <c r="G605" s="1" t="inlineStr">
        <is>
          <t>Проходчик (с исполнением обязанностей взрывника)</t>
        </is>
      </c>
      <c r="H605" s="1" t="inlineStr">
        <is>
          <t>ООО "Амур Золото"</t>
        </is>
      </c>
      <c r="I605" s="1" t="inlineStr">
        <is>
          <t>2708001686</t>
        </is>
      </c>
      <c r="J605" s="1" t="inlineStr">
        <is>
          <t>ОТ № ЮГОК ПГУ 24-01</t>
        </is>
      </c>
      <c r="K605" s="1" t="inlineStr">
        <is>
          <t>Оказание первой помощи пострадавшим</t>
        </is>
      </c>
      <c r="L605" s="1" t="inlineStr">
        <is>
          <t>19.01.2024</t>
        </is>
      </c>
      <c r="M605" s="1" t="inlineStr">
        <is>
          <t>Успешно</t>
        </is>
      </c>
      <c r="N605" s="1" t="inlineStr">
        <is>
          <t>05.02.2024</t>
        </is>
      </c>
      <c r="O605" s="1" t="inlineStr"/>
      <c r="P605" s="1" t="inlineStr"/>
      <c r="Q605" s="1" t="inlineStr">
        <is>
          <t>Пользовательский интерфейс</t>
        </is>
      </c>
    </row>
    <row r="606">
      <c r="B606" s="1" t="inlineStr">
        <is>
          <t>37117802</t>
        </is>
      </c>
      <c r="C606" s="1" t="inlineStr">
        <is>
          <t>2978778</t>
        </is>
      </c>
      <c r="D606" t="inlineStr">
        <is>
          <t>работник 168</t>
        </is>
      </c>
      <c r="E606" s="1" t="inlineStr">
        <is>
          <t>ОБЩЕСТВО С ОГРАНИЧЕННОЙ ОТВЕТСТВЕННОСТЬЮ "АМУР ЗОЛОТО"</t>
        </is>
      </c>
      <c r="F606" s="1" t="inlineStr">
        <is>
          <t>2708001686</t>
        </is>
      </c>
      <c r="G606" s="1" t="inlineStr">
        <is>
          <t>Проходчик (с исполнением обязанностей взрывника)</t>
        </is>
      </c>
      <c r="H606" s="1" t="inlineStr">
        <is>
          <t>ООО "Амур Золото"</t>
        </is>
      </c>
      <c r="I606" s="1" t="inlineStr">
        <is>
          <t>2708001686</t>
        </is>
      </c>
      <c r="J606" s="1" t="inlineStr">
        <is>
          <t>ОТ № ЮГОК ПГУ 24-01</t>
        </is>
      </c>
      <c r="K606" s="1" t="inlineStr">
        <is>
          <t>Использование (применение) средств индивидуальной защиты</t>
        </is>
      </c>
      <c r="L606" s="1" t="inlineStr">
        <is>
          <t>19.01.2024</t>
        </is>
      </c>
      <c r="M606" s="1" t="inlineStr">
        <is>
          <t>Успешно</t>
        </is>
      </c>
      <c r="N606" s="1" t="inlineStr">
        <is>
          <t>05.02.2024</t>
        </is>
      </c>
      <c r="O606" s="1" t="inlineStr"/>
      <c r="P606" s="1" t="inlineStr"/>
      <c r="Q606" s="1" t="inlineStr">
        <is>
          <t>Пользовательский интерфейс</t>
        </is>
      </c>
    </row>
    <row r="607">
      <c r="B607" s="1" t="inlineStr">
        <is>
          <t>37117803</t>
        </is>
      </c>
      <c r="C607" s="1" t="inlineStr">
        <is>
          <t>2978778</t>
        </is>
      </c>
      <c r="D607" t="inlineStr">
        <is>
          <t>работник 168</t>
        </is>
      </c>
      <c r="E607" s="1" t="inlineStr">
        <is>
          <t>ОБЩЕСТВО С ОГРАНИЧЕННОЙ ОТВЕТСТВЕННОСТЬЮ "АМУР ЗОЛОТО"</t>
        </is>
      </c>
      <c r="F607" s="1" t="inlineStr">
        <is>
          <t>2708001686</t>
        </is>
      </c>
      <c r="G607" s="1" t="inlineStr">
        <is>
          <t>Проходчик (с исполнением обязанностей взрывника)</t>
        </is>
      </c>
      <c r="H607" s="1" t="inlineStr">
        <is>
          <t>ООО "Амур Золото"</t>
        </is>
      </c>
      <c r="I607" s="1" t="inlineStr">
        <is>
          <t>2708001686</t>
        </is>
      </c>
      <c r="J607" s="1" t="inlineStr">
        <is>
          <t>ОТ № ЮГОК ПГУ 24-01</t>
        </is>
      </c>
      <c r="K60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607" s="1" t="inlineStr">
        <is>
          <t>19.01.2024</t>
        </is>
      </c>
      <c r="M607" s="1" t="inlineStr">
        <is>
          <t>Успешно</t>
        </is>
      </c>
      <c r="N607" s="1" t="inlineStr">
        <is>
          <t>05.02.2024</t>
        </is>
      </c>
      <c r="O607" s="1" t="inlineStr"/>
      <c r="P607" s="1" t="inlineStr"/>
      <c r="Q607" s="1" t="inlineStr">
        <is>
          <t>Пользовательский интерфейс</t>
        </is>
      </c>
    </row>
    <row r="608">
      <c r="B608" s="1" t="inlineStr">
        <is>
          <t>37117804</t>
        </is>
      </c>
      <c r="C608" s="1" t="inlineStr">
        <is>
          <t>2978778</t>
        </is>
      </c>
      <c r="D608" t="inlineStr">
        <is>
          <t>работник 164</t>
        </is>
      </c>
      <c r="E608" s="1" t="inlineStr">
        <is>
          <t>ОБЩЕСТВО С ОГРАНИЧЕННОЙ ОТВЕТСТВЕННОСТЬЮ "АМУР ЗОЛОТО"</t>
        </is>
      </c>
      <c r="F608" s="1" t="inlineStr">
        <is>
          <t>2708001686</t>
        </is>
      </c>
      <c r="G608" s="1" t="inlineStr">
        <is>
          <t>Машинист самоходной буровой установки</t>
        </is>
      </c>
      <c r="H608" s="1" t="inlineStr">
        <is>
          <t>ООО "Амур Золото"</t>
        </is>
      </c>
      <c r="I608" s="1" t="inlineStr">
        <is>
          <t>2708001686</t>
        </is>
      </c>
      <c r="J608" s="1" t="inlineStr">
        <is>
          <t>ОТ № ЮГОК ПГУ 24-01</t>
        </is>
      </c>
      <c r="K608" s="1" t="inlineStr">
        <is>
          <t>Использование (применение) средств индивидуальной защиты</t>
        </is>
      </c>
      <c r="L608" s="1" t="inlineStr">
        <is>
          <t>19.01.2024</t>
        </is>
      </c>
      <c r="M608" s="1" t="inlineStr">
        <is>
          <t>Успешно</t>
        </is>
      </c>
      <c r="N608" s="1" t="inlineStr">
        <is>
          <t>05.02.2024</t>
        </is>
      </c>
      <c r="O608" s="1" t="inlineStr"/>
      <c r="P608" s="1" t="inlineStr"/>
      <c r="Q608" s="1" t="inlineStr">
        <is>
          <t>Пользовательский интерфейс</t>
        </is>
      </c>
    </row>
    <row r="609">
      <c r="B609" s="1" t="inlineStr">
        <is>
          <t>37117805</t>
        </is>
      </c>
      <c r="C609" s="1" t="inlineStr">
        <is>
          <t>2978778</t>
        </is>
      </c>
      <c r="D609" t="inlineStr">
        <is>
          <t>работник 164</t>
        </is>
      </c>
      <c r="E609" s="1" t="inlineStr">
        <is>
          <t>ОБЩЕСТВО С ОГРАНИЧЕННОЙ ОТВЕТСТВЕННОСТЬЮ "АМУР ЗОЛОТО"</t>
        </is>
      </c>
      <c r="F609" s="1" t="inlineStr">
        <is>
          <t>2708001686</t>
        </is>
      </c>
      <c r="G609" s="1" t="inlineStr">
        <is>
          <t>Машинист самоходной буровой установки</t>
        </is>
      </c>
      <c r="H609" s="1" t="inlineStr">
        <is>
          <t>ООО "Амур Золото"</t>
        </is>
      </c>
      <c r="I609" s="1" t="inlineStr">
        <is>
          <t>2708001686</t>
        </is>
      </c>
      <c r="J609" s="1" t="inlineStr">
        <is>
          <t>ОТ № ЮГОК ПГУ 24-01</t>
        </is>
      </c>
      <c r="K60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609" s="1" t="inlineStr">
        <is>
          <t>19.01.2024</t>
        </is>
      </c>
      <c r="M609" s="1" t="inlineStr">
        <is>
          <t>Успешно</t>
        </is>
      </c>
      <c r="N609" s="1" t="inlineStr">
        <is>
          <t>05.02.2024</t>
        </is>
      </c>
      <c r="O609" s="1" t="inlineStr"/>
      <c r="P609" s="1" t="inlineStr"/>
      <c r="Q609" s="1" t="inlineStr">
        <is>
          <t>Пользовательский интерфейс</t>
        </is>
      </c>
    </row>
    <row r="610">
      <c r="B610" s="1" t="inlineStr">
        <is>
          <t>37117806</t>
        </is>
      </c>
      <c r="C610" s="1" t="inlineStr">
        <is>
          <t>2978778</t>
        </is>
      </c>
      <c r="D610" t="inlineStr">
        <is>
          <t>работник 169</t>
        </is>
      </c>
      <c r="E610" s="1" t="inlineStr">
        <is>
          <t>ОБЩЕСТВО С ОГРАНИЧЕННОЙ ОТВЕТСТВЕННОСТЬЮ "АМУР ЗОЛОТО"</t>
        </is>
      </c>
      <c r="F610" s="1" t="inlineStr">
        <is>
          <t>2708001686</t>
        </is>
      </c>
      <c r="G610" s="1" t="inlineStr">
        <is>
          <t>Машинист подземно-доставочной машины</t>
        </is>
      </c>
      <c r="H610" s="1" t="inlineStr">
        <is>
          <t>ООО "Амур Золото"</t>
        </is>
      </c>
      <c r="I610" s="1" t="inlineStr">
        <is>
          <t>2708001686</t>
        </is>
      </c>
      <c r="J610" s="1" t="inlineStr">
        <is>
          <t>ОТ № ЮГОК ПГУ 24-01</t>
        </is>
      </c>
      <c r="K610" s="1" t="inlineStr">
        <is>
          <t>Оказание первой помощи пострадавшим</t>
        </is>
      </c>
      <c r="L610" s="1" t="inlineStr">
        <is>
          <t>19.01.2024</t>
        </is>
      </c>
      <c r="M610" s="1" t="inlineStr">
        <is>
          <t>Успешно</t>
        </is>
      </c>
      <c r="N610" s="1" t="inlineStr">
        <is>
          <t>05.02.2024</t>
        </is>
      </c>
      <c r="O610" s="1" t="inlineStr"/>
      <c r="P610" s="1" t="inlineStr"/>
      <c r="Q610" s="1" t="inlineStr">
        <is>
          <t>Пользовательский интерфейс</t>
        </is>
      </c>
    </row>
    <row r="611">
      <c r="B611" s="1" t="inlineStr">
        <is>
          <t>37117807</t>
        </is>
      </c>
      <c r="C611" s="1" t="inlineStr">
        <is>
          <t>2978778</t>
        </is>
      </c>
      <c r="D611" t="inlineStr">
        <is>
          <t>работник 169</t>
        </is>
      </c>
      <c r="E611" s="1" t="inlineStr">
        <is>
          <t>ОБЩЕСТВО С ОГРАНИЧЕННОЙ ОТВЕТСТВЕННОСТЬЮ "АМУР ЗОЛОТО"</t>
        </is>
      </c>
      <c r="F611" s="1" t="inlineStr">
        <is>
          <t>2708001686</t>
        </is>
      </c>
      <c r="G611" s="1" t="inlineStr">
        <is>
          <t>Машинист подземно-доставочной машины</t>
        </is>
      </c>
      <c r="H611" s="1" t="inlineStr">
        <is>
          <t>ООО "Амур Золото"</t>
        </is>
      </c>
      <c r="I611" s="1" t="inlineStr">
        <is>
          <t>2708001686</t>
        </is>
      </c>
      <c r="J611" s="1" t="inlineStr">
        <is>
          <t>ОТ № ЮГОК ПГУ 24-01</t>
        </is>
      </c>
      <c r="K611" s="1" t="inlineStr">
        <is>
          <t>Использование (применение) средств индивидуальной защиты</t>
        </is>
      </c>
      <c r="L611" s="1" t="inlineStr">
        <is>
          <t>19.01.2024</t>
        </is>
      </c>
      <c r="M611" s="1" t="inlineStr">
        <is>
          <t>Успешно</t>
        </is>
      </c>
      <c r="N611" s="1" t="inlineStr">
        <is>
          <t>05.02.2024</t>
        </is>
      </c>
      <c r="O611" s="1" t="inlineStr"/>
      <c r="P611" s="1" t="inlineStr"/>
      <c r="Q611" s="1" t="inlineStr">
        <is>
          <t>Пользовательский интерфейс</t>
        </is>
      </c>
    </row>
    <row r="612">
      <c r="B612" s="1" t="inlineStr">
        <is>
          <t>37117808</t>
        </is>
      </c>
      <c r="C612" s="1" t="inlineStr">
        <is>
          <t>2978778</t>
        </is>
      </c>
      <c r="D612" t="inlineStr">
        <is>
          <t>работник 169</t>
        </is>
      </c>
      <c r="E612" s="1" t="inlineStr">
        <is>
          <t>ОБЩЕСТВО С ОГРАНИЧЕННОЙ ОТВЕТСТВЕННОСТЬЮ "АМУР ЗОЛОТО"</t>
        </is>
      </c>
      <c r="F612" s="1" t="inlineStr">
        <is>
          <t>2708001686</t>
        </is>
      </c>
      <c r="G612" s="1" t="inlineStr">
        <is>
          <t>Машинист подземно-доставочной машины</t>
        </is>
      </c>
      <c r="H612" s="1" t="inlineStr">
        <is>
          <t>ООО "Амур Золото"</t>
        </is>
      </c>
      <c r="I612" s="1" t="inlineStr">
        <is>
          <t>2708001686</t>
        </is>
      </c>
      <c r="J612" s="1" t="inlineStr">
        <is>
          <t>ОТ № ЮГОК ПГУ 24-01</t>
        </is>
      </c>
      <c r="K61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612" s="1" t="inlineStr">
        <is>
          <t>19.01.2024</t>
        </is>
      </c>
      <c r="M612" s="1" t="inlineStr">
        <is>
          <t>Успешно</t>
        </is>
      </c>
      <c r="N612" s="1" t="inlineStr">
        <is>
          <t>05.02.2024</t>
        </is>
      </c>
      <c r="O612" s="1" t="inlineStr"/>
      <c r="P612" s="1" t="inlineStr"/>
      <c r="Q612" s="1" t="inlineStr">
        <is>
          <t>Пользовательский интерфейс</t>
        </is>
      </c>
    </row>
    <row r="613">
      <c r="B613" s="1" t="inlineStr">
        <is>
          <t>37117809</t>
        </is>
      </c>
      <c r="C613" s="1" t="inlineStr">
        <is>
          <t>2978778</t>
        </is>
      </c>
      <c r="D613" t="inlineStr">
        <is>
          <t>работник 170</t>
        </is>
      </c>
      <c r="E613" s="1" t="inlineStr">
        <is>
          <t>ОБЩЕСТВО С ОГРАНИЧЕННОЙ ОТВЕТСТВЕННОСТЬЮ "АМУР ЗОЛОТО"</t>
        </is>
      </c>
      <c r="F613" s="1" t="inlineStr">
        <is>
          <t>2708001686</t>
        </is>
      </c>
      <c r="G613" s="1" t="inlineStr">
        <is>
          <t>Горный диспетчер</t>
        </is>
      </c>
      <c r="H613" s="1" t="inlineStr">
        <is>
          <t>ООО "Амур Золото"</t>
        </is>
      </c>
      <c r="I613" s="1" t="inlineStr">
        <is>
          <t>2708001686</t>
        </is>
      </c>
      <c r="J613" s="1" t="inlineStr">
        <is>
          <t>ОТ № ЮГОК ПГУ 24-01</t>
        </is>
      </c>
      <c r="K613" s="1" t="inlineStr">
        <is>
          <t>Оказание первой помощи пострадавшим</t>
        </is>
      </c>
      <c r="L613" s="1" t="inlineStr">
        <is>
          <t>19.01.2024</t>
        </is>
      </c>
      <c r="M613" s="1" t="inlineStr">
        <is>
          <t>Успешно</t>
        </is>
      </c>
      <c r="N613" s="1" t="inlineStr">
        <is>
          <t>05.02.2024</t>
        </is>
      </c>
      <c r="O613" s="1" t="inlineStr"/>
      <c r="P613" s="1" t="inlineStr"/>
      <c r="Q613" s="1" t="inlineStr">
        <is>
          <t>Пользовательский интерфейс</t>
        </is>
      </c>
    </row>
    <row r="614">
      <c r="B614" s="1" t="inlineStr">
        <is>
          <t>37117810</t>
        </is>
      </c>
      <c r="C614" s="1" t="inlineStr">
        <is>
          <t>2978778</t>
        </is>
      </c>
      <c r="D614" t="inlineStr">
        <is>
          <t>работник 170</t>
        </is>
      </c>
      <c r="E614" s="1" t="inlineStr">
        <is>
          <t>ОБЩЕСТВО С ОГРАНИЧЕННОЙ ОТВЕТСТВЕННОСТЬЮ "АМУР ЗОЛОТО"</t>
        </is>
      </c>
      <c r="F614" s="1" t="inlineStr">
        <is>
          <t>2708001686</t>
        </is>
      </c>
      <c r="G614" s="1" t="inlineStr">
        <is>
          <t>Горный диспетчер</t>
        </is>
      </c>
      <c r="H614" s="1" t="inlineStr">
        <is>
          <t>ООО "Амур Золото"</t>
        </is>
      </c>
      <c r="I614" s="1" t="inlineStr">
        <is>
          <t>2708001686</t>
        </is>
      </c>
      <c r="J614" s="1" t="inlineStr">
        <is>
          <t>ОТ № ЮГОК ПГУ 24-01</t>
        </is>
      </c>
      <c r="K614" s="1" t="inlineStr">
        <is>
          <t>Использование (применение) средств индивидуальной защиты</t>
        </is>
      </c>
      <c r="L614" s="1" t="inlineStr">
        <is>
          <t>19.01.2024</t>
        </is>
      </c>
      <c r="M614" s="1" t="inlineStr">
        <is>
          <t>Успешно</t>
        </is>
      </c>
      <c r="N614" s="1" t="inlineStr">
        <is>
          <t>05.02.2024</t>
        </is>
      </c>
      <c r="O614" s="1" t="inlineStr"/>
      <c r="P614" s="1" t="inlineStr"/>
      <c r="Q614" s="1" t="inlineStr">
        <is>
          <t>Пользовательский интерфейс</t>
        </is>
      </c>
    </row>
    <row r="615">
      <c r="B615" s="1" t="inlineStr">
        <is>
          <t>37117811</t>
        </is>
      </c>
      <c r="C615" s="1" t="inlineStr">
        <is>
          <t>2978778</t>
        </is>
      </c>
      <c r="D615" t="inlineStr">
        <is>
          <t>работник 170</t>
        </is>
      </c>
      <c r="E615" s="1" t="inlineStr">
        <is>
          <t>ОБЩЕСТВО С ОГРАНИЧЕННОЙ ОТВЕТСТВЕННОСТЬЮ "АМУР ЗОЛОТО"</t>
        </is>
      </c>
      <c r="F615" s="1" t="inlineStr">
        <is>
          <t>2708001686</t>
        </is>
      </c>
      <c r="G615" s="1" t="inlineStr">
        <is>
          <t>Горный диспетчер</t>
        </is>
      </c>
      <c r="H615" s="1" t="inlineStr">
        <is>
          <t>ООО "Амур Золото"</t>
        </is>
      </c>
      <c r="I615" s="1" t="inlineStr">
        <is>
          <t>2708001686</t>
        </is>
      </c>
      <c r="J615" s="1" t="inlineStr">
        <is>
          <t>ОТ № ЮГОК ПГУ 24-01</t>
        </is>
      </c>
      <c r="K61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615" s="1" t="inlineStr">
        <is>
          <t>19.01.2024</t>
        </is>
      </c>
      <c r="M615" s="1" t="inlineStr">
        <is>
          <t>Успешно</t>
        </is>
      </c>
      <c r="N615" s="1" t="inlineStr">
        <is>
          <t>05.02.2024</t>
        </is>
      </c>
      <c r="O615" s="1" t="inlineStr"/>
      <c r="P615" s="1" t="inlineStr"/>
      <c r="Q615" s="1" t="inlineStr">
        <is>
          <t>Пользовательский интерфейс</t>
        </is>
      </c>
    </row>
    <row r="616">
      <c r="B616" s="1" t="inlineStr">
        <is>
          <t>37117812</t>
        </is>
      </c>
      <c r="C616" s="1" t="inlineStr">
        <is>
          <t>2978778</t>
        </is>
      </c>
      <c r="D616" t="inlineStr">
        <is>
          <t>работник 171</t>
        </is>
      </c>
      <c r="E616" s="1" t="inlineStr">
        <is>
          <t>ОБЩЕСТВО С ОГРАНИЧЕННОЙ ОТВЕТСТВЕННОСТЬЮ "АМУР ЗОЛОТО"</t>
        </is>
      </c>
      <c r="F616" s="1" t="inlineStr">
        <is>
          <t>2708001686</t>
        </is>
      </c>
      <c r="G616" s="1" t="inlineStr">
        <is>
          <t>Машинист подземно-доставочной машины</t>
        </is>
      </c>
      <c r="H616" s="1" t="inlineStr">
        <is>
          <t>ООО "Амур Золото"</t>
        </is>
      </c>
      <c r="I616" s="1" t="inlineStr">
        <is>
          <t>2708001686</t>
        </is>
      </c>
      <c r="J616" s="1" t="inlineStr">
        <is>
          <t>ОТ № ЮГОК ПГУ 24-01</t>
        </is>
      </c>
      <c r="K616" s="1" t="inlineStr">
        <is>
          <t>Оказание первой помощи пострадавшим</t>
        </is>
      </c>
      <c r="L616" s="1" t="inlineStr">
        <is>
          <t>19.01.2024</t>
        </is>
      </c>
      <c r="M616" s="1" t="inlineStr">
        <is>
          <t>Успешно</t>
        </is>
      </c>
      <c r="N616" s="1" t="inlineStr">
        <is>
          <t>05.02.2024</t>
        </is>
      </c>
      <c r="O616" s="1" t="inlineStr"/>
      <c r="P616" s="1" t="inlineStr"/>
      <c r="Q616" s="1" t="inlineStr">
        <is>
          <t>Пользовательский интерфейс</t>
        </is>
      </c>
    </row>
    <row r="617">
      <c r="B617" s="1" t="inlineStr">
        <is>
          <t>37117813</t>
        </is>
      </c>
      <c r="C617" s="1" t="inlineStr">
        <is>
          <t>2978778</t>
        </is>
      </c>
      <c r="D617" t="inlineStr">
        <is>
          <t>работник 171</t>
        </is>
      </c>
      <c r="E617" s="1" t="inlineStr">
        <is>
          <t>ОБЩЕСТВО С ОГРАНИЧЕННОЙ ОТВЕТСТВЕННОСТЬЮ "АМУР ЗОЛОТО"</t>
        </is>
      </c>
      <c r="F617" s="1" t="inlineStr">
        <is>
          <t>2708001686</t>
        </is>
      </c>
      <c r="G617" s="1" t="inlineStr">
        <is>
          <t>Машинист подземно-доставочной машины</t>
        </is>
      </c>
      <c r="H617" s="1" t="inlineStr">
        <is>
          <t>ООО "Амур Золото"</t>
        </is>
      </c>
      <c r="I617" s="1" t="inlineStr">
        <is>
          <t>2708001686</t>
        </is>
      </c>
      <c r="J617" s="1" t="inlineStr">
        <is>
          <t>ОТ № ЮГОК ПГУ 24-01</t>
        </is>
      </c>
      <c r="K617" s="1" t="inlineStr">
        <is>
          <t>Использование (применение) средств индивидуальной защиты</t>
        </is>
      </c>
      <c r="L617" s="1" t="inlineStr">
        <is>
          <t>19.01.2024</t>
        </is>
      </c>
      <c r="M617" s="1" t="inlineStr">
        <is>
          <t>Успешно</t>
        </is>
      </c>
      <c r="N617" s="1" t="inlineStr">
        <is>
          <t>05.02.2024</t>
        </is>
      </c>
      <c r="O617" s="1" t="inlineStr"/>
      <c r="P617" s="1" t="inlineStr"/>
      <c r="Q617" s="1" t="inlineStr">
        <is>
          <t>Пользовательский интерфейс</t>
        </is>
      </c>
    </row>
    <row r="618">
      <c r="B618" s="1" t="inlineStr">
        <is>
          <t>37117814</t>
        </is>
      </c>
      <c r="C618" s="1" t="inlineStr">
        <is>
          <t>2978778</t>
        </is>
      </c>
      <c r="D618" t="inlineStr">
        <is>
          <t>работник 171</t>
        </is>
      </c>
      <c r="E618" s="1" t="inlineStr">
        <is>
          <t>ОБЩЕСТВО С ОГРАНИЧЕННОЙ ОТВЕТСТВЕННОСТЬЮ "АМУР ЗОЛОТО"</t>
        </is>
      </c>
      <c r="F618" s="1" t="inlineStr">
        <is>
          <t>2708001686</t>
        </is>
      </c>
      <c r="G618" s="1" t="inlineStr">
        <is>
          <t>Машинист подземно-доставочной машины</t>
        </is>
      </c>
      <c r="H618" s="1" t="inlineStr">
        <is>
          <t>ООО "Амур Золото"</t>
        </is>
      </c>
      <c r="I618" s="1" t="inlineStr">
        <is>
          <t>2708001686</t>
        </is>
      </c>
      <c r="J618" s="1" t="inlineStr">
        <is>
          <t>ОТ № ЮГОК ПГУ 24-01</t>
        </is>
      </c>
      <c r="K61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618" s="1" t="inlineStr">
        <is>
          <t>19.01.2024</t>
        </is>
      </c>
      <c r="M618" s="1" t="inlineStr">
        <is>
          <t>Успешно</t>
        </is>
      </c>
      <c r="N618" s="1" t="inlineStr">
        <is>
          <t>05.02.2024</t>
        </is>
      </c>
      <c r="O618" s="1" t="inlineStr"/>
      <c r="P618" s="1" t="inlineStr"/>
      <c r="Q618" s="1" t="inlineStr">
        <is>
          <t>Пользовательский интерфейс</t>
        </is>
      </c>
    </row>
    <row r="619">
      <c r="B619" s="1" t="inlineStr">
        <is>
          <t>37117815</t>
        </is>
      </c>
      <c r="C619" s="1" t="inlineStr">
        <is>
          <t>2978778</t>
        </is>
      </c>
      <c r="D619" t="inlineStr">
        <is>
          <t>работник 172</t>
        </is>
      </c>
      <c r="E619" s="1" t="inlineStr">
        <is>
          <t>ОБЩЕСТВО С ОГРАНИЧЕННОЙ ОТВЕТСТВЕННОСТЬЮ "АМУР ЗОЛОТО"</t>
        </is>
      </c>
      <c r="F619" s="1" t="inlineStr">
        <is>
          <t>2708001686</t>
        </is>
      </c>
      <c r="G619" s="1" t="inlineStr">
        <is>
          <t>Машинист подземно-доставочной машины</t>
        </is>
      </c>
      <c r="H619" s="1" t="inlineStr">
        <is>
          <t>ООО "Амур Золото"</t>
        </is>
      </c>
      <c r="I619" s="1" t="inlineStr">
        <is>
          <t>2708001686</t>
        </is>
      </c>
      <c r="J619" s="1" t="inlineStr">
        <is>
          <t>ОТ № ЮГОК ПГУ 24-01</t>
        </is>
      </c>
      <c r="K619" s="1" t="inlineStr">
        <is>
          <t>Оказание первой помощи пострадавшим</t>
        </is>
      </c>
      <c r="L619" s="1" t="inlineStr">
        <is>
          <t>19.01.2024</t>
        </is>
      </c>
      <c r="M619" s="1" t="inlineStr">
        <is>
          <t>Успешно</t>
        </is>
      </c>
      <c r="N619" s="1" t="inlineStr">
        <is>
          <t>05.02.2024</t>
        </is>
      </c>
      <c r="O619" s="1" t="inlineStr"/>
      <c r="P619" s="1" t="inlineStr"/>
      <c r="Q619" s="1" t="inlineStr">
        <is>
          <t>Пользовательский интерфейс</t>
        </is>
      </c>
    </row>
    <row r="620">
      <c r="B620" s="1" t="inlineStr">
        <is>
          <t>37117816</t>
        </is>
      </c>
      <c r="C620" s="1" t="inlineStr">
        <is>
          <t>2978778</t>
        </is>
      </c>
      <c r="D620" t="inlineStr">
        <is>
          <t>работник 172</t>
        </is>
      </c>
      <c r="E620" s="1" t="inlineStr">
        <is>
          <t>ОБЩЕСТВО С ОГРАНИЧЕННОЙ ОТВЕТСТВЕННОСТЬЮ "АМУР ЗОЛОТО"</t>
        </is>
      </c>
      <c r="F620" s="1" t="inlineStr">
        <is>
          <t>2708001686</t>
        </is>
      </c>
      <c r="G620" s="1" t="inlineStr">
        <is>
          <t>Машинист подземно-доставочной машины</t>
        </is>
      </c>
      <c r="H620" s="1" t="inlineStr">
        <is>
          <t>ООО "Амур Золото"</t>
        </is>
      </c>
      <c r="I620" s="1" t="inlineStr">
        <is>
          <t>2708001686</t>
        </is>
      </c>
      <c r="J620" s="1" t="inlineStr">
        <is>
          <t>ОТ № ЮГОК ПГУ 24-01</t>
        </is>
      </c>
      <c r="K620" s="1" t="inlineStr">
        <is>
          <t>Использование (применение) средств индивидуальной защиты</t>
        </is>
      </c>
      <c r="L620" s="1" t="inlineStr">
        <is>
          <t>19.01.2024</t>
        </is>
      </c>
      <c r="M620" s="1" t="inlineStr">
        <is>
          <t>Успешно</t>
        </is>
      </c>
      <c r="N620" s="1" t="inlineStr">
        <is>
          <t>05.02.2024</t>
        </is>
      </c>
      <c r="O620" s="1" t="inlineStr"/>
      <c r="P620" s="1" t="inlineStr"/>
      <c r="Q620" s="1" t="inlineStr">
        <is>
          <t>Пользовательский интерфейс</t>
        </is>
      </c>
    </row>
    <row r="621">
      <c r="B621" s="1" t="inlineStr">
        <is>
          <t>37117817</t>
        </is>
      </c>
      <c r="C621" s="1" t="inlineStr">
        <is>
          <t>2978778</t>
        </is>
      </c>
      <c r="D621" t="inlineStr">
        <is>
          <t>работник 172</t>
        </is>
      </c>
      <c r="E621" s="1" t="inlineStr">
        <is>
          <t>ОБЩЕСТВО С ОГРАНИЧЕННОЙ ОТВЕТСТВЕННОСТЬЮ "АМУР ЗОЛОТО"</t>
        </is>
      </c>
      <c r="F621" s="1" t="inlineStr">
        <is>
          <t>2708001686</t>
        </is>
      </c>
      <c r="G621" s="1" t="inlineStr">
        <is>
          <t>Машинист подземно-доставочной машины</t>
        </is>
      </c>
      <c r="H621" s="1" t="inlineStr">
        <is>
          <t>ООО "Амур Золото"</t>
        </is>
      </c>
      <c r="I621" s="1" t="inlineStr">
        <is>
          <t>2708001686</t>
        </is>
      </c>
      <c r="J621" s="1" t="inlineStr">
        <is>
          <t>ОТ № ЮГОК ПГУ 24-01</t>
        </is>
      </c>
      <c r="K62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621" s="1" t="inlineStr">
        <is>
          <t>19.01.2024</t>
        </is>
      </c>
      <c r="M621" s="1" t="inlineStr">
        <is>
          <t>Успешно</t>
        </is>
      </c>
      <c r="N621" s="1" t="inlineStr">
        <is>
          <t>05.02.2024</t>
        </is>
      </c>
      <c r="O621" s="1" t="inlineStr"/>
      <c r="P621" s="1" t="inlineStr"/>
      <c r="Q621" s="1" t="inlineStr">
        <is>
          <t>Пользовательский интерфейс</t>
        </is>
      </c>
    </row>
    <row r="622">
      <c r="B622" s="1" t="inlineStr">
        <is>
          <t>37117818</t>
        </is>
      </c>
      <c r="C622" s="1" t="inlineStr">
        <is>
          <t>2978778</t>
        </is>
      </c>
      <c r="D622" t="inlineStr">
        <is>
          <t>работник 173</t>
        </is>
      </c>
      <c r="E622" s="1" t="inlineStr">
        <is>
          <t>ОБЩЕСТВО С ОГРАНИЧЕННОЙ ОТВЕТСТВЕННОСТЬЮ "АМУР ЗОЛОТО"</t>
        </is>
      </c>
      <c r="F622" s="1" t="inlineStr">
        <is>
          <t>2708001686</t>
        </is>
      </c>
      <c r="G622" s="1" t="inlineStr">
        <is>
          <t>Проходчик (с исполнением обязанностей взрывника)</t>
        </is>
      </c>
      <c r="H622" s="1" t="inlineStr">
        <is>
          <t>ООО "Амур Золото"</t>
        </is>
      </c>
      <c r="I622" s="1" t="inlineStr">
        <is>
          <t>2708001686</t>
        </is>
      </c>
      <c r="J622" s="1" t="inlineStr">
        <is>
          <t>ОТ № ЮГОК ПГУ 24-01</t>
        </is>
      </c>
      <c r="K622" s="1" t="inlineStr">
        <is>
          <t>Оказание первой помощи пострадавшим</t>
        </is>
      </c>
      <c r="L622" s="1" t="inlineStr">
        <is>
          <t>19.01.2024</t>
        </is>
      </c>
      <c r="M622" s="1" t="inlineStr">
        <is>
          <t>Успешно</t>
        </is>
      </c>
      <c r="N622" s="1" t="inlineStr">
        <is>
          <t>05.02.2024</t>
        </is>
      </c>
      <c r="O622" s="1" t="inlineStr"/>
      <c r="P622" s="1" t="inlineStr"/>
      <c r="Q622" s="1" t="inlineStr">
        <is>
          <t>Пользовательский интерфейс</t>
        </is>
      </c>
    </row>
    <row r="623">
      <c r="B623" s="1" t="inlineStr">
        <is>
          <t>37117819</t>
        </is>
      </c>
      <c r="C623" s="1" t="inlineStr">
        <is>
          <t>2978778</t>
        </is>
      </c>
      <c r="D623" t="inlineStr">
        <is>
          <t>работник 173</t>
        </is>
      </c>
      <c r="E623" s="1" t="inlineStr">
        <is>
          <t>ОБЩЕСТВО С ОГРАНИЧЕННОЙ ОТВЕТСТВЕННОСТЬЮ "АМУР ЗОЛОТО"</t>
        </is>
      </c>
      <c r="F623" s="1" t="inlineStr">
        <is>
          <t>2708001686</t>
        </is>
      </c>
      <c r="G623" s="1" t="inlineStr">
        <is>
          <t>Проходчик (с исполнением обязанностей взрывника)</t>
        </is>
      </c>
      <c r="H623" s="1" t="inlineStr">
        <is>
          <t>ООО "Амур Золото"</t>
        </is>
      </c>
      <c r="I623" s="1" t="inlineStr">
        <is>
          <t>2708001686</t>
        </is>
      </c>
      <c r="J623" s="1" t="inlineStr">
        <is>
          <t>ОТ № ЮГОК ПГУ 24-01</t>
        </is>
      </c>
      <c r="K623" s="1" t="inlineStr">
        <is>
          <t>Использование (применение) средств индивидуальной защиты</t>
        </is>
      </c>
      <c r="L623" s="1" t="inlineStr">
        <is>
          <t>19.01.2024</t>
        </is>
      </c>
      <c r="M623" s="1" t="inlineStr">
        <is>
          <t>Успешно</t>
        </is>
      </c>
      <c r="N623" s="1" t="inlineStr">
        <is>
          <t>05.02.2024</t>
        </is>
      </c>
      <c r="O623" s="1" t="inlineStr"/>
      <c r="P623" s="1" t="inlineStr"/>
      <c r="Q623" s="1" t="inlineStr">
        <is>
          <t>Пользовательский интерфейс</t>
        </is>
      </c>
    </row>
    <row r="624">
      <c r="B624" s="1" t="inlineStr">
        <is>
          <t>37117820</t>
        </is>
      </c>
      <c r="C624" s="1" t="inlineStr">
        <is>
          <t>2978778</t>
        </is>
      </c>
      <c r="D624" t="inlineStr">
        <is>
          <t>работник 173</t>
        </is>
      </c>
      <c r="E624" s="1" t="inlineStr">
        <is>
          <t>ОБЩЕСТВО С ОГРАНИЧЕННОЙ ОТВЕТСТВЕННОСТЬЮ "АМУР ЗОЛОТО"</t>
        </is>
      </c>
      <c r="F624" s="1" t="inlineStr">
        <is>
          <t>2708001686</t>
        </is>
      </c>
      <c r="G624" s="1" t="inlineStr">
        <is>
          <t>Проходчик (с исполнением обязанностей взрывника)</t>
        </is>
      </c>
      <c r="H624" s="1" t="inlineStr">
        <is>
          <t>ООО "Амур Золото"</t>
        </is>
      </c>
      <c r="I624" s="1" t="inlineStr">
        <is>
          <t>2708001686</t>
        </is>
      </c>
      <c r="J624" s="1" t="inlineStr">
        <is>
          <t>ОТ № ЮГОК ПГУ 24-01</t>
        </is>
      </c>
      <c r="K62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624" s="1" t="inlineStr">
        <is>
          <t>19.01.2024</t>
        </is>
      </c>
      <c r="M624" s="1" t="inlineStr">
        <is>
          <t>Успешно</t>
        </is>
      </c>
      <c r="N624" s="1" t="inlineStr">
        <is>
          <t>05.02.2024</t>
        </is>
      </c>
      <c r="O624" s="1" t="inlineStr"/>
      <c r="P624" s="1" t="inlineStr"/>
      <c r="Q624" s="1" t="inlineStr">
        <is>
          <t>Пользовательский интерфейс</t>
        </is>
      </c>
    </row>
    <row r="625">
      <c r="B625" s="1" t="inlineStr">
        <is>
          <t>37117821</t>
        </is>
      </c>
      <c r="C625" s="1" t="inlineStr">
        <is>
          <t>2978778</t>
        </is>
      </c>
      <c r="D625" t="inlineStr">
        <is>
          <t>работник 174</t>
        </is>
      </c>
      <c r="E625" s="1" t="inlineStr">
        <is>
          <t>ОБЩЕСТВО С ОГРАНИЧЕННОЙ ОТВЕТСТВЕННОСТЬЮ "АМУР ЗОЛОТО"</t>
        </is>
      </c>
      <c r="F625" s="1" t="inlineStr">
        <is>
          <t>2708001686</t>
        </is>
      </c>
      <c r="G625" s="1" t="inlineStr">
        <is>
          <t>Машинист подземно-доставочной машины</t>
        </is>
      </c>
      <c r="H625" s="1" t="inlineStr">
        <is>
          <t>ООО "Амур Золото"</t>
        </is>
      </c>
      <c r="I625" s="1" t="inlineStr">
        <is>
          <t>2708001686</t>
        </is>
      </c>
      <c r="J625" s="1" t="inlineStr">
        <is>
          <t>ОТ № ЮГОК ПГУ 24-01</t>
        </is>
      </c>
      <c r="K625" s="1" t="inlineStr">
        <is>
          <t>Оказание первой помощи пострадавшим</t>
        </is>
      </c>
      <c r="L625" s="1" t="inlineStr">
        <is>
          <t>19.01.2024</t>
        </is>
      </c>
      <c r="M625" s="1" t="inlineStr">
        <is>
          <t>Успешно</t>
        </is>
      </c>
      <c r="N625" s="1" t="inlineStr">
        <is>
          <t>05.02.2024</t>
        </is>
      </c>
      <c r="O625" s="1" t="inlineStr"/>
      <c r="P625" s="1" t="inlineStr"/>
      <c r="Q625" s="1" t="inlineStr">
        <is>
          <t>Пользовательский интерфейс</t>
        </is>
      </c>
    </row>
    <row r="626">
      <c r="B626" s="1" t="inlineStr">
        <is>
          <t>37117822</t>
        </is>
      </c>
      <c r="C626" s="1" t="inlineStr">
        <is>
          <t>2978778</t>
        </is>
      </c>
      <c r="D626" t="inlineStr">
        <is>
          <t>работник 174</t>
        </is>
      </c>
      <c r="E626" s="1" t="inlineStr">
        <is>
          <t>ОБЩЕСТВО С ОГРАНИЧЕННОЙ ОТВЕТСТВЕННОСТЬЮ "АМУР ЗОЛОТО"</t>
        </is>
      </c>
      <c r="F626" s="1" t="inlineStr">
        <is>
          <t>2708001686</t>
        </is>
      </c>
      <c r="G626" s="1" t="inlineStr">
        <is>
          <t>Машинист подземно-доставочной машины</t>
        </is>
      </c>
      <c r="H626" s="1" t="inlineStr">
        <is>
          <t>ООО "Амур Золото"</t>
        </is>
      </c>
      <c r="I626" s="1" t="inlineStr">
        <is>
          <t>2708001686</t>
        </is>
      </c>
      <c r="J626" s="1" t="inlineStr">
        <is>
          <t>ОТ № ЮГОК ПГУ 24-01</t>
        </is>
      </c>
      <c r="K626" s="1" t="inlineStr">
        <is>
          <t>Использование (применение) средств индивидуальной защиты</t>
        </is>
      </c>
      <c r="L626" s="1" t="inlineStr">
        <is>
          <t>19.01.2024</t>
        </is>
      </c>
      <c r="M626" s="1" t="inlineStr">
        <is>
          <t>Успешно</t>
        </is>
      </c>
      <c r="N626" s="1" t="inlineStr">
        <is>
          <t>05.02.2024</t>
        </is>
      </c>
      <c r="O626" s="1" t="inlineStr"/>
      <c r="P626" s="1" t="inlineStr"/>
      <c r="Q626" s="1" t="inlineStr">
        <is>
          <t>Пользовательский интерфейс</t>
        </is>
      </c>
    </row>
    <row r="627">
      <c r="B627" s="1" t="inlineStr">
        <is>
          <t>37117823</t>
        </is>
      </c>
      <c r="C627" s="1" t="inlineStr">
        <is>
          <t>2978778</t>
        </is>
      </c>
      <c r="D627" t="inlineStr">
        <is>
          <t>работник 174</t>
        </is>
      </c>
      <c r="E627" s="1" t="inlineStr">
        <is>
          <t>ОБЩЕСТВО С ОГРАНИЧЕННОЙ ОТВЕТСТВЕННОСТЬЮ "АМУР ЗОЛОТО"</t>
        </is>
      </c>
      <c r="F627" s="1" t="inlineStr">
        <is>
          <t>2708001686</t>
        </is>
      </c>
      <c r="G627" s="1" t="inlineStr">
        <is>
          <t>Машинист подземно-доставочной машины</t>
        </is>
      </c>
      <c r="H627" s="1" t="inlineStr">
        <is>
          <t>ООО "Амур Золото"</t>
        </is>
      </c>
      <c r="I627" s="1" t="inlineStr">
        <is>
          <t>2708001686</t>
        </is>
      </c>
      <c r="J627" s="1" t="inlineStr">
        <is>
          <t>ОТ № ЮГОК ПГУ 24-01</t>
        </is>
      </c>
      <c r="K62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627" s="1" t="inlineStr">
        <is>
          <t>19.01.2024</t>
        </is>
      </c>
      <c r="M627" s="1" t="inlineStr">
        <is>
          <t>Успешно</t>
        </is>
      </c>
      <c r="N627" s="1" t="inlineStr">
        <is>
          <t>05.02.2024</t>
        </is>
      </c>
      <c r="O627" s="1" t="inlineStr"/>
      <c r="P627" s="1" t="inlineStr"/>
      <c r="Q627" s="1" t="inlineStr">
        <is>
          <t>Пользовательский интерфейс</t>
        </is>
      </c>
    </row>
    <row r="628">
      <c r="B628" s="1" t="inlineStr">
        <is>
          <t>37117824</t>
        </is>
      </c>
      <c r="C628" s="1" t="inlineStr">
        <is>
          <t>2978778</t>
        </is>
      </c>
      <c r="D628" t="inlineStr">
        <is>
          <t>работник 175</t>
        </is>
      </c>
      <c r="E628" s="1" t="inlineStr">
        <is>
          <t>ОБЩЕСТВО С ОГРАНИЧЕННОЙ ОТВЕТСТВЕННОСТЬЮ "АМУР ЗОЛОТО"</t>
        </is>
      </c>
      <c r="F628" s="1" t="inlineStr">
        <is>
          <t>2708001686</t>
        </is>
      </c>
      <c r="G628" s="1" t="inlineStr">
        <is>
          <t>Машинист подземно-доставочной машины</t>
        </is>
      </c>
      <c r="H628" s="1" t="inlineStr">
        <is>
          <t>ООО "Амур Золото"</t>
        </is>
      </c>
      <c r="I628" s="1" t="inlineStr">
        <is>
          <t>2708001686</t>
        </is>
      </c>
      <c r="J628" s="1" t="inlineStr">
        <is>
          <t>ОТ № ЮГОК ПГУ 24-01</t>
        </is>
      </c>
      <c r="K628" s="1" t="inlineStr">
        <is>
          <t>Оказание первой помощи пострадавшим</t>
        </is>
      </c>
      <c r="L628" s="1" t="inlineStr">
        <is>
          <t>19.01.2024</t>
        </is>
      </c>
      <c r="M628" s="1" t="inlineStr">
        <is>
          <t>Успешно</t>
        </is>
      </c>
      <c r="N628" s="1" t="inlineStr">
        <is>
          <t>05.02.2024</t>
        </is>
      </c>
      <c r="O628" s="1" t="inlineStr"/>
      <c r="P628" s="1" t="inlineStr"/>
      <c r="Q628" s="1" t="inlineStr">
        <is>
          <t>Пользовательский интерфейс</t>
        </is>
      </c>
    </row>
    <row r="629">
      <c r="B629" s="1" t="inlineStr">
        <is>
          <t>37117825</t>
        </is>
      </c>
      <c r="C629" s="1" t="inlineStr">
        <is>
          <t>2978778</t>
        </is>
      </c>
      <c r="D629" t="inlineStr">
        <is>
          <t>работник 175</t>
        </is>
      </c>
      <c r="E629" s="1" t="inlineStr">
        <is>
          <t>ОБЩЕСТВО С ОГРАНИЧЕННОЙ ОТВЕТСТВЕННОСТЬЮ "АМУР ЗОЛОТО"</t>
        </is>
      </c>
      <c r="F629" s="1" t="inlineStr">
        <is>
          <t>2708001686</t>
        </is>
      </c>
      <c r="G629" s="1" t="inlineStr">
        <is>
          <t>Машинист подземно-доставочной машины</t>
        </is>
      </c>
      <c r="H629" s="1" t="inlineStr">
        <is>
          <t>ООО "Амур Золото"</t>
        </is>
      </c>
      <c r="I629" s="1" t="inlineStr">
        <is>
          <t>2708001686</t>
        </is>
      </c>
      <c r="J629" s="1" t="inlineStr">
        <is>
          <t>ОТ № ЮГОК ПГУ 24-01</t>
        </is>
      </c>
      <c r="K629" s="1" t="inlineStr">
        <is>
          <t>Использование (применение) средств индивидуальной защиты</t>
        </is>
      </c>
      <c r="L629" s="1" t="inlineStr">
        <is>
          <t>19.01.2024</t>
        </is>
      </c>
      <c r="M629" s="1" t="inlineStr">
        <is>
          <t>Успешно</t>
        </is>
      </c>
      <c r="N629" s="1" t="inlineStr">
        <is>
          <t>05.02.2024</t>
        </is>
      </c>
      <c r="O629" s="1" t="inlineStr"/>
      <c r="P629" s="1" t="inlineStr"/>
      <c r="Q629" s="1" t="inlineStr">
        <is>
          <t>Пользовательский интерфейс</t>
        </is>
      </c>
    </row>
    <row r="630">
      <c r="B630" s="1" t="inlineStr">
        <is>
          <t>37117826</t>
        </is>
      </c>
      <c r="C630" s="1" t="inlineStr">
        <is>
          <t>2978778</t>
        </is>
      </c>
      <c r="D630" t="inlineStr">
        <is>
          <t>работник 175</t>
        </is>
      </c>
      <c r="E630" s="1" t="inlineStr">
        <is>
          <t>ОБЩЕСТВО С ОГРАНИЧЕННОЙ ОТВЕТСТВЕННОСТЬЮ "АМУР ЗОЛОТО"</t>
        </is>
      </c>
      <c r="F630" s="1" t="inlineStr">
        <is>
          <t>2708001686</t>
        </is>
      </c>
      <c r="G630" s="1" t="inlineStr">
        <is>
          <t>Машинист подземно-доставочной машины</t>
        </is>
      </c>
      <c r="H630" s="1" t="inlineStr">
        <is>
          <t>ООО "Амур Золото"</t>
        </is>
      </c>
      <c r="I630" s="1" t="inlineStr">
        <is>
          <t>2708001686</t>
        </is>
      </c>
      <c r="J630" s="1" t="inlineStr">
        <is>
          <t>ОТ № ЮГОК ПГУ 24-01</t>
        </is>
      </c>
      <c r="K63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630" s="1" t="inlineStr">
        <is>
          <t>19.01.2024</t>
        </is>
      </c>
      <c r="M630" s="1" t="inlineStr">
        <is>
          <t>Успешно</t>
        </is>
      </c>
      <c r="N630" s="1" t="inlineStr">
        <is>
          <t>05.02.2024</t>
        </is>
      </c>
      <c r="O630" s="1" t="inlineStr"/>
      <c r="P630" s="1" t="inlineStr"/>
      <c r="Q630" s="1" t="inlineStr">
        <is>
          <t>Пользовательский интерфейс</t>
        </is>
      </c>
    </row>
    <row r="631">
      <c r="B631" s="1" t="inlineStr">
        <is>
          <t>37117827</t>
        </is>
      </c>
      <c r="C631" s="1" t="inlineStr">
        <is>
          <t>2978778</t>
        </is>
      </c>
      <c r="D631" t="inlineStr">
        <is>
          <t>работник 176</t>
        </is>
      </c>
      <c r="E631" s="1" t="inlineStr">
        <is>
          <t>ОБЩЕСТВО С ОГРАНИЧЕННОЙ ОТВЕТСТВЕННОСТЬЮ "АМУР ЗОЛОТО"</t>
        </is>
      </c>
      <c r="F631" s="1" t="inlineStr">
        <is>
          <t>2708001686</t>
        </is>
      </c>
      <c r="G631" s="1" t="inlineStr">
        <is>
          <t>Машинист самоходной буровой установки</t>
        </is>
      </c>
      <c r="H631" s="1" t="inlineStr">
        <is>
          <t>ООО "Амур Золото"</t>
        </is>
      </c>
      <c r="I631" s="1" t="inlineStr">
        <is>
          <t>2708001686</t>
        </is>
      </c>
      <c r="J631" s="1" t="inlineStr">
        <is>
          <t>ОТ № ЮГОК ПГУ 24-01</t>
        </is>
      </c>
      <c r="K631" s="1" t="inlineStr">
        <is>
          <t>Оказание первой помощи пострадавшим</t>
        </is>
      </c>
      <c r="L631" s="1" t="inlineStr">
        <is>
          <t>19.01.2024</t>
        </is>
      </c>
      <c r="M631" s="1" t="inlineStr">
        <is>
          <t>Успешно</t>
        </is>
      </c>
      <c r="N631" s="1" t="inlineStr">
        <is>
          <t>05.02.2024</t>
        </is>
      </c>
      <c r="O631" s="1" t="inlineStr"/>
      <c r="P631" s="1" t="inlineStr"/>
      <c r="Q631" s="1" t="inlineStr">
        <is>
          <t>Пользовательский интерфейс</t>
        </is>
      </c>
    </row>
    <row r="632">
      <c r="B632" s="1" t="inlineStr">
        <is>
          <t>37117828</t>
        </is>
      </c>
      <c r="C632" s="1" t="inlineStr">
        <is>
          <t>2978778</t>
        </is>
      </c>
      <c r="D632" t="inlineStr">
        <is>
          <t>работник 176</t>
        </is>
      </c>
      <c r="E632" s="1" t="inlineStr">
        <is>
          <t>ОБЩЕСТВО С ОГРАНИЧЕННОЙ ОТВЕТСТВЕННОСТЬЮ "АМУР ЗОЛОТО"</t>
        </is>
      </c>
      <c r="F632" s="1" t="inlineStr">
        <is>
          <t>2708001686</t>
        </is>
      </c>
      <c r="G632" s="1" t="inlineStr">
        <is>
          <t>Машинист самоходной буровой установки</t>
        </is>
      </c>
      <c r="H632" s="1" t="inlineStr">
        <is>
          <t>ООО "Амур Золото"</t>
        </is>
      </c>
      <c r="I632" s="1" t="inlineStr">
        <is>
          <t>2708001686</t>
        </is>
      </c>
      <c r="J632" s="1" t="inlineStr">
        <is>
          <t>ОТ № ЮГОК ПГУ 24-01</t>
        </is>
      </c>
      <c r="K632" s="1" t="inlineStr">
        <is>
          <t>Использование (применение) средств индивидуальной защиты</t>
        </is>
      </c>
      <c r="L632" s="1" t="inlineStr">
        <is>
          <t>19.01.2024</t>
        </is>
      </c>
      <c r="M632" s="1" t="inlineStr">
        <is>
          <t>Успешно</t>
        </is>
      </c>
      <c r="N632" s="1" t="inlineStr">
        <is>
          <t>05.02.2024</t>
        </is>
      </c>
      <c r="O632" s="1" t="inlineStr"/>
      <c r="P632" s="1" t="inlineStr"/>
      <c r="Q632" s="1" t="inlineStr">
        <is>
          <t>Пользовательский интерфейс</t>
        </is>
      </c>
    </row>
    <row r="633">
      <c r="B633" s="1" t="inlineStr">
        <is>
          <t>37117829</t>
        </is>
      </c>
      <c r="C633" s="1" t="inlineStr">
        <is>
          <t>2978778</t>
        </is>
      </c>
      <c r="D633" t="inlineStr">
        <is>
          <t>работник 176</t>
        </is>
      </c>
      <c r="E633" s="1" t="inlineStr">
        <is>
          <t>ОБЩЕСТВО С ОГРАНИЧЕННОЙ ОТВЕТСТВЕННОСТЬЮ "АМУР ЗОЛОТО"</t>
        </is>
      </c>
      <c r="F633" s="1" t="inlineStr">
        <is>
          <t>2708001686</t>
        </is>
      </c>
      <c r="G633" s="1" t="inlineStr">
        <is>
          <t>Машинист самоходной буровой установки</t>
        </is>
      </c>
      <c r="H633" s="1" t="inlineStr">
        <is>
          <t>ООО "Амур Золото"</t>
        </is>
      </c>
      <c r="I633" s="1" t="inlineStr">
        <is>
          <t>2708001686</t>
        </is>
      </c>
      <c r="J633" s="1" t="inlineStr">
        <is>
          <t>ОТ № ЮГОК ПГУ 24-01</t>
        </is>
      </c>
      <c r="K63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633" s="1" t="inlineStr">
        <is>
          <t>19.01.2024</t>
        </is>
      </c>
      <c r="M633" s="1" t="inlineStr">
        <is>
          <t>Успешно</t>
        </is>
      </c>
      <c r="N633" s="1" t="inlineStr">
        <is>
          <t>05.02.2024</t>
        </is>
      </c>
      <c r="O633" s="1" t="inlineStr"/>
      <c r="P633" s="1" t="inlineStr"/>
      <c r="Q633" s="1" t="inlineStr">
        <is>
          <t>Пользовательский интерфейс</t>
        </is>
      </c>
    </row>
    <row r="634">
      <c r="B634" s="1" t="inlineStr">
        <is>
          <t>37117830</t>
        </is>
      </c>
      <c r="C634" s="1" t="inlineStr">
        <is>
          <t>2978778</t>
        </is>
      </c>
      <c r="D634" t="inlineStr">
        <is>
          <t>работник 177</t>
        </is>
      </c>
      <c r="E634" s="1" t="inlineStr">
        <is>
          <t>ОБЩЕСТВО С ОГРАНИЧЕННОЙ ОТВЕТСТВЕННОСТЬЮ "АМУР ЗОЛОТО"</t>
        </is>
      </c>
      <c r="F634" s="1" t="inlineStr">
        <is>
          <t>2708001686</t>
        </is>
      </c>
      <c r="G634" s="1" t="inlineStr">
        <is>
          <t>Слесарь по ремонту горно-шахтного оборудования</t>
        </is>
      </c>
      <c r="H634" s="1" t="inlineStr">
        <is>
          <t>ООО "Амур Золото"</t>
        </is>
      </c>
      <c r="I634" s="1" t="inlineStr">
        <is>
          <t>2708001686</t>
        </is>
      </c>
      <c r="J634" s="1" t="inlineStr">
        <is>
          <t>ОТ № ЮГОК ПГУ 24-01</t>
        </is>
      </c>
      <c r="K634" s="1" t="inlineStr">
        <is>
          <t>Оказание первой помощи пострадавшим</t>
        </is>
      </c>
      <c r="L634" s="1" t="inlineStr">
        <is>
          <t>19.01.2024</t>
        </is>
      </c>
      <c r="M634" s="1" t="inlineStr">
        <is>
          <t>Успешно</t>
        </is>
      </c>
      <c r="N634" s="1" t="inlineStr">
        <is>
          <t>05.02.2024</t>
        </is>
      </c>
      <c r="O634" s="1" t="inlineStr"/>
      <c r="P634" s="1" t="inlineStr"/>
      <c r="Q634" s="1" t="inlineStr">
        <is>
          <t>Пользовательский интерфейс</t>
        </is>
      </c>
    </row>
    <row r="635">
      <c r="B635" s="1" t="inlineStr">
        <is>
          <t>37117831</t>
        </is>
      </c>
      <c r="C635" s="1" t="inlineStr">
        <is>
          <t>2978778</t>
        </is>
      </c>
      <c r="D635" t="inlineStr">
        <is>
          <t>работник 177</t>
        </is>
      </c>
      <c r="E635" s="1" t="inlineStr">
        <is>
          <t>ОБЩЕСТВО С ОГРАНИЧЕННОЙ ОТВЕТСТВЕННОСТЬЮ "АМУР ЗОЛОТО"</t>
        </is>
      </c>
      <c r="F635" s="1" t="inlineStr">
        <is>
          <t>2708001686</t>
        </is>
      </c>
      <c r="G635" s="1" t="inlineStr">
        <is>
          <t>Слесарь по ремонту горно-шахтного оборудования</t>
        </is>
      </c>
      <c r="H635" s="1" t="inlineStr">
        <is>
          <t>ООО "Амур Золото"</t>
        </is>
      </c>
      <c r="I635" s="1" t="inlineStr">
        <is>
          <t>2708001686</t>
        </is>
      </c>
      <c r="J635" s="1" t="inlineStr">
        <is>
          <t>ОТ № ЮГОК ПГУ 24-01</t>
        </is>
      </c>
      <c r="K635" s="1" t="inlineStr">
        <is>
          <t>Использование (применение) средств индивидуальной защиты</t>
        </is>
      </c>
      <c r="L635" s="1" t="inlineStr">
        <is>
          <t>19.01.2024</t>
        </is>
      </c>
      <c r="M635" s="1" t="inlineStr">
        <is>
          <t>Успешно</t>
        </is>
      </c>
      <c r="N635" s="1" t="inlineStr">
        <is>
          <t>05.02.2024</t>
        </is>
      </c>
      <c r="O635" s="1" t="inlineStr"/>
      <c r="P635" s="1" t="inlineStr"/>
      <c r="Q635" s="1" t="inlineStr">
        <is>
          <t>Пользовательский интерфейс</t>
        </is>
      </c>
    </row>
    <row r="636">
      <c r="B636" s="1" t="inlineStr">
        <is>
          <t>37117832</t>
        </is>
      </c>
      <c r="C636" s="1" t="inlineStr">
        <is>
          <t>2978778</t>
        </is>
      </c>
      <c r="D636" t="inlineStr">
        <is>
          <t>работник 177</t>
        </is>
      </c>
      <c r="E636" s="1" t="inlineStr">
        <is>
          <t>ОБЩЕСТВО С ОГРАНИЧЕННОЙ ОТВЕТСТВЕННОСТЬЮ "АМУР ЗОЛОТО"</t>
        </is>
      </c>
      <c r="F636" s="1" t="inlineStr">
        <is>
          <t>2708001686</t>
        </is>
      </c>
      <c r="G636" s="1" t="inlineStr">
        <is>
          <t>Слесарь по ремонту горно-шахтного оборудования</t>
        </is>
      </c>
      <c r="H636" s="1" t="inlineStr">
        <is>
          <t>ООО "Амур Золото"</t>
        </is>
      </c>
      <c r="I636" s="1" t="inlineStr">
        <is>
          <t>2708001686</t>
        </is>
      </c>
      <c r="J636" s="1" t="inlineStr">
        <is>
          <t>ОТ № ЮГОК ПГУ 24-01</t>
        </is>
      </c>
      <c r="K63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636" s="1" t="inlineStr">
        <is>
          <t>19.01.2024</t>
        </is>
      </c>
      <c r="M636" s="1" t="inlineStr">
        <is>
          <t>Успешно</t>
        </is>
      </c>
      <c r="N636" s="1" t="inlineStr">
        <is>
          <t>05.02.2024</t>
        </is>
      </c>
      <c r="O636" s="1" t="inlineStr"/>
      <c r="P636" s="1" t="inlineStr"/>
      <c r="Q636" s="1" t="inlineStr">
        <is>
          <t>Пользовательский интерфейс</t>
        </is>
      </c>
    </row>
    <row r="637">
      <c r="B637" s="1" t="inlineStr">
        <is>
          <t>37117833</t>
        </is>
      </c>
      <c r="C637" s="1" t="inlineStr">
        <is>
          <t>2978778</t>
        </is>
      </c>
      <c r="D637" t="inlineStr">
        <is>
          <t>работник 178</t>
        </is>
      </c>
      <c r="E637" s="1" t="inlineStr">
        <is>
          <t>ОБЩЕСТВО С ОГРАНИЧЕННОЙ ОТВЕТСТВЕННОСТЬЮ "АМУР ЗОЛОТО"</t>
        </is>
      </c>
      <c r="F637" s="1" t="inlineStr">
        <is>
          <t>2708001686</t>
        </is>
      </c>
      <c r="G637" s="1" t="inlineStr">
        <is>
          <t>Машинист подземно-доставочной машины</t>
        </is>
      </c>
      <c r="H637" s="1" t="inlineStr">
        <is>
          <t>ООО "Амур Золото"</t>
        </is>
      </c>
      <c r="I637" s="1" t="inlineStr">
        <is>
          <t>2708001686</t>
        </is>
      </c>
      <c r="J637" s="1" t="inlineStr">
        <is>
          <t>ОТ № ЮГОК ПГУ 24-01</t>
        </is>
      </c>
      <c r="K637" s="1" t="inlineStr">
        <is>
          <t>Оказание первой помощи пострадавшим</t>
        </is>
      </c>
      <c r="L637" s="1" t="inlineStr">
        <is>
          <t>19.01.2024</t>
        </is>
      </c>
      <c r="M637" s="1" t="inlineStr">
        <is>
          <t>Успешно</t>
        </is>
      </c>
      <c r="N637" s="1" t="inlineStr">
        <is>
          <t>05.02.2024</t>
        </is>
      </c>
      <c r="O637" s="1" t="inlineStr"/>
      <c r="P637" s="1" t="inlineStr"/>
      <c r="Q637" s="1" t="inlineStr">
        <is>
          <t>Пользовательский интерфейс</t>
        </is>
      </c>
    </row>
    <row r="638">
      <c r="B638" s="1" t="inlineStr">
        <is>
          <t>37117834</t>
        </is>
      </c>
      <c r="C638" s="1" t="inlineStr">
        <is>
          <t>2978778</t>
        </is>
      </c>
      <c r="D638" t="inlineStr">
        <is>
          <t>работник 178</t>
        </is>
      </c>
      <c r="E638" s="1" t="inlineStr">
        <is>
          <t>ОБЩЕСТВО С ОГРАНИЧЕННОЙ ОТВЕТСТВЕННОСТЬЮ "АМУР ЗОЛОТО"</t>
        </is>
      </c>
      <c r="F638" s="1" t="inlineStr">
        <is>
          <t>2708001686</t>
        </is>
      </c>
      <c r="G638" s="1" t="inlineStr">
        <is>
          <t>Машинист подземно-доставочной машины</t>
        </is>
      </c>
      <c r="H638" s="1" t="inlineStr">
        <is>
          <t>ООО "Амур Золото"</t>
        </is>
      </c>
      <c r="I638" s="1" t="inlineStr">
        <is>
          <t>2708001686</t>
        </is>
      </c>
      <c r="J638" s="1" t="inlineStr">
        <is>
          <t>ОТ № ЮГОК ПГУ 24-01</t>
        </is>
      </c>
      <c r="K638" s="1" t="inlineStr">
        <is>
          <t>Использование (применение) средств индивидуальной защиты</t>
        </is>
      </c>
      <c r="L638" s="1" t="inlineStr">
        <is>
          <t>19.01.2024</t>
        </is>
      </c>
      <c r="M638" s="1" t="inlineStr">
        <is>
          <t>Успешно</t>
        </is>
      </c>
      <c r="N638" s="1" t="inlineStr">
        <is>
          <t>05.02.2024</t>
        </is>
      </c>
      <c r="O638" s="1" t="inlineStr"/>
      <c r="P638" s="1" t="inlineStr"/>
      <c r="Q638" s="1" t="inlineStr">
        <is>
          <t>Пользовательский интерфейс</t>
        </is>
      </c>
    </row>
    <row r="639">
      <c r="B639" s="1" t="inlineStr">
        <is>
          <t>37117835</t>
        </is>
      </c>
      <c r="C639" s="1" t="inlineStr">
        <is>
          <t>2978778</t>
        </is>
      </c>
      <c r="D639" t="inlineStr">
        <is>
          <t>работник 178</t>
        </is>
      </c>
      <c r="E639" s="1" t="inlineStr">
        <is>
          <t>ОБЩЕСТВО С ОГРАНИЧЕННОЙ ОТВЕТСТВЕННОСТЬЮ "АМУР ЗОЛОТО"</t>
        </is>
      </c>
      <c r="F639" s="1" t="inlineStr">
        <is>
          <t>2708001686</t>
        </is>
      </c>
      <c r="G639" s="1" t="inlineStr">
        <is>
          <t>Машинист подземно-доставочной машины</t>
        </is>
      </c>
      <c r="H639" s="1" t="inlineStr">
        <is>
          <t>ООО "Амур Золото"</t>
        </is>
      </c>
      <c r="I639" s="1" t="inlineStr">
        <is>
          <t>2708001686</t>
        </is>
      </c>
      <c r="J639" s="1" t="inlineStr">
        <is>
          <t>ОТ № ЮГОК ПГУ 24-01</t>
        </is>
      </c>
      <c r="K63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639" s="1" t="inlineStr">
        <is>
          <t>19.01.2024</t>
        </is>
      </c>
      <c r="M639" s="1" t="inlineStr">
        <is>
          <t>Успешно</t>
        </is>
      </c>
      <c r="N639" s="1" t="inlineStr">
        <is>
          <t>05.02.2024</t>
        </is>
      </c>
      <c r="O639" s="1" t="inlineStr"/>
      <c r="P639" s="1" t="inlineStr"/>
      <c r="Q639" s="1" t="inlineStr">
        <is>
          <t>Пользовательский интерфейс</t>
        </is>
      </c>
    </row>
    <row r="640">
      <c r="B640" s="1" t="inlineStr">
        <is>
          <t>37117836</t>
        </is>
      </c>
      <c r="C640" s="1" t="inlineStr">
        <is>
          <t>2978778</t>
        </is>
      </c>
      <c r="D640" t="inlineStr">
        <is>
          <t>работник 179</t>
        </is>
      </c>
      <c r="E640" s="1" t="inlineStr">
        <is>
          <t>ОБЩЕСТВО С ОГРАНИЧЕННОЙ ОТВЕТСТВЕННОСТЬЮ "АМУР ЗОЛОТО"</t>
        </is>
      </c>
      <c r="F640" s="1" t="inlineStr">
        <is>
          <t>2708001686</t>
        </is>
      </c>
      <c r="G640" s="1" t="inlineStr">
        <is>
          <t>Проходчик (с исполнением обязанностей взрывника)</t>
        </is>
      </c>
      <c r="H640" s="1" t="inlineStr">
        <is>
          <t>ООО "Амур Золото"</t>
        </is>
      </c>
      <c r="I640" s="1" t="inlineStr">
        <is>
          <t>2708001686</t>
        </is>
      </c>
      <c r="J640" s="1" t="inlineStr">
        <is>
          <t>ОТ № ЮГОК ПГУ 24-01</t>
        </is>
      </c>
      <c r="K640" s="1" t="inlineStr">
        <is>
          <t>Оказание первой помощи пострадавшим</t>
        </is>
      </c>
      <c r="L640" s="1" t="inlineStr">
        <is>
          <t>19.01.2024</t>
        </is>
      </c>
      <c r="M640" s="1" t="inlineStr">
        <is>
          <t>Успешно</t>
        </is>
      </c>
      <c r="N640" s="1" t="inlineStr">
        <is>
          <t>05.02.2024</t>
        </is>
      </c>
      <c r="O640" s="1" t="inlineStr"/>
      <c r="P640" s="1" t="inlineStr"/>
      <c r="Q640" s="1" t="inlineStr">
        <is>
          <t>Пользовательский интерфейс</t>
        </is>
      </c>
    </row>
    <row r="641">
      <c r="B641" s="1" t="inlineStr">
        <is>
          <t>37117837</t>
        </is>
      </c>
      <c r="C641" s="1" t="inlineStr">
        <is>
          <t>2978778</t>
        </is>
      </c>
      <c r="D641" t="inlineStr">
        <is>
          <t>работник 179</t>
        </is>
      </c>
      <c r="E641" s="1" t="inlineStr">
        <is>
          <t>ОБЩЕСТВО С ОГРАНИЧЕННОЙ ОТВЕТСТВЕННОСТЬЮ "АМУР ЗОЛОТО"</t>
        </is>
      </c>
      <c r="F641" s="1" t="inlineStr">
        <is>
          <t>2708001686</t>
        </is>
      </c>
      <c r="G641" s="1" t="inlineStr">
        <is>
          <t>Проходчик (с исполнением обязанностей взрывника)</t>
        </is>
      </c>
      <c r="H641" s="1" t="inlineStr">
        <is>
          <t>ООО "Амур Золото"</t>
        </is>
      </c>
      <c r="I641" s="1" t="inlineStr">
        <is>
          <t>2708001686</t>
        </is>
      </c>
      <c r="J641" s="1" t="inlineStr">
        <is>
          <t>ОТ № ЮГОК ПГУ 24-01</t>
        </is>
      </c>
      <c r="K641" s="1" t="inlineStr">
        <is>
          <t>Использование (применение) средств индивидуальной защиты</t>
        </is>
      </c>
      <c r="L641" s="1" t="inlineStr">
        <is>
          <t>19.01.2024</t>
        </is>
      </c>
      <c r="M641" s="1" t="inlineStr">
        <is>
          <t>Успешно</t>
        </is>
      </c>
      <c r="N641" s="1" t="inlineStr">
        <is>
          <t>05.02.2024</t>
        </is>
      </c>
      <c r="O641" s="1" t="inlineStr"/>
      <c r="P641" s="1" t="inlineStr"/>
      <c r="Q641" s="1" t="inlineStr">
        <is>
          <t>Пользовательский интерфейс</t>
        </is>
      </c>
    </row>
    <row r="642">
      <c r="B642" s="1" t="inlineStr">
        <is>
          <t>37117838</t>
        </is>
      </c>
      <c r="C642" s="1" t="inlineStr">
        <is>
          <t>2978778</t>
        </is>
      </c>
      <c r="D642" t="inlineStr">
        <is>
          <t>работник 179</t>
        </is>
      </c>
      <c r="E642" s="1" t="inlineStr">
        <is>
          <t>ОБЩЕСТВО С ОГРАНИЧЕННОЙ ОТВЕТСТВЕННОСТЬЮ "АМУР ЗОЛОТО"</t>
        </is>
      </c>
      <c r="F642" s="1" t="inlineStr">
        <is>
          <t>2708001686</t>
        </is>
      </c>
      <c r="G642" s="1" t="inlineStr">
        <is>
          <t>Проходчик (с исполнением обязанностей взрывника)</t>
        </is>
      </c>
      <c r="H642" s="1" t="inlineStr">
        <is>
          <t>ООО "Амур Золото"</t>
        </is>
      </c>
      <c r="I642" s="1" t="inlineStr">
        <is>
          <t>2708001686</t>
        </is>
      </c>
      <c r="J642" s="1" t="inlineStr">
        <is>
          <t>ОТ № ЮГОК ПГУ 24-01</t>
        </is>
      </c>
      <c r="K64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642" s="1" t="inlineStr">
        <is>
          <t>19.01.2024</t>
        </is>
      </c>
      <c r="M642" s="1" t="inlineStr">
        <is>
          <t>Успешно</t>
        </is>
      </c>
      <c r="N642" s="1" t="inlineStr">
        <is>
          <t>05.02.2024</t>
        </is>
      </c>
      <c r="O642" s="1" t="inlineStr"/>
      <c r="P642" s="1" t="inlineStr"/>
      <c r="Q642" s="1" t="inlineStr">
        <is>
          <t>Пользовательский интерфейс</t>
        </is>
      </c>
    </row>
    <row r="643">
      <c r="B643" s="1" t="inlineStr">
        <is>
          <t>37117839</t>
        </is>
      </c>
      <c r="C643" s="1" t="inlineStr">
        <is>
          <t>2978778</t>
        </is>
      </c>
      <c r="D643" t="inlineStr">
        <is>
          <t>работник 180</t>
        </is>
      </c>
      <c r="E643" s="1" t="inlineStr">
        <is>
          <t>ОБЩЕСТВО С ОГРАНИЧЕННОЙ ОТВЕТСТВЕННОСТЬЮ "АМУР ЗОЛОТО"</t>
        </is>
      </c>
      <c r="F643" s="1" t="inlineStr">
        <is>
          <t>2708001686</t>
        </is>
      </c>
      <c r="G643" s="1" t="inlineStr">
        <is>
          <t>Электрогазосварщик</t>
        </is>
      </c>
      <c r="H643" s="1" t="inlineStr">
        <is>
          <t>ООО "Амур Золото"</t>
        </is>
      </c>
      <c r="I643" s="1" t="inlineStr">
        <is>
          <t>2708001686</t>
        </is>
      </c>
      <c r="J643" s="1" t="inlineStr">
        <is>
          <t>ОТ № ЮГОК ПГУ 24-01</t>
        </is>
      </c>
      <c r="K643" s="1" t="inlineStr">
        <is>
          <t>Оказание первой помощи пострадавшим</t>
        </is>
      </c>
      <c r="L643" s="1" t="inlineStr">
        <is>
          <t>19.01.2024</t>
        </is>
      </c>
      <c r="M643" s="1" t="inlineStr">
        <is>
          <t>Успешно</t>
        </is>
      </c>
      <c r="N643" s="1" t="inlineStr">
        <is>
          <t>05.02.2024</t>
        </is>
      </c>
      <c r="O643" s="1" t="inlineStr"/>
      <c r="P643" s="1" t="inlineStr"/>
      <c r="Q643" s="1" t="inlineStr">
        <is>
          <t>Пользовательский интерфейс</t>
        </is>
      </c>
    </row>
    <row r="644">
      <c r="B644" s="1" t="inlineStr">
        <is>
          <t>37117840</t>
        </is>
      </c>
      <c r="C644" s="1" t="inlineStr">
        <is>
          <t>2978778</t>
        </is>
      </c>
      <c r="D644" t="inlineStr">
        <is>
          <t>работник 180</t>
        </is>
      </c>
      <c r="E644" s="1" t="inlineStr">
        <is>
          <t>ОБЩЕСТВО С ОГРАНИЧЕННОЙ ОТВЕТСТВЕННОСТЬЮ "АМУР ЗОЛОТО"</t>
        </is>
      </c>
      <c r="F644" s="1" t="inlineStr">
        <is>
          <t>2708001686</t>
        </is>
      </c>
      <c r="G644" s="1" t="inlineStr">
        <is>
          <t>Электрогазосварщик</t>
        </is>
      </c>
      <c r="H644" s="1" t="inlineStr">
        <is>
          <t>ООО "Амур Золото"</t>
        </is>
      </c>
      <c r="I644" s="1" t="inlineStr">
        <is>
          <t>2708001686</t>
        </is>
      </c>
      <c r="J644" s="1" t="inlineStr">
        <is>
          <t>ОТ № ЮГОК ПГУ 24-01</t>
        </is>
      </c>
      <c r="K644" s="1" t="inlineStr">
        <is>
          <t>Использование (применение) средств индивидуальной защиты</t>
        </is>
      </c>
      <c r="L644" s="1" t="inlineStr">
        <is>
          <t>19.01.2024</t>
        </is>
      </c>
      <c r="M644" s="1" t="inlineStr">
        <is>
          <t>Успешно</t>
        </is>
      </c>
      <c r="N644" s="1" t="inlineStr">
        <is>
          <t>05.02.2024</t>
        </is>
      </c>
      <c r="O644" s="1" t="inlineStr"/>
      <c r="P644" s="1" t="inlineStr"/>
      <c r="Q644" s="1" t="inlineStr">
        <is>
          <t>Пользовательский интерфейс</t>
        </is>
      </c>
    </row>
    <row r="645">
      <c r="B645" s="1" t="inlineStr">
        <is>
          <t>37117841</t>
        </is>
      </c>
      <c r="C645" s="1" t="inlineStr">
        <is>
          <t>2978778</t>
        </is>
      </c>
      <c r="D645" t="inlineStr">
        <is>
          <t>работник 180</t>
        </is>
      </c>
      <c r="E645" s="1" t="inlineStr">
        <is>
          <t>ОБЩЕСТВО С ОГРАНИЧЕННОЙ ОТВЕТСТВЕННОСТЬЮ "АМУР ЗОЛОТО"</t>
        </is>
      </c>
      <c r="F645" s="1" t="inlineStr">
        <is>
          <t>2708001686</t>
        </is>
      </c>
      <c r="G645" s="1" t="inlineStr">
        <is>
          <t>Электрогазосварщик</t>
        </is>
      </c>
      <c r="H645" s="1" t="inlineStr">
        <is>
          <t>ООО "Амур Золото"</t>
        </is>
      </c>
      <c r="I645" s="1" t="inlineStr">
        <is>
          <t>2708001686</t>
        </is>
      </c>
      <c r="J645" s="1" t="inlineStr">
        <is>
          <t>ОТ № ЮГОК ПГУ 24-01</t>
        </is>
      </c>
      <c r="K64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645" s="1" t="inlineStr">
        <is>
          <t>19.01.2024</t>
        </is>
      </c>
      <c r="M645" s="1" t="inlineStr">
        <is>
          <t>Успешно</t>
        </is>
      </c>
      <c r="N645" s="1" t="inlineStr">
        <is>
          <t>05.02.2024</t>
        </is>
      </c>
      <c r="O645" s="1" t="inlineStr"/>
      <c r="P645" s="1" t="inlineStr"/>
      <c r="Q645" s="1" t="inlineStr">
        <is>
          <t>Пользовательский интерфейс</t>
        </is>
      </c>
    </row>
    <row r="646">
      <c r="B646" s="1" t="inlineStr">
        <is>
          <t>40476929</t>
        </is>
      </c>
      <c r="C646" s="1" t="inlineStr">
        <is>
          <t>3264049</t>
        </is>
      </c>
      <c r="D646" t="inlineStr">
        <is>
          <t>работник 181</t>
        </is>
      </c>
      <c r="E646" s="1" t="inlineStr">
        <is>
          <t>ОБЩЕСТВО С ОГРАНИЧЕННОЙ ОТВЕТСТВЕННОСТЬЮ "АМУР ЗОЛОТО"</t>
        </is>
      </c>
      <c r="F646" s="1" t="inlineStr">
        <is>
          <t>2708001686</t>
        </is>
      </c>
      <c r="G646" s="1" t="inlineStr">
        <is>
          <t>Машинист самоходный буровой установки</t>
        </is>
      </c>
      <c r="H646" s="1" t="inlineStr">
        <is>
          <t>ООО "Амур Золото"</t>
        </is>
      </c>
      <c r="I646" s="1" t="inlineStr">
        <is>
          <t>2708001686</t>
        </is>
      </c>
      <c r="J646" s="1" t="inlineStr">
        <is>
          <t>ОТ № ЮГОК ПГР 23-04</t>
        </is>
      </c>
      <c r="K646" s="1" t="inlineStr">
        <is>
          <t>Оказание первой помощи пострадавшим</t>
        </is>
      </c>
      <c r="L646" s="1" t="inlineStr">
        <is>
          <t>25.11.2023</t>
        </is>
      </c>
      <c r="M646" s="1" t="inlineStr">
        <is>
          <t>Успешно</t>
        </is>
      </c>
      <c r="N646" s="1" t="inlineStr">
        <is>
          <t>20.02.2024</t>
        </is>
      </c>
      <c r="O646" s="1" t="inlineStr"/>
      <c r="P646" s="1" t="inlineStr"/>
      <c r="Q646" s="1" t="inlineStr">
        <is>
          <t>Пользовательский интерфейс</t>
        </is>
      </c>
    </row>
    <row r="647">
      <c r="B647" s="1" t="inlineStr">
        <is>
          <t>40476930</t>
        </is>
      </c>
      <c r="C647" s="1" t="inlineStr">
        <is>
          <t>3264049</t>
        </is>
      </c>
      <c r="D647" t="inlineStr">
        <is>
          <t>работник 181</t>
        </is>
      </c>
      <c r="E647" s="1" t="inlineStr">
        <is>
          <t>ОБЩЕСТВО С ОГРАНИЧЕННОЙ ОТВЕТСТВЕННОСТЬЮ "АМУР ЗОЛОТО"</t>
        </is>
      </c>
      <c r="F647" s="1" t="inlineStr">
        <is>
          <t>2708001686</t>
        </is>
      </c>
      <c r="G647" s="1" t="inlineStr">
        <is>
          <t>Машинист самоходный буровой установки</t>
        </is>
      </c>
      <c r="H647" s="1" t="inlineStr">
        <is>
          <t>ООО "Амур Золото"</t>
        </is>
      </c>
      <c r="I647" s="1" t="inlineStr">
        <is>
          <t>2708001686</t>
        </is>
      </c>
      <c r="J647" s="1" t="inlineStr">
        <is>
          <t>ОТ № ЮГОК ПГР 23-04</t>
        </is>
      </c>
      <c r="K647" s="1" t="inlineStr">
        <is>
          <t>Использование (применение) средств индивидуальной защиты</t>
        </is>
      </c>
      <c r="L647" s="1" t="inlineStr">
        <is>
          <t>25.11.2023</t>
        </is>
      </c>
      <c r="M647" s="1" t="inlineStr">
        <is>
          <t>Успешно</t>
        </is>
      </c>
      <c r="N647" s="1" t="inlineStr">
        <is>
          <t>20.02.2024</t>
        </is>
      </c>
      <c r="O647" s="1" t="inlineStr"/>
      <c r="P647" s="1" t="inlineStr"/>
      <c r="Q647" s="1" t="inlineStr">
        <is>
          <t>Пользовательский интерфейс</t>
        </is>
      </c>
    </row>
    <row r="648">
      <c r="B648" s="1" t="inlineStr">
        <is>
          <t>40476931</t>
        </is>
      </c>
      <c r="C648" s="1" t="inlineStr">
        <is>
          <t>3264049</t>
        </is>
      </c>
      <c r="D648" t="inlineStr">
        <is>
          <t>работник 181</t>
        </is>
      </c>
      <c r="E648" s="1" t="inlineStr">
        <is>
          <t>ОБЩЕСТВО С ОГРАНИЧЕННОЙ ОТВЕТСТВЕННОСТЬЮ "АМУР ЗОЛОТО"</t>
        </is>
      </c>
      <c r="F648" s="1" t="inlineStr">
        <is>
          <t>2708001686</t>
        </is>
      </c>
      <c r="G648" s="1" t="inlineStr">
        <is>
          <t>Машинист самоходный буровой установки</t>
        </is>
      </c>
      <c r="H648" s="1" t="inlineStr">
        <is>
          <t>ООО "Амур Золото"</t>
        </is>
      </c>
      <c r="I648" s="1" t="inlineStr">
        <is>
          <t>2708001686</t>
        </is>
      </c>
      <c r="J648" s="1" t="inlineStr">
        <is>
          <t>ОТ № ЮГОК ПГР 23-04</t>
        </is>
      </c>
      <c r="K64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648" s="1" t="inlineStr">
        <is>
          <t>25.11.2023</t>
        </is>
      </c>
      <c r="M648" s="1" t="inlineStr">
        <is>
          <t>Успешно</t>
        </is>
      </c>
      <c r="N648" s="1" t="inlineStr">
        <is>
          <t>20.02.2024</t>
        </is>
      </c>
      <c r="O648" s="1" t="inlineStr"/>
      <c r="P648" s="1" t="inlineStr"/>
      <c r="Q648" s="1" t="inlineStr">
        <is>
          <t>Пользовательский интерфейс</t>
        </is>
      </c>
    </row>
    <row r="649">
      <c r="B649" s="1" t="inlineStr">
        <is>
          <t>40476932</t>
        </is>
      </c>
      <c r="C649" s="1" t="inlineStr">
        <is>
          <t>3264049</t>
        </is>
      </c>
      <c r="D649" t="inlineStr">
        <is>
          <t>работник 182</t>
        </is>
      </c>
      <c r="E649" s="1" t="inlineStr">
        <is>
          <t>ОБЩЕСТВО С ОГРАНИЧЕННОЙ ОТВЕТСТВЕННОСТЬЮ "АМУР ЗОЛОТО"</t>
        </is>
      </c>
      <c r="F649" s="1" t="inlineStr">
        <is>
          <t>2708001686</t>
        </is>
      </c>
      <c r="G649" s="1" t="inlineStr">
        <is>
          <t>Ламповщик</t>
        </is>
      </c>
      <c r="H649" s="1" t="inlineStr">
        <is>
          <t>ООО "Амур Золото"</t>
        </is>
      </c>
      <c r="I649" s="1" t="inlineStr">
        <is>
          <t>2708001686</t>
        </is>
      </c>
      <c r="J649" s="1" t="inlineStr">
        <is>
          <t>ОТ № ЮГОК ПГР 24-02</t>
        </is>
      </c>
      <c r="K649" s="1" t="inlineStr">
        <is>
          <t>Оказание первой помощи пострадавшим</t>
        </is>
      </c>
      <c r="L649" s="1" t="inlineStr">
        <is>
          <t>06.02.2024</t>
        </is>
      </c>
      <c r="M649" s="1" t="inlineStr">
        <is>
          <t>Успешно</t>
        </is>
      </c>
      <c r="N649" s="1" t="inlineStr">
        <is>
          <t>20.02.2024</t>
        </is>
      </c>
      <c r="O649" s="1" t="inlineStr"/>
      <c r="P649" s="1" t="inlineStr"/>
      <c r="Q649" s="1" t="inlineStr">
        <is>
          <t>Пользовательский интерфейс</t>
        </is>
      </c>
    </row>
    <row r="650">
      <c r="B650" s="1" t="inlineStr">
        <is>
          <t>40476933</t>
        </is>
      </c>
      <c r="C650" s="1" t="inlineStr">
        <is>
          <t>3264049</t>
        </is>
      </c>
      <c r="D650" t="inlineStr">
        <is>
          <t>работник 182</t>
        </is>
      </c>
      <c r="E650" s="1" t="inlineStr">
        <is>
          <t>ОБЩЕСТВО С ОГРАНИЧЕННОЙ ОТВЕТСТВЕННОСТЬЮ "АМУР ЗОЛОТО"</t>
        </is>
      </c>
      <c r="F650" s="1" t="inlineStr">
        <is>
          <t>2708001686</t>
        </is>
      </c>
      <c r="G650" s="1" t="inlineStr">
        <is>
          <t>Ламповщик</t>
        </is>
      </c>
      <c r="H650" s="1" t="inlineStr">
        <is>
          <t>ООО "Амур Золото"</t>
        </is>
      </c>
      <c r="I650" s="1" t="inlineStr">
        <is>
          <t>2708001686</t>
        </is>
      </c>
      <c r="J650" s="1" t="inlineStr">
        <is>
          <t>ОТ № ЮГОК ПГР 24-02</t>
        </is>
      </c>
      <c r="K650" s="1" t="inlineStr">
        <is>
          <t>Использование (применение) средств индивидуальной защиты</t>
        </is>
      </c>
      <c r="L650" s="1" t="inlineStr">
        <is>
          <t>06.02.2024</t>
        </is>
      </c>
      <c r="M650" s="1" t="inlineStr">
        <is>
          <t>Успешно</t>
        </is>
      </c>
      <c r="N650" s="1" t="inlineStr">
        <is>
          <t>20.02.2024</t>
        </is>
      </c>
      <c r="O650" s="1" t="inlineStr"/>
      <c r="P650" s="1" t="inlineStr"/>
      <c r="Q650" s="1" t="inlineStr">
        <is>
          <t>Пользовательский интерфейс</t>
        </is>
      </c>
    </row>
    <row r="651">
      <c r="B651" s="1" t="inlineStr">
        <is>
          <t>40476934</t>
        </is>
      </c>
      <c r="C651" s="1" t="inlineStr">
        <is>
          <t>3264049</t>
        </is>
      </c>
      <c r="D651" t="inlineStr">
        <is>
          <t>работник 182</t>
        </is>
      </c>
      <c r="E651" s="1" t="inlineStr">
        <is>
          <t>ОБЩЕСТВО С ОГРАНИЧЕННОЙ ОТВЕТСТВЕННОСТЬЮ "АМУР ЗОЛОТО"</t>
        </is>
      </c>
      <c r="F651" s="1" t="inlineStr">
        <is>
          <t>2708001686</t>
        </is>
      </c>
      <c r="G651" s="1" t="inlineStr">
        <is>
          <t>Ламповщик</t>
        </is>
      </c>
      <c r="H651" s="1" t="inlineStr">
        <is>
          <t>ООО "Амур Золото"</t>
        </is>
      </c>
      <c r="I651" s="1" t="inlineStr">
        <is>
          <t>2708001686</t>
        </is>
      </c>
      <c r="J651" s="1" t="inlineStr">
        <is>
          <t>ОТ № ЮГОК ПГР 24-02</t>
        </is>
      </c>
      <c r="K65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651" s="1" t="inlineStr">
        <is>
          <t>06.02.2024</t>
        </is>
      </c>
      <c r="M651" s="1" t="inlineStr">
        <is>
          <t>Успешно</t>
        </is>
      </c>
      <c r="N651" s="1" t="inlineStr">
        <is>
          <t>20.02.2024</t>
        </is>
      </c>
      <c r="O651" s="1" t="inlineStr"/>
      <c r="P651" s="1" t="inlineStr"/>
      <c r="Q651" s="1" t="inlineStr">
        <is>
          <t>Пользовательский интерфейс</t>
        </is>
      </c>
    </row>
    <row r="652">
      <c r="B652" s="1" t="inlineStr">
        <is>
          <t>40476935</t>
        </is>
      </c>
      <c r="C652" s="1" t="inlineStr">
        <is>
          <t>3264049</t>
        </is>
      </c>
      <c r="D652" t="inlineStr">
        <is>
          <t>работник 183</t>
        </is>
      </c>
      <c r="E652" s="1" t="inlineStr">
        <is>
          <t>ОБЩЕСТВО С ОГРАНИЧЕННОЙ ОТВЕТСТВЕННОСТЬЮ "АМУР ЗОЛОТО"</t>
        </is>
      </c>
      <c r="F652" s="1" t="inlineStr">
        <is>
          <t>2708001686</t>
        </is>
      </c>
      <c r="G652" s="1" t="inlineStr">
        <is>
          <t>Слесарь по ремонту самоходной техники</t>
        </is>
      </c>
      <c r="H652" s="1" t="inlineStr">
        <is>
          <t>ООО "Амур Золото"</t>
        </is>
      </c>
      <c r="I652" s="1" t="inlineStr">
        <is>
          <t>2708001686</t>
        </is>
      </c>
      <c r="J652" s="1" t="inlineStr">
        <is>
          <t>ОТ № ЮГОК ПГР 24-02</t>
        </is>
      </c>
      <c r="K652" s="1" t="inlineStr">
        <is>
          <t>Оказание первой помощи пострадавшим</t>
        </is>
      </c>
      <c r="L652" s="1" t="inlineStr">
        <is>
          <t>06.02.2024</t>
        </is>
      </c>
      <c r="M652" s="1" t="inlineStr">
        <is>
          <t>Успешно</t>
        </is>
      </c>
      <c r="N652" s="1" t="inlineStr">
        <is>
          <t>20.02.2024</t>
        </is>
      </c>
      <c r="O652" s="1" t="inlineStr"/>
      <c r="P652" s="1" t="inlineStr"/>
      <c r="Q652" s="1" t="inlineStr">
        <is>
          <t>Пользовательский интерфейс</t>
        </is>
      </c>
    </row>
    <row r="653">
      <c r="B653" s="1" t="inlineStr">
        <is>
          <t>40476936</t>
        </is>
      </c>
      <c r="C653" s="1" t="inlineStr">
        <is>
          <t>3264049</t>
        </is>
      </c>
      <c r="D653" t="inlineStr">
        <is>
          <t>работник 183</t>
        </is>
      </c>
      <c r="E653" s="1" t="inlineStr">
        <is>
          <t>ОБЩЕСТВО С ОГРАНИЧЕННОЙ ОТВЕТСТВЕННОСТЬЮ "АМУР ЗОЛОТО"</t>
        </is>
      </c>
      <c r="F653" s="1" t="inlineStr">
        <is>
          <t>2708001686</t>
        </is>
      </c>
      <c r="G653" s="1" t="inlineStr">
        <is>
          <t>Слесарь по ремонту самоходной техники</t>
        </is>
      </c>
      <c r="H653" s="1" t="inlineStr">
        <is>
          <t>ООО "Амур Золото"</t>
        </is>
      </c>
      <c r="I653" s="1" t="inlineStr">
        <is>
          <t>2708001686</t>
        </is>
      </c>
      <c r="J653" s="1" t="inlineStr">
        <is>
          <t>ОТ № ЮГОК ПГР 24-02</t>
        </is>
      </c>
      <c r="K653" s="1" t="inlineStr">
        <is>
          <t>Использование (применение) средств индивидуальной защиты</t>
        </is>
      </c>
      <c r="L653" s="1" t="inlineStr">
        <is>
          <t>06.02.2024</t>
        </is>
      </c>
      <c r="M653" s="1" t="inlineStr">
        <is>
          <t>Успешно</t>
        </is>
      </c>
      <c r="N653" s="1" t="inlineStr">
        <is>
          <t>20.02.2024</t>
        </is>
      </c>
      <c r="O653" s="1" t="inlineStr"/>
      <c r="P653" s="1" t="inlineStr"/>
      <c r="Q653" s="1" t="inlineStr">
        <is>
          <t>Пользовательский интерфейс</t>
        </is>
      </c>
    </row>
    <row r="654">
      <c r="B654" s="1" t="inlineStr">
        <is>
          <t>40476937</t>
        </is>
      </c>
      <c r="C654" s="1" t="inlineStr">
        <is>
          <t>3264049</t>
        </is>
      </c>
      <c r="D654" t="inlineStr">
        <is>
          <t>работник 183</t>
        </is>
      </c>
      <c r="E654" s="1" t="inlineStr">
        <is>
          <t>ОБЩЕСТВО С ОГРАНИЧЕННОЙ ОТВЕТСТВЕННОСТЬЮ "АМУР ЗОЛОТО"</t>
        </is>
      </c>
      <c r="F654" s="1" t="inlineStr">
        <is>
          <t>2708001686</t>
        </is>
      </c>
      <c r="G654" s="1" t="inlineStr">
        <is>
          <t>Слесарь по ремонту самоходной техники</t>
        </is>
      </c>
      <c r="H654" s="1" t="inlineStr">
        <is>
          <t>ООО "Амур Золото"</t>
        </is>
      </c>
      <c r="I654" s="1" t="inlineStr">
        <is>
          <t>2708001686</t>
        </is>
      </c>
      <c r="J654" s="1" t="inlineStr">
        <is>
          <t>ОТ № ЮГОК ПГР 24-02</t>
        </is>
      </c>
      <c r="K65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654" s="1" t="inlineStr">
        <is>
          <t>06.02.2024</t>
        </is>
      </c>
      <c r="M654" s="1" t="inlineStr">
        <is>
          <t>Успешно</t>
        </is>
      </c>
      <c r="N654" s="1" t="inlineStr">
        <is>
          <t>20.02.2024</t>
        </is>
      </c>
      <c r="O654" s="1" t="inlineStr"/>
      <c r="P654" s="1" t="inlineStr"/>
      <c r="Q654" s="1" t="inlineStr">
        <is>
          <t>Пользовательский интерфейс</t>
        </is>
      </c>
    </row>
    <row r="655">
      <c r="B655" s="1" t="inlineStr">
        <is>
          <t>40476938</t>
        </is>
      </c>
      <c r="C655" s="1" t="inlineStr">
        <is>
          <t>3264049</t>
        </is>
      </c>
      <c r="D655" t="inlineStr">
        <is>
          <t>работник 44</t>
        </is>
      </c>
      <c r="E655" s="1" t="inlineStr">
        <is>
          <t>ОБЩЕСТВО С ОГРАНИЧЕННОЙ ОТВЕТСТВЕННОСТЬЮ "АМУР ЗОЛОТО"</t>
        </is>
      </c>
      <c r="F655" s="1" t="inlineStr">
        <is>
          <t>2708001686</t>
        </is>
      </c>
      <c r="G655" s="1" t="inlineStr">
        <is>
          <t>Электромонтер по ремонту и обслуживанию электрооборудования</t>
        </is>
      </c>
      <c r="H655" s="1" t="inlineStr">
        <is>
          <t>ООО "Амур Золото"</t>
        </is>
      </c>
      <c r="I655" s="1" t="inlineStr">
        <is>
          <t>2708001686</t>
        </is>
      </c>
      <c r="J655" s="1" t="inlineStr">
        <is>
          <t>ОТ № ЮГОК ЭУ 23-02</t>
        </is>
      </c>
      <c r="K655" s="1" t="inlineStr">
        <is>
          <t>Безопасные методы и приемы выполнения работ на высоте</t>
        </is>
      </c>
      <c r="L655" s="1" t="inlineStr">
        <is>
          <t>29.11.2023</t>
        </is>
      </c>
      <c r="M655" s="1" t="inlineStr">
        <is>
          <t>Успешно</t>
        </is>
      </c>
      <c r="N655" s="1" t="inlineStr">
        <is>
          <t>20.02.2024</t>
        </is>
      </c>
      <c r="O655" s="1" t="inlineStr"/>
      <c r="P655" s="1" t="inlineStr"/>
      <c r="Q655" s="1" t="inlineStr">
        <is>
          <t>Пользовательский интерфейс</t>
        </is>
      </c>
    </row>
    <row r="656">
      <c r="B656" s="1" t="inlineStr">
        <is>
          <t>40476939</t>
        </is>
      </c>
      <c r="C656" s="1" t="inlineStr">
        <is>
          <t>3264049</t>
        </is>
      </c>
      <c r="D656" t="inlineStr">
        <is>
          <t>работник 44</t>
        </is>
      </c>
      <c r="E656" s="1" t="inlineStr">
        <is>
          <t>ОБЩЕСТВО С ОГРАНИЧЕННОЙ ОТВЕТСТВЕННОСТЬЮ "АМУР ЗОЛОТО"</t>
        </is>
      </c>
      <c r="F656" s="1" t="inlineStr">
        <is>
          <t>2708001686</t>
        </is>
      </c>
      <c r="G656" s="1" t="inlineStr">
        <is>
          <t>Электромонтер по ремонту и обслуживанию электрооборудования</t>
        </is>
      </c>
      <c r="H656" s="1" t="inlineStr">
        <is>
          <t>ООО "Амур Золото"</t>
        </is>
      </c>
      <c r="I656" s="1" t="inlineStr">
        <is>
          <t>2708001686</t>
        </is>
      </c>
      <c r="J656" s="1" t="inlineStr">
        <is>
          <t>ОТ № ЮГОК ЭУ 23-02</t>
        </is>
      </c>
      <c r="K656" s="1" t="inlineStr">
        <is>
          <t>Безопасные методы и приемы выполнения работ в электроустановках</t>
        </is>
      </c>
      <c r="L656" s="1" t="inlineStr">
        <is>
          <t>29.11.2023</t>
        </is>
      </c>
      <c r="M656" s="1" t="inlineStr">
        <is>
          <t>Успешно</t>
        </is>
      </c>
      <c r="N656" s="1" t="inlineStr">
        <is>
          <t>20.02.2024</t>
        </is>
      </c>
      <c r="O656" s="1" t="inlineStr"/>
      <c r="P656" s="1" t="inlineStr"/>
      <c r="Q656" s="1" t="inlineStr">
        <is>
          <t>Пользовательский интерфейс</t>
        </is>
      </c>
    </row>
    <row r="657">
      <c r="B657" s="1" t="inlineStr">
        <is>
          <t>40476940</t>
        </is>
      </c>
      <c r="C657" s="1" t="inlineStr">
        <is>
          <t>3264049</t>
        </is>
      </c>
      <c r="D657" t="inlineStr">
        <is>
          <t>работник 45</t>
        </is>
      </c>
      <c r="E657" s="1" t="inlineStr">
        <is>
          <t>ОБЩЕСТВО С ОГРАНИЧЕННОЙ ОТВЕТСТВЕННОСТЬЮ "АМУР ЗОЛОТО"</t>
        </is>
      </c>
      <c r="F657" s="1" t="inlineStr">
        <is>
          <t>2708001686</t>
        </is>
      </c>
      <c r="G657" s="1" t="inlineStr">
        <is>
          <t>Электромонтер по ремонту и обслуживанию электрооборудования</t>
        </is>
      </c>
      <c r="H657" s="1" t="inlineStr">
        <is>
          <t>ООО "Амур Золото"</t>
        </is>
      </c>
      <c r="I657" s="1" t="inlineStr">
        <is>
          <t>2708001686</t>
        </is>
      </c>
      <c r="J657" s="1" t="inlineStr">
        <is>
          <t>ОТ № ЮГОК ЭУ 23-02</t>
        </is>
      </c>
      <c r="K657" s="1" t="inlineStr">
        <is>
          <t>Безопасные методы и приемы выполнения работ на высоте</t>
        </is>
      </c>
      <c r="L657" s="1" t="inlineStr">
        <is>
          <t>29.11.2023</t>
        </is>
      </c>
      <c r="M657" s="1" t="inlineStr">
        <is>
          <t>Успешно</t>
        </is>
      </c>
      <c r="N657" s="1" t="inlineStr">
        <is>
          <t>20.02.2024</t>
        </is>
      </c>
      <c r="O657" s="1" t="inlineStr"/>
      <c r="P657" s="1" t="inlineStr"/>
      <c r="Q657" s="1" t="inlineStr">
        <is>
          <t>Пользовательский интерфейс</t>
        </is>
      </c>
    </row>
    <row r="658">
      <c r="B658" s="1" t="inlineStr">
        <is>
          <t>40476941</t>
        </is>
      </c>
      <c r="C658" s="1" t="inlineStr">
        <is>
          <t>3264049</t>
        </is>
      </c>
      <c r="D658" t="inlineStr">
        <is>
          <t>работник 45</t>
        </is>
      </c>
      <c r="E658" s="1" t="inlineStr">
        <is>
          <t>ОБЩЕСТВО С ОГРАНИЧЕННОЙ ОТВЕТСТВЕННОСТЬЮ "АМУР ЗОЛОТО"</t>
        </is>
      </c>
      <c r="F658" s="1" t="inlineStr">
        <is>
          <t>2708001686</t>
        </is>
      </c>
      <c r="G658" s="1" t="inlineStr">
        <is>
          <t>Электромонтер по ремонту и обслуживанию электрооборудования</t>
        </is>
      </c>
      <c r="H658" s="1" t="inlineStr">
        <is>
          <t>ООО "Амур Золото"</t>
        </is>
      </c>
      <c r="I658" s="1" t="inlineStr">
        <is>
          <t>2708001686</t>
        </is>
      </c>
      <c r="J658" s="1" t="inlineStr">
        <is>
          <t>ОТ № ЮГОК ЭУ 23-02</t>
        </is>
      </c>
      <c r="K658" s="1" t="inlineStr">
        <is>
          <t>Безопасные методы и приемы выполнения работ в электроустановках</t>
        </is>
      </c>
      <c r="L658" s="1" t="inlineStr">
        <is>
          <t>29.11.2023</t>
        </is>
      </c>
      <c r="M658" s="1" t="inlineStr">
        <is>
          <t>Успешно</t>
        </is>
      </c>
      <c r="N658" s="1" t="inlineStr">
        <is>
          <t>20.02.2024</t>
        </is>
      </c>
      <c r="O658" s="1" t="inlineStr"/>
      <c r="P658" s="1" t="inlineStr"/>
      <c r="Q658" s="1" t="inlineStr">
        <is>
          <t>Пользовательский интерфейс</t>
        </is>
      </c>
    </row>
    <row r="659">
      <c r="B659" s="1" t="inlineStr">
        <is>
          <t>41371987</t>
        </is>
      </c>
      <c r="C659" s="1" t="inlineStr">
        <is>
          <t>3335316</t>
        </is>
      </c>
      <c r="D659" t="inlineStr">
        <is>
          <t>работник 184</t>
        </is>
      </c>
      <c r="E659" s="1" t="inlineStr">
        <is>
          <t>ОБЩЕСТВО С ОГРАНИЧЕННОЙ ОТВЕТСТВЕННОСТЬЮ "АМУР ЗОЛОТО"</t>
        </is>
      </c>
      <c r="F659" s="1" t="inlineStr">
        <is>
          <t>2708001686</t>
        </is>
      </c>
      <c r="G659" s="1" t="inlineStr">
        <is>
          <t>Водитель погрузчика</t>
        </is>
      </c>
      <c r="H659" s="1" t="inlineStr">
        <is>
          <t>ООО "Амур Золото"</t>
        </is>
      </c>
      <c r="I659" s="1" t="inlineStr">
        <is>
          <t>2708001686</t>
        </is>
      </c>
      <c r="J659" s="1" t="inlineStr">
        <is>
          <t>ОТ № ЮГОК АТЦ 23-03</t>
        </is>
      </c>
      <c r="K659" s="1" t="inlineStr">
        <is>
          <t>Оказание первой помощи пострадавшим</t>
        </is>
      </c>
      <c r="L659" s="1" t="inlineStr">
        <is>
          <t>03.12.2023</t>
        </is>
      </c>
      <c r="M659" s="1" t="inlineStr">
        <is>
          <t>Успешно</t>
        </is>
      </c>
      <c r="N659" s="1" t="inlineStr">
        <is>
          <t>26.02.2024</t>
        </is>
      </c>
      <c r="O659" s="1" t="inlineStr"/>
      <c r="P659" s="1" t="inlineStr"/>
      <c r="Q659" s="1" t="inlineStr">
        <is>
          <t>Пользовательский интерфейс</t>
        </is>
      </c>
    </row>
    <row r="660">
      <c r="B660" s="1" t="inlineStr">
        <is>
          <t>41371988</t>
        </is>
      </c>
      <c r="C660" s="1" t="inlineStr">
        <is>
          <t>3335316</t>
        </is>
      </c>
      <c r="D660" t="inlineStr">
        <is>
          <t>работник 184</t>
        </is>
      </c>
      <c r="E660" s="1" t="inlineStr">
        <is>
          <t>ОБЩЕСТВО С ОГРАНИЧЕННОЙ ОТВЕТСТВЕННОСТЬЮ "АМУР ЗОЛОТО"</t>
        </is>
      </c>
      <c r="F660" s="1" t="inlineStr">
        <is>
          <t>2708001686</t>
        </is>
      </c>
      <c r="G660" s="1" t="inlineStr">
        <is>
          <t>Водитель погрузчика</t>
        </is>
      </c>
      <c r="H660" s="1" t="inlineStr">
        <is>
          <t>ООО "Амур Золото"</t>
        </is>
      </c>
      <c r="I660" s="1" t="inlineStr">
        <is>
          <t>2708001686</t>
        </is>
      </c>
      <c r="J660" s="1" t="inlineStr">
        <is>
          <t>ОТ № ЮГОК АТЦ 23-03</t>
        </is>
      </c>
      <c r="K660" s="1" t="inlineStr">
        <is>
          <t>Использование (применение) средств индивидуальной защиты</t>
        </is>
      </c>
      <c r="L660" s="1" t="inlineStr">
        <is>
          <t>03.12.2023</t>
        </is>
      </c>
      <c r="M660" s="1" t="inlineStr">
        <is>
          <t>Успешно</t>
        </is>
      </c>
      <c r="N660" s="1" t="inlineStr">
        <is>
          <t>26.02.2024</t>
        </is>
      </c>
      <c r="O660" s="1" t="inlineStr"/>
      <c r="P660" s="1" t="inlineStr"/>
      <c r="Q660" s="1" t="inlineStr">
        <is>
          <t>Пользовательский интерфейс</t>
        </is>
      </c>
    </row>
    <row r="661">
      <c r="B661" s="1" t="inlineStr">
        <is>
          <t>41371989</t>
        </is>
      </c>
      <c r="C661" s="1" t="inlineStr">
        <is>
          <t>3335316</t>
        </is>
      </c>
      <c r="D661" t="inlineStr">
        <is>
          <t>работник 184</t>
        </is>
      </c>
      <c r="E661" s="1" t="inlineStr">
        <is>
          <t>ОБЩЕСТВО С ОГРАНИЧЕННОЙ ОТВЕТСТВЕННОСТЬЮ "АМУР ЗОЛОТО"</t>
        </is>
      </c>
      <c r="F661" s="1" t="inlineStr">
        <is>
          <t>2708001686</t>
        </is>
      </c>
      <c r="G661" s="1" t="inlineStr">
        <is>
          <t>Водитель погрузчика</t>
        </is>
      </c>
      <c r="H661" s="1" t="inlineStr">
        <is>
          <t>ООО "Амур Золото"</t>
        </is>
      </c>
      <c r="I661" s="1" t="inlineStr">
        <is>
          <t>2708001686</t>
        </is>
      </c>
      <c r="J661" s="1" t="inlineStr">
        <is>
          <t>ОТ № ЮГОК АТЦ 23-03</t>
        </is>
      </c>
      <c r="K66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661" s="1" t="inlineStr">
        <is>
          <t>03.12.2023</t>
        </is>
      </c>
      <c r="M661" s="1" t="inlineStr">
        <is>
          <t>Успешно</t>
        </is>
      </c>
      <c r="N661" s="1" t="inlineStr">
        <is>
          <t>26.02.2024</t>
        </is>
      </c>
      <c r="O661" s="1" t="inlineStr"/>
      <c r="P661" s="1" t="inlineStr"/>
      <c r="Q661" s="1" t="inlineStr">
        <is>
          <t>Пользовательский интерфейс</t>
        </is>
      </c>
    </row>
    <row r="662">
      <c r="B662" s="1" t="inlineStr">
        <is>
          <t>41371990</t>
        </is>
      </c>
      <c r="C662" s="1" t="inlineStr">
        <is>
          <t>3335316</t>
        </is>
      </c>
      <c r="D662" t="inlineStr">
        <is>
          <t>работник 185</t>
        </is>
      </c>
      <c r="E662" s="1" t="inlineStr">
        <is>
          <t>ОБЩЕСТВО С ОГРАНИЧЕННОЙ ОТВЕТСТВЕННОСТЬЮ "АМУР ЗОЛОТО"</t>
        </is>
      </c>
      <c r="F662" s="1" t="inlineStr">
        <is>
          <t>2708001686</t>
        </is>
      </c>
      <c r="G662" s="1" t="inlineStr">
        <is>
          <t>Водитель автомобиля(занятый на траспортировании горной массы в технологическом процессе)</t>
        </is>
      </c>
      <c r="H662" s="1" t="inlineStr">
        <is>
          <t>ООО "Амур Золото"</t>
        </is>
      </c>
      <c r="I662" s="1" t="inlineStr">
        <is>
          <t>2708001686</t>
        </is>
      </c>
      <c r="J662" s="1" t="inlineStr">
        <is>
          <t>ОТ № ЮГОК АТЦ 23-03</t>
        </is>
      </c>
      <c r="K662" s="1" t="inlineStr">
        <is>
          <t>Оказание первой помощи пострадавшим</t>
        </is>
      </c>
      <c r="L662" s="1" t="inlineStr">
        <is>
          <t>03.12.2023</t>
        </is>
      </c>
      <c r="M662" s="1" t="inlineStr">
        <is>
          <t>Успешно</t>
        </is>
      </c>
      <c r="N662" s="1" t="inlineStr">
        <is>
          <t>26.02.2024</t>
        </is>
      </c>
      <c r="O662" s="1" t="inlineStr"/>
      <c r="P662" s="1" t="inlineStr"/>
      <c r="Q662" s="1" t="inlineStr">
        <is>
          <t>Пользовательский интерфейс</t>
        </is>
      </c>
    </row>
    <row r="663">
      <c r="B663" s="1" t="inlineStr">
        <is>
          <t>41371991</t>
        </is>
      </c>
      <c r="C663" s="1" t="inlineStr">
        <is>
          <t>3335316</t>
        </is>
      </c>
      <c r="D663" t="inlineStr">
        <is>
          <t>работник 185</t>
        </is>
      </c>
      <c r="E663" s="1" t="inlineStr">
        <is>
          <t>ОБЩЕСТВО С ОГРАНИЧЕННОЙ ОТВЕТСТВЕННОСТЬЮ "АМУР ЗОЛОТО"</t>
        </is>
      </c>
      <c r="F663" s="1" t="inlineStr">
        <is>
          <t>2708001686</t>
        </is>
      </c>
      <c r="G663" s="1" t="inlineStr">
        <is>
          <t>Водитель автомобиля(занятый на траспортировании горной массы в технологическом процессе)</t>
        </is>
      </c>
      <c r="H663" s="1" t="inlineStr">
        <is>
          <t>ООО "Амур Золото"</t>
        </is>
      </c>
      <c r="I663" s="1" t="inlineStr">
        <is>
          <t>2708001686</t>
        </is>
      </c>
      <c r="J663" s="1" t="inlineStr">
        <is>
          <t>ОТ № ЮГОК АТЦ 23-03</t>
        </is>
      </c>
      <c r="K663" s="1" t="inlineStr">
        <is>
          <t>Использование (применение) средств индивидуальной защиты</t>
        </is>
      </c>
      <c r="L663" s="1" t="inlineStr">
        <is>
          <t>03.12.2023</t>
        </is>
      </c>
      <c r="M663" s="1" t="inlineStr">
        <is>
          <t>Успешно</t>
        </is>
      </c>
      <c r="N663" s="1" t="inlineStr">
        <is>
          <t>26.02.2024</t>
        </is>
      </c>
      <c r="O663" s="1" t="inlineStr"/>
      <c r="P663" s="1" t="inlineStr"/>
      <c r="Q663" s="1" t="inlineStr">
        <is>
          <t>Пользовательский интерфейс</t>
        </is>
      </c>
    </row>
    <row r="664">
      <c r="B664" s="1" t="inlineStr">
        <is>
          <t>41371992</t>
        </is>
      </c>
      <c r="C664" s="1" t="inlineStr">
        <is>
          <t>3335316</t>
        </is>
      </c>
      <c r="D664" t="inlineStr">
        <is>
          <t>работник 185</t>
        </is>
      </c>
      <c r="E664" s="1" t="inlineStr">
        <is>
          <t>ОБЩЕСТВО С ОГРАНИЧЕННОЙ ОТВЕТСТВЕННОСТЬЮ "АМУР ЗОЛОТО"</t>
        </is>
      </c>
      <c r="F664" s="1" t="inlineStr">
        <is>
          <t>2708001686</t>
        </is>
      </c>
      <c r="G664" s="1" t="inlineStr">
        <is>
          <t>Водитель автомобиля(занятый на траспортировании горной массы в технологическом процессе)</t>
        </is>
      </c>
      <c r="H664" s="1" t="inlineStr">
        <is>
          <t>ООО "Амур Золото"</t>
        </is>
      </c>
      <c r="I664" s="1" t="inlineStr">
        <is>
          <t>2708001686</t>
        </is>
      </c>
      <c r="J664" s="1" t="inlineStr">
        <is>
          <t>ОТ № ЮГОК АТЦ 23-03</t>
        </is>
      </c>
      <c r="K66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664" s="1" t="inlineStr">
        <is>
          <t>03.12.2023</t>
        </is>
      </c>
      <c r="M664" s="1" t="inlineStr">
        <is>
          <t>Успешно</t>
        </is>
      </c>
      <c r="N664" s="1" t="inlineStr">
        <is>
          <t>26.02.2024</t>
        </is>
      </c>
      <c r="O664" s="1" t="inlineStr"/>
      <c r="P664" s="1" t="inlineStr"/>
      <c r="Q664" s="1" t="inlineStr">
        <is>
          <t>Пользовательский интерфейс</t>
        </is>
      </c>
    </row>
    <row r="665">
      <c r="B665" s="1" t="inlineStr">
        <is>
          <t>41371993</t>
        </is>
      </c>
      <c r="C665" s="1" t="inlineStr">
        <is>
          <t>3335316</t>
        </is>
      </c>
      <c r="D665" t="inlineStr">
        <is>
          <t>работник 22</t>
        </is>
      </c>
      <c r="E665" s="1" t="inlineStr">
        <is>
          <t>ОБЩЕСТВО С ОГРАНИЧЕННОЙ ОТВЕТСТВЕННОСТЬЮ "АМУР ЗОЛОТО"</t>
        </is>
      </c>
      <c r="F665" s="1" t="inlineStr">
        <is>
          <t>2708001686</t>
        </is>
      </c>
      <c r="G665" s="1" t="inlineStr">
        <is>
          <t>Электрогазосварщик(занятый на резке и ручной сварке)</t>
        </is>
      </c>
      <c r="H665" s="1" t="inlineStr">
        <is>
          <t>ООО "Амур Золото"</t>
        </is>
      </c>
      <c r="I665" s="1" t="inlineStr">
        <is>
          <t>2708001686</t>
        </is>
      </c>
      <c r="J665" s="1" t="inlineStr">
        <is>
          <t>ОТ № ЮГОК АТЦ 23-03</t>
        </is>
      </c>
      <c r="K665" s="1" t="inlineStr">
        <is>
          <t>Оказание первой помощи пострадавшим</t>
        </is>
      </c>
      <c r="L665" s="1" t="inlineStr">
        <is>
          <t>03.12.2023</t>
        </is>
      </c>
      <c r="M665" s="1" t="inlineStr">
        <is>
          <t>Успешно</t>
        </is>
      </c>
      <c r="N665" s="1" t="inlineStr">
        <is>
          <t>26.02.2024</t>
        </is>
      </c>
      <c r="O665" s="1" t="inlineStr"/>
      <c r="P665" s="1" t="inlineStr"/>
      <c r="Q665" s="1" t="inlineStr">
        <is>
          <t>Пользовательский интерфейс</t>
        </is>
      </c>
    </row>
    <row r="666">
      <c r="B666" s="1" t="inlineStr">
        <is>
          <t>41371994</t>
        </is>
      </c>
      <c r="C666" s="1" t="inlineStr">
        <is>
          <t>3335316</t>
        </is>
      </c>
      <c r="D666" t="inlineStr">
        <is>
          <t>работник 22</t>
        </is>
      </c>
      <c r="E666" s="1" t="inlineStr">
        <is>
          <t>ОБЩЕСТВО С ОГРАНИЧЕННОЙ ОТВЕТСТВЕННОСТЬЮ "АМУР ЗОЛОТО"</t>
        </is>
      </c>
      <c r="F666" s="1" t="inlineStr">
        <is>
          <t>2708001686</t>
        </is>
      </c>
      <c r="G666" s="1" t="inlineStr">
        <is>
          <t>Электрогазосварщик(занятый на резке и ручной сварке)</t>
        </is>
      </c>
      <c r="H666" s="1" t="inlineStr">
        <is>
          <t>ООО "Амур Золото"</t>
        </is>
      </c>
      <c r="I666" s="1" t="inlineStr">
        <is>
          <t>2708001686</t>
        </is>
      </c>
      <c r="J666" s="1" t="inlineStr">
        <is>
          <t>ОТ № ЮГОК АТЦ 23-03</t>
        </is>
      </c>
      <c r="K666" s="1" t="inlineStr">
        <is>
          <t>Использование (применение) средств индивидуальной защиты</t>
        </is>
      </c>
      <c r="L666" s="1" t="inlineStr">
        <is>
          <t>03.12.2023</t>
        </is>
      </c>
      <c r="M666" s="1" t="inlineStr">
        <is>
          <t>Успешно</t>
        </is>
      </c>
      <c r="N666" s="1" t="inlineStr">
        <is>
          <t>26.02.2024</t>
        </is>
      </c>
      <c r="O666" s="1" t="inlineStr"/>
      <c r="P666" s="1" t="inlineStr"/>
      <c r="Q666" s="1" t="inlineStr">
        <is>
          <t>Пользовательский интерфейс</t>
        </is>
      </c>
    </row>
    <row r="667">
      <c r="B667" s="1" t="inlineStr">
        <is>
          <t>41371995</t>
        </is>
      </c>
      <c r="C667" s="1" t="inlineStr">
        <is>
          <t>3335316</t>
        </is>
      </c>
      <c r="D667" t="inlineStr">
        <is>
          <t>работник 22</t>
        </is>
      </c>
      <c r="E667" s="1" t="inlineStr">
        <is>
          <t>ОБЩЕСТВО С ОГРАНИЧЕННОЙ ОТВЕТСТВЕННОСТЬЮ "АМУР ЗОЛОТО"</t>
        </is>
      </c>
      <c r="F667" s="1" t="inlineStr">
        <is>
          <t>2708001686</t>
        </is>
      </c>
      <c r="G667" s="1" t="inlineStr">
        <is>
          <t>Электрогазосварщик(занятый на резке и ручной сварке)</t>
        </is>
      </c>
      <c r="H667" s="1" t="inlineStr">
        <is>
          <t>ООО "Амур Золото"</t>
        </is>
      </c>
      <c r="I667" s="1" t="inlineStr">
        <is>
          <t>2708001686</t>
        </is>
      </c>
      <c r="J667" s="1" t="inlineStr">
        <is>
          <t>ОТ № ЮГОК АТЦ 23-03</t>
        </is>
      </c>
      <c r="K66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667" s="1" t="inlineStr">
        <is>
          <t>03.12.2023</t>
        </is>
      </c>
      <c r="M667" s="1" t="inlineStr">
        <is>
          <t>Успешно</t>
        </is>
      </c>
      <c r="N667" s="1" t="inlineStr">
        <is>
          <t>26.02.2024</t>
        </is>
      </c>
      <c r="O667" s="1" t="inlineStr"/>
      <c r="P667" s="1" t="inlineStr"/>
      <c r="Q667" s="1" t="inlineStr">
        <is>
          <t>Пользовательский интерфейс</t>
        </is>
      </c>
    </row>
    <row r="668">
      <c r="B668" s="1" t="inlineStr">
        <is>
          <t>41371996</t>
        </is>
      </c>
      <c r="C668" s="1" t="inlineStr">
        <is>
          <t>3335316</t>
        </is>
      </c>
      <c r="D668" t="inlineStr">
        <is>
          <t>работник 186</t>
        </is>
      </c>
      <c r="E668" s="1" t="inlineStr">
        <is>
          <t>ОБЩЕСТВО С ОГРАНИЧЕННОЙ ОТВЕТСТВЕННОСТЬЮ "АМУР ЗОЛОТО"</t>
        </is>
      </c>
      <c r="F668" s="1" t="inlineStr">
        <is>
          <t>2708001686</t>
        </is>
      </c>
      <c r="G668" s="1" t="inlineStr">
        <is>
          <t>Водитель погрузчика</t>
        </is>
      </c>
      <c r="H668" s="1" t="inlineStr">
        <is>
          <t>ООО "Амур Золото"</t>
        </is>
      </c>
      <c r="I668" s="1" t="inlineStr">
        <is>
          <t>2708001686</t>
        </is>
      </c>
      <c r="J668" s="1" t="inlineStr">
        <is>
          <t>ОТ № ЮГОК АТЦ 23-03</t>
        </is>
      </c>
      <c r="K668" s="1" t="inlineStr">
        <is>
          <t>Оказание первой помощи пострадавшим</t>
        </is>
      </c>
      <c r="L668" s="1" t="inlineStr">
        <is>
          <t>03.12.2023</t>
        </is>
      </c>
      <c r="M668" s="1" t="inlineStr">
        <is>
          <t>Успешно</t>
        </is>
      </c>
      <c r="N668" s="1" t="inlineStr">
        <is>
          <t>26.02.2024</t>
        </is>
      </c>
      <c r="O668" s="1" t="inlineStr"/>
      <c r="P668" s="1" t="inlineStr"/>
      <c r="Q668" s="1" t="inlineStr">
        <is>
          <t>Пользовательский интерфейс</t>
        </is>
      </c>
    </row>
    <row r="669">
      <c r="B669" s="1" t="inlineStr">
        <is>
          <t>41371997</t>
        </is>
      </c>
      <c r="C669" s="1" t="inlineStr">
        <is>
          <t>3335316</t>
        </is>
      </c>
      <c r="D669" t="inlineStr">
        <is>
          <t>работник 186</t>
        </is>
      </c>
      <c r="E669" s="1" t="inlineStr">
        <is>
          <t>ОБЩЕСТВО С ОГРАНИЧЕННОЙ ОТВЕТСТВЕННОСТЬЮ "АМУР ЗОЛОТО"</t>
        </is>
      </c>
      <c r="F669" s="1" t="inlineStr">
        <is>
          <t>2708001686</t>
        </is>
      </c>
      <c r="G669" s="1" t="inlineStr">
        <is>
          <t>Водитель погрузчика</t>
        </is>
      </c>
      <c r="H669" s="1" t="inlineStr">
        <is>
          <t>ООО "Амур Золото"</t>
        </is>
      </c>
      <c r="I669" s="1" t="inlineStr">
        <is>
          <t>2708001686</t>
        </is>
      </c>
      <c r="J669" s="1" t="inlineStr">
        <is>
          <t>ОТ № ЮГОК АТЦ 23-03</t>
        </is>
      </c>
      <c r="K669" s="1" t="inlineStr">
        <is>
          <t>Использование (применение) средств индивидуальной защиты</t>
        </is>
      </c>
      <c r="L669" s="1" t="inlineStr">
        <is>
          <t>03.12.2023</t>
        </is>
      </c>
      <c r="M669" s="1" t="inlineStr">
        <is>
          <t>Успешно</t>
        </is>
      </c>
      <c r="N669" s="1" t="inlineStr">
        <is>
          <t>26.02.2024</t>
        </is>
      </c>
      <c r="O669" s="1" t="inlineStr"/>
      <c r="P669" s="1" t="inlineStr"/>
      <c r="Q669" s="1" t="inlineStr">
        <is>
          <t>Пользовательский интерфейс</t>
        </is>
      </c>
    </row>
    <row r="670">
      <c r="B670" s="1" t="inlineStr">
        <is>
          <t>41371998</t>
        </is>
      </c>
      <c r="C670" s="1" t="inlineStr">
        <is>
          <t>3335316</t>
        </is>
      </c>
      <c r="D670" t="inlineStr">
        <is>
          <t>работник 186</t>
        </is>
      </c>
      <c r="E670" s="1" t="inlineStr">
        <is>
          <t>ОБЩЕСТВО С ОГРАНИЧЕННОЙ ОТВЕТСТВЕННОСТЬЮ "АМУР ЗОЛОТО"</t>
        </is>
      </c>
      <c r="F670" s="1" t="inlineStr">
        <is>
          <t>2708001686</t>
        </is>
      </c>
      <c r="G670" s="1" t="inlineStr">
        <is>
          <t>Водитель погрузчика</t>
        </is>
      </c>
      <c r="H670" s="1" t="inlineStr">
        <is>
          <t>ООО "Амур Золото"</t>
        </is>
      </c>
      <c r="I670" s="1" t="inlineStr">
        <is>
          <t>2708001686</t>
        </is>
      </c>
      <c r="J670" s="1" t="inlineStr">
        <is>
          <t>ОТ № ЮГОК АТЦ 23-03</t>
        </is>
      </c>
      <c r="K67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670" s="1" t="inlineStr">
        <is>
          <t>03.12.2023</t>
        </is>
      </c>
      <c r="M670" s="1" t="inlineStr">
        <is>
          <t>Успешно</t>
        </is>
      </c>
      <c r="N670" s="1" t="inlineStr">
        <is>
          <t>26.02.2024</t>
        </is>
      </c>
      <c r="O670" s="1" t="inlineStr"/>
      <c r="P670" s="1" t="inlineStr"/>
      <c r="Q670" s="1" t="inlineStr">
        <is>
          <t>Пользовательский интерфейс</t>
        </is>
      </c>
    </row>
    <row r="671">
      <c r="B671" s="1" t="inlineStr">
        <is>
          <t>41371999</t>
        </is>
      </c>
      <c r="C671" s="1" t="inlineStr">
        <is>
          <t>3335316</t>
        </is>
      </c>
      <c r="D671" t="inlineStr">
        <is>
          <t>работник 187</t>
        </is>
      </c>
      <c r="E671" s="1" t="inlineStr">
        <is>
          <t>ОБЩЕСТВО С ОГРАНИЧЕННОЙ ОТВЕТСТВЕННОСТЬЮ "АМУР ЗОЛОТО"</t>
        </is>
      </c>
      <c r="F671" s="1" t="inlineStr">
        <is>
          <t>2708001686</t>
        </is>
      </c>
      <c r="G671" s="1" t="inlineStr">
        <is>
          <t>Водитель автомобиля(занятый на траспортировании горной массы в технологическом процессе)</t>
        </is>
      </c>
      <c r="H671" s="1" t="inlineStr">
        <is>
          <t>ООО "Амур Золото"</t>
        </is>
      </c>
      <c r="I671" s="1" t="inlineStr">
        <is>
          <t>2708001686</t>
        </is>
      </c>
      <c r="J671" s="1" t="inlineStr">
        <is>
          <t>ОТ № ЮГОК АТЦ 23-03</t>
        </is>
      </c>
      <c r="K671" s="1" t="inlineStr">
        <is>
          <t>Оказание первой помощи пострадавшим</t>
        </is>
      </c>
      <c r="L671" s="1" t="inlineStr">
        <is>
          <t>03.12.2023</t>
        </is>
      </c>
      <c r="M671" s="1" t="inlineStr">
        <is>
          <t>Успешно</t>
        </is>
      </c>
      <c r="N671" s="1" t="inlineStr">
        <is>
          <t>26.02.2024</t>
        </is>
      </c>
      <c r="O671" s="1" t="inlineStr"/>
      <c r="P671" s="1" t="inlineStr"/>
      <c r="Q671" s="1" t="inlineStr">
        <is>
          <t>Пользовательский интерфейс</t>
        </is>
      </c>
    </row>
    <row r="672">
      <c r="B672" s="1" t="inlineStr">
        <is>
          <t>41372000</t>
        </is>
      </c>
      <c r="C672" s="1" t="inlineStr">
        <is>
          <t>3335316</t>
        </is>
      </c>
      <c r="D672" t="inlineStr">
        <is>
          <t>работник 187</t>
        </is>
      </c>
      <c r="E672" s="1" t="inlineStr">
        <is>
          <t>ОБЩЕСТВО С ОГРАНИЧЕННОЙ ОТВЕТСТВЕННОСТЬЮ "АМУР ЗОЛОТО"</t>
        </is>
      </c>
      <c r="F672" s="1" t="inlineStr">
        <is>
          <t>2708001686</t>
        </is>
      </c>
      <c r="G672" s="1" t="inlineStr">
        <is>
          <t>Водитель автомобиля(занятый на траспортировании горной массы в технологическом процессе)</t>
        </is>
      </c>
      <c r="H672" s="1" t="inlineStr">
        <is>
          <t>ООО "Амур Золото"</t>
        </is>
      </c>
      <c r="I672" s="1" t="inlineStr">
        <is>
          <t>2708001686</t>
        </is>
      </c>
      <c r="J672" s="1" t="inlineStr">
        <is>
          <t>ОТ № ЮГОК АТЦ 23-03</t>
        </is>
      </c>
      <c r="K672" s="1" t="inlineStr">
        <is>
          <t>Использование (применение) средств индивидуальной защиты</t>
        </is>
      </c>
      <c r="L672" s="1" t="inlineStr">
        <is>
          <t>03.12.2023</t>
        </is>
      </c>
      <c r="M672" s="1" t="inlineStr">
        <is>
          <t>Успешно</t>
        </is>
      </c>
      <c r="N672" s="1" t="inlineStr">
        <is>
          <t>26.02.2024</t>
        </is>
      </c>
      <c r="O672" s="1" t="inlineStr"/>
      <c r="P672" s="1" t="inlineStr"/>
      <c r="Q672" s="1" t="inlineStr">
        <is>
          <t>Пользовательский интерфейс</t>
        </is>
      </c>
    </row>
    <row r="673">
      <c r="B673" s="1" t="inlineStr">
        <is>
          <t>41372001</t>
        </is>
      </c>
      <c r="C673" s="1" t="inlineStr">
        <is>
          <t>3335316</t>
        </is>
      </c>
      <c r="D673" t="inlineStr">
        <is>
          <t>работник 187</t>
        </is>
      </c>
      <c r="E673" s="1" t="inlineStr">
        <is>
          <t>ОБЩЕСТВО С ОГРАНИЧЕННОЙ ОТВЕТСТВЕННОСТЬЮ "АМУР ЗОЛОТО"</t>
        </is>
      </c>
      <c r="F673" s="1" t="inlineStr">
        <is>
          <t>2708001686</t>
        </is>
      </c>
      <c r="G673" s="1" t="inlineStr">
        <is>
          <t>Водитель автомобиля(занятый на траспортировании горной массы в технологическом процессе)</t>
        </is>
      </c>
      <c r="H673" s="1" t="inlineStr">
        <is>
          <t>ООО "Амур Золото"</t>
        </is>
      </c>
      <c r="I673" s="1" t="inlineStr">
        <is>
          <t>2708001686</t>
        </is>
      </c>
      <c r="J673" s="1" t="inlineStr">
        <is>
          <t>ОТ № ЮГОК АТЦ 23-03</t>
        </is>
      </c>
      <c r="K67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673" s="1" t="inlineStr">
        <is>
          <t>03.12.2023</t>
        </is>
      </c>
      <c r="M673" s="1" t="inlineStr">
        <is>
          <t>Успешно</t>
        </is>
      </c>
      <c r="N673" s="1" t="inlineStr">
        <is>
          <t>26.02.2024</t>
        </is>
      </c>
      <c r="O673" s="1" t="inlineStr"/>
      <c r="P673" s="1" t="inlineStr"/>
      <c r="Q673" s="1" t="inlineStr">
        <is>
          <t>Пользовательский интерфейс</t>
        </is>
      </c>
    </row>
    <row r="674">
      <c r="B674" s="1" t="inlineStr">
        <is>
          <t>41372002</t>
        </is>
      </c>
      <c r="C674" s="1" t="inlineStr">
        <is>
          <t>3335316</t>
        </is>
      </c>
      <c r="D674" t="inlineStr">
        <is>
          <t>работник 188</t>
        </is>
      </c>
      <c r="E674" s="1" t="inlineStr">
        <is>
          <t>ОБЩЕСТВО С ОГРАНИЧЕННОЙ ОТВЕТСТВЕННОСТЬЮ "АМУР ЗОЛОТО"</t>
        </is>
      </c>
      <c r="F674" s="1" t="inlineStr">
        <is>
          <t>2708001686</t>
        </is>
      </c>
      <c r="G674" s="1" t="inlineStr">
        <is>
          <t>Водитель автомобиля(занятый на траспортировании горной массы в технологическом процессе)</t>
        </is>
      </c>
      <c r="H674" s="1" t="inlineStr">
        <is>
          <t>ООО "Амур Золото"</t>
        </is>
      </c>
      <c r="I674" s="1" t="inlineStr">
        <is>
          <t>2708001686</t>
        </is>
      </c>
      <c r="J674" s="1" t="inlineStr">
        <is>
          <t>ОТ № ЮГОК АТЦ 23-03</t>
        </is>
      </c>
      <c r="K674" s="1" t="inlineStr">
        <is>
          <t>Оказание первой помощи пострадавшим</t>
        </is>
      </c>
      <c r="L674" s="1" t="inlineStr">
        <is>
          <t>03.12.2023</t>
        </is>
      </c>
      <c r="M674" s="1" t="inlineStr">
        <is>
          <t>Успешно</t>
        </is>
      </c>
      <c r="N674" s="1" t="inlineStr">
        <is>
          <t>26.02.2024</t>
        </is>
      </c>
      <c r="O674" s="1" t="inlineStr"/>
      <c r="P674" s="1" t="inlineStr"/>
      <c r="Q674" s="1" t="inlineStr">
        <is>
          <t>Пользовательский интерфейс</t>
        </is>
      </c>
    </row>
    <row r="675">
      <c r="B675" s="1" t="inlineStr">
        <is>
          <t>41372003</t>
        </is>
      </c>
      <c r="C675" s="1" t="inlineStr">
        <is>
          <t>3335316</t>
        </is>
      </c>
      <c r="D675" t="inlineStr">
        <is>
          <t>работник 188</t>
        </is>
      </c>
      <c r="E675" s="1" t="inlineStr">
        <is>
          <t>ОБЩЕСТВО С ОГРАНИЧЕННОЙ ОТВЕТСТВЕННОСТЬЮ "АМУР ЗОЛОТО"</t>
        </is>
      </c>
      <c r="F675" s="1" t="inlineStr">
        <is>
          <t>2708001686</t>
        </is>
      </c>
      <c r="G675" s="1" t="inlineStr">
        <is>
          <t>Водитель автомобиля(занятый на траспортировании горной массы в технологическом процессе)</t>
        </is>
      </c>
      <c r="H675" s="1" t="inlineStr">
        <is>
          <t>ООО "Амур Золото"</t>
        </is>
      </c>
      <c r="I675" s="1" t="inlineStr">
        <is>
          <t>2708001686</t>
        </is>
      </c>
      <c r="J675" s="1" t="inlineStr">
        <is>
          <t>ОТ № ЮГОК АТЦ 23-03</t>
        </is>
      </c>
      <c r="K675" s="1" t="inlineStr">
        <is>
          <t>Использование (применение) средств индивидуальной защиты</t>
        </is>
      </c>
      <c r="L675" s="1" t="inlineStr">
        <is>
          <t>03.12.2023</t>
        </is>
      </c>
      <c r="M675" s="1" t="inlineStr">
        <is>
          <t>Успешно</t>
        </is>
      </c>
      <c r="N675" s="1" t="inlineStr">
        <is>
          <t>26.02.2024</t>
        </is>
      </c>
      <c r="O675" s="1" t="inlineStr"/>
      <c r="P675" s="1" t="inlineStr"/>
      <c r="Q675" s="1" t="inlineStr">
        <is>
          <t>Пользовательский интерфейс</t>
        </is>
      </c>
    </row>
    <row r="676">
      <c r="B676" s="1" t="inlineStr">
        <is>
          <t>41372004</t>
        </is>
      </c>
      <c r="C676" s="1" t="inlineStr">
        <is>
          <t>3335316</t>
        </is>
      </c>
      <c r="D676" t="inlineStr">
        <is>
          <t>работник 188</t>
        </is>
      </c>
      <c r="E676" s="1" t="inlineStr">
        <is>
          <t>ОБЩЕСТВО С ОГРАНИЧЕННОЙ ОТВЕТСТВЕННОСТЬЮ "АМУР ЗОЛОТО"</t>
        </is>
      </c>
      <c r="F676" s="1" t="inlineStr">
        <is>
          <t>2708001686</t>
        </is>
      </c>
      <c r="G676" s="1" t="inlineStr">
        <is>
          <t>Водитель автомобиля(занятый на траспортировании горной массы в технологическом процессе)</t>
        </is>
      </c>
      <c r="H676" s="1" t="inlineStr">
        <is>
          <t>ООО "Амур Золото"</t>
        </is>
      </c>
      <c r="I676" s="1" t="inlineStr">
        <is>
          <t>2708001686</t>
        </is>
      </c>
      <c r="J676" s="1" t="inlineStr">
        <is>
          <t>ОТ № ЮГОК АТЦ 23-03</t>
        </is>
      </c>
      <c r="K67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676" s="1" t="inlineStr">
        <is>
          <t>03.12.2023</t>
        </is>
      </c>
      <c r="M676" s="1" t="inlineStr">
        <is>
          <t>Успешно</t>
        </is>
      </c>
      <c r="N676" s="1" t="inlineStr">
        <is>
          <t>26.02.2024</t>
        </is>
      </c>
      <c r="O676" s="1" t="inlineStr"/>
      <c r="P676" s="1" t="inlineStr"/>
      <c r="Q676" s="1" t="inlineStr">
        <is>
          <t>Пользовательский интерфейс</t>
        </is>
      </c>
    </row>
    <row r="677">
      <c r="B677" s="1" t="inlineStr">
        <is>
          <t>41372005</t>
        </is>
      </c>
      <c r="C677" s="1" t="inlineStr">
        <is>
          <t>3335316</t>
        </is>
      </c>
      <c r="D677" t="inlineStr">
        <is>
          <t>работник 189</t>
        </is>
      </c>
      <c r="E677" s="1" t="inlineStr">
        <is>
          <t>ОБЩЕСТВО С ОГРАНИЧЕННОЙ ОТВЕТСТВЕННОСТЬЮ "АМУР ЗОЛОТО"</t>
        </is>
      </c>
      <c r="F677" s="1" t="inlineStr">
        <is>
          <t>2708001686</t>
        </is>
      </c>
      <c r="G677" s="1" t="inlineStr">
        <is>
          <t>Водитель погрузчика</t>
        </is>
      </c>
      <c r="H677" s="1" t="inlineStr">
        <is>
          <t>ООО "Амур Золото"</t>
        </is>
      </c>
      <c r="I677" s="1" t="inlineStr">
        <is>
          <t>2708001686</t>
        </is>
      </c>
      <c r="J677" s="1" t="inlineStr">
        <is>
          <t>ОТ № ЮГОК АТЦ 23-03</t>
        </is>
      </c>
      <c r="K677" s="1" t="inlineStr">
        <is>
          <t>Оказание первой помощи пострадавшим</t>
        </is>
      </c>
      <c r="L677" s="1" t="inlineStr">
        <is>
          <t>03.12.2023</t>
        </is>
      </c>
      <c r="M677" s="1" t="inlineStr">
        <is>
          <t>Успешно</t>
        </is>
      </c>
      <c r="N677" s="1" t="inlineStr">
        <is>
          <t>26.02.2024</t>
        </is>
      </c>
      <c r="O677" s="1" t="inlineStr"/>
      <c r="P677" s="1" t="inlineStr"/>
      <c r="Q677" s="1" t="inlineStr">
        <is>
          <t>Пользовательский интерфейс</t>
        </is>
      </c>
    </row>
    <row r="678">
      <c r="B678" s="1" t="inlineStr">
        <is>
          <t>41372006</t>
        </is>
      </c>
      <c r="C678" s="1" t="inlineStr">
        <is>
          <t>3335316</t>
        </is>
      </c>
      <c r="D678" t="inlineStr">
        <is>
          <t>работник 189</t>
        </is>
      </c>
      <c r="E678" s="1" t="inlineStr">
        <is>
          <t>ОБЩЕСТВО С ОГРАНИЧЕННОЙ ОТВЕТСТВЕННОСТЬЮ "АМУР ЗОЛОТО"</t>
        </is>
      </c>
      <c r="F678" s="1" t="inlineStr">
        <is>
          <t>2708001686</t>
        </is>
      </c>
      <c r="G678" s="1" t="inlineStr">
        <is>
          <t>Водитель погрузчика</t>
        </is>
      </c>
      <c r="H678" s="1" t="inlineStr">
        <is>
          <t>ООО "Амур Золото"</t>
        </is>
      </c>
      <c r="I678" s="1" t="inlineStr">
        <is>
          <t>2708001686</t>
        </is>
      </c>
      <c r="J678" s="1" t="inlineStr">
        <is>
          <t>ОТ № ЮГОК АТЦ 23-03</t>
        </is>
      </c>
      <c r="K678" s="1" t="inlineStr">
        <is>
          <t>Использование (применение) средств индивидуальной защиты</t>
        </is>
      </c>
      <c r="L678" s="1" t="inlineStr">
        <is>
          <t>03.12.2023</t>
        </is>
      </c>
      <c r="M678" s="1" t="inlineStr">
        <is>
          <t>Успешно</t>
        </is>
      </c>
      <c r="N678" s="1" t="inlineStr">
        <is>
          <t>26.02.2024</t>
        </is>
      </c>
      <c r="O678" s="1" t="inlineStr"/>
      <c r="P678" s="1" t="inlineStr"/>
      <c r="Q678" s="1" t="inlineStr">
        <is>
          <t>Пользовательский интерфейс</t>
        </is>
      </c>
    </row>
    <row r="679">
      <c r="B679" s="1" t="inlineStr">
        <is>
          <t>41372007</t>
        </is>
      </c>
      <c r="C679" s="1" t="inlineStr">
        <is>
          <t>3335316</t>
        </is>
      </c>
      <c r="D679" t="inlineStr">
        <is>
          <t>работник 189</t>
        </is>
      </c>
      <c r="E679" s="1" t="inlineStr">
        <is>
          <t>ОБЩЕСТВО С ОГРАНИЧЕННОЙ ОТВЕТСТВЕННОСТЬЮ "АМУР ЗОЛОТО"</t>
        </is>
      </c>
      <c r="F679" s="1" t="inlineStr">
        <is>
          <t>2708001686</t>
        </is>
      </c>
      <c r="G679" s="1" t="inlineStr">
        <is>
          <t>Водитель погрузчика</t>
        </is>
      </c>
      <c r="H679" s="1" t="inlineStr">
        <is>
          <t>ООО "Амур Золото"</t>
        </is>
      </c>
      <c r="I679" s="1" t="inlineStr">
        <is>
          <t>2708001686</t>
        </is>
      </c>
      <c r="J679" s="1" t="inlineStr">
        <is>
          <t>ОТ № ЮГОК АТЦ 23-03</t>
        </is>
      </c>
      <c r="K67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679" s="1" t="inlineStr">
        <is>
          <t>03.12.2023</t>
        </is>
      </c>
      <c r="M679" s="1" t="inlineStr">
        <is>
          <t>Успешно</t>
        </is>
      </c>
      <c r="N679" s="1" t="inlineStr">
        <is>
          <t>26.02.2024</t>
        </is>
      </c>
      <c r="O679" s="1" t="inlineStr"/>
      <c r="P679" s="1" t="inlineStr"/>
      <c r="Q679" s="1" t="inlineStr">
        <is>
          <t>Пользовательский интерфейс</t>
        </is>
      </c>
    </row>
    <row r="680">
      <c r="B680" s="1" t="inlineStr">
        <is>
          <t>41372008</t>
        </is>
      </c>
      <c r="C680" s="1" t="inlineStr">
        <is>
          <t>3335316</t>
        </is>
      </c>
      <c r="D680" t="inlineStr">
        <is>
          <t>работник 190</t>
        </is>
      </c>
      <c r="E680" s="1" t="inlineStr">
        <is>
          <t>ОБЩЕСТВО С ОГРАНИЧЕННОЙ ОТВЕТСТВЕННОСТЬЮ "АМУР ЗОЛОТО"</t>
        </is>
      </c>
      <c r="F680" s="1" t="inlineStr">
        <is>
          <t>2708001686</t>
        </is>
      </c>
      <c r="G680" s="1" t="inlineStr">
        <is>
          <t>Машинист крана автомобильного</t>
        </is>
      </c>
      <c r="H680" s="1" t="inlineStr">
        <is>
          <t>ООО "Амур Золото"</t>
        </is>
      </c>
      <c r="I680" s="1" t="inlineStr">
        <is>
          <t>2708001686</t>
        </is>
      </c>
      <c r="J680" s="1" t="inlineStr">
        <is>
          <t>ОТ № ЮГОК АТЦ 23-03</t>
        </is>
      </c>
      <c r="K680" s="1" t="inlineStr">
        <is>
          <t>Оказание первой помощи пострадавшим</t>
        </is>
      </c>
      <c r="L680" s="1" t="inlineStr">
        <is>
          <t>03.12.2023</t>
        </is>
      </c>
      <c r="M680" s="1" t="inlineStr">
        <is>
          <t>Успешно</t>
        </is>
      </c>
      <c r="N680" s="1" t="inlineStr">
        <is>
          <t>26.02.2024</t>
        </is>
      </c>
      <c r="O680" s="1" t="inlineStr"/>
      <c r="P680" s="1" t="inlineStr"/>
      <c r="Q680" s="1" t="inlineStr">
        <is>
          <t>Пользовательский интерфейс</t>
        </is>
      </c>
    </row>
    <row r="681">
      <c r="B681" s="1" t="inlineStr">
        <is>
          <t>41372009</t>
        </is>
      </c>
      <c r="C681" s="1" t="inlineStr">
        <is>
          <t>3335316</t>
        </is>
      </c>
      <c r="D681" t="inlineStr">
        <is>
          <t>работник 190</t>
        </is>
      </c>
      <c r="E681" s="1" t="inlineStr">
        <is>
          <t>ОБЩЕСТВО С ОГРАНИЧЕННОЙ ОТВЕТСТВЕННОСТЬЮ "АМУР ЗОЛОТО"</t>
        </is>
      </c>
      <c r="F681" s="1" t="inlineStr">
        <is>
          <t>2708001686</t>
        </is>
      </c>
      <c r="G681" s="1" t="inlineStr">
        <is>
          <t>Машинист крана автомобильного</t>
        </is>
      </c>
      <c r="H681" s="1" t="inlineStr">
        <is>
          <t>ООО "Амур Золото"</t>
        </is>
      </c>
      <c r="I681" s="1" t="inlineStr">
        <is>
          <t>2708001686</t>
        </is>
      </c>
      <c r="J681" s="1" t="inlineStr">
        <is>
          <t>ОТ № ЮГОК АТЦ 23-03</t>
        </is>
      </c>
      <c r="K681" s="1" t="inlineStr">
        <is>
          <t>Использование (применение) средств индивидуальной защиты</t>
        </is>
      </c>
      <c r="L681" s="1" t="inlineStr">
        <is>
          <t>03.12.2023</t>
        </is>
      </c>
      <c r="M681" s="1" t="inlineStr">
        <is>
          <t>Успешно</t>
        </is>
      </c>
      <c r="N681" s="1" t="inlineStr">
        <is>
          <t>26.02.2024</t>
        </is>
      </c>
      <c r="O681" s="1" t="inlineStr"/>
      <c r="P681" s="1" t="inlineStr"/>
      <c r="Q681" s="1" t="inlineStr">
        <is>
          <t>Пользовательский интерфейс</t>
        </is>
      </c>
    </row>
    <row r="682">
      <c r="B682" s="1" t="inlineStr">
        <is>
          <t>41372010</t>
        </is>
      </c>
      <c r="C682" s="1" t="inlineStr">
        <is>
          <t>3335316</t>
        </is>
      </c>
      <c r="D682" t="inlineStr">
        <is>
          <t>работник 190</t>
        </is>
      </c>
      <c r="E682" s="1" t="inlineStr">
        <is>
          <t>ОБЩЕСТВО С ОГРАНИЧЕННОЙ ОТВЕТСТВЕННОСТЬЮ "АМУР ЗОЛОТО"</t>
        </is>
      </c>
      <c r="F682" s="1" t="inlineStr">
        <is>
          <t>2708001686</t>
        </is>
      </c>
      <c r="G682" s="1" t="inlineStr">
        <is>
          <t>Машинист крана автомобильного</t>
        </is>
      </c>
      <c r="H682" s="1" t="inlineStr">
        <is>
          <t>ООО "Амур Золото"</t>
        </is>
      </c>
      <c r="I682" s="1" t="inlineStr">
        <is>
          <t>2708001686</t>
        </is>
      </c>
      <c r="J682" s="1" t="inlineStr">
        <is>
          <t>ОТ № ЮГОК АТЦ 23-03</t>
        </is>
      </c>
      <c r="K68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682" s="1" t="inlineStr">
        <is>
          <t>03.12.2023</t>
        </is>
      </c>
      <c r="M682" s="1" t="inlineStr">
        <is>
          <t>Успешно</t>
        </is>
      </c>
      <c r="N682" s="1" t="inlineStr">
        <is>
          <t>26.02.2024</t>
        </is>
      </c>
      <c r="O682" s="1" t="inlineStr"/>
      <c r="P682" s="1" t="inlineStr"/>
      <c r="Q682" s="1" t="inlineStr">
        <is>
          <t>Пользовательский интерфейс</t>
        </is>
      </c>
    </row>
    <row r="683">
      <c r="B683" s="1" t="inlineStr">
        <is>
          <t>41372011</t>
        </is>
      </c>
      <c r="C683" s="1" t="inlineStr">
        <is>
          <t>3335316</t>
        </is>
      </c>
      <c r="D683" t="inlineStr">
        <is>
          <t>работник 191</t>
        </is>
      </c>
      <c r="E683" s="1" t="inlineStr">
        <is>
          <t>ОБЩЕСТВО С ОГРАНИЧЕННОЙ ОТВЕТСТВЕННОСТЬЮ "АМУР ЗОЛОТО"</t>
        </is>
      </c>
      <c r="F683" s="1" t="inlineStr">
        <is>
          <t>2708001686</t>
        </is>
      </c>
      <c r="G683" s="1" t="inlineStr">
        <is>
          <t>Машинист катка</t>
        </is>
      </c>
      <c r="H683" s="1" t="inlineStr">
        <is>
          <t>ООО "Амур Золото"</t>
        </is>
      </c>
      <c r="I683" s="1" t="inlineStr">
        <is>
          <t>2708001686</t>
        </is>
      </c>
      <c r="J683" s="1" t="inlineStr">
        <is>
          <t>ОТ № ЮГОК АТЦ 23-03</t>
        </is>
      </c>
      <c r="K683" s="1" t="inlineStr">
        <is>
          <t>Оказание первой помощи пострадавшим</t>
        </is>
      </c>
      <c r="L683" s="1" t="inlineStr">
        <is>
          <t>03.12.2023</t>
        </is>
      </c>
      <c r="M683" s="1" t="inlineStr">
        <is>
          <t>Успешно</t>
        </is>
      </c>
      <c r="N683" s="1" t="inlineStr">
        <is>
          <t>26.02.2024</t>
        </is>
      </c>
      <c r="O683" s="1" t="inlineStr"/>
      <c r="P683" s="1" t="inlineStr"/>
      <c r="Q683" s="1" t="inlineStr">
        <is>
          <t>Пользовательский интерфейс</t>
        </is>
      </c>
    </row>
    <row r="684">
      <c r="B684" s="1" t="inlineStr">
        <is>
          <t>41372012</t>
        </is>
      </c>
      <c r="C684" s="1" t="inlineStr">
        <is>
          <t>3335316</t>
        </is>
      </c>
      <c r="D684" t="inlineStr">
        <is>
          <t>работник 191</t>
        </is>
      </c>
      <c r="E684" s="1" t="inlineStr">
        <is>
          <t>ОБЩЕСТВО С ОГРАНИЧЕННОЙ ОТВЕТСТВЕННОСТЬЮ "АМУР ЗОЛОТО"</t>
        </is>
      </c>
      <c r="F684" s="1" t="inlineStr">
        <is>
          <t>2708001686</t>
        </is>
      </c>
      <c r="G684" s="1" t="inlineStr">
        <is>
          <t>Машинист катка</t>
        </is>
      </c>
      <c r="H684" s="1" t="inlineStr">
        <is>
          <t>ООО "Амур Золото"</t>
        </is>
      </c>
      <c r="I684" s="1" t="inlineStr">
        <is>
          <t>2708001686</t>
        </is>
      </c>
      <c r="J684" s="1" t="inlineStr">
        <is>
          <t>ОТ № ЮГОК АТЦ 23-03</t>
        </is>
      </c>
      <c r="K684" s="1" t="inlineStr">
        <is>
          <t>Использование (применение) средств индивидуальной защиты</t>
        </is>
      </c>
      <c r="L684" s="1" t="inlineStr">
        <is>
          <t>03.12.2023</t>
        </is>
      </c>
      <c r="M684" s="1" t="inlineStr">
        <is>
          <t>Успешно</t>
        </is>
      </c>
      <c r="N684" s="1" t="inlineStr">
        <is>
          <t>26.02.2024</t>
        </is>
      </c>
      <c r="O684" s="1" t="inlineStr"/>
      <c r="P684" s="1" t="inlineStr"/>
      <c r="Q684" s="1" t="inlineStr">
        <is>
          <t>Пользовательский интерфейс</t>
        </is>
      </c>
    </row>
    <row r="685">
      <c r="B685" s="1" t="inlineStr">
        <is>
          <t>41372013</t>
        </is>
      </c>
      <c r="C685" s="1" t="inlineStr">
        <is>
          <t>3335316</t>
        </is>
      </c>
      <c r="D685" t="inlineStr">
        <is>
          <t>работник 191</t>
        </is>
      </c>
      <c r="E685" s="1" t="inlineStr">
        <is>
          <t>ОБЩЕСТВО С ОГРАНИЧЕННОЙ ОТВЕТСТВЕННОСТЬЮ "АМУР ЗОЛОТО"</t>
        </is>
      </c>
      <c r="F685" s="1" t="inlineStr">
        <is>
          <t>2708001686</t>
        </is>
      </c>
      <c r="G685" s="1" t="inlineStr">
        <is>
          <t>Машинист катка</t>
        </is>
      </c>
      <c r="H685" s="1" t="inlineStr">
        <is>
          <t>ООО "Амур Золото"</t>
        </is>
      </c>
      <c r="I685" s="1" t="inlineStr">
        <is>
          <t>2708001686</t>
        </is>
      </c>
      <c r="J685" s="1" t="inlineStr">
        <is>
          <t>ОТ № ЮГОК АТЦ 23-03</t>
        </is>
      </c>
      <c r="K68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685" s="1" t="inlineStr">
        <is>
          <t>03.12.2023</t>
        </is>
      </c>
      <c r="M685" s="1" t="inlineStr">
        <is>
          <t>Успешно</t>
        </is>
      </c>
      <c r="N685" s="1" t="inlineStr">
        <is>
          <t>26.02.2024</t>
        </is>
      </c>
      <c r="O685" s="1" t="inlineStr"/>
      <c r="P685" s="1" t="inlineStr"/>
      <c r="Q685" s="1" t="inlineStr">
        <is>
          <t>Пользовательский интерфейс</t>
        </is>
      </c>
    </row>
    <row r="686">
      <c r="B686" s="1" t="inlineStr">
        <is>
          <t>41372014</t>
        </is>
      </c>
      <c r="C686" s="1" t="inlineStr">
        <is>
          <t>3335316</t>
        </is>
      </c>
      <c r="D686" t="inlineStr">
        <is>
          <t>работник 192</t>
        </is>
      </c>
      <c r="E686" s="1" t="inlineStr">
        <is>
          <t>ОБЩЕСТВО С ОГРАНИЧЕННОЙ ОТВЕТСТВЕННОСТЬЮ "АМУР ЗОЛОТО"</t>
        </is>
      </c>
      <c r="F686" s="1" t="inlineStr">
        <is>
          <t>2708001686</t>
        </is>
      </c>
      <c r="G686" s="1" t="inlineStr">
        <is>
          <t>Водитель погрузчика</t>
        </is>
      </c>
      <c r="H686" s="1" t="inlineStr">
        <is>
          <t>ООО "Амур Золото"</t>
        </is>
      </c>
      <c r="I686" s="1" t="inlineStr">
        <is>
          <t>2708001686</t>
        </is>
      </c>
      <c r="J686" s="1" t="inlineStr">
        <is>
          <t>ОТ № ЮГОК АТЦ 23-03</t>
        </is>
      </c>
      <c r="K686" s="1" t="inlineStr">
        <is>
          <t>Оказание первой помощи пострадавшим</t>
        </is>
      </c>
      <c r="L686" s="1" t="inlineStr">
        <is>
          <t>03.12.2023</t>
        </is>
      </c>
      <c r="M686" s="1" t="inlineStr">
        <is>
          <t>Успешно</t>
        </is>
      </c>
      <c r="N686" s="1" t="inlineStr">
        <is>
          <t>26.02.2024</t>
        </is>
      </c>
      <c r="O686" s="1" t="inlineStr"/>
      <c r="P686" s="1" t="inlineStr"/>
      <c r="Q686" s="1" t="inlineStr">
        <is>
          <t>Пользовательский интерфейс</t>
        </is>
      </c>
    </row>
    <row r="687">
      <c r="B687" s="1" t="inlineStr">
        <is>
          <t>41372015</t>
        </is>
      </c>
      <c r="C687" s="1" t="inlineStr">
        <is>
          <t>3335316</t>
        </is>
      </c>
      <c r="D687" t="inlineStr">
        <is>
          <t>работник 192</t>
        </is>
      </c>
      <c r="E687" s="1" t="inlineStr">
        <is>
          <t>ОБЩЕСТВО С ОГРАНИЧЕННОЙ ОТВЕТСТВЕННОСТЬЮ "АМУР ЗОЛОТО"</t>
        </is>
      </c>
      <c r="F687" s="1" t="inlineStr">
        <is>
          <t>2708001686</t>
        </is>
      </c>
      <c r="G687" s="1" t="inlineStr">
        <is>
          <t>Водитель погрузчика</t>
        </is>
      </c>
      <c r="H687" s="1" t="inlineStr">
        <is>
          <t>ООО "Амур Золото"</t>
        </is>
      </c>
      <c r="I687" s="1" t="inlineStr">
        <is>
          <t>2708001686</t>
        </is>
      </c>
      <c r="J687" s="1" t="inlineStr">
        <is>
          <t>ОТ № ЮГОК АТЦ 23-03</t>
        </is>
      </c>
      <c r="K687" s="1" t="inlineStr">
        <is>
          <t>Использование (применение) средств индивидуальной защиты</t>
        </is>
      </c>
      <c r="L687" s="1" t="inlineStr">
        <is>
          <t>03.12.2023</t>
        </is>
      </c>
      <c r="M687" s="1" t="inlineStr">
        <is>
          <t>Успешно</t>
        </is>
      </c>
      <c r="N687" s="1" t="inlineStr">
        <is>
          <t>26.02.2024</t>
        </is>
      </c>
      <c r="O687" s="1" t="inlineStr"/>
      <c r="P687" s="1" t="inlineStr"/>
      <c r="Q687" s="1" t="inlineStr">
        <is>
          <t>Пользовательский интерфейс</t>
        </is>
      </c>
    </row>
    <row r="688">
      <c r="B688" s="1" t="inlineStr">
        <is>
          <t>41372016</t>
        </is>
      </c>
      <c r="C688" s="1" t="inlineStr">
        <is>
          <t>3335316</t>
        </is>
      </c>
      <c r="D688" t="inlineStr">
        <is>
          <t>работник 192</t>
        </is>
      </c>
      <c r="E688" s="1" t="inlineStr">
        <is>
          <t>ОБЩЕСТВО С ОГРАНИЧЕННОЙ ОТВЕТСТВЕННОСТЬЮ "АМУР ЗОЛОТО"</t>
        </is>
      </c>
      <c r="F688" s="1" t="inlineStr">
        <is>
          <t>2708001686</t>
        </is>
      </c>
      <c r="G688" s="1" t="inlineStr">
        <is>
          <t>Водитель погрузчика</t>
        </is>
      </c>
      <c r="H688" s="1" t="inlineStr">
        <is>
          <t>ООО "Амур Золото"</t>
        </is>
      </c>
      <c r="I688" s="1" t="inlineStr">
        <is>
          <t>2708001686</t>
        </is>
      </c>
      <c r="J688" s="1" t="inlineStr">
        <is>
          <t>ОТ № ЮГОК АТЦ 23-03</t>
        </is>
      </c>
      <c r="K68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688" s="1" t="inlineStr">
        <is>
          <t>03.12.2023</t>
        </is>
      </c>
      <c r="M688" s="1" t="inlineStr">
        <is>
          <t>Успешно</t>
        </is>
      </c>
      <c r="N688" s="1" t="inlineStr">
        <is>
          <t>26.02.2024</t>
        </is>
      </c>
      <c r="O688" s="1" t="inlineStr"/>
      <c r="P688" s="1" t="inlineStr"/>
      <c r="Q688" s="1" t="inlineStr">
        <is>
          <t>Пользовательский интерфейс</t>
        </is>
      </c>
    </row>
    <row r="689">
      <c r="B689" s="1" t="inlineStr">
        <is>
          <t>41372017</t>
        </is>
      </c>
      <c r="C689" s="1" t="inlineStr">
        <is>
          <t>3335316</t>
        </is>
      </c>
      <c r="D689" t="inlineStr">
        <is>
          <t>работник 193</t>
        </is>
      </c>
      <c r="E689" s="1" t="inlineStr">
        <is>
          <t>ОБЩЕСТВО С ОГРАНИЧЕННОЙ ОТВЕТСТВЕННОСТЬЮ "АМУР ЗОЛОТО"</t>
        </is>
      </c>
      <c r="F689" s="1" t="inlineStr">
        <is>
          <t>2708001686</t>
        </is>
      </c>
      <c r="G689" s="1" t="inlineStr">
        <is>
          <t>Водитель автомобиля (категория Д)</t>
        </is>
      </c>
      <c r="H689" s="1" t="inlineStr">
        <is>
          <t>ООО "Амур Золото"</t>
        </is>
      </c>
      <c r="I689" s="1" t="inlineStr">
        <is>
          <t>2708001686</t>
        </is>
      </c>
      <c r="J689" s="1" t="inlineStr">
        <is>
          <t>ОТ № ЮГОК АТЦ 23-03</t>
        </is>
      </c>
      <c r="K689" s="1" t="inlineStr">
        <is>
          <t>Оказание первой помощи пострадавшим</t>
        </is>
      </c>
      <c r="L689" s="1" t="inlineStr">
        <is>
          <t>03.12.2023</t>
        </is>
      </c>
      <c r="M689" s="1" t="inlineStr">
        <is>
          <t>Успешно</t>
        </is>
      </c>
      <c r="N689" s="1" t="inlineStr">
        <is>
          <t>26.02.2024</t>
        </is>
      </c>
      <c r="O689" s="1" t="inlineStr"/>
      <c r="P689" s="1" t="inlineStr"/>
      <c r="Q689" s="1" t="inlineStr">
        <is>
          <t>Пользовательский интерфейс</t>
        </is>
      </c>
    </row>
    <row r="690">
      <c r="B690" s="1" t="inlineStr">
        <is>
          <t>41372018</t>
        </is>
      </c>
      <c r="C690" s="1" t="inlineStr">
        <is>
          <t>3335316</t>
        </is>
      </c>
      <c r="D690" t="inlineStr">
        <is>
          <t>работник 193</t>
        </is>
      </c>
      <c r="E690" s="1" t="inlineStr">
        <is>
          <t>ОБЩЕСТВО С ОГРАНИЧЕННОЙ ОТВЕТСТВЕННОСТЬЮ "АМУР ЗОЛОТО"</t>
        </is>
      </c>
      <c r="F690" s="1" t="inlineStr">
        <is>
          <t>2708001686</t>
        </is>
      </c>
      <c r="G690" s="1" t="inlineStr">
        <is>
          <t>Водитель автомобиля (категория Д)</t>
        </is>
      </c>
      <c r="H690" s="1" t="inlineStr">
        <is>
          <t>ООО "Амур Золото"</t>
        </is>
      </c>
      <c r="I690" s="1" t="inlineStr">
        <is>
          <t>2708001686</t>
        </is>
      </c>
      <c r="J690" s="1" t="inlineStr">
        <is>
          <t>ОТ № ЮГОК АТЦ 23-03</t>
        </is>
      </c>
      <c r="K690" s="1" t="inlineStr">
        <is>
          <t>Использование (применение) средств индивидуальной защиты</t>
        </is>
      </c>
      <c r="L690" s="1" t="inlineStr">
        <is>
          <t>03.12.2023</t>
        </is>
      </c>
      <c r="M690" s="1" t="inlineStr">
        <is>
          <t>Успешно</t>
        </is>
      </c>
      <c r="N690" s="1" t="inlineStr">
        <is>
          <t>26.02.2024</t>
        </is>
      </c>
      <c r="O690" s="1" t="inlineStr"/>
      <c r="P690" s="1" t="inlineStr"/>
      <c r="Q690" s="1" t="inlineStr">
        <is>
          <t>Пользовательский интерфейс</t>
        </is>
      </c>
    </row>
    <row r="691">
      <c r="B691" s="1" t="inlineStr">
        <is>
          <t>41372019</t>
        </is>
      </c>
      <c r="C691" s="1" t="inlineStr">
        <is>
          <t>3335316</t>
        </is>
      </c>
      <c r="D691" t="inlineStr">
        <is>
          <t>работник 193</t>
        </is>
      </c>
      <c r="E691" s="1" t="inlineStr">
        <is>
          <t>ОБЩЕСТВО С ОГРАНИЧЕННОЙ ОТВЕТСТВЕННОСТЬЮ "АМУР ЗОЛОТО"</t>
        </is>
      </c>
      <c r="F691" s="1" t="inlineStr">
        <is>
          <t>2708001686</t>
        </is>
      </c>
      <c r="G691" s="1" t="inlineStr">
        <is>
          <t>Водитель автомобиля (категория Д)</t>
        </is>
      </c>
      <c r="H691" s="1" t="inlineStr">
        <is>
          <t>ООО "Амур Золото"</t>
        </is>
      </c>
      <c r="I691" s="1" t="inlineStr">
        <is>
          <t>2708001686</t>
        </is>
      </c>
      <c r="J691" s="1" t="inlineStr">
        <is>
          <t>ОТ № ЮГОК АТЦ 23-03</t>
        </is>
      </c>
      <c r="K69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691" s="1" t="inlineStr">
        <is>
          <t>03.12.2023</t>
        </is>
      </c>
      <c r="M691" s="1" t="inlineStr">
        <is>
          <t>Успешно</t>
        </is>
      </c>
      <c r="N691" s="1" t="inlineStr">
        <is>
          <t>26.02.2024</t>
        </is>
      </c>
      <c r="O691" s="1" t="inlineStr"/>
      <c r="P691" s="1" t="inlineStr"/>
      <c r="Q691" s="1" t="inlineStr">
        <is>
          <t>Пользовательский интерфейс</t>
        </is>
      </c>
    </row>
    <row r="692">
      <c r="B692" s="1" t="inlineStr">
        <is>
          <t>41372020</t>
        </is>
      </c>
      <c r="C692" s="1" t="inlineStr">
        <is>
          <t>3335316</t>
        </is>
      </c>
      <c r="D692" t="inlineStr">
        <is>
          <t>работник 194</t>
        </is>
      </c>
      <c r="E692" s="1" t="inlineStr">
        <is>
          <t>ОБЩЕСТВО С ОГРАНИЧЕННОЙ ОТВЕТСТВЕННОСТЬЮ "АМУР ЗОЛОТО"</t>
        </is>
      </c>
      <c r="F692" s="1" t="inlineStr">
        <is>
          <t>2708001686</t>
        </is>
      </c>
      <c r="G692" s="1" t="inlineStr">
        <is>
          <t>Машинист экскаватора</t>
        </is>
      </c>
      <c r="H692" s="1" t="inlineStr">
        <is>
          <t>ООО "Амур Золото"</t>
        </is>
      </c>
      <c r="I692" s="1" t="inlineStr">
        <is>
          <t>2708001686</t>
        </is>
      </c>
      <c r="J692" s="1" t="inlineStr">
        <is>
          <t>ОТ № ЮГОК АТЦ 23-03</t>
        </is>
      </c>
      <c r="K692" s="1" t="inlineStr">
        <is>
          <t>Оказание первой помощи пострадавшим</t>
        </is>
      </c>
      <c r="L692" s="1" t="inlineStr">
        <is>
          <t>03.12.2023</t>
        </is>
      </c>
      <c r="M692" s="1" t="inlineStr">
        <is>
          <t>Успешно</t>
        </is>
      </c>
      <c r="N692" s="1" t="inlineStr">
        <is>
          <t>26.02.2024</t>
        </is>
      </c>
      <c r="O692" s="1" t="inlineStr"/>
      <c r="P692" s="1" t="inlineStr"/>
      <c r="Q692" s="1" t="inlineStr">
        <is>
          <t>Пользовательский интерфейс</t>
        </is>
      </c>
    </row>
    <row r="693">
      <c r="B693" s="1" t="inlineStr">
        <is>
          <t>41372021</t>
        </is>
      </c>
      <c r="C693" s="1" t="inlineStr">
        <is>
          <t>3335316</t>
        </is>
      </c>
      <c r="D693" t="inlineStr">
        <is>
          <t>работник 194</t>
        </is>
      </c>
      <c r="E693" s="1" t="inlineStr">
        <is>
          <t>ОБЩЕСТВО С ОГРАНИЧЕННОЙ ОТВЕТСТВЕННОСТЬЮ "АМУР ЗОЛОТО"</t>
        </is>
      </c>
      <c r="F693" s="1" t="inlineStr">
        <is>
          <t>2708001686</t>
        </is>
      </c>
      <c r="G693" s="1" t="inlineStr">
        <is>
          <t>Машинист экскаватора</t>
        </is>
      </c>
      <c r="H693" s="1" t="inlineStr">
        <is>
          <t>ООО "Амур Золото"</t>
        </is>
      </c>
      <c r="I693" s="1" t="inlineStr">
        <is>
          <t>2708001686</t>
        </is>
      </c>
      <c r="J693" s="1" t="inlineStr">
        <is>
          <t>ОТ № ЮГОК АТЦ 23-03</t>
        </is>
      </c>
      <c r="K693" s="1" t="inlineStr">
        <is>
          <t>Использование (применение) средств индивидуальной защиты</t>
        </is>
      </c>
      <c r="L693" s="1" t="inlineStr">
        <is>
          <t>03.12.2023</t>
        </is>
      </c>
      <c r="M693" s="1" t="inlineStr">
        <is>
          <t>Успешно</t>
        </is>
      </c>
      <c r="N693" s="1" t="inlineStr">
        <is>
          <t>26.02.2024</t>
        </is>
      </c>
      <c r="O693" s="1" t="inlineStr"/>
      <c r="P693" s="1" t="inlineStr"/>
      <c r="Q693" s="1" t="inlineStr">
        <is>
          <t>Пользовательский интерфейс</t>
        </is>
      </c>
    </row>
    <row r="694">
      <c r="B694" s="1" t="inlineStr">
        <is>
          <t>41372022</t>
        </is>
      </c>
      <c r="C694" s="1" t="inlineStr">
        <is>
          <t>3335316</t>
        </is>
      </c>
      <c r="D694" t="inlineStr">
        <is>
          <t>работник 194</t>
        </is>
      </c>
      <c r="E694" s="1" t="inlineStr">
        <is>
          <t>ОБЩЕСТВО С ОГРАНИЧЕННОЙ ОТВЕТСТВЕННОСТЬЮ "АМУР ЗОЛОТО"</t>
        </is>
      </c>
      <c r="F694" s="1" t="inlineStr">
        <is>
          <t>2708001686</t>
        </is>
      </c>
      <c r="G694" s="1" t="inlineStr">
        <is>
          <t>Машинист экскаватора</t>
        </is>
      </c>
      <c r="H694" s="1" t="inlineStr">
        <is>
          <t>ООО "Амур Золото"</t>
        </is>
      </c>
      <c r="I694" s="1" t="inlineStr">
        <is>
          <t>2708001686</t>
        </is>
      </c>
      <c r="J694" s="1" t="inlineStr">
        <is>
          <t>ОТ № ЮГОК АТЦ 23-03</t>
        </is>
      </c>
      <c r="K69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694" s="1" t="inlineStr">
        <is>
          <t>03.12.2023</t>
        </is>
      </c>
      <c r="M694" s="1" t="inlineStr">
        <is>
          <t>Успешно</t>
        </is>
      </c>
      <c r="N694" s="1" t="inlineStr">
        <is>
          <t>26.02.2024</t>
        </is>
      </c>
      <c r="O694" s="1" t="inlineStr"/>
      <c r="P694" s="1" t="inlineStr"/>
      <c r="Q694" s="1" t="inlineStr">
        <is>
          <t>Пользовательский интерфейс</t>
        </is>
      </c>
    </row>
    <row r="695">
      <c r="B695" s="1" t="inlineStr">
        <is>
          <t>41372023</t>
        </is>
      </c>
      <c r="C695" s="1" t="inlineStr">
        <is>
          <t>3335316</t>
        </is>
      </c>
      <c r="D695" t="inlineStr">
        <is>
          <t>работник 195</t>
        </is>
      </c>
      <c r="E695" s="1" t="inlineStr">
        <is>
          <t>ОБЩЕСТВО С ОГРАНИЧЕННОЙ ОТВЕТСТВЕННОСТЬЮ "АМУР ЗОЛОТО"</t>
        </is>
      </c>
      <c r="F695" s="1" t="inlineStr">
        <is>
          <t>2708001686</t>
        </is>
      </c>
      <c r="G695" s="1" t="inlineStr">
        <is>
          <t>Водитель автомобиля (категория Д)</t>
        </is>
      </c>
      <c r="H695" s="1" t="inlineStr">
        <is>
          <t>ООО "Амур Золото"</t>
        </is>
      </c>
      <c r="I695" s="1" t="inlineStr">
        <is>
          <t>2708001686</t>
        </is>
      </c>
      <c r="J695" s="1" t="inlineStr">
        <is>
          <t>ОТ № ЮГОК АТЦ 23-03</t>
        </is>
      </c>
      <c r="K695" s="1" t="inlineStr">
        <is>
          <t>Оказание первой помощи пострадавшим</t>
        </is>
      </c>
      <c r="L695" s="1" t="inlineStr">
        <is>
          <t>03.12.2023</t>
        </is>
      </c>
      <c r="M695" s="1" t="inlineStr">
        <is>
          <t>Успешно</t>
        </is>
      </c>
      <c r="N695" s="1" t="inlineStr">
        <is>
          <t>26.02.2024</t>
        </is>
      </c>
      <c r="O695" s="1" t="inlineStr"/>
      <c r="P695" s="1" t="inlineStr"/>
      <c r="Q695" s="1" t="inlineStr">
        <is>
          <t>Пользовательский интерфейс</t>
        </is>
      </c>
    </row>
    <row r="696">
      <c r="B696" s="1" t="inlineStr">
        <is>
          <t>41372024</t>
        </is>
      </c>
      <c r="C696" s="1" t="inlineStr">
        <is>
          <t>3335316</t>
        </is>
      </c>
      <c r="D696" t="inlineStr">
        <is>
          <t>работник 195</t>
        </is>
      </c>
      <c r="E696" s="1" t="inlineStr">
        <is>
          <t>ОБЩЕСТВО С ОГРАНИЧЕННОЙ ОТВЕТСТВЕННОСТЬЮ "АМУР ЗОЛОТО"</t>
        </is>
      </c>
      <c r="F696" s="1" t="inlineStr">
        <is>
          <t>2708001686</t>
        </is>
      </c>
      <c r="G696" s="1" t="inlineStr">
        <is>
          <t>Водитель автомобиля (категория Д)</t>
        </is>
      </c>
      <c r="H696" s="1" t="inlineStr">
        <is>
          <t>ООО "Амур Золото"</t>
        </is>
      </c>
      <c r="I696" s="1" t="inlineStr">
        <is>
          <t>2708001686</t>
        </is>
      </c>
      <c r="J696" s="1" t="inlineStr">
        <is>
          <t>ОТ № ЮГОК АТЦ 23-03</t>
        </is>
      </c>
      <c r="K696" s="1" t="inlineStr">
        <is>
          <t>Использование (применение) средств индивидуальной защиты</t>
        </is>
      </c>
      <c r="L696" s="1" t="inlineStr">
        <is>
          <t>03.12.2023</t>
        </is>
      </c>
      <c r="M696" s="1" t="inlineStr">
        <is>
          <t>Успешно</t>
        </is>
      </c>
      <c r="N696" s="1" t="inlineStr">
        <is>
          <t>26.02.2024</t>
        </is>
      </c>
      <c r="O696" s="1" t="inlineStr"/>
      <c r="P696" s="1" t="inlineStr"/>
      <c r="Q696" s="1" t="inlineStr">
        <is>
          <t>Пользовательский интерфейс</t>
        </is>
      </c>
    </row>
    <row r="697">
      <c r="B697" s="1" t="inlineStr">
        <is>
          <t>41372025</t>
        </is>
      </c>
      <c r="C697" s="1" t="inlineStr">
        <is>
          <t>3335316</t>
        </is>
      </c>
      <c r="D697" t="inlineStr">
        <is>
          <t>работник 195</t>
        </is>
      </c>
      <c r="E697" s="1" t="inlineStr">
        <is>
          <t>ОБЩЕСТВО С ОГРАНИЧЕННОЙ ОТВЕТСТВЕННОСТЬЮ "АМУР ЗОЛОТО"</t>
        </is>
      </c>
      <c r="F697" s="1" t="inlineStr">
        <is>
          <t>2708001686</t>
        </is>
      </c>
      <c r="G697" s="1" t="inlineStr">
        <is>
          <t>Водитель автомобиля (категория Д)</t>
        </is>
      </c>
      <c r="H697" s="1" t="inlineStr">
        <is>
          <t>ООО "Амур Золото"</t>
        </is>
      </c>
      <c r="I697" s="1" t="inlineStr">
        <is>
          <t>2708001686</t>
        </is>
      </c>
      <c r="J697" s="1" t="inlineStr">
        <is>
          <t>ОТ № ЮГОК АТЦ 23-03</t>
        </is>
      </c>
      <c r="K69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697" s="1" t="inlineStr">
        <is>
          <t>03.12.2023</t>
        </is>
      </c>
      <c r="M697" s="1" t="inlineStr">
        <is>
          <t>Успешно</t>
        </is>
      </c>
      <c r="N697" s="1" t="inlineStr">
        <is>
          <t>26.02.2024</t>
        </is>
      </c>
      <c r="O697" s="1" t="inlineStr"/>
      <c r="P697" s="1" t="inlineStr"/>
      <c r="Q697" s="1" t="inlineStr">
        <is>
          <t>Пользовательский интерфейс</t>
        </is>
      </c>
    </row>
    <row r="698">
      <c r="B698" s="1" t="inlineStr">
        <is>
          <t>41372026</t>
        </is>
      </c>
      <c r="C698" s="1" t="inlineStr">
        <is>
          <t>3335316</t>
        </is>
      </c>
      <c r="D698" t="inlineStr">
        <is>
          <t>работник 196</t>
        </is>
      </c>
      <c r="E698" s="1" t="inlineStr">
        <is>
          <t>ОБЩЕСТВО С ОГРАНИЧЕННОЙ ОТВЕТСТВЕННОСТЬЮ "АМУР ЗОЛОТО"</t>
        </is>
      </c>
      <c r="F698" s="1" t="inlineStr">
        <is>
          <t>2708001686</t>
        </is>
      </c>
      <c r="G698" s="1" t="inlineStr">
        <is>
          <t>Водитель автомобиля (категория Д)</t>
        </is>
      </c>
      <c r="H698" s="1" t="inlineStr">
        <is>
          <t>ООО "Амур Золото"</t>
        </is>
      </c>
      <c r="I698" s="1" t="inlineStr">
        <is>
          <t>2708001686</t>
        </is>
      </c>
      <c r="J698" s="1" t="inlineStr">
        <is>
          <t>ОТ № ЮГОК АТЦ 23-03</t>
        </is>
      </c>
      <c r="K698" s="1" t="inlineStr">
        <is>
          <t>Оказание первой помощи пострадавшим</t>
        </is>
      </c>
      <c r="L698" s="1" t="inlineStr">
        <is>
          <t>03.12.2023</t>
        </is>
      </c>
      <c r="M698" s="1" t="inlineStr">
        <is>
          <t>Успешно</t>
        </is>
      </c>
      <c r="N698" s="1" t="inlineStr">
        <is>
          <t>26.02.2024</t>
        </is>
      </c>
      <c r="O698" s="1" t="inlineStr"/>
      <c r="P698" s="1" t="inlineStr"/>
      <c r="Q698" s="1" t="inlineStr">
        <is>
          <t>Пользовательский интерфейс</t>
        </is>
      </c>
    </row>
    <row r="699">
      <c r="B699" s="1" t="inlineStr">
        <is>
          <t>41372027</t>
        </is>
      </c>
      <c r="C699" s="1" t="inlineStr">
        <is>
          <t>3335316</t>
        </is>
      </c>
      <c r="D699" t="inlineStr">
        <is>
          <t>работник 196</t>
        </is>
      </c>
      <c r="E699" s="1" t="inlineStr">
        <is>
          <t>ОБЩЕСТВО С ОГРАНИЧЕННОЙ ОТВЕТСТВЕННОСТЬЮ "АМУР ЗОЛОТО"</t>
        </is>
      </c>
      <c r="F699" s="1" t="inlineStr">
        <is>
          <t>2708001686</t>
        </is>
      </c>
      <c r="G699" s="1" t="inlineStr">
        <is>
          <t>Водитель автомобиля (категория Д)</t>
        </is>
      </c>
      <c r="H699" s="1" t="inlineStr">
        <is>
          <t>ООО "Амур Золото"</t>
        </is>
      </c>
      <c r="I699" s="1" t="inlineStr">
        <is>
          <t>2708001686</t>
        </is>
      </c>
      <c r="J699" s="1" t="inlineStr">
        <is>
          <t>ОТ № ЮГОК АТЦ 23-03</t>
        </is>
      </c>
      <c r="K699" s="1" t="inlineStr">
        <is>
          <t>Использование (применение) средств индивидуальной защиты</t>
        </is>
      </c>
      <c r="L699" s="1" t="inlineStr">
        <is>
          <t>03.12.2023</t>
        </is>
      </c>
      <c r="M699" s="1" t="inlineStr">
        <is>
          <t>Успешно</t>
        </is>
      </c>
      <c r="N699" s="1" t="inlineStr">
        <is>
          <t>26.02.2024</t>
        </is>
      </c>
      <c r="O699" s="1" t="inlineStr"/>
      <c r="P699" s="1" t="inlineStr"/>
      <c r="Q699" s="1" t="inlineStr">
        <is>
          <t>Пользовательский интерфейс</t>
        </is>
      </c>
    </row>
    <row r="700">
      <c r="B700" s="1" t="inlineStr">
        <is>
          <t>41372028</t>
        </is>
      </c>
      <c r="C700" s="1" t="inlineStr">
        <is>
          <t>3335316</t>
        </is>
      </c>
      <c r="D700" t="inlineStr">
        <is>
          <t>работник 196</t>
        </is>
      </c>
      <c r="E700" s="1" t="inlineStr">
        <is>
          <t>ОБЩЕСТВО С ОГРАНИЧЕННОЙ ОТВЕТСТВЕННОСТЬЮ "АМУР ЗОЛОТО"</t>
        </is>
      </c>
      <c r="F700" s="1" t="inlineStr">
        <is>
          <t>2708001686</t>
        </is>
      </c>
      <c r="G700" s="1" t="inlineStr">
        <is>
          <t>Водитель автомобиля (категория Д)</t>
        </is>
      </c>
      <c r="H700" s="1" t="inlineStr">
        <is>
          <t>ООО "Амур Золото"</t>
        </is>
      </c>
      <c r="I700" s="1" t="inlineStr">
        <is>
          <t>2708001686</t>
        </is>
      </c>
      <c r="J700" s="1" t="inlineStr">
        <is>
          <t>ОТ № ЮГОК АТЦ 23-03</t>
        </is>
      </c>
      <c r="K70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700" s="1" t="inlineStr">
        <is>
          <t>03.12.2023</t>
        </is>
      </c>
      <c r="M700" s="1" t="inlineStr">
        <is>
          <t>Успешно</t>
        </is>
      </c>
      <c r="N700" s="1" t="inlineStr">
        <is>
          <t>26.02.2024</t>
        </is>
      </c>
      <c r="O700" s="1" t="inlineStr"/>
      <c r="P700" s="1" t="inlineStr"/>
      <c r="Q700" s="1" t="inlineStr">
        <is>
          <t>Пользовательский интерфейс</t>
        </is>
      </c>
    </row>
    <row r="701">
      <c r="B701" s="1" t="inlineStr">
        <is>
          <t>41372029</t>
        </is>
      </c>
      <c r="C701" s="1" t="inlineStr">
        <is>
          <t>3335316</t>
        </is>
      </c>
      <c r="D701" t="inlineStr">
        <is>
          <t>работник 197</t>
        </is>
      </c>
      <c r="E701" s="1" t="inlineStr">
        <is>
          <t>ОБЩЕСТВО С ОГРАНИЧЕННОЙ ОТВЕТСТВЕННОСТЬЮ "АМУР ЗОЛОТО"</t>
        </is>
      </c>
      <c r="F701" s="1" t="inlineStr">
        <is>
          <t>2708001686</t>
        </is>
      </c>
      <c r="G701" s="1" t="inlineStr">
        <is>
          <t>Водитель автомобиля(занятый на траспортировании горной массы в технологическом процессе)</t>
        </is>
      </c>
      <c r="H701" s="1" t="inlineStr">
        <is>
          <t>ООО "Амур Золото"</t>
        </is>
      </c>
      <c r="I701" s="1" t="inlineStr">
        <is>
          <t>2708001686</t>
        </is>
      </c>
      <c r="J701" s="1" t="inlineStr">
        <is>
          <t>ОТ № ЮГОК АТЦ 23-03</t>
        </is>
      </c>
      <c r="K701" s="1" t="inlineStr">
        <is>
          <t>Оказание первой помощи пострадавшим</t>
        </is>
      </c>
      <c r="L701" s="1" t="inlineStr">
        <is>
          <t>03.12.2023</t>
        </is>
      </c>
      <c r="M701" s="1" t="inlineStr">
        <is>
          <t>Успешно</t>
        </is>
      </c>
      <c r="N701" s="1" t="inlineStr">
        <is>
          <t>26.02.2024</t>
        </is>
      </c>
      <c r="O701" s="1" t="inlineStr"/>
      <c r="P701" s="1" t="inlineStr"/>
      <c r="Q701" s="1" t="inlineStr">
        <is>
          <t>Пользовательский интерфейс</t>
        </is>
      </c>
    </row>
    <row r="702">
      <c r="B702" s="1" t="inlineStr">
        <is>
          <t>41372030</t>
        </is>
      </c>
      <c r="C702" s="1" t="inlineStr">
        <is>
          <t>3335316</t>
        </is>
      </c>
      <c r="D702" t="inlineStr">
        <is>
          <t>работник 197</t>
        </is>
      </c>
      <c r="E702" s="1" t="inlineStr">
        <is>
          <t>ОБЩЕСТВО С ОГРАНИЧЕННОЙ ОТВЕТСТВЕННОСТЬЮ "АМУР ЗОЛОТО"</t>
        </is>
      </c>
      <c r="F702" s="1" t="inlineStr">
        <is>
          <t>2708001686</t>
        </is>
      </c>
      <c r="G702" s="1" t="inlineStr">
        <is>
          <t>Водитель автомобиля(занятый на траспортировании горной массы в технологическом процессе)</t>
        </is>
      </c>
      <c r="H702" s="1" t="inlineStr">
        <is>
          <t>ООО "Амур Золото"</t>
        </is>
      </c>
      <c r="I702" s="1" t="inlineStr">
        <is>
          <t>2708001686</t>
        </is>
      </c>
      <c r="J702" s="1" t="inlineStr">
        <is>
          <t>ОТ № ЮГОК АТЦ 23-03</t>
        </is>
      </c>
      <c r="K702" s="1" t="inlineStr">
        <is>
          <t>Использование (применение) средств индивидуальной защиты</t>
        </is>
      </c>
      <c r="L702" s="1" t="inlineStr">
        <is>
          <t>03.12.2023</t>
        </is>
      </c>
      <c r="M702" s="1" t="inlineStr">
        <is>
          <t>Успешно</t>
        </is>
      </c>
      <c r="N702" s="1" t="inlineStr">
        <is>
          <t>26.02.2024</t>
        </is>
      </c>
      <c r="O702" s="1" t="inlineStr"/>
      <c r="P702" s="1" t="inlineStr"/>
      <c r="Q702" s="1" t="inlineStr">
        <is>
          <t>Пользовательский интерфейс</t>
        </is>
      </c>
    </row>
    <row r="703">
      <c r="B703" s="1" t="inlineStr">
        <is>
          <t>41372031</t>
        </is>
      </c>
      <c r="C703" s="1" t="inlineStr">
        <is>
          <t>3335316</t>
        </is>
      </c>
      <c r="D703" t="inlineStr">
        <is>
          <t>работник 197</t>
        </is>
      </c>
      <c r="E703" s="1" t="inlineStr">
        <is>
          <t>ОБЩЕСТВО С ОГРАНИЧЕННОЙ ОТВЕТСТВЕННОСТЬЮ "АМУР ЗОЛОТО"</t>
        </is>
      </c>
      <c r="F703" s="1" t="inlineStr">
        <is>
          <t>2708001686</t>
        </is>
      </c>
      <c r="G703" s="1" t="inlineStr">
        <is>
          <t>Водитель автомобиля(занятый на траспортировании горной массы в технологическом процессе)</t>
        </is>
      </c>
      <c r="H703" s="1" t="inlineStr">
        <is>
          <t>ООО "Амур Золото"</t>
        </is>
      </c>
      <c r="I703" s="1" t="inlineStr">
        <is>
          <t>2708001686</t>
        </is>
      </c>
      <c r="J703" s="1" t="inlineStr">
        <is>
          <t>ОТ № ЮГОК АТЦ 23-03</t>
        </is>
      </c>
      <c r="K70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703" s="1" t="inlineStr">
        <is>
          <t>03.12.2023</t>
        </is>
      </c>
      <c r="M703" s="1" t="inlineStr">
        <is>
          <t>Успешно</t>
        </is>
      </c>
      <c r="N703" s="1" t="inlineStr">
        <is>
          <t>26.02.2024</t>
        </is>
      </c>
      <c r="O703" s="1" t="inlineStr"/>
      <c r="P703" s="1" t="inlineStr"/>
      <c r="Q703" s="1" t="inlineStr">
        <is>
          <t>Пользовательский интерфейс</t>
        </is>
      </c>
    </row>
    <row r="704">
      <c r="B704" s="1" t="inlineStr">
        <is>
          <t>41372032</t>
        </is>
      </c>
      <c r="C704" s="1" t="inlineStr">
        <is>
          <t>3335316</t>
        </is>
      </c>
      <c r="D704" t="inlineStr">
        <is>
          <t>работник 198</t>
        </is>
      </c>
      <c r="E704" s="1" t="inlineStr">
        <is>
          <t>ОБЩЕСТВО С ОГРАНИЧЕННОЙ ОТВЕТСТВЕННОСТЬЮ "АМУР ЗОЛОТО"</t>
        </is>
      </c>
      <c r="F704" s="1" t="inlineStr">
        <is>
          <t>2708001686</t>
        </is>
      </c>
      <c r="G704" s="1" t="inlineStr">
        <is>
          <t>Водитель автомобиля(занятый на траспортировании горной массы в технологическом процессе)</t>
        </is>
      </c>
      <c r="H704" s="1" t="inlineStr">
        <is>
          <t>ООО "Амур Золото"</t>
        </is>
      </c>
      <c r="I704" s="1" t="inlineStr">
        <is>
          <t>2708001686</t>
        </is>
      </c>
      <c r="J704" s="1" t="inlineStr">
        <is>
          <t>ОТ № ЮГОК АТЦ 23-03</t>
        </is>
      </c>
      <c r="K704" s="1" t="inlineStr">
        <is>
          <t>Оказание первой помощи пострадавшим</t>
        </is>
      </c>
      <c r="L704" s="1" t="inlineStr">
        <is>
          <t>03.12.2023</t>
        </is>
      </c>
      <c r="M704" s="1" t="inlineStr">
        <is>
          <t>Успешно</t>
        </is>
      </c>
      <c r="N704" s="1" t="inlineStr">
        <is>
          <t>26.02.2024</t>
        </is>
      </c>
      <c r="O704" s="1" t="inlineStr"/>
      <c r="P704" s="1" t="inlineStr"/>
      <c r="Q704" s="1" t="inlineStr">
        <is>
          <t>Пользовательский интерфейс</t>
        </is>
      </c>
    </row>
    <row r="705">
      <c r="B705" s="1" t="inlineStr">
        <is>
          <t>41372033</t>
        </is>
      </c>
      <c r="C705" s="1" t="inlineStr">
        <is>
          <t>3335316</t>
        </is>
      </c>
      <c r="D705" t="inlineStr">
        <is>
          <t>работник 198</t>
        </is>
      </c>
      <c r="E705" s="1" t="inlineStr">
        <is>
          <t>ОБЩЕСТВО С ОГРАНИЧЕННОЙ ОТВЕТСТВЕННОСТЬЮ "АМУР ЗОЛОТО"</t>
        </is>
      </c>
      <c r="F705" s="1" t="inlineStr">
        <is>
          <t>2708001686</t>
        </is>
      </c>
      <c r="G705" s="1" t="inlineStr">
        <is>
          <t>Водитель автомобиля(занятый на траспортировании горной массы в технологическом процессе)</t>
        </is>
      </c>
      <c r="H705" s="1" t="inlineStr">
        <is>
          <t>ООО "Амур Золото"</t>
        </is>
      </c>
      <c r="I705" s="1" t="inlineStr">
        <is>
          <t>2708001686</t>
        </is>
      </c>
      <c r="J705" s="1" t="inlineStr">
        <is>
          <t>ОТ № ЮГОК АТЦ 23-03</t>
        </is>
      </c>
      <c r="K705" s="1" t="inlineStr">
        <is>
          <t>Использование (применение) средств индивидуальной защиты</t>
        </is>
      </c>
      <c r="L705" s="1" t="inlineStr">
        <is>
          <t>03.12.2023</t>
        </is>
      </c>
      <c r="M705" s="1" t="inlineStr">
        <is>
          <t>Успешно</t>
        </is>
      </c>
      <c r="N705" s="1" t="inlineStr">
        <is>
          <t>26.02.2024</t>
        </is>
      </c>
      <c r="O705" s="1" t="inlineStr"/>
      <c r="P705" s="1" t="inlineStr"/>
      <c r="Q705" s="1" t="inlineStr">
        <is>
          <t>Пользовательский интерфейс</t>
        </is>
      </c>
    </row>
    <row r="706">
      <c r="B706" s="1" t="inlineStr">
        <is>
          <t>41372034</t>
        </is>
      </c>
      <c r="C706" s="1" t="inlineStr">
        <is>
          <t>3335316</t>
        </is>
      </c>
      <c r="D706" t="inlineStr">
        <is>
          <t>работник 198</t>
        </is>
      </c>
      <c r="E706" s="1" t="inlineStr">
        <is>
          <t>ОБЩЕСТВО С ОГРАНИЧЕННОЙ ОТВЕТСТВЕННОСТЬЮ "АМУР ЗОЛОТО"</t>
        </is>
      </c>
      <c r="F706" s="1" t="inlineStr">
        <is>
          <t>2708001686</t>
        </is>
      </c>
      <c r="G706" s="1" t="inlineStr">
        <is>
          <t>Водитель автомобиля(занятый на траспортировании горной массы в технологическом процессе)</t>
        </is>
      </c>
      <c r="H706" s="1" t="inlineStr">
        <is>
          <t>ООО "Амур Золото"</t>
        </is>
      </c>
      <c r="I706" s="1" t="inlineStr">
        <is>
          <t>2708001686</t>
        </is>
      </c>
      <c r="J706" s="1" t="inlineStr">
        <is>
          <t>ОТ № ЮГОК АТЦ 23-03</t>
        </is>
      </c>
      <c r="K70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706" s="1" t="inlineStr">
        <is>
          <t>03.12.2023</t>
        </is>
      </c>
      <c r="M706" s="1" t="inlineStr">
        <is>
          <t>Успешно</t>
        </is>
      </c>
      <c r="N706" s="1" t="inlineStr">
        <is>
          <t>26.02.2024</t>
        </is>
      </c>
      <c r="O706" s="1" t="inlineStr"/>
      <c r="P706" s="1" t="inlineStr"/>
      <c r="Q706" s="1" t="inlineStr">
        <is>
          <t>Пользовательский интерфейс</t>
        </is>
      </c>
    </row>
    <row r="707">
      <c r="B707" s="1" t="inlineStr">
        <is>
          <t>41372035</t>
        </is>
      </c>
      <c r="C707" s="1" t="inlineStr">
        <is>
          <t>3335316</t>
        </is>
      </c>
      <c r="D707" t="inlineStr">
        <is>
          <t>работник 199</t>
        </is>
      </c>
      <c r="E707" s="1" t="inlineStr">
        <is>
          <t>ОБЩЕСТВО С ОГРАНИЧЕННОЙ ОТВЕТСТВЕННОСТЬЮ "АМУР ЗОЛОТО"</t>
        </is>
      </c>
      <c r="F707" s="1" t="inlineStr">
        <is>
          <t>2708001686</t>
        </is>
      </c>
      <c r="G707" s="1" t="inlineStr">
        <is>
          <t>Машинист бульдозера</t>
        </is>
      </c>
      <c r="H707" s="1" t="inlineStr">
        <is>
          <t>ООО "Амур Золото"</t>
        </is>
      </c>
      <c r="I707" s="1" t="inlineStr">
        <is>
          <t>2708001686</t>
        </is>
      </c>
      <c r="J707" s="1" t="inlineStr">
        <is>
          <t>ОТ № ЮГОК АТЦ 23-03</t>
        </is>
      </c>
      <c r="K707" s="1" t="inlineStr">
        <is>
          <t>Оказание первой помощи пострадавшим</t>
        </is>
      </c>
      <c r="L707" s="1" t="inlineStr">
        <is>
          <t>03.12.2023</t>
        </is>
      </c>
      <c r="M707" s="1" t="inlineStr">
        <is>
          <t>Успешно</t>
        </is>
      </c>
      <c r="N707" s="1" t="inlineStr">
        <is>
          <t>26.02.2024</t>
        </is>
      </c>
      <c r="O707" s="1" t="inlineStr"/>
      <c r="P707" s="1" t="inlineStr"/>
      <c r="Q707" s="1" t="inlineStr">
        <is>
          <t>Пользовательский интерфейс</t>
        </is>
      </c>
    </row>
    <row r="708">
      <c r="B708" s="1" t="inlineStr">
        <is>
          <t>41372036</t>
        </is>
      </c>
      <c r="C708" s="1" t="inlineStr">
        <is>
          <t>3335316</t>
        </is>
      </c>
      <c r="D708" t="inlineStr">
        <is>
          <t>работник 199</t>
        </is>
      </c>
      <c r="E708" s="1" t="inlineStr">
        <is>
          <t>ОБЩЕСТВО С ОГРАНИЧЕННОЙ ОТВЕТСТВЕННОСТЬЮ "АМУР ЗОЛОТО"</t>
        </is>
      </c>
      <c r="F708" s="1" t="inlineStr">
        <is>
          <t>2708001686</t>
        </is>
      </c>
      <c r="G708" s="1" t="inlineStr">
        <is>
          <t>Машинист бульдозера</t>
        </is>
      </c>
      <c r="H708" s="1" t="inlineStr">
        <is>
          <t>ООО "Амур Золото"</t>
        </is>
      </c>
      <c r="I708" s="1" t="inlineStr">
        <is>
          <t>2708001686</t>
        </is>
      </c>
      <c r="J708" s="1" t="inlineStr">
        <is>
          <t>ОТ № ЮГОК АТЦ 23-03</t>
        </is>
      </c>
      <c r="K708" s="1" t="inlineStr">
        <is>
          <t>Использование (применение) средств индивидуальной защиты</t>
        </is>
      </c>
      <c r="L708" s="1" t="inlineStr">
        <is>
          <t>03.12.2023</t>
        </is>
      </c>
      <c r="M708" s="1" t="inlineStr">
        <is>
          <t>Успешно</t>
        </is>
      </c>
      <c r="N708" s="1" t="inlineStr">
        <is>
          <t>26.02.2024</t>
        </is>
      </c>
      <c r="O708" s="1" t="inlineStr"/>
      <c r="P708" s="1" t="inlineStr"/>
      <c r="Q708" s="1" t="inlineStr">
        <is>
          <t>Пользовательский интерфейс</t>
        </is>
      </c>
    </row>
    <row r="709">
      <c r="B709" s="1" t="inlineStr">
        <is>
          <t>41372037</t>
        </is>
      </c>
      <c r="C709" s="1" t="inlineStr">
        <is>
          <t>3335316</t>
        </is>
      </c>
      <c r="D709" t="inlineStr">
        <is>
          <t>работник 199</t>
        </is>
      </c>
      <c r="E709" s="1" t="inlineStr">
        <is>
          <t>ОБЩЕСТВО С ОГРАНИЧЕННОЙ ОТВЕТСТВЕННОСТЬЮ "АМУР ЗОЛОТО"</t>
        </is>
      </c>
      <c r="F709" s="1" t="inlineStr">
        <is>
          <t>2708001686</t>
        </is>
      </c>
      <c r="G709" s="1" t="inlineStr">
        <is>
          <t>Машинист бульдозера</t>
        </is>
      </c>
      <c r="H709" s="1" t="inlineStr">
        <is>
          <t>ООО "Амур Золото"</t>
        </is>
      </c>
      <c r="I709" s="1" t="inlineStr">
        <is>
          <t>2708001686</t>
        </is>
      </c>
      <c r="J709" s="1" t="inlineStr">
        <is>
          <t>ОТ № ЮГОК АТЦ 23-03</t>
        </is>
      </c>
      <c r="K70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709" s="1" t="inlineStr">
        <is>
          <t>03.12.2023</t>
        </is>
      </c>
      <c r="M709" s="1" t="inlineStr">
        <is>
          <t>Успешно</t>
        </is>
      </c>
      <c r="N709" s="1" t="inlineStr">
        <is>
          <t>26.02.2024</t>
        </is>
      </c>
      <c r="O709" s="1" t="inlineStr"/>
      <c r="P709" s="1" t="inlineStr"/>
      <c r="Q709" s="1" t="inlineStr">
        <is>
          <t>Пользовательский интерфейс</t>
        </is>
      </c>
    </row>
    <row r="710">
      <c r="B710" s="1" t="inlineStr">
        <is>
          <t>41372038</t>
        </is>
      </c>
      <c r="C710" s="1" t="inlineStr">
        <is>
          <t>3335316</t>
        </is>
      </c>
      <c r="D710" t="inlineStr">
        <is>
          <t>работник 200</t>
        </is>
      </c>
      <c r="E710" s="1" t="inlineStr">
        <is>
          <t>ОБЩЕСТВО С ОГРАНИЧЕННОЙ ОТВЕТСТВЕННОСТЬЮ "АМУР ЗОЛОТО"</t>
        </is>
      </c>
      <c r="F710" s="1" t="inlineStr">
        <is>
          <t>2708001686</t>
        </is>
      </c>
      <c r="G710" s="1" t="inlineStr">
        <is>
          <t>Водитель автомобиля для перевозки взрывчатых материалов</t>
        </is>
      </c>
      <c r="H710" s="1" t="inlineStr">
        <is>
          <t>ООО "Амур Золото"</t>
        </is>
      </c>
      <c r="I710" s="1" t="inlineStr">
        <is>
          <t>2708001686</t>
        </is>
      </c>
      <c r="J710" s="1" t="inlineStr">
        <is>
          <t>ОТ № ЮГОК АТЦ 23-03</t>
        </is>
      </c>
      <c r="K710" s="1" t="inlineStr">
        <is>
          <t>Оказание первой помощи пострадавшим</t>
        </is>
      </c>
      <c r="L710" s="1" t="inlineStr">
        <is>
          <t>03.12.2023</t>
        </is>
      </c>
      <c r="M710" s="1" t="inlineStr">
        <is>
          <t>Успешно</t>
        </is>
      </c>
      <c r="N710" s="1" t="inlineStr">
        <is>
          <t>26.02.2024</t>
        </is>
      </c>
      <c r="O710" s="1" t="inlineStr"/>
      <c r="P710" s="1" t="inlineStr"/>
      <c r="Q710" s="1" t="inlineStr">
        <is>
          <t>Пользовательский интерфейс</t>
        </is>
      </c>
    </row>
    <row r="711">
      <c r="B711" s="1" t="inlineStr">
        <is>
          <t>41372039</t>
        </is>
      </c>
      <c r="C711" s="1" t="inlineStr">
        <is>
          <t>3335316</t>
        </is>
      </c>
      <c r="D711" t="inlineStr">
        <is>
          <t>работник 200</t>
        </is>
      </c>
      <c r="E711" s="1" t="inlineStr">
        <is>
          <t>ОБЩЕСТВО С ОГРАНИЧЕННОЙ ОТВЕТСТВЕННОСТЬЮ "АМУР ЗОЛОТО"</t>
        </is>
      </c>
      <c r="F711" s="1" t="inlineStr">
        <is>
          <t>2708001686</t>
        </is>
      </c>
      <c r="G711" s="1" t="inlineStr">
        <is>
          <t>Водитель автомобиля для перевозки взрывчатых материалов</t>
        </is>
      </c>
      <c r="H711" s="1" t="inlineStr">
        <is>
          <t>ООО "Амур Золото"</t>
        </is>
      </c>
      <c r="I711" s="1" t="inlineStr">
        <is>
          <t>2708001686</t>
        </is>
      </c>
      <c r="J711" s="1" t="inlineStr">
        <is>
          <t>ОТ № ЮГОК АТЦ 23-03</t>
        </is>
      </c>
      <c r="K711" s="1" t="inlineStr">
        <is>
          <t>Использование (применение) средств индивидуальной защиты</t>
        </is>
      </c>
      <c r="L711" s="1" t="inlineStr">
        <is>
          <t>03.12.2023</t>
        </is>
      </c>
      <c r="M711" s="1" t="inlineStr">
        <is>
          <t>Успешно</t>
        </is>
      </c>
      <c r="N711" s="1" t="inlineStr">
        <is>
          <t>26.02.2024</t>
        </is>
      </c>
      <c r="O711" s="1" t="inlineStr"/>
      <c r="P711" s="1" t="inlineStr"/>
      <c r="Q711" s="1" t="inlineStr">
        <is>
          <t>Пользовательский интерфейс</t>
        </is>
      </c>
    </row>
    <row r="712">
      <c r="B712" s="1" t="inlineStr">
        <is>
          <t>41372040</t>
        </is>
      </c>
      <c r="C712" s="1" t="inlineStr">
        <is>
          <t>3335316</t>
        </is>
      </c>
      <c r="D712" t="inlineStr">
        <is>
          <t>работник 200</t>
        </is>
      </c>
      <c r="E712" s="1" t="inlineStr">
        <is>
          <t>ОБЩЕСТВО С ОГРАНИЧЕННОЙ ОТВЕТСТВЕННОСТЬЮ "АМУР ЗОЛОТО"</t>
        </is>
      </c>
      <c r="F712" s="1" t="inlineStr">
        <is>
          <t>2708001686</t>
        </is>
      </c>
      <c r="G712" s="1" t="inlineStr">
        <is>
          <t>Водитель автомобиля для перевозки взрывчатых материалов</t>
        </is>
      </c>
      <c r="H712" s="1" t="inlineStr">
        <is>
          <t>ООО "Амур Золото"</t>
        </is>
      </c>
      <c r="I712" s="1" t="inlineStr">
        <is>
          <t>2708001686</t>
        </is>
      </c>
      <c r="J712" s="1" t="inlineStr">
        <is>
          <t>ОТ № ЮГОК АТЦ 23-03</t>
        </is>
      </c>
      <c r="K71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712" s="1" t="inlineStr">
        <is>
          <t>03.12.2023</t>
        </is>
      </c>
      <c r="M712" s="1" t="inlineStr">
        <is>
          <t>Успешно</t>
        </is>
      </c>
      <c r="N712" s="1" t="inlineStr">
        <is>
          <t>26.02.2024</t>
        </is>
      </c>
      <c r="O712" s="1" t="inlineStr"/>
      <c r="P712" s="1" t="inlineStr"/>
      <c r="Q712" s="1" t="inlineStr">
        <is>
          <t>Пользовательский интерфейс</t>
        </is>
      </c>
    </row>
    <row r="713">
      <c r="B713" s="1" t="inlineStr">
        <is>
          <t>41372041</t>
        </is>
      </c>
      <c r="C713" s="1" t="inlineStr">
        <is>
          <t>3335316</t>
        </is>
      </c>
      <c r="D713" t="inlineStr">
        <is>
          <t>работник 201</t>
        </is>
      </c>
      <c r="E713" s="1" t="inlineStr">
        <is>
          <t>ОБЩЕСТВО С ОГРАНИЧЕННОЙ ОТВЕТСТВЕННОСТЬЮ "АМУР ЗОЛОТО"</t>
        </is>
      </c>
      <c r="F713" s="1" t="inlineStr">
        <is>
          <t>2708001686</t>
        </is>
      </c>
      <c r="G713" s="1" t="inlineStr">
        <is>
          <t>Водитель автомобиля (категория С)</t>
        </is>
      </c>
      <c r="H713" s="1" t="inlineStr">
        <is>
          <t>ООО "Амур Золото"</t>
        </is>
      </c>
      <c r="I713" s="1" t="inlineStr">
        <is>
          <t>2708001686</t>
        </is>
      </c>
      <c r="J713" s="1" t="inlineStr">
        <is>
          <t>ОТ № ЮГОК АТЦ 23-03</t>
        </is>
      </c>
      <c r="K713" s="1" t="inlineStr">
        <is>
          <t>Оказание первой помощи пострадавшим</t>
        </is>
      </c>
      <c r="L713" s="1" t="inlineStr">
        <is>
          <t>03.12.2023</t>
        </is>
      </c>
      <c r="M713" s="1" t="inlineStr">
        <is>
          <t>Успешно</t>
        </is>
      </c>
      <c r="N713" s="1" t="inlineStr">
        <is>
          <t>26.02.2024</t>
        </is>
      </c>
      <c r="O713" s="1" t="inlineStr"/>
      <c r="P713" s="1" t="inlineStr"/>
      <c r="Q713" s="1" t="inlineStr">
        <is>
          <t>Пользовательский интерфейс</t>
        </is>
      </c>
    </row>
    <row r="714">
      <c r="B714" s="1" t="inlineStr">
        <is>
          <t>41372042</t>
        </is>
      </c>
      <c r="C714" s="1" t="inlineStr">
        <is>
          <t>3335316</t>
        </is>
      </c>
      <c r="D714" t="inlineStr">
        <is>
          <t>работник 201</t>
        </is>
      </c>
      <c r="E714" s="1" t="inlineStr">
        <is>
          <t>ОБЩЕСТВО С ОГРАНИЧЕННОЙ ОТВЕТСТВЕННОСТЬЮ "АМУР ЗОЛОТО"</t>
        </is>
      </c>
      <c r="F714" s="1" t="inlineStr">
        <is>
          <t>2708001686</t>
        </is>
      </c>
      <c r="G714" s="1" t="inlineStr">
        <is>
          <t>Водитель автомобиля (категория С)</t>
        </is>
      </c>
      <c r="H714" s="1" t="inlineStr">
        <is>
          <t>ООО "Амур Золото"</t>
        </is>
      </c>
      <c r="I714" s="1" t="inlineStr">
        <is>
          <t>2708001686</t>
        </is>
      </c>
      <c r="J714" s="1" t="inlineStr">
        <is>
          <t>ОТ № ЮГОК АТЦ 23-03</t>
        </is>
      </c>
      <c r="K714" s="1" t="inlineStr">
        <is>
          <t>Использование (применение) средств индивидуальной защиты</t>
        </is>
      </c>
      <c r="L714" s="1" t="inlineStr">
        <is>
          <t>03.12.2023</t>
        </is>
      </c>
      <c r="M714" s="1" t="inlineStr">
        <is>
          <t>Успешно</t>
        </is>
      </c>
      <c r="N714" s="1" t="inlineStr">
        <is>
          <t>26.02.2024</t>
        </is>
      </c>
      <c r="O714" s="1" t="inlineStr"/>
      <c r="P714" s="1" t="inlineStr"/>
      <c r="Q714" s="1" t="inlineStr">
        <is>
          <t>Пользовательский интерфейс</t>
        </is>
      </c>
    </row>
    <row r="715">
      <c r="B715" s="1" t="inlineStr">
        <is>
          <t>41372043</t>
        </is>
      </c>
      <c r="C715" s="1" t="inlineStr">
        <is>
          <t>3335316</t>
        </is>
      </c>
      <c r="D715" t="inlineStr">
        <is>
          <t>работник 201</t>
        </is>
      </c>
      <c r="E715" s="1" t="inlineStr">
        <is>
          <t>ОБЩЕСТВО С ОГРАНИЧЕННОЙ ОТВЕТСТВЕННОСТЬЮ "АМУР ЗОЛОТО"</t>
        </is>
      </c>
      <c r="F715" s="1" t="inlineStr">
        <is>
          <t>2708001686</t>
        </is>
      </c>
      <c r="G715" s="1" t="inlineStr">
        <is>
          <t>Водитель автомобиля (категория С)</t>
        </is>
      </c>
      <c r="H715" s="1" t="inlineStr">
        <is>
          <t>ООО "Амур Золото"</t>
        </is>
      </c>
      <c r="I715" s="1" t="inlineStr">
        <is>
          <t>2708001686</t>
        </is>
      </c>
      <c r="J715" s="1" t="inlineStr">
        <is>
          <t>ОТ № ЮГОК АТЦ 23-03</t>
        </is>
      </c>
      <c r="K71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715" s="1" t="inlineStr">
        <is>
          <t>03.12.2023</t>
        </is>
      </c>
      <c r="M715" s="1" t="inlineStr">
        <is>
          <t>Успешно</t>
        </is>
      </c>
      <c r="N715" s="1" t="inlineStr">
        <is>
          <t>26.02.2024</t>
        </is>
      </c>
      <c r="O715" s="1" t="inlineStr"/>
      <c r="P715" s="1" t="inlineStr"/>
      <c r="Q715" s="1" t="inlineStr">
        <is>
          <t>Пользовательский интерфейс</t>
        </is>
      </c>
    </row>
    <row r="716">
      <c r="B716" s="1" t="inlineStr">
        <is>
          <t>41372044</t>
        </is>
      </c>
      <c r="C716" s="1" t="inlineStr">
        <is>
          <t>3335316</t>
        </is>
      </c>
      <c r="D716" t="inlineStr">
        <is>
          <t>работник 202</t>
        </is>
      </c>
      <c r="E716" s="1" t="inlineStr">
        <is>
          <t>ОБЩЕСТВО С ОГРАНИЧЕННОЙ ОТВЕТСТВЕННОСТЬЮ "АМУР ЗОЛОТО"</t>
        </is>
      </c>
      <c r="F716" s="1" t="inlineStr">
        <is>
          <t>2708001686</t>
        </is>
      </c>
      <c r="G716" s="1" t="inlineStr">
        <is>
          <t>Водитель автомобиля(занятый на траспортировании горной массы в технологическом процессе)</t>
        </is>
      </c>
      <c r="H716" s="1" t="inlineStr">
        <is>
          <t>ООО "Амур Золото"</t>
        </is>
      </c>
      <c r="I716" s="1" t="inlineStr">
        <is>
          <t>2708001686</t>
        </is>
      </c>
      <c r="J716" s="1" t="inlineStr">
        <is>
          <t>ОТ № ЮГОК АТЦ 23-03</t>
        </is>
      </c>
      <c r="K716" s="1" t="inlineStr">
        <is>
          <t>Оказание первой помощи пострадавшим</t>
        </is>
      </c>
      <c r="L716" s="1" t="inlineStr">
        <is>
          <t>03.12.2023</t>
        </is>
      </c>
      <c r="M716" s="1" t="inlineStr">
        <is>
          <t>Успешно</t>
        </is>
      </c>
      <c r="N716" s="1" t="inlineStr">
        <is>
          <t>26.02.2024</t>
        </is>
      </c>
      <c r="O716" s="1" t="inlineStr"/>
      <c r="P716" s="1" t="inlineStr"/>
      <c r="Q716" s="1" t="inlineStr">
        <is>
          <t>Пользовательский интерфейс</t>
        </is>
      </c>
    </row>
    <row r="717">
      <c r="B717" s="1" t="inlineStr">
        <is>
          <t>41372045</t>
        </is>
      </c>
      <c r="C717" s="1" t="inlineStr">
        <is>
          <t>3335316</t>
        </is>
      </c>
      <c r="D717" t="inlineStr">
        <is>
          <t>работник 202</t>
        </is>
      </c>
      <c r="E717" s="1" t="inlineStr">
        <is>
          <t>ОБЩЕСТВО С ОГРАНИЧЕННОЙ ОТВЕТСТВЕННОСТЬЮ "АМУР ЗОЛОТО"</t>
        </is>
      </c>
      <c r="F717" s="1" t="inlineStr">
        <is>
          <t>2708001686</t>
        </is>
      </c>
      <c r="G717" s="1" t="inlineStr">
        <is>
          <t>Водитель автомобиля(занятый на траспортировании горной массы в технологическом процессе)</t>
        </is>
      </c>
      <c r="H717" s="1" t="inlineStr">
        <is>
          <t>ООО "Амур Золото"</t>
        </is>
      </c>
      <c r="I717" s="1" t="inlineStr">
        <is>
          <t>2708001686</t>
        </is>
      </c>
      <c r="J717" s="1" t="inlineStr">
        <is>
          <t>ОТ № ЮГОК АТЦ 23-03</t>
        </is>
      </c>
      <c r="K717" s="1" t="inlineStr">
        <is>
          <t>Использование (применение) средств индивидуальной защиты</t>
        </is>
      </c>
      <c r="L717" s="1" t="inlineStr">
        <is>
          <t>03.12.2023</t>
        </is>
      </c>
      <c r="M717" s="1" t="inlineStr">
        <is>
          <t>Успешно</t>
        </is>
      </c>
      <c r="N717" s="1" t="inlineStr">
        <is>
          <t>26.02.2024</t>
        </is>
      </c>
      <c r="O717" s="1" t="inlineStr"/>
      <c r="P717" s="1" t="inlineStr"/>
      <c r="Q717" s="1" t="inlineStr">
        <is>
          <t>Пользовательский интерфейс</t>
        </is>
      </c>
    </row>
    <row r="718">
      <c r="B718" s="1" t="inlineStr">
        <is>
          <t>41372046</t>
        </is>
      </c>
      <c r="C718" s="1" t="inlineStr">
        <is>
          <t>3335316</t>
        </is>
      </c>
      <c r="D718" t="inlineStr">
        <is>
          <t>работник 202</t>
        </is>
      </c>
      <c r="E718" s="1" t="inlineStr">
        <is>
          <t>ОБЩЕСТВО С ОГРАНИЧЕННОЙ ОТВЕТСТВЕННОСТЬЮ "АМУР ЗОЛОТО"</t>
        </is>
      </c>
      <c r="F718" s="1" t="inlineStr">
        <is>
          <t>2708001686</t>
        </is>
      </c>
      <c r="G718" s="1" t="inlineStr">
        <is>
          <t>Водитель автомобиля(занятый на траспортировании горной массы в технологическом процессе)</t>
        </is>
      </c>
      <c r="H718" s="1" t="inlineStr">
        <is>
          <t>ООО "Амур Золото"</t>
        </is>
      </c>
      <c r="I718" s="1" t="inlineStr">
        <is>
          <t>2708001686</t>
        </is>
      </c>
      <c r="J718" s="1" t="inlineStr">
        <is>
          <t>ОТ № ЮГОК АТЦ 23-03</t>
        </is>
      </c>
      <c r="K71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718" s="1" t="inlineStr">
        <is>
          <t>03.12.2023</t>
        </is>
      </c>
      <c r="M718" s="1" t="inlineStr">
        <is>
          <t>Успешно</t>
        </is>
      </c>
      <c r="N718" s="1" t="inlineStr">
        <is>
          <t>26.02.2024</t>
        </is>
      </c>
      <c r="O718" s="1" t="inlineStr"/>
      <c r="P718" s="1" t="inlineStr"/>
      <c r="Q718" s="1" t="inlineStr">
        <is>
          <t>Пользовательский интерфейс</t>
        </is>
      </c>
    </row>
    <row r="719">
      <c r="B719" s="1" t="inlineStr">
        <is>
          <t>41372047</t>
        </is>
      </c>
      <c r="C719" s="1" t="inlineStr">
        <is>
          <t>3335316</t>
        </is>
      </c>
      <c r="D719" t="inlineStr">
        <is>
          <t>работник 203</t>
        </is>
      </c>
      <c r="E719" s="1" t="inlineStr">
        <is>
          <t>ОБЩЕСТВО С ОГРАНИЧЕННОЙ ОТВЕТСТВЕННОСТЬЮ "АМУР ЗОЛОТО"</t>
        </is>
      </c>
      <c r="F719" s="1" t="inlineStr">
        <is>
          <t>2708001686</t>
        </is>
      </c>
      <c r="G719" s="1" t="inlineStr">
        <is>
          <t>Водитель автомобиля(занятый на траспортировании горной массы в технологическом процессе)</t>
        </is>
      </c>
      <c r="H719" s="1" t="inlineStr">
        <is>
          <t>ООО "Амур Золото"</t>
        </is>
      </c>
      <c r="I719" s="1" t="inlineStr">
        <is>
          <t>2708001686</t>
        </is>
      </c>
      <c r="J719" s="1" t="inlineStr">
        <is>
          <t>ОТ № ЮГОК АТЦ 23-03</t>
        </is>
      </c>
      <c r="K719" s="1" t="inlineStr">
        <is>
          <t>Оказание первой помощи пострадавшим</t>
        </is>
      </c>
      <c r="L719" s="1" t="inlineStr">
        <is>
          <t>03.12.2023</t>
        </is>
      </c>
      <c r="M719" s="1" t="inlineStr">
        <is>
          <t>Успешно</t>
        </is>
      </c>
      <c r="N719" s="1" t="inlineStr">
        <is>
          <t>26.02.2024</t>
        </is>
      </c>
      <c r="O719" s="1" t="inlineStr"/>
      <c r="P719" s="1" t="inlineStr"/>
      <c r="Q719" s="1" t="inlineStr">
        <is>
          <t>Пользовательский интерфейс</t>
        </is>
      </c>
    </row>
    <row r="720">
      <c r="B720" s="1" t="inlineStr">
        <is>
          <t>41372048</t>
        </is>
      </c>
      <c r="C720" s="1" t="inlineStr">
        <is>
          <t>3335316</t>
        </is>
      </c>
      <c r="D720" t="inlineStr">
        <is>
          <t>работник 203</t>
        </is>
      </c>
      <c r="E720" s="1" t="inlineStr">
        <is>
          <t>ОБЩЕСТВО С ОГРАНИЧЕННОЙ ОТВЕТСТВЕННОСТЬЮ "АМУР ЗОЛОТО"</t>
        </is>
      </c>
      <c r="F720" s="1" t="inlineStr">
        <is>
          <t>2708001686</t>
        </is>
      </c>
      <c r="G720" s="1" t="inlineStr">
        <is>
          <t>Водитель автомобиля(занятый на траспортировании горной массы в технологическом процессе)</t>
        </is>
      </c>
      <c r="H720" s="1" t="inlineStr">
        <is>
          <t>ООО "Амур Золото"</t>
        </is>
      </c>
      <c r="I720" s="1" t="inlineStr">
        <is>
          <t>2708001686</t>
        </is>
      </c>
      <c r="J720" s="1" t="inlineStr">
        <is>
          <t>ОТ № ЮГОК АТЦ 23-03</t>
        </is>
      </c>
      <c r="K720" s="1" t="inlineStr">
        <is>
          <t>Использование (применение) средств индивидуальной защиты</t>
        </is>
      </c>
      <c r="L720" s="1" t="inlineStr">
        <is>
          <t>03.12.2023</t>
        </is>
      </c>
      <c r="M720" s="1" t="inlineStr">
        <is>
          <t>Успешно</t>
        </is>
      </c>
      <c r="N720" s="1" t="inlineStr">
        <is>
          <t>26.02.2024</t>
        </is>
      </c>
      <c r="O720" s="1" t="inlineStr"/>
      <c r="P720" s="1" t="inlineStr"/>
      <c r="Q720" s="1" t="inlineStr">
        <is>
          <t>Пользовательский интерфейс</t>
        </is>
      </c>
    </row>
    <row r="721">
      <c r="B721" s="1" t="inlineStr">
        <is>
          <t>41372049</t>
        </is>
      </c>
      <c r="C721" s="1" t="inlineStr">
        <is>
          <t>3335316</t>
        </is>
      </c>
      <c r="D721" t="inlineStr">
        <is>
          <t>работник 203</t>
        </is>
      </c>
      <c r="E721" s="1" t="inlineStr">
        <is>
          <t>ОБЩЕСТВО С ОГРАНИЧЕННОЙ ОТВЕТСТВЕННОСТЬЮ "АМУР ЗОЛОТО"</t>
        </is>
      </c>
      <c r="F721" s="1" t="inlineStr">
        <is>
          <t>2708001686</t>
        </is>
      </c>
      <c r="G721" s="1" t="inlineStr">
        <is>
          <t>Водитель автомобиля(занятый на траспортировании горной массы в технологическом процессе)</t>
        </is>
      </c>
      <c r="H721" s="1" t="inlineStr">
        <is>
          <t>ООО "Амур Золото"</t>
        </is>
      </c>
      <c r="I721" s="1" t="inlineStr">
        <is>
          <t>2708001686</t>
        </is>
      </c>
      <c r="J721" s="1" t="inlineStr">
        <is>
          <t>ОТ № ЮГОК АТЦ 23-03</t>
        </is>
      </c>
      <c r="K72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721" s="1" t="inlineStr">
        <is>
          <t>03.12.2023</t>
        </is>
      </c>
      <c r="M721" s="1" t="inlineStr">
        <is>
          <t>Успешно</t>
        </is>
      </c>
      <c r="N721" s="1" t="inlineStr">
        <is>
          <t>26.02.2024</t>
        </is>
      </c>
      <c r="O721" s="1" t="inlineStr"/>
      <c r="P721" s="1" t="inlineStr"/>
      <c r="Q721" s="1" t="inlineStr">
        <is>
          <t>Пользовательский интерфейс</t>
        </is>
      </c>
    </row>
    <row r="722">
      <c r="B722" s="1" t="inlineStr">
        <is>
          <t>41372050</t>
        </is>
      </c>
      <c r="C722" s="1" t="inlineStr">
        <is>
          <t>3335316</t>
        </is>
      </c>
      <c r="D722" t="inlineStr">
        <is>
          <t>работник 204</t>
        </is>
      </c>
      <c r="E722" s="1" t="inlineStr">
        <is>
          <t>ОБЩЕСТВО С ОГРАНИЧЕННОЙ ОТВЕТСТВЕННОСТЬЮ "АМУР ЗОЛОТО"</t>
        </is>
      </c>
      <c r="F722" s="1" t="inlineStr">
        <is>
          <t>2708001686</t>
        </is>
      </c>
      <c r="G722" s="1" t="inlineStr">
        <is>
          <t>Машинист бульдозера</t>
        </is>
      </c>
      <c r="H722" s="1" t="inlineStr">
        <is>
          <t>ООО "Амур Золото"</t>
        </is>
      </c>
      <c r="I722" s="1" t="inlineStr">
        <is>
          <t>2708001686</t>
        </is>
      </c>
      <c r="J722" s="1" t="inlineStr">
        <is>
          <t>ОТ № ЮГОК АТЦ 23-03</t>
        </is>
      </c>
      <c r="K722" s="1" t="inlineStr">
        <is>
          <t>Оказание первой помощи пострадавшим</t>
        </is>
      </c>
      <c r="L722" s="1" t="inlineStr">
        <is>
          <t>03.12.2023</t>
        </is>
      </c>
      <c r="M722" s="1" t="inlineStr">
        <is>
          <t>Успешно</t>
        </is>
      </c>
      <c r="N722" s="1" t="inlineStr">
        <is>
          <t>26.02.2024</t>
        </is>
      </c>
      <c r="O722" s="1" t="inlineStr"/>
      <c r="P722" s="1" t="inlineStr"/>
      <c r="Q722" s="1" t="inlineStr">
        <is>
          <t>Пользовательский интерфейс</t>
        </is>
      </c>
    </row>
    <row r="723">
      <c r="B723" s="1" t="inlineStr">
        <is>
          <t>41372051</t>
        </is>
      </c>
      <c r="C723" s="1" t="inlineStr">
        <is>
          <t>3335316</t>
        </is>
      </c>
      <c r="D723" t="inlineStr">
        <is>
          <t>работник 204</t>
        </is>
      </c>
      <c r="E723" s="1" t="inlineStr">
        <is>
          <t>ОБЩЕСТВО С ОГРАНИЧЕННОЙ ОТВЕТСТВЕННОСТЬЮ "АМУР ЗОЛОТО"</t>
        </is>
      </c>
      <c r="F723" s="1" t="inlineStr">
        <is>
          <t>2708001686</t>
        </is>
      </c>
      <c r="G723" s="1" t="inlineStr">
        <is>
          <t>Машинист бульдозера</t>
        </is>
      </c>
      <c r="H723" s="1" t="inlineStr">
        <is>
          <t>ООО "Амур Золото"</t>
        </is>
      </c>
      <c r="I723" s="1" t="inlineStr">
        <is>
          <t>2708001686</t>
        </is>
      </c>
      <c r="J723" s="1" t="inlineStr">
        <is>
          <t>ОТ № ЮГОК АТЦ 23-03</t>
        </is>
      </c>
      <c r="K723" s="1" t="inlineStr">
        <is>
          <t>Использование (применение) средств индивидуальной защиты</t>
        </is>
      </c>
      <c r="L723" s="1" t="inlineStr">
        <is>
          <t>03.12.2023</t>
        </is>
      </c>
      <c r="M723" s="1" t="inlineStr">
        <is>
          <t>Успешно</t>
        </is>
      </c>
      <c r="N723" s="1" t="inlineStr">
        <is>
          <t>26.02.2024</t>
        </is>
      </c>
      <c r="O723" s="1" t="inlineStr"/>
      <c r="P723" s="1" t="inlineStr"/>
      <c r="Q723" s="1" t="inlineStr">
        <is>
          <t>Пользовательский интерфейс</t>
        </is>
      </c>
    </row>
    <row r="724">
      <c r="B724" s="1" t="inlineStr">
        <is>
          <t>41372052</t>
        </is>
      </c>
      <c r="C724" s="1" t="inlineStr">
        <is>
          <t>3335316</t>
        </is>
      </c>
      <c r="D724" t="inlineStr">
        <is>
          <t>работник 204</t>
        </is>
      </c>
      <c r="E724" s="1" t="inlineStr">
        <is>
          <t>ОБЩЕСТВО С ОГРАНИЧЕННОЙ ОТВЕТСТВЕННОСТЬЮ "АМУР ЗОЛОТО"</t>
        </is>
      </c>
      <c r="F724" s="1" t="inlineStr">
        <is>
          <t>2708001686</t>
        </is>
      </c>
      <c r="G724" s="1" t="inlineStr">
        <is>
          <t>Машинист бульдозера</t>
        </is>
      </c>
      <c r="H724" s="1" t="inlineStr">
        <is>
          <t>ООО "Амур Золото"</t>
        </is>
      </c>
      <c r="I724" s="1" t="inlineStr">
        <is>
          <t>2708001686</t>
        </is>
      </c>
      <c r="J724" s="1" t="inlineStr">
        <is>
          <t>ОТ № ЮГОК АТЦ 23-03</t>
        </is>
      </c>
      <c r="K72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724" s="1" t="inlineStr">
        <is>
          <t>03.12.2023</t>
        </is>
      </c>
      <c r="M724" s="1" t="inlineStr">
        <is>
          <t>Успешно</t>
        </is>
      </c>
      <c r="N724" s="1" t="inlineStr">
        <is>
          <t>26.02.2024</t>
        </is>
      </c>
      <c r="O724" s="1" t="inlineStr"/>
      <c r="P724" s="1" t="inlineStr"/>
      <c r="Q724" s="1" t="inlineStr">
        <is>
          <t>Пользовательский интерфейс</t>
        </is>
      </c>
    </row>
    <row r="725">
      <c r="B725" s="1" t="inlineStr">
        <is>
          <t>41372053</t>
        </is>
      </c>
      <c r="C725" s="1" t="inlineStr">
        <is>
          <t>3335316</t>
        </is>
      </c>
      <c r="D725" t="inlineStr">
        <is>
          <t>работник 205</t>
        </is>
      </c>
      <c r="E725" s="1" t="inlineStr">
        <is>
          <t>ОБЩЕСТВО С ОГРАНИЧЕННОЙ ОТВЕТСТВЕННОСТЬЮ "АМУР ЗОЛОТО"</t>
        </is>
      </c>
      <c r="F725" s="1" t="inlineStr">
        <is>
          <t>2708001686</t>
        </is>
      </c>
      <c r="G725" s="1" t="inlineStr">
        <is>
          <t>Водитель автомобиля(занятый на траспортировании горной массы в технологическом процессе)</t>
        </is>
      </c>
      <c r="H725" s="1" t="inlineStr">
        <is>
          <t>ООО "Амур Золото"</t>
        </is>
      </c>
      <c r="I725" s="1" t="inlineStr">
        <is>
          <t>2708001686</t>
        </is>
      </c>
      <c r="J725" s="1" t="inlineStr">
        <is>
          <t>ОТ № ЮГОК АТЦ 23-03</t>
        </is>
      </c>
      <c r="K725" s="1" t="inlineStr">
        <is>
          <t>Оказание первой помощи пострадавшим</t>
        </is>
      </c>
      <c r="L725" s="1" t="inlineStr">
        <is>
          <t>03.12.2023</t>
        </is>
      </c>
      <c r="M725" s="1" t="inlineStr">
        <is>
          <t>Успешно</t>
        </is>
      </c>
      <c r="N725" s="1" t="inlineStr">
        <is>
          <t>26.02.2024</t>
        </is>
      </c>
      <c r="O725" s="1" t="inlineStr"/>
      <c r="P725" s="1" t="inlineStr"/>
      <c r="Q725" s="1" t="inlineStr">
        <is>
          <t>Пользовательский интерфейс</t>
        </is>
      </c>
    </row>
    <row r="726">
      <c r="B726" s="1" t="inlineStr">
        <is>
          <t>41372054</t>
        </is>
      </c>
      <c r="C726" s="1" t="inlineStr">
        <is>
          <t>3335316</t>
        </is>
      </c>
      <c r="D726" t="inlineStr">
        <is>
          <t>работник 205</t>
        </is>
      </c>
      <c r="E726" s="1" t="inlineStr">
        <is>
          <t>ОБЩЕСТВО С ОГРАНИЧЕННОЙ ОТВЕТСТВЕННОСТЬЮ "АМУР ЗОЛОТО"</t>
        </is>
      </c>
      <c r="F726" s="1" t="inlineStr">
        <is>
          <t>2708001686</t>
        </is>
      </c>
      <c r="G726" s="1" t="inlineStr">
        <is>
          <t>Водитель автомобиля(занятый на траспортировании горной массы в технологическом процессе)</t>
        </is>
      </c>
      <c r="H726" s="1" t="inlineStr">
        <is>
          <t>ООО "Амур Золото"</t>
        </is>
      </c>
      <c r="I726" s="1" t="inlineStr">
        <is>
          <t>2708001686</t>
        </is>
      </c>
      <c r="J726" s="1" t="inlineStr">
        <is>
          <t>ОТ № ЮГОК АТЦ 23-03</t>
        </is>
      </c>
      <c r="K726" s="1" t="inlineStr">
        <is>
          <t>Использование (применение) средств индивидуальной защиты</t>
        </is>
      </c>
      <c r="L726" s="1" t="inlineStr">
        <is>
          <t>03.12.2023</t>
        </is>
      </c>
      <c r="M726" s="1" t="inlineStr">
        <is>
          <t>Успешно</t>
        </is>
      </c>
      <c r="N726" s="1" t="inlineStr">
        <is>
          <t>26.02.2024</t>
        </is>
      </c>
      <c r="O726" s="1" t="inlineStr"/>
      <c r="P726" s="1" t="inlineStr"/>
      <c r="Q726" s="1" t="inlineStr">
        <is>
          <t>Пользовательский интерфейс</t>
        </is>
      </c>
    </row>
    <row r="727">
      <c r="B727" s="1" t="inlineStr">
        <is>
          <t>41372055</t>
        </is>
      </c>
      <c r="C727" s="1" t="inlineStr">
        <is>
          <t>3335316</t>
        </is>
      </c>
      <c r="D727" t="inlineStr">
        <is>
          <t>работник 205</t>
        </is>
      </c>
      <c r="E727" s="1" t="inlineStr">
        <is>
          <t>ОБЩЕСТВО С ОГРАНИЧЕННОЙ ОТВЕТСТВЕННОСТЬЮ "АМУР ЗОЛОТО"</t>
        </is>
      </c>
      <c r="F727" s="1" t="inlineStr">
        <is>
          <t>2708001686</t>
        </is>
      </c>
      <c r="G727" s="1" t="inlineStr">
        <is>
          <t>Водитель автомобиля(занятый на траспортировании горной массы в технологическом процессе)</t>
        </is>
      </c>
      <c r="H727" s="1" t="inlineStr">
        <is>
          <t>ООО "Амур Золото"</t>
        </is>
      </c>
      <c r="I727" s="1" t="inlineStr">
        <is>
          <t>2708001686</t>
        </is>
      </c>
      <c r="J727" s="1" t="inlineStr">
        <is>
          <t>ОТ № ЮГОК АТЦ 23-03</t>
        </is>
      </c>
      <c r="K72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727" s="1" t="inlineStr">
        <is>
          <t>03.12.2023</t>
        </is>
      </c>
      <c r="M727" s="1" t="inlineStr">
        <is>
          <t>Успешно</t>
        </is>
      </c>
      <c r="N727" s="1" t="inlineStr">
        <is>
          <t>26.02.2024</t>
        </is>
      </c>
      <c r="O727" s="1" t="inlineStr"/>
      <c r="P727" s="1" t="inlineStr"/>
      <c r="Q727" s="1" t="inlineStr">
        <is>
          <t>Пользовательский интерфейс</t>
        </is>
      </c>
    </row>
    <row r="728">
      <c r="B728" s="1" t="inlineStr">
        <is>
          <t>41372056</t>
        </is>
      </c>
      <c r="C728" s="1" t="inlineStr">
        <is>
          <t>3335316</t>
        </is>
      </c>
      <c r="D728" t="inlineStr">
        <is>
          <t>работник 206</t>
        </is>
      </c>
      <c r="E728" s="1" t="inlineStr">
        <is>
          <t>ОБЩЕСТВО С ОГРАНИЧЕННОЙ ОТВЕТСТВЕННОСТЬЮ "АМУР ЗОЛОТО"</t>
        </is>
      </c>
      <c r="F728" s="1" t="inlineStr">
        <is>
          <t>2708001686</t>
        </is>
      </c>
      <c r="G728" s="1" t="inlineStr">
        <is>
          <t>Машинист бульдозера</t>
        </is>
      </c>
      <c r="H728" s="1" t="inlineStr">
        <is>
          <t>ООО "Амур Золото"</t>
        </is>
      </c>
      <c r="I728" s="1" t="inlineStr">
        <is>
          <t>2708001686</t>
        </is>
      </c>
      <c r="J728" s="1" t="inlineStr">
        <is>
          <t>ОТ № ЮГОК АТЦ 23-03</t>
        </is>
      </c>
      <c r="K728" s="1" t="inlineStr">
        <is>
          <t>Оказание первой помощи пострадавшим</t>
        </is>
      </c>
      <c r="L728" s="1" t="inlineStr">
        <is>
          <t>03.12.2023</t>
        </is>
      </c>
      <c r="M728" s="1" t="inlineStr">
        <is>
          <t>Успешно</t>
        </is>
      </c>
      <c r="N728" s="1" t="inlineStr">
        <is>
          <t>26.02.2024</t>
        </is>
      </c>
      <c r="O728" s="1" t="inlineStr"/>
      <c r="P728" s="1" t="inlineStr"/>
      <c r="Q728" s="1" t="inlineStr">
        <is>
          <t>Пользовательский интерфейс</t>
        </is>
      </c>
    </row>
    <row r="729">
      <c r="B729" s="1" t="inlineStr">
        <is>
          <t>41372057</t>
        </is>
      </c>
      <c r="C729" s="1" t="inlineStr">
        <is>
          <t>3335316</t>
        </is>
      </c>
      <c r="D729" t="inlineStr">
        <is>
          <t>работник 206</t>
        </is>
      </c>
      <c r="E729" s="1" t="inlineStr">
        <is>
          <t>ОБЩЕСТВО С ОГРАНИЧЕННОЙ ОТВЕТСТВЕННОСТЬЮ "АМУР ЗОЛОТО"</t>
        </is>
      </c>
      <c r="F729" s="1" t="inlineStr">
        <is>
          <t>2708001686</t>
        </is>
      </c>
      <c r="G729" s="1" t="inlineStr">
        <is>
          <t>Машинист бульдозера</t>
        </is>
      </c>
      <c r="H729" s="1" t="inlineStr">
        <is>
          <t>ООО "Амур Золото"</t>
        </is>
      </c>
      <c r="I729" s="1" t="inlineStr">
        <is>
          <t>2708001686</t>
        </is>
      </c>
      <c r="J729" s="1" t="inlineStr">
        <is>
          <t>ОТ № ЮГОК АТЦ 23-03</t>
        </is>
      </c>
      <c r="K729" s="1" t="inlineStr">
        <is>
          <t>Использование (применение) средств индивидуальной защиты</t>
        </is>
      </c>
      <c r="L729" s="1" t="inlineStr">
        <is>
          <t>03.12.2023</t>
        </is>
      </c>
      <c r="M729" s="1" t="inlineStr">
        <is>
          <t>Успешно</t>
        </is>
      </c>
      <c r="N729" s="1" t="inlineStr">
        <is>
          <t>26.02.2024</t>
        </is>
      </c>
      <c r="O729" s="1" t="inlineStr"/>
      <c r="P729" s="1" t="inlineStr"/>
      <c r="Q729" s="1" t="inlineStr">
        <is>
          <t>Пользовательский интерфейс</t>
        </is>
      </c>
    </row>
    <row r="730">
      <c r="B730" s="1" t="inlineStr">
        <is>
          <t>41372058</t>
        </is>
      </c>
      <c r="C730" s="1" t="inlineStr">
        <is>
          <t>3335316</t>
        </is>
      </c>
      <c r="D730" t="inlineStr">
        <is>
          <t>работник 206</t>
        </is>
      </c>
      <c r="E730" s="1" t="inlineStr">
        <is>
          <t>ОБЩЕСТВО С ОГРАНИЧЕННОЙ ОТВЕТСТВЕННОСТЬЮ "АМУР ЗОЛОТО"</t>
        </is>
      </c>
      <c r="F730" s="1" t="inlineStr">
        <is>
          <t>2708001686</t>
        </is>
      </c>
      <c r="G730" s="1" t="inlineStr">
        <is>
          <t>Машинист бульдозера</t>
        </is>
      </c>
      <c r="H730" s="1" t="inlineStr">
        <is>
          <t>ООО "Амур Золото"</t>
        </is>
      </c>
      <c r="I730" s="1" t="inlineStr">
        <is>
          <t>2708001686</t>
        </is>
      </c>
      <c r="J730" s="1" t="inlineStr">
        <is>
          <t>ОТ № ЮГОК АТЦ 23-03</t>
        </is>
      </c>
      <c r="K73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730" s="1" t="inlineStr">
        <is>
          <t>03.12.2023</t>
        </is>
      </c>
      <c r="M730" s="1" t="inlineStr">
        <is>
          <t>Успешно</t>
        </is>
      </c>
      <c r="N730" s="1" t="inlineStr">
        <is>
          <t>26.02.2024</t>
        </is>
      </c>
      <c r="O730" s="1" t="inlineStr"/>
      <c r="P730" s="1" t="inlineStr"/>
      <c r="Q730" s="1" t="inlineStr">
        <is>
          <t>Пользовательский интерфейс</t>
        </is>
      </c>
    </row>
    <row r="731">
      <c r="B731" s="1" t="inlineStr">
        <is>
          <t>41372059</t>
        </is>
      </c>
      <c r="C731" s="1" t="inlineStr">
        <is>
          <t>3335316</t>
        </is>
      </c>
      <c r="D731" t="inlineStr">
        <is>
          <t>работник 207</t>
        </is>
      </c>
      <c r="E731" s="1" t="inlineStr">
        <is>
          <t>ОБЩЕСТВО С ОГРАНИЧЕННОЙ ОТВЕТСТВЕННОСТЬЮ "АМУР ЗОЛОТО"</t>
        </is>
      </c>
      <c r="F731" s="1" t="inlineStr">
        <is>
          <t>2708001686</t>
        </is>
      </c>
      <c r="G731" s="1" t="inlineStr">
        <is>
          <t>Водитель автомобиля(занятый на траспортировании горной массы в технологическом процессе)</t>
        </is>
      </c>
      <c r="H731" s="1" t="inlineStr">
        <is>
          <t>ООО "Амур Золото"</t>
        </is>
      </c>
      <c r="I731" s="1" t="inlineStr">
        <is>
          <t>2708001686</t>
        </is>
      </c>
      <c r="J731" s="1" t="inlineStr">
        <is>
          <t>ОТ № ЮГОК АТЦ 23-03</t>
        </is>
      </c>
      <c r="K731" s="1" t="inlineStr">
        <is>
          <t>Оказание первой помощи пострадавшим</t>
        </is>
      </c>
      <c r="L731" s="1" t="inlineStr">
        <is>
          <t>03.12.2023</t>
        </is>
      </c>
      <c r="M731" s="1" t="inlineStr">
        <is>
          <t>Успешно</t>
        </is>
      </c>
      <c r="N731" s="1" t="inlineStr">
        <is>
          <t>26.02.2024</t>
        </is>
      </c>
      <c r="O731" s="1" t="inlineStr"/>
      <c r="P731" s="1" t="inlineStr"/>
      <c r="Q731" s="1" t="inlineStr">
        <is>
          <t>Пользовательский интерфейс</t>
        </is>
      </c>
    </row>
    <row r="732">
      <c r="B732" s="1" t="inlineStr">
        <is>
          <t>41372060</t>
        </is>
      </c>
      <c r="C732" s="1" t="inlineStr">
        <is>
          <t>3335316</t>
        </is>
      </c>
      <c r="D732" t="inlineStr">
        <is>
          <t>работник 207</t>
        </is>
      </c>
      <c r="E732" s="1" t="inlineStr">
        <is>
          <t>ОБЩЕСТВО С ОГРАНИЧЕННОЙ ОТВЕТСТВЕННОСТЬЮ "АМУР ЗОЛОТО"</t>
        </is>
      </c>
      <c r="F732" s="1" t="inlineStr">
        <is>
          <t>2708001686</t>
        </is>
      </c>
      <c r="G732" s="1" t="inlineStr">
        <is>
          <t>Водитель автомобиля(занятый на траспортировании горной массы в технологическом процессе)</t>
        </is>
      </c>
      <c r="H732" s="1" t="inlineStr">
        <is>
          <t>ООО "Амур Золото"</t>
        </is>
      </c>
      <c r="I732" s="1" t="inlineStr">
        <is>
          <t>2708001686</t>
        </is>
      </c>
      <c r="J732" s="1" t="inlineStr">
        <is>
          <t>ОТ № ЮГОК АТЦ 23-03</t>
        </is>
      </c>
      <c r="K732" s="1" t="inlineStr">
        <is>
          <t>Использование (применение) средств индивидуальной защиты</t>
        </is>
      </c>
      <c r="L732" s="1" t="inlineStr">
        <is>
          <t>03.12.2023</t>
        </is>
      </c>
      <c r="M732" s="1" t="inlineStr">
        <is>
          <t>Успешно</t>
        </is>
      </c>
      <c r="N732" s="1" t="inlineStr">
        <is>
          <t>26.02.2024</t>
        </is>
      </c>
      <c r="O732" s="1" t="inlineStr"/>
      <c r="P732" s="1" t="inlineStr"/>
      <c r="Q732" s="1" t="inlineStr">
        <is>
          <t>Пользовательский интерфейс</t>
        </is>
      </c>
    </row>
    <row r="733">
      <c r="B733" s="1" t="inlineStr">
        <is>
          <t>41372061</t>
        </is>
      </c>
      <c r="C733" s="1" t="inlineStr">
        <is>
          <t>3335316</t>
        </is>
      </c>
      <c r="D733" t="inlineStr">
        <is>
          <t>работник 207</t>
        </is>
      </c>
      <c r="E733" s="1" t="inlineStr">
        <is>
          <t>ОБЩЕСТВО С ОГРАНИЧЕННОЙ ОТВЕТСТВЕННОСТЬЮ "АМУР ЗОЛОТО"</t>
        </is>
      </c>
      <c r="F733" s="1" t="inlineStr">
        <is>
          <t>2708001686</t>
        </is>
      </c>
      <c r="G733" s="1" t="inlineStr">
        <is>
          <t>Водитель автомобиля(занятый на траспортировании горной массы в технологическом процессе)</t>
        </is>
      </c>
      <c r="H733" s="1" t="inlineStr">
        <is>
          <t>ООО "Амур Золото"</t>
        </is>
      </c>
      <c r="I733" s="1" t="inlineStr">
        <is>
          <t>2708001686</t>
        </is>
      </c>
      <c r="J733" s="1" t="inlineStr">
        <is>
          <t>ОТ № ЮГОК АТЦ 23-03</t>
        </is>
      </c>
      <c r="K73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733" s="1" t="inlineStr">
        <is>
          <t>03.12.2023</t>
        </is>
      </c>
      <c r="M733" s="1" t="inlineStr">
        <is>
          <t>Успешно</t>
        </is>
      </c>
      <c r="N733" s="1" t="inlineStr">
        <is>
          <t>26.02.2024</t>
        </is>
      </c>
      <c r="O733" s="1" t="inlineStr"/>
      <c r="P733" s="1" t="inlineStr"/>
      <c r="Q733" s="1" t="inlineStr">
        <is>
          <t>Пользовательский интерфейс</t>
        </is>
      </c>
    </row>
    <row r="734">
      <c r="B734" s="1" t="inlineStr">
        <is>
          <t>41372062</t>
        </is>
      </c>
      <c r="C734" s="1" t="inlineStr">
        <is>
          <t>3335316</t>
        </is>
      </c>
      <c r="D734" t="inlineStr">
        <is>
          <t>работник 208</t>
        </is>
      </c>
      <c r="E734" s="1" t="inlineStr">
        <is>
          <t>ОБЩЕСТВО С ОГРАНИЧЕННОЙ ОТВЕТСТВЕННОСТЬЮ "АМУР ЗОЛОТО"</t>
        </is>
      </c>
      <c r="F734" s="1" t="inlineStr">
        <is>
          <t>2708001686</t>
        </is>
      </c>
      <c r="G734" s="1" t="inlineStr">
        <is>
          <t>Водитель погрузчика</t>
        </is>
      </c>
      <c r="H734" s="1" t="inlineStr">
        <is>
          <t>ООО "Амур Золото"</t>
        </is>
      </c>
      <c r="I734" s="1" t="inlineStr">
        <is>
          <t>2708001686</t>
        </is>
      </c>
      <c r="J734" s="1" t="inlineStr">
        <is>
          <t>ОТ № ЮГОК АТЦ 23-03</t>
        </is>
      </c>
      <c r="K734" s="1" t="inlineStr">
        <is>
          <t>Оказание первой помощи пострадавшим</t>
        </is>
      </c>
      <c r="L734" s="1" t="inlineStr">
        <is>
          <t>03.12.2023</t>
        </is>
      </c>
      <c r="M734" s="1" t="inlineStr">
        <is>
          <t>Успешно</t>
        </is>
      </c>
      <c r="N734" s="1" t="inlineStr">
        <is>
          <t>26.02.2024</t>
        </is>
      </c>
      <c r="O734" s="1" t="inlineStr"/>
      <c r="P734" s="1" t="inlineStr"/>
      <c r="Q734" s="1" t="inlineStr">
        <is>
          <t>Пользовательский интерфейс</t>
        </is>
      </c>
    </row>
    <row r="735">
      <c r="B735" s="1" t="inlineStr">
        <is>
          <t>41372063</t>
        </is>
      </c>
      <c r="C735" s="1" t="inlineStr">
        <is>
          <t>3335316</t>
        </is>
      </c>
      <c r="D735" t="inlineStr">
        <is>
          <t>работник 208</t>
        </is>
      </c>
      <c r="E735" s="1" t="inlineStr">
        <is>
          <t>ОБЩЕСТВО С ОГРАНИЧЕННОЙ ОТВЕТСТВЕННОСТЬЮ "АМУР ЗОЛОТО"</t>
        </is>
      </c>
      <c r="F735" s="1" t="inlineStr">
        <is>
          <t>2708001686</t>
        </is>
      </c>
      <c r="G735" s="1" t="inlineStr">
        <is>
          <t>Водитель погрузчика</t>
        </is>
      </c>
      <c r="H735" s="1" t="inlineStr">
        <is>
          <t>ООО "Амур Золото"</t>
        </is>
      </c>
      <c r="I735" s="1" t="inlineStr">
        <is>
          <t>2708001686</t>
        </is>
      </c>
      <c r="J735" s="1" t="inlineStr">
        <is>
          <t>ОТ № ЮГОК АТЦ 23-03</t>
        </is>
      </c>
      <c r="K735" s="1" t="inlineStr">
        <is>
          <t>Использование (применение) средств индивидуальной защиты</t>
        </is>
      </c>
      <c r="L735" s="1" t="inlineStr">
        <is>
          <t>03.12.2023</t>
        </is>
      </c>
      <c r="M735" s="1" t="inlineStr">
        <is>
          <t>Успешно</t>
        </is>
      </c>
      <c r="N735" s="1" t="inlineStr">
        <is>
          <t>26.02.2024</t>
        </is>
      </c>
      <c r="O735" s="1" t="inlineStr"/>
      <c r="P735" s="1" t="inlineStr"/>
      <c r="Q735" s="1" t="inlineStr">
        <is>
          <t>Пользовательский интерфейс</t>
        </is>
      </c>
    </row>
    <row r="736">
      <c r="B736" s="1" t="inlineStr">
        <is>
          <t>41372064</t>
        </is>
      </c>
      <c r="C736" s="1" t="inlineStr">
        <is>
          <t>3335316</t>
        </is>
      </c>
      <c r="D736" t="inlineStr">
        <is>
          <t>работник 208</t>
        </is>
      </c>
      <c r="E736" s="1" t="inlineStr">
        <is>
          <t>ОБЩЕСТВО С ОГРАНИЧЕННОЙ ОТВЕТСТВЕННОСТЬЮ "АМУР ЗОЛОТО"</t>
        </is>
      </c>
      <c r="F736" s="1" t="inlineStr">
        <is>
          <t>2708001686</t>
        </is>
      </c>
      <c r="G736" s="1" t="inlineStr">
        <is>
          <t>Водитель погрузчика</t>
        </is>
      </c>
      <c r="H736" s="1" t="inlineStr">
        <is>
          <t>ООО "Амур Золото"</t>
        </is>
      </c>
      <c r="I736" s="1" t="inlineStr">
        <is>
          <t>2708001686</t>
        </is>
      </c>
      <c r="J736" s="1" t="inlineStr">
        <is>
          <t>ОТ № ЮГОК АТЦ 23-03</t>
        </is>
      </c>
      <c r="K73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736" s="1" t="inlineStr">
        <is>
          <t>03.12.2023</t>
        </is>
      </c>
      <c r="M736" s="1" t="inlineStr">
        <is>
          <t>Успешно</t>
        </is>
      </c>
      <c r="N736" s="1" t="inlineStr">
        <is>
          <t>26.02.2024</t>
        </is>
      </c>
      <c r="O736" s="1" t="inlineStr"/>
      <c r="P736" s="1" t="inlineStr"/>
      <c r="Q736" s="1" t="inlineStr">
        <is>
          <t>Пользовательский интерфейс</t>
        </is>
      </c>
    </row>
    <row r="737">
      <c r="B737" s="1" t="inlineStr">
        <is>
          <t>41372065</t>
        </is>
      </c>
      <c r="C737" s="1" t="inlineStr">
        <is>
          <t>3335316</t>
        </is>
      </c>
      <c r="D737" t="inlineStr">
        <is>
          <t>работник 209</t>
        </is>
      </c>
      <c r="E737" s="1" t="inlineStr">
        <is>
          <t>ОБЩЕСТВО С ОГРАНИЧЕННОЙ ОТВЕТСТВЕННОСТЬЮ "АМУР ЗОЛОТО"</t>
        </is>
      </c>
      <c r="F737" s="1" t="inlineStr">
        <is>
          <t>2708001686</t>
        </is>
      </c>
      <c r="G737" s="1" t="inlineStr">
        <is>
          <t>Водитель автомобиля(занятый на траспортировании горной массы в технологическом процессе)</t>
        </is>
      </c>
      <c r="H737" s="1" t="inlineStr">
        <is>
          <t>ООО "Амур Золото"</t>
        </is>
      </c>
      <c r="I737" s="1" t="inlineStr">
        <is>
          <t>2708001686</t>
        </is>
      </c>
      <c r="J737" s="1" t="inlineStr">
        <is>
          <t>ОТ № ЮГОК АТЦ 23-03</t>
        </is>
      </c>
      <c r="K737" s="1" t="inlineStr">
        <is>
          <t>Оказание первой помощи пострадавшим</t>
        </is>
      </c>
      <c r="L737" s="1" t="inlineStr">
        <is>
          <t>03.12.2023</t>
        </is>
      </c>
      <c r="M737" s="1" t="inlineStr">
        <is>
          <t>Успешно</t>
        </is>
      </c>
      <c r="N737" s="1" t="inlineStr">
        <is>
          <t>26.02.2024</t>
        </is>
      </c>
      <c r="O737" s="1" t="inlineStr"/>
      <c r="P737" s="1" t="inlineStr"/>
      <c r="Q737" s="1" t="inlineStr">
        <is>
          <t>Пользовательский интерфейс</t>
        </is>
      </c>
    </row>
    <row r="738">
      <c r="B738" s="1" t="inlineStr">
        <is>
          <t>41372066</t>
        </is>
      </c>
      <c r="C738" s="1" t="inlineStr">
        <is>
          <t>3335316</t>
        </is>
      </c>
      <c r="D738" t="inlineStr">
        <is>
          <t>работник 209</t>
        </is>
      </c>
      <c r="E738" s="1" t="inlineStr">
        <is>
          <t>ОБЩЕСТВО С ОГРАНИЧЕННОЙ ОТВЕТСТВЕННОСТЬЮ "АМУР ЗОЛОТО"</t>
        </is>
      </c>
      <c r="F738" s="1" t="inlineStr">
        <is>
          <t>2708001686</t>
        </is>
      </c>
      <c r="G738" s="1" t="inlineStr">
        <is>
          <t>Водитель автомобиля(занятый на траспортировании горной массы в технологическом процессе)</t>
        </is>
      </c>
      <c r="H738" s="1" t="inlineStr">
        <is>
          <t>ООО "Амур Золото"</t>
        </is>
      </c>
      <c r="I738" s="1" t="inlineStr">
        <is>
          <t>2708001686</t>
        </is>
      </c>
      <c r="J738" s="1" t="inlineStr">
        <is>
          <t>ОТ № ЮГОК АТЦ 23-03</t>
        </is>
      </c>
      <c r="K738" s="1" t="inlineStr">
        <is>
          <t>Использование (применение) средств индивидуальной защиты</t>
        </is>
      </c>
      <c r="L738" s="1" t="inlineStr">
        <is>
          <t>03.12.2023</t>
        </is>
      </c>
      <c r="M738" s="1" t="inlineStr">
        <is>
          <t>Успешно</t>
        </is>
      </c>
      <c r="N738" s="1" t="inlineStr">
        <is>
          <t>26.02.2024</t>
        </is>
      </c>
      <c r="O738" s="1" t="inlineStr"/>
      <c r="P738" s="1" t="inlineStr"/>
      <c r="Q738" s="1" t="inlineStr">
        <is>
          <t>Пользовательский интерфейс</t>
        </is>
      </c>
    </row>
    <row r="739">
      <c r="B739" s="1" t="inlineStr">
        <is>
          <t>41372067</t>
        </is>
      </c>
      <c r="C739" s="1" t="inlineStr">
        <is>
          <t>3335316</t>
        </is>
      </c>
      <c r="D739" t="inlineStr">
        <is>
          <t>работник 209</t>
        </is>
      </c>
      <c r="E739" s="1" t="inlineStr">
        <is>
          <t>ОБЩЕСТВО С ОГРАНИЧЕННОЙ ОТВЕТСТВЕННОСТЬЮ "АМУР ЗОЛОТО"</t>
        </is>
      </c>
      <c r="F739" s="1" t="inlineStr">
        <is>
          <t>2708001686</t>
        </is>
      </c>
      <c r="G739" s="1" t="inlineStr">
        <is>
          <t>Водитель автомобиля(занятый на траспортировании горной массы в технологическом процессе)</t>
        </is>
      </c>
      <c r="H739" s="1" t="inlineStr">
        <is>
          <t>ООО "Амур Золото"</t>
        </is>
      </c>
      <c r="I739" s="1" t="inlineStr">
        <is>
          <t>2708001686</t>
        </is>
      </c>
      <c r="J739" s="1" t="inlineStr">
        <is>
          <t>ОТ № ЮГОК АТЦ 23-03</t>
        </is>
      </c>
      <c r="K73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739" s="1" t="inlineStr">
        <is>
          <t>03.12.2023</t>
        </is>
      </c>
      <c r="M739" s="1" t="inlineStr">
        <is>
          <t>Успешно</t>
        </is>
      </c>
      <c r="N739" s="1" t="inlineStr">
        <is>
          <t>26.02.2024</t>
        </is>
      </c>
      <c r="O739" s="1" t="inlineStr"/>
      <c r="P739" s="1" t="inlineStr"/>
      <c r="Q739" s="1" t="inlineStr">
        <is>
          <t>Пользовательский интерфейс</t>
        </is>
      </c>
    </row>
    <row r="740">
      <c r="B740" s="1" t="inlineStr">
        <is>
          <t>41372068</t>
        </is>
      </c>
      <c r="C740" s="1" t="inlineStr">
        <is>
          <t>3335316</t>
        </is>
      </c>
      <c r="D740" t="inlineStr">
        <is>
          <t>работник 210</t>
        </is>
      </c>
      <c r="E740" s="1" t="inlineStr">
        <is>
          <t>ОБЩЕСТВО С ОГРАНИЧЕННОЙ ОТВЕТСТВЕННОСТЬЮ "АМУР ЗОЛОТО"</t>
        </is>
      </c>
      <c r="F740" s="1" t="inlineStr">
        <is>
          <t>2708001686</t>
        </is>
      </c>
      <c r="G740" s="1" t="inlineStr">
        <is>
          <t>Слесарь по ремонту автомобилей</t>
        </is>
      </c>
      <c r="H740" s="1" t="inlineStr">
        <is>
          <t>ООО "Амур Золото"</t>
        </is>
      </c>
      <c r="I740" s="1" t="inlineStr">
        <is>
          <t>2708001686</t>
        </is>
      </c>
      <c r="J740" s="1" t="inlineStr">
        <is>
          <t>ОТ № ЮГОК АТЦ 23-03</t>
        </is>
      </c>
      <c r="K740" s="1" t="inlineStr">
        <is>
          <t>Оказание первой помощи пострадавшим</t>
        </is>
      </c>
      <c r="L740" s="1" t="inlineStr">
        <is>
          <t>03.12.2023</t>
        </is>
      </c>
      <c r="M740" s="1" t="inlineStr">
        <is>
          <t>Успешно</t>
        </is>
      </c>
      <c r="N740" s="1" t="inlineStr">
        <is>
          <t>26.02.2024</t>
        </is>
      </c>
      <c r="O740" s="1" t="inlineStr"/>
      <c r="P740" s="1" t="inlineStr"/>
      <c r="Q740" s="1" t="inlineStr">
        <is>
          <t>Пользовательский интерфейс</t>
        </is>
      </c>
    </row>
    <row r="741">
      <c r="B741" s="1" t="inlineStr">
        <is>
          <t>41372069</t>
        </is>
      </c>
      <c r="C741" s="1" t="inlineStr">
        <is>
          <t>3335316</t>
        </is>
      </c>
      <c r="D741" t="inlineStr">
        <is>
          <t>работник 210</t>
        </is>
      </c>
      <c r="E741" s="1" t="inlineStr">
        <is>
          <t>ОБЩЕСТВО С ОГРАНИЧЕННОЙ ОТВЕТСТВЕННОСТЬЮ "АМУР ЗОЛОТО"</t>
        </is>
      </c>
      <c r="F741" s="1" t="inlineStr">
        <is>
          <t>2708001686</t>
        </is>
      </c>
      <c r="G741" s="1" t="inlineStr">
        <is>
          <t>Слесарь по ремонту автомобилей</t>
        </is>
      </c>
      <c r="H741" s="1" t="inlineStr">
        <is>
          <t>ООО "Амур Золото"</t>
        </is>
      </c>
      <c r="I741" s="1" t="inlineStr">
        <is>
          <t>2708001686</t>
        </is>
      </c>
      <c r="J741" s="1" t="inlineStr">
        <is>
          <t>ОТ № ЮГОК АТЦ 23-03</t>
        </is>
      </c>
      <c r="K741" s="1" t="inlineStr">
        <is>
          <t>Использование (применение) средств индивидуальной защиты</t>
        </is>
      </c>
      <c r="L741" s="1" t="inlineStr">
        <is>
          <t>03.12.2023</t>
        </is>
      </c>
      <c r="M741" s="1" t="inlineStr">
        <is>
          <t>Успешно</t>
        </is>
      </c>
      <c r="N741" s="1" t="inlineStr">
        <is>
          <t>26.02.2024</t>
        </is>
      </c>
      <c r="O741" s="1" t="inlineStr"/>
      <c r="P741" s="1" t="inlineStr"/>
      <c r="Q741" s="1" t="inlineStr">
        <is>
          <t>Пользовательский интерфейс</t>
        </is>
      </c>
    </row>
    <row r="742">
      <c r="B742" s="1" t="inlineStr">
        <is>
          <t>41372070</t>
        </is>
      </c>
      <c r="C742" s="1" t="inlineStr">
        <is>
          <t>3335316</t>
        </is>
      </c>
      <c r="D742" t="inlineStr">
        <is>
          <t>работник 210</t>
        </is>
      </c>
      <c r="E742" s="1" t="inlineStr">
        <is>
          <t>ОБЩЕСТВО С ОГРАНИЧЕННОЙ ОТВЕТСТВЕННОСТЬЮ "АМУР ЗОЛОТО"</t>
        </is>
      </c>
      <c r="F742" s="1" t="inlineStr">
        <is>
          <t>2708001686</t>
        </is>
      </c>
      <c r="G742" s="1" t="inlineStr">
        <is>
          <t>Слесарь по ремонту автомобилей</t>
        </is>
      </c>
      <c r="H742" s="1" t="inlineStr">
        <is>
          <t>ООО "Амур Золото"</t>
        </is>
      </c>
      <c r="I742" s="1" t="inlineStr">
        <is>
          <t>2708001686</t>
        </is>
      </c>
      <c r="J742" s="1" t="inlineStr">
        <is>
          <t>ОТ № ЮГОК АТЦ 23-03</t>
        </is>
      </c>
      <c r="K74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742" s="1" t="inlineStr">
        <is>
          <t>03.12.2023</t>
        </is>
      </c>
      <c r="M742" s="1" t="inlineStr">
        <is>
          <t>Успешно</t>
        </is>
      </c>
      <c r="N742" s="1" t="inlineStr">
        <is>
          <t>26.02.2024</t>
        </is>
      </c>
      <c r="O742" s="1" t="inlineStr"/>
      <c r="P742" s="1" t="inlineStr"/>
      <c r="Q742" s="1" t="inlineStr">
        <is>
          <t>Пользовательский интерфейс</t>
        </is>
      </c>
    </row>
    <row r="743">
      <c r="B743" s="1" t="inlineStr">
        <is>
          <t>41372071</t>
        </is>
      </c>
      <c r="C743" s="1" t="inlineStr">
        <is>
          <t>3335316</t>
        </is>
      </c>
      <c r="D743" t="inlineStr">
        <is>
          <t>работник 211</t>
        </is>
      </c>
      <c r="E743" s="1" t="inlineStr">
        <is>
          <t>ОБЩЕСТВО С ОГРАНИЧЕННОЙ ОТВЕТСТВЕННОСТЬЮ "АМУР ЗОЛОТО"</t>
        </is>
      </c>
      <c r="F743" s="1" t="inlineStr">
        <is>
          <t>2708001686</t>
        </is>
      </c>
      <c r="G743" s="1" t="inlineStr">
        <is>
          <t>Машинист автогрейдера</t>
        </is>
      </c>
      <c r="H743" s="1" t="inlineStr">
        <is>
          <t>ООО "Амур Золото"</t>
        </is>
      </c>
      <c r="I743" s="1" t="inlineStr">
        <is>
          <t>2708001686</t>
        </is>
      </c>
      <c r="J743" s="1" t="inlineStr">
        <is>
          <t>ОТ № ЮГОК АТЦ 23-03</t>
        </is>
      </c>
      <c r="K743" s="1" t="inlineStr">
        <is>
          <t>Оказание первой помощи пострадавшим</t>
        </is>
      </c>
      <c r="L743" s="1" t="inlineStr">
        <is>
          <t>03.12.2023</t>
        </is>
      </c>
      <c r="M743" s="1" t="inlineStr">
        <is>
          <t>Успешно</t>
        </is>
      </c>
      <c r="N743" s="1" t="inlineStr">
        <is>
          <t>26.02.2024</t>
        </is>
      </c>
      <c r="O743" s="1" t="inlineStr"/>
      <c r="P743" s="1" t="inlineStr"/>
      <c r="Q743" s="1" t="inlineStr">
        <is>
          <t>Пользовательский интерфейс</t>
        </is>
      </c>
    </row>
    <row r="744">
      <c r="B744" s="1" t="inlineStr">
        <is>
          <t>41372072</t>
        </is>
      </c>
      <c r="C744" s="1" t="inlineStr">
        <is>
          <t>3335316</t>
        </is>
      </c>
      <c r="D744" t="inlineStr">
        <is>
          <t>работник 211</t>
        </is>
      </c>
      <c r="E744" s="1" t="inlineStr">
        <is>
          <t>ОБЩЕСТВО С ОГРАНИЧЕННОЙ ОТВЕТСТВЕННОСТЬЮ "АМУР ЗОЛОТО"</t>
        </is>
      </c>
      <c r="F744" s="1" t="inlineStr">
        <is>
          <t>2708001686</t>
        </is>
      </c>
      <c r="G744" s="1" t="inlineStr">
        <is>
          <t>Машинист автогрейдера</t>
        </is>
      </c>
      <c r="H744" s="1" t="inlineStr">
        <is>
          <t>ООО "Амур Золото"</t>
        </is>
      </c>
      <c r="I744" s="1" t="inlineStr">
        <is>
          <t>2708001686</t>
        </is>
      </c>
      <c r="J744" s="1" t="inlineStr">
        <is>
          <t>ОТ № ЮГОК АТЦ 23-03</t>
        </is>
      </c>
      <c r="K744" s="1" t="inlineStr">
        <is>
          <t>Использование (применение) средств индивидуальной защиты</t>
        </is>
      </c>
      <c r="L744" s="1" t="inlineStr">
        <is>
          <t>03.12.2023</t>
        </is>
      </c>
      <c r="M744" s="1" t="inlineStr">
        <is>
          <t>Успешно</t>
        </is>
      </c>
      <c r="N744" s="1" t="inlineStr">
        <is>
          <t>26.02.2024</t>
        </is>
      </c>
      <c r="O744" s="1" t="inlineStr"/>
      <c r="P744" s="1" t="inlineStr"/>
      <c r="Q744" s="1" t="inlineStr">
        <is>
          <t>Пользовательский интерфейс</t>
        </is>
      </c>
    </row>
    <row r="745">
      <c r="B745" s="1" t="inlineStr">
        <is>
          <t>41372073</t>
        </is>
      </c>
      <c r="C745" s="1" t="inlineStr">
        <is>
          <t>3335316</t>
        </is>
      </c>
      <c r="D745" t="inlineStr">
        <is>
          <t>работник 211</t>
        </is>
      </c>
      <c r="E745" s="1" t="inlineStr">
        <is>
          <t>ОБЩЕСТВО С ОГРАНИЧЕННОЙ ОТВЕТСТВЕННОСТЬЮ "АМУР ЗОЛОТО"</t>
        </is>
      </c>
      <c r="F745" s="1" t="inlineStr">
        <is>
          <t>2708001686</t>
        </is>
      </c>
      <c r="G745" s="1" t="inlineStr">
        <is>
          <t>Машинист автогрейдера</t>
        </is>
      </c>
      <c r="H745" s="1" t="inlineStr">
        <is>
          <t>ООО "Амур Золото"</t>
        </is>
      </c>
      <c r="I745" s="1" t="inlineStr">
        <is>
          <t>2708001686</t>
        </is>
      </c>
      <c r="J745" s="1" t="inlineStr">
        <is>
          <t>ОТ № ЮГОК АТЦ 23-03</t>
        </is>
      </c>
      <c r="K74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745" s="1" t="inlineStr">
        <is>
          <t>03.12.2023</t>
        </is>
      </c>
      <c r="M745" s="1" t="inlineStr">
        <is>
          <t>Успешно</t>
        </is>
      </c>
      <c r="N745" s="1" t="inlineStr">
        <is>
          <t>26.02.2024</t>
        </is>
      </c>
      <c r="O745" s="1" t="inlineStr"/>
      <c r="P745" s="1" t="inlineStr"/>
      <c r="Q745" s="1" t="inlineStr">
        <is>
          <t>Пользовательский интерфейс</t>
        </is>
      </c>
    </row>
    <row r="746">
      <c r="B746" s="1" t="inlineStr">
        <is>
          <t>41372074</t>
        </is>
      </c>
      <c r="C746" s="1" t="inlineStr">
        <is>
          <t>3335316</t>
        </is>
      </c>
      <c r="D746" t="inlineStr">
        <is>
          <t>работник 212</t>
        </is>
      </c>
      <c r="E746" s="1" t="inlineStr">
        <is>
          <t>ОБЩЕСТВО С ОГРАНИЧЕННОЙ ОТВЕТСТВЕННОСТЬЮ "АМУР ЗОЛОТО"</t>
        </is>
      </c>
      <c r="F746" s="1" t="inlineStr">
        <is>
          <t>2708001686</t>
        </is>
      </c>
      <c r="G746" s="1" t="inlineStr">
        <is>
          <t>Водитель автомобиля(занятый на траспортировании горной массы в технологическом процессе)</t>
        </is>
      </c>
      <c r="H746" s="1" t="inlineStr">
        <is>
          <t>ООО "Амур Золото"</t>
        </is>
      </c>
      <c r="I746" s="1" t="inlineStr">
        <is>
          <t>2708001686</t>
        </is>
      </c>
      <c r="J746" s="1" t="inlineStr">
        <is>
          <t>ОТ № ЮГОК АТЦ 23-03</t>
        </is>
      </c>
      <c r="K746" s="1" t="inlineStr">
        <is>
          <t>Оказание первой помощи пострадавшим</t>
        </is>
      </c>
      <c r="L746" s="1" t="inlineStr">
        <is>
          <t>03.12.2023</t>
        </is>
      </c>
      <c r="M746" s="1" t="inlineStr">
        <is>
          <t>Успешно</t>
        </is>
      </c>
      <c r="N746" s="1" t="inlineStr">
        <is>
          <t>26.02.2024</t>
        </is>
      </c>
      <c r="O746" s="1" t="inlineStr"/>
      <c r="P746" s="1" t="inlineStr"/>
      <c r="Q746" s="1" t="inlineStr">
        <is>
          <t>Пользовательский интерфейс</t>
        </is>
      </c>
    </row>
    <row r="747">
      <c r="B747" s="1" t="inlineStr">
        <is>
          <t>41372075</t>
        </is>
      </c>
      <c r="C747" s="1" t="inlineStr">
        <is>
          <t>3335316</t>
        </is>
      </c>
      <c r="D747" t="inlineStr">
        <is>
          <t>работник 212</t>
        </is>
      </c>
      <c r="E747" s="1" t="inlineStr">
        <is>
          <t>ОБЩЕСТВО С ОГРАНИЧЕННОЙ ОТВЕТСТВЕННОСТЬЮ "АМУР ЗОЛОТО"</t>
        </is>
      </c>
      <c r="F747" s="1" t="inlineStr">
        <is>
          <t>2708001686</t>
        </is>
      </c>
      <c r="G747" s="1" t="inlineStr">
        <is>
          <t>Водитель автомобиля(занятый на траспортировании горной массы в технологическом процессе)</t>
        </is>
      </c>
      <c r="H747" s="1" t="inlineStr">
        <is>
          <t>ООО "Амур Золото"</t>
        </is>
      </c>
      <c r="I747" s="1" t="inlineStr">
        <is>
          <t>2708001686</t>
        </is>
      </c>
      <c r="J747" s="1" t="inlineStr">
        <is>
          <t>ОТ № ЮГОК АТЦ 23-03</t>
        </is>
      </c>
      <c r="K747" s="1" t="inlineStr">
        <is>
          <t>Использование (применение) средств индивидуальной защиты</t>
        </is>
      </c>
      <c r="L747" s="1" t="inlineStr">
        <is>
          <t>03.12.2023</t>
        </is>
      </c>
      <c r="M747" s="1" t="inlineStr">
        <is>
          <t>Успешно</t>
        </is>
      </c>
      <c r="N747" s="1" t="inlineStr">
        <is>
          <t>26.02.2024</t>
        </is>
      </c>
      <c r="O747" s="1" t="inlineStr"/>
      <c r="P747" s="1" t="inlineStr"/>
      <c r="Q747" s="1" t="inlineStr">
        <is>
          <t>Пользовательский интерфейс</t>
        </is>
      </c>
    </row>
    <row r="748">
      <c r="B748" s="1" t="inlineStr">
        <is>
          <t>41372076</t>
        </is>
      </c>
      <c r="C748" s="1" t="inlineStr">
        <is>
          <t>3335316</t>
        </is>
      </c>
      <c r="D748" t="inlineStr">
        <is>
          <t>работник 212</t>
        </is>
      </c>
      <c r="E748" s="1" t="inlineStr">
        <is>
          <t>ОБЩЕСТВО С ОГРАНИЧЕННОЙ ОТВЕТСТВЕННОСТЬЮ "АМУР ЗОЛОТО"</t>
        </is>
      </c>
      <c r="F748" s="1" t="inlineStr">
        <is>
          <t>2708001686</t>
        </is>
      </c>
      <c r="G748" s="1" t="inlineStr">
        <is>
          <t>Водитель автомобиля(занятый на траспортировании горной массы в технологическом процессе)</t>
        </is>
      </c>
      <c r="H748" s="1" t="inlineStr">
        <is>
          <t>ООО "Амур Золото"</t>
        </is>
      </c>
      <c r="I748" s="1" t="inlineStr">
        <is>
          <t>2708001686</t>
        </is>
      </c>
      <c r="J748" s="1" t="inlineStr">
        <is>
          <t>ОТ № ЮГОК АТЦ 23-03</t>
        </is>
      </c>
      <c r="K74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748" s="1" t="inlineStr">
        <is>
          <t>03.12.2023</t>
        </is>
      </c>
      <c r="M748" s="1" t="inlineStr">
        <is>
          <t>Успешно</t>
        </is>
      </c>
      <c r="N748" s="1" t="inlineStr">
        <is>
          <t>26.02.2024</t>
        </is>
      </c>
      <c r="O748" s="1" t="inlineStr"/>
      <c r="P748" s="1" t="inlineStr"/>
      <c r="Q748" s="1" t="inlineStr">
        <is>
          <t>Пользовательский интерфейс</t>
        </is>
      </c>
    </row>
    <row r="749">
      <c r="B749" s="1" t="inlineStr">
        <is>
          <t>41372077</t>
        </is>
      </c>
      <c r="C749" s="1" t="inlineStr">
        <is>
          <t>3335316</t>
        </is>
      </c>
      <c r="D749" t="inlineStr">
        <is>
          <t>работник 19</t>
        </is>
      </c>
      <c r="E749" s="1" t="inlineStr">
        <is>
          <t>ОБЩЕСТВО С ОГРАНИЧЕННОЙ ОТВЕТСТВЕННОСТЬЮ "АМУР ЗОЛОТО"</t>
        </is>
      </c>
      <c r="F749" s="1" t="inlineStr">
        <is>
          <t>2708001686</t>
        </is>
      </c>
      <c r="G749" s="1" t="inlineStr">
        <is>
          <t>Водитель автомобиля (категория Д)</t>
        </is>
      </c>
      <c r="H749" s="1" t="inlineStr">
        <is>
          <t>ООО "Амур Золото"</t>
        </is>
      </c>
      <c r="I749" s="1" t="inlineStr">
        <is>
          <t>2708001686</t>
        </is>
      </c>
      <c r="J749" s="1" t="inlineStr">
        <is>
          <t>ОТ № ЮГОК АТЦ 23-03</t>
        </is>
      </c>
      <c r="K749" s="1" t="inlineStr">
        <is>
          <t>Оказание первой помощи пострадавшим</t>
        </is>
      </c>
      <c r="L749" s="1" t="inlineStr">
        <is>
          <t>03.12.2023</t>
        </is>
      </c>
      <c r="M749" s="1" t="inlineStr">
        <is>
          <t>Успешно</t>
        </is>
      </c>
      <c r="N749" s="1" t="inlineStr">
        <is>
          <t>26.02.2024</t>
        </is>
      </c>
      <c r="O749" s="1" t="inlineStr"/>
      <c r="P749" s="1" t="inlineStr"/>
      <c r="Q749" s="1" t="inlineStr">
        <is>
          <t>Пользовательский интерфейс</t>
        </is>
      </c>
    </row>
    <row r="750">
      <c r="B750" s="1" t="inlineStr">
        <is>
          <t>41372078</t>
        </is>
      </c>
      <c r="C750" s="1" t="inlineStr">
        <is>
          <t>3335316</t>
        </is>
      </c>
      <c r="D750" t="inlineStr">
        <is>
          <t>работник 19</t>
        </is>
      </c>
      <c r="E750" s="1" t="inlineStr">
        <is>
          <t>ОБЩЕСТВО С ОГРАНИЧЕННОЙ ОТВЕТСТВЕННОСТЬЮ "АМУР ЗОЛОТО"</t>
        </is>
      </c>
      <c r="F750" s="1" t="inlineStr">
        <is>
          <t>2708001686</t>
        </is>
      </c>
      <c r="G750" s="1" t="inlineStr">
        <is>
          <t>Водитель автомобиля (категория Д)</t>
        </is>
      </c>
      <c r="H750" s="1" t="inlineStr">
        <is>
          <t>ООО "Амур Золото"</t>
        </is>
      </c>
      <c r="I750" s="1" t="inlineStr">
        <is>
          <t>2708001686</t>
        </is>
      </c>
      <c r="J750" s="1" t="inlineStr">
        <is>
          <t>ОТ № ЮГОК АТЦ 23-03</t>
        </is>
      </c>
      <c r="K750" s="1" t="inlineStr">
        <is>
          <t>Использование (применение) средств индивидуальной защиты</t>
        </is>
      </c>
      <c r="L750" s="1" t="inlineStr">
        <is>
          <t>03.12.2023</t>
        </is>
      </c>
      <c r="M750" s="1" t="inlineStr">
        <is>
          <t>Успешно</t>
        </is>
      </c>
      <c r="N750" s="1" t="inlineStr">
        <is>
          <t>26.02.2024</t>
        </is>
      </c>
      <c r="O750" s="1" t="inlineStr"/>
      <c r="P750" s="1" t="inlineStr"/>
      <c r="Q750" s="1" t="inlineStr">
        <is>
          <t>Пользовательский интерфейс</t>
        </is>
      </c>
    </row>
    <row r="751">
      <c r="B751" s="1" t="inlineStr">
        <is>
          <t>41372079</t>
        </is>
      </c>
      <c r="C751" s="1" t="inlineStr">
        <is>
          <t>3335316</t>
        </is>
      </c>
      <c r="D751" t="inlineStr">
        <is>
          <t>работник 19</t>
        </is>
      </c>
      <c r="E751" s="1" t="inlineStr">
        <is>
          <t>ОБЩЕСТВО С ОГРАНИЧЕННОЙ ОТВЕТСТВЕННОСТЬЮ "АМУР ЗОЛОТО"</t>
        </is>
      </c>
      <c r="F751" s="1" t="inlineStr">
        <is>
          <t>2708001686</t>
        </is>
      </c>
      <c r="G751" s="1" t="inlineStr">
        <is>
          <t>Водитель автомобиля (категория Д)</t>
        </is>
      </c>
      <c r="H751" s="1" t="inlineStr">
        <is>
          <t>ООО "Амур Золото"</t>
        </is>
      </c>
      <c r="I751" s="1" t="inlineStr">
        <is>
          <t>2708001686</t>
        </is>
      </c>
      <c r="J751" s="1" t="inlineStr">
        <is>
          <t>ОТ № ЮГОК АТЦ 23-03</t>
        </is>
      </c>
      <c r="K75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751" s="1" t="inlineStr">
        <is>
          <t>03.12.2023</t>
        </is>
      </c>
      <c r="M751" s="1" t="inlineStr">
        <is>
          <t>Успешно</t>
        </is>
      </c>
      <c r="N751" s="1" t="inlineStr">
        <is>
          <t>26.02.2024</t>
        </is>
      </c>
      <c r="O751" s="1" t="inlineStr"/>
      <c r="P751" s="1" t="inlineStr"/>
      <c r="Q751" s="1" t="inlineStr">
        <is>
          <t>Пользовательский интерфейс</t>
        </is>
      </c>
    </row>
    <row r="752">
      <c r="B752" s="1" t="inlineStr">
        <is>
          <t>41372080</t>
        </is>
      </c>
      <c r="C752" s="1" t="inlineStr">
        <is>
          <t>3335316</t>
        </is>
      </c>
      <c r="D752" t="inlineStr">
        <is>
          <t>работник 213</t>
        </is>
      </c>
      <c r="E752" s="1" t="inlineStr">
        <is>
          <t>ОБЩЕСТВО С ОГРАНИЧЕННОЙ ОТВЕТСТВЕННОСТЬЮ "АМУР ЗОЛОТО"</t>
        </is>
      </c>
      <c r="F752" s="1" t="inlineStr">
        <is>
          <t>2708001686</t>
        </is>
      </c>
      <c r="G752" s="1" t="inlineStr">
        <is>
          <t>Электрогазосварщик(занятый на резке и ручной сварке)</t>
        </is>
      </c>
      <c r="H752" s="1" t="inlineStr">
        <is>
          <t>ООО "Амур Золото"</t>
        </is>
      </c>
      <c r="I752" s="1" t="inlineStr">
        <is>
          <t>2708001686</t>
        </is>
      </c>
      <c r="J752" s="1" t="inlineStr">
        <is>
          <t>ОТ № ЮГОК АТЦ 23-03</t>
        </is>
      </c>
      <c r="K752" s="1" t="inlineStr">
        <is>
          <t>Оказание первой помощи пострадавшим</t>
        </is>
      </c>
      <c r="L752" s="1" t="inlineStr">
        <is>
          <t>03.12.2023</t>
        </is>
      </c>
      <c r="M752" s="1" t="inlineStr">
        <is>
          <t>Успешно</t>
        </is>
      </c>
      <c r="N752" s="1" t="inlineStr">
        <is>
          <t>26.02.2024</t>
        </is>
      </c>
      <c r="O752" s="1" t="inlineStr"/>
      <c r="P752" s="1" t="inlineStr"/>
      <c r="Q752" s="1" t="inlineStr">
        <is>
          <t>Пользовательский интерфейс</t>
        </is>
      </c>
    </row>
    <row r="753">
      <c r="B753" s="1" t="inlineStr">
        <is>
          <t>41372081</t>
        </is>
      </c>
      <c r="C753" s="1" t="inlineStr">
        <is>
          <t>3335316</t>
        </is>
      </c>
      <c r="D753" t="inlineStr">
        <is>
          <t>работник 213</t>
        </is>
      </c>
      <c r="E753" s="1" t="inlineStr">
        <is>
          <t>ОБЩЕСТВО С ОГРАНИЧЕННОЙ ОТВЕТСТВЕННОСТЬЮ "АМУР ЗОЛОТО"</t>
        </is>
      </c>
      <c r="F753" s="1" t="inlineStr">
        <is>
          <t>2708001686</t>
        </is>
      </c>
      <c r="G753" s="1" t="inlineStr">
        <is>
          <t>Электрогазосварщик(занятый на резке и ручной сварке)</t>
        </is>
      </c>
      <c r="H753" s="1" t="inlineStr">
        <is>
          <t>ООО "Амур Золото"</t>
        </is>
      </c>
      <c r="I753" s="1" t="inlineStr">
        <is>
          <t>2708001686</t>
        </is>
      </c>
      <c r="J753" s="1" t="inlineStr">
        <is>
          <t>ОТ № ЮГОК АТЦ 23-03</t>
        </is>
      </c>
      <c r="K753" s="1" t="inlineStr">
        <is>
          <t>Использование (применение) средств индивидуальной защиты</t>
        </is>
      </c>
      <c r="L753" s="1" t="inlineStr">
        <is>
          <t>03.12.2023</t>
        </is>
      </c>
      <c r="M753" s="1" t="inlineStr">
        <is>
          <t>Успешно</t>
        </is>
      </c>
      <c r="N753" s="1" t="inlineStr">
        <is>
          <t>26.02.2024</t>
        </is>
      </c>
      <c r="O753" s="1" t="inlineStr"/>
      <c r="P753" s="1" t="inlineStr"/>
      <c r="Q753" s="1" t="inlineStr">
        <is>
          <t>Пользовательский интерфейс</t>
        </is>
      </c>
    </row>
    <row r="754">
      <c r="B754" s="1" t="inlineStr">
        <is>
          <t>41372082</t>
        </is>
      </c>
      <c r="C754" s="1" t="inlineStr">
        <is>
          <t>3335316</t>
        </is>
      </c>
      <c r="D754" t="inlineStr">
        <is>
          <t>работник 213</t>
        </is>
      </c>
      <c r="E754" s="1" t="inlineStr">
        <is>
          <t>ОБЩЕСТВО С ОГРАНИЧЕННОЙ ОТВЕТСТВЕННОСТЬЮ "АМУР ЗОЛОТО"</t>
        </is>
      </c>
      <c r="F754" s="1" t="inlineStr">
        <is>
          <t>2708001686</t>
        </is>
      </c>
      <c r="G754" s="1" t="inlineStr">
        <is>
          <t>Электрогазосварщик(занятый на резке и ручной сварке)</t>
        </is>
      </c>
      <c r="H754" s="1" t="inlineStr">
        <is>
          <t>ООО "Амур Золото"</t>
        </is>
      </c>
      <c r="I754" s="1" t="inlineStr">
        <is>
          <t>2708001686</t>
        </is>
      </c>
      <c r="J754" s="1" t="inlineStr">
        <is>
          <t>ОТ № ЮГОК АТЦ 23-03</t>
        </is>
      </c>
      <c r="K75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754" s="1" t="inlineStr">
        <is>
          <t>03.12.2023</t>
        </is>
      </c>
      <c r="M754" s="1" t="inlineStr">
        <is>
          <t>Успешно</t>
        </is>
      </c>
      <c r="N754" s="1" t="inlineStr">
        <is>
          <t>26.02.2024</t>
        </is>
      </c>
      <c r="O754" s="1" t="inlineStr"/>
      <c r="P754" s="1" t="inlineStr"/>
      <c r="Q754" s="1" t="inlineStr">
        <is>
          <t>Пользовательский интерфейс</t>
        </is>
      </c>
    </row>
    <row r="755">
      <c r="B755" s="1" t="inlineStr">
        <is>
          <t>41372083</t>
        </is>
      </c>
      <c r="C755" s="1" t="inlineStr">
        <is>
          <t>3335316</t>
        </is>
      </c>
      <c r="D755" t="inlineStr">
        <is>
          <t>работник 214</t>
        </is>
      </c>
      <c r="E755" s="1" t="inlineStr">
        <is>
          <t>ОБЩЕСТВО С ОГРАНИЧЕННОЙ ОТВЕТСТВЕННОСТЬЮ "АМУР ЗОЛОТО"</t>
        </is>
      </c>
      <c r="F755" s="1" t="inlineStr">
        <is>
          <t>2708001686</t>
        </is>
      </c>
      <c r="G755" s="1" t="inlineStr">
        <is>
          <t>Водитель погрузчика</t>
        </is>
      </c>
      <c r="H755" s="1" t="inlineStr">
        <is>
          <t>ООО "Амур Золото"</t>
        </is>
      </c>
      <c r="I755" s="1" t="inlineStr">
        <is>
          <t>2708001686</t>
        </is>
      </c>
      <c r="J755" s="1" t="inlineStr">
        <is>
          <t>ОТ № ЮГОК АТЦ 23-03</t>
        </is>
      </c>
      <c r="K755" s="1" t="inlineStr">
        <is>
          <t>Оказание первой помощи пострадавшим</t>
        </is>
      </c>
      <c r="L755" s="1" t="inlineStr">
        <is>
          <t>03.12.2023</t>
        </is>
      </c>
      <c r="M755" s="1" t="inlineStr">
        <is>
          <t>Успешно</t>
        </is>
      </c>
      <c r="N755" s="1" t="inlineStr">
        <is>
          <t>26.02.2024</t>
        </is>
      </c>
      <c r="O755" s="1" t="inlineStr"/>
      <c r="P755" s="1" t="inlineStr"/>
      <c r="Q755" s="1" t="inlineStr">
        <is>
          <t>Пользовательский интерфейс</t>
        </is>
      </c>
    </row>
    <row r="756">
      <c r="B756" s="1" t="inlineStr">
        <is>
          <t>41372084</t>
        </is>
      </c>
      <c r="C756" s="1" t="inlineStr">
        <is>
          <t>3335316</t>
        </is>
      </c>
      <c r="D756" t="inlineStr">
        <is>
          <t>работник 214</t>
        </is>
      </c>
      <c r="E756" s="1" t="inlineStr">
        <is>
          <t>ОБЩЕСТВО С ОГРАНИЧЕННОЙ ОТВЕТСТВЕННОСТЬЮ "АМУР ЗОЛОТО"</t>
        </is>
      </c>
      <c r="F756" s="1" t="inlineStr">
        <is>
          <t>2708001686</t>
        </is>
      </c>
      <c r="G756" s="1" t="inlineStr">
        <is>
          <t>Водитель погрузчика</t>
        </is>
      </c>
      <c r="H756" s="1" t="inlineStr">
        <is>
          <t>ООО "Амур Золото"</t>
        </is>
      </c>
      <c r="I756" s="1" t="inlineStr">
        <is>
          <t>2708001686</t>
        </is>
      </c>
      <c r="J756" s="1" t="inlineStr">
        <is>
          <t>ОТ № ЮГОК АТЦ 23-03</t>
        </is>
      </c>
      <c r="K756" s="1" t="inlineStr">
        <is>
          <t>Использование (применение) средств индивидуальной защиты</t>
        </is>
      </c>
      <c r="L756" s="1" t="inlineStr">
        <is>
          <t>03.12.2023</t>
        </is>
      </c>
      <c r="M756" s="1" t="inlineStr">
        <is>
          <t>Успешно</t>
        </is>
      </c>
      <c r="N756" s="1" t="inlineStr">
        <is>
          <t>26.02.2024</t>
        </is>
      </c>
      <c r="O756" s="1" t="inlineStr"/>
      <c r="P756" s="1" t="inlineStr"/>
      <c r="Q756" s="1" t="inlineStr">
        <is>
          <t>Пользовательский интерфейс</t>
        </is>
      </c>
    </row>
    <row r="757">
      <c r="B757" s="1" t="inlineStr">
        <is>
          <t>41372085</t>
        </is>
      </c>
      <c r="C757" s="1" t="inlineStr">
        <is>
          <t>3335316</t>
        </is>
      </c>
      <c r="D757" t="inlineStr">
        <is>
          <t>работник 214</t>
        </is>
      </c>
      <c r="E757" s="1" t="inlineStr">
        <is>
          <t>ОБЩЕСТВО С ОГРАНИЧЕННОЙ ОТВЕТСТВЕННОСТЬЮ "АМУР ЗОЛОТО"</t>
        </is>
      </c>
      <c r="F757" s="1" t="inlineStr">
        <is>
          <t>2708001686</t>
        </is>
      </c>
      <c r="G757" s="1" t="inlineStr">
        <is>
          <t>Водитель погрузчика</t>
        </is>
      </c>
      <c r="H757" s="1" t="inlineStr">
        <is>
          <t>ООО "Амур Золото"</t>
        </is>
      </c>
      <c r="I757" s="1" t="inlineStr">
        <is>
          <t>2708001686</t>
        </is>
      </c>
      <c r="J757" s="1" t="inlineStr">
        <is>
          <t>ОТ № ЮГОК АТЦ 23-03</t>
        </is>
      </c>
      <c r="K75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757" s="1" t="inlineStr">
        <is>
          <t>03.12.2023</t>
        </is>
      </c>
      <c r="M757" s="1" t="inlineStr">
        <is>
          <t>Успешно</t>
        </is>
      </c>
      <c r="N757" s="1" t="inlineStr">
        <is>
          <t>26.02.2024</t>
        </is>
      </c>
      <c r="O757" s="1" t="inlineStr"/>
      <c r="P757" s="1" t="inlineStr"/>
      <c r="Q757" s="1" t="inlineStr">
        <is>
          <t>Пользовательский интерфейс</t>
        </is>
      </c>
    </row>
    <row r="758">
      <c r="B758" s="1" t="inlineStr">
        <is>
          <t>41372086</t>
        </is>
      </c>
      <c r="C758" s="1" t="inlineStr">
        <is>
          <t>3335316</t>
        </is>
      </c>
      <c r="D758" t="inlineStr">
        <is>
          <t>работник 215</t>
        </is>
      </c>
      <c r="E758" s="1" t="inlineStr">
        <is>
          <t>ОБЩЕСТВО С ОГРАНИЧЕННОЙ ОТВЕТСТВЕННОСТЬЮ "АМУР ЗОЛОТО"</t>
        </is>
      </c>
      <c r="F758" s="1" t="inlineStr">
        <is>
          <t>2708001686</t>
        </is>
      </c>
      <c r="G758" s="1" t="inlineStr">
        <is>
          <t>Водитель автомобиля(занятый на траспортировании горной массы в технологическом процессе)</t>
        </is>
      </c>
      <c r="H758" s="1" t="inlineStr">
        <is>
          <t>ООО "Амур Золото"</t>
        </is>
      </c>
      <c r="I758" s="1" t="inlineStr">
        <is>
          <t>2708001686</t>
        </is>
      </c>
      <c r="J758" s="1" t="inlineStr">
        <is>
          <t>ОТ № ЮГОК АТЦ 23-03</t>
        </is>
      </c>
      <c r="K758" s="1" t="inlineStr">
        <is>
          <t>Оказание первой помощи пострадавшим</t>
        </is>
      </c>
      <c r="L758" s="1" t="inlineStr">
        <is>
          <t>03.12.2023</t>
        </is>
      </c>
      <c r="M758" s="1" t="inlineStr">
        <is>
          <t>Успешно</t>
        </is>
      </c>
      <c r="N758" s="1" t="inlineStr">
        <is>
          <t>26.02.2024</t>
        </is>
      </c>
      <c r="O758" s="1" t="inlineStr"/>
      <c r="P758" s="1" t="inlineStr"/>
      <c r="Q758" s="1" t="inlineStr">
        <is>
          <t>Пользовательский интерфейс</t>
        </is>
      </c>
    </row>
    <row r="759">
      <c r="B759" s="1" t="inlineStr">
        <is>
          <t>41372087</t>
        </is>
      </c>
      <c r="C759" s="1" t="inlineStr">
        <is>
          <t>3335316</t>
        </is>
      </c>
      <c r="D759" t="inlineStr">
        <is>
          <t>работник 216</t>
        </is>
      </c>
      <c r="E759" s="1" t="inlineStr">
        <is>
          <t>ОБЩЕСТВО С ОГРАНИЧЕННОЙ ОТВЕТСТВЕННОСТЬЮ "АМУР ЗОЛОТО"</t>
        </is>
      </c>
      <c r="F759" s="1" t="inlineStr">
        <is>
          <t>2708001686</t>
        </is>
      </c>
      <c r="G759" s="1" t="inlineStr">
        <is>
          <t>Водитель автомобиля (категория Д)</t>
        </is>
      </c>
      <c r="H759" s="1" t="inlineStr">
        <is>
          <t>ООО "Амур Золото"</t>
        </is>
      </c>
      <c r="I759" s="1" t="inlineStr">
        <is>
          <t>2708001686</t>
        </is>
      </c>
      <c r="J759" s="1" t="inlineStr">
        <is>
          <t>ОТ № ЮГОК АТЦ 23-03</t>
        </is>
      </c>
      <c r="K759" s="1" t="inlineStr">
        <is>
          <t>Оказание первой помощи пострадавшим</t>
        </is>
      </c>
      <c r="L759" s="1" t="inlineStr">
        <is>
          <t>03.12.2023</t>
        </is>
      </c>
      <c r="M759" s="1" t="inlineStr">
        <is>
          <t>Успешно</t>
        </is>
      </c>
      <c r="N759" s="1" t="inlineStr">
        <is>
          <t>26.02.2024</t>
        </is>
      </c>
      <c r="O759" s="1" t="inlineStr"/>
      <c r="P759" s="1" t="inlineStr"/>
      <c r="Q759" s="1" t="inlineStr">
        <is>
          <t>Пользовательский интерфейс</t>
        </is>
      </c>
    </row>
    <row r="760">
      <c r="B760" s="1" t="inlineStr">
        <is>
          <t>41372088</t>
        </is>
      </c>
      <c r="C760" s="1" t="inlineStr">
        <is>
          <t>3335316</t>
        </is>
      </c>
      <c r="D760" t="inlineStr">
        <is>
          <t>работник 215</t>
        </is>
      </c>
      <c r="E760" s="1" t="inlineStr">
        <is>
          <t>ОБЩЕСТВО С ОГРАНИЧЕННОЙ ОТВЕТСТВЕННОСТЬЮ "АМУР ЗОЛОТО"</t>
        </is>
      </c>
      <c r="F760" s="1" t="inlineStr">
        <is>
          <t>2708001686</t>
        </is>
      </c>
      <c r="G760" s="1" t="inlineStr">
        <is>
          <t>Водитель автомобиля(занятый на траспортировании горной массы в технологическом процессе)</t>
        </is>
      </c>
      <c r="H760" s="1" t="inlineStr">
        <is>
          <t>ООО "Амур Золото"</t>
        </is>
      </c>
      <c r="I760" s="1" t="inlineStr">
        <is>
          <t>2708001686</t>
        </is>
      </c>
      <c r="J760" s="1" t="inlineStr">
        <is>
          <t>ОТ № ЮГОК АТЦ 23-03</t>
        </is>
      </c>
      <c r="K760" s="1" t="inlineStr">
        <is>
          <t>Использование (применение) средств индивидуальной защиты</t>
        </is>
      </c>
      <c r="L760" s="1" t="inlineStr">
        <is>
          <t>03.12.2023</t>
        </is>
      </c>
      <c r="M760" s="1" t="inlineStr">
        <is>
          <t>Успешно</t>
        </is>
      </c>
      <c r="N760" s="1" t="inlineStr">
        <is>
          <t>26.02.2024</t>
        </is>
      </c>
      <c r="O760" s="1" t="inlineStr"/>
      <c r="P760" s="1" t="inlineStr"/>
      <c r="Q760" s="1" t="inlineStr">
        <is>
          <t>Пользовательский интерфейс</t>
        </is>
      </c>
    </row>
    <row r="761">
      <c r="B761" s="1" t="inlineStr">
        <is>
          <t>41372089</t>
        </is>
      </c>
      <c r="C761" s="1" t="inlineStr">
        <is>
          <t>3335316</t>
        </is>
      </c>
      <c r="D761" t="inlineStr">
        <is>
          <t>работник 215</t>
        </is>
      </c>
      <c r="E761" s="1" t="inlineStr">
        <is>
          <t>ОБЩЕСТВО С ОГРАНИЧЕННОЙ ОТВЕТСТВЕННОСТЬЮ "АМУР ЗОЛОТО"</t>
        </is>
      </c>
      <c r="F761" s="1" t="inlineStr">
        <is>
          <t>2708001686</t>
        </is>
      </c>
      <c r="G761" s="1" t="inlineStr">
        <is>
          <t>Водитель автомобиля(занятый на траспортировании горной массы в технологическом процессе)</t>
        </is>
      </c>
      <c r="H761" s="1" t="inlineStr">
        <is>
          <t>ООО "Амур Золото"</t>
        </is>
      </c>
      <c r="I761" s="1" t="inlineStr">
        <is>
          <t>2708001686</t>
        </is>
      </c>
      <c r="J761" s="1" t="inlineStr">
        <is>
          <t>ОТ № ЮГОК АТЦ 23-03</t>
        </is>
      </c>
      <c r="K76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761" s="1" t="inlineStr">
        <is>
          <t>03.12.2023</t>
        </is>
      </c>
      <c r="M761" s="1" t="inlineStr">
        <is>
          <t>Успешно</t>
        </is>
      </c>
      <c r="N761" s="1" t="inlineStr">
        <is>
          <t>26.02.2024</t>
        </is>
      </c>
      <c r="O761" s="1" t="inlineStr"/>
      <c r="P761" s="1" t="inlineStr"/>
      <c r="Q761" s="1" t="inlineStr">
        <is>
          <t>Пользовательский интерфейс</t>
        </is>
      </c>
    </row>
    <row r="762">
      <c r="B762" s="1" t="inlineStr">
        <is>
          <t>41372090</t>
        </is>
      </c>
      <c r="C762" s="1" t="inlineStr">
        <is>
          <t>3335316</t>
        </is>
      </c>
      <c r="D762" t="inlineStr">
        <is>
          <t>работник 217</t>
        </is>
      </c>
      <c r="E762" s="1" t="inlineStr">
        <is>
          <t>ОБЩЕСТВО С ОГРАНИЧЕННОЙ ОТВЕТСТВЕННОСТЬЮ "АМУР ЗОЛОТО"</t>
        </is>
      </c>
      <c r="F762" s="1" t="inlineStr">
        <is>
          <t>2708001686</t>
        </is>
      </c>
      <c r="G762" s="1" t="inlineStr">
        <is>
          <t>Водитель автомобиля(занятый на траспортировании горной массы в технологическом процессе)</t>
        </is>
      </c>
      <c r="H762" s="1" t="inlineStr">
        <is>
          <t>ООО "Амур Золото"</t>
        </is>
      </c>
      <c r="I762" s="1" t="inlineStr">
        <is>
          <t>2708001686</t>
        </is>
      </c>
      <c r="J762" s="1" t="inlineStr">
        <is>
          <t>ОТ № ЮГОК АТЦ 23-03</t>
        </is>
      </c>
      <c r="K762" s="1" t="inlineStr">
        <is>
          <t>Оказание первой помощи пострадавшим</t>
        </is>
      </c>
      <c r="L762" s="1" t="inlineStr">
        <is>
          <t>03.12.2023</t>
        </is>
      </c>
      <c r="M762" s="1" t="inlineStr">
        <is>
          <t>Успешно</t>
        </is>
      </c>
      <c r="N762" s="1" t="inlineStr">
        <is>
          <t>26.02.2024</t>
        </is>
      </c>
      <c r="O762" s="1" t="inlineStr"/>
      <c r="P762" s="1" t="inlineStr"/>
      <c r="Q762" s="1" t="inlineStr">
        <is>
          <t>Пользовательский интерфейс</t>
        </is>
      </c>
    </row>
    <row r="763">
      <c r="B763" s="1" t="inlineStr">
        <is>
          <t>41372091</t>
        </is>
      </c>
      <c r="C763" s="1" t="inlineStr">
        <is>
          <t>3335316</t>
        </is>
      </c>
      <c r="D763" t="inlineStr">
        <is>
          <t>работник 217</t>
        </is>
      </c>
      <c r="E763" s="1" t="inlineStr">
        <is>
          <t>ОБЩЕСТВО С ОГРАНИЧЕННОЙ ОТВЕТСТВЕННОСТЬЮ "АМУР ЗОЛОТО"</t>
        </is>
      </c>
      <c r="F763" s="1" t="inlineStr">
        <is>
          <t>2708001686</t>
        </is>
      </c>
      <c r="G763" s="1" t="inlineStr">
        <is>
          <t>Водитель автомобиля(занятый на траспортировании горной массы в технологическом процессе)</t>
        </is>
      </c>
      <c r="H763" s="1" t="inlineStr">
        <is>
          <t>ООО "Амур Золото"</t>
        </is>
      </c>
      <c r="I763" s="1" t="inlineStr">
        <is>
          <t>2708001686</t>
        </is>
      </c>
      <c r="J763" s="1" t="inlineStr">
        <is>
          <t>ОТ № ЮГОК АТЦ 23-03</t>
        </is>
      </c>
      <c r="K763" s="1" t="inlineStr">
        <is>
          <t>Использование (применение) средств индивидуальной защиты</t>
        </is>
      </c>
      <c r="L763" s="1" t="inlineStr">
        <is>
          <t>03.12.2023</t>
        </is>
      </c>
      <c r="M763" s="1" t="inlineStr">
        <is>
          <t>Успешно</t>
        </is>
      </c>
      <c r="N763" s="1" t="inlineStr">
        <is>
          <t>26.02.2024</t>
        </is>
      </c>
      <c r="O763" s="1" t="inlineStr"/>
      <c r="P763" s="1" t="inlineStr"/>
      <c r="Q763" s="1" t="inlineStr">
        <is>
          <t>Пользовательский интерфейс</t>
        </is>
      </c>
    </row>
    <row r="764">
      <c r="B764" s="1" t="inlineStr">
        <is>
          <t>41372092</t>
        </is>
      </c>
      <c r="C764" s="1" t="inlineStr">
        <is>
          <t>3335316</t>
        </is>
      </c>
      <c r="D764" t="inlineStr">
        <is>
          <t>работник 217</t>
        </is>
      </c>
      <c r="E764" s="1" t="inlineStr">
        <is>
          <t>ОБЩЕСТВО С ОГРАНИЧЕННОЙ ОТВЕТСТВЕННОСТЬЮ "АМУР ЗОЛОТО"</t>
        </is>
      </c>
      <c r="F764" s="1" t="inlineStr">
        <is>
          <t>2708001686</t>
        </is>
      </c>
      <c r="G764" s="1" t="inlineStr">
        <is>
          <t>Водитель автомобиля(занятый на траспортировании горной массы в технологическом процессе)</t>
        </is>
      </c>
      <c r="H764" s="1" t="inlineStr">
        <is>
          <t>ООО "Амур Золото"</t>
        </is>
      </c>
      <c r="I764" s="1" t="inlineStr">
        <is>
          <t>2708001686</t>
        </is>
      </c>
      <c r="J764" s="1" t="inlineStr">
        <is>
          <t>ОТ № ЮГОК АТЦ 23-03</t>
        </is>
      </c>
      <c r="K76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764" s="1" t="inlineStr">
        <is>
          <t>03.12.2023</t>
        </is>
      </c>
      <c r="M764" s="1" t="inlineStr">
        <is>
          <t>Успешно</t>
        </is>
      </c>
      <c r="N764" s="1" t="inlineStr">
        <is>
          <t>26.02.2024</t>
        </is>
      </c>
      <c r="O764" s="1" t="inlineStr"/>
      <c r="P764" s="1" t="inlineStr"/>
      <c r="Q764" s="1" t="inlineStr">
        <is>
          <t>Пользовательский интерфейс</t>
        </is>
      </c>
    </row>
    <row r="765">
      <c r="B765" s="1" t="inlineStr">
        <is>
          <t>41372093</t>
        </is>
      </c>
      <c r="C765" s="1" t="inlineStr">
        <is>
          <t>3335316</t>
        </is>
      </c>
      <c r="D765" t="inlineStr">
        <is>
          <t>работник 218</t>
        </is>
      </c>
      <c r="E765" s="1" t="inlineStr">
        <is>
          <t>ОБЩЕСТВО С ОГРАНИЧЕННОЙ ОТВЕТСТВЕННОСТЬЮ "АМУР ЗОЛОТО"</t>
        </is>
      </c>
      <c r="F765" s="1" t="inlineStr">
        <is>
          <t>2708001686</t>
        </is>
      </c>
      <c r="G765" s="1" t="inlineStr">
        <is>
          <t>Водитель автомобиля(занятый на траспортировании горной массы в технологическом процессе)</t>
        </is>
      </c>
      <c r="H765" s="1" t="inlineStr">
        <is>
          <t>ООО "Амур Золото"</t>
        </is>
      </c>
      <c r="I765" s="1" t="inlineStr">
        <is>
          <t>2708001686</t>
        </is>
      </c>
      <c r="J765" s="1" t="inlineStr">
        <is>
          <t>ОТ № ЮГОК АТЦ 23-03</t>
        </is>
      </c>
      <c r="K765" s="1" t="inlineStr">
        <is>
          <t>Оказание первой помощи пострадавшим</t>
        </is>
      </c>
      <c r="L765" s="1" t="inlineStr">
        <is>
          <t>03.12.2023</t>
        </is>
      </c>
      <c r="M765" s="1" t="inlineStr">
        <is>
          <t>Успешно</t>
        </is>
      </c>
      <c r="N765" s="1" t="inlineStr">
        <is>
          <t>26.02.2024</t>
        </is>
      </c>
      <c r="O765" s="1" t="inlineStr"/>
      <c r="P765" s="1" t="inlineStr"/>
      <c r="Q765" s="1" t="inlineStr">
        <is>
          <t>Пользовательский интерфейс</t>
        </is>
      </c>
    </row>
    <row r="766">
      <c r="B766" s="1" t="inlineStr">
        <is>
          <t>41372094</t>
        </is>
      </c>
      <c r="C766" s="1" t="inlineStr">
        <is>
          <t>3335316</t>
        </is>
      </c>
      <c r="D766" t="inlineStr">
        <is>
          <t>работник 218</t>
        </is>
      </c>
      <c r="E766" s="1" t="inlineStr">
        <is>
          <t>ОБЩЕСТВО С ОГРАНИЧЕННОЙ ОТВЕТСТВЕННОСТЬЮ "АМУР ЗОЛОТО"</t>
        </is>
      </c>
      <c r="F766" s="1" t="inlineStr">
        <is>
          <t>2708001686</t>
        </is>
      </c>
      <c r="G766" s="1" t="inlineStr">
        <is>
          <t>Водитель автомобиля(занятый на траспортировании горной массы в технологическом процессе)</t>
        </is>
      </c>
      <c r="H766" s="1" t="inlineStr">
        <is>
          <t>ООО "Амур Золото"</t>
        </is>
      </c>
      <c r="I766" s="1" t="inlineStr">
        <is>
          <t>2708001686</t>
        </is>
      </c>
      <c r="J766" s="1" t="inlineStr">
        <is>
          <t>ОТ № ЮГОК АТЦ 23-03</t>
        </is>
      </c>
      <c r="K766" s="1" t="inlineStr">
        <is>
          <t>Использование (применение) средств индивидуальной защиты</t>
        </is>
      </c>
      <c r="L766" s="1" t="inlineStr">
        <is>
          <t>03.12.2023</t>
        </is>
      </c>
      <c r="M766" s="1" t="inlineStr">
        <is>
          <t>Успешно</t>
        </is>
      </c>
      <c r="N766" s="1" t="inlineStr">
        <is>
          <t>26.02.2024</t>
        </is>
      </c>
      <c r="O766" s="1" t="inlineStr"/>
      <c r="P766" s="1" t="inlineStr"/>
      <c r="Q766" s="1" t="inlineStr">
        <is>
          <t>Пользовательский интерфейс</t>
        </is>
      </c>
    </row>
    <row r="767">
      <c r="B767" s="1" t="inlineStr">
        <is>
          <t>41372095</t>
        </is>
      </c>
      <c r="C767" s="1" t="inlineStr">
        <is>
          <t>3335316</t>
        </is>
      </c>
      <c r="D767" t="inlineStr">
        <is>
          <t>работник 218</t>
        </is>
      </c>
      <c r="E767" s="1" t="inlineStr">
        <is>
          <t>ОБЩЕСТВО С ОГРАНИЧЕННОЙ ОТВЕТСТВЕННОСТЬЮ "АМУР ЗОЛОТО"</t>
        </is>
      </c>
      <c r="F767" s="1" t="inlineStr">
        <is>
          <t>2708001686</t>
        </is>
      </c>
      <c r="G767" s="1" t="inlineStr">
        <is>
          <t>Водитель автомобиля(занятый на траспортировании горной массы в технологическом процессе)</t>
        </is>
      </c>
      <c r="H767" s="1" t="inlineStr">
        <is>
          <t>ООО "Амур Золото"</t>
        </is>
      </c>
      <c r="I767" s="1" t="inlineStr">
        <is>
          <t>2708001686</t>
        </is>
      </c>
      <c r="J767" s="1" t="inlineStr">
        <is>
          <t>ОТ № ЮГОК АТЦ 23-03</t>
        </is>
      </c>
      <c r="K76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767" s="1" t="inlineStr">
        <is>
          <t>03.12.2023</t>
        </is>
      </c>
      <c r="M767" s="1" t="inlineStr">
        <is>
          <t>Успешно</t>
        </is>
      </c>
      <c r="N767" s="1" t="inlineStr">
        <is>
          <t>26.02.2024</t>
        </is>
      </c>
      <c r="O767" s="1" t="inlineStr"/>
      <c r="P767" s="1" t="inlineStr"/>
      <c r="Q767" s="1" t="inlineStr">
        <is>
          <t>Пользовательский интерфейс</t>
        </is>
      </c>
    </row>
    <row r="768">
      <c r="B768" s="1" t="inlineStr">
        <is>
          <t>41372096</t>
        </is>
      </c>
      <c r="C768" s="1" t="inlineStr">
        <is>
          <t>3335316</t>
        </is>
      </c>
      <c r="D768" t="inlineStr">
        <is>
          <t>работник 219</t>
        </is>
      </c>
      <c r="E768" s="1" t="inlineStr">
        <is>
          <t>ОБЩЕСТВО С ОГРАНИЧЕННОЙ ОТВЕТСТВЕННОСТЬЮ "АМУР ЗОЛОТО"</t>
        </is>
      </c>
      <c r="F768" s="1" t="inlineStr">
        <is>
          <t>2708001686</t>
        </is>
      </c>
      <c r="G768" s="1" t="inlineStr">
        <is>
          <t>Водитель автомобиля(занятый на траспортировании горной массы в технологическом процессе)</t>
        </is>
      </c>
      <c r="H768" s="1" t="inlineStr">
        <is>
          <t>ООО "Амур Золото"</t>
        </is>
      </c>
      <c r="I768" s="1" t="inlineStr">
        <is>
          <t>2708001686</t>
        </is>
      </c>
      <c r="J768" s="1" t="inlineStr">
        <is>
          <t>ОТ № ЮГОК АТЦ 23-03</t>
        </is>
      </c>
      <c r="K768" s="1" t="inlineStr">
        <is>
          <t>Оказание первой помощи пострадавшим</t>
        </is>
      </c>
      <c r="L768" s="1" t="inlineStr">
        <is>
          <t>03.12.2023</t>
        </is>
      </c>
      <c r="M768" s="1" t="inlineStr">
        <is>
          <t>Успешно</t>
        </is>
      </c>
      <c r="N768" s="1" t="inlineStr">
        <is>
          <t>26.02.2024</t>
        </is>
      </c>
      <c r="O768" s="1" t="inlineStr"/>
      <c r="P768" s="1" t="inlineStr"/>
      <c r="Q768" s="1" t="inlineStr">
        <is>
          <t>Пользовательский интерфейс</t>
        </is>
      </c>
    </row>
    <row r="769">
      <c r="B769" s="1" t="inlineStr">
        <is>
          <t>41372097</t>
        </is>
      </c>
      <c r="C769" s="1" t="inlineStr">
        <is>
          <t>3335316</t>
        </is>
      </c>
      <c r="D769" t="inlineStr">
        <is>
          <t>работник 219</t>
        </is>
      </c>
      <c r="E769" s="1" t="inlineStr">
        <is>
          <t>ОБЩЕСТВО С ОГРАНИЧЕННОЙ ОТВЕТСТВЕННОСТЬЮ "АМУР ЗОЛОТО"</t>
        </is>
      </c>
      <c r="F769" s="1" t="inlineStr">
        <is>
          <t>2708001686</t>
        </is>
      </c>
      <c r="G769" s="1" t="inlineStr">
        <is>
          <t>Водитель автомобиля(занятый на траспортировании горной массы в технологическом процессе)</t>
        </is>
      </c>
      <c r="H769" s="1" t="inlineStr">
        <is>
          <t>ООО "Амур Золото"</t>
        </is>
      </c>
      <c r="I769" s="1" t="inlineStr">
        <is>
          <t>2708001686</t>
        </is>
      </c>
      <c r="J769" s="1" t="inlineStr">
        <is>
          <t>ОТ № ЮГОК АТЦ 23-03</t>
        </is>
      </c>
      <c r="K769" s="1" t="inlineStr">
        <is>
          <t>Использование (применение) средств индивидуальной защиты</t>
        </is>
      </c>
      <c r="L769" s="1" t="inlineStr">
        <is>
          <t>03.12.2023</t>
        </is>
      </c>
      <c r="M769" s="1" t="inlineStr">
        <is>
          <t>Успешно</t>
        </is>
      </c>
      <c r="N769" s="1" t="inlineStr">
        <is>
          <t>26.02.2024</t>
        </is>
      </c>
      <c r="O769" s="1" t="inlineStr"/>
      <c r="P769" s="1" t="inlineStr"/>
      <c r="Q769" s="1" t="inlineStr">
        <is>
          <t>Пользовательский интерфейс</t>
        </is>
      </c>
    </row>
    <row r="770">
      <c r="B770" s="1" t="inlineStr">
        <is>
          <t>41372098</t>
        </is>
      </c>
      <c r="C770" s="1" t="inlineStr">
        <is>
          <t>3335316</t>
        </is>
      </c>
      <c r="D770" t="inlineStr">
        <is>
          <t>работник 219</t>
        </is>
      </c>
      <c r="E770" s="1" t="inlineStr">
        <is>
          <t>ОБЩЕСТВО С ОГРАНИЧЕННОЙ ОТВЕТСТВЕННОСТЬЮ "АМУР ЗОЛОТО"</t>
        </is>
      </c>
      <c r="F770" s="1" t="inlineStr">
        <is>
          <t>2708001686</t>
        </is>
      </c>
      <c r="G770" s="1" t="inlineStr">
        <is>
          <t>Водитель автомобиля(занятый на траспортировании горной массы в технологическом процессе)</t>
        </is>
      </c>
      <c r="H770" s="1" t="inlineStr">
        <is>
          <t>ООО "Амур Золото"</t>
        </is>
      </c>
      <c r="I770" s="1" t="inlineStr">
        <is>
          <t>2708001686</t>
        </is>
      </c>
      <c r="J770" s="1" t="inlineStr">
        <is>
          <t>ОТ № ЮГОК АТЦ 23-03</t>
        </is>
      </c>
      <c r="K77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770" s="1" t="inlineStr">
        <is>
          <t>03.12.2023</t>
        </is>
      </c>
      <c r="M770" s="1" t="inlineStr">
        <is>
          <t>Успешно</t>
        </is>
      </c>
      <c r="N770" s="1" t="inlineStr">
        <is>
          <t>26.02.2024</t>
        </is>
      </c>
      <c r="O770" s="1" t="inlineStr"/>
      <c r="P770" s="1" t="inlineStr"/>
      <c r="Q770" s="1" t="inlineStr">
        <is>
          <t>Пользовательский интерфейс</t>
        </is>
      </c>
    </row>
    <row r="771">
      <c r="B771" s="1" t="inlineStr">
        <is>
          <t>41372099</t>
        </is>
      </c>
      <c r="C771" s="1" t="inlineStr">
        <is>
          <t>3335316</t>
        </is>
      </c>
      <c r="D771" t="inlineStr">
        <is>
          <t>работник 216</t>
        </is>
      </c>
      <c r="E771" s="1" t="inlineStr">
        <is>
          <t>ОБЩЕСТВО С ОГРАНИЧЕННОЙ ОТВЕТСТВЕННОСТЬЮ "АМУР ЗОЛОТО"</t>
        </is>
      </c>
      <c r="F771" s="1" t="inlineStr">
        <is>
          <t>2708001686</t>
        </is>
      </c>
      <c r="G771" s="1" t="inlineStr">
        <is>
          <t>Водитель автомобиля (категория Д)</t>
        </is>
      </c>
      <c r="H771" s="1" t="inlineStr">
        <is>
          <t>ООО "Амур Золото"</t>
        </is>
      </c>
      <c r="I771" s="1" t="inlineStr">
        <is>
          <t>2708001686</t>
        </is>
      </c>
      <c r="J771" s="1" t="inlineStr">
        <is>
          <t>ОТ № ЮГОК АТЦ 23-03</t>
        </is>
      </c>
      <c r="K771" s="1" t="inlineStr">
        <is>
          <t>Использование (применение) средств индивидуальной защиты</t>
        </is>
      </c>
      <c r="L771" s="1" t="inlineStr">
        <is>
          <t>03.12.2023</t>
        </is>
      </c>
      <c r="M771" s="1" t="inlineStr">
        <is>
          <t>Успешно</t>
        </is>
      </c>
      <c r="N771" s="1" t="inlineStr">
        <is>
          <t>26.02.2024</t>
        </is>
      </c>
      <c r="O771" s="1" t="inlineStr"/>
      <c r="P771" s="1" t="inlineStr"/>
      <c r="Q771" s="1" t="inlineStr">
        <is>
          <t>Пользовательский интерфейс</t>
        </is>
      </c>
    </row>
    <row r="772">
      <c r="B772" s="1" t="inlineStr">
        <is>
          <t>41372100</t>
        </is>
      </c>
      <c r="C772" s="1" t="inlineStr">
        <is>
          <t>3335316</t>
        </is>
      </c>
      <c r="D772" t="inlineStr">
        <is>
          <t>работник 216</t>
        </is>
      </c>
      <c r="E772" s="1" t="inlineStr">
        <is>
          <t>ОБЩЕСТВО С ОГРАНИЧЕННОЙ ОТВЕТСТВЕННОСТЬЮ "АМУР ЗОЛОТО"</t>
        </is>
      </c>
      <c r="F772" s="1" t="inlineStr">
        <is>
          <t>2708001686</t>
        </is>
      </c>
      <c r="G772" s="1" t="inlineStr">
        <is>
          <t>Водитель автомобиля (категория Д)</t>
        </is>
      </c>
      <c r="H772" s="1" t="inlineStr">
        <is>
          <t>ООО "Амур Золото"</t>
        </is>
      </c>
      <c r="I772" s="1" t="inlineStr">
        <is>
          <t>2708001686</t>
        </is>
      </c>
      <c r="J772" s="1" t="inlineStr">
        <is>
          <t>ОТ № ЮГОК АТЦ 23-03</t>
        </is>
      </c>
      <c r="K77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772" s="1" t="inlineStr">
        <is>
          <t>03.12.2023</t>
        </is>
      </c>
      <c r="M772" s="1" t="inlineStr">
        <is>
          <t>Успешно</t>
        </is>
      </c>
      <c r="N772" s="1" t="inlineStr">
        <is>
          <t>26.02.2024</t>
        </is>
      </c>
      <c r="O772" s="1" t="inlineStr"/>
      <c r="P772" s="1" t="inlineStr"/>
      <c r="Q772" s="1" t="inlineStr">
        <is>
          <t>Пользовательский интерфейс</t>
        </is>
      </c>
    </row>
    <row r="773">
      <c r="B773" s="1" t="inlineStr">
        <is>
          <t>41372101</t>
        </is>
      </c>
      <c r="C773" s="1" t="inlineStr">
        <is>
          <t>3335316</t>
        </is>
      </c>
      <c r="D773" t="inlineStr">
        <is>
          <t>работник 220</t>
        </is>
      </c>
      <c r="E773" s="1" t="inlineStr">
        <is>
          <t>ОБЩЕСТВО С ОГРАНИЧЕННОЙ ОТВЕТСТВЕННОСТЬЮ "АМУР ЗОЛОТО"</t>
        </is>
      </c>
      <c r="F773" s="1" t="inlineStr">
        <is>
          <t>2708001686</t>
        </is>
      </c>
      <c r="G773" s="1" t="inlineStr">
        <is>
          <t>Водитель автомобиля(занятый на траспортировании горной массы в технологическом процессе)</t>
        </is>
      </c>
      <c r="H773" s="1" t="inlineStr">
        <is>
          <t>ООО "Амур Золото"</t>
        </is>
      </c>
      <c r="I773" s="1" t="inlineStr">
        <is>
          <t>2708001686</t>
        </is>
      </c>
      <c r="J773" s="1" t="inlineStr">
        <is>
          <t>ОТ № ЮГОК АТЦ 23-03</t>
        </is>
      </c>
      <c r="K773" s="1" t="inlineStr">
        <is>
          <t>Оказание первой помощи пострадавшим</t>
        </is>
      </c>
      <c r="L773" s="1" t="inlineStr">
        <is>
          <t>03.12.2023</t>
        </is>
      </c>
      <c r="M773" s="1" t="inlineStr">
        <is>
          <t>Успешно</t>
        </is>
      </c>
      <c r="N773" s="1" t="inlineStr">
        <is>
          <t>26.02.2024</t>
        </is>
      </c>
      <c r="O773" s="1" t="inlineStr"/>
      <c r="P773" s="1" t="inlineStr"/>
      <c r="Q773" s="1" t="inlineStr">
        <is>
          <t>Пользовательский интерфейс</t>
        </is>
      </c>
    </row>
    <row r="774">
      <c r="B774" s="1" t="inlineStr">
        <is>
          <t>41372102</t>
        </is>
      </c>
      <c r="C774" s="1" t="inlineStr">
        <is>
          <t>3335316</t>
        </is>
      </c>
      <c r="D774" t="inlineStr">
        <is>
          <t>работник 220</t>
        </is>
      </c>
      <c r="E774" s="1" t="inlineStr">
        <is>
          <t>ОБЩЕСТВО С ОГРАНИЧЕННОЙ ОТВЕТСТВЕННОСТЬЮ "АМУР ЗОЛОТО"</t>
        </is>
      </c>
      <c r="F774" s="1" t="inlineStr">
        <is>
          <t>2708001686</t>
        </is>
      </c>
      <c r="G774" s="1" t="inlineStr">
        <is>
          <t>Водитель автомобиля(занятый на траспортировании горной массы в технологическом процессе)</t>
        </is>
      </c>
      <c r="H774" s="1" t="inlineStr">
        <is>
          <t>ООО "Амур Золото"</t>
        </is>
      </c>
      <c r="I774" s="1" t="inlineStr">
        <is>
          <t>2708001686</t>
        </is>
      </c>
      <c r="J774" s="1" t="inlineStr">
        <is>
          <t>ОТ № ЮГОК АТЦ 23-03</t>
        </is>
      </c>
      <c r="K774" s="1" t="inlineStr">
        <is>
          <t>Использование (применение) средств индивидуальной защиты</t>
        </is>
      </c>
      <c r="L774" s="1" t="inlineStr">
        <is>
          <t>03.12.2023</t>
        </is>
      </c>
      <c r="M774" s="1" t="inlineStr">
        <is>
          <t>Успешно</t>
        </is>
      </c>
      <c r="N774" s="1" t="inlineStr">
        <is>
          <t>26.02.2024</t>
        </is>
      </c>
      <c r="O774" s="1" t="inlineStr"/>
      <c r="P774" s="1" t="inlineStr"/>
      <c r="Q774" s="1" t="inlineStr">
        <is>
          <t>Пользовательский интерфейс</t>
        </is>
      </c>
    </row>
    <row r="775">
      <c r="B775" s="1" t="inlineStr">
        <is>
          <t>41372103</t>
        </is>
      </c>
      <c r="C775" s="1" t="inlineStr">
        <is>
          <t>3335316</t>
        </is>
      </c>
      <c r="D775" t="inlineStr">
        <is>
          <t>работник 220</t>
        </is>
      </c>
      <c r="E775" s="1" t="inlineStr">
        <is>
          <t>ОБЩЕСТВО С ОГРАНИЧЕННОЙ ОТВЕТСТВЕННОСТЬЮ "АМУР ЗОЛОТО"</t>
        </is>
      </c>
      <c r="F775" s="1" t="inlineStr">
        <is>
          <t>2708001686</t>
        </is>
      </c>
      <c r="G775" s="1" t="inlineStr">
        <is>
          <t>Водитель автомобиля(занятый на траспортировании горной массы в технологическом процессе)</t>
        </is>
      </c>
      <c r="H775" s="1" t="inlineStr">
        <is>
          <t>ООО "Амур Золото"</t>
        </is>
      </c>
      <c r="I775" s="1" t="inlineStr">
        <is>
          <t>2708001686</t>
        </is>
      </c>
      <c r="J775" s="1" t="inlineStr">
        <is>
          <t>ОТ № ЮГОК АТЦ 23-03</t>
        </is>
      </c>
      <c r="K77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775" s="1" t="inlineStr">
        <is>
          <t>03.12.2023</t>
        </is>
      </c>
      <c r="M775" s="1" t="inlineStr">
        <is>
          <t>Успешно</t>
        </is>
      </c>
      <c r="N775" s="1" t="inlineStr">
        <is>
          <t>26.02.2024</t>
        </is>
      </c>
      <c r="O775" s="1" t="inlineStr"/>
      <c r="P775" s="1" t="inlineStr"/>
      <c r="Q775" s="1" t="inlineStr">
        <is>
          <t>Пользовательский интерфейс</t>
        </is>
      </c>
    </row>
    <row r="776">
      <c r="B776" s="1" t="inlineStr">
        <is>
          <t>41372104</t>
        </is>
      </c>
      <c r="C776" s="1" t="inlineStr">
        <is>
          <t>3335316</t>
        </is>
      </c>
      <c r="D776" t="inlineStr">
        <is>
          <t>работник 221</t>
        </is>
      </c>
      <c r="E776" s="1" t="inlineStr">
        <is>
          <t>ОБЩЕСТВО С ОГРАНИЧЕННОЙ ОТВЕТСТВЕННОСТЬЮ "АМУР ЗОЛОТО"</t>
        </is>
      </c>
      <c r="F776" s="1" t="inlineStr">
        <is>
          <t>2708001686</t>
        </is>
      </c>
      <c r="G776" s="1" t="inlineStr">
        <is>
          <t>Водитель автомобиля(занятый на траспортировании горной массы в технологическом процессе)</t>
        </is>
      </c>
      <c r="H776" s="1" t="inlineStr">
        <is>
          <t>ООО "Амур Золото"</t>
        </is>
      </c>
      <c r="I776" s="1" t="inlineStr">
        <is>
          <t>2708001686</t>
        </is>
      </c>
      <c r="J776" s="1" t="inlineStr">
        <is>
          <t>ОТ № ЮГОК АТЦ 23-03</t>
        </is>
      </c>
      <c r="K776" s="1" t="inlineStr">
        <is>
          <t>Оказание первой помощи пострадавшим</t>
        </is>
      </c>
      <c r="L776" s="1" t="inlineStr">
        <is>
          <t>03.12.2023</t>
        </is>
      </c>
      <c r="M776" s="1" t="inlineStr">
        <is>
          <t>Успешно</t>
        </is>
      </c>
      <c r="N776" s="1" t="inlineStr">
        <is>
          <t>26.02.2024</t>
        </is>
      </c>
      <c r="O776" s="1" t="inlineStr"/>
      <c r="P776" s="1" t="inlineStr"/>
      <c r="Q776" s="1" t="inlineStr">
        <is>
          <t>Пользовательский интерфейс</t>
        </is>
      </c>
    </row>
    <row r="777">
      <c r="B777" s="1" t="inlineStr">
        <is>
          <t>41372105</t>
        </is>
      </c>
      <c r="C777" s="1" t="inlineStr">
        <is>
          <t>3335316</t>
        </is>
      </c>
      <c r="D777" t="inlineStr">
        <is>
          <t>работник 221</t>
        </is>
      </c>
      <c r="E777" s="1" t="inlineStr">
        <is>
          <t>ОБЩЕСТВО С ОГРАНИЧЕННОЙ ОТВЕТСТВЕННОСТЬЮ "АМУР ЗОЛОТО"</t>
        </is>
      </c>
      <c r="F777" s="1" t="inlineStr">
        <is>
          <t>2708001686</t>
        </is>
      </c>
      <c r="G777" s="1" t="inlineStr">
        <is>
          <t>Водитель автомобиля(занятый на траспортировании горной массы в технологическом процессе)</t>
        </is>
      </c>
      <c r="H777" s="1" t="inlineStr">
        <is>
          <t>ООО "Амур Золото"</t>
        </is>
      </c>
      <c r="I777" s="1" t="inlineStr">
        <is>
          <t>2708001686</t>
        </is>
      </c>
      <c r="J777" s="1" t="inlineStr">
        <is>
          <t>ОТ № ЮГОК АТЦ 23-03</t>
        </is>
      </c>
      <c r="K777" s="1" t="inlineStr">
        <is>
          <t>Использование (применение) средств индивидуальной защиты</t>
        </is>
      </c>
      <c r="L777" s="1" t="inlineStr">
        <is>
          <t>03.12.2023</t>
        </is>
      </c>
      <c r="M777" s="1" t="inlineStr">
        <is>
          <t>Успешно</t>
        </is>
      </c>
      <c r="N777" s="1" t="inlineStr">
        <is>
          <t>26.02.2024</t>
        </is>
      </c>
      <c r="O777" s="1" t="inlineStr"/>
      <c r="P777" s="1" t="inlineStr"/>
      <c r="Q777" s="1" t="inlineStr">
        <is>
          <t>Пользовательский интерфейс</t>
        </is>
      </c>
    </row>
    <row r="778">
      <c r="B778" s="1" t="inlineStr">
        <is>
          <t>41372106</t>
        </is>
      </c>
      <c r="C778" s="1" t="inlineStr">
        <is>
          <t>3335316</t>
        </is>
      </c>
      <c r="D778" t="inlineStr">
        <is>
          <t>работник 221</t>
        </is>
      </c>
      <c r="E778" s="1" t="inlineStr">
        <is>
          <t>ОБЩЕСТВО С ОГРАНИЧЕННОЙ ОТВЕТСТВЕННОСТЬЮ "АМУР ЗОЛОТО"</t>
        </is>
      </c>
      <c r="F778" s="1" t="inlineStr">
        <is>
          <t>2708001686</t>
        </is>
      </c>
      <c r="G778" s="1" t="inlineStr">
        <is>
          <t>Водитель автомобиля(занятый на траспортировании горной массы в технологическом процессе)</t>
        </is>
      </c>
      <c r="H778" s="1" t="inlineStr">
        <is>
          <t>ООО "Амур Золото"</t>
        </is>
      </c>
      <c r="I778" s="1" t="inlineStr">
        <is>
          <t>2708001686</t>
        </is>
      </c>
      <c r="J778" s="1" t="inlineStr">
        <is>
          <t>ОТ № ЮГОК АТЦ 23-03</t>
        </is>
      </c>
      <c r="K77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778" s="1" t="inlineStr">
        <is>
          <t>03.12.2023</t>
        </is>
      </c>
      <c r="M778" s="1" t="inlineStr">
        <is>
          <t>Успешно</t>
        </is>
      </c>
      <c r="N778" s="1" t="inlineStr">
        <is>
          <t>26.02.2024</t>
        </is>
      </c>
      <c r="O778" s="1" t="inlineStr"/>
      <c r="P778" s="1" t="inlineStr"/>
      <c r="Q778" s="1" t="inlineStr">
        <is>
          <t>Пользовательский интерфейс</t>
        </is>
      </c>
    </row>
    <row r="779">
      <c r="B779" s="1" t="inlineStr">
        <is>
          <t>41372107</t>
        </is>
      </c>
      <c r="C779" s="1" t="inlineStr">
        <is>
          <t>3335316</t>
        </is>
      </c>
      <c r="D779" t="inlineStr">
        <is>
          <t>работник 222</t>
        </is>
      </c>
      <c r="E779" s="1" t="inlineStr">
        <is>
          <t>ОБЩЕСТВО С ОГРАНИЧЕННОЙ ОТВЕТСТВЕННОСТЬЮ "АМУР ЗОЛОТО"</t>
        </is>
      </c>
      <c r="F779" s="1" t="inlineStr">
        <is>
          <t>2708001686</t>
        </is>
      </c>
      <c r="G779" s="1" t="inlineStr">
        <is>
          <t>Водитель автомобиля (категория Д)</t>
        </is>
      </c>
      <c r="H779" s="1" t="inlineStr">
        <is>
          <t>ООО "Амур Золото"</t>
        </is>
      </c>
      <c r="I779" s="1" t="inlineStr">
        <is>
          <t>2708001686</t>
        </is>
      </c>
      <c r="J779" s="1" t="inlineStr">
        <is>
          <t>ОТ № ЮГОК АТЦ 23-03</t>
        </is>
      </c>
      <c r="K779" s="1" t="inlineStr">
        <is>
          <t>Оказание первой помощи пострадавшим</t>
        </is>
      </c>
      <c r="L779" s="1" t="inlineStr">
        <is>
          <t>03.12.2023</t>
        </is>
      </c>
      <c r="M779" s="1" t="inlineStr">
        <is>
          <t>Успешно</t>
        </is>
      </c>
      <c r="N779" s="1" t="inlineStr">
        <is>
          <t>26.02.2024</t>
        </is>
      </c>
      <c r="O779" s="1" t="inlineStr"/>
      <c r="P779" s="1" t="inlineStr"/>
      <c r="Q779" s="1" t="inlineStr">
        <is>
          <t>Пользовательский интерфейс</t>
        </is>
      </c>
    </row>
    <row r="780">
      <c r="B780" s="1" t="inlineStr">
        <is>
          <t>41372108</t>
        </is>
      </c>
      <c r="C780" s="1" t="inlineStr">
        <is>
          <t>3335316</t>
        </is>
      </c>
      <c r="D780" t="inlineStr">
        <is>
          <t>работник 222</t>
        </is>
      </c>
      <c r="E780" s="1" t="inlineStr">
        <is>
          <t>ОБЩЕСТВО С ОГРАНИЧЕННОЙ ОТВЕТСТВЕННОСТЬЮ "АМУР ЗОЛОТО"</t>
        </is>
      </c>
      <c r="F780" s="1" t="inlineStr">
        <is>
          <t>2708001686</t>
        </is>
      </c>
      <c r="G780" s="1" t="inlineStr">
        <is>
          <t>Водитель автомобиля (категория Д)</t>
        </is>
      </c>
      <c r="H780" s="1" t="inlineStr">
        <is>
          <t>ООО "Амур Золото"</t>
        </is>
      </c>
      <c r="I780" s="1" t="inlineStr">
        <is>
          <t>2708001686</t>
        </is>
      </c>
      <c r="J780" s="1" t="inlineStr">
        <is>
          <t>ОТ № ЮГОК АТЦ 23-03</t>
        </is>
      </c>
      <c r="K780" s="1" t="inlineStr">
        <is>
          <t>Использование (применение) средств индивидуальной защиты</t>
        </is>
      </c>
      <c r="L780" s="1" t="inlineStr">
        <is>
          <t>03.12.2023</t>
        </is>
      </c>
      <c r="M780" s="1" t="inlineStr">
        <is>
          <t>Успешно</t>
        </is>
      </c>
      <c r="N780" s="1" t="inlineStr">
        <is>
          <t>26.02.2024</t>
        </is>
      </c>
      <c r="O780" s="1" t="inlineStr"/>
      <c r="P780" s="1" t="inlineStr"/>
      <c r="Q780" s="1" t="inlineStr">
        <is>
          <t>Пользовательский интерфейс</t>
        </is>
      </c>
    </row>
    <row r="781">
      <c r="B781" s="1" t="inlineStr">
        <is>
          <t>41372109</t>
        </is>
      </c>
      <c r="C781" s="1" t="inlineStr">
        <is>
          <t>3335316</t>
        </is>
      </c>
      <c r="D781" t="inlineStr">
        <is>
          <t>работник 222</t>
        </is>
      </c>
      <c r="E781" s="1" t="inlineStr">
        <is>
          <t>ОБЩЕСТВО С ОГРАНИЧЕННОЙ ОТВЕТСТВЕННОСТЬЮ "АМУР ЗОЛОТО"</t>
        </is>
      </c>
      <c r="F781" s="1" t="inlineStr">
        <is>
          <t>2708001686</t>
        </is>
      </c>
      <c r="G781" s="1" t="inlineStr">
        <is>
          <t>Водитель автомобиля (категория Д)</t>
        </is>
      </c>
      <c r="H781" s="1" t="inlineStr">
        <is>
          <t>ООО "Амур Золото"</t>
        </is>
      </c>
      <c r="I781" s="1" t="inlineStr">
        <is>
          <t>2708001686</t>
        </is>
      </c>
      <c r="J781" s="1" t="inlineStr">
        <is>
          <t>ОТ № ЮГОК АТЦ 23-03</t>
        </is>
      </c>
      <c r="K78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781" s="1" t="inlineStr">
        <is>
          <t>03.12.2023</t>
        </is>
      </c>
      <c r="M781" s="1" t="inlineStr">
        <is>
          <t>Успешно</t>
        </is>
      </c>
      <c r="N781" s="1" t="inlineStr">
        <is>
          <t>26.02.2024</t>
        </is>
      </c>
      <c r="O781" s="1" t="inlineStr"/>
      <c r="P781" s="1" t="inlineStr"/>
      <c r="Q781" s="1" t="inlineStr">
        <is>
          <t>Пользовательский интерфейс</t>
        </is>
      </c>
    </row>
    <row r="782">
      <c r="B782" s="1" t="inlineStr">
        <is>
          <t>41372110</t>
        </is>
      </c>
      <c r="C782" s="1" t="inlineStr">
        <is>
          <t>3335316</t>
        </is>
      </c>
      <c r="D782" t="inlineStr">
        <is>
          <t>работник 223</t>
        </is>
      </c>
      <c r="E782" s="1" t="inlineStr">
        <is>
          <t>ОБЩЕСТВО С ОГРАНИЧЕННОЙ ОТВЕТСТВЕННОСТЬЮ "АМУР ЗОЛОТО"</t>
        </is>
      </c>
      <c r="F782" s="1" t="inlineStr">
        <is>
          <t>2708001686</t>
        </is>
      </c>
      <c r="G782" s="1" t="inlineStr">
        <is>
          <t>Водитель автомобиля (категория Д)</t>
        </is>
      </c>
      <c r="H782" s="1" t="inlineStr">
        <is>
          <t>ООО "Амур Золото"</t>
        </is>
      </c>
      <c r="I782" s="1" t="inlineStr">
        <is>
          <t>2708001686</t>
        </is>
      </c>
      <c r="J782" s="1" t="inlineStr">
        <is>
          <t>ОТ № ЮГОК АТЦ 23-03</t>
        </is>
      </c>
      <c r="K782" s="1" t="inlineStr">
        <is>
          <t>Оказание первой помощи пострадавшим</t>
        </is>
      </c>
      <c r="L782" s="1" t="inlineStr">
        <is>
          <t>03.12.2023</t>
        </is>
      </c>
      <c r="M782" s="1" t="inlineStr">
        <is>
          <t>Успешно</t>
        </is>
      </c>
      <c r="N782" s="1" t="inlineStr">
        <is>
          <t>26.02.2024</t>
        </is>
      </c>
      <c r="O782" s="1" t="inlineStr"/>
      <c r="P782" s="1" t="inlineStr"/>
      <c r="Q782" s="1" t="inlineStr">
        <is>
          <t>Пользовательский интерфейс</t>
        </is>
      </c>
    </row>
    <row r="783">
      <c r="B783" s="1" t="inlineStr">
        <is>
          <t>41372111</t>
        </is>
      </c>
      <c r="C783" s="1" t="inlineStr">
        <is>
          <t>3335316</t>
        </is>
      </c>
      <c r="D783" t="inlineStr">
        <is>
          <t>работник 223</t>
        </is>
      </c>
      <c r="E783" s="1" t="inlineStr">
        <is>
          <t>ОБЩЕСТВО С ОГРАНИЧЕННОЙ ОТВЕТСТВЕННОСТЬЮ "АМУР ЗОЛОТО"</t>
        </is>
      </c>
      <c r="F783" s="1" t="inlineStr">
        <is>
          <t>2708001686</t>
        </is>
      </c>
      <c r="G783" s="1" t="inlineStr">
        <is>
          <t>Водитель автомобиля (категория Д)</t>
        </is>
      </c>
      <c r="H783" s="1" t="inlineStr">
        <is>
          <t>ООО "Амур Золото"</t>
        </is>
      </c>
      <c r="I783" s="1" t="inlineStr">
        <is>
          <t>2708001686</t>
        </is>
      </c>
      <c r="J783" s="1" t="inlineStr">
        <is>
          <t>ОТ № ЮГОК АТЦ 23-03</t>
        </is>
      </c>
      <c r="K783" s="1" t="inlineStr">
        <is>
          <t>Использование (применение) средств индивидуальной защиты</t>
        </is>
      </c>
      <c r="L783" s="1" t="inlineStr">
        <is>
          <t>03.12.2023</t>
        </is>
      </c>
      <c r="M783" s="1" t="inlineStr">
        <is>
          <t>Успешно</t>
        </is>
      </c>
      <c r="N783" s="1" t="inlineStr">
        <is>
          <t>26.02.2024</t>
        </is>
      </c>
      <c r="O783" s="1" t="inlineStr"/>
      <c r="P783" s="1" t="inlineStr"/>
      <c r="Q783" s="1" t="inlineStr">
        <is>
          <t>Пользовательский интерфейс</t>
        </is>
      </c>
    </row>
    <row r="784">
      <c r="B784" s="1" t="inlineStr">
        <is>
          <t>41372112</t>
        </is>
      </c>
      <c r="C784" s="1" t="inlineStr">
        <is>
          <t>3335316</t>
        </is>
      </c>
      <c r="D784" t="inlineStr">
        <is>
          <t>работник 223</t>
        </is>
      </c>
      <c r="E784" s="1" t="inlineStr">
        <is>
          <t>ОБЩЕСТВО С ОГРАНИЧЕННОЙ ОТВЕТСТВЕННОСТЬЮ "АМУР ЗОЛОТО"</t>
        </is>
      </c>
      <c r="F784" s="1" t="inlineStr">
        <is>
          <t>2708001686</t>
        </is>
      </c>
      <c r="G784" s="1" t="inlineStr">
        <is>
          <t>Водитель автомобиля (категория Д)</t>
        </is>
      </c>
      <c r="H784" s="1" t="inlineStr">
        <is>
          <t>ООО "Амур Золото"</t>
        </is>
      </c>
      <c r="I784" s="1" t="inlineStr">
        <is>
          <t>2708001686</t>
        </is>
      </c>
      <c r="J784" s="1" t="inlineStr">
        <is>
          <t>ОТ № ЮГОК АТЦ 23-03</t>
        </is>
      </c>
      <c r="K78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784" s="1" t="inlineStr">
        <is>
          <t>03.12.2023</t>
        </is>
      </c>
      <c r="M784" s="1" t="inlineStr">
        <is>
          <t>Успешно</t>
        </is>
      </c>
      <c r="N784" s="1" t="inlineStr">
        <is>
          <t>26.02.2024</t>
        </is>
      </c>
      <c r="O784" s="1" t="inlineStr"/>
      <c r="P784" s="1" t="inlineStr"/>
      <c r="Q784" s="1" t="inlineStr">
        <is>
          <t>Пользовательский интерфейс</t>
        </is>
      </c>
    </row>
    <row r="785">
      <c r="B785" s="1" t="inlineStr">
        <is>
          <t>41372113</t>
        </is>
      </c>
      <c r="C785" s="1" t="inlineStr">
        <is>
          <t>3335316</t>
        </is>
      </c>
      <c r="D785" t="inlineStr">
        <is>
          <t>работник 224</t>
        </is>
      </c>
      <c r="E785" s="1" t="inlineStr">
        <is>
          <t>ОБЩЕСТВО С ОГРАНИЧЕННОЙ ОТВЕТСТВЕННОСТЬЮ "АМУР ЗОЛОТО"</t>
        </is>
      </c>
      <c r="F785" s="1" t="inlineStr">
        <is>
          <t>2708001686</t>
        </is>
      </c>
      <c r="G785" s="1" t="inlineStr">
        <is>
          <t>Электрогазосварщик(занятый на резке и ручной сварке)</t>
        </is>
      </c>
      <c r="H785" s="1" t="inlineStr">
        <is>
          <t>ООО "Амур Золото"</t>
        </is>
      </c>
      <c r="I785" s="1" t="inlineStr">
        <is>
          <t>2708001686</t>
        </is>
      </c>
      <c r="J785" s="1" t="inlineStr">
        <is>
          <t>ОТ № ЮГОК АТЦ 23-03</t>
        </is>
      </c>
      <c r="K785" s="1" t="inlineStr">
        <is>
          <t>Оказание первой помощи пострадавшим</t>
        </is>
      </c>
      <c r="L785" s="1" t="inlineStr">
        <is>
          <t>03.12.2023</t>
        </is>
      </c>
      <c r="M785" s="1" t="inlineStr">
        <is>
          <t>Успешно</t>
        </is>
      </c>
      <c r="N785" s="1" t="inlineStr">
        <is>
          <t>26.02.2024</t>
        </is>
      </c>
      <c r="O785" s="1" t="inlineStr"/>
      <c r="P785" s="1" t="inlineStr"/>
      <c r="Q785" s="1" t="inlineStr">
        <is>
          <t>Пользовательский интерфейс</t>
        </is>
      </c>
    </row>
    <row r="786">
      <c r="B786" s="1" t="inlineStr">
        <is>
          <t>41372114</t>
        </is>
      </c>
      <c r="C786" s="1" t="inlineStr">
        <is>
          <t>3335316</t>
        </is>
      </c>
      <c r="D786" t="inlineStr">
        <is>
          <t>работник 224</t>
        </is>
      </c>
      <c r="E786" s="1" t="inlineStr">
        <is>
          <t>ОБЩЕСТВО С ОГРАНИЧЕННОЙ ОТВЕТСТВЕННОСТЬЮ "АМУР ЗОЛОТО"</t>
        </is>
      </c>
      <c r="F786" s="1" t="inlineStr">
        <is>
          <t>2708001686</t>
        </is>
      </c>
      <c r="G786" s="1" t="inlineStr">
        <is>
          <t>Электрогазосварщик(занятый на резке и ручной сварке)</t>
        </is>
      </c>
      <c r="H786" s="1" t="inlineStr">
        <is>
          <t>ООО "Амур Золото"</t>
        </is>
      </c>
      <c r="I786" s="1" t="inlineStr">
        <is>
          <t>2708001686</t>
        </is>
      </c>
      <c r="J786" s="1" t="inlineStr">
        <is>
          <t>ОТ № ЮГОК АТЦ 23-03</t>
        </is>
      </c>
      <c r="K786" s="1" t="inlineStr">
        <is>
          <t>Использование (применение) средств индивидуальной защиты</t>
        </is>
      </c>
      <c r="L786" s="1" t="inlineStr">
        <is>
          <t>03.12.2023</t>
        </is>
      </c>
      <c r="M786" s="1" t="inlineStr">
        <is>
          <t>Успешно</t>
        </is>
      </c>
      <c r="N786" s="1" t="inlineStr">
        <is>
          <t>26.02.2024</t>
        </is>
      </c>
      <c r="O786" s="1" t="inlineStr"/>
      <c r="P786" s="1" t="inlineStr"/>
      <c r="Q786" s="1" t="inlineStr">
        <is>
          <t>Пользовательский интерфейс</t>
        </is>
      </c>
    </row>
    <row r="787">
      <c r="B787" s="1" t="inlineStr">
        <is>
          <t>41372115</t>
        </is>
      </c>
      <c r="C787" s="1" t="inlineStr">
        <is>
          <t>3335316</t>
        </is>
      </c>
      <c r="D787" t="inlineStr">
        <is>
          <t>работник 224</t>
        </is>
      </c>
      <c r="E787" s="1" t="inlineStr">
        <is>
          <t>ОБЩЕСТВО С ОГРАНИЧЕННОЙ ОТВЕТСТВЕННОСТЬЮ "АМУР ЗОЛОТО"</t>
        </is>
      </c>
      <c r="F787" s="1" t="inlineStr">
        <is>
          <t>2708001686</t>
        </is>
      </c>
      <c r="G787" s="1" t="inlineStr">
        <is>
          <t>Электрогазосварщик(занятый на резке и ручной сварке)</t>
        </is>
      </c>
      <c r="H787" s="1" t="inlineStr">
        <is>
          <t>ООО "Амур Золото"</t>
        </is>
      </c>
      <c r="I787" s="1" t="inlineStr">
        <is>
          <t>2708001686</t>
        </is>
      </c>
      <c r="J787" s="1" t="inlineStr">
        <is>
          <t>ОТ № ЮГОК АТЦ 23-03</t>
        </is>
      </c>
      <c r="K78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787" s="1" t="inlineStr">
        <is>
          <t>03.12.2023</t>
        </is>
      </c>
      <c r="M787" s="1" t="inlineStr">
        <is>
          <t>Успешно</t>
        </is>
      </c>
      <c r="N787" s="1" t="inlineStr">
        <is>
          <t>26.02.2024</t>
        </is>
      </c>
      <c r="O787" s="1" t="inlineStr"/>
      <c r="P787" s="1" t="inlineStr"/>
      <c r="Q787" s="1" t="inlineStr">
        <is>
          <t>Пользовательский интерфейс</t>
        </is>
      </c>
    </row>
    <row r="788">
      <c r="B788" s="1" t="inlineStr">
        <is>
          <t>41372116</t>
        </is>
      </c>
      <c r="C788" s="1" t="inlineStr">
        <is>
          <t>3335316</t>
        </is>
      </c>
      <c r="D788" t="inlineStr">
        <is>
          <t>работник 225</t>
        </is>
      </c>
      <c r="E788" s="1" t="inlineStr">
        <is>
          <t>ОБЩЕСТВО С ОГРАНИЧЕННОЙ ОТВЕТСТВЕННОСТЬЮ "АМУР ЗОЛОТО"</t>
        </is>
      </c>
      <c r="F788" s="1" t="inlineStr">
        <is>
          <t>2708001686</t>
        </is>
      </c>
      <c r="G788" s="1" t="inlineStr">
        <is>
          <t>Машинист бульдозера</t>
        </is>
      </c>
      <c r="H788" s="1" t="inlineStr">
        <is>
          <t>ООО "Амур Золото"</t>
        </is>
      </c>
      <c r="I788" s="1" t="inlineStr">
        <is>
          <t>2708001686</t>
        </is>
      </c>
      <c r="J788" s="1" t="inlineStr">
        <is>
          <t>ОТ № ЮГОК АТЦ 23-03</t>
        </is>
      </c>
      <c r="K788" s="1" t="inlineStr">
        <is>
          <t>Оказание первой помощи пострадавшим</t>
        </is>
      </c>
      <c r="L788" s="1" t="inlineStr">
        <is>
          <t>03.12.2023</t>
        </is>
      </c>
      <c r="M788" s="1" t="inlineStr">
        <is>
          <t>Успешно</t>
        </is>
      </c>
      <c r="N788" s="1" t="inlineStr">
        <is>
          <t>26.02.2024</t>
        </is>
      </c>
      <c r="O788" s="1" t="inlineStr"/>
      <c r="P788" s="1" t="inlineStr"/>
      <c r="Q788" s="1" t="inlineStr">
        <is>
          <t>Пользовательский интерфейс</t>
        </is>
      </c>
    </row>
    <row r="789">
      <c r="B789" s="1" t="inlineStr">
        <is>
          <t>41372117</t>
        </is>
      </c>
      <c r="C789" s="1" t="inlineStr">
        <is>
          <t>3335316</t>
        </is>
      </c>
      <c r="D789" t="inlineStr">
        <is>
          <t>работник 225</t>
        </is>
      </c>
      <c r="E789" s="1" t="inlineStr">
        <is>
          <t>ОБЩЕСТВО С ОГРАНИЧЕННОЙ ОТВЕТСТВЕННОСТЬЮ "АМУР ЗОЛОТО"</t>
        </is>
      </c>
      <c r="F789" s="1" t="inlineStr">
        <is>
          <t>2708001686</t>
        </is>
      </c>
      <c r="G789" s="1" t="inlineStr">
        <is>
          <t>Машинист бульдозера</t>
        </is>
      </c>
      <c r="H789" s="1" t="inlineStr">
        <is>
          <t>ООО "Амур Золото"</t>
        </is>
      </c>
      <c r="I789" s="1" t="inlineStr">
        <is>
          <t>2708001686</t>
        </is>
      </c>
      <c r="J789" s="1" t="inlineStr">
        <is>
          <t>ОТ № ЮГОК АТЦ 23-03</t>
        </is>
      </c>
      <c r="K789" s="1" t="inlineStr">
        <is>
          <t>Использование (применение) средств индивидуальной защиты</t>
        </is>
      </c>
      <c r="L789" s="1" t="inlineStr">
        <is>
          <t>03.12.2023</t>
        </is>
      </c>
      <c r="M789" s="1" t="inlineStr">
        <is>
          <t>Успешно</t>
        </is>
      </c>
      <c r="N789" s="1" t="inlineStr">
        <is>
          <t>26.02.2024</t>
        </is>
      </c>
      <c r="O789" s="1" t="inlineStr"/>
      <c r="P789" s="1" t="inlineStr"/>
      <c r="Q789" s="1" t="inlineStr">
        <is>
          <t>Пользовательский интерфейс</t>
        </is>
      </c>
    </row>
    <row r="790">
      <c r="B790" s="1" t="inlineStr">
        <is>
          <t>41372118</t>
        </is>
      </c>
      <c r="C790" s="1" t="inlineStr">
        <is>
          <t>3335316</t>
        </is>
      </c>
      <c r="D790" t="inlineStr">
        <is>
          <t>работник 225</t>
        </is>
      </c>
      <c r="E790" s="1" t="inlineStr">
        <is>
          <t>ОБЩЕСТВО С ОГРАНИЧЕННОЙ ОТВЕТСТВЕННОСТЬЮ "АМУР ЗОЛОТО"</t>
        </is>
      </c>
      <c r="F790" s="1" t="inlineStr">
        <is>
          <t>2708001686</t>
        </is>
      </c>
      <c r="G790" s="1" t="inlineStr">
        <is>
          <t>Машинист бульдозера</t>
        </is>
      </c>
      <c r="H790" s="1" t="inlineStr">
        <is>
          <t>ООО "Амур Золото"</t>
        </is>
      </c>
      <c r="I790" s="1" t="inlineStr">
        <is>
          <t>2708001686</t>
        </is>
      </c>
      <c r="J790" s="1" t="inlineStr">
        <is>
          <t>ОТ № ЮГОК АТЦ 23-03</t>
        </is>
      </c>
      <c r="K79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790" s="1" t="inlineStr">
        <is>
          <t>03.12.2023</t>
        </is>
      </c>
      <c r="M790" s="1" t="inlineStr">
        <is>
          <t>Успешно</t>
        </is>
      </c>
      <c r="N790" s="1" t="inlineStr">
        <is>
          <t>26.02.2024</t>
        </is>
      </c>
      <c r="O790" s="1" t="inlineStr"/>
      <c r="P790" s="1" t="inlineStr"/>
      <c r="Q790" s="1" t="inlineStr">
        <is>
          <t>Пользовательский интерфейс</t>
        </is>
      </c>
    </row>
    <row r="791">
      <c r="B791" s="1" t="inlineStr">
        <is>
          <t>41372119</t>
        </is>
      </c>
      <c r="C791" s="1" t="inlineStr">
        <is>
          <t>3335316</t>
        </is>
      </c>
      <c r="D791" t="inlineStr">
        <is>
          <t>работник 226</t>
        </is>
      </c>
      <c r="E791" s="1" t="inlineStr">
        <is>
          <t>ОБЩЕСТВО С ОГРАНИЧЕННОЙ ОТВЕТСТВЕННОСТЬЮ "АМУР ЗОЛОТО"</t>
        </is>
      </c>
      <c r="F791" s="1" t="inlineStr">
        <is>
          <t>2708001686</t>
        </is>
      </c>
      <c r="G791" s="1" t="inlineStr">
        <is>
          <t>Кладовщик</t>
        </is>
      </c>
      <c r="H791" s="1" t="inlineStr">
        <is>
          <t>ООО "Амур Золото"</t>
        </is>
      </c>
      <c r="I791" s="1" t="inlineStr">
        <is>
          <t>2708001686</t>
        </is>
      </c>
      <c r="J791" s="1" t="inlineStr">
        <is>
          <t>ОТ № ЮГОК СК 24-02</t>
        </is>
      </c>
      <c r="K791" s="1" t="inlineStr">
        <is>
          <t>Оказание первой помощи пострадавшим</t>
        </is>
      </c>
      <c r="L791" s="1" t="inlineStr">
        <is>
          <t>23.02.2024</t>
        </is>
      </c>
      <c r="M791" s="1" t="inlineStr">
        <is>
          <t>Успешно</t>
        </is>
      </c>
      <c r="N791" s="1" t="inlineStr">
        <is>
          <t>26.02.2024</t>
        </is>
      </c>
      <c r="O791" s="1" t="inlineStr"/>
      <c r="P791" s="1" t="inlineStr"/>
      <c r="Q791" s="1" t="inlineStr">
        <is>
          <t>Пользовательский интерфейс</t>
        </is>
      </c>
    </row>
    <row r="792">
      <c r="B792" s="1" t="inlineStr">
        <is>
          <t>41372120</t>
        </is>
      </c>
      <c r="C792" s="1" t="inlineStr">
        <is>
          <t>3335316</t>
        </is>
      </c>
      <c r="D792" t="inlineStr">
        <is>
          <t>работник 226</t>
        </is>
      </c>
      <c r="E792" s="1" t="inlineStr">
        <is>
          <t>ОБЩЕСТВО С ОГРАНИЧЕННОЙ ОТВЕТСТВЕННОСТЬЮ "АМУР ЗОЛОТО"</t>
        </is>
      </c>
      <c r="F792" s="1" t="inlineStr">
        <is>
          <t>2708001686</t>
        </is>
      </c>
      <c r="G792" s="1" t="inlineStr">
        <is>
          <t>Кладовщик</t>
        </is>
      </c>
      <c r="H792" s="1" t="inlineStr">
        <is>
          <t>ООО "Амур Золото"</t>
        </is>
      </c>
      <c r="I792" s="1" t="inlineStr">
        <is>
          <t>2708001686</t>
        </is>
      </c>
      <c r="J792" s="1" t="inlineStr">
        <is>
          <t>ОТ № ЮГОК СК 24-02</t>
        </is>
      </c>
      <c r="K792" s="1" t="inlineStr">
        <is>
          <t>Использование (применение) средств индивидуальной защиты</t>
        </is>
      </c>
      <c r="L792" s="1" t="inlineStr">
        <is>
          <t>23.02.2024</t>
        </is>
      </c>
      <c r="M792" s="1" t="inlineStr">
        <is>
          <t>Успешно</t>
        </is>
      </c>
      <c r="N792" s="1" t="inlineStr">
        <is>
          <t>26.02.2024</t>
        </is>
      </c>
      <c r="O792" s="1" t="inlineStr"/>
      <c r="P792" s="1" t="inlineStr"/>
      <c r="Q792" s="1" t="inlineStr">
        <is>
          <t>Пользовательский интерфейс</t>
        </is>
      </c>
    </row>
    <row r="793">
      <c r="B793" s="1" t="inlineStr">
        <is>
          <t>41372121</t>
        </is>
      </c>
      <c r="C793" s="1" t="inlineStr">
        <is>
          <t>3335316</t>
        </is>
      </c>
      <c r="D793" t="inlineStr">
        <is>
          <t>работник 226</t>
        </is>
      </c>
      <c r="E793" s="1" t="inlineStr">
        <is>
          <t>ОБЩЕСТВО С ОГРАНИЧЕННОЙ ОТВЕТСТВЕННОСТЬЮ "АМУР ЗОЛОТО"</t>
        </is>
      </c>
      <c r="F793" s="1" t="inlineStr">
        <is>
          <t>2708001686</t>
        </is>
      </c>
      <c r="G793" s="1" t="inlineStr">
        <is>
          <t>Кладовщик</t>
        </is>
      </c>
      <c r="H793" s="1" t="inlineStr">
        <is>
          <t>ООО "Амур Золото"</t>
        </is>
      </c>
      <c r="I793" s="1" t="inlineStr">
        <is>
          <t>2708001686</t>
        </is>
      </c>
      <c r="J793" s="1" t="inlineStr">
        <is>
          <t>ОТ № ЮГОК СК 24-02</t>
        </is>
      </c>
      <c r="K79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793" s="1" t="inlineStr">
        <is>
          <t>23.02.2024</t>
        </is>
      </c>
      <c r="M793" s="1" t="inlineStr">
        <is>
          <t>Успешно</t>
        </is>
      </c>
      <c r="N793" s="1" t="inlineStr">
        <is>
          <t>26.02.2024</t>
        </is>
      </c>
      <c r="O793" s="1" t="inlineStr"/>
      <c r="P793" s="1" t="inlineStr"/>
      <c r="Q793" s="1" t="inlineStr">
        <is>
          <t>Пользовательский интерфейс</t>
        </is>
      </c>
    </row>
    <row r="794">
      <c r="B794" s="1" t="inlineStr">
        <is>
          <t>41372122</t>
        </is>
      </c>
      <c r="C794" s="1" t="inlineStr">
        <is>
          <t>3335316</t>
        </is>
      </c>
      <c r="D794" t="inlineStr">
        <is>
          <t>работник 227</t>
        </is>
      </c>
      <c r="E794" s="1" t="inlineStr">
        <is>
          <t>ОБЩЕСТВО С ОГРАНИЧЕННОЙ ОТВЕТСТВЕННОСТЬЮ "АМУР ЗОЛОТО"</t>
        </is>
      </c>
      <c r="F794" s="1" t="inlineStr">
        <is>
          <t>2708001686</t>
        </is>
      </c>
      <c r="G794" s="1" t="inlineStr">
        <is>
          <t>Кладовщик</t>
        </is>
      </c>
      <c r="H794" s="1" t="inlineStr">
        <is>
          <t>ООО "Амур Золото"</t>
        </is>
      </c>
      <c r="I794" s="1" t="inlineStr">
        <is>
          <t>2708001686</t>
        </is>
      </c>
      <c r="J794" s="1" t="inlineStr">
        <is>
          <t>ОТ № ЮГОК СК 24-02</t>
        </is>
      </c>
      <c r="K794" s="1" t="inlineStr">
        <is>
          <t>Оказание первой помощи пострадавшим</t>
        </is>
      </c>
      <c r="L794" s="1" t="inlineStr">
        <is>
          <t>23.02.2024</t>
        </is>
      </c>
      <c r="M794" s="1" t="inlineStr">
        <is>
          <t>Успешно</t>
        </is>
      </c>
      <c r="N794" s="1" t="inlineStr">
        <is>
          <t>26.02.2024</t>
        </is>
      </c>
      <c r="O794" s="1" t="inlineStr"/>
      <c r="P794" s="1" t="inlineStr"/>
      <c r="Q794" s="1" t="inlineStr">
        <is>
          <t>Пользовательский интерфейс</t>
        </is>
      </c>
    </row>
    <row r="795">
      <c r="B795" s="1" t="inlineStr">
        <is>
          <t>41372123</t>
        </is>
      </c>
      <c r="C795" s="1" t="inlineStr">
        <is>
          <t>3335316</t>
        </is>
      </c>
      <c r="D795" t="inlineStr">
        <is>
          <t>работник 227</t>
        </is>
      </c>
      <c r="E795" s="1" t="inlineStr">
        <is>
          <t>ОБЩЕСТВО С ОГРАНИЧЕННОЙ ОТВЕТСТВЕННОСТЬЮ "АМУР ЗОЛОТО"</t>
        </is>
      </c>
      <c r="F795" s="1" t="inlineStr">
        <is>
          <t>2708001686</t>
        </is>
      </c>
      <c r="G795" s="1" t="inlineStr">
        <is>
          <t>Кладовщик</t>
        </is>
      </c>
      <c r="H795" s="1" t="inlineStr">
        <is>
          <t>ООО "Амур Золото"</t>
        </is>
      </c>
      <c r="I795" s="1" t="inlineStr">
        <is>
          <t>2708001686</t>
        </is>
      </c>
      <c r="J795" s="1" t="inlineStr">
        <is>
          <t>ОТ № ЮГОК СК 24-02</t>
        </is>
      </c>
      <c r="K795" s="1" t="inlineStr">
        <is>
          <t>Использование (применение) средств индивидуальной защиты</t>
        </is>
      </c>
      <c r="L795" s="1" t="inlineStr">
        <is>
          <t>23.02.2024</t>
        </is>
      </c>
      <c r="M795" s="1" t="inlineStr">
        <is>
          <t>Успешно</t>
        </is>
      </c>
      <c r="N795" s="1" t="inlineStr">
        <is>
          <t>26.02.2024</t>
        </is>
      </c>
      <c r="O795" s="1" t="inlineStr"/>
      <c r="P795" s="1" t="inlineStr"/>
      <c r="Q795" s="1" t="inlineStr">
        <is>
          <t>Пользовательский интерфейс</t>
        </is>
      </c>
    </row>
    <row r="796">
      <c r="B796" s="1" t="inlineStr">
        <is>
          <t>41372124</t>
        </is>
      </c>
      <c r="C796" s="1" t="inlineStr">
        <is>
          <t>3335316</t>
        </is>
      </c>
      <c r="D796" t="inlineStr">
        <is>
          <t>работник 228</t>
        </is>
      </c>
      <c r="E796" s="1" t="inlineStr">
        <is>
          <t>ОБЩЕСТВО С ОГРАНИЧЕННОЙ ОТВЕТСТВЕННОСТЬЮ "АМУР ЗОЛОТО"</t>
        </is>
      </c>
      <c r="F796" s="1" t="inlineStr">
        <is>
          <t>2708001686</t>
        </is>
      </c>
      <c r="G796" s="1" t="inlineStr">
        <is>
          <t>Стропальщик (с исполнением обязанностей грузчика)</t>
        </is>
      </c>
      <c r="H796" s="1" t="inlineStr">
        <is>
          <t>ООО "Амур Золото"</t>
        </is>
      </c>
      <c r="I796" s="1" t="inlineStr">
        <is>
          <t>2708001686</t>
        </is>
      </c>
      <c r="J796" s="1" t="inlineStr">
        <is>
          <t>ОТ № ЮГОК СК 24-02</t>
        </is>
      </c>
      <c r="K796" s="1" t="inlineStr">
        <is>
          <t>Оказание первой помощи пострадавшим</t>
        </is>
      </c>
      <c r="L796" s="1" t="inlineStr">
        <is>
          <t>23.02.2024</t>
        </is>
      </c>
      <c r="M796" s="1" t="inlineStr">
        <is>
          <t>Успешно</t>
        </is>
      </c>
      <c r="N796" s="1" t="inlineStr">
        <is>
          <t>26.02.2024</t>
        </is>
      </c>
      <c r="O796" s="1" t="inlineStr"/>
      <c r="P796" s="1" t="inlineStr"/>
      <c r="Q796" s="1" t="inlineStr">
        <is>
          <t>Пользовательский интерфейс</t>
        </is>
      </c>
    </row>
    <row r="797">
      <c r="B797" s="1" t="inlineStr">
        <is>
          <t>41372125</t>
        </is>
      </c>
      <c r="C797" s="1" t="inlineStr">
        <is>
          <t>3335316</t>
        </is>
      </c>
      <c r="D797" t="inlineStr">
        <is>
          <t>работник 227</t>
        </is>
      </c>
      <c r="E797" s="1" t="inlineStr">
        <is>
          <t>ОБЩЕСТВО С ОГРАНИЧЕННОЙ ОТВЕТСТВЕННОСТЬЮ "АМУР ЗОЛОТО"</t>
        </is>
      </c>
      <c r="F797" s="1" t="inlineStr">
        <is>
          <t>2708001686</t>
        </is>
      </c>
      <c r="G797" s="1" t="inlineStr">
        <is>
          <t>Кладовщик</t>
        </is>
      </c>
      <c r="H797" s="1" t="inlineStr">
        <is>
          <t>ООО "Амур Золото"</t>
        </is>
      </c>
      <c r="I797" s="1" t="inlineStr">
        <is>
          <t>2708001686</t>
        </is>
      </c>
      <c r="J797" s="1" t="inlineStr">
        <is>
          <t>ОТ № ЮГОК СК 24-02</t>
        </is>
      </c>
      <c r="K79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797" s="1" t="inlineStr">
        <is>
          <t>23.02.2024</t>
        </is>
      </c>
      <c r="M797" s="1" t="inlineStr">
        <is>
          <t>Успешно</t>
        </is>
      </c>
      <c r="N797" s="1" t="inlineStr">
        <is>
          <t>26.02.2024</t>
        </is>
      </c>
      <c r="O797" s="1" t="inlineStr"/>
      <c r="P797" s="1" t="inlineStr"/>
      <c r="Q797" s="1" t="inlineStr">
        <is>
          <t>Пользовательский интерфейс</t>
        </is>
      </c>
    </row>
    <row r="798">
      <c r="B798" s="1" t="inlineStr">
        <is>
          <t>41372126</t>
        </is>
      </c>
      <c r="C798" s="1" t="inlineStr">
        <is>
          <t>3335316</t>
        </is>
      </c>
      <c r="D798" t="inlineStr">
        <is>
          <t>работник 229</t>
        </is>
      </c>
      <c r="E798" s="1" t="inlineStr">
        <is>
          <t>ОБЩЕСТВО С ОГРАНИЧЕННОЙ ОТВЕТСТВЕННОСТЬЮ "АМУР ЗОЛОТО"</t>
        </is>
      </c>
      <c r="F798" s="1" t="inlineStr">
        <is>
          <t>2708001686</t>
        </is>
      </c>
      <c r="G798" s="1" t="inlineStr">
        <is>
          <t>Кладовщик</t>
        </is>
      </c>
      <c r="H798" s="1" t="inlineStr">
        <is>
          <t>ООО "Амур Золото"</t>
        </is>
      </c>
      <c r="I798" s="1" t="inlineStr">
        <is>
          <t>2708001686</t>
        </is>
      </c>
      <c r="J798" s="1" t="inlineStr">
        <is>
          <t>ОТ № ЮГОК СК 24-02</t>
        </is>
      </c>
      <c r="K798" s="1" t="inlineStr">
        <is>
          <t>Оказание первой помощи пострадавшим</t>
        </is>
      </c>
      <c r="L798" s="1" t="inlineStr">
        <is>
          <t>23.02.2024</t>
        </is>
      </c>
      <c r="M798" s="1" t="inlineStr">
        <is>
          <t>Успешно</t>
        </is>
      </c>
      <c r="N798" s="1" t="inlineStr">
        <is>
          <t>26.02.2024</t>
        </is>
      </c>
      <c r="O798" s="1" t="inlineStr"/>
      <c r="P798" s="1" t="inlineStr"/>
      <c r="Q798" s="1" t="inlineStr">
        <is>
          <t>Пользовательский интерфейс</t>
        </is>
      </c>
    </row>
    <row r="799">
      <c r="B799" s="1" t="inlineStr">
        <is>
          <t>41372127</t>
        </is>
      </c>
      <c r="C799" s="1" t="inlineStr">
        <is>
          <t>3335316</t>
        </is>
      </c>
      <c r="D799" t="inlineStr">
        <is>
          <t>работник 229</t>
        </is>
      </c>
      <c r="E799" s="1" t="inlineStr">
        <is>
          <t>ОБЩЕСТВО С ОГРАНИЧЕННОЙ ОТВЕТСТВЕННОСТЬЮ "АМУР ЗОЛОТО"</t>
        </is>
      </c>
      <c r="F799" s="1" t="inlineStr">
        <is>
          <t>2708001686</t>
        </is>
      </c>
      <c r="G799" s="1" t="inlineStr">
        <is>
          <t>Кладовщик</t>
        </is>
      </c>
      <c r="H799" s="1" t="inlineStr">
        <is>
          <t>ООО "Амур Золото"</t>
        </is>
      </c>
      <c r="I799" s="1" t="inlineStr">
        <is>
          <t>2708001686</t>
        </is>
      </c>
      <c r="J799" s="1" t="inlineStr">
        <is>
          <t>ОТ № ЮГОК СК 24-02</t>
        </is>
      </c>
      <c r="K799" s="1" t="inlineStr">
        <is>
          <t>Использование (применение) средств индивидуальной защиты</t>
        </is>
      </c>
      <c r="L799" s="1" t="inlineStr">
        <is>
          <t>23.02.2024</t>
        </is>
      </c>
      <c r="M799" s="1" t="inlineStr">
        <is>
          <t>Успешно</t>
        </is>
      </c>
      <c r="N799" s="1" t="inlineStr">
        <is>
          <t>26.02.2024</t>
        </is>
      </c>
      <c r="O799" s="1" t="inlineStr"/>
      <c r="P799" s="1" t="inlineStr"/>
      <c r="Q799" s="1" t="inlineStr">
        <is>
          <t>Пользовательский интерфейс</t>
        </is>
      </c>
    </row>
    <row r="800">
      <c r="B800" s="1" t="inlineStr">
        <is>
          <t>41372128</t>
        </is>
      </c>
      <c r="C800" s="1" t="inlineStr">
        <is>
          <t>3335316</t>
        </is>
      </c>
      <c r="D800" t="inlineStr">
        <is>
          <t>работник 229</t>
        </is>
      </c>
      <c r="E800" s="1" t="inlineStr">
        <is>
          <t>ОБЩЕСТВО С ОГРАНИЧЕННОЙ ОТВЕТСТВЕННОСТЬЮ "АМУР ЗОЛОТО"</t>
        </is>
      </c>
      <c r="F800" s="1" t="inlineStr">
        <is>
          <t>2708001686</t>
        </is>
      </c>
      <c r="G800" s="1" t="inlineStr">
        <is>
          <t>Кладовщик</t>
        </is>
      </c>
      <c r="H800" s="1" t="inlineStr">
        <is>
          <t>ООО "Амур Золото"</t>
        </is>
      </c>
      <c r="I800" s="1" t="inlineStr">
        <is>
          <t>2708001686</t>
        </is>
      </c>
      <c r="J800" s="1" t="inlineStr">
        <is>
          <t>ОТ № ЮГОК СК 24-02</t>
        </is>
      </c>
      <c r="K80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800" s="1" t="inlineStr">
        <is>
          <t>23.02.2024</t>
        </is>
      </c>
      <c r="M800" s="1" t="inlineStr">
        <is>
          <t>Успешно</t>
        </is>
      </c>
      <c r="N800" s="1" t="inlineStr">
        <is>
          <t>26.02.2024</t>
        </is>
      </c>
      <c r="O800" s="1" t="inlineStr"/>
      <c r="P800" s="1" t="inlineStr"/>
      <c r="Q800" s="1" t="inlineStr">
        <is>
          <t>Пользовательский интерфейс</t>
        </is>
      </c>
    </row>
    <row r="801">
      <c r="B801" s="1" t="inlineStr">
        <is>
          <t>41372129</t>
        </is>
      </c>
      <c r="C801" s="1" t="inlineStr">
        <is>
          <t>3335316</t>
        </is>
      </c>
      <c r="D801" t="inlineStr">
        <is>
          <t>работник 230</t>
        </is>
      </c>
      <c r="E801" s="1" t="inlineStr">
        <is>
          <t>ОБЩЕСТВО С ОГРАНИЧЕННОЙ ОТВЕТСТВЕННОСТЬЮ "АМУР ЗОЛОТО"</t>
        </is>
      </c>
      <c r="F801" s="1" t="inlineStr">
        <is>
          <t>2708001686</t>
        </is>
      </c>
      <c r="G801" s="1" t="inlineStr">
        <is>
          <t>Кладовщик</t>
        </is>
      </c>
      <c r="H801" s="1" t="inlineStr">
        <is>
          <t>ООО "Амур Золото"</t>
        </is>
      </c>
      <c r="I801" s="1" t="inlineStr">
        <is>
          <t>2708001686</t>
        </is>
      </c>
      <c r="J801" s="1" t="inlineStr">
        <is>
          <t>ОТ № ЮГОК СК 24-02</t>
        </is>
      </c>
      <c r="K801" s="1" t="inlineStr">
        <is>
          <t>Оказание первой помощи пострадавшим</t>
        </is>
      </c>
      <c r="L801" s="1" t="inlineStr">
        <is>
          <t>23.02.2024</t>
        </is>
      </c>
      <c r="M801" s="1" t="inlineStr">
        <is>
          <t>Успешно</t>
        </is>
      </c>
      <c r="N801" s="1" t="inlineStr">
        <is>
          <t>26.02.2024</t>
        </is>
      </c>
      <c r="O801" s="1" t="inlineStr"/>
      <c r="P801" s="1" t="inlineStr"/>
      <c r="Q801" s="1" t="inlineStr">
        <is>
          <t>Пользовательский интерфейс</t>
        </is>
      </c>
    </row>
    <row r="802">
      <c r="B802" s="1" t="inlineStr">
        <is>
          <t>41372130</t>
        </is>
      </c>
      <c r="C802" s="1" t="inlineStr">
        <is>
          <t>3335316</t>
        </is>
      </c>
      <c r="D802" t="inlineStr">
        <is>
          <t>работник 230</t>
        </is>
      </c>
      <c r="E802" s="1" t="inlineStr">
        <is>
          <t>ОБЩЕСТВО С ОГРАНИЧЕННОЙ ОТВЕТСТВЕННОСТЬЮ "АМУР ЗОЛОТО"</t>
        </is>
      </c>
      <c r="F802" s="1" t="inlineStr">
        <is>
          <t>2708001686</t>
        </is>
      </c>
      <c r="G802" s="1" t="inlineStr">
        <is>
          <t>Кладовщик</t>
        </is>
      </c>
      <c r="H802" s="1" t="inlineStr">
        <is>
          <t>ООО "Амур Золото"</t>
        </is>
      </c>
      <c r="I802" s="1" t="inlineStr">
        <is>
          <t>2708001686</t>
        </is>
      </c>
      <c r="J802" s="1" t="inlineStr">
        <is>
          <t>ОТ № ЮГОК СК 24-02</t>
        </is>
      </c>
      <c r="K802" s="1" t="inlineStr">
        <is>
          <t>Использование (применение) средств индивидуальной защиты</t>
        </is>
      </c>
      <c r="L802" s="1" t="inlineStr">
        <is>
          <t>23.02.2024</t>
        </is>
      </c>
      <c r="M802" s="1" t="inlineStr">
        <is>
          <t>Успешно</t>
        </is>
      </c>
      <c r="N802" s="1" t="inlineStr">
        <is>
          <t>26.02.2024</t>
        </is>
      </c>
      <c r="O802" s="1" t="inlineStr"/>
      <c r="P802" s="1" t="inlineStr"/>
      <c r="Q802" s="1" t="inlineStr">
        <is>
          <t>Пользовательский интерфейс</t>
        </is>
      </c>
    </row>
    <row r="803">
      <c r="B803" s="1" t="inlineStr">
        <is>
          <t>41372131</t>
        </is>
      </c>
      <c r="C803" s="1" t="inlineStr">
        <is>
          <t>3335316</t>
        </is>
      </c>
      <c r="D803" t="inlineStr">
        <is>
          <t>работник 230</t>
        </is>
      </c>
      <c r="E803" s="1" t="inlineStr">
        <is>
          <t>ОБЩЕСТВО С ОГРАНИЧЕННОЙ ОТВЕТСТВЕННОСТЬЮ "АМУР ЗОЛОТО"</t>
        </is>
      </c>
      <c r="F803" s="1" t="inlineStr">
        <is>
          <t>2708001686</t>
        </is>
      </c>
      <c r="G803" s="1" t="inlineStr">
        <is>
          <t>Кладовщик</t>
        </is>
      </c>
      <c r="H803" s="1" t="inlineStr">
        <is>
          <t>ООО "Амур Золото"</t>
        </is>
      </c>
      <c r="I803" s="1" t="inlineStr">
        <is>
          <t>2708001686</t>
        </is>
      </c>
      <c r="J803" s="1" t="inlineStr">
        <is>
          <t>ОТ № ЮГОК СК 24-02</t>
        </is>
      </c>
      <c r="K80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803" s="1" t="inlineStr">
        <is>
          <t>23.02.2024</t>
        </is>
      </c>
      <c r="M803" s="1" t="inlineStr">
        <is>
          <t>Успешно</t>
        </is>
      </c>
      <c r="N803" s="1" t="inlineStr">
        <is>
          <t>26.02.2024</t>
        </is>
      </c>
      <c r="O803" s="1" t="inlineStr"/>
      <c r="P803" s="1" t="inlineStr"/>
      <c r="Q803" s="1" t="inlineStr">
        <is>
          <t>Пользовательский интерфейс</t>
        </is>
      </c>
    </row>
    <row r="804">
      <c r="B804" s="1" t="inlineStr">
        <is>
          <t>41372132</t>
        </is>
      </c>
      <c r="C804" s="1" t="inlineStr">
        <is>
          <t>3335316</t>
        </is>
      </c>
      <c r="D804" t="inlineStr">
        <is>
          <t>работник 68</t>
        </is>
      </c>
      <c r="E804" s="1" t="inlineStr">
        <is>
          <t>ОБЩЕСТВО С ОГРАНИЧЕННОЙ ОТВЕТСТВЕННОСТЬЮ "АМУР ЗОЛОТО"</t>
        </is>
      </c>
      <c r="F804" s="1" t="inlineStr">
        <is>
          <t>2708001686</t>
        </is>
      </c>
      <c r="G804" s="1" t="inlineStr">
        <is>
          <t>Стропальщик (с исполнением обязанностей грузчика)</t>
        </is>
      </c>
      <c r="H804" s="1" t="inlineStr">
        <is>
          <t>ООО "Амур Золото"</t>
        </is>
      </c>
      <c r="I804" s="1" t="inlineStr">
        <is>
          <t>2708001686</t>
        </is>
      </c>
      <c r="J804" s="1" t="inlineStr">
        <is>
          <t>ОТ № ЮГОК СК 24-02</t>
        </is>
      </c>
      <c r="K804" s="1" t="inlineStr">
        <is>
          <t>Оказание первой помощи пострадавшим</t>
        </is>
      </c>
      <c r="L804" s="1" t="inlineStr">
        <is>
          <t>23.02.2024</t>
        </is>
      </c>
      <c r="M804" s="1" t="inlineStr">
        <is>
          <t>Успешно</t>
        </is>
      </c>
      <c r="N804" s="1" t="inlineStr">
        <is>
          <t>26.02.2024</t>
        </is>
      </c>
      <c r="O804" s="1" t="inlineStr"/>
      <c r="P804" s="1" t="inlineStr"/>
      <c r="Q804" s="1" t="inlineStr">
        <is>
          <t>Пользовательский интерфейс</t>
        </is>
      </c>
    </row>
    <row r="805">
      <c r="B805" s="1" t="inlineStr">
        <is>
          <t>41372133</t>
        </is>
      </c>
      <c r="C805" s="1" t="inlineStr">
        <is>
          <t>3335316</t>
        </is>
      </c>
      <c r="D805" t="inlineStr">
        <is>
          <t>работник 68</t>
        </is>
      </c>
      <c r="E805" s="1" t="inlineStr">
        <is>
          <t>ОБЩЕСТВО С ОГРАНИЧЕННОЙ ОТВЕТСТВЕННОСТЬЮ "АМУР ЗОЛОТО"</t>
        </is>
      </c>
      <c r="F805" s="1" t="inlineStr">
        <is>
          <t>2708001686</t>
        </is>
      </c>
      <c r="G805" s="1" t="inlineStr">
        <is>
          <t>Стропальщик (с исполнением обязанностей грузчика)</t>
        </is>
      </c>
      <c r="H805" s="1" t="inlineStr">
        <is>
          <t>ООО "Амур Золото"</t>
        </is>
      </c>
      <c r="I805" s="1" t="inlineStr">
        <is>
          <t>2708001686</t>
        </is>
      </c>
      <c r="J805" s="1" t="inlineStr">
        <is>
          <t>ОТ № ЮГОК СК 24-02</t>
        </is>
      </c>
      <c r="K805" s="1" t="inlineStr">
        <is>
          <t>Использование (применение) средств индивидуальной защиты</t>
        </is>
      </c>
      <c r="L805" s="1" t="inlineStr">
        <is>
          <t>23.02.2024</t>
        </is>
      </c>
      <c r="M805" s="1" t="inlineStr">
        <is>
          <t>Успешно</t>
        </is>
      </c>
      <c r="N805" s="1" t="inlineStr">
        <is>
          <t>26.02.2024</t>
        </is>
      </c>
      <c r="O805" s="1" t="inlineStr"/>
      <c r="P805" s="1" t="inlineStr"/>
      <c r="Q805" s="1" t="inlineStr">
        <is>
          <t>Пользовательский интерфейс</t>
        </is>
      </c>
    </row>
    <row r="806">
      <c r="B806" s="1" t="inlineStr">
        <is>
          <t>41372134</t>
        </is>
      </c>
      <c r="C806" s="1" t="inlineStr">
        <is>
          <t>3335316</t>
        </is>
      </c>
      <c r="D806" t="inlineStr">
        <is>
          <t>работник 68</t>
        </is>
      </c>
      <c r="E806" s="1" t="inlineStr">
        <is>
          <t>ОБЩЕСТВО С ОГРАНИЧЕННОЙ ОТВЕТСТВЕННОСТЬЮ "АМУР ЗОЛОТО"</t>
        </is>
      </c>
      <c r="F806" s="1" t="inlineStr">
        <is>
          <t>2708001686</t>
        </is>
      </c>
      <c r="G806" s="1" t="inlineStr">
        <is>
          <t>Стропальщик (с исполнением обязанностей грузчика)</t>
        </is>
      </c>
      <c r="H806" s="1" t="inlineStr">
        <is>
          <t>ООО "Амур Золото"</t>
        </is>
      </c>
      <c r="I806" s="1" t="inlineStr">
        <is>
          <t>2708001686</t>
        </is>
      </c>
      <c r="J806" s="1" t="inlineStr">
        <is>
          <t>ОТ № ЮГОК СК 24-02</t>
        </is>
      </c>
      <c r="K80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806" s="1" t="inlineStr">
        <is>
          <t>23.02.2024</t>
        </is>
      </c>
      <c r="M806" s="1" t="inlineStr">
        <is>
          <t>Успешно</t>
        </is>
      </c>
      <c r="N806" s="1" t="inlineStr">
        <is>
          <t>26.02.2024</t>
        </is>
      </c>
      <c r="O806" s="1" t="inlineStr"/>
      <c r="P806" s="1" t="inlineStr"/>
      <c r="Q806" s="1" t="inlineStr">
        <is>
          <t>Пользовательский интерфейс</t>
        </is>
      </c>
    </row>
    <row r="807">
      <c r="B807" s="1" t="inlineStr">
        <is>
          <t>41372135</t>
        </is>
      </c>
      <c r="C807" s="1" t="inlineStr">
        <is>
          <t>3335316</t>
        </is>
      </c>
      <c r="D807" t="inlineStr">
        <is>
          <t>работник 231</t>
        </is>
      </c>
      <c r="E807" s="1" t="inlineStr">
        <is>
          <t>ОБЩЕСТВО С ОГРАНИЧЕННОЙ ОТВЕТСТВЕННОСТЬЮ "АМУР ЗОЛОТО"</t>
        </is>
      </c>
      <c r="F807" s="1" t="inlineStr">
        <is>
          <t>2708001686</t>
        </is>
      </c>
      <c r="G807" s="1" t="inlineStr">
        <is>
          <t>Стропальщик (с исполнением обязанностей грузчика)</t>
        </is>
      </c>
      <c r="H807" s="1" t="inlineStr">
        <is>
          <t>ООО "Амур Золото"</t>
        </is>
      </c>
      <c r="I807" s="1" t="inlineStr">
        <is>
          <t>2708001686</t>
        </is>
      </c>
      <c r="J807" s="1" t="inlineStr">
        <is>
          <t>ОТ № ЮГОК СК 24-02</t>
        </is>
      </c>
      <c r="K807" s="1" t="inlineStr">
        <is>
          <t>Оказание первой помощи пострадавшим</t>
        </is>
      </c>
      <c r="L807" s="1" t="inlineStr">
        <is>
          <t>23.02.2024</t>
        </is>
      </c>
      <c r="M807" s="1" t="inlineStr">
        <is>
          <t>Успешно</t>
        </is>
      </c>
      <c r="N807" s="1" t="inlineStr">
        <is>
          <t>26.02.2024</t>
        </is>
      </c>
      <c r="O807" s="1" t="inlineStr"/>
      <c r="P807" s="1" t="inlineStr"/>
      <c r="Q807" s="1" t="inlineStr">
        <is>
          <t>Пользовательский интерфейс</t>
        </is>
      </c>
    </row>
    <row r="808">
      <c r="B808" s="1" t="inlineStr">
        <is>
          <t>41372136</t>
        </is>
      </c>
      <c r="C808" s="1" t="inlineStr">
        <is>
          <t>3335316</t>
        </is>
      </c>
      <c r="D808" t="inlineStr">
        <is>
          <t>работник 231</t>
        </is>
      </c>
      <c r="E808" s="1" t="inlineStr">
        <is>
          <t>ОБЩЕСТВО С ОГРАНИЧЕННОЙ ОТВЕТСТВЕННОСТЬЮ "АМУР ЗОЛОТО"</t>
        </is>
      </c>
      <c r="F808" s="1" t="inlineStr">
        <is>
          <t>2708001686</t>
        </is>
      </c>
      <c r="G808" s="1" t="inlineStr">
        <is>
          <t>Стропальщик (с исполнением обязанностей грузчика)</t>
        </is>
      </c>
      <c r="H808" s="1" t="inlineStr">
        <is>
          <t>ООО "Амур Золото"</t>
        </is>
      </c>
      <c r="I808" s="1" t="inlineStr">
        <is>
          <t>2708001686</t>
        </is>
      </c>
      <c r="J808" s="1" t="inlineStr">
        <is>
          <t>ОТ № ЮГОК СК 24-02</t>
        </is>
      </c>
      <c r="K808" s="1" t="inlineStr">
        <is>
          <t>Использование (применение) средств индивидуальной защиты</t>
        </is>
      </c>
      <c r="L808" s="1" t="inlineStr">
        <is>
          <t>23.02.2024</t>
        </is>
      </c>
      <c r="M808" s="1" t="inlineStr">
        <is>
          <t>Успешно</t>
        </is>
      </c>
      <c r="N808" s="1" t="inlineStr">
        <is>
          <t>26.02.2024</t>
        </is>
      </c>
      <c r="O808" s="1" t="inlineStr"/>
      <c r="P808" s="1" t="inlineStr"/>
      <c r="Q808" s="1" t="inlineStr">
        <is>
          <t>Пользовательский интерфейс</t>
        </is>
      </c>
    </row>
    <row r="809">
      <c r="B809" s="1" t="inlineStr">
        <is>
          <t>41372137</t>
        </is>
      </c>
      <c r="C809" s="1" t="inlineStr">
        <is>
          <t>3335316</t>
        </is>
      </c>
      <c r="D809" t="inlineStr">
        <is>
          <t>работник 231</t>
        </is>
      </c>
      <c r="E809" s="1" t="inlineStr">
        <is>
          <t>ОБЩЕСТВО С ОГРАНИЧЕННОЙ ОТВЕТСТВЕННОСТЬЮ "АМУР ЗОЛОТО"</t>
        </is>
      </c>
      <c r="F809" s="1" t="inlineStr">
        <is>
          <t>2708001686</t>
        </is>
      </c>
      <c r="G809" s="1" t="inlineStr">
        <is>
          <t>Стропальщик (с исполнением обязанностей грузчика)</t>
        </is>
      </c>
      <c r="H809" s="1" t="inlineStr">
        <is>
          <t>ООО "Амур Золото"</t>
        </is>
      </c>
      <c r="I809" s="1" t="inlineStr">
        <is>
          <t>2708001686</t>
        </is>
      </c>
      <c r="J809" s="1" t="inlineStr">
        <is>
          <t>ОТ № ЮГОК СК 24-02</t>
        </is>
      </c>
      <c r="K80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809" s="1" t="inlineStr">
        <is>
          <t>23.02.2024</t>
        </is>
      </c>
      <c r="M809" s="1" t="inlineStr">
        <is>
          <t>Успешно</t>
        </is>
      </c>
      <c r="N809" s="1" t="inlineStr">
        <is>
          <t>26.02.2024</t>
        </is>
      </c>
      <c r="O809" s="1" t="inlineStr"/>
      <c r="P809" s="1" t="inlineStr"/>
      <c r="Q809" s="1" t="inlineStr">
        <is>
          <t>Пользовательский интерфейс</t>
        </is>
      </c>
    </row>
    <row r="810">
      <c r="B810" s="1" t="inlineStr">
        <is>
          <t>41372138</t>
        </is>
      </c>
      <c r="C810" s="1" t="inlineStr">
        <is>
          <t>3335316</t>
        </is>
      </c>
      <c r="D810" t="inlineStr">
        <is>
          <t>работник 228</t>
        </is>
      </c>
      <c r="E810" s="1" t="inlineStr">
        <is>
          <t>ОБЩЕСТВО С ОГРАНИЧЕННОЙ ОТВЕТСТВЕННОСТЬЮ "АМУР ЗОЛОТО"</t>
        </is>
      </c>
      <c r="F810" s="1" t="inlineStr">
        <is>
          <t>2708001686</t>
        </is>
      </c>
      <c r="G810" s="1" t="inlineStr">
        <is>
          <t>Стропальщик (с исполнением обязанностей грузчика)</t>
        </is>
      </c>
      <c r="H810" s="1" t="inlineStr">
        <is>
          <t>ООО "Амур Золото"</t>
        </is>
      </c>
      <c r="I810" s="1" t="inlineStr">
        <is>
          <t>2708001686</t>
        </is>
      </c>
      <c r="J810" s="1" t="inlineStr">
        <is>
          <t>ОТ № ЮГОК СК 24-02</t>
        </is>
      </c>
      <c r="K810" s="1" t="inlineStr">
        <is>
          <t>Использование (применение) средств индивидуальной защиты</t>
        </is>
      </c>
      <c r="L810" s="1" t="inlineStr">
        <is>
          <t>23.02.2024</t>
        </is>
      </c>
      <c r="M810" s="1" t="inlineStr">
        <is>
          <t>Успешно</t>
        </is>
      </c>
      <c r="N810" s="1" t="inlineStr">
        <is>
          <t>26.02.2024</t>
        </is>
      </c>
      <c r="O810" s="1" t="inlineStr"/>
      <c r="P810" s="1" t="inlineStr"/>
      <c r="Q810" s="1" t="inlineStr">
        <is>
          <t>Пользовательский интерфейс</t>
        </is>
      </c>
    </row>
    <row r="811">
      <c r="B811" s="1" t="inlineStr">
        <is>
          <t>41372139</t>
        </is>
      </c>
      <c r="C811" s="1" t="inlineStr">
        <is>
          <t>3335316</t>
        </is>
      </c>
      <c r="D811" t="inlineStr">
        <is>
          <t>работник 228</t>
        </is>
      </c>
      <c r="E811" s="1" t="inlineStr">
        <is>
          <t>ОБЩЕСТВО С ОГРАНИЧЕННОЙ ОТВЕТСТВЕННОСТЬЮ "АМУР ЗОЛОТО"</t>
        </is>
      </c>
      <c r="F811" s="1" t="inlineStr">
        <is>
          <t>2708001686</t>
        </is>
      </c>
      <c r="G811" s="1" t="inlineStr">
        <is>
          <t>Стропальщик (с исполнением обязанностей грузчика)</t>
        </is>
      </c>
      <c r="H811" s="1" t="inlineStr">
        <is>
          <t>ООО "Амур Золото"</t>
        </is>
      </c>
      <c r="I811" s="1" t="inlineStr">
        <is>
          <t>2708001686</t>
        </is>
      </c>
      <c r="J811" s="1" t="inlineStr">
        <is>
          <t>ОТ № ЮГОК СК 24-02</t>
        </is>
      </c>
      <c r="K81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811" s="1" t="inlineStr">
        <is>
          <t>23.02.2024</t>
        </is>
      </c>
      <c r="M811" s="1" t="inlineStr">
        <is>
          <t>Успешно</t>
        </is>
      </c>
      <c r="N811" s="1" t="inlineStr">
        <is>
          <t>26.02.2024</t>
        </is>
      </c>
      <c r="O811" s="1" t="inlineStr"/>
      <c r="P811" s="1" t="inlineStr"/>
      <c r="Q811" s="1" t="inlineStr">
        <is>
          <t>Пользовательский интерфейс</t>
        </is>
      </c>
    </row>
    <row r="812">
      <c r="B812" s="1" t="inlineStr">
        <is>
          <t>41372140</t>
        </is>
      </c>
      <c r="C812" s="1" t="inlineStr">
        <is>
          <t>3335316</t>
        </is>
      </c>
      <c r="D812" t="inlineStr">
        <is>
          <t>работник 232</t>
        </is>
      </c>
      <c r="E812" s="1" t="inlineStr">
        <is>
          <t>ОБЩЕСТВО С ОГРАНИЧЕННОЙ ОТВЕТСТВЕННОСТЬЮ "АМУР ЗОЛОТО"</t>
        </is>
      </c>
      <c r="F812" s="1" t="inlineStr">
        <is>
          <t>2708001686</t>
        </is>
      </c>
      <c r="G812" s="1" t="inlineStr">
        <is>
          <t>Лаборант пробирного анализа</t>
        </is>
      </c>
      <c r="H812" s="1" t="inlineStr">
        <is>
          <t>ООО "Амур Золото"</t>
        </is>
      </c>
      <c r="I812" s="1" t="inlineStr">
        <is>
          <t>2708001686</t>
        </is>
      </c>
      <c r="J812" s="1" t="inlineStr">
        <is>
          <t>ОТ № ЮГОК ПАЛ 24-02</t>
        </is>
      </c>
      <c r="K812" s="1" t="inlineStr">
        <is>
          <t>Оказание первой помощи пострадавшим</t>
        </is>
      </c>
      <c r="L812" s="1" t="inlineStr">
        <is>
          <t>23.02.2024</t>
        </is>
      </c>
      <c r="M812" s="1" t="inlineStr">
        <is>
          <t>Успешно</t>
        </is>
      </c>
      <c r="N812" s="1" t="inlineStr">
        <is>
          <t>26.02.2024</t>
        </is>
      </c>
      <c r="O812" s="1" t="inlineStr"/>
      <c r="P812" s="1" t="inlineStr"/>
      <c r="Q812" s="1" t="inlineStr">
        <is>
          <t>Пользовательский интерфейс</t>
        </is>
      </c>
    </row>
    <row r="813">
      <c r="B813" s="1" t="inlineStr">
        <is>
          <t>41372141</t>
        </is>
      </c>
      <c r="C813" s="1" t="inlineStr">
        <is>
          <t>3335316</t>
        </is>
      </c>
      <c r="D813" t="inlineStr">
        <is>
          <t>работник 232</t>
        </is>
      </c>
      <c r="E813" s="1" t="inlineStr">
        <is>
          <t>ОБЩЕСТВО С ОГРАНИЧЕННОЙ ОТВЕТСТВЕННОСТЬЮ "АМУР ЗОЛОТО"</t>
        </is>
      </c>
      <c r="F813" s="1" t="inlineStr">
        <is>
          <t>2708001686</t>
        </is>
      </c>
      <c r="G813" s="1" t="inlineStr">
        <is>
          <t>Лаборант пробирного анализа</t>
        </is>
      </c>
      <c r="H813" s="1" t="inlineStr">
        <is>
          <t>ООО "Амур Золото"</t>
        </is>
      </c>
      <c r="I813" s="1" t="inlineStr">
        <is>
          <t>2708001686</t>
        </is>
      </c>
      <c r="J813" s="1" t="inlineStr">
        <is>
          <t>ОТ № ЮГОК ПАЛ 24-02</t>
        </is>
      </c>
      <c r="K813" s="1" t="inlineStr">
        <is>
          <t>Использование (применение) средств индивидуальной защиты</t>
        </is>
      </c>
      <c r="L813" s="1" t="inlineStr">
        <is>
          <t>23.02.2024</t>
        </is>
      </c>
      <c r="M813" s="1" t="inlineStr">
        <is>
          <t>Успешно</t>
        </is>
      </c>
      <c r="N813" s="1" t="inlineStr">
        <is>
          <t>26.02.2024</t>
        </is>
      </c>
      <c r="O813" s="1" t="inlineStr"/>
      <c r="P813" s="1" t="inlineStr"/>
      <c r="Q813" s="1" t="inlineStr">
        <is>
          <t>Пользовательский интерфейс</t>
        </is>
      </c>
    </row>
    <row r="814">
      <c r="B814" s="1" t="inlineStr">
        <is>
          <t>41372142</t>
        </is>
      </c>
      <c r="C814" s="1" t="inlineStr">
        <is>
          <t>3335316</t>
        </is>
      </c>
      <c r="D814" t="inlineStr">
        <is>
          <t>работник 232</t>
        </is>
      </c>
      <c r="E814" s="1" t="inlineStr">
        <is>
          <t>ОБЩЕСТВО С ОГРАНИЧЕННОЙ ОТВЕТСТВЕННОСТЬЮ "АМУР ЗОЛОТО"</t>
        </is>
      </c>
      <c r="F814" s="1" t="inlineStr">
        <is>
          <t>2708001686</t>
        </is>
      </c>
      <c r="G814" s="1" t="inlineStr">
        <is>
          <t>Лаборант пробирного анализа</t>
        </is>
      </c>
      <c r="H814" s="1" t="inlineStr">
        <is>
          <t>ООО "Амур Золото"</t>
        </is>
      </c>
      <c r="I814" s="1" t="inlineStr">
        <is>
          <t>2708001686</t>
        </is>
      </c>
      <c r="J814" s="1" t="inlineStr">
        <is>
          <t>ОТ № ЮГОК ПАЛ 24-02</t>
        </is>
      </c>
      <c r="K81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814" s="1" t="inlineStr">
        <is>
          <t>23.02.2024</t>
        </is>
      </c>
      <c r="M814" s="1" t="inlineStr">
        <is>
          <t>Успешно</t>
        </is>
      </c>
      <c r="N814" s="1" t="inlineStr">
        <is>
          <t>26.02.2024</t>
        </is>
      </c>
      <c r="O814" s="1" t="inlineStr"/>
      <c r="P814" s="1" t="inlineStr"/>
      <c r="Q814" s="1" t="inlineStr">
        <is>
          <t>Пользовательский интерфейс</t>
        </is>
      </c>
    </row>
    <row r="815">
      <c r="B815" s="1" t="inlineStr">
        <is>
          <t>41372143</t>
        </is>
      </c>
      <c r="C815" s="1" t="inlineStr">
        <is>
          <t>3335316</t>
        </is>
      </c>
      <c r="D815" t="inlineStr">
        <is>
          <t>работник 233</t>
        </is>
      </c>
      <c r="E815" s="1" t="inlineStr">
        <is>
          <t>ОБЩЕСТВО С ОГРАНИЧЕННОЙ ОТВЕТСТВЕННОСТЬЮ "АМУР ЗОЛОТО"</t>
        </is>
      </c>
      <c r="F815" s="1" t="inlineStr">
        <is>
          <t>2708001686</t>
        </is>
      </c>
      <c r="G815" s="1" t="inlineStr">
        <is>
          <t>Лаборант химического анализа</t>
        </is>
      </c>
      <c r="H815" s="1" t="inlineStr">
        <is>
          <t>ООО "Амур Золото"</t>
        </is>
      </c>
      <c r="I815" s="1" t="inlineStr">
        <is>
          <t>2708001686</t>
        </is>
      </c>
      <c r="J815" s="1" t="inlineStr">
        <is>
          <t>ОТ № ЮГОК ПАЛ 24-02</t>
        </is>
      </c>
      <c r="K815" s="1" t="inlineStr">
        <is>
          <t>Оказание первой помощи пострадавшим</t>
        </is>
      </c>
      <c r="L815" s="1" t="inlineStr">
        <is>
          <t>23.02.2024</t>
        </is>
      </c>
      <c r="M815" s="1" t="inlineStr">
        <is>
          <t>Успешно</t>
        </is>
      </c>
      <c r="N815" s="1" t="inlineStr">
        <is>
          <t>26.02.2024</t>
        </is>
      </c>
      <c r="O815" s="1" t="inlineStr"/>
      <c r="P815" s="1" t="inlineStr"/>
      <c r="Q815" s="1" t="inlineStr">
        <is>
          <t>Пользовательский интерфейс</t>
        </is>
      </c>
    </row>
    <row r="816">
      <c r="B816" s="1" t="inlineStr">
        <is>
          <t>41372144</t>
        </is>
      </c>
      <c r="C816" s="1" t="inlineStr">
        <is>
          <t>3335316</t>
        </is>
      </c>
      <c r="D816" t="inlineStr">
        <is>
          <t>работник 233</t>
        </is>
      </c>
      <c r="E816" s="1" t="inlineStr">
        <is>
          <t>ОБЩЕСТВО С ОГРАНИЧЕННОЙ ОТВЕТСТВЕННОСТЬЮ "АМУР ЗОЛОТО"</t>
        </is>
      </c>
      <c r="F816" s="1" t="inlineStr">
        <is>
          <t>2708001686</t>
        </is>
      </c>
      <c r="G816" s="1" t="inlineStr">
        <is>
          <t>Лаборант химического анализа</t>
        </is>
      </c>
      <c r="H816" s="1" t="inlineStr">
        <is>
          <t>ООО "Амур Золото"</t>
        </is>
      </c>
      <c r="I816" s="1" t="inlineStr">
        <is>
          <t>2708001686</t>
        </is>
      </c>
      <c r="J816" s="1" t="inlineStr">
        <is>
          <t>ОТ № ЮГОК ПАЛ 24-02</t>
        </is>
      </c>
      <c r="K816" s="1" t="inlineStr">
        <is>
          <t>Использование (применение) средств индивидуальной защиты</t>
        </is>
      </c>
      <c r="L816" s="1" t="inlineStr">
        <is>
          <t>23.02.2024</t>
        </is>
      </c>
      <c r="M816" s="1" t="inlineStr">
        <is>
          <t>Успешно</t>
        </is>
      </c>
      <c r="N816" s="1" t="inlineStr">
        <is>
          <t>26.02.2024</t>
        </is>
      </c>
      <c r="O816" s="1" t="inlineStr"/>
      <c r="P816" s="1" t="inlineStr"/>
      <c r="Q816" s="1" t="inlineStr">
        <is>
          <t>Пользовательский интерфейс</t>
        </is>
      </c>
    </row>
    <row r="817">
      <c r="B817" s="1" t="inlineStr">
        <is>
          <t>41372145</t>
        </is>
      </c>
      <c r="C817" s="1" t="inlineStr">
        <is>
          <t>3335316</t>
        </is>
      </c>
      <c r="D817" t="inlineStr">
        <is>
          <t>работник 233</t>
        </is>
      </c>
      <c r="E817" s="1" t="inlineStr">
        <is>
          <t>ОБЩЕСТВО С ОГРАНИЧЕННОЙ ОТВЕТСТВЕННОСТЬЮ "АМУР ЗОЛОТО"</t>
        </is>
      </c>
      <c r="F817" s="1" t="inlineStr">
        <is>
          <t>2708001686</t>
        </is>
      </c>
      <c r="G817" s="1" t="inlineStr">
        <is>
          <t>Лаборант химического анализа</t>
        </is>
      </c>
      <c r="H817" s="1" t="inlineStr">
        <is>
          <t>ООО "Амур Золото"</t>
        </is>
      </c>
      <c r="I817" s="1" t="inlineStr">
        <is>
          <t>2708001686</t>
        </is>
      </c>
      <c r="J817" s="1" t="inlineStr">
        <is>
          <t>ОТ № ЮГОК ПАЛ 24-02</t>
        </is>
      </c>
      <c r="K81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817" s="1" t="inlineStr">
        <is>
          <t>23.02.2024</t>
        </is>
      </c>
      <c r="M817" s="1" t="inlineStr">
        <is>
          <t>Успешно</t>
        </is>
      </c>
      <c r="N817" s="1" t="inlineStr">
        <is>
          <t>26.02.2024</t>
        </is>
      </c>
      <c r="O817" s="1" t="inlineStr"/>
      <c r="P817" s="1" t="inlineStr"/>
      <c r="Q817" s="1" t="inlineStr">
        <is>
          <t>Пользовательский интерфейс</t>
        </is>
      </c>
    </row>
    <row r="818">
      <c r="B818" s="1" t="inlineStr">
        <is>
          <t>41372146</t>
        </is>
      </c>
      <c r="C818" s="1" t="inlineStr">
        <is>
          <t>3335316</t>
        </is>
      </c>
      <c r="D818" t="inlineStr">
        <is>
          <t>работник 234</t>
        </is>
      </c>
      <c r="E818" s="1" t="inlineStr">
        <is>
          <t>ОБЩЕСТВО С ОГРАНИЧЕННОЙ ОТВЕТСТВЕННОСТЬЮ "АМУР ЗОЛОТО"</t>
        </is>
      </c>
      <c r="F818" s="1" t="inlineStr">
        <is>
          <t>2708001686</t>
        </is>
      </c>
      <c r="G818" s="1" t="inlineStr">
        <is>
          <t>Лаборант пробирного анализа</t>
        </is>
      </c>
      <c r="H818" s="1" t="inlineStr">
        <is>
          <t>ООО "Амур Золото"</t>
        </is>
      </c>
      <c r="I818" s="1" t="inlineStr">
        <is>
          <t>2708001686</t>
        </is>
      </c>
      <c r="J818" s="1" t="inlineStr">
        <is>
          <t>ОТ № ЮГОК ПАЛ 24-02</t>
        </is>
      </c>
      <c r="K818" s="1" t="inlineStr">
        <is>
          <t>Оказание первой помощи пострадавшим</t>
        </is>
      </c>
      <c r="L818" s="1" t="inlineStr">
        <is>
          <t>23.02.2024</t>
        </is>
      </c>
      <c r="M818" s="1" t="inlineStr">
        <is>
          <t>Успешно</t>
        </is>
      </c>
      <c r="N818" s="1" t="inlineStr">
        <is>
          <t>26.02.2024</t>
        </is>
      </c>
      <c r="O818" s="1" t="inlineStr"/>
      <c r="P818" s="1" t="inlineStr"/>
      <c r="Q818" s="1" t="inlineStr">
        <is>
          <t>Пользовательский интерфейс</t>
        </is>
      </c>
    </row>
    <row r="819">
      <c r="B819" s="1" t="inlineStr">
        <is>
          <t>41372147</t>
        </is>
      </c>
      <c r="C819" s="1" t="inlineStr">
        <is>
          <t>3335316</t>
        </is>
      </c>
      <c r="D819" t="inlineStr">
        <is>
          <t>работник 234</t>
        </is>
      </c>
      <c r="E819" s="1" t="inlineStr">
        <is>
          <t>ОБЩЕСТВО С ОГРАНИЧЕННОЙ ОТВЕТСТВЕННОСТЬЮ "АМУР ЗОЛОТО"</t>
        </is>
      </c>
      <c r="F819" s="1" t="inlineStr">
        <is>
          <t>2708001686</t>
        </is>
      </c>
      <c r="G819" s="1" t="inlineStr">
        <is>
          <t>Лаборант пробирного анализа</t>
        </is>
      </c>
      <c r="H819" s="1" t="inlineStr">
        <is>
          <t>ООО "Амур Золото"</t>
        </is>
      </c>
      <c r="I819" s="1" t="inlineStr">
        <is>
          <t>2708001686</t>
        </is>
      </c>
      <c r="J819" s="1" t="inlineStr">
        <is>
          <t>ОТ № ЮГОК ПАЛ 24-02</t>
        </is>
      </c>
      <c r="K819" s="1" t="inlineStr">
        <is>
          <t>Использование (применение) средств индивидуальной защиты</t>
        </is>
      </c>
      <c r="L819" s="1" t="inlineStr">
        <is>
          <t>23.02.2024</t>
        </is>
      </c>
      <c r="M819" s="1" t="inlineStr">
        <is>
          <t>Успешно</t>
        </is>
      </c>
      <c r="N819" s="1" t="inlineStr">
        <is>
          <t>26.02.2024</t>
        </is>
      </c>
      <c r="O819" s="1" t="inlineStr"/>
      <c r="P819" s="1" t="inlineStr"/>
      <c r="Q819" s="1" t="inlineStr">
        <is>
          <t>Пользовательский интерфейс</t>
        </is>
      </c>
    </row>
    <row r="820">
      <c r="B820" s="1" t="inlineStr">
        <is>
          <t>41372148</t>
        </is>
      </c>
      <c r="C820" s="1" t="inlineStr">
        <is>
          <t>3335316</t>
        </is>
      </c>
      <c r="D820" t="inlineStr">
        <is>
          <t>работник 234</t>
        </is>
      </c>
      <c r="E820" s="1" t="inlineStr">
        <is>
          <t>ОБЩЕСТВО С ОГРАНИЧЕННОЙ ОТВЕТСТВЕННОСТЬЮ "АМУР ЗОЛОТО"</t>
        </is>
      </c>
      <c r="F820" s="1" t="inlineStr">
        <is>
          <t>2708001686</t>
        </is>
      </c>
      <c r="G820" s="1" t="inlineStr">
        <is>
          <t>Лаборант пробирного анализа</t>
        </is>
      </c>
      <c r="H820" s="1" t="inlineStr">
        <is>
          <t>ООО "Амур Золото"</t>
        </is>
      </c>
      <c r="I820" s="1" t="inlineStr">
        <is>
          <t>2708001686</t>
        </is>
      </c>
      <c r="J820" s="1" t="inlineStr">
        <is>
          <t>ОТ № ЮГОК ПАЛ 24-02</t>
        </is>
      </c>
      <c r="K82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820" s="1" t="inlineStr">
        <is>
          <t>23.02.2024</t>
        </is>
      </c>
      <c r="M820" s="1" t="inlineStr">
        <is>
          <t>Успешно</t>
        </is>
      </c>
      <c r="N820" s="1" t="inlineStr">
        <is>
          <t>26.02.2024</t>
        </is>
      </c>
      <c r="O820" s="1" t="inlineStr"/>
      <c r="P820" s="1" t="inlineStr"/>
      <c r="Q820" s="1" t="inlineStr">
        <is>
          <t>Пользовательский интерфейс</t>
        </is>
      </c>
    </row>
    <row r="821">
      <c r="B821" s="1" t="inlineStr">
        <is>
          <t>41372149</t>
        </is>
      </c>
      <c r="C821" s="1" t="inlineStr">
        <is>
          <t>3335316</t>
        </is>
      </c>
      <c r="D821" t="inlineStr">
        <is>
          <t>работник 235</t>
        </is>
      </c>
      <c r="E821" s="1" t="inlineStr">
        <is>
          <t>ОБЩЕСТВО С ОГРАНИЧЕННОЙ ОТВЕТСТВЕННОСТЬЮ "АМУР ЗОЛОТО"</t>
        </is>
      </c>
      <c r="F821" s="1" t="inlineStr">
        <is>
          <t>2708001686</t>
        </is>
      </c>
      <c r="G821" s="1" t="inlineStr">
        <is>
          <t>Лаборант химического анализа</t>
        </is>
      </c>
      <c r="H821" s="1" t="inlineStr">
        <is>
          <t>ООО "Амур Золото"</t>
        </is>
      </c>
      <c r="I821" s="1" t="inlineStr">
        <is>
          <t>2708001686</t>
        </is>
      </c>
      <c r="J821" s="1" t="inlineStr">
        <is>
          <t>ОТ № ЮГОК ПАЛ 24-02</t>
        </is>
      </c>
      <c r="K821" s="1" t="inlineStr">
        <is>
          <t>Оказание первой помощи пострадавшим</t>
        </is>
      </c>
      <c r="L821" s="1" t="inlineStr">
        <is>
          <t>23.02.2024</t>
        </is>
      </c>
      <c r="M821" s="1" t="inlineStr">
        <is>
          <t>Успешно</t>
        </is>
      </c>
      <c r="N821" s="1" t="inlineStr">
        <is>
          <t>26.02.2024</t>
        </is>
      </c>
      <c r="O821" s="1" t="inlineStr"/>
      <c r="P821" s="1" t="inlineStr"/>
      <c r="Q821" s="1" t="inlineStr">
        <is>
          <t>Пользовательский интерфейс</t>
        </is>
      </c>
    </row>
    <row r="822">
      <c r="B822" s="1" t="inlineStr">
        <is>
          <t>41372150</t>
        </is>
      </c>
      <c r="C822" s="1" t="inlineStr">
        <is>
          <t>3335316</t>
        </is>
      </c>
      <c r="D822" t="inlineStr">
        <is>
          <t>работник 235</t>
        </is>
      </c>
      <c r="E822" s="1" t="inlineStr">
        <is>
          <t>ОБЩЕСТВО С ОГРАНИЧЕННОЙ ОТВЕТСТВЕННОСТЬЮ "АМУР ЗОЛОТО"</t>
        </is>
      </c>
      <c r="F822" s="1" t="inlineStr">
        <is>
          <t>2708001686</t>
        </is>
      </c>
      <c r="G822" s="1" t="inlineStr">
        <is>
          <t>Лаборант химического анализа</t>
        </is>
      </c>
      <c r="H822" s="1" t="inlineStr">
        <is>
          <t>ООО "Амур Золото"</t>
        </is>
      </c>
      <c r="I822" s="1" t="inlineStr">
        <is>
          <t>2708001686</t>
        </is>
      </c>
      <c r="J822" s="1" t="inlineStr">
        <is>
          <t>ОТ № ЮГОК ПАЛ 24-02</t>
        </is>
      </c>
      <c r="K822" s="1" t="inlineStr">
        <is>
          <t>Использование (применение) средств индивидуальной защиты</t>
        </is>
      </c>
      <c r="L822" s="1" t="inlineStr">
        <is>
          <t>23.02.2024</t>
        </is>
      </c>
      <c r="M822" s="1" t="inlineStr">
        <is>
          <t>Успешно</t>
        </is>
      </c>
      <c r="N822" s="1" t="inlineStr">
        <is>
          <t>26.02.2024</t>
        </is>
      </c>
      <c r="O822" s="1" t="inlineStr"/>
      <c r="P822" s="1" t="inlineStr"/>
      <c r="Q822" s="1" t="inlineStr">
        <is>
          <t>Пользовательский интерфейс</t>
        </is>
      </c>
    </row>
    <row r="823">
      <c r="B823" s="1" t="inlineStr">
        <is>
          <t>41372151</t>
        </is>
      </c>
      <c r="C823" s="1" t="inlineStr">
        <is>
          <t>3335316</t>
        </is>
      </c>
      <c r="D823" t="inlineStr">
        <is>
          <t>работник 235</t>
        </is>
      </c>
      <c r="E823" s="1" t="inlineStr">
        <is>
          <t>ОБЩЕСТВО С ОГРАНИЧЕННОЙ ОТВЕТСТВЕННОСТЬЮ "АМУР ЗОЛОТО"</t>
        </is>
      </c>
      <c r="F823" s="1" t="inlineStr">
        <is>
          <t>2708001686</t>
        </is>
      </c>
      <c r="G823" s="1" t="inlineStr">
        <is>
          <t>Лаборант химического анализа</t>
        </is>
      </c>
      <c r="H823" s="1" t="inlineStr">
        <is>
          <t>ООО "Амур Золото"</t>
        </is>
      </c>
      <c r="I823" s="1" t="inlineStr">
        <is>
          <t>2708001686</t>
        </is>
      </c>
      <c r="J823" s="1" t="inlineStr">
        <is>
          <t>ОТ № ЮГОК ПАЛ 24-02</t>
        </is>
      </c>
      <c r="K82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823" s="1" t="inlineStr">
        <is>
          <t>23.02.2024</t>
        </is>
      </c>
      <c r="M823" s="1" t="inlineStr">
        <is>
          <t>Успешно</t>
        </is>
      </c>
      <c r="N823" s="1" t="inlineStr">
        <is>
          <t>26.02.2024</t>
        </is>
      </c>
      <c r="O823" s="1" t="inlineStr"/>
      <c r="P823" s="1" t="inlineStr"/>
      <c r="Q823" s="1" t="inlineStr">
        <is>
          <t>Пользовательский интерфейс</t>
        </is>
      </c>
    </row>
    <row r="824">
      <c r="B824" s="1" t="inlineStr">
        <is>
          <t>41372152</t>
        </is>
      </c>
      <c r="C824" s="1" t="inlineStr">
        <is>
          <t>3335316</t>
        </is>
      </c>
      <c r="D824" t="inlineStr">
        <is>
          <t>работник 236</t>
        </is>
      </c>
      <c r="E824" s="1" t="inlineStr">
        <is>
          <t>ОБЩЕСТВО С ОГРАНИЧЕННОЙ ОТВЕТСТВЕННОСТЬЮ "АМУР ЗОЛОТО"</t>
        </is>
      </c>
      <c r="F824" s="1" t="inlineStr">
        <is>
          <t>2708001686</t>
        </is>
      </c>
      <c r="G824" s="1" t="inlineStr">
        <is>
          <t>Дробильщик</t>
        </is>
      </c>
      <c r="H824" s="1" t="inlineStr">
        <is>
          <t>ООО "Амур Золото"</t>
        </is>
      </c>
      <c r="I824" s="1" t="inlineStr">
        <is>
          <t>2708001686</t>
        </is>
      </c>
      <c r="J824" s="1" t="inlineStr">
        <is>
          <t>ОТ № ЮГОК ПАЛ 24-02</t>
        </is>
      </c>
      <c r="K824" s="1" t="inlineStr">
        <is>
          <t>Оказание первой помощи пострадавшим</t>
        </is>
      </c>
      <c r="L824" s="1" t="inlineStr">
        <is>
          <t>23.02.2024</t>
        </is>
      </c>
      <c r="M824" s="1" t="inlineStr">
        <is>
          <t>Успешно</t>
        </is>
      </c>
      <c r="N824" s="1" t="inlineStr">
        <is>
          <t>26.02.2024</t>
        </is>
      </c>
      <c r="O824" s="1" t="inlineStr"/>
      <c r="P824" s="1" t="inlineStr"/>
      <c r="Q824" s="1" t="inlineStr">
        <is>
          <t>Пользовательский интерфейс</t>
        </is>
      </c>
    </row>
    <row r="825">
      <c r="B825" s="1" t="inlineStr">
        <is>
          <t>41372153</t>
        </is>
      </c>
      <c r="C825" s="1" t="inlineStr">
        <is>
          <t>3335316</t>
        </is>
      </c>
      <c r="D825" t="inlineStr">
        <is>
          <t>работник 236</t>
        </is>
      </c>
      <c r="E825" s="1" t="inlineStr">
        <is>
          <t>ОБЩЕСТВО С ОГРАНИЧЕННОЙ ОТВЕТСТВЕННОСТЬЮ "АМУР ЗОЛОТО"</t>
        </is>
      </c>
      <c r="F825" s="1" t="inlineStr">
        <is>
          <t>2708001686</t>
        </is>
      </c>
      <c r="G825" s="1" t="inlineStr">
        <is>
          <t>Дробильщик</t>
        </is>
      </c>
      <c r="H825" s="1" t="inlineStr">
        <is>
          <t>ООО "Амур Золото"</t>
        </is>
      </c>
      <c r="I825" s="1" t="inlineStr">
        <is>
          <t>2708001686</t>
        </is>
      </c>
      <c r="J825" s="1" t="inlineStr">
        <is>
          <t>ОТ № ЮГОК ПАЛ 24-02</t>
        </is>
      </c>
      <c r="K825" s="1" t="inlineStr">
        <is>
          <t>Использование (применение) средств индивидуальной защиты</t>
        </is>
      </c>
      <c r="L825" s="1" t="inlineStr">
        <is>
          <t>23.02.2024</t>
        </is>
      </c>
      <c r="M825" s="1" t="inlineStr">
        <is>
          <t>Успешно</t>
        </is>
      </c>
      <c r="N825" s="1" t="inlineStr">
        <is>
          <t>26.02.2024</t>
        </is>
      </c>
      <c r="O825" s="1" t="inlineStr"/>
      <c r="P825" s="1" t="inlineStr"/>
      <c r="Q825" s="1" t="inlineStr">
        <is>
          <t>Пользовательский интерфейс</t>
        </is>
      </c>
    </row>
    <row r="826">
      <c r="B826" s="1" t="inlineStr">
        <is>
          <t>41372154</t>
        </is>
      </c>
      <c r="C826" s="1" t="inlineStr">
        <is>
          <t>3335316</t>
        </is>
      </c>
      <c r="D826" t="inlineStr">
        <is>
          <t>работник 236</t>
        </is>
      </c>
      <c r="E826" s="1" t="inlineStr">
        <is>
          <t>ОБЩЕСТВО С ОГРАНИЧЕННОЙ ОТВЕТСТВЕННОСТЬЮ "АМУР ЗОЛОТО"</t>
        </is>
      </c>
      <c r="F826" s="1" t="inlineStr">
        <is>
          <t>2708001686</t>
        </is>
      </c>
      <c r="G826" s="1" t="inlineStr">
        <is>
          <t>Дробильщик</t>
        </is>
      </c>
      <c r="H826" s="1" t="inlineStr">
        <is>
          <t>ООО "Амур Золото"</t>
        </is>
      </c>
      <c r="I826" s="1" t="inlineStr">
        <is>
          <t>2708001686</t>
        </is>
      </c>
      <c r="J826" s="1" t="inlineStr">
        <is>
          <t>ОТ № ЮГОК ПАЛ 24-02</t>
        </is>
      </c>
      <c r="K82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826" s="1" t="inlineStr">
        <is>
          <t>23.02.2024</t>
        </is>
      </c>
      <c r="M826" s="1" t="inlineStr">
        <is>
          <t>Успешно</t>
        </is>
      </c>
      <c r="N826" s="1" t="inlineStr">
        <is>
          <t>26.02.2024</t>
        </is>
      </c>
      <c r="O826" s="1" t="inlineStr"/>
      <c r="P826" s="1" t="inlineStr"/>
      <c r="Q826" s="1" t="inlineStr">
        <is>
          <t>Пользовательский интерфейс</t>
        </is>
      </c>
    </row>
    <row r="827">
      <c r="B827" s="1" t="inlineStr">
        <is>
          <t>41372155</t>
        </is>
      </c>
      <c r="C827" s="1" t="inlineStr">
        <is>
          <t>3335316</t>
        </is>
      </c>
      <c r="D827" t="inlineStr">
        <is>
          <t>работник 237</t>
        </is>
      </c>
      <c r="E827" s="1" t="inlineStr">
        <is>
          <t>ОБЩЕСТВО С ОГРАНИЧЕННОЙ ОТВЕТСТВЕННОСТЬЮ "АМУР ЗОЛОТО"</t>
        </is>
      </c>
      <c r="F827" s="1" t="inlineStr">
        <is>
          <t>2708001686</t>
        </is>
      </c>
      <c r="G827" s="1" t="inlineStr">
        <is>
          <t>Инженер пробирного анализа</t>
        </is>
      </c>
      <c r="H827" s="1" t="inlineStr">
        <is>
          <t>ООО "Амур Золото"</t>
        </is>
      </c>
      <c r="I827" s="1" t="inlineStr">
        <is>
          <t>2708001686</t>
        </is>
      </c>
      <c r="J827" s="1" t="inlineStr">
        <is>
          <t>ОТ № ЮГОК ПАЛ 24-02</t>
        </is>
      </c>
      <c r="K827" s="1" t="inlineStr">
        <is>
          <t>Оказание первой помощи пострадавшим</t>
        </is>
      </c>
      <c r="L827" s="1" t="inlineStr">
        <is>
          <t>23.02.2024</t>
        </is>
      </c>
      <c r="M827" s="1" t="inlineStr">
        <is>
          <t>Успешно</t>
        </is>
      </c>
      <c r="N827" s="1" t="inlineStr">
        <is>
          <t>26.02.2024</t>
        </is>
      </c>
      <c r="O827" s="1" t="inlineStr"/>
      <c r="P827" s="1" t="inlineStr"/>
      <c r="Q827" s="1" t="inlineStr">
        <is>
          <t>Пользовательский интерфейс</t>
        </is>
      </c>
    </row>
    <row r="828">
      <c r="B828" s="1" t="inlineStr">
        <is>
          <t>41372156</t>
        </is>
      </c>
      <c r="C828" s="1" t="inlineStr">
        <is>
          <t>3335316</t>
        </is>
      </c>
      <c r="D828" t="inlineStr">
        <is>
          <t>работник 237</t>
        </is>
      </c>
      <c r="E828" s="1" t="inlineStr">
        <is>
          <t>ОБЩЕСТВО С ОГРАНИЧЕННОЙ ОТВЕТСТВЕННОСТЬЮ "АМУР ЗОЛОТО"</t>
        </is>
      </c>
      <c r="F828" s="1" t="inlineStr">
        <is>
          <t>2708001686</t>
        </is>
      </c>
      <c r="G828" s="1" t="inlineStr">
        <is>
          <t>Инженер пробирного анализа</t>
        </is>
      </c>
      <c r="H828" s="1" t="inlineStr">
        <is>
          <t>ООО "Амур Золото"</t>
        </is>
      </c>
      <c r="I828" s="1" t="inlineStr">
        <is>
          <t>2708001686</t>
        </is>
      </c>
      <c r="J828" s="1" t="inlineStr">
        <is>
          <t>ОТ № ЮГОК ПАЛ 24-02</t>
        </is>
      </c>
      <c r="K828" s="1" t="inlineStr">
        <is>
          <t>Использование (применение) средств индивидуальной защиты</t>
        </is>
      </c>
      <c r="L828" s="1" t="inlineStr">
        <is>
          <t>23.02.2024</t>
        </is>
      </c>
      <c r="M828" s="1" t="inlineStr">
        <is>
          <t>Успешно</t>
        </is>
      </c>
      <c r="N828" s="1" t="inlineStr">
        <is>
          <t>26.02.2024</t>
        </is>
      </c>
      <c r="O828" s="1" t="inlineStr"/>
      <c r="P828" s="1" t="inlineStr"/>
      <c r="Q828" s="1" t="inlineStr">
        <is>
          <t>Пользовательский интерфейс</t>
        </is>
      </c>
    </row>
    <row r="829">
      <c r="B829" s="1" t="inlineStr">
        <is>
          <t>41372157</t>
        </is>
      </c>
      <c r="C829" s="1" t="inlineStr">
        <is>
          <t>3335316</t>
        </is>
      </c>
      <c r="D829" t="inlineStr">
        <is>
          <t>работник 237</t>
        </is>
      </c>
      <c r="E829" s="1" t="inlineStr">
        <is>
          <t>ОБЩЕСТВО С ОГРАНИЧЕННОЙ ОТВЕТСТВЕННОСТЬЮ "АМУР ЗОЛОТО"</t>
        </is>
      </c>
      <c r="F829" s="1" t="inlineStr">
        <is>
          <t>2708001686</t>
        </is>
      </c>
      <c r="G829" s="1" t="inlineStr">
        <is>
          <t>Инженер пробирного анализа</t>
        </is>
      </c>
      <c r="H829" s="1" t="inlineStr">
        <is>
          <t>ООО "Амур Золото"</t>
        </is>
      </c>
      <c r="I829" s="1" t="inlineStr">
        <is>
          <t>2708001686</t>
        </is>
      </c>
      <c r="J829" s="1" t="inlineStr">
        <is>
          <t>ОТ № ЮГОК ПАЛ 24-02</t>
        </is>
      </c>
      <c r="K82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829" s="1" t="inlineStr">
        <is>
          <t>23.02.2024</t>
        </is>
      </c>
      <c r="M829" s="1" t="inlineStr">
        <is>
          <t>Успешно</t>
        </is>
      </c>
      <c r="N829" s="1" t="inlineStr">
        <is>
          <t>26.02.2024</t>
        </is>
      </c>
      <c r="O829" s="1" t="inlineStr"/>
      <c r="P829" s="1" t="inlineStr"/>
      <c r="Q829" s="1" t="inlineStr">
        <is>
          <t>Пользовательский интерфейс</t>
        </is>
      </c>
    </row>
    <row r="830">
      <c r="B830" s="1" t="inlineStr">
        <is>
          <t>41372158</t>
        </is>
      </c>
      <c r="C830" s="1" t="inlineStr">
        <is>
          <t>3335316</t>
        </is>
      </c>
      <c r="D830" t="inlineStr">
        <is>
          <t>работник 238</t>
        </is>
      </c>
      <c r="E830" s="1" t="inlineStr">
        <is>
          <t>ОБЩЕСТВО С ОГРАНИЧЕННОЙ ОТВЕТСТВЕННОСТЬЮ "АМУР ЗОЛОТО"</t>
        </is>
      </c>
      <c r="F830" s="1" t="inlineStr">
        <is>
          <t>2708001686</t>
        </is>
      </c>
      <c r="G830" s="1" t="inlineStr">
        <is>
          <t>Лаборант пробирного анализа</t>
        </is>
      </c>
      <c r="H830" s="1" t="inlineStr">
        <is>
          <t>ООО "Амур Золото"</t>
        </is>
      </c>
      <c r="I830" s="1" t="inlineStr">
        <is>
          <t>2708001686</t>
        </is>
      </c>
      <c r="J830" s="1" t="inlineStr">
        <is>
          <t>ОТ № ЮГОК ПАЛ 24-02</t>
        </is>
      </c>
      <c r="K830" s="1" t="inlineStr">
        <is>
          <t>Оказание первой помощи пострадавшим</t>
        </is>
      </c>
      <c r="L830" s="1" t="inlineStr">
        <is>
          <t>23.02.2024</t>
        </is>
      </c>
      <c r="M830" s="1" t="inlineStr">
        <is>
          <t>Успешно</t>
        </is>
      </c>
      <c r="N830" s="1" t="inlineStr">
        <is>
          <t>26.02.2024</t>
        </is>
      </c>
      <c r="O830" s="1" t="inlineStr"/>
      <c r="P830" s="1" t="inlineStr"/>
      <c r="Q830" s="1" t="inlineStr">
        <is>
          <t>Пользовательский интерфейс</t>
        </is>
      </c>
    </row>
    <row r="831">
      <c r="B831" s="1" t="inlineStr">
        <is>
          <t>41372159</t>
        </is>
      </c>
      <c r="C831" s="1" t="inlineStr">
        <is>
          <t>3335316</t>
        </is>
      </c>
      <c r="D831" t="inlineStr">
        <is>
          <t>работник 238</t>
        </is>
      </c>
      <c r="E831" s="1" t="inlineStr">
        <is>
          <t>ОБЩЕСТВО С ОГРАНИЧЕННОЙ ОТВЕТСТВЕННОСТЬЮ "АМУР ЗОЛОТО"</t>
        </is>
      </c>
      <c r="F831" s="1" t="inlineStr">
        <is>
          <t>2708001686</t>
        </is>
      </c>
      <c r="G831" s="1" t="inlineStr">
        <is>
          <t>Лаборант пробирного анализа</t>
        </is>
      </c>
      <c r="H831" s="1" t="inlineStr">
        <is>
          <t>ООО "Амур Золото"</t>
        </is>
      </c>
      <c r="I831" s="1" t="inlineStr">
        <is>
          <t>2708001686</t>
        </is>
      </c>
      <c r="J831" s="1" t="inlineStr">
        <is>
          <t>ОТ № ЮГОК ПАЛ 24-02</t>
        </is>
      </c>
      <c r="K831" s="1" t="inlineStr">
        <is>
          <t>Использование (применение) средств индивидуальной защиты</t>
        </is>
      </c>
      <c r="L831" s="1" t="inlineStr">
        <is>
          <t>23.02.2024</t>
        </is>
      </c>
      <c r="M831" s="1" t="inlineStr">
        <is>
          <t>Успешно</t>
        </is>
      </c>
      <c r="N831" s="1" t="inlineStr">
        <is>
          <t>26.02.2024</t>
        </is>
      </c>
      <c r="O831" s="1" t="inlineStr"/>
      <c r="P831" s="1" t="inlineStr"/>
      <c r="Q831" s="1" t="inlineStr">
        <is>
          <t>Пользовательский интерфейс</t>
        </is>
      </c>
    </row>
    <row r="832">
      <c r="B832" s="1" t="inlineStr">
        <is>
          <t>41372160</t>
        </is>
      </c>
      <c r="C832" s="1" t="inlineStr">
        <is>
          <t>3335316</t>
        </is>
      </c>
      <c r="D832" t="inlineStr">
        <is>
          <t>работник 238</t>
        </is>
      </c>
      <c r="E832" s="1" t="inlineStr">
        <is>
          <t>ОБЩЕСТВО С ОГРАНИЧЕННОЙ ОТВЕТСТВЕННОСТЬЮ "АМУР ЗОЛОТО"</t>
        </is>
      </c>
      <c r="F832" s="1" t="inlineStr">
        <is>
          <t>2708001686</t>
        </is>
      </c>
      <c r="G832" s="1" t="inlineStr">
        <is>
          <t>Лаборант пробирного анализа</t>
        </is>
      </c>
      <c r="H832" s="1" t="inlineStr">
        <is>
          <t>ООО "Амур Золото"</t>
        </is>
      </c>
      <c r="I832" s="1" t="inlineStr">
        <is>
          <t>2708001686</t>
        </is>
      </c>
      <c r="J832" s="1" t="inlineStr">
        <is>
          <t>ОТ № ЮГОК ПАЛ 24-02</t>
        </is>
      </c>
      <c r="K83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832" s="1" t="inlineStr">
        <is>
          <t>23.02.2024</t>
        </is>
      </c>
      <c r="M832" s="1" t="inlineStr">
        <is>
          <t>Успешно</t>
        </is>
      </c>
      <c r="N832" s="1" t="inlineStr">
        <is>
          <t>26.02.2024</t>
        </is>
      </c>
      <c r="O832" s="1" t="inlineStr"/>
      <c r="P832" s="1" t="inlineStr"/>
      <c r="Q832" s="1" t="inlineStr">
        <is>
          <t>Пользовательский интерфейс</t>
        </is>
      </c>
    </row>
    <row r="833">
      <c r="B833" s="1" t="inlineStr">
        <is>
          <t>41372161</t>
        </is>
      </c>
      <c r="C833" s="1" t="inlineStr">
        <is>
          <t>3335316</t>
        </is>
      </c>
      <c r="D833" t="inlineStr">
        <is>
          <t>работник 239</t>
        </is>
      </c>
      <c r="E833" s="1" t="inlineStr">
        <is>
          <t>ОБЩЕСТВО С ОГРАНИЧЕННОЙ ОТВЕТСТВЕННОСТЬЮ "АМУР ЗОЛОТО"</t>
        </is>
      </c>
      <c r="F833" s="1" t="inlineStr">
        <is>
          <t>2708001686</t>
        </is>
      </c>
      <c r="G833" s="1" t="inlineStr">
        <is>
          <t>Инженер химического анализа</t>
        </is>
      </c>
      <c r="H833" s="1" t="inlineStr">
        <is>
          <t>ООО "Амур Золото"</t>
        </is>
      </c>
      <c r="I833" s="1" t="inlineStr">
        <is>
          <t>2708001686</t>
        </is>
      </c>
      <c r="J833" s="1" t="inlineStr">
        <is>
          <t>ОТ № ЮГОК ПАЛ 24-02</t>
        </is>
      </c>
      <c r="K833" s="1" t="inlineStr">
        <is>
          <t>Оказание первой помощи пострадавшим</t>
        </is>
      </c>
      <c r="L833" s="1" t="inlineStr">
        <is>
          <t>23.02.2024</t>
        </is>
      </c>
      <c r="M833" s="1" t="inlineStr">
        <is>
          <t>Успешно</t>
        </is>
      </c>
      <c r="N833" s="1" t="inlineStr">
        <is>
          <t>26.02.2024</t>
        </is>
      </c>
      <c r="O833" s="1" t="inlineStr"/>
      <c r="P833" s="1" t="inlineStr"/>
      <c r="Q833" s="1" t="inlineStr">
        <is>
          <t>Пользовательский интерфейс</t>
        </is>
      </c>
    </row>
    <row r="834">
      <c r="B834" s="1" t="inlineStr">
        <is>
          <t>41372162</t>
        </is>
      </c>
      <c r="C834" s="1" t="inlineStr">
        <is>
          <t>3335316</t>
        </is>
      </c>
      <c r="D834" t="inlineStr">
        <is>
          <t>работник 239</t>
        </is>
      </c>
      <c r="E834" s="1" t="inlineStr">
        <is>
          <t>ОБЩЕСТВО С ОГРАНИЧЕННОЙ ОТВЕТСТВЕННОСТЬЮ "АМУР ЗОЛОТО"</t>
        </is>
      </c>
      <c r="F834" s="1" t="inlineStr">
        <is>
          <t>2708001686</t>
        </is>
      </c>
      <c r="G834" s="1" t="inlineStr">
        <is>
          <t>Инженер химического анализа</t>
        </is>
      </c>
      <c r="H834" s="1" t="inlineStr">
        <is>
          <t>ООО "Амур Золото"</t>
        </is>
      </c>
      <c r="I834" s="1" t="inlineStr">
        <is>
          <t>2708001686</t>
        </is>
      </c>
      <c r="J834" s="1" t="inlineStr">
        <is>
          <t>ОТ № ЮГОК ПАЛ 24-02</t>
        </is>
      </c>
      <c r="K834" s="1" t="inlineStr">
        <is>
          <t>Использование (применение) средств индивидуальной защиты</t>
        </is>
      </c>
      <c r="L834" s="1" t="inlineStr">
        <is>
          <t>23.02.2024</t>
        </is>
      </c>
      <c r="M834" s="1" t="inlineStr">
        <is>
          <t>Успешно</t>
        </is>
      </c>
      <c r="N834" s="1" t="inlineStr">
        <is>
          <t>26.02.2024</t>
        </is>
      </c>
      <c r="O834" s="1" t="inlineStr"/>
      <c r="P834" s="1" t="inlineStr"/>
      <c r="Q834" s="1" t="inlineStr">
        <is>
          <t>Пользовательский интерфейс</t>
        </is>
      </c>
    </row>
    <row r="835">
      <c r="B835" s="1" t="inlineStr">
        <is>
          <t>41372163</t>
        </is>
      </c>
      <c r="C835" s="1" t="inlineStr">
        <is>
          <t>3335316</t>
        </is>
      </c>
      <c r="D835" t="inlineStr">
        <is>
          <t>работник 239</t>
        </is>
      </c>
      <c r="E835" s="1" t="inlineStr">
        <is>
          <t>ОБЩЕСТВО С ОГРАНИЧЕННОЙ ОТВЕТСТВЕННОСТЬЮ "АМУР ЗОЛОТО"</t>
        </is>
      </c>
      <c r="F835" s="1" t="inlineStr">
        <is>
          <t>2708001686</t>
        </is>
      </c>
      <c r="G835" s="1" t="inlineStr">
        <is>
          <t>Инженер химического анализа</t>
        </is>
      </c>
      <c r="H835" s="1" t="inlineStr">
        <is>
          <t>ООО "Амур Золото"</t>
        </is>
      </c>
      <c r="I835" s="1" t="inlineStr">
        <is>
          <t>2708001686</t>
        </is>
      </c>
      <c r="J835" s="1" t="inlineStr">
        <is>
          <t>ОТ № ЮГОК ПАЛ 24-02</t>
        </is>
      </c>
      <c r="K83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835" s="1" t="inlineStr">
        <is>
          <t>23.02.2024</t>
        </is>
      </c>
      <c r="M835" s="1" t="inlineStr">
        <is>
          <t>Успешно</t>
        </is>
      </c>
      <c r="N835" s="1" t="inlineStr">
        <is>
          <t>26.02.2024</t>
        </is>
      </c>
      <c r="O835" s="1" t="inlineStr"/>
      <c r="P835" s="1" t="inlineStr"/>
      <c r="Q835" s="1" t="inlineStr">
        <is>
          <t>Пользовательский интерфейс</t>
        </is>
      </c>
    </row>
    <row r="836">
      <c r="B836" s="1" t="inlineStr">
        <is>
          <t>41372164</t>
        </is>
      </c>
      <c r="C836" s="1" t="inlineStr">
        <is>
          <t>3335316</t>
        </is>
      </c>
      <c r="D836" t="inlineStr">
        <is>
          <t>работник 240</t>
        </is>
      </c>
      <c r="E836" s="1" t="inlineStr">
        <is>
          <t>ОБЩЕСТВО С ОГРАНИЧЕННОЙ ОТВЕТСТВЕННОСТЬЮ "АМУР ЗОЛОТО"</t>
        </is>
      </c>
      <c r="F836" s="1" t="inlineStr">
        <is>
          <t>2708001686</t>
        </is>
      </c>
      <c r="G836" s="1" t="inlineStr">
        <is>
          <t>Дробильщик</t>
        </is>
      </c>
      <c r="H836" s="1" t="inlineStr">
        <is>
          <t>ООО "Амур Золото"</t>
        </is>
      </c>
      <c r="I836" s="1" t="inlineStr">
        <is>
          <t>2708001686</t>
        </is>
      </c>
      <c r="J836" s="1" t="inlineStr">
        <is>
          <t>ОТ ЮГОК ЗИОФ 24-15</t>
        </is>
      </c>
      <c r="K836" s="1" t="inlineStr">
        <is>
          <t>Оказание первой помощи пострадавшим</t>
        </is>
      </c>
      <c r="L836" s="1" t="inlineStr">
        <is>
          <t>23.02.2024</t>
        </is>
      </c>
      <c r="M836" s="1" t="inlineStr">
        <is>
          <t>Успешно</t>
        </is>
      </c>
      <c r="N836" s="1" t="inlineStr">
        <is>
          <t>26.02.2024</t>
        </is>
      </c>
      <c r="O836" s="1" t="inlineStr"/>
      <c r="P836" s="1" t="inlineStr"/>
      <c r="Q836" s="1" t="inlineStr">
        <is>
          <t>Пользовательский интерфейс</t>
        </is>
      </c>
    </row>
    <row r="837">
      <c r="B837" s="1" t="inlineStr">
        <is>
          <t>41372165</t>
        </is>
      </c>
      <c r="C837" s="1" t="inlineStr">
        <is>
          <t>3335316</t>
        </is>
      </c>
      <c r="D837" t="inlineStr">
        <is>
          <t>работник 240</t>
        </is>
      </c>
      <c r="E837" s="1" t="inlineStr">
        <is>
          <t>ОБЩЕСТВО С ОГРАНИЧЕННОЙ ОТВЕТСТВЕННОСТЬЮ "АМУР ЗОЛОТО"</t>
        </is>
      </c>
      <c r="F837" s="1" t="inlineStr">
        <is>
          <t>2708001686</t>
        </is>
      </c>
      <c r="G837" s="1" t="inlineStr">
        <is>
          <t>Дробильщик</t>
        </is>
      </c>
      <c r="H837" s="1" t="inlineStr">
        <is>
          <t>ООО "Амур Золото"</t>
        </is>
      </c>
      <c r="I837" s="1" t="inlineStr">
        <is>
          <t>2708001686</t>
        </is>
      </c>
      <c r="J837" s="1" t="inlineStr">
        <is>
          <t>ОТ ЮГОК ЗИОФ 24-15</t>
        </is>
      </c>
      <c r="K837" s="1" t="inlineStr">
        <is>
          <t>Использование (применение) средств индивидуальной защиты</t>
        </is>
      </c>
      <c r="L837" s="1" t="inlineStr">
        <is>
          <t>23.02.2024</t>
        </is>
      </c>
      <c r="M837" s="1" t="inlineStr">
        <is>
          <t>Успешно</t>
        </is>
      </c>
      <c r="N837" s="1" t="inlineStr">
        <is>
          <t>26.02.2024</t>
        </is>
      </c>
      <c r="O837" s="1" t="inlineStr"/>
      <c r="P837" s="1" t="inlineStr"/>
      <c r="Q837" s="1" t="inlineStr">
        <is>
          <t>Пользовательский интерфейс</t>
        </is>
      </c>
    </row>
    <row r="838">
      <c r="B838" s="1" t="inlineStr">
        <is>
          <t>41372166</t>
        </is>
      </c>
      <c r="C838" s="1" t="inlineStr">
        <is>
          <t>3335316</t>
        </is>
      </c>
      <c r="D838" t="inlineStr">
        <is>
          <t>работник 240</t>
        </is>
      </c>
      <c r="E838" s="1" t="inlineStr">
        <is>
          <t>ОБЩЕСТВО С ОГРАНИЧЕННОЙ ОТВЕТСТВЕННОСТЬЮ "АМУР ЗОЛОТО"</t>
        </is>
      </c>
      <c r="F838" s="1" t="inlineStr">
        <is>
          <t>2708001686</t>
        </is>
      </c>
      <c r="G838" s="1" t="inlineStr">
        <is>
          <t>Дробильщик</t>
        </is>
      </c>
      <c r="H838" s="1" t="inlineStr">
        <is>
          <t>ООО "Амур Золото"</t>
        </is>
      </c>
      <c r="I838" s="1" t="inlineStr">
        <is>
          <t>2708001686</t>
        </is>
      </c>
      <c r="J838" s="1" t="inlineStr">
        <is>
          <t>ОТ ЮГОК ЗИОФ 24-15</t>
        </is>
      </c>
      <c r="K83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838" s="1" t="inlineStr">
        <is>
          <t>23.02.2024</t>
        </is>
      </c>
      <c r="M838" s="1" t="inlineStr">
        <is>
          <t>Успешно</t>
        </is>
      </c>
      <c r="N838" s="1" t="inlineStr">
        <is>
          <t>26.02.2024</t>
        </is>
      </c>
      <c r="O838" s="1" t="inlineStr"/>
      <c r="P838" s="1" t="inlineStr"/>
      <c r="Q838" s="1" t="inlineStr">
        <is>
          <t>Пользовательский интерфейс</t>
        </is>
      </c>
    </row>
    <row r="839">
      <c r="B839" s="1" t="inlineStr">
        <is>
          <t>41372167</t>
        </is>
      </c>
      <c r="C839" s="1" t="inlineStr">
        <is>
          <t>3335316</t>
        </is>
      </c>
      <c r="D839" t="inlineStr">
        <is>
          <t>работник 241</t>
        </is>
      </c>
      <c r="E839" s="1" t="inlineStr">
        <is>
          <t>ОБЩЕСТВО С ОГРАНИЧЕННОЙ ОТВЕТСТВЕННОСТЬЮ "АМУР ЗОЛОТО"</t>
        </is>
      </c>
      <c r="F839" s="1" t="inlineStr">
        <is>
          <t>2708001686</t>
        </is>
      </c>
      <c r="G839" s="1" t="inlineStr">
        <is>
          <t>Аппаратчик-гидрометаллург</t>
        </is>
      </c>
      <c r="H839" s="1" t="inlineStr">
        <is>
          <t>ООО "Амур Золото"</t>
        </is>
      </c>
      <c r="I839" s="1" t="inlineStr">
        <is>
          <t>2708001686</t>
        </is>
      </c>
      <c r="J839" s="1" t="inlineStr">
        <is>
          <t>ОТ ЮГОК ЗИОФ 24-02</t>
        </is>
      </c>
      <c r="K839" s="1" t="inlineStr">
        <is>
          <t>Оказание первой помощи пострадавшим</t>
        </is>
      </c>
      <c r="L839" s="1" t="inlineStr">
        <is>
          <t>28.01.2024</t>
        </is>
      </c>
      <c r="M839" s="1" t="inlineStr">
        <is>
          <t>Успешно</t>
        </is>
      </c>
      <c r="N839" s="1" t="inlineStr">
        <is>
          <t>26.02.2024</t>
        </is>
      </c>
      <c r="O839" s="1" t="inlineStr"/>
      <c r="P839" s="1" t="inlineStr"/>
      <c r="Q839" s="1" t="inlineStr">
        <is>
          <t>Пользовательский интерфейс</t>
        </is>
      </c>
    </row>
    <row r="840">
      <c r="B840" s="1" t="inlineStr">
        <is>
          <t>41372168</t>
        </is>
      </c>
      <c r="C840" s="1" t="inlineStr">
        <is>
          <t>3335316</t>
        </is>
      </c>
      <c r="D840" t="inlineStr">
        <is>
          <t>работник 241</t>
        </is>
      </c>
      <c r="E840" s="1" t="inlineStr">
        <is>
          <t>ОБЩЕСТВО С ОГРАНИЧЕННОЙ ОТВЕТСТВЕННОСТЬЮ "АМУР ЗОЛОТО"</t>
        </is>
      </c>
      <c r="F840" s="1" t="inlineStr">
        <is>
          <t>2708001686</t>
        </is>
      </c>
      <c r="G840" s="1" t="inlineStr">
        <is>
          <t>Аппаратчик-гидрометаллург</t>
        </is>
      </c>
      <c r="H840" s="1" t="inlineStr">
        <is>
          <t>ООО "Амур Золото"</t>
        </is>
      </c>
      <c r="I840" s="1" t="inlineStr">
        <is>
          <t>2708001686</t>
        </is>
      </c>
      <c r="J840" s="1" t="inlineStr">
        <is>
          <t>ОТ ЮГОК ЗИОФ 24-02</t>
        </is>
      </c>
      <c r="K840" s="1" t="inlineStr">
        <is>
          <t>Использование (применение) средств индивидуальной защиты</t>
        </is>
      </c>
      <c r="L840" s="1" t="inlineStr">
        <is>
          <t>28.01.2024</t>
        </is>
      </c>
      <c r="M840" s="1" t="inlineStr">
        <is>
          <t>Успешно</t>
        </is>
      </c>
      <c r="N840" s="1" t="inlineStr">
        <is>
          <t>26.02.2024</t>
        </is>
      </c>
      <c r="O840" s="1" t="inlineStr"/>
      <c r="P840" s="1" t="inlineStr"/>
      <c r="Q840" s="1" t="inlineStr">
        <is>
          <t>Пользовательский интерфейс</t>
        </is>
      </c>
    </row>
    <row r="841">
      <c r="B841" s="1" t="inlineStr">
        <is>
          <t>41372169</t>
        </is>
      </c>
      <c r="C841" s="1" t="inlineStr">
        <is>
          <t>3335316</t>
        </is>
      </c>
      <c r="D841" t="inlineStr">
        <is>
          <t>работник 241</t>
        </is>
      </c>
      <c r="E841" s="1" t="inlineStr">
        <is>
          <t>ОБЩЕСТВО С ОГРАНИЧЕННОЙ ОТВЕТСТВЕННОСТЬЮ "АМУР ЗОЛОТО"</t>
        </is>
      </c>
      <c r="F841" s="1" t="inlineStr">
        <is>
          <t>2708001686</t>
        </is>
      </c>
      <c r="G841" s="1" t="inlineStr">
        <is>
          <t>Аппаратчик-гидрометаллург</t>
        </is>
      </c>
      <c r="H841" s="1" t="inlineStr">
        <is>
          <t>ООО "Амур Золото"</t>
        </is>
      </c>
      <c r="I841" s="1" t="inlineStr">
        <is>
          <t>2708001686</t>
        </is>
      </c>
      <c r="J841" s="1" t="inlineStr">
        <is>
          <t>ОТ ЮГОК ЗИОФ 24-02</t>
        </is>
      </c>
      <c r="K84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841" s="1" t="inlineStr">
        <is>
          <t>28.01.2024</t>
        </is>
      </c>
      <c r="M841" s="1" t="inlineStr">
        <is>
          <t>Успешно</t>
        </is>
      </c>
      <c r="N841" s="1" t="inlineStr">
        <is>
          <t>26.02.2024</t>
        </is>
      </c>
      <c r="O841" s="1" t="inlineStr"/>
      <c r="P841" s="1" t="inlineStr"/>
      <c r="Q841" s="1" t="inlineStr">
        <is>
          <t>Пользовательский интерфейс</t>
        </is>
      </c>
    </row>
    <row r="842">
      <c r="B842" s="1" t="inlineStr">
        <is>
          <t>41372170</t>
        </is>
      </c>
      <c r="C842" s="1" t="inlineStr">
        <is>
          <t>3335316</t>
        </is>
      </c>
      <c r="D842" t="inlineStr">
        <is>
          <t>работник 242</t>
        </is>
      </c>
      <c r="E842" s="1" t="inlineStr">
        <is>
          <t>ОБЩЕСТВО С ОГРАНИЧЕННОЙ ОТВЕТСТВЕННОСТЬЮ "АМУР ЗОЛОТО"</t>
        </is>
      </c>
      <c r="F842" s="1" t="inlineStr">
        <is>
          <t>2708001686</t>
        </is>
      </c>
      <c r="G842" s="1" t="inlineStr">
        <is>
          <t>Фильтровальщик</t>
        </is>
      </c>
      <c r="H842" s="1" t="inlineStr">
        <is>
          <t>ООО "Амур Золото"</t>
        </is>
      </c>
      <c r="I842" s="1" t="inlineStr">
        <is>
          <t>2708001686</t>
        </is>
      </c>
      <c r="J842" s="1" t="inlineStr">
        <is>
          <t>ОТ ЮГОК ЗИОФ 24-03</t>
        </is>
      </c>
      <c r="K842" s="1" t="inlineStr">
        <is>
          <t>Оказание первой помощи пострадавшим</t>
        </is>
      </c>
      <c r="L842" s="1" t="inlineStr">
        <is>
          <t>28.01.2024</t>
        </is>
      </c>
      <c r="M842" s="1" t="inlineStr">
        <is>
          <t>Успешно</t>
        </is>
      </c>
      <c r="N842" s="1" t="inlineStr">
        <is>
          <t>26.02.2024</t>
        </is>
      </c>
      <c r="O842" s="1" t="inlineStr"/>
      <c r="P842" s="1" t="inlineStr"/>
      <c r="Q842" s="1" t="inlineStr">
        <is>
          <t>Пользовательский интерфейс</t>
        </is>
      </c>
    </row>
    <row r="843">
      <c r="B843" s="1" t="inlineStr">
        <is>
          <t>41372171</t>
        </is>
      </c>
      <c r="C843" s="1" t="inlineStr">
        <is>
          <t>3335316</t>
        </is>
      </c>
      <c r="D843" t="inlineStr">
        <is>
          <t>работник 242</t>
        </is>
      </c>
      <c r="E843" s="1" t="inlineStr">
        <is>
          <t>ОБЩЕСТВО С ОГРАНИЧЕННОЙ ОТВЕТСТВЕННОСТЬЮ "АМУР ЗОЛОТО"</t>
        </is>
      </c>
      <c r="F843" s="1" t="inlineStr">
        <is>
          <t>2708001686</t>
        </is>
      </c>
      <c r="G843" s="1" t="inlineStr">
        <is>
          <t>Фильтровальщик</t>
        </is>
      </c>
      <c r="H843" s="1" t="inlineStr">
        <is>
          <t>ООО "Амур Золото"</t>
        </is>
      </c>
      <c r="I843" s="1" t="inlineStr">
        <is>
          <t>2708001686</t>
        </is>
      </c>
      <c r="J843" s="1" t="inlineStr">
        <is>
          <t>ОТ ЮГОК ЗИОФ 24-03</t>
        </is>
      </c>
      <c r="K843" s="1" t="inlineStr">
        <is>
          <t>Использование (применение) средств индивидуальной защиты</t>
        </is>
      </c>
      <c r="L843" s="1" t="inlineStr">
        <is>
          <t>28.01.2024</t>
        </is>
      </c>
      <c r="M843" s="1" t="inlineStr">
        <is>
          <t>Успешно</t>
        </is>
      </c>
      <c r="N843" s="1" t="inlineStr">
        <is>
          <t>26.02.2024</t>
        </is>
      </c>
      <c r="O843" s="1" t="inlineStr"/>
      <c r="P843" s="1" t="inlineStr"/>
      <c r="Q843" s="1" t="inlineStr">
        <is>
          <t>Пользовательский интерфейс</t>
        </is>
      </c>
    </row>
    <row r="844">
      <c r="B844" s="1" t="inlineStr">
        <is>
          <t>41372172</t>
        </is>
      </c>
      <c r="C844" s="1" t="inlineStr">
        <is>
          <t>3335316</t>
        </is>
      </c>
      <c r="D844" t="inlineStr">
        <is>
          <t>работник 242</t>
        </is>
      </c>
      <c r="E844" s="1" t="inlineStr">
        <is>
          <t>ОБЩЕСТВО С ОГРАНИЧЕННОЙ ОТВЕТСТВЕННОСТЬЮ "АМУР ЗОЛОТО"</t>
        </is>
      </c>
      <c r="F844" s="1" t="inlineStr">
        <is>
          <t>2708001686</t>
        </is>
      </c>
      <c r="G844" s="1" t="inlineStr">
        <is>
          <t>Фильтровальщик</t>
        </is>
      </c>
      <c r="H844" s="1" t="inlineStr">
        <is>
          <t>ООО "Амур Золото"</t>
        </is>
      </c>
      <c r="I844" s="1" t="inlineStr">
        <is>
          <t>2708001686</t>
        </is>
      </c>
      <c r="J844" s="1" t="inlineStr">
        <is>
          <t>ОТ ЮГОК ЗИОФ 24-03</t>
        </is>
      </c>
      <c r="K84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844" s="1" t="inlineStr">
        <is>
          <t>28.01.2024</t>
        </is>
      </c>
      <c r="M844" s="1" t="inlineStr">
        <is>
          <t>Успешно</t>
        </is>
      </c>
      <c r="N844" s="1" t="inlineStr">
        <is>
          <t>26.02.2024</t>
        </is>
      </c>
      <c r="O844" s="1" t="inlineStr"/>
      <c r="P844" s="1" t="inlineStr"/>
      <c r="Q844" s="1" t="inlineStr">
        <is>
          <t>Пользовательский интерфейс</t>
        </is>
      </c>
    </row>
    <row r="845">
      <c r="B845" s="1" t="inlineStr">
        <is>
          <t>41372173</t>
        </is>
      </c>
      <c r="C845" s="1" t="inlineStr">
        <is>
          <t>3335316</t>
        </is>
      </c>
      <c r="D845" t="inlineStr">
        <is>
          <t>работник 243</t>
        </is>
      </c>
      <c r="E845" s="1" t="inlineStr">
        <is>
          <t>ОБЩЕСТВО С ОГРАНИЧЕННОЙ ОТВЕТСТВЕННОСТЬЮ "АМУР ЗОЛОТО"</t>
        </is>
      </c>
      <c r="F845" s="1" t="inlineStr">
        <is>
          <t>2708001686</t>
        </is>
      </c>
      <c r="G845" s="1" t="inlineStr">
        <is>
          <t>Фильтровальщик</t>
        </is>
      </c>
      <c r="H845" s="1" t="inlineStr">
        <is>
          <t>ООО "Амур Золото"</t>
        </is>
      </c>
      <c r="I845" s="1" t="inlineStr">
        <is>
          <t>2708001686</t>
        </is>
      </c>
      <c r="J845" s="1" t="inlineStr">
        <is>
          <t>ОТ ЮГОК ЗИОФ 24-04</t>
        </is>
      </c>
      <c r="K845" s="1" t="inlineStr">
        <is>
          <t>Оказание первой помощи пострадавшим</t>
        </is>
      </c>
      <c r="L845" s="1" t="inlineStr">
        <is>
          <t>28.01.2024</t>
        </is>
      </c>
      <c r="M845" s="1" t="inlineStr">
        <is>
          <t>Успешно</t>
        </is>
      </c>
      <c r="N845" s="1" t="inlineStr">
        <is>
          <t>26.02.2024</t>
        </is>
      </c>
      <c r="O845" s="1" t="inlineStr"/>
      <c r="P845" s="1" t="inlineStr"/>
      <c r="Q845" s="1" t="inlineStr">
        <is>
          <t>Пользовательский интерфейс</t>
        </is>
      </c>
    </row>
    <row r="846">
      <c r="B846" s="1" t="inlineStr">
        <is>
          <t>41372174</t>
        </is>
      </c>
      <c r="C846" s="1" t="inlineStr">
        <is>
          <t>3335316</t>
        </is>
      </c>
      <c r="D846" t="inlineStr">
        <is>
          <t>работник 243</t>
        </is>
      </c>
      <c r="E846" s="1" t="inlineStr">
        <is>
          <t>ОБЩЕСТВО С ОГРАНИЧЕННОЙ ОТВЕТСТВЕННОСТЬЮ "АМУР ЗОЛОТО"</t>
        </is>
      </c>
      <c r="F846" s="1" t="inlineStr">
        <is>
          <t>2708001686</t>
        </is>
      </c>
      <c r="G846" s="1" t="inlineStr">
        <is>
          <t>Фильтровальщик</t>
        </is>
      </c>
      <c r="H846" s="1" t="inlineStr">
        <is>
          <t>ООО "Амур Золото"</t>
        </is>
      </c>
      <c r="I846" s="1" t="inlineStr">
        <is>
          <t>2708001686</t>
        </is>
      </c>
      <c r="J846" s="1" t="inlineStr">
        <is>
          <t>ОТ ЮГОК ЗИОФ 24-04</t>
        </is>
      </c>
      <c r="K846" s="1" t="inlineStr">
        <is>
          <t>Использование (применение) средств индивидуальной защиты</t>
        </is>
      </c>
      <c r="L846" s="1" t="inlineStr">
        <is>
          <t>28.01.2024</t>
        </is>
      </c>
      <c r="M846" s="1" t="inlineStr">
        <is>
          <t>Успешно</t>
        </is>
      </c>
      <c r="N846" s="1" t="inlineStr">
        <is>
          <t>26.02.2024</t>
        </is>
      </c>
      <c r="O846" s="1" t="inlineStr"/>
      <c r="P846" s="1" t="inlineStr"/>
      <c r="Q846" s="1" t="inlineStr">
        <is>
          <t>Пользовательский интерфейс</t>
        </is>
      </c>
    </row>
    <row r="847">
      <c r="B847" s="1" t="inlineStr">
        <is>
          <t>41372175</t>
        </is>
      </c>
      <c r="C847" s="1" t="inlineStr">
        <is>
          <t>3335316</t>
        </is>
      </c>
      <c r="D847" t="inlineStr">
        <is>
          <t>работник 243</t>
        </is>
      </c>
      <c r="E847" s="1" t="inlineStr">
        <is>
          <t>ОБЩЕСТВО С ОГРАНИЧЕННОЙ ОТВЕТСТВЕННОСТЬЮ "АМУР ЗОЛОТО"</t>
        </is>
      </c>
      <c r="F847" s="1" t="inlineStr">
        <is>
          <t>2708001686</t>
        </is>
      </c>
      <c r="G847" s="1" t="inlineStr">
        <is>
          <t>Фильтровальщик</t>
        </is>
      </c>
      <c r="H847" s="1" t="inlineStr">
        <is>
          <t>ООО "Амур Золото"</t>
        </is>
      </c>
      <c r="I847" s="1" t="inlineStr">
        <is>
          <t>2708001686</t>
        </is>
      </c>
      <c r="J847" s="1" t="inlineStr">
        <is>
          <t>ОТ ЮГОК ЗИОФ 24-04</t>
        </is>
      </c>
      <c r="K84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847" s="1" t="inlineStr">
        <is>
          <t>28.01.2024</t>
        </is>
      </c>
      <c r="M847" s="1" t="inlineStr">
        <is>
          <t>Успешно</t>
        </is>
      </c>
      <c r="N847" s="1" t="inlineStr">
        <is>
          <t>26.02.2024</t>
        </is>
      </c>
      <c r="O847" s="1" t="inlineStr"/>
      <c r="P847" s="1" t="inlineStr"/>
      <c r="Q847" s="1" t="inlineStr">
        <is>
          <t>Пользовательский интерфейс</t>
        </is>
      </c>
    </row>
    <row r="848">
      <c r="B848" s="1" t="inlineStr">
        <is>
          <t>41372176</t>
        </is>
      </c>
      <c r="C848" s="1" t="inlineStr">
        <is>
          <t>3335316</t>
        </is>
      </c>
      <c r="D848" t="inlineStr">
        <is>
          <t>работник 244</t>
        </is>
      </c>
      <c r="E848" s="1" t="inlineStr">
        <is>
          <t>ОБЩЕСТВО С ОГРАНИЧЕННОЙ ОТВЕТСТВЕННОСТЬЮ "АМУР ЗОЛОТО"</t>
        </is>
      </c>
      <c r="F848" s="1" t="inlineStr">
        <is>
          <t>2708001686</t>
        </is>
      </c>
      <c r="G848" s="1" t="inlineStr">
        <is>
          <t>Регулировщик хвостового хозяйства</t>
        </is>
      </c>
      <c r="H848" s="1" t="inlineStr">
        <is>
          <t>ООО "Амур Золото"</t>
        </is>
      </c>
      <c r="I848" s="1" t="inlineStr">
        <is>
          <t>2708001686</t>
        </is>
      </c>
      <c r="J848" s="1" t="inlineStr">
        <is>
          <t>ОТ ЮГОК ЗИОФ 24-05</t>
        </is>
      </c>
      <c r="K848" s="1" t="inlineStr">
        <is>
          <t>Оказание первой помощи пострадавшим</t>
        </is>
      </c>
      <c r="L848" s="1" t="inlineStr">
        <is>
          <t>01.02.2024</t>
        </is>
      </c>
      <c r="M848" s="1" t="inlineStr">
        <is>
          <t>Успешно</t>
        </is>
      </c>
      <c r="N848" s="1" t="inlineStr">
        <is>
          <t>26.02.2024</t>
        </is>
      </c>
      <c r="O848" s="1" t="inlineStr"/>
      <c r="P848" s="1" t="inlineStr"/>
      <c r="Q848" s="1" t="inlineStr">
        <is>
          <t>Пользовательский интерфейс</t>
        </is>
      </c>
    </row>
    <row r="849">
      <c r="B849" s="1" t="inlineStr">
        <is>
          <t>41372177</t>
        </is>
      </c>
      <c r="C849" s="1" t="inlineStr">
        <is>
          <t>3335316</t>
        </is>
      </c>
      <c r="D849" t="inlineStr">
        <is>
          <t>работник 244</t>
        </is>
      </c>
      <c r="E849" s="1" t="inlineStr">
        <is>
          <t>ОБЩЕСТВО С ОГРАНИЧЕННОЙ ОТВЕТСТВЕННОСТЬЮ "АМУР ЗОЛОТО"</t>
        </is>
      </c>
      <c r="F849" s="1" t="inlineStr">
        <is>
          <t>2708001686</t>
        </is>
      </c>
      <c r="G849" s="1" t="inlineStr">
        <is>
          <t>Регулировщик хвостового хозяйства</t>
        </is>
      </c>
      <c r="H849" s="1" t="inlineStr">
        <is>
          <t>ООО "Амур Золото"</t>
        </is>
      </c>
      <c r="I849" s="1" t="inlineStr">
        <is>
          <t>2708001686</t>
        </is>
      </c>
      <c r="J849" s="1" t="inlineStr">
        <is>
          <t>ОТ ЮГОК ЗИОФ 24-05</t>
        </is>
      </c>
      <c r="K849" s="1" t="inlineStr">
        <is>
          <t>Использование (применение) средств индивидуальной защиты</t>
        </is>
      </c>
      <c r="L849" s="1" t="inlineStr">
        <is>
          <t>01.02.2024</t>
        </is>
      </c>
      <c r="M849" s="1" t="inlineStr">
        <is>
          <t>Успешно</t>
        </is>
      </c>
      <c r="N849" s="1" t="inlineStr">
        <is>
          <t>26.02.2024</t>
        </is>
      </c>
      <c r="O849" s="1" t="inlineStr"/>
      <c r="P849" s="1" t="inlineStr"/>
      <c r="Q849" s="1" t="inlineStr">
        <is>
          <t>Пользовательский интерфейс</t>
        </is>
      </c>
    </row>
    <row r="850">
      <c r="B850" s="1" t="inlineStr">
        <is>
          <t>41372178</t>
        </is>
      </c>
      <c r="C850" s="1" t="inlineStr">
        <is>
          <t>3335316</t>
        </is>
      </c>
      <c r="D850" t="inlineStr">
        <is>
          <t>работник 244</t>
        </is>
      </c>
      <c r="E850" s="1" t="inlineStr">
        <is>
          <t>ОБЩЕСТВО С ОГРАНИЧЕННОЙ ОТВЕТСТВЕННОСТЬЮ "АМУР ЗОЛОТО"</t>
        </is>
      </c>
      <c r="F850" s="1" t="inlineStr">
        <is>
          <t>2708001686</t>
        </is>
      </c>
      <c r="G850" s="1" t="inlineStr">
        <is>
          <t>Регулировщик хвостового хозяйства</t>
        </is>
      </c>
      <c r="H850" s="1" t="inlineStr">
        <is>
          <t>ООО "Амур Золото"</t>
        </is>
      </c>
      <c r="I850" s="1" t="inlineStr">
        <is>
          <t>2708001686</t>
        </is>
      </c>
      <c r="J850" s="1" t="inlineStr">
        <is>
          <t>ОТ ЮГОК ЗИОФ 24-05</t>
        </is>
      </c>
      <c r="K85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850" s="1" t="inlineStr">
        <is>
          <t>01.02.2024</t>
        </is>
      </c>
      <c r="M850" s="1" t="inlineStr">
        <is>
          <t>Успешно</t>
        </is>
      </c>
      <c r="N850" s="1" t="inlineStr">
        <is>
          <t>26.02.2024</t>
        </is>
      </c>
      <c r="O850" s="1" t="inlineStr"/>
      <c r="P850" s="1" t="inlineStr"/>
      <c r="Q850" s="1" t="inlineStr">
        <is>
          <t>Пользовательский интерфейс</t>
        </is>
      </c>
    </row>
    <row r="851">
      <c r="B851" s="1" t="inlineStr">
        <is>
          <t>41372179</t>
        </is>
      </c>
      <c r="C851" s="1" t="inlineStr">
        <is>
          <t>3335316</t>
        </is>
      </c>
      <c r="D851" t="inlineStr">
        <is>
          <t>работник 245</t>
        </is>
      </c>
      <c r="E851" s="1" t="inlineStr">
        <is>
          <t>ОБЩЕСТВО С ОГРАНИЧЕННОЙ ОТВЕТСТВЕННОСТЬЮ "АМУР ЗОЛОТО"</t>
        </is>
      </c>
      <c r="F851" s="1" t="inlineStr">
        <is>
          <t>2708001686</t>
        </is>
      </c>
      <c r="G851" s="1" t="inlineStr">
        <is>
          <t>Растворщик реагентов</t>
        </is>
      </c>
      <c r="H851" s="1" t="inlineStr">
        <is>
          <t>ООО "Амур Золото"</t>
        </is>
      </c>
      <c r="I851" s="1" t="inlineStr">
        <is>
          <t>2708001686</t>
        </is>
      </c>
      <c r="J851" s="1" t="inlineStr">
        <is>
          <t>ОТ ЮГОК ЗИОФ 24-05</t>
        </is>
      </c>
      <c r="K851" s="1" t="inlineStr">
        <is>
          <t>Оказание первой помощи пострадавшим</t>
        </is>
      </c>
      <c r="L851" s="1" t="inlineStr">
        <is>
          <t>01.02.2024</t>
        </is>
      </c>
      <c r="M851" s="1" t="inlineStr">
        <is>
          <t>Успешно</t>
        </is>
      </c>
      <c r="N851" s="1" t="inlineStr">
        <is>
          <t>26.02.2024</t>
        </is>
      </c>
      <c r="O851" s="1" t="inlineStr"/>
      <c r="P851" s="1" t="inlineStr"/>
      <c r="Q851" s="1" t="inlineStr">
        <is>
          <t>Пользовательский интерфейс</t>
        </is>
      </c>
    </row>
    <row r="852">
      <c r="B852" s="1" t="inlineStr">
        <is>
          <t>41372180</t>
        </is>
      </c>
      <c r="C852" s="1" t="inlineStr">
        <is>
          <t>3335316</t>
        </is>
      </c>
      <c r="D852" t="inlineStr">
        <is>
          <t>работник 245</t>
        </is>
      </c>
      <c r="E852" s="1" t="inlineStr">
        <is>
          <t>ОБЩЕСТВО С ОГРАНИЧЕННОЙ ОТВЕТСТВЕННОСТЬЮ "АМУР ЗОЛОТО"</t>
        </is>
      </c>
      <c r="F852" s="1" t="inlineStr">
        <is>
          <t>2708001686</t>
        </is>
      </c>
      <c r="G852" s="1" t="inlineStr">
        <is>
          <t>Растворщик реагентов</t>
        </is>
      </c>
      <c r="H852" s="1" t="inlineStr">
        <is>
          <t>ООО "Амур Золото"</t>
        </is>
      </c>
      <c r="I852" s="1" t="inlineStr">
        <is>
          <t>2708001686</t>
        </is>
      </c>
      <c r="J852" s="1" t="inlineStr">
        <is>
          <t>ОТ ЮГОК ЗИОФ 24-05</t>
        </is>
      </c>
      <c r="K852" s="1" t="inlineStr">
        <is>
          <t>Использование (применение) средств индивидуальной защиты</t>
        </is>
      </c>
      <c r="L852" s="1" t="inlineStr">
        <is>
          <t>01.02.2024</t>
        </is>
      </c>
      <c r="M852" s="1" t="inlineStr">
        <is>
          <t>Успешно</t>
        </is>
      </c>
      <c r="N852" s="1" t="inlineStr">
        <is>
          <t>26.02.2024</t>
        </is>
      </c>
      <c r="O852" s="1" t="inlineStr"/>
      <c r="P852" s="1" t="inlineStr"/>
      <c r="Q852" s="1" t="inlineStr">
        <is>
          <t>Пользовательский интерфейс</t>
        </is>
      </c>
    </row>
    <row r="853">
      <c r="B853" s="1" t="inlineStr">
        <is>
          <t>41372181</t>
        </is>
      </c>
      <c r="C853" s="1" t="inlineStr">
        <is>
          <t>3335316</t>
        </is>
      </c>
      <c r="D853" t="inlineStr">
        <is>
          <t>работник 245</t>
        </is>
      </c>
      <c r="E853" s="1" t="inlineStr">
        <is>
          <t>ОБЩЕСТВО С ОГРАНИЧЕННОЙ ОТВЕТСТВЕННОСТЬЮ "АМУР ЗОЛОТО"</t>
        </is>
      </c>
      <c r="F853" s="1" t="inlineStr">
        <is>
          <t>2708001686</t>
        </is>
      </c>
      <c r="G853" s="1" t="inlineStr">
        <is>
          <t>Растворщик реагентов</t>
        </is>
      </c>
      <c r="H853" s="1" t="inlineStr">
        <is>
          <t>ООО "Амур Золото"</t>
        </is>
      </c>
      <c r="I853" s="1" t="inlineStr">
        <is>
          <t>2708001686</t>
        </is>
      </c>
      <c r="J853" s="1" t="inlineStr">
        <is>
          <t>ОТ ЮГОК ЗИОФ 24-05</t>
        </is>
      </c>
      <c r="K85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853" s="1" t="inlineStr">
        <is>
          <t>01.02.2024</t>
        </is>
      </c>
      <c r="M853" s="1" t="inlineStr">
        <is>
          <t>Успешно</t>
        </is>
      </c>
      <c r="N853" s="1" t="inlineStr">
        <is>
          <t>26.02.2024</t>
        </is>
      </c>
      <c r="O853" s="1" t="inlineStr"/>
      <c r="P853" s="1" t="inlineStr"/>
      <c r="Q853" s="1" t="inlineStr">
        <is>
          <t>Пользовательский интерфейс</t>
        </is>
      </c>
    </row>
    <row r="854">
      <c r="B854" s="1" t="inlineStr">
        <is>
          <t>41372182</t>
        </is>
      </c>
      <c r="C854" s="1" t="inlineStr">
        <is>
          <t>3335316</t>
        </is>
      </c>
      <c r="D854" t="inlineStr">
        <is>
          <t>работник 246</t>
        </is>
      </c>
      <c r="E854" s="1" t="inlineStr">
        <is>
          <t>ОБЩЕСТВО С ОГРАНИЧЕННОЙ ОТВЕТСТВЕННОСТЬЮ "АМУР ЗОЛОТО"</t>
        </is>
      </c>
      <c r="F854" s="1" t="inlineStr">
        <is>
          <t>2708001686</t>
        </is>
      </c>
      <c r="G854" s="1" t="inlineStr">
        <is>
          <t>Слесарь-ремонтник</t>
        </is>
      </c>
      <c r="H854" s="1" t="inlineStr">
        <is>
          <t>ООО "Амур Золото"</t>
        </is>
      </c>
      <c r="I854" s="1" t="inlineStr">
        <is>
          <t>2708001686</t>
        </is>
      </c>
      <c r="J854" s="1" t="inlineStr">
        <is>
          <t>ОТ ЮГОК ЗИОФ 24-06</t>
        </is>
      </c>
      <c r="K854" s="1" t="inlineStr">
        <is>
          <t>Безопасные методы и приемы выполнения работ при размещении, монтаже, техническом обслуживании и ремонте технологического оборудования (включая технологическое оборудование)</t>
        </is>
      </c>
      <c r="L854" s="1" t="inlineStr">
        <is>
          <t>01.02.2024</t>
        </is>
      </c>
      <c r="M854" s="1" t="inlineStr">
        <is>
          <t>Успешно</t>
        </is>
      </c>
      <c r="N854" s="1" t="inlineStr">
        <is>
          <t>26.02.2024</t>
        </is>
      </c>
      <c r="O854" s="1" t="inlineStr"/>
      <c r="P854" s="1" t="inlineStr"/>
      <c r="Q854" s="1" t="inlineStr">
        <is>
          <t>Пользовательский интерфейс</t>
        </is>
      </c>
    </row>
    <row r="855">
      <c r="B855" s="1" t="inlineStr">
        <is>
          <t>41372183</t>
        </is>
      </c>
      <c r="C855" s="1" t="inlineStr">
        <is>
          <t>3335316</t>
        </is>
      </c>
      <c r="D855" t="inlineStr">
        <is>
          <t>работник 246</t>
        </is>
      </c>
      <c r="E855" s="1" t="inlineStr">
        <is>
          <t>ОБЩЕСТВО С ОГРАНИЧЕННОЙ ОТВЕТСТВЕННОСТЬЮ "АМУР ЗОЛОТО"</t>
        </is>
      </c>
      <c r="F855" s="1" t="inlineStr">
        <is>
          <t>2708001686</t>
        </is>
      </c>
      <c r="G855" s="1" t="inlineStr">
        <is>
          <t>Слесарь-ремонтник</t>
        </is>
      </c>
      <c r="H855" s="1" t="inlineStr">
        <is>
          <t>ООО "Амур Золото"</t>
        </is>
      </c>
      <c r="I855" s="1" t="inlineStr">
        <is>
          <t>2708001686</t>
        </is>
      </c>
      <c r="J855" s="1" t="inlineStr">
        <is>
          <t>ОТ ЮГОК ЗИОФ 24-06</t>
        </is>
      </c>
      <c r="K855" s="1" t="inlineStr">
        <is>
          <t>Безопасные методы и приемы выполнения работ на высоте</t>
        </is>
      </c>
      <c r="L855" s="1" t="inlineStr">
        <is>
          <t>01.02.2024</t>
        </is>
      </c>
      <c r="M855" s="1" t="inlineStr">
        <is>
          <t>Успешно</t>
        </is>
      </c>
      <c r="N855" s="1" t="inlineStr">
        <is>
          <t>26.02.2024</t>
        </is>
      </c>
      <c r="O855" s="1" t="inlineStr"/>
      <c r="P855" s="1" t="inlineStr"/>
      <c r="Q855" s="1" t="inlineStr">
        <is>
          <t>Пользовательский интерфейс</t>
        </is>
      </c>
    </row>
    <row r="856">
      <c r="B856" s="1" t="inlineStr">
        <is>
          <t>41372184</t>
        </is>
      </c>
      <c r="C856" s="1" t="inlineStr">
        <is>
          <t>3335316</t>
        </is>
      </c>
      <c r="D856" t="inlineStr">
        <is>
          <t>работник 246</t>
        </is>
      </c>
      <c r="E856" s="1" t="inlineStr">
        <is>
          <t>ОБЩЕСТВО С ОГРАНИЧЕННОЙ ОТВЕТСТВЕННОСТЬЮ "АМУР ЗОЛОТО"</t>
        </is>
      </c>
      <c r="F856" s="1" t="inlineStr">
        <is>
          <t>2708001686</t>
        </is>
      </c>
      <c r="G856" s="1" t="inlineStr">
        <is>
          <t>Слесарь-ремонтник</t>
        </is>
      </c>
      <c r="H856" s="1" t="inlineStr">
        <is>
          <t>ООО "Амур Золото"</t>
        </is>
      </c>
      <c r="I856" s="1" t="inlineStr">
        <is>
          <t>2708001686</t>
        </is>
      </c>
      <c r="J856" s="1" t="inlineStr">
        <is>
          <t>ОТ ЮГОК ЗИОФ 24-10</t>
        </is>
      </c>
      <c r="K856" s="1" t="inlineStr">
        <is>
          <t>Безопасные методы и приемы выполнения работ в ограниченных и замкнутых пространствах (ОЗП)</t>
        </is>
      </c>
      <c r="L856" s="1" t="inlineStr">
        <is>
          <t>12.02.2024</t>
        </is>
      </c>
      <c r="M856" s="1" t="inlineStr">
        <is>
          <t>Успешно</t>
        </is>
      </c>
      <c r="N856" s="1" t="inlineStr">
        <is>
          <t>26.02.2024</t>
        </is>
      </c>
      <c r="O856" s="1" t="inlineStr"/>
      <c r="P856" s="1" t="inlineStr"/>
      <c r="Q856" s="1" t="inlineStr">
        <is>
          <t>Пользовательский интерфейс</t>
        </is>
      </c>
    </row>
    <row r="857">
      <c r="B857" s="1" t="inlineStr">
        <is>
          <t>41372185</t>
        </is>
      </c>
      <c r="C857" s="1" t="inlineStr">
        <is>
          <t>3335316</t>
        </is>
      </c>
      <c r="D857" t="inlineStr">
        <is>
          <t>работник 246</t>
        </is>
      </c>
      <c r="E857" s="1" t="inlineStr">
        <is>
          <t>ОБЩЕСТВО С ОГРАНИЧЕННОЙ ОТВЕТСТВЕННОСТЬЮ "АМУР ЗОЛОТО"</t>
        </is>
      </c>
      <c r="F857" s="1" t="inlineStr">
        <is>
          <t>2708001686</t>
        </is>
      </c>
      <c r="G857" s="1" t="inlineStr">
        <is>
          <t>Слесарь-ремонтник</t>
        </is>
      </c>
      <c r="H857" s="1" t="inlineStr">
        <is>
          <t>ООО "Амур Золото"</t>
        </is>
      </c>
      <c r="I857" s="1" t="inlineStr">
        <is>
          <t>2708001686</t>
        </is>
      </c>
      <c r="J857" s="1" t="inlineStr">
        <is>
          <t>ОТ ЮГОК ЗИОФ 24-10</t>
        </is>
      </c>
      <c r="K857" s="1" t="inlineStr">
        <is>
          <t>Безопасные методы и приемы выполнения огневых работ</t>
        </is>
      </c>
      <c r="L857" s="1" t="inlineStr">
        <is>
          <t>12.02.2024</t>
        </is>
      </c>
      <c r="M857" s="1" t="inlineStr">
        <is>
          <t>Успешно</t>
        </is>
      </c>
      <c r="N857" s="1" t="inlineStr">
        <is>
          <t>26.02.2024</t>
        </is>
      </c>
      <c r="O857" s="1" t="inlineStr"/>
      <c r="P857" s="1" t="inlineStr"/>
      <c r="Q857" s="1" t="inlineStr">
        <is>
          <t>Пользовательский интерфейс</t>
        </is>
      </c>
    </row>
    <row r="858">
      <c r="B858" s="1" t="inlineStr">
        <is>
          <t>41372186</t>
        </is>
      </c>
      <c r="C858" s="1" t="inlineStr">
        <is>
          <t>3335316</t>
        </is>
      </c>
      <c r="D858" t="inlineStr">
        <is>
          <t>работник 246</t>
        </is>
      </c>
      <c r="E858" s="1" t="inlineStr">
        <is>
          <t>ОБЩЕСТВО С ОГРАНИЧЕННОЙ ОТВЕТСТВЕННОСТЬЮ "АМУР ЗОЛОТО"</t>
        </is>
      </c>
      <c r="F858" s="1" t="inlineStr">
        <is>
          <t>2708001686</t>
        </is>
      </c>
      <c r="G858" s="1" t="inlineStr">
        <is>
          <t>Слесарь-ремонтник</t>
        </is>
      </c>
      <c r="H858" s="1" t="inlineStr">
        <is>
          <t>ООО "Амур Золото"</t>
        </is>
      </c>
      <c r="I858" s="1" t="inlineStr">
        <is>
          <t>2708001686</t>
        </is>
      </c>
      <c r="J858" s="1" t="inlineStr">
        <is>
          <t>ОТ ЮГОК ЗИОФ 24-10</t>
        </is>
      </c>
      <c r="K858" s="1" t="inlineStr">
        <is>
          <t>Безопасные методы и приемы выполнения работ, связанные с эксплуатацией подъемных сооружений</t>
        </is>
      </c>
      <c r="L858" s="1" t="inlineStr">
        <is>
          <t>12.02.2024</t>
        </is>
      </c>
      <c r="M858" s="1" t="inlineStr">
        <is>
          <t>Успешно</t>
        </is>
      </c>
      <c r="N858" s="1" t="inlineStr">
        <is>
          <t>26.02.2024</t>
        </is>
      </c>
      <c r="O858" s="1" t="inlineStr"/>
      <c r="P858" s="1" t="inlineStr"/>
      <c r="Q858" s="1" t="inlineStr">
        <is>
          <t>Пользовательский интерфейс</t>
        </is>
      </c>
    </row>
    <row r="859">
      <c r="B859" s="1" t="inlineStr">
        <is>
          <t>41372187</t>
        </is>
      </c>
      <c r="C859" s="1" t="inlineStr">
        <is>
          <t>3335316</t>
        </is>
      </c>
      <c r="D859" t="inlineStr">
        <is>
          <t>работник 246</t>
        </is>
      </c>
      <c r="E859" s="1" t="inlineStr">
        <is>
          <t>ОБЩЕСТВО С ОГРАНИЧЕННОЙ ОТВЕТСТВЕННОСТЬЮ "АМУР ЗОЛОТО"</t>
        </is>
      </c>
      <c r="F859" s="1" t="inlineStr">
        <is>
          <t>2708001686</t>
        </is>
      </c>
      <c r="G859" s="1" t="inlineStr">
        <is>
          <t>Слесарь-ремонтник</t>
        </is>
      </c>
      <c r="H859" s="1" t="inlineStr">
        <is>
          <t>ООО "Амур Золото"</t>
        </is>
      </c>
      <c r="I859" s="1" t="inlineStr">
        <is>
          <t>2708001686</t>
        </is>
      </c>
      <c r="J859" s="1" t="inlineStr">
        <is>
          <t>ОТ ЮГОК ЗИОФ 24-10</t>
        </is>
      </c>
      <c r="K859" s="1" t="inlineStr">
        <is>
          <t>Безопасные методы и приемы выполнения работ, связанные с эксплуатацией сосудов, работающих под избыточным давлением</t>
        </is>
      </c>
      <c r="L859" s="1" t="inlineStr">
        <is>
          <t>12.02.2024</t>
        </is>
      </c>
      <c r="M859" s="1" t="inlineStr">
        <is>
          <t>Успешно</t>
        </is>
      </c>
      <c r="N859" s="1" t="inlineStr">
        <is>
          <t>26.02.2024</t>
        </is>
      </c>
      <c r="O859" s="1" t="inlineStr"/>
      <c r="P859" s="1" t="inlineStr"/>
      <c r="Q859" s="1" t="inlineStr">
        <is>
          <t>Пользовательский интерфейс</t>
        </is>
      </c>
    </row>
    <row r="860">
      <c r="B860" s="1" t="inlineStr">
        <is>
          <t>41372188</t>
        </is>
      </c>
      <c r="C860" s="1" t="inlineStr">
        <is>
          <t>3335316</t>
        </is>
      </c>
      <c r="D860" t="inlineStr">
        <is>
          <t>работник 247</t>
        </is>
      </c>
      <c r="E860" s="1" t="inlineStr">
        <is>
          <t>ОБЩЕСТВО С ОГРАНИЧЕННОЙ ОТВЕТСТВЕННОСТЬЮ "АМУР ЗОЛОТО"</t>
        </is>
      </c>
      <c r="F860" s="1" t="inlineStr">
        <is>
          <t>2708001686</t>
        </is>
      </c>
      <c r="G860" s="1" t="inlineStr">
        <is>
          <t>Электрогазосварщик</t>
        </is>
      </c>
      <c r="H860" s="1" t="inlineStr">
        <is>
          <t>ООО "Амур Золото"</t>
        </is>
      </c>
      <c r="I860" s="1" t="inlineStr">
        <is>
          <t>2708001686</t>
        </is>
      </c>
      <c r="J860" s="1" t="inlineStr">
        <is>
          <t>ОТ ЮГОК ЗИОФ 24-10</t>
        </is>
      </c>
      <c r="K860" s="1" t="inlineStr">
        <is>
          <t>Безопасные методы и приемы выполнения работ при размещении, монтаже, техническом обслуживании и ремонте технологического оборудования (включая технологическое оборудование)</t>
        </is>
      </c>
      <c r="L860" s="1" t="inlineStr">
        <is>
          <t>12.02.2024</t>
        </is>
      </c>
      <c r="M860" s="1" t="inlineStr">
        <is>
          <t>Успешно</t>
        </is>
      </c>
      <c r="N860" s="1" t="inlineStr">
        <is>
          <t>26.02.2024</t>
        </is>
      </c>
      <c r="O860" s="1" t="inlineStr"/>
      <c r="P860" s="1" t="inlineStr"/>
      <c r="Q860" s="1" t="inlineStr">
        <is>
          <t>Пользовательский интерфейс</t>
        </is>
      </c>
    </row>
    <row r="861">
      <c r="B861" s="1" t="inlineStr">
        <is>
          <t>41372189</t>
        </is>
      </c>
      <c r="C861" s="1" t="inlineStr">
        <is>
          <t>3335316</t>
        </is>
      </c>
      <c r="D861" t="inlineStr">
        <is>
          <t>работник 247</t>
        </is>
      </c>
      <c r="E861" s="1" t="inlineStr">
        <is>
          <t>ОБЩЕСТВО С ОГРАНИЧЕННОЙ ОТВЕТСТВЕННОСТЬЮ "АМУР ЗОЛОТО"</t>
        </is>
      </c>
      <c r="F861" s="1" t="inlineStr">
        <is>
          <t>2708001686</t>
        </is>
      </c>
      <c r="G861" s="1" t="inlineStr">
        <is>
          <t>Электрогазосварщик</t>
        </is>
      </c>
      <c r="H861" s="1" t="inlineStr">
        <is>
          <t>ООО "Амур Золото"</t>
        </is>
      </c>
      <c r="I861" s="1" t="inlineStr">
        <is>
          <t>2708001686</t>
        </is>
      </c>
      <c r="J861" s="1" t="inlineStr">
        <is>
          <t>ОТ ЮГОК ЗИОФ 24-10</t>
        </is>
      </c>
      <c r="K861" s="1" t="inlineStr">
        <is>
          <t>Безопасные методы и приемы выполнения работ на высоте</t>
        </is>
      </c>
      <c r="L861" s="1" t="inlineStr">
        <is>
          <t>12.02.2024</t>
        </is>
      </c>
      <c r="M861" s="1" t="inlineStr">
        <is>
          <t>Успешно</t>
        </is>
      </c>
      <c r="N861" s="1" t="inlineStr">
        <is>
          <t>26.02.2024</t>
        </is>
      </c>
      <c r="O861" s="1" t="inlineStr"/>
      <c r="P861" s="1" t="inlineStr"/>
      <c r="Q861" s="1" t="inlineStr">
        <is>
          <t>Пользовательский интерфейс</t>
        </is>
      </c>
    </row>
    <row r="862">
      <c r="B862" s="1" t="inlineStr">
        <is>
          <t>41372190</t>
        </is>
      </c>
      <c r="C862" s="1" t="inlineStr">
        <is>
          <t>3335316</t>
        </is>
      </c>
      <c r="D862" t="inlineStr">
        <is>
          <t>работник 247</t>
        </is>
      </c>
      <c r="E862" s="1" t="inlineStr">
        <is>
          <t>ОБЩЕСТВО С ОГРАНИЧЕННОЙ ОТВЕТСТВЕННОСТЬЮ "АМУР ЗОЛОТО"</t>
        </is>
      </c>
      <c r="F862" s="1" t="inlineStr">
        <is>
          <t>2708001686</t>
        </is>
      </c>
      <c r="G862" s="1" t="inlineStr">
        <is>
          <t>Электрогазосварщик</t>
        </is>
      </c>
      <c r="H862" s="1" t="inlineStr">
        <is>
          <t>ООО "Амур Золото"</t>
        </is>
      </c>
      <c r="I862" s="1" t="inlineStr">
        <is>
          <t>2708001686</t>
        </is>
      </c>
      <c r="J862" s="1" t="inlineStr">
        <is>
          <t>ОТ ЮГОК ЗИОФ 24-11</t>
        </is>
      </c>
      <c r="K862" s="1" t="inlineStr">
        <is>
          <t>Безопасные методы и приемы выполнения работ в ограниченных и замкнутых пространствах (ОЗП)</t>
        </is>
      </c>
      <c r="L862" s="1" t="inlineStr">
        <is>
          <t>30.01.2024</t>
        </is>
      </c>
      <c r="M862" s="1" t="inlineStr">
        <is>
          <t>Успешно</t>
        </is>
      </c>
      <c r="N862" s="1" t="inlineStr">
        <is>
          <t>26.02.2024</t>
        </is>
      </c>
      <c r="O862" s="1" t="inlineStr"/>
      <c r="P862" s="1" t="inlineStr"/>
      <c r="Q862" s="1" t="inlineStr">
        <is>
          <t>Пользовательский интерфейс</t>
        </is>
      </c>
    </row>
    <row r="863">
      <c r="B863" s="1" t="inlineStr">
        <is>
          <t>41372191</t>
        </is>
      </c>
      <c r="C863" s="1" t="inlineStr">
        <is>
          <t>3335316</t>
        </is>
      </c>
      <c r="D863" t="inlineStr">
        <is>
          <t>работник 247</t>
        </is>
      </c>
      <c r="E863" s="1" t="inlineStr">
        <is>
          <t>ОБЩЕСТВО С ОГРАНИЧЕННОЙ ОТВЕТСТВЕННОСТЬЮ "АМУР ЗОЛОТО"</t>
        </is>
      </c>
      <c r="F863" s="1" t="inlineStr">
        <is>
          <t>2708001686</t>
        </is>
      </c>
      <c r="G863" s="1" t="inlineStr">
        <is>
          <t>Электрогазосварщик</t>
        </is>
      </c>
      <c r="H863" s="1" t="inlineStr">
        <is>
          <t>ООО "Амур Золото"</t>
        </is>
      </c>
      <c r="I863" s="1" t="inlineStr">
        <is>
          <t>2708001686</t>
        </is>
      </c>
      <c r="J863" s="1" t="inlineStr">
        <is>
          <t>ОТ ЮГОК ЗИОФ 24-11</t>
        </is>
      </c>
      <c r="K863" s="1" t="inlineStr">
        <is>
          <t>Безопасные методы и приемы выполнения огневых работ</t>
        </is>
      </c>
      <c r="L863" s="1" t="inlineStr">
        <is>
          <t>30.01.2024</t>
        </is>
      </c>
      <c r="M863" s="1" t="inlineStr">
        <is>
          <t>Успешно</t>
        </is>
      </c>
      <c r="N863" s="1" t="inlineStr">
        <is>
          <t>26.02.2024</t>
        </is>
      </c>
      <c r="O863" s="1" t="inlineStr"/>
      <c r="P863" s="1" t="inlineStr"/>
      <c r="Q863" s="1" t="inlineStr">
        <is>
          <t>Пользовательский интерфейс</t>
        </is>
      </c>
    </row>
    <row r="864">
      <c r="B864" s="1" t="inlineStr">
        <is>
          <t>41372192</t>
        </is>
      </c>
      <c r="C864" s="1" t="inlineStr">
        <is>
          <t>3335316</t>
        </is>
      </c>
      <c r="D864" t="inlineStr">
        <is>
          <t>работник 247</t>
        </is>
      </c>
      <c r="E864" s="1" t="inlineStr">
        <is>
          <t>ОБЩЕСТВО С ОГРАНИЧЕННОЙ ОТВЕТСТВЕННОСТЬЮ "АМУР ЗОЛОТО"</t>
        </is>
      </c>
      <c r="F864" s="1" t="inlineStr">
        <is>
          <t>2708001686</t>
        </is>
      </c>
      <c r="G864" s="1" t="inlineStr">
        <is>
          <t>Электрогазосварщик</t>
        </is>
      </c>
      <c r="H864" s="1" t="inlineStr">
        <is>
          <t>ООО "Амур Золото"</t>
        </is>
      </c>
      <c r="I864" s="1" t="inlineStr">
        <is>
          <t>2708001686</t>
        </is>
      </c>
      <c r="J864" s="1" t="inlineStr">
        <is>
          <t>ОТ ЮГОК ЗИОФ 24-11</t>
        </is>
      </c>
      <c r="K864" s="1" t="inlineStr">
        <is>
          <t>Безопасные методы и приемы выполнения работ, связанные с эксплуатацией подъемных сооружений</t>
        </is>
      </c>
      <c r="L864" s="1" t="inlineStr">
        <is>
          <t>30.01.2024</t>
        </is>
      </c>
      <c r="M864" s="1" t="inlineStr">
        <is>
          <t>Успешно</t>
        </is>
      </c>
      <c r="N864" s="1" t="inlineStr">
        <is>
          <t>26.02.2024</t>
        </is>
      </c>
      <c r="O864" s="1" t="inlineStr"/>
      <c r="P864" s="1" t="inlineStr"/>
      <c r="Q864" s="1" t="inlineStr">
        <is>
          <t>Пользовательский интерфейс</t>
        </is>
      </c>
    </row>
    <row r="865">
      <c r="B865" s="1" t="inlineStr">
        <is>
          <t>41372193</t>
        </is>
      </c>
      <c r="C865" s="1" t="inlineStr">
        <is>
          <t>3335316</t>
        </is>
      </c>
      <c r="D865" t="inlineStr">
        <is>
          <t>работник 247</t>
        </is>
      </c>
      <c r="E865" s="1" t="inlineStr">
        <is>
          <t>ОБЩЕСТВО С ОГРАНИЧЕННОЙ ОТВЕТСТВЕННОСТЬЮ "АМУР ЗОЛОТО"</t>
        </is>
      </c>
      <c r="F865" s="1" t="inlineStr">
        <is>
          <t>2708001686</t>
        </is>
      </c>
      <c r="G865" s="1" t="inlineStr">
        <is>
          <t>Электрогазосварщик</t>
        </is>
      </c>
      <c r="H865" s="1" t="inlineStr">
        <is>
          <t>ООО "Амур Золото"</t>
        </is>
      </c>
      <c r="I865" s="1" t="inlineStr">
        <is>
          <t>2708001686</t>
        </is>
      </c>
      <c r="J865" s="1" t="inlineStr">
        <is>
          <t>ОТ ЮГОК ЗИОФ 24-11</t>
        </is>
      </c>
      <c r="K865" s="1" t="inlineStr">
        <is>
          <t>Безопасные методы и приемы выполнения работ, связанные с эксплуатацией сосудов, работающих под избыточным давлением</t>
        </is>
      </c>
      <c r="L865" s="1" t="inlineStr">
        <is>
          <t>30.01.2024</t>
        </is>
      </c>
      <c r="M865" s="1" t="inlineStr">
        <is>
          <t>Успешно</t>
        </is>
      </c>
      <c r="N865" s="1" t="inlineStr">
        <is>
          <t>26.02.2024</t>
        </is>
      </c>
      <c r="O865" s="1" t="inlineStr"/>
      <c r="P865" s="1" t="inlineStr"/>
      <c r="Q865" s="1" t="inlineStr">
        <is>
          <t>Пользовательский интерфейс</t>
        </is>
      </c>
    </row>
    <row r="866">
      <c r="B866" s="1" t="inlineStr">
        <is>
          <t>41372194</t>
        </is>
      </c>
      <c r="C866" s="1" t="inlineStr">
        <is>
          <t>3335316</t>
        </is>
      </c>
      <c r="D866" t="inlineStr">
        <is>
          <t>работник 248</t>
        </is>
      </c>
      <c r="E866" s="1" t="inlineStr">
        <is>
          <t>ОБЩЕСТВО С ОГРАНИЧЕННОЙ ОТВЕТСТВЕННОСТЬЮ "АМУР ЗОЛОТО"</t>
        </is>
      </c>
      <c r="F866" s="1" t="inlineStr">
        <is>
          <t>2708001686</t>
        </is>
      </c>
      <c r="G866" s="1" t="inlineStr">
        <is>
          <t>Аппаратчик-гидрометаллург</t>
        </is>
      </c>
      <c r="H866" s="1" t="inlineStr">
        <is>
          <t>ООО "Амур Золото"</t>
        </is>
      </c>
      <c r="I866" s="1" t="inlineStr">
        <is>
          <t>2708001686</t>
        </is>
      </c>
      <c r="J866" s="1" t="inlineStr">
        <is>
          <t>ОТ ЮГОК ЗИОФ 24-11</t>
        </is>
      </c>
      <c r="K866" s="1" t="inlineStr">
        <is>
          <t>Оказание первой помощи пострадавшим</t>
        </is>
      </c>
      <c r="L866" s="1" t="inlineStr">
        <is>
          <t>30.01.2024</t>
        </is>
      </c>
      <c r="M866" s="1" t="inlineStr">
        <is>
          <t>Успешно</t>
        </is>
      </c>
      <c r="N866" s="1" t="inlineStr">
        <is>
          <t>26.02.2024</t>
        </is>
      </c>
      <c r="O866" s="1" t="inlineStr"/>
      <c r="P866" s="1" t="inlineStr"/>
      <c r="Q866" s="1" t="inlineStr">
        <is>
          <t>Пользовательский интерфейс</t>
        </is>
      </c>
    </row>
    <row r="867">
      <c r="B867" s="1" t="inlineStr">
        <is>
          <t>41372195</t>
        </is>
      </c>
      <c r="C867" s="1" t="inlineStr">
        <is>
          <t>3335316</t>
        </is>
      </c>
      <c r="D867" t="inlineStr">
        <is>
          <t>работник 248</t>
        </is>
      </c>
      <c r="E867" s="1" t="inlineStr">
        <is>
          <t>ОБЩЕСТВО С ОГРАНИЧЕННОЙ ОТВЕТСТВЕННОСТЬЮ "АМУР ЗОЛОТО"</t>
        </is>
      </c>
      <c r="F867" s="1" t="inlineStr">
        <is>
          <t>2708001686</t>
        </is>
      </c>
      <c r="G867" s="1" t="inlineStr">
        <is>
          <t>Аппаратчик-гидрометаллург</t>
        </is>
      </c>
      <c r="H867" s="1" t="inlineStr">
        <is>
          <t>ООО "Амур Золото"</t>
        </is>
      </c>
      <c r="I867" s="1" t="inlineStr">
        <is>
          <t>2708001686</t>
        </is>
      </c>
      <c r="J867" s="1" t="inlineStr">
        <is>
          <t>ОТ ЮГОК ЗИОФ 24-11</t>
        </is>
      </c>
      <c r="K867" s="1" t="inlineStr">
        <is>
          <t>Использование (применение) средств индивидуальной защиты</t>
        </is>
      </c>
      <c r="L867" s="1" t="inlineStr">
        <is>
          <t>30.01.2024</t>
        </is>
      </c>
      <c r="M867" s="1" t="inlineStr">
        <is>
          <t>Успешно</t>
        </is>
      </c>
      <c r="N867" s="1" t="inlineStr">
        <is>
          <t>26.02.2024</t>
        </is>
      </c>
      <c r="O867" s="1" t="inlineStr"/>
      <c r="P867" s="1" t="inlineStr"/>
      <c r="Q867" s="1" t="inlineStr">
        <is>
          <t>Пользовательский интерфейс</t>
        </is>
      </c>
    </row>
    <row r="868">
      <c r="B868" s="1" t="inlineStr">
        <is>
          <t>41372196</t>
        </is>
      </c>
      <c r="C868" s="1" t="inlineStr">
        <is>
          <t>3335316</t>
        </is>
      </c>
      <c r="D868" t="inlineStr">
        <is>
          <t>работник 248</t>
        </is>
      </c>
      <c r="E868" s="1" t="inlineStr">
        <is>
          <t>ОБЩЕСТВО С ОГРАНИЧЕННОЙ ОТВЕТСТВЕННОСТЬЮ "АМУР ЗОЛОТО"</t>
        </is>
      </c>
      <c r="F868" s="1" t="inlineStr">
        <is>
          <t>2708001686</t>
        </is>
      </c>
      <c r="G868" s="1" t="inlineStr">
        <is>
          <t>Аппаратчик-гидрометаллург</t>
        </is>
      </c>
      <c r="H868" s="1" t="inlineStr">
        <is>
          <t>ООО "Амур Золото"</t>
        </is>
      </c>
      <c r="I868" s="1" t="inlineStr">
        <is>
          <t>2708001686</t>
        </is>
      </c>
      <c r="J868" s="1" t="inlineStr">
        <is>
          <t>ОТ ЮГОК ЗИОФ 24-12</t>
        </is>
      </c>
      <c r="K86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868" s="1" t="inlineStr">
        <is>
          <t>01.02.2024</t>
        </is>
      </c>
      <c r="M868" s="1" t="inlineStr">
        <is>
          <t>Успешно</t>
        </is>
      </c>
      <c r="N868" s="1" t="inlineStr">
        <is>
          <t>26.02.2024</t>
        </is>
      </c>
      <c r="O868" s="1" t="inlineStr"/>
      <c r="P868" s="1" t="inlineStr"/>
      <c r="Q868" s="1" t="inlineStr">
        <is>
          <t>Пользовательский интерфейс</t>
        </is>
      </c>
    </row>
    <row r="869">
      <c r="B869" s="1" t="inlineStr">
        <is>
          <t>41372197</t>
        </is>
      </c>
      <c r="C869" s="1" t="inlineStr">
        <is>
          <t>3335316</t>
        </is>
      </c>
      <c r="D869" t="inlineStr">
        <is>
          <t>работник 249</t>
        </is>
      </c>
      <c r="E869" s="1" t="inlineStr">
        <is>
          <t>ОБЩЕСТВО С ОГРАНИЧЕННОЙ ОТВЕТСТВЕННОСТЬЮ "АМУР ЗОЛОТО"</t>
        </is>
      </c>
      <c r="F869" s="1" t="inlineStr">
        <is>
          <t>2708001686</t>
        </is>
      </c>
      <c r="G869" s="1" t="inlineStr">
        <is>
          <t>Бункеровщик</t>
        </is>
      </c>
      <c r="H869" s="1" t="inlineStr">
        <is>
          <t>ООО "Амур Золото"</t>
        </is>
      </c>
      <c r="I869" s="1" t="inlineStr">
        <is>
          <t>2708001686</t>
        </is>
      </c>
      <c r="J869" s="1" t="inlineStr">
        <is>
          <t>ОТ ЮГОК ЗИОФ 24-12</t>
        </is>
      </c>
      <c r="K869" s="1" t="inlineStr">
        <is>
          <t>Оказание первой помощи пострадавшим</t>
        </is>
      </c>
      <c r="L869" s="1" t="inlineStr">
        <is>
          <t>01.02.2024</t>
        </is>
      </c>
      <c r="M869" s="1" t="inlineStr">
        <is>
          <t>Успешно</t>
        </is>
      </c>
      <c r="N869" s="1" t="inlineStr">
        <is>
          <t>26.02.2024</t>
        </is>
      </c>
      <c r="O869" s="1" t="inlineStr"/>
      <c r="P869" s="1" t="inlineStr"/>
      <c r="Q869" s="1" t="inlineStr">
        <is>
          <t>Пользовательский интерфейс</t>
        </is>
      </c>
    </row>
    <row r="870">
      <c r="B870" s="1" t="inlineStr">
        <is>
          <t>41372198</t>
        </is>
      </c>
      <c r="C870" s="1" t="inlineStr">
        <is>
          <t>3335316</t>
        </is>
      </c>
      <c r="D870" t="inlineStr">
        <is>
          <t>работник 249</t>
        </is>
      </c>
      <c r="E870" s="1" t="inlineStr">
        <is>
          <t>ОБЩЕСТВО С ОГРАНИЧЕННОЙ ОТВЕТСТВЕННОСТЬЮ "АМУР ЗОЛОТО"</t>
        </is>
      </c>
      <c r="F870" s="1" t="inlineStr">
        <is>
          <t>2708001686</t>
        </is>
      </c>
      <c r="G870" s="1" t="inlineStr">
        <is>
          <t>Бункеровщик</t>
        </is>
      </c>
      <c r="H870" s="1" t="inlineStr">
        <is>
          <t>ООО "Амур Золото"</t>
        </is>
      </c>
      <c r="I870" s="1" t="inlineStr">
        <is>
          <t>2708001686</t>
        </is>
      </c>
      <c r="J870" s="1" t="inlineStr">
        <is>
          <t>ОТ ЮГОК ЗИОФ 24-12</t>
        </is>
      </c>
      <c r="K870" s="1" t="inlineStr">
        <is>
          <t>Использование (применение) средств индивидуальной защиты</t>
        </is>
      </c>
      <c r="L870" s="1" t="inlineStr">
        <is>
          <t>01.02.2024</t>
        </is>
      </c>
      <c r="M870" s="1" t="inlineStr">
        <is>
          <t>Успешно</t>
        </is>
      </c>
      <c r="N870" s="1" t="inlineStr">
        <is>
          <t>26.02.2024</t>
        </is>
      </c>
      <c r="O870" s="1" t="inlineStr"/>
      <c r="P870" s="1" t="inlineStr"/>
      <c r="Q870" s="1" t="inlineStr">
        <is>
          <t>Пользовательский интерфейс</t>
        </is>
      </c>
    </row>
    <row r="871">
      <c r="B871" s="1" t="inlineStr">
        <is>
          <t>41372199</t>
        </is>
      </c>
      <c r="C871" s="1" t="inlineStr">
        <is>
          <t>3335316</t>
        </is>
      </c>
      <c r="D871" t="inlineStr">
        <is>
          <t>работник 249</t>
        </is>
      </c>
      <c r="E871" s="1" t="inlineStr">
        <is>
          <t>ОБЩЕСТВО С ОГРАНИЧЕННОЙ ОТВЕТСТВЕННОСТЬЮ "АМУР ЗОЛОТО"</t>
        </is>
      </c>
      <c r="F871" s="1" t="inlineStr">
        <is>
          <t>2708001686</t>
        </is>
      </c>
      <c r="G871" s="1" t="inlineStr">
        <is>
          <t>Бункеровщик</t>
        </is>
      </c>
      <c r="H871" s="1" t="inlineStr">
        <is>
          <t>ООО "Амур Золото"</t>
        </is>
      </c>
      <c r="I871" s="1" t="inlineStr">
        <is>
          <t>2708001686</t>
        </is>
      </c>
      <c r="J871" s="1" t="inlineStr">
        <is>
          <t>ОТ ЮГОК ЗИОФ 24-13</t>
        </is>
      </c>
      <c r="K87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871" s="1" t="inlineStr">
        <is>
          <t>12.02.2024</t>
        </is>
      </c>
      <c r="M871" s="1" t="inlineStr">
        <is>
          <t>Успешно</t>
        </is>
      </c>
      <c r="N871" s="1" t="inlineStr">
        <is>
          <t>26.02.2024</t>
        </is>
      </c>
      <c r="O871" s="1" t="inlineStr"/>
      <c r="P871" s="1" t="inlineStr"/>
      <c r="Q871" s="1" t="inlineStr">
        <is>
          <t>Пользовательский интерфейс</t>
        </is>
      </c>
    </row>
    <row r="872">
      <c r="B872" s="1" t="inlineStr">
        <is>
          <t>41372200</t>
        </is>
      </c>
      <c r="C872" s="1" t="inlineStr">
        <is>
          <t>3335316</t>
        </is>
      </c>
      <c r="D872" t="inlineStr">
        <is>
          <t>работник 250</t>
        </is>
      </c>
      <c r="E872" s="1" t="inlineStr">
        <is>
          <t>ОБЩЕСТВО С ОГРАНИЧЕННОЙ ОТВЕТСТВЕННОСТЬЮ "АМУР ЗОЛОТО"</t>
        </is>
      </c>
      <c r="F872" s="1" t="inlineStr">
        <is>
          <t>2708001686</t>
        </is>
      </c>
      <c r="G872" s="1" t="inlineStr">
        <is>
          <t>Флотатор</t>
        </is>
      </c>
      <c r="H872" s="1" t="inlineStr">
        <is>
          <t>ООО "Амур Золото"</t>
        </is>
      </c>
      <c r="I872" s="1" t="inlineStr">
        <is>
          <t>2708001686</t>
        </is>
      </c>
      <c r="J872" s="1" t="inlineStr">
        <is>
          <t>ОТ ЮГОК ЗИОФ 24-13</t>
        </is>
      </c>
      <c r="K872" s="1" t="inlineStr">
        <is>
          <t>Оказание первой помощи пострадавшим</t>
        </is>
      </c>
      <c r="L872" s="1" t="inlineStr">
        <is>
          <t>12.02.2024</t>
        </is>
      </c>
      <c r="M872" s="1" t="inlineStr">
        <is>
          <t>Успешно</t>
        </is>
      </c>
      <c r="N872" s="1" t="inlineStr">
        <is>
          <t>26.02.2024</t>
        </is>
      </c>
      <c r="O872" s="1" t="inlineStr"/>
      <c r="P872" s="1" t="inlineStr"/>
      <c r="Q872" s="1" t="inlineStr">
        <is>
          <t>Пользовательский интерфейс</t>
        </is>
      </c>
    </row>
    <row r="873">
      <c r="B873" s="1" t="inlineStr">
        <is>
          <t>41372201</t>
        </is>
      </c>
      <c r="C873" s="1" t="inlineStr">
        <is>
          <t>3335316</t>
        </is>
      </c>
      <c r="D873" t="inlineStr">
        <is>
          <t>работник 250</t>
        </is>
      </c>
      <c r="E873" s="1" t="inlineStr">
        <is>
          <t>ОБЩЕСТВО С ОГРАНИЧЕННОЙ ОТВЕТСТВЕННОСТЬЮ "АМУР ЗОЛОТО"</t>
        </is>
      </c>
      <c r="F873" s="1" t="inlineStr">
        <is>
          <t>2708001686</t>
        </is>
      </c>
      <c r="G873" s="1" t="inlineStr">
        <is>
          <t>Флотатор</t>
        </is>
      </c>
      <c r="H873" s="1" t="inlineStr">
        <is>
          <t>ООО "Амур Золото"</t>
        </is>
      </c>
      <c r="I873" s="1" t="inlineStr">
        <is>
          <t>2708001686</t>
        </is>
      </c>
      <c r="J873" s="1" t="inlineStr">
        <is>
          <t>ОТ ЮГОК ЗИОФ 24-13</t>
        </is>
      </c>
      <c r="K873" s="1" t="inlineStr">
        <is>
          <t>Использование (применение) средств индивидуальной защиты</t>
        </is>
      </c>
      <c r="L873" s="1" t="inlineStr">
        <is>
          <t>12.02.2024</t>
        </is>
      </c>
      <c r="M873" s="1" t="inlineStr">
        <is>
          <t>Успешно</t>
        </is>
      </c>
      <c r="N873" s="1" t="inlineStr">
        <is>
          <t>26.02.2024</t>
        </is>
      </c>
      <c r="O873" s="1" t="inlineStr"/>
      <c r="P873" s="1" t="inlineStr"/>
      <c r="Q873" s="1" t="inlineStr">
        <is>
          <t>Пользовательский интерфейс</t>
        </is>
      </c>
    </row>
    <row r="874">
      <c r="B874" s="1" t="inlineStr">
        <is>
          <t>41372202</t>
        </is>
      </c>
      <c r="C874" s="1" t="inlineStr">
        <is>
          <t>3335316</t>
        </is>
      </c>
      <c r="D874" t="inlineStr">
        <is>
          <t>работник 250</t>
        </is>
      </c>
      <c r="E874" s="1" t="inlineStr">
        <is>
          <t>ОБЩЕСТВО С ОГРАНИЧЕННОЙ ОТВЕТСТВЕННОСТЬЮ "АМУР ЗОЛОТО"</t>
        </is>
      </c>
      <c r="F874" s="1" t="inlineStr">
        <is>
          <t>2708001686</t>
        </is>
      </c>
      <c r="G874" s="1" t="inlineStr">
        <is>
          <t>Флотатор</t>
        </is>
      </c>
      <c r="H874" s="1" t="inlineStr">
        <is>
          <t>ООО "Амур Золото"</t>
        </is>
      </c>
      <c r="I874" s="1" t="inlineStr">
        <is>
          <t>2708001686</t>
        </is>
      </c>
      <c r="J874" s="1" t="inlineStr">
        <is>
          <t>ОТ ЮГОК ЗИОФ 24-14</t>
        </is>
      </c>
      <c r="K87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874" s="1" t="inlineStr">
        <is>
          <t>22.02.2024</t>
        </is>
      </c>
      <c r="M874" s="1" t="inlineStr">
        <is>
          <t>Успешно</t>
        </is>
      </c>
      <c r="N874" s="1" t="inlineStr">
        <is>
          <t>26.02.2024</t>
        </is>
      </c>
      <c r="O874" s="1" t="inlineStr"/>
      <c r="P874" s="1" t="inlineStr"/>
      <c r="Q874" s="1" t="inlineStr">
        <is>
          <t>Пользовательский интерфейс</t>
        </is>
      </c>
    </row>
    <row r="875">
      <c r="B875" s="1" t="inlineStr">
        <is>
          <t>41372203</t>
        </is>
      </c>
      <c r="C875" s="1" t="inlineStr">
        <is>
          <t>3335316</t>
        </is>
      </c>
      <c r="D875" t="inlineStr">
        <is>
          <t>работник 251</t>
        </is>
      </c>
      <c r="E875" s="1" t="inlineStr">
        <is>
          <t>ОБЩЕСТВО С ОГРАНИЧЕННОЙ ОТВЕТСТВЕННОСТЬЮ "АМУР ЗОЛОТО"</t>
        </is>
      </c>
      <c r="F875" s="1" t="inlineStr">
        <is>
          <t>2708001686</t>
        </is>
      </c>
      <c r="G875" s="1" t="inlineStr">
        <is>
          <t>Машинист конвейра</t>
        </is>
      </c>
      <c r="H875" s="1" t="inlineStr">
        <is>
          <t>ООО "Амур Золото"</t>
        </is>
      </c>
      <c r="I875" s="1" t="inlineStr">
        <is>
          <t>2708001686</t>
        </is>
      </c>
      <c r="J875" s="1" t="inlineStr">
        <is>
          <t>ОТ ЮГОК ЗИОФ 24-14</t>
        </is>
      </c>
      <c r="K875" s="1" t="inlineStr">
        <is>
          <t>Оказание первой помощи пострадавшим</t>
        </is>
      </c>
      <c r="L875" s="1" t="inlineStr">
        <is>
          <t>22.02.2024</t>
        </is>
      </c>
      <c r="M875" s="1" t="inlineStr">
        <is>
          <t>Успешно</t>
        </is>
      </c>
      <c r="N875" s="1" t="inlineStr">
        <is>
          <t>26.02.2024</t>
        </is>
      </c>
      <c r="O875" s="1" t="inlineStr"/>
      <c r="P875" s="1" t="inlineStr"/>
      <c r="Q875" s="1" t="inlineStr">
        <is>
          <t>Пользовательский интерфейс</t>
        </is>
      </c>
    </row>
    <row r="876">
      <c r="B876" s="1" t="inlineStr">
        <is>
          <t>41372204</t>
        </is>
      </c>
      <c r="C876" s="1" t="inlineStr">
        <is>
          <t>3335316</t>
        </is>
      </c>
      <c r="D876" t="inlineStr">
        <is>
          <t>работник 251</t>
        </is>
      </c>
      <c r="E876" s="1" t="inlineStr">
        <is>
          <t>ОБЩЕСТВО С ОГРАНИЧЕННОЙ ОТВЕТСТВЕННОСТЬЮ "АМУР ЗОЛОТО"</t>
        </is>
      </c>
      <c r="F876" s="1" t="inlineStr">
        <is>
          <t>2708001686</t>
        </is>
      </c>
      <c r="G876" s="1" t="inlineStr">
        <is>
          <t>Машинист конвейра</t>
        </is>
      </c>
      <c r="H876" s="1" t="inlineStr">
        <is>
          <t>ООО "Амур Золото"</t>
        </is>
      </c>
      <c r="I876" s="1" t="inlineStr">
        <is>
          <t>2708001686</t>
        </is>
      </c>
      <c r="J876" s="1" t="inlineStr">
        <is>
          <t>ОТ ЮГОК ЗИОФ 24-14</t>
        </is>
      </c>
      <c r="K876" s="1" t="inlineStr">
        <is>
          <t>Использование (применение) средств индивидуальной защиты</t>
        </is>
      </c>
      <c r="L876" s="1" t="inlineStr">
        <is>
          <t>22.02.2024</t>
        </is>
      </c>
      <c r="M876" s="1" t="inlineStr">
        <is>
          <t>Успешно</t>
        </is>
      </c>
      <c r="N876" s="1" t="inlineStr">
        <is>
          <t>26.02.2024</t>
        </is>
      </c>
      <c r="O876" s="1" t="inlineStr"/>
      <c r="P876" s="1" t="inlineStr"/>
      <c r="Q876" s="1" t="inlineStr">
        <is>
          <t>Пользовательский интерфейс</t>
        </is>
      </c>
    </row>
    <row r="877">
      <c r="B877" s="1" t="inlineStr">
        <is>
          <t>41372205</t>
        </is>
      </c>
      <c r="C877" s="1" t="inlineStr">
        <is>
          <t>3335316</t>
        </is>
      </c>
      <c r="D877" t="inlineStr">
        <is>
          <t>работник 251</t>
        </is>
      </c>
      <c r="E877" s="1" t="inlineStr">
        <is>
          <t>ОБЩЕСТВО С ОГРАНИЧЕННОЙ ОТВЕТСТВЕННОСТЬЮ "АМУР ЗОЛОТО"</t>
        </is>
      </c>
      <c r="F877" s="1" t="inlineStr">
        <is>
          <t>2708001686</t>
        </is>
      </c>
      <c r="G877" s="1" t="inlineStr">
        <is>
          <t>Машинист конвейра</t>
        </is>
      </c>
      <c r="H877" s="1" t="inlineStr">
        <is>
          <t>ООО "Амур Золото"</t>
        </is>
      </c>
      <c r="I877" s="1" t="inlineStr">
        <is>
          <t>2708001686</t>
        </is>
      </c>
      <c r="J877" s="1" t="inlineStr">
        <is>
          <t>ОТ ЮГОК ЗИОФ 24-15</t>
        </is>
      </c>
      <c r="K87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877" s="1" t="inlineStr">
        <is>
          <t>23.02.2024</t>
        </is>
      </c>
      <c r="M877" s="1" t="inlineStr">
        <is>
          <t>Успешно</t>
        </is>
      </c>
      <c r="N877" s="1" t="inlineStr">
        <is>
          <t>26.02.2024</t>
        </is>
      </c>
      <c r="O877" s="1" t="inlineStr"/>
      <c r="P877" s="1" t="inlineStr"/>
      <c r="Q877" s="1" t="inlineStr">
        <is>
          <t>Пользовательский интерфейс</t>
        </is>
      </c>
    </row>
    <row r="878">
      <c r="B878" s="1" t="inlineStr">
        <is>
          <t>41372206</t>
        </is>
      </c>
      <c r="C878" s="1" t="inlineStr">
        <is>
          <t>3335316</t>
        </is>
      </c>
      <c r="D878" t="inlineStr">
        <is>
          <t>работник 252</t>
        </is>
      </c>
      <c r="E878" s="1" t="inlineStr">
        <is>
          <t>ОБЩЕСТВО С ОГРАНИЧЕННОЙ ОТВЕТСТВЕННОСТЬЮ "АМУР ЗОЛОТО"</t>
        </is>
      </c>
      <c r="F878" s="1" t="inlineStr">
        <is>
          <t>2708001686</t>
        </is>
      </c>
      <c r="G878" s="1" t="inlineStr">
        <is>
          <t>Растворщик реагентов</t>
        </is>
      </c>
      <c r="H878" s="1" t="inlineStr">
        <is>
          <t>ООО "Амур Золото"</t>
        </is>
      </c>
      <c r="I878" s="1" t="inlineStr">
        <is>
          <t>2708001686</t>
        </is>
      </c>
      <c r="J878" s="1" t="inlineStr">
        <is>
          <t>ОТ ЮГОК ЗИОФ 24-15</t>
        </is>
      </c>
      <c r="K878" s="1" t="inlineStr">
        <is>
          <t>Оказание первой помощи пострадавшим</t>
        </is>
      </c>
      <c r="L878" s="1" t="inlineStr">
        <is>
          <t>23.02.2024</t>
        </is>
      </c>
      <c r="M878" s="1" t="inlineStr">
        <is>
          <t>Успешно</t>
        </is>
      </c>
      <c r="N878" s="1" t="inlineStr">
        <is>
          <t>26.02.2024</t>
        </is>
      </c>
      <c r="O878" s="1" t="inlineStr"/>
      <c r="P878" s="1" t="inlineStr"/>
      <c r="Q878" s="1" t="inlineStr">
        <is>
          <t>Пользовательский интерфейс</t>
        </is>
      </c>
    </row>
    <row r="879">
      <c r="B879" s="1" t="inlineStr">
        <is>
          <t>41372207</t>
        </is>
      </c>
      <c r="C879" s="1" t="inlineStr">
        <is>
          <t>3335316</t>
        </is>
      </c>
      <c r="D879" t="inlineStr">
        <is>
          <t>работник 252</t>
        </is>
      </c>
      <c r="E879" s="1" t="inlineStr">
        <is>
          <t>ОБЩЕСТВО С ОГРАНИЧЕННОЙ ОТВЕТСТВЕННОСТЬЮ "АМУР ЗОЛОТО"</t>
        </is>
      </c>
      <c r="F879" s="1" t="inlineStr">
        <is>
          <t>2708001686</t>
        </is>
      </c>
      <c r="G879" s="1" t="inlineStr">
        <is>
          <t>Растворщик реагентов</t>
        </is>
      </c>
      <c r="H879" s="1" t="inlineStr">
        <is>
          <t>ООО "Амур Золото"</t>
        </is>
      </c>
      <c r="I879" s="1" t="inlineStr">
        <is>
          <t>2708001686</t>
        </is>
      </c>
      <c r="J879" s="1" t="inlineStr">
        <is>
          <t>ОТ ЮГОК ЗИОФ 24-15</t>
        </is>
      </c>
      <c r="K879" s="1" t="inlineStr">
        <is>
          <t>Использование (применение) средств индивидуальной защиты</t>
        </is>
      </c>
      <c r="L879" s="1" t="inlineStr">
        <is>
          <t>23.02.2024</t>
        </is>
      </c>
      <c r="M879" s="1" t="inlineStr">
        <is>
          <t>Успешно</t>
        </is>
      </c>
      <c r="N879" s="1" t="inlineStr">
        <is>
          <t>26.02.2024</t>
        </is>
      </c>
      <c r="O879" s="1" t="inlineStr"/>
      <c r="P879" s="1" t="inlineStr"/>
      <c r="Q879" s="1" t="inlineStr">
        <is>
          <t>Пользовательский интерфейс</t>
        </is>
      </c>
    </row>
    <row r="880">
      <c r="B880" s="1" t="inlineStr">
        <is>
          <t>41372208</t>
        </is>
      </c>
      <c r="C880" s="1" t="inlineStr">
        <is>
          <t>3335316</t>
        </is>
      </c>
      <c r="D880" t="inlineStr">
        <is>
          <t>работник 252</t>
        </is>
      </c>
      <c r="E880" s="1" t="inlineStr">
        <is>
          <t>ОБЩЕСТВО С ОГРАНИЧЕННОЙ ОТВЕТСТВЕННОСТЬЮ "АМУР ЗОЛОТО"</t>
        </is>
      </c>
      <c r="F880" s="1" t="inlineStr">
        <is>
          <t>2708001686</t>
        </is>
      </c>
      <c r="G880" s="1" t="inlineStr">
        <is>
          <t>Растворщик реагентов</t>
        </is>
      </c>
      <c r="H880" s="1" t="inlineStr">
        <is>
          <t>ООО "Амур Золото"</t>
        </is>
      </c>
      <c r="I880" s="1" t="inlineStr">
        <is>
          <t>2708001686</t>
        </is>
      </c>
      <c r="J880" s="1" t="inlineStr">
        <is>
          <t>ОТ ЮГОК ЗИОФ 24-15</t>
        </is>
      </c>
      <c r="K88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880" s="1" t="inlineStr">
        <is>
          <t>23.02.2024</t>
        </is>
      </c>
      <c r="M880" s="1" t="inlineStr">
        <is>
          <t>Успешно</t>
        </is>
      </c>
      <c r="N880" s="1" t="inlineStr">
        <is>
          <t>26.02.2024</t>
        </is>
      </c>
      <c r="O880" s="1" t="inlineStr"/>
      <c r="P880" s="1" t="inlineStr"/>
      <c r="Q880" s="1" t="inlineStr">
        <is>
          <t>Пользовательский интерфейс</t>
        </is>
      </c>
    </row>
    <row r="881">
      <c r="B881" s="1" t="inlineStr">
        <is>
          <t>41372209</t>
        </is>
      </c>
      <c r="C881" s="1" t="inlineStr">
        <is>
          <t>3335316</t>
        </is>
      </c>
      <c r="D881" t="inlineStr">
        <is>
          <t>работник 253</t>
        </is>
      </c>
      <c r="E881" s="1" t="inlineStr">
        <is>
          <t>ОБЩЕСТВО С ОГРАНИЧЕННОЙ ОТВЕТСТВЕННОСТЬЮ "АМУР ЗОЛОТО"</t>
        </is>
      </c>
      <c r="F881" s="1" t="inlineStr">
        <is>
          <t>2708001686</t>
        </is>
      </c>
      <c r="G881" s="1" t="inlineStr">
        <is>
          <t>Аппаратчик-гидрометаллург</t>
        </is>
      </c>
      <c r="H881" s="1" t="inlineStr">
        <is>
          <t>ООО "Амур Золото"</t>
        </is>
      </c>
      <c r="I881" s="1" t="inlineStr">
        <is>
          <t>2708001686</t>
        </is>
      </c>
      <c r="J881" s="1" t="inlineStr">
        <is>
          <t>ОТ ЮГОК ЗИОФ 24-15</t>
        </is>
      </c>
      <c r="K881" s="1" t="inlineStr">
        <is>
          <t>Оказание первой помощи пострадавшим</t>
        </is>
      </c>
      <c r="L881" s="1" t="inlineStr">
        <is>
          <t>23.02.2024</t>
        </is>
      </c>
      <c r="M881" s="1" t="inlineStr">
        <is>
          <t>Успешно</t>
        </is>
      </c>
      <c r="N881" s="1" t="inlineStr">
        <is>
          <t>26.02.2024</t>
        </is>
      </c>
      <c r="O881" s="1" t="inlineStr"/>
      <c r="P881" s="1" t="inlineStr"/>
      <c r="Q881" s="1" t="inlineStr">
        <is>
          <t>Пользовательский интерфейс</t>
        </is>
      </c>
    </row>
    <row r="882">
      <c r="B882" s="1" t="inlineStr">
        <is>
          <t>41372210</t>
        </is>
      </c>
      <c r="C882" s="1" t="inlineStr">
        <is>
          <t>3335316</t>
        </is>
      </c>
      <c r="D882" t="inlineStr">
        <is>
          <t>работник 253</t>
        </is>
      </c>
      <c r="E882" s="1" t="inlineStr">
        <is>
          <t>ОБЩЕСТВО С ОГРАНИЧЕННОЙ ОТВЕТСТВЕННОСТЬЮ "АМУР ЗОЛОТО"</t>
        </is>
      </c>
      <c r="F882" s="1" t="inlineStr">
        <is>
          <t>2708001686</t>
        </is>
      </c>
      <c r="G882" s="1" t="inlineStr">
        <is>
          <t>Аппаратчик-гидрометаллург</t>
        </is>
      </c>
      <c r="H882" s="1" t="inlineStr">
        <is>
          <t>ООО "Амур Золото"</t>
        </is>
      </c>
      <c r="I882" s="1" t="inlineStr">
        <is>
          <t>2708001686</t>
        </is>
      </c>
      <c r="J882" s="1" t="inlineStr">
        <is>
          <t>ОТ ЮГОК ЗИОФ 24-15</t>
        </is>
      </c>
      <c r="K882" s="1" t="inlineStr">
        <is>
          <t>Использование (применение) средств индивидуальной защиты</t>
        </is>
      </c>
      <c r="L882" s="1" t="inlineStr">
        <is>
          <t>23.02.2024</t>
        </is>
      </c>
      <c r="M882" s="1" t="inlineStr">
        <is>
          <t>Успешно</t>
        </is>
      </c>
      <c r="N882" s="1" t="inlineStr">
        <is>
          <t>26.02.2024</t>
        </is>
      </c>
      <c r="O882" s="1" t="inlineStr"/>
      <c r="P882" s="1" t="inlineStr"/>
      <c r="Q882" s="1" t="inlineStr">
        <is>
          <t>Пользовательский интерфейс</t>
        </is>
      </c>
    </row>
    <row r="883">
      <c r="B883" s="1" t="inlineStr">
        <is>
          <t>41372211</t>
        </is>
      </c>
      <c r="C883" s="1" t="inlineStr">
        <is>
          <t>3335316</t>
        </is>
      </c>
      <c r="D883" t="inlineStr">
        <is>
          <t>работник 253</t>
        </is>
      </c>
      <c r="E883" s="1" t="inlineStr">
        <is>
          <t>ОБЩЕСТВО С ОГРАНИЧЕННОЙ ОТВЕТСТВЕННОСТЬЮ "АМУР ЗОЛОТО"</t>
        </is>
      </c>
      <c r="F883" s="1" t="inlineStr">
        <is>
          <t>2708001686</t>
        </is>
      </c>
      <c r="G883" s="1" t="inlineStr">
        <is>
          <t>Аппаратчик-гидрометаллург</t>
        </is>
      </c>
      <c r="H883" s="1" t="inlineStr">
        <is>
          <t>ООО "Амур Золото"</t>
        </is>
      </c>
      <c r="I883" s="1" t="inlineStr">
        <is>
          <t>2708001686</t>
        </is>
      </c>
      <c r="J883" s="1" t="inlineStr">
        <is>
          <t>ОТ ЮГОК ЗИОФ 24-15</t>
        </is>
      </c>
      <c r="K88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883" s="1" t="inlineStr">
        <is>
          <t>23.02.2024</t>
        </is>
      </c>
      <c r="M883" s="1" t="inlineStr">
        <is>
          <t>Успешно</t>
        </is>
      </c>
      <c r="N883" s="1" t="inlineStr">
        <is>
          <t>26.02.2024</t>
        </is>
      </c>
      <c r="O883" s="1" t="inlineStr"/>
      <c r="P883" s="1" t="inlineStr"/>
      <c r="Q883" s="1" t="inlineStr">
        <is>
          <t>Пользовательский интерфейс</t>
        </is>
      </c>
    </row>
    <row r="884">
      <c r="B884" s="1" t="inlineStr">
        <is>
          <t>41372212</t>
        </is>
      </c>
      <c r="C884" s="1" t="inlineStr">
        <is>
          <t>3335316</t>
        </is>
      </c>
      <c r="D884" t="inlineStr">
        <is>
          <t>работник 144</t>
        </is>
      </c>
      <c r="E884" s="1" t="inlineStr">
        <is>
          <t>ОБЩЕСТВО С ОГРАНИЧЕННОЙ ОТВЕТСТВЕННОСТЬЮ "АМУР ЗОЛОТО"</t>
        </is>
      </c>
      <c r="F884" s="1" t="inlineStr">
        <is>
          <t>2708001686</t>
        </is>
      </c>
      <c r="G884" s="1" t="inlineStr">
        <is>
          <t>Бункеровщик</t>
        </is>
      </c>
      <c r="H884" s="1" t="inlineStr">
        <is>
          <t>ООО "Амур Золото"</t>
        </is>
      </c>
      <c r="I884" s="1" t="inlineStr">
        <is>
          <t>2708001686</t>
        </is>
      </c>
      <c r="J884" s="1" t="inlineStr">
        <is>
          <t>ОТ ЮГОК ЗИОФ 24-15</t>
        </is>
      </c>
      <c r="K884" s="1" t="inlineStr">
        <is>
          <t>Оказание первой помощи пострадавшим</t>
        </is>
      </c>
      <c r="L884" s="1" t="inlineStr">
        <is>
          <t>23.02.2024</t>
        </is>
      </c>
      <c r="M884" s="1" t="inlineStr">
        <is>
          <t>Успешно</t>
        </is>
      </c>
      <c r="N884" s="1" t="inlineStr">
        <is>
          <t>26.02.2024</t>
        </is>
      </c>
      <c r="O884" s="1" t="inlineStr"/>
      <c r="P884" s="1" t="inlineStr"/>
      <c r="Q884" s="1" t="inlineStr">
        <is>
          <t>Пользовательский интерфейс</t>
        </is>
      </c>
    </row>
    <row r="885">
      <c r="B885" s="1" t="inlineStr">
        <is>
          <t>41372213</t>
        </is>
      </c>
      <c r="C885" s="1" t="inlineStr">
        <is>
          <t>3335316</t>
        </is>
      </c>
      <c r="D885" t="inlineStr">
        <is>
          <t>работник 144</t>
        </is>
      </c>
      <c r="E885" s="1" t="inlineStr">
        <is>
          <t>ОБЩЕСТВО С ОГРАНИЧЕННОЙ ОТВЕТСТВЕННОСТЬЮ "АМУР ЗОЛОТО"</t>
        </is>
      </c>
      <c r="F885" s="1" t="inlineStr">
        <is>
          <t>2708001686</t>
        </is>
      </c>
      <c r="G885" s="1" t="inlineStr">
        <is>
          <t>Бункеровщик</t>
        </is>
      </c>
      <c r="H885" s="1" t="inlineStr">
        <is>
          <t>ООО "Амур Золото"</t>
        </is>
      </c>
      <c r="I885" s="1" t="inlineStr">
        <is>
          <t>2708001686</t>
        </is>
      </c>
      <c r="J885" s="1" t="inlineStr">
        <is>
          <t>ОТ ЮГОК ЗИОФ 24-15</t>
        </is>
      </c>
      <c r="K885" s="1" t="inlineStr">
        <is>
          <t>Использование (применение) средств индивидуальной защиты</t>
        </is>
      </c>
      <c r="L885" s="1" t="inlineStr">
        <is>
          <t>23.02.2024</t>
        </is>
      </c>
      <c r="M885" s="1" t="inlineStr">
        <is>
          <t>Успешно</t>
        </is>
      </c>
      <c r="N885" s="1" t="inlineStr">
        <is>
          <t>26.02.2024</t>
        </is>
      </c>
      <c r="O885" s="1" t="inlineStr"/>
      <c r="P885" s="1" t="inlineStr"/>
      <c r="Q885" s="1" t="inlineStr">
        <is>
          <t>Пользовательский интерфейс</t>
        </is>
      </c>
    </row>
    <row r="886">
      <c r="B886" s="1" t="inlineStr">
        <is>
          <t>41372214</t>
        </is>
      </c>
      <c r="C886" s="1" t="inlineStr">
        <is>
          <t>3335316</t>
        </is>
      </c>
      <c r="D886" t="inlineStr">
        <is>
          <t>работник 144</t>
        </is>
      </c>
      <c r="E886" s="1" t="inlineStr">
        <is>
          <t>ОБЩЕСТВО С ОГРАНИЧЕННОЙ ОТВЕТСТВЕННОСТЬЮ "АМУР ЗОЛОТО"</t>
        </is>
      </c>
      <c r="F886" s="1" t="inlineStr">
        <is>
          <t>2708001686</t>
        </is>
      </c>
      <c r="G886" s="1" t="inlineStr">
        <is>
          <t>Бункеровщик</t>
        </is>
      </c>
      <c r="H886" s="1" t="inlineStr">
        <is>
          <t>ООО "Амур Золото"</t>
        </is>
      </c>
      <c r="I886" s="1" t="inlineStr">
        <is>
          <t>2708001686</t>
        </is>
      </c>
      <c r="J886" s="1" t="inlineStr">
        <is>
          <t>ОТ ЮГОК ЗИОФ 24-16</t>
        </is>
      </c>
      <c r="K88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886" s="1" t="inlineStr">
        <is>
          <t>23.02.2024</t>
        </is>
      </c>
      <c r="M886" s="1" t="inlineStr">
        <is>
          <t>Успешно</t>
        </is>
      </c>
      <c r="N886" s="1" t="inlineStr">
        <is>
          <t>26.02.2024</t>
        </is>
      </c>
      <c r="O886" s="1" t="inlineStr"/>
      <c r="P886" s="1" t="inlineStr"/>
      <c r="Q886" s="1" t="inlineStr">
        <is>
          <t>Пользовательский интерфейс</t>
        </is>
      </c>
    </row>
    <row r="887">
      <c r="B887" s="1" t="inlineStr">
        <is>
          <t>41372215</t>
        </is>
      </c>
      <c r="C887" s="1" t="inlineStr">
        <is>
          <t>3335316</t>
        </is>
      </c>
      <c r="D887" t="inlineStr">
        <is>
          <t>работник 254</t>
        </is>
      </c>
      <c r="E887" s="1" t="inlineStr">
        <is>
          <t>ОБЩЕСТВО С ОГРАНИЧЕННОЙ ОТВЕТСТВЕННОСТЬЮ "АМУР ЗОЛОТО"</t>
        </is>
      </c>
      <c r="F887" s="1" t="inlineStr">
        <is>
          <t>2708001686</t>
        </is>
      </c>
      <c r="G887" s="1" t="inlineStr">
        <is>
          <t>Фильтровальщик</t>
        </is>
      </c>
      <c r="H887" s="1" t="inlineStr">
        <is>
          <t>ООО "Амур Золото"</t>
        </is>
      </c>
      <c r="I887" s="1" t="inlineStr">
        <is>
          <t>2708001686</t>
        </is>
      </c>
      <c r="J887" s="1" t="inlineStr">
        <is>
          <t>ОТ ЮГОК ЗИОФ 24-16</t>
        </is>
      </c>
      <c r="K887" s="1" t="inlineStr">
        <is>
          <t>Оказание первой помощи пострадавшим</t>
        </is>
      </c>
      <c r="L887" s="1" t="inlineStr">
        <is>
          <t>23.02.2024</t>
        </is>
      </c>
      <c r="M887" s="1" t="inlineStr">
        <is>
          <t>Успешно</t>
        </is>
      </c>
      <c r="N887" s="1" t="inlineStr">
        <is>
          <t>26.02.2024</t>
        </is>
      </c>
      <c r="O887" s="1" t="inlineStr"/>
      <c r="P887" s="1" t="inlineStr"/>
      <c r="Q887" s="1" t="inlineStr">
        <is>
          <t>Пользовательский интерфейс</t>
        </is>
      </c>
    </row>
    <row r="888">
      <c r="B888" s="1" t="inlineStr">
        <is>
          <t>41372216</t>
        </is>
      </c>
      <c r="C888" s="1" t="inlineStr">
        <is>
          <t>3335316</t>
        </is>
      </c>
      <c r="D888" t="inlineStr">
        <is>
          <t>работник 254</t>
        </is>
      </c>
      <c r="E888" s="1" t="inlineStr">
        <is>
          <t>ОБЩЕСТВО С ОГРАНИЧЕННОЙ ОТВЕТСТВЕННОСТЬЮ "АМУР ЗОЛОТО"</t>
        </is>
      </c>
      <c r="F888" s="1" t="inlineStr">
        <is>
          <t>2708001686</t>
        </is>
      </c>
      <c r="G888" s="1" t="inlineStr">
        <is>
          <t>Фильтровальщик</t>
        </is>
      </c>
      <c r="H888" s="1" t="inlineStr">
        <is>
          <t>ООО "Амур Золото"</t>
        </is>
      </c>
      <c r="I888" s="1" t="inlineStr">
        <is>
          <t>2708001686</t>
        </is>
      </c>
      <c r="J888" s="1" t="inlineStr">
        <is>
          <t>ОТ ЮГОК ЗИОФ 24-16</t>
        </is>
      </c>
      <c r="K888" s="1" t="inlineStr">
        <is>
          <t>Использование (применение) средств индивидуальной защиты</t>
        </is>
      </c>
      <c r="L888" s="1" t="inlineStr">
        <is>
          <t>23.02.2024</t>
        </is>
      </c>
      <c r="M888" s="1" t="inlineStr">
        <is>
          <t>Успешно</t>
        </is>
      </c>
      <c r="N888" s="1" t="inlineStr">
        <is>
          <t>26.02.2024</t>
        </is>
      </c>
      <c r="O888" s="1" t="inlineStr"/>
      <c r="P888" s="1" t="inlineStr"/>
      <c r="Q888" s="1" t="inlineStr">
        <is>
          <t>Пользовательский интерфейс</t>
        </is>
      </c>
    </row>
    <row r="889">
      <c r="B889" s="1" t="inlineStr">
        <is>
          <t>41372217</t>
        </is>
      </c>
      <c r="C889" s="1" t="inlineStr">
        <is>
          <t>3335316</t>
        </is>
      </c>
      <c r="D889" t="inlineStr">
        <is>
          <t>работник 254</t>
        </is>
      </c>
      <c r="E889" s="1" t="inlineStr">
        <is>
          <t>ОБЩЕСТВО С ОГРАНИЧЕННОЙ ОТВЕТСТВЕННОСТЬЮ "АМУР ЗОЛОТО"</t>
        </is>
      </c>
      <c r="F889" s="1" t="inlineStr">
        <is>
          <t>2708001686</t>
        </is>
      </c>
      <c r="G889" s="1" t="inlineStr">
        <is>
          <t>Фильтровальщик</t>
        </is>
      </c>
      <c r="H889" s="1" t="inlineStr">
        <is>
          <t>ООО "Амур Золото"</t>
        </is>
      </c>
      <c r="I889" s="1" t="inlineStr">
        <is>
          <t>2708001686</t>
        </is>
      </c>
      <c r="J889" s="1" t="inlineStr">
        <is>
          <t>ОТ ЮГОК ЗИОФ 24-16</t>
        </is>
      </c>
      <c r="K88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889" s="1" t="inlineStr">
        <is>
          <t>23.02.2024</t>
        </is>
      </c>
      <c r="M889" s="1" t="inlineStr">
        <is>
          <t>Успешно</t>
        </is>
      </c>
      <c r="N889" s="1" t="inlineStr">
        <is>
          <t>26.02.2024</t>
        </is>
      </c>
      <c r="O889" s="1" t="inlineStr"/>
      <c r="P889" s="1" t="inlineStr"/>
      <c r="Q889" s="1" t="inlineStr">
        <is>
          <t>Пользовательский интерфейс</t>
        </is>
      </c>
    </row>
    <row r="890">
      <c r="B890" s="1" t="inlineStr">
        <is>
          <t>41372218</t>
        </is>
      </c>
      <c r="C890" s="1" t="inlineStr">
        <is>
          <t>3335316</t>
        </is>
      </c>
      <c r="D890" t="inlineStr">
        <is>
          <t>работник 255</t>
        </is>
      </c>
      <c r="E890" s="1" t="inlineStr">
        <is>
          <t>ОБЩЕСТВО С ОГРАНИЧЕННОЙ ОТВЕТСТВЕННОСТЬЮ "АМУР ЗОЛОТО"</t>
        </is>
      </c>
      <c r="F890" s="1" t="inlineStr">
        <is>
          <t>2708001686</t>
        </is>
      </c>
      <c r="G890" s="1" t="inlineStr">
        <is>
          <t>Фильтровальщик</t>
        </is>
      </c>
      <c r="H890" s="1" t="inlineStr">
        <is>
          <t>ООО "Амур Золото"</t>
        </is>
      </c>
      <c r="I890" s="1" t="inlineStr">
        <is>
          <t>2708001686</t>
        </is>
      </c>
      <c r="J890" s="1" t="inlineStr">
        <is>
          <t>ОТ ЮГОК ЗИОФ 24-16</t>
        </is>
      </c>
      <c r="K890" s="1" t="inlineStr">
        <is>
          <t>Оказание первой помощи пострадавшим</t>
        </is>
      </c>
      <c r="L890" s="1" t="inlineStr">
        <is>
          <t>23.02.2024</t>
        </is>
      </c>
      <c r="M890" s="1" t="inlineStr">
        <is>
          <t>Успешно</t>
        </is>
      </c>
      <c r="N890" s="1" t="inlineStr">
        <is>
          <t>26.02.2024</t>
        </is>
      </c>
      <c r="O890" s="1" t="inlineStr"/>
      <c r="P890" s="1" t="inlineStr"/>
      <c r="Q890" s="1" t="inlineStr">
        <is>
          <t>Пользовательский интерфейс</t>
        </is>
      </c>
    </row>
    <row r="891">
      <c r="B891" s="1" t="inlineStr">
        <is>
          <t>41372219</t>
        </is>
      </c>
      <c r="C891" s="1" t="inlineStr">
        <is>
          <t>3335316</t>
        </is>
      </c>
      <c r="D891" t="inlineStr">
        <is>
          <t>работник 255</t>
        </is>
      </c>
      <c r="E891" s="1" t="inlineStr">
        <is>
          <t>ОБЩЕСТВО С ОГРАНИЧЕННОЙ ОТВЕТСТВЕННОСТЬЮ "АМУР ЗОЛОТО"</t>
        </is>
      </c>
      <c r="F891" s="1" t="inlineStr">
        <is>
          <t>2708001686</t>
        </is>
      </c>
      <c r="G891" s="1" t="inlineStr">
        <is>
          <t>Фильтровальщик</t>
        </is>
      </c>
      <c r="H891" s="1" t="inlineStr">
        <is>
          <t>ООО "Амур Золото"</t>
        </is>
      </c>
      <c r="I891" s="1" t="inlineStr">
        <is>
          <t>2708001686</t>
        </is>
      </c>
      <c r="J891" s="1" t="inlineStr">
        <is>
          <t>ОТ ЮГОК ЗИОФ 24-16</t>
        </is>
      </c>
      <c r="K891" s="1" t="inlineStr">
        <is>
          <t>Использование (применение) средств индивидуальной защиты</t>
        </is>
      </c>
      <c r="L891" s="1" t="inlineStr">
        <is>
          <t>23.02.2024</t>
        </is>
      </c>
      <c r="M891" s="1" t="inlineStr">
        <is>
          <t>Успешно</t>
        </is>
      </c>
      <c r="N891" s="1" t="inlineStr">
        <is>
          <t>26.02.2024</t>
        </is>
      </c>
      <c r="O891" s="1" t="inlineStr"/>
      <c r="P891" s="1" t="inlineStr"/>
      <c r="Q891" s="1" t="inlineStr">
        <is>
          <t>Пользовательский интерфейс</t>
        </is>
      </c>
    </row>
    <row r="892">
      <c r="B892" s="1" t="inlineStr">
        <is>
          <t>41372220</t>
        </is>
      </c>
      <c r="C892" s="1" t="inlineStr">
        <is>
          <t>3335316</t>
        </is>
      </c>
      <c r="D892" t="inlineStr">
        <is>
          <t>работник 255</t>
        </is>
      </c>
      <c r="E892" s="1" t="inlineStr">
        <is>
          <t>ОБЩЕСТВО С ОГРАНИЧЕННОЙ ОТВЕТСТВЕННОСТЬЮ "АМУР ЗОЛОТО"</t>
        </is>
      </c>
      <c r="F892" s="1" t="inlineStr">
        <is>
          <t>2708001686</t>
        </is>
      </c>
      <c r="G892" s="1" t="inlineStr">
        <is>
          <t>Фильтровальщик</t>
        </is>
      </c>
      <c r="H892" s="1" t="inlineStr">
        <is>
          <t>ООО "Амур Золото"</t>
        </is>
      </c>
      <c r="I892" s="1" t="inlineStr">
        <is>
          <t>2708001686</t>
        </is>
      </c>
      <c r="J892" s="1" t="inlineStr">
        <is>
          <t>ОТ ЮГОК ЗИОФ 24-16</t>
        </is>
      </c>
      <c r="K89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892" s="1" t="inlineStr">
        <is>
          <t>23.02.2024</t>
        </is>
      </c>
      <c r="M892" s="1" t="inlineStr">
        <is>
          <t>Успешно</t>
        </is>
      </c>
      <c r="N892" s="1" t="inlineStr">
        <is>
          <t>26.02.2024</t>
        </is>
      </c>
      <c r="O892" s="1" t="inlineStr"/>
      <c r="P892" s="1" t="inlineStr"/>
      <c r="Q892" s="1" t="inlineStr">
        <is>
          <t>Пользовательский интерфейс</t>
        </is>
      </c>
    </row>
    <row r="893">
      <c r="B893" s="1" t="inlineStr">
        <is>
          <t>41372221</t>
        </is>
      </c>
      <c r="C893" s="1" t="inlineStr">
        <is>
          <t>3335316</t>
        </is>
      </c>
      <c r="D893" t="inlineStr">
        <is>
          <t>работник 256</t>
        </is>
      </c>
      <c r="E893" s="1" t="inlineStr">
        <is>
          <t>ОБЩЕСТВО С ОГРАНИЧЕННОЙ ОТВЕТСТВЕННОСТЬЮ "АМУР ЗОЛОТО"</t>
        </is>
      </c>
      <c r="F893" s="1" t="inlineStr">
        <is>
          <t>2708001686</t>
        </is>
      </c>
      <c r="G893" s="1" t="inlineStr">
        <is>
          <t>Аппаратчик-гидрометаллург</t>
        </is>
      </c>
      <c r="H893" s="1" t="inlineStr">
        <is>
          <t>ООО "Амур Золото"</t>
        </is>
      </c>
      <c r="I893" s="1" t="inlineStr">
        <is>
          <t>2708001686</t>
        </is>
      </c>
      <c r="J893" s="1" t="inlineStr">
        <is>
          <t>ОТ ЮГОК ЗИОФ 24-16</t>
        </is>
      </c>
      <c r="K893" s="1" t="inlineStr">
        <is>
          <t>Оказание первой помощи пострадавшим</t>
        </is>
      </c>
      <c r="L893" s="1" t="inlineStr">
        <is>
          <t>23.02.2024</t>
        </is>
      </c>
      <c r="M893" s="1" t="inlineStr">
        <is>
          <t>Успешно</t>
        </is>
      </c>
      <c r="N893" s="1" t="inlineStr">
        <is>
          <t>26.02.2024</t>
        </is>
      </c>
      <c r="O893" s="1" t="inlineStr"/>
      <c r="P893" s="1" t="inlineStr"/>
      <c r="Q893" s="1" t="inlineStr">
        <is>
          <t>Пользовательский интерфейс</t>
        </is>
      </c>
    </row>
    <row r="894">
      <c r="B894" s="1" t="inlineStr">
        <is>
          <t>41372222</t>
        </is>
      </c>
      <c r="C894" s="1" t="inlineStr">
        <is>
          <t>3335316</t>
        </is>
      </c>
      <c r="D894" t="inlineStr">
        <is>
          <t>работник 256</t>
        </is>
      </c>
      <c r="E894" s="1" t="inlineStr">
        <is>
          <t>ОБЩЕСТВО С ОГРАНИЧЕННОЙ ОТВЕТСТВЕННОСТЬЮ "АМУР ЗОЛОТО"</t>
        </is>
      </c>
      <c r="F894" s="1" t="inlineStr">
        <is>
          <t>2708001686</t>
        </is>
      </c>
      <c r="G894" s="1" t="inlineStr">
        <is>
          <t>Аппаратчик-гидрометаллург</t>
        </is>
      </c>
      <c r="H894" s="1" t="inlineStr">
        <is>
          <t>ООО "Амур Золото"</t>
        </is>
      </c>
      <c r="I894" s="1" t="inlineStr">
        <is>
          <t>2708001686</t>
        </is>
      </c>
      <c r="J894" s="1" t="inlineStr">
        <is>
          <t>ОТ ЮГОК ЗИОФ 24-16</t>
        </is>
      </c>
      <c r="K894" s="1" t="inlineStr">
        <is>
          <t>Использование (применение) средств индивидуальной защиты</t>
        </is>
      </c>
      <c r="L894" s="1" t="inlineStr">
        <is>
          <t>23.02.2024</t>
        </is>
      </c>
      <c r="M894" s="1" t="inlineStr">
        <is>
          <t>Успешно</t>
        </is>
      </c>
      <c r="N894" s="1" t="inlineStr">
        <is>
          <t>26.02.2024</t>
        </is>
      </c>
      <c r="O894" s="1" t="inlineStr"/>
      <c r="P894" s="1" t="inlineStr"/>
      <c r="Q894" s="1" t="inlineStr">
        <is>
          <t>Пользовательский интерфейс</t>
        </is>
      </c>
    </row>
    <row r="895">
      <c r="B895" s="1" t="inlineStr">
        <is>
          <t>41372223</t>
        </is>
      </c>
      <c r="C895" s="1" t="inlineStr">
        <is>
          <t>3335316</t>
        </is>
      </c>
      <c r="D895" t="inlineStr">
        <is>
          <t>работник 256</t>
        </is>
      </c>
      <c r="E895" s="1" t="inlineStr">
        <is>
          <t>ОБЩЕСТВО С ОГРАНИЧЕННОЙ ОТВЕТСТВЕННОСТЬЮ "АМУР ЗОЛОТО"</t>
        </is>
      </c>
      <c r="F895" s="1" t="inlineStr">
        <is>
          <t>2708001686</t>
        </is>
      </c>
      <c r="G895" s="1" t="inlineStr">
        <is>
          <t>аппаратчик-гидрометаллург</t>
        </is>
      </c>
      <c r="H895" s="1" t="inlineStr">
        <is>
          <t>ООО "Амур Золото"</t>
        </is>
      </c>
      <c r="I895" s="1" t="inlineStr">
        <is>
          <t>2708001686</t>
        </is>
      </c>
      <c r="J895" s="1" t="inlineStr">
        <is>
          <t>ОТ ЮГОК ЗИОФ 24-16</t>
        </is>
      </c>
      <c r="K89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895" s="1" t="inlineStr">
        <is>
          <t>23.02.2024</t>
        </is>
      </c>
      <c r="M895" s="1" t="inlineStr">
        <is>
          <t>Успешно</t>
        </is>
      </c>
      <c r="N895" s="1" t="inlineStr">
        <is>
          <t>26.02.2024</t>
        </is>
      </c>
      <c r="O895" s="1" t="inlineStr"/>
      <c r="P895" s="1" t="inlineStr"/>
      <c r="Q895" s="1" t="inlineStr">
        <is>
          <t>Пользовательский интерфейс</t>
        </is>
      </c>
    </row>
    <row r="896">
      <c r="B896" s="1" t="inlineStr">
        <is>
          <t>41372224</t>
        </is>
      </c>
      <c r="C896" s="1" t="inlineStr">
        <is>
          <t>3335316</t>
        </is>
      </c>
      <c r="D896" t="inlineStr">
        <is>
          <t>работник 257</t>
        </is>
      </c>
      <c r="E896" s="1" t="inlineStr">
        <is>
          <t>ОБЩЕСТВО С ОГРАНИЧЕННОЙ ОТВЕТСТВЕННОСТЬЮ "АМУР ЗОЛОТО"</t>
        </is>
      </c>
      <c r="F896" s="1" t="inlineStr">
        <is>
          <t>2708001686</t>
        </is>
      </c>
      <c r="G896" s="1" t="inlineStr">
        <is>
          <t>Аппаратчик-гидрометаллург</t>
        </is>
      </c>
      <c r="H896" s="1" t="inlineStr">
        <is>
          <t>ООО "Амур Золото"</t>
        </is>
      </c>
      <c r="I896" s="1" t="inlineStr">
        <is>
          <t>2708001686</t>
        </is>
      </c>
      <c r="J896" s="1" t="inlineStr">
        <is>
          <t>ОТ ЮГОК ЗИОФ 24-16</t>
        </is>
      </c>
      <c r="K896" s="1" t="inlineStr">
        <is>
          <t>Оказание первой помощи пострадавшим</t>
        </is>
      </c>
      <c r="L896" s="1" t="inlineStr">
        <is>
          <t>23.02.2024</t>
        </is>
      </c>
      <c r="M896" s="1" t="inlineStr">
        <is>
          <t>Успешно</t>
        </is>
      </c>
      <c r="N896" s="1" t="inlineStr">
        <is>
          <t>26.02.2024</t>
        </is>
      </c>
      <c r="O896" s="1" t="inlineStr"/>
      <c r="P896" s="1" t="inlineStr"/>
      <c r="Q896" s="1" t="inlineStr">
        <is>
          <t>Пользовательский интерфейс</t>
        </is>
      </c>
    </row>
    <row r="897">
      <c r="B897" s="1" t="inlineStr">
        <is>
          <t>41372225</t>
        </is>
      </c>
      <c r="C897" s="1" t="inlineStr">
        <is>
          <t>3335316</t>
        </is>
      </c>
      <c r="D897" t="inlineStr">
        <is>
          <t>работник 257</t>
        </is>
      </c>
      <c r="E897" s="1" t="inlineStr">
        <is>
          <t>ОБЩЕСТВО С ОГРАНИЧЕННОЙ ОТВЕТСТВЕННОСТЬЮ "АМУР ЗОЛОТО"</t>
        </is>
      </c>
      <c r="F897" s="1" t="inlineStr">
        <is>
          <t>2708001686</t>
        </is>
      </c>
      <c r="G897" s="1" t="inlineStr">
        <is>
          <t>Аппаратчик-гидрометаллург</t>
        </is>
      </c>
      <c r="H897" s="1" t="inlineStr">
        <is>
          <t>ООО "Амур Золото"</t>
        </is>
      </c>
      <c r="I897" s="1" t="inlineStr">
        <is>
          <t>2708001686</t>
        </is>
      </c>
      <c r="J897" s="1" t="inlineStr">
        <is>
          <t>ОТ ЮГОК ЗИОФ 24-16</t>
        </is>
      </c>
      <c r="K897" s="1" t="inlineStr">
        <is>
          <t>Использование (применение) средств индивидуальной защиты</t>
        </is>
      </c>
      <c r="L897" s="1" t="inlineStr">
        <is>
          <t>23.02.2024</t>
        </is>
      </c>
      <c r="M897" s="1" t="inlineStr">
        <is>
          <t>Успешно</t>
        </is>
      </c>
      <c r="N897" s="1" t="inlineStr">
        <is>
          <t>26.02.2024</t>
        </is>
      </c>
      <c r="O897" s="1" t="inlineStr"/>
      <c r="P897" s="1" t="inlineStr"/>
      <c r="Q897" s="1" t="inlineStr">
        <is>
          <t>Пользовательский интерфейс</t>
        </is>
      </c>
    </row>
    <row r="898">
      <c r="B898" s="1" t="inlineStr">
        <is>
          <t>41372226</t>
        </is>
      </c>
      <c r="C898" s="1" t="inlineStr">
        <is>
          <t>3335316</t>
        </is>
      </c>
      <c r="D898" t="inlineStr">
        <is>
          <t>работник 257</t>
        </is>
      </c>
      <c r="E898" s="1" t="inlineStr">
        <is>
          <t>ОБЩЕСТВО С ОГРАНИЧЕННОЙ ОТВЕТСТВЕННОСТЬЮ "АМУР ЗОЛОТО"</t>
        </is>
      </c>
      <c r="F898" s="1" t="inlineStr">
        <is>
          <t>2708001686</t>
        </is>
      </c>
      <c r="G898" s="1" t="inlineStr">
        <is>
          <t>Аппаратчик-гидрометаллург</t>
        </is>
      </c>
      <c r="H898" s="1" t="inlineStr">
        <is>
          <t>ООО "Амур Золото"</t>
        </is>
      </c>
      <c r="I898" s="1" t="inlineStr">
        <is>
          <t>2708001686</t>
        </is>
      </c>
      <c r="J898" s="1" t="inlineStr">
        <is>
          <t>ОТ ЮГОК ЗИОФ 24-16</t>
        </is>
      </c>
      <c r="K89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898" s="1" t="inlineStr">
        <is>
          <t>23.02.2024</t>
        </is>
      </c>
      <c r="M898" s="1" t="inlineStr">
        <is>
          <t>Успешно</t>
        </is>
      </c>
      <c r="N898" s="1" t="inlineStr">
        <is>
          <t>26.02.2024</t>
        </is>
      </c>
      <c r="O898" s="1" t="inlineStr"/>
      <c r="P898" s="1" t="inlineStr"/>
      <c r="Q898" s="1" t="inlineStr">
        <is>
          <t>Пользовательский интерфейс</t>
        </is>
      </c>
    </row>
    <row r="899">
      <c r="B899" s="1" t="inlineStr">
        <is>
          <t>42252314</t>
        </is>
      </c>
      <c r="C899" s="1" t="inlineStr">
        <is>
          <t>3404353</t>
        </is>
      </c>
      <c r="D899" t="inlineStr">
        <is>
          <t>работник 258</t>
        </is>
      </c>
      <c r="E899" s="1" t="inlineStr">
        <is>
          <t>ОБЩЕСТВО С ОГРАНИЧЕННОЙ ОТВЕТСТВЕННОСТЬЮ "АМУР ЗОЛОТО"</t>
        </is>
      </c>
      <c r="F899" s="1" t="inlineStr">
        <is>
          <t>2708001686</t>
        </is>
      </c>
      <c r="G899" s="1" t="inlineStr">
        <is>
          <t>Подсобный рабочий</t>
        </is>
      </c>
      <c r="H899" s="1" t="inlineStr">
        <is>
          <t>ООО "Амур Золото"</t>
        </is>
      </c>
      <c r="I899" s="1" t="inlineStr">
        <is>
          <t>2708001686</t>
        </is>
      </c>
      <c r="J899" s="1" t="inlineStr">
        <is>
          <t>ОТ № ЮГОК УОП 24-02</t>
        </is>
      </c>
      <c r="K899" s="1" t="inlineStr">
        <is>
          <t>Оказание первой помощи пострадавшим</t>
        </is>
      </c>
      <c r="L899" s="1" t="inlineStr">
        <is>
          <t>10.02.2024</t>
        </is>
      </c>
      <c r="M899" s="1" t="inlineStr">
        <is>
          <t>Успешно</t>
        </is>
      </c>
      <c r="N899" s="1" t="inlineStr">
        <is>
          <t>29.02.2024</t>
        </is>
      </c>
      <c r="O899" s="1" t="inlineStr"/>
      <c r="P899" s="1" t="inlineStr"/>
      <c r="Q899" s="1" t="inlineStr">
        <is>
          <t>Пользовательский интерфейс</t>
        </is>
      </c>
    </row>
    <row r="900">
      <c r="B900" s="1" t="inlineStr">
        <is>
          <t>42252315</t>
        </is>
      </c>
      <c r="C900" s="1" t="inlineStr">
        <is>
          <t>3404353</t>
        </is>
      </c>
      <c r="D900" t="inlineStr">
        <is>
          <t>работник 258</t>
        </is>
      </c>
      <c r="E900" s="1" t="inlineStr">
        <is>
          <t>ОБЩЕСТВО С ОГРАНИЧЕННОЙ ОТВЕТСТВЕННОСТЬЮ "АМУР ЗОЛОТО"</t>
        </is>
      </c>
      <c r="F900" s="1" t="inlineStr">
        <is>
          <t>2708001686</t>
        </is>
      </c>
      <c r="G900" s="1" t="inlineStr">
        <is>
          <t>Подсобный рабочий</t>
        </is>
      </c>
      <c r="H900" s="1" t="inlineStr">
        <is>
          <t>ООО "Амур Золото"</t>
        </is>
      </c>
      <c r="I900" s="1" t="inlineStr">
        <is>
          <t>2708001686</t>
        </is>
      </c>
      <c r="J900" s="1" t="inlineStr">
        <is>
          <t>ОТ № ЮГОК УОП 24-02</t>
        </is>
      </c>
      <c r="K900" s="1" t="inlineStr">
        <is>
          <t>Использование (применение) средств индивидуальной защиты</t>
        </is>
      </c>
      <c r="L900" s="1" t="inlineStr">
        <is>
          <t>10.02.2024</t>
        </is>
      </c>
      <c r="M900" s="1" t="inlineStr">
        <is>
          <t>Успешно</t>
        </is>
      </c>
      <c r="N900" s="1" t="inlineStr">
        <is>
          <t>29.02.2024</t>
        </is>
      </c>
      <c r="O900" s="1" t="inlineStr"/>
      <c r="P900" s="1" t="inlineStr"/>
      <c r="Q900" s="1" t="inlineStr">
        <is>
          <t>Пользовательский интерфейс</t>
        </is>
      </c>
    </row>
    <row r="901">
      <c r="B901" s="1" t="inlineStr">
        <is>
          <t>42252316</t>
        </is>
      </c>
      <c r="C901" s="1" t="inlineStr">
        <is>
          <t>3404353</t>
        </is>
      </c>
      <c r="D901" t="inlineStr">
        <is>
          <t>работник 258</t>
        </is>
      </c>
      <c r="E901" s="1" t="inlineStr">
        <is>
          <t>ОБЩЕСТВО С ОГРАНИЧЕННОЙ ОТВЕТСТВЕННОСТЬЮ "АМУР ЗОЛОТО"</t>
        </is>
      </c>
      <c r="F901" s="1" t="inlineStr">
        <is>
          <t>2708001686</t>
        </is>
      </c>
      <c r="G901" s="1" t="inlineStr">
        <is>
          <t>Подсобный рабочий</t>
        </is>
      </c>
      <c r="H901" s="1" t="inlineStr">
        <is>
          <t>ООО "Амур Золото"</t>
        </is>
      </c>
      <c r="I901" s="1" t="inlineStr">
        <is>
          <t>2708001686</t>
        </is>
      </c>
      <c r="J901" s="1" t="inlineStr">
        <is>
          <t>ОТ № ЮГОК УОП 24-02</t>
        </is>
      </c>
      <c r="K90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901" s="1" t="inlineStr">
        <is>
          <t>10.02.2024</t>
        </is>
      </c>
      <c r="M901" s="1" t="inlineStr">
        <is>
          <t>Успешно</t>
        </is>
      </c>
      <c r="N901" s="1" t="inlineStr">
        <is>
          <t>29.02.2024</t>
        </is>
      </c>
      <c r="O901" s="1" t="inlineStr"/>
      <c r="P901" s="1" t="inlineStr"/>
      <c r="Q901" s="1" t="inlineStr">
        <is>
          <t>Пользовательский интерфейс</t>
        </is>
      </c>
    </row>
    <row r="902">
      <c r="B902" s="1" t="inlineStr">
        <is>
          <t>42252317</t>
        </is>
      </c>
      <c r="C902" s="1" t="inlineStr">
        <is>
          <t>3404353</t>
        </is>
      </c>
      <c r="D902" t="inlineStr">
        <is>
          <t>работник 259</t>
        </is>
      </c>
      <c r="E902" s="1" t="inlineStr">
        <is>
          <t>ОБЩЕСТВО С ОГРАНИЧЕННОЙ ОТВЕТСТВЕННОСТЬЮ "АМУР ЗОЛОТО"</t>
        </is>
      </c>
      <c r="F902" s="1" t="inlineStr">
        <is>
          <t>2708001686</t>
        </is>
      </c>
      <c r="G902" s="1" t="inlineStr">
        <is>
          <t>Подсобный рабочий</t>
        </is>
      </c>
      <c r="H902" s="1" t="inlineStr">
        <is>
          <t>ООО "Амур Золото"</t>
        </is>
      </c>
      <c r="I902" s="1" t="inlineStr">
        <is>
          <t>2708001686</t>
        </is>
      </c>
      <c r="J902" s="1" t="inlineStr">
        <is>
          <t>ОТ № ЮГОК УОП 24-02</t>
        </is>
      </c>
      <c r="K902" s="1" t="inlineStr">
        <is>
          <t>Оказание первой помощи пострадавшим</t>
        </is>
      </c>
      <c r="L902" s="1" t="inlineStr">
        <is>
          <t>10.02.2024</t>
        </is>
      </c>
      <c r="M902" s="1" t="inlineStr">
        <is>
          <t>Успешно</t>
        </is>
      </c>
      <c r="N902" s="1" t="inlineStr">
        <is>
          <t>29.02.2024</t>
        </is>
      </c>
      <c r="O902" s="1" t="inlineStr"/>
      <c r="P902" s="1" t="inlineStr"/>
      <c r="Q902" s="1" t="inlineStr">
        <is>
          <t>Пользовательский интерфейс</t>
        </is>
      </c>
    </row>
    <row r="903">
      <c r="B903" s="1" t="inlineStr">
        <is>
          <t>42252318</t>
        </is>
      </c>
      <c r="C903" s="1" t="inlineStr">
        <is>
          <t>3404353</t>
        </is>
      </c>
      <c r="D903" t="inlineStr">
        <is>
          <t>работник 259</t>
        </is>
      </c>
      <c r="E903" s="1" t="inlineStr">
        <is>
          <t>ОБЩЕСТВО С ОГРАНИЧЕННОЙ ОТВЕТСТВЕННОСТЬЮ "АМУР ЗОЛОТО"</t>
        </is>
      </c>
      <c r="F903" s="1" t="inlineStr">
        <is>
          <t>2708001686</t>
        </is>
      </c>
      <c r="G903" s="1" t="inlineStr">
        <is>
          <t>Подсобный рабочий</t>
        </is>
      </c>
      <c r="H903" s="1" t="inlineStr">
        <is>
          <t>ООО "Амур Золото"</t>
        </is>
      </c>
      <c r="I903" s="1" t="inlineStr">
        <is>
          <t>2708001686</t>
        </is>
      </c>
      <c r="J903" s="1" t="inlineStr">
        <is>
          <t>ОТ № ЮГОК УОП 24-02</t>
        </is>
      </c>
      <c r="K903" s="1" t="inlineStr">
        <is>
          <t>Использование (применение) средств индивидуальной защиты</t>
        </is>
      </c>
      <c r="L903" s="1" t="inlineStr">
        <is>
          <t>10.02.2024</t>
        </is>
      </c>
      <c r="M903" s="1" t="inlineStr">
        <is>
          <t>Успешно</t>
        </is>
      </c>
      <c r="N903" s="1" t="inlineStr">
        <is>
          <t>29.02.2024</t>
        </is>
      </c>
      <c r="O903" s="1" t="inlineStr"/>
      <c r="P903" s="1" t="inlineStr"/>
      <c r="Q903" s="1" t="inlineStr">
        <is>
          <t>Пользовательский интерфейс</t>
        </is>
      </c>
    </row>
    <row r="904">
      <c r="B904" s="1" t="inlineStr">
        <is>
          <t>42252319</t>
        </is>
      </c>
      <c r="C904" s="1" t="inlineStr">
        <is>
          <t>3404353</t>
        </is>
      </c>
      <c r="D904" t="inlineStr">
        <is>
          <t>работник 259</t>
        </is>
      </c>
      <c r="E904" s="1" t="inlineStr">
        <is>
          <t>ОБЩЕСТВО С ОГРАНИЧЕННОЙ ОТВЕТСТВЕННОСТЬЮ "АМУР ЗОЛОТО"</t>
        </is>
      </c>
      <c r="F904" s="1" t="inlineStr">
        <is>
          <t>2708001686</t>
        </is>
      </c>
      <c r="G904" s="1" t="inlineStr">
        <is>
          <t>Подсобный рабочий</t>
        </is>
      </c>
      <c r="H904" s="1" t="inlineStr">
        <is>
          <t>ООО "Амур Золото"</t>
        </is>
      </c>
      <c r="I904" s="1" t="inlineStr">
        <is>
          <t>2708001686</t>
        </is>
      </c>
      <c r="J904" s="1" t="inlineStr">
        <is>
          <t>ОТ № ЮГОК УОП 24-02</t>
        </is>
      </c>
      <c r="K90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904" s="1" t="inlineStr">
        <is>
          <t>10.02.2024</t>
        </is>
      </c>
      <c r="M904" s="1" t="inlineStr">
        <is>
          <t>Успешно</t>
        </is>
      </c>
      <c r="N904" s="1" t="inlineStr">
        <is>
          <t>29.02.2024</t>
        </is>
      </c>
      <c r="O904" s="1" t="inlineStr"/>
      <c r="P904" s="1" t="inlineStr"/>
      <c r="Q904" s="1" t="inlineStr">
        <is>
          <t>Пользовательский интерфейс</t>
        </is>
      </c>
    </row>
    <row r="905">
      <c r="B905" s="1" t="inlineStr">
        <is>
          <t>42252320</t>
        </is>
      </c>
      <c r="C905" s="1" t="inlineStr">
        <is>
          <t>3404353</t>
        </is>
      </c>
      <c r="D905" t="inlineStr">
        <is>
          <t>работник 260</t>
        </is>
      </c>
      <c r="E905" s="1" t="inlineStr">
        <is>
          <t>ОБЩЕСТВО С ОГРАНИЧЕННОЙ ОТВЕТСТВЕННОСТЬЮ "АМУР ЗОЛОТО"</t>
        </is>
      </c>
      <c r="F905" s="1" t="inlineStr">
        <is>
          <t>2708001686</t>
        </is>
      </c>
      <c r="G905" s="1" t="inlineStr">
        <is>
          <t>Водитель автомобиля (занятый на транспортировании горной массы в технологическом процессе)</t>
        </is>
      </c>
      <c r="H905" s="1" t="inlineStr">
        <is>
          <t>ООО "Амур Золото"</t>
        </is>
      </c>
      <c r="I905" s="1" t="inlineStr">
        <is>
          <t>2708001686</t>
        </is>
      </c>
      <c r="J905" s="1" t="inlineStr">
        <is>
          <t>ОТ № ЮГОК АТЦ 24-04</t>
        </is>
      </c>
      <c r="K905" s="1" t="inlineStr">
        <is>
          <t>Оказание первой помощи пострадавшим</t>
        </is>
      </c>
      <c r="L905" s="1" t="inlineStr">
        <is>
          <t>23.02.2024</t>
        </is>
      </c>
      <c r="M905" s="1" t="inlineStr">
        <is>
          <t>Успешно</t>
        </is>
      </c>
      <c r="N905" s="1" t="inlineStr">
        <is>
          <t>29.02.2024</t>
        </is>
      </c>
      <c r="O905" s="1" t="inlineStr"/>
      <c r="P905" s="1" t="inlineStr"/>
      <c r="Q905" s="1" t="inlineStr">
        <is>
          <t>Пользовательский интерфейс</t>
        </is>
      </c>
    </row>
    <row r="906">
      <c r="B906" s="1" t="inlineStr">
        <is>
          <t>42252321</t>
        </is>
      </c>
      <c r="C906" s="1" t="inlineStr">
        <is>
          <t>3404353</t>
        </is>
      </c>
      <c r="D906" t="inlineStr">
        <is>
          <t>работник 260</t>
        </is>
      </c>
      <c r="E906" s="1" t="inlineStr">
        <is>
          <t>ОБЩЕСТВО С ОГРАНИЧЕННОЙ ОТВЕТСТВЕННОСТЬЮ "АМУР ЗОЛОТО"</t>
        </is>
      </c>
      <c r="F906" s="1" t="inlineStr">
        <is>
          <t>2708001686</t>
        </is>
      </c>
      <c r="G906" s="1" t="inlineStr">
        <is>
          <t>Водитель автомобиля (занятый на транспортировании горной массы в технологическом процессе)</t>
        </is>
      </c>
      <c r="H906" s="1" t="inlineStr">
        <is>
          <t>ООО "Амур Золото"</t>
        </is>
      </c>
      <c r="I906" s="1" t="inlineStr">
        <is>
          <t>2708001686</t>
        </is>
      </c>
      <c r="J906" s="1" t="inlineStr">
        <is>
          <t>ОТ № ЮГОК АТЦ 24-04</t>
        </is>
      </c>
      <c r="K906" s="1" t="inlineStr">
        <is>
          <t>Использование (применение) средств индивидуальной защиты</t>
        </is>
      </c>
      <c r="L906" s="1" t="inlineStr">
        <is>
          <t>23.02.2024</t>
        </is>
      </c>
      <c r="M906" s="1" t="inlineStr">
        <is>
          <t>Успешно</t>
        </is>
      </c>
      <c r="N906" s="1" t="inlineStr">
        <is>
          <t>29.02.2024</t>
        </is>
      </c>
      <c r="O906" s="1" t="inlineStr"/>
      <c r="P906" s="1" t="inlineStr"/>
      <c r="Q906" s="1" t="inlineStr">
        <is>
          <t>Пользовательский интерфейс</t>
        </is>
      </c>
    </row>
    <row r="907">
      <c r="B907" s="1" t="inlineStr">
        <is>
          <t>42252322</t>
        </is>
      </c>
      <c r="C907" s="1" t="inlineStr">
        <is>
          <t>3404353</t>
        </is>
      </c>
      <c r="D907" t="inlineStr">
        <is>
          <t>работник 260</t>
        </is>
      </c>
      <c r="E907" s="1" t="inlineStr">
        <is>
          <t>ОБЩЕСТВО С ОГРАНИЧЕННОЙ ОТВЕТСТВЕННОСТЬЮ "АМУР ЗОЛОТО"</t>
        </is>
      </c>
      <c r="F907" s="1" t="inlineStr">
        <is>
          <t>2708001686</t>
        </is>
      </c>
      <c r="G907" s="1" t="inlineStr">
        <is>
          <t>Водитель автомобиля (занятый на транспортировании горной массы в технологическом процессе)</t>
        </is>
      </c>
      <c r="H907" s="1" t="inlineStr">
        <is>
          <t>ООО "Амур Золото"</t>
        </is>
      </c>
      <c r="I907" s="1" t="inlineStr">
        <is>
          <t>2708001686</t>
        </is>
      </c>
      <c r="J907" s="1" t="inlineStr">
        <is>
          <t>ОТ № ЮГОК АТЦ 24-04</t>
        </is>
      </c>
      <c r="K90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907" s="1" t="inlineStr">
        <is>
          <t>23.02.2024</t>
        </is>
      </c>
      <c r="M907" s="1" t="inlineStr">
        <is>
          <t>Успешно</t>
        </is>
      </c>
      <c r="N907" s="1" t="inlineStr">
        <is>
          <t>29.02.2024</t>
        </is>
      </c>
      <c r="O907" s="1" t="inlineStr"/>
      <c r="P907" s="1" t="inlineStr"/>
      <c r="Q907" s="1" t="inlineStr">
        <is>
          <t>Пользовательский интерфейс</t>
        </is>
      </c>
    </row>
    <row r="908">
      <c r="B908" s="1" t="inlineStr">
        <is>
          <t>42252323</t>
        </is>
      </c>
      <c r="C908" s="1" t="inlineStr">
        <is>
          <t>3404353</t>
        </is>
      </c>
      <c r="D908" t="inlineStr">
        <is>
          <t>работник 261</t>
        </is>
      </c>
      <c r="E908" s="1" t="inlineStr">
        <is>
          <t>ОБЩЕСТВО С ОГРАНИЧЕННОЙ ОТВЕТСТВЕННОСТЬЮ "АМУР ЗОЛОТО"</t>
        </is>
      </c>
      <c r="F908" s="1" t="inlineStr">
        <is>
          <t>2708001686</t>
        </is>
      </c>
      <c r="G908" s="1" t="inlineStr">
        <is>
          <t>Машинист бульдозера</t>
        </is>
      </c>
      <c r="H908" s="1" t="inlineStr">
        <is>
          <t>ООО "Амур Золото"</t>
        </is>
      </c>
      <c r="I908" s="1" t="inlineStr">
        <is>
          <t>2708001686</t>
        </is>
      </c>
      <c r="J908" s="1" t="inlineStr">
        <is>
          <t>ОТ № ЮГОК АТЦ 24-04</t>
        </is>
      </c>
      <c r="K908" s="1" t="inlineStr">
        <is>
          <t>Оказание первой помощи пострадавшим</t>
        </is>
      </c>
      <c r="L908" s="1" t="inlineStr">
        <is>
          <t>23.02.2024</t>
        </is>
      </c>
      <c r="M908" s="1" t="inlineStr">
        <is>
          <t>Успешно</t>
        </is>
      </c>
      <c r="N908" s="1" t="inlineStr">
        <is>
          <t>29.02.2024</t>
        </is>
      </c>
      <c r="O908" s="1" t="inlineStr"/>
      <c r="P908" s="1" t="inlineStr"/>
      <c r="Q908" s="1" t="inlineStr">
        <is>
          <t>Пользовательский интерфейс</t>
        </is>
      </c>
    </row>
    <row r="909">
      <c r="B909" s="1" t="inlineStr">
        <is>
          <t>42252324</t>
        </is>
      </c>
      <c r="C909" s="1" t="inlineStr">
        <is>
          <t>3404353</t>
        </is>
      </c>
      <c r="D909" t="inlineStr">
        <is>
          <t>работник 261</t>
        </is>
      </c>
      <c r="E909" s="1" t="inlineStr">
        <is>
          <t>ОБЩЕСТВО С ОГРАНИЧЕННОЙ ОТВЕТСТВЕННОСТЬЮ "АМУР ЗОЛОТО"</t>
        </is>
      </c>
      <c r="F909" s="1" t="inlineStr">
        <is>
          <t>2708001686</t>
        </is>
      </c>
      <c r="G909" s="1" t="inlineStr">
        <is>
          <t>Машинист бульдозера</t>
        </is>
      </c>
      <c r="H909" s="1" t="inlineStr">
        <is>
          <t>ООО "Амур Золото"</t>
        </is>
      </c>
      <c r="I909" s="1" t="inlineStr">
        <is>
          <t>2708001686</t>
        </is>
      </c>
      <c r="J909" s="1" t="inlineStr">
        <is>
          <t>ОТ № ЮГОК АТЦ 24-04</t>
        </is>
      </c>
      <c r="K909" s="1" t="inlineStr">
        <is>
          <t>Использование (применение) средств индивидуальной защиты</t>
        </is>
      </c>
      <c r="L909" s="1" t="inlineStr">
        <is>
          <t>23.02.2024</t>
        </is>
      </c>
      <c r="M909" s="1" t="inlineStr">
        <is>
          <t>Успешно</t>
        </is>
      </c>
      <c r="N909" s="1" t="inlineStr">
        <is>
          <t>29.02.2024</t>
        </is>
      </c>
      <c r="O909" s="1" t="inlineStr"/>
      <c r="P909" s="1" t="inlineStr"/>
      <c r="Q909" s="1" t="inlineStr">
        <is>
          <t>Пользовательский интерфейс</t>
        </is>
      </c>
    </row>
    <row r="910">
      <c r="B910" s="1" t="inlineStr">
        <is>
          <t>42252325</t>
        </is>
      </c>
      <c r="C910" s="1" t="inlineStr">
        <is>
          <t>3404353</t>
        </is>
      </c>
      <c r="D910" t="inlineStr">
        <is>
          <t>работник 261</t>
        </is>
      </c>
      <c r="E910" s="1" t="inlineStr">
        <is>
          <t>ОБЩЕСТВО С ОГРАНИЧЕННОЙ ОТВЕТСТВЕННОСТЬЮ "АМУР ЗОЛОТО"</t>
        </is>
      </c>
      <c r="F910" s="1" t="inlineStr">
        <is>
          <t>2708001686</t>
        </is>
      </c>
      <c r="G910" s="1" t="inlineStr">
        <is>
          <t>Машинист бульдозера</t>
        </is>
      </c>
      <c r="H910" s="1" t="inlineStr">
        <is>
          <t>ООО "Амур Золото"</t>
        </is>
      </c>
      <c r="I910" s="1" t="inlineStr">
        <is>
          <t>2708001686</t>
        </is>
      </c>
      <c r="J910" s="1" t="inlineStr">
        <is>
          <t>ОТ № ЮГОК АТЦ 24-04</t>
        </is>
      </c>
      <c r="K91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910" s="1" t="inlineStr">
        <is>
          <t>23.02.2024</t>
        </is>
      </c>
      <c r="M910" s="1" t="inlineStr">
        <is>
          <t>Успешно</t>
        </is>
      </c>
      <c r="N910" s="1" t="inlineStr">
        <is>
          <t>29.02.2024</t>
        </is>
      </c>
      <c r="O910" s="1" t="inlineStr"/>
      <c r="P910" s="1" t="inlineStr"/>
      <c r="Q910" s="1" t="inlineStr">
        <is>
          <t>Пользовательский интерфейс</t>
        </is>
      </c>
    </row>
    <row r="911">
      <c r="B911" s="1" t="inlineStr">
        <is>
          <t>42252326</t>
        </is>
      </c>
      <c r="C911" s="1" t="inlineStr">
        <is>
          <t>3404353</t>
        </is>
      </c>
      <c r="D911" t="inlineStr">
        <is>
          <t>работник 262</t>
        </is>
      </c>
      <c r="E911" s="1" t="inlineStr">
        <is>
          <t>ОБЩЕСТВО С ОГРАНИЧЕННОЙ ОТВЕТСТВЕННОСТЬЮ "АМУР ЗОЛОТО"</t>
        </is>
      </c>
      <c r="F911" s="1" t="inlineStr">
        <is>
          <t>2708001686</t>
        </is>
      </c>
      <c r="G911" s="1" t="inlineStr">
        <is>
          <t>Электрогазосварщик (занятый на резке и ручной сварке)</t>
        </is>
      </c>
      <c r="H911" s="1" t="inlineStr">
        <is>
          <t>ООО "Амур Золото"</t>
        </is>
      </c>
      <c r="I911" s="1" t="inlineStr">
        <is>
          <t>2708001686</t>
        </is>
      </c>
      <c r="J911" s="1" t="inlineStr">
        <is>
          <t>ОТ № ЮГОК АТЦ 24-04</t>
        </is>
      </c>
      <c r="K911" s="1" t="inlineStr">
        <is>
          <t>Оказание первой помощи пострадавшим</t>
        </is>
      </c>
      <c r="L911" s="1" t="inlineStr">
        <is>
          <t>23.02.2024</t>
        </is>
      </c>
      <c r="M911" s="1" t="inlineStr">
        <is>
          <t>Успешно</t>
        </is>
      </c>
      <c r="N911" s="1" t="inlineStr">
        <is>
          <t>29.02.2024</t>
        </is>
      </c>
      <c r="O911" s="1" t="inlineStr"/>
      <c r="P911" s="1" t="inlineStr"/>
      <c r="Q911" s="1" t="inlineStr">
        <is>
          <t>Пользовательский интерфейс</t>
        </is>
      </c>
    </row>
    <row r="912">
      <c r="B912" s="1" t="inlineStr">
        <is>
          <t>42252327</t>
        </is>
      </c>
      <c r="C912" s="1" t="inlineStr">
        <is>
          <t>3404353</t>
        </is>
      </c>
      <c r="D912" t="inlineStr">
        <is>
          <t>работник 262</t>
        </is>
      </c>
      <c r="E912" s="1" t="inlineStr">
        <is>
          <t>ОБЩЕСТВО С ОГРАНИЧЕННОЙ ОТВЕТСТВЕННОСТЬЮ "АМУР ЗОЛОТО"</t>
        </is>
      </c>
      <c r="F912" s="1" t="inlineStr">
        <is>
          <t>2708001686</t>
        </is>
      </c>
      <c r="G912" s="1" t="inlineStr">
        <is>
          <t>Электрогазосварщик (занятый на резке и ручной сварке)</t>
        </is>
      </c>
      <c r="H912" s="1" t="inlineStr">
        <is>
          <t>ООО "Амур Золото"</t>
        </is>
      </c>
      <c r="I912" s="1" t="inlineStr">
        <is>
          <t>2708001686</t>
        </is>
      </c>
      <c r="J912" s="1" t="inlineStr">
        <is>
          <t>ОТ № ЮГОК АТЦ 24-04</t>
        </is>
      </c>
      <c r="K912" s="1" t="inlineStr">
        <is>
          <t>Использование (применение) средств индивидуальной защиты</t>
        </is>
      </c>
      <c r="L912" s="1" t="inlineStr">
        <is>
          <t>23.02.2024</t>
        </is>
      </c>
      <c r="M912" s="1" t="inlineStr">
        <is>
          <t>Успешно</t>
        </is>
      </c>
      <c r="N912" s="1" t="inlineStr">
        <is>
          <t>29.02.2024</t>
        </is>
      </c>
      <c r="O912" s="1" t="inlineStr"/>
      <c r="P912" s="1" t="inlineStr"/>
      <c r="Q912" s="1" t="inlineStr">
        <is>
          <t>Пользовательский интерфейс</t>
        </is>
      </c>
    </row>
    <row r="913">
      <c r="B913" s="1" t="inlineStr">
        <is>
          <t>42252328</t>
        </is>
      </c>
      <c r="C913" s="1" t="inlineStr">
        <is>
          <t>3404353</t>
        </is>
      </c>
      <c r="D913" t="inlineStr">
        <is>
          <t>работник 262</t>
        </is>
      </c>
      <c r="E913" s="1" t="inlineStr">
        <is>
          <t>ОБЩЕСТВО С ОГРАНИЧЕННОЙ ОТВЕТСТВЕННОСТЬЮ "АМУР ЗОЛОТО"</t>
        </is>
      </c>
      <c r="F913" s="1" t="inlineStr">
        <is>
          <t>2708001686</t>
        </is>
      </c>
      <c r="G913" s="1" t="inlineStr">
        <is>
          <t>Электрогазосварщик (занятый на резке и ручной сварке)</t>
        </is>
      </c>
      <c r="H913" s="1" t="inlineStr">
        <is>
          <t>ООО "Амур Золото"</t>
        </is>
      </c>
      <c r="I913" s="1" t="inlineStr">
        <is>
          <t>2708001686</t>
        </is>
      </c>
      <c r="J913" s="1" t="inlineStr">
        <is>
          <t>ОТ № ЮГОК АТЦ 24-04</t>
        </is>
      </c>
      <c r="K91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913" s="1" t="inlineStr">
        <is>
          <t>23.02.2024</t>
        </is>
      </c>
      <c r="M913" s="1" t="inlineStr">
        <is>
          <t>Успешно</t>
        </is>
      </c>
      <c r="N913" s="1" t="inlineStr">
        <is>
          <t>29.02.2024</t>
        </is>
      </c>
      <c r="O913" s="1" t="inlineStr"/>
      <c r="P913" s="1" t="inlineStr"/>
      <c r="Q913" s="1" t="inlineStr">
        <is>
          <t>Пользовательский интерфейс</t>
        </is>
      </c>
    </row>
    <row r="914">
      <c r="B914" s="1" t="inlineStr">
        <is>
          <t>42252329</t>
        </is>
      </c>
      <c r="C914" s="1" t="inlineStr">
        <is>
          <t>3404353</t>
        </is>
      </c>
      <c r="D914" t="inlineStr">
        <is>
          <t>работник 263</t>
        </is>
      </c>
      <c r="E914" s="1" t="inlineStr">
        <is>
          <t>ОБЩЕСТВО С ОГРАНИЧЕННОЙ ОТВЕТСТВЕННОСТЬЮ "АМУР ЗОЛОТО"</t>
        </is>
      </c>
      <c r="F914" s="1" t="inlineStr">
        <is>
          <t>2708001686</t>
        </is>
      </c>
      <c r="G914" s="1" t="inlineStr">
        <is>
          <t>Водитель погрузчика</t>
        </is>
      </c>
      <c r="H914" s="1" t="inlineStr">
        <is>
          <t>ООО "Амур Золото"</t>
        </is>
      </c>
      <c r="I914" s="1" t="inlineStr">
        <is>
          <t>2708001686</t>
        </is>
      </c>
      <c r="J914" s="1" t="inlineStr">
        <is>
          <t>ОТ № ЮГОК АТЦ 24-04</t>
        </is>
      </c>
      <c r="K914" s="1" t="inlineStr">
        <is>
          <t>Оказание первой помощи пострадавшим</t>
        </is>
      </c>
      <c r="L914" s="1" t="inlineStr">
        <is>
          <t>23.02.2024</t>
        </is>
      </c>
      <c r="M914" s="1" t="inlineStr">
        <is>
          <t>Успешно</t>
        </is>
      </c>
      <c r="N914" s="1" t="inlineStr">
        <is>
          <t>29.02.2024</t>
        </is>
      </c>
      <c r="O914" s="1" t="inlineStr"/>
      <c r="P914" s="1" t="inlineStr"/>
      <c r="Q914" s="1" t="inlineStr">
        <is>
          <t>Пользовательский интерфейс</t>
        </is>
      </c>
    </row>
    <row r="915">
      <c r="B915" s="1" t="inlineStr">
        <is>
          <t>42252330</t>
        </is>
      </c>
      <c r="C915" s="1" t="inlineStr">
        <is>
          <t>3404353</t>
        </is>
      </c>
      <c r="D915" t="inlineStr">
        <is>
          <t>работник 263</t>
        </is>
      </c>
      <c r="E915" s="1" t="inlineStr">
        <is>
          <t>ОБЩЕСТВО С ОГРАНИЧЕННОЙ ОТВЕТСТВЕННОСТЬЮ "АМУР ЗОЛОТО"</t>
        </is>
      </c>
      <c r="F915" s="1" t="inlineStr">
        <is>
          <t>2708001686</t>
        </is>
      </c>
      <c r="G915" s="1" t="inlineStr">
        <is>
          <t>Водитель погрузчика</t>
        </is>
      </c>
      <c r="H915" s="1" t="inlineStr">
        <is>
          <t>ООО "Амур Золото"</t>
        </is>
      </c>
      <c r="I915" s="1" t="inlineStr">
        <is>
          <t>2708001686</t>
        </is>
      </c>
      <c r="J915" s="1" t="inlineStr">
        <is>
          <t>ОТ № ЮГОК АТЦ 24-04</t>
        </is>
      </c>
      <c r="K915" s="1" t="inlineStr">
        <is>
          <t>Использование (применение) средств индивидуальной защиты</t>
        </is>
      </c>
      <c r="L915" s="1" t="inlineStr">
        <is>
          <t>23.02.2024</t>
        </is>
      </c>
      <c r="M915" s="1" t="inlineStr">
        <is>
          <t>Успешно</t>
        </is>
      </c>
      <c r="N915" s="1" t="inlineStr">
        <is>
          <t>29.02.2024</t>
        </is>
      </c>
      <c r="O915" s="1" t="inlineStr"/>
      <c r="P915" s="1" t="inlineStr"/>
      <c r="Q915" s="1" t="inlineStr">
        <is>
          <t>Пользовательский интерфейс</t>
        </is>
      </c>
    </row>
    <row r="916">
      <c r="B916" s="1" t="inlineStr">
        <is>
          <t>42252331</t>
        </is>
      </c>
      <c r="C916" s="1" t="inlineStr">
        <is>
          <t>3404353</t>
        </is>
      </c>
      <c r="D916" t="inlineStr">
        <is>
          <t>работник 263</t>
        </is>
      </c>
      <c r="E916" s="1" t="inlineStr">
        <is>
          <t>ОБЩЕСТВО С ОГРАНИЧЕННОЙ ОТВЕТСТВЕННОСТЬЮ "АМУР ЗОЛОТО"</t>
        </is>
      </c>
      <c r="F916" s="1" t="inlineStr">
        <is>
          <t>2708001686</t>
        </is>
      </c>
      <c r="G916" s="1" t="inlineStr">
        <is>
          <t>Водитель погрузчика</t>
        </is>
      </c>
      <c r="H916" s="1" t="inlineStr">
        <is>
          <t>ООО "Амур Золото"</t>
        </is>
      </c>
      <c r="I916" s="1" t="inlineStr">
        <is>
          <t>2708001686</t>
        </is>
      </c>
      <c r="J916" s="1" t="inlineStr">
        <is>
          <t>ОТ № ЮГОК АТЦ 24-04</t>
        </is>
      </c>
      <c r="K91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916" s="1" t="inlineStr">
        <is>
          <t>23.02.2024</t>
        </is>
      </c>
      <c r="M916" s="1" t="inlineStr">
        <is>
          <t>Успешно</t>
        </is>
      </c>
      <c r="N916" s="1" t="inlineStr">
        <is>
          <t>29.02.2024</t>
        </is>
      </c>
      <c r="O916" s="1" t="inlineStr"/>
      <c r="P916" s="1" t="inlineStr"/>
      <c r="Q916" s="1" t="inlineStr">
        <is>
          <t>Пользовательский интерфейс</t>
        </is>
      </c>
    </row>
    <row r="917">
      <c r="B917" s="1" t="inlineStr">
        <is>
          <t>42252332</t>
        </is>
      </c>
      <c r="C917" s="1" t="inlineStr">
        <is>
          <t>3404353</t>
        </is>
      </c>
      <c r="D917" t="inlineStr">
        <is>
          <t>работник 264</t>
        </is>
      </c>
      <c r="E917" s="1" t="inlineStr">
        <is>
          <t>ОБЩЕСТВО С ОГРАНИЧЕННОЙ ОТВЕТСТВЕННОСТЬЮ "АМУР ЗОЛОТО"</t>
        </is>
      </c>
      <c r="F917" s="1" t="inlineStr">
        <is>
          <t>2708001686</t>
        </is>
      </c>
      <c r="G917" s="1" t="inlineStr">
        <is>
          <t>Машинист крана автомобильного (КМУ)</t>
        </is>
      </c>
      <c r="H917" s="1" t="inlineStr">
        <is>
          <t>ООО "Амур Золото"</t>
        </is>
      </c>
      <c r="I917" s="1" t="inlineStr">
        <is>
          <t>2708001686</t>
        </is>
      </c>
      <c r="J917" s="1" t="inlineStr">
        <is>
          <t>ОТ № ЮГОК АТЦ 24-04</t>
        </is>
      </c>
      <c r="K917" s="1" t="inlineStr">
        <is>
          <t>Оказание первой помощи пострадавшим</t>
        </is>
      </c>
      <c r="L917" s="1" t="inlineStr">
        <is>
          <t>23.02.2024</t>
        </is>
      </c>
      <c r="M917" s="1" t="inlineStr">
        <is>
          <t>Успешно</t>
        </is>
      </c>
      <c r="N917" s="1" t="inlineStr">
        <is>
          <t>29.02.2024</t>
        </is>
      </c>
      <c r="O917" s="1" t="inlineStr"/>
      <c r="P917" s="1" t="inlineStr"/>
      <c r="Q917" s="1" t="inlineStr">
        <is>
          <t>Пользовательский интерфейс</t>
        </is>
      </c>
    </row>
    <row r="918">
      <c r="B918" s="1" t="inlineStr">
        <is>
          <t>42252333</t>
        </is>
      </c>
      <c r="C918" s="1" t="inlineStr">
        <is>
          <t>3404353</t>
        </is>
      </c>
      <c r="D918" t="inlineStr">
        <is>
          <t>работник 264</t>
        </is>
      </c>
      <c r="E918" s="1" t="inlineStr">
        <is>
          <t>ОБЩЕСТВО С ОГРАНИЧЕННОЙ ОТВЕТСТВЕННОСТЬЮ "АМУР ЗОЛОТО"</t>
        </is>
      </c>
      <c r="F918" s="1" t="inlineStr">
        <is>
          <t>2708001686</t>
        </is>
      </c>
      <c r="G918" s="1" t="inlineStr">
        <is>
          <t>Машинист крана автомобильного (КМУ)</t>
        </is>
      </c>
      <c r="H918" s="1" t="inlineStr">
        <is>
          <t>ООО "Амур Золото"</t>
        </is>
      </c>
      <c r="I918" s="1" t="inlineStr">
        <is>
          <t>2708001686</t>
        </is>
      </c>
      <c r="J918" s="1" t="inlineStr">
        <is>
          <t>ОТ № ЮГОК АТЦ 24-04</t>
        </is>
      </c>
      <c r="K918" s="1" t="inlineStr">
        <is>
          <t>Использование (применение) средств индивидуальной защиты</t>
        </is>
      </c>
      <c r="L918" s="1" t="inlineStr">
        <is>
          <t>23.02.2024</t>
        </is>
      </c>
      <c r="M918" s="1" t="inlineStr">
        <is>
          <t>Успешно</t>
        </is>
      </c>
      <c r="N918" s="1" t="inlineStr">
        <is>
          <t>29.02.2024</t>
        </is>
      </c>
      <c r="O918" s="1" t="inlineStr"/>
      <c r="P918" s="1" t="inlineStr"/>
      <c r="Q918" s="1" t="inlineStr">
        <is>
          <t>Пользовательский интерфейс</t>
        </is>
      </c>
    </row>
    <row r="919">
      <c r="B919" s="1" t="inlineStr">
        <is>
          <t>42252334</t>
        </is>
      </c>
      <c r="C919" s="1" t="inlineStr">
        <is>
          <t>3404353</t>
        </is>
      </c>
      <c r="D919" t="inlineStr">
        <is>
          <t>работник 264</t>
        </is>
      </c>
      <c r="E919" s="1" t="inlineStr">
        <is>
          <t>ОБЩЕСТВО С ОГРАНИЧЕННОЙ ОТВЕТСТВЕННОСТЬЮ "АМУР ЗОЛОТО"</t>
        </is>
      </c>
      <c r="F919" s="1" t="inlineStr">
        <is>
          <t>2708001686</t>
        </is>
      </c>
      <c r="G919" s="1" t="inlineStr">
        <is>
          <t>Машинист крана автомобильного (КМУ)</t>
        </is>
      </c>
      <c r="H919" s="1" t="inlineStr">
        <is>
          <t>ООО "Амур Золото"</t>
        </is>
      </c>
      <c r="I919" s="1" t="inlineStr">
        <is>
          <t>2708001686</t>
        </is>
      </c>
      <c r="J919" s="1" t="inlineStr">
        <is>
          <t>ОТ № ЮГОК АТЦ 24-04</t>
        </is>
      </c>
      <c r="K91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919" s="1" t="inlineStr">
        <is>
          <t>23.02.2024</t>
        </is>
      </c>
      <c r="M919" s="1" t="inlineStr">
        <is>
          <t>Успешно</t>
        </is>
      </c>
      <c r="N919" s="1" t="inlineStr">
        <is>
          <t>29.02.2024</t>
        </is>
      </c>
      <c r="O919" s="1" t="inlineStr"/>
      <c r="P919" s="1" t="inlineStr"/>
      <c r="Q919" s="1" t="inlineStr">
        <is>
          <t>Пользовательский интерфейс</t>
        </is>
      </c>
    </row>
    <row r="920">
      <c r="B920" s="1" t="inlineStr">
        <is>
          <t>42252335</t>
        </is>
      </c>
      <c r="C920" s="1" t="inlineStr">
        <is>
          <t>3404353</t>
        </is>
      </c>
      <c r="D920" t="inlineStr">
        <is>
          <t>работник 265</t>
        </is>
      </c>
      <c r="E920" s="1" t="inlineStr">
        <is>
          <t>ОБЩЕСТВО С ОГРАНИЧЕННОЙ ОТВЕТСТВЕННОСТЬЮ "АМУР ЗОЛОТО"</t>
        </is>
      </c>
      <c r="F920" s="1" t="inlineStr">
        <is>
          <t>2708001686</t>
        </is>
      </c>
      <c r="G920" s="1" t="inlineStr">
        <is>
          <t>Водитель автомобиля (занятый на транспортировании горной массы в технологическом процессе)</t>
        </is>
      </c>
      <c r="H920" s="1" t="inlineStr">
        <is>
          <t>ООО "Амур Золото"</t>
        </is>
      </c>
      <c r="I920" s="1" t="inlineStr">
        <is>
          <t>2708001686</t>
        </is>
      </c>
      <c r="J920" s="1" t="inlineStr">
        <is>
          <t>ОТ № ЮГОК АТЦ 24-04</t>
        </is>
      </c>
      <c r="K920" s="1" t="inlineStr">
        <is>
          <t>Оказание первой помощи пострадавшим</t>
        </is>
      </c>
      <c r="L920" s="1" t="inlineStr">
        <is>
          <t>23.02.2024</t>
        </is>
      </c>
      <c r="M920" s="1" t="inlineStr">
        <is>
          <t>Успешно</t>
        </is>
      </c>
      <c r="N920" s="1" t="inlineStr">
        <is>
          <t>29.02.2024</t>
        </is>
      </c>
      <c r="O920" s="1" t="inlineStr"/>
      <c r="P920" s="1" t="inlineStr"/>
      <c r="Q920" s="1" t="inlineStr">
        <is>
          <t>Пользовательский интерфейс</t>
        </is>
      </c>
    </row>
    <row r="921">
      <c r="B921" s="1" t="inlineStr">
        <is>
          <t>42252336</t>
        </is>
      </c>
      <c r="C921" s="1" t="inlineStr">
        <is>
          <t>3404353</t>
        </is>
      </c>
      <c r="D921" t="inlineStr">
        <is>
          <t>работник 265</t>
        </is>
      </c>
      <c r="E921" s="1" t="inlineStr">
        <is>
          <t>ОБЩЕСТВО С ОГРАНИЧЕННОЙ ОТВЕТСТВЕННОСТЬЮ "АМУР ЗОЛОТО"</t>
        </is>
      </c>
      <c r="F921" s="1" t="inlineStr">
        <is>
          <t>2708001686</t>
        </is>
      </c>
      <c r="G921" s="1" t="inlineStr">
        <is>
          <t>Водитель автомобиля (занятый на транспортировании горной массы в технологическом процессе)</t>
        </is>
      </c>
      <c r="H921" s="1" t="inlineStr">
        <is>
          <t>ООО "Амур Золото"</t>
        </is>
      </c>
      <c r="I921" s="1" t="inlineStr">
        <is>
          <t>2708001686</t>
        </is>
      </c>
      <c r="J921" s="1" t="inlineStr">
        <is>
          <t>ОТ № ЮГОК АТЦ 24-04</t>
        </is>
      </c>
      <c r="K921" s="1" t="inlineStr">
        <is>
          <t>Использование (применение) средств индивидуальной защиты</t>
        </is>
      </c>
      <c r="L921" s="1" t="inlineStr">
        <is>
          <t>23.02.2024</t>
        </is>
      </c>
      <c r="M921" s="1" t="inlineStr">
        <is>
          <t>Успешно</t>
        </is>
      </c>
      <c r="N921" s="1" t="inlineStr">
        <is>
          <t>29.02.2024</t>
        </is>
      </c>
      <c r="O921" s="1" t="inlineStr"/>
      <c r="P921" s="1" t="inlineStr"/>
      <c r="Q921" s="1" t="inlineStr">
        <is>
          <t>Пользовательский интерфейс</t>
        </is>
      </c>
    </row>
    <row r="922">
      <c r="B922" s="1" t="inlineStr">
        <is>
          <t>42252337</t>
        </is>
      </c>
      <c r="C922" s="1" t="inlineStr">
        <is>
          <t>3404353</t>
        </is>
      </c>
      <c r="D922" t="inlineStr">
        <is>
          <t>работник 265</t>
        </is>
      </c>
      <c r="E922" s="1" t="inlineStr">
        <is>
          <t>ОБЩЕСТВО С ОГРАНИЧЕННОЙ ОТВЕТСТВЕННОСТЬЮ "АМУР ЗОЛОТО"</t>
        </is>
      </c>
      <c r="F922" s="1" t="inlineStr">
        <is>
          <t>2708001686</t>
        </is>
      </c>
      <c r="G922" s="1" t="inlineStr">
        <is>
          <t>Водитель автомобиля (занятый на транспортировании горной массы в технологическом процессе)</t>
        </is>
      </c>
      <c r="H922" s="1" t="inlineStr">
        <is>
          <t>ООО "Амур Золото"</t>
        </is>
      </c>
      <c r="I922" s="1" t="inlineStr">
        <is>
          <t>2708001686</t>
        </is>
      </c>
      <c r="J922" s="1" t="inlineStr">
        <is>
          <t>ОТ № ЮГОК АТЦ 24-04</t>
        </is>
      </c>
      <c r="K92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922" s="1" t="inlineStr">
        <is>
          <t>23.02.2024</t>
        </is>
      </c>
      <c r="M922" s="1" t="inlineStr">
        <is>
          <t>Успешно</t>
        </is>
      </c>
      <c r="N922" s="1" t="inlineStr">
        <is>
          <t>29.02.2024</t>
        </is>
      </c>
      <c r="O922" s="1" t="inlineStr"/>
      <c r="P922" s="1" t="inlineStr"/>
      <c r="Q922" s="1" t="inlineStr">
        <is>
          <t>Пользовательский интерфейс</t>
        </is>
      </c>
    </row>
    <row r="923">
      <c r="B923" s="1" t="inlineStr">
        <is>
          <t>42252338</t>
        </is>
      </c>
      <c r="C923" s="1" t="inlineStr">
        <is>
          <t>3404353</t>
        </is>
      </c>
      <c r="D923" t="inlineStr">
        <is>
          <t>работник 266</t>
        </is>
      </c>
      <c r="E923" s="1" t="inlineStr">
        <is>
          <t>ОБЩЕСТВО С ОГРАНИЧЕННОЙ ОТВЕТСТВЕННОСТЬЮ "АМУР ЗОЛОТО"</t>
        </is>
      </c>
      <c r="F923" s="1" t="inlineStr">
        <is>
          <t>2708001686</t>
        </is>
      </c>
      <c r="G923" s="1" t="inlineStr">
        <is>
          <t>Водитель автомобиля (топливозаправщик)</t>
        </is>
      </c>
      <c r="H923" s="1" t="inlineStr">
        <is>
          <t>ООО "Амур Золото"</t>
        </is>
      </c>
      <c r="I923" s="1" t="inlineStr">
        <is>
          <t>2708001686</t>
        </is>
      </c>
      <c r="J923" s="1" t="inlineStr">
        <is>
          <t>ОТ № ЮГОК АТЦ 24-04</t>
        </is>
      </c>
      <c r="K923" s="1" t="inlineStr">
        <is>
          <t>Оказание первой помощи пострадавшим</t>
        </is>
      </c>
      <c r="L923" s="1" t="inlineStr">
        <is>
          <t>23.02.2024</t>
        </is>
      </c>
      <c r="M923" s="1" t="inlineStr">
        <is>
          <t>Успешно</t>
        </is>
      </c>
      <c r="N923" s="1" t="inlineStr">
        <is>
          <t>29.02.2024</t>
        </is>
      </c>
      <c r="O923" s="1" t="inlineStr"/>
      <c r="P923" s="1" t="inlineStr"/>
      <c r="Q923" s="1" t="inlineStr">
        <is>
          <t>Пользовательский интерфейс</t>
        </is>
      </c>
    </row>
    <row r="924">
      <c r="B924" s="1" t="inlineStr">
        <is>
          <t>42252339</t>
        </is>
      </c>
      <c r="C924" s="1" t="inlineStr">
        <is>
          <t>3404353</t>
        </is>
      </c>
      <c r="D924" t="inlineStr">
        <is>
          <t>работник 266</t>
        </is>
      </c>
      <c r="E924" s="1" t="inlineStr">
        <is>
          <t>ОБЩЕСТВО С ОГРАНИЧЕННОЙ ОТВЕТСТВЕННОСТЬЮ "АМУР ЗОЛОТО"</t>
        </is>
      </c>
      <c r="F924" s="1" t="inlineStr">
        <is>
          <t>2708001686</t>
        </is>
      </c>
      <c r="G924" s="1" t="inlineStr">
        <is>
          <t>Водитель автомобиля (топливозаправщик)</t>
        </is>
      </c>
      <c r="H924" s="1" t="inlineStr">
        <is>
          <t>ООО "Амур Золото"</t>
        </is>
      </c>
      <c r="I924" s="1" t="inlineStr">
        <is>
          <t>2708001686</t>
        </is>
      </c>
      <c r="J924" s="1" t="inlineStr">
        <is>
          <t>ОТ № ЮГОК АТЦ 24-04</t>
        </is>
      </c>
      <c r="K924" s="1" t="inlineStr">
        <is>
          <t>Использование (применение) средств индивидуальной защиты</t>
        </is>
      </c>
      <c r="L924" s="1" t="inlineStr">
        <is>
          <t>23.02.2024</t>
        </is>
      </c>
      <c r="M924" s="1" t="inlineStr">
        <is>
          <t>Успешно</t>
        </is>
      </c>
      <c r="N924" s="1" t="inlineStr">
        <is>
          <t>29.02.2024</t>
        </is>
      </c>
      <c r="O924" s="1" t="inlineStr"/>
      <c r="P924" s="1" t="inlineStr"/>
      <c r="Q924" s="1" t="inlineStr">
        <is>
          <t>Пользовательский интерфейс</t>
        </is>
      </c>
    </row>
    <row r="925">
      <c r="B925" s="1" t="inlineStr">
        <is>
          <t>42252340</t>
        </is>
      </c>
      <c r="C925" s="1" t="inlineStr">
        <is>
          <t>3404353</t>
        </is>
      </c>
      <c r="D925" t="inlineStr">
        <is>
          <t>работник 266</t>
        </is>
      </c>
      <c r="E925" s="1" t="inlineStr">
        <is>
          <t>ОБЩЕСТВО С ОГРАНИЧЕННОЙ ОТВЕТСТВЕННОСТЬЮ "АМУР ЗОЛОТО"</t>
        </is>
      </c>
      <c r="F925" s="1" t="inlineStr">
        <is>
          <t>2708001686</t>
        </is>
      </c>
      <c r="G925" s="1" t="inlineStr">
        <is>
          <t>Водитель автомобиля (топливозаправщик)</t>
        </is>
      </c>
      <c r="H925" s="1" t="inlineStr">
        <is>
          <t>ООО "Амур Золото"</t>
        </is>
      </c>
      <c r="I925" s="1" t="inlineStr">
        <is>
          <t>2708001686</t>
        </is>
      </c>
      <c r="J925" s="1" t="inlineStr">
        <is>
          <t>ОТ № ЮГОК АТЦ 24-04</t>
        </is>
      </c>
      <c r="K92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925" s="1" t="inlineStr">
        <is>
          <t>23.02.2024</t>
        </is>
      </c>
      <c r="M925" s="1" t="inlineStr">
        <is>
          <t>Успешно</t>
        </is>
      </c>
      <c r="N925" s="1" t="inlineStr">
        <is>
          <t>29.02.2024</t>
        </is>
      </c>
      <c r="O925" s="1" t="inlineStr"/>
      <c r="P925" s="1" t="inlineStr"/>
      <c r="Q925" s="1" t="inlineStr">
        <is>
          <t>Пользовательский интерфейс</t>
        </is>
      </c>
    </row>
    <row r="926">
      <c r="B926" s="1" t="inlineStr">
        <is>
          <t>42252341</t>
        </is>
      </c>
      <c r="C926" s="1" t="inlineStr">
        <is>
          <t>3404353</t>
        </is>
      </c>
      <c r="D926" t="inlineStr">
        <is>
          <t>работник 267</t>
        </is>
      </c>
      <c r="E926" s="1" t="inlineStr">
        <is>
          <t>ОБЩЕСТВО С ОГРАНИЧЕННОЙ ОТВЕТСТВЕННОСТЬЮ "АМУР ЗОЛОТО"</t>
        </is>
      </c>
      <c r="F926" s="1" t="inlineStr">
        <is>
          <t>2708001686</t>
        </is>
      </c>
      <c r="G926" s="1" t="inlineStr">
        <is>
          <t>Водитель автомобиля (категория D)</t>
        </is>
      </c>
      <c r="H926" s="1" t="inlineStr">
        <is>
          <t>ООО "Амур Золото"</t>
        </is>
      </c>
      <c r="I926" s="1" t="inlineStr">
        <is>
          <t>2708001686</t>
        </is>
      </c>
      <c r="J926" s="1" t="inlineStr">
        <is>
          <t>ОТ № ЮГОК АТЦ 24-04</t>
        </is>
      </c>
      <c r="K926" s="1" t="inlineStr">
        <is>
          <t>Оказание первой помощи пострадавшим</t>
        </is>
      </c>
      <c r="L926" s="1" t="inlineStr">
        <is>
          <t>23.02.2024</t>
        </is>
      </c>
      <c r="M926" s="1" t="inlineStr">
        <is>
          <t>Успешно</t>
        </is>
      </c>
      <c r="N926" s="1" t="inlineStr">
        <is>
          <t>29.02.2024</t>
        </is>
      </c>
      <c r="O926" s="1" t="inlineStr"/>
      <c r="P926" s="1" t="inlineStr"/>
      <c r="Q926" s="1" t="inlineStr">
        <is>
          <t>Пользовательский интерфейс</t>
        </is>
      </c>
    </row>
    <row r="927">
      <c r="B927" s="1" t="inlineStr">
        <is>
          <t>42252342</t>
        </is>
      </c>
      <c r="C927" s="1" t="inlineStr">
        <is>
          <t>3404353</t>
        </is>
      </c>
      <c r="D927" t="inlineStr">
        <is>
          <t>работник 267</t>
        </is>
      </c>
      <c r="E927" s="1" t="inlineStr">
        <is>
          <t>ОБЩЕСТВО С ОГРАНИЧЕННОЙ ОТВЕТСТВЕННОСТЬЮ "АМУР ЗОЛОТО"</t>
        </is>
      </c>
      <c r="F927" s="1" t="inlineStr">
        <is>
          <t>2708001686</t>
        </is>
      </c>
      <c r="G927" s="1" t="inlineStr">
        <is>
          <t>Водитель автомобиля (категория D)</t>
        </is>
      </c>
      <c r="H927" s="1" t="inlineStr">
        <is>
          <t>ООО "Амур Золото"</t>
        </is>
      </c>
      <c r="I927" s="1" t="inlineStr">
        <is>
          <t>2708001686</t>
        </is>
      </c>
      <c r="J927" s="1" t="inlineStr">
        <is>
          <t>ОТ № ЮГОК АТЦ 24-04</t>
        </is>
      </c>
      <c r="K927" s="1" t="inlineStr">
        <is>
          <t>Использование (применение) средств индивидуальной защиты</t>
        </is>
      </c>
      <c r="L927" s="1" t="inlineStr">
        <is>
          <t>23.02.2024</t>
        </is>
      </c>
      <c r="M927" s="1" t="inlineStr">
        <is>
          <t>Успешно</t>
        </is>
      </c>
      <c r="N927" s="1" t="inlineStr">
        <is>
          <t>29.02.2024</t>
        </is>
      </c>
      <c r="O927" s="1" t="inlineStr"/>
      <c r="P927" s="1" t="inlineStr"/>
      <c r="Q927" s="1" t="inlineStr">
        <is>
          <t>Пользовательский интерфейс</t>
        </is>
      </c>
    </row>
    <row r="928">
      <c r="B928" s="1" t="inlineStr">
        <is>
          <t>42252343</t>
        </is>
      </c>
      <c r="C928" s="1" t="inlineStr">
        <is>
          <t>3404353</t>
        </is>
      </c>
      <c r="D928" t="inlineStr">
        <is>
          <t>работник 267</t>
        </is>
      </c>
      <c r="E928" s="1" t="inlineStr">
        <is>
          <t>ОБЩЕСТВО С ОГРАНИЧЕННОЙ ОТВЕТСТВЕННОСТЬЮ "АМУР ЗОЛОТО"</t>
        </is>
      </c>
      <c r="F928" s="1" t="inlineStr">
        <is>
          <t>2708001686</t>
        </is>
      </c>
      <c r="G928" s="1" t="inlineStr">
        <is>
          <t>Водитель автомобиля (категория D)</t>
        </is>
      </c>
      <c r="H928" s="1" t="inlineStr">
        <is>
          <t>ООО "Амур Золото"</t>
        </is>
      </c>
      <c r="I928" s="1" t="inlineStr">
        <is>
          <t>2708001686</t>
        </is>
      </c>
      <c r="J928" s="1" t="inlineStr">
        <is>
          <t>ОТ № ЮГОК АТЦ 24-04</t>
        </is>
      </c>
      <c r="K92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928" s="1" t="inlineStr">
        <is>
          <t>23.02.2024</t>
        </is>
      </c>
      <c r="M928" s="1" t="inlineStr">
        <is>
          <t>Успешно</t>
        </is>
      </c>
      <c r="N928" s="1" t="inlineStr">
        <is>
          <t>29.02.2024</t>
        </is>
      </c>
      <c r="O928" s="1" t="inlineStr"/>
      <c r="P928" s="1" t="inlineStr"/>
      <c r="Q928" s="1" t="inlineStr">
        <is>
          <t>Пользовательский интерфейс</t>
        </is>
      </c>
    </row>
    <row r="929">
      <c r="B929" s="1" t="inlineStr">
        <is>
          <t>42252344</t>
        </is>
      </c>
      <c r="C929" s="1" t="inlineStr">
        <is>
          <t>3404353</t>
        </is>
      </c>
      <c r="D929" t="inlineStr">
        <is>
          <t>работник 268</t>
        </is>
      </c>
      <c r="E929" s="1" t="inlineStr">
        <is>
          <t>ОБЩЕСТВО С ОГРАНИЧЕННОЙ ОТВЕТСТВЕННОСТЬЮ "АМУР ЗОЛОТО"</t>
        </is>
      </c>
      <c r="F929" s="1" t="inlineStr">
        <is>
          <t>2708001686</t>
        </is>
      </c>
      <c r="G929" s="1" t="inlineStr">
        <is>
          <t>Машинист экскаватора</t>
        </is>
      </c>
      <c r="H929" s="1" t="inlineStr">
        <is>
          <t>ООО "Амур Золото"</t>
        </is>
      </c>
      <c r="I929" s="1" t="inlineStr">
        <is>
          <t>2708001686</t>
        </is>
      </c>
      <c r="J929" s="1" t="inlineStr">
        <is>
          <t>ОТ № ЮГОК АТЦ 24-04</t>
        </is>
      </c>
      <c r="K929" s="1" t="inlineStr">
        <is>
          <t>Оказание первой помощи пострадавшим</t>
        </is>
      </c>
      <c r="L929" s="1" t="inlineStr">
        <is>
          <t>23.02.2024</t>
        </is>
      </c>
      <c r="M929" s="1" t="inlineStr">
        <is>
          <t>Успешно</t>
        </is>
      </c>
      <c r="N929" s="1" t="inlineStr">
        <is>
          <t>29.02.2024</t>
        </is>
      </c>
      <c r="O929" s="1" t="inlineStr"/>
      <c r="P929" s="1" t="inlineStr"/>
      <c r="Q929" s="1" t="inlineStr">
        <is>
          <t>Пользовательский интерфейс</t>
        </is>
      </c>
    </row>
    <row r="930">
      <c r="B930" s="1" t="inlineStr">
        <is>
          <t>42252345</t>
        </is>
      </c>
      <c r="C930" s="1" t="inlineStr">
        <is>
          <t>3404353</t>
        </is>
      </c>
      <c r="D930" t="inlineStr">
        <is>
          <t>работник 268</t>
        </is>
      </c>
      <c r="E930" s="1" t="inlineStr">
        <is>
          <t>ОБЩЕСТВО С ОГРАНИЧЕННОЙ ОТВЕТСТВЕННОСТЬЮ "АМУР ЗОЛОТО"</t>
        </is>
      </c>
      <c r="F930" s="1" t="inlineStr">
        <is>
          <t>2708001686</t>
        </is>
      </c>
      <c r="G930" s="1" t="inlineStr">
        <is>
          <t>Машинист экскаватора</t>
        </is>
      </c>
      <c r="H930" s="1" t="inlineStr">
        <is>
          <t>ООО "Амур Золото"</t>
        </is>
      </c>
      <c r="I930" s="1" t="inlineStr">
        <is>
          <t>2708001686</t>
        </is>
      </c>
      <c r="J930" s="1" t="inlineStr">
        <is>
          <t>ОТ № ЮГОК АТЦ 24-04</t>
        </is>
      </c>
      <c r="K930" s="1" t="inlineStr">
        <is>
          <t>Использование (применение) средств индивидуальной защиты</t>
        </is>
      </c>
      <c r="L930" s="1" t="inlineStr">
        <is>
          <t>23.02.2024</t>
        </is>
      </c>
      <c r="M930" s="1" t="inlineStr">
        <is>
          <t>Успешно</t>
        </is>
      </c>
      <c r="N930" s="1" t="inlineStr">
        <is>
          <t>29.02.2024</t>
        </is>
      </c>
      <c r="O930" s="1" t="inlineStr"/>
      <c r="P930" s="1" t="inlineStr"/>
      <c r="Q930" s="1" t="inlineStr">
        <is>
          <t>Пользовательский интерфейс</t>
        </is>
      </c>
    </row>
    <row r="931">
      <c r="B931" s="1" t="inlineStr">
        <is>
          <t>42252346</t>
        </is>
      </c>
      <c r="C931" s="1" t="inlineStr">
        <is>
          <t>3404353</t>
        </is>
      </c>
      <c r="D931" t="inlineStr">
        <is>
          <t>работник 268</t>
        </is>
      </c>
      <c r="E931" s="1" t="inlineStr">
        <is>
          <t>ОБЩЕСТВО С ОГРАНИЧЕННОЙ ОТВЕТСТВЕННОСТЬЮ "АМУР ЗОЛОТО"</t>
        </is>
      </c>
      <c r="F931" s="1" t="inlineStr">
        <is>
          <t>2708001686</t>
        </is>
      </c>
      <c r="G931" s="1" t="inlineStr">
        <is>
          <t>Машинист экскаватора</t>
        </is>
      </c>
      <c r="H931" s="1" t="inlineStr">
        <is>
          <t>ООО "Амур Золото"</t>
        </is>
      </c>
      <c r="I931" s="1" t="inlineStr">
        <is>
          <t>2708001686</t>
        </is>
      </c>
      <c r="J931" s="1" t="inlineStr">
        <is>
          <t>ОТ № ЮГОК АТЦ 24-04</t>
        </is>
      </c>
      <c r="K93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931" s="1" t="inlineStr">
        <is>
          <t>23.02.2024</t>
        </is>
      </c>
      <c r="M931" s="1" t="inlineStr">
        <is>
          <t>Успешно</t>
        </is>
      </c>
      <c r="N931" s="1" t="inlineStr">
        <is>
          <t>29.02.2024</t>
        </is>
      </c>
      <c r="O931" s="1" t="inlineStr"/>
      <c r="P931" s="1" t="inlineStr"/>
      <c r="Q931" s="1" t="inlineStr">
        <is>
          <t>Пользовательский интерфейс</t>
        </is>
      </c>
    </row>
    <row r="932">
      <c r="B932" s="1" t="inlineStr">
        <is>
          <t>42252347</t>
        </is>
      </c>
      <c r="C932" s="1" t="inlineStr">
        <is>
          <t>3404353</t>
        </is>
      </c>
      <c r="D932" t="inlineStr">
        <is>
          <t>работник 269</t>
        </is>
      </c>
      <c r="E932" s="1" t="inlineStr">
        <is>
          <t>ОБЩЕСТВО С ОГРАНИЧЕННОЙ ОТВЕТСТВЕННОСТЬЮ "АМУР ЗОЛОТО"</t>
        </is>
      </c>
      <c r="F932" s="1" t="inlineStr">
        <is>
          <t>2708001686</t>
        </is>
      </c>
      <c r="G932" s="1" t="inlineStr">
        <is>
          <t>Водитель автомобиля (топливозаправщик)</t>
        </is>
      </c>
      <c r="H932" s="1" t="inlineStr">
        <is>
          <t>ООО "Амур Золото"</t>
        </is>
      </c>
      <c r="I932" s="1" t="inlineStr">
        <is>
          <t>2708001686</t>
        </is>
      </c>
      <c r="J932" s="1" t="inlineStr">
        <is>
          <t>ОТ № ЮГОК АТЦ 24-04</t>
        </is>
      </c>
      <c r="K932" s="1" t="inlineStr">
        <is>
          <t>Оказание первой помощи пострадавшим</t>
        </is>
      </c>
      <c r="L932" s="1" t="inlineStr">
        <is>
          <t>23.02.2024</t>
        </is>
      </c>
      <c r="M932" s="1" t="inlineStr">
        <is>
          <t>Успешно</t>
        </is>
      </c>
      <c r="N932" s="1" t="inlineStr">
        <is>
          <t>29.02.2024</t>
        </is>
      </c>
      <c r="O932" s="1" t="inlineStr"/>
      <c r="P932" s="1" t="inlineStr"/>
      <c r="Q932" s="1" t="inlineStr">
        <is>
          <t>Пользовательский интерфейс</t>
        </is>
      </c>
    </row>
    <row r="933">
      <c r="B933" s="1" t="inlineStr">
        <is>
          <t>42252348</t>
        </is>
      </c>
      <c r="C933" s="1" t="inlineStr">
        <is>
          <t>3404353</t>
        </is>
      </c>
      <c r="D933" t="inlineStr">
        <is>
          <t>работник 269</t>
        </is>
      </c>
      <c r="E933" s="1" t="inlineStr">
        <is>
          <t>ОБЩЕСТВО С ОГРАНИЧЕННОЙ ОТВЕТСТВЕННОСТЬЮ "АМУР ЗОЛОТО"</t>
        </is>
      </c>
      <c r="F933" s="1" t="inlineStr">
        <is>
          <t>2708001686</t>
        </is>
      </c>
      <c r="G933" s="1" t="inlineStr">
        <is>
          <t>Водитель автомобиля (топливозаправщик)</t>
        </is>
      </c>
      <c r="H933" s="1" t="inlineStr">
        <is>
          <t>ООО "Амур Золото"</t>
        </is>
      </c>
      <c r="I933" s="1" t="inlineStr">
        <is>
          <t>2708001686</t>
        </is>
      </c>
      <c r="J933" s="1" t="inlineStr">
        <is>
          <t>ОТ № ЮГОК АТЦ 24-04</t>
        </is>
      </c>
      <c r="K933" s="1" t="inlineStr">
        <is>
          <t>Использование (применение) средств индивидуальной защиты</t>
        </is>
      </c>
      <c r="L933" s="1" t="inlineStr">
        <is>
          <t>23.02.2024</t>
        </is>
      </c>
      <c r="M933" s="1" t="inlineStr">
        <is>
          <t>Успешно</t>
        </is>
      </c>
      <c r="N933" s="1" t="inlineStr">
        <is>
          <t>29.02.2024</t>
        </is>
      </c>
      <c r="O933" s="1" t="inlineStr"/>
      <c r="P933" s="1" t="inlineStr"/>
      <c r="Q933" s="1" t="inlineStr">
        <is>
          <t>Пользовательский интерфейс</t>
        </is>
      </c>
    </row>
    <row r="934">
      <c r="B934" s="1" t="inlineStr">
        <is>
          <t>42252349</t>
        </is>
      </c>
      <c r="C934" s="1" t="inlineStr">
        <is>
          <t>3404353</t>
        </is>
      </c>
      <c r="D934" t="inlineStr">
        <is>
          <t>работник 269</t>
        </is>
      </c>
      <c r="E934" s="1" t="inlineStr">
        <is>
          <t>ОБЩЕСТВО С ОГРАНИЧЕННОЙ ОТВЕТСТВЕННОСТЬЮ "АМУР ЗОЛОТО"</t>
        </is>
      </c>
      <c r="F934" s="1" t="inlineStr">
        <is>
          <t>2708001686</t>
        </is>
      </c>
      <c r="G934" s="1" t="inlineStr">
        <is>
          <t>Водитель автомобиля (топливозаправщик)</t>
        </is>
      </c>
      <c r="H934" s="1" t="inlineStr">
        <is>
          <t>ООО "Амур Золото"</t>
        </is>
      </c>
      <c r="I934" s="1" t="inlineStr">
        <is>
          <t>2708001686</t>
        </is>
      </c>
      <c r="J934" s="1" t="inlineStr">
        <is>
          <t>ОТ № ЮГОК АТЦ 24-04</t>
        </is>
      </c>
      <c r="K93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934" s="1" t="inlineStr">
        <is>
          <t>23.02.2024</t>
        </is>
      </c>
      <c r="M934" s="1" t="inlineStr">
        <is>
          <t>Успешно</t>
        </is>
      </c>
      <c r="N934" s="1" t="inlineStr">
        <is>
          <t>29.02.2024</t>
        </is>
      </c>
      <c r="O934" s="1" t="inlineStr"/>
      <c r="P934" s="1" t="inlineStr"/>
      <c r="Q934" s="1" t="inlineStr">
        <is>
          <t>Пользовательский интерфейс</t>
        </is>
      </c>
    </row>
    <row r="935">
      <c r="B935" s="1" t="inlineStr">
        <is>
          <t>42252350</t>
        </is>
      </c>
      <c r="C935" s="1" t="inlineStr">
        <is>
          <t>3404353</t>
        </is>
      </c>
      <c r="D935" t="inlineStr">
        <is>
          <t>работник 270</t>
        </is>
      </c>
      <c r="E935" s="1" t="inlineStr">
        <is>
          <t>ОБЩЕСТВО С ОГРАНИЧЕННОЙ ОТВЕТСТВЕННОСТЬЮ "АМУР ЗОЛОТО"</t>
        </is>
      </c>
      <c r="F935" s="1" t="inlineStr">
        <is>
          <t>2708001686</t>
        </is>
      </c>
      <c r="G935" s="1" t="inlineStr">
        <is>
          <t>Водитель погрузчика</t>
        </is>
      </c>
      <c r="H935" s="1" t="inlineStr">
        <is>
          <t>ООО "Амур Золото"</t>
        </is>
      </c>
      <c r="I935" s="1" t="inlineStr">
        <is>
          <t>2708001686</t>
        </is>
      </c>
      <c r="J935" s="1" t="inlineStr">
        <is>
          <t>ОТ № ЮГОК АТЦ 24-04</t>
        </is>
      </c>
      <c r="K935" s="1" t="inlineStr">
        <is>
          <t>Оказание первой помощи пострадавшим</t>
        </is>
      </c>
      <c r="L935" s="1" t="inlineStr">
        <is>
          <t>23.02.2024</t>
        </is>
      </c>
      <c r="M935" s="1" t="inlineStr">
        <is>
          <t>Успешно</t>
        </is>
      </c>
      <c r="N935" s="1" t="inlineStr">
        <is>
          <t>29.02.2024</t>
        </is>
      </c>
      <c r="O935" s="1" t="inlineStr"/>
      <c r="P935" s="1" t="inlineStr"/>
      <c r="Q935" s="1" t="inlineStr">
        <is>
          <t>Пользовательский интерфейс</t>
        </is>
      </c>
    </row>
    <row r="936">
      <c r="B936" s="1" t="inlineStr">
        <is>
          <t>42252351</t>
        </is>
      </c>
      <c r="C936" s="1" t="inlineStr">
        <is>
          <t>3404353</t>
        </is>
      </c>
      <c r="D936" t="inlineStr">
        <is>
          <t>работник 270</t>
        </is>
      </c>
      <c r="E936" s="1" t="inlineStr">
        <is>
          <t>ОБЩЕСТВО С ОГРАНИЧЕННОЙ ОТВЕТСТВЕННОСТЬЮ "АМУР ЗОЛОТО"</t>
        </is>
      </c>
      <c r="F936" s="1" t="inlineStr">
        <is>
          <t>2708001686</t>
        </is>
      </c>
      <c r="G936" s="1" t="inlineStr">
        <is>
          <t>Водитель погрузчика</t>
        </is>
      </c>
      <c r="H936" s="1" t="inlineStr">
        <is>
          <t>ООО "Амур Золото"</t>
        </is>
      </c>
      <c r="I936" s="1" t="inlineStr">
        <is>
          <t>2708001686</t>
        </is>
      </c>
      <c r="J936" s="1" t="inlineStr">
        <is>
          <t>ОТ № ЮГОК АТЦ 24-04</t>
        </is>
      </c>
      <c r="K936" s="1" t="inlineStr">
        <is>
          <t>Использование (применение) средств индивидуальной защиты</t>
        </is>
      </c>
      <c r="L936" s="1" t="inlineStr">
        <is>
          <t>23.02.2024</t>
        </is>
      </c>
      <c r="M936" s="1" t="inlineStr">
        <is>
          <t>Успешно</t>
        </is>
      </c>
      <c r="N936" s="1" t="inlineStr">
        <is>
          <t>29.02.2024</t>
        </is>
      </c>
      <c r="O936" s="1" t="inlineStr"/>
      <c r="P936" s="1" t="inlineStr"/>
      <c r="Q936" s="1" t="inlineStr">
        <is>
          <t>Пользовательский интерфейс</t>
        </is>
      </c>
    </row>
    <row r="937">
      <c r="B937" s="1" t="inlineStr">
        <is>
          <t>42252352</t>
        </is>
      </c>
      <c r="C937" s="1" t="inlineStr">
        <is>
          <t>3404353</t>
        </is>
      </c>
      <c r="D937" t="inlineStr">
        <is>
          <t>работник 270</t>
        </is>
      </c>
      <c r="E937" s="1" t="inlineStr">
        <is>
          <t>ОБЩЕСТВО С ОГРАНИЧЕННОЙ ОТВЕТСТВЕННОСТЬЮ "АМУР ЗОЛОТО"</t>
        </is>
      </c>
      <c r="F937" s="1" t="inlineStr">
        <is>
          <t>2708001686</t>
        </is>
      </c>
      <c r="G937" s="1" t="inlineStr">
        <is>
          <t>Водитель погрузчика</t>
        </is>
      </c>
      <c r="H937" s="1" t="inlineStr">
        <is>
          <t>ООО "Амур Золото"</t>
        </is>
      </c>
      <c r="I937" s="1" t="inlineStr">
        <is>
          <t>2708001686</t>
        </is>
      </c>
      <c r="J937" s="1" t="inlineStr">
        <is>
          <t>ОТ № ЮГОК АТЦ 24-04</t>
        </is>
      </c>
      <c r="K93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937" s="1" t="inlineStr">
        <is>
          <t>23.02.2024</t>
        </is>
      </c>
      <c r="M937" s="1" t="inlineStr">
        <is>
          <t>Успешно</t>
        </is>
      </c>
      <c r="N937" s="1" t="inlineStr">
        <is>
          <t>29.02.2024</t>
        </is>
      </c>
      <c r="O937" s="1" t="inlineStr"/>
      <c r="P937" s="1" t="inlineStr"/>
      <c r="Q937" s="1" t="inlineStr">
        <is>
          <t>Пользовательский интерфейс</t>
        </is>
      </c>
    </row>
    <row r="938">
      <c r="B938" s="1" t="inlineStr">
        <is>
          <t>42252353</t>
        </is>
      </c>
      <c r="C938" s="1" t="inlineStr">
        <is>
          <t>3404353</t>
        </is>
      </c>
      <c r="D938" t="inlineStr">
        <is>
          <t>работник 271</t>
        </is>
      </c>
      <c r="E938" s="1" t="inlineStr">
        <is>
          <t>ОБЩЕСТВО С ОГРАНИЧЕННОЙ ОТВЕТСТВЕННОСТЬЮ "АМУР ЗОЛОТО"</t>
        </is>
      </c>
      <c r="F938" s="1" t="inlineStr">
        <is>
          <t>2708001686</t>
        </is>
      </c>
      <c r="G938" s="1" t="inlineStr">
        <is>
          <t>Машинист бульдозера</t>
        </is>
      </c>
      <c r="H938" s="1" t="inlineStr">
        <is>
          <t>ООО "Амур Золото"</t>
        </is>
      </c>
      <c r="I938" s="1" t="inlineStr">
        <is>
          <t>2708001686</t>
        </is>
      </c>
      <c r="J938" s="1" t="inlineStr">
        <is>
          <t>ОТ № ЮГОК АТЦ 24-04</t>
        </is>
      </c>
      <c r="K938" s="1" t="inlineStr">
        <is>
          <t>Оказание первой помощи пострадавшим</t>
        </is>
      </c>
      <c r="L938" s="1" t="inlineStr">
        <is>
          <t>23.02.2024</t>
        </is>
      </c>
      <c r="M938" s="1" t="inlineStr">
        <is>
          <t>Успешно</t>
        </is>
      </c>
      <c r="N938" s="1" t="inlineStr">
        <is>
          <t>29.02.2024</t>
        </is>
      </c>
      <c r="O938" s="1" t="inlineStr"/>
      <c r="P938" s="1" t="inlineStr"/>
      <c r="Q938" s="1" t="inlineStr">
        <is>
          <t>Пользовательский интерфейс</t>
        </is>
      </c>
    </row>
    <row r="939">
      <c r="B939" s="1" t="inlineStr">
        <is>
          <t>42252354</t>
        </is>
      </c>
      <c r="C939" s="1" t="inlineStr">
        <is>
          <t>3404353</t>
        </is>
      </c>
      <c r="D939" t="inlineStr">
        <is>
          <t>работник 271</t>
        </is>
      </c>
      <c r="E939" s="1" t="inlineStr">
        <is>
          <t>ОБЩЕСТВО С ОГРАНИЧЕННОЙ ОТВЕТСТВЕННОСТЬЮ "АМУР ЗОЛОТО"</t>
        </is>
      </c>
      <c r="F939" s="1" t="inlineStr">
        <is>
          <t>2708001686</t>
        </is>
      </c>
      <c r="G939" s="1" t="inlineStr">
        <is>
          <t>Машинист бульдозера</t>
        </is>
      </c>
      <c r="H939" s="1" t="inlineStr">
        <is>
          <t>ООО "Амур Золото"</t>
        </is>
      </c>
      <c r="I939" s="1" t="inlineStr">
        <is>
          <t>2708001686</t>
        </is>
      </c>
      <c r="J939" s="1" t="inlineStr">
        <is>
          <t>ОТ № ЮГОК АТЦ 24-04</t>
        </is>
      </c>
      <c r="K939" s="1" t="inlineStr">
        <is>
          <t>Использование (применение) средств индивидуальной защиты</t>
        </is>
      </c>
      <c r="L939" s="1" t="inlineStr">
        <is>
          <t>23.02.2024</t>
        </is>
      </c>
      <c r="M939" s="1" t="inlineStr">
        <is>
          <t>Успешно</t>
        </is>
      </c>
      <c r="N939" s="1" t="inlineStr">
        <is>
          <t>29.02.2024</t>
        </is>
      </c>
      <c r="O939" s="1" t="inlineStr"/>
      <c r="P939" s="1" t="inlineStr"/>
      <c r="Q939" s="1" t="inlineStr">
        <is>
          <t>Пользовательский интерфейс</t>
        </is>
      </c>
    </row>
    <row r="940">
      <c r="B940" s="1" t="inlineStr">
        <is>
          <t>42252355</t>
        </is>
      </c>
      <c r="C940" s="1" t="inlineStr">
        <is>
          <t>3404353</t>
        </is>
      </c>
      <c r="D940" t="inlineStr">
        <is>
          <t>работник 271</t>
        </is>
      </c>
      <c r="E940" s="1" t="inlineStr">
        <is>
          <t>ОБЩЕСТВО С ОГРАНИЧЕННОЙ ОТВЕТСТВЕННОСТЬЮ "АМУР ЗОЛОТО"</t>
        </is>
      </c>
      <c r="F940" s="1" t="inlineStr">
        <is>
          <t>2708001686</t>
        </is>
      </c>
      <c r="G940" s="1" t="inlineStr">
        <is>
          <t>Машинист бульдозера</t>
        </is>
      </c>
      <c r="H940" s="1" t="inlineStr">
        <is>
          <t>ООО "Амур Золото"</t>
        </is>
      </c>
      <c r="I940" s="1" t="inlineStr">
        <is>
          <t>2708001686</t>
        </is>
      </c>
      <c r="J940" s="1" t="inlineStr">
        <is>
          <t>ОТ № ЮГОК АТЦ 24-04</t>
        </is>
      </c>
      <c r="K94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940" s="1" t="inlineStr">
        <is>
          <t>23.02.2024</t>
        </is>
      </c>
      <c r="M940" s="1" t="inlineStr">
        <is>
          <t>Успешно</t>
        </is>
      </c>
      <c r="N940" s="1" t="inlineStr">
        <is>
          <t>29.02.2024</t>
        </is>
      </c>
      <c r="O940" s="1" t="inlineStr"/>
      <c r="P940" s="1" t="inlineStr"/>
      <c r="Q940" s="1" t="inlineStr">
        <is>
          <t>Пользовательский интерфейс</t>
        </is>
      </c>
    </row>
    <row r="941">
      <c r="B941" s="1" t="inlineStr">
        <is>
          <t>42252356</t>
        </is>
      </c>
      <c r="C941" s="1" t="inlineStr">
        <is>
          <t>3404353</t>
        </is>
      </c>
      <c r="D941" t="inlineStr">
        <is>
          <t>работник 272</t>
        </is>
      </c>
      <c r="E941" s="1" t="inlineStr">
        <is>
          <t>ОБЩЕСТВО С ОГРАНИЧЕННОЙ ОТВЕТСТВЕННОСТЬЮ "АМУР ЗОЛОТО"</t>
        </is>
      </c>
      <c r="F941" s="1" t="inlineStr">
        <is>
          <t>2708001686</t>
        </is>
      </c>
      <c r="G941" s="1" t="inlineStr">
        <is>
          <t>Водитель погрузчика</t>
        </is>
      </c>
      <c r="H941" s="1" t="inlineStr">
        <is>
          <t>ООО "Амур Золото"</t>
        </is>
      </c>
      <c r="I941" s="1" t="inlineStr">
        <is>
          <t>2708001686</t>
        </is>
      </c>
      <c r="J941" s="1" t="inlineStr">
        <is>
          <t>ОТ № ЮГОК АТЦ 24-04</t>
        </is>
      </c>
      <c r="K941" s="1" t="inlineStr">
        <is>
          <t>Оказание первой помощи пострадавшим</t>
        </is>
      </c>
      <c r="L941" s="1" t="inlineStr">
        <is>
          <t>23.02.2024</t>
        </is>
      </c>
      <c r="M941" s="1" t="inlineStr">
        <is>
          <t>Успешно</t>
        </is>
      </c>
      <c r="N941" s="1" t="inlineStr">
        <is>
          <t>29.02.2024</t>
        </is>
      </c>
      <c r="O941" s="1" t="inlineStr"/>
      <c r="P941" s="1" t="inlineStr"/>
      <c r="Q941" s="1" t="inlineStr">
        <is>
          <t>Пользовательский интерфейс</t>
        </is>
      </c>
    </row>
    <row r="942">
      <c r="B942" s="1" t="inlineStr">
        <is>
          <t>42252357</t>
        </is>
      </c>
      <c r="C942" s="1" t="inlineStr">
        <is>
          <t>3404353</t>
        </is>
      </c>
      <c r="D942" t="inlineStr">
        <is>
          <t>работник 272</t>
        </is>
      </c>
      <c r="E942" s="1" t="inlineStr">
        <is>
          <t>ОБЩЕСТВО С ОГРАНИЧЕННОЙ ОТВЕТСТВЕННОСТЬЮ "АМУР ЗОЛОТО"</t>
        </is>
      </c>
      <c r="F942" s="1" t="inlineStr">
        <is>
          <t>2708001686</t>
        </is>
      </c>
      <c r="G942" s="1" t="inlineStr">
        <is>
          <t>Водитель погрузчика</t>
        </is>
      </c>
      <c r="H942" s="1" t="inlineStr">
        <is>
          <t>ООО "Амур Золото"</t>
        </is>
      </c>
      <c r="I942" s="1" t="inlineStr">
        <is>
          <t>2708001686</t>
        </is>
      </c>
      <c r="J942" s="1" t="inlineStr">
        <is>
          <t>ОТ № ЮГОК АТЦ 24-04</t>
        </is>
      </c>
      <c r="K942" s="1" t="inlineStr">
        <is>
          <t>Использование (применение) средств индивидуальной защиты</t>
        </is>
      </c>
      <c r="L942" s="1" t="inlineStr">
        <is>
          <t>23.02.2024</t>
        </is>
      </c>
      <c r="M942" s="1" t="inlineStr">
        <is>
          <t>Успешно</t>
        </is>
      </c>
      <c r="N942" s="1" t="inlineStr">
        <is>
          <t>29.02.2024</t>
        </is>
      </c>
      <c r="O942" s="1" t="inlineStr"/>
      <c r="P942" s="1" t="inlineStr"/>
      <c r="Q942" s="1" t="inlineStr">
        <is>
          <t>Пользовательский интерфейс</t>
        </is>
      </c>
    </row>
    <row r="943">
      <c r="B943" s="1" t="inlineStr">
        <is>
          <t>42252358</t>
        </is>
      </c>
      <c r="C943" s="1" t="inlineStr">
        <is>
          <t>3404353</t>
        </is>
      </c>
      <c r="D943" t="inlineStr">
        <is>
          <t>работник 272</t>
        </is>
      </c>
      <c r="E943" s="1" t="inlineStr">
        <is>
          <t>ОБЩЕСТВО С ОГРАНИЧЕННОЙ ОТВЕТСТВЕННОСТЬЮ "АМУР ЗОЛОТО"</t>
        </is>
      </c>
      <c r="F943" s="1" t="inlineStr">
        <is>
          <t>2708001686</t>
        </is>
      </c>
      <c r="G943" s="1" t="inlineStr">
        <is>
          <t>Водитель погрузчика</t>
        </is>
      </c>
      <c r="H943" s="1" t="inlineStr">
        <is>
          <t>ООО "Амур Золото"</t>
        </is>
      </c>
      <c r="I943" s="1" t="inlineStr">
        <is>
          <t>2708001686</t>
        </is>
      </c>
      <c r="J943" s="1" t="inlineStr">
        <is>
          <t>ОТ № ЮГОК АТЦ 24-04</t>
        </is>
      </c>
      <c r="K94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943" s="1" t="inlineStr">
        <is>
          <t>23.02.2024</t>
        </is>
      </c>
      <c r="M943" s="1" t="inlineStr">
        <is>
          <t>Успешно</t>
        </is>
      </c>
      <c r="N943" s="1" t="inlineStr">
        <is>
          <t>29.02.2024</t>
        </is>
      </c>
      <c r="O943" s="1" t="inlineStr"/>
      <c r="P943" s="1" t="inlineStr"/>
      <c r="Q943" s="1" t="inlineStr">
        <is>
          <t>Пользовательский интерфейс</t>
        </is>
      </c>
    </row>
    <row r="944">
      <c r="B944" s="1" t="inlineStr">
        <is>
          <t>42252359</t>
        </is>
      </c>
      <c r="C944" s="1" t="inlineStr">
        <is>
          <t>3404353</t>
        </is>
      </c>
      <c r="D944" t="inlineStr">
        <is>
          <t>работник 273</t>
        </is>
      </c>
      <c r="E944" s="1" t="inlineStr">
        <is>
          <t>ОБЩЕСТВО С ОГРАНИЧЕННОЙ ОТВЕТСТВЕННОСТЬЮ "АМУР ЗОЛОТО"</t>
        </is>
      </c>
      <c r="F944" s="1" t="inlineStr">
        <is>
          <t>2708001686</t>
        </is>
      </c>
      <c r="G944" s="1" t="inlineStr">
        <is>
          <t>Водитель автомобиля (занятый на транспортировании горной массы в технологическом процессе)</t>
        </is>
      </c>
      <c r="H944" s="1" t="inlineStr">
        <is>
          <t>ООО "Амур Золото"</t>
        </is>
      </c>
      <c r="I944" s="1" t="inlineStr">
        <is>
          <t>2708001686</t>
        </is>
      </c>
      <c r="J944" s="1" t="inlineStr">
        <is>
          <t>ОТ № ЮГОК АТЦ 24-04</t>
        </is>
      </c>
      <c r="K944" s="1" t="inlineStr">
        <is>
          <t>Оказание первой помощи пострадавшим</t>
        </is>
      </c>
      <c r="L944" s="1" t="inlineStr">
        <is>
          <t>23.02.2024</t>
        </is>
      </c>
      <c r="M944" s="1" t="inlineStr">
        <is>
          <t>Успешно</t>
        </is>
      </c>
      <c r="N944" s="1" t="inlineStr">
        <is>
          <t>29.02.2024</t>
        </is>
      </c>
      <c r="O944" s="1" t="inlineStr"/>
      <c r="P944" s="1" t="inlineStr"/>
      <c r="Q944" s="1" t="inlineStr">
        <is>
          <t>Пользовательский интерфейс</t>
        </is>
      </c>
    </row>
    <row r="945">
      <c r="B945" s="1" t="inlineStr">
        <is>
          <t>42252360</t>
        </is>
      </c>
      <c r="C945" s="1" t="inlineStr">
        <is>
          <t>3404353</t>
        </is>
      </c>
      <c r="D945" t="inlineStr">
        <is>
          <t>работник 273</t>
        </is>
      </c>
      <c r="E945" s="1" t="inlineStr">
        <is>
          <t>ОБЩЕСТВО С ОГРАНИЧЕННОЙ ОТВЕТСТВЕННОСТЬЮ "АМУР ЗОЛОТО"</t>
        </is>
      </c>
      <c r="F945" s="1" t="inlineStr">
        <is>
          <t>2708001686</t>
        </is>
      </c>
      <c r="G945" s="1" t="inlineStr">
        <is>
          <t>Водитель автомобиля (занятый на транспортировании горной массы в технологическом процессе)</t>
        </is>
      </c>
      <c r="H945" s="1" t="inlineStr">
        <is>
          <t>ООО "Амур Золото"</t>
        </is>
      </c>
      <c r="I945" s="1" t="inlineStr">
        <is>
          <t>2708001686</t>
        </is>
      </c>
      <c r="J945" s="1" t="inlineStr">
        <is>
          <t>ОТ № ЮГОК АТЦ 24-04</t>
        </is>
      </c>
      <c r="K945" s="1" t="inlineStr">
        <is>
          <t>Использование (применение) средств индивидуальной защиты</t>
        </is>
      </c>
      <c r="L945" s="1" t="inlineStr">
        <is>
          <t>23.02.2024</t>
        </is>
      </c>
      <c r="M945" s="1" t="inlineStr">
        <is>
          <t>Успешно</t>
        </is>
      </c>
      <c r="N945" s="1" t="inlineStr">
        <is>
          <t>29.02.2024</t>
        </is>
      </c>
      <c r="O945" s="1" t="inlineStr"/>
      <c r="P945" s="1" t="inlineStr"/>
      <c r="Q945" s="1" t="inlineStr">
        <is>
          <t>Пользовательский интерфейс</t>
        </is>
      </c>
    </row>
    <row r="946">
      <c r="B946" s="1" t="inlineStr">
        <is>
          <t>42252361</t>
        </is>
      </c>
      <c r="C946" s="1" t="inlineStr">
        <is>
          <t>3404353</t>
        </is>
      </c>
      <c r="D946" t="inlineStr">
        <is>
          <t>работник 273</t>
        </is>
      </c>
      <c r="E946" s="1" t="inlineStr">
        <is>
          <t>ОБЩЕСТВО С ОГРАНИЧЕННОЙ ОТВЕТСТВЕННОСТЬЮ "АМУР ЗОЛОТО"</t>
        </is>
      </c>
      <c r="F946" s="1" t="inlineStr">
        <is>
          <t>2708001686</t>
        </is>
      </c>
      <c r="G946" s="1" t="inlineStr">
        <is>
          <t>Водитель автомобиля (занятый на транспортировании горной массы в технологическом процессе)</t>
        </is>
      </c>
      <c r="H946" s="1" t="inlineStr">
        <is>
          <t>ООО "Амур Золото"</t>
        </is>
      </c>
      <c r="I946" s="1" t="inlineStr">
        <is>
          <t>2708001686</t>
        </is>
      </c>
      <c r="J946" s="1" t="inlineStr">
        <is>
          <t>ОТ № ЮГОК АТЦ 24-04</t>
        </is>
      </c>
      <c r="K94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946" s="1" t="inlineStr">
        <is>
          <t>23.02.2024</t>
        </is>
      </c>
      <c r="M946" s="1" t="inlineStr">
        <is>
          <t>Успешно</t>
        </is>
      </c>
      <c r="N946" s="1" t="inlineStr">
        <is>
          <t>29.02.2024</t>
        </is>
      </c>
      <c r="O946" s="1" t="inlineStr"/>
      <c r="P946" s="1" t="inlineStr"/>
      <c r="Q946" s="1" t="inlineStr">
        <is>
          <t>Пользовательский интерфейс</t>
        </is>
      </c>
    </row>
    <row r="947">
      <c r="B947" s="1" t="inlineStr">
        <is>
          <t>42252362</t>
        </is>
      </c>
      <c r="C947" s="1" t="inlineStr">
        <is>
          <t>3404353</t>
        </is>
      </c>
      <c r="D947" t="inlineStr">
        <is>
          <t>работник 274</t>
        </is>
      </c>
      <c r="E947" s="1" t="inlineStr">
        <is>
          <t>ОБЩЕСТВО С ОГРАНИЧЕННОЙ ОТВЕТСТВЕННОСТЬЮ "АМУР ЗОЛОТО"</t>
        </is>
      </c>
      <c r="F947" s="1" t="inlineStr">
        <is>
          <t>2708001686</t>
        </is>
      </c>
      <c r="G947" s="1" t="inlineStr">
        <is>
          <t>Механик</t>
        </is>
      </c>
      <c r="H947" s="1" t="inlineStr">
        <is>
          <t>ООО "Амур Золото"</t>
        </is>
      </c>
      <c r="I947" s="1" t="inlineStr">
        <is>
          <t>2708001686</t>
        </is>
      </c>
      <c r="J947" s="1" t="inlineStr">
        <is>
          <t>ОТ № ЮГОК АТЦ 24-04</t>
        </is>
      </c>
      <c r="K947" s="1" t="inlineStr">
        <is>
          <t>Оказание первой помощи пострадавшим</t>
        </is>
      </c>
      <c r="L947" s="1" t="inlineStr">
        <is>
          <t>23.02.2024</t>
        </is>
      </c>
      <c r="M947" s="1" t="inlineStr">
        <is>
          <t>Успешно</t>
        </is>
      </c>
      <c r="N947" s="1" t="inlineStr">
        <is>
          <t>29.02.2024</t>
        </is>
      </c>
      <c r="O947" s="1" t="inlineStr"/>
      <c r="P947" s="1" t="inlineStr"/>
      <c r="Q947" s="1" t="inlineStr">
        <is>
          <t>Пользовательский интерфейс</t>
        </is>
      </c>
    </row>
    <row r="948">
      <c r="B948" s="1" t="inlineStr">
        <is>
          <t>42252363</t>
        </is>
      </c>
      <c r="C948" s="1" t="inlineStr">
        <is>
          <t>3404353</t>
        </is>
      </c>
      <c r="D948" t="inlineStr">
        <is>
          <t>работник 274</t>
        </is>
      </c>
      <c r="E948" s="1" t="inlineStr">
        <is>
          <t>ОБЩЕСТВО С ОГРАНИЧЕННОЙ ОТВЕТСТВЕННОСТЬЮ "АМУР ЗОЛОТО"</t>
        </is>
      </c>
      <c r="F948" s="1" t="inlineStr">
        <is>
          <t>2708001686</t>
        </is>
      </c>
      <c r="G948" s="1" t="inlineStr">
        <is>
          <t>Механик</t>
        </is>
      </c>
      <c r="H948" s="1" t="inlineStr">
        <is>
          <t>ООО "Амур Золото"</t>
        </is>
      </c>
      <c r="I948" s="1" t="inlineStr">
        <is>
          <t>2708001686</t>
        </is>
      </c>
      <c r="J948" s="1" t="inlineStr">
        <is>
          <t>ОТ № ЮГОК АТЦ 24-04</t>
        </is>
      </c>
      <c r="K948" s="1" t="inlineStr">
        <is>
          <t>Использование (применение) средств индивидуальной защиты</t>
        </is>
      </c>
      <c r="L948" s="1" t="inlineStr">
        <is>
          <t>23.02.2024</t>
        </is>
      </c>
      <c r="M948" s="1" t="inlineStr">
        <is>
          <t>Успешно</t>
        </is>
      </c>
      <c r="N948" s="1" t="inlineStr">
        <is>
          <t>29.02.2024</t>
        </is>
      </c>
      <c r="O948" s="1" t="inlineStr"/>
      <c r="P948" s="1" t="inlineStr"/>
      <c r="Q948" s="1" t="inlineStr">
        <is>
          <t>Пользовательский интерфейс</t>
        </is>
      </c>
    </row>
    <row r="949">
      <c r="B949" s="1" t="inlineStr">
        <is>
          <t>42252364</t>
        </is>
      </c>
      <c r="C949" s="1" t="inlineStr">
        <is>
          <t>3404353</t>
        </is>
      </c>
      <c r="D949" t="inlineStr">
        <is>
          <t>работник 274</t>
        </is>
      </c>
      <c r="E949" s="1" t="inlineStr">
        <is>
          <t>ОБЩЕСТВО С ОГРАНИЧЕННОЙ ОТВЕТСТВЕННОСТЬЮ "АМУР ЗОЛОТО"</t>
        </is>
      </c>
      <c r="F949" s="1" t="inlineStr">
        <is>
          <t>2708001686</t>
        </is>
      </c>
      <c r="G949" s="1" t="inlineStr">
        <is>
          <t>Механик</t>
        </is>
      </c>
      <c r="H949" s="1" t="inlineStr">
        <is>
          <t>ООО "Амур Золото"</t>
        </is>
      </c>
      <c r="I949" s="1" t="inlineStr">
        <is>
          <t>2708001686</t>
        </is>
      </c>
      <c r="J949" s="1" t="inlineStr">
        <is>
          <t>ОТ № ЮГОК АТЦ 24-04</t>
        </is>
      </c>
      <c r="K94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949" s="1" t="inlineStr">
        <is>
          <t>23.02.2024</t>
        </is>
      </c>
      <c r="M949" s="1" t="inlineStr">
        <is>
          <t>Успешно</t>
        </is>
      </c>
      <c r="N949" s="1" t="inlineStr">
        <is>
          <t>29.02.2024</t>
        </is>
      </c>
      <c r="O949" s="1" t="inlineStr"/>
      <c r="P949" s="1" t="inlineStr"/>
      <c r="Q949" s="1" t="inlineStr">
        <is>
          <t>Пользовательский интерфейс</t>
        </is>
      </c>
    </row>
    <row r="950">
      <c r="B950" s="1" t="inlineStr">
        <is>
          <t>42252365</t>
        </is>
      </c>
      <c r="C950" s="1" t="inlineStr">
        <is>
          <t>3404353</t>
        </is>
      </c>
      <c r="D950" t="inlineStr">
        <is>
          <t>работник 275</t>
        </is>
      </c>
      <c r="E950" s="1" t="inlineStr">
        <is>
          <t>ОБЩЕСТВО С ОГРАНИЧЕННОЙ ОТВЕТСТВЕННОСТЬЮ "АМУР ЗОЛОТО"</t>
        </is>
      </c>
      <c r="F950" s="1" t="inlineStr">
        <is>
          <t>2708001686</t>
        </is>
      </c>
      <c r="G950" s="1" t="inlineStr">
        <is>
          <t>Слесарь-электрик по ремонту электрооборудования</t>
        </is>
      </c>
      <c r="H950" s="1" t="inlineStr">
        <is>
          <t>ООО "Амур Золото"</t>
        </is>
      </c>
      <c r="I950" s="1" t="inlineStr">
        <is>
          <t>2708001686</t>
        </is>
      </c>
      <c r="J950" s="1" t="inlineStr">
        <is>
          <t>ОТ № ЮГОК АТЦ 24-04</t>
        </is>
      </c>
      <c r="K950" s="1" t="inlineStr">
        <is>
          <t>Оказание первой помощи пострадавшим</t>
        </is>
      </c>
      <c r="L950" s="1" t="inlineStr">
        <is>
          <t>23.02.2024</t>
        </is>
      </c>
      <c r="M950" s="1" t="inlineStr">
        <is>
          <t>Успешно</t>
        </is>
      </c>
      <c r="N950" s="1" t="inlineStr">
        <is>
          <t>29.02.2024</t>
        </is>
      </c>
      <c r="O950" s="1" t="inlineStr"/>
      <c r="P950" s="1" t="inlineStr"/>
      <c r="Q950" s="1" t="inlineStr">
        <is>
          <t>Пользовательский интерфейс</t>
        </is>
      </c>
    </row>
    <row r="951">
      <c r="B951" s="1" t="inlineStr">
        <is>
          <t>42252366</t>
        </is>
      </c>
      <c r="C951" s="1" t="inlineStr">
        <is>
          <t>3404353</t>
        </is>
      </c>
      <c r="D951" t="inlineStr">
        <is>
          <t>работник 276</t>
        </is>
      </c>
      <c r="E951" s="1" t="inlineStr">
        <is>
          <t>ОБЩЕСТВО С ОГРАНИЧЕННОЙ ОТВЕТСТВЕННОСТЬЮ "АМУР ЗОЛОТО"</t>
        </is>
      </c>
      <c r="F951" s="1" t="inlineStr">
        <is>
          <t>2708001686</t>
        </is>
      </c>
      <c r="G951" s="1" t="inlineStr">
        <is>
          <t>Машинист бульдозера</t>
        </is>
      </c>
      <c r="H951" s="1" t="inlineStr">
        <is>
          <t>ООО "Амур Золото"</t>
        </is>
      </c>
      <c r="I951" s="1" t="inlineStr">
        <is>
          <t>2708001686</t>
        </is>
      </c>
      <c r="J951" s="1" t="inlineStr">
        <is>
          <t>ОТ № ЮГОК АТЦ 24-04</t>
        </is>
      </c>
      <c r="K951" s="1" t="inlineStr">
        <is>
          <t>Оказание первой помощи пострадавшим</t>
        </is>
      </c>
      <c r="L951" s="1" t="inlineStr">
        <is>
          <t>23.02.2024</t>
        </is>
      </c>
      <c r="M951" s="1" t="inlineStr">
        <is>
          <t>Успешно</t>
        </is>
      </c>
      <c r="N951" s="1" t="inlineStr">
        <is>
          <t>29.02.2024</t>
        </is>
      </c>
      <c r="O951" s="1" t="inlineStr"/>
      <c r="P951" s="1" t="inlineStr"/>
      <c r="Q951" s="1" t="inlineStr">
        <is>
          <t>Пользовательский интерфейс</t>
        </is>
      </c>
    </row>
    <row r="952">
      <c r="B952" s="1" t="inlineStr">
        <is>
          <t>42252367</t>
        </is>
      </c>
      <c r="C952" s="1" t="inlineStr">
        <is>
          <t>3404353</t>
        </is>
      </c>
      <c r="D952" t="inlineStr">
        <is>
          <t>работник 275</t>
        </is>
      </c>
      <c r="E952" s="1" t="inlineStr">
        <is>
          <t>ОБЩЕСТВО С ОГРАНИЧЕННОЙ ОТВЕТСТВЕННОСТЬЮ "АМУР ЗОЛОТО"</t>
        </is>
      </c>
      <c r="F952" s="1" t="inlineStr">
        <is>
          <t>2708001686</t>
        </is>
      </c>
      <c r="G952" s="1" t="inlineStr">
        <is>
          <t>Слесарь-электрик по ремонту электрооборудования</t>
        </is>
      </c>
      <c r="H952" s="1" t="inlineStr">
        <is>
          <t>ООО "Амур Золото"</t>
        </is>
      </c>
      <c r="I952" s="1" t="inlineStr">
        <is>
          <t>2708001686</t>
        </is>
      </c>
      <c r="J952" s="1" t="inlineStr">
        <is>
          <t>ОТ № ЮГОК АТЦ 24-04</t>
        </is>
      </c>
      <c r="K952" s="1" t="inlineStr">
        <is>
          <t>Использование (применение) средств индивидуальной защиты</t>
        </is>
      </c>
      <c r="L952" s="1" t="inlineStr">
        <is>
          <t>23.02.2024</t>
        </is>
      </c>
      <c r="M952" s="1" t="inlineStr">
        <is>
          <t>Успешно</t>
        </is>
      </c>
      <c r="N952" s="1" t="inlineStr">
        <is>
          <t>29.02.2024</t>
        </is>
      </c>
      <c r="O952" s="1" t="inlineStr"/>
      <c r="P952" s="1" t="inlineStr"/>
      <c r="Q952" s="1" t="inlineStr">
        <is>
          <t>Пользовательский интерфейс</t>
        </is>
      </c>
    </row>
    <row r="953">
      <c r="B953" s="1" t="inlineStr">
        <is>
          <t>42252368</t>
        </is>
      </c>
      <c r="C953" s="1" t="inlineStr">
        <is>
          <t>3404353</t>
        </is>
      </c>
      <c r="D953" t="inlineStr">
        <is>
          <t>работник 275</t>
        </is>
      </c>
      <c r="E953" s="1" t="inlineStr">
        <is>
          <t>ОБЩЕСТВО С ОГРАНИЧЕННОЙ ОТВЕТСТВЕННОСТЬЮ "АМУР ЗОЛОТО"</t>
        </is>
      </c>
      <c r="F953" s="1" t="inlineStr">
        <is>
          <t>2708001686</t>
        </is>
      </c>
      <c r="G953" s="1" t="inlineStr">
        <is>
          <t>Слесарь-электрик по ремонту электрооборудования</t>
        </is>
      </c>
      <c r="H953" s="1" t="inlineStr">
        <is>
          <t>ООО "Амур Золото"</t>
        </is>
      </c>
      <c r="I953" s="1" t="inlineStr">
        <is>
          <t>2708001686</t>
        </is>
      </c>
      <c r="J953" s="1" t="inlineStr">
        <is>
          <t>ОТ № ЮГОК АТЦ 24-04</t>
        </is>
      </c>
      <c r="K95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953" s="1" t="inlineStr">
        <is>
          <t>23.02.2024</t>
        </is>
      </c>
      <c r="M953" s="1" t="inlineStr">
        <is>
          <t>Успешно</t>
        </is>
      </c>
      <c r="N953" s="1" t="inlineStr">
        <is>
          <t>29.02.2024</t>
        </is>
      </c>
      <c r="O953" s="1" t="inlineStr"/>
      <c r="P953" s="1" t="inlineStr"/>
      <c r="Q953" s="1" t="inlineStr">
        <is>
          <t>Пользовательский интерфейс</t>
        </is>
      </c>
    </row>
    <row r="954">
      <c r="B954" s="1" t="inlineStr">
        <is>
          <t>42252369</t>
        </is>
      </c>
      <c r="C954" s="1" t="inlineStr">
        <is>
          <t>3404353</t>
        </is>
      </c>
      <c r="D954" t="inlineStr">
        <is>
          <t>работник 277</t>
        </is>
      </c>
      <c r="E954" s="1" t="inlineStr">
        <is>
          <t>ОБЩЕСТВО С ОГРАНИЧЕННОЙ ОТВЕТСТВЕННОСТЬЮ "АМУР ЗОЛОТО"</t>
        </is>
      </c>
      <c r="F954" s="1" t="inlineStr">
        <is>
          <t>2708001686</t>
        </is>
      </c>
      <c r="G954" s="1" t="inlineStr">
        <is>
          <t>Машинист крана автомобильного</t>
        </is>
      </c>
      <c r="H954" s="1" t="inlineStr">
        <is>
          <t>ООО "Амур Золото"</t>
        </is>
      </c>
      <c r="I954" s="1" t="inlineStr">
        <is>
          <t>2708001686</t>
        </is>
      </c>
      <c r="J954" s="1" t="inlineStr">
        <is>
          <t>ОТ № ЮГОК АТЦ 24-04</t>
        </is>
      </c>
      <c r="K954" s="1" t="inlineStr">
        <is>
          <t>Оказание первой помощи пострадавшим</t>
        </is>
      </c>
      <c r="L954" s="1" t="inlineStr">
        <is>
          <t>23.02.2024</t>
        </is>
      </c>
      <c r="M954" s="1" t="inlineStr">
        <is>
          <t>Успешно</t>
        </is>
      </c>
      <c r="N954" s="1" t="inlineStr">
        <is>
          <t>29.02.2024</t>
        </is>
      </c>
      <c r="O954" s="1" t="inlineStr"/>
      <c r="P954" s="1" t="inlineStr"/>
      <c r="Q954" s="1" t="inlineStr">
        <is>
          <t>Пользовательский интерфейс</t>
        </is>
      </c>
    </row>
    <row r="955">
      <c r="B955" s="1" t="inlineStr">
        <is>
          <t>42252370</t>
        </is>
      </c>
      <c r="C955" s="1" t="inlineStr">
        <is>
          <t>3404353</t>
        </is>
      </c>
      <c r="D955" t="inlineStr">
        <is>
          <t>работник 277</t>
        </is>
      </c>
      <c r="E955" s="1" t="inlineStr">
        <is>
          <t>ОБЩЕСТВО С ОГРАНИЧЕННОЙ ОТВЕТСТВЕННОСТЬЮ "АМУР ЗОЛОТО"</t>
        </is>
      </c>
      <c r="F955" s="1" t="inlineStr">
        <is>
          <t>2708001686</t>
        </is>
      </c>
      <c r="G955" s="1" t="inlineStr">
        <is>
          <t>Машинист крана автомобильного</t>
        </is>
      </c>
      <c r="H955" s="1" t="inlineStr">
        <is>
          <t>ООО "Амур Золото"</t>
        </is>
      </c>
      <c r="I955" s="1" t="inlineStr">
        <is>
          <t>2708001686</t>
        </is>
      </c>
      <c r="J955" s="1" t="inlineStr">
        <is>
          <t>ОТ № ЮГОК АТЦ 24-04</t>
        </is>
      </c>
      <c r="K955" s="1" t="inlineStr">
        <is>
          <t>Использование (применение) средств индивидуальной защиты</t>
        </is>
      </c>
      <c r="L955" s="1" t="inlineStr">
        <is>
          <t>23.02.2024</t>
        </is>
      </c>
      <c r="M955" s="1" t="inlineStr">
        <is>
          <t>Успешно</t>
        </is>
      </c>
      <c r="N955" s="1" t="inlineStr">
        <is>
          <t>29.02.2024</t>
        </is>
      </c>
      <c r="O955" s="1" t="inlineStr"/>
      <c r="P955" s="1" t="inlineStr"/>
      <c r="Q955" s="1" t="inlineStr">
        <is>
          <t>Пользовательский интерфейс</t>
        </is>
      </c>
    </row>
    <row r="956">
      <c r="B956" s="1" t="inlineStr">
        <is>
          <t>42252371</t>
        </is>
      </c>
      <c r="C956" s="1" t="inlineStr">
        <is>
          <t>3404353</t>
        </is>
      </c>
      <c r="D956" t="inlineStr">
        <is>
          <t>работник 277</t>
        </is>
      </c>
      <c r="E956" s="1" t="inlineStr">
        <is>
          <t>ОБЩЕСТВО С ОГРАНИЧЕННОЙ ОТВЕТСТВЕННОСТЬЮ "АМУР ЗОЛОТО"</t>
        </is>
      </c>
      <c r="F956" s="1" t="inlineStr">
        <is>
          <t>2708001686</t>
        </is>
      </c>
      <c r="G956" s="1" t="inlineStr">
        <is>
          <t>Машинист крана автомобильного</t>
        </is>
      </c>
      <c r="H956" s="1" t="inlineStr">
        <is>
          <t>ООО "Амур Золото"</t>
        </is>
      </c>
      <c r="I956" s="1" t="inlineStr">
        <is>
          <t>2708001686</t>
        </is>
      </c>
      <c r="J956" s="1" t="inlineStr">
        <is>
          <t>ОТ № ЮГОК АТЦ 24-04</t>
        </is>
      </c>
      <c r="K95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956" s="1" t="inlineStr">
        <is>
          <t>23.02.2024</t>
        </is>
      </c>
      <c r="M956" s="1" t="inlineStr">
        <is>
          <t>Успешно</t>
        </is>
      </c>
      <c r="N956" s="1" t="inlineStr">
        <is>
          <t>29.02.2024</t>
        </is>
      </c>
      <c r="O956" s="1" t="inlineStr"/>
      <c r="P956" s="1" t="inlineStr"/>
      <c r="Q956" s="1" t="inlineStr">
        <is>
          <t>Пользовательский интерфейс</t>
        </is>
      </c>
    </row>
    <row r="957">
      <c r="B957" s="1" t="inlineStr">
        <is>
          <t>42252372</t>
        </is>
      </c>
      <c r="C957" s="1" t="inlineStr">
        <is>
          <t>3404353</t>
        </is>
      </c>
      <c r="D957" t="inlineStr">
        <is>
          <t>работник 278</t>
        </is>
      </c>
      <c r="E957" s="1" t="inlineStr">
        <is>
          <t>ОБЩЕСТВО С ОГРАНИЧЕННОЙ ОТВЕТСТВЕННОСТЬЮ "АМУР ЗОЛОТО"</t>
        </is>
      </c>
      <c r="F957" s="1" t="inlineStr">
        <is>
          <t>2708001686</t>
        </is>
      </c>
      <c r="G957" s="1" t="inlineStr">
        <is>
          <t>Машинист экскаватора</t>
        </is>
      </c>
      <c r="H957" s="1" t="inlineStr">
        <is>
          <t>ООО "Амур Золото"</t>
        </is>
      </c>
      <c r="I957" s="1" t="inlineStr">
        <is>
          <t>2708001686</t>
        </is>
      </c>
      <c r="J957" s="1" t="inlineStr">
        <is>
          <t>ОТ № ЮГОК АТЦ 24-04</t>
        </is>
      </c>
      <c r="K957" s="1" t="inlineStr">
        <is>
          <t>Оказание первой помощи пострадавшим</t>
        </is>
      </c>
      <c r="L957" s="1" t="inlineStr">
        <is>
          <t>23.02.2024</t>
        </is>
      </c>
      <c r="M957" s="1" t="inlineStr">
        <is>
          <t>Успешно</t>
        </is>
      </c>
      <c r="N957" s="1" t="inlineStr">
        <is>
          <t>29.02.2024</t>
        </is>
      </c>
      <c r="O957" s="1" t="inlineStr"/>
      <c r="P957" s="1" t="inlineStr"/>
      <c r="Q957" s="1" t="inlineStr">
        <is>
          <t>Пользовательский интерфейс</t>
        </is>
      </c>
    </row>
    <row r="958">
      <c r="B958" s="1" t="inlineStr">
        <is>
          <t>42252373</t>
        </is>
      </c>
      <c r="C958" s="1" t="inlineStr">
        <is>
          <t>3404353</t>
        </is>
      </c>
      <c r="D958" t="inlineStr">
        <is>
          <t>работник 278</t>
        </is>
      </c>
      <c r="E958" s="1" t="inlineStr">
        <is>
          <t>ОБЩЕСТВО С ОГРАНИЧЕННОЙ ОТВЕТСТВЕННОСТЬЮ "АМУР ЗОЛОТО"</t>
        </is>
      </c>
      <c r="F958" s="1" t="inlineStr">
        <is>
          <t>2708001686</t>
        </is>
      </c>
      <c r="G958" s="1" t="inlineStr">
        <is>
          <t>Машинист экскаватора</t>
        </is>
      </c>
      <c r="H958" s="1" t="inlineStr">
        <is>
          <t>ООО "Амур Золото"</t>
        </is>
      </c>
      <c r="I958" s="1" t="inlineStr">
        <is>
          <t>2708001686</t>
        </is>
      </c>
      <c r="J958" s="1" t="inlineStr">
        <is>
          <t>ОТ № ЮГОК АТЦ 24-04</t>
        </is>
      </c>
      <c r="K958" s="1" t="inlineStr">
        <is>
          <t>Использование (применение) средств индивидуальной защиты</t>
        </is>
      </c>
      <c r="L958" s="1" t="inlineStr">
        <is>
          <t>23.02.2024</t>
        </is>
      </c>
      <c r="M958" s="1" t="inlineStr">
        <is>
          <t>Успешно</t>
        </is>
      </c>
      <c r="N958" s="1" t="inlineStr">
        <is>
          <t>29.02.2024</t>
        </is>
      </c>
      <c r="O958" s="1" t="inlineStr"/>
      <c r="P958" s="1" t="inlineStr"/>
      <c r="Q958" s="1" t="inlineStr">
        <is>
          <t>Пользовательский интерфейс</t>
        </is>
      </c>
    </row>
    <row r="959">
      <c r="B959" s="1" t="inlineStr">
        <is>
          <t>42252374</t>
        </is>
      </c>
      <c r="C959" s="1" t="inlineStr">
        <is>
          <t>3404353</t>
        </is>
      </c>
      <c r="D959" t="inlineStr">
        <is>
          <t>работник 278</t>
        </is>
      </c>
      <c r="E959" s="1" t="inlineStr">
        <is>
          <t>ОБЩЕСТВО С ОГРАНИЧЕННОЙ ОТВЕТСТВЕННОСТЬЮ "АМУР ЗОЛОТО"</t>
        </is>
      </c>
      <c r="F959" s="1" t="inlineStr">
        <is>
          <t>2708001686</t>
        </is>
      </c>
      <c r="G959" s="1" t="inlineStr">
        <is>
          <t>Машинист экскаватора</t>
        </is>
      </c>
      <c r="H959" s="1" t="inlineStr">
        <is>
          <t>ООО "Амур Золото"</t>
        </is>
      </c>
      <c r="I959" s="1" t="inlineStr">
        <is>
          <t>2708001686</t>
        </is>
      </c>
      <c r="J959" s="1" t="inlineStr">
        <is>
          <t>ОТ № ЮГОК АТЦ 24-04</t>
        </is>
      </c>
      <c r="K95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959" s="1" t="inlineStr">
        <is>
          <t>23.02.2024</t>
        </is>
      </c>
      <c r="M959" s="1" t="inlineStr">
        <is>
          <t>Успешно</t>
        </is>
      </c>
      <c r="N959" s="1" t="inlineStr">
        <is>
          <t>29.02.2024</t>
        </is>
      </c>
      <c r="O959" s="1" t="inlineStr"/>
      <c r="P959" s="1" t="inlineStr"/>
      <c r="Q959" s="1" t="inlineStr">
        <is>
          <t>Пользовательский интерфейс</t>
        </is>
      </c>
    </row>
    <row r="960">
      <c r="B960" s="1" t="inlineStr">
        <is>
          <t>42252375</t>
        </is>
      </c>
      <c r="C960" s="1" t="inlineStr">
        <is>
          <t>3404353</t>
        </is>
      </c>
      <c r="D960" t="inlineStr">
        <is>
          <t>работник 21</t>
        </is>
      </c>
      <c r="E960" s="1" t="inlineStr">
        <is>
          <t>ОБЩЕСТВО С ОГРАНИЧЕННОЙ ОТВЕТСТВЕННОСТЬЮ "АМУР ЗОЛОТО"</t>
        </is>
      </c>
      <c r="F960" s="1" t="inlineStr">
        <is>
          <t>2708001686</t>
        </is>
      </c>
      <c r="G960" s="1" t="inlineStr">
        <is>
          <t>Машинист бульдозера</t>
        </is>
      </c>
      <c r="H960" s="1" t="inlineStr">
        <is>
          <t>ООО "Амур Золото"</t>
        </is>
      </c>
      <c r="I960" s="1" t="inlineStr">
        <is>
          <t>2708001686</t>
        </is>
      </c>
      <c r="J960" s="1" t="inlineStr">
        <is>
          <t>ОТ № ЮГОК АТЦ 24-04</t>
        </is>
      </c>
      <c r="K960" s="1" t="inlineStr">
        <is>
          <t>Оказание первой помощи пострадавшим</t>
        </is>
      </c>
      <c r="L960" s="1" t="inlineStr">
        <is>
          <t>23.02.2024</t>
        </is>
      </c>
      <c r="M960" s="1" t="inlineStr">
        <is>
          <t>Успешно</t>
        </is>
      </c>
      <c r="N960" s="1" t="inlineStr">
        <is>
          <t>29.02.2024</t>
        </is>
      </c>
      <c r="O960" s="1" t="inlineStr"/>
      <c r="P960" s="1" t="inlineStr"/>
      <c r="Q960" s="1" t="inlineStr">
        <is>
          <t>Пользовательский интерфейс</t>
        </is>
      </c>
    </row>
    <row r="961">
      <c r="B961" s="1" t="inlineStr">
        <is>
          <t>42252376</t>
        </is>
      </c>
      <c r="C961" s="1" t="inlineStr">
        <is>
          <t>3404353</t>
        </is>
      </c>
      <c r="D961" t="inlineStr">
        <is>
          <t>работник 21</t>
        </is>
      </c>
      <c r="E961" s="1" t="inlineStr">
        <is>
          <t>ОБЩЕСТВО С ОГРАНИЧЕННОЙ ОТВЕТСТВЕННОСТЬЮ "АМУР ЗОЛОТО"</t>
        </is>
      </c>
      <c r="F961" s="1" t="inlineStr">
        <is>
          <t>2708001686</t>
        </is>
      </c>
      <c r="G961" s="1" t="inlineStr">
        <is>
          <t>Машинист бульдозера</t>
        </is>
      </c>
      <c r="H961" s="1" t="inlineStr">
        <is>
          <t>ООО "Амур Золото"</t>
        </is>
      </c>
      <c r="I961" s="1" t="inlineStr">
        <is>
          <t>2708001686</t>
        </is>
      </c>
      <c r="J961" s="1" t="inlineStr">
        <is>
          <t>ОТ № ЮГОК АТЦ 24-04</t>
        </is>
      </c>
      <c r="K961" s="1" t="inlineStr">
        <is>
          <t>Использование (применение) средств индивидуальной защиты</t>
        </is>
      </c>
      <c r="L961" s="1" t="inlineStr">
        <is>
          <t>23.02.2024</t>
        </is>
      </c>
      <c r="M961" s="1" t="inlineStr">
        <is>
          <t>Успешно</t>
        </is>
      </c>
      <c r="N961" s="1" t="inlineStr">
        <is>
          <t>29.02.2024</t>
        </is>
      </c>
      <c r="O961" s="1" t="inlineStr"/>
      <c r="P961" s="1" t="inlineStr"/>
      <c r="Q961" s="1" t="inlineStr">
        <is>
          <t>Пользовательский интерфейс</t>
        </is>
      </c>
    </row>
    <row r="962">
      <c r="B962" s="1" t="inlineStr">
        <is>
          <t>42252377</t>
        </is>
      </c>
      <c r="C962" s="1" t="inlineStr">
        <is>
          <t>3404353</t>
        </is>
      </c>
      <c r="D962" t="inlineStr">
        <is>
          <t>работник 21</t>
        </is>
      </c>
      <c r="E962" s="1" t="inlineStr">
        <is>
          <t>ОБЩЕСТВО С ОГРАНИЧЕННОЙ ОТВЕТСТВЕННОСТЬЮ "АМУР ЗОЛОТО"</t>
        </is>
      </c>
      <c r="F962" s="1" t="inlineStr">
        <is>
          <t>2708001686</t>
        </is>
      </c>
      <c r="G962" s="1" t="inlineStr">
        <is>
          <t>Машинист бульдозера</t>
        </is>
      </c>
      <c r="H962" s="1" t="inlineStr">
        <is>
          <t>ООО "Амур Золото"</t>
        </is>
      </c>
      <c r="I962" s="1" t="inlineStr">
        <is>
          <t>2708001686</t>
        </is>
      </c>
      <c r="J962" s="1" t="inlineStr">
        <is>
          <t>ОТ № ЮГОК АТЦ 24-04</t>
        </is>
      </c>
      <c r="K96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962" s="1" t="inlineStr">
        <is>
          <t>23.02.2024</t>
        </is>
      </c>
      <c r="M962" s="1" t="inlineStr">
        <is>
          <t>Успешно</t>
        </is>
      </c>
      <c r="N962" s="1" t="inlineStr">
        <is>
          <t>29.02.2024</t>
        </is>
      </c>
      <c r="O962" s="1" t="inlineStr"/>
      <c r="P962" s="1" t="inlineStr"/>
      <c r="Q962" s="1" t="inlineStr">
        <is>
          <t>Пользовательский интерфейс</t>
        </is>
      </c>
    </row>
    <row r="963">
      <c r="B963" s="1" t="inlineStr">
        <is>
          <t>42252378</t>
        </is>
      </c>
      <c r="C963" s="1" t="inlineStr">
        <is>
          <t>3404353</t>
        </is>
      </c>
      <c r="D963" t="inlineStr">
        <is>
          <t>работник 22</t>
        </is>
      </c>
      <c r="E963" s="1" t="inlineStr">
        <is>
          <t>ОБЩЕСТВО С ОГРАНИЧЕННОЙ ОТВЕТСТВЕННОСТЬЮ "АМУР ЗОЛОТО"</t>
        </is>
      </c>
      <c r="F963" s="1" t="inlineStr">
        <is>
          <t>2708001686</t>
        </is>
      </c>
      <c r="G963" s="1" t="inlineStr">
        <is>
          <t>Электрогазосварщик (занятый на резке и ручной сварке)</t>
        </is>
      </c>
      <c r="H963" s="1" t="inlineStr">
        <is>
          <t>ООО "Амур Золото"</t>
        </is>
      </c>
      <c r="I963" s="1" t="inlineStr">
        <is>
          <t>2708001686</t>
        </is>
      </c>
      <c r="J963" s="1" t="inlineStr">
        <is>
          <t>ОТ № ЮГОК АТЦ 24-04</t>
        </is>
      </c>
      <c r="K963" s="1" t="inlineStr">
        <is>
          <t>Оказание первой помощи пострадавшим</t>
        </is>
      </c>
      <c r="L963" s="1" t="inlineStr">
        <is>
          <t>23.02.2024</t>
        </is>
      </c>
      <c r="M963" s="1" t="inlineStr">
        <is>
          <t>Успешно</t>
        </is>
      </c>
      <c r="N963" s="1" t="inlineStr">
        <is>
          <t>29.02.2024</t>
        </is>
      </c>
      <c r="O963" s="1" t="inlineStr"/>
      <c r="P963" s="1" t="inlineStr"/>
      <c r="Q963" s="1" t="inlineStr">
        <is>
          <t>Пользовательский интерфейс</t>
        </is>
      </c>
    </row>
    <row r="964">
      <c r="B964" s="1" t="inlineStr">
        <is>
          <t>42252379</t>
        </is>
      </c>
      <c r="C964" s="1" t="inlineStr">
        <is>
          <t>3404353</t>
        </is>
      </c>
      <c r="D964" t="inlineStr">
        <is>
          <t>работник 22</t>
        </is>
      </c>
      <c r="E964" s="1" t="inlineStr">
        <is>
          <t>ОБЩЕСТВО С ОГРАНИЧЕННОЙ ОТВЕТСТВЕННОСТЬЮ "АМУР ЗОЛОТО"</t>
        </is>
      </c>
      <c r="F964" s="1" t="inlineStr">
        <is>
          <t>2708001686</t>
        </is>
      </c>
      <c r="G964" s="1" t="inlineStr">
        <is>
          <t>Электрогазосварщик (занятый на резке и ручной сварке)</t>
        </is>
      </c>
      <c r="H964" s="1" t="inlineStr">
        <is>
          <t>ООО "Амур Золото"</t>
        </is>
      </c>
      <c r="I964" s="1" t="inlineStr">
        <is>
          <t>2708001686</t>
        </is>
      </c>
      <c r="J964" s="1" t="inlineStr">
        <is>
          <t>ОТ № ЮГОК АТЦ 24-04</t>
        </is>
      </c>
      <c r="K964" s="1" t="inlineStr">
        <is>
          <t>Использование (применение) средств индивидуальной защиты</t>
        </is>
      </c>
      <c r="L964" s="1" t="inlineStr">
        <is>
          <t>23.02.2024</t>
        </is>
      </c>
      <c r="M964" s="1" t="inlineStr">
        <is>
          <t>Успешно</t>
        </is>
      </c>
      <c r="N964" s="1" t="inlineStr">
        <is>
          <t>29.02.2024</t>
        </is>
      </c>
      <c r="O964" s="1" t="inlineStr"/>
      <c r="P964" s="1" t="inlineStr"/>
      <c r="Q964" s="1" t="inlineStr">
        <is>
          <t>Пользовательский интерфейс</t>
        </is>
      </c>
    </row>
    <row r="965">
      <c r="B965" s="1" t="inlineStr">
        <is>
          <t>42252380</t>
        </is>
      </c>
      <c r="C965" s="1" t="inlineStr">
        <is>
          <t>3404353</t>
        </is>
      </c>
      <c r="D965" t="inlineStr">
        <is>
          <t>работник 22</t>
        </is>
      </c>
      <c r="E965" s="1" t="inlineStr">
        <is>
          <t>ОБЩЕСТВО С ОГРАНИЧЕННОЙ ОТВЕТСТВЕННОСТЬЮ "АМУР ЗОЛОТО"</t>
        </is>
      </c>
      <c r="F965" s="1" t="inlineStr">
        <is>
          <t>2708001686</t>
        </is>
      </c>
      <c r="G965" s="1" t="inlineStr">
        <is>
          <t>Электрогазосварщик (занятый на резке и ручной сварке)</t>
        </is>
      </c>
      <c r="H965" s="1" t="inlineStr">
        <is>
          <t>ООО "Амур Золото"</t>
        </is>
      </c>
      <c r="I965" s="1" t="inlineStr">
        <is>
          <t>2708001686</t>
        </is>
      </c>
      <c r="J965" s="1" t="inlineStr">
        <is>
          <t>ОТ № ЮГОК АТЦ 24-04</t>
        </is>
      </c>
      <c r="K96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965" s="1" t="inlineStr">
        <is>
          <t>23.02.2024</t>
        </is>
      </c>
      <c r="M965" s="1" t="inlineStr">
        <is>
          <t>Успешно</t>
        </is>
      </c>
      <c r="N965" s="1" t="inlineStr">
        <is>
          <t>29.02.2024</t>
        </is>
      </c>
      <c r="O965" s="1" t="inlineStr"/>
      <c r="P965" s="1" t="inlineStr"/>
      <c r="Q965" s="1" t="inlineStr">
        <is>
          <t>Пользовательский интерфейс</t>
        </is>
      </c>
    </row>
    <row r="966">
      <c r="B966" s="1" t="inlineStr">
        <is>
          <t>42252381</t>
        </is>
      </c>
      <c r="C966" s="1" t="inlineStr">
        <is>
          <t>3404353</t>
        </is>
      </c>
      <c r="D966" t="inlineStr">
        <is>
          <t>работник 279</t>
        </is>
      </c>
      <c r="E966" s="1" t="inlineStr">
        <is>
          <t>ОБЩЕСТВО С ОГРАНИЧЕННОЙ ОТВЕТСТВЕННОСТЬЮ "АМУР ЗОЛОТО"</t>
        </is>
      </c>
      <c r="F966" s="1" t="inlineStr">
        <is>
          <t>2708001686</t>
        </is>
      </c>
      <c r="G966" s="1" t="inlineStr">
        <is>
          <t>Водитель погрузчика</t>
        </is>
      </c>
      <c r="H966" s="1" t="inlineStr">
        <is>
          <t>ООО "Амур Золото"</t>
        </is>
      </c>
      <c r="I966" s="1" t="inlineStr">
        <is>
          <t>2708001686</t>
        </is>
      </c>
      <c r="J966" s="1" t="inlineStr">
        <is>
          <t>ОТ № ЮГОК АТЦ 24-04</t>
        </is>
      </c>
      <c r="K966" s="1" t="inlineStr">
        <is>
          <t>Оказание первой помощи пострадавшим</t>
        </is>
      </c>
      <c r="L966" s="1" t="inlineStr">
        <is>
          <t>23.02.2024</t>
        </is>
      </c>
      <c r="M966" s="1" t="inlineStr">
        <is>
          <t>Успешно</t>
        </is>
      </c>
      <c r="N966" s="1" t="inlineStr">
        <is>
          <t>29.02.2024</t>
        </is>
      </c>
      <c r="O966" s="1" t="inlineStr"/>
      <c r="P966" s="1" t="inlineStr"/>
      <c r="Q966" s="1" t="inlineStr">
        <is>
          <t>Пользовательский интерфейс</t>
        </is>
      </c>
    </row>
    <row r="967">
      <c r="B967" s="1" t="inlineStr">
        <is>
          <t>42252382</t>
        </is>
      </c>
      <c r="C967" s="1" t="inlineStr">
        <is>
          <t>3404353</t>
        </is>
      </c>
      <c r="D967" t="inlineStr">
        <is>
          <t>работник 279</t>
        </is>
      </c>
      <c r="E967" s="1" t="inlineStr">
        <is>
          <t>ОБЩЕСТВО С ОГРАНИЧЕННОЙ ОТВЕТСТВЕННОСТЬЮ "АМУР ЗОЛОТО"</t>
        </is>
      </c>
      <c r="F967" s="1" t="inlineStr">
        <is>
          <t>2708001686</t>
        </is>
      </c>
      <c r="G967" s="1" t="inlineStr">
        <is>
          <t>Водитель погрузчика</t>
        </is>
      </c>
      <c r="H967" s="1" t="inlineStr">
        <is>
          <t>ООО "Амур Золото"</t>
        </is>
      </c>
      <c r="I967" s="1" t="inlineStr">
        <is>
          <t>2708001686</t>
        </is>
      </c>
      <c r="J967" s="1" t="inlineStr">
        <is>
          <t>ОТ № ЮГОК АТЦ 24-04</t>
        </is>
      </c>
      <c r="K967" s="1" t="inlineStr">
        <is>
          <t>Использование (применение) средств индивидуальной защиты</t>
        </is>
      </c>
      <c r="L967" s="1" t="inlineStr">
        <is>
          <t>23.02.2024</t>
        </is>
      </c>
      <c r="M967" s="1" t="inlineStr">
        <is>
          <t>Успешно</t>
        </is>
      </c>
      <c r="N967" s="1" t="inlineStr">
        <is>
          <t>29.02.2024</t>
        </is>
      </c>
      <c r="O967" s="1" t="inlineStr"/>
      <c r="P967" s="1" t="inlineStr"/>
      <c r="Q967" s="1" t="inlineStr">
        <is>
          <t>Пользовательский интерфейс</t>
        </is>
      </c>
    </row>
    <row r="968">
      <c r="B968" s="1" t="inlineStr">
        <is>
          <t>42252383</t>
        </is>
      </c>
      <c r="C968" s="1" t="inlineStr">
        <is>
          <t>3404353</t>
        </is>
      </c>
      <c r="D968" t="inlineStr">
        <is>
          <t>работник 279</t>
        </is>
      </c>
      <c r="E968" s="1" t="inlineStr">
        <is>
          <t>ОБЩЕСТВО С ОГРАНИЧЕННОЙ ОТВЕТСТВЕННОСТЬЮ "АМУР ЗОЛОТО"</t>
        </is>
      </c>
      <c r="F968" s="1" t="inlineStr">
        <is>
          <t>2708001686</t>
        </is>
      </c>
      <c r="G968" s="1" t="inlineStr">
        <is>
          <t>Водитель погрузчика</t>
        </is>
      </c>
      <c r="H968" s="1" t="inlineStr">
        <is>
          <t>ООО "Амур Золото"</t>
        </is>
      </c>
      <c r="I968" s="1" t="inlineStr">
        <is>
          <t>2708001686</t>
        </is>
      </c>
      <c r="J968" s="1" t="inlineStr">
        <is>
          <t>ОТ № ЮГОК АТЦ 24-04</t>
        </is>
      </c>
      <c r="K96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968" s="1" t="inlineStr">
        <is>
          <t>23.02.2024</t>
        </is>
      </c>
      <c r="M968" s="1" t="inlineStr">
        <is>
          <t>Успешно</t>
        </is>
      </c>
      <c r="N968" s="1" t="inlineStr">
        <is>
          <t>29.02.2024</t>
        </is>
      </c>
      <c r="O968" s="1" t="inlineStr"/>
      <c r="P968" s="1" t="inlineStr"/>
      <c r="Q968" s="1" t="inlineStr">
        <is>
          <t>Пользовательский интерфейс</t>
        </is>
      </c>
    </row>
    <row r="969">
      <c r="B969" s="1" t="inlineStr">
        <is>
          <t>42252384</t>
        </is>
      </c>
      <c r="C969" s="1" t="inlineStr">
        <is>
          <t>3404353</t>
        </is>
      </c>
      <c r="D969" t="inlineStr">
        <is>
          <t>работник 280</t>
        </is>
      </c>
      <c r="E969" s="1" t="inlineStr">
        <is>
          <t>ОБЩЕСТВО С ОГРАНИЧЕННОЙ ОТВЕТСТВЕННОСТЬЮ "АМУР ЗОЛОТО"</t>
        </is>
      </c>
      <c r="F969" s="1" t="inlineStr">
        <is>
          <t>2708001686</t>
        </is>
      </c>
      <c r="G969" s="1" t="inlineStr">
        <is>
          <t>Водитель автомобиля (занятый на транспортировании горной массы в технологическом процессе)</t>
        </is>
      </c>
      <c r="H969" s="1" t="inlineStr">
        <is>
          <t>ООО "Амур Золото"</t>
        </is>
      </c>
      <c r="I969" s="1" t="inlineStr">
        <is>
          <t>2708001686</t>
        </is>
      </c>
      <c r="J969" s="1" t="inlineStr">
        <is>
          <t>ОТ № ЮГОК АТЦ 24-04</t>
        </is>
      </c>
      <c r="K969" s="1" t="inlineStr">
        <is>
          <t>Оказание первой помощи пострадавшим</t>
        </is>
      </c>
      <c r="L969" s="1" t="inlineStr">
        <is>
          <t>23.02.2024</t>
        </is>
      </c>
      <c r="M969" s="1" t="inlineStr">
        <is>
          <t>Успешно</t>
        </is>
      </c>
      <c r="N969" s="1" t="inlineStr">
        <is>
          <t>29.02.2024</t>
        </is>
      </c>
      <c r="O969" s="1" t="inlineStr"/>
      <c r="P969" s="1" t="inlineStr"/>
      <c r="Q969" s="1" t="inlineStr">
        <is>
          <t>Пользовательский интерфейс</t>
        </is>
      </c>
    </row>
    <row r="970">
      <c r="B970" s="1" t="inlineStr">
        <is>
          <t>42252385</t>
        </is>
      </c>
      <c r="C970" s="1" t="inlineStr">
        <is>
          <t>3404353</t>
        </is>
      </c>
      <c r="D970" t="inlineStr">
        <is>
          <t>работник 280</t>
        </is>
      </c>
      <c r="E970" s="1" t="inlineStr">
        <is>
          <t>ОБЩЕСТВО С ОГРАНИЧЕННОЙ ОТВЕТСТВЕННОСТЬЮ "АМУР ЗОЛОТО"</t>
        </is>
      </c>
      <c r="F970" s="1" t="inlineStr">
        <is>
          <t>2708001686</t>
        </is>
      </c>
      <c r="G970" s="1" t="inlineStr">
        <is>
          <t>Водитель автомобиля (занятый на транспортировании горной массы в технологическом процессе)</t>
        </is>
      </c>
      <c r="H970" s="1" t="inlineStr">
        <is>
          <t>ООО "Амур Золото"</t>
        </is>
      </c>
      <c r="I970" s="1" t="inlineStr">
        <is>
          <t>2708001686</t>
        </is>
      </c>
      <c r="J970" s="1" t="inlineStr">
        <is>
          <t>ОТ № ЮГОК АТЦ 24-04</t>
        </is>
      </c>
      <c r="K970" s="1" t="inlineStr">
        <is>
          <t>Использование (применение) средств индивидуальной защиты</t>
        </is>
      </c>
      <c r="L970" s="1" t="inlineStr">
        <is>
          <t>23.02.2024</t>
        </is>
      </c>
      <c r="M970" s="1" t="inlineStr">
        <is>
          <t>Успешно</t>
        </is>
      </c>
      <c r="N970" s="1" t="inlineStr">
        <is>
          <t>29.02.2024</t>
        </is>
      </c>
      <c r="O970" s="1" t="inlineStr"/>
      <c r="P970" s="1" t="inlineStr"/>
      <c r="Q970" s="1" t="inlineStr">
        <is>
          <t>Пользовательский интерфейс</t>
        </is>
      </c>
    </row>
    <row r="971">
      <c r="B971" s="1" t="inlineStr">
        <is>
          <t>42252386</t>
        </is>
      </c>
      <c r="C971" s="1" t="inlineStr">
        <is>
          <t>3404353</t>
        </is>
      </c>
      <c r="D971" t="inlineStr">
        <is>
          <t>работник 280</t>
        </is>
      </c>
      <c r="E971" s="1" t="inlineStr">
        <is>
          <t>ОБЩЕСТВО С ОГРАНИЧЕННОЙ ОТВЕТСТВЕННОСТЬЮ "АМУР ЗОЛОТО"</t>
        </is>
      </c>
      <c r="F971" s="1" t="inlineStr">
        <is>
          <t>2708001686</t>
        </is>
      </c>
      <c r="G971" s="1" t="inlineStr">
        <is>
          <t>Водитель автомобиля (занятый на транспортировании горной массы в технологическом процессе)</t>
        </is>
      </c>
      <c r="H971" s="1" t="inlineStr">
        <is>
          <t>ООО "Амур Золото"</t>
        </is>
      </c>
      <c r="I971" s="1" t="inlineStr">
        <is>
          <t>2708001686</t>
        </is>
      </c>
      <c r="J971" s="1" t="inlineStr">
        <is>
          <t>ОТ № ЮГОК АТЦ 24-04</t>
        </is>
      </c>
      <c r="K97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971" s="1" t="inlineStr">
        <is>
          <t>23.02.2024</t>
        </is>
      </c>
      <c r="M971" s="1" t="inlineStr">
        <is>
          <t>Успешно</t>
        </is>
      </c>
      <c r="N971" s="1" t="inlineStr">
        <is>
          <t>29.02.2024</t>
        </is>
      </c>
      <c r="O971" s="1" t="inlineStr"/>
      <c r="P971" s="1" t="inlineStr"/>
      <c r="Q971" s="1" t="inlineStr">
        <is>
          <t>Пользовательский интерфейс</t>
        </is>
      </c>
    </row>
    <row r="972">
      <c r="B972" s="1" t="inlineStr">
        <is>
          <t>42252387</t>
        </is>
      </c>
      <c r="C972" s="1" t="inlineStr">
        <is>
          <t>3404353</t>
        </is>
      </c>
      <c r="D972" t="inlineStr">
        <is>
          <t>работник 281</t>
        </is>
      </c>
      <c r="E972" s="1" t="inlineStr">
        <is>
          <t>ОБЩЕСТВО С ОГРАНИЧЕННОЙ ОТВЕТСТВЕННОСТЬЮ "АМУР ЗОЛОТО"</t>
        </is>
      </c>
      <c r="F972" s="1" t="inlineStr">
        <is>
          <t>2708001686</t>
        </is>
      </c>
      <c r="G972" s="1" t="inlineStr">
        <is>
          <t>Водитель автомобиля (категория D)</t>
        </is>
      </c>
      <c r="H972" s="1" t="inlineStr">
        <is>
          <t>ООО "Амур Золото"</t>
        </is>
      </c>
      <c r="I972" s="1" t="inlineStr">
        <is>
          <t>2708001686</t>
        </is>
      </c>
      <c r="J972" s="1" t="inlineStr">
        <is>
          <t>ОТ № ЮГОК АТЦ 24-04</t>
        </is>
      </c>
      <c r="K972" s="1" t="inlineStr">
        <is>
          <t>Оказание первой помощи пострадавшим</t>
        </is>
      </c>
      <c r="L972" s="1" t="inlineStr">
        <is>
          <t>23.02.2024</t>
        </is>
      </c>
      <c r="M972" s="1" t="inlineStr">
        <is>
          <t>Успешно</t>
        </is>
      </c>
      <c r="N972" s="1" t="inlineStr">
        <is>
          <t>29.02.2024</t>
        </is>
      </c>
      <c r="O972" s="1" t="inlineStr"/>
      <c r="P972" s="1" t="inlineStr"/>
      <c r="Q972" s="1" t="inlineStr">
        <is>
          <t>Пользовательский интерфейс</t>
        </is>
      </c>
    </row>
    <row r="973">
      <c r="B973" s="1" t="inlineStr">
        <is>
          <t>42252388</t>
        </is>
      </c>
      <c r="C973" s="1" t="inlineStr">
        <is>
          <t>3404353</t>
        </is>
      </c>
      <c r="D973" t="inlineStr">
        <is>
          <t>работник 281</t>
        </is>
      </c>
      <c r="E973" s="1" t="inlineStr">
        <is>
          <t>ОБЩЕСТВО С ОГРАНИЧЕННОЙ ОТВЕТСТВЕННОСТЬЮ "АМУР ЗОЛОТО"</t>
        </is>
      </c>
      <c r="F973" s="1" t="inlineStr">
        <is>
          <t>2708001686</t>
        </is>
      </c>
      <c r="G973" s="1" t="inlineStr">
        <is>
          <t>Водитель автомобиля (категория D)</t>
        </is>
      </c>
      <c r="H973" s="1" t="inlineStr">
        <is>
          <t>ООО "Амур Золото"</t>
        </is>
      </c>
      <c r="I973" s="1" t="inlineStr">
        <is>
          <t>2708001686</t>
        </is>
      </c>
      <c r="J973" s="1" t="inlineStr">
        <is>
          <t>ОТ № ЮГОК АТЦ 24-04</t>
        </is>
      </c>
      <c r="K973" s="1" t="inlineStr">
        <is>
          <t>Использование (применение) средств индивидуальной защиты</t>
        </is>
      </c>
      <c r="L973" s="1" t="inlineStr">
        <is>
          <t>23.02.2024</t>
        </is>
      </c>
      <c r="M973" s="1" t="inlineStr">
        <is>
          <t>Успешно</t>
        </is>
      </c>
      <c r="N973" s="1" t="inlineStr">
        <is>
          <t>29.02.2024</t>
        </is>
      </c>
      <c r="O973" s="1" t="inlineStr"/>
      <c r="P973" s="1" t="inlineStr"/>
      <c r="Q973" s="1" t="inlineStr">
        <is>
          <t>Пользовательский интерфейс</t>
        </is>
      </c>
    </row>
    <row r="974">
      <c r="B974" s="1" t="inlineStr">
        <is>
          <t>42252389</t>
        </is>
      </c>
      <c r="C974" s="1" t="inlineStr">
        <is>
          <t>3404353</t>
        </is>
      </c>
      <c r="D974" t="inlineStr">
        <is>
          <t>работник 281</t>
        </is>
      </c>
      <c r="E974" s="1" t="inlineStr">
        <is>
          <t>ОБЩЕСТВО С ОГРАНИЧЕННОЙ ОТВЕТСТВЕННОСТЬЮ "АМУР ЗОЛОТО"</t>
        </is>
      </c>
      <c r="F974" s="1" t="inlineStr">
        <is>
          <t>2708001686</t>
        </is>
      </c>
      <c r="G974" s="1" t="inlineStr">
        <is>
          <t>Водитель автомобиля (категория D)</t>
        </is>
      </c>
      <c r="H974" s="1" t="inlineStr">
        <is>
          <t>ООО "Амур Золото"</t>
        </is>
      </c>
      <c r="I974" s="1" t="inlineStr">
        <is>
          <t>2708001686</t>
        </is>
      </c>
      <c r="J974" s="1" t="inlineStr">
        <is>
          <t>ОТ № ЮГОК АТЦ 24-04</t>
        </is>
      </c>
      <c r="K97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974" s="1" t="inlineStr">
        <is>
          <t>23.02.2024</t>
        </is>
      </c>
      <c r="M974" s="1" t="inlineStr">
        <is>
          <t>Успешно</t>
        </is>
      </c>
      <c r="N974" s="1" t="inlineStr">
        <is>
          <t>29.02.2024</t>
        </is>
      </c>
      <c r="O974" s="1" t="inlineStr"/>
      <c r="P974" s="1" t="inlineStr"/>
      <c r="Q974" s="1" t="inlineStr">
        <is>
          <t>Пользовательский интерфейс</t>
        </is>
      </c>
    </row>
    <row r="975">
      <c r="B975" s="1" t="inlineStr">
        <is>
          <t>42252390</t>
        </is>
      </c>
      <c r="C975" s="1" t="inlineStr">
        <is>
          <t>3404353</t>
        </is>
      </c>
      <c r="D975" t="inlineStr">
        <is>
          <t>работник 282</t>
        </is>
      </c>
      <c r="E975" s="1" t="inlineStr">
        <is>
          <t>ОБЩЕСТВО С ОГРАНИЧЕННОЙ ОТВЕТСТВЕННОСТЬЮ "АМУР ЗОЛОТО"</t>
        </is>
      </c>
      <c r="F975" s="1" t="inlineStr">
        <is>
          <t>2708001686</t>
        </is>
      </c>
      <c r="G975" s="1" t="inlineStr">
        <is>
          <t>Машинист бульдозера</t>
        </is>
      </c>
      <c r="H975" s="1" t="inlineStr">
        <is>
          <t>ООО "Амур Золото"</t>
        </is>
      </c>
      <c r="I975" s="1" t="inlineStr">
        <is>
          <t>2708001686</t>
        </is>
      </c>
      <c r="J975" s="1" t="inlineStr">
        <is>
          <t>ОТ № ЮГОК АТЦ 24-04</t>
        </is>
      </c>
      <c r="K975" s="1" t="inlineStr">
        <is>
          <t>Оказание первой помощи пострадавшим</t>
        </is>
      </c>
      <c r="L975" s="1" t="inlineStr">
        <is>
          <t>23.02.2024</t>
        </is>
      </c>
      <c r="M975" s="1" t="inlineStr">
        <is>
          <t>Успешно</t>
        </is>
      </c>
      <c r="N975" s="1" t="inlineStr">
        <is>
          <t>29.02.2024</t>
        </is>
      </c>
      <c r="O975" s="1" t="inlineStr"/>
      <c r="P975" s="1" t="inlineStr"/>
      <c r="Q975" s="1" t="inlineStr">
        <is>
          <t>Пользовательский интерфейс</t>
        </is>
      </c>
    </row>
    <row r="976">
      <c r="B976" s="1" t="inlineStr">
        <is>
          <t>42252391</t>
        </is>
      </c>
      <c r="C976" s="1" t="inlineStr">
        <is>
          <t>3404353</t>
        </is>
      </c>
      <c r="D976" t="inlineStr">
        <is>
          <t>работник 282</t>
        </is>
      </c>
      <c r="E976" s="1" t="inlineStr">
        <is>
          <t>ОБЩЕСТВО С ОГРАНИЧЕННОЙ ОТВЕТСТВЕННОСТЬЮ "АМУР ЗОЛОТО"</t>
        </is>
      </c>
      <c r="F976" s="1" t="inlineStr">
        <is>
          <t>2708001686</t>
        </is>
      </c>
      <c r="G976" s="1" t="inlineStr">
        <is>
          <t>Машинист бульдозера</t>
        </is>
      </c>
      <c r="H976" s="1" t="inlineStr">
        <is>
          <t>ООО "Амур Золото"</t>
        </is>
      </c>
      <c r="I976" s="1" t="inlineStr">
        <is>
          <t>2708001686</t>
        </is>
      </c>
      <c r="J976" s="1" t="inlineStr">
        <is>
          <t>ОТ № ЮГОК АТЦ 24-04</t>
        </is>
      </c>
      <c r="K976" s="1" t="inlineStr">
        <is>
          <t>Использование (применение) средств индивидуальной защиты</t>
        </is>
      </c>
      <c r="L976" s="1" t="inlineStr">
        <is>
          <t>23.02.2024</t>
        </is>
      </c>
      <c r="M976" s="1" t="inlineStr">
        <is>
          <t>Успешно</t>
        </is>
      </c>
      <c r="N976" s="1" t="inlineStr">
        <is>
          <t>29.02.2024</t>
        </is>
      </c>
      <c r="O976" s="1" t="inlineStr"/>
      <c r="P976" s="1" t="inlineStr"/>
      <c r="Q976" s="1" t="inlineStr">
        <is>
          <t>Пользовательский интерфейс</t>
        </is>
      </c>
    </row>
    <row r="977">
      <c r="B977" s="1" t="inlineStr">
        <is>
          <t>42252392</t>
        </is>
      </c>
      <c r="C977" s="1" t="inlineStr">
        <is>
          <t>3404353</t>
        </is>
      </c>
      <c r="D977" t="inlineStr">
        <is>
          <t>работник 276</t>
        </is>
      </c>
      <c r="E977" s="1" t="inlineStr">
        <is>
          <t>ОБЩЕСТВО С ОГРАНИЧЕННОЙ ОТВЕТСТВЕННОСТЬЮ "АМУР ЗОЛОТО"</t>
        </is>
      </c>
      <c r="F977" s="1" t="inlineStr">
        <is>
          <t>2708001686</t>
        </is>
      </c>
      <c r="G977" s="1" t="inlineStr">
        <is>
          <t>Машинист бульдозера</t>
        </is>
      </c>
      <c r="H977" s="1" t="inlineStr">
        <is>
          <t>ООО "Амур Золото"</t>
        </is>
      </c>
      <c r="I977" s="1" t="inlineStr">
        <is>
          <t>2708001686</t>
        </is>
      </c>
      <c r="J977" s="1" t="inlineStr">
        <is>
          <t>ОТ № ЮГОК АТЦ 24-04</t>
        </is>
      </c>
      <c r="K977" s="1" t="inlineStr">
        <is>
          <t>Использование (применение) средств индивидуальной защиты</t>
        </is>
      </c>
      <c r="L977" s="1" t="inlineStr">
        <is>
          <t>23.02.2024</t>
        </is>
      </c>
      <c r="M977" s="1" t="inlineStr">
        <is>
          <t>Успешно</t>
        </is>
      </c>
      <c r="N977" s="1" t="inlineStr">
        <is>
          <t>29.02.2024</t>
        </is>
      </c>
      <c r="O977" s="1" t="inlineStr"/>
      <c r="P977" s="1" t="inlineStr"/>
      <c r="Q977" s="1" t="inlineStr">
        <is>
          <t>Пользовательский интерфейс</t>
        </is>
      </c>
    </row>
    <row r="978">
      <c r="B978" s="1" t="inlineStr">
        <is>
          <t>42252393</t>
        </is>
      </c>
      <c r="C978" s="1" t="inlineStr">
        <is>
          <t>3404353</t>
        </is>
      </c>
      <c r="D978" t="inlineStr">
        <is>
          <t>работник 282</t>
        </is>
      </c>
      <c r="E978" s="1" t="inlineStr">
        <is>
          <t>ОБЩЕСТВО С ОГРАНИЧЕННОЙ ОТВЕТСТВЕННОСТЬЮ "АМУР ЗОЛОТО"</t>
        </is>
      </c>
      <c r="F978" s="1" t="inlineStr">
        <is>
          <t>2708001686</t>
        </is>
      </c>
      <c r="G978" s="1" t="inlineStr">
        <is>
          <t>Машинист бульдозера</t>
        </is>
      </c>
      <c r="H978" s="1" t="inlineStr">
        <is>
          <t>ООО "Амур Золото"</t>
        </is>
      </c>
      <c r="I978" s="1" t="inlineStr">
        <is>
          <t>2708001686</t>
        </is>
      </c>
      <c r="J978" s="1" t="inlineStr">
        <is>
          <t>ОТ № ЮГОК АТЦ 24-04</t>
        </is>
      </c>
      <c r="K97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978" s="1" t="inlineStr">
        <is>
          <t>23.02.2024</t>
        </is>
      </c>
      <c r="M978" s="1" t="inlineStr">
        <is>
          <t>Успешно</t>
        </is>
      </c>
      <c r="N978" s="1" t="inlineStr">
        <is>
          <t>29.02.2024</t>
        </is>
      </c>
      <c r="O978" s="1" t="inlineStr"/>
      <c r="P978" s="1" t="inlineStr"/>
      <c r="Q978" s="1" t="inlineStr">
        <is>
          <t>Пользовательский интерфейс</t>
        </is>
      </c>
    </row>
    <row r="979">
      <c r="B979" s="1" t="inlineStr">
        <is>
          <t>42252394</t>
        </is>
      </c>
      <c r="C979" s="1" t="inlineStr">
        <is>
          <t>3404353</t>
        </is>
      </c>
      <c r="D979" t="inlineStr">
        <is>
          <t>работник 283</t>
        </is>
      </c>
      <c r="E979" s="1" t="inlineStr">
        <is>
          <t>ОБЩЕСТВО С ОГРАНИЧЕННОЙ ОТВЕТСТВЕННОСТЬЮ "АМУР ЗОЛОТО"</t>
        </is>
      </c>
      <c r="F979" s="1" t="inlineStr">
        <is>
          <t>2708001686</t>
        </is>
      </c>
      <c r="G979" s="1" t="inlineStr">
        <is>
          <t>Водитель автомобиля (занятый на транспортировании горной массы в технологическом процессе)</t>
        </is>
      </c>
      <c r="H979" s="1" t="inlineStr">
        <is>
          <t>ООО "Амур Золото"</t>
        </is>
      </c>
      <c r="I979" s="1" t="inlineStr">
        <is>
          <t>2708001686</t>
        </is>
      </c>
      <c r="J979" s="1" t="inlineStr">
        <is>
          <t>ОТ № ЮГОК АТЦ 24-04</t>
        </is>
      </c>
      <c r="K979" s="1" t="inlineStr">
        <is>
          <t>Оказание первой помощи пострадавшим</t>
        </is>
      </c>
      <c r="L979" s="1" t="inlineStr">
        <is>
          <t>23.02.2024</t>
        </is>
      </c>
      <c r="M979" s="1" t="inlineStr">
        <is>
          <t>Успешно</t>
        </is>
      </c>
      <c r="N979" s="1" t="inlineStr">
        <is>
          <t>29.02.2024</t>
        </is>
      </c>
      <c r="O979" s="1" t="inlineStr"/>
      <c r="P979" s="1" t="inlineStr"/>
      <c r="Q979" s="1" t="inlineStr">
        <is>
          <t>Пользовательский интерфейс</t>
        </is>
      </c>
    </row>
    <row r="980">
      <c r="B980" s="1" t="inlineStr">
        <is>
          <t>42252395</t>
        </is>
      </c>
      <c r="C980" s="1" t="inlineStr">
        <is>
          <t>3404353</t>
        </is>
      </c>
      <c r="D980" t="inlineStr">
        <is>
          <t>работник 283</t>
        </is>
      </c>
      <c r="E980" s="1" t="inlineStr">
        <is>
          <t>ОБЩЕСТВО С ОГРАНИЧЕННОЙ ОТВЕТСТВЕННОСТЬЮ "АМУР ЗОЛОТО"</t>
        </is>
      </c>
      <c r="F980" s="1" t="inlineStr">
        <is>
          <t>2708001686</t>
        </is>
      </c>
      <c r="G980" s="1" t="inlineStr">
        <is>
          <t>Водитель автомобиля (занятый на транспортировании горной массы в технологическом процессе)</t>
        </is>
      </c>
      <c r="H980" s="1" t="inlineStr">
        <is>
          <t>ООО "Амур Золото"</t>
        </is>
      </c>
      <c r="I980" s="1" t="inlineStr">
        <is>
          <t>2708001686</t>
        </is>
      </c>
      <c r="J980" s="1" t="inlineStr">
        <is>
          <t>ОТ № ЮГОК АТЦ 24-04</t>
        </is>
      </c>
      <c r="K980" s="1" t="inlineStr">
        <is>
          <t>Использование (применение) средств индивидуальной защиты</t>
        </is>
      </c>
      <c r="L980" s="1" t="inlineStr">
        <is>
          <t>23.02.2024</t>
        </is>
      </c>
      <c r="M980" s="1" t="inlineStr">
        <is>
          <t>Успешно</t>
        </is>
      </c>
      <c r="N980" s="1" t="inlineStr">
        <is>
          <t>29.02.2024</t>
        </is>
      </c>
      <c r="O980" s="1" t="inlineStr"/>
      <c r="P980" s="1" t="inlineStr"/>
      <c r="Q980" s="1" t="inlineStr">
        <is>
          <t>Пользовательский интерфейс</t>
        </is>
      </c>
    </row>
    <row r="981">
      <c r="B981" s="1" t="inlineStr">
        <is>
          <t>42252396</t>
        </is>
      </c>
      <c r="C981" s="1" t="inlineStr">
        <is>
          <t>3404353</t>
        </is>
      </c>
      <c r="D981" t="inlineStr">
        <is>
          <t>работник 283</t>
        </is>
      </c>
      <c r="E981" s="1" t="inlineStr">
        <is>
          <t>ОБЩЕСТВО С ОГРАНИЧЕННОЙ ОТВЕТСТВЕННОСТЬЮ "АМУР ЗОЛОТО"</t>
        </is>
      </c>
      <c r="F981" s="1" t="inlineStr">
        <is>
          <t>2708001686</t>
        </is>
      </c>
      <c r="G981" s="1" t="inlineStr">
        <is>
          <t>Водитель автомобиля (занятый на транспортировании горной массы в технологическом процессе)</t>
        </is>
      </c>
      <c r="H981" s="1" t="inlineStr">
        <is>
          <t>ООО "Амур Золото"</t>
        </is>
      </c>
      <c r="I981" s="1" t="inlineStr">
        <is>
          <t>2708001686</t>
        </is>
      </c>
      <c r="J981" s="1" t="inlineStr">
        <is>
          <t>ОТ № ЮГОК АТЦ 24-04</t>
        </is>
      </c>
      <c r="K98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981" s="1" t="inlineStr">
        <is>
          <t>23.02.2024</t>
        </is>
      </c>
      <c r="M981" s="1" t="inlineStr">
        <is>
          <t>Успешно</t>
        </is>
      </c>
      <c r="N981" s="1" t="inlineStr">
        <is>
          <t>29.02.2024</t>
        </is>
      </c>
      <c r="O981" s="1" t="inlineStr"/>
      <c r="P981" s="1" t="inlineStr"/>
      <c r="Q981" s="1" t="inlineStr">
        <is>
          <t>Пользовательский интерфейс</t>
        </is>
      </c>
    </row>
    <row r="982">
      <c r="B982" s="1" t="inlineStr">
        <is>
          <t>42252397</t>
        </is>
      </c>
      <c r="C982" s="1" t="inlineStr">
        <is>
          <t>3404353</t>
        </is>
      </c>
      <c r="D982" t="inlineStr">
        <is>
          <t>работник 284</t>
        </is>
      </c>
      <c r="E982" s="1" t="inlineStr">
        <is>
          <t>ОБЩЕСТВО С ОГРАНИЧЕННОЙ ОТВЕТСТВЕННОСТЬЮ "АМУР ЗОЛОТО"</t>
        </is>
      </c>
      <c r="F982" s="1" t="inlineStr">
        <is>
          <t>2708001686</t>
        </is>
      </c>
      <c r="G982" s="1" t="inlineStr">
        <is>
          <t>Водитель погрузчика</t>
        </is>
      </c>
      <c r="H982" s="1" t="inlineStr">
        <is>
          <t>ООО "Амур Золото"</t>
        </is>
      </c>
      <c r="I982" s="1" t="inlineStr">
        <is>
          <t>2708001686</t>
        </is>
      </c>
      <c r="J982" s="1" t="inlineStr">
        <is>
          <t>ОТ № ЮГОК АТЦ 24-04</t>
        </is>
      </c>
      <c r="K982" s="1" t="inlineStr">
        <is>
          <t>Оказание первой помощи пострадавшим</t>
        </is>
      </c>
      <c r="L982" s="1" t="inlineStr">
        <is>
          <t>23.02.2024</t>
        </is>
      </c>
      <c r="M982" s="1" t="inlineStr">
        <is>
          <t>Успешно</t>
        </is>
      </c>
      <c r="N982" s="1" t="inlineStr">
        <is>
          <t>29.02.2024</t>
        </is>
      </c>
      <c r="O982" s="1" t="inlineStr"/>
      <c r="P982" s="1" t="inlineStr"/>
      <c r="Q982" s="1" t="inlineStr">
        <is>
          <t>Пользовательский интерфейс</t>
        </is>
      </c>
    </row>
    <row r="983">
      <c r="B983" s="1" t="inlineStr">
        <is>
          <t>42252398</t>
        </is>
      </c>
      <c r="C983" s="1" t="inlineStr">
        <is>
          <t>3404353</t>
        </is>
      </c>
      <c r="D983" t="inlineStr">
        <is>
          <t>работник 284</t>
        </is>
      </c>
      <c r="E983" s="1" t="inlineStr">
        <is>
          <t>ОБЩЕСТВО С ОГРАНИЧЕННОЙ ОТВЕТСТВЕННОСТЬЮ "АМУР ЗОЛОТО"</t>
        </is>
      </c>
      <c r="F983" s="1" t="inlineStr">
        <is>
          <t>2708001686</t>
        </is>
      </c>
      <c r="G983" s="1" t="inlineStr">
        <is>
          <t>Водитель погрузчика</t>
        </is>
      </c>
      <c r="H983" s="1" t="inlineStr">
        <is>
          <t>ООО "Амур Золото"</t>
        </is>
      </c>
      <c r="I983" s="1" t="inlineStr">
        <is>
          <t>2708001686</t>
        </is>
      </c>
      <c r="J983" s="1" t="inlineStr">
        <is>
          <t>ОТ № ЮГОК АТЦ 24-04</t>
        </is>
      </c>
      <c r="K983" s="1" t="inlineStr">
        <is>
          <t>Использование (применение) средств индивидуальной защиты</t>
        </is>
      </c>
      <c r="L983" s="1" t="inlineStr">
        <is>
          <t>23.02.2024</t>
        </is>
      </c>
      <c r="M983" s="1" t="inlineStr">
        <is>
          <t>Успешно</t>
        </is>
      </c>
      <c r="N983" s="1" t="inlineStr">
        <is>
          <t>29.02.2024</t>
        </is>
      </c>
      <c r="O983" s="1" t="inlineStr"/>
      <c r="P983" s="1" t="inlineStr"/>
      <c r="Q983" s="1" t="inlineStr">
        <is>
          <t>Пользовательский интерфейс</t>
        </is>
      </c>
    </row>
    <row r="984">
      <c r="B984" s="1" t="inlineStr">
        <is>
          <t>42252399</t>
        </is>
      </c>
      <c r="C984" s="1" t="inlineStr">
        <is>
          <t>3404353</t>
        </is>
      </c>
      <c r="D984" t="inlineStr">
        <is>
          <t>работник 284</t>
        </is>
      </c>
      <c r="E984" s="1" t="inlineStr">
        <is>
          <t>ОБЩЕСТВО С ОГРАНИЧЕННОЙ ОТВЕТСТВЕННОСТЬЮ "АМУР ЗОЛОТО"</t>
        </is>
      </c>
      <c r="F984" s="1" t="inlineStr">
        <is>
          <t>2708001686</t>
        </is>
      </c>
      <c r="G984" s="1" t="inlineStr">
        <is>
          <t>Водитель погрузчика</t>
        </is>
      </c>
      <c r="H984" s="1" t="inlineStr">
        <is>
          <t>ООО "Амур Золото"</t>
        </is>
      </c>
      <c r="I984" s="1" t="inlineStr">
        <is>
          <t>2708001686</t>
        </is>
      </c>
      <c r="J984" s="1" t="inlineStr">
        <is>
          <t>ОТ № ЮГОК АТЦ 24-04</t>
        </is>
      </c>
      <c r="K98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984" s="1" t="inlineStr">
        <is>
          <t>23.02.2024</t>
        </is>
      </c>
      <c r="M984" s="1" t="inlineStr">
        <is>
          <t>Успешно</t>
        </is>
      </c>
      <c r="N984" s="1" t="inlineStr">
        <is>
          <t>29.02.2024</t>
        </is>
      </c>
      <c r="O984" s="1" t="inlineStr"/>
      <c r="P984" s="1" t="inlineStr"/>
      <c r="Q984" s="1" t="inlineStr">
        <is>
          <t>Пользовательский интерфейс</t>
        </is>
      </c>
    </row>
    <row r="985">
      <c r="B985" s="1" t="inlineStr">
        <is>
          <t>42252400</t>
        </is>
      </c>
      <c r="C985" s="1" t="inlineStr">
        <is>
          <t>3404353</t>
        </is>
      </c>
      <c r="D985" t="inlineStr">
        <is>
          <t>работник 285</t>
        </is>
      </c>
      <c r="E985" s="1" t="inlineStr">
        <is>
          <t>ОБЩЕСТВО С ОГРАНИЧЕННОЙ ОТВЕТСТВЕННОСТЬЮ "АМУР ЗОЛОТО"</t>
        </is>
      </c>
      <c r="F985" s="1" t="inlineStr">
        <is>
          <t>2708001686</t>
        </is>
      </c>
      <c r="G985" s="1" t="inlineStr">
        <is>
          <t>Водитель погрузчика</t>
        </is>
      </c>
      <c r="H985" s="1" t="inlineStr">
        <is>
          <t>ООО "Амур Золото"</t>
        </is>
      </c>
      <c r="I985" s="1" t="inlineStr">
        <is>
          <t>2708001686</t>
        </is>
      </c>
      <c r="J985" s="1" t="inlineStr">
        <is>
          <t>ОТ № ЮГОК АТЦ 24-04</t>
        </is>
      </c>
      <c r="K985" s="1" t="inlineStr">
        <is>
          <t>Оказание первой помощи пострадавшим</t>
        </is>
      </c>
      <c r="L985" s="1" t="inlineStr">
        <is>
          <t>23.02.2024</t>
        </is>
      </c>
      <c r="M985" s="1" t="inlineStr">
        <is>
          <t>Успешно</t>
        </is>
      </c>
      <c r="N985" s="1" t="inlineStr">
        <is>
          <t>29.02.2024</t>
        </is>
      </c>
      <c r="O985" s="1" t="inlineStr"/>
      <c r="P985" s="1" t="inlineStr"/>
      <c r="Q985" s="1" t="inlineStr">
        <is>
          <t>Пользовательский интерфейс</t>
        </is>
      </c>
    </row>
    <row r="986">
      <c r="B986" s="1" t="inlineStr">
        <is>
          <t>42252401</t>
        </is>
      </c>
      <c r="C986" s="1" t="inlineStr">
        <is>
          <t>3404353</t>
        </is>
      </c>
      <c r="D986" t="inlineStr">
        <is>
          <t>работник 285</t>
        </is>
      </c>
      <c r="E986" s="1" t="inlineStr">
        <is>
          <t>ОБЩЕСТВО С ОГРАНИЧЕННОЙ ОТВЕТСТВЕННОСТЬЮ "АМУР ЗОЛОТО"</t>
        </is>
      </c>
      <c r="F986" s="1" t="inlineStr">
        <is>
          <t>2708001686</t>
        </is>
      </c>
      <c r="G986" s="1" t="inlineStr">
        <is>
          <t>Водитель погрузчика</t>
        </is>
      </c>
      <c r="H986" s="1" t="inlineStr">
        <is>
          <t>ООО "Амур Золото"</t>
        </is>
      </c>
      <c r="I986" s="1" t="inlineStr">
        <is>
          <t>2708001686</t>
        </is>
      </c>
      <c r="J986" s="1" t="inlineStr">
        <is>
          <t>ОТ № ЮГОК АТЦ 24-04</t>
        </is>
      </c>
      <c r="K986" s="1" t="inlineStr">
        <is>
          <t>Использование (применение) средств индивидуальной защиты</t>
        </is>
      </c>
      <c r="L986" s="1" t="inlineStr">
        <is>
          <t>23.02.2024</t>
        </is>
      </c>
      <c r="M986" s="1" t="inlineStr">
        <is>
          <t>Успешно</t>
        </is>
      </c>
      <c r="N986" s="1" t="inlineStr">
        <is>
          <t>29.02.2024</t>
        </is>
      </c>
      <c r="O986" s="1" t="inlineStr"/>
      <c r="P986" s="1" t="inlineStr"/>
      <c r="Q986" s="1" t="inlineStr">
        <is>
          <t>Пользовательский интерфейс</t>
        </is>
      </c>
    </row>
    <row r="987">
      <c r="B987" s="1" t="inlineStr">
        <is>
          <t>42252402</t>
        </is>
      </c>
      <c r="C987" s="1" t="inlineStr">
        <is>
          <t>3404353</t>
        </is>
      </c>
      <c r="D987" t="inlineStr">
        <is>
          <t>работник 285</t>
        </is>
      </c>
      <c r="E987" s="1" t="inlineStr">
        <is>
          <t>ОБЩЕСТВО С ОГРАНИЧЕННОЙ ОТВЕТСТВЕННОСТЬЮ "АМУР ЗОЛОТО"</t>
        </is>
      </c>
      <c r="F987" s="1" t="inlineStr">
        <is>
          <t>2708001686</t>
        </is>
      </c>
      <c r="G987" s="1" t="inlineStr">
        <is>
          <t>Водитель погрузчика</t>
        </is>
      </c>
      <c r="H987" s="1" t="inlineStr">
        <is>
          <t>ООО "Амур Золото"</t>
        </is>
      </c>
      <c r="I987" s="1" t="inlineStr">
        <is>
          <t>2708001686</t>
        </is>
      </c>
      <c r="J987" s="1" t="inlineStr">
        <is>
          <t>ОТ № ЮГОК АТЦ 24-04</t>
        </is>
      </c>
      <c r="K98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987" s="1" t="inlineStr">
        <is>
          <t>23.02.2024</t>
        </is>
      </c>
      <c r="M987" s="1" t="inlineStr">
        <is>
          <t>Успешно</t>
        </is>
      </c>
      <c r="N987" s="1" t="inlineStr">
        <is>
          <t>29.02.2024</t>
        </is>
      </c>
      <c r="O987" s="1" t="inlineStr"/>
      <c r="P987" s="1" t="inlineStr"/>
      <c r="Q987" s="1" t="inlineStr">
        <is>
          <t>Пользовательский интерфейс</t>
        </is>
      </c>
    </row>
    <row r="988">
      <c r="B988" s="1" t="inlineStr">
        <is>
          <t>42252403</t>
        </is>
      </c>
      <c r="C988" s="1" t="inlineStr">
        <is>
          <t>3404353</t>
        </is>
      </c>
      <c r="D988" t="inlineStr">
        <is>
          <t>работник 85</t>
        </is>
      </c>
      <c r="E988" s="1" t="inlineStr">
        <is>
          <t>ОБЩЕСТВО С ОГРАНИЧЕННОЙ ОТВЕТСТВЕННОСТЬЮ "АМУР ЗОЛОТО"</t>
        </is>
      </c>
      <c r="F988" s="1" t="inlineStr">
        <is>
          <t>2708001686</t>
        </is>
      </c>
      <c r="G988" s="1" t="inlineStr">
        <is>
          <t>Водитель автомобиля (категория С)</t>
        </is>
      </c>
      <c r="H988" s="1" t="inlineStr">
        <is>
          <t>ООО "Амур Золото"</t>
        </is>
      </c>
      <c r="I988" s="1" t="inlineStr">
        <is>
          <t>2708001686</t>
        </is>
      </c>
      <c r="J988" s="1" t="inlineStr">
        <is>
          <t>ОТ № ЮГОК АТЦ 24-04</t>
        </is>
      </c>
      <c r="K988" s="1" t="inlineStr">
        <is>
          <t>Оказание первой помощи пострадавшим</t>
        </is>
      </c>
      <c r="L988" s="1" t="inlineStr">
        <is>
          <t>23.02.2024</t>
        </is>
      </c>
      <c r="M988" s="1" t="inlineStr">
        <is>
          <t>Успешно</t>
        </is>
      </c>
      <c r="N988" s="1" t="inlineStr">
        <is>
          <t>29.02.2024</t>
        </is>
      </c>
      <c r="O988" s="1" t="inlineStr"/>
      <c r="P988" s="1" t="inlineStr"/>
      <c r="Q988" s="1" t="inlineStr">
        <is>
          <t>Пользовательский интерфейс</t>
        </is>
      </c>
    </row>
    <row r="989">
      <c r="B989" s="1" t="inlineStr">
        <is>
          <t>42252404</t>
        </is>
      </c>
      <c r="C989" s="1" t="inlineStr">
        <is>
          <t>3404353</t>
        </is>
      </c>
      <c r="D989" t="inlineStr">
        <is>
          <t>работник 85</t>
        </is>
      </c>
      <c r="E989" s="1" t="inlineStr">
        <is>
          <t>ОБЩЕСТВО С ОГРАНИЧЕННОЙ ОТВЕТСТВЕННОСТЬЮ "АМУР ЗОЛОТО"</t>
        </is>
      </c>
      <c r="F989" s="1" t="inlineStr">
        <is>
          <t>2708001686</t>
        </is>
      </c>
      <c r="G989" s="1" t="inlineStr">
        <is>
          <t>Водитель автомобиля (категория С)</t>
        </is>
      </c>
      <c r="H989" s="1" t="inlineStr">
        <is>
          <t>ООО "Амур Золото"</t>
        </is>
      </c>
      <c r="I989" s="1" t="inlineStr">
        <is>
          <t>2708001686</t>
        </is>
      </c>
      <c r="J989" s="1" t="inlineStr">
        <is>
          <t>ОТ № ЮГОК АТЦ 24-04</t>
        </is>
      </c>
      <c r="K989" s="1" t="inlineStr">
        <is>
          <t>Использование (применение) средств индивидуальной защиты</t>
        </is>
      </c>
      <c r="L989" s="1" t="inlineStr">
        <is>
          <t>23.02.2024</t>
        </is>
      </c>
      <c r="M989" s="1" t="inlineStr">
        <is>
          <t>Успешно</t>
        </is>
      </c>
      <c r="N989" s="1" t="inlineStr">
        <is>
          <t>29.02.2024</t>
        </is>
      </c>
      <c r="O989" s="1" t="inlineStr"/>
      <c r="P989" s="1" t="inlineStr"/>
      <c r="Q989" s="1" t="inlineStr">
        <is>
          <t>Пользовательский интерфейс</t>
        </is>
      </c>
    </row>
    <row r="990">
      <c r="B990" s="1" t="inlineStr">
        <is>
          <t>42252405</t>
        </is>
      </c>
      <c r="C990" s="1" t="inlineStr">
        <is>
          <t>3404353</t>
        </is>
      </c>
      <c r="D990" t="inlineStr">
        <is>
          <t>работник 85</t>
        </is>
      </c>
      <c r="E990" s="1" t="inlineStr">
        <is>
          <t>ОБЩЕСТВО С ОГРАНИЧЕННОЙ ОТВЕТСТВЕННОСТЬЮ "АМУР ЗОЛОТО"</t>
        </is>
      </c>
      <c r="F990" s="1" t="inlineStr">
        <is>
          <t>2708001686</t>
        </is>
      </c>
      <c r="G990" s="1" t="inlineStr">
        <is>
          <t>Водитель автомобиля (категория С)</t>
        </is>
      </c>
      <c r="H990" s="1" t="inlineStr">
        <is>
          <t>ООО "Амур Золото"</t>
        </is>
      </c>
      <c r="I990" s="1" t="inlineStr">
        <is>
          <t>2708001686</t>
        </is>
      </c>
      <c r="J990" s="1" t="inlineStr">
        <is>
          <t>ОТ № ЮГОК АТЦ 24-04</t>
        </is>
      </c>
      <c r="K99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990" s="1" t="inlineStr">
        <is>
          <t>23.02.2024</t>
        </is>
      </c>
      <c r="M990" s="1" t="inlineStr">
        <is>
          <t>Успешно</t>
        </is>
      </c>
      <c r="N990" s="1" t="inlineStr">
        <is>
          <t>29.02.2024</t>
        </is>
      </c>
      <c r="O990" s="1" t="inlineStr"/>
      <c r="P990" s="1" t="inlineStr"/>
      <c r="Q990" s="1" t="inlineStr">
        <is>
          <t>Пользовательский интерфейс</t>
        </is>
      </c>
    </row>
    <row r="991">
      <c r="B991" s="1" t="inlineStr">
        <is>
          <t>42252406</t>
        </is>
      </c>
      <c r="C991" s="1" t="inlineStr">
        <is>
          <t>3404353</t>
        </is>
      </c>
      <c r="D991" t="inlineStr">
        <is>
          <t>работник 193</t>
        </is>
      </c>
      <c r="E991" s="1" t="inlineStr">
        <is>
          <t>ОБЩЕСТВО С ОГРАНИЧЕННОЙ ОТВЕТСТВЕННОСТЬЮ "АМУР ЗОЛОТО"</t>
        </is>
      </c>
      <c r="F991" s="1" t="inlineStr">
        <is>
          <t>2708001686</t>
        </is>
      </c>
      <c r="G991" s="1" t="inlineStr">
        <is>
          <t>Водитель автомобиля (категория D)</t>
        </is>
      </c>
      <c r="H991" s="1" t="inlineStr">
        <is>
          <t>ООО "Амур Золото"</t>
        </is>
      </c>
      <c r="I991" s="1" t="inlineStr">
        <is>
          <t>2708001686</t>
        </is>
      </c>
      <c r="J991" s="1" t="inlineStr">
        <is>
          <t>ОТ № ЮГОК АТЦ 24-04</t>
        </is>
      </c>
      <c r="K991" s="1" t="inlineStr">
        <is>
          <t>Оказание первой помощи пострадавшим</t>
        </is>
      </c>
      <c r="L991" s="1" t="inlineStr">
        <is>
          <t>23.02.2024</t>
        </is>
      </c>
      <c r="M991" s="1" t="inlineStr">
        <is>
          <t>Успешно</t>
        </is>
      </c>
      <c r="N991" s="1" t="inlineStr">
        <is>
          <t>29.02.2024</t>
        </is>
      </c>
      <c r="O991" s="1" t="inlineStr"/>
      <c r="P991" s="1" t="inlineStr"/>
      <c r="Q991" s="1" t="inlineStr">
        <is>
          <t>Пользовательский интерфейс</t>
        </is>
      </c>
    </row>
    <row r="992">
      <c r="B992" s="1" t="inlineStr">
        <is>
          <t>42252407</t>
        </is>
      </c>
      <c r="C992" s="1" t="inlineStr">
        <is>
          <t>3404353</t>
        </is>
      </c>
      <c r="D992" t="inlineStr">
        <is>
          <t>работник 193</t>
        </is>
      </c>
      <c r="E992" s="1" t="inlineStr">
        <is>
          <t>ОБЩЕСТВО С ОГРАНИЧЕННОЙ ОТВЕТСТВЕННОСТЬЮ "АМУР ЗОЛОТО"</t>
        </is>
      </c>
      <c r="F992" s="1" t="inlineStr">
        <is>
          <t>2708001686</t>
        </is>
      </c>
      <c r="G992" s="1" t="inlineStr">
        <is>
          <t>Водитель автомобиля (категория D)</t>
        </is>
      </c>
      <c r="H992" s="1" t="inlineStr">
        <is>
          <t>ООО "Амур Золото"</t>
        </is>
      </c>
      <c r="I992" s="1" t="inlineStr">
        <is>
          <t>2708001686</t>
        </is>
      </c>
      <c r="J992" s="1" t="inlineStr">
        <is>
          <t>ОТ № ЮГОК АТЦ 24-04</t>
        </is>
      </c>
      <c r="K992" s="1" t="inlineStr">
        <is>
          <t>Использование (применение) средств индивидуальной защиты</t>
        </is>
      </c>
      <c r="L992" s="1" t="inlineStr">
        <is>
          <t>23.02.2024</t>
        </is>
      </c>
      <c r="M992" s="1" t="inlineStr">
        <is>
          <t>Успешно</t>
        </is>
      </c>
      <c r="N992" s="1" t="inlineStr">
        <is>
          <t>29.02.2024</t>
        </is>
      </c>
      <c r="O992" s="1" t="inlineStr"/>
      <c r="P992" s="1" t="inlineStr"/>
      <c r="Q992" s="1" t="inlineStr">
        <is>
          <t>Пользовательский интерфейс</t>
        </is>
      </c>
    </row>
    <row r="993">
      <c r="B993" s="1" t="inlineStr">
        <is>
          <t>42252408</t>
        </is>
      </c>
      <c r="C993" s="1" t="inlineStr">
        <is>
          <t>3404353</t>
        </is>
      </c>
      <c r="D993" t="inlineStr">
        <is>
          <t>работник 193</t>
        </is>
      </c>
      <c r="E993" s="1" t="inlineStr">
        <is>
          <t>ОБЩЕСТВО С ОГРАНИЧЕННОЙ ОТВЕТСТВЕННОСТЬЮ "АМУР ЗОЛОТО"</t>
        </is>
      </c>
      <c r="F993" s="1" t="inlineStr">
        <is>
          <t>2708001686</t>
        </is>
      </c>
      <c r="G993" s="1" t="inlineStr">
        <is>
          <t>Водитель автомобиля (категория D)</t>
        </is>
      </c>
      <c r="H993" s="1" t="inlineStr">
        <is>
          <t>ООО "Амур Золото"</t>
        </is>
      </c>
      <c r="I993" s="1" t="inlineStr">
        <is>
          <t>2708001686</t>
        </is>
      </c>
      <c r="J993" s="1" t="inlineStr">
        <is>
          <t>ОТ № ЮГОК АТЦ 24-04</t>
        </is>
      </c>
      <c r="K99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993" s="1" t="inlineStr">
        <is>
          <t>23.02.2024</t>
        </is>
      </c>
      <c r="M993" s="1" t="inlineStr">
        <is>
          <t>Успешно</t>
        </is>
      </c>
      <c r="N993" s="1" t="inlineStr">
        <is>
          <t>29.02.2024</t>
        </is>
      </c>
      <c r="O993" s="1" t="inlineStr"/>
      <c r="P993" s="1" t="inlineStr"/>
      <c r="Q993" s="1" t="inlineStr">
        <is>
          <t>Пользовательский интерфейс</t>
        </is>
      </c>
    </row>
    <row r="994">
      <c r="B994" s="1" t="inlineStr">
        <is>
          <t>42252409</t>
        </is>
      </c>
      <c r="C994" s="1" t="inlineStr">
        <is>
          <t>3404353</t>
        </is>
      </c>
      <c r="D994" t="inlineStr">
        <is>
          <t>работник 286</t>
        </is>
      </c>
      <c r="E994" s="1" t="inlineStr">
        <is>
          <t>ОБЩЕСТВО С ОГРАНИЧЕННОЙ ОТВЕТСТВЕННОСТЬЮ "АМУР ЗОЛОТО"</t>
        </is>
      </c>
      <c r="F994" s="1" t="inlineStr">
        <is>
          <t>2708001686</t>
        </is>
      </c>
      <c r="G994" s="1" t="inlineStr">
        <is>
          <t>Водитель автомобиля (занятый на транспортировании горной массы в технологическом процессе)</t>
        </is>
      </c>
      <c r="H994" s="1" t="inlineStr">
        <is>
          <t>ООО "Амур Золото"</t>
        </is>
      </c>
      <c r="I994" s="1" t="inlineStr">
        <is>
          <t>2708001686</t>
        </is>
      </c>
      <c r="J994" s="1" t="inlineStr">
        <is>
          <t>ОТ № ЮГОК АТЦ 24-04</t>
        </is>
      </c>
      <c r="K994" s="1" t="inlineStr">
        <is>
          <t>Оказание первой помощи пострадавшим</t>
        </is>
      </c>
      <c r="L994" s="1" t="inlineStr">
        <is>
          <t>23.02.2024</t>
        </is>
      </c>
      <c r="M994" s="1" t="inlineStr">
        <is>
          <t>Успешно</t>
        </is>
      </c>
      <c r="N994" s="1" t="inlineStr">
        <is>
          <t>29.02.2024</t>
        </is>
      </c>
      <c r="O994" s="1" t="inlineStr"/>
      <c r="P994" s="1" t="inlineStr"/>
      <c r="Q994" s="1" t="inlineStr">
        <is>
          <t>Пользовательский интерфейс</t>
        </is>
      </c>
    </row>
    <row r="995">
      <c r="B995" s="1" t="inlineStr">
        <is>
          <t>42252410</t>
        </is>
      </c>
      <c r="C995" s="1" t="inlineStr">
        <is>
          <t>3404353</t>
        </is>
      </c>
      <c r="D995" t="inlineStr">
        <is>
          <t>работник 286</t>
        </is>
      </c>
      <c r="E995" s="1" t="inlineStr">
        <is>
          <t>ОБЩЕСТВО С ОГРАНИЧЕННОЙ ОТВЕТСТВЕННОСТЬЮ "АМУР ЗОЛОТО"</t>
        </is>
      </c>
      <c r="F995" s="1" t="inlineStr">
        <is>
          <t>2708001686</t>
        </is>
      </c>
      <c r="G995" s="1" t="inlineStr">
        <is>
          <t>Водитель автомобиля (занятый на транспортировании горной массы в технологическом процессе)</t>
        </is>
      </c>
      <c r="H995" s="1" t="inlineStr">
        <is>
          <t>ООО "Амур Золото"</t>
        </is>
      </c>
      <c r="I995" s="1" t="inlineStr">
        <is>
          <t>2708001686</t>
        </is>
      </c>
      <c r="J995" s="1" t="inlineStr">
        <is>
          <t>ОТ № ЮГОК АТЦ 24-04</t>
        </is>
      </c>
      <c r="K995" s="1" t="inlineStr">
        <is>
          <t>Использование (применение) средств индивидуальной защиты</t>
        </is>
      </c>
      <c r="L995" s="1" t="inlineStr">
        <is>
          <t>23.02.2024</t>
        </is>
      </c>
      <c r="M995" s="1" t="inlineStr">
        <is>
          <t>Успешно</t>
        </is>
      </c>
      <c r="N995" s="1" t="inlineStr">
        <is>
          <t>29.02.2024</t>
        </is>
      </c>
      <c r="O995" s="1" t="inlineStr"/>
      <c r="P995" s="1" t="inlineStr"/>
      <c r="Q995" s="1" t="inlineStr">
        <is>
          <t>Пользовательский интерфейс</t>
        </is>
      </c>
    </row>
    <row r="996">
      <c r="B996" s="1" t="inlineStr">
        <is>
          <t>42252411</t>
        </is>
      </c>
      <c r="C996" s="1" t="inlineStr">
        <is>
          <t>3404353</t>
        </is>
      </c>
      <c r="D996" t="inlineStr">
        <is>
          <t>работник 286</t>
        </is>
      </c>
      <c r="E996" s="1" t="inlineStr">
        <is>
          <t>ОБЩЕСТВО С ОГРАНИЧЕННОЙ ОТВЕТСТВЕННОСТЬЮ "АМУР ЗОЛОТО"</t>
        </is>
      </c>
      <c r="F996" s="1" t="inlineStr">
        <is>
          <t>2708001686</t>
        </is>
      </c>
      <c r="G996" s="1" t="inlineStr">
        <is>
          <t>Водитель автомобиля (занятый на транспортировании горной массы в технологическом процессе)</t>
        </is>
      </c>
      <c r="H996" s="1" t="inlineStr">
        <is>
          <t>ООО "Амур Золото"</t>
        </is>
      </c>
      <c r="I996" s="1" t="inlineStr">
        <is>
          <t>2708001686</t>
        </is>
      </c>
      <c r="J996" s="1" t="inlineStr">
        <is>
          <t>ОТ № ЮГОК АТЦ 24-04</t>
        </is>
      </c>
      <c r="K99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996" s="1" t="inlineStr">
        <is>
          <t>23.02.2024</t>
        </is>
      </c>
      <c r="M996" s="1" t="inlineStr">
        <is>
          <t>Успешно</t>
        </is>
      </c>
      <c r="N996" s="1" t="inlineStr">
        <is>
          <t>29.02.2024</t>
        </is>
      </c>
      <c r="O996" s="1" t="inlineStr"/>
      <c r="P996" s="1" t="inlineStr"/>
      <c r="Q996" s="1" t="inlineStr">
        <is>
          <t>Пользовательский интерфейс</t>
        </is>
      </c>
    </row>
    <row r="997">
      <c r="B997" s="1" t="inlineStr">
        <is>
          <t>42252412</t>
        </is>
      </c>
      <c r="C997" s="1" t="inlineStr">
        <is>
          <t>3404353</t>
        </is>
      </c>
      <c r="D997" t="inlineStr">
        <is>
          <t>работник 287</t>
        </is>
      </c>
      <c r="E997" s="1" t="inlineStr">
        <is>
          <t>ОБЩЕСТВО С ОГРАНИЧЕННОЙ ОТВЕТСТВЕННОСТЬЮ "АМУР ЗОЛОТО"</t>
        </is>
      </c>
      <c r="F997" s="1" t="inlineStr">
        <is>
          <t>2708001686</t>
        </is>
      </c>
      <c r="G997" s="1" t="inlineStr">
        <is>
          <t>Машинист бульдозера</t>
        </is>
      </c>
      <c r="H997" s="1" t="inlineStr">
        <is>
          <t>ООО "Амур Золото"</t>
        </is>
      </c>
      <c r="I997" s="1" t="inlineStr">
        <is>
          <t>2708001686</t>
        </is>
      </c>
      <c r="J997" s="1" t="inlineStr">
        <is>
          <t>ОТ № ЮГОК АТЦ 24-04</t>
        </is>
      </c>
      <c r="K997" s="1" t="inlineStr">
        <is>
          <t>Оказание первой помощи пострадавшим</t>
        </is>
      </c>
      <c r="L997" s="1" t="inlineStr">
        <is>
          <t>23.02.2024</t>
        </is>
      </c>
      <c r="M997" s="1" t="inlineStr">
        <is>
          <t>Успешно</t>
        </is>
      </c>
      <c r="N997" s="1" t="inlineStr">
        <is>
          <t>29.02.2024</t>
        </is>
      </c>
      <c r="O997" s="1" t="inlineStr"/>
      <c r="P997" s="1" t="inlineStr"/>
      <c r="Q997" s="1" t="inlineStr">
        <is>
          <t>Пользовательский интерфейс</t>
        </is>
      </c>
    </row>
    <row r="998">
      <c r="B998" s="1" t="inlineStr">
        <is>
          <t>42252413</t>
        </is>
      </c>
      <c r="C998" s="1" t="inlineStr">
        <is>
          <t>3404353</t>
        </is>
      </c>
      <c r="D998" t="inlineStr">
        <is>
          <t>работник 287</t>
        </is>
      </c>
      <c r="E998" s="1" t="inlineStr">
        <is>
          <t>ОБЩЕСТВО С ОГРАНИЧЕННОЙ ОТВЕТСТВЕННОСТЬЮ "АМУР ЗОЛОТО"</t>
        </is>
      </c>
      <c r="F998" s="1" t="inlineStr">
        <is>
          <t>2708001686</t>
        </is>
      </c>
      <c r="G998" s="1" t="inlineStr">
        <is>
          <t>Машинист бульдозера</t>
        </is>
      </c>
      <c r="H998" s="1" t="inlineStr">
        <is>
          <t>ООО "Амур Золото"</t>
        </is>
      </c>
      <c r="I998" s="1" t="inlineStr">
        <is>
          <t>2708001686</t>
        </is>
      </c>
      <c r="J998" s="1" t="inlineStr">
        <is>
          <t>ОТ № ЮГОК АТЦ 24-04</t>
        </is>
      </c>
      <c r="K998" s="1" t="inlineStr">
        <is>
          <t>Использование (применение) средств индивидуальной защиты</t>
        </is>
      </c>
      <c r="L998" s="1" t="inlineStr">
        <is>
          <t>23.02.2024</t>
        </is>
      </c>
      <c r="M998" s="1" t="inlineStr">
        <is>
          <t>Успешно</t>
        </is>
      </c>
      <c r="N998" s="1" t="inlineStr">
        <is>
          <t>29.02.2024</t>
        </is>
      </c>
      <c r="O998" s="1" t="inlineStr"/>
      <c r="P998" s="1" t="inlineStr"/>
      <c r="Q998" s="1" t="inlineStr">
        <is>
          <t>Пользовательский интерфейс</t>
        </is>
      </c>
    </row>
    <row r="999">
      <c r="B999" s="1" t="inlineStr">
        <is>
          <t>42252414</t>
        </is>
      </c>
      <c r="C999" s="1" t="inlineStr">
        <is>
          <t>3404353</t>
        </is>
      </c>
      <c r="D999" t="inlineStr">
        <is>
          <t>работник 287</t>
        </is>
      </c>
      <c r="E999" s="1" t="inlineStr">
        <is>
          <t>ОБЩЕСТВО С ОГРАНИЧЕННОЙ ОТВЕТСТВЕННОСТЬЮ "АМУР ЗОЛОТО"</t>
        </is>
      </c>
      <c r="F999" s="1" t="inlineStr">
        <is>
          <t>2708001686</t>
        </is>
      </c>
      <c r="G999" s="1" t="inlineStr">
        <is>
          <t>Машинист бульдозера</t>
        </is>
      </c>
      <c r="H999" s="1" t="inlineStr">
        <is>
          <t>ООО "Амур Золото"</t>
        </is>
      </c>
      <c r="I999" s="1" t="inlineStr">
        <is>
          <t>2708001686</t>
        </is>
      </c>
      <c r="J999" s="1" t="inlineStr">
        <is>
          <t>ОТ № ЮГОК АТЦ 24-04</t>
        </is>
      </c>
      <c r="K99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999" s="1" t="inlineStr">
        <is>
          <t>23.02.2024</t>
        </is>
      </c>
      <c r="M999" s="1" t="inlineStr">
        <is>
          <t>Успешно</t>
        </is>
      </c>
      <c r="N999" s="1" t="inlineStr">
        <is>
          <t>29.02.2024</t>
        </is>
      </c>
      <c r="O999" s="1" t="inlineStr"/>
      <c r="P999" s="1" t="inlineStr"/>
      <c r="Q999" s="1" t="inlineStr">
        <is>
          <t>Пользовательский интерфейс</t>
        </is>
      </c>
    </row>
    <row r="1000">
      <c r="B1000" s="1" t="inlineStr">
        <is>
          <t>42252415</t>
        </is>
      </c>
      <c r="C1000" s="1" t="inlineStr">
        <is>
          <t>3404353</t>
        </is>
      </c>
      <c r="D1000" t="inlineStr">
        <is>
          <t>работник 288</t>
        </is>
      </c>
      <c r="E1000" s="1" t="inlineStr">
        <is>
          <t>ОБЩЕСТВО С ОГРАНИЧЕННОЙ ОТВЕТСТВЕННОСТЬЮ "АМУР ЗОЛОТО"</t>
        </is>
      </c>
      <c r="F1000" s="1" t="inlineStr">
        <is>
          <t>2708001686</t>
        </is>
      </c>
      <c r="G1000" s="1" t="inlineStr">
        <is>
          <t>Водитель автомобиля (занятый на транспортировании горной массы в технологическом процессе)</t>
        </is>
      </c>
      <c r="H1000" s="1" t="inlineStr">
        <is>
          <t>ООО "Амур Золото"</t>
        </is>
      </c>
      <c r="I1000" s="1" t="inlineStr">
        <is>
          <t>2708001686</t>
        </is>
      </c>
      <c r="J1000" s="1" t="inlineStr">
        <is>
          <t>ОТ № ЮГОК АТЦ 24-04</t>
        </is>
      </c>
      <c r="K1000" s="1" t="inlineStr">
        <is>
          <t>Оказание первой помощи пострадавшим</t>
        </is>
      </c>
      <c r="L1000" s="1" t="inlineStr">
        <is>
          <t>23.02.2024</t>
        </is>
      </c>
      <c r="M1000" s="1" t="inlineStr">
        <is>
          <t>Успешно</t>
        </is>
      </c>
      <c r="N1000" s="1" t="inlineStr">
        <is>
          <t>29.02.2024</t>
        </is>
      </c>
      <c r="O1000" s="1" t="inlineStr"/>
      <c r="P1000" s="1" t="inlineStr"/>
      <c r="Q1000" s="1" t="inlineStr">
        <is>
          <t>Пользовательский интерфейс</t>
        </is>
      </c>
    </row>
    <row r="1001">
      <c r="B1001" s="1" t="inlineStr">
        <is>
          <t>42252416</t>
        </is>
      </c>
      <c r="C1001" s="1" t="inlineStr">
        <is>
          <t>3404353</t>
        </is>
      </c>
      <c r="D1001" t="inlineStr">
        <is>
          <t>работник 288</t>
        </is>
      </c>
      <c r="E1001" s="1" t="inlineStr">
        <is>
          <t>ОБЩЕСТВО С ОГРАНИЧЕННОЙ ОТВЕТСТВЕННОСТЬЮ "АМУР ЗОЛОТО"</t>
        </is>
      </c>
      <c r="F1001" s="1" t="inlineStr">
        <is>
          <t>2708001686</t>
        </is>
      </c>
      <c r="G1001" s="1" t="inlineStr">
        <is>
          <t>Водитель автомобиля (занятый на транспортировании горной массы в технологическом процессе)</t>
        </is>
      </c>
      <c r="H1001" s="1" t="inlineStr">
        <is>
          <t>ООО "Амур Золото"</t>
        </is>
      </c>
      <c r="I1001" s="1" t="inlineStr">
        <is>
          <t>2708001686</t>
        </is>
      </c>
      <c r="J1001" s="1" t="inlineStr">
        <is>
          <t>ОТ № ЮГОК АТЦ 24-04</t>
        </is>
      </c>
      <c r="K1001" s="1" t="inlineStr">
        <is>
          <t>Использование (применение) средств индивидуальной защиты</t>
        </is>
      </c>
      <c r="L1001" s="1" t="inlineStr">
        <is>
          <t>23.02.2024</t>
        </is>
      </c>
      <c r="M1001" s="1" t="inlineStr">
        <is>
          <t>Успешно</t>
        </is>
      </c>
      <c r="N1001" s="1" t="inlineStr">
        <is>
          <t>29.02.2024</t>
        </is>
      </c>
      <c r="O1001" s="1" t="inlineStr"/>
      <c r="P1001" s="1" t="inlineStr"/>
      <c r="Q1001" s="1" t="inlineStr">
        <is>
          <t>Пользовательский интерфейс</t>
        </is>
      </c>
    </row>
    <row r="1002">
      <c r="B1002" s="1" t="inlineStr">
        <is>
          <t>42252417</t>
        </is>
      </c>
      <c r="C1002" s="1" t="inlineStr">
        <is>
          <t>3404353</t>
        </is>
      </c>
      <c r="D1002" t="inlineStr">
        <is>
          <t>работник 288</t>
        </is>
      </c>
      <c r="E1002" s="1" t="inlineStr">
        <is>
          <t>ОБЩЕСТВО С ОГРАНИЧЕННОЙ ОТВЕТСТВЕННОСТЬЮ "АМУР ЗОЛОТО"</t>
        </is>
      </c>
      <c r="F1002" s="1" t="inlineStr">
        <is>
          <t>2708001686</t>
        </is>
      </c>
      <c r="G1002" s="1" t="inlineStr">
        <is>
          <t>Водитель автомобиля (занятый на транспортировании горной массы в технологическом процессе)</t>
        </is>
      </c>
      <c r="H1002" s="1" t="inlineStr">
        <is>
          <t>ООО "Амур Золото"</t>
        </is>
      </c>
      <c r="I1002" s="1" t="inlineStr">
        <is>
          <t>2708001686</t>
        </is>
      </c>
      <c r="J1002" s="1" t="inlineStr">
        <is>
          <t>ОТ № ЮГОК АТЦ 24-04</t>
        </is>
      </c>
      <c r="K100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002" s="1" t="inlineStr">
        <is>
          <t>23.02.2024</t>
        </is>
      </c>
      <c r="M1002" s="1" t="inlineStr">
        <is>
          <t>Успешно</t>
        </is>
      </c>
      <c r="N1002" s="1" t="inlineStr">
        <is>
          <t>29.02.2024</t>
        </is>
      </c>
      <c r="O1002" s="1" t="inlineStr"/>
      <c r="P1002" s="1" t="inlineStr"/>
      <c r="Q1002" s="1" t="inlineStr">
        <is>
          <t>Пользовательский интерфейс</t>
        </is>
      </c>
    </row>
    <row r="1003">
      <c r="B1003" s="1" t="inlineStr">
        <is>
          <t>42252418</t>
        </is>
      </c>
      <c r="C1003" s="1" t="inlineStr">
        <is>
          <t>3404353</t>
        </is>
      </c>
      <c r="D1003" t="inlineStr">
        <is>
          <t>работник 289</t>
        </is>
      </c>
      <c r="E1003" s="1" t="inlineStr">
        <is>
          <t>ОБЩЕСТВО С ОГРАНИЧЕННОЙ ОТВЕТСТВЕННОСТЬЮ "АМУР ЗОЛОТО"</t>
        </is>
      </c>
      <c r="F1003" s="1" t="inlineStr">
        <is>
          <t>2708001686</t>
        </is>
      </c>
      <c r="G1003" s="1" t="inlineStr">
        <is>
          <t>Водитель автомобиля (топливозаправщик)</t>
        </is>
      </c>
      <c r="H1003" s="1" t="inlineStr">
        <is>
          <t>ООО "Амур Золото"</t>
        </is>
      </c>
      <c r="I1003" s="1" t="inlineStr">
        <is>
          <t>2708001686</t>
        </is>
      </c>
      <c r="J1003" s="1" t="inlineStr">
        <is>
          <t>ОТ № ЮГОК АТЦ 24-04</t>
        </is>
      </c>
      <c r="K1003" s="1" t="inlineStr">
        <is>
          <t>Оказание первой помощи пострадавшим</t>
        </is>
      </c>
      <c r="L1003" s="1" t="inlineStr">
        <is>
          <t>23.02.2024</t>
        </is>
      </c>
      <c r="M1003" s="1" t="inlineStr">
        <is>
          <t>Успешно</t>
        </is>
      </c>
      <c r="N1003" s="1" t="inlineStr">
        <is>
          <t>29.02.2024</t>
        </is>
      </c>
      <c r="O1003" s="1" t="inlineStr"/>
      <c r="P1003" s="1" t="inlineStr"/>
      <c r="Q1003" s="1" t="inlineStr">
        <is>
          <t>Пользовательский интерфейс</t>
        </is>
      </c>
    </row>
    <row r="1004">
      <c r="B1004" s="1" t="inlineStr">
        <is>
          <t>42252419</t>
        </is>
      </c>
      <c r="C1004" s="1" t="inlineStr">
        <is>
          <t>3404353</t>
        </is>
      </c>
      <c r="D1004" t="inlineStr">
        <is>
          <t>работник 289</t>
        </is>
      </c>
      <c r="E1004" s="1" t="inlineStr">
        <is>
          <t>ОБЩЕСТВО С ОГРАНИЧЕННОЙ ОТВЕТСТВЕННОСТЬЮ "АМУР ЗОЛОТО"</t>
        </is>
      </c>
      <c r="F1004" s="1" t="inlineStr">
        <is>
          <t>2708001686</t>
        </is>
      </c>
      <c r="G1004" s="1" t="inlineStr">
        <is>
          <t>Водитель автомобиля (топливозаправщик)</t>
        </is>
      </c>
      <c r="H1004" s="1" t="inlineStr">
        <is>
          <t>ООО "Амур Золото"</t>
        </is>
      </c>
      <c r="I1004" s="1" t="inlineStr">
        <is>
          <t>2708001686</t>
        </is>
      </c>
      <c r="J1004" s="1" t="inlineStr">
        <is>
          <t>ОТ № ЮГОК АТЦ 24-04</t>
        </is>
      </c>
      <c r="K1004" s="1" t="inlineStr">
        <is>
          <t>Использование (применение) средств индивидуальной защиты</t>
        </is>
      </c>
      <c r="L1004" s="1" t="inlineStr">
        <is>
          <t>23.02.2024</t>
        </is>
      </c>
      <c r="M1004" s="1" t="inlineStr">
        <is>
          <t>Успешно</t>
        </is>
      </c>
      <c r="N1004" s="1" t="inlineStr">
        <is>
          <t>29.02.2024</t>
        </is>
      </c>
      <c r="O1004" s="1" t="inlineStr"/>
      <c r="P1004" s="1" t="inlineStr"/>
      <c r="Q1004" s="1" t="inlineStr">
        <is>
          <t>Пользовательский интерфейс</t>
        </is>
      </c>
    </row>
    <row r="1005">
      <c r="B1005" s="1" t="inlineStr">
        <is>
          <t>42252420</t>
        </is>
      </c>
      <c r="C1005" s="1" t="inlineStr">
        <is>
          <t>3404353</t>
        </is>
      </c>
      <c r="D1005" t="inlineStr">
        <is>
          <t>работник 289</t>
        </is>
      </c>
      <c r="E1005" s="1" t="inlineStr">
        <is>
          <t>ОБЩЕСТВО С ОГРАНИЧЕННОЙ ОТВЕТСТВЕННОСТЬЮ "АМУР ЗОЛОТО"</t>
        </is>
      </c>
      <c r="F1005" s="1" t="inlineStr">
        <is>
          <t>2708001686</t>
        </is>
      </c>
      <c r="G1005" s="1" t="inlineStr">
        <is>
          <t>Водитель автомобиля (топливозаправщик)</t>
        </is>
      </c>
      <c r="H1005" s="1" t="inlineStr">
        <is>
          <t>ООО "Амур Золото"</t>
        </is>
      </c>
      <c r="I1005" s="1" t="inlineStr">
        <is>
          <t>2708001686</t>
        </is>
      </c>
      <c r="J1005" s="1" t="inlineStr">
        <is>
          <t>ОТ № ЮГОК АТЦ 24-04</t>
        </is>
      </c>
      <c r="K100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005" s="1" t="inlineStr">
        <is>
          <t>23.02.2024</t>
        </is>
      </c>
      <c r="M1005" s="1" t="inlineStr">
        <is>
          <t>Успешно</t>
        </is>
      </c>
      <c r="N1005" s="1" t="inlineStr">
        <is>
          <t>29.02.2024</t>
        </is>
      </c>
      <c r="O1005" s="1" t="inlineStr"/>
      <c r="P1005" s="1" t="inlineStr"/>
      <c r="Q1005" s="1" t="inlineStr">
        <is>
          <t>Пользовательский интерфейс</t>
        </is>
      </c>
    </row>
    <row r="1006">
      <c r="B1006" s="1" t="inlineStr">
        <is>
          <t>42252421</t>
        </is>
      </c>
      <c r="C1006" s="1" t="inlineStr">
        <is>
          <t>3404353</t>
        </is>
      </c>
      <c r="D1006" t="inlineStr">
        <is>
          <t>работник 290</t>
        </is>
      </c>
      <c r="E1006" s="1" t="inlineStr">
        <is>
          <t>ОБЩЕСТВО С ОГРАНИЧЕННОЙ ОТВЕТСТВЕННОСТЬЮ "АМУР ЗОЛОТО"</t>
        </is>
      </c>
      <c r="F1006" s="1" t="inlineStr">
        <is>
          <t>2708001686</t>
        </is>
      </c>
      <c r="G1006" s="1" t="inlineStr">
        <is>
          <t>Водитель погрузчика</t>
        </is>
      </c>
      <c r="H1006" s="1" t="inlineStr">
        <is>
          <t>ООО "Амур Золото"</t>
        </is>
      </c>
      <c r="I1006" s="1" t="inlineStr">
        <is>
          <t>2708001686</t>
        </is>
      </c>
      <c r="J1006" s="1" t="inlineStr">
        <is>
          <t>ОТ № ЮГОК АТЦ 24-04</t>
        </is>
      </c>
      <c r="K1006" s="1" t="inlineStr">
        <is>
          <t>Оказание первой помощи пострадавшим</t>
        </is>
      </c>
      <c r="L1006" s="1" t="inlineStr">
        <is>
          <t>23.02.2024</t>
        </is>
      </c>
      <c r="M1006" s="1" t="inlineStr">
        <is>
          <t>Успешно</t>
        </is>
      </c>
      <c r="N1006" s="1" t="inlineStr">
        <is>
          <t>29.02.2024</t>
        </is>
      </c>
      <c r="O1006" s="1" t="inlineStr"/>
      <c r="P1006" s="1" t="inlineStr"/>
      <c r="Q1006" s="1" t="inlineStr">
        <is>
          <t>Пользовательский интерфейс</t>
        </is>
      </c>
    </row>
    <row r="1007">
      <c r="B1007" s="1" t="inlineStr">
        <is>
          <t>42252422</t>
        </is>
      </c>
      <c r="C1007" s="1" t="inlineStr">
        <is>
          <t>3404353</t>
        </is>
      </c>
      <c r="D1007" t="inlineStr">
        <is>
          <t>работник 290</t>
        </is>
      </c>
      <c r="E1007" s="1" t="inlineStr">
        <is>
          <t>ОБЩЕСТВО С ОГРАНИЧЕННОЙ ОТВЕТСТВЕННОСТЬЮ "АМУР ЗОЛОТО"</t>
        </is>
      </c>
      <c r="F1007" s="1" t="inlineStr">
        <is>
          <t>2708001686</t>
        </is>
      </c>
      <c r="G1007" s="1" t="inlineStr">
        <is>
          <t>Водитель погрузчика</t>
        </is>
      </c>
      <c r="H1007" s="1" t="inlineStr">
        <is>
          <t>ООО "Амур Золото"</t>
        </is>
      </c>
      <c r="I1007" s="1" t="inlineStr">
        <is>
          <t>2708001686</t>
        </is>
      </c>
      <c r="J1007" s="1" t="inlineStr">
        <is>
          <t>ОТ № ЮГОК АТЦ 24-04</t>
        </is>
      </c>
      <c r="K1007" s="1" t="inlineStr">
        <is>
          <t>Использование (применение) средств индивидуальной защиты</t>
        </is>
      </c>
      <c r="L1007" s="1" t="inlineStr">
        <is>
          <t>23.02.2024</t>
        </is>
      </c>
      <c r="M1007" s="1" t="inlineStr">
        <is>
          <t>Успешно</t>
        </is>
      </c>
      <c r="N1007" s="1" t="inlineStr">
        <is>
          <t>29.02.2024</t>
        </is>
      </c>
      <c r="O1007" s="1" t="inlineStr"/>
      <c r="P1007" s="1" t="inlineStr"/>
      <c r="Q1007" s="1" t="inlineStr">
        <is>
          <t>Пользовательский интерфейс</t>
        </is>
      </c>
    </row>
    <row r="1008">
      <c r="B1008" s="1" t="inlineStr">
        <is>
          <t>42252423</t>
        </is>
      </c>
      <c r="C1008" s="1" t="inlineStr">
        <is>
          <t>3404353</t>
        </is>
      </c>
      <c r="D1008" t="inlineStr">
        <is>
          <t>работник 290</t>
        </is>
      </c>
      <c r="E1008" s="1" t="inlineStr">
        <is>
          <t>ОБЩЕСТВО С ОГРАНИЧЕННОЙ ОТВЕТСТВЕННОСТЬЮ "АМУР ЗОЛОТО"</t>
        </is>
      </c>
      <c r="F1008" s="1" t="inlineStr">
        <is>
          <t>2708001686</t>
        </is>
      </c>
      <c r="G1008" s="1" t="inlineStr">
        <is>
          <t>Водитель погрузчика</t>
        </is>
      </c>
      <c r="H1008" s="1" t="inlineStr">
        <is>
          <t>ООО "Амур Золото"</t>
        </is>
      </c>
      <c r="I1008" s="1" t="inlineStr">
        <is>
          <t>2708001686</t>
        </is>
      </c>
      <c r="J1008" s="1" t="inlineStr">
        <is>
          <t>ОТ № ЮГОК АТЦ 24-04</t>
        </is>
      </c>
      <c r="K100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008" s="1" t="inlineStr">
        <is>
          <t>23.02.2024</t>
        </is>
      </c>
      <c r="M1008" s="1" t="inlineStr">
        <is>
          <t>Успешно</t>
        </is>
      </c>
      <c r="N1008" s="1" t="inlineStr">
        <is>
          <t>29.02.2024</t>
        </is>
      </c>
      <c r="O1008" s="1" t="inlineStr"/>
      <c r="P1008" s="1" t="inlineStr"/>
      <c r="Q1008" s="1" t="inlineStr">
        <is>
          <t>Пользовательский интерфейс</t>
        </is>
      </c>
    </row>
    <row r="1009">
      <c r="B1009" s="1" t="inlineStr">
        <is>
          <t>42252424</t>
        </is>
      </c>
      <c r="C1009" s="1" t="inlineStr">
        <is>
          <t>3404353</t>
        </is>
      </c>
      <c r="D1009" t="inlineStr">
        <is>
          <t>работник 291</t>
        </is>
      </c>
      <c r="E1009" s="1" t="inlineStr">
        <is>
          <t>ОБЩЕСТВО С ОГРАНИЧЕННОЙ ОТВЕТСТВЕННОСТЬЮ "АМУР ЗОЛОТО"</t>
        </is>
      </c>
      <c r="F1009" s="1" t="inlineStr">
        <is>
          <t>2708001686</t>
        </is>
      </c>
      <c r="G1009" s="1" t="inlineStr">
        <is>
          <t>Водитель автомобиля для перевозки взрывчатых материалов</t>
        </is>
      </c>
      <c r="H1009" s="1" t="inlineStr">
        <is>
          <t>ООО "Амур Золото"</t>
        </is>
      </c>
      <c r="I1009" s="1" t="inlineStr">
        <is>
          <t>2708001686</t>
        </is>
      </c>
      <c r="J1009" s="1" t="inlineStr">
        <is>
          <t>ОТ № ЮГОК АТЦ 24-04</t>
        </is>
      </c>
      <c r="K1009" s="1" t="inlineStr">
        <is>
          <t>Оказание первой помощи пострадавшим</t>
        </is>
      </c>
      <c r="L1009" s="1" t="inlineStr">
        <is>
          <t>23.02.2024</t>
        </is>
      </c>
      <c r="M1009" s="1" t="inlineStr">
        <is>
          <t>Успешно</t>
        </is>
      </c>
      <c r="N1009" s="1" t="inlineStr">
        <is>
          <t>29.02.2024</t>
        </is>
      </c>
      <c r="O1009" s="1" t="inlineStr"/>
      <c r="P1009" s="1" t="inlineStr"/>
      <c r="Q1009" s="1" t="inlineStr">
        <is>
          <t>Пользовательский интерфейс</t>
        </is>
      </c>
    </row>
    <row r="1010">
      <c r="B1010" s="1" t="inlineStr">
        <is>
          <t>42252425</t>
        </is>
      </c>
      <c r="C1010" s="1" t="inlineStr">
        <is>
          <t>3404353</t>
        </is>
      </c>
      <c r="D1010" t="inlineStr">
        <is>
          <t>работник 291</t>
        </is>
      </c>
      <c r="E1010" s="1" t="inlineStr">
        <is>
          <t>ОБЩЕСТВО С ОГРАНИЧЕННОЙ ОТВЕТСТВЕННОСТЬЮ "АМУР ЗОЛОТО"</t>
        </is>
      </c>
      <c r="F1010" s="1" t="inlineStr">
        <is>
          <t>2708001686</t>
        </is>
      </c>
      <c r="G1010" s="1" t="inlineStr">
        <is>
          <t>Водитель автомобиля для перевозки взрывчатых материалов</t>
        </is>
      </c>
      <c r="H1010" s="1" t="inlineStr">
        <is>
          <t>ООО "Амур Золото"</t>
        </is>
      </c>
      <c r="I1010" s="1" t="inlineStr">
        <is>
          <t>2708001686</t>
        </is>
      </c>
      <c r="J1010" s="1" t="inlineStr">
        <is>
          <t>ОТ № ЮГОК АТЦ 24-04</t>
        </is>
      </c>
      <c r="K1010" s="1" t="inlineStr">
        <is>
          <t>Использование (применение) средств индивидуальной защиты</t>
        </is>
      </c>
      <c r="L1010" s="1" t="inlineStr">
        <is>
          <t>23.02.2024</t>
        </is>
      </c>
      <c r="M1010" s="1" t="inlineStr">
        <is>
          <t>Успешно</t>
        </is>
      </c>
      <c r="N1010" s="1" t="inlineStr">
        <is>
          <t>29.02.2024</t>
        </is>
      </c>
      <c r="O1010" s="1" t="inlineStr"/>
      <c r="P1010" s="1" t="inlineStr"/>
      <c r="Q1010" s="1" t="inlineStr">
        <is>
          <t>Пользовательский интерфейс</t>
        </is>
      </c>
    </row>
    <row r="1011">
      <c r="B1011" s="1" t="inlineStr">
        <is>
          <t>42252426</t>
        </is>
      </c>
      <c r="C1011" s="1" t="inlineStr">
        <is>
          <t>3404353</t>
        </is>
      </c>
      <c r="D1011" t="inlineStr">
        <is>
          <t>работник 291</t>
        </is>
      </c>
      <c r="E1011" s="1" t="inlineStr">
        <is>
          <t>ОБЩЕСТВО С ОГРАНИЧЕННОЙ ОТВЕТСТВЕННОСТЬЮ "АМУР ЗОЛОТО"</t>
        </is>
      </c>
      <c r="F1011" s="1" t="inlineStr">
        <is>
          <t>2708001686</t>
        </is>
      </c>
      <c r="G1011" s="1" t="inlineStr">
        <is>
          <t>Водитель автомобиля для перевозки взрывчатых материалов</t>
        </is>
      </c>
      <c r="H1011" s="1" t="inlineStr">
        <is>
          <t>ООО "Амур Золото"</t>
        </is>
      </c>
      <c r="I1011" s="1" t="inlineStr">
        <is>
          <t>2708001686</t>
        </is>
      </c>
      <c r="J1011" s="1" t="inlineStr">
        <is>
          <t>ОТ № ЮГОК АТЦ 24-04</t>
        </is>
      </c>
      <c r="K101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011" s="1" t="inlineStr">
        <is>
          <t>23.02.2024</t>
        </is>
      </c>
      <c r="M1011" s="1" t="inlineStr">
        <is>
          <t>Успешно</t>
        </is>
      </c>
      <c r="N1011" s="1" t="inlineStr">
        <is>
          <t>29.02.2024</t>
        </is>
      </c>
      <c r="O1011" s="1" t="inlineStr"/>
      <c r="P1011" s="1" t="inlineStr"/>
      <c r="Q1011" s="1" t="inlineStr">
        <is>
          <t>Пользовательский интерфейс</t>
        </is>
      </c>
    </row>
    <row r="1012">
      <c r="B1012" s="1" t="inlineStr">
        <is>
          <t>42252427</t>
        </is>
      </c>
      <c r="C1012" s="1" t="inlineStr">
        <is>
          <t>3404353</t>
        </is>
      </c>
      <c r="D1012" t="inlineStr">
        <is>
          <t>работник 292</t>
        </is>
      </c>
      <c r="E1012" s="1" t="inlineStr">
        <is>
          <t>ОБЩЕСТВО С ОГРАНИЧЕННОЙ ОТВЕТСТВЕННОСТЬЮ "АМУР ЗОЛОТО"</t>
        </is>
      </c>
      <c r="F1012" s="1" t="inlineStr">
        <is>
          <t>2708001686</t>
        </is>
      </c>
      <c r="G1012" s="1" t="inlineStr">
        <is>
          <t>Водитель автомобиля (занятый на транспортировании горной массы в технологическом процессе)</t>
        </is>
      </c>
      <c r="H1012" s="1" t="inlineStr">
        <is>
          <t>ООО "Амур Золото"</t>
        </is>
      </c>
      <c r="I1012" s="1" t="inlineStr">
        <is>
          <t>2708001686</t>
        </is>
      </c>
      <c r="J1012" s="1" t="inlineStr">
        <is>
          <t>ОТ № ЮГОК АТЦ 24-04</t>
        </is>
      </c>
      <c r="K1012" s="1" t="inlineStr">
        <is>
          <t>Оказание первой помощи пострадавшим</t>
        </is>
      </c>
      <c r="L1012" s="1" t="inlineStr">
        <is>
          <t>23.02.2024</t>
        </is>
      </c>
      <c r="M1012" s="1" t="inlineStr">
        <is>
          <t>Успешно</t>
        </is>
      </c>
      <c r="N1012" s="1" t="inlineStr">
        <is>
          <t>29.02.2024</t>
        </is>
      </c>
      <c r="O1012" s="1" t="inlineStr"/>
      <c r="P1012" s="1" t="inlineStr"/>
      <c r="Q1012" s="1" t="inlineStr">
        <is>
          <t>Пользовательский интерфейс</t>
        </is>
      </c>
    </row>
    <row r="1013">
      <c r="B1013" s="1" t="inlineStr">
        <is>
          <t>42252428</t>
        </is>
      </c>
      <c r="C1013" s="1" t="inlineStr">
        <is>
          <t>3404353</t>
        </is>
      </c>
      <c r="D1013" t="inlineStr">
        <is>
          <t>работник 292</t>
        </is>
      </c>
      <c r="E1013" s="1" t="inlineStr">
        <is>
          <t>ОБЩЕСТВО С ОГРАНИЧЕННОЙ ОТВЕТСТВЕННОСТЬЮ "АМУР ЗОЛОТО"</t>
        </is>
      </c>
      <c r="F1013" s="1" t="inlineStr">
        <is>
          <t>2708001686</t>
        </is>
      </c>
      <c r="G1013" s="1" t="inlineStr">
        <is>
          <t>Водитель автомобиля (занятый на транспортировании горной массы в технологическом процессе)</t>
        </is>
      </c>
      <c r="H1013" s="1" t="inlineStr">
        <is>
          <t>ООО "Амур Золото"</t>
        </is>
      </c>
      <c r="I1013" s="1" t="inlineStr">
        <is>
          <t>2708001686</t>
        </is>
      </c>
      <c r="J1013" s="1" t="inlineStr">
        <is>
          <t>ОТ № ЮГОК АТЦ 24-04</t>
        </is>
      </c>
      <c r="K1013" s="1" t="inlineStr">
        <is>
          <t>Использование (применение) средств индивидуальной защиты</t>
        </is>
      </c>
      <c r="L1013" s="1" t="inlineStr">
        <is>
          <t>23.02.2024</t>
        </is>
      </c>
      <c r="M1013" s="1" t="inlineStr">
        <is>
          <t>Успешно</t>
        </is>
      </c>
      <c r="N1013" s="1" t="inlineStr">
        <is>
          <t>29.02.2024</t>
        </is>
      </c>
      <c r="O1013" s="1" t="inlineStr"/>
      <c r="P1013" s="1" t="inlineStr"/>
      <c r="Q1013" s="1" t="inlineStr">
        <is>
          <t>Пользовательский интерфейс</t>
        </is>
      </c>
    </row>
    <row r="1014">
      <c r="B1014" s="1" t="inlineStr">
        <is>
          <t>42252429</t>
        </is>
      </c>
      <c r="C1014" s="1" t="inlineStr">
        <is>
          <t>3404353</t>
        </is>
      </c>
      <c r="D1014" t="inlineStr">
        <is>
          <t>работник 292</t>
        </is>
      </c>
      <c r="E1014" s="1" t="inlineStr">
        <is>
          <t>ОБЩЕСТВО С ОГРАНИЧЕННОЙ ОТВЕТСТВЕННОСТЬЮ "АМУР ЗОЛОТО"</t>
        </is>
      </c>
      <c r="F1014" s="1" t="inlineStr">
        <is>
          <t>2708001686</t>
        </is>
      </c>
      <c r="G1014" s="1" t="inlineStr">
        <is>
          <t>Водитель автомобиля (занятый на транспортировании горной массы в технологическом процессе)</t>
        </is>
      </c>
      <c r="H1014" s="1" t="inlineStr">
        <is>
          <t>ООО "Амур Золото"</t>
        </is>
      </c>
      <c r="I1014" s="1" t="inlineStr">
        <is>
          <t>2708001686</t>
        </is>
      </c>
      <c r="J1014" s="1" t="inlineStr">
        <is>
          <t>ОТ № ЮГОК АТЦ 24-04</t>
        </is>
      </c>
      <c r="K101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014" s="1" t="inlineStr">
        <is>
          <t>23.02.2024</t>
        </is>
      </c>
      <c r="M1014" s="1" t="inlineStr">
        <is>
          <t>Успешно</t>
        </is>
      </c>
      <c r="N1014" s="1" t="inlineStr">
        <is>
          <t>29.02.2024</t>
        </is>
      </c>
      <c r="O1014" s="1" t="inlineStr"/>
      <c r="P1014" s="1" t="inlineStr"/>
      <c r="Q1014" s="1" t="inlineStr">
        <is>
          <t>Пользовательский интерфейс</t>
        </is>
      </c>
    </row>
    <row r="1015">
      <c r="B1015" s="1" t="inlineStr">
        <is>
          <t>42252430</t>
        </is>
      </c>
      <c r="C1015" s="1" t="inlineStr">
        <is>
          <t>3404353</t>
        </is>
      </c>
      <c r="D1015" t="inlineStr">
        <is>
          <t>работник 293</t>
        </is>
      </c>
      <c r="E1015" s="1" t="inlineStr">
        <is>
          <t>ОБЩЕСТВО С ОГРАНИЧЕННОЙ ОТВЕТСТВЕННОСТЬЮ "АМУР ЗОЛОТО"</t>
        </is>
      </c>
      <c r="F1015" s="1" t="inlineStr">
        <is>
          <t>2708001686</t>
        </is>
      </c>
      <c r="G1015" s="1" t="inlineStr">
        <is>
          <t>Водитель погрузчика</t>
        </is>
      </c>
      <c r="H1015" s="1" t="inlineStr">
        <is>
          <t>ООО "Амур Золото"</t>
        </is>
      </c>
      <c r="I1015" s="1" t="inlineStr">
        <is>
          <t>2708001686</t>
        </is>
      </c>
      <c r="J1015" s="1" t="inlineStr">
        <is>
          <t>ОТ № ЮГОК АТЦ 24-04</t>
        </is>
      </c>
      <c r="K1015" s="1" t="inlineStr">
        <is>
          <t>Оказание первой помощи пострадавшим</t>
        </is>
      </c>
      <c r="L1015" s="1" t="inlineStr">
        <is>
          <t>23.02.2024</t>
        </is>
      </c>
      <c r="M1015" s="1" t="inlineStr">
        <is>
          <t>Успешно</t>
        </is>
      </c>
      <c r="N1015" s="1" t="inlineStr">
        <is>
          <t>29.02.2024</t>
        </is>
      </c>
      <c r="O1015" s="1" t="inlineStr"/>
      <c r="P1015" s="1" t="inlineStr"/>
      <c r="Q1015" s="1" t="inlineStr">
        <is>
          <t>Пользовательский интерфейс</t>
        </is>
      </c>
    </row>
    <row r="1016">
      <c r="B1016" s="1" t="inlineStr">
        <is>
          <t>42252431</t>
        </is>
      </c>
      <c r="C1016" s="1" t="inlineStr">
        <is>
          <t>3404353</t>
        </is>
      </c>
      <c r="D1016" t="inlineStr">
        <is>
          <t>работник 293</t>
        </is>
      </c>
      <c r="E1016" s="1" t="inlineStr">
        <is>
          <t>ОБЩЕСТВО С ОГРАНИЧЕННОЙ ОТВЕТСТВЕННОСТЬЮ "АМУР ЗОЛОТО"</t>
        </is>
      </c>
      <c r="F1016" s="1" t="inlineStr">
        <is>
          <t>2708001686</t>
        </is>
      </c>
      <c r="G1016" s="1" t="inlineStr">
        <is>
          <t>Водитель погрузчика</t>
        </is>
      </c>
      <c r="H1016" s="1" t="inlineStr">
        <is>
          <t>ООО "Амур Золото"</t>
        </is>
      </c>
      <c r="I1016" s="1" t="inlineStr">
        <is>
          <t>2708001686</t>
        </is>
      </c>
      <c r="J1016" s="1" t="inlineStr">
        <is>
          <t>ОТ № ЮГОК АТЦ 24-04</t>
        </is>
      </c>
      <c r="K1016" s="1" t="inlineStr">
        <is>
          <t>Использование (применение) средств индивидуальной защиты</t>
        </is>
      </c>
      <c r="L1016" s="1" t="inlineStr">
        <is>
          <t>23.02.2024</t>
        </is>
      </c>
      <c r="M1016" s="1" t="inlineStr">
        <is>
          <t>Успешно</t>
        </is>
      </c>
      <c r="N1016" s="1" t="inlineStr">
        <is>
          <t>29.02.2024</t>
        </is>
      </c>
      <c r="O1016" s="1" t="inlineStr"/>
      <c r="P1016" s="1" t="inlineStr"/>
      <c r="Q1016" s="1" t="inlineStr">
        <is>
          <t>Пользовательский интерфейс</t>
        </is>
      </c>
    </row>
    <row r="1017">
      <c r="B1017" s="1" t="inlineStr">
        <is>
          <t>42252432</t>
        </is>
      </c>
      <c r="C1017" s="1" t="inlineStr">
        <is>
          <t>3404353</t>
        </is>
      </c>
      <c r="D1017" t="inlineStr">
        <is>
          <t>работник 293</t>
        </is>
      </c>
      <c r="E1017" s="1" t="inlineStr">
        <is>
          <t>ОБЩЕСТВО С ОГРАНИЧЕННОЙ ОТВЕТСТВЕННОСТЬЮ "АМУР ЗОЛОТО"</t>
        </is>
      </c>
      <c r="F1017" s="1" t="inlineStr">
        <is>
          <t>2708001686</t>
        </is>
      </c>
      <c r="G1017" s="1" t="inlineStr">
        <is>
          <t>Водитель погрузчика</t>
        </is>
      </c>
      <c r="H1017" s="1" t="inlineStr">
        <is>
          <t>ООО "Амур Золото"</t>
        </is>
      </c>
      <c r="I1017" s="1" t="inlineStr">
        <is>
          <t>2708001686</t>
        </is>
      </c>
      <c r="J1017" s="1" t="inlineStr">
        <is>
          <t>ОТ № ЮГОК АТЦ 24-04</t>
        </is>
      </c>
      <c r="K101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017" s="1" t="inlineStr">
        <is>
          <t>23.02.2024</t>
        </is>
      </c>
      <c r="M1017" s="1" t="inlineStr">
        <is>
          <t>Успешно</t>
        </is>
      </c>
      <c r="N1017" s="1" t="inlineStr">
        <is>
          <t>29.02.2024</t>
        </is>
      </c>
      <c r="O1017" s="1" t="inlineStr"/>
      <c r="P1017" s="1" t="inlineStr"/>
      <c r="Q1017" s="1" t="inlineStr">
        <is>
          <t>Пользовательский интерфейс</t>
        </is>
      </c>
    </row>
    <row r="1018">
      <c r="B1018" s="1" t="inlineStr">
        <is>
          <t>42252433</t>
        </is>
      </c>
      <c r="C1018" s="1" t="inlineStr">
        <is>
          <t>3404353</t>
        </is>
      </c>
      <c r="D1018" t="inlineStr">
        <is>
          <t>работник 20</t>
        </is>
      </c>
      <c r="E1018" s="1" t="inlineStr">
        <is>
          <t>ОБЩЕСТВО С ОГРАНИЧЕННОЙ ОТВЕТСТВЕННОСТЬЮ "АМУР ЗОЛОТО"</t>
        </is>
      </c>
      <c r="F1018" s="1" t="inlineStr">
        <is>
          <t>2708001686</t>
        </is>
      </c>
      <c r="G1018" s="1" t="inlineStr">
        <is>
          <t>Водитель погрузчика</t>
        </is>
      </c>
      <c r="H1018" s="1" t="inlineStr">
        <is>
          <t>ООО "Амур Золото"</t>
        </is>
      </c>
      <c r="I1018" s="1" t="inlineStr">
        <is>
          <t>2708001686</t>
        </is>
      </c>
      <c r="J1018" s="1" t="inlineStr">
        <is>
          <t>ОТ № ЮГОК АТЦ 24-04</t>
        </is>
      </c>
      <c r="K1018" s="1" t="inlineStr">
        <is>
          <t>Оказание первой помощи пострадавшим</t>
        </is>
      </c>
      <c r="L1018" s="1" t="inlineStr">
        <is>
          <t>23.02.2024</t>
        </is>
      </c>
      <c r="M1018" s="1" t="inlineStr">
        <is>
          <t>Успешно</t>
        </is>
      </c>
      <c r="N1018" s="1" t="inlineStr">
        <is>
          <t>29.02.2024</t>
        </is>
      </c>
      <c r="O1018" s="1" t="inlineStr"/>
      <c r="P1018" s="1" t="inlineStr"/>
      <c r="Q1018" s="1" t="inlineStr">
        <is>
          <t>Пользовательский интерфейс</t>
        </is>
      </c>
    </row>
    <row r="1019">
      <c r="B1019" s="1" t="inlineStr">
        <is>
          <t>42252434</t>
        </is>
      </c>
      <c r="C1019" s="1" t="inlineStr">
        <is>
          <t>3404353</t>
        </is>
      </c>
      <c r="D1019" t="inlineStr">
        <is>
          <t>работник 20</t>
        </is>
      </c>
      <c r="E1019" s="1" t="inlineStr">
        <is>
          <t>ОБЩЕСТВО С ОГРАНИЧЕННОЙ ОТВЕТСТВЕННОСТЬЮ "АМУР ЗОЛОТО"</t>
        </is>
      </c>
      <c r="F1019" s="1" t="inlineStr">
        <is>
          <t>2708001686</t>
        </is>
      </c>
      <c r="G1019" s="1" t="inlineStr">
        <is>
          <t>Водитель погрузчика</t>
        </is>
      </c>
      <c r="H1019" s="1" t="inlineStr">
        <is>
          <t>ООО "Амур Золото"</t>
        </is>
      </c>
      <c r="I1019" s="1" t="inlineStr">
        <is>
          <t>2708001686</t>
        </is>
      </c>
      <c r="J1019" s="1" t="inlineStr">
        <is>
          <t>ОТ № ЮГОК АТЦ 24-04</t>
        </is>
      </c>
      <c r="K1019" s="1" t="inlineStr">
        <is>
          <t>Использование (применение) средств индивидуальной защиты</t>
        </is>
      </c>
      <c r="L1019" s="1" t="inlineStr">
        <is>
          <t>23.02.2024</t>
        </is>
      </c>
      <c r="M1019" s="1" t="inlineStr">
        <is>
          <t>Успешно</t>
        </is>
      </c>
      <c r="N1019" s="1" t="inlineStr">
        <is>
          <t>29.02.2024</t>
        </is>
      </c>
      <c r="O1019" s="1" t="inlineStr"/>
      <c r="P1019" s="1" t="inlineStr"/>
      <c r="Q1019" s="1" t="inlineStr">
        <is>
          <t>Пользовательский интерфейс</t>
        </is>
      </c>
    </row>
    <row r="1020">
      <c r="B1020" s="1" t="inlineStr">
        <is>
          <t>42252435</t>
        </is>
      </c>
      <c r="C1020" s="1" t="inlineStr">
        <is>
          <t>3404353</t>
        </is>
      </c>
      <c r="D1020" t="inlineStr">
        <is>
          <t>работник 20</t>
        </is>
      </c>
      <c r="E1020" s="1" t="inlineStr">
        <is>
          <t>ОБЩЕСТВО С ОГРАНИЧЕННОЙ ОТВЕТСТВЕННОСТЬЮ "АМУР ЗОЛОТО"</t>
        </is>
      </c>
      <c r="F1020" s="1" t="inlineStr">
        <is>
          <t>2708001686</t>
        </is>
      </c>
      <c r="G1020" s="1" t="inlineStr">
        <is>
          <t>Водитель погрузчика</t>
        </is>
      </c>
      <c r="H1020" s="1" t="inlineStr">
        <is>
          <t>ООО "Амур Золото"</t>
        </is>
      </c>
      <c r="I1020" s="1" t="inlineStr">
        <is>
          <t>2708001686</t>
        </is>
      </c>
      <c r="J1020" s="1" t="inlineStr">
        <is>
          <t>ОТ № ЮГОК АТЦ 24-04</t>
        </is>
      </c>
      <c r="K102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020" s="1" t="inlineStr">
        <is>
          <t>23.02.2024</t>
        </is>
      </c>
      <c r="M1020" s="1" t="inlineStr">
        <is>
          <t>Успешно</t>
        </is>
      </c>
      <c r="N1020" s="1" t="inlineStr">
        <is>
          <t>29.02.2024</t>
        </is>
      </c>
      <c r="O1020" s="1" t="inlineStr"/>
      <c r="P1020" s="1" t="inlineStr"/>
      <c r="Q1020" s="1" t="inlineStr">
        <is>
          <t>Пользовательский интерфейс</t>
        </is>
      </c>
    </row>
    <row r="1021">
      <c r="B1021" s="1" t="inlineStr">
        <is>
          <t>42252436</t>
        </is>
      </c>
      <c r="C1021" s="1" t="inlineStr">
        <is>
          <t>3404353</t>
        </is>
      </c>
      <c r="D1021" t="inlineStr">
        <is>
          <t>работник 294</t>
        </is>
      </c>
      <c r="E1021" s="1" t="inlineStr">
        <is>
          <t>ОБЩЕСТВО С ОГРАНИЧЕННОЙ ОТВЕТСТВЕННОСТЬЮ "АМУР ЗОЛОТО"</t>
        </is>
      </c>
      <c r="F1021" s="1" t="inlineStr">
        <is>
          <t>2708001686</t>
        </is>
      </c>
      <c r="G1021" s="1" t="inlineStr">
        <is>
          <t>Машинист экскаватора</t>
        </is>
      </c>
      <c r="H1021" s="1" t="inlineStr">
        <is>
          <t>ООО "Амур Золото"</t>
        </is>
      </c>
      <c r="I1021" s="1" t="inlineStr">
        <is>
          <t>2708001686</t>
        </is>
      </c>
      <c r="J1021" s="1" t="inlineStr">
        <is>
          <t>ОТ № ЮГОК АТЦ 24-04</t>
        </is>
      </c>
      <c r="K1021" s="1" t="inlineStr">
        <is>
          <t>Оказание первой помощи пострадавшим</t>
        </is>
      </c>
      <c r="L1021" s="1" t="inlineStr">
        <is>
          <t>23.02.2024</t>
        </is>
      </c>
      <c r="M1021" s="1" t="inlineStr">
        <is>
          <t>Успешно</t>
        </is>
      </c>
      <c r="N1021" s="1" t="inlineStr">
        <is>
          <t>29.02.2024</t>
        </is>
      </c>
      <c r="O1021" s="1" t="inlineStr"/>
      <c r="P1021" s="1" t="inlineStr"/>
      <c r="Q1021" s="1" t="inlineStr">
        <is>
          <t>Пользовательский интерфейс</t>
        </is>
      </c>
    </row>
    <row r="1022">
      <c r="B1022" s="1" t="inlineStr">
        <is>
          <t>42252437</t>
        </is>
      </c>
      <c r="C1022" s="1" t="inlineStr">
        <is>
          <t>3404353</t>
        </is>
      </c>
      <c r="D1022" t="inlineStr">
        <is>
          <t>работник 294</t>
        </is>
      </c>
      <c r="E1022" s="1" t="inlineStr">
        <is>
          <t>ОБЩЕСТВО С ОГРАНИЧЕННОЙ ОТВЕТСТВЕННОСТЬЮ "АМУР ЗОЛОТО"</t>
        </is>
      </c>
      <c r="F1022" s="1" t="inlineStr">
        <is>
          <t>2708001686</t>
        </is>
      </c>
      <c r="G1022" s="1" t="inlineStr">
        <is>
          <t>Машинист экскаватора</t>
        </is>
      </c>
      <c r="H1022" s="1" t="inlineStr">
        <is>
          <t>ООО "Амур Золото"</t>
        </is>
      </c>
      <c r="I1022" s="1" t="inlineStr">
        <is>
          <t>2708001686</t>
        </is>
      </c>
      <c r="J1022" s="1" t="inlineStr">
        <is>
          <t>ОТ № ЮГОК АТЦ 24-04</t>
        </is>
      </c>
      <c r="K1022" s="1" t="inlineStr">
        <is>
          <t>Использование (применение) средств индивидуальной защиты</t>
        </is>
      </c>
      <c r="L1022" s="1" t="inlineStr">
        <is>
          <t>23.02.2024</t>
        </is>
      </c>
      <c r="M1022" s="1" t="inlineStr">
        <is>
          <t>Успешно</t>
        </is>
      </c>
      <c r="N1022" s="1" t="inlineStr">
        <is>
          <t>29.02.2024</t>
        </is>
      </c>
      <c r="O1022" s="1" t="inlineStr"/>
      <c r="P1022" s="1" t="inlineStr"/>
      <c r="Q1022" s="1" t="inlineStr">
        <is>
          <t>Пользовательский интерфейс</t>
        </is>
      </c>
    </row>
    <row r="1023">
      <c r="B1023" s="1" t="inlineStr">
        <is>
          <t>42252438</t>
        </is>
      </c>
      <c r="C1023" s="1" t="inlineStr">
        <is>
          <t>3404353</t>
        </is>
      </c>
      <c r="D1023" t="inlineStr">
        <is>
          <t>работник 294</t>
        </is>
      </c>
      <c r="E1023" s="1" t="inlineStr">
        <is>
          <t>ОБЩЕСТВО С ОГРАНИЧЕННОЙ ОТВЕТСТВЕННОСТЬЮ "АМУР ЗОЛОТО"</t>
        </is>
      </c>
      <c r="F1023" s="1" t="inlineStr">
        <is>
          <t>2708001686</t>
        </is>
      </c>
      <c r="G1023" s="1" t="inlineStr">
        <is>
          <t>Машинист экскаватора</t>
        </is>
      </c>
      <c r="H1023" s="1" t="inlineStr">
        <is>
          <t>ООО "Амур Золото"</t>
        </is>
      </c>
      <c r="I1023" s="1" t="inlineStr">
        <is>
          <t>2708001686</t>
        </is>
      </c>
      <c r="J1023" s="1" t="inlineStr">
        <is>
          <t>ОТ № ЮГОК АТЦ 24-04</t>
        </is>
      </c>
      <c r="K102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023" s="1" t="inlineStr">
        <is>
          <t>23.02.2024</t>
        </is>
      </c>
      <c r="M1023" s="1" t="inlineStr">
        <is>
          <t>Успешно</t>
        </is>
      </c>
      <c r="N1023" s="1" t="inlineStr">
        <is>
          <t>29.02.2024</t>
        </is>
      </c>
      <c r="O1023" s="1" t="inlineStr"/>
      <c r="P1023" s="1" t="inlineStr"/>
      <c r="Q1023" s="1" t="inlineStr">
        <is>
          <t>Пользовательский интерфейс</t>
        </is>
      </c>
    </row>
    <row r="1024">
      <c r="B1024" s="1" t="inlineStr">
        <is>
          <t>42252439</t>
        </is>
      </c>
      <c r="C1024" s="1" t="inlineStr">
        <is>
          <t>3404353</t>
        </is>
      </c>
      <c r="D1024" t="inlineStr">
        <is>
          <t>работник 295</t>
        </is>
      </c>
      <c r="E1024" s="1" t="inlineStr">
        <is>
          <t>ОБЩЕСТВО С ОГРАНИЧЕННОЙ ОТВЕТСТВЕННОСТЬЮ "АМУР ЗОЛОТО"</t>
        </is>
      </c>
      <c r="F1024" s="1" t="inlineStr">
        <is>
          <t>2708001686</t>
        </is>
      </c>
      <c r="G1024" s="1" t="inlineStr">
        <is>
          <t>Механик</t>
        </is>
      </c>
      <c r="H1024" s="1" t="inlineStr">
        <is>
          <t>ООО "Амур Золото"</t>
        </is>
      </c>
      <c r="I1024" s="1" t="inlineStr">
        <is>
          <t>2708001686</t>
        </is>
      </c>
      <c r="J1024" s="1" t="inlineStr">
        <is>
          <t>ОТ № ЮГОК АТЦ 24-04</t>
        </is>
      </c>
      <c r="K1024" s="1" t="inlineStr">
        <is>
          <t>Оказание первой помощи пострадавшим</t>
        </is>
      </c>
      <c r="L1024" s="1" t="inlineStr">
        <is>
          <t>23.02.2024</t>
        </is>
      </c>
      <c r="M1024" s="1" t="inlineStr">
        <is>
          <t>Успешно</t>
        </is>
      </c>
      <c r="N1024" s="1" t="inlineStr">
        <is>
          <t>29.02.2024</t>
        </is>
      </c>
      <c r="O1024" s="1" t="inlineStr"/>
      <c r="P1024" s="1" t="inlineStr"/>
      <c r="Q1024" s="1" t="inlineStr">
        <is>
          <t>Пользовательский интерфейс</t>
        </is>
      </c>
    </row>
    <row r="1025">
      <c r="B1025" s="1" t="inlineStr">
        <is>
          <t>42252440</t>
        </is>
      </c>
      <c r="C1025" s="1" t="inlineStr">
        <is>
          <t>3404353</t>
        </is>
      </c>
      <c r="D1025" t="inlineStr">
        <is>
          <t>работник 295</t>
        </is>
      </c>
      <c r="E1025" s="1" t="inlineStr">
        <is>
          <t>ОБЩЕСТВО С ОГРАНИЧЕННОЙ ОТВЕТСТВЕННОСТЬЮ "АМУР ЗОЛОТО"</t>
        </is>
      </c>
      <c r="F1025" s="1" t="inlineStr">
        <is>
          <t>2708001686</t>
        </is>
      </c>
      <c r="G1025" s="1" t="inlineStr">
        <is>
          <t>Механик</t>
        </is>
      </c>
      <c r="H1025" s="1" t="inlineStr">
        <is>
          <t>ООО "Амур Золото"</t>
        </is>
      </c>
      <c r="I1025" s="1" t="inlineStr">
        <is>
          <t>2708001686</t>
        </is>
      </c>
      <c r="J1025" s="1" t="inlineStr">
        <is>
          <t>ОТ № ЮГОК АТЦ 24-04</t>
        </is>
      </c>
      <c r="K1025" s="1" t="inlineStr">
        <is>
          <t>Использование (применение) средств индивидуальной защиты</t>
        </is>
      </c>
      <c r="L1025" s="1" t="inlineStr">
        <is>
          <t>23.02.2024</t>
        </is>
      </c>
      <c r="M1025" s="1" t="inlineStr">
        <is>
          <t>Успешно</t>
        </is>
      </c>
      <c r="N1025" s="1" t="inlineStr">
        <is>
          <t>29.02.2024</t>
        </is>
      </c>
      <c r="O1025" s="1" t="inlineStr"/>
      <c r="P1025" s="1" t="inlineStr"/>
      <c r="Q1025" s="1" t="inlineStr">
        <is>
          <t>Пользовательский интерфейс</t>
        </is>
      </c>
    </row>
    <row r="1026">
      <c r="B1026" s="1" t="inlineStr">
        <is>
          <t>42252441</t>
        </is>
      </c>
      <c r="C1026" s="1" t="inlineStr">
        <is>
          <t>3404353</t>
        </is>
      </c>
      <c r="D1026" t="inlineStr">
        <is>
          <t>работник 295</t>
        </is>
      </c>
      <c r="E1026" s="1" t="inlineStr">
        <is>
          <t>ОБЩЕСТВО С ОГРАНИЧЕННОЙ ОТВЕТСТВЕННОСТЬЮ "АМУР ЗОЛОТО"</t>
        </is>
      </c>
      <c r="F1026" s="1" t="inlineStr">
        <is>
          <t>2708001686</t>
        </is>
      </c>
      <c r="G1026" s="1" t="inlineStr">
        <is>
          <t>Механик</t>
        </is>
      </c>
      <c r="H1026" s="1" t="inlineStr">
        <is>
          <t>ООО "Амур Золото"</t>
        </is>
      </c>
      <c r="I1026" s="1" t="inlineStr">
        <is>
          <t>2708001686</t>
        </is>
      </c>
      <c r="J1026" s="1" t="inlineStr">
        <is>
          <t>ОТ № ЮГОК АТЦ 24-04</t>
        </is>
      </c>
      <c r="K102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026" s="1" t="inlineStr">
        <is>
          <t>23.02.2024</t>
        </is>
      </c>
      <c r="M1026" s="1" t="inlineStr">
        <is>
          <t>Успешно</t>
        </is>
      </c>
      <c r="N1026" s="1" t="inlineStr">
        <is>
          <t>29.02.2024</t>
        </is>
      </c>
      <c r="O1026" s="1" t="inlineStr"/>
      <c r="P1026" s="1" t="inlineStr"/>
      <c r="Q1026" s="1" t="inlineStr">
        <is>
          <t>Пользовательский интерфейс</t>
        </is>
      </c>
    </row>
    <row r="1027">
      <c r="B1027" s="1" t="inlineStr">
        <is>
          <t>42252442</t>
        </is>
      </c>
      <c r="C1027" s="1" t="inlineStr">
        <is>
          <t>3404353</t>
        </is>
      </c>
      <c r="D1027" t="inlineStr">
        <is>
          <t>работник 276</t>
        </is>
      </c>
      <c r="E1027" s="1" t="inlineStr">
        <is>
          <t>ОБЩЕСТВО С ОГРАНИЧЕННОЙ ОТВЕТСТВЕННОСТЬЮ "АМУР ЗОЛОТО"</t>
        </is>
      </c>
      <c r="F1027" s="1" t="inlineStr">
        <is>
          <t>2708001686</t>
        </is>
      </c>
      <c r="G1027" s="1" t="inlineStr">
        <is>
          <t>Машинист бульдозера</t>
        </is>
      </c>
      <c r="H1027" s="1" t="inlineStr">
        <is>
          <t>ООО "Амур Золото"</t>
        </is>
      </c>
      <c r="I1027" s="1" t="inlineStr">
        <is>
          <t>2708001686</t>
        </is>
      </c>
      <c r="J1027" s="1" t="inlineStr">
        <is>
          <t>ОТ № ЮГОК АТЦ 24-04</t>
        </is>
      </c>
      <c r="K102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027" s="1" t="inlineStr">
        <is>
          <t>23.02.2024</t>
        </is>
      </c>
      <c r="M1027" s="1" t="inlineStr">
        <is>
          <t>Успешно</t>
        </is>
      </c>
      <c r="N1027" s="1" t="inlineStr">
        <is>
          <t>29.02.2024</t>
        </is>
      </c>
      <c r="O1027" s="1" t="inlineStr"/>
      <c r="P1027" s="1" t="inlineStr"/>
      <c r="Q1027" s="1" t="inlineStr">
        <is>
          <t>Пользовательский интерфейс</t>
        </is>
      </c>
    </row>
    <row r="1028">
      <c r="B1028" s="1" t="inlineStr">
        <is>
          <t>42252443</t>
        </is>
      </c>
      <c r="C1028" s="1" t="inlineStr">
        <is>
          <t>3404353</t>
        </is>
      </c>
      <c r="D1028" t="inlineStr">
        <is>
          <t>работник 296</t>
        </is>
      </c>
      <c r="E1028" s="1" t="inlineStr">
        <is>
          <t>ОБЩЕСТВО С ОГРАНИЧЕННОЙ ОТВЕТСТВЕННОСТЬЮ "АМУР ЗОЛОТО"</t>
        </is>
      </c>
      <c r="F1028" s="1" t="inlineStr">
        <is>
          <t>2708001686</t>
        </is>
      </c>
      <c r="G1028" s="1" t="inlineStr">
        <is>
          <t>Водитель автомобиля (занятый на транспортировании горной массы в технологическом процессе)</t>
        </is>
      </c>
      <c r="H1028" s="1" t="inlineStr">
        <is>
          <t>ООО "Амур Золото"</t>
        </is>
      </c>
      <c r="I1028" s="1" t="inlineStr">
        <is>
          <t>2708001686</t>
        </is>
      </c>
      <c r="J1028" s="1" t="inlineStr">
        <is>
          <t>ОТ № ЮГОК АТЦ 24-04</t>
        </is>
      </c>
      <c r="K1028" s="1" t="inlineStr">
        <is>
          <t>Оказание первой помощи пострадавшим</t>
        </is>
      </c>
      <c r="L1028" s="1" t="inlineStr">
        <is>
          <t>23.02.2024</t>
        </is>
      </c>
      <c r="M1028" s="1" t="inlineStr">
        <is>
          <t>Успешно</t>
        </is>
      </c>
      <c r="N1028" s="1" t="inlineStr">
        <is>
          <t>29.02.2024</t>
        </is>
      </c>
      <c r="O1028" s="1" t="inlineStr"/>
      <c r="P1028" s="1" t="inlineStr"/>
      <c r="Q1028" s="1" t="inlineStr">
        <is>
          <t>Пользовательский интерфейс</t>
        </is>
      </c>
    </row>
    <row r="1029">
      <c r="B1029" s="1" t="inlineStr">
        <is>
          <t>42252444</t>
        </is>
      </c>
      <c r="C1029" s="1" t="inlineStr">
        <is>
          <t>3404353</t>
        </is>
      </c>
      <c r="D1029" t="inlineStr">
        <is>
          <t>работник 296</t>
        </is>
      </c>
      <c r="E1029" s="1" t="inlineStr">
        <is>
          <t>ОБЩЕСТВО С ОГРАНИЧЕННОЙ ОТВЕТСТВЕННОСТЬЮ "АМУР ЗОЛОТО"</t>
        </is>
      </c>
      <c r="F1029" s="1" t="inlineStr">
        <is>
          <t>2708001686</t>
        </is>
      </c>
      <c r="G1029" s="1" t="inlineStr">
        <is>
          <t>Водитель автомобиля (занятый на транспортировании горной массы в технологическом процессе)</t>
        </is>
      </c>
      <c r="H1029" s="1" t="inlineStr">
        <is>
          <t>ООО "Амур Золото"</t>
        </is>
      </c>
      <c r="I1029" s="1" t="inlineStr">
        <is>
          <t>2708001686</t>
        </is>
      </c>
      <c r="J1029" s="1" t="inlineStr">
        <is>
          <t>ОТ № ЮГОК АТЦ 24-04</t>
        </is>
      </c>
      <c r="K1029" s="1" t="inlineStr">
        <is>
          <t>Использование (применение) средств индивидуальной защиты</t>
        </is>
      </c>
      <c r="L1029" s="1" t="inlineStr">
        <is>
          <t>23.02.2024</t>
        </is>
      </c>
      <c r="M1029" s="1" t="inlineStr">
        <is>
          <t>Успешно</t>
        </is>
      </c>
      <c r="N1029" s="1" t="inlineStr">
        <is>
          <t>29.02.2024</t>
        </is>
      </c>
      <c r="O1029" s="1" t="inlineStr"/>
      <c r="P1029" s="1" t="inlineStr"/>
      <c r="Q1029" s="1" t="inlineStr">
        <is>
          <t>Пользовательский интерфейс</t>
        </is>
      </c>
    </row>
    <row r="1030">
      <c r="B1030" s="1" t="inlineStr">
        <is>
          <t>42252445</t>
        </is>
      </c>
      <c r="C1030" s="1" t="inlineStr">
        <is>
          <t>3404353</t>
        </is>
      </c>
      <c r="D1030" t="inlineStr">
        <is>
          <t>работник 296</t>
        </is>
      </c>
      <c r="E1030" s="1" t="inlineStr">
        <is>
          <t>ОБЩЕСТВО С ОГРАНИЧЕННОЙ ОТВЕТСТВЕННОСТЬЮ "АМУР ЗОЛОТО"</t>
        </is>
      </c>
      <c r="F1030" s="1" t="inlineStr">
        <is>
          <t>2708001686</t>
        </is>
      </c>
      <c r="G1030" s="1" t="inlineStr">
        <is>
          <t>Водитель автомобиля (занятый на транспортировании горной массы в технологическом процессе)</t>
        </is>
      </c>
      <c r="H1030" s="1" t="inlineStr">
        <is>
          <t>ООО "Амур Золото"</t>
        </is>
      </c>
      <c r="I1030" s="1" t="inlineStr">
        <is>
          <t>2708001686</t>
        </is>
      </c>
      <c r="J1030" s="1" t="inlineStr">
        <is>
          <t>ОТ № ЮГОК АТЦ 24-04</t>
        </is>
      </c>
      <c r="K103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030" s="1" t="inlineStr">
        <is>
          <t>23.02.2024</t>
        </is>
      </c>
      <c r="M1030" s="1" t="inlineStr">
        <is>
          <t>Успешно</t>
        </is>
      </c>
      <c r="N1030" s="1" t="inlineStr">
        <is>
          <t>29.02.2024</t>
        </is>
      </c>
      <c r="O1030" s="1" t="inlineStr"/>
      <c r="P1030" s="1" t="inlineStr"/>
      <c r="Q1030" s="1" t="inlineStr">
        <is>
          <t>Пользовательский интерфейс</t>
        </is>
      </c>
    </row>
    <row r="1031">
      <c r="B1031" s="1" t="inlineStr">
        <is>
          <t>42252446</t>
        </is>
      </c>
      <c r="C1031" s="1" t="inlineStr">
        <is>
          <t>3404353</t>
        </is>
      </c>
      <c r="D1031" t="inlineStr">
        <is>
          <t>работник 297</t>
        </is>
      </c>
      <c r="E1031" s="1" t="inlineStr">
        <is>
          <t>ОБЩЕСТВО С ОГРАНИЧЕННОЙ ОТВЕТСТВЕННОСТЬЮ "АМУР ЗОЛОТО"</t>
        </is>
      </c>
      <c r="F1031" s="1" t="inlineStr">
        <is>
          <t>2708001686</t>
        </is>
      </c>
      <c r="G1031" s="1" t="inlineStr">
        <is>
          <t>Машинист крана автомобильного</t>
        </is>
      </c>
      <c r="H1031" s="1" t="inlineStr">
        <is>
          <t>ООО "Амур Золото"</t>
        </is>
      </c>
      <c r="I1031" s="1" t="inlineStr">
        <is>
          <t>2708001686</t>
        </is>
      </c>
      <c r="J1031" s="1" t="inlineStr">
        <is>
          <t>ОТ № ЮГОК АТЦ 24-04</t>
        </is>
      </c>
      <c r="K1031" s="1" t="inlineStr">
        <is>
          <t>Оказание первой помощи пострадавшим</t>
        </is>
      </c>
      <c r="L1031" s="1" t="inlineStr">
        <is>
          <t>23.02.2024</t>
        </is>
      </c>
      <c r="M1031" s="1" t="inlineStr">
        <is>
          <t>Успешно</t>
        </is>
      </c>
      <c r="N1031" s="1" t="inlineStr">
        <is>
          <t>29.02.2024</t>
        </is>
      </c>
      <c r="O1031" s="1" t="inlineStr"/>
      <c r="P1031" s="1" t="inlineStr"/>
      <c r="Q1031" s="1" t="inlineStr">
        <is>
          <t>Пользовательский интерфейс</t>
        </is>
      </c>
    </row>
    <row r="1032">
      <c r="B1032" s="1" t="inlineStr">
        <is>
          <t>42252447</t>
        </is>
      </c>
      <c r="C1032" s="1" t="inlineStr">
        <is>
          <t>3404353</t>
        </is>
      </c>
      <c r="D1032" t="inlineStr">
        <is>
          <t>работник 297</t>
        </is>
      </c>
      <c r="E1032" s="1" t="inlineStr">
        <is>
          <t>ОБЩЕСТВО С ОГРАНИЧЕННОЙ ОТВЕТСТВЕННОСТЬЮ "АМУР ЗОЛОТО"</t>
        </is>
      </c>
      <c r="F1032" s="1" t="inlineStr">
        <is>
          <t>2708001686</t>
        </is>
      </c>
      <c r="G1032" s="1" t="inlineStr">
        <is>
          <t>Машинист крана автомобильного</t>
        </is>
      </c>
      <c r="H1032" s="1" t="inlineStr">
        <is>
          <t>ООО "Амур Золото"</t>
        </is>
      </c>
      <c r="I1032" s="1" t="inlineStr">
        <is>
          <t>2708001686</t>
        </is>
      </c>
      <c r="J1032" s="1" t="inlineStr">
        <is>
          <t>ОТ № ЮГОК АТЦ 24-04</t>
        </is>
      </c>
      <c r="K1032" s="1" t="inlineStr">
        <is>
          <t>Использование (применение) средств индивидуальной защиты</t>
        </is>
      </c>
      <c r="L1032" s="1" t="inlineStr">
        <is>
          <t>23.02.2024</t>
        </is>
      </c>
      <c r="M1032" s="1" t="inlineStr">
        <is>
          <t>Успешно</t>
        </is>
      </c>
      <c r="N1032" s="1" t="inlineStr">
        <is>
          <t>29.02.2024</t>
        </is>
      </c>
      <c r="O1032" s="1" t="inlineStr"/>
      <c r="P1032" s="1" t="inlineStr"/>
      <c r="Q1032" s="1" t="inlineStr">
        <is>
          <t>Пользовательский интерфейс</t>
        </is>
      </c>
    </row>
    <row r="1033">
      <c r="B1033" s="1" t="inlineStr">
        <is>
          <t>42252448</t>
        </is>
      </c>
      <c r="C1033" s="1" t="inlineStr">
        <is>
          <t>3404353</t>
        </is>
      </c>
      <c r="D1033" t="inlineStr">
        <is>
          <t>работник 297</t>
        </is>
      </c>
      <c r="E1033" s="1" t="inlineStr">
        <is>
          <t>ОБЩЕСТВО С ОГРАНИЧЕННОЙ ОТВЕТСТВЕННОСТЬЮ "АМУР ЗОЛОТО"</t>
        </is>
      </c>
      <c r="F1033" s="1" t="inlineStr">
        <is>
          <t>2708001686</t>
        </is>
      </c>
      <c r="G1033" s="1" t="inlineStr">
        <is>
          <t>Машинист крана автомобильного</t>
        </is>
      </c>
      <c r="H1033" s="1" t="inlineStr">
        <is>
          <t>ООО "Амур Золото"</t>
        </is>
      </c>
      <c r="I1033" s="1" t="inlineStr">
        <is>
          <t>2708001686</t>
        </is>
      </c>
      <c r="J1033" s="1" t="inlineStr">
        <is>
          <t>ОТ № ЮГОК АТЦ 24-04</t>
        </is>
      </c>
      <c r="K103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033" s="1" t="inlineStr">
        <is>
          <t>23.02.2024</t>
        </is>
      </c>
      <c r="M1033" s="1" t="inlineStr">
        <is>
          <t>Успешно</t>
        </is>
      </c>
      <c r="N1033" s="1" t="inlineStr">
        <is>
          <t>29.02.2024</t>
        </is>
      </c>
      <c r="O1033" s="1" t="inlineStr"/>
      <c r="P1033" s="1" t="inlineStr"/>
      <c r="Q1033" s="1" t="inlineStr">
        <is>
          <t>Пользовательский интерфейс</t>
        </is>
      </c>
    </row>
    <row r="1034">
      <c r="B1034" s="1" t="inlineStr">
        <is>
          <t>42252449</t>
        </is>
      </c>
      <c r="C1034" s="1" t="inlineStr">
        <is>
          <t>3404353</t>
        </is>
      </c>
      <c r="D1034" t="inlineStr">
        <is>
          <t>работник 298</t>
        </is>
      </c>
      <c r="E1034" s="1" t="inlineStr">
        <is>
          <t>ОБЩЕСТВО С ОГРАНИЧЕННОЙ ОТВЕТСТВЕННОСТЬЮ "АМУР ЗОЛОТО"</t>
        </is>
      </c>
      <c r="F1034" s="1" t="inlineStr">
        <is>
          <t>2708001686</t>
        </is>
      </c>
      <c r="G1034" s="1" t="inlineStr">
        <is>
          <t>Водитель автомобиля (занятый на транспортировании горной массы в технологическом процессе)</t>
        </is>
      </c>
      <c r="H1034" s="1" t="inlineStr">
        <is>
          <t>ООО "Амур Золото"</t>
        </is>
      </c>
      <c r="I1034" s="1" t="inlineStr">
        <is>
          <t>2708001686</t>
        </is>
      </c>
      <c r="J1034" s="1" t="inlineStr">
        <is>
          <t>ОТ № ЮГОК АТЦ 24-04</t>
        </is>
      </c>
      <c r="K1034" s="1" t="inlineStr">
        <is>
          <t>Оказание первой помощи пострадавшим</t>
        </is>
      </c>
      <c r="L1034" s="1" t="inlineStr">
        <is>
          <t>23.02.2024</t>
        </is>
      </c>
      <c r="M1034" s="1" t="inlineStr">
        <is>
          <t>Успешно</t>
        </is>
      </c>
      <c r="N1034" s="1" t="inlineStr">
        <is>
          <t>29.02.2024</t>
        </is>
      </c>
      <c r="O1034" s="1" t="inlineStr"/>
      <c r="P1034" s="1" t="inlineStr"/>
      <c r="Q1034" s="1" t="inlineStr">
        <is>
          <t>Пользовательский интерфейс</t>
        </is>
      </c>
    </row>
    <row r="1035">
      <c r="B1035" s="1" t="inlineStr">
        <is>
          <t>42252450</t>
        </is>
      </c>
      <c r="C1035" s="1" t="inlineStr">
        <is>
          <t>3404353</t>
        </is>
      </c>
      <c r="D1035" t="inlineStr">
        <is>
          <t>работник 298</t>
        </is>
      </c>
      <c r="E1035" s="1" t="inlineStr">
        <is>
          <t>ОБЩЕСТВО С ОГРАНИЧЕННОЙ ОТВЕТСТВЕННОСТЬЮ "АМУР ЗОЛОТО"</t>
        </is>
      </c>
      <c r="F1035" s="1" t="inlineStr">
        <is>
          <t>2708001686</t>
        </is>
      </c>
      <c r="G1035" s="1" t="inlineStr">
        <is>
          <t>Водитель автомобиля (занятый на транспортировании горной массы в технологическом процессе)</t>
        </is>
      </c>
      <c r="H1035" s="1" t="inlineStr">
        <is>
          <t>ООО "Амур Золото"</t>
        </is>
      </c>
      <c r="I1035" s="1" t="inlineStr">
        <is>
          <t>2708001686</t>
        </is>
      </c>
      <c r="J1035" s="1" t="inlineStr">
        <is>
          <t>ОТ № ЮГОК АТЦ 24-04</t>
        </is>
      </c>
      <c r="K1035" s="1" t="inlineStr">
        <is>
          <t>Использование (применение) средств индивидуальной защиты</t>
        </is>
      </c>
      <c r="L1035" s="1" t="inlineStr">
        <is>
          <t>23.02.2024</t>
        </is>
      </c>
      <c r="M1035" s="1" t="inlineStr">
        <is>
          <t>Успешно</t>
        </is>
      </c>
      <c r="N1035" s="1" t="inlineStr">
        <is>
          <t>29.02.2024</t>
        </is>
      </c>
      <c r="O1035" s="1" t="inlineStr"/>
      <c r="P1035" s="1" t="inlineStr"/>
      <c r="Q1035" s="1" t="inlineStr">
        <is>
          <t>Пользовательский интерфейс</t>
        </is>
      </c>
    </row>
    <row r="1036">
      <c r="B1036" s="1" t="inlineStr">
        <is>
          <t>42252451</t>
        </is>
      </c>
      <c r="C1036" s="1" t="inlineStr">
        <is>
          <t>3404353</t>
        </is>
      </c>
      <c r="D1036" t="inlineStr">
        <is>
          <t>работник 298</t>
        </is>
      </c>
      <c r="E1036" s="1" t="inlineStr">
        <is>
          <t>ОБЩЕСТВО С ОГРАНИЧЕННОЙ ОТВЕТСТВЕННОСТЬЮ "АМУР ЗОЛОТО"</t>
        </is>
      </c>
      <c r="F1036" s="1" t="inlineStr">
        <is>
          <t>2708001686</t>
        </is>
      </c>
      <c r="G1036" s="1" t="inlineStr">
        <is>
          <t>Водитель автомобиля (занятый на транспортировании горной массы в технологическом процессе)</t>
        </is>
      </c>
      <c r="H1036" s="1" t="inlineStr">
        <is>
          <t>ООО "Амур Золото"</t>
        </is>
      </c>
      <c r="I1036" s="1" t="inlineStr">
        <is>
          <t>2708001686</t>
        </is>
      </c>
      <c r="J1036" s="1" t="inlineStr">
        <is>
          <t>ОТ № ЮГОК АТЦ 24-04</t>
        </is>
      </c>
      <c r="K103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036" s="1" t="inlineStr">
        <is>
          <t>23.02.2024</t>
        </is>
      </c>
      <c r="M1036" s="1" t="inlineStr">
        <is>
          <t>Успешно</t>
        </is>
      </c>
      <c r="N1036" s="1" t="inlineStr">
        <is>
          <t>29.02.2024</t>
        </is>
      </c>
      <c r="O1036" s="1" t="inlineStr"/>
      <c r="P1036" s="1" t="inlineStr"/>
      <c r="Q1036" s="1" t="inlineStr">
        <is>
          <t>Пользовательский интерфейс</t>
        </is>
      </c>
    </row>
    <row r="1037">
      <c r="B1037" s="1" t="inlineStr">
        <is>
          <t>42252452</t>
        </is>
      </c>
      <c r="C1037" s="1" t="inlineStr">
        <is>
          <t>3404353</t>
        </is>
      </c>
      <c r="D1037" t="inlineStr">
        <is>
          <t>работник 299</t>
        </is>
      </c>
      <c r="E1037" s="1" t="inlineStr">
        <is>
          <t>ОБЩЕСТВО С ОГРАНИЧЕННОЙ ОТВЕТСТВЕННОСТЬЮ "АМУР ЗОЛОТО"</t>
        </is>
      </c>
      <c r="F1037" s="1" t="inlineStr">
        <is>
          <t>2708001686</t>
        </is>
      </c>
      <c r="G1037" s="1" t="inlineStr">
        <is>
          <t>Машинист экскаватора</t>
        </is>
      </c>
      <c r="H1037" s="1" t="inlineStr">
        <is>
          <t>ООО "Амур Золото"</t>
        </is>
      </c>
      <c r="I1037" s="1" t="inlineStr">
        <is>
          <t>2708001686</t>
        </is>
      </c>
      <c r="J1037" s="1" t="inlineStr">
        <is>
          <t>ОТ № ЮГОК АТЦ 24-04</t>
        </is>
      </c>
      <c r="K1037" s="1" t="inlineStr">
        <is>
          <t>Оказание первой помощи пострадавшим</t>
        </is>
      </c>
      <c r="L1037" s="1" t="inlineStr">
        <is>
          <t>23.02.2024</t>
        </is>
      </c>
      <c r="M1037" s="1" t="inlineStr">
        <is>
          <t>Успешно</t>
        </is>
      </c>
      <c r="N1037" s="1" t="inlineStr">
        <is>
          <t>29.02.2024</t>
        </is>
      </c>
      <c r="O1037" s="1" t="inlineStr"/>
      <c r="P1037" s="1" t="inlineStr"/>
      <c r="Q1037" s="1" t="inlineStr">
        <is>
          <t>Пользовательский интерфейс</t>
        </is>
      </c>
    </row>
    <row r="1038">
      <c r="B1038" s="1" t="inlineStr">
        <is>
          <t>42252453</t>
        </is>
      </c>
      <c r="C1038" s="1" t="inlineStr">
        <is>
          <t>3404353</t>
        </is>
      </c>
      <c r="D1038" t="inlineStr">
        <is>
          <t>работник 299</t>
        </is>
      </c>
      <c r="E1038" s="1" t="inlineStr">
        <is>
          <t>ОБЩЕСТВО С ОГРАНИЧЕННОЙ ОТВЕТСТВЕННОСТЬЮ "АМУР ЗОЛОТО"</t>
        </is>
      </c>
      <c r="F1038" s="1" t="inlineStr">
        <is>
          <t>2708001686</t>
        </is>
      </c>
      <c r="G1038" s="1" t="inlineStr">
        <is>
          <t>Машинист экскаватора</t>
        </is>
      </c>
      <c r="H1038" s="1" t="inlineStr">
        <is>
          <t>ООО "Амур Золото"</t>
        </is>
      </c>
      <c r="I1038" s="1" t="inlineStr">
        <is>
          <t>2708001686</t>
        </is>
      </c>
      <c r="J1038" s="1" t="inlineStr">
        <is>
          <t>ОТ № ЮГОК АТЦ 24-04</t>
        </is>
      </c>
      <c r="K1038" s="1" t="inlineStr">
        <is>
          <t>Использование (применение) средств индивидуальной защиты</t>
        </is>
      </c>
      <c r="L1038" s="1" t="inlineStr">
        <is>
          <t>23.02.2024</t>
        </is>
      </c>
      <c r="M1038" s="1" t="inlineStr">
        <is>
          <t>Успешно</t>
        </is>
      </c>
      <c r="N1038" s="1" t="inlineStr">
        <is>
          <t>29.02.2024</t>
        </is>
      </c>
      <c r="O1038" s="1" t="inlineStr"/>
      <c r="P1038" s="1" t="inlineStr"/>
      <c r="Q1038" s="1" t="inlineStr">
        <is>
          <t>Пользовательский интерфейс</t>
        </is>
      </c>
    </row>
    <row r="1039">
      <c r="B1039" s="1" t="inlineStr">
        <is>
          <t>42252454</t>
        </is>
      </c>
      <c r="C1039" s="1" t="inlineStr">
        <is>
          <t>3404353</t>
        </is>
      </c>
      <c r="D1039" t="inlineStr">
        <is>
          <t>работник 299</t>
        </is>
      </c>
      <c r="E1039" s="1" t="inlineStr">
        <is>
          <t>ОБЩЕСТВО С ОГРАНИЧЕННОЙ ОТВЕТСТВЕННОСТЬЮ "АМУР ЗОЛОТО"</t>
        </is>
      </c>
      <c r="F1039" s="1" t="inlineStr">
        <is>
          <t>2708001686</t>
        </is>
      </c>
      <c r="G1039" s="1" t="inlineStr">
        <is>
          <t>Машинист экскаватора</t>
        </is>
      </c>
      <c r="H1039" s="1" t="inlineStr">
        <is>
          <t>ООО "Амур Золото"</t>
        </is>
      </c>
      <c r="I1039" s="1" t="inlineStr">
        <is>
          <t>2708001686</t>
        </is>
      </c>
      <c r="J1039" s="1" t="inlineStr">
        <is>
          <t>ОТ № ЮГОК АТЦ 24-04</t>
        </is>
      </c>
      <c r="K103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039" s="1" t="inlineStr">
        <is>
          <t>23.02.2024</t>
        </is>
      </c>
      <c r="M1039" s="1" t="inlineStr">
        <is>
          <t>Успешно</t>
        </is>
      </c>
      <c r="N1039" s="1" t="inlineStr">
        <is>
          <t>29.02.2024</t>
        </is>
      </c>
      <c r="O1039" s="1" t="inlineStr"/>
      <c r="P1039" s="1" t="inlineStr"/>
      <c r="Q1039" s="1" t="inlineStr">
        <is>
          <t>Пользовательский интерфейс</t>
        </is>
      </c>
    </row>
    <row r="1040">
      <c r="B1040" s="1" t="inlineStr">
        <is>
          <t>43295354</t>
        </is>
      </c>
      <c r="C1040" s="1" t="inlineStr">
        <is>
          <t>3473988</t>
        </is>
      </c>
      <c r="D1040" t="inlineStr">
        <is>
          <t>работник 300</t>
        </is>
      </c>
      <c r="E1040" s="1" t="inlineStr">
        <is>
          <t>ОБЩЕСТВО С ОГРАНИЧЕННОЙ ОТВЕТСТВЕННОСТЬЮ "АМУР ЗОЛОТО"</t>
        </is>
      </c>
      <c r="F1040" s="1" t="inlineStr">
        <is>
          <t>2708001686</t>
        </is>
      </c>
      <c r="G1040" s="1" t="inlineStr">
        <is>
          <t>Бункеровщик</t>
        </is>
      </c>
      <c r="H1040" s="1" t="inlineStr">
        <is>
          <t>ООО "Амур Золото"</t>
        </is>
      </c>
      <c r="I1040" s="1" t="inlineStr">
        <is>
          <t>2708001686</t>
        </is>
      </c>
      <c r="J1040" s="1" t="inlineStr">
        <is>
          <t>ОТ № ЮГОК ЗИОФ 24-17</t>
        </is>
      </c>
      <c r="K1040" s="1" t="inlineStr">
        <is>
          <t>Оказание первой помощи пострадавшим</t>
        </is>
      </c>
      <c r="L1040" s="1" t="inlineStr">
        <is>
          <t>04.03.2024</t>
        </is>
      </c>
      <c r="M1040" s="1" t="inlineStr">
        <is>
          <t>Успешно</t>
        </is>
      </c>
      <c r="N1040" s="1" t="inlineStr">
        <is>
          <t>11.03.2024</t>
        </is>
      </c>
      <c r="O1040" s="1" t="inlineStr"/>
      <c r="P1040" s="1" t="inlineStr"/>
      <c r="Q1040" s="1" t="inlineStr">
        <is>
          <t>Пользовательский интерфейс</t>
        </is>
      </c>
    </row>
    <row r="1041">
      <c r="B1041" s="1" t="inlineStr">
        <is>
          <t>43295355</t>
        </is>
      </c>
      <c r="C1041" s="1" t="inlineStr">
        <is>
          <t>3473988</t>
        </is>
      </c>
      <c r="D1041" t="inlineStr">
        <is>
          <t>работник 300</t>
        </is>
      </c>
      <c r="E1041" s="1" t="inlineStr">
        <is>
          <t>ОБЩЕСТВО С ОГРАНИЧЕННОЙ ОТВЕТСТВЕННОСТЬЮ "АМУР ЗОЛОТО"</t>
        </is>
      </c>
      <c r="F1041" s="1" t="inlineStr">
        <is>
          <t>2708001686</t>
        </is>
      </c>
      <c r="G1041" s="1" t="inlineStr">
        <is>
          <t>Бункеровщик</t>
        </is>
      </c>
      <c r="H1041" s="1" t="inlineStr">
        <is>
          <t>ООО "Амур Золото"</t>
        </is>
      </c>
      <c r="I1041" s="1" t="inlineStr">
        <is>
          <t>2708001686</t>
        </is>
      </c>
      <c r="J1041" s="1" t="inlineStr">
        <is>
          <t>ОТ № ЮГОК ЗИОФ 24-17</t>
        </is>
      </c>
      <c r="K1041" s="1" t="inlineStr">
        <is>
          <t>Использование (применение) средств индивидуальной защиты</t>
        </is>
      </c>
      <c r="L1041" s="1" t="inlineStr">
        <is>
          <t>04.03.2024</t>
        </is>
      </c>
      <c r="M1041" s="1" t="inlineStr">
        <is>
          <t>Успешно</t>
        </is>
      </c>
      <c r="N1041" s="1" t="inlineStr">
        <is>
          <t>11.03.2024</t>
        </is>
      </c>
      <c r="O1041" s="1" t="inlineStr"/>
      <c r="P1041" s="1" t="inlineStr"/>
      <c r="Q1041" s="1" t="inlineStr">
        <is>
          <t>Пользовательский интерфейс</t>
        </is>
      </c>
    </row>
    <row r="1042">
      <c r="B1042" s="1" t="inlineStr">
        <is>
          <t>43295356</t>
        </is>
      </c>
      <c r="C1042" s="1" t="inlineStr">
        <is>
          <t>3473988</t>
        </is>
      </c>
      <c r="D1042" t="inlineStr">
        <is>
          <t>работник 300</t>
        </is>
      </c>
      <c r="E1042" s="1" t="inlineStr">
        <is>
          <t>ОБЩЕСТВО С ОГРАНИЧЕННОЙ ОТВЕТСТВЕННОСТЬЮ "АМУР ЗОЛОТО"</t>
        </is>
      </c>
      <c r="F1042" s="1" t="inlineStr">
        <is>
          <t>2708001686</t>
        </is>
      </c>
      <c r="G1042" s="1" t="inlineStr">
        <is>
          <t>Бункеровщик</t>
        </is>
      </c>
      <c r="H1042" s="1" t="inlineStr">
        <is>
          <t>ООО "Амур Золото"</t>
        </is>
      </c>
      <c r="I1042" s="1" t="inlineStr">
        <is>
          <t>2708001686</t>
        </is>
      </c>
      <c r="J1042" s="1" t="inlineStr">
        <is>
          <t>ОТ № ЮГОК ЗИОФ 24-17</t>
        </is>
      </c>
      <c r="K104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042" s="1" t="inlineStr">
        <is>
          <t>04.03.2024</t>
        </is>
      </c>
      <c r="M1042" s="1" t="inlineStr">
        <is>
          <t>Успешно</t>
        </is>
      </c>
      <c r="N1042" s="1" t="inlineStr">
        <is>
          <t>11.03.2024</t>
        </is>
      </c>
      <c r="O1042" s="1" t="inlineStr"/>
      <c r="P1042" s="1" t="inlineStr"/>
      <c r="Q1042" s="1" t="inlineStr">
        <is>
          <t>Пользовательский интерфейс</t>
        </is>
      </c>
    </row>
    <row r="1043">
      <c r="B1043" s="1" t="inlineStr">
        <is>
          <t>43295357</t>
        </is>
      </c>
      <c r="C1043" s="1" t="inlineStr">
        <is>
          <t>3473988</t>
        </is>
      </c>
      <c r="D1043" t="inlineStr">
        <is>
          <t>работник 301</t>
        </is>
      </c>
      <c r="E1043" s="1" t="inlineStr">
        <is>
          <t>ОБЩЕСТВО С ОГРАНИЧЕННОЙ ОТВЕТСТВЕННОСТЬЮ "АМУР ЗОЛОТО"</t>
        </is>
      </c>
      <c r="F1043" s="1" t="inlineStr">
        <is>
          <t>2708001686</t>
        </is>
      </c>
      <c r="G1043" s="1" t="inlineStr">
        <is>
          <t>Слесарь-ремонтник (по ремонту самоходной техники)</t>
        </is>
      </c>
      <c r="H1043" s="1" t="inlineStr">
        <is>
          <t>ООО "Амур Золото"</t>
        </is>
      </c>
      <c r="I1043" s="1" t="inlineStr">
        <is>
          <t>2708001686</t>
        </is>
      </c>
      <c r="J1043" s="1" t="inlineStr">
        <is>
          <t>ОТ № ЮГОК ПГР 24-03</t>
        </is>
      </c>
      <c r="K1043" s="1" t="inlineStr">
        <is>
          <t>Оказание первой помощи пострадавшим</t>
        </is>
      </c>
      <c r="L1043" s="1" t="inlineStr">
        <is>
          <t>12.02.2024</t>
        </is>
      </c>
      <c r="M1043" s="1" t="inlineStr">
        <is>
          <t>Успешно</t>
        </is>
      </c>
      <c r="N1043" s="1" t="inlineStr">
        <is>
          <t>11.03.2024</t>
        </is>
      </c>
      <c r="O1043" s="1" t="inlineStr"/>
      <c r="P1043" s="1" t="inlineStr"/>
      <c r="Q1043" s="1" t="inlineStr">
        <is>
          <t>Пользовательский интерфейс</t>
        </is>
      </c>
    </row>
    <row r="1044">
      <c r="B1044" s="1" t="inlineStr">
        <is>
          <t>43295358</t>
        </is>
      </c>
      <c r="C1044" s="1" t="inlineStr">
        <is>
          <t>3473988</t>
        </is>
      </c>
      <c r="D1044" t="inlineStr">
        <is>
          <t>работник 301</t>
        </is>
      </c>
      <c r="E1044" s="1" t="inlineStr">
        <is>
          <t>ОБЩЕСТВО С ОГРАНИЧЕННОЙ ОТВЕТСТВЕННОСТЬЮ "АМУР ЗОЛОТО"</t>
        </is>
      </c>
      <c r="F1044" s="1" t="inlineStr">
        <is>
          <t>2708001686</t>
        </is>
      </c>
      <c r="G1044" s="1" t="inlineStr">
        <is>
          <t>Слесарь-ремонтник (по ремонту самоходной техники)</t>
        </is>
      </c>
      <c r="H1044" s="1" t="inlineStr">
        <is>
          <t>ООО "Амур Золото"</t>
        </is>
      </c>
      <c r="I1044" s="1" t="inlineStr">
        <is>
          <t>2708001686</t>
        </is>
      </c>
      <c r="J1044" s="1" t="inlineStr">
        <is>
          <t>ОТ № ЮГОК ПГР 24-03</t>
        </is>
      </c>
      <c r="K1044" s="1" t="inlineStr">
        <is>
          <t>Использование (применение) средств индивидуальной защиты</t>
        </is>
      </c>
      <c r="L1044" s="1" t="inlineStr">
        <is>
          <t>12.02.2024</t>
        </is>
      </c>
      <c r="M1044" s="1" t="inlineStr">
        <is>
          <t>Успешно</t>
        </is>
      </c>
      <c r="N1044" s="1" t="inlineStr">
        <is>
          <t>11.03.2024</t>
        </is>
      </c>
      <c r="O1044" s="1" t="inlineStr"/>
      <c r="P1044" s="1" t="inlineStr"/>
      <c r="Q1044" s="1" t="inlineStr">
        <is>
          <t>Пользовательский интерфейс</t>
        </is>
      </c>
    </row>
    <row r="1045">
      <c r="B1045" s="1" t="inlineStr">
        <is>
          <t>43295359</t>
        </is>
      </c>
      <c r="C1045" s="1" t="inlineStr">
        <is>
          <t>3473988</t>
        </is>
      </c>
      <c r="D1045" t="inlineStr">
        <is>
          <t>работник 301</t>
        </is>
      </c>
      <c r="E1045" s="1" t="inlineStr">
        <is>
          <t>ОБЩЕСТВО С ОГРАНИЧЕННОЙ ОТВЕТСТВЕННОСТЬЮ "АМУР ЗОЛОТО"</t>
        </is>
      </c>
      <c r="F1045" s="1" t="inlineStr">
        <is>
          <t>2708001686</t>
        </is>
      </c>
      <c r="G1045" s="1" t="inlineStr">
        <is>
          <t>Слесарь-ремонтник (по ремонту самоходной техники)</t>
        </is>
      </c>
      <c r="H1045" s="1" t="inlineStr">
        <is>
          <t>ООО "Амур Золото"</t>
        </is>
      </c>
      <c r="I1045" s="1" t="inlineStr">
        <is>
          <t>2708001686</t>
        </is>
      </c>
      <c r="J1045" s="1" t="inlineStr">
        <is>
          <t>ОТ № ЮГОК ПГР 24-03</t>
        </is>
      </c>
      <c r="K104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045" s="1" t="inlineStr">
        <is>
          <t>12.02.2024</t>
        </is>
      </c>
      <c r="M1045" s="1" t="inlineStr">
        <is>
          <t>Успешно</t>
        </is>
      </c>
      <c r="N1045" s="1" t="inlineStr">
        <is>
          <t>11.03.2024</t>
        </is>
      </c>
      <c r="O1045" s="1" t="inlineStr"/>
      <c r="P1045" s="1" t="inlineStr"/>
      <c r="Q1045" s="1" t="inlineStr">
        <is>
          <t>Пользовательский интерфейс</t>
        </is>
      </c>
    </row>
    <row r="1046">
      <c r="B1046" s="1" t="inlineStr">
        <is>
          <t>43295360</t>
        </is>
      </c>
      <c r="C1046" s="1" t="inlineStr">
        <is>
          <t>3473988</t>
        </is>
      </c>
      <c r="D1046" t="inlineStr">
        <is>
          <t>работник 302</t>
        </is>
      </c>
      <c r="E1046" s="1" t="inlineStr">
        <is>
          <t>ОБЩЕСТВО С ОГРАНИЧЕННОЙ ОТВЕТСТВЕННОСТЬЮ "АМУР ЗОЛОТО"</t>
        </is>
      </c>
      <c r="F1046" s="1" t="inlineStr">
        <is>
          <t>2708001686</t>
        </is>
      </c>
      <c r="G1046" s="1" t="inlineStr">
        <is>
          <t>Машинист погрузочно-доставочной машины (ТГМ)</t>
        </is>
      </c>
      <c r="H1046" s="1" t="inlineStr">
        <is>
          <t>ООО "Амур Золото"</t>
        </is>
      </c>
      <c r="I1046" s="1" t="inlineStr">
        <is>
          <t>2708001686</t>
        </is>
      </c>
      <c r="J1046" s="1" t="inlineStr">
        <is>
          <t>ОТ № ЮГОК ПГР 24-03</t>
        </is>
      </c>
      <c r="K1046" s="1" t="inlineStr">
        <is>
          <t>Оказание первой помощи пострадавшим</t>
        </is>
      </c>
      <c r="L1046" s="1" t="inlineStr">
        <is>
          <t>12.02.2024</t>
        </is>
      </c>
      <c r="M1046" s="1" t="inlineStr">
        <is>
          <t>Успешно</t>
        </is>
      </c>
      <c r="N1046" s="1" t="inlineStr">
        <is>
          <t>11.03.2024</t>
        </is>
      </c>
      <c r="O1046" s="1" t="inlineStr"/>
      <c r="P1046" s="1" t="inlineStr"/>
      <c r="Q1046" s="1" t="inlineStr">
        <is>
          <t>Пользовательский интерфейс</t>
        </is>
      </c>
    </row>
    <row r="1047">
      <c r="B1047" s="1" t="inlineStr">
        <is>
          <t>43295361</t>
        </is>
      </c>
      <c r="C1047" s="1" t="inlineStr">
        <is>
          <t>3473988</t>
        </is>
      </c>
      <c r="D1047" t="inlineStr">
        <is>
          <t>работник 302</t>
        </is>
      </c>
      <c r="E1047" s="1" t="inlineStr">
        <is>
          <t>ОБЩЕСТВО С ОГРАНИЧЕННОЙ ОТВЕТСТВЕННОСТЬЮ "АМУР ЗОЛОТО"</t>
        </is>
      </c>
      <c r="F1047" s="1" t="inlineStr">
        <is>
          <t>2708001686</t>
        </is>
      </c>
      <c r="G1047" s="1" t="inlineStr">
        <is>
          <t>Машинист погрузочно-доставочной машины (ТГМ)</t>
        </is>
      </c>
      <c r="H1047" s="1" t="inlineStr">
        <is>
          <t>ООО "Амур Золото"</t>
        </is>
      </c>
      <c r="I1047" s="1" t="inlineStr">
        <is>
          <t>2708001686</t>
        </is>
      </c>
      <c r="J1047" s="1" t="inlineStr">
        <is>
          <t>ОТ № ЮГОК ПГР 24-03</t>
        </is>
      </c>
      <c r="K1047" s="1" t="inlineStr">
        <is>
          <t>Использование (применение) средств индивидуальной защиты</t>
        </is>
      </c>
      <c r="L1047" s="1" t="inlineStr">
        <is>
          <t>12.02.2024</t>
        </is>
      </c>
      <c r="M1047" s="1" t="inlineStr">
        <is>
          <t>Успешно</t>
        </is>
      </c>
      <c r="N1047" s="1" t="inlineStr">
        <is>
          <t>11.03.2024</t>
        </is>
      </c>
      <c r="O1047" s="1" t="inlineStr"/>
      <c r="P1047" s="1" t="inlineStr"/>
      <c r="Q1047" s="1" t="inlineStr">
        <is>
          <t>Пользовательский интерфейс</t>
        </is>
      </c>
    </row>
    <row r="1048">
      <c r="B1048" s="1" t="inlineStr">
        <is>
          <t>43295362</t>
        </is>
      </c>
      <c r="C1048" s="1" t="inlineStr">
        <is>
          <t>3473988</t>
        </is>
      </c>
      <c r="D1048" t="inlineStr">
        <is>
          <t>работник 302</t>
        </is>
      </c>
      <c r="E1048" s="1" t="inlineStr">
        <is>
          <t>ОБЩЕСТВО С ОГРАНИЧЕННОЙ ОТВЕТСТВЕННОСТЬЮ "АМУР ЗОЛОТО"</t>
        </is>
      </c>
      <c r="F1048" s="1" t="inlineStr">
        <is>
          <t>2708001686</t>
        </is>
      </c>
      <c r="G1048" s="1" t="inlineStr">
        <is>
          <t>Машинист погрузочно-доставочной машины (ТГМ)</t>
        </is>
      </c>
      <c r="H1048" s="1" t="inlineStr">
        <is>
          <t>ООО "Амур Золото"</t>
        </is>
      </c>
      <c r="I1048" s="1" t="inlineStr">
        <is>
          <t>2708001686</t>
        </is>
      </c>
      <c r="J1048" s="1" t="inlineStr">
        <is>
          <t>ОТ № ЮГОК ПГР 24-03</t>
        </is>
      </c>
      <c r="K104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048" s="1" t="inlineStr">
        <is>
          <t>12.02.2024</t>
        </is>
      </c>
      <c r="M1048" s="1" t="inlineStr">
        <is>
          <t>Успешно</t>
        </is>
      </c>
      <c r="N1048" s="1" t="inlineStr">
        <is>
          <t>11.03.2024</t>
        </is>
      </c>
      <c r="O1048" s="1" t="inlineStr"/>
      <c r="P1048" s="1" t="inlineStr"/>
      <c r="Q1048" s="1" t="inlineStr">
        <is>
          <t>Пользовательский интерфейс</t>
        </is>
      </c>
    </row>
    <row r="1049">
      <c r="B1049" s="1" t="inlineStr">
        <is>
          <t>43295363</t>
        </is>
      </c>
      <c r="C1049" s="1" t="inlineStr">
        <is>
          <t>3473988</t>
        </is>
      </c>
      <c r="D1049" t="inlineStr">
        <is>
          <t>работник 303</t>
        </is>
      </c>
      <c r="E1049" s="1" t="inlineStr">
        <is>
          <t>ОБЩЕСТВО С ОГРАНИЧЕННОЙ ОТВЕТСТВЕННОСТЬЮ "АМУР ЗОЛОТО"</t>
        </is>
      </c>
      <c r="F1049" s="1" t="inlineStr">
        <is>
          <t>2708001686</t>
        </is>
      </c>
      <c r="G1049" s="1" t="inlineStr">
        <is>
          <t>Машинист погрузочно-доставочной машины</t>
        </is>
      </c>
      <c r="H1049" s="1" t="inlineStr">
        <is>
          <t>ООО "Амур Золото"</t>
        </is>
      </c>
      <c r="I1049" s="1" t="inlineStr">
        <is>
          <t>2708001686</t>
        </is>
      </c>
      <c r="J1049" s="1" t="inlineStr">
        <is>
          <t>ОТ № ЮГОК ПГР 24-04</t>
        </is>
      </c>
      <c r="K1049" s="1" t="inlineStr">
        <is>
          <t>Оказание первой помощи пострадавшим</t>
        </is>
      </c>
      <c r="L1049" s="1" t="inlineStr">
        <is>
          <t>25.02.2024</t>
        </is>
      </c>
      <c r="M1049" s="1" t="inlineStr">
        <is>
          <t>Успешно</t>
        </is>
      </c>
      <c r="N1049" s="1" t="inlineStr">
        <is>
          <t>11.03.2024</t>
        </is>
      </c>
      <c r="O1049" s="1" t="inlineStr"/>
      <c r="P1049" s="1" t="inlineStr"/>
      <c r="Q1049" s="1" t="inlineStr">
        <is>
          <t>Пользовательский интерфейс</t>
        </is>
      </c>
    </row>
    <row r="1050">
      <c r="B1050" s="1" t="inlineStr">
        <is>
          <t>43295364</t>
        </is>
      </c>
      <c r="C1050" s="1" t="inlineStr">
        <is>
          <t>3473988</t>
        </is>
      </c>
      <c r="D1050" t="inlineStr">
        <is>
          <t>работник 303</t>
        </is>
      </c>
      <c r="E1050" s="1" t="inlineStr">
        <is>
          <t>ОБЩЕСТВО С ОГРАНИЧЕННОЙ ОТВЕТСТВЕННОСТЬЮ "АМУР ЗОЛОТО"</t>
        </is>
      </c>
      <c r="F1050" s="1" t="inlineStr">
        <is>
          <t>2708001686</t>
        </is>
      </c>
      <c r="G1050" s="1" t="inlineStr">
        <is>
          <t>Машинист погрузочно-доставочной машины</t>
        </is>
      </c>
      <c r="H1050" s="1" t="inlineStr">
        <is>
          <t>ООО "Амур Золото"</t>
        </is>
      </c>
      <c r="I1050" s="1" t="inlineStr">
        <is>
          <t>2708001686</t>
        </is>
      </c>
      <c r="J1050" s="1" t="inlineStr">
        <is>
          <t>ОТ № ЮГОК ПГР 24-04</t>
        </is>
      </c>
      <c r="K1050" s="1" t="inlineStr">
        <is>
          <t>Использование (применение) средств индивидуальной защиты</t>
        </is>
      </c>
      <c r="L1050" s="1" t="inlineStr">
        <is>
          <t>25.02.2024</t>
        </is>
      </c>
      <c r="M1050" s="1" t="inlineStr">
        <is>
          <t>Успешно</t>
        </is>
      </c>
      <c r="N1050" s="1" t="inlineStr">
        <is>
          <t>11.03.2024</t>
        </is>
      </c>
      <c r="O1050" s="1" t="inlineStr"/>
      <c r="P1050" s="1" t="inlineStr"/>
      <c r="Q1050" s="1" t="inlineStr">
        <is>
          <t>Пользовательский интерфейс</t>
        </is>
      </c>
    </row>
    <row r="1051">
      <c r="B1051" s="1" t="inlineStr">
        <is>
          <t>43295365</t>
        </is>
      </c>
      <c r="C1051" s="1" t="inlineStr">
        <is>
          <t>3473988</t>
        </is>
      </c>
      <c r="D1051" t="inlineStr">
        <is>
          <t>работник 303</t>
        </is>
      </c>
      <c r="E1051" s="1" t="inlineStr">
        <is>
          <t>ОБЩЕСТВО С ОГРАНИЧЕННОЙ ОТВЕТСТВЕННОСТЬЮ "АМУР ЗОЛОТО"</t>
        </is>
      </c>
      <c r="F1051" s="1" t="inlineStr">
        <is>
          <t>2708001686</t>
        </is>
      </c>
      <c r="G1051" s="1" t="inlineStr">
        <is>
          <t>Машинист погрузочно-доставочной машины</t>
        </is>
      </c>
      <c r="H1051" s="1" t="inlineStr">
        <is>
          <t>ООО "Амур Золото"</t>
        </is>
      </c>
      <c r="I1051" s="1" t="inlineStr">
        <is>
          <t>2708001686</t>
        </is>
      </c>
      <c r="J1051" s="1" t="inlineStr">
        <is>
          <t>ОТ № ЮГОК ПГР 24-04</t>
        </is>
      </c>
      <c r="K105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051" s="1" t="inlineStr">
        <is>
          <t>25.02.2024</t>
        </is>
      </c>
      <c r="M1051" s="1" t="inlineStr">
        <is>
          <t>Успешно</t>
        </is>
      </c>
      <c r="N1051" s="1" t="inlineStr">
        <is>
          <t>11.03.2024</t>
        </is>
      </c>
      <c r="O1051" s="1" t="inlineStr"/>
      <c r="P1051" s="1" t="inlineStr"/>
      <c r="Q1051" s="1" t="inlineStr">
        <is>
          <t>Пользовательский интерфейс</t>
        </is>
      </c>
    </row>
    <row r="1052">
      <c r="B1052" s="1" t="inlineStr">
        <is>
          <t>43295366</t>
        </is>
      </c>
      <c r="C1052" s="1" t="inlineStr">
        <is>
          <t>3473988</t>
        </is>
      </c>
      <c r="D1052" t="inlineStr">
        <is>
          <t>работник 304</t>
        </is>
      </c>
      <c r="E1052" s="1" t="inlineStr">
        <is>
          <t>ОБЩЕСТВО С ОГРАНИЧЕННОЙ ОТВЕТСТВЕННОСТЬЮ "АМУР ЗОЛОТО"</t>
        </is>
      </c>
      <c r="F1052" s="1" t="inlineStr">
        <is>
          <t>2708001686</t>
        </is>
      </c>
      <c r="G1052" s="1" t="inlineStr">
        <is>
          <t>Помощник машиниста СБУ (с исполнением обязанностей пробоотборщика)</t>
        </is>
      </c>
      <c r="H1052" s="1" t="inlineStr">
        <is>
          <t>ООО "Амур Золото"</t>
        </is>
      </c>
      <c r="I1052" s="1" t="inlineStr">
        <is>
          <t>2708001686</t>
        </is>
      </c>
      <c r="J1052" s="1" t="inlineStr">
        <is>
          <t>ОТ № ЮГОК ПГР 24-04</t>
        </is>
      </c>
      <c r="K1052" s="1" t="inlineStr">
        <is>
          <t>Оказание первой помощи пострадавшим</t>
        </is>
      </c>
      <c r="L1052" s="1" t="inlineStr">
        <is>
          <t>25.02.2024</t>
        </is>
      </c>
      <c r="M1052" s="1" t="inlineStr">
        <is>
          <t>Успешно</t>
        </is>
      </c>
      <c r="N1052" s="1" t="inlineStr">
        <is>
          <t>11.03.2024</t>
        </is>
      </c>
      <c r="O1052" s="1" t="inlineStr"/>
      <c r="P1052" s="1" t="inlineStr"/>
      <c r="Q1052" s="1" t="inlineStr">
        <is>
          <t>Пользовательский интерфейс</t>
        </is>
      </c>
    </row>
    <row r="1053">
      <c r="B1053" s="1" t="inlineStr">
        <is>
          <t>43295367</t>
        </is>
      </c>
      <c r="C1053" s="1" t="inlineStr">
        <is>
          <t>3473988</t>
        </is>
      </c>
      <c r="D1053" t="inlineStr">
        <is>
          <t>работник 304</t>
        </is>
      </c>
      <c r="E1053" s="1" t="inlineStr">
        <is>
          <t>ОБЩЕСТВО С ОГРАНИЧЕННОЙ ОТВЕТСТВЕННОСТЬЮ "АМУР ЗОЛОТО"</t>
        </is>
      </c>
      <c r="F1053" s="1" t="inlineStr">
        <is>
          <t>2708001686</t>
        </is>
      </c>
      <c r="G1053" s="1" t="inlineStr">
        <is>
          <t>Помощник машиниста СБУ (с исполнением обязанностей пробоотборщика)</t>
        </is>
      </c>
      <c r="H1053" s="1" t="inlineStr">
        <is>
          <t>ООО "Амур Золото"</t>
        </is>
      </c>
      <c r="I1053" s="1" t="inlineStr">
        <is>
          <t>2708001686</t>
        </is>
      </c>
      <c r="J1053" s="1" t="inlineStr">
        <is>
          <t>ОТ № ЮГОК ПГР 24-04</t>
        </is>
      </c>
      <c r="K1053" s="1" t="inlineStr">
        <is>
          <t>Использование (применение) средств индивидуальной защиты</t>
        </is>
      </c>
      <c r="L1053" s="1" t="inlineStr">
        <is>
          <t>25.02.2024</t>
        </is>
      </c>
      <c r="M1053" s="1" t="inlineStr">
        <is>
          <t>Успешно</t>
        </is>
      </c>
      <c r="N1053" s="1" t="inlineStr">
        <is>
          <t>11.03.2024</t>
        </is>
      </c>
      <c r="O1053" s="1" t="inlineStr"/>
      <c r="P1053" s="1" t="inlineStr"/>
      <c r="Q1053" s="1" t="inlineStr">
        <is>
          <t>Пользовательский интерфейс</t>
        </is>
      </c>
    </row>
    <row r="1054">
      <c r="B1054" s="1" t="inlineStr">
        <is>
          <t>43295368</t>
        </is>
      </c>
      <c r="C1054" s="1" t="inlineStr">
        <is>
          <t>3473988</t>
        </is>
      </c>
      <c r="D1054" t="inlineStr">
        <is>
          <t>работник 304</t>
        </is>
      </c>
      <c r="E1054" s="1" t="inlineStr">
        <is>
          <t>ОБЩЕСТВО С ОГРАНИЧЕННОЙ ОТВЕТСТВЕННОСТЬЮ "АМУР ЗОЛОТО"</t>
        </is>
      </c>
      <c r="F1054" s="1" t="inlineStr">
        <is>
          <t>2708001686</t>
        </is>
      </c>
      <c r="G1054" s="1" t="inlineStr">
        <is>
          <t>Помощник машиниста СБУ (с исполнением обязанностей пробоотборщика)</t>
        </is>
      </c>
      <c r="H1054" s="1" t="inlineStr">
        <is>
          <t>ООО "Амур Золото"</t>
        </is>
      </c>
      <c r="I1054" s="1" t="inlineStr">
        <is>
          <t>2708001686</t>
        </is>
      </c>
      <c r="J1054" s="1" t="inlineStr">
        <is>
          <t>ОТ № ЮГОК ПГР 24-04</t>
        </is>
      </c>
      <c r="K105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054" s="1" t="inlineStr">
        <is>
          <t>25.02.2024</t>
        </is>
      </c>
      <c r="M1054" s="1" t="inlineStr">
        <is>
          <t>Успешно</t>
        </is>
      </c>
      <c r="N1054" s="1" t="inlineStr">
        <is>
          <t>11.03.2024</t>
        </is>
      </c>
      <c r="O1054" s="1" t="inlineStr"/>
      <c r="P1054" s="1" t="inlineStr"/>
      <c r="Q1054" s="1" t="inlineStr">
        <is>
          <t>Пользовательский интерфейс</t>
        </is>
      </c>
    </row>
    <row r="1055">
      <c r="B1055" s="1" t="inlineStr">
        <is>
          <t>43295369</t>
        </is>
      </c>
      <c r="C1055" s="1" t="inlineStr">
        <is>
          <t>3473988</t>
        </is>
      </c>
      <c r="D1055" t="inlineStr">
        <is>
          <t>работник 208</t>
        </is>
      </c>
      <c r="E1055" s="1" t="inlineStr">
        <is>
          <t>ОБЩЕСТВО С ОГРАНИЧЕННОЙ ОТВЕТСТВЕННОСТЬЮ "АМУР ЗОЛОТО"</t>
        </is>
      </c>
      <c r="F1055" s="1" t="inlineStr">
        <is>
          <t>2708001686</t>
        </is>
      </c>
      <c r="G1055" s="1" t="inlineStr">
        <is>
          <t>Машинист погрузочно-доставочной машины (ТГМ)</t>
        </is>
      </c>
      <c r="H1055" s="1" t="inlineStr">
        <is>
          <t>ООО "Амур Золото"</t>
        </is>
      </c>
      <c r="I1055" s="1" t="inlineStr">
        <is>
          <t>2708001686</t>
        </is>
      </c>
      <c r="J1055" s="1" t="inlineStr">
        <is>
          <t>ОТ № ЮГОК ПГР 24-04</t>
        </is>
      </c>
      <c r="K1055" s="1" t="inlineStr">
        <is>
          <t>Оказание первой помощи пострадавшим</t>
        </is>
      </c>
      <c r="L1055" s="1" t="inlineStr">
        <is>
          <t>25.02.2024</t>
        </is>
      </c>
      <c r="M1055" s="1" t="inlineStr">
        <is>
          <t>Успешно</t>
        </is>
      </c>
      <c r="N1055" s="1" t="inlineStr">
        <is>
          <t>11.03.2024</t>
        </is>
      </c>
      <c r="O1055" s="1" t="inlineStr"/>
      <c r="P1055" s="1" t="inlineStr"/>
      <c r="Q1055" s="1" t="inlineStr">
        <is>
          <t>Пользовательский интерфейс</t>
        </is>
      </c>
    </row>
    <row r="1056">
      <c r="B1056" s="1" t="inlineStr">
        <is>
          <t>43295370</t>
        </is>
      </c>
      <c r="C1056" s="1" t="inlineStr">
        <is>
          <t>3473988</t>
        </is>
      </c>
      <c r="D1056" t="inlineStr">
        <is>
          <t>работник 208</t>
        </is>
      </c>
      <c r="E1056" s="1" t="inlineStr">
        <is>
          <t>ОБЩЕСТВО С ОГРАНИЧЕННОЙ ОТВЕТСТВЕННОСТЬЮ "АМУР ЗОЛОТО"</t>
        </is>
      </c>
      <c r="F1056" s="1" t="inlineStr">
        <is>
          <t>2708001686</t>
        </is>
      </c>
      <c r="G1056" s="1" t="inlineStr">
        <is>
          <t>Машинист погрузочно-доставочной машины (ТГМ)</t>
        </is>
      </c>
      <c r="H1056" s="1" t="inlineStr">
        <is>
          <t>ООО "Амур Золото"</t>
        </is>
      </c>
      <c r="I1056" s="1" t="inlineStr">
        <is>
          <t>2708001686</t>
        </is>
      </c>
      <c r="J1056" s="1" t="inlineStr">
        <is>
          <t>ОТ № ЮГОК ПГР 24-04</t>
        </is>
      </c>
      <c r="K1056" s="1" t="inlineStr">
        <is>
          <t>Использование (применение) средств индивидуальной защиты</t>
        </is>
      </c>
      <c r="L1056" s="1" t="inlineStr">
        <is>
          <t>25.02.2024</t>
        </is>
      </c>
      <c r="M1056" s="1" t="inlineStr">
        <is>
          <t>Успешно</t>
        </is>
      </c>
      <c r="N1056" s="1" t="inlineStr">
        <is>
          <t>11.03.2024</t>
        </is>
      </c>
      <c r="O1056" s="1" t="inlineStr"/>
      <c r="P1056" s="1" t="inlineStr"/>
      <c r="Q1056" s="1" t="inlineStr">
        <is>
          <t>Пользовательский интерфейс</t>
        </is>
      </c>
    </row>
    <row r="1057">
      <c r="B1057" s="1" t="inlineStr">
        <is>
          <t>43295371</t>
        </is>
      </c>
      <c r="C1057" s="1" t="inlineStr">
        <is>
          <t>3473988</t>
        </is>
      </c>
      <c r="D1057" t="inlineStr">
        <is>
          <t>работник 208</t>
        </is>
      </c>
      <c r="E1057" s="1" t="inlineStr">
        <is>
          <t>ОБЩЕСТВО С ОГРАНИЧЕННОЙ ОТВЕТСТВЕННОСТЬЮ "АМУР ЗОЛОТО"</t>
        </is>
      </c>
      <c r="F1057" s="1" t="inlineStr">
        <is>
          <t>2708001686</t>
        </is>
      </c>
      <c r="G1057" s="1" t="inlineStr">
        <is>
          <t>Машинист погрузочно-доставочной машины (ТГМ)</t>
        </is>
      </c>
      <c r="H1057" s="1" t="inlineStr">
        <is>
          <t>ООО "Амур Золото"</t>
        </is>
      </c>
      <c r="I1057" s="1" t="inlineStr">
        <is>
          <t>2708001686</t>
        </is>
      </c>
      <c r="J1057" s="1" t="inlineStr">
        <is>
          <t>ОТ № ЮГОК ПГР 24-04</t>
        </is>
      </c>
      <c r="K105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057" s="1" t="inlineStr">
        <is>
          <t>25.02.2024</t>
        </is>
      </c>
      <c r="M1057" s="1" t="inlineStr">
        <is>
          <t>Успешно</t>
        </is>
      </c>
      <c r="N1057" s="1" t="inlineStr">
        <is>
          <t>11.03.2024</t>
        </is>
      </c>
      <c r="O1057" s="1" t="inlineStr"/>
      <c r="P1057" s="1" t="inlineStr"/>
      <c r="Q1057" s="1" t="inlineStr">
        <is>
          <t>Пользовательский интерфейс</t>
        </is>
      </c>
    </row>
    <row r="1058">
      <c r="B1058" s="1" t="inlineStr">
        <is>
          <t>43299692</t>
        </is>
      </c>
      <c r="C1058" s="1" t="inlineStr">
        <is>
          <t>3474285</t>
        </is>
      </c>
      <c r="D1058" t="inlineStr">
        <is>
          <t>работник 305</t>
        </is>
      </c>
      <c r="E1058" s="1" t="inlineStr">
        <is>
          <t>ОБЩЕСТВО С ОГРАНИЧЕННОЙ ОТВЕТСТВЕННОСТЬЮ "АМУР ЗОЛОТО"</t>
        </is>
      </c>
      <c r="F1058" s="1" t="inlineStr">
        <is>
          <t>2708001686</t>
        </is>
      </c>
      <c r="G1058" s="1" t="inlineStr">
        <is>
          <t>Электромонтер</t>
        </is>
      </c>
      <c r="H1058" s="1" t="inlineStr">
        <is>
          <t>ООО "Амур Золото"</t>
        </is>
      </c>
      <c r="I1058" s="1" t="inlineStr">
        <is>
          <t>2708001686</t>
        </is>
      </c>
      <c r="J1058" s="1" t="inlineStr">
        <is>
          <t>ОТ ЮГОК ЗИОФ 24-18</t>
        </is>
      </c>
      <c r="K1058" s="1" t="inlineStr">
        <is>
          <t>Безопасные методы и приемы выполнения работ на высоте</t>
        </is>
      </c>
      <c r="L1058" s="1" t="inlineStr">
        <is>
          <t>06.03.2024</t>
        </is>
      </c>
      <c r="M1058" s="1" t="inlineStr">
        <is>
          <t>Успешно</t>
        </is>
      </c>
      <c r="N1058" s="1" t="inlineStr">
        <is>
          <t>11.03.2024</t>
        </is>
      </c>
      <c r="O1058" s="1" t="inlineStr"/>
      <c r="P1058" s="1" t="inlineStr"/>
      <c r="Q1058" s="1" t="inlineStr">
        <is>
          <t>Пользовательский интерфейс</t>
        </is>
      </c>
    </row>
    <row r="1059">
      <c r="B1059" s="1" t="inlineStr">
        <is>
          <t>43299693</t>
        </is>
      </c>
      <c r="C1059" s="1" t="inlineStr">
        <is>
          <t>3474285</t>
        </is>
      </c>
      <c r="D1059" t="inlineStr">
        <is>
          <t>работник 305</t>
        </is>
      </c>
      <c r="E1059" s="1" t="inlineStr">
        <is>
          <t>ОБЩЕСТВО С ОГРАНИЧЕННОЙ ОТВЕТСТВЕННОСТЬЮ "АМУР ЗОЛОТО"</t>
        </is>
      </c>
      <c r="F1059" s="1" t="inlineStr">
        <is>
          <t>2708001686</t>
        </is>
      </c>
      <c r="G1059" s="1" t="inlineStr">
        <is>
          <t>Электромонтер</t>
        </is>
      </c>
      <c r="H1059" s="1" t="inlineStr">
        <is>
          <t>ООО "Амур Золото"</t>
        </is>
      </c>
      <c r="I1059" s="1" t="inlineStr">
        <is>
          <t>2708001686</t>
        </is>
      </c>
      <c r="J1059" s="1" t="inlineStr">
        <is>
          <t>ОТ ЮГОК ЗИОФ 24-18</t>
        </is>
      </c>
      <c r="K1059" s="1" t="inlineStr">
        <is>
          <t>Безопасные методы и приемы выполнения работ в электроустановках</t>
        </is>
      </c>
      <c r="L1059" s="1" t="inlineStr">
        <is>
          <t>06.03.2024</t>
        </is>
      </c>
      <c r="M1059" s="1" t="inlineStr">
        <is>
          <t>Успешно</t>
        </is>
      </c>
      <c r="N1059" s="1" t="inlineStr">
        <is>
          <t>11.03.2024</t>
        </is>
      </c>
      <c r="O1059" s="1" t="inlineStr"/>
      <c r="P1059" s="1" t="inlineStr"/>
      <c r="Q1059" s="1" t="inlineStr">
        <is>
          <t>Пользовательский интерфейс</t>
        </is>
      </c>
    </row>
    <row r="1060">
      <c r="B1060" s="1" t="inlineStr">
        <is>
          <t>43299694</t>
        </is>
      </c>
      <c r="C1060" s="1" t="inlineStr">
        <is>
          <t>3474285</t>
        </is>
      </c>
      <c r="D1060" t="inlineStr">
        <is>
          <t>работник 306</t>
        </is>
      </c>
      <c r="E1060" s="1" t="inlineStr">
        <is>
          <t>ОБЩЕСТВО С ОГРАНИЧЕННОЙ ОТВЕТСТВЕННОСТЬЮ "АМУР ЗОЛОТО"</t>
        </is>
      </c>
      <c r="F1060" s="1" t="inlineStr">
        <is>
          <t>2708001686</t>
        </is>
      </c>
      <c r="G1060" s="1" t="inlineStr">
        <is>
          <t>Машинист  самоходной буровой установки</t>
        </is>
      </c>
      <c r="H1060" s="1" t="inlineStr">
        <is>
          <t>ООО "Амур Золото"</t>
        </is>
      </c>
      <c r="I1060" s="1" t="inlineStr">
        <is>
          <t>2708001686</t>
        </is>
      </c>
      <c r="J1060" s="1" t="inlineStr">
        <is>
          <t>ОТ № ЮГОК ПГУ 24-05</t>
        </is>
      </c>
      <c r="K1060" s="1" t="inlineStr">
        <is>
          <t>Оказание первой помощи пострадавшим</t>
        </is>
      </c>
      <c r="L1060" s="1" t="inlineStr">
        <is>
          <t>05.03.2024</t>
        </is>
      </c>
      <c r="M1060" s="1" t="inlineStr">
        <is>
          <t>Успешно</t>
        </is>
      </c>
      <c r="N1060" s="1" t="inlineStr">
        <is>
          <t>11.03.2024</t>
        </is>
      </c>
      <c r="O1060" s="1" t="inlineStr"/>
      <c r="P1060" s="1" t="inlineStr"/>
      <c r="Q1060" s="1" t="inlineStr">
        <is>
          <t>Пользовательский интерфейс</t>
        </is>
      </c>
    </row>
    <row r="1061">
      <c r="B1061" s="1" t="inlineStr">
        <is>
          <t>43299695</t>
        </is>
      </c>
      <c r="C1061" s="1" t="inlineStr">
        <is>
          <t>3474285</t>
        </is>
      </c>
      <c r="D1061" t="inlineStr">
        <is>
          <t>работник 306</t>
        </is>
      </c>
      <c r="E1061" s="1" t="inlineStr">
        <is>
          <t>ОБЩЕСТВО С ОГРАНИЧЕННОЙ ОТВЕТСТВЕННОСТЬЮ "АМУР ЗОЛОТО"</t>
        </is>
      </c>
      <c r="F1061" s="1" t="inlineStr">
        <is>
          <t>2708001686</t>
        </is>
      </c>
      <c r="G1061" s="1" t="inlineStr">
        <is>
          <t>Машинист  самоходной буровой установки</t>
        </is>
      </c>
      <c r="H1061" s="1" t="inlineStr">
        <is>
          <t>ООО "Амур Золото"</t>
        </is>
      </c>
      <c r="I1061" s="1" t="inlineStr">
        <is>
          <t>2708001686</t>
        </is>
      </c>
      <c r="J1061" s="1" t="inlineStr">
        <is>
          <t>ОТ № ЮГОК ПГУ 24-05</t>
        </is>
      </c>
      <c r="K1061" s="1" t="inlineStr">
        <is>
          <t>Использование (применение) средств индивидуальной защиты</t>
        </is>
      </c>
      <c r="L1061" s="1" t="inlineStr">
        <is>
          <t>05.03.2024</t>
        </is>
      </c>
      <c r="M1061" s="1" t="inlineStr">
        <is>
          <t>Успешно</t>
        </is>
      </c>
      <c r="N1061" s="1" t="inlineStr">
        <is>
          <t>11.03.2024</t>
        </is>
      </c>
      <c r="O1061" s="1" t="inlineStr"/>
      <c r="P1061" s="1" t="inlineStr"/>
      <c r="Q1061" s="1" t="inlineStr">
        <is>
          <t>Пользовательский интерфейс</t>
        </is>
      </c>
    </row>
    <row r="1062">
      <c r="B1062" s="1" t="inlineStr">
        <is>
          <t>43299696</t>
        </is>
      </c>
      <c r="C1062" s="1" t="inlineStr">
        <is>
          <t>3474285</t>
        </is>
      </c>
      <c r="D1062" t="inlineStr">
        <is>
          <t>работник 306</t>
        </is>
      </c>
      <c r="E1062" s="1" t="inlineStr">
        <is>
          <t>ОБЩЕСТВО С ОГРАНИЧЕННОЙ ОТВЕТСТВЕННОСТЬЮ "АМУР ЗОЛОТО"</t>
        </is>
      </c>
      <c r="F1062" s="1" t="inlineStr">
        <is>
          <t>2708001686</t>
        </is>
      </c>
      <c r="G1062" s="1" t="inlineStr">
        <is>
          <t>Машинист  самоходной буровой установки</t>
        </is>
      </c>
      <c r="H1062" s="1" t="inlineStr">
        <is>
          <t>ООО "Амур Золото"</t>
        </is>
      </c>
      <c r="I1062" s="1" t="inlineStr">
        <is>
          <t>2708001686</t>
        </is>
      </c>
      <c r="J1062" s="1" t="inlineStr">
        <is>
          <t>ОТ № ЮГОК ПГУ 24-05</t>
        </is>
      </c>
      <c r="K106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062" s="1" t="inlineStr">
        <is>
          <t>05.03.2024</t>
        </is>
      </c>
      <c r="M1062" s="1" t="inlineStr">
        <is>
          <t>Успешно</t>
        </is>
      </c>
      <c r="N1062" s="1" t="inlineStr">
        <is>
          <t>11.03.2024</t>
        </is>
      </c>
      <c r="O1062" s="1" t="inlineStr"/>
      <c r="P1062" s="1" t="inlineStr"/>
      <c r="Q1062" s="1" t="inlineStr">
        <is>
          <t>Пользовательский интерфейс</t>
        </is>
      </c>
    </row>
    <row r="1063">
      <c r="B1063" s="1" t="inlineStr">
        <is>
          <t>43299697</t>
        </is>
      </c>
      <c r="C1063" s="1" t="inlineStr">
        <is>
          <t>3474285</t>
        </is>
      </c>
      <c r="D1063" t="inlineStr">
        <is>
          <t>работник 307</t>
        </is>
      </c>
      <c r="E1063" s="1" t="inlineStr">
        <is>
          <t>ОБЩЕСТВО С ОГРАНИЧЕННОЙ ОТВЕТСТВЕННОСТЬЮ "АМУР ЗОЛОТО"</t>
        </is>
      </c>
      <c r="F1063" s="1" t="inlineStr">
        <is>
          <t>2708001686</t>
        </is>
      </c>
      <c r="G1063" s="1" t="inlineStr">
        <is>
          <t>Электрослесарь (слесарь) дежурный и по ремонту оборудования подземного горного участка</t>
        </is>
      </c>
      <c r="H1063" s="1" t="inlineStr">
        <is>
          <t>ООО "Амур Золото"</t>
        </is>
      </c>
      <c r="I1063" s="1" t="inlineStr">
        <is>
          <t>2708001686</t>
        </is>
      </c>
      <c r="J1063" s="1" t="inlineStr">
        <is>
          <t>ОТ № ЮГОК ПГУ 24-05</t>
        </is>
      </c>
      <c r="K1063" s="1" t="inlineStr">
        <is>
          <t>Оказание первой помощи пострадавшим</t>
        </is>
      </c>
      <c r="L1063" s="1" t="inlineStr">
        <is>
          <t>05.03.2024</t>
        </is>
      </c>
      <c r="M1063" s="1" t="inlineStr">
        <is>
          <t>Успешно</t>
        </is>
      </c>
      <c r="N1063" s="1" t="inlineStr">
        <is>
          <t>11.03.2024</t>
        </is>
      </c>
      <c r="O1063" s="1" t="inlineStr"/>
      <c r="P1063" s="1" t="inlineStr"/>
      <c r="Q1063" s="1" t="inlineStr">
        <is>
          <t>Пользовательский интерфейс</t>
        </is>
      </c>
    </row>
    <row r="1064">
      <c r="B1064" s="1" t="inlineStr">
        <is>
          <t>43299698</t>
        </is>
      </c>
      <c r="C1064" s="1" t="inlineStr">
        <is>
          <t>3474285</t>
        </is>
      </c>
      <c r="D1064" t="inlineStr">
        <is>
          <t>работник 307</t>
        </is>
      </c>
      <c r="E1064" s="1" t="inlineStr">
        <is>
          <t>ОБЩЕСТВО С ОГРАНИЧЕННОЙ ОТВЕТСТВЕННОСТЬЮ "АМУР ЗОЛОТО"</t>
        </is>
      </c>
      <c r="F1064" s="1" t="inlineStr">
        <is>
          <t>2708001686</t>
        </is>
      </c>
      <c r="G1064" s="1" t="inlineStr">
        <is>
          <t>Электрослесарь (слесарь) дежурный и по ремонту оборудования подземного горного участка</t>
        </is>
      </c>
      <c r="H1064" s="1" t="inlineStr">
        <is>
          <t>ООО "Амур Золото"</t>
        </is>
      </c>
      <c r="I1064" s="1" t="inlineStr">
        <is>
          <t>2708001686</t>
        </is>
      </c>
      <c r="J1064" s="1" t="inlineStr">
        <is>
          <t>ОТ № ЮГОК ПГУ 24-05</t>
        </is>
      </c>
      <c r="K1064" s="1" t="inlineStr">
        <is>
          <t>Использование (применение) средств индивидуальной защиты</t>
        </is>
      </c>
      <c r="L1064" s="1" t="inlineStr">
        <is>
          <t>05.03.2024</t>
        </is>
      </c>
      <c r="M1064" s="1" t="inlineStr">
        <is>
          <t>Успешно</t>
        </is>
      </c>
      <c r="N1064" s="1" t="inlineStr">
        <is>
          <t>11.03.2024</t>
        </is>
      </c>
      <c r="O1064" s="1" t="inlineStr"/>
      <c r="P1064" s="1" t="inlineStr"/>
      <c r="Q1064" s="1" t="inlineStr">
        <is>
          <t>Пользовательский интерфейс</t>
        </is>
      </c>
    </row>
    <row r="1065">
      <c r="B1065" s="1" t="inlineStr">
        <is>
          <t>43299699</t>
        </is>
      </c>
      <c r="C1065" s="1" t="inlineStr">
        <is>
          <t>3474285</t>
        </is>
      </c>
      <c r="D1065" t="inlineStr">
        <is>
          <t>работник 307</t>
        </is>
      </c>
      <c r="E1065" s="1" t="inlineStr">
        <is>
          <t>ОБЩЕСТВО С ОГРАНИЧЕННОЙ ОТВЕТСТВЕННОСТЬЮ "АМУР ЗОЛОТО"</t>
        </is>
      </c>
      <c r="F1065" s="1" t="inlineStr">
        <is>
          <t>2708001686</t>
        </is>
      </c>
      <c r="G1065" s="1" t="inlineStr">
        <is>
          <t>Электрослесарь (слесарь) дежурный и по ремонту оборудования подземного горного участка</t>
        </is>
      </c>
      <c r="H1065" s="1" t="inlineStr">
        <is>
          <t>ООО "Амур Золото"</t>
        </is>
      </c>
      <c r="I1065" s="1" t="inlineStr">
        <is>
          <t>2708001686</t>
        </is>
      </c>
      <c r="J1065" s="1" t="inlineStr">
        <is>
          <t>ОТ № ЮГОК ПГУ 24-05</t>
        </is>
      </c>
      <c r="K106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065" s="1" t="inlineStr">
        <is>
          <t>05.03.2024</t>
        </is>
      </c>
      <c r="M1065" s="1" t="inlineStr">
        <is>
          <t>Успешно</t>
        </is>
      </c>
      <c r="N1065" s="1" t="inlineStr">
        <is>
          <t>11.03.2024</t>
        </is>
      </c>
      <c r="O1065" s="1" t="inlineStr"/>
      <c r="P1065" s="1" t="inlineStr"/>
      <c r="Q1065" s="1" t="inlineStr">
        <is>
          <t>Пользовательский интерфейс</t>
        </is>
      </c>
    </row>
    <row r="1066">
      <c r="B1066" s="1" t="inlineStr">
        <is>
          <t>43299700</t>
        </is>
      </c>
      <c r="C1066" s="1" t="inlineStr">
        <is>
          <t>3474285</t>
        </is>
      </c>
      <c r="D1066" t="inlineStr">
        <is>
          <t>работник 308</t>
        </is>
      </c>
      <c r="E1066" s="1" t="inlineStr">
        <is>
          <t>ОБЩЕСТВО С ОГРАНИЧЕННОЙ ОТВЕТСТВЕННОСТЬЮ "АМУР ЗОЛОТО"</t>
        </is>
      </c>
      <c r="F1066" s="1" t="inlineStr">
        <is>
          <t>2708001686</t>
        </is>
      </c>
      <c r="G1066" s="1" t="inlineStr">
        <is>
          <t>Электрослесарь (слесарь) дежурный и по ремонту оборудования подземного горного участка</t>
        </is>
      </c>
      <c r="H1066" s="1" t="inlineStr">
        <is>
          <t>ООО "Амур Золото"</t>
        </is>
      </c>
      <c r="I1066" s="1" t="inlineStr">
        <is>
          <t>2708001686</t>
        </is>
      </c>
      <c r="J1066" s="1" t="inlineStr">
        <is>
          <t>ОТ № ЮГОК ПГУ 24-05</t>
        </is>
      </c>
      <c r="K1066" s="1" t="inlineStr">
        <is>
          <t>Оказание первой помощи пострадавшим</t>
        </is>
      </c>
      <c r="L1066" s="1" t="inlineStr">
        <is>
          <t>05.03.2024</t>
        </is>
      </c>
      <c r="M1066" s="1" t="inlineStr">
        <is>
          <t>Успешно</t>
        </is>
      </c>
      <c r="N1066" s="1" t="inlineStr">
        <is>
          <t>11.03.2024</t>
        </is>
      </c>
      <c r="O1066" s="1" t="inlineStr"/>
      <c r="P1066" s="1" t="inlineStr"/>
      <c r="Q1066" s="1" t="inlineStr">
        <is>
          <t>Пользовательский интерфейс</t>
        </is>
      </c>
    </row>
    <row r="1067">
      <c r="B1067" s="1" t="inlineStr">
        <is>
          <t>43299701</t>
        </is>
      </c>
      <c r="C1067" s="1" t="inlineStr">
        <is>
          <t>3474285</t>
        </is>
      </c>
      <c r="D1067" t="inlineStr">
        <is>
          <t>работник 308</t>
        </is>
      </c>
      <c r="E1067" s="1" t="inlineStr">
        <is>
          <t>ОБЩЕСТВО С ОГРАНИЧЕННОЙ ОТВЕТСТВЕННОСТЬЮ "АМУР ЗОЛОТО"</t>
        </is>
      </c>
      <c r="F1067" s="1" t="inlineStr">
        <is>
          <t>2708001686</t>
        </is>
      </c>
      <c r="G1067" s="1" t="inlineStr">
        <is>
          <t>Электрослесарь (слесарь) дежурный и по ремонту оборудования подземного горного участка</t>
        </is>
      </c>
      <c r="H1067" s="1" t="inlineStr">
        <is>
          <t>ООО "Амур Золото"</t>
        </is>
      </c>
      <c r="I1067" s="1" t="inlineStr">
        <is>
          <t>2708001686</t>
        </is>
      </c>
      <c r="J1067" s="1" t="inlineStr">
        <is>
          <t>ОТ № ЮГОК ПГУ 24-05</t>
        </is>
      </c>
      <c r="K1067" s="1" t="inlineStr">
        <is>
          <t>Использование (применение) средств индивидуальной защиты</t>
        </is>
      </c>
      <c r="L1067" s="1" t="inlineStr">
        <is>
          <t>05.03.2024</t>
        </is>
      </c>
      <c r="M1067" s="1" t="inlineStr">
        <is>
          <t>Успешно</t>
        </is>
      </c>
      <c r="N1067" s="1" t="inlineStr">
        <is>
          <t>11.03.2024</t>
        </is>
      </c>
      <c r="O1067" s="1" t="inlineStr"/>
      <c r="P1067" s="1" t="inlineStr"/>
      <c r="Q1067" s="1" t="inlineStr">
        <is>
          <t>Пользовательский интерфейс</t>
        </is>
      </c>
    </row>
    <row r="1068">
      <c r="B1068" s="1" t="inlineStr">
        <is>
          <t>43299702</t>
        </is>
      </c>
      <c r="C1068" s="1" t="inlineStr">
        <is>
          <t>3474285</t>
        </is>
      </c>
      <c r="D1068" t="inlineStr">
        <is>
          <t>работник 308</t>
        </is>
      </c>
      <c r="E1068" s="1" t="inlineStr">
        <is>
          <t>ОБЩЕСТВО С ОГРАНИЧЕННОЙ ОТВЕТСТВЕННОСТЬЮ "АМУР ЗОЛОТО"</t>
        </is>
      </c>
      <c r="F1068" s="1" t="inlineStr">
        <is>
          <t>2708001686</t>
        </is>
      </c>
      <c r="G1068" s="1" t="inlineStr">
        <is>
          <t>Электрослесарь (слесарь) дежурный и по ремонту оборудования подземного горного участка</t>
        </is>
      </c>
      <c r="H1068" s="1" t="inlineStr">
        <is>
          <t>ООО "Амур Золото"</t>
        </is>
      </c>
      <c r="I1068" s="1" t="inlineStr">
        <is>
          <t>2708001686</t>
        </is>
      </c>
      <c r="J1068" s="1" t="inlineStr">
        <is>
          <t>ОТ № ЮГОК ПГУ 24-05</t>
        </is>
      </c>
      <c r="K106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068" s="1" t="inlineStr">
        <is>
          <t>05.03.2024</t>
        </is>
      </c>
      <c r="M1068" s="1" t="inlineStr">
        <is>
          <t>Успешно</t>
        </is>
      </c>
      <c r="N1068" s="1" t="inlineStr">
        <is>
          <t>11.03.2024</t>
        </is>
      </c>
      <c r="O1068" s="1" t="inlineStr"/>
      <c r="P1068" s="1" t="inlineStr"/>
      <c r="Q1068" s="1" t="inlineStr">
        <is>
          <t>Пользовательский интерфейс</t>
        </is>
      </c>
    </row>
    <row r="1069">
      <c r="B1069" s="1" t="inlineStr">
        <is>
          <t>43299703</t>
        </is>
      </c>
      <c r="C1069" s="1" t="inlineStr">
        <is>
          <t>3474285</t>
        </is>
      </c>
      <c r="D1069" t="inlineStr">
        <is>
          <t>работник 309</t>
        </is>
      </c>
      <c r="E1069" s="1" t="inlineStr">
        <is>
          <t>ОБЩЕСТВО С ОГРАНИЧЕННОЙ ОТВЕТСТВЕННОСТЬЮ "АМУР ЗОЛОТО"</t>
        </is>
      </c>
      <c r="F1069" s="1" t="inlineStr">
        <is>
          <t>2708001686</t>
        </is>
      </c>
      <c r="G1069" s="1" t="inlineStr">
        <is>
          <t>Крепильщик</t>
        </is>
      </c>
      <c r="H1069" s="1" t="inlineStr">
        <is>
          <t>ООО "Амур Золото"</t>
        </is>
      </c>
      <c r="I1069" s="1" t="inlineStr">
        <is>
          <t>2708001686</t>
        </is>
      </c>
      <c r="J1069" s="1" t="inlineStr">
        <is>
          <t>ОТ № ЮГОК ПГУ 24-05</t>
        </is>
      </c>
      <c r="K1069" s="1" t="inlineStr">
        <is>
          <t>Оказание первой помощи пострадавшим</t>
        </is>
      </c>
      <c r="L1069" s="1" t="inlineStr">
        <is>
          <t>05.03.2024</t>
        </is>
      </c>
      <c r="M1069" s="1" t="inlineStr">
        <is>
          <t>Успешно</t>
        </is>
      </c>
      <c r="N1069" s="1" t="inlineStr">
        <is>
          <t>11.03.2024</t>
        </is>
      </c>
      <c r="O1069" s="1" t="inlineStr"/>
      <c r="P1069" s="1" t="inlineStr"/>
      <c r="Q1069" s="1" t="inlineStr">
        <is>
          <t>Пользовательский интерфейс</t>
        </is>
      </c>
    </row>
    <row r="1070">
      <c r="B1070" s="1" t="inlineStr">
        <is>
          <t>43299704</t>
        </is>
      </c>
      <c r="C1070" s="1" t="inlineStr">
        <is>
          <t>3474285</t>
        </is>
      </c>
      <c r="D1070" t="inlineStr">
        <is>
          <t>работник 309</t>
        </is>
      </c>
      <c r="E1070" s="1" t="inlineStr">
        <is>
          <t>ОБЩЕСТВО С ОГРАНИЧЕННОЙ ОТВЕТСТВЕННОСТЬЮ "АМУР ЗОЛОТО"</t>
        </is>
      </c>
      <c r="F1070" s="1" t="inlineStr">
        <is>
          <t>2708001686</t>
        </is>
      </c>
      <c r="G1070" s="1" t="inlineStr">
        <is>
          <t>Крепильщик</t>
        </is>
      </c>
      <c r="H1070" s="1" t="inlineStr">
        <is>
          <t>ООО "Амур Золото"</t>
        </is>
      </c>
      <c r="I1070" s="1" t="inlineStr">
        <is>
          <t>2708001686</t>
        </is>
      </c>
      <c r="J1070" s="1" t="inlineStr">
        <is>
          <t>ОТ № ЮГОК ПГУ 24-05</t>
        </is>
      </c>
      <c r="K1070" s="1" t="inlineStr">
        <is>
          <t>Использование (применение) средств индивидуальной защиты</t>
        </is>
      </c>
      <c r="L1070" s="1" t="inlineStr">
        <is>
          <t>05.03.2024</t>
        </is>
      </c>
      <c r="M1070" s="1" t="inlineStr">
        <is>
          <t>Успешно</t>
        </is>
      </c>
      <c r="N1070" s="1" t="inlineStr">
        <is>
          <t>11.03.2024</t>
        </is>
      </c>
      <c r="O1070" s="1" t="inlineStr"/>
      <c r="P1070" s="1" t="inlineStr"/>
      <c r="Q1070" s="1" t="inlineStr">
        <is>
          <t>Пользовательский интерфейс</t>
        </is>
      </c>
    </row>
    <row r="1071">
      <c r="B1071" s="1" t="inlineStr">
        <is>
          <t>43299705</t>
        </is>
      </c>
      <c r="C1071" s="1" t="inlineStr">
        <is>
          <t>3474285</t>
        </is>
      </c>
      <c r="D1071" t="inlineStr">
        <is>
          <t>работник 309</t>
        </is>
      </c>
      <c r="E1071" s="1" t="inlineStr">
        <is>
          <t>ОБЩЕСТВО С ОГРАНИЧЕННОЙ ОТВЕТСТВЕННОСТЬЮ "АМУР ЗОЛОТО"</t>
        </is>
      </c>
      <c r="F1071" s="1" t="inlineStr">
        <is>
          <t>2708001686</t>
        </is>
      </c>
      <c r="G1071" s="1" t="inlineStr">
        <is>
          <t>Крепильщик</t>
        </is>
      </c>
      <c r="H1071" s="1" t="inlineStr">
        <is>
          <t>ООО "Амур Золото"</t>
        </is>
      </c>
      <c r="I1071" s="1" t="inlineStr">
        <is>
          <t>2708001686</t>
        </is>
      </c>
      <c r="J1071" s="1" t="inlineStr">
        <is>
          <t>ОТ № ЮГОК ПГУ 24-05</t>
        </is>
      </c>
      <c r="K107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071" s="1" t="inlineStr">
        <is>
          <t>05.03.2024</t>
        </is>
      </c>
      <c r="M1071" s="1" t="inlineStr">
        <is>
          <t>Успешно</t>
        </is>
      </c>
      <c r="N1071" s="1" t="inlineStr">
        <is>
          <t>11.03.2024</t>
        </is>
      </c>
      <c r="O1071" s="1" t="inlineStr"/>
      <c r="P1071" s="1" t="inlineStr"/>
      <c r="Q1071" s="1" t="inlineStr">
        <is>
          <t>Пользовательский интерфейс</t>
        </is>
      </c>
    </row>
    <row r="1072">
      <c r="B1072" s="1" t="inlineStr">
        <is>
          <t>43299706</t>
        </is>
      </c>
      <c r="C1072" s="1" t="inlineStr">
        <is>
          <t>3474285</t>
        </is>
      </c>
      <c r="D1072" t="inlineStr">
        <is>
          <t>работник 310</t>
        </is>
      </c>
      <c r="E1072" s="1" t="inlineStr">
        <is>
          <t>ОБЩЕСТВО С ОГРАНИЧЕННОЙ ОТВЕТСТВЕННОСТЬЮ "АМУР ЗОЛОТО"</t>
        </is>
      </c>
      <c r="F1072" s="1" t="inlineStr">
        <is>
          <t>2708001686</t>
        </is>
      </c>
      <c r="G1072" s="1" t="inlineStr">
        <is>
          <t>Проходчик (с исполнением обязанностей взрывника)</t>
        </is>
      </c>
      <c r="H1072" s="1" t="inlineStr">
        <is>
          <t>ООО "Амур Золото"</t>
        </is>
      </c>
      <c r="I1072" s="1" t="inlineStr">
        <is>
          <t>2708001686</t>
        </is>
      </c>
      <c r="J1072" s="1" t="inlineStr">
        <is>
          <t>ОТ № ЮГОК ПГУ 24-05</t>
        </is>
      </c>
      <c r="K1072" s="1" t="inlineStr">
        <is>
          <t>Оказание первой помощи пострадавшим</t>
        </is>
      </c>
      <c r="L1072" s="1" t="inlineStr">
        <is>
          <t>05.03.2024</t>
        </is>
      </c>
      <c r="M1072" s="1" t="inlineStr">
        <is>
          <t>Успешно</t>
        </is>
      </c>
      <c r="N1072" s="1" t="inlineStr">
        <is>
          <t>11.03.2024</t>
        </is>
      </c>
      <c r="O1072" s="1" t="inlineStr"/>
      <c r="P1072" s="1" t="inlineStr"/>
      <c r="Q1072" s="1" t="inlineStr">
        <is>
          <t>Пользовательский интерфейс</t>
        </is>
      </c>
    </row>
    <row r="1073">
      <c r="B1073" s="1" t="inlineStr">
        <is>
          <t>43299707</t>
        </is>
      </c>
      <c r="C1073" s="1" t="inlineStr">
        <is>
          <t>3474285</t>
        </is>
      </c>
      <c r="D1073" t="inlineStr">
        <is>
          <t>работник 310</t>
        </is>
      </c>
      <c r="E1073" s="1" t="inlineStr">
        <is>
          <t>ОБЩЕСТВО С ОГРАНИЧЕННОЙ ОТВЕТСТВЕННОСТЬЮ "АМУР ЗОЛОТО"</t>
        </is>
      </c>
      <c r="F1073" s="1" t="inlineStr">
        <is>
          <t>2708001686</t>
        </is>
      </c>
      <c r="G1073" s="1" t="inlineStr">
        <is>
          <t>Проходчик (с исполнением обязанностей взрывника)</t>
        </is>
      </c>
      <c r="H1073" s="1" t="inlineStr">
        <is>
          <t>ООО "Амур Золото"</t>
        </is>
      </c>
      <c r="I1073" s="1" t="inlineStr">
        <is>
          <t>2708001686</t>
        </is>
      </c>
      <c r="J1073" s="1" t="inlineStr">
        <is>
          <t>ОТ № ЮГОК ПГУ 24-05</t>
        </is>
      </c>
      <c r="K1073" s="1" t="inlineStr">
        <is>
          <t>Использование (применение) средств индивидуальной защиты</t>
        </is>
      </c>
      <c r="L1073" s="1" t="inlineStr">
        <is>
          <t>05.03.2024</t>
        </is>
      </c>
      <c r="M1073" s="1" t="inlineStr">
        <is>
          <t>Успешно</t>
        </is>
      </c>
      <c r="N1073" s="1" t="inlineStr">
        <is>
          <t>11.03.2024</t>
        </is>
      </c>
      <c r="O1073" s="1" t="inlineStr"/>
      <c r="P1073" s="1" t="inlineStr"/>
      <c r="Q1073" s="1" t="inlineStr">
        <is>
          <t>Пользовательский интерфейс</t>
        </is>
      </c>
    </row>
    <row r="1074">
      <c r="B1074" s="1" t="inlineStr">
        <is>
          <t>43299708</t>
        </is>
      </c>
      <c r="C1074" s="1" t="inlineStr">
        <is>
          <t>3474285</t>
        </is>
      </c>
      <c r="D1074" t="inlineStr">
        <is>
          <t>работник 310</t>
        </is>
      </c>
      <c r="E1074" s="1" t="inlineStr">
        <is>
          <t>ОБЩЕСТВО С ОГРАНИЧЕННОЙ ОТВЕТСТВЕННОСТЬЮ "АМУР ЗОЛОТО"</t>
        </is>
      </c>
      <c r="F1074" s="1" t="inlineStr">
        <is>
          <t>2708001686</t>
        </is>
      </c>
      <c r="G1074" s="1" t="inlineStr">
        <is>
          <t>Проходчик (с исполнением обязанностей взрывника)</t>
        </is>
      </c>
      <c r="H1074" s="1" t="inlineStr">
        <is>
          <t>ООО "Амур Золото"</t>
        </is>
      </c>
      <c r="I1074" s="1" t="inlineStr">
        <is>
          <t>2708001686</t>
        </is>
      </c>
      <c r="J1074" s="1" t="inlineStr">
        <is>
          <t>ОТ № ЮГОК ПГУ 24-05</t>
        </is>
      </c>
      <c r="K107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074" s="1" t="inlineStr">
        <is>
          <t>05.03.2024</t>
        </is>
      </c>
      <c r="M1074" s="1" t="inlineStr">
        <is>
          <t>Успешно</t>
        </is>
      </c>
      <c r="N1074" s="1" t="inlineStr">
        <is>
          <t>11.03.2024</t>
        </is>
      </c>
      <c r="O1074" s="1" t="inlineStr"/>
      <c r="P1074" s="1" t="inlineStr"/>
      <c r="Q1074" s="1" t="inlineStr">
        <is>
          <t>Пользовательский интерфейс</t>
        </is>
      </c>
    </row>
    <row r="1075">
      <c r="B1075" s="1" t="inlineStr">
        <is>
          <t>43299709</t>
        </is>
      </c>
      <c r="C1075" s="1" t="inlineStr">
        <is>
          <t>3474285</t>
        </is>
      </c>
      <c r="D1075" t="inlineStr">
        <is>
          <t>работник 311</t>
        </is>
      </c>
      <c r="E1075" s="1" t="inlineStr">
        <is>
          <t>ОБЩЕСТВО С ОГРАНИЧЕННОЙ ОТВЕТСТВЕННОСТЬЮ "АМУР ЗОЛОТО"</t>
        </is>
      </c>
      <c r="F1075" s="1" t="inlineStr">
        <is>
          <t>2708001686</t>
        </is>
      </c>
      <c r="G1075" s="1" t="inlineStr">
        <is>
          <t>Помощник машиниста  самоходной буровой установки (с исполнением обязанностей пробоотборщика) (Очистное)</t>
        </is>
      </c>
      <c r="H1075" s="1" t="inlineStr">
        <is>
          <t>ООО "Амур Золото"</t>
        </is>
      </c>
      <c r="I1075" s="1" t="inlineStr">
        <is>
          <t>2708001686</t>
        </is>
      </c>
      <c r="J1075" s="1" t="inlineStr">
        <is>
          <t>ОТ № ЮГОК ПГУ 24-05</t>
        </is>
      </c>
      <c r="K1075" s="1" t="inlineStr">
        <is>
          <t>Оказание первой помощи пострадавшим</t>
        </is>
      </c>
      <c r="L1075" s="1" t="inlineStr">
        <is>
          <t>05.03.2024</t>
        </is>
      </c>
      <c r="M1075" s="1" t="inlineStr">
        <is>
          <t>Успешно</t>
        </is>
      </c>
      <c r="N1075" s="1" t="inlineStr">
        <is>
          <t>11.03.2024</t>
        </is>
      </c>
      <c r="O1075" s="1" t="inlineStr"/>
      <c r="P1075" s="1" t="inlineStr"/>
      <c r="Q1075" s="1" t="inlineStr">
        <is>
          <t>Пользовательский интерфейс</t>
        </is>
      </c>
    </row>
    <row r="1076">
      <c r="B1076" s="1" t="inlineStr">
        <is>
          <t>43299710</t>
        </is>
      </c>
      <c r="C1076" s="1" t="inlineStr">
        <is>
          <t>3474285</t>
        </is>
      </c>
      <c r="D1076" t="inlineStr">
        <is>
          <t>работник 311</t>
        </is>
      </c>
      <c r="E1076" s="1" t="inlineStr">
        <is>
          <t>ОБЩЕСТВО С ОГРАНИЧЕННОЙ ОТВЕТСТВЕННОСТЬЮ "АМУР ЗОЛОТО"</t>
        </is>
      </c>
      <c r="F1076" s="1" t="inlineStr">
        <is>
          <t>2708001686</t>
        </is>
      </c>
      <c r="G1076" s="1" t="inlineStr">
        <is>
          <t>Помощник машиниста  самоходной буровой установки (с исполнением обязанностей пробоотборщика) (Очистное)</t>
        </is>
      </c>
      <c r="H1076" s="1" t="inlineStr">
        <is>
          <t>ООО "Амур Золото"</t>
        </is>
      </c>
      <c r="I1076" s="1" t="inlineStr">
        <is>
          <t>2708001686</t>
        </is>
      </c>
      <c r="J1076" s="1" t="inlineStr">
        <is>
          <t>ОТ № ЮГОК ПГУ 24-05</t>
        </is>
      </c>
      <c r="K1076" s="1" t="inlineStr">
        <is>
          <t>Использование (применение) средств индивидуальной защиты</t>
        </is>
      </c>
      <c r="L1076" s="1" t="inlineStr">
        <is>
          <t>05.03.2024</t>
        </is>
      </c>
      <c r="M1076" s="1" t="inlineStr">
        <is>
          <t>Успешно</t>
        </is>
      </c>
      <c r="N1076" s="1" t="inlineStr">
        <is>
          <t>11.03.2024</t>
        </is>
      </c>
      <c r="O1076" s="1" t="inlineStr"/>
      <c r="P1076" s="1" t="inlineStr"/>
      <c r="Q1076" s="1" t="inlineStr">
        <is>
          <t>Пользовательский интерфейс</t>
        </is>
      </c>
    </row>
    <row r="1077">
      <c r="B1077" s="1" t="inlineStr">
        <is>
          <t>43299711</t>
        </is>
      </c>
      <c r="C1077" s="1" t="inlineStr">
        <is>
          <t>3474285</t>
        </is>
      </c>
      <c r="D1077" t="inlineStr">
        <is>
          <t>работник 311</t>
        </is>
      </c>
      <c r="E1077" s="1" t="inlineStr">
        <is>
          <t>ОБЩЕСТВО С ОГРАНИЧЕННОЙ ОТВЕТСТВЕННОСТЬЮ "АМУР ЗОЛОТО"</t>
        </is>
      </c>
      <c r="F1077" s="1" t="inlineStr">
        <is>
          <t>2708001686</t>
        </is>
      </c>
      <c r="G1077" s="1" t="inlineStr">
        <is>
          <t>Помощник машиниста  самоходной буровой установки (с исполнением обязанностей пробоотборщика) (Очистное)</t>
        </is>
      </c>
      <c r="H1077" s="1" t="inlineStr">
        <is>
          <t>ООО "Амур Золото"</t>
        </is>
      </c>
      <c r="I1077" s="1" t="inlineStr">
        <is>
          <t>2708001686</t>
        </is>
      </c>
      <c r="J1077" s="1" t="inlineStr">
        <is>
          <t>ОТ № ЮГОК ПГУ 24-05</t>
        </is>
      </c>
      <c r="K107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077" s="1" t="inlineStr">
        <is>
          <t>05.03.2024</t>
        </is>
      </c>
      <c r="M1077" s="1" t="inlineStr">
        <is>
          <t>Успешно</t>
        </is>
      </c>
      <c r="N1077" s="1" t="inlineStr">
        <is>
          <t>11.03.2024</t>
        </is>
      </c>
      <c r="O1077" s="1" t="inlineStr"/>
      <c r="P1077" s="1" t="inlineStr"/>
      <c r="Q1077" s="1" t="inlineStr">
        <is>
          <t>Пользовательский интерфейс</t>
        </is>
      </c>
    </row>
    <row r="1078">
      <c r="B1078" s="1" t="inlineStr">
        <is>
          <t>43299712</t>
        </is>
      </c>
      <c r="C1078" s="1" t="inlineStr">
        <is>
          <t>3474285</t>
        </is>
      </c>
      <c r="D1078" t="inlineStr">
        <is>
          <t>работник 312</t>
        </is>
      </c>
      <c r="E1078" s="1" t="inlineStr">
        <is>
          <t>ОБЩЕСТВО С ОГРАНИЧЕННОЙ ОТВЕТСТВЕННОСТЬЮ "АМУР ЗОЛОТО"</t>
        </is>
      </c>
      <c r="F1078" s="1" t="inlineStr">
        <is>
          <t>2708001686</t>
        </is>
      </c>
      <c r="G1078" s="1" t="inlineStr">
        <is>
          <t>Проходчик</t>
        </is>
      </c>
      <c r="H1078" s="1" t="inlineStr">
        <is>
          <t>ООО "Амур Золото"</t>
        </is>
      </c>
      <c r="I1078" s="1" t="inlineStr">
        <is>
          <t>2708001686</t>
        </is>
      </c>
      <c r="J1078" s="1" t="inlineStr">
        <is>
          <t>ОТ № ЮГОК ПГУ 24-05</t>
        </is>
      </c>
      <c r="K1078" s="1" t="inlineStr">
        <is>
          <t>Оказание первой помощи пострадавшим</t>
        </is>
      </c>
      <c r="L1078" s="1" t="inlineStr">
        <is>
          <t>05.03.2024</t>
        </is>
      </c>
      <c r="M1078" s="1" t="inlineStr">
        <is>
          <t>Успешно</t>
        </is>
      </c>
      <c r="N1078" s="1" t="inlineStr">
        <is>
          <t>11.03.2024</t>
        </is>
      </c>
      <c r="O1078" s="1" t="inlineStr"/>
      <c r="P1078" s="1" t="inlineStr"/>
      <c r="Q1078" s="1" t="inlineStr">
        <is>
          <t>Пользовательский интерфейс</t>
        </is>
      </c>
    </row>
    <row r="1079">
      <c r="B1079" s="1" t="inlineStr">
        <is>
          <t>43299713</t>
        </is>
      </c>
      <c r="C1079" s="1" t="inlineStr">
        <is>
          <t>3474285</t>
        </is>
      </c>
      <c r="D1079" t="inlineStr">
        <is>
          <t>работник 312</t>
        </is>
      </c>
      <c r="E1079" s="1" t="inlineStr">
        <is>
          <t>ОБЩЕСТВО С ОГРАНИЧЕННОЙ ОТВЕТСТВЕННОСТЬЮ "АМУР ЗОЛОТО"</t>
        </is>
      </c>
      <c r="F1079" s="1" t="inlineStr">
        <is>
          <t>2708001686</t>
        </is>
      </c>
      <c r="G1079" s="1" t="inlineStr">
        <is>
          <t>Проходчик</t>
        </is>
      </c>
      <c r="H1079" s="1" t="inlineStr">
        <is>
          <t>ООО "Амур Золото"</t>
        </is>
      </c>
      <c r="I1079" s="1" t="inlineStr">
        <is>
          <t>2708001686</t>
        </is>
      </c>
      <c r="J1079" s="1" t="inlineStr">
        <is>
          <t>ОТ № ЮГОК ПГУ 24-05</t>
        </is>
      </c>
      <c r="K1079" s="1" t="inlineStr">
        <is>
          <t>Использование (применение) средств индивидуальной защиты</t>
        </is>
      </c>
      <c r="L1079" s="1" t="inlineStr">
        <is>
          <t>05.03.2024</t>
        </is>
      </c>
      <c r="M1079" s="1" t="inlineStr">
        <is>
          <t>Успешно</t>
        </is>
      </c>
      <c r="N1079" s="1" t="inlineStr">
        <is>
          <t>11.03.2024</t>
        </is>
      </c>
      <c r="O1079" s="1" t="inlineStr"/>
      <c r="P1079" s="1" t="inlineStr"/>
      <c r="Q1079" s="1" t="inlineStr">
        <is>
          <t>Пользовательский интерфейс</t>
        </is>
      </c>
    </row>
    <row r="1080">
      <c r="B1080" s="1" t="inlineStr">
        <is>
          <t>43299714</t>
        </is>
      </c>
      <c r="C1080" s="1" t="inlineStr">
        <is>
          <t>3474285</t>
        </is>
      </c>
      <c r="D1080" t="inlineStr">
        <is>
          <t>работник 312</t>
        </is>
      </c>
      <c r="E1080" s="1" t="inlineStr">
        <is>
          <t>ОБЩЕСТВО С ОГРАНИЧЕННОЙ ОТВЕТСТВЕННОСТЬЮ "АМУР ЗОЛОТО"</t>
        </is>
      </c>
      <c r="F1080" s="1" t="inlineStr">
        <is>
          <t>2708001686</t>
        </is>
      </c>
      <c r="G1080" s="1" t="inlineStr">
        <is>
          <t>Проходчик</t>
        </is>
      </c>
      <c r="H1080" s="1" t="inlineStr">
        <is>
          <t>ООО "Амур Золото"</t>
        </is>
      </c>
      <c r="I1080" s="1" t="inlineStr">
        <is>
          <t>2708001686</t>
        </is>
      </c>
      <c r="J1080" s="1" t="inlineStr">
        <is>
          <t>ОТ № ЮГОК ПГУ 24-05</t>
        </is>
      </c>
      <c r="K108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080" s="1" t="inlineStr">
        <is>
          <t>05.03.2024</t>
        </is>
      </c>
      <c r="M1080" s="1" t="inlineStr">
        <is>
          <t>Успешно</t>
        </is>
      </c>
      <c r="N1080" s="1" t="inlineStr">
        <is>
          <t>11.03.2024</t>
        </is>
      </c>
      <c r="O1080" s="1" t="inlineStr"/>
      <c r="P1080" s="1" t="inlineStr"/>
      <c r="Q1080" s="1" t="inlineStr">
        <is>
          <t>Пользовательский интерфейс</t>
        </is>
      </c>
    </row>
    <row r="1081">
      <c r="B1081" s="1" t="inlineStr">
        <is>
          <t>43299715</t>
        </is>
      </c>
      <c r="C1081" s="1" t="inlineStr">
        <is>
          <t>3474285</t>
        </is>
      </c>
      <c r="D1081" t="inlineStr">
        <is>
          <t>работник 313</t>
        </is>
      </c>
      <c r="E1081" s="1" t="inlineStr">
        <is>
          <t>ОБЩЕСТВО С ОГРАНИЧЕННОЙ ОТВЕТСТВЕННОСТЬЮ "АМУР ЗОЛОТО"</t>
        </is>
      </c>
      <c r="F1081" s="1" t="inlineStr">
        <is>
          <t>2708001686</t>
        </is>
      </c>
      <c r="G1081" s="1" t="inlineStr">
        <is>
          <t>Электрослесарь (слесарь) дежурный и по ремонту оборудования подземного горного участка</t>
        </is>
      </c>
      <c r="H1081" s="1" t="inlineStr">
        <is>
          <t>ООО "Амур Золото"</t>
        </is>
      </c>
      <c r="I1081" s="1" t="inlineStr">
        <is>
          <t>2708001686</t>
        </is>
      </c>
      <c r="J1081" s="1" t="inlineStr">
        <is>
          <t>ОТ № ЮГОК ПГУ 24-05</t>
        </is>
      </c>
      <c r="K1081" s="1" t="inlineStr">
        <is>
          <t>Оказание первой помощи пострадавшим</t>
        </is>
      </c>
      <c r="L1081" s="1" t="inlineStr">
        <is>
          <t>05.03.2024</t>
        </is>
      </c>
      <c r="M1081" s="1" t="inlineStr">
        <is>
          <t>Успешно</t>
        </is>
      </c>
      <c r="N1081" s="1" t="inlineStr">
        <is>
          <t>11.03.2024</t>
        </is>
      </c>
      <c r="O1081" s="1" t="inlineStr"/>
      <c r="P1081" s="1" t="inlineStr"/>
      <c r="Q1081" s="1" t="inlineStr">
        <is>
          <t>Пользовательский интерфейс</t>
        </is>
      </c>
    </row>
    <row r="1082">
      <c r="B1082" s="1" t="inlineStr">
        <is>
          <t>43299716</t>
        </is>
      </c>
      <c r="C1082" s="1" t="inlineStr">
        <is>
          <t>3474285</t>
        </is>
      </c>
      <c r="D1082" t="inlineStr">
        <is>
          <t>работник 313</t>
        </is>
      </c>
      <c r="E1082" s="1" t="inlineStr">
        <is>
          <t>ОБЩЕСТВО С ОГРАНИЧЕННОЙ ОТВЕТСТВЕННОСТЬЮ "АМУР ЗОЛОТО"</t>
        </is>
      </c>
      <c r="F1082" s="1" t="inlineStr">
        <is>
          <t>2708001686</t>
        </is>
      </c>
      <c r="G1082" s="1" t="inlineStr">
        <is>
          <t>Электрослесарь (слесарь) дежурный и по ремонту оборудования подземного горного участка</t>
        </is>
      </c>
      <c r="H1082" s="1" t="inlineStr">
        <is>
          <t>ООО "Амур Золото"</t>
        </is>
      </c>
      <c r="I1082" s="1" t="inlineStr">
        <is>
          <t>2708001686</t>
        </is>
      </c>
      <c r="J1082" s="1" t="inlineStr">
        <is>
          <t>ОТ № ЮГОК ПГУ 24-05</t>
        </is>
      </c>
      <c r="K1082" s="1" t="inlineStr">
        <is>
          <t>Использование (применение) средств индивидуальной защиты</t>
        </is>
      </c>
      <c r="L1082" s="1" t="inlineStr">
        <is>
          <t>05.03.2024</t>
        </is>
      </c>
      <c r="M1082" s="1" t="inlineStr">
        <is>
          <t>Успешно</t>
        </is>
      </c>
      <c r="N1082" s="1" t="inlineStr">
        <is>
          <t>11.03.2024</t>
        </is>
      </c>
      <c r="O1082" s="1" t="inlineStr"/>
      <c r="P1082" s="1" t="inlineStr"/>
      <c r="Q1082" s="1" t="inlineStr">
        <is>
          <t>Пользовательский интерфейс</t>
        </is>
      </c>
    </row>
    <row r="1083">
      <c r="B1083" s="1" t="inlineStr">
        <is>
          <t>43299717</t>
        </is>
      </c>
      <c r="C1083" s="1" t="inlineStr">
        <is>
          <t>3474285</t>
        </is>
      </c>
      <c r="D1083" t="inlineStr">
        <is>
          <t>работник 313</t>
        </is>
      </c>
      <c r="E1083" s="1" t="inlineStr">
        <is>
          <t>ОБЩЕСТВО С ОГРАНИЧЕННОЙ ОТВЕТСТВЕННОСТЬЮ "АМУР ЗОЛОТО"</t>
        </is>
      </c>
      <c r="F1083" s="1" t="inlineStr">
        <is>
          <t>2708001686</t>
        </is>
      </c>
      <c r="G1083" s="1" t="inlineStr">
        <is>
          <t>Электрослесарь (слесарь) дежурный и по ремонту оборудования подземного горного участка</t>
        </is>
      </c>
      <c r="H1083" s="1" t="inlineStr">
        <is>
          <t>ООО "Амур Золото"</t>
        </is>
      </c>
      <c r="I1083" s="1" t="inlineStr">
        <is>
          <t>2708001686</t>
        </is>
      </c>
      <c r="J1083" s="1" t="inlineStr">
        <is>
          <t>ОТ № ЮГОК ПГУ 24-05</t>
        </is>
      </c>
      <c r="K108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083" s="1" t="inlineStr">
        <is>
          <t>05.03.2024</t>
        </is>
      </c>
      <c r="M1083" s="1" t="inlineStr">
        <is>
          <t>Успешно</t>
        </is>
      </c>
      <c r="N1083" s="1" t="inlineStr">
        <is>
          <t>11.03.2024</t>
        </is>
      </c>
      <c r="O1083" s="1" t="inlineStr"/>
      <c r="P1083" s="1" t="inlineStr"/>
      <c r="Q1083" s="1" t="inlineStr">
        <is>
          <t>Пользовательский интерфейс</t>
        </is>
      </c>
    </row>
    <row r="1084">
      <c r="B1084" s="1" t="inlineStr">
        <is>
          <t>43299718</t>
        </is>
      </c>
      <c r="C1084" s="1" t="inlineStr">
        <is>
          <t>3474285</t>
        </is>
      </c>
      <c r="D1084" t="inlineStr">
        <is>
          <t>работник 314</t>
        </is>
      </c>
      <c r="E1084" s="1" t="inlineStr">
        <is>
          <t>ОБЩЕСТВО С ОГРАНИЧЕННОЙ ОТВЕТСТВЕННОСТЬЮ "АМУР ЗОЛОТО"</t>
        </is>
      </c>
      <c r="F1084" s="1" t="inlineStr">
        <is>
          <t>2708001686</t>
        </is>
      </c>
      <c r="G1084" s="1" t="inlineStr">
        <is>
          <t>Помощник машиниста  самоходной буровой установки (с исполнением обязанностей пробоотборщика) (Очистное)</t>
        </is>
      </c>
      <c r="H1084" s="1" t="inlineStr">
        <is>
          <t>ООО "Амур Золото"</t>
        </is>
      </c>
      <c r="I1084" s="1" t="inlineStr">
        <is>
          <t>2708001686</t>
        </is>
      </c>
      <c r="J1084" s="1" t="inlineStr">
        <is>
          <t>ОТ № ЮГОК ПГУ 24-05</t>
        </is>
      </c>
      <c r="K1084" s="1" t="inlineStr">
        <is>
          <t>Оказание первой помощи пострадавшим</t>
        </is>
      </c>
      <c r="L1084" s="1" t="inlineStr">
        <is>
          <t>05.03.2024</t>
        </is>
      </c>
      <c r="M1084" s="1" t="inlineStr">
        <is>
          <t>Успешно</t>
        </is>
      </c>
      <c r="N1084" s="1" t="inlineStr">
        <is>
          <t>11.03.2024</t>
        </is>
      </c>
      <c r="O1084" s="1" t="inlineStr"/>
      <c r="P1084" s="1" t="inlineStr"/>
      <c r="Q1084" s="1" t="inlineStr">
        <is>
          <t>Пользовательский интерфейс</t>
        </is>
      </c>
    </row>
    <row r="1085">
      <c r="B1085" s="1" t="inlineStr">
        <is>
          <t>43299719</t>
        </is>
      </c>
      <c r="C1085" s="1" t="inlineStr">
        <is>
          <t>3474285</t>
        </is>
      </c>
      <c r="D1085" t="inlineStr">
        <is>
          <t>работник 314</t>
        </is>
      </c>
      <c r="E1085" s="1" t="inlineStr">
        <is>
          <t>ОБЩЕСТВО С ОГРАНИЧЕННОЙ ОТВЕТСТВЕННОСТЬЮ "АМУР ЗОЛОТО"</t>
        </is>
      </c>
      <c r="F1085" s="1" t="inlineStr">
        <is>
          <t>2708001686</t>
        </is>
      </c>
      <c r="G1085" s="1" t="inlineStr">
        <is>
          <t>Помощник машиниста  самоходной буровой установки (с исполнением обязанностей пробоотборщика) (Очистное)</t>
        </is>
      </c>
      <c r="H1085" s="1" t="inlineStr">
        <is>
          <t>ООО "Амур Золото"</t>
        </is>
      </c>
      <c r="I1085" s="1" t="inlineStr">
        <is>
          <t>2708001686</t>
        </is>
      </c>
      <c r="J1085" s="1" t="inlineStr">
        <is>
          <t>ОТ № ЮГОК ПГУ 24-05</t>
        </is>
      </c>
      <c r="K1085" s="1" t="inlineStr">
        <is>
          <t>Использование (применение) средств индивидуальной защиты</t>
        </is>
      </c>
      <c r="L1085" s="1" t="inlineStr">
        <is>
          <t>05.03.2024</t>
        </is>
      </c>
      <c r="M1085" s="1" t="inlineStr">
        <is>
          <t>Успешно</t>
        </is>
      </c>
      <c r="N1085" s="1" t="inlineStr">
        <is>
          <t>11.03.2024</t>
        </is>
      </c>
      <c r="O1085" s="1" t="inlineStr"/>
      <c r="P1085" s="1" t="inlineStr"/>
      <c r="Q1085" s="1" t="inlineStr">
        <is>
          <t>Пользовательский интерфейс</t>
        </is>
      </c>
    </row>
    <row r="1086">
      <c r="B1086" s="1" t="inlineStr">
        <is>
          <t>43299720</t>
        </is>
      </c>
      <c r="C1086" s="1" t="inlineStr">
        <is>
          <t>3474285</t>
        </is>
      </c>
      <c r="D1086" t="inlineStr">
        <is>
          <t>работник 314</t>
        </is>
      </c>
      <c r="E1086" s="1" t="inlineStr">
        <is>
          <t>ОБЩЕСТВО С ОГРАНИЧЕННОЙ ОТВЕТСТВЕННОСТЬЮ "АМУР ЗОЛОТО"</t>
        </is>
      </c>
      <c r="F1086" s="1" t="inlineStr">
        <is>
          <t>2708001686</t>
        </is>
      </c>
      <c r="G1086" s="1" t="inlineStr">
        <is>
          <t>Помощник машиниста  самоходной буровой установки (с исполнением обязанностей пробоотборщика) (Очистное)</t>
        </is>
      </c>
      <c r="H1086" s="1" t="inlineStr">
        <is>
          <t>ООО "Амур Золото"</t>
        </is>
      </c>
      <c r="I1086" s="1" t="inlineStr">
        <is>
          <t>2708001686</t>
        </is>
      </c>
      <c r="J1086" s="1" t="inlineStr">
        <is>
          <t>ОТ № ЮГОК ПГУ 24-05</t>
        </is>
      </c>
      <c r="K108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086" s="1" t="inlineStr">
        <is>
          <t>05.03.2024</t>
        </is>
      </c>
      <c r="M1086" s="1" t="inlineStr">
        <is>
          <t>Успешно</t>
        </is>
      </c>
      <c r="N1086" s="1" t="inlineStr">
        <is>
          <t>11.03.2024</t>
        </is>
      </c>
      <c r="O1086" s="1" t="inlineStr"/>
      <c r="P1086" s="1" t="inlineStr"/>
      <c r="Q1086" s="1" t="inlineStr">
        <is>
          <t>Пользовательский интерфейс</t>
        </is>
      </c>
    </row>
    <row r="1087">
      <c r="B1087" s="1" t="inlineStr">
        <is>
          <t>43299721</t>
        </is>
      </c>
      <c r="C1087" s="1" t="inlineStr">
        <is>
          <t>3474285</t>
        </is>
      </c>
      <c r="D1087" t="inlineStr">
        <is>
          <t>работник 315</t>
        </is>
      </c>
      <c r="E1087" s="1" t="inlineStr">
        <is>
          <t>ОБЩЕСТВО С ОГРАНИЧЕННОЙ ОТВЕТСТВЕННОСТЬЮ "АМУР ЗОЛОТО"</t>
        </is>
      </c>
      <c r="F1087" s="1" t="inlineStr">
        <is>
          <t>2708001686</t>
        </is>
      </c>
      <c r="G1087" s="1" t="inlineStr">
        <is>
          <t>Крепильщик</t>
        </is>
      </c>
      <c r="H1087" s="1" t="inlineStr">
        <is>
          <t>ООО "Амур Золото"</t>
        </is>
      </c>
      <c r="I1087" s="1" t="inlineStr">
        <is>
          <t>2708001686</t>
        </is>
      </c>
      <c r="J1087" s="1" t="inlineStr">
        <is>
          <t>ОТ № ЮГОК ПГУ 24-05</t>
        </is>
      </c>
      <c r="K1087" s="1" t="inlineStr">
        <is>
          <t>Оказание первой помощи пострадавшим</t>
        </is>
      </c>
      <c r="L1087" s="1" t="inlineStr">
        <is>
          <t>05.03.2024</t>
        </is>
      </c>
      <c r="M1087" s="1" t="inlineStr">
        <is>
          <t>Успешно</t>
        </is>
      </c>
      <c r="N1087" s="1" t="inlineStr">
        <is>
          <t>11.03.2024</t>
        </is>
      </c>
      <c r="O1087" s="1" t="inlineStr"/>
      <c r="P1087" s="1" t="inlineStr"/>
      <c r="Q1087" s="1" t="inlineStr">
        <is>
          <t>Пользовательский интерфейс</t>
        </is>
      </c>
    </row>
    <row r="1088">
      <c r="B1088" s="1" t="inlineStr">
        <is>
          <t>43299722</t>
        </is>
      </c>
      <c r="C1088" s="1" t="inlineStr">
        <is>
          <t>3474285</t>
        </is>
      </c>
      <c r="D1088" t="inlineStr">
        <is>
          <t>работник 315</t>
        </is>
      </c>
      <c r="E1088" s="1" t="inlineStr">
        <is>
          <t>ОБЩЕСТВО С ОГРАНИЧЕННОЙ ОТВЕТСТВЕННОСТЬЮ "АМУР ЗОЛОТО"</t>
        </is>
      </c>
      <c r="F1088" s="1" t="inlineStr">
        <is>
          <t>2708001686</t>
        </is>
      </c>
      <c r="G1088" s="1" t="inlineStr">
        <is>
          <t>Крепильщик</t>
        </is>
      </c>
      <c r="H1088" s="1" t="inlineStr">
        <is>
          <t>ООО "Амур Золото"</t>
        </is>
      </c>
      <c r="I1088" s="1" t="inlineStr">
        <is>
          <t>2708001686</t>
        </is>
      </c>
      <c r="J1088" s="1" t="inlineStr">
        <is>
          <t>ОТ № ЮГОК ПГУ 24-05</t>
        </is>
      </c>
      <c r="K1088" s="1" t="inlineStr">
        <is>
          <t>Использование (применение) средств индивидуальной защиты</t>
        </is>
      </c>
      <c r="L1088" s="1" t="inlineStr">
        <is>
          <t>05.03.2024</t>
        </is>
      </c>
      <c r="M1088" s="1" t="inlineStr">
        <is>
          <t>Успешно</t>
        </is>
      </c>
      <c r="N1088" s="1" t="inlineStr">
        <is>
          <t>11.03.2024</t>
        </is>
      </c>
      <c r="O1088" s="1" t="inlineStr"/>
      <c r="P1088" s="1" t="inlineStr"/>
      <c r="Q1088" s="1" t="inlineStr">
        <is>
          <t>Пользовательский интерфейс</t>
        </is>
      </c>
    </row>
    <row r="1089">
      <c r="B1089" s="1" t="inlineStr">
        <is>
          <t>43299723</t>
        </is>
      </c>
      <c r="C1089" s="1" t="inlineStr">
        <is>
          <t>3474285</t>
        </is>
      </c>
      <c r="D1089" t="inlineStr">
        <is>
          <t>работник 315</t>
        </is>
      </c>
      <c r="E1089" s="1" t="inlineStr">
        <is>
          <t>ОБЩЕСТВО С ОГРАНИЧЕННОЙ ОТВЕТСТВЕННОСТЬЮ "АМУР ЗОЛОТО"</t>
        </is>
      </c>
      <c r="F1089" s="1" t="inlineStr">
        <is>
          <t>2708001686</t>
        </is>
      </c>
      <c r="G1089" s="1" t="inlineStr">
        <is>
          <t>Крепильщик</t>
        </is>
      </c>
      <c r="H1089" s="1" t="inlineStr">
        <is>
          <t>ООО "Амур Золото"</t>
        </is>
      </c>
      <c r="I1089" s="1" t="inlineStr">
        <is>
          <t>2708001686</t>
        </is>
      </c>
      <c r="J1089" s="1" t="inlineStr">
        <is>
          <t>ОТ № ЮГОК ПГУ 24-05</t>
        </is>
      </c>
      <c r="K108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089" s="1" t="inlineStr">
        <is>
          <t>05.03.2024</t>
        </is>
      </c>
      <c r="M1089" s="1" t="inlineStr">
        <is>
          <t>Успешно</t>
        </is>
      </c>
      <c r="N1089" s="1" t="inlineStr">
        <is>
          <t>11.03.2024</t>
        </is>
      </c>
      <c r="O1089" s="1" t="inlineStr"/>
      <c r="P1089" s="1" t="inlineStr"/>
      <c r="Q1089" s="1" t="inlineStr">
        <is>
          <t>Пользовательский интерфейс</t>
        </is>
      </c>
    </row>
    <row r="1090">
      <c r="B1090" s="1" t="inlineStr">
        <is>
          <t>43299724</t>
        </is>
      </c>
      <c r="C1090" s="1" t="inlineStr">
        <is>
          <t>3474285</t>
        </is>
      </c>
      <c r="D1090" t="inlineStr">
        <is>
          <t>работник 316</t>
        </is>
      </c>
      <c r="E1090" s="1" t="inlineStr">
        <is>
          <t>ОБЩЕСТВО С ОГРАНИЧЕННОЙ ОТВЕТСТВЕННОСТЬЮ "АМУР ЗОЛОТО"</t>
        </is>
      </c>
      <c r="F1090" s="1" t="inlineStr">
        <is>
          <t>2708001686</t>
        </is>
      </c>
      <c r="G1090" s="1" t="inlineStr">
        <is>
          <t>Проходчик (с исполнением обязанностей взрывника)</t>
        </is>
      </c>
      <c r="H1090" s="1" t="inlineStr">
        <is>
          <t>ООО "Амур Золото"</t>
        </is>
      </c>
      <c r="I1090" s="1" t="inlineStr">
        <is>
          <t>2708001686</t>
        </is>
      </c>
      <c r="J1090" s="1" t="inlineStr">
        <is>
          <t>ОТ № ЮГОК ПГУ 24-05</t>
        </is>
      </c>
      <c r="K1090" s="1" t="inlineStr">
        <is>
          <t>Оказание первой помощи пострадавшим</t>
        </is>
      </c>
      <c r="L1090" s="1" t="inlineStr">
        <is>
          <t>05.03.2024</t>
        </is>
      </c>
      <c r="M1090" s="1" t="inlineStr">
        <is>
          <t>Успешно</t>
        </is>
      </c>
      <c r="N1090" s="1" t="inlineStr">
        <is>
          <t>11.03.2024</t>
        </is>
      </c>
      <c r="O1090" s="1" t="inlineStr"/>
      <c r="P1090" s="1" t="inlineStr"/>
      <c r="Q1090" s="1" t="inlineStr">
        <is>
          <t>Пользовательский интерфейс</t>
        </is>
      </c>
    </row>
    <row r="1091">
      <c r="B1091" s="1" t="inlineStr">
        <is>
          <t>43299725</t>
        </is>
      </c>
      <c r="C1091" s="1" t="inlineStr">
        <is>
          <t>3474285</t>
        </is>
      </c>
      <c r="D1091" t="inlineStr">
        <is>
          <t>работник 316</t>
        </is>
      </c>
      <c r="E1091" s="1" t="inlineStr">
        <is>
          <t>ОБЩЕСТВО С ОГРАНИЧЕННОЙ ОТВЕТСТВЕННОСТЬЮ "АМУР ЗОЛОТО"</t>
        </is>
      </c>
      <c r="F1091" s="1" t="inlineStr">
        <is>
          <t>2708001686</t>
        </is>
      </c>
      <c r="G1091" s="1" t="inlineStr">
        <is>
          <t>Проходчик (с исполнением обязанностей взрывника)</t>
        </is>
      </c>
      <c r="H1091" s="1" t="inlineStr">
        <is>
          <t>ООО "Амур Золото"</t>
        </is>
      </c>
      <c r="I1091" s="1" t="inlineStr">
        <is>
          <t>2708001686</t>
        </is>
      </c>
      <c r="J1091" s="1" t="inlineStr">
        <is>
          <t>ОТ № ЮГОК ПГУ 24-05</t>
        </is>
      </c>
      <c r="K1091" s="1" t="inlineStr">
        <is>
          <t>Использование (применение) средств индивидуальной защиты</t>
        </is>
      </c>
      <c r="L1091" s="1" t="inlineStr">
        <is>
          <t>05.03.2024</t>
        </is>
      </c>
      <c r="M1091" s="1" t="inlineStr">
        <is>
          <t>Успешно</t>
        </is>
      </c>
      <c r="N1091" s="1" t="inlineStr">
        <is>
          <t>11.03.2024</t>
        </is>
      </c>
      <c r="O1091" s="1" t="inlineStr"/>
      <c r="P1091" s="1" t="inlineStr"/>
      <c r="Q1091" s="1" t="inlineStr">
        <is>
          <t>Пользовательский интерфейс</t>
        </is>
      </c>
    </row>
    <row r="1092">
      <c r="B1092" s="1" t="inlineStr">
        <is>
          <t>43299726</t>
        </is>
      </c>
      <c r="C1092" s="1" t="inlineStr">
        <is>
          <t>3474285</t>
        </is>
      </c>
      <c r="D1092" t="inlineStr">
        <is>
          <t>работник 316</t>
        </is>
      </c>
      <c r="E1092" s="1" t="inlineStr">
        <is>
          <t>ОБЩЕСТВО С ОГРАНИЧЕННОЙ ОТВЕТСТВЕННОСТЬЮ "АМУР ЗОЛОТО"</t>
        </is>
      </c>
      <c r="F1092" s="1" t="inlineStr">
        <is>
          <t>2708001686</t>
        </is>
      </c>
      <c r="G1092" s="1" t="inlineStr">
        <is>
          <t>Проходчик (с исполнением обязанностей взрывника)</t>
        </is>
      </c>
      <c r="H1092" s="1" t="inlineStr">
        <is>
          <t>ООО "Амур Золото"</t>
        </is>
      </c>
      <c r="I1092" s="1" t="inlineStr">
        <is>
          <t>2708001686</t>
        </is>
      </c>
      <c r="J1092" s="1" t="inlineStr">
        <is>
          <t>ОТ № ЮГОК ПГУ 24-05</t>
        </is>
      </c>
      <c r="K109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092" s="1" t="inlineStr">
        <is>
          <t>05.03.2024</t>
        </is>
      </c>
      <c r="M1092" s="1" t="inlineStr">
        <is>
          <t>Успешно</t>
        </is>
      </c>
      <c r="N1092" s="1" t="inlineStr">
        <is>
          <t>11.03.2024</t>
        </is>
      </c>
      <c r="O1092" s="1" t="inlineStr"/>
      <c r="P1092" s="1" t="inlineStr"/>
      <c r="Q1092" s="1" t="inlineStr">
        <is>
          <t>Пользовательский интерфейс</t>
        </is>
      </c>
    </row>
    <row r="1093">
      <c r="B1093" s="1" t="inlineStr">
        <is>
          <t>43299727</t>
        </is>
      </c>
      <c r="C1093" s="1" t="inlineStr">
        <is>
          <t>3474285</t>
        </is>
      </c>
      <c r="D1093" t="inlineStr">
        <is>
          <t>работник 317</t>
        </is>
      </c>
      <c r="E1093" s="1" t="inlineStr">
        <is>
          <t>ОБЩЕСТВО С ОГРАНИЧЕННОЙ ОТВЕТСТВЕННОСТЬЮ "АМУР ЗОЛОТО"</t>
        </is>
      </c>
      <c r="F1093" s="1" t="inlineStr">
        <is>
          <t>2708001686</t>
        </is>
      </c>
      <c r="G1093" s="1" t="inlineStr">
        <is>
          <t>Машинист  самоходной буровой установки (Очистное)</t>
        </is>
      </c>
      <c r="H1093" s="1" t="inlineStr">
        <is>
          <t>ООО "Амур Золото"</t>
        </is>
      </c>
      <c r="I1093" s="1" t="inlineStr">
        <is>
          <t>2708001686</t>
        </is>
      </c>
      <c r="J1093" s="1" t="inlineStr">
        <is>
          <t>ОТ № ЮГОК ПГУ 24-05</t>
        </is>
      </c>
      <c r="K1093" s="1" t="inlineStr">
        <is>
          <t>Оказание первой помощи пострадавшим</t>
        </is>
      </c>
      <c r="L1093" s="1" t="inlineStr">
        <is>
          <t>05.03.2024</t>
        </is>
      </c>
      <c r="M1093" s="1" t="inlineStr">
        <is>
          <t>Успешно</t>
        </is>
      </c>
      <c r="N1093" s="1" t="inlineStr">
        <is>
          <t>11.03.2024</t>
        </is>
      </c>
      <c r="O1093" s="1" t="inlineStr"/>
      <c r="P1093" s="1" t="inlineStr"/>
      <c r="Q1093" s="1" t="inlineStr">
        <is>
          <t>Пользовательский интерфейс</t>
        </is>
      </c>
    </row>
    <row r="1094">
      <c r="B1094" s="1" t="inlineStr">
        <is>
          <t>43299728</t>
        </is>
      </c>
      <c r="C1094" s="1" t="inlineStr">
        <is>
          <t>3474285</t>
        </is>
      </c>
      <c r="D1094" t="inlineStr">
        <is>
          <t>работник 317</t>
        </is>
      </c>
      <c r="E1094" s="1" t="inlineStr">
        <is>
          <t>ОБЩЕСТВО С ОГРАНИЧЕННОЙ ОТВЕТСТВЕННОСТЬЮ "АМУР ЗОЛОТО"</t>
        </is>
      </c>
      <c r="F1094" s="1" t="inlineStr">
        <is>
          <t>2708001686</t>
        </is>
      </c>
      <c r="G1094" s="1" t="inlineStr">
        <is>
          <t>Машинист  самоходной буровой установки (Очистное)</t>
        </is>
      </c>
      <c r="H1094" s="1" t="inlineStr">
        <is>
          <t>ООО "Амур Золото"</t>
        </is>
      </c>
      <c r="I1094" s="1" t="inlineStr">
        <is>
          <t>2708001686</t>
        </is>
      </c>
      <c r="J1094" s="1" t="inlineStr">
        <is>
          <t>ОТ № ЮГОК ПГУ 24-05</t>
        </is>
      </c>
      <c r="K1094" s="1" t="inlineStr">
        <is>
          <t>Использование (применение) средств индивидуальной защиты</t>
        </is>
      </c>
      <c r="L1094" s="1" t="inlineStr">
        <is>
          <t>05.03.2024</t>
        </is>
      </c>
      <c r="M1094" s="1" t="inlineStr">
        <is>
          <t>Успешно</t>
        </is>
      </c>
      <c r="N1094" s="1" t="inlineStr">
        <is>
          <t>11.03.2024</t>
        </is>
      </c>
      <c r="O1094" s="1" t="inlineStr"/>
      <c r="P1094" s="1" t="inlineStr"/>
      <c r="Q1094" s="1" t="inlineStr">
        <is>
          <t>Пользовательский интерфейс</t>
        </is>
      </c>
    </row>
    <row r="1095">
      <c r="B1095" s="1" t="inlineStr">
        <is>
          <t>43299729</t>
        </is>
      </c>
      <c r="C1095" s="1" t="inlineStr">
        <is>
          <t>3474285</t>
        </is>
      </c>
      <c r="D1095" t="inlineStr">
        <is>
          <t>работник 317</t>
        </is>
      </c>
      <c r="E1095" s="1" t="inlineStr">
        <is>
          <t>ОБЩЕСТВО С ОГРАНИЧЕННОЙ ОТВЕТСТВЕННОСТЬЮ "АМУР ЗОЛОТО"</t>
        </is>
      </c>
      <c r="F1095" s="1" t="inlineStr">
        <is>
          <t>2708001686</t>
        </is>
      </c>
      <c r="G1095" s="1" t="inlineStr">
        <is>
          <t>Машинист  самоходной буровой установки (Очистное)</t>
        </is>
      </c>
      <c r="H1095" s="1" t="inlineStr">
        <is>
          <t>ООО "Амур Золото"</t>
        </is>
      </c>
      <c r="I1095" s="1" t="inlineStr">
        <is>
          <t>2708001686</t>
        </is>
      </c>
      <c r="J1095" s="1" t="inlineStr">
        <is>
          <t>ОТ № ЮГОК ПГУ 24-05</t>
        </is>
      </c>
      <c r="K109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095" s="1" t="inlineStr">
        <is>
          <t>05.03.2024</t>
        </is>
      </c>
      <c r="M1095" s="1" t="inlineStr">
        <is>
          <t>Успешно</t>
        </is>
      </c>
      <c r="N1095" s="1" t="inlineStr">
        <is>
          <t>11.03.2024</t>
        </is>
      </c>
      <c r="O1095" s="1" t="inlineStr"/>
      <c r="P1095" s="1" t="inlineStr"/>
      <c r="Q1095" s="1" t="inlineStr">
        <is>
          <t>Пользовательский интерфейс</t>
        </is>
      </c>
    </row>
    <row r="1096">
      <c r="B1096" s="1" t="inlineStr">
        <is>
          <t>43299730</t>
        </is>
      </c>
      <c r="C1096" s="1" t="inlineStr">
        <is>
          <t>3474285</t>
        </is>
      </c>
      <c r="D1096" t="inlineStr">
        <is>
          <t>работник 318</t>
        </is>
      </c>
      <c r="E1096" s="1" t="inlineStr">
        <is>
          <t>ОБЩЕСТВО С ОГРАНИЧЕННОЙ ОТВЕТСТВЕННОСТЬЮ "АМУР ЗОЛОТО"</t>
        </is>
      </c>
      <c r="F1096" s="1" t="inlineStr">
        <is>
          <t>2708001686</t>
        </is>
      </c>
      <c r="G1096" s="1" t="inlineStr">
        <is>
          <t>Помощник машиниста  самоходной буровой установки (с исполнением обязанностей пробоотборщика)</t>
        </is>
      </c>
      <c r="H1096" s="1" t="inlineStr">
        <is>
          <t>ООО "Амур Золото"</t>
        </is>
      </c>
      <c r="I1096" s="1" t="inlineStr">
        <is>
          <t>2708001686</t>
        </is>
      </c>
      <c r="J1096" s="1" t="inlineStr">
        <is>
          <t>ОТ № ЮГОК ПГУ 24-05</t>
        </is>
      </c>
      <c r="K1096" s="1" t="inlineStr">
        <is>
          <t>Оказание первой помощи пострадавшим</t>
        </is>
      </c>
      <c r="L1096" s="1" t="inlineStr">
        <is>
          <t>05.03.2024</t>
        </is>
      </c>
      <c r="M1096" s="1" t="inlineStr">
        <is>
          <t>Успешно</t>
        </is>
      </c>
      <c r="N1096" s="1" t="inlineStr">
        <is>
          <t>11.03.2024</t>
        </is>
      </c>
      <c r="O1096" s="1" t="inlineStr"/>
      <c r="P1096" s="1" t="inlineStr"/>
      <c r="Q1096" s="1" t="inlineStr">
        <is>
          <t>Пользовательский интерфейс</t>
        </is>
      </c>
    </row>
    <row r="1097">
      <c r="B1097" s="1" t="inlineStr">
        <is>
          <t>43299731</t>
        </is>
      </c>
      <c r="C1097" s="1" t="inlineStr">
        <is>
          <t>3474285</t>
        </is>
      </c>
      <c r="D1097" t="inlineStr">
        <is>
          <t>работник 318</t>
        </is>
      </c>
      <c r="E1097" s="1" t="inlineStr">
        <is>
          <t>ОБЩЕСТВО С ОГРАНИЧЕННОЙ ОТВЕТСТВЕННОСТЬЮ "АМУР ЗОЛОТО"</t>
        </is>
      </c>
      <c r="F1097" s="1" t="inlineStr">
        <is>
          <t>2708001686</t>
        </is>
      </c>
      <c r="G1097" s="1" t="inlineStr">
        <is>
          <t>Помощник машиниста  самоходной буровой установки (с исполнением обязанностей пробоотборщика)</t>
        </is>
      </c>
      <c r="H1097" s="1" t="inlineStr">
        <is>
          <t>ООО "Амур Золото"</t>
        </is>
      </c>
      <c r="I1097" s="1" t="inlineStr">
        <is>
          <t>2708001686</t>
        </is>
      </c>
      <c r="J1097" s="1" t="inlineStr">
        <is>
          <t>ОТ № ЮГОК ПГУ 24-05</t>
        </is>
      </c>
      <c r="K1097" s="1" t="inlineStr">
        <is>
          <t>Использование (применение) средств индивидуальной защиты</t>
        </is>
      </c>
      <c r="L1097" s="1" t="inlineStr">
        <is>
          <t>05.03.2024</t>
        </is>
      </c>
      <c r="M1097" s="1" t="inlineStr">
        <is>
          <t>Успешно</t>
        </is>
      </c>
      <c r="N1097" s="1" t="inlineStr">
        <is>
          <t>11.03.2024</t>
        </is>
      </c>
      <c r="O1097" s="1" t="inlineStr"/>
      <c r="P1097" s="1" t="inlineStr"/>
      <c r="Q1097" s="1" t="inlineStr">
        <is>
          <t>Пользовательский интерфейс</t>
        </is>
      </c>
    </row>
    <row r="1098">
      <c r="B1098" s="1" t="inlineStr">
        <is>
          <t>43299732</t>
        </is>
      </c>
      <c r="C1098" s="1" t="inlineStr">
        <is>
          <t>3474285</t>
        </is>
      </c>
      <c r="D1098" t="inlineStr">
        <is>
          <t>работник 318</t>
        </is>
      </c>
      <c r="E1098" s="1" t="inlineStr">
        <is>
          <t>ОБЩЕСТВО С ОГРАНИЧЕННОЙ ОТВЕТСТВЕННОСТЬЮ "АМУР ЗОЛОТО"</t>
        </is>
      </c>
      <c r="F1098" s="1" t="inlineStr">
        <is>
          <t>2708001686</t>
        </is>
      </c>
      <c r="G1098" s="1" t="inlineStr">
        <is>
          <t>Помощник машиниста  самоходной буровой установки (с исполнением обязанностей пробоотборщика)</t>
        </is>
      </c>
      <c r="H1098" s="1" t="inlineStr">
        <is>
          <t>ООО "Амур Золото"</t>
        </is>
      </c>
      <c r="I1098" s="1" t="inlineStr">
        <is>
          <t>2708001686</t>
        </is>
      </c>
      <c r="J1098" s="1" t="inlineStr">
        <is>
          <t>ОТ № ЮГОК ПГУ 24-05</t>
        </is>
      </c>
      <c r="K109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098" s="1" t="inlineStr">
        <is>
          <t>05.03.2024</t>
        </is>
      </c>
      <c r="M1098" s="1" t="inlineStr">
        <is>
          <t>Успешно</t>
        </is>
      </c>
      <c r="N1098" s="1" t="inlineStr">
        <is>
          <t>11.03.2024</t>
        </is>
      </c>
      <c r="O1098" s="1" t="inlineStr"/>
      <c r="P1098" s="1" t="inlineStr"/>
      <c r="Q1098" s="1" t="inlineStr">
        <is>
          <t>Пользовательский интерфейс</t>
        </is>
      </c>
    </row>
    <row r="1099">
      <c r="B1099" s="1" t="inlineStr">
        <is>
          <t>43299733</t>
        </is>
      </c>
      <c r="C1099" s="1" t="inlineStr">
        <is>
          <t>3474285</t>
        </is>
      </c>
      <c r="D1099" t="inlineStr">
        <is>
          <t>работник 319</t>
        </is>
      </c>
      <c r="E1099" s="1" t="inlineStr">
        <is>
          <t>ОБЩЕСТВО С ОГРАНИЧЕННОЙ ОТВЕТСТВЕННОСТЬЮ "АМУР ЗОЛОТО"</t>
        </is>
      </c>
      <c r="F1099" s="1" t="inlineStr">
        <is>
          <t>2708001686</t>
        </is>
      </c>
      <c r="G1099" s="1" t="inlineStr">
        <is>
          <t>Машинист погрузочно-доставочной машины (занятый на транспортировании горной массы в технологическом процессе)</t>
        </is>
      </c>
      <c r="H1099" s="1" t="inlineStr">
        <is>
          <t>ООО "Амур Золото"</t>
        </is>
      </c>
      <c r="I1099" s="1" t="inlineStr">
        <is>
          <t>2708001686</t>
        </is>
      </c>
      <c r="J1099" s="1" t="inlineStr">
        <is>
          <t>ОТ № ЮГОК ПГУ 24-05</t>
        </is>
      </c>
      <c r="K1099" s="1" t="inlineStr">
        <is>
          <t>Оказание первой помощи пострадавшим</t>
        </is>
      </c>
      <c r="L1099" s="1" t="inlineStr">
        <is>
          <t>05.03.2024</t>
        </is>
      </c>
      <c r="M1099" s="1" t="inlineStr">
        <is>
          <t>Успешно</t>
        </is>
      </c>
      <c r="N1099" s="1" t="inlineStr">
        <is>
          <t>11.03.2024</t>
        </is>
      </c>
      <c r="O1099" s="1" t="inlineStr"/>
      <c r="P1099" s="1" t="inlineStr"/>
      <c r="Q1099" s="1" t="inlineStr">
        <is>
          <t>Пользовательский интерфейс</t>
        </is>
      </c>
    </row>
    <row r="1100">
      <c r="B1100" s="1" t="inlineStr">
        <is>
          <t>43299734</t>
        </is>
      </c>
      <c r="C1100" s="1" t="inlineStr">
        <is>
          <t>3474285</t>
        </is>
      </c>
      <c r="D1100" t="inlineStr">
        <is>
          <t>работник 319</t>
        </is>
      </c>
      <c r="E1100" s="1" t="inlineStr">
        <is>
          <t>ОБЩЕСТВО С ОГРАНИЧЕННОЙ ОТВЕТСТВЕННОСТЬЮ "АМУР ЗОЛОТО"</t>
        </is>
      </c>
      <c r="F1100" s="1" t="inlineStr">
        <is>
          <t>2708001686</t>
        </is>
      </c>
      <c r="G1100" s="1" t="inlineStr">
        <is>
          <t>Машинист погрузочно-доставочной машины (занятый на транспортировании горной массы в технологическом процессе)</t>
        </is>
      </c>
      <c r="H1100" s="1" t="inlineStr">
        <is>
          <t>ООО "Амур Золото"</t>
        </is>
      </c>
      <c r="I1100" s="1" t="inlineStr">
        <is>
          <t>2708001686</t>
        </is>
      </c>
      <c r="J1100" s="1" t="inlineStr">
        <is>
          <t>ОТ № ЮГОК ПГУ 24-05</t>
        </is>
      </c>
      <c r="K1100" s="1" t="inlineStr">
        <is>
          <t>Использование (применение) средств индивидуальной защиты</t>
        </is>
      </c>
      <c r="L1100" s="1" t="inlineStr">
        <is>
          <t>05.03.2024</t>
        </is>
      </c>
      <c r="M1100" s="1" t="inlineStr">
        <is>
          <t>Успешно</t>
        </is>
      </c>
      <c r="N1100" s="1" t="inlineStr">
        <is>
          <t>11.03.2024</t>
        </is>
      </c>
      <c r="O1100" s="1" t="inlineStr"/>
      <c r="P1100" s="1" t="inlineStr"/>
      <c r="Q1100" s="1" t="inlineStr">
        <is>
          <t>Пользовательский интерфейс</t>
        </is>
      </c>
    </row>
    <row r="1101">
      <c r="B1101" s="1" t="inlineStr">
        <is>
          <t>43299735</t>
        </is>
      </c>
      <c r="C1101" s="1" t="inlineStr">
        <is>
          <t>3474285</t>
        </is>
      </c>
      <c r="D1101" t="inlineStr">
        <is>
          <t>работник 319</t>
        </is>
      </c>
      <c r="E1101" s="1" t="inlineStr">
        <is>
          <t>ОБЩЕСТВО С ОГРАНИЧЕННОЙ ОТВЕТСТВЕННОСТЬЮ "АМУР ЗОЛОТО"</t>
        </is>
      </c>
      <c r="F1101" s="1" t="inlineStr">
        <is>
          <t>2708001686</t>
        </is>
      </c>
      <c r="G1101" s="1" t="inlineStr">
        <is>
          <t>Машинист погрузочно-доставочной машины (занятый на транспортировании горной массы в технологическом процессе)</t>
        </is>
      </c>
      <c r="H1101" s="1" t="inlineStr">
        <is>
          <t>ООО "Амур Золото"</t>
        </is>
      </c>
      <c r="I1101" s="1" t="inlineStr">
        <is>
          <t>2708001686</t>
        </is>
      </c>
      <c r="J1101" s="1" t="inlineStr">
        <is>
          <t>ОТ № ЮГОК ПГУ 24-05</t>
        </is>
      </c>
      <c r="K110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101" s="1" t="inlineStr">
        <is>
          <t>05.03.2024</t>
        </is>
      </c>
      <c r="M1101" s="1" t="inlineStr">
        <is>
          <t>Успешно</t>
        </is>
      </c>
      <c r="N1101" s="1" t="inlineStr">
        <is>
          <t>11.03.2024</t>
        </is>
      </c>
      <c r="O1101" s="1" t="inlineStr"/>
      <c r="P1101" s="1" t="inlineStr"/>
      <c r="Q1101" s="1" t="inlineStr">
        <is>
          <t>Пользовательский интерфейс</t>
        </is>
      </c>
    </row>
    <row r="1102">
      <c r="B1102" s="1" t="inlineStr">
        <is>
          <t>43299736</t>
        </is>
      </c>
      <c r="C1102" s="1" t="inlineStr">
        <is>
          <t>3474285</t>
        </is>
      </c>
      <c r="D1102" t="inlineStr">
        <is>
          <t>работник 320</t>
        </is>
      </c>
      <c r="E1102" s="1" t="inlineStr">
        <is>
          <t>ОБЩЕСТВО С ОГРАНИЧЕННОЙ ОТВЕТСТВЕННОСТЬЮ "АМУР ЗОЛОТО"</t>
        </is>
      </c>
      <c r="F1102" s="1" t="inlineStr">
        <is>
          <t>2708001686</t>
        </is>
      </c>
      <c r="G1102" s="1" t="inlineStr">
        <is>
          <t>Машинист погрузочно-доставочной машины</t>
        </is>
      </c>
      <c r="H1102" s="1" t="inlineStr">
        <is>
          <t>ООО "Амур Золото"</t>
        </is>
      </c>
      <c r="I1102" s="1" t="inlineStr">
        <is>
          <t>2708001686</t>
        </is>
      </c>
      <c r="J1102" s="1" t="inlineStr">
        <is>
          <t>ОТ № ЮГОК ПГУ 24-05</t>
        </is>
      </c>
      <c r="K1102" s="1" t="inlineStr">
        <is>
          <t>Оказание первой помощи пострадавшим</t>
        </is>
      </c>
      <c r="L1102" s="1" t="inlineStr">
        <is>
          <t>05.03.2024</t>
        </is>
      </c>
      <c r="M1102" s="1" t="inlineStr">
        <is>
          <t>Успешно</t>
        </is>
      </c>
      <c r="N1102" s="1" t="inlineStr">
        <is>
          <t>11.03.2024</t>
        </is>
      </c>
      <c r="O1102" s="1" t="inlineStr"/>
      <c r="P1102" s="1" t="inlineStr"/>
      <c r="Q1102" s="1" t="inlineStr">
        <is>
          <t>Пользовательский интерфейс</t>
        </is>
      </c>
    </row>
    <row r="1103">
      <c r="B1103" s="1" t="inlineStr">
        <is>
          <t>43299737</t>
        </is>
      </c>
      <c r="C1103" s="1" t="inlineStr">
        <is>
          <t>3474285</t>
        </is>
      </c>
      <c r="D1103" t="inlineStr">
        <is>
          <t>работник 320</t>
        </is>
      </c>
      <c r="E1103" s="1" t="inlineStr">
        <is>
          <t>ОБЩЕСТВО С ОГРАНИЧЕННОЙ ОТВЕТСТВЕННОСТЬЮ "АМУР ЗОЛОТО"</t>
        </is>
      </c>
      <c r="F1103" s="1" t="inlineStr">
        <is>
          <t>2708001686</t>
        </is>
      </c>
      <c r="G1103" s="1" t="inlineStr">
        <is>
          <t>Машинист погрузочно-доставочной машины</t>
        </is>
      </c>
      <c r="H1103" s="1" t="inlineStr">
        <is>
          <t>ООО "Амур Золото"</t>
        </is>
      </c>
      <c r="I1103" s="1" t="inlineStr">
        <is>
          <t>2708001686</t>
        </is>
      </c>
      <c r="J1103" s="1" t="inlineStr">
        <is>
          <t>ОТ № ЮГОК ПГУ 24-05</t>
        </is>
      </c>
      <c r="K1103" s="1" t="inlineStr">
        <is>
          <t>Использование (применение) средств индивидуальной защиты</t>
        </is>
      </c>
      <c r="L1103" s="1" t="inlineStr">
        <is>
          <t>05.03.2024</t>
        </is>
      </c>
      <c r="M1103" s="1" t="inlineStr">
        <is>
          <t>Успешно</t>
        </is>
      </c>
      <c r="N1103" s="1" t="inlineStr">
        <is>
          <t>11.03.2024</t>
        </is>
      </c>
      <c r="O1103" s="1" t="inlineStr"/>
      <c r="P1103" s="1" t="inlineStr"/>
      <c r="Q1103" s="1" t="inlineStr">
        <is>
          <t>Пользовательский интерфейс</t>
        </is>
      </c>
    </row>
    <row r="1104">
      <c r="B1104" s="1" t="inlineStr">
        <is>
          <t>43299738</t>
        </is>
      </c>
      <c r="C1104" s="1" t="inlineStr">
        <is>
          <t>3474285</t>
        </is>
      </c>
      <c r="D1104" t="inlineStr">
        <is>
          <t>работник 320</t>
        </is>
      </c>
      <c r="E1104" s="1" t="inlineStr">
        <is>
          <t>ОБЩЕСТВО С ОГРАНИЧЕННОЙ ОТВЕТСТВЕННОСТЬЮ "АМУР ЗОЛОТО"</t>
        </is>
      </c>
      <c r="F1104" s="1" t="inlineStr">
        <is>
          <t>2708001686</t>
        </is>
      </c>
      <c r="G1104" s="1" t="inlineStr">
        <is>
          <t>Машинист погрузочно-доставочной машины</t>
        </is>
      </c>
      <c r="H1104" s="1" t="inlineStr">
        <is>
          <t>ООО "Амур Золото"</t>
        </is>
      </c>
      <c r="I1104" s="1" t="inlineStr">
        <is>
          <t>2708001686</t>
        </is>
      </c>
      <c r="J1104" s="1" t="inlineStr">
        <is>
          <t>ОТ № ЮГОК ПГУ 24-05</t>
        </is>
      </c>
      <c r="K110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104" s="1" t="inlineStr">
        <is>
          <t>05.03.2024</t>
        </is>
      </c>
      <c r="M1104" s="1" t="inlineStr">
        <is>
          <t>Успешно</t>
        </is>
      </c>
      <c r="N1104" s="1" t="inlineStr">
        <is>
          <t>11.03.2024</t>
        </is>
      </c>
      <c r="O1104" s="1" t="inlineStr"/>
      <c r="P1104" s="1" t="inlineStr"/>
      <c r="Q1104" s="1" t="inlineStr">
        <is>
          <t>Пользовательский интерфейс</t>
        </is>
      </c>
    </row>
    <row r="1105">
      <c r="B1105" s="1" t="inlineStr">
        <is>
          <t>43299739</t>
        </is>
      </c>
      <c r="C1105" s="1" t="inlineStr">
        <is>
          <t>3474285</t>
        </is>
      </c>
      <c r="D1105" t="inlineStr">
        <is>
          <t>работник 321</t>
        </is>
      </c>
      <c r="E1105" s="1" t="inlineStr">
        <is>
          <t>ОБЩЕСТВО С ОГРАНИЧЕННОЙ ОТВЕТСТВЕННОСТЬЮ "АМУР ЗОЛОТО"</t>
        </is>
      </c>
      <c r="F1105" s="1" t="inlineStr">
        <is>
          <t>2708001686</t>
        </is>
      </c>
      <c r="G1105" s="1" t="inlineStr">
        <is>
          <t>Помощник машиниста  самоходной буровой установки (с исполнением обязанностей пробоотборщика)</t>
        </is>
      </c>
      <c r="H1105" s="1" t="inlineStr">
        <is>
          <t>ООО "Амур Золото"</t>
        </is>
      </c>
      <c r="I1105" s="1" t="inlineStr">
        <is>
          <t>2708001686</t>
        </is>
      </c>
      <c r="J1105" s="1" t="inlineStr">
        <is>
          <t>ОТ № ЮГОК ПГУ 24-05</t>
        </is>
      </c>
      <c r="K1105" s="1" t="inlineStr">
        <is>
          <t>Оказание первой помощи пострадавшим</t>
        </is>
      </c>
      <c r="L1105" s="1" t="inlineStr">
        <is>
          <t>05.03.2024</t>
        </is>
      </c>
      <c r="M1105" s="1" t="inlineStr">
        <is>
          <t>Успешно</t>
        </is>
      </c>
      <c r="N1105" s="1" t="inlineStr">
        <is>
          <t>11.03.2024</t>
        </is>
      </c>
      <c r="O1105" s="1" t="inlineStr"/>
      <c r="P1105" s="1" t="inlineStr"/>
      <c r="Q1105" s="1" t="inlineStr">
        <is>
          <t>Пользовательский интерфейс</t>
        </is>
      </c>
    </row>
    <row r="1106">
      <c r="B1106" s="1" t="inlineStr">
        <is>
          <t>43299740</t>
        </is>
      </c>
      <c r="C1106" s="1" t="inlineStr">
        <is>
          <t>3474285</t>
        </is>
      </c>
      <c r="D1106" t="inlineStr">
        <is>
          <t>работник 321</t>
        </is>
      </c>
      <c r="E1106" s="1" t="inlineStr">
        <is>
          <t>ОБЩЕСТВО С ОГРАНИЧЕННОЙ ОТВЕТСТВЕННОСТЬЮ "АМУР ЗОЛОТО"</t>
        </is>
      </c>
      <c r="F1106" s="1" t="inlineStr">
        <is>
          <t>2708001686</t>
        </is>
      </c>
      <c r="G1106" s="1" t="inlineStr">
        <is>
          <t>Помощник машиниста  самоходной буровой установки (с исполнением обязанностей пробоотборщика)</t>
        </is>
      </c>
      <c r="H1106" s="1" t="inlineStr">
        <is>
          <t>ООО "Амур Золото"</t>
        </is>
      </c>
      <c r="I1106" s="1" t="inlineStr">
        <is>
          <t>2708001686</t>
        </is>
      </c>
      <c r="J1106" s="1" t="inlineStr">
        <is>
          <t>ОТ № ЮГОК ПГУ 24-05</t>
        </is>
      </c>
      <c r="K1106" s="1" t="inlineStr">
        <is>
          <t>Использование (применение) средств индивидуальной защиты</t>
        </is>
      </c>
      <c r="L1106" s="1" t="inlineStr">
        <is>
          <t>05.03.2024</t>
        </is>
      </c>
      <c r="M1106" s="1" t="inlineStr">
        <is>
          <t>Успешно</t>
        </is>
      </c>
      <c r="N1106" s="1" t="inlineStr">
        <is>
          <t>11.03.2024</t>
        </is>
      </c>
      <c r="O1106" s="1" t="inlineStr"/>
      <c r="P1106" s="1" t="inlineStr"/>
      <c r="Q1106" s="1" t="inlineStr">
        <is>
          <t>Пользовательский интерфейс</t>
        </is>
      </c>
    </row>
    <row r="1107">
      <c r="B1107" s="1" t="inlineStr">
        <is>
          <t>43299741</t>
        </is>
      </c>
      <c r="C1107" s="1" t="inlineStr">
        <is>
          <t>3474285</t>
        </is>
      </c>
      <c r="D1107" t="inlineStr">
        <is>
          <t>работник 321</t>
        </is>
      </c>
      <c r="E1107" s="1" t="inlineStr">
        <is>
          <t>ОБЩЕСТВО С ОГРАНИЧЕННОЙ ОТВЕТСТВЕННОСТЬЮ "АМУР ЗОЛОТО"</t>
        </is>
      </c>
      <c r="F1107" s="1" t="inlineStr">
        <is>
          <t>2708001686</t>
        </is>
      </c>
      <c r="G1107" s="1" t="inlineStr">
        <is>
          <t>Помощник машиниста  самоходной буровой установки (с исполнением обязанностей пробоотборщика)</t>
        </is>
      </c>
      <c r="H1107" s="1" t="inlineStr">
        <is>
          <t>ООО "Амур Золото"</t>
        </is>
      </c>
      <c r="I1107" s="1" t="inlineStr">
        <is>
          <t>2708001686</t>
        </is>
      </c>
      <c r="J1107" s="1" t="inlineStr">
        <is>
          <t>ОТ № ЮГОК ПГУ 24-05</t>
        </is>
      </c>
      <c r="K110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107" s="1" t="inlineStr">
        <is>
          <t>05.03.2024</t>
        </is>
      </c>
      <c r="M1107" s="1" t="inlineStr">
        <is>
          <t>Успешно</t>
        </is>
      </c>
      <c r="N1107" s="1" t="inlineStr">
        <is>
          <t>11.03.2024</t>
        </is>
      </c>
      <c r="O1107" s="1" t="inlineStr"/>
      <c r="P1107" s="1" t="inlineStr"/>
      <c r="Q1107" s="1" t="inlineStr">
        <is>
          <t>Пользовательский интерфейс</t>
        </is>
      </c>
    </row>
    <row r="1108">
      <c r="B1108" s="1" t="inlineStr">
        <is>
          <t>43299742</t>
        </is>
      </c>
      <c r="C1108" s="1" t="inlineStr">
        <is>
          <t>3474285</t>
        </is>
      </c>
      <c r="D1108" t="inlineStr">
        <is>
          <t>работник 322</t>
        </is>
      </c>
      <c r="E1108" s="1" t="inlineStr">
        <is>
          <t>ОБЩЕСТВО С ОГРАНИЧЕННОЙ ОТВЕТСТВЕННОСТЬЮ "АМУР ЗОЛОТО"</t>
        </is>
      </c>
      <c r="F1108" s="1" t="inlineStr">
        <is>
          <t>2708001686</t>
        </is>
      </c>
      <c r="G1108" s="1" t="inlineStr">
        <is>
          <t>Машинист  самоходной буровой установки</t>
        </is>
      </c>
      <c r="H1108" s="1" t="inlineStr">
        <is>
          <t>ООО "Амур Золото"</t>
        </is>
      </c>
      <c r="I1108" s="1" t="inlineStr">
        <is>
          <t>2708001686</t>
        </is>
      </c>
      <c r="J1108" s="1" t="inlineStr">
        <is>
          <t>ОТ № ЮГОК ПГУ 24-05</t>
        </is>
      </c>
      <c r="K1108" s="1" t="inlineStr">
        <is>
          <t>Оказание первой помощи пострадавшим</t>
        </is>
      </c>
      <c r="L1108" s="1" t="inlineStr">
        <is>
          <t>05.03.2024</t>
        </is>
      </c>
      <c r="M1108" s="1" t="inlineStr">
        <is>
          <t>Успешно</t>
        </is>
      </c>
      <c r="N1108" s="1" t="inlineStr">
        <is>
          <t>11.03.2024</t>
        </is>
      </c>
      <c r="O1108" s="1" t="inlineStr"/>
      <c r="P1108" s="1" t="inlineStr"/>
      <c r="Q1108" s="1" t="inlineStr">
        <is>
          <t>Пользовательский интерфейс</t>
        </is>
      </c>
    </row>
    <row r="1109">
      <c r="B1109" s="1" t="inlineStr">
        <is>
          <t>43299743</t>
        </is>
      </c>
      <c r="C1109" s="1" t="inlineStr">
        <is>
          <t>3474285</t>
        </is>
      </c>
      <c r="D1109" t="inlineStr">
        <is>
          <t>работник 322</t>
        </is>
      </c>
      <c r="E1109" s="1" t="inlineStr">
        <is>
          <t>ОБЩЕСТВО С ОГРАНИЧЕННОЙ ОТВЕТСТВЕННОСТЬЮ "АМУР ЗОЛОТО"</t>
        </is>
      </c>
      <c r="F1109" s="1" t="inlineStr">
        <is>
          <t>2708001686</t>
        </is>
      </c>
      <c r="G1109" s="1" t="inlineStr">
        <is>
          <t>Машинист  самоходной буровой установки</t>
        </is>
      </c>
      <c r="H1109" s="1" t="inlineStr">
        <is>
          <t>ООО "Амур Золото"</t>
        </is>
      </c>
      <c r="I1109" s="1" t="inlineStr">
        <is>
          <t>2708001686</t>
        </is>
      </c>
      <c r="J1109" s="1" t="inlineStr">
        <is>
          <t>ОТ № ЮГОК ПГУ 24-05</t>
        </is>
      </c>
      <c r="K1109" s="1" t="inlineStr">
        <is>
          <t>Использование (применение) средств индивидуальной защиты</t>
        </is>
      </c>
      <c r="L1109" s="1" t="inlineStr">
        <is>
          <t>05.03.2024</t>
        </is>
      </c>
      <c r="M1109" s="1" t="inlineStr">
        <is>
          <t>Успешно</t>
        </is>
      </c>
      <c r="N1109" s="1" t="inlineStr">
        <is>
          <t>11.03.2024</t>
        </is>
      </c>
      <c r="O1109" s="1" t="inlineStr"/>
      <c r="P1109" s="1" t="inlineStr"/>
      <c r="Q1109" s="1" t="inlineStr">
        <is>
          <t>Пользовательский интерфейс</t>
        </is>
      </c>
    </row>
    <row r="1110">
      <c r="B1110" s="1" t="inlineStr">
        <is>
          <t>43299744</t>
        </is>
      </c>
      <c r="C1110" s="1" t="inlineStr">
        <is>
          <t>3474285</t>
        </is>
      </c>
      <c r="D1110" t="inlineStr">
        <is>
          <t>работник 322</t>
        </is>
      </c>
      <c r="E1110" s="1" t="inlineStr">
        <is>
          <t>ОБЩЕСТВО С ОГРАНИЧЕННОЙ ОТВЕТСТВЕННОСТЬЮ "АМУР ЗОЛОТО"</t>
        </is>
      </c>
      <c r="F1110" s="1" t="inlineStr">
        <is>
          <t>2708001686</t>
        </is>
      </c>
      <c r="G1110" s="1" t="inlineStr">
        <is>
          <t>Машинист  самоходной буровой установки</t>
        </is>
      </c>
      <c r="H1110" s="1" t="inlineStr">
        <is>
          <t>ООО "Амур Золото"</t>
        </is>
      </c>
      <c r="I1110" s="1" t="inlineStr">
        <is>
          <t>2708001686</t>
        </is>
      </c>
      <c r="J1110" s="1" t="inlineStr">
        <is>
          <t>ОТ № ЮГОК ПГУ 24-05</t>
        </is>
      </c>
      <c r="K111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110" s="1" t="inlineStr">
        <is>
          <t>05.03.2024</t>
        </is>
      </c>
      <c r="M1110" s="1" t="inlineStr">
        <is>
          <t>Успешно</t>
        </is>
      </c>
      <c r="N1110" s="1" t="inlineStr">
        <is>
          <t>11.03.2024</t>
        </is>
      </c>
      <c r="O1110" s="1" t="inlineStr"/>
      <c r="P1110" s="1" t="inlineStr"/>
      <c r="Q1110" s="1" t="inlineStr">
        <is>
          <t>Пользовательский интерфейс</t>
        </is>
      </c>
    </row>
    <row r="1111">
      <c r="B1111" s="1" t="inlineStr">
        <is>
          <t>43299745</t>
        </is>
      </c>
      <c r="C1111" s="1" t="inlineStr">
        <is>
          <t>3474285</t>
        </is>
      </c>
      <c r="D1111" t="inlineStr">
        <is>
          <t>работник 323</t>
        </is>
      </c>
      <c r="E1111" s="1" t="inlineStr">
        <is>
          <t>ОБЩЕСТВО С ОГРАНИЧЕННОЙ ОТВЕТСТВЕННОСТЬЮ "АМУР ЗОЛОТО"</t>
        </is>
      </c>
      <c r="F1111" s="1" t="inlineStr">
        <is>
          <t>2708001686</t>
        </is>
      </c>
      <c r="G1111" s="1" t="inlineStr">
        <is>
          <t>Проходчик (с исполнением обязанностей взрывника)</t>
        </is>
      </c>
      <c r="H1111" s="1" t="inlineStr">
        <is>
          <t>ООО "Амур Золото"</t>
        </is>
      </c>
      <c r="I1111" s="1" t="inlineStr">
        <is>
          <t>2708001686</t>
        </is>
      </c>
      <c r="J1111" s="1" t="inlineStr">
        <is>
          <t>ОТ № ЮГОК ПГУ 24-05</t>
        </is>
      </c>
      <c r="K1111" s="1" t="inlineStr">
        <is>
          <t>Оказание первой помощи пострадавшим</t>
        </is>
      </c>
      <c r="L1111" s="1" t="inlineStr">
        <is>
          <t>05.03.2024</t>
        </is>
      </c>
      <c r="M1111" s="1" t="inlineStr">
        <is>
          <t>Успешно</t>
        </is>
      </c>
      <c r="N1111" s="1" t="inlineStr">
        <is>
          <t>11.03.2024</t>
        </is>
      </c>
      <c r="O1111" s="1" t="inlineStr"/>
      <c r="P1111" s="1" t="inlineStr"/>
      <c r="Q1111" s="1" t="inlineStr">
        <is>
          <t>Пользовательский интерфейс</t>
        </is>
      </c>
    </row>
    <row r="1112">
      <c r="B1112" s="1" t="inlineStr">
        <is>
          <t>43299746</t>
        </is>
      </c>
      <c r="C1112" s="1" t="inlineStr">
        <is>
          <t>3474285</t>
        </is>
      </c>
      <c r="D1112" t="inlineStr">
        <is>
          <t>работник 323</t>
        </is>
      </c>
      <c r="E1112" s="1" t="inlineStr">
        <is>
          <t>ОБЩЕСТВО С ОГРАНИЧЕННОЙ ОТВЕТСТВЕННОСТЬЮ "АМУР ЗОЛОТО"</t>
        </is>
      </c>
      <c r="F1112" s="1" t="inlineStr">
        <is>
          <t>2708001686</t>
        </is>
      </c>
      <c r="G1112" s="1" t="inlineStr">
        <is>
          <t>Проходчик (с исполнением обязанностей взрывника)</t>
        </is>
      </c>
      <c r="H1112" s="1" t="inlineStr">
        <is>
          <t>ООО "Амур Золото"</t>
        </is>
      </c>
      <c r="I1112" s="1" t="inlineStr">
        <is>
          <t>2708001686</t>
        </is>
      </c>
      <c r="J1112" s="1" t="inlineStr">
        <is>
          <t>ОТ № ЮГОК ПГУ 24-05</t>
        </is>
      </c>
      <c r="K1112" s="1" t="inlineStr">
        <is>
          <t>Использование (применение) средств индивидуальной защиты</t>
        </is>
      </c>
      <c r="L1112" s="1" t="inlineStr">
        <is>
          <t>05.03.2024</t>
        </is>
      </c>
      <c r="M1112" s="1" t="inlineStr">
        <is>
          <t>Успешно</t>
        </is>
      </c>
      <c r="N1112" s="1" t="inlineStr">
        <is>
          <t>11.03.2024</t>
        </is>
      </c>
      <c r="O1112" s="1" t="inlineStr"/>
      <c r="P1112" s="1" t="inlineStr"/>
      <c r="Q1112" s="1" t="inlineStr">
        <is>
          <t>Пользовательский интерфейс</t>
        </is>
      </c>
    </row>
    <row r="1113">
      <c r="B1113" s="1" t="inlineStr">
        <is>
          <t>43299747</t>
        </is>
      </c>
      <c r="C1113" s="1" t="inlineStr">
        <is>
          <t>3474285</t>
        </is>
      </c>
      <c r="D1113" t="inlineStr">
        <is>
          <t>работник 323</t>
        </is>
      </c>
      <c r="E1113" s="1" t="inlineStr">
        <is>
          <t>ОБЩЕСТВО С ОГРАНИЧЕННОЙ ОТВЕТСТВЕННОСТЬЮ "АМУР ЗОЛОТО"</t>
        </is>
      </c>
      <c r="F1113" s="1" t="inlineStr">
        <is>
          <t>2708001686</t>
        </is>
      </c>
      <c r="G1113" s="1" t="inlineStr">
        <is>
          <t>Проходчик (с исполнением обязанностей взрывника)</t>
        </is>
      </c>
      <c r="H1113" s="1" t="inlineStr">
        <is>
          <t>ООО "Амур Золото"</t>
        </is>
      </c>
      <c r="I1113" s="1" t="inlineStr">
        <is>
          <t>2708001686</t>
        </is>
      </c>
      <c r="J1113" s="1" t="inlineStr">
        <is>
          <t>ОТ № ЮГОК ПГУ 24-05</t>
        </is>
      </c>
      <c r="K111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113" s="1" t="inlineStr">
        <is>
          <t>05.03.2024</t>
        </is>
      </c>
      <c r="M1113" s="1" t="inlineStr">
        <is>
          <t>Успешно</t>
        </is>
      </c>
      <c r="N1113" s="1" t="inlineStr">
        <is>
          <t>11.03.2024</t>
        </is>
      </c>
      <c r="O1113" s="1" t="inlineStr"/>
      <c r="P1113" s="1" t="inlineStr"/>
      <c r="Q1113" s="1" t="inlineStr">
        <is>
          <t>Пользовательский интерфейс</t>
        </is>
      </c>
    </row>
    <row r="1114">
      <c r="B1114" s="1" t="inlineStr">
        <is>
          <t>43299748</t>
        </is>
      </c>
      <c r="C1114" s="1" t="inlineStr">
        <is>
          <t>3474285</t>
        </is>
      </c>
      <c r="D1114" t="inlineStr">
        <is>
          <t>работник 324</t>
        </is>
      </c>
      <c r="E1114" s="1" t="inlineStr">
        <is>
          <t>ОБЩЕСТВО С ОГРАНИЧЕННОЙ ОТВЕТСТВЕННОСТЬЮ "АМУР ЗОЛОТО"</t>
        </is>
      </c>
      <c r="F1114" s="1" t="inlineStr">
        <is>
          <t>2708001686</t>
        </is>
      </c>
      <c r="G1114" s="1" t="inlineStr">
        <is>
          <t>Машинист  самоходной буровой установки</t>
        </is>
      </c>
      <c r="H1114" s="1" t="inlineStr">
        <is>
          <t>ООО "Амур Золото"</t>
        </is>
      </c>
      <c r="I1114" s="1" t="inlineStr">
        <is>
          <t>2708001686</t>
        </is>
      </c>
      <c r="J1114" s="1" t="inlineStr">
        <is>
          <t>ОТ № ЮГОК ПГУ 24-05</t>
        </is>
      </c>
      <c r="K1114" s="1" t="inlineStr">
        <is>
          <t>Оказание первой помощи пострадавшим</t>
        </is>
      </c>
      <c r="L1114" s="1" t="inlineStr">
        <is>
          <t>05.03.2024</t>
        </is>
      </c>
      <c r="M1114" s="1" t="inlineStr">
        <is>
          <t>Успешно</t>
        </is>
      </c>
      <c r="N1114" s="1" t="inlineStr">
        <is>
          <t>11.03.2024</t>
        </is>
      </c>
      <c r="O1114" s="1" t="inlineStr"/>
      <c r="P1114" s="1" t="inlineStr"/>
      <c r="Q1114" s="1" t="inlineStr">
        <is>
          <t>Пользовательский интерфейс</t>
        </is>
      </c>
    </row>
    <row r="1115">
      <c r="B1115" s="1" t="inlineStr">
        <is>
          <t>43299749</t>
        </is>
      </c>
      <c r="C1115" s="1" t="inlineStr">
        <is>
          <t>3474285</t>
        </is>
      </c>
      <c r="D1115" t="inlineStr">
        <is>
          <t>работник 324</t>
        </is>
      </c>
      <c r="E1115" s="1" t="inlineStr">
        <is>
          <t>ОБЩЕСТВО С ОГРАНИЧЕННОЙ ОТВЕТСТВЕННОСТЬЮ "АМУР ЗОЛОТО"</t>
        </is>
      </c>
      <c r="F1115" s="1" t="inlineStr">
        <is>
          <t>2708001686</t>
        </is>
      </c>
      <c r="G1115" s="1" t="inlineStr">
        <is>
          <t>Машинист  самоходной буровой установки</t>
        </is>
      </c>
      <c r="H1115" s="1" t="inlineStr">
        <is>
          <t>ООО "Амур Золото"</t>
        </is>
      </c>
      <c r="I1115" s="1" t="inlineStr">
        <is>
          <t>2708001686</t>
        </is>
      </c>
      <c r="J1115" s="1" t="inlineStr">
        <is>
          <t>ОТ № ЮГОК ПГУ 24-05</t>
        </is>
      </c>
      <c r="K1115" s="1" t="inlineStr">
        <is>
          <t>Использование (применение) средств индивидуальной защиты</t>
        </is>
      </c>
      <c r="L1115" s="1" t="inlineStr">
        <is>
          <t>05.03.2024</t>
        </is>
      </c>
      <c r="M1115" s="1" t="inlineStr">
        <is>
          <t>Успешно</t>
        </is>
      </c>
      <c r="N1115" s="1" t="inlineStr">
        <is>
          <t>11.03.2024</t>
        </is>
      </c>
      <c r="O1115" s="1" t="inlineStr"/>
      <c r="P1115" s="1" t="inlineStr"/>
      <c r="Q1115" s="1" t="inlineStr">
        <is>
          <t>Пользовательский интерфейс</t>
        </is>
      </c>
    </row>
    <row r="1116">
      <c r="B1116" s="1" t="inlineStr">
        <is>
          <t>43299750</t>
        </is>
      </c>
      <c r="C1116" s="1" t="inlineStr">
        <is>
          <t>3474285</t>
        </is>
      </c>
      <c r="D1116" t="inlineStr">
        <is>
          <t>работник 324</t>
        </is>
      </c>
      <c r="E1116" s="1" t="inlineStr">
        <is>
          <t>ОБЩЕСТВО С ОГРАНИЧЕННОЙ ОТВЕТСТВЕННОСТЬЮ "АМУР ЗОЛОТО"</t>
        </is>
      </c>
      <c r="F1116" s="1" t="inlineStr">
        <is>
          <t>2708001686</t>
        </is>
      </c>
      <c r="G1116" s="1" t="inlineStr">
        <is>
          <t>Машинист  самоходной буровой установки</t>
        </is>
      </c>
      <c r="H1116" s="1" t="inlineStr">
        <is>
          <t>ООО "Амур Золото"</t>
        </is>
      </c>
      <c r="I1116" s="1" t="inlineStr">
        <is>
          <t>2708001686</t>
        </is>
      </c>
      <c r="J1116" s="1" t="inlineStr">
        <is>
          <t>ОТ № ЮГОК ПГУ 24-05</t>
        </is>
      </c>
      <c r="K111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116" s="1" t="inlineStr">
        <is>
          <t>05.03.2024</t>
        </is>
      </c>
      <c r="M1116" s="1" t="inlineStr">
        <is>
          <t>Успешно</t>
        </is>
      </c>
      <c r="N1116" s="1" t="inlineStr">
        <is>
          <t>11.03.2024</t>
        </is>
      </c>
      <c r="O1116" s="1" t="inlineStr"/>
      <c r="P1116" s="1" t="inlineStr"/>
      <c r="Q1116" s="1" t="inlineStr">
        <is>
          <t>Пользовательский интерфейс</t>
        </is>
      </c>
    </row>
    <row r="1117">
      <c r="B1117" s="1" t="inlineStr">
        <is>
          <t>43299751</t>
        </is>
      </c>
      <c r="C1117" s="1" t="inlineStr">
        <is>
          <t>3474285</t>
        </is>
      </c>
      <c r="D1117" t="inlineStr">
        <is>
          <t>работник 325</t>
        </is>
      </c>
      <c r="E1117" s="1" t="inlineStr">
        <is>
          <t>ОБЩЕСТВО С ОГРАНИЧЕННОЙ ОТВЕТСТВЕННОСТЬЮ "АМУР ЗОЛОТО"</t>
        </is>
      </c>
      <c r="F1117" s="1" t="inlineStr">
        <is>
          <t>2708001686</t>
        </is>
      </c>
      <c r="G1117" s="1" t="inlineStr">
        <is>
          <t>Электрогазосварщик (занятый на резке и ручной сварке)</t>
        </is>
      </c>
      <c r="H1117" s="1" t="inlineStr">
        <is>
          <t>ООО "Амур Золото"</t>
        </is>
      </c>
      <c r="I1117" s="1" t="inlineStr">
        <is>
          <t>2708001686</t>
        </is>
      </c>
      <c r="J1117" s="1" t="inlineStr">
        <is>
          <t>ОТ № ЮГОК ПГУ 24-05</t>
        </is>
      </c>
      <c r="K1117" s="1" t="inlineStr">
        <is>
          <t>Оказание первой помощи пострадавшим</t>
        </is>
      </c>
      <c r="L1117" s="1" t="inlineStr">
        <is>
          <t>05.03.2024</t>
        </is>
      </c>
      <c r="M1117" s="1" t="inlineStr">
        <is>
          <t>Успешно</t>
        </is>
      </c>
      <c r="N1117" s="1" t="inlineStr">
        <is>
          <t>11.03.2024</t>
        </is>
      </c>
      <c r="O1117" s="1" t="inlineStr"/>
      <c r="P1117" s="1" t="inlineStr"/>
      <c r="Q1117" s="1" t="inlineStr">
        <is>
          <t>Пользовательский интерфейс</t>
        </is>
      </c>
    </row>
    <row r="1118">
      <c r="B1118" s="1" t="inlineStr">
        <is>
          <t>43299752</t>
        </is>
      </c>
      <c r="C1118" s="1" t="inlineStr">
        <is>
          <t>3474285</t>
        </is>
      </c>
      <c r="D1118" t="inlineStr">
        <is>
          <t>работник 325</t>
        </is>
      </c>
      <c r="E1118" s="1" t="inlineStr">
        <is>
          <t>ОБЩЕСТВО С ОГРАНИЧЕННОЙ ОТВЕТСТВЕННОСТЬЮ "АМУР ЗОЛОТО"</t>
        </is>
      </c>
      <c r="F1118" s="1" t="inlineStr">
        <is>
          <t>2708001686</t>
        </is>
      </c>
      <c r="G1118" s="1" t="inlineStr">
        <is>
          <t>Электрогазосварщик (занятый на резке и ручной сварке)</t>
        </is>
      </c>
      <c r="H1118" s="1" t="inlineStr">
        <is>
          <t>ООО "Амур Золото"</t>
        </is>
      </c>
      <c r="I1118" s="1" t="inlineStr">
        <is>
          <t>2708001686</t>
        </is>
      </c>
      <c r="J1118" s="1" t="inlineStr">
        <is>
          <t>ОТ № ЮГОК ПГУ 24-05</t>
        </is>
      </c>
      <c r="K1118" s="1" t="inlineStr">
        <is>
          <t>Использование (применение) средств индивидуальной защиты</t>
        </is>
      </c>
      <c r="L1118" s="1" t="inlineStr">
        <is>
          <t>05.03.2024</t>
        </is>
      </c>
      <c r="M1118" s="1" t="inlineStr">
        <is>
          <t>Успешно</t>
        </is>
      </c>
      <c r="N1118" s="1" t="inlineStr">
        <is>
          <t>11.03.2024</t>
        </is>
      </c>
      <c r="O1118" s="1" t="inlineStr"/>
      <c r="P1118" s="1" t="inlineStr"/>
      <c r="Q1118" s="1" t="inlineStr">
        <is>
          <t>Пользовательский интерфейс</t>
        </is>
      </c>
    </row>
    <row r="1119">
      <c r="B1119" s="1" t="inlineStr">
        <is>
          <t>43299753</t>
        </is>
      </c>
      <c r="C1119" s="1" t="inlineStr">
        <is>
          <t>3474285</t>
        </is>
      </c>
      <c r="D1119" t="inlineStr">
        <is>
          <t>работник 325</t>
        </is>
      </c>
      <c r="E1119" s="1" t="inlineStr">
        <is>
          <t>ОБЩЕСТВО С ОГРАНИЧЕННОЙ ОТВЕТСТВЕННОСТЬЮ "АМУР ЗОЛОТО"</t>
        </is>
      </c>
      <c r="F1119" s="1" t="inlineStr">
        <is>
          <t>2708001686</t>
        </is>
      </c>
      <c r="G1119" s="1" t="inlineStr">
        <is>
          <t>Электрогазосварщик (занятый на резке и ручной сварке)</t>
        </is>
      </c>
      <c r="H1119" s="1" t="inlineStr">
        <is>
          <t>ООО "Амур Золото"</t>
        </is>
      </c>
      <c r="I1119" s="1" t="inlineStr">
        <is>
          <t>2708001686</t>
        </is>
      </c>
      <c r="J1119" s="1" t="inlineStr">
        <is>
          <t>ОТ № ЮГОК ПГУ 24-05</t>
        </is>
      </c>
      <c r="K111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119" s="1" t="inlineStr">
        <is>
          <t>05.03.2024</t>
        </is>
      </c>
      <c r="M1119" s="1" t="inlineStr">
        <is>
          <t>Успешно</t>
        </is>
      </c>
      <c r="N1119" s="1" t="inlineStr">
        <is>
          <t>11.03.2024</t>
        </is>
      </c>
      <c r="O1119" s="1" t="inlineStr"/>
      <c r="P1119" s="1" t="inlineStr"/>
      <c r="Q1119" s="1" t="inlineStr">
        <is>
          <t>Пользовательский интерфейс</t>
        </is>
      </c>
    </row>
    <row r="1120">
      <c r="B1120" s="1" t="inlineStr">
        <is>
          <t>43299754</t>
        </is>
      </c>
      <c r="C1120" s="1" t="inlineStr">
        <is>
          <t>3474285</t>
        </is>
      </c>
      <c r="D1120" t="inlineStr">
        <is>
          <t>работник 326</t>
        </is>
      </c>
      <c r="E1120" s="1" t="inlineStr">
        <is>
          <t>ОБЩЕСТВО С ОГРАНИЧЕННОЙ ОТВЕТСТВЕННОСТЬЮ "АМУР ЗОЛОТО"</t>
        </is>
      </c>
      <c r="F1120" s="1" t="inlineStr">
        <is>
          <t>2708001686</t>
        </is>
      </c>
      <c r="G1120" s="1" t="inlineStr">
        <is>
          <t>Машинист погрузочно-доставочной машины</t>
        </is>
      </c>
      <c r="H1120" s="1" t="inlineStr">
        <is>
          <t>ООО "Амур Золото"</t>
        </is>
      </c>
      <c r="I1120" s="1" t="inlineStr">
        <is>
          <t>2708001686</t>
        </is>
      </c>
      <c r="J1120" s="1" t="inlineStr">
        <is>
          <t>ОТ № ЮГОК ПГУ 24-05</t>
        </is>
      </c>
      <c r="K1120" s="1" t="inlineStr">
        <is>
          <t>Оказание первой помощи пострадавшим</t>
        </is>
      </c>
      <c r="L1120" s="1" t="inlineStr">
        <is>
          <t>05.03.2024</t>
        </is>
      </c>
      <c r="M1120" s="1" t="inlineStr">
        <is>
          <t>Успешно</t>
        </is>
      </c>
      <c r="N1120" s="1" t="inlineStr">
        <is>
          <t>11.03.2024</t>
        </is>
      </c>
      <c r="O1120" s="1" t="inlineStr"/>
      <c r="P1120" s="1" t="inlineStr"/>
      <c r="Q1120" s="1" t="inlineStr">
        <is>
          <t>Пользовательский интерфейс</t>
        </is>
      </c>
    </row>
    <row r="1121">
      <c r="B1121" s="1" t="inlineStr">
        <is>
          <t>43299755</t>
        </is>
      </c>
      <c r="C1121" s="1" t="inlineStr">
        <is>
          <t>3474285</t>
        </is>
      </c>
      <c r="D1121" t="inlineStr">
        <is>
          <t>работник 326</t>
        </is>
      </c>
      <c r="E1121" s="1" t="inlineStr">
        <is>
          <t>ОБЩЕСТВО С ОГРАНИЧЕННОЙ ОТВЕТСТВЕННОСТЬЮ "АМУР ЗОЛОТО"</t>
        </is>
      </c>
      <c r="F1121" s="1" t="inlineStr">
        <is>
          <t>2708001686</t>
        </is>
      </c>
      <c r="G1121" s="1" t="inlineStr">
        <is>
          <t>Машинист погрузочно-доставочной машины</t>
        </is>
      </c>
      <c r="H1121" s="1" t="inlineStr">
        <is>
          <t>ООО "Амур Золото"</t>
        </is>
      </c>
      <c r="I1121" s="1" t="inlineStr">
        <is>
          <t>2708001686</t>
        </is>
      </c>
      <c r="J1121" s="1" t="inlineStr">
        <is>
          <t>ОТ № ЮГОК ПГУ 24-05</t>
        </is>
      </c>
      <c r="K1121" s="1" t="inlineStr">
        <is>
          <t>Использование (применение) средств индивидуальной защиты</t>
        </is>
      </c>
      <c r="L1121" s="1" t="inlineStr">
        <is>
          <t>05.03.2024</t>
        </is>
      </c>
      <c r="M1121" s="1" t="inlineStr">
        <is>
          <t>Успешно</t>
        </is>
      </c>
      <c r="N1121" s="1" t="inlineStr">
        <is>
          <t>11.03.2024</t>
        </is>
      </c>
      <c r="O1121" s="1" t="inlineStr"/>
      <c r="P1121" s="1" t="inlineStr"/>
      <c r="Q1121" s="1" t="inlineStr">
        <is>
          <t>Пользовательский интерфейс</t>
        </is>
      </c>
    </row>
    <row r="1122">
      <c r="B1122" s="1" t="inlineStr">
        <is>
          <t>43299756</t>
        </is>
      </c>
      <c r="C1122" s="1" t="inlineStr">
        <is>
          <t>3474285</t>
        </is>
      </c>
      <c r="D1122" t="inlineStr">
        <is>
          <t>работник 326</t>
        </is>
      </c>
      <c r="E1122" s="1" t="inlineStr">
        <is>
          <t>ОБЩЕСТВО С ОГРАНИЧЕННОЙ ОТВЕТСТВЕННОСТЬЮ "АМУР ЗОЛОТО"</t>
        </is>
      </c>
      <c r="F1122" s="1" t="inlineStr">
        <is>
          <t>2708001686</t>
        </is>
      </c>
      <c r="G1122" s="1" t="inlineStr">
        <is>
          <t>Машинист погрузочно-доставочной машины</t>
        </is>
      </c>
      <c r="H1122" s="1" t="inlineStr">
        <is>
          <t>ООО "Амур Золото"</t>
        </is>
      </c>
      <c r="I1122" s="1" t="inlineStr">
        <is>
          <t>2708001686</t>
        </is>
      </c>
      <c r="J1122" s="1" t="inlineStr">
        <is>
          <t>ОТ № ЮГОК ПГУ 24-05</t>
        </is>
      </c>
      <c r="K112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122" s="1" t="inlineStr">
        <is>
          <t>05.03.2024</t>
        </is>
      </c>
      <c r="M1122" s="1" t="inlineStr">
        <is>
          <t>Успешно</t>
        </is>
      </c>
      <c r="N1122" s="1" t="inlineStr">
        <is>
          <t>11.03.2024</t>
        </is>
      </c>
      <c r="O1122" s="1" t="inlineStr"/>
      <c r="P1122" s="1" t="inlineStr"/>
      <c r="Q1122" s="1" t="inlineStr">
        <is>
          <t>Пользовательский интерфейс</t>
        </is>
      </c>
    </row>
    <row r="1123">
      <c r="B1123" s="1" t="inlineStr">
        <is>
          <t>43299757</t>
        </is>
      </c>
      <c r="C1123" s="1" t="inlineStr">
        <is>
          <t>3474285</t>
        </is>
      </c>
      <c r="D1123" t="inlineStr">
        <is>
          <t>работник 327</t>
        </is>
      </c>
      <c r="E1123" s="1" t="inlineStr">
        <is>
          <t>ОБЩЕСТВО С ОГРАНИЧЕННОЙ ОТВЕТСТВЕННОСТЬЮ "АМУР ЗОЛОТО"</t>
        </is>
      </c>
      <c r="F1123" s="1" t="inlineStr">
        <is>
          <t>2708001686</t>
        </is>
      </c>
      <c r="G1123" s="1" t="inlineStr">
        <is>
          <t>Крепильщик (пылевентиляционная служба)</t>
        </is>
      </c>
      <c r="H1123" s="1" t="inlineStr">
        <is>
          <t>ООО "Амур Золото"</t>
        </is>
      </c>
      <c r="I1123" s="1" t="inlineStr">
        <is>
          <t>2708001686</t>
        </is>
      </c>
      <c r="J1123" s="1" t="inlineStr">
        <is>
          <t>ОТ № ЮГОК ПГУ 24-05</t>
        </is>
      </c>
      <c r="K1123" s="1" t="inlineStr">
        <is>
          <t>Оказание первой помощи пострадавшим</t>
        </is>
      </c>
      <c r="L1123" s="1" t="inlineStr">
        <is>
          <t>05.03.2024</t>
        </is>
      </c>
      <c r="M1123" s="1" t="inlineStr">
        <is>
          <t>Успешно</t>
        </is>
      </c>
      <c r="N1123" s="1" t="inlineStr">
        <is>
          <t>11.03.2024</t>
        </is>
      </c>
      <c r="O1123" s="1" t="inlineStr"/>
      <c r="P1123" s="1" t="inlineStr"/>
      <c r="Q1123" s="1" t="inlineStr">
        <is>
          <t>Пользовательский интерфейс</t>
        </is>
      </c>
    </row>
    <row r="1124">
      <c r="B1124" s="1" t="inlineStr">
        <is>
          <t>43299758</t>
        </is>
      </c>
      <c r="C1124" s="1" t="inlineStr">
        <is>
          <t>3474285</t>
        </is>
      </c>
      <c r="D1124" t="inlineStr">
        <is>
          <t>работник 327</t>
        </is>
      </c>
      <c r="E1124" s="1" t="inlineStr">
        <is>
          <t>ОБЩЕСТВО С ОГРАНИЧЕННОЙ ОТВЕТСТВЕННОСТЬЮ "АМУР ЗОЛОТО"</t>
        </is>
      </c>
      <c r="F1124" s="1" t="inlineStr">
        <is>
          <t>2708001686</t>
        </is>
      </c>
      <c r="G1124" s="1" t="inlineStr">
        <is>
          <t>Крепильщик (пылевентиляционная служба)</t>
        </is>
      </c>
      <c r="H1124" s="1" t="inlineStr">
        <is>
          <t>ООО "Амур Золото"</t>
        </is>
      </c>
      <c r="I1124" s="1" t="inlineStr">
        <is>
          <t>2708001686</t>
        </is>
      </c>
      <c r="J1124" s="1" t="inlineStr">
        <is>
          <t>ОТ № ЮГОК ПГУ 24-05</t>
        </is>
      </c>
      <c r="K1124" s="1" t="inlineStr">
        <is>
          <t>Использование (применение) средств индивидуальной защиты</t>
        </is>
      </c>
      <c r="L1124" s="1" t="inlineStr">
        <is>
          <t>05.03.2024</t>
        </is>
      </c>
      <c r="M1124" s="1" t="inlineStr">
        <is>
          <t>Успешно</t>
        </is>
      </c>
      <c r="N1124" s="1" t="inlineStr">
        <is>
          <t>11.03.2024</t>
        </is>
      </c>
      <c r="O1124" s="1" t="inlineStr"/>
      <c r="P1124" s="1" t="inlineStr"/>
      <c r="Q1124" s="1" t="inlineStr">
        <is>
          <t>Пользовательский интерфейс</t>
        </is>
      </c>
    </row>
    <row r="1125">
      <c r="B1125" s="1" t="inlineStr">
        <is>
          <t>43299759</t>
        </is>
      </c>
      <c r="C1125" s="1" t="inlineStr">
        <is>
          <t>3474285</t>
        </is>
      </c>
      <c r="D1125" t="inlineStr">
        <is>
          <t>работник 327</t>
        </is>
      </c>
      <c r="E1125" s="1" t="inlineStr">
        <is>
          <t>ОБЩЕСТВО С ОГРАНИЧЕННОЙ ОТВЕТСТВЕННОСТЬЮ "АМУР ЗОЛОТО"</t>
        </is>
      </c>
      <c r="F1125" s="1" t="inlineStr">
        <is>
          <t>2708001686</t>
        </is>
      </c>
      <c r="G1125" s="1" t="inlineStr">
        <is>
          <t>Крепильщик (пылевентиляционная служба)</t>
        </is>
      </c>
      <c r="H1125" s="1" t="inlineStr">
        <is>
          <t>ООО "Амур Золото"</t>
        </is>
      </c>
      <c r="I1125" s="1" t="inlineStr">
        <is>
          <t>2708001686</t>
        </is>
      </c>
      <c r="J1125" s="1" t="inlineStr">
        <is>
          <t>ОТ № ЮГОК ПГУ 24-05</t>
        </is>
      </c>
      <c r="K112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125" s="1" t="inlineStr">
        <is>
          <t>05.03.2024</t>
        </is>
      </c>
      <c r="M1125" s="1" t="inlineStr">
        <is>
          <t>Успешно</t>
        </is>
      </c>
      <c r="N1125" s="1" t="inlineStr">
        <is>
          <t>11.03.2024</t>
        </is>
      </c>
      <c r="O1125" s="1" t="inlineStr"/>
      <c r="P1125" s="1" t="inlineStr"/>
      <c r="Q1125" s="1" t="inlineStr">
        <is>
          <t>Пользовательский интерфейс</t>
        </is>
      </c>
    </row>
    <row r="1126">
      <c r="B1126" s="1" t="inlineStr">
        <is>
          <t>43299760</t>
        </is>
      </c>
      <c r="C1126" s="1" t="inlineStr">
        <is>
          <t>3474285</t>
        </is>
      </c>
      <c r="D1126" t="inlineStr">
        <is>
          <t>работник 65</t>
        </is>
      </c>
      <c r="E1126" s="1" t="inlineStr">
        <is>
          <t>ОБЩЕСТВО С ОГРАНИЧЕННОЙ ОТВЕТСТВЕННОСТЬЮ "АМУР ЗОЛОТО"</t>
        </is>
      </c>
      <c r="F1126" s="1" t="inlineStr">
        <is>
          <t>2708001686</t>
        </is>
      </c>
      <c r="G1126" s="1" t="inlineStr">
        <is>
          <t>Электрослесарь (слесарь) дежурный и по ремонту оборудования подземного горного участка</t>
        </is>
      </c>
      <c r="H1126" s="1" t="inlineStr">
        <is>
          <t>ООО "Амур Золото"</t>
        </is>
      </c>
      <c r="I1126" s="1" t="inlineStr">
        <is>
          <t>2708001686</t>
        </is>
      </c>
      <c r="J1126" s="1" t="inlineStr">
        <is>
          <t>ОТ № ЮГОК ПГУ 24-05</t>
        </is>
      </c>
      <c r="K1126" s="1" t="inlineStr">
        <is>
          <t>Оказание первой помощи пострадавшим</t>
        </is>
      </c>
      <c r="L1126" s="1" t="inlineStr">
        <is>
          <t>05.03.2024</t>
        </is>
      </c>
      <c r="M1126" s="1" t="inlineStr">
        <is>
          <t>Успешно</t>
        </is>
      </c>
      <c r="N1126" s="1" t="inlineStr">
        <is>
          <t>11.03.2024</t>
        </is>
      </c>
      <c r="O1126" s="1" t="inlineStr"/>
      <c r="P1126" s="1" t="inlineStr"/>
      <c r="Q1126" s="1" t="inlineStr">
        <is>
          <t>Пользовательский интерфейс</t>
        </is>
      </c>
    </row>
    <row r="1127">
      <c r="B1127" s="1" t="inlineStr">
        <is>
          <t>43299761</t>
        </is>
      </c>
      <c r="C1127" s="1" t="inlineStr">
        <is>
          <t>3474285</t>
        </is>
      </c>
      <c r="D1127" t="inlineStr">
        <is>
          <t>работник 65</t>
        </is>
      </c>
      <c r="E1127" s="1" t="inlineStr">
        <is>
          <t>ОБЩЕСТВО С ОГРАНИЧЕННОЙ ОТВЕТСТВЕННОСТЬЮ "АМУР ЗОЛОТО"</t>
        </is>
      </c>
      <c r="F1127" s="1" t="inlineStr">
        <is>
          <t>2708001686</t>
        </is>
      </c>
      <c r="G1127" s="1" t="inlineStr">
        <is>
          <t>Электрослесарь (слесарь) дежурный и по ремонту оборудования подземного горного участка</t>
        </is>
      </c>
      <c r="H1127" s="1" t="inlineStr">
        <is>
          <t>ООО "Амур Золото"</t>
        </is>
      </c>
      <c r="I1127" s="1" t="inlineStr">
        <is>
          <t>2708001686</t>
        </is>
      </c>
      <c r="J1127" s="1" t="inlineStr">
        <is>
          <t>ОТ № ЮГОК ПГУ 24-05</t>
        </is>
      </c>
      <c r="K1127" s="1" t="inlineStr">
        <is>
          <t>Использование (применение) средств индивидуальной защиты</t>
        </is>
      </c>
      <c r="L1127" s="1" t="inlineStr">
        <is>
          <t>05.03.2024</t>
        </is>
      </c>
      <c r="M1127" s="1" t="inlineStr">
        <is>
          <t>Успешно</t>
        </is>
      </c>
      <c r="N1127" s="1" t="inlineStr">
        <is>
          <t>11.03.2024</t>
        </is>
      </c>
      <c r="O1127" s="1" t="inlineStr"/>
      <c r="P1127" s="1" t="inlineStr"/>
      <c r="Q1127" s="1" t="inlineStr">
        <is>
          <t>Пользовательский интерфейс</t>
        </is>
      </c>
    </row>
    <row r="1128">
      <c r="B1128" s="1" t="inlineStr">
        <is>
          <t>43299762</t>
        </is>
      </c>
      <c r="C1128" s="1" t="inlineStr">
        <is>
          <t>3474285</t>
        </is>
      </c>
      <c r="D1128" t="inlineStr">
        <is>
          <t>работник 65</t>
        </is>
      </c>
      <c r="E1128" s="1" t="inlineStr">
        <is>
          <t>ОБЩЕСТВО С ОГРАНИЧЕННОЙ ОТВЕТСТВЕННОСТЬЮ "АМУР ЗОЛОТО"</t>
        </is>
      </c>
      <c r="F1128" s="1" t="inlineStr">
        <is>
          <t>2708001686</t>
        </is>
      </c>
      <c r="G1128" s="1" t="inlineStr">
        <is>
          <t>Электрослесарь (слесарь) дежурный и по ремонту оборудования подземного горного участка</t>
        </is>
      </c>
      <c r="H1128" s="1" t="inlineStr">
        <is>
          <t>ООО "Амур Золото"</t>
        </is>
      </c>
      <c r="I1128" s="1" t="inlineStr">
        <is>
          <t>2708001686</t>
        </is>
      </c>
      <c r="J1128" s="1" t="inlineStr">
        <is>
          <t>ОТ № ЮГОК ПГУ 24-05</t>
        </is>
      </c>
      <c r="K112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128" s="1" t="inlineStr">
        <is>
          <t>05.03.2024</t>
        </is>
      </c>
      <c r="M1128" s="1" t="inlineStr">
        <is>
          <t>Успешно</t>
        </is>
      </c>
      <c r="N1128" s="1" t="inlineStr">
        <is>
          <t>11.03.2024</t>
        </is>
      </c>
      <c r="O1128" s="1" t="inlineStr"/>
      <c r="P1128" s="1" t="inlineStr"/>
      <c r="Q1128" s="1" t="inlineStr">
        <is>
          <t>Пользовательский интерфейс</t>
        </is>
      </c>
    </row>
    <row r="1129">
      <c r="B1129" s="1" t="inlineStr">
        <is>
          <t>43299763</t>
        </is>
      </c>
      <c r="C1129" s="1" t="inlineStr">
        <is>
          <t>3474285</t>
        </is>
      </c>
      <c r="D1129" t="inlineStr">
        <is>
          <t>работник 66</t>
        </is>
      </c>
      <c r="E1129" s="1" t="inlineStr">
        <is>
          <t>ОБЩЕСТВО С ОГРАНИЧЕННОЙ ОТВЕТСТВЕННОСТЬЮ "АМУР ЗОЛОТО"</t>
        </is>
      </c>
      <c r="F1129" s="1" t="inlineStr">
        <is>
          <t>2708001686</t>
        </is>
      </c>
      <c r="G1129" s="1" t="inlineStr">
        <is>
          <t>Электрослесарь (слесарь) дежурный и по ремонту оборудования подземного горного участка</t>
        </is>
      </c>
      <c r="H1129" s="1" t="inlineStr">
        <is>
          <t>ООО "Амур Золото"</t>
        </is>
      </c>
      <c r="I1129" s="1" t="inlineStr">
        <is>
          <t>2708001686</t>
        </is>
      </c>
      <c r="J1129" s="1" t="inlineStr">
        <is>
          <t>ОТ № ЮГОК ПГУ 24-05</t>
        </is>
      </c>
      <c r="K1129" s="1" t="inlineStr">
        <is>
          <t>Оказание первой помощи пострадавшим</t>
        </is>
      </c>
      <c r="L1129" s="1" t="inlineStr">
        <is>
          <t>05.03.2024</t>
        </is>
      </c>
      <c r="M1129" s="1" t="inlineStr">
        <is>
          <t>Успешно</t>
        </is>
      </c>
      <c r="N1129" s="1" t="inlineStr">
        <is>
          <t>11.03.2024</t>
        </is>
      </c>
      <c r="O1129" s="1" t="inlineStr"/>
      <c r="P1129" s="1" t="inlineStr"/>
      <c r="Q1129" s="1" t="inlineStr">
        <is>
          <t>Пользовательский интерфейс</t>
        </is>
      </c>
    </row>
    <row r="1130">
      <c r="B1130" s="1" t="inlineStr">
        <is>
          <t>43299764</t>
        </is>
      </c>
      <c r="C1130" s="1" t="inlineStr">
        <is>
          <t>3474285</t>
        </is>
      </c>
      <c r="D1130" t="inlineStr">
        <is>
          <t>работник 66</t>
        </is>
      </c>
      <c r="E1130" s="1" t="inlineStr">
        <is>
          <t>ОБЩЕСТВО С ОГРАНИЧЕННОЙ ОТВЕТСТВЕННОСТЬЮ "АМУР ЗОЛОТО"</t>
        </is>
      </c>
      <c r="F1130" s="1" t="inlineStr">
        <is>
          <t>2708001686</t>
        </is>
      </c>
      <c r="G1130" s="1" t="inlineStr">
        <is>
          <t>Электрослесарь (слесарь) дежурный и по ремонту оборудования подземного горного участка</t>
        </is>
      </c>
      <c r="H1130" s="1" t="inlineStr">
        <is>
          <t>ООО "Амур Золото"</t>
        </is>
      </c>
      <c r="I1130" s="1" t="inlineStr">
        <is>
          <t>2708001686</t>
        </is>
      </c>
      <c r="J1130" s="1" t="inlineStr">
        <is>
          <t>ОТ № ЮГОК ПГУ 24-05</t>
        </is>
      </c>
      <c r="K1130" s="1" t="inlineStr">
        <is>
          <t>Использование (применение) средств индивидуальной защиты</t>
        </is>
      </c>
      <c r="L1130" s="1" t="inlineStr">
        <is>
          <t>05.03.2024</t>
        </is>
      </c>
      <c r="M1130" s="1" t="inlineStr">
        <is>
          <t>Успешно</t>
        </is>
      </c>
      <c r="N1130" s="1" t="inlineStr">
        <is>
          <t>11.03.2024</t>
        </is>
      </c>
      <c r="O1130" s="1" t="inlineStr"/>
      <c r="P1130" s="1" t="inlineStr"/>
      <c r="Q1130" s="1" t="inlineStr">
        <is>
          <t>Пользовательский интерфейс</t>
        </is>
      </c>
    </row>
    <row r="1131">
      <c r="B1131" s="1" t="inlineStr">
        <is>
          <t>43299765</t>
        </is>
      </c>
      <c r="C1131" s="1" t="inlineStr">
        <is>
          <t>3474285</t>
        </is>
      </c>
      <c r="D1131" t="inlineStr">
        <is>
          <t>работник 66</t>
        </is>
      </c>
      <c r="E1131" s="1" t="inlineStr">
        <is>
          <t>ОБЩЕСТВО С ОГРАНИЧЕННОЙ ОТВЕТСТВЕННОСТЬЮ "АМУР ЗОЛОТО"</t>
        </is>
      </c>
      <c r="F1131" s="1" t="inlineStr">
        <is>
          <t>2708001686</t>
        </is>
      </c>
      <c r="G1131" s="1" t="inlineStr">
        <is>
          <t>Электрослесарь (слесарь) дежурный и по ремонту оборудования подземного горного участка</t>
        </is>
      </c>
      <c r="H1131" s="1" t="inlineStr">
        <is>
          <t>ООО "Амур Золото"</t>
        </is>
      </c>
      <c r="I1131" s="1" t="inlineStr">
        <is>
          <t>2708001686</t>
        </is>
      </c>
      <c r="J1131" s="1" t="inlineStr">
        <is>
          <t>ОТ № ЮГОК ПГУ 24-05</t>
        </is>
      </c>
      <c r="K113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131" s="1" t="inlineStr">
        <is>
          <t>05.03.2024</t>
        </is>
      </c>
      <c r="M1131" s="1" t="inlineStr">
        <is>
          <t>Успешно</t>
        </is>
      </c>
      <c r="N1131" s="1" t="inlineStr">
        <is>
          <t>11.03.2024</t>
        </is>
      </c>
      <c r="O1131" s="1" t="inlineStr"/>
      <c r="P1131" s="1" t="inlineStr"/>
      <c r="Q1131" s="1" t="inlineStr">
        <is>
          <t>Пользовательский интерфейс</t>
        </is>
      </c>
    </row>
    <row r="1132">
      <c r="B1132" s="1" t="inlineStr">
        <is>
          <t>43299766</t>
        </is>
      </c>
      <c r="C1132" s="1" t="inlineStr">
        <is>
          <t>3474285</t>
        </is>
      </c>
      <c r="D1132" t="inlineStr">
        <is>
          <t>работник 328</t>
        </is>
      </c>
      <c r="E1132" s="1" t="inlineStr">
        <is>
          <t>ОБЩЕСТВО С ОГРАНИЧЕННОЙ ОТВЕТСТВЕННОСТЬЮ "АМУР ЗОЛОТО"</t>
        </is>
      </c>
      <c r="F1132" s="1" t="inlineStr">
        <is>
          <t>2708001686</t>
        </is>
      </c>
      <c r="G1132" s="1" t="inlineStr">
        <is>
          <t>Крепильщик</t>
        </is>
      </c>
      <c r="H1132" s="1" t="inlineStr">
        <is>
          <t>ООО "Амур Золото"</t>
        </is>
      </c>
      <c r="I1132" s="1" t="inlineStr">
        <is>
          <t>2708001686</t>
        </is>
      </c>
      <c r="J1132" s="1" t="inlineStr">
        <is>
          <t>ОТ № ЮГОК ПГУ 24-05</t>
        </is>
      </c>
      <c r="K1132" s="1" t="inlineStr">
        <is>
          <t>Оказание первой помощи пострадавшим</t>
        </is>
      </c>
      <c r="L1132" s="1" t="inlineStr">
        <is>
          <t>05.03.2024</t>
        </is>
      </c>
      <c r="M1132" s="1" t="inlineStr">
        <is>
          <t>Успешно</t>
        </is>
      </c>
      <c r="N1132" s="1" t="inlineStr">
        <is>
          <t>11.03.2024</t>
        </is>
      </c>
      <c r="O1132" s="1" t="inlineStr"/>
      <c r="P1132" s="1" t="inlineStr"/>
      <c r="Q1132" s="1" t="inlineStr">
        <is>
          <t>Пользовательский интерфейс</t>
        </is>
      </c>
    </row>
    <row r="1133">
      <c r="B1133" s="1" t="inlineStr">
        <is>
          <t>43299767</t>
        </is>
      </c>
      <c r="C1133" s="1" t="inlineStr">
        <is>
          <t>3474285</t>
        </is>
      </c>
      <c r="D1133" t="inlineStr">
        <is>
          <t>работник 328</t>
        </is>
      </c>
      <c r="E1133" s="1" t="inlineStr">
        <is>
          <t>ОБЩЕСТВО С ОГРАНИЧЕННОЙ ОТВЕТСТВЕННОСТЬЮ "АМУР ЗОЛОТО"</t>
        </is>
      </c>
      <c r="F1133" s="1" t="inlineStr">
        <is>
          <t>2708001686</t>
        </is>
      </c>
      <c r="G1133" s="1" t="inlineStr">
        <is>
          <t>Крепильщик</t>
        </is>
      </c>
      <c r="H1133" s="1" t="inlineStr">
        <is>
          <t>ООО "Амур Золото"</t>
        </is>
      </c>
      <c r="I1133" s="1" t="inlineStr">
        <is>
          <t>2708001686</t>
        </is>
      </c>
      <c r="J1133" s="1" t="inlineStr">
        <is>
          <t>ОТ № ЮГОК ПГУ 24-05</t>
        </is>
      </c>
      <c r="K1133" s="1" t="inlineStr">
        <is>
          <t>Использование (применение) средств индивидуальной защиты</t>
        </is>
      </c>
      <c r="L1133" s="1" t="inlineStr">
        <is>
          <t>05.03.2024</t>
        </is>
      </c>
      <c r="M1133" s="1" t="inlineStr">
        <is>
          <t>Успешно</t>
        </is>
      </c>
      <c r="N1133" s="1" t="inlineStr">
        <is>
          <t>11.03.2024</t>
        </is>
      </c>
      <c r="O1133" s="1" t="inlineStr"/>
      <c r="P1133" s="1" t="inlineStr"/>
      <c r="Q1133" s="1" t="inlineStr">
        <is>
          <t>Пользовательский интерфейс</t>
        </is>
      </c>
    </row>
    <row r="1134">
      <c r="B1134" s="1" t="inlineStr">
        <is>
          <t>43299768</t>
        </is>
      </c>
      <c r="C1134" s="1" t="inlineStr">
        <is>
          <t>3474285</t>
        </is>
      </c>
      <c r="D1134" t="inlineStr">
        <is>
          <t>работник 328</t>
        </is>
      </c>
      <c r="E1134" s="1" t="inlineStr">
        <is>
          <t>ОБЩЕСТВО С ОГРАНИЧЕННОЙ ОТВЕТСТВЕННОСТЬЮ "АМУР ЗОЛОТО"</t>
        </is>
      </c>
      <c r="F1134" s="1" t="inlineStr">
        <is>
          <t>2708001686</t>
        </is>
      </c>
      <c r="G1134" s="1" t="inlineStr">
        <is>
          <t>Крепильщик</t>
        </is>
      </c>
      <c r="H1134" s="1" t="inlineStr">
        <is>
          <t>ООО "Амур Золото"</t>
        </is>
      </c>
      <c r="I1134" s="1" t="inlineStr">
        <is>
          <t>2708001686</t>
        </is>
      </c>
      <c r="J1134" s="1" t="inlineStr">
        <is>
          <t>ОТ № ЮГОК ПГУ 24-05</t>
        </is>
      </c>
      <c r="K113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134" s="1" t="inlineStr">
        <is>
          <t>05.03.2024</t>
        </is>
      </c>
      <c r="M1134" s="1" t="inlineStr">
        <is>
          <t>Успешно</t>
        </is>
      </c>
      <c r="N1134" s="1" t="inlineStr">
        <is>
          <t>11.03.2024</t>
        </is>
      </c>
      <c r="O1134" s="1" t="inlineStr"/>
      <c r="P1134" s="1" t="inlineStr"/>
      <c r="Q1134" s="1" t="inlineStr">
        <is>
          <t>Пользовательский интерфейс</t>
        </is>
      </c>
    </row>
    <row r="1135">
      <c r="B1135" s="1" t="inlineStr">
        <is>
          <t>47664820</t>
        </is>
      </c>
      <c r="C1135" s="1" t="inlineStr">
        <is>
          <t>3785399</t>
        </is>
      </c>
      <c r="D1135" t="inlineStr">
        <is>
          <t>работник 329</t>
        </is>
      </c>
      <c r="E1135" s="1" t="inlineStr">
        <is>
          <t>ОБЩЕСТВО С ОГРАНИЧЕННОЙ ОТВЕТСТВЕННОСТЬЮ "АМУР ЗОЛОТО"</t>
        </is>
      </c>
      <c r="F1135" s="1" t="inlineStr">
        <is>
          <t>2708001686</t>
        </is>
      </c>
      <c r="G1135" s="1" t="inlineStr">
        <is>
          <t>Машинист мельниц</t>
        </is>
      </c>
      <c r="H1135" s="1" t="inlineStr">
        <is>
          <t>ООО "Амур Золото"</t>
        </is>
      </c>
      <c r="I1135" s="1" t="inlineStr">
        <is>
          <t>2708001686</t>
        </is>
      </c>
      <c r="J1135" s="1" t="inlineStr">
        <is>
          <t>ОТ ЮГОК ЗИОФ 24-19</t>
        </is>
      </c>
      <c r="K1135" s="1" t="inlineStr">
        <is>
          <t>Оказание первой помощи пострадавшим</t>
        </is>
      </c>
      <c r="L1135" s="1" t="inlineStr">
        <is>
          <t>11.03.2024</t>
        </is>
      </c>
      <c r="M1135" s="1" t="inlineStr">
        <is>
          <t>Успешно</t>
        </is>
      </c>
      <c r="N1135" s="1" t="inlineStr">
        <is>
          <t>28.03.2024</t>
        </is>
      </c>
      <c r="O1135" s="1" t="inlineStr"/>
      <c r="P1135" s="1" t="inlineStr"/>
      <c r="Q1135" s="1" t="inlineStr">
        <is>
          <t>Пользовательский интерфейс</t>
        </is>
      </c>
    </row>
    <row r="1136">
      <c r="B1136" s="1" t="inlineStr">
        <is>
          <t>47664821</t>
        </is>
      </c>
      <c r="C1136" s="1" t="inlineStr">
        <is>
          <t>3785399</t>
        </is>
      </c>
      <c r="D1136" t="inlineStr">
        <is>
          <t>работник 329</t>
        </is>
      </c>
      <c r="E1136" s="1" t="inlineStr">
        <is>
          <t>ОБЩЕСТВО С ОГРАНИЧЕННОЙ ОТВЕТСТВЕННОСТЬЮ "АМУР ЗОЛОТО"</t>
        </is>
      </c>
      <c r="F1136" s="1" t="inlineStr">
        <is>
          <t>2708001686</t>
        </is>
      </c>
      <c r="G1136" s="1" t="inlineStr">
        <is>
          <t>Машинист мельниц</t>
        </is>
      </c>
      <c r="H1136" s="1" t="inlineStr">
        <is>
          <t>ООО "Амур Золото"</t>
        </is>
      </c>
      <c r="I1136" s="1" t="inlineStr">
        <is>
          <t>2708001686</t>
        </is>
      </c>
      <c r="J1136" s="1" t="inlineStr">
        <is>
          <t>ОТ ЮГОК ЗИОФ 24-19</t>
        </is>
      </c>
      <c r="K1136" s="1" t="inlineStr">
        <is>
          <t>Использование (применение) средств индивидуальной защиты</t>
        </is>
      </c>
      <c r="L1136" s="1" t="inlineStr">
        <is>
          <t>11.03.2024</t>
        </is>
      </c>
      <c r="M1136" s="1" t="inlineStr">
        <is>
          <t>Успешно</t>
        </is>
      </c>
      <c r="N1136" s="1" t="inlineStr">
        <is>
          <t>28.03.2024</t>
        </is>
      </c>
      <c r="O1136" s="1" t="inlineStr"/>
      <c r="P1136" s="1" t="inlineStr"/>
      <c r="Q1136" s="1" t="inlineStr">
        <is>
          <t>Пользовательский интерфейс</t>
        </is>
      </c>
    </row>
    <row r="1137">
      <c r="B1137" s="1" t="inlineStr">
        <is>
          <t>47664822</t>
        </is>
      </c>
      <c r="C1137" s="1" t="inlineStr">
        <is>
          <t>3785399</t>
        </is>
      </c>
      <c r="D1137" t="inlineStr">
        <is>
          <t>работник 329</t>
        </is>
      </c>
      <c r="E1137" s="1" t="inlineStr">
        <is>
          <t>ОБЩЕСТВО С ОГРАНИЧЕННОЙ ОТВЕТСТВЕННОСТЬЮ "АМУР ЗОЛОТО"</t>
        </is>
      </c>
      <c r="F1137" s="1" t="inlineStr">
        <is>
          <t>2708001686</t>
        </is>
      </c>
      <c r="G1137" s="1" t="inlineStr">
        <is>
          <t>Машинист мельниц</t>
        </is>
      </c>
      <c r="H1137" s="1" t="inlineStr">
        <is>
          <t>ООО "Амур Золото"</t>
        </is>
      </c>
      <c r="I1137" s="1" t="inlineStr">
        <is>
          <t>2708001686</t>
        </is>
      </c>
      <c r="J1137" s="1" t="inlineStr">
        <is>
          <t>ОТ ЮГОК ЗИОФ 24-19</t>
        </is>
      </c>
      <c r="K113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137" s="1" t="inlineStr">
        <is>
          <t>11.03.2024</t>
        </is>
      </c>
      <c r="M1137" s="1" t="inlineStr">
        <is>
          <t>Успешно</t>
        </is>
      </c>
      <c r="N1137" s="1" t="inlineStr">
        <is>
          <t>28.03.2024</t>
        </is>
      </c>
      <c r="O1137" s="1" t="inlineStr"/>
      <c r="P1137" s="1" t="inlineStr"/>
      <c r="Q1137" s="1" t="inlineStr">
        <is>
          <t>Пользовательский интерфейс</t>
        </is>
      </c>
    </row>
    <row r="1138">
      <c r="B1138" s="1" t="inlineStr">
        <is>
          <t>47664823</t>
        </is>
      </c>
      <c r="C1138" s="1" t="inlineStr">
        <is>
          <t>3785399</t>
        </is>
      </c>
      <c r="D1138" t="inlineStr">
        <is>
          <t>работник 330</t>
        </is>
      </c>
      <c r="E1138" s="1" t="inlineStr">
        <is>
          <t>ОБЩЕСТВО С ОГРАНИЧЕННОЙ ОТВЕТСТВЕННОСТЬЮ "АМУР ЗОЛОТО"</t>
        </is>
      </c>
      <c r="F1138" s="1" t="inlineStr">
        <is>
          <t>2708001686</t>
        </is>
      </c>
      <c r="G1138" s="1" t="inlineStr">
        <is>
          <t>Дробильщик</t>
        </is>
      </c>
      <c r="H1138" s="1" t="inlineStr">
        <is>
          <t>ООО "Амур Золото"</t>
        </is>
      </c>
      <c r="I1138" s="1" t="inlineStr">
        <is>
          <t>2708001686</t>
        </is>
      </c>
      <c r="J1138" s="1" t="inlineStr">
        <is>
          <t>ОТ ЮГОК ЗИОФ 24-20</t>
        </is>
      </c>
      <c r="K1138" s="1" t="inlineStr">
        <is>
          <t>Оказание первой помощи пострадавшим</t>
        </is>
      </c>
      <c r="L1138" s="1" t="inlineStr">
        <is>
          <t>14.03.2024</t>
        </is>
      </c>
      <c r="M1138" s="1" t="inlineStr">
        <is>
          <t>Успешно</t>
        </is>
      </c>
      <c r="N1138" s="1" t="inlineStr">
        <is>
          <t>28.03.2024</t>
        </is>
      </c>
      <c r="O1138" s="1" t="inlineStr"/>
      <c r="P1138" s="1" t="inlineStr"/>
      <c r="Q1138" s="1" t="inlineStr">
        <is>
          <t>Пользовательский интерфейс</t>
        </is>
      </c>
    </row>
    <row r="1139">
      <c r="B1139" s="1" t="inlineStr">
        <is>
          <t>47664824</t>
        </is>
      </c>
      <c r="C1139" s="1" t="inlineStr">
        <is>
          <t>3785399</t>
        </is>
      </c>
      <c r="D1139" t="inlineStr">
        <is>
          <t>работник 330</t>
        </is>
      </c>
      <c r="E1139" s="1" t="inlineStr">
        <is>
          <t>ОБЩЕСТВО С ОГРАНИЧЕННОЙ ОТВЕТСТВЕННОСТЬЮ "АМУР ЗОЛОТО"</t>
        </is>
      </c>
      <c r="F1139" s="1" t="inlineStr">
        <is>
          <t>2708001686</t>
        </is>
      </c>
      <c r="G1139" s="1" t="inlineStr">
        <is>
          <t>Дробильщик</t>
        </is>
      </c>
      <c r="H1139" s="1" t="inlineStr">
        <is>
          <t>ООО "Амур Золото"</t>
        </is>
      </c>
      <c r="I1139" s="1" t="inlineStr">
        <is>
          <t>2708001686</t>
        </is>
      </c>
      <c r="J1139" s="1" t="inlineStr">
        <is>
          <t>ОТ ЮГОК ЗИОФ 24-20</t>
        </is>
      </c>
      <c r="K1139" s="1" t="inlineStr">
        <is>
          <t>Использование (применение) средств индивидуальной защиты</t>
        </is>
      </c>
      <c r="L1139" s="1" t="inlineStr">
        <is>
          <t>14.03.2024</t>
        </is>
      </c>
      <c r="M1139" s="1" t="inlineStr">
        <is>
          <t>Успешно</t>
        </is>
      </c>
      <c r="N1139" s="1" t="inlineStr">
        <is>
          <t>28.03.2024</t>
        </is>
      </c>
      <c r="O1139" s="1" t="inlineStr"/>
      <c r="P1139" s="1" t="inlineStr"/>
      <c r="Q1139" s="1" t="inlineStr">
        <is>
          <t>Пользовательский интерфейс</t>
        </is>
      </c>
    </row>
    <row r="1140">
      <c r="B1140" s="1" t="inlineStr">
        <is>
          <t>47664825</t>
        </is>
      </c>
      <c r="C1140" s="1" t="inlineStr">
        <is>
          <t>3785399</t>
        </is>
      </c>
      <c r="D1140" t="inlineStr">
        <is>
          <t>работник 330</t>
        </is>
      </c>
      <c r="E1140" s="1" t="inlineStr">
        <is>
          <t>ОБЩЕСТВО С ОГРАНИЧЕННОЙ ОТВЕТСТВЕННОСТЬЮ "АМУР ЗОЛОТО"</t>
        </is>
      </c>
      <c r="F1140" s="1" t="inlineStr">
        <is>
          <t>2708001686</t>
        </is>
      </c>
      <c r="G1140" s="1" t="inlineStr">
        <is>
          <t>Дробильщик</t>
        </is>
      </c>
      <c r="H1140" s="1" t="inlineStr">
        <is>
          <t>ООО "Амур Золото"</t>
        </is>
      </c>
      <c r="I1140" s="1" t="inlineStr">
        <is>
          <t>2708001686</t>
        </is>
      </c>
      <c r="J1140" s="1" t="inlineStr">
        <is>
          <t>ОТ ЮГОК ЗИОФ 24-20</t>
        </is>
      </c>
      <c r="K114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140" s="1" t="inlineStr">
        <is>
          <t>14.03.2024</t>
        </is>
      </c>
      <c r="M1140" s="1" t="inlineStr">
        <is>
          <t>Успешно</t>
        </is>
      </c>
      <c r="N1140" s="1" t="inlineStr">
        <is>
          <t>28.03.2024</t>
        </is>
      </c>
      <c r="O1140" s="1" t="inlineStr"/>
      <c r="P1140" s="1" t="inlineStr"/>
      <c r="Q1140" s="1" t="inlineStr">
        <is>
          <t>Пользовательский интерфейс</t>
        </is>
      </c>
    </row>
    <row r="1141">
      <c r="B1141" s="1" t="inlineStr">
        <is>
          <t>47664826</t>
        </is>
      </c>
      <c r="C1141" s="1" t="inlineStr">
        <is>
          <t>3785399</t>
        </is>
      </c>
      <c r="D1141" t="inlineStr">
        <is>
          <t>работник 331</t>
        </is>
      </c>
      <c r="E1141" s="1" t="inlineStr">
        <is>
          <t>ОБЩЕСТВО С ОГРАНИЧЕННОЙ ОТВЕТСТВЕННОСТЬЮ "АМУР ЗОЛОТО"</t>
        </is>
      </c>
      <c r="F1141" s="1" t="inlineStr">
        <is>
          <t>2708001686</t>
        </is>
      </c>
      <c r="G1141" s="1" t="inlineStr">
        <is>
          <t>Флотатор</t>
        </is>
      </c>
      <c r="H1141" s="1" t="inlineStr">
        <is>
          <t>ООО "Амур Золото"</t>
        </is>
      </c>
      <c r="I1141" s="1" t="inlineStr">
        <is>
          <t>2708001686</t>
        </is>
      </c>
      <c r="J1141" s="1" t="inlineStr">
        <is>
          <t>ОТ ЮГОК ЗИОФ 24-21</t>
        </is>
      </c>
      <c r="K1141" s="1" t="inlineStr">
        <is>
          <t>Оказание первой помощи пострадавшим</t>
        </is>
      </c>
      <c r="L1141" s="1" t="inlineStr">
        <is>
          <t>18.03.2024</t>
        </is>
      </c>
      <c r="M1141" s="1" t="inlineStr">
        <is>
          <t>Успешно</t>
        </is>
      </c>
      <c r="N1141" s="1" t="inlineStr">
        <is>
          <t>28.03.2024</t>
        </is>
      </c>
      <c r="O1141" s="1" t="inlineStr"/>
      <c r="P1141" s="1" t="inlineStr"/>
      <c r="Q1141" s="1" t="inlineStr">
        <is>
          <t>Пользовательский интерфейс</t>
        </is>
      </c>
    </row>
    <row r="1142">
      <c r="B1142" s="1" t="inlineStr">
        <is>
          <t>47664827</t>
        </is>
      </c>
      <c r="C1142" s="1" t="inlineStr">
        <is>
          <t>3785399</t>
        </is>
      </c>
      <c r="D1142" t="inlineStr">
        <is>
          <t>работник 331</t>
        </is>
      </c>
      <c r="E1142" s="1" t="inlineStr">
        <is>
          <t>ОБЩЕСТВО С ОГРАНИЧЕННОЙ ОТВЕТСТВЕННОСТЬЮ "АМУР ЗОЛОТО"</t>
        </is>
      </c>
      <c r="F1142" s="1" t="inlineStr">
        <is>
          <t>2708001686</t>
        </is>
      </c>
      <c r="G1142" s="1" t="inlineStr">
        <is>
          <t>Флотатор</t>
        </is>
      </c>
      <c r="H1142" s="1" t="inlineStr">
        <is>
          <t>ООО "Амур Золото"</t>
        </is>
      </c>
      <c r="I1142" s="1" t="inlineStr">
        <is>
          <t>2708001686</t>
        </is>
      </c>
      <c r="J1142" s="1" t="inlineStr">
        <is>
          <t>ОТ ЮГОК ЗИОФ 24-21</t>
        </is>
      </c>
      <c r="K1142" s="1" t="inlineStr">
        <is>
          <t>Использование (применение) средств индивидуальной защиты</t>
        </is>
      </c>
      <c r="L1142" s="1" t="inlineStr">
        <is>
          <t>18.03.2024</t>
        </is>
      </c>
      <c r="M1142" s="1" t="inlineStr">
        <is>
          <t>Успешно</t>
        </is>
      </c>
      <c r="N1142" s="1" t="inlineStr">
        <is>
          <t>28.03.2024</t>
        </is>
      </c>
      <c r="O1142" s="1" t="inlineStr"/>
      <c r="P1142" s="1" t="inlineStr"/>
      <c r="Q1142" s="1" t="inlineStr">
        <is>
          <t>Пользовательский интерфейс</t>
        </is>
      </c>
    </row>
    <row r="1143">
      <c r="B1143" s="1" t="inlineStr">
        <is>
          <t>47664828</t>
        </is>
      </c>
      <c r="C1143" s="1" t="inlineStr">
        <is>
          <t>3785399</t>
        </is>
      </c>
      <c r="D1143" t="inlineStr">
        <is>
          <t>работник 331</t>
        </is>
      </c>
      <c r="E1143" s="1" t="inlineStr">
        <is>
          <t>ОБЩЕСТВО С ОГРАНИЧЕННОЙ ОТВЕТСТВЕННОСТЬЮ "АМУР ЗОЛОТО"</t>
        </is>
      </c>
      <c r="F1143" s="1" t="inlineStr">
        <is>
          <t>2708001686</t>
        </is>
      </c>
      <c r="G1143" s="1" t="inlineStr">
        <is>
          <t>Флотатор</t>
        </is>
      </c>
      <c r="H1143" s="1" t="inlineStr">
        <is>
          <t>ООО "Амур Золото"</t>
        </is>
      </c>
      <c r="I1143" s="1" t="inlineStr">
        <is>
          <t>2708001686</t>
        </is>
      </c>
      <c r="J1143" s="1" t="inlineStr">
        <is>
          <t>ОТ ЮГОК ЗИОФ 24-21</t>
        </is>
      </c>
      <c r="K114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143" s="1" t="inlineStr">
        <is>
          <t>18.03.2024</t>
        </is>
      </c>
      <c r="M1143" s="1" t="inlineStr">
        <is>
          <t>Успешно</t>
        </is>
      </c>
      <c r="N1143" s="1" t="inlineStr">
        <is>
          <t>28.03.2024</t>
        </is>
      </c>
      <c r="O1143" s="1" t="inlineStr"/>
      <c r="P1143" s="1" t="inlineStr"/>
      <c r="Q1143" s="1" t="inlineStr">
        <is>
          <t>Пользовательский интерфейс</t>
        </is>
      </c>
    </row>
    <row r="1144">
      <c r="B1144" s="1" t="inlineStr">
        <is>
          <t>47664829</t>
        </is>
      </c>
      <c r="C1144" s="1" t="inlineStr">
        <is>
          <t>3785399</t>
        </is>
      </c>
      <c r="D1144" t="inlineStr">
        <is>
          <t>работник 332</t>
        </is>
      </c>
      <c r="E1144" s="1" t="inlineStr">
        <is>
          <t>ОБЩЕСТВО С ОГРАНИЧЕННОЙ ОТВЕТСТВЕННОСТЬЮ "АМУР ЗОЛОТО"</t>
        </is>
      </c>
      <c r="F1144" s="1" t="inlineStr">
        <is>
          <t>2708001686</t>
        </is>
      </c>
      <c r="G1144" s="1" t="inlineStr">
        <is>
          <t>Дробильщик</t>
        </is>
      </c>
      <c r="H1144" s="1" t="inlineStr">
        <is>
          <t>ООО "Амур Золото"</t>
        </is>
      </c>
      <c r="I1144" s="1" t="inlineStr">
        <is>
          <t>2708001686</t>
        </is>
      </c>
      <c r="J1144" s="1" t="inlineStr">
        <is>
          <t>ОТ ЮГОК ЗИОФ 24-22</t>
        </is>
      </c>
      <c r="K1144" s="1" t="inlineStr">
        <is>
          <t>Оказание первой помощи пострадавшим</t>
        </is>
      </c>
      <c r="L1144" s="1" t="inlineStr">
        <is>
          <t>21.03.2024</t>
        </is>
      </c>
      <c r="M1144" s="1" t="inlineStr">
        <is>
          <t>Успешно</t>
        </is>
      </c>
      <c r="N1144" s="1" t="inlineStr">
        <is>
          <t>28.03.2024</t>
        </is>
      </c>
      <c r="O1144" s="1" t="inlineStr"/>
      <c r="P1144" s="1" t="inlineStr"/>
      <c r="Q1144" s="1" t="inlineStr">
        <is>
          <t>Пользовательский интерфейс</t>
        </is>
      </c>
    </row>
    <row r="1145">
      <c r="B1145" s="1" t="inlineStr">
        <is>
          <t>47664830</t>
        </is>
      </c>
      <c r="C1145" s="1" t="inlineStr">
        <is>
          <t>3785399</t>
        </is>
      </c>
      <c r="D1145" t="inlineStr">
        <is>
          <t>работник 332</t>
        </is>
      </c>
      <c r="E1145" s="1" t="inlineStr">
        <is>
          <t>ОБЩЕСТВО С ОГРАНИЧЕННОЙ ОТВЕТСТВЕННОСТЬЮ "АМУР ЗОЛОТО"</t>
        </is>
      </c>
      <c r="F1145" s="1" t="inlineStr">
        <is>
          <t>2708001686</t>
        </is>
      </c>
      <c r="G1145" s="1" t="inlineStr">
        <is>
          <t>Дробильщик</t>
        </is>
      </c>
      <c r="H1145" s="1" t="inlineStr">
        <is>
          <t>ООО "Амур Золото"</t>
        </is>
      </c>
      <c r="I1145" s="1" t="inlineStr">
        <is>
          <t>2708001686</t>
        </is>
      </c>
      <c r="J1145" s="1" t="inlineStr">
        <is>
          <t>ОТ ЮГОК ЗИОФ 24-22</t>
        </is>
      </c>
      <c r="K1145" s="1" t="inlineStr">
        <is>
          <t>Использование (применение) средств индивидуальной защиты</t>
        </is>
      </c>
      <c r="L1145" s="1" t="inlineStr">
        <is>
          <t>21.03.2024</t>
        </is>
      </c>
      <c r="M1145" s="1" t="inlineStr">
        <is>
          <t>Успешно</t>
        </is>
      </c>
      <c r="N1145" s="1" t="inlineStr">
        <is>
          <t>28.03.2024</t>
        </is>
      </c>
      <c r="O1145" s="1" t="inlineStr"/>
      <c r="P1145" s="1" t="inlineStr"/>
      <c r="Q1145" s="1" t="inlineStr">
        <is>
          <t>Пользовательский интерфейс</t>
        </is>
      </c>
    </row>
    <row r="1146">
      <c r="B1146" s="1" t="inlineStr">
        <is>
          <t>47664831</t>
        </is>
      </c>
      <c r="C1146" s="1" t="inlineStr">
        <is>
          <t>3785399</t>
        </is>
      </c>
      <c r="D1146" t="inlineStr">
        <is>
          <t>работник 332</t>
        </is>
      </c>
      <c r="E1146" s="1" t="inlineStr">
        <is>
          <t>ОБЩЕСТВО С ОГРАНИЧЕННОЙ ОТВЕТСТВЕННОСТЬЮ "АМУР ЗОЛОТО"</t>
        </is>
      </c>
      <c r="F1146" s="1" t="inlineStr">
        <is>
          <t>2708001686</t>
        </is>
      </c>
      <c r="G1146" s="1" t="inlineStr">
        <is>
          <t>Дробильщик</t>
        </is>
      </c>
      <c r="H1146" s="1" t="inlineStr">
        <is>
          <t>ООО "Амур Золото"</t>
        </is>
      </c>
      <c r="I1146" s="1" t="inlineStr">
        <is>
          <t>2708001686</t>
        </is>
      </c>
      <c r="J1146" s="1" t="inlineStr">
        <is>
          <t>ОТ ЮГОК ЗИОФ 24-22</t>
        </is>
      </c>
      <c r="K114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146" s="1" t="inlineStr">
        <is>
          <t>21.03.2024</t>
        </is>
      </c>
      <c r="M1146" s="1" t="inlineStr">
        <is>
          <t>Успешно</t>
        </is>
      </c>
      <c r="N1146" s="1" t="inlineStr">
        <is>
          <t>28.03.2024</t>
        </is>
      </c>
      <c r="O1146" s="1" t="inlineStr"/>
      <c r="P1146" s="1" t="inlineStr"/>
      <c r="Q1146" s="1" t="inlineStr">
        <is>
          <t>Пользовательский интерфейс</t>
        </is>
      </c>
    </row>
    <row r="1147">
      <c r="B1147" s="1" t="inlineStr">
        <is>
          <t>47664832</t>
        </is>
      </c>
      <c r="C1147" s="1" t="inlineStr">
        <is>
          <t>3785399</t>
        </is>
      </c>
      <c r="D1147" t="inlineStr">
        <is>
          <t>работник 333</t>
        </is>
      </c>
      <c r="E1147" s="1" t="inlineStr">
        <is>
          <t>ОБЩЕСТВО С ОГРАНИЧЕННОЙ ОТВЕТСТВЕННОСТЬЮ "АМУР ЗОЛОТО"</t>
        </is>
      </c>
      <c r="F1147" s="1" t="inlineStr">
        <is>
          <t>2708001686</t>
        </is>
      </c>
      <c r="G1147" s="1" t="inlineStr">
        <is>
          <t>Дробильщик</t>
        </is>
      </c>
      <c r="H1147" s="1" t="inlineStr">
        <is>
          <t>ООО "Амур Золото"</t>
        </is>
      </c>
      <c r="I1147" s="1" t="inlineStr">
        <is>
          <t>2708001686</t>
        </is>
      </c>
      <c r="J1147" s="1" t="inlineStr">
        <is>
          <t>ОТ ЮГОК ЗИОФ 24-22</t>
        </is>
      </c>
      <c r="K1147" s="1" t="inlineStr">
        <is>
          <t>Оказание первой помощи пострадавшим</t>
        </is>
      </c>
      <c r="L1147" s="1" t="inlineStr">
        <is>
          <t>21.03.2024</t>
        </is>
      </c>
      <c r="M1147" s="1" t="inlineStr">
        <is>
          <t>Успешно</t>
        </is>
      </c>
      <c r="N1147" s="1" t="inlineStr">
        <is>
          <t>28.03.2024</t>
        </is>
      </c>
      <c r="O1147" s="1" t="inlineStr"/>
      <c r="P1147" s="1" t="inlineStr"/>
      <c r="Q1147" s="1" t="inlineStr">
        <is>
          <t>Пользовательский интерфейс</t>
        </is>
      </c>
    </row>
    <row r="1148">
      <c r="B1148" s="1" t="inlineStr">
        <is>
          <t>47664833</t>
        </is>
      </c>
      <c r="C1148" s="1" t="inlineStr">
        <is>
          <t>3785399</t>
        </is>
      </c>
      <c r="D1148" t="inlineStr">
        <is>
          <t>работник 333</t>
        </is>
      </c>
      <c r="E1148" s="1" t="inlineStr">
        <is>
          <t>ОБЩЕСТВО С ОГРАНИЧЕННОЙ ОТВЕТСТВЕННОСТЬЮ "АМУР ЗОЛОТО"</t>
        </is>
      </c>
      <c r="F1148" s="1" t="inlineStr">
        <is>
          <t>2708001686</t>
        </is>
      </c>
      <c r="G1148" s="1" t="inlineStr">
        <is>
          <t>Дробильщик</t>
        </is>
      </c>
      <c r="H1148" s="1" t="inlineStr">
        <is>
          <t>ООО "Амур Золото"</t>
        </is>
      </c>
      <c r="I1148" s="1" t="inlineStr">
        <is>
          <t>2708001686</t>
        </is>
      </c>
      <c r="J1148" s="1" t="inlineStr">
        <is>
          <t>ОТ ЮГОК ЗИОФ 24-22</t>
        </is>
      </c>
      <c r="K1148" s="1" t="inlineStr">
        <is>
          <t>Использование (применение) средств индивидуальной защиты</t>
        </is>
      </c>
      <c r="L1148" s="1" t="inlineStr">
        <is>
          <t>21.03.2024</t>
        </is>
      </c>
      <c r="M1148" s="1" t="inlineStr">
        <is>
          <t>Успешно</t>
        </is>
      </c>
      <c r="N1148" s="1" t="inlineStr">
        <is>
          <t>28.03.2024</t>
        </is>
      </c>
      <c r="O1148" s="1" t="inlineStr"/>
      <c r="P1148" s="1" t="inlineStr"/>
      <c r="Q1148" s="1" t="inlineStr">
        <is>
          <t>Пользовательский интерфейс</t>
        </is>
      </c>
    </row>
    <row r="1149">
      <c r="B1149" s="1" t="inlineStr">
        <is>
          <t>47664834</t>
        </is>
      </c>
      <c r="C1149" s="1" t="inlineStr">
        <is>
          <t>3785399</t>
        </is>
      </c>
      <c r="D1149" t="inlineStr">
        <is>
          <t>работник 333</t>
        </is>
      </c>
      <c r="E1149" s="1" t="inlineStr">
        <is>
          <t>ОБЩЕСТВО С ОГРАНИЧЕННОЙ ОТВЕТСТВЕННОСТЬЮ "АМУР ЗОЛОТО"</t>
        </is>
      </c>
      <c r="F1149" s="1" t="inlineStr">
        <is>
          <t>2708001686</t>
        </is>
      </c>
      <c r="G1149" s="1" t="inlineStr">
        <is>
          <t>Дробильщик</t>
        </is>
      </c>
      <c r="H1149" s="1" t="inlineStr">
        <is>
          <t>ООО "Амур Золото"</t>
        </is>
      </c>
      <c r="I1149" s="1" t="inlineStr">
        <is>
          <t>2708001686</t>
        </is>
      </c>
      <c r="J1149" s="1" t="inlineStr">
        <is>
          <t>ОТ ЮГОК ЗИОФ 24-22</t>
        </is>
      </c>
      <c r="K114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149" s="1" t="inlineStr">
        <is>
          <t>21.03.2024</t>
        </is>
      </c>
      <c r="M1149" s="1" t="inlineStr">
        <is>
          <t>Успешно</t>
        </is>
      </c>
      <c r="N1149" s="1" t="inlineStr">
        <is>
          <t>28.03.2024</t>
        </is>
      </c>
      <c r="O1149" s="1" t="inlineStr"/>
      <c r="P1149" s="1" t="inlineStr"/>
      <c r="Q1149" s="1" t="inlineStr">
        <is>
          <t>Пользовательский интерфейс</t>
        </is>
      </c>
    </row>
    <row r="1150">
      <c r="B1150" s="1" t="inlineStr">
        <is>
          <t>47664835</t>
        </is>
      </c>
      <c r="C1150" s="1" t="inlineStr">
        <is>
          <t>3785399</t>
        </is>
      </c>
      <c r="D1150" t="inlineStr">
        <is>
          <t>работник 334</t>
        </is>
      </c>
      <c r="E1150" s="1" t="inlineStr">
        <is>
          <t>ОБЩЕСТВО С ОГРАНИЧЕННОЙ ОТВЕТСТВЕННОСТЬЮ "АМУР ЗОЛОТО"</t>
        </is>
      </c>
      <c r="F1150" s="1" t="inlineStr">
        <is>
          <t>2708001686</t>
        </is>
      </c>
      <c r="G1150" s="1" t="inlineStr">
        <is>
          <t>Электромонтер по ремонту и обслуживанию электрооборудования</t>
        </is>
      </c>
      <c r="H1150" s="1" t="inlineStr">
        <is>
          <t>ООО "Амур Золото"</t>
        </is>
      </c>
      <c r="I1150" s="1" t="inlineStr">
        <is>
          <t>2708001686</t>
        </is>
      </c>
      <c r="J1150" s="1" t="inlineStr">
        <is>
          <t>ОТ № ЮГОК ЭУ 23-08</t>
        </is>
      </c>
      <c r="K1150" s="1" t="inlineStr">
        <is>
          <t>Оказание первой помощи пострадавшим</t>
        </is>
      </c>
      <c r="L1150" s="1" t="inlineStr">
        <is>
          <t>15.12.2023</t>
        </is>
      </c>
      <c r="M1150" s="1" t="inlineStr">
        <is>
          <t>Успешно</t>
        </is>
      </c>
      <c r="N1150" s="1" t="inlineStr">
        <is>
          <t>28.03.2024</t>
        </is>
      </c>
      <c r="O1150" s="1" t="inlineStr"/>
      <c r="P1150" s="1" t="inlineStr"/>
      <c r="Q1150" s="1" t="inlineStr">
        <is>
          <t>Пользовательский интерфейс</t>
        </is>
      </c>
    </row>
    <row r="1151">
      <c r="B1151" s="1" t="inlineStr">
        <is>
          <t>47664836</t>
        </is>
      </c>
      <c r="C1151" s="1" t="inlineStr">
        <is>
          <t>3785399</t>
        </is>
      </c>
      <c r="D1151" t="inlineStr">
        <is>
          <t>работник 334</t>
        </is>
      </c>
      <c r="E1151" s="1" t="inlineStr">
        <is>
          <t>ОБЩЕСТВО С ОГРАНИЧЕННОЙ ОТВЕТСТВЕННОСТЬЮ "АМУР ЗОЛОТО"</t>
        </is>
      </c>
      <c r="F1151" s="1" t="inlineStr">
        <is>
          <t>2708001686</t>
        </is>
      </c>
      <c r="G1151" s="1" t="inlineStr">
        <is>
          <t>Электромонтер по ремонту и обслуживанию электрооборудования</t>
        </is>
      </c>
      <c r="H1151" s="1" t="inlineStr">
        <is>
          <t>ООО "Амур Золото"</t>
        </is>
      </c>
      <c r="I1151" s="1" t="inlineStr">
        <is>
          <t>2708001686</t>
        </is>
      </c>
      <c r="J1151" s="1" t="inlineStr">
        <is>
          <t>ОТ № ЮГОК ЭУ 23-08</t>
        </is>
      </c>
      <c r="K1151" s="1" t="inlineStr">
        <is>
          <t>Использование (применение) средств индивидуальной защиты</t>
        </is>
      </c>
      <c r="L1151" s="1" t="inlineStr">
        <is>
          <t>15.12.2023</t>
        </is>
      </c>
      <c r="M1151" s="1" t="inlineStr">
        <is>
          <t>Успешно</t>
        </is>
      </c>
      <c r="N1151" s="1" t="inlineStr">
        <is>
          <t>28.03.2024</t>
        </is>
      </c>
      <c r="O1151" s="1" t="inlineStr"/>
      <c r="P1151" s="1" t="inlineStr"/>
      <c r="Q1151" s="1" t="inlineStr">
        <is>
          <t>Пользовательский интерфейс</t>
        </is>
      </c>
    </row>
    <row r="1152">
      <c r="B1152" s="1" t="inlineStr">
        <is>
          <t>47664837</t>
        </is>
      </c>
      <c r="C1152" s="1" t="inlineStr">
        <is>
          <t>3785399</t>
        </is>
      </c>
      <c r="D1152" t="inlineStr">
        <is>
          <t>работник 334</t>
        </is>
      </c>
      <c r="E1152" s="1" t="inlineStr">
        <is>
          <t>ОБЩЕСТВО С ОГРАНИЧЕННОЙ ОТВЕТСТВЕННОСТЬЮ "АМУР ЗОЛОТО"</t>
        </is>
      </c>
      <c r="F1152" s="1" t="inlineStr">
        <is>
          <t>2708001686</t>
        </is>
      </c>
      <c r="G1152" s="1" t="inlineStr">
        <is>
          <t>Электромонтер по ремонту и обслуживанию электрооборудования</t>
        </is>
      </c>
      <c r="H1152" s="1" t="inlineStr">
        <is>
          <t>ООО "Амур Золото"</t>
        </is>
      </c>
      <c r="I1152" s="1" t="inlineStr">
        <is>
          <t>2708001686</t>
        </is>
      </c>
      <c r="J1152" s="1" t="inlineStr">
        <is>
          <t>ОТ № ЮГОК ЭУ 23-08</t>
        </is>
      </c>
      <c r="K115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152" s="1" t="inlineStr">
        <is>
          <t>15.12.2023</t>
        </is>
      </c>
      <c r="M1152" s="1" t="inlineStr">
        <is>
          <t>Успешно</t>
        </is>
      </c>
      <c r="N1152" s="1" t="inlineStr">
        <is>
          <t>28.03.2024</t>
        </is>
      </c>
      <c r="O1152" s="1" t="inlineStr"/>
      <c r="P1152" s="1" t="inlineStr"/>
      <c r="Q1152" s="1" t="inlineStr">
        <is>
          <t>Пользовательский интерфейс</t>
        </is>
      </c>
    </row>
    <row r="1153">
      <c r="B1153" s="1" t="inlineStr">
        <is>
          <t>47664838</t>
        </is>
      </c>
      <c r="C1153" s="1" t="inlineStr">
        <is>
          <t>3785399</t>
        </is>
      </c>
      <c r="D1153" t="inlineStr">
        <is>
          <t>работник 335</t>
        </is>
      </c>
      <c r="E1153" s="1" t="inlineStr">
        <is>
          <t>ОБЩЕСТВО С ОГРАНИЧЕННОЙ ОТВЕТСТВЕННОСТЬЮ "АМУР ЗОЛОТО"</t>
        </is>
      </c>
      <c r="F1153" s="1" t="inlineStr">
        <is>
          <t>2708001686</t>
        </is>
      </c>
      <c r="G1153" s="1" t="inlineStr">
        <is>
          <t>Машинист ДВС с обязанностями компрессорщик</t>
        </is>
      </c>
      <c r="H1153" s="1" t="inlineStr">
        <is>
          <t>ООО "Амур Золото"</t>
        </is>
      </c>
      <c r="I1153" s="1" t="inlineStr">
        <is>
          <t>2708001686</t>
        </is>
      </c>
      <c r="J1153" s="1" t="inlineStr">
        <is>
          <t>ОТ № ЮГОК ЭУ 23-08</t>
        </is>
      </c>
      <c r="K1153" s="1" t="inlineStr">
        <is>
          <t>Оказание первой помощи пострадавшим</t>
        </is>
      </c>
      <c r="L1153" s="1" t="inlineStr">
        <is>
          <t>15.12.2023</t>
        </is>
      </c>
      <c r="M1153" s="1" t="inlineStr">
        <is>
          <t>Успешно</t>
        </is>
      </c>
      <c r="N1153" s="1" t="inlineStr">
        <is>
          <t>28.03.2024</t>
        </is>
      </c>
      <c r="O1153" s="1" t="inlineStr"/>
      <c r="P1153" s="1" t="inlineStr"/>
      <c r="Q1153" s="1" t="inlineStr">
        <is>
          <t>Пользовательский интерфейс</t>
        </is>
      </c>
    </row>
    <row r="1154">
      <c r="B1154" s="1" t="inlineStr">
        <is>
          <t>47664839</t>
        </is>
      </c>
      <c r="C1154" s="1" t="inlineStr">
        <is>
          <t>3785399</t>
        </is>
      </c>
      <c r="D1154" t="inlineStr">
        <is>
          <t>работник 335</t>
        </is>
      </c>
      <c r="E1154" s="1" t="inlineStr">
        <is>
          <t>ОБЩЕСТВО С ОГРАНИЧЕННОЙ ОТВЕТСТВЕННОСТЬЮ "АМУР ЗОЛОТО"</t>
        </is>
      </c>
      <c r="F1154" s="1" t="inlineStr">
        <is>
          <t>2708001686</t>
        </is>
      </c>
      <c r="G1154" s="1" t="inlineStr">
        <is>
          <t>Машинист ДВС с обязанностями компрессорщик</t>
        </is>
      </c>
      <c r="H1154" s="1" t="inlineStr">
        <is>
          <t>ООО "Амур Золото"</t>
        </is>
      </c>
      <c r="I1154" s="1" t="inlineStr">
        <is>
          <t>2708001686</t>
        </is>
      </c>
      <c r="J1154" s="1" t="inlineStr">
        <is>
          <t>ОТ № ЮГОК ЭУ 23-08</t>
        </is>
      </c>
      <c r="K1154" s="1" t="inlineStr">
        <is>
          <t>Использование (применение) средств индивидуальной защиты</t>
        </is>
      </c>
      <c r="L1154" s="1" t="inlineStr">
        <is>
          <t>15.12.2023</t>
        </is>
      </c>
      <c r="M1154" s="1" t="inlineStr">
        <is>
          <t>Успешно</t>
        </is>
      </c>
      <c r="N1154" s="1" t="inlineStr">
        <is>
          <t>28.03.2024</t>
        </is>
      </c>
      <c r="O1154" s="1" t="inlineStr"/>
      <c r="P1154" s="1" t="inlineStr"/>
      <c r="Q1154" s="1" t="inlineStr">
        <is>
          <t>Пользовательский интерфейс</t>
        </is>
      </c>
    </row>
    <row r="1155">
      <c r="B1155" s="1" t="inlineStr">
        <is>
          <t>47664840</t>
        </is>
      </c>
      <c r="C1155" s="1" t="inlineStr">
        <is>
          <t>3785399</t>
        </is>
      </c>
      <c r="D1155" t="inlineStr">
        <is>
          <t>работник 335</t>
        </is>
      </c>
      <c r="E1155" s="1" t="inlineStr">
        <is>
          <t>ОБЩЕСТВО С ОГРАНИЧЕННОЙ ОТВЕТСТВЕННОСТЬЮ "АМУР ЗОЛОТО"</t>
        </is>
      </c>
      <c r="F1155" s="1" t="inlineStr">
        <is>
          <t>2708001686</t>
        </is>
      </c>
      <c r="G1155" s="1" t="inlineStr">
        <is>
          <t>Машинист ДВС с обязанностями компрессорщик</t>
        </is>
      </c>
      <c r="H1155" s="1" t="inlineStr">
        <is>
          <t>ООО "Амур Золото"</t>
        </is>
      </c>
      <c r="I1155" s="1" t="inlineStr">
        <is>
          <t>2708001686</t>
        </is>
      </c>
      <c r="J1155" s="1" t="inlineStr">
        <is>
          <t>ОТ № ЮГОК ЭУ 23-08</t>
        </is>
      </c>
      <c r="K115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155" s="1" t="inlineStr">
        <is>
          <t>15.12.2023</t>
        </is>
      </c>
      <c r="M1155" s="1" t="inlineStr">
        <is>
          <t>Успешно</t>
        </is>
      </c>
      <c r="N1155" s="1" t="inlineStr">
        <is>
          <t>28.03.2024</t>
        </is>
      </c>
      <c r="O1155" s="1" t="inlineStr"/>
      <c r="P1155" s="1" t="inlineStr"/>
      <c r="Q1155" s="1" t="inlineStr">
        <is>
          <t>Пользовательский интерфейс</t>
        </is>
      </c>
    </row>
    <row r="1156">
      <c r="B1156" s="1" t="inlineStr">
        <is>
          <t>47664841</t>
        </is>
      </c>
      <c r="C1156" s="1" t="inlineStr">
        <is>
          <t>3785399</t>
        </is>
      </c>
      <c r="D1156" t="inlineStr">
        <is>
          <t>работник 336</t>
        </is>
      </c>
      <c r="E1156" s="1" t="inlineStr">
        <is>
          <t>ОБЩЕСТВО С ОГРАНИЧЕННОЙ ОТВЕТСТВЕННОСТЬЮ "АМУР ЗОЛОТО"</t>
        </is>
      </c>
      <c r="F1156" s="1" t="inlineStr">
        <is>
          <t>2708001686</t>
        </is>
      </c>
      <c r="G1156" s="1" t="inlineStr">
        <is>
          <t>Машинист ДВС с обязанностями компрессорщик</t>
        </is>
      </c>
      <c r="H1156" s="1" t="inlineStr">
        <is>
          <t>ООО "Амур Золото"</t>
        </is>
      </c>
      <c r="I1156" s="1" t="inlineStr">
        <is>
          <t>2708001686</t>
        </is>
      </c>
      <c r="J1156" s="1" t="inlineStr">
        <is>
          <t>ОТ № ЮГОК ЭУ 24-14</t>
        </is>
      </c>
      <c r="K1156" s="1" t="inlineStr">
        <is>
          <t>Оказание первой помощи пострадавшим</t>
        </is>
      </c>
      <c r="L1156" s="1" t="inlineStr">
        <is>
          <t>12.03.2024</t>
        </is>
      </c>
      <c r="M1156" s="1" t="inlineStr">
        <is>
          <t>Успешно</t>
        </is>
      </c>
      <c r="N1156" s="1" t="inlineStr">
        <is>
          <t>28.03.2024</t>
        </is>
      </c>
      <c r="O1156" s="1" t="inlineStr"/>
      <c r="P1156" s="1" t="inlineStr"/>
      <c r="Q1156" s="1" t="inlineStr">
        <is>
          <t>Пользовательский интерфейс</t>
        </is>
      </c>
    </row>
    <row r="1157">
      <c r="B1157" s="1" t="inlineStr">
        <is>
          <t>47664842</t>
        </is>
      </c>
      <c r="C1157" s="1" t="inlineStr">
        <is>
          <t>3785399</t>
        </is>
      </c>
      <c r="D1157" t="inlineStr">
        <is>
          <t>работник 336</t>
        </is>
      </c>
      <c r="E1157" s="1" t="inlineStr">
        <is>
          <t>ОБЩЕСТВО С ОГРАНИЧЕННОЙ ОТВЕТСТВЕННОСТЬЮ "АМУР ЗОЛОТО"</t>
        </is>
      </c>
      <c r="F1157" s="1" t="inlineStr">
        <is>
          <t>2708001686</t>
        </is>
      </c>
      <c r="G1157" s="1" t="inlineStr">
        <is>
          <t>Машинист ДВС с обязанностями компрессорщик</t>
        </is>
      </c>
      <c r="H1157" s="1" t="inlineStr">
        <is>
          <t>ООО "Амур Золото"</t>
        </is>
      </c>
      <c r="I1157" s="1" t="inlineStr">
        <is>
          <t>2708001686</t>
        </is>
      </c>
      <c r="J1157" s="1" t="inlineStr">
        <is>
          <t>ОТ № ЮГОК ЭУ 24-14</t>
        </is>
      </c>
      <c r="K1157" s="1" t="inlineStr">
        <is>
          <t>Использование (применение) средств индивидуальной защиты</t>
        </is>
      </c>
      <c r="L1157" s="1" t="inlineStr">
        <is>
          <t>12.03.2024</t>
        </is>
      </c>
      <c r="M1157" s="1" t="inlineStr">
        <is>
          <t>Успешно</t>
        </is>
      </c>
      <c r="N1157" s="1" t="inlineStr">
        <is>
          <t>28.03.2024</t>
        </is>
      </c>
      <c r="O1157" s="1" t="inlineStr"/>
      <c r="P1157" s="1" t="inlineStr"/>
      <c r="Q1157" s="1" t="inlineStr">
        <is>
          <t>Пользовательский интерфейс</t>
        </is>
      </c>
    </row>
    <row r="1158">
      <c r="B1158" s="1" t="inlineStr">
        <is>
          <t>47664843</t>
        </is>
      </c>
      <c r="C1158" s="1" t="inlineStr">
        <is>
          <t>3785399</t>
        </is>
      </c>
      <c r="D1158" t="inlineStr">
        <is>
          <t>работник 336</t>
        </is>
      </c>
      <c r="E1158" s="1" t="inlineStr">
        <is>
          <t>ОБЩЕСТВО С ОГРАНИЧЕННОЙ ОТВЕТСТВЕННОСТЬЮ "АМУР ЗОЛОТО"</t>
        </is>
      </c>
      <c r="F1158" s="1" t="inlineStr">
        <is>
          <t>2708001686</t>
        </is>
      </c>
      <c r="G1158" s="1" t="inlineStr">
        <is>
          <t>Машинист ДВС с обязанностями компрессорщик</t>
        </is>
      </c>
      <c r="H1158" s="1" t="inlineStr">
        <is>
          <t>ООО "Амур Золото"</t>
        </is>
      </c>
      <c r="I1158" s="1" t="inlineStr">
        <is>
          <t>2708001686</t>
        </is>
      </c>
      <c r="J1158" s="1" t="inlineStr">
        <is>
          <t>ОТ № ЮГОК ЭУ 24-14</t>
        </is>
      </c>
      <c r="K115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158" s="1" t="inlineStr">
        <is>
          <t>12.03.2024</t>
        </is>
      </c>
      <c r="M1158" s="1" t="inlineStr">
        <is>
          <t>Успешно</t>
        </is>
      </c>
      <c r="N1158" s="1" t="inlineStr">
        <is>
          <t>28.03.2024</t>
        </is>
      </c>
      <c r="O1158" s="1" t="inlineStr"/>
      <c r="P1158" s="1" t="inlineStr"/>
      <c r="Q1158" s="1" t="inlineStr">
        <is>
          <t>Пользовательский интерфейс</t>
        </is>
      </c>
    </row>
    <row r="1159">
      <c r="B1159" s="1" t="inlineStr">
        <is>
          <t>47664844</t>
        </is>
      </c>
      <c r="C1159" s="1" t="inlineStr">
        <is>
          <t>3785399</t>
        </is>
      </c>
      <c r="D1159" t="inlineStr">
        <is>
          <t>работник 337</t>
        </is>
      </c>
      <c r="E1159" s="1" t="inlineStr">
        <is>
          <t>ОБЩЕСТВО С ОГРАНИЧЕННОЙ ОТВЕТСТВЕННОСТЬЮ "АМУР ЗОЛОТО"</t>
        </is>
      </c>
      <c r="F1159" s="1" t="inlineStr">
        <is>
          <t>2708001686</t>
        </is>
      </c>
      <c r="G1159" s="1" t="inlineStr">
        <is>
          <t>Теплотехник</t>
        </is>
      </c>
      <c r="H1159" s="1" t="inlineStr">
        <is>
          <t>ООО "Амур Золото"</t>
        </is>
      </c>
      <c r="I1159" s="1" t="inlineStr">
        <is>
          <t>2708001686</t>
        </is>
      </c>
      <c r="J1159" s="1" t="inlineStr">
        <is>
          <t>ОТ № ЮГОК ЭУ 24-15</t>
        </is>
      </c>
      <c r="K1159" s="1" t="inlineStr">
        <is>
          <t>Оказание первой помощи пострадавшим</t>
        </is>
      </c>
      <c r="L1159" s="1" t="inlineStr">
        <is>
          <t>16.03.2024</t>
        </is>
      </c>
      <c r="M1159" s="1" t="inlineStr">
        <is>
          <t>Успешно</t>
        </is>
      </c>
      <c r="N1159" s="1" t="inlineStr">
        <is>
          <t>28.03.2024</t>
        </is>
      </c>
      <c r="O1159" s="1" t="inlineStr"/>
      <c r="P1159" s="1" t="inlineStr"/>
      <c r="Q1159" s="1" t="inlineStr">
        <is>
          <t>Пользовательский интерфейс</t>
        </is>
      </c>
    </row>
    <row r="1160">
      <c r="B1160" s="1" t="inlineStr">
        <is>
          <t>47664845</t>
        </is>
      </c>
      <c r="C1160" s="1" t="inlineStr">
        <is>
          <t>3785399</t>
        </is>
      </c>
      <c r="D1160" t="inlineStr">
        <is>
          <t>работник 337</t>
        </is>
      </c>
      <c r="E1160" s="1" t="inlineStr">
        <is>
          <t>ОБЩЕСТВО С ОГРАНИЧЕННОЙ ОТВЕТСТВЕННОСТЬЮ "АМУР ЗОЛОТО"</t>
        </is>
      </c>
      <c r="F1160" s="1" t="inlineStr">
        <is>
          <t>2708001686</t>
        </is>
      </c>
      <c r="G1160" s="1" t="inlineStr">
        <is>
          <t>Теплотехник</t>
        </is>
      </c>
      <c r="H1160" s="1" t="inlineStr">
        <is>
          <t>ООО "Амур Золото"</t>
        </is>
      </c>
      <c r="I1160" s="1" t="inlineStr">
        <is>
          <t>2708001686</t>
        </is>
      </c>
      <c r="J1160" s="1" t="inlineStr">
        <is>
          <t>ОТ № ЮГОК ЭУ 24-15</t>
        </is>
      </c>
      <c r="K1160" s="1" t="inlineStr">
        <is>
          <t>Использование (применение) средств индивидуальной защиты</t>
        </is>
      </c>
      <c r="L1160" s="1" t="inlineStr">
        <is>
          <t>16.03.2024</t>
        </is>
      </c>
      <c r="M1160" s="1" t="inlineStr">
        <is>
          <t>Успешно</t>
        </is>
      </c>
      <c r="N1160" s="1" t="inlineStr">
        <is>
          <t>28.03.2024</t>
        </is>
      </c>
      <c r="O1160" s="1" t="inlineStr"/>
      <c r="P1160" s="1" t="inlineStr"/>
      <c r="Q1160" s="1" t="inlineStr">
        <is>
          <t>Пользовательский интерфейс</t>
        </is>
      </c>
    </row>
    <row r="1161">
      <c r="B1161" s="1" t="inlineStr">
        <is>
          <t>47664846</t>
        </is>
      </c>
      <c r="C1161" s="1" t="inlineStr">
        <is>
          <t>3785399</t>
        </is>
      </c>
      <c r="D1161" t="inlineStr">
        <is>
          <t>работник 337</t>
        </is>
      </c>
      <c r="E1161" s="1" t="inlineStr">
        <is>
          <t>ОБЩЕСТВО С ОГРАНИЧЕННОЙ ОТВЕТСТВЕННОСТЬЮ "АМУР ЗОЛОТО"</t>
        </is>
      </c>
      <c r="F1161" s="1" t="inlineStr">
        <is>
          <t>2708001686</t>
        </is>
      </c>
      <c r="G1161" s="1" t="inlineStr">
        <is>
          <t>Теплотехник</t>
        </is>
      </c>
      <c r="H1161" s="1" t="inlineStr">
        <is>
          <t>ООО "Амур Золото"</t>
        </is>
      </c>
      <c r="I1161" s="1" t="inlineStr">
        <is>
          <t>2708001686</t>
        </is>
      </c>
      <c r="J1161" s="1" t="inlineStr">
        <is>
          <t>ОТ № ЮГОК ЭУ 24-15</t>
        </is>
      </c>
      <c r="K116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161" s="1" t="inlineStr">
        <is>
          <t>16.03.2024</t>
        </is>
      </c>
      <c r="M1161" s="1" t="inlineStr">
        <is>
          <t>Успешно</t>
        </is>
      </c>
      <c r="N1161" s="1" t="inlineStr">
        <is>
          <t>28.03.2024</t>
        </is>
      </c>
      <c r="O1161" s="1" t="inlineStr"/>
      <c r="P1161" s="1" t="inlineStr"/>
      <c r="Q1161" s="1" t="inlineStr">
        <is>
          <t>Пользовательский интерфейс</t>
        </is>
      </c>
    </row>
    <row r="1162">
      <c r="B1162" s="1" t="inlineStr">
        <is>
          <t>58069222</t>
        </is>
      </c>
      <c r="C1162" s="1" t="inlineStr">
        <is>
          <t>4506532</t>
        </is>
      </c>
      <c r="D1162" t="inlineStr">
        <is>
          <t>работник 338</t>
        </is>
      </c>
      <c r="E1162" s="1" t="inlineStr">
        <is>
          <t>ОБЩЕСТВО С ОГРАНИЧЕННОЙ ОТВЕТСТВЕННОСТЬЮ "АМУР ЗОЛОТО"</t>
        </is>
      </c>
      <c r="F1162" s="1" t="inlineStr">
        <is>
          <t>2708001686</t>
        </is>
      </c>
      <c r="G1162" s="1" t="inlineStr">
        <is>
          <t>Бункеровщик</t>
        </is>
      </c>
      <c r="H1162" s="1" t="inlineStr">
        <is>
          <t>ООО "Амур Золото"</t>
        </is>
      </c>
      <c r="I1162" s="1" t="inlineStr">
        <is>
          <t>2708001686</t>
        </is>
      </c>
      <c r="J1162" s="1" t="inlineStr">
        <is>
          <t>ОТ № ЮГОК ЗИОФ 24-23</t>
        </is>
      </c>
      <c r="K1162" s="1" t="inlineStr">
        <is>
          <t>Оказание первой помощи пострадавшим</t>
        </is>
      </c>
      <c r="L1162" s="1" t="inlineStr">
        <is>
          <t>28.03.2024</t>
        </is>
      </c>
      <c r="M1162" s="1" t="inlineStr">
        <is>
          <t>Успешно</t>
        </is>
      </c>
      <c r="N1162" s="1" t="inlineStr">
        <is>
          <t>23.05.2024</t>
        </is>
      </c>
      <c r="O1162" s="1" t="inlineStr"/>
      <c r="P1162" s="1" t="inlineStr"/>
      <c r="Q1162" s="1" t="inlineStr">
        <is>
          <t>Пользовательский интерфейс</t>
        </is>
      </c>
    </row>
    <row r="1163">
      <c r="B1163" s="1" t="inlineStr">
        <is>
          <t>58069223</t>
        </is>
      </c>
      <c r="C1163" s="1" t="inlineStr">
        <is>
          <t>4506532</t>
        </is>
      </c>
      <c r="D1163" t="inlineStr">
        <is>
          <t>работник 338</t>
        </is>
      </c>
      <c r="E1163" s="1" t="inlineStr">
        <is>
          <t>ОБЩЕСТВО С ОГРАНИЧЕННОЙ ОТВЕТСТВЕННОСТЬЮ "АМУР ЗОЛОТО"</t>
        </is>
      </c>
      <c r="F1163" s="1" t="inlineStr">
        <is>
          <t>2708001686</t>
        </is>
      </c>
      <c r="G1163" s="1" t="inlineStr">
        <is>
          <t>Бункеровщик</t>
        </is>
      </c>
      <c r="H1163" s="1" t="inlineStr">
        <is>
          <t>ООО "Амур Золото"</t>
        </is>
      </c>
      <c r="I1163" s="1" t="inlineStr">
        <is>
          <t>2708001686</t>
        </is>
      </c>
      <c r="J1163" s="1" t="inlineStr">
        <is>
          <t>ОТ № ЮГОК ЗИОФ 24-23</t>
        </is>
      </c>
      <c r="K1163" s="1" t="inlineStr">
        <is>
          <t>Использование (применение) средств индивидуальной защиты</t>
        </is>
      </c>
      <c r="L1163" s="1" t="inlineStr">
        <is>
          <t>28.03.2024</t>
        </is>
      </c>
      <c r="M1163" s="1" t="inlineStr">
        <is>
          <t>Успешно</t>
        </is>
      </c>
      <c r="N1163" s="1" t="inlineStr">
        <is>
          <t>23.05.2024</t>
        </is>
      </c>
      <c r="O1163" s="1" t="inlineStr"/>
      <c r="P1163" s="1" t="inlineStr"/>
      <c r="Q1163" s="1" t="inlineStr">
        <is>
          <t>Пользовательский интерфейс</t>
        </is>
      </c>
    </row>
    <row r="1164">
      <c r="B1164" s="1" t="inlineStr">
        <is>
          <t>58069224</t>
        </is>
      </c>
      <c r="C1164" s="1" t="inlineStr">
        <is>
          <t>4506532</t>
        </is>
      </c>
      <c r="D1164" t="inlineStr">
        <is>
          <t>работник 338</t>
        </is>
      </c>
      <c r="E1164" s="1" t="inlineStr">
        <is>
          <t>ОБЩЕСТВО С ОГРАНИЧЕННОЙ ОТВЕТСТВЕННОСТЬЮ "АМУР ЗОЛОТО"</t>
        </is>
      </c>
      <c r="F1164" s="1" t="inlineStr">
        <is>
          <t>2708001686</t>
        </is>
      </c>
      <c r="G1164" s="1" t="inlineStr">
        <is>
          <t>Бункеровщик</t>
        </is>
      </c>
      <c r="H1164" s="1" t="inlineStr">
        <is>
          <t>ООО "Амур Золото"</t>
        </is>
      </c>
      <c r="I1164" s="1" t="inlineStr">
        <is>
          <t>2708001686</t>
        </is>
      </c>
      <c r="J1164" s="1" t="inlineStr">
        <is>
          <t>ОТ № ЮГОК ЗИОФ 24-23</t>
        </is>
      </c>
      <c r="K116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164" s="1" t="inlineStr">
        <is>
          <t>28.03.2024</t>
        </is>
      </c>
      <c r="M1164" s="1" t="inlineStr">
        <is>
          <t>Успешно</t>
        </is>
      </c>
      <c r="N1164" s="1" t="inlineStr">
        <is>
          <t>23.05.2024</t>
        </is>
      </c>
      <c r="O1164" s="1" t="inlineStr"/>
      <c r="P1164" s="1" t="inlineStr"/>
      <c r="Q1164" s="1" t="inlineStr">
        <is>
          <t>Пользовательский интерфейс</t>
        </is>
      </c>
    </row>
    <row r="1165">
      <c r="B1165" s="1" t="inlineStr">
        <is>
          <t>58069225</t>
        </is>
      </c>
      <c r="C1165" s="1" t="inlineStr">
        <is>
          <t>4506532</t>
        </is>
      </c>
      <c r="D1165" t="inlineStr">
        <is>
          <t>работник 339</t>
        </is>
      </c>
      <c r="E1165" s="1" t="inlineStr">
        <is>
          <t>ОБЩЕСТВО С ОГРАНИЧЕННОЙ ОТВЕТСТВЕННОСТЬЮ "АМУР ЗОЛОТО"</t>
        </is>
      </c>
      <c r="F1165" s="1" t="inlineStr">
        <is>
          <t>2708001686</t>
        </is>
      </c>
      <c r="G1165" s="1" t="inlineStr">
        <is>
          <t>Флотатор</t>
        </is>
      </c>
      <c r="H1165" s="1" t="inlineStr">
        <is>
          <t>ООО "Амур Золото"</t>
        </is>
      </c>
      <c r="I1165" s="1" t="inlineStr">
        <is>
          <t>2708001686</t>
        </is>
      </c>
      <c r="J1165" s="1" t="inlineStr">
        <is>
          <t>ОТ № ЮГОК ЗИОФ 24-23</t>
        </is>
      </c>
      <c r="K1165" s="1" t="inlineStr">
        <is>
          <t>Оказание первой помощи пострадавшим</t>
        </is>
      </c>
      <c r="L1165" s="1" t="inlineStr">
        <is>
          <t>28.03.2024</t>
        </is>
      </c>
      <c r="M1165" s="1" t="inlineStr">
        <is>
          <t>Успешно</t>
        </is>
      </c>
      <c r="N1165" s="1" t="inlineStr">
        <is>
          <t>23.05.2024</t>
        </is>
      </c>
      <c r="O1165" s="1" t="inlineStr"/>
      <c r="P1165" s="1" t="inlineStr"/>
      <c r="Q1165" s="1" t="inlineStr">
        <is>
          <t>Пользовательский интерфейс</t>
        </is>
      </c>
    </row>
    <row r="1166">
      <c r="B1166" s="1" t="inlineStr">
        <is>
          <t>58069226</t>
        </is>
      </c>
      <c r="C1166" s="1" t="inlineStr">
        <is>
          <t>4506532</t>
        </is>
      </c>
      <c r="D1166" t="inlineStr">
        <is>
          <t>работник 339</t>
        </is>
      </c>
      <c r="E1166" s="1" t="inlineStr">
        <is>
          <t>ОБЩЕСТВО С ОГРАНИЧЕННОЙ ОТВЕТСТВЕННОСТЬЮ "АМУР ЗОЛОТО"</t>
        </is>
      </c>
      <c r="F1166" s="1" t="inlineStr">
        <is>
          <t>2708001686</t>
        </is>
      </c>
      <c r="G1166" s="1" t="inlineStr">
        <is>
          <t>Флотатор</t>
        </is>
      </c>
      <c r="H1166" s="1" t="inlineStr">
        <is>
          <t>ООО "Амур Золото"</t>
        </is>
      </c>
      <c r="I1166" s="1" t="inlineStr">
        <is>
          <t>2708001686</t>
        </is>
      </c>
      <c r="J1166" s="1" t="inlineStr">
        <is>
          <t>ОТ № ЮГОК ЗИОФ 24-23</t>
        </is>
      </c>
      <c r="K1166" s="1" t="inlineStr">
        <is>
          <t>Использование (применение) средств индивидуальной защиты</t>
        </is>
      </c>
      <c r="L1166" s="1" t="inlineStr">
        <is>
          <t>28.03.2024</t>
        </is>
      </c>
      <c r="M1166" s="1" t="inlineStr">
        <is>
          <t>Успешно</t>
        </is>
      </c>
      <c r="N1166" s="1" t="inlineStr">
        <is>
          <t>23.05.2024</t>
        </is>
      </c>
      <c r="O1166" s="1" t="inlineStr"/>
      <c r="P1166" s="1" t="inlineStr"/>
      <c r="Q1166" s="1" t="inlineStr">
        <is>
          <t>Пользовательский интерфейс</t>
        </is>
      </c>
    </row>
    <row r="1167">
      <c r="B1167" s="1" t="inlineStr">
        <is>
          <t>58069227</t>
        </is>
      </c>
      <c r="C1167" s="1" t="inlineStr">
        <is>
          <t>4506532</t>
        </is>
      </c>
      <c r="D1167" t="inlineStr">
        <is>
          <t>работник 339</t>
        </is>
      </c>
      <c r="E1167" s="1" t="inlineStr">
        <is>
          <t>ОБЩЕСТВО С ОГРАНИЧЕННОЙ ОТВЕТСТВЕННОСТЬЮ "АМУР ЗОЛОТО"</t>
        </is>
      </c>
      <c r="F1167" s="1" t="inlineStr">
        <is>
          <t>2708001686</t>
        </is>
      </c>
      <c r="G1167" s="1" t="inlineStr">
        <is>
          <t>Флотатор</t>
        </is>
      </c>
      <c r="H1167" s="1" t="inlineStr">
        <is>
          <t>ООО "Амур Золото"</t>
        </is>
      </c>
      <c r="I1167" s="1" t="inlineStr">
        <is>
          <t>2708001686</t>
        </is>
      </c>
      <c r="J1167" s="1" t="inlineStr">
        <is>
          <t>ОТ № ЮГОК ЗИОФ 24-23</t>
        </is>
      </c>
      <c r="K116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167" s="1" t="inlineStr">
        <is>
          <t>28.03.2024</t>
        </is>
      </c>
      <c r="M1167" s="1" t="inlineStr">
        <is>
          <t>Успешно</t>
        </is>
      </c>
      <c r="N1167" s="1" t="inlineStr">
        <is>
          <t>23.05.2024</t>
        </is>
      </c>
      <c r="O1167" s="1" t="inlineStr"/>
      <c r="P1167" s="1" t="inlineStr"/>
      <c r="Q1167" s="1" t="inlineStr">
        <is>
          <t>Пользовательский интерфейс</t>
        </is>
      </c>
    </row>
    <row r="1168">
      <c r="B1168" s="1" t="inlineStr">
        <is>
          <t>58069228</t>
        </is>
      </c>
      <c r="C1168" s="1" t="inlineStr">
        <is>
          <t>4506532</t>
        </is>
      </c>
      <c r="D1168" t="inlineStr">
        <is>
          <t>работник 340</t>
        </is>
      </c>
      <c r="E1168" s="1" t="inlineStr">
        <is>
          <t>ОБЩЕСТВО С ОГРАНИЧЕННОЙ ОТВЕТСТВЕННОСТЬЮ "АМУР ЗОЛОТО"</t>
        </is>
      </c>
      <c r="F1168" s="1" t="inlineStr">
        <is>
          <t>2708001686</t>
        </is>
      </c>
      <c r="G1168" s="1" t="inlineStr">
        <is>
          <t>Фильтровальщик</t>
        </is>
      </c>
      <c r="H1168" s="1" t="inlineStr">
        <is>
          <t>ООО "Амур Золото"</t>
        </is>
      </c>
      <c r="I1168" s="1" t="inlineStr">
        <is>
          <t>2708001686</t>
        </is>
      </c>
      <c r="J1168" s="1" t="inlineStr">
        <is>
          <t>ОТ № ЮГОК ЗИОФ 24-24</t>
        </is>
      </c>
      <c r="K1168" s="1" t="inlineStr">
        <is>
          <t>Оказание первой помощи пострадавшим</t>
        </is>
      </c>
      <c r="L1168" s="1" t="inlineStr">
        <is>
          <t>12.04.2024</t>
        </is>
      </c>
      <c r="M1168" s="1" t="inlineStr">
        <is>
          <t>Успешно</t>
        </is>
      </c>
      <c r="N1168" s="1" t="inlineStr">
        <is>
          <t>23.05.2024</t>
        </is>
      </c>
      <c r="O1168" s="1" t="inlineStr"/>
      <c r="P1168" s="1" t="inlineStr"/>
      <c r="Q1168" s="1" t="inlineStr">
        <is>
          <t>Пользовательский интерфейс</t>
        </is>
      </c>
    </row>
    <row r="1169">
      <c r="B1169" s="1" t="inlineStr">
        <is>
          <t>58069229</t>
        </is>
      </c>
      <c r="C1169" s="1" t="inlineStr">
        <is>
          <t>4506532</t>
        </is>
      </c>
      <c r="D1169" t="inlineStr">
        <is>
          <t>работник 340</t>
        </is>
      </c>
      <c r="E1169" s="1" t="inlineStr">
        <is>
          <t>ОБЩЕСТВО С ОГРАНИЧЕННОЙ ОТВЕТСТВЕННОСТЬЮ "АМУР ЗОЛОТО"</t>
        </is>
      </c>
      <c r="F1169" s="1" t="inlineStr">
        <is>
          <t>2708001686</t>
        </is>
      </c>
      <c r="G1169" s="1" t="inlineStr">
        <is>
          <t>Фильтровальщик</t>
        </is>
      </c>
      <c r="H1169" s="1" t="inlineStr">
        <is>
          <t>ООО "Амур Золото"</t>
        </is>
      </c>
      <c r="I1169" s="1" t="inlineStr">
        <is>
          <t>2708001686</t>
        </is>
      </c>
      <c r="J1169" s="1" t="inlineStr">
        <is>
          <t>ОТ № ЮГОК ЗИОФ 24-24</t>
        </is>
      </c>
      <c r="K1169" s="1" t="inlineStr">
        <is>
          <t>Использование (применение) средств индивидуальной защиты</t>
        </is>
      </c>
      <c r="L1169" s="1" t="inlineStr">
        <is>
          <t>12.04.2024</t>
        </is>
      </c>
      <c r="M1169" s="1" t="inlineStr">
        <is>
          <t>Успешно</t>
        </is>
      </c>
      <c r="N1169" s="1" t="inlineStr">
        <is>
          <t>23.05.2024</t>
        </is>
      </c>
      <c r="O1169" s="1" t="inlineStr"/>
      <c r="P1169" s="1" t="inlineStr"/>
      <c r="Q1169" s="1" t="inlineStr">
        <is>
          <t>Пользовательский интерфейс</t>
        </is>
      </c>
    </row>
    <row r="1170">
      <c r="B1170" s="1" t="inlineStr">
        <is>
          <t>58069230</t>
        </is>
      </c>
      <c r="C1170" s="1" t="inlineStr">
        <is>
          <t>4506532</t>
        </is>
      </c>
      <c r="D1170" t="inlineStr">
        <is>
          <t>работник 340</t>
        </is>
      </c>
      <c r="E1170" s="1" t="inlineStr">
        <is>
          <t>ОБЩЕСТВО С ОГРАНИЧЕННОЙ ОТВЕТСТВЕННОСТЬЮ "АМУР ЗОЛОТО"</t>
        </is>
      </c>
      <c r="F1170" s="1" t="inlineStr">
        <is>
          <t>2708001686</t>
        </is>
      </c>
      <c r="G1170" s="1" t="inlineStr">
        <is>
          <t>Фильтровальщик</t>
        </is>
      </c>
      <c r="H1170" s="1" t="inlineStr">
        <is>
          <t>ООО "Амур Золото"</t>
        </is>
      </c>
      <c r="I1170" s="1" t="inlineStr">
        <is>
          <t>2708001686</t>
        </is>
      </c>
      <c r="J1170" s="1" t="inlineStr">
        <is>
          <t>ОТ № ЮГОК ЗИОФ 24-24</t>
        </is>
      </c>
      <c r="K117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170" s="1" t="inlineStr">
        <is>
          <t>12.04.2024</t>
        </is>
      </c>
      <c r="M1170" s="1" t="inlineStr">
        <is>
          <t>Успешно</t>
        </is>
      </c>
      <c r="N1170" s="1" t="inlineStr">
        <is>
          <t>23.05.2024</t>
        </is>
      </c>
      <c r="O1170" s="1" t="inlineStr"/>
      <c r="P1170" s="1" t="inlineStr"/>
      <c r="Q1170" s="1" t="inlineStr">
        <is>
          <t>Пользовательский интерфейс</t>
        </is>
      </c>
    </row>
    <row r="1171">
      <c r="B1171" s="1" t="inlineStr">
        <is>
          <t>58069231</t>
        </is>
      </c>
      <c r="C1171" s="1" t="inlineStr">
        <is>
          <t>4506532</t>
        </is>
      </c>
      <c r="D1171" t="inlineStr">
        <is>
          <t>работник 341</t>
        </is>
      </c>
      <c r="E1171" s="1" t="inlineStr">
        <is>
          <t>ОБЩЕСТВО С ОГРАНИЧЕННОЙ ОТВЕТСТВЕННОСТЬЮ "АМУР ЗОЛОТО"</t>
        </is>
      </c>
      <c r="F1171" s="1" t="inlineStr">
        <is>
          <t>2708001686</t>
        </is>
      </c>
      <c r="G1171" s="1" t="inlineStr">
        <is>
          <t>Электрогазосварщик</t>
        </is>
      </c>
      <c r="H1171" s="1" t="inlineStr">
        <is>
          <t>ООО "Амур Золото"</t>
        </is>
      </c>
      <c r="I1171" s="1" t="inlineStr">
        <is>
          <t>2708001686</t>
        </is>
      </c>
      <c r="J1171" s="1" t="inlineStr">
        <is>
          <t>ОТ № ЮГОК ЗИОФ 24-25</t>
        </is>
      </c>
      <c r="K1171" s="1" t="inlineStr">
        <is>
          <t>Оказание первой помощи пострадавшим</t>
        </is>
      </c>
      <c r="L1171" s="1" t="inlineStr">
        <is>
          <t>15.04.2024</t>
        </is>
      </c>
      <c r="M1171" s="1" t="inlineStr">
        <is>
          <t>Успешно</t>
        </is>
      </c>
      <c r="N1171" s="1" t="inlineStr">
        <is>
          <t>23.05.2024</t>
        </is>
      </c>
      <c r="O1171" s="1" t="inlineStr"/>
      <c r="P1171" s="1" t="inlineStr"/>
      <c r="Q1171" s="1" t="inlineStr">
        <is>
          <t>Пользовательский интерфейс</t>
        </is>
      </c>
    </row>
    <row r="1172">
      <c r="B1172" s="1" t="inlineStr">
        <is>
          <t>58069232</t>
        </is>
      </c>
      <c r="C1172" s="1" t="inlineStr">
        <is>
          <t>4506532</t>
        </is>
      </c>
      <c r="D1172" t="inlineStr">
        <is>
          <t>работник 341</t>
        </is>
      </c>
      <c r="E1172" s="1" t="inlineStr">
        <is>
          <t>ОБЩЕСТВО С ОГРАНИЧЕННОЙ ОТВЕТСТВЕННОСТЬЮ "АМУР ЗОЛОТО"</t>
        </is>
      </c>
      <c r="F1172" s="1" t="inlineStr">
        <is>
          <t>2708001686</t>
        </is>
      </c>
      <c r="G1172" s="1" t="inlineStr">
        <is>
          <t>Электрогазосварщик</t>
        </is>
      </c>
      <c r="H1172" s="1" t="inlineStr">
        <is>
          <t>ООО "Амур Золото"</t>
        </is>
      </c>
      <c r="I1172" s="1" t="inlineStr">
        <is>
          <t>2708001686</t>
        </is>
      </c>
      <c r="J1172" s="1" t="inlineStr">
        <is>
          <t>ОТ № ЮГОК ЗИОФ 24-25</t>
        </is>
      </c>
      <c r="K1172" s="1" t="inlineStr">
        <is>
          <t>Использование (применение) средств индивидуальной защиты</t>
        </is>
      </c>
      <c r="L1172" s="1" t="inlineStr">
        <is>
          <t>15.04.2024</t>
        </is>
      </c>
      <c r="M1172" s="1" t="inlineStr">
        <is>
          <t>Успешно</t>
        </is>
      </c>
      <c r="N1172" s="1" t="inlineStr">
        <is>
          <t>23.05.2024</t>
        </is>
      </c>
      <c r="O1172" s="1" t="inlineStr"/>
      <c r="P1172" s="1" t="inlineStr"/>
      <c r="Q1172" s="1" t="inlineStr">
        <is>
          <t>Пользовательский интерфейс</t>
        </is>
      </c>
    </row>
    <row r="1173">
      <c r="B1173" s="1" t="inlineStr">
        <is>
          <t>58069233</t>
        </is>
      </c>
      <c r="C1173" s="1" t="inlineStr">
        <is>
          <t>4506532</t>
        </is>
      </c>
      <c r="D1173" t="inlineStr">
        <is>
          <t>работник 341</t>
        </is>
      </c>
      <c r="E1173" s="1" t="inlineStr">
        <is>
          <t>ОБЩЕСТВО С ОГРАНИЧЕННОЙ ОТВЕТСТВЕННОСТЬЮ "АМУР ЗОЛОТО"</t>
        </is>
      </c>
      <c r="F1173" s="1" t="inlineStr">
        <is>
          <t>2708001686</t>
        </is>
      </c>
      <c r="G1173" s="1" t="inlineStr">
        <is>
          <t>Электрогазосварщик</t>
        </is>
      </c>
      <c r="H1173" s="1" t="inlineStr">
        <is>
          <t>ООО "Амур Золото"</t>
        </is>
      </c>
      <c r="I1173" s="1" t="inlineStr">
        <is>
          <t>2708001686</t>
        </is>
      </c>
      <c r="J1173" s="1" t="inlineStr">
        <is>
          <t>ОТ № ЮГОК ЗИОФ 24-25</t>
        </is>
      </c>
      <c r="K117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173" s="1" t="inlineStr">
        <is>
          <t>15.04.2024</t>
        </is>
      </c>
      <c r="M1173" s="1" t="inlineStr">
        <is>
          <t>Успешно</t>
        </is>
      </c>
      <c r="N1173" s="1" t="inlineStr">
        <is>
          <t>23.05.2024</t>
        </is>
      </c>
      <c r="O1173" s="1" t="inlineStr"/>
      <c r="P1173" s="1" t="inlineStr"/>
      <c r="Q1173" s="1" t="inlineStr">
        <is>
          <t>Пользовательский интерфейс</t>
        </is>
      </c>
    </row>
    <row r="1174">
      <c r="B1174" s="1" t="inlineStr">
        <is>
          <t>58069234</t>
        </is>
      </c>
      <c r="C1174" s="1" t="inlineStr">
        <is>
          <t>4506532</t>
        </is>
      </c>
      <c r="D1174" t="inlineStr">
        <is>
          <t>работник 342</t>
        </is>
      </c>
      <c r="E1174" s="1" t="inlineStr">
        <is>
          <t>ОБЩЕСТВО С ОГРАНИЧЕННОЙ ОТВЕТСТВЕННОСТЬЮ "АМУР ЗОЛОТО"</t>
        </is>
      </c>
      <c r="F1174" s="1" t="inlineStr">
        <is>
          <t>2708001686</t>
        </is>
      </c>
      <c r="G1174" s="1" t="inlineStr">
        <is>
          <t>Бункеровщик</t>
        </is>
      </c>
      <c r="H1174" s="1" t="inlineStr">
        <is>
          <t>ООО "Амур Золото"</t>
        </is>
      </c>
      <c r="I1174" s="1" t="inlineStr">
        <is>
          <t>2708001686</t>
        </is>
      </c>
      <c r="J1174" s="1" t="inlineStr">
        <is>
          <t>ОТ № ЮГОК ЗИОФ 24-26</t>
        </is>
      </c>
      <c r="K1174" s="1" t="inlineStr">
        <is>
          <t>Оказание первой помощи пострадавшим</t>
        </is>
      </c>
      <c r="L1174" s="1" t="inlineStr">
        <is>
          <t>19.04.2024</t>
        </is>
      </c>
      <c r="M1174" s="1" t="inlineStr">
        <is>
          <t>Успешно</t>
        </is>
      </c>
      <c r="N1174" s="1" t="inlineStr">
        <is>
          <t>23.05.2024</t>
        </is>
      </c>
      <c r="O1174" s="1" t="inlineStr"/>
      <c r="P1174" s="1" t="inlineStr"/>
      <c r="Q1174" s="1" t="inlineStr">
        <is>
          <t>Пользовательский интерфейс</t>
        </is>
      </c>
    </row>
    <row r="1175">
      <c r="B1175" s="1" t="inlineStr">
        <is>
          <t>58069235</t>
        </is>
      </c>
      <c r="C1175" s="1" t="inlineStr">
        <is>
          <t>4506532</t>
        </is>
      </c>
      <c r="D1175" t="inlineStr">
        <is>
          <t>работник 342</t>
        </is>
      </c>
      <c r="E1175" s="1" t="inlineStr">
        <is>
          <t>ОБЩЕСТВО С ОГРАНИЧЕННОЙ ОТВЕТСТВЕННОСТЬЮ "АМУР ЗОЛОТО"</t>
        </is>
      </c>
      <c r="F1175" s="1" t="inlineStr">
        <is>
          <t>2708001686</t>
        </is>
      </c>
      <c r="G1175" s="1" t="inlineStr">
        <is>
          <t>Бункеровщик</t>
        </is>
      </c>
      <c r="H1175" s="1" t="inlineStr">
        <is>
          <t>ООО "Амур Золото"</t>
        </is>
      </c>
      <c r="I1175" s="1" t="inlineStr">
        <is>
          <t>2708001686</t>
        </is>
      </c>
      <c r="J1175" s="1" t="inlineStr">
        <is>
          <t>ОТ № ЮГОК ЗИОФ 24-26</t>
        </is>
      </c>
      <c r="K1175" s="1" t="inlineStr">
        <is>
          <t>Использование (применение) средств индивидуальной защиты</t>
        </is>
      </c>
      <c r="L1175" s="1" t="inlineStr">
        <is>
          <t>19.04.2024</t>
        </is>
      </c>
      <c r="M1175" s="1" t="inlineStr">
        <is>
          <t>Успешно</t>
        </is>
      </c>
      <c r="N1175" s="1" t="inlineStr">
        <is>
          <t>23.05.2024</t>
        </is>
      </c>
      <c r="O1175" s="1" t="inlineStr"/>
      <c r="P1175" s="1" t="inlineStr"/>
      <c r="Q1175" s="1" t="inlineStr">
        <is>
          <t>Пользовательский интерфейс</t>
        </is>
      </c>
    </row>
    <row r="1176">
      <c r="B1176" s="1" t="inlineStr">
        <is>
          <t>58069236</t>
        </is>
      </c>
      <c r="C1176" s="1" t="inlineStr">
        <is>
          <t>4506532</t>
        </is>
      </c>
      <c r="D1176" t="inlineStr">
        <is>
          <t>работник 342</t>
        </is>
      </c>
      <c r="E1176" s="1" t="inlineStr">
        <is>
          <t>ОБЩЕСТВО С ОГРАНИЧЕННОЙ ОТВЕТСТВЕННОСТЬЮ "АМУР ЗОЛОТО"</t>
        </is>
      </c>
      <c r="F1176" s="1" t="inlineStr">
        <is>
          <t>2708001686</t>
        </is>
      </c>
      <c r="G1176" s="1" t="inlineStr">
        <is>
          <t>Бункеровщик</t>
        </is>
      </c>
      <c r="H1176" s="1" t="inlineStr">
        <is>
          <t>ООО "Амур Золото"</t>
        </is>
      </c>
      <c r="I1176" s="1" t="inlineStr">
        <is>
          <t>2708001686</t>
        </is>
      </c>
      <c r="J1176" s="1" t="inlineStr">
        <is>
          <t>ОТ № ЮГОК ЗИОФ 24-26</t>
        </is>
      </c>
      <c r="K117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176" s="1" t="inlineStr">
        <is>
          <t>19.04.2024</t>
        </is>
      </c>
      <c r="M1176" s="1" t="inlineStr">
        <is>
          <t>Успешно</t>
        </is>
      </c>
      <c r="N1176" s="1" t="inlineStr">
        <is>
          <t>23.05.2024</t>
        </is>
      </c>
      <c r="O1176" s="1" t="inlineStr"/>
      <c r="P1176" s="1" t="inlineStr"/>
      <c r="Q1176" s="1" t="inlineStr">
        <is>
          <t>Пользовательский интерфейс</t>
        </is>
      </c>
    </row>
    <row r="1177">
      <c r="B1177" s="1" t="inlineStr">
        <is>
          <t>58069237</t>
        </is>
      </c>
      <c r="C1177" s="1" t="inlineStr">
        <is>
          <t>4506532</t>
        </is>
      </c>
      <c r="D1177" t="inlineStr">
        <is>
          <t>работник 343</t>
        </is>
      </c>
      <c r="E1177" s="1" t="inlineStr">
        <is>
          <t>ОБЩЕСТВО С ОГРАНИЧЕННОЙ ОТВЕТСТВЕННОСТЬЮ "АМУР ЗОЛОТО"</t>
        </is>
      </c>
      <c r="F1177" s="1" t="inlineStr">
        <is>
          <t>2708001686</t>
        </is>
      </c>
      <c r="G1177" s="1" t="inlineStr">
        <is>
          <t>Дробильщик</t>
        </is>
      </c>
      <c r="H1177" s="1" t="inlineStr">
        <is>
          <t>ООО "Амур Золото"</t>
        </is>
      </c>
      <c r="I1177" s="1" t="inlineStr">
        <is>
          <t>2708001686</t>
        </is>
      </c>
      <c r="J1177" s="1" t="inlineStr">
        <is>
          <t>ОТ № ЮГОК ЗИОФ 24-27</t>
        </is>
      </c>
      <c r="K1177" s="1" t="inlineStr">
        <is>
          <t>Оказание первой помощи пострадавшим</t>
        </is>
      </c>
      <c r="L1177" s="1" t="inlineStr">
        <is>
          <t>28.04.2024</t>
        </is>
      </c>
      <c r="M1177" s="1" t="inlineStr">
        <is>
          <t>Успешно</t>
        </is>
      </c>
      <c r="N1177" s="1" t="inlineStr">
        <is>
          <t>23.05.2024</t>
        </is>
      </c>
      <c r="O1177" s="1" t="inlineStr"/>
      <c r="P1177" s="1" t="inlineStr"/>
      <c r="Q1177" s="1" t="inlineStr">
        <is>
          <t>Пользовательский интерфейс</t>
        </is>
      </c>
    </row>
    <row r="1178">
      <c r="B1178" s="1" t="inlineStr">
        <is>
          <t>58069238</t>
        </is>
      </c>
      <c r="C1178" s="1" t="inlineStr">
        <is>
          <t>4506532</t>
        </is>
      </c>
      <c r="D1178" t="inlineStr">
        <is>
          <t>работник 343</t>
        </is>
      </c>
      <c r="E1178" s="1" t="inlineStr">
        <is>
          <t>ОБЩЕСТВО С ОГРАНИЧЕННОЙ ОТВЕТСТВЕННОСТЬЮ "АМУР ЗОЛОТО"</t>
        </is>
      </c>
      <c r="F1178" s="1" t="inlineStr">
        <is>
          <t>2708001686</t>
        </is>
      </c>
      <c r="G1178" s="1" t="inlineStr">
        <is>
          <t>Дробильщик</t>
        </is>
      </c>
      <c r="H1178" s="1" t="inlineStr">
        <is>
          <t>ООО "Амур Золото"</t>
        </is>
      </c>
      <c r="I1178" s="1" t="inlineStr">
        <is>
          <t>2708001686</t>
        </is>
      </c>
      <c r="J1178" s="1" t="inlineStr">
        <is>
          <t>ОТ № ЮГОК ЗИОФ 24-27</t>
        </is>
      </c>
      <c r="K1178" s="1" t="inlineStr">
        <is>
          <t>Использование (применение) средств индивидуальной защиты</t>
        </is>
      </c>
      <c r="L1178" s="1" t="inlineStr">
        <is>
          <t>28.04.2024</t>
        </is>
      </c>
      <c r="M1178" s="1" t="inlineStr">
        <is>
          <t>Успешно</t>
        </is>
      </c>
      <c r="N1178" s="1" t="inlineStr">
        <is>
          <t>23.05.2024</t>
        </is>
      </c>
      <c r="O1178" s="1" t="inlineStr"/>
      <c r="P1178" s="1" t="inlineStr"/>
      <c r="Q1178" s="1" t="inlineStr">
        <is>
          <t>Пользовательский интерфейс</t>
        </is>
      </c>
    </row>
    <row r="1179">
      <c r="B1179" s="1" t="inlineStr">
        <is>
          <t>58069239</t>
        </is>
      </c>
      <c r="C1179" s="1" t="inlineStr">
        <is>
          <t>4506532</t>
        </is>
      </c>
      <c r="D1179" t="inlineStr">
        <is>
          <t>работник 343</t>
        </is>
      </c>
      <c r="E1179" s="1" t="inlineStr">
        <is>
          <t>ОБЩЕСТВО С ОГРАНИЧЕННОЙ ОТВЕТСТВЕННОСТЬЮ "АМУР ЗОЛОТО"</t>
        </is>
      </c>
      <c r="F1179" s="1" t="inlineStr">
        <is>
          <t>2708001686</t>
        </is>
      </c>
      <c r="G1179" s="1" t="inlineStr">
        <is>
          <t>Дробильщик</t>
        </is>
      </c>
      <c r="H1179" s="1" t="inlineStr">
        <is>
          <t>ООО "Амур Золото"</t>
        </is>
      </c>
      <c r="I1179" s="1" t="inlineStr">
        <is>
          <t>2708001686</t>
        </is>
      </c>
      <c r="J1179" s="1" t="inlineStr">
        <is>
          <t>ОТ № ЮГОК ЗИОФ 24-27</t>
        </is>
      </c>
      <c r="K117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179" s="1" t="inlineStr">
        <is>
          <t>28.04.2024</t>
        </is>
      </c>
      <c r="M1179" s="1" t="inlineStr">
        <is>
          <t>Успешно</t>
        </is>
      </c>
      <c r="N1179" s="1" t="inlineStr">
        <is>
          <t>23.05.2024</t>
        </is>
      </c>
      <c r="O1179" s="1" t="inlineStr"/>
      <c r="P1179" s="1" t="inlineStr"/>
      <c r="Q1179" s="1" t="inlineStr">
        <is>
          <t>Пользовательский интерфейс</t>
        </is>
      </c>
    </row>
    <row r="1180">
      <c r="B1180" s="1" t="inlineStr">
        <is>
          <t>58069240</t>
        </is>
      </c>
      <c r="C1180" s="1" t="inlineStr">
        <is>
          <t>4506532</t>
        </is>
      </c>
      <c r="D1180" t="inlineStr">
        <is>
          <t>работник 344</t>
        </is>
      </c>
      <c r="E1180" s="1" t="inlineStr">
        <is>
          <t>ОБЩЕСТВО С ОГРАНИЧЕННОЙ ОТВЕТСТВЕННОСТЬЮ "АМУР ЗОЛОТО"</t>
        </is>
      </c>
      <c r="F1180" s="1" t="inlineStr">
        <is>
          <t>2708001686</t>
        </is>
      </c>
      <c r="G1180" s="1" t="inlineStr">
        <is>
          <t>Аппаратчик-гидрометаллург</t>
        </is>
      </c>
      <c r="H1180" s="1" t="inlineStr">
        <is>
          <t>ООО "Амур Золото"</t>
        </is>
      </c>
      <c r="I1180" s="1" t="inlineStr">
        <is>
          <t>2708001686</t>
        </is>
      </c>
      <c r="J1180" s="1" t="inlineStr">
        <is>
          <t>ОТ № ЮГОК ЗИОФ 24-28</t>
        </is>
      </c>
      <c r="K1180" s="1" t="inlineStr">
        <is>
          <t>Оказание первой помощи пострадавшим</t>
        </is>
      </c>
      <c r="L1180" s="1" t="inlineStr">
        <is>
          <t>07.05.2024</t>
        </is>
      </c>
      <c r="M1180" s="1" t="inlineStr">
        <is>
          <t>Успешно</t>
        </is>
      </c>
      <c r="N1180" s="1" t="inlineStr">
        <is>
          <t>23.05.2024</t>
        </is>
      </c>
      <c r="O1180" s="1" t="inlineStr"/>
      <c r="P1180" s="1" t="inlineStr"/>
      <c r="Q1180" s="1" t="inlineStr">
        <is>
          <t>Пользовательский интерфейс</t>
        </is>
      </c>
    </row>
    <row r="1181">
      <c r="B1181" s="1" t="inlineStr">
        <is>
          <t>58069241</t>
        </is>
      </c>
      <c r="C1181" s="1" t="inlineStr">
        <is>
          <t>4506532</t>
        </is>
      </c>
      <c r="D1181" t="inlineStr">
        <is>
          <t>работник 344</t>
        </is>
      </c>
      <c r="E1181" s="1" t="inlineStr">
        <is>
          <t>ОБЩЕСТВО С ОГРАНИЧЕННОЙ ОТВЕТСТВЕННОСТЬЮ "АМУР ЗОЛОТО"</t>
        </is>
      </c>
      <c r="F1181" s="1" t="inlineStr">
        <is>
          <t>2708001686</t>
        </is>
      </c>
      <c r="G1181" s="1" t="inlineStr">
        <is>
          <t>Аппаратчик-гидрометаллург</t>
        </is>
      </c>
      <c r="H1181" s="1" t="inlineStr">
        <is>
          <t>ООО "Амур Золото"</t>
        </is>
      </c>
      <c r="I1181" s="1" t="inlineStr">
        <is>
          <t>2708001686</t>
        </is>
      </c>
      <c r="J1181" s="1" t="inlineStr">
        <is>
          <t>ОТ № ЮГОК ЗИОФ 24-28</t>
        </is>
      </c>
      <c r="K1181" s="1" t="inlineStr">
        <is>
          <t>Использование (применение) средств индивидуальной защиты</t>
        </is>
      </c>
      <c r="L1181" s="1" t="inlineStr">
        <is>
          <t>07.05.2024</t>
        </is>
      </c>
      <c r="M1181" s="1" t="inlineStr">
        <is>
          <t>Успешно</t>
        </is>
      </c>
      <c r="N1181" s="1" t="inlineStr">
        <is>
          <t>23.05.2024</t>
        </is>
      </c>
      <c r="O1181" s="1" t="inlineStr"/>
      <c r="P1181" s="1" t="inlineStr"/>
      <c r="Q1181" s="1" t="inlineStr">
        <is>
          <t>Пользовательский интерфейс</t>
        </is>
      </c>
    </row>
    <row r="1182">
      <c r="B1182" s="1" t="inlineStr">
        <is>
          <t>58069242</t>
        </is>
      </c>
      <c r="C1182" s="1" t="inlineStr">
        <is>
          <t>4506532</t>
        </is>
      </c>
      <c r="D1182" t="inlineStr">
        <is>
          <t>работник 344</t>
        </is>
      </c>
      <c r="E1182" s="1" t="inlineStr">
        <is>
          <t>ОБЩЕСТВО С ОГРАНИЧЕННОЙ ОТВЕТСТВЕННОСТЬЮ "АМУР ЗОЛОТО"</t>
        </is>
      </c>
      <c r="F1182" s="1" t="inlineStr">
        <is>
          <t>2708001686</t>
        </is>
      </c>
      <c r="G1182" s="1" t="inlineStr">
        <is>
          <t>Аппаратчик-гидрометаллург</t>
        </is>
      </c>
      <c r="H1182" s="1" t="inlineStr">
        <is>
          <t>ООО "Амур Золото"</t>
        </is>
      </c>
      <c r="I1182" s="1" t="inlineStr">
        <is>
          <t>2708001686</t>
        </is>
      </c>
      <c r="J1182" s="1" t="inlineStr">
        <is>
          <t>ОТ № ЮГОК ЗИОФ 24-28</t>
        </is>
      </c>
      <c r="K118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182" s="1" t="inlineStr">
        <is>
          <t>07.05.2024</t>
        </is>
      </c>
      <c r="M1182" s="1" t="inlineStr">
        <is>
          <t>Успешно</t>
        </is>
      </c>
      <c r="N1182" s="1" t="inlineStr">
        <is>
          <t>23.05.2024</t>
        </is>
      </c>
      <c r="O1182" s="1" t="inlineStr"/>
      <c r="P1182" s="1" t="inlineStr"/>
      <c r="Q1182" s="1" t="inlineStr">
        <is>
          <t>Пользовательский интерфейс</t>
        </is>
      </c>
    </row>
    <row r="1183">
      <c r="B1183" s="1" t="inlineStr">
        <is>
          <t>58069243</t>
        </is>
      </c>
      <c r="C1183" s="1" t="inlineStr">
        <is>
          <t>4506532</t>
        </is>
      </c>
      <c r="D1183" t="inlineStr">
        <is>
          <t>работник 345</t>
        </is>
      </c>
      <c r="E1183" s="1" t="inlineStr">
        <is>
          <t>ОБЩЕСТВО С ОГРАНИЧЕННОЙ ОТВЕТСТВЕННОСТЬЮ "АМУР ЗОЛОТО"</t>
        </is>
      </c>
      <c r="F1183" s="1" t="inlineStr">
        <is>
          <t>2708001686</t>
        </is>
      </c>
      <c r="G1183" s="1" t="inlineStr">
        <is>
          <t>Растворщик реагентов</t>
        </is>
      </c>
      <c r="H1183" s="1" t="inlineStr">
        <is>
          <t>ООО "Амур Золото"</t>
        </is>
      </c>
      <c r="I1183" s="1" t="inlineStr">
        <is>
          <t>2708001686</t>
        </is>
      </c>
      <c r="J1183" s="1" t="inlineStr">
        <is>
          <t>ОТ № ЮГОК ЗИОФ 24-29</t>
        </is>
      </c>
      <c r="K1183" s="1" t="inlineStr">
        <is>
          <t>Оказание первой помощи пострадавшим</t>
        </is>
      </c>
      <c r="L1183" s="1" t="inlineStr">
        <is>
          <t>18.05.2024</t>
        </is>
      </c>
      <c r="M1183" s="1" t="inlineStr">
        <is>
          <t>Успешно</t>
        </is>
      </c>
      <c r="N1183" s="1" t="inlineStr">
        <is>
          <t>23.05.2024</t>
        </is>
      </c>
      <c r="O1183" s="1" t="inlineStr"/>
      <c r="P1183" s="1" t="inlineStr"/>
      <c r="Q1183" s="1" t="inlineStr">
        <is>
          <t>Пользовательский интерфейс</t>
        </is>
      </c>
    </row>
    <row r="1184">
      <c r="B1184" s="1" t="inlineStr">
        <is>
          <t>58069244</t>
        </is>
      </c>
      <c r="C1184" s="1" t="inlineStr">
        <is>
          <t>4506532</t>
        </is>
      </c>
      <c r="D1184" t="inlineStr">
        <is>
          <t>работник 345</t>
        </is>
      </c>
      <c r="E1184" s="1" t="inlineStr">
        <is>
          <t>ОБЩЕСТВО С ОГРАНИЧЕННОЙ ОТВЕТСТВЕННОСТЬЮ "АМУР ЗОЛОТО"</t>
        </is>
      </c>
      <c r="F1184" s="1" t="inlineStr">
        <is>
          <t>2708001686</t>
        </is>
      </c>
      <c r="G1184" s="1" t="inlineStr">
        <is>
          <t>Растворщик реагентов</t>
        </is>
      </c>
      <c r="H1184" s="1" t="inlineStr">
        <is>
          <t>ООО "Амур Золото"</t>
        </is>
      </c>
      <c r="I1184" s="1" t="inlineStr">
        <is>
          <t>2708001686</t>
        </is>
      </c>
      <c r="J1184" s="1" t="inlineStr">
        <is>
          <t>ОТ № ЮГОК ЗИОФ 24-29</t>
        </is>
      </c>
      <c r="K1184" s="1" t="inlineStr">
        <is>
          <t>Использование (применение) средств индивидуальной защиты</t>
        </is>
      </c>
      <c r="L1184" s="1" t="inlineStr">
        <is>
          <t>18.05.2024</t>
        </is>
      </c>
      <c r="M1184" s="1" t="inlineStr">
        <is>
          <t>Успешно</t>
        </is>
      </c>
      <c r="N1184" s="1" t="inlineStr">
        <is>
          <t>23.05.2024</t>
        </is>
      </c>
      <c r="O1184" s="1" t="inlineStr"/>
      <c r="P1184" s="1" t="inlineStr"/>
      <c r="Q1184" s="1" t="inlineStr">
        <is>
          <t>Пользовательский интерфейс</t>
        </is>
      </c>
    </row>
    <row r="1185">
      <c r="B1185" s="1" t="inlineStr">
        <is>
          <t>58069245</t>
        </is>
      </c>
      <c r="C1185" s="1" t="inlineStr">
        <is>
          <t>4506532</t>
        </is>
      </c>
      <c r="D1185" t="inlineStr">
        <is>
          <t>работник 345</t>
        </is>
      </c>
      <c r="E1185" s="1" t="inlineStr">
        <is>
          <t>ОБЩЕСТВО С ОГРАНИЧЕННОЙ ОТВЕТСТВЕННОСТЬЮ "АМУР ЗОЛОТО"</t>
        </is>
      </c>
      <c r="F1185" s="1" t="inlineStr">
        <is>
          <t>2708001686</t>
        </is>
      </c>
      <c r="G1185" s="1" t="inlineStr">
        <is>
          <t>Растворщик реагентов</t>
        </is>
      </c>
      <c r="H1185" s="1" t="inlineStr">
        <is>
          <t>ООО "Амур Золото"</t>
        </is>
      </c>
      <c r="I1185" s="1" t="inlineStr">
        <is>
          <t>2708001686</t>
        </is>
      </c>
      <c r="J1185" s="1" t="inlineStr">
        <is>
          <t>ОТ № ЮГОК ЗИОФ 24-29</t>
        </is>
      </c>
      <c r="K118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185" s="1" t="inlineStr">
        <is>
          <t>18.05.2024</t>
        </is>
      </c>
      <c r="M1185" s="1" t="inlineStr">
        <is>
          <t>Успешно</t>
        </is>
      </c>
      <c r="N1185" s="1" t="inlineStr">
        <is>
          <t>23.05.2024</t>
        </is>
      </c>
      <c r="O1185" s="1" t="inlineStr"/>
      <c r="P1185" s="1" t="inlineStr"/>
      <c r="Q1185" s="1" t="inlineStr">
        <is>
          <t>Пользовательский интерфейс</t>
        </is>
      </c>
    </row>
    <row r="1186">
      <c r="B1186" s="1" t="inlineStr">
        <is>
          <t>58069246</t>
        </is>
      </c>
      <c r="C1186" s="1" t="inlineStr">
        <is>
          <t>4506532</t>
        </is>
      </c>
      <c r="D1186" t="inlineStr">
        <is>
          <t>работник 346</t>
        </is>
      </c>
      <c r="E1186" s="1" t="inlineStr">
        <is>
          <t>ОБЩЕСТВО С ОГРАНИЧЕННОЙ ОТВЕТСТВЕННОСТЬЮ "АМУР ЗОЛОТО"</t>
        </is>
      </c>
      <c r="F1186" s="1" t="inlineStr">
        <is>
          <t>2708001686</t>
        </is>
      </c>
      <c r="G1186" s="1" t="inlineStr">
        <is>
          <t>Машинист  насосной установки</t>
        </is>
      </c>
      <c r="H1186" s="1" t="inlineStr">
        <is>
          <t>ООО "Амур Золото"</t>
        </is>
      </c>
      <c r="I1186" s="1" t="inlineStr">
        <is>
          <t>2708001686</t>
        </is>
      </c>
      <c r="J1186" s="1" t="inlineStr">
        <is>
          <t>ОТ № ЮГОК ПГУ 24-06</t>
        </is>
      </c>
      <c r="K1186" s="1" t="inlineStr">
        <is>
          <t>Оказание первой помощи пострадавшим</t>
        </is>
      </c>
      <c r="L1186" s="1" t="inlineStr">
        <is>
          <t>25.04.2024</t>
        </is>
      </c>
      <c r="M1186" s="1" t="inlineStr">
        <is>
          <t>Успешно</t>
        </is>
      </c>
      <c r="N1186" s="1" t="inlineStr">
        <is>
          <t>23.05.2024</t>
        </is>
      </c>
      <c r="O1186" s="1" t="inlineStr"/>
      <c r="P1186" s="1" t="inlineStr"/>
      <c r="Q1186" s="1" t="inlineStr">
        <is>
          <t>Пользовательский интерфейс</t>
        </is>
      </c>
    </row>
    <row r="1187">
      <c r="B1187" s="1" t="inlineStr">
        <is>
          <t>58069247</t>
        </is>
      </c>
      <c r="C1187" s="1" t="inlineStr">
        <is>
          <t>4506532</t>
        </is>
      </c>
      <c r="D1187" t="inlineStr">
        <is>
          <t>работник 346</t>
        </is>
      </c>
      <c r="E1187" s="1" t="inlineStr">
        <is>
          <t>ОБЩЕСТВО С ОГРАНИЧЕННОЙ ОТВЕТСТВЕННОСТЬЮ "АМУР ЗОЛОТО"</t>
        </is>
      </c>
      <c r="F1187" s="1" t="inlineStr">
        <is>
          <t>2708001686</t>
        </is>
      </c>
      <c r="G1187" s="1" t="inlineStr">
        <is>
          <t>Машинист  насосной установки</t>
        </is>
      </c>
      <c r="H1187" s="1" t="inlineStr">
        <is>
          <t>ООО "Амур Золото"</t>
        </is>
      </c>
      <c r="I1187" s="1" t="inlineStr">
        <is>
          <t>2708001686</t>
        </is>
      </c>
      <c r="J1187" s="1" t="inlineStr">
        <is>
          <t>ОТ № ЮГОК ПГУ 24-06</t>
        </is>
      </c>
      <c r="K1187" s="1" t="inlineStr">
        <is>
          <t>Использование (применение) средств индивидуальной защиты</t>
        </is>
      </c>
      <c r="L1187" s="1" t="inlineStr">
        <is>
          <t>25.04.2024</t>
        </is>
      </c>
      <c r="M1187" s="1" t="inlineStr">
        <is>
          <t>Успешно</t>
        </is>
      </c>
      <c r="N1187" s="1" t="inlineStr">
        <is>
          <t>23.05.2024</t>
        </is>
      </c>
      <c r="O1187" s="1" t="inlineStr"/>
      <c r="P1187" s="1" t="inlineStr"/>
      <c r="Q1187" s="1" t="inlineStr">
        <is>
          <t>Пользовательский интерфейс</t>
        </is>
      </c>
    </row>
    <row r="1188">
      <c r="B1188" s="1" t="inlineStr">
        <is>
          <t>58069248</t>
        </is>
      </c>
      <c r="C1188" s="1" t="inlineStr">
        <is>
          <t>4506532</t>
        </is>
      </c>
      <c r="D1188" t="inlineStr">
        <is>
          <t>работник 346</t>
        </is>
      </c>
      <c r="E1188" s="1" t="inlineStr">
        <is>
          <t>ОБЩЕСТВО С ОГРАНИЧЕННОЙ ОТВЕТСТВЕННОСТЬЮ "АМУР ЗОЛОТО"</t>
        </is>
      </c>
      <c r="F1188" s="1" t="inlineStr">
        <is>
          <t>2708001686</t>
        </is>
      </c>
      <c r="G1188" s="1" t="inlineStr">
        <is>
          <t>Машинист  насосной установки</t>
        </is>
      </c>
      <c r="H1188" s="1" t="inlineStr">
        <is>
          <t>ООО "Амур Золото"</t>
        </is>
      </c>
      <c r="I1188" s="1" t="inlineStr">
        <is>
          <t>2708001686</t>
        </is>
      </c>
      <c r="J1188" s="1" t="inlineStr">
        <is>
          <t>ОТ № ЮГОК ПГУ 24-06</t>
        </is>
      </c>
      <c r="K118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188" s="1" t="inlineStr">
        <is>
          <t>25.04.2024</t>
        </is>
      </c>
      <c r="M1188" s="1" t="inlineStr">
        <is>
          <t>Успешно</t>
        </is>
      </c>
      <c r="N1188" s="1" t="inlineStr">
        <is>
          <t>23.05.2024</t>
        </is>
      </c>
      <c r="O1188" s="1" t="inlineStr"/>
      <c r="P1188" s="1" t="inlineStr"/>
      <c r="Q1188" s="1" t="inlineStr">
        <is>
          <t>Пользовательский интерфейс</t>
        </is>
      </c>
    </row>
    <row r="1189">
      <c r="B1189" s="1" t="inlineStr">
        <is>
          <t>58069249</t>
        </is>
      </c>
      <c r="C1189" s="1" t="inlineStr">
        <is>
          <t>4506532</t>
        </is>
      </c>
      <c r="D1189" t="inlineStr">
        <is>
          <t>работник 347</t>
        </is>
      </c>
      <c r="E1189" s="1" t="inlineStr">
        <is>
          <t>ОБЩЕСТВО С ОГРАНИЧЕННОЙ ОТВЕТСТВЕННОСТЬЮ "АМУР ЗОЛОТО"</t>
        </is>
      </c>
      <c r="F1189" s="1" t="inlineStr">
        <is>
          <t>2708001686</t>
        </is>
      </c>
      <c r="G1189" s="1" t="inlineStr">
        <is>
          <t>Горный мастер</t>
        </is>
      </c>
      <c r="H1189" s="1" t="inlineStr">
        <is>
          <t>ООО "Амур Золото"</t>
        </is>
      </c>
      <c r="I1189" s="1" t="inlineStr">
        <is>
          <t>2708001686</t>
        </is>
      </c>
      <c r="J1189" s="1" t="inlineStr">
        <is>
          <t>ОТ № ЮГОК ПГУ 24-06</t>
        </is>
      </c>
      <c r="K1189" s="1" t="inlineStr">
        <is>
          <t>Оказание первой помощи пострадавшим</t>
        </is>
      </c>
      <c r="L1189" s="1" t="inlineStr">
        <is>
          <t>25.04.2024</t>
        </is>
      </c>
      <c r="M1189" s="1" t="inlineStr">
        <is>
          <t>Успешно</t>
        </is>
      </c>
      <c r="N1189" s="1" t="inlineStr">
        <is>
          <t>23.05.2024</t>
        </is>
      </c>
      <c r="O1189" s="1" t="inlineStr"/>
      <c r="P1189" s="1" t="inlineStr"/>
      <c r="Q1189" s="1" t="inlineStr">
        <is>
          <t>Пользовательский интерфейс</t>
        </is>
      </c>
    </row>
    <row r="1190">
      <c r="B1190" s="1" t="inlineStr">
        <is>
          <t>58069250</t>
        </is>
      </c>
      <c r="C1190" s="1" t="inlineStr">
        <is>
          <t>4506532</t>
        </is>
      </c>
      <c r="D1190" t="inlineStr">
        <is>
          <t>работник 347</t>
        </is>
      </c>
      <c r="E1190" s="1" t="inlineStr">
        <is>
          <t>ОБЩЕСТВО С ОГРАНИЧЕННОЙ ОТВЕТСТВЕННОСТЬЮ "АМУР ЗОЛОТО"</t>
        </is>
      </c>
      <c r="F1190" s="1" t="inlineStr">
        <is>
          <t>2708001686</t>
        </is>
      </c>
      <c r="G1190" s="1" t="inlineStr">
        <is>
          <t>Горный мастер</t>
        </is>
      </c>
      <c r="H1190" s="1" t="inlineStr">
        <is>
          <t>ООО "Амур Золото"</t>
        </is>
      </c>
      <c r="I1190" s="1" t="inlineStr">
        <is>
          <t>2708001686</t>
        </is>
      </c>
      <c r="J1190" s="1" t="inlineStr">
        <is>
          <t>ОТ № ЮГОК ПГУ 24-06</t>
        </is>
      </c>
      <c r="K1190" s="1" t="inlineStr">
        <is>
          <t>Использование (применение) средств индивидуальной защиты</t>
        </is>
      </c>
      <c r="L1190" s="1" t="inlineStr">
        <is>
          <t>25.04.2024</t>
        </is>
      </c>
      <c r="M1190" s="1" t="inlineStr">
        <is>
          <t>Успешно</t>
        </is>
      </c>
      <c r="N1190" s="1" t="inlineStr">
        <is>
          <t>23.05.2024</t>
        </is>
      </c>
      <c r="O1190" s="1" t="inlineStr"/>
      <c r="P1190" s="1" t="inlineStr"/>
      <c r="Q1190" s="1" t="inlineStr">
        <is>
          <t>Пользовательский интерфейс</t>
        </is>
      </c>
    </row>
    <row r="1191">
      <c r="B1191" s="1" t="inlineStr">
        <is>
          <t>58069251</t>
        </is>
      </c>
      <c r="C1191" s="1" t="inlineStr">
        <is>
          <t>4506532</t>
        </is>
      </c>
      <c r="D1191" t="inlineStr">
        <is>
          <t>работник 347</t>
        </is>
      </c>
      <c r="E1191" s="1" t="inlineStr">
        <is>
          <t>ОБЩЕСТВО С ОГРАНИЧЕННОЙ ОТВЕТСТВЕННОСТЬЮ "АМУР ЗОЛОТО"</t>
        </is>
      </c>
      <c r="F1191" s="1" t="inlineStr">
        <is>
          <t>2708001686</t>
        </is>
      </c>
      <c r="G1191" s="1" t="inlineStr">
        <is>
          <t>Горный мастер</t>
        </is>
      </c>
      <c r="H1191" s="1" t="inlineStr">
        <is>
          <t>ООО "Амур Золото"</t>
        </is>
      </c>
      <c r="I1191" s="1" t="inlineStr">
        <is>
          <t>2708001686</t>
        </is>
      </c>
      <c r="J1191" s="1" t="inlineStr">
        <is>
          <t>ОТ № ЮГОК ПГУ 24-06</t>
        </is>
      </c>
      <c r="K119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191" s="1" t="inlineStr">
        <is>
          <t>25.04.2024</t>
        </is>
      </c>
      <c r="M1191" s="1" t="inlineStr">
        <is>
          <t>Успешно</t>
        </is>
      </c>
      <c r="N1191" s="1" t="inlineStr">
        <is>
          <t>23.05.2024</t>
        </is>
      </c>
      <c r="O1191" s="1" t="inlineStr"/>
      <c r="P1191" s="1" t="inlineStr"/>
      <c r="Q1191" s="1" t="inlineStr">
        <is>
          <t>Пользовательский интерфейс</t>
        </is>
      </c>
    </row>
    <row r="1192">
      <c r="B1192" s="1" t="inlineStr">
        <is>
          <t>58069252</t>
        </is>
      </c>
      <c r="C1192" s="1" t="inlineStr">
        <is>
          <t>4506532</t>
        </is>
      </c>
      <c r="D1192" t="inlineStr">
        <is>
          <t>работник 348</t>
        </is>
      </c>
      <c r="E1192" s="1" t="inlineStr">
        <is>
          <t>ОБЩЕСТВО С ОГРАНИЧЕННОЙ ОТВЕТСТВЕННОСТЬЮ "АМУР ЗОЛОТО"</t>
        </is>
      </c>
      <c r="F1192" s="1" t="inlineStr">
        <is>
          <t>2708001686</t>
        </is>
      </c>
      <c r="G1192" s="1" t="inlineStr">
        <is>
          <t>Электромеханик</t>
        </is>
      </c>
      <c r="H1192" s="1" t="inlineStr">
        <is>
          <t>ООО "Амур Золото"</t>
        </is>
      </c>
      <c r="I1192" s="1" t="inlineStr">
        <is>
          <t>2708001686</t>
        </is>
      </c>
      <c r="J1192" s="1" t="inlineStr">
        <is>
          <t>ОТ № ЮГОК ПГУ 24-06</t>
        </is>
      </c>
      <c r="K1192" s="1" t="inlineStr">
        <is>
          <t>Оказание первой помощи пострадавшим</t>
        </is>
      </c>
      <c r="L1192" s="1" t="inlineStr">
        <is>
          <t>25.04.2024</t>
        </is>
      </c>
      <c r="M1192" s="1" t="inlineStr">
        <is>
          <t>Успешно</t>
        </is>
      </c>
      <c r="N1192" s="1" t="inlineStr">
        <is>
          <t>23.05.2024</t>
        </is>
      </c>
      <c r="O1192" s="1" t="inlineStr"/>
      <c r="P1192" s="1" t="inlineStr"/>
      <c r="Q1192" s="1" t="inlineStr">
        <is>
          <t>Пользовательский интерфейс</t>
        </is>
      </c>
    </row>
    <row r="1193">
      <c r="B1193" s="1" t="inlineStr">
        <is>
          <t>58069253</t>
        </is>
      </c>
      <c r="C1193" s="1" t="inlineStr">
        <is>
          <t>4506532</t>
        </is>
      </c>
      <c r="D1193" t="inlineStr">
        <is>
          <t>работник 348</t>
        </is>
      </c>
      <c r="E1193" s="1" t="inlineStr">
        <is>
          <t>ОБЩЕСТВО С ОГРАНИЧЕННОЙ ОТВЕТСТВЕННОСТЬЮ "АМУР ЗОЛОТО"</t>
        </is>
      </c>
      <c r="F1193" s="1" t="inlineStr">
        <is>
          <t>2708001686</t>
        </is>
      </c>
      <c r="G1193" s="1" t="inlineStr">
        <is>
          <t>Электромеханик</t>
        </is>
      </c>
      <c r="H1193" s="1" t="inlineStr">
        <is>
          <t>ООО "Амур Золото"</t>
        </is>
      </c>
      <c r="I1193" s="1" t="inlineStr">
        <is>
          <t>2708001686</t>
        </is>
      </c>
      <c r="J1193" s="1" t="inlineStr">
        <is>
          <t>ОТ № ЮГОК ПГУ 24-06</t>
        </is>
      </c>
      <c r="K1193" s="1" t="inlineStr">
        <is>
          <t>Использование (применение) средств индивидуальной защиты</t>
        </is>
      </c>
      <c r="L1193" s="1" t="inlineStr">
        <is>
          <t>25.04.2024</t>
        </is>
      </c>
      <c r="M1193" s="1" t="inlineStr">
        <is>
          <t>Успешно</t>
        </is>
      </c>
      <c r="N1193" s="1" t="inlineStr">
        <is>
          <t>23.05.2024</t>
        </is>
      </c>
      <c r="O1193" s="1" t="inlineStr"/>
      <c r="P1193" s="1" t="inlineStr"/>
      <c r="Q1193" s="1" t="inlineStr">
        <is>
          <t>Пользовательский интерфейс</t>
        </is>
      </c>
    </row>
    <row r="1194">
      <c r="B1194" s="1" t="inlineStr">
        <is>
          <t>58069254</t>
        </is>
      </c>
      <c r="C1194" s="1" t="inlineStr">
        <is>
          <t>4506532</t>
        </is>
      </c>
      <c r="D1194" t="inlineStr">
        <is>
          <t>работник 348</t>
        </is>
      </c>
      <c r="E1194" s="1" t="inlineStr">
        <is>
          <t>ОБЩЕСТВО С ОГРАНИЧЕННОЙ ОТВЕТСТВЕННОСТЬЮ "АМУР ЗОЛОТО"</t>
        </is>
      </c>
      <c r="F1194" s="1" t="inlineStr">
        <is>
          <t>2708001686</t>
        </is>
      </c>
      <c r="G1194" s="1" t="inlineStr">
        <is>
          <t>Электромеханик</t>
        </is>
      </c>
      <c r="H1194" s="1" t="inlineStr">
        <is>
          <t>ООО "Амур Золото"</t>
        </is>
      </c>
      <c r="I1194" s="1" t="inlineStr">
        <is>
          <t>2708001686</t>
        </is>
      </c>
      <c r="J1194" s="1" t="inlineStr">
        <is>
          <t>ОТ № ЮГОК ПГУ 24-06</t>
        </is>
      </c>
      <c r="K119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194" s="1" t="inlineStr">
        <is>
          <t>25.04.2024</t>
        </is>
      </c>
      <c r="M1194" s="1" t="inlineStr">
        <is>
          <t>Успешно</t>
        </is>
      </c>
      <c r="N1194" s="1" t="inlineStr">
        <is>
          <t>23.05.2024</t>
        </is>
      </c>
      <c r="O1194" s="1" t="inlineStr"/>
      <c r="P1194" s="1" t="inlineStr"/>
      <c r="Q1194" s="1" t="inlineStr">
        <is>
          <t>Пользовательский интерфейс</t>
        </is>
      </c>
    </row>
    <row r="1195">
      <c r="B1195" s="1" t="inlineStr">
        <is>
          <t>58069255</t>
        </is>
      </c>
      <c r="C1195" s="1" t="inlineStr">
        <is>
          <t>4506532</t>
        </is>
      </c>
      <c r="D1195" t="inlineStr">
        <is>
          <t>работник 349</t>
        </is>
      </c>
      <c r="E1195" s="1" t="inlineStr">
        <is>
          <t>ОБЩЕСТВО С ОГРАНИЧЕННОЙ ОТВЕТСТВЕННОСТЬЮ "АМУР ЗОЛОТО"</t>
        </is>
      </c>
      <c r="F1195" s="1" t="inlineStr">
        <is>
          <t>2708001686</t>
        </is>
      </c>
      <c r="G1195" s="1" t="inlineStr">
        <is>
          <t>Крепильщик</t>
        </is>
      </c>
      <c r="H1195" s="1" t="inlineStr">
        <is>
          <t>ООО "Амур Золото"</t>
        </is>
      </c>
      <c r="I1195" s="1" t="inlineStr">
        <is>
          <t>2708001686</t>
        </is>
      </c>
      <c r="J1195" s="1" t="inlineStr">
        <is>
          <t>ОТ № ЮГОК ПГУ 24-06</t>
        </is>
      </c>
      <c r="K1195" s="1" t="inlineStr">
        <is>
          <t>Оказание первой помощи пострадавшим</t>
        </is>
      </c>
      <c r="L1195" s="1" t="inlineStr">
        <is>
          <t>25.04.2024</t>
        </is>
      </c>
      <c r="M1195" s="1" t="inlineStr">
        <is>
          <t>Успешно</t>
        </is>
      </c>
      <c r="N1195" s="1" t="inlineStr">
        <is>
          <t>23.05.2024</t>
        </is>
      </c>
      <c r="O1195" s="1" t="inlineStr"/>
      <c r="P1195" s="1" t="inlineStr"/>
      <c r="Q1195" s="1" t="inlineStr">
        <is>
          <t>Пользовательский интерфейс</t>
        </is>
      </c>
    </row>
    <row r="1196">
      <c r="B1196" s="1" t="inlineStr">
        <is>
          <t>58069256</t>
        </is>
      </c>
      <c r="C1196" s="1" t="inlineStr">
        <is>
          <t>4506532</t>
        </is>
      </c>
      <c r="D1196" t="inlineStr">
        <is>
          <t>работник 349</t>
        </is>
      </c>
      <c r="E1196" s="1" t="inlineStr">
        <is>
          <t>ОБЩЕСТВО С ОГРАНИЧЕННОЙ ОТВЕТСТВЕННОСТЬЮ "АМУР ЗОЛОТО"</t>
        </is>
      </c>
      <c r="F1196" s="1" t="inlineStr">
        <is>
          <t>2708001686</t>
        </is>
      </c>
      <c r="G1196" s="1" t="inlineStr">
        <is>
          <t>Крепильщик</t>
        </is>
      </c>
      <c r="H1196" s="1" t="inlineStr">
        <is>
          <t>ООО "Амур Золото"</t>
        </is>
      </c>
      <c r="I1196" s="1" t="inlineStr">
        <is>
          <t>2708001686</t>
        </is>
      </c>
      <c r="J1196" s="1" t="inlineStr">
        <is>
          <t>ОТ № ЮГОК ПГУ 24-06</t>
        </is>
      </c>
      <c r="K1196" s="1" t="inlineStr">
        <is>
          <t>Использование (применение) средств индивидуальной защиты</t>
        </is>
      </c>
      <c r="L1196" s="1" t="inlineStr">
        <is>
          <t>25.04.2024</t>
        </is>
      </c>
      <c r="M1196" s="1" t="inlineStr">
        <is>
          <t>Успешно</t>
        </is>
      </c>
      <c r="N1196" s="1" t="inlineStr">
        <is>
          <t>23.05.2024</t>
        </is>
      </c>
      <c r="O1196" s="1" t="inlineStr"/>
      <c r="P1196" s="1" t="inlineStr"/>
      <c r="Q1196" s="1" t="inlineStr">
        <is>
          <t>Пользовательский интерфейс</t>
        </is>
      </c>
    </row>
    <row r="1197">
      <c r="B1197" s="1" t="inlineStr">
        <is>
          <t>58069257</t>
        </is>
      </c>
      <c r="C1197" s="1" t="inlineStr">
        <is>
          <t>4506532</t>
        </is>
      </c>
      <c r="D1197" t="inlineStr">
        <is>
          <t>работник 349</t>
        </is>
      </c>
      <c r="E1197" s="1" t="inlineStr">
        <is>
          <t>ОБЩЕСТВО С ОГРАНИЧЕННОЙ ОТВЕТСТВЕННОСТЬЮ "АМУР ЗОЛОТО"</t>
        </is>
      </c>
      <c r="F1197" s="1" t="inlineStr">
        <is>
          <t>2708001686</t>
        </is>
      </c>
      <c r="G1197" s="1" t="inlineStr">
        <is>
          <t>Крепильщик</t>
        </is>
      </c>
      <c r="H1197" s="1" t="inlineStr">
        <is>
          <t>ООО "Амур Золото"</t>
        </is>
      </c>
      <c r="I1197" s="1" t="inlineStr">
        <is>
          <t>2708001686</t>
        </is>
      </c>
      <c r="J1197" s="1" t="inlineStr">
        <is>
          <t>ОТ № ЮГОК ПГУ 24-06</t>
        </is>
      </c>
      <c r="K119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197" s="1" t="inlineStr">
        <is>
          <t>25.04.2024</t>
        </is>
      </c>
      <c r="M1197" s="1" t="inlineStr">
        <is>
          <t>Успешно</t>
        </is>
      </c>
      <c r="N1197" s="1" t="inlineStr">
        <is>
          <t>23.05.2024</t>
        </is>
      </c>
      <c r="O1197" s="1" t="inlineStr"/>
      <c r="P1197" s="1" t="inlineStr"/>
      <c r="Q1197" s="1" t="inlineStr">
        <is>
          <t>Пользовательский интерфейс</t>
        </is>
      </c>
    </row>
    <row r="1198">
      <c r="B1198" s="1" t="inlineStr">
        <is>
          <t>58069258</t>
        </is>
      </c>
      <c r="C1198" s="1" t="inlineStr">
        <is>
          <t>4506532</t>
        </is>
      </c>
      <c r="D1198" t="inlineStr">
        <is>
          <t>работник 350</t>
        </is>
      </c>
      <c r="E1198" s="1" t="inlineStr">
        <is>
          <t>ОБЩЕСТВО С ОГРАНИЧЕННОЙ ОТВЕТСТВЕННОСТЬЮ "АМУР ЗОЛОТО"</t>
        </is>
      </c>
      <c r="F1198" s="1" t="inlineStr">
        <is>
          <t>2708001686</t>
        </is>
      </c>
      <c r="G1198" s="1" t="inlineStr">
        <is>
          <t>Ламповщик</t>
        </is>
      </c>
      <c r="H1198" s="1" t="inlineStr">
        <is>
          <t>ООО "Амур Золото"</t>
        </is>
      </c>
      <c r="I1198" s="1" t="inlineStr">
        <is>
          <t>2708001686</t>
        </is>
      </c>
      <c r="J1198" s="1" t="inlineStr">
        <is>
          <t>ОТ № ЮГОК ПГУ 24-06</t>
        </is>
      </c>
      <c r="K1198" s="1" t="inlineStr">
        <is>
          <t>Оказание первой помощи пострадавшим</t>
        </is>
      </c>
      <c r="L1198" s="1" t="inlineStr">
        <is>
          <t>25.04.2024</t>
        </is>
      </c>
      <c r="M1198" s="1" t="inlineStr">
        <is>
          <t>Успешно</t>
        </is>
      </c>
      <c r="N1198" s="1" t="inlineStr">
        <is>
          <t>23.05.2024</t>
        </is>
      </c>
      <c r="O1198" s="1" t="inlineStr"/>
      <c r="P1198" s="1" t="inlineStr"/>
      <c r="Q1198" s="1" t="inlineStr">
        <is>
          <t>Пользовательский интерфейс</t>
        </is>
      </c>
    </row>
    <row r="1199">
      <c r="B1199" s="1" t="inlineStr">
        <is>
          <t>58069259</t>
        </is>
      </c>
      <c r="C1199" s="1" t="inlineStr">
        <is>
          <t>4506532</t>
        </is>
      </c>
      <c r="D1199" t="inlineStr">
        <is>
          <t>работник 350</t>
        </is>
      </c>
      <c r="E1199" s="1" t="inlineStr">
        <is>
          <t>ОБЩЕСТВО С ОГРАНИЧЕННОЙ ОТВЕТСТВЕННОСТЬЮ "АМУР ЗОЛОТО"</t>
        </is>
      </c>
      <c r="F1199" s="1" t="inlineStr">
        <is>
          <t>2708001686</t>
        </is>
      </c>
      <c r="G1199" s="1" t="inlineStr">
        <is>
          <t>Ламповщик</t>
        </is>
      </c>
      <c r="H1199" s="1" t="inlineStr">
        <is>
          <t>ООО "Амур Золото"</t>
        </is>
      </c>
      <c r="I1199" s="1" t="inlineStr">
        <is>
          <t>2708001686</t>
        </is>
      </c>
      <c r="J1199" s="1" t="inlineStr">
        <is>
          <t>ОТ № ЮГОК ПГУ 24-06</t>
        </is>
      </c>
      <c r="K1199" s="1" t="inlineStr">
        <is>
          <t>Использование (применение) средств индивидуальной защиты</t>
        </is>
      </c>
      <c r="L1199" s="1" t="inlineStr">
        <is>
          <t>25.04.2024</t>
        </is>
      </c>
      <c r="M1199" s="1" t="inlineStr">
        <is>
          <t>Успешно</t>
        </is>
      </c>
      <c r="N1199" s="1" t="inlineStr">
        <is>
          <t>23.05.2024</t>
        </is>
      </c>
      <c r="O1199" s="1" t="inlineStr"/>
      <c r="P1199" s="1" t="inlineStr"/>
      <c r="Q1199" s="1" t="inlineStr">
        <is>
          <t>Пользовательский интерфейс</t>
        </is>
      </c>
    </row>
    <row r="1200">
      <c r="B1200" s="1" t="inlineStr">
        <is>
          <t>58069260</t>
        </is>
      </c>
      <c r="C1200" s="1" t="inlineStr">
        <is>
          <t>4506532</t>
        </is>
      </c>
      <c r="D1200" t="inlineStr">
        <is>
          <t>работник 350</t>
        </is>
      </c>
      <c r="E1200" s="1" t="inlineStr">
        <is>
          <t>ОБЩЕСТВО С ОГРАНИЧЕННОЙ ОТВЕТСТВЕННОСТЬЮ "АМУР ЗОЛОТО"</t>
        </is>
      </c>
      <c r="F1200" s="1" t="inlineStr">
        <is>
          <t>2708001686</t>
        </is>
      </c>
      <c r="G1200" s="1" t="inlineStr">
        <is>
          <t>Ламповщик</t>
        </is>
      </c>
      <c r="H1200" s="1" t="inlineStr">
        <is>
          <t>ООО "Амур Золото"</t>
        </is>
      </c>
      <c r="I1200" s="1" t="inlineStr">
        <is>
          <t>2708001686</t>
        </is>
      </c>
      <c r="J1200" s="1" t="inlineStr">
        <is>
          <t>ОТ № ЮГОК ПГУ 24-06</t>
        </is>
      </c>
      <c r="K120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200" s="1" t="inlineStr">
        <is>
          <t>25.04.2024</t>
        </is>
      </c>
      <c r="M1200" s="1" t="inlineStr">
        <is>
          <t>Успешно</t>
        </is>
      </c>
      <c r="N1200" s="1" t="inlineStr">
        <is>
          <t>23.05.2024</t>
        </is>
      </c>
      <c r="O1200" s="1" t="inlineStr"/>
      <c r="P1200" s="1" t="inlineStr"/>
      <c r="Q1200" s="1" t="inlineStr">
        <is>
          <t>Пользовательский интерфейс</t>
        </is>
      </c>
    </row>
    <row r="1201">
      <c r="B1201" s="1" t="inlineStr">
        <is>
          <t>58069261</t>
        </is>
      </c>
      <c r="C1201" s="1" t="inlineStr">
        <is>
          <t>4506532</t>
        </is>
      </c>
      <c r="D1201" t="inlineStr">
        <is>
          <t>работник 351</t>
        </is>
      </c>
      <c r="E1201" s="1" t="inlineStr">
        <is>
          <t>ОБЩЕСТВО С ОГРАНИЧЕННОЙ ОТВЕТСТВЕННОСТЬЮ "АМУР ЗОЛОТО"</t>
        </is>
      </c>
      <c r="F1201" s="1" t="inlineStr">
        <is>
          <t>2708001686</t>
        </is>
      </c>
      <c r="G1201" s="1" t="inlineStr">
        <is>
          <t>Стропальщик (с исполнением обязанностей грузчика)</t>
        </is>
      </c>
      <c r="H1201" s="1" t="inlineStr">
        <is>
          <t>ООО "Амур Золото"</t>
        </is>
      </c>
      <c r="I1201" s="1" t="inlineStr">
        <is>
          <t>2708001686</t>
        </is>
      </c>
      <c r="J1201" s="1" t="inlineStr">
        <is>
          <t>ОТ № ЮГОК СК 24-03</t>
        </is>
      </c>
      <c r="K1201" s="1" t="inlineStr">
        <is>
          <t>Оказание первой помощи пострадавшим</t>
        </is>
      </c>
      <c r="L1201" s="1" t="inlineStr">
        <is>
          <t>15.04.2024</t>
        </is>
      </c>
      <c r="M1201" s="1" t="inlineStr">
        <is>
          <t>Успешно</t>
        </is>
      </c>
      <c r="N1201" s="1" t="inlineStr">
        <is>
          <t>23.05.2024</t>
        </is>
      </c>
      <c r="O1201" s="1" t="inlineStr"/>
      <c r="P1201" s="1" t="inlineStr"/>
      <c r="Q1201" s="1" t="inlineStr">
        <is>
          <t>Пользовательский интерфейс</t>
        </is>
      </c>
    </row>
    <row r="1202">
      <c r="B1202" s="1" t="inlineStr">
        <is>
          <t>58069262</t>
        </is>
      </c>
      <c r="C1202" s="1" t="inlineStr">
        <is>
          <t>4506532</t>
        </is>
      </c>
      <c r="D1202" t="inlineStr">
        <is>
          <t>работник 351</t>
        </is>
      </c>
      <c r="E1202" s="1" t="inlineStr">
        <is>
          <t>ОБЩЕСТВО С ОГРАНИЧЕННОЙ ОТВЕТСТВЕННОСТЬЮ "АМУР ЗОЛОТО"</t>
        </is>
      </c>
      <c r="F1202" s="1" t="inlineStr">
        <is>
          <t>2708001686</t>
        </is>
      </c>
      <c r="G1202" s="1" t="inlineStr">
        <is>
          <t>Стропальщик (с исполнением обязанностей грузчика)</t>
        </is>
      </c>
      <c r="H1202" s="1" t="inlineStr">
        <is>
          <t>ООО "Амур Золото"</t>
        </is>
      </c>
      <c r="I1202" s="1" t="inlineStr">
        <is>
          <t>2708001686</t>
        </is>
      </c>
      <c r="J1202" s="1" t="inlineStr">
        <is>
          <t>ОТ № ЮГОК СК 24-03</t>
        </is>
      </c>
      <c r="K1202" s="1" t="inlineStr">
        <is>
          <t>Использование (применение) средств индивидуальной защиты</t>
        </is>
      </c>
      <c r="L1202" s="1" t="inlineStr">
        <is>
          <t>15.04.2024</t>
        </is>
      </c>
      <c r="M1202" s="1" t="inlineStr">
        <is>
          <t>Успешно</t>
        </is>
      </c>
      <c r="N1202" s="1" t="inlineStr">
        <is>
          <t>23.05.2024</t>
        </is>
      </c>
      <c r="O1202" s="1" t="inlineStr"/>
      <c r="P1202" s="1" t="inlineStr"/>
      <c r="Q1202" s="1" t="inlineStr">
        <is>
          <t>Пользовательский интерфейс</t>
        </is>
      </c>
    </row>
    <row r="1203">
      <c r="B1203" s="1" t="inlineStr">
        <is>
          <t>58069263</t>
        </is>
      </c>
      <c r="C1203" s="1" t="inlineStr">
        <is>
          <t>4506532</t>
        </is>
      </c>
      <c r="D1203" t="inlineStr">
        <is>
          <t>работник 351</t>
        </is>
      </c>
      <c r="E1203" s="1" t="inlineStr">
        <is>
          <t>ОБЩЕСТВО С ОГРАНИЧЕННОЙ ОТВЕТСТВЕННОСТЬЮ "АМУР ЗОЛОТО"</t>
        </is>
      </c>
      <c r="F1203" s="1" t="inlineStr">
        <is>
          <t>2708001686</t>
        </is>
      </c>
      <c r="G1203" s="1" t="inlineStr">
        <is>
          <t>Стропальщик (с исполнением обязанностей грузчика)</t>
        </is>
      </c>
      <c r="H1203" s="1" t="inlineStr">
        <is>
          <t>ООО "Амур Золото"</t>
        </is>
      </c>
      <c r="I1203" s="1" t="inlineStr">
        <is>
          <t>2708001686</t>
        </is>
      </c>
      <c r="J1203" s="1" t="inlineStr">
        <is>
          <t>ОТ № ЮГОК СК 24-03</t>
        </is>
      </c>
      <c r="K120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203" s="1" t="inlineStr">
        <is>
          <t>15.04.2024</t>
        </is>
      </c>
      <c r="M1203" s="1" t="inlineStr">
        <is>
          <t>Успешно</t>
        </is>
      </c>
      <c r="N1203" s="1" t="inlineStr">
        <is>
          <t>23.05.2024</t>
        </is>
      </c>
      <c r="O1203" s="1" t="inlineStr"/>
      <c r="P1203" s="1" t="inlineStr"/>
      <c r="Q1203" s="1" t="inlineStr">
        <is>
          <t>Пользовательский интерфейс</t>
        </is>
      </c>
    </row>
    <row r="1204">
      <c r="B1204" s="1" t="inlineStr">
        <is>
          <t>58069264</t>
        </is>
      </c>
      <c r="C1204" s="1" t="inlineStr">
        <is>
          <t>4506532</t>
        </is>
      </c>
      <c r="D1204" t="inlineStr">
        <is>
          <t>работник 352</t>
        </is>
      </c>
      <c r="E1204" s="1" t="inlineStr">
        <is>
          <t>ОБЩЕСТВО С ОГРАНИЧЕННОЙ ОТВЕТСТВЕННОСТЬЮ "АМУР ЗОЛОТО"</t>
        </is>
      </c>
      <c r="F1204" s="1" t="inlineStr">
        <is>
          <t>2708001686</t>
        </is>
      </c>
      <c r="G1204" s="1" t="inlineStr">
        <is>
          <t>Подсобный рабочий</t>
        </is>
      </c>
      <c r="H1204" s="1" t="inlineStr">
        <is>
          <t>ООО "Амур Золото"</t>
        </is>
      </c>
      <c r="I1204" s="1" t="inlineStr">
        <is>
          <t>2708001686</t>
        </is>
      </c>
      <c r="J1204" s="1" t="inlineStr">
        <is>
          <t>ОТ № ЮГОК УОП 24-02</t>
        </is>
      </c>
      <c r="K1204" s="1" t="inlineStr">
        <is>
          <t>Оказание первой помощи пострадавшим</t>
        </is>
      </c>
      <c r="L1204" s="1" t="inlineStr">
        <is>
          <t>16.04.2024</t>
        </is>
      </c>
      <c r="M1204" s="1" t="inlineStr">
        <is>
          <t>Успешно</t>
        </is>
      </c>
      <c r="N1204" s="1" t="inlineStr">
        <is>
          <t>23.05.2024</t>
        </is>
      </c>
      <c r="O1204" s="1" t="inlineStr"/>
      <c r="P1204" s="1" t="inlineStr"/>
      <c r="Q1204" s="1" t="inlineStr">
        <is>
          <t>Пользовательский интерфейс</t>
        </is>
      </c>
    </row>
    <row r="1205">
      <c r="B1205" s="1" t="inlineStr">
        <is>
          <t>58069265</t>
        </is>
      </c>
      <c r="C1205" s="1" t="inlineStr">
        <is>
          <t>4506532</t>
        </is>
      </c>
      <c r="D1205" t="inlineStr">
        <is>
          <t>работник 352</t>
        </is>
      </c>
      <c r="E1205" s="1" t="inlineStr">
        <is>
          <t>ОБЩЕСТВО С ОГРАНИЧЕННОЙ ОТВЕТСТВЕННОСТЬЮ "АМУР ЗОЛОТО"</t>
        </is>
      </c>
      <c r="F1205" s="1" t="inlineStr">
        <is>
          <t>2708001686</t>
        </is>
      </c>
      <c r="G1205" s="1" t="inlineStr">
        <is>
          <t>Подсобный рабочий</t>
        </is>
      </c>
      <c r="H1205" s="1" t="inlineStr">
        <is>
          <t>ООО "Амур Золото"</t>
        </is>
      </c>
      <c r="I1205" s="1" t="inlineStr">
        <is>
          <t>2708001686</t>
        </is>
      </c>
      <c r="J1205" s="1" t="inlineStr">
        <is>
          <t>ОТ № ЮГОК УОП 24-02</t>
        </is>
      </c>
      <c r="K1205" s="1" t="inlineStr">
        <is>
          <t>Использование (применение) средств индивидуальной защиты</t>
        </is>
      </c>
      <c r="L1205" s="1" t="inlineStr">
        <is>
          <t>16.04.2024</t>
        </is>
      </c>
      <c r="M1205" s="1" t="inlineStr">
        <is>
          <t>Успешно</t>
        </is>
      </c>
      <c r="N1205" s="1" t="inlineStr">
        <is>
          <t>23.05.2024</t>
        </is>
      </c>
      <c r="O1205" s="1" t="inlineStr"/>
      <c r="P1205" s="1" t="inlineStr"/>
      <c r="Q1205" s="1" t="inlineStr">
        <is>
          <t>Пользовательский интерфейс</t>
        </is>
      </c>
    </row>
    <row r="1206">
      <c r="B1206" s="1" t="inlineStr">
        <is>
          <t>58069266</t>
        </is>
      </c>
      <c r="C1206" s="1" t="inlineStr">
        <is>
          <t>4506532</t>
        </is>
      </c>
      <c r="D1206" t="inlineStr">
        <is>
          <t>работник 352</t>
        </is>
      </c>
      <c r="E1206" s="1" t="inlineStr">
        <is>
          <t>ОБЩЕСТВО С ОГРАНИЧЕННОЙ ОТВЕТСТВЕННОСТЬЮ "АМУР ЗОЛОТО"</t>
        </is>
      </c>
      <c r="F1206" s="1" t="inlineStr">
        <is>
          <t>2708001686</t>
        </is>
      </c>
      <c r="G1206" s="1" t="inlineStr">
        <is>
          <t>Подсобный рабочий</t>
        </is>
      </c>
      <c r="H1206" s="1" t="inlineStr">
        <is>
          <t>ООО "Амур Золото"</t>
        </is>
      </c>
      <c r="I1206" s="1" t="inlineStr">
        <is>
          <t>2708001686</t>
        </is>
      </c>
      <c r="J1206" s="1" t="inlineStr">
        <is>
          <t>ОТ № ЮГОК УОП 24-02</t>
        </is>
      </c>
      <c r="K120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206" s="1" t="inlineStr">
        <is>
          <t>16.04.2024</t>
        </is>
      </c>
      <c r="M1206" s="1" t="inlineStr">
        <is>
          <t>Успешно</t>
        </is>
      </c>
      <c r="N1206" s="1" t="inlineStr">
        <is>
          <t>23.05.2024</t>
        </is>
      </c>
      <c r="O1206" s="1" t="inlineStr"/>
      <c r="P1206" s="1" t="inlineStr"/>
      <c r="Q1206" s="1" t="inlineStr">
        <is>
          <t>Пользовательский интерфейс</t>
        </is>
      </c>
    </row>
    <row r="1207">
      <c r="B1207" s="1" t="inlineStr">
        <is>
          <t>58069267</t>
        </is>
      </c>
      <c r="C1207" s="1" t="inlineStr">
        <is>
          <t>4506532</t>
        </is>
      </c>
      <c r="D1207" t="inlineStr">
        <is>
          <t>работник 353</t>
        </is>
      </c>
      <c r="E1207" s="1" t="inlineStr">
        <is>
          <t>ОБЩЕСТВО С ОГРАНИЧЕННОЙ ОТВЕТСТВЕННОСТЬЮ "АМУР ЗОЛОТО"</t>
        </is>
      </c>
      <c r="F1207" s="1" t="inlineStr">
        <is>
          <t>2708001686</t>
        </is>
      </c>
      <c r="G1207" s="1" t="inlineStr">
        <is>
          <t>Машинист двигателей внутреннего сгорания</t>
        </is>
      </c>
      <c r="H1207" s="1" t="inlineStr">
        <is>
          <t>ООО "Амур Золото"</t>
        </is>
      </c>
      <c r="I1207" s="1" t="inlineStr">
        <is>
          <t>2708001686</t>
        </is>
      </c>
      <c r="J1207" s="1" t="inlineStr">
        <is>
          <t>ОТ № ЮГОК ЭУ 24-16</t>
        </is>
      </c>
      <c r="K1207" s="1" t="inlineStr">
        <is>
          <t>Оказание первой помощи пострадавшим</t>
        </is>
      </c>
      <c r="L1207" s="1" t="inlineStr">
        <is>
          <t>12.04.2024</t>
        </is>
      </c>
      <c r="M1207" s="1" t="inlineStr">
        <is>
          <t>Успешно</t>
        </is>
      </c>
      <c r="N1207" s="1" t="inlineStr">
        <is>
          <t>23.05.2024</t>
        </is>
      </c>
      <c r="O1207" s="1" t="inlineStr"/>
      <c r="P1207" s="1" t="inlineStr"/>
      <c r="Q1207" s="1" t="inlineStr">
        <is>
          <t>Пользовательский интерфейс</t>
        </is>
      </c>
    </row>
    <row r="1208">
      <c r="B1208" s="1" t="inlineStr">
        <is>
          <t>58069268</t>
        </is>
      </c>
      <c r="C1208" s="1" t="inlineStr">
        <is>
          <t>4506532</t>
        </is>
      </c>
      <c r="D1208" t="inlineStr">
        <is>
          <t>работник 353</t>
        </is>
      </c>
      <c r="E1208" s="1" t="inlineStr">
        <is>
          <t>ОБЩЕСТВО С ОГРАНИЧЕННОЙ ОТВЕТСТВЕННОСТЬЮ "АМУР ЗОЛОТО"</t>
        </is>
      </c>
      <c r="F1208" s="1" t="inlineStr">
        <is>
          <t>2708001686</t>
        </is>
      </c>
      <c r="G1208" s="1" t="inlineStr">
        <is>
          <t>Машинист двигателей внутреннего сгорания</t>
        </is>
      </c>
      <c r="H1208" s="1" t="inlineStr">
        <is>
          <t>ООО "Амур Золото"</t>
        </is>
      </c>
      <c r="I1208" s="1" t="inlineStr">
        <is>
          <t>2708001686</t>
        </is>
      </c>
      <c r="J1208" s="1" t="inlineStr">
        <is>
          <t>ОТ № ЮГОК ЭУ 24-16</t>
        </is>
      </c>
      <c r="K1208" s="1" t="inlineStr">
        <is>
          <t>Использование (применение) средств индивидуальной защиты</t>
        </is>
      </c>
      <c r="L1208" s="1" t="inlineStr">
        <is>
          <t>12.04.2024</t>
        </is>
      </c>
      <c r="M1208" s="1" t="inlineStr">
        <is>
          <t>Успешно</t>
        </is>
      </c>
      <c r="N1208" s="1" t="inlineStr">
        <is>
          <t>23.05.2024</t>
        </is>
      </c>
      <c r="O1208" s="1" t="inlineStr"/>
      <c r="P1208" s="1" t="inlineStr"/>
      <c r="Q1208" s="1" t="inlineStr">
        <is>
          <t>Пользовательский интерфейс</t>
        </is>
      </c>
    </row>
    <row r="1209">
      <c r="B1209" s="1" t="inlineStr">
        <is>
          <t>58069269</t>
        </is>
      </c>
      <c r="C1209" s="1" t="inlineStr">
        <is>
          <t>4506532</t>
        </is>
      </c>
      <c r="D1209" t="inlineStr">
        <is>
          <t>работник 353</t>
        </is>
      </c>
      <c r="E1209" s="1" t="inlineStr">
        <is>
          <t>ОБЩЕСТВО С ОГРАНИЧЕННОЙ ОТВЕТСТВЕННОСТЬЮ "АМУР ЗОЛОТО"</t>
        </is>
      </c>
      <c r="F1209" s="1" t="inlineStr">
        <is>
          <t>2708001686</t>
        </is>
      </c>
      <c r="G1209" s="1" t="inlineStr">
        <is>
          <t>Машинист двигателей внутреннего сгорания</t>
        </is>
      </c>
      <c r="H1209" s="1" t="inlineStr">
        <is>
          <t>ООО "Амур Золото"</t>
        </is>
      </c>
      <c r="I1209" s="1" t="inlineStr">
        <is>
          <t>2708001686</t>
        </is>
      </c>
      <c r="J1209" s="1" t="inlineStr">
        <is>
          <t>ОТ № ЮГОК ЭУ 24-16</t>
        </is>
      </c>
      <c r="K120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209" s="1" t="inlineStr">
        <is>
          <t>12.04.2024</t>
        </is>
      </c>
      <c r="M1209" s="1" t="inlineStr">
        <is>
          <t>Успешно</t>
        </is>
      </c>
      <c r="N1209" s="1" t="inlineStr">
        <is>
          <t>23.05.2024</t>
        </is>
      </c>
      <c r="O1209" s="1" t="inlineStr"/>
      <c r="P1209" s="1" t="inlineStr"/>
      <c r="Q1209" s="1" t="inlineStr">
        <is>
          <t>Пользовательский интерфейс</t>
        </is>
      </c>
    </row>
    <row r="1210">
      <c r="B1210" s="1" t="inlineStr">
        <is>
          <t>58069270</t>
        </is>
      </c>
      <c r="C1210" s="1" t="inlineStr">
        <is>
          <t>4506532</t>
        </is>
      </c>
      <c r="D1210" t="inlineStr">
        <is>
          <t>работник 46</t>
        </is>
      </c>
      <c r="E1210" s="1" t="inlineStr">
        <is>
          <t>ОБЩЕСТВО С ОГРАНИЧЕННОЙ ОТВЕТСТВЕННОСТЬЮ "АМУР ЗОЛОТО"</t>
        </is>
      </c>
      <c r="F1210" s="1" t="inlineStr">
        <is>
          <t>2708001686</t>
        </is>
      </c>
      <c r="G1210" s="1" t="inlineStr">
        <is>
          <t>Машинист двигателей внутреннего сгорания</t>
        </is>
      </c>
      <c r="H1210" s="1" t="inlineStr">
        <is>
          <t>ООО "Амур Золото"</t>
        </is>
      </c>
      <c r="I1210" s="1" t="inlineStr">
        <is>
          <t>2708001686</t>
        </is>
      </c>
      <c r="J1210" s="1" t="inlineStr">
        <is>
          <t>ОТ № ЮГОК ЭУ 24-17</t>
        </is>
      </c>
      <c r="K1210" s="1" t="inlineStr">
        <is>
          <t>Оказание первой помощи пострадавшим</t>
        </is>
      </c>
      <c r="L1210" s="1" t="inlineStr">
        <is>
          <t>18.05.2024</t>
        </is>
      </c>
      <c r="M1210" s="1" t="inlineStr">
        <is>
          <t>Успешно</t>
        </is>
      </c>
      <c r="N1210" s="1" t="inlineStr">
        <is>
          <t>23.05.2024</t>
        </is>
      </c>
      <c r="O1210" s="1" t="inlineStr"/>
      <c r="P1210" s="1" t="inlineStr"/>
      <c r="Q1210" s="1" t="inlineStr">
        <is>
          <t>Пользовательский интерфейс</t>
        </is>
      </c>
    </row>
    <row r="1211">
      <c r="B1211" s="1" t="inlineStr">
        <is>
          <t>58069271</t>
        </is>
      </c>
      <c r="C1211" s="1" t="inlineStr">
        <is>
          <t>4506532</t>
        </is>
      </c>
      <c r="D1211" t="inlineStr">
        <is>
          <t>работник 46</t>
        </is>
      </c>
      <c r="E1211" s="1" t="inlineStr">
        <is>
          <t>ОБЩЕСТВО С ОГРАНИЧЕННОЙ ОТВЕТСТВЕННОСТЬЮ "АМУР ЗОЛОТО"</t>
        </is>
      </c>
      <c r="F1211" s="1" t="inlineStr">
        <is>
          <t>2708001686</t>
        </is>
      </c>
      <c r="G1211" s="1" t="inlineStr">
        <is>
          <t>Машинист двигателей внутреннего сгорания</t>
        </is>
      </c>
      <c r="H1211" s="1" t="inlineStr">
        <is>
          <t>ООО "Амур Золото"</t>
        </is>
      </c>
      <c r="I1211" s="1" t="inlineStr">
        <is>
          <t>2708001686</t>
        </is>
      </c>
      <c r="J1211" s="1" t="inlineStr">
        <is>
          <t>ОТ № ЮГОК ЭУ 24-17</t>
        </is>
      </c>
      <c r="K1211" s="1" t="inlineStr">
        <is>
          <t>Использование (применение) средств индивидуальной защиты</t>
        </is>
      </c>
      <c r="L1211" s="1" t="inlineStr">
        <is>
          <t>18.05.2024</t>
        </is>
      </c>
      <c r="M1211" s="1" t="inlineStr">
        <is>
          <t>Успешно</t>
        </is>
      </c>
      <c r="N1211" s="1" t="inlineStr">
        <is>
          <t>23.05.2024</t>
        </is>
      </c>
      <c r="O1211" s="1" t="inlineStr"/>
      <c r="P1211" s="1" t="inlineStr"/>
      <c r="Q1211" s="1" t="inlineStr">
        <is>
          <t>Пользовательский интерфейс</t>
        </is>
      </c>
    </row>
    <row r="1212">
      <c r="B1212" s="1" t="inlineStr">
        <is>
          <t>58069272</t>
        </is>
      </c>
      <c r="C1212" s="1" t="inlineStr">
        <is>
          <t>4506532</t>
        </is>
      </c>
      <c r="D1212" t="inlineStr">
        <is>
          <t>работник 46</t>
        </is>
      </c>
      <c r="E1212" s="1" t="inlineStr">
        <is>
          <t>ОБЩЕСТВО С ОГРАНИЧЕННОЙ ОТВЕТСТВЕННОСТЬЮ "АМУР ЗОЛОТО"</t>
        </is>
      </c>
      <c r="F1212" s="1" t="inlineStr">
        <is>
          <t>2708001686</t>
        </is>
      </c>
      <c r="G1212" s="1" t="inlineStr">
        <is>
          <t>Машинист двигателей внутреннего сгорания</t>
        </is>
      </c>
      <c r="H1212" s="1" t="inlineStr">
        <is>
          <t>ООО "Амур Золото"</t>
        </is>
      </c>
      <c r="I1212" s="1" t="inlineStr">
        <is>
          <t>2708001686</t>
        </is>
      </c>
      <c r="J1212" s="1" t="inlineStr">
        <is>
          <t>ОТ № ЮГОК ЭУ 24-17</t>
        </is>
      </c>
      <c r="K121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212" s="1" t="inlineStr">
        <is>
          <t>18.05.2024</t>
        </is>
      </c>
      <c r="M1212" s="1" t="inlineStr">
        <is>
          <t>Успешно</t>
        </is>
      </c>
      <c r="N1212" s="1" t="inlineStr">
        <is>
          <t>23.05.2024</t>
        </is>
      </c>
      <c r="O1212" s="1" t="inlineStr"/>
      <c r="P1212" s="1" t="inlineStr"/>
      <c r="Q1212" s="1" t="inlineStr">
        <is>
          <t>Пользовательский интерфейс</t>
        </is>
      </c>
    </row>
    <row r="1213">
      <c r="B1213" s="1" t="inlineStr">
        <is>
          <t>58069273</t>
        </is>
      </c>
      <c r="C1213" s="1" t="inlineStr">
        <is>
          <t>4506532</t>
        </is>
      </c>
      <c r="D1213" t="inlineStr">
        <is>
          <t>работник 177</t>
        </is>
      </c>
      <c r="E1213" s="1" t="inlineStr">
        <is>
          <t>ОБЩЕСТВО С ОГРАНИЧЕННОЙ ОТВЕТСТВЕННОСТЬЮ "АМУР ЗОЛОТО"</t>
        </is>
      </c>
      <c r="F1213" s="1" t="inlineStr">
        <is>
          <t>2708001686</t>
        </is>
      </c>
      <c r="G1213" s="1" t="inlineStr">
        <is>
          <t>Cлесарь-сантехник</t>
        </is>
      </c>
      <c r="H1213" s="1" t="inlineStr">
        <is>
          <t>ООО "Амур Золото"</t>
        </is>
      </c>
      <c r="I1213" s="1" t="inlineStr">
        <is>
          <t>2708001686</t>
        </is>
      </c>
      <c r="J1213" s="1" t="inlineStr">
        <is>
          <t>ОТ № ЮГОК ЭУ 24-18</t>
        </is>
      </c>
      <c r="K1213" s="1" t="inlineStr">
        <is>
          <t>Оказание первой помощи пострадавшим</t>
        </is>
      </c>
      <c r="L1213" s="1" t="inlineStr">
        <is>
          <t>18.05.2024</t>
        </is>
      </c>
      <c r="M1213" s="1" t="inlineStr">
        <is>
          <t>Успешно</t>
        </is>
      </c>
      <c r="N1213" s="1" t="inlineStr">
        <is>
          <t>23.05.2024</t>
        </is>
      </c>
      <c r="O1213" s="1" t="inlineStr"/>
      <c r="P1213" s="1" t="inlineStr"/>
      <c r="Q1213" s="1" t="inlineStr">
        <is>
          <t>Пользовательский интерфейс</t>
        </is>
      </c>
    </row>
    <row r="1214">
      <c r="B1214" s="1" t="inlineStr">
        <is>
          <t>58069274</t>
        </is>
      </c>
      <c r="C1214" s="1" t="inlineStr">
        <is>
          <t>4506532</t>
        </is>
      </c>
      <c r="D1214" t="inlineStr">
        <is>
          <t>работник 177</t>
        </is>
      </c>
      <c r="E1214" s="1" t="inlineStr">
        <is>
          <t>ОБЩЕСТВО С ОГРАНИЧЕННОЙ ОТВЕТСТВЕННОСТЬЮ "АМУР ЗОЛОТО"</t>
        </is>
      </c>
      <c r="F1214" s="1" t="inlineStr">
        <is>
          <t>2708001686</t>
        </is>
      </c>
      <c r="G1214" s="1" t="inlineStr">
        <is>
          <t>Cлесарь-сантехник</t>
        </is>
      </c>
      <c r="H1214" s="1" t="inlineStr">
        <is>
          <t>ООО "Амур Золото"</t>
        </is>
      </c>
      <c r="I1214" s="1" t="inlineStr">
        <is>
          <t>2708001686</t>
        </is>
      </c>
      <c r="J1214" s="1" t="inlineStr">
        <is>
          <t>ОТ № ЮГОК ЭУ 24-18</t>
        </is>
      </c>
      <c r="K1214" s="1" t="inlineStr">
        <is>
          <t>Использование (применение) средств индивидуальной защиты</t>
        </is>
      </c>
      <c r="L1214" s="1" t="inlineStr">
        <is>
          <t>18.05.2024</t>
        </is>
      </c>
      <c r="M1214" s="1" t="inlineStr">
        <is>
          <t>Успешно</t>
        </is>
      </c>
      <c r="N1214" s="1" t="inlineStr">
        <is>
          <t>23.05.2024</t>
        </is>
      </c>
      <c r="O1214" s="1" t="inlineStr"/>
      <c r="P1214" s="1" t="inlineStr"/>
      <c r="Q1214" s="1" t="inlineStr">
        <is>
          <t>Пользовательский интерфейс</t>
        </is>
      </c>
    </row>
    <row r="1215">
      <c r="B1215" s="1" t="inlineStr">
        <is>
          <t>58069275</t>
        </is>
      </c>
      <c r="C1215" s="1" t="inlineStr">
        <is>
          <t>4506532</t>
        </is>
      </c>
      <c r="D1215" t="inlineStr">
        <is>
          <t>работник 177</t>
        </is>
      </c>
      <c r="E1215" s="1" t="inlineStr">
        <is>
          <t>ОБЩЕСТВО С ОГРАНИЧЕННОЙ ОТВЕТСТВЕННОСТЬЮ "АМУР ЗОЛОТО"</t>
        </is>
      </c>
      <c r="F1215" s="1" t="inlineStr">
        <is>
          <t>2708001686</t>
        </is>
      </c>
      <c r="G1215" s="1" t="inlineStr">
        <is>
          <t>Cлесарь-сантехник</t>
        </is>
      </c>
      <c r="H1215" s="1" t="inlineStr">
        <is>
          <t>ООО "Амур Золото"</t>
        </is>
      </c>
      <c r="I1215" s="1" t="inlineStr">
        <is>
          <t>2708001686</t>
        </is>
      </c>
      <c r="J1215" s="1" t="inlineStr">
        <is>
          <t>ОТ № ЮГОК ЭУ 24-18</t>
        </is>
      </c>
      <c r="K121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215" s="1" t="inlineStr">
        <is>
          <t>18.05.2024</t>
        </is>
      </c>
      <c r="M1215" s="1" t="inlineStr">
        <is>
          <t>Успешно</t>
        </is>
      </c>
      <c r="N1215" s="1" t="inlineStr">
        <is>
          <t>23.05.2024</t>
        </is>
      </c>
      <c r="O1215" s="1" t="inlineStr"/>
      <c r="P1215" s="1" t="inlineStr"/>
      <c r="Q1215" s="1" t="inlineStr">
        <is>
          <t>Пользовательский интерфейс</t>
        </is>
      </c>
    </row>
    <row r="1216">
      <c r="B1216" s="1" t="inlineStr">
        <is>
          <t>66544953</t>
        </is>
      </c>
      <c r="C1216" s="1" t="inlineStr">
        <is>
          <t>5129076</t>
        </is>
      </c>
      <c r="D1216" t="inlineStr">
        <is>
          <t>работник 354</t>
        </is>
      </c>
      <c r="E1216" s="1" t="inlineStr">
        <is>
          <t>ОБЩЕСТВО С ОГРАНИЧЕННОЙ ОТВЕТСТВЕННОСТЬЮ "АМУР ЗОЛОТО"</t>
        </is>
      </c>
      <c r="F1216" s="1" t="inlineStr">
        <is>
          <t>2708001686</t>
        </is>
      </c>
      <c r="G1216" s="1" t="inlineStr">
        <is>
          <t>Водитель автомобиля (занятый на транспортировании горной массы в технологическом процессе)</t>
        </is>
      </c>
      <c r="H1216" s="1" t="inlineStr">
        <is>
          <t>ООО "Амур Золото"</t>
        </is>
      </c>
      <c r="I1216" s="1" t="inlineStr">
        <is>
          <t>2708001686</t>
        </is>
      </c>
      <c r="J1216" s="1" t="inlineStr">
        <is>
          <t>ОТ № ЮГОК АТЦ 24-05</t>
        </is>
      </c>
      <c r="K1216" s="1" t="inlineStr">
        <is>
          <t>Оказание первой помощи пострадавшим</t>
        </is>
      </c>
      <c r="L1216" s="1" t="inlineStr">
        <is>
          <t>30.06.2024</t>
        </is>
      </c>
      <c r="M1216" s="1" t="inlineStr">
        <is>
          <t>Успешно</t>
        </is>
      </c>
      <c r="N1216" s="1" t="inlineStr">
        <is>
          <t>10.07.2024</t>
        </is>
      </c>
      <c r="O1216" s="1" t="inlineStr"/>
      <c r="P1216" s="1" t="inlineStr"/>
      <c r="Q1216" s="1" t="inlineStr">
        <is>
          <t>Пользовательский интерфейс</t>
        </is>
      </c>
    </row>
    <row r="1217">
      <c r="B1217" s="1" t="inlineStr">
        <is>
          <t>66544954</t>
        </is>
      </c>
      <c r="C1217" s="1" t="inlineStr">
        <is>
          <t>5129076</t>
        </is>
      </c>
      <c r="D1217" t="inlineStr">
        <is>
          <t>работник 354</t>
        </is>
      </c>
      <c r="E1217" s="1" t="inlineStr">
        <is>
          <t>ОБЩЕСТВО С ОГРАНИЧЕННОЙ ОТВЕТСТВЕННОСТЬЮ "АМУР ЗОЛОТО"</t>
        </is>
      </c>
      <c r="F1217" s="1" t="inlineStr">
        <is>
          <t>2708001686</t>
        </is>
      </c>
      <c r="G1217" s="1" t="inlineStr">
        <is>
          <t>Водитель автомобиля (занятый на транспортировании горной массы в технологическом процессе)</t>
        </is>
      </c>
      <c r="H1217" s="1" t="inlineStr">
        <is>
          <t>ООО "Амур Золото"</t>
        </is>
      </c>
      <c r="I1217" s="1" t="inlineStr">
        <is>
          <t>2708001686</t>
        </is>
      </c>
      <c r="J1217" s="1" t="inlineStr">
        <is>
          <t>ОТ № ЮГОК АТЦ 24-05</t>
        </is>
      </c>
      <c r="K1217" s="1" t="inlineStr">
        <is>
          <t>Использование (применение) средств индивидуальной защиты</t>
        </is>
      </c>
      <c r="L1217" s="1" t="inlineStr">
        <is>
          <t>30.06.2024</t>
        </is>
      </c>
      <c r="M1217" s="1" t="inlineStr">
        <is>
          <t>Успешно</t>
        </is>
      </c>
      <c r="N1217" s="1" t="inlineStr">
        <is>
          <t>10.07.2024</t>
        </is>
      </c>
      <c r="O1217" s="1" t="inlineStr"/>
      <c r="P1217" s="1" t="inlineStr"/>
      <c r="Q1217" s="1" t="inlineStr">
        <is>
          <t>Пользовательский интерфейс</t>
        </is>
      </c>
    </row>
    <row r="1218">
      <c r="B1218" s="1" t="inlineStr">
        <is>
          <t>66544955</t>
        </is>
      </c>
      <c r="C1218" s="1" t="inlineStr">
        <is>
          <t>5129076</t>
        </is>
      </c>
      <c r="D1218" t="inlineStr">
        <is>
          <t>работник 354</t>
        </is>
      </c>
      <c r="E1218" s="1" t="inlineStr">
        <is>
          <t>ОБЩЕСТВО С ОГРАНИЧЕННОЙ ОТВЕТСТВЕННОСТЬЮ "АМУР ЗОЛОТО"</t>
        </is>
      </c>
      <c r="F1218" s="1" t="inlineStr">
        <is>
          <t>2708001686</t>
        </is>
      </c>
      <c r="G1218" s="1" t="inlineStr">
        <is>
          <t>Водитель автомобиля (занятый на транспортировании горной массы в технологическом процессе)</t>
        </is>
      </c>
      <c r="H1218" s="1" t="inlineStr">
        <is>
          <t>ООО "Амур Золото"</t>
        </is>
      </c>
      <c r="I1218" s="1" t="inlineStr">
        <is>
          <t>2708001686</t>
        </is>
      </c>
      <c r="J1218" s="1" t="inlineStr">
        <is>
          <t>ОТ № ЮГОК АТЦ 24-05</t>
        </is>
      </c>
      <c r="K121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218" s="1" t="inlineStr">
        <is>
          <t>30.06.2024</t>
        </is>
      </c>
      <c r="M1218" s="1" t="inlineStr">
        <is>
          <t>Успешно</t>
        </is>
      </c>
      <c r="N1218" s="1" t="inlineStr">
        <is>
          <t>10.07.2024</t>
        </is>
      </c>
      <c r="O1218" s="1" t="inlineStr"/>
      <c r="P1218" s="1" t="inlineStr"/>
      <c r="Q1218" s="1" t="inlineStr">
        <is>
          <t>Пользовательский интерфейс</t>
        </is>
      </c>
    </row>
    <row r="1219">
      <c r="B1219" s="1" t="inlineStr">
        <is>
          <t>66544956</t>
        </is>
      </c>
      <c r="C1219" s="1" t="inlineStr">
        <is>
          <t>5129076</t>
        </is>
      </c>
      <c r="D1219" t="inlineStr">
        <is>
          <t>работник 191</t>
        </is>
      </c>
      <c r="E1219" s="1" t="inlineStr">
        <is>
          <t>ОБЩЕСТВО С ОГРАНИЧЕННОЙ ОТВЕТСТВЕННОСТЬЮ "АМУР ЗОЛОТО"</t>
        </is>
      </c>
      <c r="F1219" s="1" t="inlineStr">
        <is>
          <t>2708001686</t>
        </is>
      </c>
      <c r="G1219" s="1" t="inlineStr">
        <is>
          <t>Водитель погрузчика</t>
        </is>
      </c>
      <c r="H1219" s="1" t="inlineStr">
        <is>
          <t>ООО "Амур Золото"</t>
        </is>
      </c>
      <c r="I1219" s="1" t="inlineStr">
        <is>
          <t>2708001686</t>
        </is>
      </c>
      <c r="J1219" s="1" t="inlineStr">
        <is>
          <t>ОТ № ЮГОК АТЦ 24-05</t>
        </is>
      </c>
      <c r="K1219" s="1" t="inlineStr">
        <is>
          <t>Оказание первой помощи пострадавшим</t>
        </is>
      </c>
      <c r="L1219" s="1" t="inlineStr">
        <is>
          <t>30.06.2024</t>
        </is>
      </c>
      <c r="M1219" s="1" t="inlineStr">
        <is>
          <t>Успешно</t>
        </is>
      </c>
      <c r="N1219" s="1" t="inlineStr">
        <is>
          <t>10.07.2024</t>
        </is>
      </c>
      <c r="O1219" s="1" t="inlineStr"/>
      <c r="P1219" s="1" t="inlineStr"/>
      <c r="Q1219" s="1" t="inlineStr">
        <is>
          <t>Пользовательский интерфейс</t>
        </is>
      </c>
    </row>
    <row r="1220">
      <c r="B1220" s="1" t="inlineStr">
        <is>
          <t>66544957</t>
        </is>
      </c>
      <c r="C1220" s="1" t="inlineStr">
        <is>
          <t>5129076</t>
        </is>
      </c>
      <c r="D1220" t="inlineStr">
        <is>
          <t>работник 191</t>
        </is>
      </c>
      <c r="E1220" s="1" t="inlineStr">
        <is>
          <t>ОБЩЕСТВО С ОГРАНИЧЕННОЙ ОТВЕТСТВЕННОСТЬЮ "АМУР ЗОЛОТО"</t>
        </is>
      </c>
      <c r="F1220" s="1" t="inlineStr">
        <is>
          <t>2708001686</t>
        </is>
      </c>
      <c r="G1220" s="1" t="inlineStr">
        <is>
          <t>Водитель погрузчика</t>
        </is>
      </c>
      <c r="H1220" s="1" t="inlineStr">
        <is>
          <t>ООО "Амур Золото"</t>
        </is>
      </c>
      <c r="I1220" s="1" t="inlineStr">
        <is>
          <t>2708001686</t>
        </is>
      </c>
      <c r="J1220" s="1" t="inlineStr">
        <is>
          <t>ОТ № ЮГОК АТЦ 24-05</t>
        </is>
      </c>
      <c r="K1220" s="1" t="inlineStr">
        <is>
          <t>Использование (применение) средств индивидуальной защиты</t>
        </is>
      </c>
      <c r="L1220" s="1" t="inlineStr">
        <is>
          <t>30.06.2024</t>
        </is>
      </c>
      <c r="M1220" s="1" t="inlineStr">
        <is>
          <t>Успешно</t>
        </is>
      </c>
      <c r="N1220" s="1" t="inlineStr">
        <is>
          <t>10.07.2024</t>
        </is>
      </c>
      <c r="O1220" s="1" t="inlineStr"/>
      <c r="P1220" s="1" t="inlineStr"/>
      <c r="Q1220" s="1" t="inlineStr">
        <is>
          <t>Пользовательский интерфейс</t>
        </is>
      </c>
    </row>
    <row r="1221">
      <c r="B1221" s="1" t="inlineStr">
        <is>
          <t>66544958</t>
        </is>
      </c>
      <c r="C1221" s="1" t="inlineStr">
        <is>
          <t>5129076</t>
        </is>
      </c>
      <c r="D1221" t="inlineStr">
        <is>
          <t>работник 191</t>
        </is>
      </c>
      <c r="E1221" s="1" t="inlineStr">
        <is>
          <t>ОБЩЕСТВО С ОГРАНИЧЕННОЙ ОТВЕТСТВЕННОСТЬЮ "АМУР ЗОЛОТО"</t>
        </is>
      </c>
      <c r="F1221" s="1" t="inlineStr">
        <is>
          <t>2708001686</t>
        </is>
      </c>
      <c r="G1221" s="1" t="inlineStr">
        <is>
          <t>Водитель погрузчика</t>
        </is>
      </c>
      <c r="H1221" s="1" t="inlineStr">
        <is>
          <t>ООО "Амур Золото"</t>
        </is>
      </c>
      <c r="I1221" s="1" t="inlineStr">
        <is>
          <t>2708001686</t>
        </is>
      </c>
      <c r="J1221" s="1" t="inlineStr">
        <is>
          <t>ОТ № ЮГОК АТЦ 24-05</t>
        </is>
      </c>
      <c r="K122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221" s="1" t="inlineStr">
        <is>
          <t>30.06.2024</t>
        </is>
      </c>
      <c r="M1221" s="1" t="inlineStr">
        <is>
          <t>Успешно</t>
        </is>
      </c>
      <c r="N1221" s="1" t="inlineStr">
        <is>
          <t>10.07.2024</t>
        </is>
      </c>
      <c r="O1221" s="1" t="inlineStr"/>
      <c r="P1221" s="1" t="inlineStr"/>
      <c r="Q1221" s="1" t="inlineStr">
        <is>
          <t>Пользовательский интерфейс</t>
        </is>
      </c>
    </row>
    <row r="1222">
      <c r="B1222" s="1" t="inlineStr">
        <is>
          <t>66544959</t>
        </is>
      </c>
      <c r="C1222" s="1" t="inlineStr">
        <is>
          <t>5129076</t>
        </is>
      </c>
      <c r="D1222" t="inlineStr">
        <is>
          <t>работник 355</t>
        </is>
      </c>
      <c r="E1222" s="1" t="inlineStr">
        <is>
          <t>ОБЩЕСТВО С ОГРАНИЧЕННОЙ ОТВЕТСТВЕННОСТЬЮ "АМУР ЗОЛОТО"</t>
        </is>
      </c>
      <c r="F1222" s="1" t="inlineStr">
        <is>
          <t>2708001686</t>
        </is>
      </c>
      <c r="G1222" s="1" t="inlineStr">
        <is>
          <t>Водитель автомобиля (категория D)</t>
        </is>
      </c>
      <c r="H1222" s="1" t="inlineStr">
        <is>
          <t>ООО "Амур Золото"</t>
        </is>
      </c>
      <c r="I1222" s="1" t="inlineStr">
        <is>
          <t>2708001686</t>
        </is>
      </c>
      <c r="J1222" s="1" t="inlineStr">
        <is>
          <t>ОТ № ЮГОК АТЦ 24-05</t>
        </is>
      </c>
      <c r="K1222" s="1" t="inlineStr">
        <is>
          <t>Оказание первой помощи пострадавшим</t>
        </is>
      </c>
      <c r="L1222" s="1" t="inlineStr">
        <is>
          <t>30.06.2024</t>
        </is>
      </c>
      <c r="M1222" s="1" t="inlineStr">
        <is>
          <t>Успешно</t>
        </is>
      </c>
      <c r="N1222" s="1" t="inlineStr">
        <is>
          <t>10.07.2024</t>
        </is>
      </c>
      <c r="O1222" s="1" t="inlineStr"/>
      <c r="P1222" s="1" t="inlineStr"/>
      <c r="Q1222" s="1" t="inlineStr">
        <is>
          <t>Пользовательский интерфейс</t>
        </is>
      </c>
    </row>
    <row r="1223">
      <c r="B1223" s="1" t="inlineStr">
        <is>
          <t>66544960</t>
        </is>
      </c>
      <c r="C1223" s="1" t="inlineStr">
        <is>
          <t>5129076</t>
        </is>
      </c>
      <c r="D1223" t="inlineStr">
        <is>
          <t>работник 355</t>
        </is>
      </c>
      <c r="E1223" s="1" t="inlineStr">
        <is>
          <t>ОБЩЕСТВО С ОГРАНИЧЕННОЙ ОТВЕТСТВЕННОСТЬЮ "АМУР ЗОЛОТО"</t>
        </is>
      </c>
      <c r="F1223" s="1" t="inlineStr">
        <is>
          <t>2708001686</t>
        </is>
      </c>
      <c r="G1223" s="1" t="inlineStr">
        <is>
          <t>Водитель автомобиля (категория D)</t>
        </is>
      </c>
      <c r="H1223" s="1" t="inlineStr">
        <is>
          <t>ООО "Амур Золото"</t>
        </is>
      </c>
      <c r="I1223" s="1" t="inlineStr">
        <is>
          <t>2708001686</t>
        </is>
      </c>
      <c r="J1223" s="1" t="inlineStr">
        <is>
          <t>ОТ № ЮГОК АТЦ 24-05</t>
        </is>
      </c>
      <c r="K1223" s="1" t="inlineStr">
        <is>
          <t>Использование (применение) средств индивидуальной защиты</t>
        </is>
      </c>
      <c r="L1223" s="1" t="inlineStr">
        <is>
          <t>30.06.2024</t>
        </is>
      </c>
      <c r="M1223" s="1" t="inlineStr">
        <is>
          <t>Успешно</t>
        </is>
      </c>
      <c r="N1223" s="1" t="inlineStr">
        <is>
          <t>10.07.2024</t>
        </is>
      </c>
      <c r="O1223" s="1" t="inlineStr"/>
      <c r="P1223" s="1" t="inlineStr"/>
      <c r="Q1223" s="1" t="inlineStr">
        <is>
          <t>Пользовательский интерфейс</t>
        </is>
      </c>
    </row>
    <row r="1224">
      <c r="B1224" s="1" t="inlineStr">
        <is>
          <t>66544961</t>
        </is>
      </c>
      <c r="C1224" s="1" t="inlineStr">
        <is>
          <t>5129076</t>
        </is>
      </c>
      <c r="D1224" t="inlineStr">
        <is>
          <t>работник 355</t>
        </is>
      </c>
      <c r="E1224" s="1" t="inlineStr">
        <is>
          <t>ОБЩЕСТВО С ОГРАНИЧЕННОЙ ОТВЕТСТВЕННОСТЬЮ "АМУР ЗОЛОТО"</t>
        </is>
      </c>
      <c r="F1224" s="1" t="inlineStr">
        <is>
          <t>2708001686</t>
        </is>
      </c>
      <c r="G1224" s="1" t="inlineStr">
        <is>
          <t>Водитель автомобиля (категория D)</t>
        </is>
      </c>
      <c r="H1224" s="1" t="inlineStr">
        <is>
          <t>ООО "Амур Золото"</t>
        </is>
      </c>
      <c r="I1224" s="1" t="inlineStr">
        <is>
          <t>2708001686</t>
        </is>
      </c>
      <c r="J1224" s="1" t="inlineStr">
        <is>
          <t>ОТ № ЮГОК АТЦ 24-05</t>
        </is>
      </c>
      <c r="K122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224" s="1" t="inlineStr">
        <is>
          <t>30.06.2024</t>
        </is>
      </c>
      <c r="M1224" s="1" t="inlineStr">
        <is>
          <t>Успешно</t>
        </is>
      </c>
      <c r="N1224" s="1" t="inlineStr">
        <is>
          <t>10.07.2024</t>
        </is>
      </c>
      <c r="O1224" s="1" t="inlineStr"/>
      <c r="P1224" s="1" t="inlineStr"/>
      <c r="Q1224" s="1" t="inlineStr">
        <is>
          <t>Пользовательский интерфейс</t>
        </is>
      </c>
    </row>
    <row r="1225">
      <c r="B1225" s="1" t="inlineStr">
        <is>
          <t>66544962</t>
        </is>
      </c>
      <c r="C1225" s="1" t="inlineStr">
        <is>
          <t>5129076</t>
        </is>
      </c>
      <c r="D1225" t="inlineStr">
        <is>
          <t>работник 356</t>
        </is>
      </c>
      <c r="E1225" s="1" t="inlineStr">
        <is>
          <t>ОБЩЕСТВО С ОГРАНИЧЕННОЙ ОТВЕТСТВЕННОСТЬЮ "АМУР ЗОЛОТО"</t>
        </is>
      </c>
      <c r="F1225" s="1" t="inlineStr">
        <is>
          <t>2708001686</t>
        </is>
      </c>
      <c r="G1225" s="1" t="inlineStr">
        <is>
          <t>Водитель погрузчика</t>
        </is>
      </c>
      <c r="H1225" s="1" t="inlineStr">
        <is>
          <t>ООО "Амур Золото"</t>
        </is>
      </c>
      <c r="I1225" s="1" t="inlineStr">
        <is>
          <t>2708001686</t>
        </is>
      </c>
      <c r="J1225" s="1" t="inlineStr">
        <is>
          <t>ОТ № ЮГОК АТЦ 24-05</t>
        </is>
      </c>
      <c r="K1225" s="1" t="inlineStr">
        <is>
          <t>Оказание первой помощи пострадавшим</t>
        </is>
      </c>
      <c r="L1225" s="1" t="inlineStr">
        <is>
          <t>30.06.2024</t>
        </is>
      </c>
      <c r="M1225" s="1" t="inlineStr">
        <is>
          <t>Успешно</t>
        </is>
      </c>
      <c r="N1225" s="1" t="inlineStr">
        <is>
          <t>10.07.2024</t>
        </is>
      </c>
      <c r="O1225" s="1" t="inlineStr"/>
      <c r="P1225" s="1" t="inlineStr"/>
      <c r="Q1225" s="1" t="inlineStr">
        <is>
          <t>Пользовательский интерфейс</t>
        </is>
      </c>
    </row>
    <row r="1226">
      <c r="B1226" s="1" t="inlineStr">
        <is>
          <t>66544963</t>
        </is>
      </c>
      <c r="C1226" s="1" t="inlineStr">
        <is>
          <t>5129076</t>
        </is>
      </c>
      <c r="D1226" t="inlineStr">
        <is>
          <t>работник 356</t>
        </is>
      </c>
      <c r="E1226" s="1" t="inlineStr">
        <is>
          <t>ОБЩЕСТВО С ОГРАНИЧЕННОЙ ОТВЕТСТВЕННОСТЬЮ "АМУР ЗОЛОТО"</t>
        </is>
      </c>
      <c r="F1226" s="1" t="inlineStr">
        <is>
          <t>2708001686</t>
        </is>
      </c>
      <c r="G1226" s="1" t="inlineStr">
        <is>
          <t>Водитель погрузчика</t>
        </is>
      </c>
      <c r="H1226" s="1" t="inlineStr">
        <is>
          <t>ООО "Амур Золото"</t>
        </is>
      </c>
      <c r="I1226" s="1" t="inlineStr">
        <is>
          <t>2708001686</t>
        </is>
      </c>
      <c r="J1226" s="1" t="inlineStr">
        <is>
          <t>ОТ № ЮГОК АТЦ 24-05</t>
        </is>
      </c>
      <c r="K1226" s="1" t="inlineStr">
        <is>
          <t>Использование (применение) средств индивидуальной защиты</t>
        </is>
      </c>
      <c r="L1226" s="1" t="inlineStr">
        <is>
          <t>30.06.2024</t>
        </is>
      </c>
      <c r="M1226" s="1" t="inlineStr">
        <is>
          <t>Успешно</t>
        </is>
      </c>
      <c r="N1226" s="1" t="inlineStr">
        <is>
          <t>10.07.2024</t>
        </is>
      </c>
      <c r="O1226" s="1" t="inlineStr"/>
      <c r="P1226" s="1" t="inlineStr"/>
      <c r="Q1226" s="1" t="inlineStr">
        <is>
          <t>Пользовательский интерфейс</t>
        </is>
      </c>
    </row>
    <row r="1227">
      <c r="B1227" s="1" t="inlineStr">
        <is>
          <t>66544964</t>
        </is>
      </c>
      <c r="C1227" s="1" t="inlineStr">
        <is>
          <t>5129076</t>
        </is>
      </c>
      <c r="D1227" t="inlineStr">
        <is>
          <t>работник 356</t>
        </is>
      </c>
      <c r="E1227" s="1" t="inlineStr">
        <is>
          <t>ОБЩЕСТВО С ОГРАНИЧЕННОЙ ОТВЕТСТВЕННОСТЬЮ "АМУР ЗОЛОТО"</t>
        </is>
      </c>
      <c r="F1227" s="1" t="inlineStr">
        <is>
          <t>2708001686</t>
        </is>
      </c>
      <c r="G1227" s="1" t="inlineStr">
        <is>
          <t>Водитель погрузчика</t>
        </is>
      </c>
      <c r="H1227" s="1" t="inlineStr">
        <is>
          <t>ООО "Амур Золото"</t>
        </is>
      </c>
      <c r="I1227" s="1" t="inlineStr">
        <is>
          <t>2708001686</t>
        </is>
      </c>
      <c r="J1227" s="1" t="inlineStr">
        <is>
          <t>ОТ № ЮГОК АТЦ 24-05</t>
        </is>
      </c>
      <c r="K122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227" s="1" t="inlineStr">
        <is>
          <t>30.06.2024</t>
        </is>
      </c>
      <c r="M1227" s="1" t="inlineStr">
        <is>
          <t>Успешно</t>
        </is>
      </c>
      <c r="N1227" s="1" t="inlineStr">
        <is>
          <t>10.07.2024</t>
        </is>
      </c>
      <c r="O1227" s="1" t="inlineStr"/>
      <c r="P1227" s="1" t="inlineStr"/>
      <c r="Q1227" s="1" t="inlineStr">
        <is>
          <t>Пользовательский интерфейс</t>
        </is>
      </c>
    </row>
    <row r="1228">
      <c r="B1228" s="1" t="inlineStr">
        <is>
          <t>66544965</t>
        </is>
      </c>
      <c r="C1228" s="1" t="inlineStr">
        <is>
          <t>5129076</t>
        </is>
      </c>
      <c r="D1228" t="inlineStr">
        <is>
          <t>работник 357</t>
        </is>
      </c>
      <c r="E1228" s="1" t="inlineStr">
        <is>
          <t>ОБЩЕСТВО С ОГРАНИЧЕННОЙ ОТВЕТСТВЕННОСТЬЮ "АМУР ЗОЛОТО"</t>
        </is>
      </c>
      <c r="F1228" s="1" t="inlineStr">
        <is>
          <t>2708001686</t>
        </is>
      </c>
      <c r="G1228" s="1" t="inlineStr">
        <is>
          <t>Водитель автомобиля (занятый на транспортировании горной массы в технологическом процессе)</t>
        </is>
      </c>
      <c r="H1228" s="1" t="inlineStr">
        <is>
          <t>ООО "Амур Золото"</t>
        </is>
      </c>
      <c r="I1228" s="1" t="inlineStr">
        <is>
          <t>2708001686</t>
        </is>
      </c>
      <c r="J1228" s="1" t="inlineStr">
        <is>
          <t>ОТ № ЮГОК АТЦ 24-05</t>
        </is>
      </c>
      <c r="K1228" s="1" t="inlineStr">
        <is>
          <t>Оказание первой помощи пострадавшим</t>
        </is>
      </c>
      <c r="L1228" s="1" t="inlineStr">
        <is>
          <t>30.06.2024</t>
        </is>
      </c>
      <c r="M1228" s="1" t="inlineStr">
        <is>
          <t>Успешно</t>
        </is>
      </c>
      <c r="N1228" s="1" t="inlineStr">
        <is>
          <t>10.07.2024</t>
        </is>
      </c>
      <c r="O1228" s="1" t="inlineStr"/>
      <c r="P1228" s="1" t="inlineStr"/>
      <c r="Q1228" s="1" t="inlineStr">
        <is>
          <t>Пользовательский интерфейс</t>
        </is>
      </c>
    </row>
    <row r="1229">
      <c r="B1229" s="1" t="inlineStr">
        <is>
          <t>66544966</t>
        </is>
      </c>
      <c r="C1229" s="1" t="inlineStr">
        <is>
          <t>5129076</t>
        </is>
      </c>
      <c r="D1229" t="inlineStr">
        <is>
          <t>работник 357</t>
        </is>
      </c>
      <c r="E1229" s="1" t="inlineStr">
        <is>
          <t>ОБЩЕСТВО С ОГРАНИЧЕННОЙ ОТВЕТСТВЕННОСТЬЮ "АМУР ЗОЛОТО"</t>
        </is>
      </c>
      <c r="F1229" s="1" t="inlineStr">
        <is>
          <t>2708001686</t>
        </is>
      </c>
      <c r="G1229" s="1" t="inlineStr">
        <is>
          <t>Водитель автомобиля (занятый на транспортировании горной массы в технологическом процессе)</t>
        </is>
      </c>
      <c r="H1229" s="1" t="inlineStr">
        <is>
          <t>ООО "Амур Золото"</t>
        </is>
      </c>
      <c r="I1229" s="1" t="inlineStr">
        <is>
          <t>2708001686</t>
        </is>
      </c>
      <c r="J1229" s="1" t="inlineStr">
        <is>
          <t>ОТ № ЮГОК АТЦ 24-05</t>
        </is>
      </c>
      <c r="K1229" s="1" t="inlineStr">
        <is>
          <t>Использование (применение) средств индивидуальной защиты</t>
        </is>
      </c>
      <c r="L1229" s="1" t="inlineStr">
        <is>
          <t>30.06.2024</t>
        </is>
      </c>
      <c r="M1229" s="1" t="inlineStr">
        <is>
          <t>Успешно</t>
        </is>
      </c>
      <c r="N1229" s="1" t="inlineStr">
        <is>
          <t>10.07.2024</t>
        </is>
      </c>
      <c r="O1229" s="1" t="inlineStr"/>
      <c r="P1229" s="1" t="inlineStr"/>
      <c r="Q1229" s="1" t="inlineStr">
        <is>
          <t>Пользовательский интерфейс</t>
        </is>
      </c>
    </row>
    <row r="1230">
      <c r="B1230" s="1" t="inlineStr">
        <is>
          <t>66544967</t>
        </is>
      </c>
      <c r="C1230" s="1" t="inlineStr">
        <is>
          <t>5129076</t>
        </is>
      </c>
      <c r="D1230" t="inlineStr">
        <is>
          <t>работник 357</t>
        </is>
      </c>
      <c r="E1230" s="1" t="inlineStr">
        <is>
          <t>ОБЩЕСТВО С ОГРАНИЧЕННОЙ ОТВЕТСТВЕННОСТЬЮ "АМУР ЗОЛОТО"</t>
        </is>
      </c>
      <c r="F1230" s="1" t="inlineStr">
        <is>
          <t>2708001686</t>
        </is>
      </c>
      <c r="G1230" s="1" t="inlineStr">
        <is>
          <t>Водитель автомобиля (занятый на транспортировании горной массы в технологическом процессе)</t>
        </is>
      </c>
      <c r="H1230" s="1" t="inlineStr">
        <is>
          <t>ООО "Амур Золото"</t>
        </is>
      </c>
      <c r="I1230" s="1" t="inlineStr">
        <is>
          <t>2708001686</t>
        </is>
      </c>
      <c r="J1230" s="1" t="inlineStr">
        <is>
          <t>ОТ № ЮГОК АТЦ 24-05</t>
        </is>
      </c>
      <c r="K123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230" s="1" t="inlineStr">
        <is>
          <t>30.06.2024</t>
        </is>
      </c>
      <c r="M1230" s="1" t="inlineStr">
        <is>
          <t>Успешно</t>
        </is>
      </c>
      <c r="N1230" s="1" t="inlineStr">
        <is>
          <t>10.07.2024</t>
        </is>
      </c>
      <c r="O1230" s="1" t="inlineStr"/>
      <c r="P1230" s="1" t="inlineStr"/>
      <c r="Q1230" s="1" t="inlineStr">
        <is>
          <t>Пользовательский интерфейс</t>
        </is>
      </c>
    </row>
    <row r="1231">
      <c r="B1231" s="1" t="inlineStr">
        <is>
          <t>66544968</t>
        </is>
      </c>
      <c r="C1231" s="1" t="inlineStr">
        <is>
          <t>5129076</t>
        </is>
      </c>
      <c r="D1231" t="inlineStr">
        <is>
          <t>работник 358</t>
        </is>
      </c>
      <c r="E1231" s="1" t="inlineStr">
        <is>
          <t>ОБЩЕСТВО С ОГРАНИЧЕННОЙ ОТВЕТСТВЕННОСТЬЮ "АМУР ЗОЛОТО"</t>
        </is>
      </c>
      <c r="F1231" s="1" t="inlineStr">
        <is>
          <t>2708001686</t>
        </is>
      </c>
      <c r="G1231" s="1" t="inlineStr">
        <is>
          <t>Водитель погрузчика</t>
        </is>
      </c>
      <c r="H1231" s="1" t="inlineStr">
        <is>
          <t>ООО "Амур Золото"</t>
        </is>
      </c>
      <c r="I1231" s="1" t="inlineStr">
        <is>
          <t>2708001686</t>
        </is>
      </c>
      <c r="J1231" s="1" t="inlineStr">
        <is>
          <t>ОТ № ЮГОК АТЦ 24-05</t>
        </is>
      </c>
      <c r="K1231" s="1" t="inlineStr">
        <is>
          <t>Оказание первой помощи пострадавшим</t>
        </is>
      </c>
      <c r="L1231" s="1" t="inlineStr">
        <is>
          <t>30.06.2024</t>
        </is>
      </c>
      <c r="M1231" s="1" t="inlineStr">
        <is>
          <t>Успешно</t>
        </is>
      </c>
      <c r="N1231" s="1" t="inlineStr">
        <is>
          <t>10.07.2024</t>
        </is>
      </c>
      <c r="O1231" s="1" t="inlineStr"/>
      <c r="P1231" s="1" t="inlineStr"/>
      <c r="Q1231" s="1" t="inlineStr">
        <is>
          <t>Пользовательский интерфейс</t>
        </is>
      </c>
    </row>
    <row r="1232">
      <c r="B1232" s="1" t="inlineStr">
        <is>
          <t>66544969</t>
        </is>
      </c>
      <c r="C1232" s="1" t="inlineStr">
        <is>
          <t>5129076</t>
        </is>
      </c>
      <c r="D1232" t="inlineStr">
        <is>
          <t>работник 358</t>
        </is>
      </c>
      <c r="E1232" s="1" t="inlineStr">
        <is>
          <t>ОБЩЕСТВО С ОГРАНИЧЕННОЙ ОТВЕТСТВЕННОСТЬЮ "АМУР ЗОЛОТО"</t>
        </is>
      </c>
      <c r="F1232" s="1" t="inlineStr">
        <is>
          <t>2708001686</t>
        </is>
      </c>
      <c r="G1232" s="1" t="inlineStr">
        <is>
          <t>Водитель погрузчика</t>
        </is>
      </c>
      <c r="H1232" s="1" t="inlineStr">
        <is>
          <t>ООО "Амур Золото"</t>
        </is>
      </c>
      <c r="I1232" s="1" t="inlineStr">
        <is>
          <t>2708001686</t>
        </is>
      </c>
      <c r="J1232" s="1" t="inlineStr">
        <is>
          <t>ОТ № ЮГОК АТЦ 24-05</t>
        </is>
      </c>
      <c r="K1232" s="1" t="inlineStr">
        <is>
          <t>Использование (применение) средств индивидуальной защиты</t>
        </is>
      </c>
      <c r="L1232" s="1" t="inlineStr">
        <is>
          <t>30.06.2024</t>
        </is>
      </c>
      <c r="M1232" s="1" t="inlineStr">
        <is>
          <t>Успешно</t>
        </is>
      </c>
      <c r="N1232" s="1" t="inlineStr">
        <is>
          <t>10.07.2024</t>
        </is>
      </c>
      <c r="O1232" s="1" t="inlineStr"/>
      <c r="P1232" s="1" t="inlineStr"/>
      <c r="Q1232" s="1" t="inlineStr">
        <is>
          <t>Пользовательский интерфейс</t>
        </is>
      </c>
    </row>
    <row r="1233">
      <c r="B1233" s="1" t="inlineStr">
        <is>
          <t>66544970</t>
        </is>
      </c>
      <c r="C1233" s="1" t="inlineStr">
        <is>
          <t>5129076</t>
        </is>
      </c>
      <c r="D1233" t="inlineStr">
        <is>
          <t>работник 358</t>
        </is>
      </c>
      <c r="E1233" s="1" t="inlineStr">
        <is>
          <t>ОБЩЕСТВО С ОГРАНИЧЕННОЙ ОТВЕТСТВЕННОСТЬЮ "АМУР ЗОЛОТО"</t>
        </is>
      </c>
      <c r="F1233" s="1" t="inlineStr">
        <is>
          <t>2708001686</t>
        </is>
      </c>
      <c r="G1233" s="1" t="inlineStr">
        <is>
          <t>Водитель погрузчика</t>
        </is>
      </c>
      <c r="H1233" s="1" t="inlineStr">
        <is>
          <t>ООО "Амур Золото"</t>
        </is>
      </c>
      <c r="I1233" s="1" t="inlineStr">
        <is>
          <t>2708001686</t>
        </is>
      </c>
      <c r="J1233" s="1" t="inlineStr">
        <is>
          <t>ОТ № ЮГОК АТЦ 24-05</t>
        </is>
      </c>
      <c r="K123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233" s="1" t="inlineStr">
        <is>
          <t>30.06.2024</t>
        </is>
      </c>
      <c r="M1233" s="1" t="inlineStr">
        <is>
          <t>Успешно</t>
        </is>
      </c>
      <c r="N1233" s="1" t="inlineStr">
        <is>
          <t>10.07.2024</t>
        </is>
      </c>
      <c r="O1233" s="1" t="inlineStr"/>
      <c r="P1233" s="1" t="inlineStr"/>
      <c r="Q1233" s="1" t="inlineStr">
        <is>
          <t>Пользовательский интерфейс</t>
        </is>
      </c>
    </row>
    <row r="1234">
      <c r="B1234" s="1" t="inlineStr">
        <is>
          <t>66544971</t>
        </is>
      </c>
      <c r="C1234" s="1" t="inlineStr">
        <is>
          <t>5129076</t>
        </is>
      </c>
      <c r="D1234" t="inlineStr">
        <is>
          <t>работник 359</t>
        </is>
      </c>
      <c r="E1234" s="1" t="inlineStr">
        <is>
          <t>ОБЩЕСТВО С ОГРАНИЧЕННОЙ ОТВЕТСТВЕННОСТЬЮ "АМУР ЗОЛОТО"</t>
        </is>
      </c>
      <c r="F1234" s="1" t="inlineStr">
        <is>
          <t>2708001686</t>
        </is>
      </c>
      <c r="G1234" s="1" t="inlineStr">
        <is>
          <t>Дробильщик</t>
        </is>
      </c>
      <c r="H1234" s="1" t="inlineStr">
        <is>
          <t>ООО "Амур Золото"</t>
        </is>
      </c>
      <c r="I1234" s="1" t="inlineStr">
        <is>
          <t>2708001686</t>
        </is>
      </c>
      <c r="J1234" s="1" t="inlineStr">
        <is>
          <t>ОТ № ЮГОК ПАЛ 24-04</t>
        </is>
      </c>
      <c r="K1234" s="1" t="inlineStr">
        <is>
          <t>Оказание первой помощи пострадавшим</t>
        </is>
      </c>
      <c r="L1234" s="1" t="inlineStr">
        <is>
          <t>29.06.2024</t>
        </is>
      </c>
      <c r="M1234" s="1" t="inlineStr">
        <is>
          <t>Успешно</t>
        </is>
      </c>
      <c r="N1234" s="1" t="inlineStr">
        <is>
          <t>10.07.2024</t>
        </is>
      </c>
      <c r="O1234" s="1" t="inlineStr"/>
      <c r="P1234" s="1" t="inlineStr"/>
      <c r="Q1234" s="1" t="inlineStr">
        <is>
          <t>Пользовательский интерфейс</t>
        </is>
      </c>
    </row>
    <row r="1235">
      <c r="B1235" s="1" t="inlineStr">
        <is>
          <t>66544972</t>
        </is>
      </c>
      <c r="C1235" s="1" t="inlineStr">
        <is>
          <t>5129076</t>
        </is>
      </c>
      <c r="D1235" t="inlineStr">
        <is>
          <t>работник 359</t>
        </is>
      </c>
      <c r="E1235" s="1" t="inlineStr">
        <is>
          <t>ОБЩЕСТВО С ОГРАНИЧЕННОЙ ОТВЕТСТВЕННОСТЬЮ "АМУР ЗОЛОТО"</t>
        </is>
      </c>
      <c r="F1235" s="1" t="inlineStr">
        <is>
          <t>2708001686</t>
        </is>
      </c>
      <c r="G1235" s="1" t="inlineStr">
        <is>
          <t>Дробильщик</t>
        </is>
      </c>
      <c r="H1235" s="1" t="inlineStr">
        <is>
          <t>ООО "Амур Золото"</t>
        </is>
      </c>
      <c r="I1235" s="1" t="inlineStr">
        <is>
          <t>2708001686</t>
        </is>
      </c>
      <c r="J1235" s="1" t="inlineStr">
        <is>
          <t>ОТ № ЮГОК ПАЛ 24-04</t>
        </is>
      </c>
      <c r="K1235" s="1" t="inlineStr">
        <is>
          <t>Использование (применение) средств индивидуальной защиты</t>
        </is>
      </c>
      <c r="L1235" s="1" t="inlineStr">
        <is>
          <t>29.06.2024</t>
        </is>
      </c>
      <c r="M1235" s="1" t="inlineStr">
        <is>
          <t>Успешно</t>
        </is>
      </c>
      <c r="N1235" s="1" t="inlineStr">
        <is>
          <t>10.07.2024</t>
        </is>
      </c>
      <c r="O1235" s="1" t="inlineStr"/>
      <c r="P1235" s="1" t="inlineStr"/>
      <c r="Q1235" s="1" t="inlineStr">
        <is>
          <t>Пользовательский интерфейс</t>
        </is>
      </c>
    </row>
    <row r="1236">
      <c r="B1236" s="1" t="inlineStr">
        <is>
          <t>66544973</t>
        </is>
      </c>
      <c r="C1236" s="1" t="inlineStr">
        <is>
          <t>5129076</t>
        </is>
      </c>
      <c r="D1236" t="inlineStr">
        <is>
          <t>работник 359</t>
        </is>
      </c>
      <c r="E1236" s="1" t="inlineStr">
        <is>
          <t>ОБЩЕСТВО С ОГРАНИЧЕННОЙ ОТВЕТСТВЕННОСТЬЮ "АМУР ЗОЛОТО"</t>
        </is>
      </c>
      <c r="F1236" s="1" t="inlineStr">
        <is>
          <t>2708001686</t>
        </is>
      </c>
      <c r="G1236" s="1" t="inlineStr">
        <is>
          <t>Дробильщик</t>
        </is>
      </c>
      <c r="H1236" s="1" t="inlineStr">
        <is>
          <t>ООО "Амур Золото"</t>
        </is>
      </c>
      <c r="I1236" s="1" t="inlineStr">
        <is>
          <t>2708001686</t>
        </is>
      </c>
      <c r="J1236" s="1" t="inlineStr">
        <is>
          <t>ОТ № ЮГОК ПАЛ 24-04</t>
        </is>
      </c>
      <c r="K123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236" s="1" t="inlineStr">
        <is>
          <t>29.06.2024</t>
        </is>
      </c>
      <c r="M1236" s="1" t="inlineStr">
        <is>
          <t>Успешно</t>
        </is>
      </c>
      <c r="N1236" s="1" t="inlineStr">
        <is>
          <t>10.07.2024</t>
        </is>
      </c>
      <c r="O1236" s="1" t="inlineStr"/>
      <c r="P1236" s="1" t="inlineStr"/>
      <c r="Q1236" s="1" t="inlineStr">
        <is>
          <t>Пользовательский интерфейс</t>
        </is>
      </c>
    </row>
    <row r="1237">
      <c r="B1237" s="1" t="inlineStr">
        <is>
          <t>66544974</t>
        </is>
      </c>
      <c r="C1237" s="1" t="inlineStr">
        <is>
          <t>5129076</t>
        </is>
      </c>
      <c r="D1237" t="inlineStr">
        <is>
          <t>работник 360</t>
        </is>
      </c>
      <c r="E1237" s="1" t="inlineStr">
        <is>
          <t>ОБЩЕСТВО С ОГРАНИЧЕННОЙ ОТВЕТСТВЕННОСТЬЮ "АМУР ЗОЛОТО"</t>
        </is>
      </c>
      <c r="F1237" s="1" t="inlineStr">
        <is>
          <t>2708001686</t>
        </is>
      </c>
      <c r="G1237" s="1" t="inlineStr">
        <is>
          <t>Стропальщик (с исполнением обязанностей грузчика)</t>
        </is>
      </c>
      <c r="H1237" s="1" t="inlineStr">
        <is>
          <t>ООО "Амур Золото"</t>
        </is>
      </c>
      <c r="I1237" s="1" t="inlineStr">
        <is>
          <t>2708001686</t>
        </is>
      </c>
      <c r="J1237" s="1" t="inlineStr">
        <is>
          <t>ОТ № ЮГОК СК 24-04</t>
        </is>
      </c>
      <c r="K1237" s="1" t="inlineStr">
        <is>
          <t>Оказание первой помощи пострадавшим</t>
        </is>
      </c>
      <c r="L1237" s="1" t="inlineStr">
        <is>
          <t>23.04.2024</t>
        </is>
      </c>
      <c r="M1237" s="1" t="inlineStr">
        <is>
          <t>Успешно</t>
        </is>
      </c>
      <c r="N1237" s="1" t="inlineStr">
        <is>
          <t>10.07.2024</t>
        </is>
      </c>
      <c r="O1237" s="1" t="inlineStr"/>
      <c r="P1237" s="1" t="inlineStr"/>
      <c r="Q1237" s="1" t="inlineStr">
        <is>
          <t>Пользовательский интерфейс</t>
        </is>
      </c>
    </row>
    <row r="1238">
      <c r="B1238" s="1" t="inlineStr">
        <is>
          <t>66544975</t>
        </is>
      </c>
      <c r="C1238" s="1" t="inlineStr">
        <is>
          <t>5129076</t>
        </is>
      </c>
      <c r="D1238" t="inlineStr">
        <is>
          <t>работник 360</t>
        </is>
      </c>
      <c r="E1238" s="1" t="inlineStr">
        <is>
          <t>ОБЩЕСТВО С ОГРАНИЧЕННОЙ ОТВЕТСТВЕННОСТЬЮ "АМУР ЗОЛОТО"</t>
        </is>
      </c>
      <c r="F1238" s="1" t="inlineStr">
        <is>
          <t>2708001686</t>
        </is>
      </c>
      <c r="G1238" s="1" t="inlineStr">
        <is>
          <t>Стропальщик (с исполнением обязанностей грузчика)</t>
        </is>
      </c>
      <c r="H1238" s="1" t="inlineStr">
        <is>
          <t>ООО "Амур Золото"</t>
        </is>
      </c>
      <c r="I1238" s="1" t="inlineStr">
        <is>
          <t>2708001686</t>
        </is>
      </c>
      <c r="J1238" s="1" t="inlineStr">
        <is>
          <t>ОТ № ЮГОК СК 24-04</t>
        </is>
      </c>
      <c r="K1238" s="1" t="inlineStr">
        <is>
          <t>Использование (применение) средств индивидуальной защиты</t>
        </is>
      </c>
      <c r="L1238" s="1" t="inlineStr">
        <is>
          <t>23.04.2024</t>
        </is>
      </c>
      <c r="M1238" s="1" t="inlineStr">
        <is>
          <t>Успешно</t>
        </is>
      </c>
      <c r="N1238" s="1" t="inlineStr">
        <is>
          <t>10.07.2024</t>
        </is>
      </c>
      <c r="O1238" s="1" t="inlineStr"/>
      <c r="P1238" s="1" t="inlineStr"/>
      <c r="Q1238" s="1" t="inlineStr">
        <is>
          <t>Пользовательский интерфейс</t>
        </is>
      </c>
    </row>
    <row r="1239">
      <c r="B1239" s="1" t="inlineStr">
        <is>
          <t>66544976</t>
        </is>
      </c>
      <c r="C1239" s="1" t="inlineStr">
        <is>
          <t>5129076</t>
        </is>
      </c>
      <c r="D1239" t="inlineStr">
        <is>
          <t>работник 360</t>
        </is>
      </c>
      <c r="E1239" s="1" t="inlineStr">
        <is>
          <t>ОБЩЕСТВО С ОГРАНИЧЕННОЙ ОТВЕТСТВЕННОСТЬЮ "АМУР ЗОЛОТО"</t>
        </is>
      </c>
      <c r="F1239" s="1" t="inlineStr">
        <is>
          <t>2708001686</t>
        </is>
      </c>
      <c r="G1239" s="1" t="inlineStr">
        <is>
          <t>Стропальщик (с исполнением обязанностей грузчика)</t>
        </is>
      </c>
      <c r="H1239" s="1" t="inlineStr">
        <is>
          <t>ООО "Амур Золото"</t>
        </is>
      </c>
      <c r="I1239" s="1" t="inlineStr">
        <is>
          <t>2708001686</t>
        </is>
      </c>
      <c r="J1239" s="1" t="inlineStr">
        <is>
          <t>ОТ № ЮГОК СК 24-04</t>
        </is>
      </c>
      <c r="K123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239" s="1" t="inlineStr">
        <is>
          <t>23.04.2024</t>
        </is>
      </c>
      <c r="M1239" s="1" t="inlineStr">
        <is>
          <t>Успешно</t>
        </is>
      </c>
      <c r="N1239" s="1" t="inlineStr">
        <is>
          <t>10.07.2024</t>
        </is>
      </c>
      <c r="O1239" s="1" t="inlineStr"/>
      <c r="P1239" s="1" t="inlineStr"/>
      <c r="Q1239" s="1" t="inlineStr">
        <is>
          <t>Пользовательский интерфейс</t>
        </is>
      </c>
    </row>
    <row r="1240">
      <c r="B1240" s="1" t="inlineStr">
        <is>
          <t>66544977</t>
        </is>
      </c>
      <c r="C1240" s="1" t="inlineStr">
        <is>
          <t>5129076</t>
        </is>
      </c>
      <c r="D1240" t="inlineStr">
        <is>
          <t>работник 361</t>
        </is>
      </c>
      <c r="E1240" s="1" t="inlineStr">
        <is>
          <t>ОБЩЕСТВО С ОГРАНИЧЕННОЙ ОТВЕТСТВЕННОСТЬЮ "АМУР ЗОЛОТО"</t>
        </is>
      </c>
      <c r="F1240" s="1" t="inlineStr">
        <is>
          <t>2708001686</t>
        </is>
      </c>
      <c r="G1240" s="1" t="inlineStr">
        <is>
          <t>Кухонный рабочий</t>
        </is>
      </c>
      <c r="H1240" s="1" t="inlineStr">
        <is>
          <t>ООО "Амур Золото"</t>
        </is>
      </c>
      <c r="I1240" s="1" t="inlineStr">
        <is>
          <t>2708001686</t>
        </is>
      </c>
      <c r="J1240" s="1" t="inlineStr">
        <is>
          <t>ОТ № ЮГОК Столовая 24-01</t>
        </is>
      </c>
      <c r="K1240" s="1" t="inlineStr">
        <is>
          <t>Оказание первой помощи пострадавшим</t>
        </is>
      </c>
      <c r="L1240" s="1" t="inlineStr">
        <is>
          <t>09.06.2024</t>
        </is>
      </c>
      <c r="M1240" s="1" t="inlineStr">
        <is>
          <t>Успешно</t>
        </is>
      </c>
      <c r="N1240" s="1" t="inlineStr">
        <is>
          <t>10.07.2024</t>
        </is>
      </c>
      <c r="O1240" s="1" t="inlineStr"/>
      <c r="P1240" s="1" t="inlineStr"/>
      <c r="Q1240" s="1" t="inlineStr">
        <is>
          <t>Пользовательский интерфейс</t>
        </is>
      </c>
    </row>
    <row r="1241">
      <c r="B1241" s="1" t="inlineStr">
        <is>
          <t>66544978</t>
        </is>
      </c>
      <c r="C1241" s="1" t="inlineStr">
        <is>
          <t>5129076</t>
        </is>
      </c>
      <c r="D1241" t="inlineStr">
        <is>
          <t>работник 361</t>
        </is>
      </c>
      <c r="E1241" s="1" t="inlineStr">
        <is>
          <t>ОБЩЕСТВО С ОГРАНИЧЕННОЙ ОТВЕТСТВЕННОСТЬЮ "АМУР ЗОЛОТО"</t>
        </is>
      </c>
      <c r="F1241" s="1" t="inlineStr">
        <is>
          <t>2708001686</t>
        </is>
      </c>
      <c r="G1241" s="1" t="inlineStr">
        <is>
          <t>Кухонный рабочий</t>
        </is>
      </c>
      <c r="H1241" s="1" t="inlineStr">
        <is>
          <t>ООО "Амур Золото"</t>
        </is>
      </c>
      <c r="I1241" s="1" t="inlineStr">
        <is>
          <t>2708001686</t>
        </is>
      </c>
      <c r="J1241" s="1" t="inlineStr">
        <is>
          <t>ОТ № ЮГОК Столовая 24-01</t>
        </is>
      </c>
      <c r="K1241" s="1" t="inlineStr">
        <is>
          <t>Использование (применение) средств индивидуальной защиты</t>
        </is>
      </c>
      <c r="L1241" s="1" t="inlineStr">
        <is>
          <t>09.06.2024</t>
        </is>
      </c>
      <c r="M1241" s="1" t="inlineStr">
        <is>
          <t>Успешно</t>
        </is>
      </c>
      <c r="N1241" s="1" t="inlineStr">
        <is>
          <t>10.07.2024</t>
        </is>
      </c>
      <c r="O1241" s="1" t="inlineStr"/>
      <c r="P1241" s="1" t="inlineStr"/>
      <c r="Q1241" s="1" t="inlineStr">
        <is>
          <t>Пользовательский интерфейс</t>
        </is>
      </c>
    </row>
    <row r="1242">
      <c r="B1242" s="1" t="inlineStr">
        <is>
          <t>66544979</t>
        </is>
      </c>
      <c r="C1242" s="1" t="inlineStr">
        <is>
          <t>5129076</t>
        </is>
      </c>
      <c r="D1242" t="inlineStr">
        <is>
          <t>работник 361</t>
        </is>
      </c>
      <c r="E1242" s="1" t="inlineStr">
        <is>
          <t>ОБЩЕСТВО С ОГРАНИЧЕННОЙ ОТВЕТСТВЕННОСТЬЮ "АМУР ЗОЛОТО"</t>
        </is>
      </c>
      <c r="F1242" s="1" t="inlineStr">
        <is>
          <t>2708001686</t>
        </is>
      </c>
      <c r="G1242" s="1" t="inlineStr">
        <is>
          <t>Кухонный рабочий</t>
        </is>
      </c>
      <c r="H1242" s="1" t="inlineStr">
        <is>
          <t>ООО "Амур Золото"</t>
        </is>
      </c>
      <c r="I1242" s="1" t="inlineStr">
        <is>
          <t>2708001686</t>
        </is>
      </c>
      <c r="J1242" s="1" t="inlineStr">
        <is>
          <t>ОТ № ЮГОК Столовая 24-01</t>
        </is>
      </c>
      <c r="K124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242" s="1" t="inlineStr">
        <is>
          <t>09.06.2024</t>
        </is>
      </c>
      <c r="M1242" s="1" t="inlineStr">
        <is>
          <t>Успешно</t>
        </is>
      </c>
      <c r="N1242" s="1" t="inlineStr">
        <is>
          <t>10.07.2024</t>
        </is>
      </c>
      <c r="O1242" s="1" t="inlineStr"/>
      <c r="P1242" s="1" t="inlineStr"/>
      <c r="Q1242" s="1" t="inlineStr">
        <is>
          <t>Пользовательский интерфейс</t>
        </is>
      </c>
    </row>
    <row r="1243">
      <c r="B1243" s="1" t="inlineStr">
        <is>
          <t>66544980</t>
        </is>
      </c>
      <c r="C1243" s="1" t="inlineStr">
        <is>
          <t>5129076</t>
        </is>
      </c>
      <c r="D1243" t="inlineStr">
        <is>
          <t>работник 362</t>
        </is>
      </c>
      <c r="E1243" s="1" t="inlineStr">
        <is>
          <t>ОБЩЕСТВО С ОГРАНИЧЕННОЙ ОТВЕТСТВЕННОСТЬЮ "АМУР ЗОЛОТО"</t>
        </is>
      </c>
      <c r="F1243" s="1" t="inlineStr">
        <is>
          <t>2708001686</t>
        </is>
      </c>
      <c r="G1243" s="1" t="inlineStr">
        <is>
          <t>Кухонный рабочий</t>
        </is>
      </c>
      <c r="H1243" s="1" t="inlineStr">
        <is>
          <t>ООО "Амур Золото"</t>
        </is>
      </c>
      <c r="I1243" s="1" t="inlineStr">
        <is>
          <t>2708001686</t>
        </is>
      </c>
      <c r="J1243" s="1" t="inlineStr">
        <is>
          <t>ОТ № ЮГОК Столовая 24-01</t>
        </is>
      </c>
      <c r="K1243" s="1" t="inlineStr">
        <is>
          <t>Оказание первой помощи пострадавшим</t>
        </is>
      </c>
      <c r="L1243" s="1" t="inlineStr">
        <is>
          <t>09.06.2024</t>
        </is>
      </c>
      <c r="M1243" s="1" t="inlineStr">
        <is>
          <t>Успешно</t>
        </is>
      </c>
      <c r="N1243" s="1" t="inlineStr">
        <is>
          <t>10.07.2024</t>
        </is>
      </c>
      <c r="O1243" s="1" t="inlineStr"/>
      <c r="P1243" s="1" t="inlineStr"/>
      <c r="Q1243" s="1" t="inlineStr">
        <is>
          <t>Пользовательский интерфейс</t>
        </is>
      </c>
    </row>
    <row r="1244">
      <c r="B1244" s="1" t="inlineStr">
        <is>
          <t>66544981</t>
        </is>
      </c>
      <c r="C1244" s="1" t="inlineStr">
        <is>
          <t>5129076</t>
        </is>
      </c>
      <c r="D1244" t="inlineStr">
        <is>
          <t>работник 362</t>
        </is>
      </c>
      <c r="E1244" s="1" t="inlineStr">
        <is>
          <t>ОБЩЕСТВО С ОГРАНИЧЕННОЙ ОТВЕТСТВЕННОСТЬЮ "АМУР ЗОЛОТО"</t>
        </is>
      </c>
      <c r="F1244" s="1" t="inlineStr">
        <is>
          <t>2708001686</t>
        </is>
      </c>
      <c r="G1244" s="1" t="inlineStr">
        <is>
          <t>Кухонный рабочий</t>
        </is>
      </c>
      <c r="H1244" s="1" t="inlineStr">
        <is>
          <t>ООО "Амур Золото"</t>
        </is>
      </c>
      <c r="I1244" s="1" t="inlineStr">
        <is>
          <t>2708001686</t>
        </is>
      </c>
      <c r="J1244" s="1" t="inlineStr">
        <is>
          <t>ОТ № ЮГОК Столовая 24-01</t>
        </is>
      </c>
      <c r="K1244" s="1" t="inlineStr">
        <is>
          <t>Использование (применение) средств индивидуальной защиты</t>
        </is>
      </c>
      <c r="L1244" s="1" t="inlineStr">
        <is>
          <t>09.06.2024</t>
        </is>
      </c>
      <c r="M1244" s="1" t="inlineStr">
        <is>
          <t>Успешно</t>
        </is>
      </c>
      <c r="N1244" s="1" t="inlineStr">
        <is>
          <t>10.07.2024</t>
        </is>
      </c>
      <c r="O1244" s="1" t="inlineStr"/>
      <c r="P1244" s="1" t="inlineStr"/>
      <c r="Q1244" s="1" t="inlineStr">
        <is>
          <t>Пользовательский интерфейс</t>
        </is>
      </c>
    </row>
    <row r="1245">
      <c r="B1245" s="1" t="inlineStr">
        <is>
          <t>66544982</t>
        </is>
      </c>
      <c r="C1245" s="1" t="inlineStr">
        <is>
          <t>5129076</t>
        </is>
      </c>
      <c r="D1245" t="inlineStr">
        <is>
          <t>работник 362</t>
        </is>
      </c>
      <c r="E1245" s="1" t="inlineStr">
        <is>
          <t>ОБЩЕСТВО С ОГРАНИЧЕННОЙ ОТВЕТСТВЕННОСТЬЮ "АМУР ЗОЛОТО"</t>
        </is>
      </c>
      <c r="F1245" s="1" t="inlineStr">
        <is>
          <t>2708001686</t>
        </is>
      </c>
      <c r="G1245" s="1" t="inlineStr">
        <is>
          <t>Кухонный рабочий</t>
        </is>
      </c>
      <c r="H1245" s="1" t="inlineStr">
        <is>
          <t>ООО "Амур Золото"</t>
        </is>
      </c>
      <c r="I1245" s="1" t="inlineStr">
        <is>
          <t>2708001686</t>
        </is>
      </c>
      <c r="J1245" s="1" t="inlineStr">
        <is>
          <t>ОТ № ЮГОК Столовая 24-01</t>
        </is>
      </c>
      <c r="K124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245" s="1" t="inlineStr">
        <is>
          <t>09.06.2024</t>
        </is>
      </c>
      <c r="M1245" s="1" t="inlineStr">
        <is>
          <t>Успешно</t>
        </is>
      </c>
      <c r="N1245" s="1" t="inlineStr">
        <is>
          <t>10.07.2024</t>
        </is>
      </c>
      <c r="O1245" s="1" t="inlineStr"/>
      <c r="P1245" s="1" t="inlineStr"/>
      <c r="Q1245" s="1" t="inlineStr">
        <is>
          <t>Пользовательский интерфейс</t>
        </is>
      </c>
    </row>
    <row r="1246">
      <c r="B1246" s="1" t="inlineStr">
        <is>
          <t>66544983</t>
        </is>
      </c>
      <c r="C1246" s="1" t="inlineStr">
        <is>
          <t>5129076</t>
        </is>
      </c>
      <c r="D1246" t="inlineStr">
        <is>
          <t>работник 363</t>
        </is>
      </c>
      <c r="E1246" s="1" t="inlineStr">
        <is>
          <t>ОБЩЕСТВО С ОГРАНИЧЕННОЙ ОТВЕТСТВЕННОСТЬЮ "АМУР ЗОЛОТО"</t>
        </is>
      </c>
      <c r="F1246" s="1" t="inlineStr">
        <is>
          <t>2708001686</t>
        </is>
      </c>
      <c r="G1246" s="1" t="inlineStr">
        <is>
          <t>Подсобный рабочий</t>
        </is>
      </c>
      <c r="H1246" s="1" t="inlineStr">
        <is>
          <t>ООО "Амур Золото"</t>
        </is>
      </c>
      <c r="I1246" s="1" t="inlineStr">
        <is>
          <t>2708001686</t>
        </is>
      </c>
      <c r="J1246" s="1" t="inlineStr">
        <is>
          <t>ОТ № ЮГОК УОП 24-04</t>
        </is>
      </c>
      <c r="K1246" s="1" t="inlineStr">
        <is>
          <t>Оказание первой помощи пострадавшим</t>
        </is>
      </c>
      <c r="L1246" s="1" t="inlineStr">
        <is>
          <t>30.06.2024</t>
        </is>
      </c>
      <c r="M1246" s="1" t="inlineStr">
        <is>
          <t>Успешно</t>
        </is>
      </c>
      <c r="N1246" s="1" t="inlineStr">
        <is>
          <t>10.07.2024</t>
        </is>
      </c>
      <c r="O1246" s="1" t="inlineStr"/>
      <c r="P1246" s="1" t="inlineStr"/>
      <c r="Q1246" s="1" t="inlineStr">
        <is>
          <t>Пользовательский интерфейс</t>
        </is>
      </c>
    </row>
    <row r="1247">
      <c r="B1247" s="1" t="inlineStr">
        <is>
          <t>66544984</t>
        </is>
      </c>
      <c r="C1247" s="1" t="inlineStr">
        <is>
          <t>5129076</t>
        </is>
      </c>
      <c r="D1247" t="inlineStr">
        <is>
          <t>работник 363</t>
        </is>
      </c>
      <c r="E1247" s="1" t="inlineStr">
        <is>
          <t>ОБЩЕСТВО С ОГРАНИЧЕННОЙ ОТВЕТСТВЕННОСТЬЮ "АМУР ЗОЛОТО"</t>
        </is>
      </c>
      <c r="F1247" s="1" t="inlineStr">
        <is>
          <t>2708001686</t>
        </is>
      </c>
      <c r="G1247" s="1" t="inlineStr">
        <is>
          <t>Подсобный рабочий</t>
        </is>
      </c>
      <c r="H1247" s="1" t="inlineStr">
        <is>
          <t>ООО "Амур Золото"</t>
        </is>
      </c>
      <c r="I1247" s="1" t="inlineStr">
        <is>
          <t>2708001686</t>
        </is>
      </c>
      <c r="J1247" s="1" t="inlineStr">
        <is>
          <t>ОТ № ЮГОК УОП 24-04</t>
        </is>
      </c>
      <c r="K1247" s="1" t="inlineStr">
        <is>
          <t>Использование (применение) средств индивидуальной защиты</t>
        </is>
      </c>
      <c r="L1247" s="1" t="inlineStr">
        <is>
          <t>30.06.2024</t>
        </is>
      </c>
      <c r="M1247" s="1" t="inlineStr">
        <is>
          <t>Успешно</t>
        </is>
      </c>
      <c r="N1247" s="1" t="inlineStr">
        <is>
          <t>10.07.2024</t>
        </is>
      </c>
      <c r="O1247" s="1" t="inlineStr"/>
      <c r="P1247" s="1" t="inlineStr"/>
      <c r="Q1247" s="1" t="inlineStr">
        <is>
          <t>Пользовательский интерфейс</t>
        </is>
      </c>
    </row>
    <row r="1248">
      <c r="B1248" s="1" t="inlineStr">
        <is>
          <t>66544985</t>
        </is>
      </c>
      <c r="C1248" s="1" t="inlineStr">
        <is>
          <t>5129076</t>
        </is>
      </c>
      <c r="D1248" t="inlineStr">
        <is>
          <t>работник 363</t>
        </is>
      </c>
      <c r="E1248" s="1" t="inlineStr">
        <is>
          <t>ОБЩЕСТВО С ОГРАНИЧЕННОЙ ОТВЕТСТВЕННОСТЬЮ "АМУР ЗОЛОТО"</t>
        </is>
      </c>
      <c r="F1248" s="1" t="inlineStr">
        <is>
          <t>2708001686</t>
        </is>
      </c>
      <c r="G1248" s="1" t="inlineStr">
        <is>
          <t>Подсобный рабочий</t>
        </is>
      </c>
      <c r="H1248" s="1" t="inlineStr">
        <is>
          <t>ООО "Амур Золото"</t>
        </is>
      </c>
      <c r="I1248" s="1" t="inlineStr">
        <is>
          <t>2708001686</t>
        </is>
      </c>
      <c r="J1248" s="1" t="inlineStr">
        <is>
          <t>ОТ № ЮГОК УОП 24-04</t>
        </is>
      </c>
      <c r="K124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248" s="1" t="inlineStr">
        <is>
          <t>30.06.2024</t>
        </is>
      </c>
      <c r="M1248" s="1" t="inlineStr">
        <is>
          <t>Успешно</t>
        </is>
      </c>
      <c r="N1248" s="1" t="inlineStr">
        <is>
          <t>10.07.2024</t>
        </is>
      </c>
      <c r="O1248" s="1" t="inlineStr"/>
      <c r="P1248" s="1" t="inlineStr"/>
      <c r="Q1248" s="1" t="inlineStr">
        <is>
          <t>Пользовательский интерфейс</t>
        </is>
      </c>
    </row>
    <row r="1249">
      <c r="B1249" s="1" t="inlineStr">
        <is>
          <t>66544986</t>
        </is>
      </c>
      <c r="C1249" s="1" t="inlineStr">
        <is>
          <t>5129076</t>
        </is>
      </c>
      <c r="D1249" t="inlineStr">
        <is>
          <t>работник 364</t>
        </is>
      </c>
      <c r="E1249" s="1" t="inlineStr">
        <is>
          <t>ОБЩЕСТВО С ОГРАНИЧЕННОЙ ОТВЕТСТВЕННОСТЬЮ "АМУР ЗОЛОТО"</t>
        </is>
      </c>
      <c r="F1249" s="1" t="inlineStr">
        <is>
          <t>2708001686</t>
        </is>
      </c>
      <c r="G1249" s="1" t="inlineStr">
        <is>
          <t>Подсобный рабочий</t>
        </is>
      </c>
      <c r="H1249" s="1" t="inlineStr">
        <is>
          <t>ООО "Амур Золото"</t>
        </is>
      </c>
      <c r="I1249" s="1" t="inlineStr">
        <is>
          <t>2708001686</t>
        </is>
      </c>
      <c r="J1249" s="1" t="inlineStr">
        <is>
          <t>ОТ № ЮГОК УОП 24-04</t>
        </is>
      </c>
      <c r="K1249" s="1" t="inlineStr">
        <is>
          <t>Оказание первой помощи пострадавшим</t>
        </is>
      </c>
      <c r="L1249" s="1" t="inlineStr">
        <is>
          <t>30.06.2024</t>
        </is>
      </c>
      <c r="M1249" s="1" t="inlineStr">
        <is>
          <t>Успешно</t>
        </is>
      </c>
      <c r="N1249" s="1" t="inlineStr">
        <is>
          <t>10.07.2024</t>
        </is>
      </c>
      <c r="O1249" s="1" t="inlineStr"/>
      <c r="P1249" s="1" t="inlineStr"/>
      <c r="Q1249" s="1" t="inlineStr">
        <is>
          <t>Пользовательский интерфейс</t>
        </is>
      </c>
    </row>
    <row r="1250">
      <c r="B1250" s="1" t="inlineStr">
        <is>
          <t>66544987</t>
        </is>
      </c>
      <c r="C1250" s="1" t="inlineStr">
        <is>
          <t>5129076</t>
        </is>
      </c>
      <c r="D1250" t="inlineStr">
        <is>
          <t>работник 364</t>
        </is>
      </c>
      <c r="E1250" s="1" t="inlineStr">
        <is>
          <t>ОБЩЕСТВО С ОГРАНИЧЕННОЙ ОТВЕТСТВЕННОСТЬЮ "АМУР ЗОЛОТО"</t>
        </is>
      </c>
      <c r="F1250" s="1" t="inlineStr">
        <is>
          <t>2708001686</t>
        </is>
      </c>
      <c r="G1250" s="1" t="inlineStr">
        <is>
          <t>Подсобный рабочий</t>
        </is>
      </c>
      <c r="H1250" s="1" t="inlineStr">
        <is>
          <t>ООО "Амур Золото"</t>
        </is>
      </c>
      <c r="I1250" s="1" t="inlineStr">
        <is>
          <t>2708001686</t>
        </is>
      </c>
      <c r="J1250" s="1" t="inlineStr">
        <is>
          <t>ОТ № ЮГОК УОП 24-04</t>
        </is>
      </c>
      <c r="K1250" s="1" t="inlineStr">
        <is>
          <t>Использование (применение) средств индивидуальной защиты</t>
        </is>
      </c>
      <c r="L1250" s="1" t="inlineStr">
        <is>
          <t>30.06.2024</t>
        </is>
      </c>
      <c r="M1250" s="1" t="inlineStr">
        <is>
          <t>Успешно</t>
        </is>
      </c>
      <c r="N1250" s="1" t="inlineStr">
        <is>
          <t>10.07.2024</t>
        </is>
      </c>
      <c r="O1250" s="1" t="inlineStr"/>
      <c r="P1250" s="1" t="inlineStr"/>
      <c r="Q1250" s="1" t="inlineStr">
        <is>
          <t>Пользовательский интерфейс</t>
        </is>
      </c>
    </row>
    <row r="1251">
      <c r="B1251" s="1" t="inlineStr">
        <is>
          <t>66544988</t>
        </is>
      </c>
      <c r="C1251" s="1" t="inlineStr">
        <is>
          <t>5129076</t>
        </is>
      </c>
      <c r="D1251" t="inlineStr">
        <is>
          <t>работник 364</t>
        </is>
      </c>
      <c r="E1251" s="1" t="inlineStr">
        <is>
          <t>ОБЩЕСТВО С ОГРАНИЧЕННОЙ ОТВЕТСТВЕННОСТЬЮ "АМУР ЗОЛОТО"</t>
        </is>
      </c>
      <c r="F1251" s="1" t="inlineStr">
        <is>
          <t>2708001686</t>
        </is>
      </c>
      <c r="G1251" s="1" t="inlineStr">
        <is>
          <t>Подсобный рабочий</t>
        </is>
      </c>
      <c r="H1251" s="1" t="inlineStr">
        <is>
          <t>ООО "Амур Золото"</t>
        </is>
      </c>
      <c r="I1251" s="1" t="inlineStr">
        <is>
          <t>2708001686</t>
        </is>
      </c>
      <c r="J1251" s="1" t="inlineStr">
        <is>
          <t>ОТ № ЮГОК УОП 24-04</t>
        </is>
      </c>
      <c r="K125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251" s="1" t="inlineStr">
        <is>
          <t>30.06.2024</t>
        </is>
      </c>
      <c r="M1251" s="1" t="inlineStr">
        <is>
          <t>Успешно</t>
        </is>
      </c>
      <c r="N1251" s="1" t="inlineStr">
        <is>
          <t>10.07.2024</t>
        </is>
      </c>
      <c r="O1251" s="1" t="inlineStr"/>
      <c r="P1251" s="1" t="inlineStr"/>
      <c r="Q1251" s="1" t="inlineStr">
        <is>
          <t>Пользовательский интерфейс</t>
        </is>
      </c>
    </row>
    <row r="1252">
      <c r="B1252" s="1" t="inlineStr">
        <is>
          <t>66544989</t>
        </is>
      </c>
      <c r="C1252" s="1" t="inlineStr">
        <is>
          <t>5129076</t>
        </is>
      </c>
      <c r="D1252" t="inlineStr">
        <is>
          <t>работник 365</t>
        </is>
      </c>
      <c r="E1252" s="1" t="inlineStr">
        <is>
          <t>ОБЩЕСТВО С ОГРАНИЧЕННОЙ ОТВЕТСТВЕННОСТЬЮ "АМУР ЗОЛОТО"</t>
        </is>
      </c>
      <c r="F1252" s="1" t="inlineStr">
        <is>
          <t>2708001686</t>
        </is>
      </c>
      <c r="G1252" s="1" t="inlineStr">
        <is>
          <t>Электрогазосварщик (занятый на резке и ручной сварке)</t>
        </is>
      </c>
      <c r="H1252" s="1" t="inlineStr">
        <is>
          <t>ООО "Амур Золото"</t>
        </is>
      </c>
      <c r="I1252" s="1" t="inlineStr">
        <is>
          <t>2708001686</t>
        </is>
      </c>
      <c r="J1252" s="1" t="inlineStr">
        <is>
          <t>ОТ № ЮГОК ЭУ 24-19</t>
        </is>
      </c>
      <c r="K1252" s="1" t="inlineStr">
        <is>
          <t>Оказание первой помощи пострадавшим</t>
        </is>
      </c>
      <c r="L1252" s="1" t="inlineStr">
        <is>
          <t>25.05.2024</t>
        </is>
      </c>
      <c r="M1252" s="1" t="inlineStr">
        <is>
          <t>Успешно</t>
        </is>
      </c>
      <c r="N1252" s="1" t="inlineStr">
        <is>
          <t>10.07.2024</t>
        </is>
      </c>
      <c r="O1252" s="1" t="inlineStr"/>
      <c r="P1252" s="1" t="inlineStr"/>
      <c r="Q1252" s="1" t="inlineStr">
        <is>
          <t>Пользовательский интерфейс</t>
        </is>
      </c>
    </row>
    <row r="1253">
      <c r="B1253" s="1" t="inlineStr">
        <is>
          <t>66544990</t>
        </is>
      </c>
      <c r="C1253" s="1" t="inlineStr">
        <is>
          <t>5129076</t>
        </is>
      </c>
      <c r="D1253" t="inlineStr">
        <is>
          <t>работник 365</t>
        </is>
      </c>
      <c r="E1253" s="1" t="inlineStr">
        <is>
          <t>ОБЩЕСТВО С ОГРАНИЧЕННОЙ ОТВЕТСТВЕННОСТЬЮ "АМУР ЗОЛОТО"</t>
        </is>
      </c>
      <c r="F1253" s="1" t="inlineStr">
        <is>
          <t>2708001686</t>
        </is>
      </c>
      <c r="G1253" s="1" t="inlineStr">
        <is>
          <t>Электрогазосварщик (занятый на резке и ручной сварке)</t>
        </is>
      </c>
      <c r="H1253" s="1" t="inlineStr">
        <is>
          <t>ООО "Амур Золото"</t>
        </is>
      </c>
      <c r="I1253" s="1" t="inlineStr">
        <is>
          <t>2708001686</t>
        </is>
      </c>
      <c r="J1253" s="1" t="inlineStr">
        <is>
          <t>ОТ № ЮГОК ЭУ 24-19</t>
        </is>
      </c>
      <c r="K1253" s="1" t="inlineStr">
        <is>
          <t>Использование (применение) средств индивидуальной защиты</t>
        </is>
      </c>
      <c r="L1253" s="1" t="inlineStr">
        <is>
          <t>25.05.2024</t>
        </is>
      </c>
      <c r="M1253" s="1" t="inlineStr">
        <is>
          <t>Успешно</t>
        </is>
      </c>
      <c r="N1253" s="1" t="inlineStr">
        <is>
          <t>10.07.2024</t>
        </is>
      </c>
      <c r="O1253" s="1" t="inlineStr"/>
      <c r="P1253" s="1" t="inlineStr"/>
      <c r="Q1253" s="1" t="inlineStr">
        <is>
          <t>Пользовательский интерфейс</t>
        </is>
      </c>
    </row>
    <row r="1254">
      <c r="B1254" s="1" t="inlineStr">
        <is>
          <t>66544991</t>
        </is>
      </c>
      <c r="C1254" s="1" t="inlineStr">
        <is>
          <t>5129076</t>
        </is>
      </c>
      <c r="D1254" t="inlineStr">
        <is>
          <t>работник 365</t>
        </is>
      </c>
      <c r="E1254" s="1" t="inlineStr">
        <is>
          <t>ОБЩЕСТВО С ОГРАНИЧЕННОЙ ОТВЕТСТВЕННОСТЬЮ "АМУР ЗОЛОТО"</t>
        </is>
      </c>
      <c r="F1254" s="1" t="inlineStr">
        <is>
          <t>2708001686</t>
        </is>
      </c>
      <c r="G1254" s="1" t="inlineStr">
        <is>
          <t>Электрогазосварщик (занятый на резке и ручной сварке)</t>
        </is>
      </c>
      <c r="H1254" s="1" t="inlineStr">
        <is>
          <t>ООО "Амур Золото"</t>
        </is>
      </c>
      <c r="I1254" s="1" t="inlineStr">
        <is>
          <t>2708001686</t>
        </is>
      </c>
      <c r="J1254" s="1" t="inlineStr">
        <is>
          <t>ОТ № ЮГОК ЭУ 24-19</t>
        </is>
      </c>
      <c r="K125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254" s="1" t="inlineStr">
        <is>
          <t>25.05.2024</t>
        </is>
      </c>
      <c r="M1254" s="1" t="inlineStr">
        <is>
          <t>Успешно</t>
        </is>
      </c>
      <c r="N1254" s="1" t="inlineStr">
        <is>
          <t>10.07.2024</t>
        </is>
      </c>
      <c r="O1254" s="1" t="inlineStr"/>
      <c r="P1254" s="1" t="inlineStr"/>
      <c r="Q1254" s="1" t="inlineStr">
        <is>
          <t>Пользовательский интерфейс</t>
        </is>
      </c>
    </row>
    <row r="1255">
      <c r="B1255" s="1" t="inlineStr">
        <is>
          <t>66544992</t>
        </is>
      </c>
      <c r="C1255" s="1" t="inlineStr">
        <is>
          <t>5129076</t>
        </is>
      </c>
      <c r="D1255" t="inlineStr">
        <is>
          <t>работник 366</t>
        </is>
      </c>
      <c r="E1255" s="1" t="inlineStr">
        <is>
          <t>ОБЩЕСТВО С ОГРАНИЧЕННОЙ ОТВЕТСТВЕННОСТЬЮ "АМУР ЗОЛОТО"</t>
        </is>
      </c>
      <c r="F1255" s="1" t="inlineStr">
        <is>
          <t>2708001686</t>
        </is>
      </c>
      <c r="G1255" s="1" t="inlineStr">
        <is>
          <t>Ламповщик</t>
        </is>
      </c>
      <c r="H1255" s="1" t="inlineStr">
        <is>
          <t>ООО "Амур Золото"</t>
        </is>
      </c>
      <c r="I1255" s="1" t="inlineStr">
        <is>
          <t>2708001686</t>
        </is>
      </c>
      <c r="J1255" s="1" t="inlineStr">
        <is>
          <t>ОТ №ЮГОК ПГУ 24-08</t>
        </is>
      </c>
      <c r="K1255" s="1" t="inlineStr">
        <is>
          <t>Оказание первой помощи пострадавшим</t>
        </is>
      </c>
      <c r="L1255" s="1" t="inlineStr">
        <is>
          <t>08.06.2024</t>
        </is>
      </c>
      <c r="M1255" s="1" t="inlineStr">
        <is>
          <t>Успешно</t>
        </is>
      </c>
      <c r="N1255" s="1" t="inlineStr">
        <is>
          <t>10.07.2024</t>
        </is>
      </c>
      <c r="O1255" s="1" t="inlineStr"/>
      <c r="P1255" s="1" t="inlineStr"/>
      <c r="Q1255" s="1" t="inlineStr">
        <is>
          <t>Пользовательский интерфейс</t>
        </is>
      </c>
    </row>
    <row r="1256">
      <c r="B1256" s="1" t="inlineStr">
        <is>
          <t>66544993</t>
        </is>
      </c>
      <c r="C1256" s="1" t="inlineStr">
        <is>
          <t>5129076</t>
        </is>
      </c>
      <c r="D1256" t="inlineStr">
        <is>
          <t>работник 366</t>
        </is>
      </c>
      <c r="E1256" s="1" t="inlineStr">
        <is>
          <t>ОБЩЕСТВО С ОГРАНИЧЕННОЙ ОТВЕТСТВЕННОСТЬЮ "АМУР ЗОЛОТО"</t>
        </is>
      </c>
      <c r="F1256" s="1" t="inlineStr">
        <is>
          <t>2708001686</t>
        </is>
      </c>
      <c r="G1256" s="1" t="inlineStr">
        <is>
          <t>Ламповщик</t>
        </is>
      </c>
      <c r="H1256" s="1" t="inlineStr">
        <is>
          <t>ООО "Амур Золото"</t>
        </is>
      </c>
      <c r="I1256" s="1" t="inlineStr">
        <is>
          <t>2708001686</t>
        </is>
      </c>
      <c r="J1256" s="1" t="inlineStr">
        <is>
          <t>ОТ №ЮГОК ПГУ 24-08</t>
        </is>
      </c>
      <c r="K1256" s="1" t="inlineStr">
        <is>
          <t>Использование (применение) средств индивидуальной защиты</t>
        </is>
      </c>
      <c r="L1256" s="1" t="inlineStr">
        <is>
          <t>08.06.2024</t>
        </is>
      </c>
      <c r="M1256" s="1" t="inlineStr">
        <is>
          <t>Успешно</t>
        </is>
      </c>
      <c r="N1256" s="1" t="inlineStr">
        <is>
          <t>10.07.2024</t>
        </is>
      </c>
      <c r="O1256" s="1" t="inlineStr"/>
      <c r="P1256" s="1" t="inlineStr"/>
      <c r="Q1256" s="1" t="inlineStr">
        <is>
          <t>Пользовательский интерфейс</t>
        </is>
      </c>
    </row>
    <row r="1257">
      <c r="B1257" s="1" t="inlineStr">
        <is>
          <t>66544994</t>
        </is>
      </c>
      <c r="C1257" s="1" t="inlineStr">
        <is>
          <t>5129076</t>
        </is>
      </c>
      <c r="D1257" t="inlineStr">
        <is>
          <t>работник 366</t>
        </is>
      </c>
      <c r="E1257" s="1" t="inlineStr">
        <is>
          <t>ОБЩЕСТВО С ОГРАНИЧЕННОЙ ОТВЕТСТВЕННОСТЬЮ "АМУР ЗОЛОТО"</t>
        </is>
      </c>
      <c r="F1257" s="1" t="inlineStr">
        <is>
          <t>2708001686</t>
        </is>
      </c>
      <c r="G1257" s="1" t="inlineStr">
        <is>
          <t>Ламповщик</t>
        </is>
      </c>
      <c r="H1257" s="1" t="inlineStr">
        <is>
          <t>ООО "Амур Золото"</t>
        </is>
      </c>
      <c r="I1257" s="1" t="inlineStr">
        <is>
          <t>2708001686</t>
        </is>
      </c>
      <c r="J1257" s="1" t="inlineStr">
        <is>
          <t>ОТ №ЮГОК ПГУ 24-08</t>
        </is>
      </c>
      <c r="K125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257" s="1" t="inlineStr">
        <is>
          <t>08.06.2024</t>
        </is>
      </c>
      <c r="M1257" s="1" t="inlineStr">
        <is>
          <t>Успешно</t>
        </is>
      </c>
      <c r="N1257" s="1" t="inlineStr">
        <is>
          <t>10.07.2024</t>
        </is>
      </c>
      <c r="O1257" s="1" t="inlineStr"/>
      <c r="P1257" s="1" t="inlineStr"/>
      <c r="Q1257" s="1" t="inlineStr">
        <is>
          <t>Пользовательский интерфейс</t>
        </is>
      </c>
    </row>
    <row r="1258">
      <c r="B1258" s="1" t="inlineStr">
        <is>
          <t>68090108</t>
        </is>
      </c>
      <c r="C1258" s="1" t="inlineStr">
        <is>
          <t>5245589</t>
        </is>
      </c>
      <c r="D1258" t="inlineStr">
        <is>
          <t>работник 367</t>
        </is>
      </c>
      <c r="E1258" s="1" t="inlineStr">
        <is>
          <t>ОБЩЕСТВО С ОГРАНИЧЕННОЙ ОТВЕТСТВЕННОСТЬЮ "АМУР ЗОЛОТО"</t>
        </is>
      </c>
      <c r="F1258" s="1" t="inlineStr">
        <is>
          <t>2708001686</t>
        </is>
      </c>
      <c r="G1258" s="1" t="inlineStr">
        <is>
          <t>Водитель автомобиля (занятый на транспортировании горной массы в технологическом процессе)</t>
        </is>
      </c>
      <c r="H1258" s="1" t="inlineStr">
        <is>
          <t>ООО "Амур Золото"</t>
        </is>
      </c>
      <c r="I1258" s="1" t="inlineStr">
        <is>
          <t>2708001686</t>
        </is>
      </c>
      <c r="J1258" s="1" t="inlineStr">
        <is>
          <t>ОТ № ЮГОК АТЦ 24-06</t>
        </is>
      </c>
      <c r="K1258" s="1" t="inlineStr">
        <is>
          <t>Оказание первой помощи пострадавшим</t>
        </is>
      </c>
      <c r="L1258" s="1" t="inlineStr">
        <is>
          <t>18.07.2024</t>
        </is>
      </c>
      <c r="M1258" s="1" t="inlineStr">
        <is>
          <t>Успешно</t>
        </is>
      </c>
      <c r="N1258" s="1" t="inlineStr">
        <is>
          <t>19.07.2024</t>
        </is>
      </c>
      <c r="O1258" s="1" t="inlineStr"/>
      <c r="P1258" s="1" t="inlineStr"/>
      <c r="Q1258" s="1" t="inlineStr">
        <is>
          <t>Пользовательский интерфейс</t>
        </is>
      </c>
    </row>
    <row r="1259">
      <c r="B1259" s="1" t="inlineStr">
        <is>
          <t>68090109</t>
        </is>
      </c>
      <c r="C1259" s="1" t="inlineStr">
        <is>
          <t>5245589</t>
        </is>
      </c>
      <c r="D1259" t="inlineStr">
        <is>
          <t>работник 367</t>
        </is>
      </c>
      <c r="E1259" s="1" t="inlineStr">
        <is>
          <t>ОБЩЕСТВО С ОГРАНИЧЕННОЙ ОТВЕТСТВЕННОСТЬЮ "АМУР ЗОЛОТО"</t>
        </is>
      </c>
      <c r="F1259" s="1" t="inlineStr">
        <is>
          <t>2708001686</t>
        </is>
      </c>
      <c r="G1259" s="1" t="inlineStr">
        <is>
          <t>Водитель автомобиля (занятый на транспортировании горной массы в технологическом процессе)</t>
        </is>
      </c>
      <c r="H1259" s="1" t="inlineStr">
        <is>
          <t>ООО "Амур Золото"</t>
        </is>
      </c>
      <c r="I1259" s="1" t="inlineStr">
        <is>
          <t>2708001686</t>
        </is>
      </c>
      <c r="J1259" s="1" t="inlineStr">
        <is>
          <t>ОТ № ЮГОК АТЦ 24-06</t>
        </is>
      </c>
      <c r="K1259" s="1" t="inlineStr">
        <is>
          <t>Использование (применение) средств индивидуальной защиты</t>
        </is>
      </c>
      <c r="L1259" s="1" t="inlineStr">
        <is>
          <t>18.07.2024</t>
        </is>
      </c>
      <c r="M1259" s="1" t="inlineStr">
        <is>
          <t>Успешно</t>
        </is>
      </c>
      <c r="N1259" s="1" t="inlineStr">
        <is>
          <t>19.07.2024</t>
        </is>
      </c>
      <c r="O1259" s="1" t="inlineStr"/>
      <c r="P1259" s="1" t="inlineStr"/>
      <c r="Q1259" s="1" t="inlineStr">
        <is>
          <t>Пользовательский интерфейс</t>
        </is>
      </c>
    </row>
    <row r="1260">
      <c r="B1260" s="1" t="inlineStr">
        <is>
          <t>68090110</t>
        </is>
      </c>
      <c r="C1260" s="1" t="inlineStr">
        <is>
          <t>5245589</t>
        </is>
      </c>
      <c r="D1260" t="inlineStr">
        <is>
          <t>работник 367</t>
        </is>
      </c>
      <c r="E1260" s="1" t="inlineStr">
        <is>
          <t>ОБЩЕСТВО С ОГРАНИЧЕННОЙ ОТВЕТСТВЕННОСТЬЮ "АМУР ЗОЛОТО"</t>
        </is>
      </c>
      <c r="F1260" s="1" t="inlineStr">
        <is>
          <t>2708001686</t>
        </is>
      </c>
      <c r="G1260" s="1" t="inlineStr">
        <is>
          <t>Водитель автомобиля (занятый на транспортировании горной массы в технологическом процессе)</t>
        </is>
      </c>
      <c r="H1260" s="1" t="inlineStr">
        <is>
          <t>ООО "Амур Золото"</t>
        </is>
      </c>
      <c r="I1260" s="1" t="inlineStr">
        <is>
          <t>2708001686</t>
        </is>
      </c>
      <c r="J1260" s="1" t="inlineStr">
        <is>
          <t>ОТ № ЮГОК АТЦ 24-06</t>
        </is>
      </c>
      <c r="K126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260" s="1" t="inlineStr">
        <is>
          <t>18.07.2024</t>
        </is>
      </c>
      <c r="M1260" s="1" t="inlineStr">
        <is>
          <t>Успешно</t>
        </is>
      </c>
      <c r="N1260" s="1" t="inlineStr">
        <is>
          <t>19.07.2024</t>
        </is>
      </c>
      <c r="O1260" s="1" t="inlineStr"/>
      <c r="P1260" s="1" t="inlineStr"/>
      <c r="Q1260" s="1" t="inlineStr">
        <is>
          <t>Пользовательский интерфейс</t>
        </is>
      </c>
    </row>
    <row r="1261">
      <c r="B1261" s="1" t="inlineStr">
        <is>
          <t>68090111</t>
        </is>
      </c>
      <c r="C1261" s="1" t="inlineStr">
        <is>
          <t>5245589</t>
        </is>
      </c>
      <c r="D1261" t="inlineStr">
        <is>
          <t>работник 368</t>
        </is>
      </c>
      <c r="E1261" s="1" t="inlineStr">
        <is>
          <t>ОБЩЕСТВО С ОГРАНИЧЕННОЙ ОТВЕТСТВЕННОСТЬЮ "АМУР ЗОЛОТО"</t>
        </is>
      </c>
      <c r="F1261" s="1" t="inlineStr">
        <is>
          <t>2708001686</t>
        </is>
      </c>
      <c r="G1261" s="1" t="inlineStr">
        <is>
          <t>Машинист бульдозера</t>
        </is>
      </c>
      <c r="H1261" s="1" t="inlineStr">
        <is>
          <t>ООО "Амур Золото"</t>
        </is>
      </c>
      <c r="I1261" s="1" t="inlineStr">
        <is>
          <t>2708001686</t>
        </is>
      </c>
      <c r="J1261" s="1" t="inlineStr">
        <is>
          <t>ОТ № ЮГОК АТЦ 24-06</t>
        </is>
      </c>
      <c r="K1261" s="1" t="inlineStr">
        <is>
          <t>Оказание первой помощи пострадавшим</t>
        </is>
      </c>
      <c r="L1261" s="1" t="inlineStr">
        <is>
          <t>18.07.2024</t>
        </is>
      </c>
      <c r="M1261" s="1" t="inlineStr">
        <is>
          <t>Успешно</t>
        </is>
      </c>
      <c r="N1261" s="1" t="inlineStr">
        <is>
          <t>19.07.2024</t>
        </is>
      </c>
      <c r="O1261" s="1" t="inlineStr"/>
      <c r="P1261" s="1" t="inlineStr"/>
      <c r="Q1261" s="1" t="inlineStr">
        <is>
          <t>Пользовательский интерфейс</t>
        </is>
      </c>
    </row>
    <row r="1262">
      <c r="B1262" s="1" t="inlineStr">
        <is>
          <t>68090112</t>
        </is>
      </c>
      <c r="C1262" s="1" t="inlineStr">
        <is>
          <t>5245589</t>
        </is>
      </c>
      <c r="D1262" t="inlineStr">
        <is>
          <t>работник 368</t>
        </is>
      </c>
      <c r="E1262" s="1" t="inlineStr">
        <is>
          <t>ОБЩЕСТВО С ОГРАНИЧЕННОЙ ОТВЕТСТВЕННОСТЬЮ "АМУР ЗОЛОТО"</t>
        </is>
      </c>
      <c r="F1262" s="1" t="inlineStr">
        <is>
          <t>2708001686</t>
        </is>
      </c>
      <c r="G1262" s="1" t="inlineStr">
        <is>
          <t>Машинист бульдозера</t>
        </is>
      </c>
      <c r="H1262" s="1" t="inlineStr">
        <is>
          <t>ООО "Амур Золото"</t>
        </is>
      </c>
      <c r="I1262" s="1" t="inlineStr">
        <is>
          <t>2708001686</t>
        </is>
      </c>
      <c r="J1262" s="1" t="inlineStr">
        <is>
          <t>ОТ № ЮГОК АТЦ 24-06</t>
        </is>
      </c>
      <c r="K1262" s="1" t="inlineStr">
        <is>
          <t>Использование (применение) средств индивидуальной защиты</t>
        </is>
      </c>
      <c r="L1262" s="1" t="inlineStr">
        <is>
          <t>18.07.2024</t>
        </is>
      </c>
      <c r="M1262" s="1" t="inlineStr">
        <is>
          <t>Успешно</t>
        </is>
      </c>
      <c r="N1262" s="1" t="inlineStr">
        <is>
          <t>19.07.2024</t>
        </is>
      </c>
      <c r="O1262" s="1" t="inlineStr"/>
      <c r="P1262" s="1" t="inlineStr"/>
      <c r="Q1262" s="1" t="inlineStr">
        <is>
          <t>Пользовательский интерфейс</t>
        </is>
      </c>
    </row>
    <row r="1263">
      <c r="B1263" s="1" t="inlineStr">
        <is>
          <t>68090113</t>
        </is>
      </c>
      <c r="C1263" s="1" t="inlineStr">
        <is>
          <t>5245589</t>
        </is>
      </c>
      <c r="D1263" t="inlineStr">
        <is>
          <t>работник 368</t>
        </is>
      </c>
      <c r="E1263" s="1" t="inlineStr">
        <is>
          <t>ОБЩЕСТВО С ОГРАНИЧЕННОЙ ОТВЕТСТВЕННОСТЬЮ "АМУР ЗОЛОТО"</t>
        </is>
      </c>
      <c r="F1263" s="1" t="inlineStr">
        <is>
          <t>2708001686</t>
        </is>
      </c>
      <c r="G1263" s="1" t="inlineStr">
        <is>
          <t>Машинист бульдозера</t>
        </is>
      </c>
      <c r="H1263" s="1" t="inlineStr">
        <is>
          <t>ООО "Амур Золото"</t>
        </is>
      </c>
      <c r="I1263" s="1" t="inlineStr">
        <is>
          <t>2708001686</t>
        </is>
      </c>
      <c r="J1263" s="1" t="inlineStr">
        <is>
          <t>ОТ № ЮГОК АТЦ 24-06</t>
        </is>
      </c>
      <c r="K126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263" s="1" t="inlineStr">
        <is>
          <t>18.07.2024</t>
        </is>
      </c>
      <c r="M1263" s="1" t="inlineStr">
        <is>
          <t>Успешно</t>
        </is>
      </c>
      <c r="N1263" s="1" t="inlineStr">
        <is>
          <t>19.07.2024</t>
        </is>
      </c>
      <c r="O1263" s="1" t="inlineStr"/>
      <c r="P1263" s="1" t="inlineStr"/>
      <c r="Q1263" s="1" t="inlineStr">
        <is>
          <t>Пользовательский интерфейс</t>
        </is>
      </c>
    </row>
    <row r="1264">
      <c r="B1264" s="1" t="inlineStr">
        <is>
          <t>68090114</t>
        </is>
      </c>
      <c r="C1264" s="1" t="inlineStr">
        <is>
          <t>5245589</t>
        </is>
      </c>
      <c r="D1264" t="inlineStr">
        <is>
          <t>работник 369</t>
        </is>
      </c>
      <c r="E1264" s="1" t="inlineStr">
        <is>
          <t>ОБЩЕСТВО С ОГРАНИЧЕННОЙ ОТВЕТСТВЕННОСТЬЮ "АМУР ЗОЛОТО"</t>
        </is>
      </c>
      <c r="F1264" s="1" t="inlineStr">
        <is>
          <t>2708001686</t>
        </is>
      </c>
      <c r="G1264" s="1" t="inlineStr">
        <is>
          <t>Машинист крана автомобильного</t>
        </is>
      </c>
      <c r="H1264" s="1" t="inlineStr">
        <is>
          <t>ООО "Амур Золото"</t>
        </is>
      </c>
      <c r="I1264" s="1" t="inlineStr">
        <is>
          <t>2708001686</t>
        </is>
      </c>
      <c r="J1264" s="1" t="inlineStr">
        <is>
          <t>ОТ № ЮГОК АТЦ 24-06</t>
        </is>
      </c>
      <c r="K1264" s="1" t="inlineStr">
        <is>
          <t>Оказание первой помощи пострадавшим</t>
        </is>
      </c>
      <c r="L1264" s="1" t="inlineStr">
        <is>
          <t>18.07.2024</t>
        </is>
      </c>
      <c r="M1264" s="1" t="inlineStr">
        <is>
          <t>Успешно</t>
        </is>
      </c>
      <c r="N1264" s="1" t="inlineStr">
        <is>
          <t>19.07.2024</t>
        </is>
      </c>
      <c r="O1264" s="1" t="inlineStr"/>
      <c r="P1264" s="1" t="inlineStr"/>
      <c r="Q1264" s="1" t="inlineStr">
        <is>
          <t>Пользовательский интерфейс</t>
        </is>
      </c>
    </row>
    <row r="1265">
      <c r="B1265" s="1" t="inlineStr">
        <is>
          <t>68090115</t>
        </is>
      </c>
      <c r="C1265" s="1" t="inlineStr">
        <is>
          <t>5245589</t>
        </is>
      </c>
      <c r="D1265" t="inlineStr">
        <is>
          <t>работник 369</t>
        </is>
      </c>
      <c r="E1265" s="1" t="inlineStr">
        <is>
          <t>ОБЩЕСТВО С ОГРАНИЧЕННОЙ ОТВЕТСТВЕННОСТЬЮ "АМУР ЗОЛОТО"</t>
        </is>
      </c>
      <c r="F1265" s="1" t="inlineStr">
        <is>
          <t>2708001686</t>
        </is>
      </c>
      <c r="G1265" s="1" t="inlineStr">
        <is>
          <t>Машинист крана автомобильного</t>
        </is>
      </c>
      <c r="H1265" s="1" t="inlineStr">
        <is>
          <t>ООО "Амур Золото"</t>
        </is>
      </c>
      <c r="I1265" s="1" t="inlineStr">
        <is>
          <t>2708001686</t>
        </is>
      </c>
      <c r="J1265" s="1" t="inlineStr">
        <is>
          <t>ОТ № ЮГОК АТЦ 24-06</t>
        </is>
      </c>
      <c r="K1265" s="1" t="inlineStr">
        <is>
          <t>Использование (применение) средств индивидуальной защиты</t>
        </is>
      </c>
      <c r="L1265" s="1" t="inlineStr">
        <is>
          <t>18.07.2024</t>
        </is>
      </c>
      <c r="M1265" s="1" t="inlineStr">
        <is>
          <t>Успешно</t>
        </is>
      </c>
      <c r="N1265" s="1" t="inlineStr">
        <is>
          <t>19.07.2024</t>
        </is>
      </c>
      <c r="O1265" s="1" t="inlineStr"/>
      <c r="P1265" s="1" t="inlineStr"/>
      <c r="Q1265" s="1" t="inlineStr">
        <is>
          <t>Пользовательский интерфейс</t>
        </is>
      </c>
    </row>
    <row r="1266">
      <c r="B1266" s="1" t="inlineStr">
        <is>
          <t>68090116</t>
        </is>
      </c>
      <c r="C1266" s="1" t="inlineStr">
        <is>
          <t>5245589</t>
        </is>
      </c>
      <c r="D1266" t="inlineStr">
        <is>
          <t>работник 369</t>
        </is>
      </c>
      <c r="E1266" s="1" t="inlineStr">
        <is>
          <t>ОБЩЕСТВО С ОГРАНИЧЕННОЙ ОТВЕТСТВЕННОСТЬЮ "АМУР ЗОЛОТО"</t>
        </is>
      </c>
      <c r="F1266" s="1" t="inlineStr">
        <is>
          <t>2708001686</t>
        </is>
      </c>
      <c r="G1266" s="1" t="inlineStr">
        <is>
          <t>Машинист крана автомобильного</t>
        </is>
      </c>
      <c r="H1266" s="1" t="inlineStr">
        <is>
          <t>ООО "Амур Золото"</t>
        </is>
      </c>
      <c r="I1266" s="1" t="inlineStr">
        <is>
          <t>2708001686</t>
        </is>
      </c>
      <c r="J1266" s="1" t="inlineStr">
        <is>
          <t>ОТ № ЮГОК АТЦ 24-06</t>
        </is>
      </c>
      <c r="K126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266" s="1" t="inlineStr">
        <is>
          <t>18.07.2024</t>
        </is>
      </c>
      <c r="M1266" s="1" t="inlineStr">
        <is>
          <t>Успешно</t>
        </is>
      </c>
      <c r="N1266" s="1" t="inlineStr">
        <is>
          <t>19.07.2024</t>
        </is>
      </c>
      <c r="O1266" s="1" t="inlineStr"/>
      <c r="P1266" s="1" t="inlineStr"/>
      <c r="Q1266" s="1" t="inlineStr">
        <is>
          <t>Пользовательский интерфейс</t>
        </is>
      </c>
    </row>
    <row r="1267">
      <c r="B1267" s="1" t="inlineStr">
        <is>
          <t>68090117</t>
        </is>
      </c>
      <c r="C1267" s="1" t="inlineStr">
        <is>
          <t>5245589</t>
        </is>
      </c>
      <c r="D1267" t="inlineStr">
        <is>
          <t>работник 370</t>
        </is>
      </c>
      <c r="E1267" s="1" t="inlineStr">
        <is>
          <t>ОБЩЕСТВО С ОГРАНИЧЕННОЙ ОТВЕТСТВЕННОСТЬЮ "АМУР ЗОЛОТО"</t>
        </is>
      </c>
      <c r="F1267" s="1" t="inlineStr">
        <is>
          <t>2708001686</t>
        </is>
      </c>
      <c r="G1267" s="1" t="inlineStr">
        <is>
          <t>Водитель погрузчика</t>
        </is>
      </c>
      <c r="H1267" s="1" t="inlineStr">
        <is>
          <t>ООО "Амур Золото"</t>
        </is>
      </c>
      <c r="I1267" s="1" t="inlineStr">
        <is>
          <t>2708001686</t>
        </is>
      </c>
      <c r="J1267" s="1" t="inlineStr">
        <is>
          <t>ОТ № ЮГОК АТЦ 24-06</t>
        </is>
      </c>
      <c r="K1267" s="1" t="inlineStr">
        <is>
          <t>Оказание первой помощи пострадавшим</t>
        </is>
      </c>
      <c r="L1267" s="1" t="inlineStr">
        <is>
          <t>18.07.2024</t>
        </is>
      </c>
      <c r="M1267" s="1" t="inlineStr">
        <is>
          <t>Успешно</t>
        </is>
      </c>
      <c r="N1267" s="1" t="inlineStr">
        <is>
          <t>19.07.2024</t>
        </is>
      </c>
      <c r="O1267" s="1" t="inlineStr"/>
      <c r="P1267" s="1" t="inlineStr"/>
      <c r="Q1267" s="1" t="inlineStr">
        <is>
          <t>Пользовательский интерфейс</t>
        </is>
      </c>
    </row>
    <row r="1268">
      <c r="B1268" s="1" t="inlineStr">
        <is>
          <t>68090118</t>
        </is>
      </c>
      <c r="C1268" s="1" t="inlineStr">
        <is>
          <t>5245589</t>
        </is>
      </c>
      <c r="D1268" t="inlineStr">
        <is>
          <t>работник 370</t>
        </is>
      </c>
      <c r="E1268" s="1" t="inlineStr">
        <is>
          <t>ОБЩЕСТВО С ОГРАНИЧЕННОЙ ОТВЕТСТВЕННОСТЬЮ "АМУР ЗОЛОТО"</t>
        </is>
      </c>
      <c r="F1268" s="1" t="inlineStr">
        <is>
          <t>2708001686</t>
        </is>
      </c>
      <c r="G1268" s="1" t="inlineStr">
        <is>
          <t>Водитель погрузчика</t>
        </is>
      </c>
      <c r="H1268" s="1" t="inlineStr">
        <is>
          <t>ООО "Амур Золото"</t>
        </is>
      </c>
      <c r="I1268" s="1" t="inlineStr">
        <is>
          <t>2708001686</t>
        </is>
      </c>
      <c r="J1268" s="1" t="inlineStr">
        <is>
          <t>ОТ № ЮГОК АТЦ 24-06</t>
        </is>
      </c>
      <c r="K1268" s="1" t="inlineStr">
        <is>
          <t>Использование (применение) средств индивидуальной защиты</t>
        </is>
      </c>
      <c r="L1268" s="1" t="inlineStr">
        <is>
          <t>18.07.2024</t>
        </is>
      </c>
      <c r="M1268" s="1" t="inlineStr">
        <is>
          <t>Успешно</t>
        </is>
      </c>
      <c r="N1268" s="1" t="inlineStr">
        <is>
          <t>19.07.2024</t>
        </is>
      </c>
      <c r="O1268" s="1" t="inlineStr"/>
      <c r="P1268" s="1" t="inlineStr"/>
      <c r="Q1268" s="1" t="inlineStr">
        <is>
          <t>Пользовательский интерфейс</t>
        </is>
      </c>
    </row>
    <row r="1269">
      <c r="B1269" s="1" t="inlineStr">
        <is>
          <t>68090119</t>
        </is>
      </c>
      <c r="C1269" s="1" t="inlineStr">
        <is>
          <t>5245589</t>
        </is>
      </c>
      <c r="D1269" t="inlineStr">
        <is>
          <t>работник 370</t>
        </is>
      </c>
      <c r="E1269" s="1" t="inlineStr">
        <is>
          <t>ОБЩЕСТВО С ОГРАНИЧЕННОЙ ОТВЕТСТВЕННОСТЬЮ "АМУР ЗОЛОТО"</t>
        </is>
      </c>
      <c r="F1269" s="1" t="inlineStr">
        <is>
          <t>2708001686</t>
        </is>
      </c>
      <c r="G1269" s="1" t="inlineStr">
        <is>
          <t>Водитель погрузчика</t>
        </is>
      </c>
      <c r="H1269" s="1" t="inlineStr">
        <is>
          <t>ООО "Амур Золото"</t>
        </is>
      </c>
      <c r="I1269" s="1" t="inlineStr">
        <is>
          <t>2708001686</t>
        </is>
      </c>
      <c r="J1269" s="1" t="inlineStr">
        <is>
          <t>ОТ № ЮГОК АТЦ 24-06</t>
        </is>
      </c>
      <c r="K126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269" s="1" t="inlineStr">
        <is>
          <t>18.07.2024</t>
        </is>
      </c>
      <c r="M1269" s="1" t="inlineStr">
        <is>
          <t>Успешно</t>
        </is>
      </c>
      <c r="N1269" s="1" t="inlineStr">
        <is>
          <t>19.07.2024</t>
        </is>
      </c>
      <c r="O1269" s="1" t="inlineStr"/>
      <c r="P1269" s="1" t="inlineStr"/>
      <c r="Q1269" s="1" t="inlineStr">
        <is>
          <t>Пользовательский интерфейс</t>
        </is>
      </c>
    </row>
    <row r="1270">
      <c r="B1270" s="1" t="inlineStr">
        <is>
          <t>68090120</t>
        </is>
      </c>
      <c r="C1270" s="1" t="inlineStr">
        <is>
          <t>5245589</t>
        </is>
      </c>
      <c r="D1270" t="inlineStr">
        <is>
          <t>работник 371</t>
        </is>
      </c>
      <c r="E1270" s="1" t="inlineStr">
        <is>
          <t>ОБЩЕСТВО С ОГРАНИЧЕННОЙ ОТВЕТСТВЕННОСТЬЮ "АМУР ЗОЛОТО"</t>
        </is>
      </c>
      <c r="F1270" s="1" t="inlineStr">
        <is>
          <t>2708001686</t>
        </is>
      </c>
      <c r="G1270" s="1" t="inlineStr">
        <is>
          <t>Водитель автомобиля (занятый на транспортировании горной массы в технологическом процессе)</t>
        </is>
      </c>
      <c r="H1270" s="1" t="inlineStr">
        <is>
          <t>ООО "Амур Золото"</t>
        </is>
      </c>
      <c r="I1270" s="1" t="inlineStr">
        <is>
          <t>2708001686</t>
        </is>
      </c>
      <c r="J1270" s="1" t="inlineStr">
        <is>
          <t>ОТ № ЮГОК АТЦ 24-06</t>
        </is>
      </c>
      <c r="K1270" s="1" t="inlineStr">
        <is>
          <t>Оказание первой помощи пострадавшим</t>
        </is>
      </c>
      <c r="L1270" s="1" t="inlineStr">
        <is>
          <t>18.07.2024</t>
        </is>
      </c>
      <c r="M1270" s="1" t="inlineStr">
        <is>
          <t>Успешно</t>
        </is>
      </c>
      <c r="N1270" s="1" t="inlineStr">
        <is>
          <t>19.07.2024</t>
        </is>
      </c>
      <c r="O1270" s="1" t="inlineStr"/>
      <c r="P1270" s="1" t="inlineStr"/>
      <c r="Q1270" s="1" t="inlineStr">
        <is>
          <t>Пользовательский интерфейс</t>
        </is>
      </c>
    </row>
    <row r="1271">
      <c r="B1271" s="1" t="inlineStr">
        <is>
          <t>68090121</t>
        </is>
      </c>
      <c r="C1271" s="1" t="inlineStr">
        <is>
          <t>5245589</t>
        </is>
      </c>
      <c r="D1271" t="inlineStr">
        <is>
          <t>работник 371</t>
        </is>
      </c>
      <c r="E1271" s="1" t="inlineStr">
        <is>
          <t>ОБЩЕСТВО С ОГРАНИЧЕННОЙ ОТВЕТСТВЕННОСТЬЮ "АМУР ЗОЛОТО"</t>
        </is>
      </c>
      <c r="F1271" s="1" t="inlineStr">
        <is>
          <t>2708001686</t>
        </is>
      </c>
      <c r="G1271" s="1" t="inlineStr">
        <is>
          <t>Водитель автомобиля (занятый на транспортировании горной массы в технологическом процессе)</t>
        </is>
      </c>
      <c r="H1271" s="1" t="inlineStr">
        <is>
          <t>ООО "Амур Золото"</t>
        </is>
      </c>
      <c r="I1271" s="1" t="inlineStr">
        <is>
          <t>2708001686</t>
        </is>
      </c>
      <c r="J1271" s="1" t="inlineStr">
        <is>
          <t>ОТ № ЮГОК АТЦ 24-06</t>
        </is>
      </c>
      <c r="K1271" s="1" t="inlineStr">
        <is>
          <t>Использование (применение) средств индивидуальной защиты</t>
        </is>
      </c>
      <c r="L1271" s="1" t="inlineStr">
        <is>
          <t>18.07.2024</t>
        </is>
      </c>
      <c r="M1271" s="1" t="inlineStr">
        <is>
          <t>Успешно</t>
        </is>
      </c>
      <c r="N1271" s="1" t="inlineStr">
        <is>
          <t>19.07.2024</t>
        </is>
      </c>
      <c r="O1271" s="1" t="inlineStr"/>
      <c r="P1271" s="1" t="inlineStr"/>
      <c r="Q1271" s="1" t="inlineStr">
        <is>
          <t>Пользовательский интерфейс</t>
        </is>
      </c>
    </row>
    <row r="1272">
      <c r="B1272" s="1" t="inlineStr">
        <is>
          <t>68090122</t>
        </is>
      </c>
      <c r="C1272" s="1" t="inlineStr">
        <is>
          <t>5245589</t>
        </is>
      </c>
      <c r="D1272" t="inlineStr">
        <is>
          <t>работник 371</t>
        </is>
      </c>
      <c r="E1272" s="1" t="inlineStr">
        <is>
          <t>ОБЩЕСТВО С ОГРАНИЧЕННОЙ ОТВЕТСТВЕННОСТЬЮ "АМУР ЗОЛОТО"</t>
        </is>
      </c>
      <c r="F1272" s="1" t="inlineStr">
        <is>
          <t>2708001686</t>
        </is>
      </c>
      <c r="G1272" s="1" t="inlineStr">
        <is>
          <t>Водитель автомобиля (занятый на транспортировании горной массы в технологическом процессе)</t>
        </is>
      </c>
      <c r="H1272" s="1" t="inlineStr">
        <is>
          <t>ООО "Амур Золото"</t>
        </is>
      </c>
      <c r="I1272" s="1" t="inlineStr">
        <is>
          <t>2708001686</t>
        </is>
      </c>
      <c r="J1272" s="1" t="inlineStr">
        <is>
          <t>ОТ № ЮГОК АТЦ 24-06</t>
        </is>
      </c>
      <c r="K127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272" s="1" t="inlineStr">
        <is>
          <t>18.07.2024</t>
        </is>
      </c>
      <c r="M1272" s="1" t="inlineStr">
        <is>
          <t>Успешно</t>
        </is>
      </c>
      <c r="N1272" s="1" t="inlineStr">
        <is>
          <t>19.07.2024</t>
        </is>
      </c>
      <c r="O1272" s="1" t="inlineStr"/>
      <c r="P1272" s="1" t="inlineStr"/>
      <c r="Q1272" s="1" t="inlineStr">
        <is>
          <t>Пользовательский интерфейс</t>
        </is>
      </c>
    </row>
    <row r="1273">
      <c r="B1273" s="1" t="inlineStr">
        <is>
          <t>68090123</t>
        </is>
      </c>
      <c r="C1273" s="1" t="inlineStr">
        <is>
          <t>5245589</t>
        </is>
      </c>
      <c r="D1273" t="inlineStr">
        <is>
          <t>работник 372</t>
        </is>
      </c>
      <c r="E1273" s="1" t="inlineStr">
        <is>
          <t>ОБЩЕСТВО С ОГРАНИЧЕННОЙ ОТВЕТСТВЕННОСТЬЮ "АМУР ЗОЛОТО"</t>
        </is>
      </c>
      <c r="F1273" s="1" t="inlineStr">
        <is>
          <t>2708001686</t>
        </is>
      </c>
      <c r="G1273" s="1" t="inlineStr">
        <is>
          <t>Токарь (с исполнением   фрезеровщика)</t>
        </is>
      </c>
      <c r="H1273" s="1" t="inlineStr">
        <is>
          <t>ООО "Амур Золото"</t>
        </is>
      </c>
      <c r="I1273" s="1" t="inlineStr">
        <is>
          <t>2708001686</t>
        </is>
      </c>
      <c r="J1273" s="1" t="inlineStr">
        <is>
          <t>ОТ № ЮГОК АТЦ 24-06</t>
        </is>
      </c>
      <c r="K1273" s="1" t="inlineStr">
        <is>
          <t>Оказание первой помощи пострадавшим</t>
        </is>
      </c>
      <c r="L1273" s="1" t="inlineStr">
        <is>
          <t>18.07.2024</t>
        </is>
      </c>
      <c r="M1273" s="1" t="inlineStr">
        <is>
          <t>Успешно</t>
        </is>
      </c>
      <c r="N1273" s="1" t="inlineStr">
        <is>
          <t>19.07.2024</t>
        </is>
      </c>
      <c r="O1273" s="1" t="inlineStr"/>
      <c r="P1273" s="1" t="inlineStr"/>
      <c r="Q1273" s="1" t="inlineStr">
        <is>
          <t>Пользовательский интерфейс</t>
        </is>
      </c>
    </row>
    <row r="1274">
      <c r="B1274" s="1" t="inlineStr">
        <is>
          <t>68090124</t>
        </is>
      </c>
      <c r="C1274" s="1" t="inlineStr">
        <is>
          <t>5245589</t>
        </is>
      </c>
      <c r="D1274" t="inlineStr">
        <is>
          <t>работник 372</t>
        </is>
      </c>
      <c r="E1274" s="1" t="inlineStr">
        <is>
          <t>ОБЩЕСТВО С ОГРАНИЧЕННОЙ ОТВЕТСТВЕННОСТЬЮ "АМУР ЗОЛОТО"</t>
        </is>
      </c>
      <c r="F1274" s="1" t="inlineStr">
        <is>
          <t>2708001686</t>
        </is>
      </c>
      <c r="G1274" s="1" t="inlineStr">
        <is>
          <t>Токарь (с исполнением   фрезеровщика)</t>
        </is>
      </c>
      <c r="H1274" s="1" t="inlineStr">
        <is>
          <t>ООО "Амур Золото"</t>
        </is>
      </c>
      <c r="I1274" s="1" t="inlineStr">
        <is>
          <t>2708001686</t>
        </is>
      </c>
      <c r="J1274" s="1" t="inlineStr">
        <is>
          <t>ОТ № ЮГОК АТЦ 24-06</t>
        </is>
      </c>
      <c r="K1274" s="1" t="inlineStr">
        <is>
          <t>Использование (применение) средств индивидуальной защиты</t>
        </is>
      </c>
      <c r="L1274" s="1" t="inlineStr">
        <is>
          <t>18.07.2024</t>
        </is>
      </c>
      <c r="M1274" s="1" t="inlineStr">
        <is>
          <t>Успешно</t>
        </is>
      </c>
      <c r="N1274" s="1" t="inlineStr">
        <is>
          <t>19.07.2024</t>
        </is>
      </c>
      <c r="O1274" s="1" t="inlineStr"/>
      <c r="P1274" s="1" t="inlineStr"/>
      <c r="Q1274" s="1" t="inlineStr">
        <is>
          <t>Пользовательский интерфейс</t>
        </is>
      </c>
    </row>
    <row r="1275">
      <c r="B1275" s="1" t="inlineStr">
        <is>
          <t>68090125</t>
        </is>
      </c>
      <c r="C1275" s="1" t="inlineStr">
        <is>
          <t>5245589</t>
        </is>
      </c>
      <c r="D1275" t="inlineStr">
        <is>
          <t>работник 372</t>
        </is>
      </c>
      <c r="E1275" s="1" t="inlineStr">
        <is>
          <t>ОБЩЕСТВО С ОГРАНИЧЕННОЙ ОТВЕТСТВЕННОСТЬЮ "АМУР ЗОЛОТО"</t>
        </is>
      </c>
      <c r="F1275" s="1" t="inlineStr">
        <is>
          <t>2708001686</t>
        </is>
      </c>
      <c r="G1275" s="1" t="inlineStr">
        <is>
          <t>Токарь (с исполнением   фрезеровщика)</t>
        </is>
      </c>
      <c r="H1275" s="1" t="inlineStr">
        <is>
          <t>ООО "Амур Золото"</t>
        </is>
      </c>
      <c r="I1275" s="1" t="inlineStr">
        <is>
          <t>2708001686</t>
        </is>
      </c>
      <c r="J1275" s="1" t="inlineStr">
        <is>
          <t>ОТ № ЮГОК АТЦ 24-06</t>
        </is>
      </c>
      <c r="K127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275" s="1" t="inlineStr">
        <is>
          <t>18.07.2024</t>
        </is>
      </c>
      <c r="M1275" s="1" t="inlineStr">
        <is>
          <t>Успешно</t>
        </is>
      </c>
      <c r="N1275" s="1" t="inlineStr">
        <is>
          <t>19.07.2024</t>
        </is>
      </c>
      <c r="O1275" s="1" t="inlineStr"/>
      <c r="P1275" s="1" t="inlineStr"/>
      <c r="Q1275" s="1" t="inlineStr">
        <is>
          <t>Пользовательский интерфейс</t>
        </is>
      </c>
    </row>
    <row r="1276">
      <c r="B1276" s="1" t="inlineStr">
        <is>
          <t>68090126</t>
        </is>
      </c>
      <c r="C1276" s="1" t="inlineStr">
        <is>
          <t>5245589</t>
        </is>
      </c>
      <c r="D1276" t="inlineStr">
        <is>
          <t>работник 373</t>
        </is>
      </c>
      <c r="E1276" s="1" t="inlineStr">
        <is>
          <t>ОБЩЕСТВО С ОГРАНИЧЕННОЙ ОТВЕТСТВЕННОСТЬЮ "АМУР ЗОЛОТО"</t>
        </is>
      </c>
      <c r="F1276" s="1" t="inlineStr">
        <is>
          <t>2708001686</t>
        </is>
      </c>
      <c r="G1276" s="1" t="inlineStr">
        <is>
          <t>Инженр хемического анариза</t>
        </is>
      </c>
      <c r="H1276" s="1" t="inlineStr">
        <is>
          <t>ООО "Амур Золото"</t>
        </is>
      </c>
      <c r="I1276" s="1" t="inlineStr">
        <is>
          <t>2708001686</t>
        </is>
      </c>
      <c r="J1276" s="1" t="inlineStr">
        <is>
          <t>ОТ № ЮГОК ПАЛ 24-03</t>
        </is>
      </c>
      <c r="K1276" s="1" t="inlineStr">
        <is>
          <t>Оказание первой помощи пострадавшим</t>
        </is>
      </c>
      <c r="L1276" s="1" t="inlineStr">
        <is>
          <t>13.07.2024</t>
        </is>
      </c>
      <c r="M1276" s="1" t="inlineStr">
        <is>
          <t>Успешно</t>
        </is>
      </c>
      <c r="N1276" s="1" t="inlineStr">
        <is>
          <t>19.07.2024</t>
        </is>
      </c>
      <c r="O1276" s="1" t="inlineStr"/>
      <c r="P1276" s="1" t="inlineStr"/>
      <c r="Q1276" s="1" t="inlineStr">
        <is>
          <t>Пользовательский интерфейс</t>
        </is>
      </c>
    </row>
    <row r="1277">
      <c r="B1277" s="1" t="inlineStr">
        <is>
          <t>68090127</t>
        </is>
      </c>
      <c r="C1277" s="1" t="inlineStr">
        <is>
          <t>5245589</t>
        </is>
      </c>
      <c r="D1277" t="inlineStr">
        <is>
          <t>работник 373</t>
        </is>
      </c>
      <c r="E1277" s="1" t="inlineStr">
        <is>
          <t>ОБЩЕСТВО С ОГРАНИЧЕННОЙ ОТВЕТСТВЕННОСТЬЮ "АМУР ЗОЛОТО"</t>
        </is>
      </c>
      <c r="F1277" s="1" t="inlineStr">
        <is>
          <t>2708001686</t>
        </is>
      </c>
      <c r="G1277" s="1" t="inlineStr">
        <is>
          <t>Инженр хемического анариза</t>
        </is>
      </c>
      <c r="H1277" s="1" t="inlineStr">
        <is>
          <t>ООО "Амур Золото"</t>
        </is>
      </c>
      <c r="I1277" s="1" t="inlineStr">
        <is>
          <t>2708001686</t>
        </is>
      </c>
      <c r="J1277" s="1" t="inlineStr">
        <is>
          <t>ОТ № ЮГОК ПАЛ 24-03</t>
        </is>
      </c>
      <c r="K1277" s="1" t="inlineStr">
        <is>
          <t>Использование (применение) средств индивидуальной защиты</t>
        </is>
      </c>
      <c r="L1277" s="1" t="inlineStr">
        <is>
          <t>13.07.2024</t>
        </is>
      </c>
      <c r="M1277" s="1" t="inlineStr">
        <is>
          <t>Успешно</t>
        </is>
      </c>
      <c r="N1277" s="1" t="inlineStr">
        <is>
          <t>19.07.2024</t>
        </is>
      </c>
      <c r="O1277" s="1" t="inlineStr"/>
      <c r="P1277" s="1" t="inlineStr"/>
      <c r="Q1277" s="1" t="inlineStr">
        <is>
          <t>Пользовательский интерфейс</t>
        </is>
      </c>
    </row>
    <row r="1278">
      <c r="B1278" s="1" t="inlineStr">
        <is>
          <t>68090128</t>
        </is>
      </c>
      <c r="C1278" s="1" t="inlineStr">
        <is>
          <t>5245589</t>
        </is>
      </c>
      <c r="D1278" t="inlineStr">
        <is>
          <t>работник 373</t>
        </is>
      </c>
      <c r="E1278" s="1" t="inlineStr">
        <is>
          <t>ОБЩЕСТВО С ОГРАНИЧЕННОЙ ОТВЕТСТВЕННОСТЬЮ "АМУР ЗОЛОТО"</t>
        </is>
      </c>
      <c r="F1278" s="1" t="inlineStr">
        <is>
          <t>2708001686</t>
        </is>
      </c>
      <c r="G1278" s="1" t="inlineStr">
        <is>
          <t>Инженр хемического анариза</t>
        </is>
      </c>
      <c r="H1278" s="1" t="inlineStr">
        <is>
          <t>ООО "Амур Золото"</t>
        </is>
      </c>
      <c r="I1278" s="1" t="inlineStr">
        <is>
          <t>2708001686</t>
        </is>
      </c>
      <c r="J1278" s="1" t="inlineStr">
        <is>
          <t>ОТ № ЮГОК ПАЛ 24-03</t>
        </is>
      </c>
      <c r="K127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278" s="1" t="inlineStr">
        <is>
          <t>13.07.2024</t>
        </is>
      </c>
      <c r="M1278" s="1" t="inlineStr">
        <is>
          <t>Успешно</t>
        </is>
      </c>
      <c r="N1278" s="1" t="inlineStr">
        <is>
          <t>19.07.2024</t>
        </is>
      </c>
      <c r="O1278" s="1" t="inlineStr"/>
      <c r="P1278" s="1" t="inlineStr"/>
      <c r="Q1278" s="1" t="inlineStr">
        <is>
          <t>Пользовательский интерфейс</t>
        </is>
      </c>
    </row>
    <row r="1279">
      <c r="B1279" s="1" t="inlineStr">
        <is>
          <t>68090129</t>
        </is>
      </c>
      <c r="C1279" s="1" t="inlineStr">
        <is>
          <t>5245589</t>
        </is>
      </c>
      <c r="D1279" t="inlineStr">
        <is>
          <t>работник 374</t>
        </is>
      </c>
      <c r="E1279" s="1" t="inlineStr">
        <is>
          <t>ОБЩЕСТВО С ОГРАНИЧЕННОЙ ОТВЕТСТВЕННОСТЬЮ "АМУР ЗОЛОТО"</t>
        </is>
      </c>
      <c r="F1279" s="1" t="inlineStr">
        <is>
          <t>2708001686</t>
        </is>
      </c>
      <c r="G1279" s="1" t="inlineStr">
        <is>
          <t>Помощник машиниста  самоходной буровой установки</t>
        </is>
      </c>
      <c r="H1279" s="1" t="inlineStr">
        <is>
          <t>ООО "Амур Золото"</t>
        </is>
      </c>
      <c r="I1279" s="1" t="inlineStr">
        <is>
          <t>2708001686</t>
        </is>
      </c>
      <c r="J1279" s="1" t="inlineStr">
        <is>
          <t>ОТ № ЮГОК ПГУ 24-07</t>
        </is>
      </c>
      <c r="K1279" s="1" t="inlineStr">
        <is>
          <t>Оказание первой помощи пострадавшим</t>
        </is>
      </c>
      <c r="L1279" s="1" t="inlineStr">
        <is>
          <t>19.07.2024</t>
        </is>
      </c>
      <c r="M1279" s="1" t="inlineStr">
        <is>
          <t>Успешно</t>
        </is>
      </c>
      <c r="N1279" s="1" t="inlineStr">
        <is>
          <t>19.07.2024</t>
        </is>
      </c>
      <c r="O1279" s="1" t="inlineStr"/>
      <c r="P1279" s="1" t="inlineStr"/>
      <c r="Q1279" s="1" t="inlineStr">
        <is>
          <t>Пользовательский интерфейс</t>
        </is>
      </c>
    </row>
    <row r="1280">
      <c r="B1280" s="1" t="inlineStr">
        <is>
          <t>68090130</t>
        </is>
      </c>
      <c r="C1280" s="1" t="inlineStr">
        <is>
          <t>5245589</t>
        </is>
      </c>
      <c r="D1280" t="inlineStr">
        <is>
          <t>работник 374</t>
        </is>
      </c>
      <c r="E1280" s="1" t="inlineStr">
        <is>
          <t>ОБЩЕСТВО С ОГРАНИЧЕННОЙ ОТВЕТСТВЕННОСТЬЮ "АМУР ЗОЛОТО"</t>
        </is>
      </c>
      <c r="F1280" s="1" t="inlineStr">
        <is>
          <t>2708001686</t>
        </is>
      </c>
      <c r="G1280" s="1" t="inlineStr">
        <is>
          <t>Помощник машиниста  самоходной буровой установки</t>
        </is>
      </c>
      <c r="H1280" s="1" t="inlineStr">
        <is>
          <t>ООО "Амур Золото"</t>
        </is>
      </c>
      <c r="I1280" s="1" t="inlineStr">
        <is>
          <t>2708001686</t>
        </is>
      </c>
      <c r="J1280" s="1" t="inlineStr">
        <is>
          <t>ОТ № ЮГОК ПГУ 24-07</t>
        </is>
      </c>
      <c r="K1280" s="1" t="inlineStr">
        <is>
          <t>Использование (применение) средств индивидуальной защиты</t>
        </is>
      </c>
      <c r="L1280" s="1" t="inlineStr">
        <is>
          <t>19.07.2024</t>
        </is>
      </c>
      <c r="M1280" s="1" t="inlineStr">
        <is>
          <t>Успешно</t>
        </is>
      </c>
      <c r="N1280" s="1" t="inlineStr">
        <is>
          <t>19.07.2024</t>
        </is>
      </c>
      <c r="O1280" s="1" t="inlineStr"/>
      <c r="P1280" s="1" t="inlineStr"/>
      <c r="Q1280" s="1" t="inlineStr">
        <is>
          <t>Пользовательский интерфейс</t>
        </is>
      </c>
    </row>
    <row r="1281">
      <c r="B1281" s="1" t="inlineStr">
        <is>
          <t>68090131</t>
        </is>
      </c>
      <c r="C1281" s="1" t="inlineStr">
        <is>
          <t>5245589</t>
        </is>
      </c>
      <c r="D1281" t="inlineStr">
        <is>
          <t>работник 374</t>
        </is>
      </c>
      <c r="E1281" s="1" t="inlineStr">
        <is>
          <t>ОБЩЕСТВО С ОГРАНИЧЕННОЙ ОТВЕТСТВЕННОСТЬЮ "АМУР ЗОЛОТО"</t>
        </is>
      </c>
      <c r="F1281" s="1" t="inlineStr">
        <is>
          <t>2708001686</t>
        </is>
      </c>
      <c r="G1281" s="1" t="inlineStr">
        <is>
          <t>Помощник машиниста  самоходной буровой установки</t>
        </is>
      </c>
      <c r="H1281" s="1" t="inlineStr">
        <is>
          <t>ООО "Амур Золото"</t>
        </is>
      </c>
      <c r="I1281" s="1" t="inlineStr">
        <is>
          <t>2708001686</t>
        </is>
      </c>
      <c r="J1281" s="1" t="inlineStr">
        <is>
          <t>ОТ № ЮГОК ПГУ 24-07</t>
        </is>
      </c>
      <c r="K128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281" s="1" t="inlineStr">
        <is>
          <t>19.07.2024</t>
        </is>
      </c>
      <c r="M1281" s="1" t="inlineStr">
        <is>
          <t>Успешно</t>
        </is>
      </c>
      <c r="N1281" s="1" t="inlineStr">
        <is>
          <t>19.07.2024</t>
        </is>
      </c>
      <c r="O1281" s="1" t="inlineStr"/>
      <c r="P1281" s="1" t="inlineStr"/>
      <c r="Q1281" s="1" t="inlineStr">
        <is>
          <t>Пользовательский интерфейс</t>
        </is>
      </c>
    </row>
    <row r="1282">
      <c r="B1282" s="1" t="inlineStr">
        <is>
          <t>68090132</t>
        </is>
      </c>
      <c r="C1282" s="1" t="inlineStr">
        <is>
          <t>5245589</t>
        </is>
      </c>
      <c r="D1282" t="inlineStr">
        <is>
          <t>работник 375</t>
        </is>
      </c>
      <c r="E1282" s="1" t="inlineStr">
        <is>
          <t>ОБЩЕСТВО С ОГРАНИЧЕННОЙ ОТВЕТСТВЕННОСТЬЮ "АМУР ЗОЛОТО"</t>
        </is>
      </c>
      <c r="F1282" s="1" t="inlineStr">
        <is>
          <t>2708001686</t>
        </is>
      </c>
      <c r="G1282" s="1" t="inlineStr">
        <is>
          <t>Крепильщик</t>
        </is>
      </c>
      <c r="H1282" s="1" t="inlineStr">
        <is>
          <t>ООО "Амур Золото"</t>
        </is>
      </c>
      <c r="I1282" s="1" t="inlineStr">
        <is>
          <t>2708001686</t>
        </is>
      </c>
      <c r="J1282" s="1" t="inlineStr">
        <is>
          <t>ОТ № ЮГОК ПГУ 24-09</t>
        </is>
      </c>
      <c r="K1282" s="1" t="inlineStr">
        <is>
          <t>Оказание первой помощи пострадавшим</t>
        </is>
      </c>
      <c r="L1282" s="1" t="inlineStr">
        <is>
          <t>19.07.2024</t>
        </is>
      </c>
      <c r="M1282" s="1" t="inlineStr">
        <is>
          <t>Успешно</t>
        </is>
      </c>
      <c r="N1282" s="1" t="inlineStr">
        <is>
          <t>19.07.2024</t>
        </is>
      </c>
      <c r="O1282" s="1" t="inlineStr"/>
      <c r="P1282" s="1" t="inlineStr"/>
      <c r="Q1282" s="1" t="inlineStr">
        <is>
          <t>Пользовательский интерфейс</t>
        </is>
      </c>
    </row>
    <row r="1283">
      <c r="B1283" s="1" t="inlineStr">
        <is>
          <t>68090133</t>
        </is>
      </c>
      <c r="C1283" s="1" t="inlineStr">
        <is>
          <t>5245589</t>
        </is>
      </c>
      <c r="D1283" t="inlineStr">
        <is>
          <t>работник 375</t>
        </is>
      </c>
      <c r="E1283" s="1" t="inlineStr">
        <is>
          <t>ОБЩЕСТВО С ОГРАНИЧЕННОЙ ОТВЕТСТВЕННОСТЬЮ "АМУР ЗОЛОТО"</t>
        </is>
      </c>
      <c r="F1283" s="1" t="inlineStr">
        <is>
          <t>2708001686</t>
        </is>
      </c>
      <c r="G1283" s="1" t="inlineStr">
        <is>
          <t>Крепильщик</t>
        </is>
      </c>
      <c r="H1283" s="1" t="inlineStr">
        <is>
          <t>ООО "Амур Золото"</t>
        </is>
      </c>
      <c r="I1283" s="1" t="inlineStr">
        <is>
          <t>2708001686</t>
        </is>
      </c>
      <c r="J1283" s="1" t="inlineStr">
        <is>
          <t>ОТ № ЮГОК ПГУ 24-09</t>
        </is>
      </c>
      <c r="K1283" s="1" t="inlineStr">
        <is>
          <t>Использование (применение) средств индивидуальной защиты</t>
        </is>
      </c>
      <c r="L1283" s="1" t="inlineStr">
        <is>
          <t>19.07.2024</t>
        </is>
      </c>
      <c r="M1283" s="1" t="inlineStr">
        <is>
          <t>Успешно</t>
        </is>
      </c>
      <c r="N1283" s="1" t="inlineStr">
        <is>
          <t>19.07.2024</t>
        </is>
      </c>
      <c r="O1283" s="1" t="inlineStr"/>
      <c r="P1283" s="1" t="inlineStr"/>
      <c r="Q1283" s="1" t="inlineStr">
        <is>
          <t>Пользовательский интерфейс</t>
        </is>
      </c>
    </row>
    <row r="1284">
      <c r="B1284" s="1" t="inlineStr">
        <is>
          <t>68090134</t>
        </is>
      </c>
      <c r="C1284" s="1" t="inlineStr">
        <is>
          <t>5245589</t>
        </is>
      </c>
      <c r="D1284" t="inlineStr">
        <is>
          <t>работник 375</t>
        </is>
      </c>
      <c r="E1284" s="1" t="inlineStr">
        <is>
          <t>ОБЩЕСТВО С ОГРАНИЧЕННОЙ ОТВЕТСТВЕННОСТЬЮ "АМУР ЗОЛОТО"</t>
        </is>
      </c>
      <c r="F1284" s="1" t="inlineStr">
        <is>
          <t>2708001686</t>
        </is>
      </c>
      <c r="G1284" s="1" t="inlineStr">
        <is>
          <t>Крепильщик</t>
        </is>
      </c>
      <c r="H1284" s="1" t="inlineStr">
        <is>
          <t>ООО "Амур Золото"</t>
        </is>
      </c>
      <c r="I1284" s="1" t="inlineStr">
        <is>
          <t>2708001686</t>
        </is>
      </c>
      <c r="J1284" s="1" t="inlineStr">
        <is>
          <t>ОТ № ЮГОК ПГУ 24-09</t>
        </is>
      </c>
      <c r="K128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284" s="1" t="inlineStr">
        <is>
          <t>19.07.2024</t>
        </is>
      </c>
      <c r="M1284" s="1" t="inlineStr">
        <is>
          <t>Успешно</t>
        </is>
      </c>
      <c r="N1284" s="1" t="inlineStr">
        <is>
          <t>19.07.2024</t>
        </is>
      </c>
      <c r="O1284" s="1" t="inlineStr"/>
      <c r="P1284" s="1" t="inlineStr"/>
      <c r="Q1284" s="1" t="inlineStr">
        <is>
          <t>Пользовательский интерфейс</t>
        </is>
      </c>
    </row>
    <row r="1285">
      <c r="B1285" s="1" t="inlineStr">
        <is>
          <t>68090135</t>
        </is>
      </c>
      <c r="C1285" s="1" t="inlineStr">
        <is>
          <t>5245589</t>
        </is>
      </c>
      <c r="D1285" t="inlineStr">
        <is>
          <t>работник 65</t>
        </is>
      </c>
      <c r="E1285" s="1" t="inlineStr">
        <is>
          <t>ОБЩЕСТВО С ОГРАНИЧЕННОЙ ОТВЕТСТВЕННОСТЬЮ "АМУР ЗОЛОТО"</t>
        </is>
      </c>
      <c r="F1285" s="1" t="inlineStr">
        <is>
          <t>2708001686</t>
        </is>
      </c>
      <c r="G1285" s="1" t="inlineStr">
        <is>
          <t>Помошник машиниста самоходной буровой установки</t>
        </is>
      </c>
      <c r="H1285" s="1" t="inlineStr">
        <is>
          <t>ООО "Амур Золото"</t>
        </is>
      </c>
      <c r="I1285" s="1" t="inlineStr">
        <is>
          <t>2708001686</t>
        </is>
      </c>
      <c r="J1285" s="1" t="inlineStr">
        <is>
          <t>ОТ № ЮГОК ПГУ 24-10</t>
        </is>
      </c>
      <c r="K1285" s="1" t="inlineStr">
        <is>
          <t>Оказание первой помощи пострадавшим</t>
        </is>
      </c>
      <c r="L1285" s="1" t="inlineStr">
        <is>
          <t>19.07.2024</t>
        </is>
      </c>
      <c r="M1285" s="1" t="inlineStr">
        <is>
          <t>Успешно</t>
        </is>
      </c>
      <c r="N1285" s="1" t="inlineStr">
        <is>
          <t>19.07.2024</t>
        </is>
      </c>
      <c r="O1285" s="1" t="inlineStr"/>
      <c r="P1285" s="1" t="inlineStr"/>
      <c r="Q1285" s="1" t="inlineStr">
        <is>
          <t>Пользовательский интерфейс</t>
        </is>
      </c>
    </row>
    <row r="1286">
      <c r="B1286" s="1" t="inlineStr">
        <is>
          <t>68090136</t>
        </is>
      </c>
      <c r="C1286" s="1" t="inlineStr">
        <is>
          <t>5245589</t>
        </is>
      </c>
      <c r="D1286" t="inlineStr">
        <is>
          <t>работник 65</t>
        </is>
      </c>
      <c r="E1286" s="1" t="inlineStr">
        <is>
          <t>ОБЩЕСТВО С ОГРАНИЧЕННОЙ ОТВЕТСТВЕННОСТЬЮ "АМУР ЗОЛОТО"</t>
        </is>
      </c>
      <c r="F1286" s="1" t="inlineStr">
        <is>
          <t>2708001686</t>
        </is>
      </c>
      <c r="G1286" s="1" t="inlineStr">
        <is>
          <t>Помошник машиниста самоходной буровой установки</t>
        </is>
      </c>
      <c r="H1286" s="1" t="inlineStr">
        <is>
          <t>ООО "Амур Золото"</t>
        </is>
      </c>
      <c r="I1286" s="1" t="inlineStr">
        <is>
          <t>2708001686</t>
        </is>
      </c>
      <c r="J1286" s="1" t="inlineStr">
        <is>
          <t>ОТ № ЮГОК ПГУ 24-10</t>
        </is>
      </c>
      <c r="K1286" s="1" t="inlineStr">
        <is>
          <t>Использование (применение) средств индивидуальной защиты</t>
        </is>
      </c>
      <c r="L1286" s="1" t="inlineStr">
        <is>
          <t>19.07.2024</t>
        </is>
      </c>
      <c r="M1286" s="1" t="inlineStr">
        <is>
          <t>Успешно</t>
        </is>
      </c>
      <c r="N1286" s="1" t="inlineStr">
        <is>
          <t>19.07.2024</t>
        </is>
      </c>
      <c r="O1286" s="1" t="inlineStr"/>
      <c r="P1286" s="1" t="inlineStr"/>
      <c r="Q1286" s="1" t="inlineStr">
        <is>
          <t>Пользовательский интерфейс</t>
        </is>
      </c>
    </row>
    <row r="1287">
      <c r="B1287" s="1" t="inlineStr">
        <is>
          <t>68090137</t>
        </is>
      </c>
      <c r="C1287" s="1" t="inlineStr">
        <is>
          <t>5245589</t>
        </is>
      </c>
      <c r="D1287" t="inlineStr">
        <is>
          <t>работник 65</t>
        </is>
      </c>
      <c r="E1287" s="1" t="inlineStr">
        <is>
          <t>ОБЩЕСТВО С ОГРАНИЧЕННОЙ ОТВЕТСТВЕННОСТЬЮ "АМУР ЗОЛОТО"</t>
        </is>
      </c>
      <c r="F1287" s="1" t="inlineStr">
        <is>
          <t>2708001686</t>
        </is>
      </c>
      <c r="G1287" s="1" t="inlineStr">
        <is>
          <t>Помошник машиниста самоходной буровой установки</t>
        </is>
      </c>
      <c r="H1287" s="1" t="inlineStr">
        <is>
          <t>ООО "Амур Золото"</t>
        </is>
      </c>
      <c r="I1287" s="1" t="inlineStr">
        <is>
          <t>2708001686</t>
        </is>
      </c>
      <c r="J1287" s="1" t="inlineStr">
        <is>
          <t>ОТ № ЮГОК ПГУ 24-10</t>
        </is>
      </c>
      <c r="K128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287" s="1" t="inlineStr">
        <is>
          <t>19.07.2024</t>
        </is>
      </c>
      <c r="M1287" s="1" t="inlineStr">
        <is>
          <t>Успешно</t>
        </is>
      </c>
      <c r="N1287" s="1" t="inlineStr">
        <is>
          <t>19.07.2024</t>
        </is>
      </c>
      <c r="O1287" s="1" t="inlineStr"/>
      <c r="P1287" s="1" t="inlineStr"/>
      <c r="Q1287" s="1" t="inlineStr">
        <is>
          <t>Пользовательский интерфейс</t>
        </is>
      </c>
    </row>
    <row r="1288">
      <c r="B1288" s="1" t="inlineStr">
        <is>
          <t>68090138</t>
        </is>
      </c>
      <c r="C1288" s="1" t="inlineStr">
        <is>
          <t>5245589</t>
        </is>
      </c>
      <c r="D1288" t="inlineStr">
        <is>
          <t>работник 376</t>
        </is>
      </c>
      <c r="E1288" s="1" t="inlineStr">
        <is>
          <t>ОБЩЕСТВО С ОГРАНИЧЕННОЙ ОТВЕТСТВЕННОСТЬЮ "АМУР ЗОЛОТО"</t>
        </is>
      </c>
      <c r="F1288" s="1" t="inlineStr">
        <is>
          <t>2708001686</t>
        </is>
      </c>
      <c r="G1288" s="1" t="inlineStr">
        <is>
          <t>Кладовщик</t>
        </is>
      </c>
      <c r="H1288" s="1" t="inlineStr">
        <is>
          <t>ООО "Амур Золото"</t>
        </is>
      </c>
      <c r="I1288" s="1" t="inlineStr">
        <is>
          <t>2708001686</t>
        </is>
      </c>
      <c r="J1288" s="1" t="inlineStr">
        <is>
          <t>ОТ № ЮГОК СК 24-05</t>
        </is>
      </c>
      <c r="K1288" s="1" t="inlineStr">
        <is>
          <t>Оказание первой помощи пострадавшим</t>
        </is>
      </c>
      <c r="L1288" s="1" t="inlineStr">
        <is>
          <t>15.07.2024</t>
        </is>
      </c>
      <c r="M1288" s="1" t="inlineStr">
        <is>
          <t>Успешно</t>
        </is>
      </c>
      <c r="N1288" s="1" t="inlineStr">
        <is>
          <t>19.07.2024</t>
        </is>
      </c>
      <c r="O1288" s="1" t="inlineStr"/>
      <c r="P1288" s="1" t="inlineStr"/>
      <c r="Q1288" s="1" t="inlineStr">
        <is>
          <t>Пользовательский интерфейс</t>
        </is>
      </c>
    </row>
    <row r="1289">
      <c r="B1289" s="1" t="inlineStr">
        <is>
          <t>68090139</t>
        </is>
      </c>
      <c r="C1289" s="1" t="inlineStr">
        <is>
          <t>5245589</t>
        </is>
      </c>
      <c r="D1289" t="inlineStr">
        <is>
          <t>работник 376</t>
        </is>
      </c>
      <c r="E1289" s="1" t="inlineStr">
        <is>
          <t>ОБЩЕСТВО С ОГРАНИЧЕННОЙ ОТВЕТСТВЕННОСТЬЮ "АМУР ЗОЛОТО"</t>
        </is>
      </c>
      <c r="F1289" s="1" t="inlineStr">
        <is>
          <t>2708001686</t>
        </is>
      </c>
      <c r="G1289" s="1" t="inlineStr">
        <is>
          <t>Кладовщик</t>
        </is>
      </c>
      <c r="H1289" s="1" t="inlineStr">
        <is>
          <t>ООО "Амур Золото"</t>
        </is>
      </c>
      <c r="I1289" s="1" t="inlineStr">
        <is>
          <t>2708001686</t>
        </is>
      </c>
      <c r="J1289" s="1" t="inlineStr">
        <is>
          <t>ОТ № ЮГОК СК 24-05</t>
        </is>
      </c>
      <c r="K1289" s="1" t="inlineStr">
        <is>
          <t>Использование (применение) средств индивидуальной защиты</t>
        </is>
      </c>
      <c r="L1289" s="1" t="inlineStr">
        <is>
          <t>15.07.2024</t>
        </is>
      </c>
      <c r="M1289" s="1" t="inlineStr">
        <is>
          <t>Успешно</t>
        </is>
      </c>
      <c r="N1289" s="1" t="inlineStr">
        <is>
          <t>19.07.2024</t>
        </is>
      </c>
      <c r="O1289" s="1" t="inlineStr"/>
      <c r="P1289" s="1" t="inlineStr"/>
      <c r="Q1289" s="1" t="inlineStr">
        <is>
          <t>Пользовательский интерфейс</t>
        </is>
      </c>
    </row>
    <row r="1290">
      <c r="B1290" s="1" t="inlineStr">
        <is>
          <t>68090140</t>
        </is>
      </c>
      <c r="C1290" s="1" t="inlineStr">
        <is>
          <t>5245589</t>
        </is>
      </c>
      <c r="D1290" t="inlineStr">
        <is>
          <t>работник 376</t>
        </is>
      </c>
      <c r="E1290" s="1" t="inlineStr">
        <is>
          <t>ОБЩЕСТВО С ОГРАНИЧЕННОЙ ОТВЕТСТВЕННОСТЬЮ "АМУР ЗОЛОТО"</t>
        </is>
      </c>
      <c r="F1290" s="1" t="inlineStr">
        <is>
          <t>2708001686</t>
        </is>
      </c>
      <c r="G1290" s="1" t="inlineStr">
        <is>
          <t>Кладовщик</t>
        </is>
      </c>
      <c r="H1290" s="1" t="inlineStr">
        <is>
          <t>ООО "Амур Золото"</t>
        </is>
      </c>
      <c r="I1290" s="1" t="inlineStr">
        <is>
          <t>2708001686</t>
        </is>
      </c>
      <c r="J1290" s="1" t="inlineStr">
        <is>
          <t>ОТ № ЮГОК СК 24-05</t>
        </is>
      </c>
      <c r="K129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290" s="1" t="inlineStr">
        <is>
          <t>15.07.2024</t>
        </is>
      </c>
      <c r="M1290" s="1" t="inlineStr">
        <is>
          <t>Успешно</t>
        </is>
      </c>
      <c r="N1290" s="1" t="inlineStr">
        <is>
          <t>19.07.2024</t>
        </is>
      </c>
      <c r="O1290" s="1" t="inlineStr"/>
      <c r="P1290" s="1" t="inlineStr"/>
      <c r="Q1290" s="1" t="inlineStr">
        <is>
          <t>Пользовательский интерфейс</t>
        </is>
      </c>
    </row>
    <row r="1291">
      <c r="B1291" s="1" t="inlineStr">
        <is>
          <t>68090141</t>
        </is>
      </c>
      <c r="C1291" s="1" t="inlineStr">
        <is>
          <t>5245589</t>
        </is>
      </c>
      <c r="D1291" t="inlineStr">
        <is>
          <t>работник 377</t>
        </is>
      </c>
      <c r="E1291" s="1" t="inlineStr">
        <is>
          <t>ОБЩЕСТВО С ОГРАНИЧЕННОЙ ОТВЕТСТВЕННОСТЬЮ "АМУР ЗОЛОТО"</t>
        </is>
      </c>
      <c r="F1291" s="1" t="inlineStr">
        <is>
          <t>2708001686</t>
        </is>
      </c>
      <c r="G1291" s="1" t="inlineStr">
        <is>
          <t>Стропальщик (с исполнением обязанностей грузчика</t>
        </is>
      </c>
      <c r="H1291" s="1" t="inlineStr">
        <is>
          <t>ООО "Амур Золото"</t>
        </is>
      </c>
      <c r="I1291" s="1" t="inlineStr">
        <is>
          <t>2708001686</t>
        </is>
      </c>
      <c r="J1291" s="1" t="inlineStr">
        <is>
          <t>ОТ № ЮГОК СК 24-05</t>
        </is>
      </c>
      <c r="K1291" s="1" t="inlineStr">
        <is>
          <t>Оказание первой помощи пострадавшим</t>
        </is>
      </c>
      <c r="L1291" s="1" t="inlineStr">
        <is>
          <t>15.07.2024</t>
        </is>
      </c>
      <c r="M1291" s="1" t="inlineStr">
        <is>
          <t>Успешно</t>
        </is>
      </c>
      <c r="N1291" s="1" t="inlineStr">
        <is>
          <t>19.07.2024</t>
        </is>
      </c>
      <c r="O1291" s="1" t="inlineStr"/>
      <c r="P1291" s="1" t="inlineStr"/>
      <c r="Q1291" s="1" t="inlineStr">
        <is>
          <t>Пользовательский интерфейс</t>
        </is>
      </c>
    </row>
    <row r="1292">
      <c r="B1292" s="1" t="inlineStr">
        <is>
          <t>68090142</t>
        </is>
      </c>
      <c r="C1292" s="1" t="inlineStr">
        <is>
          <t>5245589</t>
        </is>
      </c>
      <c r="D1292" t="inlineStr">
        <is>
          <t>работник 377</t>
        </is>
      </c>
      <c r="E1292" s="1" t="inlineStr">
        <is>
          <t>ОБЩЕСТВО С ОГРАНИЧЕННОЙ ОТВЕТСТВЕННОСТЬЮ "АМУР ЗОЛОТО"</t>
        </is>
      </c>
      <c r="F1292" s="1" t="inlineStr">
        <is>
          <t>2708001686</t>
        </is>
      </c>
      <c r="G1292" s="1" t="inlineStr">
        <is>
          <t>Стропальщик (с исполнением обязанностей грузчика</t>
        </is>
      </c>
      <c r="H1292" s="1" t="inlineStr">
        <is>
          <t>ООО "Амур Золото"</t>
        </is>
      </c>
      <c r="I1292" s="1" t="inlineStr">
        <is>
          <t>2708001686</t>
        </is>
      </c>
      <c r="J1292" s="1" t="inlineStr">
        <is>
          <t>ОТ № ЮГОК СК 24-05</t>
        </is>
      </c>
      <c r="K1292" s="1" t="inlineStr">
        <is>
          <t>Использование (применение) средств индивидуальной защиты</t>
        </is>
      </c>
      <c r="L1292" s="1" t="inlineStr">
        <is>
          <t>15.07.2024</t>
        </is>
      </c>
      <c r="M1292" s="1" t="inlineStr">
        <is>
          <t>Успешно</t>
        </is>
      </c>
      <c r="N1292" s="1" t="inlineStr">
        <is>
          <t>19.07.2024</t>
        </is>
      </c>
      <c r="O1292" s="1" t="inlineStr"/>
      <c r="P1292" s="1" t="inlineStr"/>
      <c r="Q1292" s="1" t="inlineStr">
        <is>
          <t>Пользовательский интерфейс</t>
        </is>
      </c>
    </row>
    <row r="1293">
      <c r="B1293" s="1" t="inlineStr">
        <is>
          <t>68090143</t>
        </is>
      </c>
      <c r="C1293" s="1" t="inlineStr">
        <is>
          <t>5245589</t>
        </is>
      </c>
      <c r="D1293" t="inlineStr">
        <is>
          <t>работник 377</t>
        </is>
      </c>
      <c r="E1293" s="1" t="inlineStr">
        <is>
          <t>ОБЩЕСТВО С ОГРАНИЧЕННОЙ ОТВЕТСТВЕННОСТЬЮ "АМУР ЗОЛОТО"</t>
        </is>
      </c>
      <c r="F1293" s="1" t="inlineStr">
        <is>
          <t>2708001686</t>
        </is>
      </c>
      <c r="G1293" s="1" t="inlineStr">
        <is>
          <t>Стропальщик (с исполнением обязанностей грузчика</t>
        </is>
      </c>
      <c r="H1293" s="1" t="inlineStr">
        <is>
          <t>ООО "Амур Золото"</t>
        </is>
      </c>
      <c r="I1293" s="1" t="inlineStr">
        <is>
          <t>2708001686</t>
        </is>
      </c>
      <c r="J1293" s="1" t="inlineStr">
        <is>
          <t>ОТ № ЮГОК СК 24-05</t>
        </is>
      </c>
      <c r="K129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293" s="1" t="inlineStr">
        <is>
          <t>15.07.2024</t>
        </is>
      </c>
      <c r="M1293" s="1" t="inlineStr">
        <is>
          <t>Успешно</t>
        </is>
      </c>
      <c r="N1293" s="1" t="inlineStr">
        <is>
          <t>19.07.2024</t>
        </is>
      </c>
      <c r="O1293" s="1" t="inlineStr"/>
      <c r="P1293" s="1" t="inlineStr"/>
      <c r="Q1293" s="1" t="inlineStr">
        <is>
          <t>Пользовательский интерфейс</t>
        </is>
      </c>
    </row>
    <row r="1294">
      <c r="B1294" s="1" t="inlineStr">
        <is>
          <t>68090144</t>
        </is>
      </c>
      <c r="C1294" s="1" t="inlineStr">
        <is>
          <t>5245589</t>
        </is>
      </c>
      <c r="D1294" t="inlineStr">
        <is>
          <t>работник 378</t>
        </is>
      </c>
      <c r="E1294" s="1" t="inlineStr">
        <is>
          <t>ОБЩЕСТВО С ОГРАНИЧЕННОЙ ОТВЕТСТВЕННОСТЬЮ "АМУР ЗОЛОТО"</t>
        </is>
      </c>
      <c r="F1294" s="1" t="inlineStr">
        <is>
          <t>2708001686</t>
        </is>
      </c>
      <c r="G1294" s="1" t="inlineStr">
        <is>
          <t>Стопальщик</t>
        </is>
      </c>
      <c r="H1294" s="1" t="inlineStr">
        <is>
          <t>ООО "Амур Золото"</t>
        </is>
      </c>
      <c r="I1294" s="1" t="inlineStr">
        <is>
          <t>2708001686</t>
        </is>
      </c>
      <c r="J1294" s="1" t="inlineStr">
        <is>
          <t>ОТ № ЮГОК СК 24-06</t>
        </is>
      </c>
      <c r="K1294" s="1" t="inlineStr">
        <is>
          <t>Оказание первой помощи пострадавшим</t>
        </is>
      </c>
      <c r="L1294" s="1" t="inlineStr">
        <is>
          <t>18.07.2024</t>
        </is>
      </c>
      <c r="M1294" s="1" t="inlineStr">
        <is>
          <t>Успешно</t>
        </is>
      </c>
      <c r="N1294" s="1" t="inlineStr">
        <is>
          <t>19.07.2024</t>
        </is>
      </c>
      <c r="O1294" s="1" t="inlineStr"/>
      <c r="P1294" s="1" t="inlineStr"/>
      <c r="Q1294" s="1" t="inlineStr">
        <is>
          <t>Пользовательский интерфейс</t>
        </is>
      </c>
    </row>
    <row r="1295">
      <c r="B1295" s="1" t="inlineStr">
        <is>
          <t>68090145</t>
        </is>
      </c>
      <c r="C1295" s="1" t="inlineStr">
        <is>
          <t>5245589</t>
        </is>
      </c>
      <c r="D1295" t="inlineStr">
        <is>
          <t>работник 378</t>
        </is>
      </c>
      <c r="E1295" s="1" t="inlineStr">
        <is>
          <t>ОБЩЕСТВО С ОГРАНИЧЕННОЙ ОТВЕТСТВЕННОСТЬЮ "АМУР ЗОЛОТО"</t>
        </is>
      </c>
      <c r="F1295" s="1" t="inlineStr">
        <is>
          <t>2708001686</t>
        </is>
      </c>
      <c r="G1295" s="1" t="inlineStr">
        <is>
          <t>Стопальщик</t>
        </is>
      </c>
      <c r="H1295" s="1" t="inlineStr">
        <is>
          <t>ООО "Амур Золото"</t>
        </is>
      </c>
      <c r="I1295" s="1" t="inlineStr">
        <is>
          <t>2708001686</t>
        </is>
      </c>
      <c r="J1295" s="1" t="inlineStr">
        <is>
          <t>ОТ № ЮГОК СК 24-06</t>
        </is>
      </c>
      <c r="K1295" s="1" t="inlineStr">
        <is>
          <t>Использование (применение) средств индивидуальной защиты</t>
        </is>
      </c>
      <c r="L1295" s="1" t="inlineStr">
        <is>
          <t>18.07.2024</t>
        </is>
      </c>
      <c r="M1295" s="1" t="inlineStr">
        <is>
          <t>Успешно</t>
        </is>
      </c>
      <c r="N1295" s="1" t="inlineStr">
        <is>
          <t>19.07.2024</t>
        </is>
      </c>
      <c r="O1295" s="1" t="inlineStr"/>
      <c r="P1295" s="1" t="inlineStr"/>
      <c r="Q1295" s="1" t="inlineStr">
        <is>
          <t>Пользовательский интерфейс</t>
        </is>
      </c>
    </row>
    <row r="1296">
      <c r="B1296" s="1" t="inlineStr">
        <is>
          <t>68090146</t>
        </is>
      </c>
      <c r="C1296" s="1" t="inlineStr">
        <is>
          <t>5245589</t>
        </is>
      </c>
      <c r="D1296" t="inlineStr">
        <is>
          <t>работник 378</t>
        </is>
      </c>
      <c r="E1296" s="1" t="inlineStr">
        <is>
          <t>ОБЩЕСТВО С ОГРАНИЧЕННОЙ ОТВЕТСТВЕННОСТЬЮ "АМУР ЗОЛОТО"</t>
        </is>
      </c>
      <c r="F1296" s="1" t="inlineStr">
        <is>
          <t>2708001686</t>
        </is>
      </c>
      <c r="G1296" s="1" t="inlineStr">
        <is>
          <t>Стопальщик</t>
        </is>
      </c>
      <c r="H1296" s="1" t="inlineStr">
        <is>
          <t>ООО "Амур Золото"</t>
        </is>
      </c>
      <c r="I1296" s="1" t="inlineStr">
        <is>
          <t>2708001686</t>
        </is>
      </c>
      <c r="J1296" s="1" t="inlineStr">
        <is>
          <t>ОТ № ЮГОК СК 24-06</t>
        </is>
      </c>
      <c r="K129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296" s="1" t="inlineStr">
        <is>
          <t>18.07.2024</t>
        </is>
      </c>
      <c r="M1296" s="1" t="inlineStr">
        <is>
          <t>Успешно</t>
        </is>
      </c>
      <c r="N1296" s="1" t="inlineStr">
        <is>
          <t>19.07.2024</t>
        </is>
      </c>
      <c r="O1296" s="1" t="inlineStr"/>
      <c r="P1296" s="1" t="inlineStr"/>
      <c r="Q1296" s="1" t="inlineStr">
        <is>
          <t>Пользовательский интерфейс</t>
        </is>
      </c>
    </row>
    <row r="1297">
      <c r="B1297" s="1" t="inlineStr">
        <is>
          <t>68090147</t>
        </is>
      </c>
      <c r="C1297" s="1" t="inlineStr">
        <is>
          <t>5245589</t>
        </is>
      </c>
      <c r="D1297" t="inlineStr">
        <is>
          <t>работник 379</t>
        </is>
      </c>
      <c r="E1297" s="1" t="inlineStr">
        <is>
          <t>ОБЩЕСТВО С ОГРАНИЧЕННОЙ ОТВЕТСТВЕННОСТЬЮ "АМУР ЗОЛОТО"</t>
        </is>
      </c>
      <c r="F1297" s="1" t="inlineStr">
        <is>
          <t>2708001686</t>
        </is>
      </c>
      <c r="G1297" s="1" t="inlineStr">
        <is>
          <t>Машинист двигателей внутреннего сгорания</t>
        </is>
      </c>
      <c r="H1297" s="1" t="inlineStr">
        <is>
          <t>ООО "Амур Золото"</t>
        </is>
      </c>
      <c r="I1297" s="1" t="inlineStr">
        <is>
          <t>2708001686</t>
        </is>
      </c>
      <c r="J1297" s="1" t="inlineStr">
        <is>
          <t>ОТ № ЮГОК ЭУ 24-20</t>
        </is>
      </c>
      <c r="K1297" s="1" t="inlineStr">
        <is>
          <t>Оказание первой помощи пострадавшим</t>
        </is>
      </c>
      <c r="L1297" s="1" t="inlineStr">
        <is>
          <t>14.07.2024</t>
        </is>
      </c>
      <c r="M1297" s="1" t="inlineStr">
        <is>
          <t>Успешно</t>
        </is>
      </c>
      <c r="N1297" s="1" t="inlineStr">
        <is>
          <t>19.07.2024</t>
        </is>
      </c>
      <c r="O1297" s="1" t="inlineStr"/>
      <c r="P1297" s="1" t="inlineStr"/>
      <c r="Q1297" s="1" t="inlineStr">
        <is>
          <t>Пользовательский интерфейс</t>
        </is>
      </c>
    </row>
    <row r="1298">
      <c r="B1298" s="1" t="inlineStr">
        <is>
          <t>68090148</t>
        </is>
      </c>
      <c r="C1298" s="1" t="inlineStr">
        <is>
          <t>5245589</t>
        </is>
      </c>
      <c r="D1298" t="inlineStr">
        <is>
          <t>работник 379</t>
        </is>
      </c>
      <c r="E1298" s="1" t="inlineStr">
        <is>
          <t>ОБЩЕСТВО С ОГРАНИЧЕННОЙ ОТВЕТСТВЕННОСТЬЮ "АМУР ЗОЛОТО"</t>
        </is>
      </c>
      <c r="F1298" s="1" t="inlineStr">
        <is>
          <t>2708001686</t>
        </is>
      </c>
      <c r="G1298" s="1" t="inlineStr">
        <is>
          <t>Машинист двигателей внутреннего сгорания</t>
        </is>
      </c>
      <c r="H1298" s="1" t="inlineStr">
        <is>
          <t>ООО "Амур Золото"</t>
        </is>
      </c>
      <c r="I1298" s="1" t="inlineStr">
        <is>
          <t>2708001686</t>
        </is>
      </c>
      <c r="J1298" s="1" t="inlineStr">
        <is>
          <t>ОТ № ЮГОК ЭУ 24-20</t>
        </is>
      </c>
      <c r="K1298" s="1" t="inlineStr">
        <is>
          <t>Использование (применение) средств индивидуальной защиты</t>
        </is>
      </c>
      <c r="L1298" s="1" t="inlineStr">
        <is>
          <t>14.07.2024</t>
        </is>
      </c>
      <c r="M1298" s="1" t="inlineStr">
        <is>
          <t>Успешно</t>
        </is>
      </c>
      <c r="N1298" s="1" t="inlineStr">
        <is>
          <t>19.07.2024</t>
        </is>
      </c>
      <c r="O1298" s="1" t="inlineStr"/>
      <c r="P1298" s="1" t="inlineStr"/>
      <c r="Q1298" s="1" t="inlineStr">
        <is>
          <t>Пользовательский интерфейс</t>
        </is>
      </c>
    </row>
    <row r="1299">
      <c r="B1299" s="1" t="inlineStr">
        <is>
          <t>68090149</t>
        </is>
      </c>
      <c r="C1299" s="1" t="inlineStr">
        <is>
          <t>5245589</t>
        </is>
      </c>
      <c r="D1299" t="inlineStr">
        <is>
          <t>работник 379</t>
        </is>
      </c>
      <c r="E1299" s="1" t="inlineStr">
        <is>
          <t>ОБЩЕСТВО С ОГРАНИЧЕННОЙ ОТВЕТСТВЕННОСТЬЮ "АМУР ЗОЛОТО"</t>
        </is>
      </c>
      <c r="F1299" s="1" t="inlineStr">
        <is>
          <t>2708001686</t>
        </is>
      </c>
      <c r="G1299" s="1" t="inlineStr">
        <is>
          <t>Машинист двигателей внутреннего сгорания</t>
        </is>
      </c>
      <c r="H1299" s="1" t="inlineStr">
        <is>
          <t>ООО "Амур Золото"</t>
        </is>
      </c>
      <c r="I1299" s="1" t="inlineStr">
        <is>
          <t>2708001686</t>
        </is>
      </c>
      <c r="J1299" s="1" t="inlineStr">
        <is>
          <t>ОТ № ЮГОК ЭУ 24-20</t>
        </is>
      </c>
      <c r="K129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299" s="1" t="inlineStr">
        <is>
          <t>14.07.2024</t>
        </is>
      </c>
      <c r="M1299" s="1" t="inlineStr">
        <is>
          <t>Успешно</t>
        </is>
      </c>
      <c r="N1299" s="1" t="inlineStr">
        <is>
          <t>19.07.2024</t>
        </is>
      </c>
      <c r="O1299" s="1" t="inlineStr"/>
      <c r="P1299" s="1" t="inlineStr"/>
      <c r="Q1299" s="1" t="inlineStr">
        <is>
          <t>Пользовательский интерфейс</t>
        </is>
      </c>
    </row>
    <row r="1300">
      <c r="B1300" s="1" t="inlineStr">
        <is>
          <t>68090150</t>
        </is>
      </c>
      <c r="C1300" s="1" t="inlineStr">
        <is>
          <t>5245589</t>
        </is>
      </c>
      <c r="D1300" t="inlineStr">
        <is>
          <t>работник 380</t>
        </is>
      </c>
      <c r="E1300" s="1" t="inlineStr">
        <is>
          <t>ОБЩЕСТВО С ОГРАНИЧЕННОЙ ОТВЕТСТВЕННОСТЬЮ "АМУР ЗОЛОТО"</t>
        </is>
      </c>
      <c r="F1300" s="1" t="inlineStr">
        <is>
          <t>2708001686</t>
        </is>
      </c>
      <c r="G1300" s="1" t="inlineStr">
        <is>
          <t>Машинист двигателей внутреннего сгорания c обязанностями компрессорщика</t>
        </is>
      </c>
      <c r="H1300" s="1" t="inlineStr">
        <is>
          <t>ООО "Амур Золото"</t>
        </is>
      </c>
      <c r="I1300" s="1" t="inlineStr">
        <is>
          <t>2708001686</t>
        </is>
      </c>
      <c r="J1300" s="1" t="inlineStr">
        <is>
          <t>ОТ № ЮГОК ЭУ 24-21</t>
        </is>
      </c>
      <c r="K1300" s="1" t="inlineStr">
        <is>
          <t>Оказание первой помощи пострадавшим</t>
        </is>
      </c>
      <c r="L1300" s="1" t="inlineStr">
        <is>
          <t>14.07.2024</t>
        </is>
      </c>
      <c r="M1300" s="1" t="inlineStr">
        <is>
          <t>Успешно</t>
        </is>
      </c>
      <c r="N1300" s="1" t="inlineStr">
        <is>
          <t>19.07.2024</t>
        </is>
      </c>
      <c r="O1300" s="1" t="inlineStr"/>
      <c r="P1300" s="1" t="inlineStr"/>
      <c r="Q1300" s="1" t="inlineStr">
        <is>
          <t>Пользовательский интерфейс</t>
        </is>
      </c>
    </row>
    <row r="1301">
      <c r="B1301" s="1" t="inlineStr">
        <is>
          <t>68090151</t>
        </is>
      </c>
      <c r="C1301" s="1" t="inlineStr">
        <is>
          <t>5245589</t>
        </is>
      </c>
      <c r="D1301" t="inlineStr">
        <is>
          <t>работник 380</t>
        </is>
      </c>
      <c r="E1301" s="1" t="inlineStr">
        <is>
          <t>ОБЩЕСТВО С ОГРАНИЧЕННОЙ ОТВЕТСТВЕННОСТЬЮ "АМУР ЗОЛОТО"</t>
        </is>
      </c>
      <c r="F1301" s="1" t="inlineStr">
        <is>
          <t>2708001686</t>
        </is>
      </c>
      <c r="G1301" s="1" t="inlineStr">
        <is>
          <t>Машинист двигателей внутреннего сгорания c обязанностями компрессорщика</t>
        </is>
      </c>
      <c r="H1301" s="1" t="inlineStr">
        <is>
          <t>ООО "Амур Золото"</t>
        </is>
      </c>
      <c r="I1301" s="1" t="inlineStr">
        <is>
          <t>2708001686</t>
        </is>
      </c>
      <c r="J1301" s="1" t="inlineStr">
        <is>
          <t>ОТ № ЮГОК ЭУ 24-21</t>
        </is>
      </c>
      <c r="K1301" s="1" t="inlineStr">
        <is>
          <t>Использование (применение) средств индивидуальной защиты</t>
        </is>
      </c>
      <c r="L1301" s="1" t="inlineStr">
        <is>
          <t>14.07.2024</t>
        </is>
      </c>
      <c r="M1301" s="1" t="inlineStr">
        <is>
          <t>Успешно</t>
        </is>
      </c>
      <c r="N1301" s="1" t="inlineStr">
        <is>
          <t>19.07.2024</t>
        </is>
      </c>
      <c r="O1301" s="1" t="inlineStr"/>
      <c r="P1301" s="1" t="inlineStr"/>
      <c r="Q1301" s="1" t="inlineStr">
        <is>
          <t>Пользовательский интерфейс</t>
        </is>
      </c>
    </row>
    <row r="1302">
      <c r="B1302" s="1" t="inlineStr">
        <is>
          <t>68090152</t>
        </is>
      </c>
      <c r="C1302" s="1" t="inlineStr">
        <is>
          <t>5245589</t>
        </is>
      </c>
      <c r="D1302" t="inlineStr">
        <is>
          <t>работник 380</t>
        </is>
      </c>
      <c r="E1302" s="1" t="inlineStr">
        <is>
          <t>ОБЩЕСТВО С ОГРАНИЧЕННОЙ ОТВЕТСТВЕННОСТЬЮ "АМУР ЗОЛОТО"</t>
        </is>
      </c>
      <c r="F1302" s="1" t="inlineStr">
        <is>
          <t>2708001686</t>
        </is>
      </c>
      <c r="G1302" s="1" t="inlineStr">
        <is>
          <t>Машинист двигателей внутреннего сгорания c обязанностями компрессорщика</t>
        </is>
      </c>
      <c r="H1302" s="1" t="inlineStr">
        <is>
          <t>ООО "Амур Золото"</t>
        </is>
      </c>
      <c r="I1302" s="1" t="inlineStr">
        <is>
          <t>2708001686</t>
        </is>
      </c>
      <c r="J1302" s="1" t="inlineStr">
        <is>
          <t>ОТ № ЮГОК ЭУ 24-21</t>
        </is>
      </c>
      <c r="K130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302" s="1" t="inlineStr">
        <is>
          <t>14.07.2024</t>
        </is>
      </c>
      <c r="M1302" s="1" t="inlineStr">
        <is>
          <t>Успешно</t>
        </is>
      </c>
      <c r="N1302" s="1" t="inlineStr">
        <is>
          <t>19.07.2024</t>
        </is>
      </c>
      <c r="O1302" s="1" t="inlineStr"/>
      <c r="P1302" s="1" t="inlineStr"/>
      <c r="Q1302" s="1" t="inlineStr">
        <is>
          <t>Пользовательский интерфейс</t>
        </is>
      </c>
    </row>
    <row r="1303">
      <c r="B1303" s="1" t="inlineStr">
        <is>
          <t>69620879</t>
        </is>
      </c>
      <c r="C1303" s="1" t="inlineStr">
        <is>
          <t>5369346</t>
        </is>
      </c>
      <c r="D1303" t="inlineStr">
        <is>
          <t>работник 381</t>
        </is>
      </c>
      <c r="E1303" s="1" t="inlineStr">
        <is>
          <t>ОБЩЕСТВО С ОГРАНИЧЕННОЙ ОТВЕТСТВЕННОСТЬЮ "АМУР ЗОЛОТО"</t>
        </is>
      </c>
      <c r="F1303" s="1" t="inlineStr">
        <is>
          <t>2708001686</t>
        </is>
      </c>
      <c r="G1303" s="1" t="inlineStr">
        <is>
          <t>Фильтровальщик</t>
        </is>
      </c>
      <c r="H1303" s="1" t="inlineStr">
        <is>
          <t>ООО "Амур Золото"</t>
        </is>
      </c>
      <c r="I1303" s="1" t="inlineStr">
        <is>
          <t>2708001686</t>
        </is>
      </c>
      <c r="J1303" s="1" t="inlineStr">
        <is>
          <t>ОТ № ЮГОК ЗИОФ 24-30</t>
        </is>
      </c>
      <c r="K1303" s="1" t="inlineStr">
        <is>
          <t>Оказание первой помощи пострадавшим</t>
        </is>
      </c>
      <c r="L1303" s="1" t="inlineStr">
        <is>
          <t>20.06.2024</t>
        </is>
      </c>
      <c r="M1303" s="1" t="inlineStr">
        <is>
          <t>Успешно</t>
        </is>
      </c>
      <c r="N1303" s="1" t="inlineStr">
        <is>
          <t>30.07.2024</t>
        </is>
      </c>
      <c r="O1303" s="1" t="inlineStr"/>
      <c r="P1303" s="1" t="inlineStr"/>
      <c r="Q1303" s="1" t="inlineStr">
        <is>
          <t>Пользовательский интерфейс</t>
        </is>
      </c>
    </row>
    <row r="1304">
      <c r="B1304" s="1" t="inlineStr">
        <is>
          <t>69620880</t>
        </is>
      </c>
      <c r="C1304" s="1" t="inlineStr">
        <is>
          <t>5369346</t>
        </is>
      </c>
      <c r="D1304" t="inlineStr">
        <is>
          <t>работник 381</t>
        </is>
      </c>
      <c r="E1304" s="1" t="inlineStr">
        <is>
          <t>ОБЩЕСТВО С ОГРАНИЧЕННОЙ ОТВЕТСТВЕННОСТЬЮ "АМУР ЗОЛОТО"</t>
        </is>
      </c>
      <c r="F1304" s="1" t="inlineStr">
        <is>
          <t>2708001686</t>
        </is>
      </c>
      <c r="G1304" s="1" t="inlineStr">
        <is>
          <t>Фильтровальщик</t>
        </is>
      </c>
      <c r="H1304" s="1" t="inlineStr">
        <is>
          <t>ООО "Амур Золото"</t>
        </is>
      </c>
      <c r="I1304" s="1" t="inlineStr">
        <is>
          <t>2708001686</t>
        </is>
      </c>
      <c r="J1304" s="1" t="inlineStr">
        <is>
          <t>ОТ № ЮГОК ЗИОФ 24-30</t>
        </is>
      </c>
      <c r="K1304" s="1" t="inlineStr">
        <is>
          <t>Использование (применение) средств индивидуальной защиты</t>
        </is>
      </c>
      <c r="L1304" s="1" t="inlineStr">
        <is>
          <t>20.06.2024</t>
        </is>
      </c>
      <c r="M1304" s="1" t="inlineStr">
        <is>
          <t>Успешно</t>
        </is>
      </c>
      <c r="N1304" s="1" t="inlineStr">
        <is>
          <t>30.07.2024</t>
        </is>
      </c>
      <c r="O1304" s="1" t="inlineStr"/>
      <c r="P1304" s="1" t="inlineStr"/>
      <c r="Q1304" s="1" t="inlineStr">
        <is>
          <t>Пользовательский интерфейс</t>
        </is>
      </c>
    </row>
    <row r="1305">
      <c r="B1305" s="1" t="inlineStr">
        <is>
          <t>69620881</t>
        </is>
      </c>
      <c r="C1305" s="1" t="inlineStr">
        <is>
          <t>5369346</t>
        </is>
      </c>
      <c r="D1305" t="inlineStr">
        <is>
          <t>работник 381</t>
        </is>
      </c>
      <c r="E1305" s="1" t="inlineStr">
        <is>
          <t>ОБЩЕСТВО С ОГРАНИЧЕННОЙ ОТВЕТСТВЕННОСТЬЮ "АМУР ЗОЛОТО"</t>
        </is>
      </c>
      <c r="F1305" s="1" t="inlineStr">
        <is>
          <t>2708001686</t>
        </is>
      </c>
      <c r="G1305" s="1" t="inlineStr">
        <is>
          <t>Фильтровальщик</t>
        </is>
      </c>
      <c r="H1305" s="1" t="inlineStr">
        <is>
          <t>ООО "Амур Золото"</t>
        </is>
      </c>
      <c r="I1305" s="1" t="inlineStr">
        <is>
          <t>2708001686</t>
        </is>
      </c>
      <c r="J1305" s="1" t="inlineStr">
        <is>
          <t>ОТ № ЮГОК ЗИОФ 24-30</t>
        </is>
      </c>
      <c r="K130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305" s="1" t="inlineStr">
        <is>
          <t>20.06.2024</t>
        </is>
      </c>
      <c r="M1305" s="1" t="inlineStr">
        <is>
          <t>Успешно</t>
        </is>
      </c>
      <c r="N1305" s="1" t="inlineStr">
        <is>
          <t>30.07.2024</t>
        </is>
      </c>
      <c r="O1305" s="1" t="inlineStr"/>
      <c r="P1305" s="1" t="inlineStr"/>
      <c r="Q1305" s="1" t="inlineStr">
        <is>
          <t>Пользовательский интерфейс</t>
        </is>
      </c>
    </row>
    <row r="1306">
      <c r="B1306" s="1" t="inlineStr">
        <is>
          <t>69620882</t>
        </is>
      </c>
      <c r="C1306" s="1" t="inlineStr">
        <is>
          <t>5369346</t>
        </is>
      </c>
      <c r="D1306" t="inlineStr">
        <is>
          <t>работник 382</t>
        </is>
      </c>
      <c r="E1306" s="1" t="inlineStr">
        <is>
          <t>ОБЩЕСТВО С ОГРАНИЧЕННОЙ ОТВЕТСТВЕННОСТЬЮ "АМУР ЗОЛОТО"</t>
        </is>
      </c>
      <c r="F1306" s="1" t="inlineStr">
        <is>
          <t>2708001686</t>
        </is>
      </c>
      <c r="G1306" s="1" t="inlineStr">
        <is>
          <t>Растворщик реагентов</t>
        </is>
      </c>
      <c r="H1306" s="1" t="inlineStr">
        <is>
          <t>ООО "Амур Золото"</t>
        </is>
      </c>
      <c r="I1306" s="1" t="inlineStr">
        <is>
          <t>2708001686</t>
        </is>
      </c>
      <c r="J1306" s="1" t="inlineStr">
        <is>
          <t>ОТ № ЮГОК ЗИОФ 24-30</t>
        </is>
      </c>
      <c r="K1306" s="1" t="inlineStr">
        <is>
          <t>Оказание первой помощи пострадавшим</t>
        </is>
      </c>
      <c r="L1306" s="1" t="inlineStr">
        <is>
          <t>20.06.2024</t>
        </is>
      </c>
      <c r="M1306" s="1" t="inlineStr">
        <is>
          <t>Успешно</t>
        </is>
      </c>
      <c r="N1306" s="1" t="inlineStr">
        <is>
          <t>30.07.2024</t>
        </is>
      </c>
      <c r="O1306" s="1" t="inlineStr"/>
      <c r="P1306" s="1" t="inlineStr"/>
      <c r="Q1306" s="1" t="inlineStr">
        <is>
          <t>Пользовательский интерфейс</t>
        </is>
      </c>
    </row>
    <row r="1307">
      <c r="B1307" s="1" t="inlineStr">
        <is>
          <t>69620883</t>
        </is>
      </c>
      <c r="C1307" s="1" t="inlineStr">
        <is>
          <t>5369346</t>
        </is>
      </c>
      <c r="D1307" t="inlineStr">
        <is>
          <t>работник 382</t>
        </is>
      </c>
      <c r="E1307" s="1" t="inlineStr">
        <is>
          <t>ОБЩЕСТВО С ОГРАНИЧЕННОЙ ОТВЕТСТВЕННОСТЬЮ "АМУР ЗОЛОТО"</t>
        </is>
      </c>
      <c r="F1307" s="1" t="inlineStr">
        <is>
          <t>2708001686</t>
        </is>
      </c>
      <c r="G1307" s="1" t="inlineStr">
        <is>
          <t>Растворщик реагентов</t>
        </is>
      </c>
      <c r="H1307" s="1" t="inlineStr">
        <is>
          <t>ООО "Амур Золото"</t>
        </is>
      </c>
      <c r="I1307" s="1" t="inlineStr">
        <is>
          <t>2708001686</t>
        </is>
      </c>
      <c r="J1307" s="1" t="inlineStr">
        <is>
          <t>ОТ № ЮГОК ЗИОФ 24-30</t>
        </is>
      </c>
      <c r="K1307" s="1" t="inlineStr">
        <is>
          <t>Использование (применение) средств индивидуальной защиты</t>
        </is>
      </c>
      <c r="L1307" s="1" t="inlineStr">
        <is>
          <t>20.06.2024</t>
        </is>
      </c>
      <c r="M1307" s="1" t="inlineStr">
        <is>
          <t>Успешно</t>
        </is>
      </c>
      <c r="N1307" s="1" t="inlineStr">
        <is>
          <t>30.07.2024</t>
        </is>
      </c>
      <c r="O1307" s="1" t="inlineStr"/>
      <c r="P1307" s="1" t="inlineStr"/>
      <c r="Q1307" s="1" t="inlineStr">
        <is>
          <t>Пользовательский интерфейс</t>
        </is>
      </c>
    </row>
    <row r="1308">
      <c r="B1308" s="1" t="inlineStr">
        <is>
          <t>69620884</t>
        </is>
      </c>
      <c r="C1308" s="1" t="inlineStr">
        <is>
          <t>5369346</t>
        </is>
      </c>
      <c r="D1308" t="inlineStr">
        <is>
          <t>работник 382</t>
        </is>
      </c>
      <c r="E1308" s="1" t="inlineStr">
        <is>
          <t>ОБЩЕСТВО С ОГРАНИЧЕННОЙ ОТВЕТСТВЕННОСТЬЮ "АМУР ЗОЛОТО"</t>
        </is>
      </c>
      <c r="F1308" s="1" t="inlineStr">
        <is>
          <t>2708001686</t>
        </is>
      </c>
      <c r="G1308" s="1" t="inlineStr">
        <is>
          <t>Растворщик реагентов</t>
        </is>
      </c>
      <c r="H1308" s="1" t="inlineStr">
        <is>
          <t>ООО "Амур Золото"</t>
        </is>
      </c>
      <c r="I1308" s="1" t="inlineStr">
        <is>
          <t>2708001686</t>
        </is>
      </c>
      <c r="J1308" s="1" t="inlineStr">
        <is>
          <t>ОТ № ЮГОК ЗИОФ 24-30</t>
        </is>
      </c>
      <c r="K130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308" s="1" t="inlineStr">
        <is>
          <t>20.06.2024</t>
        </is>
      </c>
      <c r="M1308" s="1" t="inlineStr">
        <is>
          <t>Успешно</t>
        </is>
      </c>
      <c r="N1308" s="1" t="inlineStr">
        <is>
          <t>30.07.2024</t>
        </is>
      </c>
      <c r="O1308" s="1" t="inlineStr"/>
      <c r="P1308" s="1" t="inlineStr"/>
      <c r="Q1308" s="1" t="inlineStr">
        <is>
          <t>Пользовательский интерфейс</t>
        </is>
      </c>
    </row>
    <row r="1309">
      <c r="B1309" s="1" t="inlineStr">
        <is>
          <t>71599943</t>
        </is>
      </c>
      <c r="C1309" s="1" t="inlineStr">
        <is>
          <t>5518427</t>
        </is>
      </c>
      <c r="D1309" t="inlineStr">
        <is>
          <t>работник 225</t>
        </is>
      </c>
      <c r="E1309" s="1" t="inlineStr">
        <is>
          <t>ОБЩЕСТВО С ОГРАНИЧЕННОЙ ОТВЕТСТВЕННОСТЬЮ "АМУР ЗОЛОТО"</t>
        </is>
      </c>
      <c r="F1309" s="1" t="inlineStr">
        <is>
          <t>2708001686</t>
        </is>
      </c>
      <c r="G1309" s="1" t="inlineStr">
        <is>
          <t>Машинист бульдозера</t>
        </is>
      </c>
      <c r="H1309" s="1" t="inlineStr">
        <is>
          <t>ООО "Амур Золото"</t>
        </is>
      </c>
      <c r="I1309" s="1" t="inlineStr">
        <is>
          <t>2708001686</t>
        </is>
      </c>
      <c r="J1309" s="1" t="inlineStr">
        <is>
          <t>ОТ №ЮГОК АТЦ 24-07</t>
        </is>
      </c>
      <c r="K1309" s="1" t="inlineStr">
        <is>
          <t>Оказание первой помощи пострадавшим</t>
        </is>
      </c>
      <c r="L1309" s="1" t="inlineStr">
        <is>
          <t>11.08.2024</t>
        </is>
      </c>
      <c r="M1309" s="1" t="inlineStr">
        <is>
          <t>Успешно</t>
        </is>
      </c>
      <c r="N1309" s="1" t="inlineStr">
        <is>
          <t>12.08.2024</t>
        </is>
      </c>
      <c r="O1309" s="1" t="inlineStr"/>
      <c r="P1309" s="1" t="inlineStr"/>
      <c r="Q1309" s="1" t="inlineStr">
        <is>
          <t>Пользовательский интерфейс</t>
        </is>
      </c>
    </row>
    <row r="1310">
      <c r="B1310" s="1" t="inlineStr">
        <is>
          <t>71599944</t>
        </is>
      </c>
      <c r="C1310" s="1" t="inlineStr">
        <is>
          <t>5518427</t>
        </is>
      </c>
      <c r="D1310" t="inlineStr">
        <is>
          <t>работник 225</t>
        </is>
      </c>
      <c r="E1310" s="1" t="inlineStr">
        <is>
          <t>ОБЩЕСТВО С ОГРАНИЧЕННОЙ ОТВЕТСТВЕННОСТЬЮ "АМУР ЗОЛОТО"</t>
        </is>
      </c>
      <c r="F1310" s="1" t="inlineStr">
        <is>
          <t>2708001686</t>
        </is>
      </c>
      <c r="G1310" s="1" t="inlineStr">
        <is>
          <t>Машинист бульдозера</t>
        </is>
      </c>
      <c r="H1310" s="1" t="inlineStr">
        <is>
          <t>ООО "Амур Золото"</t>
        </is>
      </c>
      <c r="I1310" s="1" t="inlineStr">
        <is>
          <t>2708001686</t>
        </is>
      </c>
      <c r="J1310" s="1" t="inlineStr">
        <is>
          <t>ОТ №ЮГОК АТЦ 24-07</t>
        </is>
      </c>
      <c r="K1310" s="1" t="inlineStr">
        <is>
          <t>Использование (применение) средств индивидуальной защиты</t>
        </is>
      </c>
      <c r="L1310" s="1" t="inlineStr">
        <is>
          <t>11.08.2024</t>
        </is>
      </c>
      <c r="M1310" s="1" t="inlineStr">
        <is>
          <t>Успешно</t>
        </is>
      </c>
      <c r="N1310" s="1" t="inlineStr">
        <is>
          <t>12.08.2024</t>
        </is>
      </c>
      <c r="O1310" s="1" t="inlineStr"/>
      <c r="P1310" s="1" t="inlineStr"/>
      <c r="Q1310" s="1" t="inlineStr">
        <is>
          <t>Пользовательский интерфейс</t>
        </is>
      </c>
    </row>
    <row r="1311">
      <c r="B1311" s="1" t="inlineStr">
        <is>
          <t>71599945</t>
        </is>
      </c>
      <c r="C1311" s="1" t="inlineStr">
        <is>
          <t>5518427</t>
        </is>
      </c>
      <c r="D1311" t="inlineStr">
        <is>
          <t>работник 225</t>
        </is>
      </c>
      <c r="E1311" s="1" t="inlineStr">
        <is>
          <t>ОБЩЕСТВО С ОГРАНИЧЕННОЙ ОТВЕТСТВЕННОСТЬЮ "АМУР ЗОЛОТО"</t>
        </is>
      </c>
      <c r="F1311" s="1" t="inlineStr">
        <is>
          <t>2708001686</t>
        </is>
      </c>
      <c r="G1311" s="1" t="inlineStr">
        <is>
          <t>Машинист бульдозера</t>
        </is>
      </c>
      <c r="H1311" s="1" t="inlineStr">
        <is>
          <t>ООО "Амур Золото"</t>
        </is>
      </c>
      <c r="I1311" s="1" t="inlineStr">
        <is>
          <t>2708001686</t>
        </is>
      </c>
      <c r="J1311" s="1" t="inlineStr">
        <is>
          <t>ОТ №ЮГОК АТЦ 24-07</t>
        </is>
      </c>
      <c r="K131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311" s="1" t="inlineStr">
        <is>
          <t>11.08.2024</t>
        </is>
      </c>
      <c r="M1311" s="1" t="inlineStr">
        <is>
          <t>Успешно</t>
        </is>
      </c>
      <c r="N1311" s="1" t="inlineStr">
        <is>
          <t>12.08.2024</t>
        </is>
      </c>
      <c r="O1311" s="1" t="inlineStr"/>
      <c r="P1311" s="1" t="inlineStr"/>
      <c r="Q1311" s="1" t="inlineStr">
        <is>
          <t>Пользовательский интерфейс</t>
        </is>
      </c>
    </row>
    <row r="1312">
      <c r="B1312" s="1" t="inlineStr">
        <is>
          <t>71599946</t>
        </is>
      </c>
      <c r="C1312" s="1" t="inlineStr">
        <is>
          <t>5518427</t>
        </is>
      </c>
      <c r="D1312" t="inlineStr">
        <is>
          <t>работник 383</t>
        </is>
      </c>
      <c r="E1312" s="1" t="inlineStr">
        <is>
          <t>ОБЩЕСТВО С ОГРАНИЧЕННОЙ ОТВЕТСТВЕННОСТЬЮ "АМУР ЗОЛОТО"</t>
        </is>
      </c>
      <c r="F1312" s="1" t="inlineStr">
        <is>
          <t>2708001686</t>
        </is>
      </c>
      <c r="G1312" s="1" t="inlineStr">
        <is>
          <t>Машинист бульдозера</t>
        </is>
      </c>
      <c r="H1312" s="1" t="inlineStr">
        <is>
          <t>ООО "Амур Золото"</t>
        </is>
      </c>
      <c r="I1312" s="1" t="inlineStr">
        <is>
          <t>2708001686</t>
        </is>
      </c>
      <c r="J1312" s="1" t="inlineStr">
        <is>
          <t>ОТ №ЮГОК АТЦ 24-07</t>
        </is>
      </c>
      <c r="K1312" s="1" t="inlineStr">
        <is>
          <t>Оказание первой помощи пострадавшим</t>
        </is>
      </c>
      <c r="L1312" s="1" t="inlineStr">
        <is>
          <t>11.08.2024</t>
        </is>
      </c>
      <c r="M1312" s="1" t="inlineStr">
        <is>
          <t>Успешно</t>
        </is>
      </c>
      <c r="N1312" s="1" t="inlineStr">
        <is>
          <t>12.08.2024</t>
        </is>
      </c>
      <c r="O1312" s="1" t="inlineStr"/>
      <c r="P1312" s="1" t="inlineStr"/>
      <c r="Q1312" s="1" t="inlineStr">
        <is>
          <t>Пользовательский интерфейс</t>
        </is>
      </c>
    </row>
    <row r="1313">
      <c r="B1313" s="1" t="inlineStr">
        <is>
          <t>71599947</t>
        </is>
      </c>
      <c r="C1313" s="1" t="inlineStr">
        <is>
          <t>5518427</t>
        </is>
      </c>
      <c r="D1313" t="inlineStr">
        <is>
          <t>работник 383</t>
        </is>
      </c>
      <c r="E1313" s="1" t="inlineStr">
        <is>
          <t>ОБЩЕСТВО С ОГРАНИЧЕННОЙ ОТВЕТСТВЕННОСТЬЮ "АМУР ЗОЛОТО"</t>
        </is>
      </c>
      <c r="F1313" s="1" t="inlineStr">
        <is>
          <t>2708001686</t>
        </is>
      </c>
      <c r="G1313" s="1" t="inlineStr">
        <is>
          <t>Машинист бульдозера</t>
        </is>
      </c>
      <c r="H1313" s="1" t="inlineStr">
        <is>
          <t>ООО "Амур Золото"</t>
        </is>
      </c>
      <c r="I1313" s="1" t="inlineStr">
        <is>
          <t>2708001686</t>
        </is>
      </c>
      <c r="J1313" s="1" t="inlineStr">
        <is>
          <t>ОТ №ЮГОК АТЦ 24-07</t>
        </is>
      </c>
      <c r="K1313" s="1" t="inlineStr">
        <is>
          <t>Использование (применение) средств индивидуальной защиты</t>
        </is>
      </c>
      <c r="L1313" s="1" t="inlineStr">
        <is>
          <t>11.08.2024</t>
        </is>
      </c>
      <c r="M1313" s="1" t="inlineStr">
        <is>
          <t>Успешно</t>
        </is>
      </c>
      <c r="N1313" s="1" t="inlineStr">
        <is>
          <t>12.08.2024</t>
        </is>
      </c>
      <c r="O1313" s="1" t="inlineStr"/>
      <c r="P1313" s="1" t="inlineStr"/>
      <c r="Q1313" s="1" t="inlineStr">
        <is>
          <t>Пользовательский интерфейс</t>
        </is>
      </c>
    </row>
    <row r="1314">
      <c r="B1314" s="1" t="inlineStr">
        <is>
          <t>71599948</t>
        </is>
      </c>
      <c r="C1314" s="1" t="inlineStr">
        <is>
          <t>5518427</t>
        </is>
      </c>
      <c r="D1314" t="inlineStr">
        <is>
          <t>работник 383</t>
        </is>
      </c>
      <c r="E1314" s="1" t="inlineStr">
        <is>
          <t>ОБЩЕСТВО С ОГРАНИЧЕННОЙ ОТВЕТСТВЕННОСТЬЮ "АМУР ЗОЛОТО"</t>
        </is>
      </c>
      <c r="F1314" s="1" t="inlineStr">
        <is>
          <t>2708001686</t>
        </is>
      </c>
      <c r="G1314" s="1" t="inlineStr">
        <is>
          <t>Машинист бульдозера</t>
        </is>
      </c>
      <c r="H1314" s="1" t="inlineStr">
        <is>
          <t>ООО "Амур Золото"</t>
        </is>
      </c>
      <c r="I1314" s="1" t="inlineStr">
        <is>
          <t>2708001686</t>
        </is>
      </c>
      <c r="J1314" s="1" t="inlineStr">
        <is>
          <t>ОТ №ЮГОК АТЦ 24-07</t>
        </is>
      </c>
      <c r="K131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314" s="1" t="inlineStr">
        <is>
          <t>11.08.2024</t>
        </is>
      </c>
      <c r="M1314" s="1" t="inlineStr">
        <is>
          <t>Успешно</t>
        </is>
      </c>
      <c r="N1314" s="1" t="inlineStr">
        <is>
          <t>12.08.2024</t>
        </is>
      </c>
      <c r="O1314" s="1" t="inlineStr"/>
      <c r="P1314" s="1" t="inlineStr"/>
      <c r="Q1314" s="1" t="inlineStr">
        <is>
          <t>Пользовательский интерфейс</t>
        </is>
      </c>
    </row>
    <row r="1315">
      <c r="B1315" s="1" t="inlineStr">
        <is>
          <t>71599949</t>
        </is>
      </c>
      <c r="C1315" s="1" t="inlineStr">
        <is>
          <t>5518427</t>
        </is>
      </c>
      <c r="D1315" t="inlineStr">
        <is>
          <t>работник 384</t>
        </is>
      </c>
      <c r="E1315" s="1" t="inlineStr">
        <is>
          <t>ОБЩЕСТВО С ОГРАНИЧЕННОЙ ОТВЕТСТВЕННОСТЬЮ "АМУР ЗОЛОТО"</t>
        </is>
      </c>
      <c r="F1315" s="1" t="inlineStr">
        <is>
          <t>2708001686</t>
        </is>
      </c>
      <c r="G1315" s="1" t="inlineStr">
        <is>
          <t>Геолог</t>
        </is>
      </c>
      <c r="H1315" s="1" t="inlineStr">
        <is>
          <t>ООО "Амур Золото"</t>
        </is>
      </c>
      <c r="I1315" s="1" t="inlineStr">
        <is>
          <t>2708001686</t>
        </is>
      </c>
      <c r="J1315" s="1" t="inlineStr">
        <is>
          <t>ОТ №ЮГОК ГМО 24-01</t>
        </is>
      </c>
      <c r="K1315" s="1" t="inlineStr">
        <is>
          <t>Оказание первой помощи пострадавшим</t>
        </is>
      </c>
      <c r="L1315" s="1" t="inlineStr">
        <is>
          <t>08.08.2024</t>
        </is>
      </c>
      <c r="M1315" s="1" t="inlineStr">
        <is>
          <t>Успешно</t>
        </is>
      </c>
      <c r="N1315" s="1" t="inlineStr">
        <is>
          <t>12.08.2024</t>
        </is>
      </c>
      <c r="O1315" s="1" t="inlineStr"/>
      <c r="P1315" s="1" t="inlineStr"/>
      <c r="Q1315" s="1" t="inlineStr">
        <is>
          <t>Пользовательский интерфейс</t>
        </is>
      </c>
    </row>
    <row r="1316">
      <c r="B1316" s="1" t="inlineStr">
        <is>
          <t>71599950</t>
        </is>
      </c>
      <c r="C1316" s="1" t="inlineStr">
        <is>
          <t>5518427</t>
        </is>
      </c>
      <c r="D1316" t="inlineStr">
        <is>
          <t>работник 384</t>
        </is>
      </c>
      <c r="E1316" s="1" t="inlineStr">
        <is>
          <t>ОБЩЕСТВО С ОГРАНИЧЕННОЙ ОТВЕТСТВЕННОСТЬЮ "АМУР ЗОЛОТО"</t>
        </is>
      </c>
      <c r="F1316" s="1" t="inlineStr">
        <is>
          <t>2708001686</t>
        </is>
      </c>
      <c r="G1316" s="1" t="inlineStr">
        <is>
          <t>Геолог</t>
        </is>
      </c>
      <c r="H1316" s="1" t="inlineStr">
        <is>
          <t>ООО "Амур Золото"</t>
        </is>
      </c>
      <c r="I1316" s="1" t="inlineStr">
        <is>
          <t>2708001686</t>
        </is>
      </c>
      <c r="J1316" s="1" t="inlineStr">
        <is>
          <t>ОТ №ЮГОК ГМО 24-01</t>
        </is>
      </c>
      <c r="K1316" s="1" t="inlineStr">
        <is>
          <t>Использование (применение) средств индивидуальной защиты</t>
        </is>
      </c>
      <c r="L1316" s="1" t="inlineStr">
        <is>
          <t>08.08.2024</t>
        </is>
      </c>
      <c r="M1316" s="1" t="inlineStr">
        <is>
          <t>Успешно</t>
        </is>
      </c>
      <c r="N1316" s="1" t="inlineStr">
        <is>
          <t>12.08.2024</t>
        </is>
      </c>
      <c r="O1316" s="1" t="inlineStr"/>
      <c r="P1316" s="1" t="inlineStr"/>
      <c r="Q1316" s="1" t="inlineStr">
        <is>
          <t>Пользовательский интерфейс</t>
        </is>
      </c>
    </row>
    <row r="1317">
      <c r="B1317" s="1" t="inlineStr">
        <is>
          <t>71599951</t>
        </is>
      </c>
      <c r="C1317" s="1" t="inlineStr">
        <is>
          <t>5518427</t>
        </is>
      </c>
      <c r="D1317" t="inlineStr">
        <is>
          <t>работник 385</t>
        </is>
      </c>
      <c r="E1317" s="1" t="inlineStr">
        <is>
          <t>ОБЩЕСТВО С ОГРАНИЧЕННОЙ ОТВЕТСТВЕННОСТЬЮ "АМУР ЗОЛОТО"</t>
        </is>
      </c>
      <c r="F1317" s="1" t="inlineStr">
        <is>
          <t>2708001686</t>
        </is>
      </c>
      <c r="G1317" s="1" t="inlineStr">
        <is>
          <t>Геолог</t>
        </is>
      </c>
      <c r="H1317" s="1" t="inlineStr">
        <is>
          <t>ООО "Амур Золото"</t>
        </is>
      </c>
      <c r="I1317" s="1" t="inlineStr">
        <is>
          <t>2708001686</t>
        </is>
      </c>
      <c r="J1317" s="1" t="inlineStr">
        <is>
          <t>ОТ №ЮГОК ГМО 24-01</t>
        </is>
      </c>
      <c r="K1317" s="1" t="inlineStr">
        <is>
          <t>Оказание первой помощи пострадавшим</t>
        </is>
      </c>
      <c r="L1317" s="1" t="inlineStr">
        <is>
          <t>08.08.2024</t>
        </is>
      </c>
      <c r="M1317" s="1" t="inlineStr">
        <is>
          <t>Успешно</t>
        </is>
      </c>
      <c r="N1317" s="1" t="inlineStr">
        <is>
          <t>12.08.2024</t>
        </is>
      </c>
      <c r="O1317" s="1" t="inlineStr"/>
      <c r="P1317" s="1" t="inlineStr"/>
      <c r="Q1317" s="1" t="inlineStr">
        <is>
          <t>Пользовательский интерфейс</t>
        </is>
      </c>
    </row>
    <row r="1318">
      <c r="B1318" s="1" t="inlineStr">
        <is>
          <t>71599952</t>
        </is>
      </c>
      <c r="C1318" s="1" t="inlineStr">
        <is>
          <t>5518427</t>
        </is>
      </c>
      <c r="D1318" t="inlineStr">
        <is>
          <t>работник 385</t>
        </is>
      </c>
      <c r="E1318" s="1" t="inlineStr">
        <is>
          <t>ОБЩЕСТВО С ОГРАНИЧЕННОЙ ОТВЕТСТВЕННОСТЬЮ "АМУР ЗОЛОТО"</t>
        </is>
      </c>
      <c r="F1318" s="1" t="inlineStr">
        <is>
          <t>2708001686</t>
        </is>
      </c>
      <c r="G1318" s="1" t="inlineStr">
        <is>
          <t>Геолог</t>
        </is>
      </c>
      <c r="H1318" s="1" t="inlineStr">
        <is>
          <t>ООО "Амур Золото"</t>
        </is>
      </c>
      <c r="I1318" s="1" t="inlineStr">
        <is>
          <t>2708001686</t>
        </is>
      </c>
      <c r="J1318" s="1" t="inlineStr">
        <is>
          <t>ОТ №ЮГОК ГМО 24-01</t>
        </is>
      </c>
      <c r="K1318" s="1" t="inlineStr">
        <is>
          <t>Использование (применение) средств индивидуальной защиты</t>
        </is>
      </c>
      <c r="L1318" s="1" t="inlineStr">
        <is>
          <t>08.08.2024</t>
        </is>
      </c>
      <c r="M1318" s="1" t="inlineStr">
        <is>
          <t>Успешно</t>
        </is>
      </c>
      <c r="N1318" s="1" t="inlineStr">
        <is>
          <t>12.08.2024</t>
        </is>
      </c>
      <c r="O1318" s="1" t="inlineStr"/>
      <c r="P1318" s="1" t="inlineStr"/>
      <c r="Q1318" s="1" t="inlineStr">
        <is>
          <t>Пользовательский интерфейс</t>
        </is>
      </c>
    </row>
    <row r="1319">
      <c r="B1319" s="1" t="inlineStr">
        <is>
          <t>71599953</t>
        </is>
      </c>
      <c r="C1319" s="1" t="inlineStr">
        <is>
          <t>5518427</t>
        </is>
      </c>
      <c r="D1319" t="inlineStr">
        <is>
          <t>работник 386</t>
        </is>
      </c>
      <c r="E1319" s="1" t="inlineStr">
        <is>
          <t>ОБЩЕСТВО С ОГРАНИЧЕННОЙ ОТВЕТСТВЕННОСТЬЮ "АМУР ЗОЛОТО"</t>
        </is>
      </c>
      <c r="F1319" s="1" t="inlineStr">
        <is>
          <t>2708001686</t>
        </is>
      </c>
      <c r="G1319" s="1" t="inlineStr">
        <is>
          <t>Пробоотборщик</t>
        </is>
      </c>
      <c r="H1319" s="1" t="inlineStr">
        <is>
          <t>ООО "Амур Золото"</t>
        </is>
      </c>
      <c r="I1319" s="1" t="inlineStr">
        <is>
          <t>2708001686</t>
        </is>
      </c>
      <c r="J1319" s="1" t="inlineStr">
        <is>
          <t>ОТ №ЮГОК ГМО 24-01</t>
        </is>
      </c>
      <c r="K1319" s="1" t="inlineStr">
        <is>
          <t>Оказание первой помощи пострадавшим</t>
        </is>
      </c>
      <c r="L1319" s="1" t="inlineStr">
        <is>
          <t>08.08.2024</t>
        </is>
      </c>
      <c r="M1319" s="1" t="inlineStr">
        <is>
          <t>Успешно</t>
        </is>
      </c>
      <c r="N1319" s="1" t="inlineStr">
        <is>
          <t>12.08.2024</t>
        </is>
      </c>
      <c r="O1319" s="1" t="inlineStr"/>
      <c r="P1319" s="1" t="inlineStr"/>
      <c r="Q1319" s="1" t="inlineStr">
        <is>
          <t>Пользовательский интерфейс</t>
        </is>
      </c>
    </row>
    <row r="1320">
      <c r="B1320" s="1" t="inlineStr">
        <is>
          <t>71599954</t>
        </is>
      </c>
      <c r="C1320" s="1" t="inlineStr">
        <is>
          <t>5518427</t>
        </is>
      </c>
      <c r="D1320" t="inlineStr">
        <is>
          <t>работник 386</t>
        </is>
      </c>
      <c r="E1320" s="1" t="inlineStr">
        <is>
          <t>ОБЩЕСТВО С ОГРАНИЧЕННОЙ ОТВЕТСТВЕННОСТЬЮ "АМУР ЗОЛОТО"</t>
        </is>
      </c>
      <c r="F1320" s="1" t="inlineStr">
        <is>
          <t>2708001686</t>
        </is>
      </c>
      <c r="G1320" s="1" t="inlineStr">
        <is>
          <t>Пробоотборщик</t>
        </is>
      </c>
      <c r="H1320" s="1" t="inlineStr">
        <is>
          <t>ООО "Амур Золото"</t>
        </is>
      </c>
      <c r="I1320" s="1" t="inlineStr">
        <is>
          <t>2708001686</t>
        </is>
      </c>
      <c r="J1320" s="1" t="inlineStr">
        <is>
          <t>ОТ №ЮГОК ГМО 24-01</t>
        </is>
      </c>
      <c r="K1320" s="1" t="inlineStr">
        <is>
          <t>Использование (применение) средств индивидуальной защиты</t>
        </is>
      </c>
      <c r="L1320" s="1" t="inlineStr">
        <is>
          <t>08.08.2024</t>
        </is>
      </c>
      <c r="M1320" s="1" t="inlineStr">
        <is>
          <t>Успешно</t>
        </is>
      </c>
      <c r="N1320" s="1" t="inlineStr">
        <is>
          <t>12.08.2024</t>
        </is>
      </c>
      <c r="O1320" s="1" t="inlineStr"/>
      <c r="P1320" s="1" t="inlineStr"/>
      <c r="Q1320" s="1" t="inlineStr">
        <is>
          <t>Пользовательский интерфейс</t>
        </is>
      </c>
    </row>
    <row r="1321">
      <c r="B1321" s="1" t="inlineStr">
        <is>
          <t>71599955</t>
        </is>
      </c>
      <c r="C1321" s="1" t="inlineStr">
        <is>
          <t>5518427</t>
        </is>
      </c>
      <c r="D1321" t="inlineStr">
        <is>
          <t>работник 386</t>
        </is>
      </c>
      <c r="E1321" s="1" t="inlineStr">
        <is>
          <t>ОБЩЕСТВО С ОГРАНИЧЕННОЙ ОТВЕТСТВЕННОСТЬЮ "АМУР ЗОЛОТО"</t>
        </is>
      </c>
      <c r="F1321" s="1" t="inlineStr">
        <is>
          <t>2708001686</t>
        </is>
      </c>
      <c r="G1321" s="1" t="inlineStr">
        <is>
          <t>Пробоотборщик</t>
        </is>
      </c>
      <c r="H1321" s="1" t="inlineStr">
        <is>
          <t>ООО "Амур Золото"</t>
        </is>
      </c>
      <c r="I1321" s="1" t="inlineStr">
        <is>
          <t>2708001686</t>
        </is>
      </c>
      <c r="J1321" s="1" t="inlineStr">
        <is>
          <t>ОТ №ЮГОК ГМО 24-01</t>
        </is>
      </c>
      <c r="K132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321" s="1" t="inlineStr">
        <is>
          <t>08.08.2024</t>
        </is>
      </c>
      <c r="M1321" s="1" t="inlineStr">
        <is>
          <t>Успешно</t>
        </is>
      </c>
      <c r="N1321" s="1" t="inlineStr">
        <is>
          <t>12.08.2024</t>
        </is>
      </c>
      <c r="O1321" s="1" t="inlineStr"/>
      <c r="P1321" s="1" t="inlineStr"/>
      <c r="Q1321" s="1" t="inlineStr">
        <is>
          <t>Пользовательский интерфейс</t>
        </is>
      </c>
    </row>
    <row r="1322">
      <c r="B1322" s="1" t="inlineStr">
        <is>
          <t>71599956</t>
        </is>
      </c>
      <c r="C1322" s="1" t="inlineStr">
        <is>
          <t>5518427</t>
        </is>
      </c>
      <c r="D1322" t="inlineStr">
        <is>
          <t>работник 387</t>
        </is>
      </c>
      <c r="E1322" s="1" t="inlineStr">
        <is>
          <t>ОБЩЕСТВО С ОГРАНИЧЕННОЙ ОТВЕТСТВЕННОСТЬЮ "АМУР ЗОЛОТО"</t>
        </is>
      </c>
      <c r="F1322" s="1" t="inlineStr">
        <is>
          <t>2708001686</t>
        </is>
      </c>
      <c r="G1322" s="1" t="inlineStr">
        <is>
          <t>Дробильщик</t>
        </is>
      </c>
      <c r="H1322" s="1" t="inlineStr">
        <is>
          <t>ООО "Амур Золото"</t>
        </is>
      </c>
      <c r="I1322" s="1" t="inlineStr">
        <is>
          <t>2708001686</t>
        </is>
      </c>
      <c r="J1322" s="1" t="inlineStr">
        <is>
          <t>ОТ №ЮГОК ЗИОФ 24-35</t>
        </is>
      </c>
      <c r="K1322" s="1" t="inlineStr">
        <is>
          <t>Оказание первой помощи пострадавшим</t>
        </is>
      </c>
      <c r="L1322" s="1" t="inlineStr">
        <is>
          <t>05.08.2024</t>
        </is>
      </c>
      <c r="M1322" s="1" t="inlineStr">
        <is>
          <t>Успешно</t>
        </is>
      </c>
      <c r="N1322" s="1" t="inlineStr">
        <is>
          <t>12.08.2024</t>
        </is>
      </c>
      <c r="O1322" s="1" t="inlineStr"/>
      <c r="P1322" s="1" t="inlineStr"/>
      <c r="Q1322" s="1" t="inlineStr">
        <is>
          <t>Пользовательский интерфейс</t>
        </is>
      </c>
    </row>
    <row r="1323">
      <c r="B1323" s="1" t="inlineStr">
        <is>
          <t>71599957</t>
        </is>
      </c>
      <c r="C1323" s="1" t="inlineStr">
        <is>
          <t>5518427</t>
        </is>
      </c>
      <c r="D1323" t="inlineStr">
        <is>
          <t>работник 387</t>
        </is>
      </c>
      <c r="E1323" s="1" t="inlineStr">
        <is>
          <t>ОБЩЕСТВО С ОГРАНИЧЕННОЙ ОТВЕТСТВЕННОСТЬЮ "АМУР ЗОЛОТО"</t>
        </is>
      </c>
      <c r="F1323" s="1" t="inlineStr">
        <is>
          <t>2708001686</t>
        </is>
      </c>
      <c r="G1323" s="1" t="inlineStr">
        <is>
          <t>Дробильщик</t>
        </is>
      </c>
      <c r="H1323" s="1" t="inlineStr">
        <is>
          <t>ООО "Амур Золото"</t>
        </is>
      </c>
      <c r="I1323" s="1" t="inlineStr">
        <is>
          <t>2708001686</t>
        </is>
      </c>
      <c r="J1323" s="1" t="inlineStr">
        <is>
          <t>ОТ №ЮГОК ЗИОФ 24-35</t>
        </is>
      </c>
      <c r="K1323" s="1" t="inlineStr">
        <is>
          <t>Использование (применение) средств индивидуальной защиты</t>
        </is>
      </c>
      <c r="L1323" s="1" t="inlineStr">
        <is>
          <t>05.08.2024</t>
        </is>
      </c>
      <c r="M1323" s="1" t="inlineStr">
        <is>
          <t>Успешно</t>
        </is>
      </c>
      <c r="N1323" s="1" t="inlineStr">
        <is>
          <t>12.08.2024</t>
        </is>
      </c>
      <c r="O1323" s="1" t="inlineStr"/>
      <c r="P1323" s="1" t="inlineStr"/>
      <c r="Q1323" s="1" t="inlineStr">
        <is>
          <t>Пользовательский интерфейс</t>
        </is>
      </c>
    </row>
    <row r="1324">
      <c r="B1324" s="1" t="inlineStr">
        <is>
          <t>71599958</t>
        </is>
      </c>
      <c r="C1324" s="1" t="inlineStr">
        <is>
          <t>5518427</t>
        </is>
      </c>
      <c r="D1324" t="inlineStr">
        <is>
          <t>работник 387</t>
        </is>
      </c>
      <c r="E1324" s="1" t="inlineStr">
        <is>
          <t>ОБЩЕСТВО С ОГРАНИЧЕННОЙ ОТВЕТСТВЕННОСТЬЮ "АМУР ЗОЛОТО"</t>
        </is>
      </c>
      <c r="F1324" s="1" t="inlineStr">
        <is>
          <t>2708001686</t>
        </is>
      </c>
      <c r="G1324" s="1" t="inlineStr">
        <is>
          <t>Дробильщик</t>
        </is>
      </c>
      <c r="H1324" s="1" t="inlineStr">
        <is>
          <t>ООО "Амур Золото"</t>
        </is>
      </c>
      <c r="I1324" s="1" t="inlineStr">
        <is>
          <t>2708001686</t>
        </is>
      </c>
      <c r="J1324" s="1" t="inlineStr">
        <is>
          <t>ОТ №ЮГОК ЗИОФ 24-35</t>
        </is>
      </c>
      <c r="K132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324" s="1" t="inlineStr">
        <is>
          <t>05.08.2024</t>
        </is>
      </c>
      <c r="M1324" s="1" t="inlineStr">
        <is>
          <t>Успешно</t>
        </is>
      </c>
      <c r="N1324" s="1" t="inlineStr">
        <is>
          <t>12.08.2024</t>
        </is>
      </c>
      <c r="O1324" s="1" t="inlineStr"/>
      <c r="P1324" s="1" t="inlineStr"/>
      <c r="Q1324" s="1" t="inlineStr">
        <is>
          <t>Пользовательский интерфейс</t>
        </is>
      </c>
    </row>
    <row r="1325">
      <c r="B1325" s="1" t="inlineStr">
        <is>
          <t>71599959</t>
        </is>
      </c>
      <c r="C1325" s="1" t="inlineStr">
        <is>
          <t>5518427</t>
        </is>
      </c>
      <c r="D1325" t="inlineStr">
        <is>
          <t>работник 388</t>
        </is>
      </c>
      <c r="E1325" s="1" t="inlineStr">
        <is>
          <t>ОБЩЕСТВО С ОГРАНИЧЕННОЙ ОТВЕТСТВЕННОСТЬЮ "АМУР ЗОЛОТО"</t>
        </is>
      </c>
      <c r="F1325" s="1" t="inlineStr">
        <is>
          <t>2708001686</t>
        </is>
      </c>
      <c r="G1325" s="1" t="inlineStr">
        <is>
          <t>Дробильщик</t>
        </is>
      </c>
      <c r="H1325" s="1" t="inlineStr">
        <is>
          <t>ООО "Амур Золото"</t>
        </is>
      </c>
      <c r="I1325" s="1" t="inlineStr">
        <is>
          <t>2708001686</t>
        </is>
      </c>
      <c r="J1325" s="1" t="inlineStr">
        <is>
          <t>ОТ №ЮГОК ЗИОФ 24-35</t>
        </is>
      </c>
      <c r="K1325" s="1" t="inlineStr">
        <is>
          <t>Оказание первой помощи пострадавшим</t>
        </is>
      </c>
      <c r="L1325" s="1" t="inlineStr">
        <is>
          <t>05.08.2024</t>
        </is>
      </c>
      <c r="M1325" s="1" t="inlineStr">
        <is>
          <t>Успешно</t>
        </is>
      </c>
      <c r="N1325" s="1" t="inlineStr">
        <is>
          <t>12.08.2024</t>
        </is>
      </c>
      <c r="O1325" s="1" t="inlineStr"/>
      <c r="P1325" s="1" t="inlineStr"/>
      <c r="Q1325" s="1" t="inlineStr">
        <is>
          <t>Пользовательский интерфейс</t>
        </is>
      </c>
    </row>
    <row r="1326">
      <c r="B1326" s="1" t="inlineStr">
        <is>
          <t>71599960</t>
        </is>
      </c>
      <c r="C1326" s="1" t="inlineStr">
        <is>
          <t>5518427</t>
        </is>
      </c>
      <c r="D1326" t="inlineStr">
        <is>
          <t>работник 388</t>
        </is>
      </c>
      <c r="E1326" s="1" t="inlineStr">
        <is>
          <t>ОБЩЕСТВО С ОГРАНИЧЕННОЙ ОТВЕТСТВЕННОСТЬЮ "АМУР ЗОЛОТО"</t>
        </is>
      </c>
      <c r="F1326" s="1" t="inlineStr">
        <is>
          <t>2708001686</t>
        </is>
      </c>
      <c r="G1326" s="1" t="inlineStr">
        <is>
          <t>Дробильщик</t>
        </is>
      </c>
      <c r="H1326" s="1" t="inlineStr">
        <is>
          <t>ООО "Амур Золото"</t>
        </is>
      </c>
      <c r="I1326" s="1" t="inlineStr">
        <is>
          <t>2708001686</t>
        </is>
      </c>
      <c r="J1326" s="1" t="inlineStr">
        <is>
          <t>ОТ №ЮГОК ЗИОФ 24-35</t>
        </is>
      </c>
      <c r="K1326" s="1" t="inlineStr">
        <is>
          <t>Использование (применение) средств индивидуальной защиты</t>
        </is>
      </c>
      <c r="L1326" s="1" t="inlineStr">
        <is>
          <t>05.08.2024</t>
        </is>
      </c>
      <c r="M1326" s="1" t="inlineStr">
        <is>
          <t>Успешно</t>
        </is>
      </c>
      <c r="N1326" s="1" t="inlineStr">
        <is>
          <t>12.08.2024</t>
        </is>
      </c>
      <c r="O1326" s="1" t="inlineStr"/>
      <c r="P1326" s="1" t="inlineStr"/>
      <c r="Q1326" s="1" t="inlineStr">
        <is>
          <t>Пользовательский интерфейс</t>
        </is>
      </c>
    </row>
    <row r="1327">
      <c r="B1327" s="1" t="inlineStr">
        <is>
          <t>71599961</t>
        </is>
      </c>
      <c r="C1327" s="1" t="inlineStr">
        <is>
          <t>5518427</t>
        </is>
      </c>
      <c r="D1327" t="inlineStr">
        <is>
          <t>работник 388</t>
        </is>
      </c>
      <c r="E1327" s="1" t="inlineStr">
        <is>
          <t>ОБЩЕСТВО С ОГРАНИЧЕННОЙ ОТВЕТСТВЕННОСТЬЮ "АМУР ЗОЛОТО"</t>
        </is>
      </c>
      <c r="F1327" s="1" t="inlineStr">
        <is>
          <t>2708001686</t>
        </is>
      </c>
      <c r="G1327" s="1" t="inlineStr">
        <is>
          <t>Дробильщик</t>
        </is>
      </c>
      <c r="H1327" s="1" t="inlineStr">
        <is>
          <t>ООО "Амур Золото"</t>
        </is>
      </c>
      <c r="I1327" s="1" t="inlineStr">
        <is>
          <t>2708001686</t>
        </is>
      </c>
      <c r="J1327" s="1" t="inlineStr">
        <is>
          <t>ОТ №ЮГОК ЗИОФ 24-35</t>
        </is>
      </c>
      <c r="K132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327" s="1" t="inlineStr">
        <is>
          <t>05.08.2024</t>
        </is>
      </c>
      <c r="M1327" s="1" t="inlineStr">
        <is>
          <t>Успешно</t>
        </is>
      </c>
      <c r="N1327" s="1" t="inlineStr">
        <is>
          <t>12.08.2024</t>
        </is>
      </c>
      <c r="O1327" s="1" t="inlineStr"/>
      <c r="P1327" s="1" t="inlineStr"/>
      <c r="Q1327" s="1" t="inlineStr">
        <is>
          <t>Пользовательский интерфейс</t>
        </is>
      </c>
    </row>
    <row r="1328">
      <c r="B1328" s="1" t="inlineStr">
        <is>
          <t>71599962</t>
        </is>
      </c>
      <c r="C1328" s="1" t="inlineStr">
        <is>
          <t>5518427</t>
        </is>
      </c>
      <c r="D1328" t="inlineStr">
        <is>
          <t>работник 389</t>
        </is>
      </c>
      <c r="E1328" s="1" t="inlineStr">
        <is>
          <t>ОБЩЕСТВО С ОГРАНИЧЕННОЙ ОТВЕТСТВЕННОСТЬЮ "АМУР ЗОЛОТО"</t>
        </is>
      </c>
      <c r="F1328" s="1" t="inlineStr">
        <is>
          <t>2708001686</t>
        </is>
      </c>
      <c r="G1328" s="1" t="inlineStr">
        <is>
          <t>Пробоотборщик</t>
        </is>
      </c>
      <c r="H1328" s="1" t="inlineStr">
        <is>
          <t>ООО "Амур Золото"</t>
        </is>
      </c>
      <c r="I1328" s="1" t="inlineStr">
        <is>
          <t>2708001686</t>
        </is>
      </c>
      <c r="J1328" s="1" t="inlineStr">
        <is>
          <t>ОТ №ЮГОК ОТК 24-03</t>
        </is>
      </c>
      <c r="K1328" s="1" t="inlineStr">
        <is>
          <t>Оказание первой помощи пострадавшим</t>
        </is>
      </c>
      <c r="L1328" s="1" t="inlineStr">
        <is>
          <t>12.08.2024</t>
        </is>
      </c>
      <c r="M1328" s="1" t="inlineStr">
        <is>
          <t>Успешно</t>
        </is>
      </c>
      <c r="N1328" s="1" t="inlineStr">
        <is>
          <t>12.08.2024</t>
        </is>
      </c>
      <c r="O1328" s="1" t="inlineStr"/>
      <c r="P1328" s="1" t="inlineStr"/>
      <c r="Q1328" s="1" t="inlineStr">
        <is>
          <t>Пользовательский интерфейс</t>
        </is>
      </c>
    </row>
    <row r="1329">
      <c r="B1329" s="1" t="inlineStr">
        <is>
          <t>71599963</t>
        </is>
      </c>
      <c r="C1329" s="1" t="inlineStr">
        <is>
          <t>5518427</t>
        </is>
      </c>
      <c r="D1329" t="inlineStr">
        <is>
          <t>работник 389</t>
        </is>
      </c>
      <c r="E1329" s="1" t="inlineStr">
        <is>
          <t>ОБЩЕСТВО С ОГРАНИЧЕННОЙ ОТВЕТСТВЕННОСТЬЮ "АМУР ЗОЛОТО"</t>
        </is>
      </c>
      <c r="F1329" s="1" t="inlineStr">
        <is>
          <t>2708001686</t>
        </is>
      </c>
      <c r="G1329" s="1" t="inlineStr">
        <is>
          <t>Пробоотборщик</t>
        </is>
      </c>
      <c r="H1329" s="1" t="inlineStr">
        <is>
          <t>ООО "Амур Золото"</t>
        </is>
      </c>
      <c r="I1329" s="1" t="inlineStr">
        <is>
          <t>2708001686</t>
        </is>
      </c>
      <c r="J1329" s="1" t="inlineStr">
        <is>
          <t>ОТ №ЮГОК ОТК 24-03</t>
        </is>
      </c>
      <c r="K1329" s="1" t="inlineStr">
        <is>
          <t>Использование (применение) средств индивидуальной защиты</t>
        </is>
      </c>
      <c r="L1329" s="1" t="inlineStr">
        <is>
          <t>12.08.2024</t>
        </is>
      </c>
      <c r="M1329" s="1" t="inlineStr">
        <is>
          <t>Успешно</t>
        </is>
      </c>
      <c r="N1329" s="1" t="inlineStr">
        <is>
          <t>12.08.2024</t>
        </is>
      </c>
      <c r="O1329" s="1" t="inlineStr"/>
      <c r="P1329" s="1" t="inlineStr"/>
      <c r="Q1329" s="1" t="inlineStr">
        <is>
          <t>Пользовательский интерфейс</t>
        </is>
      </c>
    </row>
    <row r="1330">
      <c r="B1330" s="1" t="inlineStr">
        <is>
          <t>71599964</t>
        </is>
      </c>
      <c r="C1330" s="1" t="inlineStr">
        <is>
          <t>5518427</t>
        </is>
      </c>
      <c r="D1330" t="inlineStr">
        <is>
          <t>работник 389</t>
        </is>
      </c>
      <c r="E1330" s="1" t="inlineStr">
        <is>
          <t>ОБЩЕСТВО С ОГРАНИЧЕННОЙ ОТВЕТСТВЕННОСТЬЮ "АМУР ЗОЛОТО"</t>
        </is>
      </c>
      <c r="F1330" s="1" t="inlineStr">
        <is>
          <t>2708001686</t>
        </is>
      </c>
      <c r="G1330" s="1" t="inlineStr">
        <is>
          <t>Пробоотборщик</t>
        </is>
      </c>
      <c r="H1330" s="1" t="inlineStr">
        <is>
          <t>ООО "Амур Золото"</t>
        </is>
      </c>
      <c r="I1330" s="1" t="inlineStr">
        <is>
          <t>2708001686</t>
        </is>
      </c>
      <c r="J1330" s="1" t="inlineStr">
        <is>
          <t>ОТ №ЮГОК ОТК 24-03</t>
        </is>
      </c>
      <c r="K133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330" s="1" t="inlineStr">
        <is>
          <t>12.08.2024</t>
        </is>
      </c>
      <c r="M1330" s="1" t="inlineStr">
        <is>
          <t>Успешно</t>
        </is>
      </c>
      <c r="N1330" s="1" t="inlineStr">
        <is>
          <t>12.08.2024</t>
        </is>
      </c>
      <c r="O1330" s="1" t="inlineStr"/>
      <c r="P1330" s="1" t="inlineStr"/>
      <c r="Q1330" s="1" t="inlineStr">
        <is>
          <t>Пользовательский интерфейс</t>
        </is>
      </c>
    </row>
    <row r="1331">
      <c r="B1331" s="1" t="inlineStr">
        <is>
          <t>71599965</t>
        </is>
      </c>
      <c r="C1331" s="1" t="inlineStr">
        <is>
          <t>5518427</t>
        </is>
      </c>
      <c r="D1331" t="inlineStr">
        <is>
          <t>работник 390</t>
        </is>
      </c>
      <c r="E1331" s="1" t="inlineStr">
        <is>
          <t>ОБЩЕСТВО С ОГРАНИЧЕННОЙ ОТВЕТСТВЕННОСТЬЮ "АМУР ЗОЛОТО"</t>
        </is>
      </c>
      <c r="F1331" s="1" t="inlineStr">
        <is>
          <t>2708001686</t>
        </is>
      </c>
      <c r="G1331" s="1" t="inlineStr">
        <is>
          <t>Пробоотборщик</t>
        </is>
      </c>
      <c r="H1331" s="1" t="inlineStr">
        <is>
          <t>ООО "Амур Золото"</t>
        </is>
      </c>
      <c r="I1331" s="1" t="inlineStr">
        <is>
          <t>2708001686</t>
        </is>
      </c>
      <c r="J1331" s="1" t="inlineStr">
        <is>
          <t>ОТ №ЮГОК ОТК 24-03</t>
        </is>
      </c>
      <c r="K1331" s="1" t="inlineStr">
        <is>
          <t>Оказание первой помощи пострадавшим</t>
        </is>
      </c>
      <c r="L1331" s="1" t="inlineStr">
        <is>
          <t>12.08.2024</t>
        </is>
      </c>
      <c r="M1331" s="1" t="inlineStr">
        <is>
          <t>Успешно</t>
        </is>
      </c>
      <c r="N1331" s="1" t="inlineStr">
        <is>
          <t>12.08.2024</t>
        </is>
      </c>
      <c r="O1331" s="1" t="inlineStr"/>
      <c r="P1331" s="1" t="inlineStr"/>
      <c r="Q1331" s="1" t="inlineStr">
        <is>
          <t>Пользовательский интерфейс</t>
        </is>
      </c>
    </row>
    <row r="1332">
      <c r="B1332" s="1" t="inlineStr">
        <is>
          <t>71599966</t>
        </is>
      </c>
      <c r="C1332" s="1" t="inlineStr">
        <is>
          <t>5518427</t>
        </is>
      </c>
      <c r="D1332" t="inlineStr">
        <is>
          <t>работник 390</t>
        </is>
      </c>
      <c r="E1332" s="1" t="inlineStr">
        <is>
          <t>ОБЩЕСТВО С ОГРАНИЧЕННОЙ ОТВЕТСТВЕННОСТЬЮ "АМУР ЗОЛОТО"</t>
        </is>
      </c>
      <c r="F1332" s="1" t="inlineStr">
        <is>
          <t>2708001686</t>
        </is>
      </c>
      <c r="G1332" s="1" t="inlineStr">
        <is>
          <t>Пробоотборщик</t>
        </is>
      </c>
      <c r="H1332" s="1" t="inlineStr">
        <is>
          <t>ООО "Амур Золото"</t>
        </is>
      </c>
      <c r="I1332" s="1" t="inlineStr">
        <is>
          <t>2708001686</t>
        </is>
      </c>
      <c r="J1332" s="1" t="inlineStr">
        <is>
          <t>ОТ №ЮГОК ОТК 24-03</t>
        </is>
      </c>
      <c r="K1332" s="1" t="inlineStr">
        <is>
          <t>Использование (применение) средств индивидуальной защиты</t>
        </is>
      </c>
      <c r="L1332" s="1" t="inlineStr">
        <is>
          <t>12.08.2024</t>
        </is>
      </c>
      <c r="M1332" s="1" t="inlineStr">
        <is>
          <t>Успешно</t>
        </is>
      </c>
      <c r="N1332" s="1" t="inlineStr">
        <is>
          <t>12.08.2024</t>
        </is>
      </c>
      <c r="O1332" s="1" t="inlineStr"/>
      <c r="P1332" s="1" t="inlineStr"/>
      <c r="Q1332" s="1" t="inlineStr">
        <is>
          <t>Пользовательский интерфейс</t>
        </is>
      </c>
    </row>
    <row r="1333">
      <c r="B1333" s="1" t="inlineStr">
        <is>
          <t>71599967</t>
        </is>
      </c>
      <c r="C1333" s="1" t="inlineStr">
        <is>
          <t>5518427</t>
        </is>
      </c>
      <c r="D1333" t="inlineStr">
        <is>
          <t>работник 390</t>
        </is>
      </c>
      <c r="E1333" s="1" t="inlineStr">
        <is>
          <t>ОБЩЕСТВО С ОГРАНИЧЕННОЙ ОТВЕТСТВЕННОСТЬЮ "АМУР ЗОЛОТО"</t>
        </is>
      </c>
      <c r="F1333" s="1" t="inlineStr">
        <is>
          <t>2708001686</t>
        </is>
      </c>
      <c r="G1333" s="1" t="inlineStr">
        <is>
          <t>Пробоотборщик</t>
        </is>
      </c>
      <c r="H1333" s="1" t="inlineStr">
        <is>
          <t>ООО "Амур Золото"</t>
        </is>
      </c>
      <c r="I1333" s="1" t="inlineStr">
        <is>
          <t>2708001686</t>
        </is>
      </c>
      <c r="J1333" s="1" t="inlineStr">
        <is>
          <t>ОТ №ЮГОК ОТК 24-03</t>
        </is>
      </c>
      <c r="K133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333" s="1" t="inlineStr">
        <is>
          <t>12.08.2024</t>
        </is>
      </c>
      <c r="M1333" s="1" t="inlineStr">
        <is>
          <t>Успешно</t>
        </is>
      </c>
      <c r="N1333" s="1" t="inlineStr">
        <is>
          <t>12.08.2024</t>
        </is>
      </c>
      <c r="O1333" s="1" t="inlineStr"/>
      <c r="P1333" s="1" t="inlineStr"/>
      <c r="Q1333" s="1" t="inlineStr">
        <is>
          <t>Пользовательский интерфейс</t>
        </is>
      </c>
    </row>
    <row r="1334">
      <c r="B1334" s="1" t="inlineStr">
        <is>
          <t>71599968</t>
        </is>
      </c>
      <c r="C1334" s="1" t="inlineStr">
        <is>
          <t>5518427</t>
        </is>
      </c>
      <c r="D1334" t="inlineStr">
        <is>
          <t>работник 331</t>
        </is>
      </c>
      <c r="E1334" s="1" t="inlineStr">
        <is>
          <t>ОБЩЕСТВО С ОГРАНИЧЕННОЙ ОТВЕТСТВЕННОСТЬЮ "АМУР ЗОЛОТО"</t>
        </is>
      </c>
      <c r="F1334" s="1" t="inlineStr">
        <is>
          <t>2708001686</t>
        </is>
      </c>
      <c r="G1334" s="1" t="inlineStr">
        <is>
          <t>Пробоотборщик</t>
        </is>
      </c>
      <c r="H1334" s="1" t="inlineStr">
        <is>
          <t>ООО "Амур Золото"</t>
        </is>
      </c>
      <c r="I1334" s="1" t="inlineStr">
        <is>
          <t>2708001686</t>
        </is>
      </c>
      <c r="J1334" s="1" t="inlineStr">
        <is>
          <t>ОТ №ЮГОК ОТК 24-03</t>
        </is>
      </c>
      <c r="K1334" s="1" t="inlineStr">
        <is>
          <t>Оказание первой помощи пострадавшим</t>
        </is>
      </c>
      <c r="L1334" s="1" t="inlineStr">
        <is>
          <t>12.08.2024</t>
        </is>
      </c>
      <c r="M1334" s="1" t="inlineStr">
        <is>
          <t>Успешно</t>
        </is>
      </c>
      <c r="N1334" s="1" t="inlineStr">
        <is>
          <t>12.08.2024</t>
        </is>
      </c>
      <c r="O1334" s="1" t="inlineStr"/>
      <c r="P1334" s="1" t="inlineStr"/>
      <c r="Q1334" s="1" t="inlineStr">
        <is>
          <t>Пользовательский интерфейс</t>
        </is>
      </c>
    </row>
    <row r="1335">
      <c r="B1335" s="1" t="inlineStr">
        <is>
          <t>71599969</t>
        </is>
      </c>
      <c r="C1335" s="1" t="inlineStr">
        <is>
          <t>5518427</t>
        </is>
      </c>
      <c r="D1335" t="inlineStr">
        <is>
          <t>работник 331</t>
        </is>
      </c>
      <c r="E1335" s="1" t="inlineStr">
        <is>
          <t>ОБЩЕСТВО С ОГРАНИЧЕННОЙ ОТВЕТСТВЕННОСТЬЮ "АМУР ЗОЛОТО"</t>
        </is>
      </c>
      <c r="F1335" s="1" t="inlineStr">
        <is>
          <t>2708001686</t>
        </is>
      </c>
      <c r="G1335" s="1" t="inlineStr">
        <is>
          <t>Пробоотборщик</t>
        </is>
      </c>
      <c r="H1335" s="1" t="inlineStr">
        <is>
          <t>ООО "Амур Золото"</t>
        </is>
      </c>
      <c r="I1335" s="1" t="inlineStr">
        <is>
          <t>2708001686</t>
        </is>
      </c>
      <c r="J1335" s="1" t="inlineStr">
        <is>
          <t>ОТ №ЮГОК ОТК 24-03</t>
        </is>
      </c>
      <c r="K1335" s="1" t="inlineStr">
        <is>
          <t>Использование (применение) средств индивидуальной защиты</t>
        </is>
      </c>
      <c r="L1335" s="1" t="inlineStr">
        <is>
          <t>12.08.2024</t>
        </is>
      </c>
      <c r="M1335" s="1" t="inlineStr">
        <is>
          <t>Успешно</t>
        </is>
      </c>
      <c r="N1335" s="1" t="inlineStr">
        <is>
          <t>12.08.2024</t>
        </is>
      </c>
      <c r="O1335" s="1" t="inlineStr"/>
      <c r="P1335" s="1" t="inlineStr"/>
      <c r="Q1335" s="1" t="inlineStr">
        <is>
          <t>Пользовательский интерфейс</t>
        </is>
      </c>
    </row>
    <row r="1336">
      <c r="B1336" s="1" t="inlineStr">
        <is>
          <t>71599970</t>
        </is>
      </c>
      <c r="C1336" s="1" t="inlineStr">
        <is>
          <t>5518427</t>
        </is>
      </c>
      <c r="D1336" t="inlineStr">
        <is>
          <t>работник 331</t>
        </is>
      </c>
      <c r="E1336" s="1" t="inlineStr">
        <is>
          <t>ОБЩЕСТВО С ОГРАНИЧЕННОЙ ОТВЕТСТВЕННОСТЬЮ "АМУР ЗОЛОТО"</t>
        </is>
      </c>
      <c r="F1336" s="1" t="inlineStr">
        <is>
          <t>2708001686</t>
        </is>
      </c>
      <c r="G1336" s="1" t="inlineStr">
        <is>
          <t>Пробоотборщик</t>
        </is>
      </c>
      <c r="H1336" s="1" t="inlineStr">
        <is>
          <t>ООО "Амур Золото"</t>
        </is>
      </c>
      <c r="I1336" s="1" t="inlineStr">
        <is>
          <t>2708001686</t>
        </is>
      </c>
      <c r="J1336" s="1" t="inlineStr">
        <is>
          <t>ОТ №ЮГОК ОТК 24-03</t>
        </is>
      </c>
      <c r="K133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336" s="1" t="inlineStr">
        <is>
          <t>12.08.2024</t>
        </is>
      </c>
      <c r="M1336" s="1" t="inlineStr">
        <is>
          <t>Успешно</t>
        </is>
      </c>
      <c r="N1336" s="1" t="inlineStr">
        <is>
          <t>12.08.2024</t>
        </is>
      </c>
      <c r="O1336" s="1" t="inlineStr"/>
      <c r="P1336" s="1" t="inlineStr"/>
      <c r="Q1336" s="1" t="inlineStr">
        <is>
          <t>Пользовательский интерфейс</t>
        </is>
      </c>
    </row>
    <row r="1337">
      <c r="B1337" s="1" t="inlineStr">
        <is>
          <t>71599971</t>
        </is>
      </c>
      <c r="C1337" s="1" t="inlineStr">
        <is>
          <t>5518427</t>
        </is>
      </c>
      <c r="D1337" t="inlineStr">
        <is>
          <t>работник 391</t>
        </is>
      </c>
      <c r="E1337" s="1" t="inlineStr">
        <is>
          <t>ОБЩЕСТВО С ОГРАНИЧЕННОЙ ОТВЕТСТВЕННОСТЬЮ "АМУР ЗОЛОТО"</t>
        </is>
      </c>
      <c r="F1337" s="1" t="inlineStr">
        <is>
          <t>2708001686</t>
        </is>
      </c>
      <c r="G1337" s="1" t="inlineStr">
        <is>
          <t>Машинист насосных установок</t>
        </is>
      </c>
      <c r="H1337" s="1" t="inlineStr">
        <is>
          <t>ООО "Амур Золото"</t>
        </is>
      </c>
      <c r="I1337" s="1" t="inlineStr">
        <is>
          <t>2708001686</t>
        </is>
      </c>
      <c r="J1337" s="1" t="inlineStr">
        <is>
          <t>ОТ №ЮГОК ПГУ 24-11</t>
        </is>
      </c>
      <c r="K1337" s="1" t="inlineStr">
        <is>
          <t>Оказание первой помощи пострадавшим</t>
        </is>
      </c>
      <c r="L1337" s="1" t="inlineStr">
        <is>
          <t>08.08.2024</t>
        </is>
      </c>
      <c r="M1337" s="1" t="inlineStr">
        <is>
          <t>Успешно</t>
        </is>
      </c>
      <c r="N1337" s="1" t="inlineStr">
        <is>
          <t>12.08.2024</t>
        </is>
      </c>
      <c r="O1337" s="1" t="inlineStr"/>
      <c r="P1337" s="1" t="inlineStr"/>
      <c r="Q1337" s="1" t="inlineStr">
        <is>
          <t>Пользовательский интерфейс</t>
        </is>
      </c>
    </row>
    <row r="1338">
      <c r="B1338" s="1" t="inlineStr">
        <is>
          <t>71599972</t>
        </is>
      </c>
      <c r="C1338" s="1" t="inlineStr">
        <is>
          <t>5518427</t>
        </is>
      </c>
      <c r="D1338" t="inlineStr">
        <is>
          <t>работник 391</t>
        </is>
      </c>
      <c r="E1338" s="1" t="inlineStr">
        <is>
          <t>ОБЩЕСТВО С ОГРАНИЧЕННОЙ ОТВЕТСТВЕННОСТЬЮ "АМУР ЗОЛОТО"</t>
        </is>
      </c>
      <c r="F1338" s="1" t="inlineStr">
        <is>
          <t>2708001686</t>
        </is>
      </c>
      <c r="G1338" s="1" t="inlineStr">
        <is>
          <t>Машинист насосных установок</t>
        </is>
      </c>
      <c r="H1338" s="1" t="inlineStr">
        <is>
          <t>ООО "Амур Золото"</t>
        </is>
      </c>
      <c r="I1338" s="1" t="inlineStr">
        <is>
          <t>2708001686</t>
        </is>
      </c>
      <c r="J1338" s="1" t="inlineStr">
        <is>
          <t>ОТ №ЮГОК ПГУ 24-11</t>
        </is>
      </c>
      <c r="K1338" s="1" t="inlineStr">
        <is>
          <t>Использование (применение) средств индивидуальной защиты</t>
        </is>
      </c>
      <c r="L1338" s="1" t="inlineStr">
        <is>
          <t>08.08.2024</t>
        </is>
      </c>
      <c r="M1338" s="1" t="inlineStr">
        <is>
          <t>Успешно</t>
        </is>
      </c>
      <c r="N1338" s="1" t="inlineStr">
        <is>
          <t>12.08.2024</t>
        </is>
      </c>
      <c r="O1338" s="1" t="inlineStr"/>
      <c r="P1338" s="1" t="inlineStr"/>
      <c r="Q1338" s="1" t="inlineStr">
        <is>
          <t>Пользовательский интерфейс</t>
        </is>
      </c>
    </row>
    <row r="1339">
      <c r="B1339" s="1" t="inlineStr">
        <is>
          <t>71599973</t>
        </is>
      </c>
      <c r="C1339" s="1" t="inlineStr">
        <is>
          <t>5518427</t>
        </is>
      </c>
      <c r="D1339" t="inlineStr">
        <is>
          <t>работник 391</t>
        </is>
      </c>
      <c r="E1339" s="1" t="inlineStr">
        <is>
          <t>ОБЩЕСТВО С ОГРАНИЧЕННОЙ ОТВЕТСТВЕННОСТЬЮ "АМУР ЗОЛОТО"</t>
        </is>
      </c>
      <c r="F1339" s="1" t="inlineStr">
        <is>
          <t>2708001686</t>
        </is>
      </c>
      <c r="G1339" s="1" t="inlineStr">
        <is>
          <t>Машинист насосных установок</t>
        </is>
      </c>
      <c r="H1339" s="1" t="inlineStr">
        <is>
          <t>ООО "Амур Золото"</t>
        </is>
      </c>
      <c r="I1339" s="1" t="inlineStr">
        <is>
          <t>2708001686</t>
        </is>
      </c>
      <c r="J1339" s="1" t="inlineStr">
        <is>
          <t>ОТ №ЮГОК ПГУ 24-11</t>
        </is>
      </c>
      <c r="K133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339" s="1" t="inlineStr">
        <is>
          <t>08.08.2024</t>
        </is>
      </c>
      <c r="M1339" s="1" t="inlineStr">
        <is>
          <t>Успешно</t>
        </is>
      </c>
      <c r="N1339" s="1" t="inlineStr">
        <is>
          <t>12.08.2024</t>
        </is>
      </c>
      <c r="O1339" s="1" t="inlineStr"/>
      <c r="P1339" s="1" t="inlineStr"/>
      <c r="Q1339" s="1" t="inlineStr">
        <is>
          <t>Пользовательский интерфейс</t>
        </is>
      </c>
    </row>
    <row r="1340">
      <c r="B1340" s="1" t="inlineStr">
        <is>
          <t>71599974</t>
        </is>
      </c>
      <c r="C1340" s="1" t="inlineStr">
        <is>
          <t>5518427</t>
        </is>
      </c>
      <c r="D1340" t="inlineStr">
        <is>
          <t>работник 392</t>
        </is>
      </c>
      <c r="E1340" s="1" t="inlineStr">
        <is>
          <t>ОБЩЕСТВО С ОГРАНИЧЕННОЙ ОТВЕТСТВЕННОСТЬЮ "АМУР ЗОЛОТО"</t>
        </is>
      </c>
      <c r="F1340" s="1" t="inlineStr">
        <is>
          <t>2708001686</t>
        </is>
      </c>
      <c r="G1340" s="1" t="inlineStr">
        <is>
          <t>Повар</t>
        </is>
      </c>
      <c r="H1340" s="1" t="inlineStr">
        <is>
          <t>ООО "Амур Золото"</t>
        </is>
      </c>
      <c r="I1340" s="1" t="inlineStr">
        <is>
          <t>2708001686</t>
        </is>
      </c>
      <c r="J1340" s="1" t="inlineStr">
        <is>
          <t>ОТ №ЮГОК Столовая 24-02</t>
        </is>
      </c>
      <c r="K1340" s="1" t="inlineStr">
        <is>
          <t>Оказание первой помощи пострадавшим</t>
        </is>
      </c>
      <c r="L1340" s="1" t="inlineStr">
        <is>
          <t>08.08.2024</t>
        </is>
      </c>
      <c r="M1340" s="1" t="inlineStr">
        <is>
          <t>Успешно</t>
        </is>
      </c>
      <c r="N1340" s="1" t="inlineStr">
        <is>
          <t>12.08.2024</t>
        </is>
      </c>
      <c r="O1340" s="1" t="inlineStr"/>
      <c r="P1340" s="1" t="inlineStr"/>
      <c r="Q1340" s="1" t="inlineStr">
        <is>
          <t>Пользовательский интерфейс</t>
        </is>
      </c>
    </row>
    <row r="1341">
      <c r="B1341" s="1" t="inlineStr">
        <is>
          <t>71599975</t>
        </is>
      </c>
      <c r="C1341" s="1" t="inlineStr">
        <is>
          <t>5518427</t>
        </is>
      </c>
      <c r="D1341" t="inlineStr">
        <is>
          <t>работник 392</t>
        </is>
      </c>
      <c r="E1341" s="1" t="inlineStr">
        <is>
          <t>ОБЩЕСТВО С ОГРАНИЧЕННОЙ ОТВЕТСТВЕННОСТЬЮ "АМУР ЗОЛОТО"</t>
        </is>
      </c>
      <c r="F1341" s="1" t="inlineStr">
        <is>
          <t>2708001686</t>
        </is>
      </c>
      <c r="G1341" s="1" t="inlineStr">
        <is>
          <t>Повар</t>
        </is>
      </c>
      <c r="H1341" s="1" t="inlineStr">
        <is>
          <t>ООО "Амур Золото"</t>
        </is>
      </c>
      <c r="I1341" s="1" t="inlineStr">
        <is>
          <t>2708001686</t>
        </is>
      </c>
      <c r="J1341" s="1" t="inlineStr">
        <is>
          <t>ОТ №ЮГОК Столовая 24-02</t>
        </is>
      </c>
      <c r="K1341" s="1" t="inlineStr">
        <is>
          <t>Использование (применение) средств индивидуальной защиты</t>
        </is>
      </c>
      <c r="L1341" s="1" t="inlineStr">
        <is>
          <t>08.08.2024</t>
        </is>
      </c>
      <c r="M1341" s="1" t="inlineStr">
        <is>
          <t>Успешно</t>
        </is>
      </c>
      <c r="N1341" s="1" t="inlineStr">
        <is>
          <t>12.08.2024</t>
        </is>
      </c>
      <c r="O1341" s="1" t="inlineStr"/>
      <c r="P1341" s="1" t="inlineStr"/>
      <c r="Q1341" s="1" t="inlineStr">
        <is>
          <t>Пользовательский интерфейс</t>
        </is>
      </c>
    </row>
    <row r="1342">
      <c r="B1342" s="1" t="inlineStr">
        <is>
          <t>71599976</t>
        </is>
      </c>
      <c r="C1342" s="1" t="inlineStr">
        <is>
          <t>5518427</t>
        </is>
      </c>
      <c r="D1342" t="inlineStr">
        <is>
          <t>работник 392</t>
        </is>
      </c>
      <c r="E1342" s="1" t="inlineStr">
        <is>
          <t>ОБЩЕСТВО С ОГРАНИЧЕННОЙ ОТВЕТСТВЕННОСТЬЮ "АМУР ЗОЛОТО"</t>
        </is>
      </c>
      <c r="F1342" s="1" t="inlineStr">
        <is>
          <t>2708001686</t>
        </is>
      </c>
      <c r="G1342" s="1" t="inlineStr">
        <is>
          <t>Повар</t>
        </is>
      </c>
      <c r="H1342" s="1" t="inlineStr">
        <is>
          <t>ООО "Амур Золото"</t>
        </is>
      </c>
      <c r="I1342" s="1" t="inlineStr">
        <is>
          <t>2708001686</t>
        </is>
      </c>
      <c r="J1342" s="1" t="inlineStr">
        <is>
          <t>ОТ №ЮГОК Столовая 24-02</t>
        </is>
      </c>
      <c r="K134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342" s="1" t="inlineStr">
        <is>
          <t>08.08.2024</t>
        </is>
      </c>
      <c r="M1342" s="1" t="inlineStr">
        <is>
          <t>Успешно</t>
        </is>
      </c>
      <c r="N1342" s="1" t="inlineStr">
        <is>
          <t>12.08.2024</t>
        </is>
      </c>
      <c r="O1342" s="1" t="inlineStr"/>
      <c r="P1342" s="1" t="inlineStr"/>
      <c r="Q1342" s="1" t="inlineStr">
        <is>
          <t>Пользовательский интерфейс</t>
        </is>
      </c>
    </row>
    <row r="1343">
      <c r="B1343" s="1" t="inlineStr">
        <is>
          <t>71599977</t>
        </is>
      </c>
      <c r="C1343" s="1" t="inlineStr">
        <is>
          <t>5518427</t>
        </is>
      </c>
      <c r="D1343" t="inlineStr">
        <is>
          <t>работник 393</t>
        </is>
      </c>
      <c r="E1343" s="1" t="inlineStr">
        <is>
          <t>ОБЩЕСТВО С ОГРАНИЧЕННОЙ ОТВЕТСТВЕННОСТЬЮ "АМУР ЗОЛОТО"</t>
        </is>
      </c>
      <c r="F1343" s="1" t="inlineStr">
        <is>
          <t>2708001686</t>
        </is>
      </c>
      <c r="G1343" s="1" t="inlineStr">
        <is>
          <t>Кухонный рабочий</t>
        </is>
      </c>
      <c r="H1343" s="1" t="inlineStr">
        <is>
          <t>ООО "Амур Золото"</t>
        </is>
      </c>
      <c r="I1343" s="1" t="inlineStr">
        <is>
          <t>2708001686</t>
        </is>
      </c>
      <c r="J1343" s="1" t="inlineStr">
        <is>
          <t>ОТ №ЮГОК Столовая 24-02</t>
        </is>
      </c>
      <c r="K1343" s="1" t="inlineStr">
        <is>
          <t>Оказание первой помощи пострадавшим</t>
        </is>
      </c>
      <c r="L1343" s="1" t="inlineStr">
        <is>
          <t>08.08.2024</t>
        </is>
      </c>
      <c r="M1343" s="1" t="inlineStr">
        <is>
          <t>Успешно</t>
        </is>
      </c>
      <c r="N1343" s="1" t="inlineStr">
        <is>
          <t>12.08.2024</t>
        </is>
      </c>
      <c r="O1343" s="1" t="inlineStr"/>
      <c r="P1343" s="1" t="inlineStr"/>
      <c r="Q1343" s="1" t="inlineStr">
        <is>
          <t>Пользовательский интерфейс</t>
        </is>
      </c>
    </row>
    <row r="1344">
      <c r="B1344" s="1" t="inlineStr">
        <is>
          <t>71599978</t>
        </is>
      </c>
      <c r="C1344" s="1" t="inlineStr">
        <is>
          <t>5518427</t>
        </is>
      </c>
      <c r="D1344" t="inlineStr">
        <is>
          <t>работник 393</t>
        </is>
      </c>
      <c r="E1344" s="1" t="inlineStr">
        <is>
          <t>ОБЩЕСТВО С ОГРАНИЧЕННОЙ ОТВЕТСТВЕННОСТЬЮ "АМУР ЗОЛОТО"</t>
        </is>
      </c>
      <c r="F1344" s="1" t="inlineStr">
        <is>
          <t>2708001686</t>
        </is>
      </c>
      <c r="G1344" s="1" t="inlineStr">
        <is>
          <t>Кухонный рабочий</t>
        </is>
      </c>
      <c r="H1344" s="1" t="inlineStr">
        <is>
          <t>ООО "Амур Золото"</t>
        </is>
      </c>
      <c r="I1344" s="1" t="inlineStr">
        <is>
          <t>2708001686</t>
        </is>
      </c>
      <c r="J1344" s="1" t="inlineStr">
        <is>
          <t>ОТ №ЮГОК Столовая 24-02</t>
        </is>
      </c>
      <c r="K1344" s="1" t="inlineStr">
        <is>
          <t>Использование (применение) средств индивидуальной защиты</t>
        </is>
      </c>
      <c r="L1344" s="1" t="inlineStr">
        <is>
          <t>08.08.2024</t>
        </is>
      </c>
      <c r="M1344" s="1" t="inlineStr">
        <is>
          <t>Успешно</t>
        </is>
      </c>
      <c r="N1344" s="1" t="inlineStr">
        <is>
          <t>12.08.2024</t>
        </is>
      </c>
      <c r="O1344" s="1" t="inlineStr"/>
      <c r="P1344" s="1" t="inlineStr"/>
      <c r="Q1344" s="1" t="inlineStr">
        <is>
          <t>Пользовательский интерфейс</t>
        </is>
      </c>
    </row>
    <row r="1345">
      <c r="B1345" s="1" t="inlineStr">
        <is>
          <t>71599979</t>
        </is>
      </c>
      <c r="C1345" s="1" t="inlineStr">
        <is>
          <t>5518427</t>
        </is>
      </c>
      <c r="D1345" t="inlineStr">
        <is>
          <t>работник 393</t>
        </is>
      </c>
      <c r="E1345" s="1" t="inlineStr">
        <is>
          <t>ОБЩЕСТВО С ОГРАНИЧЕННОЙ ОТВЕТСТВЕННОСТЬЮ "АМУР ЗОЛОТО"</t>
        </is>
      </c>
      <c r="F1345" s="1" t="inlineStr">
        <is>
          <t>2708001686</t>
        </is>
      </c>
      <c r="G1345" s="1" t="inlineStr">
        <is>
          <t>Кухонный рабочий</t>
        </is>
      </c>
      <c r="H1345" s="1" t="inlineStr">
        <is>
          <t>ООО "Амур Золото"</t>
        </is>
      </c>
      <c r="I1345" s="1" t="inlineStr">
        <is>
          <t>2708001686</t>
        </is>
      </c>
      <c r="J1345" s="1" t="inlineStr">
        <is>
          <t>ОТ №ЮГОК Столовая 24-02</t>
        </is>
      </c>
      <c r="K134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345" s="1" t="inlineStr">
        <is>
          <t>08.08.2024</t>
        </is>
      </c>
      <c r="M1345" s="1" t="inlineStr">
        <is>
          <t>Успешно</t>
        </is>
      </c>
      <c r="N1345" s="1" t="inlineStr">
        <is>
          <t>12.08.2024</t>
        </is>
      </c>
      <c r="O1345" s="1" t="inlineStr"/>
      <c r="P1345" s="1" t="inlineStr"/>
      <c r="Q1345" s="1" t="inlineStr">
        <is>
          <t>Пользовательский интерфейс</t>
        </is>
      </c>
    </row>
    <row r="1346">
      <c r="B1346" s="1" t="inlineStr">
        <is>
          <t>71599980</t>
        </is>
      </c>
      <c r="C1346" s="1" t="inlineStr">
        <is>
          <t>5518427</t>
        </is>
      </c>
      <c r="D1346" t="inlineStr">
        <is>
          <t>работник 394</t>
        </is>
      </c>
      <c r="E1346" s="1" t="inlineStr">
        <is>
          <t>ОБЩЕСТВО С ОГРАНИЧЕННОЙ ОТВЕТСТВЕННОСТЬЮ "АМУР ЗОЛОТО"</t>
        </is>
      </c>
      <c r="F1346" s="1" t="inlineStr">
        <is>
          <t>2708001686</t>
        </is>
      </c>
      <c r="G1346" s="1" t="inlineStr">
        <is>
          <t>Кухонный рабочий</t>
        </is>
      </c>
      <c r="H1346" s="1" t="inlineStr">
        <is>
          <t>ООО "Амур Золото"</t>
        </is>
      </c>
      <c r="I1346" s="1" t="inlineStr">
        <is>
          <t>2708001686</t>
        </is>
      </c>
      <c r="J1346" s="1" t="inlineStr">
        <is>
          <t>ОТ №ЮГОК Столовая 24-02</t>
        </is>
      </c>
      <c r="K1346" s="1" t="inlineStr">
        <is>
          <t>Оказание первой помощи пострадавшим</t>
        </is>
      </c>
      <c r="L1346" s="1" t="inlineStr">
        <is>
          <t>08.08.2024</t>
        </is>
      </c>
      <c r="M1346" s="1" t="inlineStr">
        <is>
          <t>Успешно</t>
        </is>
      </c>
      <c r="N1346" s="1" t="inlineStr">
        <is>
          <t>12.08.2024</t>
        </is>
      </c>
      <c r="O1346" s="1" t="inlineStr"/>
      <c r="P1346" s="1" t="inlineStr"/>
      <c r="Q1346" s="1" t="inlineStr">
        <is>
          <t>Пользовательский интерфейс</t>
        </is>
      </c>
    </row>
    <row r="1347">
      <c r="B1347" s="1" t="inlineStr">
        <is>
          <t>71599981</t>
        </is>
      </c>
      <c r="C1347" s="1" t="inlineStr">
        <is>
          <t>5518427</t>
        </is>
      </c>
      <c r="D1347" t="inlineStr">
        <is>
          <t>работник 394</t>
        </is>
      </c>
      <c r="E1347" s="1" t="inlineStr">
        <is>
          <t>ОБЩЕСТВО С ОГРАНИЧЕННОЙ ОТВЕТСТВЕННОСТЬЮ "АМУР ЗОЛОТО"</t>
        </is>
      </c>
      <c r="F1347" s="1" t="inlineStr">
        <is>
          <t>2708001686</t>
        </is>
      </c>
      <c r="G1347" s="1" t="inlineStr">
        <is>
          <t>Кухонный рабочий</t>
        </is>
      </c>
      <c r="H1347" s="1" t="inlineStr">
        <is>
          <t>ООО "Амур Золото"</t>
        </is>
      </c>
      <c r="I1347" s="1" t="inlineStr">
        <is>
          <t>2708001686</t>
        </is>
      </c>
      <c r="J1347" s="1" t="inlineStr">
        <is>
          <t>ОТ №ЮГОК Столовая 24-02</t>
        </is>
      </c>
      <c r="K1347" s="1" t="inlineStr">
        <is>
          <t>Использование (применение) средств индивидуальной защиты</t>
        </is>
      </c>
      <c r="L1347" s="1" t="inlineStr">
        <is>
          <t>08.08.2024</t>
        </is>
      </c>
      <c r="M1347" s="1" t="inlineStr">
        <is>
          <t>Успешно</t>
        </is>
      </c>
      <c r="N1347" s="1" t="inlineStr">
        <is>
          <t>12.08.2024</t>
        </is>
      </c>
      <c r="O1347" s="1" t="inlineStr"/>
      <c r="P1347" s="1" t="inlineStr"/>
      <c r="Q1347" s="1" t="inlineStr">
        <is>
          <t>Пользовательский интерфейс</t>
        </is>
      </c>
    </row>
    <row r="1348">
      <c r="B1348" s="1" t="inlineStr">
        <is>
          <t>71599982</t>
        </is>
      </c>
      <c r="C1348" s="1" t="inlineStr">
        <is>
          <t>5518427</t>
        </is>
      </c>
      <c r="D1348" t="inlineStr">
        <is>
          <t>работник 394</t>
        </is>
      </c>
      <c r="E1348" s="1" t="inlineStr">
        <is>
          <t>ОБЩЕСТВО С ОГРАНИЧЕННОЙ ОТВЕТСТВЕННОСТЬЮ "АМУР ЗОЛОТО"</t>
        </is>
      </c>
      <c r="F1348" s="1" t="inlineStr">
        <is>
          <t>2708001686</t>
        </is>
      </c>
      <c r="G1348" s="1" t="inlineStr">
        <is>
          <t>Кухонный рабочий</t>
        </is>
      </c>
      <c r="H1348" s="1" t="inlineStr">
        <is>
          <t>ООО "Амур Золото"</t>
        </is>
      </c>
      <c r="I1348" s="1" t="inlineStr">
        <is>
          <t>2708001686</t>
        </is>
      </c>
      <c r="J1348" s="1" t="inlineStr">
        <is>
          <t>ОТ №ЮГОК Столовая 24-02</t>
        </is>
      </c>
      <c r="K134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348" s="1" t="inlineStr">
        <is>
          <t>08.08.2024</t>
        </is>
      </c>
      <c r="M1348" s="1" t="inlineStr">
        <is>
          <t>Успешно</t>
        </is>
      </c>
      <c r="N1348" s="1" t="inlineStr">
        <is>
          <t>12.08.2024</t>
        </is>
      </c>
      <c r="O1348" s="1" t="inlineStr"/>
      <c r="P1348" s="1" t="inlineStr"/>
      <c r="Q1348" s="1" t="inlineStr">
        <is>
          <t>Пользовательский интерфейс</t>
        </is>
      </c>
    </row>
    <row r="1349">
      <c r="B1349" s="1" t="inlineStr">
        <is>
          <t>71599983</t>
        </is>
      </c>
      <c r="C1349" s="1" t="inlineStr">
        <is>
          <t>5518427</t>
        </is>
      </c>
      <c r="D1349" t="inlineStr">
        <is>
          <t>работник 395</t>
        </is>
      </c>
      <c r="E1349" s="1" t="inlineStr">
        <is>
          <t>ОБЩЕСТВО С ОГРАНИЧЕННОЙ ОТВЕТСТВЕННОСТЬЮ "АМУР ЗОЛОТО"</t>
        </is>
      </c>
      <c r="F1349" s="1" t="inlineStr">
        <is>
          <t>2708001686</t>
        </is>
      </c>
      <c r="G1349" s="1" t="inlineStr">
        <is>
          <t>Кухонный рабочий</t>
        </is>
      </c>
      <c r="H1349" s="1" t="inlineStr">
        <is>
          <t>ООО "Амур Золото"</t>
        </is>
      </c>
      <c r="I1349" s="1" t="inlineStr">
        <is>
          <t>2708001686</t>
        </is>
      </c>
      <c r="J1349" s="1" t="inlineStr">
        <is>
          <t>ОТ №ЮГОК Столовая 24-02</t>
        </is>
      </c>
      <c r="K1349" s="1" t="inlineStr">
        <is>
          <t>Оказание первой помощи пострадавшим</t>
        </is>
      </c>
      <c r="L1349" s="1" t="inlineStr">
        <is>
          <t>08.08.2024</t>
        </is>
      </c>
      <c r="M1349" s="1" t="inlineStr">
        <is>
          <t>Успешно</t>
        </is>
      </c>
      <c r="N1349" s="1" t="inlineStr">
        <is>
          <t>12.08.2024</t>
        </is>
      </c>
      <c r="O1349" s="1" t="inlineStr"/>
      <c r="P1349" s="1" t="inlineStr"/>
      <c r="Q1349" s="1" t="inlineStr">
        <is>
          <t>Пользовательский интерфейс</t>
        </is>
      </c>
    </row>
    <row r="1350">
      <c r="B1350" s="1" t="inlineStr">
        <is>
          <t>71599984</t>
        </is>
      </c>
      <c r="C1350" s="1" t="inlineStr">
        <is>
          <t>5518427</t>
        </is>
      </c>
      <c r="D1350" t="inlineStr">
        <is>
          <t>работник 395</t>
        </is>
      </c>
      <c r="E1350" s="1" t="inlineStr">
        <is>
          <t>ОБЩЕСТВО С ОГРАНИЧЕННОЙ ОТВЕТСТВЕННОСТЬЮ "АМУР ЗОЛОТО"</t>
        </is>
      </c>
      <c r="F1350" s="1" t="inlineStr">
        <is>
          <t>2708001686</t>
        </is>
      </c>
      <c r="G1350" s="1" t="inlineStr">
        <is>
          <t>Кухонный рабочий</t>
        </is>
      </c>
      <c r="H1350" s="1" t="inlineStr">
        <is>
          <t>ООО "Амур Золото"</t>
        </is>
      </c>
      <c r="I1350" s="1" t="inlineStr">
        <is>
          <t>2708001686</t>
        </is>
      </c>
      <c r="J1350" s="1" t="inlineStr">
        <is>
          <t>ОТ №ЮГОК Столовая 24-02</t>
        </is>
      </c>
      <c r="K1350" s="1" t="inlineStr">
        <is>
          <t>Использование (применение) средств индивидуальной защиты</t>
        </is>
      </c>
      <c r="L1350" s="1" t="inlineStr">
        <is>
          <t>08.08.2024</t>
        </is>
      </c>
      <c r="M1350" s="1" t="inlineStr">
        <is>
          <t>Успешно</t>
        </is>
      </c>
      <c r="N1350" s="1" t="inlineStr">
        <is>
          <t>12.08.2024</t>
        </is>
      </c>
      <c r="O1350" s="1" t="inlineStr"/>
      <c r="P1350" s="1" t="inlineStr"/>
      <c r="Q1350" s="1" t="inlineStr">
        <is>
          <t>Пользовательский интерфейс</t>
        </is>
      </c>
    </row>
    <row r="1351">
      <c r="B1351" s="1" t="inlineStr">
        <is>
          <t>71599985</t>
        </is>
      </c>
      <c r="C1351" s="1" t="inlineStr">
        <is>
          <t>5518427</t>
        </is>
      </c>
      <c r="D1351" t="inlineStr">
        <is>
          <t>работник 395</t>
        </is>
      </c>
      <c r="E1351" s="1" t="inlineStr">
        <is>
          <t>ОБЩЕСТВО С ОГРАНИЧЕННОЙ ОТВЕТСТВЕННОСТЬЮ "АМУР ЗОЛОТО"</t>
        </is>
      </c>
      <c r="F1351" s="1" t="inlineStr">
        <is>
          <t>2708001686</t>
        </is>
      </c>
      <c r="G1351" s="1" t="inlineStr">
        <is>
          <t>Кухонный рабочий</t>
        </is>
      </c>
      <c r="H1351" s="1" t="inlineStr">
        <is>
          <t>ООО "Амур Золото"</t>
        </is>
      </c>
      <c r="I1351" s="1" t="inlineStr">
        <is>
          <t>2708001686</t>
        </is>
      </c>
      <c r="J1351" s="1" t="inlineStr">
        <is>
          <t>ОТ №ЮГОК Столовая 24-02</t>
        </is>
      </c>
      <c r="K135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351" s="1" t="inlineStr">
        <is>
          <t>08.08.2024</t>
        </is>
      </c>
      <c r="M1351" s="1" t="inlineStr">
        <is>
          <t>Успешно</t>
        </is>
      </c>
      <c r="N1351" s="1" t="inlineStr">
        <is>
          <t>12.08.2024</t>
        </is>
      </c>
      <c r="O1351" s="1" t="inlineStr"/>
      <c r="P1351" s="1" t="inlineStr"/>
      <c r="Q1351" s="1" t="inlineStr">
        <is>
          <t>Пользовательский интерфейс</t>
        </is>
      </c>
    </row>
    <row r="1352">
      <c r="B1352" s="1" t="inlineStr">
        <is>
          <t>71599986</t>
        </is>
      </c>
      <c r="C1352" s="1" t="inlineStr">
        <is>
          <t>5518427</t>
        </is>
      </c>
      <c r="D1352" t="inlineStr">
        <is>
          <t>работник 396</t>
        </is>
      </c>
      <c r="E1352" s="1" t="inlineStr">
        <is>
          <t>ОБЩЕСТВО С ОГРАНИЧЕННОЙ ОТВЕТСТВЕННОСТЬЮ "АМУР ЗОЛОТО"</t>
        </is>
      </c>
      <c r="F1352" s="1" t="inlineStr">
        <is>
          <t>2708001686</t>
        </is>
      </c>
      <c r="G1352" s="1" t="inlineStr">
        <is>
          <t>Кухонный рабочий</t>
        </is>
      </c>
      <c r="H1352" s="1" t="inlineStr">
        <is>
          <t>ООО "Амур Золото"</t>
        </is>
      </c>
      <c r="I1352" s="1" t="inlineStr">
        <is>
          <t>2708001686</t>
        </is>
      </c>
      <c r="J1352" s="1" t="inlineStr">
        <is>
          <t>ОТ №ЮГОК Столовая 24-02</t>
        </is>
      </c>
      <c r="K1352" s="1" t="inlineStr">
        <is>
          <t>Оказание первой помощи пострадавшим</t>
        </is>
      </c>
      <c r="L1352" s="1" t="inlineStr">
        <is>
          <t>08.08.2024</t>
        </is>
      </c>
      <c r="M1352" s="1" t="inlineStr">
        <is>
          <t>Успешно</t>
        </is>
      </c>
      <c r="N1352" s="1" t="inlineStr">
        <is>
          <t>12.08.2024</t>
        </is>
      </c>
      <c r="O1352" s="1" t="inlineStr"/>
      <c r="P1352" s="1" t="inlineStr"/>
      <c r="Q1352" s="1" t="inlineStr">
        <is>
          <t>Пользовательский интерфейс</t>
        </is>
      </c>
    </row>
    <row r="1353">
      <c r="B1353" s="1" t="inlineStr">
        <is>
          <t>71599987</t>
        </is>
      </c>
      <c r="C1353" s="1" t="inlineStr">
        <is>
          <t>5518427</t>
        </is>
      </c>
      <c r="D1353" t="inlineStr">
        <is>
          <t>работник 396</t>
        </is>
      </c>
      <c r="E1353" s="1" t="inlineStr">
        <is>
          <t>ОБЩЕСТВО С ОГРАНИЧЕННОЙ ОТВЕТСТВЕННОСТЬЮ "АМУР ЗОЛОТО"</t>
        </is>
      </c>
      <c r="F1353" s="1" t="inlineStr">
        <is>
          <t>2708001686</t>
        </is>
      </c>
      <c r="G1353" s="1" t="inlineStr">
        <is>
          <t>Кухонный рабочий</t>
        </is>
      </c>
      <c r="H1353" s="1" t="inlineStr">
        <is>
          <t>ООО "Амур Золото"</t>
        </is>
      </c>
      <c r="I1353" s="1" t="inlineStr">
        <is>
          <t>2708001686</t>
        </is>
      </c>
      <c r="J1353" s="1" t="inlineStr">
        <is>
          <t>ОТ №ЮГОК Столовая 24-02</t>
        </is>
      </c>
      <c r="K1353" s="1" t="inlineStr">
        <is>
          <t>Использование (применение) средств индивидуальной защиты</t>
        </is>
      </c>
      <c r="L1353" s="1" t="inlineStr">
        <is>
          <t>08.08.2024</t>
        </is>
      </c>
      <c r="M1353" s="1" t="inlineStr">
        <is>
          <t>Успешно</t>
        </is>
      </c>
      <c r="N1353" s="1" t="inlineStr">
        <is>
          <t>12.08.2024</t>
        </is>
      </c>
      <c r="O1353" s="1" t="inlineStr"/>
      <c r="P1353" s="1" t="inlineStr"/>
      <c r="Q1353" s="1" t="inlineStr">
        <is>
          <t>Пользовательский интерфейс</t>
        </is>
      </c>
    </row>
    <row r="1354">
      <c r="B1354" s="1" t="inlineStr">
        <is>
          <t>71599988</t>
        </is>
      </c>
      <c r="C1354" s="1" t="inlineStr">
        <is>
          <t>5518427</t>
        </is>
      </c>
      <c r="D1354" t="inlineStr">
        <is>
          <t>работник 396</t>
        </is>
      </c>
      <c r="E1354" s="1" t="inlineStr">
        <is>
          <t>ОБЩЕСТВО С ОГРАНИЧЕННОЙ ОТВЕТСТВЕННОСТЬЮ "АМУР ЗОЛОТО"</t>
        </is>
      </c>
      <c r="F1354" s="1" t="inlineStr">
        <is>
          <t>2708001686</t>
        </is>
      </c>
      <c r="G1354" s="1" t="inlineStr">
        <is>
          <t>Кухонный рабочий</t>
        </is>
      </c>
      <c r="H1354" s="1" t="inlineStr">
        <is>
          <t>ООО "Амур Золото"</t>
        </is>
      </c>
      <c r="I1354" s="1" t="inlineStr">
        <is>
          <t>2708001686</t>
        </is>
      </c>
      <c r="J1354" s="1" t="inlineStr">
        <is>
          <t>ОТ №ЮГОК Столовая 24-02</t>
        </is>
      </c>
      <c r="K135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354" s="1" t="inlineStr">
        <is>
          <t>08.08.2024</t>
        </is>
      </c>
      <c r="M1354" s="1" t="inlineStr">
        <is>
          <t>Успешно</t>
        </is>
      </c>
      <c r="N1354" s="1" t="inlineStr">
        <is>
          <t>12.08.2024</t>
        </is>
      </c>
      <c r="O1354" s="1" t="inlineStr"/>
      <c r="P1354" s="1" t="inlineStr"/>
      <c r="Q1354" s="1" t="inlineStr">
        <is>
          <t>Пользовательский интерфейс</t>
        </is>
      </c>
    </row>
    <row r="1355">
      <c r="B1355" s="1" t="inlineStr">
        <is>
          <t>76186425</t>
        </is>
      </c>
      <c r="C1355" s="1" t="inlineStr">
        <is>
          <t>5868791</t>
        </is>
      </c>
      <c r="D1355" t="inlineStr">
        <is>
          <t>работник 397</t>
        </is>
      </c>
      <c r="E1355" s="1" t="inlineStr">
        <is>
          <t>ОБЩЕСТВО С ОГРАНИЧЕННОЙ ОТВЕТСТВЕННОСТЬЮ "АМУР ЗОЛОТО"</t>
        </is>
      </c>
      <c r="F1355" s="1" t="inlineStr">
        <is>
          <t>2708001686</t>
        </is>
      </c>
      <c r="G1355" s="1" t="inlineStr">
        <is>
          <t>Водитель автомобиля (занятый на транспортировании горной массы в технологическом процессе)</t>
        </is>
      </c>
      <c r="H1355" s="1" t="inlineStr">
        <is>
          <t>ООО "Амур Золото"</t>
        </is>
      </c>
      <c r="I1355" s="1" t="inlineStr">
        <is>
          <t>2708001686</t>
        </is>
      </c>
      <c r="J1355" s="1" t="inlineStr">
        <is>
          <t>ОТ №ЮГОК АТЦ 24-05</t>
        </is>
      </c>
      <c r="K1355" s="1" t="inlineStr">
        <is>
          <t>Использование (применение) средств индивидуальной защиты</t>
        </is>
      </c>
      <c r="L1355" s="1" t="inlineStr">
        <is>
          <t>28.08.2024</t>
        </is>
      </c>
      <c r="M1355" s="1" t="inlineStr">
        <is>
          <t>Успешно</t>
        </is>
      </c>
      <c r="N1355" s="1" t="inlineStr">
        <is>
          <t>11.09.2024</t>
        </is>
      </c>
      <c r="O1355" s="1" t="inlineStr"/>
      <c r="P1355" s="1" t="inlineStr"/>
      <c r="Q1355" s="1" t="inlineStr">
        <is>
          <t>Пользовательский интерфейс</t>
        </is>
      </c>
    </row>
    <row r="1356">
      <c r="B1356" s="1" t="inlineStr">
        <is>
          <t>76186426</t>
        </is>
      </c>
      <c r="C1356" s="1" t="inlineStr">
        <is>
          <t>5868791</t>
        </is>
      </c>
      <c r="D1356" t="inlineStr">
        <is>
          <t>работник 397</t>
        </is>
      </c>
      <c r="E1356" s="1" t="inlineStr">
        <is>
          <t>ОБЩЕСТВО С ОГРАНИЧЕННОЙ ОТВЕТСТВЕННОСТЬЮ "АМУР ЗОЛОТО"</t>
        </is>
      </c>
      <c r="F1356" s="1" t="inlineStr">
        <is>
          <t>2708001686</t>
        </is>
      </c>
      <c r="G1356" s="1" t="inlineStr">
        <is>
          <t>Водитель автомобиля (занятый на транспортировании горной массы в технологическом процессе)</t>
        </is>
      </c>
      <c r="H1356" s="1" t="inlineStr">
        <is>
          <t>ООО "Амур Золото"</t>
        </is>
      </c>
      <c r="I1356" s="1" t="inlineStr">
        <is>
          <t>2708001686</t>
        </is>
      </c>
      <c r="J1356" s="1" t="inlineStr">
        <is>
          <t>ОТ №ЮГОК АТЦ 24-05</t>
        </is>
      </c>
      <c r="K135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356" s="1" t="inlineStr">
        <is>
          <t>28.08.2024</t>
        </is>
      </c>
      <c r="M1356" s="1" t="inlineStr">
        <is>
          <t>Успешно</t>
        </is>
      </c>
      <c r="N1356" s="1" t="inlineStr">
        <is>
          <t>11.09.2024</t>
        </is>
      </c>
      <c r="O1356" s="1" t="inlineStr"/>
      <c r="P1356" s="1" t="inlineStr"/>
      <c r="Q1356" s="1" t="inlineStr">
        <is>
          <t>Пользовательский интерфейс</t>
        </is>
      </c>
    </row>
    <row r="1357">
      <c r="B1357" s="1" t="inlineStr">
        <is>
          <t>76186427</t>
        </is>
      </c>
      <c r="C1357" s="1" t="inlineStr">
        <is>
          <t>5868791</t>
        </is>
      </c>
      <c r="D1357" t="inlineStr">
        <is>
          <t>работник 398</t>
        </is>
      </c>
      <c r="E1357" s="1" t="inlineStr">
        <is>
          <t>ОБЩЕСТВО С ОГРАНИЧЕННОЙ ОТВЕТСТВЕННОСТЬЮ "АМУР ЗОЛОТО"</t>
        </is>
      </c>
      <c r="F1357" s="1" t="inlineStr">
        <is>
          <t>2708001686</t>
        </is>
      </c>
      <c r="G1357" s="1" t="inlineStr">
        <is>
          <t>Водитель автомобиля (занятый на транспортировании горной массы в технологическом процессе)</t>
        </is>
      </c>
      <c r="H1357" s="1" t="inlineStr">
        <is>
          <t>ООО "Амур Золото"</t>
        </is>
      </c>
      <c r="I1357" s="1" t="inlineStr">
        <is>
          <t>2708001686</t>
        </is>
      </c>
      <c r="J1357" s="1" t="inlineStr">
        <is>
          <t>ОТ №ЮГОК АТЦ 24-05</t>
        </is>
      </c>
      <c r="K1357" s="1" t="inlineStr">
        <is>
          <t>Использование (применение) средств индивидуальной защиты</t>
        </is>
      </c>
      <c r="L1357" s="1" t="inlineStr">
        <is>
          <t>28.08.2024</t>
        </is>
      </c>
      <c r="M1357" s="1" t="inlineStr">
        <is>
          <t>Успешно</t>
        </is>
      </c>
      <c r="N1357" s="1" t="inlineStr">
        <is>
          <t>11.09.2024</t>
        </is>
      </c>
      <c r="O1357" s="1" t="inlineStr"/>
      <c r="P1357" s="1" t="inlineStr"/>
      <c r="Q1357" s="1" t="inlineStr">
        <is>
          <t>Пользовательский интерфейс</t>
        </is>
      </c>
    </row>
    <row r="1358">
      <c r="B1358" s="1" t="inlineStr">
        <is>
          <t>76186428</t>
        </is>
      </c>
      <c r="C1358" s="1" t="inlineStr">
        <is>
          <t>5868791</t>
        </is>
      </c>
      <c r="D1358" t="inlineStr">
        <is>
          <t>работник 398</t>
        </is>
      </c>
      <c r="E1358" s="1" t="inlineStr">
        <is>
          <t>ОБЩЕСТВО С ОГРАНИЧЕННОЙ ОТВЕТСТВЕННОСТЬЮ "АМУР ЗОЛОТО"</t>
        </is>
      </c>
      <c r="F1358" s="1" t="inlineStr">
        <is>
          <t>2708001686</t>
        </is>
      </c>
      <c r="G1358" s="1" t="inlineStr">
        <is>
          <t>Водитель автомобиля (занятый на транспортировании горной массы в технологическом процессе)</t>
        </is>
      </c>
      <c r="H1358" s="1" t="inlineStr">
        <is>
          <t>ООО "Амур Золото"</t>
        </is>
      </c>
      <c r="I1358" s="1" t="inlineStr">
        <is>
          <t>2708001686</t>
        </is>
      </c>
      <c r="J1358" s="1" t="inlineStr">
        <is>
          <t>ОТ №ЮГОК АТЦ 24-05</t>
        </is>
      </c>
      <c r="K135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358" s="1" t="inlineStr">
        <is>
          <t>28.08.2024</t>
        </is>
      </c>
      <c r="M1358" s="1" t="inlineStr">
        <is>
          <t>Успешно</t>
        </is>
      </c>
      <c r="N1358" s="1" t="inlineStr">
        <is>
          <t>11.09.2024</t>
        </is>
      </c>
      <c r="O1358" s="1" t="inlineStr"/>
      <c r="P1358" s="1" t="inlineStr"/>
      <c r="Q1358" s="1" t="inlineStr">
        <is>
          <t>Пользовательский интерфейс</t>
        </is>
      </c>
    </row>
    <row r="1359">
      <c r="B1359" s="1" t="inlineStr">
        <is>
          <t>76186429</t>
        </is>
      </c>
      <c r="C1359" s="1" t="inlineStr">
        <is>
          <t>5868791</t>
        </is>
      </c>
      <c r="D1359" t="inlineStr">
        <is>
          <t>работник 399</t>
        </is>
      </c>
      <c r="E1359" s="1" t="inlineStr">
        <is>
          <t>ОБЩЕСТВО С ОГРАНИЧЕННОЙ ОТВЕТСТВЕННОСТЬЮ "АМУР ЗОЛОТО"</t>
        </is>
      </c>
      <c r="F1359" s="1" t="inlineStr">
        <is>
          <t>2708001686</t>
        </is>
      </c>
      <c r="G1359" s="1" t="inlineStr">
        <is>
          <t>Водитель автомобиля (занятый на транспортировании горной массы в технологическом процессе)</t>
        </is>
      </c>
      <c r="H1359" s="1" t="inlineStr">
        <is>
          <t>ООО "Амур Золото"</t>
        </is>
      </c>
      <c r="I1359" s="1" t="inlineStr">
        <is>
          <t>2708001686</t>
        </is>
      </c>
      <c r="J1359" s="1" t="inlineStr">
        <is>
          <t>ОТ №ЮГОК АТЦ 24-05</t>
        </is>
      </c>
      <c r="K1359" s="1" t="inlineStr">
        <is>
          <t>Использование (применение) средств индивидуальной защиты</t>
        </is>
      </c>
      <c r="L1359" s="1" t="inlineStr">
        <is>
          <t>28.08.2024</t>
        </is>
      </c>
      <c r="M1359" s="1" t="inlineStr">
        <is>
          <t>Успешно</t>
        </is>
      </c>
      <c r="N1359" s="1" t="inlineStr">
        <is>
          <t>11.09.2024</t>
        </is>
      </c>
      <c r="O1359" s="1" t="inlineStr"/>
      <c r="P1359" s="1" t="inlineStr"/>
      <c r="Q1359" s="1" t="inlineStr">
        <is>
          <t>Пользовательский интерфейс</t>
        </is>
      </c>
    </row>
    <row r="1360">
      <c r="B1360" s="1" t="inlineStr">
        <is>
          <t>76186430</t>
        </is>
      </c>
      <c r="C1360" s="1" t="inlineStr">
        <is>
          <t>5868791</t>
        </is>
      </c>
      <c r="D1360" t="inlineStr">
        <is>
          <t>работник 399</t>
        </is>
      </c>
      <c r="E1360" s="1" t="inlineStr">
        <is>
          <t>ОБЩЕСТВО С ОГРАНИЧЕННОЙ ОТВЕТСТВЕННОСТЬЮ "АМУР ЗОЛОТО"</t>
        </is>
      </c>
      <c r="F1360" s="1" t="inlineStr">
        <is>
          <t>2708001686</t>
        </is>
      </c>
      <c r="G1360" s="1" t="inlineStr">
        <is>
          <t>Водитель автомобиля (занятый на транспортировании горной массы в технологическом процессе)</t>
        </is>
      </c>
      <c r="H1360" s="1" t="inlineStr">
        <is>
          <t>ООО "Амур Золото"</t>
        </is>
      </c>
      <c r="I1360" s="1" t="inlineStr">
        <is>
          <t>2708001686</t>
        </is>
      </c>
      <c r="J1360" s="1" t="inlineStr">
        <is>
          <t>ОТ №ЮГОК АТЦ 24-05</t>
        </is>
      </c>
      <c r="K136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360" s="1" t="inlineStr">
        <is>
          <t>28.08.2024</t>
        </is>
      </c>
      <c r="M1360" s="1" t="inlineStr">
        <is>
          <t>Успешно</t>
        </is>
      </c>
      <c r="N1360" s="1" t="inlineStr">
        <is>
          <t>11.09.2024</t>
        </is>
      </c>
      <c r="O1360" s="1" t="inlineStr"/>
      <c r="P1360" s="1" t="inlineStr"/>
      <c r="Q1360" s="1" t="inlineStr">
        <is>
          <t>Пользовательский интерфейс</t>
        </is>
      </c>
    </row>
    <row r="1361">
      <c r="B1361" s="1" t="inlineStr">
        <is>
          <t>76186431</t>
        </is>
      </c>
      <c r="C1361" s="1" t="inlineStr">
        <is>
          <t>5868791</t>
        </is>
      </c>
      <c r="D1361" t="inlineStr">
        <is>
          <t>работник 400</t>
        </is>
      </c>
      <c r="E1361" s="1" t="inlineStr">
        <is>
          <t>ОБЩЕСТВО С ОГРАНИЧЕННОЙ ОТВЕТСТВЕННОСТЬЮ "АМУР ЗОЛОТО"</t>
        </is>
      </c>
      <c r="F1361" s="1" t="inlineStr">
        <is>
          <t>2708001686</t>
        </is>
      </c>
      <c r="G1361" s="1" t="inlineStr">
        <is>
          <t>Водитель погрузчика</t>
        </is>
      </c>
      <c r="H1361" s="1" t="inlineStr">
        <is>
          <t>ООО "Амур Золото"</t>
        </is>
      </c>
      <c r="I1361" s="1" t="inlineStr">
        <is>
          <t>2708001686</t>
        </is>
      </c>
      <c r="J1361" s="1" t="inlineStr">
        <is>
          <t>ОТ №ЮГОК АТЦ 24-05</t>
        </is>
      </c>
      <c r="K1361" s="1" t="inlineStr">
        <is>
          <t>Использование (применение) средств индивидуальной защиты</t>
        </is>
      </c>
      <c r="L1361" s="1" t="inlineStr">
        <is>
          <t>28.08.2024</t>
        </is>
      </c>
      <c r="M1361" s="1" t="inlineStr">
        <is>
          <t>Успешно</t>
        </is>
      </c>
      <c r="N1361" s="1" t="inlineStr">
        <is>
          <t>11.09.2024</t>
        </is>
      </c>
      <c r="O1361" s="1" t="inlineStr"/>
      <c r="P1361" s="1" t="inlineStr"/>
      <c r="Q1361" s="1" t="inlineStr">
        <is>
          <t>Пользовательский интерфейс</t>
        </is>
      </c>
    </row>
    <row r="1362">
      <c r="B1362" s="1" t="inlineStr">
        <is>
          <t>76186432</t>
        </is>
      </c>
      <c r="C1362" s="1" t="inlineStr">
        <is>
          <t>5868791</t>
        </is>
      </c>
      <c r="D1362" t="inlineStr">
        <is>
          <t>работник 400</t>
        </is>
      </c>
      <c r="E1362" s="1" t="inlineStr">
        <is>
          <t>ОБЩЕСТВО С ОГРАНИЧЕННОЙ ОТВЕТСТВЕННОСТЬЮ "АМУР ЗОЛОТО"</t>
        </is>
      </c>
      <c r="F1362" s="1" t="inlineStr">
        <is>
          <t>2708001686</t>
        </is>
      </c>
      <c r="G1362" s="1" t="inlineStr">
        <is>
          <t>Водитель погрузчика</t>
        </is>
      </c>
      <c r="H1362" s="1" t="inlineStr">
        <is>
          <t>ООО "Амур Золото"</t>
        </is>
      </c>
      <c r="I1362" s="1" t="inlineStr">
        <is>
          <t>2708001686</t>
        </is>
      </c>
      <c r="J1362" s="1" t="inlineStr">
        <is>
          <t>ОТ №ЮГОК АТЦ 24-05</t>
        </is>
      </c>
      <c r="K136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362" s="1" t="inlineStr">
        <is>
          <t>28.08.2024</t>
        </is>
      </c>
      <c r="M1362" s="1" t="inlineStr">
        <is>
          <t>Успешно</t>
        </is>
      </c>
      <c r="N1362" s="1" t="inlineStr">
        <is>
          <t>11.09.2024</t>
        </is>
      </c>
      <c r="O1362" s="1" t="inlineStr"/>
      <c r="P1362" s="1" t="inlineStr"/>
      <c r="Q1362" s="1" t="inlineStr">
        <is>
          <t>Пользовательский интерфейс</t>
        </is>
      </c>
    </row>
    <row r="1363">
      <c r="B1363" s="1" t="inlineStr">
        <is>
          <t>76186433</t>
        </is>
      </c>
      <c r="C1363" s="1" t="inlineStr">
        <is>
          <t>5868791</t>
        </is>
      </c>
      <c r="D1363" t="inlineStr">
        <is>
          <t>работник 226</t>
        </is>
      </c>
      <c r="E1363" s="1" t="inlineStr">
        <is>
          <t>ОБЩЕСТВО С ОГРАНИЧЕННОЙ ОТВЕТСТВЕННОСТЬЮ "АМУР ЗОЛОТО"</t>
        </is>
      </c>
      <c r="F1363" s="1" t="inlineStr">
        <is>
          <t>2708001686</t>
        </is>
      </c>
      <c r="G1363" s="1" t="inlineStr">
        <is>
          <t>Пробоотборщик</t>
        </is>
      </c>
      <c r="H1363" s="1" t="inlineStr">
        <is>
          <t>ООО "Амур Золото"</t>
        </is>
      </c>
      <c r="I1363" s="1" t="inlineStr">
        <is>
          <t>2708001686</t>
        </is>
      </c>
      <c r="J1363" s="1" t="inlineStr">
        <is>
          <t>ОТ №ЮГОК ОТК 24-04</t>
        </is>
      </c>
      <c r="K1363" s="1" t="inlineStr">
        <is>
          <t>Использование (применение) средств индивидуальной защиты</t>
        </is>
      </c>
      <c r="L1363" s="1" t="inlineStr">
        <is>
          <t>23.08.2024</t>
        </is>
      </c>
      <c r="M1363" s="1" t="inlineStr">
        <is>
          <t>Успешно</t>
        </is>
      </c>
      <c r="N1363" s="1" t="inlineStr">
        <is>
          <t>11.09.2024</t>
        </is>
      </c>
      <c r="O1363" s="1" t="inlineStr"/>
      <c r="P1363" s="1" t="inlineStr"/>
      <c r="Q1363" s="1" t="inlineStr">
        <is>
          <t>Пользовательский интерфейс</t>
        </is>
      </c>
    </row>
    <row r="1364">
      <c r="B1364" s="1" t="inlineStr">
        <is>
          <t>76186434</t>
        </is>
      </c>
      <c r="C1364" s="1" t="inlineStr">
        <is>
          <t>5868791</t>
        </is>
      </c>
      <c r="D1364" t="inlineStr">
        <is>
          <t>работник 226</t>
        </is>
      </c>
      <c r="E1364" s="1" t="inlineStr">
        <is>
          <t>ОБЩЕСТВО С ОГРАНИЧЕННОЙ ОТВЕТСТВЕННОСТЬЮ "АМУР ЗОЛОТО"</t>
        </is>
      </c>
      <c r="F1364" s="1" t="inlineStr">
        <is>
          <t>2708001686</t>
        </is>
      </c>
      <c r="G1364" s="1" t="inlineStr">
        <is>
          <t>Пробоотборщик</t>
        </is>
      </c>
      <c r="H1364" s="1" t="inlineStr">
        <is>
          <t>ООО "Амур Золото"</t>
        </is>
      </c>
      <c r="I1364" s="1" t="inlineStr">
        <is>
          <t>2708001686</t>
        </is>
      </c>
      <c r="J1364" s="1" t="inlineStr">
        <is>
          <t>ОТ №ЮГОК ОТК 24-04</t>
        </is>
      </c>
      <c r="K136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364" s="1" t="inlineStr">
        <is>
          <t>23.08.2024</t>
        </is>
      </c>
      <c r="M1364" s="1" t="inlineStr">
        <is>
          <t>Успешно</t>
        </is>
      </c>
      <c r="N1364" s="1" t="inlineStr">
        <is>
          <t>11.09.2024</t>
        </is>
      </c>
      <c r="O1364" s="1" t="inlineStr"/>
      <c r="P1364" s="1" t="inlineStr"/>
      <c r="Q1364" s="1" t="inlineStr">
        <is>
          <t>Пользовательский интерфейс</t>
        </is>
      </c>
    </row>
    <row r="1365">
      <c r="B1365" s="1" t="inlineStr">
        <is>
          <t>76186435</t>
        </is>
      </c>
      <c r="C1365" s="1" t="inlineStr">
        <is>
          <t>5868791</t>
        </is>
      </c>
      <c r="D1365" t="inlineStr">
        <is>
          <t>работник 401</t>
        </is>
      </c>
      <c r="E1365" s="1" t="inlineStr">
        <is>
          <t>ОБЩЕСТВО С ОГРАНИЧЕННОЙ ОТВЕТСТВЕННОСТЬЮ "АМУР ЗОЛОТО"</t>
        </is>
      </c>
      <c r="F1365" s="1" t="inlineStr">
        <is>
          <t>2708001686</t>
        </is>
      </c>
      <c r="G1365" s="1" t="inlineStr">
        <is>
          <t>Весовщик</t>
        </is>
      </c>
      <c r="H1365" s="1" t="inlineStr">
        <is>
          <t>ООО "Амур Золото"</t>
        </is>
      </c>
      <c r="I1365" s="1" t="inlineStr">
        <is>
          <t>2708001686</t>
        </is>
      </c>
      <c r="J1365" s="1" t="inlineStr">
        <is>
          <t>ОТ №ЮГОК ОТК 24-04</t>
        </is>
      </c>
      <c r="K1365" s="1" t="inlineStr">
        <is>
          <t>Использование (применение) средств индивидуальной защиты</t>
        </is>
      </c>
      <c r="L1365" s="1" t="inlineStr">
        <is>
          <t>23.08.2024</t>
        </is>
      </c>
      <c r="M1365" s="1" t="inlineStr">
        <is>
          <t>Успешно</t>
        </is>
      </c>
      <c r="N1365" s="1" t="inlineStr">
        <is>
          <t>11.09.2024</t>
        </is>
      </c>
      <c r="O1365" s="1" t="inlineStr"/>
      <c r="P1365" s="1" t="inlineStr"/>
      <c r="Q1365" s="1" t="inlineStr">
        <is>
          <t>Пользовательский интерфейс</t>
        </is>
      </c>
    </row>
    <row r="1366">
      <c r="B1366" s="1" t="inlineStr">
        <is>
          <t>76186436</t>
        </is>
      </c>
      <c r="C1366" s="1" t="inlineStr">
        <is>
          <t>5868791</t>
        </is>
      </c>
      <c r="D1366" t="inlineStr">
        <is>
          <t>работник 401</t>
        </is>
      </c>
      <c r="E1366" s="1" t="inlineStr">
        <is>
          <t>ОБЩЕСТВО С ОГРАНИЧЕННОЙ ОТВЕТСТВЕННОСТЬЮ "АМУР ЗОЛОТО"</t>
        </is>
      </c>
      <c r="F1366" s="1" t="inlineStr">
        <is>
          <t>2708001686</t>
        </is>
      </c>
      <c r="G1366" s="1" t="inlineStr">
        <is>
          <t>Весовщик</t>
        </is>
      </c>
      <c r="H1366" s="1" t="inlineStr">
        <is>
          <t>ООО "Амур Золото"</t>
        </is>
      </c>
      <c r="I1366" s="1" t="inlineStr">
        <is>
          <t>2708001686</t>
        </is>
      </c>
      <c r="J1366" s="1" t="inlineStr">
        <is>
          <t>ОТ №ЮГОК ОТК 24-04</t>
        </is>
      </c>
      <c r="K136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366" s="1" t="inlineStr">
        <is>
          <t>23.08.2024</t>
        </is>
      </c>
      <c r="M1366" s="1" t="inlineStr">
        <is>
          <t>Успешно</t>
        </is>
      </c>
      <c r="N1366" s="1" t="inlineStr">
        <is>
          <t>11.09.2024</t>
        </is>
      </c>
      <c r="O1366" s="1" t="inlineStr"/>
      <c r="P1366" s="1" t="inlineStr"/>
      <c r="Q1366" s="1" t="inlineStr">
        <is>
          <t>Пользовательский интерфейс</t>
        </is>
      </c>
    </row>
    <row r="1367">
      <c r="B1367" s="1" t="inlineStr">
        <is>
          <t>76186437</t>
        </is>
      </c>
      <c r="C1367" s="1" t="inlineStr">
        <is>
          <t>5868791</t>
        </is>
      </c>
      <c r="D1367" t="inlineStr">
        <is>
          <t>работник 402</t>
        </is>
      </c>
      <c r="E1367" s="1" t="inlineStr">
        <is>
          <t>ОБЩЕСТВО С ОГРАНИЧЕННОЙ ОТВЕТСТВЕННОСТЬЮ "АМУР ЗОЛОТО"</t>
        </is>
      </c>
      <c r="F1367" s="1" t="inlineStr">
        <is>
          <t>2708001686</t>
        </is>
      </c>
      <c r="G1367" s="1" t="inlineStr">
        <is>
          <t>Лаборант пробирного анализа</t>
        </is>
      </c>
      <c r="H1367" s="1" t="inlineStr">
        <is>
          <t>ООО "Амур Золото"</t>
        </is>
      </c>
      <c r="I1367" s="1" t="inlineStr">
        <is>
          <t>2708001686</t>
        </is>
      </c>
      <c r="J1367" s="1" t="inlineStr">
        <is>
          <t>ОТ №ЮГОК ПАЛ 24-04</t>
        </is>
      </c>
      <c r="K1367" s="1" t="inlineStr">
        <is>
          <t>Использование (применение) средств индивидуальной защиты</t>
        </is>
      </c>
      <c r="L1367" s="1" t="inlineStr">
        <is>
          <t>03.08.2024</t>
        </is>
      </c>
      <c r="M1367" s="1" t="inlineStr">
        <is>
          <t>Успешно</t>
        </is>
      </c>
      <c r="N1367" s="1" t="inlineStr">
        <is>
          <t>11.09.2024</t>
        </is>
      </c>
      <c r="O1367" s="1" t="inlineStr"/>
      <c r="P1367" s="1" t="inlineStr"/>
      <c r="Q1367" s="1" t="inlineStr">
        <is>
          <t>Пользовательский интерфейс</t>
        </is>
      </c>
    </row>
    <row r="1368">
      <c r="B1368" s="1" t="inlineStr">
        <is>
          <t>76186438</t>
        </is>
      </c>
      <c r="C1368" s="1" t="inlineStr">
        <is>
          <t>5868791</t>
        </is>
      </c>
      <c r="D1368" t="inlineStr">
        <is>
          <t>работник 402</t>
        </is>
      </c>
      <c r="E1368" s="1" t="inlineStr">
        <is>
          <t>ОБЩЕСТВО С ОГРАНИЧЕННОЙ ОТВЕТСТВЕННОСТЬЮ "АМУР ЗОЛОТО"</t>
        </is>
      </c>
      <c r="F1368" s="1" t="inlineStr">
        <is>
          <t>2708001686</t>
        </is>
      </c>
      <c r="G1368" s="1" t="inlineStr">
        <is>
          <t>Лаборант пробирного анализа</t>
        </is>
      </c>
      <c r="H1368" s="1" t="inlineStr">
        <is>
          <t>ООО "Амур Золото"</t>
        </is>
      </c>
      <c r="I1368" s="1" t="inlineStr">
        <is>
          <t>2708001686</t>
        </is>
      </c>
      <c r="J1368" s="1" t="inlineStr">
        <is>
          <t>ОТ №ЮГОК ПАЛ 24-04</t>
        </is>
      </c>
      <c r="K136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368" s="1" t="inlineStr">
        <is>
          <t>03.08.2024</t>
        </is>
      </c>
      <c r="M1368" s="1" t="inlineStr">
        <is>
          <t>Успешно</t>
        </is>
      </c>
      <c r="N1368" s="1" t="inlineStr">
        <is>
          <t>11.09.2024</t>
        </is>
      </c>
      <c r="O1368" s="1" t="inlineStr"/>
      <c r="P1368" s="1" t="inlineStr"/>
      <c r="Q1368" s="1" t="inlineStr">
        <is>
          <t>Пользовательский интерфейс</t>
        </is>
      </c>
    </row>
    <row r="1369">
      <c r="B1369" s="1" t="inlineStr">
        <is>
          <t>76186439</t>
        </is>
      </c>
      <c r="C1369" s="1" t="inlineStr">
        <is>
          <t>5868791</t>
        </is>
      </c>
      <c r="D1369" t="inlineStr">
        <is>
          <t>работник 403</t>
        </is>
      </c>
      <c r="E1369" s="1" t="inlineStr">
        <is>
          <t>ОБЩЕСТВО С ОГРАНИЧЕННОЙ ОТВЕТСТВЕННОСТЬЮ "АМУР ЗОЛОТО"</t>
        </is>
      </c>
      <c r="F1369" s="1" t="inlineStr">
        <is>
          <t>2708001686</t>
        </is>
      </c>
      <c r="G1369" s="1" t="inlineStr">
        <is>
          <t>Лаборант пробирного анализа</t>
        </is>
      </c>
      <c r="H1369" s="1" t="inlineStr">
        <is>
          <t>ООО "Амур Золото"</t>
        </is>
      </c>
      <c r="I1369" s="1" t="inlineStr">
        <is>
          <t>2708001686</t>
        </is>
      </c>
      <c r="J1369" s="1" t="inlineStr">
        <is>
          <t>ОТ №ЮГОК ПАЛ 24-04</t>
        </is>
      </c>
      <c r="K1369" s="1" t="inlineStr">
        <is>
          <t>Использование (применение) средств индивидуальной защиты</t>
        </is>
      </c>
      <c r="L1369" s="1" t="inlineStr">
        <is>
          <t>03.08.2024</t>
        </is>
      </c>
      <c r="M1369" s="1" t="inlineStr">
        <is>
          <t>Успешно</t>
        </is>
      </c>
      <c r="N1369" s="1" t="inlineStr">
        <is>
          <t>11.09.2024</t>
        </is>
      </c>
      <c r="O1369" s="1" t="inlineStr"/>
      <c r="P1369" s="1" t="inlineStr"/>
      <c r="Q1369" s="1" t="inlineStr">
        <is>
          <t>Пользовательский интерфейс</t>
        </is>
      </c>
    </row>
    <row r="1370">
      <c r="B1370" s="1" t="inlineStr">
        <is>
          <t>76186440</t>
        </is>
      </c>
      <c r="C1370" s="1" t="inlineStr">
        <is>
          <t>5868791</t>
        </is>
      </c>
      <c r="D1370" t="inlineStr">
        <is>
          <t>работник 403</t>
        </is>
      </c>
      <c r="E1370" s="1" t="inlineStr">
        <is>
          <t>ОБЩЕСТВО С ОГРАНИЧЕННОЙ ОТВЕТСТВЕННОСТЬЮ "АМУР ЗОЛОТО"</t>
        </is>
      </c>
      <c r="F1370" s="1" t="inlineStr">
        <is>
          <t>2708001686</t>
        </is>
      </c>
      <c r="G1370" s="1" t="inlineStr">
        <is>
          <t>Лаборант пробирного анализа</t>
        </is>
      </c>
      <c r="H1370" s="1" t="inlineStr">
        <is>
          <t>ООО "Амур Золото"</t>
        </is>
      </c>
      <c r="I1370" s="1" t="inlineStr">
        <is>
          <t>2708001686</t>
        </is>
      </c>
      <c r="J1370" s="1" t="inlineStr">
        <is>
          <t>ОТ №ЮГОК ПАЛ 24-04</t>
        </is>
      </c>
      <c r="K137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370" s="1" t="inlineStr">
        <is>
          <t>03.08.2024</t>
        </is>
      </c>
      <c r="M1370" s="1" t="inlineStr">
        <is>
          <t>Успешно</t>
        </is>
      </c>
      <c r="N1370" s="1" t="inlineStr">
        <is>
          <t>11.09.2024</t>
        </is>
      </c>
      <c r="O1370" s="1" t="inlineStr"/>
      <c r="P1370" s="1" t="inlineStr"/>
      <c r="Q1370" s="1" t="inlineStr">
        <is>
          <t>Пользовательский интерфейс</t>
        </is>
      </c>
    </row>
    <row r="1371">
      <c r="B1371" s="1" t="inlineStr">
        <is>
          <t>76186441</t>
        </is>
      </c>
      <c r="C1371" s="1" t="inlineStr">
        <is>
          <t>5868791</t>
        </is>
      </c>
      <c r="D1371" t="inlineStr">
        <is>
          <t>работник 404</t>
        </is>
      </c>
      <c r="E1371" s="1" t="inlineStr">
        <is>
          <t>ОБЩЕСТВО С ОГРАНИЧЕННОЙ ОТВЕТСТВЕННОСТЬЮ "АМУР ЗОЛОТО"</t>
        </is>
      </c>
      <c r="F1371" s="1" t="inlineStr">
        <is>
          <t>2708001686</t>
        </is>
      </c>
      <c r="G1371" s="1" t="inlineStr">
        <is>
          <t>Машинист подземных самоходных машин</t>
        </is>
      </c>
      <c r="H1371" s="1" t="inlineStr">
        <is>
          <t>ООО "Амур Золото"</t>
        </is>
      </c>
      <c r="I1371" s="1" t="inlineStr">
        <is>
          <t>2708001686</t>
        </is>
      </c>
      <c r="J1371" s="1" t="inlineStr">
        <is>
          <t>ОТ №ЮГОК ПГУ 24-12</t>
        </is>
      </c>
      <c r="K1371" s="1" t="inlineStr">
        <is>
          <t>Использование (применение) средств индивидуальной защиты</t>
        </is>
      </c>
      <c r="L1371" s="1" t="inlineStr">
        <is>
          <t>18.08.2024</t>
        </is>
      </c>
      <c r="M1371" s="1" t="inlineStr">
        <is>
          <t>Успешно</t>
        </is>
      </c>
      <c r="N1371" s="1" t="inlineStr">
        <is>
          <t>11.09.2024</t>
        </is>
      </c>
      <c r="O1371" s="1" t="inlineStr"/>
      <c r="P1371" s="1" t="inlineStr"/>
      <c r="Q1371" s="1" t="inlineStr">
        <is>
          <t>Пользовательский интерфейс</t>
        </is>
      </c>
    </row>
    <row r="1372">
      <c r="B1372" s="1" t="inlineStr">
        <is>
          <t>76186442</t>
        </is>
      </c>
      <c r="C1372" s="1" t="inlineStr">
        <is>
          <t>5868791</t>
        </is>
      </c>
      <c r="D1372" t="inlineStr">
        <is>
          <t>работник 404</t>
        </is>
      </c>
      <c r="E1372" s="1" t="inlineStr">
        <is>
          <t>ОБЩЕСТВО С ОГРАНИЧЕННОЙ ОТВЕТСТВЕННОСТЬЮ "АМУР ЗОЛОТО"</t>
        </is>
      </c>
      <c r="F1372" s="1" t="inlineStr">
        <is>
          <t>2708001686</t>
        </is>
      </c>
      <c r="G1372" s="1" t="inlineStr">
        <is>
          <t>Машинист подземных самоходных машин</t>
        </is>
      </c>
      <c r="H1372" s="1" t="inlineStr">
        <is>
          <t>ООО "Амур Золото"</t>
        </is>
      </c>
      <c r="I1372" s="1" t="inlineStr">
        <is>
          <t>2708001686</t>
        </is>
      </c>
      <c r="J1372" s="1" t="inlineStr">
        <is>
          <t>ОТ №ЮГОК ПГУ 24-12</t>
        </is>
      </c>
      <c r="K137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372" s="1" t="inlineStr">
        <is>
          <t>18.08.2024</t>
        </is>
      </c>
      <c r="M1372" s="1" t="inlineStr">
        <is>
          <t>Успешно</t>
        </is>
      </c>
      <c r="N1372" s="1" t="inlineStr">
        <is>
          <t>11.09.2024</t>
        </is>
      </c>
      <c r="O1372" s="1" t="inlineStr"/>
      <c r="P1372" s="1" t="inlineStr"/>
      <c r="Q1372" s="1" t="inlineStr">
        <is>
          <t>Пользовательский интерфейс</t>
        </is>
      </c>
    </row>
    <row r="1373">
      <c r="B1373" s="1" t="inlineStr">
        <is>
          <t>76186443</t>
        </is>
      </c>
      <c r="C1373" s="1" t="inlineStr">
        <is>
          <t>5868791</t>
        </is>
      </c>
      <c r="D1373" t="inlineStr">
        <is>
          <t>работник 405</t>
        </is>
      </c>
      <c r="E1373" s="1" t="inlineStr">
        <is>
          <t>ОБЩЕСТВО С ОГРАНИЧЕННОЙ ОТВЕТСТВЕННОСТЬЮ "АМУР ЗОЛОТО"</t>
        </is>
      </c>
      <c r="F1373" s="1" t="inlineStr">
        <is>
          <t>2708001686</t>
        </is>
      </c>
      <c r="G1373" s="1" t="inlineStr">
        <is>
          <t>Машинист погрузочно-доставочной машины</t>
        </is>
      </c>
      <c r="H1373" s="1" t="inlineStr">
        <is>
          <t>ООО "Амур Золото"</t>
        </is>
      </c>
      <c r="I1373" s="1" t="inlineStr">
        <is>
          <t>2708001686</t>
        </is>
      </c>
      <c r="J1373" s="1" t="inlineStr">
        <is>
          <t>ОТ №ЮГОК ПГУ 24-13</t>
        </is>
      </c>
      <c r="K1373" s="1" t="inlineStr">
        <is>
          <t>Использование (применение) средств индивидуальной защиты</t>
        </is>
      </c>
      <c r="L1373" s="1" t="inlineStr">
        <is>
          <t>22.08.2024</t>
        </is>
      </c>
      <c r="M1373" s="1" t="inlineStr">
        <is>
          <t>Успешно</t>
        </is>
      </c>
      <c r="N1373" s="1" t="inlineStr">
        <is>
          <t>11.09.2024</t>
        </is>
      </c>
      <c r="O1373" s="1" t="inlineStr"/>
      <c r="P1373" s="1" t="inlineStr"/>
      <c r="Q1373" s="1" t="inlineStr">
        <is>
          <t>Пользовательский интерфейс</t>
        </is>
      </c>
    </row>
    <row r="1374">
      <c r="B1374" s="1" t="inlineStr">
        <is>
          <t>76186444</t>
        </is>
      </c>
      <c r="C1374" s="1" t="inlineStr">
        <is>
          <t>5868791</t>
        </is>
      </c>
      <c r="D1374" t="inlineStr">
        <is>
          <t>работник 405</t>
        </is>
      </c>
      <c r="E1374" s="1" t="inlineStr">
        <is>
          <t>ОБЩЕСТВО С ОГРАНИЧЕННОЙ ОТВЕТСТВЕННОСТЬЮ "АМУР ЗОЛОТО"</t>
        </is>
      </c>
      <c r="F1374" s="1" t="inlineStr">
        <is>
          <t>2708001686</t>
        </is>
      </c>
      <c r="G1374" s="1" t="inlineStr">
        <is>
          <t>Машинист погрузочно-доставочной машины</t>
        </is>
      </c>
      <c r="H1374" s="1" t="inlineStr">
        <is>
          <t>ООО "Амур Золото"</t>
        </is>
      </c>
      <c r="I1374" s="1" t="inlineStr">
        <is>
          <t>2708001686</t>
        </is>
      </c>
      <c r="J1374" s="1" t="inlineStr">
        <is>
          <t>ОТ №ЮГОК ПГУ 24-13</t>
        </is>
      </c>
      <c r="K137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374" s="1" t="inlineStr">
        <is>
          <t>22.08.2024</t>
        </is>
      </c>
      <c r="M1374" s="1" t="inlineStr">
        <is>
          <t>Успешно</t>
        </is>
      </c>
      <c r="N1374" s="1" t="inlineStr">
        <is>
          <t>11.09.2024</t>
        </is>
      </c>
      <c r="O1374" s="1" t="inlineStr"/>
      <c r="P1374" s="1" t="inlineStr"/>
      <c r="Q1374" s="1" t="inlineStr">
        <is>
          <t>Пользовательский интерфейс</t>
        </is>
      </c>
    </row>
    <row r="1375">
      <c r="B1375" s="1" t="inlineStr">
        <is>
          <t>76186445</t>
        </is>
      </c>
      <c r="C1375" s="1" t="inlineStr">
        <is>
          <t>5868791</t>
        </is>
      </c>
      <c r="D1375" t="inlineStr">
        <is>
          <t>работник 71</t>
        </is>
      </c>
      <c r="E1375" s="1" t="inlineStr">
        <is>
          <t>ОБЩЕСТВО С ОГРАНИЧЕННОЙ ОТВЕТСТВЕННОСТЬЮ "АМУР ЗОЛОТО"</t>
        </is>
      </c>
      <c r="F1375" s="1" t="inlineStr">
        <is>
          <t>2708001686</t>
        </is>
      </c>
      <c r="G1375" s="1" t="inlineStr">
        <is>
          <t>Оператор дизельных котлов</t>
        </is>
      </c>
      <c r="H1375" s="1" t="inlineStr">
        <is>
          <t>ООО "Амур Золото"</t>
        </is>
      </c>
      <c r="I1375" s="1" t="inlineStr">
        <is>
          <t>2708001686</t>
        </is>
      </c>
      <c r="J1375" s="1" t="inlineStr">
        <is>
          <t>ОТ №ЮГОК ЭК 24-22</t>
        </is>
      </c>
      <c r="K1375" s="1" t="inlineStr">
        <is>
          <t>Использование (применение) средств индивидуальной защиты</t>
        </is>
      </c>
      <c r="L1375" s="1" t="inlineStr">
        <is>
          <t>22.08.2024</t>
        </is>
      </c>
      <c r="M1375" s="1" t="inlineStr">
        <is>
          <t>Успешно</t>
        </is>
      </c>
      <c r="N1375" s="1" t="inlineStr">
        <is>
          <t>11.09.2024</t>
        </is>
      </c>
      <c r="O1375" s="1" t="inlineStr"/>
      <c r="P1375" s="1" t="inlineStr"/>
      <c r="Q1375" s="1" t="inlineStr">
        <is>
          <t>Пользовательский интерфейс</t>
        </is>
      </c>
    </row>
    <row r="1376">
      <c r="B1376" s="1" t="inlineStr">
        <is>
          <t>76186446</t>
        </is>
      </c>
      <c r="C1376" s="1" t="inlineStr">
        <is>
          <t>5868791</t>
        </is>
      </c>
      <c r="D1376" t="inlineStr">
        <is>
          <t>работник 71</t>
        </is>
      </c>
      <c r="E1376" s="1" t="inlineStr">
        <is>
          <t>ОБЩЕСТВО С ОГРАНИЧЕННОЙ ОТВЕТСТВЕННОСТЬЮ "АМУР ЗОЛОТО"</t>
        </is>
      </c>
      <c r="F1376" s="1" t="inlineStr">
        <is>
          <t>2708001686</t>
        </is>
      </c>
      <c r="G1376" s="1" t="inlineStr">
        <is>
          <t>Оператор дизельных котлов</t>
        </is>
      </c>
      <c r="H1376" s="1" t="inlineStr">
        <is>
          <t>ООО "Амур Золото"</t>
        </is>
      </c>
      <c r="I1376" s="1" t="inlineStr">
        <is>
          <t>2708001686</t>
        </is>
      </c>
      <c r="J1376" s="1" t="inlineStr">
        <is>
          <t>ОТ №ЮГОК ЭК 24-22</t>
        </is>
      </c>
      <c r="K137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376" s="1" t="inlineStr">
        <is>
          <t>22.08.2024</t>
        </is>
      </c>
      <c r="M1376" s="1" t="inlineStr">
        <is>
          <t>Успешно</t>
        </is>
      </c>
      <c r="N1376" s="1" t="inlineStr">
        <is>
          <t>11.09.2024</t>
        </is>
      </c>
      <c r="O1376" s="1" t="inlineStr"/>
      <c r="P1376" s="1" t="inlineStr"/>
      <c r="Q1376" s="1" t="inlineStr">
        <is>
          <t>Пользовательский интерфейс</t>
        </is>
      </c>
    </row>
    <row r="1377">
      <c r="B1377" s="1" t="inlineStr">
        <is>
          <t>82311965</t>
        </is>
      </c>
      <c r="C1377" s="1" t="inlineStr">
        <is>
          <t>6330469</t>
        </is>
      </c>
      <c r="D1377" t="inlineStr">
        <is>
          <t>работник 184</t>
        </is>
      </c>
      <c r="E1377" s="1" t="inlineStr">
        <is>
          <t>ОБЩЕСТВО С ОГРАНИЧЕННОЙ ОТВЕТСТВЕННОСТЬЮ "АМУР ЗОЛОТО"</t>
        </is>
      </c>
      <c r="F1377" s="1" t="inlineStr">
        <is>
          <t>2708001686</t>
        </is>
      </c>
      <c r="G1377" s="1" t="inlineStr">
        <is>
          <t>Водитель автомобиля (занятый на транспортировании горной массы в технологическом процессе)</t>
        </is>
      </c>
      <c r="H1377" s="1" t="inlineStr">
        <is>
          <t>ООО "Амур Золото"</t>
        </is>
      </c>
      <c r="I1377" s="1" t="inlineStr">
        <is>
          <t>2708001686</t>
        </is>
      </c>
      <c r="J1377" s="1" t="inlineStr">
        <is>
          <t>ОТ №ЮГОК АТЦ 24-06</t>
        </is>
      </c>
      <c r="K1377" s="1" t="inlineStr">
        <is>
          <t>Использование (применение) средств индивидуальной защиты</t>
        </is>
      </c>
      <c r="L1377" s="1" t="inlineStr">
        <is>
          <t>05.09.2024</t>
        </is>
      </c>
      <c r="M1377" s="1" t="inlineStr">
        <is>
          <t>Успешно</t>
        </is>
      </c>
      <c r="N1377" s="1" t="inlineStr">
        <is>
          <t>17.10.2024</t>
        </is>
      </c>
      <c r="O1377" s="1" t="inlineStr"/>
      <c r="P1377" s="1" t="inlineStr"/>
      <c r="Q1377" s="1" t="inlineStr">
        <is>
          <t>Пользовательский интерфейс</t>
        </is>
      </c>
    </row>
    <row r="1378">
      <c r="B1378" s="1" t="inlineStr">
        <is>
          <t>82311966</t>
        </is>
      </c>
      <c r="C1378" s="1" t="inlineStr">
        <is>
          <t>6330469</t>
        </is>
      </c>
      <c r="D1378" t="inlineStr">
        <is>
          <t>работник 184</t>
        </is>
      </c>
      <c r="E1378" s="1" t="inlineStr">
        <is>
          <t>ОБЩЕСТВО С ОГРАНИЧЕННОЙ ОТВЕТСТВЕННОСТЬЮ "АМУР ЗОЛОТО"</t>
        </is>
      </c>
      <c r="F1378" s="1" t="inlineStr">
        <is>
          <t>2708001686</t>
        </is>
      </c>
      <c r="G1378" s="1" t="inlineStr">
        <is>
          <t>Водитель автомобиля (занятый на транспортировании горной массы в технологическом процессе)</t>
        </is>
      </c>
      <c r="H1378" s="1" t="inlineStr">
        <is>
          <t>ООО "Амур Золото"</t>
        </is>
      </c>
      <c r="I1378" s="1" t="inlineStr">
        <is>
          <t>2708001686</t>
        </is>
      </c>
      <c r="J1378" s="1" t="inlineStr">
        <is>
          <t>ОТ №ЮГОК АТЦ 24-06</t>
        </is>
      </c>
      <c r="K137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378" s="1" t="inlineStr">
        <is>
          <t>05.09.2024</t>
        </is>
      </c>
      <c r="M1378" s="1" t="inlineStr">
        <is>
          <t>Успешно</t>
        </is>
      </c>
      <c r="N1378" s="1" t="inlineStr">
        <is>
          <t>17.10.2024</t>
        </is>
      </c>
      <c r="O1378" s="1" t="inlineStr"/>
      <c r="P1378" s="1" t="inlineStr"/>
      <c r="Q1378" s="1" t="inlineStr">
        <is>
          <t>Пользовательский интерфейс</t>
        </is>
      </c>
    </row>
    <row r="1379">
      <c r="B1379" s="1" t="inlineStr">
        <is>
          <t>82311967</t>
        </is>
      </c>
      <c r="C1379" s="1" t="inlineStr">
        <is>
          <t>6330469</t>
        </is>
      </c>
      <c r="D1379" t="inlineStr">
        <is>
          <t>работник 406</t>
        </is>
      </c>
      <c r="E1379" s="1" t="inlineStr">
        <is>
          <t>ОБЩЕСТВО С ОГРАНИЧЕННОЙ ОТВЕТСТВЕННОСТЬЮ "АМУР ЗОЛОТО"</t>
        </is>
      </c>
      <c r="F1379" s="1" t="inlineStr">
        <is>
          <t>2708001686</t>
        </is>
      </c>
      <c r="G1379" s="1" t="inlineStr">
        <is>
          <t>Водитель автомобиля кат. С</t>
        </is>
      </c>
      <c r="H1379" s="1" t="inlineStr">
        <is>
          <t>ООО "Амур Золото"</t>
        </is>
      </c>
      <c r="I1379" s="1" t="inlineStr">
        <is>
          <t>2708001686</t>
        </is>
      </c>
      <c r="J1379" s="1" t="inlineStr">
        <is>
          <t>ОТ №ЮГОК АТЦ 24-07</t>
        </is>
      </c>
      <c r="K1379" s="1" t="inlineStr">
        <is>
          <t>Использование (применение) средств индивидуальной защиты</t>
        </is>
      </c>
      <c r="L1379" s="1" t="inlineStr">
        <is>
          <t>08.09.2024</t>
        </is>
      </c>
      <c r="M1379" s="1" t="inlineStr">
        <is>
          <t>Успешно</t>
        </is>
      </c>
      <c r="N1379" s="1" t="inlineStr">
        <is>
          <t>17.10.2024</t>
        </is>
      </c>
      <c r="O1379" s="1" t="inlineStr"/>
      <c r="P1379" s="1" t="inlineStr"/>
      <c r="Q1379" s="1" t="inlineStr">
        <is>
          <t>Пользовательский интерфейс</t>
        </is>
      </c>
    </row>
    <row r="1380">
      <c r="B1380" s="1" t="inlineStr">
        <is>
          <t>82311968</t>
        </is>
      </c>
      <c r="C1380" s="1" t="inlineStr">
        <is>
          <t>6330469</t>
        </is>
      </c>
      <c r="D1380" t="inlineStr">
        <is>
          <t>работник 406</t>
        </is>
      </c>
      <c r="E1380" s="1" t="inlineStr">
        <is>
          <t>ОБЩЕСТВО С ОГРАНИЧЕННОЙ ОТВЕТСТВЕННОСТЬЮ "АМУР ЗОЛОТО"</t>
        </is>
      </c>
      <c r="F1380" s="1" t="inlineStr">
        <is>
          <t>2708001686</t>
        </is>
      </c>
      <c r="G1380" s="1" t="inlineStr">
        <is>
          <t>Водитель автомобиля кат. С</t>
        </is>
      </c>
      <c r="H1380" s="1" t="inlineStr">
        <is>
          <t>ООО "Амур Золото"</t>
        </is>
      </c>
      <c r="I1380" s="1" t="inlineStr">
        <is>
          <t>2708001686</t>
        </is>
      </c>
      <c r="J1380" s="1" t="inlineStr">
        <is>
          <t>ОТ №ЮГОК АТЦ 24-07</t>
        </is>
      </c>
      <c r="K138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380" s="1" t="inlineStr">
        <is>
          <t>08.09.2024</t>
        </is>
      </c>
      <c r="M1380" s="1" t="inlineStr">
        <is>
          <t>Успешно</t>
        </is>
      </c>
      <c r="N1380" s="1" t="inlineStr">
        <is>
          <t>17.10.2024</t>
        </is>
      </c>
      <c r="O1380" s="1" t="inlineStr"/>
      <c r="P1380" s="1" t="inlineStr"/>
      <c r="Q1380" s="1" t="inlineStr">
        <is>
          <t>Пользовательский интерфейс</t>
        </is>
      </c>
    </row>
    <row r="1381">
      <c r="B1381" s="1" t="inlineStr">
        <is>
          <t>82311969</t>
        </is>
      </c>
      <c r="C1381" s="1" t="inlineStr">
        <is>
          <t>6330469</t>
        </is>
      </c>
      <c r="D1381" t="inlineStr">
        <is>
          <t>работник 407</t>
        </is>
      </c>
      <c r="E1381" s="1" t="inlineStr">
        <is>
          <t>ОБЩЕСТВО С ОГРАНИЧЕННОЙ ОТВЕТСТВЕННОСТЬЮ "АМУР ЗОЛОТО"</t>
        </is>
      </c>
      <c r="F1381" s="1" t="inlineStr">
        <is>
          <t>2708001686</t>
        </is>
      </c>
      <c r="G1381" s="1" t="inlineStr">
        <is>
          <t>Водитель автомобиля (занятый на транспортировании горной массы в технологическом процессе)</t>
        </is>
      </c>
      <c r="H1381" s="1" t="inlineStr">
        <is>
          <t>ООО "Амур Золото"</t>
        </is>
      </c>
      <c r="I1381" s="1" t="inlineStr">
        <is>
          <t>2708001686</t>
        </is>
      </c>
      <c r="J1381" s="1" t="inlineStr">
        <is>
          <t>ОТ №ЮГОК АТЦ 24-08</t>
        </is>
      </c>
      <c r="K1381" s="1" t="inlineStr">
        <is>
          <t>Использование (применение) средств индивидуальной защиты</t>
        </is>
      </c>
      <c r="L1381" s="1" t="inlineStr">
        <is>
          <t>16.09.2024</t>
        </is>
      </c>
      <c r="M1381" s="1" t="inlineStr">
        <is>
          <t>Успешно</t>
        </is>
      </c>
      <c r="N1381" s="1" t="inlineStr">
        <is>
          <t>17.10.2024</t>
        </is>
      </c>
      <c r="O1381" s="1" t="inlineStr"/>
      <c r="P1381" s="1" t="inlineStr"/>
      <c r="Q1381" s="1" t="inlineStr">
        <is>
          <t>Пользовательский интерфейс</t>
        </is>
      </c>
    </row>
    <row r="1382">
      <c r="B1382" s="1" t="inlineStr">
        <is>
          <t>82311970</t>
        </is>
      </c>
      <c r="C1382" s="1" t="inlineStr">
        <is>
          <t>6330469</t>
        </is>
      </c>
      <c r="D1382" t="inlineStr">
        <is>
          <t>работник 407</t>
        </is>
      </c>
      <c r="E1382" s="1" t="inlineStr">
        <is>
          <t>ОБЩЕСТВО С ОГРАНИЧЕННОЙ ОТВЕТСТВЕННОСТЬЮ "АМУР ЗОЛОТО"</t>
        </is>
      </c>
      <c r="F1382" s="1" t="inlineStr">
        <is>
          <t>2708001686</t>
        </is>
      </c>
      <c r="G1382" s="1" t="inlineStr">
        <is>
          <t>Водитель автомобиля (занятый на транспортировании горной массы в технологическом процессе)</t>
        </is>
      </c>
      <c r="H1382" s="1" t="inlineStr">
        <is>
          <t>ООО "Амур Золото"</t>
        </is>
      </c>
      <c r="I1382" s="1" t="inlineStr">
        <is>
          <t>2708001686</t>
        </is>
      </c>
      <c r="J1382" s="1" t="inlineStr">
        <is>
          <t>ОТ №ЮГОК АТЦ 24-08</t>
        </is>
      </c>
      <c r="K138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382" s="1" t="inlineStr">
        <is>
          <t>16.09.2024</t>
        </is>
      </c>
      <c r="M1382" s="1" t="inlineStr">
        <is>
          <t>Успешно</t>
        </is>
      </c>
      <c r="N1382" s="1" t="inlineStr">
        <is>
          <t>17.10.2024</t>
        </is>
      </c>
      <c r="O1382" s="1" t="inlineStr"/>
      <c r="P1382" s="1" t="inlineStr"/>
      <c r="Q1382" s="1" t="inlineStr">
        <is>
          <t>Пользовательский интерфейс</t>
        </is>
      </c>
    </row>
    <row r="1383">
      <c r="B1383" s="1" t="inlineStr">
        <is>
          <t>82311971</t>
        </is>
      </c>
      <c r="C1383" s="1" t="inlineStr">
        <is>
          <t>6330469</t>
        </is>
      </c>
      <c r="D1383" t="inlineStr">
        <is>
          <t>работник 408</t>
        </is>
      </c>
      <c r="E1383" s="1" t="inlineStr">
        <is>
          <t>ОБЩЕСТВО С ОГРАНИЧЕННОЙ ОТВЕТСТВЕННОСТЬЮ "АМУР ЗОЛОТО"</t>
        </is>
      </c>
      <c r="F1383" s="1" t="inlineStr">
        <is>
          <t>2708001686</t>
        </is>
      </c>
      <c r="G1383" s="1" t="inlineStr">
        <is>
          <t>Машинист бульдозера</t>
        </is>
      </c>
      <c r="H1383" s="1" t="inlineStr">
        <is>
          <t>ООО "Амур Золото"</t>
        </is>
      </c>
      <c r="I1383" s="1" t="inlineStr">
        <is>
          <t>2708001686</t>
        </is>
      </c>
      <c r="J1383" s="1" t="inlineStr">
        <is>
          <t>ОТ №ЮГОК АТЦ 24-09</t>
        </is>
      </c>
      <c r="K1383" s="1" t="inlineStr">
        <is>
          <t>Использование (применение) средств индивидуальной защиты</t>
        </is>
      </c>
      <c r="L1383" s="1" t="inlineStr">
        <is>
          <t>22.09.2024</t>
        </is>
      </c>
      <c r="M1383" s="1" t="inlineStr">
        <is>
          <t>Успешно</t>
        </is>
      </c>
      <c r="N1383" s="1" t="inlineStr">
        <is>
          <t>17.10.2024</t>
        </is>
      </c>
      <c r="O1383" s="1" t="inlineStr"/>
      <c r="P1383" s="1" t="inlineStr"/>
      <c r="Q1383" s="1" t="inlineStr">
        <is>
          <t>Пользовательский интерфейс</t>
        </is>
      </c>
    </row>
    <row r="1384">
      <c r="B1384" s="1" t="inlineStr">
        <is>
          <t>82311972</t>
        </is>
      </c>
      <c r="C1384" s="1" t="inlineStr">
        <is>
          <t>6330469</t>
        </is>
      </c>
      <c r="D1384" t="inlineStr">
        <is>
          <t>работник 408</t>
        </is>
      </c>
      <c r="E1384" s="1" t="inlineStr">
        <is>
          <t>ОБЩЕСТВО С ОГРАНИЧЕННОЙ ОТВЕТСТВЕННОСТЬЮ "АМУР ЗОЛОТО"</t>
        </is>
      </c>
      <c r="F1384" s="1" t="inlineStr">
        <is>
          <t>2708001686</t>
        </is>
      </c>
      <c r="G1384" s="1" t="inlineStr">
        <is>
          <t>Машинист бульдозера</t>
        </is>
      </c>
      <c r="H1384" s="1" t="inlineStr">
        <is>
          <t>ООО "Амур Золото"</t>
        </is>
      </c>
      <c r="I1384" s="1" t="inlineStr">
        <is>
          <t>2708001686</t>
        </is>
      </c>
      <c r="J1384" s="1" t="inlineStr">
        <is>
          <t>ОТ №ЮГОК АТЦ 24-09</t>
        </is>
      </c>
      <c r="K138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384" s="1" t="inlineStr">
        <is>
          <t>22.09.2024</t>
        </is>
      </c>
      <c r="M1384" s="1" t="inlineStr">
        <is>
          <t>Успешно</t>
        </is>
      </c>
      <c r="N1384" s="1" t="inlineStr">
        <is>
          <t>17.10.2024</t>
        </is>
      </c>
      <c r="O1384" s="1" t="inlineStr"/>
      <c r="P1384" s="1" t="inlineStr"/>
      <c r="Q1384" s="1" t="inlineStr">
        <is>
          <t>Пользовательский интерфейс</t>
        </is>
      </c>
    </row>
    <row r="1385">
      <c r="B1385" s="1" t="inlineStr">
        <is>
          <t>82311973</t>
        </is>
      </c>
      <c r="C1385" s="1" t="inlineStr">
        <is>
          <t>6330469</t>
        </is>
      </c>
      <c r="D1385" t="inlineStr">
        <is>
          <t>работник 409</t>
        </is>
      </c>
      <c r="E1385" s="1" t="inlineStr">
        <is>
          <t>ОБЩЕСТВО С ОГРАНИЧЕННОЙ ОТВЕТСТВЕННОСТЬЮ "АМУР ЗОЛОТО"</t>
        </is>
      </c>
      <c r="F1385" s="1" t="inlineStr">
        <is>
          <t>2708001686</t>
        </is>
      </c>
      <c r="G1385" s="1" t="inlineStr">
        <is>
          <t>Водитель автомобиля (занятый на транспортировании горной массы в технологическом процессе)</t>
        </is>
      </c>
      <c r="H1385" s="1" t="inlineStr">
        <is>
          <t>ООО "Амур Золото"</t>
        </is>
      </c>
      <c r="I1385" s="1" t="inlineStr">
        <is>
          <t>2708001686</t>
        </is>
      </c>
      <c r="J1385" s="1" t="inlineStr">
        <is>
          <t>ОТ №ЮГОК АТЦ 24-10</t>
        </is>
      </c>
      <c r="K1385" s="1" t="inlineStr">
        <is>
          <t>Использование (применение) средств индивидуальной защиты</t>
        </is>
      </c>
      <c r="L1385" s="1" t="inlineStr">
        <is>
          <t>22.09.2024</t>
        </is>
      </c>
      <c r="M1385" s="1" t="inlineStr">
        <is>
          <t>Успешно</t>
        </is>
      </c>
      <c r="N1385" s="1" t="inlineStr">
        <is>
          <t>17.10.2024</t>
        </is>
      </c>
      <c r="O1385" s="1" t="inlineStr"/>
      <c r="P1385" s="1" t="inlineStr"/>
      <c r="Q1385" s="1" t="inlineStr">
        <is>
          <t>Пользовательский интерфейс</t>
        </is>
      </c>
    </row>
    <row r="1386">
      <c r="B1386" s="1" t="inlineStr">
        <is>
          <t>82311974</t>
        </is>
      </c>
      <c r="C1386" s="1" t="inlineStr">
        <is>
          <t>6330469</t>
        </is>
      </c>
      <c r="D1386" t="inlineStr">
        <is>
          <t>работник 409</t>
        </is>
      </c>
      <c r="E1386" s="1" t="inlineStr">
        <is>
          <t>ОБЩЕСТВО С ОГРАНИЧЕННОЙ ОТВЕТСТВЕННОСТЬЮ "АМУР ЗОЛОТО"</t>
        </is>
      </c>
      <c r="F1386" s="1" t="inlineStr">
        <is>
          <t>2708001686</t>
        </is>
      </c>
      <c r="G1386" s="1" t="inlineStr">
        <is>
          <t>Водитель автомобиля (занятый на транспортировании горной массы в технологическом процессе)</t>
        </is>
      </c>
      <c r="H1386" s="1" t="inlineStr">
        <is>
          <t>ООО "Амур Золото"</t>
        </is>
      </c>
      <c r="I1386" s="1" t="inlineStr">
        <is>
          <t>2708001686</t>
        </is>
      </c>
      <c r="J1386" s="1" t="inlineStr">
        <is>
          <t>ОТ №ЮГОК АТЦ 24-10</t>
        </is>
      </c>
      <c r="K138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386" s="1" t="inlineStr">
        <is>
          <t>22.09.2024</t>
        </is>
      </c>
      <c r="M1386" s="1" t="inlineStr">
        <is>
          <t>Успешно</t>
        </is>
      </c>
      <c r="N1386" s="1" t="inlineStr">
        <is>
          <t>17.10.2024</t>
        </is>
      </c>
      <c r="O1386" s="1" t="inlineStr"/>
      <c r="P1386" s="1" t="inlineStr"/>
      <c r="Q1386" s="1" t="inlineStr">
        <is>
          <t>Пользовательский интерфейс</t>
        </is>
      </c>
    </row>
    <row r="1387">
      <c r="B1387" s="1" t="inlineStr">
        <is>
          <t>82311975</t>
        </is>
      </c>
      <c r="C1387" s="1" t="inlineStr">
        <is>
          <t>6330469</t>
        </is>
      </c>
      <c r="D1387" t="inlineStr">
        <is>
          <t>работник 410</t>
        </is>
      </c>
      <c r="E1387" s="1" t="inlineStr">
        <is>
          <t>ОБЩЕСТВО С ОГРАНИЧЕННОЙ ОТВЕТСТВЕННОСТЬЮ "АМУР ЗОЛОТО"</t>
        </is>
      </c>
      <c r="F1387" s="1" t="inlineStr">
        <is>
          <t>2708001686</t>
        </is>
      </c>
      <c r="G1387" s="1" t="inlineStr">
        <is>
          <t>Токарь( с исполнением  обязаности фрейзеровщика)</t>
        </is>
      </c>
      <c r="H1387" s="1" t="inlineStr">
        <is>
          <t>ООО "Амур Золото"</t>
        </is>
      </c>
      <c r="I1387" s="1" t="inlineStr">
        <is>
          <t>2708001686</t>
        </is>
      </c>
      <c r="J1387" s="1" t="inlineStr">
        <is>
          <t>ОТ №ЮГОК АТЦ 24-11</t>
        </is>
      </c>
      <c r="K1387" s="1" t="inlineStr">
        <is>
          <t>Использование (применение) средств индивидуальной защиты</t>
        </is>
      </c>
      <c r="L1387" s="1" t="inlineStr">
        <is>
          <t>27.09.2024</t>
        </is>
      </c>
      <c r="M1387" s="1" t="inlineStr">
        <is>
          <t>Успешно</t>
        </is>
      </c>
      <c r="N1387" s="1" t="inlineStr">
        <is>
          <t>17.10.2024</t>
        </is>
      </c>
      <c r="O1387" s="1" t="inlineStr"/>
      <c r="P1387" s="1" t="inlineStr"/>
      <c r="Q1387" s="1" t="inlineStr">
        <is>
          <t>Пользовательский интерфейс</t>
        </is>
      </c>
    </row>
    <row r="1388">
      <c r="B1388" s="1" t="inlineStr">
        <is>
          <t>82311976</t>
        </is>
      </c>
      <c r="C1388" s="1" t="inlineStr">
        <is>
          <t>6330469</t>
        </is>
      </c>
      <c r="D1388" t="inlineStr">
        <is>
          <t>работник 410</t>
        </is>
      </c>
      <c r="E1388" s="1" t="inlineStr">
        <is>
          <t>ОБЩЕСТВО С ОГРАНИЧЕННОЙ ОТВЕТСТВЕННОСТЬЮ "АМУР ЗОЛОТО"</t>
        </is>
      </c>
      <c r="F1388" s="1" t="inlineStr">
        <is>
          <t>2708001686</t>
        </is>
      </c>
      <c r="G1388" s="1" t="inlineStr">
        <is>
          <t>Токарь( с исполнением  обязаности фрейзеровщика)</t>
        </is>
      </c>
      <c r="H1388" s="1" t="inlineStr">
        <is>
          <t>ООО "Амур Золото"</t>
        </is>
      </c>
      <c r="I1388" s="1" t="inlineStr">
        <is>
          <t>2708001686</t>
        </is>
      </c>
      <c r="J1388" s="1" t="inlineStr">
        <is>
          <t>ОТ №ЮГОК АТЦ 24-11</t>
        </is>
      </c>
      <c r="K138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388" s="1" t="inlineStr">
        <is>
          <t>27.09.2024</t>
        </is>
      </c>
      <c r="M1388" s="1" t="inlineStr">
        <is>
          <t>Успешно</t>
        </is>
      </c>
      <c r="N1388" s="1" t="inlineStr">
        <is>
          <t>17.10.2024</t>
        </is>
      </c>
      <c r="O1388" s="1" t="inlineStr"/>
      <c r="P1388" s="1" t="inlineStr"/>
      <c r="Q1388" s="1" t="inlineStr">
        <is>
          <t>Пользовательский интерфейс</t>
        </is>
      </c>
    </row>
    <row r="1389">
      <c r="B1389" s="1" t="inlineStr">
        <is>
          <t>82311977</t>
        </is>
      </c>
      <c r="C1389" s="1" t="inlineStr">
        <is>
          <t>6330469</t>
        </is>
      </c>
      <c r="D1389" t="inlineStr">
        <is>
          <t>работник 411</t>
        </is>
      </c>
      <c r="E1389" s="1" t="inlineStr">
        <is>
          <t>ОБЩЕСТВО С ОГРАНИЧЕННОЙ ОТВЕТСТВЕННОСТЬЮ "АМУР ЗОЛОТО"</t>
        </is>
      </c>
      <c r="F1389" s="1" t="inlineStr">
        <is>
          <t>2708001686</t>
        </is>
      </c>
      <c r="G1389" s="1" t="inlineStr">
        <is>
          <t>Водитель погрузчика</t>
        </is>
      </c>
      <c r="H1389" s="1" t="inlineStr">
        <is>
          <t>ООО "Амур Золото"</t>
        </is>
      </c>
      <c r="I1389" s="1" t="inlineStr">
        <is>
          <t>2708001686</t>
        </is>
      </c>
      <c r="J1389" s="1" t="inlineStr">
        <is>
          <t>ОТ №ЮГОК АТЦ 24-12</t>
        </is>
      </c>
      <c r="K1389" s="1" t="inlineStr">
        <is>
          <t>Использование (применение) средств индивидуальной защиты</t>
        </is>
      </c>
      <c r="L1389" s="1" t="inlineStr">
        <is>
          <t>27.09.2024</t>
        </is>
      </c>
      <c r="M1389" s="1" t="inlineStr">
        <is>
          <t>Успешно</t>
        </is>
      </c>
      <c r="N1389" s="1" t="inlineStr">
        <is>
          <t>17.10.2024</t>
        </is>
      </c>
      <c r="O1389" s="1" t="inlineStr"/>
      <c r="P1389" s="1" t="inlineStr"/>
      <c r="Q1389" s="1" t="inlineStr">
        <is>
          <t>Пользовательский интерфейс</t>
        </is>
      </c>
    </row>
    <row r="1390">
      <c r="B1390" s="1" t="inlineStr">
        <is>
          <t>82311978</t>
        </is>
      </c>
      <c r="C1390" s="1" t="inlineStr">
        <is>
          <t>6330469</t>
        </is>
      </c>
      <c r="D1390" t="inlineStr">
        <is>
          <t>работник 411</t>
        </is>
      </c>
      <c r="E1390" s="1" t="inlineStr">
        <is>
          <t>ОБЩЕСТВО С ОГРАНИЧЕННОЙ ОТВЕТСТВЕННОСТЬЮ "АМУР ЗОЛОТО"</t>
        </is>
      </c>
      <c r="F1390" s="1" t="inlineStr">
        <is>
          <t>2708001686</t>
        </is>
      </c>
      <c r="G1390" s="1" t="inlineStr">
        <is>
          <t>Водитель погрузчика</t>
        </is>
      </c>
      <c r="H1390" s="1" t="inlineStr">
        <is>
          <t>ООО "Амур Золото"</t>
        </is>
      </c>
      <c r="I1390" s="1" t="inlineStr">
        <is>
          <t>2708001686</t>
        </is>
      </c>
      <c r="J1390" s="1" t="inlineStr">
        <is>
          <t>ОТ №ЮГОК АТЦ 24-12</t>
        </is>
      </c>
      <c r="K139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390" s="1" t="inlineStr">
        <is>
          <t>27.09.2024</t>
        </is>
      </c>
      <c r="M1390" s="1" t="inlineStr">
        <is>
          <t>Успешно</t>
        </is>
      </c>
      <c r="N1390" s="1" t="inlineStr">
        <is>
          <t>17.10.2024</t>
        </is>
      </c>
      <c r="O1390" s="1" t="inlineStr"/>
      <c r="P1390" s="1" t="inlineStr"/>
      <c r="Q1390" s="1" t="inlineStr">
        <is>
          <t>Пользовательский интерфейс</t>
        </is>
      </c>
    </row>
    <row r="1391">
      <c r="B1391" s="1" t="inlineStr">
        <is>
          <t>82311979</t>
        </is>
      </c>
      <c r="C1391" s="1" t="inlineStr">
        <is>
          <t>6330469</t>
        </is>
      </c>
      <c r="D1391" t="inlineStr">
        <is>
          <t>работник 354</t>
        </is>
      </c>
      <c r="E1391" s="1" t="inlineStr">
        <is>
          <t>ОБЩЕСТВО С ОГРАНИЧЕННОЙ ОТВЕТСТВЕННОСТЬЮ "АМУР ЗОЛОТО"</t>
        </is>
      </c>
      <c r="F1391" s="1" t="inlineStr">
        <is>
          <t>2708001686</t>
        </is>
      </c>
      <c r="G1391" s="1" t="inlineStr">
        <is>
          <t>Водитель автомобиля (занятый на транспортировании горной массы в технологическом процессе)</t>
        </is>
      </c>
      <c r="H1391" s="1" t="inlineStr">
        <is>
          <t>ООО "Амур Золото"</t>
        </is>
      </c>
      <c r="I1391" s="1" t="inlineStr">
        <is>
          <t>2708001686</t>
        </is>
      </c>
      <c r="J1391" s="1" t="inlineStr">
        <is>
          <t>ОТ №ЮГОК АТЦ 24-13</t>
        </is>
      </c>
      <c r="K1391" s="1" t="inlineStr">
        <is>
          <t>Использование (применение) средств индивидуальной защиты</t>
        </is>
      </c>
      <c r="L1391" s="1" t="inlineStr">
        <is>
          <t>05.10.2024</t>
        </is>
      </c>
      <c r="M1391" s="1" t="inlineStr">
        <is>
          <t>Успешно</t>
        </is>
      </c>
      <c r="N1391" s="1" t="inlineStr">
        <is>
          <t>17.10.2024</t>
        </is>
      </c>
      <c r="O1391" s="1" t="inlineStr"/>
      <c r="P1391" s="1" t="inlineStr"/>
      <c r="Q1391" s="1" t="inlineStr">
        <is>
          <t>Пользовательский интерфейс</t>
        </is>
      </c>
    </row>
    <row r="1392">
      <c r="B1392" s="1" t="inlineStr">
        <is>
          <t>82311980</t>
        </is>
      </c>
      <c r="C1392" s="1" t="inlineStr">
        <is>
          <t>6330469</t>
        </is>
      </c>
      <c r="D1392" t="inlineStr">
        <is>
          <t>работник 354</t>
        </is>
      </c>
      <c r="E1392" s="1" t="inlineStr">
        <is>
          <t>ОБЩЕСТВО С ОГРАНИЧЕННОЙ ОТВЕТСТВЕННОСТЬЮ "АМУР ЗОЛОТО"</t>
        </is>
      </c>
      <c r="F1392" s="1" t="inlineStr">
        <is>
          <t>2708001686</t>
        </is>
      </c>
      <c r="G1392" s="1" t="inlineStr">
        <is>
          <t>Водитель автомобиля (занятый на транспортировании горной массы в технологическом процессе)</t>
        </is>
      </c>
      <c r="H1392" s="1" t="inlineStr">
        <is>
          <t>ООО "Амур Золото"</t>
        </is>
      </c>
      <c r="I1392" s="1" t="inlineStr">
        <is>
          <t>2708001686</t>
        </is>
      </c>
      <c r="J1392" s="1" t="inlineStr">
        <is>
          <t>ОТ №ЮГОК АТЦ 24-13</t>
        </is>
      </c>
      <c r="K139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392" s="1" t="inlineStr">
        <is>
          <t>05.10.2024</t>
        </is>
      </c>
      <c r="M1392" s="1" t="inlineStr">
        <is>
          <t>Успешно</t>
        </is>
      </c>
      <c r="N1392" s="1" t="inlineStr">
        <is>
          <t>17.10.2024</t>
        </is>
      </c>
      <c r="O1392" s="1" t="inlineStr"/>
      <c r="P1392" s="1" t="inlineStr"/>
      <c r="Q1392" s="1" t="inlineStr">
        <is>
          <t>Пользовательский интерфейс</t>
        </is>
      </c>
    </row>
    <row r="1393">
      <c r="B1393" s="1" t="inlineStr">
        <is>
          <t>82311981</t>
        </is>
      </c>
      <c r="C1393" s="1" t="inlineStr">
        <is>
          <t>6330469</t>
        </is>
      </c>
      <c r="D1393" t="inlineStr">
        <is>
          <t>работник 35</t>
        </is>
      </c>
      <c r="E1393" s="1" t="inlineStr">
        <is>
          <t>ОБЩЕСТВО С ОГРАНИЧЕННОЙ ОТВЕТСТВЕННОСТЬЮ "АМУР ЗОЛОТО"</t>
        </is>
      </c>
      <c r="F1393" s="1" t="inlineStr">
        <is>
          <t>2708001686</t>
        </is>
      </c>
      <c r="G1393" s="1" t="inlineStr">
        <is>
          <t>Водитель погрузчика</t>
        </is>
      </c>
      <c r="H1393" s="1" t="inlineStr">
        <is>
          <t>ООО "Амур Золото"</t>
        </is>
      </c>
      <c r="I1393" s="1" t="inlineStr">
        <is>
          <t>2708001686</t>
        </is>
      </c>
      <c r="J1393" s="1" t="inlineStr">
        <is>
          <t>ОТ №ЮГОК АТЦ 24-14</t>
        </is>
      </c>
      <c r="K1393" s="1" t="inlineStr">
        <is>
          <t>Использование (применение) средств индивидуальной защиты</t>
        </is>
      </c>
      <c r="L1393" s="1" t="inlineStr">
        <is>
          <t>08.10.2024</t>
        </is>
      </c>
      <c r="M1393" s="1" t="inlineStr">
        <is>
          <t>Успешно</t>
        </is>
      </c>
      <c r="N1393" s="1" t="inlineStr">
        <is>
          <t>17.10.2024</t>
        </is>
      </c>
      <c r="O1393" s="1" t="inlineStr"/>
      <c r="P1393" s="1" t="inlineStr"/>
      <c r="Q1393" s="1" t="inlineStr">
        <is>
          <t>Пользовательский интерфейс</t>
        </is>
      </c>
    </row>
    <row r="1394">
      <c r="B1394" s="1" t="inlineStr">
        <is>
          <t>82311982</t>
        </is>
      </c>
      <c r="C1394" s="1" t="inlineStr">
        <is>
          <t>6330469</t>
        </is>
      </c>
      <c r="D1394" t="inlineStr">
        <is>
          <t>работник 35</t>
        </is>
      </c>
      <c r="E1394" s="1" t="inlineStr">
        <is>
          <t>ОБЩЕСТВО С ОГРАНИЧЕННОЙ ОТВЕТСТВЕННОСТЬЮ "АМУР ЗОЛОТО"</t>
        </is>
      </c>
      <c r="F1394" s="1" t="inlineStr">
        <is>
          <t>2708001686</t>
        </is>
      </c>
      <c r="G1394" s="1" t="inlineStr">
        <is>
          <t>Водитель погрузчика</t>
        </is>
      </c>
      <c r="H1394" s="1" t="inlineStr">
        <is>
          <t>ООО "Амур Золото"</t>
        </is>
      </c>
      <c r="I1394" s="1" t="inlineStr">
        <is>
          <t>2708001686</t>
        </is>
      </c>
      <c r="J1394" s="1" t="inlineStr">
        <is>
          <t>ОТ №ЮГОК АТЦ 24-14</t>
        </is>
      </c>
      <c r="K139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394" s="1" t="inlineStr">
        <is>
          <t>08.10.2024</t>
        </is>
      </c>
      <c r="M1394" s="1" t="inlineStr">
        <is>
          <t>Успешно</t>
        </is>
      </c>
      <c r="N1394" s="1" t="inlineStr">
        <is>
          <t>17.10.2024</t>
        </is>
      </c>
      <c r="O1394" s="1" t="inlineStr"/>
      <c r="P1394" s="1" t="inlineStr"/>
      <c r="Q1394" s="1" t="inlineStr">
        <is>
          <t>Пользовательский интерфейс</t>
        </is>
      </c>
    </row>
    <row r="1395">
      <c r="B1395" s="1" t="inlineStr">
        <is>
          <t>82311983</t>
        </is>
      </c>
      <c r="C1395" s="1" t="inlineStr">
        <is>
          <t>6330469</t>
        </is>
      </c>
      <c r="D1395" t="inlineStr">
        <is>
          <t>работник 368</t>
        </is>
      </c>
      <c r="E1395" s="1" t="inlineStr">
        <is>
          <t>ОБЩЕСТВО С ОГРАНИЧЕННОЙ ОТВЕТСТВЕННОСТЬЮ "АМУР ЗОЛОТО"</t>
        </is>
      </c>
      <c r="F1395" s="1" t="inlineStr">
        <is>
          <t>2708001686</t>
        </is>
      </c>
      <c r="G1395" s="1" t="inlineStr">
        <is>
          <t>Машинист бульдозера</t>
        </is>
      </c>
      <c r="H1395" s="1" t="inlineStr">
        <is>
          <t>ООО "Амур Золото"</t>
        </is>
      </c>
      <c r="I1395" s="1" t="inlineStr">
        <is>
          <t>2708001686</t>
        </is>
      </c>
      <c r="J1395" s="1" t="inlineStr">
        <is>
          <t>ОТ №ЮГОК АТЦ 24-15</t>
        </is>
      </c>
      <c r="K1395" s="1" t="inlineStr">
        <is>
          <t>Использование (применение) средств индивидуальной защиты</t>
        </is>
      </c>
      <c r="L1395" s="1" t="inlineStr">
        <is>
          <t>08.10.2024</t>
        </is>
      </c>
      <c r="M1395" s="1" t="inlineStr">
        <is>
          <t>Успешно</t>
        </is>
      </c>
      <c r="N1395" s="1" t="inlineStr">
        <is>
          <t>17.10.2024</t>
        </is>
      </c>
      <c r="O1395" s="1" t="inlineStr"/>
      <c r="P1395" s="1" t="inlineStr"/>
      <c r="Q1395" s="1" t="inlineStr">
        <is>
          <t>Пользовательский интерфейс</t>
        </is>
      </c>
    </row>
    <row r="1396">
      <c r="B1396" s="1" t="inlineStr">
        <is>
          <t>82311984</t>
        </is>
      </c>
      <c r="C1396" s="1" t="inlineStr">
        <is>
          <t>6330469</t>
        </is>
      </c>
      <c r="D1396" t="inlineStr">
        <is>
          <t>работник 368</t>
        </is>
      </c>
      <c r="E1396" s="1" t="inlineStr">
        <is>
          <t>ОБЩЕСТВО С ОГРАНИЧЕННОЙ ОТВЕТСТВЕННОСТЬЮ "АМУР ЗОЛОТО"</t>
        </is>
      </c>
      <c r="F1396" s="1" t="inlineStr">
        <is>
          <t>2708001686</t>
        </is>
      </c>
      <c r="G1396" s="1" t="inlineStr">
        <is>
          <t>Машинист бульдозера</t>
        </is>
      </c>
      <c r="H1396" s="1" t="inlineStr">
        <is>
          <t>ООО "Амур Золото"</t>
        </is>
      </c>
      <c r="I1396" s="1" t="inlineStr">
        <is>
          <t>2708001686</t>
        </is>
      </c>
      <c r="J1396" s="1" t="inlineStr">
        <is>
          <t>ОТ №ЮГОК АТЦ 24-15</t>
        </is>
      </c>
      <c r="K139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396" s="1" t="inlineStr">
        <is>
          <t>08.10.2024</t>
        </is>
      </c>
      <c r="M1396" s="1" t="inlineStr">
        <is>
          <t>Успешно</t>
        </is>
      </c>
      <c r="N1396" s="1" t="inlineStr">
        <is>
          <t>17.10.2024</t>
        </is>
      </c>
      <c r="O1396" s="1" t="inlineStr"/>
      <c r="P1396" s="1" t="inlineStr"/>
      <c r="Q1396" s="1" t="inlineStr">
        <is>
          <t>Пользовательский интерфейс</t>
        </is>
      </c>
    </row>
    <row r="1397">
      <c r="B1397" s="1" t="inlineStr">
        <is>
          <t>82311985</t>
        </is>
      </c>
      <c r="C1397" s="1" t="inlineStr">
        <is>
          <t>6330469</t>
        </is>
      </c>
      <c r="D1397" t="inlineStr">
        <is>
          <t>работник 412</t>
        </is>
      </c>
      <c r="E1397" s="1" t="inlineStr">
        <is>
          <t>ОБЩЕСТВО С ОГРАНИЧЕННОЙ ОТВЕТСТВЕННОСТЬЮ "АМУР ЗОЛОТО"</t>
        </is>
      </c>
      <c r="F1397" s="1" t="inlineStr">
        <is>
          <t>2708001686</t>
        </is>
      </c>
      <c r="G1397" s="1" t="inlineStr">
        <is>
          <t>Весовщик</t>
        </is>
      </c>
      <c r="H1397" s="1" t="inlineStr">
        <is>
          <t>ООО "Амур Золото"</t>
        </is>
      </c>
      <c r="I1397" s="1" t="inlineStr">
        <is>
          <t>2708001686</t>
        </is>
      </c>
      <c r="J1397" s="1" t="inlineStr">
        <is>
          <t>ОТ №ЮГОК ОТК 24-03</t>
        </is>
      </c>
      <c r="K1397" s="1" t="inlineStr">
        <is>
          <t>Использование (применение) средств индивидуальной защиты</t>
        </is>
      </c>
      <c r="L1397" s="1" t="inlineStr">
        <is>
          <t>08.09.2024</t>
        </is>
      </c>
      <c r="M1397" s="1" t="inlineStr">
        <is>
          <t>Успешно</t>
        </is>
      </c>
      <c r="N1397" s="1" t="inlineStr">
        <is>
          <t>17.10.2024</t>
        </is>
      </c>
      <c r="O1397" s="1" t="inlineStr"/>
      <c r="P1397" s="1" t="inlineStr"/>
      <c r="Q1397" s="1" t="inlineStr">
        <is>
          <t>Пользовательский интерфейс</t>
        </is>
      </c>
    </row>
    <row r="1398">
      <c r="B1398" s="1" t="inlineStr">
        <is>
          <t>82311986</t>
        </is>
      </c>
      <c r="C1398" s="1" t="inlineStr">
        <is>
          <t>6330469</t>
        </is>
      </c>
      <c r="D1398" t="inlineStr">
        <is>
          <t>работник 412</t>
        </is>
      </c>
      <c r="E1398" s="1" t="inlineStr">
        <is>
          <t>ОБЩЕСТВО С ОГРАНИЧЕННОЙ ОТВЕТСТВЕННОСТЬЮ "АМУР ЗОЛОТО"</t>
        </is>
      </c>
      <c r="F1398" s="1" t="inlineStr">
        <is>
          <t>2708001686</t>
        </is>
      </c>
      <c r="G1398" s="1" t="inlineStr">
        <is>
          <t>Весовщик</t>
        </is>
      </c>
      <c r="H1398" s="1" t="inlineStr">
        <is>
          <t>ООО "Амур Золото"</t>
        </is>
      </c>
      <c r="I1398" s="1" t="inlineStr">
        <is>
          <t>2708001686</t>
        </is>
      </c>
      <c r="J1398" s="1" t="inlineStr">
        <is>
          <t>ОТ №ЮГОК ОТК 24-03</t>
        </is>
      </c>
      <c r="K139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398" s="1" t="inlineStr">
        <is>
          <t>08.09.2024</t>
        </is>
      </c>
      <c r="M1398" s="1" t="inlineStr">
        <is>
          <t>Успешно</t>
        </is>
      </c>
      <c r="N1398" s="1" t="inlineStr">
        <is>
          <t>17.10.2024</t>
        </is>
      </c>
      <c r="O1398" s="1" t="inlineStr"/>
      <c r="P1398" s="1" t="inlineStr"/>
      <c r="Q1398" s="1" t="inlineStr">
        <is>
          <t>Пользовательский интерфейс</t>
        </is>
      </c>
    </row>
    <row r="1399">
      <c r="B1399" s="1" t="inlineStr">
        <is>
          <t>82311987</t>
        </is>
      </c>
      <c r="C1399" s="1" t="inlineStr">
        <is>
          <t>6330469</t>
        </is>
      </c>
      <c r="D1399" t="inlineStr">
        <is>
          <t>работник 413</t>
        </is>
      </c>
      <c r="E1399" s="1" t="inlineStr">
        <is>
          <t>ОБЩЕСТВО С ОГРАНИЧЕННОЙ ОТВЕТСТВЕННОСТЬЮ "АМУР ЗОЛОТО"</t>
        </is>
      </c>
      <c r="F1399" s="1" t="inlineStr">
        <is>
          <t>2708001686</t>
        </is>
      </c>
      <c r="G1399" s="1" t="inlineStr">
        <is>
          <t>Слесарь ремонтник самоходной техники</t>
        </is>
      </c>
      <c r="H1399" s="1" t="inlineStr">
        <is>
          <t>ООО "Амур Золото"</t>
        </is>
      </c>
      <c r="I1399" s="1" t="inlineStr">
        <is>
          <t>2708001686</t>
        </is>
      </c>
      <c r="J1399" s="1" t="inlineStr">
        <is>
          <t>ОТ №ЮГОК ПГУ 24-14</t>
        </is>
      </c>
      <c r="K1399" s="1" t="inlineStr">
        <is>
          <t>Использование (применение) средств индивидуальной защиты</t>
        </is>
      </c>
      <c r="L1399" s="1" t="inlineStr">
        <is>
          <t>05.09.2024</t>
        </is>
      </c>
      <c r="M1399" s="1" t="inlineStr">
        <is>
          <t>Успешно</t>
        </is>
      </c>
      <c r="N1399" s="1" t="inlineStr">
        <is>
          <t>17.10.2024</t>
        </is>
      </c>
      <c r="O1399" s="1" t="inlineStr"/>
      <c r="P1399" s="1" t="inlineStr"/>
      <c r="Q1399" s="1" t="inlineStr">
        <is>
          <t>Пользовательский интерфейс</t>
        </is>
      </c>
    </row>
    <row r="1400">
      <c r="B1400" s="1" t="inlineStr">
        <is>
          <t>82311988</t>
        </is>
      </c>
      <c r="C1400" s="1" t="inlineStr">
        <is>
          <t>6330469</t>
        </is>
      </c>
      <c r="D1400" t="inlineStr">
        <is>
          <t>работник 413</t>
        </is>
      </c>
      <c r="E1400" s="1" t="inlineStr">
        <is>
          <t>ОБЩЕСТВО С ОГРАНИЧЕННОЙ ОТВЕТСТВЕННОСТЬЮ "АМУР ЗОЛОТО"</t>
        </is>
      </c>
      <c r="F1400" s="1" t="inlineStr">
        <is>
          <t>2708001686</t>
        </is>
      </c>
      <c r="G1400" s="1" t="inlineStr">
        <is>
          <t>Слесарь ремонтник самоходной техники</t>
        </is>
      </c>
      <c r="H1400" s="1" t="inlineStr">
        <is>
          <t>ООО "Амур Золото"</t>
        </is>
      </c>
      <c r="I1400" s="1" t="inlineStr">
        <is>
          <t>2708001686</t>
        </is>
      </c>
      <c r="J1400" s="1" t="inlineStr">
        <is>
          <t>ОТ №ЮГОК ПГУ 24-14</t>
        </is>
      </c>
      <c r="K140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400" s="1" t="inlineStr">
        <is>
          <t>05.09.2024</t>
        </is>
      </c>
      <c r="M1400" s="1" t="inlineStr">
        <is>
          <t>Успешно</t>
        </is>
      </c>
      <c r="N1400" s="1" t="inlineStr">
        <is>
          <t>17.10.2024</t>
        </is>
      </c>
      <c r="O1400" s="1" t="inlineStr"/>
      <c r="P1400" s="1" t="inlineStr"/>
      <c r="Q1400" s="1" t="inlineStr">
        <is>
          <t>Пользовательский интерфейс</t>
        </is>
      </c>
    </row>
    <row r="1401">
      <c r="B1401" s="1" t="inlineStr">
        <is>
          <t>82311989</t>
        </is>
      </c>
      <c r="C1401" s="1" t="inlineStr">
        <is>
          <t>6330469</t>
        </is>
      </c>
      <c r="D1401" t="inlineStr">
        <is>
          <t>работник 414</t>
        </is>
      </c>
      <c r="E1401" s="1" t="inlineStr">
        <is>
          <t>ОБЩЕСТВО С ОГРАНИЧЕННОЙ ОТВЕТСТВЕННОСТЬЮ "АМУР ЗОЛОТО"</t>
        </is>
      </c>
      <c r="F1401" s="1" t="inlineStr">
        <is>
          <t>2708001686</t>
        </is>
      </c>
      <c r="G1401" s="1" t="inlineStr">
        <is>
          <t>Машинист самоходной буровой установки</t>
        </is>
      </c>
      <c r="H1401" s="1" t="inlineStr">
        <is>
          <t>ООО "Амур Золото"</t>
        </is>
      </c>
      <c r="I1401" s="1" t="inlineStr">
        <is>
          <t>2708001686</t>
        </is>
      </c>
      <c r="J1401" s="1" t="inlineStr">
        <is>
          <t>ОТ №ЮГОК ПГУ 24-15</t>
        </is>
      </c>
      <c r="K1401" s="1" t="inlineStr">
        <is>
          <t>Использование (применение) средств индивидуальной защиты</t>
        </is>
      </c>
      <c r="L1401" s="1" t="inlineStr">
        <is>
          <t>05.09.2024</t>
        </is>
      </c>
      <c r="M1401" s="1" t="inlineStr">
        <is>
          <t>Успешно</t>
        </is>
      </c>
      <c r="N1401" s="1" t="inlineStr">
        <is>
          <t>17.10.2024</t>
        </is>
      </c>
      <c r="O1401" s="1" t="inlineStr"/>
      <c r="P1401" s="1" t="inlineStr"/>
      <c r="Q1401" s="1" t="inlineStr">
        <is>
          <t>Пользовательский интерфейс</t>
        </is>
      </c>
    </row>
    <row r="1402">
      <c r="B1402" s="1" t="inlineStr">
        <is>
          <t>82311990</t>
        </is>
      </c>
      <c r="C1402" s="1" t="inlineStr">
        <is>
          <t>6330469</t>
        </is>
      </c>
      <c r="D1402" t="inlineStr">
        <is>
          <t>работник 414</t>
        </is>
      </c>
      <c r="E1402" s="1" t="inlineStr">
        <is>
          <t>ОБЩЕСТВО С ОГРАНИЧЕННОЙ ОТВЕТСТВЕННОСТЬЮ "АМУР ЗОЛОТО"</t>
        </is>
      </c>
      <c r="F1402" s="1" t="inlineStr">
        <is>
          <t>2708001686</t>
        </is>
      </c>
      <c r="G1402" s="1" t="inlineStr">
        <is>
          <t>Машинист самоходной буровой установки</t>
        </is>
      </c>
      <c r="H1402" s="1" t="inlineStr">
        <is>
          <t>ООО "Амур Золото"</t>
        </is>
      </c>
      <c r="I1402" s="1" t="inlineStr">
        <is>
          <t>2708001686</t>
        </is>
      </c>
      <c r="J1402" s="1" t="inlineStr">
        <is>
          <t>ОТ №ЮГОК ПГУ 24-15</t>
        </is>
      </c>
      <c r="K140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402" s="1" t="inlineStr">
        <is>
          <t>05.09.2024</t>
        </is>
      </c>
      <c r="M1402" s="1" t="inlineStr">
        <is>
          <t>Успешно</t>
        </is>
      </c>
      <c r="N1402" s="1" t="inlineStr">
        <is>
          <t>17.10.2024</t>
        </is>
      </c>
      <c r="O1402" s="1" t="inlineStr"/>
      <c r="P1402" s="1" t="inlineStr"/>
      <c r="Q1402" s="1" t="inlineStr">
        <is>
          <t>Пользовательский интерфейс</t>
        </is>
      </c>
    </row>
    <row r="1403">
      <c r="B1403" s="1" t="inlineStr">
        <is>
          <t>82311991</t>
        </is>
      </c>
      <c r="C1403" s="1" t="inlineStr">
        <is>
          <t>6330469</t>
        </is>
      </c>
      <c r="D1403" t="inlineStr">
        <is>
          <t>работник 415</t>
        </is>
      </c>
      <c r="E1403" s="1" t="inlineStr">
        <is>
          <t>ОБЩЕСТВО С ОГРАНИЧЕННОЙ ОТВЕТСТВЕННОСТЬЮ "АМУР ЗОЛОТО"</t>
        </is>
      </c>
      <c r="F1403" s="1" t="inlineStr">
        <is>
          <t>2708001686</t>
        </is>
      </c>
      <c r="G1403" s="1" t="inlineStr">
        <is>
          <t>Машинист самоходной буровой установки</t>
        </is>
      </c>
      <c r="H1403" s="1" t="inlineStr">
        <is>
          <t>ООО "Амур Золото"</t>
        </is>
      </c>
      <c r="I1403" s="1" t="inlineStr">
        <is>
          <t>2708001686</t>
        </is>
      </c>
      <c r="J1403" s="1" t="inlineStr">
        <is>
          <t>ОТ №ЮГОК ПГУ 24-16</t>
        </is>
      </c>
      <c r="K1403" s="1" t="inlineStr">
        <is>
          <t>Использование (применение) средств индивидуальной защиты</t>
        </is>
      </c>
      <c r="L1403" s="1" t="inlineStr">
        <is>
          <t>07.09.2024</t>
        </is>
      </c>
      <c r="M1403" s="1" t="inlineStr">
        <is>
          <t>Успешно</t>
        </is>
      </c>
      <c r="N1403" s="1" t="inlineStr">
        <is>
          <t>17.10.2024</t>
        </is>
      </c>
      <c r="O1403" s="1" t="inlineStr"/>
      <c r="P1403" s="1" t="inlineStr"/>
      <c r="Q1403" s="1" t="inlineStr">
        <is>
          <t>Пользовательский интерфейс</t>
        </is>
      </c>
    </row>
    <row r="1404">
      <c r="B1404" s="1" t="inlineStr">
        <is>
          <t>82311992</t>
        </is>
      </c>
      <c r="C1404" s="1" t="inlineStr">
        <is>
          <t>6330469</t>
        </is>
      </c>
      <c r="D1404" t="inlineStr">
        <is>
          <t>работник 415</t>
        </is>
      </c>
      <c r="E1404" s="1" t="inlineStr">
        <is>
          <t>ОБЩЕСТВО С ОГРАНИЧЕННОЙ ОТВЕТСТВЕННОСТЬЮ "АМУР ЗОЛОТО"</t>
        </is>
      </c>
      <c r="F1404" s="1" t="inlineStr">
        <is>
          <t>2708001686</t>
        </is>
      </c>
      <c r="G1404" s="1" t="inlineStr">
        <is>
          <t>Машинист самоходной буровой установки</t>
        </is>
      </c>
      <c r="H1404" s="1" t="inlineStr">
        <is>
          <t>ООО "Амур Золото"</t>
        </is>
      </c>
      <c r="I1404" s="1" t="inlineStr">
        <is>
          <t>2708001686</t>
        </is>
      </c>
      <c r="J1404" s="1" t="inlineStr">
        <is>
          <t>ОТ №ЮГОК ПГУ 24-16</t>
        </is>
      </c>
      <c r="K140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404" s="1" t="inlineStr">
        <is>
          <t>07.09.2024</t>
        </is>
      </c>
      <c r="M1404" s="1" t="inlineStr">
        <is>
          <t>Успешно</t>
        </is>
      </c>
      <c r="N1404" s="1" t="inlineStr">
        <is>
          <t>17.10.2024</t>
        </is>
      </c>
      <c r="O1404" s="1" t="inlineStr"/>
      <c r="P1404" s="1" t="inlineStr"/>
      <c r="Q1404" s="1" t="inlineStr">
        <is>
          <t>Пользовательский интерфейс</t>
        </is>
      </c>
    </row>
    <row r="1405">
      <c r="B1405" s="1" t="inlineStr">
        <is>
          <t>82311993</t>
        </is>
      </c>
      <c r="C1405" s="1" t="inlineStr">
        <is>
          <t>6330469</t>
        </is>
      </c>
      <c r="D1405" t="inlineStr">
        <is>
          <t>работник 181</t>
        </is>
      </c>
      <c r="E1405" s="1" t="inlineStr">
        <is>
          <t>ОБЩЕСТВО С ОГРАНИЧЕННОЙ ОТВЕТСТВЕННОСТЬЮ "АМУР ЗОЛОТО"</t>
        </is>
      </c>
      <c r="F1405" s="1" t="inlineStr">
        <is>
          <t>2708001686</t>
        </is>
      </c>
      <c r="G1405" s="1" t="inlineStr">
        <is>
          <t>Машинист самоходной буровой установки</t>
        </is>
      </c>
      <c r="H1405" s="1" t="inlineStr">
        <is>
          <t>ООО "Амур Золото"</t>
        </is>
      </c>
      <c r="I1405" s="1" t="inlineStr">
        <is>
          <t>2708001686</t>
        </is>
      </c>
      <c r="J1405" s="1" t="inlineStr">
        <is>
          <t>ОТ №ЮГОК ПГУ 24-17</t>
        </is>
      </c>
      <c r="K1405" s="1" t="inlineStr">
        <is>
          <t>Использование (применение) средств индивидуальной защиты</t>
        </is>
      </c>
      <c r="L1405" s="1" t="inlineStr">
        <is>
          <t>19.09.2024</t>
        </is>
      </c>
      <c r="M1405" s="1" t="inlineStr">
        <is>
          <t>Успешно</t>
        </is>
      </c>
      <c r="N1405" s="1" t="inlineStr">
        <is>
          <t>17.10.2024</t>
        </is>
      </c>
      <c r="O1405" s="1" t="inlineStr"/>
      <c r="P1405" s="1" t="inlineStr"/>
      <c r="Q1405" s="1" t="inlineStr">
        <is>
          <t>Пользовательский интерфейс</t>
        </is>
      </c>
    </row>
    <row r="1406">
      <c r="B1406" s="1" t="inlineStr">
        <is>
          <t>82311994</t>
        </is>
      </c>
      <c r="C1406" s="1" t="inlineStr">
        <is>
          <t>6330469</t>
        </is>
      </c>
      <c r="D1406" t="inlineStr">
        <is>
          <t>работник 181</t>
        </is>
      </c>
      <c r="E1406" s="1" t="inlineStr">
        <is>
          <t>ОБЩЕСТВО С ОГРАНИЧЕННОЙ ОТВЕТСТВЕННОСТЬЮ "АМУР ЗОЛОТО"</t>
        </is>
      </c>
      <c r="F1406" s="1" t="inlineStr">
        <is>
          <t>2708001686</t>
        </is>
      </c>
      <c r="G1406" s="1" t="inlineStr">
        <is>
          <t>Машинист самоходной буровой установки</t>
        </is>
      </c>
      <c r="H1406" s="1" t="inlineStr">
        <is>
          <t>ООО "Амур Золото"</t>
        </is>
      </c>
      <c r="I1406" s="1" t="inlineStr">
        <is>
          <t>2708001686</t>
        </is>
      </c>
      <c r="J1406" s="1" t="inlineStr">
        <is>
          <t>ОТ №ЮГОК ПГУ 24-17</t>
        </is>
      </c>
      <c r="K140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406" s="1" t="inlineStr">
        <is>
          <t>19.09.2024</t>
        </is>
      </c>
      <c r="M1406" s="1" t="inlineStr">
        <is>
          <t>Успешно</t>
        </is>
      </c>
      <c r="N1406" s="1" t="inlineStr">
        <is>
          <t>17.10.2024</t>
        </is>
      </c>
      <c r="O1406" s="1" t="inlineStr"/>
      <c r="P1406" s="1" t="inlineStr"/>
      <c r="Q1406" s="1" t="inlineStr">
        <is>
          <t>Пользовательский интерфейс</t>
        </is>
      </c>
    </row>
    <row r="1407">
      <c r="B1407" s="1" t="inlineStr">
        <is>
          <t>82311995</t>
        </is>
      </c>
      <c r="C1407" s="1" t="inlineStr">
        <is>
          <t>6330469</t>
        </is>
      </c>
      <c r="D1407" t="inlineStr">
        <is>
          <t>работник 161</t>
        </is>
      </c>
      <c r="E1407" s="1" t="inlineStr">
        <is>
          <t>ОБЩЕСТВО С ОГРАНИЧЕННОЙ ОТВЕТСТВЕННОСТЬЮ "АМУР ЗОЛОТО"</t>
        </is>
      </c>
      <c r="F1407" s="1" t="inlineStr">
        <is>
          <t>2708001686</t>
        </is>
      </c>
      <c r="G1407" s="1" t="inlineStr">
        <is>
          <t>Машинист самоходной буровой установки</t>
        </is>
      </c>
      <c r="H1407" s="1" t="inlineStr">
        <is>
          <t>ООО "Амур Золото"</t>
        </is>
      </c>
      <c r="I1407" s="1" t="inlineStr">
        <is>
          <t>2708001686</t>
        </is>
      </c>
      <c r="J1407" s="1" t="inlineStr">
        <is>
          <t>ОТ №ЮГОК ПГУ 24-18</t>
        </is>
      </c>
      <c r="K1407" s="1" t="inlineStr">
        <is>
          <t>Использование (применение) средств индивидуальной защиты</t>
        </is>
      </c>
      <c r="L1407" s="1" t="inlineStr">
        <is>
          <t>20.09.2024</t>
        </is>
      </c>
      <c r="M1407" s="1" t="inlineStr">
        <is>
          <t>Успешно</t>
        </is>
      </c>
      <c r="N1407" s="1" t="inlineStr">
        <is>
          <t>17.10.2024</t>
        </is>
      </c>
      <c r="O1407" s="1" t="inlineStr"/>
      <c r="P1407" s="1" t="inlineStr"/>
      <c r="Q1407" s="1" t="inlineStr">
        <is>
          <t>Пользовательский интерфейс</t>
        </is>
      </c>
    </row>
    <row r="1408">
      <c r="B1408" s="1" t="inlineStr">
        <is>
          <t>82311996</t>
        </is>
      </c>
      <c r="C1408" s="1" t="inlineStr">
        <is>
          <t>6330469</t>
        </is>
      </c>
      <c r="D1408" t="inlineStr">
        <is>
          <t>работник 161</t>
        </is>
      </c>
      <c r="E1408" s="1" t="inlineStr">
        <is>
          <t>ОБЩЕСТВО С ОГРАНИЧЕННОЙ ОТВЕТСТВЕННОСТЬЮ "АМУР ЗОЛОТО"</t>
        </is>
      </c>
      <c r="F1408" s="1" t="inlineStr">
        <is>
          <t>2708001686</t>
        </is>
      </c>
      <c r="G1408" s="1" t="inlineStr">
        <is>
          <t>Машинист самоходной буровой установки</t>
        </is>
      </c>
      <c r="H1408" s="1" t="inlineStr">
        <is>
          <t>ООО "Амур Золото"</t>
        </is>
      </c>
      <c r="I1408" s="1" t="inlineStr">
        <is>
          <t>2708001686</t>
        </is>
      </c>
      <c r="J1408" s="1" t="inlineStr">
        <is>
          <t>ОТ №ЮГОК ПГУ 24-18</t>
        </is>
      </c>
      <c r="K140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408" s="1" t="inlineStr">
        <is>
          <t>20.09.2024</t>
        </is>
      </c>
      <c r="M1408" s="1" t="inlineStr">
        <is>
          <t>Успешно</t>
        </is>
      </c>
      <c r="N1408" s="1" t="inlineStr">
        <is>
          <t>17.10.2024</t>
        </is>
      </c>
      <c r="O1408" s="1" t="inlineStr"/>
      <c r="P1408" s="1" t="inlineStr"/>
      <c r="Q1408" s="1" t="inlineStr">
        <is>
          <t>Пользовательский интерфейс</t>
        </is>
      </c>
    </row>
    <row r="1409">
      <c r="B1409" s="1" t="inlineStr">
        <is>
          <t>82311997</t>
        </is>
      </c>
      <c r="C1409" s="1" t="inlineStr">
        <is>
          <t>6330469</t>
        </is>
      </c>
      <c r="D1409" t="inlineStr">
        <is>
          <t>работник 45</t>
        </is>
      </c>
      <c r="E1409" s="1" t="inlineStr">
        <is>
          <t>ОБЩЕСТВО С ОГРАНИЧЕННОЙ ОТВЕТСТВЕННОСТЬЮ "АМУР ЗОЛОТО"</t>
        </is>
      </c>
      <c r="F1409" s="1" t="inlineStr">
        <is>
          <t>2708001686</t>
        </is>
      </c>
      <c r="G1409" s="1" t="inlineStr">
        <is>
          <t>Электрогазосварщик (занятый на резке и ручной сварке)</t>
        </is>
      </c>
      <c r="H1409" s="1" t="inlineStr">
        <is>
          <t>ООО "Амур Золото"</t>
        </is>
      </c>
      <c r="I1409" s="1" t="inlineStr">
        <is>
          <t>2708001686</t>
        </is>
      </c>
      <c r="J1409" s="1" t="inlineStr">
        <is>
          <t>ОТ №ЮГОК ПГУ 24-19</t>
        </is>
      </c>
      <c r="K1409" s="1" t="inlineStr">
        <is>
          <t>Использование (применение) средств индивидуальной защиты</t>
        </is>
      </c>
      <c r="L1409" s="1" t="inlineStr">
        <is>
          <t>22.09.2024</t>
        </is>
      </c>
      <c r="M1409" s="1" t="inlineStr">
        <is>
          <t>Успешно</t>
        </is>
      </c>
      <c r="N1409" s="1" t="inlineStr">
        <is>
          <t>17.10.2024</t>
        </is>
      </c>
      <c r="O1409" s="1" t="inlineStr"/>
      <c r="P1409" s="1" t="inlineStr"/>
      <c r="Q1409" s="1" t="inlineStr">
        <is>
          <t>Пользовательский интерфейс</t>
        </is>
      </c>
    </row>
    <row r="1410">
      <c r="B1410" s="1" t="inlineStr">
        <is>
          <t>82311998</t>
        </is>
      </c>
      <c r="C1410" s="1" t="inlineStr">
        <is>
          <t>6330469</t>
        </is>
      </c>
      <c r="D1410" t="inlineStr">
        <is>
          <t>работник 45</t>
        </is>
      </c>
      <c r="E1410" s="1" t="inlineStr">
        <is>
          <t>ОБЩЕСТВО С ОГРАНИЧЕННОЙ ОТВЕТСТВЕННОСТЬЮ "АМУР ЗОЛОТО"</t>
        </is>
      </c>
      <c r="F1410" s="1" t="inlineStr">
        <is>
          <t>2708001686</t>
        </is>
      </c>
      <c r="G1410" s="1" t="inlineStr">
        <is>
          <t>Электрогазосварщик (занятый на резке и ручной сварке)</t>
        </is>
      </c>
      <c r="H1410" s="1" t="inlineStr">
        <is>
          <t>ООО "Амур Золото"</t>
        </is>
      </c>
      <c r="I1410" s="1" t="inlineStr">
        <is>
          <t>2708001686</t>
        </is>
      </c>
      <c r="J1410" s="1" t="inlineStr">
        <is>
          <t>ОТ №ЮГОК ПГУ 24-19</t>
        </is>
      </c>
      <c r="K141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410" s="1" t="inlineStr">
        <is>
          <t>22.09.2024</t>
        </is>
      </c>
      <c r="M1410" s="1" t="inlineStr">
        <is>
          <t>Успешно</t>
        </is>
      </c>
      <c r="N1410" s="1" t="inlineStr">
        <is>
          <t>17.10.2024</t>
        </is>
      </c>
      <c r="O1410" s="1" t="inlineStr"/>
      <c r="P1410" s="1" t="inlineStr"/>
      <c r="Q1410" s="1" t="inlineStr">
        <is>
          <t>Пользовательский интерфейс</t>
        </is>
      </c>
    </row>
    <row r="1411">
      <c r="B1411" s="1" t="inlineStr">
        <is>
          <t>82311999</t>
        </is>
      </c>
      <c r="C1411" s="1" t="inlineStr">
        <is>
          <t>6330469</t>
        </is>
      </c>
      <c r="D1411" t="inlineStr">
        <is>
          <t>работник 416</t>
        </is>
      </c>
      <c r="E1411" s="1" t="inlineStr">
        <is>
          <t>ОБЩЕСТВО С ОГРАНИЧЕННОЙ ОТВЕТСТВЕННОСТЬЮ "АМУР ЗОЛОТО"</t>
        </is>
      </c>
      <c r="F1411" s="1" t="inlineStr">
        <is>
          <t>2708001686</t>
        </is>
      </c>
      <c r="G1411" s="1" t="inlineStr">
        <is>
          <t>Повар</t>
        </is>
      </c>
      <c r="H1411" s="1" t="inlineStr">
        <is>
          <t>ООО "Амур Золото"</t>
        </is>
      </c>
      <c r="I1411" s="1" t="inlineStr">
        <is>
          <t>2708001686</t>
        </is>
      </c>
      <c r="J1411" s="1" t="inlineStr">
        <is>
          <t>ОТ №ЮГОК Столовая 24-03</t>
        </is>
      </c>
      <c r="K1411" s="1" t="inlineStr">
        <is>
          <t>Использование (применение) средств индивидуальной защиты</t>
        </is>
      </c>
      <c r="L1411" s="1" t="inlineStr">
        <is>
          <t>04.10.2024</t>
        </is>
      </c>
      <c r="M1411" s="1" t="inlineStr">
        <is>
          <t>Успешно</t>
        </is>
      </c>
      <c r="N1411" s="1" t="inlineStr">
        <is>
          <t>17.10.2024</t>
        </is>
      </c>
      <c r="O1411" s="1" t="inlineStr"/>
      <c r="P1411" s="1" t="inlineStr"/>
      <c r="Q1411" s="1" t="inlineStr">
        <is>
          <t>Пользовательский интерфейс</t>
        </is>
      </c>
    </row>
    <row r="1412">
      <c r="B1412" s="1" t="inlineStr">
        <is>
          <t>82312000</t>
        </is>
      </c>
      <c r="C1412" s="1" t="inlineStr">
        <is>
          <t>6330469</t>
        </is>
      </c>
      <c r="D1412" t="inlineStr">
        <is>
          <t>работник 156</t>
        </is>
      </c>
      <c r="E1412" s="1" t="inlineStr">
        <is>
          <t>ОБЩЕСТВО С ОГРАНИЧЕННОЙ ОТВЕТСТВЕННОСТЬЮ "АМУР ЗОЛОТО"</t>
        </is>
      </c>
      <c r="F1412" s="1" t="inlineStr">
        <is>
          <t>2708001686</t>
        </is>
      </c>
      <c r="G1412" s="1" t="inlineStr">
        <is>
          <t>Электрогазосварщик (занятый на резке и ручной сварке)</t>
        </is>
      </c>
      <c r="H1412" s="1" t="inlineStr">
        <is>
          <t>ООО "Амур Золото"</t>
        </is>
      </c>
      <c r="I1412" s="1" t="inlineStr">
        <is>
          <t>2708001686</t>
        </is>
      </c>
      <c r="J1412" s="1" t="inlineStr">
        <is>
          <t>ОТ №ЮГОК ПГУ 24-20</t>
        </is>
      </c>
      <c r="K1412" s="1" t="inlineStr">
        <is>
          <t>Использование (применение) средств индивидуальной защиты</t>
        </is>
      </c>
      <c r="L1412" s="1" t="inlineStr">
        <is>
          <t>22.09.2024</t>
        </is>
      </c>
      <c r="M1412" s="1" t="inlineStr">
        <is>
          <t>Успешно</t>
        </is>
      </c>
      <c r="N1412" s="1" t="inlineStr">
        <is>
          <t>17.10.2024</t>
        </is>
      </c>
      <c r="O1412" s="1" t="inlineStr"/>
      <c r="P1412" s="1" t="inlineStr"/>
      <c r="Q1412" s="1" t="inlineStr">
        <is>
          <t>Пользовательский интерфейс</t>
        </is>
      </c>
    </row>
    <row r="1413">
      <c r="B1413" s="1" t="inlineStr">
        <is>
          <t>82312001</t>
        </is>
      </c>
      <c r="C1413" s="1" t="inlineStr">
        <is>
          <t>6330469</t>
        </is>
      </c>
      <c r="D1413" t="inlineStr">
        <is>
          <t>работник 156</t>
        </is>
      </c>
      <c r="E1413" s="1" t="inlineStr">
        <is>
          <t>ОБЩЕСТВО С ОГРАНИЧЕННОЙ ОТВЕТСТВЕННОСТЬЮ "АМУР ЗОЛОТО"</t>
        </is>
      </c>
      <c r="F1413" s="1" t="inlineStr">
        <is>
          <t>2708001686</t>
        </is>
      </c>
      <c r="G1413" s="1" t="inlineStr">
        <is>
          <t>Электрогазосварщик (занятый на резке и ручной сварке)</t>
        </is>
      </c>
      <c r="H1413" s="1" t="inlineStr">
        <is>
          <t>ООО "Амур Золото"</t>
        </is>
      </c>
      <c r="I1413" s="1" t="inlineStr">
        <is>
          <t>2708001686</t>
        </is>
      </c>
      <c r="J1413" s="1" t="inlineStr">
        <is>
          <t>ОТ №ЮГОК ПГУ 24-20</t>
        </is>
      </c>
      <c r="K141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413" s="1" t="inlineStr">
        <is>
          <t>22.09.2024</t>
        </is>
      </c>
      <c r="M1413" s="1" t="inlineStr">
        <is>
          <t>Успешно</t>
        </is>
      </c>
      <c r="N1413" s="1" t="inlineStr">
        <is>
          <t>17.10.2024</t>
        </is>
      </c>
      <c r="O1413" s="1" t="inlineStr"/>
      <c r="P1413" s="1" t="inlineStr"/>
      <c r="Q1413" s="1" t="inlineStr">
        <is>
          <t>Пользовательский интерфейс</t>
        </is>
      </c>
    </row>
    <row r="1414">
      <c r="B1414" s="1" t="inlineStr">
        <is>
          <t>82312002</t>
        </is>
      </c>
      <c r="C1414" s="1" t="inlineStr">
        <is>
          <t>6330469</t>
        </is>
      </c>
      <c r="D1414" t="inlineStr">
        <is>
          <t>работник 417</t>
        </is>
      </c>
      <c r="E1414" s="1" t="inlineStr">
        <is>
          <t>ОБЩЕСТВО С ОГРАНИЧЕННОЙ ОТВЕТСТВЕННОСТЬЮ "АМУР ЗОЛОТО"</t>
        </is>
      </c>
      <c r="F1414" s="1" t="inlineStr">
        <is>
          <t>2708001686</t>
        </is>
      </c>
      <c r="G1414" s="1" t="inlineStr">
        <is>
          <t>Машинист подземных самоходных машин</t>
        </is>
      </c>
      <c r="H1414" s="1" t="inlineStr">
        <is>
          <t>ООО "Амур Золото"</t>
        </is>
      </c>
      <c r="I1414" s="1" t="inlineStr">
        <is>
          <t>2708001686</t>
        </is>
      </c>
      <c r="J1414" s="1" t="inlineStr">
        <is>
          <t>ОТ №ЮГОК ПГУ 24-21</t>
        </is>
      </c>
      <c r="K1414" s="1" t="inlineStr">
        <is>
          <t>Использование (применение) средств индивидуальной защиты</t>
        </is>
      </c>
      <c r="L1414" s="1" t="inlineStr">
        <is>
          <t>04.10.2024</t>
        </is>
      </c>
      <c r="M1414" s="1" t="inlineStr">
        <is>
          <t>Успешно</t>
        </is>
      </c>
      <c r="N1414" s="1" t="inlineStr">
        <is>
          <t>17.10.2024</t>
        </is>
      </c>
      <c r="O1414" s="1" t="inlineStr"/>
      <c r="P1414" s="1" t="inlineStr"/>
      <c r="Q1414" s="1" t="inlineStr">
        <is>
          <t>Пользовательский интерфейс</t>
        </is>
      </c>
    </row>
    <row r="1415">
      <c r="B1415" s="1" t="inlineStr">
        <is>
          <t>82312003</t>
        </is>
      </c>
      <c r="C1415" s="1" t="inlineStr">
        <is>
          <t>6330469</t>
        </is>
      </c>
      <c r="D1415" t="inlineStr">
        <is>
          <t>работник 417</t>
        </is>
      </c>
      <c r="E1415" s="1" t="inlineStr">
        <is>
          <t>ОБЩЕСТВО С ОГРАНИЧЕННОЙ ОТВЕТСТВЕННОСТЬЮ "АМУР ЗОЛОТО"</t>
        </is>
      </c>
      <c r="F1415" s="1" t="inlineStr">
        <is>
          <t>2708001686</t>
        </is>
      </c>
      <c r="G1415" s="1" t="inlineStr">
        <is>
          <t>Машинист подземных самоходных машин</t>
        </is>
      </c>
      <c r="H1415" s="1" t="inlineStr">
        <is>
          <t>ООО "Амур Золото"</t>
        </is>
      </c>
      <c r="I1415" s="1" t="inlineStr">
        <is>
          <t>2708001686</t>
        </is>
      </c>
      <c r="J1415" s="1" t="inlineStr">
        <is>
          <t>ОТ №ЮГОК ПГУ 24-21</t>
        </is>
      </c>
      <c r="K141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415" s="1" t="inlineStr">
        <is>
          <t>04.10.2024</t>
        </is>
      </c>
      <c r="M1415" s="1" t="inlineStr">
        <is>
          <t>Успешно</t>
        </is>
      </c>
      <c r="N1415" s="1" t="inlineStr">
        <is>
          <t>17.10.2024</t>
        </is>
      </c>
      <c r="O1415" s="1" t="inlineStr"/>
      <c r="P1415" s="1" t="inlineStr"/>
      <c r="Q1415" s="1" t="inlineStr">
        <is>
          <t>Пользовательский интерфейс</t>
        </is>
      </c>
    </row>
    <row r="1416">
      <c r="B1416" s="1" t="inlineStr">
        <is>
          <t>82312004</t>
        </is>
      </c>
      <c r="C1416" s="1" t="inlineStr">
        <is>
          <t>6330469</t>
        </is>
      </c>
      <c r="D1416" t="inlineStr">
        <is>
          <t>работник 418</t>
        </is>
      </c>
      <c r="E1416" s="1" t="inlineStr">
        <is>
          <t>ОБЩЕСТВО С ОГРАНИЧЕННОЙ ОТВЕТСТВЕННОСТЬЮ "АМУР ЗОЛОТО"</t>
        </is>
      </c>
      <c r="F1416" s="1" t="inlineStr">
        <is>
          <t>2708001686</t>
        </is>
      </c>
      <c r="G1416" s="1" t="inlineStr">
        <is>
          <t>Машинист ТГМ</t>
        </is>
      </c>
      <c r="H1416" s="1" t="inlineStr">
        <is>
          <t>ООО "Амур Золото"</t>
        </is>
      </c>
      <c r="I1416" s="1" t="inlineStr">
        <is>
          <t>2708001686</t>
        </is>
      </c>
      <c r="J1416" s="1" t="inlineStr">
        <is>
          <t>ОТ №ЮГОК ПГУ 24-22</t>
        </is>
      </c>
      <c r="K1416" s="1" t="inlineStr">
        <is>
          <t>Использование (применение) средств индивидуальной защиты</t>
        </is>
      </c>
      <c r="L1416" s="1" t="inlineStr">
        <is>
          <t>04.10.2024</t>
        </is>
      </c>
      <c r="M1416" s="1" t="inlineStr">
        <is>
          <t>Успешно</t>
        </is>
      </c>
      <c r="N1416" s="1" t="inlineStr">
        <is>
          <t>17.10.2024</t>
        </is>
      </c>
      <c r="O1416" s="1" t="inlineStr"/>
      <c r="P1416" s="1" t="inlineStr"/>
      <c r="Q1416" s="1" t="inlineStr">
        <is>
          <t>Пользовательский интерфейс</t>
        </is>
      </c>
    </row>
    <row r="1417">
      <c r="B1417" s="1" t="inlineStr">
        <is>
          <t>82312005</t>
        </is>
      </c>
      <c r="C1417" s="1" t="inlineStr">
        <is>
          <t>6330469</t>
        </is>
      </c>
      <c r="D1417" t="inlineStr">
        <is>
          <t>работник 418</t>
        </is>
      </c>
      <c r="E1417" s="1" t="inlineStr">
        <is>
          <t>ОБЩЕСТВО С ОГРАНИЧЕННОЙ ОТВЕТСТВЕННОСТЬЮ "АМУР ЗОЛОТО"</t>
        </is>
      </c>
      <c r="F1417" s="1" t="inlineStr">
        <is>
          <t>2708001686</t>
        </is>
      </c>
      <c r="G1417" s="1" t="inlineStr">
        <is>
          <t>Машинист ТГМ</t>
        </is>
      </c>
      <c r="H1417" s="1" t="inlineStr">
        <is>
          <t>ООО "Амур Золото"</t>
        </is>
      </c>
      <c r="I1417" s="1" t="inlineStr">
        <is>
          <t>2708001686</t>
        </is>
      </c>
      <c r="J1417" s="1" t="inlineStr">
        <is>
          <t>ОТ №ЮГОК ПГУ 24-22</t>
        </is>
      </c>
      <c r="K141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417" s="1" t="inlineStr">
        <is>
          <t>04.10.2024</t>
        </is>
      </c>
      <c r="M1417" s="1" t="inlineStr">
        <is>
          <t>Успешно</t>
        </is>
      </c>
      <c r="N1417" s="1" t="inlineStr">
        <is>
          <t>17.10.2024</t>
        </is>
      </c>
      <c r="O1417" s="1" t="inlineStr"/>
      <c r="P1417" s="1" t="inlineStr"/>
      <c r="Q1417" s="1" t="inlineStr">
        <is>
          <t>Пользовательский интерфейс</t>
        </is>
      </c>
    </row>
    <row r="1418">
      <c r="B1418" s="1" t="inlineStr">
        <is>
          <t>82312006</t>
        </is>
      </c>
      <c r="C1418" s="1" t="inlineStr">
        <is>
          <t>6330469</t>
        </is>
      </c>
      <c r="D1418" t="inlineStr">
        <is>
          <t>работник 76</t>
        </is>
      </c>
      <c r="E1418" s="1" t="inlineStr">
        <is>
          <t>ОБЩЕСТВО С ОГРАНИЧЕННОЙ ОТВЕТСТВЕННОСТЬЮ "АМУР ЗОЛОТО"</t>
        </is>
      </c>
      <c r="F1418" s="1" t="inlineStr">
        <is>
          <t>2708001686</t>
        </is>
      </c>
      <c r="G1418" s="1" t="inlineStr">
        <is>
          <t>Монтажник ж/б и м/к</t>
        </is>
      </c>
      <c r="H1418" s="1" t="inlineStr">
        <is>
          <t>ООО "Амур Золото"</t>
        </is>
      </c>
      <c r="I1418" s="1" t="inlineStr">
        <is>
          <t>2708001686</t>
        </is>
      </c>
      <c r="J1418" s="1" t="inlineStr">
        <is>
          <t>ОТ №ЮГОК РСУ 24-03</t>
        </is>
      </c>
      <c r="K1418" s="1" t="inlineStr">
        <is>
          <t>Использование (применение) средств индивидуальной защиты</t>
        </is>
      </c>
      <c r="L1418" s="1" t="inlineStr">
        <is>
          <t>05.10.2024</t>
        </is>
      </c>
      <c r="M1418" s="1" t="inlineStr">
        <is>
          <t>Успешно</t>
        </is>
      </c>
      <c r="N1418" s="1" t="inlineStr">
        <is>
          <t>17.10.2024</t>
        </is>
      </c>
      <c r="O1418" s="1" t="inlineStr"/>
      <c r="P1418" s="1" t="inlineStr"/>
      <c r="Q1418" s="1" t="inlineStr">
        <is>
          <t>Пользовательский интерфейс</t>
        </is>
      </c>
    </row>
    <row r="1419">
      <c r="B1419" s="1" t="inlineStr">
        <is>
          <t>82312007</t>
        </is>
      </c>
      <c r="C1419" s="1" t="inlineStr">
        <is>
          <t>6330469</t>
        </is>
      </c>
      <c r="D1419" t="inlineStr">
        <is>
          <t>работник 76</t>
        </is>
      </c>
      <c r="E1419" s="1" t="inlineStr">
        <is>
          <t>ОБЩЕСТВО С ОГРАНИЧЕННОЙ ОТВЕТСТВЕННОСТЬЮ "АМУР ЗОЛОТО"</t>
        </is>
      </c>
      <c r="F1419" s="1" t="inlineStr">
        <is>
          <t>2708001686</t>
        </is>
      </c>
      <c r="G1419" s="1" t="inlineStr">
        <is>
          <t>Монтажник ж/б и м/к</t>
        </is>
      </c>
      <c r="H1419" s="1" t="inlineStr">
        <is>
          <t>ООО "Амур Золото"</t>
        </is>
      </c>
      <c r="I1419" s="1" t="inlineStr">
        <is>
          <t>2708001686</t>
        </is>
      </c>
      <c r="J1419" s="1" t="inlineStr">
        <is>
          <t>ОТ №ЮГОК РСУ 24-03</t>
        </is>
      </c>
      <c r="K141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419" s="1" t="inlineStr">
        <is>
          <t>05.10.2024</t>
        </is>
      </c>
      <c r="M1419" s="1" t="inlineStr">
        <is>
          <t>Успешно</t>
        </is>
      </c>
      <c r="N1419" s="1" t="inlineStr">
        <is>
          <t>17.10.2024</t>
        </is>
      </c>
      <c r="O1419" s="1" t="inlineStr"/>
      <c r="P1419" s="1" t="inlineStr"/>
      <c r="Q1419" s="1" t="inlineStr">
        <is>
          <t>Пользовательский интерфейс</t>
        </is>
      </c>
    </row>
    <row r="1420">
      <c r="B1420" s="1" t="inlineStr">
        <is>
          <t>82312008</t>
        </is>
      </c>
      <c r="C1420" s="1" t="inlineStr">
        <is>
          <t>6330469</t>
        </is>
      </c>
      <c r="D1420" t="inlineStr">
        <is>
          <t>работник 419</t>
        </is>
      </c>
      <c r="E1420" s="1" t="inlineStr">
        <is>
          <t>ОБЩЕСТВО С ОГРАНИЧЕННОЙ ОТВЕТСТВЕННОСТЬЮ "АМУР ЗОЛОТО"</t>
        </is>
      </c>
      <c r="F1420" s="1" t="inlineStr">
        <is>
          <t>2708001686</t>
        </is>
      </c>
      <c r="G1420" s="1" t="inlineStr">
        <is>
          <t>Плотник</t>
        </is>
      </c>
      <c r="H1420" s="1" t="inlineStr">
        <is>
          <t>ООО "Амур Золото"</t>
        </is>
      </c>
      <c r="I1420" s="1" t="inlineStr">
        <is>
          <t>2708001686</t>
        </is>
      </c>
      <c r="J1420" s="1" t="inlineStr">
        <is>
          <t>ОТ №ЮГОК РСУ 24-03</t>
        </is>
      </c>
      <c r="K1420" s="1" t="inlineStr">
        <is>
          <t>Использование (применение) средств индивидуальной защиты</t>
        </is>
      </c>
      <c r="L1420" s="1" t="inlineStr">
        <is>
          <t>05.10.2024</t>
        </is>
      </c>
      <c r="M1420" s="1" t="inlineStr">
        <is>
          <t>Успешно</t>
        </is>
      </c>
      <c r="N1420" s="1" t="inlineStr">
        <is>
          <t>17.10.2024</t>
        </is>
      </c>
      <c r="O1420" s="1" t="inlineStr"/>
      <c r="P1420" s="1" t="inlineStr"/>
      <c r="Q1420" s="1" t="inlineStr">
        <is>
          <t>Пользовательский интерфейс</t>
        </is>
      </c>
    </row>
    <row r="1421">
      <c r="B1421" s="1" t="inlineStr">
        <is>
          <t>82312009</t>
        </is>
      </c>
      <c r="C1421" s="1" t="inlineStr">
        <is>
          <t>6330469</t>
        </is>
      </c>
      <c r="D1421" t="inlineStr">
        <is>
          <t>работник 419</t>
        </is>
      </c>
      <c r="E1421" s="1" t="inlineStr">
        <is>
          <t>ОБЩЕСТВО С ОГРАНИЧЕННОЙ ОТВЕТСТВЕННОСТЬЮ "АМУР ЗОЛОТО"</t>
        </is>
      </c>
      <c r="F1421" s="1" t="inlineStr">
        <is>
          <t>2708001686</t>
        </is>
      </c>
      <c r="G1421" s="1" t="inlineStr">
        <is>
          <t>Плотник</t>
        </is>
      </c>
      <c r="H1421" s="1" t="inlineStr">
        <is>
          <t>ООО "Амур Золото"</t>
        </is>
      </c>
      <c r="I1421" s="1" t="inlineStr">
        <is>
          <t>2708001686</t>
        </is>
      </c>
      <c r="J1421" s="1" t="inlineStr">
        <is>
          <t>ОТ №ЮГОК РСУ 24-03</t>
        </is>
      </c>
      <c r="K142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421" s="1" t="inlineStr">
        <is>
          <t>05.10.2024</t>
        </is>
      </c>
      <c r="M1421" s="1" t="inlineStr">
        <is>
          <t>Успешно</t>
        </is>
      </c>
      <c r="N1421" s="1" t="inlineStr">
        <is>
          <t>17.10.2024</t>
        </is>
      </c>
      <c r="O1421" s="1" t="inlineStr"/>
      <c r="P1421" s="1" t="inlineStr"/>
      <c r="Q1421" s="1" t="inlineStr">
        <is>
          <t>Пользовательский интерфейс</t>
        </is>
      </c>
    </row>
    <row r="1422">
      <c r="B1422" s="1" t="inlineStr">
        <is>
          <t>82312010</t>
        </is>
      </c>
      <c r="C1422" s="1" t="inlineStr">
        <is>
          <t>6330469</t>
        </is>
      </c>
      <c r="D1422" t="inlineStr">
        <is>
          <t>работник 351</t>
        </is>
      </c>
      <c r="E1422" s="1" t="inlineStr">
        <is>
          <t>ОБЩЕСТВО С ОГРАНИЧЕННОЙ ОТВЕТСТВЕННОСТЬЮ "АМУР ЗОЛОТО"</t>
        </is>
      </c>
      <c r="F1422" s="1" t="inlineStr">
        <is>
          <t>2708001686</t>
        </is>
      </c>
      <c r="G1422" s="1" t="inlineStr">
        <is>
          <t>Кладовщик</t>
        </is>
      </c>
      <c r="H1422" s="1" t="inlineStr">
        <is>
          <t>ООО "Амур Золото"</t>
        </is>
      </c>
      <c r="I1422" s="1" t="inlineStr">
        <is>
          <t>2708001686</t>
        </is>
      </c>
      <c r="J1422" s="1" t="inlineStr">
        <is>
          <t>ОТ №ЮГОК СК 24-09</t>
        </is>
      </c>
      <c r="K1422" s="1" t="inlineStr">
        <is>
          <t>Использование (применение) средств индивидуальной защиты</t>
        </is>
      </c>
      <c r="L1422" s="1" t="inlineStr">
        <is>
          <t>16.09.2024</t>
        </is>
      </c>
      <c r="M1422" s="1" t="inlineStr">
        <is>
          <t>Успешно</t>
        </is>
      </c>
      <c r="N1422" s="1" t="inlineStr">
        <is>
          <t>17.10.2024</t>
        </is>
      </c>
      <c r="O1422" s="1" t="inlineStr"/>
      <c r="P1422" s="1" t="inlineStr"/>
      <c r="Q1422" s="1" t="inlineStr">
        <is>
          <t>Пользовательский интерфейс</t>
        </is>
      </c>
    </row>
    <row r="1423">
      <c r="B1423" s="1" t="inlineStr">
        <is>
          <t>82312011</t>
        </is>
      </c>
      <c r="C1423" s="1" t="inlineStr">
        <is>
          <t>6330469</t>
        </is>
      </c>
      <c r="D1423" t="inlineStr">
        <is>
          <t>работник 351</t>
        </is>
      </c>
      <c r="E1423" s="1" t="inlineStr">
        <is>
          <t>ОБЩЕСТВО С ОГРАНИЧЕННОЙ ОТВЕТСТВЕННОСТЬЮ "АМУР ЗОЛОТО"</t>
        </is>
      </c>
      <c r="F1423" s="1" t="inlineStr">
        <is>
          <t>2708001686</t>
        </is>
      </c>
      <c r="G1423" s="1" t="inlineStr">
        <is>
          <t>Кладовщик</t>
        </is>
      </c>
      <c r="H1423" s="1" t="inlineStr">
        <is>
          <t>ООО "Амур Золото"</t>
        </is>
      </c>
      <c r="I1423" s="1" t="inlineStr">
        <is>
          <t>2708001686</t>
        </is>
      </c>
      <c r="J1423" s="1" t="inlineStr">
        <is>
          <t>ОТ №ЮГОК СК 24-09</t>
        </is>
      </c>
      <c r="K142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423" s="1" t="inlineStr">
        <is>
          <t>16.09.2024</t>
        </is>
      </c>
      <c r="M1423" s="1" t="inlineStr">
        <is>
          <t>Успешно</t>
        </is>
      </c>
      <c r="N1423" s="1" t="inlineStr">
        <is>
          <t>17.10.2024</t>
        </is>
      </c>
      <c r="O1423" s="1" t="inlineStr"/>
      <c r="P1423" s="1" t="inlineStr"/>
      <c r="Q1423" s="1" t="inlineStr">
        <is>
          <t>Пользовательский интерфейс</t>
        </is>
      </c>
    </row>
    <row r="1424">
      <c r="B1424" s="1" t="inlineStr">
        <is>
          <t>82312012</t>
        </is>
      </c>
      <c r="C1424" s="1" t="inlineStr">
        <is>
          <t>6330469</t>
        </is>
      </c>
      <c r="D1424" t="inlineStr">
        <is>
          <t>работник 416</t>
        </is>
      </c>
      <c r="E1424" s="1" t="inlineStr">
        <is>
          <t>ОБЩЕСТВО С ОГРАНИЧЕННОЙ ОТВЕТСТВЕННОСТЬЮ "АМУР ЗОЛОТО"</t>
        </is>
      </c>
      <c r="F1424" s="1" t="inlineStr">
        <is>
          <t>2708001686</t>
        </is>
      </c>
      <c r="G1424" s="1" t="inlineStr">
        <is>
          <t>Повар</t>
        </is>
      </c>
      <c r="H1424" s="1" t="inlineStr">
        <is>
          <t>ООО "Амур Золото"</t>
        </is>
      </c>
      <c r="I1424" s="1" t="inlineStr">
        <is>
          <t>2708001686</t>
        </is>
      </c>
      <c r="J1424" s="1" t="inlineStr">
        <is>
          <t>ОТ №ЮГОК Столовая 24-03</t>
        </is>
      </c>
      <c r="K142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424" s="1" t="inlineStr">
        <is>
          <t>04.10.2024</t>
        </is>
      </c>
      <c r="M1424" s="1" t="inlineStr">
        <is>
          <t>Успешно</t>
        </is>
      </c>
      <c r="N1424" s="1" t="inlineStr">
        <is>
          <t>17.10.2024</t>
        </is>
      </c>
      <c r="O1424" s="1" t="inlineStr"/>
      <c r="P1424" s="1" t="inlineStr"/>
      <c r="Q1424" s="1" t="inlineStr">
        <is>
          <t>Пользовательский интерфейс</t>
        </is>
      </c>
    </row>
    <row r="1425">
      <c r="B1425" s="1" t="inlineStr">
        <is>
          <t>82312013</t>
        </is>
      </c>
      <c r="C1425" s="1" t="inlineStr">
        <is>
          <t>6330469</t>
        </is>
      </c>
      <c r="D1425" t="inlineStr">
        <is>
          <t>работник 420</t>
        </is>
      </c>
      <c r="E1425" s="1" t="inlineStr">
        <is>
          <t>ОБЩЕСТВО С ОГРАНИЧЕННОЙ ОТВЕТСТВЕННОСТЬЮ "АМУР ЗОЛОТО"</t>
        </is>
      </c>
      <c r="F1425" s="1" t="inlineStr">
        <is>
          <t>2708001686</t>
        </is>
      </c>
      <c r="G1425" s="1" t="inlineStr">
        <is>
          <t>Машинист двигателей внутреннего сгорания</t>
        </is>
      </c>
      <c r="H1425" s="1" t="inlineStr">
        <is>
          <t>ООО "Амур Золото"</t>
        </is>
      </c>
      <c r="I1425" s="1" t="inlineStr">
        <is>
          <t>2708001686</t>
        </is>
      </c>
      <c r="J1425" s="1" t="inlineStr">
        <is>
          <t>ОТ №ЮГОК ЭУ 24-23</t>
        </is>
      </c>
      <c r="K1425" s="1" t="inlineStr">
        <is>
          <t>Использование (применение) средств индивидуальной защиты</t>
        </is>
      </c>
      <c r="L1425" s="1" t="inlineStr">
        <is>
          <t>27.09.2024</t>
        </is>
      </c>
      <c r="M1425" s="1" t="inlineStr">
        <is>
          <t>Успешно</t>
        </is>
      </c>
      <c r="N1425" s="1" t="inlineStr">
        <is>
          <t>17.10.2024</t>
        </is>
      </c>
      <c r="O1425" s="1" t="inlineStr"/>
      <c r="P1425" s="1" t="inlineStr"/>
      <c r="Q1425" s="1" t="inlineStr">
        <is>
          <t>Пользовательский интерфейс</t>
        </is>
      </c>
    </row>
    <row r="1426">
      <c r="B1426" s="1" t="inlineStr">
        <is>
          <t>82312014</t>
        </is>
      </c>
      <c r="C1426" s="1" t="inlineStr">
        <is>
          <t>6330469</t>
        </is>
      </c>
      <c r="D1426" t="inlineStr">
        <is>
          <t>работник 420</t>
        </is>
      </c>
      <c r="E1426" s="1" t="inlineStr">
        <is>
          <t>ОБЩЕСТВО С ОГРАНИЧЕННОЙ ОТВЕТСТВЕННОСТЬЮ "АМУР ЗОЛОТО"</t>
        </is>
      </c>
      <c r="F1426" s="1" t="inlineStr">
        <is>
          <t>2708001686</t>
        </is>
      </c>
      <c r="G1426" s="1" t="inlineStr">
        <is>
          <t>Машинист двигателей внутреннего сгорания</t>
        </is>
      </c>
      <c r="H1426" s="1" t="inlineStr">
        <is>
          <t>ООО "Амур Золото"</t>
        </is>
      </c>
      <c r="I1426" s="1" t="inlineStr">
        <is>
          <t>2708001686</t>
        </is>
      </c>
      <c r="J1426" s="1" t="inlineStr">
        <is>
          <t>ОТ №ЮГОК ЭУ 24-23</t>
        </is>
      </c>
      <c r="K142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426" s="1" t="inlineStr">
        <is>
          <t>27.09.2024</t>
        </is>
      </c>
      <c r="M1426" s="1" t="inlineStr">
        <is>
          <t>Успешно</t>
        </is>
      </c>
      <c r="N1426" s="1" t="inlineStr">
        <is>
          <t>17.10.2024</t>
        </is>
      </c>
      <c r="O1426" s="1" t="inlineStr"/>
      <c r="P1426" s="1" t="inlineStr"/>
      <c r="Q1426" s="1" t="inlineStr">
        <is>
          <t>Пользовательский интерфейс</t>
        </is>
      </c>
    </row>
    <row r="1427">
      <c r="B1427" s="1" t="inlineStr">
        <is>
          <t>85344256</t>
        </is>
      </c>
      <c r="C1427" s="1" t="inlineStr">
        <is>
          <t>6554154</t>
        </is>
      </c>
      <c r="D1427" t="inlineStr">
        <is>
          <t>работник 81</t>
        </is>
      </c>
      <c r="E1427" s="1" t="inlineStr">
        <is>
          <t>ОБЩЕСТВО С ОГРАНИЧЕННОЙ ОТВЕТСТВЕННОСТЬЮ "АМУР ЗОЛОТО"</t>
        </is>
      </c>
      <c r="F1427" s="1" t="inlineStr">
        <is>
          <t>2708001686</t>
        </is>
      </c>
      <c r="G1427" s="1" t="inlineStr">
        <is>
          <t>Плотник</t>
        </is>
      </c>
      <c r="H1427" s="1" t="inlineStr">
        <is>
          <t>ООО "Амур Золото"</t>
        </is>
      </c>
      <c r="I1427" s="1" t="inlineStr">
        <is>
          <t>2708001686</t>
        </is>
      </c>
      <c r="J1427" s="1" t="inlineStr">
        <is>
          <t>ОТ ЮГОК РСУ 24-04</t>
        </is>
      </c>
      <c r="K1427" s="1" t="inlineStr">
        <is>
          <t>Использование (применение) средств индивидуальной защиты</t>
        </is>
      </c>
      <c r="L1427" s="1" t="inlineStr">
        <is>
          <t>26.10.2024</t>
        </is>
      </c>
      <c r="M1427" s="1" t="inlineStr">
        <is>
          <t>Успешно</t>
        </is>
      </c>
      <c r="N1427" s="1" t="inlineStr">
        <is>
          <t>02.11.2024</t>
        </is>
      </c>
      <c r="O1427" s="1" t="inlineStr"/>
      <c r="P1427" s="1" t="inlineStr"/>
      <c r="Q1427" s="1" t="inlineStr">
        <is>
          <t>Пользовательский интерфейс</t>
        </is>
      </c>
    </row>
    <row r="1428">
      <c r="B1428" s="1" t="inlineStr">
        <is>
          <t>85344257</t>
        </is>
      </c>
      <c r="C1428" s="1" t="inlineStr">
        <is>
          <t>6554154</t>
        </is>
      </c>
      <c r="D1428" t="inlineStr">
        <is>
          <t>работник 81</t>
        </is>
      </c>
      <c r="E1428" s="1" t="inlineStr">
        <is>
          <t>ОБЩЕСТВО С ОГРАНИЧЕННОЙ ОТВЕТСТВЕННОСТЬЮ "АМУР ЗОЛОТО"</t>
        </is>
      </c>
      <c r="F1428" s="1" t="inlineStr">
        <is>
          <t>2708001686</t>
        </is>
      </c>
      <c r="G1428" s="1" t="inlineStr">
        <is>
          <t>Плотник</t>
        </is>
      </c>
      <c r="H1428" s="1" t="inlineStr">
        <is>
          <t>ООО "Амур Золото"</t>
        </is>
      </c>
      <c r="I1428" s="1" t="inlineStr">
        <is>
          <t>2708001686</t>
        </is>
      </c>
      <c r="J1428" s="1" t="inlineStr">
        <is>
          <t>ОТ ЮГОК РСУ 24-04</t>
        </is>
      </c>
      <c r="K142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428" s="1" t="inlineStr">
        <is>
          <t>26.10.2024</t>
        </is>
      </c>
      <c r="M1428" s="1" t="inlineStr">
        <is>
          <t>Успешно</t>
        </is>
      </c>
      <c r="N1428" s="1" t="inlineStr">
        <is>
          <t>02.11.2024</t>
        </is>
      </c>
      <c r="O1428" s="1" t="inlineStr"/>
      <c r="P1428" s="1" t="inlineStr"/>
      <c r="Q1428" s="1" t="inlineStr">
        <is>
          <t>Пользовательский интерфейс</t>
        </is>
      </c>
    </row>
    <row r="1429">
      <c r="B1429" s="1" t="inlineStr">
        <is>
          <t>85344258</t>
        </is>
      </c>
      <c r="C1429" s="1" t="inlineStr">
        <is>
          <t>6554154</t>
        </is>
      </c>
      <c r="D1429" t="inlineStr">
        <is>
          <t>работник 421</t>
        </is>
      </c>
      <c r="E1429" s="1" t="inlineStr">
        <is>
          <t>ОБЩЕСТВО С ОГРАНИЧЕННОЙ ОТВЕТСТВЕННОСТЬЮ "АМУР ЗОЛОТО"</t>
        </is>
      </c>
      <c r="F1429" s="1" t="inlineStr">
        <is>
          <t>2708001686</t>
        </is>
      </c>
      <c r="G1429" s="1" t="inlineStr">
        <is>
          <t>Горнорабочий на маркшейдерских работах</t>
        </is>
      </c>
      <c r="H1429" s="1" t="inlineStr">
        <is>
          <t>ООО "Амур Золото"</t>
        </is>
      </c>
      <c r="I1429" s="1" t="inlineStr">
        <is>
          <t>2708001686</t>
        </is>
      </c>
      <c r="J1429" s="1" t="inlineStr">
        <is>
          <t>ОТ № ЮГОК ГМО 24-02</t>
        </is>
      </c>
      <c r="K1429" s="1" t="inlineStr">
        <is>
          <t>Использование (применение) средств индивидуальной защиты</t>
        </is>
      </c>
      <c r="L1429" s="1" t="inlineStr">
        <is>
          <t>14.10.2024</t>
        </is>
      </c>
      <c r="M1429" s="1" t="inlineStr">
        <is>
          <t>Успешно</t>
        </is>
      </c>
      <c r="N1429" s="1" t="inlineStr">
        <is>
          <t>02.11.2024</t>
        </is>
      </c>
      <c r="O1429" s="1" t="inlineStr"/>
      <c r="P1429" s="1" t="inlineStr"/>
      <c r="Q1429" s="1" t="inlineStr">
        <is>
          <t>Пользовательский интерфейс</t>
        </is>
      </c>
    </row>
    <row r="1430">
      <c r="B1430" s="1" t="inlineStr">
        <is>
          <t>85344259</t>
        </is>
      </c>
      <c r="C1430" s="1" t="inlineStr">
        <is>
          <t>6554154</t>
        </is>
      </c>
      <c r="D1430" t="inlineStr">
        <is>
          <t>работник 421</t>
        </is>
      </c>
      <c r="E1430" s="1" t="inlineStr">
        <is>
          <t>ОБЩЕСТВО С ОГРАНИЧЕННОЙ ОТВЕТСТВЕННОСТЬЮ "АМУР ЗОЛОТО"</t>
        </is>
      </c>
      <c r="F1430" s="1" t="inlineStr">
        <is>
          <t>2708001686</t>
        </is>
      </c>
      <c r="G1430" s="1" t="inlineStr">
        <is>
          <t>Горнорабочий на маркшейдерских работах</t>
        </is>
      </c>
      <c r="H1430" s="1" t="inlineStr">
        <is>
          <t>ООО "Амур Золото"</t>
        </is>
      </c>
      <c r="I1430" s="1" t="inlineStr">
        <is>
          <t>2708001686</t>
        </is>
      </c>
      <c r="J1430" s="1" t="inlineStr">
        <is>
          <t>ОТ № ЮГОК ГМО 24-02</t>
        </is>
      </c>
      <c r="K143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430" s="1" t="inlineStr">
        <is>
          <t>14.10.2024</t>
        </is>
      </c>
      <c r="M1430" s="1" t="inlineStr">
        <is>
          <t>Успешно</t>
        </is>
      </c>
      <c r="N1430" s="1" t="inlineStr">
        <is>
          <t>02.11.2024</t>
        </is>
      </c>
      <c r="O1430" s="1" t="inlineStr"/>
      <c r="P1430" s="1" t="inlineStr"/>
      <c r="Q1430" s="1" t="inlineStr">
        <is>
          <t>Пользовательский интерфейс</t>
        </is>
      </c>
    </row>
    <row r="1431">
      <c r="B1431" s="1" t="inlineStr">
        <is>
          <t>85344260</t>
        </is>
      </c>
      <c r="C1431" s="1" t="inlineStr">
        <is>
          <t>6554154</t>
        </is>
      </c>
      <c r="D1431" t="inlineStr">
        <is>
          <t>работник 422</t>
        </is>
      </c>
      <c r="E1431" s="1" t="inlineStr">
        <is>
          <t>ОБЩЕСТВО С ОГРАНИЧЕННОЙ ОТВЕТСТВЕННОСТЬЮ "АМУР ЗОЛОТО"</t>
        </is>
      </c>
      <c r="F1431" s="1" t="inlineStr">
        <is>
          <t>2708001686</t>
        </is>
      </c>
      <c r="G1431" s="1" t="inlineStr">
        <is>
          <t>Горнорабочий на геологических работах</t>
        </is>
      </c>
      <c r="H1431" s="1" t="inlineStr">
        <is>
          <t>ООО "Амур Золото"</t>
        </is>
      </c>
      <c r="I1431" s="1" t="inlineStr">
        <is>
          <t>2708001686</t>
        </is>
      </c>
      <c r="J1431" s="1" t="inlineStr">
        <is>
          <t>ОТ № ЮГОК ГМО 24-03</t>
        </is>
      </c>
      <c r="K1431" s="1" t="inlineStr">
        <is>
          <t>Использование (применение) средств индивидуальной защиты</t>
        </is>
      </c>
      <c r="L1431" s="1" t="inlineStr">
        <is>
          <t>19.10.2024</t>
        </is>
      </c>
      <c r="M1431" s="1" t="inlineStr">
        <is>
          <t>Успешно</t>
        </is>
      </c>
      <c r="N1431" s="1" t="inlineStr">
        <is>
          <t>02.11.2024</t>
        </is>
      </c>
      <c r="O1431" s="1" t="inlineStr"/>
      <c r="P1431" s="1" t="inlineStr"/>
      <c r="Q1431" s="1" t="inlineStr">
        <is>
          <t>Пользовательский интерфейс</t>
        </is>
      </c>
    </row>
    <row r="1432">
      <c r="B1432" s="1" t="inlineStr">
        <is>
          <t>85344261</t>
        </is>
      </c>
      <c r="C1432" s="1" t="inlineStr">
        <is>
          <t>6554154</t>
        </is>
      </c>
      <c r="D1432" t="inlineStr">
        <is>
          <t>работник 422</t>
        </is>
      </c>
      <c r="E1432" s="1" t="inlineStr">
        <is>
          <t>ОБЩЕСТВО С ОГРАНИЧЕННОЙ ОТВЕТСТВЕННОСТЬЮ "АМУР ЗОЛОТО"</t>
        </is>
      </c>
      <c r="F1432" s="1" t="inlineStr">
        <is>
          <t>2708001686</t>
        </is>
      </c>
      <c r="G1432" s="1" t="inlineStr">
        <is>
          <t>Горнорабочий на геологических работах</t>
        </is>
      </c>
      <c r="H1432" s="1" t="inlineStr">
        <is>
          <t>ООО "Амур Золото"</t>
        </is>
      </c>
      <c r="I1432" s="1" t="inlineStr">
        <is>
          <t>2708001686</t>
        </is>
      </c>
      <c r="J1432" s="1" t="inlineStr">
        <is>
          <t>ОТ № ЮГОК ГМО 24-03</t>
        </is>
      </c>
      <c r="K143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432" s="1" t="inlineStr">
        <is>
          <t>19.10.2024</t>
        </is>
      </c>
      <c r="M1432" s="1" t="inlineStr">
        <is>
          <t>Успешно</t>
        </is>
      </c>
      <c r="N1432" s="1" t="inlineStr">
        <is>
          <t>02.11.2024</t>
        </is>
      </c>
      <c r="O1432" s="1" t="inlineStr"/>
      <c r="P1432" s="1" t="inlineStr"/>
      <c r="Q1432" s="1" t="inlineStr">
        <is>
          <t>Пользовательский интерфейс</t>
        </is>
      </c>
    </row>
    <row r="1433">
      <c r="B1433" s="1" t="inlineStr">
        <is>
          <t>85344262</t>
        </is>
      </c>
      <c r="C1433" s="1" t="inlineStr">
        <is>
          <t>6554154</t>
        </is>
      </c>
      <c r="D1433" t="inlineStr">
        <is>
          <t>работник 423</t>
        </is>
      </c>
      <c r="E1433" s="1" t="inlineStr">
        <is>
          <t>ОБЩЕСТВО С ОГРАНИЧЕННОЙ ОТВЕТСТВЕННОСТЬЮ "АМУР ЗОЛОТО"</t>
        </is>
      </c>
      <c r="F1433" s="1" t="inlineStr">
        <is>
          <t>2708001686</t>
        </is>
      </c>
      <c r="G1433" s="1" t="inlineStr">
        <is>
          <t>Горнорабочий на маркшейдерских работах</t>
        </is>
      </c>
      <c r="H1433" s="1" t="inlineStr">
        <is>
          <t>ООО "Амур Золото"</t>
        </is>
      </c>
      <c r="I1433" s="1" t="inlineStr">
        <is>
          <t>2708001686</t>
        </is>
      </c>
      <c r="J1433" s="1" t="inlineStr">
        <is>
          <t>ОТ № ЮГОК ГМО 24-04</t>
        </is>
      </c>
      <c r="K1433" s="1" t="inlineStr">
        <is>
          <t>Использование (применение) средств индивидуальной защиты</t>
        </is>
      </c>
      <c r="L1433" s="1" t="inlineStr">
        <is>
          <t>26.10.2024</t>
        </is>
      </c>
      <c r="M1433" s="1" t="inlineStr">
        <is>
          <t>Успешно</t>
        </is>
      </c>
      <c r="N1433" s="1" t="inlineStr">
        <is>
          <t>02.11.2024</t>
        </is>
      </c>
      <c r="O1433" s="1" t="inlineStr"/>
      <c r="P1433" s="1" t="inlineStr"/>
      <c r="Q1433" s="1" t="inlineStr">
        <is>
          <t>Пользовательский интерфейс</t>
        </is>
      </c>
    </row>
    <row r="1434">
      <c r="B1434" s="1" t="inlineStr">
        <is>
          <t>85344263</t>
        </is>
      </c>
      <c r="C1434" s="1" t="inlineStr">
        <is>
          <t>6554154</t>
        </is>
      </c>
      <c r="D1434" t="inlineStr">
        <is>
          <t>работник 423</t>
        </is>
      </c>
      <c r="E1434" s="1" t="inlineStr">
        <is>
          <t>ОБЩЕСТВО С ОГРАНИЧЕННОЙ ОТВЕТСТВЕННОСТЬЮ "АМУР ЗОЛОТО"</t>
        </is>
      </c>
      <c r="F1434" s="1" t="inlineStr">
        <is>
          <t>2708001686</t>
        </is>
      </c>
      <c r="G1434" s="1" t="inlineStr">
        <is>
          <t>Горнорабочий на маркшейдерских работах</t>
        </is>
      </c>
      <c r="H1434" s="1" t="inlineStr">
        <is>
          <t>ООО "Амур Золото"</t>
        </is>
      </c>
      <c r="I1434" s="1" t="inlineStr">
        <is>
          <t>2708001686</t>
        </is>
      </c>
      <c r="J1434" s="1" t="inlineStr">
        <is>
          <t>ОТ № ЮГОК ГМО 24-04</t>
        </is>
      </c>
      <c r="K143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434" s="1" t="inlineStr">
        <is>
          <t>26.10.2024</t>
        </is>
      </c>
      <c r="M1434" s="1" t="inlineStr">
        <is>
          <t>Успешно</t>
        </is>
      </c>
      <c r="N1434" s="1" t="inlineStr">
        <is>
          <t>02.11.2024</t>
        </is>
      </c>
      <c r="O1434" s="1" t="inlineStr"/>
      <c r="P1434" s="1" t="inlineStr"/>
      <c r="Q1434" s="1" t="inlineStr">
        <is>
          <t>Пользовательский интерфейс</t>
        </is>
      </c>
    </row>
    <row r="1435">
      <c r="B1435" s="1" t="inlineStr">
        <is>
          <t>85344264</t>
        </is>
      </c>
      <c r="C1435" s="1" t="inlineStr">
        <is>
          <t>6554154</t>
        </is>
      </c>
      <c r="D1435" t="inlineStr">
        <is>
          <t>работник 424</t>
        </is>
      </c>
      <c r="E1435" s="1" t="inlineStr">
        <is>
          <t>ОБЩЕСТВО С ОГРАНИЧЕННОЙ ОТВЕТСТВЕННОСТЬЮ "АМУР ЗОЛОТО"</t>
        </is>
      </c>
      <c r="F1435" s="1" t="inlineStr">
        <is>
          <t>2708001686</t>
        </is>
      </c>
      <c r="G1435" s="1" t="inlineStr">
        <is>
          <t>Аппаратчик-гидрометаллург</t>
        </is>
      </c>
      <c r="H1435" s="1" t="inlineStr">
        <is>
          <t>ООО "Амур Золото"</t>
        </is>
      </c>
      <c r="I1435" s="1" t="inlineStr">
        <is>
          <t>2708001686</t>
        </is>
      </c>
      <c r="J1435" s="1" t="inlineStr">
        <is>
          <t>ОТ № ЮГОК ЗИОФ 24-31</t>
        </is>
      </c>
      <c r="K1435" s="1" t="inlineStr">
        <is>
          <t>Использование (применение) средств индивидуальной защиты</t>
        </is>
      </c>
      <c r="L1435" s="1" t="inlineStr">
        <is>
          <t>20.10.2024</t>
        </is>
      </c>
      <c r="M1435" s="1" t="inlineStr">
        <is>
          <t>Успешно</t>
        </is>
      </c>
      <c r="N1435" s="1" t="inlineStr">
        <is>
          <t>02.11.2024</t>
        </is>
      </c>
      <c r="O1435" s="1" t="inlineStr"/>
      <c r="P1435" s="1" t="inlineStr"/>
      <c r="Q1435" s="1" t="inlineStr">
        <is>
          <t>Пользовательский интерфейс</t>
        </is>
      </c>
    </row>
    <row r="1436">
      <c r="B1436" s="1" t="inlineStr">
        <is>
          <t>85344265</t>
        </is>
      </c>
      <c r="C1436" s="1" t="inlineStr">
        <is>
          <t>6554154</t>
        </is>
      </c>
      <c r="D1436" t="inlineStr">
        <is>
          <t>работник 424</t>
        </is>
      </c>
      <c r="E1436" s="1" t="inlineStr">
        <is>
          <t>ОБЩЕСТВО С ОГРАНИЧЕННОЙ ОТВЕТСТВЕННОСТЬЮ "АМУР ЗОЛОТО"</t>
        </is>
      </c>
      <c r="F1436" s="1" t="inlineStr">
        <is>
          <t>2708001686</t>
        </is>
      </c>
      <c r="G1436" s="1" t="inlineStr">
        <is>
          <t>Аппаратчик-гидрометаллург</t>
        </is>
      </c>
      <c r="H1436" s="1" t="inlineStr">
        <is>
          <t>ООО "Амур Золото"</t>
        </is>
      </c>
      <c r="I1436" s="1" t="inlineStr">
        <is>
          <t>2708001686</t>
        </is>
      </c>
      <c r="J1436" s="1" t="inlineStr">
        <is>
          <t>ОТ № ЮГОК ЗИОФ 24-31</t>
        </is>
      </c>
      <c r="K143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436" s="1" t="inlineStr">
        <is>
          <t>20.10.2024</t>
        </is>
      </c>
      <c r="M1436" s="1" t="inlineStr">
        <is>
          <t>Успешно</t>
        </is>
      </c>
      <c r="N1436" s="1" t="inlineStr">
        <is>
          <t>02.11.2024</t>
        </is>
      </c>
      <c r="O1436" s="1" t="inlineStr"/>
      <c r="P1436" s="1" t="inlineStr"/>
      <c r="Q1436" s="1" t="inlineStr">
        <is>
          <t>Пользовательский интерфейс</t>
        </is>
      </c>
    </row>
    <row r="1437">
      <c r="B1437" s="1" t="inlineStr">
        <is>
          <t>85344266</t>
        </is>
      </c>
      <c r="C1437" s="1" t="inlineStr">
        <is>
          <t>6554154</t>
        </is>
      </c>
      <c r="D1437" t="inlineStr">
        <is>
          <t>работник 425</t>
        </is>
      </c>
      <c r="E1437" s="1" t="inlineStr">
        <is>
          <t>ОБЩЕСТВО С ОГРАНИЧЕННОЙ ОТВЕТСТВЕННОСТЬЮ "АМУР ЗОЛОТО"</t>
        </is>
      </c>
      <c r="F1437" s="1" t="inlineStr">
        <is>
          <t>2708001686</t>
        </is>
      </c>
      <c r="G1437" s="1" t="inlineStr">
        <is>
          <t>Слесарь по ремонту обогатительного оборудования</t>
        </is>
      </c>
      <c r="H1437" s="1" t="inlineStr">
        <is>
          <t>ООО "Амур Золото"</t>
        </is>
      </c>
      <c r="I1437" s="1" t="inlineStr">
        <is>
          <t>2708001686</t>
        </is>
      </c>
      <c r="J1437" s="1" t="inlineStr">
        <is>
          <t>ОТ № ЮГОК ЗИОФ 24-32</t>
        </is>
      </c>
      <c r="K1437" s="1" t="inlineStr">
        <is>
          <t>Использование (применение) средств индивидуальной защиты</t>
        </is>
      </c>
      <c r="L1437" s="1" t="inlineStr">
        <is>
          <t>20.10.2024</t>
        </is>
      </c>
      <c r="M1437" s="1" t="inlineStr">
        <is>
          <t>Успешно</t>
        </is>
      </c>
      <c r="N1437" s="1" t="inlineStr">
        <is>
          <t>02.11.2024</t>
        </is>
      </c>
      <c r="O1437" s="1" t="inlineStr"/>
      <c r="P1437" s="1" t="inlineStr"/>
      <c r="Q1437" s="1" t="inlineStr">
        <is>
          <t>Пользовательский интерфейс</t>
        </is>
      </c>
    </row>
    <row r="1438">
      <c r="B1438" s="1" t="inlineStr">
        <is>
          <t>85344267</t>
        </is>
      </c>
      <c r="C1438" s="1" t="inlineStr">
        <is>
          <t>6554154</t>
        </is>
      </c>
      <c r="D1438" t="inlineStr">
        <is>
          <t>работник 425</t>
        </is>
      </c>
      <c r="E1438" s="1" t="inlineStr">
        <is>
          <t>ОБЩЕСТВО С ОГРАНИЧЕННОЙ ОТВЕТСТВЕННОСТЬЮ "АМУР ЗОЛОТО"</t>
        </is>
      </c>
      <c r="F1438" s="1" t="inlineStr">
        <is>
          <t>2708001686</t>
        </is>
      </c>
      <c r="G1438" s="1" t="inlineStr">
        <is>
          <t>Слесарь по ремонту обогатительного оборудования</t>
        </is>
      </c>
      <c r="H1438" s="1" t="inlineStr">
        <is>
          <t>ООО "Амур Золото"</t>
        </is>
      </c>
      <c r="I1438" s="1" t="inlineStr">
        <is>
          <t>2708001686</t>
        </is>
      </c>
      <c r="J1438" s="1" t="inlineStr">
        <is>
          <t>ОТ № ЮГОК ЗИОФ 24-32</t>
        </is>
      </c>
      <c r="K143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438" s="1" t="inlineStr">
        <is>
          <t>20.10.2024</t>
        </is>
      </c>
      <c r="M1438" s="1" t="inlineStr">
        <is>
          <t>Успешно</t>
        </is>
      </c>
      <c r="N1438" s="1" t="inlineStr">
        <is>
          <t>02.11.2024</t>
        </is>
      </c>
      <c r="O1438" s="1" t="inlineStr"/>
      <c r="P1438" s="1" t="inlineStr"/>
      <c r="Q1438" s="1" t="inlineStr">
        <is>
          <t>Пользовательский интерфейс</t>
        </is>
      </c>
    </row>
    <row r="1439">
      <c r="B1439" s="1" t="inlineStr">
        <is>
          <t>85344268</t>
        </is>
      </c>
      <c r="C1439" s="1" t="inlineStr">
        <is>
          <t>6554154</t>
        </is>
      </c>
      <c r="D1439" t="inlineStr">
        <is>
          <t>работник 32</t>
        </is>
      </c>
      <c r="E1439" s="1" t="inlineStr">
        <is>
          <t>ОБЩЕСТВО С ОГРАНИЧЕННОЙ ОТВЕТСТВЕННОСТЬЮ "АМУР ЗОЛОТО"</t>
        </is>
      </c>
      <c r="F1439" s="1" t="inlineStr">
        <is>
          <t>2708001686</t>
        </is>
      </c>
      <c r="G1439" s="1" t="inlineStr">
        <is>
          <t>Электромонтер по ремонту и обслуживанию электрооборудования</t>
        </is>
      </c>
      <c r="H1439" s="1" t="inlineStr">
        <is>
          <t>ООО "Амур Золото"</t>
        </is>
      </c>
      <c r="I1439" s="1" t="inlineStr">
        <is>
          <t>2708001686</t>
        </is>
      </c>
      <c r="J1439" s="1" t="inlineStr">
        <is>
          <t>ОТ № ЮГОК ЗИОФ 24-33</t>
        </is>
      </c>
      <c r="K1439" s="1" t="inlineStr">
        <is>
          <t>Использование (применение) средств индивидуальной защиты</t>
        </is>
      </c>
      <c r="L1439" s="1" t="inlineStr">
        <is>
          <t>25.10.2024</t>
        </is>
      </c>
      <c r="M1439" s="1" t="inlineStr">
        <is>
          <t>Успешно</t>
        </is>
      </c>
      <c r="N1439" s="1" t="inlineStr">
        <is>
          <t>02.11.2024</t>
        </is>
      </c>
      <c r="O1439" s="1" t="inlineStr"/>
      <c r="P1439" s="1" t="inlineStr"/>
      <c r="Q1439" s="1" t="inlineStr">
        <is>
          <t>Пользовательский интерфейс</t>
        </is>
      </c>
    </row>
    <row r="1440">
      <c r="B1440" s="1" t="inlineStr">
        <is>
          <t>85344269</t>
        </is>
      </c>
      <c r="C1440" s="1" t="inlineStr">
        <is>
          <t>6554154</t>
        </is>
      </c>
      <c r="D1440" t="inlineStr">
        <is>
          <t>работник 32</t>
        </is>
      </c>
      <c r="E1440" s="1" t="inlineStr">
        <is>
          <t>ОБЩЕСТВО С ОГРАНИЧЕННОЙ ОТВЕТСТВЕННОСТЬЮ "АМУР ЗОЛОТО"</t>
        </is>
      </c>
      <c r="F1440" s="1" t="inlineStr">
        <is>
          <t>2708001686</t>
        </is>
      </c>
      <c r="G1440" s="1" t="inlineStr">
        <is>
          <t>Электромонтер по ремонту и обслуживанию электрооборудования</t>
        </is>
      </c>
      <c r="H1440" s="1" t="inlineStr">
        <is>
          <t>ООО "Амур Золото"</t>
        </is>
      </c>
      <c r="I1440" s="1" t="inlineStr">
        <is>
          <t>2708001686</t>
        </is>
      </c>
      <c r="J1440" s="1" t="inlineStr">
        <is>
          <t>ОТ № ЮГОК ЗИОФ 24-33</t>
        </is>
      </c>
      <c r="K144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440" s="1" t="inlineStr">
        <is>
          <t>25.10.2024</t>
        </is>
      </c>
      <c r="M1440" s="1" t="inlineStr">
        <is>
          <t>Успешно</t>
        </is>
      </c>
      <c r="N1440" s="1" t="inlineStr">
        <is>
          <t>02.11.2024</t>
        </is>
      </c>
      <c r="O1440" s="1" t="inlineStr"/>
      <c r="P1440" s="1" t="inlineStr"/>
      <c r="Q1440" s="1" t="inlineStr">
        <is>
          <t>Пользовательский интерфейс</t>
        </is>
      </c>
    </row>
    <row r="1441">
      <c r="B1441" s="1" t="inlineStr">
        <is>
          <t>85344270</t>
        </is>
      </c>
      <c r="C1441" s="1" t="inlineStr">
        <is>
          <t>6554154</t>
        </is>
      </c>
      <c r="D1441" t="inlineStr">
        <is>
          <t>работник 426</t>
        </is>
      </c>
      <c r="E1441" s="1" t="inlineStr">
        <is>
          <t>ОБЩЕСТВО С ОГРАНИЧЕННОЙ ОТВЕТСТВЕННОСТЬЮ "АМУР ЗОЛОТО"</t>
        </is>
      </c>
      <c r="F1441" s="1" t="inlineStr">
        <is>
          <t>2708001686</t>
        </is>
      </c>
      <c r="G1441" s="1" t="inlineStr">
        <is>
          <t>Дробильщик</t>
        </is>
      </c>
      <c r="H1441" s="1" t="inlineStr">
        <is>
          <t>ООО "Амур Золото"</t>
        </is>
      </c>
      <c r="I1441" s="1" t="inlineStr">
        <is>
          <t>2708001686</t>
        </is>
      </c>
      <c r="J1441" s="1" t="inlineStr">
        <is>
          <t>ОТ № ЮГОК ЗИОФ 24-33</t>
        </is>
      </c>
      <c r="K1441" s="1" t="inlineStr">
        <is>
          <t>Использование (применение) средств индивидуальной защиты</t>
        </is>
      </c>
      <c r="L1441" s="1" t="inlineStr">
        <is>
          <t>25.10.2024</t>
        </is>
      </c>
      <c r="M1441" s="1" t="inlineStr">
        <is>
          <t>Успешно</t>
        </is>
      </c>
      <c r="N1441" s="1" t="inlineStr">
        <is>
          <t>02.11.2024</t>
        </is>
      </c>
      <c r="O1441" s="1" t="inlineStr"/>
      <c r="P1441" s="1" t="inlineStr"/>
      <c r="Q1441" s="1" t="inlineStr">
        <is>
          <t>Пользовательский интерфейс</t>
        </is>
      </c>
    </row>
    <row r="1442">
      <c r="B1442" s="1" t="inlineStr">
        <is>
          <t>85344271</t>
        </is>
      </c>
      <c r="C1442" s="1" t="inlineStr">
        <is>
          <t>6554154</t>
        </is>
      </c>
      <c r="D1442" t="inlineStr">
        <is>
          <t>работник 426</t>
        </is>
      </c>
      <c r="E1442" s="1" t="inlineStr">
        <is>
          <t>ОБЩЕСТВО С ОГРАНИЧЕННОЙ ОТВЕТСТВЕННОСТЬЮ "АМУР ЗОЛОТО"</t>
        </is>
      </c>
      <c r="F1442" s="1" t="inlineStr">
        <is>
          <t>2708001686</t>
        </is>
      </c>
      <c r="G1442" s="1" t="inlineStr">
        <is>
          <t>Дробильщик</t>
        </is>
      </c>
      <c r="H1442" s="1" t="inlineStr">
        <is>
          <t>ООО "Амур Золото"</t>
        </is>
      </c>
      <c r="I1442" s="1" t="inlineStr">
        <is>
          <t>2708001686</t>
        </is>
      </c>
      <c r="J1442" s="1" t="inlineStr">
        <is>
          <t>ОТ № ЮГОК ЗИОФ 24-33</t>
        </is>
      </c>
      <c r="K144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442" s="1" t="inlineStr">
        <is>
          <t>25.10.2024</t>
        </is>
      </c>
      <c r="M1442" s="1" t="inlineStr">
        <is>
          <t>Успешно</t>
        </is>
      </c>
      <c r="N1442" s="1" t="inlineStr">
        <is>
          <t>02.11.2024</t>
        </is>
      </c>
      <c r="O1442" s="1" t="inlineStr"/>
      <c r="P1442" s="1" t="inlineStr"/>
      <c r="Q1442" s="1" t="inlineStr">
        <is>
          <t>Пользовательский интерфейс</t>
        </is>
      </c>
    </row>
    <row r="1443">
      <c r="B1443" s="1" t="inlineStr">
        <is>
          <t>85344272</t>
        </is>
      </c>
      <c r="C1443" s="1" t="inlineStr">
        <is>
          <t>6554154</t>
        </is>
      </c>
      <c r="D1443" t="inlineStr">
        <is>
          <t>работник 427</t>
        </is>
      </c>
      <c r="E1443" s="1" t="inlineStr">
        <is>
          <t>ОБЩЕСТВО С ОГРАНИЧЕННОЙ ОТВЕТСТВЕННОСТЬЮ "АМУР ЗОЛОТО"</t>
        </is>
      </c>
      <c r="F1443" s="1" t="inlineStr">
        <is>
          <t>2708001686</t>
        </is>
      </c>
      <c r="G1443" s="1" t="inlineStr">
        <is>
          <t>Аппаратчик-гидрометаллург</t>
        </is>
      </c>
      <c r="H1443" s="1" t="inlineStr">
        <is>
          <t>ООО "Амур Золото"</t>
        </is>
      </c>
      <c r="I1443" s="1" t="inlineStr">
        <is>
          <t>2708001686</t>
        </is>
      </c>
      <c r="J1443" s="1" t="inlineStr">
        <is>
          <t>ОТ № ЮГОК ЗИОФ 24-33</t>
        </is>
      </c>
      <c r="K1443" s="1" t="inlineStr">
        <is>
          <t>Использование (применение) средств индивидуальной защиты</t>
        </is>
      </c>
      <c r="L1443" s="1" t="inlineStr">
        <is>
          <t>25.10.2024</t>
        </is>
      </c>
      <c r="M1443" s="1" t="inlineStr">
        <is>
          <t>Успешно</t>
        </is>
      </c>
      <c r="N1443" s="1" t="inlineStr">
        <is>
          <t>02.11.2024</t>
        </is>
      </c>
      <c r="O1443" s="1" t="inlineStr"/>
      <c r="P1443" s="1" t="inlineStr"/>
      <c r="Q1443" s="1" t="inlineStr">
        <is>
          <t>Пользовательский интерфейс</t>
        </is>
      </c>
    </row>
    <row r="1444">
      <c r="B1444" s="1" t="inlineStr">
        <is>
          <t>85344273</t>
        </is>
      </c>
      <c r="C1444" s="1" t="inlineStr">
        <is>
          <t>6554154</t>
        </is>
      </c>
      <c r="D1444" t="inlineStr">
        <is>
          <t>работник 427</t>
        </is>
      </c>
      <c r="E1444" s="1" t="inlineStr">
        <is>
          <t>ОБЩЕСТВО С ОГРАНИЧЕННОЙ ОТВЕТСТВЕННОСТЬЮ "АМУР ЗОЛОТО"</t>
        </is>
      </c>
      <c r="F1444" s="1" t="inlineStr">
        <is>
          <t>2708001686</t>
        </is>
      </c>
      <c r="G1444" s="1" t="inlineStr">
        <is>
          <t>Аппаратчик-гидрометаллург</t>
        </is>
      </c>
      <c r="H1444" s="1" t="inlineStr">
        <is>
          <t>ООО "Амур Золото"</t>
        </is>
      </c>
      <c r="I1444" s="1" t="inlineStr">
        <is>
          <t>2708001686</t>
        </is>
      </c>
      <c r="J1444" s="1" t="inlineStr">
        <is>
          <t>ОТ № ЮГОК ЗИОФ 24-33</t>
        </is>
      </c>
      <c r="K144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444" s="1" t="inlineStr">
        <is>
          <t>25.10.2024</t>
        </is>
      </c>
      <c r="M1444" s="1" t="inlineStr">
        <is>
          <t>Успешно</t>
        </is>
      </c>
      <c r="N1444" s="1" t="inlineStr">
        <is>
          <t>02.11.2024</t>
        </is>
      </c>
      <c r="O1444" s="1" t="inlineStr"/>
      <c r="P1444" s="1" t="inlineStr"/>
      <c r="Q1444" s="1" t="inlineStr">
        <is>
          <t>Пользовательский интерфейс</t>
        </is>
      </c>
    </row>
    <row r="1445">
      <c r="B1445" s="1" t="inlineStr">
        <is>
          <t>85344274</t>
        </is>
      </c>
      <c r="C1445" s="1" t="inlineStr">
        <is>
          <t>6554154</t>
        </is>
      </c>
      <c r="D1445" t="inlineStr">
        <is>
          <t>работник 428</t>
        </is>
      </c>
      <c r="E1445" s="1" t="inlineStr">
        <is>
          <t>ОБЩЕСТВО С ОГРАНИЧЕННОЙ ОТВЕТСТВЕННОСТЬЮ "АМУР ЗОЛОТО"</t>
        </is>
      </c>
      <c r="F1445" s="1" t="inlineStr">
        <is>
          <t>2708001686</t>
        </is>
      </c>
      <c r="G1445" s="1" t="inlineStr">
        <is>
          <t>Плавильщик</t>
        </is>
      </c>
      <c r="H1445" s="1" t="inlineStr">
        <is>
          <t>ООО "Амур Золото"</t>
        </is>
      </c>
      <c r="I1445" s="1" t="inlineStr">
        <is>
          <t>2708001686</t>
        </is>
      </c>
      <c r="J1445" s="1" t="inlineStr">
        <is>
          <t>ОТ № ЮГОК ЗИОФ 24-33</t>
        </is>
      </c>
      <c r="K1445" s="1" t="inlineStr">
        <is>
          <t>Использование (применение) средств индивидуальной защиты</t>
        </is>
      </c>
      <c r="L1445" s="1" t="inlineStr">
        <is>
          <t>25.10.2024</t>
        </is>
      </c>
      <c r="M1445" s="1" t="inlineStr">
        <is>
          <t>Успешно</t>
        </is>
      </c>
      <c r="N1445" s="1" t="inlineStr">
        <is>
          <t>02.11.2024</t>
        </is>
      </c>
      <c r="O1445" s="1" t="inlineStr"/>
      <c r="P1445" s="1" t="inlineStr"/>
      <c r="Q1445" s="1" t="inlineStr">
        <is>
          <t>Пользовательский интерфейс</t>
        </is>
      </c>
    </row>
    <row r="1446">
      <c r="B1446" s="1" t="inlineStr">
        <is>
          <t>85344275</t>
        </is>
      </c>
      <c r="C1446" s="1" t="inlineStr">
        <is>
          <t>6554154</t>
        </is>
      </c>
      <c r="D1446" t="inlineStr">
        <is>
          <t>работник 428</t>
        </is>
      </c>
      <c r="E1446" s="1" t="inlineStr">
        <is>
          <t>ОБЩЕСТВО С ОГРАНИЧЕННОЙ ОТВЕТСТВЕННОСТЬЮ "АМУР ЗОЛОТО"</t>
        </is>
      </c>
      <c r="F1446" s="1" t="inlineStr">
        <is>
          <t>2708001686</t>
        </is>
      </c>
      <c r="G1446" s="1" t="inlineStr">
        <is>
          <t>Плавильщик</t>
        </is>
      </c>
      <c r="H1446" s="1" t="inlineStr">
        <is>
          <t>ООО "Амур Золото"</t>
        </is>
      </c>
      <c r="I1446" s="1" t="inlineStr">
        <is>
          <t>2708001686</t>
        </is>
      </c>
      <c r="J1446" s="1" t="inlineStr">
        <is>
          <t>ОТ № ЮГОК ЗИОФ 24-33</t>
        </is>
      </c>
      <c r="K144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446" s="1" t="inlineStr">
        <is>
          <t>25.10.2024</t>
        </is>
      </c>
      <c r="M1446" s="1" t="inlineStr">
        <is>
          <t>Успешно</t>
        </is>
      </c>
      <c r="N1446" s="1" t="inlineStr">
        <is>
          <t>02.11.2024</t>
        </is>
      </c>
      <c r="O1446" s="1" t="inlineStr"/>
      <c r="P1446" s="1" t="inlineStr"/>
      <c r="Q1446" s="1" t="inlineStr">
        <is>
          <t>Пользовательский интерфейс</t>
        </is>
      </c>
    </row>
    <row r="1447">
      <c r="B1447" s="1" t="inlineStr">
        <is>
          <t>85344276</t>
        </is>
      </c>
      <c r="C1447" s="1" t="inlineStr">
        <is>
          <t>6554154</t>
        </is>
      </c>
      <c r="D1447" t="inlineStr">
        <is>
          <t>работник 429</t>
        </is>
      </c>
      <c r="E1447" s="1" t="inlineStr">
        <is>
          <t>ОБЩЕСТВО С ОГРАНИЧЕННОЙ ОТВЕТСТВЕННОСТЬЮ "АМУР ЗОЛОТО"</t>
        </is>
      </c>
      <c r="F1447" s="1" t="inlineStr">
        <is>
          <t>2708001686</t>
        </is>
      </c>
      <c r="G1447" s="1" t="inlineStr">
        <is>
          <t>Бункеровщик</t>
        </is>
      </c>
      <c r="H1447" s="1" t="inlineStr">
        <is>
          <t>ООО "Амур Золото"</t>
        </is>
      </c>
      <c r="I1447" s="1" t="inlineStr">
        <is>
          <t>2708001686</t>
        </is>
      </c>
      <c r="J1447" s="1" t="inlineStr">
        <is>
          <t>ОТ № ЮГОК ЗИОФ 24-33</t>
        </is>
      </c>
      <c r="K1447" s="1" t="inlineStr">
        <is>
          <t>Использование (применение) средств индивидуальной защиты</t>
        </is>
      </c>
      <c r="L1447" s="1" t="inlineStr">
        <is>
          <t>25.10.2024</t>
        </is>
      </c>
      <c r="M1447" s="1" t="inlineStr">
        <is>
          <t>Успешно</t>
        </is>
      </c>
      <c r="N1447" s="1" t="inlineStr">
        <is>
          <t>02.11.2024</t>
        </is>
      </c>
      <c r="O1447" s="1" t="inlineStr"/>
      <c r="P1447" s="1" t="inlineStr"/>
      <c r="Q1447" s="1" t="inlineStr">
        <is>
          <t>Пользовательский интерфейс</t>
        </is>
      </c>
    </row>
    <row r="1448">
      <c r="B1448" s="1" t="inlineStr">
        <is>
          <t>85344277</t>
        </is>
      </c>
      <c r="C1448" s="1" t="inlineStr">
        <is>
          <t>6554154</t>
        </is>
      </c>
      <c r="D1448" t="inlineStr">
        <is>
          <t>работник 429</t>
        </is>
      </c>
      <c r="E1448" s="1" t="inlineStr">
        <is>
          <t>ОБЩЕСТВО С ОГРАНИЧЕННОЙ ОТВЕТСТВЕННОСТЬЮ "АМУР ЗОЛОТО"</t>
        </is>
      </c>
      <c r="F1448" s="1" t="inlineStr">
        <is>
          <t>2708001686</t>
        </is>
      </c>
      <c r="G1448" s="1" t="inlineStr">
        <is>
          <t>Бункеровщик</t>
        </is>
      </c>
      <c r="H1448" s="1" t="inlineStr">
        <is>
          <t>ООО "Амур Золото"</t>
        </is>
      </c>
      <c r="I1448" s="1" t="inlineStr">
        <is>
          <t>2708001686</t>
        </is>
      </c>
      <c r="J1448" s="1" t="inlineStr">
        <is>
          <t>ОТ № ЮГОК ЗИОФ 24-33</t>
        </is>
      </c>
      <c r="K144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448" s="1" t="inlineStr">
        <is>
          <t>25.10.2024</t>
        </is>
      </c>
      <c r="M1448" s="1" t="inlineStr">
        <is>
          <t>Успешно</t>
        </is>
      </c>
      <c r="N1448" s="1" t="inlineStr">
        <is>
          <t>02.11.2024</t>
        </is>
      </c>
      <c r="O1448" s="1" t="inlineStr"/>
      <c r="P1448" s="1" t="inlineStr"/>
      <c r="Q1448" s="1" t="inlineStr">
        <is>
          <t>Пользовательский интерфейс</t>
        </is>
      </c>
    </row>
    <row r="1449">
      <c r="B1449" s="1" t="inlineStr">
        <is>
          <t>85344278</t>
        </is>
      </c>
      <c r="C1449" s="1" t="inlineStr">
        <is>
          <t>6554154</t>
        </is>
      </c>
      <c r="D1449" t="inlineStr">
        <is>
          <t>работник 430</t>
        </is>
      </c>
      <c r="E1449" s="1" t="inlineStr">
        <is>
          <t>ОБЩЕСТВО С ОГРАНИЧЕННОЙ ОТВЕТСТВЕННОСТЬЮ "АМУР ЗОЛОТО"</t>
        </is>
      </c>
      <c r="F1449" s="1" t="inlineStr">
        <is>
          <t>2708001686</t>
        </is>
      </c>
      <c r="G1449" s="1" t="inlineStr">
        <is>
          <t>Машинист мельниц</t>
        </is>
      </c>
      <c r="H1449" s="1" t="inlineStr">
        <is>
          <t>ООО "Амур Золото"</t>
        </is>
      </c>
      <c r="I1449" s="1" t="inlineStr">
        <is>
          <t>2708001686</t>
        </is>
      </c>
      <c r="J1449" s="1" t="inlineStr">
        <is>
          <t>ОТ № ЮГОК ЗИОФ 24-33</t>
        </is>
      </c>
      <c r="K1449" s="1" t="inlineStr">
        <is>
          <t>Использование (применение) средств индивидуальной защиты</t>
        </is>
      </c>
      <c r="L1449" s="1" t="inlineStr">
        <is>
          <t>25.10.2024</t>
        </is>
      </c>
      <c r="M1449" s="1" t="inlineStr">
        <is>
          <t>Успешно</t>
        </is>
      </c>
      <c r="N1449" s="1" t="inlineStr">
        <is>
          <t>02.11.2024</t>
        </is>
      </c>
      <c r="O1449" s="1" t="inlineStr"/>
      <c r="P1449" s="1" t="inlineStr"/>
      <c r="Q1449" s="1" t="inlineStr">
        <is>
          <t>Пользовательский интерфейс</t>
        </is>
      </c>
    </row>
    <row r="1450">
      <c r="B1450" s="1" t="inlineStr">
        <is>
          <t>85344279</t>
        </is>
      </c>
      <c r="C1450" s="1" t="inlineStr">
        <is>
          <t>6554154</t>
        </is>
      </c>
      <c r="D1450" t="inlineStr">
        <is>
          <t>работник 430</t>
        </is>
      </c>
      <c r="E1450" s="1" t="inlineStr">
        <is>
          <t>ОБЩЕСТВО С ОГРАНИЧЕННОЙ ОТВЕТСТВЕННОСТЬЮ "АМУР ЗОЛОТО"</t>
        </is>
      </c>
      <c r="F1450" s="1" t="inlineStr">
        <is>
          <t>2708001686</t>
        </is>
      </c>
      <c r="G1450" s="1" t="inlineStr">
        <is>
          <t>Машинист мельниц</t>
        </is>
      </c>
      <c r="H1450" s="1" t="inlineStr">
        <is>
          <t>ООО "Амур Золото"</t>
        </is>
      </c>
      <c r="I1450" s="1" t="inlineStr">
        <is>
          <t>2708001686</t>
        </is>
      </c>
      <c r="J1450" s="1" t="inlineStr">
        <is>
          <t>ОТ № ЮГОК ЗИОФ 24-33</t>
        </is>
      </c>
      <c r="K145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450" s="1" t="inlineStr">
        <is>
          <t>25.10.2024</t>
        </is>
      </c>
      <c r="M1450" s="1" t="inlineStr">
        <is>
          <t>Успешно</t>
        </is>
      </c>
      <c r="N1450" s="1" t="inlineStr">
        <is>
          <t>02.11.2024</t>
        </is>
      </c>
      <c r="O1450" s="1" t="inlineStr"/>
      <c r="P1450" s="1" t="inlineStr"/>
      <c r="Q1450" s="1" t="inlineStr">
        <is>
          <t>Пользовательский интерфейс</t>
        </is>
      </c>
    </row>
    <row r="1451">
      <c r="B1451" s="1" t="inlineStr">
        <is>
          <t>85344280</t>
        </is>
      </c>
      <c r="C1451" s="1" t="inlineStr">
        <is>
          <t>6554154</t>
        </is>
      </c>
      <c r="D1451" t="inlineStr">
        <is>
          <t>работник 305</t>
        </is>
      </c>
      <c r="E1451" s="1" t="inlineStr">
        <is>
          <t>ОБЩЕСТВО С ОГРАНИЧЕННОЙ ОТВЕТСТВЕННОСТЬЮ "АМУР ЗОЛОТО"</t>
        </is>
      </c>
      <c r="F1451" s="1" t="inlineStr">
        <is>
          <t>2708001686</t>
        </is>
      </c>
      <c r="G1451" s="1" t="inlineStr">
        <is>
          <t>Электромонтер по ремонту и обслуживанию электрооборудования</t>
        </is>
      </c>
      <c r="H1451" s="1" t="inlineStr">
        <is>
          <t>ООО "Амур Золото"</t>
        </is>
      </c>
      <c r="I1451" s="1" t="inlineStr">
        <is>
          <t>2708001686</t>
        </is>
      </c>
      <c r="J1451" s="1" t="inlineStr">
        <is>
          <t>ОТ № ЮГОК ЗИОФ 24-33</t>
        </is>
      </c>
      <c r="K1451" s="1" t="inlineStr">
        <is>
          <t>Использование (применение) средств индивидуальной защиты</t>
        </is>
      </c>
      <c r="L1451" s="1" t="inlineStr">
        <is>
          <t>25.10.2024</t>
        </is>
      </c>
      <c r="M1451" s="1" t="inlineStr">
        <is>
          <t>Успешно</t>
        </is>
      </c>
      <c r="N1451" s="1" t="inlineStr">
        <is>
          <t>02.11.2024</t>
        </is>
      </c>
      <c r="O1451" s="1" t="inlineStr"/>
      <c r="P1451" s="1" t="inlineStr"/>
      <c r="Q1451" s="1" t="inlineStr">
        <is>
          <t>Пользовательский интерфейс</t>
        </is>
      </c>
    </row>
    <row r="1452">
      <c r="B1452" s="1" t="inlineStr">
        <is>
          <t>85344281</t>
        </is>
      </c>
      <c r="C1452" s="1" t="inlineStr">
        <is>
          <t>6554154</t>
        </is>
      </c>
      <c r="D1452" t="inlineStr">
        <is>
          <t>работник 305</t>
        </is>
      </c>
      <c r="E1452" s="1" t="inlineStr">
        <is>
          <t>ОБЩЕСТВО С ОГРАНИЧЕННОЙ ОТВЕТСТВЕННОСТЬЮ "АМУР ЗОЛОТО"</t>
        </is>
      </c>
      <c r="F1452" s="1" t="inlineStr">
        <is>
          <t>2708001686</t>
        </is>
      </c>
      <c r="G1452" s="1" t="inlineStr">
        <is>
          <t>Электромонтер по ремонту и обслуживанию электрооборудования</t>
        </is>
      </c>
      <c r="H1452" s="1" t="inlineStr">
        <is>
          <t>ООО "Амур Золото"</t>
        </is>
      </c>
      <c r="I1452" s="1" t="inlineStr">
        <is>
          <t>2708001686</t>
        </is>
      </c>
      <c r="J1452" s="1" t="inlineStr">
        <is>
          <t>ОТ № ЮГОК ЗИОФ 24-33</t>
        </is>
      </c>
      <c r="K145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452" s="1" t="inlineStr">
        <is>
          <t>25.10.2024</t>
        </is>
      </c>
      <c r="M1452" s="1" t="inlineStr">
        <is>
          <t>Успешно</t>
        </is>
      </c>
      <c r="N1452" s="1" t="inlineStr">
        <is>
          <t>02.11.2024</t>
        </is>
      </c>
      <c r="O1452" s="1" t="inlineStr"/>
      <c r="P1452" s="1" t="inlineStr"/>
      <c r="Q1452" s="1" t="inlineStr">
        <is>
          <t>Пользовательский интерфейс</t>
        </is>
      </c>
    </row>
    <row r="1453">
      <c r="B1453" s="1" t="inlineStr">
        <is>
          <t>85344282</t>
        </is>
      </c>
      <c r="C1453" s="1" t="inlineStr">
        <is>
          <t>6554154</t>
        </is>
      </c>
      <c r="D1453" t="inlineStr">
        <is>
          <t>работник 31</t>
        </is>
      </c>
      <c r="E1453" s="1" t="inlineStr">
        <is>
          <t>ОБЩЕСТВО С ОГРАНИЧЕННОЙ ОТВЕТСТВЕННОСТЬЮ "АМУР ЗОЛОТО"</t>
        </is>
      </c>
      <c r="F1453" s="1" t="inlineStr">
        <is>
          <t>2708001686</t>
        </is>
      </c>
      <c r="G1453" s="1" t="inlineStr">
        <is>
          <t>Электромонтер по ремонту и обслуживанию электрооборудования</t>
        </is>
      </c>
      <c r="H1453" s="1" t="inlineStr">
        <is>
          <t>ООО "Амур Золото"</t>
        </is>
      </c>
      <c r="I1453" s="1" t="inlineStr">
        <is>
          <t>2708001686</t>
        </is>
      </c>
      <c r="J1453" s="1" t="inlineStr">
        <is>
          <t>ОТ № ЮГОК ЗИОФ 24-33</t>
        </is>
      </c>
      <c r="K1453" s="1" t="inlineStr">
        <is>
          <t>Использование (применение) средств индивидуальной защиты</t>
        </is>
      </c>
      <c r="L1453" s="1" t="inlineStr">
        <is>
          <t>25.10.2024</t>
        </is>
      </c>
      <c r="M1453" s="1" t="inlineStr">
        <is>
          <t>Успешно</t>
        </is>
      </c>
      <c r="N1453" s="1" t="inlineStr">
        <is>
          <t>02.11.2024</t>
        </is>
      </c>
      <c r="O1453" s="1" t="inlineStr"/>
      <c r="P1453" s="1" t="inlineStr"/>
      <c r="Q1453" s="1" t="inlineStr">
        <is>
          <t>Пользовательский интерфейс</t>
        </is>
      </c>
    </row>
    <row r="1454">
      <c r="B1454" s="1" t="inlineStr">
        <is>
          <t>85344283</t>
        </is>
      </c>
      <c r="C1454" s="1" t="inlineStr">
        <is>
          <t>6554154</t>
        </is>
      </c>
      <c r="D1454" t="inlineStr">
        <is>
          <t>работник 31</t>
        </is>
      </c>
      <c r="E1454" s="1" t="inlineStr">
        <is>
          <t>ОБЩЕСТВО С ОГРАНИЧЕННОЙ ОТВЕТСТВЕННОСТЬЮ "АМУР ЗОЛОТО"</t>
        </is>
      </c>
      <c r="F1454" s="1" t="inlineStr">
        <is>
          <t>2708001686</t>
        </is>
      </c>
      <c r="G1454" s="1" t="inlineStr">
        <is>
          <t>Электромонтер по ремонту и обслуживанию электрооборудования</t>
        </is>
      </c>
      <c r="H1454" s="1" t="inlineStr">
        <is>
          <t>ООО "Амур Золото"</t>
        </is>
      </c>
      <c r="I1454" s="1" t="inlineStr">
        <is>
          <t>2708001686</t>
        </is>
      </c>
      <c r="J1454" s="1" t="inlineStr">
        <is>
          <t>ОТ № ЮГОК ЗИОФ 24-33</t>
        </is>
      </c>
      <c r="K145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454" s="1" t="inlineStr">
        <is>
          <t>25.10.2024</t>
        </is>
      </c>
      <c r="M1454" s="1" t="inlineStr">
        <is>
          <t>Успешно</t>
        </is>
      </c>
      <c r="N1454" s="1" t="inlineStr">
        <is>
          <t>02.11.2024</t>
        </is>
      </c>
      <c r="O1454" s="1" t="inlineStr"/>
      <c r="P1454" s="1" t="inlineStr"/>
      <c r="Q1454" s="1" t="inlineStr">
        <is>
          <t>Пользовательский интерфейс</t>
        </is>
      </c>
    </row>
    <row r="1455">
      <c r="B1455" s="1" t="inlineStr">
        <is>
          <t>85344284</t>
        </is>
      </c>
      <c r="C1455" s="1" t="inlineStr">
        <is>
          <t>6554154</t>
        </is>
      </c>
      <c r="D1455" t="inlineStr">
        <is>
          <t>работник 431</t>
        </is>
      </c>
      <c r="E1455" s="1" t="inlineStr">
        <is>
          <t>ОБЩЕСТВО С ОГРАНИЧЕННОЙ ОТВЕТСТВЕННОСТЬЮ "АМУР ЗОЛОТО"</t>
        </is>
      </c>
      <c r="F1455" s="1" t="inlineStr">
        <is>
          <t>2708001686</t>
        </is>
      </c>
      <c r="G1455" s="1" t="inlineStr">
        <is>
          <t>Аппаратчик-гидрометаллург</t>
        </is>
      </c>
      <c r="H1455" s="1" t="inlineStr">
        <is>
          <t>ООО "Амур Золото"</t>
        </is>
      </c>
      <c r="I1455" s="1" t="inlineStr">
        <is>
          <t>2708001686</t>
        </is>
      </c>
      <c r="J1455" s="1" t="inlineStr">
        <is>
          <t>ОТ № ЮГОК ЗИОФ 24-33</t>
        </is>
      </c>
      <c r="K1455" s="1" t="inlineStr">
        <is>
          <t>Использование (применение) средств индивидуальной защиты</t>
        </is>
      </c>
      <c r="L1455" s="1" t="inlineStr">
        <is>
          <t>25.10.2024</t>
        </is>
      </c>
      <c r="M1455" s="1" t="inlineStr">
        <is>
          <t>Успешно</t>
        </is>
      </c>
      <c r="N1455" s="1" t="inlineStr">
        <is>
          <t>02.11.2024</t>
        </is>
      </c>
      <c r="O1455" s="1" t="inlineStr"/>
      <c r="P1455" s="1" t="inlineStr"/>
      <c r="Q1455" s="1" t="inlineStr">
        <is>
          <t>Пользовательский интерфейс</t>
        </is>
      </c>
    </row>
    <row r="1456">
      <c r="B1456" s="1" t="inlineStr">
        <is>
          <t>85344285</t>
        </is>
      </c>
      <c r="C1456" s="1" t="inlineStr">
        <is>
          <t>6554154</t>
        </is>
      </c>
      <c r="D1456" t="inlineStr">
        <is>
          <t>работник 431</t>
        </is>
      </c>
      <c r="E1456" s="1" t="inlineStr">
        <is>
          <t>ОБЩЕСТВО С ОГРАНИЧЕННОЙ ОТВЕТСТВЕННОСТЬЮ "АМУР ЗОЛОТО"</t>
        </is>
      </c>
      <c r="F1456" s="1" t="inlineStr">
        <is>
          <t>2708001686</t>
        </is>
      </c>
      <c r="G1456" s="1" t="inlineStr">
        <is>
          <t>Аппаратчик-гидрометаллург</t>
        </is>
      </c>
      <c r="H1456" s="1" t="inlineStr">
        <is>
          <t>ООО "Амур Золото"</t>
        </is>
      </c>
      <c r="I1456" s="1" t="inlineStr">
        <is>
          <t>2708001686</t>
        </is>
      </c>
      <c r="J1456" s="1" t="inlineStr">
        <is>
          <t>ОТ № ЮГОК ЗИОФ 24-33</t>
        </is>
      </c>
      <c r="K145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456" s="1" t="inlineStr">
        <is>
          <t>25.10.2024</t>
        </is>
      </c>
      <c r="M1456" s="1" t="inlineStr">
        <is>
          <t>Успешно</t>
        </is>
      </c>
      <c r="N1456" s="1" t="inlineStr">
        <is>
          <t>02.11.2024</t>
        </is>
      </c>
      <c r="O1456" s="1" t="inlineStr"/>
      <c r="P1456" s="1" t="inlineStr"/>
      <c r="Q1456" s="1" t="inlineStr">
        <is>
          <t>Пользовательский интерфейс</t>
        </is>
      </c>
    </row>
    <row r="1457">
      <c r="B1457" s="1" t="inlineStr">
        <is>
          <t>85344286</t>
        </is>
      </c>
      <c r="C1457" s="1" t="inlineStr">
        <is>
          <t>6554154</t>
        </is>
      </c>
      <c r="D1457" t="inlineStr">
        <is>
          <t>работник 432</t>
        </is>
      </c>
      <c r="E1457" s="1" t="inlineStr">
        <is>
          <t>ОБЩЕСТВО С ОГРАНИЧЕННОЙ ОТВЕТСТВЕННОСТЬЮ "АМУР ЗОЛОТО"</t>
        </is>
      </c>
      <c r="F1457" s="1" t="inlineStr">
        <is>
          <t>2708001686</t>
        </is>
      </c>
      <c r="G1457" s="1" t="inlineStr">
        <is>
          <t>Слесарь-ремонтник (по ремонту обогатительного оборудования)</t>
        </is>
      </c>
      <c r="H1457" s="1" t="inlineStr">
        <is>
          <t>ООО "Амур Золото"</t>
        </is>
      </c>
      <c r="I1457" s="1" t="inlineStr">
        <is>
          <t>2708001686</t>
        </is>
      </c>
      <c r="J1457" s="1" t="inlineStr">
        <is>
          <t>ОТ № ЮГОК ЗИОФ 24-33</t>
        </is>
      </c>
      <c r="K1457" s="1" t="inlineStr">
        <is>
          <t>Использование (применение) средств индивидуальной защиты</t>
        </is>
      </c>
      <c r="L1457" s="1" t="inlineStr">
        <is>
          <t>25.10.2024</t>
        </is>
      </c>
      <c r="M1457" s="1" t="inlineStr">
        <is>
          <t>Успешно</t>
        </is>
      </c>
      <c r="N1457" s="1" t="inlineStr">
        <is>
          <t>02.11.2024</t>
        </is>
      </c>
      <c r="O1457" s="1" t="inlineStr"/>
      <c r="P1457" s="1" t="inlineStr"/>
      <c r="Q1457" s="1" t="inlineStr">
        <is>
          <t>Пользовательский интерфейс</t>
        </is>
      </c>
    </row>
    <row r="1458">
      <c r="B1458" s="1" t="inlineStr">
        <is>
          <t>85344287</t>
        </is>
      </c>
      <c r="C1458" s="1" t="inlineStr">
        <is>
          <t>6554154</t>
        </is>
      </c>
      <c r="D1458" t="inlineStr">
        <is>
          <t>работник 432</t>
        </is>
      </c>
      <c r="E1458" s="1" t="inlineStr">
        <is>
          <t>ОБЩЕСТВО С ОГРАНИЧЕННОЙ ОТВЕТСТВЕННОСТЬЮ "АМУР ЗОЛОТО"</t>
        </is>
      </c>
      <c r="F1458" s="1" t="inlineStr">
        <is>
          <t>2708001686</t>
        </is>
      </c>
      <c r="G1458" s="1" t="inlineStr">
        <is>
          <t>Слесарь-ремонтник (по ремонту обогатительного оборудования)</t>
        </is>
      </c>
      <c r="H1458" s="1" t="inlineStr">
        <is>
          <t>ООО "Амур Золото"</t>
        </is>
      </c>
      <c r="I1458" s="1" t="inlineStr">
        <is>
          <t>2708001686</t>
        </is>
      </c>
      <c r="J1458" s="1" t="inlineStr">
        <is>
          <t>ОТ № ЮГОК ЗИОФ 24-33</t>
        </is>
      </c>
      <c r="K145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458" s="1" t="inlineStr">
        <is>
          <t>25.10.2024</t>
        </is>
      </c>
      <c r="M1458" s="1" t="inlineStr">
        <is>
          <t>Успешно</t>
        </is>
      </c>
      <c r="N1458" s="1" t="inlineStr">
        <is>
          <t>02.11.2024</t>
        </is>
      </c>
      <c r="O1458" s="1" t="inlineStr"/>
      <c r="P1458" s="1" t="inlineStr"/>
      <c r="Q1458" s="1" t="inlineStr">
        <is>
          <t>Пользовательский интерфейс</t>
        </is>
      </c>
    </row>
    <row r="1459">
      <c r="B1459" s="1" t="inlineStr">
        <is>
          <t>85344288</t>
        </is>
      </c>
      <c r="C1459" s="1" t="inlineStr">
        <is>
          <t>6554154</t>
        </is>
      </c>
      <c r="D1459" t="inlineStr">
        <is>
          <t>работник 433</t>
        </is>
      </c>
      <c r="E1459" s="1" t="inlineStr">
        <is>
          <t>ОБЩЕСТВО С ОГРАНИЧЕННОЙ ОТВЕТСТВЕННОСТЬЮ "АМУР ЗОЛОТО"</t>
        </is>
      </c>
      <c r="F1459" s="1" t="inlineStr">
        <is>
          <t>2708001686</t>
        </is>
      </c>
      <c r="G1459" s="1" t="inlineStr">
        <is>
          <t>Плавильщик</t>
        </is>
      </c>
      <c r="H1459" s="1" t="inlineStr">
        <is>
          <t>ООО "Амур Золото"</t>
        </is>
      </c>
      <c r="I1459" s="1" t="inlineStr">
        <is>
          <t>2708001686</t>
        </is>
      </c>
      <c r="J1459" s="1" t="inlineStr">
        <is>
          <t>ОТ № ЮГОК ЗИОФ 24-33</t>
        </is>
      </c>
      <c r="K1459" s="1" t="inlineStr">
        <is>
          <t>Использование (применение) средств индивидуальной защиты</t>
        </is>
      </c>
      <c r="L1459" s="1" t="inlineStr">
        <is>
          <t>25.10.2024</t>
        </is>
      </c>
      <c r="M1459" s="1" t="inlineStr">
        <is>
          <t>Успешно</t>
        </is>
      </c>
      <c r="N1459" s="1" t="inlineStr">
        <is>
          <t>02.11.2024</t>
        </is>
      </c>
      <c r="O1459" s="1" t="inlineStr"/>
      <c r="P1459" s="1" t="inlineStr"/>
      <c r="Q1459" s="1" t="inlineStr">
        <is>
          <t>Пользовательский интерфейс</t>
        </is>
      </c>
    </row>
    <row r="1460">
      <c r="B1460" s="1" t="inlineStr">
        <is>
          <t>85344289</t>
        </is>
      </c>
      <c r="C1460" s="1" t="inlineStr">
        <is>
          <t>6554154</t>
        </is>
      </c>
      <c r="D1460" t="inlineStr">
        <is>
          <t>работник 433</t>
        </is>
      </c>
      <c r="E1460" s="1" t="inlineStr">
        <is>
          <t>ОБЩЕСТВО С ОГРАНИЧЕННОЙ ОТВЕТСТВЕННОСТЬЮ "АМУР ЗОЛОТО"</t>
        </is>
      </c>
      <c r="F1460" s="1" t="inlineStr">
        <is>
          <t>2708001686</t>
        </is>
      </c>
      <c r="G1460" s="1" t="inlineStr">
        <is>
          <t>Плавильщик</t>
        </is>
      </c>
      <c r="H1460" s="1" t="inlineStr">
        <is>
          <t>ООО "Амур Золото"</t>
        </is>
      </c>
      <c r="I1460" s="1" t="inlineStr">
        <is>
          <t>2708001686</t>
        </is>
      </c>
      <c r="J1460" s="1" t="inlineStr">
        <is>
          <t>ОТ № ЮГОК ЗИОФ 24-33</t>
        </is>
      </c>
      <c r="K146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460" s="1" t="inlineStr">
        <is>
          <t>25.10.2024</t>
        </is>
      </c>
      <c r="M1460" s="1" t="inlineStr">
        <is>
          <t>Успешно</t>
        </is>
      </c>
      <c r="N1460" s="1" t="inlineStr">
        <is>
          <t>02.11.2024</t>
        </is>
      </c>
      <c r="O1460" s="1" t="inlineStr"/>
      <c r="P1460" s="1" t="inlineStr"/>
      <c r="Q1460" s="1" t="inlineStr">
        <is>
          <t>Пользовательский интерфейс</t>
        </is>
      </c>
    </row>
    <row r="1461">
      <c r="B1461" s="1" t="inlineStr">
        <is>
          <t>85344290</t>
        </is>
      </c>
      <c r="C1461" s="1" t="inlineStr">
        <is>
          <t>6554154</t>
        </is>
      </c>
      <c r="D1461" t="inlineStr">
        <is>
          <t>работник 434</t>
        </is>
      </c>
      <c r="E1461" s="1" t="inlineStr">
        <is>
          <t>ОБЩЕСТВО С ОГРАНИЧЕННОЙ ОТВЕТСТВЕННОСТЬЮ "АМУР ЗОЛОТО"</t>
        </is>
      </c>
      <c r="F1461" s="1" t="inlineStr">
        <is>
          <t>2708001686</t>
        </is>
      </c>
      <c r="G1461" s="1" t="inlineStr">
        <is>
          <t>Машинист мельниц</t>
        </is>
      </c>
      <c r="H1461" s="1" t="inlineStr">
        <is>
          <t>ООО "Амур Золото"</t>
        </is>
      </c>
      <c r="I1461" s="1" t="inlineStr">
        <is>
          <t>2708001686</t>
        </is>
      </c>
      <c r="J1461" s="1" t="inlineStr">
        <is>
          <t>ОТ № ЮГОК ЗИОФ 24-33</t>
        </is>
      </c>
      <c r="K1461" s="1" t="inlineStr">
        <is>
          <t>Использование (применение) средств индивидуальной защиты</t>
        </is>
      </c>
      <c r="L1461" s="1" t="inlineStr">
        <is>
          <t>25.10.2024</t>
        </is>
      </c>
      <c r="M1461" s="1" t="inlineStr">
        <is>
          <t>Успешно</t>
        </is>
      </c>
      <c r="N1461" s="1" t="inlineStr">
        <is>
          <t>02.11.2024</t>
        </is>
      </c>
      <c r="O1461" s="1" t="inlineStr"/>
      <c r="P1461" s="1" t="inlineStr"/>
      <c r="Q1461" s="1" t="inlineStr">
        <is>
          <t>Пользовательский интерфейс</t>
        </is>
      </c>
    </row>
    <row r="1462">
      <c r="B1462" s="1" t="inlineStr">
        <is>
          <t>85344291</t>
        </is>
      </c>
      <c r="C1462" s="1" t="inlineStr">
        <is>
          <t>6554154</t>
        </is>
      </c>
      <c r="D1462" t="inlineStr">
        <is>
          <t>работник 434</t>
        </is>
      </c>
      <c r="E1462" s="1" t="inlineStr">
        <is>
          <t>ОБЩЕСТВО С ОГРАНИЧЕННОЙ ОТВЕТСТВЕННОСТЬЮ "АМУР ЗОЛОТО"</t>
        </is>
      </c>
      <c r="F1462" s="1" t="inlineStr">
        <is>
          <t>2708001686</t>
        </is>
      </c>
      <c r="G1462" s="1" t="inlineStr">
        <is>
          <t>Машинист мельниц</t>
        </is>
      </c>
      <c r="H1462" s="1" t="inlineStr">
        <is>
          <t>ООО "Амур Золото"</t>
        </is>
      </c>
      <c r="I1462" s="1" t="inlineStr">
        <is>
          <t>2708001686</t>
        </is>
      </c>
      <c r="J1462" s="1" t="inlineStr">
        <is>
          <t>ОТ № ЮГОК ЗИОФ 24-33</t>
        </is>
      </c>
      <c r="K146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462" s="1" t="inlineStr">
        <is>
          <t>25.10.2024</t>
        </is>
      </c>
      <c r="M1462" s="1" t="inlineStr">
        <is>
          <t>Успешно</t>
        </is>
      </c>
      <c r="N1462" s="1" t="inlineStr">
        <is>
          <t>02.11.2024</t>
        </is>
      </c>
      <c r="O1462" s="1" t="inlineStr"/>
      <c r="P1462" s="1" t="inlineStr"/>
      <c r="Q1462" s="1" t="inlineStr">
        <is>
          <t>Пользовательский интерфейс</t>
        </is>
      </c>
    </row>
    <row r="1463">
      <c r="B1463" s="1" t="inlineStr">
        <is>
          <t>85344292</t>
        </is>
      </c>
      <c r="C1463" s="1" t="inlineStr">
        <is>
          <t>6554154</t>
        </is>
      </c>
      <c r="D1463" t="inlineStr">
        <is>
          <t>работник 435</t>
        </is>
      </c>
      <c r="E1463" s="1" t="inlineStr">
        <is>
          <t>ОБЩЕСТВО С ОГРАНИЧЕННОЙ ОТВЕТСТВЕННОСТЬЮ "АМУР ЗОЛОТО"</t>
        </is>
      </c>
      <c r="F1463" s="1" t="inlineStr">
        <is>
          <t>2708001686</t>
        </is>
      </c>
      <c r="G1463" s="1" t="inlineStr">
        <is>
          <t>Дробильщик</t>
        </is>
      </c>
      <c r="H1463" s="1" t="inlineStr">
        <is>
          <t>ООО "Амур Золото"</t>
        </is>
      </c>
      <c r="I1463" s="1" t="inlineStr">
        <is>
          <t>2708001686</t>
        </is>
      </c>
      <c r="J1463" s="1" t="inlineStr">
        <is>
          <t>ОТ № ЮГОК ЗИОФ 24-33</t>
        </is>
      </c>
      <c r="K1463" s="1" t="inlineStr">
        <is>
          <t>Использование (применение) средств индивидуальной защиты</t>
        </is>
      </c>
      <c r="L1463" s="1" t="inlineStr">
        <is>
          <t>25.10.2024</t>
        </is>
      </c>
      <c r="M1463" s="1" t="inlineStr">
        <is>
          <t>Успешно</t>
        </is>
      </c>
      <c r="N1463" s="1" t="inlineStr">
        <is>
          <t>02.11.2024</t>
        </is>
      </c>
      <c r="O1463" s="1" t="inlineStr"/>
      <c r="P1463" s="1" t="inlineStr"/>
      <c r="Q1463" s="1" t="inlineStr">
        <is>
          <t>Пользовательский интерфейс</t>
        </is>
      </c>
    </row>
    <row r="1464">
      <c r="B1464" s="1" t="inlineStr">
        <is>
          <t>85344293</t>
        </is>
      </c>
      <c r="C1464" s="1" t="inlineStr">
        <is>
          <t>6554154</t>
        </is>
      </c>
      <c r="D1464" t="inlineStr">
        <is>
          <t>работник 435</t>
        </is>
      </c>
      <c r="E1464" s="1" t="inlineStr">
        <is>
          <t>ОБЩЕСТВО С ОГРАНИЧЕННОЙ ОТВЕТСТВЕННОСТЬЮ "АМУР ЗОЛОТО"</t>
        </is>
      </c>
      <c r="F1464" s="1" t="inlineStr">
        <is>
          <t>2708001686</t>
        </is>
      </c>
      <c r="G1464" s="1" t="inlineStr">
        <is>
          <t>Дробильщик</t>
        </is>
      </c>
      <c r="H1464" s="1" t="inlineStr">
        <is>
          <t>ООО "Амур Золото"</t>
        </is>
      </c>
      <c r="I1464" s="1" t="inlineStr">
        <is>
          <t>2708001686</t>
        </is>
      </c>
      <c r="J1464" s="1" t="inlineStr">
        <is>
          <t>ОТ № ЮГОК ЗИОФ 24-33</t>
        </is>
      </c>
      <c r="K146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464" s="1" t="inlineStr">
        <is>
          <t>25.10.2024</t>
        </is>
      </c>
      <c r="M1464" s="1" t="inlineStr">
        <is>
          <t>Успешно</t>
        </is>
      </c>
      <c r="N1464" s="1" t="inlineStr">
        <is>
          <t>02.11.2024</t>
        </is>
      </c>
      <c r="O1464" s="1" t="inlineStr"/>
      <c r="P1464" s="1" t="inlineStr"/>
      <c r="Q1464" s="1" t="inlineStr">
        <is>
          <t>Пользовательский интерфейс</t>
        </is>
      </c>
    </row>
    <row r="1465">
      <c r="B1465" s="1" t="inlineStr">
        <is>
          <t>85344294</t>
        </is>
      </c>
      <c r="C1465" s="1" t="inlineStr">
        <is>
          <t>6554154</t>
        </is>
      </c>
      <c r="D1465" t="inlineStr">
        <is>
          <t>работник 436</t>
        </is>
      </c>
      <c r="E1465" s="1" t="inlineStr">
        <is>
          <t>ОБЩЕСТВО С ОГРАНИЧЕННОЙ ОТВЕТСТВЕННОСТЬЮ "АМУР ЗОЛОТО"</t>
        </is>
      </c>
      <c r="F1465" s="1" t="inlineStr">
        <is>
          <t>2708001686</t>
        </is>
      </c>
      <c r="G1465" s="1" t="inlineStr">
        <is>
          <t>Дробильщик</t>
        </is>
      </c>
      <c r="H1465" s="1" t="inlineStr">
        <is>
          <t>ООО "Амур Золото"</t>
        </is>
      </c>
      <c r="I1465" s="1" t="inlineStr">
        <is>
          <t>2708001686</t>
        </is>
      </c>
      <c r="J1465" s="1" t="inlineStr">
        <is>
          <t>ОТ № ЮГОК ЗИОФ 24-33</t>
        </is>
      </c>
      <c r="K1465" s="1" t="inlineStr">
        <is>
          <t>Использование (применение) средств индивидуальной защиты</t>
        </is>
      </c>
      <c r="L1465" s="1" t="inlineStr">
        <is>
          <t>25.10.2024</t>
        </is>
      </c>
      <c r="M1465" s="1" t="inlineStr">
        <is>
          <t>Успешно</t>
        </is>
      </c>
      <c r="N1465" s="1" t="inlineStr">
        <is>
          <t>02.11.2024</t>
        </is>
      </c>
      <c r="O1465" s="1" t="inlineStr"/>
      <c r="P1465" s="1" t="inlineStr"/>
      <c r="Q1465" s="1" t="inlineStr">
        <is>
          <t>Пользовательский интерфейс</t>
        </is>
      </c>
    </row>
    <row r="1466">
      <c r="B1466" s="1" t="inlineStr">
        <is>
          <t>85344295</t>
        </is>
      </c>
      <c r="C1466" s="1" t="inlineStr">
        <is>
          <t>6554154</t>
        </is>
      </c>
      <c r="D1466" t="inlineStr">
        <is>
          <t>работник 436</t>
        </is>
      </c>
      <c r="E1466" s="1" t="inlineStr">
        <is>
          <t>ОБЩЕСТВО С ОГРАНИЧЕННОЙ ОТВЕТСТВЕННОСТЬЮ "АМУР ЗОЛОТО"</t>
        </is>
      </c>
      <c r="F1466" s="1" t="inlineStr">
        <is>
          <t>2708001686</t>
        </is>
      </c>
      <c r="G1466" s="1" t="inlineStr">
        <is>
          <t>Дробильщик</t>
        </is>
      </c>
      <c r="H1466" s="1" t="inlineStr">
        <is>
          <t>ООО "Амур Золото"</t>
        </is>
      </c>
      <c r="I1466" s="1" t="inlineStr">
        <is>
          <t>2708001686</t>
        </is>
      </c>
      <c r="J1466" s="1" t="inlineStr">
        <is>
          <t>ОТ № ЮГОК ЗИОФ 24-33</t>
        </is>
      </c>
      <c r="K146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466" s="1" t="inlineStr">
        <is>
          <t>25.10.2024</t>
        </is>
      </c>
      <c r="M1466" s="1" t="inlineStr">
        <is>
          <t>Успешно</t>
        </is>
      </c>
      <c r="N1466" s="1" t="inlineStr">
        <is>
          <t>02.11.2024</t>
        </is>
      </c>
      <c r="O1466" s="1" t="inlineStr"/>
      <c r="P1466" s="1" t="inlineStr"/>
      <c r="Q1466" s="1" t="inlineStr">
        <is>
          <t>Пользовательский интерфейс</t>
        </is>
      </c>
    </row>
    <row r="1467">
      <c r="B1467" s="1" t="inlineStr">
        <is>
          <t>85344296</t>
        </is>
      </c>
      <c r="C1467" s="1" t="inlineStr">
        <is>
          <t>6554154</t>
        </is>
      </c>
      <c r="D1467" t="inlineStr">
        <is>
          <t>работник 437</t>
        </is>
      </c>
      <c r="E1467" s="1" t="inlineStr">
        <is>
          <t>ОБЩЕСТВО С ОГРАНИЧЕННОЙ ОТВЕТСТВЕННОСТЬЮ "АМУР ЗОЛОТО"</t>
        </is>
      </c>
      <c r="F1467" s="1" t="inlineStr">
        <is>
          <t>2708001686</t>
        </is>
      </c>
      <c r="G1467" s="1" t="inlineStr">
        <is>
          <t>Растворщик реагентов</t>
        </is>
      </c>
      <c r="H1467" s="1" t="inlineStr">
        <is>
          <t>ООО "Амур Золото"</t>
        </is>
      </c>
      <c r="I1467" s="1" t="inlineStr">
        <is>
          <t>2708001686</t>
        </is>
      </c>
      <c r="J1467" s="1" t="inlineStr">
        <is>
          <t>ОТ № ЮГОК ЗИОФ 24-34</t>
        </is>
      </c>
      <c r="K1467" s="1" t="inlineStr">
        <is>
          <t>Использование (применение) средств индивидуальной защиты</t>
        </is>
      </c>
      <c r="L1467" s="1" t="inlineStr">
        <is>
          <t>25.10.2024</t>
        </is>
      </c>
      <c r="M1467" s="1" t="inlineStr">
        <is>
          <t>Успешно</t>
        </is>
      </c>
      <c r="N1467" s="1" t="inlineStr">
        <is>
          <t>02.11.2024</t>
        </is>
      </c>
      <c r="O1467" s="1" t="inlineStr"/>
      <c r="P1467" s="1" t="inlineStr"/>
      <c r="Q1467" s="1" t="inlineStr">
        <is>
          <t>Пользовательский интерфейс</t>
        </is>
      </c>
    </row>
    <row r="1468">
      <c r="B1468" s="1" t="inlineStr">
        <is>
          <t>85344297</t>
        </is>
      </c>
      <c r="C1468" s="1" t="inlineStr">
        <is>
          <t>6554154</t>
        </is>
      </c>
      <c r="D1468" t="inlineStr">
        <is>
          <t>работник 437</t>
        </is>
      </c>
      <c r="E1468" s="1" t="inlineStr">
        <is>
          <t>ОБЩЕСТВО С ОГРАНИЧЕННОЙ ОТВЕТСТВЕННОСТЬЮ "АМУР ЗОЛОТО"</t>
        </is>
      </c>
      <c r="F1468" s="1" t="inlineStr">
        <is>
          <t>2708001686</t>
        </is>
      </c>
      <c r="G1468" s="1" t="inlineStr">
        <is>
          <t>Растворщик реагентов</t>
        </is>
      </c>
      <c r="H1468" s="1" t="inlineStr">
        <is>
          <t>ООО "Амур Золото"</t>
        </is>
      </c>
      <c r="I1468" s="1" t="inlineStr">
        <is>
          <t>2708001686</t>
        </is>
      </c>
      <c r="J1468" s="1" t="inlineStr">
        <is>
          <t>ОТ № ЮГОК ЗИОФ 24-34</t>
        </is>
      </c>
      <c r="K146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468" s="1" t="inlineStr">
        <is>
          <t>25.10.2024</t>
        </is>
      </c>
      <c r="M1468" s="1" t="inlineStr">
        <is>
          <t>Успешно</t>
        </is>
      </c>
      <c r="N1468" s="1" t="inlineStr">
        <is>
          <t>02.11.2024</t>
        </is>
      </c>
      <c r="O1468" s="1" t="inlineStr"/>
      <c r="P1468" s="1" t="inlineStr"/>
      <c r="Q1468" s="1" t="inlineStr">
        <is>
          <t>Пользовательский интерфейс</t>
        </is>
      </c>
    </row>
    <row r="1469">
      <c r="B1469" s="1" t="inlineStr">
        <is>
          <t>85344298</t>
        </is>
      </c>
      <c r="C1469" s="1" t="inlineStr">
        <is>
          <t>6554154</t>
        </is>
      </c>
      <c r="D1469" t="inlineStr">
        <is>
          <t>работник 438</t>
        </is>
      </c>
      <c r="E1469" s="1" t="inlineStr">
        <is>
          <t>ОБЩЕСТВО С ОГРАНИЧЕННОЙ ОТВЕТСТВЕННОСТЬЮ "АМУР ЗОЛОТО"</t>
        </is>
      </c>
      <c r="F1469" s="1" t="inlineStr">
        <is>
          <t>2708001686</t>
        </is>
      </c>
      <c r="G1469" s="1" t="inlineStr">
        <is>
          <t>Аппаратчик-гидрометаллург</t>
        </is>
      </c>
      <c r="H1469" s="1" t="inlineStr">
        <is>
          <t>ООО "Амур Золото"</t>
        </is>
      </c>
      <c r="I1469" s="1" t="inlineStr">
        <is>
          <t>2708001686</t>
        </is>
      </c>
      <c r="J1469" s="1" t="inlineStr">
        <is>
          <t>ОТ № ЮГОК ЗИОФ 24-34</t>
        </is>
      </c>
      <c r="K1469" s="1" t="inlineStr">
        <is>
          <t>Использование (применение) средств индивидуальной защиты</t>
        </is>
      </c>
      <c r="L1469" s="1" t="inlineStr">
        <is>
          <t>25.10.2024</t>
        </is>
      </c>
      <c r="M1469" s="1" t="inlineStr">
        <is>
          <t>Успешно</t>
        </is>
      </c>
      <c r="N1469" s="1" t="inlineStr">
        <is>
          <t>02.11.2024</t>
        </is>
      </c>
      <c r="O1469" s="1" t="inlineStr"/>
      <c r="P1469" s="1" t="inlineStr"/>
      <c r="Q1469" s="1" t="inlineStr">
        <is>
          <t>Пользовательский интерфейс</t>
        </is>
      </c>
    </row>
    <row r="1470">
      <c r="B1470" s="1" t="inlineStr">
        <is>
          <t>85344299</t>
        </is>
      </c>
      <c r="C1470" s="1" t="inlineStr">
        <is>
          <t>6554154</t>
        </is>
      </c>
      <c r="D1470" t="inlineStr">
        <is>
          <t>работник 438</t>
        </is>
      </c>
      <c r="E1470" s="1" t="inlineStr">
        <is>
          <t>ОБЩЕСТВО С ОГРАНИЧЕННОЙ ОТВЕТСТВЕННОСТЬЮ "АМУР ЗОЛОТО"</t>
        </is>
      </c>
      <c r="F1470" s="1" t="inlineStr">
        <is>
          <t>2708001686</t>
        </is>
      </c>
      <c r="G1470" s="1" t="inlineStr">
        <is>
          <t>Аппаратчик-гидрометаллург</t>
        </is>
      </c>
      <c r="H1470" s="1" t="inlineStr">
        <is>
          <t>ООО "Амур Золото"</t>
        </is>
      </c>
      <c r="I1470" s="1" t="inlineStr">
        <is>
          <t>2708001686</t>
        </is>
      </c>
      <c r="J1470" s="1" t="inlineStr">
        <is>
          <t>ОТ № ЮГОК ЗИОФ 24-34</t>
        </is>
      </c>
      <c r="K147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470" s="1" t="inlineStr">
        <is>
          <t>25.10.2024</t>
        </is>
      </c>
      <c r="M1470" s="1" t="inlineStr">
        <is>
          <t>Успешно</t>
        </is>
      </c>
      <c r="N1470" s="1" t="inlineStr">
        <is>
          <t>02.11.2024</t>
        </is>
      </c>
      <c r="O1470" s="1" t="inlineStr"/>
      <c r="P1470" s="1" t="inlineStr"/>
      <c r="Q1470" s="1" t="inlineStr">
        <is>
          <t>Пользовательский интерфейс</t>
        </is>
      </c>
    </row>
    <row r="1471">
      <c r="B1471" s="1" t="inlineStr">
        <is>
          <t>85344300</t>
        </is>
      </c>
      <c r="C1471" s="1" t="inlineStr">
        <is>
          <t>6554154</t>
        </is>
      </c>
      <c r="D1471" t="inlineStr">
        <is>
          <t>работник 439</t>
        </is>
      </c>
      <c r="E1471" s="1" t="inlineStr">
        <is>
          <t>ОБЩЕСТВО С ОГРАНИЧЕННОЙ ОТВЕТСТВЕННОСТЬЮ "АМУР ЗОЛОТО"</t>
        </is>
      </c>
      <c r="F1471" s="1" t="inlineStr">
        <is>
          <t>2708001686</t>
        </is>
      </c>
      <c r="G1471" s="1" t="inlineStr">
        <is>
          <t>Машинист конвейера</t>
        </is>
      </c>
      <c r="H1471" s="1" t="inlineStr">
        <is>
          <t>ООО "Амур Золото"</t>
        </is>
      </c>
      <c r="I1471" s="1" t="inlineStr">
        <is>
          <t>2708001686</t>
        </is>
      </c>
      <c r="J1471" s="1" t="inlineStr">
        <is>
          <t>ОТ № ЮГОК ЗИОФ 24-34</t>
        </is>
      </c>
      <c r="K1471" s="1" t="inlineStr">
        <is>
          <t>Использование (применение) средств индивидуальной защиты</t>
        </is>
      </c>
      <c r="L1471" s="1" t="inlineStr">
        <is>
          <t>25.10.2024</t>
        </is>
      </c>
      <c r="M1471" s="1" t="inlineStr">
        <is>
          <t>Успешно</t>
        </is>
      </c>
      <c r="N1471" s="1" t="inlineStr">
        <is>
          <t>02.11.2024</t>
        </is>
      </c>
      <c r="O1471" s="1" t="inlineStr"/>
      <c r="P1471" s="1" t="inlineStr"/>
      <c r="Q1471" s="1" t="inlineStr">
        <is>
          <t>Пользовательский интерфейс</t>
        </is>
      </c>
    </row>
    <row r="1472">
      <c r="B1472" s="1" t="inlineStr">
        <is>
          <t>85344301</t>
        </is>
      </c>
      <c r="C1472" s="1" t="inlineStr">
        <is>
          <t>6554154</t>
        </is>
      </c>
      <c r="D1472" t="inlineStr">
        <is>
          <t>работник 439</t>
        </is>
      </c>
      <c r="E1472" s="1" t="inlineStr">
        <is>
          <t>ОБЩЕСТВО С ОГРАНИЧЕННОЙ ОТВЕТСТВЕННОСТЬЮ "АМУР ЗОЛОТО"</t>
        </is>
      </c>
      <c r="F1472" s="1" t="inlineStr">
        <is>
          <t>2708001686</t>
        </is>
      </c>
      <c r="G1472" s="1" t="inlineStr">
        <is>
          <t>Машинист конвейера</t>
        </is>
      </c>
      <c r="H1472" s="1" t="inlineStr">
        <is>
          <t>ООО "Амур Золото"</t>
        </is>
      </c>
      <c r="I1472" s="1" t="inlineStr">
        <is>
          <t>2708001686</t>
        </is>
      </c>
      <c r="J1472" s="1" t="inlineStr">
        <is>
          <t>ОТ № ЮГОК ЗИОФ 24-34</t>
        </is>
      </c>
      <c r="K147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472" s="1" t="inlineStr">
        <is>
          <t>25.10.2024</t>
        </is>
      </c>
      <c r="M1472" s="1" t="inlineStr">
        <is>
          <t>Успешно</t>
        </is>
      </c>
      <c r="N1472" s="1" t="inlineStr">
        <is>
          <t>02.11.2024</t>
        </is>
      </c>
      <c r="O1472" s="1" t="inlineStr"/>
      <c r="P1472" s="1" t="inlineStr"/>
      <c r="Q1472" s="1" t="inlineStr">
        <is>
          <t>Пользовательский интерфейс</t>
        </is>
      </c>
    </row>
    <row r="1473">
      <c r="B1473" s="1" t="inlineStr">
        <is>
          <t>85344302</t>
        </is>
      </c>
      <c r="C1473" s="1" t="inlineStr">
        <is>
          <t>6554154</t>
        </is>
      </c>
      <c r="D1473" t="inlineStr">
        <is>
          <t>работник 440</t>
        </is>
      </c>
      <c r="E1473" s="1" t="inlineStr">
        <is>
          <t>ОБЩЕСТВО С ОГРАНИЧЕННОЙ ОТВЕТСТВЕННОСТЬЮ "АМУР ЗОЛОТО"</t>
        </is>
      </c>
      <c r="F1473" s="1" t="inlineStr">
        <is>
          <t>2708001686</t>
        </is>
      </c>
      <c r="G1473" s="1" t="inlineStr">
        <is>
          <t>Растворщик реагентов</t>
        </is>
      </c>
      <c r="H1473" s="1" t="inlineStr">
        <is>
          <t>ООО "Амур Золото"</t>
        </is>
      </c>
      <c r="I1473" s="1" t="inlineStr">
        <is>
          <t>2708001686</t>
        </is>
      </c>
      <c r="J1473" s="1" t="inlineStr">
        <is>
          <t>ОТ № ЮГОК ЗИОФ 24-34</t>
        </is>
      </c>
      <c r="K1473" s="1" t="inlineStr">
        <is>
          <t>Использование (применение) средств индивидуальной защиты</t>
        </is>
      </c>
      <c r="L1473" s="1" t="inlineStr">
        <is>
          <t>25.10.2024</t>
        </is>
      </c>
      <c r="M1473" s="1" t="inlineStr">
        <is>
          <t>Успешно</t>
        </is>
      </c>
      <c r="N1473" s="1" t="inlineStr">
        <is>
          <t>02.11.2024</t>
        </is>
      </c>
      <c r="O1473" s="1" t="inlineStr"/>
      <c r="P1473" s="1" t="inlineStr"/>
      <c r="Q1473" s="1" t="inlineStr">
        <is>
          <t>Пользовательский интерфейс</t>
        </is>
      </c>
    </row>
    <row r="1474">
      <c r="B1474" s="1" t="inlineStr">
        <is>
          <t>85344303</t>
        </is>
      </c>
      <c r="C1474" s="1" t="inlineStr">
        <is>
          <t>6554154</t>
        </is>
      </c>
      <c r="D1474" t="inlineStr">
        <is>
          <t>работник 440</t>
        </is>
      </c>
      <c r="E1474" s="1" t="inlineStr">
        <is>
          <t>ОБЩЕСТВО С ОГРАНИЧЕННОЙ ОТВЕТСТВЕННОСТЬЮ "АМУР ЗОЛОТО"</t>
        </is>
      </c>
      <c r="F1474" s="1" t="inlineStr">
        <is>
          <t>2708001686</t>
        </is>
      </c>
      <c r="G1474" s="1" t="inlineStr">
        <is>
          <t>Растворщик реагентов</t>
        </is>
      </c>
      <c r="H1474" s="1" t="inlineStr">
        <is>
          <t>ООО "Амур Золото"</t>
        </is>
      </c>
      <c r="I1474" s="1" t="inlineStr">
        <is>
          <t>2708001686</t>
        </is>
      </c>
      <c r="J1474" s="1" t="inlineStr">
        <is>
          <t>ОТ № ЮГОК ЗИОФ 24-34</t>
        </is>
      </c>
      <c r="K147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474" s="1" t="inlineStr">
        <is>
          <t>25.10.2024</t>
        </is>
      </c>
      <c r="M1474" s="1" t="inlineStr">
        <is>
          <t>Успешно</t>
        </is>
      </c>
      <c r="N1474" s="1" t="inlineStr">
        <is>
          <t>02.11.2024</t>
        </is>
      </c>
      <c r="O1474" s="1" t="inlineStr"/>
      <c r="P1474" s="1" t="inlineStr"/>
      <c r="Q1474" s="1" t="inlineStr">
        <is>
          <t>Пользовательский интерфейс</t>
        </is>
      </c>
    </row>
    <row r="1475">
      <c r="B1475" s="1" t="inlineStr">
        <is>
          <t>85344304</t>
        </is>
      </c>
      <c r="C1475" s="1" t="inlineStr">
        <is>
          <t>6554154</t>
        </is>
      </c>
      <c r="D1475" t="inlineStr">
        <is>
          <t>работник 441</t>
        </is>
      </c>
      <c r="E1475" s="1" t="inlineStr">
        <is>
          <t>ОБЩЕСТВО С ОГРАНИЧЕННОЙ ОТВЕТСТВЕННОСТЬЮ "АМУР ЗОЛОТО"</t>
        </is>
      </c>
      <c r="F1475" s="1" t="inlineStr">
        <is>
          <t>2708001686</t>
        </is>
      </c>
      <c r="G1475" s="1" t="inlineStr">
        <is>
          <t>Фильтровальщик</t>
        </is>
      </c>
      <c r="H1475" s="1" t="inlineStr">
        <is>
          <t>ООО "Амур Золото"</t>
        </is>
      </c>
      <c r="I1475" s="1" t="inlineStr">
        <is>
          <t>2708001686</t>
        </is>
      </c>
      <c r="J1475" s="1" t="inlineStr">
        <is>
          <t>ОТ № ЮГОК ЗИОФ 24-34</t>
        </is>
      </c>
      <c r="K1475" s="1" t="inlineStr">
        <is>
          <t>Использование (применение) средств индивидуальной защиты</t>
        </is>
      </c>
      <c r="L1475" s="1" t="inlineStr">
        <is>
          <t>25.10.2024</t>
        </is>
      </c>
      <c r="M1475" s="1" t="inlineStr">
        <is>
          <t>Успешно</t>
        </is>
      </c>
      <c r="N1475" s="1" t="inlineStr">
        <is>
          <t>02.11.2024</t>
        </is>
      </c>
      <c r="O1475" s="1" t="inlineStr"/>
      <c r="P1475" s="1" t="inlineStr"/>
      <c r="Q1475" s="1" t="inlineStr">
        <is>
          <t>Пользовательский интерфейс</t>
        </is>
      </c>
    </row>
    <row r="1476">
      <c r="B1476" s="1" t="inlineStr">
        <is>
          <t>85344305</t>
        </is>
      </c>
      <c r="C1476" s="1" t="inlineStr">
        <is>
          <t>6554154</t>
        </is>
      </c>
      <c r="D1476" t="inlineStr">
        <is>
          <t>работник 441</t>
        </is>
      </c>
      <c r="E1476" s="1" t="inlineStr">
        <is>
          <t>ОБЩЕСТВО С ОГРАНИЧЕННОЙ ОТВЕТСТВЕННОСТЬЮ "АМУР ЗОЛОТО"</t>
        </is>
      </c>
      <c r="F1476" s="1" t="inlineStr">
        <is>
          <t>2708001686</t>
        </is>
      </c>
      <c r="G1476" s="1" t="inlineStr">
        <is>
          <t>Фильтровальщик</t>
        </is>
      </c>
      <c r="H1476" s="1" t="inlineStr">
        <is>
          <t>ООО "Амур Золото"</t>
        </is>
      </c>
      <c r="I1476" s="1" t="inlineStr">
        <is>
          <t>2708001686</t>
        </is>
      </c>
      <c r="J1476" s="1" t="inlineStr">
        <is>
          <t>ОТ № ЮГОК ЗИОФ 24-34</t>
        </is>
      </c>
      <c r="K147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476" s="1" t="inlineStr">
        <is>
          <t>25.10.2024</t>
        </is>
      </c>
      <c r="M1476" s="1" t="inlineStr">
        <is>
          <t>Успешно</t>
        </is>
      </c>
      <c r="N1476" s="1" t="inlineStr">
        <is>
          <t>02.11.2024</t>
        </is>
      </c>
      <c r="O1476" s="1" t="inlineStr"/>
      <c r="P1476" s="1" t="inlineStr"/>
      <c r="Q1476" s="1" t="inlineStr">
        <is>
          <t>Пользовательский интерфейс</t>
        </is>
      </c>
    </row>
    <row r="1477">
      <c r="B1477" s="1" t="inlineStr">
        <is>
          <t>85344306</t>
        </is>
      </c>
      <c r="C1477" s="1" t="inlineStr">
        <is>
          <t>6554154</t>
        </is>
      </c>
      <c r="D1477" t="inlineStr">
        <is>
          <t>работник 442</t>
        </is>
      </c>
      <c r="E1477" s="1" t="inlineStr">
        <is>
          <t>ОБЩЕСТВО С ОГРАНИЧЕННОЙ ОТВЕТСТВЕННОСТЬЮ "АМУР ЗОЛОТО"</t>
        </is>
      </c>
      <c r="F1477" s="1" t="inlineStr">
        <is>
          <t>2708001686</t>
        </is>
      </c>
      <c r="G1477" s="1" t="inlineStr">
        <is>
          <t>Аппаратчик-гидрометаллург</t>
        </is>
      </c>
      <c r="H1477" s="1" t="inlineStr">
        <is>
          <t>ООО "Амур Золото"</t>
        </is>
      </c>
      <c r="I1477" s="1" t="inlineStr">
        <is>
          <t>2708001686</t>
        </is>
      </c>
      <c r="J1477" s="1" t="inlineStr">
        <is>
          <t>ОТ № ЮГОК ЗИОФ 24-34</t>
        </is>
      </c>
      <c r="K1477" s="1" t="inlineStr">
        <is>
          <t>Использование (применение) средств индивидуальной защиты</t>
        </is>
      </c>
      <c r="L1477" s="1" t="inlineStr">
        <is>
          <t>25.10.2024</t>
        </is>
      </c>
      <c r="M1477" s="1" t="inlineStr">
        <is>
          <t>Успешно</t>
        </is>
      </c>
      <c r="N1477" s="1" t="inlineStr">
        <is>
          <t>02.11.2024</t>
        </is>
      </c>
      <c r="O1477" s="1" t="inlineStr"/>
      <c r="P1477" s="1" t="inlineStr"/>
      <c r="Q1477" s="1" t="inlineStr">
        <is>
          <t>Пользовательский интерфейс</t>
        </is>
      </c>
    </row>
    <row r="1478">
      <c r="B1478" s="1" t="inlineStr">
        <is>
          <t>85344307</t>
        </is>
      </c>
      <c r="C1478" s="1" t="inlineStr">
        <is>
          <t>6554154</t>
        </is>
      </c>
      <c r="D1478" t="inlineStr">
        <is>
          <t>работник 442</t>
        </is>
      </c>
      <c r="E1478" s="1" t="inlineStr">
        <is>
          <t>ОБЩЕСТВО С ОГРАНИЧЕННОЙ ОТВЕТСТВЕННОСТЬЮ "АМУР ЗОЛОТО"</t>
        </is>
      </c>
      <c r="F1478" s="1" t="inlineStr">
        <is>
          <t>2708001686</t>
        </is>
      </c>
      <c r="G1478" s="1" t="inlineStr">
        <is>
          <t>Аппаратчик-гидрометаллург</t>
        </is>
      </c>
      <c r="H1478" s="1" t="inlineStr">
        <is>
          <t>ООО "Амур Золото"</t>
        </is>
      </c>
      <c r="I1478" s="1" t="inlineStr">
        <is>
          <t>2708001686</t>
        </is>
      </c>
      <c r="J1478" s="1" t="inlineStr">
        <is>
          <t>ОТ № ЮГОК ЗИОФ 24-34</t>
        </is>
      </c>
      <c r="K147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478" s="1" t="inlineStr">
        <is>
          <t>25.10.2024</t>
        </is>
      </c>
      <c r="M1478" s="1" t="inlineStr">
        <is>
          <t>Успешно</t>
        </is>
      </c>
      <c r="N1478" s="1" t="inlineStr">
        <is>
          <t>02.11.2024</t>
        </is>
      </c>
      <c r="O1478" s="1" t="inlineStr"/>
      <c r="P1478" s="1" t="inlineStr"/>
      <c r="Q1478" s="1" t="inlineStr">
        <is>
          <t>Пользовательский интерфейс</t>
        </is>
      </c>
    </row>
    <row r="1479">
      <c r="B1479" s="1" t="inlineStr">
        <is>
          <t>85344308</t>
        </is>
      </c>
      <c r="C1479" s="1" t="inlineStr">
        <is>
          <t>6554154</t>
        </is>
      </c>
      <c r="D1479" t="inlineStr">
        <is>
          <t>работник 443</t>
        </is>
      </c>
      <c r="E1479" s="1" t="inlineStr">
        <is>
          <t>ОБЩЕСТВО С ОГРАНИЧЕННОЙ ОТВЕТСТВЕННОСТЬЮ "АМУР ЗОЛОТО"</t>
        </is>
      </c>
      <c r="F1479" s="1" t="inlineStr">
        <is>
          <t>2708001686</t>
        </is>
      </c>
      <c r="G1479" s="1" t="inlineStr">
        <is>
          <t>Аппаратчик-гидрометаллург</t>
        </is>
      </c>
      <c r="H1479" s="1" t="inlineStr">
        <is>
          <t>ООО "Амур Золото"</t>
        </is>
      </c>
      <c r="I1479" s="1" t="inlineStr">
        <is>
          <t>2708001686</t>
        </is>
      </c>
      <c r="J1479" s="1" t="inlineStr">
        <is>
          <t>ОТ № ЮГОК ЗИОФ 24-34</t>
        </is>
      </c>
      <c r="K1479" s="1" t="inlineStr">
        <is>
          <t>Использование (применение) средств индивидуальной защиты</t>
        </is>
      </c>
      <c r="L1479" s="1" t="inlineStr">
        <is>
          <t>25.10.2024</t>
        </is>
      </c>
      <c r="M1479" s="1" t="inlineStr">
        <is>
          <t>Успешно</t>
        </is>
      </c>
      <c r="N1479" s="1" t="inlineStr">
        <is>
          <t>02.11.2024</t>
        </is>
      </c>
      <c r="O1479" s="1" t="inlineStr"/>
      <c r="P1479" s="1" t="inlineStr"/>
      <c r="Q1479" s="1" t="inlineStr">
        <is>
          <t>Пользовательский интерфейс</t>
        </is>
      </c>
    </row>
    <row r="1480">
      <c r="B1480" s="1" t="inlineStr">
        <is>
          <t>85344309</t>
        </is>
      </c>
      <c r="C1480" s="1" t="inlineStr">
        <is>
          <t>6554154</t>
        </is>
      </c>
      <c r="D1480" t="inlineStr">
        <is>
          <t>работник 443</t>
        </is>
      </c>
      <c r="E1480" s="1" t="inlineStr">
        <is>
          <t>ОБЩЕСТВО С ОГРАНИЧЕННОЙ ОТВЕТСТВЕННОСТЬЮ "АМУР ЗОЛОТО"</t>
        </is>
      </c>
      <c r="F1480" s="1" t="inlineStr">
        <is>
          <t>2708001686</t>
        </is>
      </c>
      <c r="G1480" s="1" t="inlineStr">
        <is>
          <t>Аппаратчик-гидрометаллург</t>
        </is>
      </c>
      <c r="H1480" s="1" t="inlineStr">
        <is>
          <t>ООО "Амур Золото"</t>
        </is>
      </c>
      <c r="I1480" s="1" t="inlineStr">
        <is>
          <t>2708001686</t>
        </is>
      </c>
      <c r="J1480" s="1" t="inlineStr">
        <is>
          <t>ОТ № ЮГОК ЗИОФ 24-34</t>
        </is>
      </c>
      <c r="K148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480" s="1" t="inlineStr">
        <is>
          <t>25.10.2024</t>
        </is>
      </c>
      <c r="M1480" s="1" t="inlineStr">
        <is>
          <t>Успешно</t>
        </is>
      </c>
      <c r="N1480" s="1" t="inlineStr">
        <is>
          <t>02.11.2024</t>
        </is>
      </c>
      <c r="O1480" s="1" t="inlineStr"/>
      <c r="P1480" s="1" t="inlineStr"/>
      <c r="Q1480" s="1" t="inlineStr">
        <is>
          <t>Пользовательский интерфейс</t>
        </is>
      </c>
    </row>
    <row r="1481">
      <c r="B1481" s="1" t="inlineStr">
        <is>
          <t>85344310</t>
        </is>
      </c>
      <c r="C1481" s="1" t="inlineStr">
        <is>
          <t>6554154</t>
        </is>
      </c>
      <c r="D1481" t="inlineStr">
        <is>
          <t>работник 444</t>
        </is>
      </c>
      <c r="E1481" s="1" t="inlineStr">
        <is>
          <t>ОБЩЕСТВО С ОГРАНИЧЕННОЙ ОТВЕТСТВЕННОСТЬЮ "АМУР ЗОЛОТО"</t>
        </is>
      </c>
      <c r="F1481" s="1" t="inlineStr">
        <is>
          <t>2708001686</t>
        </is>
      </c>
      <c r="G1481" s="1" t="inlineStr">
        <is>
          <t>Слесарь-ремонтник (по ремонту обогатительного оборудования)</t>
        </is>
      </c>
      <c r="H1481" s="1" t="inlineStr">
        <is>
          <t>ООО "Амур Золото"</t>
        </is>
      </c>
      <c r="I1481" s="1" t="inlineStr">
        <is>
          <t>2708001686</t>
        </is>
      </c>
      <c r="J1481" s="1" t="inlineStr">
        <is>
          <t>ОТ № ЮГОК ЗИОФ 24-34</t>
        </is>
      </c>
      <c r="K1481" s="1" t="inlineStr">
        <is>
          <t>Использование (применение) средств индивидуальной защиты</t>
        </is>
      </c>
      <c r="L1481" s="1" t="inlineStr">
        <is>
          <t>25.10.2024</t>
        </is>
      </c>
      <c r="M1481" s="1" t="inlineStr">
        <is>
          <t>Успешно</t>
        </is>
      </c>
      <c r="N1481" s="1" t="inlineStr">
        <is>
          <t>02.11.2024</t>
        </is>
      </c>
      <c r="O1481" s="1" t="inlineStr"/>
      <c r="P1481" s="1" t="inlineStr"/>
      <c r="Q1481" s="1" t="inlineStr">
        <is>
          <t>Пользовательский интерфейс</t>
        </is>
      </c>
    </row>
    <row r="1482">
      <c r="B1482" s="1" t="inlineStr">
        <is>
          <t>85344311</t>
        </is>
      </c>
      <c r="C1482" s="1" t="inlineStr">
        <is>
          <t>6554154</t>
        </is>
      </c>
      <c r="D1482" t="inlineStr">
        <is>
          <t>работник 444</t>
        </is>
      </c>
      <c r="E1482" s="1" t="inlineStr">
        <is>
          <t>ОБЩЕСТВО С ОГРАНИЧЕННОЙ ОТВЕТСТВЕННОСТЬЮ "АМУР ЗОЛОТО"</t>
        </is>
      </c>
      <c r="F1482" s="1" t="inlineStr">
        <is>
          <t>2708001686</t>
        </is>
      </c>
      <c r="G1482" s="1" t="inlineStr">
        <is>
          <t>Слесарь-ремонтник (по ремонту обогатительного оборудования)</t>
        </is>
      </c>
      <c r="H1482" s="1" t="inlineStr">
        <is>
          <t>ООО "Амур Золото"</t>
        </is>
      </c>
      <c r="I1482" s="1" t="inlineStr">
        <is>
          <t>2708001686</t>
        </is>
      </c>
      <c r="J1482" s="1" t="inlineStr">
        <is>
          <t>ОТ № ЮГОК ЗИОФ 24-34</t>
        </is>
      </c>
      <c r="K148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482" s="1" t="inlineStr">
        <is>
          <t>25.10.2024</t>
        </is>
      </c>
      <c r="M1482" s="1" t="inlineStr">
        <is>
          <t>Успешно</t>
        </is>
      </c>
      <c r="N1482" s="1" t="inlineStr">
        <is>
          <t>02.11.2024</t>
        </is>
      </c>
      <c r="O1482" s="1" t="inlineStr"/>
      <c r="P1482" s="1" t="inlineStr"/>
      <c r="Q1482" s="1" t="inlineStr">
        <is>
          <t>Пользовательский интерфейс</t>
        </is>
      </c>
    </row>
    <row r="1483">
      <c r="B1483" s="1" t="inlineStr">
        <is>
          <t>85344312</t>
        </is>
      </c>
      <c r="C1483" s="1" t="inlineStr">
        <is>
          <t>6554154</t>
        </is>
      </c>
      <c r="D1483" t="inlineStr">
        <is>
          <t>работник 445</t>
        </is>
      </c>
      <c r="E1483" s="1" t="inlineStr">
        <is>
          <t>ОБЩЕСТВО С ОГРАНИЧЕННОЙ ОТВЕТСТВЕННОСТЬЮ "АМУР ЗОЛОТО"</t>
        </is>
      </c>
      <c r="F1483" s="1" t="inlineStr">
        <is>
          <t>2708001686</t>
        </is>
      </c>
      <c r="G1483" s="1" t="inlineStr">
        <is>
          <t>Дробильщик</t>
        </is>
      </c>
      <c r="H1483" s="1" t="inlineStr">
        <is>
          <t>ООО "Амур Золото"</t>
        </is>
      </c>
      <c r="I1483" s="1" t="inlineStr">
        <is>
          <t>2708001686</t>
        </is>
      </c>
      <c r="J1483" s="1" t="inlineStr">
        <is>
          <t>ОТ № ЮГОК ЗИОФ 24-34</t>
        </is>
      </c>
      <c r="K1483" s="1" t="inlineStr">
        <is>
          <t>Использование (применение) средств индивидуальной защиты</t>
        </is>
      </c>
      <c r="L1483" s="1" t="inlineStr">
        <is>
          <t>25.10.2024</t>
        </is>
      </c>
      <c r="M1483" s="1" t="inlineStr">
        <is>
          <t>Успешно</t>
        </is>
      </c>
      <c r="N1483" s="1" t="inlineStr">
        <is>
          <t>02.11.2024</t>
        </is>
      </c>
      <c r="O1483" s="1" t="inlineStr"/>
      <c r="P1483" s="1" t="inlineStr"/>
      <c r="Q1483" s="1" t="inlineStr">
        <is>
          <t>Пользовательский интерфейс</t>
        </is>
      </c>
    </row>
    <row r="1484">
      <c r="B1484" s="1" t="inlineStr">
        <is>
          <t>85344313</t>
        </is>
      </c>
      <c r="C1484" s="1" t="inlineStr">
        <is>
          <t>6554154</t>
        </is>
      </c>
      <c r="D1484" t="inlineStr">
        <is>
          <t>работник 445</t>
        </is>
      </c>
      <c r="E1484" s="1" t="inlineStr">
        <is>
          <t>ОБЩЕСТВО С ОГРАНИЧЕННОЙ ОТВЕТСТВЕННОСТЬЮ "АМУР ЗОЛОТО"</t>
        </is>
      </c>
      <c r="F1484" s="1" t="inlineStr">
        <is>
          <t>2708001686</t>
        </is>
      </c>
      <c r="G1484" s="1" t="inlineStr">
        <is>
          <t>Дробильщик</t>
        </is>
      </c>
      <c r="H1484" s="1" t="inlineStr">
        <is>
          <t>ООО "Амур Золото"</t>
        </is>
      </c>
      <c r="I1484" s="1" t="inlineStr">
        <is>
          <t>2708001686</t>
        </is>
      </c>
      <c r="J1484" s="1" t="inlineStr">
        <is>
          <t>ОТ № ЮГОК ЗИОФ 24-34</t>
        </is>
      </c>
      <c r="K148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484" s="1" t="inlineStr">
        <is>
          <t>25.10.2024</t>
        </is>
      </c>
      <c r="M1484" s="1" t="inlineStr">
        <is>
          <t>Успешно</t>
        </is>
      </c>
      <c r="N1484" s="1" t="inlineStr">
        <is>
          <t>02.11.2024</t>
        </is>
      </c>
      <c r="O1484" s="1" t="inlineStr"/>
      <c r="P1484" s="1" t="inlineStr"/>
      <c r="Q1484" s="1" t="inlineStr">
        <is>
          <t>Пользовательский интерфейс</t>
        </is>
      </c>
    </row>
    <row r="1485">
      <c r="B1485" s="1" t="inlineStr">
        <is>
          <t>85344314</t>
        </is>
      </c>
      <c r="C1485" s="1" t="inlineStr">
        <is>
          <t>6554154</t>
        </is>
      </c>
      <c r="D1485" t="inlineStr">
        <is>
          <t>работник 446</t>
        </is>
      </c>
      <c r="E1485" s="1" t="inlineStr">
        <is>
          <t>ОБЩЕСТВО С ОГРАНИЧЕННОЙ ОТВЕТСТВЕННОСТЬЮ "АМУР ЗОЛОТО"</t>
        </is>
      </c>
      <c r="F1485" s="1" t="inlineStr">
        <is>
          <t>2708001686</t>
        </is>
      </c>
      <c r="G1485" s="1" t="inlineStr">
        <is>
          <t>Бункеровщик</t>
        </is>
      </c>
      <c r="H1485" s="1" t="inlineStr">
        <is>
          <t>ООО "Амур Золото"</t>
        </is>
      </c>
      <c r="I1485" s="1" t="inlineStr">
        <is>
          <t>2708001686</t>
        </is>
      </c>
      <c r="J1485" s="1" t="inlineStr">
        <is>
          <t>ОТ № ЮГОК ЗИОФ 24-34</t>
        </is>
      </c>
      <c r="K1485" s="1" t="inlineStr">
        <is>
          <t>Использование (применение) средств индивидуальной защиты</t>
        </is>
      </c>
      <c r="L1485" s="1" t="inlineStr">
        <is>
          <t>25.10.2024</t>
        </is>
      </c>
      <c r="M1485" s="1" t="inlineStr">
        <is>
          <t>Успешно</t>
        </is>
      </c>
      <c r="N1485" s="1" t="inlineStr">
        <is>
          <t>02.11.2024</t>
        </is>
      </c>
      <c r="O1485" s="1" t="inlineStr"/>
      <c r="P1485" s="1" t="inlineStr"/>
      <c r="Q1485" s="1" t="inlineStr">
        <is>
          <t>Пользовательский интерфейс</t>
        </is>
      </c>
    </row>
    <row r="1486">
      <c r="B1486" s="1" t="inlineStr">
        <is>
          <t>85344315</t>
        </is>
      </c>
      <c r="C1486" s="1" t="inlineStr">
        <is>
          <t>6554154</t>
        </is>
      </c>
      <c r="D1486" t="inlineStr">
        <is>
          <t>работник 446</t>
        </is>
      </c>
      <c r="E1486" s="1" t="inlineStr">
        <is>
          <t>ОБЩЕСТВО С ОГРАНИЧЕННОЙ ОТВЕТСТВЕННОСТЬЮ "АМУР ЗОЛОТО"</t>
        </is>
      </c>
      <c r="F1486" s="1" t="inlineStr">
        <is>
          <t>2708001686</t>
        </is>
      </c>
      <c r="G1486" s="1" t="inlineStr">
        <is>
          <t>Бункеровщик</t>
        </is>
      </c>
      <c r="H1486" s="1" t="inlineStr">
        <is>
          <t>ООО "Амур Золото"</t>
        </is>
      </c>
      <c r="I1486" s="1" t="inlineStr">
        <is>
          <t>2708001686</t>
        </is>
      </c>
      <c r="J1486" s="1" t="inlineStr">
        <is>
          <t>ОТ № ЮГОК ЗИОФ 24-34</t>
        </is>
      </c>
      <c r="K148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486" s="1" t="inlineStr">
        <is>
          <t>25.10.2024</t>
        </is>
      </c>
      <c r="M1486" s="1" t="inlineStr">
        <is>
          <t>Успешно</t>
        </is>
      </c>
      <c r="N1486" s="1" t="inlineStr">
        <is>
          <t>02.11.2024</t>
        </is>
      </c>
      <c r="O1486" s="1" t="inlineStr"/>
      <c r="P1486" s="1" t="inlineStr"/>
      <c r="Q1486" s="1" t="inlineStr">
        <is>
          <t>Пользовательский интерфейс</t>
        </is>
      </c>
    </row>
    <row r="1487">
      <c r="B1487" s="1" t="inlineStr">
        <is>
          <t>85344316</t>
        </is>
      </c>
      <c r="C1487" s="1" t="inlineStr">
        <is>
          <t>6554154</t>
        </is>
      </c>
      <c r="D1487" t="inlineStr">
        <is>
          <t>работник 447</t>
        </is>
      </c>
      <c r="E1487" s="1" t="inlineStr">
        <is>
          <t>ОБЩЕСТВО С ОГРАНИЧЕННОЙ ОТВЕТСТВЕННОСТЬЮ "АМУР ЗОЛОТО"</t>
        </is>
      </c>
      <c r="F1487" s="1" t="inlineStr">
        <is>
          <t>2708001686</t>
        </is>
      </c>
      <c r="G1487" s="1" t="inlineStr">
        <is>
          <t>Фильтровальщик</t>
        </is>
      </c>
      <c r="H1487" s="1" t="inlineStr">
        <is>
          <t>ООО "Амур Золото"</t>
        </is>
      </c>
      <c r="I1487" s="1" t="inlineStr">
        <is>
          <t>2708001686</t>
        </is>
      </c>
      <c r="J1487" s="1" t="inlineStr">
        <is>
          <t>ОТ № ЮГОК ЗИОФ 24-34</t>
        </is>
      </c>
      <c r="K1487" s="1" t="inlineStr">
        <is>
          <t>Использование (применение) средств индивидуальной защиты</t>
        </is>
      </c>
      <c r="L1487" s="1" t="inlineStr">
        <is>
          <t>25.10.2024</t>
        </is>
      </c>
      <c r="M1487" s="1" t="inlineStr">
        <is>
          <t>Успешно</t>
        </is>
      </c>
      <c r="N1487" s="1" t="inlineStr">
        <is>
          <t>02.11.2024</t>
        </is>
      </c>
      <c r="O1487" s="1" t="inlineStr"/>
      <c r="P1487" s="1" t="inlineStr"/>
      <c r="Q1487" s="1" t="inlineStr">
        <is>
          <t>Пользовательский интерфейс</t>
        </is>
      </c>
    </row>
    <row r="1488">
      <c r="B1488" s="1" t="inlineStr">
        <is>
          <t>85344317</t>
        </is>
      </c>
      <c r="C1488" s="1" t="inlineStr">
        <is>
          <t>6554154</t>
        </is>
      </c>
      <c r="D1488" t="inlineStr">
        <is>
          <t>работник 447</t>
        </is>
      </c>
      <c r="E1488" s="1" t="inlineStr">
        <is>
          <t>ОБЩЕСТВО С ОГРАНИЧЕННОЙ ОТВЕТСТВЕННОСТЬЮ "АМУР ЗОЛОТО"</t>
        </is>
      </c>
      <c r="F1488" s="1" t="inlineStr">
        <is>
          <t>2708001686</t>
        </is>
      </c>
      <c r="G1488" s="1" t="inlineStr">
        <is>
          <t>Фильтровальщик</t>
        </is>
      </c>
      <c r="H1488" s="1" t="inlineStr">
        <is>
          <t>ООО "Амур Золото"</t>
        </is>
      </c>
      <c r="I1488" s="1" t="inlineStr">
        <is>
          <t>2708001686</t>
        </is>
      </c>
      <c r="J1488" s="1" t="inlineStr">
        <is>
          <t>ОТ № ЮГОК ЗИОФ 24-34</t>
        </is>
      </c>
      <c r="K148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488" s="1" t="inlineStr">
        <is>
          <t>25.10.2024</t>
        </is>
      </c>
      <c r="M1488" s="1" t="inlineStr">
        <is>
          <t>Успешно</t>
        </is>
      </c>
      <c r="N1488" s="1" t="inlineStr">
        <is>
          <t>02.11.2024</t>
        </is>
      </c>
      <c r="O1488" s="1" t="inlineStr"/>
      <c r="P1488" s="1" t="inlineStr"/>
      <c r="Q1488" s="1" t="inlineStr">
        <is>
          <t>Пользовательский интерфейс</t>
        </is>
      </c>
    </row>
    <row r="1489">
      <c r="B1489" s="1" t="inlineStr">
        <is>
          <t>85344318</t>
        </is>
      </c>
      <c r="C1489" s="1" t="inlineStr">
        <is>
          <t>6554154</t>
        </is>
      </c>
      <c r="D1489" t="inlineStr">
        <is>
          <t>работник 448</t>
        </is>
      </c>
      <c r="E1489" s="1" t="inlineStr">
        <is>
          <t>ОБЩЕСТВО С ОГРАНИЧЕННОЙ ОТВЕТСТВЕННОСТЬЮ "АМУР ЗОЛОТО"</t>
        </is>
      </c>
      <c r="F1489" s="1" t="inlineStr">
        <is>
          <t>2708001686</t>
        </is>
      </c>
      <c r="G1489" s="1" t="inlineStr">
        <is>
          <t>Слесарь по контрольно-измерительным приборам и автоматике</t>
        </is>
      </c>
      <c r="H1489" s="1" t="inlineStr">
        <is>
          <t>ООО "Амур Золото"</t>
        </is>
      </c>
      <c r="I1489" s="1" t="inlineStr">
        <is>
          <t>2708001686</t>
        </is>
      </c>
      <c r="J1489" s="1" t="inlineStr">
        <is>
          <t>ОТ № ЮГОК ЗИОФ 24-34</t>
        </is>
      </c>
      <c r="K1489" s="1" t="inlineStr">
        <is>
          <t>Использование (применение) средств индивидуальной защиты</t>
        </is>
      </c>
      <c r="L1489" s="1" t="inlineStr">
        <is>
          <t>25.10.2024</t>
        </is>
      </c>
      <c r="M1489" s="1" t="inlineStr">
        <is>
          <t>Успешно</t>
        </is>
      </c>
      <c r="N1489" s="1" t="inlineStr">
        <is>
          <t>02.11.2024</t>
        </is>
      </c>
      <c r="O1489" s="1" t="inlineStr"/>
      <c r="P1489" s="1" t="inlineStr"/>
      <c r="Q1489" s="1" t="inlineStr">
        <is>
          <t>Пользовательский интерфейс</t>
        </is>
      </c>
    </row>
    <row r="1490">
      <c r="B1490" s="1" t="inlineStr">
        <is>
          <t>85344319</t>
        </is>
      </c>
      <c r="C1490" s="1" t="inlineStr">
        <is>
          <t>6554154</t>
        </is>
      </c>
      <c r="D1490" t="inlineStr">
        <is>
          <t>работник 448</t>
        </is>
      </c>
      <c r="E1490" s="1" t="inlineStr">
        <is>
          <t>ОБЩЕСТВО С ОГРАНИЧЕННОЙ ОТВЕТСТВЕННОСТЬЮ "АМУР ЗОЛОТО"</t>
        </is>
      </c>
      <c r="F1490" s="1" t="inlineStr">
        <is>
          <t>2708001686</t>
        </is>
      </c>
      <c r="G1490" s="1" t="inlineStr">
        <is>
          <t>Слесарь по контрольно-измерительным приборам и автоматике</t>
        </is>
      </c>
      <c r="H1490" s="1" t="inlineStr">
        <is>
          <t>ООО "Амур Золото"</t>
        </is>
      </c>
      <c r="I1490" s="1" t="inlineStr">
        <is>
          <t>2708001686</t>
        </is>
      </c>
      <c r="J1490" s="1" t="inlineStr">
        <is>
          <t>ОТ № ЮГОК ЗИОФ 24-34</t>
        </is>
      </c>
      <c r="K149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490" s="1" t="inlineStr">
        <is>
          <t>25.10.2024</t>
        </is>
      </c>
      <c r="M1490" s="1" t="inlineStr">
        <is>
          <t>Успешно</t>
        </is>
      </c>
      <c r="N1490" s="1" t="inlineStr">
        <is>
          <t>02.11.2024</t>
        </is>
      </c>
      <c r="O1490" s="1" t="inlineStr"/>
      <c r="P1490" s="1" t="inlineStr"/>
      <c r="Q1490" s="1" t="inlineStr">
        <is>
          <t>Пользовательский интерфейс</t>
        </is>
      </c>
    </row>
    <row r="1491">
      <c r="B1491" s="1" t="inlineStr">
        <is>
          <t>85344320</t>
        </is>
      </c>
      <c r="C1491" s="1" t="inlineStr">
        <is>
          <t>6554154</t>
        </is>
      </c>
      <c r="D1491" t="inlineStr">
        <is>
          <t>работник 449</t>
        </is>
      </c>
      <c r="E1491" s="1" t="inlineStr">
        <is>
          <t>ОБЩЕСТВО С ОГРАНИЧЕННОЙ ОТВЕТСТВЕННОСТЬЮ "АМУР ЗОЛОТО"</t>
        </is>
      </c>
      <c r="F1491" s="1" t="inlineStr">
        <is>
          <t>2708001686</t>
        </is>
      </c>
      <c r="G1491" s="1" t="inlineStr">
        <is>
          <t>Слесарь-ремонтник (по ремонту обогатительного оборудования)</t>
        </is>
      </c>
      <c r="H1491" s="1" t="inlineStr">
        <is>
          <t>ООО "Амур Золото"</t>
        </is>
      </c>
      <c r="I1491" s="1" t="inlineStr">
        <is>
          <t>2708001686</t>
        </is>
      </c>
      <c r="J1491" s="1" t="inlineStr">
        <is>
          <t>ОТ № ЮГОК ЗИОФ 24-34</t>
        </is>
      </c>
      <c r="K1491" s="1" t="inlineStr">
        <is>
          <t>Использование (применение) средств индивидуальной защиты</t>
        </is>
      </c>
      <c r="L1491" s="1" t="inlineStr">
        <is>
          <t>25.10.2024</t>
        </is>
      </c>
      <c r="M1491" s="1" t="inlineStr">
        <is>
          <t>Успешно</t>
        </is>
      </c>
      <c r="N1491" s="1" t="inlineStr">
        <is>
          <t>02.11.2024</t>
        </is>
      </c>
      <c r="O1491" s="1" t="inlineStr"/>
      <c r="P1491" s="1" t="inlineStr"/>
      <c r="Q1491" s="1" t="inlineStr">
        <is>
          <t>Пользовательский интерфейс</t>
        </is>
      </c>
    </row>
    <row r="1492">
      <c r="B1492" s="1" t="inlineStr">
        <is>
          <t>85344321</t>
        </is>
      </c>
      <c r="C1492" s="1" t="inlineStr">
        <is>
          <t>6554154</t>
        </is>
      </c>
      <c r="D1492" t="inlineStr">
        <is>
          <t>работник 449</t>
        </is>
      </c>
      <c r="E1492" s="1" t="inlineStr">
        <is>
          <t>ОБЩЕСТВО С ОГРАНИЧЕННОЙ ОТВЕТСТВЕННОСТЬЮ "АМУР ЗОЛОТО"</t>
        </is>
      </c>
      <c r="F1492" s="1" t="inlineStr">
        <is>
          <t>2708001686</t>
        </is>
      </c>
      <c r="G1492" s="1" t="inlineStr">
        <is>
          <t>Слесарь-ремонтник (по ремонту обогатительного оборудования)</t>
        </is>
      </c>
      <c r="H1492" s="1" t="inlineStr">
        <is>
          <t>ООО "Амур Золото"</t>
        </is>
      </c>
      <c r="I1492" s="1" t="inlineStr">
        <is>
          <t>2708001686</t>
        </is>
      </c>
      <c r="J1492" s="1" t="inlineStr">
        <is>
          <t>ОТ № ЮГОК ЗИОФ 24-34</t>
        </is>
      </c>
      <c r="K149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492" s="1" t="inlineStr">
        <is>
          <t>25.10.2024</t>
        </is>
      </c>
      <c r="M1492" s="1" t="inlineStr">
        <is>
          <t>Успешно</t>
        </is>
      </c>
      <c r="N1492" s="1" t="inlineStr">
        <is>
          <t>02.11.2024</t>
        </is>
      </c>
      <c r="O1492" s="1" t="inlineStr"/>
      <c r="P1492" s="1" t="inlineStr"/>
      <c r="Q1492" s="1" t="inlineStr">
        <is>
          <t>Пользовательский интерфейс</t>
        </is>
      </c>
    </row>
    <row r="1493">
      <c r="B1493" s="1" t="inlineStr">
        <is>
          <t>85344322</t>
        </is>
      </c>
      <c r="C1493" s="1" t="inlineStr">
        <is>
          <t>6554154</t>
        </is>
      </c>
      <c r="D1493" t="inlineStr">
        <is>
          <t>работник 450</t>
        </is>
      </c>
      <c r="E1493" s="1" t="inlineStr">
        <is>
          <t>ОБЩЕСТВО С ОГРАНИЧЕННОЙ ОТВЕТСТВЕННОСТЬЮ "АМУР ЗОЛОТО"</t>
        </is>
      </c>
      <c r="F1493" s="1" t="inlineStr">
        <is>
          <t>2708001686</t>
        </is>
      </c>
      <c r="G1493" s="1" t="inlineStr">
        <is>
          <t>Бункеровщик</t>
        </is>
      </c>
      <c r="H1493" s="1" t="inlineStr">
        <is>
          <t>ООО "Амур Золото"</t>
        </is>
      </c>
      <c r="I1493" s="1" t="inlineStr">
        <is>
          <t>2708001686</t>
        </is>
      </c>
      <c r="J1493" s="1" t="inlineStr">
        <is>
          <t>ОТ № ЮГОК ЗИОФ 24-34</t>
        </is>
      </c>
      <c r="K1493" s="1" t="inlineStr">
        <is>
          <t>Использование (применение) средств индивидуальной защиты</t>
        </is>
      </c>
      <c r="L1493" s="1" t="inlineStr">
        <is>
          <t>25.10.2024</t>
        </is>
      </c>
      <c r="M1493" s="1" t="inlineStr">
        <is>
          <t>Успешно</t>
        </is>
      </c>
      <c r="N1493" s="1" t="inlineStr">
        <is>
          <t>02.11.2024</t>
        </is>
      </c>
      <c r="O1493" s="1" t="inlineStr"/>
      <c r="P1493" s="1" t="inlineStr"/>
      <c r="Q1493" s="1" t="inlineStr">
        <is>
          <t>Пользовательский интерфейс</t>
        </is>
      </c>
    </row>
    <row r="1494">
      <c r="B1494" s="1" t="inlineStr">
        <is>
          <t>85344323</t>
        </is>
      </c>
      <c r="C1494" s="1" t="inlineStr">
        <is>
          <t>6554154</t>
        </is>
      </c>
      <c r="D1494" t="inlineStr">
        <is>
          <t>работник 450</t>
        </is>
      </c>
      <c r="E1494" s="1" t="inlineStr">
        <is>
          <t>ОБЩЕСТВО С ОГРАНИЧЕННОЙ ОТВЕТСТВЕННОСТЬЮ "АМУР ЗОЛОТО"</t>
        </is>
      </c>
      <c r="F1494" s="1" t="inlineStr">
        <is>
          <t>2708001686</t>
        </is>
      </c>
      <c r="G1494" s="1" t="inlineStr">
        <is>
          <t>Бункеровщик</t>
        </is>
      </c>
      <c r="H1494" s="1" t="inlineStr">
        <is>
          <t>ООО "Амур Золото"</t>
        </is>
      </c>
      <c r="I1494" s="1" t="inlineStr">
        <is>
          <t>2708001686</t>
        </is>
      </c>
      <c r="J1494" s="1" t="inlineStr">
        <is>
          <t>ОТ № ЮГОК ЗИОФ 24-34</t>
        </is>
      </c>
      <c r="K149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494" s="1" t="inlineStr">
        <is>
          <t>25.10.2024</t>
        </is>
      </c>
      <c r="M1494" s="1" t="inlineStr">
        <is>
          <t>Успешно</t>
        </is>
      </c>
      <c r="N1494" s="1" t="inlineStr">
        <is>
          <t>02.11.2024</t>
        </is>
      </c>
      <c r="O1494" s="1" t="inlineStr"/>
      <c r="P1494" s="1" t="inlineStr"/>
      <c r="Q1494" s="1" t="inlineStr">
        <is>
          <t>Пользовательский интерфейс</t>
        </is>
      </c>
    </row>
    <row r="1495">
      <c r="B1495" s="1" t="inlineStr">
        <is>
          <t>85344324</t>
        </is>
      </c>
      <c r="C1495" s="1" t="inlineStr">
        <is>
          <t>6554154</t>
        </is>
      </c>
      <c r="D1495" t="inlineStr">
        <is>
          <t>работник 451</t>
        </is>
      </c>
      <c r="E1495" s="1" t="inlineStr">
        <is>
          <t>ОБЩЕСТВО С ОГРАНИЧЕННОЙ ОТВЕТСТВЕННОСТЬЮ "АМУР ЗОЛОТО"</t>
        </is>
      </c>
      <c r="F1495" s="1" t="inlineStr">
        <is>
          <t>2708001686</t>
        </is>
      </c>
      <c r="G1495" s="1" t="inlineStr">
        <is>
          <t>Фильтровальщик</t>
        </is>
      </c>
      <c r="H1495" s="1" t="inlineStr">
        <is>
          <t>ООО "Амур Золото"</t>
        </is>
      </c>
      <c r="I1495" s="1" t="inlineStr">
        <is>
          <t>2708001686</t>
        </is>
      </c>
      <c r="J1495" s="1" t="inlineStr">
        <is>
          <t>ОТ № ЮГОК ЗИОФ 24-34</t>
        </is>
      </c>
      <c r="K1495" s="1" t="inlineStr">
        <is>
          <t>Использование (применение) средств индивидуальной защиты</t>
        </is>
      </c>
      <c r="L1495" s="1" t="inlineStr">
        <is>
          <t>25.10.2024</t>
        </is>
      </c>
      <c r="M1495" s="1" t="inlineStr">
        <is>
          <t>Успешно</t>
        </is>
      </c>
      <c r="N1495" s="1" t="inlineStr">
        <is>
          <t>02.11.2024</t>
        </is>
      </c>
      <c r="O1495" s="1" t="inlineStr"/>
      <c r="P1495" s="1" t="inlineStr"/>
      <c r="Q1495" s="1" t="inlineStr">
        <is>
          <t>Пользовательский интерфейс</t>
        </is>
      </c>
    </row>
    <row r="1496">
      <c r="B1496" s="1" t="inlineStr">
        <is>
          <t>85344325</t>
        </is>
      </c>
      <c r="C1496" s="1" t="inlineStr">
        <is>
          <t>6554154</t>
        </is>
      </c>
      <c r="D1496" t="inlineStr">
        <is>
          <t>работник 451</t>
        </is>
      </c>
      <c r="E1496" s="1" t="inlineStr">
        <is>
          <t>ОБЩЕСТВО С ОГРАНИЧЕННОЙ ОТВЕТСТВЕННОСТЬЮ "АМУР ЗОЛОТО"</t>
        </is>
      </c>
      <c r="F1496" s="1" t="inlineStr">
        <is>
          <t>2708001686</t>
        </is>
      </c>
      <c r="G1496" s="1" t="inlineStr">
        <is>
          <t>Фильтровальщик</t>
        </is>
      </c>
      <c r="H1496" s="1" t="inlineStr">
        <is>
          <t>ООО "Амур Золото"</t>
        </is>
      </c>
      <c r="I1496" s="1" t="inlineStr">
        <is>
          <t>2708001686</t>
        </is>
      </c>
      <c r="J1496" s="1" t="inlineStr">
        <is>
          <t>ОТ № ЮГОК ЗИОФ 24-34</t>
        </is>
      </c>
      <c r="K149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496" s="1" t="inlineStr">
        <is>
          <t>25.10.2024</t>
        </is>
      </c>
      <c r="M1496" s="1" t="inlineStr">
        <is>
          <t>Успешно</t>
        </is>
      </c>
      <c r="N1496" s="1" t="inlineStr">
        <is>
          <t>02.11.2024</t>
        </is>
      </c>
      <c r="O1496" s="1" t="inlineStr"/>
      <c r="P1496" s="1" t="inlineStr"/>
      <c r="Q1496" s="1" t="inlineStr">
        <is>
          <t>Пользовательский интерфейс</t>
        </is>
      </c>
    </row>
    <row r="1497">
      <c r="B1497" s="1" t="inlineStr">
        <is>
          <t>85344326</t>
        </is>
      </c>
      <c r="C1497" s="1" t="inlineStr">
        <is>
          <t>6554154</t>
        </is>
      </c>
      <c r="D1497" t="inlineStr">
        <is>
          <t>работник 452</t>
        </is>
      </c>
      <c r="E1497" s="1" t="inlineStr">
        <is>
          <t>ОБЩЕСТВО С ОГРАНИЧЕННОЙ ОТВЕТСТВЕННОСТЬЮ "АМУР ЗОЛОТО"</t>
        </is>
      </c>
      <c r="F1497" s="1" t="inlineStr">
        <is>
          <t>2708001686</t>
        </is>
      </c>
      <c r="G1497" s="1" t="inlineStr">
        <is>
          <t>Фильтровальщик</t>
        </is>
      </c>
      <c r="H1497" s="1" t="inlineStr">
        <is>
          <t>ООО "Амур Золото"</t>
        </is>
      </c>
      <c r="I1497" s="1" t="inlineStr">
        <is>
          <t>2708001686</t>
        </is>
      </c>
      <c r="J1497" s="1" t="inlineStr">
        <is>
          <t>ОТ № ЮГОК ЗИОФ 24-34</t>
        </is>
      </c>
      <c r="K1497" s="1" t="inlineStr">
        <is>
          <t>Использование (применение) средств индивидуальной защиты</t>
        </is>
      </c>
      <c r="L1497" s="1" t="inlineStr">
        <is>
          <t>25.10.2024</t>
        </is>
      </c>
      <c r="M1497" s="1" t="inlineStr">
        <is>
          <t>Успешно</t>
        </is>
      </c>
      <c r="N1497" s="1" t="inlineStr">
        <is>
          <t>02.11.2024</t>
        </is>
      </c>
      <c r="O1497" s="1" t="inlineStr"/>
      <c r="P1497" s="1" t="inlineStr"/>
      <c r="Q1497" s="1" t="inlineStr">
        <is>
          <t>Пользовательский интерфейс</t>
        </is>
      </c>
    </row>
    <row r="1498">
      <c r="B1498" s="1" t="inlineStr">
        <is>
          <t>85344327</t>
        </is>
      </c>
      <c r="C1498" s="1" t="inlineStr">
        <is>
          <t>6554154</t>
        </is>
      </c>
      <c r="D1498" t="inlineStr">
        <is>
          <t>работник 452</t>
        </is>
      </c>
      <c r="E1498" s="1" t="inlineStr">
        <is>
          <t>ОБЩЕСТВО С ОГРАНИЧЕННОЙ ОТВЕТСТВЕННОСТЬЮ "АМУР ЗОЛОТО"</t>
        </is>
      </c>
      <c r="F1498" s="1" t="inlineStr">
        <is>
          <t>2708001686</t>
        </is>
      </c>
      <c r="G1498" s="1" t="inlineStr">
        <is>
          <t>Фильтровальщик</t>
        </is>
      </c>
      <c r="H1498" s="1" t="inlineStr">
        <is>
          <t>ООО "Амур Золото"</t>
        </is>
      </c>
      <c r="I1498" s="1" t="inlineStr">
        <is>
          <t>2708001686</t>
        </is>
      </c>
      <c r="J1498" s="1" t="inlineStr">
        <is>
          <t>ОТ № ЮГОК ЗИОФ 24-34</t>
        </is>
      </c>
      <c r="K149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498" s="1" t="inlineStr">
        <is>
          <t>25.10.2024</t>
        </is>
      </c>
      <c r="M1498" s="1" t="inlineStr">
        <is>
          <t>Успешно</t>
        </is>
      </c>
      <c r="N1498" s="1" t="inlineStr">
        <is>
          <t>02.11.2024</t>
        </is>
      </c>
      <c r="O1498" s="1" t="inlineStr"/>
      <c r="P1498" s="1" t="inlineStr"/>
      <c r="Q1498" s="1" t="inlineStr">
        <is>
          <t>Пользовательский интерфейс</t>
        </is>
      </c>
    </row>
    <row r="1499">
      <c r="B1499" s="1" t="inlineStr">
        <is>
          <t>85344328</t>
        </is>
      </c>
      <c r="C1499" s="1" t="inlineStr">
        <is>
          <t>6554154</t>
        </is>
      </c>
      <c r="D1499" t="inlineStr">
        <is>
          <t>работник 453</t>
        </is>
      </c>
      <c r="E1499" s="1" t="inlineStr">
        <is>
          <t>ОБЩЕСТВО С ОГРАНИЧЕННОЙ ОТВЕТСТВЕННОСТЬЮ "АМУР ЗОЛОТО"</t>
        </is>
      </c>
      <c r="F1499" s="1" t="inlineStr">
        <is>
          <t>2708001686</t>
        </is>
      </c>
      <c r="G1499" s="1" t="inlineStr">
        <is>
          <t>Аппаратчик-гидрометаллург</t>
        </is>
      </c>
      <c r="H1499" s="1" t="inlineStr">
        <is>
          <t>ООО "Амур Золото"</t>
        </is>
      </c>
      <c r="I1499" s="1" t="inlineStr">
        <is>
          <t>2708001686</t>
        </is>
      </c>
      <c r="J1499" s="1" t="inlineStr">
        <is>
          <t>ОТ № ЮГОК ЗИОФ 24-34</t>
        </is>
      </c>
      <c r="K1499" s="1" t="inlineStr">
        <is>
          <t>Использование (применение) средств индивидуальной защиты</t>
        </is>
      </c>
      <c r="L1499" s="1" t="inlineStr">
        <is>
          <t>25.10.2024</t>
        </is>
      </c>
      <c r="M1499" s="1" t="inlineStr">
        <is>
          <t>Успешно</t>
        </is>
      </c>
      <c r="N1499" s="1" t="inlineStr">
        <is>
          <t>02.11.2024</t>
        </is>
      </c>
      <c r="O1499" s="1" t="inlineStr"/>
      <c r="P1499" s="1" t="inlineStr"/>
      <c r="Q1499" s="1" t="inlineStr">
        <is>
          <t>Пользовательский интерфейс</t>
        </is>
      </c>
    </row>
    <row r="1500">
      <c r="B1500" s="1" t="inlineStr">
        <is>
          <t>85344329</t>
        </is>
      </c>
      <c r="C1500" s="1" t="inlineStr">
        <is>
          <t>6554154</t>
        </is>
      </c>
      <c r="D1500" t="inlineStr">
        <is>
          <t>работник 453</t>
        </is>
      </c>
      <c r="E1500" s="1" t="inlineStr">
        <is>
          <t>ОБЩЕСТВО С ОГРАНИЧЕННОЙ ОТВЕТСТВЕННОСТЬЮ "АМУР ЗОЛОТО"</t>
        </is>
      </c>
      <c r="F1500" s="1" t="inlineStr">
        <is>
          <t>2708001686</t>
        </is>
      </c>
      <c r="G1500" s="1" t="inlineStr">
        <is>
          <t>Аппаратчик-гидрометаллург</t>
        </is>
      </c>
      <c r="H1500" s="1" t="inlineStr">
        <is>
          <t>ООО "Амур Золото"</t>
        </is>
      </c>
      <c r="I1500" s="1" t="inlineStr">
        <is>
          <t>2708001686</t>
        </is>
      </c>
      <c r="J1500" s="1" t="inlineStr">
        <is>
          <t>ОТ № ЮГОК ЗИОФ 24-34</t>
        </is>
      </c>
      <c r="K150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500" s="1" t="inlineStr">
        <is>
          <t>25.10.2024</t>
        </is>
      </c>
      <c r="M1500" s="1" t="inlineStr">
        <is>
          <t>Успешно</t>
        </is>
      </c>
      <c r="N1500" s="1" t="inlineStr">
        <is>
          <t>02.11.2024</t>
        </is>
      </c>
      <c r="O1500" s="1" t="inlineStr"/>
      <c r="P1500" s="1" t="inlineStr"/>
      <c r="Q1500" s="1" t="inlineStr">
        <is>
          <t>Пользовательский интерфейс</t>
        </is>
      </c>
    </row>
    <row r="1501">
      <c r="B1501" s="1" t="inlineStr">
        <is>
          <t>85344330</t>
        </is>
      </c>
      <c r="C1501" s="1" t="inlineStr">
        <is>
          <t>6554154</t>
        </is>
      </c>
      <c r="D1501" t="inlineStr">
        <is>
          <t>работник 454</t>
        </is>
      </c>
      <c r="E1501" s="1" t="inlineStr">
        <is>
          <t>ОБЩЕСТВО С ОГРАНИЧЕННОЙ ОТВЕТСТВЕННОСТЬЮ "АМУР ЗОЛОТО"</t>
        </is>
      </c>
      <c r="F1501" s="1" t="inlineStr">
        <is>
          <t>2708001686</t>
        </is>
      </c>
      <c r="G1501" s="1" t="inlineStr">
        <is>
          <t>Бункеровщик</t>
        </is>
      </c>
      <c r="H1501" s="1" t="inlineStr">
        <is>
          <t>ООО "Амур Золото"</t>
        </is>
      </c>
      <c r="I1501" s="1" t="inlineStr">
        <is>
          <t>2708001686</t>
        </is>
      </c>
      <c r="J1501" s="1" t="inlineStr">
        <is>
          <t>ОТ № ЮГОК ЗИОФ 24-35</t>
        </is>
      </c>
      <c r="K1501" s="1" t="inlineStr">
        <is>
          <t>Использование (применение) средств индивидуальной защиты</t>
        </is>
      </c>
      <c r="L1501" s="1" t="inlineStr">
        <is>
          <t>25.10.2024</t>
        </is>
      </c>
      <c r="M1501" s="1" t="inlineStr">
        <is>
          <t>Успешно</t>
        </is>
      </c>
      <c r="N1501" s="1" t="inlineStr">
        <is>
          <t>02.11.2024</t>
        </is>
      </c>
      <c r="O1501" s="1" t="inlineStr"/>
      <c r="P1501" s="1" t="inlineStr"/>
      <c r="Q1501" s="1" t="inlineStr">
        <is>
          <t>Пользовательский интерфейс</t>
        </is>
      </c>
    </row>
    <row r="1502">
      <c r="B1502" s="1" t="inlineStr">
        <is>
          <t>85344331</t>
        </is>
      </c>
      <c r="C1502" s="1" t="inlineStr">
        <is>
          <t>6554154</t>
        </is>
      </c>
      <c r="D1502" t="inlineStr">
        <is>
          <t>работник 454</t>
        </is>
      </c>
      <c r="E1502" s="1" t="inlineStr">
        <is>
          <t>ОБЩЕСТВО С ОГРАНИЧЕННОЙ ОТВЕТСТВЕННОСТЬЮ "АМУР ЗОЛОТО"</t>
        </is>
      </c>
      <c r="F1502" s="1" t="inlineStr">
        <is>
          <t>2708001686</t>
        </is>
      </c>
      <c r="G1502" s="1" t="inlineStr">
        <is>
          <t>Бункеровщик</t>
        </is>
      </c>
      <c r="H1502" s="1" t="inlineStr">
        <is>
          <t>ООО "Амур Золото"</t>
        </is>
      </c>
      <c r="I1502" s="1" t="inlineStr">
        <is>
          <t>2708001686</t>
        </is>
      </c>
      <c r="J1502" s="1" t="inlineStr">
        <is>
          <t>ОТ № ЮГОК ЗИОФ 24-35</t>
        </is>
      </c>
      <c r="K150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502" s="1" t="inlineStr">
        <is>
          <t>25.10.2024</t>
        </is>
      </c>
      <c r="M1502" s="1" t="inlineStr">
        <is>
          <t>Успешно</t>
        </is>
      </c>
      <c r="N1502" s="1" t="inlineStr">
        <is>
          <t>02.11.2024</t>
        </is>
      </c>
      <c r="O1502" s="1" t="inlineStr"/>
      <c r="P1502" s="1" t="inlineStr"/>
      <c r="Q1502" s="1" t="inlineStr">
        <is>
          <t>Пользовательский интерфейс</t>
        </is>
      </c>
    </row>
    <row r="1503">
      <c r="B1503" s="1" t="inlineStr">
        <is>
          <t>85344332</t>
        </is>
      </c>
      <c r="C1503" s="1" t="inlineStr">
        <is>
          <t>6554154</t>
        </is>
      </c>
      <c r="D1503" t="inlineStr">
        <is>
          <t>работник 455</t>
        </is>
      </c>
      <c r="E1503" s="1" t="inlineStr">
        <is>
          <t>ОБЩЕСТВО С ОГРАНИЧЕННОЙ ОТВЕТСТВЕННОСТЬЮ "АМУР ЗОЛОТО"</t>
        </is>
      </c>
      <c r="F1503" s="1" t="inlineStr">
        <is>
          <t>2708001686</t>
        </is>
      </c>
      <c r="G1503" s="1" t="inlineStr">
        <is>
          <t>Дробильщик</t>
        </is>
      </c>
      <c r="H1503" s="1" t="inlineStr">
        <is>
          <t>ООО "Амур Золото"</t>
        </is>
      </c>
      <c r="I1503" s="1" t="inlineStr">
        <is>
          <t>2708001686</t>
        </is>
      </c>
      <c r="J1503" s="1" t="inlineStr">
        <is>
          <t>ОТ № ЮГОК ЗИОФ 24-35</t>
        </is>
      </c>
      <c r="K1503" s="1" t="inlineStr">
        <is>
          <t>Использование (применение) средств индивидуальной защиты</t>
        </is>
      </c>
      <c r="L1503" s="1" t="inlineStr">
        <is>
          <t>25.10.2024</t>
        </is>
      </c>
      <c r="M1503" s="1" t="inlineStr">
        <is>
          <t>Успешно</t>
        </is>
      </c>
      <c r="N1503" s="1" t="inlineStr">
        <is>
          <t>02.11.2024</t>
        </is>
      </c>
      <c r="O1503" s="1" t="inlineStr"/>
      <c r="P1503" s="1" t="inlineStr"/>
      <c r="Q1503" s="1" t="inlineStr">
        <is>
          <t>Пользовательский интерфейс</t>
        </is>
      </c>
    </row>
    <row r="1504">
      <c r="B1504" s="1" t="inlineStr">
        <is>
          <t>85344333</t>
        </is>
      </c>
      <c r="C1504" s="1" t="inlineStr">
        <is>
          <t>6554154</t>
        </is>
      </c>
      <c r="D1504" t="inlineStr">
        <is>
          <t>работник 455</t>
        </is>
      </c>
      <c r="E1504" s="1" t="inlineStr">
        <is>
          <t>ОБЩЕСТВО С ОГРАНИЧЕННОЙ ОТВЕТСТВЕННОСТЬЮ "АМУР ЗОЛОТО"</t>
        </is>
      </c>
      <c r="F1504" s="1" t="inlineStr">
        <is>
          <t>2708001686</t>
        </is>
      </c>
      <c r="G1504" s="1" t="inlineStr">
        <is>
          <t>Дробильщик</t>
        </is>
      </c>
      <c r="H1504" s="1" t="inlineStr">
        <is>
          <t>ООО "Амур Золото"</t>
        </is>
      </c>
      <c r="I1504" s="1" t="inlineStr">
        <is>
          <t>2708001686</t>
        </is>
      </c>
      <c r="J1504" s="1" t="inlineStr">
        <is>
          <t>ОТ № ЮГОК ЗИОФ 24-35</t>
        </is>
      </c>
      <c r="K150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504" s="1" t="inlineStr">
        <is>
          <t>25.10.2024</t>
        </is>
      </c>
      <c r="M1504" s="1" t="inlineStr">
        <is>
          <t>Успешно</t>
        </is>
      </c>
      <c r="N1504" s="1" t="inlineStr">
        <is>
          <t>02.11.2024</t>
        </is>
      </c>
      <c r="O1504" s="1" t="inlineStr"/>
      <c r="P1504" s="1" t="inlineStr"/>
      <c r="Q1504" s="1" t="inlineStr">
        <is>
          <t>Пользовательский интерфейс</t>
        </is>
      </c>
    </row>
    <row r="1505">
      <c r="B1505" s="1" t="inlineStr">
        <is>
          <t>85344334</t>
        </is>
      </c>
      <c r="C1505" s="1" t="inlineStr">
        <is>
          <t>6554154</t>
        </is>
      </c>
      <c r="D1505" t="inlineStr">
        <is>
          <t>работник 456</t>
        </is>
      </c>
      <c r="E1505" s="1" t="inlineStr">
        <is>
          <t>ОБЩЕСТВО С ОГРАНИЧЕННОЙ ОТВЕТСТВЕННОСТЬЮ "АМУР ЗОЛОТО"</t>
        </is>
      </c>
      <c r="F1505" s="1" t="inlineStr">
        <is>
          <t>2708001686</t>
        </is>
      </c>
      <c r="G1505" s="1" t="inlineStr">
        <is>
          <t>Подсобный рабочий</t>
        </is>
      </c>
      <c r="H1505" s="1" t="inlineStr">
        <is>
          <t>ООО "Амур Золото"</t>
        </is>
      </c>
      <c r="I1505" s="1" t="inlineStr">
        <is>
          <t>2708001686</t>
        </is>
      </c>
      <c r="J1505" s="1" t="inlineStr">
        <is>
          <t>ОТ № ЮГОК УОП 24-05</t>
        </is>
      </c>
      <c r="K1505" s="1" t="inlineStr">
        <is>
          <t>Использование (применение) средств индивидуальной защиты</t>
        </is>
      </c>
      <c r="L1505" s="1" t="inlineStr">
        <is>
          <t>20.10.2024</t>
        </is>
      </c>
      <c r="M1505" s="1" t="inlineStr">
        <is>
          <t>Успешно</t>
        </is>
      </c>
      <c r="N1505" s="1" t="inlineStr">
        <is>
          <t>02.11.2024</t>
        </is>
      </c>
      <c r="O1505" s="1" t="inlineStr"/>
      <c r="P1505" s="1" t="inlineStr"/>
      <c r="Q1505" s="1" t="inlineStr">
        <is>
          <t>Пользовательский интерфейс</t>
        </is>
      </c>
    </row>
    <row r="1506">
      <c r="B1506" s="1" t="inlineStr">
        <is>
          <t>85344335</t>
        </is>
      </c>
      <c r="C1506" s="1" t="inlineStr">
        <is>
          <t>6554154</t>
        </is>
      </c>
      <c r="D1506" t="inlineStr">
        <is>
          <t>работник 456</t>
        </is>
      </c>
      <c r="E1506" s="1" t="inlineStr">
        <is>
          <t>ОБЩЕСТВО С ОГРАНИЧЕННОЙ ОТВЕТСТВЕННОСТЬЮ "АМУР ЗОЛОТО"</t>
        </is>
      </c>
      <c r="F1506" s="1" t="inlineStr">
        <is>
          <t>2708001686</t>
        </is>
      </c>
      <c r="G1506" s="1" t="inlineStr">
        <is>
          <t>Подсобный рабочий</t>
        </is>
      </c>
      <c r="H1506" s="1" t="inlineStr">
        <is>
          <t>ООО "Амур Золото"</t>
        </is>
      </c>
      <c r="I1506" s="1" t="inlineStr">
        <is>
          <t>2708001686</t>
        </is>
      </c>
      <c r="J1506" s="1" t="inlineStr">
        <is>
          <t>ОТ № ЮГОК УОП 24-05</t>
        </is>
      </c>
      <c r="K150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506" s="1" t="inlineStr">
        <is>
          <t>20.10.2024</t>
        </is>
      </c>
      <c r="M1506" s="1" t="inlineStr">
        <is>
          <t>Успешно</t>
        </is>
      </c>
      <c r="N1506" s="1" t="inlineStr">
        <is>
          <t>02.11.2024</t>
        </is>
      </c>
      <c r="O1506" s="1" t="inlineStr"/>
      <c r="P1506" s="1" t="inlineStr"/>
      <c r="Q1506" s="1" t="inlineStr">
        <is>
          <t>Пользовательский интерфейс</t>
        </is>
      </c>
    </row>
    <row r="1507">
      <c r="B1507" s="1" t="inlineStr">
        <is>
          <t>85344336</t>
        </is>
      </c>
      <c r="C1507" s="1" t="inlineStr">
        <is>
          <t>6554154</t>
        </is>
      </c>
      <c r="D1507" t="inlineStr">
        <is>
          <t>работник 457</t>
        </is>
      </c>
      <c r="E1507" s="1" t="inlineStr">
        <is>
          <t>ОБЩЕСТВО С ОГРАНИЧЕННОЙ ОТВЕТСТВЕННОСТЬЮ "АМУР ЗОЛОТО"</t>
        </is>
      </c>
      <c r="F1507" s="1" t="inlineStr">
        <is>
          <t>2708001686</t>
        </is>
      </c>
      <c r="G1507" s="1" t="inlineStr">
        <is>
          <t>Подсобный рабочий</t>
        </is>
      </c>
      <c r="H1507" s="1" t="inlineStr">
        <is>
          <t>ООО "Амур Золото"</t>
        </is>
      </c>
      <c r="I1507" s="1" t="inlineStr">
        <is>
          <t>2708001686</t>
        </is>
      </c>
      <c r="J1507" s="1" t="inlineStr">
        <is>
          <t>ОТ № ЮГОК УОП 24-05</t>
        </is>
      </c>
      <c r="K1507" s="1" t="inlineStr">
        <is>
          <t>Использование (применение) средств индивидуальной защиты</t>
        </is>
      </c>
      <c r="L1507" s="1" t="inlineStr">
        <is>
          <t>20.10.2024</t>
        </is>
      </c>
      <c r="M1507" s="1" t="inlineStr">
        <is>
          <t>Успешно</t>
        </is>
      </c>
      <c r="N1507" s="1" t="inlineStr">
        <is>
          <t>02.11.2024</t>
        </is>
      </c>
      <c r="O1507" s="1" t="inlineStr"/>
      <c r="P1507" s="1" t="inlineStr"/>
      <c r="Q1507" s="1" t="inlineStr">
        <is>
          <t>Пользовательский интерфейс</t>
        </is>
      </c>
    </row>
    <row r="1508">
      <c r="B1508" s="1" t="inlineStr">
        <is>
          <t>85344337</t>
        </is>
      </c>
      <c r="C1508" s="1" t="inlineStr">
        <is>
          <t>6554154</t>
        </is>
      </c>
      <c r="D1508" t="inlineStr">
        <is>
          <t>работник 457</t>
        </is>
      </c>
      <c r="E1508" s="1" t="inlineStr">
        <is>
          <t>ОБЩЕСТВО С ОГРАНИЧЕННОЙ ОТВЕТСТВЕННОСТЬЮ "АМУР ЗОЛОТО"</t>
        </is>
      </c>
      <c r="F1508" s="1" t="inlineStr">
        <is>
          <t>2708001686</t>
        </is>
      </c>
      <c r="G1508" s="1" t="inlineStr">
        <is>
          <t>Подсобный рабочий</t>
        </is>
      </c>
      <c r="H1508" s="1" t="inlineStr">
        <is>
          <t>ООО "Амур Золото"</t>
        </is>
      </c>
      <c r="I1508" s="1" t="inlineStr">
        <is>
          <t>2708001686</t>
        </is>
      </c>
      <c r="J1508" s="1" t="inlineStr">
        <is>
          <t>ОТ № ЮГОК УОП 24-05</t>
        </is>
      </c>
      <c r="K150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508" s="1" t="inlineStr">
        <is>
          <t>20.10.2024</t>
        </is>
      </c>
      <c r="M1508" s="1" t="inlineStr">
        <is>
          <t>Успешно</t>
        </is>
      </c>
      <c r="N1508" s="1" t="inlineStr">
        <is>
          <t>02.11.2024</t>
        </is>
      </c>
      <c r="O1508" s="1" t="inlineStr"/>
      <c r="P1508" s="1" t="inlineStr"/>
      <c r="Q1508" s="1" t="inlineStr">
        <is>
          <t>Пользовательский интерфейс</t>
        </is>
      </c>
    </row>
    <row r="1509">
      <c r="B1509" s="1" t="inlineStr">
        <is>
          <t>85344338</t>
        </is>
      </c>
      <c r="C1509" s="1" t="inlineStr">
        <is>
          <t>6554154</t>
        </is>
      </c>
      <c r="D1509" t="inlineStr">
        <is>
          <t>работник 458</t>
        </is>
      </c>
      <c r="E1509" s="1" t="inlineStr">
        <is>
          <t>ОБЩЕСТВО С ОГРАНИЧЕННОЙ ОТВЕТСТВЕННОСТЬЮ "АМУР ЗОЛОТО"</t>
        </is>
      </c>
      <c r="F1509" s="1" t="inlineStr">
        <is>
          <t>2708001686</t>
        </is>
      </c>
      <c r="G1509" s="1" t="inlineStr">
        <is>
          <t>Подсобный рабочий</t>
        </is>
      </c>
      <c r="H1509" s="1" t="inlineStr">
        <is>
          <t>ООО "Амур Золото"</t>
        </is>
      </c>
      <c r="I1509" s="1" t="inlineStr">
        <is>
          <t>2708001686</t>
        </is>
      </c>
      <c r="J1509" s="1" t="inlineStr">
        <is>
          <t>ОТ № ЮГОК УОП 24-05</t>
        </is>
      </c>
      <c r="K1509" s="1" t="inlineStr">
        <is>
          <t>Использование (применение) средств индивидуальной защиты</t>
        </is>
      </c>
      <c r="L1509" s="1" t="inlineStr">
        <is>
          <t>20.10.2024</t>
        </is>
      </c>
      <c r="M1509" s="1" t="inlineStr">
        <is>
          <t>Успешно</t>
        </is>
      </c>
      <c r="N1509" s="1" t="inlineStr">
        <is>
          <t>02.11.2024</t>
        </is>
      </c>
      <c r="O1509" s="1" t="inlineStr"/>
      <c r="P1509" s="1" t="inlineStr"/>
      <c r="Q1509" s="1" t="inlineStr">
        <is>
          <t>Пользовательский интерфейс</t>
        </is>
      </c>
    </row>
    <row r="1510">
      <c r="B1510" s="1" t="inlineStr">
        <is>
          <t>85344339</t>
        </is>
      </c>
      <c r="C1510" s="1" t="inlineStr">
        <is>
          <t>6554154</t>
        </is>
      </c>
      <c r="D1510" t="inlineStr">
        <is>
          <t>работник 458</t>
        </is>
      </c>
      <c r="E1510" s="1" t="inlineStr">
        <is>
          <t>ОБЩЕСТВО С ОГРАНИЧЕННОЙ ОТВЕТСТВЕННОСТЬЮ "АМУР ЗОЛОТО"</t>
        </is>
      </c>
      <c r="F1510" s="1" t="inlineStr">
        <is>
          <t>2708001686</t>
        </is>
      </c>
      <c r="G1510" s="1" t="inlineStr">
        <is>
          <t>Подсобный рабочий</t>
        </is>
      </c>
      <c r="H1510" s="1" t="inlineStr">
        <is>
          <t>ООО "Амур Золото"</t>
        </is>
      </c>
      <c r="I1510" s="1" t="inlineStr">
        <is>
          <t>2708001686</t>
        </is>
      </c>
      <c r="J1510" s="1" t="inlineStr">
        <is>
          <t>ОТ № ЮГОК УОП 24-05</t>
        </is>
      </c>
      <c r="K151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510" s="1" t="inlineStr">
        <is>
          <t>20.10.2024</t>
        </is>
      </c>
      <c r="M1510" s="1" t="inlineStr">
        <is>
          <t>Успешно</t>
        </is>
      </c>
      <c r="N1510" s="1" t="inlineStr">
        <is>
          <t>02.11.2024</t>
        </is>
      </c>
      <c r="O1510" s="1" t="inlineStr"/>
      <c r="P1510" s="1" t="inlineStr"/>
      <c r="Q1510" s="1" t="inlineStr">
        <is>
          <t>Пользовательский интерфейс</t>
        </is>
      </c>
    </row>
    <row r="1511">
      <c r="B1511" s="1" t="inlineStr">
        <is>
          <t>85344340</t>
        </is>
      </c>
      <c r="C1511" s="1" t="inlineStr">
        <is>
          <t>6554154</t>
        </is>
      </c>
      <c r="D1511" t="inlineStr">
        <is>
          <t>работник 334</t>
        </is>
      </c>
      <c r="E1511" s="1" t="inlineStr">
        <is>
          <t>ОБЩЕСТВО С ОГРАНИЧЕННОЙ ОТВЕТСТВЕННОСТЬЮ "АМУР ЗОЛОТО"</t>
        </is>
      </c>
      <c r="F1511" s="1" t="inlineStr">
        <is>
          <t>2708001686</t>
        </is>
      </c>
      <c r="G1511" s="1" t="inlineStr">
        <is>
          <t>Электромонтер по ремонту и обслуживанию электрооборудования</t>
        </is>
      </c>
      <c r="H1511" s="1" t="inlineStr">
        <is>
          <t>ООО "Амур Золото"</t>
        </is>
      </c>
      <c r="I1511" s="1" t="inlineStr">
        <is>
          <t>2708001686</t>
        </is>
      </c>
      <c r="J1511" s="1" t="inlineStr">
        <is>
          <t>ОТ № ЮГОК ЭУ 24-24</t>
        </is>
      </c>
      <c r="K1511" s="1" t="inlineStr">
        <is>
          <t>Использование (применение) средств индивидуальной защиты</t>
        </is>
      </c>
      <c r="L1511" s="1" t="inlineStr">
        <is>
          <t>11.10.2024</t>
        </is>
      </c>
      <c r="M1511" s="1" t="inlineStr">
        <is>
          <t>Успешно</t>
        </is>
      </c>
      <c r="N1511" s="1" t="inlineStr">
        <is>
          <t>02.11.2024</t>
        </is>
      </c>
      <c r="O1511" s="1" t="inlineStr"/>
      <c r="P1511" s="1" t="inlineStr"/>
      <c r="Q1511" s="1" t="inlineStr">
        <is>
          <t>Пользовательский интерфейс</t>
        </is>
      </c>
    </row>
    <row r="1512">
      <c r="B1512" s="1" t="inlineStr">
        <is>
          <t>85344341</t>
        </is>
      </c>
      <c r="C1512" s="1" t="inlineStr">
        <is>
          <t>6554154</t>
        </is>
      </c>
      <c r="D1512" t="inlineStr">
        <is>
          <t>работник 334</t>
        </is>
      </c>
      <c r="E1512" s="1" t="inlineStr">
        <is>
          <t>ОБЩЕСТВО С ОГРАНИЧЕННОЙ ОТВЕТСТВЕННОСТЬЮ "АМУР ЗОЛОТО"</t>
        </is>
      </c>
      <c r="F1512" s="1" t="inlineStr">
        <is>
          <t>2708001686</t>
        </is>
      </c>
      <c r="G1512" s="1" t="inlineStr">
        <is>
          <t>Электромонтер по ремонту и обслуживанию электрооборудования</t>
        </is>
      </c>
      <c r="H1512" s="1" t="inlineStr">
        <is>
          <t>ООО "Амур Золото"</t>
        </is>
      </c>
      <c r="I1512" s="1" t="inlineStr">
        <is>
          <t>2708001686</t>
        </is>
      </c>
      <c r="J1512" s="1" t="inlineStr">
        <is>
          <t>ОТ № ЮГОК ЭУ 24-24</t>
        </is>
      </c>
      <c r="K151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512" s="1" t="inlineStr">
        <is>
          <t>11.10.2024</t>
        </is>
      </c>
      <c r="M1512" s="1" t="inlineStr">
        <is>
          <t>Успешно</t>
        </is>
      </c>
      <c r="N1512" s="1" t="inlineStr">
        <is>
          <t>02.11.2024</t>
        </is>
      </c>
      <c r="O1512" s="1" t="inlineStr"/>
      <c r="P1512" s="1" t="inlineStr"/>
      <c r="Q1512" s="1" t="inlineStr">
        <is>
          <t>Пользовательский интерфейс</t>
        </is>
      </c>
    </row>
    <row r="1513">
      <c r="B1513" s="1" t="inlineStr">
        <is>
          <t>85344342</t>
        </is>
      </c>
      <c r="C1513" s="1" t="inlineStr">
        <is>
          <t>6554154</t>
        </is>
      </c>
      <c r="D1513" t="inlineStr">
        <is>
          <t>работник 459</t>
        </is>
      </c>
      <c r="E1513" s="1" t="inlineStr">
        <is>
          <t>ОБЩЕСТВО С ОГРАНИЧЕННОЙ ОТВЕТСТВЕННОСТЬЮ "АМУР ЗОЛОТО"</t>
        </is>
      </c>
      <c r="F1513" s="1" t="inlineStr">
        <is>
          <t>2708001686</t>
        </is>
      </c>
      <c r="G1513" s="1" t="inlineStr">
        <is>
          <t>Машинист двигателей внутреннего сгорания</t>
        </is>
      </c>
      <c r="H1513" s="1" t="inlineStr">
        <is>
          <t>ООО "Амур Золото"</t>
        </is>
      </c>
      <c r="I1513" s="1" t="inlineStr">
        <is>
          <t>2708001686</t>
        </is>
      </c>
      <c r="J1513" s="1" t="inlineStr">
        <is>
          <t>ОТ № ЮГОК ЭУ 24-25</t>
        </is>
      </c>
      <c r="K1513" s="1" t="inlineStr">
        <is>
          <t>Использование (применение) средств индивидуальной защиты</t>
        </is>
      </c>
      <c r="L1513" s="1" t="inlineStr">
        <is>
          <t>20.10.2024</t>
        </is>
      </c>
      <c r="M1513" s="1" t="inlineStr">
        <is>
          <t>Успешно</t>
        </is>
      </c>
      <c r="N1513" s="1" t="inlineStr">
        <is>
          <t>02.11.2024</t>
        </is>
      </c>
      <c r="O1513" s="1" t="inlineStr"/>
      <c r="P1513" s="1" t="inlineStr"/>
      <c r="Q1513" s="1" t="inlineStr">
        <is>
          <t>Пользовательский интерфейс</t>
        </is>
      </c>
    </row>
    <row r="1514">
      <c r="B1514" s="1" t="inlineStr">
        <is>
          <t>85344343</t>
        </is>
      </c>
      <c r="C1514" s="1" t="inlineStr">
        <is>
          <t>6554154</t>
        </is>
      </c>
      <c r="D1514" t="inlineStr">
        <is>
          <t>работник 459</t>
        </is>
      </c>
      <c r="E1514" s="1" t="inlineStr">
        <is>
          <t>ОБЩЕСТВО С ОГРАНИЧЕННОЙ ОТВЕТСТВЕННОСТЬЮ "АМУР ЗОЛОТО"</t>
        </is>
      </c>
      <c r="F1514" s="1" t="inlineStr">
        <is>
          <t>2708001686</t>
        </is>
      </c>
      <c r="G1514" s="1" t="inlineStr">
        <is>
          <t>Машинист двигателей внутреннего сгорания</t>
        </is>
      </c>
      <c r="H1514" s="1" t="inlineStr">
        <is>
          <t>ООО "Амур Золото"</t>
        </is>
      </c>
      <c r="I1514" s="1" t="inlineStr">
        <is>
          <t>2708001686</t>
        </is>
      </c>
      <c r="J1514" s="1" t="inlineStr">
        <is>
          <t>ОТ № ЮГОК ЭУ 24-25</t>
        </is>
      </c>
      <c r="K151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514" s="1" t="inlineStr">
        <is>
          <t>20.10.2024</t>
        </is>
      </c>
      <c r="M1514" s="1" t="inlineStr">
        <is>
          <t>Успешно</t>
        </is>
      </c>
      <c r="N1514" s="1" t="inlineStr">
        <is>
          <t>02.11.2024</t>
        </is>
      </c>
      <c r="O1514" s="1" t="inlineStr"/>
      <c r="P1514" s="1" t="inlineStr"/>
      <c r="Q1514" s="1" t="inlineStr">
        <is>
          <t>Пользовательский интерфейс</t>
        </is>
      </c>
    </row>
    <row r="1515">
      <c r="B1515" s="1" t="inlineStr">
        <is>
          <t>85344344</t>
        </is>
      </c>
      <c r="C1515" s="1" t="inlineStr">
        <is>
          <t>6554154</t>
        </is>
      </c>
      <c r="D1515" t="inlineStr">
        <is>
          <t>работник 70</t>
        </is>
      </c>
      <c r="E1515" s="1" t="inlineStr">
        <is>
          <t>ОБЩЕСТВО С ОГРАНИЧЕННОЙ ОТВЕТСТВЕННОСТЬЮ "АМУР ЗОЛОТО"</t>
        </is>
      </c>
      <c r="F1515" s="1" t="inlineStr">
        <is>
          <t>2708001686</t>
        </is>
      </c>
      <c r="G1515" s="1" t="inlineStr">
        <is>
          <t>Оператор дизельных котлов</t>
        </is>
      </c>
      <c r="H1515" s="1" t="inlineStr">
        <is>
          <t>ООО "Амур Золото"</t>
        </is>
      </c>
      <c r="I1515" s="1" t="inlineStr">
        <is>
          <t>2708001686</t>
        </is>
      </c>
      <c r="J1515" s="1" t="inlineStr">
        <is>
          <t>ОТ № ЮГОК ЭУ 24-26</t>
        </is>
      </c>
      <c r="K1515" s="1" t="inlineStr">
        <is>
          <t>Использование (применение) средств индивидуальной защиты</t>
        </is>
      </c>
      <c r="L1515" s="1" t="inlineStr">
        <is>
          <t>20.10.2024</t>
        </is>
      </c>
      <c r="M1515" s="1" t="inlineStr">
        <is>
          <t>Успешно</t>
        </is>
      </c>
      <c r="N1515" s="1" t="inlineStr">
        <is>
          <t>02.11.2024</t>
        </is>
      </c>
      <c r="O1515" s="1" t="inlineStr"/>
      <c r="P1515" s="1" t="inlineStr"/>
      <c r="Q1515" s="1" t="inlineStr">
        <is>
          <t>Пользовательский интерфейс</t>
        </is>
      </c>
    </row>
    <row r="1516">
      <c r="B1516" s="1" t="inlineStr">
        <is>
          <t>85344345</t>
        </is>
      </c>
      <c r="C1516" s="1" t="inlineStr">
        <is>
          <t>6554154</t>
        </is>
      </c>
      <c r="D1516" t="inlineStr">
        <is>
          <t>работник 70</t>
        </is>
      </c>
      <c r="E1516" s="1" t="inlineStr">
        <is>
          <t>ОБЩЕСТВО С ОГРАНИЧЕННОЙ ОТВЕТСТВЕННОСТЬЮ "АМУР ЗОЛОТО"</t>
        </is>
      </c>
      <c r="F1516" s="1" t="inlineStr">
        <is>
          <t>2708001686</t>
        </is>
      </c>
      <c r="G1516" s="1" t="inlineStr">
        <is>
          <t>Оператор дизельных котлов</t>
        </is>
      </c>
      <c r="H1516" s="1" t="inlineStr">
        <is>
          <t>ООО "Амур Золото"</t>
        </is>
      </c>
      <c r="I1516" s="1" t="inlineStr">
        <is>
          <t>2708001686</t>
        </is>
      </c>
      <c r="J1516" s="1" t="inlineStr">
        <is>
          <t>ОТ № ЮГОК ЭУ 24-26</t>
        </is>
      </c>
      <c r="K151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516" s="1" t="inlineStr">
        <is>
          <t>20.10.2024</t>
        </is>
      </c>
      <c r="M1516" s="1" t="inlineStr">
        <is>
          <t>Успешно</t>
        </is>
      </c>
      <c r="N1516" s="1" t="inlineStr">
        <is>
          <t>02.11.2024</t>
        </is>
      </c>
      <c r="O1516" s="1" t="inlineStr"/>
      <c r="P1516" s="1" t="inlineStr"/>
      <c r="Q1516" s="1" t="inlineStr">
        <is>
          <t>Пользовательский интерфейс</t>
        </is>
      </c>
    </row>
    <row r="1517">
      <c r="B1517" s="1" t="inlineStr">
        <is>
          <t>85344346</t>
        </is>
      </c>
      <c r="C1517" s="1" t="inlineStr">
        <is>
          <t>6554154</t>
        </is>
      </c>
      <c r="D1517" t="inlineStr">
        <is>
          <t>работник 460</t>
        </is>
      </c>
      <c r="E1517" s="1" t="inlineStr">
        <is>
          <t>ОБЩЕСТВО С ОГРАНИЧЕННОЙ ОТВЕТСТВЕННОСТЬЮ "АМУР ЗОЛОТО"</t>
        </is>
      </c>
      <c r="F1517" s="1" t="inlineStr">
        <is>
          <t>2708001686</t>
        </is>
      </c>
      <c r="G1517" s="1" t="inlineStr">
        <is>
          <t>Электрогазосварщик</t>
        </is>
      </c>
      <c r="H1517" s="1" t="inlineStr">
        <is>
          <t>ООО "Амур Золото"</t>
        </is>
      </c>
      <c r="I1517" s="1" t="inlineStr">
        <is>
          <t>2708001686</t>
        </is>
      </c>
      <c r="J1517" s="1" t="inlineStr">
        <is>
          <t>ОТ № ЮГОК ЭУ 24-27</t>
        </is>
      </c>
      <c r="K1517" s="1" t="inlineStr">
        <is>
          <t>Использование (применение) средств индивидуальной защиты</t>
        </is>
      </c>
      <c r="L1517" s="1" t="inlineStr">
        <is>
          <t>20.10.2024</t>
        </is>
      </c>
      <c r="M1517" s="1" t="inlineStr">
        <is>
          <t>Успешно</t>
        </is>
      </c>
      <c r="N1517" s="1" t="inlineStr">
        <is>
          <t>02.11.2024</t>
        </is>
      </c>
      <c r="O1517" s="1" t="inlineStr"/>
      <c r="P1517" s="1" t="inlineStr"/>
      <c r="Q1517" s="1" t="inlineStr">
        <is>
          <t>Пользовательский интерфейс</t>
        </is>
      </c>
    </row>
    <row r="1518">
      <c r="B1518" s="1" t="inlineStr">
        <is>
          <t>85344347</t>
        </is>
      </c>
      <c r="C1518" s="1" t="inlineStr">
        <is>
          <t>6554154</t>
        </is>
      </c>
      <c r="D1518" t="inlineStr">
        <is>
          <t>работник 460</t>
        </is>
      </c>
      <c r="E1518" s="1" t="inlineStr">
        <is>
          <t>ОБЩЕСТВО С ОГРАНИЧЕННОЙ ОТВЕТСТВЕННОСТЬЮ "АМУР ЗОЛОТО"</t>
        </is>
      </c>
      <c r="F1518" s="1" t="inlineStr">
        <is>
          <t>2708001686</t>
        </is>
      </c>
      <c r="G1518" s="1" t="inlineStr">
        <is>
          <t>Электрогазосварщик</t>
        </is>
      </c>
      <c r="H1518" s="1" t="inlineStr">
        <is>
          <t>ООО "Амур Золото"</t>
        </is>
      </c>
      <c r="I1518" s="1" t="inlineStr">
        <is>
          <t>2708001686</t>
        </is>
      </c>
      <c r="J1518" s="1" t="inlineStr">
        <is>
          <t>ОТ № ЮГОК ЭУ 24-27</t>
        </is>
      </c>
      <c r="K151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518" s="1" t="inlineStr">
        <is>
          <t>20.10.2024</t>
        </is>
      </c>
      <c r="M1518" s="1" t="inlineStr">
        <is>
          <t>Успешно</t>
        </is>
      </c>
      <c r="N1518" s="1" t="inlineStr">
        <is>
          <t>02.11.2024</t>
        </is>
      </c>
      <c r="O1518" s="1" t="inlineStr"/>
      <c r="P1518" s="1" t="inlineStr"/>
      <c r="Q1518" s="1" t="inlineStr">
        <is>
          <t>Пользовательский интерфейс</t>
        </is>
      </c>
    </row>
    <row r="1519">
      <c r="B1519" s="1" t="inlineStr">
        <is>
          <t>85344348</t>
        </is>
      </c>
      <c r="C1519" s="1" t="inlineStr">
        <is>
          <t>6554154</t>
        </is>
      </c>
      <c r="D1519" t="inlineStr">
        <is>
          <t>работник 461</t>
        </is>
      </c>
      <c r="E1519" s="1" t="inlineStr">
        <is>
          <t>ОБЩЕСТВО С ОГРАНИЧЕННОЙ ОТВЕТСТВЕННОСТЬЮ "АМУР ЗОЛОТО"</t>
        </is>
      </c>
      <c r="F1519" s="1" t="inlineStr">
        <is>
          <t>2708001686</t>
        </is>
      </c>
      <c r="G1519" s="1" t="inlineStr">
        <is>
          <t>Электромонтер по ремонту и обслуживанию электрооборудования</t>
        </is>
      </c>
      <c r="H1519" s="1" t="inlineStr">
        <is>
          <t>ООО "Амур Золото"</t>
        </is>
      </c>
      <c r="I1519" s="1" t="inlineStr">
        <is>
          <t>2708001686</t>
        </is>
      </c>
      <c r="J1519" s="1" t="inlineStr">
        <is>
          <t>ОТ № ЮГОК ЭУ 24-28</t>
        </is>
      </c>
      <c r="K1519" s="1" t="inlineStr">
        <is>
          <t>Использование (применение) средств индивидуальной защиты</t>
        </is>
      </c>
      <c r="L1519" s="1" t="inlineStr">
        <is>
          <t>20.10.2024</t>
        </is>
      </c>
      <c r="M1519" s="1" t="inlineStr">
        <is>
          <t>Успешно</t>
        </is>
      </c>
      <c r="N1519" s="1" t="inlineStr">
        <is>
          <t>02.11.2024</t>
        </is>
      </c>
      <c r="O1519" s="1" t="inlineStr"/>
      <c r="P1519" s="1" t="inlineStr"/>
      <c r="Q1519" s="1" t="inlineStr">
        <is>
          <t>Пользовательский интерфейс</t>
        </is>
      </c>
    </row>
    <row r="1520">
      <c r="B1520" s="1" t="inlineStr">
        <is>
          <t>85344349</t>
        </is>
      </c>
      <c r="C1520" s="1" t="inlineStr">
        <is>
          <t>6554154</t>
        </is>
      </c>
      <c r="D1520" t="inlineStr">
        <is>
          <t>работник 461</t>
        </is>
      </c>
      <c r="E1520" s="1" t="inlineStr">
        <is>
          <t>ОБЩЕСТВО С ОГРАНИЧЕННОЙ ОТВЕТСТВЕННОСТЬЮ "АМУР ЗОЛОТО"</t>
        </is>
      </c>
      <c r="F1520" s="1" t="inlineStr">
        <is>
          <t>2708001686</t>
        </is>
      </c>
      <c r="G1520" s="1" t="inlineStr">
        <is>
          <t>Электромонтер по ремонту и обслуживанию электрооборудования</t>
        </is>
      </c>
      <c r="H1520" s="1" t="inlineStr">
        <is>
          <t>ООО "Амур Золото"</t>
        </is>
      </c>
      <c r="I1520" s="1" t="inlineStr">
        <is>
          <t>2708001686</t>
        </is>
      </c>
      <c r="J1520" s="1" t="inlineStr">
        <is>
          <t>ОТ № ЮГОК ЭУ 24-28</t>
        </is>
      </c>
      <c r="K152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520" s="1" t="inlineStr">
        <is>
          <t>20.10.2024</t>
        </is>
      </c>
      <c r="M1520" s="1" t="inlineStr">
        <is>
          <t>Успешно</t>
        </is>
      </c>
      <c r="N1520" s="1" t="inlineStr">
        <is>
          <t>02.11.2024</t>
        </is>
      </c>
      <c r="O1520" s="1" t="inlineStr"/>
      <c r="P1520" s="1" t="inlineStr"/>
      <c r="Q1520" s="1" t="inlineStr">
        <is>
          <t>Пользовательский интерфейс</t>
        </is>
      </c>
    </row>
    <row r="1521">
      <c r="B1521" s="1" t="inlineStr">
        <is>
          <t>86265111</t>
        </is>
      </c>
      <c r="C1521" s="1" t="inlineStr">
        <is>
          <t>6621561</t>
        </is>
      </c>
      <c r="D1521" t="inlineStr">
        <is>
          <t>работник 462</t>
        </is>
      </c>
      <c r="E1521" s="1" t="inlineStr">
        <is>
          <t>ОБЩЕСТВО С ОГРАНИЧЕННОЙ ОТВЕТСТВЕННОСТЬЮ "АМУР ЗОЛОТО"</t>
        </is>
      </c>
      <c r="F1521" s="1" t="inlineStr">
        <is>
          <t>2708001686</t>
        </is>
      </c>
      <c r="G1521" s="1" t="inlineStr">
        <is>
          <t>Электрогазосварщик (занятый на резке и ручной сварке)</t>
        </is>
      </c>
      <c r="H1521" s="1" t="inlineStr">
        <is>
          <t>ООО "Амур Золото"</t>
        </is>
      </c>
      <c r="I1521" s="1" t="inlineStr">
        <is>
          <t>2708001686</t>
        </is>
      </c>
      <c r="J1521" s="1" t="inlineStr">
        <is>
          <t>ОТ № ЮГОК АТЦ 24-15</t>
        </is>
      </c>
      <c r="K1521" s="1" t="inlineStr">
        <is>
          <t>Использование (применение) средств индивидуальной защиты</t>
        </is>
      </c>
      <c r="L1521" s="1" t="inlineStr">
        <is>
          <t>04.11.2024</t>
        </is>
      </c>
      <c r="M1521" s="1" t="inlineStr">
        <is>
          <t>Успешно</t>
        </is>
      </c>
      <c r="N1521" s="1" t="inlineStr">
        <is>
          <t>08.11.2024</t>
        </is>
      </c>
      <c r="O1521" s="1" t="inlineStr"/>
      <c r="P1521" s="1" t="inlineStr"/>
      <c r="Q1521" s="1" t="inlineStr">
        <is>
          <t>Пользовательский интерфейс</t>
        </is>
      </c>
    </row>
    <row r="1522">
      <c r="B1522" s="1" t="inlineStr">
        <is>
          <t>86265112</t>
        </is>
      </c>
      <c r="C1522" s="1" t="inlineStr">
        <is>
          <t>6621561</t>
        </is>
      </c>
      <c r="D1522" t="inlineStr">
        <is>
          <t>работник 462</t>
        </is>
      </c>
      <c r="E1522" s="1" t="inlineStr">
        <is>
          <t>ОБЩЕСТВО С ОГРАНИЧЕННОЙ ОТВЕТСТВЕННОСТЬЮ "АМУР ЗОЛОТО"</t>
        </is>
      </c>
      <c r="F1522" s="1" t="inlineStr">
        <is>
          <t>2708001686</t>
        </is>
      </c>
      <c r="G1522" s="1" t="inlineStr">
        <is>
          <t>Электрогазосварщик (занятый на резке и ручной сварке)</t>
        </is>
      </c>
      <c r="H1522" s="1" t="inlineStr">
        <is>
          <t>ООО "Амур Золото"</t>
        </is>
      </c>
      <c r="I1522" s="1" t="inlineStr">
        <is>
          <t>2708001686</t>
        </is>
      </c>
      <c r="J1522" s="1" t="inlineStr">
        <is>
          <t>ОТ № ЮГОК АТЦ 24-15</t>
        </is>
      </c>
      <c r="K152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522" s="1" t="inlineStr">
        <is>
          <t>04.11.2024</t>
        </is>
      </c>
      <c r="M1522" s="1" t="inlineStr">
        <is>
          <t>Успешно</t>
        </is>
      </c>
      <c r="N1522" s="1" t="inlineStr">
        <is>
          <t>08.11.2024</t>
        </is>
      </c>
      <c r="O1522" s="1" t="inlineStr"/>
      <c r="P1522" s="1" t="inlineStr"/>
      <c r="Q1522" s="1" t="inlineStr">
        <is>
          <t>Пользовательский интерфейс</t>
        </is>
      </c>
    </row>
    <row r="1523">
      <c r="B1523" s="1" t="inlineStr">
        <is>
          <t>86265113</t>
        </is>
      </c>
      <c r="C1523" s="1" t="inlineStr">
        <is>
          <t>6621561</t>
        </is>
      </c>
      <c r="D1523" t="inlineStr">
        <is>
          <t>работник 463</t>
        </is>
      </c>
      <c r="E1523" s="1" t="inlineStr">
        <is>
          <t>ОБЩЕСТВО С ОГРАНИЧЕННОЙ ОТВЕТСТВЕННОСТЬЮ "АМУР ЗОЛОТО"</t>
        </is>
      </c>
      <c r="F1523" s="1" t="inlineStr">
        <is>
          <t>2708001686</t>
        </is>
      </c>
      <c r="G1523" s="1" t="inlineStr">
        <is>
          <t>Машинист крана автомобильного</t>
        </is>
      </c>
      <c r="H1523" s="1" t="inlineStr">
        <is>
          <t>ООО "Амур Золото"</t>
        </is>
      </c>
      <c r="I1523" s="1" t="inlineStr">
        <is>
          <t>2708001686</t>
        </is>
      </c>
      <c r="J1523" s="1" t="inlineStr">
        <is>
          <t>ОТ № ЮГОК АТЦ 24-15</t>
        </is>
      </c>
      <c r="K1523" s="1" t="inlineStr">
        <is>
          <t>Использование (применение) средств индивидуальной защиты</t>
        </is>
      </c>
      <c r="L1523" s="1" t="inlineStr">
        <is>
          <t>04.11.2024</t>
        </is>
      </c>
      <c r="M1523" s="1" t="inlineStr">
        <is>
          <t>Успешно</t>
        </is>
      </c>
      <c r="N1523" s="1" t="inlineStr">
        <is>
          <t>08.11.2024</t>
        </is>
      </c>
      <c r="O1523" s="1" t="inlineStr"/>
      <c r="P1523" s="1" t="inlineStr"/>
      <c r="Q1523" s="1" t="inlineStr">
        <is>
          <t>Пользовательский интерфейс</t>
        </is>
      </c>
    </row>
    <row r="1524">
      <c r="B1524" s="1" t="inlineStr">
        <is>
          <t>86265114</t>
        </is>
      </c>
      <c r="C1524" s="1" t="inlineStr">
        <is>
          <t>6621561</t>
        </is>
      </c>
      <c r="D1524" t="inlineStr">
        <is>
          <t>работник 463</t>
        </is>
      </c>
      <c r="E1524" s="1" t="inlineStr">
        <is>
          <t>ОБЩЕСТВО С ОГРАНИЧЕННОЙ ОТВЕТСТВЕННОСТЬЮ "АМУР ЗОЛОТО"</t>
        </is>
      </c>
      <c r="F1524" s="1" t="inlineStr">
        <is>
          <t>2708001686</t>
        </is>
      </c>
      <c r="G1524" s="1" t="inlineStr">
        <is>
          <t>Машинист крана автомобильного</t>
        </is>
      </c>
      <c r="H1524" s="1" t="inlineStr">
        <is>
          <t>ООО "Амур Золото"</t>
        </is>
      </c>
      <c r="I1524" s="1" t="inlineStr">
        <is>
          <t>2708001686</t>
        </is>
      </c>
      <c r="J1524" s="1" t="inlineStr">
        <is>
          <t>ОТ № ЮГОК АТЦ 24-15</t>
        </is>
      </c>
      <c r="K152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524" s="1" t="inlineStr">
        <is>
          <t>04.11.2024</t>
        </is>
      </c>
      <c r="M1524" s="1" t="inlineStr">
        <is>
          <t>Успешно</t>
        </is>
      </c>
      <c r="N1524" s="1" t="inlineStr">
        <is>
          <t>08.11.2024</t>
        </is>
      </c>
      <c r="O1524" s="1" t="inlineStr"/>
      <c r="P1524" s="1" t="inlineStr"/>
      <c r="Q1524" s="1" t="inlineStr">
        <is>
          <t>Пользовательский интерфейс</t>
        </is>
      </c>
    </row>
    <row r="1525">
      <c r="B1525" s="1" t="inlineStr">
        <is>
          <t>86265115</t>
        </is>
      </c>
      <c r="C1525" s="1" t="inlineStr">
        <is>
          <t>6621561</t>
        </is>
      </c>
      <c r="D1525" t="inlineStr">
        <is>
          <t>работник 464</t>
        </is>
      </c>
      <c r="E1525" s="1" t="inlineStr">
        <is>
          <t>ОБЩЕСТВО С ОГРАНИЧЕННОЙ ОТВЕТСТВЕННОСТЬЮ "АМУР ЗОЛОТО"</t>
        </is>
      </c>
      <c r="F1525" s="1" t="inlineStr">
        <is>
          <t>2708001686</t>
        </is>
      </c>
      <c r="G1525" s="1" t="inlineStr">
        <is>
          <t>Водитель автомобиля (категория D)</t>
        </is>
      </c>
      <c r="H1525" s="1" t="inlineStr">
        <is>
          <t>ООО "Амур Золото"</t>
        </is>
      </c>
      <c r="I1525" s="1" t="inlineStr">
        <is>
          <t>2708001686</t>
        </is>
      </c>
      <c r="J1525" s="1" t="inlineStr">
        <is>
          <t>ОТ № ЮГОК АТЦ 24-15</t>
        </is>
      </c>
      <c r="K1525" s="1" t="inlineStr">
        <is>
          <t>Использование (применение) средств индивидуальной защиты</t>
        </is>
      </c>
      <c r="L1525" s="1" t="inlineStr">
        <is>
          <t>04.11.2024</t>
        </is>
      </c>
      <c r="M1525" s="1" t="inlineStr">
        <is>
          <t>Успешно</t>
        </is>
      </c>
      <c r="N1525" s="1" t="inlineStr">
        <is>
          <t>08.11.2024</t>
        </is>
      </c>
      <c r="O1525" s="1" t="inlineStr"/>
      <c r="P1525" s="1" t="inlineStr"/>
      <c r="Q1525" s="1" t="inlineStr">
        <is>
          <t>Пользовательский интерфейс</t>
        </is>
      </c>
    </row>
    <row r="1526">
      <c r="B1526" s="1" t="inlineStr">
        <is>
          <t>86265116</t>
        </is>
      </c>
      <c r="C1526" s="1" t="inlineStr">
        <is>
          <t>6621561</t>
        </is>
      </c>
      <c r="D1526" t="inlineStr">
        <is>
          <t>работник 464</t>
        </is>
      </c>
      <c r="E1526" s="1" t="inlineStr">
        <is>
          <t>ОБЩЕСТВО С ОГРАНИЧЕННОЙ ОТВЕТСТВЕННОСТЬЮ "АМУР ЗОЛОТО"</t>
        </is>
      </c>
      <c r="F1526" s="1" t="inlineStr">
        <is>
          <t>2708001686</t>
        </is>
      </c>
      <c r="G1526" s="1" t="inlineStr">
        <is>
          <t>Водитель автомобиля (категория D)</t>
        </is>
      </c>
      <c r="H1526" s="1" t="inlineStr">
        <is>
          <t>ООО "Амур Золото"</t>
        </is>
      </c>
      <c r="I1526" s="1" t="inlineStr">
        <is>
          <t>2708001686</t>
        </is>
      </c>
      <c r="J1526" s="1" t="inlineStr">
        <is>
          <t>ОТ № ЮГОК АТЦ 24-15</t>
        </is>
      </c>
      <c r="K152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526" s="1" t="inlineStr">
        <is>
          <t>04.11.2024</t>
        </is>
      </c>
      <c r="M1526" s="1" t="inlineStr">
        <is>
          <t>Успешно</t>
        </is>
      </c>
      <c r="N1526" s="1" t="inlineStr">
        <is>
          <t>08.11.2024</t>
        </is>
      </c>
      <c r="O1526" s="1" t="inlineStr"/>
      <c r="P1526" s="1" t="inlineStr"/>
      <c r="Q1526" s="1" t="inlineStr">
        <is>
          <t>Пользовательский интерфейс</t>
        </is>
      </c>
    </row>
    <row r="1527">
      <c r="B1527" s="1" t="inlineStr">
        <is>
          <t>86265117</t>
        </is>
      </c>
      <c r="C1527" s="1" t="inlineStr">
        <is>
          <t>6621561</t>
        </is>
      </c>
      <c r="D1527" t="inlineStr">
        <is>
          <t>работник 465</t>
        </is>
      </c>
      <c r="E1527" s="1" t="inlineStr">
        <is>
          <t>ОБЩЕСТВО С ОГРАНИЧЕННОЙ ОТВЕТСТВЕННОСТЬЮ "АМУР ЗОЛОТО"</t>
        </is>
      </c>
      <c r="F1527" s="1" t="inlineStr">
        <is>
          <t>2708001686</t>
        </is>
      </c>
      <c r="G1527" s="1" t="inlineStr">
        <is>
          <t>Машинист крана автомобильного (КМУ)</t>
        </is>
      </c>
      <c r="H1527" s="1" t="inlineStr">
        <is>
          <t>ООО "Амур Золото"</t>
        </is>
      </c>
      <c r="I1527" s="1" t="inlineStr">
        <is>
          <t>2708001686</t>
        </is>
      </c>
      <c r="J1527" s="1" t="inlineStr">
        <is>
          <t>ОТ № ЮГОК АТЦ 24-15</t>
        </is>
      </c>
      <c r="K1527" s="1" t="inlineStr">
        <is>
          <t>Использование (применение) средств индивидуальной защиты</t>
        </is>
      </c>
      <c r="L1527" s="1" t="inlineStr">
        <is>
          <t>04.11.2024</t>
        </is>
      </c>
      <c r="M1527" s="1" t="inlineStr">
        <is>
          <t>Успешно</t>
        </is>
      </c>
      <c r="N1527" s="1" t="inlineStr">
        <is>
          <t>08.11.2024</t>
        </is>
      </c>
      <c r="O1527" s="1" t="inlineStr"/>
      <c r="P1527" s="1" t="inlineStr"/>
      <c r="Q1527" s="1" t="inlineStr">
        <is>
          <t>Пользовательский интерфейс</t>
        </is>
      </c>
    </row>
    <row r="1528">
      <c r="B1528" s="1" t="inlineStr">
        <is>
          <t>86265118</t>
        </is>
      </c>
      <c r="C1528" s="1" t="inlineStr">
        <is>
          <t>6621561</t>
        </is>
      </c>
      <c r="D1528" t="inlineStr">
        <is>
          <t>работник 465</t>
        </is>
      </c>
      <c r="E1528" s="1" t="inlineStr">
        <is>
          <t>ОБЩЕСТВО С ОГРАНИЧЕННОЙ ОТВЕТСТВЕННОСТЬЮ "АМУР ЗОЛОТО"</t>
        </is>
      </c>
      <c r="F1528" s="1" t="inlineStr">
        <is>
          <t>2708001686</t>
        </is>
      </c>
      <c r="G1528" s="1" t="inlineStr">
        <is>
          <t>Машинист крана автомобильного (КМУ)</t>
        </is>
      </c>
      <c r="H1528" s="1" t="inlineStr">
        <is>
          <t>ООО "Амур Золото"</t>
        </is>
      </c>
      <c r="I1528" s="1" t="inlineStr">
        <is>
          <t>2708001686</t>
        </is>
      </c>
      <c r="J1528" s="1" t="inlineStr">
        <is>
          <t>ОТ № ЮГОК АТЦ 24-15</t>
        </is>
      </c>
      <c r="K152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528" s="1" t="inlineStr">
        <is>
          <t>04.11.2024</t>
        </is>
      </c>
      <c r="M1528" s="1" t="inlineStr">
        <is>
          <t>Успешно</t>
        </is>
      </c>
      <c r="N1528" s="1" t="inlineStr">
        <is>
          <t>08.11.2024</t>
        </is>
      </c>
      <c r="O1528" s="1" t="inlineStr"/>
      <c r="P1528" s="1" t="inlineStr"/>
      <c r="Q1528" s="1" t="inlineStr">
        <is>
          <t>Пользовательский интерфейс</t>
        </is>
      </c>
    </row>
    <row r="1529">
      <c r="B1529" s="1" t="inlineStr">
        <is>
          <t>86265119</t>
        </is>
      </c>
      <c r="C1529" s="1" t="inlineStr">
        <is>
          <t>6621561</t>
        </is>
      </c>
      <c r="D1529" t="inlineStr">
        <is>
          <t>работник 466</t>
        </is>
      </c>
      <c r="E1529" s="1" t="inlineStr">
        <is>
          <t>ОБЩЕСТВО С ОГРАНИЧЕННОЙ ОТВЕТСТВЕННОСТЬЮ "АМУР ЗОЛОТО"</t>
        </is>
      </c>
      <c r="F1529" s="1" t="inlineStr">
        <is>
          <t>2708001686</t>
        </is>
      </c>
      <c r="G1529" s="1" t="inlineStr">
        <is>
          <t>Водитель автомобиля (занятый на транспортировании горной массы в технологическом процессе)</t>
        </is>
      </c>
      <c r="H1529" s="1" t="inlineStr">
        <is>
          <t>ООО "Амур Золото"</t>
        </is>
      </c>
      <c r="I1529" s="1" t="inlineStr">
        <is>
          <t>2708001686</t>
        </is>
      </c>
      <c r="J1529" s="1" t="inlineStr">
        <is>
          <t>ОТ № ЮГОК АТЦ 24-15</t>
        </is>
      </c>
      <c r="K1529" s="1" t="inlineStr">
        <is>
          <t>Использование (применение) средств индивидуальной защиты</t>
        </is>
      </c>
      <c r="L1529" s="1" t="inlineStr">
        <is>
          <t>04.11.2024</t>
        </is>
      </c>
      <c r="M1529" s="1" t="inlineStr">
        <is>
          <t>Успешно</t>
        </is>
      </c>
      <c r="N1529" s="1" t="inlineStr">
        <is>
          <t>08.11.2024</t>
        </is>
      </c>
      <c r="O1529" s="1" t="inlineStr"/>
      <c r="P1529" s="1" t="inlineStr"/>
      <c r="Q1529" s="1" t="inlineStr">
        <is>
          <t>Пользовательский интерфейс</t>
        </is>
      </c>
    </row>
    <row r="1530">
      <c r="B1530" s="1" t="inlineStr">
        <is>
          <t>86265120</t>
        </is>
      </c>
      <c r="C1530" s="1" t="inlineStr">
        <is>
          <t>6621561</t>
        </is>
      </c>
      <c r="D1530" t="inlineStr">
        <is>
          <t>работник 466</t>
        </is>
      </c>
      <c r="E1530" s="1" t="inlineStr">
        <is>
          <t>ОБЩЕСТВО С ОГРАНИЧЕННОЙ ОТВЕТСТВЕННОСТЬЮ "АМУР ЗОЛОТО"</t>
        </is>
      </c>
      <c r="F1530" s="1" t="inlineStr">
        <is>
          <t>2708001686</t>
        </is>
      </c>
      <c r="G1530" s="1" t="inlineStr">
        <is>
          <t>Водитель автомобиля (занятый на транспортировании горной массы в технологическом процессе)</t>
        </is>
      </c>
      <c r="H1530" s="1" t="inlineStr">
        <is>
          <t>ООО "Амур Золото"</t>
        </is>
      </c>
      <c r="I1530" s="1" t="inlineStr">
        <is>
          <t>2708001686</t>
        </is>
      </c>
      <c r="J1530" s="1" t="inlineStr">
        <is>
          <t>ОТ № ЮГОК АТЦ 24-15</t>
        </is>
      </c>
      <c r="K153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530" s="1" t="inlineStr">
        <is>
          <t>04.11.2024</t>
        </is>
      </c>
      <c r="M1530" s="1" t="inlineStr">
        <is>
          <t>Успешно</t>
        </is>
      </c>
      <c r="N1530" s="1" t="inlineStr">
        <is>
          <t>08.11.2024</t>
        </is>
      </c>
      <c r="O1530" s="1" t="inlineStr"/>
      <c r="P1530" s="1" t="inlineStr"/>
      <c r="Q1530" s="1" t="inlineStr">
        <is>
          <t>Пользовательский интерфейс</t>
        </is>
      </c>
    </row>
    <row r="1531">
      <c r="B1531" s="1" t="inlineStr">
        <is>
          <t>86265121</t>
        </is>
      </c>
      <c r="C1531" s="1" t="inlineStr">
        <is>
          <t>6621561</t>
        </is>
      </c>
      <c r="D1531" t="inlineStr">
        <is>
          <t>работник 467</t>
        </is>
      </c>
      <c r="E1531" s="1" t="inlineStr">
        <is>
          <t>ОБЩЕСТВО С ОГРАНИЧЕННОЙ ОТВЕТСТВЕННОСТЬЮ "АМУР ЗОЛОТО"</t>
        </is>
      </c>
      <c r="F1531" s="1" t="inlineStr">
        <is>
          <t>2708001686</t>
        </is>
      </c>
      <c r="G1531" s="1" t="inlineStr">
        <is>
          <t>Водитель автомобиля (занятый на транспортировании горной массы в технологическом процессе)</t>
        </is>
      </c>
      <c r="H1531" s="1" t="inlineStr">
        <is>
          <t>ООО "Амур Золото"</t>
        </is>
      </c>
      <c r="I1531" s="1" t="inlineStr">
        <is>
          <t>2708001686</t>
        </is>
      </c>
      <c r="J1531" s="1" t="inlineStr">
        <is>
          <t>ОТ № ЮГОК АТЦ 24-15</t>
        </is>
      </c>
      <c r="K1531" s="1" t="inlineStr">
        <is>
          <t>Использование (применение) средств индивидуальной защиты</t>
        </is>
      </c>
      <c r="L1531" s="1" t="inlineStr">
        <is>
          <t>04.11.2024</t>
        </is>
      </c>
      <c r="M1531" s="1" t="inlineStr">
        <is>
          <t>Успешно</t>
        </is>
      </c>
      <c r="N1531" s="1" t="inlineStr">
        <is>
          <t>08.11.2024</t>
        </is>
      </c>
      <c r="O1531" s="1" t="inlineStr"/>
      <c r="P1531" s="1" t="inlineStr"/>
      <c r="Q1531" s="1" t="inlineStr">
        <is>
          <t>Пользовательский интерфейс</t>
        </is>
      </c>
    </row>
    <row r="1532">
      <c r="B1532" s="1" t="inlineStr">
        <is>
          <t>86265122</t>
        </is>
      </c>
      <c r="C1532" s="1" t="inlineStr">
        <is>
          <t>6621561</t>
        </is>
      </c>
      <c r="D1532" t="inlineStr">
        <is>
          <t>работник 467</t>
        </is>
      </c>
      <c r="E1532" s="1" t="inlineStr">
        <is>
          <t>ОБЩЕСТВО С ОГРАНИЧЕННОЙ ОТВЕТСТВЕННОСТЬЮ "АМУР ЗОЛОТО"</t>
        </is>
      </c>
      <c r="F1532" s="1" t="inlineStr">
        <is>
          <t>2708001686</t>
        </is>
      </c>
      <c r="G1532" s="1" t="inlineStr">
        <is>
          <t>Водитель автомобиля (занятый на транспортировании горной массы в технологическом процессе)</t>
        </is>
      </c>
      <c r="H1532" s="1" t="inlineStr">
        <is>
          <t>ООО "Амур Золото"</t>
        </is>
      </c>
      <c r="I1532" s="1" t="inlineStr">
        <is>
          <t>2708001686</t>
        </is>
      </c>
      <c r="J1532" s="1" t="inlineStr">
        <is>
          <t>ОТ № ЮГОК АТЦ 24-15</t>
        </is>
      </c>
      <c r="K153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532" s="1" t="inlineStr">
        <is>
          <t>04.11.2024</t>
        </is>
      </c>
      <c r="M1532" s="1" t="inlineStr">
        <is>
          <t>Успешно</t>
        </is>
      </c>
      <c r="N1532" s="1" t="inlineStr">
        <is>
          <t>08.11.2024</t>
        </is>
      </c>
      <c r="O1532" s="1" t="inlineStr"/>
      <c r="P1532" s="1" t="inlineStr"/>
      <c r="Q1532" s="1" t="inlineStr">
        <is>
          <t>Пользовательский интерфейс</t>
        </is>
      </c>
    </row>
    <row r="1533">
      <c r="B1533" s="1" t="inlineStr">
        <is>
          <t>86265123</t>
        </is>
      </c>
      <c r="C1533" s="1" t="inlineStr">
        <is>
          <t>6621561</t>
        </is>
      </c>
      <c r="D1533" t="inlineStr">
        <is>
          <t>работник 468</t>
        </is>
      </c>
      <c r="E1533" s="1" t="inlineStr">
        <is>
          <t>ОБЩЕСТВО С ОГРАНИЧЕННОЙ ОТВЕТСТВЕННОСТЬЮ "АМУР ЗОЛОТО"</t>
        </is>
      </c>
      <c r="F1533" s="1" t="inlineStr">
        <is>
          <t>2708001686</t>
        </is>
      </c>
      <c r="G1533" s="1" t="inlineStr">
        <is>
          <t>Слесарь по ремонту автомобилей. ДВС</t>
        </is>
      </c>
      <c r="H1533" s="1" t="inlineStr">
        <is>
          <t>ООО "Амур Золото"</t>
        </is>
      </c>
      <c r="I1533" s="1" t="inlineStr">
        <is>
          <t>2708001686</t>
        </is>
      </c>
      <c r="J1533" s="1" t="inlineStr">
        <is>
          <t>ОТ № ЮГОК АТЦ 24-15</t>
        </is>
      </c>
      <c r="K1533" s="1" t="inlineStr">
        <is>
          <t>Использование (применение) средств индивидуальной защиты</t>
        </is>
      </c>
      <c r="L1533" s="1" t="inlineStr">
        <is>
          <t>04.11.2024</t>
        </is>
      </c>
      <c r="M1533" s="1" t="inlineStr">
        <is>
          <t>Успешно</t>
        </is>
      </c>
      <c r="N1533" s="1" t="inlineStr">
        <is>
          <t>08.11.2024</t>
        </is>
      </c>
      <c r="O1533" s="1" t="inlineStr"/>
      <c r="P1533" s="1" t="inlineStr"/>
      <c r="Q1533" s="1" t="inlineStr">
        <is>
          <t>Пользовательский интерфейс</t>
        </is>
      </c>
    </row>
    <row r="1534">
      <c r="B1534" s="1" t="inlineStr">
        <is>
          <t>86265124</t>
        </is>
      </c>
      <c r="C1534" s="1" t="inlineStr">
        <is>
          <t>6621561</t>
        </is>
      </c>
      <c r="D1534" t="inlineStr">
        <is>
          <t>работник 468</t>
        </is>
      </c>
      <c r="E1534" s="1" t="inlineStr">
        <is>
          <t>ОБЩЕСТВО С ОГРАНИЧЕННОЙ ОТВЕТСТВЕННОСТЬЮ "АМУР ЗОЛОТО"</t>
        </is>
      </c>
      <c r="F1534" s="1" t="inlineStr">
        <is>
          <t>2708001686</t>
        </is>
      </c>
      <c r="G1534" s="1" t="inlineStr">
        <is>
          <t>Слесарь по ремонту автомобилей. ДВС</t>
        </is>
      </c>
      <c r="H1534" s="1" t="inlineStr">
        <is>
          <t>ООО "Амур Золото"</t>
        </is>
      </c>
      <c r="I1534" s="1" t="inlineStr">
        <is>
          <t>2708001686</t>
        </is>
      </c>
      <c r="J1534" s="1" t="inlineStr">
        <is>
          <t>ОТ № ЮГОК АТЦ 24-15</t>
        </is>
      </c>
      <c r="K153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534" s="1" t="inlineStr">
        <is>
          <t>04.11.2024</t>
        </is>
      </c>
      <c r="M1534" s="1" t="inlineStr">
        <is>
          <t>Успешно</t>
        </is>
      </c>
      <c r="N1534" s="1" t="inlineStr">
        <is>
          <t>08.11.2024</t>
        </is>
      </c>
      <c r="O1534" s="1" t="inlineStr"/>
      <c r="P1534" s="1" t="inlineStr"/>
      <c r="Q1534" s="1" t="inlineStr">
        <is>
          <t>Пользовательский интерфейс</t>
        </is>
      </c>
    </row>
    <row r="1535">
      <c r="B1535" s="1" t="inlineStr">
        <is>
          <t>86265125</t>
        </is>
      </c>
      <c r="C1535" s="1" t="inlineStr">
        <is>
          <t>6621561</t>
        </is>
      </c>
      <c r="D1535" t="inlineStr">
        <is>
          <t>работник 469</t>
        </is>
      </c>
      <c r="E1535" s="1" t="inlineStr">
        <is>
          <t>ОБЩЕСТВО С ОГРАНИЧЕННОЙ ОТВЕТСТВЕННОСТЬЮ "АМУР ЗОЛОТО"</t>
        </is>
      </c>
      <c r="F1535" s="1" t="inlineStr">
        <is>
          <t>2708001686</t>
        </is>
      </c>
      <c r="G1535" s="1" t="inlineStr">
        <is>
          <t>Слесарь-электрик по ремонту электрооборудования</t>
        </is>
      </c>
      <c r="H1535" s="1" t="inlineStr">
        <is>
          <t>ООО "Амур Золото"</t>
        </is>
      </c>
      <c r="I1535" s="1" t="inlineStr">
        <is>
          <t>2708001686</t>
        </is>
      </c>
      <c r="J1535" s="1" t="inlineStr">
        <is>
          <t>ОТ № ЮГОК АТЦ 24-15</t>
        </is>
      </c>
      <c r="K1535" s="1" t="inlineStr">
        <is>
          <t>Использование (применение) средств индивидуальной защиты</t>
        </is>
      </c>
      <c r="L1535" s="1" t="inlineStr">
        <is>
          <t>04.11.2024</t>
        </is>
      </c>
      <c r="M1535" s="1" t="inlineStr">
        <is>
          <t>Успешно</t>
        </is>
      </c>
      <c r="N1535" s="1" t="inlineStr">
        <is>
          <t>08.11.2024</t>
        </is>
      </c>
      <c r="O1535" s="1" t="inlineStr"/>
      <c r="P1535" s="1" t="inlineStr"/>
      <c r="Q1535" s="1" t="inlineStr">
        <is>
          <t>Пользовательский интерфейс</t>
        </is>
      </c>
    </row>
    <row r="1536">
      <c r="B1536" s="1" t="inlineStr">
        <is>
          <t>86265126</t>
        </is>
      </c>
      <c r="C1536" s="1" t="inlineStr">
        <is>
          <t>6621561</t>
        </is>
      </c>
      <c r="D1536" t="inlineStr">
        <is>
          <t>работник 469</t>
        </is>
      </c>
      <c r="E1536" s="1" t="inlineStr">
        <is>
          <t>ОБЩЕСТВО С ОГРАНИЧЕННОЙ ОТВЕТСТВЕННОСТЬЮ "АМУР ЗОЛОТО"</t>
        </is>
      </c>
      <c r="F1536" s="1" t="inlineStr">
        <is>
          <t>2708001686</t>
        </is>
      </c>
      <c r="G1536" s="1" t="inlineStr">
        <is>
          <t>Слесарь-электрик по ремонту электрооборудования</t>
        </is>
      </c>
      <c r="H1536" s="1" t="inlineStr">
        <is>
          <t>ООО "Амур Золото"</t>
        </is>
      </c>
      <c r="I1536" s="1" t="inlineStr">
        <is>
          <t>2708001686</t>
        </is>
      </c>
      <c r="J1536" s="1" t="inlineStr">
        <is>
          <t>ОТ № ЮГОК АТЦ 24-15</t>
        </is>
      </c>
      <c r="K153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536" s="1" t="inlineStr">
        <is>
          <t>04.11.2024</t>
        </is>
      </c>
      <c r="M1536" s="1" t="inlineStr">
        <is>
          <t>Успешно</t>
        </is>
      </c>
      <c r="N1536" s="1" t="inlineStr">
        <is>
          <t>08.11.2024</t>
        </is>
      </c>
      <c r="O1536" s="1" t="inlineStr"/>
      <c r="P1536" s="1" t="inlineStr"/>
      <c r="Q1536" s="1" t="inlineStr">
        <is>
          <t>Пользовательский интерфейс</t>
        </is>
      </c>
    </row>
    <row r="1537">
      <c r="B1537" s="1" t="inlineStr">
        <is>
          <t>86265127</t>
        </is>
      </c>
      <c r="C1537" s="1" t="inlineStr">
        <is>
          <t>6621561</t>
        </is>
      </c>
      <c r="D1537" t="inlineStr">
        <is>
          <t>работник 470</t>
        </is>
      </c>
      <c r="E1537" s="1" t="inlineStr">
        <is>
          <t>ОБЩЕСТВО С ОГРАНИЧЕННОЙ ОТВЕТСТВЕННОСТЬЮ "АМУР ЗОЛОТО"</t>
        </is>
      </c>
      <c r="F1537" s="1" t="inlineStr">
        <is>
          <t>2708001686</t>
        </is>
      </c>
      <c r="G1537" s="1" t="inlineStr">
        <is>
          <t>Водитель погрузчика</t>
        </is>
      </c>
      <c r="H1537" s="1" t="inlineStr">
        <is>
          <t>ООО "Амур Золото"</t>
        </is>
      </c>
      <c r="I1537" s="1" t="inlineStr">
        <is>
          <t>2708001686</t>
        </is>
      </c>
      <c r="J1537" s="1" t="inlineStr">
        <is>
          <t>ОТ № ЮГОК АТЦ 24-15</t>
        </is>
      </c>
      <c r="K1537" s="1" t="inlineStr">
        <is>
          <t>Использование (применение) средств индивидуальной защиты</t>
        </is>
      </c>
      <c r="L1537" s="1" t="inlineStr">
        <is>
          <t>04.11.2024</t>
        </is>
      </c>
      <c r="M1537" s="1" t="inlineStr">
        <is>
          <t>Успешно</t>
        </is>
      </c>
      <c r="N1537" s="1" t="inlineStr">
        <is>
          <t>08.11.2024</t>
        </is>
      </c>
      <c r="O1537" s="1" t="inlineStr"/>
      <c r="P1537" s="1" t="inlineStr"/>
      <c r="Q1537" s="1" t="inlineStr">
        <is>
          <t>Пользовательский интерфейс</t>
        </is>
      </c>
    </row>
    <row r="1538">
      <c r="B1538" s="1" t="inlineStr">
        <is>
          <t>86265128</t>
        </is>
      </c>
      <c r="C1538" s="1" t="inlineStr">
        <is>
          <t>6621561</t>
        </is>
      </c>
      <c r="D1538" t="inlineStr">
        <is>
          <t>работник 470</t>
        </is>
      </c>
      <c r="E1538" s="1" t="inlineStr">
        <is>
          <t>ОБЩЕСТВО С ОГРАНИЧЕННОЙ ОТВЕТСТВЕННОСТЬЮ "АМУР ЗОЛОТО"</t>
        </is>
      </c>
      <c r="F1538" s="1" t="inlineStr">
        <is>
          <t>2708001686</t>
        </is>
      </c>
      <c r="G1538" s="1" t="inlineStr">
        <is>
          <t>Водитель погрузчика</t>
        </is>
      </c>
      <c r="H1538" s="1" t="inlineStr">
        <is>
          <t>ООО "Амур Золото"</t>
        </is>
      </c>
      <c r="I1538" s="1" t="inlineStr">
        <is>
          <t>2708001686</t>
        </is>
      </c>
      <c r="J1538" s="1" t="inlineStr">
        <is>
          <t>ОТ № ЮГОК АТЦ 24-15</t>
        </is>
      </c>
      <c r="K153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538" s="1" t="inlineStr">
        <is>
          <t>04.11.2024</t>
        </is>
      </c>
      <c r="M1538" s="1" t="inlineStr">
        <is>
          <t>Успешно</t>
        </is>
      </c>
      <c r="N1538" s="1" t="inlineStr">
        <is>
          <t>08.11.2024</t>
        </is>
      </c>
      <c r="O1538" s="1" t="inlineStr"/>
      <c r="P1538" s="1" t="inlineStr"/>
      <c r="Q1538" s="1" t="inlineStr">
        <is>
          <t>Пользовательский интерфейс</t>
        </is>
      </c>
    </row>
    <row r="1539">
      <c r="B1539" s="1" t="inlineStr">
        <is>
          <t>86265129</t>
        </is>
      </c>
      <c r="C1539" s="1" t="inlineStr">
        <is>
          <t>6621561</t>
        </is>
      </c>
      <c r="D1539" t="inlineStr">
        <is>
          <t>работник 471</t>
        </is>
      </c>
      <c r="E1539" s="1" t="inlineStr">
        <is>
          <t>ОБЩЕСТВО С ОГРАНИЧЕННОЙ ОТВЕТСТВЕННОСТЬЮ "АМУР ЗОЛОТО"</t>
        </is>
      </c>
      <c r="F1539" s="1" t="inlineStr">
        <is>
          <t>2708001686</t>
        </is>
      </c>
      <c r="G1539" s="1" t="inlineStr">
        <is>
          <t>Контролер</t>
        </is>
      </c>
      <c r="H1539" s="1" t="inlineStr">
        <is>
          <t>ООО "Амур Золото"</t>
        </is>
      </c>
      <c r="I1539" s="1" t="inlineStr">
        <is>
          <t>2708001686</t>
        </is>
      </c>
      <c r="J1539" s="1" t="inlineStr">
        <is>
          <t>ОТ № ЮГОК СОБ 24-01</t>
        </is>
      </c>
      <c r="K1539" s="1" t="inlineStr">
        <is>
          <t>Использование (применение) средств индивидуальной защиты</t>
        </is>
      </c>
      <c r="L1539" s="1" t="inlineStr">
        <is>
          <t>05.11.2024</t>
        </is>
      </c>
      <c r="M1539" s="1" t="inlineStr">
        <is>
          <t>Успешно</t>
        </is>
      </c>
      <c r="N1539" s="1" t="inlineStr">
        <is>
          <t>08.11.2024</t>
        </is>
      </c>
      <c r="O1539" s="1" t="inlineStr"/>
      <c r="P1539" s="1" t="inlineStr"/>
      <c r="Q1539" s="1" t="inlineStr">
        <is>
          <t>Пользовательский интерфейс</t>
        </is>
      </c>
    </row>
    <row r="1540">
      <c r="B1540" s="1" t="inlineStr">
        <is>
          <t>86265130</t>
        </is>
      </c>
      <c r="C1540" s="1" t="inlineStr">
        <is>
          <t>6621561</t>
        </is>
      </c>
      <c r="D1540" t="inlineStr">
        <is>
          <t>работник 471</t>
        </is>
      </c>
      <c r="E1540" s="1" t="inlineStr">
        <is>
          <t>ОБЩЕСТВО С ОГРАНИЧЕННОЙ ОТВЕТСТВЕННОСТЬЮ "АМУР ЗОЛОТО"</t>
        </is>
      </c>
      <c r="F1540" s="1" t="inlineStr">
        <is>
          <t>2708001686</t>
        </is>
      </c>
      <c r="G1540" s="1" t="inlineStr">
        <is>
          <t>Контролер</t>
        </is>
      </c>
      <c r="H1540" s="1" t="inlineStr">
        <is>
          <t>ООО "Амур Золото"</t>
        </is>
      </c>
      <c r="I1540" s="1" t="inlineStr">
        <is>
          <t>2708001686</t>
        </is>
      </c>
      <c r="J1540" s="1" t="inlineStr">
        <is>
          <t>ОТ № ЮГОК СОБ 24-01</t>
        </is>
      </c>
      <c r="K154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540" s="1" t="inlineStr">
        <is>
          <t>05.11.2024</t>
        </is>
      </c>
      <c r="M1540" s="1" t="inlineStr">
        <is>
          <t>Успешно</t>
        </is>
      </c>
      <c r="N1540" s="1" t="inlineStr">
        <is>
          <t>08.11.2024</t>
        </is>
      </c>
      <c r="O1540" s="1" t="inlineStr"/>
      <c r="P1540" s="1" t="inlineStr"/>
      <c r="Q1540" s="1" t="inlineStr">
        <is>
          <t>Пользовательский интерфейс</t>
        </is>
      </c>
    </row>
    <row r="1541">
      <c r="B1541" s="1" t="inlineStr">
        <is>
          <t>86265131</t>
        </is>
      </c>
      <c r="C1541" s="1" t="inlineStr">
        <is>
          <t>6621561</t>
        </is>
      </c>
      <c r="D1541" t="inlineStr">
        <is>
          <t>работник 472</t>
        </is>
      </c>
      <c r="E1541" s="1" t="inlineStr">
        <is>
          <t>ОБЩЕСТВО С ОГРАНИЧЕННОЙ ОТВЕТСТВЕННОСТЬЮ "АМУР ЗОЛОТО"</t>
        </is>
      </c>
      <c r="F1541" s="1" t="inlineStr">
        <is>
          <t>2708001686</t>
        </is>
      </c>
      <c r="G1541" s="1" t="inlineStr">
        <is>
          <t>Контролер (золото-приемной кассы)</t>
        </is>
      </c>
      <c r="H1541" s="1" t="inlineStr">
        <is>
          <t>ООО "Амур Золото"</t>
        </is>
      </c>
      <c r="I1541" s="1" t="inlineStr">
        <is>
          <t>2708001686</t>
        </is>
      </c>
      <c r="J1541" s="1" t="inlineStr">
        <is>
          <t>ОТ № ЮГОК СОБ 24-01</t>
        </is>
      </c>
      <c r="K1541" s="1" t="inlineStr">
        <is>
          <t>Использование (применение) средств индивидуальной защиты</t>
        </is>
      </c>
      <c r="L1541" s="1" t="inlineStr">
        <is>
          <t>05.11.2024</t>
        </is>
      </c>
      <c r="M1541" s="1" t="inlineStr">
        <is>
          <t>Успешно</t>
        </is>
      </c>
      <c r="N1541" s="1" t="inlineStr">
        <is>
          <t>08.11.2024</t>
        </is>
      </c>
      <c r="O1541" s="1" t="inlineStr"/>
      <c r="P1541" s="1" t="inlineStr"/>
      <c r="Q1541" s="1" t="inlineStr">
        <is>
          <t>Пользовательский интерфейс</t>
        </is>
      </c>
    </row>
    <row r="1542">
      <c r="B1542" s="1" t="inlineStr">
        <is>
          <t>86265132</t>
        </is>
      </c>
      <c r="C1542" s="1" t="inlineStr">
        <is>
          <t>6621561</t>
        </is>
      </c>
      <c r="D1542" t="inlineStr">
        <is>
          <t>работник 472</t>
        </is>
      </c>
      <c r="E1542" s="1" t="inlineStr">
        <is>
          <t>ОБЩЕСТВО С ОГРАНИЧЕННОЙ ОТВЕТСТВЕННОСТЬЮ "АМУР ЗОЛОТО"</t>
        </is>
      </c>
      <c r="F1542" s="1" t="inlineStr">
        <is>
          <t>2708001686</t>
        </is>
      </c>
      <c r="G1542" s="1" t="inlineStr">
        <is>
          <t>Контролер (золото-приемной кассы)</t>
        </is>
      </c>
      <c r="H1542" s="1" t="inlineStr">
        <is>
          <t>ООО "Амур Золото"</t>
        </is>
      </c>
      <c r="I1542" s="1" t="inlineStr">
        <is>
          <t>2708001686</t>
        </is>
      </c>
      <c r="J1542" s="1" t="inlineStr">
        <is>
          <t>ОТ № ЮГОК СОБ 24-01</t>
        </is>
      </c>
      <c r="K154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542" s="1" t="inlineStr">
        <is>
          <t>05.11.2024</t>
        </is>
      </c>
      <c r="M1542" s="1" t="inlineStr">
        <is>
          <t>Успешно</t>
        </is>
      </c>
      <c r="N1542" s="1" t="inlineStr">
        <is>
          <t>08.11.2024</t>
        </is>
      </c>
      <c r="O1542" s="1" t="inlineStr"/>
      <c r="P1542" s="1" t="inlineStr"/>
      <c r="Q1542" s="1" t="inlineStr">
        <is>
          <t>Пользовательский интерфейс</t>
        </is>
      </c>
    </row>
    <row r="1543">
      <c r="B1543" s="1" t="inlineStr">
        <is>
          <t>86265133</t>
        </is>
      </c>
      <c r="C1543" s="1" t="inlineStr">
        <is>
          <t>6621561</t>
        </is>
      </c>
      <c r="D1543" t="inlineStr">
        <is>
          <t>работник 473</t>
        </is>
      </c>
      <c r="E1543" s="1" t="inlineStr">
        <is>
          <t>ОБЩЕСТВО С ОГРАНИЧЕННОЙ ОТВЕТСТВЕННОСТЬЮ "АМУР ЗОЛОТО"</t>
        </is>
      </c>
      <c r="F1543" s="1" t="inlineStr">
        <is>
          <t>2708001686</t>
        </is>
      </c>
      <c r="G1543" s="1" t="inlineStr">
        <is>
          <t>Контролер</t>
        </is>
      </c>
      <c r="H1543" s="1" t="inlineStr">
        <is>
          <t>ООО "Амур Золото"</t>
        </is>
      </c>
      <c r="I1543" s="1" t="inlineStr">
        <is>
          <t>2708001686</t>
        </is>
      </c>
      <c r="J1543" s="1" t="inlineStr">
        <is>
          <t>ОТ № ЮГОК СОБ 24-01</t>
        </is>
      </c>
      <c r="K1543" s="1" t="inlineStr">
        <is>
          <t>Использование (применение) средств индивидуальной защиты</t>
        </is>
      </c>
      <c r="L1543" s="1" t="inlineStr">
        <is>
          <t>05.11.2024</t>
        </is>
      </c>
      <c r="M1543" s="1" t="inlineStr">
        <is>
          <t>Успешно</t>
        </is>
      </c>
      <c r="N1543" s="1" t="inlineStr">
        <is>
          <t>08.11.2024</t>
        </is>
      </c>
      <c r="O1543" s="1" t="inlineStr"/>
      <c r="P1543" s="1" t="inlineStr"/>
      <c r="Q1543" s="1" t="inlineStr">
        <is>
          <t>Пользовательский интерфейс</t>
        </is>
      </c>
    </row>
    <row r="1544">
      <c r="B1544" s="1" t="inlineStr">
        <is>
          <t>86265134</t>
        </is>
      </c>
      <c r="C1544" s="1" t="inlineStr">
        <is>
          <t>6621561</t>
        </is>
      </c>
      <c r="D1544" t="inlineStr">
        <is>
          <t>работник 473</t>
        </is>
      </c>
      <c r="E1544" s="1" t="inlineStr">
        <is>
          <t>ОБЩЕСТВО С ОГРАНИЧЕННОЙ ОТВЕТСТВЕННОСТЬЮ "АМУР ЗОЛОТО"</t>
        </is>
      </c>
      <c r="F1544" s="1" t="inlineStr">
        <is>
          <t>2708001686</t>
        </is>
      </c>
      <c r="G1544" s="1" t="inlineStr">
        <is>
          <t>Контролер</t>
        </is>
      </c>
      <c r="H1544" s="1" t="inlineStr">
        <is>
          <t>ООО "Амур Золото"</t>
        </is>
      </c>
      <c r="I1544" s="1" t="inlineStr">
        <is>
          <t>2708001686</t>
        </is>
      </c>
      <c r="J1544" s="1" t="inlineStr">
        <is>
          <t>ОТ № ЮГОК СОБ 24-01</t>
        </is>
      </c>
      <c r="K154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544" s="1" t="inlineStr">
        <is>
          <t>05.11.2024</t>
        </is>
      </c>
      <c r="M1544" s="1" t="inlineStr">
        <is>
          <t>Успешно</t>
        </is>
      </c>
      <c r="N1544" s="1" t="inlineStr">
        <is>
          <t>08.11.2024</t>
        </is>
      </c>
      <c r="O1544" s="1" t="inlineStr"/>
      <c r="P1544" s="1" t="inlineStr"/>
      <c r="Q1544" s="1" t="inlineStr">
        <is>
          <t>Пользовательский интерфейс</t>
        </is>
      </c>
    </row>
    <row r="1545">
      <c r="B1545" s="1" t="inlineStr">
        <is>
          <t>86265135</t>
        </is>
      </c>
      <c r="C1545" s="1" t="inlineStr">
        <is>
          <t>6621561</t>
        </is>
      </c>
      <c r="D1545" t="inlineStr">
        <is>
          <t>работник 474</t>
        </is>
      </c>
      <c r="E1545" s="1" t="inlineStr">
        <is>
          <t>ОБЩЕСТВО С ОГРАНИЧЕННОЙ ОТВЕТСТВЕННОСТЬЮ "АМУР ЗОЛОТО"</t>
        </is>
      </c>
      <c r="F1545" s="1" t="inlineStr">
        <is>
          <t>2708001686</t>
        </is>
      </c>
      <c r="G1545" s="1" t="inlineStr">
        <is>
          <t>Контролер</t>
        </is>
      </c>
      <c r="H1545" s="1" t="inlineStr">
        <is>
          <t>ООО "Амур Золото"</t>
        </is>
      </c>
      <c r="I1545" s="1" t="inlineStr">
        <is>
          <t>2708001686</t>
        </is>
      </c>
      <c r="J1545" s="1" t="inlineStr">
        <is>
          <t>ОТ № ЮГОК СОБ 24-01</t>
        </is>
      </c>
      <c r="K1545" s="1" t="inlineStr">
        <is>
          <t>Использование (применение) средств индивидуальной защиты</t>
        </is>
      </c>
      <c r="L1545" s="1" t="inlineStr">
        <is>
          <t>05.11.2024</t>
        </is>
      </c>
      <c r="M1545" s="1" t="inlineStr">
        <is>
          <t>Успешно</t>
        </is>
      </c>
      <c r="N1545" s="1" t="inlineStr">
        <is>
          <t>08.11.2024</t>
        </is>
      </c>
      <c r="O1545" s="1" t="inlineStr"/>
      <c r="P1545" s="1" t="inlineStr"/>
      <c r="Q1545" s="1" t="inlineStr">
        <is>
          <t>Пользовательский интерфейс</t>
        </is>
      </c>
    </row>
    <row r="1546">
      <c r="B1546" s="1" t="inlineStr">
        <is>
          <t>86265136</t>
        </is>
      </c>
      <c r="C1546" s="1" t="inlineStr">
        <is>
          <t>6621561</t>
        </is>
      </c>
      <c r="D1546" t="inlineStr">
        <is>
          <t>работник 474</t>
        </is>
      </c>
      <c r="E1546" s="1" t="inlineStr">
        <is>
          <t>ОБЩЕСТВО С ОГРАНИЧЕННОЙ ОТВЕТСТВЕННОСТЬЮ "АМУР ЗОЛОТО"</t>
        </is>
      </c>
      <c r="F1546" s="1" t="inlineStr">
        <is>
          <t>2708001686</t>
        </is>
      </c>
      <c r="G1546" s="1" t="inlineStr">
        <is>
          <t>Контролер</t>
        </is>
      </c>
      <c r="H1546" s="1" t="inlineStr">
        <is>
          <t>ООО "Амур Золото"</t>
        </is>
      </c>
      <c r="I1546" s="1" t="inlineStr">
        <is>
          <t>2708001686</t>
        </is>
      </c>
      <c r="J1546" s="1" t="inlineStr">
        <is>
          <t>ОТ № ЮГОК СОБ 24-01</t>
        </is>
      </c>
      <c r="K154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546" s="1" t="inlineStr">
        <is>
          <t>05.11.2024</t>
        </is>
      </c>
      <c r="M1546" s="1" t="inlineStr">
        <is>
          <t>Успешно</t>
        </is>
      </c>
      <c r="N1546" s="1" t="inlineStr">
        <is>
          <t>08.11.2024</t>
        </is>
      </c>
      <c r="O1546" s="1" t="inlineStr"/>
      <c r="P1546" s="1" t="inlineStr"/>
      <c r="Q1546" s="1" t="inlineStr">
        <is>
          <t>Пользовательский интерфейс</t>
        </is>
      </c>
    </row>
    <row r="1547">
      <c r="B1547" s="1" t="inlineStr">
        <is>
          <t>86265137</t>
        </is>
      </c>
      <c r="C1547" s="1" t="inlineStr">
        <is>
          <t>6621561</t>
        </is>
      </c>
      <c r="D1547" t="inlineStr">
        <is>
          <t>работник 475</t>
        </is>
      </c>
      <c r="E1547" s="1" t="inlineStr">
        <is>
          <t>ОБЩЕСТВО С ОГРАНИЧЕННОЙ ОТВЕТСТВЕННОСТЬЮ "АМУР ЗОЛОТО"</t>
        </is>
      </c>
      <c r="F1547" s="1" t="inlineStr">
        <is>
          <t>2708001686</t>
        </is>
      </c>
      <c r="G1547" s="1" t="inlineStr">
        <is>
          <t>Контролер</t>
        </is>
      </c>
      <c r="H1547" s="1" t="inlineStr">
        <is>
          <t>ООО "Амур Золото"</t>
        </is>
      </c>
      <c r="I1547" s="1" t="inlineStr">
        <is>
          <t>2708001686</t>
        </is>
      </c>
      <c r="J1547" s="1" t="inlineStr">
        <is>
          <t>ОТ № ЮГОК СОБ 24-01</t>
        </is>
      </c>
      <c r="K1547" s="1" t="inlineStr">
        <is>
          <t>Использование (применение) средств индивидуальной защиты</t>
        </is>
      </c>
      <c r="L1547" s="1" t="inlineStr">
        <is>
          <t>05.11.2024</t>
        </is>
      </c>
      <c r="M1547" s="1" t="inlineStr">
        <is>
          <t>Успешно</t>
        </is>
      </c>
      <c r="N1547" s="1" t="inlineStr">
        <is>
          <t>08.11.2024</t>
        </is>
      </c>
      <c r="O1547" s="1" t="inlineStr"/>
      <c r="P1547" s="1" t="inlineStr"/>
      <c r="Q1547" s="1" t="inlineStr">
        <is>
          <t>Пользовательский интерфейс</t>
        </is>
      </c>
    </row>
    <row r="1548">
      <c r="B1548" s="1" t="inlineStr">
        <is>
          <t>86265138</t>
        </is>
      </c>
      <c r="C1548" s="1" t="inlineStr">
        <is>
          <t>6621561</t>
        </is>
      </c>
      <c r="D1548" t="inlineStr">
        <is>
          <t>работник 475</t>
        </is>
      </c>
      <c r="E1548" s="1" t="inlineStr">
        <is>
          <t>ОБЩЕСТВО С ОГРАНИЧЕННОЙ ОТВЕТСТВЕННОСТЬЮ "АМУР ЗОЛОТО"</t>
        </is>
      </c>
      <c r="F1548" s="1" t="inlineStr">
        <is>
          <t>2708001686</t>
        </is>
      </c>
      <c r="G1548" s="1" t="inlineStr">
        <is>
          <t>Контролер</t>
        </is>
      </c>
      <c r="H1548" s="1" t="inlineStr">
        <is>
          <t>ООО "Амур Золото"</t>
        </is>
      </c>
      <c r="I1548" s="1" t="inlineStr">
        <is>
          <t>2708001686</t>
        </is>
      </c>
      <c r="J1548" s="1" t="inlineStr">
        <is>
          <t>ОТ № ЮГОК СОБ 24-01</t>
        </is>
      </c>
      <c r="K154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548" s="1" t="inlineStr">
        <is>
          <t>05.11.2024</t>
        </is>
      </c>
      <c r="M1548" s="1" t="inlineStr">
        <is>
          <t>Успешно</t>
        </is>
      </c>
      <c r="N1548" s="1" t="inlineStr">
        <is>
          <t>08.11.2024</t>
        </is>
      </c>
      <c r="O1548" s="1" t="inlineStr"/>
      <c r="P1548" s="1" t="inlineStr"/>
      <c r="Q1548" s="1" t="inlineStr">
        <is>
          <t>Пользовательский интерфейс</t>
        </is>
      </c>
    </row>
    <row r="1549">
      <c r="B1549" s="1" t="inlineStr">
        <is>
          <t>86265139</t>
        </is>
      </c>
      <c r="C1549" s="1" t="inlineStr">
        <is>
          <t>6621561</t>
        </is>
      </c>
      <c r="D1549" t="inlineStr">
        <is>
          <t>работник 476</t>
        </is>
      </c>
      <c r="E1549" s="1" t="inlineStr">
        <is>
          <t>ОБЩЕСТВО С ОГРАНИЧЕННОЙ ОТВЕТСТВЕННОСТЬЮ "АМУР ЗОЛОТО"</t>
        </is>
      </c>
      <c r="F1549" s="1" t="inlineStr">
        <is>
          <t>2708001686</t>
        </is>
      </c>
      <c r="G1549" s="1" t="inlineStr">
        <is>
          <t>Контролер</t>
        </is>
      </c>
      <c r="H1549" s="1" t="inlineStr">
        <is>
          <t>ООО "Амур Золото"</t>
        </is>
      </c>
      <c r="I1549" s="1" t="inlineStr">
        <is>
          <t>2708001686</t>
        </is>
      </c>
      <c r="J1549" s="1" t="inlineStr">
        <is>
          <t>ОТ № ЮГОК СОБ 24-01</t>
        </is>
      </c>
      <c r="K1549" s="1" t="inlineStr">
        <is>
          <t>Использование (применение) средств индивидуальной защиты</t>
        </is>
      </c>
      <c r="L1549" s="1" t="inlineStr">
        <is>
          <t>05.11.2024</t>
        </is>
      </c>
      <c r="M1549" s="1" t="inlineStr">
        <is>
          <t>Успешно</t>
        </is>
      </c>
      <c r="N1549" s="1" t="inlineStr">
        <is>
          <t>08.11.2024</t>
        </is>
      </c>
      <c r="O1549" s="1" t="inlineStr"/>
      <c r="P1549" s="1" t="inlineStr"/>
      <c r="Q1549" s="1" t="inlineStr">
        <is>
          <t>Пользовательский интерфейс</t>
        </is>
      </c>
    </row>
    <row r="1550">
      <c r="B1550" s="1" t="inlineStr">
        <is>
          <t>86265140</t>
        </is>
      </c>
      <c r="C1550" s="1" t="inlineStr">
        <is>
          <t>6621561</t>
        </is>
      </c>
      <c r="D1550" t="inlineStr">
        <is>
          <t>работник 476</t>
        </is>
      </c>
      <c r="E1550" s="1" t="inlineStr">
        <is>
          <t>ОБЩЕСТВО С ОГРАНИЧЕННОЙ ОТВЕТСТВЕННОСТЬЮ "АМУР ЗОЛОТО"</t>
        </is>
      </c>
      <c r="F1550" s="1" t="inlineStr">
        <is>
          <t>2708001686</t>
        </is>
      </c>
      <c r="G1550" s="1" t="inlineStr">
        <is>
          <t>Контролер</t>
        </is>
      </c>
      <c r="H1550" s="1" t="inlineStr">
        <is>
          <t>ООО "Амур Золото"</t>
        </is>
      </c>
      <c r="I1550" s="1" t="inlineStr">
        <is>
          <t>2708001686</t>
        </is>
      </c>
      <c r="J1550" s="1" t="inlineStr">
        <is>
          <t>ОТ № ЮГОК СОБ 24-01</t>
        </is>
      </c>
      <c r="K155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550" s="1" t="inlineStr">
        <is>
          <t>05.11.2024</t>
        </is>
      </c>
      <c r="M1550" s="1" t="inlineStr">
        <is>
          <t>Успешно</t>
        </is>
      </c>
      <c r="N1550" s="1" t="inlineStr">
        <is>
          <t>08.11.2024</t>
        </is>
      </c>
      <c r="O1550" s="1" t="inlineStr"/>
      <c r="P1550" s="1" t="inlineStr"/>
      <c r="Q1550" s="1" t="inlineStr">
        <is>
          <t>Пользовательский интерфейс</t>
        </is>
      </c>
    </row>
    <row r="1551">
      <c r="B1551" s="1" t="inlineStr">
        <is>
          <t>87544918</t>
        </is>
      </c>
      <c r="C1551" s="1" t="inlineStr">
        <is>
          <t>6719954</t>
        </is>
      </c>
      <c r="D1551" t="inlineStr">
        <is>
          <t>работник 477</t>
        </is>
      </c>
      <c r="E1551" s="1" t="inlineStr">
        <is>
          <t>ОБЩЕСТВО С ОГРАНИЧЕННОЙ ОТВЕТСТВЕННОСТЬЮ "АМУР ЗОЛОТО"</t>
        </is>
      </c>
      <c r="F1551" s="1" t="inlineStr">
        <is>
          <t>2708001686</t>
        </is>
      </c>
      <c r="G1551" s="1" t="inlineStr">
        <is>
          <t>Слесарь ремонтник по ремонту обоготительного оборудования</t>
        </is>
      </c>
      <c r="H1551" s="1" t="inlineStr">
        <is>
          <t>ООО "Амур Золото"</t>
        </is>
      </c>
      <c r="I1551" s="1" t="inlineStr">
        <is>
          <t>2708001686</t>
        </is>
      </c>
      <c r="J1551" s="1" t="inlineStr">
        <is>
          <t>ОТ № ЮГОК ЗИОФ 24-37</t>
        </is>
      </c>
      <c r="K1551" s="1" t="inlineStr">
        <is>
          <t>Использование (применение) средств индивидуальной защиты</t>
        </is>
      </c>
      <c r="L1551" s="1" t="inlineStr">
        <is>
          <t>13.11.2024</t>
        </is>
      </c>
      <c r="M1551" s="1" t="inlineStr">
        <is>
          <t>Успешно</t>
        </is>
      </c>
      <c r="N1551" s="1" t="inlineStr">
        <is>
          <t>15.11.2024</t>
        </is>
      </c>
      <c r="O1551" s="1" t="inlineStr"/>
      <c r="P1551" s="1" t="inlineStr"/>
      <c r="Q1551" s="1" t="inlineStr">
        <is>
          <t>Пользовательский интерфейс</t>
        </is>
      </c>
    </row>
    <row r="1552">
      <c r="B1552" s="1" t="inlineStr">
        <is>
          <t>87544919</t>
        </is>
      </c>
      <c r="C1552" s="1" t="inlineStr">
        <is>
          <t>6719954</t>
        </is>
      </c>
      <c r="D1552" t="inlineStr">
        <is>
          <t>работник 477</t>
        </is>
      </c>
      <c r="E1552" s="1" t="inlineStr">
        <is>
          <t>ОБЩЕСТВО С ОГРАНИЧЕННОЙ ОТВЕТСТВЕННОСТЬЮ "АМУР ЗОЛОТО"</t>
        </is>
      </c>
      <c r="F1552" s="1" t="inlineStr">
        <is>
          <t>2708001686</t>
        </is>
      </c>
      <c r="G1552" s="1" t="inlineStr">
        <is>
          <t>Слесарь ремонтник по ремонту обоготительного оборудования</t>
        </is>
      </c>
      <c r="H1552" s="1" t="inlineStr">
        <is>
          <t>ООО "Амур Золото"</t>
        </is>
      </c>
      <c r="I1552" s="1" t="inlineStr">
        <is>
          <t>2708001686</t>
        </is>
      </c>
      <c r="J1552" s="1" t="inlineStr">
        <is>
          <t>ОТ № ЮГОК ЗИОФ 24-37</t>
        </is>
      </c>
      <c r="K155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552" s="1" t="inlineStr">
        <is>
          <t>13.11.2024</t>
        </is>
      </c>
      <c r="M1552" s="1" t="inlineStr">
        <is>
          <t>Успешно</t>
        </is>
      </c>
      <c r="N1552" s="1" t="inlineStr">
        <is>
          <t>15.11.2024</t>
        </is>
      </c>
      <c r="O1552" s="1" t="inlineStr"/>
      <c r="P1552" s="1" t="inlineStr"/>
      <c r="Q1552" s="1" t="inlineStr">
        <is>
          <t>Пользовательский интерфейс</t>
        </is>
      </c>
    </row>
    <row r="1553">
      <c r="B1553" s="1" t="inlineStr">
        <is>
          <t>87544920</t>
        </is>
      </c>
      <c r="C1553" s="1" t="inlineStr">
        <is>
          <t>6719954</t>
        </is>
      </c>
      <c r="D1553" t="inlineStr">
        <is>
          <t>работник 111</t>
        </is>
      </c>
      <c r="E1553" s="1" t="inlineStr">
        <is>
          <t>ОБЩЕСТВО С ОГРАНИЧЕННОЙ ОТВЕТСТВЕННОСТЬЮ "АМУР ЗОЛОТО"</t>
        </is>
      </c>
      <c r="F1553" s="1" t="inlineStr">
        <is>
          <t>2708001686</t>
        </is>
      </c>
      <c r="G1553" s="1" t="inlineStr">
        <is>
          <t>Машинист конвейера</t>
        </is>
      </c>
      <c r="H1553" s="1" t="inlineStr">
        <is>
          <t>ООО "Амур Золото"</t>
        </is>
      </c>
      <c r="I1553" s="1" t="inlineStr">
        <is>
          <t>2708001686</t>
        </is>
      </c>
      <c r="J1553" s="1" t="inlineStr">
        <is>
          <t>ОТ № ЮГОК ЗИОФ 24-37</t>
        </is>
      </c>
      <c r="K1553" s="1" t="inlineStr">
        <is>
          <t>Использование (применение) средств индивидуальной защиты</t>
        </is>
      </c>
      <c r="L1553" s="1" t="inlineStr">
        <is>
          <t>13.11.2024</t>
        </is>
      </c>
      <c r="M1553" s="1" t="inlineStr">
        <is>
          <t>Успешно</t>
        </is>
      </c>
      <c r="N1553" s="1" t="inlineStr">
        <is>
          <t>15.11.2024</t>
        </is>
      </c>
      <c r="O1553" s="1" t="inlineStr"/>
      <c r="P1553" s="1" t="inlineStr"/>
      <c r="Q1553" s="1" t="inlineStr">
        <is>
          <t>Пользовательский интерфейс</t>
        </is>
      </c>
    </row>
    <row r="1554">
      <c r="B1554" s="1" t="inlineStr">
        <is>
          <t>87544921</t>
        </is>
      </c>
      <c r="C1554" s="1" t="inlineStr">
        <is>
          <t>6719954</t>
        </is>
      </c>
      <c r="D1554" t="inlineStr">
        <is>
          <t>работник 111</t>
        </is>
      </c>
      <c r="E1554" s="1" t="inlineStr">
        <is>
          <t>ОБЩЕСТВО С ОГРАНИЧЕННОЙ ОТВЕТСТВЕННОСТЬЮ "АМУР ЗОЛОТО"</t>
        </is>
      </c>
      <c r="F1554" s="1" t="inlineStr">
        <is>
          <t>2708001686</t>
        </is>
      </c>
      <c r="G1554" s="1" t="inlineStr">
        <is>
          <t>Машинист конвейера</t>
        </is>
      </c>
      <c r="H1554" s="1" t="inlineStr">
        <is>
          <t>ООО "Амур Золото"</t>
        </is>
      </c>
      <c r="I1554" s="1" t="inlineStr">
        <is>
          <t>2708001686</t>
        </is>
      </c>
      <c r="J1554" s="1" t="inlineStr">
        <is>
          <t>ОТ № ЮГОК ЗИОФ 24-37</t>
        </is>
      </c>
      <c r="K155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554" s="1" t="inlineStr">
        <is>
          <t>13.11.2024</t>
        </is>
      </c>
      <c r="M1554" s="1" t="inlineStr">
        <is>
          <t>Успешно</t>
        </is>
      </c>
      <c r="N1554" s="1" t="inlineStr">
        <is>
          <t>15.11.2024</t>
        </is>
      </c>
      <c r="O1554" s="1" t="inlineStr"/>
      <c r="P1554" s="1" t="inlineStr"/>
      <c r="Q1554" s="1" t="inlineStr">
        <is>
          <t>Пользовательский интерфейс</t>
        </is>
      </c>
    </row>
    <row r="1555">
      <c r="B1555" s="1" t="inlineStr">
        <is>
          <t>87544922</t>
        </is>
      </c>
      <c r="C1555" s="1" t="inlineStr">
        <is>
          <t>6719954</t>
        </is>
      </c>
      <c r="D1555" t="inlineStr">
        <is>
          <t>работник 478</t>
        </is>
      </c>
      <c r="E1555" s="1" t="inlineStr">
        <is>
          <t>ОБЩЕСТВО С ОГРАНИЧЕННОЙ ОТВЕТСТВЕННОСТЬЮ "АМУР ЗОЛОТО"</t>
        </is>
      </c>
      <c r="F1555" s="1" t="inlineStr">
        <is>
          <t>2708001686</t>
        </is>
      </c>
      <c r="G1555" s="1" t="inlineStr">
        <is>
          <t>Весовщик</t>
        </is>
      </c>
      <c r="H1555" s="1" t="inlineStr">
        <is>
          <t>ООО "Амур Золото"</t>
        </is>
      </c>
      <c r="I1555" s="1" t="inlineStr">
        <is>
          <t>2708001686</t>
        </is>
      </c>
      <c r="J1555" s="1" t="inlineStr">
        <is>
          <t>ОТ № ЮГОК ОТК 24-05</t>
        </is>
      </c>
      <c r="K1555" s="1" t="inlineStr">
        <is>
          <t>Использование (применение) средств индивидуальной защиты</t>
        </is>
      </c>
      <c r="L1555" s="1" t="inlineStr">
        <is>
          <t>12.11.2024</t>
        </is>
      </c>
      <c r="M1555" s="1" t="inlineStr">
        <is>
          <t>Успешно</t>
        </is>
      </c>
      <c r="N1555" s="1" t="inlineStr">
        <is>
          <t>15.11.2024</t>
        </is>
      </c>
      <c r="O1555" s="1" t="inlineStr"/>
      <c r="P1555" s="1" t="inlineStr"/>
      <c r="Q1555" s="1" t="inlineStr">
        <is>
          <t>Пользовательский интерфейс</t>
        </is>
      </c>
    </row>
    <row r="1556">
      <c r="B1556" s="1" t="inlineStr">
        <is>
          <t>87544923</t>
        </is>
      </c>
      <c r="C1556" s="1" t="inlineStr">
        <is>
          <t>6719954</t>
        </is>
      </c>
      <c r="D1556" t="inlineStr">
        <is>
          <t>работник 478</t>
        </is>
      </c>
      <c r="E1556" s="1" t="inlineStr">
        <is>
          <t>ОБЩЕСТВО С ОГРАНИЧЕННОЙ ОТВЕТСТВЕННОСТЬЮ "АМУР ЗОЛОТО"</t>
        </is>
      </c>
      <c r="F1556" s="1" t="inlineStr">
        <is>
          <t>2708001686</t>
        </is>
      </c>
      <c r="G1556" s="1" t="inlineStr">
        <is>
          <t>Весовщик</t>
        </is>
      </c>
      <c r="H1556" s="1" t="inlineStr">
        <is>
          <t>ООО "Амур Золото"</t>
        </is>
      </c>
      <c r="I1556" s="1" t="inlineStr">
        <is>
          <t>2708001686</t>
        </is>
      </c>
      <c r="J1556" s="1" t="inlineStr">
        <is>
          <t>ОТ № ЮГОК ОТК 24-05</t>
        </is>
      </c>
      <c r="K155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556" s="1" t="inlineStr">
        <is>
          <t>12.11.2024</t>
        </is>
      </c>
      <c r="M1556" s="1" t="inlineStr">
        <is>
          <t>Успешно</t>
        </is>
      </c>
      <c r="N1556" s="1" t="inlineStr">
        <is>
          <t>15.11.2024</t>
        </is>
      </c>
      <c r="O1556" s="1" t="inlineStr"/>
      <c r="P1556" s="1" t="inlineStr"/>
      <c r="Q1556" s="1" t="inlineStr">
        <is>
          <t>Пользовательский интерфейс</t>
        </is>
      </c>
    </row>
    <row r="1557">
      <c r="B1557" s="1" t="inlineStr">
        <is>
          <t>87544924</t>
        </is>
      </c>
      <c r="C1557" s="1" t="inlineStr">
        <is>
          <t>6719954</t>
        </is>
      </c>
      <c r="D1557" t="inlineStr">
        <is>
          <t>работник 146</t>
        </is>
      </c>
      <c r="E1557" s="1" t="inlineStr">
        <is>
          <t>ОБЩЕСТВО С ОГРАНИЧЕННОЙ ОТВЕТСТВЕННОСТЬЮ "АМУР ЗОЛОТО"</t>
        </is>
      </c>
      <c r="F1557" s="1" t="inlineStr">
        <is>
          <t>2708001686</t>
        </is>
      </c>
      <c r="G1557" s="1" t="inlineStr">
        <is>
          <t>Проходчик (с исполнением обязанностей взрывника)</t>
        </is>
      </c>
      <c r="H1557" s="1" t="inlineStr">
        <is>
          <t>ООО "Амур Золото"</t>
        </is>
      </c>
      <c r="I1557" s="1" t="inlineStr">
        <is>
          <t>2708001686</t>
        </is>
      </c>
      <c r="J1557" s="1" t="inlineStr">
        <is>
          <t>ОТ № ЮГОК ПГУ 24-23</t>
        </is>
      </c>
      <c r="K1557" s="1" t="inlineStr">
        <is>
          <t>Использование (применение) средств индивидуальной защиты</t>
        </is>
      </c>
      <c r="L1557" s="1" t="inlineStr">
        <is>
          <t>12.11.2024</t>
        </is>
      </c>
      <c r="M1557" s="1" t="inlineStr">
        <is>
          <t>Успешно</t>
        </is>
      </c>
      <c r="N1557" s="1" t="inlineStr">
        <is>
          <t>15.11.2024</t>
        </is>
      </c>
      <c r="O1557" s="1" t="inlineStr"/>
      <c r="P1557" s="1" t="inlineStr"/>
      <c r="Q1557" s="1" t="inlineStr">
        <is>
          <t>Пользовательский интерфейс</t>
        </is>
      </c>
    </row>
    <row r="1558">
      <c r="B1558" s="1" t="inlineStr">
        <is>
          <t>87544925</t>
        </is>
      </c>
      <c r="C1558" s="1" t="inlineStr">
        <is>
          <t>6719954</t>
        </is>
      </c>
      <c r="D1558" t="inlineStr">
        <is>
          <t>работник 146</t>
        </is>
      </c>
      <c r="E1558" s="1" t="inlineStr">
        <is>
          <t>ОБЩЕСТВО С ОГРАНИЧЕННОЙ ОТВЕТСТВЕННОСТЬЮ "АМУР ЗОЛОТО"</t>
        </is>
      </c>
      <c r="F1558" s="1" t="inlineStr">
        <is>
          <t>2708001686</t>
        </is>
      </c>
      <c r="G1558" s="1" t="inlineStr">
        <is>
          <t>Проходчик (с исполнением обязанностей взрывника)</t>
        </is>
      </c>
      <c r="H1558" s="1" t="inlineStr">
        <is>
          <t>ООО "Амур Золото"</t>
        </is>
      </c>
      <c r="I1558" s="1" t="inlineStr">
        <is>
          <t>2708001686</t>
        </is>
      </c>
      <c r="J1558" s="1" t="inlineStr">
        <is>
          <t>ОТ № ЮГОК ПГУ 24-23</t>
        </is>
      </c>
      <c r="K155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558" s="1" t="inlineStr">
        <is>
          <t>12.11.2024</t>
        </is>
      </c>
      <c r="M1558" s="1" t="inlineStr">
        <is>
          <t>Успешно</t>
        </is>
      </c>
      <c r="N1558" s="1" t="inlineStr">
        <is>
          <t>15.11.2024</t>
        </is>
      </c>
      <c r="O1558" s="1" t="inlineStr"/>
      <c r="P1558" s="1" t="inlineStr"/>
      <c r="Q1558" s="1" t="inlineStr">
        <is>
          <t>Пользовательский интерфейс</t>
        </is>
      </c>
    </row>
    <row r="1559">
      <c r="B1559" s="1" t="inlineStr">
        <is>
          <t>87544926</t>
        </is>
      </c>
      <c r="C1559" s="1" t="inlineStr">
        <is>
          <t>6719954</t>
        </is>
      </c>
      <c r="D1559" t="inlineStr">
        <is>
          <t>работник 147</t>
        </is>
      </c>
      <c r="E1559" s="1" t="inlineStr">
        <is>
          <t>ОБЩЕСТВО С ОГРАНИЧЕННОЙ ОТВЕТСТВЕННОСТЬЮ "АМУР ЗОЛОТО"</t>
        </is>
      </c>
      <c r="F1559" s="1" t="inlineStr">
        <is>
          <t>2708001686</t>
        </is>
      </c>
      <c r="G1559" s="1" t="inlineStr">
        <is>
          <t>Крепильщик</t>
        </is>
      </c>
      <c r="H1559" s="1" t="inlineStr">
        <is>
          <t>ООО "Амур Золото"</t>
        </is>
      </c>
      <c r="I1559" s="1" t="inlineStr">
        <is>
          <t>2708001686</t>
        </is>
      </c>
      <c r="J1559" s="1" t="inlineStr">
        <is>
          <t>ОТ № ЮГОК ПГУ 24-23</t>
        </is>
      </c>
      <c r="K1559" s="1" t="inlineStr">
        <is>
          <t>Использование (применение) средств индивидуальной защиты</t>
        </is>
      </c>
      <c r="L1559" s="1" t="inlineStr">
        <is>
          <t>12.11.2024</t>
        </is>
      </c>
      <c r="M1559" s="1" t="inlineStr">
        <is>
          <t>Успешно</t>
        </is>
      </c>
      <c r="N1559" s="1" t="inlineStr">
        <is>
          <t>15.11.2024</t>
        </is>
      </c>
      <c r="O1559" s="1" t="inlineStr"/>
      <c r="P1559" s="1" t="inlineStr"/>
      <c r="Q1559" s="1" t="inlineStr">
        <is>
          <t>Пользовательский интерфейс</t>
        </is>
      </c>
    </row>
    <row r="1560">
      <c r="B1560" s="1" t="inlineStr">
        <is>
          <t>87544927</t>
        </is>
      </c>
      <c r="C1560" s="1" t="inlineStr">
        <is>
          <t>6719954</t>
        </is>
      </c>
      <c r="D1560" t="inlineStr">
        <is>
          <t>работник 147</t>
        </is>
      </c>
      <c r="E1560" s="1" t="inlineStr">
        <is>
          <t>ОБЩЕСТВО С ОГРАНИЧЕННОЙ ОТВЕТСТВЕННОСТЬЮ "АМУР ЗОЛОТО"</t>
        </is>
      </c>
      <c r="F1560" s="1" t="inlineStr">
        <is>
          <t>2708001686</t>
        </is>
      </c>
      <c r="G1560" s="1" t="inlineStr">
        <is>
          <t>Крепильщик</t>
        </is>
      </c>
      <c r="H1560" s="1" t="inlineStr">
        <is>
          <t>ООО "Амур Золото"</t>
        </is>
      </c>
      <c r="I1560" s="1" t="inlineStr">
        <is>
          <t>2708001686</t>
        </is>
      </c>
      <c r="J1560" s="1" t="inlineStr">
        <is>
          <t>ОТ № ЮГОК ПГУ 24-23</t>
        </is>
      </c>
      <c r="K156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560" s="1" t="inlineStr">
        <is>
          <t>12.11.2024</t>
        </is>
      </c>
      <c r="M1560" s="1" t="inlineStr">
        <is>
          <t>Успешно</t>
        </is>
      </c>
      <c r="N1560" s="1" t="inlineStr">
        <is>
          <t>15.11.2024</t>
        </is>
      </c>
      <c r="O1560" s="1" t="inlineStr"/>
      <c r="P1560" s="1" t="inlineStr"/>
      <c r="Q1560" s="1" t="inlineStr">
        <is>
          <t>Пользовательский интерфейс</t>
        </is>
      </c>
    </row>
    <row r="1561">
      <c r="B1561" s="1" t="inlineStr">
        <is>
          <t>87544928</t>
        </is>
      </c>
      <c r="C1561" s="1" t="inlineStr">
        <is>
          <t>6719954</t>
        </is>
      </c>
      <c r="D1561" t="inlineStr">
        <is>
          <t>работник 148</t>
        </is>
      </c>
      <c r="E1561" s="1" t="inlineStr">
        <is>
          <t>ОБЩЕСТВО С ОГРАНИЧЕННОЙ ОТВЕТСТВЕННОСТЬЮ "АМУР ЗОЛОТО"</t>
        </is>
      </c>
      <c r="F1561" s="1" t="inlineStr">
        <is>
          <t>2708001686</t>
        </is>
      </c>
      <c r="G1561" s="1" t="inlineStr">
        <is>
          <t>Машинист погрузочно-доставочной машины (занятый на транспортировании горной массы в технологическом процессе)</t>
        </is>
      </c>
      <c r="H1561" s="1" t="inlineStr">
        <is>
          <t>ООО "Амур Золото"</t>
        </is>
      </c>
      <c r="I1561" s="1" t="inlineStr">
        <is>
          <t>2708001686</t>
        </is>
      </c>
      <c r="J1561" s="1" t="inlineStr">
        <is>
          <t>ОТ № ЮГОК ПГУ 24-23</t>
        </is>
      </c>
      <c r="K1561" s="1" t="inlineStr">
        <is>
          <t>Использование (применение) средств индивидуальной защиты</t>
        </is>
      </c>
      <c r="L1561" s="1" t="inlineStr">
        <is>
          <t>12.11.2024</t>
        </is>
      </c>
      <c r="M1561" s="1" t="inlineStr">
        <is>
          <t>Успешно</t>
        </is>
      </c>
      <c r="N1561" s="1" t="inlineStr">
        <is>
          <t>15.11.2024</t>
        </is>
      </c>
      <c r="O1561" s="1" t="inlineStr"/>
      <c r="P1561" s="1" t="inlineStr"/>
      <c r="Q1561" s="1" t="inlineStr">
        <is>
          <t>Пользовательский интерфейс</t>
        </is>
      </c>
    </row>
    <row r="1562">
      <c r="B1562" s="1" t="inlineStr">
        <is>
          <t>87544929</t>
        </is>
      </c>
      <c r="C1562" s="1" t="inlineStr">
        <is>
          <t>6719954</t>
        </is>
      </c>
      <c r="D1562" t="inlineStr">
        <is>
          <t>работник 162</t>
        </is>
      </c>
      <c r="E1562" s="1" t="inlineStr">
        <is>
          <t>ОБЩЕСТВО С ОГРАНИЧЕННОЙ ОТВЕТСТВЕННОСТЬЮ "АМУР ЗОЛОТО"</t>
        </is>
      </c>
      <c r="F1562" s="1" t="inlineStr">
        <is>
          <t>2708001686</t>
        </is>
      </c>
      <c r="G1562" s="1" t="inlineStr">
        <is>
          <t>Проходчик (с исполнением обязанностей взрывника)</t>
        </is>
      </c>
      <c r="H1562" s="1" t="inlineStr">
        <is>
          <t>ООО "Амур Золото"</t>
        </is>
      </c>
      <c r="I1562" s="1" t="inlineStr">
        <is>
          <t>2708001686</t>
        </is>
      </c>
      <c r="J1562" s="1" t="inlineStr">
        <is>
          <t>ОТ № ЮГОК ПГУ 24-23</t>
        </is>
      </c>
      <c r="K1562" s="1" t="inlineStr">
        <is>
          <t>Использование (применение) средств индивидуальной защиты</t>
        </is>
      </c>
      <c r="L1562" s="1" t="inlineStr">
        <is>
          <t>12.11.2024</t>
        </is>
      </c>
      <c r="M1562" s="1" t="inlineStr">
        <is>
          <t>Успешно</t>
        </is>
      </c>
      <c r="N1562" s="1" t="inlineStr">
        <is>
          <t>15.11.2024</t>
        </is>
      </c>
      <c r="O1562" s="1" t="inlineStr"/>
      <c r="P1562" s="1" t="inlineStr"/>
      <c r="Q1562" s="1" t="inlineStr">
        <is>
          <t>Пользовательский интерфейс</t>
        </is>
      </c>
    </row>
    <row r="1563">
      <c r="B1563" s="1" t="inlineStr">
        <is>
          <t>87544930</t>
        </is>
      </c>
      <c r="C1563" s="1" t="inlineStr">
        <is>
          <t>6719954</t>
        </is>
      </c>
      <c r="D1563" t="inlineStr">
        <is>
          <t>работник 148</t>
        </is>
      </c>
      <c r="E1563" s="1" t="inlineStr">
        <is>
          <t>ОБЩЕСТВО С ОГРАНИЧЕННОЙ ОТВЕТСТВЕННОСТЬЮ "АМУР ЗОЛОТО"</t>
        </is>
      </c>
      <c r="F1563" s="1" t="inlineStr">
        <is>
          <t>2708001686</t>
        </is>
      </c>
      <c r="G1563" s="1" t="inlineStr">
        <is>
          <t>Машинист погрузочно-доставочной машины (занятый на транспортировании горной массы в технологическом процессе)</t>
        </is>
      </c>
      <c r="H1563" s="1" t="inlineStr">
        <is>
          <t>ООО "Амур Золото"</t>
        </is>
      </c>
      <c r="I1563" s="1" t="inlineStr">
        <is>
          <t>2708001686</t>
        </is>
      </c>
      <c r="J1563" s="1" t="inlineStr">
        <is>
          <t>ОТ № ЮГОК ПГУ 24-23</t>
        </is>
      </c>
      <c r="K156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563" s="1" t="inlineStr">
        <is>
          <t>12.11.2024</t>
        </is>
      </c>
      <c r="M1563" s="1" t="inlineStr">
        <is>
          <t>Успешно</t>
        </is>
      </c>
      <c r="N1563" s="1" t="inlineStr">
        <is>
          <t>15.11.2024</t>
        </is>
      </c>
      <c r="O1563" s="1" t="inlineStr"/>
      <c r="P1563" s="1" t="inlineStr"/>
      <c r="Q1563" s="1" t="inlineStr">
        <is>
          <t>Пользовательский интерфейс</t>
        </is>
      </c>
    </row>
    <row r="1564">
      <c r="B1564" s="1" t="inlineStr">
        <is>
          <t>87544931</t>
        </is>
      </c>
      <c r="C1564" s="1" t="inlineStr">
        <is>
          <t>6719954</t>
        </is>
      </c>
      <c r="D1564" t="inlineStr">
        <is>
          <t>работник 149</t>
        </is>
      </c>
      <c r="E1564" s="1" t="inlineStr">
        <is>
          <t>ОБЩЕСТВО С ОГРАНИЧЕННОЙ ОТВЕТСТВЕННОСТЬЮ "АМУР ЗОЛОТО"</t>
        </is>
      </c>
      <c r="F1564" s="1" t="inlineStr">
        <is>
          <t>2708001686</t>
        </is>
      </c>
      <c r="G1564" s="1" t="inlineStr">
        <is>
          <t>Машинист погрузочно-доставочной машины</t>
        </is>
      </c>
      <c r="H1564" s="1" t="inlineStr">
        <is>
          <t>ООО "Амур Золото"</t>
        </is>
      </c>
      <c r="I1564" s="1" t="inlineStr">
        <is>
          <t>2708001686</t>
        </is>
      </c>
      <c r="J1564" s="1" t="inlineStr">
        <is>
          <t>ОТ № ЮГОК ПГУ 24-23</t>
        </is>
      </c>
      <c r="K1564" s="1" t="inlineStr">
        <is>
          <t>Использование (применение) средств индивидуальной защиты</t>
        </is>
      </c>
      <c r="L1564" s="1" t="inlineStr">
        <is>
          <t>12.11.2024</t>
        </is>
      </c>
      <c r="M1564" s="1" t="inlineStr">
        <is>
          <t>Успешно</t>
        </is>
      </c>
      <c r="N1564" s="1" t="inlineStr">
        <is>
          <t>15.11.2024</t>
        </is>
      </c>
      <c r="O1564" s="1" t="inlineStr"/>
      <c r="P1564" s="1" t="inlineStr"/>
      <c r="Q1564" s="1" t="inlineStr">
        <is>
          <t>Пользовательский интерфейс</t>
        </is>
      </c>
    </row>
    <row r="1565">
      <c r="B1565" s="1" t="inlineStr">
        <is>
          <t>87544932</t>
        </is>
      </c>
      <c r="C1565" s="1" t="inlineStr">
        <is>
          <t>6719954</t>
        </is>
      </c>
      <c r="D1565" t="inlineStr">
        <is>
          <t>работник 149</t>
        </is>
      </c>
      <c r="E1565" s="1" t="inlineStr">
        <is>
          <t>ОБЩЕСТВО С ОГРАНИЧЕННОЙ ОТВЕТСТВЕННОСТЬЮ "АМУР ЗОЛОТО"</t>
        </is>
      </c>
      <c r="F1565" s="1" t="inlineStr">
        <is>
          <t>2708001686</t>
        </is>
      </c>
      <c r="G1565" s="1" t="inlineStr">
        <is>
          <t>Машинист погрузочно-доставочной машины</t>
        </is>
      </c>
      <c r="H1565" s="1" t="inlineStr">
        <is>
          <t>ООО "Амур Золото"</t>
        </is>
      </c>
      <c r="I1565" s="1" t="inlineStr">
        <is>
          <t>2708001686</t>
        </is>
      </c>
      <c r="J1565" s="1" t="inlineStr">
        <is>
          <t>ОТ № ЮГОК ПГУ 24-23</t>
        </is>
      </c>
      <c r="K156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565" s="1" t="inlineStr">
        <is>
          <t>12.11.2024</t>
        </is>
      </c>
      <c r="M1565" s="1" t="inlineStr">
        <is>
          <t>Успешно</t>
        </is>
      </c>
      <c r="N1565" s="1" t="inlineStr">
        <is>
          <t>15.11.2024</t>
        </is>
      </c>
      <c r="O1565" s="1" t="inlineStr"/>
      <c r="P1565" s="1" t="inlineStr"/>
      <c r="Q1565" s="1" t="inlineStr">
        <is>
          <t>Пользовательский интерфейс</t>
        </is>
      </c>
    </row>
    <row r="1566">
      <c r="B1566" s="1" t="inlineStr">
        <is>
          <t>87544933</t>
        </is>
      </c>
      <c r="C1566" s="1" t="inlineStr">
        <is>
          <t>6719954</t>
        </is>
      </c>
      <c r="D1566" t="inlineStr">
        <is>
          <t>работник 150</t>
        </is>
      </c>
      <c r="E1566" s="1" t="inlineStr">
        <is>
          <t>ОБЩЕСТВО С ОГРАНИЧЕННОЙ ОТВЕТСТВЕННОСТЬЮ "АМУР ЗОЛОТО"</t>
        </is>
      </c>
      <c r="F1566" s="1" t="inlineStr">
        <is>
          <t>2708001686</t>
        </is>
      </c>
      <c r="G1566" s="1" t="inlineStr">
        <is>
          <t>Помощник машиниста  самоходной буровой установки (с исполнением обязанностей пробоотборщика) (Очистное)</t>
        </is>
      </c>
      <c r="H1566" s="1" t="inlineStr">
        <is>
          <t>ООО "Амур Золото"</t>
        </is>
      </c>
      <c r="I1566" s="1" t="inlineStr">
        <is>
          <t>2708001686</t>
        </is>
      </c>
      <c r="J1566" s="1" t="inlineStr">
        <is>
          <t>ОТ № ЮГОК ПГУ 24-23</t>
        </is>
      </c>
      <c r="K1566" s="1" t="inlineStr">
        <is>
          <t>Использование (применение) средств индивидуальной защиты</t>
        </is>
      </c>
      <c r="L1566" s="1" t="inlineStr">
        <is>
          <t>12.11.2024</t>
        </is>
      </c>
      <c r="M1566" s="1" t="inlineStr">
        <is>
          <t>Успешно</t>
        </is>
      </c>
      <c r="N1566" s="1" t="inlineStr">
        <is>
          <t>15.11.2024</t>
        </is>
      </c>
      <c r="O1566" s="1" t="inlineStr"/>
      <c r="P1566" s="1" t="inlineStr"/>
      <c r="Q1566" s="1" t="inlineStr">
        <is>
          <t>Пользовательский интерфейс</t>
        </is>
      </c>
    </row>
    <row r="1567">
      <c r="B1567" s="1" t="inlineStr">
        <is>
          <t>87544934</t>
        </is>
      </c>
      <c r="C1567" s="1" t="inlineStr">
        <is>
          <t>6719954</t>
        </is>
      </c>
      <c r="D1567" t="inlineStr">
        <is>
          <t>работник 150</t>
        </is>
      </c>
      <c r="E1567" s="1" t="inlineStr">
        <is>
          <t>ОБЩЕСТВО С ОГРАНИЧЕННОЙ ОТВЕТСТВЕННОСТЬЮ "АМУР ЗОЛОТО"</t>
        </is>
      </c>
      <c r="F1567" s="1" t="inlineStr">
        <is>
          <t>2708001686</t>
        </is>
      </c>
      <c r="G1567" s="1" t="inlineStr">
        <is>
          <t>Помощник машиниста  самоходной буровой установки (с исполнением обязанностей пробоотборщика) (Очистное)</t>
        </is>
      </c>
      <c r="H1567" s="1" t="inlineStr">
        <is>
          <t>ООО "Амур Золото"</t>
        </is>
      </c>
      <c r="I1567" s="1" t="inlineStr">
        <is>
          <t>2708001686</t>
        </is>
      </c>
      <c r="J1567" s="1" t="inlineStr">
        <is>
          <t>ОТ № ЮГОК ПГУ 24-23</t>
        </is>
      </c>
      <c r="K156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567" s="1" t="inlineStr">
        <is>
          <t>12.11.2024</t>
        </is>
      </c>
      <c r="M1567" s="1" t="inlineStr">
        <is>
          <t>Успешно</t>
        </is>
      </c>
      <c r="N1567" s="1" t="inlineStr">
        <is>
          <t>15.11.2024</t>
        </is>
      </c>
      <c r="O1567" s="1" t="inlineStr"/>
      <c r="P1567" s="1" t="inlineStr"/>
      <c r="Q1567" s="1" t="inlineStr">
        <is>
          <t>Пользовательский интерфейс</t>
        </is>
      </c>
    </row>
    <row r="1568">
      <c r="B1568" s="1" t="inlineStr">
        <is>
          <t>87544935</t>
        </is>
      </c>
      <c r="C1568" s="1" t="inlineStr">
        <is>
          <t>6719954</t>
        </is>
      </c>
      <c r="D1568" t="inlineStr">
        <is>
          <t>работник 151</t>
        </is>
      </c>
      <c r="E1568" s="1" t="inlineStr">
        <is>
          <t>ОБЩЕСТВО С ОГРАНИЧЕННОЙ ОТВЕТСТВЕННОСТЬЮ "АМУР ЗОЛОТО"</t>
        </is>
      </c>
      <c r="F1568" s="1" t="inlineStr">
        <is>
          <t>2708001686</t>
        </is>
      </c>
      <c r="G1568" s="1" t="inlineStr">
        <is>
          <t>Машинист погрузочно-доставочной машины (занятый на транспортировании горной массы в технологическом процессе)</t>
        </is>
      </c>
      <c r="H1568" s="1" t="inlineStr">
        <is>
          <t>ООО "Амур Золото"</t>
        </is>
      </c>
      <c r="I1568" s="1" t="inlineStr">
        <is>
          <t>2708001686</t>
        </is>
      </c>
      <c r="J1568" s="1" t="inlineStr">
        <is>
          <t>ОТ № ЮГОК ПГУ 24-23</t>
        </is>
      </c>
      <c r="K1568" s="1" t="inlineStr">
        <is>
          <t>Использование (применение) средств индивидуальной защиты</t>
        </is>
      </c>
      <c r="L1568" s="1" t="inlineStr">
        <is>
          <t>12.11.2024</t>
        </is>
      </c>
      <c r="M1568" s="1" t="inlineStr">
        <is>
          <t>Успешно</t>
        </is>
      </c>
      <c r="N1568" s="1" t="inlineStr">
        <is>
          <t>15.11.2024</t>
        </is>
      </c>
      <c r="O1568" s="1" t="inlineStr"/>
      <c r="P1568" s="1" t="inlineStr"/>
      <c r="Q1568" s="1" t="inlineStr">
        <is>
          <t>Пользовательский интерфейс</t>
        </is>
      </c>
    </row>
    <row r="1569">
      <c r="B1569" s="1" t="inlineStr">
        <is>
          <t>87544936</t>
        </is>
      </c>
      <c r="C1569" s="1" t="inlineStr">
        <is>
          <t>6719954</t>
        </is>
      </c>
      <c r="D1569" t="inlineStr">
        <is>
          <t>работник 151</t>
        </is>
      </c>
      <c r="E1569" s="1" t="inlineStr">
        <is>
          <t>ОБЩЕСТВО С ОГРАНИЧЕННОЙ ОТВЕТСТВЕННОСТЬЮ "АМУР ЗОЛОТО"</t>
        </is>
      </c>
      <c r="F1569" s="1" t="inlineStr">
        <is>
          <t>2708001686</t>
        </is>
      </c>
      <c r="G1569" s="1" t="inlineStr">
        <is>
          <t>Машинист погрузочно-доставочной машины (занятый на транспортировании горной массы в технологическом процессе)</t>
        </is>
      </c>
      <c r="H1569" s="1" t="inlineStr">
        <is>
          <t>ООО "Амур Золото"</t>
        </is>
      </c>
      <c r="I1569" s="1" t="inlineStr">
        <is>
          <t>2708001686</t>
        </is>
      </c>
      <c r="J1569" s="1" t="inlineStr">
        <is>
          <t>ОТ № ЮГОК ПГУ 24-23</t>
        </is>
      </c>
      <c r="K156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569" s="1" t="inlineStr">
        <is>
          <t>12.11.2024</t>
        </is>
      </c>
      <c r="M1569" s="1" t="inlineStr">
        <is>
          <t>Успешно</t>
        </is>
      </c>
      <c r="N1569" s="1" t="inlineStr">
        <is>
          <t>15.11.2024</t>
        </is>
      </c>
      <c r="O1569" s="1" t="inlineStr"/>
      <c r="P1569" s="1" t="inlineStr"/>
      <c r="Q1569" s="1" t="inlineStr">
        <is>
          <t>Пользовательский интерфейс</t>
        </is>
      </c>
    </row>
    <row r="1570">
      <c r="B1570" s="1" t="inlineStr">
        <is>
          <t>87544937</t>
        </is>
      </c>
      <c r="C1570" s="1" t="inlineStr">
        <is>
          <t>6719954</t>
        </is>
      </c>
      <c r="D1570" t="inlineStr">
        <is>
          <t>работник 152</t>
        </is>
      </c>
      <c r="E1570" s="1" t="inlineStr">
        <is>
          <t>ОБЩЕСТВО С ОГРАНИЧЕННОЙ ОТВЕТСТВЕННОСТЬЮ "АМУР ЗОЛОТО"</t>
        </is>
      </c>
      <c r="F1570" s="1" t="inlineStr">
        <is>
          <t>2708001686</t>
        </is>
      </c>
      <c r="G1570" s="1" t="inlineStr">
        <is>
          <t>Машинист погрузочно-доставочной машины (занятый на транспортировании горной массы в технологическом процессе)</t>
        </is>
      </c>
      <c r="H1570" s="1" t="inlineStr">
        <is>
          <t>ООО "Амур Золото"</t>
        </is>
      </c>
      <c r="I1570" s="1" t="inlineStr">
        <is>
          <t>2708001686</t>
        </is>
      </c>
      <c r="J1570" s="1" t="inlineStr">
        <is>
          <t>ОТ № ЮГОК ПГУ 24-23</t>
        </is>
      </c>
      <c r="K1570" s="1" t="inlineStr">
        <is>
          <t>Использование (применение) средств индивидуальной защиты</t>
        </is>
      </c>
      <c r="L1570" s="1" t="inlineStr">
        <is>
          <t>12.11.2024</t>
        </is>
      </c>
      <c r="M1570" s="1" t="inlineStr">
        <is>
          <t>Успешно</t>
        </is>
      </c>
      <c r="N1570" s="1" t="inlineStr">
        <is>
          <t>15.11.2024</t>
        </is>
      </c>
      <c r="O1570" s="1" t="inlineStr"/>
      <c r="P1570" s="1" t="inlineStr"/>
      <c r="Q1570" s="1" t="inlineStr">
        <is>
          <t>Пользовательский интерфейс</t>
        </is>
      </c>
    </row>
    <row r="1571">
      <c r="B1571" s="1" t="inlineStr">
        <is>
          <t>87544938</t>
        </is>
      </c>
      <c r="C1571" s="1" t="inlineStr">
        <is>
          <t>6719954</t>
        </is>
      </c>
      <c r="D1571" t="inlineStr">
        <is>
          <t>работник 152</t>
        </is>
      </c>
      <c r="E1571" s="1" t="inlineStr">
        <is>
          <t>ОБЩЕСТВО С ОГРАНИЧЕННОЙ ОТВЕТСТВЕННОСТЬЮ "АМУР ЗОЛОТО"</t>
        </is>
      </c>
      <c r="F1571" s="1" t="inlineStr">
        <is>
          <t>2708001686</t>
        </is>
      </c>
      <c r="G1571" s="1" t="inlineStr">
        <is>
          <t>Машинист погрузочно-доставочной машины (занятый на транспортировании горной массы в технологическом процессе)</t>
        </is>
      </c>
      <c r="H1571" s="1" t="inlineStr">
        <is>
          <t>ООО "Амур Золото"</t>
        </is>
      </c>
      <c r="I1571" s="1" t="inlineStr">
        <is>
          <t>2708001686</t>
        </is>
      </c>
      <c r="J1571" s="1" t="inlineStr">
        <is>
          <t>ОТ № ЮГОК ПГУ 24-23</t>
        </is>
      </c>
      <c r="K157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571" s="1" t="inlineStr">
        <is>
          <t>12.11.2024</t>
        </is>
      </c>
      <c r="M1571" s="1" t="inlineStr">
        <is>
          <t>Успешно</t>
        </is>
      </c>
      <c r="N1571" s="1" t="inlineStr">
        <is>
          <t>15.11.2024</t>
        </is>
      </c>
      <c r="O1571" s="1" t="inlineStr"/>
      <c r="P1571" s="1" t="inlineStr"/>
      <c r="Q1571" s="1" t="inlineStr">
        <is>
          <t>Пользовательский интерфейс</t>
        </is>
      </c>
    </row>
    <row r="1572">
      <c r="B1572" s="1" t="inlineStr">
        <is>
          <t>87544939</t>
        </is>
      </c>
      <c r="C1572" s="1" t="inlineStr">
        <is>
          <t>6719954</t>
        </is>
      </c>
      <c r="D1572" t="inlineStr">
        <is>
          <t>работник 308</t>
        </is>
      </c>
      <c r="E1572" s="1" t="inlineStr">
        <is>
          <t>ОБЩЕСТВО С ОГРАНИЧЕННОЙ ОТВЕТСТВЕННОСТЬЮ "АМУР ЗОЛОТО"</t>
        </is>
      </c>
      <c r="F1572" s="1" t="inlineStr">
        <is>
          <t>2708001686</t>
        </is>
      </c>
      <c r="G1572" s="1" t="inlineStr">
        <is>
          <t>Электрослесарь (слесарь) дежурный и по ремонту оборудования подземного горного участка</t>
        </is>
      </c>
      <c r="H1572" s="1" t="inlineStr">
        <is>
          <t>ООО "Амур Золото"</t>
        </is>
      </c>
      <c r="I1572" s="1" t="inlineStr">
        <is>
          <t>2708001686</t>
        </is>
      </c>
      <c r="J1572" s="1" t="inlineStr">
        <is>
          <t>ОТ № ЮГОК ПГУ 24-23</t>
        </is>
      </c>
      <c r="K1572" s="1" t="inlineStr">
        <is>
          <t>Использование (применение) средств индивидуальной защиты</t>
        </is>
      </c>
      <c r="L1572" s="1" t="inlineStr">
        <is>
          <t>12.11.2024</t>
        </is>
      </c>
      <c r="M1572" s="1" t="inlineStr">
        <is>
          <t>Успешно</t>
        </is>
      </c>
      <c r="N1572" s="1" t="inlineStr">
        <is>
          <t>15.11.2024</t>
        </is>
      </c>
      <c r="O1572" s="1" t="inlineStr"/>
      <c r="P1572" s="1" t="inlineStr"/>
      <c r="Q1572" s="1" t="inlineStr">
        <is>
          <t>Пользовательский интерфейс</t>
        </is>
      </c>
    </row>
    <row r="1573">
      <c r="B1573" s="1" t="inlineStr">
        <is>
          <t>87544940</t>
        </is>
      </c>
      <c r="C1573" s="1" t="inlineStr">
        <is>
          <t>6719954</t>
        </is>
      </c>
      <c r="D1573" t="inlineStr">
        <is>
          <t>работник 308</t>
        </is>
      </c>
      <c r="E1573" s="1" t="inlineStr">
        <is>
          <t>ОБЩЕСТВО С ОГРАНИЧЕННОЙ ОТВЕТСТВЕННОСТЬЮ "АМУР ЗОЛОТО"</t>
        </is>
      </c>
      <c r="F1573" s="1" t="inlineStr">
        <is>
          <t>2708001686</t>
        </is>
      </c>
      <c r="G1573" s="1" t="inlineStr">
        <is>
          <t>Электрослесарь (слесарь) дежурный и по ремонту оборудования подземного горного участка</t>
        </is>
      </c>
      <c r="H1573" s="1" t="inlineStr">
        <is>
          <t>ООО "Амур Золото"</t>
        </is>
      </c>
      <c r="I1573" s="1" t="inlineStr">
        <is>
          <t>2708001686</t>
        </is>
      </c>
      <c r="J1573" s="1" t="inlineStr">
        <is>
          <t>ОТ № ЮГОК ПГУ 24-23</t>
        </is>
      </c>
      <c r="K157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573" s="1" t="inlineStr">
        <is>
          <t>12.11.2024</t>
        </is>
      </c>
      <c r="M1573" s="1" t="inlineStr">
        <is>
          <t>Успешно</t>
        </is>
      </c>
      <c r="N1573" s="1" t="inlineStr">
        <is>
          <t>15.11.2024</t>
        </is>
      </c>
      <c r="O1573" s="1" t="inlineStr"/>
      <c r="P1573" s="1" t="inlineStr"/>
      <c r="Q1573" s="1" t="inlineStr">
        <is>
          <t>Пользовательский интерфейс</t>
        </is>
      </c>
    </row>
    <row r="1574">
      <c r="B1574" s="1" t="inlineStr">
        <is>
          <t>87544941</t>
        </is>
      </c>
      <c r="C1574" s="1" t="inlineStr">
        <is>
          <t>6719954</t>
        </is>
      </c>
      <c r="D1574" t="inlineStr">
        <is>
          <t>работник 479</t>
        </is>
      </c>
      <c r="E1574" s="1" t="inlineStr">
        <is>
          <t>ОБЩЕСТВО С ОГРАНИЧЕННОЙ ОТВЕТСТВЕННОСТЬЮ "АМУР ЗОЛОТО"</t>
        </is>
      </c>
      <c r="F1574" s="1" t="inlineStr">
        <is>
          <t>2708001686</t>
        </is>
      </c>
      <c r="G1574" s="1" t="inlineStr">
        <is>
          <t>Машинист подземных самоходных машин</t>
        </is>
      </c>
      <c r="H1574" s="1" t="inlineStr">
        <is>
          <t>ООО "Амур Золото"</t>
        </is>
      </c>
      <c r="I1574" s="1" t="inlineStr">
        <is>
          <t>2708001686</t>
        </is>
      </c>
      <c r="J1574" s="1" t="inlineStr">
        <is>
          <t>ОТ № ЮГОК ПГУ 24-23</t>
        </is>
      </c>
      <c r="K1574" s="1" t="inlineStr">
        <is>
          <t>Использование (применение) средств индивидуальной защиты</t>
        </is>
      </c>
      <c r="L1574" s="1" t="inlineStr">
        <is>
          <t>12.11.2024</t>
        </is>
      </c>
      <c r="M1574" s="1" t="inlineStr">
        <is>
          <t>Успешно</t>
        </is>
      </c>
      <c r="N1574" s="1" t="inlineStr">
        <is>
          <t>15.11.2024</t>
        </is>
      </c>
      <c r="O1574" s="1" t="inlineStr"/>
      <c r="P1574" s="1" t="inlineStr"/>
      <c r="Q1574" s="1" t="inlineStr">
        <is>
          <t>Пользовательский интерфейс</t>
        </is>
      </c>
    </row>
    <row r="1575">
      <c r="B1575" s="1" t="inlineStr">
        <is>
          <t>87544942</t>
        </is>
      </c>
      <c r="C1575" s="1" t="inlineStr">
        <is>
          <t>6719954</t>
        </is>
      </c>
      <c r="D1575" t="inlineStr">
        <is>
          <t>работник 479</t>
        </is>
      </c>
      <c r="E1575" s="1" t="inlineStr">
        <is>
          <t>ОБЩЕСТВО С ОГРАНИЧЕННОЙ ОТВЕТСТВЕННОСТЬЮ "АМУР ЗОЛОТО"</t>
        </is>
      </c>
      <c r="F1575" s="1" t="inlineStr">
        <is>
          <t>2708001686</t>
        </is>
      </c>
      <c r="G1575" s="1" t="inlineStr">
        <is>
          <t>Машинист подземных самоходных машин</t>
        </is>
      </c>
      <c r="H1575" s="1" t="inlineStr">
        <is>
          <t>ООО "Амур Золото"</t>
        </is>
      </c>
      <c r="I1575" s="1" t="inlineStr">
        <is>
          <t>2708001686</t>
        </is>
      </c>
      <c r="J1575" s="1" t="inlineStr">
        <is>
          <t>ОТ № ЮГОК ПГУ 24-23</t>
        </is>
      </c>
      <c r="K157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575" s="1" t="inlineStr">
        <is>
          <t>12.11.2024</t>
        </is>
      </c>
      <c r="M1575" s="1" t="inlineStr">
        <is>
          <t>Успешно</t>
        </is>
      </c>
      <c r="N1575" s="1" t="inlineStr">
        <is>
          <t>15.11.2024</t>
        </is>
      </c>
      <c r="O1575" s="1" t="inlineStr"/>
      <c r="P1575" s="1" t="inlineStr"/>
      <c r="Q1575" s="1" t="inlineStr">
        <is>
          <t>Пользовательский интерфейс</t>
        </is>
      </c>
    </row>
    <row r="1576">
      <c r="B1576" s="1" t="inlineStr">
        <is>
          <t>87544943</t>
        </is>
      </c>
      <c r="C1576" s="1" t="inlineStr">
        <is>
          <t>6719954</t>
        </is>
      </c>
      <c r="D1576" t="inlineStr">
        <is>
          <t>работник 154</t>
        </is>
      </c>
      <c r="E1576" s="1" t="inlineStr">
        <is>
          <t>ОБЩЕСТВО С ОГРАНИЧЕННОЙ ОТВЕТСТВЕННОСТЬЮ "АМУР ЗОЛОТО"</t>
        </is>
      </c>
      <c r="F1576" s="1" t="inlineStr">
        <is>
          <t>2708001686</t>
        </is>
      </c>
      <c r="G1576" s="1" t="inlineStr">
        <is>
          <t>Машинист погрузочно-доставочной машины</t>
        </is>
      </c>
      <c r="H1576" s="1" t="inlineStr">
        <is>
          <t>ООО "Амур Золото"</t>
        </is>
      </c>
      <c r="I1576" s="1" t="inlineStr">
        <is>
          <t>2708001686</t>
        </is>
      </c>
      <c r="J1576" s="1" t="inlineStr">
        <is>
          <t>ОТ № ЮГОК ПГУ 24-23</t>
        </is>
      </c>
      <c r="K1576" s="1" t="inlineStr">
        <is>
          <t>Использование (применение) средств индивидуальной защиты</t>
        </is>
      </c>
      <c r="L1576" s="1" t="inlineStr">
        <is>
          <t>12.11.2024</t>
        </is>
      </c>
      <c r="M1576" s="1" t="inlineStr">
        <is>
          <t>Успешно</t>
        </is>
      </c>
      <c r="N1576" s="1" t="inlineStr">
        <is>
          <t>15.11.2024</t>
        </is>
      </c>
      <c r="O1576" s="1" t="inlineStr"/>
      <c r="P1576" s="1" t="inlineStr"/>
      <c r="Q1576" s="1" t="inlineStr">
        <is>
          <t>Пользовательский интерфейс</t>
        </is>
      </c>
    </row>
    <row r="1577">
      <c r="B1577" s="1" t="inlineStr">
        <is>
          <t>87544944</t>
        </is>
      </c>
      <c r="C1577" s="1" t="inlineStr">
        <is>
          <t>6719954</t>
        </is>
      </c>
      <c r="D1577" t="inlineStr">
        <is>
          <t>работник 154</t>
        </is>
      </c>
      <c r="E1577" s="1" t="inlineStr">
        <is>
          <t>ОБЩЕСТВО С ОГРАНИЧЕННОЙ ОТВЕТСТВЕННОСТЬЮ "АМУР ЗОЛОТО"</t>
        </is>
      </c>
      <c r="F1577" s="1" t="inlineStr">
        <is>
          <t>2708001686</t>
        </is>
      </c>
      <c r="G1577" s="1" t="inlineStr">
        <is>
          <t>Машинист погрузочно-доставочной машины</t>
        </is>
      </c>
      <c r="H1577" s="1" t="inlineStr">
        <is>
          <t>ООО "Амур Золото"</t>
        </is>
      </c>
      <c r="I1577" s="1" t="inlineStr">
        <is>
          <t>2708001686</t>
        </is>
      </c>
      <c r="J1577" s="1" t="inlineStr">
        <is>
          <t>ОТ № ЮГОК ПГУ 24-23</t>
        </is>
      </c>
      <c r="K157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577" s="1" t="inlineStr">
        <is>
          <t>12.11.2024</t>
        </is>
      </c>
      <c r="M1577" s="1" t="inlineStr">
        <is>
          <t>Успешно</t>
        </is>
      </c>
      <c r="N1577" s="1" t="inlineStr">
        <is>
          <t>15.11.2024</t>
        </is>
      </c>
      <c r="O1577" s="1" t="inlineStr"/>
      <c r="P1577" s="1" t="inlineStr"/>
      <c r="Q1577" s="1" t="inlineStr">
        <is>
          <t>Пользовательский интерфейс</t>
        </is>
      </c>
    </row>
    <row r="1578">
      <c r="B1578" s="1" t="inlineStr">
        <is>
          <t>87544945</t>
        </is>
      </c>
      <c r="C1578" s="1" t="inlineStr">
        <is>
          <t>6719954</t>
        </is>
      </c>
      <c r="D1578" t="inlineStr">
        <is>
          <t>работник 155</t>
        </is>
      </c>
      <c r="E1578" s="1" t="inlineStr">
        <is>
          <t>ОБЩЕСТВО С ОГРАНИЧЕННОЙ ОТВЕТСТВЕННОСТЬЮ "АМУР ЗОЛОТО"</t>
        </is>
      </c>
      <c r="F1578" s="1" t="inlineStr">
        <is>
          <t>2708001686</t>
        </is>
      </c>
      <c r="G1578" s="1" t="inlineStr">
        <is>
          <t>Машинист  самоходной буровой установки (Проходка)</t>
        </is>
      </c>
      <c r="H1578" s="1" t="inlineStr">
        <is>
          <t>ООО "Амур Золото"</t>
        </is>
      </c>
      <c r="I1578" s="1" t="inlineStr">
        <is>
          <t>2708001686</t>
        </is>
      </c>
      <c r="J1578" s="1" t="inlineStr">
        <is>
          <t>ОТ № ЮГОК ПГУ 24-23</t>
        </is>
      </c>
      <c r="K1578" s="1" t="inlineStr">
        <is>
          <t>Использование (применение) средств индивидуальной защиты</t>
        </is>
      </c>
      <c r="L1578" s="1" t="inlineStr">
        <is>
          <t>12.11.2024</t>
        </is>
      </c>
      <c r="M1578" s="1" t="inlineStr">
        <is>
          <t>Успешно</t>
        </is>
      </c>
      <c r="N1578" s="1" t="inlineStr">
        <is>
          <t>15.11.2024</t>
        </is>
      </c>
      <c r="O1578" s="1" t="inlineStr"/>
      <c r="P1578" s="1" t="inlineStr"/>
      <c r="Q1578" s="1" t="inlineStr">
        <is>
          <t>Пользовательский интерфейс</t>
        </is>
      </c>
    </row>
    <row r="1579">
      <c r="B1579" s="1" t="inlineStr">
        <is>
          <t>87544946</t>
        </is>
      </c>
      <c r="C1579" s="1" t="inlineStr">
        <is>
          <t>6719954</t>
        </is>
      </c>
      <c r="D1579" t="inlineStr">
        <is>
          <t>работник 155</t>
        </is>
      </c>
      <c r="E1579" s="1" t="inlineStr">
        <is>
          <t>ОБЩЕСТВО С ОГРАНИЧЕННОЙ ОТВЕТСТВЕННОСТЬЮ "АМУР ЗОЛОТО"</t>
        </is>
      </c>
      <c r="F1579" s="1" t="inlineStr">
        <is>
          <t>2708001686</t>
        </is>
      </c>
      <c r="G1579" s="1" t="inlineStr">
        <is>
          <t>Машинист  самоходной буровой установки (Проходка)</t>
        </is>
      </c>
      <c r="H1579" s="1" t="inlineStr">
        <is>
          <t>ООО "Амур Золото"</t>
        </is>
      </c>
      <c r="I1579" s="1" t="inlineStr">
        <is>
          <t>2708001686</t>
        </is>
      </c>
      <c r="J1579" s="1" t="inlineStr">
        <is>
          <t>ОТ № ЮГОК ПГУ 24-23</t>
        </is>
      </c>
      <c r="K157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579" s="1" t="inlineStr">
        <is>
          <t>12.11.2024</t>
        </is>
      </c>
      <c r="M1579" s="1" t="inlineStr">
        <is>
          <t>Успешно</t>
        </is>
      </c>
      <c r="N1579" s="1" t="inlineStr">
        <is>
          <t>15.11.2024</t>
        </is>
      </c>
      <c r="O1579" s="1" t="inlineStr"/>
      <c r="P1579" s="1" t="inlineStr"/>
      <c r="Q1579" s="1" t="inlineStr">
        <is>
          <t>Пользовательский интерфейс</t>
        </is>
      </c>
    </row>
    <row r="1580">
      <c r="B1580" s="1" t="inlineStr">
        <is>
          <t>87544947</t>
        </is>
      </c>
      <c r="C1580" s="1" t="inlineStr">
        <is>
          <t>6719954</t>
        </is>
      </c>
      <c r="D1580" t="inlineStr">
        <is>
          <t>работник 480</t>
        </is>
      </c>
      <c r="E1580" s="1" t="inlineStr">
        <is>
          <t>ОБЩЕСТВО С ОГРАНИЧЕННОЙ ОТВЕТСТВЕННОСТЬЮ "АМУР ЗОЛОТО"</t>
        </is>
      </c>
      <c r="F1580" s="1" t="inlineStr">
        <is>
          <t>2708001686</t>
        </is>
      </c>
      <c r="G1580" s="1" t="inlineStr">
        <is>
          <t>Помощник машиниста  самоходной буровой установки (с исполнением обязанностей пробоотборщика) (Очистное)</t>
        </is>
      </c>
      <c r="H1580" s="1" t="inlineStr">
        <is>
          <t>ООО "Амур Золото"</t>
        </is>
      </c>
      <c r="I1580" s="1" t="inlineStr">
        <is>
          <t>2708001686</t>
        </is>
      </c>
      <c r="J1580" s="1" t="inlineStr">
        <is>
          <t>ОТ № ЮГОК ПГУ 24-23</t>
        </is>
      </c>
      <c r="K1580" s="1" t="inlineStr">
        <is>
          <t>Использование (применение) средств индивидуальной защиты</t>
        </is>
      </c>
      <c r="L1580" s="1" t="inlineStr">
        <is>
          <t>12.11.2024</t>
        </is>
      </c>
      <c r="M1580" s="1" t="inlineStr">
        <is>
          <t>Успешно</t>
        </is>
      </c>
      <c r="N1580" s="1" t="inlineStr">
        <is>
          <t>15.11.2024</t>
        </is>
      </c>
      <c r="O1580" s="1" t="inlineStr"/>
      <c r="P1580" s="1" t="inlineStr"/>
      <c r="Q1580" s="1" t="inlineStr">
        <is>
          <t>Пользовательский интерфейс</t>
        </is>
      </c>
    </row>
    <row r="1581">
      <c r="B1581" s="1" t="inlineStr">
        <is>
          <t>87544948</t>
        </is>
      </c>
      <c r="C1581" s="1" t="inlineStr">
        <is>
          <t>6719954</t>
        </is>
      </c>
      <c r="D1581" t="inlineStr">
        <is>
          <t>работник 480</t>
        </is>
      </c>
      <c r="E1581" s="1" t="inlineStr">
        <is>
          <t>ОБЩЕСТВО С ОГРАНИЧЕННОЙ ОТВЕТСТВЕННОСТЬЮ "АМУР ЗОЛОТО"</t>
        </is>
      </c>
      <c r="F1581" s="1" t="inlineStr">
        <is>
          <t>2708001686</t>
        </is>
      </c>
      <c r="G1581" s="1" t="inlineStr">
        <is>
          <t>Помощник машиниста  самоходной буровой установки (с исполнением обязанностей пробоотборщика) (Очистное)</t>
        </is>
      </c>
      <c r="H1581" s="1" t="inlineStr">
        <is>
          <t>ООО "Амур Золото"</t>
        </is>
      </c>
      <c r="I1581" s="1" t="inlineStr">
        <is>
          <t>2708001686</t>
        </is>
      </c>
      <c r="J1581" s="1" t="inlineStr">
        <is>
          <t>ОТ № ЮГОК ПГУ 24-23</t>
        </is>
      </c>
      <c r="K158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581" s="1" t="inlineStr">
        <is>
          <t>12.11.2024</t>
        </is>
      </c>
      <c r="M1581" s="1" t="inlineStr">
        <is>
          <t>Успешно</t>
        </is>
      </c>
      <c r="N1581" s="1" t="inlineStr">
        <is>
          <t>15.11.2024</t>
        </is>
      </c>
      <c r="O1581" s="1" t="inlineStr"/>
      <c r="P1581" s="1" t="inlineStr"/>
      <c r="Q1581" s="1" t="inlineStr">
        <is>
          <t>Пользовательский интерфейс</t>
        </is>
      </c>
    </row>
    <row r="1582">
      <c r="B1582" s="1" t="inlineStr">
        <is>
          <t>87544949</t>
        </is>
      </c>
      <c r="C1582" s="1" t="inlineStr">
        <is>
          <t>6719954</t>
        </is>
      </c>
      <c r="D1582" t="inlineStr">
        <is>
          <t>работник 481</t>
        </is>
      </c>
      <c r="E1582" s="1" t="inlineStr">
        <is>
          <t>ОБЩЕСТВО С ОГРАНИЧЕННОЙ ОТВЕТСТВЕННОСТЬЮ "АМУР ЗОЛОТО"</t>
        </is>
      </c>
      <c r="F1582" s="1" t="inlineStr">
        <is>
          <t>2708001686</t>
        </is>
      </c>
      <c r="G1582" s="1" t="inlineStr">
        <is>
          <t>Помощник машиниста  самоходной буровой установки (с исполнением обязанностей пробоотборщика) (Очистное)</t>
        </is>
      </c>
      <c r="H1582" s="1" t="inlineStr">
        <is>
          <t>ООО "Амур Золото"</t>
        </is>
      </c>
      <c r="I1582" s="1" t="inlineStr">
        <is>
          <t>2708001686</t>
        </is>
      </c>
      <c r="J1582" s="1" t="inlineStr">
        <is>
          <t>ОТ № ЮГОК ПГУ 24-23</t>
        </is>
      </c>
      <c r="K1582" s="1" t="inlineStr">
        <is>
          <t>Использование (применение) средств индивидуальной защиты</t>
        </is>
      </c>
      <c r="L1582" s="1" t="inlineStr">
        <is>
          <t>12.11.2024</t>
        </is>
      </c>
      <c r="M1582" s="1" t="inlineStr">
        <is>
          <t>Успешно</t>
        </is>
      </c>
      <c r="N1582" s="1" t="inlineStr">
        <is>
          <t>15.11.2024</t>
        </is>
      </c>
      <c r="O1582" s="1" t="inlineStr"/>
      <c r="P1582" s="1" t="inlineStr"/>
      <c r="Q1582" s="1" t="inlineStr">
        <is>
          <t>Пользовательский интерфейс</t>
        </is>
      </c>
    </row>
    <row r="1583">
      <c r="B1583" s="1" t="inlineStr">
        <is>
          <t>87544950</t>
        </is>
      </c>
      <c r="C1583" s="1" t="inlineStr">
        <is>
          <t>6719954</t>
        </is>
      </c>
      <c r="D1583" t="inlineStr">
        <is>
          <t>работник 482</t>
        </is>
      </c>
      <c r="E1583" s="1" t="inlineStr">
        <is>
          <t>ОБЩЕСТВО С ОГРАНИЧЕННОЙ ОТВЕТСТВЕННОСТЬЮ "АМУР ЗОЛОТО"</t>
        </is>
      </c>
      <c r="F1583" s="1" t="inlineStr">
        <is>
          <t>2708001686</t>
        </is>
      </c>
      <c r="G1583" s="1" t="inlineStr">
        <is>
          <t>Машинист погрузочно-доставочной машины (занятый на транспортировании горной массы в технологическом процессе)</t>
        </is>
      </c>
      <c r="H1583" s="1" t="inlineStr">
        <is>
          <t>ООО "Амур Золото"</t>
        </is>
      </c>
      <c r="I1583" s="1" t="inlineStr">
        <is>
          <t>2708001686</t>
        </is>
      </c>
      <c r="J1583" s="1" t="inlineStr">
        <is>
          <t>ОТ № ЮГОК ПГУ 24-23</t>
        </is>
      </c>
      <c r="K1583" s="1" t="inlineStr">
        <is>
          <t>Использование (применение) средств индивидуальной защиты</t>
        </is>
      </c>
      <c r="L1583" s="1" t="inlineStr">
        <is>
          <t>12.11.2024</t>
        </is>
      </c>
      <c r="M1583" s="1" t="inlineStr">
        <is>
          <t>Успешно</t>
        </is>
      </c>
      <c r="N1583" s="1" t="inlineStr">
        <is>
          <t>15.11.2024</t>
        </is>
      </c>
      <c r="O1583" s="1" t="inlineStr"/>
      <c r="P1583" s="1" t="inlineStr"/>
      <c r="Q1583" s="1" t="inlineStr">
        <is>
          <t>Пользовательский интерфейс</t>
        </is>
      </c>
    </row>
    <row r="1584">
      <c r="B1584" s="1" t="inlineStr">
        <is>
          <t>87544951</t>
        </is>
      </c>
      <c r="C1584" s="1" t="inlineStr">
        <is>
          <t>6719954</t>
        </is>
      </c>
      <c r="D1584" t="inlineStr">
        <is>
          <t>работник 481</t>
        </is>
      </c>
      <c r="E1584" s="1" t="inlineStr">
        <is>
          <t>ОБЩЕСТВО С ОГРАНИЧЕННОЙ ОТВЕТСТВЕННОСТЬЮ "АМУР ЗОЛОТО"</t>
        </is>
      </c>
      <c r="F1584" s="1" t="inlineStr">
        <is>
          <t>2708001686</t>
        </is>
      </c>
      <c r="G1584" s="1" t="inlineStr">
        <is>
          <t>Помощник машиниста  самоходной буровой установки (с исполнением обязанностей пробоотборщика) (Очистное)</t>
        </is>
      </c>
      <c r="H1584" s="1" t="inlineStr">
        <is>
          <t>ООО "Амур Золото"</t>
        </is>
      </c>
      <c r="I1584" s="1" t="inlineStr">
        <is>
          <t>2708001686</t>
        </is>
      </c>
      <c r="J1584" s="1" t="inlineStr">
        <is>
          <t>ОТ № ЮГОК ПГУ 24-23</t>
        </is>
      </c>
      <c r="K158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584" s="1" t="inlineStr">
        <is>
          <t>12.11.2024</t>
        </is>
      </c>
      <c r="M1584" s="1" t="inlineStr">
        <is>
          <t>Успешно</t>
        </is>
      </c>
      <c r="N1584" s="1" t="inlineStr">
        <is>
          <t>15.11.2024</t>
        </is>
      </c>
      <c r="O1584" s="1" t="inlineStr"/>
      <c r="P1584" s="1" t="inlineStr"/>
      <c r="Q1584" s="1" t="inlineStr">
        <is>
          <t>Пользовательский интерфейс</t>
        </is>
      </c>
    </row>
    <row r="1585">
      <c r="B1585" s="1" t="inlineStr">
        <is>
          <t>87544952</t>
        </is>
      </c>
      <c r="C1585" s="1" t="inlineStr">
        <is>
          <t>6719954</t>
        </is>
      </c>
      <c r="D1585" t="inlineStr">
        <is>
          <t>работник 157</t>
        </is>
      </c>
      <c r="E1585" s="1" t="inlineStr">
        <is>
          <t>ОБЩЕСТВО С ОГРАНИЧЕННОЙ ОТВЕТСТВЕННОСТЬЮ "АМУР ЗОЛОТО"</t>
        </is>
      </c>
      <c r="F1585" s="1" t="inlineStr">
        <is>
          <t>2708001686</t>
        </is>
      </c>
      <c r="G1585" s="1" t="inlineStr">
        <is>
          <t>Проходчик (с исполнением обязанностей взрывника)</t>
        </is>
      </c>
      <c r="H1585" s="1" t="inlineStr">
        <is>
          <t>ООО "Амур Золото"</t>
        </is>
      </c>
      <c r="I1585" s="1" t="inlineStr">
        <is>
          <t>2708001686</t>
        </is>
      </c>
      <c r="J1585" s="1" t="inlineStr">
        <is>
          <t>ОТ № ЮГОК ПГУ 24-23</t>
        </is>
      </c>
      <c r="K1585" s="1" t="inlineStr">
        <is>
          <t>Использование (применение) средств индивидуальной защиты</t>
        </is>
      </c>
      <c r="L1585" s="1" t="inlineStr">
        <is>
          <t>12.11.2024</t>
        </is>
      </c>
      <c r="M1585" s="1" t="inlineStr">
        <is>
          <t>Успешно</t>
        </is>
      </c>
      <c r="N1585" s="1" t="inlineStr">
        <is>
          <t>15.11.2024</t>
        </is>
      </c>
      <c r="O1585" s="1" t="inlineStr"/>
      <c r="P1585" s="1" t="inlineStr"/>
      <c r="Q1585" s="1" t="inlineStr">
        <is>
          <t>Пользовательский интерфейс</t>
        </is>
      </c>
    </row>
    <row r="1586">
      <c r="B1586" s="1" t="inlineStr">
        <is>
          <t>87544953</t>
        </is>
      </c>
      <c r="C1586" s="1" t="inlineStr">
        <is>
          <t>6719954</t>
        </is>
      </c>
      <c r="D1586" t="inlineStr">
        <is>
          <t>работник 157</t>
        </is>
      </c>
      <c r="E1586" s="1" t="inlineStr">
        <is>
          <t>ОБЩЕСТВО С ОГРАНИЧЕННОЙ ОТВЕТСТВЕННОСТЬЮ "АМУР ЗОЛОТО"</t>
        </is>
      </c>
      <c r="F1586" s="1" t="inlineStr">
        <is>
          <t>2708001686</t>
        </is>
      </c>
      <c r="G1586" s="1" t="inlineStr">
        <is>
          <t>Проходчик (с исполнением обязанностей взрывника)</t>
        </is>
      </c>
      <c r="H1586" s="1" t="inlineStr">
        <is>
          <t>ООО "Амур Золото"</t>
        </is>
      </c>
      <c r="I1586" s="1" t="inlineStr">
        <is>
          <t>2708001686</t>
        </is>
      </c>
      <c r="J1586" s="1" t="inlineStr">
        <is>
          <t>ОТ № ЮГОК ПГУ 24-23</t>
        </is>
      </c>
      <c r="K158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586" s="1" t="inlineStr">
        <is>
          <t>12.11.2024</t>
        </is>
      </c>
      <c r="M1586" s="1" t="inlineStr">
        <is>
          <t>Успешно</t>
        </is>
      </c>
      <c r="N1586" s="1" t="inlineStr">
        <is>
          <t>15.11.2024</t>
        </is>
      </c>
      <c r="O1586" s="1" t="inlineStr"/>
      <c r="P1586" s="1" t="inlineStr"/>
      <c r="Q1586" s="1" t="inlineStr">
        <is>
          <t>Пользовательский интерфейс</t>
        </is>
      </c>
    </row>
    <row r="1587">
      <c r="B1587" s="1" t="inlineStr">
        <is>
          <t>87544954</t>
        </is>
      </c>
      <c r="C1587" s="1" t="inlineStr">
        <is>
          <t>6719954</t>
        </is>
      </c>
      <c r="D1587" t="inlineStr">
        <is>
          <t>работник 159</t>
        </is>
      </c>
      <c r="E1587" s="1" t="inlineStr">
        <is>
          <t>ОБЩЕСТВО С ОГРАНИЧЕННОЙ ОТВЕТСТВЕННОСТЬЮ "АМУР ЗОЛОТО"</t>
        </is>
      </c>
      <c r="F1587" s="1" t="inlineStr">
        <is>
          <t>2708001686</t>
        </is>
      </c>
      <c r="G1587" s="1" t="inlineStr">
        <is>
          <t>Проходчик (с исполнением обязанностей взрывника)</t>
        </is>
      </c>
      <c r="H1587" s="1" t="inlineStr">
        <is>
          <t>ООО "Амур Золото"</t>
        </is>
      </c>
      <c r="I1587" s="1" t="inlineStr">
        <is>
          <t>2708001686</t>
        </is>
      </c>
      <c r="J1587" s="1" t="inlineStr">
        <is>
          <t>ОТ № ЮГОК ПГУ 24-23</t>
        </is>
      </c>
      <c r="K1587" s="1" t="inlineStr">
        <is>
          <t>Использование (применение) средств индивидуальной защиты</t>
        </is>
      </c>
      <c r="L1587" s="1" t="inlineStr">
        <is>
          <t>12.11.2024</t>
        </is>
      </c>
      <c r="M1587" s="1" t="inlineStr">
        <is>
          <t>Успешно</t>
        </is>
      </c>
      <c r="N1587" s="1" t="inlineStr">
        <is>
          <t>15.11.2024</t>
        </is>
      </c>
      <c r="O1587" s="1" t="inlineStr"/>
      <c r="P1587" s="1" t="inlineStr"/>
      <c r="Q1587" s="1" t="inlineStr">
        <is>
          <t>Пользовательский интерфейс</t>
        </is>
      </c>
    </row>
    <row r="1588">
      <c r="B1588" s="1" t="inlineStr">
        <is>
          <t>87544955</t>
        </is>
      </c>
      <c r="C1588" s="1" t="inlineStr">
        <is>
          <t>6719954</t>
        </is>
      </c>
      <c r="D1588" t="inlineStr">
        <is>
          <t>работник 159</t>
        </is>
      </c>
      <c r="E1588" s="1" t="inlineStr">
        <is>
          <t>ОБЩЕСТВО С ОГРАНИЧЕННОЙ ОТВЕТСТВЕННОСТЬЮ "АМУР ЗОЛОТО"</t>
        </is>
      </c>
      <c r="F1588" s="1" t="inlineStr">
        <is>
          <t>2708001686</t>
        </is>
      </c>
      <c r="G1588" s="1" t="inlineStr">
        <is>
          <t>Проходчик (с исполнением обязанностей взрывника)</t>
        </is>
      </c>
      <c r="H1588" s="1" t="inlineStr">
        <is>
          <t>ООО "Амур Золото"</t>
        </is>
      </c>
      <c r="I1588" s="1" t="inlineStr">
        <is>
          <t>2708001686</t>
        </is>
      </c>
      <c r="J1588" s="1" t="inlineStr">
        <is>
          <t>ОТ № ЮГОК ПГУ 24-23</t>
        </is>
      </c>
      <c r="K158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588" s="1" t="inlineStr">
        <is>
          <t>12.11.2024</t>
        </is>
      </c>
      <c r="M1588" s="1" t="inlineStr">
        <is>
          <t>Успешно</t>
        </is>
      </c>
      <c r="N1588" s="1" t="inlineStr">
        <is>
          <t>15.11.2024</t>
        </is>
      </c>
      <c r="O1588" s="1" t="inlineStr"/>
      <c r="P1588" s="1" t="inlineStr"/>
      <c r="Q1588" s="1" t="inlineStr">
        <is>
          <t>Пользовательский интерфейс</t>
        </is>
      </c>
    </row>
    <row r="1589">
      <c r="B1589" s="1" t="inlineStr">
        <is>
          <t>87544956</t>
        </is>
      </c>
      <c r="C1589" s="1" t="inlineStr">
        <is>
          <t>6719954</t>
        </is>
      </c>
      <c r="D1589" t="inlineStr">
        <is>
          <t>работник 483</t>
        </is>
      </c>
      <c r="E1589" s="1" t="inlineStr">
        <is>
          <t>ОБЩЕСТВО С ОГРАНИЧЕННОЙ ОТВЕТСТВЕННОСТЬЮ "АМУР ЗОЛОТО"</t>
        </is>
      </c>
      <c r="F1589" s="1" t="inlineStr">
        <is>
          <t>2708001686</t>
        </is>
      </c>
      <c r="G1589" s="1" t="inlineStr">
        <is>
          <t>Проходчик (с исполнением обязанностей взрывника)</t>
        </is>
      </c>
      <c r="H1589" s="1" t="inlineStr">
        <is>
          <t>ООО "Амур Золото"</t>
        </is>
      </c>
      <c r="I1589" s="1" t="inlineStr">
        <is>
          <t>2708001686</t>
        </is>
      </c>
      <c r="J1589" s="1" t="inlineStr">
        <is>
          <t>ОТ № ЮГОК ПГУ 24-23</t>
        </is>
      </c>
      <c r="K1589" s="1" t="inlineStr">
        <is>
          <t>Использование (применение) средств индивидуальной защиты</t>
        </is>
      </c>
      <c r="L1589" s="1" t="inlineStr">
        <is>
          <t>12.11.2024</t>
        </is>
      </c>
      <c r="M1589" s="1" t="inlineStr">
        <is>
          <t>Успешно</t>
        </is>
      </c>
      <c r="N1589" s="1" t="inlineStr">
        <is>
          <t>15.11.2024</t>
        </is>
      </c>
      <c r="O1589" s="1" t="inlineStr"/>
      <c r="P1589" s="1" t="inlineStr"/>
      <c r="Q1589" s="1" t="inlineStr">
        <is>
          <t>Пользовательский интерфейс</t>
        </is>
      </c>
    </row>
    <row r="1590">
      <c r="B1590" s="1" t="inlineStr">
        <is>
          <t>87544957</t>
        </is>
      </c>
      <c r="C1590" s="1" t="inlineStr">
        <is>
          <t>6719954</t>
        </is>
      </c>
      <c r="D1590" t="inlineStr">
        <is>
          <t>работник 483</t>
        </is>
      </c>
      <c r="E1590" s="1" t="inlineStr">
        <is>
          <t>ОБЩЕСТВО С ОГРАНИЧЕННОЙ ОТВЕТСТВЕННОСТЬЮ "АМУР ЗОЛОТО"</t>
        </is>
      </c>
      <c r="F1590" s="1" t="inlineStr">
        <is>
          <t>2708001686</t>
        </is>
      </c>
      <c r="G1590" s="1" t="inlineStr">
        <is>
          <t>Проходчик (с исполнением обязанностей взрывника)</t>
        </is>
      </c>
      <c r="H1590" s="1" t="inlineStr">
        <is>
          <t>ООО "Амур Золото"</t>
        </is>
      </c>
      <c r="I1590" s="1" t="inlineStr">
        <is>
          <t>2708001686</t>
        </is>
      </c>
      <c r="J1590" s="1" t="inlineStr">
        <is>
          <t>ОТ № ЮГОК ПГУ 24-23</t>
        </is>
      </c>
      <c r="K159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590" s="1" t="inlineStr">
        <is>
          <t>12.11.2024</t>
        </is>
      </c>
      <c r="M1590" s="1" t="inlineStr">
        <is>
          <t>Успешно</t>
        </is>
      </c>
      <c r="N1590" s="1" t="inlineStr">
        <is>
          <t>15.11.2024</t>
        </is>
      </c>
      <c r="O1590" s="1" t="inlineStr"/>
      <c r="P1590" s="1" t="inlineStr"/>
      <c r="Q1590" s="1" t="inlineStr">
        <is>
          <t>Пользовательский интерфейс</t>
        </is>
      </c>
    </row>
    <row r="1591">
      <c r="B1591" s="1" t="inlineStr">
        <is>
          <t>87544958</t>
        </is>
      </c>
      <c r="C1591" s="1" t="inlineStr">
        <is>
          <t>6719954</t>
        </is>
      </c>
      <c r="D1591" t="inlineStr">
        <is>
          <t>работник 484</t>
        </is>
      </c>
      <c r="E1591" s="1" t="inlineStr">
        <is>
          <t>ОБЩЕСТВО С ОГРАНИЧЕННОЙ ОТВЕТСТВЕННОСТЬЮ "АМУР ЗОЛОТО"</t>
        </is>
      </c>
      <c r="F1591" s="1" t="inlineStr">
        <is>
          <t>2708001686</t>
        </is>
      </c>
      <c r="G1591" s="1" t="inlineStr">
        <is>
          <t>Электрослесарь (слесарь) дежурный и по ремонту оборудования подземного горного участка</t>
        </is>
      </c>
      <c r="H1591" s="1" t="inlineStr">
        <is>
          <t>ООО "Амур Золото"</t>
        </is>
      </c>
      <c r="I1591" s="1" t="inlineStr">
        <is>
          <t>2708001686</t>
        </is>
      </c>
      <c r="J1591" s="1" t="inlineStr">
        <is>
          <t>ОТ № ЮГОК ПГУ 24-23</t>
        </is>
      </c>
      <c r="K1591" s="1" t="inlineStr">
        <is>
          <t>Использование (применение) средств индивидуальной защиты</t>
        </is>
      </c>
      <c r="L1591" s="1" t="inlineStr">
        <is>
          <t>12.11.2024</t>
        </is>
      </c>
      <c r="M1591" s="1" t="inlineStr">
        <is>
          <t>Успешно</t>
        </is>
      </c>
      <c r="N1591" s="1" t="inlineStr">
        <is>
          <t>15.11.2024</t>
        </is>
      </c>
      <c r="O1591" s="1" t="inlineStr"/>
      <c r="P1591" s="1" t="inlineStr"/>
      <c r="Q1591" s="1" t="inlineStr">
        <is>
          <t>Пользовательский интерфейс</t>
        </is>
      </c>
    </row>
    <row r="1592">
      <c r="B1592" s="1" t="inlineStr">
        <is>
          <t>87544959</t>
        </is>
      </c>
      <c r="C1592" s="1" t="inlineStr">
        <is>
          <t>6719954</t>
        </is>
      </c>
      <c r="D1592" t="inlineStr">
        <is>
          <t>работник 484</t>
        </is>
      </c>
      <c r="E1592" s="1" t="inlineStr">
        <is>
          <t>ОБЩЕСТВО С ОГРАНИЧЕННОЙ ОТВЕТСТВЕННОСТЬЮ "АМУР ЗОЛОТО"</t>
        </is>
      </c>
      <c r="F1592" s="1" t="inlineStr">
        <is>
          <t>2708001686</t>
        </is>
      </c>
      <c r="G1592" s="1" t="inlineStr">
        <is>
          <t>Электрослесарь (слесарь) дежурный и по ремонту оборудования подземного горного участка</t>
        </is>
      </c>
      <c r="H1592" s="1" t="inlineStr">
        <is>
          <t>ООО "Амур Золото"</t>
        </is>
      </c>
      <c r="I1592" s="1" t="inlineStr">
        <is>
          <t>2708001686</t>
        </is>
      </c>
      <c r="J1592" s="1" t="inlineStr">
        <is>
          <t>ОТ № ЮГОК ПГУ 24-23</t>
        </is>
      </c>
      <c r="K159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592" s="1" t="inlineStr">
        <is>
          <t>12.11.2024</t>
        </is>
      </c>
      <c r="M1592" s="1" t="inlineStr">
        <is>
          <t>Успешно</t>
        </is>
      </c>
      <c r="N1592" s="1" t="inlineStr">
        <is>
          <t>15.11.2024</t>
        </is>
      </c>
      <c r="O1592" s="1" t="inlineStr"/>
      <c r="P1592" s="1" t="inlineStr"/>
      <c r="Q1592" s="1" t="inlineStr">
        <is>
          <t>Пользовательский интерфейс</t>
        </is>
      </c>
    </row>
    <row r="1593">
      <c r="B1593" s="1" t="inlineStr">
        <is>
          <t>87544960</t>
        </is>
      </c>
      <c r="C1593" s="1" t="inlineStr">
        <is>
          <t>6719954</t>
        </is>
      </c>
      <c r="D1593" t="inlineStr">
        <is>
          <t>работник 136</t>
        </is>
      </c>
      <c r="E1593" s="1" t="inlineStr">
        <is>
          <t>ОБЩЕСТВО С ОГРАНИЧЕННОЙ ОТВЕТСТВЕННОСТЬЮ "АМУР ЗОЛОТО"</t>
        </is>
      </c>
      <c r="F1593" s="1" t="inlineStr">
        <is>
          <t>2708001686</t>
        </is>
      </c>
      <c r="G1593" s="1" t="inlineStr">
        <is>
          <t>Крепильщик</t>
        </is>
      </c>
      <c r="H1593" s="1" t="inlineStr">
        <is>
          <t>ООО "Амур Золото"</t>
        </is>
      </c>
      <c r="I1593" s="1" t="inlineStr">
        <is>
          <t>2708001686</t>
        </is>
      </c>
      <c r="J1593" s="1" t="inlineStr">
        <is>
          <t>ОТ № ЮГОК ПГУ 24-23</t>
        </is>
      </c>
      <c r="K1593" s="1" t="inlineStr">
        <is>
          <t>Использование (применение) средств индивидуальной защиты</t>
        </is>
      </c>
      <c r="L1593" s="1" t="inlineStr">
        <is>
          <t>12.11.2024</t>
        </is>
      </c>
      <c r="M1593" s="1" t="inlineStr">
        <is>
          <t>Успешно</t>
        </is>
      </c>
      <c r="N1593" s="1" t="inlineStr">
        <is>
          <t>15.11.2024</t>
        </is>
      </c>
      <c r="O1593" s="1" t="inlineStr"/>
      <c r="P1593" s="1" t="inlineStr"/>
      <c r="Q1593" s="1" t="inlineStr">
        <is>
          <t>Пользовательский интерфейс</t>
        </is>
      </c>
    </row>
    <row r="1594">
      <c r="B1594" s="1" t="inlineStr">
        <is>
          <t>87544961</t>
        </is>
      </c>
      <c r="C1594" s="1" t="inlineStr">
        <is>
          <t>6719954</t>
        </is>
      </c>
      <c r="D1594" t="inlineStr">
        <is>
          <t>работник 136</t>
        </is>
      </c>
      <c r="E1594" s="1" t="inlineStr">
        <is>
          <t>ОБЩЕСТВО С ОГРАНИЧЕННОЙ ОТВЕТСТВЕННОСТЬЮ "АМУР ЗОЛОТО"</t>
        </is>
      </c>
      <c r="F1594" s="1" t="inlineStr">
        <is>
          <t>2708001686</t>
        </is>
      </c>
      <c r="G1594" s="1" t="inlineStr">
        <is>
          <t>Крепильщик</t>
        </is>
      </c>
      <c r="H1594" s="1" t="inlineStr">
        <is>
          <t>ООО "Амур Золото"</t>
        </is>
      </c>
      <c r="I1594" s="1" t="inlineStr">
        <is>
          <t>2708001686</t>
        </is>
      </c>
      <c r="J1594" s="1" t="inlineStr">
        <is>
          <t>ОТ № ЮГОК ПГУ 24-23</t>
        </is>
      </c>
      <c r="K159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594" s="1" t="inlineStr">
        <is>
          <t>12.11.2024</t>
        </is>
      </c>
      <c r="M1594" s="1" t="inlineStr">
        <is>
          <t>Успешно</t>
        </is>
      </c>
      <c r="N1594" s="1" t="inlineStr">
        <is>
          <t>15.11.2024</t>
        </is>
      </c>
      <c r="O1594" s="1" t="inlineStr"/>
      <c r="P1594" s="1" t="inlineStr"/>
      <c r="Q1594" s="1" t="inlineStr">
        <is>
          <t>Пользовательский интерфейс</t>
        </is>
      </c>
    </row>
    <row r="1595">
      <c r="B1595" s="1" t="inlineStr">
        <is>
          <t>87544962</t>
        </is>
      </c>
      <c r="C1595" s="1" t="inlineStr">
        <is>
          <t>6719954</t>
        </is>
      </c>
      <c r="D1595" t="inlineStr">
        <is>
          <t>работник 162</t>
        </is>
      </c>
      <c r="E1595" s="1" t="inlineStr">
        <is>
          <t>ОБЩЕСТВО С ОГРАНИЧЕННОЙ ОТВЕТСТВЕННОСТЬЮ "АМУР ЗОЛОТО"</t>
        </is>
      </c>
      <c r="F1595" s="1" t="inlineStr">
        <is>
          <t>2708001686</t>
        </is>
      </c>
      <c r="G1595" s="1" t="inlineStr">
        <is>
          <t>Проходчик (с исполнением обязанностей взрывника)</t>
        </is>
      </c>
      <c r="H1595" s="1" t="inlineStr">
        <is>
          <t>ООО "Амур Золото"</t>
        </is>
      </c>
      <c r="I1595" s="1" t="inlineStr">
        <is>
          <t>2708001686</t>
        </is>
      </c>
      <c r="J1595" s="1" t="inlineStr">
        <is>
          <t>ОТ № ЮГОК ПГУ 24-23</t>
        </is>
      </c>
      <c r="K159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595" s="1" t="inlineStr">
        <is>
          <t>12.11.2024</t>
        </is>
      </c>
      <c r="M1595" s="1" t="inlineStr">
        <is>
          <t>Успешно</t>
        </is>
      </c>
      <c r="N1595" s="1" t="inlineStr">
        <is>
          <t>15.11.2024</t>
        </is>
      </c>
      <c r="O1595" s="1" t="inlineStr"/>
      <c r="P1595" s="1" t="inlineStr"/>
      <c r="Q1595" s="1" t="inlineStr">
        <is>
          <t>Пользовательский интерфейс</t>
        </is>
      </c>
    </row>
    <row r="1596">
      <c r="B1596" s="1" t="inlineStr">
        <is>
          <t>87544963</t>
        </is>
      </c>
      <c r="C1596" s="1" t="inlineStr">
        <is>
          <t>6719954</t>
        </is>
      </c>
      <c r="D1596" t="inlineStr">
        <is>
          <t>работник 485</t>
        </is>
      </c>
      <c r="E1596" s="1" t="inlineStr">
        <is>
          <t>ОБЩЕСТВО С ОГРАНИЧЕННОЙ ОТВЕТСТВЕННОСТЬЮ "АМУР ЗОЛОТО"</t>
        </is>
      </c>
      <c r="F1596" s="1" t="inlineStr">
        <is>
          <t>2708001686</t>
        </is>
      </c>
      <c r="G1596" s="1" t="inlineStr">
        <is>
          <t>Машинист подземных самоходных машин</t>
        </is>
      </c>
      <c r="H1596" s="1" t="inlineStr">
        <is>
          <t>ООО "Амур Золото"</t>
        </is>
      </c>
      <c r="I1596" s="1" t="inlineStr">
        <is>
          <t>2708001686</t>
        </is>
      </c>
      <c r="J1596" s="1" t="inlineStr">
        <is>
          <t>ОТ № ЮГОК ПГУ 24-23</t>
        </is>
      </c>
      <c r="K1596" s="1" t="inlineStr">
        <is>
          <t>Использование (применение) средств индивидуальной защиты</t>
        </is>
      </c>
      <c r="L1596" s="1" t="inlineStr">
        <is>
          <t>12.11.2024</t>
        </is>
      </c>
      <c r="M1596" s="1" t="inlineStr">
        <is>
          <t>Успешно</t>
        </is>
      </c>
      <c r="N1596" s="1" t="inlineStr">
        <is>
          <t>15.11.2024</t>
        </is>
      </c>
      <c r="O1596" s="1" t="inlineStr"/>
      <c r="P1596" s="1" t="inlineStr"/>
      <c r="Q1596" s="1" t="inlineStr">
        <is>
          <t>Пользовательский интерфейс</t>
        </is>
      </c>
    </row>
    <row r="1597">
      <c r="B1597" s="1" t="inlineStr">
        <is>
          <t>87544964</t>
        </is>
      </c>
      <c r="C1597" s="1" t="inlineStr">
        <is>
          <t>6719954</t>
        </is>
      </c>
      <c r="D1597" t="inlineStr">
        <is>
          <t>работник 485</t>
        </is>
      </c>
      <c r="E1597" s="1" t="inlineStr">
        <is>
          <t>ОБЩЕСТВО С ОГРАНИЧЕННОЙ ОТВЕТСТВЕННОСТЬЮ "АМУР ЗОЛОТО"</t>
        </is>
      </c>
      <c r="F1597" s="1" t="inlineStr">
        <is>
          <t>2708001686</t>
        </is>
      </c>
      <c r="G1597" s="1" t="inlineStr">
        <is>
          <t>Машинист подземных самоходных машин</t>
        </is>
      </c>
      <c r="H1597" s="1" t="inlineStr">
        <is>
          <t>ООО "Амур Золото"</t>
        </is>
      </c>
      <c r="I1597" s="1" t="inlineStr">
        <is>
          <t>2708001686</t>
        </is>
      </c>
      <c r="J1597" s="1" t="inlineStr">
        <is>
          <t>ОТ № ЮГОК ПГУ 24-23</t>
        </is>
      </c>
      <c r="K159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597" s="1" t="inlineStr">
        <is>
          <t>12.11.2024</t>
        </is>
      </c>
      <c r="M1597" s="1" t="inlineStr">
        <is>
          <t>Успешно</t>
        </is>
      </c>
      <c r="N1597" s="1" t="inlineStr">
        <is>
          <t>15.11.2024</t>
        </is>
      </c>
      <c r="O1597" s="1" t="inlineStr"/>
      <c r="P1597" s="1" t="inlineStr"/>
      <c r="Q1597" s="1" t="inlineStr">
        <is>
          <t>Пользовательский интерфейс</t>
        </is>
      </c>
    </row>
    <row r="1598">
      <c r="B1598" s="1" t="inlineStr">
        <is>
          <t>87544965</t>
        </is>
      </c>
      <c r="C1598" s="1" t="inlineStr">
        <is>
          <t>6719954</t>
        </is>
      </c>
      <c r="D1598" t="inlineStr">
        <is>
          <t>работник 486</t>
        </is>
      </c>
      <c r="E1598" s="1" t="inlineStr">
        <is>
          <t>ОБЩЕСТВО С ОГРАНИЧЕННОЙ ОТВЕТСТВЕННОСТЬЮ "АМУР ЗОЛОТО"</t>
        </is>
      </c>
      <c r="F1598" s="1" t="inlineStr">
        <is>
          <t>2708001686</t>
        </is>
      </c>
      <c r="G1598" s="1" t="inlineStr">
        <is>
          <t>Машинист погрузочно-доставочной машины</t>
        </is>
      </c>
      <c r="H1598" s="1" t="inlineStr">
        <is>
          <t>ООО "Амур Золото"</t>
        </is>
      </c>
      <c r="I1598" s="1" t="inlineStr">
        <is>
          <t>2708001686</t>
        </is>
      </c>
      <c r="J1598" s="1" t="inlineStr">
        <is>
          <t>ОТ № ЮГОК ПГУ 24-23</t>
        </is>
      </c>
      <c r="K1598" s="1" t="inlineStr">
        <is>
          <t>Использование (применение) средств индивидуальной защиты</t>
        </is>
      </c>
      <c r="L1598" s="1" t="inlineStr">
        <is>
          <t>12.11.2024</t>
        </is>
      </c>
      <c r="M1598" s="1" t="inlineStr">
        <is>
          <t>Успешно</t>
        </is>
      </c>
      <c r="N1598" s="1" t="inlineStr">
        <is>
          <t>15.11.2024</t>
        </is>
      </c>
      <c r="O1598" s="1" t="inlineStr"/>
      <c r="P1598" s="1" t="inlineStr"/>
      <c r="Q1598" s="1" t="inlineStr">
        <is>
          <t>Пользовательский интерфейс</t>
        </is>
      </c>
    </row>
    <row r="1599">
      <c r="B1599" s="1" t="inlineStr">
        <is>
          <t>87544966</t>
        </is>
      </c>
      <c r="C1599" s="1" t="inlineStr">
        <is>
          <t>6719954</t>
        </is>
      </c>
      <c r="D1599" t="inlineStr">
        <is>
          <t>работник 486</t>
        </is>
      </c>
      <c r="E1599" s="1" t="inlineStr">
        <is>
          <t>ОБЩЕСТВО С ОГРАНИЧЕННОЙ ОТВЕТСТВЕННОСТЬЮ "АМУР ЗОЛОТО"</t>
        </is>
      </c>
      <c r="F1599" s="1" t="inlineStr">
        <is>
          <t>2708001686</t>
        </is>
      </c>
      <c r="G1599" s="1" t="inlineStr">
        <is>
          <t>Машинист погрузочно-доставочной машины</t>
        </is>
      </c>
      <c r="H1599" s="1" t="inlineStr">
        <is>
          <t>ООО "Амур Золото"</t>
        </is>
      </c>
      <c r="I1599" s="1" t="inlineStr">
        <is>
          <t>2708001686</t>
        </is>
      </c>
      <c r="J1599" s="1" t="inlineStr">
        <is>
          <t>ОТ № ЮГОК ПГУ 24-23</t>
        </is>
      </c>
      <c r="K159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599" s="1" t="inlineStr">
        <is>
          <t>12.11.2024</t>
        </is>
      </c>
      <c r="M1599" s="1" t="inlineStr">
        <is>
          <t>Успешно</t>
        </is>
      </c>
      <c r="N1599" s="1" t="inlineStr">
        <is>
          <t>15.11.2024</t>
        </is>
      </c>
      <c r="O1599" s="1" t="inlineStr"/>
      <c r="P1599" s="1" t="inlineStr"/>
      <c r="Q1599" s="1" t="inlineStr">
        <is>
          <t>Пользовательский интерфейс</t>
        </is>
      </c>
    </row>
    <row r="1600">
      <c r="B1600" s="1" t="inlineStr">
        <is>
          <t>87544967</t>
        </is>
      </c>
      <c r="C1600" s="1" t="inlineStr">
        <is>
          <t>6719954</t>
        </is>
      </c>
      <c r="D1600" t="inlineStr">
        <is>
          <t>работник 165</t>
        </is>
      </c>
      <c r="E1600" s="1" t="inlineStr">
        <is>
          <t>ОБЩЕСТВО С ОГРАНИЧЕННОЙ ОТВЕТСТВЕННОСТЬЮ "АМУР ЗОЛОТО"</t>
        </is>
      </c>
      <c r="F1600" s="1" t="inlineStr">
        <is>
          <t>2708001686</t>
        </is>
      </c>
      <c r="G1600" s="1" t="inlineStr">
        <is>
          <t>Крепильщик (пылевентиляционная служба)</t>
        </is>
      </c>
      <c r="H1600" s="1" t="inlineStr">
        <is>
          <t>ООО "Амур Золото"</t>
        </is>
      </c>
      <c r="I1600" s="1" t="inlineStr">
        <is>
          <t>2708001686</t>
        </is>
      </c>
      <c r="J1600" s="1" t="inlineStr">
        <is>
          <t>ОТ № ЮГОК ПГУ 24-23</t>
        </is>
      </c>
      <c r="K1600" s="1" t="inlineStr">
        <is>
          <t>Использование (применение) средств индивидуальной защиты</t>
        </is>
      </c>
      <c r="L1600" s="1" t="inlineStr">
        <is>
          <t>12.11.2024</t>
        </is>
      </c>
      <c r="M1600" s="1" t="inlineStr">
        <is>
          <t>Успешно</t>
        </is>
      </c>
      <c r="N1600" s="1" t="inlineStr">
        <is>
          <t>15.11.2024</t>
        </is>
      </c>
      <c r="O1600" s="1" t="inlineStr"/>
      <c r="P1600" s="1" t="inlineStr"/>
      <c r="Q1600" s="1" t="inlineStr">
        <is>
          <t>Пользовательский интерфейс</t>
        </is>
      </c>
    </row>
    <row r="1601">
      <c r="B1601" s="1" t="inlineStr">
        <is>
          <t>87544968</t>
        </is>
      </c>
      <c r="C1601" s="1" t="inlineStr">
        <is>
          <t>6719954</t>
        </is>
      </c>
      <c r="D1601" t="inlineStr">
        <is>
          <t>работник 165</t>
        </is>
      </c>
      <c r="E1601" s="1" t="inlineStr">
        <is>
          <t>ОБЩЕСТВО С ОГРАНИЧЕННОЙ ОТВЕТСТВЕННОСТЬЮ "АМУР ЗОЛОТО"</t>
        </is>
      </c>
      <c r="F1601" s="1" t="inlineStr">
        <is>
          <t>2708001686</t>
        </is>
      </c>
      <c r="G1601" s="1" t="inlineStr">
        <is>
          <t>Крепильщик (пылевентиляционная служба)</t>
        </is>
      </c>
      <c r="H1601" s="1" t="inlineStr">
        <is>
          <t>ООО "Амур Золото"</t>
        </is>
      </c>
      <c r="I1601" s="1" t="inlineStr">
        <is>
          <t>2708001686</t>
        </is>
      </c>
      <c r="J1601" s="1" t="inlineStr">
        <is>
          <t>ОТ № ЮГОК ПГУ 24-23</t>
        </is>
      </c>
      <c r="K160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601" s="1" t="inlineStr">
        <is>
          <t>12.11.2024</t>
        </is>
      </c>
      <c r="M1601" s="1" t="inlineStr">
        <is>
          <t>Успешно</t>
        </is>
      </c>
      <c r="N1601" s="1" t="inlineStr">
        <is>
          <t>15.11.2024</t>
        </is>
      </c>
      <c r="O1601" s="1" t="inlineStr"/>
      <c r="P1601" s="1" t="inlineStr"/>
      <c r="Q1601" s="1" t="inlineStr">
        <is>
          <t>Пользовательский интерфейс</t>
        </is>
      </c>
    </row>
    <row r="1602">
      <c r="B1602" s="1" t="inlineStr">
        <is>
          <t>87544969</t>
        </is>
      </c>
      <c r="C1602" s="1" t="inlineStr">
        <is>
          <t>6719954</t>
        </is>
      </c>
      <c r="D1602" t="inlineStr">
        <is>
          <t>работник 487</t>
        </is>
      </c>
      <c r="E1602" s="1" t="inlineStr">
        <is>
          <t>ОБЩЕСТВО С ОГРАНИЧЕННОЙ ОТВЕТСТВЕННОСТЬЮ "АМУР ЗОЛОТО"</t>
        </is>
      </c>
      <c r="F1602" s="1" t="inlineStr">
        <is>
          <t>2708001686</t>
        </is>
      </c>
      <c r="G1602" s="1" t="inlineStr">
        <is>
          <t>Машинист  самоходной буровой установки (Проходка</t>
        </is>
      </c>
      <c r="H1602" s="1" t="inlineStr">
        <is>
          <t>ООО "Амур Золото"</t>
        </is>
      </c>
      <c r="I1602" s="1" t="inlineStr">
        <is>
          <t>2708001686</t>
        </is>
      </c>
      <c r="J1602" s="1" t="inlineStr">
        <is>
          <t>ОТ № ЮГОК ПГУ 24-23</t>
        </is>
      </c>
      <c r="K1602" s="1" t="inlineStr">
        <is>
          <t>Использование (применение) средств индивидуальной защиты</t>
        </is>
      </c>
      <c r="L1602" s="1" t="inlineStr">
        <is>
          <t>12.11.2024</t>
        </is>
      </c>
      <c r="M1602" s="1" t="inlineStr">
        <is>
          <t>Успешно</t>
        </is>
      </c>
      <c r="N1602" s="1" t="inlineStr">
        <is>
          <t>15.11.2024</t>
        </is>
      </c>
      <c r="O1602" s="1" t="inlineStr"/>
      <c r="P1602" s="1" t="inlineStr"/>
      <c r="Q1602" s="1" t="inlineStr">
        <is>
          <t>Пользовательский интерфейс</t>
        </is>
      </c>
    </row>
    <row r="1603">
      <c r="B1603" s="1" t="inlineStr">
        <is>
          <t>87544970</t>
        </is>
      </c>
      <c r="C1603" s="1" t="inlineStr">
        <is>
          <t>6719954</t>
        </is>
      </c>
      <c r="D1603" t="inlineStr">
        <is>
          <t>работник 487</t>
        </is>
      </c>
      <c r="E1603" s="1" t="inlineStr">
        <is>
          <t>ОБЩЕСТВО С ОГРАНИЧЕННОЙ ОТВЕТСТВЕННОСТЬЮ "АМУР ЗОЛОТО"</t>
        </is>
      </c>
      <c r="F1603" s="1" t="inlineStr">
        <is>
          <t>2708001686</t>
        </is>
      </c>
      <c r="G1603" s="1" t="inlineStr">
        <is>
          <t>Машинист  самоходной буровой установки (Проходка</t>
        </is>
      </c>
      <c r="H1603" s="1" t="inlineStr">
        <is>
          <t>ООО "Амур Золото"</t>
        </is>
      </c>
      <c r="I1603" s="1" t="inlineStr">
        <is>
          <t>2708001686</t>
        </is>
      </c>
      <c r="J1603" s="1" t="inlineStr">
        <is>
          <t>ОТ № ЮГОК ПГУ 24-23</t>
        </is>
      </c>
      <c r="K160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603" s="1" t="inlineStr">
        <is>
          <t>12.11.2024</t>
        </is>
      </c>
      <c r="M1603" s="1" t="inlineStr">
        <is>
          <t>Успешно</t>
        </is>
      </c>
      <c r="N1603" s="1" t="inlineStr">
        <is>
          <t>15.11.2024</t>
        </is>
      </c>
      <c r="O1603" s="1" t="inlineStr"/>
      <c r="P1603" s="1" t="inlineStr"/>
      <c r="Q1603" s="1" t="inlineStr">
        <is>
          <t>Пользовательский интерфейс</t>
        </is>
      </c>
    </row>
    <row r="1604">
      <c r="B1604" s="1" t="inlineStr">
        <is>
          <t>87544971</t>
        </is>
      </c>
      <c r="C1604" s="1" t="inlineStr">
        <is>
          <t>6719954</t>
        </is>
      </c>
      <c r="D1604" t="inlineStr">
        <is>
          <t>работник 488</t>
        </is>
      </c>
      <c r="E1604" s="1" t="inlineStr">
        <is>
          <t>ОБЩЕСТВО С ОГРАНИЧЕННОЙ ОТВЕТСТВЕННОСТЬЮ "АМУР ЗОЛОТО"</t>
        </is>
      </c>
      <c r="F1604" s="1" t="inlineStr">
        <is>
          <t>2708001686</t>
        </is>
      </c>
      <c r="G1604" s="1" t="inlineStr">
        <is>
          <t>Машинист погрузочно-доставочной машины (занятый на транспортировании горной массы в технологическом процессе)</t>
        </is>
      </c>
      <c r="H1604" s="1" t="inlineStr">
        <is>
          <t>ООО "Амур Золото"</t>
        </is>
      </c>
      <c r="I1604" s="1" t="inlineStr">
        <is>
          <t>2708001686</t>
        </is>
      </c>
      <c r="J1604" s="1" t="inlineStr">
        <is>
          <t>ОТ № ЮГОК ПГУ 24-23</t>
        </is>
      </c>
      <c r="K1604" s="1" t="inlineStr">
        <is>
          <t>Использование (применение) средств индивидуальной защиты</t>
        </is>
      </c>
      <c r="L1604" s="1" t="inlineStr">
        <is>
          <t>12.11.2024</t>
        </is>
      </c>
      <c r="M1604" s="1" t="inlineStr">
        <is>
          <t>Успешно</t>
        </is>
      </c>
      <c r="N1604" s="1" t="inlineStr">
        <is>
          <t>15.11.2024</t>
        </is>
      </c>
      <c r="O1604" s="1" t="inlineStr"/>
      <c r="P1604" s="1" t="inlineStr"/>
      <c r="Q1604" s="1" t="inlineStr">
        <is>
          <t>Пользовательский интерфейс</t>
        </is>
      </c>
    </row>
    <row r="1605">
      <c r="B1605" s="1" t="inlineStr">
        <is>
          <t>87544972</t>
        </is>
      </c>
      <c r="C1605" s="1" t="inlineStr">
        <is>
          <t>6719954</t>
        </is>
      </c>
      <c r="D1605" t="inlineStr">
        <is>
          <t>работник 488</t>
        </is>
      </c>
      <c r="E1605" s="1" t="inlineStr">
        <is>
          <t>ОБЩЕСТВО С ОГРАНИЧЕННОЙ ОТВЕТСТВЕННОСТЬЮ "АМУР ЗОЛОТО"</t>
        </is>
      </c>
      <c r="F1605" s="1" t="inlineStr">
        <is>
          <t>2708001686</t>
        </is>
      </c>
      <c r="G1605" s="1" t="inlineStr">
        <is>
          <t>Машинист погрузочно-доставочной машины (занятый на транспортировании горной массы в технологическом процессе)</t>
        </is>
      </c>
      <c r="H1605" s="1" t="inlineStr">
        <is>
          <t>ООО "Амур Золото"</t>
        </is>
      </c>
      <c r="I1605" s="1" t="inlineStr">
        <is>
          <t>2708001686</t>
        </is>
      </c>
      <c r="J1605" s="1" t="inlineStr">
        <is>
          <t>ОТ № ЮГОК ПГУ 24-23</t>
        </is>
      </c>
      <c r="K160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605" s="1" t="inlineStr">
        <is>
          <t>12.11.2024</t>
        </is>
      </c>
      <c r="M1605" s="1" t="inlineStr">
        <is>
          <t>Успешно</t>
        </is>
      </c>
      <c r="N1605" s="1" t="inlineStr">
        <is>
          <t>15.11.2024</t>
        </is>
      </c>
      <c r="O1605" s="1" t="inlineStr"/>
      <c r="P1605" s="1" t="inlineStr"/>
      <c r="Q1605" s="1" t="inlineStr">
        <is>
          <t>Пользовательский интерфейс</t>
        </is>
      </c>
    </row>
    <row r="1606">
      <c r="B1606" s="1" t="inlineStr">
        <is>
          <t>87544973</t>
        </is>
      </c>
      <c r="C1606" s="1" t="inlineStr">
        <is>
          <t>6719954</t>
        </is>
      </c>
      <c r="D1606" t="inlineStr">
        <is>
          <t>работник 482</t>
        </is>
      </c>
      <c r="E1606" s="1" t="inlineStr">
        <is>
          <t>ОБЩЕСТВО С ОГРАНИЧЕННОЙ ОТВЕТСТВЕННОСТЬЮ "АМУР ЗОЛОТО"</t>
        </is>
      </c>
      <c r="F1606" s="1" t="inlineStr">
        <is>
          <t>2708001686</t>
        </is>
      </c>
      <c r="G1606" s="1" t="inlineStr">
        <is>
          <t>Машинист погрузочно-доставочной машины (занятый на транспортировании горной массы в технологическом процессе)</t>
        </is>
      </c>
      <c r="H1606" s="1" t="inlineStr">
        <is>
          <t>ООО "Амур Золото"</t>
        </is>
      </c>
      <c r="I1606" s="1" t="inlineStr">
        <is>
          <t>2708001686</t>
        </is>
      </c>
      <c r="J1606" s="1" t="inlineStr">
        <is>
          <t>ОТ № ЮГОК ПГУ 24-23</t>
        </is>
      </c>
      <c r="K160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606" s="1" t="inlineStr">
        <is>
          <t>12.11.2024</t>
        </is>
      </c>
      <c r="M1606" s="1" t="inlineStr">
        <is>
          <t>Успешно</t>
        </is>
      </c>
      <c r="N1606" s="1" t="inlineStr">
        <is>
          <t>15.11.2024</t>
        </is>
      </c>
      <c r="O1606" s="1" t="inlineStr"/>
      <c r="P1606" s="1" t="inlineStr"/>
      <c r="Q1606" s="1" t="inlineStr">
        <is>
          <t>Пользовательский интерфейс</t>
        </is>
      </c>
    </row>
    <row r="1607">
      <c r="B1607" s="1" t="inlineStr">
        <is>
          <t>87544974</t>
        </is>
      </c>
      <c r="C1607" s="1" t="inlineStr">
        <is>
          <t>6719954</t>
        </is>
      </c>
      <c r="D1607" t="inlineStr">
        <is>
          <t>работник 167</t>
        </is>
      </c>
      <c r="E1607" s="1" t="inlineStr">
        <is>
          <t>ОБЩЕСТВО С ОГРАНИЧЕННОЙ ОТВЕТСТВЕННОСТЬЮ "АМУР ЗОЛОТО"</t>
        </is>
      </c>
      <c r="F1607" s="1" t="inlineStr">
        <is>
          <t>2708001686</t>
        </is>
      </c>
      <c r="G1607" s="1" t="inlineStr">
        <is>
          <t>Машинист погрузочно-доставочной машины (занятый на транспортировании горной массы в технологическом процессе)</t>
        </is>
      </c>
      <c r="H1607" s="1" t="inlineStr">
        <is>
          <t>ООО "Амур Золото"</t>
        </is>
      </c>
      <c r="I1607" s="1" t="inlineStr">
        <is>
          <t>2708001686</t>
        </is>
      </c>
      <c r="J1607" s="1" t="inlineStr">
        <is>
          <t>ОТ № ЮГОК ПГУ 24-23</t>
        </is>
      </c>
      <c r="K1607" s="1" t="inlineStr">
        <is>
          <t>Использование (применение) средств индивидуальной защиты</t>
        </is>
      </c>
      <c r="L1607" s="1" t="inlineStr">
        <is>
          <t>12.11.2024</t>
        </is>
      </c>
      <c r="M1607" s="1" t="inlineStr">
        <is>
          <t>Успешно</t>
        </is>
      </c>
      <c r="N1607" s="1" t="inlineStr">
        <is>
          <t>15.11.2024</t>
        </is>
      </c>
      <c r="O1607" s="1" t="inlineStr"/>
      <c r="P1607" s="1" t="inlineStr"/>
      <c r="Q1607" s="1" t="inlineStr">
        <is>
          <t>Пользовательский интерфейс</t>
        </is>
      </c>
    </row>
    <row r="1608">
      <c r="B1608" s="1" t="inlineStr">
        <is>
          <t>87544975</t>
        </is>
      </c>
      <c r="C1608" s="1" t="inlineStr">
        <is>
          <t>6719954</t>
        </is>
      </c>
      <c r="D1608" t="inlineStr">
        <is>
          <t>работник 167</t>
        </is>
      </c>
      <c r="E1608" s="1" t="inlineStr">
        <is>
          <t>ОБЩЕСТВО С ОГРАНИЧЕННОЙ ОТВЕТСТВЕННОСТЬЮ "АМУР ЗОЛОТО"</t>
        </is>
      </c>
      <c r="F1608" s="1" t="inlineStr">
        <is>
          <t>2708001686</t>
        </is>
      </c>
      <c r="G1608" s="1" t="inlineStr">
        <is>
          <t>Машинист погрузочно-доставочной машины (занятый на транспортировании горной массы в технологическом процессе)</t>
        </is>
      </c>
      <c r="H1608" s="1" t="inlineStr">
        <is>
          <t>ООО "Амур Золото"</t>
        </is>
      </c>
      <c r="I1608" s="1" t="inlineStr">
        <is>
          <t>2708001686</t>
        </is>
      </c>
      <c r="J1608" s="1" t="inlineStr">
        <is>
          <t>ОТ № ЮГОК ПГУ 24-23</t>
        </is>
      </c>
      <c r="K160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608" s="1" t="inlineStr">
        <is>
          <t>12.11.2024</t>
        </is>
      </c>
      <c r="M1608" s="1" t="inlineStr">
        <is>
          <t>Успешно</t>
        </is>
      </c>
      <c r="N1608" s="1" t="inlineStr">
        <is>
          <t>15.11.2024</t>
        </is>
      </c>
      <c r="O1608" s="1" t="inlineStr"/>
      <c r="P1608" s="1" t="inlineStr"/>
      <c r="Q1608" s="1" t="inlineStr">
        <is>
          <t>Пользовательский интерфейс</t>
        </is>
      </c>
    </row>
    <row r="1609">
      <c r="B1609" s="1" t="inlineStr">
        <is>
          <t>87544976</t>
        </is>
      </c>
      <c r="C1609" s="1" t="inlineStr">
        <is>
          <t>6719954</t>
        </is>
      </c>
      <c r="D1609" t="inlineStr">
        <is>
          <t>работник 489</t>
        </is>
      </c>
      <c r="E1609" s="1" t="inlineStr">
        <is>
          <t>ОБЩЕСТВО С ОГРАНИЧЕННОЙ ОТВЕТСТВЕННОСТЬЮ "АМУР ЗОЛОТО"</t>
        </is>
      </c>
      <c r="F1609" s="1" t="inlineStr">
        <is>
          <t>2708001686</t>
        </is>
      </c>
      <c r="G1609" s="1" t="inlineStr">
        <is>
          <t>Электрогазосварщик (занятый на резке и ручной сварке)</t>
        </is>
      </c>
      <c r="H1609" s="1" t="inlineStr">
        <is>
          <t>ООО "Амур Золото"</t>
        </is>
      </c>
      <c r="I1609" s="1" t="inlineStr">
        <is>
          <t>2708001686</t>
        </is>
      </c>
      <c r="J1609" s="1" t="inlineStr">
        <is>
          <t>ОТ № ЮГОК ПГУ 24-23</t>
        </is>
      </c>
      <c r="K1609" s="1" t="inlineStr">
        <is>
          <t>Использование (применение) средств индивидуальной защиты</t>
        </is>
      </c>
      <c r="L1609" s="1" t="inlineStr">
        <is>
          <t>12.11.2024</t>
        </is>
      </c>
      <c r="M1609" s="1" t="inlineStr">
        <is>
          <t>Успешно</t>
        </is>
      </c>
      <c r="N1609" s="1" t="inlineStr">
        <is>
          <t>15.11.2024</t>
        </is>
      </c>
      <c r="O1609" s="1" t="inlineStr"/>
      <c r="P1609" s="1" t="inlineStr"/>
      <c r="Q1609" s="1" t="inlineStr">
        <is>
          <t>Пользовательский интерфейс</t>
        </is>
      </c>
    </row>
    <row r="1610">
      <c r="B1610" s="1" t="inlineStr">
        <is>
          <t>87544977</t>
        </is>
      </c>
      <c r="C1610" s="1" t="inlineStr">
        <is>
          <t>6719954</t>
        </is>
      </c>
      <c r="D1610" t="inlineStr">
        <is>
          <t>работник 489</t>
        </is>
      </c>
      <c r="E1610" s="1" t="inlineStr">
        <is>
          <t>ОБЩЕСТВО С ОГРАНИЧЕННОЙ ОТВЕТСТВЕННОСТЬЮ "АМУР ЗОЛОТО"</t>
        </is>
      </c>
      <c r="F1610" s="1" t="inlineStr">
        <is>
          <t>2708001686</t>
        </is>
      </c>
      <c r="G1610" s="1" t="inlineStr">
        <is>
          <t>Электрогазосварщик (занятый на резке и ручной сварке)</t>
        </is>
      </c>
      <c r="H1610" s="1" t="inlineStr">
        <is>
          <t>ООО "Амур Золото"</t>
        </is>
      </c>
      <c r="I1610" s="1" t="inlineStr">
        <is>
          <t>2708001686</t>
        </is>
      </c>
      <c r="J1610" s="1" t="inlineStr">
        <is>
          <t>ОТ № ЮГОК ПГУ 24-23</t>
        </is>
      </c>
      <c r="K161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610" s="1" t="inlineStr">
        <is>
          <t>12.11.2024</t>
        </is>
      </c>
      <c r="M1610" s="1" t="inlineStr">
        <is>
          <t>Успешно</t>
        </is>
      </c>
      <c r="N1610" s="1" t="inlineStr">
        <is>
          <t>15.11.2024</t>
        </is>
      </c>
      <c r="O1610" s="1" t="inlineStr"/>
      <c r="P1610" s="1" t="inlineStr"/>
      <c r="Q1610" s="1" t="inlineStr">
        <is>
          <t>Пользовательский интерфейс</t>
        </is>
      </c>
    </row>
    <row r="1611">
      <c r="B1611" s="1" t="inlineStr">
        <is>
          <t>87544978</t>
        </is>
      </c>
      <c r="C1611" s="1" t="inlineStr">
        <is>
          <t>6719954</t>
        </is>
      </c>
      <c r="D1611" t="inlineStr">
        <is>
          <t>работник 490</t>
        </is>
      </c>
      <c r="E1611" s="1" t="inlineStr">
        <is>
          <t>ОБЩЕСТВО С ОГРАНИЧЕННОЙ ОТВЕТСТВЕННОСТЬЮ "АМУР ЗОЛОТО"</t>
        </is>
      </c>
      <c r="F1611" s="1" t="inlineStr">
        <is>
          <t>2708001686</t>
        </is>
      </c>
      <c r="G1611" s="1" t="inlineStr">
        <is>
          <t>Машинист  самоходной буровой установки (Очистное</t>
        </is>
      </c>
      <c r="H1611" s="1" t="inlineStr">
        <is>
          <t>ООО "Амур Золото"</t>
        </is>
      </c>
      <c r="I1611" s="1" t="inlineStr">
        <is>
          <t>2708001686</t>
        </is>
      </c>
      <c r="J1611" s="1" t="inlineStr">
        <is>
          <t>ОТ № ЮГОК ПГУ 24-23</t>
        </is>
      </c>
      <c r="K1611" s="1" t="inlineStr">
        <is>
          <t>Использование (применение) средств индивидуальной защиты</t>
        </is>
      </c>
      <c r="L1611" s="1" t="inlineStr">
        <is>
          <t>12.11.2024</t>
        </is>
      </c>
      <c r="M1611" s="1" t="inlineStr">
        <is>
          <t>Успешно</t>
        </is>
      </c>
      <c r="N1611" s="1" t="inlineStr">
        <is>
          <t>15.11.2024</t>
        </is>
      </c>
      <c r="O1611" s="1" t="inlineStr"/>
      <c r="P1611" s="1" t="inlineStr"/>
      <c r="Q1611" s="1" t="inlineStr">
        <is>
          <t>Пользовательский интерфейс</t>
        </is>
      </c>
    </row>
    <row r="1612">
      <c r="B1612" s="1" t="inlineStr">
        <is>
          <t>87544979</t>
        </is>
      </c>
      <c r="C1612" s="1" t="inlineStr">
        <is>
          <t>6719954</t>
        </is>
      </c>
      <c r="D1612" t="inlineStr">
        <is>
          <t>работник 490</t>
        </is>
      </c>
      <c r="E1612" s="1" t="inlineStr">
        <is>
          <t>ОБЩЕСТВО С ОГРАНИЧЕННОЙ ОТВЕТСТВЕННОСТЬЮ "АМУР ЗОЛОТО"</t>
        </is>
      </c>
      <c r="F1612" s="1" t="inlineStr">
        <is>
          <t>2708001686</t>
        </is>
      </c>
      <c r="G1612" s="1" t="inlineStr">
        <is>
          <t>Машинист  самоходной буровой установки (Очистное</t>
        </is>
      </c>
      <c r="H1612" s="1" t="inlineStr">
        <is>
          <t>ООО "Амур Золото"</t>
        </is>
      </c>
      <c r="I1612" s="1" t="inlineStr">
        <is>
          <t>2708001686</t>
        </is>
      </c>
      <c r="J1612" s="1" t="inlineStr">
        <is>
          <t>ОТ № ЮГОК ПГУ 24-23</t>
        </is>
      </c>
      <c r="K161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612" s="1" t="inlineStr">
        <is>
          <t>12.11.2024</t>
        </is>
      </c>
      <c r="M1612" s="1" t="inlineStr">
        <is>
          <t>Успешно</t>
        </is>
      </c>
      <c r="N1612" s="1" t="inlineStr">
        <is>
          <t>15.11.2024</t>
        </is>
      </c>
      <c r="O1612" s="1" t="inlineStr"/>
      <c r="P1612" s="1" t="inlineStr"/>
      <c r="Q1612" s="1" t="inlineStr">
        <is>
          <t>Пользовательский интерфейс</t>
        </is>
      </c>
    </row>
    <row r="1613">
      <c r="B1613" s="1" t="inlineStr">
        <is>
          <t>87544980</t>
        </is>
      </c>
      <c r="C1613" s="1" t="inlineStr">
        <is>
          <t>6719954</t>
        </is>
      </c>
      <c r="D1613" t="inlineStr">
        <is>
          <t>работник 168</t>
        </is>
      </c>
      <c r="E1613" s="1" t="inlineStr">
        <is>
          <t>ОБЩЕСТВО С ОГРАНИЧЕННОЙ ОТВЕТСТВЕННОСТЬЮ "АМУР ЗОЛОТО"</t>
        </is>
      </c>
      <c r="F1613" s="1" t="inlineStr">
        <is>
          <t>2708001686</t>
        </is>
      </c>
      <c r="G1613" s="1" t="inlineStr">
        <is>
          <t>Проходчик (с исполнением обязанностей взрывника)</t>
        </is>
      </c>
      <c r="H1613" s="1" t="inlineStr">
        <is>
          <t>ООО "Амур Золото"</t>
        </is>
      </c>
      <c r="I1613" s="1" t="inlineStr">
        <is>
          <t>2708001686</t>
        </is>
      </c>
      <c r="J1613" s="1" t="inlineStr">
        <is>
          <t>ОТ № ЮГОК ПГУ 24-23</t>
        </is>
      </c>
      <c r="K1613" s="1" t="inlineStr">
        <is>
          <t>Использование (применение) средств индивидуальной защиты</t>
        </is>
      </c>
      <c r="L1613" s="1" t="inlineStr">
        <is>
          <t>12.11.2024</t>
        </is>
      </c>
      <c r="M1613" s="1" t="inlineStr">
        <is>
          <t>Успешно</t>
        </is>
      </c>
      <c r="N1613" s="1" t="inlineStr">
        <is>
          <t>15.11.2024</t>
        </is>
      </c>
      <c r="O1613" s="1" t="inlineStr"/>
      <c r="P1613" s="1" t="inlineStr"/>
      <c r="Q1613" s="1" t="inlineStr">
        <is>
          <t>Пользовательский интерфейс</t>
        </is>
      </c>
    </row>
    <row r="1614">
      <c r="B1614" s="1" t="inlineStr">
        <is>
          <t>87544981</t>
        </is>
      </c>
      <c r="C1614" s="1" t="inlineStr">
        <is>
          <t>6719954</t>
        </is>
      </c>
      <c r="D1614" t="inlineStr">
        <is>
          <t>работник 168</t>
        </is>
      </c>
      <c r="E1614" s="1" t="inlineStr">
        <is>
          <t>ОБЩЕСТВО С ОГРАНИЧЕННОЙ ОТВЕТСТВЕННОСТЬЮ "АМУР ЗОЛОТО"</t>
        </is>
      </c>
      <c r="F1614" s="1" t="inlineStr">
        <is>
          <t>2708001686</t>
        </is>
      </c>
      <c r="G1614" s="1" t="inlineStr">
        <is>
          <t>Проходчик (с исполнением обязанностей взрывника)</t>
        </is>
      </c>
      <c r="H1614" s="1" t="inlineStr">
        <is>
          <t>ООО "Амур Золото"</t>
        </is>
      </c>
      <c r="I1614" s="1" t="inlineStr">
        <is>
          <t>2708001686</t>
        </is>
      </c>
      <c r="J1614" s="1" t="inlineStr">
        <is>
          <t>ОТ № ЮГОК ПГУ 24-23</t>
        </is>
      </c>
      <c r="K161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614" s="1" t="inlineStr">
        <is>
          <t>12.11.2024</t>
        </is>
      </c>
      <c r="M1614" s="1" t="inlineStr">
        <is>
          <t>Успешно</t>
        </is>
      </c>
      <c r="N1614" s="1" t="inlineStr">
        <is>
          <t>15.11.2024</t>
        </is>
      </c>
      <c r="O1614" s="1" t="inlineStr"/>
      <c r="P1614" s="1" t="inlineStr"/>
      <c r="Q1614" s="1" t="inlineStr">
        <is>
          <t>Пользовательский интерфейс</t>
        </is>
      </c>
    </row>
    <row r="1615">
      <c r="B1615" s="1" t="inlineStr">
        <is>
          <t>87544982</t>
        </is>
      </c>
      <c r="C1615" s="1" t="inlineStr">
        <is>
          <t>6719954</t>
        </is>
      </c>
      <c r="D1615" t="inlineStr">
        <is>
          <t>работник 491</t>
        </is>
      </c>
      <c r="E1615" s="1" t="inlineStr">
        <is>
          <t>ОБЩЕСТВО С ОГРАНИЧЕННОЙ ОТВЕТСТВЕННОСТЬЮ "АМУР ЗОЛОТО"</t>
        </is>
      </c>
      <c r="F1615" s="1" t="inlineStr">
        <is>
          <t>2708001686</t>
        </is>
      </c>
      <c r="G1615" s="1" t="inlineStr">
        <is>
          <t>Машинист погрузочно-доставочной машины</t>
        </is>
      </c>
      <c r="H1615" s="1" t="inlineStr">
        <is>
          <t>ООО "Амур Золото"</t>
        </is>
      </c>
      <c r="I1615" s="1" t="inlineStr">
        <is>
          <t>2708001686</t>
        </is>
      </c>
      <c r="J1615" s="1" t="inlineStr">
        <is>
          <t>ОТ № ЮГОК ПГУ 24-23</t>
        </is>
      </c>
      <c r="K1615" s="1" t="inlineStr">
        <is>
          <t>Использование (применение) средств индивидуальной защиты</t>
        </is>
      </c>
      <c r="L1615" s="1" t="inlineStr">
        <is>
          <t>12.11.2024</t>
        </is>
      </c>
      <c r="M1615" s="1" t="inlineStr">
        <is>
          <t>Успешно</t>
        </is>
      </c>
      <c r="N1615" s="1" t="inlineStr">
        <is>
          <t>15.11.2024</t>
        </is>
      </c>
      <c r="O1615" s="1" t="inlineStr"/>
      <c r="P1615" s="1" t="inlineStr"/>
      <c r="Q1615" s="1" t="inlineStr">
        <is>
          <t>Пользовательский интерфейс</t>
        </is>
      </c>
    </row>
    <row r="1616">
      <c r="B1616" s="1" t="inlineStr">
        <is>
          <t>87544983</t>
        </is>
      </c>
      <c r="C1616" s="1" t="inlineStr">
        <is>
          <t>6719954</t>
        </is>
      </c>
      <c r="D1616" t="inlineStr">
        <is>
          <t>работник 491</t>
        </is>
      </c>
      <c r="E1616" s="1" t="inlineStr">
        <is>
          <t>ОБЩЕСТВО С ОГРАНИЧЕННОЙ ОТВЕТСТВЕННОСТЬЮ "АМУР ЗОЛОТО"</t>
        </is>
      </c>
      <c r="F1616" s="1" t="inlineStr">
        <is>
          <t>2708001686</t>
        </is>
      </c>
      <c r="G1616" s="1" t="inlineStr">
        <is>
          <t>Машинист погрузочно-доставочной машины</t>
        </is>
      </c>
      <c r="H1616" s="1" t="inlineStr">
        <is>
          <t>ООО "Амур Золото"</t>
        </is>
      </c>
      <c r="I1616" s="1" t="inlineStr">
        <is>
          <t>2708001686</t>
        </is>
      </c>
      <c r="J1616" s="1" t="inlineStr">
        <is>
          <t>ОТ № ЮГОК ПГУ 24-23</t>
        </is>
      </c>
      <c r="K161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616" s="1" t="inlineStr">
        <is>
          <t>12.11.2024</t>
        </is>
      </c>
      <c r="M1616" s="1" t="inlineStr">
        <is>
          <t>Успешно</t>
        </is>
      </c>
      <c r="N1616" s="1" t="inlineStr">
        <is>
          <t>15.11.2024</t>
        </is>
      </c>
      <c r="O1616" s="1" t="inlineStr"/>
      <c r="P1616" s="1" t="inlineStr"/>
      <c r="Q1616" s="1" t="inlineStr">
        <is>
          <t>Пользовательский интерфейс</t>
        </is>
      </c>
    </row>
    <row r="1617">
      <c r="B1617" s="1" t="inlineStr">
        <is>
          <t>87544984</t>
        </is>
      </c>
      <c r="C1617" s="1" t="inlineStr">
        <is>
          <t>6719954</t>
        </is>
      </c>
      <c r="D1617" t="inlineStr">
        <is>
          <t>работник 169</t>
        </is>
      </c>
      <c r="E1617" s="1" t="inlineStr">
        <is>
          <t>ОБЩЕСТВО С ОГРАНИЧЕННОЙ ОТВЕТСТВЕННОСТЬЮ "АМУР ЗОЛОТО"</t>
        </is>
      </c>
      <c r="F1617" s="1" t="inlineStr">
        <is>
          <t>2708001686</t>
        </is>
      </c>
      <c r="G1617" s="1" t="inlineStr">
        <is>
          <t>Машинист погрузочно-доставочной машины (занятый на транспортировании горной массы в технологическом процессе)</t>
        </is>
      </c>
      <c r="H1617" s="1" t="inlineStr">
        <is>
          <t>ООО "Амур Золото"</t>
        </is>
      </c>
      <c r="I1617" s="1" t="inlineStr">
        <is>
          <t>2708001686</t>
        </is>
      </c>
      <c r="J1617" s="1" t="inlineStr">
        <is>
          <t>ОТ № ЮГОК ПГУ 24-23</t>
        </is>
      </c>
      <c r="K1617" s="1" t="inlineStr">
        <is>
          <t>Использование (применение) средств индивидуальной защиты</t>
        </is>
      </c>
      <c r="L1617" s="1" t="inlineStr">
        <is>
          <t>12.11.2024</t>
        </is>
      </c>
      <c r="M1617" s="1" t="inlineStr">
        <is>
          <t>Успешно</t>
        </is>
      </c>
      <c r="N1617" s="1" t="inlineStr">
        <is>
          <t>15.11.2024</t>
        </is>
      </c>
      <c r="O1617" s="1" t="inlineStr"/>
      <c r="P1617" s="1" t="inlineStr"/>
      <c r="Q1617" s="1" t="inlineStr">
        <is>
          <t>Пользовательский интерфейс</t>
        </is>
      </c>
    </row>
    <row r="1618">
      <c r="B1618" s="1" t="inlineStr">
        <is>
          <t>87544985</t>
        </is>
      </c>
      <c r="C1618" s="1" t="inlineStr">
        <is>
          <t>6719954</t>
        </is>
      </c>
      <c r="D1618" t="inlineStr">
        <is>
          <t>работник 169</t>
        </is>
      </c>
      <c r="E1618" s="1" t="inlineStr">
        <is>
          <t>ОБЩЕСТВО С ОГРАНИЧЕННОЙ ОТВЕТСТВЕННОСТЬЮ "АМУР ЗОЛОТО"</t>
        </is>
      </c>
      <c r="F1618" s="1" t="inlineStr">
        <is>
          <t>2708001686</t>
        </is>
      </c>
      <c r="G1618" s="1" t="inlineStr">
        <is>
          <t>Машинист погрузочно-доставочной машины (занятый на транспортировании горной массы в технологическом процессе)</t>
        </is>
      </c>
      <c r="H1618" s="1" t="inlineStr">
        <is>
          <t>ООО "Амур Золото"</t>
        </is>
      </c>
      <c r="I1618" s="1" t="inlineStr">
        <is>
          <t>2708001686</t>
        </is>
      </c>
      <c r="J1618" s="1" t="inlineStr">
        <is>
          <t>ОТ № ЮГОК ПГУ 24-23</t>
        </is>
      </c>
      <c r="K161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618" s="1" t="inlineStr">
        <is>
          <t>12.11.2024</t>
        </is>
      </c>
      <c r="M1618" s="1" t="inlineStr">
        <is>
          <t>Успешно</t>
        </is>
      </c>
      <c r="N1618" s="1" t="inlineStr">
        <is>
          <t>15.11.2024</t>
        </is>
      </c>
      <c r="O1618" s="1" t="inlineStr"/>
      <c r="P1618" s="1" t="inlineStr"/>
      <c r="Q1618" s="1" t="inlineStr">
        <is>
          <t>Пользовательский интерфейс</t>
        </is>
      </c>
    </row>
    <row r="1619">
      <c r="B1619" s="1" t="inlineStr">
        <is>
          <t>87544986</t>
        </is>
      </c>
      <c r="C1619" s="1" t="inlineStr">
        <is>
          <t>6719954</t>
        </is>
      </c>
      <c r="D1619" t="inlineStr">
        <is>
          <t>работник 164</t>
        </is>
      </c>
      <c r="E1619" s="1" t="inlineStr">
        <is>
          <t>ОБЩЕСТВО С ОГРАНИЧЕННОЙ ОТВЕТСТВЕННОСТЬЮ "АМУР ЗОЛОТО"</t>
        </is>
      </c>
      <c r="F1619" s="1" t="inlineStr">
        <is>
          <t>2708001686</t>
        </is>
      </c>
      <c r="G1619" s="1" t="inlineStr">
        <is>
          <t>Машинист  самоходной буровой установки (Проходка)</t>
        </is>
      </c>
      <c r="H1619" s="1" t="inlineStr">
        <is>
          <t>ООО "Амур Золото"</t>
        </is>
      </c>
      <c r="I1619" s="1" t="inlineStr">
        <is>
          <t>2708001686</t>
        </is>
      </c>
      <c r="J1619" s="1" t="inlineStr">
        <is>
          <t>ОТ № ЮГОК ПГУ 24-23</t>
        </is>
      </c>
      <c r="K1619" s="1" t="inlineStr">
        <is>
          <t>Использование (применение) средств индивидуальной защиты</t>
        </is>
      </c>
      <c r="L1619" s="1" t="inlineStr">
        <is>
          <t>12.11.2024</t>
        </is>
      </c>
      <c r="M1619" s="1" t="inlineStr">
        <is>
          <t>Успешно</t>
        </is>
      </c>
      <c r="N1619" s="1" t="inlineStr">
        <is>
          <t>15.11.2024</t>
        </is>
      </c>
      <c r="O1619" s="1" t="inlineStr"/>
      <c r="P1619" s="1" t="inlineStr"/>
      <c r="Q1619" s="1" t="inlineStr">
        <is>
          <t>Пользовательский интерфейс</t>
        </is>
      </c>
    </row>
    <row r="1620">
      <c r="B1620" s="1" t="inlineStr">
        <is>
          <t>87544987</t>
        </is>
      </c>
      <c r="C1620" s="1" t="inlineStr">
        <is>
          <t>6719954</t>
        </is>
      </c>
      <c r="D1620" t="inlineStr">
        <is>
          <t>работник 164</t>
        </is>
      </c>
      <c r="E1620" s="1" t="inlineStr">
        <is>
          <t>ОБЩЕСТВО С ОГРАНИЧЕННОЙ ОТВЕТСТВЕННОСТЬЮ "АМУР ЗОЛОТО"</t>
        </is>
      </c>
      <c r="F1620" s="1" t="inlineStr">
        <is>
          <t>2708001686</t>
        </is>
      </c>
      <c r="G1620" s="1" t="inlineStr">
        <is>
          <t>Машинист  самоходной буровой установки (Проходка)</t>
        </is>
      </c>
      <c r="H1620" s="1" t="inlineStr">
        <is>
          <t>ООО "Амур Золото"</t>
        </is>
      </c>
      <c r="I1620" s="1" t="inlineStr">
        <is>
          <t>2708001686</t>
        </is>
      </c>
      <c r="J1620" s="1" t="inlineStr">
        <is>
          <t>ОТ № ЮГОК ПГУ 24-23</t>
        </is>
      </c>
      <c r="K162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620" s="1" t="inlineStr">
        <is>
          <t>12.11.2024</t>
        </is>
      </c>
      <c r="M1620" s="1" t="inlineStr">
        <is>
          <t>Успешно</t>
        </is>
      </c>
      <c r="N1620" s="1" t="inlineStr">
        <is>
          <t>15.11.2024</t>
        </is>
      </c>
      <c r="O1620" s="1" t="inlineStr"/>
      <c r="P1620" s="1" t="inlineStr"/>
      <c r="Q1620" s="1" t="inlineStr">
        <is>
          <t>Пользовательский интерфейс</t>
        </is>
      </c>
    </row>
    <row r="1621">
      <c r="B1621" s="1" t="inlineStr">
        <is>
          <t>87544988</t>
        </is>
      </c>
      <c r="C1621" s="1" t="inlineStr">
        <is>
          <t>6719954</t>
        </is>
      </c>
      <c r="D1621" t="inlineStr">
        <is>
          <t>работник 170</t>
        </is>
      </c>
      <c r="E1621" s="1" t="inlineStr">
        <is>
          <t>ОБЩЕСТВО С ОГРАНИЧЕННОЙ ОТВЕТСТВЕННОСТЬЮ "АМУР ЗОЛОТО"</t>
        </is>
      </c>
      <c r="F1621" s="1" t="inlineStr">
        <is>
          <t>2708001686</t>
        </is>
      </c>
      <c r="G1621" s="1" t="inlineStr">
        <is>
          <t>Горный диспетчер</t>
        </is>
      </c>
      <c r="H1621" s="1" t="inlineStr">
        <is>
          <t>ООО "Амур Золото"</t>
        </is>
      </c>
      <c r="I1621" s="1" t="inlineStr">
        <is>
          <t>2708001686</t>
        </is>
      </c>
      <c r="J1621" s="1" t="inlineStr">
        <is>
          <t>ОТ № ЮГОК ПГУ 24-23</t>
        </is>
      </c>
      <c r="K1621" s="1" t="inlineStr">
        <is>
          <t>Использование (применение) средств индивидуальной защиты</t>
        </is>
      </c>
      <c r="L1621" s="1" t="inlineStr">
        <is>
          <t>12.11.2024</t>
        </is>
      </c>
      <c r="M1621" s="1" t="inlineStr">
        <is>
          <t>Успешно</t>
        </is>
      </c>
      <c r="N1621" s="1" t="inlineStr">
        <is>
          <t>15.11.2024</t>
        </is>
      </c>
      <c r="O1621" s="1" t="inlineStr"/>
      <c r="P1621" s="1" t="inlineStr"/>
      <c r="Q1621" s="1" t="inlineStr">
        <is>
          <t>Пользовательский интерфейс</t>
        </is>
      </c>
    </row>
    <row r="1622">
      <c r="B1622" s="1" t="inlineStr">
        <is>
          <t>87544989</t>
        </is>
      </c>
      <c r="C1622" s="1" t="inlineStr">
        <is>
          <t>6719954</t>
        </is>
      </c>
      <c r="D1622" t="inlineStr">
        <is>
          <t>работник 170</t>
        </is>
      </c>
      <c r="E1622" s="1" t="inlineStr">
        <is>
          <t>ОБЩЕСТВО С ОГРАНИЧЕННОЙ ОТВЕТСТВЕННОСТЬЮ "АМУР ЗОЛОТО"</t>
        </is>
      </c>
      <c r="F1622" s="1" t="inlineStr">
        <is>
          <t>2708001686</t>
        </is>
      </c>
      <c r="G1622" s="1" t="inlineStr">
        <is>
          <t>Горный диспетчер</t>
        </is>
      </c>
      <c r="H1622" s="1" t="inlineStr">
        <is>
          <t>ООО "Амур Золото"</t>
        </is>
      </c>
      <c r="I1622" s="1" t="inlineStr">
        <is>
          <t>2708001686</t>
        </is>
      </c>
      <c r="J1622" s="1" t="inlineStr">
        <is>
          <t>ОТ № ЮГОК ПГУ 24-23</t>
        </is>
      </c>
      <c r="K162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622" s="1" t="inlineStr">
        <is>
          <t>12.11.2024</t>
        </is>
      </c>
      <c r="M1622" s="1" t="inlineStr">
        <is>
          <t>Успешно</t>
        </is>
      </c>
      <c r="N1622" s="1" t="inlineStr">
        <is>
          <t>15.11.2024</t>
        </is>
      </c>
      <c r="O1622" s="1" t="inlineStr"/>
      <c r="P1622" s="1" t="inlineStr"/>
      <c r="Q1622" s="1" t="inlineStr">
        <is>
          <t>Пользовательский интерфейс</t>
        </is>
      </c>
    </row>
    <row r="1623">
      <c r="B1623" s="1" t="inlineStr">
        <is>
          <t>87544990</t>
        </is>
      </c>
      <c r="C1623" s="1" t="inlineStr">
        <is>
          <t>6719954</t>
        </is>
      </c>
      <c r="D1623" t="inlineStr">
        <is>
          <t>работник 172</t>
        </is>
      </c>
      <c r="E1623" s="1" t="inlineStr">
        <is>
          <t>ОБЩЕСТВО С ОГРАНИЧЕННОЙ ОТВЕТСТВЕННОСТЬЮ "АМУР ЗОЛОТО"</t>
        </is>
      </c>
      <c r="F1623" s="1" t="inlineStr">
        <is>
          <t>2708001686</t>
        </is>
      </c>
      <c r="G1623" s="1" t="inlineStr">
        <is>
          <t>Машинист погрузочно-доставочной машины (занятый на транспортировании горной массы в технологическом процессе)</t>
        </is>
      </c>
      <c r="H1623" s="1" t="inlineStr">
        <is>
          <t>ООО "Амур Золото"</t>
        </is>
      </c>
      <c r="I1623" s="1" t="inlineStr">
        <is>
          <t>2708001686</t>
        </is>
      </c>
      <c r="J1623" s="1" t="inlineStr">
        <is>
          <t>ОТ № ЮГОК ПГУ 24-23</t>
        </is>
      </c>
      <c r="K1623" s="1" t="inlineStr">
        <is>
          <t>Использование (применение) средств индивидуальной защиты</t>
        </is>
      </c>
      <c r="L1623" s="1" t="inlineStr">
        <is>
          <t>12.11.2024</t>
        </is>
      </c>
      <c r="M1623" s="1" t="inlineStr">
        <is>
          <t>Успешно</t>
        </is>
      </c>
      <c r="N1623" s="1" t="inlineStr">
        <is>
          <t>15.11.2024</t>
        </is>
      </c>
      <c r="O1623" s="1" t="inlineStr"/>
      <c r="P1623" s="1" t="inlineStr"/>
      <c r="Q1623" s="1" t="inlineStr">
        <is>
          <t>Пользовательский интерфейс</t>
        </is>
      </c>
    </row>
    <row r="1624">
      <c r="B1624" s="1" t="inlineStr">
        <is>
          <t>87544991</t>
        </is>
      </c>
      <c r="C1624" s="1" t="inlineStr">
        <is>
          <t>6719954</t>
        </is>
      </c>
      <c r="D1624" t="inlineStr">
        <is>
          <t>работник 172</t>
        </is>
      </c>
      <c r="E1624" s="1" t="inlineStr">
        <is>
          <t>ОБЩЕСТВО С ОГРАНИЧЕННОЙ ОТВЕТСТВЕННОСТЬЮ "АМУР ЗОЛОТО"</t>
        </is>
      </c>
      <c r="F1624" s="1" t="inlineStr">
        <is>
          <t>2708001686</t>
        </is>
      </c>
      <c r="G1624" s="1" t="inlineStr">
        <is>
          <t>Машинист погрузочно-доставочной машины (занятый на транспортировании горной массы в технологическом процессе)</t>
        </is>
      </c>
      <c r="H1624" s="1" t="inlineStr">
        <is>
          <t>ООО "Амур Золото"</t>
        </is>
      </c>
      <c r="I1624" s="1" t="inlineStr">
        <is>
          <t>2708001686</t>
        </is>
      </c>
      <c r="J1624" s="1" t="inlineStr">
        <is>
          <t>ОТ № ЮГОК ПГУ 24-23</t>
        </is>
      </c>
      <c r="K162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624" s="1" t="inlineStr">
        <is>
          <t>12.11.2024</t>
        </is>
      </c>
      <c r="M1624" s="1" t="inlineStr">
        <is>
          <t>Успешно</t>
        </is>
      </c>
      <c r="N1624" s="1" t="inlineStr">
        <is>
          <t>15.11.2024</t>
        </is>
      </c>
      <c r="O1624" s="1" t="inlineStr"/>
      <c r="P1624" s="1" t="inlineStr"/>
      <c r="Q1624" s="1" t="inlineStr">
        <is>
          <t>Пользовательский интерфейс</t>
        </is>
      </c>
    </row>
    <row r="1625">
      <c r="B1625" s="1" t="inlineStr">
        <is>
          <t>87544992</t>
        </is>
      </c>
      <c r="C1625" s="1" t="inlineStr">
        <is>
          <t>6719954</t>
        </is>
      </c>
      <c r="D1625" t="inlineStr">
        <is>
          <t>работник 492</t>
        </is>
      </c>
      <c r="E1625" s="1" t="inlineStr">
        <is>
          <t>ОБЩЕСТВО С ОГРАНИЧЕННОЙ ОТВЕТСТВЕННОСТЬЮ "АМУР ЗОЛОТО"</t>
        </is>
      </c>
      <c r="F1625" s="1" t="inlineStr">
        <is>
          <t>2708001686</t>
        </is>
      </c>
      <c r="G1625" s="1" t="inlineStr">
        <is>
          <t>Горный диспетчер</t>
        </is>
      </c>
      <c r="H1625" s="1" t="inlineStr">
        <is>
          <t>ООО "Амур Золото"</t>
        </is>
      </c>
      <c r="I1625" s="1" t="inlineStr">
        <is>
          <t>2708001686</t>
        </is>
      </c>
      <c r="J1625" s="1" t="inlineStr">
        <is>
          <t>ОТ № ЮГОК ПГУ 24-23</t>
        </is>
      </c>
      <c r="K1625" s="1" t="inlineStr">
        <is>
          <t>Использование (применение) средств индивидуальной защиты</t>
        </is>
      </c>
      <c r="L1625" s="1" t="inlineStr">
        <is>
          <t>12.11.2024</t>
        </is>
      </c>
      <c r="M1625" s="1" t="inlineStr">
        <is>
          <t>Успешно</t>
        </is>
      </c>
      <c r="N1625" s="1" t="inlineStr">
        <is>
          <t>15.11.2024</t>
        </is>
      </c>
      <c r="O1625" s="1" t="inlineStr"/>
      <c r="P1625" s="1" t="inlineStr"/>
      <c r="Q1625" s="1" t="inlineStr">
        <is>
          <t>Пользовательский интерфейс</t>
        </is>
      </c>
    </row>
    <row r="1626">
      <c r="B1626" s="1" t="inlineStr">
        <is>
          <t>87544993</t>
        </is>
      </c>
      <c r="C1626" s="1" t="inlineStr">
        <is>
          <t>6719954</t>
        </is>
      </c>
      <c r="D1626" t="inlineStr">
        <is>
          <t>работник 492</t>
        </is>
      </c>
      <c r="E1626" s="1" t="inlineStr">
        <is>
          <t>ОБЩЕСТВО С ОГРАНИЧЕННОЙ ОТВЕТСТВЕННОСТЬЮ "АМУР ЗОЛОТО"</t>
        </is>
      </c>
      <c r="F1626" s="1" t="inlineStr">
        <is>
          <t>2708001686</t>
        </is>
      </c>
      <c r="G1626" s="1" t="inlineStr">
        <is>
          <t>Горный диспетчер</t>
        </is>
      </c>
      <c r="H1626" s="1" t="inlineStr">
        <is>
          <t>ООО "Амур Золото"</t>
        </is>
      </c>
      <c r="I1626" s="1" t="inlineStr">
        <is>
          <t>2708001686</t>
        </is>
      </c>
      <c r="J1626" s="1" t="inlineStr">
        <is>
          <t>ОТ № ЮГОК ПГУ 24-23</t>
        </is>
      </c>
      <c r="K162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626" s="1" t="inlineStr">
        <is>
          <t>12.11.2024</t>
        </is>
      </c>
      <c r="M1626" s="1" t="inlineStr">
        <is>
          <t>Успешно</t>
        </is>
      </c>
      <c r="N1626" s="1" t="inlineStr">
        <is>
          <t>15.11.2024</t>
        </is>
      </c>
      <c r="O1626" s="1" t="inlineStr"/>
      <c r="P1626" s="1" t="inlineStr"/>
      <c r="Q1626" s="1" t="inlineStr">
        <is>
          <t>Пользовательский интерфейс</t>
        </is>
      </c>
    </row>
    <row r="1627">
      <c r="B1627" s="1" t="inlineStr">
        <is>
          <t>87544994</t>
        </is>
      </c>
      <c r="C1627" s="1" t="inlineStr">
        <is>
          <t>6719954</t>
        </is>
      </c>
      <c r="D1627" t="inlineStr">
        <is>
          <t>работник 493</t>
        </is>
      </c>
      <c r="E1627" s="1" t="inlineStr">
        <is>
          <t>ОБЩЕСТВО С ОГРАНИЧЕННОЙ ОТВЕТСТВЕННОСТЬЮ "АМУР ЗОЛОТО"</t>
        </is>
      </c>
      <c r="F1627" s="1" t="inlineStr">
        <is>
          <t>2708001686</t>
        </is>
      </c>
      <c r="G1627" s="1" t="inlineStr">
        <is>
          <t>Машинист погрузочно-доставочной машины</t>
        </is>
      </c>
      <c r="H1627" s="1" t="inlineStr">
        <is>
          <t>ООО "Амур Золото"</t>
        </is>
      </c>
      <c r="I1627" s="1" t="inlineStr">
        <is>
          <t>2708001686</t>
        </is>
      </c>
      <c r="J1627" s="1" t="inlineStr">
        <is>
          <t>ОТ № ЮГОК ПГУ 24-23</t>
        </is>
      </c>
      <c r="K1627" s="1" t="inlineStr">
        <is>
          <t>Использование (применение) средств индивидуальной защиты</t>
        </is>
      </c>
      <c r="L1627" s="1" t="inlineStr">
        <is>
          <t>12.11.2024</t>
        </is>
      </c>
      <c r="M1627" s="1" t="inlineStr">
        <is>
          <t>Успешно</t>
        </is>
      </c>
      <c r="N1627" s="1" t="inlineStr">
        <is>
          <t>15.11.2024</t>
        </is>
      </c>
      <c r="O1627" s="1" t="inlineStr"/>
      <c r="P1627" s="1" t="inlineStr"/>
      <c r="Q1627" s="1" t="inlineStr">
        <is>
          <t>Пользовательский интерфейс</t>
        </is>
      </c>
    </row>
    <row r="1628">
      <c r="B1628" s="1" t="inlineStr">
        <is>
          <t>87544995</t>
        </is>
      </c>
      <c r="C1628" s="1" t="inlineStr">
        <is>
          <t>6719954</t>
        </is>
      </c>
      <c r="D1628" t="inlineStr">
        <is>
          <t>работник 493</t>
        </is>
      </c>
      <c r="E1628" s="1" t="inlineStr">
        <is>
          <t>ОБЩЕСТВО С ОГРАНИЧЕННОЙ ОТВЕТСТВЕННОСТЬЮ "АМУР ЗОЛОТО"</t>
        </is>
      </c>
      <c r="F1628" s="1" t="inlineStr">
        <is>
          <t>2708001686</t>
        </is>
      </c>
      <c r="G1628" s="1" t="inlineStr">
        <is>
          <t>Машинист погрузочно-доставочной машины</t>
        </is>
      </c>
      <c r="H1628" s="1" t="inlineStr">
        <is>
          <t>ООО "Амур Золото"</t>
        </is>
      </c>
      <c r="I1628" s="1" t="inlineStr">
        <is>
          <t>2708001686</t>
        </is>
      </c>
      <c r="J1628" s="1" t="inlineStr">
        <is>
          <t>ОТ № ЮГОК ПГУ 24-23</t>
        </is>
      </c>
      <c r="K162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628" s="1" t="inlineStr">
        <is>
          <t>12.11.2024</t>
        </is>
      </c>
      <c r="M1628" s="1" t="inlineStr">
        <is>
          <t>Успешно</t>
        </is>
      </c>
      <c r="N1628" s="1" t="inlineStr">
        <is>
          <t>15.11.2024</t>
        </is>
      </c>
      <c r="O1628" s="1" t="inlineStr"/>
      <c r="P1628" s="1" t="inlineStr"/>
      <c r="Q1628" s="1" t="inlineStr">
        <is>
          <t>Пользовательский интерфейс</t>
        </is>
      </c>
    </row>
    <row r="1629">
      <c r="B1629" s="1" t="inlineStr">
        <is>
          <t>87544996</t>
        </is>
      </c>
      <c r="C1629" s="1" t="inlineStr">
        <is>
          <t>6719954</t>
        </is>
      </c>
      <c r="D1629" t="inlineStr">
        <is>
          <t>работник 174</t>
        </is>
      </c>
      <c r="E1629" s="1" t="inlineStr">
        <is>
          <t>ОБЩЕСТВО С ОГРАНИЧЕННОЙ ОТВЕТСТВЕННОСТЬЮ "АМУР ЗОЛОТО"</t>
        </is>
      </c>
      <c r="F1629" s="1" t="inlineStr">
        <is>
          <t>2708001686</t>
        </is>
      </c>
      <c r="G1629" s="1" t="inlineStr">
        <is>
          <t>Машинист погрузочно-доставочной машины (занятый на транспортировании горной массы в технологическом процессе)</t>
        </is>
      </c>
      <c r="H1629" s="1" t="inlineStr">
        <is>
          <t>ООО "Амур Золото"</t>
        </is>
      </c>
      <c r="I1629" s="1" t="inlineStr">
        <is>
          <t>2708001686</t>
        </is>
      </c>
      <c r="J1629" s="1" t="inlineStr">
        <is>
          <t>ОТ № ЮГОК ПГУ 24-23</t>
        </is>
      </c>
      <c r="K1629" s="1" t="inlineStr">
        <is>
          <t>Использование (применение) средств индивидуальной защиты</t>
        </is>
      </c>
      <c r="L1629" s="1" t="inlineStr">
        <is>
          <t>12.11.2024</t>
        </is>
      </c>
      <c r="M1629" s="1" t="inlineStr">
        <is>
          <t>Успешно</t>
        </is>
      </c>
      <c r="N1629" s="1" t="inlineStr">
        <is>
          <t>15.11.2024</t>
        </is>
      </c>
      <c r="O1629" s="1" t="inlineStr"/>
      <c r="P1629" s="1" t="inlineStr"/>
      <c r="Q1629" s="1" t="inlineStr">
        <is>
          <t>Пользовательский интерфейс</t>
        </is>
      </c>
    </row>
    <row r="1630">
      <c r="B1630" s="1" t="inlineStr">
        <is>
          <t>87544997</t>
        </is>
      </c>
      <c r="C1630" s="1" t="inlineStr">
        <is>
          <t>6719954</t>
        </is>
      </c>
      <c r="D1630" t="inlineStr">
        <is>
          <t>работник 174</t>
        </is>
      </c>
      <c r="E1630" s="1" t="inlineStr">
        <is>
          <t>ОБЩЕСТВО С ОГРАНИЧЕННОЙ ОТВЕТСТВЕННОСТЬЮ "АМУР ЗОЛОТО"</t>
        </is>
      </c>
      <c r="F1630" s="1" t="inlineStr">
        <is>
          <t>2708001686</t>
        </is>
      </c>
      <c r="G1630" s="1" t="inlineStr">
        <is>
          <t>Машинист погрузочно-доставочной машины (занятый на транспортировании горной массы в технологическом процессе)</t>
        </is>
      </c>
      <c r="H1630" s="1" t="inlineStr">
        <is>
          <t>ООО "Амур Золото"</t>
        </is>
      </c>
      <c r="I1630" s="1" t="inlineStr">
        <is>
          <t>2708001686</t>
        </is>
      </c>
      <c r="J1630" s="1" t="inlineStr">
        <is>
          <t>ОТ № ЮГОК ПГУ 24-23</t>
        </is>
      </c>
      <c r="K163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630" s="1" t="inlineStr">
        <is>
          <t>12.11.2024</t>
        </is>
      </c>
      <c r="M1630" s="1" t="inlineStr">
        <is>
          <t>Успешно</t>
        </is>
      </c>
      <c r="N1630" s="1" t="inlineStr">
        <is>
          <t>15.11.2024</t>
        </is>
      </c>
      <c r="O1630" s="1" t="inlineStr"/>
      <c r="P1630" s="1" t="inlineStr"/>
      <c r="Q1630" s="1" t="inlineStr">
        <is>
          <t>Пользовательский интерфейс</t>
        </is>
      </c>
    </row>
    <row r="1631">
      <c r="B1631" s="1" t="inlineStr">
        <is>
          <t>87544998</t>
        </is>
      </c>
      <c r="C1631" s="1" t="inlineStr">
        <is>
          <t>6719954</t>
        </is>
      </c>
      <c r="D1631" t="inlineStr">
        <is>
          <t>работник 176</t>
        </is>
      </c>
      <c r="E1631" s="1" t="inlineStr">
        <is>
          <t>ОБЩЕСТВО С ОГРАНИЧЕННОЙ ОТВЕТСТВЕННОСТЬЮ "АМУР ЗОЛОТО"</t>
        </is>
      </c>
      <c r="F1631" s="1" t="inlineStr">
        <is>
          <t>2708001686</t>
        </is>
      </c>
      <c r="G1631" s="1" t="inlineStr">
        <is>
          <t>Проходчик (с исполнением обязанностей взрывника)</t>
        </is>
      </c>
      <c r="H1631" s="1" t="inlineStr">
        <is>
          <t>ООО "Амур Золото"</t>
        </is>
      </c>
      <c r="I1631" s="1" t="inlineStr">
        <is>
          <t>2708001686</t>
        </is>
      </c>
      <c r="J1631" s="1" t="inlineStr">
        <is>
          <t>ОТ № ЮГОК ПГУ 24-23</t>
        </is>
      </c>
      <c r="K1631" s="1" t="inlineStr">
        <is>
          <t>Использование (применение) средств индивидуальной защиты</t>
        </is>
      </c>
      <c r="L1631" s="1" t="inlineStr">
        <is>
          <t>12.11.2024</t>
        </is>
      </c>
      <c r="M1631" s="1" t="inlineStr">
        <is>
          <t>Успешно</t>
        </is>
      </c>
      <c r="N1631" s="1" t="inlineStr">
        <is>
          <t>15.11.2024</t>
        </is>
      </c>
      <c r="O1631" s="1" t="inlineStr"/>
      <c r="P1631" s="1" t="inlineStr"/>
      <c r="Q1631" s="1" t="inlineStr">
        <is>
          <t>Пользовательский интерфейс</t>
        </is>
      </c>
    </row>
    <row r="1632">
      <c r="B1632" s="1" t="inlineStr">
        <is>
          <t>87544999</t>
        </is>
      </c>
      <c r="C1632" s="1" t="inlineStr">
        <is>
          <t>6719954</t>
        </is>
      </c>
      <c r="D1632" t="inlineStr">
        <is>
          <t>работник 176</t>
        </is>
      </c>
      <c r="E1632" s="1" t="inlineStr">
        <is>
          <t>ОБЩЕСТВО С ОГРАНИЧЕННОЙ ОТВЕТСТВЕННОСТЬЮ "АМУР ЗОЛОТО"</t>
        </is>
      </c>
      <c r="F1632" s="1" t="inlineStr">
        <is>
          <t>2708001686</t>
        </is>
      </c>
      <c r="G1632" s="1" t="inlineStr">
        <is>
          <t>Проходчик (с исполнением обязанностей взрывника)</t>
        </is>
      </c>
      <c r="H1632" s="1" t="inlineStr">
        <is>
          <t>ООО "Амур Золото"</t>
        </is>
      </c>
      <c r="I1632" s="1" t="inlineStr">
        <is>
          <t>2708001686</t>
        </is>
      </c>
      <c r="J1632" s="1" t="inlineStr">
        <is>
          <t>ОТ № ЮГОК ПГУ 24-23</t>
        </is>
      </c>
      <c r="K163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632" s="1" t="inlineStr">
        <is>
          <t>12.11.2024</t>
        </is>
      </c>
      <c r="M1632" s="1" t="inlineStr">
        <is>
          <t>Успешно</t>
        </is>
      </c>
      <c r="N1632" s="1" t="inlineStr">
        <is>
          <t>15.11.2024</t>
        </is>
      </c>
      <c r="O1632" s="1" t="inlineStr"/>
      <c r="P1632" s="1" t="inlineStr"/>
      <c r="Q1632" s="1" t="inlineStr">
        <is>
          <t>Пользовательский интерфейс</t>
        </is>
      </c>
    </row>
    <row r="1633">
      <c r="B1633" s="1" t="inlineStr">
        <is>
          <t>87545000</t>
        </is>
      </c>
      <c r="C1633" s="1" t="inlineStr">
        <is>
          <t>6719954</t>
        </is>
      </c>
      <c r="D1633" t="inlineStr">
        <is>
          <t>работник 494</t>
        </is>
      </c>
      <c r="E1633" s="1" t="inlineStr">
        <is>
          <t>ОБЩЕСТВО С ОГРАНИЧЕННОЙ ОТВЕТСТВЕННОСТЬЮ "АМУР ЗОЛОТО"</t>
        </is>
      </c>
      <c r="F1633" s="1" t="inlineStr">
        <is>
          <t>2708001686</t>
        </is>
      </c>
      <c r="G1633" s="1" t="inlineStr">
        <is>
          <t>Машинист  самоходной буровой установки (Проходка)</t>
        </is>
      </c>
      <c r="H1633" s="1" t="inlineStr">
        <is>
          <t>ООО "Амур Золото"</t>
        </is>
      </c>
      <c r="I1633" s="1" t="inlineStr">
        <is>
          <t>2708001686</t>
        </is>
      </c>
      <c r="J1633" s="1" t="inlineStr">
        <is>
          <t>ОТ № ЮГОК ПГУ 24-23</t>
        </is>
      </c>
      <c r="K1633" s="1" t="inlineStr">
        <is>
          <t>Использование (применение) средств индивидуальной защиты</t>
        </is>
      </c>
      <c r="L1633" s="1" t="inlineStr">
        <is>
          <t>12.11.2024</t>
        </is>
      </c>
      <c r="M1633" s="1" t="inlineStr">
        <is>
          <t>Успешно</t>
        </is>
      </c>
      <c r="N1633" s="1" t="inlineStr">
        <is>
          <t>15.11.2024</t>
        </is>
      </c>
      <c r="O1633" s="1" t="inlineStr"/>
      <c r="P1633" s="1" t="inlineStr"/>
      <c r="Q1633" s="1" t="inlineStr">
        <is>
          <t>Пользовательский интерфейс</t>
        </is>
      </c>
    </row>
    <row r="1634">
      <c r="B1634" s="1" t="inlineStr">
        <is>
          <t>87545001</t>
        </is>
      </c>
      <c r="C1634" s="1" t="inlineStr">
        <is>
          <t>6719954</t>
        </is>
      </c>
      <c r="D1634" t="inlineStr">
        <is>
          <t>работник 494</t>
        </is>
      </c>
      <c r="E1634" s="1" t="inlineStr">
        <is>
          <t>ОБЩЕСТВО С ОГРАНИЧЕННОЙ ОТВЕТСТВЕННОСТЬЮ "АМУР ЗОЛОТО"</t>
        </is>
      </c>
      <c r="F1634" s="1" t="inlineStr">
        <is>
          <t>2708001686</t>
        </is>
      </c>
      <c r="G1634" s="1" t="inlineStr">
        <is>
          <t>Машинист  самоходной буровой установки (Проходка)</t>
        </is>
      </c>
      <c r="H1634" s="1" t="inlineStr">
        <is>
          <t>ООО "Амур Золото"</t>
        </is>
      </c>
      <c r="I1634" s="1" t="inlineStr">
        <is>
          <t>2708001686</t>
        </is>
      </c>
      <c r="J1634" s="1" t="inlineStr">
        <is>
          <t>ОТ № ЮГОК ПГУ 24-23</t>
        </is>
      </c>
      <c r="K163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634" s="1" t="inlineStr">
        <is>
          <t>12.11.2024</t>
        </is>
      </c>
      <c r="M1634" s="1" t="inlineStr">
        <is>
          <t>Успешно</t>
        </is>
      </c>
      <c r="N1634" s="1" t="inlineStr">
        <is>
          <t>15.11.2024</t>
        </is>
      </c>
      <c r="O1634" s="1" t="inlineStr"/>
      <c r="P1634" s="1" t="inlineStr"/>
      <c r="Q1634" s="1" t="inlineStr">
        <is>
          <t>Пользовательский интерфейс</t>
        </is>
      </c>
    </row>
    <row r="1635">
      <c r="B1635" s="1" t="inlineStr">
        <is>
          <t>87545002</t>
        </is>
      </c>
      <c r="C1635" s="1" t="inlineStr">
        <is>
          <t>6719954</t>
        </is>
      </c>
      <c r="D1635" t="inlineStr">
        <is>
          <t>работник 495</t>
        </is>
      </c>
      <c r="E1635" s="1" t="inlineStr">
        <is>
          <t>ОБЩЕСТВО С ОГРАНИЧЕННОЙ ОТВЕТСТВЕННОСТЬЮ "АМУР ЗОЛОТО"</t>
        </is>
      </c>
      <c r="F1635" s="1" t="inlineStr">
        <is>
          <t>2708001686</t>
        </is>
      </c>
      <c r="G1635" s="1" t="inlineStr">
        <is>
          <t>Машинист подземных самоходных машин</t>
        </is>
      </c>
      <c r="H1635" s="1" t="inlineStr">
        <is>
          <t>ООО "Амур Золото"</t>
        </is>
      </c>
      <c r="I1635" s="1" t="inlineStr">
        <is>
          <t>2708001686</t>
        </is>
      </c>
      <c r="J1635" s="1" t="inlineStr">
        <is>
          <t>ОТ № ЮГОК ПГУ 24-23</t>
        </is>
      </c>
      <c r="K1635" s="1" t="inlineStr">
        <is>
          <t>Использование (применение) средств индивидуальной защиты</t>
        </is>
      </c>
      <c r="L1635" s="1" t="inlineStr">
        <is>
          <t>12.11.2024</t>
        </is>
      </c>
      <c r="M1635" s="1" t="inlineStr">
        <is>
          <t>Успешно</t>
        </is>
      </c>
      <c r="N1635" s="1" t="inlineStr">
        <is>
          <t>15.11.2024</t>
        </is>
      </c>
      <c r="O1635" s="1" t="inlineStr"/>
      <c r="P1635" s="1" t="inlineStr"/>
      <c r="Q1635" s="1" t="inlineStr">
        <is>
          <t>Пользовательский интерфейс</t>
        </is>
      </c>
    </row>
    <row r="1636">
      <c r="B1636" s="1" t="inlineStr">
        <is>
          <t>87545003</t>
        </is>
      </c>
      <c r="C1636" s="1" t="inlineStr">
        <is>
          <t>6719954</t>
        </is>
      </c>
      <c r="D1636" t="inlineStr">
        <is>
          <t>работник 495</t>
        </is>
      </c>
      <c r="E1636" s="1" t="inlineStr">
        <is>
          <t>ОБЩЕСТВО С ОГРАНИЧЕННОЙ ОТВЕТСТВЕННОСТЬЮ "АМУР ЗОЛОТО"</t>
        </is>
      </c>
      <c r="F1636" s="1" t="inlineStr">
        <is>
          <t>2708001686</t>
        </is>
      </c>
      <c r="G1636" s="1" t="inlineStr">
        <is>
          <t>Машинист подземных самоходных машин</t>
        </is>
      </c>
      <c r="H1636" s="1" t="inlineStr">
        <is>
          <t>ООО "Амур Золото"</t>
        </is>
      </c>
      <c r="I1636" s="1" t="inlineStr">
        <is>
          <t>2708001686</t>
        </is>
      </c>
      <c r="J1636" s="1" t="inlineStr">
        <is>
          <t>ОТ № ЮГОК ПГУ 24-23</t>
        </is>
      </c>
      <c r="K163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636" s="1" t="inlineStr">
        <is>
          <t>12.11.2024</t>
        </is>
      </c>
      <c r="M1636" s="1" t="inlineStr">
        <is>
          <t>Успешно</t>
        </is>
      </c>
      <c r="N1636" s="1" t="inlineStr">
        <is>
          <t>15.11.2024</t>
        </is>
      </c>
      <c r="O1636" s="1" t="inlineStr"/>
      <c r="P1636" s="1" t="inlineStr"/>
      <c r="Q1636" s="1" t="inlineStr">
        <is>
          <t>Пользовательский интерфейс</t>
        </is>
      </c>
    </row>
    <row r="1637">
      <c r="B1637" s="1" t="inlineStr">
        <is>
          <t>87545004</t>
        </is>
      </c>
      <c r="C1637" s="1" t="inlineStr">
        <is>
          <t>6719954</t>
        </is>
      </c>
      <c r="D1637" t="inlineStr">
        <is>
          <t>работник 496</t>
        </is>
      </c>
      <c r="E1637" s="1" t="inlineStr">
        <is>
          <t>ОБЩЕСТВО С ОГРАНИЧЕННОЙ ОТВЕТСТВЕННОСТЬЮ "АМУР ЗОЛОТО"</t>
        </is>
      </c>
      <c r="F1637" s="1" t="inlineStr">
        <is>
          <t>2708001686</t>
        </is>
      </c>
      <c r="G1637" s="1" t="inlineStr">
        <is>
          <t>Машинист  самоходной буровой установки (Очистное)</t>
        </is>
      </c>
      <c r="H1637" s="1" t="inlineStr">
        <is>
          <t>ООО "Амур Золото"</t>
        </is>
      </c>
      <c r="I1637" s="1" t="inlineStr">
        <is>
          <t>2708001686</t>
        </is>
      </c>
      <c r="J1637" s="1" t="inlineStr">
        <is>
          <t>ОТ № ЮГОК ПГУ 24-23</t>
        </is>
      </c>
      <c r="K1637" s="1" t="inlineStr">
        <is>
          <t>Использование (применение) средств индивидуальной защиты</t>
        </is>
      </c>
      <c r="L1637" s="1" t="inlineStr">
        <is>
          <t>12.11.2024</t>
        </is>
      </c>
      <c r="M1637" s="1" t="inlineStr">
        <is>
          <t>Успешно</t>
        </is>
      </c>
      <c r="N1637" s="1" t="inlineStr">
        <is>
          <t>15.11.2024</t>
        </is>
      </c>
      <c r="O1637" s="1" t="inlineStr"/>
      <c r="P1637" s="1" t="inlineStr"/>
      <c r="Q1637" s="1" t="inlineStr">
        <is>
          <t>Пользовательский интерфейс</t>
        </is>
      </c>
    </row>
    <row r="1638">
      <c r="B1638" s="1" t="inlineStr">
        <is>
          <t>87545005</t>
        </is>
      </c>
      <c r="C1638" s="1" t="inlineStr">
        <is>
          <t>6719954</t>
        </is>
      </c>
      <c r="D1638" t="inlineStr">
        <is>
          <t>работник 496</t>
        </is>
      </c>
      <c r="E1638" s="1" t="inlineStr">
        <is>
          <t>ОБЩЕСТВО С ОГРАНИЧЕННОЙ ОТВЕТСТВЕННОСТЬЮ "АМУР ЗОЛОТО"</t>
        </is>
      </c>
      <c r="F1638" s="1" t="inlineStr">
        <is>
          <t>2708001686</t>
        </is>
      </c>
      <c r="G1638" s="1" t="inlineStr">
        <is>
          <t>Машинист  самоходной буровой установки (Очистное)</t>
        </is>
      </c>
      <c r="H1638" s="1" t="inlineStr">
        <is>
          <t>ООО "Амур Золото"</t>
        </is>
      </c>
      <c r="I1638" s="1" t="inlineStr">
        <is>
          <t>2708001686</t>
        </is>
      </c>
      <c r="J1638" s="1" t="inlineStr">
        <is>
          <t>ОТ № ЮГОК ПГУ 24-23</t>
        </is>
      </c>
      <c r="K163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638" s="1" t="inlineStr">
        <is>
          <t>12.11.2024</t>
        </is>
      </c>
      <c r="M1638" s="1" t="inlineStr">
        <is>
          <t>Успешно</t>
        </is>
      </c>
      <c r="N1638" s="1" t="inlineStr">
        <is>
          <t>15.11.2024</t>
        </is>
      </c>
      <c r="O1638" s="1" t="inlineStr"/>
      <c r="P1638" s="1" t="inlineStr"/>
      <c r="Q1638" s="1" t="inlineStr">
        <is>
          <t>Пользовательский интерфейс</t>
        </is>
      </c>
    </row>
    <row r="1639">
      <c r="B1639" s="1" t="inlineStr">
        <is>
          <t>87545006</t>
        </is>
      </c>
      <c r="C1639" s="1" t="inlineStr">
        <is>
          <t>6719954</t>
        </is>
      </c>
      <c r="D1639" t="inlineStr">
        <is>
          <t>работник 497</t>
        </is>
      </c>
      <c r="E1639" s="1" t="inlineStr">
        <is>
          <t>ОБЩЕСТВО С ОГРАНИЧЕННОЙ ОТВЕТСТВЕННОСТЬЮ "АМУР ЗОЛОТО"</t>
        </is>
      </c>
      <c r="F1639" s="1" t="inlineStr">
        <is>
          <t>2708001686</t>
        </is>
      </c>
      <c r="G1639" s="1" t="inlineStr">
        <is>
          <t>Машинист погрузочно-доставочной машины (занятый на транспортировании горной массы в технологическом процессе)</t>
        </is>
      </c>
      <c r="H1639" s="1" t="inlineStr">
        <is>
          <t>ООО "Амур Золото"</t>
        </is>
      </c>
      <c r="I1639" s="1" t="inlineStr">
        <is>
          <t>2708001686</t>
        </is>
      </c>
      <c r="J1639" s="1" t="inlineStr">
        <is>
          <t>ОТ № ЮГОК ПГУ 24-23</t>
        </is>
      </c>
      <c r="K1639" s="1" t="inlineStr">
        <is>
          <t>Использование (применение) средств индивидуальной защиты</t>
        </is>
      </c>
      <c r="L1639" s="1" t="inlineStr">
        <is>
          <t>12.11.2024</t>
        </is>
      </c>
      <c r="M1639" s="1" t="inlineStr">
        <is>
          <t>Успешно</t>
        </is>
      </c>
      <c r="N1639" s="1" t="inlineStr">
        <is>
          <t>15.11.2024</t>
        </is>
      </c>
      <c r="O1639" s="1" t="inlineStr"/>
      <c r="P1639" s="1" t="inlineStr"/>
      <c r="Q1639" s="1" t="inlineStr">
        <is>
          <t>Пользовательский интерфейс</t>
        </is>
      </c>
    </row>
    <row r="1640">
      <c r="B1640" s="1" t="inlineStr">
        <is>
          <t>87545007</t>
        </is>
      </c>
      <c r="C1640" s="1" t="inlineStr">
        <is>
          <t>6719954</t>
        </is>
      </c>
      <c r="D1640" t="inlineStr">
        <is>
          <t>работник 497</t>
        </is>
      </c>
      <c r="E1640" s="1" t="inlineStr">
        <is>
          <t>ОБЩЕСТВО С ОГРАНИЧЕННОЙ ОТВЕТСТВЕННОСТЬЮ "АМУР ЗОЛОТО"</t>
        </is>
      </c>
      <c r="F1640" s="1" t="inlineStr">
        <is>
          <t>2708001686</t>
        </is>
      </c>
      <c r="G1640" s="1" t="inlineStr">
        <is>
          <t>Машинист погрузочно-доставочной машины (занятый на транспортировании горной массы в технологическом процессе)</t>
        </is>
      </c>
      <c r="H1640" s="1" t="inlineStr">
        <is>
          <t>ООО "Амур Золото"</t>
        </is>
      </c>
      <c r="I1640" s="1" t="inlineStr">
        <is>
          <t>2708001686</t>
        </is>
      </c>
      <c r="J1640" s="1" t="inlineStr">
        <is>
          <t>ОТ № ЮГОК ПГУ 24-23</t>
        </is>
      </c>
      <c r="K164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640" s="1" t="inlineStr">
        <is>
          <t>12.11.2024</t>
        </is>
      </c>
      <c r="M1640" s="1" t="inlineStr">
        <is>
          <t>Успешно</t>
        </is>
      </c>
      <c r="N1640" s="1" t="inlineStr">
        <is>
          <t>15.11.2024</t>
        </is>
      </c>
      <c r="O1640" s="1" t="inlineStr"/>
      <c r="P1640" s="1" t="inlineStr"/>
      <c r="Q1640" s="1" t="inlineStr">
        <is>
          <t>Пользовательский интерфейс</t>
        </is>
      </c>
    </row>
    <row r="1641">
      <c r="B1641" s="1" t="inlineStr">
        <is>
          <t>87545008</t>
        </is>
      </c>
      <c r="C1641" s="1" t="inlineStr">
        <is>
          <t>6719954</t>
        </is>
      </c>
      <c r="D1641" t="inlineStr">
        <is>
          <t>работник 180</t>
        </is>
      </c>
      <c r="E1641" s="1" t="inlineStr">
        <is>
          <t>ОБЩЕСТВО С ОГРАНИЧЕННОЙ ОТВЕТСТВЕННОСТЬЮ "АМУР ЗОЛОТО"</t>
        </is>
      </c>
      <c r="F1641" s="1" t="inlineStr">
        <is>
          <t>2708001686</t>
        </is>
      </c>
      <c r="G1641" s="1" t="inlineStr">
        <is>
          <t>Электрогазосварщик (занятый на резке и ручной сварке)</t>
        </is>
      </c>
      <c r="H1641" s="1" t="inlineStr">
        <is>
          <t>ООО "Амур Золото"</t>
        </is>
      </c>
      <c r="I1641" s="1" t="inlineStr">
        <is>
          <t>2708001686</t>
        </is>
      </c>
      <c r="J1641" s="1" t="inlineStr">
        <is>
          <t>ОТ № ЮГОК ПГУ 24-23</t>
        </is>
      </c>
      <c r="K1641" s="1" t="inlineStr">
        <is>
          <t>Использование (применение) средств индивидуальной защиты</t>
        </is>
      </c>
      <c r="L1641" s="1" t="inlineStr">
        <is>
          <t>12.11.2024</t>
        </is>
      </c>
      <c r="M1641" s="1" t="inlineStr">
        <is>
          <t>Успешно</t>
        </is>
      </c>
      <c r="N1641" s="1" t="inlineStr">
        <is>
          <t>15.11.2024</t>
        </is>
      </c>
      <c r="O1641" s="1" t="inlineStr"/>
      <c r="P1641" s="1" t="inlineStr"/>
      <c r="Q1641" s="1" t="inlineStr">
        <is>
          <t>Пользовательский интерфейс</t>
        </is>
      </c>
    </row>
    <row r="1642">
      <c r="B1642" s="1" t="inlineStr">
        <is>
          <t>87545009</t>
        </is>
      </c>
      <c r="C1642" s="1" t="inlineStr">
        <is>
          <t>6719954</t>
        </is>
      </c>
      <c r="D1642" t="inlineStr">
        <is>
          <t>работник 180</t>
        </is>
      </c>
      <c r="E1642" s="1" t="inlineStr">
        <is>
          <t>ОБЩЕСТВО С ОГРАНИЧЕННОЙ ОТВЕТСТВЕННОСТЬЮ "АМУР ЗОЛОТО"</t>
        </is>
      </c>
      <c r="F1642" s="1" t="inlineStr">
        <is>
          <t>2708001686</t>
        </is>
      </c>
      <c r="G1642" s="1" t="inlineStr">
        <is>
          <t>Электрогазосварщик (занятый на резке и ручной сварке)</t>
        </is>
      </c>
      <c r="H1642" s="1" t="inlineStr">
        <is>
          <t>ООО "Амур Золото"</t>
        </is>
      </c>
      <c r="I1642" s="1" t="inlineStr">
        <is>
          <t>2708001686</t>
        </is>
      </c>
      <c r="J1642" s="1" t="inlineStr">
        <is>
          <t>ОТ № ЮГОК ПГУ 24-23</t>
        </is>
      </c>
      <c r="K164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642" s="1" t="inlineStr">
        <is>
          <t>12.11.2024</t>
        </is>
      </c>
      <c r="M1642" s="1" t="inlineStr">
        <is>
          <t>Успешно</t>
        </is>
      </c>
      <c r="N1642" s="1" t="inlineStr">
        <is>
          <t>15.11.2024</t>
        </is>
      </c>
      <c r="O1642" s="1" t="inlineStr"/>
      <c r="P1642" s="1" t="inlineStr"/>
      <c r="Q1642" s="1" t="inlineStr">
        <is>
          <t>Пользовательский интерфейс</t>
        </is>
      </c>
    </row>
    <row r="1643">
      <c r="B1643" s="1" t="inlineStr">
        <is>
          <t>87545010</t>
        </is>
      </c>
      <c r="C1643" s="1" t="inlineStr">
        <is>
          <t>6719954</t>
        </is>
      </c>
      <c r="D1643" t="inlineStr">
        <is>
          <t>работник 498</t>
        </is>
      </c>
      <c r="E1643" s="1" t="inlineStr">
        <is>
          <t>ОБЩЕСТВО С ОГРАНИЧЕННОЙ ОТВЕТСТВЕННОСТЬЮ "АМУР ЗОЛОТО"</t>
        </is>
      </c>
      <c r="F1643" s="1" t="inlineStr">
        <is>
          <t>2708001686</t>
        </is>
      </c>
      <c r="G1643" s="1" t="inlineStr">
        <is>
          <t>Кухонный рабочий</t>
        </is>
      </c>
      <c r="H1643" s="1" t="inlineStr">
        <is>
          <t>ООО "Амур Золото"</t>
        </is>
      </c>
      <c r="I1643" s="1" t="inlineStr">
        <is>
          <t>2708001686</t>
        </is>
      </c>
      <c r="J1643" s="1" t="inlineStr">
        <is>
          <t>ОТ № ЮГОК СТ 24-04</t>
        </is>
      </c>
      <c r="K1643" s="1" t="inlineStr">
        <is>
          <t>Использование (применение) средств индивидуальной защиты</t>
        </is>
      </c>
      <c r="L1643" s="1" t="inlineStr">
        <is>
          <t>13.11.2024</t>
        </is>
      </c>
      <c r="M1643" s="1" t="inlineStr">
        <is>
          <t>Успешно</t>
        </is>
      </c>
      <c r="N1643" s="1" t="inlineStr">
        <is>
          <t>15.11.2024</t>
        </is>
      </c>
      <c r="O1643" s="1" t="inlineStr"/>
      <c r="P1643" s="1" t="inlineStr"/>
      <c r="Q1643" s="1" t="inlineStr">
        <is>
          <t>Пользовательский интерфейс</t>
        </is>
      </c>
    </row>
    <row r="1644">
      <c r="B1644" s="1" t="inlineStr">
        <is>
          <t>87545011</t>
        </is>
      </c>
      <c r="C1644" s="1" t="inlineStr">
        <is>
          <t>6719954</t>
        </is>
      </c>
      <c r="D1644" t="inlineStr">
        <is>
          <t>работник 498</t>
        </is>
      </c>
      <c r="E1644" s="1" t="inlineStr">
        <is>
          <t>ОБЩЕСТВО С ОГРАНИЧЕННОЙ ОТВЕТСТВЕННОСТЬЮ "АМУР ЗОЛОТО"</t>
        </is>
      </c>
      <c r="F1644" s="1" t="inlineStr">
        <is>
          <t>2708001686</t>
        </is>
      </c>
      <c r="G1644" s="1" t="inlineStr">
        <is>
          <t>Кухонный рабочий</t>
        </is>
      </c>
      <c r="H1644" s="1" t="inlineStr">
        <is>
          <t>ООО "Амур Золото"</t>
        </is>
      </c>
      <c r="I1644" s="1" t="inlineStr">
        <is>
          <t>2708001686</t>
        </is>
      </c>
      <c r="J1644" s="1" t="inlineStr">
        <is>
          <t>ОТ № ЮГОК СТ 24-04</t>
        </is>
      </c>
      <c r="K164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644" s="1" t="inlineStr">
        <is>
          <t>13.11.2024</t>
        </is>
      </c>
      <c r="M1644" s="1" t="inlineStr">
        <is>
          <t>Успешно</t>
        </is>
      </c>
      <c r="N1644" s="1" t="inlineStr">
        <is>
          <t>15.11.2024</t>
        </is>
      </c>
      <c r="O1644" s="1" t="inlineStr"/>
      <c r="P1644" s="1" t="inlineStr"/>
      <c r="Q1644" s="1" t="inlineStr">
        <is>
          <t>Пользовательский интерфейс</t>
        </is>
      </c>
    </row>
    <row r="1645">
      <c r="B1645" s="1" t="inlineStr">
        <is>
          <t>87545012</t>
        </is>
      </c>
      <c r="C1645" s="1" t="inlineStr">
        <is>
          <t>6719954</t>
        </is>
      </c>
      <c r="D1645" t="inlineStr">
        <is>
          <t>работник 499</t>
        </is>
      </c>
      <c r="E1645" s="1" t="inlineStr">
        <is>
          <t>ОБЩЕСТВО С ОГРАНИЧЕННОЙ ОТВЕТСТВЕННОСТЬЮ "АМУР ЗОЛОТО"</t>
        </is>
      </c>
      <c r="F1645" s="1" t="inlineStr">
        <is>
          <t>2708001686</t>
        </is>
      </c>
      <c r="G1645" s="1" t="inlineStr">
        <is>
          <t>Повар</t>
        </is>
      </c>
      <c r="H1645" s="1" t="inlineStr">
        <is>
          <t>ООО "Амур Золото"</t>
        </is>
      </c>
      <c r="I1645" s="1" t="inlineStr">
        <is>
          <t>2708001686</t>
        </is>
      </c>
      <c r="J1645" s="1" t="inlineStr">
        <is>
          <t>ОТ № ЮГОК СТ 24-04</t>
        </is>
      </c>
      <c r="K1645" s="1" t="inlineStr">
        <is>
          <t>Использование (применение) средств индивидуальной защиты</t>
        </is>
      </c>
      <c r="L1645" s="1" t="inlineStr">
        <is>
          <t>13.11.2024</t>
        </is>
      </c>
      <c r="M1645" s="1" t="inlineStr">
        <is>
          <t>Успешно</t>
        </is>
      </c>
      <c r="N1645" s="1" t="inlineStr">
        <is>
          <t>15.11.2024</t>
        </is>
      </c>
      <c r="O1645" s="1" t="inlineStr"/>
      <c r="P1645" s="1" t="inlineStr"/>
      <c r="Q1645" s="1" t="inlineStr">
        <is>
          <t>Пользовательский интерфейс</t>
        </is>
      </c>
    </row>
    <row r="1646">
      <c r="B1646" s="1" t="inlineStr">
        <is>
          <t>87545013</t>
        </is>
      </c>
      <c r="C1646" s="1" t="inlineStr">
        <is>
          <t>6719954</t>
        </is>
      </c>
      <c r="D1646" t="inlineStr">
        <is>
          <t>работник 499</t>
        </is>
      </c>
      <c r="E1646" s="1" t="inlineStr">
        <is>
          <t>ОБЩЕСТВО С ОГРАНИЧЕННОЙ ОТВЕТСТВЕННОСТЬЮ "АМУР ЗОЛОТО"</t>
        </is>
      </c>
      <c r="F1646" s="1" t="inlineStr">
        <is>
          <t>2708001686</t>
        </is>
      </c>
      <c r="G1646" s="1" t="inlineStr">
        <is>
          <t>Повар</t>
        </is>
      </c>
      <c r="H1646" s="1" t="inlineStr">
        <is>
          <t>ООО "Амур Золото"</t>
        </is>
      </c>
      <c r="I1646" s="1" t="inlineStr">
        <is>
          <t>2708001686</t>
        </is>
      </c>
      <c r="J1646" s="1" t="inlineStr">
        <is>
          <t>ОТ № ЮГОК СТ 24-04</t>
        </is>
      </c>
      <c r="K164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646" s="1" t="inlineStr">
        <is>
          <t>13.11.2024</t>
        </is>
      </c>
      <c r="M1646" s="1" t="inlineStr">
        <is>
          <t>Успешно</t>
        </is>
      </c>
      <c r="N1646" s="1" t="inlineStr">
        <is>
          <t>15.11.2024</t>
        </is>
      </c>
      <c r="O1646" s="1" t="inlineStr"/>
      <c r="P1646" s="1" t="inlineStr"/>
      <c r="Q1646" s="1" t="inlineStr">
        <is>
          <t>Пользовательский интерфейс</t>
        </is>
      </c>
    </row>
    <row r="1647">
      <c r="B1647" s="1" t="inlineStr">
        <is>
          <t>87545014</t>
        </is>
      </c>
      <c r="C1647" s="1" t="inlineStr">
        <is>
          <t>6719954</t>
        </is>
      </c>
      <c r="D1647" t="inlineStr">
        <is>
          <t>работник 500</t>
        </is>
      </c>
      <c r="E1647" s="1" t="inlineStr">
        <is>
          <t>ОБЩЕСТВО С ОГРАНИЧЕННОЙ ОТВЕТСТВЕННОСТЬЮ "АМУР ЗОЛОТО"</t>
        </is>
      </c>
      <c r="F1647" s="1" t="inlineStr">
        <is>
          <t>2708001686</t>
        </is>
      </c>
      <c r="G1647" s="1" t="inlineStr">
        <is>
          <t>Кухонный рабочий</t>
        </is>
      </c>
      <c r="H1647" s="1" t="inlineStr">
        <is>
          <t>ООО "Амур Золото"</t>
        </is>
      </c>
      <c r="I1647" s="1" t="inlineStr">
        <is>
          <t>2708001686</t>
        </is>
      </c>
      <c r="J1647" s="1" t="inlineStr">
        <is>
          <t>ОТ № ЮГОК СТ 24-04</t>
        </is>
      </c>
      <c r="K1647" s="1" t="inlineStr">
        <is>
          <t>Использование (применение) средств индивидуальной защиты</t>
        </is>
      </c>
      <c r="L1647" s="1" t="inlineStr">
        <is>
          <t>13.11.2024</t>
        </is>
      </c>
      <c r="M1647" s="1" t="inlineStr">
        <is>
          <t>Успешно</t>
        </is>
      </c>
      <c r="N1647" s="1" t="inlineStr">
        <is>
          <t>15.11.2024</t>
        </is>
      </c>
      <c r="O1647" s="1" t="inlineStr"/>
      <c r="P1647" s="1" t="inlineStr"/>
      <c r="Q1647" s="1" t="inlineStr">
        <is>
          <t>Пользовательский интерфейс</t>
        </is>
      </c>
    </row>
    <row r="1648">
      <c r="B1648" s="1" t="inlineStr">
        <is>
          <t>87545015</t>
        </is>
      </c>
      <c r="C1648" s="1" t="inlineStr">
        <is>
          <t>6719954</t>
        </is>
      </c>
      <c r="D1648" t="inlineStr">
        <is>
          <t>работник 500</t>
        </is>
      </c>
      <c r="E1648" s="1" t="inlineStr">
        <is>
          <t>ОБЩЕСТВО С ОГРАНИЧЕННОЙ ОТВЕТСТВЕННОСТЬЮ "АМУР ЗОЛОТО"</t>
        </is>
      </c>
      <c r="F1648" s="1" t="inlineStr">
        <is>
          <t>2708001686</t>
        </is>
      </c>
      <c r="G1648" s="1" t="inlineStr">
        <is>
          <t>Кухонный рабочий</t>
        </is>
      </c>
      <c r="H1648" s="1" t="inlineStr">
        <is>
          <t>ООО "Амур Золото"</t>
        </is>
      </c>
      <c r="I1648" s="1" t="inlineStr">
        <is>
          <t>2708001686</t>
        </is>
      </c>
      <c r="J1648" s="1" t="inlineStr">
        <is>
          <t>ОТ № ЮГОК СТ 24-04</t>
        </is>
      </c>
      <c r="K164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648" s="1" t="inlineStr">
        <is>
          <t>13.11.2024</t>
        </is>
      </c>
      <c r="M1648" s="1" t="inlineStr">
        <is>
          <t>Успешно</t>
        </is>
      </c>
      <c r="N1648" s="1" t="inlineStr">
        <is>
          <t>15.11.2024</t>
        </is>
      </c>
      <c r="O1648" s="1" t="inlineStr"/>
      <c r="P1648" s="1" t="inlineStr"/>
      <c r="Q1648" s="1" t="inlineStr">
        <is>
          <t>Пользовательский интерфейс</t>
        </is>
      </c>
    </row>
    <row r="1649">
      <c r="B1649" s="1" t="inlineStr">
        <is>
          <t>87545016</t>
        </is>
      </c>
      <c r="C1649" s="1" t="inlineStr">
        <is>
          <t>6719954</t>
        </is>
      </c>
      <c r="D1649" t="inlineStr">
        <is>
          <t>работник 501</t>
        </is>
      </c>
      <c r="E1649" s="1" t="inlineStr">
        <is>
          <t>ОБЩЕСТВО С ОГРАНИЧЕННОЙ ОТВЕТСТВЕННОСТЬЮ "АМУР ЗОЛОТО"</t>
        </is>
      </c>
      <c r="F1649" s="1" t="inlineStr">
        <is>
          <t>2708001686</t>
        </is>
      </c>
      <c r="G1649" s="1" t="inlineStr">
        <is>
          <t>Повар</t>
        </is>
      </c>
      <c r="H1649" s="1" t="inlineStr">
        <is>
          <t>ООО "Амур Золото"</t>
        </is>
      </c>
      <c r="I1649" s="1" t="inlineStr">
        <is>
          <t>2708001686</t>
        </is>
      </c>
      <c r="J1649" s="1" t="inlineStr">
        <is>
          <t>ОТ № ЮГОК СТ 24-04</t>
        </is>
      </c>
      <c r="K1649" s="1" t="inlineStr">
        <is>
          <t>Использование (применение) средств индивидуальной защиты</t>
        </is>
      </c>
      <c r="L1649" s="1" t="inlineStr">
        <is>
          <t>13.11.2024</t>
        </is>
      </c>
      <c r="M1649" s="1" t="inlineStr">
        <is>
          <t>Успешно</t>
        </is>
      </c>
      <c r="N1649" s="1" t="inlineStr">
        <is>
          <t>15.11.2024</t>
        </is>
      </c>
      <c r="O1649" s="1" t="inlineStr"/>
      <c r="P1649" s="1" t="inlineStr"/>
      <c r="Q1649" s="1" t="inlineStr">
        <is>
          <t>Пользовательский интерфейс</t>
        </is>
      </c>
    </row>
    <row r="1650">
      <c r="B1650" s="1" t="inlineStr">
        <is>
          <t>87545017</t>
        </is>
      </c>
      <c r="C1650" s="1" t="inlineStr">
        <is>
          <t>6719954</t>
        </is>
      </c>
      <c r="D1650" t="inlineStr">
        <is>
          <t>работник 501</t>
        </is>
      </c>
      <c r="E1650" s="1" t="inlineStr">
        <is>
          <t>ОБЩЕСТВО С ОГРАНИЧЕННОЙ ОТВЕТСТВЕННОСТЬЮ "АМУР ЗОЛОТО"</t>
        </is>
      </c>
      <c r="F1650" s="1" t="inlineStr">
        <is>
          <t>2708001686</t>
        </is>
      </c>
      <c r="G1650" s="1" t="inlineStr">
        <is>
          <t>Повар</t>
        </is>
      </c>
      <c r="H1650" s="1" t="inlineStr">
        <is>
          <t>ООО "Амур Золото"</t>
        </is>
      </c>
      <c r="I1650" s="1" t="inlineStr">
        <is>
          <t>2708001686</t>
        </is>
      </c>
      <c r="J1650" s="1" t="inlineStr">
        <is>
          <t>ОТ № ЮГОК СТ 24-04</t>
        </is>
      </c>
      <c r="K165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650" s="1" t="inlineStr">
        <is>
          <t>13.11.2024</t>
        </is>
      </c>
      <c r="M1650" s="1" t="inlineStr">
        <is>
          <t>Успешно</t>
        </is>
      </c>
      <c r="N1650" s="1" t="inlineStr">
        <is>
          <t>15.11.2024</t>
        </is>
      </c>
      <c r="O1650" s="1" t="inlineStr"/>
      <c r="P1650" s="1" t="inlineStr"/>
      <c r="Q1650" s="1" t="inlineStr">
        <is>
          <t>Пользовательский интерфейс</t>
        </is>
      </c>
    </row>
    <row r="1651">
      <c r="B1651" s="1" t="inlineStr">
        <is>
          <t>87545018</t>
        </is>
      </c>
      <c r="C1651" s="1" t="inlineStr">
        <is>
          <t>6719954</t>
        </is>
      </c>
      <c r="D1651" t="inlineStr">
        <is>
          <t>работник 502</t>
        </is>
      </c>
      <c r="E1651" s="1" t="inlineStr">
        <is>
          <t>ОБЩЕСТВО С ОГРАНИЧЕННОЙ ОТВЕТСТВЕННОСТЬЮ "АМУР ЗОЛОТО"</t>
        </is>
      </c>
      <c r="F1651" s="1" t="inlineStr">
        <is>
          <t>2708001686</t>
        </is>
      </c>
      <c r="G1651" s="1" t="inlineStr">
        <is>
          <t>Кухонный рабочий</t>
        </is>
      </c>
      <c r="H1651" s="1" t="inlineStr">
        <is>
          <t>ООО "Амур Золото"</t>
        </is>
      </c>
      <c r="I1651" s="1" t="inlineStr">
        <is>
          <t>2708001686</t>
        </is>
      </c>
      <c r="J1651" s="1" t="inlineStr">
        <is>
          <t>ОТ № ЮГОК СТ 24-04</t>
        </is>
      </c>
      <c r="K1651" s="1" t="inlineStr">
        <is>
          <t>Использование (применение) средств индивидуальной защиты</t>
        </is>
      </c>
      <c r="L1651" s="1" t="inlineStr">
        <is>
          <t>13.11.2024</t>
        </is>
      </c>
      <c r="M1651" s="1" t="inlineStr">
        <is>
          <t>Успешно</t>
        </is>
      </c>
      <c r="N1651" s="1" t="inlineStr">
        <is>
          <t>15.11.2024</t>
        </is>
      </c>
      <c r="O1651" s="1" t="inlineStr"/>
      <c r="P1651" s="1" t="inlineStr"/>
      <c r="Q1651" s="1" t="inlineStr">
        <is>
          <t>Пользовательский интерфейс</t>
        </is>
      </c>
    </row>
    <row r="1652">
      <c r="B1652" s="1" t="inlineStr">
        <is>
          <t>87545019</t>
        </is>
      </c>
      <c r="C1652" s="1" t="inlineStr">
        <is>
          <t>6719954</t>
        </is>
      </c>
      <c r="D1652" t="inlineStr">
        <is>
          <t>работник 502</t>
        </is>
      </c>
      <c r="E1652" s="1" t="inlineStr">
        <is>
          <t>ОБЩЕСТВО С ОГРАНИЧЕННОЙ ОТВЕТСТВЕННОСТЬЮ "АМУР ЗОЛОТО"</t>
        </is>
      </c>
      <c r="F1652" s="1" t="inlineStr">
        <is>
          <t>2708001686</t>
        </is>
      </c>
      <c r="G1652" s="1" t="inlineStr">
        <is>
          <t>Кухонный рабочий</t>
        </is>
      </c>
      <c r="H1652" s="1" t="inlineStr">
        <is>
          <t>ООО "Амур Золото"</t>
        </is>
      </c>
      <c r="I1652" s="1" t="inlineStr">
        <is>
          <t>2708001686</t>
        </is>
      </c>
      <c r="J1652" s="1" t="inlineStr">
        <is>
          <t>ОТ № ЮГОК СТ 24-04</t>
        </is>
      </c>
      <c r="K165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652" s="1" t="inlineStr">
        <is>
          <t>13.11.2024</t>
        </is>
      </c>
      <c r="M1652" s="1" t="inlineStr">
        <is>
          <t>Успешно</t>
        </is>
      </c>
      <c r="N1652" s="1" t="inlineStr">
        <is>
          <t>15.11.2024</t>
        </is>
      </c>
      <c r="O1652" s="1" t="inlineStr"/>
      <c r="P1652" s="1" t="inlineStr"/>
      <c r="Q1652" s="1" t="inlineStr">
        <is>
          <t>Пользовательский интерфейс</t>
        </is>
      </c>
    </row>
    <row r="1653">
      <c r="B1653" s="1" t="inlineStr">
        <is>
          <t>90580083</t>
        </is>
      </c>
      <c r="C1653" s="1" t="inlineStr">
        <is>
          <t>6934388</t>
        </is>
      </c>
      <c r="D1653" t="inlineStr">
        <is>
          <t>работник 503</t>
        </is>
      </c>
      <c r="E1653" s="1" t="inlineStr">
        <is>
          <t>ОБЩЕСТВО С ОГРАНИЧЕННОЙ ОТВЕТСТВЕННОСТЬЮ "АМУР ЗОЛОТО"</t>
        </is>
      </c>
      <c r="F1653" s="1" t="inlineStr">
        <is>
          <t>2708001686</t>
        </is>
      </c>
      <c r="G1653" s="1" t="inlineStr">
        <is>
          <t>Аппаратчик-гидрометаллург</t>
        </is>
      </c>
      <c r="H1653" s="1" t="inlineStr">
        <is>
          <t>ООО "Амур Золото"</t>
        </is>
      </c>
      <c r="I1653" s="1" t="inlineStr">
        <is>
          <t>2708001686</t>
        </is>
      </c>
      <c r="J1653" s="1" t="inlineStr">
        <is>
          <t>ОТ № ЮГОК ЗИОФ 24-36</t>
        </is>
      </c>
      <c r="K1653" s="1" t="inlineStr">
        <is>
          <t>Использование (применение) средств индивидуальной защиты</t>
        </is>
      </c>
      <c r="L1653" s="1" t="inlineStr">
        <is>
          <t>25.11.2024</t>
        </is>
      </c>
      <c r="M1653" s="1" t="inlineStr">
        <is>
          <t>Успешно</t>
        </is>
      </c>
      <c r="N1653" s="1" t="inlineStr">
        <is>
          <t>02.12.2024</t>
        </is>
      </c>
      <c r="O1653" s="1" t="inlineStr"/>
      <c r="P1653" s="1" t="inlineStr"/>
      <c r="Q1653" s="1" t="inlineStr">
        <is>
          <t>Пользовательский интерфейс</t>
        </is>
      </c>
    </row>
    <row r="1654">
      <c r="B1654" s="1" t="inlineStr">
        <is>
          <t>90580084</t>
        </is>
      </c>
      <c r="C1654" s="1" t="inlineStr">
        <is>
          <t>6934388</t>
        </is>
      </c>
      <c r="D1654" t="inlineStr">
        <is>
          <t>работник 503</t>
        </is>
      </c>
      <c r="E1654" s="1" t="inlineStr">
        <is>
          <t>ОБЩЕСТВО С ОГРАНИЧЕННОЙ ОТВЕТСТВЕННОСТЬЮ "АМУР ЗОЛОТО"</t>
        </is>
      </c>
      <c r="F1654" s="1" t="inlineStr">
        <is>
          <t>2708001686</t>
        </is>
      </c>
      <c r="G1654" s="1" t="inlineStr">
        <is>
          <t>Аппаратчик-гидрометаллург</t>
        </is>
      </c>
      <c r="H1654" s="1" t="inlineStr">
        <is>
          <t>ООО "Амур Золото"</t>
        </is>
      </c>
      <c r="I1654" s="1" t="inlineStr">
        <is>
          <t>2708001686</t>
        </is>
      </c>
      <c r="J1654" s="1" t="inlineStr">
        <is>
          <t>ОТ № ЮГОК ЗИОФ 24-36</t>
        </is>
      </c>
      <c r="K165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654" s="1" t="inlineStr">
        <is>
          <t>25.11.2024</t>
        </is>
      </c>
      <c r="M1654" s="1" t="inlineStr">
        <is>
          <t>Успешно</t>
        </is>
      </c>
      <c r="N1654" s="1" t="inlineStr">
        <is>
          <t>02.12.2024</t>
        </is>
      </c>
      <c r="O1654" s="1" t="inlineStr"/>
      <c r="P1654" s="1" t="inlineStr"/>
      <c r="Q1654" s="1" t="inlineStr">
        <is>
          <t>Пользовательский интерфейс</t>
        </is>
      </c>
    </row>
    <row r="1655">
      <c r="B1655" s="1" t="inlineStr">
        <is>
          <t>90580085</t>
        </is>
      </c>
      <c r="C1655" s="1" t="inlineStr">
        <is>
          <t>6934388</t>
        </is>
      </c>
      <c r="D1655" t="inlineStr">
        <is>
          <t>работник 504</t>
        </is>
      </c>
      <c r="E1655" s="1" t="inlineStr">
        <is>
          <t>ОБЩЕСТВО С ОГРАНИЧЕННОЙ ОТВЕТСТВЕННОСТЬЮ "АМУР ЗОЛОТО"</t>
        </is>
      </c>
      <c r="F1655" s="1" t="inlineStr">
        <is>
          <t>2708001686</t>
        </is>
      </c>
      <c r="G1655" s="1" t="inlineStr">
        <is>
          <t>Электрогазосварщик</t>
        </is>
      </c>
      <c r="H1655" s="1" t="inlineStr">
        <is>
          <t>ООО "Амур Золото"</t>
        </is>
      </c>
      <c r="I1655" s="1" t="inlineStr">
        <is>
          <t>2708001686</t>
        </is>
      </c>
      <c r="J1655" s="1" t="inlineStr">
        <is>
          <t>ОТ № ЮГОК ЗИОФ 24-36</t>
        </is>
      </c>
      <c r="K1655" s="1" t="inlineStr">
        <is>
          <t>Использование (применение) средств индивидуальной защиты</t>
        </is>
      </c>
      <c r="L1655" s="1" t="inlineStr">
        <is>
          <t>25.11.2024</t>
        </is>
      </c>
      <c r="M1655" s="1" t="inlineStr">
        <is>
          <t>Успешно</t>
        </is>
      </c>
      <c r="N1655" s="1" t="inlineStr">
        <is>
          <t>02.12.2024</t>
        </is>
      </c>
      <c r="O1655" s="1" t="inlineStr"/>
      <c r="P1655" s="1" t="inlineStr"/>
      <c r="Q1655" s="1" t="inlineStr">
        <is>
          <t>Пользовательский интерфейс</t>
        </is>
      </c>
    </row>
    <row r="1656">
      <c r="B1656" s="1" t="inlineStr">
        <is>
          <t>90580086</t>
        </is>
      </c>
      <c r="C1656" s="1" t="inlineStr">
        <is>
          <t>6934388</t>
        </is>
      </c>
      <c r="D1656" t="inlineStr">
        <is>
          <t>работник 504</t>
        </is>
      </c>
      <c r="E1656" s="1" t="inlineStr">
        <is>
          <t>ОБЩЕСТВО С ОГРАНИЧЕННОЙ ОТВЕТСТВЕННОСТЬЮ "АМУР ЗОЛОТО"</t>
        </is>
      </c>
      <c r="F1656" s="1" t="inlineStr">
        <is>
          <t>2708001686</t>
        </is>
      </c>
      <c r="G1656" s="1" t="inlineStr">
        <is>
          <t>Электрогазосварщик</t>
        </is>
      </c>
      <c r="H1656" s="1" t="inlineStr">
        <is>
          <t>ООО "Амур Золото"</t>
        </is>
      </c>
      <c r="I1656" s="1" t="inlineStr">
        <is>
          <t>2708001686</t>
        </is>
      </c>
      <c r="J1656" s="1" t="inlineStr">
        <is>
          <t>ОТ № ЮГОК ЗИОФ 24-36</t>
        </is>
      </c>
      <c r="K165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656" s="1" t="inlineStr">
        <is>
          <t>25.11.2024</t>
        </is>
      </c>
      <c r="M1656" s="1" t="inlineStr">
        <is>
          <t>Успешно</t>
        </is>
      </c>
      <c r="N1656" s="1" t="inlineStr">
        <is>
          <t>02.12.2024</t>
        </is>
      </c>
      <c r="O1656" s="1" t="inlineStr"/>
      <c r="P1656" s="1" t="inlineStr"/>
      <c r="Q1656" s="1" t="inlineStr">
        <is>
          <t>Пользовательский интерфейс</t>
        </is>
      </c>
    </row>
    <row r="1657">
      <c r="B1657" s="1" t="inlineStr">
        <is>
          <t>90580087</t>
        </is>
      </c>
      <c r="C1657" s="1" t="inlineStr">
        <is>
          <t>6934388</t>
        </is>
      </c>
      <c r="D1657" t="inlineStr">
        <is>
          <t>работник 435</t>
        </is>
      </c>
      <c r="E1657" s="1" t="inlineStr">
        <is>
          <t>ОБЩЕСТВО С ОГРАНИЧЕННОЙ ОТВЕТСТВЕННОСТЬЮ "АМУР ЗОЛОТО"</t>
        </is>
      </c>
      <c r="F1657" s="1" t="inlineStr">
        <is>
          <t>2708001686</t>
        </is>
      </c>
      <c r="G1657" s="1" t="inlineStr">
        <is>
          <t>Дробильщик</t>
        </is>
      </c>
      <c r="H1657" s="1" t="inlineStr">
        <is>
          <t>ООО "Амур Золото"</t>
        </is>
      </c>
      <c r="I1657" s="1" t="inlineStr">
        <is>
          <t>2708001686</t>
        </is>
      </c>
      <c r="J1657" s="1" t="inlineStr">
        <is>
          <t>ОТ № ЮГОК ЗИОФ 24-38</t>
        </is>
      </c>
      <c r="K165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657" s="1" t="inlineStr">
        <is>
          <t>25.11.2024</t>
        </is>
      </c>
      <c r="M1657" s="1" t="inlineStr">
        <is>
          <t>Успешно</t>
        </is>
      </c>
      <c r="N1657" s="1" t="inlineStr">
        <is>
          <t>02.12.2024</t>
        </is>
      </c>
      <c r="O1657" s="1" t="inlineStr"/>
      <c r="P1657" s="1" t="inlineStr"/>
      <c r="Q1657" s="1" t="inlineStr">
        <is>
          <t>Пользовательский интерфейс</t>
        </is>
      </c>
    </row>
    <row r="1658">
      <c r="B1658" s="1" t="inlineStr">
        <is>
          <t>90580088</t>
        </is>
      </c>
      <c r="C1658" s="1" t="inlineStr">
        <is>
          <t>6934388</t>
        </is>
      </c>
      <c r="D1658" t="inlineStr">
        <is>
          <t>работник 436</t>
        </is>
      </c>
      <c r="E1658" s="1" t="inlineStr">
        <is>
          <t>ОБЩЕСТВО С ОГРАНИЧЕННОЙ ОТВЕТСТВЕННОСТЬЮ "АМУР ЗОЛОТО"</t>
        </is>
      </c>
      <c r="F1658" s="1" t="inlineStr">
        <is>
          <t>2708001686</t>
        </is>
      </c>
      <c r="G1658" s="1" t="inlineStr">
        <is>
          <t>Дробильщик</t>
        </is>
      </c>
      <c r="H1658" s="1" t="inlineStr">
        <is>
          <t>ООО "Амур Золото"</t>
        </is>
      </c>
      <c r="I1658" s="1" t="inlineStr">
        <is>
          <t>2708001686</t>
        </is>
      </c>
      <c r="J1658" s="1" t="inlineStr">
        <is>
          <t>ОТ № ЮГОК ЗИОФ 24-38</t>
        </is>
      </c>
      <c r="K165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658" s="1" t="inlineStr">
        <is>
          <t>25.11.2024</t>
        </is>
      </c>
      <c r="M1658" s="1" t="inlineStr">
        <is>
          <t>Успешно</t>
        </is>
      </c>
      <c r="N1658" s="1" t="inlineStr">
        <is>
          <t>02.12.2024</t>
        </is>
      </c>
      <c r="O1658" s="1" t="inlineStr"/>
      <c r="P1658" s="1" t="inlineStr"/>
      <c r="Q1658" s="1" t="inlineStr">
        <is>
          <t>Пользовательский интерфейс</t>
        </is>
      </c>
    </row>
    <row r="1659">
      <c r="B1659" s="1" t="inlineStr">
        <is>
          <t>90580089</t>
        </is>
      </c>
      <c r="C1659" s="1" t="inlineStr">
        <is>
          <t>6934388</t>
        </is>
      </c>
      <c r="D1659" t="inlineStr">
        <is>
          <t>работник 505</t>
        </is>
      </c>
      <c r="E1659" s="1" t="inlineStr">
        <is>
          <t>ОБЩЕСТВО С ОГРАНИЧЕННОЙ ОТВЕТСТВЕННОСТЬЮ "АМУР ЗОЛОТО"</t>
        </is>
      </c>
      <c r="F1659" s="1" t="inlineStr">
        <is>
          <t>2708001686</t>
        </is>
      </c>
      <c r="G1659" s="1" t="inlineStr">
        <is>
          <t>Инженер-исследователь</t>
        </is>
      </c>
      <c r="H1659" s="1" t="inlineStr">
        <is>
          <t>ООО "Амур Золото"</t>
        </is>
      </c>
      <c r="I1659" s="1" t="inlineStr">
        <is>
          <t>2708001686</t>
        </is>
      </c>
      <c r="J1659" s="1" t="inlineStr">
        <is>
          <t>ОТ № ЮГОК ЗИОФ 24-38</t>
        </is>
      </c>
      <c r="K165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659" s="1" t="inlineStr">
        <is>
          <t>25.11.2024</t>
        </is>
      </c>
      <c r="M1659" s="1" t="inlineStr">
        <is>
          <t>Успешно</t>
        </is>
      </c>
      <c r="N1659" s="1" t="inlineStr">
        <is>
          <t>02.12.2024</t>
        </is>
      </c>
      <c r="O1659" s="1" t="inlineStr"/>
      <c r="P1659" s="1" t="inlineStr"/>
      <c r="Q1659" s="1" t="inlineStr">
        <is>
          <t>Пользовательский интерфейс</t>
        </is>
      </c>
    </row>
    <row r="1660">
      <c r="B1660" s="1" t="inlineStr">
        <is>
          <t>90580090</t>
        </is>
      </c>
      <c r="C1660" s="1" t="inlineStr">
        <is>
          <t>6934388</t>
        </is>
      </c>
      <c r="D1660" t="inlineStr">
        <is>
          <t>работник 431</t>
        </is>
      </c>
      <c r="E1660" s="1" t="inlineStr">
        <is>
          <t>ОБЩЕСТВО С ОГРАНИЧЕННОЙ ОТВЕТСТВЕННОСТЬЮ "АМУР ЗОЛОТО"</t>
        </is>
      </c>
      <c r="F1660" s="1" t="inlineStr">
        <is>
          <t>2708001686</t>
        </is>
      </c>
      <c r="G1660" s="1" t="inlineStr">
        <is>
          <t>Аппаратчик-гидрометаллург</t>
        </is>
      </c>
      <c r="H1660" s="1" t="inlineStr">
        <is>
          <t>ООО "Амур Золото"</t>
        </is>
      </c>
      <c r="I1660" s="1" t="inlineStr">
        <is>
          <t>2708001686</t>
        </is>
      </c>
      <c r="J1660" s="1" t="inlineStr">
        <is>
          <t>ОТ № ЮГОК ЗИОФ 24-38</t>
        </is>
      </c>
      <c r="K166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660" s="1" t="inlineStr">
        <is>
          <t>25.11.2024</t>
        </is>
      </c>
      <c r="M1660" s="1" t="inlineStr">
        <is>
          <t>Успешно</t>
        </is>
      </c>
      <c r="N1660" s="1" t="inlineStr">
        <is>
          <t>02.12.2024</t>
        </is>
      </c>
      <c r="O1660" s="1" t="inlineStr"/>
      <c r="P1660" s="1" t="inlineStr"/>
      <c r="Q1660" s="1" t="inlineStr">
        <is>
          <t>Пользовательский интерфейс</t>
        </is>
      </c>
    </row>
    <row r="1661">
      <c r="B1661" s="1" t="inlineStr">
        <is>
          <t>90580091</t>
        </is>
      </c>
      <c r="C1661" s="1" t="inlineStr">
        <is>
          <t>6934388</t>
        </is>
      </c>
      <c r="D1661" t="inlineStr">
        <is>
          <t>работник 427</t>
        </is>
      </c>
      <c r="E1661" s="1" t="inlineStr">
        <is>
          <t>ОБЩЕСТВО С ОГРАНИЧЕННОЙ ОТВЕТСТВЕННОСТЬЮ "АМУР ЗОЛОТО"</t>
        </is>
      </c>
      <c r="F1661" s="1" t="inlineStr">
        <is>
          <t>2708001686</t>
        </is>
      </c>
      <c r="G1661" s="1" t="inlineStr">
        <is>
          <t>Аппаратчик-гидрометаллург</t>
        </is>
      </c>
      <c r="H1661" s="1" t="inlineStr">
        <is>
          <t>ООО "Амур Золото"</t>
        </is>
      </c>
      <c r="I1661" s="1" t="inlineStr">
        <is>
          <t>2708001686</t>
        </is>
      </c>
      <c r="J1661" s="1" t="inlineStr">
        <is>
          <t>ОТ № ЮГОК ЗИОФ 24-38</t>
        </is>
      </c>
      <c r="K166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661" s="1" t="inlineStr">
        <is>
          <t>25.11.2024</t>
        </is>
      </c>
      <c r="M1661" s="1" t="inlineStr">
        <is>
          <t>Успешно</t>
        </is>
      </c>
      <c r="N1661" s="1" t="inlineStr">
        <is>
          <t>02.12.2024</t>
        </is>
      </c>
      <c r="O1661" s="1" t="inlineStr"/>
      <c r="P1661" s="1" t="inlineStr"/>
      <c r="Q1661" s="1" t="inlineStr">
        <is>
          <t>Пользовательский интерфейс</t>
        </is>
      </c>
    </row>
    <row r="1662">
      <c r="B1662" s="1" t="inlineStr">
        <is>
          <t>90580092</t>
        </is>
      </c>
      <c r="C1662" s="1" t="inlineStr">
        <is>
          <t>6934388</t>
        </is>
      </c>
      <c r="D1662" t="inlineStr">
        <is>
          <t>работник 430</t>
        </is>
      </c>
      <c r="E1662" s="1" t="inlineStr">
        <is>
          <t>ОБЩЕСТВО С ОГРАНИЧЕННОЙ ОТВЕТСТВЕННОСТЬЮ "АМУР ЗОЛОТО"</t>
        </is>
      </c>
      <c r="F1662" s="1" t="inlineStr">
        <is>
          <t>2708001686</t>
        </is>
      </c>
      <c r="G1662" s="1" t="inlineStr">
        <is>
          <t>Машинист мельницы</t>
        </is>
      </c>
      <c r="H1662" s="1" t="inlineStr">
        <is>
          <t>ООО "Амур Золото"</t>
        </is>
      </c>
      <c r="I1662" s="1" t="inlineStr">
        <is>
          <t>2708001686</t>
        </is>
      </c>
      <c r="J1662" s="1" t="inlineStr">
        <is>
          <t>ОТ № ЮГОК ЗИОФ 24-38</t>
        </is>
      </c>
      <c r="K166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662" s="1" t="inlineStr">
        <is>
          <t>25.11.2024</t>
        </is>
      </c>
      <c r="M1662" s="1" t="inlineStr">
        <is>
          <t>Успешно</t>
        </is>
      </c>
      <c r="N1662" s="1" t="inlineStr">
        <is>
          <t>02.12.2024</t>
        </is>
      </c>
      <c r="O1662" s="1" t="inlineStr"/>
      <c r="P1662" s="1" t="inlineStr"/>
      <c r="Q1662" s="1" t="inlineStr">
        <is>
          <t>Пользовательский интерфейс</t>
        </is>
      </c>
    </row>
    <row r="1663">
      <c r="B1663" s="1" t="inlineStr">
        <is>
          <t>90580093</t>
        </is>
      </c>
      <c r="C1663" s="1" t="inlineStr">
        <is>
          <t>6934388</t>
        </is>
      </c>
      <c r="D1663" t="inlineStr">
        <is>
          <t>работник 437</t>
        </is>
      </c>
      <c r="E1663" s="1" t="inlineStr">
        <is>
          <t>ОБЩЕСТВО С ОГРАНИЧЕННОЙ ОТВЕТСТВЕННОСТЬЮ "АМУР ЗОЛОТО"</t>
        </is>
      </c>
      <c r="F1663" s="1" t="inlineStr">
        <is>
          <t>2708001686</t>
        </is>
      </c>
      <c r="G1663" s="1" t="inlineStr">
        <is>
          <t>Растворщик реагентов</t>
        </is>
      </c>
      <c r="H1663" s="1" t="inlineStr">
        <is>
          <t>ООО "Амур Золото"</t>
        </is>
      </c>
      <c r="I1663" s="1" t="inlineStr">
        <is>
          <t>2708001686</t>
        </is>
      </c>
      <c r="J1663" s="1" t="inlineStr">
        <is>
          <t>ОТ № ЮГОК ЗИОФ 24-38</t>
        </is>
      </c>
      <c r="K166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663" s="1" t="inlineStr">
        <is>
          <t>25.11.2024</t>
        </is>
      </c>
      <c r="M1663" s="1" t="inlineStr">
        <is>
          <t>Успешно</t>
        </is>
      </c>
      <c r="N1663" s="1" t="inlineStr">
        <is>
          <t>02.12.2024</t>
        </is>
      </c>
      <c r="O1663" s="1" t="inlineStr"/>
      <c r="P1663" s="1" t="inlineStr"/>
      <c r="Q1663" s="1" t="inlineStr">
        <is>
          <t>Пользовательский интерфейс</t>
        </is>
      </c>
    </row>
    <row r="1664">
      <c r="B1664" s="1" t="inlineStr">
        <is>
          <t>90580094</t>
        </is>
      </c>
      <c r="C1664" s="1" t="inlineStr">
        <is>
          <t>6934388</t>
        </is>
      </c>
      <c r="D1664" t="inlineStr">
        <is>
          <t>работник 433</t>
        </is>
      </c>
      <c r="E1664" s="1" t="inlineStr">
        <is>
          <t>ОБЩЕСТВО С ОГРАНИЧЕННОЙ ОТВЕТСТВЕННОСТЬЮ "АМУР ЗОЛОТО"</t>
        </is>
      </c>
      <c r="F1664" s="1" t="inlineStr">
        <is>
          <t>2708001686</t>
        </is>
      </c>
      <c r="G1664" s="1" t="inlineStr">
        <is>
          <t>Плавильщик</t>
        </is>
      </c>
      <c r="H1664" s="1" t="inlineStr">
        <is>
          <t>ООО "Амур Золото"</t>
        </is>
      </c>
      <c r="I1664" s="1" t="inlineStr">
        <is>
          <t>2708001686</t>
        </is>
      </c>
      <c r="J1664" s="1" t="inlineStr">
        <is>
          <t>ОТ № ЮГОК ЗИОФ 24-38</t>
        </is>
      </c>
      <c r="K166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664" s="1" t="inlineStr">
        <is>
          <t>25.11.2024</t>
        </is>
      </c>
      <c r="M1664" s="1" t="inlineStr">
        <is>
          <t>Успешно</t>
        </is>
      </c>
      <c r="N1664" s="1" t="inlineStr">
        <is>
          <t>02.12.2024</t>
        </is>
      </c>
      <c r="O1664" s="1" t="inlineStr"/>
      <c r="P1664" s="1" t="inlineStr"/>
      <c r="Q1664" s="1" t="inlineStr">
        <is>
          <t>Пользовательский интерфейс</t>
        </is>
      </c>
    </row>
    <row r="1665">
      <c r="B1665" s="1" t="inlineStr">
        <is>
          <t>90580095</t>
        </is>
      </c>
      <c r="C1665" s="1" t="inlineStr">
        <is>
          <t>6934388</t>
        </is>
      </c>
      <c r="D1665" t="inlineStr">
        <is>
          <t>работник 23</t>
        </is>
      </c>
      <c r="E1665" s="1" t="inlineStr">
        <is>
          <t>ОБЩЕСТВО С ОГРАНИЧЕННОЙ ОТВЕТСТВЕННОСТЬЮ "АМУР ЗОЛОТО"</t>
        </is>
      </c>
      <c r="F1665" s="1" t="inlineStr">
        <is>
          <t>2708001686</t>
        </is>
      </c>
      <c r="G1665" s="1" t="inlineStr">
        <is>
          <t>Слесарь-ремонтник ( по ремонту обогатительного оборудования)</t>
        </is>
      </c>
      <c r="H1665" s="1" t="inlineStr">
        <is>
          <t>ООО "Амур Золото"</t>
        </is>
      </c>
      <c r="I1665" s="1" t="inlineStr">
        <is>
          <t>2708001686</t>
        </is>
      </c>
      <c r="J1665" s="1" t="inlineStr">
        <is>
          <t>ОТ № ЮГОК ЗИОФ 24-38</t>
        </is>
      </c>
      <c r="K166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665" s="1" t="inlineStr">
        <is>
          <t>25.11.2024</t>
        </is>
      </c>
      <c r="M1665" s="1" t="inlineStr">
        <is>
          <t>Успешно</t>
        </is>
      </c>
      <c r="N1665" s="1" t="inlineStr">
        <is>
          <t>02.12.2024</t>
        </is>
      </c>
      <c r="O1665" s="1" t="inlineStr"/>
      <c r="P1665" s="1" t="inlineStr"/>
      <c r="Q1665" s="1" t="inlineStr">
        <is>
          <t>Пользовательский интерфейс</t>
        </is>
      </c>
    </row>
    <row r="1666">
      <c r="B1666" s="1" t="inlineStr">
        <is>
          <t>90580096</t>
        </is>
      </c>
      <c r="C1666" s="1" t="inlineStr">
        <is>
          <t>6934388</t>
        </is>
      </c>
      <c r="D1666" t="inlineStr">
        <is>
          <t>работник 24</t>
        </is>
      </c>
      <c r="E1666" s="1" t="inlineStr">
        <is>
          <t>ОБЩЕСТВО С ОГРАНИЧЕННОЙ ОТВЕТСТВЕННОСТЬЮ "АМУР ЗОЛОТО"</t>
        </is>
      </c>
      <c r="F1666" s="1" t="inlineStr">
        <is>
          <t>2708001686</t>
        </is>
      </c>
      <c r="G1666" s="1" t="inlineStr">
        <is>
          <t>Слесарь-ремонтник ( по ремонту обогатительного оборудования)</t>
        </is>
      </c>
      <c r="H1666" s="1" t="inlineStr">
        <is>
          <t>ООО "Амур Золото"</t>
        </is>
      </c>
      <c r="I1666" s="1" t="inlineStr">
        <is>
          <t>2708001686</t>
        </is>
      </c>
      <c r="J1666" s="1" t="inlineStr">
        <is>
          <t>ОТ № ЮГОК ЗИОФ 24-38</t>
        </is>
      </c>
      <c r="K166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666" s="1" t="inlineStr">
        <is>
          <t>25.11.2024</t>
        </is>
      </c>
      <c r="M1666" s="1" t="inlineStr">
        <is>
          <t>Успешно</t>
        </is>
      </c>
      <c r="N1666" s="1" t="inlineStr">
        <is>
          <t>02.12.2024</t>
        </is>
      </c>
      <c r="O1666" s="1" t="inlineStr"/>
      <c r="P1666" s="1" t="inlineStr"/>
      <c r="Q1666" s="1" t="inlineStr">
        <is>
          <t>Пользовательский интерфейс</t>
        </is>
      </c>
    </row>
    <row r="1667">
      <c r="B1667" s="1" t="inlineStr">
        <is>
          <t>90580097</t>
        </is>
      </c>
      <c r="C1667" s="1" t="inlineStr">
        <is>
          <t>6934388</t>
        </is>
      </c>
      <c r="D1667" t="inlineStr">
        <is>
          <t>работник 26</t>
        </is>
      </c>
      <c r="E1667" s="1" t="inlineStr">
        <is>
          <t>ОБЩЕСТВО С ОГРАНИЧЕННОЙ ОТВЕТСТВЕННОСТЬЮ "АМУР ЗОЛОТО"</t>
        </is>
      </c>
      <c r="F1667" s="1" t="inlineStr">
        <is>
          <t>2708001686</t>
        </is>
      </c>
      <c r="G1667" s="1" t="inlineStr">
        <is>
          <t>Электрогазосварщик (занятый на резке и ручной сварке)</t>
        </is>
      </c>
      <c r="H1667" s="1" t="inlineStr">
        <is>
          <t>ООО "Амур Золото"</t>
        </is>
      </c>
      <c r="I1667" s="1" t="inlineStr">
        <is>
          <t>2708001686</t>
        </is>
      </c>
      <c r="J1667" s="1" t="inlineStr">
        <is>
          <t>ОТ № ЮГОК ЗИОФ 24-38</t>
        </is>
      </c>
      <c r="K166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667" s="1" t="inlineStr">
        <is>
          <t>25.11.2024</t>
        </is>
      </c>
      <c r="M1667" s="1" t="inlineStr">
        <is>
          <t>Успешно</t>
        </is>
      </c>
      <c r="N1667" s="1" t="inlineStr">
        <is>
          <t>02.12.2024</t>
        </is>
      </c>
      <c r="O1667" s="1" t="inlineStr"/>
      <c r="P1667" s="1" t="inlineStr"/>
      <c r="Q1667" s="1" t="inlineStr">
        <is>
          <t>Пользовательский интерфейс</t>
        </is>
      </c>
    </row>
    <row r="1668">
      <c r="B1668" s="1" t="inlineStr">
        <is>
          <t>90580098</t>
        </is>
      </c>
      <c r="C1668" s="1" t="inlineStr">
        <is>
          <t>6934388</t>
        </is>
      </c>
      <c r="D1668" t="inlineStr">
        <is>
          <t>работник 31</t>
        </is>
      </c>
      <c r="E1668" s="1" t="inlineStr">
        <is>
          <t>ОБЩЕСТВО С ОГРАНИЧЕННОЙ ОТВЕТСТВЕННОСТЬЮ "АМУР ЗОЛОТО"</t>
        </is>
      </c>
      <c r="F1668" s="1" t="inlineStr">
        <is>
          <t>2708001686</t>
        </is>
      </c>
      <c r="G1668" s="1" t="inlineStr">
        <is>
          <t>Электромонтер по ремонту и обслуживанию электрооборудования</t>
        </is>
      </c>
      <c r="H1668" s="1" t="inlineStr">
        <is>
          <t>ООО "Амур Золото"</t>
        </is>
      </c>
      <c r="I1668" s="1" t="inlineStr">
        <is>
          <t>2708001686</t>
        </is>
      </c>
      <c r="J1668" s="1" t="inlineStr">
        <is>
          <t>ОТ № ЮГОК ЗИОФ 24-38</t>
        </is>
      </c>
      <c r="K166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668" s="1" t="inlineStr">
        <is>
          <t>25.11.2024</t>
        </is>
      </c>
      <c r="M1668" s="1" t="inlineStr">
        <is>
          <t>Успешно</t>
        </is>
      </c>
      <c r="N1668" s="1" t="inlineStr">
        <is>
          <t>02.12.2024</t>
        </is>
      </c>
      <c r="O1668" s="1" t="inlineStr"/>
      <c r="P1668" s="1" t="inlineStr"/>
      <c r="Q1668" s="1" t="inlineStr">
        <is>
          <t>Пользовательский интерфейс</t>
        </is>
      </c>
    </row>
    <row r="1669">
      <c r="B1669" s="1" t="inlineStr">
        <is>
          <t>90580099</t>
        </is>
      </c>
      <c r="C1669" s="1" t="inlineStr">
        <is>
          <t>6934388</t>
        </is>
      </c>
      <c r="D1669" t="inlineStr">
        <is>
          <t>работник 32</t>
        </is>
      </c>
      <c r="E1669" s="1" t="inlineStr">
        <is>
          <t>ОБЩЕСТВО С ОГРАНИЧЕННОЙ ОТВЕТСТВЕННОСТЬЮ "АМУР ЗОЛОТО"</t>
        </is>
      </c>
      <c r="F1669" s="1" t="inlineStr">
        <is>
          <t>2708001686</t>
        </is>
      </c>
      <c r="G1669" s="1" t="inlineStr">
        <is>
          <t>Электромонтер по ремонту и обслуживанию электрооборудования</t>
        </is>
      </c>
      <c r="H1669" s="1" t="inlineStr">
        <is>
          <t>ООО "Амур Золото"</t>
        </is>
      </c>
      <c r="I1669" s="1" t="inlineStr">
        <is>
          <t>2708001686</t>
        </is>
      </c>
      <c r="J1669" s="1" t="inlineStr">
        <is>
          <t>ОТ № ЮГОК ЗИОФ 24-38</t>
        </is>
      </c>
      <c r="K166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669" s="1" t="inlineStr">
        <is>
          <t>25.11.2024</t>
        </is>
      </c>
      <c r="M1669" s="1" t="inlineStr">
        <is>
          <t>Успешно</t>
        </is>
      </c>
      <c r="N1669" s="1" t="inlineStr">
        <is>
          <t>02.12.2024</t>
        </is>
      </c>
      <c r="O1669" s="1" t="inlineStr"/>
      <c r="P1669" s="1" t="inlineStr"/>
      <c r="Q1669" s="1" t="inlineStr">
        <is>
          <t>Пользовательский интерфейс</t>
        </is>
      </c>
    </row>
    <row r="1670">
      <c r="B1670" s="1" t="inlineStr">
        <is>
          <t>96539060</t>
        </is>
      </c>
      <c r="C1670" s="1" t="inlineStr">
        <is>
          <t>7135797</t>
        </is>
      </c>
      <c r="D1670" t="inlineStr">
        <is>
          <t>работник 94</t>
        </is>
      </c>
      <c r="E1670" s="1" t="inlineStr">
        <is>
          <t>ОБЩЕСТВО С ОГРАНИЧЕННОЙ ОТВЕТСТВЕННОСТЬЮ "АМУР ЗОЛОТО"</t>
        </is>
      </c>
      <c r="F1670" s="1" t="inlineStr">
        <is>
          <t>2708001686</t>
        </is>
      </c>
      <c r="G1670" s="1" t="inlineStr">
        <is>
          <t>Горнорабочий на геологических работах</t>
        </is>
      </c>
      <c r="H1670" s="1" t="inlineStr">
        <is>
          <t>ООО "Амур Золото"</t>
        </is>
      </c>
      <c r="I1670" s="1" t="inlineStr">
        <is>
          <t>2708001686</t>
        </is>
      </c>
      <c r="J1670" s="1" t="inlineStr">
        <is>
          <t>ОТ № ЮГОК ГМО 24-05</t>
        </is>
      </c>
      <c r="K1670" s="1" t="inlineStr">
        <is>
          <t>Использование (применение) средств индивидуальной защиты</t>
        </is>
      </c>
      <c r="L1670" s="1" t="inlineStr">
        <is>
          <t>10.12.2024</t>
        </is>
      </c>
      <c r="M1670" s="1" t="inlineStr">
        <is>
          <t>Успешно</t>
        </is>
      </c>
      <c r="N1670" s="1" t="inlineStr">
        <is>
          <t>28.12.2024</t>
        </is>
      </c>
      <c r="O1670" s="1" t="inlineStr"/>
      <c r="P1670" s="1" t="inlineStr"/>
      <c r="Q1670" s="1" t="inlineStr"/>
    </row>
    <row r="1671">
      <c r="B1671" s="1" t="inlineStr">
        <is>
          <t>96539061</t>
        </is>
      </c>
      <c r="C1671" s="1" t="inlineStr">
        <is>
          <t>7135797</t>
        </is>
      </c>
      <c r="D1671" t="inlineStr">
        <is>
          <t>работник 94</t>
        </is>
      </c>
      <c r="E1671" s="1" t="inlineStr">
        <is>
          <t>ОБЩЕСТВО С ОГРАНИЧЕННОЙ ОТВЕТСТВЕННОСТЬЮ "АМУР ЗОЛОТО"</t>
        </is>
      </c>
      <c r="F1671" s="1" t="inlineStr">
        <is>
          <t>2708001686</t>
        </is>
      </c>
      <c r="G1671" s="1" t="inlineStr">
        <is>
          <t>Горнорабочий на геологических работах</t>
        </is>
      </c>
      <c r="H1671" s="1" t="inlineStr">
        <is>
          <t>ООО "Амур Золото"</t>
        </is>
      </c>
      <c r="I1671" s="1" t="inlineStr">
        <is>
          <t>2708001686</t>
        </is>
      </c>
      <c r="J1671" s="1" t="inlineStr">
        <is>
          <t>ОТ № ЮГОК ГМО 24-05</t>
        </is>
      </c>
      <c r="K167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671" s="1" t="inlineStr">
        <is>
          <t>10.12.2024</t>
        </is>
      </c>
      <c r="M1671" s="1" t="inlineStr">
        <is>
          <t>Успешно</t>
        </is>
      </c>
      <c r="N1671" s="1" t="inlineStr">
        <is>
          <t>28.12.2024</t>
        </is>
      </c>
      <c r="O1671" s="1" t="inlineStr"/>
      <c r="P1671" s="1" t="inlineStr"/>
      <c r="Q1671" s="1" t="inlineStr"/>
    </row>
    <row r="1672">
      <c r="B1672" s="1" t="inlineStr">
        <is>
          <t>96539062</t>
        </is>
      </c>
      <c r="C1672" s="1" t="inlineStr">
        <is>
          <t>7135797</t>
        </is>
      </c>
      <c r="D1672" t="inlineStr">
        <is>
          <t>работник 506</t>
        </is>
      </c>
      <c r="E1672" s="1" t="inlineStr">
        <is>
          <t>ОБЩЕСТВО С ОГРАНИЧЕННОЙ ОТВЕТСТВЕННОСТЬЮ "АМУР ЗОЛОТО"</t>
        </is>
      </c>
      <c r="F1672" s="1" t="inlineStr">
        <is>
          <t>2708001686</t>
        </is>
      </c>
      <c r="G1672" s="1" t="inlineStr">
        <is>
          <t>Филтровальщик</t>
        </is>
      </c>
      <c r="H1672" s="1" t="inlineStr">
        <is>
          <t>ООО "Амур Золото"</t>
        </is>
      </c>
      <c r="I1672" s="1" t="inlineStr">
        <is>
          <t>2708001686</t>
        </is>
      </c>
      <c r="J1672" s="1" t="inlineStr">
        <is>
          <t>ОТ № ЮГОК ЗИОФ 24-39</t>
        </is>
      </c>
      <c r="K1672" s="1" t="inlineStr">
        <is>
          <t>Использование (применение) средств индивидуальной защиты</t>
        </is>
      </c>
      <c r="L1672" s="1" t="inlineStr">
        <is>
          <t>10.12.2024</t>
        </is>
      </c>
      <c r="M1672" s="1" t="inlineStr">
        <is>
          <t>Успешно</t>
        </is>
      </c>
      <c r="N1672" s="1" t="inlineStr">
        <is>
          <t>28.12.2024</t>
        </is>
      </c>
      <c r="O1672" s="1" t="inlineStr"/>
      <c r="P1672" s="1" t="inlineStr"/>
      <c r="Q1672" s="1" t="inlineStr"/>
    </row>
    <row r="1673">
      <c r="B1673" s="1" t="inlineStr">
        <is>
          <t>96539063</t>
        </is>
      </c>
      <c r="C1673" s="1" t="inlineStr">
        <is>
          <t>7135797</t>
        </is>
      </c>
      <c r="D1673" t="inlineStr">
        <is>
          <t>работник 506</t>
        </is>
      </c>
      <c r="E1673" s="1" t="inlineStr">
        <is>
          <t>ОБЩЕСТВО С ОГРАНИЧЕННОЙ ОТВЕТСТВЕННОСТЬЮ "АМУР ЗОЛОТО"</t>
        </is>
      </c>
      <c r="F1673" s="1" t="inlineStr">
        <is>
          <t>2708001686</t>
        </is>
      </c>
      <c r="G1673" s="1" t="inlineStr">
        <is>
          <t>Филтровальщик</t>
        </is>
      </c>
      <c r="H1673" s="1" t="inlineStr">
        <is>
          <t>ООО "Амур Золото"</t>
        </is>
      </c>
      <c r="I1673" s="1" t="inlineStr">
        <is>
          <t>2708001686</t>
        </is>
      </c>
      <c r="J1673" s="1" t="inlineStr">
        <is>
          <t>ОТ № ЮГОК ЗИОФ 24-39</t>
        </is>
      </c>
      <c r="K167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673" s="1" t="inlineStr">
        <is>
          <t>10.12.2024</t>
        </is>
      </c>
      <c r="M1673" s="1" t="inlineStr">
        <is>
          <t>Успешно</t>
        </is>
      </c>
      <c r="N1673" s="1" t="inlineStr">
        <is>
          <t>28.12.2024</t>
        </is>
      </c>
      <c r="O1673" s="1" t="inlineStr"/>
      <c r="P1673" s="1" t="inlineStr"/>
      <c r="Q1673" s="1" t="inlineStr"/>
    </row>
    <row r="1674">
      <c r="B1674" s="1" t="inlineStr">
        <is>
          <t>96539064</t>
        </is>
      </c>
      <c r="C1674" s="1" t="inlineStr">
        <is>
          <t>7135797</t>
        </is>
      </c>
      <c r="D1674" t="inlineStr">
        <is>
          <t>работник 23</t>
        </is>
      </c>
      <c r="E1674" s="1" t="inlineStr">
        <is>
          <t>ОБЩЕСТВО С ОГРАНИЧЕННОЙ ОТВЕТСТВЕННОСТЬЮ "АМУР ЗОЛОТО"</t>
        </is>
      </c>
      <c r="F1674" s="1" t="inlineStr">
        <is>
          <t>2708001686</t>
        </is>
      </c>
      <c r="G1674" s="1" t="inlineStr">
        <is>
          <t>Слесарь-ремонтник</t>
        </is>
      </c>
      <c r="H1674" s="1" t="inlineStr">
        <is>
          <t>ООО "Амур Золото"</t>
        </is>
      </c>
      <c r="I1674" s="1" t="inlineStr">
        <is>
          <t>2708001686</t>
        </is>
      </c>
      <c r="J1674" s="1" t="inlineStr">
        <is>
          <t>ОТ № ЮГОК ЗИОФ 24-40</t>
        </is>
      </c>
      <c r="K1674" s="1" t="inlineStr">
        <is>
          <t>Безопасные методы и приемы выполнения работ при размещении, монтаже, техническом обслуживании и ремонте технологического оборудования (включая технологическое оборудование)</t>
        </is>
      </c>
      <c r="L1674" s="1" t="inlineStr">
        <is>
          <t>10.12.2024</t>
        </is>
      </c>
      <c r="M1674" s="1" t="inlineStr">
        <is>
          <t>Успешно</t>
        </is>
      </c>
      <c r="N1674" s="1" t="inlineStr">
        <is>
          <t>28.12.2024</t>
        </is>
      </c>
      <c r="O1674" s="1" t="inlineStr"/>
      <c r="P1674" s="1" t="inlineStr"/>
      <c r="Q1674" s="1" t="inlineStr"/>
    </row>
    <row r="1675">
      <c r="B1675" s="1" t="inlineStr">
        <is>
          <t>96539065</t>
        </is>
      </c>
      <c r="C1675" s="1" t="inlineStr">
        <is>
          <t>7135797</t>
        </is>
      </c>
      <c r="D1675" t="inlineStr">
        <is>
          <t>работник 23</t>
        </is>
      </c>
      <c r="E1675" s="1" t="inlineStr">
        <is>
          <t>ОБЩЕСТВО С ОГРАНИЧЕННОЙ ОТВЕТСТВЕННОСТЬЮ "АМУР ЗОЛОТО"</t>
        </is>
      </c>
      <c r="F1675" s="1" t="inlineStr">
        <is>
          <t>2708001686</t>
        </is>
      </c>
      <c r="G1675" s="1" t="inlineStr">
        <is>
          <t>Слесарь-ремонтник</t>
        </is>
      </c>
      <c r="H1675" s="1" t="inlineStr">
        <is>
          <t>ООО "Амур Золото"</t>
        </is>
      </c>
      <c r="I1675" s="1" t="inlineStr">
        <is>
          <t>2708001686</t>
        </is>
      </c>
      <c r="J1675" s="1" t="inlineStr">
        <is>
          <t>ОТ № ЮГОК ЗИОФ 24-40</t>
        </is>
      </c>
      <c r="K1675" s="1" t="inlineStr">
        <is>
          <t>Безопасные методы и приемы выполнения работ на высоте</t>
        </is>
      </c>
      <c r="L1675" s="1" t="inlineStr">
        <is>
          <t>10.12.2024</t>
        </is>
      </c>
      <c r="M1675" s="1" t="inlineStr">
        <is>
          <t>Успешно</t>
        </is>
      </c>
      <c r="N1675" s="1" t="inlineStr">
        <is>
          <t>28.12.2024</t>
        </is>
      </c>
      <c r="O1675" s="1" t="inlineStr"/>
      <c r="P1675" s="1" t="inlineStr"/>
      <c r="Q1675" s="1" t="inlineStr"/>
    </row>
    <row r="1676">
      <c r="B1676" s="1" t="inlineStr">
        <is>
          <t>96539066</t>
        </is>
      </c>
      <c r="C1676" s="1" t="inlineStr">
        <is>
          <t>7135797</t>
        </is>
      </c>
      <c r="D1676" t="inlineStr">
        <is>
          <t>работник 23</t>
        </is>
      </c>
      <c r="E1676" s="1" t="inlineStr">
        <is>
          <t>ОБЩЕСТВО С ОГРАНИЧЕННОЙ ОТВЕТСТВЕННОСТЬЮ "АМУР ЗОЛОТО"</t>
        </is>
      </c>
      <c r="F1676" s="1" t="inlineStr">
        <is>
          <t>2708001686</t>
        </is>
      </c>
      <c r="G1676" s="1" t="inlineStr">
        <is>
          <t>Слесарь-ремонтник</t>
        </is>
      </c>
      <c r="H1676" s="1" t="inlineStr">
        <is>
          <t>ООО "Амур Золото"</t>
        </is>
      </c>
      <c r="I1676" s="1" t="inlineStr">
        <is>
          <t>2708001686</t>
        </is>
      </c>
      <c r="J1676" s="1" t="inlineStr">
        <is>
          <t>ОТ № ЮГОК ЗИОФ 24-40</t>
        </is>
      </c>
      <c r="K1676" s="1" t="inlineStr">
        <is>
          <t>Безопасные методы и приемы выполнения работ в ограниченных и замкнутых пространствах (ОЗП)</t>
        </is>
      </c>
      <c r="L1676" s="1" t="inlineStr">
        <is>
          <t>10.12.2024</t>
        </is>
      </c>
      <c r="M1676" s="1" t="inlineStr">
        <is>
          <t>Успешно</t>
        </is>
      </c>
      <c r="N1676" s="1" t="inlineStr">
        <is>
          <t>28.12.2024</t>
        </is>
      </c>
      <c r="O1676" s="1" t="inlineStr"/>
      <c r="P1676" s="1" t="inlineStr"/>
      <c r="Q1676" s="1" t="inlineStr"/>
    </row>
    <row r="1677">
      <c r="B1677" s="1" t="inlineStr">
        <is>
          <t>96539067</t>
        </is>
      </c>
      <c r="C1677" s="1" t="inlineStr">
        <is>
          <t>7135797</t>
        </is>
      </c>
      <c r="D1677" t="inlineStr">
        <is>
          <t>работник 23</t>
        </is>
      </c>
      <c r="E1677" s="1" t="inlineStr">
        <is>
          <t>ОБЩЕСТВО С ОГРАНИЧЕННОЙ ОТВЕТСТВЕННОСТЬЮ "АМУР ЗОЛОТО"</t>
        </is>
      </c>
      <c r="F1677" s="1" t="inlineStr">
        <is>
          <t>2708001686</t>
        </is>
      </c>
      <c r="G1677" s="1" t="inlineStr">
        <is>
          <t>Слесарь-ремонтник</t>
        </is>
      </c>
      <c r="H1677" s="1" t="inlineStr">
        <is>
          <t>ООО "Амур Золото"</t>
        </is>
      </c>
      <c r="I1677" s="1" t="inlineStr">
        <is>
          <t>2708001686</t>
        </is>
      </c>
      <c r="J1677" s="1" t="inlineStr">
        <is>
          <t>ОТ № ЮГОК ЗИОФ 24-40</t>
        </is>
      </c>
      <c r="K1677" s="1" t="inlineStr">
        <is>
          <t>Безопасные методы и приемы выполнения огневых работ</t>
        </is>
      </c>
      <c r="L1677" s="1" t="inlineStr">
        <is>
          <t>10.12.2024</t>
        </is>
      </c>
      <c r="M1677" s="1" t="inlineStr">
        <is>
          <t>Успешно</t>
        </is>
      </c>
      <c r="N1677" s="1" t="inlineStr">
        <is>
          <t>28.12.2024</t>
        </is>
      </c>
      <c r="O1677" s="1" t="inlineStr"/>
      <c r="P1677" s="1" t="inlineStr"/>
      <c r="Q1677" s="1" t="inlineStr"/>
    </row>
    <row r="1678">
      <c r="B1678" s="1" t="inlineStr">
        <is>
          <t>96539068</t>
        </is>
      </c>
      <c r="C1678" s="1" t="inlineStr">
        <is>
          <t>7135797</t>
        </is>
      </c>
      <c r="D1678" t="inlineStr">
        <is>
          <t>работник 23</t>
        </is>
      </c>
      <c r="E1678" s="1" t="inlineStr">
        <is>
          <t>ОБЩЕСТВО С ОГРАНИЧЕННОЙ ОТВЕТСТВЕННОСТЬЮ "АМУР ЗОЛОТО"</t>
        </is>
      </c>
      <c r="F1678" s="1" t="inlineStr">
        <is>
          <t>2708001686</t>
        </is>
      </c>
      <c r="G1678" s="1" t="inlineStr">
        <is>
          <t>Слесарь-ремонтник</t>
        </is>
      </c>
      <c r="H1678" s="1" t="inlineStr">
        <is>
          <t>ООО "Амур Золото"</t>
        </is>
      </c>
      <c r="I1678" s="1" t="inlineStr">
        <is>
          <t>2708001686</t>
        </is>
      </c>
      <c r="J1678" s="1" t="inlineStr">
        <is>
          <t>ОТ № ЮГОК ЗИОФ 24-40</t>
        </is>
      </c>
      <c r="K1678" s="1" t="inlineStr">
        <is>
          <t>Безопасные методы и приемы выполнения работ, связанные с эксплуатацией подъемных сооружений</t>
        </is>
      </c>
      <c r="L1678" s="1" t="inlineStr">
        <is>
          <t>10.12.2024</t>
        </is>
      </c>
      <c r="M1678" s="1" t="inlineStr">
        <is>
          <t>Успешно</t>
        </is>
      </c>
      <c r="N1678" s="1" t="inlineStr">
        <is>
          <t>28.12.2024</t>
        </is>
      </c>
      <c r="O1678" s="1" t="inlineStr"/>
      <c r="P1678" s="1" t="inlineStr"/>
      <c r="Q1678" s="1" t="inlineStr"/>
    </row>
    <row r="1679">
      <c r="B1679" s="1" t="inlineStr">
        <is>
          <t>96539069</t>
        </is>
      </c>
      <c r="C1679" s="1" t="inlineStr">
        <is>
          <t>7135797</t>
        </is>
      </c>
      <c r="D1679" t="inlineStr">
        <is>
          <t>работник 23</t>
        </is>
      </c>
      <c r="E1679" s="1" t="inlineStr">
        <is>
          <t>ОБЩЕСТВО С ОГРАНИЧЕННОЙ ОТВЕТСТВЕННОСТЬЮ "АМУР ЗОЛОТО"</t>
        </is>
      </c>
      <c r="F1679" s="1" t="inlineStr">
        <is>
          <t>2708001686</t>
        </is>
      </c>
      <c r="G1679" s="1" t="inlineStr">
        <is>
          <t>Слесарь-ремонтник</t>
        </is>
      </c>
      <c r="H1679" s="1" t="inlineStr">
        <is>
          <t>ООО "Амур Золото"</t>
        </is>
      </c>
      <c r="I1679" s="1" t="inlineStr">
        <is>
          <t>2708001686</t>
        </is>
      </c>
      <c r="J1679" s="1" t="inlineStr">
        <is>
          <t>ОТ № ЮГОК ЗИОФ 24-40</t>
        </is>
      </c>
      <c r="K1679" s="1" t="inlineStr">
        <is>
          <t>Безопасные методы и приемы выполнения работ, связанные с эксплуатацией сосудов, работающих под избыточным давлением</t>
        </is>
      </c>
      <c r="L1679" s="1" t="inlineStr">
        <is>
          <t>10.12.2024</t>
        </is>
      </c>
      <c r="M1679" s="1" t="inlineStr">
        <is>
          <t>Успешно</t>
        </is>
      </c>
      <c r="N1679" s="1" t="inlineStr">
        <is>
          <t>28.12.2024</t>
        </is>
      </c>
      <c r="O1679" s="1" t="inlineStr"/>
      <c r="P1679" s="1" t="inlineStr"/>
      <c r="Q1679" s="1" t="inlineStr"/>
    </row>
    <row r="1680">
      <c r="B1680" s="1" t="inlineStr">
        <is>
          <t>96539070</t>
        </is>
      </c>
      <c r="C1680" s="1" t="inlineStr">
        <is>
          <t>7135797</t>
        </is>
      </c>
      <c r="D1680" t="inlineStr">
        <is>
          <t>работник 24</t>
        </is>
      </c>
      <c r="E1680" s="1" t="inlineStr">
        <is>
          <t>ОБЩЕСТВО С ОГРАНИЧЕННОЙ ОТВЕТСТВЕННОСТЬЮ "АМУР ЗОЛОТО"</t>
        </is>
      </c>
      <c r="F1680" s="1" t="inlineStr">
        <is>
          <t>2708001686</t>
        </is>
      </c>
      <c r="G1680" s="1" t="inlineStr">
        <is>
          <t>Слесарь-ремонтник</t>
        </is>
      </c>
      <c r="H1680" s="1" t="inlineStr">
        <is>
          <t>ООО "Амур Золото"</t>
        </is>
      </c>
      <c r="I1680" s="1" t="inlineStr">
        <is>
          <t>2708001686</t>
        </is>
      </c>
      <c r="J1680" s="1" t="inlineStr">
        <is>
          <t>ОТ № ЮГОК ЗИОФ 24-40</t>
        </is>
      </c>
      <c r="K1680" s="1" t="inlineStr">
        <is>
          <t>Безопасные методы и приемы выполнения работ при размещении, монтаже, техническом обслуживании и ремонте технологического оборудования (включая технологическое оборудование)</t>
        </is>
      </c>
      <c r="L1680" s="1" t="inlineStr">
        <is>
          <t>10.12.2024</t>
        </is>
      </c>
      <c r="M1680" s="1" t="inlineStr">
        <is>
          <t>Успешно</t>
        </is>
      </c>
      <c r="N1680" s="1" t="inlineStr">
        <is>
          <t>28.12.2024</t>
        </is>
      </c>
      <c r="O1680" s="1" t="inlineStr"/>
      <c r="P1680" s="1" t="inlineStr"/>
      <c r="Q1680" s="1" t="inlineStr"/>
    </row>
    <row r="1681">
      <c r="B1681" s="1" t="inlineStr">
        <is>
          <t>96539071</t>
        </is>
      </c>
      <c r="C1681" s="1" t="inlineStr">
        <is>
          <t>7135797</t>
        </is>
      </c>
      <c r="D1681" t="inlineStr">
        <is>
          <t>работник 24</t>
        </is>
      </c>
      <c r="E1681" s="1" t="inlineStr">
        <is>
          <t>ОБЩЕСТВО С ОГРАНИЧЕННОЙ ОТВЕТСТВЕННОСТЬЮ "АМУР ЗОЛОТО"</t>
        </is>
      </c>
      <c r="F1681" s="1" t="inlineStr">
        <is>
          <t>2708001686</t>
        </is>
      </c>
      <c r="G1681" s="1" t="inlineStr">
        <is>
          <t>Слесарь-ремонтник</t>
        </is>
      </c>
      <c r="H1681" s="1" t="inlineStr">
        <is>
          <t>ООО "Амур Золото"</t>
        </is>
      </c>
      <c r="I1681" s="1" t="inlineStr">
        <is>
          <t>2708001686</t>
        </is>
      </c>
      <c r="J1681" s="1" t="inlineStr">
        <is>
          <t>ОТ № ЮГОК ЗИОФ 24-40</t>
        </is>
      </c>
      <c r="K1681" s="1" t="inlineStr">
        <is>
          <t>Безопасные методы и приемы выполнения работ на высоте</t>
        </is>
      </c>
      <c r="L1681" s="1" t="inlineStr">
        <is>
          <t>10.12.2024</t>
        </is>
      </c>
      <c r="M1681" s="1" t="inlineStr">
        <is>
          <t>Успешно</t>
        </is>
      </c>
      <c r="N1681" s="1" t="inlineStr">
        <is>
          <t>28.12.2024</t>
        </is>
      </c>
      <c r="O1681" s="1" t="inlineStr"/>
      <c r="P1681" s="1" t="inlineStr"/>
      <c r="Q1681" s="1" t="inlineStr"/>
    </row>
    <row r="1682">
      <c r="B1682" s="1" t="inlineStr">
        <is>
          <t>96539072</t>
        </is>
      </c>
      <c r="C1682" s="1" t="inlineStr">
        <is>
          <t>7135797</t>
        </is>
      </c>
      <c r="D1682" t="inlineStr">
        <is>
          <t>работник 24</t>
        </is>
      </c>
      <c r="E1682" s="1" t="inlineStr">
        <is>
          <t>ОБЩЕСТВО С ОГРАНИЧЕННОЙ ОТВЕТСТВЕННОСТЬЮ "АМУР ЗОЛОТО"</t>
        </is>
      </c>
      <c r="F1682" s="1" t="inlineStr">
        <is>
          <t>2708001686</t>
        </is>
      </c>
      <c r="G1682" s="1" t="inlineStr">
        <is>
          <t>Слесарь-ремонтник</t>
        </is>
      </c>
      <c r="H1682" s="1" t="inlineStr">
        <is>
          <t>ООО "Амур Золото"</t>
        </is>
      </c>
      <c r="I1682" s="1" t="inlineStr">
        <is>
          <t>2708001686</t>
        </is>
      </c>
      <c r="J1682" s="1" t="inlineStr">
        <is>
          <t>ОТ № ЮГОК ЗИОФ 24-40</t>
        </is>
      </c>
      <c r="K1682" s="1" t="inlineStr">
        <is>
          <t>Безопасные методы и приемы выполнения работ в ограниченных и замкнутых пространствах (ОЗП)</t>
        </is>
      </c>
      <c r="L1682" s="1" t="inlineStr">
        <is>
          <t>10.12.2024</t>
        </is>
      </c>
      <c r="M1682" s="1" t="inlineStr">
        <is>
          <t>Успешно</t>
        </is>
      </c>
      <c r="N1682" s="1" t="inlineStr">
        <is>
          <t>28.12.2024</t>
        </is>
      </c>
      <c r="O1682" s="1" t="inlineStr"/>
      <c r="P1682" s="1" t="inlineStr"/>
      <c r="Q1682" s="1" t="inlineStr"/>
    </row>
    <row r="1683">
      <c r="B1683" s="1" t="inlineStr">
        <is>
          <t>96539073</t>
        </is>
      </c>
      <c r="C1683" s="1" t="inlineStr">
        <is>
          <t>7135797</t>
        </is>
      </c>
      <c r="D1683" t="inlineStr">
        <is>
          <t>работник 24</t>
        </is>
      </c>
      <c r="E1683" s="1" t="inlineStr">
        <is>
          <t>ОБЩЕСТВО С ОГРАНИЧЕННОЙ ОТВЕТСТВЕННОСТЬЮ "АМУР ЗОЛОТО"</t>
        </is>
      </c>
      <c r="F1683" s="1" t="inlineStr">
        <is>
          <t>2708001686</t>
        </is>
      </c>
      <c r="G1683" s="1" t="inlineStr">
        <is>
          <t>Слесарь-ремонтник</t>
        </is>
      </c>
      <c r="H1683" s="1" t="inlineStr">
        <is>
          <t>ООО "Амур Золото"</t>
        </is>
      </c>
      <c r="I1683" s="1" t="inlineStr">
        <is>
          <t>2708001686</t>
        </is>
      </c>
      <c r="J1683" s="1" t="inlineStr">
        <is>
          <t>ОТ № ЮГОК ЗИОФ 24-40</t>
        </is>
      </c>
      <c r="K1683" s="1" t="inlineStr">
        <is>
          <t>Безопасные методы и приемы выполнения огневых работ</t>
        </is>
      </c>
      <c r="L1683" s="1" t="inlineStr">
        <is>
          <t>10.12.2024</t>
        </is>
      </c>
      <c r="M1683" s="1" t="inlineStr">
        <is>
          <t>Успешно</t>
        </is>
      </c>
      <c r="N1683" s="1" t="inlineStr">
        <is>
          <t>28.12.2024</t>
        </is>
      </c>
      <c r="O1683" s="1" t="inlineStr"/>
      <c r="P1683" s="1" t="inlineStr"/>
      <c r="Q1683" s="1" t="inlineStr"/>
    </row>
    <row r="1684">
      <c r="B1684" s="1" t="inlineStr">
        <is>
          <t>96539074</t>
        </is>
      </c>
      <c r="C1684" s="1" t="inlineStr">
        <is>
          <t>7135797</t>
        </is>
      </c>
      <c r="D1684" t="inlineStr">
        <is>
          <t>работник 24</t>
        </is>
      </c>
      <c r="E1684" s="1" t="inlineStr">
        <is>
          <t>ОБЩЕСТВО С ОГРАНИЧЕННОЙ ОТВЕТСТВЕННОСТЬЮ "АМУР ЗОЛОТО"</t>
        </is>
      </c>
      <c r="F1684" s="1" t="inlineStr">
        <is>
          <t>2708001686</t>
        </is>
      </c>
      <c r="G1684" s="1" t="inlineStr">
        <is>
          <t>Слесарь-ремонтник</t>
        </is>
      </c>
      <c r="H1684" s="1" t="inlineStr">
        <is>
          <t>ООО "Амур Золото"</t>
        </is>
      </c>
      <c r="I1684" s="1" t="inlineStr">
        <is>
          <t>2708001686</t>
        </is>
      </c>
      <c r="J1684" s="1" t="inlineStr">
        <is>
          <t>ОТ № ЮГОК ЗИОФ 24-40</t>
        </is>
      </c>
      <c r="K1684" s="1" t="inlineStr">
        <is>
          <t>Безопасные методы и приемы выполнения работ, связанные с эксплуатацией подъемных сооружений</t>
        </is>
      </c>
      <c r="L1684" s="1" t="inlineStr">
        <is>
          <t>10.12.2024</t>
        </is>
      </c>
      <c r="M1684" s="1" t="inlineStr">
        <is>
          <t>Успешно</t>
        </is>
      </c>
      <c r="N1684" s="1" t="inlineStr">
        <is>
          <t>28.12.2024</t>
        </is>
      </c>
      <c r="O1684" s="1" t="inlineStr"/>
      <c r="P1684" s="1" t="inlineStr"/>
      <c r="Q1684" s="1" t="inlineStr"/>
    </row>
    <row r="1685">
      <c r="B1685" s="1" t="inlineStr">
        <is>
          <t>96539075</t>
        </is>
      </c>
      <c r="C1685" s="1" t="inlineStr">
        <is>
          <t>7135797</t>
        </is>
      </c>
      <c r="D1685" t="inlineStr">
        <is>
          <t>работник 24</t>
        </is>
      </c>
      <c r="E1685" s="1" t="inlineStr">
        <is>
          <t>ОБЩЕСТВО С ОГРАНИЧЕННОЙ ОТВЕТСТВЕННОСТЬЮ "АМУР ЗОЛОТО"</t>
        </is>
      </c>
      <c r="F1685" s="1" t="inlineStr">
        <is>
          <t>2708001686</t>
        </is>
      </c>
      <c r="G1685" s="1" t="inlineStr">
        <is>
          <t>Слесарь-ремонтник</t>
        </is>
      </c>
      <c r="H1685" s="1" t="inlineStr">
        <is>
          <t>ООО "Амур Золото"</t>
        </is>
      </c>
      <c r="I1685" s="1" t="inlineStr">
        <is>
          <t>2708001686</t>
        </is>
      </c>
      <c r="J1685" s="1" t="inlineStr">
        <is>
          <t>ОТ № ЮГОК ЗИОФ 24-40</t>
        </is>
      </c>
      <c r="K1685" s="1" t="inlineStr">
        <is>
          <t>Безопасные методы и приемы выполнения работ, связанные с эксплуатацией сосудов, работающих под избыточным давлением</t>
        </is>
      </c>
      <c r="L1685" s="1" t="inlineStr">
        <is>
          <t>10.12.2024</t>
        </is>
      </c>
      <c r="M1685" s="1" t="inlineStr">
        <is>
          <t>Успешно</t>
        </is>
      </c>
      <c r="N1685" s="1" t="inlineStr">
        <is>
          <t>28.12.2024</t>
        </is>
      </c>
      <c r="O1685" s="1" t="inlineStr"/>
      <c r="P1685" s="1" t="inlineStr"/>
      <c r="Q1685" s="1" t="inlineStr"/>
    </row>
    <row r="1686">
      <c r="B1686" s="1" t="inlineStr">
        <is>
          <t>96539076</t>
        </is>
      </c>
      <c r="C1686" s="1" t="inlineStr">
        <is>
          <t>7135797</t>
        </is>
      </c>
      <c r="D1686" t="inlineStr">
        <is>
          <t>работник 444</t>
        </is>
      </c>
      <c r="E1686" s="1" t="inlineStr">
        <is>
          <t>ОБЩЕСТВО С ОГРАНИЧЕННОЙ ОТВЕТСТВЕННОСТЬЮ "АМУР ЗОЛОТО"</t>
        </is>
      </c>
      <c r="F1686" s="1" t="inlineStr">
        <is>
          <t>2708001686</t>
        </is>
      </c>
      <c r="G1686" s="1" t="inlineStr">
        <is>
          <t>Слесарь-ремонтник</t>
        </is>
      </c>
      <c r="H1686" s="1" t="inlineStr">
        <is>
          <t>ООО "Амур Золото"</t>
        </is>
      </c>
      <c r="I1686" s="1" t="inlineStr">
        <is>
          <t>2708001686</t>
        </is>
      </c>
      <c r="J1686" s="1" t="inlineStr">
        <is>
          <t>ОТ № ЮГОК ЗИОФ 24-40</t>
        </is>
      </c>
      <c r="K1686" s="1" t="inlineStr">
        <is>
          <t>Безопасные методы и приемы выполнения работ при размещении, монтаже, техническом обслуживании и ремонте технологического оборудования (включая технологическое оборудование)</t>
        </is>
      </c>
      <c r="L1686" s="1" t="inlineStr">
        <is>
          <t>10.12.2024</t>
        </is>
      </c>
      <c r="M1686" s="1" t="inlineStr">
        <is>
          <t>Успешно</t>
        </is>
      </c>
      <c r="N1686" s="1" t="inlineStr">
        <is>
          <t>28.12.2024</t>
        </is>
      </c>
      <c r="O1686" s="1" t="inlineStr"/>
      <c r="P1686" s="1" t="inlineStr"/>
      <c r="Q1686" s="1" t="inlineStr"/>
    </row>
    <row r="1687">
      <c r="B1687" s="1" t="inlineStr">
        <is>
          <t>96539077</t>
        </is>
      </c>
      <c r="C1687" s="1" t="inlineStr">
        <is>
          <t>7135797</t>
        </is>
      </c>
      <c r="D1687" t="inlineStr">
        <is>
          <t>работник 444</t>
        </is>
      </c>
      <c r="E1687" s="1" t="inlineStr">
        <is>
          <t>ОБЩЕСТВО С ОГРАНИЧЕННОЙ ОТВЕТСТВЕННОСТЬЮ "АМУР ЗОЛОТО"</t>
        </is>
      </c>
      <c r="F1687" s="1" t="inlineStr">
        <is>
          <t>2708001686</t>
        </is>
      </c>
      <c r="G1687" s="1" t="inlineStr">
        <is>
          <t>Слесарь-ремонтник</t>
        </is>
      </c>
      <c r="H1687" s="1" t="inlineStr">
        <is>
          <t>ООО "Амур Золото"</t>
        </is>
      </c>
      <c r="I1687" s="1" t="inlineStr">
        <is>
          <t>2708001686</t>
        </is>
      </c>
      <c r="J1687" s="1" t="inlineStr">
        <is>
          <t>ОТ № ЮГОК ЗИОФ 24-40</t>
        </is>
      </c>
      <c r="K1687" s="1" t="inlineStr">
        <is>
          <t>Безопасные методы и приемы выполнения работ на высоте</t>
        </is>
      </c>
      <c r="L1687" s="1" t="inlineStr">
        <is>
          <t>10.12.2024</t>
        </is>
      </c>
      <c r="M1687" s="1" t="inlineStr">
        <is>
          <t>Успешно</t>
        </is>
      </c>
      <c r="N1687" s="1" t="inlineStr">
        <is>
          <t>28.12.2024</t>
        </is>
      </c>
      <c r="O1687" s="1" t="inlineStr"/>
      <c r="P1687" s="1" t="inlineStr"/>
      <c r="Q1687" s="1" t="inlineStr"/>
    </row>
    <row r="1688">
      <c r="B1688" s="1" t="inlineStr">
        <is>
          <t>96539078</t>
        </is>
      </c>
      <c r="C1688" s="1" t="inlineStr">
        <is>
          <t>7135797</t>
        </is>
      </c>
      <c r="D1688" t="inlineStr">
        <is>
          <t>работник 444</t>
        </is>
      </c>
      <c r="E1688" s="1" t="inlineStr">
        <is>
          <t>ОБЩЕСТВО С ОГРАНИЧЕННОЙ ОТВЕТСТВЕННОСТЬЮ "АМУР ЗОЛОТО"</t>
        </is>
      </c>
      <c r="F1688" s="1" t="inlineStr">
        <is>
          <t>2708001686</t>
        </is>
      </c>
      <c r="G1688" s="1" t="inlineStr">
        <is>
          <t>Слесарь-ремонтник</t>
        </is>
      </c>
      <c r="H1688" s="1" t="inlineStr">
        <is>
          <t>ООО "Амур Золото"</t>
        </is>
      </c>
      <c r="I1688" s="1" t="inlineStr">
        <is>
          <t>2708001686</t>
        </is>
      </c>
      <c r="J1688" s="1" t="inlineStr">
        <is>
          <t>ОТ № ЮГОК ЗИОФ 24-40</t>
        </is>
      </c>
      <c r="K1688" s="1" t="inlineStr">
        <is>
          <t>Безопасные методы и приемы выполнения работ в ограниченных и замкнутых пространствах (ОЗП)</t>
        </is>
      </c>
      <c r="L1688" s="1" t="inlineStr">
        <is>
          <t>10.12.2024</t>
        </is>
      </c>
      <c r="M1688" s="1" t="inlineStr">
        <is>
          <t>Успешно</t>
        </is>
      </c>
      <c r="N1688" s="1" t="inlineStr">
        <is>
          <t>28.12.2024</t>
        </is>
      </c>
      <c r="O1688" s="1" t="inlineStr"/>
      <c r="P1688" s="1" t="inlineStr"/>
      <c r="Q1688" s="1" t="inlineStr"/>
    </row>
    <row r="1689">
      <c r="B1689" s="1" t="inlineStr">
        <is>
          <t>96539079</t>
        </is>
      </c>
      <c r="C1689" s="1" t="inlineStr">
        <is>
          <t>7135797</t>
        </is>
      </c>
      <c r="D1689" t="inlineStr">
        <is>
          <t>работник 444</t>
        </is>
      </c>
      <c r="E1689" s="1" t="inlineStr">
        <is>
          <t>ОБЩЕСТВО С ОГРАНИЧЕННОЙ ОТВЕТСТВЕННОСТЬЮ "АМУР ЗОЛОТО"</t>
        </is>
      </c>
      <c r="F1689" s="1" t="inlineStr">
        <is>
          <t>2708001686</t>
        </is>
      </c>
      <c r="G1689" s="1" t="inlineStr">
        <is>
          <t>Слесарь-ремонтник</t>
        </is>
      </c>
      <c r="H1689" s="1" t="inlineStr">
        <is>
          <t>ООО "Амур Золото"</t>
        </is>
      </c>
      <c r="I1689" s="1" t="inlineStr">
        <is>
          <t>2708001686</t>
        </is>
      </c>
      <c r="J1689" s="1" t="inlineStr">
        <is>
          <t>ОТ № ЮГОК ЗИОФ 24-40</t>
        </is>
      </c>
      <c r="K1689" s="1" t="inlineStr">
        <is>
          <t>Безопасные методы и приемы выполнения огневых работ</t>
        </is>
      </c>
      <c r="L1689" s="1" t="inlineStr">
        <is>
          <t>10.12.2024</t>
        </is>
      </c>
      <c r="M1689" s="1" t="inlineStr">
        <is>
          <t>Успешно</t>
        </is>
      </c>
      <c r="N1689" s="1" t="inlineStr">
        <is>
          <t>28.12.2024</t>
        </is>
      </c>
      <c r="O1689" s="1" t="inlineStr"/>
      <c r="P1689" s="1" t="inlineStr"/>
      <c r="Q1689" s="1" t="inlineStr"/>
    </row>
    <row r="1690">
      <c r="B1690" s="1" t="inlineStr">
        <is>
          <t>96539080</t>
        </is>
      </c>
      <c r="C1690" s="1" t="inlineStr">
        <is>
          <t>7135797</t>
        </is>
      </c>
      <c r="D1690" t="inlineStr">
        <is>
          <t>работник 444</t>
        </is>
      </c>
      <c r="E1690" s="1" t="inlineStr">
        <is>
          <t>ОБЩЕСТВО С ОГРАНИЧЕННОЙ ОТВЕТСТВЕННОСТЬЮ "АМУР ЗОЛОТО"</t>
        </is>
      </c>
      <c r="F1690" s="1" t="inlineStr">
        <is>
          <t>2708001686</t>
        </is>
      </c>
      <c r="G1690" s="1" t="inlineStr">
        <is>
          <t>Слесарь-ремонтник</t>
        </is>
      </c>
      <c r="H1690" s="1" t="inlineStr">
        <is>
          <t>ООО "Амур Золото"</t>
        </is>
      </c>
      <c r="I1690" s="1" t="inlineStr">
        <is>
          <t>2708001686</t>
        </is>
      </c>
      <c r="J1690" s="1" t="inlineStr">
        <is>
          <t>ОТ № ЮГОК ЗИОФ 24-40</t>
        </is>
      </c>
      <c r="K1690" s="1" t="inlineStr">
        <is>
          <t>Безопасные методы и приемы выполнения работ, связанные с эксплуатацией подъемных сооружений</t>
        </is>
      </c>
      <c r="L1690" s="1" t="inlineStr">
        <is>
          <t>10.12.2024</t>
        </is>
      </c>
      <c r="M1690" s="1" t="inlineStr">
        <is>
          <t>Успешно</t>
        </is>
      </c>
      <c r="N1690" s="1" t="inlineStr">
        <is>
          <t>28.12.2024</t>
        </is>
      </c>
      <c r="O1690" s="1" t="inlineStr"/>
      <c r="P1690" s="1" t="inlineStr"/>
      <c r="Q1690" s="1" t="inlineStr"/>
    </row>
    <row r="1691">
      <c r="B1691" s="1" t="inlineStr">
        <is>
          <t>96539081</t>
        </is>
      </c>
      <c r="C1691" s="1" t="inlineStr">
        <is>
          <t>7135797</t>
        </is>
      </c>
      <c r="D1691" t="inlineStr">
        <is>
          <t>работник 444</t>
        </is>
      </c>
      <c r="E1691" s="1" t="inlineStr">
        <is>
          <t>ОБЩЕСТВО С ОГРАНИЧЕННОЙ ОТВЕТСТВЕННОСТЬЮ "АМУР ЗОЛОТО"</t>
        </is>
      </c>
      <c r="F1691" s="1" t="inlineStr">
        <is>
          <t>2708001686</t>
        </is>
      </c>
      <c r="G1691" s="1" t="inlineStr">
        <is>
          <t>Слесарь-ремонтник</t>
        </is>
      </c>
      <c r="H1691" s="1" t="inlineStr">
        <is>
          <t>ООО "Амур Золото"</t>
        </is>
      </c>
      <c r="I1691" s="1" t="inlineStr">
        <is>
          <t>2708001686</t>
        </is>
      </c>
      <c r="J1691" s="1" t="inlineStr">
        <is>
          <t>ОТ № ЮГОК ЗИОФ 24-40</t>
        </is>
      </c>
      <c r="K1691" s="1" t="inlineStr">
        <is>
          <t>Безопасные методы и приемы выполнения работ, связанные с эксплуатацией сосудов, работающих под избыточным давлением</t>
        </is>
      </c>
      <c r="L1691" s="1" t="inlineStr">
        <is>
          <t>10.12.2024</t>
        </is>
      </c>
      <c r="M1691" s="1" t="inlineStr">
        <is>
          <t>Успешно</t>
        </is>
      </c>
      <c r="N1691" s="1" t="inlineStr">
        <is>
          <t>28.12.2024</t>
        </is>
      </c>
      <c r="O1691" s="1" t="inlineStr"/>
      <c r="P1691" s="1" t="inlineStr"/>
      <c r="Q1691" s="1" t="inlineStr"/>
    </row>
    <row r="1692">
      <c r="B1692" s="1" t="inlineStr">
        <is>
          <t>96539082</t>
        </is>
      </c>
      <c r="C1692" s="1" t="inlineStr">
        <is>
          <t>7135797</t>
        </is>
      </c>
      <c r="D1692" t="inlineStr">
        <is>
          <t>работник 432</t>
        </is>
      </c>
      <c r="E1692" s="1" t="inlineStr">
        <is>
          <t>ОБЩЕСТВО С ОГРАНИЧЕННОЙ ОТВЕТСТВЕННОСТЬЮ "АМУР ЗОЛОТО"</t>
        </is>
      </c>
      <c r="F1692" s="1" t="inlineStr">
        <is>
          <t>2708001686</t>
        </is>
      </c>
      <c r="G1692" s="1" t="inlineStr">
        <is>
          <t>Слесарь-ремонтник</t>
        </is>
      </c>
      <c r="H1692" s="1" t="inlineStr">
        <is>
          <t>ООО "Амур Золото"</t>
        </is>
      </c>
      <c r="I1692" s="1" t="inlineStr">
        <is>
          <t>2708001686</t>
        </is>
      </c>
      <c r="J1692" s="1" t="inlineStr">
        <is>
          <t>ОТ № ЮГОК ЗИОФ 24-40</t>
        </is>
      </c>
      <c r="K1692" s="1" t="inlineStr">
        <is>
          <t>Безопасные методы и приемы выполнения работ при размещении, монтаже, техническом обслуживании и ремонте технологического оборудования (включая технологическое оборудование)</t>
        </is>
      </c>
      <c r="L1692" s="1" t="inlineStr">
        <is>
          <t>10.12.2024</t>
        </is>
      </c>
      <c r="M1692" s="1" t="inlineStr">
        <is>
          <t>Успешно</t>
        </is>
      </c>
      <c r="N1692" s="1" t="inlineStr">
        <is>
          <t>28.12.2024</t>
        </is>
      </c>
      <c r="O1692" s="1" t="inlineStr"/>
      <c r="P1692" s="1" t="inlineStr"/>
      <c r="Q1692" s="1" t="inlineStr"/>
    </row>
    <row r="1693">
      <c r="B1693" s="1" t="inlineStr">
        <is>
          <t>96539083</t>
        </is>
      </c>
      <c r="C1693" s="1" t="inlineStr">
        <is>
          <t>7135797</t>
        </is>
      </c>
      <c r="D1693" t="inlineStr">
        <is>
          <t>работник 432</t>
        </is>
      </c>
      <c r="E1693" s="1" t="inlineStr">
        <is>
          <t>ОБЩЕСТВО С ОГРАНИЧЕННОЙ ОТВЕТСТВЕННОСТЬЮ "АМУР ЗОЛОТО"</t>
        </is>
      </c>
      <c r="F1693" s="1" t="inlineStr">
        <is>
          <t>2708001686</t>
        </is>
      </c>
      <c r="G1693" s="1" t="inlineStr">
        <is>
          <t>Слесарь-ремонтник</t>
        </is>
      </c>
      <c r="H1693" s="1" t="inlineStr">
        <is>
          <t>ООО "Амур Золото"</t>
        </is>
      </c>
      <c r="I1693" s="1" t="inlineStr">
        <is>
          <t>2708001686</t>
        </is>
      </c>
      <c r="J1693" s="1" t="inlineStr">
        <is>
          <t>ОТ № ЮГОК ЗИОФ 24-40</t>
        </is>
      </c>
      <c r="K1693" s="1" t="inlineStr">
        <is>
          <t>Безопасные методы и приемы выполнения работ на высоте</t>
        </is>
      </c>
      <c r="L1693" s="1" t="inlineStr">
        <is>
          <t>10.12.2024</t>
        </is>
      </c>
      <c r="M1693" s="1" t="inlineStr">
        <is>
          <t>Успешно</t>
        </is>
      </c>
      <c r="N1693" s="1" t="inlineStr">
        <is>
          <t>28.12.2024</t>
        </is>
      </c>
      <c r="O1693" s="1" t="inlineStr"/>
      <c r="P1693" s="1" t="inlineStr"/>
      <c r="Q1693" s="1" t="inlineStr"/>
    </row>
    <row r="1694">
      <c r="B1694" s="1" t="inlineStr">
        <is>
          <t>96539084</t>
        </is>
      </c>
      <c r="C1694" s="1" t="inlineStr">
        <is>
          <t>7135797</t>
        </is>
      </c>
      <c r="D1694" t="inlineStr">
        <is>
          <t>работник 432</t>
        </is>
      </c>
      <c r="E1694" s="1" t="inlineStr">
        <is>
          <t>ОБЩЕСТВО С ОГРАНИЧЕННОЙ ОТВЕТСТВЕННОСТЬЮ "АМУР ЗОЛОТО"</t>
        </is>
      </c>
      <c r="F1694" s="1" t="inlineStr">
        <is>
          <t>2708001686</t>
        </is>
      </c>
      <c r="G1694" s="1" t="inlineStr">
        <is>
          <t>Слесарь-ремонтник</t>
        </is>
      </c>
      <c r="H1694" s="1" t="inlineStr">
        <is>
          <t>ООО "Амур Золото"</t>
        </is>
      </c>
      <c r="I1694" s="1" t="inlineStr">
        <is>
          <t>2708001686</t>
        </is>
      </c>
      <c r="J1694" s="1" t="inlineStr">
        <is>
          <t>ОТ № ЮГОК ЗИОФ 24-40</t>
        </is>
      </c>
      <c r="K1694" s="1" t="inlineStr">
        <is>
          <t>Безопасные методы и приемы выполнения работ в ограниченных и замкнутых пространствах (ОЗП)</t>
        </is>
      </c>
      <c r="L1694" s="1" t="inlineStr">
        <is>
          <t>10.12.2024</t>
        </is>
      </c>
      <c r="M1694" s="1" t="inlineStr">
        <is>
          <t>Успешно</t>
        </is>
      </c>
      <c r="N1694" s="1" t="inlineStr">
        <is>
          <t>28.12.2024</t>
        </is>
      </c>
      <c r="O1694" s="1" t="inlineStr"/>
      <c r="P1694" s="1" t="inlineStr"/>
      <c r="Q1694" s="1" t="inlineStr"/>
    </row>
    <row r="1695">
      <c r="B1695" s="1" t="inlineStr">
        <is>
          <t>96539085</t>
        </is>
      </c>
      <c r="C1695" s="1" t="inlineStr">
        <is>
          <t>7135797</t>
        </is>
      </c>
      <c r="D1695" t="inlineStr">
        <is>
          <t>работник 432</t>
        </is>
      </c>
      <c r="E1695" s="1" t="inlineStr">
        <is>
          <t>ОБЩЕСТВО С ОГРАНИЧЕННОЙ ОТВЕТСТВЕННОСТЬЮ "АМУР ЗОЛОТО"</t>
        </is>
      </c>
      <c r="F1695" s="1" t="inlineStr">
        <is>
          <t>2708001686</t>
        </is>
      </c>
      <c r="G1695" s="1" t="inlineStr">
        <is>
          <t>Слесарь-ремонтник</t>
        </is>
      </c>
      <c r="H1695" s="1" t="inlineStr">
        <is>
          <t>ООО "Амур Золото"</t>
        </is>
      </c>
      <c r="I1695" s="1" t="inlineStr">
        <is>
          <t>2708001686</t>
        </is>
      </c>
      <c r="J1695" s="1" t="inlineStr">
        <is>
          <t>ОТ № ЮГОК ЗИОФ 24-40</t>
        </is>
      </c>
      <c r="K1695" s="1" t="inlineStr">
        <is>
          <t>Безопасные методы и приемы выполнения огневых работ</t>
        </is>
      </c>
      <c r="L1695" s="1" t="inlineStr">
        <is>
          <t>10.12.2024</t>
        </is>
      </c>
      <c r="M1695" s="1" t="inlineStr">
        <is>
          <t>Успешно</t>
        </is>
      </c>
      <c r="N1695" s="1" t="inlineStr">
        <is>
          <t>28.12.2024</t>
        </is>
      </c>
      <c r="O1695" s="1" t="inlineStr"/>
      <c r="P1695" s="1" t="inlineStr"/>
      <c r="Q1695" s="1" t="inlineStr"/>
    </row>
    <row r="1696">
      <c r="B1696" s="1" t="inlineStr">
        <is>
          <t>96539086</t>
        </is>
      </c>
      <c r="C1696" s="1" t="inlineStr">
        <is>
          <t>7135797</t>
        </is>
      </c>
      <c r="D1696" t="inlineStr">
        <is>
          <t>работник 432</t>
        </is>
      </c>
      <c r="E1696" s="1" t="inlineStr">
        <is>
          <t>ОБЩЕСТВО С ОГРАНИЧЕННОЙ ОТВЕТСТВЕННОСТЬЮ "АМУР ЗОЛОТО"</t>
        </is>
      </c>
      <c r="F1696" s="1" t="inlineStr">
        <is>
          <t>2708001686</t>
        </is>
      </c>
      <c r="G1696" s="1" t="inlineStr">
        <is>
          <t>Слесарь-ремонтник</t>
        </is>
      </c>
      <c r="H1696" s="1" t="inlineStr">
        <is>
          <t>ООО "Амур Золото"</t>
        </is>
      </c>
      <c r="I1696" s="1" t="inlineStr">
        <is>
          <t>2708001686</t>
        </is>
      </c>
      <c r="J1696" s="1" t="inlineStr">
        <is>
          <t>ОТ № ЮГОК ЗИОФ 24-40</t>
        </is>
      </c>
      <c r="K1696" s="1" t="inlineStr">
        <is>
          <t>Безопасные методы и приемы выполнения работ, связанные с эксплуатацией подъемных сооружений</t>
        </is>
      </c>
      <c r="L1696" s="1" t="inlineStr">
        <is>
          <t>10.12.2024</t>
        </is>
      </c>
      <c r="M1696" s="1" t="inlineStr">
        <is>
          <t>Успешно</t>
        </is>
      </c>
      <c r="N1696" s="1" t="inlineStr">
        <is>
          <t>28.12.2024</t>
        </is>
      </c>
      <c r="O1696" s="1" t="inlineStr"/>
      <c r="P1696" s="1" t="inlineStr"/>
      <c r="Q1696" s="1" t="inlineStr"/>
    </row>
    <row r="1697">
      <c r="B1697" s="1" t="inlineStr">
        <is>
          <t>96539087</t>
        </is>
      </c>
      <c r="C1697" s="1" t="inlineStr">
        <is>
          <t>7135797</t>
        </is>
      </c>
      <c r="D1697" t="inlineStr">
        <is>
          <t>работник 432</t>
        </is>
      </c>
      <c r="E1697" s="1" t="inlineStr">
        <is>
          <t>ОБЩЕСТВО С ОГРАНИЧЕННОЙ ОТВЕТСТВЕННОСТЬЮ "АМУР ЗОЛОТО"</t>
        </is>
      </c>
      <c r="F1697" s="1" t="inlineStr">
        <is>
          <t>2708001686</t>
        </is>
      </c>
      <c r="G1697" s="1" t="inlineStr">
        <is>
          <t>Слесарь-ремонтник</t>
        </is>
      </c>
      <c r="H1697" s="1" t="inlineStr">
        <is>
          <t>ООО "Амур Золото"</t>
        </is>
      </c>
      <c r="I1697" s="1" t="inlineStr">
        <is>
          <t>2708001686</t>
        </is>
      </c>
      <c r="J1697" s="1" t="inlineStr">
        <is>
          <t>ОТ № ЮГОК ЗИОФ 24-40</t>
        </is>
      </c>
      <c r="K1697" s="1" t="inlineStr">
        <is>
          <t>Безопасные методы и приемы выполнения работ, связанные с эксплуатацией сосудов, работающих под избыточным давлением</t>
        </is>
      </c>
      <c r="L1697" s="1" t="inlineStr">
        <is>
          <t>10.12.2024</t>
        </is>
      </c>
      <c r="M1697" s="1" t="inlineStr">
        <is>
          <t>Успешно</t>
        </is>
      </c>
      <c r="N1697" s="1" t="inlineStr">
        <is>
          <t>28.12.2024</t>
        </is>
      </c>
      <c r="O1697" s="1" t="inlineStr"/>
      <c r="P1697" s="1" t="inlineStr"/>
      <c r="Q1697" s="1" t="inlineStr"/>
    </row>
    <row r="1698">
      <c r="B1698" s="1" t="inlineStr">
        <is>
          <t>96539088</t>
        </is>
      </c>
      <c r="C1698" s="1" t="inlineStr">
        <is>
          <t>7135797</t>
        </is>
      </c>
      <c r="D1698" t="inlineStr">
        <is>
          <t>работник 449</t>
        </is>
      </c>
      <c r="E1698" s="1" t="inlineStr">
        <is>
          <t>ОБЩЕСТВО С ОГРАНИЧЕННОЙ ОТВЕТСТВЕННОСТЬЮ "АМУР ЗОЛОТО"</t>
        </is>
      </c>
      <c r="F1698" s="1" t="inlineStr">
        <is>
          <t>2708001686</t>
        </is>
      </c>
      <c r="G1698" s="1" t="inlineStr">
        <is>
          <t>Слесарь-ремонтник</t>
        </is>
      </c>
      <c r="H1698" s="1" t="inlineStr">
        <is>
          <t>ООО "Амур Золото"</t>
        </is>
      </c>
      <c r="I1698" s="1" t="inlineStr">
        <is>
          <t>2708001686</t>
        </is>
      </c>
      <c r="J1698" s="1" t="inlineStr">
        <is>
          <t>ОТ № ЮГОК ЗИОФ 24-40</t>
        </is>
      </c>
      <c r="K1698" s="1" t="inlineStr">
        <is>
          <t>Безопасные методы и приемы выполнения работ при размещении, монтаже, техническом обслуживании и ремонте технологического оборудования (включая технологическое оборудование)</t>
        </is>
      </c>
      <c r="L1698" s="1" t="inlineStr">
        <is>
          <t>10.12.2024</t>
        </is>
      </c>
      <c r="M1698" s="1" t="inlineStr">
        <is>
          <t>Успешно</t>
        </is>
      </c>
      <c r="N1698" s="1" t="inlineStr">
        <is>
          <t>28.12.2024</t>
        </is>
      </c>
      <c r="O1698" s="1" t="inlineStr"/>
      <c r="P1698" s="1" t="inlineStr"/>
      <c r="Q1698" s="1" t="inlineStr"/>
    </row>
    <row r="1699">
      <c r="B1699" s="1" t="inlineStr">
        <is>
          <t>96539089</t>
        </is>
      </c>
      <c r="C1699" s="1" t="inlineStr">
        <is>
          <t>7135797</t>
        </is>
      </c>
      <c r="D1699" t="inlineStr">
        <is>
          <t>работник 449</t>
        </is>
      </c>
      <c r="E1699" s="1" t="inlineStr">
        <is>
          <t>ОБЩЕСТВО С ОГРАНИЧЕННОЙ ОТВЕТСТВЕННОСТЬЮ "АМУР ЗОЛОТО"</t>
        </is>
      </c>
      <c r="F1699" s="1" t="inlineStr">
        <is>
          <t>2708001686</t>
        </is>
      </c>
      <c r="G1699" s="1" t="inlineStr">
        <is>
          <t>Слесарь-ремонтник</t>
        </is>
      </c>
      <c r="H1699" s="1" t="inlineStr">
        <is>
          <t>ООО "Амур Золото"</t>
        </is>
      </c>
      <c r="I1699" s="1" t="inlineStr">
        <is>
          <t>2708001686</t>
        </is>
      </c>
      <c r="J1699" s="1" t="inlineStr">
        <is>
          <t>ОТ № ЮГОК ЗИОФ 24-40</t>
        </is>
      </c>
      <c r="K1699" s="1" t="inlineStr">
        <is>
          <t>Безопасные методы и приемы выполнения работ на высоте</t>
        </is>
      </c>
      <c r="L1699" s="1" t="inlineStr">
        <is>
          <t>10.12.2024</t>
        </is>
      </c>
      <c r="M1699" s="1" t="inlineStr">
        <is>
          <t>Успешно</t>
        </is>
      </c>
      <c r="N1699" s="1" t="inlineStr">
        <is>
          <t>28.12.2024</t>
        </is>
      </c>
      <c r="O1699" s="1" t="inlineStr"/>
      <c r="P1699" s="1" t="inlineStr"/>
      <c r="Q1699" s="1" t="inlineStr"/>
    </row>
    <row r="1700">
      <c r="B1700" s="1" t="inlineStr">
        <is>
          <t>96539090</t>
        </is>
      </c>
      <c r="C1700" s="1" t="inlineStr">
        <is>
          <t>7135797</t>
        </is>
      </c>
      <c r="D1700" t="inlineStr">
        <is>
          <t>работник 449</t>
        </is>
      </c>
      <c r="E1700" s="1" t="inlineStr">
        <is>
          <t>ОБЩЕСТВО С ОГРАНИЧЕННОЙ ОТВЕТСТВЕННОСТЬЮ "АМУР ЗОЛОТО"</t>
        </is>
      </c>
      <c r="F1700" s="1" t="inlineStr">
        <is>
          <t>2708001686</t>
        </is>
      </c>
      <c r="G1700" s="1" t="inlineStr">
        <is>
          <t>Слесарь-ремонтник</t>
        </is>
      </c>
      <c r="H1700" s="1" t="inlineStr">
        <is>
          <t>ООО "Амур Золото"</t>
        </is>
      </c>
      <c r="I1700" s="1" t="inlineStr">
        <is>
          <t>2708001686</t>
        </is>
      </c>
      <c r="J1700" s="1" t="inlineStr">
        <is>
          <t>ОТ № ЮГОК ЗИОФ 24-40</t>
        </is>
      </c>
      <c r="K1700" s="1" t="inlineStr">
        <is>
          <t>Безопасные методы и приемы выполнения работ в ограниченных и замкнутых пространствах (ОЗП)</t>
        </is>
      </c>
      <c r="L1700" s="1" t="inlineStr">
        <is>
          <t>10.12.2024</t>
        </is>
      </c>
      <c r="M1700" s="1" t="inlineStr">
        <is>
          <t>Успешно</t>
        </is>
      </c>
      <c r="N1700" s="1" t="inlineStr">
        <is>
          <t>28.12.2024</t>
        </is>
      </c>
      <c r="O1700" s="1" t="inlineStr"/>
      <c r="P1700" s="1" t="inlineStr"/>
      <c r="Q1700" s="1" t="inlineStr"/>
    </row>
    <row r="1701">
      <c r="B1701" s="1" t="inlineStr">
        <is>
          <t>96539091</t>
        </is>
      </c>
      <c r="C1701" s="1" t="inlineStr">
        <is>
          <t>7135797</t>
        </is>
      </c>
      <c r="D1701" t="inlineStr">
        <is>
          <t>работник 449</t>
        </is>
      </c>
      <c r="E1701" s="1" t="inlineStr">
        <is>
          <t>ОБЩЕСТВО С ОГРАНИЧЕННОЙ ОТВЕТСТВЕННОСТЬЮ "АМУР ЗОЛОТО"</t>
        </is>
      </c>
      <c r="F1701" s="1" t="inlineStr">
        <is>
          <t>2708001686</t>
        </is>
      </c>
      <c r="G1701" s="1" t="inlineStr">
        <is>
          <t>Слесарь-ремонтник</t>
        </is>
      </c>
      <c r="H1701" s="1" t="inlineStr">
        <is>
          <t>ООО "Амур Золото"</t>
        </is>
      </c>
      <c r="I1701" s="1" t="inlineStr">
        <is>
          <t>2708001686</t>
        </is>
      </c>
      <c r="J1701" s="1" t="inlineStr">
        <is>
          <t>ОТ № ЮГОК ЗИОФ 24-40</t>
        </is>
      </c>
      <c r="K1701" s="1" t="inlineStr">
        <is>
          <t>Безопасные методы и приемы выполнения огневых работ</t>
        </is>
      </c>
      <c r="L1701" s="1" t="inlineStr">
        <is>
          <t>10.12.2024</t>
        </is>
      </c>
      <c r="M1701" s="1" t="inlineStr">
        <is>
          <t>Успешно</t>
        </is>
      </c>
      <c r="N1701" s="1" t="inlineStr">
        <is>
          <t>28.12.2024</t>
        </is>
      </c>
      <c r="O1701" s="1" t="inlineStr"/>
      <c r="P1701" s="1" t="inlineStr"/>
      <c r="Q1701" s="1" t="inlineStr"/>
    </row>
    <row r="1702">
      <c r="B1702" s="1" t="inlineStr">
        <is>
          <t>96539092</t>
        </is>
      </c>
      <c r="C1702" s="1" t="inlineStr">
        <is>
          <t>7135797</t>
        </is>
      </c>
      <c r="D1702" t="inlineStr">
        <is>
          <t>работник 449</t>
        </is>
      </c>
      <c r="E1702" s="1" t="inlineStr">
        <is>
          <t>ОБЩЕСТВО С ОГРАНИЧЕННОЙ ОТВЕТСТВЕННОСТЬЮ "АМУР ЗОЛОТО"</t>
        </is>
      </c>
      <c r="F1702" s="1" t="inlineStr">
        <is>
          <t>2708001686</t>
        </is>
      </c>
      <c r="G1702" s="1" t="inlineStr">
        <is>
          <t>Слесарь-ремонтник</t>
        </is>
      </c>
      <c r="H1702" s="1" t="inlineStr">
        <is>
          <t>ООО "Амур Золото"</t>
        </is>
      </c>
      <c r="I1702" s="1" t="inlineStr">
        <is>
          <t>2708001686</t>
        </is>
      </c>
      <c r="J1702" s="1" t="inlineStr">
        <is>
          <t>ОТ № ЮГОК ЗИОФ 24-40</t>
        </is>
      </c>
      <c r="K1702" s="1" t="inlineStr">
        <is>
          <t>Безопасные методы и приемы выполнения работ, связанные с эксплуатацией подъемных сооружений</t>
        </is>
      </c>
      <c r="L1702" s="1" t="inlineStr">
        <is>
          <t>10.12.2024</t>
        </is>
      </c>
      <c r="M1702" s="1" t="inlineStr">
        <is>
          <t>Успешно</t>
        </is>
      </c>
      <c r="N1702" s="1" t="inlineStr">
        <is>
          <t>28.12.2024</t>
        </is>
      </c>
      <c r="O1702" s="1" t="inlineStr"/>
      <c r="P1702" s="1" t="inlineStr"/>
      <c r="Q1702" s="1" t="inlineStr"/>
    </row>
    <row r="1703">
      <c r="B1703" s="1" t="inlineStr">
        <is>
          <t>96539093</t>
        </is>
      </c>
      <c r="C1703" s="1" t="inlineStr">
        <is>
          <t>7135797</t>
        </is>
      </c>
      <c r="D1703" t="inlineStr">
        <is>
          <t>работник 449</t>
        </is>
      </c>
      <c r="E1703" s="1" t="inlineStr">
        <is>
          <t>ОБЩЕСТВО С ОГРАНИЧЕННОЙ ОТВЕТСТВЕННОСТЬЮ "АМУР ЗОЛОТО"</t>
        </is>
      </c>
      <c r="F1703" s="1" t="inlineStr">
        <is>
          <t>2708001686</t>
        </is>
      </c>
      <c r="G1703" s="1" t="inlineStr">
        <is>
          <t>Слесарь-ремонтник</t>
        </is>
      </c>
      <c r="H1703" s="1" t="inlineStr">
        <is>
          <t>ООО "Амур Золото"</t>
        </is>
      </c>
      <c r="I1703" s="1" t="inlineStr">
        <is>
          <t>2708001686</t>
        </is>
      </c>
      <c r="J1703" s="1" t="inlineStr">
        <is>
          <t>ОТ № ЮГОК ЗИОФ 24-40</t>
        </is>
      </c>
      <c r="K1703" s="1" t="inlineStr">
        <is>
          <t>Безопасные методы и приемы выполнения работ, связанные с эксплуатацией сосудов, работающих под избыточным давлением</t>
        </is>
      </c>
      <c r="L1703" s="1" t="inlineStr">
        <is>
          <t>10.12.2024</t>
        </is>
      </c>
      <c r="M1703" s="1" t="inlineStr">
        <is>
          <t>Успешно</t>
        </is>
      </c>
      <c r="N1703" s="1" t="inlineStr">
        <is>
          <t>28.12.2024</t>
        </is>
      </c>
      <c r="O1703" s="1" t="inlineStr"/>
      <c r="P1703" s="1" t="inlineStr"/>
      <c r="Q1703" s="1" t="inlineStr"/>
    </row>
    <row r="1704">
      <c r="B1704" s="1" t="inlineStr">
        <is>
          <t>96539094</t>
        </is>
      </c>
      <c r="C1704" s="1" t="inlineStr">
        <is>
          <t>7135797</t>
        </is>
      </c>
      <c r="D1704" t="inlineStr">
        <is>
          <t>работник 477</t>
        </is>
      </c>
      <c r="E1704" s="1" t="inlineStr">
        <is>
          <t>ОБЩЕСТВО С ОГРАНИЧЕННОЙ ОТВЕТСТВЕННОСТЬЮ "АМУР ЗОЛОТО"</t>
        </is>
      </c>
      <c r="F1704" s="1" t="inlineStr">
        <is>
          <t>2708001686</t>
        </is>
      </c>
      <c r="G1704" s="1" t="inlineStr">
        <is>
          <t>Слесарь-ремонтник</t>
        </is>
      </c>
      <c r="H1704" s="1" t="inlineStr">
        <is>
          <t>ООО "Амур Золото"</t>
        </is>
      </c>
      <c r="I1704" s="1" t="inlineStr">
        <is>
          <t>2708001686</t>
        </is>
      </c>
      <c r="J1704" s="1" t="inlineStr">
        <is>
          <t>ОТ № ЮГОК ЗИОФ 24-40</t>
        </is>
      </c>
      <c r="K1704" s="1" t="inlineStr">
        <is>
          <t>Безопасные методы и приемы выполнения работ при размещении, монтаже, техническом обслуживании и ремонте технологического оборудования (включая технологическое оборудование)</t>
        </is>
      </c>
      <c r="L1704" s="1" t="inlineStr">
        <is>
          <t>10.12.2024</t>
        </is>
      </c>
      <c r="M1704" s="1" t="inlineStr">
        <is>
          <t>Успешно</t>
        </is>
      </c>
      <c r="N1704" s="1" t="inlineStr">
        <is>
          <t>28.12.2024</t>
        </is>
      </c>
      <c r="O1704" s="1" t="inlineStr"/>
      <c r="P1704" s="1" t="inlineStr"/>
      <c r="Q1704" s="1" t="inlineStr"/>
    </row>
    <row r="1705">
      <c r="B1705" s="1" t="inlineStr">
        <is>
          <t>96539095</t>
        </is>
      </c>
      <c r="C1705" s="1" t="inlineStr">
        <is>
          <t>7135797</t>
        </is>
      </c>
      <c r="D1705" t="inlineStr">
        <is>
          <t>работник 477</t>
        </is>
      </c>
      <c r="E1705" s="1" t="inlineStr">
        <is>
          <t>ОБЩЕСТВО С ОГРАНИЧЕННОЙ ОТВЕТСТВЕННОСТЬЮ "АМУР ЗОЛОТО"</t>
        </is>
      </c>
      <c r="F1705" s="1" t="inlineStr">
        <is>
          <t>2708001686</t>
        </is>
      </c>
      <c r="G1705" s="1" t="inlineStr">
        <is>
          <t>Слесарь-ремонтник</t>
        </is>
      </c>
      <c r="H1705" s="1" t="inlineStr">
        <is>
          <t>ООО "Амур Золото"</t>
        </is>
      </c>
      <c r="I1705" s="1" t="inlineStr">
        <is>
          <t>2708001686</t>
        </is>
      </c>
      <c r="J1705" s="1" t="inlineStr">
        <is>
          <t>ОТ № ЮГОК ЗИОФ 24-40</t>
        </is>
      </c>
      <c r="K1705" s="1" t="inlineStr">
        <is>
          <t>Безопасные методы и приемы выполнения работ на высоте</t>
        </is>
      </c>
      <c r="L1705" s="1" t="inlineStr">
        <is>
          <t>10.12.2024</t>
        </is>
      </c>
      <c r="M1705" s="1" t="inlineStr">
        <is>
          <t>Успешно</t>
        </is>
      </c>
      <c r="N1705" s="1" t="inlineStr">
        <is>
          <t>28.12.2024</t>
        </is>
      </c>
      <c r="O1705" s="1" t="inlineStr"/>
      <c r="P1705" s="1" t="inlineStr"/>
      <c r="Q1705" s="1" t="inlineStr"/>
    </row>
    <row r="1706">
      <c r="B1706" s="1" t="inlineStr">
        <is>
          <t>96539096</t>
        </is>
      </c>
      <c r="C1706" s="1" t="inlineStr">
        <is>
          <t>7135797</t>
        </is>
      </c>
      <c r="D1706" t="inlineStr">
        <is>
          <t>работник 477</t>
        </is>
      </c>
      <c r="E1706" s="1" t="inlineStr">
        <is>
          <t>ОБЩЕСТВО С ОГРАНИЧЕННОЙ ОТВЕТСТВЕННОСТЬЮ "АМУР ЗОЛОТО"</t>
        </is>
      </c>
      <c r="F1706" s="1" t="inlineStr">
        <is>
          <t>2708001686</t>
        </is>
      </c>
      <c r="G1706" s="1" t="inlineStr">
        <is>
          <t>Слесарь-ремонтник</t>
        </is>
      </c>
      <c r="H1706" s="1" t="inlineStr">
        <is>
          <t>ООО "Амур Золото"</t>
        </is>
      </c>
      <c r="I1706" s="1" t="inlineStr">
        <is>
          <t>2708001686</t>
        </is>
      </c>
      <c r="J1706" s="1" t="inlineStr">
        <is>
          <t>ОТ № ЮГОК ЗИОФ 24-40</t>
        </is>
      </c>
      <c r="K1706" s="1" t="inlineStr">
        <is>
          <t>Безопасные методы и приемы выполнения работ в ограниченных и замкнутых пространствах (ОЗП)</t>
        </is>
      </c>
      <c r="L1706" s="1" t="inlineStr">
        <is>
          <t>10.12.2024</t>
        </is>
      </c>
      <c r="M1706" s="1" t="inlineStr">
        <is>
          <t>Успешно</t>
        </is>
      </c>
      <c r="N1706" s="1" t="inlineStr">
        <is>
          <t>28.12.2024</t>
        </is>
      </c>
      <c r="O1706" s="1" t="inlineStr"/>
      <c r="P1706" s="1" t="inlineStr"/>
      <c r="Q1706" s="1" t="inlineStr"/>
    </row>
    <row r="1707">
      <c r="B1707" s="1" t="inlineStr">
        <is>
          <t>96539097</t>
        </is>
      </c>
      <c r="C1707" s="1" t="inlineStr">
        <is>
          <t>7135797</t>
        </is>
      </c>
      <c r="D1707" t="inlineStr">
        <is>
          <t>работник 477</t>
        </is>
      </c>
      <c r="E1707" s="1" t="inlineStr">
        <is>
          <t>ОБЩЕСТВО С ОГРАНИЧЕННОЙ ОТВЕТСТВЕННОСТЬЮ "АМУР ЗОЛОТО"</t>
        </is>
      </c>
      <c r="F1707" s="1" t="inlineStr">
        <is>
          <t>2708001686</t>
        </is>
      </c>
      <c r="G1707" s="1" t="inlineStr">
        <is>
          <t>Слесарь-ремонтник</t>
        </is>
      </c>
      <c r="H1707" s="1" t="inlineStr">
        <is>
          <t>ООО "Амур Золото"</t>
        </is>
      </c>
      <c r="I1707" s="1" t="inlineStr">
        <is>
          <t>2708001686</t>
        </is>
      </c>
      <c r="J1707" s="1" t="inlineStr">
        <is>
          <t>ОТ № ЮГОК ЗИОФ 24-40</t>
        </is>
      </c>
      <c r="K1707" s="1" t="inlineStr">
        <is>
          <t>Безопасные методы и приемы выполнения огневых работ</t>
        </is>
      </c>
      <c r="L1707" s="1" t="inlineStr">
        <is>
          <t>10.12.2024</t>
        </is>
      </c>
      <c r="M1707" s="1" t="inlineStr">
        <is>
          <t>Успешно</t>
        </is>
      </c>
      <c r="N1707" s="1" t="inlineStr">
        <is>
          <t>28.12.2024</t>
        </is>
      </c>
      <c r="O1707" s="1" t="inlineStr"/>
      <c r="P1707" s="1" t="inlineStr"/>
      <c r="Q1707" s="1" t="inlineStr"/>
    </row>
    <row r="1708">
      <c r="B1708" s="1" t="inlineStr">
        <is>
          <t>96539098</t>
        </is>
      </c>
      <c r="C1708" s="1" t="inlineStr">
        <is>
          <t>7135797</t>
        </is>
      </c>
      <c r="D1708" t="inlineStr">
        <is>
          <t>работник 477</t>
        </is>
      </c>
      <c r="E1708" s="1" t="inlineStr">
        <is>
          <t>ОБЩЕСТВО С ОГРАНИЧЕННОЙ ОТВЕТСТВЕННОСТЬЮ "АМУР ЗОЛОТО"</t>
        </is>
      </c>
      <c r="F1708" s="1" t="inlineStr">
        <is>
          <t>2708001686</t>
        </is>
      </c>
      <c r="G1708" s="1" t="inlineStr">
        <is>
          <t>Слесарь-ремонтник</t>
        </is>
      </c>
      <c r="H1708" s="1" t="inlineStr">
        <is>
          <t>ООО "Амур Золото"</t>
        </is>
      </c>
      <c r="I1708" s="1" t="inlineStr">
        <is>
          <t>2708001686</t>
        </is>
      </c>
      <c r="J1708" s="1" t="inlineStr">
        <is>
          <t>ОТ № ЮГОК ЗИОФ 24-40</t>
        </is>
      </c>
      <c r="K1708" s="1" t="inlineStr">
        <is>
          <t>Безопасные методы и приемы выполнения работ, связанные с эксплуатацией подъемных сооружений</t>
        </is>
      </c>
      <c r="L1708" s="1" t="inlineStr">
        <is>
          <t>10.12.2024</t>
        </is>
      </c>
      <c r="M1708" s="1" t="inlineStr">
        <is>
          <t>Успешно</t>
        </is>
      </c>
      <c r="N1708" s="1" t="inlineStr">
        <is>
          <t>28.12.2024</t>
        </is>
      </c>
      <c r="O1708" s="1" t="inlineStr"/>
      <c r="P1708" s="1" t="inlineStr"/>
      <c r="Q1708" s="1" t="inlineStr"/>
    </row>
    <row r="1709">
      <c r="B1709" s="1" t="inlineStr">
        <is>
          <t>96539099</t>
        </is>
      </c>
      <c r="C1709" s="1" t="inlineStr">
        <is>
          <t>7135797</t>
        </is>
      </c>
      <c r="D1709" t="inlineStr">
        <is>
          <t>работник 477</t>
        </is>
      </c>
      <c r="E1709" s="1" t="inlineStr">
        <is>
          <t>ОБЩЕСТВО С ОГРАНИЧЕННОЙ ОТВЕТСТВЕННОСТЬЮ "АМУР ЗОЛОТО"</t>
        </is>
      </c>
      <c r="F1709" s="1" t="inlineStr">
        <is>
          <t>2708001686</t>
        </is>
      </c>
      <c r="G1709" s="1" t="inlineStr">
        <is>
          <t>Слесарь-ремонтник</t>
        </is>
      </c>
      <c r="H1709" s="1" t="inlineStr">
        <is>
          <t>ООО "Амур Золото"</t>
        </is>
      </c>
      <c r="I1709" s="1" t="inlineStr">
        <is>
          <t>2708001686</t>
        </is>
      </c>
      <c r="J1709" s="1" t="inlineStr">
        <is>
          <t>ОТ № ЮГОК ЗИОФ 24-40</t>
        </is>
      </c>
      <c r="K1709" s="1" t="inlineStr">
        <is>
          <t>Безопасные методы и приемы выполнения работ, связанные с эксплуатацией сосудов, работающих под избыточным давлением</t>
        </is>
      </c>
      <c r="L1709" s="1" t="inlineStr">
        <is>
          <t>10.12.2024</t>
        </is>
      </c>
      <c r="M1709" s="1" t="inlineStr">
        <is>
          <t>Успешно</t>
        </is>
      </c>
      <c r="N1709" s="1" t="inlineStr">
        <is>
          <t>28.12.2024</t>
        </is>
      </c>
      <c r="O1709" s="1" t="inlineStr"/>
      <c r="P1709" s="1" t="inlineStr"/>
      <c r="Q1709" s="1" t="inlineStr"/>
    </row>
    <row r="1710">
      <c r="B1710" s="1" t="inlineStr">
        <is>
          <t>96539100</t>
        </is>
      </c>
      <c r="C1710" s="1" t="inlineStr">
        <is>
          <t>7135797</t>
        </is>
      </c>
      <c r="D1710" t="inlineStr">
        <is>
          <t>работник 425</t>
        </is>
      </c>
      <c r="E1710" s="1" t="inlineStr">
        <is>
          <t>ОБЩЕСТВО С ОГРАНИЧЕННОЙ ОТВЕТСТВЕННОСТЬЮ "АМУР ЗОЛОТО"</t>
        </is>
      </c>
      <c r="F1710" s="1" t="inlineStr">
        <is>
          <t>2708001686</t>
        </is>
      </c>
      <c r="G1710" s="1" t="inlineStr">
        <is>
          <t>Слесарь-ремонтник</t>
        </is>
      </c>
      <c r="H1710" s="1" t="inlineStr">
        <is>
          <t>ООО "Амур Золото"</t>
        </is>
      </c>
      <c r="I1710" s="1" t="inlineStr">
        <is>
          <t>2708001686</t>
        </is>
      </c>
      <c r="J1710" s="1" t="inlineStr">
        <is>
          <t>ОТ № ЮГОК ЗИОФ 24-40</t>
        </is>
      </c>
      <c r="K1710" s="1" t="inlineStr">
        <is>
          <t>Безопасные методы и приемы выполнения работ при размещении, монтаже, техническом обслуживании и ремонте технологического оборудования (включая технологическое оборудование)</t>
        </is>
      </c>
      <c r="L1710" s="1" t="inlineStr">
        <is>
          <t>10.12.2024</t>
        </is>
      </c>
      <c r="M1710" s="1" t="inlineStr">
        <is>
          <t>Успешно</t>
        </is>
      </c>
      <c r="N1710" s="1" t="inlineStr">
        <is>
          <t>28.12.2024</t>
        </is>
      </c>
      <c r="O1710" s="1" t="inlineStr"/>
      <c r="P1710" s="1" t="inlineStr"/>
      <c r="Q1710" s="1" t="inlineStr"/>
    </row>
    <row r="1711">
      <c r="B1711" s="1" t="inlineStr">
        <is>
          <t>96539101</t>
        </is>
      </c>
      <c r="C1711" s="1" t="inlineStr">
        <is>
          <t>7135797</t>
        </is>
      </c>
      <c r="D1711" t="inlineStr">
        <is>
          <t>работник 425</t>
        </is>
      </c>
      <c r="E1711" s="1" t="inlineStr">
        <is>
          <t>ОБЩЕСТВО С ОГРАНИЧЕННОЙ ОТВЕТСТВЕННОСТЬЮ "АМУР ЗОЛОТО"</t>
        </is>
      </c>
      <c r="F1711" s="1" t="inlineStr">
        <is>
          <t>2708001686</t>
        </is>
      </c>
      <c r="G1711" s="1" t="inlineStr">
        <is>
          <t>Слесарь-ремонтник</t>
        </is>
      </c>
      <c r="H1711" s="1" t="inlineStr">
        <is>
          <t>ООО "Амур Золото"</t>
        </is>
      </c>
      <c r="I1711" s="1" t="inlineStr">
        <is>
          <t>2708001686</t>
        </is>
      </c>
      <c r="J1711" s="1" t="inlineStr">
        <is>
          <t>ОТ № ЮГОК ЗИОФ 24-40</t>
        </is>
      </c>
      <c r="K1711" s="1" t="inlineStr">
        <is>
          <t>Безопасные методы и приемы выполнения работ на высоте</t>
        </is>
      </c>
      <c r="L1711" s="1" t="inlineStr">
        <is>
          <t>10.12.2024</t>
        </is>
      </c>
      <c r="M1711" s="1" t="inlineStr">
        <is>
          <t>Успешно</t>
        </is>
      </c>
      <c r="N1711" s="1" t="inlineStr">
        <is>
          <t>28.12.2024</t>
        </is>
      </c>
      <c r="O1711" s="1" t="inlineStr"/>
      <c r="P1711" s="1" t="inlineStr"/>
      <c r="Q1711" s="1" t="inlineStr"/>
    </row>
    <row r="1712">
      <c r="B1712" s="1" t="inlineStr">
        <is>
          <t>96539102</t>
        </is>
      </c>
      <c r="C1712" s="1" t="inlineStr">
        <is>
          <t>7135797</t>
        </is>
      </c>
      <c r="D1712" t="inlineStr">
        <is>
          <t>работник 425</t>
        </is>
      </c>
      <c r="E1712" s="1" t="inlineStr">
        <is>
          <t>ОБЩЕСТВО С ОГРАНИЧЕННОЙ ОТВЕТСТВЕННОСТЬЮ "АМУР ЗОЛОТО"</t>
        </is>
      </c>
      <c r="F1712" s="1" t="inlineStr">
        <is>
          <t>2708001686</t>
        </is>
      </c>
      <c r="G1712" s="1" t="inlineStr">
        <is>
          <t>Слесарь-ремонтник</t>
        </is>
      </c>
      <c r="H1712" s="1" t="inlineStr">
        <is>
          <t>ООО "Амур Золото"</t>
        </is>
      </c>
      <c r="I1712" s="1" t="inlineStr">
        <is>
          <t>2708001686</t>
        </is>
      </c>
      <c r="J1712" s="1" t="inlineStr">
        <is>
          <t>ОТ № ЮГОК ЗИОФ 24-40</t>
        </is>
      </c>
      <c r="K1712" s="1" t="inlineStr">
        <is>
          <t>Безопасные методы и приемы выполнения работ в ограниченных и замкнутых пространствах (ОЗП)</t>
        </is>
      </c>
      <c r="L1712" s="1" t="inlineStr">
        <is>
          <t>10.12.2024</t>
        </is>
      </c>
      <c r="M1712" s="1" t="inlineStr">
        <is>
          <t>Успешно</t>
        </is>
      </c>
      <c r="N1712" s="1" t="inlineStr">
        <is>
          <t>28.12.2024</t>
        </is>
      </c>
      <c r="O1712" s="1" t="inlineStr"/>
      <c r="P1712" s="1" t="inlineStr"/>
      <c r="Q1712" s="1" t="inlineStr"/>
    </row>
    <row r="1713">
      <c r="B1713" s="1" t="inlineStr">
        <is>
          <t>96539103</t>
        </is>
      </c>
      <c r="C1713" s="1" t="inlineStr">
        <is>
          <t>7135797</t>
        </is>
      </c>
      <c r="D1713" t="inlineStr">
        <is>
          <t>работник 425</t>
        </is>
      </c>
      <c r="E1713" s="1" t="inlineStr">
        <is>
          <t>ОБЩЕСТВО С ОГРАНИЧЕННОЙ ОТВЕТСТВЕННОСТЬЮ "АМУР ЗОЛОТО"</t>
        </is>
      </c>
      <c r="F1713" s="1" t="inlineStr">
        <is>
          <t>2708001686</t>
        </is>
      </c>
      <c r="G1713" s="1" t="inlineStr">
        <is>
          <t>Слесарь-ремонтник</t>
        </is>
      </c>
      <c r="H1713" s="1" t="inlineStr">
        <is>
          <t>ООО "Амур Золото"</t>
        </is>
      </c>
      <c r="I1713" s="1" t="inlineStr">
        <is>
          <t>2708001686</t>
        </is>
      </c>
      <c r="J1713" s="1" t="inlineStr">
        <is>
          <t>ОТ № ЮГОК ЗИОФ 24-40</t>
        </is>
      </c>
      <c r="K1713" s="1" t="inlineStr">
        <is>
          <t>Безопасные методы и приемы выполнения огневых работ</t>
        </is>
      </c>
      <c r="L1713" s="1" t="inlineStr">
        <is>
          <t>10.12.2024</t>
        </is>
      </c>
      <c r="M1713" s="1" t="inlineStr">
        <is>
          <t>Успешно</t>
        </is>
      </c>
      <c r="N1713" s="1" t="inlineStr">
        <is>
          <t>28.12.2024</t>
        </is>
      </c>
      <c r="O1713" s="1" t="inlineStr"/>
      <c r="P1713" s="1" t="inlineStr"/>
      <c r="Q1713" s="1" t="inlineStr"/>
    </row>
    <row r="1714">
      <c r="B1714" s="1" t="inlineStr">
        <is>
          <t>96539104</t>
        </is>
      </c>
      <c r="C1714" s="1" t="inlineStr">
        <is>
          <t>7135797</t>
        </is>
      </c>
      <c r="D1714" t="inlineStr">
        <is>
          <t>работник 425</t>
        </is>
      </c>
      <c r="E1714" s="1" t="inlineStr">
        <is>
          <t>ОБЩЕСТВО С ОГРАНИЧЕННОЙ ОТВЕТСТВЕННОСТЬЮ "АМУР ЗОЛОТО"</t>
        </is>
      </c>
      <c r="F1714" s="1" t="inlineStr">
        <is>
          <t>2708001686</t>
        </is>
      </c>
      <c r="G1714" s="1" t="inlineStr">
        <is>
          <t>Слесарь-ремонтник</t>
        </is>
      </c>
      <c r="H1714" s="1" t="inlineStr">
        <is>
          <t>ООО "Амур Золото"</t>
        </is>
      </c>
      <c r="I1714" s="1" t="inlineStr">
        <is>
          <t>2708001686</t>
        </is>
      </c>
      <c r="J1714" s="1" t="inlineStr">
        <is>
          <t>ОТ № ЮГОК ЗИОФ 24-40</t>
        </is>
      </c>
      <c r="K1714" s="1" t="inlineStr">
        <is>
          <t>Безопасные методы и приемы выполнения работ, связанные с эксплуатацией подъемных сооружений</t>
        </is>
      </c>
      <c r="L1714" s="1" t="inlineStr">
        <is>
          <t>10.12.2024</t>
        </is>
      </c>
      <c r="M1714" s="1" t="inlineStr">
        <is>
          <t>Успешно</t>
        </is>
      </c>
      <c r="N1714" s="1" t="inlineStr">
        <is>
          <t>28.12.2024</t>
        </is>
      </c>
      <c r="O1714" s="1" t="inlineStr"/>
      <c r="P1714" s="1" t="inlineStr"/>
      <c r="Q1714" s="1" t="inlineStr"/>
    </row>
    <row r="1715">
      <c r="B1715" s="1" t="inlineStr">
        <is>
          <t>96539105</t>
        </is>
      </c>
      <c r="C1715" s="1" t="inlineStr">
        <is>
          <t>7135797</t>
        </is>
      </c>
      <c r="D1715" t="inlineStr">
        <is>
          <t>работник 425</t>
        </is>
      </c>
      <c r="E1715" s="1" t="inlineStr">
        <is>
          <t>ОБЩЕСТВО С ОГРАНИЧЕННОЙ ОТВЕТСТВЕННОСТЬЮ "АМУР ЗОЛОТО"</t>
        </is>
      </c>
      <c r="F1715" s="1" t="inlineStr">
        <is>
          <t>2708001686</t>
        </is>
      </c>
      <c r="G1715" s="1" t="inlineStr">
        <is>
          <t>Слесарь-ремонтник</t>
        </is>
      </c>
      <c r="H1715" s="1" t="inlineStr">
        <is>
          <t>ООО "Амур Золото"</t>
        </is>
      </c>
      <c r="I1715" s="1" t="inlineStr">
        <is>
          <t>2708001686</t>
        </is>
      </c>
      <c r="J1715" s="1" t="inlineStr">
        <is>
          <t>ОТ № ЮГОК ЗИОФ 24-40</t>
        </is>
      </c>
      <c r="K1715" s="1" t="inlineStr">
        <is>
          <t>Безопасные методы и приемы выполнения работ, связанные с эксплуатацией сосудов, работающих под избыточным давлением</t>
        </is>
      </c>
      <c r="L1715" s="1" t="inlineStr">
        <is>
          <t>10.12.2024</t>
        </is>
      </c>
      <c r="M1715" s="1" t="inlineStr">
        <is>
          <t>Успешно</t>
        </is>
      </c>
      <c r="N1715" s="1" t="inlineStr">
        <is>
          <t>28.12.2024</t>
        </is>
      </c>
      <c r="O1715" s="1" t="inlineStr"/>
      <c r="P1715" s="1" t="inlineStr"/>
      <c r="Q1715" s="1" t="inlineStr"/>
    </row>
    <row r="1716">
      <c r="B1716" s="1" t="inlineStr">
        <is>
          <t>96539106</t>
        </is>
      </c>
      <c r="C1716" s="1" t="inlineStr">
        <is>
          <t>7135797</t>
        </is>
      </c>
      <c r="D1716" t="inlineStr">
        <is>
          <t>работник 507</t>
        </is>
      </c>
      <c r="E1716" s="1" t="inlineStr">
        <is>
          <t>ОБЩЕСТВО С ОГРАНИЧЕННОЙ ОТВЕТСТВЕННОСТЬЮ "АМУР ЗОЛОТО"</t>
        </is>
      </c>
      <c r="F1716" s="1" t="inlineStr">
        <is>
          <t>2708001686</t>
        </is>
      </c>
      <c r="G1716" s="1" t="inlineStr">
        <is>
          <t>Электрогазосварщик (занятый на резке и ручной сварке)</t>
        </is>
      </c>
      <c r="H1716" s="1" t="inlineStr">
        <is>
          <t>ООО "Амур Золото"</t>
        </is>
      </c>
      <c r="I1716" s="1" t="inlineStr">
        <is>
          <t>2708001686</t>
        </is>
      </c>
      <c r="J1716" s="1" t="inlineStr">
        <is>
          <t>ОТ № ЮГОК ЗИОФ 24-41</t>
        </is>
      </c>
      <c r="K1716" s="1" t="inlineStr">
        <is>
          <t>Безопасные методы и приемы выполнения работ при размещении, монтаже, техническом обслуживании и ремонте технологического оборудования (включая технологическое оборудование)</t>
        </is>
      </c>
      <c r="L1716" s="1" t="inlineStr">
        <is>
          <t>10.12.2024</t>
        </is>
      </c>
      <c r="M1716" s="1" t="inlineStr">
        <is>
          <t>Успешно</t>
        </is>
      </c>
      <c r="N1716" s="1" t="inlineStr">
        <is>
          <t>28.12.2024</t>
        </is>
      </c>
      <c r="O1716" s="1" t="inlineStr"/>
      <c r="P1716" s="1" t="inlineStr"/>
      <c r="Q1716" s="1" t="inlineStr"/>
    </row>
    <row r="1717">
      <c r="B1717" s="1" t="inlineStr">
        <is>
          <t>96539107</t>
        </is>
      </c>
      <c r="C1717" s="1" t="inlineStr">
        <is>
          <t>7135797</t>
        </is>
      </c>
      <c r="D1717" t="inlineStr">
        <is>
          <t>работник 507</t>
        </is>
      </c>
      <c r="E1717" s="1" t="inlineStr">
        <is>
          <t>ОБЩЕСТВО С ОГРАНИЧЕННОЙ ОТВЕТСТВЕННОСТЬЮ "АМУР ЗОЛОТО"</t>
        </is>
      </c>
      <c r="F1717" s="1" t="inlineStr">
        <is>
          <t>2708001686</t>
        </is>
      </c>
      <c r="G1717" s="1" t="inlineStr">
        <is>
          <t>Электрогазосварщик (занятый на резке и ручной сварке)</t>
        </is>
      </c>
      <c r="H1717" s="1" t="inlineStr">
        <is>
          <t>ООО "Амур Золото"</t>
        </is>
      </c>
      <c r="I1717" s="1" t="inlineStr">
        <is>
          <t>2708001686</t>
        </is>
      </c>
      <c r="J1717" s="1" t="inlineStr">
        <is>
          <t>ОТ № ЮГОК ЗИОФ 24-41</t>
        </is>
      </c>
      <c r="K1717" s="1" t="inlineStr">
        <is>
          <t>Безопасные методы и приемы выполнения работ на высоте</t>
        </is>
      </c>
      <c r="L1717" s="1" t="inlineStr">
        <is>
          <t>10.12.2024</t>
        </is>
      </c>
      <c r="M1717" s="1" t="inlineStr">
        <is>
          <t>Успешно</t>
        </is>
      </c>
      <c r="N1717" s="1" t="inlineStr">
        <is>
          <t>28.12.2024</t>
        </is>
      </c>
      <c r="O1717" s="1" t="inlineStr"/>
      <c r="P1717" s="1" t="inlineStr"/>
      <c r="Q1717" s="1" t="inlineStr"/>
    </row>
    <row r="1718">
      <c r="B1718" s="1" t="inlineStr">
        <is>
          <t>96539108</t>
        </is>
      </c>
      <c r="C1718" s="1" t="inlineStr">
        <is>
          <t>7135797</t>
        </is>
      </c>
      <c r="D1718" t="inlineStr">
        <is>
          <t>работник 507</t>
        </is>
      </c>
      <c r="E1718" s="1" t="inlineStr">
        <is>
          <t>ОБЩЕСТВО С ОГРАНИЧЕННОЙ ОТВЕТСТВЕННОСТЬЮ "АМУР ЗОЛОТО"</t>
        </is>
      </c>
      <c r="F1718" s="1" t="inlineStr">
        <is>
          <t>2708001686</t>
        </is>
      </c>
      <c r="G1718" s="1" t="inlineStr">
        <is>
          <t>Электрогазосварщик (занятый на резке и ручной сварке)</t>
        </is>
      </c>
      <c r="H1718" s="1" t="inlineStr">
        <is>
          <t>ООО "Амур Золото"</t>
        </is>
      </c>
      <c r="I1718" s="1" t="inlineStr">
        <is>
          <t>2708001686</t>
        </is>
      </c>
      <c r="J1718" s="1" t="inlineStr">
        <is>
          <t>ОТ № ЮГОК ЗИОФ 24-41</t>
        </is>
      </c>
      <c r="K1718" s="1" t="inlineStr">
        <is>
          <t>Безопасные методы и приемы выполнения работ в ограниченных и замкнутых пространствах (ОЗП)</t>
        </is>
      </c>
      <c r="L1718" s="1" t="inlineStr">
        <is>
          <t>10.12.2024</t>
        </is>
      </c>
      <c r="M1718" s="1" t="inlineStr">
        <is>
          <t>Успешно</t>
        </is>
      </c>
      <c r="N1718" s="1" t="inlineStr">
        <is>
          <t>28.12.2024</t>
        </is>
      </c>
      <c r="O1718" s="1" t="inlineStr"/>
      <c r="P1718" s="1" t="inlineStr"/>
      <c r="Q1718" s="1" t="inlineStr"/>
    </row>
    <row r="1719">
      <c r="B1719" s="1" t="inlineStr">
        <is>
          <t>96539109</t>
        </is>
      </c>
      <c r="C1719" s="1" t="inlineStr">
        <is>
          <t>7135797</t>
        </is>
      </c>
      <c r="D1719" t="inlineStr">
        <is>
          <t>работник 507</t>
        </is>
      </c>
      <c r="E1719" s="1" t="inlineStr">
        <is>
          <t>ОБЩЕСТВО С ОГРАНИЧЕННОЙ ОТВЕТСТВЕННОСТЬЮ "АМУР ЗОЛОТО"</t>
        </is>
      </c>
      <c r="F1719" s="1" t="inlineStr">
        <is>
          <t>2708001686</t>
        </is>
      </c>
      <c r="G1719" s="1" t="inlineStr">
        <is>
          <t>Электрогазосварщик (занятый на резке и ручной сварке)</t>
        </is>
      </c>
      <c r="H1719" s="1" t="inlineStr">
        <is>
          <t>ООО "Амур Золото"</t>
        </is>
      </c>
      <c r="I1719" s="1" t="inlineStr">
        <is>
          <t>2708001686</t>
        </is>
      </c>
      <c r="J1719" s="1" t="inlineStr">
        <is>
          <t>ОТ № ЮГОК ЗИОФ 24-41</t>
        </is>
      </c>
      <c r="K1719" s="1" t="inlineStr">
        <is>
          <t>Безопасные методы и приемы выполнения огневых работ</t>
        </is>
      </c>
      <c r="L1719" s="1" t="inlineStr">
        <is>
          <t>10.12.2024</t>
        </is>
      </c>
      <c r="M1719" s="1" t="inlineStr">
        <is>
          <t>Успешно</t>
        </is>
      </c>
      <c r="N1719" s="1" t="inlineStr">
        <is>
          <t>28.12.2024</t>
        </is>
      </c>
      <c r="O1719" s="1" t="inlineStr"/>
      <c r="P1719" s="1" t="inlineStr"/>
      <c r="Q1719" s="1" t="inlineStr"/>
    </row>
    <row r="1720">
      <c r="B1720" s="1" t="inlineStr">
        <is>
          <t>96539110</t>
        </is>
      </c>
      <c r="C1720" s="1" t="inlineStr">
        <is>
          <t>7135797</t>
        </is>
      </c>
      <c r="D1720" t="inlineStr">
        <is>
          <t>работник 507</t>
        </is>
      </c>
      <c r="E1720" s="1" t="inlineStr">
        <is>
          <t>ОБЩЕСТВО С ОГРАНИЧЕННОЙ ОТВЕТСТВЕННОСТЬЮ "АМУР ЗОЛОТО"</t>
        </is>
      </c>
      <c r="F1720" s="1" t="inlineStr">
        <is>
          <t>2708001686</t>
        </is>
      </c>
      <c r="G1720" s="1" t="inlineStr">
        <is>
          <t>Электрогазосварщик (занятый на резке и ручной сварке)</t>
        </is>
      </c>
      <c r="H1720" s="1" t="inlineStr">
        <is>
          <t>ООО "Амур Золото"</t>
        </is>
      </c>
      <c r="I1720" s="1" t="inlineStr">
        <is>
          <t>2708001686</t>
        </is>
      </c>
      <c r="J1720" s="1" t="inlineStr">
        <is>
          <t>ОТ № ЮГОК ЗИОФ 24-41</t>
        </is>
      </c>
      <c r="K1720" s="1" t="inlineStr">
        <is>
          <t>Безопасные методы и приемы выполнения работ, связанные с эксплуатацией подъемных сооружений</t>
        </is>
      </c>
      <c r="L1720" s="1" t="inlineStr">
        <is>
          <t>10.12.2024</t>
        </is>
      </c>
      <c r="M1720" s="1" t="inlineStr">
        <is>
          <t>Успешно</t>
        </is>
      </c>
      <c r="N1720" s="1" t="inlineStr">
        <is>
          <t>28.12.2024</t>
        </is>
      </c>
      <c r="O1720" s="1" t="inlineStr"/>
      <c r="P1720" s="1" t="inlineStr"/>
      <c r="Q1720" s="1" t="inlineStr"/>
    </row>
    <row r="1721">
      <c r="B1721" s="1" t="inlineStr">
        <is>
          <t>96539111</t>
        </is>
      </c>
      <c r="C1721" s="1" t="inlineStr">
        <is>
          <t>7135797</t>
        </is>
      </c>
      <c r="D1721" t="inlineStr">
        <is>
          <t>работник 507</t>
        </is>
      </c>
      <c r="E1721" s="1" t="inlineStr">
        <is>
          <t>ОБЩЕСТВО С ОГРАНИЧЕННОЙ ОТВЕТСТВЕННОСТЬЮ "АМУР ЗОЛОТО"</t>
        </is>
      </c>
      <c r="F1721" s="1" t="inlineStr">
        <is>
          <t>2708001686</t>
        </is>
      </c>
      <c r="G1721" s="1" t="inlineStr">
        <is>
          <t>Электрогазосварщик (занятый на резке и ручной сварке)</t>
        </is>
      </c>
      <c r="H1721" s="1" t="inlineStr">
        <is>
          <t>ООО "Амур Золото"</t>
        </is>
      </c>
      <c r="I1721" s="1" t="inlineStr">
        <is>
          <t>2708001686</t>
        </is>
      </c>
      <c r="J1721" s="1" t="inlineStr">
        <is>
          <t>ОТ № ЮГОК ЗИОФ 24-41</t>
        </is>
      </c>
      <c r="K1721" s="1" t="inlineStr">
        <is>
          <t>Безопасные методы и приемы выполнения работ, связанные с эксплуатацией сосудов, работающих под избыточным давлением</t>
        </is>
      </c>
      <c r="L1721" s="1" t="inlineStr">
        <is>
          <t>10.12.2024</t>
        </is>
      </c>
      <c r="M1721" s="1" t="inlineStr">
        <is>
          <t>Успешно</t>
        </is>
      </c>
      <c r="N1721" s="1" t="inlineStr">
        <is>
          <t>28.12.2024</t>
        </is>
      </c>
      <c r="O1721" s="1" t="inlineStr"/>
      <c r="P1721" s="1" t="inlineStr"/>
      <c r="Q1721" s="1" t="inlineStr"/>
    </row>
    <row r="1722">
      <c r="B1722" s="1" t="inlineStr">
        <is>
          <t>96539112</t>
        </is>
      </c>
      <c r="C1722" s="1" t="inlineStr">
        <is>
          <t>7135797</t>
        </is>
      </c>
      <c r="D1722" t="inlineStr">
        <is>
          <t>работник 504</t>
        </is>
      </c>
      <c r="E1722" s="1" t="inlineStr">
        <is>
          <t>ОБЩЕСТВО С ОГРАНИЧЕННОЙ ОТВЕТСТВЕННОСТЬЮ "АМУР ЗОЛОТО"</t>
        </is>
      </c>
      <c r="F1722" s="1" t="inlineStr">
        <is>
          <t>2708001686</t>
        </is>
      </c>
      <c r="G1722" s="1" t="inlineStr">
        <is>
          <t>Электрогазосварщик (занятый на резке и ручной сварке)</t>
        </is>
      </c>
      <c r="H1722" s="1" t="inlineStr">
        <is>
          <t>ООО "Амур Золото"</t>
        </is>
      </c>
      <c r="I1722" s="1" t="inlineStr">
        <is>
          <t>2708001686</t>
        </is>
      </c>
      <c r="J1722" s="1" t="inlineStr">
        <is>
          <t>ОТ № ЮГОК ЗИОФ 24-41</t>
        </is>
      </c>
      <c r="K1722" s="1" t="inlineStr">
        <is>
          <t>Безопасные методы и приемы выполнения работ при размещении, монтаже, техническом обслуживании и ремонте технологического оборудования (включая технологическое оборудование)</t>
        </is>
      </c>
      <c r="L1722" s="1" t="inlineStr">
        <is>
          <t>10.12.2024</t>
        </is>
      </c>
      <c r="M1722" s="1" t="inlineStr">
        <is>
          <t>Успешно</t>
        </is>
      </c>
      <c r="N1722" s="1" t="inlineStr">
        <is>
          <t>28.12.2024</t>
        </is>
      </c>
      <c r="O1722" s="1" t="inlineStr"/>
      <c r="P1722" s="1" t="inlineStr"/>
      <c r="Q1722" s="1" t="inlineStr"/>
    </row>
    <row r="1723">
      <c r="B1723" s="1" t="inlineStr">
        <is>
          <t>96539113</t>
        </is>
      </c>
      <c r="C1723" s="1" t="inlineStr">
        <is>
          <t>7135797</t>
        </is>
      </c>
      <c r="D1723" t="inlineStr">
        <is>
          <t>работник 504</t>
        </is>
      </c>
      <c r="E1723" s="1" t="inlineStr">
        <is>
          <t>ОБЩЕСТВО С ОГРАНИЧЕННОЙ ОТВЕТСТВЕННОСТЬЮ "АМУР ЗОЛОТО"</t>
        </is>
      </c>
      <c r="F1723" s="1" t="inlineStr">
        <is>
          <t>2708001686</t>
        </is>
      </c>
      <c r="G1723" s="1" t="inlineStr">
        <is>
          <t>Электрогазосварщик (занятый на резке и ручной сварке)</t>
        </is>
      </c>
      <c r="H1723" s="1" t="inlineStr">
        <is>
          <t>ООО "Амур Золото"</t>
        </is>
      </c>
      <c r="I1723" s="1" t="inlineStr">
        <is>
          <t>2708001686</t>
        </is>
      </c>
      <c r="J1723" s="1" t="inlineStr">
        <is>
          <t>ОТ № ЮГОК ЗИОФ 24-41</t>
        </is>
      </c>
      <c r="K1723" s="1" t="inlineStr">
        <is>
          <t>Безопасные методы и приемы выполнения работ на высоте</t>
        </is>
      </c>
      <c r="L1723" s="1" t="inlineStr">
        <is>
          <t>10.12.2024</t>
        </is>
      </c>
      <c r="M1723" s="1" t="inlineStr">
        <is>
          <t>Успешно</t>
        </is>
      </c>
      <c r="N1723" s="1" t="inlineStr">
        <is>
          <t>28.12.2024</t>
        </is>
      </c>
      <c r="O1723" s="1" t="inlineStr"/>
      <c r="P1723" s="1" t="inlineStr"/>
      <c r="Q1723" s="1" t="inlineStr"/>
    </row>
    <row r="1724">
      <c r="B1724" s="1" t="inlineStr">
        <is>
          <t>96539114</t>
        </is>
      </c>
      <c r="C1724" s="1" t="inlineStr">
        <is>
          <t>7135797</t>
        </is>
      </c>
      <c r="D1724" t="inlineStr">
        <is>
          <t>работник 504</t>
        </is>
      </c>
      <c r="E1724" s="1" t="inlineStr">
        <is>
          <t>ОБЩЕСТВО С ОГРАНИЧЕННОЙ ОТВЕТСТВЕННОСТЬЮ "АМУР ЗОЛОТО"</t>
        </is>
      </c>
      <c r="F1724" s="1" t="inlineStr">
        <is>
          <t>2708001686</t>
        </is>
      </c>
      <c r="G1724" s="1" t="inlineStr">
        <is>
          <t>Электрогазосварщик (занятый на резке и ручной сварке)</t>
        </is>
      </c>
      <c r="H1724" s="1" t="inlineStr">
        <is>
          <t>ООО "Амур Золото"</t>
        </is>
      </c>
      <c r="I1724" s="1" t="inlineStr">
        <is>
          <t>2708001686</t>
        </is>
      </c>
      <c r="J1724" s="1" t="inlineStr">
        <is>
          <t>ОТ № ЮГОК ЗИОФ 24-41</t>
        </is>
      </c>
      <c r="K1724" s="1" t="inlineStr">
        <is>
          <t>Безопасные методы и приемы выполнения работ в ограниченных и замкнутых пространствах (ОЗП)</t>
        </is>
      </c>
      <c r="L1724" s="1" t="inlineStr">
        <is>
          <t>10.12.2024</t>
        </is>
      </c>
      <c r="M1724" s="1" t="inlineStr">
        <is>
          <t>Успешно</t>
        </is>
      </c>
      <c r="N1724" s="1" t="inlineStr">
        <is>
          <t>28.12.2024</t>
        </is>
      </c>
      <c r="O1724" s="1" t="inlineStr"/>
      <c r="P1724" s="1" t="inlineStr"/>
      <c r="Q1724" s="1" t="inlineStr"/>
    </row>
    <row r="1725">
      <c r="B1725" s="1" t="inlineStr">
        <is>
          <t>96539115</t>
        </is>
      </c>
      <c r="C1725" s="1" t="inlineStr">
        <is>
          <t>7135797</t>
        </is>
      </c>
      <c r="D1725" t="inlineStr">
        <is>
          <t>работник 504</t>
        </is>
      </c>
      <c r="E1725" s="1" t="inlineStr">
        <is>
          <t>ОБЩЕСТВО С ОГРАНИЧЕННОЙ ОТВЕТСТВЕННОСТЬЮ "АМУР ЗОЛОТО"</t>
        </is>
      </c>
      <c r="F1725" s="1" t="inlineStr">
        <is>
          <t>2708001686</t>
        </is>
      </c>
      <c r="G1725" s="1" t="inlineStr">
        <is>
          <t>Электрогазосварщик (занятый на резке и ручной сварке)</t>
        </is>
      </c>
      <c r="H1725" s="1" t="inlineStr">
        <is>
          <t>ООО "Амур Золото"</t>
        </is>
      </c>
      <c r="I1725" s="1" t="inlineStr">
        <is>
          <t>2708001686</t>
        </is>
      </c>
      <c r="J1725" s="1" t="inlineStr">
        <is>
          <t>ОТ № ЮГОК ЗИОФ 24-41</t>
        </is>
      </c>
      <c r="K1725" s="1" t="inlineStr">
        <is>
          <t>Безопасные методы и приемы выполнения огневых работ</t>
        </is>
      </c>
      <c r="L1725" s="1" t="inlineStr">
        <is>
          <t>10.12.2024</t>
        </is>
      </c>
      <c r="M1725" s="1" t="inlineStr">
        <is>
          <t>Успешно</t>
        </is>
      </c>
      <c r="N1725" s="1" t="inlineStr">
        <is>
          <t>28.12.2024</t>
        </is>
      </c>
      <c r="O1725" s="1" t="inlineStr"/>
      <c r="P1725" s="1" t="inlineStr"/>
      <c r="Q1725" s="1" t="inlineStr"/>
    </row>
    <row r="1726">
      <c r="B1726" s="1" t="inlineStr">
        <is>
          <t>96539116</t>
        </is>
      </c>
      <c r="C1726" s="1" t="inlineStr">
        <is>
          <t>7135797</t>
        </is>
      </c>
      <c r="D1726" t="inlineStr">
        <is>
          <t>работник 504</t>
        </is>
      </c>
      <c r="E1726" s="1" t="inlineStr">
        <is>
          <t>ОБЩЕСТВО С ОГРАНИЧЕННОЙ ОТВЕТСТВЕННОСТЬЮ "АМУР ЗОЛОТО"</t>
        </is>
      </c>
      <c r="F1726" s="1" t="inlineStr">
        <is>
          <t>2708001686</t>
        </is>
      </c>
      <c r="G1726" s="1" t="inlineStr">
        <is>
          <t>Электрогазосварщик (занятый на резке и ручной сварке)</t>
        </is>
      </c>
      <c r="H1726" s="1" t="inlineStr">
        <is>
          <t>ООО "Амур Золото"</t>
        </is>
      </c>
      <c r="I1726" s="1" t="inlineStr">
        <is>
          <t>2708001686</t>
        </is>
      </c>
      <c r="J1726" s="1" t="inlineStr">
        <is>
          <t>ОТ № ЮГОК ЗИОФ 24-41</t>
        </is>
      </c>
      <c r="K1726" s="1" t="inlineStr">
        <is>
          <t>Безопасные методы и приемы выполнения работ, связанные с эксплуатацией подъемных сооружений</t>
        </is>
      </c>
      <c r="L1726" s="1" t="inlineStr">
        <is>
          <t>10.12.2024</t>
        </is>
      </c>
      <c r="M1726" s="1" t="inlineStr">
        <is>
          <t>Успешно</t>
        </is>
      </c>
      <c r="N1726" s="1" t="inlineStr">
        <is>
          <t>28.12.2024</t>
        </is>
      </c>
      <c r="O1726" s="1" t="inlineStr"/>
      <c r="P1726" s="1" t="inlineStr"/>
      <c r="Q1726" s="1" t="inlineStr"/>
    </row>
    <row r="1727">
      <c r="B1727" s="1" t="inlineStr">
        <is>
          <t>96539117</t>
        </is>
      </c>
      <c r="C1727" s="1" t="inlineStr">
        <is>
          <t>7135797</t>
        </is>
      </c>
      <c r="D1727" t="inlineStr">
        <is>
          <t>работник 504</t>
        </is>
      </c>
      <c r="E1727" s="1" t="inlineStr">
        <is>
          <t>ОБЩЕСТВО С ОГРАНИЧЕННОЙ ОТВЕТСТВЕННОСТЬЮ "АМУР ЗОЛОТО"</t>
        </is>
      </c>
      <c r="F1727" s="1" t="inlineStr">
        <is>
          <t>2708001686</t>
        </is>
      </c>
      <c r="G1727" s="1" t="inlineStr">
        <is>
          <t>Электрогазосварщик (занятый на резке и ручной сварке)</t>
        </is>
      </c>
      <c r="H1727" s="1" t="inlineStr">
        <is>
          <t>ООО "Амур Золото"</t>
        </is>
      </c>
      <c r="I1727" s="1" t="inlineStr">
        <is>
          <t>2708001686</t>
        </is>
      </c>
      <c r="J1727" s="1" t="inlineStr">
        <is>
          <t>ОТ № ЮГОК ЗИОФ 24-41</t>
        </is>
      </c>
      <c r="K1727" s="1" t="inlineStr">
        <is>
          <t>Безопасные методы и приемы выполнения работ, связанные с эксплуатацией сосудов, работающих под избыточным давлением</t>
        </is>
      </c>
      <c r="L1727" s="1" t="inlineStr">
        <is>
          <t>10.12.2024</t>
        </is>
      </c>
      <c r="M1727" s="1" t="inlineStr">
        <is>
          <t>Успешно</t>
        </is>
      </c>
      <c r="N1727" s="1" t="inlineStr">
        <is>
          <t>28.12.2024</t>
        </is>
      </c>
      <c r="O1727" s="1" t="inlineStr"/>
      <c r="P1727" s="1" t="inlineStr"/>
      <c r="Q1727" s="1" t="inlineStr"/>
    </row>
    <row r="1728">
      <c r="B1728" s="1" t="inlineStr">
        <is>
          <t>96539118</t>
        </is>
      </c>
      <c r="C1728" s="1" t="inlineStr">
        <is>
          <t>7135797</t>
        </is>
      </c>
      <c r="D1728" t="inlineStr">
        <is>
          <t>работник 26</t>
        </is>
      </c>
      <c r="E1728" s="1" t="inlineStr">
        <is>
          <t>ОБЩЕСТВО С ОГРАНИЧЕННОЙ ОТВЕТСТВЕННОСТЬЮ "АМУР ЗОЛОТО"</t>
        </is>
      </c>
      <c r="F1728" s="1" t="inlineStr">
        <is>
          <t>2708001686</t>
        </is>
      </c>
      <c r="G1728" s="1" t="inlineStr">
        <is>
          <t>Электрогазосварщик (занятый на резке и ручной сварке)</t>
        </is>
      </c>
      <c r="H1728" s="1" t="inlineStr">
        <is>
          <t>ООО "Амур Золото"</t>
        </is>
      </c>
      <c r="I1728" s="1" t="inlineStr">
        <is>
          <t>2708001686</t>
        </is>
      </c>
      <c r="J1728" s="1" t="inlineStr">
        <is>
          <t>ОТ № ЮГОК ЗИОФ 24-41</t>
        </is>
      </c>
      <c r="K1728" s="1" t="inlineStr">
        <is>
          <t>Безопасные методы и приемы выполнения работ при размещении, монтаже, техническом обслуживании и ремонте технологического оборудования (включая технологическое оборудование)</t>
        </is>
      </c>
      <c r="L1728" s="1" t="inlineStr">
        <is>
          <t>10.12.2024</t>
        </is>
      </c>
      <c r="M1728" s="1" t="inlineStr">
        <is>
          <t>Успешно</t>
        </is>
      </c>
      <c r="N1728" s="1" t="inlineStr">
        <is>
          <t>28.12.2024</t>
        </is>
      </c>
      <c r="O1728" s="1" t="inlineStr"/>
      <c r="P1728" s="1" t="inlineStr"/>
      <c r="Q1728" s="1" t="inlineStr"/>
    </row>
    <row r="1729">
      <c r="B1729" s="1" t="inlineStr">
        <is>
          <t>96539119</t>
        </is>
      </c>
      <c r="C1729" s="1" t="inlineStr">
        <is>
          <t>7135797</t>
        </is>
      </c>
      <c r="D1729" t="inlineStr">
        <is>
          <t>работник 26</t>
        </is>
      </c>
      <c r="E1729" s="1" t="inlineStr">
        <is>
          <t>ОБЩЕСТВО С ОГРАНИЧЕННОЙ ОТВЕТСТВЕННОСТЬЮ "АМУР ЗОЛОТО"</t>
        </is>
      </c>
      <c r="F1729" s="1" t="inlineStr">
        <is>
          <t>2708001686</t>
        </is>
      </c>
      <c r="G1729" s="1" t="inlineStr">
        <is>
          <t>Электрогазосварщик (занятый на резке и ручной сварке)</t>
        </is>
      </c>
      <c r="H1729" s="1" t="inlineStr">
        <is>
          <t>ООО "Амур Золото"</t>
        </is>
      </c>
      <c r="I1729" s="1" t="inlineStr">
        <is>
          <t>2708001686</t>
        </is>
      </c>
      <c r="J1729" s="1" t="inlineStr">
        <is>
          <t>ОТ № ЮГОК ЗИОФ 24-41</t>
        </is>
      </c>
      <c r="K1729" s="1" t="inlineStr">
        <is>
          <t>Безопасные методы и приемы выполнения работ на высоте</t>
        </is>
      </c>
      <c r="L1729" s="1" t="inlineStr">
        <is>
          <t>10.12.2024</t>
        </is>
      </c>
      <c r="M1729" s="1" t="inlineStr">
        <is>
          <t>Успешно</t>
        </is>
      </c>
      <c r="N1729" s="1" t="inlineStr">
        <is>
          <t>28.12.2024</t>
        </is>
      </c>
      <c r="O1729" s="1" t="inlineStr"/>
      <c r="P1729" s="1" t="inlineStr"/>
      <c r="Q1729" s="1" t="inlineStr"/>
    </row>
    <row r="1730">
      <c r="B1730" s="1" t="inlineStr">
        <is>
          <t>96539120</t>
        </is>
      </c>
      <c r="C1730" s="1" t="inlineStr">
        <is>
          <t>7135797</t>
        </is>
      </c>
      <c r="D1730" t="inlineStr">
        <is>
          <t>работник 26</t>
        </is>
      </c>
      <c r="E1730" s="1" t="inlineStr">
        <is>
          <t>ОБЩЕСТВО С ОГРАНИЧЕННОЙ ОТВЕТСТВЕННОСТЬЮ "АМУР ЗОЛОТО"</t>
        </is>
      </c>
      <c r="F1730" s="1" t="inlineStr">
        <is>
          <t>2708001686</t>
        </is>
      </c>
      <c r="G1730" s="1" t="inlineStr">
        <is>
          <t>Электрогазосварщик (занятый на резке и ручной сварке)</t>
        </is>
      </c>
      <c r="H1730" s="1" t="inlineStr">
        <is>
          <t>ООО "Амур Золото"</t>
        </is>
      </c>
      <c r="I1730" s="1" t="inlineStr">
        <is>
          <t>2708001686</t>
        </is>
      </c>
      <c r="J1730" s="1" t="inlineStr">
        <is>
          <t>ОТ № ЮГОК ЗИОФ 24-41</t>
        </is>
      </c>
      <c r="K1730" s="1" t="inlineStr">
        <is>
          <t>Безопасные методы и приемы выполнения работ в ограниченных и замкнутых пространствах (ОЗП)</t>
        </is>
      </c>
      <c r="L1730" s="1" t="inlineStr">
        <is>
          <t>10.12.2024</t>
        </is>
      </c>
      <c r="M1730" s="1" t="inlineStr">
        <is>
          <t>Успешно</t>
        </is>
      </c>
      <c r="N1730" s="1" t="inlineStr">
        <is>
          <t>28.12.2024</t>
        </is>
      </c>
      <c r="O1730" s="1" t="inlineStr"/>
      <c r="P1730" s="1" t="inlineStr"/>
      <c r="Q1730" s="1" t="inlineStr"/>
    </row>
    <row r="1731">
      <c r="B1731" s="1" t="inlineStr">
        <is>
          <t>96539121</t>
        </is>
      </c>
      <c r="C1731" s="1" t="inlineStr">
        <is>
          <t>7135797</t>
        </is>
      </c>
      <c r="D1731" t="inlineStr">
        <is>
          <t>работник 26</t>
        </is>
      </c>
      <c r="E1731" s="1" t="inlineStr">
        <is>
          <t>ОБЩЕСТВО С ОГРАНИЧЕННОЙ ОТВЕТСТВЕННОСТЬЮ "АМУР ЗОЛОТО"</t>
        </is>
      </c>
      <c r="F1731" s="1" t="inlineStr">
        <is>
          <t>2708001686</t>
        </is>
      </c>
      <c r="G1731" s="1" t="inlineStr">
        <is>
          <t>Электрогазосварщик (занятый на резке и ручной сварке)</t>
        </is>
      </c>
      <c r="H1731" s="1" t="inlineStr">
        <is>
          <t>ООО "Амур Золото"</t>
        </is>
      </c>
      <c r="I1731" s="1" t="inlineStr">
        <is>
          <t>2708001686</t>
        </is>
      </c>
      <c r="J1731" s="1" t="inlineStr">
        <is>
          <t>ОТ № ЮГОК ЗИОФ 24-41</t>
        </is>
      </c>
      <c r="K1731" s="1" t="inlineStr">
        <is>
          <t>Безопасные методы и приемы выполнения огневых работ</t>
        </is>
      </c>
      <c r="L1731" s="1" t="inlineStr">
        <is>
          <t>10.12.2024</t>
        </is>
      </c>
      <c r="M1731" s="1" t="inlineStr">
        <is>
          <t>Успешно</t>
        </is>
      </c>
      <c r="N1731" s="1" t="inlineStr">
        <is>
          <t>28.12.2024</t>
        </is>
      </c>
      <c r="O1731" s="1" t="inlineStr"/>
      <c r="P1731" s="1" t="inlineStr"/>
      <c r="Q1731" s="1" t="inlineStr"/>
    </row>
    <row r="1732">
      <c r="B1732" s="1" t="inlineStr">
        <is>
          <t>96539122</t>
        </is>
      </c>
      <c r="C1732" s="1" t="inlineStr">
        <is>
          <t>7135797</t>
        </is>
      </c>
      <c r="D1732" t="inlineStr">
        <is>
          <t>работник 26</t>
        </is>
      </c>
      <c r="E1732" s="1" t="inlineStr">
        <is>
          <t>ОБЩЕСТВО С ОГРАНИЧЕННОЙ ОТВЕТСТВЕННОСТЬЮ "АМУР ЗОЛОТО"</t>
        </is>
      </c>
      <c r="F1732" s="1" t="inlineStr">
        <is>
          <t>2708001686</t>
        </is>
      </c>
      <c r="G1732" s="1" t="inlineStr">
        <is>
          <t>Электрогазосварщик (занятый на резке и ручной сварке)</t>
        </is>
      </c>
      <c r="H1732" s="1" t="inlineStr">
        <is>
          <t>ООО "Амур Золото"</t>
        </is>
      </c>
      <c r="I1732" s="1" t="inlineStr">
        <is>
          <t>2708001686</t>
        </is>
      </c>
      <c r="J1732" s="1" t="inlineStr">
        <is>
          <t>ОТ № ЮГОК ЗИОФ 24-41</t>
        </is>
      </c>
      <c r="K1732" s="1" t="inlineStr">
        <is>
          <t>Безопасные методы и приемы выполнения работ, связанные с эксплуатацией подъемных сооружений</t>
        </is>
      </c>
      <c r="L1732" s="1" t="inlineStr">
        <is>
          <t>10.12.2024</t>
        </is>
      </c>
      <c r="M1732" s="1" t="inlineStr">
        <is>
          <t>Успешно</t>
        </is>
      </c>
      <c r="N1732" s="1" t="inlineStr">
        <is>
          <t>28.12.2024</t>
        </is>
      </c>
      <c r="O1732" s="1" t="inlineStr"/>
      <c r="P1732" s="1" t="inlineStr"/>
      <c r="Q1732" s="1" t="inlineStr"/>
    </row>
    <row r="1733">
      <c r="B1733" s="1" t="inlineStr">
        <is>
          <t>96539123</t>
        </is>
      </c>
      <c r="C1733" s="1" t="inlineStr">
        <is>
          <t>7135797</t>
        </is>
      </c>
      <c r="D1733" t="inlineStr">
        <is>
          <t>работник 26</t>
        </is>
      </c>
      <c r="E1733" s="1" t="inlineStr">
        <is>
          <t>ОБЩЕСТВО С ОГРАНИЧЕННОЙ ОТВЕТСТВЕННОСТЬЮ "АМУР ЗОЛОТО"</t>
        </is>
      </c>
      <c r="F1733" s="1" t="inlineStr">
        <is>
          <t>2708001686</t>
        </is>
      </c>
      <c r="G1733" s="1" t="inlineStr">
        <is>
          <t>Электрогазосварщик (занятый на резке и ручной сварке)</t>
        </is>
      </c>
      <c r="H1733" s="1" t="inlineStr">
        <is>
          <t>ООО "Амур Золото"</t>
        </is>
      </c>
      <c r="I1733" s="1" t="inlineStr">
        <is>
          <t>2708001686</t>
        </is>
      </c>
      <c r="J1733" s="1" t="inlineStr">
        <is>
          <t>ОТ № ЮГОК ЗИОФ 24-41</t>
        </is>
      </c>
      <c r="K1733" s="1" t="inlineStr">
        <is>
          <t>Безопасные методы и приемы выполнения работ, связанные с эксплуатацией сосудов, работающих под избыточным давлением</t>
        </is>
      </c>
      <c r="L1733" s="1" t="inlineStr">
        <is>
          <t>10.12.2024</t>
        </is>
      </c>
      <c r="M1733" s="1" t="inlineStr">
        <is>
          <t>Успешно</t>
        </is>
      </c>
      <c r="N1733" s="1" t="inlineStr">
        <is>
          <t>28.12.2024</t>
        </is>
      </c>
      <c r="O1733" s="1" t="inlineStr"/>
      <c r="P1733" s="1" t="inlineStr"/>
      <c r="Q1733" s="1" t="inlineStr"/>
    </row>
    <row r="1734">
      <c r="B1734" s="1" t="inlineStr">
        <is>
          <t>96539124</t>
        </is>
      </c>
      <c r="C1734" s="1" t="inlineStr">
        <is>
          <t>7135797</t>
        </is>
      </c>
      <c r="D1734" t="inlineStr">
        <is>
          <t>работник 28</t>
        </is>
      </c>
      <c r="E1734" s="1" t="inlineStr">
        <is>
          <t>ОБЩЕСТВО С ОГРАНИЧЕННОЙ ОТВЕТСТВЕННОСТЬЮ "АМУР ЗОЛОТО"</t>
        </is>
      </c>
      <c r="F1734" s="1" t="inlineStr">
        <is>
          <t>2708001686</t>
        </is>
      </c>
      <c r="G1734" s="1" t="inlineStr">
        <is>
          <t>Электрогазосварщик (занятый на резке и ручной сварке)</t>
        </is>
      </c>
      <c r="H1734" s="1" t="inlineStr">
        <is>
          <t>ООО "Амур Золото"</t>
        </is>
      </c>
      <c r="I1734" s="1" t="inlineStr">
        <is>
          <t>2708001686</t>
        </is>
      </c>
      <c r="J1734" s="1" t="inlineStr">
        <is>
          <t>ОТ № ЮГОК ЗИОФ 24-41</t>
        </is>
      </c>
      <c r="K1734" s="1" t="inlineStr">
        <is>
          <t>Безопасные методы и приемы выполнения работ при размещении, монтаже, техническом обслуживании и ремонте технологического оборудования (включая технологическое оборудование)</t>
        </is>
      </c>
      <c r="L1734" s="1" t="inlineStr">
        <is>
          <t>10.12.2024</t>
        </is>
      </c>
      <c r="M1734" s="1" t="inlineStr">
        <is>
          <t>Успешно</t>
        </is>
      </c>
      <c r="N1734" s="1" t="inlineStr">
        <is>
          <t>28.12.2024</t>
        </is>
      </c>
      <c r="O1734" s="1" t="inlineStr"/>
      <c r="P1734" s="1" t="inlineStr"/>
      <c r="Q1734" s="1" t="inlineStr"/>
    </row>
    <row r="1735">
      <c r="B1735" s="1" t="inlineStr">
        <is>
          <t>96539125</t>
        </is>
      </c>
      <c r="C1735" s="1" t="inlineStr">
        <is>
          <t>7135797</t>
        </is>
      </c>
      <c r="D1735" t="inlineStr">
        <is>
          <t>работник 28</t>
        </is>
      </c>
      <c r="E1735" s="1" t="inlineStr">
        <is>
          <t>ОБЩЕСТВО С ОГРАНИЧЕННОЙ ОТВЕТСТВЕННОСТЬЮ "АМУР ЗОЛОТО"</t>
        </is>
      </c>
      <c r="F1735" s="1" t="inlineStr">
        <is>
          <t>2708001686</t>
        </is>
      </c>
      <c r="G1735" s="1" t="inlineStr">
        <is>
          <t>Электрогазосварщик (занятый на резке и ручной сварке)</t>
        </is>
      </c>
      <c r="H1735" s="1" t="inlineStr">
        <is>
          <t>ООО "Амур Золото"</t>
        </is>
      </c>
      <c r="I1735" s="1" t="inlineStr">
        <is>
          <t>2708001686</t>
        </is>
      </c>
      <c r="J1735" s="1" t="inlineStr">
        <is>
          <t>ОТ № ЮГОК ЗИОФ 24-41</t>
        </is>
      </c>
      <c r="K1735" s="1" t="inlineStr">
        <is>
          <t>Безопасные методы и приемы выполнения работ на высоте</t>
        </is>
      </c>
      <c r="L1735" s="1" t="inlineStr">
        <is>
          <t>10.12.2024</t>
        </is>
      </c>
      <c r="M1735" s="1" t="inlineStr">
        <is>
          <t>Успешно</t>
        </is>
      </c>
      <c r="N1735" s="1" t="inlineStr">
        <is>
          <t>28.12.2024</t>
        </is>
      </c>
      <c r="O1735" s="1" t="inlineStr"/>
      <c r="P1735" s="1" t="inlineStr"/>
      <c r="Q1735" s="1" t="inlineStr"/>
    </row>
    <row r="1736">
      <c r="B1736" s="1" t="inlineStr">
        <is>
          <t>96539126</t>
        </is>
      </c>
      <c r="C1736" s="1" t="inlineStr">
        <is>
          <t>7135797</t>
        </is>
      </c>
      <c r="D1736" t="inlineStr">
        <is>
          <t>работник 28</t>
        </is>
      </c>
      <c r="E1736" s="1" t="inlineStr">
        <is>
          <t>ОБЩЕСТВО С ОГРАНИЧЕННОЙ ОТВЕТСТВЕННОСТЬЮ "АМУР ЗОЛОТО"</t>
        </is>
      </c>
      <c r="F1736" s="1" t="inlineStr">
        <is>
          <t>2708001686</t>
        </is>
      </c>
      <c r="G1736" s="1" t="inlineStr">
        <is>
          <t>Электрогазосварщик (занятый на резке и ручной сварке)</t>
        </is>
      </c>
      <c r="H1736" s="1" t="inlineStr">
        <is>
          <t>ООО "Амур Золото"</t>
        </is>
      </c>
      <c r="I1736" s="1" t="inlineStr">
        <is>
          <t>2708001686</t>
        </is>
      </c>
      <c r="J1736" s="1" t="inlineStr">
        <is>
          <t>ОТ № ЮГОК ЗИОФ 24-41</t>
        </is>
      </c>
      <c r="K1736" s="1" t="inlineStr">
        <is>
          <t>Безопасные методы и приемы выполнения работ в ограниченных и замкнутых пространствах (ОЗП)</t>
        </is>
      </c>
      <c r="L1736" s="1" t="inlineStr">
        <is>
          <t>10.12.2024</t>
        </is>
      </c>
      <c r="M1736" s="1" t="inlineStr">
        <is>
          <t>Успешно</t>
        </is>
      </c>
      <c r="N1736" s="1" t="inlineStr">
        <is>
          <t>28.12.2024</t>
        </is>
      </c>
      <c r="O1736" s="1" t="inlineStr"/>
      <c r="P1736" s="1" t="inlineStr"/>
      <c r="Q1736" s="1" t="inlineStr"/>
    </row>
    <row r="1737">
      <c r="B1737" s="1" t="inlineStr">
        <is>
          <t>96539127</t>
        </is>
      </c>
      <c r="C1737" s="1" t="inlineStr">
        <is>
          <t>7135797</t>
        </is>
      </c>
      <c r="D1737" t="inlineStr">
        <is>
          <t>работник 28</t>
        </is>
      </c>
      <c r="E1737" s="1" t="inlineStr">
        <is>
          <t>ОБЩЕСТВО С ОГРАНИЧЕННОЙ ОТВЕТСТВЕННОСТЬЮ "АМУР ЗОЛОТО"</t>
        </is>
      </c>
      <c r="F1737" s="1" t="inlineStr">
        <is>
          <t>2708001686</t>
        </is>
      </c>
      <c r="G1737" s="1" t="inlineStr">
        <is>
          <t>Электрогазосварщик (занятый на резке и ручной сварке)</t>
        </is>
      </c>
      <c r="H1737" s="1" t="inlineStr">
        <is>
          <t>ООО "Амур Золото"</t>
        </is>
      </c>
      <c r="I1737" s="1" t="inlineStr">
        <is>
          <t>2708001686</t>
        </is>
      </c>
      <c r="J1737" s="1" t="inlineStr">
        <is>
          <t>ОТ № ЮГОК ЗИОФ 24-41</t>
        </is>
      </c>
      <c r="K1737" s="1" t="inlineStr">
        <is>
          <t>Безопасные методы и приемы выполнения огневых работ</t>
        </is>
      </c>
      <c r="L1737" s="1" t="inlineStr">
        <is>
          <t>10.12.2024</t>
        </is>
      </c>
      <c r="M1737" s="1" t="inlineStr">
        <is>
          <t>Успешно</t>
        </is>
      </c>
      <c r="N1737" s="1" t="inlineStr">
        <is>
          <t>28.12.2024</t>
        </is>
      </c>
      <c r="O1737" s="1" t="inlineStr"/>
      <c r="P1737" s="1" t="inlineStr"/>
      <c r="Q1737" s="1" t="inlineStr"/>
    </row>
    <row r="1738">
      <c r="B1738" s="1" t="inlineStr">
        <is>
          <t>96539128</t>
        </is>
      </c>
      <c r="C1738" s="1" t="inlineStr">
        <is>
          <t>7135797</t>
        </is>
      </c>
      <c r="D1738" t="inlineStr">
        <is>
          <t>работник 28</t>
        </is>
      </c>
      <c r="E1738" s="1" t="inlineStr">
        <is>
          <t>ОБЩЕСТВО С ОГРАНИЧЕННОЙ ОТВЕТСТВЕННОСТЬЮ "АМУР ЗОЛОТО"</t>
        </is>
      </c>
      <c r="F1738" s="1" t="inlineStr">
        <is>
          <t>2708001686</t>
        </is>
      </c>
      <c r="G1738" s="1" t="inlineStr">
        <is>
          <t>Электрогазосварщик (занятый на резке и ручной сварке)</t>
        </is>
      </c>
      <c r="H1738" s="1" t="inlineStr">
        <is>
          <t>ООО "Амур Золото"</t>
        </is>
      </c>
      <c r="I1738" s="1" t="inlineStr">
        <is>
          <t>2708001686</t>
        </is>
      </c>
      <c r="J1738" s="1" t="inlineStr">
        <is>
          <t>ОТ № ЮГОК ЗИОФ 24-41</t>
        </is>
      </c>
      <c r="K1738" s="1" t="inlineStr">
        <is>
          <t>Безопасные методы и приемы выполнения работ, связанные с эксплуатацией подъемных сооружений</t>
        </is>
      </c>
      <c r="L1738" s="1" t="inlineStr">
        <is>
          <t>10.12.2024</t>
        </is>
      </c>
      <c r="M1738" s="1" t="inlineStr">
        <is>
          <t>Успешно</t>
        </is>
      </c>
      <c r="N1738" s="1" t="inlineStr">
        <is>
          <t>28.12.2024</t>
        </is>
      </c>
      <c r="O1738" s="1" t="inlineStr"/>
      <c r="P1738" s="1" t="inlineStr"/>
      <c r="Q1738" s="1" t="inlineStr"/>
    </row>
    <row r="1739">
      <c r="B1739" s="1" t="inlineStr">
        <is>
          <t>96539129</t>
        </is>
      </c>
      <c r="C1739" s="1" t="inlineStr">
        <is>
          <t>7135797</t>
        </is>
      </c>
      <c r="D1739" t="inlineStr">
        <is>
          <t>работник 28</t>
        </is>
      </c>
      <c r="E1739" s="1" t="inlineStr">
        <is>
          <t>ОБЩЕСТВО С ОГРАНИЧЕННОЙ ОТВЕТСТВЕННОСТЬЮ "АМУР ЗОЛОТО"</t>
        </is>
      </c>
      <c r="F1739" s="1" t="inlineStr">
        <is>
          <t>2708001686</t>
        </is>
      </c>
      <c r="G1739" s="1" t="inlineStr">
        <is>
          <t>Электрогазосварщик (занятый на резке и ручной сварке)</t>
        </is>
      </c>
      <c r="H1739" s="1" t="inlineStr">
        <is>
          <t>ООО "Амур Золото"</t>
        </is>
      </c>
      <c r="I1739" s="1" t="inlineStr">
        <is>
          <t>2708001686</t>
        </is>
      </c>
      <c r="J1739" s="1" t="inlineStr">
        <is>
          <t>ОТ № ЮГОК ЗИОФ 24-41</t>
        </is>
      </c>
      <c r="K1739" s="1" t="inlineStr">
        <is>
          <t>Безопасные методы и приемы выполнения работ, связанные с эксплуатацией сосудов, работающих под избыточным давлением</t>
        </is>
      </c>
      <c r="L1739" s="1" t="inlineStr">
        <is>
          <t>10.12.2024</t>
        </is>
      </c>
      <c r="M1739" s="1" t="inlineStr">
        <is>
          <t>Успешно</t>
        </is>
      </c>
      <c r="N1739" s="1" t="inlineStr">
        <is>
          <t>28.12.2024</t>
        </is>
      </c>
      <c r="O1739" s="1" t="inlineStr"/>
      <c r="P1739" s="1" t="inlineStr"/>
      <c r="Q1739" s="1" t="inlineStr"/>
    </row>
    <row r="1740">
      <c r="B1740" s="1" t="inlineStr">
        <is>
          <t>96539130</t>
        </is>
      </c>
      <c r="C1740" s="1" t="inlineStr">
        <is>
          <t>7135797</t>
        </is>
      </c>
      <c r="D1740" t="inlineStr">
        <is>
          <t>работник 132</t>
        </is>
      </c>
      <c r="E1740" s="1" t="inlineStr">
        <is>
          <t>ОБЩЕСТВО С ОГРАНИЧЕННОЙ ОТВЕТСТВЕННОСТЬЮ "АМУР ЗОЛОТО"</t>
        </is>
      </c>
      <c r="F1740" s="1" t="inlineStr">
        <is>
          <t>2708001686</t>
        </is>
      </c>
      <c r="G1740" s="1" t="inlineStr">
        <is>
          <t>Электрогазосварщик (занятый на резке и ручной сварке)</t>
        </is>
      </c>
      <c r="H1740" s="1" t="inlineStr">
        <is>
          <t>ООО "Амур Золото"</t>
        </is>
      </c>
      <c r="I1740" s="1" t="inlineStr">
        <is>
          <t>2708001686</t>
        </is>
      </c>
      <c r="J1740" s="1" t="inlineStr">
        <is>
          <t>ОТ № ЮГОК ЗИОФ 24-41</t>
        </is>
      </c>
      <c r="K1740" s="1" t="inlineStr">
        <is>
          <t>Безопасные методы и приемы выполнения работ при размещении, монтаже, техническом обслуживании и ремонте технологического оборудования (включая технологическое оборудование)</t>
        </is>
      </c>
      <c r="L1740" s="1" t="inlineStr">
        <is>
          <t>10.12.2024</t>
        </is>
      </c>
      <c r="M1740" s="1" t="inlineStr">
        <is>
          <t>Успешно</t>
        </is>
      </c>
      <c r="N1740" s="1" t="inlineStr">
        <is>
          <t>28.12.2024</t>
        </is>
      </c>
      <c r="O1740" s="1" t="inlineStr"/>
      <c r="P1740" s="1" t="inlineStr"/>
      <c r="Q1740" s="1" t="inlineStr"/>
    </row>
    <row r="1741">
      <c r="B1741" s="1" t="inlineStr">
        <is>
          <t>96539131</t>
        </is>
      </c>
      <c r="C1741" s="1" t="inlineStr">
        <is>
          <t>7135797</t>
        </is>
      </c>
      <c r="D1741" t="inlineStr">
        <is>
          <t>работник 132</t>
        </is>
      </c>
      <c r="E1741" s="1" t="inlineStr">
        <is>
          <t>ОБЩЕСТВО С ОГРАНИЧЕННОЙ ОТВЕТСТВЕННОСТЬЮ "АМУР ЗОЛОТО"</t>
        </is>
      </c>
      <c r="F1741" s="1" t="inlineStr">
        <is>
          <t>2708001686</t>
        </is>
      </c>
      <c r="G1741" s="1" t="inlineStr">
        <is>
          <t>Электрогазосварщик (занятый на резке и ручной сварке)</t>
        </is>
      </c>
      <c r="H1741" s="1" t="inlineStr">
        <is>
          <t>ООО "Амур Золото"</t>
        </is>
      </c>
      <c r="I1741" s="1" t="inlineStr">
        <is>
          <t>2708001686</t>
        </is>
      </c>
      <c r="J1741" s="1" t="inlineStr">
        <is>
          <t>ОТ № ЮГОК ЗИОФ 24-41</t>
        </is>
      </c>
      <c r="K1741" s="1" t="inlineStr">
        <is>
          <t>Безопасные методы и приемы выполнения работ на высоте</t>
        </is>
      </c>
      <c r="L1741" s="1" t="inlineStr">
        <is>
          <t>10.12.2024</t>
        </is>
      </c>
      <c r="M1741" s="1" t="inlineStr">
        <is>
          <t>Успешно</t>
        </is>
      </c>
      <c r="N1741" s="1" t="inlineStr">
        <is>
          <t>28.12.2024</t>
        </is>
      </c>
      <c r="O1741" s="1" t="inlineStr"/>
      <c r="P1741" s="1" t="inlineStr"/>
      <c r="Q1741" s="1" t="inlineStr"/>
    </row>
    <row r="1742">
      <c r="B1742" s="1" t="inlineStr">
        <is>
          <t>96539132</t>
        </is>
      </c>
      <c r="C1742" s="1" t="inlineStr">
        <is>
          <t>7135797</t>
        </is>
      </c>
      <c r="D1742" t="inlineStr">
        <is>
          <t>работник 132</t>
        </is>
      </c>
      <c r="E1742" s="1" t="inlineStr">
        <is>
          <t>ОБЩЕСТВО С ОГРАНИЧЕННОЙ ОТВЕТСТВЕННОСТЬЮ "АМУР ЗОЛОТО"</t>
        </is>
      </c>
      <c r="F1742" s="1" t="inlineStr">
        <is>
          <t>2708001686</t>
        </is>
      </c>
      <c r="G1742" s="1" t="inlineStr">
        <is>
          <t>Электрогазосварщик (занятый на резке и ручной сварке)</t>
        </is>
      </c>
      <c r="H1742" s="1" t="inlineStr">
        <is>
          <t>ООО "Амур Золото"</t>
        </is>
      </c>
      <c r="I1742" s="1" t="inlineStr">
        <is>
          <t>2708001686</t>
        </is>
      </c>
      <c r="J1742" s="1" t="inlineStr">
        <is>
          <t>ОТ № ЮГОК ЗИОФ 24-41</t>
        </is>
      </c>
      <c r="K1742" s="1" t="inlineStr">
        <is>
          <t>Безопасные методы и приемы выполнения работ в ограниченных и замкнутых пространствах (ОЗП)</t>
        </is>
      </c>
      <c r="L1742" s="1" t="inlineStr">
        <is>
          <t>10.12.2024</t>
        </is>
      </c>
      <c r="M1742" s="1" t="inlineStr">
        <is>
          <t>Успешно</t>
        </is>
      </c>
      <c r="N1742" s="1" t="inlineStr">
        <is>
          <t>28.12.2024</t>
        </is>
      </c>
      <c r="O1742" s="1" t="inlineStr"/>
      <c r="P1742" s="1" t="inlineStr"/>
      <c r="Q1742" s="1" t="inlineStr"/>
    </row>
    <row r="1743">
      <c r="B1743" s="1" t="inlineStr">
        <is>
          <t>96539133</t>
        </is>
      </c>
      <c r="C1743" s="1" t="inlineStr">
        <is>
          <t>7135797</t>
        </is>
      </c>
      <c r="D1743" t="inlineStr">
        <is>
          <t>работник 132</t>
        </is>
      </c>
      <c r="E1743" s="1" t="inlineStr">
        <is>
          <t>ОБЩЕСТВО С ОГРАНИЧЕННОЙ ОТВЕТСТВЕННОСТЬЮ "АМУР ЗОЛОТО"</t>
        </is>
      </c>
      <c r="F1743" s="1" t="inlineStr">
        <is>
          <t>2708001686</t>
        </is>
      </c>
      <c r="G1743" s="1" t="inlineStr">
        <is>
          <t>Электрогазосварщик (занятый на резке и ручной сварке)</t>
        </is>
      </c>
      <c r="H1743" s="1" t="inlineStr">
        <is>
          <t>ООО "Амур Золото"</t>
        </is>
      </c>
      <c r="I1743" s="1" t="inlineStr">
        <is>
          <t>2708001686</t>
        </is>
      </c>
      <c r="J1743" s="1" t="inlineStr">
        <is>
          <t>ОТ № ЮГОК ЗИОФ 24-41</t>
        </is>
      </c>
      <c r="K1743" s="1" t="inlineStr">
        <is>
          <t>Безопасные методы и приемы выполнения огневых работ</t>
        </is>
      </c>
      <c r="L1743" s="1" t="inlineStr">
        <is>
          <t>10.12.2024</t>
        </is>
      </c>
      <c r="M1743" s="1" t="inlineStr">
        <is>
          <t>Успешно</t>
        </is>
      </c>
      <c r="N1743" s="1" t="inlineStr">
        <is>
          <t>28.12.2024</t>
        </is>
      </c>
      <c r="O1743" s="1" t="inlineStr"/>
      <c r="P1743" s="1" t="inlineStr"/>
      <c r="Q1743" s="1" t="inlineStr"/>
    </row>
    <row r="1744">
      <c r="B1744" s="1" t="inlineStr">
        <is>
          <t>96539134</t>
        </is>
      </c>
      <c r="C1744" s="1" t="inlineStr">
        <is>
          <t>7135797</t>
        </is>
      </c>
      <c r="D1744" t="inlineStr">
        <is>
          <t>работник 132</t>
        </is>
      </c>
      <c r="E1744" s="1" t="inlineStr">
        <is>
          <t>ОБЩЕСТВО С ОГРАНИЧЕННОЙ ОТВЕТСТВЕННОСТЬЮ "АМУР ЗОЛОТО"</t>
        </is>
      </c>
      <c r="F1744" s="1" t="inlineStr">
        <is>
          <t>2708001686</t>
        </is>
      </c>
      <c r="G1744" s="1" t="inlineStr">
        <is>
          <t>Электрогазосварщик (занятый на резке и ручной сварке)</t>
        </is>
      </c>
      <c r="H1744" s="1" t="inlineStr">
        <is>
          <t>ООО "Амур Золото"</t>
        </is>
      </c>
      <c r="I1744" s="1" t="inlineStr">
        <is>
          <t>2708001686</t>
        </is>
      </c>
      <c r="J1744" s="1" t="inlineStr">
        <is>
          <t>ОТ № ЮГОК ЗИОФ 24-41</t>
        </is>
      </c>
      <c r="K1744" s="1" t="inlineStr">
        <is>
          <t>Безопасные методы и приемы выполнения работ, связанные с эксплуатацией подъемных сооружений</t>
        </is>
      </c>
      <c r="L1744" s="1" t="inlineStr">
        <is>
          <t>10.12.2024</t>
        </is>
      </c>
      <c r="M1744" s="1" t="inlineStr">
        <is>
          <t>Успешно</t>
        </is>
      </c>
      <c r="N1744" s="1" t="inlineStr">
        <is>
          <t>28.12.2024</t>
        </is>
      </c>
      <c r="O1744" s="1" t="inlineStr"/>
      <c r="P1744" s="1" t="inlineStr"/>
      <c r="Q1744" s="1" t="inlineStr"/>
    </row>
    <row r="1745">
      <c r="B1745" s="1" t="inlineStr">
        <is>
          <t>96539135</t>
        </is>
      </c>
      <c r="C1745" s="1" t="inlineStr">
        <is>
          <t>7135797</t>
        </is>
      </c>
      <c r="D1745" t="inlineStr">
        <is>
          <t>работник 132</t>
        </is>
      </c>
      <c r="E1745" s="1" t="inlineStr">
        <is>
          <t>ОБЩЕСТВО С ОГРАНИЧЕННОЙ ОТВЕТСТВЕННОСТЬЮ "АМУР ЗОЛОТО"</t>
        </is>
      </c>
      <c r="F1745" s="1" t="inlineStr">
        <is>
          <t>2708001686</t>
        </is>
      </c>
      <c r="G1745" s="1" t="inlineStr">
        <is>
          <t>Электрогазосварщик (занятый на резке и ручной сварке)</t>
        </is>
      </c>
      <c r="H1745" s="1" t="inlineStr">
        <is>
          <t>ООО "Амур Золото"</t>
        </is>
      </c>
      <c r="I1745" s="1" t="inlineStr">
        <is>
          <t>2708001686</t>
        </is>
      </c>
      <c r="J1745" s="1" t="inlineStr">
        <is>
          <t>ОТ № ЮГОК ЗИОФ 24-41</t>
        </is>
      </c>
      <c r="K1745" s="1" t="inlineStr">
        <is>
          <t>Безопасные методы и приемы выполнения работ, связанные с эксплуатацией сосудов, работающих под избыточным давлением</t>
        </is>
      </c>
      <c r="L1745" s="1" t="inlineStr">
        <is>
          <t>10.12.2024</t>
        </is>
      </c>
      <c r="M1745" s="1" t="inlineStr">
        <is>
          <t>Успешно</t>
        </is>
      </c>
      <c r="N1745" s="1" t="inlineStr">
        <is>
          <t>28.12.2024</t>
        </is>
      </c>
      <c r="O1745" s="1" t="inlineStr"/>
      <c r="P1745" s="1" t="inlineStr"/>
      <c r="Q1745" s="1" t="inlineStr"/>
    </row>
    <row r="1746">
      <c r="B1746" s="1" t="inlineStr">
        <is>
          <t>96539136</t>
        </is>
      </c>
      <c r="C1746" s="1" t="inlineStr">
        <is>
          <t>7135797</t>
        </is>
      </c>
      <c r="D1746" t="inlineStr">
        <is>
          <t>работник 133</t>
        </is>
      </c>
      <c r="E1746" s="1" t="inlineStr">
        <is>
          <t>ОБЩЕСТВО С ОГРАНИЧЕННОЙ ОТВЕТСТВЕННОСТЬЮ "АМУР ЗОЛОТО"</t>
        </is>
      </c>
      <c r="F1746" s="1" t="inlineStr">
        <is>
          <t>2708001686</t>
        </is>
      </c>
      <c r="G1746" s="1" t="inlineStr">
        <is>
          <t>Электрогазосварщик (занятый на резке и ручной сварке)</t>
        </is>
      </c>
      <c r="H1746" s="1" t="inlineStr">
        <is>
          <t>ООО "Амур Золото"</t>
        </is>
      </c>
      <c r="I1746" s="1" t="inlineStr">
        <is>
          <t>2708001686</t>
        </is>
      </c>
      <c r="J1746" s="1" t="inlineStr">
        <is>
          <t>ОТ № ЮГОК ЗИОФ 24-41</t>
        </is>
      </c>
      <c r="K1746" s="1" t="inlineStr">
        <is>
          <t>Безопасные методы и приемы выполнения работ при размещении, монтаже, техническом обслуживании и ремонте технологического оборудования (включая технологическое оборудование)</t>
        </is>
      </c>
      <c r="L1746" s="1" t="inlineStr">
        <is>
          <t>10.12.2024</t>
        </is>
      </c>
      <c r="M1746" s="1" t="inlineStr">
        <is>
          <t>Успешно</t>
        </is>
      </c>
      <c r="N1746" s="1" t="inlineStr">
        <is>
          <t>28.12.2024</t>
        </is>
      </c>
      <c r="O1746" s="1" t="inlineStr"/>
      <c r="P1746" s="1" t="inlineStr"/>
      <c r="Q1746" s="1" t="inlineStr"/>
    </row>
    <row r="1747">
      <c r="B1747" s="1" t="inlineStr">
        <is>
          <t>96539137</t>
        </is>
      </c>
      <c r="C1747" s="1" t="inlineStr">
        <is>
          <t>7135797</t>
        </is>
      </c>
      <c r="D1747" t="inlineStr">
        <is>
          <t>работник 133</t>
        </is>
      </c>
      <c r="E1747" s="1" t="inlineStr">
        <is>
          <t>ОБЩЕСТВО С ОГРАНИЧЕННОЙ ОТВЕТСТВЕННОСТЬЮ "АМУР ЗОЛОТО"</t>
        </is>
      </c>
      <c r="F1747" s="1" t="inlineStr">
        <is>
          <t>2708001686</t>
        </is>
      </c>
      <c r="G1747" s="1" t="inlineStr">
        <is>
          <t>Электрогазосварщик (занятый на резке и ручной сварке)</t>
        </is>
      </c>
      <c r="H1747" s="1" t="inlineStr">
        <is>
          <t>ООО "Амур Золото"</t>
        </is>
      </c>
      <c r="I1747" s="1" t="inlineStr">
        <is>
          <t>2708001686</t>
        </is>
      </c>
      <c r="J1747" s="1" t="inlineStr">
        <is>
          <t>ОТ № ЮГОК ЗИОФ 24-41</t>
        </is>
      </c>
      <c r="K1747" s="1" t="inlineStr">
        <is>
          <t>Безопасные методы и приемы выполнения работ на высоте</t>
        </is>
      </c>
      <c r="L1747" s="1" t="inlineStr">
        <is>
          <t>10.12.2024</t>
        </is>
      </c>
      <c r="M1747" s="1" t="inlineStr">
        <is>
          <t>Успешно</t>
        </is>
      </c>
      <c r="N1747" s="1" t="inlineStr">
        <is>
          <t>28.12.2024</t>
        </is>
      </c>
      <c r="O1747" s="1" t="inlineStr"/>
      <c r="P1747" s="1" t="inlineStr"/>
      <c r="Q1747" s="1" t="inlineStr"/>
    </row>
    <row r="1748">
      <c r="B1748" s="1" t="inlineStr">
        <is>
          <t>96539138</t>
        </is>
      </c>
      <c r="C1748" s="1" t="inlineStr">
        <is>
          <t>7135797</t>
        </is>
      </c>
      <c r="D1748" t="inlineStr">
        <is>
          <t>работник 133</t>
        </is>
      </c>
      <c r="E1748" s="1" t="inlineStr">
        <is>
          <t>ОБЩЕСТВО С ОГРАНИЧЕННОЙ ОТВЕТСТВЕННОСТЬЮ "АМУР ЗОЛОТО"</t>
        </is>
      </c>
      <c r="F1748" s="1" t="inlineStr">
        <is>
          <t>2708001686</t>
        </is>
      </c>
      <c r="G1748" s="1" t="inlineStr">
        <is>
          <t>Электрогазосварщик (занятый на резке и ручной сварке)</t>
        </is>
      </c>
      <c r="H1748" s="1" t="inlineStr">
        <is>
          <t>ООО "Амур Золото"</t>
        </is>
      </c>
      <c r="I1748" s="1" t="inlineStr">
        <is>
          <t>2708001686</t>
        </is>
      </c>
      <c r="J1748" s="1" t="inlineStr">
        <is>
          <t>ОТ № ЮГОК ЗИОФ 24-41</t>
        </is>
      </c>
      <c r="K1748" s="1" t="inlineStr">
        <is>
          <t>Безопасные методы и приемы выполнения работ в ограниченных и замкнутых пространствах (ОЗП)</t>
        </is>
      </c>
      <c r="L1748" s="1" t="inlineStr">
        <is>
          <t>10.12.2024</t>
        </is>
      </c>
      <c r="M1748" s="1" t="inlineStr">
        <is>
          <t>Успешно</t>
        </is>
      </c>
      <c r="N1748" s="1" t="inlineStr">
        <is>
          <t>28.12.2024</t>
        </is>
      </c>
      <c r="O1748" s="1" t="inlineStr"/>
      <c r="P1748" s="1" t="inlineStr"/>
      <c r="Q1748" s="1" t="inlineStr"/>
    </row>
    <row r="1749">
      <c r="B1749" s="1" t="inlineStr">
        <is>
          <t>96539139</t>
        </is>
      </c>
      <c r="C1749" s="1" t="inlineStr">
        <is>
          <t>7135797</t>
        </is>
      </c>
      <c r="D1749" t="inlineStr">
        <is>
          <t>работник 133</t>
        </is>
      </c>
      <c r="E1749" s="1" t="inlineStr">
        <is>
          <t>ОБЩЕСТВО С ОГРАНИЧЕННОЙ ОТВЕТСТВЕННОСТЬЮ "АМУР ЗОЛОТО"</t>
        </is>
      </c>
      <c r="F1749" s="1" t="inlineStr">
        <is>
          <t>2708001686</t>
        </is>
      </c>
      <c r="G1749" s="1" t="inlineStr">
        <is>
          <t>Электрогазосварщик (занятый на резке и ручной сварке)</t>
        </is>
      </c>
      <c r="H1749" s="1" t="inlineStr">
        <is>
          <t>ООО "Амур Золото"</t>
        </is>
      </c>
      <c r="I1749" s="1" t="inlineStr">
        <is>
          <t>2708001686</t>
        </is>
      </c>
      <c r="J1749" s="1" t="inlineStr">
        <is>
          <t>ОТ № ЮГОК ЗИОФ 24-41</t>
        </is>
      </c>
      <c r="K1749" s="1" t="inlineStr">
        <is>
          <t>Безопасные методы и приемы выполнения огневых работ</t>
        </is>
      </c>
      <c r="L1749" s="1" t="inlineStr">
        <is>
          <t>10.12.2024</t>
        </is>
      </c>
      <c r="M1749" s="1" t="inlineStr">
        <is>
          <t>Успешно</t>
        </is>
      </c>
      <c r="N1749" s="1" t="inlineStr">
        <is>
          <t>28.12.2024</t>
        </is>
      </c>
      <c r="O1749" s="1" t="inlineStr"/>
      <c r="P1749" s="1" t="inlineStr"/>
      <c r="Q1749" s="1" t="inlineStr"/>
    </row>
    <row r="1750">
      <c r="B1750" s="1" t="inlineStr">
        <is>
          <t>96539140</t>
        </is>
      </c>
      <c r="C1750" s="1" t="inlineStr">
        <is>
          <t>7135797</t>
        </is>
      </c>
      <c r="D1750" t="inlineStr">
        <is>
          <t>работник 133</t>
        </is>
      </c>
      <c r="E1750" s="1" t="inlineStr">
        <is>
          <t>ОБЩЕСТВО С ОГРАНИЧЕННОЙ ОТВЕТСТВЕННОСТЬЮ "АМУР ЗОЛОТО"</t>
        </is>
      </c>
      <c r="F1750" s="1" t="inlineStr">
        <is>
          <t>2708001686</t>
        </is>
      </c>
      <c r="G1750" s="1" t="inlineStr">
        <is>
          <t>Электрогазосварщик (занятый на резке и ручной сварке)</t>
        </is>
      </c>
      <c r="H1750" s="1" t="inlineStr">
        <is>
          <t>ООО "Амур Золото"</t>
        </is>
      </c>
      <c r="I1750" s="1" t="inlineStr">
        <is>
          <t>2708001686</t>
        </is>
      </c>
      <c r="J1750" s="1" t="inlineStr">
        <is>
          <t>ОТ № ЮГОК ЗИОФ 24-41</t>
        </is>
      </c>
      <c r="K1750" s="1" t="inlineStr">
        <is>
          <t>Безопасные методы и приемы выполнения работ, связанные с эксплуатацией подъемных сооружений</t>
        </is>
      </c>
      <c r="L1750" s="1" t="inlineStr">
        <is>
          <t>10.12.2024</t>
        </is>
      </c>
      <c r="M1750" s="1" t="inlineStr">
        <is>
          <t>Успешно</t>
        </is>
      </c>
      <c r="N1750" s="1" t="inlineStr">
        <is>
          <t>28.12.2024</t>
        </is>
      </c>
      <c r="O1750" s="1" t="inlineStr"/>
      <c r="P1750" s="1" t="inlineStr"/>
      <c r="Q1750" s="1" t="inlineStr"/>
    </row>
    <row r="1751">
      <c r="B1751" s="1" t="inlineStr">
        <is>
          <t>96539141</t>
        </is>
      </c>
      <c r="C1751" s="1" t="inlineStr">
        <is>
          <t>7135797</t>
        </is>
      </c>
      <c r="D1751" t="inlineStr">
        <is>
          <t>работник 133</t>
        </is>
      </c>
      <c r="E1751" s="1" t="inlineStr">
        <is>
          <t>ОБЩЕСТВО С ОГРАНИЧЕННОЙ ОТВЕТСТВЕННОСТЬЮ "АМУР ЗОЛОТО"</t>
        </is>
      </c>
      <c r="F1751" s="1" t="inlineStr">
        <is>
          <t>2708001686</t>
        </is>
      </c>
      <c r="G1751" s="1" t="inlineStr">
        <is>
          <t>Электрогазосварщик (занятый на резке и ручной сварке)</t>
        </is>
      </c>
      <c r="H1751" s="1" t="inlineStr">
        <is>
          <t>ООО "Амур Золото"</t>
        </is>
      </c>
      <c r="I1751" s="1" t="inlineStr">
        <is>
          <t>2708001686</t>
        </is>
      </c>
      <c r="J1751" s="1" t="inlineStr">
        <is>
          <t>ОТ № ЮГОК ЗИОФ 24-41</t>
        </is>
      </c>
      <c r="K1751" s="1" t="inlineStr">
        <is>
          <t>Безопасные методы и приемы выполнения работ, связанные с эксплуатацией сосудов, работающих под избыточным давлением</t>
        </is>
      </c>
      <c r="L1751" s="1" t="inlineStr">
        <is>
          <t>10.12.2024</t>
        </is>
      </c>
      <c r="M1751" s="1" t="inlineStr">
        <is>
          <t>Успешно</t>
        </is>
      </c>
      <c r="N1751" s="1" t="inlineStr">
        <is>
          <t>28.12.2024</t>
        </is>
      </c>
      <c r="O1751" s="1" t="inlineStr"/>
      <c r="P1751" s="1" t="inlineStr"/>
      <c r="Q1751" s="1" t="inlineStr"/>
    </row>
    <row r="1752">
      <c r="B1752" s="1" t="inlineStr">
        <is>
          <t>96539142</t>
        </is>
      </c>
      <c r="C1752" s="1" t="inlineStr">
        <is>
          <t>7135797</t>
        </is>
      </c>
      <c r="D1752" t="inlineStr">
        <is>
          <t>работник 131</t>
        </is>
      </c>
      <c r="E1752" s="1" t="inlineStr">
        <is>
          <t>ОБЩЕСТВО С ОГРАНИЧЕННОЙ ОТВЕТСТВЕННОСТЬЮ "АМУР ЗОЛОТО"</t>
        </is>
      </c>
      <c r="F1752" s="1" t="inlineStr">
        <is>
          <t>2708001686</t>
        </is>
      </c>
      <c r="G1752" s="1" t="inlineStr">
        <is>
          <t>Электрогазосварщик (занятый на резке и ручной сварке)</t>
        </is>
      </c>
      <c r="H1752" s="1" t="inlineStr">
        <is>
          <t>ООО "Амур Золото"</t>
        </is>
      </c>
      <c r="I1752" s="1" t="inlineStr">
        <is>
          <t>2708001686</t>
        </is>
      </c>
      <c r="J1752" s="1" t="inlineStr">
        <is>
          <t>ОТ № ЮГОК ЗИОФ 24-41</t>
        </is>
      </c>
      <c r="K1752" s="1" t="inlineStr">
        <is>
          <t>Безопасные методы и приемы выполнения работ при размещении, монтаже, техническом обслуживании и ремонте технологического оборудования (включая технологическое оборудование)</t>
        </is>
      </c>
      <c r="L1752" s="1" t="inlineStr">
        <is>
          <t>10.12.2024</t>
        </is>
      </c>
      <c r="M1752" s="1" t="inlineStr">
        <is>
          <t>Успешно</t>
        </is>
      </c>
      <c r="N1752" s="1" t="inlineStr">
        <is>
          <t>28.12.2024</t>
        </is>
      </c>
      <c r="O1752" s="1" t="inlineStr"/>
      <c r="P1752" s="1" t="inlineStr"/>
      <c r="Q1752" s="1" t="inlineStr"/>
    </row>
    <row r="1753">
      <c r="B1753" s="1" t="inlineStr">
        <is>
          <t>96539143</t>
        </is>
      </c>
      <c r="C1753" s="1" t="inlineStr">
        <is>
          <t>7135797</t>
        </is>
      </c>
      <c r="D1753" t="inlineStr">
        <is>
          <t>работник 131</t>
        </is>
      </c>
      <c r="E1753" s="1" t="inlineStr">
        <is>
          <t>ОБЩЕСТВО С ОГРАНИЧЕННОЙ ОТВЕТСТВЕННОСТЬЮ "АМУР ЗОЛОТО"</t>
        </is>
      </c>
      <c r="F1753" s="1" t="inlineStr">
        <is>
          <t>2708001686</t>
        </is>
      </c>
      <c r="G1753" s="1" t="inlineStr">
        <is>
          <t>Электрогазосварщик (занятый на резке и ручной сварке)</t>
        </is>
      </c>
      <c r="H1753" s="1" t="inlineStr">
        <is>
          <t>ООО "Амур Золото"</t>
        </is>
      </c>
      <c r="I1753" s="1" t="inlineStr">
        <is>
          <t>2708001686</t>
        </is>
      </c>
      <c r="J1753" s="1" t="inlineStr">
        <is>
          <t>ОТ № ЮГОК ЗИОФ 24-41</t>
        </is>
      </c>
      <c r="K1753" s="1" t="inlineStr">
        <is>
          <t>Безопасные методы и приемы выполнения работ на высоте</t>
        </is>
      </c>
      <c r="L1753" s="1" t="inlineStr">
        <is>
          <t>10.12.2024</t>
        </is>
      </c>
      <c r="M1753" s="1" t="inlineStr">
        <is>
          <t>Успешно</t>
        </is>
      </c>
      <c r="N1753" s="1" t="inlineStr">
        <is>
          <t>28.12.2024</t>
        </is>
      </c>
      <c r="O1753" s="1" t="inlineStr"/>
      <c r="P1753" s="1" t="inlineStr"/>
      <c r="Q1753" s="1" t="inlineStr"/>
    </row>
    <row r="1754">
      <c r="B1754" s="1" t="inlineStr">
        <is>
          <t>96539144</t>
        </is>
      </c>
      <c r="C1754" s="1" t="inlineStr">
        <is>
          <t>7135797</t>
        </is>
      </c>
      <c r="D1754" t="inlineStr">
        <is>
          <t>работник 131</t>
        </is>
      </c>
      <c r="E1754" s="1" t="inlineStr">
        <is>
          <t>ОБЩЕСТВО С ОГРАНИЧЕННОЙ ОТВЕТСТВЕННОСТЬЮ "АМУР ЗОЛОТО"</t>
        </is>
      </c>
      <c r="F1754" s="1" t="inlineStr">
        <is>
          <t>2708001686</t>
        </is>
      </c>
      <c r="G1754" s="1" t="inlineStr">
        <is>
          <t>Электрогазосварщик (занятый на резке и ручной сварке)</t>
        </is>
      </c>
      <c r="H1754" s="1" t="inlineStr">
        <is>
          <t>ООО "Амур Золото"</t>
        </is>
      </c>
      <c r="I1754" s="1" t="inlineStr">
        <is>
          <t>2708001686</t>
        </is>
      </c>
      <c r="J1754" s="1" t="inlineStr">
        <is>
          <t>ОТ № ЮГОК ЗИОФ 24-41</t>
        </is>
      </c>
      <c r="K1754" s="1" t="inlineStr">
        <is>
          <t>Безопасные методы и приемы выполнения работ в ограниченных и замкнутых пространствах (ОЗП)</t>
        </is>
      </c>
      <c r="L1754" s="1" t="inlineStr">
        <is>
          <t>10.12.2024</t>
        </is>
      </c>
      <c r="M1754" s="1" t="inlineStr">
        <is>
          <t>Успешно</t>
        </is>
      </c>
      <c r="N1754" s="1" t="inlineStr">
        <is>
          <t>28.12.2024</t>
        </is>
      </c>
      <c r="O1754" s="1" t="inlineStr"/>
      <c r="P1754" s="1" t="inlineStr"/>
      <c r="Q1754" s="1" t="inlineStr"/>
    </row>
    <row r="1755">
      <c r="B1755" s="1" t="inlineStr">
        <is>
          <t>96539145</t>
        </is>
      </c>
      <c r="C1755" s="1" t="inlineStr">
        <is>
          <t>7135797</t>
        </is>
      </c>
      <c r="D1755" t="inlineStr">
        <is>
          <t>работник 131</t>
        </is>
      </c>
      <c r="E1755" s="1" t="inlineStr">
        <is>
          <t>ОБЩЕСТВО С ОГРАНИЧЕННОЙ ОТВЕТСТВЕННОСТЬЮ "АМУР ЗОЛОТО"</t>
        </is>
      </c>
      <c r="F1755" s="1" t="inlineStr">
        <is>
          <t>2708001686</t>
        </is>
      </c>
      <c r="G1755" s="1" t="inlineStr">
        <is>
          <t>Электрогазосварщик (занятый на резке и ручной сварке)</t>
        </is>
      </c>
      <c r="H1755" s="1" t="inlineStr">
        <is>
          <t>ООО "Амур Золото"</t>
        </is>
      </c>
      <c r="I1755" s="1" t="inlineStr">
        <is>
          <t>2708001686</t>
        </is>
      </c>
      <c r="J1755" s="1" t="inlineStr">
        <is>
          <t>ОТ № ЮГОК ЗИОФ 24-41</t>
        </is>
      </c>
      <c r="K1755" s="1" t="inlineStr">
        <is>
          <t>Безопасные методы и приемы выполнения огневых работ</t>
        </is>
      </c>
      <c r="L1755" s="1" t="inlineStr">
        <is>
          <t>10.12.2024</t>
        </is>
      </c>
      <c r="M1755" s="1" t="inlineStr">
        <is>
          <t>Успешно</t>
        </is>
      </c>
      <c r="N1755" s="1" t="inlineStr">
        <is>
          <t>28.12.2024</t>
        </is>
      </c>
      <c r="O1755" s="1" t="inlineStr"/>
      <c r="P1755" s="1" t="inlineStr"/>
      <c r="Q1755" s="1" t="inlineStr"/>
    </row>
    <row r="1756">
      <c r="B1756" s="1" t="inlineStr">
        <is>
          <t>96539146</t>
        </is>
      </c>
      <c r="C1756" s="1" t="inlineStr">
        <is>
          <t>7135797</t>
        </is>
      </c>
      <c r="D1756" t="inlineStr">
        <is>
          <t>работник 131</t>
        </is>
      </c>
      <c r="E1756" s="1" t="inlineStr">
        <is>
          <t>ОБЩЕСТВО С ОГРАНИЧЕННОЙ ОТВЕТСТВЕННОСТЬЮ "АМУР ЗОЛОТО"</t>
        </is>
      </c>
      <c r="F1756" s="1" t="inlineStr">
        <is>
          <t>2708001686</t>
        </is>
      </c>
      <c r="G1756" s="1" t="inlineStr">
        <is>
          <t>Электрогазосварщик (занятый на резке и ручной сварке)</t>
        </is>
      </c>
      <c r="H1756" s="1" t="inlineStr">
        <is>
          <t>ООО "Амур Золото"</t>
        </is>
      </c>
      <c r="I1756" s="1" t="inlineStr">
        <is>
          <t>2708001686</t>
        </is>
      </c>
      <c r="J1756" s="1" t="inlineStr">
        <is>
          <t>ОТ № ЮГОК ЗИОФ 24-41</t>
        </is>
      </c>
      <c r="K1756" s="1" t="inlineStr">
        <is>
          <t>Безопасные методы и приемы выполнения работ, связанные с эксплуатацией подъемных сооружений</t>
        </is>
      </c>
      <c r="L1756" s="1" t="inlineStr">
        <is>
          <t>10.12.2024</t>
        </is>
      </c>
      <c r="M1756" s="1" t="inlineStr">
        <is>
          <t>Успешно</t>
        </is>
      </c>
      <c r="N1756" s="1" t="inlineStr">
        <is>
          <t>28.12.2024</t>
        </is>
      </c>
      <c r="O1756" s="1" t="inlineStr"/>
      <c r="P1756" s="1" t="inlineStr"/>
      <c r="Q1756" s="1" t="inlineStr"/>
    </row>
    <row r="1757">
      <c r="B1757" s="1" t="inlineStr">
        <is>
          <t>96539147</t>
        </is>
      </c>
      <c r="C1757" s="1" t="inlineStr">
        <is>
          <t>7135797</t>
        </is>
      </c>
      <c r="D1757" t="inlineStr">
        <is>
          <t>работник 131</t>
        </is>
      </c>
      <c r="E1757" s="1" t="inlineStr">
        <is>
          <t>ОБЩЕСТВО С ОГРАНИЧЕННОЙ ОТВЕТСТВЕННОСТЬЮ "АМУР ЗОЛОТО"</t>
        </is>
      </c>
      <c r="F1757" s="1" t="inlineStr">
        <is>
          <t>2708001686</t>
        </is>
      </c>
      <c r="G1757" s="1" t="inlineStr">
        <is>
          <t>Электрогазосварщик (занятый на резке и ручной сварке)</t>
        </is>
      </c>
      <c r="H1757" s="1" t="inlineStr">
        <is>
          <t>ООО "Амур Золото"</t>
        </is>
      </c>
      <c r="I1757" s="1" t="inlineStr">
        <is>
          <t>2708001686</t>
        </is>
      </c>
      <c r="J1757" s="1" t="inlineStr">
        <is>
          <t>ОТ № ЮГОК ЗИОФ 24-41</t>
        </is>
      </c>
      <c r="K1757" s="1" t="inlineStr">
        <is>
          <t>Безопасные методы и приемы выполнения работ, связанные с эксплуатацией сосудов, работающих под избыточным давлением</t>
        </is>
      </c>
      <c r="L1757" s="1" t="inlineStr">
        <is>
          <t>10.12.2024</t>
        </is>
      </c>
      <c r="M1757" s="1" t="inlineStr">
        <is>
          <t>Успешно</t>
        </is>
      </c>
      <c r="N1757" s="1" t="inlineStr">
        <is>
          <t>28.12.2024</t>
        </is>
      </c>
      <c r="O1757" s="1" t="inlineStr"/>
      <c r="P1757" s="1" t="inlineStr"/>
      <c r="Q1757" s="1" t="inlineStr"/>
    </row>
    <row r="1758">
      <c r="B1758" s="1" t="inlineStr">
        <is>
          <t>96539148</t>
        </is>
      </c>
      <c r="C1758" s="1" t="inlineStr">
        <is>
          <t>7135797</t>
        </is>
      </c>
      <c r="D1758" t="inlineStr">
        <is>
          <t>работник 32</t>
        </is>
      </c>
      <c r="E1758" s="1" t="inlineStr">
        <is>
          <t>ОБЩЕСТВО С ОГРАНИЧЕННОЙ ОТВЕТСТВЕННОСТЬЮ "АМУР ЗОЛОТО"</t>
        </is>
      </c>
      <c r="F1758" s="1" t="inlineStr">
        <is>
          <t>2708001686</t>
        </is>
      </c>
      <c r="G1758" s="1" t="inlineStr">
        <is>
          <t>Электромонтер по ремонту и обслуживанию электрооборудованию</t>
        </is>
      </c>
      <c r="H1758" s="1" t="inlineStr">
        <is>
          <t>ООО "Амур Золото"</t>
        </is>
      </c>
      <c r="I1758" s="1" t="inlineStr">
        <is>
          <t>2708001686</t>
        </is>
      </c>
      <c r="J1758" s="1" t="inlineStr">
        <is>
          <t>ОТ № ЮГОК ЗИОФ 24-42</t>
        </is>
      </c>
      <c r="K1758" s="1" t="inlineStr">
        <is>
          <t>Безопасные методы и приемы выполнения работ при размещении, монтаже, техническом обслуживании и ремонте технологического оборудования (включая технологическое оборудование)</t>
        </is>
      </c>
      <c r="L1758" s="1" t="inlineStr">
        <is>
          <t>10.12.2024</t>
        </is>
      </c>
      <c r="M1758" s="1" t="inlineStr">
        <is>
          <t>Успешно</t>
        </is>
      </c>
      <c r="N1758" s="1" t="inlineStr">
        <is>
          <t>28.12.2024</t>
        </is>
      </c>
      <c r="O1758" s="1" t="inlineStr"/>
      <c r="P1758" s="1" t="inlineStr"/>
      <c r="Q1758" s="1" t="inlineStr"/>
    </row>
    <row r="1759">
      <c r="B1759" s="1" t="inlineStr">
        <is>
          <t>96539149</t>
        </is>
      </c>
      <c r="C1759" s="1" t="inlineStr">
        <is>
          <t>7135797</t>
        </is>
      </c>
      <c r="D1759" t="inlineStr">
        <is>
          <t>работник 32</t>
        </is>
      </c>
      <c r="E1759" s="1" t="inlineStr">
        <is>
          <t>ОБЩЕСТВО С ОГРАНИЧЕННОЙ ОТВЕТСТВЕННОСТЬЮ "АМУР ЗОЛОТО"</t>
        </is>
      </c>
      <c r="F1759" s="1" t="inlineStr">
        <is>
          <t>2708001686</t>
        </is>
      </c>
      <c r="G1759" s="1" t="inlineStr">
        <is>
          <t>Электромонтер по ремонту и обслуживанию электрооборудованию</t>
        </is>
      </c>
      <c r="H1759" s="1" t="inlineStr">
        <is>
          <t>ООО "Амур Золото"</t>
        </is>
      </c>
      <c r="I1759" s="1" t="inlineStr">
        <is>
          <t>2708001686</t>
        </is>
      </c>
      <c r="J1759" s="1" t="inlineStr">
        <is>
          <t>ОТ № ЮГОК ЗИОФ 24-42</t>
        </is>
      </c>
      <c r="K1759" s="1" t="inlineStr">
        <is>
          <t>Безопасные методы и приемы выполнения работ на высоте</t>
        </is>
      </c>
      <c r="L1759" s="1" t="inlineStr">
        <is>
          <t>10.12.2024</t>
        </is>
      </c>
      <c r="M1759" s="1" t="inlineStr">
        <is>
          <t>Успешно</t>
        </is>
      </c>
      <c r="N1759" s="1" t="inlineStr">
        <is>
          <t>28.12.2024</t>
        </is>
      </c>
      <c r="O1759" s="1" t="inlineStr"/>
      <c r="P1759" s="1" t="inlineStr"/>
      <c r="Q1759" s="1" t="inlineStr"/>
    </row>
    <row r="1760">
      <c r="B1760" s="1" t="inlineStr">
        <is>
          <t>96539150</t>
        </is>
      </c>
      <c r="C1760" s="1" t="inlineStr">
        <is>
          <t>7135797</t>
        </is>
      </c>
      <c r="D1760" t="inlineStr">
        <is>
          <t>работник 32</t>
        </is>
      </c>
      <c r="E1760" s="1" t="inlineStr">
        <is>
          <t>ОБЩЕСТВО С ОГРАНИЧЕННОЙ ОТВЕТСТВЕННОСТЬЮ "АМУР ЗОЛОТО"</t>
        </is>
      </c>
      <c r="F1760" s="1" t="inlineStr">
        <is>
          <t>2708001686</t>
        </is>
      </c>
      <c r="G1760" s="1" t="inlineStr">
        <is>
          <t>Электромонтер по ремонту и обслуживанию электрооборудованию</t>
        </is>
      </c>
      <c r="H1760" s="1" t="inlineStr">
        <is>
          <t>ООО "Амур Золото"</t>
        </is>
      </c>
      <c r="I1760" s="1" t="inlineStr">
        <is>
          <t>2708001686</t>
        </is>
      </c>
      <c r="J1760" s="1" t="inlineStr">
        <is>
          <t>ОТ № ЮГОК ЗИОФ 24-42</t>
        </is>
      </c>
      <c r="K1760" s="1" t="inlineStr">
        <is>
          <t>Безопасные методы и приемы выполнения работ в ограниченных и замкнутых пространствах (ОЗП)</t>
        </is>
      </c>
      <c r="L1760" s="1" t="inlineStr">
        <is>
          <t>10.12.2024</t>
        </is>
      </c>
      <c r="M1760" s="1" t="inlineStr">
        <is>
          <t>Успешно</t>
        </is>
      </c>
      <c r="N1760" s="1" t="inlineStr">
        <is>
          <t>28.12.2024</t>
        </is>
      </c>
      <c r="O1760" s="1" t="inlineStr"/>
      <c r="P1760" s="1" t="inlineStr"/>
      <c r="Q1760" s="1" t="inlineStr"/>
    </row>
    <row r="1761">
      <c r="B1761" s="1" t="inlineStr">
        <is>
          <t>96539151</t>
        </is>
      </c>
      <c r="C1761" s="1" t="inlineStr">
        <is>
          <t>7135797</t>
        </is>
      </c>
      <c r="D1761" t="inlineStr">
        <is>
          <t>работник 32</t>
        </is>
      </c>
      <c r="E1761" s="1" t="inlineStr">
        <is>
          <t>ОБЩЕСТВО С ОГРАНИЧЕННОЙ ОТВЕТСТВЕННОСТЬЮ "АМУР ЗОЛОТО"</t>
        </is>
      </c>
      <c r="F1761" s="1" t="inlineStr">
        <is>
          <t>2708001686</t>
        </is>
      </c>
      <c r="G1761" s="1" t="inlineStr">
        <is>
          <t>Электромонтер по ремонту и обслуживанию электрооборудованию</t>
        </is>
      </c>
      <c r="H1761" s="1" t="inlineStr">
        <is>
          <t>ООО "Амур Золото"</t>
        </is>
      </c>
      <c r="I1761" s="1" t="inlineStr">
        <is>
          <t>2708001686</t>
        </is>
      </c>
      <c r="J1761" s="1" t="inlineStr">
        <is>
          <t>ОТ № ЮГОК ЗИОФ 24-42</t>
        </is>
      </c>
      <c r="K1761" s="1" t="inlineStr">
        <is>
          <t>Безопасные методы и приемы выполнения огневых работ</t>
        </is>
      </c>
      <c r="L1761" s="1" t="inlineStr">
        <is>
          <t>10.12.2024</t>
        </is>
      </c>
      <c r="M1761" s="1" t="inlineStr">
        <is>
          <t>Успешно</t>
        </is>
      </c>
      <c r="N1761" s="1" t="inlineStr">
        <is>
          <t>28.12.2024</t>
        </is>
      </c>
      <c r="O1761" s="1" t="inlineStr"/>
      <c r="P1761" s="1" t="inlineStr"/>
      <c r="Q1761" s="1" t="inlineStr"/>
    </row>
    <row r="1762">
      <c r="B1762" s="1" t="inlineStr">
        <is>
          <t>96539152</t>
        </is>
      </c>
      <c r="C1762" s="1" t="inlineStr">
        <is>
          <t>7135797</t>
        </is>
      </c>
      <c r="D1762" t="inlineStr">
        <is>
          <t>работник 32</t>
        </is>
      </c>
      <c r="E1762" s="1" t="inlineStr">
        <is>
          <t>ОБЩЕСТВО С ОГРАНИЧЕННОЙ ОТВЕТСТВЕННОСТЬЮ "АМУР ЗОЛОТО"</t>
        </is>
      </c>
      <c r="F1762" s="1" t="inlineStr">
        <is>
          <t>2708001686</t>
        </is>
      </c>
      <c r="G1762" s="1" t="inlineStr">
        <is>
          <t>Электромонтер по ремонту и обслуживанию электрооборудованию</t>
        </is>
      </c>
      <c r="H1762" s="1" t="inlineStr">
        <is>
          <t>ООО "Амур Золото"</t>
        </is>
      </c>
      <c r="I1762" s="1" t="inlineStr">
        <is>
          <t>2708001686</t>
        </is>
      </c>
      <c r="J1762" s="1" t="inlineStr">
        <is>
          <t>ОТ № ЮГОК ЗИОФ 24-42</t>
        </is>
      </c>
      <c r="K1762" s="1" t="inlineStr">
        <is>
          <t>Безопасные методы и приемы выполнения работ, связанные с эксплуатацией подъемных сооружений</t>
        </is>
      </c>
      <c r="L1762" s="1" t="inlineStr">
        <is>
          <t>10.12.2024</t>
        </is>
      </c>
      <c r="M1762" s="1" t="inlineStr">
        <is>
          <t>Успешно</t>
        </is>
      </c>
      <c r="N1762" s="1" t="inlineStr">
        <is>
          <t>28.12.2024</t>
        </is>
      </c>
      <c r="O1762" s="1" t="inlineStr"/>
      <c r="P1762" s="1" t="inlineStr"/>
      <c r="Q1762" s="1" t="inlineStr"/>
    </row>
    <row r="1763">
      <c r="B1763" s="1" t="inlineStr">
        <is>
          <t>96539153</t>
        </is>
      </c>
      <c r="C1763" s="1" t="inlineStr">
        <is>
          <t>7135797</t>
        </is>
      </c>
      <c r="D1763" t="inlineStr">
        <is>
          <t>работник 32</t>
        </is>
      </c>
      <c r="E1763" s="1" t="inlineStr">
        <is>
          <t>ОБЩЕСТВО С ОГРАНИЧЕННОЙ ОТВЕТСТВЕННОСТЬЮ "АМУР ЗОЛОТО"</t>
        </is>
      </c>
      <c r="F1763" s="1" t="inlineStr">
        <is>
          <t>2708001686</t>
        </is>
      </c>
      <c r="G1763" s="1" t="inlineStr">
        <is>
          <t>Электромонтер по ремонту и обслуживанию электрооборудованию</t>
        </is>
      </c>
      <c r="H1763" s="1" t="inlineStr">
        <is>
          <t>ООО "Амур Золото"</t>
        </is>
      </c>
      <c r="I1763" s="1" t="inlineStr">
        <is>
          <t>2708001686</t>
        </is>
      </c>
      <c r="J1763" s="1" t="inlineStr">
        <is>
          <t>ОТ № ЮГОК ЗИОФ 24-42</t>
        </is>
      </c>
      <c r="K1763" s="1" t="inlineStr">
        <is>
          <t>Безопасные методы и приемы выполнения работ, связанные с эксплуатацией сосудов, работающих под избыточным давлением</t>
        </is>
      </c>
      <c r="L1763" s="1" t="inlineStr">
        <is>
          <t>10.12.2024</t>
        </is>
      </c>
      <c r="M1763" s="1" t="inlineStr">
        <is>
          <t>Успешно</t>
        </is>
      </c>
      <c r="N1763" s="1" t="inlineStr">
        <is>
          <t>28.12.2024</t>
        </is>
      </c>
      <c r="O1763" s="1" t="inlineStr"/>
      <c r="P1763" s="1" t="inlineStr"/>
      <c r="Q1763" s="1" t="inlineStr"/>
    </row>
    <row r="1764">
      <c r="B1764" s="1" t="inlineStr">
        <is>
          <t>96539154</t>
        </is>
      </c>
      <c r="C1764" s="1" t="inlineStr">
        <is>
          <t>7135797</t>
        </is>
      </c>
      <c r="D1764" t="inlineStr">
        <is>
          <t>работник 31</t>
        </is>
      </c>
      <c r="E1764" s="1" t="inlineStr">
        <is>
          <t>ОБЩЕСТВО С ОГРАНИЧЕННОЙ ОТВЕТСТВЕННОСТЬЮ "АМУР ЗОЛОТО"</t>
        </is>
      </c>
      <c r="F1764" s="1" t="inlineStr">
        <is>
          <t>2708001686</t>
        </is>
      </c>
      <c r="G1764" s="1" t="inlineStr">
        <is>
          <t>Электромонтер по ремонту и обслуживанию электрооборудованию</t>
        </is>
      </c>
      <c r="H1764" s="1" t="inlineStr">
        <is>
          <t>ООО "Амур Золото"</t>
        </is>
      </c>
      <c r="I1764" s="1" t="inlineStr">
        <is>
          <t>2708001686</t>
        </is>
      </c>
      <c r="J1764" s="1" t="inlineStr">
        <is>
          <t>ОТ № ЮГОК ЗИОФ 24-42</t>
        </is>
      </c>
      <c r="K1764" s="1" t="inlineStr">
        <is>
          <t>Безопасные методы и приемы выполнения работ при размещении, монтаже, техническом обслуживании и ремонте технологического оборудования (включая технологическое оборудование)</t>
        </is>
      </c>
      <c r="L1764" s="1" t="inlineStr">
        <is>
          <t>10.12.2024</t>
        </is>
      </c>
      <c r="M1764" s="1" t="inlineStr">
        <is>
          <t>Успешно</t>
        </is>
      </c>
      <c r="N1764" s="1" t="inlineStr">
        <is>
          <t>28.12.2024</t>
        </is>
      </c>
      <c r="O1764" s="1" t="inlineStr"/>
      <c r="P1764" s="1" t="inlineStr"/>
      <c r="Q1764" s="1" t="inlineStr"/>
    </row>
    <row r="1765">
      <c r="B1765" s="1" t="inlineStr">
        <is>
          <t>96539155</t>
        </is>
      </c>
      <c r="C1765" s="1" t="inlineStr">
        <is>
          <t>7135797</t>
        </is>
      </c>
      <c r="D1765" t="inlineStr">
        <is>
          <t>работник 31</t>
        </is>
      </c>
      <c r="E1765" s="1" t="inlineStr">
        <is>
          <t>ОБЩЕСТВО С ОГРАНИЧЕННОЙ ОТВЕТСТВЕННОСТЬЮ "АМУР ЗОЛОТО"</t>
        </is>
      </c>
      <c r="F1765" s="1" t="inlineStr">
        <is>
          <t>2708001686</t>
        </is>
      </c>
      <c r="G1765" s="1" t="inlineStr">
        <is>
          <t>Электромонтер по ремонту и обслуживанию электрооборудованию</t>
        </is>
      </c>
      <c r="H1765" s="1" t="inlineStr">
        <is>
          <t>ООО "Амур Золото"</t>
        </is>
      </c>
      <c r="I1765" s="1" t="inlineStr">
        <is>
          <t>2708001686</t>
        </is>
      </c>
      <c r="J1765" s="1" t="inlineStr">
        <is>
          <t>ОТ № ЮГОК ЗИОФ 24-42</t>
        </is>
      </c>
      <c r="K1765" s="1" t="inlineStr">
        <is>
          <t>Безопасные методы и приемы выполнения работ на высоте</t>
        </is>
      </c>
      <c r="L1765" s="1" t="inlineStr">
        <is>
          <t>10.12.2024</t>
        </is>
      </c>
      <c r="M1765" s="1" t="inlineStr">
        <is>
          <t>Успешно</t>
        </is>
      </c>
      <c r="N1765" s="1" t="inlineStr">
        <is>
          <t>28.12.2024</t>
        </is>
      </c>
      <c r="O1765" s="1" t="inlineStr"/>
      <c r="P1765" s="1" t="inlineStr"/>
      <c r="Q1765" s="1" t="inlineStr"/>
    </row>
    <row r="1766">
      <c r="B1766" s="1" t="inlineStr">
        <is>
          <t>96539156</t>
        </is>
      </c>
      <c r="C1766" s="1" t="inlineStr">
        <is>
          <t>7135797</t>
        </is>
      </c>
      <c r="D1766" t="inlineStr">
        <is>
          <t>работник 31</t>
        </is>
      </c>
      <c r="E1766" s="1" t="inlineStr">
        <is>
          <t>ОБЩЕСТВО С ОГРАНИЧЕННОЙ ОТВЕТСТВЕННОСТЬЮ "АМУР ЗОЛОТО"</t>
        </is>
      </c>
      <c r="F1766" s="1" t="inlineStr">
        <is>
          <t>2708001686</t>
        </is>
      </c>
      <c r="G1766" s="1" t="inlineStr">
        <is>
          <t>Электромонтер по ремонту и обслуживанию электрооборудованию</t>
        </is>
      </c>
      <c r="H1766" s="1" t="inlineStr">
        <is>
          <t>ООО "Амур Золото"</t>
        </is>
      </c>
      <c r="I1766" s="1" t="inlineStr">
        <is>
          <t>2708001686</t>
        </is>
      </c>
      <c r="J1766" s="1" t="inlineStr">
        <is>
          <t>ОТ № ЮГОК ЗИОФ 24-42</t>
        </is>
      </c>
      <c r="K1766" s="1" t="inlineStr">
        <is>
          <t>Безопасные методы и приемы выполнения работ в ограниченных и замкнутых пространствах (ОЗП)</t>
        </is>
      </c>
      <c r="L1766" s="1" t="inlineStr">
        <is>
          <t>10.12.2024</t>
        </is>
      </c>
      <c r="M1766" s="1" t="inlineStr">
        <is>
          <t>Успешно</t>
        </is>
      </c>
      <c r="N1766" s="1" t="inlineStr">
        <is>
          <t>28.12.2024</t>
        </is>
      </c>
      <c r="O1766" s="1" t="inlineStr"/>
      <c r="P1766" s="1" t="inlineStr"/>
      <c r="Q1766" s="1" t="inlineStr"/>
    </row>
    <row r="1767">
      <c r="B1767" s="1" t="inlineStr">
        <is>
          <t>96539157</t>
        </is>
      </c>
      <c r="C1767" s="1" t="inlineStr">
        <is>
          <t>7135797</t>
        </is>
      </c>
      <c r="D1767" t="inlineStr">
        <is>
          <t>работник 31</t>
        </is>
      </c>
      <c r="E1767" s="1" t="inlineStr">
        <is>
          <t>ОБЩЕСТВО С ОГРАНИЧЕННОЙ ОТВЕТСТВЕННОСТЬЮ "АМУР ЗОЛОТО"</t>
        </is>
      </c>
      <c r="F1767" s="1" t="inlineStr">
        <is>
          <t>2708001686</t>
        </is>
      </c>
      <c r="G1767" s="1" t="inlineStr">
        <is>
          <t>Электромонтер по ремонту и обслуживанию электрооборудованию</t>
        </is>
      </c>
      <c r="H1767" s="1" t="inlineStr">
        <is>
          <t>ООО "Амур Золото"</t>
        </is>
      </c>
      <c r="I1767" s="1" t="inlineStr">
        <is>
          <t>2708001686</t>
        </is>
      </c>
      <c r="J1767" s="1" t="inlineStr">
        <is>
          <t>ОТ № ЮГОК ЗИОФ 24-42</t>
        </is>
      </c>
      <c r="K1767" s="1" t="inlineStr">
        <is>
          <t>Безопасные методы и приемы выполнения огневых работ</t>
        </is>
      </c>
      <c r="L1767" s="1" t="inlineStr">
        <is>
          <t>10.12.2024</t>
        </is>
      </c>
      <c r="M1767" s="1" t="inlineStr">
        <is>
          <t>Успешно</t>
        </is>
      </c>
      <c r="N1767" s="1" t="inlineStr">
        <is>
          <t>28.12.2024</t>
        </is>
      </c>
      <c r="O1767" s="1" t="inlineStr"/>
      <c r="P1767" s="1" t="inlineStr"/>
      <c r="Q1767" s="1" t="inlineStr"/>
    </row>
    <row r="1768">
      <c r="B1768" s="1" t="inlineStr">
        <is>
          <t>96539158</t>
        </is>
      </c>
      <c r="C1768" s="1" t="inlineStr">
        <is>
          <t>7135797</t>
        </is>
      </c>
      <c r="D1768" t="inlineStr">
        <is>
          <t>работник 31</t>
        </is>
      </c>
      <c r="E1768" s="1" t="inlineStr">
        <is>
          <t>ОБЩЕСТВО С ОГРАНИЧЕННОЙ ОТВЕТСТВЕННОСТЬЮ "АМУР ЗОЛОТО"</t>
        </is>
      </c>
      <c r="F1768" s="1" t="inlineStr">
        <is>
          <t>2708001686</t>
        </is>
      </c>
      <c r="G1768" s="1" t="inlineStr">
        <is>
          <t>Электромонтер по ремонту и обслуживанию электрооборудованию</t>
        </is>
      </c>
      <c r="H1768" s="1" t="inlineStr">
        <is>
          <t>ООО "Амур Золото"</t>
        </is>
      </c>
      <c r="I1768" s="1" t="inlineStr">
        <is>
          <t>2708001686</t>
        </is>
      </c>
      <c r="J1768" s="1" t="inlineStr">
        <is>
          <t>ОТ № ЮГОК ЗИОФ 24-42</t>
        </is>
      </c>
      <c r="K1768" s="1" t="inlineStr">
        <is>
          <t>Безопасные методы и приемы выполнения работ, связанные с эксплуатацией подъемных сооружений</t>
        </is>
      </c>
      <c r="L1768" s="1" t="inlineStr">
        <is>
          <t>10.12.2024</t>
        </is>
      </c>
      <c r="M1768" s="1" t="inlineStr">
        <is>
          <t>Успешно</t>
        </is>
      </c>
      <c r="N1768" s="1" t="inlineStr">
        <is>
          <t>28.12.2024</t>
        </is>
      </c>
      <c r="O1768" s="1" t="inlineStr"/>
      <c r="P1768" s="1" t="inlineStr"/>
      <c r="Q1768" s="1" t="inlineStr"/>
    </row>
    <row r="1769">
      <c r="B1769" s="1" t="inlineStr">
        <is>
          <t>96539159</t>
        </is>
      </c>
      <c r="C1769" s="1" t="inlineStr">
        <is>
          <t>7135797</t>
        </is>
      </c>
      <c r="D1769" t="inlineStr">
        <is>
          <t>работник 31</t>
        </is>
      </c>
      <c r="E1769" s="1" t="inlineStr">
        <is>
          <t>ОБЩЕСТВО С ОГРАНИЧЕННОЙ ОТВЕТСТВЕННОСТЬЮ "АМУР ЗОЛОТО"</t>
        </is>
      </c>
      <c r="F1769" s="1" t="inlineStr">
        <is>
          <t>2708001686</t>
        </is>
      </c>
      <c r="G1769" s="1" t="inlineStr">
        <is>
          <t>Электромонтер по ремонту и обслуживанию электрооборудованию</t>
        </is>
      </c>
      <c r="H1769" s="1" t="inlineStr">
        <is>
          <t>ООО "Амур Золото"</t>
        </is>
      </c>
      <c r="I1769" s="1" t="inlineStr">
        <is>
          <t>2708001686</t>
        </is>
      </c>
      <c r="J1769" s="1" t="inlineStr">
        <is>
          <t>ОТ № ЮГОК ЗИОФ 24-42</t>
        </is>
      </c>
      <c r="K1769" s="1" t="inlineStr">
        <is>
          <t>Безопасные методы и приемы выполнения работ, связанные с эксплуатацией сосудов, работающих под избыточным давлением</t>
        </is>
      </c>
      <c r="L1769" s="1" t="inlineStr">
        <is>
          <t>10.12.2024</t>
        </is>
      </c>
      <c r="M1769" s="1" t="inlineStr">
        <is>
          <t>Успешно</t>
        </is>
      </c>
      <c r="N1769" s="1" t="inlineStr">
        <is>
          <t>28.12.2024</t>
        </is>
      </c>
      <c r="O1769" s="1" t="inlineStr"/>
      <c r="P1769" s="1" t="inlineStr"/>
      <c r="Q1769" s="1" t="inlineStr"/>
    </row>
    <row r="1770">
      <c r="B1770" s="1" t="inlineStr">
        <is>
          <t>96539160</t>
        </is>
      </c>
      <c r="C1770" s="1" t="inlineStr">
        <is>
          <t>7135797</t>
        </is>
      </c>
      <c r="D1770" t="inlineStr">
        <is>
          <t>работник 305</t>
        </is>
      </c>
      <c r="E1770" s="1" t="inlineStr">
        <is>
          <t>ОБЩЕСТВО С ОГРАНИЧЕННОЙ ОТВЕТСТВЕННОСТЬЮ "АМУР ЗОЛОТО"</t>
        </is>
      </c>
      <c r="F1770" s="1" t="inlineStr">
        <is>
          <t>2708001686</t>
        </is>
      </c>
      <c r="G1770" s="1" t="inlineStr">
        <is>
          <t>Электромонтер по ремонту и обслуживанию электрооборудованию</t>
        </is>
      </c>
      <c r="H1770" s="1" t="inlineStr">
        <is>
          <t>ООО "Амур Золото"</t>
        </is>
      </c>
      <c r="I1770" s="1" t="inlineStr">
        <is>
          <t>2708001686</t>
        </is>
      </c>
      <c r="J1770" s="1" t="inlineStr">
        <is>
          <t>ОТ № ЮГОК ЗИОФ 24-42</t>
        </is>
      </c>
      <c r="K1770" s="1" t="inlineStr">
        <is>
          <t>Безопасные методы и приемы выполнения работ при размещении, монтаже, техническом обслуживании и ремонте технологического оборудования (включая технологическое оборудование)</t>
        </is>
      </c>
      <c r="L1770" s="1" t="inlineStr">
        <is>
          <t>10.12.2024</t>
        </is>
      </c>
      <c r="M1770" s="1" t="inlineStr">
        <is>
          <t>Успешно</t>
        </is>
      </c>
      <c r="N1770" s="1" t="inlineStr">
        <is>
          <t>28.12.2024</t>
        </is>
      </c>
      <c r="O1770" s="1" t="inlineStr"/>
      <c r="P1770" s="1" t="inlineStr"/>
      <c r="Q1770" s="1" t="inlineStr"/>
    </row>
    <row r="1771">
      <c r="B1771" s="1" t="inlineStr">
        <is>
          <t>96539161</t>
        </is>
      </c>
      <c r="C1771" s="1" t="inlineStr">
        <is>
          <t>7135797</t>
        </is>
      </c>
      <c r="D1771" t="inlineStr">
        <is>
          <t>работник 305</t>
        </is>
      </c>
      <c r="E1771" s="1" t="inlineStr">
        <is>
          <t>ОБЩЕСТВО С ОГРАНИЧЕННОЙ ОТВЕТСТВЕННОСТЬЮ "АМУР ЗОЛОТО"</t>
        </is>
      </c>
      <c r="F1771" s="1" t="inlineStr">
        <is>
          <t>2708001686</t>
        </is>
      </c>
      <c r="G1771" s="1" t="inlineStr">
        <is>
          <t>Электромонтер по ремонту и обслуживанию электрооборудованию</t>
        </is>
      </c>
      <c r="H1771" s="1" t="inlineStr">
        <is>
          <t>ООО "Амур Золото"</t>
        </is>
      </c>
      <c r="I1771" s="1" t="inlineStr">
        <is>
          <t>2708001686</t>
        </is>
      </c>
      <c r="J1771" s="1" t="inlineStr">
        <is>
          <t>ОТ № ЮГОК ЗИОФ 24-42</t>
        </is>
      </c>
      <c r="K1771" s="1" t="inlineStr">
        <is>
          <t>Безопасные методы и приемы выполнения работ на высоте</t>
        </is>
      </c>
      <c r="L1771" s="1" t="inlineStr">
        <is>
          <t>10.12.2024</t>
        </is>
      </c>
      <c r="M1771" s="1" t="inlineStr">
        <is>
          <t>Успешно</t>
        </is>
      </c>
      <c r="N1771" s="1" t="inlineStr">
        <is>
          <t>28.12.2024</t>
        </is>
      </c>
      <c r="O1771" s="1" t="inlineStr"/>
      <c r="P1771" s="1" t="inlineStr"/>
      <c r="Q1771" s="1" t="inlineStr"/>
    </row>
    <row r="1772">
      <c r="B1772" s="1" t="inlineStr">
        <is>
          <t>96539162</t>
        </is>
      </c>
      <c r="C1772" s="1" t="inlineStr">
        <is>
          <t>7135797</t>
        </is>
      </c>
      <c r="D1772" t="inlineStr">
        <is>
          <t>работник 305</t>
        </is>
      </c>
      <c r="E1772" s="1" t="inlineStr">
        <is>
          <t>ОБЩЕСТВО С ОГРАНИЧЕННОЙ ОТВЕТСТВЕННОСТЬЮ "АМУР ЗОЛОТО"</t>
        </is>
      </c>
      <c r="F1772" s="1" t="inlineStr">
        <is>
          <t>2708001686</t>
        </is>
      </c>
      <c r="G1772" s="1" t="inlineStr">
        <is>
          <t>Электромонтер по ремонту и обслуживанию электрооборудованию</t>
        </is>
      </c>
      <c r="H1772" s="1" t="inlineStr">
        <is>
          <t>ООО "Амур Золото"</t>
        </is>
      </c>
      <c r="I1772" s="1" t="inlineStr">
        <is>
          <t>2708001686</t>
        </is>
      </c>
      <c r="J1772" s="1" t="inlineStr">
        <is>
          <t>ОТ № ЮГОК ЗИОФ 24-42</t>
        </is>
      </c>
      <c r="K1772" s="1" t="inlineStr">
        <is>
          <t>Безопасные методы и приемы выполнения работ в ограниченных и замкнутых пространствах (ОЗП)</t>
        </is>
      </c>
      <c r="L1772" s="1" t="inlineStr">
        <is>
          <t>10.12.2024</t>
        </is>
      </c>
      <c r="M1772" s="1" t="inlineStr">
        <is>
          <t>Успешно</t>
        </is>
      </c>
      <c r="N1772" s="1" t="inlineStr">
        <is>
          <t>28.12.2024</t>
        </is>
      </c>
      <c r="O1772" s="1" t="inlineStr"/>
      <c r="P1772" s="1" t="inlineStr"/>
      <c r="Q1772" s="1" t="inlineStr"/>
    </row>
    <row r="1773">
      <c r="B1773" s="1" t="inlineStr">
        <is>
          <t>96539163</t>
        </is>
      </c>
      <c r="C1773" s="1" t="inlineStr">
        <is>
          <t>7135797</t>
        </is>
      </c>
      <c r="D1773" t="inlineStr">
        <is>
          <t>работник 305</t>
        </is>
      </c>
      <c r="E1773" s="1" t="inlineStr">
        <is>
          <t>ОБЩЕСТВО С ОГРАНИЧЕННОЙ ОТВЕТСТВЕННОСТЬЮ "АМУР ЗОЛОТО"</t>
        </is>
      </c>
      <c r="F1773" s="1" t="inlineStr">
        <is>
          <t>2708001686</t>
        </is>
      </c>
      <c r="G1773" s="1" t="inlineStr">
        <is>
          <t>Электромонтер по ремонту и обслуживанию электрооборудованию</t>
        </is>
      </c>
      <c r="H1773" s="1" t="inlineStr">
        <is>
          <t>ООО "Амур Золото"</t>
        </is>
      </c>
      <c r="I1773" s="1" t="inlineStr">
        <is>
          <t>2708001686</t>
        </is>
      </c>
      <c r="J1773" s="1" t="inlineStr">
        <is>
          <t>ОТ № ЮГОК ЗИОФ 24-42</t>
        </is>
      </c>
      <c r="K1773" s="1" t="inlineStr">
        <is>
          <t>Безопасные методы и приемы выполнения огневых работ</t>
        </is>
      </c>
      <c r="L1773" s="1" t="inlineStr">
        <is>
          <t>10.12.2024</t>
        </is>
      </c>
      <c r="M1773" s="1" t="inlineStr">
        <is>
          <t>Успешно</t>
        </is>
      </c>
      <c r="N1773" s="1" t="inlineStr">
        <is>
          <t>28.12.2024</t>
        </is>
      </c>
      <c r="O1773" s="1" t="inlineStr"/>
      <c r="P1773" s="1" t="inlineStr"/>
      <c r="Q1773" s="1" t="inlineStr"/>
    </row>
    <row r="1774">
      <c r="B1774" s="1" t="inlineStr">
        <is>
          <t>96539164</t>
        </is>
      </c>
      <c r="C1774" s="1" t="inlineStr">
        <is>
          <t>7135797</t>
        </is>
      </c>
      <c r="D1774" t="inlineStr">
        <is>
          <t>работник 305</t>
        </is>
      </c>
      <c r="E1774" s="1" t="inlineStr">
        <is>
          <t>ОБЩЕСТВО С ОГРАНИЧЕННОЙ ОТВЕТСТВЕННОСТЬЮ "АМУР ЗОЛОТО"</t>
        </is>
      </c>
      <c r="F1774" s="1" t="inlineStr">
        <is>
          <t>2708001686</t>
        </is>
      </c>
      <c r="G1774" s="1" t="inlineStr">
        <is>
          <t>Электромонтер по ремонту и обслуживанию электрооборудованию</t>
        </is>
      </c>
      <c r="H1774" s="1" t="inlineStr">
        <is>
          <t>ООО "Амур Золото"</t>
        </is>
      </c>
      <c r="I1774" s="1" t="inlineStr">
        <is>
          <t>2708001686</t>
        </is>
      </c>
      <c r="J1774" s="1" t="inlineStr">
        <is>
          <t>ОТ № ЮГОК ЗИОФ 24-42</t>
        </is>
      </c>
      <c r="K1774" s="1" t="inlineStr">
        <is>
          <t>Безопасные методы и приемы выполнения работ, связанные с эксплуатацией подъемных сооружений</t>
        </is>
      </c>
      <c r="L1774" s="1" t="inlineStr">
        <is>
          <t>10.12.2024</t>
        </is>
      </c>
      <c r="M1774" s="1" t="inlineStr">
        <is>
          <t>Успешно</t>
        </is>
      </c>
      <c r="N1774" s="1" t="inlineStr">
        <is>
          <t>28.12.2024</t>
        </is>
      </c>
      <c r="O1774" s="1" t="inlineStr"/>
      <c r="P1774" s="1" t="inlineStr"/>
      <c r="Q1774" s="1" t="inlineStr"/>
    </row>
    <row r="1775">
      <c r="B1775" s="1" t="inlineStr">
        <is>
          <t>96539165</t>
        </is>
      </c>
      <c r="C1775" s="1" t="inlineStr">
        <is>
          <t>7135797</t>
        </is>
      </c>
      <c r="D1775" t="inlineStr">
        <is>
          <t>работник 305</t>
        </is>
      </c>
      <c r="E1775" s="1" t="inlineStr">
        <is>
          <t>ОБЩЕСТВО С ОГРАНИЧЕННОЙ ОТВЕТСТВЕННОСТЬЮ "АМУР ЗОЛОТО"</t>
        </is>
      </c>
      <c r="F1775" s="1" t="inlineStr">
        <is>
          <t>2708001686</t>
        </is>
      </c>
      <c r="G1775" s="1" t="inlineStr">
        <is>
          <t>Электромонтер по ремонту и обслуживанию электрооборудованию</t>
        </is>
      </c>
      <c r="H1775" s="1" t="inlineStr">
        <is>
          <t>ООО "Амур Золото"</t>
        </is>
      </c>
      <c r="I1775" s="1" t="inlineStr">
        <is>
          <t>2708001686</t>
        </is>
      </c>
      <c r="J1775" s="1" t="inlineStr">
        <is>
          <t>ОТ № ЮГОК ЗИОФ 24-42</t>
        </is>
      </c>
      <c r="K1775" s="1" t="inlineStr">
        <is>
          <t>Безопасные методы и приемы выполнения работ, связанные с эксплуатацией сосудов, работающих под избыточным давлением</t>
        </is>
      </c>
      <c r="L1775" s="1" t="inlineStr">
        <is>
          <t>10.12.2024</t>
        </is>
      </c>
      <c r="M1775" s="1" t="inlineStr">
        <is>
          <t>Успешно</t>
        </is>
      </c>
      <c r="N1775" s="1" t="inlineStr">
        <is>
          <t>28.12.2024</t>
        </is>
      </c>
      <c r="O1775" s="1" t="inlineStr"/>
      <c r="P1775" s="1" t="inlineStr"/>
      <c r="Q1775" s="1" t="inlineStr"/>
    </row>
    <row r="1776">
      <c r="B1776" s="1" t="inlineStr">
        <is>
          <t>96539166</t>
        </is>
      </c>
      <c r="C1776" s="1" t="inlineStr">
        <is>
          <t>7135797</t>
        </is>
      </c>
      <c r="D1776" t="inlineStr">
        <is>
          <t>работник 448</t>
        </is>
      </c>
      <c r="E1776" s="1" t="inlineStr">
        <is>
          <t>ОБЩЕСТВО С ОГРАНИЧЕННОЙ ОТВЕТСТВЕННОСТЬЮ "АМУР ЗОЛОТО"</t>
        </is>
      </c>
      <c r="F1776" s="1" t="inlineStr">
        <is>
          <t>2708001686</t>
        </is>
      </c>
      <c r="G1776" s="1" t="inlineStr">
        <is>
          <t>Слесарь по контрольно-измерительным приборам и автоматике</t>
        </is>
      </c>
      <c r="H1776" s="1" t="inlineStr">
        <is>
          <t>ООО "Амур Золото"</t>
        </is>
      </c>
      <c r="I1776" s="1" t="inlineStr">
        <is>
          <t>2708001686</t>
        </is>
      </c>
      <c r="J1776" s="1" t="inlineStr">
        <is>
          <t>ОТ № ЮГОК ЗИОФ 24-42</t>
        </is>
      </c>
      <c r="K1776" s="1" t="inlineStr">
        <is>
          <t>Безопасные методы и приемы выполнения работ при размещении, монтаже, техническом обслуживании и ремонте технологического оборудования (включая технологическое оборудование)</t>
        </is>
      </c>
      <c r="L1776" s="1" t="inlineStr">
        <is>
          <t>10.12.2024</t>
        </is>
      </c>
      <c r="M1776" s="1" t="inlineStr">
        <is>
          <t>Успешно</t>
        </is>
      </c>
      <c r="N1776" s="1" t="inlineStr">
        <is>
          <t>28.12.2024</t>
        </is>
      </c>
      <c r="O1776" s="1" t="inlineStr"/>
      <c r="P1776" s="1" t="inlineStr"/>
      <c r="Q1776" s="1" t="inlineStr"/>
    </row>
    <row r="1777">
      <c r="B1777" s="1" t="inlineStr">
        <is>
          <t>96539167</t>
        </is>
      </c>
      <c r="C1777" s="1" t="inlineStr">
        <is>
          <t>7135797</t>
        </is>
      </c>
      <c r="D1777" t="inlineStr">
        <is>
          <t>работник 448</t>
        </is>
      </c>
      <c r="E1777" s="1" t="inlineStr">
        <is>
          <t>ОБЩЕСТВО С ОГРАНИЧЕННОЙ ОТВЕТСТВЕННОСТЬЮ "АМУР ЗОЛОТО"</t>
        </is>
      </c>
      <c r="F1777" s="1" t="inlineStr">
        <is>
          <t>2708001686</t>
        </is>
      </c>
      <c r="G1777" s="1" t="inlineStr">
        <is>
          <t>Слесарь по контрольно-измерительным приборам и автоматике</t>
        </is>
      </c>
      <c r="H1777" s="1" t="inlineStr">
        <is>
          <t>ООО "Амур Золото"</t>
        </is>
      </c>
      <c r="I1777" s="1" t="inlineStr">
        <is>
          <t>2708001686</t>
        </is>
      </c>
      <c r="J1777" s="1" t="inlineStr">
        <is>
          <t>ОТ № ЮГОК ЗИОФ 24-42</t>
        </is>
      </c>
      <c r="K1777" s="1" t="inlineStr">
        <is>
          <t>Безопасные методы и приемы выполнения работ на высоте</t>
        </is>
      </c>
      <c r="L1777" s="1" t="inlineStr">
        <is>
          <t>10.12.2024</t>
        </is>
      </c>
      <c r="M1777" s="1" t="inlineStr">
        <is>
          <t>Успешно</t>
        </is>
      </c>
      <c r="N1777" s="1" t="inlineStr">
        <is>
          <t>28.12.2024</t>
        </is>
      </c>
      <c r="O1777" s="1" t="inlineStr"/>
      <c r="P1777" s="1" t="inlineStr"/>
      <c r="Q1777" s="1" t="inlineStr"/>
    </row>
    <row r="1778">
      <c r="B1778" s="1" t="inlineStr">
        <is>
          <t>96539168</t>
        </is>
      </c>
      <c r="C1778" s="1" t="inlineStr">
        <is>
          <t>7135797</t>
        </is>
      </c>
      <c r="D1778" t="inlineStr">
        <is>
          <t>работник 448</t>
        </is>
      </c>
      <c r="E1778" s="1" t="inlineStr">
        <is>
          <t>ОБЩЕСТВО С ОГРАНИЧЕННОЙ ОТВЕТСТВЕННОСТЬЮ "АМУР ЗОЛОТО"</t>
        </is>
      </c>
      <c r="F1778" s="1" t="inlineStr">
        <is>
          <t>2708001686</t>
        </is>
      </c>
      <c r="G1778" s="1" t="inlineStr">
        <is>
          <t>Слесарь по контрольно-измерительным приборам и автоматике</t>
        </is>
      </c>
      <c r="H1778" s="1" t="inlineStr">
        <is>
          <t>ООО "Амур Золото"</t>
        </is>
      </c>
      <c r="I1778" s="1" t="inlineStr">
        <is>
          <t>2708001686</t>
        </is>
      </c>
      <c r="J1778" s="1" t="inlineStr">
        <is>
          <t>ОТ № ЮГОК ЗИОФ 24-42</t>
        </is>
      </c>
      <c r="K1778" s="1" t="inlineStr">
        <is>
          <t>Безопасные методы и приемы выполнения работ в ограниченных и замкнутых пространствах (ОЗП)</t>
        </is>
      </c>
      <c r="L1778" s="1" t="inlineStr">
        <is>
          <t>10.12.2024</t>
        </is>
      </c>
      <c r="M1778" s="1" t="inlineStr">
        <is>
          <t>Успешно</t>
        </is>
      </c>
      <c r="N1778" s="1" t="inlineStr">
        <is>
          <t>28.12.2024</t>
        </is>
      </c>
      <c r="O1778" s="1" t="inlineStr"/>
      <c r="P1778" s="1" t="inlineStr"/>
      <c r="Q1778" s="1" t="inlineStr"/>
    </row>
    <row r="1779">
      <c r="B1779" s="1" t="inlineStr">
        <is>
          <t>96539169</t>
        </is>
      </c>
      <c r="C1779" s="1" t="inlineStr">
        <is>
          <t>7135797</t>
        </is>
      </c>
      <c r="D1779" t="inlineStr">
        <is>
          <t>работник 448</t>
        </is>
      </c>
      <c r="E1779" s="1" t="inlineStr">
        <is>
          <t>ОБЩЕСТВО С ОГРАНИЧЕННОЙ ОТВЕТСТВЕННОСТЬЮ "АМУР ЗОЛОТО"</t>
        </is>
      </c>
      <c r="F1779" s="1" t="inlineStr">
        <is>
          <t>2708001686</t>
        </is>
      </c>
      <c r="G1779" s="1" t="inlineStr">
        <is>
          <t>Слесарь по контрольно-измерительным приборам и автоматике</t>
        </is>
      </c>
      <c r="H1779" s="1" t="inlineStr">
        <is>
          <t>ООО "Амур Золото"</t>
        </is>
      </c>
      <c r="I1779" s="1" t="inlineStr">
        <is>
          <t>2708001686</t>
        </is>
      </c>
      <c r="J1779" s="1" t="inlineStr">
        <is>
          <t>ОТ № ЮГОК ЗИОФ 24-42</t>
        </is>
      </c>
      <c r="K1779" s="1" t="inlineStr">
        <is>
          <t>Безопасные методы и приемы выполнения огневых работ</t>
        </is>
      </c>
      <c r="L1779" s="1" t="inlineStr">
        <is>
          <t>10.12.2024</t>
        </is>
      </c>
      <c r="M1779" s="1" t="inlineStr">
        <is>
          <t>Успешно</t>
        </is>
      </c>
      <c r="N1779" s="1" t="inlineStr">
        <is>
          <t>28.12.2024</t>
        </is>
      </c>
      <c r="O1779" s="1" t="inlineStr"/>
      <c r="P1779" s="1" t="inlineStr"/>
      <c r="Q1779" s="1" t="inlineStr"/>
    </row>
    <row r="1780">
      <c r="B1780" s="1" t="inlineStr">
        <is>
          <t>96539170</t>
        </is>
      </c>
      <c r="C1780" s="1" t="inlineStr">
        <is>
          <t>7135797</t>
        </is>
      </c>
      <c r="D1780" t="inlineStr">
        <is>
          <t>работник 448</t>
        </is>
      </c>
      <c r="E1780" s="1" t="inlineStr">
        <is>
          <t>ОБЩЕСТВО С ОГРАНИЧЕННОЙ ОТВЕТСТВЕННОСТЬЮ "АМУР ЗОЛОТО"</t>
        </is>
      </c>
      <c r="F1780" s="1" t="inlineStr">
        <is>
          <t>2708001686</t>
        </is>
      </c>
      <c r="G1780" s="1" t="inlineStr">
        <is>
          <t>Слесарь по контрольно-измерительным приборам и автоматике</t>
        </is>
      </c>
      <c r="H1780" s="1" t="inlineStr">
        <is>
          <t>ООО "Амур Золото"</t>
        </is>
      </c>
      <c r="I1780" s="1" t="inlineStr">
        <is>
          <t>2708001686</t>
        </is>
      </c>
      <c r="J1780" s="1" t="inlineStr">
        <is>
          <t>ОТ № ЮГОК ЗИОФ 24-42</t>
        </is>
      </c>
      <c r="K1780" s="1" t="inlineStr">
        <is>
          <t>Безопасные методы и приемы выполнения работ, связанные с эксплуатацией подъемных сооружений</t>
        </is>
      </c>
      <c r="L1780" s="1" t="inlineStr">
        <is>
          <t>10.12.2024</t>
        </is>
      </c>
      <c r="M1780" s="1" t="inlineStr">
        <is>
          <t>Успешно</t>
        </is>
      </c>
      <c r="N1780" s="1" t="inlineStr">
        <is>
          <t>28.12.2024</t>
        </is>
      </c>
      <c r="O1780" s="1" t="inlineStr"/>
      <c r="P1780" s="1" t="inlineStr"/>
      <c r="Q1780" s="1" t="inlineStr"/>
    </row>
    <row r="1781">
      <c r="B1781" s="1" t="inlineStr">
        <is>
          <t>96539171</t>
        </is>
      </c>
      <c r="C1781" s="1" t="inlineStr">
        <is>
          <t>7135797</t>
        </is>
      </c>
      <c r="D1781" t="inlineStr">
        <is>
          <t>работник 448</t>
        </is>
      </c>
      <c r="E1781" s="1" t="inlineStr">
        <is>
          <t>ОБЩЕСТВО С ОГРАНИЧЕННОЙ ОТВЕТСТВЕННОСТЬЮ "АМУР ЗОЛОТО"</t>
        </is>
      </c>
      <c r="F1781" s="1" t="inlineStr">
        <is>
          <t>2708001686</t>
        </is>
      </c>
      <c r="G1781" s="1" t="inlineStr">
        <is>
          <t>Слесарь по контрольно-измерительным приборам и автоматике</t>
        </is>
      </c>
      <c r="H1781" s="1" t="inlineStr">
        <is>
          <t>ООО "Амур Золото"</t>
        </is>
      </c>
      <c r="I1781" s="1" t="inlineStr">
        <is>
          <t>2708001686</t>
        </is>
      </c>
      <c r="J1781" s="1" t="inlineStr">
        <is>
          <t>ОТ № ЮГОК ЗИОФ 24-42</t>
        </is>
      </c>
      <c r="K1781" s="1" t="inlineStr">
        <is>
          <t>Безопасные методы и приемы выполнения работ, связанные с эксплуатацией сосудов, работающих под избыточным давлением</t>
        </is>
      </c>
      <c r="L1781" s="1" t="inlineStr">
        <is>
          <t>10.12.2024</t>
        </is>
      </c>
      <c r="M1781" s="1" t="inlineStr">
        <is>
          <t>Успешно</t>
        </is>
      </c>
      <c r="N1781" s="1" t="inlineStr">
        <is>
          <t>28.12.2024</t>
        </is>
      </c>
      <c r="O1781" s="1" t="inlineStr"/>
      <c r="P1781" s="1" t="inlineStr"/>
      <c r="Q1781" s="1" t="inlineStr"/>
    </row>
    <row r="1782">
      <c r="B1782" s="1" t="inlineStr">
        <is>
          <t>96539172</t>
        </is>
      </c>
      <c r="C1782" s="1" t="inlineStr">
        <is>
          <t>7135797</t>
        </is>
      </c>
      <c r="D1782" t="inlineStr">
        <is>
          <t>работник 110</t>
        </is>
      </c>
      <c r="E1782" s="1" t="inlineStr">
        <is>
          <t>ОБЩЕСТВО С ОГРАНИЧЕННОЙ ОТВЕТСТВЕННОСТЬЮ "АМУР ЗОЛОТО"</t>
        </is>
      </c>
      <c r="F1782" s="1" t="inlineStr">
        <is>
          <t>2708001686</t>
        </is>
      </c>
      <c r="G1782" s="1" t="inlineStr">
        <is>
          <t>Пробоотборщик</t>
        </is>
      </c>
      <c r="H1782" s="1" t="inlineStr">
        <is>
          <t>ООО "Амур Золото"</t>
        </is>
      </c>
      <c r="I1782" s="1" t="inlineStr">
        <is>
          <t>2708001686</t>
        </is>
      </c>
      <c r="J1782" s="1" t="inlineStr">
        <is>
          <t>ОТ № ЮГОК ОТК 24-05</t>
        </is>
      </c>
      <c r="K1782" s="1" t="inlineStr">
        <is>
          <t>Использование (применение) средств индивидуальной защиты</t>
        </is>
      </c>
      <c r="L1782" s="1" t="inlineStr">
        <is>
          <t>10.12.2024</t>
        </is>
      </c>
      <c r="M1782" s="1" t="inlineStr">
        <is>
          <t>Успешно</t>
        </is>
      </c>
      <c r="N1782" s="1" t="inlineStr">
        <is>
          <t>28.12.2024</t>
        </is>
      </c>
      <c r="O1782" s="1" t="inlineStr"/>
      <c r="P1782" s="1" t="inlineStr"/>
      <c r="Q1782" s="1" t="inlineStr"/>
    </row>
    <row r="1783">
      <c r="B1783" s="1" t="inlineStr">
        <is>
          <t>96539173</t>
        </is>
      </c>
      <c r="C1783" s="1" t="inlineStr">
        <is>
          <t>7135797</t>
        </is>
      </c>
      <c r="D1783" t="inlineStr">
        <is>
          <t>работник 110</t>
        </is>
      </c>
      <c r="E1783" s="1" t="inlineStr">
        <is>
          <t>ОБЩЕСТВО С ОГРАНИЧЕННОЙ ОТВЕТСТВЕННОСТЬЮ "АМУР ЗОЛОТО"</t>
        </is>
      </c>
      <c r="F1783" s="1" t="inlineStr">
        <is>
          <t>2708001686</t>
        </is>
      </c>
      <c r="G1783" s="1" t="inlineStr">
        <is>
          <t>Пробоотборщик</t>
        </is>
      </c>
      <c r="H1783" s="1" t="inlineStr">
        <is>
          <t>ООО "Амур Золото"</t>
        </is>
      </c>
      <c r="I1783" s="1" t="inlineStr">
        <is>
          <t>2708001686</t>
        </is>
      </c>
      <c r="J1783" s="1" t="inlineStr">
        <is>
          <t>ОТ № ЮГОК ОТК 24-05</t>
        </is>
      </c>
      <c r="K178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783" s="1" t="inlineStr">
        <is>
          <t>10.12.2024</t>
        </is>
      </c>
      <c r="M1783" s="1" t="inlineStr">
        <is>
          <t>Успешно</t>
        </is>
      </c>
      <c r="N1783" s="1" t="inlineStr">
        <is>
          <t>28.12.2024</t>
        </is>
      </c>
      <c r="O1783" s="1" t="inlineStr"/>
      <c r="P1783" s="1" t="inlineStr"/>
      <c r="Q1783" s="1" t="inlineStr"/>
    </row>
    <row r="1784">
      <c r="B1784" s="1" t="inlineStr">
        <is>
          <t>99714066</t>
        </is>
      </c>
      <c r="C1784" s="1" t="inlineStr">
        <is>
          <t>7576385</t>
        </is>
      </c>
      <c r="D1784" t="inlineStr">
        <is>
          <t>работник 197</t>
        </is>
      </c>
      <c r="E1784" s="1" t="inlineStr">
        <is>
          <t>ОБЩЕСТВО С ОГРАНИЧЕННОЙ ОТВЕТСТВЕННОСТЬЮ "АМУР ЗОЛОТО"</t>
        </is>
      </c>
      <c r="F1784" s="1" t="inlineStr">
        <is>
          <t>2708001686</t>
        </is>
      </c>
      <c r="G1784" s="1" t="inlineStr">
        <is>
          <t>Водитель автомобиля (занятый на транспортировании горной массы в технологическом процессе</t>
        </is>
      </c>
      <c r="H1784" s="1" t="inlineStr">
        <is>
          <t>ООО "Амур Золото"</t>
        </is>
      </c>
      <c r="I1784" s="1" t="inlineStr">
        <is>
          <t>2708001686</t>
        </is>
      </c>
      <c r="J1784" s="1" t="inlineStr">
        <is>
          <t>ОТ № ЮГОК АТЦ 25-01</t>
        </is>
      </c>
      <c r="K1784" s="1" t="inlineStr">
        <is>
          <t>Использование (применение) средств индивидуальной защиты</t>
        </is>
      </c>
      <c r="L1784" s="1" t="inlineStr">
        <is>
          <t>19.01.2025</t>
        </is>
      </c>
      <c r="M1784" s="1" t="inlineStr">
        <is>
          <t>Успешно</t>
        </is>
      </c>
      <c r="N1784" s="1" t="inlineStr">
        <is>
          <t>24.01.2025</t>
        </is>
      </c>
      <c r="O1784" s="1" t="inlineStr"/>
      <c r="P1784" s="1" t="inlineStr"/>
      <c r="Q1784" s="1" t="inlineStr"/>
    </row>
    <row r="1785">
      <c r="B1785" s="1" t="inlineStr">
        <is>
          <t>99714067</t>
        </is>
      </c>
      <c r="C1785" s="1" t="inlineStr">
        <is>
          <t>7576385</t>
        </is>
      </c>
      <c r="D1785" t="inlineStr">
        <is>
          <t>работник 197</t>
        </is>
      </c>
      <c r="E1785" s="1" t="inlineStr">
        <is>
          <t>ОБЩЕСТВО С ОГРАНИЧЕННОЙ ОТВЕТСТВЕННОСТЬЮ "АМУР ЗОЛОТО"</t>
        </is>
      </c>
      <c r="F1785" s="1" t="inlineStr">
        <is>
          <t>2708001686</t>
        </is>
      </c>
      <c r="G1785" s="1" t="inlineStr">
        <is>
          <t>Водитель автомобиля (занятый на транспортировании горной массы в технологическом процессе</t>
        </is>
      </c>
      <c r="H1785" s="1" t="inlineStr">
        <is>
          <t>ООО "Амур Золото"</t>
        </is>
      </c>
      <c r="I1785" s="1" t="inlineStr">
        <is>
          <t>2708001686</t>
        </is>
      </c>
      <c r="J1785" s="1" t="inlineStr">
        <is>
          <t>ОТ № ЮГОК АТЦ 25-01</t>
        </is>
      </c>
      <c r="K178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785" s="1" t="inlineStr">
        <is>
          <t>19.01.2025</t>
        </is>
      </c>
      <c r="M1785" s="1" t="inlineStr">
        <is>
          <t>Успешно</t>
        </is>
      </c>
      <c r="N1785" s="1" t="inlineStr">
        <is>
          <t>24.01.2025</t>
        </is>
      </c>
      <c r="O1785" s="1" t="inlineStr"/>
      <c r="P1785" s="1" t="inlineStr"/>
      <c r="Q1785" s="1" t="inlineStr"/>
    </row>
    <row r="1786">
      <c r="B1786" s="1" t="inlineStr">
        <is>
          <t>99714068</t>
        </is>
      </c>
      <c r="C1786" s="1" t="inlineStr">
        <is>
          <t>7576385</t>
        </is>
      </c>
      <c r="D1786" t="inlineStr">
        <is>
          <t>работник 508</t>
        </is>
      </c>
      <c r="E1786" s="1" t="inlineStr">
        <is>
          <t>ОБЩЕСТВО С ОГРАНИЧЕННОЙ ОТВЕТСТВЕННОСТЬЮ "АМУР ЗОЛОТО"</t>
        </is>
      </c>
      <c r="F1786" s="1" t="inlineStr">
        <is>
          <t>2708001686</t>
        </is>
      </c>
      <c r="G1786" s="1" t="inlineStr">
        <is>
          <t>Горнорабочиий на маркшейдерских работах</t>
        </is>
      </c>
      <c r="H1786" s="1" t="inlineStr">
        <is>
          <t>ООО "Амур Золото"</t>
        </is>
      </c>
      <c r="I1786" s="1" t="inlineStr">
        <is>
          <t>2708001686</t>
        </is>
      </c>
      <c r="J1786" s="1" t="inlineStr">
        <is>
          <t>ОТ № ЮГОК ГМО 24-04</t>
        </is>
      </c>
      <c r="K178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786" s="1" t="inlineStr">
        <is>
          <t>25.12.2024</t>
        </is>
      </c>
      <c r="M1786" s="1" t="inlineStr">
        <is>
          <t>Успешно</t>
        </is>
      </c>
      <c r="N1786" s="1" t="inlineStr">
        <is>
          <t>24.01.2025</t>
        </is>
      </c>
      <c r="O1786" s="1" t="inlineStr"/>
      <c r="P1786" s="1" t="inlineStr"/>
      <c r="Q1786" s="1" t="inlineStr"/>
    </row>
    <row r="1787">
      <c r="B1787" s="1" t="inlineStr">
        <is>
          <t>99714069</t>
        </is>
      </c>
      <c r="C1787" s="1" t="inlineStr">
        <is>
          <t>7576385</t>
        </is>
      </c>
      <c r="D1787" t="inlineStr">
        <is>
          <t>работник 509</t>
        </is>
      </c>
      <c r="E1787" s="1" t="inlineStr">
        <is>
          <t>ОБЩЕСТВО С ОГРАНИЧЕННОЙ ОТВЕТСТВЕННОСТЬЮ "АМУР ЗОЛОТО"</t>
        </is>
      </c>
      <c r="F1787" s="1" t="inlineStr">
        <is>
          <t>2708001686</t>
        </is>
      </c>
      <c r="G1787" s="1" t="inlineStr">
        <is>
          <t>Горнорабочиий на маркшейдерских работах</t>
        </is>
      </c>
      <c r="H1787" s="1" t="inlineStr">
        <is>
          <t>ООО "Амур Золото"</t>
        </is>
      </c>
      <c r="I1787" s="1" t="inlineStr">
        <is>
          <t>2708001686</t>
        </is>
      </c>
      <c r="J1787" s="1" t="inlineStr">
        <is>
          <t>ОТ № ЮГОК ГМО 25-01</t>
        </is>
      </c>
      <c r="K1787" s="1" t="inlineStr">
        <is>
          <t>Использование (применение) средств индивидуальной защиты</t>
        </is>
      </c>
      <c r="L1787" s="1" t="inlineStr">
        <is>
          <t>22.01.2025</t>
        </is>
      </c>
      <c r="M1787" s="1" t="inlineStr">
        <is>
          <t>Успешно</t>
        </is>
      </c>
      <c r="N1787" s="1" t="inlineStr">
        <is>
          <t>24.01.2025</t>
        </is>
      </c>
      <c r="O1787" s="1" t="inlineStr"/>
      <c r="P1787" s="1" t="inlineStr"/>
      <c r="Q1787" s="1" t="inlineStr"/>
    </row>
    <row r="1788">
      <c r="B1788" s="1" t="inlineStr">
        <is>
          <t>99714070</t>
        </is>
      </c>
      <c r="C1788" s="1" t="inlineStr">
        <is>
          <t>7576385</t>
        </is>
      </c>
      <c r="D1788" t="inlineStr">
        <is>
          <t>работник 510</t>
        </is>
      </c>
      <c r="E1788" s="1" t="inlineStr">
        <is>
          <t>ОБЩЕСТВО С ОГРАНИЧЕННОЙ ОТВЕТСТВЕННОСТЬЮ "АМУР ЗОЛОТО"</t>
        </is>
      </c>
      <c r="F1788" s="1" t="inlineStr">
        <is>
          <t>2708001686</t>
        </is>
      </c>
      <c r="G1788" s="1" t="inlineStr">
        <is>
          <t>Слесарь КИПиА</t>
        </is>
      </c>
      <c r="H1788" s="1" t="inlineStr">
        <is>
          <t>ООО "Амур Золото"</t>
        </is>
      </c>
      <c r="I1788" s="1" t="inlineStr">
        <is>
          <t>2708001686</t>
        </is>
      </c>
      <c r="J1788" s="1" t="inlineStr">
        <is>
          <t>ОТ № ЮГОК ЗИОФ 24-43</t>
        </is>
      </c>
      <c r="K1788" s="1" t="inlineStr">
        <is>
          <t>Использование (применение) средств индивидуальной защиты</t>
        </is>
      </c>
      <c r="L1788" s="1" t="inlineStr">
        <is>
          <t>13.12.2024</t>
        </is>
      </c>
      <c r="M1788" s="1" t="inlineStr">
        <is>
          <t>Успешно</t>
        </is>
      </c>
      <c r="N1788" s="1" t="inlineStr">
        <is>
          <t>24.01.2025</t>
        </is>
      </c>
      <c r="O1788" s="1" t="inlineStr"/>
      <c r="P1788" s="1" t="inlineStr"/>
      <c r="Q1788" s="1" t="inlineStr"/>
    </row>
    <row r="1789">
      <c r="B1789" s="1" t="inlineStr">
        <is>
          <t>99714071</t>
        </is>
      </c>
      <c r="C1789" s="1" t="inlineStr">
        <is>
          <t>7576385</t>
        </is>
      </c>
      <c r="D1789" t="inlineStr">
        <is>
          <t>работник 510</t>
        </is>
      </c>
      <c r="E1789" s="1" t="inlineStr">
        <is>
          <t>ОБЩЕСТВО С ОГРАНИЧЕННОЙ ОТВЕТСТВЕННОСТЬЮ "АМУР ЗОЛОТО"</t>
        </is>
      </c>
      <c r="F1789" s="1" t="inlineStr">
        <is>
          <t>2708001686</t>
        </is>
      </c>
      <c r="G1789" s="1" t="inlineStr">
        <is>
          <t>Слесарь КИПиА</t>
        </is>
      </c>
      <c r="H1789" s="1" t="inlineStr">
        <is>
          <t>ООО "Амур Золото"</t>
        </is>
      </c>
      <c r="I1789" s="1" t="inlineStr">
        <is>
          <t>2708001686</t>
        </is>
      </c>
      <c r="J1789" s="1" t="inlineStr">
        <is>
          <t>ОТ № ЮГОК ЗИОФ 24-43</t>
        </is>
      </c>
      <c r="K178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789" s="1" t="inlineStr">
        <is>
          <t>13.12.2024</t>
        </is>
      </c>
      <c r="M1789" s="1" t="inlineStr">
        <is>
          <t>Успешно</t>
        </is>
      </c>
      <c r="N1789" s="1" t="inlineStr">
        <is>
          <t>24.01.2025</t>
        </is>
      </c>
      <c r="O1789" s="1" t="inlineStr"/>
      <c r="P1789" s="1" t="inlineStr"/>
      <c r="Q1789" s="1" t="inlineStr"/>
    </row>
    <row r="1790">
      <c r="B1790" s="1" t="inlineStr">
        <is>
          <t>99714072</t>
        </is>
      </c>
      <c r="C1790" s="1" t="inlineStr">
        <is>
          <t>7576385</t>
        </is>
      </c>
      <c r="D1790" t="inlineStr">
        <is>
          <t>работник 511</t>
        </is>
      </c>
      <c r="E1790" s="1" t="inlineStr">
        <is>
          <t>ОБЩЕСТВО С ОГРАНИЧЕННОЙ ОТВЕТСТВЕННОСТЬЮ "АМУР ЗОЛОТО"</t>
        </is>
      </c>
      <c r="F1790" s="1" t="inlineStr">
        <is>
          <t>2708001686</t>
        </is>
      </c>
      <c r="G1790" s="1" t="inlineStr">
        <is>
          <t>Весовщик</t>
        </is>
      </c>
      <c r="H1790" s="1" t="inlineStr">
        <is>
          <t>ООО "Амур Золото"</t>
        </is>
      </c>
      <c r="I1790" s="1" t="inlineStr">
        <is>
          <t>2708001686</t>
        </is>
      </c>
      <c r="J1790" s="1" t="inlineStr">
        <is>
          <t>ОТ № ЮГОК ОТК 25-01</t>
        </is>
      </c>
      <c r="K1790" s="1" t="inlineStr">
        <is>
          <t>Использование (применение) средств индивидуальной защиты</t>
        </is>
      </c>
      <c r="L1790" s="1" t="inlineStr">
        <is>
          <t>17.01.2025</t>
        </is>
      </c>
      <c r="M1790" s="1" t="inlineStr">
        <is>
          <t>Успешно</t>
        </is>
      </c>
      <c r="N1790" s="1" t="inlineStr">
        <is>
          <t>24.01.2025</t>
        </is>
      </c>
      <c r="O1790" s="1" t="inlineStr"/>
      <c r="P1790" s="1" t="inlineStr"/>
      <c r="Q1790" s="1" t="inlineStr"/>
    </row>
    <row r="1791">
      <c r="B1791" s="1" t="inlineStr">
        <is>
          <t>99714073</t>
        </is>
      </c>
      <c r="C1791" s="1" t="inlineStr">
        <is>
          <t>7576385</t>
        </is>
      </c>
      <c r="D1791" t="inlineStr">
        <is>
          <t>работник 511</t>
        </is>
      </c>
      <c r="E1791" s="1" t="inlineStr">
        <is>
          <t>ОБЩЕСТВО С ОГРАНИЧЕННОЙ ОТВЕТСТВЕННОСТЬЮ "АМУР ЗОЛОТО"</t>
        </is>
      </c>
      <c r="F1791" s="1" t="inlineStr">
        <is>
          <t>2708001686</t>
        </is>
      </c>
      <c r="G1791" s="1" t="inlineStr">
        <is>
          <t>Весовщик</t>
        </is>
      </c>
      <c r="H1791" s="1" t="inlineStr">
        <is>
          <t>ООО "Амур Золото"</t>
        </is>
      </c>
      <c r="I1791" s="1" t="inlineStr">
        <is>
          <t>2708001686</t>
        </is>
      </c>
      <c r="J1791" s="1" t="inlineStr">
        <is>
          <t>ОТ № ЮГОК ОТК 25-01</t>
        </is>
      </c>
      <c r="K179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791" s="1" t="inlineStr">
        <is>
          <t>17.01.2025</t>
        </is>
      </c>
      <c r="M1791" s="1" t="inlineStr">
        <is>
          <t>Успешно</t>
        </is>
      </c>
      <c r="N1791" s="1" t="inlineStr">
        <is>
          <t>24.01.2025</t>
        </is>
      </c>
      <c r="O1791" s="1" t="inlineStr"/>
      <c r="P1791" s="1" t="inlineStr"/>
      <c r="Q1791" s="1" t="inlineStr"/>
    </row>
    <row r="1792">
      <c r="B1792" s="1" t="inlineStr">
        <is>
          <t>99714074</t>
        </is>
      </c>
      <c r="C1792" s="1" t="inlineStr">
        <is>
          <t>7576385</t>
        </is>
      </c>
      <c r="D1792" t="inlineStr">
        <is>
          <t>работник 82</t>
        </is>
      </c>
      <c r="E1792" s="1" t="inlineStr">
        <is>
          <t>ОБЩЕСТВО С ОГРАНИЧЕННОЙ ОТВЕТСТВЕННОСТЬЮ "АМУР ЗОЛОТО"</t>
        </is>
      </c>
      <c r="F1792" s="1" t="inlineStr">
        <is>
          <t>2708001686</t>
        </is>
      </c>
      <c r="G1792" s="1" t="inlineStr">
        <is>
          <t>Газоэлектросварщик</t>
        </is>
      </c>
      <c r="H1792" s="1" t="inlineStr">
        <is>
          <t>ООО "Амур Золото"</t>
        </is>
      </c>
      <c r="I1792" s="1" t="inlineStr">
        <is>
          <t>2708001686</t>
        </is>
      </c>
      <c r="J1792" s="1" t="inlineStr">
        <is>
          <t>ОТ № ЮГОК РСУ 24-12</t>
        </is>
      </c>
      <c r="K1792" s="1" t="inlineStr">
        <is>
          <t>Использование (применение) средств индивидуальной защиты</t>
        </is>
      </c>
      <c r="L1792" s="1" t="inlineStr">
        <is>
          <t>28.12.2024</t>
        </is>
      </c>
      <c r="M1792" s="1" t="inlineStr">
        <is>
          <t>Успешно</t>
        </is>
      </c>
      <c r="N1792" s="1" t="inlineStr">
        <is>
          <t>24.01.2025</t>
        </is>
      </c>
      <c r="O1792" s="1" t="inlineStr"/>
      <c r="P1792" s="1" t="inlineStr"/>
      <c r="Q1792" s="1" t="inlineStr"/>
    </row>
    <row r="1793">
      <c r="B1793" s="1" t="inlineStr">
        <is>
          <t>99714075</t>
        </is>
      </c>
      <c r="C1793" s="1" t="inlineStr">
        <is>
          <t>7576385</t>
        </is>
      </c>
      <c r="D1793" t="inlineStr">
        <is>
          <t>работник 82</t>
        </is>
      </c>
      <c r="E1793" s="1" t="inlineStr">
        <is>
          <t>ОБЩЕСТВО С ОГРАНИЧЕННОЙ ОТВЕТСТВЕННОСТЬЮ "АМУР ЗОЛОТО"</t>
        </is>
      </c>
      <c r="F1793" s="1" t="inlineStr">
        <is>
          <t>2708001686</t>
        </is>
      </c>
      <c r="G1793" s="1" t="inlineStr">
        <is>
          <t>Газоэлектросварщик</t>
        </is>
      </c>
      <c r="H1793" s="1" t="inlineStr">
        <is>
          <t>ООО "Амур Золото"</t>
        </is>
      </c>
      <c r="I1793" s="1" t="inlineStr">
        <is>
          <t>2708001686</t>
        </is>
      </c>
      <c r="J1793" s="1" t="inlineStr">
        <is>
          <t>ОТ № ЮГОК РСУ 24-12</t>
        </is>
      </c>
      <c r="K179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793" s="1" t="inlineStr">
        <is>
          <t>28.12.2024</t>
        </is>
      </c>
      <c r="M1793" s="1" t="inlineStr">
        <is>
          <t>Успешно</t>
        </is>
      </c>
      <c r="N1793" s="1" t="inlineStr">
        <is>
          <t>24.01.2025</t>
        </is>
      </c>
      <c r="O1793" s="1" t="inlineStr"/>
      <c r="P1793" s="1" t="inlineStr"/>
      <c r="Q1793" s="1" t="inlineStr"/>
    </row>
    <row r="1794">
      <c r="B1794" s="1" t="inlineStr">
        <is>
          <t>99714076</t>
        </is>
      </c>
      <c r="C1794" s="1" t="inlineStr">
        <is>
          <t>7576385</t>
        </is>
      </c>
      <c r="D1794" t="inlineStr">
        <is>
          <t>работник 512</t>
        </is>
      </c>
      <c r="E1794" s="1" t="inlineStr">
        <is>
          <t>ОБЩЕСТВО С ОГРАНИЧЕННОЙ ОТВЕТСТВЕННОСТЬЮ "АМУР ЗОЛОТО"</t>
        </is>
      </c>
      <c r="F1794" s="1" t="inlineStr">
        <is>
          <t>2708001686</t>
        </is>
      </c>
      <c r="G1794" s="1" t="inlineStr">
        <is>
          <t>Оператор дизельных котлов</t>
        </is>
      </c>
      <c r="H1794" s="1" t="inlineStr">
        <is>
          <t>ООО "Амур Золото"</t>
        </is>
      </c>
      <c r="I1794" s="1" t="inlineStr">
        <is>
          <t>2708001686</t>
        </is>
      </c>
      <c r="J1794" s="1" t="inlineStr">
        <is>
          <t>ОТ № ЮГОК ЭУ 24-29</t>
        </is>
      </c>
      <c r="K1794" s="1" t="inlineStr">
        <is>
          <t>Использование (применение) средств индивидуальной защиты</t>
        </is>
      </c>
      <c r="L1794" s="1" t="inlineStr">
        <is>
          <t>21.12.2024</t>
        </is>
      </c>
      <c r="M1794" s="1" t="inlineStr">
        <is>
          <t>Успешно</t>
        </is>
      </c>
      <c r="N1794" s="1" t="inlineStr">
        <is>
          <t>24.01.2025</t>
        </is>
      </c>
      <c r="O1794" s="1" t="inlineStr"/>
      <c r="P1794" s="1" t="inlineStr"/>
      <c r="Q1794" s="1" t="inlineStr"/>
    </row>
    <row r="1795">
      <c r="B1795" s="1" t="inlineStr">
        <is>
          <t>99714077</t>
        </is>
      </c>
      <c r="C1795" s="1" t="inlineStr">
        <is>
          <t>7576385</t>
        </is>
      </c>
      <c r="D1795" t="inlineStr">
        <is>
          <t>работник 512</t>
        </is>
      </c>
      <c r="E1795" s="1" t="inlineStr">
        <is>
          <t>ОБЩЕСТВО С ОГРАНИЧЕННОЙ ОТВЕТСТВЕННОСТЬЮ "АМУР ЗОЛОТО"</t>
        </is>
      </c>
      <c r="F1795" s="1" t="inlineStr">
        <is>
          <t>2708001686</t>
        </is>
      </c>
      <c r="G1795" s="1" t="inlineStr">
        <is>
          <t>Оператор дизельных котлов</t>
        </is>
      </c>
      <c r="H1795" s="1" t="inlineStr">
        <is>
          <t>ООО "Амур Золото"</t>
        </is>
      </c>
      <c r="I1795" s="1" t="inlineStr">
        <is>
          <t>2708001686</t>
        </is>
      </c>
      <c r="J1795" s="1" t="inlineStr">
        <is>
          <t>ОТ № ЮГОК ЭУ 24-29</t>
        </is>
      </c>
      <c r="K179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795" s="1" t="inlineStr">
        <is>
          <t>21.12.2024</t>
        </is>
      </c>
      <c r="M1795" s="1" t="inlineStr">
        <is>
          <t>Успешно</t>
        </is>
      </c>
      <c r="N1795" s="1" t="inlineStr">
        <is>
          <t>24.01.2025</t>
        </is>
      </c>
      <c r="O1795" s="1" t="inlineStr"/>
      <c r="P1795" s="1" t="inlineStr"/>
      <c r="Q1795" s="1" t="inlineStr"/>
    </row>
    <row r="1796">
      <c r="B1796" s="1" t="inlineStr">
        <is>
          <t>99714078</t>
        </is>
      </c>
      <c r="C1796" s="1" t="inlineStr">
        <is>
          <t>7576385</t>
        </is>
      </c>
      <c r="D1796" t="inlineStr">
        <is>
          <t>работник 513</t>
        </is>
      </c>
      <c r="E1796" s="1" t="inlineStr">
        <is>
          <t>ОБЩЕСТВО С ОГРАНИЧЕННОЙ ОТВЕТСТВЕННОСТЬЮ "АМУР ЗОЛОТО"</t>
        </is>
      </c>
      <c r="F1796" s="1" t="inlineStr">
        <is>
          <t>2708001686</t>
        </is>
      </c>
      <c r="G1796" s="1" t="inlineStr">
        <is>
          <t>Оператор дизельных котлов</t>
        </is>
      </c>
      <c r="H1796" s="1" t="inlineStr">
        <is>
          <t>ООО "Амур Золото"</t>
        </is>
      </c>
      <c r="I1796" s="1" t="inlineStr">
        <is>
          <t>2708001686</t>
        </is>
      </c>
      <c r="J1796" s="1" t="inlineStr">
        <is>
          <t>ОТ № ЮГОК ЭУ 24-29</t>
        </is>
      </c>
      <c r="K1796" s="1" t="inlineStr">
        <is>
          <t>Использование (применение) средств индивидуальной защиты</t>
        </is>
      </c>
      <c r="L1796" s="1" t="inlineStr">
        <is>
          <t>21.12.2024</t>
        </is>
      </c>
      <c r="M1796" s="1" t="inlineStr">
        <is>
          <t>Успешно</t>
        </is>
      </c>
      <c r="N1796" s="1" t="inlineStr">
        <is>
          <t>24.01.2025</t>
        </is>
      </c>
      <c r="O1796" s="1" t="inlineStr"/>
      <c r="P1796" s="1" t="inlineStr"/>
      <c r="Q1796" s="1" t="inlineStr"/>
    </row>
    <row r="1797">
      <c r="B1797" s="1" t="inlineStr">
        <is>
          <t>99714079</t>
        </is>
      </c>
      <c r="C1797" s="1" t="inlineStr">
        <is>
          <t>7576385</t>
        </is>
      </c>
      <c r="D1797" t="inlineStr">
        <is>
          <t>работник 513</t>
        </is>
      </c>
      <c r="E1797" s="1" t="inlineStr">
        <is>
          <t>ОБЩЕСТВО С ОГРАНИЧЕННОЙ ОТВЕТСТВЕННОСТЬЮ "АМУР ЗОЛОТО"</t>
        </is>
      </c>
      <c r="F1797" s="1" t="inlineStr">
        <is>
          <t>2708001686</t>
        </is>
      </c>
      <c r="G1797" s="1" t="inlineStr">
        <is>
          <t>Оператор дизельных котлов</t>
        </is>
      </c>
      <c r="H1797" s="1" t="inlineStr">
        <is>
          <t>ООО "Амур Золото"</t>
        </is>
      </c>
      <c r="I1797" s="1" t="inlineStr">
        <is>
          <t>2708001686</t>
        </is>
      </c>
      <c r="J1797" s="1" t="inlineStr">
        <is>
          <t>ОТ № ЮГОК ЭУ 24-29</t>
        </is>
      </c>
      <c r="K179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797" s="1" t="inlineStr">
        <is>
          <t>21.12.2024</t>
        </is>
      </c>
      <c r="M1797" s="1" t="inlineStr">
        <is>
          <t>Успешно</t>
        </is>
      </c>
      <c r="N1797" s="1" t="inlineStr">
        <is>
          <t>24.01.2025</t>
        </is>
      </c>
      <c r="O1797" s="1" t="inlineStr"/>
      <c r="P1797" s="1" t="inlineStr"/>
      <c r="Q1797" s="1" t="inlineStr"/>
    </row>
    <row r="1798">
      <c r="B1798" s="1" t="inlineStr">
        <is>
          <t>99714080</t>
        </is>
      </c>
      <c r="C1798" s="1" t="inlineStr">
        <is>
          <t>7576385</t>
        </is>
      </c>
      <c r="D1798" t="inlineStr">
        <is>
          <t>работник 514</t>
        </is>
      </c>
      <c r="E1798" s="1" t="inlineStr">
        <is>
          <t>ОБЩЕСТВО С ОГРАНИЧЕННОЙ ОТВЕТСТВЕННОСТЬЮ "АМУР ЗОЛОТО"</t>
        </is>
      </c>
      <c r="F1798" s="1" t="inlineStr">
        <is>
          <t>2708001686</t>
        </is>
      </c>
      <c r="G1798" s="1" t="inlineStr">
        <is>
          <t>Горнорабочиий на маркшейдерских работах</t>
        </is>
      </c>
      <c r="H1798" s="1" t="inlineStr">
        <is>
          <t>ООО "Амур Золото"</t>
        </is>
      </c>
      <c r="I1798" s="1" t="inlineStr">
        <is>
          <t>2708001686</t>
        </is>
      </c>
      <c r="J1798" s="1" t="inlineStr">
        <is>
          <t>ОТ №ЮГОК ГМО 24-03</t>
        </is>
      </c>
      <c r="K1798" s="1" t="inlineStr">
        <is>
          <t>Использование (применение) средств индивидуальной защиты</t>
        </is>
      </c>
      <c r="L1798" s="1" t="inlineStr">
        <is>
          <t>01.12.2024</t>
        </is>
      </c>
      <c r="M1798" s="1" t="inlineStr">
        <is>
          <t>Успешно</t>
        </is>
      </c>
      <c r="N1798" s="1" t="inlineStr">
        <is>
          <t>24.01.2025</t>
        </is>
      </c>
      <c r="O1798" s="1" t="inlineStr"/>
      <c r="P1798" s="1" t="inlineStr"/>
      <c r="Q1798" s="1" t="inlineStr"/>
    </row>
    <row r="1799">
      <c r="B1799" s="1" t="inlineStr">
        <is>
          <t>99714081</t>
        </is>
      </c>
      <c r="C1799" s="1" t="inlineStr">
        <is>
          <t>7576385</t>
        </is>
      </c>
      <c r="D1799" t="inlineStr">
        <is>
          <t>работник 514</t>
        </is>
      </c>
      <c r="E1799" s="1" t="inlineStr">
        <is>
          <t>ОБЩЕСТВО С ОГРАНИЧЕННОЙ ОТВЕТСТВЕННОСТЬЮ "АМУР ЗОЛОТО"</t>
        </is>
      </c>
      <c r="F1799" s="1" t="inlineStr">
        <is>
          <t>2708001686</t>
        </is>
      </c>
      <c r="G1799" s="1" t="inlineStr">
        <is>
          <t>Горнорабочиий на маркшейдерских работах</t>
        </is>
      </c>
      <c r="H1799" s="1" t="inlineStr">
        <is>
          <t>ООО "Амур Золото"</t>
        </is>
      </c>
      <c r="I1799" s="1" t="inlineStr">
        <is>
          <t>2708001686</t>
        </is>
      </c>
      <c r="J1799" s="1" t="inlineStr">
        <is>
          <t>ОТ №ЮГОК ГМО 24-03</t>
        </is>
      </c>
      <c r="K179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799" s="1" t="inlineStr">
        <is>
          <t>01.12.2024</t>
        </is>
      </c>
      <c r="M1799" s="1" t="inlineStr">
        <is>
          <t>Успешно</t>
        </is>
      </c>
      <c r="N1799" s="1" t="inlineStr">
        <is>
          <t>24.01.2025</t>
        </is>
      </c>
      <c r="O1799" s="1" t="inlineStr"/>
      <c r="P1799" s="1" t="inlineStr"/>
      <c r="Q1799" s="1" t="inlineStr"/>
    </row>
    <row r="1800">
      <c r="B1800" s="1" t="inlineStr">
        <is>
          <t>99714082</t>
        </is>
      </c>
      <c r="C1800" s="1" t="inlineStr">
        <is>
          <t>7576385</t>
        </is>
      </c>
      <c r="D1800" t="inlineStr">
        <is>
          <t>работник 508</t>
        </is>
      </c>
      <c r="E1800" s="1" t="inlineStr">
        <is>
          <t>ОБЩЕСТВО С ОГРАНИЧЕННОЙ ОТВЕТСТВЕННОСТЬЮ "АМУР ЗОЛОТО"</t>
        </is>
      </c>
      <c r="F1800" s="1" t="inlineStr">
        <is>
          <t>2708001686</t>
        </is>
      </c>
      <c r="G1800" s="1" t="inlineStr">
        <is>
          <t>Горнорабочиий на маркшейдерских работах</t>
        </is>
      </c>
      <c r="H1800" s="1" t="inlineStr">
        <is>
          <t>ООО "Амур Золото"</t>
        </is>
      </c>
      <c r="I1800" s="1" t="inlineStr">
        <is>
          <t>2708001686</t>
        </is>
      </c>
      <c r="J1800" s="1" t="inlineStr">
        <is>
          <t>ОТ №ЮГОК ГМО 24-04</t>
        </is>
      </c>
      <c r="K1800" s="1" t="inlineStr">
        <is>
          <t>Использование (применение) средств индивидуальной защиты</t>
        </is>
      </c>
      <c r="L1800" s="1" t="inlineStr">
        <is>
          <t>25.12.2024</t>
        </is>
      </c>
      <c r="M1800" s="1" t="inlineStr">
        <is>
          <t>Успешно</t>
        </is>
      </c>
      <c r="N1800" s="1" t="inlineStr">
        <is>
          <t>24.01.2025</t>
        </is>
      </c>
      <c r="O1800" s="1" t="inlineStr"/>
      <c r="P1800" s="1" t="inlineStr"/>
      <c r="Q1800" s="1" t="inlineStr"/>
    </row>
    <row r="1801">
      <c r="B1801" s="1" t="inlineStr">
        <is>
          <t>99714083</t>
        </is>
      </c>
      <c r="C1801" s="1" t="inlineStr">
        <is>
          <t>7576385</t>
        </is>
      </c>
      <c r="D1801" t="inlineStr">
        <is>
          <t>работник 509</t>
        </is>
      </c>
      <c r="E1801" s="1" t="inlineStr">
        <is>
          <t>ОБЩЕСТВО С ОГРАНИЧЕННОЙ ОТВЕТСТВЕННОСТЬЮ "АМУР ЗОЛОТО"</t>
        </is>
      </c>
      <c r="F1801" s="1" t="inlineStr">
        <is>
          <t>2708001686</t>
        </is>
      </c>
      <c r="G1801" s="1" t="inlineStr">
        <is>
          <t>Горнорабочиий на маркшейдерских работах</t>
        </is>
      </c>
      <c r="H1801" s="1" t="inlineStr">
        <is>
          <t>ООО "Амур Золото"</t>
        </is>
      </c>
      <c r="I1801" s="1" t="inlineStr">
        <is>
          <t>2708001686</t>
        </is>
      </c>
      <c r="J1801" s="1" t="inlineStr">
        <is>
          <t>ОТ №ЮГОК ГМО 25-01</t>
        </is>
      </c>
      <c r="K180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801" s="1" t="inlineStr">
        <is>
          <t>22.01.2025</t>
        </is>
      </c>
      <c r="M1801" s="1" t="inlineStr">
        <is>
          <t>Успешно</t>
        </is>
      </c>
      <c r="N1801" s="1" t="inlineStr">
        <is>
          <t>24.01.2025</t>
        </is>
      </c>
      <c r="O1801" s="1" t="inlineStr"/>
      <c r="P1801" s="1" t="inlineStr"/>
      <c r="Q1801" s="1" t="inlineStr"/>
    </row>
    <row r="1802">
      <c r="B1802" s="1" t="inlineStr">
        <is>
          <t>110446257</t>
        </is>
      </c>
      <c r="C1802" s="1" t="inlineStr">
        <is>
          <t>8371772</t>
        </is>
      </c>
      <c r="D1802" t="inlineStr">
        <is>
          <t>работник 515</t>
        </is>
      </c>
      <c r="E1802" s="1" t="inlineStr">
        <is>
          <t>ОБЩЕСТВО С ОГРАНИЧЕННОЙ ОТВЕТСТВЕННОСТЬЮ "АМУР ЗОЛОТО"</t>
        </is>
      </c>
      <c r="F1802" s="1" t="inlineStr">
        <is>
          <t>2708001686</t>
        </is>
      </c>
      <c r="G1802" s="1" t="inlineStr">
        <is>
          <t>Машинист бульдозера</t>
        </is>
      </c>
      <c r="H1802" s="1" t="inlineStr">
        <is>
          <t>ООО "Амур Золото"</t>
        </is>
      </c>
      <c r="I1802" s="1" t="inlineStr">
        <is>
          <t>2708001686</t>
        </is>
      </c>
      <c r="J1802" s="1" t="inlineStr">
        <is>
          <t>ОТ № ЮГОК АТЦ 25-02</t>
        </is>
      </c>
      <c r="K1802" s="1" t="inlineStr">
        <is>
          <t>Использование (применение) средств индивидуальной защиты</t>
        </is>
      </c>
      <c r="L1802" s="1" t="inlineStr">
        <is>
          <t>15.02.2025</t>
        </is>
      </c>
      <c r="M1802" s="1" t="inlineStr">
        <is>
          <t>Успешно</t>
        </is>
      </c>
      <c r="N1802" s="1" t="inlineStr">
        <is>
          <t>18.03.2025</t>
        </is>
      </c>
      <c r="O1802" s="1" t="inlineStr"/>
      <c r="P1802" s="1" t="inlineStr"/>
      <c r="Q1802" s="1" t="inlineStr">
        <is>
          <t>Пользовательский интерфейс</t>
        </is>
      </c>
    </row>
    <row r="1803">
      <c r="B1803" s="1" t="inlineStr">
        <is>
          <t>110446258</t>
        </is>
      </c>
      <c r="C1803" s="1" t="inlineStr">
        <is>
          <t>8371772</t>
        </is>
      </c>
      <c r="D1803" t="inlineStr">
        <is>
          <t>работник 515</t>
        </is>
      </c>
      <c r="E1803" s="1" t="inlineStr">
        <is>
          <t>ОБЩЕСТВО С ОГРАНИЧЕННОЙ ОТВЕТСТВЕННОСТЬЮ "АМУР ЗОЛОТО"</t>
        </is>
      </c>
      <c r="F1803" s="1" t="inlineStr">
        <is>
          <t>2708001686</t>
        </is>
      </c>
      <c r="G1803" s="1" t="inlineStr">
        <is>
          <t>Машинист бульдозера</t>
        </is>
      </c>
      <c r="H1803" s="1" t="inlineStr">
        <is>
          <t>ООО "Амур Золото"</t>
        </is>
      </c>
      <c r="I1803" s="1" t="inlineStr">
        <is>
          <t>2708001686</t>
        </is>
      </c>
      <c r="J1803" s="1" t="inlineStr">
        <is>
          <t>ОТ № ЮГОК АТЦ 25-02</t>
        </is>
      </c>
      <c r="K180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803" s="1" t="inlineStr">
        <is>
          <t>15.02.2025</t>
        </is>
      </c>
      <c r="M1803" s="1" t="inlineStr">
        <is>
          <t>Успешно</t>
        </is>
      </c>
      <c r="N1803" s="1" t="inlineStr">
        <is>
          <t>18.03.2025</t>
        </is>
      </c>
      <c r="O1803" s="1" t="inlineStr"/>
      <c r="P1803" s="1" t="inlineStr"/>
      <c r="Q1803" s="1" t="inlineStr">
        <is>
          <t>Пользовательский интерфейс</t>
        </is>
      </c>
    </row>
    <row r="1804">
      <c r="B1804" s="1" t="inlineStr">
        <is>
          <t>110446259</t>
        </is>
      </c>
      <c r="C1804" s="1" t="inlineStr">
        <is>
          <t>8371772</t>
        </is>
      </c>
      <c r="D1804" t="inlineStr">
        <is>
          <t>работник 516</t>
        </is>
      </c>
      <c r="E1804" s="1" t="inlineStr">
        <is>
          <t>ОБЩЕСТВО С ОГРАНИЧЕННОЙ ОТВЕТСТВЕННОСТЬЮ "АМУР ЗОЛОТО"</t>
        </is>
      </c>
      <c r="F1804" s="1" t="inlineStr">
        <is>
          <t>2708001686</t>
        </is>
      </c>
      <c r="G1804" s="1" t="inlineStr">
        <is>
          <t>Водитель автомобиля (категория D)</t>
        </is>
      </c>
      <c r="H1804" s="1" t="inlineStr">
        <is>
          <t>ООО "Амур Золото"</t>
        </is>
      </c>
      <c r="I1804" s="1" t="inlineStr">
        <is>
          <t>2708001686</t>
        </is>
      </c>
      <c r="J1804" s="1" t="inlineStr">
        <is>
          <t>ОТ № ЮГОК АТЦ 25-03</t>
        </is>
      </c>
      <c r="K1804" s="1" t="inlineStr">
        <is>
          <t>Использование (применение) средств индивидуальной защиты</t>
        </is>
      </c>
      <c r="L1804" s="1" t="inlineStr">
        <is>
          <t>23.02.2025</t>
        </is>
      </c>
      <c r="M1804" s="1" t="inlineStr">
        <is>
          <t>Успешно</t>
        </is>
      </c>
      <c r="N1804" s="1" t="inlineStr">
        <is>
          <t>18.03.2025</t>
        </is>
      </c>
      <c r="O1804" s="1" t="inlineStr"/>
      <c r="P1804" s="1" t="inlineStr"/>
      <c r="Q1804" s="1" t="inlineStr">
        <is>
          <t>Пользовательский интерфейс</t>
        </is>
      </c>
    </row>
    <row r="1805">
      <c r="B1805" s="1" t="inlineStr">
        <is>
          <t>110446260</t>
        </is>
      </c>
      <c r="C1805" s="1" t="inlineStr">
        <is>
          <t>8371772</t>
        </is>
      </c>
      <c r="D1805" t="inlineStr">
        <is>
          <t>работник 516</t>
        </is>
      </c>
      <c r="E1805" s="1" t="inlineStr">
        <is>
          <t>ОБЩЕСТВО С ОГРАНИЧЕННОЙ ОТВЕТСТВЕННОСТЬЮ "АМУР ЗОЛОТО"</t>
        </is>
      </c>
      <c r="F1805" s="1" t="inlineStr">
        <is>
          <t>2708001686</t>
        </is>
      </c>
      <c r="G1805" s="1" t="inlineStr">
        <is>
          <t>Водитель автомобиля (категория D)</t>
        </is>
      </c>
      <c r="H1805" s="1" t="inlineStr">
        <is>
          <t>ООО "Амур Золото"</t>
        </is>
      </c>
      <c r="I1805" s="1" t="inlineStr">
        <is>
          <t>2708001686</t>
        </is>
      </c>
      <c r="J1805" s="1" t="inlineStr">
        <is>
          <t>ОТ № ЮГОК АТЦ 25-03</t>
        </is>
      </c>
      <c r="K180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805" s="1" t="inlineStr">
        <is>
          <t>23.02.2025</t>
        </is>
      </c>
      <c r="M1805" s="1" t="inlineStr">
        <is>
          <t>Успешно</t>
        </is>
      </c>
      <c r="N1805" s="1" t="inlineStr">
        <is>
          <t>18.03.2025</t>
        </is>
      </c>
      <c r="O1805" s="1" t="inlineStr"/>
      <c r="P1805" s="1" t="inlineStr"/>
      <c r="Q1805" s="1" t="inlineStr">
        <is>
          <t>Пользовательский интерфейс</t>
        </is>
      </c>
    </row>
    <row r="1806">
      <c r="B1806" s="1" t="inlineStr">
        <is>
          <t>110446261</t>
        </is>
      </c>
      <c r="C1806" s="1" t="inlineStr">
        <is>
          <t>8371772</t>
        </is>
      </c>
      <c r="D1806" t="inlineStr">
        <is>
          <t>работник 517</t>
        </is>
      </c>
      <c r="E1806" s="1" t="inlineStr">
        <is>
          <t>ОБЩЕСТВО С ОГРАНИЧЕННОЙ ОТВЕТСТВЕННОСТЬЮ "АМУР ЗОЛОТО"</t>
        </is>
      </c>
      <c r="F1806" s="1" t="inlineStr">
        <is>
          <t>2708001686</t>
        </is>
      </c>
      <c r="G1806" s="1" t="inlineStr">
        <is>
          <t>Водитель автомобиля (категория D)</t>
        </is>
      </c>
      <c r="H1806" s="1" t="inlineStr">
        <is>
          <t>ООО "Амур Золото"</t>
        </is>
      </c>
      <c r="I1806" s="1" t="inlineStr">
        <is>
          <t>2708001686</t>
        </is>
      </c>
      <c r="J1806" s="1" t="inlineStr">
        <is>
          <t>ОТ № ЮГОК АТЦ 25-04</t>
        </is>
      </c>
      <c r="K1806" s="1" t="inlineStr">
        <is>
          <t>Использование (применение) средств индивидуальной защиты</t>
        </is>
      </c>
      <c r="L1806" s="1" t="inlineStr">
        <is>
          <t>23.02.2025</t>
        </is>
      </c>
      <c r="M1806" s="1" t="inlineStr">
        <is>
          <t>Успешно</t>
        </is>
      </c>
      <c r="N1806" s="1" t="inlineStr">
        <is>
          <t>18.03.2025</t>
        </is>
      </c>
      <c r="O1806" s="1" t="inlineStr"/>
      <c r="P1806" s="1" t="inlineStr"/>
      <c r="Q1806" s="1" t="inlineStr">
        <is>
          <t>Пользовательский интерфейс</t>
        </is>
      </c>
    </row>
    <row r="1807">
      <c r="B1807" s="1" t="inlineStr">
        <is>
          <t>110446262</t>
        </is>
      </c>
      <c r="C1807" s="1" t="inlineStr">
        <is>
          <t>8371772</t>
        </is>
      </c>
      <c r="D1807" t="inlineStr">
        <is>
          <t>работник 517</t>
        </is>
      </c>
      <c r="E1807" s="1" t="inlineStr">
        <is>
          <t>ОБЩЕСТВО С ОГРАНИЧЕННОЙ ОТВЕТСТВЕННОСТЬЮ "АМУР ЗОЛОТО"</t>
        </is>
      </c>
      <c r="F1807" s="1" t="inlineStr">
        <is>
          <t>2708001686</t>
        </is>
      </c>
      <c r="G1807" s="1" t="inlineStr">
        <is>
          <t>Водитель автомобиля (категория D)</t>
        </is>
      </c>
      <c r="H1807" s="1" t="inlineStr">
        <is>
          <t>ООО "Амур Золото"</t>
        </is>
      </c>
      <c r="I1807" s="1" t="inlineStr">
        <is>
          <t>2708001686</t>
        </is>
      </c>
      <c r="J1807" s="1" t="inlineStr">
        <is>
          <t>ОТ № ЮГОК АТЦ 25-04</t>
        </is>
      </c>
      <c r="K180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807" s="1" t="inlineStr">
        <is>
          <t>23.02.2025</t>
        </is>
      </c>
      <c r="M1807" s="1" t="inlineStr">
        <is>
          <t>Успешно</t>
        </is>
      </c>
      <c r="N1807" s="1" t="inlineStr">
        <is>
          <t>18.03.2025</t>
        </is>
      </c>
      <c r="O1807" s="1" t="inlineStr"/>
      <c r="P1807" s="1" t="inlineStr"/>
      <c r="Q1807" s="1" t="inlineStr">
        <is>
          <t>Пользовательский интерфейс</t>
        </is>
      </c>
    </row>
    <row r="1808">
      <c r="B1808" s="1" t="inlineStr">
        <is>
          <t>110446263</t>
        </is>
      </c>
      <c r="C1808" s="1" t="inlineStr">
        <is>
          <t>8371772</t>
        </is>
      </c>
      <c r="D1808" t="inlineStr">
        <is>
          <t>работник 518</t>
        </is>
      </c>
      <c r="E1808" s="1" t="inlineStr">
        <is>
          <t>ОБЩЕСТВО С ОГРАНИЧЕННОЙ ОТВЕТСТВЕННОСТЬЮ "АМУР ЗОЛОТО"</t>
        </is>
      </c>
      <c r="F1808" s="1" t="inlineStr">
        <is>
          <t>2708001686</t>
        </is>
      </c>
      <c r="G1808" s="1" t="inlineStr">
        <is>
          <t>Водитель автомобиля (категория D)</t>
        </is>
      </c>
      <c r="H1808" s="1" t="inlineStr">
        <is>
          <t>ООО "Амур Золото"</t>
        </is>
      </c>
      <c r="I1808" s="1" t="inlineStr">
        <is>
          <t>2708001686</t>
        </is>
      </c>
      <c r="J1808" s="1" t="inlineStr">
        <is>
          <t>ОТ № ЮГОК АТЦ 25-05</t>
        </is>
      </c>
      <c r="K1808" s="1" t="inlineStr">
        <is>
          <t>Использование (применение) средств индивидуальной защиты</t>
        </is>
      </c>
      <c r="L1808" s="1" t="inlineStr">
        <is>
          <t>23.02.2025</t>
        </is>
      </c>
      <c r="M1808" s="1" t="inlineStr">
        <is>
          <t>Успешно</t>
        </is>
      </c>
      <c r="N1808" s="1" t="inlineStr">
        <is>
          <t>18.03.2025</t>
        </is>
      </c>
      <c r="O1808" s="1" t="inlineStr"/>
      <c r="P1808" s="1" t="inlineStr"/>
      <c r="Q1808" s="1" t="inlineStr">
        <is>
          <t>Пользовательский интерфейс</t>
        </is>
      </c>
    </row>
    <row r="1809">
      <c r="B1809" s="1" t="inlineStr">
        <is>
          <t>110446264</t>
        </is>
      </c>
      <c r="C1809" s="1" t="inlineStr">
        <is>
          <t>8371772</t>
        </is>
      </c>
      <c r="D1809" t="inlineStr">
        <is>
          <t>работник 518</t>
        </is>
      </c>
      <c r="E1809" s="1" t="inlineStr">
        <is>
          <t>ОБЩЕСТВО С ОГРАНИЧЕННОЙ ОТВЕТСТВЕННОСТЬЮ "АМУР ЗОЛОТО"</t>
        </is>
      </c>
      <c r="F1809" s="1" t="inlineStr">
        <is>
          <t>2708001686</t>
        </is>
      </c>
      <c r="G1809" s="1" t="inlineStr">
        <is>
          <t>Водитель автомобиля (категория D)</t>
        </is>
      </c>
      <c r="H1809" s="1" t="inlineStr">
        <is>
          <t>ООО "Амур Золото"</t>
        </is>
      </c>
      <c r="I1809" s="1" t="inlineStr">
        <is>
          <t>2708001686</t>
        </is>
      </c>
      <c r="J1809" s="1" t="inlineStr">
        <is>
          <t>ОТ № ЮГОК АТЦ 25-05</t>
        </is>
      </c>
      <c r="K180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809" s="1" t="inlineStr">
        <is>
          <t>23.02.2025</t>
        </is>
      </c>
      <c r="M1809" s="1" t="inlineStr">
        <is>
          <t>Успешно</t>
        </is>
      </c>
      <c r="N1809" s="1" t="inlineStr">
        <is>
          <t>18.03.2025</t>
        </is>
      </c>
      <c r="O1809" s="1" t="inlineStr"/>
      <c r="P1809" s="1" t="inlineStr"/>
      <c r="Q1809" s="1" t="inlineStr">
        <is>
          <t>Пользовательский интерфейс</t>
        </is>
      </c>
    </row>
    <row r="1810">
      <c r="B1810" s="1" t="inlineStr">
        <is>
          <t>110446265</t>
        </is>
      </c>
      <c r="C1810" s="1" t="inlineStr">
        <is>
          <t>8371772</t>
        </is>
      </c>
      <c r="D1810" t="inlineStr">
        <is>
          <t>работник 519</t>
        </is>
      </c>
      <c r="E1810" s="1" t="inlineStr">
        <is>
          <t>ОБЩЕСТВО С ОГРАНИЧЕННОЙ ОТВЕТСТВЕННОСТЬЮ "АМУР ЗОЛОТО"</t>
        </is>
      </c>
      <c r="F1810" s="1" t="inlineStr">
        <is>
          <t>2708001686</t>
        </is>
      </c>
      <c r="G1810" s="1" t="inlineStr">
        <is>
          <t>Водитель автомобиля (категория D)</t>
        </is>
      </c>
      <c r="H1810" s="1" t="inlineStr">
        <is>
          <t>ООО "Амур Золото"</t>
        </is>
      </c>
      <c r="I1810" s="1" t="inlineStr">
        <is>
          <t>2708001686</t>
        </is>
      </c>
      <c r="J1810" s="1" t="inlineStr">
        <is>
          <t>ОТ № ЮГОК АТЦ 25-06</t>
        </is>
      </c>
      <c r="K1810" s="1" t="inlineStr">
        <is>
          <t>Использование (применение) средств индивидуальной защиты</t>
        </is>
      </c>
      <c r="L1810" s="1" t="inlineStr">
        <is>
          <t>04.03.2025</t>
        </is>
      </c>
      <c r="M1810" s="1" t="inlineStr">
        <is>
          <t>Успешно</t>
        </is>
      </c>
      <c r="N1810" s="1" t="inlineStr">
        <is>
          <t>18.03.2025</t>
        </is>
      </c>
      <c r="O1810" s="1" t="inlineStr"/>
      <c r="P1810" s="1" t="inlineStr"/>
      <c r="Q1810" s="1" t="inlineStr">
        <is>
          <t>Пользовательский интерфейс</t>
        </is>
      </c>
    </row>
    <row r="1811">
      <c r="B1811" s="1" t="inlineStr">
        <is>
          <t>110446266</t>
        </is>
      </c>
      <c r="C1811" s="1" t="inlineStr">
        <is>
          <t>8371772</t>
        </is>
      </c>
      <c r="D1811" t="inlineStr">
        <is>
          <t>работник 519</t>
        </is>
      </c>
      <c r="E1811" s="1" t="inlineStr">
        <is>
          <t>ОБЩЕСТВО С ОГРАНИЧЕННОЙ ОТВЕТСТВЕННОСТЬЮ "АМУР ЗОЛОТО"</t>
        </is>
      </c>
      <c r="F1811" s="1" t="inlineStr">
        <is>
          <t>2708001686</t>
        </is>
      </c>
      <c r="G1811" s="1" t="inlineStr">
        <is>
          <t>Водитель автомобиля (категория D)</t>
        </is>
      </c>
      <c r="H1811" s="1" t="inlineStr">
        <is>
          <t>ООО "Амур Золото"</t>
        </is>
      </c>
      <c r="I1811" s="1" t="inlineStr">
        <is>
          <t>2708001686</t>
        </is>
      </c>
      <c r="J1811" s="1" t="inlineStr">
        <is>
          <t>ОТ № ЮГОК АТЦ 25-06</t>
        </is>
      </c>
      <c r="K181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811" s="1" t="inlineStr">
        <is>
          <t>04.03.2025</t>
        </is>
      </c>
      <c r="M1811" s="1" t="inlineStr">
        <is>
          <t>Успешно</t>
        </is>
      </c>
      <c r="N1811" s="1" t="inlineStr">
        <is>
          <t>18.03.2025</t>
        </is>
      </c>
      <c r="O1811" s="1" t="inlineStr"/>
      <c r="P1811" s="1" t="inlineStr"/>
      <c r="Q1811" s="1" t="inlineStr">
        <is>
          <t>Пользовательский интерфейс</t>
        </is>
      </c>
    </row>
    <row r="1812">
      <c r="B1812" s="1" t="inlineStr">
        <is>
          <t>110446267</t>
        </is>
      </c>
      <c r="C1812" s="1" t="inlineStr">
        <is>
          <t>8371772</t>
        </is>
      </c>
      <c r="D1812" t="inlineStr">
        <is>
          <t>работник 520</t>
        </is>
      </c>
      <c r="E1812" s="1" t="inlineStr">
        <is>
          <t>ОБЩЕСТВО С ОГРАНИЧЕННОЙ ОТВЕТСТВЕННОСТЬЮ "АМУР ЗОЛОТО"</t>
        </is>
      </c>
      <c r="F1812" s="1" t="inlineStr">
        <is>
          <t>2708001686</t>
        </is>
      </c>
      <c r="G1812" s="1" t="inlineStr">
        <is>
          <t>Водитель автомобиля (занятый на транспортировании горной массы в технологическом процессе)</t>
        </is>
      </c>
      <c r="H1812" s="1" t="inlineStr">
        <is>
          <t>ООО "Амур Золото"</t>
        </is>
      </c>
      <c r="I1812" s="1" t="inlineStr">
        <is>
          <t>2708001686</t>
        </is>
      </c>
      <c r="J1812" s="1" t="inlineStr">
        <is>
          <t>ОТ № ЮГОК АТЦ 25-07</t>
        </is>
      </c>
      <c r="K1812" s="1" t="inlineStr">
        <is>
          <t>Использование (применение) средств индивидуальной защиты</t>
        </is>
      </c>
      <c r="L1812" s="1" t="inlineStr">
        <is>
          <t>09.03.2025</t>
        </is>
      </c>
      <c r="M1812" s="1" t="inlineStr">
        <is>
          <t>Успешно</t>
        </is>
      </c>
      <c r="N1812" s="1" t="inlineStr">
        <is>
          <t>18.03.2025</t>
        </is>
      </c>
      <c r="O1812" s="1" t="inlineStr"/>
      <c r="P1812" s="1" t="inlineStr"/>
      <c r="Q1812" s="1" t="inlineStr">
        <is>
          <t>Пользовательский интерфейс</t>
        </is>
      </c>
    </row>
    <row r="1813">
      <c r="B1813" s="1" t="inlineStr">
        <is>
          <t>110446268</t>
        </is>
      </c>
      <c r="C1813" s="1" t="inlineStr">
        <is>
          <t>8371772</t>
        </is>
      </c>
      <c r="D1813" t="inlineStr">
        <is>
          <t>работник 520</t>
        </is>
      </c>
      <c r="E1813" s="1" t="inlineStr">
        <is>
          <t>ОБЩЕСТВО С ОГРАНИЧЕННОЙ ОТВЕТСТВЕННОСТЬЮ "АМУР ЗОЛОТО"</t>
        </is>
      </c>
      <c r="F1813" s="1" t="inlineStr">
        <is>
          <t>2708001686</t>
        </is>
      </c>
      <c r="G1813" s="1" t="inlineStr">
        <is>
          <t>Водитель автомобиля (занятый на транспортировании горной массы в технологическом процессе)</t>
        </is>
      </c>
      <c r="H1813" s="1" t="inlineStr">
        <is>
          <t>ООО "Амур Золото"</t>
        </is>
      </c>
      <c r="I1813" s="1" t="inlineStr">
        <is>
          <t>2708001686</t>
        </is>
      </c>
      <c r="J1813" s="1" t="inlineStr">
        <is>
          <t>ОТ № ЮГОК АТЦ 25-07</t>
        </is>
      </c>
      <c r="K181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813" s="1" t="inlineStr">
        <is>
          <t>09.03.2025</t>
        </is>
      </c>
      <c r="M1813" s="1" t="inlineStr">
        <is>
          <t>Успешно</t>
        </is>
      </c>
      <c r="N1813" s="1" t="inlineStr">
        <is>
          <t>18.03.2025</t>
        </is>
      </c>
      <c r="O1813" s="1" t="inlineStr"/>
      <c r="P1813" s="1" t="inlineStr"/>
      <c r="Q1813" s="1" t="inlineStr">
        <is>
          <t>Пользовательский интерфейс</t>
        </is>
      </c>
    </row>
    <row r="1814">
      <c r="B1814" s="1" t="inlineStr">
        <is>
          <t>110446269</t>
        </is>
      </c>
      <c r="C1814" s="1" t="inlineStr">
        <is>
          <t>8371772</t>
        </is>
      </c>
      <c r="D1814" t="inlineStr">
        <is>
          <t>работник 521</t>
        </is>
      </c>
      <c r="E1814" s="1" t="inlineStr">
        <is>
          <t>ОБЩЕСТВО С ОГРАНИЧЕННОЙ ОТВЕТСТВЕННОСТЬЮ "АМУР ЗОЛОТО"</t>
        </is>
      </c>
      <c r="F1814" s="1" t="inlineStr">
        <is>
          <t>2708001686</t>
        </is>
      </c>
      <c r="G1814" s="1" t="inlineStr">
        <is>
          <t>Дробильщик</t>
        </is>
      </c>
      <c r="H1814" s="1" t="inlineStr">
        <is>
          <t>ООО "Амур Золото"</t>
        </is>
      </c>
      <c r="I1814" s="1" t="inlineStr">
        <is>
          <t>2708001686</t>
        </is>
      </c>
      <c r="J1814" s="1" t="inlineStr">
        <is>
          <t>ОТ № ЮГОК ЗИОФ 25-01</t>
        </is>
      </c>
      <c r="K1814" s="1" t="inlineStr">
        <is>
          <t>Использование (применение) средств индивидуальной защиты</t>
        </is>
      </c>
      <c r="L1814" s="1" t="inlineStr">
        <is>
          <t>16.01.2025</t>
        </is>
      </c>
      <c r="M1814" s="1" t="inlineStr">
        <is>
          <t>Успешно</t>
        </is>
      </c>
      <c r="N1814" s="1" t="inlineStr">
        <is>
          <t>18.03.2025</t>
        </is>
      </c>
      <c r="O1814" s="1" t="inlineStr"/>
      <c r="P1814" s="1" t="inlineStr"/>
      <c r="Q1814" s="1" t="inlineStr">
        <is>
          <t>Пользовательский интерфейс</t>
        </is>
      </c>
    </row>
    <row r="1815">
      <c r="B1815" s="1" t="inlineStr">
        <is>
          <t>110446270</t>
        </is>
      </c>
      <c r="C1815" s="1" t="inlineStr">
        <is>
          <t>8371772</t>
        </is>
      </c>
      <c r="D1815" t="inlineStr">
        <is>
          <t>работник 521</t>
        </is>
      </c>
      <c r="E1815" s="1" t="inlineStr">
        <is>
          <t>ОБЩЕСТВО С ОГРАНИЧЕННОЙ ОТВЕТСТВЕННОСТЬЮ "АМУР ЗОЛОТО"</t>
        </is>
      </c>
      <c r="F1815" s="1" t="inlineStr">
        <is>
          <t>2708001686</t>
        </is>
      </c>
      <c r="G1815" s="1" t="inlineStr">
        <is>
          <t>Дробильщик</t>
        </is>
      </c>
      <c r="H1815" s="1" t="inlineStr">
        <is>
          <t>ООО "Амур Золото"</t>
        </is>
      </c>
      <c r="I1815" s="1" t="inlineStr">
        <is>
          <t>2708001686</t>
        </is>
      </c>
      <c r="J1815" s="1" t="inlineStr">
        <is>
          <t>ОТ № ЮГОК ЗИОФ 25-01</t>
        </is>
      </c>
      <c r="K181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815" s="1" t="inlineStr">
        <is>
          <t>16.01.2025</t>
        </is>
      </c>
      <c r="M1815" s="1" t="inlineStr">
        <is>
          <t>Успешно</t>
        </is>
      </c>
      <c r="N1815" s="1" t="inlineStr">
        <is>
          <t>18.03.2025</t>
        </is>
      </c>
      <c r="O1815" s="1" t="inlineStr"/>
      <c r="P1815" s="1" t="inlineStr"/>
      <c r="Q1815" s="1" t="inlineStr">
        <is>
          <t>Пользовательский интерфейс</t>
        </is>
      </c>
    </row>
    <row r="1816">
      <c r="B1816" s="1" t="inlineStr">
        <is>
          <t>110446271</t>
        </is>
      </c>
      <c r="C1816" s="1" t="inlineStr">
        <is>
          <t>8371772</t>
        </is>
      </c>
      <c r="D1816" t="inlineStr">
        <is>
          <t>работник 522</t>
        </is>
      </c>
      <c r="E1816" s="1" t="inlineStr">
        <is>
          <t>ОБЩЕСТВО С ОГРАНИЧЕННОЙ ОТВЕТСТВЕННОСТЬЮ "АМУР ЗОЛОТО"</t>
        </is>
      </c>
      <c r="F1816" s="1" t="inlineStr">
        <is>
          <t>2708001686</t>
        </is>
      </c>
      <c r="G1816" s="1" t="inlineStr">
        <is>
          <t>Фильтровальщик</t>
        </is>
      </c>
      <c r="H1816" s="1" t="inlineStr">
        <is>
          <t>ООО "Амур Золото"</t>
        </is>
      </c>
      <c r="I1816" s="1" t="inlineStr">
        <is>
          <t>2708001686</t>
        </is>
      </c>
      <c r="J1816" s="1" t="inlineStr">
        <is>
          <t>ОТ № ЮГОК ЗИОФ 25-01</t>
        </is>
      </c>
      <c r="K1816" s="1" t="inlineStr">
        <is>
          <t>Использование (применение) средств индивидуальной защиты</t>
        </is>
      </c>
      <c r="L1816" s="1" t="inlineStr">
        <is>
          <t>16.01.2025</t>
        </is>
      </c>
      <c r="M1816" s="1" t="inlineStr">
        <is>
          <t>Успешно</t>
        </is>
      </c>
      <c r="N1816" s="1" t="inlineStr">
        <is>
          <t>18.03.2025</t>
        </is>
      </c>
      <c r="O1816" s="1" t="inlineStr"/>
      <c r="P1816" s="1" t="inlineStr"/>
      <c r="Q1816" s="1" t="inlineStr">
        <is>
          <t>Пользовательский интерфейс</t>
        </is>
      </c>
    </row>
    <row r="1817">
      <c r="B1817" s="1" t="inlineStr">
        <is>
          <t>110446272</t>
        </is>
      </c>
      <c r="C1817" s="1" t="inlineStr">
        <is>
          <t>8371772</t>
        </is>
      </c>
      <c r="D1817" t="inlineStr">
        <is>
          <t>работник 522</t>
        </is>
      </c>
      <c r="E1817" s="1" t="inlineStr">
        <is>
          <t>ОБЩЕСТВО С ОГРАНИЧЕННОЙ ОТВЕТСТВЕННОСТЬЮ "АМУР ЗОЛОТО"</t>
        </is>
      </c>
      <c r="F1817" s="1" t="inlineStr">
        <is>
          <t>2708001686</t>
        </is>
      </c>
      <c r="G1817" s="1" t="inlineStr">
        <is>
          <t>Фильтровальщик</t>
        </is>
      </c>
      <c r="H1817" s="1" t="inlineStr">
        <is>
          <t>ООО "Амур Золото"</t>
        </is>
      </c>
      <c r="I1817" s="1" t="inlineStr">
        <is>
          <t>2708001686</t>
        </is>
      </c>
      <c r="J1817" s="1" t="inlineStr">
        <is>
          <t>ОТ № ЮГОК ЗИОФ 25-01</t>
        </is>
      </c>
      <c r="K181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817" s="1" t="inlineStr">
        <is>
          <t>16.01.2025</t>
        </is>
      </c>
      <c r="M1817" s="1" t="inlineStr">
        <is>
          <t>Успешно</t>
        </is>
      </c>
      <c r="N1817" s="1" t="inlineStr">
        <is>
          <t>18.03.2025</t>
        </is>
      </c>
      <c r="O1817" s="1" t="inlineStr"/>
      <c r="P1817" s="1" t="inlineStr"/>
      <c r="Q1817" s="1" t="inlineStr">
        <is>
          <t>Пользовательский интерфейс</t>
        </is>
      </c>
    </row>
    <row r="1818">
      <c r="B1818" s="1" t="inlineStr">
        <is>
          <t>110446273</t>
        </is>
      </c>
      <c r="C1818" s="1" t="inlineStr">
        <is>
          <t>8371772</t>
        </is>
      </c>
      <c r="D1818" t="inlineStr">
        <is>
          <t>работник 523</t>
        </is>
      </c>
      <c r="E1818" s="1" t="inlineStr">
        <is>
          <t>ОБЩЕСТВО С ОГРАНИЧЕННОЙ ОТВЕТСТВЕННОСТЬЮ "АМУР ЗОЛОТО"</t>
        </is>
      </c>
      <c r="F1818" s="1" t="inlineStr">
        <is>
          <t>2708001686</t>
        </is>
      </c>
      <c r="G1818" s="1" t="inlineStr">
        <is>
          <t>Фильтровальщик</t>
        </is>
      </c>
      <c r="H1818" s="1" t="inlineStr">
        <is>
          <t>ООО "Амур Золото"</t>
        </is>
      </c>
      <c r="I1818" s="1" t="inlineStr">
        <is>
          <t>2708001686</t>
        </is>
      </c>
      <c r="J1818" s="1" t="inlineStr">
        <is>
          <t>ОТ № ЮГОК ЗИОФ 25-01</t>
        </is>
      </c>
      <c r="K1818" s="1" t="inlineStr">
        <is>
          <t>Использование (применение) средств индивидуальной защиты</t>
        </is>
      </c>
      <c r="L1818" s="1" t="inlineStr">
        <is>
          <t>16.01.2025</t>
        </is>
      </c>
      <c r="M1818" s="1" t="inlineStr">
        <is>
          <t>Успешно</t>
        </is>
      </c>
      <c r="N1818" s="1" t="inlineStr">
        <is>
          <t>18.03.2025</t>
        </is>
      </c>
      <c r="O1818" s="1" t="inlineStr"/>
      <c r="P1818" s="1" t="inlineStr"/>
      <c r="Q1818" s="1" t="inlineStr">
        <is>
          <t>Пользовательский интерфейс</t>
        </is>
      </c>
    </row>
    <row r="1819">
      <c r="B1819" s="1" t="inlineStr">
        <is>
          <t>110446274</t>
        </is>
      </c>
      <c r="C1819" s="1" t="inlineStr">
        <is>
          <t>8371772</t>
        </is>
      </c>
      <c r="D1819" t="inlineStr">
        <is>
          <t>работник 523</t>
        </is>
      </c>
      <c r="E1819" s="1" t="inlineStr">
        <is>
          <t>ОБЩЕСТВО С ОГРАНИЧЕННОЙ ОТВЕТСТВЕННОСТЬЮ "АМУР ЗОЛОТО"</t>
        </is>
      </c>
      <c r="F1819" s="1" t="inlineStr">
        <is>
          <t>2708001686</t>
        </is>
      </c>
      <c r="G1819" s="1" t="inlineStr">
        <is>
          <t>Фильтровальщик</t>
        </is>
      </c>
      <c r="H1819" s="1" t="inlineStr">
        <is>
          <t>ООО "Амур Золото"</t>
        </is>
      </c>
      <c r="I1819" s="1" t="inlineStr">
        <is>
          <t>2708001686</t>
        </is>
      </c>
      <c r="J1819" s="1" t="inlineStr">
        <is>
          <t>ОТ № ЮГОК ЗИОФ 25-01</t>
        </is>
      </c>
      <c r="K181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819" s="1" t="inlineStr">
        <is>
          <t>16.01.2025</t>
        </is>
      </c>
      <c r="M1819" s="1" t="inlineStr">
        <is>
          <t>Успешно</t>
        </is>
      </c>
      <c r="N1819" s="1" t="inlineStr">
        <is>
          <t>18.03.2025</t>
        </is>
      </c>
      <c r="O1819" s="1" t="inlineStr"/>
      <c r="P1819" s="1" t="inlineStr"/>
      <c r="Q1819" s="1" t="inlineStr">
        <is>
          <t>Пользовательский интерфейс</t>
        </is>
      </c>
    </row>
    <row r="1820">
      <c r="B1820" s="1" t="inlineStr">
        <is>
          <t>110446275</t>
        </is>
      </c>
      <c r="C1820" s="1" t="inlineStr">
        <is>
          <t>8371772</t>
        </is>
      </c>
      <c r="D1820" t="inlineStr">
        <is>
          <t>работник 502</t>
        </is>
      </c>
      <c r="E1820" s="1" t="inlineStr">
        <is>
          <t>ОБЩЕСТВО С ОГРАНИЧЕННОЙ ОТВЕТСТВЕННОСТЬЮ "АМУР ЗОЛОТО"</t>
        </is>
      </c>
      <c r="F1820" s="1" t="inlineStr">
        <is>
          <t>2708001686</t>
        </is>
      </c>
      <c r="G1820" s="1" t="inlineStr">
        <is>
          <t>Подсобный рабочий</t>
        </is>
      </c>
      <c r="H1820" s="1" t="inlineStr">
        <is>
          <t>ООО "Амур Золото"</t>
        </is>
      </c>
      <c r="I1820" s="1" t="inlineStr">
        <is>
          <t>2708001686</t>
        </is>
      </c>
      <c r="J1820" s="1" t="inlineStr">
        <is>
          <t>ОТ № ЮГОК ЗИОФ 25-02</t>
        </is>
      </c>
      <c r="K1820" s="1" t="inlineStr">
        <is>
          <t>Использование (применение) средств индивидуальной защиты</t>
        </is>
      </c>
      <c r="L1820" s="1" t="inlineStr">
        <is>
          <t>18.01.2025</t>
        </is>
      </c>
      <c r="M1820" s="1" t="inlineStr">
        <is>
          <t>Успешно</t>
        </is>
      </c>
      <c r="N1820" s="1" t="inlineStr">
        <is>
          <t>18.03.2025</t>
        </is>
      </c>
      <c r="O1820" s="1" t="inlineStr"/>
      <c r="P1820" s="1" t="inlineStr"/>
      <c r="Q1820" s="1" t="inlineStr">
        <is>
          <t>Пользовательский интерфейс</t>
        </is>
      </c>
    </row>
    <row r="1821">
      <c r="B1821" s="1" t="inlineStr">
        <is>
          <t>110446276</t>
        </is>
      </c>
      <c r="C1821" s="1" t="inlineStr">
        <is>
          <t>8371772</t>
        </is>
      </c>
      <c r="D1821" t="inlineStr">
        <is>
          <t>работник 502</t>
        </is>
      </c>
      <c r="E1821" s="1" t="inlineStr">
        <is>
          <t>ОБЩЕСТВО С ОГРАНИЧЕННОЙ ОТВЕТСТВЕННОСТЬЮ "АМУР ЗОЛОТО"</t>
        </is>
      </c>
      <c r="F1821" s="1" t="inlineStr">
        <is>
          <t>2708001686</t>
        </is>
      </c>
      <c r="G1821" s="1" t="inlineStr">
        <is>
          <t>Подсобный рабочий</t>
        </is>
      </c>
      <c r="H1821" s="1" t="inlineStr">
        <is>
          <t>ООО "Амур Золото"</t>
        </is>
      </c>
      <c r="I1821" s="1" t="inlineStr">
        <is>
          <t>2708001686</t>
        </is>
      </c>
      <c r="J1821" s="1" t="inlineStr">
        <is>
          <t>ОТ № ЮГОК ЗИОФ 25-02</t>
        </is>
      </c>
      <c r="K182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821" s="1" t="inlineStr">
        <is>
          <t>18.01.2025</t>
        </is>
      </c>
      <c r="M1821" s="1" t="inlineStr">
        <is>
          <t>Успешно</t>
        </is>
      </c>
      <c r="N1821" s="1" t="inlineStr">
        <is>
          <t>18.03.2025</t>
        </is>
      </c>
      <c r="O1821" s="1" t="inlineStr"/>
      <c r="P1821" s="1" t="inlineStr"/>
      <c r="Q1821" s="1" t="inlineStr">
        <is>
          <t>Пользовательский интерфейс</t>
        </is>
      </c>
    </row>
    <row r="1822">
      <c r="B1822" s="1" t="inlineStr">
        <is>
          <t>110446277</t>
        </is>
      </c>
      <c r="C1822" s="1" t="inlineStr">
        <is>
          <t>8371772</t>
        </is>
      </c>
      <c r="D1822" t="inlineStr">
        <is>
          <t>работник 524</t>
        </is>
      </c>
      <c r="E1822" s="1" t="inlineStr">
        <is>
          <t>ОБЩЕСТВО С ОГРАНИЧЕННОЙ ОТВЕТСТВЕННОСТЬЮ "АМУР ЗОЛОТО"</t>
        </is>
      </c>
      <c r="F1822" s="1" t="inlineStr">
        <is>
          <t>2708001686</t>
        </is>
      </c>
      <c r="G1822" s="1" t="inlineStr">
        <is>
          <t>Машинист конвейера</t>
        </is>
      </c>
      <c r="H1822" s="1" t="inlineStr">
        <is>
          <t>ООО "Амур Золото"</t>
        </is>
      </c>
      <c r="I1822" s="1" t="inlineStr">
        <is>
          <t>2708001686</t>
        </is>
      </c>
      <c r="J1822" s="1" t="inlineStr">
        <is>
          <t>ОТ № ЮГОК ЗИОФ 25-03</t>
        </is>
      </c>
      <c r="K1822" s="1" t="inlineStr">
        <is>
          <t>Использование (применение) средств индивидуальной защиты</t>
        </is>
      </c>
      <c r="L1822" s="1" t="inlineStr">
        <is>
          <t>01.02.2025</t>
        </is>
      </c>
      <c r="M1822" s="1" t="inlineStr">
        <is>
          <t>Успешно</t>
        </is>
      </c>
      <c r="N1822" s="1" t="inlineStr">
        <is>
          <t>18.03.2025</t>
        </is>
      </c>
      <c r="O1822" s="1" t="inlineStr"/>
      <c r="P1822" s="1" t="inlineStr"/>
      <c r="Q1822" s="1" t="inlineStr">
        <is>
          <t>Пользовательский интерфейс</t>
        </is>
      </c>
    </row>
    <row r="1823">
      <c r="B1823" s="1" t="inlineStr">
        <is>
          <t>110446278</t>
        </is>
      </c>
      <c r="C1823" s="1" t="inlineStr">
        <is>
          <t>8371772</t>
        </is>
      </c>
      <c r="D1823" t="inlineStr">
        <is>
          <t>работник 524</t>
        </is>
      </c>
      <c r="E1823" s="1" t="inlineStr">
        <is>
          <t>ОБЩЕСТВО С ОГРАНИЧЕННОЙ ОТВЕТСТВЕННОСТЬЮ "АМУР ЗОЛОТО"</t>
        </is>
      </c>
      <c r="F1823" s="1" t="inlineStr">
        <is>
          <t>2708001686</t>
        </is>
      </c>
      <c r="G1823" s="1" t="inlineStr">
        <is>
          <t>Машинист конвейера</t>
        </is>
      </c>
      <c r="H1823" s="1" t="inlineStr">
        <is>
          <t>ООО "Амур Золото"</t>
        </is>
      </c>
      <c r="I1823" s="1" t="inlineStr">
        <is>
          <t>2708001686</t>
        </is>
      </c>
      <c r="J1823" s="1" t="inlineStr">
        <is>
          <t>ОТ № ЮГОК ЗИОФ 25-03</t>
        </is>
      </c>
      <c r="K182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823" s="1" t="inlineStr">
        <is>
          <t>01.02.2025</t>
        </is>
      </c>
      <c r="M1823" s="1" t="inlineStr">
        <is>
          <t>Успешно</t>
        </is>
      </c>
      <c r="N1823" s="1" t="inlineStr">
        <is>
          <t>18.03.2025</t>
        </is>
      </c>
      <c r="O1823" s="1" t="inlineStr"/>
      <c r="P1823" s="1" t="inlineStr"/>
      <c r="Q1823" s="1" t="inlineStr">
        <is>
          <t>Пользовательский интерфейс</t>
        </is>
      </c>
    </row>
    <row r="1824">
      <c r="B1824" s="1" t="inlineStr">
        <is>
          <t>110446279</t>
        </is>
      </c>
      <c r="C1824" s="1" t="inlineStr">
        <is>
          <t>8371772</t>
        </is>
      </c>
      <c r="D1824" t="inlineStr">
        <is>
          <t>работник 525</t>
        </is>
      </c>
      <c r="E1824" s="1" t="inlineStr">
        <is>
          <t>ОБЩЕСТВО С ОГРАНИЧЕННОЙ ОТВЕТСТВЕННОСТЬЮ "АМУР ЗОЛОТО"</t>
        </is>
      </c>
      <c r="F1824" s="1" t="inlineStr">
        <is>
          <t>2708001686</t>
        </is>
      </c>
      <c r="G1824" s="1" t="inlineStr">
        <is>
          <t>Аппаратчик-гидрометаллург</t>
        </is>
      </c>
      <c r="H1824" s="1" t="inlineStr">
        <is>
          <t>ООО "Амур Золото"</t>
        </is>
      </c>
      <c r="I1824" s="1" t="inlineStr">
        <is>
          <t>2708001686</t>
        </is>
      </c>
      <c r="J1824" s="1" t="inlineStr">
        <is>
          <t>ОТ № ЮГОК ЗИОФ 25-04</t>
        </is>
      </c>
      <c r="K1824" s="1" t="inlineStr">
        <is>
          <t>Использование (применение) средств индивидуальной защиты</t>
        </is>
      </c>
      <c r="L1824" s="1" t="inlineStr">
        <is>
          <t>01.02.2025</t>
        </is>
      </c>
      <c r="M1824" s="1" t="inlineStr">
        <is>
          <t>Успешно</t>
        </is>
      </c>
      <c r="N1824" s="1" t="inlineStr">
        <is>
          <t>18.03.2025</t>
        </is>
      </c>
      <c r="O1824" s="1" t="inlineStr"/>
      <c r="P1824" s="1" t="inlineStr"/>
      <c r="Q1824" s="1" t="inlineStr">
        <is>
          <t>Пользовательский интерфейс</t>
        </is>
      </c>
    </row>
    <row r="1825">
      <c r="B1825" s="1" t="inlineStr">
        <is>
          <t>110446280</t>
        </is>
      </c>
      <c r="C1825" s="1" t="inlineStr">
        <is>
          <t>8371772</t>
        </is>
      </c>
      <c r="D1825" t="inlineStr">
        <is>
          <t>работник 525</t>
        </is>
      </c>
      <c r="E1825" s="1" t="inlineStr">
        <is>
          <t>ОБЩЕСТВО С ОГРАНИЧЕННОЙ ОТВЕТСТВЕННОСТЬЮ "АМУР ЗОЛОТО"</t>
        </is>
      </c>
      <c r="F1825" s="1" t="inlineStr">
        <is>
          <t>2708001686</t>
        </is>
      </c>
      <c r="G1825" s="1" t="inlineStr">
        <is>
          <t>Аппаратчик-гидрометаллург</t>
        </is>
      </c>
      <c r="H1825" s="1" t="inlineStr">
        <is>
          <t>ООО "Амур Золото"</t>
        </is>
      </c>
      <c r="I1825" s="1" t="inlineStr">
        <is>
          <t>2708001686</t>
        </is>
      </c>
      <c r="J1825" s="1" t="inlineStr">
        <is>
          <t>ОТ № ЮГОК ЗИОФ 25-04</t>
        </is>
      </c>
      <c r="K182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825" s="1" t="inlineStr">
        <is>
          <t>01.02.2025</t>
        </is>
      </c>
      <c r="M1825" s="1" t="inlineStr">
        <is>
          <t>Успешно</t>
        </is>
      </c>
      <c r="N1825" s="1" t="inlineStr">
        <is>
          <t>18.03.2025</t>
        </is>
      </c>
      <c r="O1825" s="1" t="inlineStr"/>
      <c r="P1825" s="1" t="inlineStr"/>
      <c r="Q1825" s="1" t="inlineStr">
        <is>
          <t>Пользовательский интерфейс</t>
        </is>
      </c>
    </row>
    <row r="1826">
      <c r="B1826" s="1" t="inlineStr">
        <is>
          <t>110446281</t>
        </is>
      </c>
      <c r="C1826" s="1" t="inlineStr">
        <is>
          <t>8371772</t>
        </is>
      </c>
      <c r="D1826" t="inlineStr">
        <is>
          <t>работник 526</t>
        </is>
      </c>
      <c r="E1826" s="1" t="inlineStr">
        <is>
          <t>ОБЩЕСТВО С ОГРАНИЧЕННОЙ ОТВЕТСТВЕННОСТЬЮ "АМУР ЗОЛОТО"</t>
        </is>
      </c>
      <c r="F1826" s="1" t="inlineStr">
        <is>
          <t>2708001686</t>
        </is>
      </c>
      <c r="G1826" s="1" t="inlineStr">
        <is>
          <t>Фильтровальщик</t>
        </is>
      </c>
      <c r="H1826" s="1" t="inlineStr">
        <is>
          <t>ООО "Амур Золото"</t>
        </is>
      </c>
      <c r="I1826" s="1" t="inlineStr">
        <is>
          <t>2708001686</t>
        </is>
      </c>
      <c r="J1826" s="1" t="inlineStr">
        <is>
          <t>ОТ № ЮГОК ЗИОФ 25-05</t>
        </is>
      </c>
      <c r="K1826" s="1" t="inlineStr">
        <is>
          <t>Использование (применение) средств индивидуальной защиты</t>
        </is>
      </c>
      <c r="L1826" s="1" t="inlineStr">
        <is>
          <t>01.02.2025</t>
        </is>
      </c>
      <c r="M1826" s="1" t="inlineStr">
        <is>
          <t>Успешно</t>
        </is>
      </c>
      <c r="N1826" s="1" t="inlineStr">
        <is>
          <t>18.03.2025</t>
        </is>
      </c>
      <c r="O1826" s="1" t="inlineStr"/>
      <c r="P1826" s="1" t="inlineStr"/>
      <c r="Q1826" s="1" t="inlineStr">
        <is>
          <t>Пользовательский интерфейс</t>
        </is>
      </c>
    </row>
    <row r="1827">
      <c r="B1827" s="1" t="inlineStr">
        <is>
          <t>110446282</t>
        </is>
      </c>
      <c r="C1827" s="1" t="inlineStr">
        <is>
          <t>8371772</t>
        </is>
      </c>
      <c r="D1827" t="inlineStr">
        <is>
          <t>работник 526</t>
        </is>
      </c>
      <c r="E1827" s="1" t="inlineStr">
        <is>
          <t>ОБЩЕСТВО С ОГРАНИЧЕННОЙ ОТВЕТСТВЕННОСТЬЮ "АМУР ЗОЛОТО"</t>
        </is>
      </c>
      <c r="F1827" s="1" t="inlineStr">
        <is>
          <t>2708001686</t>
        </is>
      </c>
      <c r="G1827" s="1" t="inlineStr">
        <is>
          <t>Фильтровальщик</t>
        </is>
      </c>
      <c r="H1827" s="1" t="inlineStr">
        <is>
          <t>ООО "Амур Золото"</t>
        </is>
      </c>
      <c r="I1827" s="1" t="inlineStr">
        <is>
          <t>2708001686</t>
        </is>
      </c>
      <c r="J1827" s="1" t="inlineStr">
        <is>
          <t>ОТ № ЮГОК ЗИОФ 25-05</t>
        </is>
      </c>
      <c r="K182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827" s="1" t="inlineStr">
        <is>
          <t>01.02.2025</t>
        </is>
      </c>
      <c r="M1827" s="1" t="inlineStr">
        <is>
          <t>Успешно</t>
        </is>
      </c>
      <c r="N1827" s="1" t="inlineStr">
        <is>
          <t>18.03.2025</t>
        </is>
      </c>
      <c r="O1827" s="1" t="inlineStr"/>
      <c r="P1827" s="1" t="inlineStr"/>
      <c r="Q1827" s="1" t="inlineStr">
        <is>
          <t>Пользовательский интерфейс</t>
        </is>
      </c>
    </row>
    <row r="1828">
      <c r="B1828" s="1" t="inlineStr">
        <is>
          <t>110446283</t>
        </is>
      </c>
      <c r="C1828" s="1" t="inlineStr">
        <is>
          <t>8371772</t>
        </is>
      </c>
      <c r="D1828" t="inlineStr">
        <is>
          <t>работник 527</t>
        </is>
      </c>
      <c r="E1828" s="1" t="inlineStr">
        <is>
          <t>ОБЩЕСТВО С ОГРАНИЧЕННОЙ ОТВЕТСТВЕННОСТЬЮ "АМУР ЗОЛОТО"</t>
        </is>
      </c>
      <c r="F1828" s="1" t="inlineStr">
        <is>
          <t>2708001686</t>
        </is>
      </c>
      <c r="G1828" s="1" t="inlineStr">
        <is>
          <t>Аппаратчик-сгустителей</t>
        </is>
      </c>
      <c r="H1828" s="1" t="inlineStr">
        <is>
          <t>ООО "Амур Золото"</t>
        </is>
      </c>
      <c r="I1828" s="1" t="inlineStr">
        <is>
          <t>2708001686</t>
        </is>
      </c>
      <c r="J1828" s="1" t="inlineStr">
        <is>
          <t>ОТ № ЮГОК ЗИОФ 25-06</t>
        </is>
      </c>
      <c r="K1828" s="1" t="inlineStr">
        <is>
          <t>Использование (применение) средств индивидуальной защиты</t>
        </is>
      </c>
      <c r="L1828" s="1" t="inlineStr">
        <is>
          <t>18.02.2025</t>
        </is>
      </c>
      <c r="M1828" s="1" t="inlineStr">
        <is>
          <t>Успешно</t>
        </is>
      </c>
      <c r="N1828" s="1" t="inlineStr">
        <is>
          <t>18.03.2025</t>
        </is>
      </c>
      <c r="O1828" s="1" t="inlineStr"/>
      <c r="P1828" s="1" t="inlineStr"/>
      <c r="Q1828" s="1" t="inlineStr">
        <is>
          <t>Пользовательский интерфейс</t>
        </is>
      </c>
    </row>
    <row r="1829">
      <c r="B1829" s="1" t="inlineStr">
        <is>
          <t>110446284</t>
        </is>
      </c>
      <c r="C1829" s="1" t="inlineStr">
        <is>
          <t>8371772</t>
        </is>
      </c>
      <c r="D1829" t="inlineStr">
        <is>
          <t>работник 527</t>
        </is>
      </c>
      <c r="E1829" s="1" t="inlineStr">
        <is>
          <t>ОБЩЕСТВО С ОГРАНИЧЕННОЙ ОТВЕТСТВЕННОСТЬЮ "АМУР ЗОЛОТО"</t>
        </is>
      </c>
      <c r="F1829" s="1" t="inlineStr">
        <is>
          <t>2708001686</t>
        </is>
      </c>
      <c r="G1829" s="1" t="inlineStr">
        <is>
          <t>Аппаратчик-сгустителей</t>
        </is>
      </c>
      <c r="H1829" s="1" t="inlineStr">
        <is>
          <t>ООО "Амур Золото"</t>
        </is>
      </c>
      <c r="I1829" s="1" t="inlineStr">
        <is>
          <t>2708001686</t>
        </is>
      </c>
      <c r="J1829" s="1" t="inlineStr">
        <is>
          <t>ОТ № ЮГОК ЗИОФ 25-06</t>
        </is>
      </c>
      <c r="K182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829" s="1" t="inlineStr">
        <is>
          <t>18.02.2025</t>
        </is>
      </c>
      <c r="M1829" s="1" t="inlineStr">
        <is>
          <t>Успешно</t>
        </is>
      </c>
      <c r="N1829" s="1" t="inlineStr">
        <is>
          <t>18.03.2025</t>
        </is>
      </c>
      <c r="O1829" s="1" t="inlineStr"/>
      <c r="P1829" s="1" t="inlineStr"/>
      <c r="Q1829" s="1" t="inlineStr">
        <is>
          <t>Пользовательский интерфейс</t>
        </is>
      </c>
    </row>
    <row r="1830">
      <c r="B1830" s="1" t="inlineStr">
        <is>
          <t>110446285</t>
        </is>
      </c>
      <c r="C1830" s="1" t="inlineStr">
        <is>
          <t>8371772</t>
        </is>
      </c>
      <c r="D1830" t="inlineStr">
        <is>
          <t>работник 427</t>
        </is>
      </c>
      <c r="E1830" s="1" t="inlineStr">
        <is>
          <t>ОБЩЕСТВО С ОГРАНИЧЕННОЙ ОТВЕТСТВЕННОСТЬЮ "АМУР ЗОЛОТО"</t>
        </is>
      </c>
      <c r="F1830" s="1" t="inlineStr">
        <is>
          <t>2708001686</t>
        </is>
      </c>
      <c r="G1830" s="1" t="inlineStr">
        <is>
          <t>Аппаратчик-гидрометаллург</t>
        </is>
      </c>
      <c r="H1830" s="1" t="inlineStr">
        <is>
          <t>ООО "Амур Золото"</t>
        </is>
      </c>
      <c r="I1830" s="1" t="inlineStr">
        <is>
          <t>2708001686</t>
        </is>
      </c>
      <c r="J1830" s="1" t="inlineStr">
        <is>
          <t>ОТ № ЮГОК ЗИОФ 25-06</t>
        </is>
      </c>
      <c r="K1830" s="1" t="inlineStr">
        <is>
          <t>Использование (применение) средств индивидуальной защиты</t>
        </is>
      </c>
      <c r="L1830" s="1" t="inlineStr">
        <is>
          <t>18.02.2025</t>
        </is>
      </c>
      <c r="M1830" s="1" t="inlineStr">
        <is>
          <t>Успешно</t>
        </is>
      </c>
      <c r="N1830" s="1" t="inlineStr">
        <is>
          <t>18.03.2025</t>
        </is>
      </c>
      <c r="O1830" s="1" t="inlineStr"/>
      <c r="P1830" s="1" t="inlineStr"/>
      <c r="Q1830" s="1" t="inlineStr">
        <is>
          <t>Пользовательский интерфейс</t>
        </is>
      </c>
    </row>
    <row r="1831">
      <c r="B1831" s="1" t="inlineStr">
        <is>
          <t>110446286</t>
        </is>
      </c>
      <c r="C1831" s="1" t="inlineStr">
        <is>
          <t>8371772</t>
        </is>
      </c>
      <c r="D1831" t="inlineStr">
        <is>
          <t>работник 427</t>
        </is>
      </c>
      <c r="E1831" s="1" t="inlineStr">
        <is>
          <t>ОБЩЕСТВО С ОГРАНИЧЕННОЙ ОТВЕТСТВЕННОСТЬЮ "АМУР ЗОЛОТО"</t>
        </is>
      </c>
      <c r="F1831" s="1" t="inlineStr">
        <is>
          <t>2708001686</t>
        </is>
      </c>
      <c r="G1831" s="1" t="inlineStr">
        <is>
          <t>Аппаратчик-гидрометаллург</t>
        </is>
      </c>
      <c r="H1831" s="1" t="inlineStr">
        <is>
          <t>ООО "Амур Золото"</t>
        </is>
      </c>
      <c r="I1831" s="1" t="inlineStr">
        <is>
          <t>2708001686</t>
        </is>
      </c>
      <c r="J1831" s="1" t="inlineStr">
        <is>
          <t>ОТ № ЮГОК ЗИОФ 25-06</t>
        </is>
      </c>
      <c r="K183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831" s="1" t="inlineStr">
        <is>
          <t>18.02.2025</t>
        </is>
      </c>
      <c r="M1831" s="1" t="inlineStr">
        <is>
          <t>Успешно</t>
        </is>
      </c>
      <c r="N1831" s="1" t="inlineStr">
        <is>
          <t>18.03.2025</t>
        </is>
      </c>
      <c r="O1831" s="1" t="inlineStr"/>
      <c r="P1831" s="1" t="inlineStr"/>
      <c r="Q1831" s="1" t="inlineStr">
        <is>
          <t>Пользовательский интерфейс</t>
        </is>
      </c>
    </row>
    <row r="1832">
      <c r="B1832" s="1" t="inlineStr">
        <is>
          <t>110446287</t>
        </is>
      </c>
      <c r="C1832" s="1" t="inlineStr">
        <is>
          <t>8371772</t>
        </is>
      </c>
      <c r="D1832" t="inlineStr">
        <is>
          <t>работник 382</t>
        </is>
      </c>
      <c r="E1832" s="1" t="inlineStr">
        <is>
          <t>ОБЩЕСТВО С ОГРАНИЧЕННОЙ ОТВЕТСТВЕННОСТЬЮ "АМУР ЗОЛОТО"</t>
        </is>
      </c>
      <c r="F1832" s="1" t="inlineStr">
        <is>
          <t>2708001686</t>
        </is>
      </c>
      <c r="G1832" s="1" t="inlineStr">
        <is>
          <t>Растворщик реагентов</t>
        </is>
      </c>
      <c r="H1832" s="1" t="inlineStr">
        <is>
          <t>ООО "Амур Золото"</t>
        </is>
      </c>
      <c r="I1832" s="1" t="inlineStr">
        <is>
          <t>2708001686</t>
        </is>
      </c>
      <c r="J1832" s="1" t="inlineStr">
        <is>
          <t>ОТ № ЮГОК ЗИОФ 25-06</t>
        </is>
      </c>
      <c r="K1832" s="1" t="inlineStr">
        <is>
          <t>Использование (применение) средств индивидуальной защиты</t>
        </is>
      </c>
      <c r="L1832" s="1" t="inlineStr">
        <is>
          <t>18.02.2025</t>
        </is>
      </c>
      <c r="M1832" s="1" t="inlineStr">
        <is>
          <t>Успешно</t>
        </is>
      </c>
      <c r="N1832" s="1" t="inlineStr">
        <is>
          <t>18.03.2025</t>
        </is>
      </c>
      <c r="O1832" s="1" t="inlineStr"/>
      <c r="P1832" s="1" t="inlineStr"/>
      <c r="Q1832" s="1" t="inlineStr">
        <is>
          <t>Пользовательский интерфейс</t>
        </is>
      </c>
    </row>
    <row r="1833">
      <c r="B1833" s="1" t="inlineStr">
        <is>
          <t>110446288</t>
        </is>
      </c>
      <c r="C1833" s="1" t="inlineStr">
        <is>
          <t>8371772</t>
        </is>
      </c>
      <c r="D1833" t="inlineStr">
        <is>
          <t>работник 382</t>
        </is>
      </c>
      <c r="E1833" s="1" t="inlineStr">
        <is>
          <t>ОБЩЕСТВО С ОГРАНИЧЕННОЙ ОТВЕТСТВЕННОСТЬЮ "АМУР ЗОЛОТО"</t>
        </is>
      </c>
      <c r="F1833" s="1" t="inlineStr">
        <is>
          <t>2708001686</t>
        </is>
      </c>
      <c r="G1833" s="1" t="inlineStr">
        <is>
          <t>Растворщик реагентов</t>
        </is>
      </c>
      <c r="H1833" s="1" t="inlineStr">
        <is>
          <t>ООО "Амур Золото"</t>
        </is>
      </c>
      <c r="I1833" s="1" t="inlineStr">
        <is>
          <t>2708001686</t>
        </is>
      </c>
      <c r="J1833" s="1" t="inlineStr">
        <is>
          <t>ОТ № ЮГОК ЗИОФ 25-06</t>
        </is>
      </c>
      <c r="K183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833" s="1" t="inlineStr">
        <is>
          <t>18.02.2025</t>
        </is>
      </c>
      <c r="M1833" s="1" t="inlineStr">
        <is>
          <t>Успешно</t>
        </is>
      </c>
      <c r="N1833" s="1" t="inlineStr">
        <is>
          <t>18.03.2025</t>
        </is>
      </c>
      <c r="O1833" s="1" t="inlineStr"/>
      <c r="P1833" s="1" t="inlineStr"/>
      <c r="Q1833" s="1" t="inlineStr">
        <is>
          <t>Пользовательский интерфейс</t>
        </is>
      </c>
    </row>
    <row r="1834">
      <c r="B1834" s="1" t="inlineStr">
        <is>
          <t>110446289</t>
        </is>
      </c>
      <c r="C1834" s="1" t="inlineStr">
        <is>
          <t>8371772</t>
        </is>
      </c>
      <c r="D1834" t="inlineStr">
        <is>
          <t>работник 528</t>
        </is>
      </c>
      <c r="E1834" s="1" t="inlineStr">
        <is>
          <t>ОБЩЕСТВО С ОГРАНИЧЕННОЙ ОТВЕТСТВЕННОСТЬЮ "АМУР ЗОЛОТО"</t>
        </is>
      </c>
      <c r="F1834" s="1" t="inlineStr">
        <is>
          <t>2708001686</t>
        </is>
      </c>
      <c r="G1834" s="1" t="inlineStr">
        <is>
          <t>Дробильщик</t>
        </is>
      </c>
      <c r="H1834" s="1" t="inlineStr">
        <is>
          <t>ООО "Амур Золото"</t>
        </is>
      </c>
      <c r="I1834" s="1" t="inlineStr">
        <is>
          <t>2708001686</t>
        </is>
      </c>
      <c r="J1834" s="1" t="inlineStr">
        <is>
          <t>ОТ № ЮГОК ЗИОФ 25-07</t>
        </is>
      </c>
      <c r="K1834" s="1" t="inlineStr">
        <is>
          <t>Использование (применение) средств индивидуальной защиты</t>
        </is>
      </c>
      <c r="L1834" s="1" t="inlineStr">
        <is>
          <t>27.02.2025</t>
        </is>
      </c>
      <c r="M1834" s="1" t="inlineStr">
        <is>
          <t>Успешно</t>
        </is>
      </c>
      <c r="N1834" s="1" t="inlineStr">
        <is>
          <t>18.03.2025</t>
        </is>
      </c>
      <c r="O1834" s="1" t="inlineStr"/>
      <c r="P1834" s="1" t="inlineStr"/>
      <c r="Q1834" s="1" t="inlineStr">
        <is>
          <t>Пользовательский интерфейс</t>
        </is>
      </c>
    </row>
    <row r="1835">
      <c r="B1835" s="1" t="inlineStr">
        <is>
          <t>110446290</t>
        </is>
      </c>
      <c r="C1835" s="1" t="inlineStr">
        <is>
          <t>8371772</t>
        </is>
      </c>
      <c r="D1835" t="inlineStr">
        <is>
          <t>работник 528</t>
        </is>
      </c>
      <c r="E1835" s="1" t="inlineStr">
        <is>
          <t>ОБЩЕСТВО С ОГРАНИЧЕННОЙ ОТВЕТСТВЕННОСТЬЮ "АМУР ЗОЛОТО"</t>
        </is>
      </c>
      <c r="F1835" s="1" t="inlineStr">
        <is>
          <t>2708001686</t>
        </is>
      </c>
      <c r="G1835" s="1" t="inlineStr">
        <is>
          <t>Дробильщик</t>
        </is>
      </c>
      <c r="H1835" s="1" t="inlineStr">
        <is>
          <t>ООО "Амур Золото"</t>
        </is>
      </c>
      <c r="I1835" s="1" t="inlineStr">
        <is>
          <t>2708001686</t>
        </is>
      </c>
      <c r="J1835" s="1" t="inlineStr">
        <is>
          <t>ОТ № ЮГОК ЗИОФ 25-07</t>
        </is>
      </c>
      <c r="K183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835" s="1" t="inlineStr">
        <is>
          <t>27.02.2025</t>
        </is>
      </c>
      <c r="M1835" s="1" t="inlineStr">
        <is>
          <t>Успешно</t>
        </is>
      </c>
      <c r="N1835" s="1" t="inlineStr">
        <is>
          <t>18.03.2025</t>
        </is>
      </c>
      <c r="O1835" s="1" t="inlineStr"/>
      <c r="P1835" s="1" t="inlineStr"/>
      <c r="Q1835" s="1" t="inlineStr">
        <is>
          <t>Пользовательский интерфейс</t>
        </is>
      </c>
    </row>
    <row r="1836">
      <c r="B1836" s="1" t="inlineStr">
        <is>
          <t>110446291</t>
        </is>
      </c>
      <c r="C1836" s="1" t="inlineStr">
        <is>
          <t>8371772</t>
        </is>
      </c>
      <c r="D1836" t="inlineStr">
        <is>
          <t>работник 529</t>
        </is>
      </c>
      <c r="E1836" s="1" t="inlineStr">
        <is>
          <t>ОБЩЕСТВО С ОГРАНИЧЕННОЙ ОТВЕТСТВЕННОСТЬЮ "АМУР ЗОЛОТО"</t>
        </is>
      </c>
      <c r="F1836" s="1" t="inlineStr">
        <is>
          <t>2708001686</t>
        </is>
      </c>
      <c r="G1836" s="1" t="inlineStr">
        <is>
          <t>Растворщик реагентов</t>
        </is>
      </c>
      <c r="H1836" s="1" t="inlineStr">
        <is>
          <t>ООО "Амур Золото"</t>
        </is>
      </c>
      <c r="I1836" s="1" t="inlineStr">
        <is>
          <t>2708001686</t>
        </is>
      </c>
      <c r="J1836" s="1" t="inlineStr">
        <is>
          <t>ОТ № ЮГОК ЗИОФ 25-08</t>
        </is>
      </c>
      <c r="K1836" s="1" t="inlineStr">
        <is>
          <t>Использование (применение) средств индивидуальной защиты</t>
        </is>
      </c>
      <c r="L1836" s="1" t="inlineStr">
        <is>
          <t>27.02.2025</t>
        </is>
      </c>
      <c r="M1836" s="1" t="inlineStr">
        <is>
          <t>Успешно</t>
        </is>
      </c>
      <c r="N1836" s="1" t="inlineStr">
        <is>
          <t>18.03.2025</t>
        </is>
      </c>
      <c r="O1836" s="1" t="inlineStr"/>
      <c r="P1836" s="1" t="inlineStr"/>
      <c r="Q1836" s="1" t="inlineStr">
        <is>
          <t>Пользовательский интерфейс</t>
        </is>
      </c>
    </row>
    <row r="1837">
      <c r="B1837" s="1" t="inlineStr">
        <is>
          <t>110446292</t>
        </is>
      </c>
      <c r="C1837" s="1" t="inlineStr">
        <is>
          <t>8371772</t>
        </is>
      </c>
      <c r="D1837" t="inlineStr">
        <is>
          <t>работник 529</t>
        </is>
      </c>
      <c r="E1837" s="1" t="inlineStr">
        <is>
          <t>ОБЩЕСТВО С ОГРАНИЧЕННОЙ ОТВЕТСТВЕННОСТЬЮ "АМУР ЗОЛОТО"</t>
        </is>
      </c>
      <c r="F1837" s="1" t="inlineStr">
        <is>
          <t>2708001686</t>
        </is>
      </c>
      <c r="G1837" s="1" t="inlineStr">
        <is>
          <t>Растворщик реагентов</t>
        </is>
      </c>
      <c r="H1837" s="1" t="inlineStr">
        <is>
          <t>ООО "Амур Золото"</t>
        </is>
      </c>
      <c r="I1837" s="1" t="inlineStr">
        <is>
          <t>2708001686</t>
        </is>
      </c>
      <c r="J1837" s="1" t="inlineStr">
        <is>
          <t>ОТ № ЮГОК ЗИОФ 25-08</t>
        </is>
      </c>
      <c r="K183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837" s="1" t="inlineStr">
        <is>
          <t>27.02.2025</t>
        </is>
      </c>
      <c r="M1837" s="1" t="inlineStr">
        <is>
          <t>Успешно</t>
        </is>
      </c>
      <c r="N1837" s="1" t="inlineStr">
        <is>
          <t>18.03.2025</t>
        </is>
      </c>
      <c r="O1837" s="1" t="inlineStr"/>
      <c r="P1837" s="1" t="inlineStr"/>
      <c r="Q1837" s="1" t="inlineStr">
        <is>
          <t>Пользовательский интерфейс</t>
        </is>
      </c>
    </row>
    <row r="1838">
      <c r="B1838" s="1" t="inlineStr">
        <is>
          <t>110446293</t>
        </is>
      </c>
      <c r="C1838" s="1" t="inlineStr">
        <is>
          <t>8371772</t>
        </is>
      </c>
      <c r="D1838" t="inlineStr">
        <is>
          <t>работник 236</t>
        </is>
      </c>
      <c r="E1838" s="1" t="inlineStr">
        <is>
          <t>ОБЩЕСТВО С ОГРАНИЧЕННОЙ ОТВЕТСТВЕННОСТЬЮ "АМУР ЗОЛОТО"</t>
        </is>
      </c>
      <c r="F1838" s="1" t="inlineStr">
        <is>
          <t>2708001686</t>
        </is>
      </c>
      <c r="G1838" s="1" t="inlineStr">
        <is>
          <t>Дробильщик</t>
        </is>
      </c>
      <c r="H1838" s="1" t="inlineStr">
        <is>
          <t>ООО "Амур Золото"</t>
        </is>
      </c>
      <c r="I1838" s="1" t="inlineStr">
        <is>
          <t>2708001686</t>
        </is>
      </c>
      <c r="J1838" s="1" t="inlineStr">
        <is>
          <t>ОТ № ЮГОК ПАЛ 25-01</t>
        </is>
      </c>
      <c r="K1838" s="1" t="inlineStr">
        <is>
          <t>Использование (применение) средств индивидуальной защиты</t>
        </is>
      </c>
      <c r="L1838" s="1" t="inlineStr">
        <is>
          <t>08.02.2025</t>
        </is>
      </c>
      <c r="M1838" s="1" t="inlineStr">
        <is>
          <t>Успешно</t>
        </is>
      </c>
      <c r="N1838" s="1" t="inlineStr">
        <is>
          <t>18.03.2025</t>
        </is>
      </c>
      <c r="O1838" s="1" t="inlineStr"/>
      <c r="P1838" s="1" t="inlineStr"/>
      <c r="Q1838" s="1" t="inlineStr">
        <is>
          <t>Пользовательский интерфейс</t>
        </is>
      </c>
    </row>
    <row r="1839">
      <c r="B1839" s="1" t="inlineStr">
        <is>
          <t>110446294</t>
        </is>
      </c>
      <c r="C1839" s="1" t="inlineStr">
        <is>
          <t>8371772</t>
        </is>
      </c>
      <c r="D1839" t="inlineStr">
        <is>
          <t>работник 236</t>
        </is>
      </c>
      <c r="E1839" s="1" t="inlineStr">
        <is>
          <t>ОБЩЕСТВО С ОГРАНИЧЕННОЙ ОТВЕТСТВЕННОСТЬЮ "АМУР ЗОЛОТО"</t>
        </is>
      </c>
      <c r="F1839" s="1" t="inlineStr">
        <is>
          <t>2708001686</t>
        </is>
      </c>
      <c r="G1839" s="1" t="inlineStr">
        <is>
          <t>Дробильщик</t>
        </is>
      </c>
      <c r="H1839" s="1" t="inlineStr">
        <is>
          <t>ООО "Амур Золото"</t>
        </is>
      </c>
      <c r="I1839" s="1" t="inlineStr">
        <is>
          <t>2708001686</t>
        </is>
      </c>
      <c r="J1839" s="1" t="inlineStr">
        <is>
          <t>ОТ № ЮГОК ПАЛ 25-01</t>
        </is>
      </c>
      <c r="K183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839" s="1" t="inlineStr">
        <is>
          <t>08.02.2025</t>
        </is>
      </c>
      <c r="M1839" s="1" t="inlineStr">
        <is>
          <t>Успешно</t>
        </is>
      </c>
      <c r="N1839" s="1" t="inlineStr">
        <is>
          <t>18.03.2025</t>
        </is>
      </c>
      <c r="O1839" s="1" t="inlineStr"/>
      <c r="P1839" s="1" t="inlineStr"/>
      <c r="Q1839" s="1" t="inlineStr">
        <is>
          <t>Пользовательский интерфейс</t>
        </is>
      </c>
    </row>
    <row r="1840">
      <c r="B1840" s="1" t="inlineStr">
        <is>
          <t>110446295</t>
        </is>
      </c>
      <c r="C1840" s="1" t="inlineStr">
        <is>
          <t>8371772</t>
        </is>
      </c>
      <c r="D1840" t="inlineStr">
        <is>
          <t>работник 234</t>
        </is>
      </c>
      <c r="E1840" s="1" t="inlineStr">
        <is>
          <t>ОБЩЕСТВО С ОГРАНИЧЕННОЙ ОТВЕТСТВЕННОСТЬЮ "АМУР ЗОЛОТО"</t>
        </is>
      </c>
      <c r="F1840" s="1" t="inlineStr">
        <is>
          <t>2708001686</t>
        </is>
      </c>
      <c r="G1840" s="1" t="inlineStr">
        <is>
          <t>Лаборант пробирного анализа</t>
        </is>
      </c>
      <c r="H1840" s="1" t="inlineStr">
        <is>
          <t>ООО "Амур Золото"</t>
        </is>
      </c>
      <c r="I1840" s="1" t="inlineStr">
        <is>
          <t>2708001686</t>
        </is>
      </c>
      <c r="J1840" s="1" t="inlineStr">
        <is>
          <t>ОТ № ЮГОК ПАЛ 25-02</t>
        </is>
      </c>
      <c r="K1840" s="1" t="inlineStr">
        <is>
          <t>Использование (применение) средств индивидуальной защиты</t>
        </is>
      </c>
      <c r="L1840" s="1" t="inlineStr">
        <is>
          <t>15.02.2025</t>
        </is>
      </c>
      <c r="M1840" s="1" t="inlineStr">
        <is>
          <t>Успешно</t>
        </is>
      </c>
      <c r="N1840" s="1" t="inlineStr">
        <is>
          <t>18.03.2025</t>
        </is>
      </c>
      <c r="O1840" s="1" t="inlineStr"/>
      <c r="P1840" s="1" t="inlineStr"/>
      <c r="Q1840" s="1" t="inlineStr">
        <is>
          <t>Пользовательский интерфейс</t>
        </is>
      </c>
    </row>
    <row r="1841">
      <c r="B1841" s="1" t="inlineStr">
        <is>
          <t>110446296</t>
        </is>
      </c>
      <c r="C1841" s="1" t="inlineStr">
        <is>
          <t>8371772</t>
        </is>
      </c>
      <c r="D1841" t="inlineStr">
        <is>
          <t>работник 234</t>
        </is>
      </c>
      <c r="E1841" s="1" t="inlineStr">
        <is>
          <t>ОБЩЕСТВО С ОГРАНИЧЕННОЙ ОТВЕТСТВЕННОСТЬЮ "АМУР ЗОЛОТО"</t>
        </is>
      </c>
      <c r="F1841" s="1" t="inlineStr">
        <is>
          <t>2708001686</t>
        </is>
      </c>
      <c r="G1841" s="1" t="inlineStr">
        <is>
          <t>Лаборант пробирного анализа</t>
        </is>
      </c>
      <c r="H1841" s="1" t="inlineStr">
        <is>
          <t>ООО "Амур Золото"</t>
        </is>
      </c>
      <c r="I1841" s="1" t="inlineStr">
        <is>
          <t>2708001686</t>
        </is>
      </c>
      <c r="J1841" s="1" t="inlineStr">
        <is>
          <t>ОТ № ЮГОК ПАЛ 25-02</t>
        </is>
      </c>
      <c r="K184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841" s="1" t="inlineStr">
        <is>
          <t>15.02.2025</t>
        </is>
      </c>
      <c r="M1841" s="1" t="inlineStr">
        <is>
          <t>Успешно</t>
        </is>
      </c>
      <c r="N1841" s="1" t="inlineStr">
        <is>
          <t>18.03.2025</t>
        </is>
      </c>
      <c r="O1841" s="1" t="inlineStr"/>
      <c r="P1841" s="1" t="inlineStr"/>
      <c r="Q1841" s="1" t="inlineStr">
        <is>
          <t>Пользовательский интерфейс</t>
        </is>
      </c>
    </row>
    <row r="1842">
      <c r="B1842" s="1" t="inlineStr">
        <is>
          <t>110446297</t>
        </is>
      </c>
      <c r="C1842" s="1" t="inlineStr">
        <is>
          <t>8371772</t>
        </is>
      </c>
      <c r="D1842" t="inlineStr">
        <is>
          <t>работник 530</t>
        </is>
      </c>
      <c r="E1842" s="1" t="inlineStr">
        <is>
          <t>ОБЩЕСТВО С ОГРАНИЧЕННОЙ ОТВЕТСТВЕННОСТЬЮ "АМУР ЗОЛОТО"</t>
        </is>
      </c>
      <c r="F1842" s="1" t="inlineStr">
        <is>
          <t>2708001686</t>
        </is>
      </c>
      <c r="G1842" s="1" t="inlineStr">
        <is>
          <t>Крепильщик</t>
        </is>
      </c>
      <c r="H1842" s="1" t="inlineStr">
        <is>
          <t>ООО "Амур Золото"</t>
        </is>
      </c>
      <c r="I1842" s="1" t="inlineStr">
        <is>
          <t>2708001686</t>
        </is>
      </c>
      <c r="J1842" s="1" t="inlineStr">
        <is>
          <t>ОТ № ЮГОК ПГУ 01-25</t>
        </is>
      </c>
      <c r="K1842" s="1" t="inlineStr">
        <is>
          <t>Использование (применение) средств индивидуальной защиты</t>
        </is>
      </c>
      <c r="L1842" s="1" t="inlineStr">
        <is>
          <t>25.01.2025</t>
        </is>
      </c>
      <c r="M1842" s="1" t="inlineStr">
        <is>
          <t>Успешно</t>
        </is>
      </c>
      <c r="N1842" s="1" t="inlineStr">
        <is>
          <t>18.03.2025</t>
        </is>
      </c>
      <c r="O1842" s="1" t="inlineStr"/>
      <c r="P1842" s="1" t="inlineStr"/>
      <c r="Q1842" s="1" t="inlineStr">
        <is>
          <t>Пользовательский интерфейс</t>
        </is>
      </c>
    </row>
    <row r="1843">
      <c r="B1843" s="1" t="inlineStr">
        <is>
          <t>110446298</t>
        </is>
      </c>
      <c r="C1843" s="1" t="inlineStr">
        <is>
          <t>8371772</t>
        </is>
      </c>
      <c r="D1843" t="inlineStr">
        <is>
          <t>работник 530</t>
        </is>
      </c>
      <c r="E1843" s="1" t="inlineStr">
        <is>
          <t>ОБЩЕСТВО С ОГРАНИЧЕННОЙ ОТВЕТСТВЕННОСТЬЮ "АМУР ЗОЛОТО"</t>
        </is>
      </c>
      <c r="F1843" s="1" t="inlineStr">
        <is>
          <t>2708001686</t>
        </is>
      </c>
      <c r="G1843" s="1" t="inlineStr">
        <is>
          <t>Крепильщик</t>
        </is>
      </c>
      <c r="H1843" s="1" t="inlineStr">
        <is>
          <t>ООО "Амур Золото"</t>
        </is>
      </c>
      <c r="I1843" s="1" t="inlineStr">
        <is>
          <t>2708001686</t>
        </is>
      </c>
      <c r="J1843" s="1" t="inlineStr">
        <is>
          <t>ОТ № ЮГОК ПГУ 01-25</t>
        </is>
      </c>
      <c r="K184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843" s="1" t="inlineStr">
        <is>
          <t>25.01.2025</t>
        </is>
      </c>
      <c r="M1843" s="1" t="inlineStr">
        <is>
          <t>Успешно</t>
        </is>
      </c>
      <c r="N1843" s="1" t="inlineStr">
        <is>
          <t>18.03.2025</t>
        </is>
      </c>
      <c r="O1843" s="1" t="inlineStr"/>
      <c r="P1843" s="1" t="inlineStr"/>
      <c r="Q1843" s="1" t="inlineStr">
        <is>
          <t>Пользовательский интерфейс</t>
        </is>
      </c>
    </row>
    <row r="1844">
      <c r="B1844" s="1" t="inlineStr">
        <is>
          <t>110446299</t>
        </is>
      </c>
      <c r="C1844" s="1" t="inlineStr">
        <is>
          <t>8371772</t>
        </is>
      </c>
      <c r="D1844" t="inlineStr">
        <is>
          <t>работник 531</t>
        </is>
      </c>
      <c r="E1844" s="1" t="inlineStr">
        <is>
          <t>ОБЩЕСТВО С ОГРАНИЧЕННОЙ ОТВЕТСТВЕННОСТЬЮ "АМУР ЗОЛОТО"</t>
        </is>
      </c>
      <c r="F1844" s="1" t="inlineStr">
        <is>
          <t>2708001686</t>
        </is>
      </c>
      <c r="G1844" s="1" t="inlineStr">
        <is>
          <t>Крепильщик</t>
        </is>
      </c>
      <c r="H1844" s="1" t="inlineStr">
        <is>
          <t>ООО "Амур Золото"</t>
        </is>
      </c>
      <c r="I1844" s="1" t="inlineStr">
        <is>
          <t>2708001686</t>
        </is>
      </c>
      <c r="J1844" s="1" t="inlineStr">
        <is>
          <t>ОТ № ЮГОК ПГУ 02-25</t>
        </is>
      </c>
      <c r="K1844" s="1" t="inlineStr">
        <is>
          <t>Использование (применение) средств индивидуальной защиты</t>
        </is>
      </c>
      <c r="L1844" s="1" t="inlineStr">
        <is>
          <t>05.02.2025</t>
        </is>
      </c>
      <c r="M1844" s="1" t="inlineStr">
        <is>
          <t>Успешно</t>
        </is>
      </c>
      <c r="N1844" s="1" t="inlineStr">
        <is>
          <t>18.03.2025</t>
        </is>
      </c>
      <c r="O1844" s="1" t="inlineStr"/>
      <c r="P1844" s="1" t="inlineStr"/>
      <c r="Q1844" s="1" t="inlineStr">
        <is>
          <t>Пользовательский интерфейс</t>
        </is>
      </c>
    </row>
    <row r="1845">
      <c r="B1845" s="1" t="inlineStr">
        <is>
          <t>110446300</t>
        </is>
      </c>
      <c r="C1845" s="1" t="inlineStr">
        <is>
          <t>8371772</t>
        </is>
      </c>
      <c r="D1845" t="inlineStr">
        <is>
          <t>работник 531</t>
        </is>
      </c>
      <c r="E1845" s="1" t="inlineStr">
        <is>
          <t>ОБЩЕСТВО С ОГРАНИЧЕННОЙ ОТВЕТСТВЕННОСТЬЮ "АМУР ЗОЛОТО"</t>
        </is>
      </c>
      <c r="F1845" s="1" t="inlineStr">
        <is>
          <t>2708001686</t>
        </is>
      </c>
      <c r="G1845" s="1" t="inlineStr">
        <is>
          <t>Крепильщик</t>
        </is>
      </c>
      <c r="H1845" s="1" t="inlineStr">
        <is>
          <t>ООО "Амур Золото"</t>
        </is>
      </c>
      <c r="I1845" s="1" t="inlineStr">
        <is>
          <t>2708001686</t>
        </is>
      </c>
      <c r="J1845" s="1" t="inlineStr">
        <is>
          <t>ОТ № ЮГОК ПГУ 02-25</t>
        </is>
      </c>
      <c r="K184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845" s="1" t="inlineStr">
        <is>
          <t>05.02.2025</t>
        </is>
      </c>
      <c r="M1845" s="1" t="inlineStr">
        <is>
          <t>Успешно</t>
        </is>
      </c>
      <c r="N1845" s="1" t="inlineStr">
        <is>
          <t>18.03.2025</t>
        </is>
      </c>
      <c r="O1845" s="1" t="inlineStr"/>
      <c r="P1845" s="1" t="inlineStr"/>
      <c r="Q1845" s="1" t="inlineStr">
        <is>
          <t>Пользовательский интерфейс</t>
        </is>
      </c>
    </row>
    <row r="1846">
      <c r="B1846" s="1" t="inlineStr">
        <is>
          <t>110446301</t>
        </is>
      </c>
      <c r="C1846" s="1" t="inlineStr">
        <is>
          <t>8371772</t>
        </is>
      </c>
      <c r="D1846" t="inlineStr">
        <is>
          <t>работник 532</t>
        </is>
      </c>
      <c r="E1846" s="1" t="inlineStr">
        <is>
          <t>ОБЩЕСТВО С ОГРАНИЧЕННОЙ ОТВЕТСТВЕННОСТЬЮ "АМУР ЗОЛОТО"</t>
        </is>
      </c>
      <c r="F1846" s="1" t="inlineStr">
        <is>
          <t>2708001686</t>
        </is>
      </c>
      <c r="G1846" s="1" t="inlineStr">
        <is>
          <t>Машинист самоходной буровой установки (Очистное)</t>
        </is>
      </c>
      <c r="H1846" s="1" t="inlineStr">
        <is>
          <t>ООО "Амур Золото"</t>
        </is>
      </c>
      <c r="I1846" s="1" t="inlineStr">
        <is>
          <t>2708001686</t>
        </is>
      </c>
      <c r="J1846" s="1" t="inlineStr">
        <is>
          <t>ОТ № ЮГОК ПГУ 03-25</t>
        </is>
      </c>
      <c r="K1846" s="1" t="inlineStr">
        <is>
          <t>Использование (применение) средств индивидуальной защиты</t>
        </is>
      </c>
      <c r="L1846" s="1" t="inlineStr">
        <is>
          <t>06.02.2025</t>
        </is>
      </c>
      <c r="M1846" s="1" t="inlineStr">
        <is>
          <t>Успешно</t>
        </is>
      </c>
      <c r="N1846" s="1" t="inlineStr">
        <is>
          <t>18.03.2025</t>
        </is>
      </c>
      <c r="O1846" s="1" t="inlineStr"/>
      <c r="P1846" s="1" t="inlineStr"/>
      <c r="Q1846" s="1" t="inlineStr">
        <is>
          <t>Пользовательский интерфейс</t>
        </is>
      </c>
    </row>
    <row r="1847">
      <c r="B1847" s="1" t="inlineStr">
        <is>
          <t>110446302</t>
        </is>
      </c>
      <c r="C1847" s="1" t="inlineStr">
        <is>
          <t>8371772</t>
        </is>
      </c>
      <c r="D1847" t="inlineStr">
        <is>
          <t>работник 532</t>
        </is>
      </c>
      <c r="E1847" s="1" t="inlineStr">
        <is>
          <t>ОБЩЕСТВО С ОГРАНИЧЕННОЙ ОТВЕТСТВЕННОСТЬЮ "АМУР ЗОЛОТО"</t>
        </is>
      </c>
      <c r="F1847" s="1" t="inlineStr">
        <is>
          <t>2708001686</t>
        </is>
      </c>
      <c r="G1847" s="1" t="inlineStr">
        <is>
          <t>Машинист самоходной буровой установки (Очистное)</t>
        </is>
      </c>
      <c r="H1847" s="1" t="inlineStr">
        <is>
          <t>ООО "Амур Золото"</t>
        </is>
      </c>
      <c r="I1847" s="1" t="inlineStr">
        <is>
          <t>2708001686</t>
        </is>
      </c>
      <c r="J1847" s="1" t="inlineStr">
        <is>
          <t>ОТ № ЮГОК ПГУ 03-25</t>
        </is>
      </c>
      <c r="K184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847" s="1" t="inlineStr">
        <is>
          <t>06.02.2025</t>
        </is>
      </c>
      <c r="M1847" s="1" t="inlineStr">
        <is>
          <t>Успешно</t>
        </is>
      </c>
      <c r="N1847" s="1" t="inlineStr">
        <is>
          <t>18.03.2025</t>
        </is>
      </c>
      <c r="O1847" s="1" t="inlineStr"/>
      <c r="P1847" s="1" t="inlineStr"/>
      <c r="Q1847" s="1" t="inlineStr">
        <is>
          <t>Пользовательский интерфейс</t>
        </is>
      </c>
    </row>
    <row r="1848">
      <c r="B1848" s="1" t="inlineStr">
        <is>
          <t>110446303</t>
        </is>
      </c>
      <c r="C1848" s="1" t="inlineStr">
        <is>
          <t>8371772</t>
        </is>
      </c>
      <c r="D1848" t="inlineStr">
        <is>
          <t>работник 533</t>
        </is>
      </c>
      <c r="E1848" s="1" t="inlineStr">
        <is>
          <t>ОБЩЕСТВО С ОГРАНИЧЕННОЙ ОТВЕТСТВЕННОСТЬЮ "АМУР ЗОЛОТО"</t>
        </is>
      </c>
      <c r="F1848" s="1" t="inlineStr">
        <is>
          <t>2708001686</t>
        </is>
      </c>
      <c r="G1848" s="1" t="inlineStr">
        <is>
          <t>Машинист погрузочно-доставочной машины (занятый на транспортировании горной массы в технологическом процессе)</t>
        </is>
      </c>
      <c r="H1848" s="1" t="inlineStr">
        <is>
          <t>ООО "Амур Золото"</t>
        </is>
      </c>
      <c r="I1848" s="1" t="inlineStr">
        <is>
          <t>2708001686</t>
        </is>
      </c>
      <c r="J1848" s="1" t="inlineStr">
        <is>
          <t>ОТ № ЮГОК ПГУ 04-25</t>
        </is>
      </c>
      <c r="K1848" s="1" t="inlineStr">
        <is>
          <t>Использование (применение) средств индивидуальной защиты</t>
        </is>
      </c>
      <c r="L1848" s="1" t="inlineStr">
        <is>
          <t>14.02.2025</t>
        </is>
      </c>
      <c r="M1848" s="1" t="inlineStr">
        <is>
          <t>Успешно</t>
        </is>
      </c>
      <c r="N1848" s="1" t="inlineStr">
        <is>
          <t>18.03.2025</t>
        </is>
      </c>
      <c r="O1848" s="1" t="inlineStr"/>
      <c r="P1848" s="1" t="inlineStr"/>
      <c r="Q1848" s="1" t="inlineStr">
        <is>
          <t>Пользовательский интерфейс</t>
        </is>
      </c>
    </row>
    <row r="1849">
      <c r="B1849" s="1" t="inlineStr">
        <is>
          <t>110446304</t>
        </is>
      </c>
      <c r="C1849" s="1" t="inlineStr">
        <is>
          <t>8371772</t>
        </is>
      </c>
      <c r="D1849" t="inlineStr">
        <is>
          <t>работник 533</t>
        </is>
      </c>
      <c r="E1849" s="1" t="inlineStr">
        <is>
          <t>ОБЩЕСТВО С ОГРАНИЧЕННОЙ ОТВЕТСТВЕННОСТЬЮ "АМУР ЗОЛОТО"</t>
        </is>
      </c>
      <c r="F1849" s="1" t="inlineStr">
        <is>
          <t>2708001686</t>
        </is>
      </c>
      <c r="G1849" s="1" t="inlineStr">
        <is>
          <t>Машинист погрузочно-доставочной машины (занятый на транспортировании горной массы в технологическом процессе)</t>
        </is>
      </c>
      <c r="H1849" s="1" t="inlineStr">
        <is>
          <t>ООО "Амур Золото"</t>
        </is>
      </c>
      <c r="I1849" s="1" t="inlineStr">
        <is>
          <t>2708001686</t>
        </is>
      </c>
      <c r="J1849" s="1" t="inlineStr">
        <is>
          <t>ОТ № ЮГОК ПГУ 04-25</t>
        </is>
      </c>
      <c r="K184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849" s="1" t="inlineStr">
        <is>
          <t>14.02.2025</t>
        </is>
      </c>
      <c r="M1849" s="1" t="inlineStr">
        <is>
          <t>Успешно</t>
        </is>
      </c>
      <c r="N1849" s="1" t="inlineStr">
        <is>
          <t>18.03.2025</t>
        </is>
      </c>
      <c r="O1849" s="1" t="inlineStr"/>
      <c r="P1849" s="1" t="inlineStr"/>
      <c r="Q1849" s="1" t="inlineStr">
        <is>
          <t>Пользовательский интерфейс</t>
        </is>
      </c>
    </row>
    <row r="1850">
      <c r="B1850" s="1" t="inlineStr">
        <is>
          <t>110446305</t>
        </is>
      </c>
      <c r="C1850" s="1" t="inlineStr">
        <is>
          <t>8371772</t>
        </is>
      </c>
      <c r="D1850" t="inlineStr">
        <is>
          <t>работник 534</t>
        </is>
      </c>
      <c r="E1850" s="1" t="inlineStr">
        <is>
          <t>ОБЩЕСТВО С ОГРАНИЧЕННОЙ ОТВЕТСТВЕННОСТЬЮ "АМУР ЗОЛОТО"</t>
        </is>
      </c>
      <c r="F1850" s="1" t="inlineStr">
        <is>
          <t>2708001686</t>
        </is>
      </c>
      <c r="G1850" s="1" t="inlineStr">
        <is>
          <t>Проходчик (с исполнением обязанностей взрывника)</t>
        </is>
      </c>
      <c r="H1850" s="1" t="inlineStr">
        <is>
          <t>ООО "Амур Золото"</t>
        </is>
      </c>
      <c r="I1850" s="1" t="inlineStr">
        <is>
          <t>2708001686</t>
        </is>
      </c>
      <c r="J1850" s="1" t="inlineStr">
        <is>
          <t>ОТ № ЮГОК ПГУ 05-25</t>
        </is>
      </c>
      <c r="K1850" s="1" t="inlineStr">
        <is>
          <t>Использование (применение) средств индивидуальной защиты</t>
        </is>
      </c>
      <c r="L1850" s="1" t="inlineStr">
        <is>
          <t>19.02.2025</t>
        </is>
      </c>
      <c r="M1850" s="1" t="inlineStr">
        <is>
          <t>Успешно</t>
        </is>
      </c>
      <c r="N1850" s="1" t="inlineStr">
        <is>
          <t>18.03.2025</t>
        </is>
      </c>
      <c r="O1850" s="1" t="inlineStr"/>
      <c r="P1850" s="1" t="inlineStr"/>
      <c r="Q1850" s="1" t="inlineStr">
        <is>
          <t>Пользовательский интерфейс</t>
        </is>
      </c>
    </row>
    <row r="1851">
      <c r="B1851" s="1" t="inlineStr">
        <is>
          <t>110446306</t>
        </is>
      </c>
      <c r="C1851" s="1" t="inlineStr">
        <is>
          <t>8371772</t>
        </is>
      </c>
      <c r="D1851" t="inlineStr">
        <is>
          <t>работник 534</t>
        </is>
      </c>
      <c r="E1851" s="1" t="inlineStr">
        <is>
          <t>ОБЩЕСТВО С ОГРАНИЧЕННОЙ ОТВЕТСТВЕННОСТЬЮ "АМУР ЗОЛОТО"</t>
        </is>
      </c>
      <c r="F1851" s="1" t="inlineStr">
        <is>
          <t>2708001686</t>
        </is>
      </c>
      <c r="G1851" s="1" t="inlineStr">
        <is>
          <t>Проходчик (с исполнением обязанностей взрывника)</t>
        </is>
      </c>
      <c r="H1851" s="1" t="inlineStr">
        <is>
          <t>ООО "Амур Золото"</t>
        </is>
      </c>
      <c r="I1851" s="1" t="inlineStr">
        <is>
          <t>2708001686</t>
        </is>
      </c>
      <c r="J1851" s="1" t="inlineStr">
        <is>
          <t>ОТ № ЮГОК ПГУ 05-25</t>
        </is>
      </c>
      <c r="K185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851" s="1" t="inlineStr">
        <is>
          <t>19.02.2025</t>
        </is>
      </c>
      <c r="M1851" s="1" t="inlineStr">
        <is>
          <t>Успешно</t>
        </is>
      </c>
      <c r="N1851" s="1" t="inlineStr">
        <is>
          <t>18.03.2025</t>
        </is>
      </c>
      <c r="O1851" s="1" t="inlineStr"/>
      <c r="P1851" s="1" t="inlineStr"/>
      <c r="Q1851" s="1" t="inlineStr">
        <is>
          <t>Пользовательский интерфейс</t>
        </is>
      </c>
    </row>
    <row r="1852">
      <c r="B1852" s="1" t="inlineStr">
        <is>
          <t>110446307</t>
        </is>
      </c>
      <c r="C1852" s="1" t="inlineStr">
        <is>
          <t>8371772</t>
        </is>
      </c>
      <c r="D1852" t="inlineStr">
        <is>
          <t>работник 78</t>
        </is>
      </c>
      <c r="E1852" s="1" t="inlineStr">
        <is>
          <t>ОБЩЕСТВО С ОГРАНИЧЕННОЙ ОТВЕТСТВЕННОСТЬЮ "АМУР ЗОЛОТО"</t>
        </is>
      </c>
      <c r="F1852" s="1" t="inlineStr">
        <is>
          <t>2708001686</t>
        </is>
      </c>
      <c r="G1852" s="1" t="inlineStr">
        <is>
          <t>Электрогазосварщик (занятый на резке и ручной сварке)</t>
        </is>
      </c>
      <c r="H1852" s="1" t="inlineStr">
        <is>
          <t>ООО "Амур Золото"</t>
        </is>
      </c>
      <c r="I1852" s="1" t="inlineStr">
        <is>
          <t>2708001686</t>
        </is>
      </c>
      <c r="J1852" s="1" t="inlineStr">
        <is>
          <t>ОТ № ЮГОК РСУ 25-01</t>
        </is>
      </c>
      <c r="K1852" s="1" t="inlineStr">
        <is>
          <t>Использование (применение) средств индивидуальной защиты</t>
        </is>
      </c>
      <c r="L1852" s="1" t="inlineStr">
        <is>
          <t>29.01.2025</t>
        </is>
      </c>
      <c r="M1852" s="1" t="inlineStr">
        <is>
          <t>Успешно</t>
        </is>
      </c>
      <c r="N1852" s="1" t="inlineStr">
        <is>
          <t>18.03.2025</t>
        </is>
      </c>
      <c r="O1852" s="1" t="inlineStr"/>
      <c r="P1852" s="1" t="inlineStr"/>
      <c r="Q1852" s="1" t="inlineStr">
        <is>
          <t>Пользовательский интерфейс</t>
        </is>
      </c>
    </row>
    <row r="1853">
      <c r="B1853" s="1" t="inlineStr">
        <is>
          <t>110446308</t>
        </is>
      </c>
      <c r="C1853" s="1" t="inlineStr">
        <is>
          <t>8371772</t>
        </is>
      </c>
      <c r="D1853" t="inlineStr">
        <is>
          <t>работник 78</t>
        </is>
      </c>
      <c r="E1853" s="1" t="inlineStr">
        <is>
          <t>ОБЩЕСТВО С ОГРАНИЧЕННОЙ ОТВЕТСТВЕННОСТЬЮ "АМУР ЗОЛОТО"</t>
        </is>
      </c>
      <c r="F1853" s="1" t="inlineStr">
        <is>
          <t>2708001686</t>
        </is>
      </c>
      <c r="G1853" s="1" t="inlineStr">
        <is>
          <t>Электрогазосварщик (занятый на резке и ручной сварке)</t>
        </is>
      </c>
      <c r="H1853" s="1" t="inlineStr">
        <is>
          <t>ООО "Амур Золото"</t>
        </is>
      </c>
      <c r="I1853" s="1" t="inlineStr">
        <is>
          <t>2708001686</t>
        </is>
      </c>
      <c r="J1853" s="1" t="inlineStr">
        <is>
          <t>ОТ № ЮГОК РСУ 25-01</t>
        </is>
      </c>
      <c r="K185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853" s="1" t="inlineStr">
        <is>
          <t>29.01.2025</t>
        </is>
      </c>
      <c r="M1853" s="1" t="inlineStr">
        <is>
          <t>Успешно</t>
        </is>
      </c>
      <c r="N1853" s="1" t="inlineStr">
        <is>
          <t>18.03.2025</t>
        </is>
      </c>
      <c r="O1853" s="1" t="inlineStr"/>
      <c r="P1853" s="1" t="inlineStr"/>
      <c r="Q1853" s="1" t="inlineStr">
        <is>
          <t>Пользовательский интерфейс</t>
        </is>
      </c>
    </row>
    <row r="1854">
      <c r="B1854" s="1" t="inlineStr">
        <is>
          <t>121097069</t>
        </is>
      </c>
      <c r="C1854" s="1" t="inlineStr">
        <is>
          <t>9114030</t>
        </is>
      </c>
      <c r="D1854" t="inlineStr">
        <is>
          <t>работник 535</t>
        </is>
      </c>
      <c r="E1854" s="1" t="inlineStr">
        <is>
          <t>ОБЩЕСТВО С ОГРАНИЧЕННОЙ ОТВЕТСТВЕННОСТЬЮ "АМУР ЗОЛОТО"</t>
        </is>
      </c>
      <c r="F1854" s="1" t="inlineStr">
        <is>
          <t>2708001686</t>
        </is>
      </c>
      <c r="G1854" s="1" t="inlineStr">
        <is>
          <t>Водитель автомобиля (категория D)</t>
        </is>
      </c>
      <c r="H1854" s="1" t="inlineStr">
        <is>
          <t>ООО "Амур Золото"</t>
        </is>
      </c>
      <c r="I1854" s="1" t="inlineStr">
        <is>
          <t>2708001686</t>
        </is>
      </c>
      <c r="J1854" s="1" t="inlineStr">
        <is>
          <t>ОТ № ЮГОК АТЦ 25-08</t>
        </is>
      </c>
      <c r="K1854" s="1" t="inlineStr">
        <is>
          <t>Использование (применение) средств индивидуальной защиты</t>
        </is>
      </c>
      <c r="L1854" s="1" t="inlineStr">
        <is>
          <t>18.03.2025</t>
        </is>
      </c>
      <c r="M1854" s="1" t="inlineStr">
        <is>
          <t>Успешно</t>
        </is>
      </c>
      <c r="N1854" s="1" t="inlineStr">
        <is>
          <t>13.05.2025</t>
        </is>
      </c>
      <c r="O1854" s="1" t="inlineStr"/>
      <c r="P1854" s="1" t="inlineStr"/>
      <c r="Q1854" s="1" t="inlineStr"/>
    </row>
    <row r="1855">
      <c r="B1855" s="1" t="inlineStr">
        <is>
          <t>121097070</t>
        </is>
      </c>
      <c r="C1855" s="1" t="inlineStr">
        <is>
          <t>9114030</t>
        </is>
      </c>
      <c r="D1855" t="inlineStr">
        <is>
          <t>работник 535</t>
        </is>
      </c>
      <c r="E1855" s="1" t="inlineStr">
        <is>
          <t>ОБЩЕСТВО С ОГРАНИЧЕННОЙ ОТВЕТСТВЕННОСТЬЮ "АМУР ЗОЛОТО"</t>
        </is>
      </c>
      <c r="F1855" s="1" t="inlineStr">
        <is>
          <t>2708001686</t>
        </is>
      </c>
      <c r="G1855" s="1" t="inlineStr">
        <is>
          <t>Водитель автомобиля (категория D)</t>
        </is>
      </c>
      <c r="H1855" s="1" t="inlineStr">
        <is>
          <t>ООО "Амур Золото"</t>
        </is>
      </c>
      <c r="I1855" s="1" t="inlineStr">
        <is>
          <t>2708001686</t>
        </is>
      </c>
      <c r="J1855" s="1" t="inlineStr">
        <is>
          <t>ОТ № ЮГОК АТЦ 25-08</t>
        </is>
      </c>
      <c r="K185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855" s="1" t="inlineStr">
        <is>
          <t>18.03.2025</t>
        </is>
      </c>
      <c r="M1855" s="1" t="inlineStr">
        <is>
          <t>Успешно</t>
        </is>
      </c>
      <c r="N1855" s="1" t="inlineStr">
        <is>
          <t>13.05.2025</t>
        </is>
      </c>
      <c r="O1855" s="1" t="inlineStr"/>
      <c r="P1855" s="1" t="inlineStr"/>
      <c r="Q1855" s="1" t="inlineStr"/>
    </row>
    <row r="1856">
      <c r="B1856" s="1" t="inlineStr">
        <is>
          <t>121097071</t>
        </is>
      </c>
      <c r="C1856" s="1" t="inlineStr">
        <is>
          <t>9114030</t>
        </is>
      </c>
      <c r="D1856" t="inlineStr">
        <is>
          <t>работник 63</t>
        </is>
      </c>
      <c r="E1856" s="1" t="inlineStr">
        <is>
          <t>ОБЩЕСТВО С ОГРАНИЧЕННОЙ ОТВЕТСТВЕННОСТЬЮ "АМУР ЗОЛОТО"</t>
        </is>
      </c>
      <c r="F1856" s="1" t="inlineStr">
        <is>
          <t>2708001686</t>
        </is>
      </c>
      <c r="G1856" s="1" t="inlineStr">
        <is>
          <t>Горнорабочий на геологических работах</t>
        </is>
      </c>
      <c r="H1856" s="1" t="inlineStr">
        <is>
          <t>ООО "Амур Золото"</t>
        </is>
      </c>
      <c r="I1856" s="1" t="inlineStr">
        <is>
          <t>2708001686</t>
        </is>
      </c>
      <c r="J1856" s="1" t="inlineStr">
        <is>
          <t>ОТ № ЮГОК ГМО 25-04</t>
        </is>
      </c>
      <c r="K1856" s="1" t="inlineStr">
        <is>
          <t>Использование (применение) средств индивидуальной защиты</t>
        </is>
      </c>
      <c r="L1856" s="1" t="inlineStr">
        <is>
          <t>26.01.2025</t>
        </is>
      </c>
      <c r="M1856" s="1" t="inlineStr">
        <is>
          <t>Успешно</t>
        </is>
      </c>
      <c r="N1856" s="1" t="inlineStr">
        <is>
          <t>13.05.2025</t>
        </is>
      </c>
      <c r="O1856" s="1" t="inlineStr"/>
      <c r="P1856" s="1" t="inlineStr"/>
      <c r="Q1856" s="1" t="inlineStr"/>
    </row>
    <row r="1857">
      <c r="B1857" s="1" t="inlineStr">
        <is>
          <t>121097072</t>
        </is>
      </c>
      <c r="C1857" s="1" t="inlineStr">
        <is>
          <t>9114030</t>
        </is>
      </c>
      <c r="D1857" t="inlineStr">
        <is>
          <t>работник 63</t>
        </is>
      </c>
      <c r="E1857" s="1" t="inlineStr">
        <is>
          <t>ОБЩЕСТВО С ОГРАНИЧЕННОЙ ОТВЕТСТВЕННОСТЬЮ "АМУР ЗОЛОТО"</t>
        </is>
      </c>
      <c r="F1857" s="1" t="inlineStr">
        <is>
          <t>2708001686</t>
        </is>
      </c>
      <c r="G1857" s="1" t="inlineStr">
        <is>
          <t>Горнорабочий на геологических работах</t>
        </is>
      </c>
      <c r="H1857" s="1" t="inlineStr">
        <is>
          <t>ООО "Амур Золото"</t>
        </is>
      </c>
      <c r="I1857" s="1" t="inlineStr">
        <is>
          <t>2708001686</t>
        </is>
      </c>
      <c r="J1857" s="1" t="inlineStr">
        <is>
          <t>ОТ № ЮГОК ГМО 25-04</t>
        </is>
      </c>
      <c r="K185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857" s="1" t="inlineStr">
        <is>
          <t>26.01.2025</t>
        </is>
      </c>
      <c r="M1857" s="1" t="inlineStr">
        <is>
          <t>Успешно</t>
        </is>
      </c>
      <c r="N1857" s="1" t="inlineStr">
        <is>
          <t>13.05.2025</t>
        </is>
      </c>
      <c r="O1857" s="1" t="inlineStr"/>
      <c r="P1857" s="1" t="inlineStr"/>
      <c r="Q1857" s="1" t="inlineStr"/>
    </row>
    <row r="1858">
      <c r="B1858" s="1" t="inlineStr">
        <is>
          <t>121097073</t>
        </is>
      </c>
      <c r="C1858" s="1" t="inlineStr">
        <is>
          <t>9114030</t>
        </is>
      </c>
      <c r="D1858" t="inlineStr">
        <is>
          <t>работник 536</t>
        </is>
      </c>
      <c r="E1858" s="1" t="inlineStr">
        <is>
          <t>ОБЩЕСТВО С ОГРАНИЧЕННОЙ ОТВЕТСТВЕННОСТЬЮ "АМУР ЗОЛОТО"</t>
        </is>
      </c>
      <c r="F1858" s="1" t="inlineStr">
        <is>
          <t>2708001686</t>
        </is>
      </c>
      <c r="G1858" s="1" t="inlineStr">
        <is>
          <t>Растворщик реагентов</t>
        </is>
      </c>
      <c r="H1858" s="1" t="inlineStr">
        <is>
          <t>ООО "Амур Золото"</t>
        </is>
      </c>
      <c r="I1858" s="1" t="inlineStr">
        <is>
          <t>2708001686</t>
        </is>
      </c>
      <c r="J1858" s="1" t="inlineStr">
        <is>
          <t>ОТ № ЮГОК ЗИОФ 25-09</t>
        </is>
      </c>
      <c r="K1858" s="1" t="inlineStr">
        <is>
          <t>Использование (применение) средств индивидуальной защиты</t>
        </is>
      </c>
      <c r="L1858" s="1" t="inlineStr">
        <is>
          <t>22.03.2025</t>
        </is>
      </c>
      <c r="M1858" s="1" t="inlineStr">
        <is>
          <t>Успешно</t>
        </is>
      </c>
      <c r="N1858" s="1" t="inlineStr">
        <is>
          <t>13.05.2025</t>
        </is>
      </c>
      <c r="O1858" s="1" t="inlineStr"/>
      <c r="P1858" s="1" t="inlineStr"/>
      <c r="Q1858" s="1" t="inlineStr"/>
    </row>
    <row r="1859">
      <c r="B1859" s="1" t="inlineStr">
        <is>
          <t>121097074</t>
        </is>
      </c>
      <c r="C1859" s="1" t="inlineStr">
        <is>
          <t>9114030</t>
        </is>
      </c>
      <c r="D1859" t="inlineStr">
        <is>
          <t>работник 536</t>
        </is>
      </c>
      <c r="E1859" s="1" t="inlineStr">
        <is>
          <t>ОБЩЕСТВО С ОГРАНИЧЕННОЙ ОТВЕТСТВЕННОСТЬЮ "АМУР ЗОЛОТО"</t>
        </is>
      </c>
      <c r="F1859" s="1" t="inlineStr">
        <is>
          <t>2708001686</t>
        </is>
      </c>
      <c r="G1859" s="1" t="inlineStr">
        <is>
          <t>Растворщик реагентов</t>
        </is>
      </c>
      <c r="H1859" s="1" t="inlineStr">
        <is>
          <t>ООО "Амур Золото"</t>
        </is>
      </c>
      <c r="I1859" s="1" t="inlineStr">
        <is>
          <t>2708001686</t>
        </is>
      </c>
      <c r="J1859" s="1" t="inlineStr">
        <is>
          <t>ОТ № ЮГОК ЗИОФ 25-09</t>
        </is>
      </c>
      <c r="K185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859" s="1" t="inlineStr">
        <is>
          <t>22.03.2025</t>
        </is>
      </c>
      <c r="M1859" s="1" t="inlineStr">
        <is>
          <t>Успешно</t>
        </is>
      </c>
      <c r="N1859" s="1" t="inlineStr">
        <is>
          <t>13.05.2025</t>
        </is>
      </c>
      <c r="O1859" s="1" t="inlineStr"/>
      <c r="P1859" s="1" t="inlineStr"/>
      <c r="Q1859" s="1" t="inlineStr"/>
    </row>
    <row r="1860">
      <c r="B1860" s="1" t="inlineStr">
        <is>
          <t>121097075</t>
        </is>
      </c>
      <c r="C1860" s="1" t="inlineStr">
        <is>
          <t>9114030</t>
        </is>
      </c>
      <c r="D1860" t="inlineStr">
        <is>
          <t>работник 449</t>
        </is>
      </c>
      <c r="E1860" s="1" t="inlineStr">
        <is>
          <t>ОБЩЕСТВО С ОГРАНИЧЕННОЙ ОТВЕТСТВЕННОСТЬЮ "АМУР ЗОЛОТО"</t>
        </is>
      </c>
      <c r="F1860" s="1" t="inlineStr">
        <is>
          <t>2708001686</t>
        </is>
      </c>
      <c r="G1860" s="1" t="inlineStr">
        <is>
          <t>Аппаратчик-гидрометаллург</t>
        </is>
      </c>
      <c r="H1860" s="1" t="inlineStr">
        <is>
          <t>ООО "Амур Золото"</t>
        </is>
      </c>
      <c r="I1860" s="1" t="inlineStr">
        <is>
          <t>2708001686</t>
        </is>
      </c>
      <c r="J1860" s="1" t="inlineStr">
        <is>
          <t>ОТ № ЮГОК ЗИОФ 25-10</t>
        </is>
      </c>
      <c r="K1860" s="1" t="inlineStr">
        <is>
          <t>Использование (применение) средств индивидуальной защиты</t>
        </is>
      </c>
      <c r="L1860" s="1" t="inlineStr">
        <is>
          <t>01.04.2025</t>
        </is>
      </c>
      <c r="M1860" s="1" t="inlineStr">
        <is>
          <t>Успешно</t>
        </is>
      </c>
      <c r="N1860" s="1" t="inlineStr">
        <is>
          <t>13.05.2025</t>
        </is>
      </c>
      <c r="O1860" s="1" t="inlineStr"/>
      <c r="P1860" s="1" t="inlineStr"/>
      <c r="Q1860" s="1" t="inlineStr"/>
    </row>
    <row r="1861">
      <c r="B1861" s="1" t="inlineStr">
        <is>
          <t>121097076</t>
        </is>
      </c>
      <c r="C1861" s="1" t="inlineStr">
        <is>
          <t>9114030</t>
        </is>
      </c>
      <c r="D1861" t="inlineStr">
        <is>
          <t>работник 449</t>
        </is>
      </c>
      <c r="E1861" s="1" t="inlineStr">
        <is>
          <t>ОБЩЕСТВО С ОГРАНИЧЕННОЙ ОТВЕТСТВЕННОСТЬЮ "АМУР ЗОЛОТО"</t>
        </is>
      </c>
      <c r="F1861" s="1" t="inlineStr">
        <is>
          <t>2708001686</t>
        </is>
      </c>
      <c r="G1861" s="1" t="inlineStr">
        <is>
          <t>Аппаратчик-гидрометаллург</t>
        </is>
      </c>
      <c r="H1861" s="1" t="inlineStr">
        <is>
          <t>ООО "Амур Золото"</t>
        </is>
      </c>
      <c r="I1861" s="1" t="inlineStr">
        <is>
          <t>2708001686</t>
        </is>
      </c>
      <c r="J1861" s="1" t="inlineStr">
        <is>
          <t>ОТ № ЮГОК ЗИОФ 25-10</t>
        </is>
      </c>
      <c r="K186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861" s="1" t="inlineStr">
        <is>
          <t>01.04.2025</t>
        </is>
      </c>
      <c r="M1861" s="1" t="inlineStr">
        <is>
          <t>Успешно</t>
        </is>
      </c>
      <c r="N1861" s="1" t="inlineStr">
        <is>
          <t>13.05.2025</t>
        </is>
      </c>
      <c r="O1861" s="1" t="inlineStr"/>
      <c r="P1861" s="1" t="inlineStr"/>
      <c r="Q1861" s="1" t="inlineStr"/>
    </row>
    <row r="1862">
      <c r="B1862" s="1" t="inlineStr">
        <is>
          <t>121097077</t>
        </is>
      </c>
      <c r="C1862" s="1" t="inlineStr">
        <is>
          <t>9114030</t>
        </is>
      </c>
      <c r="D1862" t="inlineStr">
        <is>
          <t>работник 450</t>
        </is>
      </c>
      <c r="E1862" s="1" t="inlineStr">
        <is>
          <t>ОБЩЕСТВО С ОГРАНИЧЕННОЙ ОТВЕТСТВЕННОСТЬЮ "АМУР ЗОЛОТО"</t>
        </is>
      </c>
      <c r="F1862" s="1" t="inlineStr">
        <is>
          <t>2708001686</t>
        </is>
      </c>
      <c r="G1862" s="1" t="inlineStr">
        <is>
          <t>Аппаратчик-гидрометаллург</t>
        </is>
      </c>
      <c r="H1862" s="1" t="inlineStr">
        <is>
          <t>ООО "Амур Золото"</t>
        </is>
      </c>
      <c r="I1862" s="1" t="inlineStr">
        <is>
          <t>2708001686</t>
        </is>
      </c>
      <c r="J1862" s="1" t="inlineStr">
        <is>
          <t>ОТ № ЮГОК ЗИОФ 25-11</t>
        </is>
      </c>
      <c r="K1862" s="1" t="inlineStr">
        <is>
          <t>Использование (применение) средств индивидуальной защиты</t>
        </is>
      </c>
      <c r="L1862" s="1" t="inlineStr">
        <is>
          <t>01.04.2025</t>
        </is>
      </c>
      <c r="M1862" s="1" t="inlineStr">
        <is>
          <t>Успешно</t>
        </is>
      </c>
      <c r="N1862" s="1" t="inlineStr">
        <is>
          <t>13.05.2025</t>
        </is>
      </c>
      <c r="O1862" s="1" t="inlineStr"/>
      <c r="P1862" s="1" t="inlineStr"/>
      <c r="Q1862" s="1" t="inlineStr"/>
    </row>
    <row r="1863">
      <c r="B1863" s="1" t="inlineStr">
        <is>
          <t>121097078</t>
        </is>
      </c>
      <c r="C1863" s="1" t="inlineStr">
        <is>
          <t>9114030</t>
        </is>
      </c>
      <c r="D1863" t="inlineStr">
        <is>
          <t>работник 450</t>
        </is>
      </c>
      <c r="E1863" s="1" t="inlineStr">
        <is>
          <t>ОБЩЕСТВО С ОГРАНИЧЕННОЙ ОТВЕТСТВЕННОСТЬЮ "АМУР ЗОЛОТО"</t>
        </is>
      </c>
      <c r="F1863" s="1" t="inlineStr">
        <is>
          <t>2708001686</t>
        </is>
      </c>
      <c r="G1863" s="1" t="inlineStr">
        <is>
          <t>Аппаратчик-гидрометаллург</t>
        </is>
      </c>
      <c r="H1863" s="1" t="inlineStr">
        <is>
          <t>ООО "Амур Золото"</t>
        </is>
      </c>
      <c r="I1863" s="1" t="inlineStr">
        <is>
          <t>2708001686</t>
        </is>
      </c>
      <c r="J1863" s="1" t="inlineStr">
        <is>
          <t>ОТ № ЮГОК ЗИОФ 25-11</t>
        </is>
      </c>
      <c r="K186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863" s="1" t="inlineStr">
        <is>
          <t>01.04.2025</t>
        </is>
      </c>
      <c r="M1863" s="1" t="inlineStr">
        <is>
          <t>Успешно</t>
        </is>
      </c>
      <c r="N1863" s="1" t="inlineStr">
        <is>
          <t>13.05.2025</t>
        </is>
      </c>
      <c r="O1863" s="1" t="inlineStr"/>
      <c r="P1863" s="1" t="inlineStr"/>
      <c r="Q1863" s="1" t="inlineStr"/>
    </row>
    <row r="1864">
      <c r="B1864" s="1" t="inlineStr">
        <is>
          <t>121097079</t>
        </is>
      </c>
      <c r="C1864" s="1" t="inlineStr">
        <is>
          <t>9114030</t>
        </is>
      </c>
      <c r="D1864" t="inlineStr">
        <is>
          <t>работник 537</t>
        </is>
      </c>
      <c r="E1864" s="1" t="inlineStr">
        <is>
          <t>ОБЩЕСТВО С ОГРАНИЧЕННОЙ ОТВЕТСТВЕННОСТЬЮ "АМУР ЗОЛОТО"</t>
        </is>
      </c>
      <c r="F1864" s="1" t="inlineStr">
        <is>
          <t>2708001686</t>
        </is>
      </c>
      <c r="G1864" s="1" t="inlineStr">
        <is>
          <t>Фильтровальщик</t>
        </is>
      </c>
      <c r="H1864" s="1" t="inlineStr">
        <is>
          <t>ООО "Амур Золото"</t>
        </is>
      </c>
      <c r="I1864" s="1" t="inlineStr">
        <is>
          <t>2708001686</t>
        </is>
      </c>
      <c r="J1864" s="1" t="inlineStr">
        <is>
          <t>ОТ № ЮГОК ЗИОФ 25-12</t>
        </is>
      </c>
      <c r="K1864" s="1" t="inlineStr">
        <is>
          <t>Использование (применение) средств индивидуальной защиты</t>
        </is>
      </c>
      <c r="L1864" s="1" t="inlineStr">
        <is>
          <t>05.04.2025</t>
        </is>
      </c>
      <c r="M1864" s="1" t="inlineStr">
        <is>
          <t>Успешно</t>
        </is>
      </c>
      <c r="N1864" s="1" t="inlineStr">
        <is>
          <t>13.05.2025</t>
        </is>
      </c>
      <c r="O1864" s="1" t="inlineStr"/>
      <c r="P1864" s="1" t="inlineStr"/>
      <c r="Q1864" s="1" t="inlineStr"/>
    </row>
    <row r="1865">
      <c r="B1865" s="1" t="inlineStr">
        <is>
          <t>121097080</t>
        </is>
      </c>
      <c r="C1865" s="1" t="inlineStr">
        <is>
          <t>9114030</t>
        </is>
      </c>
      <c r="D1865" t="inlineStr">
        <is>
          <t>работник 537</t>
        </is>
      </c>
      <c r="E1865" s="1" t="inlineStr">
        <is>
          <t>ОБЩЕСТВО С ОГРАНИЧЕННОЙ ОТВЕТСТВЕННОСТЬЮ "АМУР ЗОЛОТО"</t>
        </is>
      </c>
      <c r="F1865" s="1" t="inlineStr">
        <is>
          <t>2708001686</t>
        </is>
      </c>
      <c r="G1865" s="1" t="inlineStr">
        <is>
          <t>Фильтровальщик</t>
        </is>
      </c>
      <c r="H1865" s="1" t="inlineStr">
        <is>
          <t>ООО "Амур Золото"</t>
        </is>
      </c>
      <c r="I1865" s="1" t="inlineStr">
        <is>
          <t>2708001686</t>
        </is>
      </c>
      <c r="J1865" s="1" t="inlineStr">
        <is>
          <t>ОТ № ЮГОК ЗИОФ 25-12</t>
        </is>
      </c>
      <c r="K186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865" s="1" t="inlineStr">
        <is>
          <t>05.04.2025</t>
        </is>
      </c>
      <c r="M1865" s="1" t="inlineStr">
        <is>
          <t>Успешно</t>
        </is>
      </c>
      <c r="N1865" s="1" t="inlineStr">
        <is>
          <t>13.05.2025</t>
        </is>
      </c>
      <c r="O1865" s="1" t="inlineStr"/>
      <c r="P1865" s="1" t="inlineStr"/>
      <c r="Q1865" s="1" t="inlineStr"/>
    </row>
    <row r="1866">
      <c r="B1866" s="1" t="inlineStr">
        <is>
          <t>121097081</t>
        </is>
      </c>
      <c r="C1866" s="1" t="inlineStr">
        <is>
          <t>9114030</t>
        </is>
      </c>
      <c r="D1866" t="inlineStr">
        <is>
          <t>работник 538</t>
        </is>
      </c>
      <c r="E1866" s="1" t="inlineStr">
        <is>
          <t>ОБЩЕСТВО С ОГРАНИЧЕННОЙ ОТВЕТСТВЕННОСТЬЮ "АМУР ЗОЛОТО"</t>
        </is>
      </c>
      <c r="F1866" s="1" t="inlineStr">
        <is>
          <t>2708001686</t>
        </is>
      </c>
      <c r="G1866" s="1" t="inlineStr">
        <is>
          <t>Электромонтер по ремонту и обслуживанию электрооборудования</t>
        </is>
      </c>
      <c r="H1866" s="1" t="inlineStr">
        <is>
          <t>ООО "Амур Золото"</t>
        </is>
      </c>
      <c r="I1866" s="1" t="inlineStr">
        <is>
          <t>2708001686</t>
        </is>
      </c>
      <c r="J1866" s="1" t="inlineStr">
        <is>
          <t>ОТ № ЮГОК ЗИОФ 25-13</t>
        </is>
      </c>
      <c r="K1866" s="1" t="inlineStr">
        <is>
          <t>Использование (применение) средств индивидуальной защиты</t>
        </is>
      </c>
      <c r="L1866" s="1" t="inlineStr">
        <is>
          <t>05.04.2025</t>
        </is>
      </c>
      <c r="M1866" s="1" t="inlineStr">
        <is>
          <t>Успешно</t>
        </is>
      </c>
      <c r="N1866" s="1" t="inlineStr">
        <is>
          <t>13.05.2025</t>
        </is>
      </c>
      <c r="O1866" s="1" t="inlineStr"/>
      <c r="P1866" s="1" t="inlineStr"/>
      <c r="Q1866" s="1" t="inlineStr"/>
    </row>
    <row r="1867">
      <c r="B1867" s="1" t="inlineStr">
        <is>
          <t>121097082</t>
        </is>
      </c>
      <c r="C1867" s="1" t="inlineStr">
        <is>
          <t>9114030</t>
        </is>
      </c>
      <c r="D1867" t="inlineStr">
        <is>
          <t>работник 538</t>
        </is>
      </c>
      <c r="E1867" s="1" t="inlineStr">
        <is>
          <t>ОБЩЕСТВО С ОГРАНИЧЕННОЙ ОТВЕТСТВЕННОСТЬЮ "АМУР ЗОЛОТО"</t>
        </is>
      </c>
      <c r="F1867" s="1" t="inlineStr">
        <is>
          <t>2708001686</t>
        </is>
      </c>
      <c r="G1867" s="1" t="inlineStr">
        <is>
          <t>Электромонтер по ремонту и обслуживанию электрооборудования</t>
        </is>
      </c>
      <c r="H1867" s="1" t="inlineStr">
        <is>
          <t>ООО "Амур Золото"</t>
        </is>
      </c>
      <c r="I1867" s="1" t="inlineStr">
        <is>
          <t>2708001686</t>
        </is>
      </c>
      <c r="J1867" s="1" t="inlineStr">
        <is>
          <t>ОТ № ЮГОК ЗИОФ 25-13</t>
        </is>
      </c>
      <c r="K186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867" s="1" t="inlineStr">
        <is>
          <t>05.04.2025</t>
        </is>
      </c>
      <c r="M1867" s="1" t="inlineStr">
        <is>
          <t>Успешно</t>
        </is>
      </c>
      <c r="N1867" s="1" t="inlineStr">
        <is>
          <t>13.05.2025</t>
        </is>
      </c>
      <c r="O1867" s="1" t="inlineStr"/>
      <c r="P1867" s="1" t="inlineStr"/>
      <c r="Q1867" s="1" t="inlineStr"/>
    </row>
    <row r="1868">
      <c r="B1868" s="1" t="inlineStr">
        <is>
          <t>121097083</t>
        </is>
      </c>
      <c r="C1868" s="1" t="inlineStr">
        <is>
          <t>9114030</t>
        </is>
      </c>
      <c r="D1868" t="inlineStr">
        <is>
          <t>работник 539</t>
        </is>
      </c>
      <c r="E1868" s="1" t="inlineStr">
        <is>
          <t>ОБЩЕСТВО С ОГРАНИЧЕННОЙ ОТВЕТСТВЕННОСТЬЮ "АМУР ЗОЛОТО"</t>
        </is>
      </c>
      <c r="F1868" s="1" t="inlineStr">
        <is>
          <t>2708001686</t>
        </is>
      </c>
      <c r="G1868" s="1" t="inlineStr">
        <is>
          <t>Электромонтер по ремонту и обслуживанию электрооборудования</t>
        </is>
      </c>
      <c r="H1868" s="1" t="inlineStr">
        <is>
          <t>ООО "Амур Золото"</t>
        </is>
      </c>
      <c r="I1868" s="1" t="inlineStr">
        <is>
          <t>2708001686</t>
        </is>
      </c>
      <c r="J1868" s="1" t="inlineStr">
        <is>
          <t>ОТ № ЮГОК ЗИОФ 25-14</t>
        </is>
      </c>
      <c r="K1868" s="1" t="inlineStr">
        <is>
          <t>Использование (применение) средств индивидуальной защиты</t>
        </is>
      </c>
      <c r="L1868" s="1" t="inlineStr">
        <is>
          <t>07.04.2025</t>
        </is>
      </c>
      <c r="M1868" s="1" t="inlineStr">
        <is>
          <t>Успешно</t>
        </is>
      </c>
      <c r="N1868" s="1" t="inlineStr">
        <is>
          <t>13.05.2025</t>
        </is>
      </c>
      <c r="O1868" s="1" t="inlineStr"/>
      <c r="P1868" s="1" t="inlineStr"/>
      <c r="Q1868" s="1" t="inlineStr"/>
    </row>
    <row r="1869">
      <c r="B1869" s="1" t="inlineStr">
        <is>
          <t>121097084</t>
        </is>
      </c>
      <c r="C1869" s="1" t="inlineStr">
        <is>
          <t>9114030</t>
        </is>
      </c>
      <c r="D1869" t="inlineStr">
        <is>
          <t>работник 539</t>
        </is>
      </c>
      <c r="E1869" s="1" t="inlineStr">
        <is>
          <t>ОБЩЕСТВО С ОГРАНИЧЕННОЙ ОТВЕТСТВЕННОСТЬЮ "АМУР ЗОЛОТО"</t>
        </is>
      </c>
      <c r="F1869" s="1" t="inlineStr">
        <is>
          <t>2708001686</t>
        </is>
      </c>
      <c r="G1869" s="1" t="inlineStr">
        <is>
          <t>Электромонтер по ремонту и обслуживанию электрооборудования</t>
        </is>
      </c>
      <c r="H1869" s="1" t="inlineStr">
        <is>
          <t>ООО "Амур Золото"</t>
        </is>
      </c>
      <c r="I1869" s="1" t="inlineStr">
        <is>
          <t>2708001686</t>
        </is>
      </c>
      <c r="J1869" s="1" t="inlineStr">
        <is>
          <t>ОТ № ЮГОК ЗИОФ 25-14</t>
        </is>
      </c>
      <c r="K186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869" s="1" t="inlineStr">
        <is>
          <t>07.04.2025</t>
        </is>
      </c>
      <c r="M1869" s="1" t="inlineStr">
        <is>
          <t>Успешно</t>
        </is>
      </c>
      <c r="N1869" s="1" t="inlineStr">
        <is>
          <t>13.05.2025</t>
        </is>
      </c>
      <c r="O1869" s="1" t="inlineStr"/>
      <c r="P1869" s="1" t="inlineStr"/>
      <c r="Q1869" s="1" t="inlineStr"/>
    </row>
    <row r="1870">
      <c r="B1870" s="1" t="inlineStr">
        <is>
          <t>121097085</t>
        </is>
      </c>
      <c r="C1870" s="1" t="inlineStr">
        <is>
          <t>9114030</t>
        </is>
      </c>
      <c r="D1870" t="inlineStr">
        <is>
          <t>работник 243</t>
        </is>
      </c>
      <c r="E1870" s="1" t="inlineStr">
        <is>
          <t>ОБЩЕСТВО С ОГРАНИЧЕННОЙ ОТВЕТСТВЕННОСТЬЮ "АМУР ЗОЛОТО"</t>
        </is>
      </c>
      <c r="F1870" s="1" t="inlineStr">
        <is>
          <t>2708001686</t>
        </is>
      </c>
      <c r="G1870" s="1" t="inlineStr">
        <is>
          <t>Фильтровальщик</t>
        </is>
      </c>
      <c r="H1870" s="1" t="inlineStr">
        <is>
          <t>ООО "Амур Золото"</t>
        </is>
      </c>
      <c r="I1870" s="1" t="inlineStr">
        <is>
          <t>2708001686</t>
        </is>
      </c>
      <c r="J1870" s="1" t="inlineStr">
        <is>
          <t>ОТ № ЮГОК ЗИОФ 25-15</t>
        </is>
      </c>
      <c r="K1870" s="1" t="inlineStr">
        <is>
          <t>Использование (применение) средств индивидуальной защиты</t>
        </is>
      </c>
      <c r="L1870" s="1" t="inlineStr">
        <is>
          <t>12.04.2025</t>
        </is>
      </c>
      <c r="M1870" s="1" t="inlineStr">
        <is>
          <t>Успешно</t>
        </is>
      </c>
      <c r="N1870" s="1" t="inlineStr">
        <is>
          <t>13.05.2025</t>
        </is>
      </c>
      <c r="O1870" s="1" t="inlineStr"/>
      <c r="P1870" s="1" t="inlineStr"/>
      <c r="Q1870" s="1" t="inlineStr"/>
    </row>
    <row r="1871">
      <c r="B1871" s="1" t="inlineStr">
        <is>
          <t>121097086</t>
        </is>
      </c>
      <c r="C1871" s="1" t="inlineStr">
        <is>
          <t>9114030</t>
        </is>
      </c>
      <c r="D1871" t="inlineStr">
        <is>
          <t>работник 243</t>
        </is>
      </c>
      <c r="E1871" s="1" t="inlineStr">
        <is>
          <t>ОБЩЕСТВО С ОГРАНИЧЕННОЙ ОТВЕТСТВЕННОСТЬЮ "АМУР ЗОЛОТО"</t>
        </is>
      </c>
      <c r="F1871" s="1" t="inlineStr">
        <is>
          <t>2708001686</t>
        </is>
      </c>
      <c r="G1871" s="1" t="inlineStr">
        <is>
          <t>Фильтровальщик</t>
        </is>
      </c>
      <c r="H1871" s="1" t="inlineStr">
        <is>
          <t>ООО "Амур Золото"</t>
        </is>
      </c>
      <c r="I1871" s="1" t="inlineStr">
        <is>
          <t>2708001686</t>
        </is>
      </c>
      <c r="J1871" s="1" t="inlineStr">
        <is>
          <t>ОТ № ЮГОК ЗИОФ 25-15</t>
        </is>
      </c>
      <c r="K187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871" s="1" t="inlineStr">
        <is>
          <t>12.04.2025</t>
        </is>
      </c>
      <c r="M1871" s="1" t="inlineStr">
        <is>
          <t>Успешно</t>
        </is>
      </c>
      <c r="N1871" s="1" t="inlineStr">
        <is>
          <t>13.05.2025</t>
        </is>
      </c>
      <c r="O1871" s="1" t="inlineStr"/>
      <c r="P1871" s="1" t="inlineStr"/>
      <c r="Q1871" s="1" t="inlineStr"/>
    </row>
    <row r="1872">
      <c r="B1872" s="1" t="inlineStr">
        <is>
          <t>121097087</t>
        </is>
      </c>
      <c r="C1872" s="1" t="inlineStr">
        <is>
          <t>9114030</t>
        </is>
      </c>
      <c r="D1872" t="inlineStr">
        <is>
          <t>работник 540</t>
        </is>
      </c>
      <c r="E1872" s="1" t="inlineStr">
        <is>
          <t>ОБЩЕСТВО С ОГРАНИЧЕННОЙ ОТВЕТСТВЕННОСТЬЮ "АМУР ЗОЛОТО"</t>
        </is>
      </c>
      <c r="F1872" s="1" t="inlineStr">
        <is>
          <t>2708001686</t>
        </is>
      </c>
      <c r="G1872" s="1" t="inlineStr">
        <is>
          <t>Бункеровщик</t>
        </is>
      </c>
      <c r="H1872" s="1" t="inlineStr">
        <is>
          <t>ООО "Амур Золото"</t>
        </is>
      </c>
      <c r="I1872" s="1" t="inlineStr">
        <is>
          <t>2708001686</t>
        </is>
      </c>
      <c r="J1872" s="1" t="inlineStr">
        <is>
          <t>ОТ № ЮГОК ЗИОФ 25-16</t>
        </is>
      </c>
      <c r="K1872" s="1" t="inlineStr">
        <is>
          <t>Использование (применение) средств индивидуальной защиты</t>
        </is>
      </c>
      <c r="L1872" s="1" t="inlineStr">
        <is>
          <t>21.04.2025</t>
        </is>
      </c>
      <c r="M1872" s="1" t="inlineStr">
        <is>
          <t>Успешно</t>
        </is>
      </c>
      <c r="N1872" s="1" t="inlineStr">
        <is>
          <t>13.05.2025</t>
        </is>
      </c>
      <c r="O1872" s="1" t="inlineStr"/>
      <c r="P1872" s="1" t="inlineStr"/>
      <c r="Q1872" s="1" t="inlineStr"/>
    </row>
    <row r="1873">
      <c r="B1873" s="1" t="inlineStr">
        <is>
          <t>121097088</t>
        </is>
      </c>
      <c r="C1873" s="1" t="inlineStr">
        <is>
          <t>9114030</t>
        </is>
      </c>
      <c r="D1873" t="inlineStr">
        <is>
          <t>работник 540</t>
        </is>
      </c>
      <c r="E1873" s="1" t="inlineStr">
        <is>
          <t>ОБЩЕСТВО С ОГРАНИЧЕННОЙ ОТВЕТСТВЕННОСТЬЮ "АМУР ЗОЛОТО"</t>
        </is>
      </c>
      <c r="F1873" s="1" t="inlineStr">
        <is>
          <t>2708001686</t>
        </is>
      </c>
      <c r="G1873" s="1" t="inlineStr">
        <is>
          <t>Бункеровщик</t>
        </is>
      </c>
      <c r="H1873" s="1" t="inlineStr">
        <is>
          <t>ООО "Амур Золото"</t>
        </is>
      </c>
      <c r="I1873" s="1" t="inlineStr">
        <is>
          <t>2708001686</t>
        </is>
      </c>
      <c r="J1873" s="1" t="inlineStr">
        <is>
          <t>ОТ № ЮГОК ЗИОФ 25-16</t>
        </is>
      </c>
      <c r="K187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873" s="1" t="inlineStr">
        <is>
          <t>21.04.2025</t>
        </is>
      </c>
      <c r="M1873" s="1" t="inlineStr">
        <is>
          <t>Успешно</t>
        </is>
      </c>
      <c r="N1873" s="1" t="inlineStr">
        <is>
          <t>13.05.2025</t>
        </is>
      </c>
      <c r="O1873" s="1" t="inlineStr"/>
      <c r="P1873" s="1" t="inlineStr"/>
      <c r="Q1873" s="1" t="inlineStr"/>
    </row>
    <row r="1874">
      <c r="B1874" s="1" t="inlineStr">
        <is>
          <t>121097089</t>
        </is>
      </c>
      <c r="C1874" s="1" t="inlineStr">
        <is>
          <t>9114030</t>
        </is>
      </c>
      <c r="D1874" t="inlineStr">
        <is>
          <t>работник 541</t>
        </is>
      </c>
      <c r="E1874" s="1" t="inlineStr">
        <is>
          <t>ОБЩЕСТВО С ОГРАНИЧЕННОЙ ОТВЕТСТВЕННОСТЬЮ "АМУР ЗОЛОТО"</t>
        </is>
      </c>
      <c r="F1874" s="1" t="inlineStr">
        <is>
          <t>2708001686</t>
        </is>
      </c>
      <c r="G1874" s="1" t="inlineStr">
        <is>
          <t>Весовщик</t>
        </is>
      </c>
      <c r="H1874" s="1" t="inlineStr">
        <is>
          <t>ООО "Амур Золото"</t>
        </is>
      </c>
      <c r="I1874" s="1" t="inlineStr">
        <is>
          <t>2708001686</t>
        </is>
      </c>
      <c r="J1874" s="1" t="inlineStr">
        <is>
          <t>ОТ № ЮГОК ОТК 25-02</t>
        </is>
      </c>
      <c r="K1874" s="1" t="inlineStr">
        <is>
          <t>Использование (применение) средств индивидуальной защиты</t>
        </is>
      </c>
      <c r="L1874" s="1" t="inlineStr">
        <is>
          <t>17.01.2025</t>
        </is>
      </c>
      <c r="M1874" s="1" t="inlineStr">
        <is>
          <t>Успешно</t>
        </is>
      </c>
      <c r="N1874" s="1" t="inlineStr">
        <is>
          <t>13.05.2025</t>
        </is>
      </c>
      <c r="O1874" s="1" t="inlineStr"/>
      <c r="P1874" s="1" t="inlineStr"/>
      <c r="Q1874" s="1" t="inlineStr"/>
    </row>
    <row r="1875">
      <c r="B1875" s="1" t="inlineStr">
        <is>
          <t>121097090</t>
        </is>
      </c>
      <c r="C1875" s="1" t="inlineStr">
        <is>
          <t>9114030</t>
        </is>
      </c>
      <c r="D1875" t="inlineStr">
        <is>
          <t>работник 541</t>
        </is>
      </c>
      <c r="E1875" s="1" t="inlineStr">
        <is>
          <t>ОБЩЕСТВО С ОГРАНИЧЕННОЙ ОТВЕТСТВЕННОСТЬЮ "АМУР ЗОЛОТО"</t>
        </is>
      </c>
      <c r="F1875" s="1" t="inlineStr">
        <is>
          <t>2708001686</t>
        </is>
      </c>
      <c r="G1875" s="1" t="inlineStr">
        <is>
          <t>Весовщик</t>
        </is>
      </c>
      <c r="H1875" s="1" t="inlineStr">
        <is>
          <t>ООО "Амур Золото"</t>
        </is>
      </c>
      <c r="I1875" s="1" t="inlineStr">
        <is>
          <t>2708001686</t>
        </is>
      </c>
      <c r="J1875" s="1" t="inlineStr">
        <is>
          <t>ОТ № ЮГОК ОТК 25-02</t>
        </is>
      </c>
      <c r="K187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875" s="1" t="inlineStr">
        <is>
          <t>17.01.2025</t>
        </is>
      </c>
      <c r="M1875" s="1" t="inlineStr">
        <is>
          <t>Успешно</t>
        </is>
      </c>
      <c r="N1875" s="1" t="inlineStr">
        <is>
          <t>13.05.2025</t>
        </is>
      </c>
      <c r="O1875" s="1" t="inlineStr"/>
      <c r="P1875" s="1" t="inlineStr"/>
      <c r="Q1875" s="1" t="inlineStr"/>
    </row>
    <row r="1876">
      <c r="B1876" s="1" t="inlineStr">
        <is>
          <t>121097091</t>
        </is>
      </c>
      <c r="C1876" s="1" t="inlineStr">
        <is>
          <t>9114030</t>
        </is>
      </c>
      <c r="D1876" t="inlineStr">
        <is>
          <t>работник 542</t>
        </is>
      </c>
      <c r="E1876" s="1" t="inlineStr">
        <is>
          <t>ОБЩЕСТВО С ОГРАНИЧЕННОЙ ОТВЕТСТВЕННОСТЬЮ "АМУР ЗОЛОТО"</t>
        </is>
      </c>
      <c r="F1876" s="1" t="inlineStr">
        <is>
          <t>2708001686</t>
        </is>
      </c>
      <c r="G1876" s="1" t="inlineStr">
        <is>
          <t>Пробоотборщик</t>
        </is>
      </c>
      <c r="H1876" s="1" t="inlineStr">
        <is>
          <t>ООО "Амур Золото"</t>
        </is>
      </c>
      <c r="I1876" s="1" t="inlineStr">
        <is>
          <t>2708001686</t>
        </is>
      </c>
      <c r="J1876" s="1" t="inlineStr">
        <is>
          <t>ОТ № ЮГОК ОТК 25-03</t>
        </is>
      </c>
      <c r="K1876" s="1" t="inlineStr">
        <is>
          <t>Использование (применение) средств индивидуальной защиты</t>
        </is>
      </c>
      <c r="L1876" s="1" t="inlineStr">
        <is>
          <t>20.04.2025</t>
        </is>
      </c>
      <c r="M1876" s="1" t="inlineStr">
        <is>
          <t>Успешно</t>
        </is>
      </c>
      <c r="N1876" s="1" t="inlineStr">
        <is>
          <t>13.05.2025</t>
        </is>
      </c>
      <c r="O1876" s="1" t="inlineStr"/>
      <c r="P1876" s="1" t="inlineStr"/>
      <c r="Q1876" s="1" t="inlineStr"/>
    </row>
    <row r="1877">
      <c r="B1877" s="1" t="inlineStr">
        <is>
          <t>121097092</t>
        </is>
      </c>
      <c r="C1877" s="1" t="inlineStr">
        <is>
          <t>9114030</t>
        </is>
      </c>
      <c r="D1877" t="inlineStr">
        <is>
          <t>работник 542</t>
        </is>
      </c>
      <c r="E1877" s="1" t="inlineStr">
        <is>
          <t>ОБЩЕСТВО С ОГРАНИЧЕННОЙ ОТВЕТСТВЕННОСТЬЮ "АМУР ЗОЛОТО"</t>
        </is>
      </c>
      <c r="F1877" s="1" t="inlineStr">
        <is>
          <t>2708001686</t>
        </is>
      </c>
      <c r="G1877" s="1" t="inlineStr">
        <is>
          <t>Пробоотборщик</t>
        </is>
      </c>
      <c r="H1877" s="1" t="inlineStr">
        <is>
          <t>ООО "Амур Золото"</t>
        </is>
      </c>
      <c r="I1877" s="1" t="inlineStr">
        <is>
          <t>2708001686</t>
        </is>
      </c>
      <c r="J1877" s="1" t="inlineStr">
        <is>
          <t>ОТ № ЮГОК ОТК 25-03</t>
        </is>
      </c>
      <c r="K187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877" s="1" t="inlineStr">
        <is>
          <t>20.04.2025</t>
        </is>
      </c>
      <c r="M1877" s="1" t="inlineStr">
        <is>
          <t>Успешно</t>
        </is>
      </c>
      <c r="N1877" s="1" t="inlineStr">
        <is>
          <t>13.05.2025</t>
        </is>
      </c>
      <c r="O1877" s="1" t="inlineStr"/>
      <c r="P1877" s="1" t="inlineStr"/>
      <c r="Q1877" s="1" t="inlineStr"/>
    </row>
    <row r="1878">
      <c r="B1878" s="1" t="inlineStr">
        <is>
          <t>121097093</t>
        </is>
      </c>
      <c r="C1878" s="1" t="inlineStr">
        <is>
          <t>9114030</t>
        </is>
      </c>
      <c r="D1878" t="inlineStr">
        <is>
          <t>работник 543</t>
        </is>
      </c>
      <c r="E1878" s="1" t="inlineStr">
        <is>
          <t>ОБЩЕСТВО С ОГРАНИЧЕННОЙ ОТВЕТСТВЕННОСТЬЮ "АМУР ЗОЛОТО"</t>
        </is>
      </c>
      <c r="F1878" s="1" t="inlineStr">
        <is>
          <t>2708001686</t>
        </is>
      </c>
      <c r="G1878" s="1" t="inlineStr">
        <is>
          <t>Пробоотборщик</t>
        </is>
      </c>
      <c r="H1878" s="1" t="inlineStr">
        <is>
          <t>ООО "Амур Золото"</t>
        </is>
      </c>
      <c r="I1878" s="1" t="inlineStr">
        <is>
          <t>2708001686</t>
        </is>
      </c>
      <c r="J1878" s="1" t="inlineStr">
        <is>
          <t>ОТ № ЮГОК ОТК 25-04</t>
        </is>
      </c>
      <c r="K1878" s="1" t="inlineStr">
        <is>
          <t>Использование (применение) средств индивидуальной защиты</t>
        </is>
      </c>
      <c r="L1878" s="1" t="inlineStr">
        <is>
          <t>20.04.2025</t>
        </is>
      </c>
      <c r="M1878" s="1" t="inlineStr">
        <is>
          <t>Успешно</t>
        </is>
      </c>
      <c r="N1878" s="1" t="inlineStr">
        <is>
          <t>13.05.2025</t>
        </is>
      </c>
      <c r="O1878" s="1" t="inlineStr"/>
      <c r="P1878" s="1" t="inlineStr"/>
      <c r="Q1878" s="1" t="inlineStr"/>
    </row>
    <row r="1879">
      <c r="B1879" s="1" t="inlineStr">
        <is>
          <t>121097094</t>
        </is>
      </c>
      <c r="C1879" s="1" t="inlineStr">
        <is>
          <t>9114030</t>
        </is>
      </c>
      <c r="D1879" t="inlineStr">
        <is>
          <t>работник 543</t>
        </is>
      </c>
      <c r="E1879" s="1" t="inlineStr">
        <is>
          <t>ОБЩЕСТВО С ОГРАНИЧЕННОЙ ОТВЕТСТВЕННОСТЬЮ "АМУР ЗОЛОТО"</t>
        </is>
      </c>
      <c r="F1879" s="1" t="inlineStr">
        <is>
          <t>2708001686</t>
        </is>
      </c>
      <c r="G1879" s="1" t="inlineStr">
        <is>
          <t>Пробоотборщик</t>
        </is>
      </c>
      <c r="H1879" s="1" t="inlineStr">
        <is>
          <t>ООО "Амур Золото"</t>
        </is>
      </c>
      <c r="I1879" s="1" t="inlineStr">
        <is>
          <t>2708001686</t>
        </is>
      </c>
      <c r="J1879" s="1" t="inlineStr">
        <is>
          <t>ОТ № ЮГОК ОТК 25-04</t>
        </is>
      </c>
      <c r="K187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879" s="1" t="inlineStr">
        <is>
          <t>20.04.2025</t>
        </is>
      </c>
      <c r="M1879" s="1" t="inlineStr">
        <is>
          <t>Успешно</t>
        </is>
      </c>
      <c r="N1879" s="1" t="inlineStr">
        <is>
          <t>13.05.2025</t>
        </is>
      </c>
      <c r="O1879" s="1" t="inlineStr"/>
      <c r="P1879" s="1" t="inlineStr"/>
      <c r="Q1879" s="1" t="inlineStr"/>
    </row>
    <row r="1880">
      <c r="B1880" s="1" t="inlineStr">
        <is>
          <t>121097095</t>
        </is>
      </c>
      <c r="C1880" s="1" t="inlineStr">
        <is>
          <t>9114030</t>
        </is>
      </c>
      <c r="D1880" t="inlineStr">
        <is>
          <t>работник 40</t>
        </is>
      </c>
      <c r="E1880" s="1" t="inlineStr">
        <is>
          <t>ОБЩЕСТВО С ОГРАНИЧЕННОЙ ОТВЕТСТВЕННОСТЬЮ "АМУР ЗОЛОТО"</t>
        </is>
      </c>
      <c r="F1880" s="1" t="inlineStr">
        <is>
          <t>2708001686</t>
        </is>
      </c>
      <c r="G1880" s="1" t="inlineStr">
        <is>
          <t>Лаборант химического анализа</t>
        </is>
      </c>
      <c r="H1880" s="1" t="inlineStr">
        <is>
          <t>ООО "Амур Золото"</t>
        </is>
      </c>
      <c r="I1880" s="1" t="inlineStr">
        <is>
          <t>2708001686</t>
        </is>
      </c>
      <c r="J1880" s="1" t="inlineStr">
        <is>
          <t>ОТ № ЮГОК ПАЛ 25-03</t>
        </is>
      </c>
      <c r="K1880" s="1" t="inlineStr">
        <is>
          <t>Использование (применение) средств индивидуальной защиты</t>
        </is>
      </c>
      <c r="L1880" s="1" t="inlineStr">
        <is>
          <t>28.03.2025</t>
        </is>
      </c>
      <c r="M1880" s="1" t="inlineStr">
        <is>
          <t>Успешно</t>
        </is>
      </c>
      <c r="N1880" s="1" t="inlineStr">
        <is>
          <t>13.05.2025</t>
        </is>
      </c>
      <c r="O1880" s="1" t="inlineStr"/>
      <c r="P1880" s="1" t="inlineStr"/>
      <c r="Q1880" s="1" t="inlineStr"/>
    </row>
    <row r="1881">
      <c r="B1881" s="1" t="inlineStr">
        <is>
          <t>121097096</t>
        </is>
      </c>
      <c r="C1881" s="1" t="inlineStr">
        <is>
          <t>9114030</t>
        </is>
      </c>
      <c r="D1881" t="inlineStr">
        <is>
          <t>работник 40</t>
        </is>
      </c>
      <c r="E1881" s="1" t="inlineStr">
        <is>
          <t>ОБЩЕСТВО С ОГРАНИЧЕННОЙ ОТВЕТСТВЕННОСТЬЮ "АМУР ЗОЛОТО"</t>
        </is>
      </c>
      <c r="F1881" s="1" t="inlineStr">
        <is>
          <t>2708001686</t>
        </is>
      </c>
      <c r="G1881" s="1" t="inlineStr">
        <is>
          <t>Лаборант химического анализа</t>
        </is>
      </c>
      <c r="H1881" s="1" t="inlineStr">
        <is>
          <t>ООО "Амур Золото"</t>
        </is>
      </c>
      <c r="I1881" s="1" t="inlineStr">
        <is>
          <t>2708001686</t>
        </is>
      </c>
      <c r="J1881" s="1" t="inlineStr">
        <is>
          <t>ОТ № ЮГОК ПАЛ 25-03</t>
        </is>
      </c>
      <c r="K188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881" s="1" t="inlineStr">
        <is>
          <t>28.03.2025</t>
        </is>
      </c>
      <c r="M1881" s="1" t="inlineStr">
        <is>
          <t>Успешно</t>
        </is>
      </c>
      <c r="N1881" s="1" t="inlineStr">
        <is>
          <t>13.05.2025</t>
        </is>
      </c>
      <c r="O1881" s="1" t="inlineStr"/>
      <c r="P1881" s="1" t="inlineStr"/>
      <c r="Q1881" s="1" t="inlineStr"/>
    </row>
    <row r="1882">
      <c r="B1882" s="1" t="inlineStr">
        <is>
          <t>121097097</t>
        </is>
      </c>
      <c r="C1882" s="1" t="inlineStr">
        <is>
          <t>9114030</t>
        </is>
      </c>
      <c r="D1882" t="inlineStr">
        <is>
          <t>работник 402</t>
        </is>
      </c>
      <c r="E1882" s="1" t="inlineStr">
        <is>
          <t>ОБЩЕСТВО С ОГРАНИЧЕННОЙ ОТВЕТСТВЕННОСТЬЮ "АМУР ЗОЛОТО"</t>
        </is>
      </c>
      <c r="F1882" s="1" t="inlineStr">
        <is>
          <t>2708001686</t>
        </is>
      </c>
      <c r="G1882" s="1" t="inlineStr">
        <is>
          <t>Лаборант пробирного анализа</t>
        </is>
      </c>
      <c r="H1882" s="1" t="inlineStr">
        <is>
          <t>ООО "Амур Золото"</t>
        </is>
      </c>
      <c r="I1882" s="1" t="inlineStr">
        <is>
          <t>2708001686</t>
        </is>
      </c>
      <c r="J1882" s="1" t="inlineStr">
        <is>
          <t>ОТ № ЮГОК ПАЛ 25-03</t>
        </is>
      </c>
      <c r="K1882" s="1" t="inlineStr">
        <is>
          <t>Использование (применение) средств индивидуальной защиты</t>
        </is>
      </c>
      <c r="L1882" s="1" t="inlineStr">
        <is>
          <t>28.03.2025</t>
        </is>
      </c>
      <c r="M1882" s="1" t="inlineStr">
        <is>
          <t>Успешно</t>
        </is>
      </c>
      <c r="N1882" s="1" t="inlineStr">
        <is>
          <t>13.05.2025</t>
        </is>
      </c>
      <c r="O1882" s="1" t="inlineStr"/>
      <c r="P1882" s="1" t="inlineStr"/>
      <c r="Q1882" s="1" t="inlineStr"/>
    </row>
    <row r="1883">
      <c r="B1883" s="1" t="inlineStr">
        <is>
          <t>121097098</t>
        </is>
      </c>
      <c r="C1883" s="1" t="inlineStr">
        <is>
          <t>9114030</t>
        </is>
      </c>
      <c r="D1883" t="inlineStr">
        <is>
          <t>работник 402</t>
        </is>
      </c>
      <c r="E1883" s="1" t="inlineStr">
        <is>
          <t>ОБЩЕСТВО С ОГРАНИЧЕННОЙ ОТВЕТСТВЕННОСТЬЮ "АМУР ЗОЛОТО"</t>
        </is>
      </c>
      <c r="F1883" s="1" t="inlineStr">
        <is>
          <t>2708001686</t>
        </is>
      </c>
      <c r="G1883" s="1" t="inlineStr">
        <is>
          <t>Лаборант пробирного анализа</t>
        </is>
      </c>
      <c r="H1883" s="1" t="inlineStr">
        <is>
          <t>ООО "Амур Золото"</t>
        </is>
      </c>
      <c r="I1883" s="1" t="inlineStr">
        <is>
          <t>2708001686</t>
        </is>
      </c>
      <c r="J1883" s="1" t="inlineStr">
        <is>
          <t>ОТ № ЮГОК ПАЛ 25-03</t>
        </is>
      </c>
      <c r="K188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883" s="1" t="inlineStr">
        <is>
          <t>28.03.2025</t>
        </is>
      </c>
      <c r="M1883" s="1" t="inlineStr">
        <is>
          <t>Успешно</t>
        </is>
      </c>
      <c r="N1883" s="1" t="inlineStr">
        <is>
          <t>13.05.2025</t>
        </is>
      </c>
      <c r="O1883" s="1" t="inlineStr"/>
      <c r="P1883" s="1" t="inlineStr"/>
      <c r="Q1883" s="1" t="inlineStr"/>
    </row>
    <row r="1884">
      <c r="B1884" s="1" t="inlineStr">
        <is>
          <t>121097099</t>
        </is>
      </c>
      <c r="C1884" s="1" t="inlineStr">
        <is>
          <t>9114030</t>
        </is>
      </c>
      <c r="D1884" t="inlineStr">
        <is>
          <t>работник 544</t>
        </is>
      </c>
      <c r="E1884" s="1" t="inlineStr">
        <is>
          <t>ОБЩЕСТВО С ОГРАНИЧЕННОЙ ОТВЕТСТВЕННОСТЬЮ "АМУР ЗОЛОТО"</t>
        </is>
      </c>
      <c r="F1884" s="1" t="inlineStr">
        <is>
          <t>2708001686</t>
        </is>
      </c>
      <c r="G1884" s="1" t="inlineStr">
        <is>
          <t>Дробильщик</t>
        </is>
      </c>
      <c r="H1884" s="1" t="inlineStr">
        <is>
          <t>ООО "Амур Золото"</t>
        </is>
      </c>
      <c r="I1884" s="1" t="inlineStr">
        <is>
          <t>2708001686</t>
        </is>
      </c>
      <c r="J1884" s="1" t="inlineStr">
        <is>
          <t>ОТ № ЮГОК ПАЛ 25-03</t>
        </is>
      </c>
      <c r="K1884" s="1" t="inlineStr">
        <is>
          <t>Использование (применение) средств индивидуальной защиты</t>
        </is>
      </c>
      <c r="L1884" s="1" t="inlineStr">
        <is>
          <t>28.03.2025</t>
        </is>
      </c>
      <c r="M1884" s="1" t="inlineStr">
        <is>
          <t>Успешно</t>
        </is>
      </c>
      <c r="N1884" s="1" t="inlineStr">
        <is>
          <t>13.05.2025</t>
        </is>
      </c>
      <c r="O1884" s="1" t="inlineStr"/>
      <c r="P1884" s="1" t="inlineStr"/>
      <c r="Q1884" s="1" t="inlineStr"/>
    </row>
    <row r="1885">
      <c r="B1885" s="1" t="inlineStr">
        <is>
          <t>121097100</t>
        </is>
      </c>
      <c r="C1885" s="1" t="inlineStr">
        <is>
          <t>9114030</t>
        </is>
      </c>
      <c r="D1885" t="inlineStr">
        <is>
          <t>работник 544</t>
        </is>
      </c>
      <c r="E1885" s="1" t="inlineStr">
        <is>
          <t>ОБЩЕСТВО С ОГРАНИЧЕННОЙ ОТВЕТСТВЕННОСТЬЮ "АМУР ЗОЛОТО"</t>
        </is>
      </c>
      <c r="F1885" s="1" t="inlineStr">
        <is>
          <t>2708001686</t>
        </is>
      </c>
      <c r="G1885" s="1" t="inlineStr">
        <is>
          <t>Дробильщик</t>
        </is>
      </c>
      <c r="H1885" s="1" t="inlineStr">
        <is>
          <t>ООО "Амур Золото"</t>
        </is>
      </c>
      <c r="I1885" s="1" t="inlineStr">
        <is>
          <t>2708001686</t>
        </is>
      </c>
      <c r="J1885" s="1" t="inlineStr">
        <is>
          <t>ОТ № ЮГОК ПАЛ 25-03</t>
        </is>
      </c>
      <c r="K188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885" s="1" t="inlineStr">
        <is>
          <t>28.03.2025</t>
        </is>
      </c>
      <c r="M1885" s="1" t="inlineStr">
        <is>
          <t>Успешно</t>
        </is>
      </c>
      <c r="N1885" s="1" t="inlineStr">
        <is>
          <t>13.05.2025</t>
        </is>
      </c>
      <c r="O1885" s="1" t="inlineStr"/>
      <c r="P1885" s="1" t="inlineStr"/>
      <c r="Q1885" s="1" t="inlineStr"/>
    </row>
    <row r="1886">
      <c r="B1886" s="1" t="inlineStr">
        <is>
          <t>121097101</t>
        </is>
      </c>
      <c r="C1886" s="1" t="inlineStr">
        <is>
          <t>9114030</t>
        </is>
      </c>
      <c r="D1886" t="inlineStr">
        <is>
          <t>работник 545</t>
        </is>
      </c>
      <c r="E1886" s="1" t="inlineStr">
        <is>
          <t>ОБЩЕСТВО С ОГРАНИЧЕННОЙ ОТВЕТСТВЕННОСТЬЮ "АМУР ЗОЛОТО"</t>
        </is>
      </c>
      <c r="F1886" s="1" t="inlineStr">
        <is>
          <t>2708001686</t>
        </is>
      </c>
      <c r="G1886" s="1" t="inlineStr">
        <is>
          <t>Помощник машиниста самоходной буровой установки (с исполнением обязанностей пробоотборщика) (Очистное)</t>
        </is>
      </c>
      <c r="H1886" s="1" t="inlineStr">
        <is>
          <t>ООО "Амур Золото"</t>
        </is>
      </c>
      <c r="I1886" s="1" t="inlineStr">
        <is>
          <t>2708001686</t>
        </is>
      </c>
      <c r="J1886" s="1" t="inlineStr">
        <is>
          <t>ОТ № ЮГОК ПГУ 06-25</t>
        </is>
      </c>
      <c r="K1886" s="1" t="inlineStr">
        <is>
          <t>Использование (применение) средств индивидуальной защиты</t>
        </is>
      </c>
      <c r="L1886" s="1" t="inlineStr">
        <is>
          <t>01.03.2025</t>
        </is>
      </c>
      <c r="M1886" s="1" t="inlineStr">
        <is>
          <t>Успешно</t>
        </is>
      </c>
      <c r="N1886" s="1" t="inlineStr">
        <is>
          <t>13.05.2025</t>
        </is>
      </c>
      <c r="O1886" s="1" t="inlineStr"/>
      <c r="P1886" s="1" t="inlineStr"/>
      <c r="Q1886" s="1" t="inlineStr"/>
    </row>
    <row r="1887">
      <c r="B1887" s="1" t="inlineStr">
        <is>
          <t>121097102</t>
        </is>
      </c>
      <c r="C1887" s="1" t="inlineStr">
        <is>
          <t>9114030</t>
        </is>
      </c>
      <c r="D1887" t="inlineStr">
        <is>
          <t>работник 545</t>
        </is>
      </c>
      <c r="E1887" s="1" t="inlineStr">
        <is>
          <t>ОБЩЕСТВО С ОГРАНИЧЕННОЙ ОТВЕТСТВЕННОСТЬЮ "АМУР ЗОЛОТО"</t>
        </is>
      </c>
      <c r="F1887" s="1" t="inlineStr">
        <is>
          <t>2708001686</t>
        </is>
      </c>
      <c r="G1887" s="1" t="inlineStr">
        <is>
          <t>Помощник машиниста самоходной буровой установки (с исполнением обязанностей пробоотборщика) (Очистное)</t>
        </is>
      </c>
      <c r="H1887" s="1" t="inlineStr">
        <is>
          <t>ООО "Амур Золото"</t>
        </is>
      </c>
      <c r="I1887" s="1" t="inlineStr">
        <is>
          <t>2708001686</t>
        </is>
      </c>
      <c r="J1887" s="1" t="inlineStr">
        <is>
          <t>ОТ № ЮГОК ПГУ 06-25</t>
        </is>
      </c>
      <c r="K188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887" s="1" t="inlineStr">
        <is>
          <t>01.03.2025</t>
        </is>
      </c>
      <c r="M1887" s="1" t="inlineStr">
        <is>
          <t>Успешно</t>
        </is>
      </c>
      <c r="N1887" s="1" t="inlineStr">
        <is>
          <t>13.05.2025</t>
        </is>
      </c>
      <c r="O1887" s="1" t="inlineStr"/>
      <c r="P1887" s="1" t="inlineStr"/>
      <c r="Q1887" s="1" t="inlineStr"/>
    </row>
    <row r="1888">
      <c r="B1888" s="1" t="inlineStr">
        <is>
          <t>121097103</t>
        </is>
      </c>
      <c r="C1888" s="1" t="inlineStr">
        <is>
          <t>9114030</t>
        </is>
      </c>
      <c r="D1888" t="inlineStr">
        <is>
          <t>работник 546</t>
        </is>
      </c>
      <c r="E1888" s="1" t="inlineStr">
        <is>
          <t>ОБЩЕСТВО С ОГРАНИЧЕННОЙ ОТВЕТСТВЕННОСТЬЮ "АМУР ЗОЛОТО"</t>
        </is>
      </c>
      <c r="F1888" s="1" t="inlineStr">
        <is>
          <t>2708001686</t>
        </is>
      </c>
      <c r="G1888" s="1" t="inlineStr">
        <is>
          <t>Машинист погрузочно-доставочной машины</t>
        </is>
      </c>
      <c r="H1888" s="1" t="inlineStr">
        <is>
          <t>ООО "Амур Золото"</t>
        </is>
      </c>
      <c r="I1888" s="1" t="inlineStr">
        <is>
          <t>2708001686</t>
        </is>
      </c>
      <c r="J1888" s="1" t="inlineStr">
        <is>
          <t>ОТ № ЮГОК ПГУ 07-25</t>
        </is>
      </c>
      <c r="K1888" s="1" t="inlineStr">
        <is>
          <t>Использование (применение) средств индивидуальной защиты</t>
        </is>
      </c>
      <c r="L1888" s="1" t="inlineStr">
        <is>
          <t>01.03.2025</t>
        </is>
      </c>
      <c r="M1888" s="1" t="inlineStr">
        <is>
          <t>Успешно</t>
        </is>
      </c>
      <c r="N1888" s="1" t="inlineStr">
        <is>
          <t>13.05.2025</t>
        </is>
      </c>
      <c r="O1888" s="1" t="inlineStr"/>
      <c r="P1888" s="1" t="inlineStr"/>
      <c r="Q1888" s="1" t="inlineStr"/>
    </row>
    <row r="1889">
      <c r="B1889" s="1" t="inlineStr">
        <is>
          <t>121097104</t>
        </is>
      </c>
      <c r="C1889" s="1" t="inlineStr">
        <is>
          <t>9114030</t>
        </is>
      </c>
      <c r="D1889" t="inlineStr">
        <is>
          <t>работник 546</t>
        </is>
      </c>
      <c r="E1889" s="1" t="inlineStr">
        <is>
          <t>ОБЩЕСТВО С ОГРАНИЧЕННОЙ ОТВЕТСТВЕННОСТЬЮ "АМУР ЗОЛОТО"</t>
        </is>
      </c>
      <c r="F1889" s="1" t="inlineStr">
        <is>
          <t>2708001686</t>
        </is>
      </c>
      <c r="G1889" s="1" t="inlineStr">
        <is>
          <t>Машинист погрузочно-доставочной машины</t>
        </is>
      </c>
      <c r="H1889" s="1" t="inlineStr">
        <is>
          <t>ООО "Амур Золото"</t>
        </is>
      </c>
      <c r="I1889" s="1" t="inlineStr">
        <is>
          <t>2708001686</t>
        </is>
      </c>
      <c r="J1889" s="1" t="inlineStr">
        <is>
          <t>ОТ № ЮГОК ПГУ 07-25</t>
        </is>
      </c>
      <c r="K188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889" s="1" t="inlineStr">
        <is>
          <t>01.03.2025</t>
        </is>
      </c>
      <c r="M1889" s="1" t="inlineStr">
        <is>
          <t>Успешно</t>
        </is>
      </c>
      <c r="N1889" s="1" t="inlineStr">
        <is>
          <t>13.05.2025</t>
        </is>
      </c>
      <c r="O1889" s="1" t="inlineStr"/>
      <c r="P1889" s="1" t="inlineStr"/>
      <c r="Q1889" s="1" t="inlineStr"/>
    </row>
    <row r="1890">
      <c r="B1890" s="1" t="inlineStr">
        <is>
          <t>121097105</t>
        </is>
      </c>
      <c r="C1890" s="1" t="inlineStr">
        <is>
          <t>9114030</t>
        </is>
      </c>
      <c r="D1890" t="inlineStr">
        <is>
          <t>работник 547</t>
        </is>
      </c>
      <c r="E1890" s="1" t="inlineStr">
        <is>
          <t>ОБЩЕСТВО С ОГРАНИЧЕННОЙ ОТВЕТСТВЕННОСТЬЮ "АМУР ЗОЛОТО"</t>
        </is>
      </c>
      <c r="F1890" s="1" t="inlineStr">
        <is>
          <t>2708001686</t>
        </is>
      </c>
      <c r="G1890" s="1" t="inlineStr">
        <is>
          <t>Слесарь-ремонтник (по ремонту самоходной техники)</t>
        </is>
      </c>
      <c r="H1890" s="1" t="inlineStr">
        <is>
          <t>ООО "Амур Золото"</t>
        </is>
      </c>
      <c r="I1890" s="1" t="inlineStr">
        <is>
          <t>2708001686</t>
        </is>
      </c>
      <c r="J1890" s="1" t="inlineStr">
        <is>
          <t>ОТ № ЮГОК ПГУ 08-25</t>
        </is>
      </c>
      <c r="K1890" s="1" t="inlineStr">
        <is>
          <t>Использование (применение) средств индивидуальной защиты</t>
        </is>
      </c>
      <c r="L1890" s="1" t="inlineStr">
        <is>
          <t>27.03.2025</t>
        </is>
      </c>
      <c r="M1890" s="1" t="inlineStr">
        <is>
          <t>Успешно</t>
        </is>
      </c>
      <c r="N1890" s="1" t="inlineStr">
        <is>
          <t>13.05.2025</t>
        </is>
      </c>
      <c r="O1890" s="1" t="inlineStr"/>
      <c r="P1890" s="1" t="inlineStr"/>
      <c r="Q1890" s="1" t="inlineStr"/>
    </row>
    <row r="1891">
      <c r="B1891" s="1" t="inlineStr">
        <is>
          <t>121097106</t>
        </is>
      </c>
      <c r="C1891" s="1" t="inlineStr">
        <is>
          <t>9114030</t>
        </is>
      </c>
      <c r="D1891" t="inlineStr">
        <is>
          <t>работник 547</t>
        </is>
      </c>
      <c r="E1891" s="1" t="inlineStr">
        <is>
          <t>ОБЩЕСТВО С ОГРАНИЧЕННОЙ ОТВЕТСТВЕННОСТЬЮ "АМУР ЗОЛОТО"</t>
        </is>
      </c>
      <c r="F1891" s="1" t="inlineStr">
        <is>
          <t>2708001686</t>
        </is>
      </c>
      <c r="G1891" s="1" t="inlineStr">
        <is>
          <t>Слесарь-ремонтник (по ремонту самоходной техники)</t>
        </is>
      </c>
      <c r="H1891" s="1" t="inlineStr">
        <is>
          <t>ООО "Амур Золото"</t>
        </is>
      </c>
      <c r="I1891" s="1" t="inlineStr">
        <is>
          <t>2708001686</t>
        </is>
      </c>
      <c r="J1891" s="1" t="inlineStr">
        <is>
          <t>ОТ № ЮГОК ПГУ 08-25</t>
        </is>
      </c>
      <c r="K189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891" s="1" t="inlineStr">
        <is>
          <t>27.03.2025</t>
        </is>
      </c>
      <c r="M1891" s="1" t="inlineStr">
        <is>
          <t>Успешно</t>
        </is>
      </c>
      <c r="N1891" s="1" t="inlineStr">
        <is>
          <t>13.05.2025</t>
        </is>
      </c>
      <c r="O1891" s="1" t="inlineStr"/>
      <c r="P1891" s="1" t="inlineStr"/>
      <c r="Q1891" s="1" t="inlineStr"/>
    </row>
    <row r="1892">
      <c r="B1892" s="1" t="inlineStr">
        <is>
          <t>121097107</t>
        </is>
      </c>
      <c r="C1892" s="1" t="inlineStr">
        <is>
          <t>9114030</t>
        </is>
      </c>
      <c r="D1892" t="inlineStr">
        <is>
          <t>работник 548</t>
        </is>
      </c>
      <c r="E1892" s="1" t="inlineStr">
        <is>
          <t>ОБЩЕСТВО С ОГРАНИЧЕННОЙ ОТВЕТСТВЕННОСТЬЮ "АМУР ЗОЛОТО"</t>
        </is>
      </c>
      <c r="F1892" s="1" t="inlineStr">
        <is>
          <t>2708001686</t>
        </is>
      </c>
      <c r="G1892" s="1" t="inlineStr">
        <is>
          <t>Помощник машиниста самоходной буровой установки (с исполнением обязанностей пробоотборщика) (Очистное)</t>
        </is>
      </c>
      <c r="H1892" s="1" t="inlineStr">
        <is>
          <t>ООО "Амур Золото"</t>
        </is>
      </c>
      <c r="I1892" s="1" t="inlineStr">
        <is>
          <t>2708001686</t>
        </is>
      </c>
      <c r="J1892" s="1" t="inlineStr">
        <is>
          <t>ОТ № ЮГОК ПГУ 10-25</t>
        </is>
      </c>
      <c r="K1892" s="1" t="inlineStr">
        <is>
          <t>Использование (применение) средств индивидуальной защиты</t>
        </is>
      </c>
      <c r="L1892" s="1" t="inlineStr">
        <is>
          <t>30.03.2025</t>
        </is>
      </c>
      <c r="M1892" s="1" t="inlineStr">
        <is>
          <t>Успешно</t>
        </is>
      </c>
      <c r="N1892" s="1" t="inlineStr">
        <is>
          <t>13.05.2025</t>
        </is>
      </c>
      <c r="O1892" s="1" t="inlineStr"/>
      <c r="P1892" s="1" t="inlineStr"/>
      <c r="Q1892" s="1" t="inlineStr"/>
    </row>
    <row r="1893">
      <c r="B1893" s="1" t="inlineStr">
        <is>
          <t>121097108</t>
        </is>
      </c>
      <c r="C1893" s="1" t="inlineStr">
        <is>
          <t>9114030</t>
        </is>
      </c>
      <c r="D1893" t="inlineStr">
        <is>
          <t>работник 548</t>
        </is>
      </c>
      <c r="E1893" s="1" t="inlineStr">
        <is>
          <t>ОБЩЕСТВО С ОГРАНИЧЕННОЙ ОТВЕТСТВЕННОСТЬЮ "АМУР ЗОЛОТО"</t>
        </is>
      </c>
      <c r="F1893" s="1" t="inlineStr">
        <is>
          <t>2708001686</t>
        </is>
      </c>
      <c r="G1893" s="1" t="inlineStr">
        <is>
          <t>Помощник машиниста самоходной буровой установки (с исполнением обязанностей пробоотборщика) (Очистное)</t>
        </is>
      </c>
      <c r="H1893" s="1" t="inlineStr">
        <is>
          <t>ООО "Амур Золото"</t>
        </is>
      </c>
      <c r="I1893" s="1" t="inlineStr">
        <is>
          <t>2708001686</t>
        </is>
      </c>
      <c r="J1893" s="1" t="inlineStr">
        <is>
          <t>ОТ № ЮГОК ПГУ 10-25</t>
        </is>
      </c>
      <c r="K189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893" s="1" t="inlineStr">
        <is>
          <t>30.03.2025</t>
        </is>
      </c>
      <c r="M1893" s="1" t="inlineStr">
        <is>
          <t>Успешно</t>
        </is>
      </c>
      <c r="N1893" s="1" t="inlineStr">
        <is>
          <t>13.05.2025</t>
        </is>
      </c>
      <c r="O1893" s="1" t="inlineStr"/>
      <c r="P1893" s="1" t="inlineStr"/>
      <c r="Q1893" s="1" t="inlineStr"/>
    </row>
    <row r="1894">
      <c r="B1894" s="1" t="inlineStr">
        <is>
          <t>121097109</t>
        </is>
      </c>
      <c r="C1894" s="1" t="inlineStr">
        <is>
          <t>9114030</t>
        </is>
      </c>
      <c r="D1894" t="inlineStr">
        <is>
          <t>работник 549</t>
        </is>
      </c>
      <c r="E1894" s="1" t="inlineStr">
        <is>
          <t>ОБЩЕСТВО С ОГРАНИЧЕННОЙ ОТВЕТСТВЕННОСТЬЮ "АМУР ЗОЛОТО"</t>
        </is>
      </c>
      <c r="F1894" s="1" t="inlineStr">
        <is>
          <t>2708001686</t>
        </is>
      </c>
      <c r="G1894" s="1" t="inlineStr">
        <is>
          <t>Машинист самоходной буровой установки (Проходка)</t>
        </is>
      </c>
      <c r="H1894" s="1" t="inlineStr">
        <is>
          <t>ООО "Амур Золото"</t>
        </is>
      </c>
      <c r="I1894" s="1" t="inlineStr">
        <is>
          <t>2708001686</t>
        </is>
      </c>
      <c r="J1894" s="1" t="inlineStr">
        <is>
          <t>ОТ № ЮГОК ПГУ 11-25</t>
        </is>
      </c>
      <c r="K1894" s="1" t="inlineStr">
        <is>
          <t>Использование (применение) средств индивидуальной защиты</t>
        </is>
      </c>
      <c r="L1894" s="1" t="inlineStr">
        <is>
          <t>07.04.2025</t>
        </is>
      </c>
      <c r="M1894" s="1" t="inlineStr">
        <is>
          <t>Успешно</t>
        </is>
      </c>
      <c r="N1894" s="1" t="inlineStr">
        <is>
          <t>13.05.2025</t>
        </is>
      </c>
      <c r="O1894" s="1" t="inlineStr"/>
      <c r="P1894" s="1" t="inlineStr"/>
      <c r="Q1894" s="1" t="inlineStr"/>
    </row>
    <row r="1895">
      <c r="B1895" s="1" t="inlineStr">
        <is>
          <t>121097110</t>
        </is>
      </c>
      <c r="C1895" s="1" t="inlineStr">
        <is>
          <t>9114030</t>
        </is>
      </c>
      <c r="D1895" t="inlineStr">
        <is>
          <t>работник 549</t>
        </is>
      </c>
      <c r="E1895" s="1" t="inlineStr">
        <is>
          <t>ОБЩЕСТВО С ОГРАНИЧЕННОЙ ОТВЕТСТВЕННОСТЬЮ "АМУР ЗОЛОТО"</t>
        </is>
      </c>
      <c r="F1895" s="1" t="inlineStr">
        <is>
          <t>2708001686</t>
        </is>
      </c>
      <c r="G1895" s="1" t="inlineStr">
        <is>
          <t>Машинист самоходной буровой установки (Проходка)</t>
        </is>
      </c>
      <c r="H1895" s="1" t="inlineStr">
        <is>
          <t>ООО "Амур Золото"</t>
        </is>
      </c>
      <c r="I1895" s="1" t="inlineStr">
        <is>
          <t>2708001686</t>
        </is>
      </c>
      <c r="J1895" s="1" t="inlineStr">
        <is>
          <t>ОТ № ЮГОК ПГУ 11-25</t>
        </is>
      </c>
      <c r="K189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895" s="1" t="inlineStr">
        <is>
          <t>07.04.2025</t>
        </is>
      </c>
      <c r="M1895" s="1" t="inlineStr">
        <is>
          <t>Успешно</t>
        </is>
      </c>
      <c r="N1895" s="1" t="inlineStr">
        <is>
          <t>13.05.2025</t>
        </is>
      </c>
      <c r="O1895" s="1" t="inlineStr"/>
      <c r="P1895" s="1" t="inlineStr"/>
      <c r="Q1895" s="1" t="inlineStr"/>
    </row>
    <row r="1896">
      <c r="B1896" s="1" t="inlineStr">
        <is>
          <t>121097111</t>
        </is>
      </c>
      <c r="C1896" s="1" t="inlineStr">
        <is>
          <t>9114030</t>
        </is>
      </c>
      <c r="D1896" t="inlineStr">
        <is>
          <t>работник 550</t>
        </is>
      </c>
      <c r="E1896" s="1" t="inlineStr">
        <is>
          <t>ОБЩЕСТВО С ОГРАНИЧЕННОЙ ОТВЕТСТВЕННОСТЬЮ "АМУР ЗОЛОТО"</t>
        </is>
      </c>
      <c r="F1896" s="1" t="inlineStr">
        <is>
          <t>2708001686</t>
        </is>
      </c>
      <c r="G1896" s="1" t="inlineStr">
        <is>
          <t>Проходчик (с исполнением обязанностей взрывника)</t>
        </is>
      </c>
      <c r="H1896" s="1" t="inlineStr">
        <is>
          <t>ООО "Амур Золото"</t>
        </is>
      </c>
      <c r="I1896" s="1" t="inlineStr">
        <is>
          <t>2708001686</t>
        </is>
      </c>
      <c r="J1896" s="1" t="inlineStr">
        <is>
          <t>ОТ № ЮГОК ПГУ 12-25</t>
        </is>
      </c>
      <c r="K1896" s="1" t="inlineStr">
        <is>
          <t>Использование (применение) средств индивидуальной защиты</t>
        </is>
      </c>
      <c r="L1896" s="1" t="inlineStr">
        <is>
          <t>07.04.2025</t>
        </is>
      </c>
      <c r="M1896" s="1" t="inlineStr">
        <is>
          <t>Успешно</t>
        </is>
      </c>
      <c r="N1896" s="1" t="inlineStr">
        <is>
          <t>13.05.2025</t>
        </is>
      </c>
      <c r="O1896" s="1" t="inlineStr"/>
      <c r="P1896" s="1" t="inlineStr"/>
      <c r="Q1896" s="1" t="inlineStr"/>
    </row>
    <row r="1897">
      <c r="B1897" s="1" t="inlineStr">
        <is>
          <t>121097112</t>
        </is>
      </c>
      <c r="C1897" s="1" t="inlineStr">
        <is>
          <t>9114030</t>
        </is>
      </c>
      <c r="D1897" t="inlineStr">
        <is>
          <t>работник 550</t>
        </is>
      </c>
      <c r="E1897" s="1" t="inlineStr">
        <is>
          <t>ОБЩЕСТВО С ОГРАНИЧЕННОЙ ОТВЕТСТВЕННОСТЬЮ "АМУР ЗОЛОТО"</t>
        </is>
      </c>
      <c r="F1897" s="1" t="inlineStr">
        <is>
          <t>2708001686</t>
        </is>
      </c>
      <c r="G1897" s="1" t="inlineStr">
        <is>
          <t>Проходчик (с исполнением обязанностей взрывника)</t>
        </is>
      </c>
      <c r="H1897" s="1" t="inlineStr">
        <is>
          <t>ООО "Амур Золото"</t>
        </is>
      </c>
      <c r="I1897" s="1" t="inlineStr">
        <is>
          <t>2708001686</t>
        </is>
      </c>
      <c r="J1897" s="1" t="inlineStr">
        <is>
          <t>ОТ № ЮГОК ПГУ 12-25</t>
        </is>
      </c>
      <c r="K189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897" s="1" t="inlineStr">
        <is>
          <t>07.04.2025</t>
        </is>
      </c>
      <c r="M1897" s="1" t="inlineStr">
        <is>
          <t>Успешно</t>
        </is>
      </c>
      <c r="N1897" s="1" t="inlineStr">
        <is>
          <t>13.05.2025</t>
        </is>
      </c>
      <c r="O1897" s="1" t="inlineStr"/>
      <c r="P1897" s="1" t="inlineStr"/>
      <c r="Q1897" s="1" t="inlineStr"/>
    </row>
    <row r="1898">
      <c r="B1898" s="1" t="inlineStr">
        <is>
          <t>121097113</t>
        </is>
      </c>
      <c r="C1898" s="1" t="inlineStr">
        <is>
          <t>9114030</t>
        </is>
      </c>
      <c r="D1898" t="inlineStr">
        <is>
          <t>работник 551</t>
        </is>
      </c>
      <c r="E1898" s="1" t="inlineStr">
        <is>
          <t>ОБЩЕСТВО С ОГРАНИЧЕННОЙ ОТВЕТСТВЕННОСТЬЮ "АМУР ЗОЛОТО"</t>
        </is>
      </c>
      <c r="F1898" s="1" t="inlineStr">
        <is>
          <t>2708001686</t>
        </is>
      </c>
      <c r="G1898" s="1" t="inlineStr">
        <is>
          <t>Кладовщик (с исполнением обязанностей ламповщика)</t>
        </is>
      </c>
      <c r="H1898" s="1" t="inlineStr">
        <is>
          <t>ООО "Амур Золото"</t>
        </is>
      </c>
      <c r="I1898" s="1" t="inlineStr">
        <is>
          <t>2708001686</t>
        </is>
      </c>
      <c r="J1898" s="1" t="inlineStr">
        <is>
          <t>ОТ № ЮГОК ПГУ 13-25</t>
        </is>
      </c>
      <c r="K1898" s="1" t="inlineStr">
        <is>
          <t>Использование (применение) средств индивидуальной защиты</t>
        </is>
      </c>
      <c r="L1898" s="1" t="inlineStr">
        <is>
          <t>15.04.2025</t>
        </is>
      </c>
      <c r="M1898" s="1" t="inlineStr">
        <is>
          <t>Успешно</t>
        </is>
      </c>
      <c r="N1898" s="1" t="inlineStr">
        <is>
          <t>13.05.2025</t>
        </is>
      </c>
      <c r="O1898" s="1" t="inlineStr"/>
      <c r="P1898" s="1" t="inlineStr"/>
      <c r="Q1898" s="1" t="inlineStr"/>
    </row>
    <row r="1899">
      <c r="B1899" s="1" t="inlineStr">
        <is>
          <t>121097114</t>
        </is>
      </c>
      <c r="C1899" s="1" t="inlineStr">
        <is>
          <t>9114030</t>
        </is>
      </c>
      <c r="D1899" t="inlineStr">
        <is>
          <t>работник 551</t>
        </is>
      </c>
      <c r="E1899" s="1" t="inlineStr">
        <is>
          <t>ОБЩЕСТВО С ОГРАНИЧЕННОЙ ОТВЕТСТВЕННОСТЬЮ "АМУР ЗОЛОТО"</t>
        </is>
      </c>
      <c r="F1899" s="1" t="inlineStr">
        <is>
          <t>2708001686</t>
        </is>
      </c>
      <c r="G1899" s="1" t="inlineStr">
        <is>
          <t>Кладовщик (с исполнением обязанностей ламповщика)</t>
        </is>
      </c>
      <c r="H1899" s="1" t="inlineStr">
        <is>
          <t>ООО "Амур Золото"</t>
        </is>
      </c>
      <c r="I1899" s="1" t="inlineStr">
        <is>
          <t>2708001686</t>
        </is>
      </c>
      <c r="J1899" s="1" t="inlineStr">
        <is>
          <t>ОТ № ЮГОК ПГУ 13-25</t>
        </is>
      </c>
      <c r="K189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899" s="1" t="inlineStr">
        <is>
          <t>15.04.2025</t>
        </is>
      </c>
      <c r="M1899" s="1" t="inlineStr">
        <is>
          <t>Успешно</t>
        </is>
      </c>
      <c r="N1899" s="1" t="inlineStr">
        <is>
          <t>13.05.2025</t>
        </is>
      </c>
      <c r="O1899" s="1" t="inlineStr"/>
      <c r="P1899" s="1" t="inlineStr"/>
      <c r="Q1899" s="1" t="inlineStr"/>
    </row>
    <row r="1900">
      <c r="B1900" s="1" t="inlineStr">
        <is>
          <t>121097115</t>
        </is>
      </c>
      <c r="C1900" s="1" t="inlineStr">
        <is>
          <t>9114030</t>
        </is>
      </c>
      <c r="D1900" t="inlineStr">
        <is>
          <t>работник 552</t>
        </is>
      </c>
      <c r="E1900" s="1" t="inlineStr">
        <is>
          <t>ОБЩЕСТВО С ОГРАНИЧЕННОЙ ОТВЕТСТВЕННОСТЬЮ "АМУР ЗОЛОТО"</t>
        </is>
      </c>
      <c r="F1900" s="1" t="inlineStr">
        <is>
          <t>2708001686</t>
        </is>
      </c>
      <c r="G1900" s="1" t="inlineStr">
        <is>
          <t>Проходчик (с исполнением обязанностей взрывника)</t>
        </is>
      </c>
      <c r="H1900" s="1" t="inlineStr">
        <is>
          <t>ООО "Амур Золото"</t>
        </is>
      </c>
      <c r="I1900" s="1" t="inlineStr">
        <is>
          <t>2708001686</t>
        </is>
      </c>
      <c r="J1900" s="1" t="inlineStr">
        <is>
          <t>ОТ № ЮГОК ПГУ 14-25</t>
        </is>
      </c>
      <c r="K1900" s="1" t="inlineStr">
        <is>
          <t>Использование (применение) средств индивидуальной защиты</t>
        </is>
      </c>
      <c r="L1900" s="1" t="inlineStr">
        <is>
          <t>19.04.2025</t>
        </is>
      </c>
      <c r="M1900" s="1" t="inlineStr">
        <is>
          <t>Успешно</t>
        </is>
      </c>
      <c r="N1900" s="1" t="inlineStr">
        <is>
          <t>13.05.2025</t>
        </is>
      </c>
      <c r="O1900" s="1" t="inlineStr"/>
      <c r="P1900" s="1" t="inlineStr"/>
      <c r="Q1900" s="1" t="inlineStr"/>
    </row>
    <row r="1901">
      <c r="B1901" s="1" t="inlineStr">
        <is>
          <t>121097116</t>
        </is>
      </c>
      <c r="C1901" s="1" t="inlineStr">
        <is>
          <t>9114030</t>
        </is>
      </c>
      <c r="D1901" t="inlineStr">
        <is>
          <t>работник 552</t>
        </is>
      </c>
      <c r="E1901" s="1" t="inlineStr">
        <is>
          <t>ОБЩЕСТВО С ОГРАНИЧЕННОЙ ОТВЕТСТВЕННОСТЬЮ "АМУР ЗОЛОТО"</t>
        </is>
      </c>
      <c r="F1901" s="1" t="inlineStr">
        <is>
          <t>2708001686</t>
        </is>
      </c>
      <c r="G1901" s="1" t="inlineStr">
        <is>
          <t>Проходчик (с исполнением обязанностей взрывника)</t>
        </is>
      </c>
      <c r="H1901" s="1" t="inlineStr">
        <is>
          <t>ООО "Амур Золото"</t>
        </is>
      </c>
      <c r="I1901" s="1" t="inlineStr">
        <is>
          <t>2708001686</t>
        </is>
      </c>
      <c r="J1901" s="1" t="inlineStr">
        <is>
          <t>ОТ № ЮГОК ПГУ 14-25</t>
        </is>
      </c>
      <c r="K190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901" s="1" t="inlineStr">
        <is>
          <t>19.04.2025</t>
        </is>
      </c>
      <c r="M1901" s="1" t="inlineStr">
        <is>
          <t>Успешно</t>
        </is>
      </c>
      <c r="N1901" s="1" t="inlineStr">
        <is>
          <t>13.05.2025</t>
        </is>
      </c>
      <c r="O1901" s="1" t="inlineStr"/>
      <c r="P1901" s="1" t="inlineStr"/>
      <c r="Q1901" s="1" t="inlineStr"/>
    </row>
    <row r="1902">
      <c r="B1902" s="1" t="inlineStr">
        <is>
          <t>121097117</t>
        </is>
      </c>
      <c r="C1902" s="1" t="inlineStr">
        <is>
          <t>9114030</t>
        </is>
      </c>
      <c r="D1902" t="inlineStr">
        <is>
          <t>работник 553</t>
        </is>
      </c>
      <c r="E1902" s="1" t="inlineStr">
        <is>
          <t>ОБЩЕСТВО С ОГРАНИЧЕННОЙ ОТВЕТСТВЕННОСТЬЮ "АМУР ЗОЛОТО"</t>
        </is>
      </c>
      <c r="F1902" s="1" t="inlineStr">
        <is>
          <t>2708001686</t>
        </is>
      </c>
      <c r="G1902" s="1" t="inlineStr">
        <is>
          <t>Проходчик (с исполнением обязанностей взрывника)</t>
        </is>
      </c>
      <c r="H1902" s="1" t="inlineStr">
        <is>
          <t>ООО "Амур Золото"</t>
        </is>
      </c>
      <c r="I1902" s="1" t="inlineStr">
        <is>
          <t>2708001686</t>
        </is>
      </c>
      <c r="J1902" s="1" t="inlineStr">
        <is>
          <t>ОТ № ЮГОК ПГУ 15-25</t>
        </is>
      </c>
      <c r="K1902" s="1" t="inlineStr">
        <is>
          <t>Использование (применение) средств индивидуальной защиты</t>
        </is>
      </c>
      <c r="L1902" s="1" t="inlineStr">
        <is>
          <t>04.05.2025</t>
        </is>
      </c>
      <c r="M1902" s="1" t="inlineStr">
        <is>
          <t>Успешно</t>
        </is>
      </c>
      <c r="N1902" s="1" t="inlineStr">
        <is>
          <t>13.05.2025</t>
        </is>
      </c>
      <c r="O1902" s="1" t="inlineStr"/>
      <c r="P1902" s="1" t="inlineStr"/>
      <c r="Q1902" s="1" t="inlineStr"/>
    </row>
    <row r="1903">
      <c r="B1903" s="1" t="inlineStr">
        <is>
          <t>121097118</t>
        </is>
      </c>
      <c r="C1903" s="1" t="inlineStr">
        <is>
          <t>9114030</t>
        </is>
      </c>
      <c r="D1903" t="inlineStr">
        <is>
          <t>работник 553</t>
        </is>
      </c>
      <c r="E1903" s="1" t="inlineStr">
        <is>
          <t>ОБЩЕСТВО С ОГРАНИЧЕННОЙ ОТВЕТСТВЕННОСТЬЮ "АМУР ЗОЛОТО"</t>
        </is>
      </c>
      <c r="F1903" s="1" t="inlineStr">
        <is>
          <t>2708001686</t>
        </is>
      </c>
      <c r="G1903" s="1" t="inlineStr">
        <is>
          <t>Проходчик (с исполнением обязанностей взрывника)</t>
        </is>
      </c>
      <c r="H1903" s="1" t="inlineStr">
        <is>
          <t>ООО "Амур Золото"</t>
        </is>
      </c>
      <c r="I1903" s="1" t="inlineStr">
        <is>
          <t>2708001686</t>
        </is>
      </c>
      <c r="J1903" s="1" t="inlineStr">
        <is>
          <t>ОТ № ЮГОК ПГУ 15-25</t>
        </is>
      </c>
      <c r="K190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903" s="1" t="inlineStr">
        <is>
          <t>04.05.2025</t>
        </is>
      </c>
      <c r="M1903" s="1" t="inlineStr">
        <is>
          <t>Успешно</t>
        </is>
      </c>
      <c r="N1903" s="1" t="inlineStr">
        <is>
          <t>13.05.2025</t>
        </is>
      </c>
      <c r="O1903" s="1" t="inlineStr"/>
      <c r="P1903" s="1" t="inlineStr"/>
      <c r="Q1903" s="1" t="inlineStr"/>
    </row>
    <row r="1904">
      <c r="B1904" s="1" t="inlineStr">
        <is>
          <t>121097119</t>
        </is>
      </c>
      <c r="C1904" s="1" t="inlineStr">
        <is>
          <t>9114030</t>
        </is>
      </c>
      <c r="D1904" t="inlineStr">
        <is>
          <t>работник 554</t>
        </is>
      </c>
      <c r="E1904" s="1" t="inlineStr">
        <is>
          <t>ОБЩЕСТВО С ОГРАНИЧЕННОЙ ОТВЕТСТВЕННОСТЬЮ "АМУР ЗОЛОТО"</t>
        </is>
      </c>
      <c r="F1904" s="1" t="inlineStr">
        <is>
          <t>2708001686</t>
        </is>
      </c>
      <c r="G1904" s="1" t="inlineStr">
        <is>
          <t>Плотник</t>
        </is>
      </c>
      <c r="H1904" s="1" t="inlineStr">
        <is>
          <t>ООО "Амур Золото"</t>
        </is>
      </c>
      <c r="I1904" s="1" t="inlineStr">
        <is>
          <t>2708001686</t>
        </is>
      </c>
      <c r="J1904" s="1" t="inlineStr">
        <is>
          <t>ОТ № ЮГОК РСУ 25-02</t>
        </is>
      </c>
      <c r="K190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904" s="1" t="inlineStr">
        <is>
          <t>05.04.2025</t>
        </is>
      </c>
      <c r="M1904" s="1" t="inlineStr">
        <is>
          <t>Успешно</t>
        </is>
      </c>
      <c r="N1904" s="1" t="inlineStr">
        <is>
          <t>13.05.2025</t>
        </is>
      </c>
      <c r="O1904" s="1" t="inlineStr"/>
      <c r="P1904" s="1" t="inlineStr"/>
      <c r="Q1904" s="1" t="inlineStr"/>
    </row>
    <row r="1905">
      <c r="B1905" s="1" t="inlineStr">
        <is>
          <t>121097120</t>
        </is>
      </c>
      <c r="C1905" s="1" t="inlineStr">
        <is>
          <t>9114030</t>
        </is>
      </c>
      <c r="D1905" t="inlineStr">
        <is>
          <t>работник 554</t>
        </is>
      </c>
      <c r="E1905" s="1" t="inlineStr">
        <is>
          <t>ОБЩЕСТВО С ОГРАНИЧЕННОЙ ОТВЕТСТВЕННОСТЬЮ "АМУР ЗОЛОТО"</t>
        </is>
      </c>
      <c r="F1905" s="1" t="inlineStr">
        <is>
          <t>2708001686</t>
        </is>
      </c>
      <c r="G1905" s="1" t="inlineStr">
        <is>
          <t>Плотник</t>
        </is>
      </c>
      <c r="H1905" s="1" t="inlineStr">
        <is>
          <t>ООО "Амур Золото"</t>
        </is>
      </c>
      <c r="I1905" s="1" t="inlineStr">
        <is>
          <t>2708001686</t>
        </is>
      </c>
      <c r="J1905" s="1" t="inlineStr">
        <is>
          <t>ОТ № ЮГОК РСУ25-02</t>
        </is>
      </c>
      <c r="K1905" s="1" t="inlineStr">
        <is>
          <t>Использование (применение) средств индивидуальной защиты</t>
        </is>
      </c>
      <c r="L1905" s="1" t="inlineStr">
        <is>
          <t>05.04.2025</t>
        </is>
      </c>
      <c r="M1905" s="1" t="inlineStr">
        <is>
          <t>Успешно</t>
        </is>
      </c>
      <c r="N1905" s="1" t="inlineStr">
        <is>
          <t>13.05.2025</t>
        </is>
      </c>
      <c r="O1905" s="1" t="inlineStr"/>
      <c r="P1905" s="1" t="inlineStr"/>
      <c r="Q1905" s="1" t="inlineStr"/>
    </row>
    <row r="1906">
      <c r="B1906" s="1" t="inlineStr">
        <is>
          <t>124493941</t>
        </is>
      </c>
      <c r="C1906" s="1" t="inlineStr">
        <is>
          <t>9387075</t>
        </is>
      </c>
      <c r="D1906" t="inlineStr">
        <is>
          <t>работник 555</t>
        </is>
      </c>
      <c r="E1906" s="1" t="inlineStr">
        <is>
          <t>ОБЩЕСТВО С ОГРАНИЧЕННОЙ ОТВЕТСТВЕННОСТЬЮ "АМУР ЗОЛОТО"</t>
        </is>
      </c>
      <c r="F1906" s="1" t="inlineStr">
        <is>
          <t>2708001686</t>
        </is>
      </c>
      <c r="G1906" s="1" t="inlineStr">
        <is>
          <t>Электромонтер по ремонту и обслуживанию электрооборудования</t>
        </is>
      </c>
      <c r="H1906" s="1" t="inlineStr">
        <is>
          <t>ООО "Амур Золото"</t>
        </is>
      </c>
      <c r="I1906" s="1" t="inlineStr">
        <is>
          <t>2708001686</t>
        </is>
      </c>
      <c r="J1906" s="1" t="inlineStr">
        <is>
          <t>ОТ № ЮГОК ЗИОФ 25-17</t>
        </is>
      </c>
      <c r="K1906" s="1" t="inlineStr">
        <is>
          <t>Использование (применение) средств индивидуальной защиты</t>
        </is>
      </c>
      <c r="L1906" s="1" t="inlineStr">
        <is>
          <t>28.05.2025</t>
        </is>
      </c>
      <c r="M1906" s="1" t="inlineStr">
        <is>
          <t>Успешно</t>
        </is>
      </c>
      <c r="N1906" s="1" t="inlineStr">
        <is>
          <t>02.06.2025</t>
        </is>
      </c>
      <c r="O1906" s="1" t="inlineStr"/>
      <c r="P1906" s="1" t="inlineStr"/>
      <c r="Q1906" s="1" t="inlineStr"/>
    </row>
    <row r="1907">
      <c r="B1907" s="1" t="inlineStr">
        <is>
          <t>124493942</t>
        </is>
      </c>
      <c r="C1907" s="1" t="inlineStr">
        <is>
          <t>9387075</t>
        </is>
      </c>
      <c r="D1907" t="inlineStr">
        <is>
          <t>работник 555</t>
        </is>
      </c>
      <c r="E1907" s="1" t="inlineStr">
        <is>
          <t>ОБЩЕСТВО С ОГРАНИЧЕННОЙ ОТВЕТСТВЕННОСТЬЮ "АМУР ЗОЛОТО"</t>
        </is>
      </c>
      <c r="F1907" s="1" t="inlineStr">
        <is>
          <t>2708001686</t>
        </is>
      </c>
      <c r="G1907" s="1" t="inlineStr">
        <is>
          <t>Электромонтер по ремонту и обслуживанию электрооборудования</t>
        </is>
      </c>
      <c r="H1907" s="1" t="inlineStr">
        <is>
          <t>ООО "Амур Золото"</t>
        </is>
      </c>
      <c r="I1907" s="1" t="inlineStr">
        <is>
          <t>2708001686</t>
        </is>
      </c>
      <c r="J1907" s="1" t="inlineStr">
        <is>
          <t>ОТ № ЮГОК ЗИОФ 25-17</t>
        </is>
      </c>
      <c r="K190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907" s="1" t="inlineStr">
        <is>
          <t>28.05.2025</t>
        </is>
      </c>
      <c r="M1907" s="1" t="inlineStr">
        <is>
          <t>Успешно</t>
        </is>
      </c>
      <c r="N1907" s="1" t="inlineStr">
        <is>
          <t>02.06.2025</t>
        </is>
      </c>
      <c r="O1907" s="1" t="inlineStr"/>
      <c r="P1907" s="1" t="inlineStr"/>
      <c r="Q1907" s="1" t="inlineStr"/>
    </row>
    <row r="1908">
      <c r="B1908" s="1" t="inlineStr">
        <is>
          <t>124493943</t>
        </is>
      </c>
      <c r="C1908" s="1" t="inlineStr">
        <is>
          <t>9387075</t>
        </is>
      </c>
      <c r="D1908" t="inlineStr">
        <is>
          <t>работник 556</t>
        </is>
      </c>
      <c r="E1908" s="1" t="inlineStr">
        <is>
          <t>ОБЩЕСТВО С ОГРАНИЧЕННОЙ ОТВЕТСТВЕННОСТЬЮ "АМУР ЗОЛОТО"</t>
        </is>
      </c>
      <c r="F1908" s="1" t="inlineStr">
        <is>
          <t>2708001686</t>
        </is>
      </c>
      <c r="G1908" s="1" t="inlineStr">
        <is>
          <t>Электромонтер по ремонту и обслуживанию электрооборудования</t>
        </is>
      </c>
      <c r="H1908" s="1" t="inlineStr">
        <is>
          <t>ООО "Амур Золото"</t>
        </is>
      </c>
      <c r="I1908" s="1" t="inlineStr">
        <is>
          <t>2708001686</t>
        </is>
      </c>
      <c r="J1908" s="1" t="inlineStr">
        <is>
          <t>ОТ № ЮГОК ЗИОФ 25-17</t>
        </is>
      </c>
      <c r="K1908" s="1" t="inlineStr">
        <is>
          <t>Использование (применение) средств индивидуальной защиты</t>
        </is>
      </c>
      <c r="L1908" s="1" t="inlineStr">
        <is>
          <t>28.05.2025</t>
        </is>
      </c>
      <c r="M1908" s="1" t="inlineStr">
        <is>
          <t>Успешно</t>
        </is>
      </c>
      <c r="N1908" s="1" t="inlineStr">
        <is>
          <t>02.06.2025</t>
        </is>
      </c>
      <c r="O1908" s="1" t="inlineStr"/>
      <c r="P1908" s="1" t="inlineStr"/>
      <c r="Q1908" s="1" t="inlineStr"/>
    </row>
    <row r="1909">
      <c r="B1909" s="1" t="inlineStr">
        <is>
          <t>124493944</t>
        </is>
      </c>
      <c r="C1909" s="1" t="inlineStr">
        <is>
          <t>9387075</t>
        </is>
      </c>
      <c r="D1909" t="inlineStr">
        <is>
          <t>работник 556</t>
        </is>
      </c>
      <c r="E1909" s="1" t="inlineStr">
        <is>
          <t>ОБЩЕСТВО С ОГРАНИЧЕННОЙ ОТВЕТСТВЕННОСТЬЮ "АМУР ЗОЛОТО"</t>
        </is>
      </c>
      <c r="F1909" s="1" t="inlineStr">
        <is>
          <t>2708001686</t>
        </is>
      </c>
      <c r="G1909" s="1" t="inlineStr">
        <is>
          <t>Электромонтер по ремонту и обслуживанию электрооборудования</t>
        </is>
      </c>
      <c r="H1909" s="1" t="inlineStr">
        <is>
          <t>ООО "Амур Золото"</t>
        </is>
      </c>
      <c r="I1909" s="1" t="inlineStr">
        <is>
          <t>2708001686</t>
        </is>
      </c>
      <c r="J1909" s="1" t="inlineStr">
        <is>
          <t>ОТ № ЮГОК ЗИОФ 25-17</t>
        </is>
      </c>
      <c r="K190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909" s="1" t="inlineStr">
        <is>
          <t>28.05.2025</t>
        </is>
      </c>
      <c r="M1909" s="1" t="inlineStr">
        <is>
          <t>Успешно</t>
        </is>
      </c>
      <c r="N1909" s="1" t="inlineStr">
        <is>
          <t>02.06.2025</t>
        </is>
      </c>
      <c r="O1909" s="1" t="inlineStr"/>
      <c r="P1909" s="1" t="inlineStr"/>
      <c r="Q1909" s="1" t="inlineStr"/>
    </row>
    <row r="1910">
      <c r="B1910" s="1" t="inlineStr">
        <is>
          <t>124493945</t>
        </is>
      </c>
      <c r="C1910" s="1" t="inlineStr">
        <is>
          <t>9387075</t>
        </is>
      </c>
      <c r="D1910" t="inlineStr">
        <is>
          <t>работник 557</t>
        </is>
      </c>
      <c r="E1910" s="1" t="inlineStr">
        <is>
          <t>ОБЩЕСТВО С ОГРАНИЧЕННОЙ ОТВЕТСТВЕННОСТЬЮ "АМУР ЗОЛОТО"</t>
        </is>
      </c>
      <c r="F1910" s="1" t="inlineStr">
        <is>
          <t>2708001686</t>
        </is>
      </c>
      <c r="G1910" s="1" t="inlineStr">
        <is>
          <t>Аппаратчик-гидрометаллург</t>
        </is>
      </c>
      <c r="H1910" s="1" t="inlineStr">
        <is>
          <t>ООО "Амур Золото"</t>
        </is>
      </c>
      <c r="I1910" s="1" t="inlineStr">
        <is>
          <t>2708001686</t>
        </is>
      </c>
      <c r="J1910" s="1" t="inlineStr">
        <is>
          <t>ОТ № ЮГОК ЗИОФ 25-17</t>
        </is>
      </c>
      <c r="K1910" s="1" t="inlineStr">
        <is>
          <t>Использование (применение) средств индивидуальной защиты</t>
        </is>
      </c>
      <c r="L1910" s="1" t="inlineStr">
        <is>
          <t>28.05.2025</t>
        </is>
      </c>
      <c r="M1910" s="1" t="inlineStr">
        <is>
          <t>Успешно</t>
        </is>
      </c>
      <c r="N1910" s="1" t="inlineStr">
        <is>
          <t>02.06.2025</t>
        </is>
      </c>
      <c r="O1910" s="1" t="inlineStr"/>
      <c r="P1910" s="1" t="inlineStr"/>
      <c r="Q1910" s="1" t="inlineStr"/>
    </row>
    <row r="1911">
      <c r="B1911" s="1" t="inlineStr">
        <is>
          <t>124493946</t>
        </is>
      </c>
      <c r="C1911" s="1" t="inlineStr">
        <is>
          <t>9387075</t>
        </is>
      </c>
      <c r="D1911" t="inlineStr">
        <is>
          <t>работник 557</t>
        </is>
      </c>
      <c r="E1911" s="1" t="inlineStr">
        <is>
          <t>ОБЩЕСТВО С ОГРАНИЧЕННОЙ ОТВЕТСТВЕННОСТЬЮ "АМУР ЗОЛОТО"</t>
        </is>
      </c>
      <c r="F1911" s="1" t="inlineStr">
        <is>
          <t>2708001686</t>
        </is>
      </c>
      <c r="G1911" s="1" t="inlineStr">
        <is>
          <t>Аппаратчик-гидрометаллург</t>
        </is>
      </c>
      <c r="H1911" s="1" t="inlineStr">
        <is>
          <t>ООО "Амур Золото"</t>
        </is>
      </c>
      <c r="I1911" s="1" t="inlineStr">
        <is>
          <t>2708001686</t>
        </is>
      </c>
      <c r="J1911" s="1" t="inlineStr">
        <is>
          <t>ОТ № ЮГОК ЗИОФ 25-17</t>
        </is>
      </c>
      <c r="K191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911" s="1" t="inlineStr">
        <is>
          <t>28.05.2025</t>
        </is>
      </c>
      <c r="M1911" s="1" t="inlineStr">
        <is>
          <t>Успешно</t>
        </is>
      </c>
      <c r="N1911" s="1" t="inlineStr">
        <is>
          <t>02.06.2025</t>
        </is>
      </c>
      <c r="O1911" s="1" t="inlineStr"/>
      <c r="P1911" s="1" t="inlineStr"/>
      <c r="Q1911" s="1" t="inlineStr"/>
    </row>
    <row r="1912">
      <c r="B1912" s="1" t="inlineStr">
        <is>
          <t>124493947</t>
        </is>
      </c>
      <c r="C1912" s="1" t="inlineStr">
        <is>
          <t>9387075</t>
        </is>
      </c>
      <c r="D1912" t="inlineStr">
        <is>
          <t>работник 558</t>
        </is>
      </c>
      <c r="E1912" s="1" t="inlineStr">
        <is>
          <t>ОБЩЕСТВО С ОГРАНИЧЕННОЙ ОТВЕТСТВЕННОСТЬЮ "АМУР ЗОЛОТО"</t>
        </is>
      </c>
      <c r="F1912" s="1" t="inlineStr">
        <is>
          <t>2708001686</t>
        </is>
      </c>
      <c r="G1912" s="1" t="inlineStr">
        <is>
          <t>Растворщик реагентов</t>
        </is>
      </c>
      <c r="H1912" s="1" t="inlineStr">
        <is>
          <t>ООО "Амур Золото"</t>
        </is>
      </c>
      <c r="I1912" s="1" t="inlineStr">
        <is>
          <t>2708001686</t>
        </is>
      </c>
      <c r="J1912" s="1" t="inlineStr">
        <is>
          <t>ОТ № ЮГОК ЗИОФ 25-17</t>
        </is>
      </c>
      <c r="K1912" s="1" t="inlineStr">
        <is>
          <t>Использование (применение) средств индивидуальной защиты</t>
        </is>
      </c>
      <c r="L1912" s="1" t="inlineStr">
        <is>
          <t>28.05.2025</t>
        </is>
      </c>
      <c r="M1912" s="1" t="inlineStr">
        <is>
          <t>Успешно</t>
        </is>
      </c>
      <c r="N1912" s="1" t="inlineStr">
        <is>
          <t>02.06.2025</t>
        </is>
      </c>
      <c r="O1912" s="1" t="inlineStr"/>
      <c r="P1912" s="1" t="inlineStr"/>
      <c r="Q1912" s="1" t="inlineStr"/>
    </row>
    <row r="1913">
      <c r="B1913" s="1" t="inlineStr">
        <is>
          <t>124493948</t>
        </is>
      </c>
      <c r="C1913" s="1" t="inlineStr">
        <is>
          <t>9387075</t>
        </is>
      </c>
      <c r="D1913" t="inlineStr">
        <is>
          <t>работник 558</t>
        </is>
      </c>
      <c r="E1913" s="1" t="inlineStr">
        <is>
          <t>ОБЩЕСТВО С ОГРАНИЧЕННОЙ ОТВЕТСТВЕННОСТЬЮ "АМУР ЗОЛОТО"</t>
        </is>
      </c>
      <c r="F1913" s="1" t="inlineStr">
        <is>
          <t>2708001686</t>
        </is>
      </c>
      <c r="G1913" s="1" t="inlineStr">
        <is>
          <t>Растворщик реагентов</t>
        </is>
      </c>
      <c r="H1913" s="1" t="inlineStr">
        <is>
          <t>ООО "Амур Золото"</t>
        </is>
      </c>
      <c r="I1913" s="1" t="inlineStr">
        <is>
          <t>2708001686</t>
        </is>
      </c>
      <c r="J1913" s="1" t="inlineStr">
        <is>
          <t>ОТ № ЮГОК ЗИОФ 25-17</t>
        </is>
      </c>
      <c r="K191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913" s="1" t="inlineStr">
        <is>
          <t>28.05.2025</t>
        </is>
      </c>
      <c r="M1913" s="1" t="inlineStr">
        <is>
          <t>Успешно</t>
        </is>
      </c>
      <c r="N1913" s="1" t="inlineStr">
        <is>
          <t>02.06.2025</t>
        </is>
      </c>
      <c r="O1913" s="1" t="inlineStr"/>
      <c r="P1913" s="1" t="inlineStr"/>
      <c r="Q1913" s="1" t="inlineStr"/>
    </row>
    <row r="1914">
      <c r="B1914" s="1" t="inlineStr">
        <is>
          <t>124493949</t>
        </is>
      </c>
      <c r="C1914" s="1" t="inlineStr">
        <is>
          <t>9387075</t>
        </is>
      </c>
      <c r="D1914" t="inlineStr">
        <is>
          <t>работник 559</t>
        </is>
      </c>
      <c r="E1914" s="1" t="inlineStr">
        <is>
          <t>ОБЩЕСТВО С ОГРАНИЧЕННОЙ ОТВЕТСТВЕННОСТЬЮ "АМУР ЗОЛОТО"</t>
        </is>
      </c>
      <c r="F1914" s="1" t="inlineStr">
        <is>
          <t>2708001686</t>
        </is>
      </c>
      <c r="G1914" s="1" t="inlineStr">
        <is>
          <t>Весовщик</t>
        </is>
      </c>
      <c r="H1914" s="1" t="inlineStr">
        <is>
          <t>ООО "Амур Золото"</t>
        </is>
      </c>
      <c r="I1914" s="1" t="inlineStr">
        <is>
          <t>2708001686</t>
        </is>
      </c>
      <c r="J1914" s="1" t="inlineStr">
        <is>
          <t>ОТ № ЮГОК ОТК 25-05</t>
        </is>
      </c>
      <c r="K1914" s="1" t="inlineStr">
        <is>
          <t>Использование (применение) средств индивидуальной защиты</t>
        </is>
      </c>
      <c r="L1914" s="1" t="inlineStr">
        <is>
          <t>26.05.2025</t>
        </is>
      </c>
      <c r="M1914" s="1" t="inlineStr">
        <is>
          <t>Успешно</t>
        </is>
      </c>
      <c r="N1914" s="1" t="inlineStr">
        <is>
          <t>02.06.2025</t>
        </is>
      </c>
      <c r="O1914" s="1" t="inlineStr"/>
      <c r="P1914" s="1" t="inlineStr"/>
      <c r="Q1914" s="1" t="inlineStr"/>
    </row>
    <row r="1915">
      <c r="B1915" s="1" t="inlineStr">
        <is>
          <t>124493950</t>
        </is>
      </c>
      <c r="C1915" s="1" t="inlineStr">
        <is>
          <t>9387075</t>
        </is>
      </c>
      <c r="D1915" t="inlineStr">
        <is>
          <t>работник 559</t>
        </is>
      </c>
      <c r="E1915" s="1" t="inlineStr">
        <is>
          <t>ОБЩЕСТВО С ОГРАНИЧЕННОЙ ОТВЕТСТВЕННОСТЬЮ "АМУР ЗОЛОТО"</t>
        </is>
      </c>
      <c r="F1915" s="1" t="inlineStr">
        <is>
          <t>2708001686</t>
        </is>
      </c>
      <c r="G1915" s="1" t="inlineStr">
        <is>
          <t>Весовщик</t>
        </is>
      </c>
      <c r="H1915" s="1" t="inlineStr">
        <is>
          <t>ООО "Амур Золото"</t>
        </is>
      </c>
      <c r="I1915" s="1" t="inlineStr">
        <is>
          <t>2708001686</t>
        </is>
      </c>
      <c r="J1915" s="1" t="inlineStr">
        <is>
          <t>ОТ № ЮГОК ОТК 25-05</t>
        </is>
      </c>
      <c r="K191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915" s="1" t="inlineStr">
        <is>
          <t>26.05.2025</t>
        </is>
      </c>
      <c r="M1915" s="1" t="inlineStr">
        <is>
          <t>Успешно</t>
        </is>
      </c>
      <c r="N1915" s="1" t="inlineStr">
        <is>
          <t>02.06.2025</t>
        </is>
      </c>
      <c r="O1915" s="1" t="inlineStr"/>
      <c r="P1915" s="1" t="inlineStr"/>
      <c r="Q1915" s="1" t="inlineStr"/>
    </row>
    <row r="1916">
      <c r="B1916" s="1" t="inlineStr">
        <is>
          <t>124493951</t>
        </is>
      </c>
      <c r="C1916" s="1" t="inlineStr">
        <is>
          <t>9387075</t>
        </is>
      </c>
      <c r="D1916" t="inlineStr">
        <is>
          <t>работник 560</t>
        </is>
      </c>
      <c r="E1916" s="1" t="inlineStr">
        <is>
          <t>ОБЩЕСТВО С ОГРАНИЧЕННОЙ ОТВЕТСТВЕННОСТЬЮ "АМУР ЗОЛОТО"</t>
        </is>
      </c>
      <c r="F1916" s="1" t="inlineStr">
        <is>
          <t>2708001686</t>
        </is>
      </c>
      <c r="G1916" s="1" t="inlineStr">
        <is>
          <t>Электрослесарь (слесарь) дежурный и по ремонту оборудования подземного горного участка</t>
        </is>
      </c>
      <c r="H1916" s="1" t="inlineStr">
        <is>
          <t>ООО "Амур Золото"</t>
        </is>
      </c>
      <c r="I1916" s="1" t="inlineStr">
        <is>
          <t>2708001686</t>
        </is>
      </c>
      <c r="J1916" s="1" t="inlineStr">
        <is>
          <t>ОТ № ЮГОК ПГУ 16-25</t>
        </is>
      </c>
      <c r="K1916" s="1" t="inlineStr">
        <is>
          <t>Использование (применение) средств индивидуальной защиты</t>
        </is>
      </c>
      <c r="L1916" s="1" t="inlineStr">
        <is>
          <t>21.05.2025</t>
        </is>
      </c>
      <c r="M1916" s="1" t="inlineStr">
        <is>
          <t>Успешно</t>
        </is>
      </c>
      <c r="N1916" s="1" t="inlineStr">
        <is>
          <t>02.06.2025</t>
        </is>
      </c>
      <c r="O1916" s="1" t="inlineStr"/>
      <c r="P1916" s="1" t="inlineStr"/>
      <c r="Q1916" s="1" t="inlineStr"/>
    </row>
    <row r="1917">
      <c r="B1917" s="1" t="inlineStr">
        <is>
          <t>124493952</t>
        </is>
      </c>
      <c r="C1917" s="1" t="inlineStr">
        <is>
          <t>9387075</t>
        </is>
      </c>
      <c r="D1917" t="inlineStr">
        <is>
          <t>работник 560</t>
        </is>
      </c>
      <c r="E1917" s="1" t="inlineStr">
        <is>
          <t>ОБЩЕСТВО С ОГРАНИЧЕННОЙ ОТВЕТСТВЕННОСТЬЮ "АМУР ЗОЛОТО"</t>
        </is>
      </c>
      <c r="F1917" s="1" t="inlineStr">
        <is>
          <t>2708001686</t>
        </is>
      </c>
      <c r="G1917" s="1" t="inlineStr">
        <is>
          <t>Электрослесарь (слесарь) дежурный и по ремонту оборудования подземного горного участка</t>
        </is>
      </c>
      <c r="H1917" s="1" t="inlineStr">
        <is>
          <t>ООО "Амур Золото"</t>
        </is>
      </c>
      <c r="I1917" s="1" t="inlineStr">
        <is>
          <t>2708001686</t>
        </is>
      </c>
      <c r="J1917" s="1" t="inlineStr">
        <is>
          <t>ОТ № ЮГОК ПГУ 16-25</t>
        </is>
      </c>
      <c r="K191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917" s="1" t="inlineStr">
        <is>
          <t>21.05.2025</t>
        </is>
      </c>
      <c r="M1917" s="1" t="inlineStr">
        <is>
          <t>Успешно</t>
        </is>
      </c>
      <c r="N1917" s="1" t="inlineStr">
        <is>
          <t>02.06.2025</t>
        </is>
      </c>
      <c r="O1917" s="1" t="inlineStr"/>
      <c r="P1917" s="1" t="inlineStr"/>
      <c r="Q1917" s="1" t="inlineStr"/>
    </row>
    <row r="1918">
      <c r="B1918" s="1" t="inlineStr">
        <is>
          <t>124493953</t>
        </is>
      </c>
      <c r="C1918" s="1" t="inlineStr">
        <is>
          <t>9387075</t>
        </is>
      </c>
      <c r="D1918" t="inlineStr">
        <is>
          <t>работник 561</t>
        </is>
      </c>
      <c r="E1918" s="1" t="inlineStr">
        <is>
          <t>ОБЩЕСТВО С ОГРАНИЧЕННОЙ ОТВЕТСТВЕННОСТЬЮ "АМУР ЗОЛОТО"</t>
        </is>
      </c>
      <c r="F1918" s="1" t="inlineStr">
        <is>
          <t>2708001686</t>
        </is>
      </c>
      <c r="G1918" s="1" t="inlineStr">
        <is>
          <t>Помощник машиниста самоходной буровой установки (с исполнением обязанностей пробоотборщика) (Очистное)</t>
        </is>
      </c>
      <c r="H1918" s="1" t="inlineStr">
        <is>
          <t>ООО "Амур Золото"</t>
        </is>
      </c>
      <c r="I1918" s="1" t="inlineStr">
        <is>
          <t>2708001686</t>
        </is>
      </c>
      <c r="J1918" s="1" t="inlineStr">
        <is>
          <t>ОТ № ЮГОК ПГУ 17-25</t>
        </is>
      </c>
      <c r="K1918" s="1" t="inlineStr">
        <is>
          <t>Использование (применение) средств индивидуальной защиты</t>
        </is>
      </c>
      <c r="L1918" s="1" t="inlineStr">
        <is>
          <t>26.05.2025</t>
        </is>
      </c>
      <c r="M1918" s="1" t="inlineStr">
        <is>
          <t>Успешно</t>
        </is>
      </c>
      <c r="N1918" s="1" t="inlineStr">
        <is>
          <t>02.06.2025</t>
        </is>
      </c>
      <c r="O1918" s="1" t="inlineStr"/>
      <c r="P1918" s="1" t="inlineStr"/>
      <c r="Q1918" s="1" t="inlineStr"/>
    </row>
    <row r="1919">
      <c r="B1919" s="1" t="inlineStr">
        <is>
          <t>124493954</t>
        </is>
      </c>
      <c r="C1919" s="1" t="inlineStr">
        <is>
          <t>9387075</t>
        </is>
      </c>
      <c r="D1919" t="inlineStr">
        <is>
          <t>работник 561</t>
        </is>
      </c>
      <c r="E1919" s="1" t="inlineStr">
        <is>
          <t>ОБЩЕСТВО С ОГРАНИЧЕННОЙ ОТВЕТСТВЕННОСТЬЮ "АМУР ЗОЛОТО"</t>
        </is>
      </c>
      <c r="F1919" s="1" t="inlineStr">
        <is>
          <t>2708001686</t>
        </is>
      </c>
      <c r="G1919" s="1" t="inlineStr">
        <is>
          <t>Помощник машиниста самоходной буровой установки (с исполнением обязанностей пробоотборщика) (Очистное)</t>
        </is>
      </c>
      <c r="H1919" s="1" t="inlineStr">
        <is>
          <t>ООО "Амур Золото"</t>
        </is>
      </c>
      <c r="I1919" s="1" t="inlineStr">
        <is>
          <t>2708001686</t>
        </is>
      </c>
      <c r="J1919" s="1" t="inlineStr">
        <is>
          <t>ОТ № ЮГОК ПГУ 17-25</t>
        </is>
      </c>
      <c r="K191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919" s="1" t="inlineStr">
        <is>
          <t>26.05.2025</t>
        </is>
      </c>
      <c r="M1919" s="1" t="inlineStr">
        <is>
          <t>Успешно</t>
        </is>
      </c>
      <c r="N1919" s="1" t="inlineStr">
        <is>
          <t>02.06.2025</t>
        </is>
      </c>
      <c r="O1919" s="1" t="inlineStr"/>
      <c r="P1919" s="1" t="inlineStr"/>
      <c r="Q1919" s="1" t="inlineStr"/>
    </row>
    <row r="1920">
      <c r="B1920" s="1" t="inlineStr">
        <is>
          <t>124493955</t>
        </is>
      </c>
      <c r="C1920" s="1" t="inlineStr">
        <is>
          <t>9387075</t>
        </is>
      </c>
      <c r="D1920" t="inlineStr">
        <is>
          <t>работник 46</t>
        </is>
      </c>
      <c r="E1920" s="1" t="inlineStr">
        <is>
          <t>ОБЩЕСТВО С ОГРАНИЧЕННОЙ ОТВЕТСТВЕННОСТЬЮ "АМУР ЗОЛОТО"</t>
        </is>
      </c>
      <c r="F1920" s="1" t="inlineStr">
        <is>
          <t>2708001686</t>
        </is>
      </c>
      <c r="G1920" s="1" t="inlineStr">
        <is>
          <t>Механик холодильных установок</t>
        </is>
      </c>
      <c r="H1920" s="1" t="inlineStr">
        <is>
          <t>ООО "Амур Золото"</t>
        </is>
      </c>
      <c r="I1920" s="1" t="inlineStr">
        <is>
          <t>2708001686</t>
        </is>
      </c>
      <c r="J1920" s="1" t="inlineStr">
        <is>
          <t>ОТ № ЮГОК ЭУ 25-01</t>
        </is>
      </c>
      <c r="K1920" s="1" t="inlineStr">
        <is>
          <t>Использование (применение) средств индивидуальной защиты</t>
        </is>
      </c>
      <c r="L1920" s="1" t="inlineStr">
        <is>
          <t>30.05.2025</t>
        </is>
      </c>
      <c r="M1920" s="1" t="inlineStr">
        <is>
          <t>Успешно</t>
        </is>
      </c>
      <c r="N1920" s="1" t="inlineStr">
        <is>
          <t>02.06.2025</t>
        </is>
      </c>
      <c r="O1920" s="1" t="inlineStr"/>
      <c r="P1920" s="1" t="inlineStr"/>
      <c r="Q1920" s="1" t="inlineStr"/>
    </row>
    <row r="1921">
      <c r="B1921" s="1" t="inlineStr">
        <is>
          <t>124493956</t>
        </is>
      </c>
      <c r="C1921" s="1" t="inlineStr">
        <is>
          <t>9387075</t>
        </is>
      </c>
      <c r="D1921" t="inlineStr">
        <is>
          <t>работник 46</t>
        </is>
      </c>
      <c r="E1921" s="1" t="inlineStr">
        <is>
          <t>ОБЩЕСТВО С ОГРАНИЧЕННОЙ ОТВЕТСТВЕННОСТЬЮ "АМУР ЗОЛОТО"</t>
        </is>
      </c>
      <c r="F1921" s="1" t="inlineStr">
        <is>
          <t>2708001686</t>
        </is>
      </c>
      <c r="G1921" s="1" t="inlineStr">
        <is>
          <t>Механик холодильных установок</t>
        </is>
      </c>
      <c r="H1921" s="1" t="inlineStr">
        <is>
          <t>ООО "Амур Золото"</t>
        </is>
      </c>
      <c r="I1921" s="1" t="inlineStr">
        <is>
          <t>2708001686</t>
        </is>
      </c>
      <c r="J1921" s="1" t="inlineStr">
        <is>
          <t>ОТ № ЮГОК ЭУ 25-01</t>
        </is>
      </c>
      <c r="K192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921" s="1" t="inlineStr">
        <is>
          <t>30.05.2025</t>
        </is>
      </c>
      <c r="M1921" s="1" t="inlineStr">
        <is>
          <t>Успешно</t>
        </is>
      </c>
      <c r="N1921" s="1" t="inlineStr">
        <is>
          <t>02.06.2025</t>
        </is>
      </c>
      <c r="O1921" s="1" t="inlineStr"/>
      <c r="P1921" s="1" t="inlineStr"/>
      <c r="Q1921" s="1" t="inlineStr"/>
    </row>
    <row r="1922">
      <c r="B1922" s="1" t="inlineStr">
        <is>
          <t>126971087</t>
        </is>
      </c>
      <c r="C1922" s="1" t="inlineStr">
        <is>
          <t>9556872</t>
        </is>
      </c>
      <c r="D1922" t="inlineStr">
        <is>
          <t>работник 220</t>
        </is>
      </c>
      <c r="E1922" s="1" t="inlineStr">
        <is>
          <t>ОБЩЕСТВО С ОГРАНИЧЕННОЙ ОТВЕТСТВЕННОСТЬЮ "АМУР ЗОЛОТО"</t>
        </is>
      </c>
      <c r="F1922" s="1" t="inlineStr">
        <is>
          <t>2708001686</t>
        </is>
      </c>
      <c r="G1922" s="1" t="inlineStr">
        <is>
          <t>Водитель автомобиля (занятый на транспортировании горной массы в технологическом процессе)</t>
        </is>
      </c>
      <c r="H1922" s="1" t="inlineStr">
        <is>
          <t>ООО "Амур Золото"</t>
        </is>
      </c>
      <c r="I1922" s="1" t="inlineStr">
        <is>
          <t>2708001686</t>
        </is>
      </c>
      <c r="J1922" s="1" t="inlineStr">
        <is>
          <t>ОТ № ЮГОК АТЦ 24-16</t>
        </is>
      </c>
      <c r="K1922" s="1" t="inlineStr">
        <is>
          <t>Использование (применение) средств индивидуальной защиты</t>
        </is>
      </c>
      <c r="L1922" s="1" t="inlineStr">
        <is>
          <t>25.11.2024</t>
        </is>
      </c>
      <c r="M1922" s="1" t="inlineStr">
        <is>
          <t>Успешно</t>
        </is>
      </c>
      <c r="N1922" s="1" t="inlineStr">
        <is>
          <t>17.06.2025</t>
        </is>
      </c>
      <c r="O1922" s="1" t="inlineStr"/>
      <c r="P1922" s="1" t="inlineStr"/>
      <c r="Q1922" s="1" t="inlineStr"/>
    </row>
    <row r="1923">
      <c r="B1923" s="1" t="inlineStr">
        <is>
          <t>126971088</t>
        </is>
      </c>
      <c r="C1923" s="1" t="inlineStr">
        <is>
          <t>9556872</t>
        </is>
      </c>
      <c r="D1923" t="inlineStr">
        <is>
          <t>работник 220</t>
        </is>
      </c>
      <c r="E1923" s="1" t="inlineStr">
        <is>
          <t>ОБЩЕСТВО С ОГРАНИЧЕННОЙ ОТВЕТСТВЕННОСТЬЮ "АМУР ЗОЛОТО"</t>
        </is>
      </c>
      <c r="F1923" s="1" t="inlineStr">
        <is>
          <t>2708001686</t>
        </is>
      </c>
      <c r="G1923" s="1" t="inlineStr">
        <is>
          <t>Водитель автомобиля (занятый на транспортировании горной массы в технологическом процессе)</t>
        </is>
      </c>
      <c r="H1923" s="1" t="inlineStr">
        <is>
          <t>ООО "Амур Золото"</t>
        </is>
      </c>
      <c r="I1923" s="1" t="inlineStr">
        <is>
          <t>2708001686</t>
        </is>
      </c>
      <c r="J1923" s="1" t="inlineStr">
        <is>
          <t>ОТ № ЮГОК АТЦ 24-16</t>
        </is>
      </c>
      <c r="K192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923" s="1" t="inlineStr">
        <is>
          <t>25.11.2024</t>
        </is>
      </c>
      <c r="M1923" s="1" t="inlineStr">
        <is>
          <t>Успешно</t>
        </is>
      </c>
      <c r="N1923" s="1" t="inlineStr">
        <is>
          <t>17.06.2025</t>
        </is>
      </c>
      <c r="O1923" s="1" t="inlineStr"/>
      <c r="P1923" s="1" t="inlineStr"/>
      <c r="Q1923" s="1" t="inlineStr"/>
    </row>
    <row r="1924">
      <c r="B1924" s="1" t="inlineStr">
        <is>
          <t>126971089</t>
        </is>
      </c>
      <c r="C1924" s="1" t="inlineStr">
        <is>
          <t>9556872</t>
        </is>
      </c>
      <c r="D1924" t="inlineStr">
        <is>
          <t>работник 220</t>
        </is>
      </c>
      <c r="E1924" s="1" t="inlineStr">
        <is>
          <t>ОБЩЕСТВО С ОГРАНИЧЕННОЙ ОТВЕТСТВЕННОСТЬЮ "АМУР ЗОЛОТО"</t>
        </is>
      </c>
      <c r="F1924" s="1" t="inlineStr">
        <is>
          <t>2708001686</t>
        </is>
      </c>
      <c r="G1924" s="1" t="inlineStr">
        <is>
          <t>Водитель автомобиля (занятый на транспортировании горной массы в технологическом процессе)</t>
        </is>
      </c>
      <c r="H1924" s="1" t="inlineStr">
        <is>
          <t>ООО "Амур Золото"</t>
        </is>
      </c>
      <c r="I1924" s="1" t="inlineStr">
        <is>
          <t>2708001686</t>
        </is>
      </c>
      <c r="J1924" s="1" t="inlineStr">
        <is>
          <t>ОТ № ЮГОК АТЦ 24-16</t>
        </is>
      </c>
      <c r="K1924" s="1" t="inlineStr">
        <is>
          <t>Оказание первой помощи пострадавшим</t>
        </is>
      </c>
      <c r="L1924" s="1" t="inlineStr">
        <is>
          <t>25.11.2024</t>
        </is>
      </c>
      <c r="M1924" s="1" t="inlineStr">
        <is>
          <t>Успешно</t>
        </is>
      </c>
      <c r="N1924" s="1" t="inlineStr">
        <is>
          <t>17.06.2025</t>
        </is>
      </c>
      <c r="O1924" s="1" t="inlineStr"/>
      <c r="P1924" s="1" t="inlineStr"/>
      <c r="Q1924" s="1" t="inlineStr"/>
    </row>
    <row r="1925">
      <c r="B1925" s="1" t="inlineStr">
        <is>
          <t>126971090</t>
        </is>
      </c>
      <c r="C1925" s="1" t="inlineStr">
        <is>
          <t>9556872</t>
        </is>
      </c>
      <c r="D1925" t="inlineStr">
        <is>
          <t>работник 562</t>
        </is>
      </c>
      <c r="E1925" s="1" t="inlineStr">
        <is>
          <t>ОБЩЕСТВО С ОГРАНИЧЕННОЙ ОТВЕТСТВЕННОСТЬЮ "АМУР ЗОЛОТО"</t>
        </is>
      </c>
      <c r="F1925" s="1" t="inlineStr">
        <is>
          <t>2708001686</t>
        </is>
      </c>
      <c r="G1925" s="1" t="inlineStr">
        <is>
          <t>Машинист погрузочно-доставочной машины</t>
        </is>
      </c>
      <c r="H1925" s="1" t="inlineStr">
        <is>
          <t>ООО "Амур Золото"</t>
        </is>
      </c>
      <c r="I1925" s="1" t="inlineStr">
        <is>
          <t>2708001686</t>
        </is>
      </c>
      <c r="J1925" s="1" t="inlineStr">
        <is>
          <t>ОТ № ЮГОК ПГУ 24-24</t>
        </is>
      </c>
      <c r="K1925" s="1" t="inlineStr">
        <is>
          <t>Использование (применение) средств индивидуальной защиты</t>
        </is>
      </c>
      <c r="L1925" s="1" t="inlineStr">
        <is>
          <t>15.11.2024</t>
        </is>
      </c>
      <c r="M1925" s="1" t="inlineStr">
        <is>
          <t>Успешно</t>
        </is>
      </c>
      <c r="N1925" s="1" t="inlineStr">
        <is>
          <t>17.06.2025</t>
        </is>
      </c>
      <c r="O1925" s="1" t="inlineStr"/>
      <c r="P1925" s="1" t="inlineStr"/>
      <c r="Q1925" s="1" t="inlineStr"/>
    </row>
    <row r="1926">
      <c r="B1926" s="1" t="inlineStr">
        <is>
          <t>126971091</t>
        </is>
      </c>
      <c r="C1926" s="1" t="inlineStr">
        <is>
          <t>9556872</t>
        </is>
      </c>
      <c r="D1926" t="inlineStr">
        <is>
          <t>работник 562</t>
        </is>
      </c>
      <c r="E1926" s="1" t="inlineStr">
        <is>
          <t>ОБЩЕСТВО С ОГРАНИЧЕННОЙ ОТВЕТСТВЕННОСТЬЮ "АМУР ЗОЛОТО"</t>
        </is>
      </c>
      <c r="F1926" s="1" t="inlineStr">
        <is>
          <t>2708001686</t>
        </is>
      </c>
      <c r="G1926" s="1" t="inlineStr">
        <is>
          <t>Машинист погрузочно-доставочной машины</t>
        </is>
      </c>
      <c r="H1926" s="1" t="inlineStr">
        <is>
          <t>ООО "Амур Золото"</t>
        </is>
      </c>
      <c r="I1926" s="1" t="inlineStr">
        <is>
          <t>2708001686</t>
        </is>
      </c>
      <c r="J1926" s="1" t="inlineStr">
        <is>
          <t>ОТ № ЮГОК ПГУ 24-24</t>
        </is>
      </c>
      <c r="K192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926" s="1" t="inlineStr">
        <is>
          <t>15.11.2024</t>
        </is>
      </c>
      <c r="M1926" s="1" t="inlineStr">
        <is>
          <t>Успешно</t>
        </is>
      </c>
      <c r="N1926" s="1" t="inlineStr">
        <is>
          <t>17.06.2025</t>
        </is>
      </c>
      <c r="O1926" s="1" t="inlineStr"/>
      <c r="P1926" s="1" t="inlineStr"/>
      <c r="Q1926" s="1" t="inlineStr"/>
    </row>
    <row r="1927">
      <c r="B1927" s="1" t="inlineStr">
        <is>
          <t>126971092</t>
        </is>
      </c>
      <c r="C1927" s="1" t="inlineStr">
        <is>
          <t>9556872</t>
        </is>
      </c>
      <c r="D1927" t="inlineStr">
        <is>
          <t>работник 513</t>
        </is>
      </c>
      <c r="E1927" s="1" t="inlineStr">
        <is>
          <t>ОБЩЕСТВО С ОГРАНИЧЕННОЙ ОТВЕТСТВЕННОСТЬЮ "АМУР ЗОЛОТО"</t>
        </is>
      </c>
      <c r="F1927" s="1" t="inlineStr">
        <is>
          <t>2708001686</t>
        </is>
      </c>
      <c r="G1927" s="1" t="inlineStr">
        <is>
          <t>Оператор дизельных котлов</t>
        </is>
      </c>
      <c r="H1927" s="1" t="inlineStr">
        <is>
          <t>ООО "Амур Золото"</t>
        </is>
      </c>
      <c r="I1927" s="1" t="inlineStr">
        <is>
          <t>2708001686</t>
        </is>
      </c>
      <c r="J1927" s="1" t="inlineStr">
        <is>
          <t>ОТ № ЮГОК ЭУ 24-29</t>
        </is>
      </c>
      <c r="K1927" s="1" t="inlineStr">
        <is>
          <t>Оказание первой помощи пострадавшим</t>
        </is>
      </c>
      <c r="L1927" s="1" t="inlineStr">
        <is>
          <t>21.12.2024</t>
        </is>
      </c>
      <c r="M1927" s="1" t="inlineStr">
        <is>
          <t>Успешно</t>
        </is>
      </c>
      <c r="N1927" s="1" t="inlineStr">
        <is>
          <t>17.06.2025</t>
        </is>
      </c>
      <c r="O1927" s="1" t="inlineStr"/>
      <c r="P1927" s="1" t="inlineStr"/>
      <c r="Q1927" s="1" t="inlineStr"/>
    </row>
    <row r="1928">
      <c r="B1928" s="1" t="inlineStr">
        <is>
          <t>131313226</t>
        </is>
      </c>
      <c r="C1928" s="1" t="inlineStr">
        <is>
          <t>9873379</t>
        </is>
      </c>
      <c r="D1928" t="inlineStr">
        <is>
          <t>работник 563</t>
        </is>
      </c>
      <c r="E1928" s="1" t="inlineStr">
        <is>
          <t>ОБЩЕСТВО С ОГРАНИЧЕННОЙ ОТВЕТСТВЕННОСТЬЮ "АМУР ЗОЛОТО"</t>
        </is>
      </c>
      <c r="F1928" s="1" t="inlineStr">
        <is>
          <t>2708001686</t>
        </is>
      </c>
      <c r="G1928" s="1" t="inlineStr">
        <is>
          <t>Слесарь по ремонту автомобилей  (ДВС)</t>
        </is>
      </c>
      <c r="H1928" s="1" t="inlineStr">
        <is>
          <t>ООО "Амур Золото"</t>
        </is>
      </c>
      <c r="I1928" s="1" t="inlineStr">
        <is>
          <t>2708001686</t>
        </is>
      </c>
      <c r="J1928" s="1" t="inlineStr">
        <is>
          <t>ОТ № ЮГОК АТЦ 25-09</t>
        </is>
      </c>
      <c r="K1928" s="1" t="inlineStr">
        <is>
          <t>Использование (применение) средств индивидуальной защиты</t>
        </is>
      </c>
      <c r="L1928" s="1" t="inlineStr">
        <is>
          <t>26.06.2025</t>
        </is>
      </c>
      <c r="M1928" s="1" t="inlineStr">
        <is>
          <t>Успешно</t>
        </is>
      </c>
      <c r="N1928" s="1" t="inlineStr">
        <is>
          <t>10.07.2025</t>
        </is>
      </c>
      <c r="O1928" s="1" t="inlineStr"/>
      <c r="P1928" s="1" t="inlineStr"/>
      <c r="Q1928" s="1" t="inlineStr"/>
    </row>
    <row r="1929">
      <c r="B1929" s="1" t="inlineStr">
        <is>
          <t>131313227</t>
        </is>
      </c>
      <c r="C1929" s="1" t="inlineStr">
        <is>
          <t>9873379</t>
        </is>
      </c>
      <c r="D1929" t="inlineStr">
        <is>
          <t>работник 563</t>
        </is>
      </c>
      <c r="E1929" s="1" t="inlineStr">
        <is>
          <t>ОБЩЕСТВО С ОГРАНИЧЕННОЙ ОТВЕТСТВЕННОСТЬЮ "АМУР ЗОЛОТО"</t>
        </is>
      </c>
      <c r="F1929" s="1" t="inlineStr">
        <is>
          <t>2708001686</t>
        </is>
      </c>
      <c r="G1929" s="1" t="inlineStr">
        <is>
          <t>Слесарь по ремонту автомобилей  (ДВС)</t>
        </is>
      </c>
      <c r="H1929" s="1" t="inlineStr">
        <is>
          <t>ООО "Амур Золото"</t>
        </is>
      </c>
      <c r="I1929" s="1" t="inlineStr">
        <is>
          <t>2708001686</t>
        </is>
      </c>
      <c r="J1929" s="1" t="inlineStr">
        <is>
          <t>ОТ № ЮГОК АТЦ 25-09</t>
        </is>
      </c>
      <c r="K192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929" s="1" t="inlineStr">
        <is>
          <t>26.06.2025</t>
        </is>
      </c>
      <c r="M1929" s="1" t="inlineStr">
        <is>
          <t>Успешно</t>
        </is>
      </c>
      <c r="N1929" s="1" t="inlineStr">
        <is>
          <t>10.07.2025</t>
        </is>
      </c>
      <c r="O1929" s="1" t="inlineStr"/>
      <c r="P1929" s="1" t="inlineStr"/>
      <c r="Q1929" s="1" t="inlineStr"/>
    </row>
    <row r="1930">
      <c r="B1930" s="1" t="inlineStr">
        <is>
          <t>131313228</t>
        </is>
      </c>
      <c r="C1930" s="1" t="inlineStr">
        <is>
          <t>9873379</t>
        </is>
      </c>
      <c r="D1930" t="inlineStr">
        <is>
          <t>работник 564</t>
        </is>
      </c>
      <c r="E1930" s="1" t="inlineStr">
        <is>
          <t>ОБЩЕСТВО С ОГРАНИЧЕННОЙ ОТВЕТСТВЕННОСТЬЮ "АМУР ЗОЛОТО"</t>
        </is>
      </c>
      <c r="F1930" s="1" t="inlineStr">
        <is>
          <t>2708001686</t>
        </is>
      </c>
      <c r="G1930" s="1" t="inlineStr">
        <is>
          <t>Слесарь ремонтник</t>
        </is>
      </c>
      <c r="H1930" s="1" t="inlineStr">
        <is>
          <t>ООО "Амур Золото"</t>
        </is>
      </c>
      <c r="I1930" s="1" t="inlineStr">
        <is>
          <t>2708001686</t>
        </is>
      </c>
      <c r="J1930" s="1" t="inlineStr">
        <is>
          <t>ОТ № ЮГОК ЗИОФ 25-18</t>
        </is>
      </c>
      <c r="K1930" s="1" t="inlineStr">
        <is>
          <t>Использование (применение) средств индивидуальной защиты</t>
        </is>
      </c>
      <c r="L1930" s="1" t="inlineStr">
        <is>
          <t>06.06.2025</t>
        </is>
      </c>
      <c r="M1930" s="1" t="inlineStr">
        <is>
          <t>Успешно</t>
        </is>
      </c>
      <c r="N1930" s="1" t="inlineStr">
        <is>
          <t>10.07.2025</t>
        </is>
      </c>
      <c r="O1930" s="1" t="inlineStr"/>
      <c r="P1930" s="1" t="inlineStr"/>
      <c r="Q1930" s="1" t="inlineStr"/>
    </row>
    <row r="1931">
      <c r="B1931" s="1" t="inlineStr">
        <is>
          <t>131313229</t>
        </is>
      </c>
      <c r="C1931" s="1" t="inlineStr">
        <is>
          <t>9873379</t>
        </is>
      </c>
      <c r="D1931" t="inlineStr">
        <is>
          <t>работник 564</t>
        </is>
      </c>
      <c r="E1931" s="1" t="inlineStr">
        <is>
          <t>ОБЩЕСТВО С ОГРАНИЧЕННОЙ ОТВЕТСТВЕННОСТЬЮ "АМУР ЗОЛОТО"</t>
        </is>
      </c>
      <c r="F1931" s="1" t="inlineStr">
        <is>
          <t>2708001686</t>
        </is>
      </c>
      <c r="G1931" s="1" t="inlineStr">
        <is>
          <t>Слесарь ремонтник</t>
        </is>
      </c>
      <c r="H1931" s="1" t="inlineStr">
        <is>
          <t>ООО "Амур Золото"</t>
        </is>
      </c>
      <c r="I1931" s="1" t="inlineStr">
        <is>
          <t>2708001686</t>
        </is>
      </c>
      <c r="J1931" s="1" t="inlineStr">
        <is>
          <t>ОТ № ЮГОК ЗИОФ 25-18</t>
        </is>
      </c>
      <c r="K193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931" s="1" t="inlineStr">
        <is>
          <t>06.06.2025</t>
        </is>
      </c>
      <c r="M1931" s="1" t="inlineStr">
        <is>
          <t>Успешно</t>
        </is>
      </c>
      <c r="N1931" s="1" t="inlineStr">
        <is>
          <t>10.07.2025</t>
        </is>
      </c>
      <c r="O1931" s="1" t="inlineStr"/>
      <c r="P1931" s="1" t="inlineStr"/>
      <c r="Q1931" s="1" t="inlineStr"/>
    </row>
    <row r="1932">
      <c r="B1932" s="1" t="inlineStr">
        <is>
          <t>131313230</t>
        </is>
      </c>
      <c r="C1932" s="1" t="inlineStr">
        <is>
          <t>9873379</t>
        </is>
      </c>
      <c r="D1932" t="inlineStr">
        <is>
          <t>работник 565</t>
        </is>
      </c>
      <c r="E1932" s="1" t="inlineStr">
        <is>
          <t>ОБЩЕСТВО С ОГРАНИЧЕННОЙ ОТВЕТСТВЕННОСТЬЮ "АМУР ЗОЛОТО"</t>
        </is>
      </c>
      <c r="F1932" s="1" t="inlineStr">
        <is>
          <t>2708001686</t>
        </is>
      </c>
      <c r="G1932" s="1" t="inlineStr">
        <is>
          <t>Аппаратчик-гидрометаллург</t>
        </is>
      </c>
      <c r="H1932" s="1" t="inlineStr">
        <is>
          <t>ООО "Амур Золото"</t>
        </is>
      </c>
      <c r="I1932" s="1" t="inlineStr">
        <is>
          <t>2708001686</t>
        </is>
      </c>
      <c r="J1932" s="1" t="inlineStr">
        <is>
          <t>ОТ № ЮГОК ЗИОФ 25-19</t>
        </is>
      </c>
      <c r="K1932" s="1" t="inlineStr">
        <is>
          <t>Использование (применение) средств индивидуальной защиты</t>
        </is>
      </c>
      <c r="L1932" s="1" t="inlineStr">
        <is>
          <t>13.06.2025</t>
        </is>
      </c>
      <c r="M1932" s="1" t="inlineStr">
        <is>
          <t>Успешно</t>
        </is>
      </c>
      <c r="N1932" s="1" t="inlineStr">
        <is>
          <t>10.07.2025</t>
        </is>
      </c>
      <c r="O1932" s="1" t="inlineStr"/>
      <c r="P1932" s="1" t="inlineStr"/>
      <c r="Q1932" s="1" t="inlineStr"/>
    </row>
    <row r="1933">
      <c r="B1933" s="1" t="inlineStr">
        <is>
          <t>131313231</t>
        </is>
      </c>
      <c r="C1933" s="1" t="inlineStr">
        <is>
          <t>9873379</t>
        </is>
      </c>
      <c r="D1933" t="inlineStr">
        <is>
          <t>работник 565</t>
        </is>
      </c>
      <c r="E1933" s="1" t="inlineStr">
        <is>
          <t>ОБЩЕСТВО С ОГРАНИЧЕННОЙ ОТВЕТСТВЕННОСТЬЮ "АМУР ЗОЛОТО"</t>
        </is>
      </c>
      <c r="F1933" s="1" t="inlineStr">
        <is>
          <t>2708001686</t>
        </is>
      </c>
      <c r="G1933" s="1" t="inlineStr">
        <is>
          <t>Аппаратчик-гидрометаллург</t>
        </is>
      </c>
      <c r="H1933" s="1" t="inlineStr">
        <is>
          <t>ООО "Амур Золото"</t>
        </is>
      </c>
      <c r="I1933" s="1" t="inlineStr">
        <is>
          <t>2708001686</t>
        </is>
      </c>
      <c r="J1933" s="1" t="inlineStr">
        <is>
          <t>ОТ № ЮГОК ЗИОФ 25-19</t>
        </is>
      </c>
      <c r="K193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933" s="1" t="inlineStr">
        <is>
          <t>13.06.2025</t>
        </is>
      </c>
      <c r="M1933" s="1" t="inlineStr">
        <is>
          <t>Успешно</t>
        </is>
      </c>
      <c r="N1933" s="1" t="inlineStr">
        <is>
          <t>10.07.2025</t>
        </is>
      </c>
      <c r="O1933" s="1" t="inlineStr"/>
      <c r="P1933" s="1" t="inlineStr"/>
      <c r="Q1933" s="1" t="inlineStr"/>
    </row>
    <row r="1934">
      <c r="B1934" s="1" t="inlineStr">
        <is>
          <t>131313232</t>
        </is>
      </c>
      <c r="C1934" s="1" t="inlineStr">
        <is>
          <t>9873379</t>
        </is>
      </c>
      <c r="D1934" t="inlineStr">
        <is>
          <t>работник 329</t>
        </is>
      </c>
      <c r="E1934" s="1" t="inlineStr">
        <is>
          <t>ОБЩЕСТВО С ОГРАНИЧЕННОЙ ОТВЕТСТВЕННОСТЬЮ "АМУР ЗОЛОТО"</t>
        </is>
      </c>
      <c r="F1934" s="1" t="inlineStr">
        <is>
          <t>2708001686</t>
        </is>
      </c>
      <c r="G1934" s="1" t="inlineStr">
        <is>
          <t>Машинист мельниц</t>
        </is>
      </c>
      <c r="H1934" s="1" t="inlineStr">
        <is>
          <t>ООО "Амур Золото"</t>
        </is>
      </c>
      <c r="I1934" s="1" t="inlineStr">
        <is>
          <t>2708001686</t>
        </is>
      </c>
      <c r="J1934" s="1" t="inlineStr">
        <is>
          <t>ОТ № ЮГОК ЗИОФ 25-20</t>
        </is>
      </c>
      <c r="K1934" s="1" t="inlineStr">
        <is>
          <t>Использование (применение) средств индивидуальной защиты</t>
        </is>
      </c>
      <c r="L1934" s="1" t="inlineStr">
        <is>
          <t>21.06.2025</t>
        </is>
      </c>
      <c r="M1934" s="1" t="inlineStr">
        <is>
          <t>Успешно</t>
        </is>
      </c>
      <c r="N1934" s="1" t="inlineStr">
        <is>
          <t>10.07.2025</t>
        </is>
      </c>
      <c r="O1934" s="1" t="inlineStr"/>
      <c r="P1934" s="1" t="inlineStr"/>
      <c r="Q1934" s="1" t="inlineStr"/>
    </row>
    <row r="1935">
      <c r="B1935" s="1" t="inlineStr">
        <is>
          <t>131313233</t>
        </is>
      </c>
      <c r="C1935" s="1" t="inlineStr">
        <is>
          <t>9873379</t>
        </is>
      </c>
      <c r="D1935" t="inlineStr">
        <is>
          <t>работник 329</t>
        </is>
      </c>
      <c r="E1935" s="1" t="inlineStr">
        <is>
          <t>ОБЩЕСТВО С ОГРАНИЧЕННОЙ ОТВЕТСТВЕННОСТЬЮ "АМУР ЗОЛОТО"</t>
        </is>
      </c>
      <c r="F1935" s="1" t="inlineStr">
        <is>
          <t>2708001686</t>
        </is>
      </c>
      <c r="G1935" s="1" t="inlineStr">
        <is>
          <t>Машинист мельниц</t>
        </is>
      </c>
      <c r="H1935" s="1" t="inlineStr">
        <is>
          <t>ООО "Амур Золото"</t>
        </is>
      </c>
      <c r="I1935" s="1" t="inlineStr">
        <is>
          <t>2708001686</t>
        </is>
      </c>
      <c r="J1935" s="1" t="inlineStr">
        <is>
          <t>ОТ № ЮГОК ЗИОФ 25-20</t>
        </is>
      </c>
      <c r="K193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935" s="1" t="inlineStr">
        <is>
          <t>21.06.2025</t>
        </is>
      </c>
      <c r="M1935" s="1" t="inlineStr">
        <is>
          <t>Успешно</t>
        </is>
      </c>
      <c r="N1935" s="1" t="inlineStr">
        <is>
          <t>10.07.2025</t>
        </is>
      </c>
      <c r="O1935" s="1" t="inlineStr"/>
      <c r="P1935" s="1" t="inlineStr"/>
      <c r="Q1935" s="1" t="inlineStr"/>
    </row>
    <row r="1936">
      <c r="B1936" s="1" t="inlineStr">
        <is>
          <t>131313234</t>
        </is>
      </c>
      <c r="C1936" s="1" t="inlineStr">
        <is>
          <t>9873379</t>
        </is>
      </c>
      <c r="D1936" t="inlineStr">
        <is>
          <t>работник 566</t>
        </is>
      </c>
      <c r="E1936" s="1" t="inlineStr">
        <is>
          <t>ОБЩЕСТВО С ОГРАНИЧЕННОЙ ОТВЕТСТВЕННОСТЬЮ "АМУР ЗОЛОТО"</t>
        </is>
      </c>
      <c r="F1936" s="1" t="inlineStr">
        <is>
          <t>2708001686</t>
        </is>
      </c>
      <c r="G1936" s="1" t="inlineStr">
        <is>
          <t>Слесарь-ремонтник (по ремонту обогатительного оборудования)</t>
        </is>
      </c>
      <c r="H1936" s="1" t="inlineStr">
        <is>
          <t>ООО "Амур Золото"</t>
        </is>
      </c>
      <c r="I1936" s="1" t="inlineStr">
        <is>
          <t>2708001686</t>
        </is>
      </c>
      <c r="J1936" s="1" t="inlineStr">
        <is>
          <t>ОТ № ЮГОК ЗИОФ 25-21</t>
        </is>
      </c>
      <c r="K1936" s="1" t="inlineStr">
        <is>
          <t>Использование (применение) средств индивидуальной защиты</t>
        </is>
      </c>
      <c r="L1936" s="1" t="inlineStr">
        <is>
          <t>21.06.2025</t>
        </is>
      </c>
      <c r="M1936" s="1" t="inlineStr">
        <is>
          <t>Успешно</t>
        </is>
      </c>
      <c r="N1936" s="1" t="inlineStr">
        <is>
          <t>10.07.2025</t>
        </is>
      </c>
      <c r="O1936" s="1" t="inlineStr"/>
      <c r="P1936" s="1" t="inlineStr"/>
      <c r="Q1936" s="1" t="inlineStr"/>
    </row>
    <row r="1937">
      <c r="B1937" s="1" t="inlineStr">
        <is>
          <t>131313235</t>
        </is>
      </c>
      <c r="C1937" s="1" t="inlineStr">
        <is>
          <t>9873379</t>
        </is>
      </c>
      <c r="D1937" t="inlineStr">
        <is>
          <t>работник 566</t>
        </is>
      </c>
      <c r="E1937" s="1" t="inlineStr">
        <is>
          <t>ОБЩЕСТВО С ОГРАНИЧЕННОЙ ОТВЕТСТВЕННОСТЬЮ "АМУР ЗОЛОТО"</t>
        </is>
      </c>
      <c r="F1937" s="1" t="inlineStr">
        <is>
          <t>2708001686</t>
        </is>
      </c>
      <c r="G1937" s="1" t="inlineStr">
        <is>
          <t>Слесарь-ремонтник (по ремонту обогатительного оборудования)</t>
        </is>
      </c>
      <c r="H1937" s="1" t="inlineStr">
        <is>
          <t>ООО "Амур Золото"</t>
        </is>
      </c>
      <c r="I1937" s="1" t="inlineStr">
        <is>
          <t>2708001686</t>
        </is>
      </c>
      <c r="J1937" s="1" t="inlineStr">
        <is>
          <t>ОТ № ЮГОК ЗИОФ 25-21</t>
        </is>
      </c>
      <c r="K193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937" s="1" t="inlineStr">
        <is>
          <t>21.06.2025</t>
        </is>
      </c>
      <c r="M1937" s="1" t="inlineStr">
        <is>
          <t>Успешно</t>
        </is>
      </c>
      <c r="N1937" s="1" t="inlineStr">
        <is>
          <t>10.07.2025</t>
        </is>
      </c>
      <c r="O1937" s="1" t="inlineStr"/>
      <c r="P1937" s="1" t="inlineStr"/>
      <c r="Q1937" s="1" t="inlineStr"/>
    </row>
    <row r="1938">
      <c r="B1938" s="1" t="inlineStr">
        <is>
          <t>131313236</t>
        </is>
      </c>
      <c r="C1938" s="1" t="inlineStr">
        <is>
          <t>9873379</t>
        </is>
      </c>
      <c r="D1938" t="inlineStr">
        <is>
          <t>работник 567</t>
        </is>
      </c>
      <c r="E1938" s="1" t="inlineStr">
        <is>
          <t>ОБЩЕСТВО С ОГРАНИЧЕННОЙ ОТВЕТСТВЕННОСТЬЮ "АМУР ЗОЛОТО"</t>
        </is>
      </c>
      <c r="F1938" s="1" t="inlineStr">
        <is>
          <t>2708001686</t>
        </is>
      </c>
      <c r="G1938" s="1" t="inlineStr">
        <is>
          <t>Слесарь-ремонтник (по ремонту обогатительного оборудования)</t>
        </is>
      </c>
      <c r="H1938" s="1" t="inlineStr">
        <is>
          <t>ООО "Амур Золото"</t>
        </is>
      </c>
      <c r="I1938" s="1" t="inlineStr">
        <is>
          <t>2708001686</t>
        </is>
      </c>
      <c r="J1938" s="1" t="inlineStr">
        <is>
          <t>ОТ № ЮГОК ЗИОФ 25-22</t>
        </is>
      </c>
      <c r="K1938" s="1" t="inlineStr">
        <is>
          <t>Использование (применение) средств индивидуальной защиты</t>
        </is>
      </c>
      <c r="L1938" s="1" t="inlineStr">
        <is>
          <t>04.07.2025</t>
        </is>
      </c>
      <c r="M1938" s="1" t="inlineStr">
        <is>
          <t>Успешно</t>
        </is>
      </c>
      <c r="N1938" s="1" t="inlineStr">
        <is>
          <t>10.07.2025</t>
        </is>
      </c>
      <c r="O1938" s="1" t="inlineStr"/>
      <c r="P1938" s="1" t="inlineStr"/>
      <c r="Q1938" s="1" t="inlineStr"/>
    </row>
    <row r="1939">
      <c r="B1939" s="1" t="inlineStr">
        <is>
          <t>131313237</t>
        </is>
      </c>
      <c r="C1939" s="1" t="inlineStr">
        <is>
          <t>9873379</t>
        </is>
      </c>
      <c r="D1939" t="inlineStr">
        <is>
          <t>работник 315</t>
        </is>
      </c>
      <c r="E1939" s="1" t="inlineStr">
        <is>
          <t>ОБЩЕСТВО С ОГРАНИЧЕННОЙ ОТВЕТСТВЕННОСТЬЮ "АМУР ЗОЛОТО"</t>
        </is>
      </c>
      <c r="F1939" s="1" t="inlineStr">
        <is>
          <t>2708001686</t>
        </is>
      </c>
      <c r="G1939" s="1" t="inlineStr">
        <is>
          <t>Помощник машиниста самоходной буровой установки (с исполнением обязанностей пробоотборщика) (Очистное)</t>
        </is>
      </c>
      <c r="H1939" s="1" t="inlineStr">
        <is>
          <t>ООО "Амур Золото"</t>
        </is>
      </c>
      <c r="I1939" s="1" t="inlineStr">
        <is>
          <t>2708001686</t>
        </is>
      </c>
      <c r="J1939" s="1" t="inlineStr">
        <is>
          <t>ОТ № ЮГОК ПГУ 20-25</t>
        </is>
      </c>
      <c r="K1939" s="1" t="inlineStr">
        <is>
          <t>Использование (применение) средств индивидуальной защиты</t>
        </is>
      </c>
      <c r="L1939" s="1" t="inlineStr">
        <is>
          <t>10.06.2025</t>
        </is>
      </c>
      <c r="M1939" s="1" t="inlineStr">
        <is>
          <t>Успешно</t>
        </is>
      </c>
      <c r="N1939" s="1" t="inlineStr">
        <is>
          <t>10.07.2025</t>
        </is>
      </c>
      <c r="O1939" s="1" t="inlineStr"/>
      <c r="P1939" s="1" t="inlineStr"/>
      <c r="Q1939" s="1" t="inlineStr"/>
    </row>
    <row r="1940">
      <c r="B1940" s="1" t="inlineStr">
        <is>
          <t>131313238</t>
        </is>
      </c>
      <c r="C1940" s="1" t="inlineStr">
        <is>
          <t>9873379</t>
        </is>
      </c>
      <c r="D1940" t="inlineStr">
        <is>
          <t>работник 567</t>
        </is>
      </c>
      <c r="E1940" s="1" t="inlineStr">
        <is>
          <t>ОБЩЕСТВО С ОГРАНИЧЕННОЙ ОТВЕТСТВЕННОСТЬЮ "АМУР ЗОЛОТО"</t>
        </is>
      </c>
      <c r="F1940" s="1" t="inlineStr">
        <is>
          <t>2708001686</t>
        </is>
      </c>
      <c r="G1940" s="1" t="inlineStr">
        <is>
          <t>Слесарь-ремонтник (по ремонту обогатительного оборудования)</t>
        </is>
      </c>
      <c r="H1940" s="1" t="inlineStr">
        <is>
          <t>ООО "Амур Золото"</t>
        </is>
      </c>
      <c r="I1940" s="1" t="inlineStr">
        <is>
          <t>2708001686</t>
        </is>
      </c>
      <c r="J1940" s="1" t="inlineStr">
        <is>
          <t>ОТ № ЮГОК ЗИОФ 25-22</t>
        </is>
      </c>
      <c r="K194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940" s="1" t="inlineStr">
        <is>
          <t>04.07.2025</t>
        </is>
      </c>
      <c r="M1940" s="1" t="inlineStr">
        <is>
          <t>Успешно</t>
        </is>
      </c>
      <c r="N1940" s="1" t="inlineStr">
        <is>
          <t>10.07.2025</t>
        </is>
      </c>
      <c r="O1940" s="1" t="inlineStr"/>
      <c r="P1940" s="1" t="inlineStr"/>
      <c r="Q1940" s="1" t="inlineStr"/>
    </row>
    <row r="1941">
      <c r="B1941" s="1" t="inlineStr">
        <is>
          <t>131313239</t>
        </is>
      </c>
      <c r="C1941" s="1" t="inlineStr">
        <is>
          <t>9873379</t>
        </is>
      </c>
      <c r="D1941" t="inlineStr">
        <is>
          <t>работник 568</t>
        </is>
      </c>
      <c r="E1941" s="1" t="inlineStr">
        <is>
          <t>ОБЩЕСТВО С ОГРАНИЧЕННОЙ ОТВЕТСТВЕННОСТЬЮ "АМУР ЗОЛОТО"</t>
        </is>
      </c>
      <c r="F1941" s="1" t="inlineStr">
        <is>
          <t>2708001686</t>
        </is>
      </c>
      <c r="G1941" s="1" t="inlineStr">
        <is>
          <t>Пробоотборщик</t>
        </is>
      </c>
      <c r="H1941" s="1" t="inlineStr">
        <is>
          <t>ООО "Амур Золото"</t>
        </is>
      </c>
      <c r="I1941" s="1" t="inlineStr">
        <is>
          <t>2708001686</t>
        </is>
      </c>
      <c r="J1941" s="1" t="inlineStr">
        <is>
          <t>ОТ № ЮГОК ОТК 25-06</t>
        </is>
      </c>
      <c r="K1941" s="1" t="inlineStr">
        <is>
          <t>Использование (применение) средств индивидуальной защиты</t>
        </is>
      </c>
      <c r="L1941" s="1" t="inlineStr">
        <is>
          <t>11.06.2025</t>
        </is>
      </c>
      <c r="M1941" s="1" t="inlineStr">
        <is>
          <t>Успешно</t>
        </is>
      </c>
      <c r="N1941" s="1" t="inlineStr">
        <is>
          <t>10.07.2025</t>
        </is>
      </c>
      <c r="O1941" s="1" t="inlineStr"/>
      <c r="P1941" s="1" t="inlineStr"/>
      <c r="Q1941" s="1" t="inlineStr"/>
    </row>
    <row r="1942">
      <c r="B1942" s="1" t="inlineStr">
        <is>
          <t>131313240</t>
        </is>
      </c>
      <c r="C1942" s="1" t="inlineStr">
        <is>
          <t>9873379</t>
        </is>
      </c>
      <c r="D1942" t="inlineStr">
        <is>
          <t>работник 568</t>
        </is>
      </c>
      <c r="E1942" s="1" t="inlineStr">
        <is>
          <t>ОБЩЕСТВО С ОГРАНИЧЕННОЙ ОТВЕТСТВЕННОСТЬЮ "АМУР ЗОЛОТО"</t>
        </is>
      </c>
      <c r="F1942" s="1" t="inlineStr">
        <is>
          <t>2708001686</t>
        </is>
      </c>
      <c r="G1942" s="1" t="inlineStr">
        <is>
          <t>Пробоотборщик</t>
        </is>
      </c>
      <c r="H1942" s="1" t="inlineStr">
        <is>
          <t>ООО "Амур Золото"</t>
        </is>
      </c>
      <c r="I1942" s="1" t="inlineStr">
        <is>
          <t>2708001686</t>
        </is>
      </c>
      <c r="J1942" s="1" t="inlineStr">
        <is>
          <t>ОТ № ЮГОК ОТК 25-06</t>
        </is>
      </c>
      <c r="K194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942" s="1" t="inlineStr">
        <is>
          <t>11.06.2025</t>
        </is>
      </c>
      <c r="M1942" s="1" t="inlineStr">
        <is>
          <t>Успешно</t>
        </is>
      </c>
      <c r="N1942" s="1" t="inlineStr">
        <is>
          <t>10.07.2025</t>
        </is>
      </c>
      <c r="O1942" s="1" t="inlineStr"/>
      <c r="P1942" s="1" t="inlineStr"/>
      <c r="Q1942" s="1" t="inlineStr"/>
    </row>
    <row r="1943">
      <c r="B1943" s="1" t="inlineStr">
        <is>
          <t>131313241</t>
        </is>
      </c>
      <c r="C1943" s="1" t="inlineStr">
        <is>
          <t>9873379</t>
        </is>
      </c>
      <c r="D1943" t="inlineStr">
        <is>
          <t>работник 569</t>
        </is>
      </c>
      <c r="E1943" s="1" t="inlineStr">
        <is>
          <t>ОБЩЕСТВО С ОГРАНИЧЕННОЙ ОТВЕТСТВЕННОСТЬЮ "АМУР ЗОЛОТО"</t>
        </is>
      </c>
      <c r="F1943" s="1" t="inlineStr">
        <is>
          <t>2708001686</t>
        </is>
      </c>
      <c r="G1943" s="1" t="inlineStr">
        <is>
          <t>Лаборант пробирного анализа</t>
        </is>
      </c>
      <c r="H1943" s="1" t="inlineStr">
        <is>
          <t>ООО "Амур Золото"</t>
        </is>
      </c>
      <c r="I1943" s="1" t="inlineStr">
        <is>
          <t>2708001686</t>
        </is>
      </c>
      <c r="J1943" s="1" t="inlineStr">
        <is>
          <t>ОТ № ЮГОК ПАЛ 25-04</t>
        </is>
      </c>
      <c r="K1943" s="1" t="inlineStr">
        <is>
          <t>Использование (применение) средств индивидуальной защиты</t>
        </is>
      </c>
      <c r="L1943" s="1" t="inlineStr">
        <is>
          <t>06.06.2025</t>
        </is>
      </c>
      <c r="M1943" s="1" t="inlineStr">
        <is>
          <t>Успешно</t>
        </is>
      </c>
      <c r="N1943" s="1" t="inlineStr">
        <is>
          <t>10.07.2025</t>
        </is>
      </c>
      <c r="O1943" s="1" t="inlineStr"/>
      <c r="P1943" s="1" t="inlineStr"/>
      <c r="Q1943" s="1" t="inlineStr"/>
    </row>
    <row r="1944">
      <c r="B1944" s="1" t="inlineStr">
        <is>
          <t>131313242</t>
        </is>
      </c>
      <c r="C1944" s="1" t="inlineStr">
        <is>
          <t>9873379</t>
        </is>
      </c>
      <c r="D1944" t="inlineStr">
        <is>
          <t>работник 569</t>
        </is>
      </c>
      <c r="E1944" s="1" t="inlineStr">
        <is>
          <t>ОБЩЕСТВО С ОГРАНИЧЕННОЙ ОТВЕТСТВЕННОСТЬЮ "АМУР ЗОЛОТО"</t>
        </is>
      </c>
      <c r="F1944" s="1" t="inlineStr">
        <is>
          <t>2708001686</t>
        </is>
      </c>
      <c r="G1944" s="1" t="inlineStr">
        <is>
          <t>Лаборант пробирного анализа</t>
        </is>
      </c>
      <c r="H1944" s="1" t="inlineStr">
        <is>
          <t>ООО "Амур Золото"</t>
        </is>
      </c>
      <c r="I1944" s="1" t="inlineStr">
        <is>
          <t>2708001686</t>
        </is>
      </c>
      <c r="J1944" s="1" t="inlineStr">
        <is>
          <t>ОТ № ЮГОК ПАЛ 25-04</t>
        </is>
      </c>
      <c r="K194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944" s="1" t="inlineStr">
        <is>
          <t>06.06.2025</t>
        </is>
      </c>
      <c r="M1944" s="1" t="inlineStr">
        <is>
          <t>Успешно</t>
        </is>
      </c>
      <c r="N1944" s="1" t="inlineStr">
        <is>
          <t>10.07.2025</t>
        </is>
      </c>
      <c r="O1944" s="1" t="inlineStr"/>
      <c r="P1944" s="1" t="inlineStr"/>
      <c r="Q1944" s="1" t="inlineStr"/>
    </row>
    <row r="1945">
      <c r="B1945" s="1" t="inlineStr">
        <is>
          <t>131313243</t>
        </is>
      </c>
      <c r="C1945" s="1" t="inlineStr">
        <is>
          <t>9873379</t>
        </is>
      </c>
      <c r="D1945" t="inlineStr">
        <is>
          <t>работник 570</t>
        </is>
      </c>
      <c r="E1945" s="1" t="inlineStr">
        <is>
          <t>ОБЩЕСТВО С ОГРАНИЧЕННОЙ ОТВЕТСТВЕННОСТЬЮ "АМУР ЗОЛОТО"</t>
        </is>
      </c>
      <c r="F1945" s="1" t="inlineStr">
        <is>
          <t>2708001686</t>
        </is>
      </c>
      <c r="G1945" s="1" t="inlineStr">
        <is>
          <t>Электрослесарь (слесарь) дежурный и по ремонту оборудования подземного горного участка</t>
        </is>
      </c>
      <c r="H1945" s="1" t="inlineStr">
        <is>
          <t>ООО "Амур Золото"</t>
        </is>
      </c>
      <c r="I1945" s="1" t="inlineStr">
        <is>
          <t>2708001686</t>
        </is>
      </c>
      <c r="J1945" s="1" t="inlineStr">
        <is>
          <t>ОТ № ЮГОК ПГУ 08-25</t>
        </is>
      </c>
      <c r="K194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945" s="1" t="inlineStr">
        <is>
          <t>29.03.2025</t>
        </is>
      </c>
      <c r="M1945" s="1" t="inlineStr">
        <is>
          <t>Успешно</t>
        </is>
      </c>
      <c r="N1945" s="1" t="inlineStr">
        <is>
          <t>10.07.2025</t>
        </is>
      </c>
      <c r="O1945" s="1" t="inlineStr"/>
      <c r="P1945" s="1" t="inlineStr"/>
      <c r="Q1945" s="1" t="inlineStr"/>
    </row>
    <row r="1946">
      <c r="B1946" s="1" t="inlineStr">
        <is>
          <t>131313244</t>
        </is>
      </c>
      <c r="C1946" s="1" t="inlineStr">
        <is>
          <t>9873379</t>
        </is>
      </c>
      <c r="D1946" t="inlineStr">
        <is>
          <t>работник 560</t>
        </is>
      </c>
      <c r="E1946" s="1" t="inlineStr">
        <is>
          <t>ОБЩЕСТВО С ОГРАНИЧЕННОЙ ОТВЕТСТВЕННОСТЬЮ "АМУР ЗОЛОТО"</t>
        </is>
      </c>
      <c r="F1946" s="1" t="inlineStr">
        <is>
          <t>2708001686</t>
        </is>
      </c>
      <c r="G1946" s="1" t="inlineStr">
        <is>
          <t>Электрослесарь (слесарь) дежурный и по ремонту оборудования подземного горного участка</t>
        </is>
      </c>
      <c r="H1946" s="1" t="inlineStr">
        <is>
          <t>ООО "Амур Золото"</t>
        </is>
      </c>
      <c r="I1946" s="1" t="inlineStr">
        <is>
          <t>2708001686</t>
        </is>
      </c>
      <c r="J1946" s="1" t="inlineStr">
        <is>
          <t>ОТ № ЮГОК ПГУ 18-25</t>
        </is>
      </c>
      <c r="K1946" s="1" t="inlineStr">
        <is>
          <t>Использование (применение) средств индивидуальной защиты</t>
        </is>
      </c>
      <c r="L1946" s="1" t="inlineStr">
        <is>
          <t>21.05.2025</t>
        </is>
      </c>
      <c r="M1946" s="1" t="inlineStr">
        <is>
          <t>Успешно</t>
        </is>
      </c>
      <c r="N1946" s="1" t="inlineStr">
        <is>
          <t>10.07.2025</t>
        </is>
      </c>
      <c r="O1946" s="1" t="inlineStr"/>
      <c r="P1946" s="1" t="inlineStr"/>
      <c r="Q1946" s="1" t="inlineStr"/>
    </row>
    <row r="1947">
      <c r="B1947" s="1" t="inlineStr">
        <is>
          <t>131313245</t>
        </is>
      </c>
      <c r="C1947" s="1" t="inlineStr">
        <is>
          <t>9873379</t>
        </is>
      </c>
      <c r="D1947" t="inlineStr">
        <is>
          <t>работник 560</t>
        </is>
      </c>
      <c r="E1947" s="1" t="inlineStr">
        <is>
          <t>ОБЩЕСТВО С ОГРАНИЧЕННОЙ ОТВЕТСТВЕННОСТЬЮ "АМУР ЗОЛОТО"</t>
        </is>
      </c>
      <c r="F1947" s="1" t="inlineStr">
        <is>
          <t>2708001686</t>
        </is>
      </c>
      <c r="G1947" s="1" t="inlineStr">
        <is>
          <t>Электрослесарь (слесарь) дежурный и по ремонту оборудования подземного горного участка</t>
        </is>
      </c>
      <c r="H1947" s="1" t="inlineStr">
        <is>
          <t>ООО "Амур Золото"</t>
        </is>
      </c>
      <c r="I1947" s="1" t="inlineStr">
        <is>
          <t>2708001686</t>
        </is>
      </c>
      <c r="J1947" s="1" t="inlineStr">
        <is>
          <t>ОТ № ЮГОК ПГУ 18-25</t>
        </is>
      </c>
      <c r="K194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947" s="1" t="inlineStr">
        <is>
          <t>21.05.2025</t>
        </is>
      </c>
      <c r="M1947" s="1" t="inlineStr">
        <is>
          <t>Успешно</t>
        </is>
      </c>
      <c r="N1947" s="1" t="inlineStr">
        <is>
          <t>10.07.2025</t>
        </is>
      </c>
      <c r="O1947" s="1" t="inlineStr"/>
      <c r="P1947" s="1" t="inlineStr"/>
      <c r="Q1947" s="1" t="inlineStr"/>
    </row>
    <row r="1948">
      <c r="B1948" s="1" t="inlineStr">
        <is>
          <t>131313246</t>
        </is>
      </c>
      <c r="C1948" s="1" t="inlineStr">
        <is>
          <t>9873379</t>
        </is>
      </c>
      <c r="D1948" t="inlineStr">
        <is>
          <t>работник 561</t>
        </is>
      </c>
      <c r="E1948" s="1" t="inlineStr">
        <is>
          <t>ОБЩЕСТВО С ОГРАНИЧЕННОЙ ОТВЕТСТВЕННОСТЬЮ "АМУР ЗОЛОТО"</t>
        </is>
      </c>
      <c r="F1948" s="1" t="inlineStr">
        <is>
          <t>2708001686</t>
        </is>
      </c>
      <c r="G1948" s="1" t="inlineStr">
        <is>
          <t>Помощник машиниста самоходной буровой установки (с исполнением обязанностей пробоотборщика) (Очистное)</t>
        </is>
      </c>
      <c r="H1948" s="1" t="inlineStr">
        <is>
          <t>ООО "Амур Золото"</t>
        </is>
      </c>
      <c r="I1948" s="1" t="inlineStr">
        <is>
          <t>2708001686</t>
        </is>
      </c>
      <c r="J1948" s="1" t="inlineStr">
        <is>
          <t>ОТ № ЮГОК ПГУ 19-25</t>
        </is>
      </c>
      <c r="K1948" s="1" t="inlineStr">
        <is>
          <t>Использование (применение) средств индивидуальной защиты</t>
        </is>
      </c>
      <c r="L1948" s="1" t="inlineStr">
        <is>
          <t>26.05.2025</t>
        </is>
      </c>
      <c r="M1948" s="1" t="inlineStr">
        <is>
          <t>Успешно</t>
        </is>
      </c>
      <c r="N1948" s="1" t="inlineStr">
        <is>
          <t>10.07.2025</t>
        </is>
      </c>
      <c r="O1948" s="1" t="inlineStr"/>
      <c r="P1948" s="1" t="inlineStr"/>
      <c r="Q1948" s="1" t="inlineStr"/>
    </row>
    <row r="1949">
      <c r="B1949" s="1" t="inlineStr">
        <is>
          <t>131313247</t>
        </is>
      </c>
      <c r="C1949" s="1" t="inlineStr">
        <is>
          <t>9873379</t>
        </is>
      </c>
      <c r="D1949" t="inlineStr">
        <is>
          <t>работник 561</t>
        </is>
      </c>
      <c r="E1949" s="1" t="inlineStr">
        <is>
          <t>ОБЩЕСТВО С ОГРАНИЧЕННОЙ ОТВЕТСТВЕННОСТЬЮ "АМУР ЗОЛОТО"</t>
        </is>
      </c>
      <c r="F1949" s="1" t="inlineStr">
        <is>
          <t>2708001686</t>
        </is>
      </c>
      <c r="G1949" s="1" t="inlineStr">
        <is>
          <t>Помощник машиниста самоходной буровой установки (с исполнением обязанностей пробоотборщика) (Очистное)</t>
        </is>
      </c>
      <c r="H1949" s="1" t="inlineStr">
        <is>
          <t>ООО "Амур Золото"</t>
        </is>
      </c>
      <c r="I1949" s="1" t="inlineStr">
        <is>
          <t>2708001686</t>
        </is>
      </c>
      <c r="J1949" s="1" t="inlineStr">
        <is>
          <t>ОТ № ЮГОК ПГУ 19-25</t>
        </is>
      </c>
      <c r="K194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949" s="1" t="inlineStr">
        <is>
          <t>26.05.2025</t>
        </is>
      </c>
      <c r="M1949" s="1" t="inlineStr">
        <is>
          <t>Успешно</t>
        </is>
      </c>
      <c r="N1949" s="1" t="inlineStr">
        <is>
          <t>10.07.2025</t>
        </is>
      </c>
      <c r="O1949" s="1" t="inlineStr"/>
      <c r="P1949" s="1" t="inlineStr"/>
      <c r="Q1949" s="1" t="inlineStr"/>
    </row>
    <row r="1950">
      <c r="B1950" s="1" t="inlineStr">
        <is>
          <t>131313248</t>
        </is>
      </c>
      <c r="C1950" s="1" t="inlineStr">
        <is>
          <t>9873379</t>
        </is>
      </c>
      <c r="D1950" t="inlineStr">
        <is>
          <t>работник 58</t>
        </is>
      </c>
      <c r="E1950" s="1" t="inlineStr">
        <is>
          <t>ОБЩЕСТВО С ОГРАНИЧЕННОЙ ОТВЕТСТВЕННОСТЬЮ "АМУР ЗОЛОТО"</t>
        </is>
      </c>
      <c r="F1950" s="1" t="inlineStr">
        <is>
          <t>2708001686</t>
        </is>
      </c>
      <c r="G1950" s="1" t="inlineStr">
        <is>
          <t>Машинист насосных установок</t>
        </is>
      </c>
      <c r="H1950" s="1" t="inlineStr">
        <is>
          <t>ООО "Амур Золото"</t>
        </is>
      </c>
      <c r="I1950" s="1" t="inlineStr">
        <is>
          <t>2708001686</t>
        </is>
      </c>
      <c r="J1950" s="1" t="inlineStr">
        <is>
          <t>ОТ № ЮГОК ЭУ 25-04</t>
        </is>
      </c>
      <c r="K1950" s="1" t="inlineStr">
        <is>
          <t>Использование (применение) средств индивидуальной защиты</t>
        </is>
      </c>
      <c r="L1950" s="1" t="inlineStr">
        <is>
          <t>03.06.2025</t>
        </is>
      </c>
      <c r="M1950" s="1" t="inlineStr">
        <is>
          <t>Успешно</t>
        </is>
      </c>
      <c r="N1950" s="1" t="inlineStr">
        <is>
          <t>10.07.2025</t>
        </is>
      </c>
      <c r="O1950" s="1" t="inlineStr"/>
      <c r="P1950" s="1" t="inlineStr"/>
      <c r="Q1950" s="1" t="inlineStr"/>
    </row>
    <row r="1951">
      <c r="B1951" s="1" t="inlineStr">
        <is>
          <t>131313249</t>
        </is>
      </c>
      <c r="C1951" s="1" t="inlineStr">
        <is>
          <t>9873379</t>
        </is>
      </c>
      <c r="D1951" t="inlineStr">
        <is>
          <t>работник 315</t>
        </is>
      </c>
      <c r="E1951" s="1" t="inlineStr">
        <is>
          <t>ОБЩЕСТВО С ОГРАНИЧЕННОЙ ОТВЕТСТВЕННОСТЬЮ "АМУР ЗОЛОТО"</t>
        </is>
      </c>
      <c r="F1951" s="1" t="inlineStr">
        <is>
          <t>2708001686</t>
        </is>
      </c>
      <c r="G1951" s="1" t="inlineStr">
        <is>
          <t>Помощник машиниста самоходной буровой установки (с исполнением обязанностей пробоотборщика) (Очистное)</t>
        </is>
      </c>
      <c r="H1951" s="1" t="inlineStr">
        <is>
          <t>ООО "Амур Золото"</t>
        </is>
      </c>
      <c r="I1951" s="1" t="inlineStr">
        <is>
          <t>2708001686</t>
        </is>
      </c>
      <c r="J1951" s="1" t="inlineStr">
        <is>
          <t>ОТ № ЮГОК ПГУ 20-25</t>
        </is>
      </c>
      <c r="K195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951" s="1" t="inlineStr">
        <is>
          <t>10.06.2025</t>
        </is>
      </c>
      <c r="M1951" s="1" t="inlineStr">
        <is>
          <t>Успешно</t>
        </is>
      </c>
      <c r="N1951" s="1" t="inlineStr">
        <is>
          <t>10.07.2025</t>
        </is>
      </c>
      <c r="O1951" s="1" t="inlineStr"/>
      <c r="P1951" s="1" t="inlineStr"/>
      <c r="Q1951" s="1" t="inlineStr"/>
    </row>
    <row r="1952">
      <c r="B1952" s="1" t="inlineStr">
        <is>
          <t>131313250</t>
        </is>
      </c>
      <c r="C1952" s="1" t="inlineStr">
        <is>
          <t>9873379</t>
        </is>
      </c>
      <c r="D1952" t="inlineStr">
        <is>
          <t>работник 571</t>
        </is>
      </c>
      <c r="E1952" s="1" t="inlineStr">
        <is>
          <t>ОБЩЕСТВО С ОГРАНИЧЕННОЙ ОТВЕТСТВЕННОСТЬЮ "АМУР ЗОЛОТО"</t>
        </is>
      </c>
      <c r="F1952" s="1" t="inlineStr">
        <is>
          <t>2708001686</t>
        </is>
      </c>
      <c r="G1952" s="1" t="inlineStr">
        <is>
          <t>Слесарь-ремонтник (по ремонту горно-шахтного оборудования)</t>
        </is>
      </c>
      <c r="H1952" s="1" t="inlineStr">
        <is>
          <t>ООО "Амур Золото"</t>
        </is>
      </c>
      <c r="I1952" s="1" t="inlineStr">
        <is>
          <t>2708001686</t>
        </is>
      </c>
      <c r="J1952" s="1" t="inlineStr">
        <is>
          <t>ОТ № ЮГОК ПГУ 21-25</t>
        </is>
      </c>
      <c r="K1952" s="1" t="inlineStr">
        <is>
          <t>Использование (применение) средств индивидуальной защиты</t>
        </is>
      </c>
      <c r="L1952" s="1" t="inlineStr">
        <is>
          <t>11.06.2025</t>
        </is>
      </c>
      <c r="M1952" s="1" t="inlineStr">
        <is>
          <t>Успешно</t>
        </is>
      </c>
      <c r="N1952" s="1" t="inlineStr">
        <is>
          <t>10.07.2025</t>
        </is>
      </c>
      <c r="O1952" s="1" t="inlineStr"/>
      <c r="P1952" s="1" t="inlineStr"/>
      <c r="Q1952" s="1" t="inlineStr"/>
    </row>
    <row r="1953">
      <c r="B1953" s="1" t="inlineStr">
        <is>
          <t>131313251</t>
        </is>
      </c>
      <c r="C1953" s="1" t="inlineStr">
        <is>
          <t>9873379</t>
        </is>
      </c>
      <c r="D1953" t="inlineStr">
        <is>
          <t>работник 571</t>
        </is>
      </c>
      <c r="E1953" s="1" t="inlineStr">
        <is>
          <t>ОБЩЕСТВО С ОГРАНИЧЕННОЙ ОТВЕТСТВЕННОСТЬЮ "АМУР ЗОЛОТО"</t>
        </is>
      </c>
      <c r="F1953" s="1" t="inlineStr">
        <is>
          <t>2708001686</t>
        </is>
      </c>
      <c r="G1953" s="1" t="inlineStr">
        <is>
          <t>Слесарь-ремонтник (по ремонту горно-шахтного оборудования)</t>
        </is>
      </c>
      <c r="H1953" s="1" t="inlineStr">
        <is>
          <t>ООО "Амур Золото"</t>
        </is>
      </c>
      <c r="I1953" s="1" t="inlineStr">
        <is>
          <t>2708001686</t>
        </is>
      </c>
      <c r="J1953" s="1" t="inlineStr">
        <is>
          <t>ОТ № ЮГОК ПГУ 21-25</t>
        </is>
      </c>
      <c r="K195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953" s="1" t="inlineStr">
        <is>
          <t>11.06.2025</t>
        </is>
      </c>
      <c r="M1953" s="1" t="inlineStr">
        <is>
          <t>Успешно</t>
        </is>
      </c>
      <c r="N1953" s="1" t="inlineStr">
        <is>
          <t>10.07.2025</t>
        </is>
      </c>
      <c r="O1953" s="1" t="inlineStr"/>
      <c r="P1953" s="1" t="inlineStr"/>
      <c r="Q1953" s="1" t="inlineStr"/>
    </row>
    <row r="1954">
      <c r="B1954" s="1" t="inlineStr">
        <is>
          <t>131313252</t>
        </is>
      </c>
      <c r="C1954" s="1" t="inlineStr">
        <is>
          <t>9873379</t>
        </is>
      </c>
      <c r="D1954" t="inlineStr">
        <is>
          <t>работник 421</t>
        </is>
      </c>
      <c r="E1954" s="1" t="inlineStr">
        <is>
          <t>ОБЩЕСТВО С ОГРАНИЧЕННОЙ ОТВЕТСТВЕННОСТЬЮ "АМУР ЗОЛОТО"</t>
        </is>
      </c>
      <c r="F1954" s="1" t="inlineStr">
        <is>
          <t>2708001686</t>
        </is>
      </c>
      <c r="G1954" s="1" t="inlineStr">
        <is>
          <t>Помощник машиниста самоходной буровой установки (с исполнением обязанностей пробоотборщика) (Очистное)</t>
        </is>
      </c>
      <c r="H1954" s="1" t="inlineStr">
        <is>
          <t>ООО "Амур Золото"</t>
        </is>
      </c>
      <c r="I1954" s="1" t="inlineStr">
        <is>
          <t>2708001686</t>
        </is>
      </c>
      <c r="J1954" s="1" t="inlineStr">
        <is>
          <t>ОТ № ЮГОК ПГУ 22-25</t>
        </is>
      </c>
      <c r="K1954" s="1" t="inlineStr">
        <is>
          <t>Использование (применение) средств индивидуальной защиты</t>
        </is>
      </c>
      <c r="L1954" s="1" t="inlineStr">
        <is>
          <t>11.06.2025</t>
        </is>
      </c>
      <c r="M1954" s="1" t="inlineStr">
        <is>
          <t>Успешно</t>
        </is>
      </c>
      <c r="N1954" s="1" t="inlineStr">
        <is>
          <t>10.07.2025</t>
        </is>
      </c>
      <c r="O1954" s="1" t="inlineStr"/>
      <c r="P1954" s="1" t="inlineStr"/>
      <c r="Q1954" s="1" t="inlineStr"/>
    </row>
    <row r="1955">
      <c r="B1955" s="1" t="inlineStr">
        <is>
          <t>131313253</t>
        </is>
      </c>
      <c r="C1955" s="1" t="inlineStr">
        <is>
          <t>9873379</t>
        </is>
      </c>
      <c r="D1955" t="inlineStr">
        <is>
          <t>работник 421</t>
        </is>
      </c>
      <c r="E1955" s="1" t="inlineStr">
        <is>
          <t>ОБЩЕСТВО С ОГРАНИЧЕННОЙ ОТВЕТСТВЕННОСТЬЮ "АМУР ЗОЛОТО"</t>
        </is>
      </c>
      <c r="F1955" s="1" t="inlineStr">
        <is>
          <t>2708001686</t>
        </is>
      </c>
      <c r="G1955" s="1" t="inlineStr">
        <is>
          <t>Помощник машиниста самоходной буровой установки (с исполнением обязанностей пробоотборщика) (Очистное)</t>
        </is>
      </c>
      <c r="H1955" s="1" t="inlineStr">
        <is>
          <t>ООО "Амур Золото"</t>
        </is>
      </c>
      <c r="I1955" s="1" t="inlineStr">
        <is>
          <t>2708001686</t>
        </is>
      </c>
      <c r="J1955" s="1" t="inlineStr">
        <is>
          <t>ОТ № ЮГОК ПГУ 22-25</t>
        </is>
      </c>
      <c r="K195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955" s="1" t="inlineStr">
        <is>
          <t>11.06.2025</t>
        </is>
      </c>
      <c r="M1955" s="1" t="inlineStr">
        <is>
          <t>Успешно</t>
        </is>
      </c>
      <c r="N1955" s="1" t="inlineStr">
        <is>
          <t>10.07.2025</t>
        </is>
      </c>
      <c r="O1955" s="1" t="inlineStr"/>
      <c r="P1955" s="1" t="inlineStr"/>
      <c r="Q1955" s="1" t="inlineStr"/>
    </row>
    <row r="1956">
      <c r="B1956" s="1" t="inlineStr">
        <is>
          <t>131313254</t>
        </is>
      </c>
      <c r="C1956" s="1" t="inlineStr">
        <is>
          <t>9873379</t>
        </is>
      </c>
      <c r="D1956" t="inlineStr">
        <is>
          <t>работник 75</t>
        </is>
      </c>
      <c r="E1956" s="1" t="inlineStr">
        <is>
          <t>ОБЩЕСТВО С ОГРАНИЧЕННОЙ ОТВЕТСТВЕННОСТЬЮ "АМУР ЗОЛОТО"</t>
        </is>
      </c>
      <c r="F1956" s="1" t="inlineStr">
        <is>
          <t>2708001686</t>
        </is>
      </c>
      <c r="G1956" s="1" t="inlineStr">
        <is>
          <t>Плотник</t>
        </is>
      </c>
      <c r="H1956" s="1" t="inlineStr">
        <is>
          <t>ООО "Амур Золото"</t>
        </is>
      </c>
      <c r="I1956" s="1" t="inlineStr">
        <is>
          <t>2708001686</t>
        </is>
      </c>
      <c r="J1956" s="1" t="inlineStr">
        <is>
          <t>ОТ № ЮГОК РСУ 25-03</t>
        </is>
      </c>
      <c r="K1956" s="1" t="inlineStr">
        <is>
          <t>Использование (применение) средств индивидуальной защиты</t>
        </is>
      </c>
      <c r="L1956" s="1" t="inlineStr">
        <is>
          <t>27.06.2025</t>
        </is>
      </c>
      <c r="M1956" s="1" t="inlineStr">
        <is>
          <t>Успешно</t>
        </is>
      </c>
      <c r="N1956" s="1" t="inlineStr">
        <is>
          <t>10.07.2025</t>
        </is>
      </c>
      <c r="O1956" s="1" t="inlineStr"/>
      <c r="P1956" s="1" t="inlineStr"/>
      <c r="Q1956" s="1" t="inlineStr"/>
    </row>
    <row r="1957">
      <c r="B1957" s="1" t="inlineStr">
        <is>
          <t>131313255</t>
        </is>
      </c>
      <c r="C1957" s="1" t="inlineStr">
        <is>
          <t>9873379</t>
        </is>
      </c>
      <c r="D1957" t="inlineStr">
        <is>
          <t>работник 75</t>
        </is>
      </c>
      <c r="E1957" s="1" t="inlineStr">
        <is>
          <t>ОБЩЕСТВО С ОГРАНИЧЕННОЙ ОТВЕТСТВЕННОСТЬЮ "АМУР ЗОЛОТО"</t>
        </is>
      </c>
      <c r="F1957" s="1" t="inlineStr">
        <is>
          <t>2708001686</t>
        </is>
      </c>
      <c r="G1957" s="1" t="inlineStr">
        <is>
          <t>Плотник</t>
        </is>
      </c>
      <c r="H1957" s="1" t="inlineStr">
        <is>
          <t>ООО "Амур Золото"</t>
        </is>
      </c>
      <c r="I1957" s="1" t="inlineStr">
        <is>
          <t>2708001686</t>
        </is>
      </c>
      <c r="J1957" s="1" t="inlineStr">
        <is>
          <t>ОТ № ЮГОК РСУ 25-03</t>
        </is>
      </c>
      <c r="K195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957" s="1" t="inlineStr">
        <is>
          <t>27.06.2025</t>
        </is>
      </c>
      <c r="M1957" s="1" t="inlineStr">
        <is>
          <t>Успешно</t>
        </is>
      </c>
      <c r="N1957" s="1" t="inlineStr">
        <is>
          <t>10.07.2025</t>
        </is>
      </c>
      <c r="O1957" s="1" t="inlineStr"/>
      <c r="P1957" s="1" t="inlineStr"/>
      <c r="Q1957" s="1" t="inlineStr"/>
    </row>
    <row r="1958">
      <c r="B1958" s="1" t="inlineStr">
        <is>
          <t>131313256</t>
        </is>
      </c>
      <c r="C1958" s="1" t="inlineStr">
        <is>
          <t>9873379</t>
        </is>
      </c>
      <c r="D1958" t="inlineStr">
        <is>
          <t>работник 572</t>
        </is>
      </c>
      <c r="E1958" s="1" t="inlineStr">
        <is>
          <t>ОБЩЕСТВО С ОГРАНИЧЕННОЙ ОТВЕТСТВЕННОСТЬЮ "АМУР ЗОЛОТО"</t>
        </is>
      </c>
      <c r="F1958" s="1" t="inlineStr">
        <is>
          <t>2708001686</t>
        </is>
      </c>
      <c r="G1958" s="1" t="inlineStr">
        <is>
          <t>Электромонтер по ремонту и обслуживанию электрооборудования</t>
        </is>
      </c>
      <c r="H1958" s="1" t="inlineStr">
        <is>
          <t>ООО "Амур Золото"</t>
        </is>
      </c>
      <c r="I1958" s="1" t="inlineStr">
        <is>
          <t>2708001686</t>
        </is>
      </c>
      <c r="J1958" s="1" t="inlineStr">
        <is>
          <t>ОТ № ЮГОК ЭУ 25-02</t>
        </is>
      </c>
      <c r="K1958" s="1" t="inlineStr">
        <is>
          <t>Использование (применение) средств индивидуальной защиты</t>
        </is>
      </c>
      <c r="L1958" s="1" t="inlineStr">
        <is>
          <t>02.06.2025</t>
        </is>
      </c>
      <c r="M1958" s="1" t="inlineStr">
        <is>
          <t>Успешно</t>
        </is>
      </c>
      <c r="N1958" s="1" t="inlineStr">
        <is>
          <t>10.07.2025</t>
        </is>
      </c>
      <c r="O1958" s="1" t="inlineStr"/>
      <c r="P1958" s="1" t="inlineStr"/>
      <c r="Q1958" s="1" t="inlineStr"/>
    </row>
    <row r="1959">
      <c r="B1959" s="1" t="inlineStr">
        <is>
          <t>131313257</t>
        </is>
      </c>
      <c r="C1959" s="1" t="inlineStr">
        <is>
          <t>9873379</t>
        </is>
      </c>
      <c r="D1959" t="inlineStr">
        <is>
          <t>работник 572</t>
        </is>
      </c>
      <c r="E1959" s="1" t="inlineStr">
        <is>
          <t>ОБЩЕСТВО С ОГРАНИЧЕННОЙ ОТВЕТСТВЕННОСТЬЮ "АМУР ЗОЛОТО"</t>
        </is>
      </c>
      <c r="F1959" s="1" t="inlineStr">
        <is>
          <t>2708001686</t>
        </is>
      </c>
      <c r="G1959" s="1" t="inlineStr">
        <is>
          <t>Электромонтер по ремонту и обслуживанию электрооборудования</t>
        </is>
      </c>
      <c r="H1959" s="1" t="inlineStr">
        <is>
          <t>ООО "Амур Золото"</t>
        </is>
      </c>
      <c r="I1959" s="1" t="inlineStr">
        <is>
          <t>2708001686</t>
        </is>
      </c>
      <c r="J1959" s="1" t="inlineStr">
        <is>
          <t>ОТ № ЮГОК ЭУ 25-02</t>
        </is>
      </c>
      <c r="K195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959" s="1" t="inlineStr">
        <is>
          <t>02.06.2025</t>
        </is>
      </c>
      <c r="M1959" s="1" t="inlineStr">
        <is>
          <t>Успешно</t>
        </is>
      </c>
      <c r="N1959" s="1" t="inlineStr">
        <is>
          <t>10.07.2025</t>
        </is>
      </c>
      <c r="O1959" s="1" t="inlineStr"/>
      <c r="P1959" s="1" t="inlineStr"/>
      <c r="Q1959" s="1" t="inlineStr"/>
    </row>
    <row r="1960">
      <c r="B1960" s="1" t="inlineStr">
        <is>
          <t>131313258</t>
        </is>
      </c>
      <c r="C1960" s="1" t="inlineStr">
        <is>
          <t>9873379</t>
        </is>
      </c>
      <c r="D1960" t="inlineStr">
        <is>
          <t>работник 573</t>
        </is>
      </c>
      <c r="E1960" s="1" t="inlineStr">
        <is>
          <t>ОБЩЕСТВО С ОГРАНИЧЕННОЙ ОТВЕТСТВЕННОСТЬЮ "АМУР ЗОЛОТО"</t>
        </is>
      </c>
      <c r="F1960" s="1" t="inlineStr">
        <is>
          <t>2708001686</t>
        </is>
      </c>
      <c r="G1960" s="1" t="inlineStr">
        <is>
          <t>Машинист двигателей внутреннего сгорания</t>
        </is>
      </c>
      <c r="H1960" s="1" t="inlineStr">
        <is>
          <t>ООО "Амур Золото"</t>
        </is>
      </c>
      <c r="I1960" s="1" t="inlineStr">
        <is>
          <t>2708001686</t>
        </is>
      </c>
      <c r="J1960" s="1" t="inlineStr">
        <is>
          <t>ОТ № ЮГОК ЭУ 25-03</t>
        </is>
      </c>
      <c r="K1960" s="1" t="inlineStr">
        <is>
          <t>Использование (применение) средств индивидуальной защиты</t>
        </is>
      </c>
      <c r="L1960" s="1" t="inlineStr">
        <is>
          <t>02.06.2025</t>
        </is>
      </c>
      <c r="M1960" s="1" t="inlineStr">
        <is>
          <t>Успешно</t>
        </is>
      </c>
      <c r="N1960" s="1" t="inlineStr">
        <is>
          <t>10.07.2025</t>
        </is>
      </c>
      <c r="O1960" s="1" t="inlineStr"/>
      <c r="P1960" s="1" t="inlineStr"/>
      <c r="Q1960" s="1" t="inlineStr"/>
    </row>
    <row r="1961">
      <c r="B1961" s="1" t="inlineStr">
        <is>
          <t>131313259</t>
        </is>
      </c>
      <c r="C1961" s="1" t="inlineStr">
        <is>
          <t>9873379</t>
        </is>
      </c>
      <c r="D1961" t="inlineStr">
        <is>
          <t>работник 573</t>
        </is>
      </c>
      <c r="E1961" s="1" t="inlineStr">
        <is>
          <t>ОБЩЕСТВО С ОГРАНИЧЕННОЙ ОТВЕТСТВЕННОСТЬЮ "АМУР ЗОЛОТО"</t>
        </is>
      </c>
      <c r="F1961" s="1" t="inlineStr">
        <is>
          <t>2708001686</t>
        </is>
      </c>
      <c r="G1961" s="1" t="inlineStr">
        <is>
          <t>Машинист двигателей внутреннего сгорания</t>
        </is>
      </c>
      <c r="H1961" s="1" t="inlineStr">
        <is>
          <t>ООО "Амур Золото"</t>
        </is>
      </c>
      <c r="I1961" s="1" t="inlineStr">
        <is>
          <t>2708001686</t>
        </is>
      </c>
      <c r="J1961" s="1" t="inlineStr">
        <is>
          <t>ОТ № ЮГОК ЭУ 25-03</t>
        </is>
      </c>
      <c r="K196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961" s="1" t="inlineStr">
        <is>
          <t>02.06.2025</t>
        </is>
      </c>
      <c r="M1961" s="1" t="inlineStr">
        <is>
          <t>Успешно</t>
        </is>
      </c>
      <c r="N1961" s="1" t="inlineStr">
        <is>
          <t>10.07.2025</t>
        </is>
      </c>
      <c r="O1961" s="1" t="inlineStr"/>
      <c r="P1961" s="1" t="inlineStr"/>
      <c r="Q1961" s="1" t="inlineStr"/>
    </row>
    <row r="1962">
      <c r="B1962" s="1" t="inlineStr">
        <is>
          <t>131313260</t>
        </is>
      </c>
      <c r="C1962" s="1" t="inlineStr">
        <is>
          <t>9873379</t>
        </is>
      </c>
      <c r="D1962" t="inlineStr">
        <is>
          <t>работник 58</t>
        </is>
      </c>
      <c r="E1962" s="1" t="inlineStr">
        <is>
          <t>ОБЩЕСТВО С ОГРАНИЧЕННОЙ ОТВЕТСТВЕННОСТЬЮ "АМУР ЗОЛОТО"</t>
        </is>
      </c>
      <c r="F1962" s="1" t="inlineStr">
        <is>
          <t>2708001686</t>
        </is>
      </c>
      <c r="G1962" s="1" t="inlineStr">
        <is>
          <t>Машинист насосных установок</t>
        </is>
      </c>
      <c r="H1962" s="1" t="inlineStr">
        <is>
          <t>ООО "Амур Золото"</t>
        </is>
      </c>
      <c r="I1962" s="1" t="inlineStr">
        <is>
          <t>2708001686</t>
        </is>
      </c>
      <c r="J1962" s="1" t="inlineStr">
        <is>
          <t>ОТ № ЮГОК ЭУ 25-04</t>
        </is>
      </c>
      <c r="K196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962" s="1" t="inlineStr">
        <is>
          <t>03.06.2025</t>
        </is>
      </c>
      <c r="M1962" s="1" t="inlineStr">
        <is>
          <t>Успешно</t>
        </is>
      </c>
      <c r="N1962" s="1" t="inlineStr">
        <is>
          <t>10.07.2025</t>
        </is>
      </c>
      <c r="O1962" s="1" t="inlineStr"/>
      <c r="P1962" s="1" t="inlineStr"/>
      <c r="Q1962" s="1" t="inlineStr"/>
    </row>
    <row r="1963">
      <c r="B1963" s="1" t="inlineStr">
        <is>
          <t>131313261</t>
        </is>
      </c>
      <c r="C1963" s="1" t="inlineStr">
        <is>
          <t>9873379</t>
        </is>
      </c>
      <c r="D1963" t="inlineStr">
        <is>
          <t>работник 574</t>
        </is>
      </c>
      <c r="E1963" s="1" t="inlineStr">
        <is>
          <t>ОБЩЕСТВО С ОГРАНИЧЕННОЙ ОТВЕТСТВЕННОСТЬЮ "АМУР ЗОЛОТО"</t>
        </is>
      </c>
      <c r="F1963" s="1" t="inlineStr">
        <is>
          <t>2708001686</t>
        </is>
      </c>
      <c r="G1963" s="1" t="inlineStr">
        <is>
          <t>Оператор дизельных котлов</t>
        </is>
      </c>
      <c r="H1963" s="1" t="inlineStr">
        <is>
          <t>ООО "Амур Золото"</t>
        </is>
      </c>
      <c r="I1963" s="1" t="inlineStr">
        <is>
          <t>2708001686</t>
        </is>
      </c>
      <c r="J1963" s="1" t="inlineStr">
        <is>
          <t>ОТ № ЮГОК ЭУ 25-05</t>
        </is>
      </c>
      <c r="K1963" s="1" t="inlineStr">
        <is>
          <t>Использование (применение) средств индивидуальной защиты</t>
        </is>
      </c>
      <c r="L1963" s="1" t="inlineStr">
        <is>
          <t>05.06.2025</t>
        </is>
      </c>
      <c r="M1963" s="1" t="inlineStr">
        <is>
          <t>Успешно</t>
        </is>
      </c>
      <c r="N1963" s="1" t="inlineStr">
        <is>
          <t>10.07.2025</t>
        </is>
      </c>
      <c r="O1963" s="1" t="inlineStr"/>
      <c r="P1963" s="1" t="inlineStr"/>
      <c r="Q1963" s="1" t="inlineStr"/>
    </row>
    <row r="1964">
      <c r="B1964" s="1" t="inlineStr">
        <is>
          <t>131313262</t>
        </is>
      </c>
      <c r="C1964" s="1" t="inlineStr">
        <is>
          <t>9873379</t>
        </is>
      </c>
      <c r="D1964" t="inlineStr">
        <is>
          <t>работник 574</t>
        </is>
      </c>
      <c r="E1964" s="1" t="inlineStr">
        <is>
          <t>ОБЩЕСТВО С ОГРАНИЧЕННОЙ ОТВЕТСТВЕННОСТЬЮ "АМУР ЗОЛОТО"</t>
        </is>
      </c>
      <c r="F1964" s="1" t="inlineStr">
        <is>
          <t>2708001686</t>
        </is>
      </c>
      <c r="G1964" s="1" t="inlineStr">
        <is>
          <t>Оператор дизельных котлов</t>
        </is>
      </c>
      <c r="H1964" s="1" t="inlineStr">
        <is>
          <t>ООО "Амур Золото"</t>
        </is>
      </c>
      <c r="I1964" s="1" t="inlineStr">
        <is>
          <t>2708001686</t>
        </is>
      </c>
      <c r="J1964" s="1" t="inlineStr">
        <is>
          <t>ОТ № ЮГОК ЭУ 25-05</t>
        </is>
      </c>
      <c r="K196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964" s="1" t="inlineStr">
        <is>
          <t>05.06.2025</t>
        </is>
      </c>
      <c r="M1964" s="1" t="inlineStr">
        <is>
          <t>Успешно</t>
        </is>
      </c>
      <c r="N1964" s="1" t="inlineStr">
        <is>
          <t>10.07.2025</t>
        </is>
      </c>
      <c r="O1964" s="1" t="inlineStr"/>
      <c r="P1964" s="1" t="inlineStr"/>
      <c r="Q1964" s="1" t="inlineStr"/>
    </row>
    <row r="1965">
      <c r="B1965" s="1" t="inlineStr">
        <is>
          <t>131313263</t>
        </is>
      </c>
      <c r="C1965" s="1" t="inlineStr">
        <is>
          <t>9873379</t>
        </is>
      </c>
      <c r="D1965" t="inlineStr">
        <is>
          <t>работник 575</t>
        </is>
      </c>
      <c r="E1965" s="1" t="inlineStr">
        <is>
          <t>ОБЩЕСТВО С ОГРАНИЧЕННОЙ ОТВЕТСТВЕННОСТЬЮ "АМУР ЗОЛОТО"</t>
        </is>
      </c>
      <c r="F1965" s="1" t="inlineStr">
        <is>
          <t>2708001686</t>
        </is>
      </c>
      <c r="G1965" s="1" t="inlineStr">
        <is>
          <t>Механик холодильных установок</t>
        </is>
      </c>
      <c r="H1965" s="1" t="inlineStr">
        <is>
          <t>ООО "Амур Золото"</t>
        </is>
      </c>
      <c r="I1965" s="1" t="inlineStr">
        <is>
          <t>2708001686</t>
        </is>
      </c>
      <c r="J1965" s="1" t="inlineStr">
        <is>
          <t>ОТ № ЮГОК ЭУ 25-06</t>
        </is>
      </c>
      <c r="K1965" s="1" t="inlineStr">
        <is>
          <t>Использование (применение) средств индивидуальной защиты</t>
        </is>
      </c>
      <c r="L1965" s="1" t="inlineStr">
        <is>
          <t>26.06.2025</t>
        </is>
      </c>
      <c r="M1965" s="1" t="inlineStr">
        <is>
          <t>Успешно</t>
        </is>
      </c>
      <c r="N1965" s="1" t="inlineStr">
        <is>
          <t>10.07.2025</t>
        </is>
      </c>
      <c r="O1965" s="1" t="inlineStr"/>
      <c r="P1965" s="1" t="inlineStr"/>
      <c r="Q1965" s="1" t="inlineStr"/>
    </row>
    <row r="1966">
      <c r="B1966" s="1" t="inlineStr">
        <is>
          <t>131313264</t>
        </is>
      </c>
      <c r="C1966" s="1" t="inlineStr">
        <is>
          <t>9873379</t>
        </is>
      </c>
      <c r="D1966" t="inlineStr">
        <is>
          <t>работник 575</t>
        </is>
      </c>
      <c r="E1966" s="1" t="inlineStr">
        <is>
          <t>ОБЩЕСТВО С ОГРАНИЧЕННОЙ ОТВЕТСТВЕННОСТЬЮ "АМУР ЗОЛОТО"</t>
        </is>
      </c>
      <c r="F1966" s="1" t="inlineStr">
        <is>
          <t>2708001686</t>
        </is>
      </c>
      <c r="G1966" s="1" t="inlineStr">
        <is>
          <t>Механик холодильных установок</t>
        </is>
      </c>
      <c r="H1966" s="1" t="inlineStr">
        <is>
          <t>ООО "Амур Золото"</t>
        </is>
      </c>
      <c r="I1966" s="1" t="inlineStr">
        <is>
          <t>2708001686</t>
        </is>
      </c>
      <c r="J1966" s="1" t="inlineStr">
        <is>
          <t>ОТ № ЮГОК ЭУ 25-06</t>
        </is>
      </c>
      <c r="K196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966" s="1" t="inlineStr">
        <is>
          <t>26.06.2025</t>
        </is>
      </c>
      <c r="M1966" s="1" t="inlineStr">
        <is>
          <t>Успешно</t>
        </is>
      </c>
      <c r="N1966" s="1" t="inlineStr">
        <is>
          <t>10.07.2025</t>
        </is>
      </c>
      <c r="O1966" s="1" t="inlineStr"/>
      <c r="P1966" s="1" t="inlineStr"/>
      <c r="Q1966" s="1" t="inlineStr"/>
    </row>
    <row r="1967">
      <c r="B1967" s="1" t="inlineStr">
        <is>
          <t>136189666</t>
        </is>
      </c>
      <c r="C1967" s="1" t="inlineStr">
        <is>
          <t>10216156</t>
        </is>
      </c>
      <c r="D1967" t="inlineStr">
        <is>
          <t>работник 556</t>
        </is>
      </c>
      <c r="E1967" s="1" t="inlineStr">
        <is>
          <t>ОБЩЕСТВО С ОГРАНИЧЕННОЙ ОТВЕТСТВЕННОСТЬЮ "АМУР ЗОЛОТО"</t>
        </is>
      </c>
      <c r="F1967" s="1" t="inlineStr">
        <is>
          <t>2708001686</t>
        </is>
      </c>
      <c r="G1967" s="1" t="inlineStr">
        <is>
          <t>Электромонтер по ремонту и обслуживанию электрооборудования</t>
        </is>
      </c>
      <c r="H1967" s="1" t="inlineStr">
        <is>
          <t>ООО "Амур Золото"</t>
        </is>
      </c>
      <c r="I1967" s="1" t="inlineStr">
        <is>
          <t>2708001686</t>
        </is>
      </c>
      <c r="J1967" s="1" t="inlineStr">
        <is>
          <t>ОТ № ЮГОК ЗИОФ 25-23</t>
        </is>
      </c>
      <c r="K1967" s="1" t="inlineStr">
        <is>
          <t>Использование (применение) средств индивидуальной защиты</t>
        </is>
      </c>
      <c r="L1967" s="1" t="inlineStr">
        <is>
          <t>22.07.2025</t>
        </is>
      </c>
      <c r="M1967" s="1" t="inlineStr">
        <is>
          <t>Успешно</t>
        </is>
      </c>
      <c r="N1967" s="1" t="inlineStr">
        <is>
          <t>06.08.2025</t>
        </is>
      </c>
      <c r="O1967" s="1" t="inlineStr"/>
      <c r="P1967" s="1" t="inlineStr"/>
      <c r="Q1967" s="1" t="inlineStr">
        <is>
          <t>Пользовательский интерфейс</t>
        </is>
      </c>
    </row>
    <row r="1968">
      <c r="B1968" s="1" t="inlineStr">
        <is>
          <t>136189667</t>
        </is>
      </c>
      <c r="C1968" s="1" t="inlineStr">
        <is>
          <t>10216156</t>
        </is>
      </c>
      <c r="D1968" t="inlineStr">
        <is>
          <t>работник 556</t>
        </is>
      </c>
      <c r="E1968" s="1" t="inlineStr">
        <is>
          <t>ОБЩЕСТВО С ОГРАНИЧЕННОЙ ОТВЕТСТВЕННОСТЬЮ "АМУР ЗОЛОТО"</t>
        </is>
      </c>
      <c r="F1968" s="1" t="inlineStr">
        <is>
          <t>2708001686</t>
        </is>
      </c>
      <c r="G1968" s="1" t="inlineStr">
        <is>
          <t>Электромонтер по ремонту и обслуживанию электрооборудования</t>
        </is>
      </c>
      <c r="H1968" s="1" t="inlineStr">
        <is>
          <t>ООО "Амур Золото"</t>
        </is>
      </c>
      <c r="I1968" s="1" t="inlineStr">
        <is>
          <t>2708001686</t>
        </is>
      </c>
      <c r="J1968" s="1" t="inlineStr">
        <is>
          <t>ОТ № ЮГОК ЗИОФ 25-23</t>
        </is>
      </c>
      <c r="K196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968" s="1" t="inlineStr">
        <is>
          <t>22.07.2025</t>
        </is>
      </c>
      <c r="M1968" s="1" t="inlineStr">
        <is>
          <t>Успешно</t>
        </is>
      </c>
      <c r="N1968" s="1" t="inlineStr">
        <is>
          <t>06.08.2025</t>
        </is>
      </c>
      <c r="O1968" s="1" t="inlineStr"/>
      <c r="P1968" s="1" t="inlineStr"/>
      <c r="Q1968" s="1" t="inlineStr">
        <is>
          <t>Пользовательский интерфейс</t>
        </is>
      </c>
    </row>
    <row r="1969">
      <c r="B1969" s="1" t="inlineStr">
        <is>
          <t>136189668</t>
        </is>
      </c>
      <c r="C1969" s="1" t="inlineStr">
        <is>
          <t>10216156</t>
        </is>
      </c>
      <c r="D1969" t="inlineStr">
        <is>
          <t>работник 576</t>
        </is>
      </c>
      <c r="E1969" s="1" t="inlineStr">
        <is>
          <t>ОБЩЕСТВО С ОГРАНИЧЕННОЙ ОТВЕТСТВЕННОСТЬЮ "АМУР ЗОЛОТО"</t>
        </is>
      </c>
      <c r="F1969" s="1" t="inlineStr">
        <is>
          <t>2708001686</t>
        </is>
      </c>
      <c r="G1969" s="1" t="inlineStr">
        <is>
          <t>Фильтровальщик</t>
        </is>
      </c>
      <c r="H1969" s="1" t="inlineStr">
        <is>
          <t>ООО "Амур Золото"</t>
        </is>
      </c>
      <c r="I1969" s="1" t="inlineStr">
        <is>
          <t>2708001686</t>
        </is>
      </c>
      <c r="J1969" s="1" t="inlineStr">
        <is>
          <t>ОТ № ЮГОК ЗИОФ 25-24</t>
        </is>
      </c>
      <c r="K1969" s="1" t="inlineStr">
        <is>
          <t>Использование (применение) средств индивидуальной защиты</t>
        </is>
      </c>
      <c r="L1969" s="1" t="inlineStr">
        <is>
          <t>25.07.2025</t>
        </is>
      </c>
      <c r="M1969" s="1" t="inlineStr">
        <is>
          <t>Успешно</t>
        </is>
      </c>
      <c r="N1969" s="1" t="inlineStr">
        <is>
          <t>06.08.2025</t>
        </is>
      </c>
      <c r="O1969" s="1" t="inlineStr"/>
      <c r="P1969" s="1" t="inlineStr"/>
      <c r="Q1969" s="1" t="inlineStr">
        <is>
          <t>Пользовательский интерфейс</t>
        </is>
      </c>
    </row>
    <row r="1970">
      <c r="B1970" s="1" t="inlineStr">
        <is>
          <t>136189669</t>
        </is>
      </c>
      <c r="C1970" s="1" t="inlineStr">
        <is>
          <t>10216156</t>
        </is>
      </c>
      <c r="D1970" t="inlineStr">
        <is>
          <t>работник 576</t>
        </is>
      </c>
      <c r="E1970" s="1" t="inlineStr">
        <is>
          <t>ОБЩЕСТВО С ОГРАНИЧЕННОЙ ОТВЕТСТВЕННОСТЬЮ "АМУР ЗОЛОТО"</t>
        </is>
      </c>
      <c r="F1970" s="1" t="inlineStr">
        <is>
          <t>2708001686</t>
        </is>
      </c>
      <c r="G1970" s="1" t="inlineStr">
        <is>
          <t>Фильтровальщик</t>
        </is>
      </c>
      <c r="H1970" s="1" t="inlineStr">
        <is>
          <t>ООО "Амур Золото"</t>
        </is>
      </c>
      <c r="I1970" s="1" t="inlineStr">
        <is>
          <t>2708001686</t>
        </is>
      </c>
      <c r="J1970" s="1" t="inlineStr">
        <is>
          <t>ОТ № ЮГОК ЗИОФ 25-24</t>
        </is>
      </c>
      <c r="K197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970" s="1" t="inlineStr">
        <is>
          <t>25.07.2025</t>
        </is>
      </c>
      <c r="M1970" s="1" t="inlineStr">
        <is>
          <t>Успешно</t>
        </is>
      </c>
      <c r="N1970" s="1" t="inlineStr">
        <is>
          <t>06.08.2025</t>
        </is>
      </c>
      <c r="O1970" s="1" t="inlineStr"/>
      <c r="P1970" s="1" t="inlineStr"/>
      <c r="Q1970" s="1" t="inlineStr">
        <is>
          <t>Пользовательский интерфейс</t>
        </is>
      </c>
    </row>
    <row r="1971">
      <c r="B1971" s="1" t="inlineStr">
        <is>
          <t>136189670</t>
        </is>
      </c>
      <c r="C1971" s="1" t="inlineStr">
        <is>
          <t>10216156</t>
        </is>
      </c>
      <c r="D1971" t="inlineStr">
        <is>
          <t>работник 577</t>
        </is>
      </c>
      <c r="E1971" s="1" t="inlineStr">
        <is>
          <t>ОБЩЕСТВО С ОГРАНИЧЕННОЙ ОТВЕТСТВЕННОСТЬЮ "АМУР ЗОЛОТО"</t>
        </is>
      </c>
      <c r="F1971" s="1" t="inlineStr">
        <is>
          <t>2708001686</t>
        </is>
      </c>
      <c r="G1971" s="1" t="inlineStr">
        <is>
          <t>Аппаратчик-гидрометаллург</t>
        </is>
      </c>
      <c r="H1971" s="1" t="inlineStr">
        <is>
          <t>ООО "Амур Золото"</t>
        </is>
      </c>
      <c r="I1971" s="1" t="inlineStr">
        <is>
          <t>2708001686</t>
        </is>
      </c>
      <c r="J1971" s="1" t="inlineStr">
        <is>
          <t>ОТ № ЮГОК ЗИОФ 25-25</t>
        </is>
      </c>
      <c r="K1971" s="1" t="inlineStr">
        <is>
          <t>Использование (применение) средств индивидуальной защиты</t>
        </is>
      </c>
      <c r="L1971" s="1" t="inlineStr">
        <is>
          <t>31.07.2025</t>
        </is>
      </c>
      <c r="M1971" s="1" t="inlineStr">
        <is>
          <t>Успешно</t>
        </is>
      </c>
      <c r="N1971" s="1" t="inlineStr">
        <is>
          <t>06.08.2025</t>
        </is>
      </c>
      <c r="O1971" s="1" t="inlineStr"/>
      <c r="P1971" s="1" t="inlineStr"/>
      <c r="Q1971" s="1" t="inlineStr">
        <is>
          <t>Пользовательский интерфейс</t>
        </is>
      </c>
    </row>
    <row r="1972">
      <c r="B1972" s="1" t="inlineStr">
        <is>
          <t>136189671</t>
        </is>
      </c>
      <c r="C1972" s="1" t="inlineStr">
        <is>
          <t>10216156</t>
        </is>
      </c>
      <c r="D1972" t="inlineStr">
        <is>
          <t>работник 577</t>
        </is>
      </c>
      <c r="E1972" s="1" t="inlineStr">
        <is>
          <t>ОБЩЕСТВО С ОГРАНИЧЕННОЙ ОТВЕТСТВЕННОСТЬЮ "АМУР ЗОЛОТО"</t>
        </is>
      </c>
      <c r="F1972" s="1" t="inlineStr">
        <is>
          <t>2708001686</t>
        </is>
      </c>
      <c r="G1972" s="1" t="inlineStr">
        <is>
          <t>Аппаратчик-гидрометаллург</t>
        </is>
      </c>
      <c r="H1972" s="1" t="inlineStr">
        <is>
          <t>ООО "Амур Золото"</t>
        </is>
      </c>
      <c r="I1972" s="1" t="inlineStr">
        <is>
          <t>2708001686</t>
        </is>
      </c>
      <c r="J1972" s="1" t="inlineStr">
        <is>
          <t>ОТ № ЮГОК ЗИОФ 25-25</t>
        </is>
      </c>
      <c r="K197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972" s="1" t="inlineStr">
        <is>
          <t>31.07.2025</t>
        </is>
      </c>
      <c r="M1972" s="1" t="inlineStr">
        <is>
          <t>Успешно</t>
        </is>
      </c>
      <c r="N1972" s="1" t="inlineStr">
        <is>
          <t>06.08.2025</t>
        </is>
      </c>
      <c r="O1972" s="1" t="inlineStr"/>
      <c r="P1972" s="1" t="inlineStr"/>
      <c r="Q1972" s="1" t="inlineStr">
        <is>
          <t>Пользовательский интерфейс</t>
        </is>
      </c>
    </row>
    <row r="1973">
      <c r="B1973" s="1" t="inlineStr">
        <is>
          <t>136189672</t>
        </is>
      </c>
      <c r="C1973" s="1" t="inlineStr">
        <is>
          <t>10216156</t>
        </is>
      </c>
      <c r="D1973" t="inlineStr">
        <is>
          <t>работник 578</t>
        </is>
      </c>
      <c r="E1973" s="1" t="inlineStr">
        <is>
          <t>ОБЩЕСТВО С ОГРАНИЧЕННОЙ ОТВЕТСТВЕННОСТЬЮ "АМУР ЗОЛОТО"</t>
        </is>
      </c>
      <c r="F1973" s="1" t="inlineStr">
        <is>
          <t>2708001686</t>
        </is>
      </c>
      <c r="G1973" s="1" t="inlineStr">
        <is>
          <t>Пробоотборщик</t>
        </is>
      </c>
      <c r="H1973" s="1" t="inlineStr">
        <is>
          <t>ООО "Амур Золото"</t>
        </is>
      </c>
      <c r="I1973" s="1" t="inlineStr">
        <is>
          <t>2708001686</t>
        </is>
      </c>
      <c r="J1973" s="1" t="inlineStr">
        <is>
          <t>ОТ № ЮГОК ОТК 25-07</t>
        </is>
      </c>
      <c r="K1973" s="1" t="inlineStr">
        <is>
          <t>Использование (применение) средств индивидуальной защиты</t>
        </is>
      </c>
      <c r="L1973" s="1" t="inlineStr">
        <is>
          <t>10.07.2025</t>
        </is>
      </c>
      <c r="M1973" s="1" t="inlineStr">
        <is>
          <t>Успешно</t>
        </is>
      </c>
      <c r="N1973" s="1" t="inlineStr">
        <is>
          <t>06.08.2025</t>
        </is>
      </c>
      <c r="O1973" s="1" t="inlineStr"/>
      <c r="P1973" s="1" t="inlineStr"/>
      <c r="Q1973" s="1" t="inlineStr">
        <is>
          <t>Пользовательский интерфейс</t>
        </is>
      </c>
    </row>
    <row r="1974">
      <c r="B1974" s="1" t="inlineStr">
        <is>
          <t>136189673</t>
        </is>
      </c>
      <c r="C1974" s="1" t="inlineStr">
        <is>
          <t>10216156</t>
        </is>
      </c>
      <c r="D1974" t="inlineStr">
        <is>
          <t>работник 578</t>
        </is>
      </c>
      <c r="E1974" s="1" t="inlineStr">
        <is>
          <t>ОБЩЕСТВО С ОГРАНИЧЕННОЙ ОТВЕТСТВЕННОСТЬЮ "АМУР ЗОЛОТО"</t>
        </is>
      </c>
      <c r="F1974" s="1" t="inlineStr">
        <is>
          <t>2708001686</t>
        </is>
      </c>
      <c r="G1974" s="1" t="inlineStr">
        <is>
          <t>Пробоотборщик</t>
        </is>
      </c>
      <c r="H1974" s="1" t="inlineStr">
        <is>
          <t>ООО "Амур Золото"</t>
        </is>
      </c>
      <c r="I1974" s="1" t="inlineStr">
        <is>
          <t>2708001686</t>
        </is>
      </c>
      <c r="J1974" s="1" t="inlineStr">
        <is>
          <t>ОТ № ЮГОК ОТК 25-07</t>
        </is>
      </c>
      <c r="K197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974" s="1" t="inlineStr">
        <is>
          <t>10.07.2025</t>
        </is>
      </c>
      <c r="M1974" s="1" t="inlineStr">
        <is>
          <t>Успешно</t>
        </is>
      </c>
      <c r="N1974" s="1" t="inlineStr">
        <is>
          <t>06.08.2025</t>
        </is>
      </c>
      <c r="O1974" s="1" t="inlineStr"/>
      <c r="P1974" s="1" t="inlineStr"/>
      <c r="Q1974" s="1" t="inlineStr">
        <is>
          <t>Пользовательский интерфейс</t>
        </is>
      </c>
    </row>
    <row r="1975">
      <c r="B1975" s="1" t="inlineStr">
        <is>
          <t>136189674</t>
        </is>
      </c>
      <c r="C1975" s="1" t="inlineStr">
        <is>
          <t>10216156</t>
        </is>
      </c>
      <c r="D1975" t="inlineStr">
        <is>
          <t>работник 238</t>
        </is>
      </c>
      <c r="E1975" s="1" t="inlineStr">
        <is>
          <t>ОБЩЕСТВО С ОГРАНИЧЕННОЙ ОТВЕТСТВЕННОСТЬЮ "АМУР ЗОЛОТО"</t>
        </is>
      </c>
      <c r="F1975" s="1" t="inlineStr">
        <is>
          <t>2708001686</t>
        </is>
      </c>
      <c r="G1975" s="1" t="inlineStr">
        <is>
          <t>Лаборант пробирного анализа</t>
        </is>
      </c>
      <c r="H1975" s="1" t="inlineStr">
        <is>
          <t>ООО "Амур Золото"</t>
        </is>
      </c>
      <c r="I1975" s="1" t="inlineStr">
        <is>
          <t>2708001686</t>
        </is>
      </c>
      <c r="J1975" s="1" t="inlineStr">
        <is>
          <t>ОТ № ЮГОК ПАЛ 25-05</t>
        </is>
      </c>
      <c r="K1975" s="1" t="inlineStr">
        <is>
          <t>Использование (применение) средств индивидуальной защиты</t>
        </is>
      </c>
      <c r="L1975" s="1" t="inlineStr">
        <is>
          <t>08.07.2025</t>
        </is>
      </c>
      <c r="M1975" s="1" t="inlineStr">
        <is>
          <t>Успешно</t>
        </is>
      </c>
      <c r="N1975" s="1" t="inlineStr">
        <is>
          <t>06.08.2025</t>
        </is>
      </c>
      <c r="O1975" s="1" t="inlineStr"/>
      <c r="P1975" s="1" t="inlineStr"/>
      <c r="Q1975" s="1" t="inlineStr">
        <is>
          <t>Пользовательский интерфейс</t>
        </is>
      </c>
    </row>
    <row r="1976">
      <c r="B1976" s="1" t="inlineStr">
        <is>
          <t>136189675</t>
        </is>
      </c>
      <c r="C1976" s="1" t="inlineStr">
        <is>
          <t>10216156</t>
        </is>
      </c>
      <c r="D1976" t="inlineStr">
        <is>
          <t>работник 238</t>
        </is>
      </c>
      <c r="E1976" s="1" t="inlineStr">
        <is>
          <t>ОБЩЕСТВО С ОГРАНИЧЕННОЙ ОТВЕТСТВЕННОСТЬЮ "АМУР ЗОЛОТО"</t>
        </is>
      </c>
      <c r="F1976" s="1" t="inlineStr">
        <is>
          <t>2708001686</t>
        </is>
      </c>
      <c r="G1976" s="1" t="inlineStr">
        <is>
          <t>Лаборант пробирного анализа</t>
        </is>
      </c>
      <c r="H1976" s="1" t="inlineStr">
        <is>
          <t>ООО "Амур Золото"</t>
        </is>
      </c>
      <c r="I1976" s="1" t="inlineStr">
        <is>
          <t>2708001686</t>
        </is>
      </c>
      <c r="J1976" s="1" t="inlineStr">
        <is>
          <t>ОТ № ЮГОК ПАЛ 25-05</t>
        </is>
      </c>
      <c r="K197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976" s="1" t="inlineStr">
        <is>
          <t>08.07.2025</t>
        </is>
      </c>
      <c r="M1976" s="1" t="inlineStr">
        <is>
          <t>Успешно</t>
        </is>
      </c>
      <c r="N1976" s="1" t="inlineStr">
        <is>
          <t>06.08.2025</t>
        </is>
      </c>
      <c r="O1976" s="1" t="inlineStr"/>
      <c r="P1976" s="1" t="inlineStr"/>
      <c r="Q1976" s="1" t="inlineStr">
        <is>
          <t>Пользовательский интерфейс</t>
        </is>
      </c>
    </row>
    <row r="1977">
      <c r="B1977" s="1" t="inlineStr">
        <is>
          <t>136189676</t>
        </is>
      </c>
      <c r="C1977" s="1" t="inlineStr">
        <is>
          <t>10216156</t>
        </is>
      </c>
      <c r="D1977" t="inlineStr">
        <is>
          <t>работник 359</t>
        </is>
      </c>
      <c r="E1977" s="1" t="inlineStr">
        <is>
          <t>ОБЩЕСТВО С ОГРАНИЧЕННОЙ ОТВЕТСТВЕННОСТЬЮ "АМУР ЗОЛОТО"</t>
        </is>
      </c>
      <c r="F1977" s="1" t="inlineStr">
        <is>
          <t>2708001686</t>
        </is>
      </c>
      <c r="G1977" s="1" t="inlineStr">
        <is>
          <t>Дробильщик</t>
        </is>
      </c>
      <c r="H1977" s="1" t="inlineStr">
        <is>
          <t>ООО "Амур Золото"</t>
        </is>
      </c>
      <c r="I1977" s="1" t="inlineStr">
        <is>
          <t>2708001686</t>
        </is>
      </c>
      <c r="J1977" s="1" t="inlineStr">
        <is>
          <t>ОТ № ЮГОК ПАЛ 25-06</t>
        </is>
      </c>
      <c r="K1977" s="1" t="inlineStr">
        <is>
          <t>Использование (применение) средств индивидуальной защиты</t>
        </is>
      </c>
      <c r="L1977" s="1" t="inlineStr">
        <is>
          <t>13.07.2025</t>
        </is>
      </c>
      <c r="M1977" s="1" t="inlineStr">
        <is>
          <t>Успешно</t>
        </is>
      </c>
      <c r="N1977" s="1" t="inlineStr">
        <is>
          <t>06.08.2025</t>
        </is>
      </c>
      <c r="O1977" s="1" t="inlineStr"/>
      <c r="P1977" s="1" t="inlineStr"/>
      <c r="Q1977" s="1" t="inlineStr">
        <is>
          <t>Пользовательский интерфейс</t>
        </is>
      </c>
    </row>
    <row r="1978">
      <c r="B1978" s="1" t="inlineStr">
        <is>
          <t>136189677</t>
        </is>
      </c>
      <c r="C1978" s="1" t="inlineStr">
        <is>
          <t>10216156</t>
        </is>
      </c>
      <c r="D1978" t="inlineStr">
        <is>
          <t>работник 359</t>
        </is>
      </c>
      <c r="E1978" s="1" t="inlineStr">
        <is>
          <t>ОБЩЕСТВО С ОГРАНИЧЕННОЙ ОТВЕТСТВЕННОСТЬЮ "АМУР ЗОЛОТО"</t>
        </is>
      </c>
      <c r="F1978" s="1" t="inlineStr">
        <is>
          <t>2708001686</t>
        </is>
      </c>
      <c r="G1978" s="1" t="inlineStr">
        <is>
          <t>Дробильщик</t>
        </is>
      </c>
      <c r="H1978" s="1" t="inlineStr">
        <is>
          <t>ООО "Амур Золото"</t>
        </is>
      </c>
      <c r="I1978" s="1" t="inlineStr">
        <is>
          <t>2708001686</t>
        </is>
      </c>
      <c r="J1978" s="1" t="inlineStr">
        <is>
          <t>ОТ № ЮГОК ПАЛ 25-06</t>
        </is>
      </c>
      <c r="K197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978" s="1" t="inlineStr">
        <is>
          <t>13.07.2025</t>
        </is>
      </c>
      <c r="M1978" s="1" t="inlineStr">
        <is>
          <t>Успешно</t>
        </is>
      </c>
      <c r="N1978" s="1" t="inlineStr">
        <is>
          <t>06.08.2025</t>
        </is>
      </c>
      <c r="O1978" s="1" t="inlineStr"/>
      <c r="P1978" s="1" t="inlineStr"/>
      <c r="Q1978" s="1" t="inlineStr">
        <is>
          <t>Пользовательский интерфейс</t>
        </is>
      </c>
    </row>
    <row r="1979">
      <c r="B1979" s="1" t="inlineStr">
        <is>
          <t>136189678</t>
        </is>
      </c>
      <c r="C1979" s="1" t="inlineStr">
        <is>
          <t>10216156</t>
        </is>
      </c>
      <c r="D1979" t="inlineStr">
        <is>
          <t>работник 570</t>
        </is>
      </c>
      <c r="E1979" s="1" t="inlineStr">
        <is>
          <t>ОБЩЕСТВО С ОГРАНИЧЕННОЙ ОТВЕТСТВЕННОСТЬЮ "АМУР ЗОЛОТО"</t>
        </is>
      </c>
      <c r="F1979" s="1" t="inlineStr">
        <is>
          <t>2708001686</t>
        </is>
      </c>
      <c r="G1979" s="1" t="inlineStr">
        <is>
          <t>Электрослесарь (слесарь) дежурный и по ремонту оборудования подземного горного участка</t>
        </is>
      </c>
      <c r="H1979" s="1" t="inlineStr">
        <is>
          <t>ООО "Амур Золото"</t>
        </is>
      </c>
      <c r="I1979" s="1" t="inlineStr">
        <is>
          <t>2708001686</t>
        </is>
      </c>
      <c r="J1979" s="1" t="inlineStr">
        <is>
          <t>ОТ № ЮГОК ПГУ 08-25</t>
        </is>
      </c>
      <c r="K1979" s="1" t="inlineStr">
        <is>
          <t>Использование (применение) средств индивидуальной защиты</t>
        </is>
      </c>
      <c r="L1979" s="1" t="inlineStr">
        <is>
          <t>29.03.2025</t>
        </is>
      </c>
      <c r="M1979" s="1" t="inlineStr">
        <is>
          <t>Успешно</t>
        </is>
      </c>
      <c r="N1979" s="1" t="inlineStr">
        <is>
          <t>06.08.2025</t>
        </is>
      </c>
      <c r="O1979" s="1" t="inlineStr"/>
      <c r="P1979" s="1" t="inlineStr"/>
      <c r="Q1979" s="1" t="inlineStr">
        <is>
          <t>Пользовательский интерфейс</t>
        </is>
      </c>
    </row>
    <row r="1980">
      <c r="B1980" s="1" t="inlineStr">
        <is>
          <t>136189679</t>
        </is>
      </c>
      <c r="C1980" s="1" t="inlineStr">
        <is>
          <t>10216156</t>
        </is>
      </c>
      <c r="D1980" t="inlineStr">
        <is>
          <t>работник 579</t>
        </is>
      </c>
      <c r="E1980" s="1" t="inlineStr">
        <is>
          <t>ОБЩЕСТВО С ОГРАНИЧЕННОЙ ОТВЕТСТВЕННОСТЬЮ "АМУР ЗОЛОТО"</t>
        </is>
      </c>
      <c r="F1980" s="1" t="inlineStr">
        <is>
          <t>2708001686</t>
        </is>
      </c>
      <c r="G1980" s="1" t="inlineStr">
        <is>
          <t>Помощник машиниста самоходной буровой установки (с исполнением обязанностей пробоотборщика) (Очистное)</t>
        </is>
      </c>
      <c r="H1980" s="1" t="inlineStr">
        <is>
          <t>ООО "Амур Золото"</t>
        </is>
      </c>
      <c r="I1980" s="1" t="inlineStr">
        <is>
          <t>2708001686</t>
        </is>
      </c>
      <c r="J1980" s="1" t="inlineStr">
        <is>
          <t>ОТ № ЮГОК ПГУ 23-25</t>
        </is>
      </c>
      <c r="K1980" s="1" t="inlineStr">
        <is>
          <t>Использование (применение) средств индивидуальной защиты</t>
        </is>
      </c>
      <c r="L1980" s="1" t="inlineStr">
        <is>
          <t>09.07.2025</t>
        </is>
      </c>
      <c r="M1980" s="1" t="inlineStr">
        <is>
          <t>Успешно</t>
        </is>
      </c>
      <c r="N1980" s="1" t="inlineStr">
        <is>
          <t>06.08.2025</t>
        </is>
      </c>
      <c r="O1980" s="1" t="inlineStr"/>
      <c r="P1980" s="1" t="inlineStr"/>
      <c r="Q1980" s="1" t="inlineStr">
        <is>
          <t>Пользовательский интерфейс</t>
        </is>
      </c>
    </row>
    <row r="1981">
      <c r="B1981" s="1" t="inlineStr">
        <is>
          <t>136189680</t>
        </is>
      </c>
      <c r="C1981" s="1" t="inlineStr">
        <is>
          <t>10216156</t>
        </is>
      </c>
      <c r="D1981" t="inlineStr">
        <is>
          <t>работник 579</t>
        </is>
      </c>
      <c r="E1981" s="1" t="inlineStr">
        <is>
          <t>ОБЩЕСТВО С ОГРАНИЧЕННОЙ ОТВЕТСТВЕННОСТЬЮ "АМУР ЗОЛОТО"</t>
        </is>
      </c>
      <c r="F1981" s="1" t="inlineStr">
        <is>
          <t>2708001686</t>
        </is>
      </c>
      <c r="G1981" s="1" t="inlineStr">
        <is>
          <t>Помощник машиниста самоходной буровой установки (с исполнением обязанностей пробоотборщика) (Очистное)</t>
        </is>
      </c>
      <c r="H1981" s="1" t="inlineStr">
        <is>
          <t>ООО "Амур Золото"</t>
        </is>
      </c>
      <c r="I1981" s="1" t="inlineStr">
        <is>
          <t>2708001686</t>
        </is>
      </c>
      <c r="J1981" s="1" t="inlineStr">
        <is>
          <t>ОТ № ЮГОК ПГУ 23-25</t>
        </is>
      </c>
      <c r="K198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981" s="1" t="inlineStr">
        <is>
          <t>09.07.2025</t>
        </is>
      </c>
      <c r="M1981" s="1" t="inlineStr">
        <is>
          <t>Успешно</t>
        </is>
      </c>
      <c r="N1981" s="1" t="inlineStr">
        <is>
          <t>06.08.2025</t>
        </is>
      </c>
      <c r="O1981" s="1" t="inlineStr"/>
      <c r="P1981" s="1" t="inlineStr"/>
      <c r="Q1981" s="1" t="inlineStr">
        <is>
          <t>Пользовательский интерфейс</t>
        </is>
      </c>
    </row>
    <row r="1982">
      <c r="B1982" s="1" t="inlineStr">
        <is>
          <t>136189681</t>
        </is>
      </c>
      <c r="C1982" s="1" t="inlineStr">
        <is>
          <t>10216156</t>
        </is>
      </c>
      <c r="D1982" t="inlineStr">
        <is>
          <t>работник 546</t>
        </is>
      </c>
      <c r="E1982" s="1" t="inlineStr">
        <is>
          <t>ОБЩЕСТВО С ОГРАНИЧЕННОЙ ОТВЕТСТВЕННОСТЬЮ "АМУР ЗОЛОТО"</t>
        </is>
      </c>
      <c r="F1982" s="1" t="inlineStr">
        <is>
          <t>2708001686</t>
        </is>
      </c>
      <c r="G1982" s="1" t="inlineStr">
        <is>
          <t>Машинист погрузочно-доставочной машины</t>
        </is>
      </c>
      <c r="H1982" s="1" t="inlineStr">
        <is>
          <t>ООО "Амур Золото"</t>
        </is>
      </c>
      <c r="I1982" s="1" t="inlineStr">
        <is>
          <t>2708001686</t>
        </is>
      </c>
      <c r="J1982" s="1" t="inlineStr">
        <is>
          <t>ОТ № ЮГОК ПГУ 24-25</t>
        </is>
      </c>
      <c r="K1982" s="1" t="inlineStr">
        <is>
          <t>Использование (применение) средств индивидуальной защиты</t>
        </is>
      </c>
      <c r="L1982" s="1" t="inlineStr">
        <is>
          <t>01.08.2025</t>
        </is>
      </c>
      <c r="M1982" s="1" t="inlineStr">
        <is>
          <t>Успешно</t>
        </is>
      </c>
      <c r="N1982" s="1" t="inlineStr">
        <is>
          <t>06.08.2025</t>
        </is>
      </c>
      <c r="O1982" s="1" t="inlineStr"/>
      <c r="P1982" s="1" t="inlineStr"/>
      <c r="Q1982" s="1" t="inlineStr">
        <is>
          <t>Пользовательский интерфейс</t>
        </is>
      </c>
    </row>
    <row r="1983">
      <c r="B1983" s="1" t="inlineStr">
        <is>
          <t>136189682</t>
        </is>
      </c>
      <c r="C1983" s="1" t="inlineStr">
        <is>
          <t>10216156</t>
        </is>
      </c>
      <c r="D1983" t="inlineStr">
        <is>
          <t>работник 546</t>
        </is>
      </c>
      <c r="E1983" s="1" t="inlineStr">
        <is>
          <t>ОБЩЕСТВО С ОГРАНИЧЕННОЙ ОТВЕТСТВЕННОСТЬЮ "АМУР ЗОЛОТО"</t>
        </is>
      </c>
      <c r="F1983" s="1" t="inlineStr">
        <is>
          <t>2708001686</t>
        </is>
      </c>
      <c r="G1983" s="1" t="inlineStr">
        <is>
          <t>Машинист погрузочно-доставочной машины</t>
        </is>
      </c>
      <c r="H1983" s="1" t="inlineStr">
        <is>
          <t>ООО "Амур Золото"</t>
        </is>
      </c>
      <c r="I1983" s="1" t="inlineStr">
        <is>
          <t>2708001686</t>
        </is>
      </c>
      <c r="J1983" s="1" t="inlineStr">
        <is>
          <t>ОТ № ЮГОК ПГУ 24-25</t>
        </is>
      </c>
      <c r="K198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983" s="1" t="inlineStr">
        <is>
          <t>01.08.2025</t>
        </is>
      </c>
      <c r="M1983" s="1" t="inlineStr">
        <is>
          <t>Успешно</t>
        </is>
      </c>
      <c r="N1983" s="1" t="inlineStr">
        <is>
          <t>06.08.2025</t>
        </is>
      </c>
      <c r="O1983" s="1" t="inlineStr"/>
      <c r="P1983" s="1" t="inlineStr"/>
      <c r="Q1983" s="1" t="inlineStr">
        <is>
          <t>Пользовательский интерфейс</t>
        </is>
      </c>
    </row>
    <row r="1984">
      <c r="B1984" s="1" t="inlineStr">
        <is>
          <t>140199188</t>
        </is>
      </c>
      <c r="C1984" s="1" t="inlineStr">
        <is>
          <t>10521539</t>
        </is>
      </c>
      <c r="D1984" t="inlineStr">
        <is>
          <t>работник 580</t>
        </is>
      </c>
      <c r="E1984" s="1" t="inlineStr">
        <is>
          <t>ОБЩЕСТВО С ОГРАНИЧЕННОЙ ОТВЕТСТВЕННОСТЬЮ "АМУР ЗОЛОТО"</t>
        </is>
      </c>
      <c r="F1984" s="1" t="inlineStr">
        <is>
          <t>2708001686</t>
        </is>
      </c>
      <c r="G1984" s="1" t="inlineStr">
        <is>
          <t>Контролер</t>
        </is>
      </c>
      <c r="H1984" s="1" t="inlineStr">
        <is>
          <t>ООО "Амур Золото"</t>
        </is>
      </c>
      <c r="I1984" s="1" t="inlineStr">
        <is>
          <t>2708001686</t>
        </is>
      </c>
      <c r="J1984" s="1" t="inlineStr">
        <is>
          <t>ОТ № ЮГОК СОБ 25-02</t>
        </is>
      </c>
      <c r="K1984" s="1" t="inlineStr">
        <is>
          <t>Использование (применение) средств индивидуальной защиты</t>
        </is>
      </c>
      <c r="L1984" s="1" t="inlineStr">
        <is>
          <t>06.08.2025</t>
        </is>
      </c>
      <c r="M1984" s="1" t="inlineStr">
        <is>
          <t>Успешно</t>
        </is>
      </c>
      <c r="N1984" s="1" t="inlineStr">
        <is>
          <t>29.08.2025</t>
        </is>
      </c>
      <c r="O1984" s="1" t="inlineStr"/>
      <c r="P1984" s="1" t="inlineStr"/>
      <c r="Q1984" s="1" t="inlineStr">
        <is>
          <t>Пользовательский интерфейс</t>
        </is>
      </c>
    </row>
    <row r="1985">
      <c r="B1985" s="1" t="inlineStr">
        <is>
          <t>140199189</t>
        </is>
      </c>
      <c r="C1985" s="1" t="inlineStr">
        <is>
          <t>10521539</t>
        </is>
      </c>
      <c r="D1985" t="inlineStr">
        <is>
          <t>работник 580</t>
        </is>
      </c>
      <c r="E1985" s="1" t="inlineStr">
        <is>
          <t>ОБЩЕСТВО С ОГРАНИЧЕННОЙ ОТВЕТСТВЕННОСТЬЮ "АМУР ЗОЛОТО"</t>
        </is>
      </c>
      <c r="F1985" s="1" t="inlineStr">
        <is>
          <t>2708001686</t>
        </is>
      </c>
      <c r="G1985" s="1" t="inlineStr">
        <is>
          <t>Контролер</t>
        </is>
      </c>
      <c r="H1985" s="1" t="inlineStr">
        <is>
          <t>ООО "Амур Золото"</t>
        </is>
      </c>
      <c r="I1985" s="1" t="inlineStr">
        <is>
          <t>2708001686</t>
        </is>
      </c>
      <c r="J1985" s="1" t="inlineStr">
        <is>
          <t>ОТ № ЮГОК СОБ 25-02</t>
        </is>
      </c>
      <c r="K198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985" s="1" t="inlineStr">
        <is>
          <t>06.08.2025</t>
        </is>
      </c>
      <c r="M1985" s="1" t="inlineStr">
        <is>
          <t>Успешно</t>
        </is>
      </c>
      <c r="N1985" s="1" t="inlineStr">
        <is>
          <t>29.08.2025</t>
        </is>
      </c>
      <c r="O1985" s="1" t="inlineStr"/>
      <c r="P1985" s="1" t="inlineStr"/>
      <c r="Q1985" s="1" t="inlineStr">
        <is>
          <t>Пользовательский интерфейс</t>
        </is>
      </c>
    </row>
    <row r="1986">
      <c r="B1986" s="1" t="inlineStr">
        <is>
          <t>144713845</t>
        </is>
      </c>
      <c r="C1986" s="1" t="inlineStr">
        <is>
          <t>10845617</t>
        </is>
      </c>
      <c r="D1986" t="inlineStr">
        <is>
          <t>работник 508</t>
        </is>
      </c>
      <c r="E1986" s="1" t="inlineStr">
        <is>
          <t>ОБЩЕСТВО С ОГРАНИЧЕННОЙ ОТВЕТСТВЕННОСТЬЮ "АМУР ЗОЛОТО"</t>
        </is>
      </c>
      <c r="F1986" s="1" t="inlineStr">
        <is>
          <t>2708001686</t>
        </is>
      </c>
      <c r="G1986" s="1" t="inlineStr">
        <is>
          <t>Горнорабочий на геологических работах</t>
        </is>
      </c>
      <c r="H1986" s="1" t="inlineStr">
        <is>
          <t>ООО "Амур Золото"</t>
        </is>
      </c>
      <c r="I1986" s="1" t="inlineStr">
        <is>
          <t>2708001686</t>
        </is>
      </c>
      <c r="J1986" s="1" t="inlineStr">
        <is>
          <t>ОТ № ЮГОК ГМО 25-05</t>
        </is>
      </c>
      <c r="K1986" s="1" t="inlineStr">
        <is>
          <t>Использование (применение) средств индивидуальной защиты</t>
        </is>
      </c>
      <c r="L1986" s="1" t="inlineStr">
        <is>
          <t>08.09.2025</t>
        </is>
      </c>
      <c r="M1986" s="1" t="inlineStr">
        <is>
          <t>Успешно</t>
        </is>
      </c>
      <c r="N1986" s="1" t="inlineStr">
        <is>
          <t>23.09.2025</t>
        </is>
      </c>
      <c r="O1986" s="1" t="inlineStr"/>
      <c r="P1986" s="1" t="inlineStr"/>
      <c r="Q1986" s="1" t="inlineStr">
        <is>
          <t>Пользовательский интерфейс</t>
        </is>
      </c>
    </row>
    <row r="1987">
      <c r="B1987" s="1" t="inlineStr">
        <is>
          <t>144713846</t>
        </is>
      </c>
      <c r="C1987" s="1" t="inlineStr">
        <is>
          <t>10845617</t>
        </is>
      </c>
      <c r="D1987" t="inlineStr">
        <is>
          <t>работник 508</t>
        </is>
      </c>
      <c r="E1987" s="1" t="inlineStr">
        <is>
          <t>ОБЩЕСТВО С ОГРАНИЧЕННОЙ ОТВЕТСТВЕННОСТЬЮ "АМУР ЗОЛОТО"</t>
        </is>
      </c>
      <c r="F1987" s="1" t="inlineStr">
        <is>
          <t>2708001686</t>
        </is>
      </c>
      <c r="G1987" s="1" t="inlineStr">
        <is>
          <t>Горнорабочий на геологических работах</t>
        </is>
      </c>
      <c r="H1987" s="1" t="inlineStr">
        <is>
          <t>ООО "Амур Золото"</t>
        </is>
      </c>
      <c r="I1987" s="1" t="inlineStr">
        <is>
          <t>2708001686</t>
        </is>
      </c>
      <c r="J1987" s="1" t="inlineStr">
        <is>
          <t>ОТ № ЮГОК ГМО 25-05</t>
        </is>
      </c>
      <c r="K198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987" s="1" t="inlineStr">
        <is>
          <t>08.09.2025</t>
        </is>
      </c>
      <c r="M1987" s="1" t="inlineStr">
        <is>
          <t>Успешно</t>
        </is>
      </c>
      <c r="N1987" s="1" t="inlineStr">
        <is>
          <t>23.09.2025</t>
        </is>
      </c>
      <c r="O1987" s="1" t="inlineStr"/>
      <c r="P1987" s="1" t="inlineStr"/>
      <c r="Q1987" s="1" t="inlineStr">
        <is>
          <t>Пользовательский интерфейс</t>
        </is>
      </c>
    </row>
    <row r="1988">
      <c r="B1988" s="1" t="inlineStr">
        <is>
          <t>144713847</t>
        </is>
      </c>
      <c r="C1988" s="1" t="inlineStr">
        <is>
          <t>10845617</t>
        </is>
      </c>
      <c r="D1988" t="inlineStr">
        <is>
          <t>работник 581</t>
        </is>
      </c>
      <c r="E1988" s="1" t="inlineStr">
        <is>
          <t>ОБЩЕСТВО С ОГРАНИЧЕННОЙ ОТВЕТСТВЕННОСТЬЮ "АМУР ЗОЛОТО"</t>
        </is>
      </c>
      <c r="F1988" s="1" t="inlineStr">
        <is>
          <t>2708001686</t>
        </is>
      </c>
      <c r="G1988" s="1" t="inlineStr">
        <is>
          <t>Электромонтер по ремонту и обслуживанию электрооборудования</t>
        </is>
      </c>
      <c r="H1988" s="1" t="inlineStr">
        <is>
          <t>ООО "Амур Золото"</t>
        </is>
      </c>
      <c r="I1988" s="1" t="inlineStr">
        <is>
          <t>2708001686</t>
        </is>
      </c>
      <c r="J1988" s="1" t="inlineStr">
        <is>
          <t>ОТ № ЮГОК ЗИОФ 25-26</t>
        </is>
      </c>
      <c r="K1988" s="1" t="inlineStr">
        <is>
          <t>Использование (применение) средств индивидуальной защиты</t>
        </is>
      </c>
      <c r="L1988" s="1" t="inlineStr">
        <is>
          <t>22.08.2025</t>
        </is>
      </c>
      <c r="M1988" s="1" t="inlineStr">
        <is>
          <t>Успешно</t>
        </is>
      </c>
      <c r="N1988" s="1" t="inlineStr">
        <is>
          <t>23.09.2025</t>
        </is>
      </c>
      <c r="O1988" s="1" t="inlineStr"/>
      <c r="P1988" s="1" t="inlineStr"/>
      <c r="Q1988" s="1" t="inlineStr">
        <is>
          <t>Пользовательский интерфейс</t>
        </is>
      </c>
    </row>
    <row r="1989">
      <c r="B1989" s="1" t="inlineStr">
        <is>
          <t>144713848</t>
        </is>
      </c>
      <c r="C1989" s="1" t="inlineStr">
        <is>
          <t>10845617</t>
        </is>
      </c>
      <c r="D1989" t="inlineStr">
        <is>
          <t>работник 581</t>
        </is>
      </c>
      <c r="E1989" s="1" t="inlineStr">
        <is>
          <t>ОБЩЕСТВО С ОГРАНИЧЕННОЙ ОТВЕТСТВЕННОСТЬЮ "АМУР ЗОЛОТО"</t>
        </is>
      </c>
      <c r="F1989" s="1" t="inlineStr">
        <is>
          <t>2708001686</t>
        </is>
      </c>
      <c r="G1989" s="1" t="inlineStr">
        <is>
          <t>Электромонтер по ремонту и обслуживанию электрооборудования</t>
        </is>
      </c>
      <c r="H1989" s="1" t="inlineStr">
        <is>
          <t>ООО "Амур Золото"</t>
        </is>
      </c>
      <c r="I1989" s="1" t="inlineStr">
        <is>
          <t>2708001686</t>
        </is>
      </c>
      <c r="J1989" s="1" t="inlineStr">
        <is>
          <t>ОТ № ЮГОК ЗИОФ 25-26</t>
        </is>
      </c>
      <c r="K198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989" s="1" t="inlineStr">
        <is>
          <t>22.08.2025</t>
        </is>
      </c>
      <c r="M1989" s="1" t="inlineStr">
        <is>
          <t>Успешно</t>
        </is>
      </c>
      <c r="N1989" s="1" t="inlineStr">
        <is>
          <t>23.09.2025</t>
        </is>
      </c>
      <c r="O1989" s="1" t="inlineStr"/>
      <c r="P1989" s="1" t="inlineStr"/>
      <c r="Q1989" s="1" t="inlineStr">
        <is>
          <t>Пользовательский интерфейс</t>
        </is>
      </c>
    </row>
    <row r="1990">
      <c r="B1990" s="1" t="inlineStr">
        <is>
          <t>144713849</t>
        </is>
      </c>
      <c r="C1990" s="1" t="inlineStr">
        <is>
          <t>10845617</t>
        </is>
      </c>
      <c r="D1990" t="inlineStr">
        <is>
          <t>работник 582</t>
        </is>
      </c>
      <c r="E1990" s="1" t="inlineStr">
        <is>
          <t>ОБЩЕСТВО С ОГРАНИЧЕННОЙ ОТВЕТСТВЕННОСТЬЮ "АМУР ЗОЛОТО"</t>
        </is>
      </c>
      <c r="F1990" s="1" t="inlineStr">
        <is>
          <t>2708001686</t>
        </is>
      </c>
      <c r="G1990" s="1" t="inlineStr">
        <is>
          <t>Бункеровщик</t>
        </is>
      </c>
      <c r="H1990" s="1" t="inlineStr">
        <is>
          <t>ООО "Амур Золото"</t>
        </is>
      </c>
      <c r="I1990" s="1" t="inlineStr">
        <is>
          <t>2708001686</t>
        </is>
      </c>
      <c r="J1990" s="1" t="inlineStr">
        <is>
          <t>ОТ № ЮГОК ЗИОФ 25-26</t>
        </is>
      </c>
      <c r="K1990" s="1" t="inlineStr">
        <is>
          <t>Использование (применение) средств индивидуальной защиты</t>
        </is>
      </c>
      <c r="L1990" s="1" t="inlineStr">
        <is>
          <t>22.08.2025</t>
        </is>
      </c>
      <c r="M1990" s="1" t="inlineStr">
        <is>
          <t>Успешно</t>
        </is>
      </c>
      <c r="N1990" s="1" t="inlineStr">
        <is>
          <t>23.09.2025</t>
        </is>
      </c>
      <c r="O1990" s="1" t="inlineStr"/>
      <c r="P1990" s="1" t="inlineStr"/>
      <c r="Q1990" s="1" t="inlineStr">
        <is>
          <t>Пользовательский интерфейс</t>
        </is>
      </c>
    </row>
    <row r="1991">
      <c r="B1991" s="1" t="inlineStr">
        <is>
          <t>144713850</t>
        </is>
      </c>
      <c r="C1991" s="1" t="inlineStr">
        <is>
          <t>10845617</t>
        </is>
      </c>
      <c r="D1991" t="inlineStr">
        <is>
          <t>работник 582</t>
        </is>
      </c>
      <c r="E1991" s="1" t="inlineStr">
        <is>
          <t>ОБЩЕСТВО С ОГРАНИЧЕННОЙ ОТВЕТСТВЕННОСТЬЮ "АМУР ЗОЛОТО"</t>
        </is>
      </c>
      <c r="F1991" s="1" t="inlineStr">
        <is>
          <t>2708001686</t>
        </is>
      </c>
      <c r="G1991" s="1" t="inlineStr">
        <is>
          <t>Бункеровщик</t>
        </is>
      </c>
      <c r="H1991" s="1" t="inlineStr">
        <is>
          <t>ООО "Амур Золото"</t>
        </is>
      </c>
      <c r="I1991" s="1" t="inlineStr">
        <is>
          <t>2708001686</t>
        </is>
      </c>
      <c r="J1991" s="1" t="inlineStr">
        <is>
          <t>ОТ № ЮГОК ЗИОФ 25-26</t>
        </is>
      </c>
      <c r="K199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991" s="1" t="inlineStr">
        <is>
          <t>22.08.2025</t>
        </is>
      </c>
      <c r="M1991" s="1" t="inlineStr">
        <is>
          <t>Успешно</t>
        </is>
      </c>
      <c r="N1991" s="1" t="inlineStr">
        <is>
          <t>23.09.2025</t>
        </is>
      </c>
      <c r="O1991" s="1" t="inlineStr"/>
      <c r="P1991" s="1" t="inlineStr"/>
      <c r="Q1991" s="1" t="inlineStr">
        <is>
          <t>Пользовательский интерфейс</t>
        </is>
      </c>
    </row>
    <row r="1992">
      <c r="B1992" s="1" t="inlineStr">
        <is>
          <t>144713851</t>
        </is>
      </c>
      <c r="C1992" s="1" t="inlineStr">
        <is>
          <t>10845617</t>
        </is>
      </c>
      <c r="D1992" t="inlineStr">
        <is>
          <t>работник 583</t>
        </is>
      </c>
      <c r="E1992" s="1" t="inlineStr">
        <is>
          <t>ОБЩЕСТВО С ОГРАНИЧЕННОЙ ОТВЕТСТВЕННОСТЬЮ "АМУР ЗОЛОТО"</t>
        </is>
      </c>
      <c r="F1992" s="1" t="inlineStr">
        <is>
          <t>2708001686</t>
        </is>
      </c>
      <c r="G1992" s="1" t="inlineStr">
        <is>
          <t>Аппаратчик-гидрометаллург</t>
        </is>
      </c>
      <c r="H1992" s="1" t="inlineStr">
        <is>
          <t>ООО "Амур Золото"</t>
        </is>
      </c>
      <c r="I1992" s="1" t="inlineStr">
        <is>
          <t>2708001686</t>
        </is>
      </c>
      <c r="J1992" s="1" t="inlineStr">
        <is>
          <t>ОТ № ЮГОК ЗИОФ 25-27</t>
        </is>
      </c>
      <c r="K1992" s="1" t="inlineStr">
        <is>
          <t>Использование (применение) средств индивидуальной защиты</t>
        </is>
      </c>
      <c r="L1992" s="1" t="inlineStr">
        <is>
          <t>09.09.2025</t>
        </is>
      </c>
      <c r="M1992" s="1" t="inlineStr">
        <is>
          <t>Успешно</t>
        </is>
      </c>
      <c r="N1992" s="1" t="inlineStr">
        <is>
          <t>23.09.2025</t>
        </is>
      </c>
      <c r="O1992" s="1" t="inlineStr"/>
      <c r="P1992" s="1" t="inlineStr"/>
      <c r="Q1992" s="1" t="inlineStr">
        <is>
          <t>Пользовательский интерфейс</t>
        </is>
      </c>
    </row>
    <row r="1993">
      <c r="B1993" s="1" t="inlineStr">
        <is>
          <t>144713852</t>
        </is>
      </c>
      <c r="C1993" s="1" t="inlineStr">
        <is>
          <t>10845617</t>
        </is>
      </c>
      <c r="D1993" t="inlineStr">
        <is>
          <t>работник 583</t>
        </is>
      </c>
      <c r="E1993" s="1" t="inlineStr">
        <is>
          <t>ОБЩЕСТВО С ОГРАНИЧЕННОЙ ОТВЕТСТВЕННОСТЬЮ "АМУР ЗОЛОТО"</t>
        </is>
      </c>
      <c r="F1993" s="1" t="inlineStr">
        <is>
          <t>2708001686</t>
        </is>
      </c>
      <c r="G1993" s="1" t="inlineStr">
        <is>
          <t>Аппаратчик-гидрометаллург</t>
        </is>
      </c>
      <c r="H1993" s="1" t="inlineStr">
        <is>
          <t>ООО "Амур Золото"</t>
        </is>
      </c>
      <c r="I1993" s="1" t="inlineStr">
        <is>
          <t>2708001686</t>
        </is>
      </c>
      <c r="J1993" s="1" t="inlineStr">
        <is>
          <t>ОТ № ЮГОК ЗИОФ 25-27</t>
        </is>
      </c>
      <c r="K199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993" s="1" t="inlineStr">
        <is>
          <t>09.09.2025</t>
        </is>
      </c>
      <c r="M1993" s="1" t="inlineStr">
        <is>
          <t>Успешно</t>
        </is>
      </c>
      <c r="N1993" s="1" t="inlineStr">
        <is>
          <t>23.09.2025</t>
        </is>
      </c>
      <c r="O1993" s="1" t="inlineStr"/>
      <c r="P1993" s="1" t="inlineStr"/>
      <c r="Q1993" s="1" t="inlineStr">
        <is>
          <t>Пользовательский интерфейс</t>
        </is>
      </c>
    </row>
    <row r="1994">
      <c r="B1994" s="1" t="inlineStr">
        <is>
          <t>144713853</t>
        </is>
      </c>
      <c r="C1994" s="1" t="inlineStr">
        <is>
          <t>10845617</t>
        </is>
      </c>
      <c r="D1994" t="inlineStr">
        <is>
          <t>работник 584</t>
        </is>
      </c>
      <c r="E1994" s="1" t="inlineStr">
        <is>
          <t>ОБЩЕСТВО С ОГРАНИЧЕННОЙ ОТВЕТСТВЕННОСТЬЮ "АМУР ЗОЛОТО"</t>
        </is>
      </c>
      <c r="F1994" s="1" t="inlineStr">
        <is>
          <t>2708001686</t>
        </is>
      </c>
      <c r="G1994" s="1" t="inlineStr">
        <is>
          <t>Растворщик реагентов</t>
        </is>
      </c>
      <c r="H1994" s="1" t="inlineStr">
        <is>
          <t>ООО "Амур Золото"</t>
        </is>
      </c>
      <c r="I1994" s="1" t="inlineStr">
        <is>
          <t>2708001686</t>
        </is>
      </c>
      <c r="J1994" s="1" t="inlineStr">
        <is>
          <t>ОТ № ЮГОК ЗИОФ 25-28</t>
        </is>
      </c>
      <c r="K1994" s="1" t="inlineStr">
        <is>
          <t>Использование (применение) средств индивидуальной защиты</t>
        </is>
      </c>
      <c r="L1994" s="1" t="inlineStr">
        <is>
          <t>09.09.2025</t>
        </is>
      </c>
      <c r="M1994" s="1" t="inlineStr">
        <is>
          <t>Успешно</t>
        </is>
      </c>
      <c r="N1994" s="1" t="inlineStr">
        <is>
          <t>23.09.2025</t>
        </is>
      </c>
      <c r="O1994" s="1" t="inlineStr"/>
      <c r="P1994" s="1" t="inlineStr"/>
      <c r="Q1994" s="1" t="inlineStr">
        <is>
          <t>Пользовательский интерфейс</t>
        </is>
      </c>
    </row>
    <row r="1995">
      <c r="B1995" s="1" t="inlineStr">
        <is>
          <t>144713854</t>
        </is>
      </c>
      <c r="C1995" s="1" t="inlineStr">
        <is>
          <t>10845617</t>
        </is>
      </c>
      <c r="D1995" t="inlineStr">
        <is>
          <t>работник 584</t>
        </is>
      </c>
      <c r="E1995" s="1" t="inlineStr">
        <is>
          <t>ОБЩЕСТВО С ОГРАНИЧЕННОЙ ОТВЕТСТВЕННОСТЬЮ "АМУР ЗОЛОТО"</t>
        </is>
      </c>
      <c r="F1995" s="1" t="inlineStr">
        <is>
          <t>2708001686</t>
        </is>
      </c>
      <c r="G1995" s="1" t="inlineStr">
        <is>
          <t>Растворщик реагентов</t>
        </is>
      </c>
      <c r="H1995" s="1" t="inlineStr">
        <is>
          <t>ООО "Амур Золото"</t>
        </is>
      </c>
      <c r="I1995" s="1" t="inlineStr">
        <is>
          <t>2708001686</t>
        </is>
      </c>
      <c r="J1995" s="1" t="inlineStr">
        <is>
          <t>ОТ № ЮГОК ЗИОФ 25-28</t>
        </is>
      </c>
      <c r="K199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995" s="1" t="inlineStr">
        <is>
          <t>09.09.2025</t>
        </is>
      </c>
      <c r="M1995" s="1" t="inlineStr">
        <is>
          <t>Успешно</t>
        </is>
      </c>
      <c r="N1995" s="1" t="inlineStr">
        <is>
          <t>23.09.2025</t>
        </is>
      </c>
      <c r="O1995" s="1" t="inlineStr"/>
      <c r="P1995" s="1" t="inlineStr"/>
      <c r="Q1995" s="1" t="inlineStr">
        <is>
          <t>Пользовательский интерфейс</t>
        </is>
      </c>
    </row>
    <row r="1996">
      <c r="B1996" s="1" t="inlineStr">
        <is>
          <t>144713855</t>
        </is>
      </c>
      <c r="C1996" s="1" t="inlineStr">
        <is>
          <t>10845617</t>
        </is>
      </c>
      <c r="D1996" t="inlineStr">
        <is>
          <t>работник 585</t>
        </is>
      </c>
      <c r="E1996" s="1" t="inlineStr">
        <is>
          <t>ОБЩЕСТВО С ОГРАНИЧЕННОЙ ОТВЕТСТВЕННОСТЬЮ "АМУР ЗОЛОТО"</t>
        </is>
      </c>
      <c r="F1996" s="1" t="inlineStr">
        <is>
          <t>2708001686</t>
        </is>
      </c>
      <c r="G1996" s="1" t="inlineStr">
        <is>
          <t>Фильтровальщик</t>
        </is>
      </c>
      <c r="H1996" s="1" t="inlineStr">
        <is>
          <t>ООО "Амур Золото"</t>
        </is>
      </c>
      <c r="I1996" s="1" t="inlineStr">
        <is>
          <t>2708001686</t>
        </is>
      </c>
      <c r="J1996" s="1" t="inlineStr">
        <is>
          <t>ОТ № ЮГОК ЗИОФ 25-29</t>
        </is>
      </c>
      <c r="K1996" s="1" t="inlineStr">
        <is>
          <t>Использование (применение) средств индивидуальной защиты</t>
        </is>
      </c>
      <c r="L1996" s="1" t="inlineStr">
        <is>
          <t>13.09.2025</t>
        </is>
      </c>
      <c r="M1996" s="1" t="inlineStr">
        <is>
          <t>Успешно</t>
        </is>
      </c>
      <c r="N1996" s="1" t="inlineStr">
        <is>
          <t>23.09.2025</t>
        </is>
      </c>
      <c r="O1996" s="1" t="inlineStr"/>
      <c r="P1996" s="1" t="inlineStr"/>
      <c r="Q1996" s="1" t="inlineStr">
        <is>
          <t>Пользовательский интерфейс</t>
        </is>
      </c>
    </row>
    <row r="1997">
      <c r="B1997" s="1" t="inlineStr">
        <is>
          <t>144713856</t>
        </is>
      </c>
      <c r="C1997" s="1" t="inlineStr">
        <is>
          <t>10845617</t>
        </is>
      </c>
      <c r="D1997" t="inlineStr">
        <is>
          <t>работник 585</t>
        </is>
      </c>
      <c r="E1997" s="1" t="inlineStr">
        <is>
          <t>ОБЩЕСТВО С ОГРАНИЧЕННОЙ ОТВЕТСТВЕННОСТЬЮ "АМУР ЗОЛОТО"</t>
        </is>
      </c>
      <c r="F1997" s="1" t="inlineStr">
        <is>
          <t>2708001686</t>
        </is>
      </c>
      <c r="G1997" s="1" t="inlineStr">
        <is>
          <t>Фильтровальщик</t>
        </is>
      </c>
      <c r="H1997" s="1" t="inlineStr">
        <is>
          <t>ООО "Амур Золото"</t>
        </is>
      </c>
      <c r="I1997" s="1" t="inlineStr">
        <is>
          <t>2708001686</t>
        </is>
      </c>
      <c r="J1997" s="1" t="inlineStr">
        <is>
          <t>ОТ № ЮГОК ЗИОФ 25-29</t>
        </is>
      </c>
      <c r="K199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997" s="1" t="inlineStr">
        <is>
          <t>13.09.2025</t>
        </is>
      </c>
      <c r="M1997" s="1" t="inlineStr">
        <is>
          <t>Успешно</t>
        </is>
      </c>
      <c r="N1997" s="1" t="inlineStr">
        <is>
          <t>23.09.2025</t>
        </is>
      </c>
      <c r="O1997" s="1" t="inlineStr"/>
      <c r="P1997" s="1" t="inlineStr"/>
      <c r="Q1997" s="1" t="inlineStr">
        <is>
          <t>Пользовательский интерфейс</t>
        </is>
      </c>
    </row>
    <row r="1998">
      <c r="B1998" s="1" t="inlineStr">
        <is>
          <t>144713857</t>
        </is>
      </c>
      <c r="C1998" s="1" t="inlineStr">
        <is>
          <t>10845617</t>
        </is>
      </c>
      <c r="D1998" t="inlineStr">
        <is>
          <t>работник 402</t>
        </is>
      </c>
      <c r="E1998" s="1" t="inlineStr">
        <is>
          <t>ОБЩЕСТВО С ОГРАНИЧЕННОЙ ОТВЕТСТВЕННОСТЬЮ "АМУР ЗОЛОТО"</t>
        </is>
      </c>
      <c r="F1998" s="1" t="inlineStr">
        <is>
          <t>2708001686</t>
        </is>
      </c>
      <c r="G1998" s="1" t="inlineStr">
        <is>
          <t>Лаборант пробирного анализа</t>
        </is>
      </c>
      <c r="H1998" s="1" t="inlineStr">
        <is>
          <t>ООО "Амур Золото"</t>
        </is>
      </c>
      <c r="I1998" s="1" t="inlineStr">
        <is>
          <t>2708001686</t>
        </is>
      </c>
      <c r="J1998" s="1" t="inlineStr">
        <is>
          <t>ОТ № ЮГОК ПАЛ 25-07</t>
        </is>
      </c>
      <c r="K1998" s="1" t="inlineStr">
        <is>
          <t>Использование (применение) средств индивидуальной защиты</t>
        </is>
      </c>
      <c r="L1998" s="1" t="inlineStr">
        <is>
          <t>26.07.2025</t>
        </is>
      </c>
      <c r="M1998" s="1" t="inlineStr">
        <is>
          <t>Успешно</t>
        </is>
      </c>
      <c r="N1998" s="1" t="inlineStr">
        <is>
          <t>23.09.2025</t>
        </is>
      </c>
      <c r="O1998" s="1" t="inlineStr"/>
      <c r="P1998" s="1" t="inlineStr"/>
      <c r="Q1998" s="1" t="inlineStr">
        <is>
          <t>Пользовательский интерфейс</t>
        </is>
      </c>
    </row>
    <row r="1999">
      <c r="B1999" s="1" t="inlineStr">
        <is>
          <t>144713858</t>
        </is>
      </c>
      <c r="C1999" s="1" t="inlineStr">
        <is>
          <t>10845617</t>
        </is>
      </c>
      <c r="D1999" t="inlineStr">
        <is>
          <t>работник 402</t>
        </is>
      </c>
      <c r="E1999" s="1" t="inlineStr">
        <is>
          <t>ОБЩЕСТВО С ОГРАНИЧЕННОЙ ОТВЕТСТВЕННОСТЬЮ "АМУР ЗОЛОТО"</t>
        </is>
      </c>
      <c r="F1999" s="1" t="inlineStr">
        <is>
          <t>2708001686</t>
        </is>
      </c>
      <c r="G1999" s="1" t="inlineStr">
        <is>
          <t>Лаборант пробирного анализа</t>
        </is>
      </c>
      <c r="H1999" s="1" t="inlineStr">
        <is>
          <t>ООО "Амур Золото"</t>
        </is>
      </c>
      <c r="I1999" s="1" t="inlineStr">
        <is>
          <t>2708001686</t>
        </is>
      </c>
      <c r="J1999" s="1" t="inlineStr">
        <is>
          <t>ОТ № ЮГОК ПАЛ 25-07</t>
        </is>
      </c>
      <c r="K199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1999" s="1" t="inlineStr">
        <is>
          <t>26.07.2025</t>
        </is>
      </c>
      <c r="M1999" s="1" t="inlineStr">
        <is>
          <t>Успешно</t>
        </is>
      </c>
      <c r="N1999" s="1" t="inlineStr">
        <is>
          <t>23.09.2025</t>
        </is>
      </c>
      <c r="O1999" s="1" t="inlineStr"/>
      <c r="P1999" s="1" t="inlineStr"/>
      <c r="Q1999" s="1" t="inlineStr">
        <is>
          <t>Пользовательский интерфейс</t>
        </is>
      </c>
    </row>
    <row r="2000">
      <c r="B2000" s="1" t="inlineStr">
        <is>
          <t>144713859</t>
        </is>
      </c>
      <c r="C2000" s="1" t="inlineStr">
        <is>
          <t>10845617</t>
        </is>
      </c>
      <c r="D2000" t="inlineStr">
        <is>
          <t>работник 586</t>
        </is>
      </c>
      <c r="E2000" s="1" t="inlineStr">
        <is>
          <t>ОБЩЕСТВО С ОГРАНИЧЕННОЙ ОТВЕТСТВЕННОСТЬЮ "АМУР ЗОЛОТО"</t>
        </is>
      </c>
      <c r="F2000" s="1" t="inlineStr">
        <is>
          <t>2708001686</t>
        </is>
      </c>
      <c r="G2000" s="1" t="inlineStr">
        <is>
          <t>Лаборант химического анализа</t>
        </is>
      </c>
      <c r="H2000" s="1" t="inlineStr">
        <is>
          <t>ООО "Амур Золото"</t>
        </is>
      </c>
      <c r="I2000" s="1" t="inlineStr">
        <is>
          <t>2708001686</t>
        </is>
      </c>
      <c r="J2000" s="1" t="inlineStr">
        <is>
          <t>ОТ № ЮГОК ПАЛ 25-08</t>
        </is>
      </c>
      <c r="K2000" s="1" t="inlineStr">
        <is>
          <t>Использование (применение) средств индивидуальной защиты</t>
        </is>
      </c>
      <c r="L2000" s="1" t="inlineStr">
        <is>
          <t>16.08.2025</t>
        </is>
      </c>
      <c r="M2000" s="1" t="inlineStr">
        <is>
          <t>Успешно</t>
        </is>
      </c>
      <c r="N2000" s="1" t="inlineStr">
        <is>
          <t>23.09.2025</t>
        </is>
      </c>
      <c r="O2000" s="1" t="inlineStr"/>
      <c r="P2000" s="1" t="inlineStr"/>
      <c r="Q2000" s="1" t="inlineStr">
        <is>
          <t>Пользовательский интерфейс</t>
        </is>
      </c>
    </row>
    <row r="2001">
      <c r="B2001" s="1" t="inlineStr">
        <is>
          <t>144713860</t>
        </is>
      </c>
      <c r="C2001" s="1" t="inlineStr">
        <is>
          <t>10845617</t>
        </is>
      </c>
      <c r="D2001" t="inlineStr">
        <is>
          <t>работник 586</t>
        </is>
      </c>
      <c r="E2001" s="1" t="inlineStr">
        <is>
          <t>ОБЩЕСТВО С ОГРАНИЧЕННОЙ ОТВЕТСТВЕННОСТЬЮ "АМУР ЗОЛОТО"</t>
        </is>
      </c>
      <c r="F2001" s="1" t="inlineStr">
        <is>
          <t>2708001686</t>
        </is>
      </c>
      <c r="G2001" s="1" t="inlineStr">
        <is>
          <t>Лаборант химического анализа</t>
        </is>
      </c>
      <c r="H2001" s="1" t="inlineStr">
        <is>
          <t>ООО "Амур Золото"</t>
        </is>
      </c>
      <c r="I2001" s="1" t="inlineStr">
        <is>
          <t>2708001686</t>
        </is>
      </c>
      <c r="J2001" s="1" t="inlineStr">
        <is>
          <t>ОТ № ЮГОК ПАЛ 25-08</t>
        </is>
      </c>
      <c r="K200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001" s="1" t="inlineStr">
        <is>
          <t>16.08.2025</t>
        </is>
      </c>
      <c r="M2001" s="1" t="inlineStr">
        <is>
          <t>Успешно</t>
        </is>
      </c>
      <c r="N2001" s="1" t="inlineStr">
        <is>
          <t>23.09.2025</t>
        </is>
      </c>
      <c r="O2001" s="1" t="inlineStr"/>
      <c r="P2001" s="1" t="inlineStr"/>
      <c r="Q2001" s="1" t="inlineStr">
        <is>
          <t>Пользовательский интерфейс</t>
        </is>
      </c>
    </row>
    <row r="2002">
      <c r="B2002" s="1" t="inlineStr">
        <is>
          <t>144713861</t>
        </is>
      </c>
      <c r="C2002" s="1" t="inlineStr">
        <is>
          <t>10845617</t>
        </is>
      </c>
      <c r="D2002" t="inlineStr">
        <is>
          <t>работник 78</t>
        </is>
      </c>
      <c r="E2002" s="1" t="inlineStr">
        <is>
          <t>ОБЩЕСТВО С ОГРАНИЧЕННОЙ ОТВЕТСТВЕННОСТЬЮ "АМУР ЗОЛОТО"</t>
        </is>
      </c>
      <c r="F2002" s="1" t="inlineStr">
        <is>
          <t>2708001686</t>
        </is>
      </c>
      <c r="G2002" s="1" t="inlineStr">
        <is>
          <t>Сварщик</t>
        </is>
      </c>
      <c r="H2002" s="1" t="inlineStr">
        <is>
          <t>ООО "Амур Золото"</t>
        </is>
      </c>
      <c r="I2002" s="1" t="inlineStr">
        <is>
          <t>2708001686</t>
        </is>
      </c>
      <c r="J2002" s="1" t="inlineStr">
        <is>
          <t>ОТ № ЮГОК РСУ 25-04</t>
        </is>
      </c>
      <c r="K2002" s="1" t="inlineStr">
        <is>
          <t>Использование (применение) средств индивидуальной защиты</t>
        </is>
      </c>
      <c r="L2002" s="1" t="inlineStr">
        <is>
          <t>23.08.2025</t>
        </is>
      </c>
      <c r="M2002" s="1" t="inlineStr">
        <is>
          <t>Успешно</t>
        </is>
      </c>
      <c r="N2002" s="1" t="inlineStr">
        <is>
          <t>23.09.2025</t>
        </is>
      </c>
      <c r="O2002" s="1" t="inlineStr"/>
      <c r="P2002" s="1" t="inlineStr"/>
      <c r="Q2002" s="1" t="inlineStr">
        <is>
          <t>Пользовательский интерфейс</t>
        </is>
      </c>
    </row>
    <row r="2003">
      <c r="B2003" s="1" t="inlineStr">
        <is>
          <t>144713862</t>
        </is>
      </c>
      <c r="C2003" s="1" t="inlineStr">
        <is>
          <t>10845617</t>
        </is>
      </c>
      <c r="D2003" t="inlineStr">
        <is>
          <t>работник 78</t>
        </is>
      </c>
      <c r="E2003" s="1" t="inlineStr">
        <is>
          <t>ОБЩЕСТВО С ОГРАНИЧЕННОЙ ОТВЕТСТВЕННОСТЬЮ "АМУР ЗОЛОТО"</t>
        </is>
      </c>
      <c r="F2003" s="1" t="inlineStr">
        <is>
          <t>2708001686</t>
        </is>
      </c>
      <c r="G2003" s="1" t="inlineStr">
        <is>
          <t>Сварщик</t>
        </is>
      </c>
      <c r="H2003" s="1" t="inlineStr">
        <is>
          <t>ООО "Амур Золото"</t>
        </is>
      </c>
      <c r="I2003" s="1" t="inlineStr">
        <is>
          <t>2708001686</t>
        </is>
      </c>
      <c r="J2003" s="1" t="inlineStr">
        <is>
          <t>ОТ № ЮГОК РСУ 25-04</t>
        </is>
      </c>
      <c r="K200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003" s="1" t="inlineStr">
        <is>
          <t>23.08.2025</t>
        </is>
      </c>
      <c r="M2003" s="1" t="inlineStr">
        <is>
          <t>Успешно</t>
        </is>
      </c>
      <c r="N2003" s="1" t="inlineStr">
        <is>
          <t>23.09.2025</t>
        </is>
      </c>
      <c r="O2003" s="1" t="inlineStr"/>
      <c r="P2003" s="1" t="inlineStr"/>
      <c r="Q2003" s="1" t="inlineStr">
        <is>
          <t>Пользовательский интерфейс</t>
        </is>
      </c>
    </row>
    <row r="2004">
      <c r="B2004" s="1" t="inlineStr">
        <is>
          <t>144713863</t>
        </is>
      </c>
      <c r="C2004" s="1" t="inlineStr">
        <is>
          <t>10845617</t>
        </is>
      </c>
      <c r="D2004" t="inlineStr">
        <is>
          <t>работник 587</t>
        </is>
      </c>
      <c r="E2004" s="1" t="inlineStr">
        <is>
          <t>ОБЩЕСТВО С ОГРАНИЧЕННОЙ ОТВЕТСТВЕННОСТЬЮ "АМУР ЗОЛОТО"</t>
        </is>
      </c>
      <c r="F2004" s="1" t="inlineStr">
        <is>
          <t>2708001686</t>
        </is>
      </c>
      <c r="G2004" s="1" t="inlineStr">
        <is>
          <t>Повар</t>
        </is>
      </c>
      <c r="H2004" s="1" t="inlineStr">
        <is>
          <t>ООО "Амур Золото"</t>
        </is>
      </c>
      <c r="I2004" s="1" t="inlineStr">
        <is>
          <t>2708001686</t>
        </is>
      </c>
      <c r="J2004" s="1" t="inlineStr">
        <is>
          <t>ОТ № ЮГОК УОП 25-03</t>
        </is>
      </c>
      <c r="K2004" s="1" t="inlineStr">
        <is>
          <t>Использование (применение) средств индивидуальной защиты</t>
        </is>
      </c>
      <c r="L2004" s="1" t="inlineStr">
        <is>
          <t>09.05.2025</t>
        </is>
      </c>
      <c r="M2004" s="1" t="inlineStr">
        <is>
          <t>Успешно</t>
        </is>
      </c>
      <c r="N2004" s="1" t="inlineStr">
        <is>
          <t>23.09.2025</t>
        </is>
      </c>
      <c r="O2004" s="1" t="inlineStr"/>
      <c r="P2004" s="1" t="inlineStr"/>
      <c r="Q2004" s="1" t="inlineStr">
        <is>
          <t>Пользовательский интерфейс</t>
        </is>
      </c>
    </row>
    <row r="2005">
      <c r="B2005" s="1" t="inlineStr">
        <is>
          <t>144713864</t>
        </is>
      </c>
      <c r="C2005" s="1" t="inlineStr">
        <is>
          <t>10845617</t>
        </is>
      </c>
      <c r="D2005" t="inlineStr">
        <is>
          <t>работник 587</t>
        </is>
      </c>
      <c r="E2005" s="1" t="inlineStr">
        <is>
          <t>ОБЩЕСТВО С ОГРАНИЧЕННОЙ ОТВЕТСТВЕННОСТЬЮ "АМУР ЗОЛОТО"</t>
        </is>
      </c>
      <c r="F2005" s="1" t="inlineStr">
        <is>
          <t>2708001686</t>
        </is>
      </c>
      <c r="G2005" s="1" t="inlineStr">
        <is>
          <t>Повар</t>
        </is>
      </c>
      <c r="H2005" s="1" t="inlineStr">
        <is>
          <t>ООО "Амур Золото"</t>
        </is>
      </c>
      <c r="I2005" s="1" t="inlineStr">
        <is>
          <t>2708001686</t>
        </is>
      </c>
      <c r="J2005" s="1" t="inlineStr">
        <is>
          <t>ОТ № ЮГОК УОП 25-03</t>
        </is>
      </c>
      <c r="K200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005" s="1" t="inlineStr">
        <is>
          <t>09.05.2025</t>
        </is>
      </c>
      <c r="M2005" s="1" t="inlineStr">
        <is>
          <t>Успешно</t>
        </is>
      </c>
      <c r="N2005" s="1" t="inlineStr">
        <is>
          <t>23.09.2025</t>
        </is>
      </c>
      <c r="O2005" s="1" t="inlineStr"/>
      <c r="P2005" s="1" t="inlineStr"/>
      <c r="Q2005" s="1" t="inlineStr">
        <is>
          <t>Пользовательский интерфейс</t>
        </is>
      </c>
    </row>
    <row r="2006">
      <c r="B2006" s="1" t="inlineStr">
        <is>
          <t>144713865</t>
        </is>
      </c>
      <c r="C2006" s="1" t="inlineStr">
        <is>
          <t>10845617</t>
        </is>
      </c>
      <c r="D2006" t="inlineStr">
        <is>
          <t>работник 103</t>
        </is>
      </c>
      <c r="E2006" s="1" t="inlineStr">
        <is>
          <t>ОБЩЕСТВО С ОГРАНИЧЕННОЙ ОТВЕТСТВЕННОСТЬЮ "АМУР ЗОЛОТО"</t>
        </is>
      </c>
      <c r="F2006" s="1" t="inlineStr">
        <is>
          <t>2708001686</t>
        </is>
      </c>
      <c r="G2006" s="1" t="inlineStr">
        <is>
          <t>Повар</t>
        </is>
      </c>
      <c r="H2006" s="1" t="inlineStr">
        <is>
          <t>ООО "Амур Золото"</t>
        </is>
      </c>
      <c r="I2006" s="1" t="inlineStr">
        <is>
          <t>2708001686</t>
        </is>
      </c>
      <c r="J2006" s="1" t="inlineStr">
        <is>
          <t>ОТ № ЮГОК УОП 25-04</t>
        </is>
      </c>
      <c r="K2006" s="1" t="inlineStr">
        <is>
          <t>Использование (применение) средств индивидуальной защиты</t>
        </is>
      </c>
      <c r="L2006" s="1" t="inlineStr">
        <is>
          <t>11.05.2025</t>
        </is>
      </c>
      <c r="M2006" s="1" t="inlineStr">
        <is>
          <t>Успешно</t>
        </is>
      </c>
      <c r="N2006" s="1" t="inlineStr">
        <is>
          <t>23.09.2025</t>
        </is>
      </c>
      <c r="O2006" s="1" t="inlineStr"/>
      <c r="P2006" s="1" t="inlineStr"/>
      <c r="Q2006" s="1" t="inlineStr">
        <is>
          <t>Пользовательский интерфейс</t>
        </is>
      </c>
    </row>
    <row r="2007">
      <c r="B2007" s="1" t="inlineStr">
        <is>
          <t>144713866</t>
        </is>
      </c>
      <c r="C2007" s="1" t="inlineStr">
        <is>
          <t>10845617</t>
        </is>
      </c>
      <c r="D2007" t="inlineStr">
        <is>
          <t>работник 103</t>
        </is>
      </c>
      <c r="E2007" s="1" t="inlineStr">
        <is>
          <t>ОБЩЕСТВО С ОГРАНИЧЕННОЙ ОТВЕТСТВЕННОСТЬЮ "АМУР ЗОЛОТО"</t>
        </is>
      </c>
      <c r="F2007" s="1" t="inlineStr">
        <is>
          <t>2708001686</t>
        </is>
      </c>
      <c r="G2007" s="1" t="inlineStr">
        <is>
          <t>Повар</t>
        </is>
      </c>
      <c r="H2007" s="1" t="inlineStr">
        <is>
          <t>ООО "Амур Золото"</t>
        </is>
      </c>
      <c r="I2007" s="1" t="inlineStr">
        <is>
          <t>2708001686</t>
        </is>
      </c>
      <c r="J2007" s="1" t="inlineStr">
        <is>
          <t>ОТ № ЮГОК УОП 25-04</t>
        </is>
      </c>
      <c r="K200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007" s="1" t="inlineStr">
        <is>
          <t>11.05.2025</t>
        </is>
      </c>
      <c r="M2007" s="1" t="inlineStr">
        <is>
          <t>Успешно</t>
        </is>
      </c>
      <c r="N2007" s="1" t="inlineStr">
        <is>
          <t>23.09.2025</t>
        </is>
      </c>
      <c r="O2007" s="1" t="inlineStr"/>
      <c r="P2007" s="1" t="inlineStr"/>
      <c r="Q2007" s="1" t="inlineStr">
        <is>
          <t>Пользовательский интерфейс</t>
        </is>
      </c>
    </row>
    <row r="2008">
      <c r="B2008" s="1" t="inlineStr">
        <is>
          <t>144713867</t>
        </is>
      </c>
      <c r="C2008" s="1" t="inlineStr">
        <is>
          <t>10845617</t>
        </is>
      </c>
      <c r="D2008" t="inlineStr">
        <is>
          <t>работник 588</t>
        </is>
      </c>
      <c r="E2008" s="1" t="inlineStr">
        <is>
          <t>ОБЩЕСТВО С ОГРАНИЧЕННОЙ ОТВЕТСТВЕННОСТЬЮ "АМУР ЗОЛОТО"</t>
        </is>
      </c>
      <c r="F2008" s="1" t="inlineStr">
        <is>
          <t>2708001686</t>
        </is>
      </c>
      <c r="G2008" s="1" t="inlineStr">
        <is>
          <t>Горничная</t>
        </is>
      </c>
      <c r="H2008" s="1" t="inlineStr">
        <is>
          <t>ООО "Амур Золото"</t>
        </is>
      </c>
      <c r="I2008" s="1" t="inlineStr">
        <is>
          <t>2708001686</t>
        </is>
      </c>
      <c r="J2008" s="1" t="inlineStr">
        <is>
          <t>ОТ № ЮГОК УОП 25-05</t>
        </is>
      </c>
      <c r="K2008" s="1" t="inlineStr">
        <is>
          <t>Использование (применение) средств индивидуальной защиты</t>
        </is>
      </c>
      <c r="L2008" s="1" t="inlineStr">
        <is>
          <t>14.05.2025</t>
        </is>
      </c>
      <c r="M2008" s="1" t="inlineStr">
        <is>
          <t>Успешно</t>
        </is>
      </c>
      <c r="N2008" s="1" t="inlineStr">
        <is>
          <t>23.09.2025</t>
        </is>
      </c>
      <c r="O2008" s="1" t="inlineStr"/>
      <c r="P2008" s="1" t="inlineStr"/>
      <c r="Q2008" s="1" t="inlineStr">
        <is>
          <t>Пользовательский интерфейс</t>
        </is>
      </c>
    </row>
    <row r="2009">
      <c r="B2009" s="1" t="inlineStr">
        <is>
          <t>144713868</t>
        </is>
      </c>
      <c r="C2009" s="1" t="inlineStr">
        <is>
          <t>10845617</t>
        </is>
      </c>
      <c r="D2009" t="inlineStr">
        <is>
          <t>работник 588</t>
        </is>
      </c>
      <c r="E2009" s="1" t="inlineStr">
        <is>
          <t>ОБЩЕСТВО С ОГРАНИЧЕННОЙ ОТВЕТСТВЕННОСТЬЮ "АМУР ЗОЛОТО"</t>
        </is>
      </c>
      <c r="F2009" s="1" t="inlineStr">
        <is>
          <t>2708001686</t>
        </is>
      </c>
      <c r="G2009" s="1" t="inlineStr">
        <is>
          <t>Горничная</t>
        </is>
      </c>
      <c r="H2009" s="1" t="inlineStr">
        <is>
          <t>ООО "Амур Золото"</t>
        </is>
      </c>
      <c r="I2009" s="1" t="inlineStr">
        <is>
          <t>2708001686</t>
        </is>
      </c>
      <c r="J2009" s="1" t="inlineStr">
        <is>
          <t>ОТ № ЮГОК УОП 25-05</t>
        </is>
      </c>
      <c r="K200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009" s="1" t="inlineStr">
        <is>
          <t>14.05.2025</t>
        </is>
      </c>
      <c r="M2009" s="1" t="inlineStr">
        <is>
          <t>Успешно</t>
        </is>
      </c>
      <c r="N2009" s="1" t="inlineStr">
        <is>
          <t>23.09.2025</t>
        </is>
      </c>
      <c r="O2009" s="1" t="inlineStr"/>
      <c r="P2009" s="1" t="inlineStr"/>
      <c r="Q2009" s="1" t="inlineStr">
        <is>
          <t>Пользовательский интерфейс</t>
        </is>
      </c>
    </row>
    <row r="2010">
      <c r="B2010" s="1" t="inlineStr">
        <is>
          <t>144713869</t>
        </is>
      </c>
      <c r="C2010" s="1" t="inlineStr">
        <is>
          <t>10845617</t>
        </is>
      </c>
      <c r="D2010" t="inlineStr">
        <is>
          <t>работник 589</t>
        </is>
      </c>
      <c r="E2010" s="1" t="inlineStr">
        <is>
          <t>ОБЩЕСТВО С ОГРАНИЧЕННОЙ ОТВЕТСТВЕННОСТЬЮ "АМУР ЗОЛОТО"</t>
        </is>
      </c>
      <c r="F2010" s="1" t="inlineStr">
        <is>
          <t>2708001686</t>
        </is>
      </c>
      <c r="G2010" s="1" t="inlineStr">
        <is>
          <t>Повар</t>
        </is>
      </c>
      <c r="H2010" s="1" t="inlineStr">
        <is>
          <t>ООО "Амур Золото"</t>
        </is>
      </c>
      <c r="I2010" s="1" t="inlineStr">
        <is>
          <t>2708001686</t>
        </is>
      </c>
      <c r="J2010" s="1" t="inlineStr">
        <is>
          <t>ОТ № ЮГОК УОП 25-06</t>
        </is>
      </c>
      <c r="K2010" s="1" t="inlineStr">
        <is>
          <t>Использование (применение) средств индивидуальной защиты</t>
        </is>
      </c>
      <c r="L2010" s="1" t="inlineStr">
        <is>
          <t>24.08.2025</t>
        </is>
      </c>
      <c r="M2010" s="1" t="inlineStr">
        <is>
          <t>Успешно</t>
        </is>
      </c>
      <c r="N2010" s="1" t="inlineStr">
        <is>
          <t>23.09.2025</t>
        </is>
      </c>
      <c r="O2010" s="1" t="inlineStr"/>
      <c r="P2010" s="1" t="inlineStr"/>
      <c r="Q2010" s="1" t="inlineStr">
        <is>
          <t>Пользовательский интерфейс</t>
        </is>
      </c>
    </row>
    <row r="2011">
      <c r="B2011" s="1" t="inlineStr">
        <is>
          <t>144713870</t>
        </is>
      </c>
      <c r="C2011" s="1" t="inlineStr">
        <is>
          <t>10845617</t>
        </is>
      </c>
      <c r="D2011" t="inlineStr">
        <is>
          <t>работник 589</t>
        </is>
      </c>
      <c r="E2011" s="1" t="inlineStr">
        <is>
          <t>ОБЩЕСТВО С ОГРАНИЧЕННОЙ ОТВЕТСТВЕННОСТЬЮ "АМУР ЗОЛОТО"</t>
        </is>
      </c>
      <c r="F2011" s="1" t="inlineStr">
        <is>
          <t>2708001686</t>
        </is>
      </c>
      <c r="G2011" s="1" t="inlineStr">
        <is>
          <t>Повар</t>
        </is>
      </c>
      <c r="H2011" s="1" t="inlineStr">
        <is>
          <t>ООО "Амур Золото"</t>
        </is>
      </c>
      <c r="I2011" s="1" t="inlineStr">
        <is>
          <t>2708001686</t>
        </is>
      </c>
      <c r="J2011" s="1" t="inlineStr">
        <is>
          <t>ОТ № ЮГОК УОП 25-06</t>
        </is>
      </c>
      <c r="K201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011" s="1" t="inlineStr">
        <is>
          <t>24.08.2025</t>
        </is>
      </c>
      <c r="M2011" s="1" t="inlineStr">
        <is>
          <t>Успешно</t>
        </is>
      </c>
      <c r="N2011" s="1" t="inlineStr">
        <is>
          <t>23.09.2025</t>
        </is>
      </c>
      <c r="O2011" s="1" t="inlineStr"/>
      <c r="P2011" s="1" t="inlineStr"/>
      <c r="Q2011" s="1" t="inlineStr">
        <is>
          <t>Пользовательский интерфейс</t>
        </is>
      </c>
    </row>
    <row r="2012">
      <c r="B2012" s="1" t="inlineStr">
        <is>
          <t>144713871</t>
        </is>
      </c>
      <c r="C2012" s="1" t="inlineStr">
        <is>
          <t>10845617</t>
        </is>
      </c>
      <c r="D2012" t="inlineStr">
        <is>
          <t>работник 590</t>
        </is>
      </c>
      <c r="E2012" s="1" t="inlineStr">
        <is>
          <t>ОБЩЕСТВО С ОГРАНИЧЕННОЙ ОТВЕТСТВЕННОСТЬЮ "АМУР ЗОЛОТО"</t>
        </is>
      </c>
      <c r="F2012" s="1" t="inlineStr">
        <is>
          <t>2708001686</t>
        </is>
      </c>
      <c r="G2012" s="1" t="inlineStr">
        <is>
          <t>Кухонный рабочий</t>
        </is>
      </c>
      <c r="H2012" s="1" t="inlineStr">
        <is>
          <t>ООО "Амур Золото"</t>
        </is>
      </c>
      <c r="I2012" s="1" t="inlineStr">
        <is>
          <t>2708001686</t>
        </is>
      </c>
      <c r="J2012" s="1" t="inlineStr">
        <is>
          <t>ОТ № ЮГОК УОП 25-07</t>
        </is>
      </c>
      <c r="K2012" s="1" t="inlineStr">
        <is>
          <t>Использование (применение) средств индивидуальной защиты</t>
        </is>
      </c>
      <c r="L2012" s="1" t="inlineStr">
        <is>
          <t>25.08.2025</t>
        </is>
      </c>
      <c r="M2012" s="1" t="inlineStr">
        <is>
          <t>Успешно</t>
        </is>
      </c>
      <c r="N2012" s="1" t="inlineStr">
        <is>
          <t>23.09.2025</t>
        </is>
      </c>
      <c r="O2012" s="1" t="inlineStr"/>
      <c r="P2012" s="1" t="inlineStr"/>
      <c r="Q2012" s="1" t="inlineStr">
        <is>
          <t>Пользовательский интерфейс</t>
        </is>
      </c>
    </row>
    <row r="2013">
      <c r="B2013" s="1" t="inlineStr">
        <is>
          <t>144713872</t>
        </is>
      </c>
      <c r="C2013" s="1" t="inlineStr">
        <is>
          <t>10845617</t>
        </is>
      </c>
      <c r="D2013" t="inlineStr">
        <is>
          <t>работник 590</t>
        </is>
      </c>
      <c r="E2013" s="1" t="inlineStr">
        <is>
          <t>ОБЩЕСТВО С ОГРАНИЧЕННОЙ ОТВЕТСТВЕННОСТЬЮ "АМУР ЗОЛОТО"</t>
        </is>
      </c>
      <c r="F2013" s="1" t="inlineStr">
        <is>
          <t>2708001686</t>
        </is>
      </c>
      <c r="G2013" s="1" t="inlineStr">
        <is>
          <t>Кухонный рабочий</t>
        </is>
      </c>
      <c r="H2013" s="1" t="inlineStr">
        <is>
          <t>ООО "Амур Золото"</t>
        </is>
      </c>
      <c r="I2013" s="1" t="inlineStr">
        <is>
          <t>2708001686</t>
        </is>
      </c>
      <c r="J2013" s="1" t="inlineStr">
        <is>
          <t>ОТ № ЮГОК УОП 25-07</t>
        </is>
      </c>
      <c r="K201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013" s="1" t="inlineStr">
        <is>
          <t>25.08.2025</t>
        </is>
      </c>
      <c r="M2013" s="1" t="inlineStr">
        <is>
          <t>Успешно</t>
        </is>
      </c>
      <c r="N2013" s="1" t="inlineStr">
        <is>
          <t>23.09.2025</t>
        </is>
      </c>
      <c r="O2013" s="1" t="inlineStr"/>
      <c r="P2013" s="1" t="inlineStr"/>
      <c r="Q2013" s="1" t="inlineStr">
        <is>
          <t>Пользовательский интерфейс</t>
        </is>
      </c>
    </row>
    <row r="2014">
      <c r="B2014" s="1" t="inlineStr">
        <is>
          <t>144713873</t>
        </is>
      </c>
      <c r="C2014" s="1" t="inlineStr">
        <is>
          <t>10845617</t>
        </is>
      </c>
      <c r="D2014" t="inlineStr">
        <is>
          <t>работник 591</t>
        </is>
      </c>
      <c r="E2014" s="1" t="inlineStr">
        <is>
          <t>ОБЩЕСТВО С ОГРАНИЧЕННОЙ ОТВЕТСТВЕННОСТЬЮ "АМУР ЗОЛОТО"</t>
        </is>
      </c>
      <c r="F2014" s="1" t="inlineStr">
        <is>
          <t>2708001686</t>
        </is>
      </c>
      <c r="G2014" s="1" t="inlineStr">
        <is>
          <t>Кухонный рабочий</t>
        </is>
      </c>
      <c r="H2014" s="1" t="inlineStr">
        <is>
          <t>ООО "Амур Золото"</t>
        </is>
      </c>
      <c r="I2014" s="1" t="inlineStr">
        <is>
          <t>2708001686</t>
        </is>
      </c>
      <c r="J2014" s="1" t="inlineStr">
        <is>
          <t>ОТ № ЮГОК УОП 25-08</t>
        </is>
      </c>
      <c r="K2014" s="1" t="inlineStr">
        <is>
          <t>Использование (применение) средств индивидуальной защиты</t>
        </is>
      </c>
      <c r="L2014" s="1" t="inlineStr">
        <is>
          <t>04.09.2025</t>
        </is>
      </c>
      <c r="M2014" s="1" t="inlineStr">
        <is>
          <t>Успешно</t>
        </is>
      </c>
      <c r="N2014" s="1" t="inlineStr">
        <is>
          <t>23.09.2025</t>
        </is>
      </c>
      <c r="O2014" s="1" t="inlineStr"/>
      <c r="P2014" s="1" t="inlineStr"/>
      <c r="Q2014" s="1" t="inlineStr">
        <is>
          <t>Пользовательский интерфейс</t>
        </is>
      </c>
    </row>
    <row r="2015">
      <c r="B2015" s="1" t="inlineStr">
        <is>
          <t>144713874</t>
        </is>
      </c>
      <c r="C2015" s="1" t="inlineStr">
        <is>
          <t>10845617</t>
        </is>
      </c>
      <c r="D2015" t="inlineStr">
        <is>
          <t>работник 591</t>
        </is>
      </c>
      <c r="E2015" s="1" t="inlineStr">
        <is>
          <t>ОБЩЕСТВО С ОГРАНИЧЕННОЙ ОТВЕТСТВЕННОСТЬЮ "АМУР ЗОЛОТО"</t>
        </is>
      </c>
      <c r="F2015" s="1" t="inlineStr">
        <is>
          <t>2708001686</t>
        </is>
      </c>
      <c r="G2015" s="1" t="inlineStr">
        <is>
          <t>Кухонный рабочий</t>
        </is>
      </c>
      <c r="H2015" s="1" t="inlineStr">
        <is>
          <t>ООО "Амур Золото"</t>
        </is>
      </c>
      <c r="I2015" s="1" t="inlineStr">
        <is>
          <t>2708001686</t>
        </is>
      </c>
      <c r="J2015" s="1" t="inlineStr">
        <is>
          <t>ОТ № ЮГОК УОП 25-08</t>
        </is>
      </c>
      <c r="K201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015" s="1" t="inlineStr">
        <is>
          <t>04.09.2025</t>
        </is>
      </c>
      <c r="M2015" s="1" t="inlineStr">
        <is>
          <t>Успешно</t>
        </is>
      </c>
      <c r="N2015" s="1" t="inlineStr">
        <is>
          <t>23.09.2025</t>
        </is>
      </c>
      <c r="O2015" s="1" t="inlineStr"/>
      <c r="P2015" s="1" t="inlineStr"/>
      <c r="Q2015" s="1" t="inlineStr">
        <is>
          <t>Пользовательский интерфейс</t>
        </is>
      </c>
    </row>
    <row r="2016">
      <c r="B2016" s="1" t="inlineStr">
        <is>
          <t>144713875</t>
        </is>
      </c>
      <c r="C2016" s="1" t="inlineStr">
        <is>
          <t>10845617</t>
        </is>
      </c>
      <c r="D2016" t="inlineStr">
        <is>
          <t>работник 592</t>
        </is>
      </c>
      <c r="E2016" s="1" t="inlineStr">
        <is>
          <t>ОБЩЕСТВО С ОГРАНИЧЕННОЙ ОТВЕТСТВЕННОСТЬЮ "АМУР ЗОЛОТО"</t>
        </is>
      </c>
      <c r="F2016" s="1" t="inlineStr">
        <is>
          <t>2708001686</t>
        </is>
      </c>
      <c r="G2016" s="1" t="inlineStr">
        <is>
          <t>Горничная</t>
        </is>
      </c>
      <c r="H2016" s="1" t="inlineStr">
        <is>
          <t>ООО "Амур Золото"</t>
        </is>
      </c>
      <c r="I2016" s="1" t="inlineStr">
        <is>
          <t>2708001686</t>
        </is>
      </c>
      <c r="J2016" s="1" t="inlineStr">
        <is>
          <t>ОТ № ЮГОК УОП 25-09</t>
        </is>
      </c>
      <c r="K2016" s="1" t="inlineStr">
        <is>
          <t>Использование (применение) средств индивидуальной защиты</t>
        </is>
      </c>
      <c r="L2016" s="1" t="inlineStr">
        <is>
          <t>08.09.2025</t>
        </is>
      </c>
      <c r="M2016" s="1" t="inlineStr">
        <is>
          <t>Успешно</t>
        </is>
      </c>
      <c r="N2016" s="1" t="inlineStr">
        <is>
          <t>23.09.2025</t>
        </is>
      </c>
      <c r="O2016" s="1" t="inlineStr"/>
      <c r="P2016" s="1" t="inlineStr"/>
      <c r="Q2016" s="1" t="inlineStr">
        <is>
          <t>Пользовательский интерфейс</t>
        </is>
      </c>
    </row>
    <row r="2017">
      <c r="B2017" s="1" t="inlineStr">
        <is>
          <t>144713876</t>
        </is>
      </c>
      <c r="C2017" s="1" t="inlineStr">
        <is>
          <t>10845617</t>
        </is>
      </c>
      <c r="D2017" t="inlineStr">
        <is>
          <t>работник 592</t>
        </is>
      </c>
      <c r="E2017" s="1" t="inlineStr">
        <is>
          <t>ОБЩЕСТВО С ОГРАНИЧЕННОЙ ОТВЕТСТВЕННОСТЬЮ "АМУР ЗОЛОТО"</t>
        </is>
      </c>
      <c r="F2017" s="1" t="inlineStr">
        <is>
          <t>2708001686</t>
        </is>
      </c>
      <c r="G2017" s="1" t="inlineStr">
        <is>
          <t>Горничная</t>
        </is>
      </c>
      <c r="H2017" s="1" t="inlineStr">
        <is>
          <t>ООО "Амур Золото"</t>
        </is>
      </c>
      <c r="I2017" s="1" t="inlineStr">
        <is>
          <t>2708001686</t>
        </is>
      </c>
      <c r="J2017" s="1" t="inlineStr">
        <is>
          <t>ОТ № ЮГОК УОП 25-09</t>
        </is>
      </c>
      <c r="K201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017" s="1" t="inlineStr">
        <is>
          <t>08.09.2025</t>
        </is>
      </c>
      <c r="M2017" s="1" t="inlineStr">
        <is>
          <t>Успешно</t>
        </is>
      </c>
      <c r="N2017" s="1" t="inlineStr">
        <is>
          <t>23.09.2025</t>
        </is>
      </c>
      <c r="O2017" s="1" t="inlineStr"/>
      <c r="P2017" s="1" t="inlineStr"/>
      <c r="Q2017" s="1" t="inlineStr">
        <is>
          <t>Пользовательский интерфейс</t>
        </is>
      </c>
    </row>
    <row r="2018">
      <c r="B2018" s="1" t="inlineStr">
        <is>
          <t>148626987</t>
        </is>
      </c>
      <c r="C2018" s="1" t="inlineStr">
        <is>
          <t>11125717</t>
        </is>
      </c>
      <c r="D2018" t="inlineStr">
        <is>
          <t>работник 425</t>
        </is>
      </c>
      <c r="E2018" s="1" t="inlineStr">
        <is>
          <t>ОБЩЕСТВО С ОГРАНИЧЕННОЙ ОТВЕТСТВЕННОСТЬЮ "АМУР ЗОЛОТО"</t>
        </is>
      </c>
      <c r="F2018" s="1" t="inlineStr">
        <is>
          <t>2708001686</t>
        </is>
      </c>
      <c r="G2018" s="1" t="inlineStr">
        <is>
          <t>Аппаратчик-гидрометаллург</t>
        </is>
      </c>
      <c r="H2018" s="1" t="inlineStr">
        <is>
          <t>ООО "Амур Золото"</t>
        </is>
      </c>
      <c r="I2018" s="1" t="inlineStr">
        <is>
          <t>2708001686</t>
        </is>
      </c>
      <c r="J2018" s="1" t="inlineStr">
        <is>
          <t>ОТ № ЮГОК ЗИОФ 25-30</t>
        </is>
      </c>
      <c r="K2018" s="1" t="inlineStr">
        <is>
          <t>Использование (применение) средств индивидуальной защиты</t>
        </is>
      </c>
      <c r="L2018" s="1" t="inlineStr">
        <is>
          <t>02.10.2025</t>
        </is>
      </c>
      <c r="M2018" s="1" t="inlineStr">
        <is>
          <t>Успешно</t>
        </is>
      </c>
      <c r="N2018" s="1" t="inlineStr">
        <is>
          <t>13.10.2025</t>
        </is>
      </c>
      <c r="O2018" s="1" t="inlineStr"/>
      <c r="P2018" s="1" t="inlineStr"/>
      <c r="Q2018" s="1" t="inlineStr">
        <is>
          <t>Пользовательский интерфейс</t>
        </is>
      </c>
    </row>
    <row r="2019">
      <c r="B2019" s="1" t="inlineStr">
        <is>
          <t>148626988</t>
        </is>
      </c>
      <c r="C2019" s="1" t="inlineStr">
        <is>
          <t>11125717</t>
        </is>
      </c>
      <c r="D2019" t="inlineStr">
        <is>
          <t>работник 425</t>
        </is>
      </c>
      <c r="E2019" s="1" t="inlineStr">
        <is>
          <t>ОБЩЕСТВО С ОГРАНИЧЕННОЙ ОТВЕТСТВЕННОСТЬЮ "АМУР ЗОЛОТО"</t>
        </is>
      </c>
      <c r="F2019" s="1" t="inlineStr">
        <is>
          <t>2708001686</t>
        </is>
      </c>
      <c r="G2019" s="1" t="inlineStr">
        <is>
          <t>Аппаратчик-гидрометаллург</t>
        </is>
      </c>
      <c r="H2019" s="1" t="inlineStr">
        <is>
          <t>ООО "Амур Золото"</t>
        </is>
      </c>
      <c r="I2019" s="1" t="inlineStr">
        <is>
          <t>2708001686</t>
        </is>
      </c>
      <c r="J2019" s="1" t="inlineStr">
        <is>
          <t>ОТ № ЮГОК ЗИОФ 25-30</t>
        </is>
      </c>
      <c r="K201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019" s="1" t="inlineStr">
        <is>
          <t>02.10.2025</t>
        </is>
      </c>
      <c r="M2019" s="1" t="inlineStr">
        <is>
          <t>Успешно</t>
        </is>
      </c>
      <c r="N2019" s="1" t="inlineStr">
        <is>
          <t>13.10.2025</t>
        </is>
      </c>
      <c r="O2019" s="1" t="inlineStr"/>
      <c r="P2019" s="1" t="inlineStr"/>
      <c r="Q2019" s="1" t="inlineStr">
        <is>
          <t>Пользовательский интерфейс</t>
        </is>
      </c>
    </row>
    <row r="2020">
      <c r="B2020" s="1" t="inlineStr">
        <is>
          <t>148626989</t>
        </is>
      </c>
      <c r="C2020" s="1" t="inlineStr">
        <is>
          <t>11125717</t>
        </is>
      </c>
      <c r="D2020" t="inlineStr">
        <is>
          <t>работник 593</t>
        </is>
      </c>
      <c r="E2020" s="1" t="inlineStr">
        <is>
          <t>ОБЩЕСТВО С ОГРАНИЧЕННОЙ ОТВЕТСТВЕННОСТЬЮ "АМУР ЗОЛОТО"</t>
        </is>
      </c>
      <c r="F2020" s="1" t="inlineStr">
        <is>
          <t>2708001686</t>
        </is>
      </c>
      <c r="G2020" s="1" t="inlineStr">
        <is>
          <t>Помощник машиниста самоходной буровой установки (с исполнением обязанностей пробоотборщика) (Очистное)</t>
        </is>
      </c>
      <c r="H2020" s="1" t="inlineStr">
        <is>
          <t>ООО "Амур Золото"</t>
        </is>
      </c>
      <c r="I2020" s="1" t="inlineStr">
        <is>
          <t>2708001686</t>
        </is>
      </c>
      <c r="J2020" s="1" t="inlineStr">
        <is>
          <t>ОТ № ЮГОК ПГУ 25-25</t>
        </is>
      </c>
      <c r="K2020" s="1" t="inlineStr">
        <is>
          <t>Использование (применение) средств индивидуальной защиты</t>
        </is>
      </c>
      <c r="L2020" s="1" t="inlineStr">
        <is>
          <t>22.07.2025</t>
        </is>
      </c>
      <c r="M2020" s="1" t="inlineStr">
        <is>
          <t>Успешно</t>
        </is>
      </c>
      <c r="N2020" s="1" t="inlineStr">
        <is>
          <t>13.10.2025</t>
        </is>
      </c>
      <c r="O2020" s="1" t="inlineStr"/>
      <c r="P2020" s="1" t="inlineStr"/>
      <c r="Q2020" s="1" t="inlineStr">
        <is>
          <t>Пользовательский интерфейс</t>
        </is>
      </c>
    </row>
    <row r="2021">
      <c r="B2021" s="1" t="inlineStr">
        <is>
          <t>148626990</t>
        </is>
      </c>
      <c r="C2021" s="1" t="inlineStr">
        <is>
          <t>11125717</t>
        </is>
      </c>
      <c r="D2021" t="inlineStr">
        <is>
          <t>работник 593</t>
        </is>
      </c>
      <c r="E2021" s="1" t="inlineStr">
        <is>
          <t>ОБЩЕСТВО С ОГРАНИЧЕННОЙ ОТВЕТСТВЕННОСТЬЮ "АМУР ЗОЛОТО"</t>
        </is>
      </c>
      <c r="F2021" s="1" t="inlineStr">
        <is>
          <t>2708001686</t>
        </is>
      </c>
      <c r="G2021" s="1" t="inlineStr">
        <is>
          <t>Помощник машиниста самоходной буровой установки (с исполнением обязанностей пробоотборщика) (Очистное)</t>
        </is>
      </c>
      <c r="H2021" s="1" t="inlineStr">
        <is>
          <t>ООО "Амур Золото"</t>
        </is>
      </c>
      <c r="I2021" s="1" t="inlineStr">
        <is>
          <t>2708001686</t>
        </is>
      </c>
      <c r="J2021" s="1" t="inlineStr">
        <is>
          <t>ОТ № ЮГОК ПГУ 25-25</t>
        </is>
      </c>
      <c r="K202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021" s="1" t="inlineStr">
        <is>
          <t>22.07.2025</t>
        </is>
      </c>
      <c r="M2021" s="1" t="inlineStr">
        <is>
          <t>Успешно</t>
        </is>
      </c>
      <c r="N2021" s="1" t="inlineStr">
        <is>
          <t>13.10.2025</t>
        </is>
      </c>
      <c r="O2021" s="1" t="inlineStr"/>
      <c r="P2021" s="1" t="inlineStr"/>
      <c r="Q2021" s="1" t="inlineStr">
        <is>
          <t>Пользовательский интерфейс</t>
        </is>
      </c>
    </row>
    <row r="2022">
      <c r="B2022" s="1" t="inlineStr">
        <is>
          <t>148626991</t>
        </is>
      </c>
      <c r="C2022" s="1" t="inlineStr">
        <is>
          <t>11125717</t>
        </is>
      </c>
      <c r="D2022" t="inlineStr">
        <is>
          <t>работник 594</t>
        </is>
      </c>
      <c r="E2022" s="1" t="inlineStr">
        <is>
          <t>ОБЩЕСТВО С ОГРАНИЧЕННОЙ ОТВЕТСТВЕННОСТЬЮ "АМУР ЗОЛОТО"</t>
        </is>
      </c>
      <c r="F2022" s="1" t="inlineStr">
        <is>
          <t>2708001686</t>
        </is>
      </c>
      <c r="G2022" s="1" t="inlineStr">
        <is>
          <t>Машинист насосных установок</t>
        </is>
      </c>
      <c r="H2022" s="1" t="inlineStr">
        <is>
          <t>ООО "Амур Золото"</t>
        </is>
      </c>
      <c r="I2022" s="1" t="inlineStr">
        <is>
          <t>2708001686</t>
        </is>
      </c>
      <c r="J2022" s="1" t="inlineStr">
        <is>
          <t>ОТ № ЮГОК ПГУ 26-25</t>
        </is>
      </c>
      <c r="K2022" s="1" t="inlineStr">
        <is>
          <t>Использование (применение) средств индивидуальной защиты</t>
        </is>
      </c>
      <c r="L2022" s="1" t="inlineStr">
        <is>
          <t>22.07.2025</t>
        </is>
      </c>
      <c r="M2022" s="1" t="inlineStr">
        <is>
          <t>Успешно</t>
        </is>
      </c>
      <c r="N2022" s="1" t="inlineStr">
        <is>
          <t>13.10.2025</t>
        </is>
      </c>
      <c r="O2022" s="1" t="inlineStr"/>
      <c r="P2022" s="1" t="inlineStr"/>
      <c r="Q2022" s="1" t="inlineStr">
        <is>
          <t>Пользовательский интерфейс</t>
        </is>
      </c>
    </row>
    <row r="2023">
      <c r="B2023" s="1" t="inlineStr">
        <is>
          <t>148626992</t>
        </is>
      </c>
      <c r="C2023" s="1" t="inlineStr">
        <is>
          <t>11125717</t>
        </is>
      </c>
      <c r="D2023" t="inlineStr">
        <is>
          <t>работник 594</t>
        </is>
      </c>
      <c r="E2023" s="1" t="inlineStr">
        <is>
          <t>ОБЩЕСТВО С ОГРАНИЧЕННОЙ ОТВЕТСТВЕННОСТЬЮ "АМУР ЗОЛОТО"</t>
        </is>
      </c>
      <c r="F2023" s="1" t="inlineStr">
        <is>
          <t>2708001686</t>
        </is>
      </c>
      <c r="G2023" s="1" t="inlineStr">
        <is>
          <t>Машинист насосных установок</t>
        </is>
      </c>
      <c r="H2023" s="1" t="inlineStr">
        <is>
          <t>ООО "Амур Золото"</t>
        </is>
      </c>
      <c r="I2023" s="1" t="inlineStr">
        <is>
          <t>2708001686</t>
        </is>
      </c>
      <c r="J2023" s="1" t="inlineStr">
        <is>
          <t>ОТ № ЮГОК ПГУ 26-25</t>
        </is>
      </c>
      <c r="K202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023" s="1" t="inlineStr">
        <is>
          <t>22.07.2025</t>
        </is>
      </c>
      <c r="M2023" s="1" t="inlineStr">
        <is>
          <t>Успешно</t>
        </is>
      </c>
      <c r="N2023" s="1" t="inlineStr">
        <is>
          <t>13.10.2025</t>
        </is>
      </c>
      <c r="O2023" s="1" t="inlineStr"/>
      <c r="P2023" s="1" t="inlineStr"/>
      <c r="Q2023" s="1" t="inlineStr">
        <is>
          <t>Пользовательский интерфейс</t>
        </is>
      </c>
    </row>
    <row r="2024">
      <c r="B2024" s="1" t="inlineStr">
        <is>
          <t>148626993</t>
        </is>
      </c>
      <c r="C2024" s="1" t="inlineStr">
        <is>
          <t>11125717</t>
        </is>
      </c>
      <c r="D2024" t="inlineStr">
        <is>
          <t>работник 595</t>
        </is>
      </c>
      <c r="E2024" s="1" t="inlineStr">
        <is>
          <t>ОБЩЕСТВО С ОГРАНИЧЕННОЙ ОТВЕТСТВЕННОСТЬЮ "АМУР ЗОЛОТО"</t>
        </is>
      </c>
      <c r="F2024" s="1" t="inlineStr">
        <is>
          <t>2708001686</t>
        </is>
      </c>
      <c r="G2024" s="1" t="inlineStr">
        <is>
          <t>Машинист погрузочно-доставочной машины</t>
        </is>
      </c>
      <c r="H2024" s="1" t="inlineStr">
        <is>
          <t>ООО "Амур Золото"</t>
        </is>
      </c>
      <c r="I2024" s="1" t="inlineStr">
        <is>
          <t>2708001686</t>
        </is>
      </c>
      <c r="J2024" s="1" t="inlineStr">
        <is>
          <t>ОТ № ЮГОК ПГУ 27-25</t>
        </is>
      </c>
      <c r="K2024" s="1" t="inlineStr">
        <is>
          <t>Использование (применение) средств индивидуальной защиты</t>
        </is>
      </c>
      <c r="L2024" s="1" t="inlineStr">
        <is>
          <t>03.08.2025</t>
        </is>
      </c>
      <c r="M2024" s="1" t="inlineStr">
        <is>
          <t>Успешно</t>
        </is>
      </c>
      <c r="N2024" s="1" t="inlineStr">
        <is>
          <t>13.10.2025</t>
        </is>
      </c>
      <c r="O2024" s="1" t="inlineStr"/>
      <c r="P2024" s="1" t="inlineStr"/>
      <c r="Q2024" s="1" t="inlineStr">
        <is>
          <t>Пользовательский интерфейс</t>
        </is>
      </c>
    </row>
    <row r="2025">
      <c r="B2025" s="1" t="inlineStr">
        <is>
          <t>148626994</t>
        </is>
      </c>
      <c r="C2025" s="1" t="inlineStr">
        <is>
          <t>11125717</t>
        </is>
      </c>
      <c r="D2025" t="inlineStr">
        <is>
          <t>работник 595</t>
        </is>
      </c>
      <c r="E2025" s="1" t="inlineStr">
        <is>
          <t>ОБЩЕСТВО С ОГРАНИЧЕННОЙ ОТВЕТСТВЕННОСТЬЮ "АМУР ЗОЛОТО"</t>
        </is>
      </c>
      <c r="F2025" s="1" t="inlineStr">
        <is>
          <t>2708001686</t>
        </is>
      </c>
      <c r="G2025" s="1" t="inlineStr">
        <is>
          <t>Машинист погрузочно-доставочной машины</t>
        </is>
      </c>
      <c r="H2025" s="1" t="inlineStr">
        <is>
          <t>ООО "Амур Золото"</t>
        </is>
      </c>
      <c r="I2025" s="1" t="inlineStr">
        <is>
          <t>2708001686</t>
        </is>
      </c>
      <c r="J2025" s="1" t="inlineStr">
        <is>
          <t>ОТ № ЮГОК ПГУ 27-25</t>
        </is>
      </c>
      <c r="K202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025" s="1" t="inlineStr">
        <is>
          <t>03.08.2025</t>
        </is>
      </c>
      <c r="M2025" s="1" t="inlineStr">
        <is>
          <t>Успешно</t>
        </is>
      </c>
      <c r="N2025" s="1" t="inlineStr">
        <is>
          <t>13.10.2025</t>
        </is>
      </c>
      <c r="O2025" s="1" t="inlineStr"/>
      <c r="P2025" s="1" t="inlineStr"/>
      <c r="Q2025" s="1" t="inlineStr">
        <is>
          <t>Пользовательский интерфейс</t>
        </is>
      </c>
    </row>
    <row r="2026">
      <c r="B2026" s="1" t="inlineStr">
        <is>
          <t>148626995</t>
        </is>
      </c>
      <c r="C2026" s="1" t="inlineStr">
        <is>
          <t>11125717</t>
        </is>
      </c>
      <c r="D2026" t="inlineStr">
        <is>
          <t>работник 596</t>
        </is>
      </c>
      <c r="E2026" s="1" t="inlineStr">
        <is>
          <t>ОБЩЕСТВО С ОГРАНИЧЕННОЙ ОТВЕТСТВЕННОСТЬЮ "АМУР ЗОЛОТО"</t>
        </is>
      </c>
      <c r="F2026" s="1" t="inlineStr">
        <is>
          <t>2708001686</t>
        </is>
      </c>
      <c r="G2026" s="1" t="inlineStr">
        <is>
          <t>Слесарь-ремонтник (по ремонту самоходной техники)</t>
        </is>
      </c>
      <c r="H2026" s="1" t="inlineStr">
        <is>
          <t>ООО "Амур Золото"</t>
        </is>
      </c>
      <c r="I2026" s="1" t="inlineStr">
        <is>
          <t>2708001686</t>
        </is>
      </c>
      <c r="J2026" s="1" t="inlineStr">
        <is>
          <t>ОТ № ЮГОК ПГУ 28-25</t>
        </is>
      </c>
      <c r="K2026" s="1" t="inlineStr">
        <is>
          <t>Использование (применение) средств индивидуальной защиты</t>
        </is>
      </c>
      <c r="L2026" s="1" t="inlineStr">
        <is>
          <t>10.08.2025</t>
        </is>
      </c>
      <c r="M2026" s="1" t="inlineStr">
        <is>
          <t>Успешно</t>
        </is>
      </c>
      <c r="N2026" s="1" t="inlineStr">
        <is>
          <t>13.10.2025</t>
        </is>
      </c>
      <c r="O2026" s="1" t="inlineStr"/>
      <c r="P2026" s="1" t="inlineStr"/>
      <c r="Q2026" s="1" t="inlineStr">
        <is>
          <t>Пользовательский интерфейс</t>
        </is>
      </c>
    </row>
    <row r="2027">
      <c r="B2027" s="1" t="inlineStr">
        <is>
          <t>148626996</t>
        </is>
      </c>
      <c r="C2027" s="1" t="inlineStr">
        <is>
          <t>11125717</t>
        </is>
      </c>
      <c r="D2027" t="inlineStr">
        <is>
          <t>работник 596</t>
        </is>
      </c>
      <c r="E2027" s="1" t="inlineStr">
        <is>
          <t>ОБЩЕСТВО С ОГРАНИЧЕННОЙ ОТВЕТСТВЕННОСТЬЮ "АМУР ЗОЛОТО"</t>
        </is>
      </c>
      <c r="F2027" s="1" t="inlineStr">
        <is>
          <t>2708001686</t>
        </is>
      </c>
      <c r="G2027" s="1" t="inlineStr">
        <is>
          <t>Слесарь-ремонтник (по ремонту самоходной техники)</t>
        </is>
      </c>
      <c r="H2027" s="1" t="inlineStr">
        <is>
          <t>ООО "Амур Золото"</t>
        </is>
      </c>
      <c r="I2027" s="1" t="inlineStr">
        <is>
          <t>2708001686</t>
        </is>
      </c>
      <c r="J2027" s="1" t="inlineStr">
        <is>
          <t>ОТ № ЮГОК ПГУ 28-25</t>
        </is>
      </c>
      <c r="K202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027" s="1" t="inlineStr">
        <is>
          <t>10.08.2025</t>
        </is>
      </c>
      <c r="M2027" s="1" t="inlineStr">
        <is>
          <t>Успешно</t>
        </is>
      </c>
      <c r="N2027" s="1" t="inlineStr">
        <is>
          <t>13.10.2025</t>
        </is>
      </c>
      <c r="O2027" s="1" t="inlineStr"/>
      <c r="P2027" s="1" t="inlineStr"/>
      <c r="Q2027" s="1" t="inlineStr">
        <is>
          <t>Пользовательский интерфейс</t>
        </is>
      </c>
    </row>
    <row r="2028">
      <c r="B2028" s="1" t="inlineStr">
        <is>
          <t>148626997</t>
        </is>
      </c>
      <c r="C2028" s="1" t="inlineStr">
        <is>
          <t>11125717</t>
        </is>
      </c>
      <c r="D2028" t="inlineStr">
        <is>
          <t>работник 597</t>
        </is>
      </c>
      <c r="E2028" s="1" t="inlineStr">
        <is>
          <t>ОБЩЕСТВО С ОГРАНИЧЕННОЙ ОТВЕТСТВЕННОСТЬЮ "АМУР ЗОЛОТО"</t>
        </is>
      </c>
      <c r="F2028" s="1" t="inlineStr">
        <is>
          <t>2708001686</t>
        </is>
      </c>
      <c r="G2028" s="1" t="inlineStr">
        <is>
          <t>Слесарь-ремонтник (по ремонту горно-шахтного оборудования)</t>
        </is>
      </c>
      <c r="H2028" s="1" t="inlineStr">
        <is>
          <t>ООО "Амур Золото"</t>
        </is>
      </c>
      <c r="I2028" s="1" t="inlineStr">
        <is>
          <t>2708001686</t>
        </is>
      </c>
      <c r="J2028" s="1" t="inlineStr">
        <is>
          <t>ОТ № ЮГОК ПГУ 29-25</t>
        </is>
      </c>
      <c r="K2028" s="1" t="inlineStr">
        <is>
          <t>Использование (применение) средств индивидуальной защиты</t>
        </is>
      </c>
      <c r="L2028" s="1" t="inlineStr">
        <is>
          <t>10.08.2025</t>
        </is>
      </c>
      <c r="M2028" s="1" t="inlineStr">
        <is>
          <t>Успешно</t>
        </is>
      </c>
      <c r="N2028" s="1" t="inlineStr">
        <is>
          <t>13.10.2025</t>
        </is>
      </c>
      <c r="O2028" s="1" t="inlineStr"/>
      <c r="P2028" s="1" t="inlineStr"/>
      <c r="Q2028" s="1" t="inlineStr">
        <is>
          <t>Пользовательский интерфейс</t>
        </is>
      </c>
    </row>
    <row r="2029">
      <c r="B2029" s="1" t="inlineStr">
        <is>
          <t>148626998</t>
        </is>
      </c>
      <c r="C2029" s="1" t="inlineStr">
        <is>
          <t>11125717</t>
        </is>
      </c>
      <c r="D2029" t="inlineStr">
        <is>
          <t>работник 78</t>
        </is>
      </c>
      <c r="E2029" s="1" t="inlineStr">
        <is>
          <t>ОБЩЕСТВО С ОГРАНИЧЕННОЙ ОТВЕТСТВЕННОСТЬЮ "АМУР ЗОЛОТО"</t>
        </is>
      </c>
      <c r="F2029" s="1" t="inlineStr">
        <is>
          <t>2708001686</t>
        </is>
      </c>
      <c r="G2029" s="1" t="inlineStr">
        <is>
          <t>Электрогазосварщик (занятый на резке и ручной сварке)</t>
        </is>
      </c>
      <c r="H2029" s="1" t="inlineStr">
        <is>
          <t>ООО "Амур Золото"</t>
        </is>
      </c>
      <c r="I2029" s="1" t="inlineStr">
        <is>
          <t>2708001686</t>
        </is>
      </c>
      <c r="J2029" s="1" t="inlineStr">
        <is>
          <t>ОТ № ЮГОК РСУ 25-04</t>
        </is>
      </c>
      <c r="K2029" s="1" t="inlineStr">
        <is>
          <t>Использование (применение) средств индивидуальной защиты</t>
        </is>
      </c>
      <c r="L2029" s="1" t="inlineStr">
        <is>
          <t>23.08.2025</t>
        </is>
      </c>
      <c r="M2029" s="1" t="inlineStr">
        <is>
          <t>Успешно</t>
        </is>
      </c>
      <c r="N2029" s="1" t="inlineStr">
        <is>
          <t>13.10.2025</t>
        </is>
      </c>
      <c r="O2029" s="1" t="inlineStr"/>
      <c r="P2029" s="1" t="inlineStr"/>
      <c r="Q2029" s="1" t="inlineStr">
        <is>
          <t>Пользовательский интерфейс</t>
        </is>
      </c>
    </row>
    <row r="2030">
      <c r="B2030" s="1" t="inlineStr">
        <is>
          <t>148626999</t>
        </is>
      </c>
      <c r="C2030" s="1" t="inlineStr">
        <is>
          <t>11125717</t>
        </is>
      </c>
      <c r="D2030" t="inlineStr">
        <is>
          <t>работник 597</t>
        </is>
      </c>
      <c r="E2030" s="1" t="inlineStr">
        <is>
          <t>ОБЩЕСТВО С ОГРАНИЧЕННОЙ ОТВЕТСТВЕННОСТЬЮ "АМУР ЗОЛОТО"</t>
        </is>
      </c>
      <c r="F2030" s="1" t="inlineStr">
        <is>
          <t>2708001686</t>
        </is>
      </c>
      <c r="G2030" s="1" t="inlineStr">
        <is>
          <t>Слесарь-ремонтник (по ремонту горно-шахтного оборудования)</t>
        </is>
      </c>
      <c r="H2030" s="1" t="inlineStr">
        <is>
          <t>ООО "Амур Золото"</t>
        </is>
      </c>
      <c r="I2030" s="1" t="inlineStr">
        <is>
          <t>2708001686</t>
        </is>
      </c>
      <c r="J2030" s="1" t="inlineStr">
        <is>
          <t>ОТ № ЮГОК ПГУ 29-25</t>
        </is>
      </c>
      <c r="K203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030" s="1" t="inlineStr">
        <is>
          <t>10.08.2025</t>
        </is>
      </c>
      <c r="M2030" s="1" t="inlineStr">
        <is>
          <t>Успешно</t>
        </is>
      </c>
      <c r="N2030" s="1" t="inlineStr">
        <is>
          <t>13.10.2025</t>
        </is>
      </c>
      <c r="O2030" s="1" t="inlineStr"/>
      <c r="P2030" s="1" t="inlineStr"/>
      <c r="Q2030" s="1" t="inlineStr">
        <is>
          <t>Пользовательский интерфейс</t>
        </is>
      </c>
    </row>
    <row r="2031">
      <c r="B2031" s="1" t="inlineStr">
        <is>
          <t>148627000</t>
        </is>
      </c>
      <c r="C2031" s="1" t="inlineStr">
        <is>
          <t>11125717</t>
        </is>
      </c>
      <c r="D2031" t="inlineStr">
        <is>
          <t>работник 598</t>
        </is>
      </c>
      <c r="E2031" s="1" t="inlineStr">
        <is>
          <t>ОБЩЕСТВО С ОГРАНИЧЕННОЙ ОТВЕТСТВЕННОСТЬЮ "АМУР ЗОЛОТО"</t>
        </is>
      </c>
      <c r="F2031" s="1" t="inlineStr">
        <is>
          <t>2708001686</t>
        </is>
      </c>
      <c r="G2031" s="1" t="inlineStr">
        <is>
          <t>Мастер горный</t>
        </is>
      </c>
      <c r="H2031" s="1" t="inlineStr">
        <is>
          <t>ООО "Амур Золото"</t>
        </is>
      </c>
      <c r="I2031" s="1" t="inlineStr">
        <is>
          <t>2708001686</t>
        </is>
      </c>
      <c r="J2031" s="1" t="inlineStr">
        <is>
          <t>ОТ № ЮГОК ПГУ 30-25</t>
        </is>
      </c>
      <c r="K2031" s="1" t="inlineStr">
        <is>
          <t>Использование (применение) средств индивидуальной защиты</t>
        </is>
      </c>
      <c r="L2031" s="1" t="inlineStr">
        <is>
          <t>14.08.2025</t>
        </is>
      </c>
      <c r="M2031" s="1" t="inlineStr">
        <is>
          <t>Успешно</t>
        </is>
      </c>
      <c r="N2031" s="1" t="inlineStr">
        <is>
          <t>13.10.2025</t>
        </is>
      </c>
      <c r="O2031" s="1" t="inlineStr"/>
      <c r="P2031" s="1" t="inlineStr"/>
      <c r="Q2031" s="1" t="inlineStr">
        <is>
          <t>Пользовательский интерфейс</t>
        </is>
      </c>
    </row>
    <row r="2032">
      <c r="B2032" s="1" t="inlineStr">
        <is>
          <t>148627001</t>
        </is>
      </c>
      <c r="C2032" s="1" t="inlineStr">
        <is>
          <t>11125717</t>
        </is>
      </c>
      <c r="D2032" t="inlineStr">
        <is>
          <t>работник 598</t>
        </is>
      </c>
      <c r="E2032" s="1" t="inlineStr">
        <is>
          <t>ОБЩЕСТВО С ОГРАНИЧЕННОЙ ОТВЕТСТВЕННОСТЬЮ "АМУР ЗОЛОТО"</t>
        </is>
      </c>
      <c r="F2032" s="1" t="inlineStr">
        <is>
          <t>2708001686</t>
        </is>
      </c>
      <c r="G2032" s="1" t="inlineStr">
        <is>
          <t>Мастер горный</t>
        </is>
      </c>
      <c r="H2032" s="1" t="inlineStr">
        <is>
          <t>ООО "Амур Золото"</t>
        </is>
      </c>
      <c r="I2032" s="1" t="inlineStr">
        <is>
          <t>2708001686</t>
        </is>
      </c>
      <c r="J2032" s="1" t="inlineStr">
        <is>
          <t>ОТ № ЮГОК ПГУ 30-25</t>
        </is>
      </c>
      <c r="K203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032" s="1" t="inlineStr">
        <is>
          <t>14.08.2025</t>
        </is>
      </c>
      <c r="M2032" s="1" t="inlineStr">
        <is>
          <t>Успешно</t>
        </is>
      </c>
      <c r="N2032" s="1" t="inlineStr">
        <is>
          <t>13.10.2025</t>
        </is>
      </c>
      <c r="O2032" s="1" t="inlineStr"/>
      <c r="P2032" s="1" t="inlineStr"/>
      <c r="Q2032" s="1" t="inlineStr">
        <is>
          <t>Пользовательский интерфейс</t>
        </is>
      </c>
    </row>
    <row r="2033">
      <c r="B2033" s="1" t="inlineStr">
        <is>
          <t>148627002</t>
        </is>
      </c>
      <c r="C2033" s="1" t="inlineStr">
        <is>
          <t>11125717</t>
        </is>
      </c>
      <c r="D2033" t="inlineStr">
        <is>
          <t>работник 599</t>
        </is>
      </c>
      <c r="E2033" s="1" t="inlineStr">
        <is>
          <t>ОБЩЕСТВО С ОГРАНИЧЕННОЙ ОТВЕТСТВЕННОСТЬЮ "АМУР ЗОЛОТО"</t>
        </is>
      </c>
      <c r="F2033" s="1" t="inlineStr">
        <is>
          <t>2708001686</t>
        </is>
      </c>
      <c r="G2033" s="1" t="inlineStr">
        <is>
          <t>Мастер горный</t>
        </is>
      </c>
      <c r="H2033" s="1" t="inlineStr">
        <is>
          <t>ООО "Амур Золото"</t>
        </is>
      </c>
      <c r="I2033" s="1" t="inlineStr">
        <is>
          <t>2708001686</t>
        </is>
      </c>
      <c r="J2033" s="1" t="inlineStr">
        <is>
          <t>ОТ № ЮГОК ПГУ 31-25</t>
        </is>
      </c>
      <c r="K2033" s="1" t="inlineStr">
        <is>
          <t>Использование (применение) средств индивидуальной защиты</t>
        </is>
      </c>
      <c r="L2033" s="1" t="inlineStr">
        <is>
          <t>22.08.2025</t>
        </is>
      </c>
      <c r="M2033" s="1" t="inlineStr">
        <is>
          <t>Успешно</t>
        </is>
      </c>
      <c r="N2033" s="1" t="inlineStr">
        <is>
          <t>13.10.2025</t>
        </is>
      </c>
      <c r="O2033" s="1" t="inlineStr"/>
      <c r="P2033" s="1" t="inlineStr"/>
      <c r="Q2033" s="1" t="inlineStr">
        <is>
          <t>Пользовательский интерфейс</t>
        </is>
      </c>
    </row>
    <row r="2034">
      <c r="B2034" s="1" t="inlineStr">
        <is>
          <t>148627003</t>
        </is>
      </c>
      <c r="C2034" s="1" t="inlineStr">
        <is>
          <t>11125717</t>
        </is>
      </c>
      <c r="D2034" t="inlineStr">
        <is>
          <t>работник 599</t>
        </is>
      </c>
      <c r="E2034" s="1" t="inlineStr">
        <is>
          <t>ОБЩЕСТВО С ОГРАНИЧЕННОЙ ОТВЕТСТВЕННОСТЬЮ "АМУР ЗОЛОТО"</t>
        </is>
      </c>
      <c r="F2034" s="1" t="inlineStr">
        <is>
          <t>2708001686</t>
        </is>
      </c>
      <c r="G2034" s="1" t="inlineStr">
        <is>
          <t>Мастер горный</t>
        </is>
      </c>
      <c r="H2034" s="1" t="inlineStr">
        <is>
          <t>ООО "Амур Золото"</t>
        </is>
      </c>
      <c r="I2034" s="1" t="inlineStr">
        <is>
          <t>2708001686</t>
        </is>
      </c>
      <c r="J2034" s="1" t="inlineStr">
        <is>
          <t>ОТ № ЮГОК ПГУ 31-25</t>
        </is>
      </c>
      <c r="K203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034" s="1" t="inlineStr">
        <is>
          <t>22.08.2025</t>
        </is>
      </c>
      <c r="M2034" s="1" t="inlineStr">
        <is>
          <t>Успешно</t>
        </is>
      </c>
      <c r="N2034" s="1" t="inlineStr">
        <is>
          <t>13.10.2025</t>
        </is>
      </c>
      <c r="O2034" s="1" t="inlineStr"/>
      <c r="P2034" s="1" t="inlineStr"/>
      <c r="Q2034" s="1" t="inlineStr">
        <is>
          <t>Пользовательский интерфейс</t>
        </is>
      </c>
    </row>
    <row r="2035">
      <c r="B2035" s="1" t="inlineStr">
        <is>
          <t>148627004</t>
        </is>
      </c>
      <c r="C2035" s="1" t="inlineStr">
        <is>
          <t>11125717</t>
        </is>
      </c>
      <c r="D2035" t="inlineStr">
        <is>
          <t>работник 507</t>
        </is>
      </c>
      <c r="E2035" s="1" t="inlineStr">
        <is>
          <t>ОБЩЕСТВО С ОГРАНИЧЕННОЙ ОТВЕТСТВЕННОСТЬЮ "АМУР ЗОЛОТО"</t>
        </is>
      </c>
      <c r="F2035" s="1" t="inlineStr">
        <is>
          <t>2708001686</t>
        </is>
      </c>
      <c r="G2035" s="1" t="inlineStr">
        <is>
          <t>Электрогазосварщик (занятый на резке и ручной сварке)</t>
        </is>
      </c>
      <c r="H2035" s="1" t="inlineStr">
        <is>
          <t>ООО "Амур Золото"</t>
        </is>
      </c>
      <c r="I2035" s="1" t="inlineStr">
        <is>
          <t>2708001686</t>
        </is>
      </c>
      <c r="J2035" s="1" t="inlineStr">
        <is>
          <t>ОТ № ЮГОК ПГУ 32-25</t>
        </is>
      </c>
      <c r="K2035" s="1" t="inlineStr">
        <is>
          <t>Использование (применение) средств индивидуальной защиты</t>
        </is>
      </c>
      <c r="L2035" s="1" t="inlineStr">
        <is>
          <t>17.09.2025</t>
        </is>
      </c>
      <c r="M2035" s="1" t="inlineStr">
        <is>
          <t>Успешно</t>
        </is>
      </c>
      <c r="N2035" s="1" t="inlineStr">
        <is>
          <t>13.10.2025</t>
        </is>
      </c>
      <c r="O2035" s="1" t="inlineStr"/>
      <c r="P2035" s="1" t="inlineStr"/>
      <c r="Q2035" s="1" t="inlineStr">
        <is>
          <t>Пользовательский интерфейс</t>
        </is>
      </c>
    </row>
    <row r="2036">
      <c r="B2036" s="1" t="inlineStr">
        <is>
          <t>148627005</t>
        </is>
      </c>
      <c r="C2036" s="1" t="inlineStr">
        <is>
          <t>11125717</t>
        </is>
      </c>
      <c r="D2036" t="inlineStr">
        <is>
          <t>работник 507</t>
        </is>
      </c>
      <c r="E2036" s="1" t="inlineStr">
        <is>
          <t>ОБЩЕСТВО С ОГРАНИЧЕННОЙ ОТВЕТСТВЕННОСТЬЮ "АМУР ЗОЛОТО"</t>
        </is>
      </c>
      <c r="F2036" s="1" t="inlineStr">
        <is>
          <t>2708001686</t>
        </is>
      </c>
      <c r="G2036" s="1" t="inlineStr">
        <is>
          <t>Электрогазосварщик (занятый на резке и ручной сварке)</t>
        </is>
      </c>
      <c r="H2036" s="1" t="inlineStr">
        <is>
          <t>ООО "Амур Золото"</t>
        </is>
      </c>
      <c r="I2036" s="1" t="inlineStr">
        <is>
          <t>2708001686</t>
        </is>
      </c>
      <c r="J2036" s="1" t="inlineStr">
        <is>
          <t>ОТ № ЮГОК ПГУ 32-25</t>
        </is>
      </c>
      <c r="K203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036" s="1" t="inlineStr">
        <is>
          <t>17.09.2025</t>
        </is>
      </c>
      <c r="M2036" s="1" t="inlineStr">
        <is>
          <t>Успешно</t>
        </is>
      </c>
      <c r="N2036" s="1" t="inlineStr">
        <is>
          <t>13.10.2025</t>
        </is>
      </c>
      <c r="O2036" s="1" t="inlineStr"/>
      <c r="P2036" s="1" t="inlineStr"/>
      <c r="Q2036" s="1" t="inlineStr">
        <is>
          <t>Пользовательский интерфейс</t>
        </is>
      </c>
    </row>
    <row r="2037">
      <c r="B2037" s="1" t="inlineStr">
        <is>
          <t>148627006</t>
        </is>
      </c>
      <c r="C2037" s="1" t="inlineStr">
        <is>
          <t>11125717</t>
        </is>
      </c>
      <c r="D2037" t="inlineStr">
        <is>
          <t>работник 600</t>
        </is>
      </c>
      <c r="E2037" s="1" t="inlineStr">
        <is>
          <t>ОБЩЕСТВО С ОГРАНИЧЕННОЙ ОТВЕТСТВЕННОСТЬЮ "АМУР ЗОЛОТО"</t>
        </is>
      </c>
      <c r="F2037" s="1" t="inlineStr">
        <is>
          <t>2708001686</t>
        </is>
      </c>
      <c r="G2037" s="1" t="inlineStr">
        <is>
          <t>Слесарь-ремонтник (по ремонту самоходной техники)</t>
        </is>
      </c>
      <c r="H2037" s="1" t="inlineStr">
        <is>
          <t>ООО "Амур Золото"</t>
        </is>
      </c>
      <c r="I2037" s="1" t="inlineStr">
        <is>
          <t>2708001686</t>
        </is>
      </c>
      <c r="J2037" s="1" t="inlineStr">
        <is>
          <t>ОТ № ЮГОК ПГУ 33-25</t>
        </is>
      </c>
      <c r="K2037" s="1" t="inlineStr">
        <is>
          <t>Использование (применение) средств индивидуальной защиты</t>
        </is>
      </c>
      <c r="L2037" s="1" t="inlineStr">
        <is>
          <t>19.09.2025</t>
        </is>
      </c>
      <c r="M2037" s="1" t="inlineStr">
        <is>
          <t>Успешно</t>
        </is>
      </c>
      <c r="N2037" s="1" t="inlineStr">
        <is>
          <t>13.10.2025</t>
        </is>
      </c>
      <c r="O2037" s="1" t="inlineStr"/>
      <c r="P2037" s="1" t="inlineStr"/>
      <c r="Q2037" s="1" t="inlineStr">
        <is>
          <t>Пользовательский интерфейс</t>
        </is>
      </c>
    </row>
    <row r="2038">
      <c r="B2038" s="1" t="inlineStr">
        <is>
          <t>148627007</t>
        </is>
      </c>
      <c r="C2038" s="1" t="inlineStr">
        <is>
          <t>11125717</t>
        </is>
      </c>
      <c r="D2038" t="inlineStr">
        <is>
          <t>работник 600</t>
        </is>
      </c>
      <c r="E2038" s="1" t="inlineStr">
        <is>
          <t>ОБЩЕСТВО С ОГРАНИЧЕННОЙ ОТВЕТСТВЕННОСТЬЮ "АМУР ЗОЛОТО"</t>
        </is>
      </c>
      <c r="F2038" s="1" t="inlineStr">
        <is>
          <t>2708001686</t>
        </is>
      </c>
      <c r="G2038" s="1" t="inlineStr">
        <is>
          <t>Слесарь-ремонтник (по ремонту самоходной техники)</t>
        </is>
      </c>
      <c r="H2038" s="1" t="inlineStr">
        <is>
          <t>ООО "Амур Золото"</t>
        </is>
      </c>
      <c r="I2038" s="1" t="inlineStr">
        <is>
          <t>2708001686</t>
        </is>
      </c>
      <c r="J2038" s="1" t="inlineStr">
        <is>
          <t>ОТ № ЮГОК ПГУ 33-25</t>
        </is>
      </c>
      <c r="K203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038" s="1" t="inlineStr">
        <is>
          <t>19.09.2025</t>
        </is>
      </c>
      <c r="M2038" s="1" t="inlineStr">
        <is>
          <t>Успешно</t>
        </is>
      </c>
      <c r="N2038" s="1" t="inlineStr">
        <is>
          <t>13.10.2025</t>
        </is>
      </c>
      <c r="O2038" s="1" t="inlineStr"/>
      <c r="P2038" s="1" t="inlineStr"/>
      <c r="Q2038" s="1" t="inlineStr">
        <is>
          <t>Пользовательский интерфейс</t>
        </is>
      </c>
    </row>
    <row r="2039">
      <c r="B2039" s="1" t="inlineStr">
        <is>
          <t>148627008</t>
        </is>
      </c>
      <c r="C2039" s="1" t="inlineStr">
        <is>
          <t>11125717</t>
        </is>
      </c>
      <c r="D2039" t="inlineStr">
        <is>
          <t>работник 32</t>
        </is>
      </c>
      <c r="E2039" s="1" t="inlineStr">
        <is>
          <t>ОБЩЕСТВО С ОГРАНИЧЕННОЙ ОТВЕТСТВЕННОСТЬЮ "АМУР ЗОЛОТО"</t>
        </is>
      </c>
      <c r="F2039" s="1" t="inlineStr">
        <is>
          <t>2708001686</t>
        </is>
      </c>
      <c r="G2039" s="1" t="inlineStr">
        <is>
          <t>Проходчик (с исполнением обязанностей взрывника)</t>
        </is>
      </c>
      <c r="H2039" s="1" t="inlineStr">
        <is>
          <t>ООО "Амур Золото"</t>
        </is>
      </c>
      <c r="I2039" s="1" t="inlineStr">
        <is>
          <t>2708001686</t>
        </is>
      </c>
      <c r="J2039" s="1" t="inlineStr">
        <is>
          <t>ОТ № ЮГОК ПГУ 34-25</t>
        </is>
      </c>
      <c r="K2039" s="1" t="inlineStr">
        <is>
          <t>Использование (применение) средств индивидуальной защиты</t>
        </is>
      </c>
      <c r="L2039" s="1" t="inlineStr">
        <is>
          <t>21.09.2025</t>
        </is>
      </c>
      <c r="M2039" s="1" t="inlineStr">
        <is>
          <t>Успешно</t>
        </is>
      </c>
      <c r="N2039" s="1" t="inlineStr">
        <is>
          <t>13.10.2025</t>
        </is>
      </c>
      <c r="O2039" s="1" t="inlineStr"/>
      <c r="P2039" s="1" t="inlineStr"/>
      <c r="Q2039" s="1" t="inlineStr">
        <is>
          <t>Пользовательский интерфейс</t>
        </is>
      </c>
    </row>
    <row r="2040">
      <c r="B2040" s="1" t="inlineStr">
        <is>
          <t>148627009</t>
        </is>
      </c>
      <c r="C2040" s="1" t="inlineStr">
        <is>
          <t>11125717</t>
        </is>
      </c>
      <c r="D2040" t="inlineStr">
        <is>
          <t>работник 32</t>
        </is>
      </c>
      <c r="E2040" s="1" t="inlineStr">
        <is>
          <t>ОБЩЕСТВО С ОГРАНИЧЕННОЙ ОТВЕТСТВЕННОСТЬЮ "АМУР ЗОЛОТО"</t>
        </is>
      </c>
      <c r="F2040" s="1" t="inlineStr">
        <is>
          <t>2708001686</t>
        </is>
      </c>
      <c r="G2040" s="1" t="inlineStr">
        <is>
          <t>Проходчик (с исполнением обязанностей взрывника)</t>
        </is>
      </c>
      <c r="H2040" s="1" t="inlineStr">
        <is>
          <t>ООО "Амур Золото"</t>
        </is>
      </c>
      <c r="I2040" s="1" t="inlineStr">
        <is>
          <t>2708001686</t>
        </is>
      </c>
      <c r="J2040" s="1" t="inlineStr">
        <is>
          <t>ОТ № ЮГОК ПГУ 34-25</t>
        </is>
      </c>
      <c r="K204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040" s="1" t="inlineStr">
        <is>
          <t>21.09.2025</t>
        </is>
      </c>
      <c r="M2040" s="1" t="inlineStr">
        <is>
          <t>Успешно</t>
        </is>
      </c>
      <c r="N2040" s="1" t="inlineStr">
        <is>
          <t>13.10.2025</t>
        </is>
      </c>
      <c r="O2040" s="1" t="inlineStr"/>
      <c r="P2040" s="1" t="inlineStr"/>
      <c r="Q2040" s="1" t="inlineStr">
        <is>
          <t>Пользовательский интерфейс</t>
        </is>
      </c>
    </row>
    <row r="2041">
      <c r="B2041" s="1" t="inlineStr">
        <is>
          <t>148627010</t>
        </is>
      </c>
      <c r="C2041" s="1" t="inlineStr">
        <is>
          <t>11125717</t>
        </is>
      </c>
      <c r="D2041" t="inlineStr">
        <is>
          <t>работник 601</t>
        </is>
      </c>
      <c r="E2041" s="1" t="inlineStr">
        <is>
          <t>ОБЩЕСТВО С ОГРАНИЧЕННОЙ ОТВЕТСТВЕННОСТЬЮ "АМУР ЗОЛОТО"</t>
        </is>
      </c>
      <c r="F2041" s="1" t="inlineStr">
        <is>
          <t>2708001686</t>
        </is>
      </c>
      <c r="G2041" s="1" t="inlineStr">
        <is>
          <t>Проходчик (с исполнением обязанностей взрывника)</t>
        </is>
      </c>
      <c r="H2041" s="1" t="inlineStr">
        <is>
          <t>ООО "Амур Золото"</t>
        </is>
      </c>
      <c r="I2041" s="1" t="inlineStr">
        <is>
          <t>2708001686</t>
        </is>
      </c>
      <c r="J2041" s="1" t="inlineStr">
        <is>
          <t>ОТ № ЮГОК ПГУ 35-25</t>
        </is>
      </c>
      <c r="K2041" s="1" t="inlineStr">
        <is>
          <t>Использование (применение) средств индивидуальной защиты</t>
        </is>
      </c>
      <c r="L2041" s="1" t="inlineStr">
        <is>
          <t>21.09.2025</t>
        </is>
      </c>
      <c r="M2041" s="1" t="inlineStr">
        <is>
          <t>Успешно</t>
        </is>
      </c>
      <c r="N2041" s="1" t="inlineStr">
        <is>
          <t>13.10.2025</t>
        </is>
      </c>
      <c r="O2041" s="1" t="inlineStr"/>
      <c r="P2041" s="1" t="inlineStr"/>
      <c r="Q2041" s="1" t="inlineStr">
        <is>
          <t>Пользовательский интерфейс</t>
        </is>
      </c>
    </row>
    <row r="2042">
      <c r="B2042" s="1" t="inlineStr">
        <is>
          <t>148627011</t>
        </is>
      </c>
      <c r="C2042" s="1" t="inlineStr">
        <is>
          <t>11125717</t>
        </is>
      </c>
      <c r="D2042" t="inlineStr">
        <is>
          <t>работник 601</t>
        </is>
      </c>
      <c r="E2042" s="1" t="inlineStr">
        <is>
          <t>ОБЩЕСТВО С ОГРАНИЧЕННОЙ ОТВЕТСТВЕННОСТЬЮ "АМУР ЗОЛОТО"</t>
        </is>
      </c>
      <c r="F2042" s="1" t="inlineStr">
        <is>
          <t>2708001686</t>
        </is>
      </c>
      <c r="G2042" s="1" t="inlineStr">
        <is>
          <t>Проходчик (с исполнением обязанностей взрывника)</t>
        </is>
      </c>
      <c r="H2042" s="1" t="inlineStr">
        <is>
          <t>ООО "Амур Золото"</t>
        </is>
      </c>
      <c r="I2042" s="1" t="inlineStr">
        <is>
          <t>2708001686</t>
        </is>
      </c>
      <c r="J2042" s="1" t="inlineStr">
        <is>
          <t>ОТ № ЮГОК ПГУ 35-25</t>
        </is>
      </c>
      <c r="K204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042" s="1" t="inlineStr">
        <is>
          <t>21.09.2025</t>
        </is>
      </c>
      <c r="M2042" s="1" t="inlineStr">
        <is>
          <t>Успешно</t>
        </is>
      </c>
      <c r="N2042" s="1" t="inlineStr">
        <is>
          <t>13.10.2025</t>
        </is>
      </c>
      <c r="O2042" s="1" t="inlineStr"/>
      <c r="P2042" s="1" t="inlineStr"/>
      <c r="Q2042" s="1" t="inlineStr">
        <is>
          <t>Пользовательский интерфейс</t>
        </is>
      </c>
    </row>
    <row r="2043">
      <c r="B2043" s="1" t="inlineStr">
        <is>
          <t>148627012</t>
        </is>
      </c>
      <c r="C2043" s="1" t="inlineStr">
        <is>
          <t>11125717</t>
        </is>
      </c>
      <c r="D2043" t="inlineStr">
        <is>
          <t>работник 602</t>
        </is>
      </c>
      <c r="E2043" s="1" t="inlineStr">
        <is>
          <t>ОБЩЕСТВО С ОГРАНИЧЕННОЙ ОТВЕТСТВЕННОСТЬЮ "АМУР ЗОЛОТО"</t>
        </is>
      </c>
      <c r="F2043" s="1" t="inlineStr">
        <is>
          <t>2708001686</t>
        </is>
      </c>
      <c r="G2043" s="1" t="inlineStr">
        <is>
          <t>Слесарь-ремонтник (по ремонту самоходной техники)</t>
        </is>
      </c>
      <c r="H2043" s="1" t="inlineStr">
        <is>
          <t>ООО "Амур Золото"</t>
        </is>
      </c>
      <c r="I2043" s="1" t="inlineStr">
        <is>
          <t>2708001686</t>
        </is>
      </c>
      <c r="J2043" s="1" t="inlineStr">
        <is>
          <t>ОТ № ЮГОК ПГУ 36-25</t>
        </is>
      </c>
      <c r="K2043" s="1" t="inlineStr">
        <is>
          <t>Использование (применение) средств индивидуальной защиты</t>
        </is>
      </c>
      <c r="L2043" s="1" t="inlineStr">
        <is>
          <t>22.09.2025</t>
        </is>
      </c>
      <c r="M2043" s="1" t="inlineStr">
        <is>
          <t>Успешно</t>
        </is>
      </c>
      <c r="N2043" s="1" t="inlineStr">
        <is>
          <t>13.10.2025</t>
        </is>
      </c>
      <c r="O2043" s="1" t="inlineStr"/>
      <c r="P2043" s="1" t="inlineStr"/>
      <c r="Q2043" s="1" t="inlineStr">
        <is>
          <t>Пользовательский интерфейс</t>
        </is>
      </c>
    </row>
    <row r="2044">
      <c r="B2044" s="1" t="inlineStr">
        <is>
          <t>148627013</t>
        </is>
      </c>
      <c r="C2044" s="1" t="inlineStr">
        <is>
          <t>11125717</t>
        </is>
      </c>
      <c r="D2044" t="inlineStr">
        <is>
          <t>работник 602</t>
        </is>
      </c>
      <c r="E2044" s="1" t="inlineStr">
        <is>
          <t>ОБЩЕСТВО С ОГРАНИЧЕННОЙ ОТВЕТСТВЕННОСТЬЮ "АМУР ЗОЛОТО"</t>
        </is>
      </c>
      <c r="F2044" s="1" t="inlineStr">
        <is>
          <t>2708001686</t>
        </is>
      </c>
      <c r="G2044" s="1" t="inlineStr">
        <is>
          <t>Слесарь-ремонтник (по ремонту самоходной техники)</t>
        </is>
      </c>
      <c r="H2044" s="1" t="inlineStr">
        <is>
          <t>ООО "Амур Золото"</t>
        </is>
      </c>
      <c r="I2044" s="1" t="inlineStr">
        <is>
          <t>2708001686</t>
        </is>
      </c>
      <c r="J2044" s="1" t="inlineStr">
        <is>
          <t>ОТ № ЮГОК ПГУ 36-25</t>
        </is>
      </c>
      <c r="K204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044" s="1" t="inlineStr">
        <is>
          <t>22.09.2025</t>
        </is>
      </c>
      <c r="M2044" s="1" t="inlineStr">
        <is>
          <t>Успешно</t>
        </is>
      </c>
      <c r="N2044" s="1" t="inlineStr">
        <is>
          <t>13.10.2025</t>
        </is>
      </c>
      <c r="O2044" s="1" t="inlineStr"/>
      <c r="P2044" s="1" t="inlineStr"/>
      <c r="Q2044" s="1" t="inlineStr">
        <is>
          <t>Пользовательский интерфейс</t>
        </is>
      </c>
    </row>
    <row r="2045">
      <c r="B2045" s="1" t="inlineStr">
        <is>
          <t>148627014</t>
        </is>
      </c>
      <c r="C2045" s="1" t="inlineStr">
        <is>
          <t>11125717</t>
        </is>
      </c>
      <c r="D2045" t="inlineStr">
        <is>
          <t>работник 508</t>
        </is>
      </c>
      <c r="E2045" s="1" t="inlineStr">
        <is>
          <t>ОБЩЕСТВО С ОГРАНИЧЕННОЙ ОТВЕТСТВЕННОСТЬЮ "АМУР ЗОЛОТО"</t>
        </is>
      </c>
      <c r="F2045" s="1" t="inlineStr">
        <is>
          <t>2708001686</t>
        </is>
      </c>
      <c r="G2045" s="1" t="inlineStr">
        <is>
          <t>Помощник машиниста самоходной буровой установки (с исполнением обязанностей пробоотборщика) (Очистное)</t>
        </is>
      </c>
      <c r="H2045" s="1" t="inlineStr">
        <is>
          <t>ООО "Амур Золото"</t>
        </is>
      </c>
      <c r="I2045" s="1" t="inlineStr">
        <is>
          <t>2708001686</t>
        </is>
      </c>
      <c r="J2045" s="1" t="inlineStr">
        <is>
          <t>ОТ № ЮГОК ПГУ 37-25</t>
        </is>
      </c>
      <c r="K2045" s="1" t="inlineStr">
        <is>
          <t>Использование (применение) средств индивидуальной защиты</t>
        </is>
      </c>
      <c r="L2045" s="1" t="inlineStr">
        <is>
          <t>02.10.2025</t>
        </is>
      </c>
      <c r="M2045" s="1" t="inlineStr">
        <is>
          <t>Успешно</t>
        </is>
      </c>
      <c r="N2045" s="1" t="inlineStr">
        <is>
          <t>13.10.2025</t>
        </is>
      </c>
      <c r="O2045" s="1" t="inlineStr"/>
      <c r="P2045" s="1" t="inlineStr"/>
      <c r="Q2045" s="1" t="inlineStr">
        <is>
          <t>Пользовательский интерфейс</t>
        </is>
      </c>
    </row>
    <row r="2046">
      <c r="B2046" s="1" t="inlineStr">
        <is>
          <t>148627015</t>
        </is>
      </c>
      <c r="C2046" s="1" t="inlineStr">
        <is>
          <t>11125717</t>
        </is>
      </c>
      <c r="D2046" t="inlineStr">
        <is>
          <t>работник 508</t>
        </is>
      </c>
      <c r="E2046" s="1" t="inlineStr">
        <is>
          <t>ОБЩЕСТВО С ОГРАНИЧЕННОЙ ОТВЕТСТВЕННОСТЬЮ "АМУР ЗОЛОТО"</t>
        </is>
      </c>
      <c r="F2046" s="1" t="inlineStr">
        <is>
          <t>2708001686</t>
        </is>
      </c>
      <c r="G2046" s="1" t="inlineStr">
        <is>
          <t>Помощник машиниста самоходной буровой установки (с исполнением обязанностей пробоотборщика) (Очистное)</t>
        </is>
      </c>
      <c r="H2046" s="1" t="inlineStr">
        <is>
          <t>ООО "Амур Золото"</t>
        </is>
      </c>
      <c r="I2046" s="1" t="inlineStr">
        <is>
          <t>2708001686</t>
        </is>
      </c>
      <c r="J2046" s="1" t="inlineStr">
        <is>
          <t>ОТ № ЮГОК ПГУ 37-25</t>
        </is>
      </c>
      <c r="K204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046" s="1" t="inlineStr">
        <is>
          <t>02.10.2025</t>
        </is>
      </c>
      <c r="M2046" s="1" t="inlineStr">
        <is>
          <t>Успешно</t>
        </is>
      </c>
      <c r="N2046" s="1" t="inlineStr">
        <is>
          <t>13.10.2025</t>
        </is>
      </c>
      <c r="O2046" s="1" t="inlineStr"/>
      <c r="P2046" s="1" t="inlineStr"/>
      <c r="Q2046" s="1" t="inlineStr">
        <is>
          <t>Пользовательский интерфейс</t>
        </is>
      </c>
    </row>
    <row r="2047">
      <c r="B2047" s="1" t="inlineStr">
        <is>
          <t>148627016</t>
        </is>
      </c>
      <c r="C2047" s="1" t="inlineStr">
        <is>
          <t>11125717</t>
        </is>
      </c>
      <c r="D2047" t="inlineStr">
        <is>
          <t>работник 603</t>
        </is>
      </c>
      <c r="E2047" s="1" t="inlineStr">
        <is>
          <t>ОБЩЕСТВО С ОГРАНИЧЕННОЙ ОТВЕТСТВЕННОСТЬЮ "АМУР ЗОЛОТО"</t>
        </is>
      </c>
      <c r="F2047" s="1" t="inlineStr">
        <is>
          <t>2708001686</t>
        </is>
      </c>
      <c r="G2047" s="1" t="inlineStr">
        <is>
          <t>Машинист насосных установок</t>
        </is>
      </c>
      <c r="H2047" s="1" t="inlineStr">
        <is>
          <t>ООО "Амур Золото"</t>
        </is>
      </c>
      <c r="I2047" s="1" t="inlineStr">
        <is>
          <t>2708001686</t>
        </is>
      </c>
      <c r="J2047" s="1" t="inlineStr">
        <is>
          <t>ОТ № ЮГОК ПГУ 38-25</t>
        </is>
      </c>
      <c r="K2047" s="1" t="inlineStr">
        <is>
          <t>Использование (применение) средств индивидуальной защиты</t>
        </is>
      </c>
      <c r="L2047" s="1" t="inlineStr">
        <is>
          <t>04.10.2025</t>
        </is>
      </c>
      <c r="M2047" s="1" t="inlineStr">
        <is>
          <t>Успешно</t>
        </is>
      </c>
      <c r="N2047" s="1" t="inlineStr">
        <is>
          <t>13.10.2025</t>
        </is>
      </c>
      <c r="O2047" s="1" t="inlineStr"/>
      <c r="P2047" s="1" t="inlineStr"/>
      <c r="Q2047" s="1" t="inlineStr">
        <is>
          <t>Пользовательский интерфейс</t>
        </is>
      </c>
    </row>
    <row r="2048">
      <c r="B2048" s="1" t="inlineStr">
        <is>
          <t>148627017</t>
        </is>
      </c>
      <c r="C2048" s="1" t="inlineStr">
        <is>
          <t>11125717</t>
        </is>
      </c>
      <c r="D2048" t="inlineStr">
        <is>
          <t>работник 603</t>
        </is>
      </c>
      <c r="E2048" s="1" t="inlineStr">
        <is>
          <t>ОБЩЕСТВО С ОГРАНИЧЕННОЙ ОТВЕТСТВЕННОСТЬЮ "АМУР ЗОЛОТО"</t>
        </is>
      </c>
      <c r="F2048" s="1" t="inlineStr">
        <is>
          <t>2708001686</t>
        </is>
      </c>
      <c r="G2048" s="1" t="inlineStr">
        <is>
          <t>Машинист насосных установок</t>
        </is>
      </c>
      <c r="H2048" s="1" t="inlineStr">
        <is>
          <t>ООО "Амур Золото"</t>
        </is>
      </c>
      <c r="I2048" s="1" t="inlineStr">
        <is>
          <t>2708001686</t>
        </is>
      </c>
      <c r="J2048" s="1" t="inlineStr">
        <is>
          <t>ОТ № ЮГОК ПГУ 38-25</t>
        </is>
      </c>
      <c r="K204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048" s="1" t="inlineStr">
        <is>
          <t>04.10.2025</t>
        </is>
      </c>
      <c r="M2048" s="1" t="inlineStr">
        <is>
          <t>Успешно</t>
        </is>
      </c>
      <c r="N2048" s="1" t="inlineStr">
        <is>
          <t>13.10.2025</t>
        </is>
      </c>
      <c r="O2048" s="1" t="inlineStr"/>
      <c r="P2048" s="1" t="inlineStr"/>
      <c r="Q2048" s="1" t="inlineStr">
        <is>
          <t>Пользовательский интерфейс</t>
        </is>
      </c>
    </row>
    <row r="2049">
      <c r="B2049" s="1" t="inlineStr">
        <is>
          <t>148627018</t>
        </is>
      </c>
      <c r="C2049" s="1" t="inlineStr">
        <is>
          <t>11125717</t>
        </is>
      </c>
      <c r="D2049" t="inlineStr">
        <is>
          <t>работник 604</t>
        </is>
      </c>
      <c r="E2049" s="1" t="inlineStr">
        <is>
          <t>ОБЩЕСТВО С ОГРАНИЧЕННОЙ ОТВЕТСТВЕННОСТЬЮ "АМУР ЗОЛОТО"</t>
        </is>
      </c>
      <c r="F2049" s="1" t="inlineStr">
        <is>
          <t>2708001686</t>
        </is>
      </c>
      <c r="G2049" s="1" t="inlineStr">
        <is>
          <t>Машинист насосных установок</t>
        </is>
      </c>
      <c r="H2049" s="1" t="inlineStr">
        <is>
          <t>ООО "Амур Золото"</t>
        </is>
      </c>
      <c r="I2049" s="1" t="inlineStr">
        <is>
          <t>2708001686</t>
        </is>
      </c>
      <c r="J2049" s="1" t="inlineStr">
        <is>
          <t>ОТ № ЮГОК ПГУ 39-25</t>
        </is>
      </c>
      <c r="K2049" s="1" t="inlineStr">
        <is>
          <t>Использование (применение) средств индивидуальной защиты</t>
        </is>
      </c>
      <c r="L2049" s="1" t="inlineStr">
        <is>
          <t>05.10.2025</t>
        </is>
      </c>
      <c r="M2049" s="1" t="inlineStr">
        <is>
          <t>Успешно</t>
        </is>
      </c>
      <c r="N2049" s="1" t="inlineStr">
        <is>
          <t>13.10.2025</t>
        </is>
      </c>
      <c r="O2049" s="1" t="inlineStr"/>
      <c r="P2049" s="1" t="inlineStr"/>
      <c r="Q2049" s="1" t="inlineStr">
        <is>
          <t>Пользовательский интерфейс</t>
        </is>
      </c>
    </row>
    <row r="2050">
      <c r="B2050" s="1" t="inlineStr">
        <is>
          <t>148627019</t>
        </is>
      </c>
      <c r="C2050" s="1" t="inlineStr">
        <is>
          <t>11125717</t>
        </is>
      </c>
      <c r="D2050" t="inlineStr">
        <is>
          <t>работник 604</t>
        </is>
      </c>
      <c r="E2050" s="1" t="inlineStr">
        <is>
          <t>ОБЩЕСТВО С ОГРАНИЧЕННОЙ ОТВЕТСТВЕННОСТЬЮ "АМУР ЗОЛОТО"</t>
        </is>
      </c>
      <c r="F2050" s="1" t="inlineStr">
        <is>
          <t>2708001686</t>
        </is>
      </c>
      <c r="G2050" s="1" t="inlineStr">
        <is>
          <t>Машинист насосных установок</t>
        </is>
      </c>
      <c r="H2050" s="1" t="inlineStr">
        <is>
          <t>ООО "Амур Золото"</t>
        </is>
      </c>
      <c r="I2050" s="1" t="inlineStr">
        <is>
          <t>2708001686</t>
        </is>
      </c>
      <c r="J2050" s="1" t="inlineStr">
        <is>
          <t>ОТ № ЮГОК ПГУ 39-25</t>
        </is>
      </c>
      <c r="K205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050" s="1" t="inlineStr">
        <is>
          <t>05.10.2025</t>
        </is>
      </c>
      <c r="M2050" s="1" t="inlineStr">
        <is>
          <t>Успешно</t>
        </is>
      </c>
      <c r="N2050" s="1" t="inlineStr">
        <is>
          <t>13.10.2025</t>
        </is>
      </c>
      <c r="O2050" s="1" t="inlineStr"/>
      <c r="P2050" s="1" t="inlineStr"/>
      <c r="Q2050" s="1" t="inlineStr">
        <is>
          <t>Пользовательский интерфейс</t>
        </is>
      </c>
    </row>
    <row r="2051">
      <c r="B2051" s="1" t="inlineStr">
        <is>
          <t>148627020</t>
        </is>
      </c>
      <c r="C2051" s="1" t="inlineStr">
        <is>
          <t>11125717</t>
        </is>
      </c>
      <c r="D2051" t="inlineStr">
        <is>
          <t>работник 605</t>
        </is>
      </c>
      <c r="E2051" s="1" t="inlineStr">
        <is>
          <t>ОБЩЕСТВО С ОГРАНИЧЕННОЙ ОТВЕТСТВЕННОСТЬЮ "АМУР ЗОЛОТО"</t>
        </is>
      </c>
      <c r="F2051" s="1" t="inlineStr">
        <is>
          <t>2708001686</t>
        </is>
      </c>
      <c r="G2051" s="1" t="inlineStr">
        <is>
          <t>Раздатчик взрывчатых материалов</t>
        </is>
      </c>
      <c r="H2051" s="1" t="inlineStr">
        <is>
          <t>ООО "Амур Золото"</t>
        </is>
      </c>
      <c r="I2051" s="1" t="inlineStr">
        <is>
          <t>2708001686</t>
        </is>
      </c>
      <c r="J2051" s="1" t="inlineStr">
        <is>
          <t>ОТ № ЮГОК ПГУ 40-25</t>
        </is>
      </c>
      <c r="K2051" s="1" t="inlineStr">
        <is>
          <t>Использование (применение) средств индивидуальной защиты</t>
        </is>
      </c>
      <c r="L2051" s="1" t="inlineStr">
        <is>
          <t>13.10.2025</t>
        </is>
      </c>
      <c r="M2051" s="1" t="inlineStr">
        <is>
          <t>Успешно</t>
        </is>
      </c>
      <c r="N2051" s="1" t="inlineStr">
        <is>
          <t>13.10.2025</t>
        </is>
      </c>
      <c r="O2051" s="1" t="inlineStr"/>
      <c r="P2051" s="1" t="inlineStr"/>
      <c r="Q2051" s="1" t="inlineStr">
        <is>
          <t>Пользовательский интерфейс</t>
        </is>
      </c>
    </row>
    <row r="2052">
      <c r="B2052" s="1" t="inlineStr">
        <is>
          <t>148627021</t>
        </is>
      </c>
      <c r="C2052" s="1" t="inlineStr">
        <is>
          <t>11125717</t>
        </is>
      </c>
      <c r="D2052" t="inlineStr">
        <is>
          <t>работник 605</t>
        </is>
      </c>
      <c r="E2052" s="1" t="inlineStr">
        <is>
          <t>ОБЩЕСТВО С ОГРАНИЧЕННОЙ ОТВЕТСТВЕННОСТЬЮ "АМУР ЗОЛОТО"</t>
        </is>
      </c>
      <c r="F2052" s="1" t="inlineStr">
        <is>
          <t>2708001686</t>
        </is>
      </c>
      <c r="G2052" s="1" t="inlineStr">
        <is>
          <t>Раздатчик взрывчатых материалов</t>
        </is>
      </c>
      <c r="H2052" s="1" t="inlineStr">
        <is>
          <t>ООО "Амур Золото"</t>
        </is>
      </c>
      <c r="I2052" s="1" t="inlineStr">
        <is>
          <t>2708001686</t>
        </is>
      </c>
      <c r="J2052" s="1" t="inlineStr">
        <is>
          <t>ОТ № ЮГОК ПГУ 40-25</t>
        </is>
      </c>
      <c r="K205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052" s="1" t="inlineStr">
        <is>
          <t>13.10.2025</t>
        </is>
      </c>
      <c r="M2052" s="1" t="inlineStr">
        <is>
          <t>Успешно</t>
        </is>
      </c>
      <c r="N2052" s="1" t="inlineStr">
        <is>
          <t>13.10.2025</t>
        </is>
      </c>
      <c r="O2052" s="1" t="inlineStr"/>
      <c r="P2052" s="1" t="inlineStr"/>
      <c r="Q2052" s="1" t="inlineStr">
        <is>
          <t>Пользовательский интерфейс</t>
        </is>
      </c>
    </row>
    <row r="2053">
      <c r="B2053" s="1" t="inlineStr">
        <is>
          <t>148627022</t>
        </is>
      </c>
      <c r="C2053" s="1" t="inlineStr">
        <is>
          <t>11125717</t>
        </is>
      </c>
      <c r="D2053" t="inlineStr">
        <is>
          <t>работник 78</t>
        </is>
      </c>
      <c r="E2053" s="1" t="inlineStr">
        <is>
          <t>ОБЩЕСТВО С ОГРАНИЧЕННОЙ ОТВЕТСТВЕННОСТЬЮ "АМУР ЗОЛОТО"</t>
        </is>
      </c>
      <c r="F2053" s="1" t="inlineStr">
        <is>
          <t>2708001686</t>
        </is>
      </c>
      <c r="G2053" s="1" t="inlineStr">
        <is>
          <t>Электрогазосварщик (занятый на резке и ручной сварке)</t>
        </is>
      </c>
      <c r="H2053" s="1" t="inlineStr">
        <is>
          <t>ООО "Амур Золото"</t>
        </is>
      </c>
      <c r="I2053" s="1" t="inlineStr">
        <is>
          <t>2708001686</t>
        </is>
      </c>
      <c r="J2053" s="1" t="inlineStr">
        <is>
          <t>ОТ № ЮГОК РСУ 25-04</t>
        </is>
      </c>
      <c r="K205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053" s="1" t="inlineStr">
        <is>
          <t>23.08.2025</t>
        </is>
      </c>
      <c r="M2053" s="1" t="inlineStr">
        <is>
          <t>Успешно</t>
        </is>
      </c>
      <c r="N2053" s="1" t="inlineStr">
        <is>
          <t>13.10.2025</t>
        </is>
      </c>
      <c r="O2053" s="1" t="inlineStr"/>
      <c r="P2053" s="1" t="inlineStr"/>
      <c r="Q2053" s="1" t="inlineStr">
        <is>
          <t>Пользовательский интерфейс</t>
        </is>
      </c>
    </row>
    <row r="2054">
      <c r="B2054" s="1" t="inlineStr">
        <is>
          <t>148627023</t>
        </is>
      </c>
      <c r="C2054" s="1" t="inlineStr">
        <is>
          <t>11125717</t>
        </is>
      </c>
      <c r="D2054" t="inlineStr">
        <is>
          <t>работник 606</t>
        </is>
      </c>
      <c r="E2054" s="1" t="inlineStr">
        <is>
          <t>ОБЩЕСТВО С ОГРАНИЧЕННОЙ ОТВЕТСТВЕННОСТЬЮ "АМУР ЗОЛОТО"</t>
        </is>
      </c>
      <c r="F2054" s="1" t="inlineStr">
        <is>
          <t>2708001686</t>
        </is>
      </c>
      <c r="G2054" s="1" t="inlineStr">
        <is>
          <t>Кухонный рабочий</t>
        </is>
      </c>
      <c r="H2054" s="1" t="inlineStr">
        <is>
          <t>ООО "Амур Золото"</t>
        </is>
      </c>
      <c r="I2054" s="1" t="inlineStr">
        <is>
          <t>2708001686</t>
        </is>
      </c>
      <c r="J2054" s="1" t="inlineStr">
        <is>
          <t>ОТ № ЮГОК УОП 25-10</t>
        </is>
      </c>
      <c r="K2054" s="1" t="inlineStr">
        <is>
          <t>Использование (применение) средств индивидуальной защиты</t>
        </is>
      </c>
      <c r="L2054" s="1" t="inlineStr">
        <is>
          <t>25.09.2025</t>
        </is>
      </c>
      <c r="M2054" s="1" t="inlineStr">
        <is>
          <t>Успешно</t>
        </is>
      </c>
      <c r="N2054" s="1" t="inlineStr">
        <is>
          <t>13.10.2025</t>
        </is>
      </c>
      <c r="O2054" s="1" t="inlineStr"/>
      <c r="P2054" s="1" t="inlineStr"/>
      <c r="Q2054" s="1" t="inlineStr">
        <is>
          <t>Пользовательский интерфейс</t>
        </is>
      </c>
    </row>
    <row r="2055">
      <c r="B2055" s="1" t="inlineStr">
        <is>
          <t>148627024</t>
        </is>
      </c>
      <c r="C2055" s="1" t="inlineStr">
        <is>
          <t>11125717</t>
        </is>
      </c>
      <c r="D2055" t="inlineStr">
        <is>
          <t>работник 606</t>
        </is>
      </c>
      <c r="E2055" s="1" t="inlineStr">
        <is>
          <t>ОБЩЕСТВО С ОГРАНИЧЕННОЙ ОТВЕТСТВЕННОСТЬЮ "АМУР ЗОЛОТО"</t>
        </is>
      </c>
      <c r="F2055" s="1" t="inlineStr">
        <is>
          <t>2708001686</t>
        </is>
      </c>
      <c r="G2055" s="1" t="inlineStr">
        <is>
          <t>Кухонный рабочий</t>
        </is>
      </c>
      <c r="H2055" s="1" t="inlineStr">
        <is>
          <t>ООО "Амур Золото"</t>
        </is>
      </c>
      <c r="I2055" s="1" t="inlineStr">
        <is>
          <t>2708001686</t>
        </is>
      </c>
      <c r="J2055" s="1" t="inlineStr">
        <is>
          <t>ОТ № ЮГОК УОП 25-10</t>
        </is>
      </c>
      <c r="K205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055" s="1" t="inlineStr">
        <is>
          <t>25.09.2025</t>
        </is>
      </c>
      <c r="M2055" s="1" t="inlineStr">
        <is>
          <t>Успешно</t>
        </is>
      </c>
      <c r="N2055" s="1" t="inlineStr">
        <is>
          <t>13.10.2025</t>
        </is>
      </c>
      <c r="O2055" s="1" t="inlineStr"/>
      <c r="P2055" s="1" t="inlineStr"/>
      <c r="Q2055" s="1" t="inlineStr">
        <is>
          <t>Пользовательский интерфейс</t>
        </is>
      </c>
    </row>
    <row r="2056">
      <c r="B2056" s="1" t="inlineStr">
        <is>
          <t>157028428</t>
        </is>
      </c>
      <c r="C2056" s="1" t="inlineStr">
        <is>
          <t>11703555</t>
        </is>
      </c>
      <c r="D2056" t="inlineStr">
        <is>
          <t>работник 43</t>
        </is>
      </c>
      <c r="E2056" s="1" t="inlineStr">
        <is>
          <t>ОБЩЕСТВО С ОГРАНИЧЕННОЙ ОТВЕТСТВЕННОСТЬЮ "АМУР ЗОЛОТО"</t>
        </is>
      </c>
      <c r="F2056" s="1" t="inlineStr">
        <is>
          <t>2708001686</t>
        </is>
      </c>
      <c r="G2056" s="1" t="inlineStr">
        <is>
          <t>Весовщик</t>
        </is>
      </c>
      <c r="H2056" s="1" t="inlineStr">
        <is>
          <t>ООО "Амур Золото"</t>
        </is>
      </c>
      <c r="I2056" s="1" t="inlineStr">
        <is>
          <t>2708001686</t>
        </is>
      </c>
      <c r="J2056" s="1" t="inlineStr">
        <is>
          <t>ОТ № ЮГОК ОТК 25-02</t>
        </is>
      </c>
      <c r="K2056" s="1" t="inlineStr">
        <is>
          <t>Использование (применение) средств индивидуальной защиты</t>
        </is>
      </c>
      <c r="L2056" s="1" t="inlineStr">
        <is>
          <t>22.10.2025</t>
        </is>
      </c>
      <c r="M2056" s="1" t="inlineStr">
        <is>
          <t>Успешно</t>
        </is>
      </c>
      <c r="N2056" s="1" t="inlineStr">
        <is>
          <t>23.11.2025</t>
        </is>
      </c>
      <c r="O2056" s="1" t="inlineStr"/>
      <c r="P2056" s="1" t="inlineStr"/>
      <c r="Q2056" s="1" t="inlineStr">
        <is>
          <t>Пользовательский интерфейс</t>
        </is>
      </c>
    </row>
    <row r="2057">
      <c r="B2057" s="1" t="inlineStr">
        <is>
          <t>157028429</t>
        </is>
      </c>
      <c r="C2057" s="1" t="inlineStr">
        <is>
          <t>11703555</t>
        </is>
      </c>
      <c r="D2057" t="inlineStr">
        <is>
          <t>работник 43</t>
        </is>
      </c>
      <c r="E2057" s="1" t="inlineStr">
        <is>
          <t>ОБЩЕСТВО С ОГРАНИЧЕННОЙ ОТВЕТСТВЕННОСТЬЮ "АМУР ЗОЛОТО"</t>
        </is>
      </c>
      <c r="F2057" s="1" t="inlineStr">
        <is>
          <t>2708001686</t>
        </is>
      </c>
      <c r="G2057" s="1" t="inlineStr">
        <is>
          <t>Весовщик</t>
        </is>
      </c>
      <c r="H2057" s="1" t="inlineStr">
        <is>
          <t>ООО "Амур Золото"</t>
        </is>
      </c>
      <c r="I2057" s="1" t="inlineStr">
        <is>
          <t>2708001686</t>
        </is>
      </c>
      <c r="J2057" s="1" t="inlineStr">
        <is>
          <t>ОТ № ЮГОК ОТК 25-02</t>
        </is>
      </c>
      <c r="K205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057" s="1" t="inlineStr">
        <is>
          <t>22.10.2025</t>
        </is>
      </c>
      <c r="M2057" s="1" t="inlineStr">
        <is>
          <t>Успешно</t>
        </is>
      </c>
      <c r="N2057" s="1" t="inlineStr">
        <is>
          <t>23.11.2025</t>
        </is>
      </c>
      <c r="O2057" s="1" t="inlineStr"/>
      <c r="P2057" s="1" t="inlineStr"/>
      <c r="Q2057" s="1" t="inlineStr">
        <is>
          <t>Пользовательский интерфейс</t>
        </is>
      </c>
    </row>
    <row r="2058">
      <c r="B2058" s="1" t="inlineStr">
        <is>
          <t>163550859</t>
        </is>
      </c>
      <c r="C2058" s="1" t="inlineStr">
        <is>
          <t>12120704</t>
        </is>
      </c>
      <c r="D2058" t="inlineStr">
        <is>
          <t>работник 607</t>
        </is>
      </c>
      <c r="E2058" s="1" t="inlineStr">
        <is>
          <t>ОБЩЕСТВО С ОГРАНИЧЕННОЙ ОТВЕТСТВЕННОСТЬЮ "АМУР ЗОЛОТО"</t>
        </is>
      </c>
      <c r="F2058" s="1" t="inlineStr">
        <is>
          <t>2708001686</t>
        </is>
      </c>
      <c r="G2058" s="1" t="inlineStr">
        <is>
          <t>Весовщик</t>
        </is>
      </c>
      <c r="H2058" s="1" t="inlineStr">
        <is>
          <t>ООО "Амур Золото"</t>
        </is>
      </c>
      <c r="I2058" s="1" t="inlineStr">
        <is>
          <t>2708001686</t>
        </is>
      </c>
      <c r="J2058" s="1" t="inlineStr">
        <is>
          <t>ОТ № ЮГОК ПГУ 25-12</t>
        </is>
      </c>
      <c r="K2058" s="1" t="inlineStr">
        <is>
          <t>Использование (применение) средств индивидуальной защиты</t>
        </is>
      </c>
      <c r="L2058" s="1" t="inlineStr">
        <is>
          <t>13.12.2025</t>
        </is>
      </c>
      <c r="M2058" s="1" t="inlineStr">
        <is>
          <t>Успешно</t>
        </is>
      </c>
      <c r="N2058" s="1" t="inlineStr">
        <is>
          <t>19.12.2025</t>
        </is>
      </c>
      <c r="O2058" s="1" t="inlineStr"/>
      <c r="P2058" s="1" t="inlineStr"/>
      <c r="Q2058" s="1" t="inlineStr"/>
    </row>
    <row r="2059">
      <c r="B2059" s="1" t="inlineStr">
        <is>
          <t>163550860</t>
        </is>
      </c>
      <c r="C2059" s="1" t="inlineStr">
        <is>
          <t>12120704</t>
        </is>
      </c>
      <c r="D2059" t="inlineStr">
        <is>
          <t>работник 607</t>
        </is>
      </c>
      <c r="E2059" s="1" t="inlineStr">
        <is>
          <t>ОБЩЕСТВО С ОГРАНИЧЕННОЙ ОТВЕТСТВЕННОСТЬЮ "АМУР ЗОЛОТО"</t>
        </is>
      </c>
      <c r="F2059" s="1" t="inlineStr">
        <is>
          <t>2708001686</t>
        </is>
      </c>
      <c r="G2059" s="1" t="inlineStr">
        <is>
          <t>Весовщик</t>
        </is>
      </c>
      <c r="H2059" s="1" t="inlineStr">
        <is>
          <t>ООО "Амур Золото"</t>
        </is>
      </c>
      <c r="I2059" s="1" t="inlineStr">
        <is>
          <t>2708001686</t>
        </is>
      </c>
      <c r="J2059" s="1" t="inlineStr">
        <is>
          <t>ОТ № ЮГОК ПГУ 25-12</t>
        </is>
      </c>
      <c r="K205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059" s="1" t="inlineStr">
        <is>
          <t>13.12.2025</t>
        </is>
      </c>
      <c r="M2059" s="1" t="inlineStr">
        <is>
          <t>Успешно</t>
        </is>
      </c>
      <c r="N2059" s="1" t="inlineStr">
        <is>
          <t>19.12.2025</t>
        </is>
      </c>
      <c r="O2059" s="1" t="inlineStr"/>
      <c r="P2059" s="1" t="inlineStr"/>
      <c r="Q2059" s="1" t="inlineStr"/>
    </row>
    <row r="2060">
      <c r="B2060" s="1" t="inlineStr">
        <is>
          <t>163550861</t>
        </is>
      </c>
      <c r="C2060" s="1" t="inlineStr">
        <is>
          <t>12120704</t>
        </is>
      </c>
      <c r="D2060" t="inlineStr">
        <is>
          <t>работник 608</t>
        </is>
      </c>
      <c r="E2060" s="1" t="inlineStr">
        <is>
          <t>ОБЩЕСТВО С ОГРАНИЧЕННОЙ ОТВЕТСТВЕННОСТЬЮ "АМУР ЗОЛОТО"</t>
        </is>
      </c>
      <c r="F2060" s="1" t="inlineStr">
        <is>
          <t>2708001686</t>
        </is>
      </c>
      <c r="G2060" s="1" t="inlineStr">
        <is>
          <t>Стропальщик (с исполнением обязанностей грузчика)</t>
        </is>
      </c>
      <c r="H2060" s="1" t="inlineStr">
        <is>
          <t>ООО "Амур Золото"</t>
        </is>
      </c>
      <c r="I2060" s="1" t="inlineStr">
        <is>
          <t>2708001686</t>
        </is>
      </c>
      <c r="J2060" s="1" t="inlineStr">
        <is>
          <t>ОТ № ЮГОК ПГУ 25-21</t>
        </is>
      </c>
      <c r="K2060" s="1" t="inlineStr">
        <is>
          <t>Использование (применение) средств индивидуальной защиты</t>
        </is>
      </c>
      <c r="L2060" s="1" t="inlineStr">
        <is>
          <t>13.12.2025</t>
        </is>
      </c>
      <c r="M2060" s="1" t="inlineStr">
        <is>
          <t>Успешно</t>
        </is>
      </c>
      <c r="N2060" s="1" t="inlineStr">
        <is>
          <t>19.12.2025</t>
        </is>
      </c>
      <c r="O2060" s="1" t="inlineStr"/>
      <c r="P2060" s="1" t="inlineStr"/>
      <c r="Q2060" s="1" t="inlineStr"/>
    </row>
    <row r="2061">
      <c r="B2061" s="1" t="inlineStr">
        <is>
          <t>163550862</t>
        </is>
      </c>
      <c r="C2061" s="1" t="inlineStr">
        <is>
          <t>12120704</t>
        </is>
      </c>
      <c r="D2061" t="inlineStr">
        <is>
          <t>работник 608</t>
        </is>
      </c>
      <c r="E2061" s="1" t="inlineStr">
        <is>
          <t>ОБЩЕСТВО С ОГРАНИЧЕННОЙ ОТВЕТСТВЕННОСТЬЮ "АМУР ЗОЛОТО"</t>
        </is>
      </c>
      <c r="F2061" s="1" t="inlineStr">
        <is>
          <t>2708001686</t>
        </is>
      </c>
      <c r="G2061" s="1" t="inlineStr">
        <is>
          <t>Стропальщик (с исполнением обязанностей грузчика)</t>
        </is>
      </c>
      <c r="H2061" s="1" t="inlineStr">
        <is>
          <t>ООО "Амур Золото"</t>
        </is>
      </c>
      <c r="I2061" s="1" t="inlineStr">
        <is>
          <t>2708001686</t>
        </is>
      </c>
      <c r="J2061" s="1" t="inlineStr">
        <is>
          <t>ОТ № ЮГОК ПГУ 25-21</t>
        </is>
      </c>
      <c r="K206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061" s="1" t="inlineStr">
        <is>
          <t>13.12.2025</t>
        </is>
      </c>
      <c r="M2061" s="1" t="inlineStr">
        <is>
          <t>Успешно</t>
        </is>
      </c>
      <c r="N2061" s="1" t="inlineStr">
        <is>
          <t>19.12.2025</t>
        </is>
      </c>
      <c r="O2061" s="1" t="inlineStr"/>
      <c r="P2061" s="1" t="inlineStr"/>
      <c r="Q2061" s="1" t="inlineStr"/>
    </row>
    <row r="2062">
      <c r="B2062" s="1" t="inlineStr">
        <is>
          <t>163550863</t>
        </is>
      </c>
      <c r="C2062" s="1" t="inlineStr">
        <is>
          <t>12120704</t>
        </is>
      </c>
      <c r="D2062" t="inlineStr">
        <is>
          <t>работник 91</t>
        </is>
      </c>
      <c r="E2062" s="1" t="inlineStr">
        <is>
          <t>ОБЩЕСТВО С ОГРАНИЧЕННОЙ ОТВЕТСТВЕННОСТЬЮ "АМУР ЗОЛОТО"</t>
        </is>
      </c>
      <c r="F2062" s="1" t="inlineStr">
        <is>
          <t>2708001686</t>
        </is>
      </c>
      <c r="G2062" s="1" t="inlineStr">
        <is>
          <t>Стропальщик (с исполнением обязанностей грузчика)</t>
        </is>
      </c>
      <c r="H2062" s="1" t="inlineStr">
        <is>
          <t>ООО "Амур Золото"</t>
        </is>
      </c>
      <c r="I2062" s="1" t="inlineStr">
        <is>
          <t>2708001686</t>
        </is>
      </c>
      <c r="J2062" s="1" t="inlineStr">
        <is>
          <t>ОТ № ЮГОК ПГУ 25-21</t>
        </is>
      </c>
      <c r="K2062" s="1" t="inlineStr">
        <is>
          <t>Использование (применение) средств индивидуальной защиты</t>
        </is>
      </c>
      <c r="L2062" s="1" t="inlineStr">
        <is>
          <t>13.12.2025</t>
        </is>
      </c>
      <c r="M2062" s="1" t="inlineStr">
        <is>
          <t>Успешно</t>
        </is>
      </c>
      <c r="N2062" s="1" t="inlineStr">
        <is>
          <t>19.12.2025</t>
        </is>
      </c>
      <c r="O2062" s="1" t="inlineStr"/>
      <c r="P2062" s="1" t="inlineStr"/>
      <c r="Q2062" s="1" t="inlineStr"/>
    </row>
    <row r="2063">
      <c r="B2063" s="1" t="inlineStr">
        <is>
          <t>163550864</t>
        </is>
      </c>
      <c r="C2063" s="1" t="inlineStr">
        <is>
          <t>12120704</t>
        </is>
      </c>
      <c r="D2063" t="inlineStr">
        <is>
          <t>работник 91</t>
        </is>
      </c>
      <c r="E2063" s="1" t="inlineStr">
        <is>
          <t>ОБЩЕСТВО С ОГРАНИЧЕННОЙ ОТВЕТСТВЕННОСТЬЮ "АМУР ЗОЛОТО"</t>
        </is>
      </c>
      <c r="F2063" s="1" t="inlineStr">
        <is>
          <t>2708001686</t>
        </is>
      </c>
      <c r="G2063" s="1" t="inlineStr">
        <is>
          <t>Стропальщик (с исполнением обязанностей грузчика)</t>
        </is>
      </c>
      <c r="H2063" s="1" t="inlineStr">
        <is>
          <t>ООО "Амур Золото"</t>
        </is>
      </c>
      <c r="I2063" s="1" t="inlineStr">
        <is>
          <t>2708001686</t>
        </is>
      </c>
      <c r="J2063" s="1" t="inlineStr">
        <is>
          <t>ОТ № ЮГОК ПГУ 25-21</t>
        </is>
      </c>
      <c r="K206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063" s="1" t="inlineStr">
        <is>
          <t>13.12.2025</t>
        </is>
      </c>
      <c r="M2063" s="1" t="inlineStr">
        <is>
          <t>Успешно</t>
        </is>
      </c>
      <c r="N2063" s="1" t="inlineStr">
        <is>
          <t>19.12.2025</t>
        </is>
      </c>
      <c r="O2063" s="1" t="inlineStr"/>
      <c r="P2063" s="1" t="inlineStr"/>
      <c r="Q2063" s="1" t="inlineStr"/>
    </row>
    <row r="2064">
      <c r="B2064" s="1" t="inlineStr">
        <is>
          <t>163550865</t>
        </is>
      </c>
      <c r="C2064" s="1" t="inlineStr">
        <is>
          <t>12120704</t>
        </is>
      </c>
      <c r="D2064" t="inlineStr">
        <is>
          <t>работник 609</t>
        </is>
      </c>
      <c r="E2064" s="1" t="inlineStr">
        <is>
          <t>ОБЩЕСТВО С ОГРАНИЧЕННОЙ ОТВЕТСТВЕННОСТЬЮ "АМУР ЗОЛОТО"</t>
        </is>
      </c>
      <c r="F2064" s="1" t="inlineStr">
        <is>
          <t>2708001686</t>
        </is>
      </c>
      <c r="G2064" s="1" t="inlineStr">
        <is>
          <t>Слесарь-сантехник</t>
        </is>
      </c>
      <c r="H2064" s="1" t="inlineStr">
        <is>
          <t>ООО "Амур Золото"</t>
        </is>
      </c>
      <c r="I2064" s="1" t="inlineStr">
        <is>
          <t>2708001686</t>
        </is>
      </c>
      <c r="J2064" s="1" t="inlineStr">
        <is>
          <t>ОТ № ЮГОК ПГУ 25-23</t>
        </is>
      </c>
      <c r="K2064" s="1" t="inlineStr">
        <is>
          <t>Использование (применение) средств индивидуальной защиты</t>
        </is>
      </c>
      <c r="L2064" s="1" t="inlineStr">
        <is>
          <t>14.12.2025</t>
        </is>
      </c>
      <c r="M2064" s="1" t="inlineStr">
        <is>
          <t>Успешно</t>
        </is>
      </c>
      <c r="N2064" s="1" t="inlineStr">
        <is>
          <t>19.12.2025</t>
        </is>
      </c>
      <c r="O2064" s="1" t="inlineStr"/>
      <c r="P2064" s="1" t="inlineStr"/>
      <c r="Q2064" s="1" t="inlineStr"/>
    </row>
    <row r="2065">
      <c r="B2065" s="1" t="inlineStr">
        <is>
          <t>163550866</t>
        </is>
      </c>
      <c r="C2065" s="1" t="inlineStr">
        <is>
          <t>12120704</t>
        </is>
      </c>
      <c r="D2065" t="inlineStr">
        <is>
          <t>работник 609</t>
        </is>
      </c>
      <c r="E2065" s="1" t="inlineStr">
        <is>
          <t>ОБЩЕСТВО С ОГРАНИЧЕННОЙ ОТВЕТСТВЕННОСТЬЮ "АМУР ЗОЛОТО"</t>
        </is>
      </c>
      <c r="F2065" s="1" t="inlineStr">
        <is>
          <t>2708001686</t>
        </is>
      </c>
      <c r="G2065" s="1" t="inlineStr">
        <is>
          <t>Слесарь-сантехник</t>
        </is>
      </c>
      <c r="H2065" s="1" t="inlineStr">
        <is>
          <t>ООО "Амур Золото"</t>
        </is>
      </c>
      <c r="I2065" s="1" t="inlineStr">
        <is>
          <t>2708001686</t>
        </is>
      </c>
      <c r="J2065" s="1" t="inlineStr">
        <is>
          <t>ОТ № ЮГОК ПГУ 25-23</t>
        </is>
      </c>
      <c r="K206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065" s="1" t="inlineStr">
        <is>
          <t>14.12.2025</t>
        </is>
      </c>
      <c r="M2065" s="1" t="inlineStr">
        <is>
          <t>Успешно</t>
        </is>
      </c>
      <c r="N2065" s="1" t="inlineStr">
        <is>
          <t>19.12.2025</t>
        </is>
      </c>
      <c r="O2065" s="1" t="inlineStr"/>
      <c r="P2065" s="1" t="inlineStr"/>
      <c r="Q2065" s="1" t="inlineStr"/>
    </row>
    <row r="2066">
      <c r="B2066" s="1" t="inlineStr">
        <is>
          <t>163550867</t>
        </is>
      </c>
      <c r="C2066" s="1" t="inlineStr">
        <is>
          <t>12120704</t>
        </is>
      </c>
      <c r="D2066" t="inlineStr">
        <is>
          <t>работник 610</t>
        </is>
      </c>
      <c r="E2066" s="1" t="inlineStr">
        <is>
          <t>ОБЩЕСТВО С ОГРАНИЧЕННОЙ ОТВЕТСТВЕННОСТЬЮ "АМУР ЗОЛОТО"</t>
        </is>
      </c>
      <c r="F2066" s="1" t="inlineStr">
        <is>
          <t>2708001686</t>
        </is>
      </c>
      <c r="G2066" s="1" t="inlineStr">
        <is>
          <t>Аппаратчик воздухоразделения</t>
        </is>
      </c>
      <c r="H2066" s="1" t="inlineStr">
        <is>
          <t>ООО "Амур Золото"</t>
        </is>
      </c>
      <c r="I2066" s="1" t="inlineStr">
        <is>
          <t>2708001686</t>
        </is>
      </c>
      <c r="J2066" s="1" t="inlineStr">
        <is>
          <t>ОТ № ЮГОК ПГУ 25-24</t>
        </is>
      </c>
      <c r="K2066" s="1" t="inlineStr">
        <is>
          <t>Использование (применение) средств индивидуальной защиты</t>
        </is>
      </c>
      <c r="L2066" s="1" t="inlineStr">
        <is>
          <t>14.12.2025</t>
        </is>
      </c>
      <c r="M2066" s="1" t="inlineStr">
        <is>
          <t>Успешно</t>
        </is>
      </c>
      <c r="N2066" s="1" t="inlineStr">
        <is>
          <t>19.12.2025</t>
        </is>
      </c>
      <c r="O2066" s="1" t="inlineStr"/>
      <c r="P2066" s="1" t="inlineStr"/>
      <c r="Q2066" s="1" t="inlineStr"/>
    </row>
    <row r="2067">
      <c r="B2067" s="1" t="inlineStr">
        <is>
          <t>163550868</t>
        </is>
      </c>
      <c r="C2067" s="1" t="inlineStr">
        <is>
          <t>12120704</t>
        </is>
      </c>
      <c r="D2067" t="inlineStr">
        <is>
          <t>работник 610</t>
        </is>
      </c>
      <c r="E2067" s="1" t="inlineStr">
        <is>
          <t>ОБЩЕСТВО С ОГРАНИЧЕННОЙ ОТВЕТСТВЕННОСТЬЮ "АМУР ЗОЛОТО"</t>
        </is>
      </c>
      <c r="F2067" s="1" t="inlineStr">
        <is>
          <t>2708001686</t>
        </is>
      </c>
      <c r="G2067" s="1" t="inlineStr">
        <is>
          <t>Аппаратчик воздухоразделения</t>
        </is>
      </c>
      <c r="H2067" s="1" t="inlineStr">
        <is>
          <t>ООО "Амур Золото"</t>
        </is>
      </c>
      <c r="I2067" s="1" t="inlineStr">
        <is>
          <t>2708001686</t>
        </is>
      </c>
      <c r="J2067" s="1" t="inlineStr">
        <is>
          <t>ОТ № ЮГОК ПГУ 25-24</t>
        </is>
      </c>
      <c r="K206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067" s="1" t="inlineStr">
        <is>
          <t>14.12.2025</t>
        </is>
      </c>
      <c r="M2067" s="1" t="inlineStr">
        <is>
          <t>Успешно</t>
        </is>
      </c>
      <c r="N2067" s="1" t="inlineStr">
        <is>
          <t>19.12.2025</t>
        </is>
      </c>
      <c r="O2067" s="1" t="inlineStr"/>
      <c r="P2067" s="1" t="inlineStr"/>
      <c r="Q2067" s="1" t="inlineStr"/>
    </row>
    <row r="2068">
      <c r="B2068" s="1" t="inlineStr">
        <is>
          <t>163550869</t>
        </is>
      </c>
      <c r="C2068" s="1" t="inlineStr">
        <is>
          <t>12120704</t>
        </is>
      </c>
      <c r="D2068" t="inlineStr">
        <is>
          <t>работник 611</t>
        </is>
      </c>
      <c r="E2068" s="1" t="inlineStr">
        <is>
          <t>ОБЩЕСТВО С ОГРАНИЧЕННОЙ ОТВЕТСТВЕННОСТЬЮ "АМУР ЗОЛОТО"</t>
        </is>
      </c>
      <c r="F2068" s="1" t="inlineStr">
        <is>
          <t>2708001686</t>
        </is>
      </c>
      <c r="G2068" s="1" t="inlineStr">
        <is>
          <t>Машинист двигателей внутреннего сгорания</t>
        </is>
      </c>
      <c r="H2068" s="1" t="inlineStr">
        <is>
          <t>ООО "Амур Золото"</t>
        </is>
      </c>
      <c r="I2068" s="1" t="inlineStr">
        <is>
          <t>2708001686</t>
        </is>
      </c>
      <c r="J2068" s="1" t="inlineStr">
        <is>
          <t>ОТ № ЮГОК ПГУ 25-25</t>
        </is>
      </c>
      <c r="K2068" s="1" t="inlineStr">
        <is>
          <t>Использование (применение) средств индивидуальной защиты</t>
        </is>
      </c>
      <c r="L2068" s="1" t="inlineStr">
        <is>
          <t>14.12.2025</t>
        </is>
      </c>
      <c r="M2068" s="1" t="inlineStr">
        <is>
          <t>Успешно</t>
        </is>
      </c>
      <c r="N2068" s="1" t="inlineStr">
        <is>
          <t>19.12.2025</t>
        </is>
      </c>
      <c r="O2068" s="1" t="inlineStr"/>
      <c r="P2068" s="1" t="inlineStr"/>
      <c r="Q2068" s="1" t="inlineStr"/>
    </row>
    <row r="2069">
      <c r="B2069" s="1" t="inlineStr">
        <is>
          <t>163550870</t>
        </is>
      </c>
      <c r="C2069" s="1" t="inlineStr">
        <is>
          <t>12120704</t>
        </is>
      </c>
      <c r="D2069" t="inlineStr">
        <is>
          <t>работник 611</t>
        </is>
      </c>
      <c r="E2069" s="1" t="inlineStr">
        <is>
          <t>ОБЩЕСТВО С ОГРАНИЧЕННОЙ ОТВЕТСТВЕННОСТЬЮ "АМУР ЗОЛОТО"</t>
        </is>
      </c>
      <c r="F2069" s="1" t="inlineStr">
        <is>
          <t>2708001686</t>
        </is>
      </c>
      <c r="G2069" s="1" t="inlineStr">
        <is>
          <t>Машинист двигателей внутреннего сгорания</t>
        </is>
      </c>
      <c r="H2069" s="1" t="inlineStr">
        <is>
          <t>ООО "Амур Золото"</t>
        </is>
      </c>
      <c r="I2069" s="1" t="inlineStr">
        <is>
          <t>2708001686</t>
        </is>
      </c>
      <c r="J2069" s="1" t="inlineStr">
        <is>
          <t>ОТ № ЮГОК ПГУ 25-25</t>
        </is>
      </c>
      <c r="K206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069" s="1" t="inlineStr">
        <is>
          <t>14.12.2025</t>
        </is>
      </c>
      <c r="M2069" s="1" t="inlineStr">
        <is>
          <t>Успешно</t>
        </is>
      </c>
      <c r="N2069" s="1" t="inlineStr">
        <is>
          <t>19.12.2025</t>
        </is>
      </c>
      <c r="O2069" s="1" t="inlineStr"/>
      <c r="P2069" s="1" t="inlineStr"/>
      <c r="Q2069" s="1" t="inlineStr"/>
    </row>
    <row r="2070">
      <c r="B2070" s="1" t="inlineStr">
        <is>
          <t>163550871</t>
        </is>
      </c>
      <c r="C2070" s="1" t="inlineStr">
        <is>
          <t>12120704</t>
        </is>
      </c>
      <c r="D2070" t="inlineStr">
        <is>
          <t>работник 612</t>
        </is>
      </c>
      <c r="E2070" s="1" t="inlineStr">
        <is>
          <t>ОБЩЕСТВО С ОГРАНИЧЕННОЙ ОТВЕТСТВЕННОСТЬЮ "АМУР ЗОЛОТО"</t>
        </is>
      </c>
      <c r="F2070" s="1" t="inlineStr">
        <is>
          <t>2708001686</t>
        </is>
      </c>
      <c r="G2070" s="1" t="inlineStr">
        <is>
          <t>Электромонтер</t>
        </is>
      </c>
      <c r="H2070" s="1" t="inlineStr">
        <is>
          <t>ООО "Амур Золото"</t>
        </is>
      </c>
      <c r="I2070" s="1" t="inlineStr">
        <is>
          <t>2708001686</t>
        </is>
      </c>
      <c r="J2070" s="1" t="inlineStr">
        <is>
          <t>ОТ № ЮГОК ПГУ 25-26</t>
        </is>
      </c>
      <c r="K2070" s="1" t="inlineStr">
        <is>
          <t>Использование (применение) средств индивидуальной защиты</t>
        </is>
      </c>
      <c r="L2070" s="1" t="inlineStr">
        <is>
          <t>14.12.2025</t>
        </is>
      </c>
      <c r="M2070" s="1" t="inlineStr">
        <is>
          <t>Успешно</t>
        </is>
      </c>
      <c r="N2070" s="1" t="inlineStr">
        <is>
          <t>19.12.2025</t>
        </is>
      </c>
      <c r="O2070" s="1" t="inlineStr"/>
      <c r="P2070" s="1" t="inlineStr"/>
      <c r="Q2070" s="1" t="inlineStr"/>
    </row>
    <row r="2071">
      <c r="B2071" s="1" t="inlineStr">
        <is>
          <t>163550872</t>
        </is>
      </c>
      <c r="C2071" s="1" t="inlineStr">
        <is>
          <t>12120704</t>
        </is>
      </c>
      <c r="D2071" t="inlineStr">
        <is>
          <t>работник 612</t>
        </is>
      </c>
      <c r="E2071" s="1" t="inlineStr">
        <is>
          <t>ОБЩЕСТВО С ОГРАНИЧЕННОЙ ОТВЕТСТВЕННОСТЬЮ "АМУР ЗОЛОТО"</t>
        </is>
      </c>
      <c r="F2071" s="1" t="inlineStr">
        <is>
          <t>2708001686</t>
        </is>
      </c>
      <c r="G2071" s="1" t="inlineStr">
        <is>
          <t>Электромонтер</t>
        </is>
      </c>
      <c r="H2071" s="1" t="inlineStr">
        <is>
          <t>ООО "Амур Золото"</t>
        </is>
      </c>
      <c r="I2071" s="1" t="inlineStr">
        <is>
          <t>2708001686</t>
        </is>
      </c>
      <c r="J2071" s="1" t="inlineStr">
        <is>
          <t>ОТ № ЮГОК ПГУ 25-26</t>
        </is>
      </c>
      <c r="K207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071" s="1" t="inlineStr">
        <is>
          <t>14.12.2025</t>
        </is>
      </c>
      <c r="M2071" s="1" t="inlineStr">
        <is>
          <t>Успешно</t>
        </is>
      </c>
      <c r="N2071" s="1" t="inlineStr">
        <is>
          <t>19.12.2025</t>
        </is>
      </c>
      <c r="O2071" s="1" t="inlineStr"/>
      <c r="P2071" s="1" t="inlineStr"/>
      <c r="Q2071" s="1" t="inlineStr"/>
    </row>
    <row r="2072">
      <c r="B2072" s="1" t="inlineStr">
        <is>
          <t>163550873</t>
        </is>
      </c>
      <c r="C2072" s="1" t="inlineStr">
        <is>
          <t>12120704</t>
        </is>
      </c>
      <c r="D2072" t="inlineStr">
        <is>
          <t>работник 613</t>
        </is>
      </c>
      <c r="E2072" s="1" t="inlineStr">
        <is>
          <t>ОБЩЕСТВО С ОГРАНИЧЕННОЙ ОТВЕТСТВЕННОСТЬЮ "АМУР ЗОЛОТО"</t>
        </is>
      </c>
      <c r="F2072" s="1" t="inlineStr">
        <is>
          <t>2708001686</t>
        </is>
      </c>
      <c r="G2072" s="1" t="inlineStr">
        <is>
          <t>Дробильщик</t>
        </is>
      </c>
      <c r="H2072" s="1" t="inlineStr">
        <is>
          <t>ООО "Амур Золото"</t>
        </is>
      </c>
      <c r="I2072" s="1" t="inlineStr">
        <is>
          <t>2708001686</t>
        </is>
      </c>
      <c r="J2072" s="1" t="inlineStr">
        <is>
          <t>ОТ № ЮГОК ПГУ 25-35</t>
        </is>
      </c>
      <c r="K2072" s="1" t="inlineStr">
        <is>
          <t>Использование (применение) средств индивидуальной защиты</t>
        </is>
      </c>
      <c r="L2072" s="1" t="inlineStr">
        <is>
          <t>31.10.2025</t>
        </is>
      </c>
      <c r="M2072" s="1" t="inlineStr">
        <is>
          <t>Успешно</t>
        </is>
      </c>
      <c r="N2072" s="1" t="inlineStr">
        <is>
          <t>19.12.2025</t>
        </is>
      </c>
      <c r="O2072" s="1" t="inlineStr"/>
      <c r="P2072" s="1" t="inlineStr"/>
      <c r="Q2072" s="1" t="inlineStr"/>
    </row>
    <row r="2073">
      <c r="B2073" s="1" t="inlineStr">
        <is>
          <t>163550874</t>
        </is>
      </c>
      <c r="C2073" s="1" t="inlineStr">
        <is>
          <t>12120704</t>
        </is>
      </c>
      <c r="D2073" t="inlineStr">
        <is>
          <t>работник 613</t>
        </is>
      </c>
      <c r="E2073" s="1" t="inlineStr">
        <is>
          <t>ОБЩЕСТВО С ОГРАНИЧЕННОЙ ОТВЕТСТВЕННОСТЬЮ "АМУР ЗОЛОТО"</t>
        </is>
      </c>
      <c r="F2073" s="1" t="inlineStr">
        <is>
          <t>2708001686</t>
        </is>
      </c>
      <c r="G2073" s="1" t="inlineStr">
        <is>
          <t>Дробильщик</t>
        </is>
      </c>
      <c r="H2073" s="1" t="inlineStr">
        <is>
          <t>ООО "Амур Золото"</t>
        </is>
      </c>
      <c r="I2073" s="1" t="inlineStr">
        <is>
          <t>2708001686</t>
        </is>
      </c>
      <c r="J2073" s="1" t="inlineStr">
        <is>
          <t>ОТ № ЮГОК ПГУ 25-35</t>
        </is>
      </c>
      <c r="K207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073" s="1" t="inlineStr">
        <is>
          <t>31.10.2025</t>
        </is>
      </c>
      <c r="M2073" s="1" t="inlineStr">
        <is>
          <t>Успешно</t>
        </is>
      </c>
      <c r="N2073" s="1" t="inlineStr">
        <is>
          <t>19.12.2025</t>
        </is>
      </c>
      <c r="O2073" s="1" t="inlineStr"/>
      <c r="P2073" s="1" t="inlineStr"/>
      <c r="Q2073" s="1" t="inlineStr"/>
    </row>
    <row r="2074">
      <c r="B2074" s="1" t="inlineStr">
        <is>
          <t>163550875</t>
        </is>
      </c>
      <c r="C2074" s="1" t="inlineStr">
        <is>
          <t>12120704</t>
        </is>
      </c>
      <c r="D2074" t="inlineStr">
        <is>
          <t>работник 614</t>
        </is>
      </c>
      <c r="E2074" s="1" t="inlineStr">
        <is>
          <t>ОБЩЕСТВО С ОГРАНИЧЕННОЙ ОТВЕТСТВЕННОСТЬЮ "АМУР ЗОЛОТО"</t>
        </is>
      </c>
      <c r="F2074" s="1" t="inlineStr">
        <is>
          <t>2708001686</t>
        </is>
      </c>
      <c r="G2074" s="1" t="inlineStr">
        <is>
          <t>Фильтровальщик</t>
        </is>
      </c>
      <c r="H2074" s="1" t="inlineStr">
        <is>
          <t>ООО "Амур Золото"</t>
        </is>
      </c>
      <c r="I2074" s="1" t="inlineStr">
        <is>
          <t>2708001686</t>
        </is>
      </c>
      <c r="J2074" s="1" t="inlineStr">
        <is>
          <t>ОТ № ЮГОК ПГУ 25-36</t>
        </is>
      </c>
      <c r="K2074" s="1" t="inlineStr">
        <is>
          <t>Использование (применение) средств индивидуальной защиты</t>
        </is>
      </c>
      <c r="L2074" s="1" t="inlineStr">
        <is>
          <t>01.11.2025</t>
        </is>
      </c>
      <c r="M2074" s="1" t="inlineStr">
        <is>
          <t>Успешно</t>
        </is>
      </c>
      <c r="N2074" s="1" t="inlineStr">
        <is>
          <t>19.12.2025</t>
        </is>
      </c>
      <c r="O2074" s="1" t="inlineStr"/>
      <c r="P2074" s="1" t="inlineStr"/>
      <c r="Q2074" s="1" t="inlineStr"/>
    </row>
    <row r="2075">
      <c r="B2075" s="1" t="inlineStr">
        <is>
          <t>163550876</t>
        </is>
      </c>
      <c r="C2075" s="1" t="inlineStr">
        <is>
          <t>12120704</t>
        </is>
      </c>
      <c r="D2075" t="inlineStr">
        <is>
          <t>работник 614</t>
        </is>
      </c>
      <c r="E2075" s="1" t="inlineStr">
        <is>
          <t>ОБЩЕСТВО С ОГРАНИЧЕННОЙ ОТВЕТСТВЕННОСТЬЮ "АМУР ЗОЛОТО"</t>
        </is>
      </c>
      <c r="F2075" s="1" t="inlineStr">
        <is>
          <t>2708001686</t>
        </is>
      </c>
      <c r="G2075" s="1" t="inlineStr">
        <is>
          <t>Фильтровальщик</t>
        </is>
      </c>
      <c r="H2075" s="1" t="inlineStr">
        <is>
          <t>ООО "Амур Золото"</t>
        </is>
      </c>
      <c r="I2075" s="1" t="inlineStr">
        <is>
          <t>2708001686</t>
        </is>
      </c>
      <c r="J2075" s="1" t="inlineStr">
        <is>
          <t>ОТ № ЮГОК ПГУ 25-36</t>
        </is>
      </c>
      <c r="K207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075" s="1" t="inlineStr">
        <is>
          <t>01.11.2025</t>
        </is>
      </c>
      <c r="M2075" s="1" t="inlineStr">
        <is>
          <t>Успешно</t>
        </is>
      </c>
      <c r="N2075" s="1" t="inlineStr">
        <is>
          <t>19.12.2025</t>
        </is>
      </c>
      <c r="O2075" s="1" t="inlineStr"/>
      <c r="P2075" s="1" t="inlineStr"/>
      <c r="Q2075" s="1" t="inlineStr"/>
    </row>
    <row r="2076">
      <c r="B2076" s="1" t="inlineStr">
        <is>
          <t>163550877</t>
        </is>
      </c>
      <c r="C2076" s="1" t="inlineStr">
        <is>
          <t>12120704</t>
        </is>
      </c>
      <c r="D2076" t="inlineStr">
        <is>
          <t>работник 615</t>
        </is>
      </c>
      <c r="E2076" s="1" t="inlineStr">
        <is>
          <t>ОБЩЕСТВО С ОГРАНИЧЕННОЙ ОТВЕТСТВЕННОСТЬЮ "АМУР ЗОЛОТО"</t>
        </is>
      </c>
      <c r="F2076" s="1" t="inlineStr">
        <is>
          <t>2708001686</t>
        </is>
      </c>
      <c r="G2076" s="1" t="inlineStr">
        <is>
          <t>Бункеровщик</t>
        </is>
      </c>
      <c r="H2076" s="1" t="inlineStr">
        <is>
          <t>ООО "Амур Золото"</t>
        </is>
      </c>
      <c r="I2076" s="1" t="inlineStr">
        <is>
          <t>2708001686</t>
        </is>
      </c>
      <c r="J2076" s="1" t="inlineStr">
        <is>
          <t>ОТ № ЮГОК ПГУ 25-37</t>
        </is>
      </c>
      <c r="K2076" s="1" t="inlineStr">
        <is>
          <t>Использование (применение) средств индивидуальной защиты</t>
        </is>
      </c>
      <c r="L2076" s="1" t="inlineStr">
        <is>
          <t>11.11.2025</t>
        </is>
      </c>
      <c r="M2076" s="1" t="inlineStr">
        <is>
          <t>Успешно</t>
        </is>
      </c>
      <c r="N2076" s="1" t="inlineStr">
        <is>
          <t>19.12.2025</t>
        </is>
      </c>
      <c r="O2076" s="1" t="inlineStr"/>
      <c r="P2076" s="1" t="inlineStr"/>
      <c r="Q2076" s="1" t="inlineStr"/>
    </row>
    <row r="2077">
      <c r="B2077" s="1" t="inlineStr">
        <is>
          <t>163550878</t>
        </is>
      </c>
      <c r="C2077" s="1" t="inlineStr">
        <is>
          <t>12120704</t>
        </is>
      </c>
      <c r="D2077" t="inlineStr">
        <is>
          <t>работник 615</t>
        </is>
      </c>
      <c r="E2077" s="1" t="inlineStr">
        <is>
          <t>ОБЩЕСТВО С ОГРАНИЧЕННОЙ ОТВЕТСТВЕННОСТЬЮ "АМУР ЗОЛОТО"</t>
        </is>
      </c>
      <c r="F2077" s="1" t="inlineStr">
        <is>
          <t>2708001686</t>
        </is>
      </c>
      <c r="G2077" s="1" t="inlineStr">
        <is>
          <t>Бункеровщик</t>
        </is>
      </c>
      <c r="H2077" s="1" t="inlineStr">
        <is>
          <t>ООО "Амур Золото"</t>
        </is>
      </c>
      <c r="I2077" s="1" t="inlineStr">
        <is>
          <t>2708001686</t>
        </is>
      </c>
      <c r="J2077" s="1" t="inlineStr">
        <is>
          <t>ОТ № ЮГОК ПГУ 25-37</t>
        </is>
      </c>
      <c r="K207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077" s="1" t="inlineStr">
        <is>
          <t>11.11.2025</t>
        </is>
      </c>
      <c r="M2077" s="1" t="inlineStr">
        <is>
          <t>Успешно</t>
        </is>
      </c>
      <c r="N2077" s="1" t="inlineStr">
        <is>
          <t>19.12.2025</t>
        </is>
      </c>
      <c r="O2077" s="1" t="inlineStr"/>
      <c r="P2077" s="1" t="inlineStr"/>
      <c r="Q2077" s="1" t="inlineStr"/>
    </row>
    <row r="2078">
      <c r="B2078" s="1" t="inlineStr">
        <is>
          <t>163550879</t>
        </is>
      </c>
      <c r="C2078" s="1" t="inlineStr">
        <is>
          <t>12120704</t>
        </is>
      </c>
      <c r="D2078" t="inlineStr">
        <is>
          <t>работник 616</t>
        </is>
      </c>
      <c r="E2078" s="1" t="inlineStr">
        <is>
          <t>ОБЩЕСТВО С ОГРАНИЧЕННОЙ ОТВЕТСТВЕННОСТЬЮ "АМУР ЗОЛОТО"</t>
        </is>
      </c>
      <c r="F2078" s="1" t="inlineStr">
        <is>
          <t>2708001686</t>
        </is>
      </c>
      <c r="G2078" s="1" t="inlineStr">
        <is>
          <t>Электромонтер по ремонту и обслуживанию электрооборудования</t>
        </is>
      </c>
      <c r="H2078" s="1" t="inlineStr">
        <is>
          <t>ООО "Амур Золото"</t>
        </is>
      </c>
      <c r="I2078" s="1" t="inlineStr">
        <is>
          <t>2708001686</t>
        </is>
      </c>
      <c r="J2078" s="1" t="inlineStr">
        <is>
          <t>ОТ № ЮГОК ПГУ 25-38</t>
        </is>
      </c>
      <c r="K2078" s="1" t="inlineStr">
        <is>
          <t>Использование (применение) средств индивидуальной защиты</t>
        </is>
      </c>
      <c r="L2078" s="1" t="inlineStr">
        <is>
          <t>11.11.2025</t>
        </is>
      </c>
      <c r="M2078" s="1" t="inlineStr">
        <is>
          <t>Успешно</t>
        </is>
      </c>
      <c r="N2078" s="1" t="inlineStr">
        <is>
          <t>19.12.2025</t>
        </is>
      </c>
      <c r="O2078" s="1" t="inlineStr"/>
      <c r="P2078" s="1" t="inlineStr"/>
      <c r="Q2078" s="1" t="inlineStr"/>
    </row>
    <row r="2079">
      <c r="B2079" s="1" t="inlineStr">
        <is>
          <t>163550880</t>
        </is>
      </c>
      <c r="C2079" s="1" t="inlineStr">
        <is>
          <t>12120704</t>
        </is>
      </c>
      <c r="D2079" t="inlineStr">
        <is>
          <t>работник 616</t>
        </is>
      </c>
      <c r="E2079" s="1" t="inlineStr">
        <is>
          <t>ОБЩЕСТВО С ОГРАНИЧЕННОЙ ОТВЕТСТВЕННОСТЬЮ "АМУР ЗОЛОТО"</t>
        </is>
      </c>
      <c r="F2079" s="1" t="inlineStr">
        <is>
          <t>2708001686</t>
        </is>
      </c>
      <c r="G2079" s="1" t="inlineStr">
        <is>
          <t>Электромонтер по ремонту и обслуживанию электрооборудования</t>
        </is>
      </c>
      <c r="H2079" s="1" t="inlineStr">
        <is>
          <t>ООО "Амур Золото"</t>
        </is>
      </c>
      <c r="I2079" s="1" t="inlineStr">
        <is>
          <t>2708001686</t>
        </is>
      </c>
      <c r="J2079" s="1" t="inlineStr">
        <is>
          <t>ОТ № ЮГОК ПГУ 25-38</t>
        </is>
      </c>
      <c r="K207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079" s="1" t="inlineStr">
        <is>
          <t>11.11.2025</t>
        </is>
      </c>
      <c r="M2079" s="1" t="inlineStr">
        <is>
          <t>Успешно</t>
        </is>
      </c>
      <c r="N2079" s="1" t="inlineStr">
        <is>
          <t>19.12.2025</t>
        </is>
      </c>
      <c r="O2079" s="1" t="inlineStr"/>
      <c r="P2079" s="1" t="inlineStr"/>
      <c r="Q2079" s="1" t="inlineStr"/>
    </row>
    <row r="2080">
      <c r="B2080" s="1" t="inlineStr">
        <is>
          <t>164868621</t>
        </is>
      </c>
      <c r="C2080" s="1" t="inlineStr">
        <is>
          <t>12210086</t>
        </is>
      </c>
      <c r="D2080" t="inlineStr">
        <is>
          <t>работник 617</t>
        </is>
      </c>
      <c r="E2080" s="1" t="inlineStr">
        <is>
          <t>ОБЩЕСТВО С ОГРАНИЧЕННОЙ ОТВЕТСТВЕННОСТЬЮ "АМУР ЗОЛОТО"</t>
        </is>
      </c>
      <c r="F2080" s="1" t="inlineStr">
        <is>
          <t>2708001686</t>
        </is>
      </c>
      <c r="G2080" s="1" t="inlineStr">
        <is>
          <t>Фильтровальщик</t>
        </is>
      </c>
      <c r="H2080" s="1" t="inlineStr">
        <is>
          <t>ООО "Амур Золото"</t>
        </is>
      </c>
      <c r="I2080" s="1" t="inlineStr">
        <is>
          <t>2708001686</t>
        </is>
      </c>
      <c r="J2080" s="1" t="inlineStr">
        <is>
          <t>ОТ № ЮГОК ЗИОФ 25-37</t>
        </is>
      </c>
      <c r="K2080" s="1" t="inlineStr">
        <is>
          <t>Использование (применение) средств индивидуальной защиты</t>
        </is>
      </c>
      <c r="L2080" s="1" t="inlineStr">
        <is>
          <t>20.12.2025</t>
        </is>
      </c>
      <c r="M2080" s="1" t="inlineStr">
        <is>
          <t>Успешно</t>
        </is>
      </c>
      <c r="N2080" s="1" t="inlineStr">
        <is>
          <t>25.12.2025</t>
        </is>
      </c>
      <c r="O2080" s="1" t="inlineStr"/>
      <c r="P2080" s="1" t="inlineStr"/>
      <c r="Q2080" s="1" t="inlineStr">
        <is>
          <t>Пользовательский интерфейс</t>
        </is>
      </c>
    </row>
    <row r="2081">
      <c r="B2081" s="1" t="inlineStr">
        <is>
          <t>164868622</t>
        </is>
      </c>
      <c r="C2081" s="1" t="inlineStr">
        <is>
          <t>12210086</t>
        </is>
      </c>
      <c r="D2081" t="inlineStr">
        <is>
          <t>работник 617</t>
        </is>
      </c>
      <c r="E2081" s="1" t="inlineStr">
        <is>
          <t>ОБЩЕСТВО С ОГРАНИЧЕННОЙ ОТВЕТСТВЕННОСТЬЮ "АМУР ЗОЛОТО"</t>
        </is>
      </c>
      <c r="F2081" s="1" t="inlineStr">
        <is>
          <t>2708001686</t>
        </is>
      </c>
      <c r="G2081" s="1" t="inlineStr">
        <is>
          <t>Фильтровальщик</t>
        </is>
      </c>
      <c r="H2081" s="1" t="inlineStr">
        <is>
          <t>ООО "Амур Золото"</t>
        </is>
      </c>
      <c r="I2081" s="1" t="inlineStr">
        <is>
          <t>2708001686</t>
        </is>
      </c>
      <c r="J2081" s="1" t="inlineStr">
        <is>
          <t>ОТ № ЮГОК ЗИОФ 25-37</t>
        </is>
      </c>
      <c r="K208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081" s="1" t="inlineStr">
        <is>
          <t>20.12.2025</t>
        </is>
      </c>
      <c r="M2081" s="1" t="inlineStr">
        <is>
          <t>Успешно</t>
        </is>
      </c>
      <c r="N2081" s="1" t="inlineStr">
        <is>
          <t>25.12.2025</t>
        </is>
      </c>
      <c r="O2081" s="1" t="inlineStr"/>
      <c r="P2081" s="1" t="inlineStr"/>
      <c r="Q2081" s="1" t="inlineStr">
        <is>
          <t>Пользовательский интерфейс</t>
        </is>
      </c>
    </row>
    <row r="2082">
      <c r="B2082" s="1" t="inlineStr">
        <is>
          <t>164868623</t>
        </is>
      </c>
      <c r="C2082" s="1" t="inlineStr">
        <is>
          <t>12210086</t>
        </is>
      </c>
      <c r="D2082" t="inlineStr">
        <is>
          <t>работник 618</t>
        </is>
      </c>
      <c r="E2082" s="1" t="inlineStr">
        <is>
          <t>ОБЩЕСТВО С ОГРАНИЧЕННОЙ ОТВЕТСТВЕННОСТЬЮ "АМУР ЗОЛОТО"</t>
        </is>
      </c>
      <c r="F2082" s="1" t="inlineStr">
        <is>
          <t>2708001686</t>
        </is>
      </c>
      <c r="G2082" s="1" t="inlineStr">
        <is>
          <t>Бункеровщик</t>
        </is>
      </c>
      <c r="H2082" s="1" t="inlineStr">
        <is>
          <t>ООО "Амур Золото"</t>
        </is>
      </c>
      <c r="I2082" s="1" t="inlineStr">
        <is>
          <t>2708001686</t>
        </is>
      </c>
      <c r="J2082" s="1" t="inlineStr">
        <is>
          <t>ОТ № ЮГОК ЗИОФ 25-41</t>
        </is>
      </c>
      <c r="K2082" s="1" t="inlineStr">
        <is>
          <t>Использование (применение) средств индивидуальной защиты</t>
        </is>
      </c>
      <c r="L2082" s="1" t="inlineStr">
        <is>
          <t>24.12.2025</t>
        </is>
      </c>
      <c r="M2082" s="1" t="inlineStr">
        <is>
          <t>Успешно</t>
        </is>
      </c>
      <c r="N2082" s="1" t="inlineStr">
        <is>
          <t>25.12.2025</t>
        </is>
      </c>
      <c r="O2082" s="1" t="inlineStr"/>
      <c r="P2082" s="1" t="inlineStr"/>
      <c r="Q2082" s="1" t="inlineStr">
        <is>
          <t>Пользовательский интерфейс</t>
        </is>
      </c>
    </row>
    <row r="2083">
      <c r="B2083" s="1" t="inlineStr">
        <is>
          <t>164868624</t>
        </is>
      </c>
      <c r="C2083" s="1" t="inlineStr">
        <is>
          <t>12210086</t>
        </is>
      </c>
      <c r="D2083" t="inlineStr">
        <is>
          <t>работник 618</t>
        </is>
      </c>
      <c r="E2083" s="1" t="inlineStr">
        <is>
          <t>ОБЩЕСТВО С ОГРАНИЧЕННОЙ ОТВЕТСТВЕННОСТЬЮ "АМУР ЗОЛОТО"</t>
        </is>
      </c>
      <c r="F2083" s="1" t="inlineStr">
        <is>
          <t>2708001686</t>
        </is>
      </c>
      <c r="G2083" s="1" t="inlineStr">
        <is>
          <t>Бункеровщик</t>
        </is>
      </c>
      <c r="H2083" s="1" t="inlineStr">
        <is>
          <t>ООО "Амур Золото"</t>
        </is>
      </c>
      <c r="I2083" s="1" t="inlineStr">
        <is>
          <t>2708001686</t>
        </is>
      </c>
      <c r="J2083" s="1" t="inlineStr">
        <is>
          <t>ОТ № ЮГОК ЗИОФ 25-41</t>
        </is>
      </c>
      <c r="K208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083" s="1" t="inlineStr">
        <is>
          <t>24.12.2025</t>
        </is>
      </c>
      <c r="M2083" s="1" t="inlineStr">
        <is>
          <t>Успешно</t>
        </is>
      </c>
      <c r="N2083" s="1" t="inlineStr">
        <is>
          <t>25.12.2025</t>
        </is>
      </c>
      <c r="O2083" s="1" t="inlineStr"/>
      <c r="P2083" s="1" t="inlineStr"/>
      <c r="Q2083" s="1" t="inlineStr">
        <is>
          <t>Пользовательский интерфейс</t>
        </is>
      </c>
    </row>
    <row r="2084">
      <c r="B2084" s="1" t="inlineStr">
        <is>
          <t>164868625</t>
        </is>
      </c>
      <c r="C2084" s="1" t="inlineStr">
        <is>
          <t>12210086</t>
        </is>
      </c>
      <c r="D2084" t="inlineStr">
        <is>
          <t>работник 619</t>
        </is>
      </c>
      <c r="E2084" s="1" t="inlineStr">
        <is>
          <t>ОБЩЕСТВО С ОГРАНИЧЕННОЙ ОТВЕТСТВЕННОСТЬЮ "АМУР ЗОЛОТО"</t>
        </is>
      </c>
      <c r="F2084" s="1" t="inlineStr">
        <is>
          <t>2708001686</t>
        </is>
      </c>
      <c r="G2084" s="1" t="inlineStr">
        <is>
          <t>Электрослесарь (слесарь) дежурный и по ремонту оборудования</t>
        </is>
      </c>
      <c r="H2084" s="1" t="inlineStr">
        <is>
          <t>ООО "Амур Золото"</t>
        </is>
      </c>
      <c r="I2084" s="1" t="inlineStr">
        <is>
          <t>2708001686</t>
        </is>
      </c>
      <c r="J2084" s="1" t="inlineStr">
        <is>
          <t>ОТ № ЮГОК ЭУ 25-44</t>
        </is>
      </c>
      <c r="K2084" s="1" t="inlineStr">
        <is>
          <t>Использование (применение) средств индивидуальной защиты</t>
        </is>
      </c>
      <c r="L2084" s="1" t="inlineStr">
        <is>
          <t>25.12.2025</t>
        </is>
      </c>
      <c r="M2084" s="1" t="inlineStr">
        <is>
          <t>Успешно</t>
        </is>
      </c>
      <c r="N2084" s="1" t="inlineStr">
        <is>
          <t>25.12.2025</t>
        </is>
      </c>
      <c r="O2084" s="1" t="inlineStr"/>
      <c r="P2084" s="1" t="inlineStr"/>
      <c r="Q2084" s="1" t="inlineStr">
        <is>
          <t>Пользовательский интерфейс</t>
        </is>
      </c>
    </row>
    <row r="2085">
      <c r="B2085" s="1" t="inlineStr">
        <is>
          <t>164868626</t>
        </is>
      </c>
      <c r="C2085" s="1" t="inlineStr">
        <is>
          <t>12210086</t>
        </is>
      </c>
      <c r="D2085" t="inlineStr">
        <is>
          <t>работник 619</t>
        </is>
      </c>
      <c r="E2085" s="1" t="inlineStr">
        <is>
          <t>ОБЩЕСТВО С ОГРАНИЧЕННОЙ ОТВЕТСТВЕННОСТЬЮ "АМУР ЗОЛОТО"</t>
        </is>
      </c>
      <c r="F2085" s="1" t="inlineStr">
        <is>
          <t>2708001686</t>
        </is>
      </c>
      <c r="G2085" s="1" t="inlineStr">
        <is>
          <t>Электрослесарь (слесарь) дежурный и по ремонту оборудования</t>
        </is>
      </c>
      <c r="H2085" s="1" t="inlineStr">
        <is>
          <t>ООО "Амур Золото"</t>
        </is>
      </c>
      <c r="I2085" s="1" t="inlineStr">
        <is>
          <t>2708001686</t>
        </is>
      </c>
      <c r="J2085" s="1" t="inlineStr">
        <is>
          <t>ОТ № ЮГОК ЭУ 25-44</t>
        </is>
      </c>
      <c r="K208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085" s="1" t="inlineStr">
        <is>
          <t>25.12.2025</t>
        </is>
      </c>
      <c r="M2085" s="1" t="inlineStr">
        <is>
          <t>Успешно</t>
        </is>
      </c>
      <c r="N2085" s="1" t="inlineStr">
        <is>
          <t>25.12.2025</t>
        </is>
      </c>
      <c r="O2085" s="1" t="inlineStr"/>
      <c r="P2085" s="1" t="inlineStr"/>
      <c r="Q2085" s="1" t="inlineStr">
        <is>
          <t>Пользовательский интерфейс</t>
        </is>
      </c>
    </row>
    <row r="2086">
      <c r="B2086" s="1" t="inlineStr">
        <is>
          <t>164868627</t>
        </is>
      </c>
      <c r="C2086" s="1" t="inlineStr">
        <is>
          <t>12210086</t>
        </is>
      </c>
      <c r="D2086" t="inlineStr">
        <is>
          <t>работник 620</t>
        </is>
      </c>
      <c r="E2086" s="1" t="inlineStr">
        <is>
          <t>ОБЩЕСТВО С ОГРАНИЧЕННОЙ ОТВЕТСТВЕННОСТЬЮ "АМУР ЗОЛОТО"</t>
        </is>
      </c>
      <c r="F2086" s="1" t="inlineStr">
        <is>
          <t>2708001686</t>
        </is>
      </c>
      <c r="G2086" s="1" t="inlineStr">
        <is>
          <t>Машинист двигателей внутреннего сгорания</t>
        </is>
      </c>
      <c r="H2086" s="1" t="inlineStr">
        <is>
          <t>ООО "Амур Золото"</t>
        </is>
      </c>
      <c r="I2086" s="1" t="inlineStr">
        <is>
          <t>2708001686</t>
        </is>
      </c>
      <c r="J2086" s="1" t="inlineStr">
        <is>
          <t>ОТ № ЮГОК ЭУ 25-45</t>
        </is>
      </c>
      <c r="K2086" s="1" t="inlineStr">
        <is>
          <t>Использование (применение) средств индивидуальной защиты</t>
        </is>
      </c>
      <c r="L2086" s="1" t="inlineStr">
        <is>
          <t>25.12.2025</t>
        </is>
      </c>
      <c r="M2086" s="1" t="inlineStr">
        <is>
          <t>Успешно</t>
        </is>
      </c>
      <c r="N2086" s="1" t="inlineStr">
        <is>
          <t>25.12.2025</t>
        </is>
      </c>
      <c r="O2086" s="1" t="inlineStr"/>
      <c r="P2086" s="1" t="inlineStr"/>
      <c r="Q2086" s="1" t="inlineStr">
        <is>
          <t>Пользовательский интерфейс</t>
        </is>
      </c>
    </row>
    <row r="2087">
      <c r="B2087" s="1" t="inlineStr">
        <is>
          <t>164868628</t>
        </is>
      </c>
      <c r="C2087" s="1" t="inlineStr">
        <is>
          <t>12210086</t>
        </is>
      </c>
      <c r="D2087" t="inlineStr">
        <is>
          <t>работник 620</t>
        </is>
      </c>
      <c r="E2087" s="1" t="inlineStr">
        <is>
          <t>ОБЩЕСТВО С ОГРАНИЧЕННОЙ ОТВЕТСТВЕННОСТЬЮ "АМУР ЗОЛОТО"</t>
        </is>
      </c>
      <c r="F2087" s="1" t="inlineStr">
        <is>
          <t>2708001686</t>
        </is>
      </c>
      <c r="G2087" s="1" t="inlineStr">
        <is>
          <t>Машинист двигателей внутреннего сгорания</t>
        </is>
      </c>
      <c r="H2087" s="1" t="inlineStr">
        <is>
          <t>ООО "Амур Золото"</t>
        </is>
      </c>
      <c r="I2087" s="1" t="inlineStr">
        <is>
          <t>2708001686</t>
        </is>
      </c>
      <c r="J2087" s="1" t="inlineStr">
        <is>
          <t>ОТ № ЮГОК ЭУ 25-45</t>
        </is>
      </c>
      <c r="K208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087" s="1" t="inlineStr">
        <is>
          <t>25.12.2025</t>
        </is>
      </c>
      <c r="M2087" s="1" t="inlineStr">
        <is>
          <t>Успешно</t>
        </is>
      </c>
      <c r="N2087" s="1" t="inlineStr">
        <is>
          <t>25.12.2025</t>
        </is>
      </c>
      <c r="O2087" s="1" t="inlineStr"/>
      <c r="P2087" s="1" t="inlineStr"/>
      <c r="Q2087" s="1" t="inlineStr">
        <is>
          <t>Пользовательский интерфейс</t>
        </is>
      </c>
    </row>
    <row r="2088">
      <c r="B2088" s="1" t="inlineStr">
        <is>
          <t>166267134</t>
        </is>
      </c>
      <c r="C2088" s="1" t="inlineStr">
        <is>
          <t>12293546</t>
        </is>
      </c>
      <c r="D2088" t="inlineStr">
        <is>
          <t>работник 621</t>
        </is>
      </c>
      <c r="E2088" s="1" t="inlineStr">
        <is>
          <t>ОБЩЕСТВО С ОГРАНИЧЕННОЙ ОТВЕТСТВЕННОСТЬЮ "АМУР ЗОЛОТО"</t>
        </is>
      </c>
      <c r="F2088" s="1" t="inlineStr">
        <is>
          <t>2708001686</t>
        </is>
      </c>
      <c r="G2088" s="1" t="inlineStr">
        <is>
          <t>Повар</t>
        </is>
      </c>
      <c r="H2088" s="1" t="inlineStr">
        <is>
          <t>ООО "Амур Золото"</t>
        </is>
      </c>
      <c r="I2088" s="1" t="inlineStr">
        <is>
          <t>2708001686</t>
        </is>
      </c>
      <c r="J2088" s="1" t="inlineStr">
        <is>
          <t>ОТ № ЮГОК АХЧ 26-01</t>
        </is>
      </c>
      <c r="K2088" s="1" t="inlineStr">
        <is>
          <t>Использование (применение) средств индивидуальной защиты</t>
        </is>
      </c>
      <c r="L2088" s="1" t="inlineStr">
        <is>
          <t>27.12.2025</t>
        </is>
      </c>
      <c r="M2088" s="1" t="inlineStr">
        <is>
          <t>Успешно</t>
        </is>
      </c>
      <c r="N2088" s="1" t="inlineStr">
        <is>
          <t>12.01.2026</t>
        </is>
      </c>
      <c r="O2088" s="1" t="inlineStr"/>
      <c r="P2088" s="1" t="inlineStr"/>
      <c r="Q2088" s="1" t="inlineStr">
        <is>
          <t>Пользовательский интерфейс</t>
        </is>
      </c>
    </row>
    <row r="2089">
      <c r="B2089" s="1" t="inlineStr">
        <is>
          <t>166267135</t>
        </is>
      </c>
      <c r="C2089" s="1" t="inlineStr">
        <is>
          <t>12293546</t>
        </is>
      </c>
      <c r="D2089" t="inlineStr">
        <is>
          <t>работник 621</t>
        </is>
      </c>
      <c r="E2089" s="1" t="inlineStr">
        <is>
          <t>ОБЩЕСТВО С ОГРАНИЧЕННОЙ ОТВЕТСТВЕННОСТЬЮ "АМУР ЗОЛОТО"</t>
        </is>
      </c>
      <c r="F2089" s="1" t="inlineStr">
        <is>
          <t>2708001686</t>
        </is>
      </c>
      <c r="G2089" s="1" t="inlineStr">
        <is>
          <t>Повар</t>
        </is>
      </c>
      <c r="H2089" s="1" t="inlineStr">
        <is>
          <t>ООО "Амур Золото"</t>
        </is>
      </c>
      <c r="I2089" s="1" t="inlineStr">
        <is>
          <t>2708001686</t>
        </is>
      </c>
      <c r="J2089" s="1" t="inlineStr">
        <is>
          <t>ОТ № ЮГОК АХЧ 26-01</t>
        </is>
      </c>
      <c r="K208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089" s="1" t="inlineStr">
        <is>
          <t>27.12.2025</t>
        </is>
      </c>
      <c r="M2089" s="1" t="inlineStr">
        <is>
          <t>Успешно</t>
        </is>
      </c>
      <c r="N2089" s="1" t="inlineStr">
        <is>
          <t>12.01.2026</t>
        </is>
      </c>
      <c r="O2089" s="1" t="inlineStr"/>
      <c r="P2089" s="1" t="inlineStr"/>
      <c r="Q2089" s="1" t="inlineStr">
        <is>
          <t>Пользовательский интерфейс</t>
        </is>
      </c>
    </row>
    <row r="2090">
      <c r="B2090" s="1" t="inlineStr">
        <is>
          <t>166267136</t>
        </is>
      </c>
      <c r="C2090" s="1" t="inlineStr">
        <is>
          <t>12293546</t>
        </is>
      </c>
      <c r="D2090" t="inlineStr">
        <is>
          <t>работник 622</t>
        </is>
      </c>
      <c r="E2090" s="1" t="inlineStr">
        <is>
          <t>ОБЩЕСТВО С ОГРАНИЧЕННОЙ ОТВЕТСТВЕННОСТЬЮ "АМУР ЗОЛОТО"</t>
        </is>
      </c>
      <c r="F2090" s="1" t="inlineStr">
        <is>
          <t>2708001686</t>
        </is>
      </c>
      <c r="G2090" s="1" t="inlineStr">
        <is>
          <t>Повар</t>
        </is>
      </c>
      <c r="H2090" s="1" t="inlineStr">
        <is>
          <t>ООО "Амур Золото"</t>
        </is>
      </c>
      <c r="I2090" s="1" t="inlineStr">
        <is>
          <t>2708001686</t>
        </is>
      </c>
      <c r="J2090" s="1" t="inlineStr">
        <is>
          <t>ОТ № ЮГОК АХЧ 26-01</t>
        </is>
      </c>
      <c r="K2090" s="1" t="inlineStr">
        <is>
          <t>Использование (применение) средств индивидуальной защиты</t>
        </is>
      </c>
      <c r="L2090" s="1" t="inlineStr">
        <is>
          <t>27.12.2025</t>
        </is>
      </c>
      <c r="M2090" s="1" t="inlineStr">
        <is>
          <t>Успешно</t>
        </is>
      </c>
      <c r="N2090" s="1" t="inlineStr">
        <is>
          <t>12.01.2026</t>
        </is>
      </c>
      <c r="O2090" s="1" t="inlineStr"/>
      <c r="P2090" s="1" t="inlineStr"/>
      <c r="Q2090" s="1" t="inlineStr">
        <is>
          <t>Пользовательский интерфейс</t>
        </is>
      </c>
    </row>
    <row r="2091">
      <c r="B2091" s="1" t="inlineStr">
        <is>
          <t>166267137</t>
        </is>
      </c>
      <c r="C2091" s="1" t="inlineStr">
        <is>
          <t>12293546</t>
        </is>
      </c>
      <c r="D2091" t="inlineStr">
        <is>
          <t>работник 622</t>
        </is>
      </c>
      <c r="E2091" s="1" t="inlineStr">
        <is>
          <t>ОБЩЕСТВО С ОГРАНИЧЕННОЙ ОТВЕТСТВЕННОСТЬЮ "АМУР ЗОЛОТО"</t>
        </is>
      </c>
      <c r="F2091" s="1" t="inlineStr">
        <is>
          <t>2708001686</t>
        </is>
      </c>
      <c r="G2091" s="1" t="inlineStr">
        <is>
          <t>Повар</t>
        </is>
      </c>
      <c r="H2091" s="1" t="inlineStr">
        <is>
          <t>ООО "Амур Золото"</t>
        </is>
      </c>
      <c r="I2091" s="1" t="inlineStr">
        <is>
          <t>2708001686</t>
        </is>
      </c>
      <c r="J2091" s="1" t="inlineStr">
        <is>
          <t>ОТ № ЮГОК АХЧ 26-01</t>
        </is>
      </c>
      <c r="K209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091" s="1" t="inlineStr">
        <is>
          <t>27.12.2025</t>
        </is>
      </c>
      <c r="M2091" s="1" t="inlineStr">
        <is>
          <t>Успешно</t>
        </is>
      </c>
      <c r="N2091" s="1" t="inlineStr">
        <is>
          <t>12.01.2026</t>
        </is>
      </c>
      <c r="O2091" s="1" t="inlineStr"/>
      <c r="P2091" s="1" t="inlineStr"/>
      <c r="Q2091" s="1" t="inlineStr">
        <is>
          <t>Пользовательский интерфейс</t>
        </is>
      </c>
    </row>
    <row r="2092">
      <c r="B2092" s="1" t="inlineStr">
        <is>
          <t>166267138</t>
        </is>
      </c>
      <c r="C2092" s="1" t="inlineStr">
        <is>
          <t>12293546</t>
        </is>
      </c>
      <c r="D2092" t="inlineStr">
        <is>
          <t>работник 623</t>
        </is>
      </c>
      <c r="E2092" s="1" t="inlineStr">
        <is>
          <t>ОБЩЕСТВО С ОГРАНИЧЕННОЙ ОТВЕТСТВЕННОСТЬЮ "АМУР ЗОЛОТО"</t>
        </is>
      </c>
      <c r="F2092" s="1" t="inlineStr">
        <is>
          <t>2708001686</t>
        </is>
      </c>
      <c r="G2092" s="1" t="inlineStr">
        <is>
          <t>Горнорабочий на маркшейдерских работах</t>
        </is>
      </c>
      <c r="H2092" s="1" t="inlineStr">
        <is>
          <t>ООО "Амур Золото"</t>
        </is>
      </c>
      <c r="I2092" s="1" t="inlineStr">
        <is>
          <t>2708001686</t>
        </is>
      </c>
      <c r="J2092" s="1" t="inlineStr">
        <is>
          <t>ОТ № ЮГОК ГМО 25-04</t>
        </is>
      </c>
      <c r="K2092" s="1" t="inlineStr">
        <is>
          <t>Использование (применение) средств индивидуальной защиты</t>
        </is>
      </c>
      <c r="L2092" s="1" t="inlineStr">
        <is>
          <t>29.12.2025</t>
        </is>
      </c>
      <c r="M2092" s="1" t="inlineStr">
        <is>
          <t>Успешно</t>
        </is>
      </c>
      <c r="N2092" s="1" t="inlineStr">
        <is>
          <t>12.01.2026</t>
        </is>
      </c>
      <c r="O2092" s="1" t="inlineStr"/>
      <c r="P2092" s="1" t="inlineStr"/>
      <c r="Q2092" s="1" t="inlineStr">
        <is>
          <t>Пользовательский интерфейс</t>
        </is>
      </c>
    </row>
    <row r="2093">
      <c r="B2093" s="1" t="inlineStr">
        <is>
          <t>166267139</t>
        </is>
      </c>
      <c r="C2093" s="1" t="inlineStr">
        <is>
          <t>12293546</t>
        </is>
      </c>
      <c r="D2093" t="inlineStr">
        <is>
          <t>работник 623</t>
        </is>
      </c>
      <c r="E2093" s="1" t="inlineStr">
        <is>
          <t>ОБЩЕСТВО С ОГРАНИЧЕННОЙ ОТВЕТСТВЕННОСТЬЮ "АМУР ЗОЛОТО"</t>
        </is>
      </c>
      <c r="F2093" s="1" t="inlineStr">
        <is>
          <t>2708001686</t>
        </is>
      </c>
      <c r="G2093" s="1" t="inlineStr">
        <is>
          <t>Горнорабочий на маркшейдерских работах</t>
        </is>
      </c>
      <c r="H2093" s="1" t="inlineStr">
        <is>
          <t>ООО "Амур Золото"</t>
        </is>
      </c>
      <c r="I2093" s="1" t="inlineStr">
        <is>
          <t>2708001686</t>
        </is>
      </c>
      <c r="J2093" s="1" t="inlineStr">
        <is>
          <t>ОТ № ЮГОК ГМО 25-04</t>
        </is>
      </c>
      <c r="K209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093" s="1" t="inlineStr">
        <is>
          <t>29.12.2025</t>
        </is>
      </c>
      <c r="M2093" s="1" t="inlineStr">
        <is>
          <t>Успешно</t>
        </is>
      </c>
      <c r="N2093" s="1" t="inlineStr">
        <is>
          <t>12.01.2026</t>
        </is>
      </c>
      <c r="O2093" s="1" t="inlineStr"/>
      <c r="P2093" s="1" t="inlineStr"/>
      <c r="Q2093" s="1" t="inlineStr">
        <is>
          <t>Пользовательский интерфейс</t>
        </is>
      </c>
    </row>
    <row r="2094">
      <c r="B2094" s="1" t="inlineStr">
        <is>
          <t>167514470</t>
        </is>
      </c>
      <c r="C2094" s="1" t="inlineStr">
        <is>
          <t>12377776</t>
        </is>
      </c>
      <c r="D2094" t="inlineStr">
        <is>
          <t>работник 624</t>
        </is>
      </c>
      <c r="E2094" s="1" t="inlineStr">
        <is>
          <t>ОБЩЕСТВО С ОГРАНИЧЕННОЙ ОТВЕТСТВЕННОСТЬЮ "АМУР ЗОЛОТО"</t>
        </is>
      </c>
      <c r="F2094" s="1" t="inlineStr">
        <is>
          <t>2708001686</t>
        </is>
      </c>
      <c r="G2094" s="1" t="inlineStr">
        <is>
          <t>Повар</t>
        </is>
      </c>
      <c r="H2094" s="1" t="inlineStr">
        <is>
          <t>ООО "Амур Золото"</t>
        </is>
      </c>
      <c r="I2094" s="1" t="inlineStr">
        <is>
          <t>2708001686</t>
        </is>
      </c>
      <c r="J2094" s="1" t="inlineStr">
        <is>
          <t>ОТ № ЮГОК АХЧ 25-01</t>
        </is>
      </c>
      <c r="K2094" s="1" t="inlineStr">
        <is>
          <t>Использование (применение) средств индивидуальной защиты</t>
        </is>
      </c>
      <c r="L2094" s="1" t="inlineStr">
        <is>
          <t>24.12.2025</t>
        </is>
      </c>
      <c r="M2094" s="1" t="inlineStr">
        <is>
          <t>Успешно</t>
        </is>
      </c>
      <c r="N2094" s="1" t="inlineStr">
        <is>
          <t>19.01.2026</t>
        </is>
      </c>
      <c r="O2094" s="1" t="inlineStr"/>
      <c r="P2094" s="1" t="inlineStr"/>
      <c r="Q2094" s="1" t="inlineStr">
        <is>
          <t>Пользовательский интерфейс</t>
        </is>
      </c>
    </row>
    <row r="2095">
      <c r="B2095" s="1" t="inlineStr">
        <is>
          <t>167514471</t>
        </is>
      </c>
      <c r="C2095" s="1" t="inlineStr">
        <is>
          <t>12377776</t>
        </is>
      </c>
      <c r="D2095" t="inlineStr">
        <is>
          <t>работник 624</t>
        </is>
      </c>
      <c r="E2095" s="1" t="inlineStr">
        <is>
          <t>ОБЩЕСТВО С ОГРАНИЧЕННОЙ ОТВЕТСТВЕННОСТЬЮ "АМУР ЗОЛОТО"</t>
        </is>
      </c>
      <c r="F2095" s="1" t="inlineStr">
        <is>
          <t>2708001686</t>
        </is>
      </c>
      <c r="G2095" s="1" t="inlineStr">
        <is>
          <t>Повар</t>
        </is>
      </c>
      <c r="H2095" s="1" t="inlineStr">
        <is>
          <t>ООО "Амур Золото"</t>
        </is>
      </c>
      <c r="I2095" s="1" t="inlineStr">
        <is>
          <t>2708001686</t>
        </is>
      </c>
      <c r="J2095" s="1" t="inlineStr">
        <is>
          <t>ОТ № ЮГОК АХЧ 25-01</t>
        </is>
      </c>
      <c r="K209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095" s="1" t="inlineStr">
        <is>
          <t>24.12.2025</t>
        </is>
      </c>
      <c r="M2095" s="1" t="inlineStr">
        <is>
          <t>Успешно</t>
        </is>
      </c>
      <c r="N2095" s="1" t="inlineStr">
        <is>
          <t>19.01.2026</t>
        </is>
      </c>
      <c r="O2095" s="1" t="inlineStr"/>
      <c r="P2095" s="1" t="inlineStr"/>
      <c r="Q2095" s="1" t="inlineStr">
        <is>
          <t>Пользовательский интерфейс</t>
        </is>
      </c>
    </row>
    <row r="2096">
      <c r="B2096" s="1" t="inlineStr">
        <is>
          <t>167514472</t>
        </is>
      </c>
      <c r="C2096" s="1" t="inlineStr">
        <is>
          <t>12377776</t>
        </is>
      </c>
      <c r="D2096" t="inlineStr">
        <is>
          <t>работник 625</t>
        </is>
      </c>
      <c r="E2096" s="1" t="inlineStr">
        <is>
          <t>ОБЩЕСТВО С ОГРАНИЧЕННОЙ ОТВЕТСТВЕННОСТЬЮ "АМУР ЗОЛОТО"</t>
        </is>
      </c>
      <c r="F2096" s="1" t="inlineStr">
        <is>
          <t>2708001686</t>
        </is>
      </c>
      <c r="G2096" s="1" t="inlineStr">
        <is>
          <t>Повар (кондитер)</t>
        </is>
      </c>
      <c r="H2096" s="1" t="inlineStr">
        <is>
          <t>ООО "Амур Золото"</t>
        </is>
      </c>
      <c r="I2096" s="1" t="inlineStr">
        <is>
          <t>2708001686</t>
        </is>
      </c>
      <c r="J2096" s="1" t="inlineStr">
        <is>
          <t>ОТ № ЮГОК АХЧ 25-01</t>
        </is>
      </c>
      <c r="K2096" s="1" t="inlineStr">
        <is>
          <t>Использование (применение) средств индивидуальной защиты</t>
        </is>
      </c>
      <c r="L2096" s="1" t="inlineStr">
        <is>
          <t>24.12.2025</t>
        </is>
      </c>
      <c r="M2096" s="1" t="inlineStr">
        <is>
          <t>Успешно</t>
        </is>
      </c>
      <c r="N2096" s="1" t="inlineStr">
        <is>
          <t>19.01.2026</t>
        </is>
      </c>
      <c r="O2096" s="1" t="inlineStr"/>
      <c r="P2096" s="1" t="inlineStr"/>
      <c r="Q2096" s="1" t="inlineStr">
        <is>
          <t>Пользовательский интерфейс</t>
        </is>
      </c>
    </row>
    <row r="2097">
      <c r="B2097" s="1" t="inlineStr">
        <is>
          <t>167514473</t>
        </is>
      </c>
      <c r="C2097" s="1" t="inlineStr">
        <is>
          <t>12377776</t>
        </is>
      </c>
      <c r="D2097" t="inlineStr">
        <is>
          <t>работник 625</t>
        </is>
      </c>
      <c r="E2097" s="1" t="inlineStr">
        <is>
          <t>ОБЩЕСТВО С ОГРАНИЧЕННОЙ ОТВЕТСТВЕННОСТЬЮ "АМУР ЗОЛОТО"</t>
        </is>
      </c>
      <c r="F2097" s="1" t="inlineStr">
        <is>
          <t>2708001686</t>
        </is>
      </c>
      <c r="G2097" s="1" t="inlineStr">
        <is>
          <t>Повар (кондитер)</t>
        </is>
      </c>
      <c r="H2097" s="1" t="inlineStr">
        <is>
          <t>ООО "Амур Золото"</t>
        </is>
      </c>
      <c r="I2097" s="1" t="inlineStr">
        <is>
          <t>2708001686</t>
        </is>
      </c>
      <c r="J2097" s="1" t="inlineStr">
        <is>
          <t>ОТ № ЮГОК АХЧ 25-01</t>
        </is>
      </c>
      <c r="K209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097" s="1" t="inlineStr">
        <is>
          <t>24.12.2025</t>
        </is>
      </c>
      <c r="M2097" s="1" t="inlineStr">
        <is>
          <t>Успешно</t>
        </is>
      </c>
      <c r="N2097" s="1" t="inlineStr">
        <is>
          <t>19.01.2026</t>
        </is>
      </c>
      <c r="O2097" s="1" t="inlineStr"/>
      <c r="P2097" s="1" t="inlineStr"/>
      <c r="Q2097" s="1" t="inlineStr">
        <is>
          <t>Пользовательский интерфейс</t>
        </is>
      </c>
    </row>
    <row r="2098">
      <c r="B2098" s="1" t="inlineStr">
        <is>
          <t>167514474</t>
        </is>
      </c>
      <c r="C2098" s="1" t="inlineStr">
        <is>
          <t>12377776</t>
        </is>
      </c>
      <c r="D2098" t="inlineStr">
        <is>
          <t>работник 626</t>
        </is>
      </c>
      <c r="E2098" s="1" t="inlineStr">
        <is>
          <t>ОБЩЕСТВО С ОГРАНИЧЕННОЙ ОТВЕТСТВЕННОСТЬЮ "АМУР ЗОЛОТО"</t>
        </is>
      </c>
      <c r="F2098" s="1" t="inlineStr">
        <is>
          <t>2708001686</t>
        </is>
      </c>
      <c r="G2098" s="1" t="inlineStr">
        <is>
          <t>Кухонный рабочий</t>
        </is>
      </c>
      <c r="H2098" s="1" t="inlineStr">
        <is>
          <t>ООО "Амур Золото"</t>
        </is>
      </c>
      <c r="I2098" s="1" t="inlineStr">
        <is>
          <t>2708001686</t>
        </is>
      </c>
      <c r="J2098" s="1" t="inlineStr">
        <is>
          <t>ОТ № ЮГОК АХЧ 25-01</t>
        </is>
      </c>
      <c r="K2098" s="1" t="inlineStr">
        <is>
          <t>Использование (применение) средств индивидуальной защиты</t>
        </is>
      </c>
      <c r="L2098" s="1" t="inlineStr">
        <is>
          <t>24.12.2025</t>
        </is>
      </c>
      <c r="M2098" s="1" t="inlineStr">
        <is>
          <t>Успешно</t>
        </is>
      </c>
      <c r="N2098" s="1" t="inlineStr">
        <is>
          <t>19.01.2026</t>
        </is>
      </c>
      <c r="O2098" s="1" t="inlineStr"/>
      <c r="P2098" s="1" t="inlineStr"/>
      <c r="Q2098" s="1" t="inlineStr">
        <is>
          <t>Пользовательский интерфейс</t>
        </is>
      </c>
    </row>
    <row r="2099">
      <c r="B2099" s="1" t="inlineStr">
        <is>
          <t>167514475</t>
        </is>
      </c>
      <c r="C2099" s="1" t="inlineStr">
        <is>
          <t>12377776</t>
        </is>
      </c>
      <c r="D2099" t="inlineStr">
        <is>
          <t>работник 626</t>
        </is>
      </c>
      <c r="E2099" s="1" t="inlineStr">
        <is>
          <t>ОБЩЕСТВО С ОГРАНИЧЕННОЙ ОТВЕТСТВЕННОСТЬЮ "АМУР ЗОЛОТО"</t>
        </is>
      </c>
      <c r="F2099" s="1" t="inlineStr">
        <is>
          <t>2708001686</t>
        </is>
      </c>
      <c r="G2099" s="1" t="inlineStr">
        <is>
          <t>Кухонный рабочий</t>
        </is>
      </c>
      <c r="H2099" s="1" t="inlineStr">
        <is>
          <t>ООО "Амур Золото"</t>
        </is>
      </c>
      <c r="I2099" s="1" t="inlineStr">
        <is>
          <t>2708001686</t>
        </is>
      </c>
      <c r="J2099" s="1" t="inlineStr">
        <is>
          <t>ОТ № ЮГОК АХЧ 25-01</t>
        </is>
      </c>
      <c r="K209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099" s="1" t="inlineStr">
        <is>
          <t>24.12.2025</t>
        </is>
      </c>
      <c r="M2099" s="1" t="inlineStr">
        <is>
          <t>Успешно</t>
        </is>
      </c>
      <c r="N2099" s="1" t="inlineStr">
        <is>
          <t>19.01.2026</t>
        </is>
      </c>
      <c r="O2099" s="1" t="inlineStr"/>
      <c r="P2099" s="1" t="inlineStr"/>
      <c r="Q2099" s="1" t="inlineStr">
        <is>
          <t>Пользовательский интерфейс</t>
        </is>
      </c>
    </row>
    <row r="2100">
      <c r="B2100" s="1" t="inlineStr">
        <is>
          <t>173160784</t>
        </is>
      </c>
      <c r="C2100" s="1" t="inlineStr">
        <is>
          <t>12768377</t>
        </is>
      </c>
      <c r="D2100" t="inlineStr">
        <is>
          <t>работник 627</t>
        </is>
      </c>
      <c r="E2100" s="1" t="inlineStr">
        <is>
          <t>ОБЩЕСТВО С ОГРАНИЧЕННОЙ ОТВЕТСТВЕННОСТЬЮ "АМУР ЗОЛОТО"</t>
        </is>
      </c>
      <c r="F2100" s="1" t="inlineStr">
        <is>
          <t>2708001686</t>
        </is>
      </c>
      <c r="G2100" s="1" t="inlineStr">
        <is>
          <t>Подсобный рабочий</t>
        </is>
      </c>
      <c r="H2100" s="1" t="inlineStr">
        <is>
          <t>ООО "Амур Золото"</t>
        </is>
      </c>
      <c r="I2100" s="1" t="inlineStr">
        <is>
          <t>2708001686</t>
        </is>
      </c>
      <c r="J2100" s="1" t="inlineStr">
        <is>
          <t>ОТ № ЮГОК АХЧ 25-04</t>
        </is>
      </c>
      <c r="K2100" s="1" t="inlineStr">
        <is>
          <t>Использование (применение) средств индивидуальной защиты</t>
        </is>
      </c>
      <c r="L2100" s="1" t="inlineStr">
        <is>
          <t>01.02.2026</t>
        </is>
      </c>
      <c r="M2100" s="1" t="inlineStr">
        <is>
          <t>Успешно</t>
        </is>
      </c>
      <c r="N2100" s="1" t="inlineStr">
        <is>
          <t>11.02.2026</t>
        </is>
      </c>
      <c r="O2100" s="1" t="inlineStr"/>
      <c r="P2100" s="1" t="inlineStr"/>
      <c r="Q2100" s="1" t="inlineStr">
        <is>
          <t>Пользовательский интерфейс</t>
        </is>
      </c>
    </row>
    <row r="2101">
      <c r="B2101" s="1" t="inlineStr">
        <is>
          <t>173160785</t>
        </is>
      </c>
      <c r="C2101" s="1" t="inlineStr">
        <is>
          <t>12768377</t>
        </is>
      </c>
      <c r="D2101" t="inlineStr">
        <is>
          <t>работник 627</t>
        </is>
      </c>
      <c r="E2101" s="1" t="inlineStr">
        <is>
          <t>ОБЩЕСТВО С ОГРАНИЧЕННОЙ ОТВЕТСТВЕННОСТЬЮ "АМУР ЗОЛОТО"</t>
        </is>
      </c>
      <c r="F2101" s="1" t="inlineStr">
        <is>
          <t>2708001686</t>
        </is>
      </c>
      <c r="G2101" s="1" t="inlineStr">
        <is>
          <t>Подсобный рабочий</t>
        </is>
      </c>
      <c r="H2101" s="1" t="inlineStr">
        <is>
          <t>ООО "Амур Золото"</t>
        </is>
      </c>
      <c r="I2101" s="1" t="inlineStr">
        <is>
          <t>2708001686</t>
        </is>
      </c>
      <c r="J2101" s="1" t="inlineStr">
        <is>
          <t>ОТ № ЮГОК АХЧ 25-04</t>
        </is>
      </c>
      <c r="K210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101" s="1" t="inlineStr">
        <is>
          <t>01.02.2026</t>
        </is>
      </c>
      <c r="M2101" s="1" t="inlineStr">
        <is>
          <t>Успешно</t>
        </is>
      </c>
      <c r="N2101" s="1" t="inlineStr">
        <is>
          <t>11.02.2026</t>
        </is>
      </c>
      <c r="O2101" s="1" t="inlineStr"/>
      <c r="P2101" s="1" t="inlineStr"/>
      <c r="Q2101" s="1" t="inlineStr">
        <is>
          <t>Пользовательский интерфейс</t>
        </is>
      </c>
    </row>
    <row r="2102">
      <c r="B2102" s="1" t="inlineStr">
        <is>
          <t>173160786</t>
        </is>
      </c>
      <c r="C2102" s="1" t="inlineStr">
        <is>
          <t>12768377</t>
        </is>
      </c>
      <c r="D2102" t="inlineStr">
        <is>
          <t>работник 628</t>
        </is>
      </c>
      <c r="E2102" s="1" t="inlineStr">
        <is>
          <t>ОБЩЕСТВО С ОГРАНИЧЕННОЙ ОТВЕТСТВЕННОСТЬЮ "АМУР ЗОЛОТО"</t>
        </is>
      </c>
      <c r="F2102" s="1" t="inlineStr">
        <is>
          <t>2708001686</t>
        </is>
      </c>
      <c r="G2102" s="1" t="inlineStr">
        <is>
          <t>Подсобный рабочий</t>
        </is>
      </c>
      <c r="H2102" s="1" t="inlineStr">
        <is>
          <t>ООО "Амур Золото"</t>
        </is>
      </c>
      <c r="I2102" s="1" t="inlineStr">
        <is>
          <t>2708001686</t>
        </is>
      </c>
      <c r="J2102" s="1" t="inlineStr">
        <is>
          <t>ОТ № ЮГОК АХЧ 25-04</t>
        </is>
      </c>
      <c r="K2102" s="1" t="inlineStr">
        <is>
          <t>Использование (применение) средств индивидуальной защиты</t>
        </is>
      </c>
      <c r="L2102" s="1" t="inlineStr">
        <is>
          <t>01.02.2026</t>
        </is>
      </c>
      <c r="M2102" s="1" t="inlineStr">
        <is>
          <t>Успешно</t>
        </is>
      </c>
      <c r="N2102" s="1" t="inlineStr">
        <is>
          <t>11.02.2026</t>
        </is>
      </c>
      <c r="O2102" s="1" t="inlineStr"/>
      <c r="P2102" s="1" t="inlineStr"/>
      <c r="Q2102" s="1" t="inlineStr">
        <is>
          <t>Пользовательский интерфейс</t>
        </is>
      </c>
    </row>
    <row r="2103">
      <c r="B2103" s="1" t="inlineStr">
        <is>
          <t>173160787</t>
        </is>
      </c>
      <c r="C2103" s="1" t="inlineStr">
        <is>
          <t>12768377</t>
        </is>
      </c>
      <c r="D2103" t="inlineStr">
        <is>
          <t>работник 628</t>
        </is>
      </c>
      <c r="E2103" s="1" t="inlineStr">
        <is>
          <t>ОБЩЕСТВО С ОГРАНИЧЕННОЙ ОТВЕТСТВЕННОСТЬЮ "АМУР ЗОЛОТО"</t>
        </is>
      </c>
      <c r="F2103" s="1" t="inlineStr">
        <is>
          <t>2708001686</t>
        </is>
      </c>
      <c r="G2103" s="1" t="inlineStr">
        <is>
          <t>Подсобный рабочий</t>
        </is>
      </c>
      <c r="H2103" s="1" t="inlineStr">
        <is>
          <t>ООО "Амур Золото"</t>
        </is>
      </c>
      <c r="I2103" s="1" t="inlineStr">
        <is>
          <t>2708001686</t>
        </is>
      </c>
      <c r="J2103" s="1" t="inlineStr">
        <is>
          <t>ОТ № ЮГОК АХЧ 25-04</t>
        </is>
      </c>
      <c r="K210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103" s="1" t="inlineStr">
        <is>
          <t>01.02.2026</t>
        </is>
      </c>
      <c r="M2103" s="1" t="inlineStr">
        <is>
          <t>Успешно</t>
        </is>
      </c>
      <c r="N2103" s="1" t="inlineStr">
        <is>
          <t>11.02.2026</t>
        </is>
      </c>
      <c r="O2103" s="1" t="inlineStr"/>
      <c r="P2103" s="1" t="inlineStr"/>
      <c r="Q2103" s="1" t="inlineStr">
        <is>
          <t>Пользовательский интерфейс</t>
        </is>
      </c>
    </row>
    <row r="2104">
      <c r="B2104" s="1" t="inlineStr">
        <is>
          <t>173160788</t>
        </is>
      </c>
      <c r="C2104" s="1" t="inlineStr">
        <is>
          <t>12768377</t>
        </is>
      </c>
      <c r="D2104" t="inlineStr">
        <is>
          <t>работник 629</t>
        </is>
      </c>
      <c r="E2104" s="1" t="inlineStr">
        <is>
          <t>ОБЩЕСТВО С ОГРАНИЧЕННОЙ ОТВЕТСТВЕННОСТЬЮ "АМУР ЗОЛОТО"</t>
        </is>
      </c>
      <c r="F2104" s="1" t="inlineStr">
        <is>
          <t>2708001686</t>
        </is>
      </c>
      <c r="G2104" s="1" t="inlineStr">
        <is>
          <t>Горнорабочий на маркшейдерских работах</t>
        </is>
      </c>
      <c r="H2104" s="1" t="inlineStr">
        <is>
          <t>ООО "Амур Золото"</t>
        </is>
      </c>
      <c r="I2104" s="1" t="inlineStr">
        <is>
          <t>2708001686</t>
        </is>
      </c>
      <c r="J2104" s="1" t="inlineStr">
        <is>
          <t>ОТ № ЮГОК ГМО 26-28</t>
        </is>
      </c>
      <c r="K2104" s="1" t="inlineStr">
        <is>
          <t>Использование (применение) средств индивидуальной защиты</t>
        </is>
      </c>
      <c r="L2104" s="1" t="inlineStr">
        <is>
          <t>03.02.2026</t>
        </is>
      </c>
      <c r="M2104" s="1" t="inlineStr">
        <is>
          <t>Успешно</t>
        </is>
      </c>
      <c r="N2104" s="1" t="inlineStr">
        <is>
          <t>11.02.2026</t>
        </is>
      </c>
      <c r="O2104" s="1" t="inlineStr"/>
      <c r="P2104" s="1" t="inlineStr"/>
      <c r="Q2104" s="1" t="inlineStr">
        <is>
          <t>Пользовательский интерфейс</t>
        </is>
      </c>
    </row>
    <row r="2105">
      <c r="B2105" s="1" t="inlineStr">
        <is>
          <t>173160789</t>
        </is>
      </c>
      <c r="C2105" s="1" t="inlineStr">
        <is>
          <t>12768377</t>
        </is>
      </c>
      <c r="D2105" t="inlineStr">
        <is>
          <t>работник 629</t>
        </is>
      </c>
      <c r="E2105" s="1" t="inlineStr">
        <is>
          <t>ОБЩЕСТВО С ОГРАНИЧЕННОЙ ОТВЕТСТВЕННОСТЬЮ "АМУР ЗОЛОТО"</t>
        </is>
      </c>
      <c r="F2105" s="1" t="inlineStr">
        <is>
          <t>2708001686</t>
        </is>
      </c>
      <c r="G2105" s="1" t="inlineStr">
        <is>
          <t>Горнорабочий на маркшейдерских работах</t>
        </is>
      </c>
      <c r="H2105" s="1" t="inlineStr">
        <is>
          <t>ООО "Амур Золото"</t>
        </is>
      </c>
      <c r="I2105" s="1" t="inlineStr">
        <is>
          <t>2708001686</t>
        </is>
      </c>
      <c r="J2105" s="1" t="inlineStr">
        <is>
          <t>ОТ № ЮГОК ГМО 26-28</t>
        </is>
      </c>
      <c r="K210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105" s="1" t="inlineStr">
        <is>
          <t>03.02.2026</t>
        </is>
      </c>
      <c r="M2105" s="1" t="inlineStr">
        <is>
          <t>Успешно</t>
        </is>
      </c>
      <c r="N2105" s="1" t="inlineStr">
        <is>
          <t>11.02.2026</t>
        </is>
      </c>
      <c r="O2105" s="1" t="inlineStr"/>
      <c r="P2105" s="1" t="inlineStr"/>
      <c r="Q2105" s="1" t="inlineStr">
        <is>
          <t>Пользовательский интерфейс</t>
        </is>
      </c>
    </row>
    <row r="2106">
      <c r="B2106" s="1" t="inlineStr">
        <is>
          <t>173160790</t>
        </is>
      </c>
      <c r="C2106" s="1" t="inlineStr">
        <is>
          <t>12768377</t>
        </is>
      </c>
      <c r="D2106" t="inlineStr">
        <is>
          <t>работник 629</t>
        </is>
      </c>
      <c r="E2106" s="1" t="inlineStr">
        <is>
          <t>ОБЩЕСТВО С ОГРАНИЧЕННОЙ ОТВЕТСТВЕННОСТЬЮ "АМУР ЗОЛОТО"</t>
        </is>
      </c>
      <c r="F2106" s="1" t="inlineStr">
        <is>
          <t>2708001686</t>
        </is>
      </c>
      <c r="G2106" s="1" t="inlineStr">
        <is>
          <t>Горнорабочий на маркшейдерских работах</t>
        </is>
      </c>
      <c r="H2106" s="1" t="inlineStr">
        <is>
          <t>ООО "Амур Золото"</t>
        </is>
      </c>
      <c r="I2106" s="1" t="inlineStr">
        <is>
          <t>2708001686</t>
        </is>
      </c>
      <c r="J2106" s="1" t="inlineStr">
        <is>
          <t>ОТ № ЮГОК ГМО 26-29</t>
        </is>
      </c>
      <c r="K2106" s="1" t="inlineStr">
        <is>
          <t>Безопасные методы и приемы выполнения земляных работ</t>
        </is>
      </c>
      <c r="L2106" s="1" t="inlineStr">
        <is>
          <t>03.02.2026</t>
        </is>
      </c>
      <c r="M2106" s="1" t="inlineStr">
        <is>
          <t>Успешно</t>
        </is>
      </c>
      <c r="N2106" s="1" t="inlineStr">
        <is>
          <t>11.02.2026</t>
        </is>
      </c>
      <c r="O2106" s="1" t="inlineStr"/>
      <c r="P2106" s="1" t="inlineStr"/>
      <c r="Q2106" s="1" t="inlineStr">
        <is>
          <t>Пользовательский интерфейс</t>
        </is>
      </c>
    </row>
    <row r="2107">
      <c r="B2107" s="1" t="inlineStr">
        <is>
          <t>173160791</t>
        </is>
      </c>
      <c r="C2107" s="1" t="inlineStr">
        <is>
          <t>12768377</t>
        </is>
      </c>
      <c r="D2107" t="inlineStr">
        <is>
          <t>работник 630</t>
        </is>
      </c>
      <c r="E2107" s="1" t="inlineStr">
        <is>
          <t>ОБЩЕСТВО С ОГРАНИЧЕННОЙ ОТВЕТСТВЕННОСТЬЮ "АМУР ЗОЛОТО"</t>
        </is>
      </c>
      <c r="F2107" s="1" t="inlineStr">
        <is>
          <t>2708001686</t>
        </is>
      </c>
      <c r="G2107" s="1" t="inlineStr">
        <is>
          <t>Горнорабочий на маркшейдерских работах</t>
        </is>
      </c>
      <c r="H2107" s="1" t="inlineStr">
        <is>
          <t>ООО "Амур Золото"</t>
        </is>
      </c>
      <c r="I2107" s="1" t="inlineStr">
        <is>
          <t>2708001686</t>
        </is>
      </c>
      <c r="J2107" s="1" t="inlineStr">
        <is>
          <t>ОТ № ЮГОК ГМО 26-30</t>
        </is>
      </c>
      <c r="K2107" s="1" t="inlineStr">
        <is>
          <t>Использование (применение) средств индивидуальной защиты</t>
        </is>
      </c>
      <c r="L2107" s="1" t="inlineStr">
        <is>
          <t>09.02.2026</t>
        </is>
      </c>
      <c r="M2107" s="1" t="inlineStr">
        <is>
          <t>Успешно</t>
        </is>
      </c>
      <c r="N2107" s="1" t="inlineStr">
        <is>
          <t>11.02.2026</t>
        </is>
      </c>
      <c r="O2107" s="1" t="inlineStr"/>
      <c r="P2107" s="1" t="inlineStr"/>
      <c r="Q2107" s="1" t="inlineStr">
        <is>
          <t>Пользовательский интерфейс</t>
        </is>
      </c>
    </row>
    <row r="2108">
      <c r="B2108" s="1" t="inlineStr">
        <is>
          <t>173160792</t>
        </is>
      </c>
      <c r="C2108" s="1" t="inlineStr">
        <is>
          <t>12768377</t>
        </is>
      </c>
      <c r="D2108" t="inlineStr">
        <is>
          <t>работник 630</t>
        </is>
      </c>
      <c r="E2108" s="1" t="inlineStr">
        <is>
          <t>ОБЩЕСТВО С ОГРАНИЧЕННОЙ ОТВЕТСТВЕННОСТЬЮ "АМУР ЗОЛОТО"</t>
        </is>
      </c>
      <c r="F2108" s="1" t="inlineStr">
        <is>
          <t>2708001686</t>
        </is>
      </c>
      <c r="G2108" s="1" t="inlineStr">
        <is>
          <t>Горнорабочий на маркшейдерских работах</t>
        </is>
      </c>
      <c r="H2108" s="1" t="inlineStr">
        <is>
          <t>ООО "Амур Золото"</t>
        </is>
      </c>
      <c r="I2108" s="1" t="inlineStr">
        <is>
          <t>2708001686</t>
        </is>
      </c>
      <c r="J2108" s="1" t="inlineStr">
        <is>
          <t>ОТ № ЮГОК ГМО 26-30</t>
        </is>
      </c>
      <c r="K210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108" s="1" t="inlineStr">
        <is>
          <t>09.02.2026</t>
        </is>
      </c>
      <c r="M2108" s="1" t="inlineStr">
        <is>
          <t>Успешно</t>
        </is>
      </c>
      <c r="N2108" s="1" t="inlineStr">
        <is>
          <t>11.02.2026</t>
        </is>
      </c>
      <c r="O2108" s="1" t="inlineStr"/>
      <c r="P2108" s="1" t="inlineStr"/>
      <c r="Q2108" s="1" t="inlineStr">
        <is>
          <t>Пользовательский интерфейс</t>
        </is>
      </c>
    </row>
    <row r="2109">
      <c r="B2109" s="1" t="inlineStr">
        <is>
          <t>173160793</t>
        </is>
      </c>
      <c r="C2109" s="1" t="inlineStr">
        <is>
          <t>12768377</t>
        </is>
      </c>
      <c r="D2109" t="inlineStr">
        <is>
          <t>работник 630</t>
        </is>
      </c>
      <c r="E2109" s="1" t="inlineStr">
        <is>
          <t>ОБЩЕСТВО С ОГРАНИЧЕННОЙ ОТВЕТСТВЕННОСТЬЮ "АМУР ЗОЛОТО"</t>
        </is>
      </c>
      <c r="F2109" s="1" t="inlineStr">
        <is>
          <t>2708001686</t>
        </is>
      </c>
      <c r="G2109" s="1" t="inlineStr">
        <is>
          <t>Горнорабочий на маркшейдерских работах</t>
        </is>
      </c>
      <c r="H2109" s="1" t="inlineStr">
        <is>
          <t>ООО "Амур Золото"</t>
        </is>
      </c>
      <c r="I2109" s="1" t="inlineStr">
        <is>
          <t>2708001686</t>
        </is>
      </c>
      <c r="J2109" s="1" t="inlineStr">
        <is>
          <t>ОТ № ЮГОК ГМО 26-31</t>
        </is>
      </c>
      <c r="K2109" s="1" t="inlineStr">
        <is>
          <t>Безопасные методы и приемы выполнения земляных работ</t>
        </is>
      </c>
      <c r="L2109" s="1" t="inlineStr">
        <is>
          <t>09.02.2026</t>
        </is>
      </c>
      <c r="M2109" s="1" t="inlineStr">
        <is>
          <t>Успешно</t>
        </is>
      </c>
      <c r="N2109" s="1" t="inlineStr">
        <is>
          <t>11.02.2026</t>
        </is>
      </c>
      <c r="O2109" s="1" t="inlineStr"/>
      <c r="P2109" s="1" t="inlineStr"/>
      <c r="Q2109" s="1" t="inlineStr">
        <is>
          <t>Пользовательский интерфейс</t>
        </is>
      </c>
    </row>
    <row r="2110">
      <c r="B2110" s="1" t="inlineStr">
        <is>
          <t>173160794</t>
        </is>
      </c>
      <c r="C2110" s="1" t="inlineStr">
        <is>
          <t>12768377</t>
        </is>
      </c>
      <c r="D2110" t="inlineStr">
        <is>
          <t>работник 631</t>
        </is>
      </c>
      <c r="E2110" s="1" t="inlineStr">
        <is>
          <t>ОБЩЕСТВО С ОГРАНИЧЕННОЙ ОТВЕТСТВЕННОСТЬЮ "АМУР ЗОЛОТО"</t>
        </is>
      </c>
      <c r="F2110" s="1" t="inlineStr">
        <is>
          <t>2708001686</t>
        </is>
      </c>
      <c r="G2110" s="1" t="inlineStr">
        <is>
          <t>Кладовщик</t>
        </is>
      </c>
      <c r="H2110" s="1" t="inlineStr">
        <is>
          <t>ООО "Амур Золото"</t>
        </is>
      </c>
      <c r="I2110" s="1" t="inlineStr">
        <is>
          <t>2708001686</t>
        </is>
      </c>
      <c r="J2110" s="1" t="inlineStr">
        <is>
          <t>ОТ № ЮГОК МТО 26-01</t>
        </is>
      </c>
      <c r="K2110" s="1" t="inlineStr">
        <is>
          <t>Использование (применение) средств индивидуальной защиты</t>
        </is>
      </c>
      <c r="L2110" s="1" t="inlineStr">
        <is>
          <t>05.02.2026</t>
        </is>
      </c>
      <c r="M2110" s="1" t="inlineStr">
        <is>
          <t>Успешно</t>
        </is>
      </c>
      <c r="N2110" s="1" t="inlineStr">
        <is>
          <t>11.02.2026</t>
        </is>
      </c>
      <c r="O2110" s="1" t="inlineStr"/>
      <c r="P2110" s="1" t="inlineStr"/>
      <c r="Q2110" s="1" t="inlineStr">
        <is>
          <t>Пользовательский интерфейс</t>
        </is>
      </c>
    </row>
    <row r="2111">
      <c r="B2111" s="1" t="inlineStr">
        <is>
          <t>173160795</t>
        </is>
      </c>
      <c r="C2111" s="1" t="inlineStr">
        <is>
          <t>12768377</t>
        </is>
      </c>
      <c r="D2111" t="inlineStr">
        <is>
          <t>работник 631</t>
        </is>
      </c>
      <c r="E2111" s="1" t="inlineStr">
        <is>
          <t>ОБЩЕСТВО С ОГРАНИЧЕННОЙ ОТВЕТСТВЕННОСТЬЮ "АМУР ЗОЛОТО"</t>
        </is>
      </c>
      <c r="F2111" s="1" t="inlineStr">
        <is>
          <t>2708001686</t>
        </is>
      </c>
      <c r="G2111" s="1" t="inlineStr">
        <is>
          <t>Кладовщик</t>
        </is>
      </c>
      <c r="H2111" s="1" t="inlineStr">
        <is>
          <t>ООО "Амур Золото"</t>
        </is>
      </c>
      <c r="I2111" s="1" t="inlineStr">
        <is>
          <t>2708001686</t>
        </is>
      </c>
      <c r="J2111" s="1" t="inlineStr">
        <is>
          <t>ОТ № ЮГОК МТО 26-01</t>
        </is>
      </c>
      <c r="K211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111" s="1" t="inlineStr">
        <is>
          <t>05.02.2026</t>
        </is>
      </c>
      <c r="M2111" s="1" t="inlineStr">
        <is>
          <t>Успешно</t>
        </is>
      </c>
      <c r="N2111" s="1" t="inlineStr">
        <is>
          <t>11.02.2026</t>
        </is>
      </c>
      <c r="O2111" s="1" t="inlineStr"/>
      <c r="P2111" s="1" t="inlineStr"/>
      <c r="Q2111" s="1" t="inlineStr">
        <is>
          <t>Пользовательский интерфейс</t>
        </is>
      </c>
    </row>
    <row r="2112">
      <c r="B2112" s="1" t="inlineStr">
        <is>
          <t>173160796</t>
        </is>
      </c>
      <c r="C2112" s="1" t="inlineStr">
        <is>
          <t>12768377</t>
        </is>
      </c>
      <c r="D2112" t="inlineStr">
        <is>
          <t>работник 38</t>
        </is>
      </c>
      <c r="E2112" s="1" t="inlineStr">
        <is>
          <t>ОБЩЕСТВО С ОГРАНИЧЕННОЙ ОТВЕТСТВЕННОСТЬЮ "АМУР ЗОЛОТО"</t>
        </is>
      </c>
      <c r="F2112" s="1" t="inlineStr">
        <is>
          <t>2708001686</t>
        </is>
      </c>
      <c r="G2112" s="1" t="inlineStr">
        <is>
          <t>Дробильщик</t>
        </is>
      </c>
      <c r="H2112" s="1" t="inlineStr">
        <is>
          <t>ООО "Амур Золото"</t>
        </is>
      </c>
      <c r="I2112" s="1" t="inlineStr">
        <is>
          <t>2708001686</t>
        </is>
      </c>
      <c r="J2112" s="1" t="inlineStr">
        <is>
          <t>ОТ № ЮГОК ПАЛ 26-01</t>
        </is>
      </c>
      <c r="K2112" s="1" t="inlineStr">
        <is>
          <t>Использование (применение) средств индивидуальной защиты</t>
        </is>
      </c>
      <c r="L2112" s="1" t="inlineStr">
        <is>
          <t>02.02.2026</t>
        </is>
      </c>
      <c r="M2112" s="1" t="inlineStr">
        <is>
          <t>Успешно</t>
        </is>
      </c>
      <c r="N2112" s="1" t="inlineStr">
        <is>
          <t>11.02.2026</t>
        </is>
      </c>
      <c r="O2112" s="1" t="inlineStr"/>
      <c r="P2112" s="1" t="inlineStr"/>
      <c r="Q2112" s="1" t="inlineStr">
        <is>
          <t>Пользовательский интерфейс</t>
        </is>
      </c>
    </row>
    <row r="2113">
      <c r="B2113" s="1" t="inlineStr">
        <is>
          <t>173160797</t>
        </is>
      </c>
      <c r="C2113" s="1" t="inlineStr">
        <is>
          <t>12768377</t>
        </is>
      </c>
      <c r="D2113" t="inlineStr">
        <is>
          <t>работник 38</t>
        </is>
      </c>
      <c r="E2113" s="1" t="inlineStr">
        <is>
          <t>ОБЩЕСТВО С ОГРАНИЧЕННОЙ ОТВЕТСТВЕННОСТЬЮ "АМУР ЗОЛОТО"</t>
        </is>
      </c>
      <c r="F2113" s="1" t="inlineStr">
        <is>
          <t>2708001686</t>
        </is>
      </c>
      <c r="G2113" s="1" t="inlineStr">
        <is>
          <t>Дробильщик</t>
        </is>
      </c>
      <c r="H2113" s="1" t="inlineStr">
        <is>
          <t>ООО "Амур Золото"</t>
        </is>
      </c>
      <c r="I2113" s="1" t="inlineStr">
        <is>
          <t>2708001686</t>
        </is>
      </c>
      <c r="J2113" s="1" t="inlineStr">
        <is>
          <t>ОТ № ЮГОК ПАЛ 26-01</t>
        </is>
      </c>
      <c r="K211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113" s="1" t="inlineStr">
        <is>
          <t>02.02.2026</t>
        </is>
      </c>
      <c r="M2113" s="1" t="inlineStr">
        <is>
          <t>Успешно</t>
        </is>
      </c>
      <c r="N2113" s="1" t="inlineStr">
        <is>
          <t>11.02.2026</t>
        </is>
      </c>
      <c r="O2113" s="1" t="inlineStr"/>
      <c r="P2113" s="1" t="inlineStr"/>
      <c r="Q2113" s="1" t="inlineStr">
        <is>
          <t>Пользовательский интерфейс</t>
        </is>
      </c>
    </row>
    <row r="2114">
      <c r="B2114" s="1" t="inlineStr">
        <is>
          <t>173160798</t>
        </is>
      </c>
      <c r="C2114" s="1" t="inlineStr">
        <is>
          <t>12768377</t>
        </is>
      </c>
      <c r="D2114" t="inlineStr">
        <is>
          <t>работник 114</t>
        </is>
      </c>
      <c r="E2114" s="1" t="inlineStr">
        <is>
          <t>ОБЩЕСТВО С ОГРАНИЧЕННОЙ ОТВЕТСТВЕННОСТЬЮ "АМУР ЗОЛОТО"</t>
        </is>
      </c>
      <c r="F2114" s="1" t="inlineStr">
        <is>
          <t>2708001686</t>
        </is>
      </c>
      <c r="G2114" s="1" t="inlineStr">
        <is>
          <t>Лаборант химического анализа</t>
        </is>
      </c>
      <c r="H2114" s="1" t="inlineStr">
        <is>
          <t>ООО "Амур Золото"</t>
        </is>
      </c>
      <c r="I2114" s="1" t="inlineStr">
        <is>
          <t>2708001686</t>
        </is>
      </c>
      <c r="J2114" s="1" t="inlineStr">
        <is>
          <t>ОТ № ЮГОК ПАЛ 26-01</t>
        </is>
      </c>
      <c r="K2114" s="1" t="inlineStr">
        <is>
          <t>Использование (применение) средств индивидуальной защиты</t>
        </is>
      </c>
      <c r="L2114" s="1" t="inlineStr">
        <is>
          <t>02.02.2026</t>
        </is>
      </c>
      <c r="M2114" s="1" t="inlineStr">
        <is>
          <t>Успешно</t>
        </is>
      </c>
      <c r="N2114" s="1" t="inlineStr">
        <is>
          <t>11.02.2026</t>
        </is>
      </c>
      <c r="O2114" s="1" t="inlineStr"/>
      <c r="P2114" s="1" t="inlineStr"/>
      <c r="Q2114" s="1" t="inlineStr">
        <is>
          <t>Пользовательский интерфейс</t>
        </is>
      </c>
    </row>
    <row r="2115">
      <c r="B2115" s="1" t="inlineStr">
        <is>
          <t>173160799</t>
        </is>
      </c>
      <c r="C2115" s="1" t="inlineStr">
        <is>
          <t>12768377</t>
        </is>
      </c>
      <c r="D2115" t="inlineStr">
        <is>
          <t>работник 114</t>
        </is>
      </c>
      <c r="E2115" s="1" t="inlineStr">
        <is>
          <t>ОБЩЕСТВО С ОГРАНИЧЕННОЙ ОТВЕТСТВЕННОСТЬЮ "АМУР ЗОЛОТО"</t>
        </is>
      </c>
      <c r="F2115" s="1" t="inlineStr">
        <is>
          <t>2708001686</t>
        </is>
      </c>
      <c r="G2115" s="1" t="inlineStr">
        <is>
          <t>Лаборант химического анализа</t>
        </is>
      </c>
      <c r="H2115" s="1" t="inlineStr">
        <is>
          <t>ООО "Амур Золото"</t>
        </is>
      </c>
      <c r="I2115" s="1" t="inlineStr">
        <is>
          <t>2708001686</t>
        </is>
      </c>
      <c r="J2115" s="1" t="inlineStr">
        <is>
          <t>ОТ № ЮГОК ПАЛ 26-01</t>
        </is>
      </c>
      <c r="K211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115" s="1" t="inlineStr">
        <is>
          <t>02.02.2026</t>
        </is>
      </c>
      <c r="M2115" s="1" t="inlineStr">
        <is>
          <t>Успешно</t>
        </is>
      </c>
      <c r="N2115" s="1" t="inlineStr">
        <is>
          <t>11.02.2026</t>
        </is>
      </c>
      <c r="O2115" s="1" t="inlineStr"/>
      <c r="P2115" s="1" t="inlineStr"/>
      <c r="Q2115" s="1" t="inlineStr">
        <is>
          <t>Пользовательский интерфейс</t>
        </is>
      </c>
    </row>
    <row r="2116">
      <c r="B2116" s="1" t="inlineStr">
        <is>
          <t>173160800</t>
        </is>
      </c>
      <c r="C2116" s="1" t="inlineStr">
        <is>
          <t>12768377</t>
        </is>
      </c>
      <c r="D2116" t="inlineStr">
        <is>
          <t>работник 479</t>
        </is>
      </c>
      <c r="E2116" s="1" t="inlineStr">
        <is>
          <t>ОБЩЕСТВО С ОГРАНИЧЕННОЙ ОТВЕТСТВЕННОСТЬЮ "АМУР ЗОЛОТО"</t>
        </is>
      </c>
      <c r="F2116" s="1" t="inlineStr">
        <is>
          <t>2708001686</t>
        </is>
      </c>
      <c r="G2116" s="1" t="inlineStr">
        <is>
          <t>Машинист подземных самоходных машин</t>
        </is>
      </c>
      <c r="H2116" s="1" t="inlineStr">
        <is>
          <t>ООО "Амур Золото"</t>
        </is>
      </c>
      <c r="I2116" s="1" t="inlineStr">
        <is>
          <t>2708001686</t>
        </is>
      </c>
      <c r="J2116" s="1" t="inlineStr">
        <is>
          <t>ОТ № ЮГОК ПГУ 25-28</t>
        </is>
      </c>
      <c r="K2116" s="1" t="inlineStr">
        <is>
          <t>Использование (применение) средств индивидуальной защиты</t>
        </is>
      </c>
      <c r="L2116" s="1" t="inlineStr">
        <is>
          <t>05.02.2026</t>
        </is>
      </c>
      <c r="M2116" s="1" t="inlineStr">
        <is>
          <t>Успешно</t>
        </is>
      </c>
      <c r="N2116" s="1" t="inlineStr">
        <is>
          <t>11.02.2026</t>
        </is>
      </c>
      <c r="O2116" s="1" t="inlineStr"/>
      <c r="P2116" s="1" t="inlineStr"/>
      <c r="Q2116" s="1" t="inlineStr">
        <is>
          <t>Пользовательский интерфейс</t>
        </is>
      </c>
    </row>
    <row r="2117">
      <c r="B2117" s="1" t="inlineStr">
        <is>
          <t>173160801</t>
        </is>
      </c>
      <c r="C2117" s="1" t="inlineStr">
        <is>
          <t>12768377</t>
        </is>
      </c>
      <c r="D2117" t="inlineStr">
        <is>
          <t>работник 479</t>
        </is>
      </c>
      <c r="E2117" s="1" t="inlineStr">
        <is>
          <t>ОБЩЕСТВО С ОГРАНИЧЕННОЙ ОТВЕТСТВЕННОСТЬЮ "АМУР ЗОЛОТО"</t>
        </is>
      </c>
      <c r="F2117" s="1" t="inlineStr">
        <is>
          <t>2708001686</t>
        </is>
      </c>
      <c r="G2117" s="1" t="inlineStr">
        <is>
          <t>Машинист подземных самоходных машин</t>
        </is>
      </c>
      <c r="H2117" s="1" t="inlineStr">
        <is>
          <t>ООО "Амур Золото"</t>
        </is>
      </c>
      <c r="I2117" s="1" t="inlineStr">
        <is>
          <t>2708001686</t>
        </is>
      </c>
      <c r="J2117" s="1" t="inlineStr">
        <is>
          <t>ОТ № ЮГОК ПГУ 25-28</t>
        </is>
      </c>
      <c r="K211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117" s="1" t="inlineStr">
        <is>
          <t>05.02.2026</t>
        </is>
      </c>
      <c r="M2117" s="1" t="inlineStr">
        <is>
          <t>Успешно</t>
        </is>
      </c>
      <c r="N2117" s="1" t="inlineStr">
        <is>
          <t>11.02.2026</t>
        </is>
      </c>
      <c r="O2117" s="1" t="inlineStr"/>
      <c r="P2117" s="1" t="inlineStr"/>
      <c r="Q2117" s="1" t="inlineStr">
        <is>
          <t>Пользовательский интерфейс</t>
        </is>
      </c>
    </row>
    <row r="2118">
      <c r="B2118" s="1" t="inlineStr">
        <is>
          <t>173160802</t>
        </is>
      </c>
      <c r="C2118" s="1" t="inlineStr">
        <is>
          <t>12768377</t>
        </is>
      </c>
      <c r="D2118" t="inlineStr">
        <is>
          <t>работник 632</t>
        </is>
      </c>
      <c r="E2118" s="1" t="inlineStr">
        <is>
          <t>ОБЩЕСТВО С ОГРАНИЧЕННОЙ ОТВЕТСТВЕННОСТЬЮ "АМУР ЗОЛОТО"</t>
        </is>
      </c>
      <c r="F2118" s="1" t="inlineStr">
        <is>
          <t>2708001686</t>
        </is>
      </c>
      <c r="G2118" s="1" t="inlineStr">
        <is>
          <t>Горный диспетчер</t>
        </is>
      </c>
      <c r="H2118" s="1" t="inlineStr">
        <is>
          <t>ООО "Амур Золото"</t>
        </is>
      </c>
      <c r="I2118" s="1" t="inlineStr">
        <is>
          <t>2708001686</t>
        </is>
      </c>
      <c r="J2118" s="1" t="inlineStr">
        <is>
          <t>ОТ № ЮГОК ПГУ 25-28</t>
        </is>
      </c>
      <c r="K2118" s="1" t="inlineStr">
        <is>
          <t>Использование (применение) средств индивидуальной защиты</t>
        </is>
      </c>
      <c r="L2118" s="1" t="inlineStr">
        <is>
          <t>05.02.2026</t>
        </is>
      </c>
      <c r="M2118" s="1" t="inlineStr">
        <is>
          <t>Успешно</t>
        </is>
      </c>
      <c r="N2118" s="1" t="inlineStr">
        <is>
          <t>11.02.2026</t>
        </is>
      </c>
      <c r="O2118" s="1" t="inlineStr"/>
      <c r="P2118" s="1" t="inlineStr"/>
      <c r="Q2118" s="1" t="inlineStr">
        <is>
          <t>Пользовательский интерфейс</t>
        </is>
      </c>
    </row>
    <row r="2119">
      <c r="B2119" s="1" t="inlineStr">
        <is>
          <t>173160803</t>
        </is>
      </c>
      <c r="C2119" s="1" t="inlineStr">
        <is>
          <t>12768377</t>
        </is>
      </c>
      <c r="D2119" t="inlineStr">
        <is>
          <t>работник 632</t>
        </is>
      </c>
      <c r="E2119" s="1" t="inlineStr">
        <is>
          <t>ОБЩЕСТВО С ОГРАНИЧЕННОЙ ОТВЕТСТВЕННОСТЬЮ "АМУР ЗОЛОТО"</t>
        </is>
      </c>
      <c r="F2119" s="1" t="inlineStr">
        <is>
          <t>2708001686</t>
        </is>
      </c>
      <c r="G2119" s="1" t="inlineStr">
        <is>
          <t>Горный диспетчер</t>
        </is>
      </c>
      <c r="H2119" s="1" t="inlineStr">
        <is>
          <t>ООО "Амур Золото"</t>
        </is>
      </c>
      <c r="I2119" s="1" t="inlineStr">
        <is>
          <t>2708001686</t>
        </is>
      </c>
      <c r="J2119" s="1" t="inlineStr">
        <is>
          <t>ОТ № ЮГОК ПГУ 25-28</t>
        </is>
      </c>
      <c r="K211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119" s="1" t="inlineStr">
        <is>
          <t>05.02.2026</t>
        </is>
      </c>
      <c r="M2119" s="1" t="inlineStr">
        <is>
          <t>Успешно</t>
        </is>
      </c>
      <c r="N2119" s="1" t="inlineStr">
        <is>
          <t>11.02.2026</t>
        </is>
      </c>
      <c r="O2119" s="1" t="inlineStr"/>
      <c r="P2119" s="1" t="inlineStr"/>
      <c r="Q2119" s="1" t="inlineStr">
        <is>
          <t>Пользовательский интерфейс</t>
        </is>
      </c>
    </row>
    <row r="2120">
      <c r="B2120" s="1" t="inlineStr">
        <is>
          <t>173160804</t>
        </is>
      </c>
      <c r="C2120" s="1" t="inlineStr">
        <is>
          <t>12768377</t>
        </is>
      </c>
      <c r="D2120" t="inlineStr">
        <is>
          <t>работник 633</t>
        </is>
      </c>
      <c r="E2120" s="1" t="inlineStr">
        <is>
          <t>ОБЩЕСТВО С ОГРАНИЧЕННОЙ ОТВЕТСТВЕННОСТЬЮ "АМУР ЗОЛОТО"</t>
        </is>
      </c>
      <c r="F2120" s="1" t="inlineStr">
        <is>
          <t>2708001686</t>
        </is>
      </c>
      <c r="G2120" s="1" t="inlineStr">
        <is>
          <t>Помощник машиниста самоходной буровой установки (с исполнением обязанностей пробоотборщика) (Очистное)</t>
        </is>
      </c>
      <c r="H2120" s="1" t="inlineStr">
        <is>
          <t>ООО "Амур Золото"</t>
        </is>
      </c>
      <c r="I2120" s="1" t="inlineStr">
        <is>
          <t>2708001686</t>
        </is>
      </c>
      <c r="J2120" s="1" t="inlineStr">
        <is>
          <t>ОТ № ЮГОК ПГУ 25-28</t>
        </is>
      </c>
      <c r="K2120" s="1" t="inlineStr">
        <is>
          <t>Использование (применение) средств индивидуальной защиты</t>
        </is>
      </c>
      <c r="L2120" s="1" t="inlineStr">
        <is>
          <t>05.02.2026</t>
        </is>
      </c>
      <c r="M2120" s="1" t="inlineStr">
        <is>
          <t>Успешно</t>
        </is>
      </c>
      <c r="N2120" s="1" t="inlineStr">
        <is>
          <t>11.02.2026</t>
        </is>
      </c>
      <c r="O2120" s="1" t="inlineStr"/>
      <c r="P2120" s="1" t="inlineStr"/>
      <c r="Q2120" s="1" t="inlineStr">
        <is>
          <t>Пользовательский интерфейс</t>
        </is>
      </c>
    </row>
    <row r="2121">
      <c r="B2121" s="1" t="inlineStr">
        <is>
          <t>173160805</t>
        </is>
      </c>
      <c r="C2121" s="1" t="inlineStr">
        <is>
          <t>12768377</t>
        </is>
      </c>
      <c r="D2121" t="inlineStr">
        <is>
          <t>работник 633</t>
        </is>
      </c>
      <c r="E2121" s="1" t="inlineStr">
        <is>
          <t>ОБЩЕСТВО С ОГРАНИЧЕННОЙ ОТВЕТСТВЕННОСТЬЮ "АМУР ЗОЛОТО"</t>
        </is>
      </c>
      <c r="F2121" s="1" t="inlineStr">
        <is>
          <t>2708001686</t>
        </is>
      </c>
      <c r="G2121" s="1" t="inlineStr">
        <is>
          <t>Помощник машиниста самоходной буровой установки (с исполнением обязанностей пробоотборщика) (Очистное)</t>
        </is>
      </c>
      <c r="H2121" s="1" t="inlineStr">
        <is>
          <t>ООО "Амур Золото"</t>
        </is>
      </c>
      <c r="I2121" s="1" t="inlineStr">
        <is>
          <t>2708001686</t>
        </is>
      </c>
      <c r="J2121" s="1" t="inlineStr">
        <is>
          <t>ОТ № ЮГОК ПГУ 25-28</t>
        </is>
      </c>
      <c r="K212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121" s="1" t="inlineStr">
        <is>
          <t>05.02.2026</t>
        </is>
      </c>
      <c r="M2121" s="1" t="inlineStr">
        <is>
          <t>Успешно</t>
        </is>
      </c>
      <c r="N2121" s="1" t="inlineStr">
        <is>
          <t>11.02.2026</t>
        </is>
      </c>
      <c r="O2121" s="1" t="inlineStr"/>
      <c r="P2121" s="1" t="inlineStr"/>
      <c r="Q2121" s="1" t="inlineStr">
        <is>
          <t>Пользовательский интерфейс</t>
        </is>
      </c>
    </row>
    <row r="2122">
      <c r="B2122" s="1" t="inlineStr">
        <is>
          <t>173160806</t>
        </is>
      </c>
      <c r="C2122" s="1" t="inlineStr">
        <is>
          <t>12768377</t>
        </is>
      </c>
      <c r="D2122" t="inlineStr">
        <is>
          <t>работник 633</t>
        </is>
      </c>
      <c r="E2122" s="1" t="inlineStr">
        <is>
          <t>ОБЩЕСТВО С ОГРАНИЧЕННОЙ ОТВЕТСТВЕННОСТЬЮ "АМУР ЗОЛОТО"</t>
        </is>
      </c>
      <c r="F2122" s="1" t="inlineStr">
        <is>
          <t>2708001686</t>
        </is>
      </c>
      <c r="G2122" s="1" t="inlineStr">
        <is>
          <t>Помощник машиниста самоходной буровой установки (с исполнением обязанностей пробоотборщика) (Очистное)</t>
        </is>
      </c>
      <c r="H2122" s="1" t="inlineStr">
        <is>
          <t>ООО "Амур Золото"</t>
        </is>
      </c>
      <c r="I2122" s="1" t="inlineStr">
        <is>
          <t>2708001686</t>
        </is>
      </c>
      <c r="J2122" s="1" t="inlineStr">
        <is>
          <t>ОТ № ЮГОК ПГУ 25-28</t>
        </is>
      </c>
      <c r="K2122" s="1" t="inlineStr">
        <is>
          <t>Безопасные методы и приемы выполнения работ в ограниченных и замкнутых пространствах (ОЗП)</t>
        </is>
      </c>
      <c r="L2122" s="1" t="inlineStr">
        <is>
          <t>05.02.2026</t>
        </is>
      </c>
      <c r="M2122" s="1" t="inlineStr">
        <is>
          <t>Успешно</t>
        </is>
      </c>
      <c r="N2122" s="1" t="inlineStr">
        <is>
          <t>11.02.2026</t>
        </is>
      </c>
      <c r="O2122" s="1" t="inlineStr"/>
      <c r="P2122" s="1" t="inlineStr"/>
      <c r="Q2122" s="1" t="inlineStr">
        <is>
          <t>Пользовательский интерфейс</t>
        </is>
      </c>
    </row>
    <row r="2123">
      <c r="B2123" s="1" t="inlineStr">
        <is>
          <t>173160807</t>
        </is>
      </c>
      <c r="C2123" s="1" t="inlineStr">
        <is>
          <t>12768377</t>
        </is>
      </c>
      <c r="D2123" t="inlineStr">
        <is>
          <t>работник 634</t>
        </is>
      </c>
      <c r="E2123" s="1" t="inlineStr">
        <is>
          <t>ОБЩЕСТВО С ОГРАНИЧЕННОЙ ОТВЕТСТВЕННОСТЬЮ "АМУР ЗОЛОТО"</t>
        </is>
      </c>
      <c r="F2123" s="1" t="inlineStr">
        <is>
          <t>2708001686</t>
        </is>
      </c>
      <c r="G2123" s="1" t="inlineStr">
        <is>
          <t>Помощник машиниста самоходной буровой установки (с исполнением обязанностей пробоотборщика) (Очистное)</t>
        </is>
      </c>
      <c r="H2123" s="1" t="inlineStr">
        <is>
          <t>ООО "Амур Золото"</t>
        </is>
      </c>
      <c r="I2123" s="1" t="inlineStr">
        <is>
          <t>2708001686</t>
        </is>
      </c>
      <c r="J2123" s="1" t="inlineStr">
        <is>
          <t>ОТ № ЮГОК ПГУ 25-28</t>
        </is>
      </c>
      <c r="K2123" s="1" t="inlineStr">
        <is>
          <t>Использование (применение) средств индивидуальной защиты</t>
        </is>
      </c>
      <c r="L2123" s="1" t="inlineStr">
        <is>
          <t>05.02.2026</t>
        </is>
      </c>
      <c r="M2123" s="1" t="inlineStr">
        <is>
          <t>Успешно</t>
        </is>
      </c>
      <c r="N2123" s="1" t="inlineStr">
        <is>
          <t>11.02.2026</t>
        </is>
      </c>
      <c r="O2123" s="1" t="inlineStr"/>
      <c r="P2123" s="1" t="inlineStr"/>
      <c r="Q2123" s="1" t="inlineStr">
        <is>
          <t>Пользовательский интерфейс</t>
        </is>
      </c>
    </row>
    <row r="2124">
      <c r="B2124" s="1" t="inlineStr">
        <is>
          <t>173160808</t>
        </is>
      </c>
      <c r="C2124" s="1" t="inlineStr">
        <is>
          <t>12768377</t>
        </is>
      </c>
      <c r="D2124" t="inlineStr">
        <is>
          <t>работник 634</t>
        </is>
      </c>
      <c r="E2124" s="1" t="inlineStr">
        <is>
          <t>ОБЩЕСТВО С ОГРАНИЧЕННОЙ ОТВЕТСТВЕННОСТЬЮ "АМУР ЗОЛОТО"</t>
        </is>
      </c>
      <c r="F2124" s="1" t="inlineStr">
        <is>
          <t>2708001686</t>
        </is>
      </c>
      <c r="G2124" s="1" t="inlineStr">
        <is>
          <t>Помощник машиниста самоходной буровой установки (с исполнением обязанностей пробоотборщика) (Очистное)</t>
        </is>
      </c>
      <c r="H2124" s="1" t="inlineStr">
        <is>
          <t>ООО "Амур Золото"</t>
        </is>
      </c>
      <c r="I2124" s="1" t="inlineStr">
        <is>
          <t>2708001686</t>
        </is>
      </c>
      <c r="J2124" s="1" t="inlineStr">
        <is>
          <t>ОТ № ЮГОК ПГУ 25-28</t>
        </is>
      </c>
      <c r="K212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124" s="1" t="inlineStr">
        <is>
          <t>05.02.2026</t>
        </is>
      </c>
      <c r="M2124" s="1" t="inlineStr">
        <is>
          <t>Успешно</t>
        </is>
      </c>
      <c r="N2124" s="1" t="inlineStr">
        <is>
          <t>11.02.2026</t>
        </is>
      </c>
      <c r="O2124" s="1" t="inlineStr"/>
      <c r="P2124" s="1" t="inlineStr"/>
      <c r="Q2124" s="1" t="inlineStr">
        <is>
          <t>Пользовательский интерфейс</t>
        </is>
      </c>
    </row>
    <row r="2125">
      <c r="B2125" s="1" t="inlineStr">
        <is>
          <t>173160809</t>
        </is>
      </c>
      <c r="C2125" s="1" t="inlineStr">
        <is>
          <t>12768377</t>
        </is>
      </c>
      <c r="D2125" t="inlineStr">
        <is>
          <t>работник 634</t>
        </is>
      </c>
      <c r="E2125" s="1" t="inlineStr">
        <is>
          <t>ОБЩЕСТВО С ОГРАНИЧЕННОЙ ОТВЕТСТВЕННОСТЬЮ "АМУР ЗОЛОТО"</t>
        </is>
      </c>
      <c r="F2125" s="1" t="inlineStr">
        <is>
          <t>2708001686</t>
        </is>
      </c>
      <c r="G2125" s="1" t="inlineStr">
        <is>
          <t>Помощник машиниста самоходной буровой установки (с исполнением обязанностей пробоотборщика) (Очистное)</t>
        </is>
      </c>
      <c r="H2125" s="1" t="inlineStr">
        <is>
          <t>ООО "Амур Золото"</t>
        </is>
      </c>
      <c r="I2125" s="1" t="inlineStr">
        <is>
          <t>2708001686</t>
        </is>
      </c>
      <c r="J2125" s="1" t="inlineStr">
        <is>
          <t>ОТ № ЮГОК ПГУ 25-28</t>
        </is>
      </c>
      <c r="K2125" s="1" t="inlineStr">
        <is>
          <t>Безопасные методы и приемы выполнения работ в ограниченных и замкнутых пространствах (ОЗП)</t>
        </is>
      </c>
      <c r="L2125" s="1" t="inlineStr">
        <is>
          <t>05.02.2026</t>
        </is>
      </c>
      <c r="M2125" s="1" t="inlineStr">
        <is>
          <t>Успешно</t>
        </is>
      </c>
      <c r="N2125" s="1" t="inlineStr">
        <is>
          <t>11.02.2026</t>
        </is>
      </c>
      <c r="O2125" s="1" t="inlineStr"/>
      <c r="P2125" s="1" t="inlineStr"/>
      <c r="Q2125" s="1" t="inlineStr">
        <is>
          <t>Пользовательский интерфейс</t>
        </is>
      </c>
    </row>
    <row r="2126">
      <c r="B2126" s="1" t="inlineStr">
        <is>
          <t>175079852</t>
        </is>
      </c>
      <c r="C2126" s="1" t="inlineStr">
        <is>
          <t>12845512</t>
        </is>
      </c>
      <c r="D2126" t="inlineStr">
        <is>
          <t>работник 37</t>
        </is>
      </c>
      <c r="E2126" s="1" t="inlineStr">
        <is>
          <t>ОБЩЕСТВО С ОГРАНИЧЕННОЙ ОТВЕТСТВЕННОСТЬЮ "АМУР ЗОЛОТО"</t>
        </is>
      </c>
      <c r="F2126" s="1" t="inlineStr">
        <is>
          <t>2708001686</t>
        </is>
      </c>
      <c r="G2126" s="1" t="inlineStr">
        <is>
          <t>Дробильщик</t>
        </is>
      </c>
      <c r="H2126" s="1" t="inlineStr">
        <is>
          <t>ООО "Амур Золото"</t>
        </is>
      </c>
      <c r="I2126" s="1" t="inlineStr">
        <is>
          <t>2708001686</t>
        </is>
      </c>
      <c r="J2126" s="1" t="inlineStr">
        <is>
          <t>ОТ № ЮГОК ПАЛ 26-02</t>
        </is>
      </c>
      <c r="K2126" s="1" t="inlineStr">
        <is>
          <t>Использование (применение) средств индивидуальной защиты</t>
        </is>
      </c>
      <c r="L2126" s="1" t="inlineStr">
        <is>
          <t>15.02.2026</t>
        </is>
      </c>
      <c r="M2126" s="1" t="inlineStr">
        <is>
          <t>Успешно</t>
        </is>
      </c>
      <c r="N2126" s="1" t="inlineStr">
        <is>
          <t>19.02.2026</t>
        </is>
      </c>
      <c r="O2126" s="1" t="inlineStr"/>
      <c r="P2126" s="1" t="inlineStr"/>
      <c r="Q2126" s="1" t="inlineStr">
        <is>
          <t>Пользовательский интерфейс</t>
        </is>
      </c>
    </row>
    <row r="2127">
      <c r="B2127" s="1" t="inlineStr">
        <is>
          <t>175079853</t>
        </is>
      </c>
      <c r="C2127" s="1" t="inlineStr">
        <is>
          <t>12845512</t>
        </is>
      </c>
      <c r="D2127" t="inlineStr">
        <is>
          <t>работник 37</t>
        </is>
      </c>
      <c r="E2127" s="1" t="inlineStr">
        <is>
          <t>ОБЩЕСТВО С ОГРАНИЧЕННОЙ ОТВЕТСТВЕННОСТЬЮ "АМУР ЗОЛОТО"</t>
        </is>
      </c>
      <c r="F2127" s="1" t="inlineStr">
        <is>
          <t>2708001686</t>
        </is>
      </c>
      <c r="G2127" s="1" t="inlineStr">
        <is>
          <t>Дробильщик</t>
        </is>
      </c>
      <c r="H2127" s="1" t="inlineStr">
        <is>
          <t>ООО "Амур Золото"</t>
        </is>
      </c>
      <c r="I2127" s="1" t="inlineStr">
        <is>
          <t>2708001686</t>
        </is>
      </c>
      <c r="J2127" s="1" t="inlineStr">
        <is>
          <t>ОТ № ЮГОК ПАЛ 26-02</t>
        </is>
      </c>
      <c r="K212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127" s="1" t="inlineStr">
        <is>
          <t>15.02.2026</t>
        </is>
      </c>
      <c r="M2127" s="1" t="inlineStr">
        <is>
          <t>Успешно</t>
        </is>
      </c>
      <c r="N2127" s="1" t="inlineStr">
        <is>
          <t>19.02.2026</t>
        </is>
      </c>
      <c r="O2127" s="1" t="inlineStr"/>
      <c r="P2127" s="1" t="inlineStr"/>
      <c r="Q2127" s="1" t="inlineStr">
        <is>
          <t>Пользовательский интерфейс</t>
        </is>
      </c>
    </row>
    <row r="2128">
      <c r="B2128" s="1" t="inlineStr">
        <is>
          <t>175826198</t>
        </is>
      </c>
      <c r="C2128" s="1" t="inlineStr">
        <is>
          <t>12935952</t>
        </is>
      </c>
      <c r="D2128" t="inlineStr">
        <is>
          <t>работник 635</t>
        </is>
      </c>
      <c r="E2128" s="1" t="inlineStr">
        <is>
          <t>ОБЩЕСТВО С ОГРАНИЧЕННОЙ ОТВЕТСТВЕННОСТЬЮ "АМУР ЗОЛОТО"</t>
        </is>
      </c>
      <c r="F2128" s="1" t="inlineStr">
        <is>
          <t>2708001686</t>
        </is>
      </c>
      <c r="G2128" s="1" t="inlineStr">
        <is>
          <t>Раздатчик взрывчатых материалов</t>
        </is>
      </c>
      <c r="H2128" s="1" t="inlineStr">
        <is>
          <t>ООО "Амур Золото"</t>
        </is>
      </c>
      <c r="I2128" s="1" t="inlineStr">
        <is>
          <t>2708001686</t>
        </is>
      </c>
      <c r="J2128" s="1" t="inlineStr">
        <is>
          <t>ОТ № ЮГОК ВМ 26-01</t>
        </is>
      </c>
      <c r="K2128" s="1" t="inlineStr">
        <is>
          <t>Использование (применение) средств индивидуальной защиты</t>
        </is>
      </c>
      <c r="L2128" s="1" t="inlineStr">
        <is>
          <t>19.02.2026</t>
        </is>
      </c>
      <c r="M2128" s="1" t="inlineStr">
        <is>
          <t>Успешно</t>
        </is>
      </c>
      <c r="N2128" s="1" t="inlineStr">
        <is>
          <t>24.02.2026</t>
        </is>
      </c>
      <c r="O2128" s="1" t="inlineStr"/>
      <c r="P2128" s="1" t="inlineStr"/>
      <c r="Q2128" s="1" t="inlineStr">
        <is>
          <t>Пользовательский интерфейс</t>
        </is>
      </c>
    </row>
    <row r="2129">
      <c r="B2129" s="1" t="inlineStr">
        <is>
          <t>175826199</t>
        </is>
      </c>
      <c r="C2129" s="1" t="inlineStr">
        <is>
          <t>12935952</t>
        </is>
      </c>
      <c r="D2129" t="inlineStr">
        <is>
          <t>работник 635</t>
        </is>
      </c>
      <c r="E2129" s="1" t="inlineStr">
        <is>
          <t>ОБЩЕСТВО С ОГРАНИЧЕННОЙ ОТВЕТСТВЕННОСТЬЮ "АМУР ЗОЛОТО"</t>
        </is>
      </c>
      <c r="F2129" s="1" t="inlineStr">
        <is>
          <t>2708001686</t>
        </is>
      </c>
      <c r="G2129" s="1" t="inlineStr">
        <is>
          <t>Раздатчик взрывчатых материалов</t>
        </is>
      </c>
      <c r="H2129" s="1" t="inlineStr">
        <is>
          <t>ООО "Амур Золото"</t>
        </is>
      </c>
      <c r="I2129" s="1" t="inlineStr">
        <is>
          <t>2708001686</t>
        </is>
      </c>
      <c r="J2129" s="1" t="inlineStr">
        <is>
          <t>ОТ № ЮГОК ВМ 26-01</t>
        </is>
      </c>
      <c r="K212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129" s="1" t="inlineStr">
        <is>
          <t>19.02.2026</t>
        </is>
      </c>
      <c r="M2129" s="1" t="inlineStr">
        <is>
          <t>Успешно</t>
        </is>
      </c>
      <c r="N2129" s="1" t="inlineStr">
        <is>
          <t>24.02.2026</t>
        </is>
      </c>
      <c r="O2129" s="1" t="inlineStr"/>
      <c r="P2129" s="1" t="inlineStr"/>
      <c r="Q2129" s="1" t="inlineStr">
        <is>
          <t>Пользовательский интерфейс</t>
        </is>
      </c>
    </row>
    <row r="2130">
      <c r="B2130" s="1" t="inlineStr">
        <is>
          <t>175826200</t>
        </is>
      </c>
      <c r="C2130" s="1" t="inlineStr">
        <is>
          <t>12935952</t>
        </is>
      </c>
      <c r="D2130" t="inlineStr">
        <is>
          <t>работник 636</t>
        </is>
      </c>
      <c r="E2130" s="1" t="inlineStr">
        <is>
          <t>ОБЩЕСТВО С ОГРАНИЧЕННОЙ ОТВЕТСТВЕННОСТЬЮ "АМУР ЗОЛОТО"</t>
        </is>
      </c>
      <c r="F2130" s="1" t="inlineStr">
        <is>
          <t>2708001686</t>
        </is>
      </c>
      <c r="G2130" s="1" t="inlineStr">
        <is>
          <t>Грузчик</t>
        </is>
      </c>
      <c r="H2130" s="1" t="inlineStr">
        <is>
          <t>ООО "Амур Золото"</t>
        </is>
      </c>
      <c r="I2130" s="1" t="inlineStr">
        <is>
          <t>2708001686</t>
        </is>
      </c>
      <c r="J2130" s="1" t="inlineStr">
        <is>
          <t>ОТ № ЮГОК ЗИОФ 26-01</t>
        </is>
      </c>
      <c r="K2130" s="1" t="inlineStr">
        <is>
          <t>Использование (применение) средств индивидуальной защиты</t>
        </is>
      </c>
      <c r="L2130" s="1" t="inlineStr">
        <is>
          <t>19.02.2026</t>
        </is>
      </c>
      <c r="M2130" s="1" t="inlineStr">
        <is>
          <t>Успешно</t>
        </is>
      </c>
      <c r="N2130" s="1" t="inlineStr">
        <is>
          <t>24.02.2026</t>
        </is>
      </c>
      <c r="O2130" s="1" t="inlineStr"/>
      <c r="P2130" s="1" t="inlineStr"/>
      <c r="Q2130" s="1" t="inlineStr">
        <is>
          <t>Пользовательский интерфейс</t>
        </is>
      </c>
    </row>
    <row r="2131">
      <c r="B2131" s="1" t="inlineStr">
        <is>
          <t>175826201</t>
        </is>
      </c>
      <c r="C2131" s="1" t="inlineStr">
        <is>
          <t>12935952</t>
        </is>
      </c>
      <c r="D2131" t="inlineStr">
        <is>
          <t>работник 636</t>
        </is>
      </c>
      <c r="E2131" s="1" t="inlineStr">
        <is>
          <t>ОБЩЕСТВО С ОГРАНИЧЕННОЙ ОТВЕТСТВЕННОСТЬЮ "АМУР ЗОЛОТО"</t>
        </is>
      </c>
      <c r="F2131" s="1" t="inlineStr">
        <is>
          <t>2708001686</t>
        </is>
      </c>
      <c r="G2131" s="1" t="inlineStr">
        <is>
          <t>Грузчик</t>
        </is>
      </c>
      <c r="H2131" s="1" t="inlineStr">
        <is>
          <t>ООО "Амур Золото"</t>
        </is>
      </c>
      <c r="I2131" s="1" t="inlineStr">
        <is>
          <t>2708001686</t>
        </is>
      </c>
      <c r="J2131" s="1" t="inlineStr">
        <is>
          <t>ОТ № ЮГОК ЗИОФ 26-01</t>
        </is>
      </c>
      <c r="K213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131" s="1" t="inlineStr">
        <is>
          <t>19.02.2026</t>
        </is>
      </c>
      <c r="M2131" s="1" t="inlineStr">
        <is>
          <t>Успешно</t>
        </is>
      </c>
      <c r="N2131" s="1" t="inlineStr">
        <is>
          <t>24.02.2026</t>
        </is>
      </c>
      <c r="O2131" s="1" t="inlineStr"/>
      <c r="P2131" s="1" t="inlineStr"/>
      <c r="Q2131" s="1" t="inlineStr">
        <is>
          <t>Пользовательский интерфейс</t>
        </is>
      </c>
    </row>
    <row r="2132">
      <c r="B2132" s="1" t="inlineStr">
        <is>
          <t>175826202</t>
        </is>
      </c>
      <c r="C2132" s="1" t="inlineStr">
        <is>
          <t>12935952</t>
        </is>
      </c>
      <c r="D2132" t="inlineStr">
        <is>
          <t>работник 637</t>
        </is>
      </c>
      <c r="E2132" s="1" t="inlineStr">
        <is>
          <t>ОБЩЕСТВО С ОГРАНИЧЕННОЙ ОТВЕТСТВЕННОСТЬЮ "АМУР ЗОЛОТО"</t>
        </is>
      </c>
      <c r="F2132" s="1" t="inlineStr">
        <is>
          <t>2708001686</t>
        </is>
      </c>
      <c r="G2132" s="1" t="inlineStr">
        <is>
          <t>Дробильщик</t>
        </is>
      </c>
      <c r="H2132" s="1" t="inlineStr">
        <is>
          <t>ООО "Амур Золото"</t>
        </is>
      </c>
      <c r="I2132" s="1" t="inlineStr">
        <is>
          <t>2708001686</t>
        </is>
      </c>
      <c r="J2132" s="1" t="inlineStr">
        <is>
          <t>ОТ № ЮГОК ЗИОФ 26-01</t>
        </is>
      </c>
      <c r="K2132" s="1" t="inlineStr">
        <is>
          <t>Использование (применение) средств индивидуальной защиты</t>
        </is>
      </c>
      <c r="L2132" s="1" t="inlineStr">
        <is>
          <t>19.02.2026</t>
        </is>
      </c>
      <c r="M2132" s="1" t="inlineStr">
        <is>
          <t>Успешно</t>
        </is>
      </c>
      <c r="N2132" s="1" t="inlineStr">
        <is>
          <t>24.02.2026</t>
        </is>
      </c>
      <c r="O2132" s="1" t="inlineStr"/>
      <c r="P2132" s="1" t="inlineStr"/>
      <c r="Q2132" s="1" t="inlineStr">
        <is>
          <t>Пользовательский интерфейс</t>
        </is>
      </c>
    </row>
    <row r="2133">
      <c r="B2133" s="1" t="inlineStr">
        <is>
          <t>175826203</t>
        </is>
      </c>
      <c r="C2133" s="1" t="inlineStr">
        <is>
          <t>12935952</t>
        </is>
      </c>
      <c r="D2133" t="inlineStr">
        <is>
          <t>работник 637</t>
        </is>
      </c>
      <c r="E2133" s="1" t="inlineStr">
        <is>
          <t>ОБЩЕСТВО С ОГРАНИЧЕННОЙ ОТВЕТСТВЕННОСТЬЮ "АМУР ЗОЛОТО"</t>
        </is>
      </c>
      <c r="F2133" s="1" t="inlineStr">
        <is>
          <t>2708001686</t>
        </is>
      </c>
      <c r="G2133" s="1" t="inlineStr">
        <is>
          <t>Дробильщик</t>
        </is>
      </c>
      <c r="H2133" s="1" t="inlineStr">
        <is>
          <t>ООО "Амур Золото"</t>
        </is>
      </c>
      <c r="I2133" s="1" t="inlineStr">
        <is>
          <t>2708001686</t>
        </is>
      </c>
      <c r="J2133" s="1" t="inlineStr">
        <is>
          <t>ОТ № ЮГОК ЗИОФ 26-01</t>
        </is>
      </c>
      <c r="K213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133" s="1" t="inlineStr">
        <is>
          <t>19.02.2026</t>
        </is>
      </c>
      <c r="M2133" s="1" t="inlineStr">
        <is>
          <t>Успешно</t>
        </is>
      </c>
      <c r="N2133" s="1" t="inlineStr">
        <is>
          <t>24.02.2026</t>
        </is>
      </c>
      <c r="O2133" s="1" t="inlineStr"/>
      <c r="P2133" s="1" t="inlineStr"/>
      <c r="Q2133" s="1" t="inlineStr">
        <is>
          <t>Пользовательский интерфейс</t>
        </is>
      </c>
    </row>
    <row r="2134">
      <c r="B2134" s="1" t="inlineStr">
        <is>
          <t>175826204</t>
        </is>
      </c>
      <c r="C2134" s="1" t="inlineStr">
        <is>
          <t>12935952</t>
        </is>
      </c>
      <c r="D2134" t="inlineStr">
        <is>
          <t>работник 638</t>
        </is>
      </c>
      <c r="E2134" s="1" t="inlineStr">
        <is>
          <t>ОБЩЕСТВО С ОГРАНИЧЕННОЙ ОТВЕТСТВЕННОСТЬЮ "АМУР ЗОЛОТО"</t>
        </is>
      </c>
      <c r="F2134" s="1" t="inlineStr">
        <is>
          <t>2708001686</t>
        </is>
      </c>
      <c r="G2134" s="1" t="inlineStr">
        <is>
          <t>Грузчик</t>
        </is>
      </c>
      <c r="H2134" s="1" t="inlineStr">
        <is>
          <t>ООО "Амур Золото"</t>
        </is>
      </c>
      <c r="I2134" s="1" t="inlineStr">
        <is>
          <t>2708001686</t>
        </is>
      </c>
      <c r="J2134" s="1" t="inlineStr">
        <is>
          <t>ОТ № ЮГОК ЗИОФ 26-01</t>
        </is>
      </c>
      <c r="K2134" s="1" t="inlineStr">
        <is>
          <t>Использование (применение) средств индивидуальной защиты</t>
        </is>
      </c>
      <c r="L2134" s="1" t="inlineStr">
        <is>
          <t>19.02.2026</t>
        </is>
      </c>
      <c r="M2134" s="1" t="inlineStr">
        <is>
          <t>Успешно</t>
        </is>
      </c>
      <c r="N2134" s="1" t="inlineStr">
        <is>
          <t>24.02.2026</t>
        </is>
      </c>
      <c r="O2134" s="1" t="inlineStr"/>
      <c r="P2134" s="1" t="inlineStr"/>
      <c r="Q2134" s="1" t="inlineStr">
        <is>
          <t>Пользовательский интерфейс</t>
        </is>
      </c>
    </row>
    <row r="2135">
      <c r="B2135" s="1" t="inlineStr">
        <is>
          <t>175826205</t>
        </is>
      </c>
      <c r="C2135" s="1" t="inlineStr">
        <is>
          <t>12935952</t>
        </is>
      </c>
      <c r="D2135" t="inlineStr">
        <is>
          <t>работник 638</t>
        </is>
      </c>
      <c r="E2135" s="1" t="inlineStr">
        <is>
          <t>ОБЩЕСТВО С ОГРАНИЧЕННОЙ ОТВЕТСТВЕННОСТЬЮ "АМУР ЗОЛОТО"</t>
        </is>
      </c>
      <c r="F2135" s="1" t="inlineStr">
        <is>
          <t>2708001686</t>
        </is>
      </c>
      <c r="G2135" s="1" t="inlineStr">
        <is>
          <t>Грузчик</t>
        </is>
      </c>
      <c r="H2135" s="1" t="inlineStr">
        <is>
          <t>ООО "Амур Золото"</t>
        </is>
      </c>
      <c r="I2135" s="1" t="inlineStr">
        <is>
          <t>2708001686</t>
        </is>
      </c>
      <c r="J2135" s="1" t="inlineStr">
        <is>
          <t>ОТ № ЮГОК ЗИОФ 26-01</t>
        </is>
      </c>
      <c r="K213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135" s="1" t="inlineStr">
        <is>
          <t>19.02.2026</t>
        </is>
      </c>
      <c r="M2135" s="1" t="inlineStr">
        <is>
          <t>Успешно</t>
        </is>
      </c>
      <c r="N2135" s="1" t="inlineStr">
        <is>
          <t>24.02.2026</t>
        </is>
      </c>
      <c r="O2135" s="1" t="inlineStr"/>
      <c r="P2135" s="1" t="inlineStr"/>
      <c r="Q2135" s="1" t="inlineStr">
        <is>
          <t>Пользовательский интерфейс</t>
        </is>
      </c>
    </row>
    <row r="2136">
      <c r="B2136" s="1" t="inlineStr">
        <is>
          <t>175826206</t>
        </is>
      </c>
      <c r="C2136" s="1" t="inlineStr">
        <is>
          <t>12935952</t>
        </is>
      </c>
      <c r="D2136" t="inlineStr">
        <is>
          <t>работник 639</t>
        </is>
      </c>
      <c r="E2136" s="1" t="inlineStr">
        <is>
          <t>ОБЩЕСТВО С ОГРАНИЧЕННОЙ ОТВЕТСТВЕННОСТЬЮ "АМУР ЗОЛОТО"</t>
        </is>
      </c>
      <c r="F2136" s="1" t="inlineStr">
        <is>
          <t>2708001686</t>
        </is>
      </c>
      <c r="G2136" s="1" t="inlineStr">
        <is>
          <t>Фильтровальщик</t>
        </is>
      </c>
      <c r="H2136" s="1" t="inlineStr">
        <is>
          <t>ООО "Амур Золото"</t>
        </is>
      </c>
      <c r="I2136" s="1" t="inlineStr">
        <is>
          <t>2708001686</t>
        </is>
      </c>
      <c r="J2136" s="1" t="inlineStr">
        <is>
          <t>ОТ № ЮГОК ЗИОФ 26-01</t>
        </is>
      </c>
      <c r="K2136" s="1" t="inlineStr">
        <is>
          <t>Использование (применение) средств индивидуальной защиты</t>
        </is>
      </c>
      <c r="L2136" s="1" t="inlineStr">
        <is>
          <t>19.02.2026</t>
        </is>
      </c>
      <c r="M2136" s="1" t="inlineStr">
        <is>
          <t>Успешно</t>
        </is>
      </c>
      <c r="N2136" s="1" t="inlineStr">
        <is>
          <t>24.02.2026</t>
        </is>
      </c>
      <c r="O2136" s="1" t="inlineStr"/>
      <c r="P2136" s="1" t="inlineStr"/>
      <c r="Q2136" s="1" t="inlineStr">
        <is>
          <t>Пользовательский интерфейс</t>
        </is>
      </c>
    </row>
    <row r="2137">
      <c r="B2137" s="1" t="inlineStr">
        <is>
          <t>175826207</t>
        </is>
      </c>
      <c r="C2137" s="1" t="inlineStr">
        <is>
          <t>12935952</t>
        </is>
      </c>
      <c r="D2137" t="inlineStr">
        <is>
          <t>работник 639</t>
        </is>
      </c>
      <c r="E2137" s="1" t="inlineStr">
        <is>
          <t>ОБЩЕСТВО С ОГРАНИЧЕННОЙ ОТВЕТСТВЕННОСТЬЮ "АМУР ЗОЛОТО"</t>
        </is>
      </c>
      <c r="F2137" s="1" t="inlineStr">
        <is>
          <t>2708001686</t>
        </is>
      </c>
      <c r="G2137" s="1" t="inlineStr">
        <is>
          <t>Фильтровальщик</t>
        </is>
      </c>
      <c r="H2137" s="1" t="inlineStr">
        <is>
          <t>ООО "Амур Золото"</t>
        </is>
      </c>
      <c r="I2137" s="1" t="inlineStr">
        <is>
          <t>2708001686</t>
        </is>
      </c>
      <c r="J2137" s="1" t="inlineStr">
        <is>
          <t>ОТ № ЮГОК ЗИОФ 26-01</t>
        </is>
      </c>
      <c r="K213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137" s="1" t="inlineStr">
        <is>
          <t>19.02.2026</t>
        </is>
      </c>
      <c r="M2137" s="1" t="inlineStr">
        <is>
          <t>Успешно</t>
        </is>
      </c>
      <c r="N2137" s="1" t="inlineStr">
        <is>
          <t>24.02.2026</t>
        </is>
      </c>
      <c r="O2137" s="1" t="inlineStr"/>
      <c r="P2137" s="1" t="inlineStr"/>
      <c r="Q2137" s="1" t="inlineStr">
        <is>
          <t>Пользовательский интерфейс</t>
        </is>
      </c>
    </row>
    <row r="2138">
      <c r="B2138" s="1" t="inlineStr">
        <is>
          <t>175826208</t>
        </is>
      </c>
      <c r="C2138" s="1" t="inlineStr">
        <is>
          <t>12935952</t>
        </is>
      </c>
      <c r="D2138" t="inlineStr">
        <is>
          <t>работник 640</t>
        </is>
      </c>
      <c r="E2138" s="1" t="inlineStr">
        <is>
          <t>ОБЩЕСТВО С ОГРАНИЧЕННОЙ ОТВЕТСТВЕННОСТЬЮ "АМУР ЗОЛОТО"</t>
        </is>
      </c>
      <c r="F2138" s="1" t="inlineStr">
        <is>
          <t>2708001686</t>
        </is>
      </c>
      <c r="G2138" s="1" t="inlineStr">
        <is>
          <t>Аппаратчик-сгустителей</t>
        </is>
      </c>
      <c r="H2138" s="1" t="inlineStr">
        <is>
          <t>ООО "Амур Золото"</t>
        </is>
      </c>
      <c r="I2138" s="1" t="inlineStr">
        <is>
          <t>2708001686</t>
        </is>
      </c>
      <c r="J2138" s="1" t="inlineStr">
        <is>
          <t>ОТ № ЮГОК ЗИОФ 26-01</t>
        </is>
      </c>
      <c r="K2138" s="1" t="inlineStr">
        <is>
          <t>Использование (применение) средств индивидуальной защиты</t>
        </is>
      </c>
      <c r="L2138" s="1" t="inlineStr">
        <is>
          <t>19.02.2026</t>
        </is>
      </c>
      <c r="M2138" s="1" t="inlineStr">
        <is>
          <t>Успешно</t>
        </is>
      </c>
      <c r="N2138" s="1" t="inlineStr">
        <is>
          <t>24.02.2026</t>
        </is>
      </c>
      <c r="O2138" s="1" t="inlineStr"/>
      <c r="P2138" s="1" t="inlineStr"/>
      <c r="Q2138" s="1" t="inlineStr">
        <is>
          <t>Пользовательский интерфейс</t>
        </is>
      </c>
    </row>
    <row r="2139">
      <c r="B2139" s="1" t="inlineStr">
        <is>
          <t>175826209</t>
        </is>
      </c>
      <c r="C2139" s="1" t="inlineStr">
        <is>
          <t>12935952</t>
        </is>
      </c>
      <c r="D2139" t="inlineStr">
        <is>
          <t>работник 640</t>
        </is>
      </c>
      <c r="E2139" s="1" t="inlineStr">
        <is>
          <t>ОБЩЕСТВО С ОГРАНИЧЕННОЙ ОТВЕТСТВЕННОСТЬЮ "АМУР ЗОЛОТО"</t>
        </is>
      </c>
      <c r="F2139" s="1" t="inlineStr">
        <is>
          <t>2708001686</t>
        </is>
      </c>
      <c r="G2139" s="1" t="inlineStr">
        <is>
          <t>Аппаратчик-сгустителей</t>
        </is>
      </c>
      <c r="H2139" s="1" t="inlineStr">
        <is>
          <t>ООО "Амур Золото"</t>
        </is>
      </c>
      <c r="I2139" s="1" t="inlineStr">
        <is>
          <t>2708001686</t>
        </is>
      </c>
      <c r="J2139" s="1" t="inlineStr">
        <is>
          <t>ОТ № ЮГОК ЗИОФ 26-01</t>
        </is>
      </c>
      <c r="K213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139" s="1" t="inlineStr">
        <is>
          <t>19.02.2026</t>
        </is>
      </c>
      <c r="M2139" s="1" t="inlineStr">
        <is>
          <t>Успешно</t>
        </is>
      </c>
      <c r="N2139" s="1" t="inlineStr">
        <is>
          <t>24.02.2026</t>
        </is>
      </c>
      <c r="O2139" s="1" t="inlineStr"/>
      <c r="P2139" s="1" t="inlineStr"/>
      <c r="Q2139" s="1" t="inlineStr">
        <is>
          <t>Пользовательский интерфейс</t>
        </is>
      </c>
    </row>
    <row r="2140">
      <c r="B2140" s="1" t="inlineStr">
        <is>
          <t>175826210</t>
        </is>
      </c>
      <c r="C2140" s="1" t="inlineStr">
        <is>
          <t>12935952</t>
        </is>
      </c>
      <c r="D2140" t="inlineStr">
        <is>
          <t>работник 641</t>
        </is>
      </c>
      <c r="E2140" s="1" t="inlineStr">
        <is>
          <t>ОБЩЕСТВО С ОГРАНИЧЕННОЙ ОТВЕТСТВЕННОСТЬЮ "АМУР ЗОЛОТО"</t>
        </is>
      </c>
      <c r="F2140" s="1" t="inlineStr">
        <is>
          <t>2708001686</t>
        </is>
      </c>
      <c r="G2140" s="1" t="inlineStr">
        <is>
          <t>Аппаратчик-гидрометалург</t>
        </is>
      </c>
      <c r="H2140" s="1" t="inlineStr">
        <is>
          <t>ООО "Амур Золото"</t>
        </is>
      </c>
      <c r="I2140" s="1" t="inlineStr">
        <is>
          <t>2708001686</t>
        </is>
      </c>
      <c r="J2140" s="1" t="inlineStr">
        <is>
          <t>ОТ № ЮГОК ЗИОФ 26-01</t>
        </is>
      </c>
      <c r="K2140" s="1" t="inlineStr">
        <is>
          <t>Использование (применение) средств индивидуальной защиты</t>
        </is>
      </c>
      <c r="L2140" s="1" t="inlineStr">
        <is>
          <t>19.02.2026</t>
        </is>
      </c>
      <c r="M2140" s="1" t="inlineStr">
        <is>
          <t>Успешно</t>
        </is>
      </c>
      <c r="N2140" s="1" t="inlineStr">
        <is>
          <t>24.02.2026</t>
        </is>
      </c>
      <c r="O2140" s="1" t="inlineStr"/>
      <c r="P2140" s="1" t="inlineStr"/>
      <c r="Q2140" s="1" t="inlineStr">
        <is>
          <t>Пользовательский интерфейс</t>
        </is>
      </c>
    </row>
    <row r="2141">
      <c r="B2141" s="1" t="inlineStr">
        <is>
          <t>175826211</t>
        </is>
      </c>
      <c r="C2141" s="1" t="inlineStr">
        <is>
          <t>12935952</t>
        </is>
      </c>
      <c r="D2141" t="inlineStr">
        <is>
          <t>работник 641</t>
        </is>
      </c>
      <c r="E2141" s="1" t="inlineStr">
        <is>
          <t>ОБЩЕСТВО С ОГРАНИЧЕННОЙ ОТВЕТСТВЕННОСТЬЮ "АМУР ЗОЛОТО"</t>
        </is>
      </c>
      <c r="F2141" s="1" t="inlineStr">
        <is>
          <t>2708001686</t>
        </is>
      </c>
      <c r="G2141" s="1" t="inlineStr">
        <is>
          <t>Аппаратчик-гидрометалург</t>
        </is>
      </c>
      <c r="H2141" s="1" t="inlineStr">
        <is>
          <t>ООО "Амур Золото"</t>
        </is>
      </c>
      <c r="I2141" s="1" t="inlineStr">
        <is>
          <t>2708001686</t>
        </is>
      </c>
      <c r="J2141" s="1" t="inlineStr">
        <is>
          <t>ОТ № ЮГОК ЗИОФ 26-01</t>
        </is>
      </c>
      <c r="K214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141" s="1" t="inlineStr">
        <is>
          <t>19.02.2026</t>
        </is>
      </c>
      <c r="M2141" s="1" t="inlineStr">
        <is>
          <t>Успешно</t>
        </is>
      </c>
      <c r="N2141" s="1" t="inlineStr">
        <is>
          <t>24.02.2026</t>
        </is>
      </c>
      <c r="O2141" s="1" t="inlineStr"/>
      <c r="P2141" s="1" t="inlineStr"/>
      <c r="Q2141" s="1" t="inlineStr">
        <is>
          <t>Пользовательский интерфейс</t>
        </is>
      </c>
    </row>
    <row r="2142">
      <c r="B2142" s="1" t="inlineStr">
        <is>
          <t>175826212</t>
        </is>
      </c>
      <c r="C2142" s="1" t="inlineStr">
        <is>
          <t>12935952</t>
        </is>
      </c>
      <c r="D2142" t="inlineStr">
        <is>
          <t>работник 642</t>
        </is>
      </c>
      <c r="E2142" s="1" t="inlineStr">
        <is>
          <t>ОБЩЕСТВО С ОГРАНИЧЕННОЙ ОТВЕТСТВЕННОСТЬЮ "АМУР ЗОЛОТО"</t>
        </is>
      </c>
      <c r="F2142" s="1" t="inlineStr">
        <is>
          <t>2708001686</t>
        </is>
      </c>
      <c r="G2142" s="1" t="inlineStr">
        <is>
          <t>Растворщик реагентов</t>
        </is>
      </c>
      <c r="H2142" s="1" t="inlineStr">
        <is>
          <t>ООО "Амур Золото"</t>
        </is>
      </c>
      <c r="I2142" s="1" t="inlineStr">
        <is>
          <t>2708001686</t>
        </is>
      </c>
      <c r="J2142" s="1" t="inlineStr">
        <is>
          <t>ОТ № ЮГОК ЗИОФ 26-01</t>
        </is>
      </c>
      <c r="K2142" s="1" t="inlineStr">
        <is>
          <t>Использование (применение) средств индивидуальной защиты</t>
        </is>
      </c>
      <c r="L2142" s="1" t="inlineStr">
        <is>
          <t>19.02.2026</t>
        </is>
      </c>
      <c r="M2142" s="1" t="inlineStr">
        <is>
          <t>Успешно</t>
        </is>
      </c>
      <c r="N2142" s="1" t="inlineStr">
        <is>
          <t>24.02.2026</t>
        </is>
      </c>
      <c r="O2142" s="1" t="inlineStr"/>
      <c r="P2142" s="1" t="inlineStr"/>
      <c r="Q2142" s="1" t="inlineStr">
        <is>
          <t>Пользовательский интерфейс</t>
        </is>
      </c>
    </row>
    <row r="2143">
      <c r="B2143" s="1" t="inlineStr">
        <is>
          <t>175826213</t>
        </is>
      </c>
      <c r="C2143" s="1" t="inlineStr">
        <is>
          <t>12935952</t>
        </is>
      </c>
      <c r="D2143" t="inlineStr">
        <is>
          <t>работник 642</t>
        </is>
      </c>
      <c r="E2143" s="1" t="inlineStr">
        <is>
          <t>ОБЩЕСТВО С ОГРАНИЧЕННОЙ ОТВЕТСТВЕННОСТЬЮ "АМУР ЗОЛОТО"</t>
        </is>
      </c>
      <c r="F2143" s="1" t="inlineStr">
        <is>
          <t>2708001686</t>
        </is>
      </c>
      <c r="G2143" s="1" t="inlineStr">
        <is>
          <t>Растворщик реагентов</t>
        </is>
      </c>
      <c r="H2143" s="1" t="inlineStr">
        <is>
          <t>ООО "Амур Золото"</t>
        </is>
      </c>
      <c r="I2143" s="1" t="inlineStr">
        <is>
          <t>2708001686</t>
        </is>
      </c>
      <c r="J2143" s="1" t="inlineStr">
        <is>
          <t>ОТ № ЮГОК ЗИОФ 26-01</t>
        </is>
      </c>
      <c r="K214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143" s="1" t="inlineStr">
        <is>
          <t>19.02.2026</t>
        </is>
      </c>
      <c r="M2143" s="1" t="inlineStr">
        <is>
          <t>Успешно</t>
        </is>
      </c>
      <c r="N2143" s="1" t="inlineStr">
        <is>
          <t>24.02.2026</t>
        </is>
      </c>
      <c r="O2143" s="1" t="inlineStr"/>
      <c r="P2143" s="1" t="inlineStr"/>
      <c r="Q2143" s="1" t="inlineStr">
        <is>
          <t>Пользовательский интерфейс</t>
        </is>
      </c>
    </row>
    <row r="2144">
      <c r="B2144" s="1" t="inlineStr">
        <is>
          <t>175826214</t>
        </is>
      </c>
      <c r="C2144" s="1" t="inlineStr">
        <is>
          <t>12935952</t>
        </is>
      </c>
      <c r="D2144" t="inlineStr">
        <is>
          <t>работник 643</t>
        </is>
      </c>
      <c r="E2144" s="1" t="inlineStr">
        <is>
          <t>ОБЩЕСТВО С ОГРАНИЧЕННОЙ ОТВЕТСТВЕННОСТЬЮ "АМУР ЗОЛОТО"</t>
        </is>
      </c>
      <c r="F2144" s="1" t="inlineStr">
        <is>
          <t>2708001686</t>
        </is>
      </c>
      <c r="G2144" s="1" t="inlineStr">
        <is>
          <t>Начальник смены</t>
        </is>
      </c>
      <c r="H2144" s="1" t="inlineStr">
        <is>
          <t>ООО "Амур Золото"</t>
        </is>
      </c>
      <c r="I2144" s="1" t="inlineStr">
        <is>
          <t>2708001686</t>
        </is>
      </c>
      <c r="J2144" s="1" t="inlineStr">
        <is>
          <t>ОТ № ЮГОК ЗИОФ 26-01</t>
        </is>
      </c>
      <c r="K2144" s="1" t="inlineStr">
        <is>
          <t>Использование (применение) средств индивидуальной защиты</t>
        </is>
      </c>
      <c r="L2144" s="1" t="inlineStr">
        <is>
          <t>19.02.2026</t>
        </is>
      </c>
      <c r="M2144" s="1" t="inlineStr">
        <is>
          <t>Успешно</t>
        </is>
      </c>
      <c r="N2144" s="1" t="inlineStr">
        <is>
          <t>24.02.2026</t>
        </is>
      </c>
      <c r="O2144" s="1" t="inlineStr"/>
      <c r="P2144" s="1" t="inlineStr"/>
      <c r="Q2144" s="1" t="inlineStr">
        <is>
          <t>Пользовательский интерфейс</t>
        </is>
      </c>
    </row>
    <row r="2145">
      <c r="B2145" s="1" t="inlineStr">
        <is>
          <t>175826215</t>
        </is>
      </c>
      <c r="C2145" s="1" t="inlineStr">
        <is>
          <t>12935952</t>
        </is>
      </c>
      <c r="D2145" t="inlineStr">
        <is>
          <t>работник 643</t>
        </is>
      </c>
      <c r="E2145" s="1" t="inlineStr">
        <is>
          <t>ОБЩЕСТВО С ОГРАНИЧЕННОЙ ОТВЕТСТВЕННОСТЬЮ "АМУР ЗОЛОТО"</t>
        </is>
      </c>
      <c r="F2145" s="1" t="inlineStr">
        <is>
          <t>2708001686</t>
        </is>
      </c>
      <c r="G2145" s="1" t="inlineStr">
        <is>
          <t>Начальник смены</t>
        </is>
      </c>
      <c r="H2145" s="1" t="inlineStr">
        <is>
          <t>ООО "Амур Золото"</t>
        </is>
      </c>
      <c r="I2145" s="1" t="inlineStr">
        <is>
          <t>2708001686</t>
        </is>
      </c>
      <c r="J2145" s="1" t="inlineStr">
        <is>
          <t>ОТ № ЮГОК ЗИОФ 26-01</t>
        </is>
      </c>
      <c r="K214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145" s="1" t="inlineStr">
        <is>
          <t>19.02.2026</t>
        </is>
      </c>
      <c r="M2145" s="1" t="inlineStr">
        <is>
          <t>Успешно</t>
        </is>
      </c>
      <c r="N2145" s="1" t="inlineStr">
        <is>
          <t>24.02.2026</t>
        </is>
      </c>
      <c r="O2145" s="1" t="inlineStr"/>
      <c r="P2145" s="1" t="inlineStr"/>
      <c r="Q2145" s="1" t="inlineStr">
        <is>
          <t>Пользовательский интерфейс</t>
        </is>
      </c>
    </row>
    <row r="2146">
      <c r="B2146" s="1" t="inlineStr">
        <is>
          <t>175826216</t>
        </is>
      </c>
      <c r="C2146" s="1" t="inlineStr">
        <is>
          <t>12935952</t>
        </is>
      </c>
      <c r="D2146" t="inlineStr">
        <is>
          <t>работник 644</t>
        </is>
      </c>
      <c r="E2146" s="1" t="inlineStr">
        <is>
          <t>ОБЩЕСТВО С ОГРАНИЧЕННОЙ ОТВЕТСТВЕННОСТЬЮ "АМУР ЗОЛОТО"</t>
        </is>
      </c>
      <c r="F2146" s="1" t="inlineStr">
        <is>
          <t>2708001686</t>
        </is>
      </c>
      <c r="G2146" s="1" t="inlineStr">
        <is>
          <t>Дробильщик</t>
        </is>
      </c>
      <c r="H2146" s="1" t="inlineStr">
        <is>
          <t>ООО "Амур Золото"</t>
        </is>
      </c>
      <c r="I2146" s="1" t="inlineStr">
        <is>
          <t>2708001686</t>
        </is>
      </c>
      <c r="J2146" s="1" t="inlineStr">
        <is>
          <t>ОТ № ЮГОК ЗИОФ 26-01</t>
        </is>
      </c>
      <c r="K2146" s="1" t="inlineStr">
        <is>
          <t>Использование (применение) средств индивидуальной защиты</t>
        </is>
      </c>
      <c r="L2146" s="1" t="inlineStr">
        <is>
          <t>19.02.2026</t>
        </is>
      </c>
      <c r="M2146" s="1" t="inlineStr">
        <is>
          <t>Успешно</t>
        </is>
      </c>
      <c r="N2146" s="1" t="inlineStr">
        <is>
          <t>24.02.2026</t>
        </is>
      </c>
      <c r="O2146" s="1" t="inlineStr"/>
      <c r="P2146" s="1" t="inlineStr"/>
      <c r="Q2146" s="1" t="inlineStr">
        <is>
          <t>Пользовательский интерфейс</t>
        </is>
      </c>
    </row>
    <row r="2147">
      <c r="B2147" s="1" t="inlineStr">
        <is>
          <t>175826217</t>
        </is>
      </c>
      <c r="C2147" s="1" t="inlineStr">
        <is>
          <t>12935952</t>
        </is>
      </c>
      <c r="D2147" t="inlineStr">
        <is>
          <t>работник 644</t>
        </is>
      </c>
      <c r="E2147" s="1" t="inlineStr">
        <is>
          <t>ОБЩЕСТВО С ОГРАНИЧЕННОЙ ОТВЕТСТВЕННОСТЬЮ "АМУР ЗОЛОТО"</t>
        </is>
      </c>
      <c r="F2147" s="1" t="inlineStr">
        <is>
          <t>2708001686</t>
        </is>
      </c>
      <c r="G2147" s="1" t="inlineStr">
        <is>
          <t>Дробильщик</t>
        </is>
      </c>
      <c r="H2147" s="1" t="inlineStr">
        <is>
          <t>ООО "Амур Золото"</t>
        </is>
      </c>
      <c r="I2147" s="1" t="inlineStr">
        <is>
          <t>2708001686</t>
        </is>
      </c>
      <c r="J2147" s="1" t="inlineStr">
        <is>
          <t>ОТ № ЮГОК ЗИОФ 26-01</t>
        </is>
      </c>
      <c r="K214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147" s="1" t="inlineStr">
        <is>
          <t>19.02.2026</t>
        </is>
      </c>
      <c r="M2147" s="1" t="inlineStr">
        <is>
          <t>Успешно</t>
        </is>
      </c>
      <c r="N2147" s="1" t="inlineStr">
        <is>
          <t>24.02.2026</t>
        </is>
      </c>
      <c r="O2147" s="1" t="inlineStr"/>
      <c r="P2147" s="1" t="inlineStr"/>
      <c r="Q2147" s="1" t="inlineStr">
        <is>
          <t>Пользовательский интерфейс</t>
        </is>
      </c>
    </row>
    <row r="2148">
      <c r="B2148" s="1" t="inlineStr">
        <is>
          <t>175826218</t>
        </is>
      </c>
      <c r="C2148" s="1" t="inlineStr">
        <is>
          <t>12935952</t>
        </is>
      </c>
      <c r="D2148" t="inlineStr">
        <is>
          <t>работник 645</t>
        </is>
      </c>
      <c r="E2148" s="1" t="inlineStr">
        <is>
          <t>ОБЩЕСТВО С ОГРАНИЧЕННОЙ ОТВЕТСТВЕННОСТЬЮ "АМУР ЗОЛОТО"</t>
        </is>
      </c>
      <c r="F2148" s="1" t="inlineStr">
        <is>
          <t>2708001686</t>
        </is>
      </c>
      <c r="G2148" s="1" t="inlineStr">
        <is>
          <t>Фильтровальщик</t>
        </is>
      </c>
      <c r="H2148" s="1" t="inlineStr">
        <is>
          <t>ООО "Амур Золото"</t>
        </is>
      </c>
      <c r="I2148" s="1" t="inlineStr">
        <is>
          <t>2708001686</t>
        </is>
      </c>
      <c r="J2148" s="1" t="inlineStr">
        <is>
          <t>ОТ № ЮГОК ЗИОФ 26-01</t>
        </is>
      </c>
      <c r="K2148" s="1" t="inlineStr">
        <is>
          <t>Использование (применение) средств индивидуальной защиты</t>
        </is>
      </c>
      <c r="L2148" s="1" t="inlineStr">
        <is>
          <t>19.02.2026</t>
        </is>
      </c>
      <c r="M2148" s="1" t="inlineStr">
        <is>
          <t>Успешно</t>
        </is>
      </c>
      <c r="N2148" s="1" t="inlineStr">
        <is>
          <t>24.02.2026</t>
        </is>
      </c>
      <c r="O2148" s="1" t="inlineStr"/>
      <c r="P2148" s="1" t="inlineStr"/>
      <c r="Q2148" s="1" t="inlineStr">
        <is>
          <t>Пользовательский интерфейс</t>
        </is>
      </c>
    </row>
    <row r="2149">
      <c r="B2149" s="1" t="inlineStr">
        <is>
          <t>175826219</t>
        </is>
      </c>
      <c r="C2149" s="1" t="inlineStr">
        <is>
          <t>12935952</t>
        </is>
      </c>
      <c r="D2149" t="inlineStr">
        <is>
          <t>работник 645</t>
        </is>
      </c>
      <c r="E2149" s="1" t="inlineStr">
        <is>
          <t>ОБЩЕСТВО С ОГРАНИЧЕННОЙ ОТВЕТСТВЕННОСТЬЮ "АМУР ЗОЛОТО"</t>
        </is>
      </c>
      <c r="F2149" s="1" t="inlineStr">
        <is>
          <t>2708001686</t>
        </is>
      </c>
      <c r="G2149" s="1" t="inlineStr">
        <is>
          <t>Фильтровальщик</t>
        </is>
      </c>
      <c r="H2149" s="1" t="inlineStr">
        <is>
          <t>ООО "Амур Золото"</t>
        </is>
      </c>
      <c r="I2149" s="1" t="inlineStr">
        <is>
          <t>2708001686</t>
        </is>
      </c>
      <c r="J2149" s="1" t="inlineStr">
        <is>
          <t>ОТ № ЮГОК ЗИОФ 26-01</t>
        </is>
      </c>
      <c r="K214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149" s="1" t="inlineStr">
        <is>
          <t>19.02.2026</t>
        </is>
      </c>
      <c r="M2149" s="1" t="inlineStr">
        <is>
          <t>Успешно</t>
        </is>
      </c>
      <c r="N2149" s="1" t="inlineStr">
        <is>
          <t>24.02.2026</t>
        </is>
      </c>
      <c r="O2149" s="1" t="inlineStr"/>
      <c r="P2149" s="1" t="inlineStr"/>
      <c r="Q2149" s="1" t="inlineStr">
        <is>
          <t>Пользовательский интерфейс</t>
        </is>
      </c>
    </row>
    <row r="2150">
      <c r="B2150" s="1" t="inlineStr">
        <is>
          <t>175826220</t>
        </is>
      </c>
      <c r="C2150" s="1" t="inlineStr">
        <is>
          <t>12935952</t>
        </is>
      </c>
      <c r="D2150" t="inlineStr">
        <is>
          <t>работник 646</t>
        </is>
      </c>
      <c r="E2150" s="1" t="inlineStr">
        <is>
          <t>ОБЩЕСТВО С ОГРАНИЧЕННОЙ ОТВЕТСТВЕННОСТЬЮ "АМУР ЗОЛОТО"</t>
        </is>
      </c>
      <c r="F2150" s="1" t="inlineStr">
        <is>
          <t>2708001686</t>
        </is>
      </c>
      <c r="G2150" s="1" t="inlineStr">
        <is>
          <t>Растворщик реагентов</t>
        </is>
      </c>
      <c r="H2150" s="1" t="inlineStr">
        <is>
          <t>ООО "Амур Золото"</t>
        </is>
      </c>
      <c r="I2150" s="1" t="inlineStr">
        <is>
          <t>2708001686</t>
        </is>
      </c>
      <c r="J2150" s="1" t="inlineStr">
        <is>
          <t>ОТ № ЮГОК ЗИОФ 26-01</t>
        </is>
      </c>
      <c r="K2150" s="1" t="inlineStr">
        <is>
          <t>Использование (применение) средств индивидуальной защиты</t>
        </is>
      </c>
      <c r="L2150" s="1" t="inlineStr">
        <is>
          <t>19.02.2026</t>
        </is>
      </c>
      <c r="M2150" s="1" t="inlineStr">
        <is>
          <t>Успешно</t>
        </is>
      </c>
      <c r="N2150" s="1" t="inlineStr">
        <is>
          <t>24.02.2026</t>
        </is>
      </c>
      <c r="O2150" s="1" t="inlineStr"/>
      <c r="P2150" s="1" t="inlineStr"/>
      <c r="Q2150" s="1" t="inlineStr">
        <is>
          <t>Пользовательский интерфейс</t>
        </is>
      </c>
    </row>
    <row r="2151">
      <c r="B2151" s="1" t="inlineStr">
        <is>
          <t>175826221</t>
        </is>
      </c>
      <c r="C2151" s="1" t="inlineStr">
        <is>
          <t>12935952</t>
        </is>
      </c>
      <c r="D2151" t="inlineStr">
        <is>
          <t>работник 646</t>
        </is>
      </c>
      <c r="E2151" s="1" t="inlineStr">
        <is>
          <t>ОБЩЕСТВО С ОГРАНИЧЕННОЙ ОТВЕТСТВЕННОСТЬЮ "АМУР ЗОЛОТО"</t>
        </is>
      </c>
      <c r="F2151" s="1" t="inlineStr">
        <is>
          <t>2708001686</t>
        </is>
      </c>
      <c r="G2151" s="1" t="inlineStr">
        <is>
          <t>Растворщик реагентов</t>
        </is>
      </c>
      <c r="H2151" s="1" t="inlineStr">
        <is>
          <t>ООО "Амур Золото"</t>
        </is>
      </c>
      <c r="I2151" s="1" t="inlineStr">
        <is>
          <t>2708001686</t>
        </is>
      </c>
      <c r="J2151" s="1" t="inlineStr">
        <is>
          <t>ОТ № ЮГОК ЗИОФ 26-01</t>
        </is>
      </c>
      <c r="K215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151" s="1" t="inlineStr">
        <is>
          <t>19.02.2026</t>
        </is>
      </c>
      <c r="M2151" s="1" t="inlineStr">
        <is>
          <t>Успешно</t>
        </is>
      </c>
      <c r="N2151" s="1" t="inlineStr">
        <is>
          <t>24.02.2026</t>
        </is>
      </c>
      <c r="O2151" s="1" t="inlineStr"/>
      <c r="P2151" s="1" t="inlineStr"/>
      <c r="Q2151" s="1" t="inlineStr">
        <is>
          <t>Пользовательский интерфейс</t>
        </is>
      </c>
    </row>
    <row r="2152">
      <c r="B2152" s="1" t="inlineStr">
        <is>
          <t>175826222</t>
        </is>
      </c>
      <c r="C2152" s="1" t="inlineStr">
        <is>
          <t>12935952</t>
        </is>
      </c>
      <c r="D2152" t="inlineStr">
        <is>
          <t>работник 647</t>
        </is>
      </c>
      <c r="E2152" s="1" t="inlineStr">
        <is>
          <t>ОБЩЕСТВО С ОГРАНИЧЕННОЙ ОТВЕТСТВЕННОСТЬЮ "АМУР ЗОЛОТО"</t>
        </is>
      </c>
      <c r="F2152" s="1" t="inlineStr">
        <is>
          <t>2708001686</t>
        </is>
      </c>
      <c r="G2152" s="1" t="inlineStr">
        <is>
          <t>Подсобный рабочий</t>
        </is>
      </c>
      <c r="H2152" s="1" t="inlineStr">
        <is>
          <t>ООО "Амур Золото"</t>
        </is>
      </c>
      <c r="I2152" s="1" t="inlineStr">
        <is>
          <t>2708001686</t>
        </is>
      </c>
      <c r="J2152" s="1" t="inlineStr">
        <is>
          <t>ОТ № ЮГОК ЗИОФ 26-01</t>
        </is>
      </c>
      <c r="K2152" s="1" t="inlineStr">
        <is>
          <t>Использование (применение) средств индивидуальной защиты</t>
        </is>
      </c>
      <c r="L2152" s="1" t="inlineStr">
        <is>
          <t>19.02.2026</t>
        </is>
      </c>
      <c r="M2152" s="1" t="inlineStr">
        <is>
          <t>Успешно</t>
        </is>
      </c>
      <c r="N2152" s="1" t="inlineStr">
        <is>
          <t>24.02.2026</t>
        </is>
      </c>
      <c r="O2152" s="1" t="inlineStr"/>
      <c r="P2152" s="1" t="inlineStr"/>
      <c r="Q2152" s="1" t="inlineStr">
        <is>
          <t>Пользовательский интерфейс</t>
        </is>
      </c>
    </row>
    <row r="2153">
      <c r="B2153" s="1" t="inlineStr">
        <is>
          <t>175826223</t>
        </is>
      </c>
      <c r="C2153" s="1" t="inlineStr">
        <is>
          <t>12935952</t>
        </is>
      </c>
      <c r="D2153" t="inlineStr">
        <is>
          <t>работник 647</t>
        </is>
      </c>
      <c r="E2153" s="1" t="inlineStr">
        <is>
          <t>ОБЩЕСТВО С ОГРАНИЧЕННОЙ ОТВЕТСТВЕННОСТЬЮ "АМУР ЗОЛОТО"</t>
        </is>
      </c>
      <c r="F2153" s="1" t="inlineStr">
        <is>
          <t>2708001686</t>
        </is>
      </c>
      <c r="G2153" s="1" t="inlineStr">
        <is>
          <t>Подсобный рабочий</t>
        </is>
      </c>
      <c r="H2153" s="1" t="inlineStr">
        <is>
          <t>ООО "Амур Золото"</t>
        </is>
      </c>
      <c r="I2153" s="1" t="inlineStr">
        <is>
          <t>2708001686</t>
        </is>
      </c>
      <c r="J2153" s="1" t="inlineStr">
        <is>
          <t>ОТ № ЮГОК ЗИОФ 26-01</t>
        </is>
      </c>
      <c r="K215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153" s="1" t="inlineStr">
        <is>
          <t>19.02.2026</t>
        </is>
      </c>
      <c r="M2153" s="1" t="inlineStr">
        <is>
          <t>Успешно</t>
        </is>
      </c>
      <c r="N2153" s="1" t="inlineStr">
        <is>
          <t>24.02.2026</t>
        </is>
      </c>
      <c r="O2153" s="1" t="inlineStr"/>
      <c r="P2153" s="1" t="inlineStr"/>
      <c r="Q2153" s="1" t="inlineStr">
        <is>
          <t>Пользовательский интерфейс</t>
        </is>
      </c>
    </row>
    <row r="2154">
      <c r="B2154" s="1" t="inlineStr">
        <is>
          <t>175826224</t>
        </is>
      </c>
      <c r="C2154" s="1" t="inlineStr">
        <is>
          <t>12935952</t>
        </is>
      </c>
      <c r="D2154" t="inlineStr">
        <is>
          <t>работник 648</t>
        </is>
      </c>
      <c r="E2154" s="1" t="inlineStr">
        <is>
          <t>ОБЩЕСТВО С ОГРАНИЧЕННОЙ ОТВЕТСТВЕННОСТЬЮ "АМУР ЗОЛОТО"</t>
        </is>
      </c>
      <c r="F2154" s="1" t="inlineStr">
        <is>
          <t>2708001686</t>
        </is>
      </c>
      <c r="G2154" s="1" t="inlineStr">
        <is>
          <t>Заведующий складом аварийно химически опасных веществ</t>
        </is>
      </c>
      <c r="H2154" s="1" t="inlineStr">
        <is>
          <t>ООО "Амур Золото"</t>
        </is>
      </c>
      <c r="I2154" s="1" t="inlineStr">
        <is>
          <t>2708001686</t>
        </is>
      </c>
      <c r="J2154" s="1" t="inlineStr">
        <is>
          <t>ОТ № ЮГОК ЗИОФ 26-01</t>
        </is>
      </c>
      <c r="K2154" s="1" t="inlineStr">
        <is>
          <t>Использование (применение) средств индивидуальной защиты</t>
        </is>
      </c>
      <c r="L2154" s="1" t="inlineStr">
        <is>
          <t>19.02.2026</t>
        </is>
      </c>
      <c r="M2154" s="1" t="inlineStr">
        <is>
          <t>Успешно</t>
        </is>
      </c>
      <c r="N2154" s="1" t="inlineStr">
        <is>
          <t>24.02.2026</t>
        </is>
      </c>
      <c r="O2154" s="1" t="inlineStr"/>
      <c r="P2154" s="1" t="inlineStr"/>
      <c r="Q2154" s="1" t="inlineStr">
        <is>
          <t>Пользовательский интерфейс</t>
        </is>
      </c>
    </row>
    <row r="2155">
      <c r="B2155" s="1" t="inlineStr">
        <is>
          <t>175826225</t>
        </is>
      </c>
      <c r="C2155" s="1" t="inlineStr">
        <is>
          <t>12935952</t>
        </is>
      </c>
      <c r="D2155" t="inlineStr">
        <is>
          <t>работник 648</t>
        </is>
      </c>
      <c r="E2155" s="1" t="inlineStr">
        <is>
          <t>ОБЩЕСТВО С ОГРАНИЧЕННОЙ ОТВЕТСТВЕННОСТЬЮ "АМУР ЗОЛОТО"</t>
        </is>
      </c>
      <c r="F2155" s="1" t="inlineStr">
        <is>
          <t>2708001686</t>
        </is>
      </c>
      <c r="G2155" s="1" t="inlineStr">
        <is>
          <t>Заведующий складом аварийно химически опасных веществ</t>
        </is>
      </c>
      <c r="H2155" s="1" t="inlineStr">
        <is>
          <t>ООО "Амур Золото"</t>
        </is>
      </c>
      <c r="I2155" s="1" t="inlineStr">
        <is>
          <t>2708001686</t>
        </is>
      </c>
      <c r="J2155" s="1" t="inlineStr">
        <is>
          <t>ОТ № ЮГОК ЗИОФ 26-01</t>
        </is>
      </c>
      <c r="K215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155" s="1" t="inlineStr">
        <is>
          <t>19.02.2026</t>
        </is>
      </c>
      <c r="M2155" s="1" t="inlineStr">
        <is>
          <t>Успешно</t>
        </is>
      </c>
      <c r="N2155" s="1" t="inlineStr">
        <is>
          <t>24.02.2026</t>
        </is>
      </c>
      <c r="O2155" s="1" t="inlineStr"/>
      <c r="P2155" s="1" t="inlineStr"/>
      <c r="Q2155" s="1" t="inlineStr">
        <is>
          <t>Пользовательский интерфейс</t>
        </is>
      </c>
    </row>
    <row r="2156">
      <c r="B2156" s="1" t="inlineStr">
        <is>
          <t>175826226</t>
        </is>
      </c>
      <c r="C2156" s="1" t="inlineStr">
        <is>
          <t>12935952</t>
        </is>
      </c>
      <c r="D2156" t="inlineStr">
        <is>
          <t>работник 649</t>
        </is>
      </c>
      <c r="E2156" s="1" t="inlineStr">
        <is>
          <t>ОБЩЕСТВО С ОГРАНИЧЕННОЙ ОТВЕТСТВЕННОСТЬЮ "АМУР ЗОЛОТО"</t>
        </is>
      </c>
      <c r="F2156" s="1" t="inlineStr">
        <is>
          <t>2708001686</t>
        </is>
      </c>
      <c r="G2156" s="1" t="inlineStr">
        <is>
          <t>Слесарь-ремонтник (по ремонту обогатительного оборудования)</t>
        </is>
      </c>
      <c r="H2156" s="1" t="inlineStr">
        <is>
          <t>ООО "Амур Золото"</t>
        </is>
      </c>
      <c r="I2156" s="1" t="inlineStr">
        <is>
          <t>2708001686</t>
        </is>
      </c>
      <c r="J2156" s="1" t="inlineStr">
        <is>
          <t>ОТ № ЮГОК ЗИОФ 26-02</t>
        </is>
      </c>
      <c r="K2156" s="1" t="inlineStr">
        <is>
          <t>Использование (применение) средств индивидуальной защиты</t>
        </is>
      </c>
      <c r="L2156" s="1" t="inlineStr">
        <is>
          <t>20.02.2026</t>
        </is>
      </c>
      <c r="M2156" s="1" t="inlineStr">
        <is>
          <t>Успешно</t>
        </is>
      </c>
      <c r="N2156" s="1" t="inlineStr">
        <is>
          <t>24.02.2026</t>
        </is>
      </c>
      <c r="O2156" s="1" t="inlineStr"/>
      <c r="P2156" s="1" t="inlineStr"/>
      <c r="Q2156" s="1" t="inlineStr">
        <is>
          <t>Пользовательский интерфейс</t>
        </is>
      </c>
    </row>
    <row r="2157">
      <c r="B2157" s="1" t="inlineStr">
        <is>
          <t>175826227</t>
        </is>
      </c>
      <c r="C2157" s="1" t="inlineStr">
        <is>
          <t>12935952</t>
        </is>
      </c>
      <c r="D2157" t="inlineStr">
        <is>
          <t>работник 649</t>
        </is>
      </c>
      <c r="E2157" s="1" t="inlineStr">
        <is>
          <t>ОБЩЕСТВО С ОГРАНИЧЕННОЙ ОТВЕТСТВЕННОСТЬЮ "АМУР ЗОЛОТО"</t>
        </is>
      </c>
      <c r="F2157" s="1" t="inlineStr">
        <is>
          <t>2708001686</t>
        </is>
      </c>
      <c r="G2157" s="1" t="inlineStr">
        <is>
          <t>Слесарь-ремонтник (по ремонту обогатительного оборудования)</t>
        </is>
      </c>
      <c r="H2157" s="1" t="inlineStr">
        <is>
          <t>ООО "Амур Золото"</t>
        </is>
      </c>
      <c r="I2157" s="1" t="inlineStr">
        <is>
          <t>2708001686</t>
        </is>
      </c>
      <c r="J2157" s="1" t="inlineStr">
        <is>
          <t>ОТ № ЮГОК ЗИОФ 26-02</t>
        </is>
      </c>
      <c r="K215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157" s="1" t="inlineStr">
        <is>
          <t>20.02.2026</t>
        </is>
      </c>
      <c r="M2157" s="1" t="inlineStr">
        <is>
          <t>Успешно</t>
        </is>
      </c>
      <c r="N2157" s="1" t="inlineStr">
        <is>
          <t>24.02.2026</t>
        </is>
      </c>
      <c r="O2157" s="1" t="inlineStr"/>
      <c r="P2157" s="1" t="inlineStr"/>
      <c r="Q2157" s="1" t="inlineStr">
        <is>
          <t>Пользовательский интерфейс</t>
        </is>
      </c>
    </row>
    <row r="2158">
      <c r="B2158" s="1" t="inlineStr">
        <is>
          <t>175826228</t>
        </is>
      </c>
      <c r="C2158" s="1" t="inlineStr">
        <is>
          <t>12935952</t>
        </is>
      </c>
      <c r="D2158" t="inlineStr">
        <is>
          <t>работник 650</t>
        </is>
      </c>
      <c r="E2158" s="1" t="inlineStr">
        <is>
          <t>ОБЩЕСТВО С ОГРАНИЧЕННОЙ ОТВЕТСТВЕННОСТЬЮ "АМУР ЗОЛОТО"</t>
        </is>
      </c>
      <c r="F2158" s="1" t="inlineStr">
        <is>
          <t>2708001686</t>
        </is>
      </c>
      <c r="G2158" s="1" t="inlineStr">
        <is>
          <t>Слесарь-ремонтник (по ремонту обогатительного оборудования)</t>
        </is>
      </c>
      <c r="H2158" s="1" t="inlineStr">
        <is>
          <t>ООО "Амур Золото"</t>
        </is>
      </c>
      <c r="I2158" s="1" t="inlineStr">
        <is>
          <t>2708001686</t>
        </is>
      </c>
      <c r="J2158" s="1" t="inlineStr">
        <is>
          <t>ОТ № ЮГОК ЗИОФ 26-02</t>
        </is>
      </c>
      <c r="K2158" s="1" t="inlineStr">
        <is>
          <t>Использование (применение) средств индивидуальной защиты</t>
        </is>
      </c>
      <c r="L2158" s="1" t="inlineStr">
        <is>
          <t>20.02.2026</t>
        </is>
      </c>
      <c r="M2158" s="1" t="inlineStr">
        <is>
          <t>Успешно</t>
        </is>
      </c>
      <c r="N2158" s="1" t="inlineStr">
        <is>
          <t>24.02.2026</t>
        </is>
      </c>
      <c r="O2158" s="1" t="inlineStr"/>
      <c r="P2158" s="1" t="inlineStr"/>
      <c r="Q2158" s="1" t="inlineStr">
        <is>
          <t>Пользовательский интерфейс</t>
        </is>
      </c>
    </row>
    <row r="2159">
      <c r="B2159" s="1" t="inlineStr">
        <is>
          <t>175826229</t>
        </is>
      </c>
      <c r="C2159" s="1" t="inlineStr">
        <is>
          <t>12935952</t>
        </is>
      </c>
      <c r="D2159" t="inlineStr">
        <is>
          <t>работник 650</t>
        </is>
      </c>
      <c r="E2159" s="1" t="inlineStr">
        <is>
          <t>ОБЩЕСТВО С ОГРАНИЧЕННОЙ ОТВЕТСТВЕННОСТЬЮ "АМУР ЗОЛОТО"</t>
        </is>
      </c>
      <c r="F2159" s="1" t="inlineStr">
        <is>
          <t>2708001686</t>
        </is>
      </c>
      <c r="G2159" s="1" t="inlineStr">
        <is>
          <t>Слесарь-ремонтник (по ремонту обогатительного оборудования)</t>
        </is>
      </c>
      <c r="H2159" s="1" t="inlineStr">
        <is>
          <t>ООО "Амур Золото"</t>
        </is>
      </c>
      <c r="I2159" s="1" t="inlineStr">
        <is>
          <t>2708001686</t>
        </is>
      </c>
      <c r="J2159" s="1" t="inlineStr">
        <is>
          <t>ОТ № ЮГОК ЗИОФ 26-02</t>
        </is>
      </c>
      <c r="K215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159" s="1" t="inlineStr">
        <is>
          <t>20.02.2026</t>
        </is>
      </c>
      <c r="M2159" s="1" t="inlineStr">
        <is>
          <t>Успешно</t>
        </is>
      </c>
      <c r="N2159" s="1" t="inlineStr">
        <is>
          <t>24.02.2026</t>
        </is>
      </c>
      <c r="O2159" s="1" t="inlineStr"/>
      <c r="P2159" s="1" t="inlineStr"/>
      <c r="Q2159" s="1" t="inlineStr">
        <is>
          <t>Пользовательский интерфейс</t>
        </is>
      </c>
    </row>
    <row r="2160">
      <c r="B2160" s="1" t="inlineStr">
        <is>
          <t>175826230</t>
        </is>
      </c>
      <c r="C2160" s="1" t="inlineStr">
        <is>
          <t>12935952</t>
        </is>
      </c>
      <c r="D2160" t="inlineStr">
        <is>
          <t>работник 651</t>
        </is>
      </c>
      <c r="E2160" s="1" t="inlineStr">
        <is>
          <t>ОБЩЕСТВО С ОГРАНИЧЕННОЙ ОТВЕТСТВЕННОСТЬЮ "АМУР ЗОЛОТО"</t>
        </is>
      </c>
      <c r="F2160" s="1" t="inlineStr">
        <is>
          <t>2708001686</t>
        </is>
      </c>
      <c r="G2160" s="1" t="inlineStr">
        <is>
          <t>Машинист самоходной буровой установки (Проходка)</t>
        </is>
      </c>
      <c r="H2160" s="1" t="inlineStr">
        <is>
          <t>ООО "Амур Золото"</t>
        </is>
      </c>
      <c r="I2160" s="1" t="inlineStr">
        <is>
          <t>2708001686</t>
        </is>
      </c>
      <c r="J2160" s="1" t="inlineStr">
        <is>
          <t>ОТ № ЮГОК ПГУ 26-18</t>
        </is>
      </c>
      <c r="K2160" s="1" t="inlineStr">
        <is>
          <t>Использование (применение) средств индивидуальной защиты</t>
        </is>
      </c>
      <c r="L2160" s="1" t="inlineStr">
        <is>
          <t>18.02.2026</t>
        </is>
      </c>
      <c r="M2160" s="1" t="inlineStr">
        <is>
          <t>Успешно</t>
        </is>
      </c>
      <c r="N2160" s="1" t="inlineStr">
        <is>
          <t>24.02.2026</t>
        </is>
      </c>
      <c r="O2160" s="1" t="inlineStr"/>
      <c r="P2160" s="1" t="inlineStr"/>
      <c r="Q2160" s="1" t="inlineStr">
        <is>
          <t>Пользовательский интерфейс</t>
        </is>
      </c>
    </row>
    <row r="2161">
      <c r="B2161" s="1" t="inlineStr">
        <is>
          <t>175826231</t>
        </is>
      </c>
      <c r="C2161" s="1" t="inlineStr">
        <is>
          <t>12935952</t>
        </is>
      </c>
      <c r="D2161" t="inlineStr">
        <is>
          <t>работник 651</t>
        </is>
      </c>
      <c r="E2161" s="1" t="inlineStr">
        <is>
          <t>ОБЩЕСТВО С ОГРАНИЧЕННОЙ ОТВЕТСТВЕННОСТЬЮ "АМУР ЗОЛОТО"</t>
        </is>
      </c>
      <c r="F2161" s="1" t="inlineStr">
        <is>
          <t>2708001686</t>
        </is>
      </c>
      <c r="G2161" s="1" t="inlineStr">
        <is>
          <t>Машинист самоходной буровой установки (Проходка)</t>
        </is>
      </c>
      <c r="H2161" s="1" t="inlineStr">
        <is>
          <t>ООО "Амур Золото"</t>
        </is>
      </c>
      <c r="I2161" s="1" t="inlineStr">
        <is>
          <t>2708001686</t>
        </is>
      </c>
      <c r="J2161" s="1" t="inlineStr">
        <is>
          <t>ОТ № ЮГОК ПГУ 26-18</t>
        </is>
      </c>
      <c r="K216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161" s="1" t="inlineStr">
        <is>
          <t>18.02.2026</t>
        </is>
      </c>
      <c r="M2161" s="1" t="inlineStr">
        <is>
          <t>Успешно</t>
        </is>
      </c>
      <c r="N2161" s="1" t="inlineStr">
        <is>
          <t>24.02.2026</t>
        </is>
      </c>
      <c r="O2161" s="1" t="inlineStr"/>
      <c r="P2161" s="1" t="inlineStr"/>
      <c r="Q2161" s="1" t="inlineStr">
        <is>
          <t>Пользовательский интерфейс</t>
        </is>
      </c>
    </row>
    <row r="2162">
      <c r="B2162" s="1" t="inlineStr">
        <is>
          <t>175826232</t>
        </is>
      </c>
      <c r="C2162" s="1" t="inlineStr">
        <is>
          <t>12935952</t>
        </is>
      </c>
      <c r="D2162" t="inlineStr">
        <is>
          <t>работник 652</t>
        </is>
      </c>
      <c r="E2162" s="1" t="inlineStr">
        <is>
          <t>ОБЩЕСТВО С ОГРАНИЧЕННОЙ ОТВЕТСТВЕННОСТЬЮ "АМУР ЗОЛОТО"</t>
        </is>
      </c>
      <c r="F2162" s="1" t="inlineStr">
        <is>
          <t>2708001686</t>
        </is>
      </c>
      <c r="G2162" s="1" t="inlineStr">
        <is>
          <t>Электрогазосварщик</t>
        </is>
      </c>
      <c r="H2162" s="1" t="inlineStr">
        <is>
          <t>ООО "Амур Золото"</t>
        </is>
      </c>
      <c r="I2162" s="1" t="inlineStr">
        <is>
          <t>2708001686</t>
        </is>
      </c>
      <c r="J2162" s="1" t="inlineStr">
        <is>
          <t>ОТ № ЮГОК ПГУ 26-19</t>
        </is>
      </c>
      <c r="K2162" s="1" t="inlineStr">
        <is>
          <t>Использование (применение) средств индивидуальной защиты</t>
        </is>
      </c>
      <c r="L2162" s="1" t="inlineStr">
        <is>
          <t>19.02.2026</t>
        </is>
      </c>
      <c r="M2162" s="1" t="inlineStr">
        <is>
          <t>Успешно</t>
        </is>
      </c>
      <c r="N2162" s="1" t="inlineStr">
        <is>
          <t>24.02.2026</t>
        </is>
      </c>
      <c r="O2162" s="1" t="inlineStr"/>
      <c r="P2162" s="1" t="inlineStr"/>
      <c r="Q2162" s="1" t="inlineStr">
        <is>
          <t>Пользовательский интерфейс</t>
        </is>
      </c>
    </row>
    <row r="2163">
      <c r="B2163" s="1" t="inlineStr">
        <is>
          <t>175826233</t>
        </is>
      </c>
      <c r="C2163" s="1" t="inlineStr">
        <is>
          <t>12935952</t>
        </is>
      </c>
      <c r="D2163" t="inlineStr">
        <is>
          <t>работник 652</t>
        </is>
      </c>
      <c r="E2163" s="1" t="inlineStr">
        <is>
          <t>ОБЩЕСТВО С ОГРАНИЧЕННОЙ ОТВЕТСТВЕННОСТЬЮ "АМУР ЗОЛОТО"</t>
        </is>
      </c>
      <c r="F2163" s="1" t="inlineStr">
        <is>
          <t>2708001686</t>
        </is>
      </c>
      <c r="G2163" s="1" t="inlineStr">
        <is>
          <t>Электрогазосварщик</t>
        </is>
      </c>
      <c r="H2163" s="1" t="inlineStr">
        <is>
          <t>ООО "Амур Золото"</t>
        </is>
      </c>
      <c r="I2163" s="1" t="inlineStr">
        <is>
          <t>2708001686</t>
        </is>
      </c>
      <c r="J2163" s="1" t="inlineStr">
        <is>
          <t>ОТ № ЮГОК ПГУ 26-19</t>
        </is>
      </c>
      <c r="K216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163" s="1" t="inlineStr">
        <is>
          <t>19.02.2026</t>
        </is>
      </c>
      <c r="M2163" s="1" t="inlineStr">
        <is>
          <t>Успешно</t>
        </is>
      </c>
      <c r="N2163" s="1" t="inlineStr">
        <is>
          <t>24.02.2026</t>
        </is>
      </c>
      <c r="O2163" s="1" t="inlineStr"/>
      <c r="P2163" s="1" t="inlineStr"/>
      <c r="Q2163" s="1" t="inlineStr">
        <is>
          <t>Пользовательский интерфейс</t>
        </is>
      </c>
    </row>
    <row r="2164">
      <c r="B2164" s="1" t="inlineStr">
        <is>
          <t>175826234</t>
        </is>
      </c>
      <c r="C2164" s="1" t="inlineStr">
        <is>
          <t>12935952</t>
        </is>
      </c>
      <c r="D2164" t="inlineStr">
        <is>
          <t>работник 653</t>
        </is>
      </c>
      <c r="E2164" s="1" t="inlineStr">
        <is>
          <t>ОБЩЕСТВО С ОГРАНИЧЕННОЙ ОТВЕТСТВЕННОСТЬЮ "АМУР ЗОЛОТО"</t>
        </is>
      </c>
      <c r="F2164" s="1" t="inlineStr">
        <is>
          <t>2708001686</t>
        </is>
      </c>
      <c r="G2164" s="1" t="inlineStr">
        <is>
          <t>Машинист подземных самоходных машин</t>
        </is>
      </c>
      <c r="H2164" s="1" t="inlineStr">
        <is>
          <t>ООО "Амур Золото"</t>
        </is>
      </c>
      <c r="I2164" s="1" t="inlineStr">
        <is>
          <t>2708001686</t>
        </is>
      </c>
      <c r="J2164" s="1" t="inlineStr">
        <is>
          <t>ОТ № ЮГОК ПГУ 26-19</t>
        </is>
      </c>
      <c r="K2164" s="1" t="inlineStr">
        <is>
          <t>Использование (применение) средств индивидуальной защиты</t>
        </is>
      </c>
      <c r="L2164" s="1" t="inlineStr">
        <is>
          <t>19.02.2026</t>
        </is>
      </c>
      <c r="M2164" s="1" t="inlineStr">
        <is>
          <t>Успешно</t>
        </is>
      </c>
      <c r="N2164" s="1" t="inlineStr">
        <is>
          <t>24.02.2026</t>
        </is>
      </c>
      <c r="O2164" s="1" t="inlineStr"/>
      <c r="P2164" s="1" t="inlineStr"/>
      <c r="Q2164" s="1" t="inlineStr">
        <is>
          <t>Пользовательский интерфейс</t>
        </is>
      </c>
    </row>
    <row r="2165">
      <c r="B2165" s="1" t="inlineStr">
        <is>
          <t>175826235</t>
        </is>
      </c>
      <c r="C2165" s="1" t="inlineStr">
        <is>
          <t>12935952</t>
        </is>
      </c>
      <c r="D2165" t="inlineStr">
        <is>
          <t>работник 653</t>
        </is>
      </c>
      <c r="E2165" s="1" t="inlineStr">
        <is>
          <t>ОБЩЕСТВО С ОГРАНИЧЕННОЙ ОТВЕТСТВЕННОСТЬЮ "АМУР ЗОЛОТО"</t>
        </is>
      </c>
      <c r="F2165" s="1" t="inlineStr">
        <is>
          <t>2708001686</t>
        </is>
      </c>
      <c r="G2165" s="1" t="inlineStr">
        <is>
          <t>Машинист подземных самоходных машин</t>
        </is>
      </c>
      <c r="H2165" s="1" t="inlineStr">
        <is>
          <t>ООО "Амур Золото"</t>
        </is>
      </c>
      <c r="I2165" s="1" t="inlineStr">
        <is>
          <t>2708001686</t>
        </is>
      </c>
      <c r="J2165" s="1" t="inlineStr">
        <is>
          <t>ОТ № ЮГОК ПГУ 26-19</t>
        </is>
      </c>
      <c r="K216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165" s="1" t="inlineStr">
        <is>
          <t>19.02.2026</t>
        </is>
      </c>
      <c r="M2165" s="1" t="inlineStr">
        <is>
          <t>Успешно</t>
        </is>
      </c>
      <c r="N2165" s="1" t="inlineStr">
        <is>
          <t>24.02.2026</t>
        </is>
      </c>
      <c r="O2165" s="1" t="inlineStr"/>
      <c r="P2165" s="1" t="inlineStr"/>
      <c r="Q2165" s="1" t="inlineStr">
        <is>
          <t>Пользовательский интерфейс</t>
        </is>
      </c>
    </row>
    <row r="2166">
      <c r="B2166" s="1" t="inlineStr">
        <is>
          <t>180849727</t>
        </is>
      </c>
      <c r="C2166" s="1" t="inlineStr">
        <is>
          <t>13246997</t>
        </is>
      </c>
      <c r="D2166" t="inlineStr">
        <is>
          <t>работник 654</t>
        </is>
      </c>
      <c r="E2166" s="1" t="inlineStr">
        <is>
          <t>ОБЩЕСТВО С ОГРАНИЧЕННОЙ ОТВЕТСТВЕННОСТЬЮ "АМУР ЗОЛОТО"</t>
        </is>
      </c>
      <c r="F2166" s="1" t="inlineStr">
        <is>
          <t>2708001686</t>
        </is>
      </c>
      <c r="G2166" s="1" t="inlineStr">
        <is>
          <t>Механик</t>
        </is>
      </c>
      <c r="H2166" s="1" t="inlineStr">
        <is>
          <t>ООО "Амур Золото"</t>
        </is>
      </c>
      <c r="I2166" s="1" t="inlineStr">
        <is>
          <t>2708001686</t>
        </is>
      </c>
      <c r="J2166" s="1" t="inlineStr">
        <is>
          <t>ОТ № ЮГОК АТЦ 26-01</t>
        </is>
      </c>
      <c r="K2166" s="1" t="inlineStr">
        <is>
          <t>Использование (применение) средств индивидуальной защиты</t>
        </is>
      </c>
      <c r="L2166" s="1" t="inlineStr">
        <is>
          <t>26.02.2026</t>
        </is>
      </c>
      <c r="M2166" s="1" t="inlineStr">
        <is>
          <t>Успешно</t>
        </is>
      </c>
      <c r="N2166" s="1" t="inlineStr">
        <is>
          <t>15.03.2026</t>
        </is>
      </c>
      <c r="O2166" s="1" t="inlineStr"/>
      <c r="P2166" s="1" t="inlineStr"/>
      <c r="Q2166" s="1" t="inlineStr">
        <is>
          <t>Пользовательский интерфейс</t>
        </is>
      </c>
    </row>
    <row r="2167">
      <c r="B2167" s="1" t="inlineStr">
        <is>
          <t>180849728</t>
        </is>
      </c>
      <c r="C2167" s="1" t="inlineStr">
        <is>
          <t>13246997</t>
        </is>
      </c>
      <c r="D2167" t="inlineStr">
        <is>
          <t>работник 654</t>
        </is>
      </c>
      <c r="E2167" s="1" t="inlineStr">
        <is>
          <t>ОБЩЕСТВО С ОГРАНИЧЕННОЙ ОТВЕТСТВЕННОСТЬЮ "АМУР ЗОЛОТО"</t>
        </is>
      </c>
      <c r="F2167" s="1" t="inlineStr">
        <is>
          <t>2708001686</t>
        </is>
      </c>
      <c r="G2167" s="1" t="inlineStr">
        <is>
          <t>Механик</t>
        </is>
      </c>
      <c r="H2167" s="1" t="inlineStr">
        <is>
          <t>ООО "Амур Золото"</t>
        </is>
      </c>
      <c r="I2167" s="1" t="inlineStr">
        <is>
          <t>2708001686</t>
        </is>
      </c>
      <c r="J2167" s="1" t="inlineStr">
        <is>
          <t>ОТ № ЮГОК АТЦ 26-01</t>
        </is>
      </c>
      <c r="K216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167" s="1" t="inlineStr">
        <is>
          <t>26.02.2026</t>
        </is>
      </c>
      <c r="M2167" s="1" t="inlineStr">
        <is>
          <t>Успешно</t>
        </is>
      </c>
      <c r="N2167" s="1" t="inlineStr">
        <is>
          <t>15.03.2026</t>
        </is>
      </c>
      <c r="O2167" s="1" t="inlineStr"/>
      <c r="P2167" s="1" t="inlineStr"/>
      <c r="Q2167" s="1" t="inlineStr">
        <is>
          <t>Пользовательский интерфейс</t>
        </is>
      </c>
    </row>
    <row r="2168">
      <c r="B2168" s="1" t="inlineStr">
        <is>
          <t>180849729</t>
        </is>
      </c>
      <c r="C2168" s="1" t="inlineStr">
        <is>
          <t>13246997</t>
        </is>
      </c>
      <c r="D2168" t="inlineStr">
        <is>
          <t>работник 655</t>
        </is>
      </c>
      <c r="E2168" s="1" t="inlineStr">
        <is>
          <t>ОБЩЕСТВО С ОГРАНИЧЕННОЙ ОТВЕТСТВЕННОСТЬЮ "АМУР ЗОЛОТО"</t>
        </is>
      </c>
      <c r="F2168" s="1" t="inlineStr">
        <is>
          <t>2708001686</t>
        </is>
      </c>
      <c r="G2168" s="1" t="inlineStr">
        <is>
          <t>Слесарь по ремонту автомобилей и тяжелой техники</t>
        </is>
      </c>
      <c r="H2168" s="1" t="inlineStr">
        <is>
          <t>ООО "Амур Золото"</t>
        </is>
      </c>
      <c r="I2168" s="1" t="inlineStr">
        <is>
          <t>2708001686</t>
        </is>
      </c>
      <c r="J2168" s="1" t="inlineStr">
        <is>
          <t>ОТ № ЮГОК АТЦ 26-02</t>
        </is>
      </c>
      <c r="K2168" s="1" t="inlineStr">
        <is>
          <t>Использование (применение) средств индивидуальной защиты</t>
        </is>
      </c>
      <c r="L2168" s="1" t="inlineStr">
        <is>
          <t>07.03.2026</t>
        </is>
      </c>
      <c r="M2168" s="1" t="inlineStr">
        <is>
          <t>Успешно</t>
        </is>
      </c>
      <c r="N2168" s="1" t="inlineStr">
        <is>
          <t>15.03.2026</t>
        </is>
      </c>
      <c r="O2168" s="1" t="inlineStr"/>
      <c r="P2168" s="1" t="inlineStr"/>
      <c r="Q2168" s="1" t="inlineStr">
        <is>
          <t>Пользовательский интерфейс</t>
        </is>
      </c>
    </row>
    <row r="2169">
      <c r="B2169" s="1" t="inlineStr">
        <is>
          <t>180849730</t>
        </is>
      </c>
      <c r="C2169" s="1" t="inlineStr">
        <is>
          <t>13246997</t>
        </is>
      </c>
      <c r="D2169" t="inlineStr">
        <is>
          <t>работник 655</t>
        </is>
      </c>
      <c r="E2169" s="1" t="inlineStr">
        <is>
          <t>ОБЩЕСТВО С ОГРАНИЧЕННОЙ ОТВЕТСТВЕННОСТЬЮ "АМУР ЗОЛОТО"</t>
        </is>
      </c>
      <c r="F2169" s="1" t="inlineStr">
        <is>
          <t>2708001686</t>
        </is>
      </c>
      <c r="G2169" s="1" t="inlineStr">
        <is>
          <t>Слесарь по ремонту автомобилей и тяжелой техники</t>
        </is>
      </c>
      <c r="H2169" s="1" t="inlineStr">
        <is>
          <t>ООО "Амур Золото"</t>
        </is>
      </c>
      <c r="I2169" s="1" t="inlineStr">
        <is>
          <t>2708001686</t>
        </is>
      </c>
      <c r="J2169" s="1" t="inlineStr">
        <is>
          <t>ОТ № ЮГОК АТЦ 26-02</t>
        </is>
      </c>
      <c r="K216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169" s="1" t="inlineStr">
        <is>
          <t>07.03.2026</t>
        </is>
      </c>
      <c r="M2169" s="1" t="inlineStr">
        <is>
          <t>Успешно</t>
        </is>
      </c>
      <c r="N2169" s="1" t="inlineStr">
        <is>
          <t>15.03.2026</t>
        </is>
      </c>
      <c r="O2169" s="1" t="inlineStr"/>
      <c r="P2169" s="1" t="inlineStr"/>
      <c r="Q2169" s="1" t="inlineStr">
        <is>
          <t>Пользовательский интерфейс</t>
        </is>
      </c>
    </row>
    <row r="2170">
      <c r="B2170" s="1" t="inlineStr">
        <is>
          <t>180849731</t>
        </is>
      </c>
      <c r="C2170" s="1" t="inlineStr">
        <is>
          <t>13246997</t>
        </is>
      </c>
      <c r="D2170" t="inlineStr">
        <is>
          <t>работник 656</t>
        </is>
      </c>
      <c r="E2170" s="1" t="inlineStr">
        <is>
          <t>ОБЩЕСТВО С ОГРАНИЧЕННОЙ ОТВЕТСТВЕННОСТЬЮ "АМУР ЗОЛОТО"</t>
        </is>
      </c>
      <c r="F2170" s="1" t="inlineStr">
        <is>
          <t>2708001686</t>
        </is>
      </c>
      <c r="G2170" s="1" t="inlineStr">
        <is>
          <t>Слесарь по ремонту автомобилей и тяжелой техники</t>
        </is>
      </c>
      <c r="H2170" s="1" t="inlineStr">
        <is>
          <t>ООО "Амур Золото"</t>
        </is>
      </c>
      <c r="I2170" s="1" t="inlineStr">
        <is>
          <t>2708001686</t>
        </is>
      </c>
      <c r="J2170" s="1" t="inlineStr">
        <is>
          <t>ОТ № ЮГОК АТЦ 26-02</t>
        </is>
      </c>
      <c r="K2170" s="1" t="inlineStr">
        <is>
          <t>Использование (применение) средств индивидуальной защиты</t>
        </is>
      </c>
      <c r="L2170" s="1" t="inlineStr">
        <is>
          <t>07.03.2026</t>
        </is>
      </c>
      <c r="M2170" s="1" t="inlineStr">
        <is>
          <t>Успешно</t>
        </is>
      </c>
      <c r="N2170" s="1" t="inlineStr">
        <is>
          <t>15.03.2026</t>
        </is>
      </c>
      <c r="O2170" s="1" t="inlineStr"/>
      <c r="P2170" s="1" t="inlineStr"/>
      <c r="Q2170" s="1" t="inlineStr">
        <is>
          <t>Пользовательский интерфейс</t>
        </is>
      </c>
    </row>
    <row r="2171">
      <c r="B2171" s="1" t="inlineStr">
        <is>
          <t>180849732</t>
        </is>
      </c>
      <c r="C2171" s="1" t="inlineStr">
        <is>
          <t>13246997</t>
        </is>
      </c>
      <c r="D2171" t="inlineStr">
        <is>
          <t>работник 656</t>
        </is>
      </c>
      <c r="E2171" s="1" t="inlineStr">
        <is>
          <t>ОБЩЕСТВО С ОГРАНИЧЕННОЙ ОТВЕТСТВЕННОСТЬЮ "АМУР ЗОЛОТО"</t>
        </is>
      </c>
      <c r="F2171" s="1" t="inlineStr">
        <is>
          <t>2708001686</t>
        </is>
      </c>
      <c r="G2171" s="1" t="inlineStr">
        <is>
          <t>Слесарь по ремонту автомобилей и тяжелой техники</t>
        </is>
      </c>
      <c r="H2171" s="1" t="inlineStr">
        <is>
          <t>ООО "Амур Золото"</t>
        </is>
      </c>
      <c r="I2171" s="1" t="inlineStr">
        <is>
          <t>2708001686</t>
        </is>
      </c>
      <c r="J2171" s="1" t="inlineStr">
        <is>
          <t>ОТ № ЮГОК АТЦ 26-02</t>
        </is>
      </c>
      <c r="K217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171" s="1" t="inlineStr">
        <is>
          <t>07.03.2026</t>
        </is>
      </c>
      <c r="M2171" s="1" t="inlineStr">
        <is>
          <t>Успешно</t>
        </is>
      </c>
      <c r="N2171" s="1" t="inlineStr">
        <is>
          <t>15.03.2026</t>
        </is>
      </c>
      <c r="O2171" s="1" t="inlineStr"/>
      <c r="P2171" s="1" t="inlineStr"/>
      <c r="Q2171" s="1" t="inlineStr">
        <is>
          <t>Пользовательский интерфейс</t>
        </is>
      </c>
    </row>
    <row r="2172">
      <c r="B2172" s="1" t="inlineStr">
        <is>
          <t>180849733</t>
        </is>
      </c>
      <c r="C2172" s="1" t="inlineStr">
        <is>
          <t>13246997</t>
        </is>
      </c>
      <c r="D2172" t="inlineStr">
        <is>
          <t>работник 657</t>
        </is>
      </c>
      <c r="E2172" s="1" t="inlineStr">
        <is>
          <t>ОБЩЕСТВО С ОГРАНИЧЕННОЙ ОТВЕТСТВЕННОСТЬЮ "АМУР ЗОЛОТО"</t>
        </is>
      </c>
      <c r="F2172" s="1" t="inlineStr">
        <is>
          <t>2708001686</t>
        </is>
      </c>
      <c r="G2172" s="1" t="inlineStr">
        <is>
          <t>Заместитель главного механика</t>
        </is>
      </c>
      <c r="H2172" s="1" t="inlineStr">
        <is>
          <t>ООО "Амур Золото"</t>
        </is>
      </c>
      <c r="I2172" s="1" t="inlineStr">
        <is>
          <t>2708001686</t>
        </is>
      </c>
      <c r="J2172" s="1" t="inlineStr">
        <is>
          <t>ОТ № ЮГОК АУП 26-01</t>
        </is>
      </c>
      <c r="K2172" s="1" t="inlineStr">
        <is>
          <t>Использование (применение) средств индивидуальной защиты</t>
        </is>
      </c>
      <c r="L2172" s="1" t="inlineStr">
        <is>
          <t>07.03.2026</t>
        </is>
      </c>
      <c r="M2172" s="1" t="inlineStr">
        <is>
          <t>Успешно</t>
        </is>
      </c>
      <c r="N2172" s="1" t="inlineStr">
        <is>
          <t>15.03.2026</t>
        </is>
      </c>
      <c r="O2172" s="1" t="inlineStr"/>
      <c r="P2172" s="1" t="inlineStr"/>
      <c r="Q2172" s="1" t="inlineStr">
        <is>
          <t>Пользовательский интерфейс</t>
        </is>
      </c>
    </row>
    <row r="2173">
      <c r="B2173" s="1" t="inlineStr">
        <is>
          <t>180849734</t>
        </is>
      </c>
      <c r="C2173" s="1" t="inlineStr">
        <is>
          <t>13246997</t>
        </is>
      </c>
      <c r="D2173" t="inlineStr">
        <is>
          <t>работник 657</t>
        </is>
      </c>
      <c r="E2173" s="1" t="inlineStr">
        <is>
          <t>ОБЩЕСТВО С ОГРАНИЧЕННОЙ ОТВЕТСТВЕННОСТЬЮ "АМУР ЗОЛОТО"</t>
        </is>
      </c>
      <c r="F2173" s="1" t="inlineStr">
        <is>
          <t>2708001686</t>
        </is>
      </c>
      <c r="G2173" s="1" t="inlineStr">
        <is>
          <t>Заместитель главного механика</t>
        </is>
      </c>
      <c r="H2173" s="1" t="inlineStr">
        <is>
          <t>ООО "Амур Золото"</t>
        </is>
      </c>
      <c r="I2173" s="1" t="inlineStr">
        <is>
          <t>2708001686</t>
        </is>
      </c>
      <c r="J2173" s="1" t="inlineStr">
        <is>
          <t>ОТ № ЮГОК АУП 26-01</t>
        </is>
      </c>
      <c r="K217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173" s="1" t="inlineStr">
        <is>
          <t>07.03.2026</t>
        </is>
      </c>
      <c r="M2173" s="1" t="inlineStr">
        <is>
          <t>Успешно</t>
        </is>
      </c>
      <c r="N2173" s="1" t="inlineStr">
        <is>
          <t>15.03.2026</t>
        </is>
      </c>
      <c r="O2173" s="1" t="inlineStr"/>
      <c r="P2173" s="1" t="inlineStr"/>
      <c r="Q2173" s="1" t="inlineStr">
        <is>
          <t>Пользовательский интерфейс</t>
        </is>
      </c>
    </row>
    <row r="2174">
      <c r="B2174" s="1" t="inlineStr">
        <is>
          <t>180849735</t>
        </is>
      </c>
      <c r="C2174" s="1" t="inlineStr">
        <is>
          <t>13246997</t>
        </is>
      </c>
      <c r="D2174" t="inlineStr">
        <is>
          <t>работник 658</t>
        </is>
      </c>
      <c r="E2174" s="1" t="inlineStr">
        <is>
          <t>ОБЩЕСТВО С ОГРАНИЧЕННОЙ ОТВЕТСТВЕННОСТЬЮ "АМУР ЗОЛОТО"</t>
        </is>
      </c>
      <c r="F2174" s="1" t="inlineStr">
        <is>
          <t>2708001686</t>
        </is>
      </c>
      <c r="G2174" s="1" t="inlineStr">
        <is>
          <t>Уборщик производственных и служебных помещений</t>
        </is>
      </c>
      <c r="H2174" s="1" t="inlineStr">
        <is>
          <t>ООО "Амур Золото"</t>
        </is>
      </c>
      <c r="I2174" s="1" t="inlineStr">
        <is>
          <t>2708001686</t>
        </is>
      </c>
      <c r="J2174" s="1" t="inlineStr">
        <is>
          <t>ОТ № ЮГОК АХЧ 26-01</t>
        </is>
      </c>
      <c r="K2174" s="1" t="inlineStr">
        <is>
          <t>Использование (применение) средств индивидуальной защиты</t>
        </is>
      </c>
      <c r="L2174" s="1" t="inlineStr">
        <is>
          <t>26.02.2026</t>
        </is>
      </c>
      <c r="M2174" s="1" t="inlineStr">
        <is>
          <t>Успешно</t>
        </is>
      </c>
      <c r="N2174" s="1" t="inlineStr">
        <is>
          <t>15.03.2026</t>
        </is>
      </c>
      <c r="O2174" s="1" t="inlineStr"/>
      <c r="P2174" s="1" t="inlineStr"/>
      <c r="Q2174" s="1" t="inlineStr">
        <is>
          <t>Пользовательский интерфейс</t>
        </is>
      </c>
    </row>
    <row r="2175">
      <c r="B2175" s="1" t="inlineStr">
        <is>
          <t>180849736</t>
        </is>
      </c>
      <c r="C2175" s="1" t="inlineStr">
        <is>
          <t>13246997</t>
        </is>
      </c>
      <c r="D2175" t="inlineStr">
        <is>
          <t>работник 658</t>
        </is>
      </c>
      <c r="E2175" s="1" t="inlineStr">
        <is>
          <t>ОБЩЕСТВО С ОГРАНИЧЕННОЙ ОТВЕТСТВЕННОСТЬЮ "АМУР ЗОЛОТО"</t>
        </is>
      </c>
      <c r="F2175" s="1" t="inlineStr">
        <is>
          <t>2708001686</t>
        </is>
      </c>
      <c r="G2175" s="1" t="inlineStr">
        <is>
          <t>Уборщик производственных и служебных помещений</t>
        </is>
      </c>
      <c r="H2175" s="1" t="inlineStr">
        <is>
          <t>ООО "Амур Золото"</t>
        </is>
      </c>
      <c r="I2175" s="1" t="inlineStr">
        <is>
          <t>2708001686</t>
        </is>
      </c>
      <c r="J2175" s="1" t="inlineStr">
        <is>
          <t>ОТ № ЮГОК АХЧ 26-01</t>
        </is>
      </c>
      <c r="K217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175" s="1" t="inlineStr">
        <is>
          <t>26.02.2026</t>
        </is>
      </c>
      <c r="M2175" s="1" t="inlineStr">
        <is>
          <t>Успешно</t>
        </is>
      </c>
      <c r="N2175" s="1" t="inlineStr">
        <is>
          <t>15.03.2026</t>
        </is>
      </c>
      <c r="O2175" s="1" t="inlineStr"/>
      <c r="P2175" s="1" t="inlineStr"/>
      <c r="Q2175" s="1" t="inlineStr">
        <is>
          <t>Пользовательский интерфейс</t>
        </is>
      </c>
    </row>
    <row r="2176">
      <c r="B2176" s="1" t="inlineStr">
        <is>
          <t>180849737</t>
        </is>
      </c>
      <c r="C2176" s="1" t="inlineStr">
        <is>
          <t>13246997</t>
        </is>
      </c>
      <c r="D2176" t="inlineStr">
        <is>
          <t>работник 659</t>
        </is>
      </c>
      <c r="E2176" s="1" t="inlineStr">
        <is>
          <t>ОБЩЕСТВО С ОГРАНИЧЕННОЙ ОТВЕТСТВЕННОСТЬЮ "АМУР ЗОЛОТО"</t>
        </is>
      </c>
      <c r="F2176" s="1" t="inlineStr">
        <is>
          <t>2708001686</t>
        </is>
      </c>
      <c r="G2176" s="1" t="inlineStr">
        <is>
          <t>Электрогазосварщик (занятый на резке и ручной сварке)</t>
        </is>
      </c>
      <c r="H2176" s="1" t="inlineStr">
        <is>
          <t>ООО "Амур Золото"</t>
        </is>
      </c>
      <c r="I2176" s="1" t="inlineStr">
        <is>
          <t>2708001686</t>
        </is>
      </c>
      <c r="J2176" s="1" t="inlineStr">
        <is>
          <t>ОТ № ЮГОК ЗИОФ 26-03</t>
        </is>
      </c>
      <c r="K2176" s="1" t="inlineStr">
        <is>
          <t>Использование (применение) средств индивидуальной защиты</t>
        </is>
      </c>
      <c r="L2176" s="1" t="inlineStr">
        <is>
          <t>27.02.2026</t>
        </is>
      </c>
      <c r="M2176" s="1" t="inlineStr">
        <is>
          <t>Успешно</t>
        </is>
      </c>
      <c r="N2176" s="1" t="inlineStr">
        <is>
          <t>15.03.2026</t>
        </is>
      </c>
      <c r="O2176" s="1" t="inlineStr"/>
      <c r="P2176" s="1" t="inlineStr"/>
      <c r="Q2176" s="1" t="inlineStr">
        <is>
          <t>Пользовательский интерфейс</t>
        </is>
      </c>
    </row>
    <row r="2177">
      <c r="B2177" s="1" t="inlineStr">
        <is>
          <t>180849738</t>
        </is>
      </c>
      <c r="C2177" s="1" t="inlineStr">
        <is>
          <t>13246997</t>
        </is>
      </c>
      <c r="D2177" t="inlineStr">
        <is>
          <t>работник 659</t>
        </is>
      </c>
      <c r="E2177" s="1" t="inlineStr">
        <is>
          <t>ОБЩЕСТВО С ОГРАНИЧЕННОЙ ОТВЕТСТВЕННОСТЬЮ "АМУР ЗОЛОТО"</t>
        </is>
      </c>
      <c r="F2177" s="1" t="inlineStr">
        <is>
          <t>2708001686</t>
        </is>
      </c>
      <c r="G2177" s="1" t="inlineStr">
        <is>
          <t>Электрогазосварщик (занятый на резке и ручной сварке)</t>
        </is>
      </c>
      <c r="H2177" s="1" t="inlineStr">
        <is>
          <t>ООО "Амур Золото"</t>
        </is>
      </c>
      <c r="I2177" s="1" t="inlineStr">
        <is>
          <t>2708001686</t>
        </is>
      </c>
      <c r="J2177" s="1" t="inlineStr">
        <is>
          <t>ОТ № ЮГОК ЗИОФ 26-03</t>
        </is>
      </c>
      <c r="K217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177" s="1" t="inlineStr">
        <is>
          <t>27.02.2026</t>
        </is>
      </c>
      <c r="M2177" s="1" t="inlineStr">
        <is>
          <t>Успешно</t>
        </is>
      </c>
      <c r="N2177" s="1" t="inlineStr">
        <is>
          <t>15.03.2026</t>
        </is>
      </c>
      <c r="O2177" s="1" t="inlineStr"/>
      <c r="P2177" s="1" t="inlineStr"/>
      <c r="Q2177" s="1" t="inlineStr">
        <is>
          <t>Пользовательский интерфейс</t>
        </is>
      </c>
    </row>
    <row r="2178">
      <c r="B2178" s="1" t="inlineStr">
        <is>
          <t>180849739</t>
        </is>
      </c>
      <c r="C2178" s="1" t="inlineStr">
        <is>
          <t>13246997</t>
        </is>
      </c>
      <c r="D2178" t="inlineStr">
        <is>
          <t>работник 660</t>
        </is>
      </c>
      <c r="E2178" s="1" t="inlineStr">
        <is>
          <t>ОБЩЕСТВО С ОГРАНИЧЕННОЙ ОТВЕТСТВЕННОСТЬЮ "АМУР ЗОЛОТО"</t>
        </is>
      </c>
      <c r="F2178" s="1" t="inlineStr">
        <is>
          <t>2708001686</t>
        </is>
      </c>
      <c r="G2178" s="1" t="inlineStr">
        <is>
          <t>Аппаратчик-гидрометаллург</t>
        </is>
      </c>
      <c r="H2178" s="1" t="inlineStr">
        <is>
          <t>ООО "Амур Золото"</t>
        </is>
      </c>
      <c r="I2178" s="1" t="inlineStr">
        <is>
          <t>2708001686</t>
        </is>
      </c>
      <c r="J2178" s="1" t="inlineStr">
        <is>
          <t>ОТ № ЮГОК ЗИОФ 26-04</t>
        </is>
      </c>
      <c r="K2178" s="1" t="inlineStr">
        <is>
          <t>Использование (применение) средств индивидуальной защиты</t>
        </is>
      </c>
      <c r="L2178" s="1" t="inlineStr">
        <is>
          <t>07.03.2026</t>
        </is>
      </c>
      <c r="M2178" s="1" t="inlineStr">
        <is>
          <t>Успешно</t>
        </is>
      </c>
      <c r="N2178" s="1" t="inlineStr">
        <is>
          <t>15.03.2026</t>
        </is>
      </c>
      <c r="O2178" s="1" t="inlineStr"/>
      <c r="P2178" s="1" t="inlineStr"/>
      <c r="Q2178" s="1" t="inlineStr">
        <is>
          <t>Пользовательский интерфейс</t>
        </is>
      </c>
    </row>
    <row r="2179">
      <c r="B2179" s="1" t="inlineStr">
        <is>
          <t>180849740</t>
        </is>
      </c>
      <c r="C2179" s="1" t="inlineStr">
        <is>
          <t>13246997</t>
        </is>
      </c>
      <c r="D2179" t="inlineStr">
        <is>
          <t>работник 660</t>
        </is>
      </c>
      <c r="E2179" s="1" t="inlineStr">
        <is>
          <t>ОБЩЕСТВО С ОГРАНИЧЕННОЙ ОТВЕТСТВЕННОСТЬЮ "АМУР ЗОЛОТО"</t>
        </is>
      </c>
      <c r="F2179" s="1" t="inlineStr">
        <is>
          <t>2708001686</t>
        </is>
      </c>
      <c r="G2179" s="1" t="inlineStr">
        <is>
          <t>Аппаратчик-гидрометаллург</t>
        </is>
      </c>
      <c r="H2179" s="1" t="inlineStr">
        <is>
          <t>ООО "Амур Золото"</t>
        </is>
      </c>
      <c r="I2179" s="1" t="inlineStr">
        <is>
          <t>2708001686</t>
        </is>
      </c>
      <c r="J2179" s="1" t="inlineStr">
        <is>
          <t>ОТ № ЮГОК ЗИОФ 26-04</t>
        </is>
      </c>
      <c r="K217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179" s="1" t="inlineStr">
        <is>
          <t>07.03.2026</t>
        </is>
      </c>
      <c r="M2179" s="1" t="inlineStr">
        <is>
          <t>Успешно</t>
        </is>
      </c>
      <c r="N2179" s="1" t="inlineStr">
        <is>
          <t>15.03.2026</t>
        </is>
      </c>
      <c r="O2179" s="1" t="inlineStr"/>
      <c r="P2179" s="1" t="inlineStr"/>
      <c r="Q2179" s="1" t="inlineStr">
        <is>
          <t>Пользовательский интерфейс</t>
        </is>
      </c>
    </row>
    <row r="2180">
      <c r="B2180" s="1" t="inlineStr">
        <is>
          <t>180849741</t>
        </is>
      </c>
      <c r="C2180" s="1" t="inlineStr">
        <is>
          <t>13246997</t>
        </is>
      </c>
      <c r="D2180" t="inlineStr">
        <is>
          <t>работник 661</t>
        </is>
      </c>
      <c r="E2180" s="1" t="inlineStr">
        <is>
          <t>ОБЩЕСТВО С ОГРАНИЧЕННОЙ ОТВЕТСТВЕННОСТЬЮ "АМУР ЗОЛОТО"</t>
        </is>
      </c>
      <c r="F2180" s="1" t="inlineStr">
        <is>
          <t>2708001686</t>
        </is>
      </c>
      <c r="G2180" s="1" t="inlineStr">
        <is>
          <t>Подсобный рабочий</t>
        </is>
      </c>
      <c r="H2180" s="1" t="inlineStr">
        <is>
          <t>ООО "Амур Золото"</t>
        </is>
      </c>
      <c r="I2180" s="1" t="inlineStr">
        <is>
          <t>2708001686</t>
        </is>
      </c>
      <c r="J2180" s="1" t="inlineStr">
        <is>
          <t>ОТ № ЮГОК ЗИОФ 26-04</t>
        </is>
      </c>
      <c r="K2180" s="1" t="inlineStr">
        <is>
          <t>Использование (применение) средств индивидуальной защиты</t>
        </is>
      </c>
      <c r="L2180" s="1" t="inlineStr">
        <is>
          <t>07.03.2026</t>
        </is>
      </c>
      <c r="M2180" s="1" t="inlineStr">
        <is>
          <t>Успешно</t>
        </is>
      </c>
      <c r="N2180" s="1" t="inlineStr">
        <is>
          <t>15.03.2026</t>
        </is>
      </c>
      <c r="O2180" s="1" t="inlineStr"/>
      <c r="P2180" s="1" t="inlineStr"/>
      <c r="Q2180" s="1" t="inlineStr">
        <is>
          <t>Пользовательский интерфейс</t>
        </is>
      </c>
    </row>
    <row r="2181">
      <c r="B2181" s="1" t="inlineStr">
        <is>
          <t>180849742</t>
        </is>
      </c>
      <c r="C2181" s="1" t="inlineStr">
        <is>
          <t>13246997</t>
        </is>
      </c>
      <c r="D2181" t="inlineStr">
        <is>
          <t>работник 661</t>
        </is>
      </c>
      <c r="E2181" s="1" t="inlineStr">
        <is>
          <t>ОБЩЕСТВО С ОГРАНИЧЕННОЙ ОТВЕТСТВЕННОСТЬЮ "АМУР ЗОЛОТО"</t>
        </is>
      </c>
      <c r="F2181" s="1" t="inlineStr">
        <is>
          <t>2708001686</t>
        </is>
      </c>
      <c r="G2181" s="1" t="inlineStr">
        <is>
          <t>Подсобный рабочий</t>
        </is>
      </c>
      <c r="H2181" s="1" t="inlineStr">
        <is>
          <t>ООО "Амур Золото"</t>
        </is>
      </c>
      <c r="I2181" s="1" t="inlineStr">
        <is>
          <t>2708001686</t>
        </is>
      </c>
      <c r="J2181" s="1" t="inlineStr">
        <is>
          <t>ОТ № ЮГОК ЗИОФ 26-04</t>
        </is>
      </c>
      <c r="K218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181" s="1" t="inlineStr">
        <is>
          <t>07.03.2026</t>
        </is>
      </c>
      <c r="M2181" s="1" t="inlineStr">
        <is>
          <t>Успешно</t>
        </is>
      </c>
      <c r="N2181" s="1" t="inlineStr">
        <is>
          <t>15.03.2026</t>
        </is>
      </c>
      <c r="O2181" s="1" t="inlineStr"/>
      <c r="P2181" s="1" t="inlineStr"/>
      <c r="Q2181" s="1" t="inlineStr">
        <is>
          <t>Пользовательский интерфейс</t>
        </is>
      </c>
    </row>
    <row r="2182">
      <c r="B2182" s="1" t="inlineStr">
        <is>
          <t>180849743</t>
        </is>
      </c>
      <c r="C2182" s="1" t="inlineStr">
        <is>
          <t>13246997</t>
        </is>
      </c>
      <c r="D2182" t="inlineStr">
        <is>
          <t>работник 662</t>
        </is>
      </c>
      <c r="E2182" s="1" t="inlineStr">
        <is>
          <t>ОБЩЕСТВО С ОГРАНИЧЕННОЙ ОТВЕТСТВЕННОСТЬЮ "АМУР ЗОЛОТО"</t>
        </is>
      </c>
      <c r="F2182" s="1" t="inlineStr">
        <is>
          <t>2708001686</t>
        </is>
      </c>
      <c r="G2182" s="1" t="inlineStr">
        <is>
          <t>Фильтровальщик</t>
        </is>
      </c>
      <c r="H2182" s="1" t="inlineStr">
        <is>
          <t>ООО "Амур Золото"</t>
        </is>
      </c>
      <c r="I2182" s="1" t="inlineStr">
        <is>
          <t>2708001686</t>
        </is>
      </c>
      <c r="J2182" s="1" t="inlineStr">
        <is>
          <t>ОТ № ЮГОК ЗИОФ 26-05</t>
        </is>
      </c>
      <c r="K2182" s="1" t="inlineStr">
        <is>
          <t>Использование (применение) средств индивидуальной защиты</t>
        </is>
      </c>
      <c r="L2182" s="1" t="inlineStr">
        <is>
          <t>09.03.2026</t>
        </is>
      </c>
      <c r="M2182" s="1" t="inlineStr">
        <is>
          <t>Успешно</t>
        </is>
      </c>
      <c r="N2182" s="1" t="inlineStr">
        <is>
          <t>15.03.2026</t>
        </is>
      </c>
      <c r="O2182" s="1" t="inlineStr"/>
      <c r="P2182" s="1" t="inlineStr"/>
      <c r="Q2182" s="1" t="inlineStr">
        <is>
          <t>Пользовательский интерфейс</t>
        </is>
      </c>
    </row>
    <row r="2183">
      <c r="B2183" s="1" t="inlineStr">
        <is>
          <t>180849744</t>
        </is>
      </c>
      <c r="C2183" s="1" t="inlineStr">
        <is>
          <t>13246997</t>
        </is>
      </c>
      <c r="D2183" t="inlineStr">
        <is>
          <t>работник 662</t>
        </is>
      </c>
      <c r="E2183" s="1" t="inlineStr">
        <is>
          <t>ОБЩЕСТВО С ОГРАНИЧЕННОЙ ОТВЕТСТВЕННОСТЬЮ "АМУР ЗОЛОТО"</t>
        </is>
      </c>
      <c r="F2183" s="1" t="inlineStr">
        <is>
          <t>2708001686</t>
        </is>
      </c>
      <c r="G2183" s="1" t="inlineStr">
        <is>
          <t>Фильтровальщик</t>
        </is>
      </c>
      <c r="H2183" s="1" t="inlineStr">
        <is>
          <t>ООО "Амур Золото"</t>
        </is>
      </c>
      <c r="I2183" s="1" t="inlineStr">
        <is>
          <t>2708001686</t>
        </is>
      </c>
      <c r="J2183" s="1" t="inlineStr">
        <is>
          <t>ОТ № ЮГОК ЗИОФ 26-05</t>
        </is>
      </c>
      <c r="K218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183" s="1" t="inlineStr">
        <is>
          <t>09.03.2026</t>
        </is>
      </c>
      <c r="M2183" s="1" t="inlineStr">
        <is>
          <t>Успешно</t>
        </is>
      </c>
      <c r="N2183" s="1" t="inlineStr">
        <is>
          <t>15.03.2026</t>
        </is>
      </c>
      <c r="O2183" s="1" t="inlineStr"/>
      <c r="P2183" s="1" t="inlineStr"/>
      <c r="Q2183" s="1" t="inlineStr">
        <is>
          <t>Пользовательский интерфейс</t>
        </is>
      </c>
    </row>
    <row r="2184">
      <c r="B2184" s="1" t="inlineStr">
        <is>
          <t>180849745</t>
        </is>
      </c>
      <c r="C2184" s="1" t="inlineStr">
        <is>
          <t>13246997</t>
        </is>
      </c>
      <c r="D2184" t="inlineStr">
        <is>
          <t>работник 455</t>
        </is>
      </c>
      <c r="E2184" s="1" t="inlineStr">
        <is>
          <t>ОБЩЕСТВО С ОГРАНИЧЕННОЙ ОТВЕТСТВЕННОСТЬЮ "АМУР ЗОЛОТО"</t>
        </is>
      </c>
      <c r="F2184" s="1" t="inlineStr">
        <is>
          <t>2708001686</t>
        </is>
      </c>
      <c r="G2184" s="1" t="inlineStr">
        <is>
          <t>Фильтровальщик</t>
        </is>
      </c>
      <c r="H2184" s="1" t="inlineStr">
        <is>
          <t>ООО "Амур Золото"</t>
        </is>
      </c>
      <c r="I2184" s="1" t="inlineStr">
        <is>
          <t>2708001686</t>
        </is>
      </c>
      <c r="J2184" s="1" t="inlineStr">
        <is>
          <t>ОТ № ЮГОК ЗИОФ 26-05</t>
        </is>
      </c>
      <c r="K2184" s="1" t="inlineStr">
        <is>
          <t>Использование (применение) средств индивидуальной защиты</t>
        </is>
      </c>
      <c r="L2184" s="1" t="inlineStr">
        <is>
          <t>09.03.2026</t>
        </is>
      </c>
      <c r="M2184" s="1" t="inlineStr">
        <is>
          <t>Успешно</t>
        </is>
      </c>
      <c r="N2184" s="1" t="inlineStr">
        <is>
          <t>15.03.2026</t>
        </is>
      </c>
      <c r="O2184" s="1" t="inlineStr"/>
      <c r="P2184" s="1" t="inlineStr"/>
      <c r="Q2184" s="1" t="inlineStr">
        <is>
          <t>Пользовательский интерфейс</t>
        </is>
      </c>
    </row>
    <row r="2185">
      <c r="B2185" s="1" t="inlineStr">
        <is>
          <t>180849746</t>
        </is>
      </c>
      <c r="C2185" s="1" t="inlineStr">
        <is>
          <t>13246997</t>
        </is>
      </c>
      <c r="D2185" t="inlineStr">
        <is>
          <t>работник 455</t>
        </is>
      </c>
      <c r="E2185" s="1" t="inlineStr">
        <is>
          <t>ОБЩЕСТВО С ОГРАНИЧЕННОЙ ОТВЕТСТВЕННОСТЬЮ "АМУР ЗОЛОТО"</t>
        </is>
      </c>
      <c r="F2185" s="1" t="inlineStr">
        <is>
          <t>2708001686</t>
        </is>
      </c>
      <c r="G2185" s="1" t="inlineStr">
        <is>
          <t>Фильтровальщик</t>
        </is>
      </c>
      <c r="H2185" s="1" t="inlineStr">
        <is>
          <t>ООО "Амур Золото"</t>
        </is>
      </c>
      <c r="I2185" s="1" t="inlineStr">
        <is>
          <t>2708001686</t>
        </is>
      </c>
      <c r="J2185" s="1" t="inlineStr">
        <is>
          <t>ОТ № ЮГОК ЗИОФ 26-05</t>
        </is>
      </c>
      <c r="K218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185" s="1" t="inlineStr">
        <is>
          <t>09.03.2026</t>
        </is>
      </c>
      <c r="M2185" s="1" t="inlineStr">
        <is>
          <t>Успешно</t>
        </is>
      </c>
      <c r="N2185" s="1" t="inlineStr">
        <is>
          <t>15.03.2026</t>
        </is>
      </c>
      <c r="O2185" s="1" t="inlineStr"/>
      <c r="P2185" s="1" t="inlineStr"/>
      <c r="Q2185" s="1" t="inlineStr">
        <is>
          <t>Пользовательский интерфейс</t>
        </is>
      </c>
    </row>
    <row r="2186">
      <c r="B2186" s="1" t="inlineStr">
        <is>
          <t>180849747</t>
        </is>
      </c>
      <c r="C2186" s="1" t="inlineStr">
        <is>
          <t>13246997</t>
        </is>
      </c>
      <c r="D2186" t="inlineStr">
        <is>
          <t>работник 663</t>
        </is>
      </c>
      <c r="E2186" s="1" t="inlineStr">
        <is>
          <t>ОБЩЕСТВО С ОГРАНИЧЕННОЙ ОТВЕТСТВЕННОСТЬЮ "АМУР ЗОЛОТО"</t>
        </is>
      </c>
      <c r="F2186" s="1" t="inlineStr">
        <is>
          <t>2708001686</t>
        </is>
      </c>
      <c r="G2186" s="1" t="inlineStr">
        <is>
          <t>Проходчик (с исполнением обязанностей взрывника)</t>
        </is>
      </c>
      <c r="H2186" s="1" t="inlineStr">
        <is>
          <t>ООО "Амур Золото"</t>
        </is>
      </c>
      <c r="I2186" s="1" t="inlineStr">
        <is>
          <t>2708001686</t>
        </is>
      </c>
      <c r="J2186" s="1" t="inlineStr">
        <is>
          <t>ОТ № ЮГОК ПГУ 26-20</t>
        </is>
      </c>
      <c r="K2186" s="1" t="inlineStr">
        <is>
          <t>Использование (применение) средств индивидуальной защиты</t>
        </is>
      </c>
      <c r="L2186" s="1" t="inlineStr">
        <is>
          <t>26.02.2026</t>
        </is>
      </c>
      <c r="M2186" s="1" t="inlineStr">
        <is>
          <t>Успешно</t>
        </is>
      </c>
      <c r="N2186" s="1" t="inlineStr">
        <is>
          <t>15.03.2026</t>
        </is>
      </c>
      <c r="O2186" s="1" t="inlineStr"/>
      <c r="P2186" s="1" t="inlineStr"/>
      <c r="Q2186" s="1" t="inlineStr">
        <is>
          <t>Пользовательский интерфейс</t>
        </is>
      </c>
    </row>
    <row r="2187">
      <c r="B2187" s="1" t="inlineStr">
        <is>
          <t>180849748</t>
        </is>
      </c>
      <c r="C2187" s="1" t="inlineStr">
        <is>
          <t>13246997</t>
        </is>
      </c>
      <c r="D2187" t="inlineStr">
        <is>
          <t>работник 663</t>
        </is>
      </c>
      <c r="E2187" s="1" t="inlineStr">
        <is>
          <t>ОБЩЕСТВО С ОГРАНИЧЕННОЙ ОТВЕТСТВЕННОСТЬЮ "АМУР ЗОЛОТО"</t>
        </is>
      </c>
      <c r="F2187" s="1" t="inlineStr">
        <is>
          <t>2708001686</t>
        </is>
      </c>
      <c r="G2187" s="1" t="inlineStr">
        <is>
          <t>Проходчик (с исполнением обязанностей взрывника)</t>
        </is>
      </c>
      <c r="H2187" s="1" t="inlineStr">
        <is>
          <t>ООО "Амур Золото"</t>
        </is>
      </c>
      <c r="I2187" s="1" t="inlineStr">
        <is>
          <t>2708001686</t>
        </is>
      </c>
      <c r="J2187" s="1" t="inlineStr">
        <is>
          <t>ОТ № ЮГОК ПГУ 26-20</t>
        </is>
      </c>
      <c r="K218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187" s="1" t="inlineStr">
        <is>
          <t>26.02.2026</t>
        </is>
      </c>
      <c r="M2187" s="1" t="inlineStr">
        <is>
          <t>Успешно</t>
        </is>
      </c>
      <c r="N2187" s="1" t="inlineStr">
        <is>
          <t>15.03.2026</t>
        </is>
      </c>
      <c r="O2187" s="1" t="inlineStr"/>
      <c r="P2187" s="1" t="inlineStr"/>
      <c r="Q2187" s="1" t="inlineStr">
        <is>
          <t>Пользовательский интерфейс</t>
        </is>
      </c>
    </row>
    <row r="2188">
      <c r="B2188" s="1" t="inlineStr">
        <is>
          <t>180849749</t>
        </is>
      </c>
      <c r="C2188" s="1" t="inlineStr">
        <is>
          <t>13246997</t>
        </is>
      </c>
      <c r="D2188" t="inlineStr">
        <is>
          <t>работник 663</t>
        </is>
      </c>
      <c r="E2188" s="1" t="inlineStr">
        <is>
          <t>ОБЩЕСТВО С ОГРАНИЧЕННОЙ ОТВЕТСТВЕННОСТЬЮ "АМУР ЗОЛОТО"</t>
        </is>
      </c>
      <c r="F2188" s="1" t="inlineStr">
        <is>
          <t>2708001686</t>
        </is>
      </c>
      <c r="G2188" s="1" t="inlineStr">
        <is>
          <t>Проходчик (с исполнением обязанностей взрывника)</t>
        </is>
      </c>
      <c r="H2188" s="1" t="inlineStr">
        <is>
          <t>ООО "Амур Золото"</t>
        </is>
      </c>
      <c r="I2188" s="1" t="inlineStr">
        <is>
          <t>2708001686</t>
        </is>
      </c>
      <c r="J2188" s="1" t="inlineStr">
        <is>
          <t>ОТ № ЮГОК ПГУ 26-20</t>
        </is>
      </c>
      <c r="K2188" s="1" t="inlineStr">
        <is>
          <t>Безопасные методы и приемы выполнения работ в ограниченных и замкнутых пространствах (ОЗП)</t>
        </is>
      </c>
      <c r="L2188" s="1" t="inlineStr">
        <is>
          <t>26.02.2026</t>
        </is>
      </c>
      <c r="M2188" s="1" t="inlineStr">
        <is>
          <t>Успешно</t>
        </is>
      </c>
      <c r="N2188" s="1" t="inlineStr">
        <is>
          <t>15.03.2026</t>
        </is>
      </c>
      <c r="O2188" s="1" t="inlineStr"/>
      <c r="P2188" s="1" t="inlineStr"/>
      <c r="Q2188" s="1" t="inlineStr">
        <is>
          <t>Пользовательский интерфейс</t>
        </is>
      </c>
    </row>
    <row r="2189">
      <c r="B2189" s="1" t="inlineStr">
        <is>
          <t>180849750</t>
        </is>
      </c>
      <c r="C2189" s="1" t="inlineStr">
        <is>
          <t>13246997</t>
        </is>
      </c>
      <c r="D2189" t="inlineStr">
        <is>
          <t>работник 664</t>
        </is>
      </c>
      <c r="E2189" s="1" t="inlineStr">
        <is>
          <t>ОБЩЕСТВО С ОГРАНИЧЕННОЙ ОТВЕТСТВЕННОСТЬЮ "АМУР ЗОЛОТО"</t>
        </is>
      </c>
      <c r="F2189" s="1" t="inlineStr">
        <is>
          <t>2708001686</t>
        </is>
      </c>
      <c r="G2189" s="1" t="inlineStr">
        <is>
          <t>Заместитель начальника пылевентиляционной службы</t>
        </is>
      </c>
      <c r="H2189" s="1" t="inlineStr">
        <is>
          <t>ООО "Амур Золото"</t>
        </is>
      </c>
      <c r="I2189" s="1" t="inlineStr">
        <is>
          <t>2708001686</t>
        </is>
      </c>
      <c r="J2189" s="1" t="inlineStr">
        <is>
          <t>ОТ № ЮГОК ПГУ 26-21</t>
        </is>
      </c>
      <c r="K2189" s="1" t="inlineStr">
        <is>
          <t>Использование (применение) средств индивидуальной защиты</t>
        </is>
      </c>
      <c r="L2189" s="1" t="inlineStr">
        <is>
          <t>07.03.2026</t>
        </is>
      </c>
      <c r="M2189" s="1" t="inlineStr">
        <is>
          <t>Успешно</t>
        </is>
      </c>
      <c r="N2189" s="1" t="inlineStr">
        <is>
          <t>15.03.2026</t>
        </is>
      </c>
      <c r="O2189" s="1" t="inlineStr"/>
      <c r="P2189" s="1" t="inlineStr"/>
      <c r="Q2189" s="1" t="inlineStr">
        <is>
          <t>Пользовательский интерфейс</t>
        </is>
      </c>
    </row>
    <row r="2190">
      <c r="B2190" s="1" t="inlineStr">
        <is>
          <t>180849751</t>
        </is>
      </c>
      <c r="C2190" s="1" t="inlineStr">
        <is>
          <t>13246997</t>
        </is>
      </c>
      <c r="D2190" t="inlineStr">
        <is>
          <t>работник 664</t>
        </is>
      </c>
      <c r="E2190" s="1" t="inlineStr">
        <is>
          <t>ОБЩЕСТВО С ОГРАНИЧЕННОЙ ОТВЕТСТВЕННОСТЬЮ "АМУР ЗОЛОТО"</t>
        </is>
      </c>
      <c r="F2190" s="1" t="inlineStr">
        <is>
          <t>2708001686</t>
        </is>
      </c>
      <c r="G2190" s="1" t="inlineStr">
        <is>
          <t>Заместитель начальника пылевентиляционной службы</t>
        </is>
      </c>
      <c r="H2190" s="1" t="inlineStr">
        <is>
          <t>ООО "Амур Золото"</t>
        </is>
      </c>
      <c r="I2190" s="1" t="inlineStr">
        <is>
          <t>2708001686</t>
        </is>
      </c>
      <c r="J2190" s="1" t="inlineStr">
        <is>
          <t>ОТ № ЮГОК ПГУ 26-21</t>
        </is>
      </c>
      <c r="K219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190" s="1" t="inlineStr">
        <is>
          <t>07.03.2026</t>
        </is>
      </c>
      <c r="M2190" s="1" t="inlineStr">
        <is>
          <t>Успешно</t>
        </is>
      </c>
      <c r="N2190" s="1" t="inlineStr">
        <is>
          <t>15.03.2026</t>
        </is>
      </c>
      <c r="O2190" s="1" t="inlineStr"/>
      <c r="P2190" s="1" t="inlineStr"/>
      <c r="Q2190" s="1" t="inlineStr">
        <is>
          <t>Пользовательский интерфейс</t>
        </is>
      </c>
    </row>
    <row r="2191">
      <c r="B2191" s="1" t="inlineStr">
        <is>
          <t>180849752</t>
        </is>
      </c>
      <c r="C2191" s="1" t="inlineStr">
        <is>
          <t>13246997</t>
        </is>
      </c>
      <c r="D2191" t="inlineStr">
        <is>
          <t>работник 665</t>
        </is>
      </c>
      <c r="E2191" s="1" t="inlineStr">
        <is>
          <t>ОБЩЕСТВО С ОГРАНИЧЕННОЙ ОТВЕТСТВЕННОСТЬЮ "АМУР ЗОЛОТО"</t>
        </is>
      </c>
      <c r="F2191" s="1" t="inlineStr">
        <is>
          <t>2708001686</t>
        </is>
      </c>
      <c r="G2191" s="1" t="inlineStr">
        <is>
          <t>Механик по ремонту самоходного транспорта (с правом выпуска на линию)</t>
        </is>
      </c>
      <c r="H2191" s="1" t="inlineStr">
        <is>
          <t>ООО "Амур Золото"</t>
        </is>
      </c>
      <c r="I2191" s="1" t="inlineStr">
        <is>
          <t>2708001686</t>
        </is>
      </c>
      <c r="J2191" s="1" t="inlineStr">
        <is>
          <t>ОТ № ЮГОК ПГУ 26-21</t>
        </is>
      </c>
      <c r="K2191" s="1" t="inlineStr">
        <is>
          <t>Использование (применение) средств индивидуальной защиты</t>
        </is>
      </c>
      <c r="L2191" s="1" t="inlineStr">
        <is>
          <t>07.03.2026</t>
        </is>
      </c>
      <c r="M2191" s="1" t="inlineStr">
        <is>
          <t>Успешно</t>
        </is>
      </c>
      <c r="N2191" s="1" t="inlineStr">
        <is>
          <t>15.03.2026</t>
        </is>
      </c>
      <c r="O2191" s="1" t="inlineStr"/>
      <c r="P2191" s="1" t="inlineStr"/>
      <c r="Q2191" s="1" t="inlineStr">
        <is>
          <t>Пользовательский интерфейс</t>
        </is>
      </c>
    </row>
    <row r="2192">
      <c r="B2192" s="1" t="inlineStr">
        <is>
          <t>180849753</t>
        </is>
      </c>
      <c r="C2192" s="1" t="inlineStr">
        <is>
          <t>13246997</t>
        </is>
      </c>
      <c r="D2192" t="inlineStr">
        <is>
          <t>работник 665</t>
        </is>
      </c>
      <c r="E2192" s="1" t="inlineStr">
        <is>
          <t>ОБЩЕСТВО С ОГРАНИЧЕННОЙ ОТВЕТСТВЕННОСТЬЮ "АМУР ЗОЛОТО"</t>
        </is>
      </c>
      <c r="F2192" s="1" t="inlineStr">
        <is>
          <t>2708001686</t>
        </is>
      </c>
      <c r="G2192" s="1" t="inlineStr">
        <is>
          <t>Механик по ремонту самоходного транспорта (с правом выпуска на линию)</t>
        </is>
      </c>
      <c r="H2192" s="1" t="inlineStr">
        <is>
          <t>ООО "Амур Золото"</t>
        </is>
      </c>
      <c r="I2192" s="1" t="inlineStr">
        <is>
          <t>2708001686</t>
        </is>
      </c>
      <c r="J2192" s="1" t="inlineStr">
        <is>
          <t>ОТ № ЮГОК ПГУ 26-21</t>
        </is>
      </c>
      <c r="K219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192" s="1" t="inlineStr">
        <is>
          <t>07.03.2026</t>
        </is>
      </c>
      <c r="M2192" s="1" t="inlineStr">
        <is>
          <t>Успешно</t>
        </is>
      </c>
      <c r="N2192" s="1" t="inlineStr">
        <is>
          <t>15.03.2026</t>
        </is>
      </c>
      <c r="O2192" s="1" t="inlineStr"/>
      <c r="P2192" s="1" t="inlineStr"/>
      <c r="Q2192" s="1" t="inlineStr">
        <is>
          <t>Пользовательский интерфейс</t>
        </is>
      </c>
    </row>
    <row r="2193">
      <c r="B2193" s="1" t="inlineStr">
        <is>
          <t>180849754</t>
        </is>
      </c>
      <c r="C2193" s="1" t="inlineStr">
        <is>
          <t>13246997</t>
        </is>
      </c>
      <c r="D2193" t="inlineStr">
        <is>
          <t>работник 666</t>
        </is>
      </c>
      <c r="E2193" s="1" t="inlineStr">
        <is>
          <t>ОБЩЕСТВО С ОГРАНИЧЕННОЙ ОТВЕТСТВЕННОСТЬЮ "АМУР ЗОЛОТО"</t>
        </is>
      </c>
      <c r="F2193" s="1" t="inlineStr">
        <is>
          <t>2708001686</t>
        </is>
      </c>
      <c r="G2193" s="1" t="inlineStr">
        <is>
          <t>Электрослесарь (слесарь) дежурный и по ремонту оборудования</t>
        </is>
      </c>
      <c r="H2193" s="1" t="inlineStr">
        <is>
          <t>ООО "Амур Золото"</t>
        </is>
      </c>
      <c r="I2193" s="1" t="inlineStr">
        <is>
          <t>2708001686</t>
        </is>
      </c>
      <c r="J2193" s="1" t="inlineStr">
        <is>
          <t>ОТ № ЮГОК ПГУ 26-22</t>
        </is>
      </c>
      <c r="K2193" s="1" t="inlineStr">
        <is>
          <t>Использование (применение) средств индивидуальной защиты</t>
        </is>
      </c>
      <c r="L2193" s="1" t="inlineStr">
        <is>
          <t>09.03.2026</t>
        </is>
      </c>
      <c r="M2193" s="1" t="inlineStr">
        <is>
          <t>Успешно</t>
        </is>
      </c>
      <c r="N2193" s="1" t="inlineStr">
        <is>
          <t>15.03.2026</t>
        </is>
      </c>
      <c r="O2193" s="1" t="inlineStr"/>
      <c r="P2193" s="1" t="inlineStr"/>
      <c r="Q2193" s="1" t="inlineStr">
        <is>
          <t>Пользовательский интерфейс</t>
        </is>
      </c>
    </row>
    <row r="2194">
      <c r="B2194" s="1" t="inlineStr">
        <is>
          <t>180849755</t>
        </is>
      </c>
      <c r="C2194" s="1" t="inlineStr">
        <is>
          <t>13246997</t>
        </is>
      </c>
      <c r="D2194" t="inlineStr">
        <is>
          <t>работник 666</t>
        </is>
      </c>
      <c r="E2194" s="1" t="inlineStr">
        <is>
          <t>ОБЩЕСТВО С ОГРАНИЧЕННОЙ ОТВЕТСТВЕННОСТЬЮ "АМУР ЗОЛОТО"</t>
        </is>
      </c>
      <c r="F2194" s="1" t="inlineStr">
        <is>
          <t>2708001686</t>
        </is>
      </c>
      <c r="G2194" s="1" t="inlineStr">
        <is>
          <t>Электрослесарь (слесарь) дежурный и по ремонту оборудования</t>
        </is>
      </c>
      <c r="H2194" s="1" t="inlineStr">
        <is>
          <t>ООО "Амур Золото"</t>
        </is>
      </c>
      <c r="I2194" s="1" t="inlineStr">
        <is>
          <t>2708001686</t>
        </is>
      </c>
      <c r="J2194" s="1" t="inlineStr">
        <is>
          <t>ОТ № ЮГОК ПГУ 26-22</t>
        </is>
      </c>
      <c r="K219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194" s="1" t="inlineStr">
        <is>
          <t>09.03.2026</t>
        </is>
      </c>
      <c r="M2194" s="1" t="inlineStr">
        <is>
          <t>Успешно</t>
        </is>
      </c>
      <c r="N2194" s="1" t="inlineStr">
        <is>
          <t>15.03.2026</t>
        </is>
      </c>
      <c r="O2194" s="1" t="inlineStr"/>
      <c r="P2194" s="1" t="inlineStr"/>
      <c r="Q2194" s="1" t="inlineStr">
        <is>
          <t>Пользовательский интерфейс</t>
        </is>
      </c>
    </row>
    <row r="2195">
      <c r="B2195" s="1" t="inlineStr">
        <is>
          <t>180849756</t>
        </is>
      </c>
      <c r="C2195" s="1" t="inlineStr">
        <is>
          <t>13246997</t>
        </is>
      </c>
      <c r="D2195" t="inlineStr">
        <is>
          <t>работник 667</t>
        </is>
      </c>
      <c r="E2195" s="1" t="inlineStr">
        <is>
          <t>ОБЩЕСТВО С ОГРАНИЧЕННОЙ ОТВЕТСТВЕННОСТЬЮ "АМУР ЗОЛОТО"</t>
        </is>
      </c>
      <c r="F2195" s="1" t="inlineStr">
        <is>
          <t>2708001686</t>
        </is>
      </c>
      <c r="G2195" s="1" t="inlineStr">
        <is>
          <t>Стропальщик (с исполнением обязанностей грузчика)</t>
        </is>
      </c>
      <c r="H2195" s="1" t="inlineStr">
        <is>
          <t>ООО "Амур Золото"</t>
        </is>
      </c>
      <c r="I2195" s="1" t="inlineStr">
        <is>
          <t>2708001686</t>
        </is>
      </c>
      <c r="J2195" s="1" t="inlineStr">
        <is>
          <t>ОТ № ЮГОК ПРР 26-01</t>
        </is>
      </c>
      <c r="K2195" s="1" t="inlineStr">
        <is>
          <t>Использование (применение) средств индивидуальной защиты</t>
        </is>
      </c>
      <c r="L2195" s="1" t="inlineStr">
        <is>
          <t>26.02.2026</t>
        </is>
      </c>
      <c r="M2195" s="1" t="inlineStr">
        <is>
          <t>Успешно</t>
        </is>
      </c>
      <c r="N2195" s="1" t="inlineStr">
        <is>
          <t>15.03.2026</t>
        </is>
      </c>
      <c r="O2195" s="1" t="inlineStr"/>
      <c r="P2195" s="1" t="inlineStr"/>
      <c r="Q2195" s="1" t="inlineStr">
        <is>
          <t>Пользовательский интерфейс</t>
        </is>
      </c>
    </row>
    <row r="2196">
      <c r="B2196" s="1" t="inlineStr">
        <is>
          <t>180849757</t>
        </is>
      </c>
      <c r="C2196" s="1" t="inlineStr">
        <is>
          <t>13246997</t>
        </is>
      </c>
      <c r="D2196" t="inlineStr">
        <is>
          <t>работник 667</t>
        </is>
      </c>
      <c r="E2196" s="1" t="inlineStr">
        <is>
          <t>ОБЩЕСТВО С ОГРАНИЧЕННОЙ ОТВЕТСТВЕННОСТЬЮ "АМУР ЗОЛОТО"</t>
        </is>
      </c>
      <c r="F2196" s="1" t="inlineStr">
        <is>
          <t>2708001686</t>
        </is>
      </c>
      <c r="G2196" s="1" t="inlineStr">
        <is>
          <t>Стропальщик (с исполнением обязанностей грузчика)</t>
        </is>
      </c>
      <c r="H2196" s="1" t="inlineStr">
        <is>
          <t>ООО "Амур Золото"</t>
        </is>
      </c>
      <c r="I2196" s="1" t="inlineStr">
        <is>
          <t>2708001686</t>
        </is>
      </c>
      <c r="J2196" s="1" t="inlineStr">
        <is>
          <t>ОТ № ЮГОК ПРР 26-01</t>
        </is>
      </c>
      <c r="K219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196" s="1" t="inlineStr">
        <is>
          <t>26.02.2026</t>
        </is>
      </c>
      <c r="M2196" s="1" t="inlineStr">
        <is>
          <t>Успешно</t>
        </is>
      </c>
      <c r="N2196" s="1" t="inlineStr">
        <is>
          <t>15.03.2026</t>
        </is>
      </c>
      <c r="O2196" s="1" t="inlineStr"/>
      <c r="P2196" s="1" t="inlineStr"/>
      <c r="Q2196" s="1" t="inlineStr">
        <is>
          <t>Пользовательский интерфейс</t>
        </is>
      </c>
    </row>
    <row r="2197">
      <c r="B2197" s="1" t="inlineStr">
        <is>
          <t>180849758</t>
        </is>
      </c>
      <c r="C2197" s="1" t="inlineStr">
        <is>
          <t>13246997</t>
        </is>
      </c>
      <c r="D2197" t="inlineStr">
        <is>
          <t>работник 668</t>
        </is>
      </c>
      <c r="E2197" s="1" t="inlineStr">
        <is>
          <t>ОБЩЕСТВО С ОГРАНИЧЕННОЙ ОТВЕТСТВЕННОСТЬЮ "АМУР ЗОЛОТО"</t>
        </is>
      </c>
      <c r="F2197" s="1" t="inlineStr">
        <is>
          <t>2708001686</t>
        </is>
      </c>
      <c r="G2197" s="1" t="inlineStr">
        <is>
          <t>Стропальщик (с исполнением обязанностей грузчика)</t>
        </is>
      </c>
      <c r="H2197" s="1" t="inlineStr">
        <is>
          <t>ООО "Амур Золото"</t>
        </is>
      </c>
      <c r="I2197" s="1" t="inlineStr">
        <is>
          <t>2708001686</t>
        </is>
      </c>
      <c r="J2197" s="1" t="inlineStr">
        <is>
          <t>ОТ № ЮГОК ПРР 26-01</t>
        </is>
      </c>
      <c r="K2197" s="1" t="inlineStr">
        <is>
          <t>Использование (применение) средств индивидуальной защиты</t>
        </is>
      </c>
      <c r="L2197" s="1" t="inlineStr">
        <is>
          <t>26.02.2026</t>
        </is>
      </c>
      <c r="M2197" s="1" t="inlineStr">
        <is>
          <t>Успешно</t>
        </is>
      </c>
      <c r="N2197" s="1" t="inlineStr">
        <is>
          <t>15.03.2026</t>
        </is>
      </c>
      <c r="O2197" s="1" t="inlineStr"/>
      <c r="P2197" s="1" t="inlineStr"/>
      <c r="Q2197" s="1" t="inlineStr">
        <is>
          <t>Пользовательский интерфейс</t>
        </is>
      </c>
    </row>
    <row r="2198">
      <c r="B2198" s="1" t="inlineStr">
        <is>
          <t>180849759</t>
        </is>
      </c>
      <c r="C2198" s="1" t="inlineStr">
        <is>
          <t>13246997</t>
        </is>
      </c>
      <c r="D2198" t="inlineStr">
        <is>
          <t>работник 668</t>
        </is>
      </c>
      <c r="E2198" s="1" t="inlineStr">
        <is>
          <t>ОБЩЕСТВО С ОГРАНИЧЕННОЙ ОТВЕТСТВЕННОСТЬЮ "АМУР ЗОЛОТО"</t>
        </is>
      </c>
      <c r="F2198" s="1" t="inlineStr">
        <is>
          <t>2708001686</t>
        </is>
      </c>
      <c r="G2198" s="1" t="inlineStr">
        <is>
          <t>Стропальщик (с исполнением обязанностей грузчика)</t>
        </is>
      </c>
      <c r="H2198" s="1" t="inlineStr">
        <is>
          <t>ООО "Амур Золото"</t>
        </is>
      </c>
      <c r="I2198" s="1" t="inlineStr">
        <is>
          <t>2708001686</t>
        </is>
      </c>
      <c r="J2198" s="1" t="inlineStr">
        <is>
          <t>ОТ № ЮГОК ПРР 26-01</t>
        </is>
      </c>
      <c r="K219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198" s="1" t="inlineStr">
        <is>
          <t>26.02.2026</t>
        </is>
      </c>
      <c r="M2198" s="1" t="inlineStr">
        <is>
          <t>Успешно</t>
        </is>
      </c>
      <c r="N2198" s="1" t="inlineStr">
        <is>
          <t>15.03.2026</t>
        </is>
      </c>
      <c r="O2198" s="1" t="inlineStr"/>
      <c r="P2198" s="1" t="inlineStr"/>
      <c r="Q2198" s="1" t="inlineStr">
        <is>
          <t>Пользовательский интерфейс</t>
        </is>
      </c>
    </row>
    <row r="2199">
      <c r="B2199" s="1" t="inlineStr">
        <is>
          <t>185555886</t>
        </is>
      </c>
      <c r="C2199" s="1" t="inlineStr">
        <is>
          <t>13535161</t>
        </is>
      </c>
      <c r="D2199" t="inlineStr">
        <is>
          <t>работник 669</t>
        </is>
      </c>
      <c r="E2199" s="1" t="inlineStr">
        <is>
          <t>ОБЩЕСТВО С ОГРАНИЧЕННОЙ ОТВЕТСТВЕННОСТЬЮ "АМУР ЗОЛОТО"</t>
        </is>
      </c>
      <c r="F2199" s="1" t="inlineStr">
        <is>
          <t>2708001686</t>
        </is>
      </c>
      <c r="G2199" s="1" t="inlineStr">
        <is>
          <t>Участковый маркшейдер</t>
        </is>
      </c>
      <c r="H2199" s="1" t="inlineStr">
        <is>
          <t>ООО "Амур Золото"</t>
        </is>
      </c>
      <c r="I2199" s="1" t="inlineStr">
        <is>
          <t>2708001686</t>
        </is>
      </c>
      <c r="J2199" s="1" t="inlineStr">
        <is>
          <t>ОТ № ЮГОК ГМО 26-04</t>
        </is>
      </c>
      <c r="K2199" s="1" t="inlineStr">
        <is>
          <t>Использование (применение) средств индивидуальной защиты</t>
        </is>
      </c>
      <c r="L2199" s="1" t="inlineStr">
        <is>
          <t>31.03.2026</t>
        </is>
      </c>
      <c r="M2199" s="1" t="inlineStr">
        <is>
          <t>Успешно</t>
        </is>
      </c>
      <c r="N2199" s="1" t="inlineStr">
        <is>
          <t>01.04.2026</t>
        </is>
      </c>
      <c r="O2199" s="1" t="inlineStr"/>
      <c r="P2199" s="1" t="inlineStr"/>
      <c r="Q2199" s="1" t="inlineStr">
        <is>
          <t>Пользовательский интерфейс</t>
        </is>
      </c>
    </row>
    <row r="2200">
      <c r="B2200" s="1" t="inlineStr">
        <is>
          <t>185555887</t>
        </is>
      </c>
      <c r="C2200" s="1" t="inlineStr">
        <is>
          <t>13535161</t>
        </is>
      </c>
      <c r="D2200" t="inlineStr">
        <is>
          <t>работник 669</t>
        </is>
      </c>
      <c r="E2200" s="1" t="inlineStr">
        <is>
          <t>ОБЩЕСТВО С ОГРАНИЧЕННОЙ ОТВЕТСТВЕННОСТЬЮ "АМУР ЗОЛОТО"</t>
        </is>
      </c>
      <c r="F2200" s="1" t="inlineStr">
        <is>
          <t>2708001686</t>
        </is>
      </c>
      <c r="G2200" s="1" t="inlineStr">
        <is>
          <t>Участковый маркшейдер</t>
        </is>
      </c>
      <c r="H2200" s="1" t="inlineStr">
        <is>
          <t>ООО "Амур Золото"</t>
        </is>
      </c>
      <c r="I2200" s="1" t="inlineStr">
        <is>
          <t>2708001686</t>
        </is>
      </c>
      <c r="J2200" s="1" t="inlineStr">
        <is>
          <t>ОТ № ЮГОК ГМО 26-04</t>
        </is>
      </c>
      <c r="K220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200" s="1" t="inlineStr">
        <is>
          <t>31.03.2026</t>
        </is>
      </c>
      <c r="M2200" s="1" t="inlineStr">
        <is>
          <t>Успешно</t>
        </is>
      </c>
      <c r="N2200" s="1" t="inlineStr">
        <is>
          <t>01.04.2026</t>
        </is>
      </c>
      <c r="O2200" s="1" t="inlineStr"/>
      <c r="P2200" s="1" t="inlineStr"/>
      <c r="Q2200" s="1" t="inlineStr">
        <is>
          <t>Пользовательский интерфейс</t>
        </is>
      </c>
    </row>
    <row r="2201">
      <c r="B2201" s="1" t="inlineStr">
        <is>
          <t>185555888</t>
        </is>
      </c>
      <c r="C2201" s="1" t="inlineStr">
        <is>
          <t>13535161</t>
        </is>
      </c>
      <c r="D2201" t="inlineStr">
        <is>
          <t>работник 502</t>
        </is>
      </c>
      <c r="E2201" s="1" t="inlineStr">
        <is>
          <t>ОБЩЕСТВО С ОГРАНИЧЕННОЙ ОТВЕТСТВЕННОСТЬЮ "АМУР ЗОЛОТО"</t>
        </is>
      </c>
      <c r="F2201" s="1" t="inlineStr">
        <is>
          <t>2708001686</t>
        </is>
      </c>
      <c r="G2201" s="1" t="inlineStr">
        <is>
          <t>Контролёр продукции обогащения</t>
        </is>
      </c>
      <c r="H2201" s="1" t="inlineStr">
        <is>
          <t>ООО "Амур Золото"</t>
        </is>
      </c>
      <c r="I2201" s="1" t="inlineStr">
        <is>
          <t>2708001686</t>
        </is>
      </c>
      <c r="J2201" s="1" t="inlineStr">
        <is>
          <t>ОТ № ЮГОК ОТК 26-03</t>
        </is>
      </c>
      <c r="K2201" s="1" t="inlineStr">
        <is>
          <t>Использование (применение) средств индивидуальной защиты</t>
        </is>
      </c>
      <c r="L2201" s="1" t="inlineStr">
        <is>
          <t>16.03.2026</t>
        </is>
      </c>
      <c r="M2201" s="1" t="inlineStr">
        <is>
          <t>Успешно</t>
        </is>
      </c>
      <c r="N2201" s="1" t="inlineStr">
        <is>
          <t>01.04.2026</t>
        </is>
      </c>
      <c r="O2201" s="1" t="inlineStr"/>
      <c r="P2201" s="1" t="inlineStr"/>
      <c r="Q2201" s="1" t="inlineStr">
        <is>
          <t>Пользовательский интерфейс</t>
        </is>
      </c>
    </row>
    <row r="2202">
      <c r="B2202" s="1" t="inlineStr">
        <is>
          <t>185555889</t>
        </is>
      </c>
      <c r="C2202" s="1" t="inlineStr">
        <is>
          <t>13535161</t>
        </is>
      </c>
      <c r="D2202" t="inlineStr">
        <is>
          <t>работник 502</t>
        </is>
      </c>
      <c r="E2202" s="1" t="inlineStr">
        <is>
          <t>ОБЩЕСТВО С ОГРАНИЧЕННОЙ ОТВЕТСТВЕННОСТЬЮ "АМУР ЗОЛОТО"</t>
        </is>
      </c>
      <c r="F2202" s="1" t="inlineStr">
        <is>
          <t>2708001686</t>
        </is>
      </c>
      <c r="G2202" s="1" t="inlineStr">
        <is>
          <t>Контролёр продукции обогащения</t>
        </is>
      </c>
      <c r="H2202" s="1" t="inlineStr">
        <is>
          <t>ООО "Амур Золото"</t>
        </is>
      </c>
      <c r="I2202" s="1" t="inlineStr">
        <is>
          <t>2708001686</t>
        </is>
      </c>
      <c r="J2202" s="1" t="inlineStr">
        <is>
          <t>ОТ № ЮГОК ОТК 26-03</t>
        </is>
      </c>
      <c r="K220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202" s="1" t="inlineStr">
        <is>
          <t>16.03.2026</t>
        </is>
      </c>
      <c r="M2202" s="1" t="inlineStr">
        <is>
          <t>Успешно</t>
        </is>
      </c>
      <c r="N2202" s="1" t="inlineStr">
        <is>
          <t>01.04.2026</t>
        </is>
      </c>
      <c r="O2202" s="1" t="inlineStr"/>
      <c r="P2202" s="1" t="inlineStr"/>
      <c r="Q2202" s="1" t="inlineStr">
        <is>
          <t>Пользовательский интерфейс</t>
        </is>
      </c>
    </row>
    <row r="2203">
      <c r="B2203" s="1" t="inlineStr">
        <is>
          <t>186715550</t>
        </is>
      </c>
      <c r="C2203" s="1" t="inlineStr">
        <is>
          <t>13603635</t>
        </is>
      </c>
      <c r="D2203" t="inlineStr">
        <is>
          <t>работник 670</t>
        </is>
      </c>
      <c r="E2203" s="1" t="inlineStr">
        <is>
          <t>ОБЩЕСТВО С ОГРАНИЧЕННОЙ ОТВЕТСТВЕННОСТЬЮ "АМУР ЗОЛОТО"</t>
        </is>
      </c>
      <c r="F2203" s="1" t="inlineStr">
        <is>
          <t>2708001686</t>
        </is>
      </c>
      <c r="G2203" s="1" t="inlineStr">
        <is>
          <t>Лаборант пробирного анализа</t>
        </is>
      </c>
      <c r="H2203" s="1" t="inlineStr">
        <is>
          <t>ООО "Амур Золото"</t>
        </is>
      </c>
      <c r="I2203" s="1" t="inlineStr">
        <is>
          <t>2708001686</t>
        </is>
      </c>
      <c r="J2203" s="1" t="inlineStr">
        <is>
          <t>ОТ № ЮГОК ПАЛ 26-03</t>
        </is>
      </c>
      <c r="K2203" s="1" t="inlineStr">
        <is>
          <t>Использование (применение) средств индивидуальной защиты</t>
        </is>
      </c>
      <c r="L2203" s="1" t="inlineStr">
        <is>
          <t>20.03.2026</t>
        </is>
      </c>
      <c r="M2203" s="1" t="inlineStr">
        <is>
          <t>Успешно</t>
        </is>
      </c>
      <c r="N2203" s="1" t="inlineStr">
        <is>
          <t>06.04.2026</t>
        </is>
      </c>
      <c r="O2203" s="1" t="inlineStr"/>
      <c r="P2203" s="1" t="inlineStr"/>
      <c r="Q2203" s="1" t="inlineStr">
        <is>
          <t>Пользовательский интерфейс</t>
        </is>
      </c>
    </row>
    <row r="2204">
      <c r="B2204" s="1" t="inlineStr">
        <is>
          <t>186715551</t>
        </is>
      </c>
      <c r="C2204" s="1" t="inlineStr">
        <is>
          <t>13603635</t>
        </is>
      </c>
      <c r="D2204" t="inlineStr">
        <is>
          <t>работник 670</t>
        </is>
      </c>
      <c r="E2204" s="1" t="inlineStr">
        <is>
          <t>ОБЩЕСТВО С ОГРАНИЧЕННОЙ ОТВЕТСТВЕННОСТЬЮ "АМУР ЗОЛОТО"</t>
        </is>
      </c>
      <c r="F2204" s="1" t="inlineStr">
        <is>
          <t>2708001686</t>
        </is>
      </c>
      <c r="G2204" s="1" t="inlineStr">
        <is>
          <t>Лаборант пробирного анализа</t>
        </is>
      </c>
      <c r="H2204" s="1" t="inlineStr">
        <is>
          <t>ООО "Амур Золото"</t>
        </is>
      </c>
      <c r="I2204" s="1" t="inlineStr">
        <is>
          <t>2708001686</t>
        </is>
      </c>
      <c r="J2204" s="1" t="inlineStr">
        <is>
          <t>ОТ № ЮГОК ПАЛ 26-03</t>
        </is>
      </c>
      <c r="K220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204" s="1" t="inlineStr">
        <is>
          <t>20.03.2026</t>
        </is>
      </c>
      <c r="M2204" s="1" t="inlineStr">
        <is>
          <t>Успешно</t>
        </is>
      </c>
      <c r="N2204" s="1" t="inlineStr">
        <is>
          <t>06.04.2026</t>
        </is>
      </c>
      <c r="O2204" s="1" t="inlineStr"/>
      <c r="P2204" s="1" t="inlineStr"/>
      <c r="Q2204" s="1" t="inlineStr">
        <is>
          <t>Пользовательский интерфейс</t>
        </is>
      </c>
    </row>
    <row r="2205">
      <c r="B2205" s="1" t="inlineStr">
        <is>
          <t>186715552</t>
        </is>
      </c>
      <c r="C2205" s="1" t="inlineStr">
        <is>
          <t>13603635</t>
        </is>
      </c>
      <c r="D2205" t="inlineStr">
        <is>
          <t>работник 671</t>
        </is>
      </c>
      <c r="E2205" s="1" t="inlineStr">
        <is>
          <t>ОБЩЕСТВО С ОГРАНИЧЕННОЙ ОТВЕТСТВЕННОСТЬЮ "АМУР ЗОЛОТО"</t>
        </is>
      </c>
      <c r="F2205" s="1" t="inlineStr">
        <is>
          <t>2708001686</t>
        </is>
      </c>
      <c r="G2205" s="1" t="inlineStr">
        <is>
          <t>Лаборант химического анализа</t>
        </is>
      </c>
      <c r="H2205" s="1" t="inlineStr">
        <is>
          <t>ООО "Амур Золото"</t>
        </is>
      </c>
      <c r="I2205" s="1" t="inlineStr">
        <is>
          <t>2708001686</t>
        </is>
      </c>
      <c r="J2205" s="1" t="inlineStr">
        <is>
          <t>ОТ № ЮГОК ПАЛ 26-04</t>
        </is>
      </c>
      <c r="K2205" s="1" t="inlineStr">
        <is>
          <t>Использование (применение) средств индивидуальной защиты</t>
        </is>
      </c>
      <c r="L2205" s="1" t="inlineStr">
        <is>
          <t>02.03.2026</t>
        </is>
      </c>
      <c r="M2205" s="1" t="inlineStr">
        <is>
          <t>Успешно</t>
        </is>
      </c>
      <c r="N2205" s="1" t="inlineStr">
        <is>
          <t>06.04.2026</t>
        </is>
      </c>
      <c r="O2205" s="1" t="inlineStr"/>
      <c r="P2205" s="1" t="inlineStr"/>
      <c r="Q2205" s="1" t="inlineStr">
        <is>
          <t>Пользовательский интерфейс</t>
        </is>
      </c>
    </row>
    <row r="2206">
      <c r="B2206" s="1" t="inlineStr">
        <is>
          <t>186715553</t>
        </is>
      </c>
      <c r="C2206" s="1" t="inlineStr">
        <is>
          <t>13603635</t>
        </is>
      </c>
      <c r="D2206" t="inlineStr">
        <is>
          <t>работник 671</t>
        </is>
      </c>
      <c r="E2206" s="1" t="inlineStr">
        <is>
          <t>ОБЩЕСТВО С ОГРАНИЧЕННОЙ ОТВЕТСТВЕННОСТЬЮ "АМУР ЗОЛОТО"</t>
        </is>
      </c>
      <c r="F2206" s="1" t="inlineStr">
        <is>
          <t>2708001686</t>
        </is>
      </c>
      <c r="G2206" s="1" t="inlineStr">
        <is>
          <t>Лаборант химического анализа</t>
        </is>
      </c>
      <c r="H2206" s="1" t="inlineStr">
        <is>
          <t>ООО "Амур Золото"</t>
        </is>
      </c>
      <c r="I2206" s="1" t="inlineStr">
        <is>
          <t>2708001686</t>
        </is>
      </c>
      <c r="J2206" s="1" t="inlineStr">
        <is>
          <t>ОТ № ЮГОК ПАЛ 26-04</t>
        </is>
      </c>
      <c r="K220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206" s="1" t="inlineStr">
        <is>
          <t>02.03.2026</t>
        </is>
      </c>
      <c r="M2206" s="1" t="inlineStr">
        <is>
          <t>Успешно</t>
        </is>
      </c>
      <c r="N2206" s="1" t="inlineStr">
        <is>
          <t>06.04.2026</t>
        </is>
      </c>
      <c r="O2206" s="1" t="inlineStr"/>
      <c r="P2206" s="1" t="inlineStr"/>
      <c r="Q2206" s="1" t="inlineStr">
        <is>
          <t>Пользовательский интерфейс</t>
        </is>
      </c>
    </row>
    <row r="2207">
      <c r="B2207" s="1" t="inlineStr">
        <is>
          <t>189084979</t>
        </is>
      </c>
      <c r="C2207" s="1" t="inlineStr">
        <is>
          <t>13661981</t>
        </is>
      </c>
      <c r="D2207" t="inlineStr">
        <is>
          <t>работник 672</t>
        </is>
      </c>
      <c r="E2207" s="1" t="inlineStr">
        <is>
          <t>ОБЩЕСТВО С ОГРАНИЧЕННОЙ ОТВЕТСТВЕННОСТЬЮ "АМУР ЗОЛОТО"</t>
        </is>
      </c>
      <c r="F2207" s="1" t="inlineStr">
        <is>
          <t>2708001686</t>
        </is>
      </c>
      <c r="G2207" s="1" t="inlineStr">
        <is>
          <t>Горнорабочий на маркшейдерских работах</t>
        </is>
      </c>
      <c r="H2207" s="1" t="inlineStr">
        <is>
          <t>ООО "Амур Золото"</t>
        </is>
      </c>
      <c r="I2207" s="1" t="inlineStr">
        <is>
          <t>2708001686</t>
        </is>
      </c>
      <c r="J2207" s="1" t="inlineStr">
        <is>
          <t>ОТ № ЮГОК ГМО 26-05</t>
        </is>
      </c>
      <c r="K2207" s="1" t="inlineStr">
        <is>
          <t>Использование (применение) средств индивидуальной защиты</t>
        </is>
      </c>
      <c r="L2207" s="1" t="inlineStr">
        <is>
          <t>06.04.2026</t>
        </is>
      </c>
      <c r="M2207" s="1" t="inlineStr">
        <is>
          <t>Успешно</t>
        </is>
      </c>
      <c r="N2207" s="1" t="inlineStr">
        <is>
          <t>15.04.2026</t>
        </is>
      </c>
      <c r="O2207" s="1" t="inlineStr"/>
      <c r="P2207" s="1" t="inlineStr"/>
      <c r="Q2207" s="1" t="inlineStr">
        <is>
          <t>Пользовательский интерфейс</t>
        </is>
      </c>
    </row>
    <row r="2208">
      <c r="B2208" s="1" t="inlineStr">
        <is>
          <t>189084980</t>
        </is>
      </c>
      <c r="C2208" s="1" t="inlineStr">
        <is>
          <t>13661981</t>
        </is>
      </c>
      <c r="D2208" t="inlineStr">
        <is>
          <t>работник 672</t>
        </is>
      </c>
      <c r="E2208" s="1" t="inlineStr">
        <is>
          <t>ОБЩЕСТВО С ОГРАНИЧЕННОЙ ОТВЕТСТВЕННОСТЬЮ "АМУР ЗОЛОТО"</t>
        </is>
      </c>
      <c r="F2208" s="1" t="inlineStr">
        <is>
          <t>2708001686</t>
        </is>
      </c>
      <c r="G2208" s="1" t="inlineStr">
        <is>
          <t>Горнорабочий на маркшейдерских работах</t>
        </is>
      </c>
      <c r="H2208" s="1" t="inlineStr">
        <is>
          <t>ООО "Амур Золото"</t>
        </is>
      </c>
      <c r="I2208" s="1" t="inlineStr">
        <is>
          <t>2708001686</t>
        </is>
      </c>
      <c r="J2208" s="1" t="inlineStr">
        <is>
          <t>ОТ № ЮГОК ГМО 26-05</t>
        </is>
      </c>
      <c r="K220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208" s="1" t="inlineStr">
        <is>
          <t>06.04.2026</t>
        </is>
      </c>
      <c r="M2208" s="1" t="inlineStr">
        <is>
          <t>Успешно</t>
        </is>
      </c>
      <c r="N2208" s="1" t="inlineStr">
        <is>
          <t>15.04.2026</t>
        </is>
      </c>
      <c r="O2208" s="1" t="inlineStr"/>
      <c r="P2208" s="1" t="inlineStr"/>
      <c r="Q2208" s="1" t="inlineStr">
        <is>
          <t>Пользовательский интерфейс</t>
        </is>
      </c>
    </row>
    <row r="2209">
      <c r="B2209" s="1" t="inlineStr">
        <is>
          <t>189084981</t>
        </is>
      </c>
      <c r="C2209" s="1" t="inlineStr">
        <is>
          <t>13661981</t>
        </is>
      </c>
      <c r="D2209" t="inlineStr">
        <is>
          <t>работник 673</t>
        </is>
      </c>
      <c r="E2209" s="1" t="inlineStr">
        <is>
          <t>ОБЩЕСТВО С ОГРАНИЧЕННОЙ ОТВЕТСТВЕННОСТЬЮ "АМУР ЗОЛОТО"</t>
        </is>
      </c>
      <c r="F2209" s="1" t="inlineStr">
        <is>
          <t>2708001686</t>
        </is>
      </c>
      <c r="G2209" s="1" t="inlineStr">
        <is>
          <t>Слесарь-ремонтник по ремонту обогатительного оборудования</t>
        </is>
      </c>
      <c r="H2209" s="1" t="inlineStr">
        <is>
          <t>ООО "Амур Золото"</t>
        </is>
      </c>
      <c r="I2209" s="1" t="inlineStr">
        <is>
          <t>2708001686</t>
        </is>
      </c>
      <c r="J2209" s="1" t="inlineStr">
        <is>
          <t>ОТ № ЮГОК ЗИОФ 26-08</t>
        </is>
      </c>
      <c r="K2209" s="1" t="inlineStr">
        <is>
          <t>Использование (применение) средств индивидуальной защиты</t>
        </is>
      </c>
      <c r="L2209" s="1" t="inlineStr">
        <is>
          <t>06.04.2026</t>
        </is>
      </c>
      <c r="M2209" s="1" t="inlineStr">
        <is>
          <t>Успешно</t>
        </is>
      </c>
      <c r="N2209" s="1" t="inlineStr">
        <is>
          <t>15.04.2026</t>
        </is>
      </c>
      <c r="O2209" s="1" t="inlineStr"/>
      <c r="P2209" s="1" t="inlineStr"/>
      <c r="Q2209" s="1" t="inlineStr">
        <is>
          <t>Пользовательский интерфейс</t>
        </is>
      </c>
    </row>
    <row r="2210">
      <c r="B2210" s="1" t="inlineStr">
        <is>
          <t>189084982</t>
        </is>
      </c>
      <c r="C2210" s="1" t="inlineStr">
        <is>
          <t>13661981</t>
        </is>
      </c>
      <c r="D2210" t="inlineStr">
        <is>
          <t>работник 673</t>
        </is>
      </c>
      <c r="E2210" s="1" t="inlineStr">
        <is>
          <t>ОБЩЕСТВО С ОГРАНИЧЕННОЙ ОТВЕТСТВЕННОСТЬЮ "АМУР ЗОЛОТО"</t>
        </is>
      </c>
      <c r="F2210" s="1" t="inlineStr">
        <is>
          <t>2708001686</t>
        </is>
      </c>
      <c r="G2210" s="1" t="inlineStr">
        <is>
          <t>Слесарь-ремонтник по ремонту обогатительного оборудования</t>
        </is>
      </c>
      <c r="H2210" s="1" t="inlineStr">
        <is>
          <t>ООО "Амур Золото"</t>
        </is>
      </c>
      <c r="I2210" s="1" t="inlineStr">
        <is>
          <t>2708001686</t>
        </is>
      </c>
      <c r="J2210" s="1" t="inlineStr">
        <is>
          <t>ОТ № ЮГОК ЗИОФ 26-08</t>
        </is>
      </c>
      <c r="K221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210" s="1" t="inlineStr">
        <is>
          <t>06.04.2026</t>
        </is>
      </c>
      <c r="M2210" s="1" t="inlineStr">
        <is>
          <t>Успешно</t>
        </is>
      </c>
      <c r="N2210" s="1" t="inlineStr">
        <is>
          <t>15.04.2026</t>
        </is>
      </c>
      <c r="O2210" s="1" t="inlineStr"/>
      <c r="P2210" s="1" t="inlineStr"/>
      <c r="Q2210" s="1" t="inlineStr">
        <is>
          <t>Пользовательский интерфейс</t>
        </is>
      </c>
    </row>
    <row r="2211">
      <c r="B2211" s="1" t="inlineStr">
        <is>
          <t>189085497</t>
        </is>
      </c>
      <c r="C2211" s="1" t="inlineStr">
        <is>
          <t>13752947</t>
        </is>
      </c>
      <c r="D2211" t="inlineStr">
        <is>
          <t>работник 674</t>
        </is>
      </c>
      <c r="E2211" s="1" t="inlineStr">
        <is>
          <t>ОБЩЕСТВО С ОГРАНИЧЕННОЙ ОТВЕТСТВЕННОСТЬЮ "АМУР ЗОЛОТО"</t>
        </is>
      </c>
      <c r="F2211" s="1" t="inlineStr">
        <is>
          <t>2708001686</t>
        </is>
      </c>
      <c r="G2211" s="1" t="inlineStr">
        <is>
          <t>Растворщик-реагентов</t>
        </is>
      </c>
      <c r="H2211" s="1" t="inlineStr">
        <is>
          <t>ООО "Амур Золото"</t>
        </is>
      </c>
      <c r="I2211" s="1" t="inlineStr">
        <is>
          <t>2708001686</t>
        </is>
      </c>
      <c r="J2211" s="1" t="inlineStr">
        <is>
          <t>ОТ № ЮГОК ЗИОФ 26-10</t>
        </is>
      </c>
      <c r="K2211" s="1" t="inlineStr">
        <is>
          <t>Использование (применение) средств индивидуальной защиты</t>
        </is>
      </c>
      <c r="L2211" s="1" t="inlineStr">
        <is>
          <t>06.04.2026</t>
        </is>
      </c>
      <c r="M2211" s="1" t="inlineStr">
        <is>
          <t>Успешно</t>
        </is>
      </c>
      <c r="N2211" s="1" t="inlineStr">
        <is>
          <t>15.04.2026</t>
        </is>
      </c>
      <c r="O2211" s="1" t="inlineStr"/>
      <c r="P2211" s="1" t="inlineStr"/>
      <c r="Q2211" s="1" t="inlineStr">
        <is>
          <t>Пользовательский интерфейс</t>
        </is>
      </c>
    </row>
    <row r="2212">
      <c r="B2212" s="1" t="inlineStr">
        <is>
          <t>189085498</t>
        </is>
      </c>
      <c r="C2212" s="1" t="inlineStr">
        <is>
          <t>13752947</t>
        </is>
      </c>
      <c r="D2212" t="inlineStr">
        <is>
          <t>работник 674</t>
        </is>
      </c>
      <c r="E2212" s="1" t="inlineStr">
        <is>
          <t>ОБЩЕСТВО С ОГРАНИЧЕННОЙ ОТВЕТСТВЕННОСТЬЮ "АМУР ЗОЛОТО"</t>
        </is>
      </c>
      <c r="F2212" s="1" t="inlineStr">
        <is>
          <t>2708001686</t>
        </is>
      </c>
      <c r="G2212" s="1" t="inlineStr">
        <is>
          <t>Растворщик-реагентов</t>
        </is>
      </c>
      <c r="H2212" s="1" t="inlineStr">
        <is>
          <t>ООО "Амур Золото"</t>
        </is>
      </c>
      <c r="I2212" s="1" t="inlineStr">
        <is>
          <t>2708001686</t>
        </is>
      </c>
      <c r="J2212" s="1" t="inlineStr">
        <is>
          <t>ОТ № ЮГОК ЗИОФ 26-10</t>
        </is>
      </c>
      <c r="K221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212" s="1" t="inlineStr">
        <is>
          <t>06.04.2026</t>
        </is>
      </c>
      <c r="M2212" s="1" t="inlineStr">
        <is>
          <t>Успешно</t>
        </is>
      </c>
      <c r="N2212" s="1" t="inlineStr">
        <is>
          <t>15.04.2026</t>
        </is>
      </c>
      <c r="O2212" s="1" t="inlineStr"/>
      <c r="P2212" s="1" t="inlineStr"/>
      <c r="Q2212" s="1" t="inlineStr">
        <is>
          <t>Пользовательский интерфейс</t>
        </is>
      </c>
    </row>
    <row r="2213">
      <c r="B2213" s="1" t="inlineStr">
        <is>
          <t>189085499</t>
        </is>
      </c>
      <c r="C2213" s="1" t="inlineStr">
        <is>
          <t>13752947</t>
        </is>
      </c>
      <c r="D2213" t="inlineStr">
        <is>
          <t>работник 675</t>
        </is>
      </c>
      <c r="E2213" s="1" t="inlineStr">
        <is>
          <t>ОБЩЕСТВО С ОГРАНИЧЕННОЙ ОТВЕТСТВЕННОСТЬЮ "АМУР ЗОЛОТО"</t>
        </is>
      </c>
      <c r="F2213" s="1" t="inlineStr">
        <is>
          <t>2708001686</t>
        </is>
      </c>
      <c r="G2213" s="1" t="inlineStr">
        <is>
          <t>Аппаратчик-гидрометаллург</t>
        </is>
      </c>
      <c r="H2213" s="1" t="inlineStr">
        <is>
          <t>ООО "Амур Золото"</t>
        </is>
      </c>
      <c r="I2213" s="1" t="inlineStr">
        <is>
          <t>2708001686</t>
        </is>
      </c>
      <c r="J2213" s="1" t="inlineStr">
        <is>
          <t>ОТ № ЮГОК ЗИОФ 26-11</t>
        </is>
      </c>
      <c r="K2213" s="1" t="inlineStr">
        <is>
          <t>Использование (применение) средств индивидуальной защиты</t>
        </is>
      </c>
      <c r="L2213" s="1" t="inlineStr">
        <is>
          <t>08.04.2026</t>
        </is>
      </c>
      <c r="M2213" s="1" t="inlineStr">
        <is>
          <t>Успешно</t>
        </is>
      </c>
      <c r="N2213" s="1" t="inlineStr">
        <is>
          <t>15.04.2026</t>
        </is>
      </c>
      <c r="O2213" s="1" t="inlineStr"/>
      <c r="P2213" s="1" t="inlineStr"/>
      <c r="Q2213" s="1" t="inlineStr">
        <is>
          <t>Пользовательский интерфейс</t>
        </is>
      </c>
    </row>
    <row r="2214">
      <c r="B2214" s="1" t="inlineStr">
        <is>
          <t>189085500</t>
        </is>
      </c>
      <c r="C2214" s="1" t="inlineStr">
        <is>
          <t>13752947</t>
        </is>
      </c>
      <c r="D2214" t="inlineStr">
        <is>
          <t>работник 675</t>
        </is>
      </c>
      <c r="E2214" s="1" t="inlineStr">
        <is>
          <t>ОБЩЕСТВО С ОГРАНИЧЕННОЙ ОТВЕТСТВЕННОСТЬЮ "АМУР ЗОЛОТО"</t>
        </is>
      </c>
      <c r="F2214" s="1" t="inlineStr">
        <is>
          <t>2708001686</t>
        </is>
      </c>
      <c r="G2214" s="1" t="inlineStr">
        <is>
          <t>Аппаратчик-гидрометаллург</t>
        </is>
      </c>
      <c r="H2214" s="1" t="inlineStr">
        <is>
          <t>ООО "Амур Золото"</t>
        </is>
      </c>
      <c r="I2214" s="1" t="inlineStr">
        <is>
          <t>2708001686</t>
        </is>
      </c>
      <c r="J2214" s="1" t="inlineStr">
        <is>
          <t>ОТ № ЮГОК ЗИОФ 26-11</t>
        </is>
      </c>
      <c r="K221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214" s="1" t="inlineStr">
        <is>
          <t>08.04.2026</t>
        </is>
      </c>
      <c r="M2214" s="1" t="inlineStr">
        <is>
          <t>Успешно</t>
        </is>
      </c>
      <c r="N2214" s="1" t="inlineStr">
        <is>
          <t>15.04.2026</t>
        </is>
      </c>
      <c r="O2214" s="1" t="inlineStr"/>
      <c r="P2214" s="1" t="inlineStr"/>
      <c r="Q2214" s="1" t="inlineStr">
        <is>
          <t>Пользовательский интерфейс</t>
        </is>
      </c>
    </row>
    <row r="2215">
      <c r="B2215" s="1" t="inlineStr">
        <is>
          <t>189085501</t>
        </is>
      </c>
      <c r="C2215" s="1" t="inlineStr">
        <is>
          <t>13752947</t>
        </is>
      </c>
      <c r="D2215" t="inlineStr">
        <is>
          <t>работник 676</t>
        </is>
      </c>
      <c r="E2215" s="1" t="inlineStr">
        <is>
          <t>ОБЩЕСТВО С ОГРАНИЧЕННОЙ ОТВЕТСТВЕННОСТЬЮ "АМУР ЗОЛОТО"</t>
        </is>
      </c>
      <c r="F2215" s="1" t="inlineStr">
        <is>
          <t>2708001686</t>
        </is>
      </c>
      <c r="G2215" s="1" t="inlineStr">
        <is>
          <t>Грузчик</t>
        </is>
      </c>
      <c r="H2215" s="1" t="inlineStr">
        <is>
          <t>ООО "Амур Золото"</t>
        </is>
      </c>
      <c r="I2215" s="1" t="inlineStr">
        <is>
          <t>2708001686</t>
        </is>
      </c>
      <c r="J2215" s="1" t="inlineStr">
        <is>
          <t>ОТ № ЮГОК ЗИОФ 26-12</t>
        </is>
      </c>
      <c r="K2215" s="1" t="inlineStr">
        <is>
          <t>Использование (применение) средств индивидуальной защиты</t>
        </is>
      </c>
      <c r="L2215" s="1" t="inlineStr">
        <is>
          <t>08.04.2026</t>
        </is>
      </c>
      <c r="M2215" s="1" t="inlineStr">
        <is>
          <t>Успешно</t>
        </is>
      </c>
      <c r="N2215" s="1" t="inlineStr">
        <is>
          <t>15.04.2026</t>
        </is>
      </c>
      <c r="O2215" s="1" t="inlineStr"/>
      <c r="P2215" s="1" t="inlineStr"/>
      <c r="Q2215" s="1" t="inlineStr">
        <is>
          <t>Пользовательский интерфейс</t>
        </is>
      </c>
    </row>
    <row r="2216">
      <c r="B2216" s="1" t="inlineStr">
        <is>
          <t>189085502</t>
        </is>
      </c>
      <c r="C2216" s="1" t="inlineStr">
        <is>
          <t>13752947</t>
        </is>
      </c>
      <c r="D2216" t="inlineStr">
        <is>
          <t>работник 676</t>
        </is>
      </c>
      <c r="E2216" s="1" t="inlineStr">
        <is>
          <t>ОБЩЕСТВО С ОГРАНИЧЕННОЙ ОТВЕТСТВЕННОСТЬЮ "АМУР ЗОЛОТО"</t>
        </is>
      </c>
      <c r="F2216" s="1" t="inlineStr">
        <is>
          <t>2708001686</t>
        </is>
      </c>
      <c r="G2216" s="1" t="inlineStr">
        <is>
          <t>Грузчик</t>
        </is>
      </c>
      <c r="H2216" s="1" t="inlineStr">
        <is>
          <t>ООО "Амур Золото"</t>
        </is>
      </c>
      <c r="I2216" s="1" t="inlineStr">
        <is>
          <t>2708001686</t>
        </is>
      </c>
      <c r="J2216" s="1" t="inlineStr">
        <is>
          <t>ОТ № ЮГОК ЗИОФ 26-12</t>
        </is>
      </c>
      <c r="K221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216" s="1" t="inlineStr">
        <is>
          <t>08.04.2026</t>
        </is>
      </c>
      <c r="M2216" s="1" t="inlineStr">
        <is>
          <t>Успешно</t>
        </is>
      </c>
      <c r="N2216" s="1" t="inlineStr">
        <is>
          <t>15.04.2026</t>
        </is>
      </c>
      <c r="O2216" s="1" t="inlineStr"/>
      <c r="P2216" s="1" t="inlineStr"/>
      <c r="Q2216" s="1" t="inlineStr">
        <is>
          <t>Пользовательский интерфейс</t>
        </is>
      </c>
    </row>
    <row r="2217">
      <c r="B2217" s="1" t="inlineStr">
        <is>
          <t>189085503</t>
        </is>
      </c>
      <c r="C2217" s="1" t="inlineStr">
        <is>
          <t>13752947</t>
        </is>
      </c>
      <c r="D2217" t="inlineStr">
        <is>
          <t>работник 438</t>
        </is>
      </c>
      <c r="E2217" s="1" t="inlineStr">
        <is>
          <t>ОБЩЕСТВО С ОГРАНИЧЕННОЙ ОТВЕТСТВЕННОСТЬЮ "АМУР ЗОЛОТО"</t>
        </is>
      </c>
      <c r="F2217" s="1" t="inlineStr">
        <is>
          <t>2708001686</t>
        </is>
      </c>
      <c r="G2217" s="1" t="inlineStr">
        <is>
          <t>Аппаратчик сгустителей</t>
        </is>
      </c>
      <c r="H2217" s="1" t="inlineStr">
        <is>
          <t>ООО "Амур Золото"</t>
        </is>
      </c>
      <c r="I2217" s="1" t="inlineStr">
        <is>
          <t>2708001686</t>
        </is>
      </c>
      <c r="J2217" s="1" t="inlineStr">
        <is>
          <t>ОТ № ЮГОК ЗИОФ 26-13</t>
        </is>
      </c>
      <c r="K2217" s="1" t="inlineStr">
        <is>
          <t>Использование (применение) средств индивидуальной защиты</t>
        </is>
      </c>
      <c r="L2217" s="1" t="inlineStr">
        <is>
          <t>08.04.2026</t>
        </is>
      </c>
      <c r="M2217" s="1" t="inlineStr">
        <is>
          <t>Успешно</t>
        </is>
      </c>
      <c r="N2217" s="1" t="inlineStr">
        <is>
          <t>15.04.2026</t>
        </is>
      </c>
      <c r="O2217" s="1" t="inlineStr"/>
      <c r="P2217" s="1" t="inlineStr"/>
      <c r="Q2217" s="1" t="inlineStr">
        <is>
          <t>Пользовательский интерфейс</t>
        </is>
      </c>
    </row>
    <row r="2218">
      <c r="B2218" s="1" t="inlineStr">
        <is>
          <t>189085504</t>
        </is>
      </c>
      <c r="C2218" s="1" t="inlineStr">
        <is>
          <t>13752947</t>
        </is>
      </c>
      <c r="D2218" t="inlineStr">
        <is>
          <t>работник 438</t>
        </is>
      </c>
      <c r="E2218" s="1" t="inlineStr">
        <is>
          <t>ОБЩЕСТВО С ОГРАНИЧЕННОЙ ОТВЕТСТВЕННОСТЬЮ "АМУР ЗОЛОТО"</t>
        </is>
      </c>
      <c r="F2218" s="1" t="inlineStr">
        <is>
          <t>2708001686</t>
        </is>
      </c>
      <c r="G2218" s="1" t="inlineStr">
        <is>
          <t>Аппаратчик сгустителей</t>
        </is>
      </c>
      <c r="H2218" s="1" t="inlineStr">
        <is>
          <t>ООО "Амур Золото"</t>
        </is>
      </c>
      <c r="I2218" s="1" t="inlineStr">
        <is>
          <t>2708001686</t>
        </is>
      </c>
      <c r="J2218" s="1" t="inlineStr">
        <is>
          <t>ОТ № ЮГОК ЗИОФ 26-13</t>
        </is>
      </c>
      <c r="K221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218" s="1" t="inlineStr">
        <is>
          <t>08.04.2026</t>
        </is>
      </c>
      <c r="M2218" s="1" t="inlineStr">
        <is>
          <t>Успешно</t>
        </is>
      </c>
      <c r="N2218" s="1" t="inlineStr">
        <is>
          <t>15.04.2026</t>
        </is>
      </c>
      <c r="O2218" s="1" t="inlineStr"/>
      <c r="P2218" s="1" t="inlineStr"/>
      <c r="Q2218" s="1" t="inlineStr">
        <is>
          <t>Пользовательский интерфейс</t>
        </is>
      </c>
    </row>
    <row r="2219">
      <c r="B2219" s="1" t="inlineStr">
        <is>
          <t>189085505</t>
        </is>
      </c>
      <c r="C2219" s="1" t="inlineStr">
        <is>
          <t>13752947</t>
        </is>
      </c>
      <c r="D2219" t="inlineStr">
        <is>
          <t>работник 243</t>
        </is>
      </c>
      <c r="E2219" s="1" t="inlineStr">
        <is>
          <t>ОБЩЕСТВО С ОГРАНИЧЕННОЙ ОТВЕТСТВЕННОСТЬЮ "АМУР ЗОЛОТО"</t>
        </is>
      </c>
      <c r="F2219" s="1" t="inlineStr">
        <is>
          <t>2708001686</t>
        </is>
      </c>
      <c r="G2219" s="1" t="inlineStr">
        <is>
          <t>Слесарь по контрольно-измерительным приборам и автоматике</t>
        </is>
      </c>
      <c r="H2219" s="1" t="inlineStr">
        <is>
          <t>ООО "Амур Золото"</t>
        </is>
      </c>
      <c r="I2219" s="1" t="inlineStr">
        <is>
          <t>2708001686</t>
        </is>
      </c>
      <c r="J2219" s="1" t="inlineStr">
        <is>
          <t>ОТ № ЮГОК ЗИОФ 26-14</t>
        </is>
      </c>
      <c r="K2219" s="1" t="inlineStr">
        <is>
          <t>Использование (применение) средств индивидуальной защиты</t>
        </is>
      </c>
      <c r="L2219" s="1" t="inlineStr">
        <is>
          <t>08.04.2026</t>
        </is>
      </c>
      <c r="M2219" s="1" t="inlineStr">
        <is>
          <t>Успешно</t>
        </is>
      </c>
      <c r="N2219" s="1" t="inlineStr">
        <is>
          <t>15.04.2026</t>
        </is>
      </c>
      <c r="O2219" s="1" t="inlineStr"/>
      <c r="P2219" s="1" t="inlineStr"/>
      <c r="Q2219" s="1" t="inlineStr">
        <is>
          <t>Пользовательский интерфейс</t>
        </is>
      </c>
    </row>
    <row r="2220">
      <c r="B2220" s="1" t="inlineStr">
        <is>
          <t>189085506</t>
        </is>
      </c>
      <c r="C2220" s="1" t="inlineStr">
        <is>
          <t>13752947</t>
        </is>
      </c>
      <c r="D2220" t="inlineStr">
        <is>
          <t>работник 243</t>
        </is>
      </c>
      <c r="E2220" s="1" t="inlineStr">
        <is>
          <t>ОБЩЕСТВО С ОГРАНИЧЕННОЙ ОТВЕТСТВЕННОСТЬЮ "АМУР ЗОЛОТО"</t>
        </is>
      </c>
      <c r="F2220" s="1" t="inlineStr">
        <is>
          <t>2708001686</t>
        </is>
      </c>
      <c r="G2220" s="1" t="inlineStr">
        <is>
          <t>Слесарь по контрольно-измерительным приборам и автоматике</t>
        </is>
      </c>
      <c r="H2220" s="1" t="inlineStr">
        <is>
          <t>ООО "Амур Золото"</t>
        </is>
      </c>
      <c r="I2220" s="1" t="inlineStr">
        <is>
          <t>2708001686</t>
        </is>
      </c>
      <c r="J2220" s="1" t="inlineStr">
        <is>
          <t>ОТ № ЮГОК ЗИОФ 26-14</t>
        </is>
      </c>
      <c r="K222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220" s="1" t="inlineStr">
        <is>
          <t>08.04.2026</t>
        </is>
      </c>
      <c r="M2220" s="1" t="inlineStr">
        <is>
          <t>Успешно</t>
        </is>
      </c>
      <c r="N2220" s="1" t="inlineStr">
        <is>
          <t>15.04.2026</t>
        </is>
      </c>
      <c r="O2220" s="1" t="inlineStr"/>
      <c r="P2220" s="1" t="inlineStr"/>
      <c r="Q2220" s="1" t="inlineStr">
        <is>
          <t>Пользовательский интерфейс</t>
        </is>
      </c>
    </row>
    <row r="2221">
      <c r="B2221" s="1" t="inlineStr">
        <is>
          <t>189085507</t>
        </is>
      </c>
      <c r="C2221" s="1" t="inlineStr">
        <is>
          <t>13752947</t>
        </is>
      </c>
      <c r="D2221" t="inlineStr">
        <is>
          <t>работник 677</t>
        </is>
      </c>
      <c r="E2221" s="1" t="inlineStr">
        <is>
          <t>ОБЩЕСТВО С ОГРАНИЧЕННОЙ ОТВЕТСТВЕННОСТЬЮ "АМУР ЗОЛОТО"</t>
        </is>
      </c>
      <c r="F2221" s="1" t="inlineStr">
        <is>
          <t>2708001686</t>
        </is>
      </c>
      <c r="G2221" s="1" t="inlineStr">
        <is>
          <t>Фильтровальщик</t>
        </is>
      </c>
      <c r="H2221" s="1" t="inlineStr">
        <is>
          <t>ООО "Амур Золото"</t>
        </is>
      </c>
      <c r="I2221" s="1" t="inlineStr">
        <is>
          <t>2708001686</t>
        </is>
      </c>
      <c r="J2221" s="1" t="inlineStr">
        <is>
          <t>ОТ № ЮГОК ЗИОФ 26-15</t>
        </is>
      </c>
      <c r="K2221" s="1" t="inlineStr">
        <is>
          <t>Использование (применение) средств индивидуальной защиты</t>
        </is>
      </c>
      <c r="L2221" s="1" t="inlineStr">
        <is>
          <t>09.04.2026</t>
        </is>
      </c>
      <c r="M2221" s="1" t="inlineStr">
        <is>
          <t>Успешно</t>
        </is>
      </c>
      <c r="N2221" s="1" t="inlineStr">
        <is>
          <t>15.04.2026</t>
        </is>
      </c>
      <c r="O2221" s="1" t="inlineStr"/>
      <c r="P2221" s="1" t="inlineStr"/>
      <c r="Q2221" s="1" t="inlineStr">
        <is>
          <t>Пользовательский интерфейс</t>
        </is>
      </c>
    </row>
    <row r="2222">
      <c r="B2222" s="1" t="inlineStr">
        <is>
          <t>189085508</t>
        </is>
      </c>
      <c r="C2222" s="1" t="inlineStr">
        <is>
          <t>13752947</t>
        </is>
      </c>
      <c r="D2222" t="inlineStr">
        <is>
          <t>работник 677</t>
        </is>
      </c>
      <c r="E2222" s="1" t="inlineStr">
        <is>
          <t>ОБЩЕСТВО С ОГРАНИЧЕННОЙ ОТВЕТСТВЕННОСТЬЮ "АМУР ЗОЛОТО"</t>
        </is>
      </c>
      <c r="F2222" s="1" t="inlineStr">
        <is>
          <t>2708001686</t>
        </is>
      </c>
      <c r="G2222" s="1" t="inlineStr">
        <is>
          <t>Фильтровальщик</t>
        </is>
      </c>
      <c r="H2222" s="1" t="inlineStr">
        <is>
          <t>ООО "Амур Золото"</t>
        </is>
      </c>
      <c r="I2222" s="1" t="inlineStr">
        <is>
          <t>2708001686</t>
        </is>
      </c>
      <c r="J2222" s="1" t="inlineStr">
        <is>
          <t>ОТ № ЮГОК ЗИОФ 26-15</t>
        </is>
      </c>
      <c r="K222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222" s="1" t="inlineStr">
        <is>
          <t>09.04.2026</t>
        </is>
      </c>
      <c r="M2222" s="1" t="inlineStr">
        <is>
          <t>Успешно</t>
        </is>
      </c>
      <c r="N2222" s="1" t="inlineStr">
        <is>
          <t>15.04.2026</t>
        </is>
      </c>
      <c r="O2222" s="1" t="inlineStr"/>
      <c r="P2222" s="1" t="inlineStr"/>
      <c r="Q2222" s="1" t="inlineStr">
        <is>
          <t>Пользовательский интерфейс</t>
        </is>
      </c>
    </row>
    <row r="2223">
      <c r="B2223" s="1" t="inlineStr">
        <is>
          <t>189085509</t>
        </is>
      </c>
      <c r="C2223" s="1" t="inlineStr">
        <is>
          <t>13752947</t>
        </is>
      </c>
      <c r="D2223" t="inlineStr">
        <is>
          <t>работник 678</t>
        </is>
      </c>
      <c r="E2223" s="1" t="inlineStr">
        <is>
          <t>ОБЩЕСТВО С ОГРАНИЧЕННОЙ ОТВЕТСТВЕННОСТЬЮ "АМУР ЗОЛОТО"</t>
        </is>
      </c>
      <c r="F2223" s="1" t="inlineStr">
        <is>
          <t>2708001686</t>
        </is>
      </c>
      <c r="G2223" s="1" t="inlineStr">
        <is>
          <t>Контролёр продукции обогащения</t>
        </is>
      </c>
      <c r="H2223" s="1" t="inlineStr">
        <is>
          <t>ООО "Амур Золото"</t>
        </is>
      </c>
      <c r="I2223" s="1" t="inlineStr">
        <is>
          <t>2708001686</t>
        </is>
      </c>
      <c r="J2223" s="1" t="inlineStr">
        <is>
          <t>ОТ № ЮГОК ОТК 26-04</t>
        </is>
      </c>
      <c r="K2223" s="1" t="inlineStr">
        <is>
          <t>Использование (применение) средств индивидуальной защиты</t>
        </is>
      </c>
      <c r="L2223" s="1" t="inlineStr">
        <is>
          <t>15.04.2026</t>
        </is>
      </c>
      <c r="M2223" s="1" t="inlineStr">
        <is>
          <t>Успешно</t>
        </is>
      </c>
      <c r="N2223" s="1" t="inlineStr">
        <is>
          <t>15.04.2026</t>
        </is>
      </c>
      <c r="O2223" s="1" t="inlineStr"/>
      <c r="P2223" s="1" t="inlineStr"/>
      <c r="Q2223" s="1" t="inlineStr">
        <is>
          <t>Пользовательский интерфейс</t>
        </is>
      </c>
    </row>
    <row r="2224">
      <c r="B2224" s="1" t="inlineStr">
        <is>
          <t>189085510</t>
        </is>
      </c>
      <c r="C2224" s="1" t="inlineStr">
        <is>
          <t>13752947</t>
        </is>
      </c>
      <c r="D2224" t="inlineStr">
        <is>
          <t>работник 678</t>
        </is>
      </c>
      <c r="E2224" s="1" t="inlineStr">
        <is>
          <t>ОБЩЕСТВО С ОГРАНИЧЕННОЙ ОТВЕТСТВЕННОСТЬЮ "АМУР ЗОЛОТО"</t>
        </is>
      </c>
      <c r="F2224" s="1" t="inlineStr">
        <is>
          <t>2708001686</t>
        </is>
      </c>
      <c r="G2224" s="1" t="inlineStr">
        <is>
          <t>Контролёр продукции обогащения</t>
        </is>
      </c>
      <c r="H2224" s="1" t="inlineStr">
        <is>
          <t>ООО "Амур Золото"</t>
        </is>
      </c>
      <c r="I2224" s="1" t="inlineStr">
        <is>
          <t>2708001686</t>
        </is>
      </c>
      <c r="J2224" s="1" t="inlineStr">
        <is>
          <t>ОТ № ЮГОК ОТК 26-04</t>
        </is>
      </c>
      <c r="K222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224" s="1" t="inlineStr">
        <is>
          <t>15.04.2026</t>
        </is>
      </c>
      <c r="M2224" s="1" t="inlineStr">
        <is>
          <t>Успешно</t>
        </is>
      </c>
      <c r="N2224" s="1" t="inlineStr">
        <is>
          <t>15.04.2026</t>
        </is>
      </c>
      <c r="O2224" s="1" t="inlineStr"/>
      <c r="P2224" s="1" t="inlineStr"/>
      <c r="Q2224" s="1" t="inlineStr">
        <is>
          <t>Пользовательский интерфейс</t>
        </is>
      </c>
    </row>
    <row r="2225">
      <c r="B2225" s="1" t="inlineStr">
        <is>
          <t>189085511</t>
        </is>
      </c>
      <c r="C2225" s="1" t="inlineStr">
        <is>
          <t>13752947</t>
        </is>
      </c>
      <c r="D2225" t="inlineStr">
        <is>
          <t>работник 679</t>
        </is>
      </c>
      <c r="E2225" s="1" t="inlineStr">
        <is>
          <t>ОБЩЕСТВО С ОГРАНИЧЕННОЙ ОТВЕТСТВЕННОСТЬЮ "АМУР ЗОЛОТО"</t>
        </is>
      </c>
      <c r="F2225" s="1" t="inlineStr">
        <is>
          <t>2708001686</t>
        </is>
      </c>
      <c r="G2225" s="1" t="inlineStr">
        <is>
          <t>Электрослесарь (слесарь) дежурный и по ремонту оборудования</t>
        </is>
      </c>
      <c r="H2225" s="1" t="inlineStr">
        <is>
          <t>ООО "Амур Золото"</t>
        </is>
      </c>
      <c r="I2225" s="1" t="inlineStr">
        <is>
          <t>2708001686</t>
        </is>
      </c>
      <c r="J2225" s="1" t="inlineStr">
        <is>
          <t>ОТ № ЮГОК ЭУ 04-26</t>
        </is>
      </c>
      <c r="K2225" s="1" t="inlineStr">
        <is>
          <t>Использование (применение) средств индивидуальной защиты</t>
        </is>
      </c>
      <c r="L2225" s="1" t="inlineStr">
        <is>
          <t>13.04.2026</t>
        </is>
      </c>
      <c r="M2225" s="1" t="inlineStr">
        <is>
          <t>Успешно</t>
        </is>
      </c>
      <c r="N2225" s="1" t="inlineStr">
        <is>
          <t>15.04.2026</t>
        </is>
      </c>
      <c r="O2225" s="1" t="inlineStr"/>
      <c r="P2225" s="1" t="inlineStr"/>
      <c r="Q2225" s="1" t="inlineStr">
        <is>
          <t>Пользовательский интерфейс</t>
        </is>
      </c>
    </row>
    <row r="2226">
      <c r="B2226" s="1" t="inlineStr">
        <is>
          <t>189085512</t>
        </is>
      </c>
      <c r="C2226" s="1" t="inlineStr">
        <is>
          <t>13752947</t>
        </is>
      </c>
      <c r="D2226" t="inlineStr">
        <is>
          <t>работник 679</t>
        </is>
      </c>
      <c r="E2226" s="1" t="inlineStr">
        <is>
          <t>ОБЩЕСТВО С ОГРАНИЧЕННОЙ ОТВЕТСТВЕННОСТЬЮ "АМУР ЗОЛОТО"</t>
        </is>
      </c>
      <c r="F2226" s="1" t="inlineStr">
        <is>
          <t>2708001686</t>
        </is>
      </c>
      <c r="G2226" s="1" t="inlineStr">
        <is>
          <t>Электрослесарь (слесарь) дежурный и по ремонту оборудования</t>
        </is>
      </c>
      <c r="H2226" s="1" t="inlineStr">
        <is>
          <t>ООО "Амур Золото"</t>
        </is>
      </c>
      <c r="I2226" s="1" t="inlineStr">
        <is>
          <t>2708001686</t>
        </is>
      </c>
      <c r="J2226" s="1" t="inlineStr">
        <is>
          <t>ОТ № ЮГОК ЭУ 04-26</t>
        </is>
      </c>
      <c r="K222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226" s="1" t="inlineStr">
        <is>
          <t>13.04.2026</t>
        </is>
      </c>
      <c r="M2226" s="1" t="inlineStr">
        <is>
          <t>Успешно</t>
        </is>
      </c>
      <c r="N2226" s="1" t="inlineStr">
        <is>
          <t>15.04.2026</t>
        </is>
      </c>
      <c r="O2226" s="1" t="inlineStr"/>
      <c r="P2226" s="1" t="inlineStr"/>
      <c r="Q2226" s="1" t="inlineStr">
        <is>
          <t>Пользовательский интерфейс</t>
        </is>
      </c>
    </row>
    <row r="2227">
      <c r="B2227" s="1" t="inlineStr">
        <is>
          <t>189085513</t>
        </is>
      </c>
      <c r="C2227" s="1" t="inlineStr">
        <is>
          <t>13752947</t>
        </is>
      </c>
      <c r="D2227" t="inlineStr">
        <is>
          <t>работник 680</t>
        </is>
      </c>
      <c r="E2227" s="1" t="inlineStr">
        <is>
          <t>ОБЩЕСТВО С ОГРАНИЧЕННОЙ ОТВЕТСТВЕННОСТЬЮ "АМУР ЗОЛОТО"</t>
        </is>
      </c>
      <c r="F2227" s="1" t="inlineStr">
        <is>
          <t>2708001686</t>
        </is>
      </c>
      <c r="G2227" s="1" t="inlineStr">
        <is>
          <t>Слесарь-сантехник</t>
        </is>
      </c>
      <c r="H2227" s="1" t="inlineStr">
        <is>
          <t>ООО "Амур Золото"</t>
        </is>
      </c>
      <c r="I2227" s="1" t="inlineStr">
        <is>
          <t>2708001686</t>
        </is>
      </c>
      <c r="J2227" s="1" t="inlineStr">
        <is>
          <t>ОТ № ЮГОК ЭУ 05-26</t>
        </is>
      </c>
      <c r="K2227" s="1" t="inlineStr">
        <is>
          <t>Использование (применение) средств индивидуальной защиты</t>
        </is>
      </c>
      <c r="L2227" s="1" t="inlineStr">
        <is>
          <t>13.04.2026</t>
        </is>
      </c>
      <c r="M2227" s="1" t="inlineStr">
        <is>
          <t>Успешно</t>
        </is>
      </c>
      <c r="N2227" s="1" t="inlineStr">
        <is>
          <t>15.04.2026</t>
        </is>
      </c>
      <c r="O2227" s="1" t="inlineStr"/>
      <c r="P2227" s="1" t="inlineStr"/>
      <c r="Q2227" s="1" t="inlineStr">
        <is>
          <t>Пользовательский интерфейс</t>
        </is>
      </c>
    </row>
    <row r="2228">
      <c r="B2228" s="1" t="inlineStr">
        <is>
          <t>189085514</t>
        </is>
      </c>
      <c r="C2228" s="1" t="inlineStr">
        <is>
          <t>13752947</t>
        </is>
      </c>
      <c r="D2228" t="inlineStr">
        <is>
          <t>работник 680</t>
        </is>
      </c>
      <c r="E2228" s="1" t="inlineStr">
        <is>
          <t>ОБЩЕСТВО С ОГРАНИЧЕННОЙ ОТВЕТСТВЕННОСТЬЮ "АМУР ЗОЛОТО"</t>
        </is>
      </c>
      <c r="F2228" s="1" t="inlineStr">
        <is>
          <t>2708001686</t>
        </is>
      </c>
      <c r="G2228" s="1" t="inlineStr">
        <is>
          <t>Слесарь-сантехник</t>
        </is>
      </c>
      <c r="H2228" s="1" t="inlineStr">
        <is>
          <t>ООО "Амур Золото"</t>
        </is>
      </c>
      <c r="I2228" s="1" t="inlineStr">
        <is>
          <t>2708001686</t>
        </is>
      </c>
      <c r="J2228" s="1" t="inlineStr">
        <is>
          <t>ОТ № ЮГОК ЭУ 05-26</t>
        </is>
      </c>
      <c r="K222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228" s="1" t="inlineStr">
        <is>
          <t>13.04.2026</t>
        </is>
      </c>
      <c r="M2228" s="1" t="inlineStr">
        <is>
          <t>Успешно</t>
        </is>
      </c>
      <c r="N2228" s="1" t="inlineStr">
        <is>
          <t>15.04.2026</t>
        </is>
      </c>
      <c r="O2228" s="1" t="inlineStr"/>
      <c r="P2228" s="1" t="inlineStr"/>
      <c r="Q2228" s="1" t="inlineStr">
        <is>
          <t>Пользовательский интерфейс</t>
        </is>
      </c>
    </row>
    <row r="2229">
      <c r="B2229" s="1" t="inlineStr">
        <is>
          <t>190374705</t>
        </is>
      </c>
      <c r="C2229" s="1" t="inlineStr">
        <is>
          <t>13835122</t>
        </is>
      </c>
      <c r="D2229" t="inlineStr">
        <is>
          <t>работник 681</t>
        </is>
      </c>
      <c r="E2229" s="1" t="inlineStr">
        <is>
          <t>ОБЩЕСТВО С ОГРАНИЧЕННОЙ ОТВЕТСТВЕННОСТЬЮ "АМУР ЗОЛОТО"</t>
        </is>
      </c>
      <c r="F2229" s="1" t="inlineStr">
        <is>
          <t>2708001686</t>
        </is>
      </c>
      <c r="G2229" s="1" t="inlineStr">
        <is>
          <t>Грузчик</t>
        </is>
      </c>
      <c r="H2229" s="1" t="inlineStr">
        <is>
          <t>ООО "Амур Золото"</t>
        </is>
      </c>
      <c r="I2229" s="1" t="inlineStr">
        <is>
          <t>2708001686</t>
        </is>
      </c>
      <c r="J2229" s="1" t="inlineStr">
        <is>
          <t>ОТ № ЮГОК ЗИОФ 26-16</t>
        </is>
      </c>
      <c r="K2229" s="1" t="inlineStr">
        <is>
          <t>Использование (применение) средств индивидуальной защиты</t>
        </is>
      </c>
      <c r="L2229" s="1" t="inlineStr">
        <is>
          <t>15.04.2026</t>
        </is>
      </c>
      <c r="M2229" s="1" t="inlineStr">
        <is>
          <t>Успешно</t>
        </is>
      </c>
      <c r="N2229" s="1" t="inlineStr">
        <is>
          <t>21.04.2026</t>
        </is>
      </c>
      <c r="O2229" s="1" t="inlineStr"/>
      <c r="P2229" s="1" t="inlineStr"/>
      <c r="Q2229" s="1" t="inlineStr">
        <is>
          <t>Пользовательский интерфейс</t>
        </is>
      </c>
    </row>
    <row r="2230">
      <c r="B2230" s="1" t="inlineStr">
        <is>
          <t>190374706</t>
        </is>
      </c>
      <c r="C2230" s="1" t="inlineStr">
        <is>
          <t>13835122</t>
        </is>
      </c>
      <c r="D2230" t="inlineStr">
        <is>
          <t>работник 681</t>
        </is>
      </c>
      <c r="E2230" s="1" t="inlineStr">
        <is>
          <t>ОБЩЕСТВО С ОГРАНИЧЕННОЙ ОТВЕТСТВЕННОСТЬЮ "АМУР ЗОЛОТО"</t>
        </is>
      </c>
      <c r="F2230" s="1" t="inlineStr">
        <is>
          <t>2708001686</t>
        </is>
      </c>
      <c r="G2230" s="1" t="inlineStr">
        <is>
          <t>Грузчик</t>
        </is>
      </c>
      <c r="H2230" s="1" t="inlineStr">
        <is>
          <t>ООО "Амур Золото"</t>
        </is>
      </c>
      <c r="I2230" s="1" t="inlineStr">
        <is>
          <t>2708001686</t>
        </is>
      </c>
      <c r="J2230" s="1" t="inlineStr">
        <is>
          <t>ОТ № ЮГОК ЗИОФ 26-16</t>
        </is>
      </c>
      <c r="K223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230" s="1" t="inlineStr">
        <is>
          <t>15.04.2026</t>
        </is>
      </c>
      <c r="M2230" s="1" t="inlineStr">
        <is>
          <t>Успешно</t>
        </is>
      </c>
      <c r="N2230" s="1" t="inlineStr">
        <is>
          <t>21.04.2026</t>
        </is>
      </c>
      <c r="O2230" s="1" t="inlineStr"/>
      <c r="P2230" s="1" t="inlineStr"/>
      <c r="Q2230" s="1" t="inlineStr">
        <is>
          <t>Пользовательский интерфейс</t>
        </is>
      </c>
    </row>
    <row r="2231">
      <c r="B2231" s="1" t="inlineStr">
        <is>
          <t>190374707</t>
        </is>
      </c>
      <c r="C2231" s="1" t="inlineStr">
        <is>
          <t>13835122</t>
        </is>
      </c>
      <c r="D2231" t="inlineStr">
        <is>
          <t>работник 682</t>
        </is>
      </c>
      <c r="E2231" s="1" t="inlineStr">
        <is>
          <t>ОБЩЕСТВО С ОГРАНИЧЕННОЙ ОТВЕТСТВЕННОСТЬЮ "АМУР ЗОЛОТО"</t>
        </is>
      </c>
      <c r="F2231" s="1" t="inlineStr">
        <is>
          <t>2708001686</t>
        </is>
      </c>
      <c r="G2231" s="1" t="inlineStr">
        <is>
          <t>Оператор дизельных котлов</t>
        </is>
      </c>
      <c r="H2231" s="1" t="inlineStr">
        <is>
          <t>ООО "Амур Золото"</t>
        </is>
      </c>
      <c r="I2231" s="1" t="inlineStr">
        <is>
          <t>2708001686</t>
        </is>
      </c>
      <c r="J2231" s="1" t="inlineStr">
        <is>
          <t>ОТ № ЮГОК ЭУ 06-26</t>
        </is>
      </c>
      <c r="K2231" s="1" t="inlineStr">
        <is>
          <t>Использование (применение) средств индивидуальной защиты</t>
        </is>
      </c>
      <c r="L2231" s="1" t="inlineStr">
        <is>
          <t>20.04.2026</t>
        </is>
      </c>
      <c r="M2231" s="1" t="inlineStr">
        <is>
          <t>Успешно</t>
        </is>
      </c>
      <c r="N2231" s="1" t="inlineStr">
        <is>
          <t>21.04.2026</t>
        </is>
      </c>
      <c r="O2231" s="1" t="inlineStr"/>
      <c r="P2231" s="1" t="inlineStr"/>
      <c r="Q2231" s="1" t="inlineStr">
        <is>
          <t>Пользовательский интерфейс</t>
        </is>
      </c>
    </row>
    <row r="2232">
      <c r="B2232" s="1" t="inlineStr">
        <is>
          <t>190374708</t>
        </is>
      </c>
      <c r="C2232" s="1" t="inlineStr">
        <is>
          <t>13835122</t>
        </is>
      </c>
      <c r="D2232" t="inlineStr">
        <is>
          <t>работник 682</t>
        </is>
      </c>
      <c r="E2232" s="1" t="inlineStr">
        <is>
          <t>ОБЩЕСТВО С ОГРАНИЧЕННОЙ ОТВЕТСТВЕННОСТЬЮ "АМУР ЗОЛОТО"</t>
        </is>
      </c>
      <c r="F2232" s="1" t="inlineStr">
        <is>
          <t>2708001686</t>
        </is>
      </c>
      <c r="G2232" s="1" t="inlineStr">
        <is>
          <t>Оператор дизельных котлов</t>
        </is>
      </c>
      <c r="H2232" s="1" t="inlineStr">
        <is>
          <t>ООО "Амур Золото"</t>
        </is>
      </c>
      <c r="I2232" s="1" t="inlineStr">
        <is>
          <t>2708001686</t>
        </is>
      </c>
      <c r="J2232" s="1" t="inlineStr">
        <is>
          <t>ОТ № ЮГОК ЭУ 06-26</t>
        </is>
      </c>
      <c r="K223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232" s="1" t="inlineStr">
        <is>
          <t>20.04.2026</t>
        </is>
      </c>
      <c r="M2232" s="1" t="inlineStr">
        <is>
          <t>Успешно</t>
        </is>
      </c>
      <c r="N2232" s="1" t="inlineStr">
        <is>
          <t>21.04.2026</t>
        </is>
      </c>
      <c r="O2232" s="1" t="inlineStr"/>
      <c r="P2232" s="1" t="inlineStr"/>
      <c r="Q2232" s="1" t="inlineStr">
        <is>
          <t>Пользовательский интерфейс</t>
        </is>
      </c>
    </row>
    <row r="2233">
      <c r="B2233" s="1" t="inlineStr">
        <is>
          <t>190374709</t>
        </is>
      </c>
      <c r="C2233" s="1" t="inlineStr">
        <is>
          <t>13835122</t>
        </is>
      </c>
      <c r="D2233" t="inlineStr">
        <is>
          <t>работник 683</t>
        </is>
      </c>
      <c r="E2233" s="1" t="inlineStr">
        <is>
          <t>ОБЩЕСТВО С ОГРАНИЧЕННОЙ ОТВЕТСТВЕННОСТЬЮ "АМУР ЗОЛОТО"</t>
        </is>
      </c>
      <c r="F2233" s="1" t="inlineStr">
        <is>
          <t>2708001686</t>
        </is>
      </c>
      <c r="G2233" s="1" t="inlineStr">
        <is>
          <t>Оператор дизельных котлов</t>
        </is>
      </c>
      <c r="H2233" s="1" t="inlineStr">
        <is>
          <t>ООО "Амур Золото"</t>
        </is>
      </c>
      <c r="I2233" s="1" t="inlineStr">
        <is>
          <t>2708001686</t>
        </is>
      </c>
      <c r="J2233" s="1" t="inlineStr">
        <is>
          <t>ОТ № ЮГОК ЭУ 07-26</t>
        </is>
      </c>
      <c r="K2233" s="1" t="inlineStr">
        <is>
          <t>Использование (применение) средств индивидуальной защиты</t>
        </is>
      </c>
      <c r="L2233" s="1" t="inlineStr">
        <is>
          <t>20.04.2026</t>
        </is>
      </c>
      <c r="M2233" s="1" t="inlineStr">
        <is>
          <t>Успешно</t>
        </is>
      </c>
      <c r="N2233" s="1" t="inlineStr">
        <is>
          <t>21.04.2026</t>
        </is>
      </c>
      <c r="O2233" s="1" t="inlineStr"/>
      <c r="P2233" s="1" t="inlineStr"/>
      <c r="Q2233" s="1" t="inlineStr">
        <is>
          <t>Пользовательский интерфейс</t>
        </is>
      </c>
    </row>
    <row r="2234">
      <c r="B2234" s="1" t="inlineStr">
        <is>
          <t>190374710</t>
        </is>
      </c>
      <c r="C2234" s="1" t="inlineStr">
        <is>
          <t>13835122</t>
        </is>
      </c>
      <c r="D2234" t="inlineStr">
        <is>
          <t>работник 683</t>
        </is>
      </c>
      <c r="E2234" s="1" t="inlineStr">
        <is>
          <t>ОБЩЕСТВО С ОГРАНИЧЕННОЙ ОТВЕТСТВЕННОСТЬЮ "АМУР ЗОЛОТО"</t>
        </is>
      </c>
      <c r="F2234" s="1" t="inlineStr">
        <is>
          <t>2708001686</t>
        </is>
      </c>
      <c r="G2234" s="1" t="inlineStr">
        <is>
          <t>Оператор дизельных котлов</t>
        </is>
      </c>
      <c r="H2234" s="1" t="inlineStr">
        <is>
          <t>ООО "Амур Золото"</t>
        </is>
      </c>
      <c r="I2234" s="1" t="inlineStr">
        <is>
          <t>2708001686</t>
        </is>
      </c>
      <c r="J2234" s="1" t="inlineStr">
        <is>
          <t>ОТ № ЮГОК ЭУ 07-26</t>
        </is>
      </c>
      <c r="K223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234" s="1" t="inlineStr">
        <is>
          <t>20.04.2026</t>
        </is>
      </c>
      <c r="M2234" s="1" t="inlineStr">
        <is>
          <t>Успешно</t>
        </is>
      </c>
      <c r="N2234" s="1" t="inlineStr">
        <is>
          <t>21.04.2026</t>
        </is>
      </c>
      <c r="O2234" s="1" t="inlineStr"/>
      <c r="P2234" s="1" t="inlineStr"/>
      <c r="Q2234" s="1" t="inlineStr">
        <is>
          <t>Пользовательский интерфейс</t>
        </is>
      </c>
    </row>
    <row r="2235">
      <c r="B2235" s="1" t="inlineStr">
        <is>
          <t>190374711</t>
        </is>
      </c>
      <c r="C2235" s="1" t="inlineStr">
        <is>
          <t>13835122</t>
        </is>
      </c>
      <c r="D2235" t="inlineStr">
        <is>
          <t>работник 684</t>
        </is>
      </c>
      <c r="E2235" s="1" t="inlineStr">
        <is>
          <t>ОБЩЕСТВО С ОГРАНИЧЕННОЙ ОТВЕТСТВЕННОСТЬЮ "АМУР ЗОЛОТО"</t>
        </is>
      </c>
      <c r="F2235" s="1" t="inlineStr">
        <is>
          <t>2708001686</t>
        </is>
      </c>
      <c r="G2235" s="1" t="inlineStr">
        <is>
          <t>Машинист ДВС</t>
        </is>
      </c>
      <c r="H2235" s="1" t="inlineStr">
        <is>
          <t>ООО "Амур Золото"</t>
        </is>
      </c>
      <c r="I2235" s="1" t="inlineStr">
        <is>
          <t>2708001686</t>
        </is>
      </c>
      <c r="J2235" s="1" t="inlineStr">
        <is>
          <t>ОТ № ЮГОК ЭУ 08-26</t>
        </is>
      </c>
      <c r="K2235" s="1" t="inlineStr">
        <is>
          <t>Использование (применение) средств индивидуальной защиты</t>
        </is>
      </c>
      <c r="L2235" s="1" t="inlineStr">
        <is>
          <t>20.04.2026</t>
        </is>
      </c>
      <c r="M2235" s="1" t="inlineStr">
        <is>
          <t>Успешно</t>
        </is>
      </c>
      <c r="N2235" s="1" t="inlineStr">
        <is>
          <t>21.04.2026</t>
        </is>
      </c>
      <c r="O2235" s="1" t="inlineStr"/>
      <c r="P2235" s="1" t="inlineStr"/>
      <c r="Q2235" s="1" t="inlineStr">
        <is>
          <t>Пользовательский интерфейс</t>
        </is>
      </c>
    </row>
    <row r="2236">
      <c r="B2236" s="1" t="inlineStr">
        <is>
          <t>190374712</t>
        </is>
      </c>
      <c r="C2236" s="1" t="inlineStr">
        <is>
          <t>13835122</t>
        </is>
      </c>
      <c r="D2236" t="inlineStr">
        <is>
          <t>работник 684</t>
        </is>
      </c>
      <c r="E2236" s="1" t="inlineStr">
        <is>
          <t>ОБЩЕСТВО С ОГРАНИЧЕННОЙ ОТВЕТСТВЕННОСТЬЮ "АМУР ЗОЛОТО"</t>
        </is>
      </c>
      <c r="F2236" s="1" t="inlineStr">
        <is>
          <t>2708001686</t>
        </is>
      </c>
      <c r="G2236" s="1" t="inlineStr">
        <is>
          <t>Машинист ДВС</t>
        </is>
      </c>
      <c r="H2236" s="1" t="inlineStr">
        <is>
          <t>ООО "Амур Золото"</t>
        </is>
      </c>
      <c r="I2236" s="1" t="inlineStr">
        <is>
          <t>2708001686</t>
        </is>
      </c>
      <c r="J2236" s="1" t="inlineStr">
        <is>
          <t>ОТ № ЮГОК ЭУ 08-26</t>
        </is>
      </c>
      <c r="K223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236" s="1" t="inlineStr">
        <is>
          <t>20.04.2026</t>
        </is>
      </c>
      <c r="M2236" s="1" t="inlineStr">
        <is>
          <t>Успешно</t>
        </is>
      </c>
      <c r="N2236" s="1" t="inlineStr">
        <is>
          <t>21.04.2026</t>
        </is>
      </c>
      <c r="O2236" s="1" t="inlineStr"/>
      <c r="P2236" s="1" t="inlineStr"/>
      <c r="Q2236" s="1" t="inlineStr">
        <is>
          <t>Пользовательский интерфейс</t>
        </is>
      </c>
    </row>
    <row r="2237">
      <c r="B2237" s="1" t="inlineStr">
        <is>
          <t>193670787</t>
        </is>
      </c>
      <c r="C2237" s="1" t="inlineStr">
        <is>
          <t>14012155</t>
        </is>
      </c>
      <c r="D2237" t="inlineStr">
        <is>
          <t>работник 685</t>
        </is>
      </c>
      <c r="E2237" s="1" t="inlineStr">
        <is>
          <t>ОБЩЕСТВО С ОГРАНИЧЕННОЙ ОТВЕТСТВЕННОСТЬЮ "АМУР ЗОЛОТО"</t>
        </is>
      </c>
      <c r="F2237" s="1" t="inlineStr">
        <is>
          <t>2708001686</t>
        </is>
      </c>
      <c r="G2237" s="1" t="inlineStr">
        <is>
          <t>Подсобный рабочий</t>
        </is>
      </c>
      <c r="H2237" s="1" t="inlineStr">
        <is>
          <t>ООО "Амур Золото"</t>
        </is>
      </c>
      <c r="I2237" s="1" t="inlineStr">
        <is>
          <t>2708001686</t>
        </is>
      </c>
      <c r="J2237" s="1" t="inlineStr">
        <is>
          <t>ОТ № ЮГОК ЗИОФ 26-18</t>
        </is>
      </c>
      <c r="K2237" s="1" t="inlineStr">
        <is>
          <t>Использование (применение) средств индивидуальной защиты</t>
        </is>
      </c>
      <c r="L2237" s="1" t="inlineStr">
        <is>
          <t>26.04.2026</t>
        </is>
      </c>
      <c r="M2237" s="1" t="inlineStr">
        <is>
          <t>Успешно</t>
        </is>
      </c>
      <c r="N2237" s="1" t="inlineStr">
        <is>
          <t>05.05.2026</t>
        </is>
      </c>
      <c r="O2237" s="1" t="inlineStr"/>
      <c r="P2237" s="1" t="inlineStr"/>
      <c r="Q2237" s="1" t="inlineStr">
        <is>
          <t>Пользовательский интерфейс</t>
        </is>
      </c>
    </row>
    <row r="2238">
      <c r="B2238" s="1" t="inlineStr">
        <is>
          <t>193670788</t>
        </is>
      </c>
      <c r="C2238" s="1" t="inlineStr">
        <is>
          <t>14012155</t>
        </is>
      </c>
      <c r="D2238" t="inlineStr">
        <is>
          <t>работник 685</t>
        </is>
      </c>
      <c r="E2238" s="1" t="inlineStr">
        <is>
          <t>ОБЩЕСТВО С ОГРАНИЧЕННОЙ ОТВЕТСТВЕННОСТЬЮ "АМУР ЗОЛОТО"</t>
        </is>
      </c>
      <c r="F2238" s="1" t="inlineStr">
        <is>
          <t>2708001686</t>
        </is>
      </c>
      <c r="G2238" s="1" t="inlineStr">
        <is>
          <t>Подсобный рабочий</t>
        </is>
      </c>
      <c r="H2238" s="1" t="inlineStr">
        <is>
          <t>ООО "Амур Золото"</t>
        </is>
      </c>
      <c r="I2238" s="1" t="inlineStr">
        <is>
          <t>2708001686</t>
        </is>
      </c>
      <c r="J2238" s="1" t="inlineStr">
        <is>
          <t>ОТ № ЮГОК ЗИОФ 26-18</t>
        </is>
      </c>
      <c r="K223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238" s="1" t="inlineStr">
        <is>
          <t>26.04.2026</t>
        </is>
      </c>
      <c r="M2238" s="1" t="inlineStr">
        <is>
          <t>Успешно</t>
        </is>
      </c>
      <c r="N2238" s="1" t="inlineStr">
        <is>
          <t>05.05.2026</t>
        </is>
      </c>
      <c r="O2238" s="1" t="inlineStr"/>
      <c r="P2238" s="1" t="inlineStr"/>
      <c r="Q2238" s="1" t="inlineStr">
        <is>
          <t>Пользовательский интерфейс</t>
        </is>
      </c>
    </row>
    <row r="2239">
      <c r="B2239" s="1" t="inlineStr">
        <is>
          <t>193670789</t>
        </is>
      </c>
      <c r="C2239" s="1" t="inlineStr">
        <is>
          <t>14012155</t>
        </is>
      </c>
      <c r="D2239" t="inlineStr">
        <is>
          <t>работник 133</t>
        </is>
      </c>
      <c r="E2239" s="1" t="inlineStr">
        <is>
          <t>ОБЩЕСТВО С ОГРАНИЧЕННОЙ ОТВЕТСТВЕННОСТЬЮ "АМУР ЗОЛОТО"</t>
        </is>
      </c>
      <c r="F2239" s="1" t="inlineStr">
        <is>
          <t>2708001686</t>
        </is>
      </c>
      <c r="G2239" s="1" t="inlineStr">
        <is>
          <t>Электрогазосварщик (занятый на резке и ручной сварке)</t>
        </is>
      </c>
      <c r="H2239" s="1" t="inlineStr">
        <is>
          <t>ООО "Амур Золото"</t>
        </is>
      </c>
      <c r="I2239" s="1" t="inlineStr">
        <is>
          <t>2708001686</t>
        </is>
      </c>
      <c r="J2239" s="1" t="inlineStr">
        <is>
          <t>ОТ № ЮГОК ЗИОФ 26-19</t>
        </is>
      </c>
      <c r="K2239" s="1" t="inlineStr">
        <is>
          <t>Использование (применение) средств индивидуальной защиты</t>
        </is>
      </c>
      <c r="L2239" s="1" t="inlineStr">
        <is>
          <t>02.05.2026</t>
        </is>
      </c>
      <c r="M2239" s="1" t="inlineStr">
        <is>
          <t>Успешно</t>
        </is>
      </c>
      <c r="N2239" s="1" t="inlineStr">
        <is>
          <t>05.05.2026</t>
        </is>
      </c>
      <c r="O2239" s="1" t="inlineStr"/>
      <c r="P2239" s="1" t="inlineStr"/>
      <c r="Q2239" s="1" t="inlineStr">
        <is>
          <t>Пользовательский интерфейс</t>
        </is>
      </c>
    </row>
    <row r="2240">
      <c r="B2240" s="1" t="inlineStr">
        <is>
          <t>193670790</t>
        </is>
      </c>
      <c r="C2240" s="1" t="inlineStr">
        <is>
          <t>14012155</t>
        </is>
      </c>
      <c r="D2240" t="inlineStr">
        <is>
          <t>работник 133</t>
        </is>
      </c>
      <c r="E2240" s="1" t="inlineStr">
        <is>
          <t>ОБЩЕСТВО С ОГРАНИЧЕННОЙ ОТВЕТСТВЕННОСТЬЮ "АМУР ЗОЛОТО"</t>
        </is>
      </c>
      <c r="F2240" s="1" t="inlineStr">
        <is>
          <t>2708001686</t>
        </is>
      </c>
      <c r="G2240" s="1" t="inlineStr">
        <is>
          <t>Электрогазосварщик (занятый на резке и ручной сварке)</t>
        </is>
      </c>
      <c r="H2240" s="1" t="inlineStr">
        <is>
          <t>ООО "Амур Золото"</t>
        </is>
      </c>
      <c r="I2240" s="1" t="inlineStr">
        <is>
          <t>2708001686</t>
        </is>
      </c>
      <c r="J2240" s="1" t="inlineStr">
        <is>
          <t>ОТ № ЮГОК ЗИОФ 26-19</t>
        </is>
      </c>
      <c r="K224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240" s="1" t="inlineStr">
        <is>
          <t>02.05.2026</t>
        </is>
      </c>
      <c r="M2240" s="1" t="inlineStr">
        <is>
          <t>Успешно</t>
        </is>
      </c>
      <c r="N2240" s="1" t="inlineStr">
        <is>
          <t>05.05.2026</t>
        </is>
      </c>
      <c r="O2240" s="1" t="inlineStr"/>
      <c r="P2240" s="1" t="inlineStr"/>
      <c r="Q2240" s="1" t="inlineStr">
        <is>
          <t>Пользовательский интерфейс</t>
        </is>
      </c>
    </row>
    <row r="2241">
      <c r="B2241" s="1" t="inlineStr">
        <is>
          <t>193670791</t>
        </is>
      </c>
      <c r="C2241" s="1" t="inlineStr">
        <is>
          <t>14012155</t>
        </is>
      </c>
      <c r="D2241" t="inlineStr">
        <is>
          <t>работник 403</t>
        </is>
      </c>
      <c r="E2241" s="1" t="inlineStr">
        <is>
          <t>ОБЩЕСТВО С ОГРАНИЧЕННОЙ ОТВЕТСТВЕННОСТЬЮ "АМУР ЗОЛОТО"</t>
        </is>
      </c>
      <c r="F2241" s="1" t="inlineStr">
        <is>
          <t>2708001686</t>
        </is>
      </c>
      <c r="G2241" s="1" t="inlineStr">
        <is>
          <t>Лаборант пробирного анализа</t>
        </is>
      </c>
      <c r="H2241" s="1" t="inlineStr">
        <is>
          <t>ООО "Амур Золото"</t>
        </is>
      </c>
      <c r="I2241" s="1" t="inlineStr">
        <is>
          <t>2708001686</t>
        </is>
      </c>
      <c r="J2241" s="1" t="inlineStr">
        <is>
          <t>ОТ № ЮГОК ПАЛ 26-04</t>
        </is>
      </c>
      <c r="K2241" s="1" t="inlineStr">
        <is>
          <t>Использование (применение) средств индивидуальной защиты</t>
        </is>
      </c>
      <c r="L2241" s="1" t="inlineStr">
        <is>
          <t>21.04.2026</t>
        </is>
      </c>
      <c r="M2241" s="1" t="inlineStr">
        <is>
          <t>Успешно</t>
        </is>
      </c>
      <c r="N2241" s="1" t="inlineStr">
        <is>
          <t>05.05.2026</t>
        </is>
      </c>
      <c r="O2241" s="1" t="inlineStr"/>
      <c r="P2241" s="1" t="inlineStr"/>
      <c r="Q2241" s="1" t="inlineStr">
        <is>
          <t>Пользовательский интерфейс</t>
        </is>
      </c>
    </row>
    <row r="2242">
      <c r="B2242" s="1" t="inlineStr">
        <is>
          <t>193670792</t>
        </is>
      </c>
      <c r="C2242" s="1" t="inlineStr">
        <is>
          <t>14012155</t>
        </is>
      </c>
      <c r="D2242" t="inlineStr">
        <is>
          <t>работник 403</t>
        </is>
      </c>
      <c r="E2242" s="1" t="inlineStr">
        <is>
          <t>ОБЩЕСТВО С ОГРАНИЧЕННОЙ ОТВЕТСТВЕННОСТЬЮ "АМУР ЗОЛОТО"</t>
        </is>
      </c>
      <c r="F2242" s="1" t="inlineStr">
        <is>
          <t>2708001686</t>
        </is>
      </c>
      <c r="G2242" s="1" t="inlineStr">
        <is>
          <t>Лаборант пробирного анализа</t>
        </is>
      </c>
      <c r="H2242" s="1" t="inlineStr">
        <is>
          <t>ООО "Амур Золото"</t>
        </is>
      </c>
      <c r="I2242" s="1" t="inlineStr">
        <is>
          <t>2708001686</t>
        </is>
      </c>
      <c r="J2242" s="1" t="inlineStr">
        <is>
          <t>ОТ № ЮГОК ПАЛ 26-04</t>
        </is>
      </c>
      <c r="K224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242" s="1" t="inlineStr">
        <is>
          <t>21.04.2026</t>
        </is>
      </c>
      <c r="M2242" s="1" t="inlineStr">
        <is>
          <t>Успешно</t>
        </is>
      </c>
      <c r="N2242" s="1" t="inlineStr">
        <is>
          <t>05.05.2026</t>
        </is>
      </c>
      <c r="O2242" s="1" t="inlineStr"/>
      <c r="P2242" s="1" t="inlineStr"/>
      <c r="Q2242" s="1" t="inlineStr">
        <is>
          <t>Пользовательский интерфейс</t>
        </is>
      </c>
    </row>
    <row r="2243">
      <c r="B2243" s="1" t="inlineStr">
        <is>
          <t>193670947</t>
        </is>
      </c>
      <c r="C2243" s="1" t="inlineStr">
        <is>
          <t>14040180</t>
        </is>
      </c>
      <c r="D2243" t="inlineStr">
        <is>
          <t>работник 686</t>
        </is>
      </c>
      <c r="E2243" s="1" t="inlineStr">
        <is>
          <t>ОБЩЕСТВО С ОГРАНИЧЕННОЙ ОТВЕТСТВЕННОСТЬЮ "АМУР ЗОЛОТО"</t>
        </is>
      </c>
      <c r="F2243" s="1" t="inlineStr">
        <is>
          <t>2708001686</t>
        </is>
      </c>
      <c r="G2243" s="1" t="inlineStr">
        <is>
          <t>Участковый маркшейдер</t>
        </is>
      </c>
      <c r="H2243" s="1" t="inlineStr">
        <is>
          <t>ООО "Амур Золото"</t>
        </is>
      </c>
      <c r="I2243" s="1" t="inlineStr">
        <is>
          <t>2708001686</t>
        </is>
      </c>
      <c r="J2243" s="1" t="inlineStr">
        <is>
          <t>ОТ № ЮГОК ГМО 26-05</t>
        </is>
      </c>
      <c r="K2243" s="1" t="inlineStr">
        <is>
          <t>Использование (применение) средств индивидуальной защиты</t>
        </is>
      </c>
      <c r="L2243" s="1" t="inlineStr">
        <is>
          <t>05.05.2026</t>
        </is>
      </c>
      <c r="M2243" s="1" t="inlineStr">
        <is>
          <t>Успешно</t>
        </is>
      </c>
      <c r="N2243" s="1" t="inlineStr">
        <is>
          <t>05.05.2026</t>
        </is>
      </c>
      <c r="O2243" s="1" t="inlineStr"/>
      <c r="P2243" s="1" t="inlineStr"/>
      <c r="Q2243" s="1" t="inlineStr">
        <is>
          <t>Пользовательский интерфейс</t>
        </is>
      </c>
    </row>
    <row r="2244">
      <c r="B2244" s="1" t="inlineStr">
        <is>
          <t>193670948</t>
        </is>
      </c>
      <c r="C2244" s="1" t="inlineStr">
        <is>
          <t>14040180</t>
        </is>
      </c>
      <c r="D2244" t="inlineStr">
        <is>
          <t>работник 686</t>
        </is>
      </c>
      <c r="E2244" s="1" t="inlineStr">
        <is>
          <t>ОБЩЕСТВО С ОГРАНИЧЕННОЙ ОТВЕТСТВЕННОСТЬЮ "АМУР ЗОЛОТО"</t>
        </is>
      </c>
      <c r="F2244" s="1" t="inlineStr">
        <is>
          <t>2708001686</t>
        </is>
      </c>
      <c r="G2244" s="1" t="inlineStr">
        <is>
          <t>Участковый маркшейдер</t>
        </is>
      </c>
      <c r="H2244" s="1" t="inlineStr">
        <is>
          <t>ООО "Амур Золото"</t>
        </is>
      </c>
      <c r="I2244" s="1" t="inlineStr">
        <is>
          <t>2708001686</t>
        </is>
      </c>
      <c r="J2244" s="1" t="inlineStr">
        <is>
          <t>ОТ № ЮГОК ГМО 26-05</t>
        </is>
      </c>
      <c r="K224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244" s="1" t="inlineStr">
        <is>
          <t>05.05.2026</t>
        </is>
      </c>
      <c r="M2244" s="1" t="inlineStr">
        <is>
          <t>Успешно</t>
        </is>
      </c>
      <c r="N2244" s="1" t="inlineStr">
        <is>
          <t>05.05.2026</t>
        </is>
      </c>
      <c r="O2244" s="1" t="inlineStr"/>
      <c r="P2244" s="1" t="inlineStr"/>
      <c r="Q2244" s="1" t="inlineStr">
        <is>
          <t>Пользовательский интерфейс</t>
        </is>
      </c>
    </row>
    <row r="2245">
      <c r="B2245" s="1" t="inlineStr">
        <is>
          <t>197822300</t>
        </is>
      </c>
      <c r="C2245" s="1" t="inlineStr">
        <is>
          <t>14313480</t>
        </is>
      </c>
      <c r="D2245" t="inlineStr">
        <is>
          <t>работник 78</t>
        </is>
      </c>
      <c r="E2245" s="1" t="inlineStr">
        <is>
          <t>ОБЩЕСТВО С ОГРАНИЧЕННОЙ ОТВЕТСТВЕННОСТЬЮ "АМУР ЗОЛОТО"</t>
        </is>
      </c>
      <c r="F2245" s="1" t="inlineStr">
        <is>
          <t>2708001686</t>
        </is>
      </c>
      <c r="G2245" s="1" t="inlineStr">
        <is>
          <t>Электрогазосварщик</t>
        </is>
      </c>
      <c r="H2245" s="1" t="inlineStr">
        <is>
          <t>ООО "Амур Золото"</t>
        </is>
      </c>
      <c r="I2245" s="1" t="inlineStr">
        <is>
          <t>2708001686</t>
        </is>
      </c>
      <c r="J2245" s="1" t="inlineStr">
        <is>
          <t>ЮГОК ОКС (РСУ) 26-01</t>
        </is>
      </c>
      <c r="K2245" s="1" t="inlineStr">
        <is>
          <t>Использование (применение) средств индивидуальной защиты</t>
        </is>
      </c>
      <c r="L2245" s="1" t="inlineStr">
        <is>
          <t>23.05.2026</t>
        </is>
      </c>
      <c r="M2245" s="1" t="inlineStr">
        <is>
          <t>Успешно</t>
        </is>
      </c>
      <c r="N2245" s="1" t="inlineStr">
        <is>
          <t>25.05.2026</t>
        </is>
      </c>
      <c r="O2245" s="1" t="inlineStr"/>
      <c r="P2245" s="1" t="inlineStr"/>
      <c r="Q2245" s="1" t="inlineStr">
        <is>
          <t>Пользовательский интерфейс</t>
        </is>
      </c>
    </row>
    <row r="2246">
      <c r="B2246" s="1" t="inlineStr">
        <is>
          <t>197822301</t>
        </is>
      </c>
      <c r="C2246" s="1" t="inlineStr">
        <is>
          <t>14313480</t>
        </is>
      </c>
      <c r="D2246" t="inlineStr">
        <is>
          <t>работник 78</t>
        </is>
      </c>
      <c r="E2246" s="1" t="inlineStr">
        <is>
          <t>ОБЩЕСТВО С ОГРАНИЧЕННОЙ ОТВЕТСТВЕННОСТЬЮ "АМУР ЗОЛОТО"</t>
        </is>
      </c>
      <c r="F2246" s="1" t="inlineStr">
        <is>
          <t>2708001686</t>
        </is>
      </c>
      <c r="G2246" s="1" t="inlineStr">
        <is>
          <t>Электрогазосварщик</t>
        </is>
      </c>
      <c r="H2246" s="1" t="inlineStr">
        <is>
          <t>ООО "Амур Золото"</t>
        </is>
      </c>
      <c r="I2246" s="1" t="inlineStr">
        <is>
          <t>2708001686</t>
        </is>
      </c>
      <c r="J2246" s="1" t="inlineStr">
        <is>
          <t>ЮГОК ОКС (РСУ) 26-01</t>
        </is>
      </c>
      <c r="K224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246" s="1" t="inlineStr">
        <is>
          <t>23.05.2026</t>
        </is>
      </c>
      <c r="M2246" s="1" t="inlineStr">
        <is>
          <t>Успешно</t>
        </is>
      </c>
      <c r="N2246" s="1" t="inlineStr">
        <is>
          <t>25.05.2026</t>
        </is>
      </c>
      <c r="O2246" s="1" t="inlineStr"/>
      <c r="P2246" s="1" t="inlineStr"/>
      <c r="Q2246" s="1" t="inlineStr">
        <is>
          <t>Пользовательский интерфейс</t>
        </is>
      </c>
    </row>
    <row r="2247">
      <c r="B2247" s="1" t="inlineStr">
        <is>
          <t>197822302</t>
        </is>
      </c>
      <c r="C2247" s="1" t="inlineStr">
        <is>
          <t>14313480</t>
        </is>
      </c>
      <c r="D2247" t="inlineStr">
        <is>
          <t>работник 78</t>
        </is>
      </c>
      <c r="E2247" s="1" t="inlineStr">
        <is>
          <t>ОБЩЕСТВО С ОГРАНИЧЕННОЙ ОТВЕТСТВЕННОСТЬЮ "АМУР ЗОЛОТО"</t>
        </is>
      </c>
      <c r="F2247" s="1" t="inlineStr">
        <is>
          <t>2708001686</t>
        </is>
      </c>
      <c r="G2247" s="1" t="inlineStr">
        <is>
          <t>Электрогазосварщик</t>
        </is>
      </c>
      <c r="H2247" s="1" t="inlineStr">
        <is>
          <t>ООО "Амур Золото"</t>
        </is>
      </c>
      <c r="I2247" s="1" t="inlineStr">
        <is>
          <t>2708001686</t>
        </is>
      </c>
      <c r="J2247" s="1" t="inlineStr">
        <is>
          <t>ЮГОК ОКС (РСУ) 26-01</t>
        </is>
      </c>
      <c r="K2247" s="1" t="inlineStr">
        <is>
          <t>Безопасные методы и приемы выполнения огневых работ</t>
        </is>
      </c>
      <c r="L2247" s="1" t="inlineStr">
        <is>
          <t>23.05.2026</t>
        </is>
      </c>
      <c r="M2247" s="1" t="inlineStr">
        <is>
          <t>Успешно</t>
        </is>
      </c>
      <c r="N2247" s="1" t="inlineStr">
        <is>
          <t>25.05.2026</t>
        </is>
      </c>
      <c r="O2247" s="1" t="inlineStr"/>
      <c r="P2247" s="1" t="inlineStr"/>
      <c r="Q2247" s="1" t="inlineStr">
        <is>
          <t>Пользовательский интерфейс</t>
        </is>
      </c>
    </row>
    <row r="2248">
      <c r="B2248" s="1" t="inlineStr">
        <is>
          <t>197822303</t>
        </is>
      </c>
      <c r="C2248" s="1" t="inlineStr">
        <is>
          <t>14313480</t>
        </is>
      </c>
      <c r="D2248" t="inlineStr">
        <is>
          <t>работник 76</t>
        </is>
      </c>
      <c r="E2248" s="1" t="inlineStr">
        <is>
          <t>ОБЩЕСТВО С ОГРАНИЧЕННОЙ ОТВЕТСТВЕННОСТЬЮ "АМУР ЗОЛОТО"</t>
        </is>
      </c>
      <c r="F2248" s="1" t="inlineStr">
        <is>
          <t>2708001686</t>
        </is>
      </c>
      <c r="G2248" s="1" t="inlineStr">
        <is>
          <t>Монтажник по монтажу стальных и железобетонных конструкций</t>
        </is>
      </c>
      <c r="H2248" s="1" t="inlineStr">
        <is>
          <t>ООО "Амур Золото"</t>
        </is>
      </c>
      <c r="I2248" s="1" t="inlineStr">
        <is>
          <t>2708001686</t>
        </is>
      </c>
      <c r="J2248" s="1" t="inlineStr">
        <is>
          <t>ЮГОК ОКС (РСУ) 26-01</t>
        </is>
      </c>
      <c r="K2248" s="1" t="inlineStr">
        <is>
          <t>Использование (применение) средств индивидуальной защиты</t>
        </is>
      </c>
      <c r="L2248" s="1" t="inlineStr">
        <is>
          <t>23.05.2026</t>
        </is>
      </c>
      <c r="M2248" s="1" t="inlineStr">
        <is>
          <t>Успешно</t>
        </is>
      </c>
      <c r="N2248" s="1" t="inlineStr">
        <is>
          <t>25.05.2026</t>
        </is>
      </c>
      <c r="O2248" s="1" t="inlineStr"/>
      <c r="P2248" s="1" t="inlineStr"/>
      <c r="Q2248" s="1" t="inlineStr">
        <is>
          <t>Пользовательский интерфейс</t>
        </is>
      </c>
    </row>
    <row r="2249">
      <c r="B2249" s="1" t="inlineStr">
        <is>
          <t>197822304</t>
        </is>
      </c>
      <c r="C2249" s="1" t="inlineStr">
        <is>
          <t>14313480</t>
        </is>
      </c>
      <c r="D2249" t="inlineStr">
        <is>
          <t>работник 76</t>
        </is>
      </c>
      <c r="E2249" s="1" t="inlineStr">
        <is>
          <t>ОБЩЕСТВО С ОГРАНИЧЕННОЙ ОТВЕТСТВЕННОСТЬЮ "АМУР ЗОЛОТО"</t>
        </is>
      </c>
      <c r="F2249" s="1" t="inlineStr">
        <is>
          <t>2708001686</t>
        </is>
      </c>
      <c r="G2249" s="1" t="inlineStr">
        <is>
          <t>Монтажник по монтажу стальных и железобетонных конструкций</t>
        </is>
      </c>
      <c r="H2249" s="1" t="inlineStr">
        <is>
          <t>ООО "Амур Золото"</t>
        </is>
      </c>
      <c r="I2249" s="1" t="inlineStr">
        <is>
          <t>2708001686</t>
        </is>
      </c>
      <c r="J2249" s="1" t="inlineStr">
        <is>
          <t>ЮГОК ОКС (РСУ) 26-01</t>
        </is>
      </c>
      <c r="K224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249" s="1" t="inlineStr">
        <is>
          <t>23.05.2026</t>
        </is>
      </c>
      <c r="M2249" s="1" t="inlineStr">
        <is>
          <t>Успешно</t>
        </is>
      </c>
      <c r="N2249" s="1" t="inlineStr">
        <is>
          <t>25.05.2026</t>
        </is>
      </c>
      <c r="O2249" s="1" t="inlineStr"/>
      <c r="P2249" s="1" t="inlineStr"/>
      <c r="Q2249" s="1" t="inlineStr">
        <is>
          <t>Пользовательский интерфейс</t>
        </is>
      </c>
    </row>
    <row r="2250">
      <c r="B2250" s="1" t="inlineStr">
        <is>
          <t>197822305</t>
        </is>
      </c>
      <c r="C2250" s="1" t="inlineStr">
        <is>
          <t>14313480</t>
        </is>
      </c>
      <c r="D2250" t="inlineStr">
        <is>
          <t>работник 75</t>
        </is>
      </c>
      <c r="E2250" s="1" t="inlineStr">
        <is>
          <t>ОБЩЕСТВО С ОГРАНИЧЕННОЙ ОТВЕТСТВЕННОСТЬЮ "АМУР ЗОЛОТО"</t>
        </is>
      </c>
      <c r="F2250" s="1" t="inlineStr">
        <is>
          <t>2708001686</t>
        </is>
      </c>
      <c r="G2250" s="1" t="inlineStr">
        <is>
          <t>Плотник</t>
        </is>
      </c>
      <c r="H2250" s="1" t="inlineStr">
        <is>
          <t>ООО "Амур Золото"</t>
        </is>
      </c>
      <c r="I2250" s="1" t="inlineStr">
        <is>
          <t>2708001686</t>
        </is>
      </c>
      <c r="J2250" s="1" t="inlineStr">
        <is>
          <t>ЮГОК ОКС (РСУ) 26-01</t>
        </is>
      </c>
      <c r="K2250" s="1" t="inlineStr">
        <is>
          <t>Использование (применение) средств индивидуальной защиты</t>
        </is>
      </c>
      <c r="L2250" s="1" t="inlineStr">
        <is>
          <t>23.05.2026</t>
        </is>
      </c>
      <c r="M2250" s="1" t="inlineStr">
        <is>
          <t>Успешно</t>
        </is>
      </c>
      <c r="N2250" s="1" t="inlineStr">
        <is>
          <t>25.05.2026</t>
        </is>
      </c>
      <c r="O2250" s="1" t="inlineStr"/>
      <c r="P2250" s="1" t="inlineStr"/>
      <c r="Q2250" s="1" t="inlineStr">
        <is>
          <t>Пользовательский интерфейс</t>
        </is>
      </c>
    </row>
    <row r="2251">
      <c r="B2251" s="1" t="inlineStr">
        <is>
          <t>197822306</t>
        </is>
      </c>
      <c r="C2251" s="1" t="inlineStr">
        <is>
          <t>14313480</t>
        </is>
      </c>
      <c r="D2251" t="inlineStr">
        <is>
          <t>работник 75</t>
        </is>
      </c>
      <c r="E2251" s="1" t="inlineStr">
        <is>
          <t>ОБЩЕСТВО С ОГРАНИЧЕННОЙ ОТВЕТСТВЕННОСТЬЮ "АМУР ЗОЛОТО"</t>
        </is>
      </c>
      <c r="F2251" s="1" t="inlineStr">
        <is>
          <t>2708001686</t>
        </is>
      </c>
      <c r="G2251" s="1" t="inlineStr">
        <is>
          <t>Плотник</t>
        </is>
      </c>
      <c r="H2251" s="1" t="inlineStr">
        <is>
          <t>ООО "Амур Золото"</t>
        </is>
      </c>
      <c r="I2251" s="1" t="inlineStr">
        <is>
          <t>2708001686</t>
        </is>
      </c>
      <c r="J2251" s="1" t="inlineStr">
        <is>
          <t>ЮГОК ОКС (РСУ) 26-01</t>
        </is>
      </c>
      <c r="K225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251" s="1" t="inlineStr">
        <is>
          <t>23.05.2026</t>
        </is>
      </c>
      <c r="M2251" s="1" t="inlineStr">
        <is>
          <t>Успешно</t>
        </is>
      </c>
      <c r="N2251" s="1" t="inlineStr">
        <is>
          <t>25.05.2026</t>
        </is>
      </c>
      <c r="O2251" s="1" t="inlineStr"/>
      <c r="P2251" s="1" t="inlineStr"/>
      <c r="Q2251" s="1" t="inlineStr">
        <is>
          <t>Пользовательский интерфейс</t>
        </is>
      </c>
    </row>
    <row r="2252">
      <c r="B2252" s="1" t="inlineStr">
        <is>
          <t>197822307</t>
        </is>
      </c>
      <c r="C2252" s="1" t="inlineStr">
        <is>
          <t>14313480</t>
        </is>
      </c>
      <c r="D2252" t="inlineStr">
        <is>
          <t>работник 687</t>
        </is>
      </c>
      <c r="E2252" s="1" t="inlineStr">
        <is>
          <t>ОБЩЕСТВО С ОГРАНИЧЕННОЙ ОТВЕТСТВЕННОСТЬЮ "АМУР ЗОЛОТО"</t>
        </is>
      </c>
      <c r="F2252" s="1" t="inlineStr">
        <is>
          <t>2708001686</t>
        </is>
      </c>
      <c r="G2252" s="1" t="inlineStr">
        <is>
          <t>Заместитель начальника участка</t>
        </is>
      </c>
      <c r="H2252" s="1" t="inlineStr">
        <is>
          <t>ООО "Амур Золото"</t>
        </is>
      </c>
      <c r="I2252" s="1" t="inlineStr">
        <is>
          <t>2708001686</t>
        </is>
      </c>
      <c r="J2252" s="1" t="inlineStr">
        <is>
          <t>ЮГОК ОКС (РСУ) 26-01</t>
        </is>
      </c>
      <c r="K2252" s="1" t="inlineStr">
        <is>
          <t>Безопасные методы и приемы выполнения огневых работ</t>
        </is>
      </c>
      <c r="L2252" s="1" t="inlineStr">
        <is>
          <t>23.05.2026</t>
        </is>
      </c>
      <c r="M2252" s="1" t="inlineStr">
        <is>
          <t>Успешно</t>
        </is>
      </c>
      <c r="N2252" s="1" t="inlineStr">
        <is>
          <t>25.05.2026</t>
        </is>
      </c>
      <c r="O2252" s="1" t="inlineStr"/>
      <c r="P2252" s="1" t="inlineStr"/>
      <c r="Q2252" s="1" t="inlineStr">
        <is>
          <t>Пользовательский интерфейс</t>
        </is>
      </c>
    </row>
    <row r="2253">
      <c r="B2253" s="1" t="inlineStr">
        <is>
          <t>197822308</t>
        </is>
      </c>
      <c r="C2253" s="1" t="inlineStr">
        <is>
          <t>14313480</t>
        </is>
      </c>
      <c r="D2253" t="inlineStr">
        <is>
          <t>работник 688</t>
        </is>
      </c>
      <c r="E2253" s="1" t="inlineStr">
        <is>
          <t>ОБЩЕСТВО С ОГРАНИЧЕННОЙ ОТВЕТСТВЕННОСТЬЮ "АМУР ЗОЛОТО"</t>
        </is>
      </c>
      <c r="F2253" s="1" t="inlineStr">
        <is>
          <t>2708001686</t>
        </is>
      </c>
      <c r="G2253" s="1" t="inlineStr">
        <is>
          <t>Монтажник по монтажу стальных и железобетонных конструкций</t>
        </is>
      </c>
      <c r="H2253" s="1" t="inlineStr">
        <is>
          <t>ООО "Амур Золото"</t>
        </is>
      </c>
      <c r="I2253" s="1" t="inlineStr">
        <is>
          <t>2708001686</t>
        </is>
      </c>
      <c r="J2253" s="1" t="inlineStr">
        <is>
          <t>ЮГОК ОКС (РСУ) 26-01</t>
        </is>
      </c>
      <c r="K2253" s="1" t="inlineStr">
        <is>
          <t>Использование (применение) средств индивидуальной защиты</t>
        </is>
      </c>
      <c r="L2253" s="1" t="inlineStr">
        <is>
          <t>23.05.2026</t>
        </is>
      </c>
      <c r="M2253" s="1" t="inlineStr">
        <is>
          <t>Успешно</t>
        </is>
      </c>
      <c r="N2253" s="1" t="inlineStr">
        <is>
          <t>25.05.2026</t>
        </is>
      </c>
      <c r="O2253" s="1" t="inlineStr"/>
      <c r="P2253" s="1" t="inlineStr"/>
      <c r="Q2253" s="1" t="inlineStr">
        <is>
          <t>Пользовательский интерфейс</t>
        </is>
      </c>
    </row>
    <row r="2254">
      <c r="B2254" s="1" t="inlineStr">
        <is>
          <t>197822309</t>
        </is>
      </c>
      <c r="C2254" s="1" t="inlineStr">
        <is>
          <t>14313480</t>
        </is>
      </c>
      <c r="D2254" t="inlineStr">
        <is>
          <t>работник 688</t>
        </is>
      </c>
      <c r="E2254" s="1" t="inlineStr">
        <is>
          <t>ОБЩЕСТВО С ОГРАНИЧЕННОЙ ОТВЕТСТВЕННОСТЬЮ "АМУР ЗОЛОТО"</t>
        </is>
      </c>
      <c r="F2254" s="1" t="inlineStr">
        <is>
          <t>2708001686</t>
        </is>
      </c>
      <c r="G2254" s="1" t="inlineStr">
        <is>
          <t>Монтажник по монтажу стальных и железобетонных конструкций</t>
        </is>
      </c>
      <c r="H2254" s="1" t="inlineStr">
        <is>
          <t>ООО "Амур Золото"</t>
        </is>
      </c>
      <c r="I2254" s="1" t="inlineStr">
        <is>
          <t>2708001686</t>
        </is>
      </c>
      <c r="J2254" s="1" t="inlineStr">
        <is>
          <t>ЮГОК ОКС (РСУ) 26-01</t>
        </is>
      </c>
      <c r="K225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254" s="1" t="inlineStr">
        <is>
          <t>23.05.2026</t>
        </is>
      </c>
      <c r="M2254" s="1" t="inlineStr">
        <is>
          <t>Успешно</t>
        </is>
      </c>
      <c r="N2254" s="1" t="inlineStr">
        <is>
          <t>25.05.2026</t>
        </is>
      </c>
      <c r="O2254" s="1" t="inlineStr"/>
      <c r="P2254" s="1" t="inlineStr"/>
      <c r="Q2254" s="1" t="inlineStr">
        <is>
          <t>Пользовательский интерфейс</t>
        </is>
      </c>
    </row>
    <row r="2255">
      <c r="B2255" s="1" t="inlineStr">
        <is>
          <t>197822310</t>
        </is>
      </c>
      <c r="C2255" s="1" t="inlineStr">
        <is>
          <t>14313480</t>
        </is>
      </c>
      <c r="D2255" t="inlineStr">
        <is>
          <t>работник 689</t>
        </is>
      </c>
      <c r="E2255" s="1" t="inlineStr">
        <is>
          <t>ОБЩЕСТВО С ОГРАНИЧЕННОЙ ОТВЕТСТВЕННОСТЬЮ "АМУР ЗОЛОТО"</t>
        </is>
      </c>
      <c r="F2255" s="1" t="inlineStr">
        <is>
          <t>2708001686</t>
        </is>
      </c>
      <c r="G2255" s="1" t="inlineStr">
        <is>
          <t>Ведущий инженер-геодезист</t>
        </is>
      </c>
      <c r="H2255" s="1" t="inlineStr">
        <is>
          <t>ООО "Амур Золото"</t>
        </is>
      </c>
      <c r="I2255" s="1" t="inlineStr">
        <is>
          <t>2708001686</t>
        </is>
      </c>
      <c r="J2255" s="1" t="inlineStr">
        <is>
          <t>ЮГОК ОКС (РСУ) 26-01</t>
        </is>
      </c>
      <c r="K2255" s="1" t="inlineStr">
        <is>
          <t>Использование (применение) средств индивидуальной защиты</t>
        </is>
      </c>
      <c r="L2255" s="1" t="inlineStr">
        <is>
          <t>23.05.2026</t>
        </is>
      </c>
      <c r="M2255" s="1" t="inlineStr">
        <is>
          <t>Успешно</t>
        </is>
      </c>
      <c r="N2255" s="1" t="inlineStr">
        <is>
          <t>25.05.2026</t>
        </is>
      </c>
      <c r="O2255" s="1" t="inlineStr"/>
      <c r="P2255" s="1" t="inlineStr"/>
      <c r="Q2255" s="1" t="inlineStr">
        <is>
          <t>Пользовательский интерфейс</t>
        </is>
      </c>
    </row>
    <row r="2256">
      <c r="B2256" s="1" t="inlineStr">
        <is>
          <t>197822311</t>
        </is>
      </c>
      <c r="C2256" s="1" t="inlineStr">
        <is>
          <t>14313480</t>
        </is>
      </c>
      <c r="D2256" t="inlineStr">
        <is>
          <t>работник 689</t>
        </is>
      </c>
      <c r="E2256" s="1" t="inlineStr">
        <is>
          <t>ОБЩЕСТВО С ОГРАНИЧЕННОЙ ОТВЕТСТВЕННОСТЬЮ "АМУР ЗОЛОТО"</t>
        </is>
      </c>
      <c r="F2256" s="1" t="inlineStr">
        <is>
          <t>2708001686</t>
        </is>
      </c>
      <c r="G2256" s="1" t="inlineStr">
        <is>
          <t>Ведущий инженер-геодезист</t>
        </is>
      </c>
      <c r="H2256" s="1" t="inlineStr">
        <is>
          <t>ООО "Амур Золото"</t>
        </is>
      </c>
      <c r="I2256" s="1" t="inlineStr">
        <is>
          <t>2708001686</t>
        </is>
      </c>
      <c r="J2256" s="1" t="inlineStr">
        <is>
          <t>ЮГОК ОКС (РСУ) 26-01</t>
        </is>
      </c>
      <c r="K225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256" s="1" t="inlineStr">
        <is>
          <t>23.05.2026</t>
        </is>
      </c>
      <c r="M2256" s="1" t="inlineStr">
        <is>
          <t>Успешно</t>
        </is>
      </c>
      <c r="N2256" s="1" t="inlineStr">
        <is>
          <t>25.05.2026</t>
        </is>
      </c>
      <c r="O2256" s="1" t="inlineStr"/>
      <c r="P2256" s="1" t="inlineStr"/>
      <c r="Q2256" s="1" t="inlineStr">
        <is>
          <t>Пользовательский интерфейс</t>
        </is>
      </c>
    </row>
    <row r="2257">
      <c r="B2257" s="1" t="inlineStr">
        <is>
          <t>197822312</t>
        </is>
      </c>
      <c r="C2257" s="1" t="inlineStr">
        <is>
          <t>14313480</t>
        </is>
      </c>
      <c r="D2257" t="inlineStr">
        <is>
          <t>работник 690</t>
        </is>
      </c>
      <c r="E2257" s="1" t="inlineStr">
        <is>
          <t>ОБЩЕСТВО С ОГРАНИЧЕННОЙ ОТВЕТСТВЕННОСТЬЮ "АМУР ЗОЛОТО"</t>
        </is>
      </c>
      <c r="F2257" s="1" t="inlineStr">
        <is>
          <t>2708001686</t>
        </is>
      </c>
      <c r="G2257" s="1" t="inlineStr">
        <is>
          <t>Монтажник по монтажу стальных и железобетонных конструкций</t>
        </is>
      </c>
      <c r="H2257" s="1" t="inlineStr">
        <is>
          <t>ООО "Амур Золото"</t>
        </is>
      </c>
      <c r="I2257" s="1" t="inlineStr">
        <is>
          <t>2708001686</t>
        </is>
      </c>
      <c r="J2257" s="1" t="inlineStr">
        <is>
          <t>ЮГОК ОКС (РСУ) 26-01</t>
        </is>
      </c>
      <c r="K2257" s="1" t="inlineStr">
        <is>
          <t>Использование (применение) средств индивидуальной защиты</t>
        </is>
      </c>
      <c r="L2257" s="1" t="inlineStr">
        <is>
          <t>23.05.2026</t>
        </is>
      </c>
      <c r="M2257" s="1" t="inlineStr">
        <is>
          <t>Успешно</t>
        </is>
      </c>
      <c r="N2257" s="1" t="inlineStr">
        <is>
          <t>25.05.2026</t>
        </is>
      </c>
      <c r="O2257" s="1" t="inlineStr"/>
      <c r="P2257" s="1" t="inlineStr"/>
      <c r="Q2257" s="1" t="inlineStr">
        <is>
          <t>Пользовательский интерфейс</t>
        </is>
      </c>
    </row>
    <row r="2258">
      <c r="B2258" s="1" t="inlineStr">
        <is>
          <t>197822313</t>
        </is>
      </c>
      <c r="C2258" s="1" t="inlineStr">
        <is>
          <t>14313480</t>
        </is>
      </c>
      <c r="D2258" t="inlineStr">
        <is>
          <t>работник 690</t>
        </is>
      </c>
      <c r="E2258" s="1" t="inlineStr">
        <is>
          <t>ОБЩЕСТВО С ОГРАНИЧЕННОЙ ОТВЕТСТВЕННОСТЬЮ "АМУР ЗОЛОТО"</t>
        </is>
      </c>
      <c r="F2258" s="1" t="inlineStr">
        <is>
          <t>2708001686</t>
        </is>
      </c>
      <c r="G2258" s="1" t="inlineStr">
        <is>
          <t>Монтажник по монтажу стальных и железобетонных конструкций</t>
        </is>
      </c>
      <c r="H2258" s="1" t="inlineStr">
        <is>
          <t>ООО "Амур Золото"</t>
        </is>
      </c>
      <c r="I2258" s="1" t="inlineStr">
        <is>
          <t>2708001686</t>
        </is>
      </c>
      <c r="J2258" s="1" t="inlineStr">
        <is>
          <t>ЮГОК ОКС (РСУ) 26-01</t>
        </is>
      </c>
      <c r="K225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258" s="1" t="inlineStr">
        <is>
          <t>23.05.2026</t>
        </is>
      </c>
      <c r="M2258" s="1" t="inlineStr">
        <is>
          <t>Успешно</t>
        </is>
      </c>
      <c r="N2258" s="1" t="inlineStr">
        <is>
          <t>25.05.2026</t>
        </is>
      </c>
      <c r="O2258" s="1" t="inlineStr"/>
      <c r="P2258" s="1" t="inlineStr"/>
      <c r="Q2258" s="1" t="inlineStr">
        <is>
          <t>Пользовательский интерфейс</t>
        </is>
      </c>
    </row>
    <row r="2259">
      <c r="B2259" s="1" t="inlineStr">
        <is>
          <t>197822314</t>
        </is>
      </c>
      <c r="C2259" s="1" t="inlineStr">
        <is>
          <t>14313480</t>
        </is>
      </c>
      <c r="D2259" t="inlineStr">
        <is>
          <t>работник 691</t>
        </is>
      </c>
      <c r="E2259" s="1" t="inlineStr">
        <is>
          <t>ОБЩЕСТВО С ОГРАНИЧЕННОЙ ОТВЕТСТВЕННОСТЬЮ "АМУР ЗОЛОТО"</t>
        </is>
      </c>
      <c r="F2259" s="1" t="inlineStr">
        <is>
          <t>2708001686</t>
        </is>
      </c>
      <c r="G2259" s="1" t="inlineStr">
        <is>
          <t>Плотник</t>
        </is>
      </c>
      <c r="H2259" s="1" t="inlineStr">
        <is>
          <t>ООО "Амур Золото"</t>
        </is>
      </c>
      <c r="I2259" s="1" t="inlineStr">
        <is>
          <t>2708001686</t>
        </is>
      </c>
      <c r="J2259" s="1" t="inlineStr">
        <is>
          <t>ЮГОК ОКС (РСУ) 26-01</t>
        </is>
      </c>
      <c r="K2259" s="1" t="inlineStr">
        <is>
          <t>Использование (применение) средств индивидуальной защиты</t>
        </is>
      </c>
      <c r="L2259" s="1" t="inlineStr">
        <is>
          <t>23.05.2026</t>
        </is>
      </c>
      <c r="M2259" s="1" t="inlineStr">
        <is>
          <t>Успешно</t>
        </is>
      </c>
      <c r="N2259" s="1" t="inlineStr">
        <is>
          <t>25.05.2026</t>
        </is>
      </c>
      <c r="O2259" s="1" t="inlineStr"/>
      <c r="P2259" s="1" t="inlineStr"/>
      <c r="Q2259" s="1" t="inlineStr">
        <is>
          <t>Пользовательский интерфейс</t>
        </is>
      </c>
    </row>
    <row r="2260">
      <c r="B2260" s="1" t="inlineStr">
        <is>
          <t>197822315</t>
        </is>
      </c>
      <c r="C2260" s="1" t="inlineStr">
        <is>
          <t>14313480</t>
        </is>
      </c>
      <c r="D2260" t="inlineStr">
        <is>
          <t>работник 691</t>
        </is>
      </c>
      <c r="E2260" s="1" t="inlineStr">
        <is>
          <t>ОБЩЕСТВО С ОГРАНИЧЕННОЙ ОТВЕТСТВЕННОСТЬЮ "АМУР ЗОЛОТО"</t>
        </is>
      </c>
      <c r="F2260" s="1" t="inlineStr">
        <is>
          <t>2708001686</t>
        </is>
      </c>
      <c r="G2260" s="1" t="inlineStr">
        <is>
          <t>Плотник</t>
        </is>
      </c>
      <c r="H2260" s="1" t="inlineStr">
        <is>
          <t>ООО "Амур Золото"</t>
        </is>
      </c>
      <c r="I2260" s="1" t="inlineStr">
        <is>
          <t>2708001686</t>
        </is>
      </c>
      <c r="J2260" s="1" t="inlineStr">
        <is>
          <t>ЮГОК ОКС (РСУ) 26-01</t>
        </is>
      </c>
      <c r="K226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260" s="1" t="inlineStr">
        <is>
          <t>23.05.2026</t>
        </is>
      </c>
      <c r="M2260" s="1" t="inlineStr">
        <is>
          <t>Успешно</t>
        </is>
      </c>
      <c r="N2260" s="1" t="inlineStr">
        <is>
          <t>25.05.2026</t>
        </is>
      </c>
      <c r="O2260" s="1" t="inlineStr"/>
      <c r="P2260" s="1" t="inlineStr"/>
      <c r="Q2260" s="1" t="inlineStr">
        <is>
          <t>Пользовательский интерфейс</t>
        </is>
      </c>
    </row>
    <row r="2261">
      <c r="B2261" s="1" t="inlineStr">
        <is>
          <t>197822316</t>
        </is>
      </c>
      <c r="C2261" s="1" t="inlineStr">
        <is>
          <t>14313480</t>
        </is>
      </c>
      <c r="D2261" t="inlineStr">
        <is>
          <t>работник 692</t>
        </is>
      </c>
      <c r="E2261" s="1" t="inlineStr">
        <is>
          <t>ОБЩЕСТВО С ОГРАНИЧЕННОЙ ОТВЕТСТВЕННОСТЬЮ "АМУР ЗОЛОТО"</t>
        </is>
      </c>
      <c r="F2261" s="1" t="inlineStr">
        <is>
          <t>2708001686</t>
        </is>
      </c>
      <c r="G2261" s="1" t="inlineStr">
        <is>
          <t>Начальник участка</t>
        </is>
      </c>
      <c r="H2261" s="1" t="inlineStr">
        <is>
          <t>ООО "Амур Золото"</t>
        </is>
      </c>
      <c r="I2261" s="1" t="inlineStr">
        <is>
          <t>2708001686</t>
        </is>
      </c>
      <c r="J2261" s="1" t="inlineStr">
        <is>
          <t>ЮГОК ОКС (РСУ) 26-01</t>
        </is>
      </c>
      <c r="K2261" s="1" t="inlineStr">
        <is>
          <t>Безопасные методы и приемы выполнения огневых работ</t>
        </is>
      </c>
      <c r="L2261" s="1" t="inlineStr">
        <is>
          <t>23.05.2026</t>
        </is>
      </c>
      <c r="M2261" s="1" t="inlineStr">
        <is>
          <t>Успешно</t>
        </is>
      </c>
      <c r="N2261" s="1" t="inlineStr">
        <is>
          <t>25.05.2026</t>
        </is>
      </c>
      <c r="O2261" s="1" t="inlineStr"/>
      <c r="P2261" s="1" t="inlineStr"/>
      <c r="Q2261" s="1" t="inlineStr">
        <is>
          <t>Пользовательский интерфейс</t>
        </is>
      </c>
    </row>
    <row r="2262">
      <c r="B2262" s="1" t="inlineStr">
        <is>
          <t>197822317</t>
        </is>
      </c>
      <c r="C2262" s="1" t="inlineStr">
        <is>
          <t>14313480</t>
        </is>
      </c>
      <c r="D2262" t="inlineStr">
        <is>
          <t>работник 693</t>
        </is>
      </c>
      <c r="E2262" s="1" t="inlineStr">
        <is>
          <t>ОБЩЕСТВО С ОГРАНИЧЕННОЙ ОТВЕТСТВЕННОСТЬЮ "АМУР ЗОЛОТО"</t>
        </is>
      </c>
      <c r="F2262" s="1" t="inlineStr">
        <is>
          <t>2708001686</t>
        </is>
      </c>
      <c r="G2262" s="1" t="inlineStr">
        <is>
          <t>Плотник</t>
        </is>
      </c>
      <c r="H2262" s="1" t="inlineStr">
        <is>
          <t>ООО "Амур Золото"</t>
        </is>
      </c>
      <c r="I2262" s="1" t="inlineStr">
        <is>
          <t>2708001686</t>
        </is>
      </c>
      <c r="J2262" s="1" t="inlineStr">
        <is>
          <t>ЮГОК ОКС (РСУ) 26-01</t>
        </is>
      </c>
      <c r="K2262" s="1" t="inlineStr">
        <is>
          <t>Использование (применение) средств индивидуальной защиты</t>
        </is>
      </c>
      <c r="L2262" s="1" t="inlineStr">
        <is>
          <t>23.05.2026</t>
        </is>
      </c>
      <c r="M2262" s="1" t="inlineStr">
        <is>
          <t>Успешно</t>
        </is>
      </c>
      <c r="N2262" s="1" t="inlineStr">
        <is>
          <t>25.05.2026</t>
        </is>
      </c>
      <c r="O2262" s="1" t="inlineStr"/>
      <c r="P2262" s="1" t="inlineStr"/>
      <c r="Q2262" s="1" t="inlineStr">
        <is>
          <t>Пользовательский интерфейс</t>
        </is>
      </c>
    </row>
    <row r="2263">
      <c r="B2263" s="1" t="inlineStr">
        <is>
          <t>197822318</t>
        </is>
      </c>
      <c r="C2263" s="1" t="inlineStr">
        <is>
          <t>14313480</t>
        </is>
      </c>
      <c r="D2263" t="inlineStr">
        <is>
          <t>работник 693</t>
        </is>
      </c>
      <c r="E2263" s="1" t="inlineStr">
        <is>
          <t>ОБЩЕСТВО С ОГРАНИЧЕННОЙ ОТВЕТСТВЕННОСТЬЮ "АМУР ЗОЛОТО"</t>
        </is>
      </c>
      <c r="F2263" s="1" t="inlineStr">
        <is>
          <t>2708001686</t>
        </is>
      </c>
      <c r="G2263" s="1" t="inlineStr">
        <is>
          <t>Плотник</t>
        </is>
      </c>
      <c r="H2263" s="1" t="inlineStr">
        <is>
          <t>ООО "Амур Золото"</t>
        </is>
      </c>
      <c r="I2263" s="1" t="inlineStr">
        <is>
          <t>2708001686</t>
        </is>
      </c>
      <c r="J2263" s="1" t="inlineStr">
        <is>
          <t>ЮГОК ОКС (РСУ) 26-01</t>
        </is>
      </c>
      <c r="K226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263" s="1" t="inlineStr">
        <is>
          <t>23.05.2026</t>
        </is>
      </c>
      <c r="M2263" s="1" t="inlineStr">
        <is>
          <t>Успешно</t>
        </is>
      </c>
      <c r="N2263" s="1" t="inlineStr">
        <is>
          <t>25.05.2026</t>
        </is>
      </c>
      <c r="O2263" s="1" t="inlineStr"/>
      <c r="P2263" s="1" t="inlineStr"/>
      <c r="Q2263" s="1" t="inlineStr">
        <is>
          <t>Пользовательский интерфейс</t>
        </is>
      </c>
    </row>
    <row r="2264">
      <c r="B2264" s="1" t="inlineStr">
        <is>
          <t>197822319</t>
        </is>
      </c>
      <c r="C2264" s="1" t="inlineStr">
        <is>
          <t>14313480</t>
        </is>
      </c>
      <c r="D2264" t="inlineStr">
        <is>
          <t>работник 694</t>
        </is>
      </c>
      <c r="E2264" s="1" t="inlineStr">
        <is>
          <t>ОБЩЕСТВО С ОГРАНИЧЕННОЙ ОТВЕТСТВЕННОСТЬЮ "АМУР ЗОЛОТО"</t>
        </is>
      </c>
      <c r="F2264" s="1" t="inlineStr">
        <is>
          <t>2708001686</t>
        </is>
      </c>
      <c r="G2264" s="1" t="inlineStr">
        <is>
          <t>Руководитель строительства группы объектов</t>
        </is>
      </c>
      <c r="H2264" s="1" t="inlineStr">
        <is>
          <t>ООО "Амур Золото"</t>
        </is>
      </c>
      <c r="I2264" s="1" t="inlineStr">
        <is>
          <t>2708001686</t>
        </is>
      </c>
      <c r="J2264" s="1" t="inlineStr">
        <is>
          <t>ЮГОК ОКС (РСУ) 26-01</t>
        </is>
      </c>
      <c r="K2264" s="1" t="inlineStr">
        <is>
          <t>Использование (применение) средств индивидуальной защиты</t>
        </is>
      </c>
      <c r="L2264" s="1" t="inlineStr">
        <is>
          <t>23.05.2026</t>
        </is>
      </c>
      <c r="M2264" s="1" t="inlineStr">
        <is>
          <t>Успешно</t>
        </is>
      </c>
      <c r="N2264" s="1" t="inlineStr">
        <is>
          <t>25.05.2026</t>
        </is>
      </c>
      <c r="O2264" s="1" t="inlineStr"/>
      <c r="P2264" s="1" t="inlineStr"/>
      <c r="Q2264" s="1" t="inlineStr">
        <is>
          <t>Пользовательский интерфейс</t>
        </is>
      </c>
    </row>
    <row r="2265">
      <c r="B2265" s="1" t="inlineStr">
        <is>
          <t>197822320</t>
        </is>
      </c>
      <c r="C2265" s="1" t="inlineStr">
        <is>
          <t>14313480</t>
        </is>
      </c>
      <c r="D2265" t="inlineStr">
        <is>
          <t>работник 695</t>
        </is>
      </c>
      <c r="E2265" s="1" t="inlineStr">
        <is>
          <t>ОБЩЕСТВО С ОГРАНИЧЕННОЙ ОТВЕТСТВЕННОСТЬЮ "АМУР ЗОЛОТО"</t>
        </is>
      </c>
      <c r="F2265" s="1" t="inlineStr">
        <is>
          <t>2708001686</t>
        </is>
      </c>
      <c r="G2265" s="1" t="inlineStr">
        <is>
          <t>Монтажник по монтажу стальных и железобетонных конструкций</t>
        </is>
      </c>
      <c r="H2265" s="1" t="inlineStr">
        <is>
          <t>ООО "Амур Золото"</t>
        </is>
      </c>
      <c r="I2265" s="1" t="inlineStr">
        <is>
          <t>2708001686</t>
        </is>
      </c>
      <c r="J2265" s="1" t="inlineStr">
        <is>
          <t>ЮГОК ОКС (РСУ) 26-01</t>
        </is>
      </c>
      <c r="K2265" s="1" t="inlineStr">
        <is>
          <t>Использование (применение) средств индивидуальной защиты</t>
        </is>
      </c>
      <c r="L2265" s="1" t="inlineStr">
        <is>
          <t>23.05.2026</t>
        </is>
      </c>
      <c r="M2265" s="1" t="inlineStr">
        <is>
          <t>Успешно</t>
        </is>
      </c>
      <c r="N2265" s="1" t="inlineStr">
        <is>
          <t>25.05.2026</t>
        </is>
      </c>
      <c r="O2265" s="1" t="inlineStr"/>
      <c r="P2265" s="1" t="inlineStr"/>
      <c r="Q2265" s="1" t="inlineStr">
        <is>
          <t>Пользовательский интерфейс</t>
        </is>
      </c>
    </row>
    <row r="2266">
      <c r="B2266" s="1" t="inlineStr">
        <is>
          <t>197822321</t>
        </is>
      </c>
      <c r="C2266" s="1" t="inlineStr">
        <is>
          <t>14313480</t>
        </is>
      </c>
      <c r="D2266" t="inlineStr">
        <is>
          <t>работник 695</t>
        </is>
      </c>
      <c r="E2266" s="1" t="inlineStr">
        <is>
          <t>ОБЩЕСТВО С ОГРАНИЧЕННОЙ ОТВЕТСТВЕННОСТЬЮ "АМУР ЗОЛОТО"</t>
        </is>
      </c>
      <c r="F2266" s="1" t="inlineStr">
        <is>
          <t>2708001686</t>
        </is>
      </c>
      <c r="G2266" s="1" t="inlineStr">
        <is>
          <t>Монтажник по монтажу стальных и железобетонных конструкций</t>
        </is>
      </c>
      <c r="H2266" s="1" t="inlineStr">
        <is>
          <t>ООО "Амур Золото"</t>
        </is>
      </c>
      <c r="I2266" s="1" t="inlineStr">
        <is>
          <t>2708001686</t>
        </is>
      </c>
      <c r="J2266" s="1" t="inlineStr">
        <is>
          <t>ЮГОК ОКС (РСУ) 26-01</t>
        </is>
      </c>
      <c r="K226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266" s="1" t="inlineStr">
        <is>
          <t>23.05.2026</t>
        </is>
      </c>
      <c r="M2266" s="1" t="inlineStr">
        <is>
          <t>Успешно</t>
        </is>
      </c>
      <c r="N2266" s="1" t="inlineStr">
        <is>
          <t>25.05.2026</t>
        </is>
      </c>
      <c r="O2266" s="1" t="inlineStr"/>
      <c r="P2266" s="1" t="inlineStr"/>
      <c r="Q2266" s="1" t="inlineStr">
        <is>
          <t>Пользовательский интерфейс</t>
        </is>
      </c>
    </row>
    <row r="2267">
      <c r="B2267" s="1" t="inlineStr">
        <is>
          <t>197822322</t>
        </is>
      </c>
      <c r="C2267" s="1" t="inlineStr">
        <is>
          <t>14313480</t>
        </is>
      </c>
      <c r="D2267" t="inlineStr">
        <is>
          <t>работник 81</t>
        </is>
      </c>
      <c r="E2267" s="1" t="inlineStr">
        <is>
          <t>ОБЩЕСТВО С ОГРАНИЧЕННОЙ ОТВЕТСТВЕННОСТЬЮ "АМУР ЗОЛОТО"</t>
        </is>
      </c>
      <c r="F2267" s="1" t="inlineStr">
        <is>
          <t>2708001686</t>
        </is>
      </c>
      <c r="G2267" s="1" t="inlineStr">
        <is>
          <t>Плотник</t>
        </is>
      </c>
      <c r="H2267" s="1" t="inlineStr">
        <is>
          <t>ООО "Амур Золото"</t>
        </is>
      </c>
      <c r="I2267" s="1" t="inlineStr">
        <is>
          <t>2708001686</t>
        </is>
      </c>
      <c r="J2267" s="1" t="inlineStr">
        <is>
          <t>ЮГОК ОКС (РСУ) 26-01</t>
        </is>
      </c>
      <c r="K2267" s="1" t="inlineStr">
        <is>
          <t>Использование (применение) средств индивидуальной защиты</t>
        </is>
      </c>
      <c r="L2267" s="1" t="inlineStr">
        <is>
          <t>23.05.2026</t>
        </is>
      </c>
      <c r="M2267" s="1" t="inlineStr">
        <is>
          <t>Успешно</t>
        </is>
      </c>
      <c r="N2267" s="1" t="inlineStr">
        <is>
          <t>25.05.2026</t>
        </is>
      </c>
      <c r="O2267" s="1" t="inlineStr"/>
      <c r="P2267" s="1" t="inlineStr"/>
      <c r="Q2267" s="1" t="inlineStr">
        <is>
          <t>Пользовательский интерфейс</t>
        </is>
      </c>
    </row>
    <row r="2268">
      <c r="B2268" s="1" t="inlineStr">
        <is>
          <t>197822323</t>
        </is>
      </c>
      <c r="C2268" s="1" t="inlineStr">
        <is>
          <t>14313480</t>
        </is>
      </c>
      <c r="D2268" t="inlineStr">
        <is>
          <t>работник 81</t>
        </is>
      </c>
      <c r="E2268" s="1" t="inlineStr">
        <is>
          <t>ОБЩЕСТВО С ОГРАНИЧЕННОЙ ОТВЕТСТВЕННОСТЬЮ "АМУР ЗОЛОТО"</t>
        </is>
      </c>
      <c r="F2268" s="1" t="inlineStr">
        <is>
          <t>2708001686</t>
        </is>
      </c>
      <c r="G2268" s="1" t="inlineStr">
        <is>
          <t>Плотник</t>
        </is>
      </c>
      <c r="H2268" s="1" t="inlineStr">
        <is>
          <t>ООО "Амур Золото"</t>
        </is>
      </c>
      <c r="I2268" s="1" t="inlineStr">
        <is>
          <t>2708001686</t>
        </is>
      </c>
      <c r="J2268" s="1" t="inlineStr">
        <is>
          <t>ЮГОК ОКС (РСУ) 26-01</t>
        </is>
      </c>
      <c r="K226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268" s="1" t="inlineStr">
        <is>
          <t>23.05.2026</t>
        </is>
      </c>
      <c r="M2268" s="1" t="inlineStr">
        <is>
          <t>Успешно</t>
        </is>
      </c>
      <c r="N2268" s="1" t="inlineStr">
        <is>
          <t>25.05.2026</t>
        </is>
      </c>
      <c r="O2268" s="1" t="inlineStr"/>
      <c r="P2268" s="1" t="inlineStr"/>
      <c r="Q2268" s="1" t="inlineStr">
        <is>
          <t>Пользовательский интерфейс</t>
        </is>
      </c>
    </row>
    <row r="2269">
      <c r="B2269" s="1" t="inlineStr">
        <is>
          <t>197822324</t>
        </is>
      </c>
      <c r="C2269" s="1" t="inlineStr">
        <is>
          <t>14313480</t>
        </is>
      </c>
      <c r="D2269" t="inlineStr">
        <is>
          <t>работник 451</t>
        </is>
      </c>
      <c r="E2269" s="1" t="inlineStr">
        <is>
          <t>ОБЩЕСТВО С ОГРАНИЧЕННОЙ ОТВЕТСТВЕННОСТЬЮ "АМУР ЗОЛОТО"</t>
        </is>
      </c>
      <c r="F2269" s="1" t="inlineStr">
        <is>
          <t>2708001686</t>
        </is>
      </c>
      <c r="G2269" s="1" t="inlineStr">
        <is>
          <t>Монтажник по монтажу стальных и железобетонных конструкций</t>
        </is>
      </c>
      <c r="H2269" s="1" t="inlineStr">
        <is>
          <t>ООО "Амур Золото"</t>
        </is>
      </c>
      <c r="I2269" s="1" t="inlineStr">
        <is>
          <t>2708001686</t>
        </is>
      </c>
      <c r="J2269" s="1" t="inlineStr">
        <is>
          <t>ЮГОК ОКС (РСУ) 26-01</t>
        </is>
      </c>
      <c r="K2269" s="1" t="inlineStr">
        <is>
          <t>Использование (применение) средств индивидуальной защиты</t>
        </is>
      </c>
      <c r="L2269" s="1" t="inlineStr">
        <is>
          <t>23.05.2026</t>
        </is>
      </c>
      <c r="M2269" s="1" t="inlineStr">
        <is>
          <t>Успешно</t>
        </is>
      </c>
      <c r="N2269" s="1" t="inlineStr">
        <is>
          <t>25.05.2026</t>
        </is>
      </c>
      <c r="O2269" s="1" t="inlineStr"/>
      <c r="P2269" s="1" t="inlineStr"/>
      <c r="Q2269" s="1" t="inlineStr">
        <is>
          <t>Пользовательский интерфейс</t>
        </is>
      </c>
    </row>
    <row r="2270">
      <c r="B2270" s="1" t="inlineStr">
        <is>
          <t>197822325</t>
        </is>
      </c>
      <c r="C2270" s="1" t="inlineStr">
        <is>
          <t>14313480</t>
        </is>
      </c>
      <c r="D2270" t="inlineStr">
        <is>
          <t>работник 451</t>
        </is>
      </c>
      <c r="E2270" s="1" t="inlineStr">
        <is>
          <t>ОБЩЕСТВО С ОГРАНИЧЕННОЙ ОТВЕТСТВЕННОСТЬЮ "АМУР ЗОЛОТО"</t>
        </is>
      </c>
      <c r="F2270" s="1" t="inlineStr">
        <is>
          <t>2708001686</t>
        </is>
      </c>
      <c r="G2270" s="1" t="inlineStr">
        <is>
          <t>Монтажник по монтажу стальных и железобетонных конструкций</t>
        </is>
      </c>
      <c r="H2270" s="1" t="inlineStr">
        <is>
          <t>ООО "Амур Золото"</t>
        </is>
      </c>
      <c r="I2270" s="1" t="inlineStr">
        <is>
          <t>2708001686</t>
        </is>
      </c>
      <c r="J2270" s="1" t="inlineStr">
        <is>
          <t>ЮГОК ОКС (РСУ) 26-01</t>
        </is>
      </c>
      <c r="K227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270" s="1" t="inlineStr">
        <is>
          <t>23.05.2026</t>
        </is>
      </c>
      <c r="M2270" s="1" t="inlineStr">
        <is>
          <t>Успешно</t>
        </is>
      </c>
      <c r="N2270" s="1" t="inlineStr">
        <is>
          <t>25.05.2026</t>
        </is>
      </c>
      <c r="O2270" s="1" t="inlineStr"/>
      <c r="P2270" s="1" t="inlineStr"/>
      <c r="Q2270" s="1" t="inlineStr">
        <is>
          <t>Пользовательский интерфейс</t>
        </is>
      </c>
    </row>
    <row r="2271">
      <c r="B2271" s="1" t="inlineStr">
        <is>
          <t>197822326</t>
        </is>
      </c>
      <c r="C2271" s="1" t="inlineStr">
        <is>
          <t>14313480</t>
        </is>
      </c>
      <c r="D2271" t="inlineStr">
        <is>
          <t>работник 696</t>
        </is>
      </c>
      <c r="E2271" s="1" t="inlineStr">
        <is>
          <t>ОБЩЕСТВО С ОГРАНИЧЕННОЙ ОТВЕТСТВЕННОСТЬЮ "АМУР ЗОЛОТО"</t>
        </is>
      </c>
      <c r="F2271" s="1" t="inlineStr">
        <is>
          <t>2708001686</t>
        </is>
      </c>
      <c r="G2271" s="1" t="inlineStr">
        <is>
          <t>Инженер строительного контроля</t>
        </is>
      </c>
      <c r="H2271" s="1" t="inlineStr">
        <is>
          <t>ООО "Амур Золото"</t>
        </is>
      </c>
      <c r="I2271" s="1" t="inlineStr">
        <is>
          <t>2708001686</t>
        </is>
      </c>
      <c r="J2271" s="1" t="inlineStr">
        <is>
          <t>ЮГОК ОКС (РСУ) 26-01</t>
        </is>
      </c>
      <c r="K2271" s="1" t="inlineStr">
        <is>
          <t>Использование (применение) средств индивидуальной защиты</t>
        </is>
      </c>
      <c r="L2271" s="1" t="inlineStr">
        <is>
          <t>23.05.2026</t>
        </is>
      </c>
      <c r="M2271" s="1" t="inlineStr">
        <is>
          <t>Успешно</t>
        </is>
      </c>
      <c r="N2271" s="1" t="inlineStr">
        <is>
          <t>25.05.2026</t>
        </is>
      </c>
      <c r="O2271" s="1" t="inlineStr"/>
      <c r="P2271" s="1" t="inlineStr"/>
      <c r="Q2271" s="1" t="inlineStr">
        <is>
          <t>Пользовательский интерфейс</t>
        </is>
      </c>
    </row>
    <row r="2272">
      <c r="B2272" s="1" t="inlineStr">
        <is>
          <t>197822327</t>
        </is>
      </c>
      <c r="C2272" s="1" t="inlineStr">
        <is>
          <t>14313480</t>
        </is>
      </c>
      <c r="D2272" t="inlineStr">
        <is>
          <t>работник 696</t>
        </is>
      </c>
      <c r="E2272" s="1" t="inlineStr">
        <is>
          <t>ОБЩЕСТВО С ОГРАНИЧЕННОЙ ОТВЕТСТВЕННОСТЬЮ "АМУР ЗОЛОТО"</t>
        </is>
      </c>
      <c r="F2272" s="1" t="inlineStr">
        <is>
          <t>2708001686</t>
        </is>
      </c>
      <c r="G2272" s="1" t="inlineStr">
        <is>
          <t>Инженер строительного контроля</t>
        </is>
      </c>
      <c r="H2272" s="1" t="inlineStr">
        <is>
          <t>ООО "Амур Золото"</t>
        </is>
      </c>
      <c r="I2272" s="1" t="inlineStr">
        <is>
          <t>2708001686</t>
        </is>
      </c>
      <c r="J2272" s="1" t="inlineStr">
        <is>
          <t>ЮГОК ОКС (РСУ) 26-01</t>
        </is>
      </c>
      <c r="K227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272" s="1" t="inlineStr">
        <is>
          <t>23.05.2026</t>
        </is>
      </c>
      <c r="M2272" s="1" t="inlineStr">
        <is>
          <t>Успешно</t>
        </is>
      </c>
      <c r="N2272" s="1" t="inlineStr">
        <is>
          <t>25.05.2026</t>
        </is>
      </c>
      <c r="O2272" s="1" t="inlineStr"/>
      <c r="P2272" s="1" t="inlineStr"/>
      <c r="Q2272" s="1" t="inlineStr">
        <is>
          <t>Пользовательский интерфейс</t>
        </is>
      </c>
    </row>
    <row r="2273">
      <c r="B2273" s="1" t="inlineStr">
        <is>
          <t>197822328</t>
        </is>
      </c>
      <c r="C2273" s="1" t="inlineStr">
        <is>
          <t>14313480</t>
        </is>
      </c>
      <c r="D2273" t="inlineStr">
        <is>
          <t>работник 697</t>
        </is>
      </c>
      <c r="E2273" s="1" t="inlineStr">
        <is>
          <t>ОБЩЕСТВО С ОГРАНИЧЕННОЙ ОТВЕТСТВЕННОСТЬЮ "АМУР ЗОЛОТО"</t>
        </is>
      </c>
      <c r="F2273" s="1" t="inlineStr">
        <is>
          <t>2708001686</t>
        </is>
      </c>
      <c r="G2273" s="1" t="inlineStr">
        <is>
          <t>Бетонщик</t>
        </is>
      </c>
      <c r="H2273" s="1" t="inlineStr">
        <is>
          <t>ООО "Амур Золото"</t>
        </is>
      </c>
      <c r="I2273" s="1" t="inlineStr">
        <is>
          <t>2708001686</t>
        </is>
      </c>
      <c r="J2273" s="1" t="inlineStr">
        <is>
          <t>ЮГОК ОКС (РСУ) 26-01</t>
        </is>
      </c>
      <c r="K2273" s="1" t="inlineStr">
        <is>
          <t>Использование (применение) средств индивидуальной защиты</t>
        </is>
      </c>
      <c r="L2273" s="1" t="inlineStr">
        <is>
          <t>23.05.2026</t>
        </is>
      </c>
      <c r="M2273" s="1" t="inlineStr">
        <is>
          <t>Успешно</t>
        </is>
      </c>
      <c r="N2273" s="1" t="inlineStr">
        <is>
          <t>25.05.2026</t>
        </is>
      </c>
      <c r="O2273" s="1" t="inlineStr"/>
      <c r="P2273" s="1" t="inlineStr"/>
      <c r="Q2273" s="1" t="inlineStr">
        <is>
          <t>Пользовательский интерфейс</t>
        </is>
      </c>
    </row>
    <row r="2274">
      <c r="B2274" s="1" t="inlineStr">
        <is>
          <t>197822329</t>
        </is>
      </c>
      <c r="C2274" s="1" t="inlineStr">
        <is>
          <t>14313480</t>
        </is>
      </c>
      <c r="D2274" t="inlineStr">
        <is>
          <t>работник 697</t>
        </is>
      </c>
      <c r="E2274" s="1" t="inlineStr">
        <is>
          <t>ОБЩЕСТВО С ОГРАНИЧЕННОЙ ОТВЕТСТВЕННОСТЬЮ "АМУР ЗОЛОТО"</t>
        </is>
      </c>
      <c r="F2274" s="1" t="inlineStr">
        <is>
          <t>2708001686</t>
        </is>
      </c>
      <c r="G2274" s="1" t="inlineStr">
        <is>
          <t>Бетонщик</t>
        </is>
      </c>
      <c r="H2274" s="1" t="inlineStr">
        <is>
          <t>ООО "Амур Золото"</t>
        </is>
      </c>
      <c r="I2274" s="1" t="inlineStr">
        <is>
          <t>2708001686</t>
        </is>
      </c>
      <c r="J2274" s="1" t="inlineStr">
        <is>
          <t>ЮГОК ОКС (РСУ) 26-01</t>
        </is>
      </c>
      <c r="K227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274" s="1" t="inlineStr">
        <is>
          <t>23.05.2026</t>
        </is>
      </c>
      <c r="M2274" s="1" t="inlineStr">
        <is>
          <t>Успешно</t>
        </is>
      </c>
      <c r="N2274" s="1" t="inlineStr">
        <is>
          <t>25.05.2026</t>
        </is>
      </c>
      <c r="O2274" s="1" t="inlineStr"/>
      <c r="P2274" s="1" t="inlineStr"/>
      <c r="Q2274" s="1" t="inlineStr">
        <is>
          <t>Пользовательский интерфейс</t>
        </is>
      </c>
    </row>
    <row r="2275">
      <c r="B2275" s="1" t="inlineStr">
        <is>
          <t>197822330</t>
        </is>
      </c>
      <c r="C2275" s="1" t="inlineStr">
        <is>
          <t>14313480</t>
        </is>
      </c>
      <c r="D2275" t="inlineStr">
        <is>
          <t>работник 698</t>
        </is>
      </c>
      <c r="E2275" s="1" t="inlineStr">
        <is>
          <t>ОБЩЕСТВО С ОГРАНИЧЕННОЙ ОТВЕТСТВЕННОСТЬЮ "АМУР ЗОЛОТО"</t>
        </is>
      </c>
      <c r="F2275" s="1" t="inlineStr">
        <is>
          <t>2708001686</t>
        </is>
      </c>
      <c r="G2275" s="1" t="inlineStr">
        <is>
          <t>Бетонщик</t>
        </is>
      </c>
      <c r="H2275" s="1" t="inlineStr">
        <is>
          <t>ООО "Амур Золото"</t>
        </is>
      </c>
      <c r="I2275" s="1" t="inlineStr">
        <is>
          <t>2708001686</t>
        </is>
      </c>
      <c r="J2275" s="1" t="inlineStr">
        <is>
          <t>ЮГОК ОКС (РСУ) 26-01</t>
        </is>
      </c>
      <c r="K2275" s="1" t="inlineStr">
        <is>
          <t>Использование (применение) средств индивидуальной защиты</t>
        </is>
      </c>
      <c r="L2275" s="1" t="inlineStr">
        <is>
          <t>23.05.2026</t>
        </is>
      </c>
      <c r="M2275" s="1" t="inlineStr">
        <is>
          <t>Успешно</t>
        </is>
      </c>
      <c r="N2275" s="1" t="inlineStr">
        <is>
          <t>25.05.2026</t>
        </is>
      </c>
      <c r="O2275" s="1" t="inlineStr"/>
      <c r="P2275" s="1" t="inlineStr"/>
      <c r="Q2275" s="1" t="inlineStr">
        <is>
          <t>Пользовательский интерфейс</t>
        </is>
      </c>
    </row>
    <row r="2276">
      <c r="B2276" s="1" t="inlineStr">
        <is>
          <t>197822331</t>
        </is>
      </c>
      <c r="C2276" s="1" t="inlineStr">
        <is>
          <t>14313480</t>
        </is>
      </c>
      <c r="D2276" t="inlineStr">
        <is>
          <t>работник 698</t>
        </is>
      </c>
      <c r="E2276" s="1" t="inlineStr">
        <is>
          <t>ОБЩЕСТВО С ОГРАНИЧЕННОЙ ОТВЕТСТВЕННОСТЬЮ "АМУР ЗОЛОТО"</t>
        </is>
      </c>
      <c r="F2276" s="1" t="inlineStr">
        <is>
          <t>2708001686</t>
        </is>
      </c>
      <c r="G2276" s="1" t="inlineStr">
        <is>
          <t>Бетонщик</t>
        </is>
      </c>
      <c r="H2276" s="1" t="inlineStr">
        <is>
          <t>ООО "Амур Золото"</t>
        </is>
      </c>
      <c r="I2276" s="1" t="inlineStr">
        <is>
          <t>2708001686</t>
        </is>
      </c>
      <c r="J2276" s="1" t="inlineStr">
        <is>
          <t>ЮГОК ОКС (РСУ) 26-01</t>
        </is>
      </c>
      <c r="K227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276" s="1" t="inlineStr">
        <is>
          <t>23.05.2026</t>
        </is>
      </c>
      <c r="M2276" s="1" t="inlineStr">
        <is>
          <t>Успешно</t>
        </is>
      </c>
      <c r="N2276" s="1" t="inlineStr">
        <is>
          <t>25.05.2026</t>
        </is>
      </c>
      <c r="O2276" s="1" t="inlineStr"/>
      <c r="P2276" s="1" t="inlineStr"/>
      <c r="Q2276" s="1" t="inlineStr">
        <is>
          <t>Пользовательский интерфейс</t>
        </is>
      </c>
    </row>
    <row r="2277">
      <c r="B2277" s="1" t="inlineStr">
        <is>
          <t>197822332</t>
        </is>
      </c>
      <c r="C2277" s="1" t="inlineStr">
        <is>
          <t>14313480</t>
        </is>
      </c>
      <c r="D2277" t="inlineStr">
        <is>
          <t>работник 699</t>
        </is>
      </c>
      <c r="E2277" s="1" t="inlineStr">
        <is>
          <t>ОБЩЕСТВО С ОГРАНИЧЕННОЙ ОТВЕТСТВЕННОСТЬЮ "АМУР ЗОЛОТО"</t>
        </is>
      </c>
      <c r="F2277" s="1" t="inlineStr">
        <is>
          <t>2708001686</t>
        </is>
      </c>
      <c r="G2277" s="1" t="inlineStr">
        <is>
          <t>Электрогазосварщик</t>
        </is>
      </c>
      <c r="H2277" s="1" t="inlineStr">
        <is>
          <t>ООО "Амур Золото"</t>
        </is>
      </c>
      <c r="I2277" s="1" t="inlineStr">
        <is>
          <t>2708001686</t>
        </is>
      </c>
      <c r="J2277" s="1" t="inlineStr">
        <is>
          <t>ЮГОК ОКС (РСУ) 26-01</t>
        </is>
      </c>
      <c r="K2277" s="1" t="inlineStr">
        <is>
          <t>Использование (применение) средств индивидуальной защиты</t>
        </is>
      </c>
      <c r="L2277" s="1" t="inlineStr">
        <is>
          <t>23.05.2026</t>
        </is>
      </c>
      <c r="M2277" s="1" t="inlineStr">
        <is>
          <t>Успешно</t>
        </is>
      </c>
      <c r="N2277" s="1" t="inlineStr">
        <is>
          <t>25.05.2026</t>
        </is>
      </c>
      <c r="O2277" s="1" t="inlineStr"/>
      <c r="P2277" s="1" t="inlineStr"/>
      <c r="Q2277" s="1" t="inlineStr">
        <is>
          <t>Пользовательский интерфейс</t>
        </is>
      </c>
    </row>
    <row r="2278">
      <c r="B2278" s="1" t="inlineStr">
        <is>
          <t>197822333</t>
        </is>
      </c>
      <c r="C2278" s="1" t="inlineStr">
        <is>
          <t>14313480</t>
        </is>
      </c>
      <c r="D2278" t="inlineStr">
        <is>
          <t>работник 699</t>
        </is>
      </c>
      <c r="E2278" s="1" t="inlineStr">
        <is>
          <t>ОБЩЕСТВО С ОГРАНИЧЕННОЙ ОТВЕТСТВЕННОСТЬЮ "АМУР ЗОЛОТО"</t>
        </is>
      </c>
      <c r="F2278" s="1" t="inlineStr">
        <is>
          <t>2708001686</t>
        </is>
      </c>
      <c r="G2278" s="1" t="inlineStr">
        <is>
          <t>Электрогазосварщик</t>
        </is>
      </c>
      <c r="H2278" s="1" t="inlineStr">
        <is>
          <t>ООО "Амур Золото"</t>
        </is>
      </c>
      <c r="I2278" s="1" t="inlineStr">
        <is>
          <t>2708001686</t>
        </is>
      </c>
      <c r="J2278" s="1" t="inlineStr">
        <is>
          <t>ЮГОК ОКС (РСУ) 26-01</t>
        </is>
      </c>
      <c r="K227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278" s="1" t="inlineStr">
        <is>
          <t>23.05.2026</t>
        </is>
      </c>
      <c r="M2278" s="1" t="inlineStr">
        <is>
          <t>Успешно</t>
        </is>
      </c>
      <c r="N2278" s="1" t="inlineStr">
        <is>
          <t>25.05.2026</t>
        </is>
      </c>
      <c r="O2278" s="1" t="inlineStr"/>
      <c r="P2278" s="1" t="inlineStr"/>
      <c r="Q2278" s="1" t="inlineStr">
        <is>
          <t>Пользовательский интерфейс</t>
        </is>
      </c>
    </row>
    <row r="2279">
      <c r="B2279" s="1" t="inlineStr">
        <is>
          <t>197822334</t>
        </is>
      </c>
      <c r="C2279" s="1" t="inlineStr">
        <is>
          <t>14313480</t>
        </is>
      </c>
      <c r="D2279" t="inlineStr">
        <is>
          <t>работник 699</t>
        </is>
      </c>
      <c r="E2279" s="1" t="inlineStr">
        <is>
          <t>ОБЩЕСТВО С ОГРАНИЧЕННОЙ ОТВЕТСТВЕННОСТЬЮ "АМУР ЗОЛОТО"</t>
        </is>
      </c>
      <c r="F2279" s="1" t="inlineStr">
        <is>
          <t>2708001686</t>
        </is>
      </c>
      <c r="G2279" s="1" t="inlineStr">
        <is>
          <t>Электрогазосварщик</t>
        </is>
      </c>
      <c r="H2279" s="1" t="inlineStr">
        <is>
          <t>ООО "Амур Золото"</t>
        </is>
      </c>
      <c r="I2279" s="1" t="inlineStr">
        <is>
          <t>2708001686</t>
        </is>
      </c>
      <c r="J2279" s="1" t="inlineStr">
        <is>
          <t>ЮГОК ОКС (РСУ) 26-01</t>
        </is>
      </c>
      <c r="K2279" s="1" t="inlineStr">
        <is>
          <t>Безопасные методы и приемы выполнения огневых работ</t>
        </is>
      </c>
      <c r="L2279" s="1" t="inlineStr">
        <is>
          <t>23.05.2026</t>
        </is>
      </c>
      <c r="M2279" s="1" t="inlineStr">
        <is>
          <t>Успешно</t>
        </is>
      </c>
      <c r="N2279" s="1" t="inlineStr">
        <is>
          <t>25.05.2026</t>
        </is>
      </c>
      <c r="O2279" s="1" t="inlineStr"/>
      <c r="P2279" s="1" t="inlineStr"/>
      <c r="Q2279" s="1" t="inlineStr">
        <is>
          <t>Пользовательский интерфейс</t>
        </is>
      </c>
    </row>
    <row r="2280">
      <c r="B2280" s="1" t="inlineStr">
        <is>
          <t>197822335</t>
        </is>
      </c>
      <c r="C2280" s="1" t="inlineStr">
        <is>
          <t>14313480</t>
        </is>
      </c>
      <c r="D2280" t="inlineStr">
        <is>
          <t>работник 700</t>
        </is>
      </c>
      <c r="E2280" s="1" t="inlineStr">
        <is>
          <t>ОБЩЕСТВО С ОГРАНИЧЕННОЙ ОТВЕТСТВЕННОСТЬЮ "АМУР ЗОЛОТО"</t>
        </is>
      </c>
      <c r="F2280" s="1" t="inlineStr">
        <is>
          <t>2708001686</t>
        </is>
      </c>
      <c r="G2280" s="1" t="inlineStr">
        <is>
          <t>Плотник</t>
        </is>
      </c>
      <c r="H2280" s="1" t="inlineStr">
        <is>
          <t>ООО "Амур Золото"</t>
        </is>
      </c>
      <c r="I2280" s="1" t="inlineStr">
        <is>
          <t>2708001686</t>
        </is>
      </c>
      <c r="J2280" s="1" t="inlineStr">
        <is>
          <t>ЮГОК ОКС (РСУ) 26-01</t>
        </is>
      </c>
      <c r="K2280" s="1" t="inlineStr">
        <is>
          <t>Использование (применение) средств индивидуальной защиты</t>
        </is>
      </c>
      <c r="L2280" s="1" t="inlineStr">
        <is>
          <t>23.05.2026</t>
        </is>
      </c>
      <c r="M2280" s="1" t="inlineStr">
        <is>
          <t>Успешно</t>
        </is>
      </c>
      <c r="N2280" s="1" t="inlineStr">
        <is>
          <t>25.05.2026</t>
        </is>
      </c>
      <c r="O2280" s="1" t="inlineStr"/>
      <c r="P2280" s="1" t="inlineStr"/>
      <c r="Q2280" s="1" t="inlineStr">
        <is>
          <t>Пользовательский интерфейс</t>
        </is>
      </c>
    </row>
    <row r="2281">
      <c r="B2281" s="1" t="inlineStr">
        <is>
          <t>197822336</t>
        </is>
      </c>
      <c r="C2281" s="1" t="inlineStr">
        <is>
          <t>14313480</t>
        </is>
      </c>
      <c r="D2281" t="inlineStr">
        <is>
          <t>работник 700</t>
        </is>
      </c>
      <c r="E2281" s="1" t="inlineStr">
        <is>
          <t>ОБЩЕСТВО С ОГРАНИЧЕННОЙ ОТВЕТСТВЕННОСТЬЮ "АМУР ЗОЛОТО"</t>
        </is>
      </c>
      <c r="F2281" s="1" t="inlineStr">
        <is>
          <t>2708001686</t>
        </is>
      </c>
      <c r="G2281" s="1" t="inlineStr">
        <is>
          <t>Плотник</t>
        </is>
      </c>
      <c r="H2281" s="1" t="inlineStr">
        <is>
          <t>ООО "Амур Золото"</t>
        </is>
      </c>
      <c r="I2281" s="1" t="inlineStr">
        <is>
          <t>2708001686</t>
        </is>
      </c>
      <c r="J2281" s="1" t="inlineStr">
        <is>
          <t>ЮГОК ОКС (РСУ) 26-01</t>
        </is>
      </c>
      <c r="K228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281" s="1" t="inlineStr">
        <is>
          <t>23.05.2026</t>
        </is>
      </c>
      <c r="M2281" s="1" t="inlineStr">
        <is>
          <t>Успешно</t>
        </is>
      </c>
      <c r="N2281" s="1" t="inlineStr">
        <is>
          <t>25.05.2026</t>
        </is>
      </c>
      <c r="O2281" s="1" t="inlineStr"/>
      <c r="P2281" s="1" t="inlineStr"/>
      <c r="Q2281" s="1" t="inlineStr">
        <is>
          <t>Пользовательский интерфейс</t>
        </is>
      </c>
    </row>
    <row r="2282">
      <c r="B2282" s="1" t="inlineStr">
        <is>
          <t>197822337</t>
        </is>
      </c>
      <c r="C2282" s="1" t="inlineStr">
        <is>
          <t>14313480</t>
        </is>
      </c>
      <c r="D2282" t="inlineStr">
        <is>
          <t>работник 701</t>
        </is>
      </c>
      <c r="E2282" s="1" t="inlineStr">
        <is>
          <t>ОБЩЕСТВО С ОГРАНИЧЕННОЙ ОТВЕТСТВЕННОСТЬЮ "АМУР ЗОЛОТО"</t>
        </is>
      </c>
      <c r="F2282" s="1" t="inlineStr">
        <is>
          <t>2708001686</t>
        </is>
      </c>
      <c r="G2282" s="1" t="inlineStr">
        <is>
          <t>Электрогазосварщик</t>
        </is>
      </c>
      <c r="H2282" s="1" t="inlineStr">
        <is>
          <t>ООО "Амур Золото"</t>
        </is>
      </c>
      <c r="I2282" s="1" t="inlineStr">
        <is>
          <t>2708001686</t>
        </is>
      </c>
      <c r="J2282" s="1" t="inlineStr">
        <is>
          <t>ЮГОК ОКС (РСУ) 26-01</t>
        </is>
      </c>
      <c r="K2282" s="1" t="inlineStr">
        <is>
          <t>Использование (применение) средств индивидуальной защиты</t>
        </is>
      </c>
      <c r="L2282" s="1" t="inlineStr">
        <is>
          <t>23.05.2026</t>
        </is>
      </c>
      <c r="M2282" s="1" t="inlineStr">
        <is>
          <t>Успешно</t>
        </is>
      </c>
      <c r="N2282" s="1" t="inlineStr">
        <is>
          <t>25.05.2026</t>
        </is>
      </c>
      <c r="O2282" s="1" t="inlineStr"/>
      <c r="P2282" s="1" t="inlineStr"/>
      <c r="Q2282" s="1" t="inlineStr">
        <is>
          <t>Пользовательский интерфейс</t>
        </is>
      </c>
    </row>
    <row r="2283">
      <c r="B2283" s="1" t="inlineStr">
        <is>
          <t>197822338</t>
        </is>
      </c>
      <c r="C2283" s="1" t="inlineStr">
        <is>
          <t>14313480</t>
        </is>
      </c>
      <c r="D2283" t="inlineStr">
        <is>
          <t>работник 701</t>
        </is>
      </c>
      <c r="E2283" s="1" t="inlineStr">
        <is>
          <t>ОБЩЕСТВО С ОГРАНИЧЕННОЙ ОТВЕТСТВЕННОСТЬЮ "АМУР ЗОЛОТО"</t>
        </is>
      </c>
      <c r="F2283" s="1" t="inlineStr">
        <is>
          <t>2708001686</t>
        </is>
      </c>
      <c r="G2283" s="1" t="inlineStr">
        <is>
          <t>Электрогазосварщик</t>
        </is>
      </c>
      <c r="H2283" s="1" t="inlineStr">
        <is>
          <t>ООО "Амур Золото"</t>
        </is>
      </c>
      <c r="I2283" s="1" t="inlineStr">
        <is>
          <t>2708001686</t>
        </is>
      </c>
      <c r="J2283" s="1" t="inlineStr">
        <is>
          <t>ЮГОК ОКС (РСУ) 26-01</t>
        </is>
      </c>
      <c r="K228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283" s="1" t="inlineStr">
        <is>
          <t>23.05.2026</t>
        </is>
      </c>
      <c r="M2283" s="1" t="inlineStr">
        <is>
          <t>Успешно</t>
        </is>
      </c>
      <c r="N2283" s="1" t="inlineStr">
        <is>
          <t>25.05.2026</t>
        </is>
      </c>
      <c r="O2283" s="1" t="inlineStr"/>
      <c r="P2283" s="1" t="inlineStr"/>
      <c r="Q2283" s="1" t="inlineStr">
        <is>
          <t>Пользовательский интерфейс</t>
        </is>
      </c>
    </row>
    <row r="2284">
      <c r="B2284" s="1" t="inlineStr">
        <is>
          <t>197822339</t>
        </is>
      </c>
      <c r="C2284" s="1" t="inlineStr">
        <is>
          <t>14313480</t>
        </is>
      </c>
      <c r="D2284" t="inlineStr">
        <is>
          <t>работник 701</t>
        </is>
      </c>
      <c r="E2284" s="1" t="inlineStr">
        <is>
          <t>ОБЩЕСТВО С ОГРАНИЧЕННОЙ ОТВЕТСТВЕННОСТЬЮ "АМУР ЗОЛОТО"</t>
        </is>
      </c>
      <c r="F2284" s="1" t="inlineStr">
        <is>
          <t>2708001686</t>
        </is>
      </c>
      <c r="G2284" s="1" t="inlineStr">
        <is>
          <t>Электрогазосварщик</t>
        </is>
      </c>
      <c r="H2284" s="1" t="inlineStr">
        <is>
          <t>ООО "Амур Золото"</t>
        </is>
      </c>
      <c r="I2284" s="1" t="inlineStr">
        <is>
          <t>2708001686</t>
        </is>
      </c>
      <c r="J2284" s="1" t="inlineStr">
        <is>
          <t>ЮГОК ОКС (РСУ) 26-01</t>
        </is>
      </c>
      <c r="K2284" s="1" t="inlineStr">
        <is>
          <t>Безопасные методы и приемы выполнения огневых работ</t>
        </is>
      </c>
      <c r="L2284" s="1" t="inlineStr">
        <is>
          <t>23.05.2026</t>
        </is>
      </c>
      <c r="M2284" s="1" t="inlineStr">
        <is>
          <t>Успешно</t>
        </is>
      </c>
      <c r="N2284" s="1" t="inlineStr">
        <is>
          <t>25.05.2026</t>
        </is>
      </c>
      <c r="O2284" s="1" t="inlineStr"/>
      <c r="P2284" s="1" t="inlineStr"/>
      <c r="Q2284" s="1" t="inlineStr">
        <is>
          <t>Пользовательский интерфейс</t>
        </is>
      </c>
    </row>
    <row r="2285">
      <c r="B2285" s="1" t="inlineStr">
        <is>
          <t>197822340</t>
        </is>
      </c>
      <c r="C2285" s="1" t="inlineStr">
        <is>
          <t>14313480</t>
        </is>
      </c>
      <c r="D2285" t="inlineStr">
        <is>
          <t>работник 702</t>
        </is>
      </c>
      <c r="E2285" s="1" t="inlineStr">
        <is>
          <t>ОБЩЕСТВО С ОГРАНИЧЕННОЙ ОТВЕТСТВЕННОСТЬЮ "АМУР ЗОЛОТО"</t>
        </is>
      </c>
      <c r="F2285" s="1" t="inlineStr">
        <is>
          <t>2708001686</t>
        </is>
      </c>
      <c r="G2285" s="1" t="inlineStr">
        <is>
          <t>Ведущий инженер-геодезист</t>
        </is>
      </c>
      <c r="H2285" s="1" t="inlineStr">
        <is>
          <t>ООО "Амур Золото"</t>
        </is>
      </c>
      <c r="I2285" s="1" t="inlineStr">
        <is>
          <t>2708001686</t>
        </is>
      </c>
      <c r="J2285" s="1" t="inlineStr">
        <is>
          <t>ЮГОК ОКС (РСУ) 26-01</t>
        </is>
      </c>
      <c r="K2285" s="1" t="inlineStr">
        <is>
          <t>Использование (применение) средств индивидуальной защиты</t>
        </is>
      </c>
      <c r="L2285" s="1" t="inlineStr">
        <is>
          <t>23.05.2026</t>
        </is>
      </c>
      <c r="M2285" s="1" t="inlineStr">
        <is>
          <t>Успешно</t>
        </is>
      </c>
      <c r="N2285" s="1" t="inlineStr">
        <is>
          <t>25.05.2026</t>
        </is>
      </c>
      <c r="O2285" s="1" t="inlineStr"/>
      <c r="P2285" s="1" t="inlineStr"/>
      <c r="Q2285" s="1" t="inlineStr">
        <is>
          <t>Пользовательский интерфейс</t>
        </is>
      </c>
    </row>
    <row r="2286">
      <c r="B2286" s="1" t="inlineStr">
        <is>
          <t>197822341</t>
        </is>
      </c>
      <c r="C2286" s="1" t="inlineStr">
        <is>
          <t>14313480</t>
        </is>
      </c>
      <c r="D2286" t="inlineStr">
        <is>
          <t>работник 702</t>
        </is>
      </c>
      <c r="E2286" s="1" t="inlineStr">
        <is>
          <t>ОБЩЕСТВО С ОГРАНИЧЕННОЙ ОТВЕТСТВЕННОСТЬЮ "АМУР ЗОЛОТО"</t>
        </is>
      </c>
      <c r="F2286" s="1" t="inlineStr">
        <is>
          <t>2708001686</t>
        </is>
      </c>
      <c r="G2286" s="1" t="inlineStr">
        <is>
          <t>Ведущий инженер-геодезист</t>
        </is>
      </c>
      <c r="H2286" s="1" t="inlineStr">
        <is>
          <t>ООО "Амур Золото"</t>
        </is>
      </c>
      <c r="I2286" s="1" t="inlineStr">
        <is>
          <t>2708001686</t>
        </is>
      </c>
      <c r="J2286" s="1" t="inlineStr">
        <is>
          <t>ЮГОК ОКС (РСУ) 26-01</t>
        </is>
      </c>
      <c r="K228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286" s="1" t="inlineStr">
        <is>
          <t>23.05.2026</t>
        </is>
      </c>
      <c r="M2286" s="1" t="inlineStr">
        <is>
          <t>Успешно</t>
        </is>
      </c>
      <c r="N2286" s="1" t="inlineStr">
        <is>
          <t>25.05.2026</t>
        </is>
      </c>
      <c r="O2286" s="1" t="inlineStr"/>
      <c r="P2286" s="1" t="inlineStr"/>
      <c r="Q2286" s="1" t="inlineStr">
        <is>
          <t>Пользовательский интерфейс</t>
        </is>
      </c>
    </row>
    <row r="2287">
      <c r="B2287" s="1" t="inlineStr">
        <is>
          <t>197822342</t>
        </is>
      </c>
      <c r="C2287" s="1" t="inlineStr">
        <is>
          <t>14313480</t>
        </is>
      </c>
      <c r="D2287" t="inlineStr">
        <is>
          <t>работник 83</t>
        </is>
      </c>
      <c r="E2287" s="1" t="inlineStr">
        <is>
          <t>ОБЩЕСТВО С ОГРАНИЧЕННОЙ ОТВЕТСТВЕННОСТЬЮ "АМУР ЗОЛОТО"</t>
        </is>
      </c>
      <c r="F2287" s="1" t="inlineStr">
        <is>
          <t>2708001686</t>
        </is>
      </c>
      <c r="G2287" s="1" t="inlineStr">
        <is>
          <t>Плотник</t>
        </is>
      </c>
      <c r="H2287" s="1" t="inlineStr">
        <is>
          <t>ООО "Амур Золото"</t>
        </is>
      </c>
      <c r="I2287" s="1" t="inlineStr">
        <is>
          <t>2708001686</t>
        </is>
      </c>
      <c r="J2287" s="1" t="inlineStr">
        <is>
          <t>ЮГОК ОКС (РСУ) 26-01</t>
        </is>
      </c>
      <c r="K2287" s="1" t="inlineStr">
        <is>
          <t>Использование (применение) средств индивидуальной защиты</t>
        </is>
      </c>
      <c r="L2287" s="1" t="inlineStr">
        <is>
          <t>23.05.2026</t>
        </is>
      </c>
      <c r="M2287" s="1" t="inlineStr">
        <is>
          <t>Успешно</t>
        </is>
      </c>
      <c r="N2287" s="1" t="inlineStr">
        <is>
          <t>25.05.2026</t>
        </is>
      </c>
      <c r="O2287" s="1" t="inlineStr"/>
      <c r="P2287" s="1" t="inlineStr"/>
      <c r="Q2287" s="1" t="inlineStr">
        <is>
          <t>Пользовательский интерфейс</t>
        </is>
      </c>
    </row>
    <row r="2288">
      <c r="B2288" s="1" t="inlineStr">
        <is>
          <t>197822343</t>
        </is>
      </c>
      <c r="C2288" s="1" t="inlineStr">
        <is>
          <t>14313480</t>
        </is>
      </c>
      <c r="D2288" t="inlineStr">
        <is>
          <t>работник 83</t>
        </is>
      </c>
      <c r="E2288" s="1" t="inlineStr">
        <is>
          <t>ОБЩЕСТВО С ОГРАНИЧЕННОЙ ОТВЕТСТВЕННОСТЬЮ "АМУР ЗОЛОТО"</t>
        </is>
      </c>
      <c r="F2288" s="1" t="inlineStr">
        <is>
          <t>2708001686</t>
        </is>
      </c>
      <c r="G2288" s="1" t="inlineStr">
        <is>
          <t>Плотник</t>
        </is>
      </c>
      <c r="H2288" s="1" t="inlineStr">
        <is>
          <t>ООО "Амур Золото"</t>
        </is>
      </c>
      <c r="I2288" s="1" t="inlineStr">
        <is>
          <t>2708001686</t>
        </is>
      </c>
      <c r="J2288" s="1" t="inlineStr">
        <is>
          <t>ЮГОК ОКС (РСУ) 26-01</t>
        </is>
      </c>
      <c r="K228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288" s="1" t="inlineStr">
        <is>
          <t>23.05.2026</t>
        </is>
      </c>
      <c r="M2288" s="1" t="inlineStr">
        <is>
          <t>Успешно</t>
        </is>
      </c>
      <c r="N2288" s="1" t="inlineStr">
        <is>
          <t>25.05.2026</t>
        </is>
      </c>
      <c r="O2288" s="1" t="inlineStr"/>
      <c r="P2288" s="1" t="inlineStr"/>
      <c r="Q2288" s="1" t="inlineStr">
        <is>
          <t>Пользовательский интерфейс</t>
        </is>
      </c>
    </row>
    <row r="2289">
      <c r="B2289" s="1" t="inlineStr">
        <is>
          <t>197822344</t>
        </is>
      </c>
      <c r="C2289" s="1" t="inlineStr">
        <is>
          <t>14313480</t>
        </is>
      </c>
      <c r="D2289" t="inlineStr">
        <is>
          <t>работник 703</t>
        </is>
      </c>
      <c r="E2289" s="1" t="inlineStr">
        <is>
          <t>ОБЩЕСТВО С ОГРАНИЧЕННОЙ ОТВЕТСТВЕННОСТЬЮ "АМУР ЗОЛОТО"</t>
        </is>
      </c>
      <c r="F2289" s="1" t="inlineStr">
        <is>
          <t>2708001686</t>
        </is>
      </c>
      <c r="G2289" s="1" t="inlineStr">
        <is>
          <t>Бетонщик</t>
        </is>
      </c>
      <c r="H2289" s="1" t="inlineStr">
        <is>
          <t>ООО "Амур Золото"</t>
        </is>
      </c>
      <c r="I2289" s="1" t="inlineStr">
        <is>
          <t>2708001686</t>
        </is>
      </c>
      <c r="J2289" s="1" t="inlineStr">
        <is>
          <t>ЮГОК ОКС (РСУ) 26-01</t>
        </is>
      </c>
      <c r="K2289" s="1" t="inlineStr">
        <is>
          <t>Использование (применение) средств индивидуальной защиты</t>
        </is>
      </c>
      <c r="L2289" s="1" t="inlineStr">
        <is>
          <t>23.05.2026</t>
        </is>
      </c>
      <c r="M2289" s="1" t="inlineStr">
        <is>
          <t>Успешно</t>
        </is>
      </c>
      <c r="N2289" s="1" t="inlineStr">
        <is>
          <t>25.05.2026</t>
        </is>
      </c>
      <c r="O2289" s="1" t="inlineStr"/>
      <c r="P2289" s="1" t="inlineStr"/>
      <c r="Q2289" s="1" t="inlineStr">
        <is>
          <t>Пользовательский интерфейс</t>
        </is>
      </c>
    </row>
    <row r="2290">
      <c r="B2290" s="1" t="inlineStr">
        <is>
          <t>197822345</t>
        </is>
      </c>
      <c r="C2290" s="1" t="inlineStr">
        <is>
          <t>14313480</t>
        </is>
      </c>
      <c r="D2290" t="inlineStr">
        <is>
          <t>работник 703</t>
        </is>
      </c>
      <c r="E2290" s="1" t="inlineStr">
        <is>
          <t>ОБЩЕСТВО С ОГРАНИЧЕННОЙ ОТВЕТСТВЕННОСТЬЮ "АМУР ЗОЛОТО"</t>
        </is>
      </c>
      <c r="F2290" s="1" t="inlineStr">
        <is>
          <t>2708001686</t>
        </is>
      </c>
      <c r="G2290" s="1" t="inlineStr">
        <is>
          <t>Бетонщик</t>
        </is>
      </c>
      <c r="H2290" s="1" t="inlineStr">
        <is>
          <t>ООО "Амур Золото"</t>
        </is>
      </c>
      <c r="I2290" s="1" t="inlineStr">
        <is>
          <t>2708001686</t>
        </is>
      </c>
      <c r="J2290" s="1" t="inlineStr">
        <is>
          <t>ЮГОК ОКС (РСУ) 26-01</t>
        </is>
      </c>
      <c r="K229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290" s="1" t="inlineStr">
        <is>
          <t>23.05.2026</t>
        </is>
      </c>
      <c r="M2290" s="1" t="inlineStr">
        <is>
          <t>Успешно</t>
        </is>
      </c>
      <c r="N2290" s="1" t="inlineStr">
        <is>
          <t>25.05.2026</t>
        </is>
      </c>
      <c r="O2290" s="1" t="inlineStr"/>
      <c r="P2290" s="1" t="inlineStr"/>
      <c r="Q2290" s="1" t="inlineStr">
        <is>
          <t>Пользовательский интерфейс</t>
        </is>
      </c>
    </row>
    <row r="2291">
      <c r="B2291" s="1" t="inlineStr">
        <is>
          <t>197822346</t>
        </is>
      </c>
      <c r="C2291" s="1" t="inlineStr">
        <is>
          <t>14313480</t>
        </is>
      </c>
      <c r="D2291" t="inlineStr">
        <is>
          <t>работник 704</t>
        </is>
      </c>
      <c r="E2291" s="1" t="inlineStr">
        <is>
          <t>ОБЩЕСТВО С ОГРАНИЧЕННОЙ ОТВЕТСТВЕННОСТЬЮ "АМУР ЗОЛОТО"</t>
        </is>
      </c>
      <c r="F2291" s="1" t="inlineStr">
        <is>
          <t>2708001686</t>
        </is>
      </c>
      <c r="G2291" s="1" t="inlineStr">
        <is>
          <t>Плотник</t>
        </is>
      </c>
      <c r="H2291" s="1" t="inlineStr">
        <is>
          <t>ООО "Амур Золото"</t>
        </is>
      </c>
      <c r="I2291" s="1" t="inlineStr">
        <is>
          <t>2708001686</t>
        </is>
      </c>
      <c r="J2291" s="1" t="inlineStr">
        <is>
          <t>ЮГОК ОКС (РСУ) 26-01</t>
        </is>
      </c>
      <c r="K2291" s="1" t="inlineStr">
        <is>
          <t>Использование (применение) средств индивидуальной защиты</t>
        </is>
      </c>
      <c r="L2291" s="1" t="inlineStr">
        <is>
          <t>23.05.2026</t>
        </is>
      </c>
      <c r="M2291" s="1" t="inlineStr">
        <is>
          <t>Успешно</t>
        </is>
      </c>
      <c r="N2291" s="1" t="inlineStr">
        <is>
          <t>25.05.2026</t>
        </is>
      </c>
      <c r="O2291" s="1" t="inlineStr"/>
      <c r="P2291" s="1" t="inlineStr"/>
      <c r="Q2291" s="1" t="inlineStr">
        <is>
          <t>Пользовательский интерфейс</t>
        </is>
      </c>
    </row>
    <row r="2292">
      <c r="B2292" s="1" t="inlineStr">
        <is>
          <t>197822347</t>
        </is>
      </c>
      <c r="C2292" s="1" t="inlineStr">
        <is>
          <t>14313480</t>
        </is>
      </c>
      <c r="D2292" t="inlineStr">
        <is>
          <t>работник 704</t>
        </is>
      </c>
      <c r="E2292" s="1" t="inlineStr">
        <is>
          <t>ОБЩЕСТВО С ОГРАНИЧЕННОЙ ОТВЕТСТВЕННОСТЬЮ "АМУР ЗОЛОТО"</t>
        </is>
      </c>
      <c r="F2292" s="1" t="inlineStr">
        <is>
          <t>2708001686</t>
        </is>
      </c>
      <c r="G2292" s="1" t="inlineStr">
        <is>
          <t>Плотник</t>
        </is>
      </c>
      <c r="H2292" s="1" t="inlineStr">
        <is>
          <t>ООО "Амур Золото"</t>
        </is>
      </c>
      <c r="I2292" s="1" t="inlineStr">
        <is>
          <t>2708001686</t>
        </is>
      </c>
      <c r="J2292" s="1" t="inlineStr">
        <is>
          <t>ЮГОК ОКС (РСУ) 26-01</t>
        </is>
      </c>
      <c r="K229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292" s="1" t="inlineStr">
        <is>
          <t>23.05.2026</t>
        </is>
      </c>
      <c r="M2292" s="1" t="inlineStr">
        <is>
          <t>Успешно</t>
        </is>
      </c>
      <c r="N2292" s="1" t="inlineStr">
        <is>
          <t>25.05.2026</t>
        </is>
      </c>
      <c r="O2292" s="1" t="inlineStr"/>
      <c r="P2292" s="1" t="inlineStr"/>
      <c r="Q2292" s="1" t="inlineStr">
        <is>
          <t>Пользовательский интерфейс</t>
        </is>
      </c>
    </row>
    <row r="2293">
      <c r="B2293" s="1" t="inlineStr">
        <is>
          <t>197822348</t>
        </is>
      </c>
      <c r="C2293" s="1" t="inlineStr">
        <is>
          <t>14313480</t>
        </is>
      </c>
      <c r="D2293" t="inlineStr">
        <is>
          <t>работник 705</t>
        </is>
      </c>
      <c r="E2293" s="1" t="inlineStr">
        <is>
          <t>ОБЩЕСТВО С ОГРАНИЧЕННОЙ ОТВЕТСТВЕННОСТЬЮ "АМУР ЗОЛОТО"</t>
        </is>
      </c>
      <c r="F2293" s="1" t="inlineStr">
        <is>
          <t>2708001686</t>
        </is>
      </c>
      <c r="G2293" s="1" t="inlineStr">
        <is>
          <t>Плотник</t>
        </is>
      </c>
      <c r="H2293" s="1" t="inlineStr">
        <is>
          <t>ООО "Амур Золото"</t>
        </is>
      </c>
      <c r="I2293" s="1" t="inlineStr">
        <is>
          <t>2708001686</t>
        </is>
      </c>
      <c r="J2293" s="1" t="inlineStr">
        <is>
          <t>ЮГОК ОКС (РСУ) 26-01</t>
        </is>
      </c>
      <c r="K2293" s="1" t="inlineStr">
        <is>
          <t>Использование (применение) средств индивидуальной защиты</t>
        </is>
      </c>
      <c r="L2293" s="1" t="inlineStr">
        <is>
          <t>23.05.2026</t>
        </is>
      </c>
      <c r="M2293" s="1" t="inlineStr">
        <is>
          <t>Успешно</t>
        </is>
      </c>
      <c r="N2293" s="1" t="inlineStr">
        <is>
          <t>25.05.2026</t>
        </is>
      </c>
      <c r="O2293" s="1" t="inlineStr"/>
      <c r="P2293" s="1" t="inlineStr"/>
      <c r="Q2293" s="1" t="inlineStr">
        <is>
          <t>Пользовательский интерфейс</t>
        </is>
      </c>
    </row>
    <row r="2294">
      <c r="B2294" s="1" t="inlineStr">
        <is>
          <t>197822349</t>
        </is>
      </c>
      <c r="C2294" s="1" t="inlineStr">
        <is>
          <t>14313480</t>
        </is>
      </c>
      <c r="D2294" t="inlineStr">
        <is>
          <t>работник 705</t>
        </is>
      </c>
      <c r="E2294" s="1" t="inlineStr">
        <is>
          <t>ОБЩЕСТВО С ОГРАНИЧЕННОЙ ОТВЕТСТВЕННОСТЬЮ "АМУР ЗОЛОТО"</t>
        </is>
      </c>
      <c r="F2294" s="1" t="inlineStr">
        <is>
          <t>2708001686</t>
        </is>
      </c>
      <c r="G2294" s="1" t="inlineStr">
        <is>
          <t>Плотник</t>
        </is>
      </c>
      <c r="H2294" s="1" t="inlineStr">
        <is>
          <t>ООО "Амур Золото"</t>
        </is>
      </c>
      <c r="I2294" s="1" t="inlineStr">
        <is>
          <t>2708001686</t>
        </is>
      </c>
      <c r="J2294" s="1" t="inlineStr">
        <is>
          <t>ЮГОК ОКС (РСУ) 26-01</t>
        </is>
      </c>
      <c r="K229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294" s="1" t="inlineStr">
        <is>
          <t>23.05.2026</t>
        </is>
      </c>
      <c r="M2294" s="1" t="inlineStr">
        <is>
          <t>Успешно</t>
        </is>
      </c>
      <c r="N2294" s="1" t="inlineStr">
        <is>
          <t>25.05.2026</t>
        </is>
      </c>
      <c r="O2294" s="1" t="inlineStr"/>
      <c r="P2294" s="1" t="inlineStr"/>
      <c r="Q2294" s="1" t="inlineStr">
        <is>
          <t>Пользовательский интерфейс</t>
        </is>
      </c>
    </row>
    <row r="2295">
      <c r="B2295" s="1" t="inlineStr">
        <is>
          <t>197822350</t>
        </is>
      </c>
      <c r="C2295" s="1" t="inlineStr">
        <is>
          <t>14313480</t>
        </is>
      </c>
      <c r="D2295" t="inlineStr">
        <is>
          <t>работник 706</t>
        </is>
      </c>
      <c r="E2295" s="1" t="inlineStr">
        <is>
          <t>ОБЩЕСТВО С ОГРАНИЧЕННОЙ ОТВЕТСТВЕННОСТЬЮ "АМУР ЗОЛОТО"</t>
        </is>
      </c>
      <c r="F2295" s="1" t="inlineStr">
        <is>
          <t>2708001686</t>
        </is>
      </c>
      <c r="G2295" s="1" t="inlineStr">
        <is>
          <t>Монтажник по монтажу стальных и железобетонных конструкций</t>
        </is>
      </c>
      <c r="H2295" s="1" t="inlineStr">
        <is>
          <t>ООО "Амур Золото"</t>
        </is>
      </c>
      <c r="I2295" s="1" t="inlineStr">
        <is>
          <t>2708001686</t>
        </is>
      </c>
      <c r="J2295" s="1" t="inlineStr">
        <is>
          <t>ЮГОК ОКС (РСУ) 26-01</t>
        </is>
      </c>
      <c r="K2295" s="1" t="inlineStr">
        <is>
          <t>Использование (применение) средств индивидуальной защиты</t>
        </is>
      </c>
      <c r="L2295" s="1" t="inlineStr">
        <is>
          <t>23.05.2026</t>
        </is>
      </c>
      <c r="M2295" s="1" t="inlineStr">
        <is>
          <t>Успешно</t>
        </is>
      </c>
      <c r="N2295" s="1" t="inlineStr">
        <is>
          <t>25.05.2026</t>
        </is>
      </c>
      <c r="O2295" s="1" t="inlineStr"/>
      <c r="P2295" s="1" t="inlineStr"/>
      <c r="Q2295" s="1" t="inlineStr">
        <is>
          <t>Пользовательский интерфейс</t>
        </is>
      </c>
    </row>
    <row r="2296">
      <c r="B2296" s="1" t="inlineStr">
        <is>
          <t>197822351</t>
        </is>
      </c>
      <c r="C2296" s="1" t="inlineStr">
        <is>
          <t>14313480</t>
        </is>
      </c>
      <c r="D2296" t="inlineStr">
        <is>
          <t>работник 706</t>
        </is>
      </c>
      <c r="E2296" s="1" t="inlineStr">
        <is>
          <t>ОБЩЕСТВО С ОГРАНИЧЕННОЙ ОТВЕТСТВЕННОСТЬЮ "АМУР ЗОЛОТО"</t>
        </is>
      </c>
      <c r="F2296" s="1" t="inlineStr">
        <is>
          <t>2708001686</t>
        </is>
      </c>
      <c r="G2296" s="1" t="inlineStr">
        <is>
          <t>Монтажник по монтажу стальных и железобетонных конструкций</t>
        </is>
      </c>
      <c r="H2296" s="1" t="inlineStr">
        <is>
          <t>ООО "Амур Золото"</t>
        </is>
      </c>
      <c r="I2296" s="1" t="inlineStr">
        <is>
          <t>2708001686</t>
        </is>
      </c>
      <c r="J2296" s="1" t="inlineStr">
        <is>
          <t>ЮГОК ОКС (РСУ) 26-01</t>
        </is>
      </c>
      <c r="K229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296" s="1" t="inlineStr">
        <is>
          <t>23.05.2026</t>
        </is>
      </c>
      <c r="M2296" s="1" t="inlineStr">
        <is>
          <t>Успешно</t>
        </is>
      </c>
      <c r="N2296" s="1" t="inlineStr">
        <is>
          <t>25.05.2026</t>
        </is>
      </c>
      <c r="O2296" s="1" t="inlineStr"/>
      <c r="P2296" s="1" t="inlineStr"/>
      <c r="Q2296" s="1" t="inlineStr">
        <is>
          <t>Пользовательский интерфейс</t>
        </is>
      </c>
    </row>
    <row r="2297">
      <c r="B2297" s="1" t="inlineStr">
        <is>
          <t>197822352</t>
        </is>
      </c>
      <c r="C2297" s="1" t="inlineStr">
        <is>
          <t>14313480</t>
        </is>
      </c>
      <c r="D2297" t="inlineStr">
        <is>
          <t>работник 707</t>
        </is>
      </c>
      <c r="E2297" s="1" t="inlineStr">
        <is>
          <t>ОБЩЕСТВО С ОГРАНИЧЕННОЙ ОТВЕТСТВЕННОСТЬЮ "АМУР ЗОЛОТО"</t>
        </is>
      </c>
      <c r="F2297" s="1" t="inlineStr">
        <is>
          <t>2708001686</t>
        </is>
      </c>
      <c r="G2297" s="1" t="inlineStr">
        <is>
          <t>Монтажник по монтажу стальных и железобетонных конструкций</t>
        </is>
      </c>
      <c r="H2297" s="1" t="inlineStr">
        <is>
          <t>ООО "Амур Золото"</t>
        </is>
      </c>
      <c r="I2297" s="1" t="inlineStr">
        <is>
          <t>2708001686</t>
        </is>
      </c>
      <c r="J2297" s="1" t="inlineStr">
        <is>
          <t>ЮГОК ОКС (РСУ) 26-01</t>
        </is>
      </c>
      <c r="K2297" s="1" t="inlineStr">
        <is>
          <t>Использование (применение) средств индивидуальной защиты</t>
        </is>
      </c>
      <c r="L2297" s="1" t="inlineStr">
        <is>
          <t>23.05.2026</t>
        </is>
      </c>
      <c r="M2297" s="1" t="inlineStr">
        <is>
          <t>Успешно</t>
        </is>
      </c>
      <c r="N2297" s="1" t="inlineStr">
        <is>
          <t>25.05.2026</t>
        </is>
      </c>
      <c r="O2297" s="1" t="inlineStr"/>
      <c r="P2297" s="1" t="inlineStr"/>
      <c r="Q2297" s="1" t="inlineStr">
        <is>
          <t>Пользовательский интерфейс</t>
        </is>
      </c>
    </row>
    <row r="2298">
      <c r="B2298" s="1" t="inlineStr">
        <is>
          <t>197822353</t>
        </is>
      </c>
      <c r="C2298" s="1" t="inlineStr">
        <is>
          <t>14313480</t>
        </is>
      </c>
      <c r="D2298" t="inlineStr">
        <is>
          <t>работник 707</t>
        </is>
      </c>
      <c r="E2298" s="1" t="inlineStr">
        <is>
          <t>ОБЩЕСТВО С ОГРАНИЧЕННОЙ ОТВЕТСТВЕННОСТЬЮ "АМУР ЗОЛОТО"</t>
        </is>
      </c>
      <c r="F2298" s="1" t="inlineStr">
        <is>
          <t>2708001686</t>
        </is>
      </c>
      <c r="G2298" s="1" t="inlineStr">
        <is>
          <t>Монтажник по монтажу стальных и железобетонных конструкций</t>
        </is>
      </c>
      <c r="H2298" s="1" t="inlineStr">
        <is>
          <t>ООО "Амур Золото"</t>
        </is>
      </c>
      <c r="I2298" s="1" t="inlineStr">
        <is>
          <t>2708001686</t>
        </is>
      </c>
      <c r="J2298" s="1" t="inlineStr">
        <is>
          <t>ЮГОК ОКС (РСУ) 26-01</t>
        </is>
      </c>
      <c r="K229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298" s="1" t="inlineStr">
        <is>
          <t>23.05.2026</t>
        </is>
      </c>
      <c r="M2298" s="1" t="inlineStr">
        <is>
          <t>Успешно</t>
        </is>
      </c>
      <c r="N2298" s="1" t="inlineStr">
        <is>
          <t>25.05.2026</t>
        </is>
      </c>
      <c r="O2298" s="1" t="inlineStr"/>
      <c r="P2298" s="1" t="inlineStr"/>
      <c r="Q2298" s="1" t="inlineStr">
        <is>
          <t>Пользовательский интерфейс</t>
        </is>
      </c>
    </row>
    <row r="2299">
      <c r="B2299" s="1" t="inlineStr">
        <is>
          <t>197822354</t>
        </is>
      </c>
      <c r="C2299" s="1" t="inlineStr">
        <is>
          <t>14313480</t>
        </is>
      </c>
      <c r="D2299" t="inlineStr">
        <is>
          <t>работник 694</t>
        </is>
      </c>
      <c r="E2299" s="1" t="inlineStr">
        <is>
          <t>ОБЩЕСТВО С ОГРАНИЧЕННОЙ ОТВЕТСТВЕННОСТЬЮ "АМУР ЗОЛОТО"</t>
        </is>
      </c>
      <c r="F2299" s="1" t="inlineStr">
        <is>
          <t>2708001686</t>
        </is>
      </c>
      <c r="G2299" s="1" t="inlineStr">
        <is>
          <t>Руководитель строительства группы объектов</t>
        </is>
      </c>
      <c r="H2299" s="1" t="inlineStr">
        <is>
          <t>ООО "Амур Золото"</t>
        </is>
      </c>
      <c r="I2299" s="1" t="inlineStr">
        <is>
          <t>2708001686</t>
        </is>
      </c>
      <c r="J2299" s="1" t="inlineStr">
        <is>
          <t>ЮГОК ОКС (РСУ) 26-01</t>
        </is>
      </c>
      <c r="K229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299" s="1" t="inlineStr">
        <is>
          <t>23.05.2026</t>
        </is>
      </c>
      <c r="M2299" s="1" t="inlineStr">
        <is>
          <t>Успешно</t>
        </is>
      </c>
      <c r="N2299" s="1" t="inlineStr">
        <is>
          <t>25.05.2026</t>
        </is>
      </c>
      <c r="O2299" s="1" t="inlineStr"/>
      <c r="P2299" s="1" t="inlineStr"/>
      <c r="Q2299" s="1" t="inlineStr">
        <is>
          <t>Пользовательский интерфейс</t>
        </is>
      </c>
    </row>
    <row r="2300">
      <c r="B2300" s="1" t="inlineStr">
        <is>
          <t>197822355</t>
        </is>
      </c>
      <c r="C2300" s="1" t="inlineStr">
        <is>
          <t>14313485</t>
        </is>
      </c>
      <c r="D2300" t="inlineStr">
        <is>
          <t>работник 708</t>
        </is>
      </c>
      <c r="E2300" s="1" t="inlineStr">
        <is>
          <t>ОБЩЕСТВО С ОГРАНИЧЕННОЙ ОТВЕТСТВЕННОСТЬЮ "АМУР ЗОЛОТО"</t>
        </is>
      </c>
      <c r="F2300" s="1" t="inlineStr">
        <is>
          <t>2708001686</t>
        </is>
      </c>
      <c r="G2300" s="1" t="inlineStr">
        <is>
          <t>Промывальщик геологических проб</t>
        </is>
      </c>
      <c r="H2300" s="1" t="inlineStr">
        <is>
          <t>ООО "Амур Золото"</t>
        </is>
      </c>
      <c r="I2300" s="1" t="inlineStr">
        <is>
          <t>2708001686</t>
        </is>
      </c>
      <c r="J2300" s="1" t="inlineStr">
        <is>
          <t>ЮГОК ГРР 26-01</t>
        </is>
      </c>
      <c r="K2300" s="1" t="inlineStr">
        <is>
          <t>Использование (применение) средств индивидуальной защиты</t>
        </is>
      </c>
      <c r="L2300" s="1" t="inlineStr">
        <is>
          <t>23.05.2026</t>
        </is>
      </c>
      <c r="M2300" s="1" t="inlineStr">
        <is>
          <t>Успешно</t>
        </is>
      </c>
      <c r="N2300" s="1" t="inlineStr">
        <is>
          <t>25.05.2026</t>
        </is>
      </c>
      <c r="O2300" s="1" t="inlineStr"/>
      <c r="P2300" s="1" t="inlineStr"/>
      <c r="Q2300" s="1" t="inlineStr">
        <is>
          <t>Пользовательский интерфейс</t>
        </is>
      </c>
    </row>
    <row r="2301">
      <c r="B2301" s="1" t="inlineStr">
        <is>
          <t>197822356</t>
        </is>
      </c>
      <c r="C2301" s="1" t="inlineStr">
        <is>
          <t>14313485</t>
        </is>
      </c>
      <c r="D2301" t="inlineStr">
        <is>
          <t>работник 708</t>
        </is>
      </c>
      <c r="E2301" s="1" t="inlineStr">
        <is>
          <t>ОБЩЕСТВО С ОГРАНИЧЕННОЙ ОТВЕТСТВЕННОСТЬЮ "АМУР ЗОЛОТО"</t>
        </is>
      </c>
      <c r="F2301" s="1" t="inlineStr">
        <is>
          <t>2708001686</t>
        </is>
      </c>
      <c r="G2301" s="1" t="inlineStr">
        <is>
          <t>Промывальщик геологических проб</t>
        </is>
      </c>
      <c r="H2301" s="1" t="inlineStr">
        <is>
          <t>ООО "Амур Золото"</t>
        </is>
      </c>
      <c r="I2301" s="1" t="inlineStr">
        <is>
          <t>2708001686</t>
        </is>
      </c>
      <c r="J2301" s="1" t="inlineStr">
        <is>
          <t>ЮГОК ГРР 26-01</t>
        </is>
      </c>
      <c r="K230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301" s="1" t="inlineStr">
        <is>
          <t>23.05.2026</t>
        </is>
      </c>
      <c r="M2301" s="1" t="inlineStr">
        <is>
          <t>Успешно</t>
        </is>
      </c>
      <c r="N2301" s="1" t="inlineStr">
        <is>
          <t>25.05.2026</t>
        </is>
      </c>
      <c r="O2301" s="1" t="inlineStr"/>
      <c r="P2301" s="1" t="inlineStr"/>
      <c r="Q2301" s="1" t="inlineStr">
        <is>
          <t>Пользовательский интерфейс</t>
        </is>
      </c>
    </row>
    <row r="2302">
      <c r="B2302" s="1" t="inlineStr">
        <is>
          <t>197822357</t>
        </is>
      </c>
      <c r="C2302" s="1" t="inlineStr">
        <is>
          <t>14313485</t>
        </is>
      </c>
      <c r="D2302" t="inlineStr">
        <is>
          <t>работник 709</t>
        </is>
      </c>
      <c r="E2302" s="1" t="inlineStr">
        <is>
          <t>ОБЩЕСТВО С ОГРАНИЧЕННОЙ ОТВЕТСТВЕННОСТЬЮ "АМУР ЗОЛОТО"</t>
        </is>
      </c>
      <c r="F2302" s="1" t="inlineStr">
        <is>
          <t>2708001686</t>
        </is>
      </c>
      <c r="G2302" s="1" t="inlineStr">
        <is>
          <t>Машинист бульдозера</t>
        </is>
      </c>
      <c r="H2302" s="1" t="inlineStr">
        <is>
          <t>ООО "Амур Золото"</t>
        </is>
      </c>
      <c r="I2302" s="1" t="inlineStr">
        <is>
          <t>2708001686</t>
        </is>
      </c>
      <c r="J2302" s="1" t="inlineStr">
        <is>
          <t>ЮГОК ГРР 26-01</t>
        </is>
      </c>
      <c r="K2302" s="1" t="inlineStr">
        <is>
          <t>Использование (применение) средств индивидуальной защиты</t>
        </is>
      </c>
      <c r="L2302" s="1" t="inlineStr">
        <is>
          <t>23.05.2026</t>
        </is>
      </c>
      <c r="M2302" s="1" t="inlineStr">
        <is>
          <t>Успешно</t>
        </is>
      </c>
      <c r="N2302" s="1" t="inlineStr">
        <is>
          <t>25.05.2026</t>
        </is>
      </c>
      <c r="O2302" s="1" t="inlineStr"/>
      <c r="P2302" s="1" t="inlineStr"/>
      <c r="Q2302" s="1" t="inlineStr">
        <is>
          <t>Пользовательский интерфейс</t>
        </is>
      </c>
    </row>
    <row r="2303">
      <c r="B2303" s="1" t="inlineStr">
        <is>
          <t>197822358</t>
        </is>
      </c>
      <c r="C2303" s="1" t="inlineStr">
        <is>
          <t>14313485</t>
        </is>
      </c>
      <c r="D2303" t="inlineStr">
        <is>
          <t>работник 709</t>
        </is>
      </c>
      <c r="E2303" s="1" t="inlineStr">
        <is>
          <t>ОБЩЕСТВО С ОГРАНИЧЕННОЙ ОТВЕТСТВЕННОСТЬЮ "АМУР ЗОЛОТО"</t>
        </is>
      </c>
      <c r="F2303" s="1" t="inlineStr">
        <is>
          <t>2708001686</t>
        </is>
      </c>
      <c r="G2303" s="1" t="inlineStr">
        <is>
          <t>Машинист бульдозера</t>
        </is>
      </c>
      <c r="H2303" s="1" t="inlineStr">
        <is>
          <t>ООО "Амур Золото"</t>
        </is>
      </c>
      <c r="I2303" s="1" t="inlineStr">
        <is>
          <t>2708001686</t>
        </is>
      </c>
      <c r="J2303" s="1" t="inlineStr">
        <is>
          <t>ЮГОК ГРР 26-01</t>
        </is>
      </c>
      <c r="K230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303" s="1" t="inlineStr">
        <is>
          <t>23.05.2026</t>
        </is>
      </c>
      <c r="M2303" s="1" t="inlineStr">
        <is>
          <t>Успешно</t>
        </is>
      </c>
      <c r="N2303" s="1" t="inlineStr">
        <is>
          <t>25.05.2026</t>
        </is>
      </c>
      <c r="O2303" s="1" t="inlineStr"/>
      <c r="P2303" s="1" t="inlineStr"/>
      <c r="Q2303" s="1" t="inlineStr">
        <is>
          <t>Пользовательский интерфейс</t>
        </is>
      </c>
    </row>
    <row r="2304">
      <c r="B2304" s="1" t="inlineStr">
        <is>
          <t>197822359</t>
        </is>
      </c>
      <c r="C2304" s="1" t="inlineStr">
        <is>
          <t>14313485</t>
        </is>
      </c>
      <c r="D2304" t="inlineStr">
        <is>
          <t>работник 710</t>
        </is>
      </c>
      <c r="E2304" s="1" t="inlineStr">
        <is>
          <t>ОБЩЕСТВО С ОГРАНИЧЕННОЙ ОТВЕТСТВЕННОСТЬЮ "АМУР ЗОЛОТО"</t>
        </is>
      </c>
      <c r="F2304" s="1" t="inlineStr">
        <is>
          <t>2708001686</t>
        </is>
      </c>
      <c r="G2304" s="1" t="inlineStr">
        <is>
          <t>Участковый геолог</t>
        </is>
      </c>
      <c r="H2304" s="1" t="inlineStr">
        <is>
          <t>ООО "Амур Золото"</t>
        </is>
      </c>
      <c r="I2304" s="1" t="inlineStr">
        <is>
          <t>2708001686</t>
        </is>
      </c>
      <c r="J2304" s="1" t="inlineStr">
        <is>
          <t>ЮГОК ГРР 26-01</t>
        </is>
      </c>
      <c r="K2304" s="1" t="inlineStr">
        <is>
          <t>Использование (применение) средств индивидуальной защиты</t>
        </is>
      </c>
      <c r="L2304" s="1" t="inlineStr">
        <is>
          <t>23.05.2026</t>
        </is>
      </c>
      <c r="M2304" s="1" t="inlineStr">
        <is>
          <t>Успешно</t>
        </is>
      </c>
      <c r="N2304" s="1" t="inlineStr">
        <is>
          <t>25.05.2026</t>
        </is>
      </c>
      <c r="O2304" s="1" t="inlineStr"/>
      <c r="P2304" s="1" t="inlineStr"/>
      <c r="Q2304" s="1" t="inlineStr">
        <is>
          <t>Пользовательский интерфейс</t>
        </is>
      </c>
    </row>
    <row r="2305">
      <c r="B2305" s="1" t="inlineStr">
        <is>
          <t>197822360</t>
        </is>
      </c>
      <c r="C2305" s="1" t="inlineStr">
        <is>
          <t>14313485</t>
        </is>
      </c>
      <c r="D2305" t="inlineStr">
        <is>
          <t>работник 710</t>
        </is>
      </c>
      <c r="E2305" s="1" t="inlineStr">
        <is>
          <t>ОБЩЕСТВО С ОГРАНИЧЕННОЙ ОТВЕТСТВЕННОСТЬЮ "АМУР ЗОЛОТО"</t>
        </is>
      </c>
      <c r="F2305" s="1" t="inlineStr">
        <is>
          <t>2708001686</t>
        </is>
      </c>
      <c r="G2305" s="1" t="inlineStr">
        <is>
          <t>Участковый геолог</t>
        </is>
      </c>
      <c r="H2305" s="1" t="inlineStr">
        <is>
          <t>ООО "Амур Золото"</t>
        </is>
      </c>
      <c r="I2305" s="1" t="inlineStr">
        <is>
          <t>2708001686</t>
        </is>
      </c>
      <c r="J2305" s="1" t="inlineStr">
        <is>
          <t>ЮГОК ГРР 26-01</t>
        </is>
      </c>
      <c r="K230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305" s="1" t="inlineStr">
        <is>
          <t>23.05.2026</t>
        </is>
      </c>
      <c r="M2305" s="1" t="inlineStr">
        <is>
          <t>Успешно</t>
        </is>
      </c>
      <c r="N2305" s="1" t="inlineStr">
        <is>
          <t>25.05.2026</t>
        </is>
      </c>
      <c r="O2305" s="1" t="inlineStr"/>
      <c r="P2305" s="1" t="inlineStr"/>
      <c r="Q2305" s="1" t="inlineStr">
        <is>
          <t>Пользовательский интерфейс</t>
        </is>
      </c>
    </row>
    <row r="2306">
      <c r="B2306" s="1" t="inlineStr">
        <is>
          <t>197822361</t>
        </is>
      </c>
      <c r="C2306" s="1" t="inlineStr">
        <is>
          <t>14313485</t>
        </is>
      </c>
      <c r="D2306" t="inlineStr">
        <is>
          <t>работник 711</t>
        </is>
      </c>
      <c r="E2306" s="1" t="inlineStr">
        <is>
          <t>ОБЩЕСТВО С ОГРАНИЧЕННОЙ ОТВЕТСТВЕННОСТЬЮ "АМУР ЗОЛОТО"</t>
        </is>
      </c>
      <c r="F2306" s="1" t="inlineStr">
        <is>
          <t>2708001686</t>
        </is>
      </c>
      <c r="G2306" s="1" t="inlineStr">
        <is>
          <t>Электрогазосварщик (занятый на резке и ручной сварке)</t>
        </is>
      </c>
      <c r="H2306" s="1" t="inlineStr">
        <is>
          <t>ООО "Амур Золото"</t>
        </is>
      </c>
      <c r="I2306" s="1" t="inlineStr">
        <is>
          <t>2708001686</t>
        </is>
      </c>
      <c r="J2306" s="1" t="inlineStr">
        <is>
          <t>ЮГОК ГРР 26-01</t>
        </is>
      </c>
      <c r="K2306" s="1" t="inlineStr">
        <is>
          <t>Использование (применение) средств индивидуальной защиты</t>
        </is>
      </c>
      <c r="L2306" s="1" t="inlineStr">
        <is>
          <t>23.05.2026</t>
        </is>
      </c>
      <c r="M2306" s="1" t="inlineStr">
        <is>
          <t>Успешно</t>
        </is>
      </c>
      <c r="N2306" s="1" t="inlineStr">
        <is>
          <t>25.05.2026</t>
        </is>
      </c>
      <c r="O2306" s="1" t="inlineStr"/>
      <c r="P2306" s="1" t="inlineStr"/>
      <c r="Q2306" s="1" t="inlineStr">
        <is>
          <t>Пользовательский интерфейс</t>
        </is>
      </c>
    </row>
    <row r="2307">
      <c r="B2307" s="1" t="inlineStr">
        <is>
          <t>197822362</t>
        </is>
      </c>
      <c r="C2307" s="1" t="inlineStr">
        <is>
          <t>14313485</t>
        </is>
      </c>
      <c r="D2307" t="inlineStr">
        <is>
          <t>работник 711</t>
        </is>
      </c>
      <c r="E2307" s="1" t="inlineStr">
        <is>
          <t>ОБЩЕСТВО С ОГРАНИЧЕННОЙ ОТВЕТСТВЕННОСТЬЮ "АМУР ЗОЛОТО"</t>
        </is>
      </c>
      <c r="F2307" s="1" t="inlineStr">
        <is>
          <t>2708001686</t>
        </is>
      </c>
      <c r="G2307" s="1" t="inlineStr">
        <is>
          <t>Электрогазосварщик (занятый на резке и ручной сварке)</t>
        </is>
      </c>
      <c r="H2307" s="1" t="inlineStr">
        <is>
          <t>ООО "Амур Золото"</t>
        </is>
      </c>
      <c r="I2307" s="1" t="inlineStr">
        <is>
          <t>2708001686</t>
        </is>
      </c>
      <c r="J2307" s="1" t="inlineStr">
        <is>
          <t>ЮГОК ГРР 26-01</t>
        </is>
      </c>
      <c r="K230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307" s="1" t="inlineStr">
        <is>
          <t>23.05.2026</t>
        </is>
      </c>
      <c r="M2307" s="1" t="inlineStr">
        <is>
          <t>Успешно</t>
        </is>
      </c>
      <c r="N2307" s="1" t="inlineStr">
        <is>
          <t>25.05.2026</t>
        </is>
      </c>
      <c r="O2307" s="1" t="inlineStr"/>
      <c r="P2307" s="1" t="inlineStr"/>
      <c r="Q2307" s="1" t="inlineStr">
        <is>
          <t>Пользовательский интерфейс</t>
        </is>
      </c>
    </row>
    <row r="2308">
      <c r="B2308" s="1" t="inlineStr">
        <is>
          <t>197822363</t>
        </is>
      </c>
      <c r="C2308" s="1" t="inlineStr">
        <is>
          <t>14313485</t>
        </is>
      </c>
      <c r="D2308" t="inlineStr">
        <is>
          <t>работник 711</t>
        </is>
      </c>
      <c r="E2308" s="1" t="inlineStr">
        <is>
          <t>ОБЩЕСТВО С ОГРАНИЧЕННОЙ ОТВЕТСТВЕННОСТЬЮ "АМУР ЗОЛОТО"</t>
        </is>
      </c>
      <c r="F2308" s="1" t="inlineStr">
        <is>
          <t>2708001686</t>
        </is>
      </c>
      <c r="G2308" s="1" t="inlineStr">
        <is>
          <t>Электрогазосварщик (занятый на резке и ручной сварке)</t>
        </is>
      </c>
      <c r="H2308" s="1" t="inlineStr">
        <is>
          <t>ООО "Амур Золото"</t>
        </is>
      </c>
      <c r="I2308" s="1" t="inlineStr">
        <is>
          <t>2708001686</t>
        </is>
      </c>
      <c r="J2308" s="1" t="inlineStr">
        <is>
          <t>ЮГОК ГРР 26-01</t>
        </is>
      </c>
      <c r="K2308" s="1" t="inlineStr">
        <is>
          <t>Безопасные методы и приемы выполнения огневых работ</t>
        </is>
      </c>
      <c r="L2308" s="1" t="inlineStr">
        <is>
          <t>23.05.2026</t>
        </is>
      </c>
      <c r="M2308" s="1" t="inlineStr">
        <is>
          <t>Успешно</t>
        </is>
      </c>
      <c r="N2308" s="1" t="inlineStr">
        <is>
          <t>25.05.2026</t>
        </is>
      </c>
      <c r="O2308" s="1" t="inlineStr"/>
      <c r="P2308" s="1" t="inlineStr"/>
      <c r="Q2308" s="1" t="inlineStr">
        <is>
          <t>Пользовательский интерфейс</t>
        </is>
      </c>
    </row>
    <row r="2309">
      <c r="B2309" s="1" t="inlineStr">
        <is>
          <t>197822364</t>
        </is>
      </c>
      <c r="C2309" s="1" t="inlineStr">
        <is>
          <t>14313485</t>
        </is>
      </c>
      <c r="D2309" t="inlineStr">
        <is>
          <t>работник 712</t>
        </is>
      </c>
      <c r="E2309" s="1" t="inlineStr">
        <is>
          <t>ОБЩЕСТВО С ОГРАНИЧЕННОЙ ОТВЕТСТВЕННОСТЬЮ "АМУР ЗОЛОТО"</t>
        </is>
      </c>
      <c r="F2309" s="1" t="inlineStr">
        <is>
          <t>2708001686</t>
        </is>
      </c>
      <c r="G2309" s="1" t="inlineStr">
        <is>
          <t>Машинист буровой установки</t>
        </is>
      </c>
      <c r="H2309" s="1" t="inlineStr">
        <is>
          <t>ООО "Амур Золото"</t>
        </is>
      </c>
      <c r="I2309" s="1" t="inlineStr">
        <is>
          <t>2708001686</t>
        </is>
      </c>
      <c r="J2309" s="1" t="inlineStr">
        <is>
          <t>ЮГОК ГРР 26-01</t>
        </is>
      </c>
      <c r="K2309" s="1" t="inlineStr">
        <is>
          <t>Использование (применение) средств индивидуальной защиты</t>
        </is>
      </c>
      <c r="L2309" s="1" t="inlineStr">
        <is>
          <t>23.05.2026</t>
        </is>
      </c>
      <c r="M2309" s="1" t="inlineStr">
        <is>
          <t>Успешно</t>
        </is>
      </c>
      <c r="N2309" s="1" t="inlineStr">
        <is>
          <t>25.05.2026</t>
        </is>
      </c>
      <c r="O2309" s="1" t="inlineStr"/>
      <c r="P2309" s="1" t="inlineStr"/>
      <c r="Q2309" s="1" t="inlineStr">
        <is>
          <t>Пользовательский интерфейс</t>
        </is>
      </c>
    </row>
    <row r="2310">
      <c r="B2310" s="1" t="inlineStr">
        <is>
          <t>197822365</t>
        </is>
      </c>
      <c r="C2310" s="1" t="inlineStr">
        <is>
          <t>14313485</t>
        </is>
      </c>
      <c r="D2310" t="inlineStr">
        <is>
          <t>работник 712</t>
        </is>
      </c>
      <c r="E2310" s="1" t="inlineStr">
        <is>
          <t>ОБЩЕСТВО С ОГРАНИЧЕННОЙ ОТВЕТСТВЕННОСТЬЮ "АМУР ЗОЛОТО"</t>
        </is>
      </c>
      <c r="F2310" s="1" t="inlineStr">
        <is>
          <t>2708001686</t>
        </is>
      </c>
      <c r="G2310" s="1" t="inlineStr">
        <is>
          <t>Машинист буровой установки</t>
        </is>
      </c>
      <c r="H2310" s="1" t="inlineStr">
        <is>
          <t>ООО "Амур Золото"</t>
        </is>
      </c>
      <c r="I2310" s="1" t="inlineStr">
        <is>
          <t>2708001686</t>
        </is>
      </c>
      <c r="J2310" s="1" t="inlineStr">
        <is>
          <t>ЮГОК ГРР 26-01</t>
        </is>
      </c>
      <c r="K231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310" s="1" t="inlineStr">
        <is>
          <t>23.05.2026</t>
        </is>
      </c>
      <c r="M2310" s="1" t="inlineStr">
        <is>
          <t>Успешно</t>
        </is>
      </c>
      <c r="N2310" s="1" t="inlineStr">
        <is>
          <t>25.05.2026</t>
        </is>
      </c>
      <c r="O2310" s="1" t="inlineStr"/>
      <c r="P2310" s="1" t="inlineStr"/>
      <c r="Q2310" s="1" t="inlineStr">
        <is>
          <t>Пользовательский интерфейс</t>
        </is>
      </c>
    </row>
    <row r="2311">
      <c r="B2311" s="1" t="inlineStr">
        <is>
          <t>197822366</t>
        </is>
      </c>
      <c r="C2311" s="1" t="inlineStr">
        <is>
          <t>14313485</t>
        </is>
      </c>
      <c r="D2311" t="inlineStr">
        <is>
          <t>работник 713</t>
        </is>
      </c>
      <c r="E2311" s="1" t="inlineStr">
        <is>
          <t>ОБЩЕСТВО С ОГРАНИЧЕННОЙ ОТВЕТСТВЕННОСТЬЮ "АМУР ЗОЛОТО"</t>
        </is>
      </c>
      <c r="F2311" s="1" t="inlineStr">
        <is>
          <t>2708001686</t>
        </is>
      </c>
      <c r="G2311" s="1" t="inlineStr">
        <is>
          <t>Слесарь-электрик по ремонту электрооборудования</t>
        </is>
      </c>
      <c r="H2311" s="1" t="inlineStr">
        <is>
          <t>ООО "Амур Золото"</t>
        </is>
      </c>
      <c r="I2311" s="1" t="inlineStr">
        <is>
          <t>2708001686</t>
        </is>
      </c>
      <c r="J2311" s="1" t="inlineStr">
        <is>
          <t>ЮГОК ГРР 26-01</t>
        </is>
      </c>
      <c r="K2311" s="1" t="inlineStr">
        <is>
          <t>Использование (применение) средств индивидуальной защиты</t>
        </is>
      </c>
      <c r="L2311" s="1" t="inlineStr">
        <is>
          <t>23.05.2026</t>
        </is>
      </c>
      <c r="M2311" s="1" t="inlineStr">
        <is>
          <t>Успешно</t>
        </is>
      </c>
      <c r="N2311" s="1" t="inlineStr">
        <is>
          <t>25.05.2026</t>
        </is>
      </c>
      <c r="O2311" s="1" t="inlineStr"/>
      <c r="P2311" s="1" t="inlineStr"/>
      <c r="Q2311" s="1" t="inlineStr">
        <is>
          <t>Пользовательский интерфейс</t>
        </is>
      </c>
    </row>
    <row r="2312">
      <c r="B2312" s="1" t="inlineStr">
        <is>
          <t>197822367</t>
        </is>
      </c>
      <c r="C2312" s="1" t="inlineStr">
        <is>
          <t>14313485</t>
        </is>
      </c>
      <c r="D2312" t="inlineStr">
        <is>
          <t>работник 714</t>
        </is>
      </c>
      <c r="E2312" s="1" t="inlineStr">
        <is>
          <t>ОБЩЕСТВО С ОГРАНИЧЕННОЙ ОТВЕТСТВЕННОСТЬЮ "АМУР ЗОЛОТО"</t>
        </is>
      </c>
      <c r="F2312" s="1" t="inlineStr">
        <is>
          <t>2708001686</t>
        </is>
      </c>
      <c r="G2312" s="1" t="inlineStr">
        <is>
          <t>Повар</t>
        </is>
      </c>
      <c r="H2312" s="1" t="inlineStr">
        <is>
          <t>ООО "Амур Золото"</t>
        </is>
      </c>
      <c r="I2312" s="1" t="inlineStr">
        <is>
          <t>2708001686</t>
        </is>
      </c>
      <c r="J2312" s="1" t="inlineStr">
        <is>
          <t>ЮГОК ГРР 26-01</t>
        </is>
      </c>
      <c r="K2312" s="1" t="inlineStr">
        <is>
          <t>Использование (применение) средств индивидуальной защиты</t>
        </is>
      </c>
      <c r="L2312" s="1" t="inlineStr">
        <is>
          <t>23.05.2026</t>
        </is>
      </c>
      <c r="M2312" s="1" t="inlineStr">
        <is>
          <t>Успешно</t>
        </is>
      </c>
      <c r="N2312" s="1" t="inlineStr">
        <is>
          <t>25.05.2026</t>
        </is>
      </c>
      <c r="O2312" s="1" t="inlineStr"/>
      <c r="P2312" s="1" t="inlineStr"/>
      <c r="Q2312" s="1" t="inlineStr">
        <is>
          <t>Пользовательский интерфейс</t>
        </is>
      </c>
    </row>
    <row r="2313">
      <c r="B2313" s="1" t="inlineStr">
        <is>
          <t>197822368</t>
        </is>
      </c>
      <c r="C2313" s="1" t="inlineStr">
        <is>
          <t>14313485</t>
        </is>
      </c>
      <c r="D2313" t="inlineStr">
        <is>
          <t>работник 713</t>
        </is>
      </c>
      <c r="E2313" s="1" t="inlineStr">
        <is>
          <t>ОБЩЕСТВО С ОГРАНИЧЕННОЙ ОТВЕТСТВЕННОСТЬЮ "АМУР ЗОЛОТО"</t>
        </is>
      </c>
      <c r="F2313" s="1" t="inlineStr">
        <is>
          <t>2708001686</t>
        </is>
      </c>
      <c r="G2313" s="1" t="inlineStr">
        <is>
          <t>Слесарь-электрик по ремонту электрооборудования</t>
        </is>
      </c>
      <c r="H2313" s="1" t="inlineStr">
        <is>
          <t>ООО "Амур Золото"</t>
        </is>
      </c>
      <c r="I2313" s="1" t="inlineStr">
        <is>
          <t>2708001686</t>
        </is>
      </c>
      <c r="J2313" s="1" t="inlineStr">
        <is>
          <t>ЮГОК ГРР 26-01</t>
        </is>
      </c>
      <c r="K231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313" s="1" t="inlineStr">
        <is>
          <t>23.05.2026</t>
        </is>
      </c>
      <c r="M2313" s="1" t="inlineStr">
        <is>
          <t>Успешно</t>
        </is>
      </c>
      <c r="N2313" s="1" t="inlineStr">
        <is>
          <t>25.05.2026</t>
        </is>
      </c>
      <c r="O2313" s="1" t="inlineStr"/>
      <c r="P2313" s="1" t="inlineStr"/>
      <c r="Q2313" s="1" t="inlineStr">
        <is>
          <t>Пользовательский интерфейс</t>
        </is>
      </c>
    </row>
    <row r="2314">
      <c r="B2314" s="1" t="inlineStr">
        <is>
          <t>197822369</t>
        </is>
      </c>
      <c r="C2314" s="1" t="inlineStr">
        <is>
          <t>14313485</t>
        </is>
      </c>
      <c r="D2314" t="inlineStr">
        <is>
          <t>работник 715</t>
        </is>
      </c>
      <c r="E2314" s="1" t="inlineStr">
        <is>
          <t>ОБЩЕСТВО С ОГРАНИЧЕННОЙ ОТВЕТСТВЕННОСТЬЮ "АМУР ЗОЛОТО"</t>
        </is>
      </c>
      <c r="F2314" s="1" t="inlineStr">
        <is>
          <t>2708001686</t>
        </is>
      </c>
      <c r="G2314" s="1" t="inlineStr">
        <is>
          <t>Промывальщик геологических проб</t>
        </is>
      </c>
      <c r="H2314" s="1" t="inlineStr">
        <is>
          <t>ООО "Амур Золото"</t>
        </is>
      </c>
      <c r="I2314" s="1" t="inlineStr">
        <is>
          <t>2708001686</t>
        </is>
      </c>
      <c r="J2314" s="1" t="inlineStr">
        <is>
          <t>ЮГОК ГРР 26-01</t>
        </is>
      </c>
      <c r="K2314" s="1" t="inlineStr">
        <is>
          <t>Использование (применение) средств индивидуальной защиты</t>
        </is>
      </c>
      <c r="L2314" s="1" t="inlineStr">
        <is>
          <t>23.05.2026</t>
        </is>
      </c>
      <c r="M2314" s="1" t="inlineStr">
        <is>
          <t>Успешно</t>
        </is>
      </c>
      <c r="N2314" s="1" t="inlineStr">
        <is>
          <t>25.05.2026</t>
        </is>
      </c>
      <c r="O2314" s="1" t="inlineStr"/>
      <c r="P2314" s="1" t="inlineStr"/>
      <c r="Q2314" s="1" t="inlineStr">
        <is>
          <t>Пользовательский интерфейс</t>
        </is>
      </c>
    </row>
    <row r="2315">
      <c r="B2315" s="1" t="inlineStr">
        <is>
          <t>197822370</t>
        </is>
      </c>
      <c r="C2315" s="1" t="inlineStr">
        <is>
          <t>14313485</t>
        </is>
      </c>
      <c r="D2315" t="inlineStr">
        <is>
          <t>работник 715</t>
        </is>
      </c>
      <c r="E2315" s="1" t="inlineStr">
        <is>
          <t>ОБЩЕСТВО С ОГРАНИЧЕННОЙ ОТВЕТСТВЕННОСТЬЮ "АМУР ЗОЛОТО"</t>
        </is>
      </c>
      <c r="F2315" s="1" t="inlineStr">
        <is>
          <t>2708001686</t>
        </is>
      </c>
      <c r="G2315" s="1" t="inlineStr">
        <is>
          <t>Промывальщик геологических проб</t>
        </is>
      </c>
      <c r="H2315" s="1" t="inlineStr">
        <is>
          <t>ООО "Амур Золото"</t>
        </is>
      </c>
      <c r="I2315" s="1" t="inlineStr">
        <is>
          <t>2708001686</t>
        </is>
      </c>
      <c r="J2315" s="1" t="inlineStr">
        <is>
          <t>ЮГОК ГРР 26-01</t>
        </is>
      </c>
      <c r="K231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315" s="1" t="inlineStr">
        <is>
          <t>23.05.2026</t>
        </is>
      </c>
      <c r="M2315" s="1" t="inlineStr">
        <is>
          <t>Успешно</t>
        </is>
      </c>
      <c r="N2315" s="1" t="inlineStr">
        <is>
          <t>25.05.2026</t>
        </is>
      </c>
      <c r="O2315" s="1" t="inlineStr"/>
      <c r="P2315" s="1" t="inlineStr"/>
      <c r="Q2315" s="1" t="inlineStr">
        <is>
          <t>Пользовательский интерфейс</t>
        </is>
      </c>
    </row>
    <row r="2316">
      <c r="B2316" s="1" t="inlineStr">
        <is>
          <t>197822371</t>
        </is>
      </c>
      <c r="C2316" s="1" t="inlineStr">
        <is>
          <t>14313485</t>
        </is>
      </c>
      <c r="D2316" t="inlineStr">
        <is>
          <t>работник 716</t>
        </is>
      </c>
      <c r="E2316" s="1" t="inlineStr">
        <is>
          <t>ОБЩЕСТВО С ОГРАНИЧЕННОЙ ОТВЕТСТВЕННОСТЬЮ "АМУР ЗОЛОТО"</t>
        </is>
      </c>
      <c r="F2316" s="1" t="inlineStr">
        <is>
          <t>2708001686</t>
        </is>
      </c>
      <c r="G2316" s="1" t="inlineStr">
        <is>
          <t>Слесарь-электрик по ремонту электрооборудования</t>
        </is>
      </c>
      <c r="H2316" s="1" t="inlineStr">
        <is>
          <t>ООО "Амур Золото"</t>
        </is>
      </c>
      <c r="I2316" s="1" t="inlineStr">
        <is>
          <t>2708001686</t>
        </is>
      </c>
      <c r="J2316" s="1" t="inlineStr">
        <is>
          <t>ЮГОК ГРР 26-01</t>
        </is>
      </c>
      <c r="K2316" s="1" t="inlineStr">
        <is>
          <t>Использование (применение) средств индивидуальной защиты</t>
        </is>
      </c>
      <c r="L2316" s="1" t="inlineStr">
        <is>
          <t>23.05.2026</t>
        </is>
      </c>
      <c r="M2316" s="1" t="inlineStr">
        <is>
          <t>Успешно</t>
        </is>
      </c>
      <c r="N2316" s="1" t="inlineStr">
        <is>
          <t>25.05.2026</t>
        </is>
      </c>
      <c r="O2316" s="1" t="inlineStr"/>
      <c r="P2316" s="1" t="inlineStr"/>
      <c r="Q2316" s="1" t="inlineStr">
        <is>
          <t>Пользовательский интерфейс</t>
        </is>
      </c>
    </row>
    <row r="2317">
      <c r="B2317" s="1" t="inlineStr">
        <is>
          <t>197822372</t>
        </is>
      </c>
      <c r="C2317" s="1" t="inlineStr">
        <is>
          <t>14313485</t>
        </is>
      </c>
      <c r="D2317" t="inlineStr">
        <is>
          <t>работник 716</t>
        </is>
      </c>
      <c r="E2317" s="1" t="inlineStr">
        <is>
          <t>ОБЩЕСТВО С ОГРАНИЧЕННОЙ ОТВЕТСТВЕННОСТЬЮ "АМУР ЗОЛОТО"</t>
        </is>
      </c>
      <c r="F2317" s="1" t="inlineStr">
        <is>
          <t>2708001686</t>
        </is>
      </c>
      <c r="G2317" s="1" t="inlineStr">
        <is>
          <t>Слесарь-электрик по ремонту электрооборудования</t>
        </is>
      </c>
      <c r="H2317" s="1" t="inlineStr">
        <is>
          <t>ООО "Амур Золото"</t>
        </is>
      </c>
      <c r="I2317" s="1" t="inlineStr">
        <is>
          <t>2708001686</t>
        </is>
      </c>
      <c r="J2317" s="1" t="inlineStr">
        <is>
          <t>ЮГОК ГРР 26-01</t>
        </is>
      </c>
      <c r="K231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317" s="1" t="inlineStr">
        <is>
          <t>23.05.2026</t>
        </is>
      </c>
      <c r="M2317" s="1" t="inlineStr">
        <is>
          <t>Успешно</t>
        </is>
      </c>
      <c r="N2317" s="1" t="inlineStr">
        <is>
          <t>25.05.2026</t>
        </is>
      </c>
      <c r="O2317" s="1" t="inlineStr"/>
      <c r="P2317" s="1" t="inlineStr"/>
      <c r="Q2317" s="1" t="inlineStr">
        <is>
          <t>Пользовательский интерфейс</t>
        </is>
      </c>
    </row>
    <row r="2318">
      <c r="B2318" s="1" t="inlineStr">
        <is>
          <t>197822373</t>
        </is>
      </c>
      <c r="C2318" s="1" t="inlineStr">
        <is>
          <t>14313485</t>
        </is>
      </c>
      <c r="D2318" t="inlineStr">
        <is>
          <t>работник 717</t>
        </is>
      </c>
      <c r="E2318" s="1" t="inlineStr">
        <is>
          <t>ОБЩЕСТВО С ОГРАНИЧЕННОЙ ОТВЕТСТВЕННОСТЬЮ "АМУР ЗОЛОТО"</t>
        </is>
      </c>
      <c r="F2318" s="1" t="inlineStr">
        <is>
          <t>2708001686</t>
        </is>
      </c>
      <c r="G2318" s="1" t="inlineStr">
        <is>
          <t>Водитель автомобиля (категория С)</t>
        </is>
      </c>
      <c r="H2318" s="1" t="inlineStr">
        <is>
          <t>ООО "Амур Золото"</t>
        </is>
      </c>
      <c r="I2318" s="1" t="inlineStr">
        <is>
          <t>2708001686</t>
        </is>
      </c>
      <c r="J2318" s="1" t="inlineStr">
        <is>
          <t>ЮГОК ГРР 26-01</t>
        </is>
      </c>
      <c r="K2318" s="1" t="inlineStr">
        <is>
          <t>Использование (применение) средств индивидуальной защиты</t>
        </is>
      </c>
      <c r="L2318" s="1" t="inlineStr">
        <is>
          <t>23.05.2026</t>
        </is>
      </c>
      <c r="M2318" s="1" t="inlineStr">
        <is>
          <t>Успешно</t>
        </is>
      </c>
      <c r="N2318" s="1" t="inlineStr">
        <is>
          <t>25.05.2026</t>
        </is>
      </c>
      <c r="O2318" s="1" t="inlineStr"/>
      <c r="P2318" s="1" t="inlineStr"/>
      <c r="Q2318" s="1" t="inlineStr">
        <is>
          <t>Пользовательский интерфейс</t>
        </is>
      </c>
    </row>
    <row r="2319">
      <c r="B2319" s="1" t="inlineStr">
        <is>
          <t>197822374</t>
        </is>
      </c>
      <c r="C2319" s="1" t="inlineStr">
        <is>
          <t>14313485</t>
        </is>
      </c>
      <c r="D2319" t="inlineStr">
        <is>
          <t>работник 717</t>
        </is>
      </c>
      <c r="E2319" s="1" t="inlineStr">
        <is>
          <t>ОБЩЕСТВО С ОГРАНИЧЕННОЙ ОТВЕТСТВЕННОСТЬЮ "АМУР ЗОЛОТО"</t>
        </is>
      </c>
      <c r="F2319" s="1" t="inlineStr">
        <is>
          <t>2708001686</t>
        </is>
      </c>
      <c r="G2319" s="1" t="inlineStr">
        <is>
          <t>Водитель автомобиля (категория С)</t>
        </is>
      </c>
      <c r="H2319" s="1" t="inlineStr">
        <is>
          <t>ООО "Амур Золото"</t>
        </is>
      </c>
      <c r="I2319" s="1" t="inlineStr">
        <is>
          <t>2708001686</t>
        </is>
      </c>
      <c r="J2319" s="1" t="inlineStr">
        <is>
          <t>ЮГОК ГРР 26-01</t>
        </is>
      </c>
      <c r="K231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319" s="1" t="inlineStr">
        <is>
          <t>23.05.2026</t>
        </is>
      </c>
      <c r="M2319" s="1" t="inlineStr">
        <is>
          <t>Успешно</t>
        </is>
      </c>
      <c r="N2319" s="1" t="inlineStr">
        <is>
          <t>25.05.2026</t>
        </is>
      </c>
      <c r="O2319" s="1" t="inlineStr"/>
      <c r="P2319" s="1" t="inlineStr"/>
      <c r="Q2319" s="1" t="inlineStr">
        <is>
          <t>Пользовательский интерфейс</t>
        </is>
      </c>
    </row>
    <row r="2320">
      <c r="B2320" s="1" t="inlineStr">
        <is>
          <t>197822375</t>
        </is>
      </c>
      <c r="C2320" s="1" t="inlineStr">
        <is>
          <t>14313485</t>
        </is>
      </c>
      <c r="D2320" t="inlineStr">
        <is>
          <t>работник 718</t>
        </is>
      </c>
      <c r="E2320" s="1" t="inlineStr">
        <is>
          <t>ОБЩЕСТВО С ОГРАНИЧЕННОЙ ОТВЕТСТВЕННОСТЬЮ "АМУР ЗОЛОТО"</t>
        </is>
      </c>
      <c r="F2320" s="1" t="inlineStr">
        <is>
          <t>2708001686</t>
        </is>
      </c>
      <c r="G2320" s="1" t="inlineStr">
        <is>
          <t>Горнорабочий</t>
        </is>
      </c>
      <c r="H2320" s="1" t="inlineStr">
        <is>
          <t>ООО "Амур Золото"</t>
        </is>
      </c>
      <c r="I2320" s="1" t="inlineStr">
        <is>
          <t>2708001686</t>
        </is>
      </c>
      <c r="J2320" s="1" t="inlineStr">
        <is>
          <t>ЮГОК ГРР 26-01</t>
        </is>
      </c>
      <c r="K2320" s="1" t="inlineStr">
        <is>
          <t>Использование (применение) средств индивидуальной защиты</t>
        </is>
      </c>
      <c r="L2320" s="1" t="inlineStr">
        <is>
          <t>23.05.2026</t>
        </is>
      </c>
      <c r="M2320" s="1" t="inlineStr">
        <is>
          <t>Успешно</t>
        </is>
      </c>
      <c r="N2320" s="1" t="inlineStr">
        <is>
          <t>25.05.2026</t>
        </is>
      </c>
      <c r="O2320" s="1" t="inlineStr"/>
      <c r="P2320" s="1" t="inlineStr"/>
      <c r="Q2320" s="1" t="inlineStr">
        <is>
          <t>Пользовательский интерфейс</t>
        </is>
      </c>
    </row>
    <row r="2321">
      <c r="B2321" s="1" t="inlineStr">
        <is>
          <t>197822376</t>
        </is>
      </c>
      <c r="C2321" s="1" t="inlineStr">
        <is>
          <t>14313485</t>
        </is>
      </c>
      <c r="D2321" t="inlineStr">
        <is>
          <t>работник 718</t>
        </is>
      </c>
      <c r="E2321" s="1" t="inlineStr">
        <is>
          <t>ОБЩЕСТВО С ОГРАНИЧЕННОЙ ОТВЕТСТВЕННОСТЬЮ "АМУР ЗОЛОТО"</t>
        </is>
      </c>
      <c r="F2321" s="1" t="inlineStr">
        <is>
          <t>2708001686</t>
        </is>
      </c>
      <c r="G2321" s="1" t="inlineStr">
        <is>
          <t>Горнорабочий</t>
        </is>
      </c>
      <c r="H2321" s="1" t="inlineStr">
        <is>
          <t>ООО "Амур Золото"</t>
        </is>
      </c>
      <c r="I2321" s="1" t="inlineStr">
        <is>
          <t>2708001686</t>
        </is>
      </c>
      <c r="J2321" s="1" t="inlineStr">
        <is>
          <t>ЮГОК ГРР 26-01</t>
        </is>
      </c>
      <c r="K232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321" s="1" t="inlineStr">
        <is>
          <t>23.05.2026</t>
        </is>
      </c>
      <c r="M2321" s="1" t="inlineStr">
        <is>
          <t>Успешно</t>
        </is>
      </c>
      <c r="N2321" s="1" t="inlineStr">
        <is>
          <t>25.05.2026</t>
        </is>
      </c>
      <c r="O2321" s="1" t="inlineStr"/>
      <c r="P2321" s="1" t="inlineStr"/>
      <c r="Q2321" s="1" t="inlineStr">
        <is>
          <t>Пользовательский интерфейс</t>
        </is>
      </c>
    </row>
    <row r="2322">
      <c r="B2322" s="1" t="inlineStr">
        <is>
          <t>197822377</t>
        </is>
      </c>
      <c r="C2322" s="1" t="inlineStr">
        <is>
          <t>14313485</t>
        </is>
      </c>
      <c r="D2322" t="inlineStr">
        <is>
          <t>работник 719</t>
        </is>
      </c>
      <c r="E2322" s="1" t="inlineStr">
        <is>
          <t>ОБЩЕСТВО С ОГРАНИЧЕННОЙ ОТВЕТСТВЕННОСТЬЮ "АМУР ЗОЛОТО"</t>
        </is>
      </c>
      <c r="F2322" s="1" t="inlineStr">
        <is>
          <t>2708001686</t>
        </is>
      </c>
      <c r="G2322" s="1" t="inlineStr">
        <is>
          <t>Водитель автомобиля (с правом управления КМУ)</t>
        </is>
      </c>
      <c r="H2322" s="1" t="inlineStr">
        <is>
          <t>ООО "Амур Золото"</t>
        </is>
      </c>
      <c r="I2322" s="1" t="inlineStr">
        <is>
          <t>2708001686</t>
        </is>
      </c>
      <c r="J2322" s="1" t="inlineStr">
        <is>
          <t>ЮГОК ГРР 26-01</t>
        </is>
      </c>
      <c r="K2322" s="1" t="inlineStr">
        <is>
          <t>Использование (применение) средств индивидуальной защиты</t>
        </is>
      </c>
      <c r="L2322" s="1" t="inlineStr">
        <is>
          <t>23.05.2026</t>
        </is>
      </c>
      <c r="M2322" s="1" t="inlineStr">
        <is>
          <t>Успешно</t>
        </is>
      </c>
      <c r="N2322" s="1" t="inlineStr">
        <is>
          <t>25.05.2026</t>
        </is>
      </c>
      <c r="O2322" s="1" t="inlineStr"/>
      <c r="P2322" s="1" t="inlineStr"/>
      <c r="Q2322" s="1" t="inlineStr">
        <is>
          <t>Пользовательский интерфейс</t>
        </is>
      </c>
    </row>
    <row r="2323">
      <c r="B2323" s="1" t="inlineStr">
        <is>
          <t>197822378</t>
        </is>
      </c>
      <c r="C2323" s="1" t="inlineStr">
        <is>
          <t>14313485</t>
        </is>
      </c>
      <c r="D2323" t="inlineStr">
        <is>
          <t>работник 719</t>
        </is>
      </c>
      <c r="E2323" s="1" t="inlineStr">
        <is>
          <t>ОБЩЕСТВО С ОГРАНИЧЕННОЙ ОТВЕТСТВЕННОСТЬЮ "АМУР ЗОЛОТО"</t>
        </is>
      </c>
      <c r="F2323" s="1" t="inlineStr">
        <is>
          <t>2708001686</t>
        </is>
      </c>
      <c r="G2323" s="1" t="inlineStr">
        <is>
          <t>Водитель автомобиля (с правом управления КМУ)</t>
        </is>
      </c>
      <c r="H2323" s="1" t="inlineStr">
        <is>
          <t>ООО "Амур Золото"</t>
        </is>
      </c>
      <c r="I2323" s="1" t="inlineStr">
        <is>
          <t>2708001686</t>
        </is>
      </c>
      <c r="J2323" s="1" t="inlineStr">
        <is>
          <t>ЮГОК ГРР 26-01</t>
        </is>
      </c>
      <c r="K232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323" s="1" t="inlineStr">
        <is>
          <t>23.05.2026</t>
        </is>
      </c>
      <c r="M2323" s="1" t="inlineStr">
        <is>
          <t>Успешно</t>
        </is>
      </c>
      <c r="N2323" s="1" t="inlineStr">
        <is>
          <t>25.05.2026</t>
        </is>
      </c>
      <c r="O2323" s="1" t="inlineStr"/>
      <c r="P2323" s="1" t="inlineStr"/>
      <c r="Q2323" s="1" t="inlineStr">
        <is>
          <t>Пользовательский интерфейс</t>
        </is>
      </c>
    </row>
    <row r="2324">
      <c r="B2324" s="1" t="inlineStr">
        <is>
          <t>197822379</t>
        </is>
      </c>
      <c r="C2324" s="1" t="inlineStr">
        <is>
          <t>14313485</t>
        </is>
      </c>
      <c r="D2324" t="inlineStr">
        <is>
          <t>работник 720</t>
        </is>
      </c>
      <c r="E2324" s="1" t="inlineStr">
        <is>
          <t>ОБЩЕСТВО С ОГРАНИЧЕННОЙ ОТВЕТСТВЕННОСТЬЮ "АМУР ЗОЛОТО"</t>
        </is>
      </c>
      <c r="F2324" s="1" t="inlineStr">
        <is>
          <t>2708001686</t>
        </is>
      </c>
      <c r="G2324" s="1" t="inlineStr">
        <is>
          <t>Помощник машиниста буровой установки</t>
        </is>
      </c>
      <c r="H2324" s="1" t="inlineStr">
        <is>
          <t>ООО "Амур Золото"</t>
        </is>
      </c>
      <c r="I2324" s="1" t="inlineStr">
        <is>
          <t>2708001686</t>
        </is>
      </c>
      <c r="J2324" s="1" t="inlineStr">
        <is>
          <t>ЮГОК ГРР 26-01</t>
        </is>
      </c>
      <c r="K2324" s="1" t="inlineStr">
        <is>
          <t>Использование (применение) средств индивидуальной защиты</t>
        </is>
      </c>
      <c r="L2324" s="1" t="inlineStr">
        <is>
          <t>23.05.2026</t>
        </is>
      </c>
      <c r="M2324" s="1" t="inlineStr">
        <is>
          <t>Успешно</t>
        </is>
      </c>
      <c r="N2324" s="1" t="inlineStr">
        <is>
          <t>25.05.2026</t>
        </is>
      </c>
      <c r="O2324" s="1" t="inlineStr"/>
      <c r="P2324" s="1" t="inlineStr"/>
      <c r="Q2324" s="1" t="inlineStr">
        <is>
          <t>Пользовательский интерфейс</t>
        </is>
      </c>
    </row>
    <row r="2325">
      <c r="B2325" s="1" t="inlineStr">
        <is>
          <t>197822380</t>
        </is>
      </c>
      <c r="C2325" s="1" t="inlineStr">
        <is>
          <t>14313485</t>
        </is>
      </c>
      <c r="D2325" t="inlineStr">
        <is>
          <t>работник 720</t>
        </is>
      </c>
      <c r="E2325" s="1" t="inlineStr">
        <is>
          <t>ОБЩЕСТВО С ОГРАНИЧЕННОЙ ОТВЕТСТВЕННОСТЬЮ "АМУР ЗОЛОТО"</t>
        </is>
      </c>
      <c r="F2325" s="1" t="inlineStr">
        <is>
          <t>2708001686</t>
        </is>
      </c>
      <c r="G2325" s="1" t="inlineStr">
        <is>
          <t>Помощник машиниста буровой установки</t>
        </is>
      </c>
      <c r="H2325" s="1" t="inlineStr">
        <is>
          <t>ООО "Амур Золото"</t>
        </is>
      </c>
      <c r="I2325" s="1" t="inlineStr">
        <is>
          <t>2708001686</t>
        </is>
      </c>
      <c r="J2325" s="1" t="inlineStr">
        <is>
          <t>ЮГОК ГРР 26-01</t>
        </is>
      </c>
      <c r="K232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325" s="1" t="inlineStr">
        <is>
          <t>23.05.2026</t>
        </is>
      </c>
      <c r="M2325" s="1" t="inlineStr">
        <is>
          <t>Успешно</t>
        </is>
      </c>
      <c r="N2325" s="1" t="inlineStr">
        <is>
          <t>25.05.2026</t>
        </is>
      </c>
      <c r="O2325" s="1" t="inlineStr"/>
      <c r="P2325" s="1" t="inlineStr"/>
      <c r="Q2325" s="1" t="inlineStr">
        <is>
          <t>Пользовательский интерфейс</t>
        </is>
      </c>
    </row>
    <row r="2326">
      <c r="B2326" s="1" t="inlineStr">
        <is>
          <t>197822381</t>
        </is>
      </c>
      <c r="C2326" s="1" t="inlineStr">
        <is>
          <t>14313485</t>
        </is>
      </c>
      <c r="D2326" t="inlineStr">
        <is>
          <t>работник 721</t>
        </is>
      </c>
      <c r="E2326" s="1" t="inlineStr">
        <is>
          <t>ОБЩЕСТВО С ОГРАНИЧЕННОЙ ОТВЕТСТВЕННОСТЬЮ "АМУР ЗОЛОТО"</t>
        </is>
      </c>
      <c r="F2326" s="1" t="inlineStr">
        <is>
          <t>2708001686</t>
        </is>
      </c>
      <c r="G2326" s="1" t="inlineStr">
        <is>
          <t>Топограф</t>
        </is>
      </c>
      <c r="H2326" s="1" t="inlineStr">
        <is>
          <t>ООО "Амур Золото"</t>
        </is>
      </c>
      <c r="I2326" s="1" t="inlineStr">
        <is>
          <t>2708001686</t>
        </is>
      </c>
      <c r="J2326" s="1" t="inlineStr">
        <is>
          <t>ЮГОК ГРР 26-01</t>
        </is>
      </c>
      <c r="K2326" s="1" t="inlineStr">
        <is>
          <t>Использование (применение) средств индивидуальной защиты</t>
        </is>
      </c>
      <c r="L2326" s="1" t="inlineStr">
        <is>
          <t>23.05.2026</t>
        </is>
      </c>
      <c r="M2326" s="1" t="inlineStr">
        <is>
          <t>Успешно</t>
        </is>
      </c>
      <c r="N2326" s="1" t="inlineStr">
        <is>
          <t>25.05.2026</t>
        </is>
      </c>
      <c r="O2326" s="1" t="inlineStr"/>
      <c r="P2326" s="1" t="inlineStr"/>
      <c r="Q2326" s="1" t="inlineStr">
        <is>
          <t>Пользовательский интерфейс</t>
        </is>
      </c>
    </row>
    <row r="2327">
      <c r="B2327" s="1" t="inlineStr">
        <is>
          <t>197822382</t>
        </is>
      </c>
      <c r="C2327" s="1" t="inlineStr">
        <is>
          <t>14313485</t>
        </is>
      </c>
      <c r="D2327" t="inlineStr">
        <is>
          <t>работник 721</t>
        </is>
      </c>
      <c r="E2327" s="1" t="inlineStr">
        <is>
          <t>ОБЩЕСТВО С ОГРАНИЧЕННОЙ ОТВЕТСТВЕННОСТЬЮ "АМУР ЗОЛОТО"</t>
        </is>
      </c>
      <c r="F2327" s="1" t="inlineStr">
        <is>
          <t>2708001686</t>
        </is>
      </c>
      <c r="G2327" s="1" t="inlineStr">
        <is>
          <t>Топограф</t>
        </is>
      </c>
      <c r="H2327" s="1" t="inlineStr">
        <is>
          <t>ООО "Амур Золото"</t>
        </is>
      </c>
      <c r="I2327" s="1" t="inlineStr">
        <is>
          <t>2708001686</t>
        </is>
      </c>
      <c r="J2327" s="1" t="inlineStr">
        <is>
          <t>ЮГОК ГРР 26-01</t>
        </is>
      </c>
      <c r="K232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327" s="1" t="inlineStr">
        <is>
          <t>23.05.2026</t>
        </is>
      </c>
      <c r="M2327" s="1" t="inlineStr">
        <is>
          <t>Успешно</t>
        </is>
      </c>
      <c r="N2327" s="1" t="inlineStr">
        <is>
          <t>25.05.2026</t>
        </is>
      </c>
      <c r="O2327" s="1" t="inlineStr"/>
      <c r="P2327" s="1" t="inlineStr"/>
      <c r="Q2327" s="1" t="inlineStr">
        <is>
          <t>Пользовательский интерфейс</t>
        </is>
      </c>
    </row>
    <row r="2328">
      <c r="B2328" s="1" t="inlineStr">
        <is>
          <t>197822383</t>
        </is>
      </c>
      <c r="C2328" s="1" t="inlineStr">
        <is>
          <t>14313485</t>
        </is>
      </c>
      <c r="D2328" t="inlineStr">
        <is>
          <t>работник 722</t>
        </is>
      </c>
      <c r="E2328" s="1" t="inlineStr">
        <is>
          <t>ОБЩЕСТВО С ОГРАНИЧЕННОЙ ОТВЕТСТВЕННОСТЬЮ "АМУР ЗОЛОТО"</t>
        </is>
      </c>
      <c r="F2328" s="1" t="inlineStr">
        <is>
          <t>2708001686</t>
        </is>
      </c>
      <c r="G2328" s="1" t="inlineStr">
        <is>
          <t>Помощник машиниста буровой установки</t>
        </is>
      </c>
      <c r="H2328" s="1" t="inlineStr">
        <is>
          <t>ООО "Амур Золото"</t>
        </is>
      </c>
      <c r="I2328" s="1" t="inlineStr">
        <is>
          <t>2708001686</t>
        </is>
      </c>
      <c r="J2328" s="1" t="inlineStr">
        <is>
          <t>ЮГОК ГРР 26-01</t>
        </is>
      </c>
      <c r="K2328" s="1" t="inlineStr">
        <is>
          <t>Использование (применение) средств индивидуальной защиты</t>
        </is>
      </c>
      <c r="L2328" s="1" t="inlineStr">
        <is>
          <t>23.05.2026</t>
        </is>
      </c>
      <c r="M2328" s="1" t="inlineStr">
        <is>
          <t>Успешно</t>
        </is>
      </c>
      <c r="N2328" s="1" t="inlineStr">
        <is>
          <t>25.05.2026</t>
        </is>
      </c>
      <c r="O2328" s="1" t="inlineStr"/>
      <c r="P2328" s="1" t="inlineStr"/>
      <c r="Q2328" s="1" t="inlineStr">
        <is>
          <t>Пользовательский интерфейс</t>
        </is>
      </c>
    </row>
    <row r="2329">
      <c r="B2329" s="1" t="inlineStr">
        <is>
          <t>197822384</t>
        </is>
      </c>
      <c r="C2329" s="1" t="inlineStr">
        <is>
          <t>14313485</t>
        </is>
      </c>
      <c r="D2329" t="inlineStr">
        <is>
          <t>работник 722</t>
        </is>
      </c>
      <c r="E2329" s="1" t="inlineStr">
        <is>
          <t>ОБЩЕСТВО С ОГРАНИЧЕННОЙ ОТВЕТСТВЕННОСТЬЮ "АМУР ЗОЛОТО"</t>
        </is>
      </c>
      <c r="F2329" s="1" t="inlineStr">
        <is>
          <t>2708001686</t>
        </is>
      </c>
      <c r="G2329" s="1" t="inlineStr">
        <is>
          <t>Помощник машиниста буровой установки</t>
        </is>
      </c>
      <c r="H2329" s="1" t="inlineStr">
        <is>
          <t>ООО "Амур Золото"</t>
        </is>
      </c>
      <c r="I2329" s="1" t="inlineStr">
        <is>
          <t>2708001686</t>
        </is>
      </c>
      <c r="J2329" s="1" t="inlineStr">
        <is>
          <t>ЮГОК ГРР 26-01</t>
        </is>
      </c>
      <c r="K232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329" s="1" t="inlineStr">
        <is>
          <t>23.05.2026</t>
        </is>
      </c>
      <c r="M2329" s="1" t="inlineStr">
        <is>
          <t>Успешно</t>
        </is>
      </c>
      <c r="N2329" s="1" t="inlineStr">
        <is>
          <t>25.05.2026</t>
        </is>
      </c>
      <c r="O2329" s="1" t="inlineStr"/>
      <c r="P2329" s="1" t="inlineStr"/>
      <c r="Q2329" s="1" t="inlineStr">
        <is>
          <t>Пользовательский интерфейс</t>
        </is>
      </c>
    </row>
    <row r="2330">
      <c r="B2330" s="1" t="inlineStr">
        <is>
          <t>197822385</t>
        </is>
      </c>
      <c r="C2330" s="1" t="inlineStr">
        <is>
          <t>14313485</t>
        </is>
      </c>
      <c r="D2330" t="inlineStr">
        <is>
          <t>работник 723</t>
        </is>
      </c>
      <c r="E2330" s="1" t="inlineStr">
        <is>
          <t>ОБЩЕСТВО С ОГРАНИЧЕННОЙ ОТВЕТСТВЕННОСТЬЮ "АМУР ЗОЛОТО"</t>
        </is>
      </c>
      <c r="F2330" s="1" t="inlineStr">
        <is>
          <t>2708001686</t>
        </is>
      </c>
      <c r="G2330" s="1" t="inlineStr">
        <is>
          <t>Участковый геолог</t>
        </is>
      </c>
      <c r="H2330" s="1" t="inlineStr">
        <is>
          <t>ООО "Амур Золото"</t>
        </is>
      </c>
      <c r="I2330" s="1" t="inlineStr">
        <is>
          <t>2708001686</t>
        </is>
      </c>
      <c r="J2330" s="1" t="inlineStr">
        <is>
          <t>ЮГОК ГРР 26-01</t>
        </is>
      </c>
      <c r="K2330" s="1" t="inlineStr">
        <is>
          <t>Использование (применение) средств индивидуальной защиты</t>
        </is>
      </c>
      <c r="L2330" s="1" t="inlineStr">
        <is>
          <t>23.05.2026</t>
        </is>
      </c>
      <c r="M2330" s="1" t="inlineStr">
        <is>
          <t>Успешно</t>
        </is>
      </c>
      <c r="N2330" s="1" t="inlineStr">
        <is>
          <t>25.05.2026</t>
        </is>
      </c>
      <c r="O2330" s="1" t="inlineStr"/>
      <c r="P2330" s="1" t="inlineStr"/>
      <c r="Q2330" s="1" t="inlineStr">
        <is>
          <t>Пользовательский интерфейс</t>
        </is>
      </c>
    </row>
    <row r="2331">
      <c r="B2331" s="1" t="inlineStr">
        <is>
          <t>197822386</t>
        </is>
      </c>
      <c r="C2331" s="1" t="inlineStr">
        <is>
          <t>14313485</t>
        </is>
      </c>
      <c r="D2331" t="inlineStr">
        <is>
          <t>работник 723</t>
        </is>
      </c>
      <c r="E2331" s="1" t="inlineStr">
        <is>
          <t>ОБЩЕСТВО С ОГРАНИЧЕННОЙ ОТВЕТСТВЕННОСТЬЮ "АМУР ЗОЛОТО"</t>
        </is>
      </c>
      <c r="F2331" s="1" t="inlineStr">
        <is>
          <t>2708001686</t>
        </is>
      </c>
      <c r="G2331" s="1" t="inlineStr">
        <is>
          <t>Участковый геолог</t>
        </is>
      </c>
      <c r="H2331" s="1" t="inlineStr">
        <is>
          <t>ООО "Амур Золото"</t>
        </is>
      </c>
      <c r="I2331" s="1" t="inlineStr">
        <is>
          <t>2708001686</t>
        </is>
      </c>
      <c r="J2331" s="1" t="inlineStr">
        <is>
          <t>ЮГОК ГРР 26-01</t>
        </is>
      </c>
      <c r="K233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331" s="1" t="inlineStr">
        <is>
          <t>23.05.2026</t>
        </is>
      </c>
      <c r="M2331" s="1" t="inlineStr">
        <is>
          <t>Успешно</t>
        </is>
      </c>
      <c r="N2331" s="1" t="inlineStr">
        <is>
          <t>25.05.2026</t>
        </is>
      </c>
      <c r="O2331" s="1" t="inlineStr"/>
      <c r="P2331" s="1" t="inlineStr"/>
      <c r="Q2331" s="1" t="inlineStr">
        <is>
          <t>Пользовательский интерфейс</t>
        </is>
      </c>
    </row>
    <row r="2332">
      <c r="B2332" s="1" t="inlineStr">
        <is>
          <t>197822387</t>
        </is>
      </c>
      <c r="C2332" s="1" t="inlineStr">
        <is>
          <t>14313485</t>
        </is>
      </c>
      <c r="D2332" t="inlineStr">
        <is>
          <t>работник 724</t>
        </is>
      </c>
      <c r="E2332" s="1" t="inlineStr">
        <is>
          <t>ОБЩЕСТВО С ОГРАНИЧЕННОЙ ОТВЕТСТВЕННОСТЬЮ "АМУР ЗОЛОТО"</t>
        </is>
      </c>
      <c r="F2332" s="1" t="inlineStr">
        <is>
          <t>2708001686</t>
        </is>
      </c>
      <c r="G2332" s="1" t="inlineStr">
        <is>
          <t>Машинист бульдозера</t>
        </is>
      </c>
      <c r="H2332" s="1" t="inlineStr">
        <is>
          <t>ООО "Амур Золото"</t>
        </is>
      </c>
      <c r="I2332" s="1" t="inlineStr">
        <is>
          <t>2708001686</t>
        </is>
      </c>
      <c r="J2332" s="1" t="inlineStr">
        <is>
          <t>ЮГОК ГРР 26-01</t>
        </is>
      </c>
      <c r="K2332" s="1" t="inlineStr">
        <is>
          <t>Использование (применение) средств индивидуальной защиты</t>
        </is>
      </c>
      <c r="L2332" s="1" t="inlineStr">
        <is>
          <t>23.05.2026</t>
        </is>
      </c>
      <c r="M2332" s="1" t="inlineStr">
        <is>
          <t>Успешно</t>
        </is>
      </c>
      <c r="N2332" s="1" t="inlineStr">
        <is>
          <t>25.05.2026</t>
        </is>
      </c>
      <c r="O2332" s="1" t="inlineStr"/>
      <c r="P2332" s="1" t="inlineStr"/>
      <c r="Q2332" s="1" t="inlineStr">
        <is>
          <t>Пользовательский интерфейс</t>
        </is>
      </c>
    </row>
    <row r="2333">
      <c r="B2333" s="1" t="inlineStr">
        <is>
          <t>197822388</t>
        </is>
      </c>
      <c r="C2333" s="1" t="inlineStr">
        <is>
          <t>14313485</t>
        </is>
      </c>
      <c r="D2333" t="inlineStr">
        <is>
          <t>работник 724</t>
        </is>
      </c>
      <c r="E2333" s="1" t="inlineStr">
        <is>
          <t>ОБЩЕСТВО С ОГРАНИЧЕННОЙ ОТВЕТСТВЕННОСТЬЮ "АМУР ЗОЛОТО"</t>
        </is>
      </c>
      <c r="F2333" s="1" t="inlineStr">
        <is>
          <t>2708001686</t>
        </is>
      </c>
      <c r="G2333" s="1" t="inlineStr">
        <is>
          <t>Машинист бульдозера</t>
        </is>
      </c>
      <c r="H2333" s="1" t="inlineStr">
        <is>
          <t>ООО "Амур Золото"</t>
        </is>
      </c>
      <c r="I2333" s="1" t="inlineStr">
        <is>
          <t>2708001686</t>
        </is>
      </c>
      <c r="J2333" s="1" t="inlineStr">
        <is>
          <t>ЮГОК ГРР 26-01</t>
        </is>
      </c>
      <c r="K233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333" s="1" t="inlineStr">
        <is>
          <t>23.05.2026</t>
        </is>
      </c>
      <c r="M2333" s="1" t="inlineStr">
        <is>
          <t>Успешно</t>
        </is>
      </c>
      <c r="N2333" s="1" t="inlineStr">
        <is>
          <t>25.05.2026</t>
        </is>
      </c>
      <c r="O2333" s="1" t="inlineStr"/>
      <c r="P2333" s="1" t="inlineStr"/>
      <c r="Q2333" s="1" t="inlineStr">
        <is>
          <t>Пользовательский интерфейс</t>
        </is>
      </c>
    </row>
    <row r="2334">
      <c r="B2334" s="1" t="inlineStr">
        <is>
          <t>197822389</t>
        </is>
      </c>
      <c r="C2334" s="1" t="inlineStr">
        <is>
          <t>14313485</t>
        </is>
      </c>
      <c r="D2334" t="inlineStr">
        <is>
          <t>работник 725</t>
        </is>
      </c>
      <c r="E2334" s="1" t="inlineStr">
        <is>
          <t>ОБЩЕСТВО С ОГРАНИЧЕННОЙ ОТВЕТСТВЕННОСТЬЮ "АМУР ЗОЛОТО"</t>
        </is>
      </c>
      <c r="F2334" s="1" t="inlineStr">
        <is>
          <t>2708001686</t>
        </is>
      </c>
      <c r="G2334" s="1" t="inlineStr">
        <is>
          <t>Участковый геолог</t>
        </is>
      </c>
      <c r="H2334" s="1" t="inlineStr">
        <is>
          <t>ООО "Амур Золото"</t>
        </is>
      </c>
      <c r="I2334" s="1" t="inlineStr">
        <is>
          <t>2708001686</t>
        </is>
      </c>
      <c r="J2334" s="1" t="inlineStr">
        <is>
          <t>ЮГОК ГРР 26-01</t>
        </is>
      </c>
      <c r="K2334" s="1" t="inlineStr">
        <is>
          <t>Использование (применение) средств индивидуальной защиты</t>
        </is>
      </c>
      <c r="L2334" s="1" t="inlineStr">
        <is>
          <t>23.05.2026</t>
        </is>
      </c>
      <c r="M2334" s="1" t="inlineStr">
        <is>
          <t>Успешно</t>
        </is>
      </c>
      <c r="N2334" s="1" t="inlineStr">
        <is>
          <t>25.05.2026</t>
        </is>
      </c>
      <c r="O2334" s="1" t="inlineStr"/>
      <c r="P2334" s="1" t="inlineStr"/>
      <c r="Q2334" s="1" t="inlineStr">
        <is>
          <t>Пользовательский интерфейс</t>
        </is>
      </c>
    </row>
    <row r="2335">
      <c r="B2335" s="1" t="inlineStr">
        <is>
          <t>197822390</t>
        </is>
      </c>
      <c r="C2335" s="1" t="inlineStr">
        <is>
          <t>14313485</t>
        </is>
      </c>
      <c r="D2335" t="inlineStr">
        <is>
          <t>работник 725</t>
        </is>
      </c>
      <c r="E2335" s="1" t="inlineStr">
        <is>
          <t>ОБЩЕСТВО С ОГРАНИЧЕННОЙ ОТВЕТСТВЕННОСТЬЮ "АМУР ЗОЛОТО"</t>
        </is>
      </c>
      <c r="F2335" s="1" t="inlineStr">
        <is>
          <t>2708001686</t>
        </is>
      </c>
      <c r="G2335" s="1" t="inlineStr">
        <is>
          <t>Участковый геолог</t>
        </is>
      </c>
      <c r="H2335" s="1" t="inlineStr">
        <is>
          <t>ООО "Амур Золото"</t>
        </is>
      </c>
      <c r="I2335" s="1" t="inlineStr">
        <is>
          <t>2708001686</t>
        </is>
      </c>
      <c r="J2335" s="1" t="inlineStr">
        <is>
          <t>ЮГОК ГРР 26-01</t>
        </is>
      </c>
      <c r="K233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335" s="1" t="inlineStr">
        <is>
          <t>23.05.2026</t>
        </is>
      </c>
      <c r="M2335" s="1" t="inlineStr">
        <is>
          <t>Успешно</t>
        </is>
      </c>
      <c r="N2335" s="1" t="inlineStr">
        <is>
          <t>25.05.2026</t>
        </is>
      </c>
      <c r="O2335" s="1" t="inlineStr"/>
      <c r="P2335" s="1" t="inlineStr"/>
      <c r="Q2335" s="1" t="inlineStr">
        <is>
          <t>Пользовательский интерфейс</t>
        </is>
      </c>
    </row>
    <row r="2336">
      <c r="B2336" s="1" t="inlineStr">
        <is>
          <t>197822391</t>
        </is>
      </c>
      <c r="C2336" s="1" t="inlineStr">
        <is>
          <t>14313485</t>
        </is>
      </c>
      <c r="D2336" t="inlineStr">
        <is>
          <t>работник 726</t>
        </is>
      </c>
      <c r="E2336" s="1" t="inlineStr">
        <is>
          <t>ОБЩЕСТВО С ОГРАНИЧЕННОЙ ОТВЕТСТВЕННОСТЬЮ "АМУР ЗОЛОТО"</t>
        </is>
      </c>
      <c r="F2336" s="1" t="inlineStr">
        <is>
          <t>2708001686</t>
        </is>
      </c>
      <c r="G2336" s="1" t="inlineStr">
        <is>
          <t>Машинист буровой установки</t>
        </is>
      </c>
      <c r="H2336" s="1" t="inlineStr">
        <is>
          <t>ООО "Амур Золото"</t>
        </is>
      </c>
      <c r="I2336" s="1" t="inlineStr">
        <is>
          <t>2708001686</t>
        </is>
      </c>
      <c r="J2336" s="1" t="inlineStr">
        <is>
          <t>ЮГОК ГРР 26-01</t>
        </is>
      </c>
      <c r="K2336" s="1" t="inlineStr">
        <is>
          <t>Использование (применение) средств индивидуальной защиты</t>
        </is>
      </c>
      <c r="L2336" s="1" t="inlineStr">
        <is>
          <t>23.05.2026</t>
        </is>
      </c>
      <c r="M2336" s="1" t="inlineStr">
        <is>
          <t>Успешно</t>
        </is>
      </c>
      <c r="N2336" s="1" t="inlineStr">
        <is>
          <t>25.05.2026</t>
        </is>
      </c>
      <c r="O2336" s="1" t="inlineStr"/>
      <c r="P2336" s="1" t="inlineStr"/>
      <c r="Q2336" s="1" t="inlineStr">
        <is>
          <t>Пользовательский интерфейс</t>
        </is>
      </c>
    </row>
    <row r="2337">
      <c r="B2337" s="1" t="inlineStr">
        <is>
          <t>197822392</t>
        </is>
      </c>
      <c r="C2337" s="1" t="inlineStr">
        <is>
          <t>14313485</t>
        </is>
      </c>
      <c r="D2337" t="inlineStr">
        <is>
          <t>работник 726</t>
        </is>
      </c>
      <c r="E2337" s="1" t="inlineStr">
        <is>
          <t>ОБЩЕСТВО С ОГРАНИЧЕННОЙ ОТВЕТСТВЕННОСТЬЮ "АМУР ЗОЛОТО"</t>
        </is>
      </c>
      <c r="F2337" s="1" t="inlineStr">
        <is>
          <t>2708001686</t>
        </is>
      </c>
      <c r="G2337" s="1" t="inlineStr">
        <is>
          <t>Машинист буровой установки</t>
        </is>
      </c>
      <c r="H2337" s="1" t="inlineStr">
        <is>
          <t>ООО "Амур Золото"</t>
        </is>
      </c>
      <c r="I2337" s="1" t="inlineStr">
        <is>
          <t>2708001686</t>
        </is>
      </c>
      <c r="J2337" s="1" t="inlineStr">
        <is>
          <t>ЮГОК ГРР 26-01</t>
        </is>
      </c>
      <c r="K233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337" s="1" t="inlineStr">
        <is>
          <t>23.05.2026</t>
        </is>
      </c>
      <c r="M2337" s="1" t="inlineStr">
        <is>
          <t>Успешно</t>
        </is>
      </c>
      <c r="N2337" s="1" t="inlineStr">
        <is>
          <t>25.05.2026</t>
        </is>
      </c>
      <c r="O2337" s="1" t="inlineStr"/>
      <c r="P2337" s="1" t="inlineStr"/>
      <c r="Q2337" s="1" t="inlineStr">
        <is>
          <t>Пользовательский интерфейс</t>
        </is>
      </c>
    </row>
    <row r="2338">
      <c r="B2338" s="1" t="inlineStr">
        <is>
          <t>197822393</t>
        </is>
      </c>
      <c r="C2338" s="1" t="inlineStr">
        <is>
          <t>14313485</t>
        </is>
      </c>
      <c r="D2338" t="inlineStr">
        <is>
          <t>работник 727</t>
        </is>
      </c>
      <c r="E2338" s="1" t="inlineStr">
        <is>
          <t>ОБЩЕСТВО С ОГРАНИЧЕННОЙ ОТВЕТСТВЕННОСТЬЮ "АМУР ЗОЛОТО"</t>
        </is>
      </c>
      <c r="F2338" s="1" t="inlineStr">
        <is>
          <t>2708001686</t>
        </is>
      </c>
      <c r="G2338" s="1" t="inlineStr">
        <is>
          <t>Машинист бульдозера</t>
        </is>
      </c>
      <c r="H2338" s="1" t="inlineStr">
        <is>
          <t>ООО "Амур Золото"</t>
        </is>
      </c>
      <c r="I2338" s="1" t="inlineStr">
        <is>
          <t>2708001686</t>
        </is>
      </c>
      <c r="J2338" s="1" t="inlineStr">
        <is>
          <t>ЮГОК ГРР 26-01</t>
        </is>
      </c>
      <c r="K2338" s="1" t="inlineStr">
        <is>
          <t>Использование (применение) средств индивидуальной защиты</t>
        </is>
      </c>
      <c r="L2338" s="1" t="inlineStr">
        <is>
          <t>23.05.2026</t>
        </is>
      </c>
      <c r="M2338" s="1" t="inlineStr">
        <is>
          <t>Успешно</t>
        </is>
      </c>
      <c r="N2338" s="1" t="inlineStr">
        <is>
          <t>25.05.2026</t>
        </is>
      </c>
      <c r="O2338" s="1" t="inlineStr"/>
      <c r="P2338" s="1" t="inlineStr"/>
      <c r="Q2338" s="1" t="inlineStr">
        <is>
          <t>Пользовательский интерфейс</t>
        </is>
      </c>
    </row>
    <row r="2339">
      <c r="B2339" s="1" t="inlineStr">
        <is>
          <t>197822394</t>
        </is>
      </c>
      <c r="C2339" s="1" t="inlineStr">
        <is>
          <t>14313485</t>
        </is>
      </c>
      <c r="D2339" t="inlineStr">
        <is>
          <t>работник 727</t>
        </is>
      </c>
      <c r="E2339" s="1" t="inlineStr">
        <is>
          <t>ОБЩЕСТВО С ОГРАНИЧЕННОЙ ОТВЕТСТВЕННОСТЬЮ "АМУР ЗОЛОТО"</t>
        </is>
      </c>
      <c r="F2339" s="1" t="inlineStr">
        <is>
          <t>2708001686</t>
        </is>
      </c>
      <c r="G2339" s="1" t="inlineStr">
        <is>
          <t>Машинист бульдозера</t>
        </is>
      </c>
      <c r="H2339" s="1" t="inlineStr">
        <is>
          <t>ООО "Амур Золото"</t>
        </is>
      </c>
      <c r="I2339" s="1" t="inlineStr">
        <is>
          <t>2708001686</t>
        </is>
      </c>
      <c r="J2339" s="1" t="inlineStr">
        <is>
          <t>ЮГОК ГРР 26-01</t>
        </is>
      </c>
      <c r="K233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339" s="1" t="inlineStr">
        <is>
          <t>23.05.2026</t>
        </is>
      </c>
      <c r="M2339" s="1" t="inlineStr">
        <is>
          <t>Успешно</t>
        </is>
      </c>
      <c r="N2339" s="1" t="inlineStr">
        <is>
          <t>25.05.2026</t>
        </is>
      </c>
      <c r="O2339" s="1" t="inlineStr"/>
      <c r="P2339" s="1" t="inlineStr"/>
      <c r="Q2339" s="1" t="inlineStr">
        <is>
          <t>Пользовательский интерфейс</t>
        </is>
      </c>
    </row>
    <row r="2340">
      <c r="B2340" s="1" t="inlineStr">
        <is>
          <t>197822395</t>
        </is>
      </c>
      <c r="C2340" s="1" t="inlineStr">
        <is>
          <t>14313485</t>
        </is>
      </c>
      <c r="D2340" t="inlineStr">
        <is>
          <t>работник 728</t>
        </is>
      </c>
      <c r="E2340" s="1" t="inlineStr">
        <is>
          <t>ОБЩЕСТВО С ОГРАНИЧЕННОЙ ОТВЕТСТВЕННОСТЬЮ "АМУР ЗОЛОТО"</t>
        </is>
      </c>
      <c r="F2340" s="1" t="inlineStr">
        <is>
          <t>2708001686</t>
        </is>
      </c>
      <c r="G2340" s="1" t="inlineStr">
        <is>
          <t>Машинист буровой установки</t>
        </is>
      </c>
      <c r="H2340" s="1" t="inlineStr">
        <is>
          <t>ООО "Амур Золото"</t>
        </is>
      </c>
      <c r="I2340" s="1" t="inlineStr">
        <is>
          <t>2708001686</t>
        </is>
      </c>
      <c r="J2340" s="1" t="inlineStr">
        <is>
          <t>ЮГОК ГРР 26-01</t>
        </is>
      </c>
      <c r="K2340" s="1" t="inlineStr">
        <is>
          <t>Использование (применение) средств индивидуальной защиты</t>
        </is>
      </c>
      <c r="L2340" s="1" t="inlineStr">
        <is>
          <t>23.05.2026</t>
        </is>
      </c>
      <c r="M2340" s="1" t="inlineStr">
        <is>
          <t>Успешно</t>
        </is>
      </c>
      <c r="N2340" s="1" t="inlineStr">
        <is>
          <t>25.05.2026</t>
        </is>
      </c>
      <c r="O2340" s="1" t="inlineStr"/>
      <c r="P2340" s="1" t="inlineStr"/>
      <c r="Q2340" s="1" t="inlineStr">
        <is>
          <t>Пользовательский интерфейс</t>
        </is>
      </c>
    </row>
    <row r="2341">
      <c r="B2341" s="1" t="inlineStr">
        <is>
          <t>197822396</t>
        </is>
      </c>
      <c r="C2341" s="1" t="inlineStr">
        <is>
          <t>14313485</t>
        </is>
      </c>
      <c r="D2341" t="inlineStr">
        <is>
          <t>работник 728</t>
        </is>
      </c>
      <c r="E2341" s="1" t="inlineStr">
        <is>
          <t>ОБЩЕСТВО С ОГРАНИЧЕННОЙ ОТВЕТСТВЕННОСТЬЮ "АМУР ЗОЛОТО"</t>
        </is>
      </c>
      <c r="F2341" s="1" t="inlineStr">
        <is>
          <t>2708001686</t>
        </is>
      </c>
      <c r="G2341" s="1" t="inlineStr">
        <is>
          <t>Машинист буровой установки</t>
        </is>
      </c>
      <c r="H2341" s="1" t="inlineStr">
        <is>
          <t>ООО "Амур Золото"</t>
        </is>
      </c>
      <c r="I2341" s="1" t="inlineStr">
        <is>
          <t>2708001686</t>
        </is>
      </c>
      <c r="J2341" s="1" t="inlineStr">
        <is>
          <t>ЮГОК ГРР 26-01</t>
        </is>
      </c>
      <c r="K234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341" s="1" t="inlineStr">
        <is>
          <t>23.05.2026</t>
        </is>
      </c>
      <c r="M2341" s="1" t="inlineStr">
        <is>
          <t>Успешно</t>
        </is>
      </c>
      <c r="N2341" s="1" t="inlineStr">
        <is>
          <t>25.05.2026</t>
        </is>
      </c>
      <c r="O2341" s="1" t="inlineStr"/>
      <c r="P2341" s="1" t="inlineStr"/>
      <c r="Q2341" s="1" t="inlineStr">
        <is>
          <t>Пользовательский интерфейс</t>
        </is>
      </c>
    </row>
    <row r="2342">
      <c r="B2342" s="1" t="inlineStr">
        <is>
          <t>197822397</t>
        </is>
      </c>
      <c r="C2342" s="1" t="inlineStr">
        <is>
          <t>14313485</t>
        </is>
      </c>
      <c r="D2342" t="inlineStr">
        <is>
          <t>работник 729</t>
        </is>
      </c>
      <c r="E2342" s="1" t="inlineStr">
        <is>
          <t>ОБЩЕСТВО С ОГРАНИЧЕННОЙ ОТВЕТСТВЕННОСТЬЮ "АМУР ЗОЛОТО"</t>
        </is>
      </c>
      <c r="F2342" s="1" t="inlineStr">
        <is>
          <t>2708001686</t>
        </is>
      </c>
      <c r="G2342" s="1" t="inlineStr">
        <is>
          <t>Промывальщик геологических проб</t>
        </is>
      </c>
      <c r="H2342" s="1" t="inlineStr">
        <is>
          <t>ООО "Амур Золото"</t>
        </is>
      </c>
      <c r="I2342" s="1" t="inlineStr">
        <is>
          <t>2708001686</t>
        </is>
      </c>
      <c r="J2342" s="1" t="inlineStr">
        <is>
          <t>ЮГОК ГРР 26-01</t>
        </is>
      </c>
      <c r="K2342" s="1" t="inlineStr">
        <is>
          <t>Использование (применение) средств индивидуальной защиты</t>
        </is>
      </c>
      <c r="L2342" s="1" t="inlineStr">
        <is>
          <t>23.05.2026</t>
        </is>
      </c>
      <c r="M2342" s="1" t="inlineStr">
        <is>
          <t>Успешно</t>
        </is>
      </c>
      <c r="N2342" s="1" t="inlineStr">
        <is>
          <t>25.05.2026</t>
        </is>
      </c>
      <c r="O2342" s="1" t="inlineStr"/>
      <c r="P2342" s="1" t="inlineStr"/>
      <c r="Q2342" s="1" t="inlineStr">
        <is>
          <t>Пользовательский интерфейс</t>
        </is>
      </c>
    </row>
    <row r="2343">
      <c r="B2343" s="1" t="inlineStr">
        <is>
          <t>197822398</t>
        </is>
      </c>
      <c r="C2343" s="1" t="inlineStr">
        <is>
          <t>14313485</t>
        </is>
      </c>
      <c r="D2343" t="inlineStr">
        <is>
          <t>работник 729</t>
        </is>
      </c>
      <c r="E2343" s="1" t="inlineStr">
        <is>
          <t>ОБЩЕСТВО С ОГРАНИЧЕННОЙ ОТВЕТСТВЕННОСТЬЮ "АМУР ЗОЛОТО"</t>
        </is>
      </c>
      <c r="F2343" s="1" t="inlineStr">
        <is>
          <t>2708001686</t>
        </is>
      </c>
      <c r="G2343" s="1" t="inlineStr">
        <is>
          <t>Промывальщик геологических проб</t>
        </is>
      </c>
      <c r="H2343" s="1" t="inlineStr">
        <is>
          <t>ООО "Амур Золото"</t>
        </is>
      </c>
      <c r="I2343" s="1" t="inlineStr">
        <is>
          <t>2708001686</t>
        </is>
      </c>
      <c r="J2343" s="1" t="inlineStr">
        <is>
          <t>ЮГОК ГРР 26-01</t>
        </is>
      </c>
      <c r="K234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343" s="1" t="inlineStr">
        <is>
          <t>23.05.2026</t>
        </is>
      </c>
      <c r="M2343" s="1" t="inlineStr">
        <is>
          <t>Успешно</t>
        </is>
      </c>
      <c r="N2343" s="1" t="inlineStr">
        <is>
          <t>25.05.2026</t>
        </is>
      </c>
      <c r="O2343" s="1" t="inlineStr"/>
      <c r="P2343" s="1" t="inlineStr"/>
      <c r="Q2343" s="1" t="inlineStr">
        <is>
          <t>Пользовательский интерфейс</t>
        </is>
      </c>
    </row>
    <row r="2344">
      <c r="B2344" s="1" t="inlineStr">
        <is>
          <t>197822399</t>
        </is>
      </c>
      <c r="C2344" s="1" t="inlineStr">
        <is>
          <t>14313485</t>
        </is>
      </c>
      <c r="D2344" t="inlineStr">
        <is>
          <t>работник 730</t>
        </is>
      </c>
      <c r="E2344" s="1" t="inlineStr">
        <is>
          <t>ОБЩЕСТВО С ОГРАНИЧЕННОЙ ОТВЕТСТВЕННОСТЬЮ "АМУР ЗОЛОТО"</t>
        </is>
      </c>
      <c r="F2344" s="1" t="inlineStr">
        <is>
          <t>2708001686</t>
        </is>
      </c>
      <c r="G2344" s="1" t="inlineStr">
        <is>
          <t>Вальщик леса</t>
        </is>
      </c>
      <c r="H2344" s="1" t="inlineStr">
        <is>
          <t>ООО "Амур Золото"</t>
        </is>
      </c>
      <c r="I2344" s="1" t="inlineStr">
        <is>
          <t>2708001686</t>
        </is>
      </c>
      <c r="J2344" s="1" t="inlineStr">
        <is>
          <t>ЮГОК ГРР 26-01</t>
        </is>
      </c>
      <c r="K2344" s="1" t="inlineStr">
        <is>
          <t>Использование (применение) средств индивидуальной защиты</t>
        </is>
      </c>
      <c r="L2344" s="1" t="inlineStr">
        <is>
          <t>23.05.2026</t>
        </is>
      </c>
      <c r="M2344" s="1" t="inlineStr">
        <is>
          <t>Успешно</t>
        </is>
      </c>
      <c r="N2344" s="1" t="inlineStr">
        <is>
          <t>25.05.2026</t>
        </is>
      </c>
      <c r="O2344" s="1" t="inlineStr"/>
      <c r="P2344" s="1" t="inlineStr"/>
      <c r="Q2344" s="1" t="inlineStr">
        <is>
          <t>Пользовательский интерфейс</t>
        </is>
      </c>
    </row>
    <row r="2345">
      <c r="B2345" s="1" t="inlineStr">
        <is>
          <t>197822400</t>
        </is>
      </c>
      <c r="C2345" s="1" t="inlineStr">
        <is>
          <t>14313485</t>
        </is>
      </c>
      <c r="D2345" t="inlineStr">
        <is>
          <t>работник 730</t>
        </is>
      </c>
      <c r="E2345" s="1" t="inlineStr">
        <is>
          <t>ОБЩЕСТВО С ОГРАНИЧЕННОЙ ОТВЕТСТВЕННОСТЬЮ "АМУР ЗОЛОТО"</t>
        </is>
      </c>
      <c r="F2345" s="1" t="inlineStr">
        <is>
          <t>2708001686</t>
        </is>
      </c>
      <c r="G2345" s="1" t="inlineStr">
        <is>
          <t>Вальщик леса</t>
        </is>
      </c>
      <c r="H2345" s="1" t="inlineStr">
        <is>
          <t>ООО "Амур Золото"</t>
        </is>
      </c>
      <c r="I2345" s="1" t="inlineStr">
        <is>
          <t>2708001686</t>
        </is>
      </c>
      <c r="J2345" s="1" t="inlineStr">
        <is>
          <t>ЮГОК ГРР 26-01</t>
        </is>
      </c>
      <c r="K234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345" s="1" t="inlineStr">
        <is>
          <t>23.05.2026</t>
        </is>
      </c>
      <c r="M2345" s="1" t="inlineStr">
        <is>
          <t>Успешно</t>
        </is>
      </c>
      <c r="N2345" s="1" t="inlineStr">
        <is>
          <t>25.05.2026</t>
        </is>
      </c>
      <c r="O2345" s="1" t="inlineStr"/>
      <c r="P2345" s="1" t="inlineStr"/>
      <c r="Q2345" s="1" t="inlineStr">
        <is>
          <t>Пользовательский интерфейс</t>
        </is>
      </c>
    </row>
    <row r="2346">
      <c r="B2346" s="1" t="inlineStr">
        <is>
          <t>197822401</t>
        </is>
      </c>
      <c r="C2346" s="1" t="inlineStr">
        <is>
          <t>14313485</t>
        </is>
      </c>
      <c r="D2346" t="inlineStr">
        <is>
          <t>работник 731</t>
        </is>
      </c>
      <c r="E2346" s="1" t="inlineStr">
        <is>
          <t>ОБЩЕСТВО С ОГРАНИЧЕННОЙ ОТВЕТСТВЕННОСТЬЮ "АМУР ЗОЛОТО"</t>
        </is>
      </c>
      <c r="F2346" s="1" t="inlineStr">
        <is>
          <t>2708001686</t>
        </is>
      </c>
      <c r="G2346" s="1" t="inlineStr">
        <is>
          <t>Машинист бульдозера</t>
        </is>
      </c>
      <c r="H2346" s="1" t="inlineStr">
        <is>
          <t>ООО "Амур Золото"</t>
        </is>
      </c>
      <c r="I2346" s="1" t="inlineStr">
        <is>
          <t>2708001686</t>
        </is>
      </c>
      <c r="J2346" s="1" t="inlineStr">
        <is>
          <t>ЮГОК ГРР 26-01</t>
        </is>
      </c>
      <c r="K2346" s="1" t="inlineStr">
        <is>
          <t>Использование (применение) средств индивидуальной защиты</t>
        </is>
      </c>
      <c r="L2346" s="1" t="inlineStr">
        <is>
          <t>23.05.2026</t>
        </is>
      </c>
      <c r="M2346" s="1" t="inlineStr">
        <is>
          <t>Успешно</t>
        </is>
      </c>
      <c r="N2346" s="1" t="inlineStr">
        <is>
          <t>25.05.2026</t>
        </is>
      </c>
      <c r="O2346" s="1" t="inlineStr"/>
      <c r="P2346" s="1" t="inlineStr"/>
      <c r="Q2346" s="1" t="inlineStr">
        <is>
          <t>Пользовательский интерфейс</t>
        </is>
      </c>
    </row>
    <row r="2347">
      <c r="B2347" s="1" t="inlineStr">
        <is>
          <t>197822402</t>
        </is>
      </c>
      <c r="C2347" s="1" t="inlineStr">
        <is>
          <t>14313485</t>
        </is>
      </c>
      <c r="D2347" t="inlineStr">
        <is>
          <t>работник 731</t>
        </is>
      </c>
      <c r="E2347" s="1" t="inlineStr">
        <is>
          <t>ОБЩЕСТВО С ОГРАНИЧЕННОЙ ОТВЕТСТВЕННОСТЬЮ "АМУР ЗОЛОТО"</t>
        </is>
      </c>
      <c r="F2347" s="1" t="inlineStr">
        <is>
          <t>2708001686</t>
        </is>
      </c>
      <c r="G2347" s="1" t="inlineStr">
        <is>
          <t>Машинист бульдозера</t>
        </is>
      </c>
      <c r="H2347" s="1" t="inlineStr">
        <is>
          <t>ООО "Амур Золото"</t>
        </is>
      </c>
      <c r="I2347" s="1" t="inlineStr">
        <is>
          <t>2708001686</t>
        </is>
      </c>
      <c r="J2347" s="1" t="inlineStr">
        <is>
          <t>ЮГОК ГРР 26-01</t>
        </is>
      </c>
      <c r="K234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347" s="1" t="inlineStr">
        <is>
          <t>23.05.2026</t>
        </is>
      </c>
      <c r="M2347" s="1" t="inlineStr">
        <is>
          <t>Успешно</t>
        </is>
      </c>
      <c r="N2347" s="1" t="inlineStr">
        <is>
          <t>25.05.2026</t>
        </is>
      </c>
      <c r="O2347" s="1" t="inlineStr"/>
      <c r="P2347" s="1" t="inlineStr"/>
      <c r="Q2347" s="1" t="inlineStr">
        <is>
          <t>Пользовательский интерфейс</t>
        </is>
      </c>
    </row>
    <row r="2348">
      <c r="B2348" s="1" t="inlineStr">
        <is>
          <t>197822403</t>
        </is>
      </c>
      <c r="C2348" s="1" t="inlineStr">
        <is>
          <t>14313485</t>
        </is>
      </c>
      <c r="D2348" t="inlineStr">
        <is>
          <t>работник 732</t>
        </is>
      </c>
      <c r="E2348" s="1" t="inlineStr">
        <is>
          <t>ОБЩЕСТВО С ОГРАНИЧЕННОЙ ОТВЕТСТВЕННОСТЬЮ "АМУР ЗОЛОТО"</t>
        </is>
      </c>
      <c r="F2348" s="1" t="inlineStr">
        <is>
          <t>2708001686</t>
        </is>
      </c>
      <c r="G2348" s="1" t="inlineStr">
        <is>
          <t>Машинист бульдозера</t>
        </is>
      </c>
      <c r="H2348" s="1" t="inlineStr">
        <is>
          <t>ООО "Амур Золото"</t>
        </is>
      </c>
      <c r="I2348" s="1" t="inlineStr">
        <is>
          <t>2708001686</t>
        </is>
      </c>
      <c r="J2348" s="1" t="inlineStr">
        <is>
          <t>ЮГОК ГРР 26-01</t>
        </is>
      </c>
      <c r="K2348" s="1" t="inlineStr">
        <is>
          <t>Использование (применение) средств индивидуальной защиты</t>
        </is>
      </c>
      <c r="L2348" s="1" t="inlineStr">
        <is>
          <t>23.05.2026</t>
        </is>
      </c>
      <c r="M2348" s="1" t="inlineStr">
        <is>
          <t>Успешно</t>
        </is>
      </c>
      <c r="N2348" s="1" t="inlineStr">
        <is>
          <t>25.05.2026</t>
        </is>
      </c>
      <c r="O2348" s="1" t="inlineStr"/>
      <c r="P2348" s="1" t="inlineStr"/>
      <c r="Q2348" s="1" t="inlineStr">
        <is>
          <t>Пользовательский интерфейс</t>
        </is>
      </c>
    </row>
    <row r="2349">
      <c r="B2349" s="1" t="inlineStr">
        <is>
          <t>197822404</t>
        </is>
      </c>
      <c r="C2349" s="1" t="inlineStr">
        <is>
          <t>14313485</t>
        </is>
      </c>
      <c r="D2349" t="inlineStr">
        <is>
          <t>работник 732</t>
        </is>
      </c>
      <c r="E2349" s="1" t="inlineStr">
        <is>
          <t>ОБЩЕСТВО С ОГРАНИЧЕННОЙ ОТВЕТСТВЕННОСТЬЮ "АМУР ЗОЛОТО"</t>
        </is>
      </c>
      <c r="F2349" s="1" t="inlineStr">
        <is>
          <t>2708001686</t>
        </is>
      </c>
      <c r="G2349" s="1" t="inlineStr">
        <is>
          <t>Машинист бульдозера</t>
        </is>
      </c>
      <c r="H2349" s="1" t="inlineStr">
        <is>
          <t>ООО "Амур Золото"</t>
        </is>
      </c>
      <c r="I2349" s="1" t="inlineStr">
        <is>
          <t>2708001686</t>
        </is>
      </c>
      <c r="J2349" s="1" t="inlineStr">
        <is>
          <t>ЮГОК ГРР 26-01</t>
        </is>
      </c>
      <c r="K234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349" s="1" t="inlineStr">
        <is>
          <t>23.05.2026</t>
        </is>
      </c>
      <c r="M2349" s="1" t="inlineStr">
        <is>
          <t>Успешно</t>
        </is>
      </c>
      <c r="N2349" s="1" t="inlineStr">
        <is>
          <t>25.05.2026</t>
        </is>
      </c>
      <c r="O2349" s="1" t="inlineStr"/>
      <c r="P2349" s="1" t="inlineStr"/>
      <c r="Q2349" s="1" t="inlineStr">
        <is>
          <t>Пользовательский интерфейс</t>
        </is>
      </c>
    </row>
    <row r="2350">
      <c r="B2350" s="1" t="inlineStr">
        <is>
          <t>197822405</t>
        </is>
      </c>
      <c r="C2350" s="1" t="inlineStr">
        <is>
          <t>14313485</t>
        </is>
      </c>
      <c r="D2350" t="inlineStr">
        <is>
          <t>работник 733</t>
        </is>
      </c>
      <c r="E2350" s="1" t="inlineStr">
        <is>
          <t>ОБЩЕСТВО С ОГРАНИЧЕННОЙ ОТВЕТСТВЕННОСТЬЮ "АМУР ЗОЛОТО"</t>
        </is>
      </c>
      <c r="F2350" s="1" t="inlineStr">
        <is>
          <t>2708001686</t>
        </is>
      </c>
      <c r="G2350" s="1" t="inlineStr">
        <is>
          <t>Машинист бульдозера</t>
        </is>
      </c>
      <c r="H2350" s="1" t="inlineStr">
        <is>
          <t>ООО "Амур Золото"</t>
        </is>
      </c>
      <c r="I2350" s="1" t="inlineStr">
        <is>
          <t>2708001686</t>
        </is>
      </c>
      <c r="J2350" s="1" t="inlineStr">
        <is>
          <t>ЮГОК ГРР 26-01</t>
        </is>
      </c>
      <c r="K2350" s="1" t="inlineStr">
        <is>
          <t>Использование (применение) средств индивидуальной защиты</t>
        </is>
      </c>
      <c r="L2350" s="1" t="inlineStr">
        <is>
          <t>23.05.2026</t>
        </is>
      </c>
      <c r="M2350" s="1" t="inlineStr">
        <is>
          <t>Успешно</t>
        </is>
      </c>
      <c r="N2350" s="1" t="inlineStr">
        <is>
          <t>25.05.2026</t>
        </is>
      </c>
      <c r="O2350" s="1" t="inlineStr"/>
      <c r="P2350" s="1" t="inlineStr"/>
      <c r="Q2350" s="1" t="inlineStr">
        <is>
          <t>Пользовательский интерфейс</t>
        </is>
      </c>
    </row>
    <row r="2351">
      <c r="B2351" s="1" t="inlineStr">
        <is>
          <t>197822406</t>
        </is>
      </c>
      <c r="C2351" s="1" t="inlineStr">
        <is>
          <t>14313485</t>
        </is>
      </c>
      <c r="D2351" t="inlineStr">
        <is>
          <t>работник 733</t>
        </is>
      </c>
      <c r="E2351" s="1" t="inlineStr">
        <is>
          <t>ОБЩЕСТВО С ОГРАНИЧЕННОЙ ОТВЕТСТВЕННОСТЬЮ "АМУР ЗОЛОТО"</t>
        </is>
      </c>
      <c r="F2351" s="1" t="inlineStr">
        <is>
          <t>2708001686</t>
        </is>
      </c>
      <c r="G2351" s="1" t="inlineStr">
        <is>
          <t>Машинист бульдозера</t>
        </is>
      </c>
      <c r="H2351" s="1" t="inlineStr">
        <is>
          <t>ООО "Амур Золото"</t>
        </is>
      </c>
      <c r="I2351" s="1" t="inlineStr">
        <is>
          <t>2708001686</t>
        </is>
      </c>
      <c r="J2351" s="1" t="inlineStr">
        <is>
          <t>ЮГОК ГРР 26-01</t>
        </is>
      </c>
      <c r="K235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351" s="1" t="inlineStr">
        <is>
          <t>23.05.2026</t>
        </is>
      </c>
      <c r="M2351" s="1" t="inlineStr">
        <is>
          <t>Успешно</t>
        </is>
      </c>
      <c r="N2351" s="1" t="inlineStr">
        <is>
          <t>25.05.2026</t>
        </is>
      </c>
      <c r="O2351" s="1" t="inlineStr"/>
      <c r="P2351" s="1" t="inlineStr"/>
      <c r="Q2351" s="1" t="inlineStr">
        <is>
          <t>Пользовательский интерфейс</t>
        </is>
      </c>
    </row>
    <row r="2352">
      <c r="B2352" s="1" t="inlineStr">
        <is>
          <t>197822407</t>
        </is>
      </c>
      <c r="C2352" s="1" t="inlineStr">
        <is>
          <t>14313485</t>
        </is>
      </c>
      <c r="D2352" t="inlineStr">
        <is>
          <t>работник 245</t>
        </is>
      </c>
      <c r="E2352" s="1" t="inlineStr">
        <is>
          <t>ОБЩЕСТВО С ОГРАНИЧЕННОЙ ОТВЕТСТВЕННОСТЬЮ "АМУР ЗОЛОТО"</t>
        </is>
      </c>
      <c r="F2352" s="1" t="inlineStr">
        <is>
          <t>2708001686</t>
        </is>
      </c>
      <c r="G2352" s="1" t="inlineStr">
        <is>
          <t>Промывальщик геологических проб</t>
        </is>
      </c>
      <c r="H2352" s="1" t="inlineStr">
        <is>
          <t>ООО "Амур Золото"</t>
        </is>
      </c>
      <c r="I2352" s="1" t="inlineStr">
        <is>
          <t>2708001686</t>
        </is>
      </c>
      <c r="J2352" s="1" t="inlineStr">
        <is>
          <t>ЮГОК ГРР 26-01</t>
        </is>
      </c>
      <c r="K2352" s="1" t="inlineStr">
        <is>
          <t>Использование (применение) средств индивидуальной защиты</t>
        </is>
      </c>
      <c r="L2352" s="1" t="inlineStr">
        <is>
          <t>23.05.2026</t>
        </is>
      </c>
      <c r="M2352" s="1" t="inlineStr">
        <is>
          <t>Успешно</t>
        </is>
      </c>
      <c r="N2352" s="1" t="inlineStr">
        <is>
          <t>25.05.2026</t>
        </is>
      </c>
      <c r="O2352" s="1" t="inlineStr"/>
      <c r="P2352" s="1" t="inlineStr"/>
      <c r="Q2352" s="1" t="inlineStr">
        <is>
          <t>Пользовательский интерфейс</t>
        </is>
      </c>
    </row>
    <row r="2353">
      <c r="B2353" s="1" t="inlineStr">
        <is>
          <t>197822408</t>
        </is>
      </c>
      <c r="C2353" s="1" t="inlineStr">
        <is>
          <t>14313485</t>
        </is>
      </c>
      <c r="D2353" t="inlineStr">
        <is>
          <t>работник 245</t>
        </is>
      </c>
      <c r="E2353" s="1" t="inlineStr">
        <is>
          <t>ОБЩЕСТВО С ОГРАНИЧЕННОЙ ОТВЕТСТВЕННОСТЬЮ "АМУР ЗОЛОТО"</t>
        </is>
      </c>
      <c r="F2353" s="1" t="inlineStr">
        <is>
          <t>2708001686</t>
        </is>
      </c>
      <c r="G2353" s="1" t="inlineStr">
        <is>
          <t>Промывальщик геологических проб</t>
        </is>
      </c>
      <c r="H2353" s="1" t="inlineStr">
        <is>
          <t>ООО "Амур Золото"</t>
        </is>
      </c>
      <c r="I2353" s="1" t="inlineStr">
        <is>
          <t>2708001686</t>
        </is>
      </c>
      <c r="J2353" s="1" t="inlineStr">
        <is>
          <t>ЮГОК ГРР 26-01</t>
        </is>
      </c>
      <c r="K235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353" s="1" t="inlineStr">
        <is>
          <t>23.05.2026</t>
        </is>
      </c>
      <c r="M2353" s="1" t="inlineStr">
        <is>
          <t>Успешно</t>
        </is>
      </c>
      <c r="N2353" s="1" t="inlineStr">
        <is>
          <t>25.05.2026</t>
        </is>
      </c>
      <c r="O2353" s="1" t="inlineStr"/>
      <c r="P2353" s="1" t="inlineStr"/>
      <c r="Q2353" s="1" t="inlineStr">
        <is>
          <t>Пользовательский интерфейс</t>
        </is>
      </c>
    </row>
    <row r="2354">
      <c r="B2354" s="1" t="inlineStr">
        <is>
          <t>197822409</t>
        </is>
      </c>
      <c r="C2354" s="1" t="inlineStr">
        <is>
          <t>14313485</t>
        </is>
      </c>
      <c r="D2354" t="inlineStr">
        <is>
          <t>работник 734</t>
        </is>
      </c>
      <c r="E2354" s="1" t="inlineStr">
        <is>
          <t>ОБЩЕСТВО С ОГРАНИЧЕННОЙ ОТВЕТСТВЕННОСТЬЮ "АМУР ЗОЛОТО"</t>
        </is>
      </c>
      <c r="F2354" s="1" t="inlineStr">
        <is>
          <t>2708001686</t>
        </is>
      </c>
      <c r="G2354" s="1" t="inlineStr">
        <is>
          <t>Горнорабочий</t>
        </is>
      </c>
      <c r="H2354" s="1" t="inlineStr">
        <is>
          <t>ООО "Амур Золото"</t>
        </is>
      </c>
      <c r="I2354" s="1" t="inlineStr">
        <is>
          <t>2708001686</t>
        </is>
      </c>
      <c r="J2354" s="1" t="inlineStr">
        <is>
          <t>ЮГОК ГРР 26-01</t>
        </is>
      </c>
      <c r="K2354" s="1" t="inlineStr">
        <is>
          <t>Использование (применение) средств индивидуальной защиты</t>
        </is>
      </c>
      <c r="L2354" s="1" t="inlineStr">
        <is>
          <t>23.05.2026</t>
        </is>
      </c>
      <c r="M2354" s="1" t="inlineStr">
        <is>
          <t>Успешно</t>
        </is>
      </c>
      <c r="N2354" s="1" t="inlineStr">
        <is>
          <t>25.05.2026</t>
        </is>
      </c>
      <c r="O2354" s="1" t="inlineStr"/>
      <c r="P2354" s="1" t="inlineStr"/>
      <c r="Q2354" s="1" t="inlineStr">
        <is>
          <t>Пользовательский интерфейс</t>
        </is>
      </c>
    </row>
    <row r="2355">
      <c r="B2355" s="1" t="inlineStr">
        <is>
          <t>197822410</t>
        </is>
      </c>
      <c r="C2355" s="1" t="inlineStr">
        <is>
          <t>14313485</t>
        </is>
      </c>
      <c r="D2355" t="inlineStr">
        <is>
          <t>работник 734</t>
        </is>
      </c>
      <c r="E2355" s="1" t="inlineStr">
        <is>
          <t>ОБЩЕСТВО С ОГРАНИЧЕННОЙ ОТВЕТСТВЕННОСТЬЮ "АМУР ЗОЛОТО"</t>
        </is>
      </c>
      <c r="F2355" s="1" t="inlineStr">
        <is>
          <t>2708001686</t>
        </is>
      </c>
      <c r="G2355" s="1" t="inlineStr">
        <is>
          <t>Горнорабочий</t>
        </is>
      </c>
      <c r="H2355" s="1" t="inlineStr">
        <is>
          <t>ООО "Амур Золото"</t>
        </is>
      </c>
      <c r="I2355" s="1" t="inlineStr">
        <is>
          <t>2708001686</t>
        </is>
      </c>
      <c r="J2355" s="1" t="inlineStr">
        <is>
          <t>ЮГОК ГРР 26-01</t>
        </is>
      </c>
      <c r="K235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355" s="1" t="inlineStr">
        <is>
          <t>23.05.2026</t>
        </is>
      </c>
      <c r="M2355" s="1" t="inlineStr">
        <is>
          <t>Успешно</t>
        </is>
      </c>
      <c r="N2355" s="1" t="inlineStr">
        <is>
          <t>25.05.2026</t>
        </is>
      </c>
      <c r="O2355" s="1" t="inlineStr"/>
      <c r="P2355" s="1" t="inlineStr"/>
      <c r="Q2355" s="1" t="inlineStr">
        <is>
          <t>Пользовательский интерфейс</t>
        </is>
      </c>
    </row>
    <row r="2356">
      <c r="B2356" s="1" t="inlineStr">
        <is>
          <t>197822411</t>
        </is>
      </c>
      <c r="C2356" s="1" t="inlineStr">
        <is>
          <t>14313485</t>
        </is>
      </c>
      <c r="D2356" t="inlineStr">
        <is>
          <t>работник 735</t>
        </is>
      </c>
      <c r="E2356" s="1" t="inlineStr">
        <is>
          <t>ОБЩЕСТВО С ОГРАНИЧЕННОЙ ОТВЕТСТВЕННОСТЬЮ "АМУР ЗОЛОТО"</t>
        </is>
      </c>
      <c r="F2356" s="1" t="inlineStr">
        <is>
          <t>2708001686</t>
        </is>
      </c>
      <c r="G2356" s="1" t="inlineStr">
        <is>
          <t>Машинист бульдозера</t>
        </is>
      </c>
      <c r="H2356" s="1" t="inlineStr">
        <is>
          <t>ООО "Амур Золото"</t>
        </is>
      </c>
      <c r="I2356" s="1" t="inlineStr">
        <is>
          <t>2708001686</t>
        </is>
      </c>
      <c r="J2356" s="1" t="inlineStr">
        <is>
          <t>ЮГОК ГРР 26-01</t>
        </is>
      </c>
      <c r="K2356" s="1" t="inlineStr">
        <is>
          <t>Использование (применение) средств индивидуальной защиты</t>
        </is>
      </c>
      <c r="L2356" s="1" t="inlineStr">
        <is>
          <t>23.05.2026</t>
        </is>
      </c>
      <c r="M2356" s="1" t="inlineStr">
        <is>
          <t>Успешно</t>
        </is>
      </c>
      <c r="N2356" s="1" t="inlineStr">
        <is>
          <t>25.05.2026</t>
        </is>
      </c>
      <c r="O2356" s="1" t="inlineStr"/>
      <c r="P2356" s="1" t="inlineStr"/>
      <c r="Q2356" s="1" t="inlineStr">
        <is>
          <t>Пользовательский интерфейс</t>
        </is>
      </c>
    </row>
    <row r="2357">
      <c r="B2357" s="1" t="inlineStr">
        <is>
          <t>197822412</t>
        </is>
      </c>
      <c r="C2357" s="1" t="inlineStr">
        <is>
          <t>14313485</t>
        </is>
      </c>
      <c r="D2357" t="inlineStr">
        <is>
          <t>работник 735</t>
        </is>
      </c>
      <c r="E2357" s="1" t="inlineStr">
        <is>
          <t>ОБЩЕСТВО С ОГРАНИЧЕННОЙ ОТВЕТСТВЕННОСТЬЮ "АМУР ЗОЛОТО"</t>
        </is>
      </c>
      <c r="F2357" s="1" t="inlineStr">
        <is>
          <t>2708001686</t>
        </is>
      </c>
      <c r="G2357" s="1" t="inlineStr">
        <is>
          <t>Машинист бульдозера</t>
        </is>
      </c>
      <c r="H2357" s="1" t="inlineStr">
        <is>
          <t>ООО "Амур Золото"</t>
        </is>
      </c>
      <c r="I2357" s="1" t="inlineStr">
        <is>
          <t>2708001686</t>
        </is>
      </c>
      <c r="J2357" s="1" t="inlineStr">
        <is>
          <t>ЮГОК ГРР 26-01</t>
        </is>
      </c>
      <c r="K235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357" s="1" t="inlineStr">
        <is>
          <t>23.05.2026</t>
        </is>
      </c>
      <c r="M2357" s="1" t="inlineStr">
        <is>
          <t>Успешно</t>
        </is>
      </c>
      <c r="N2357" s="1" t="inlineStr">
        <is>
          <t>25.05.2026</t>
        </is>
      </c>
      <c r="O2357" s="1" t="inlineStr"/>
      <c r="P2357" s="1" t="inlineStr"/>
      <c r="Q2357" s="1" t="inlineStr">
        <is>
          <t>Пользовательский интерфейс</t>
        </is>
      </c>
    </row>
    <row r="2358">
      <c r="B2358" s="1" t="inlineStr">
        <is>
          <t>197822413</t>
        </is>
      </c>
      <c r="C2358" s="1" t="inlineStr">
        <is>
          <t>14313485</t>
        </is>
      </c>
      <c r="D2358" t="inlineStr">
        <is>
          <t>работник 736</t>
        </is>
      </c>
      <c r="E2358" s="1" t="inlineStr">
        <is>
          <t>ОБЩЕСТВО С ОГРАНИЧЕННОЙ ОТВЕТСТВЕННОСТЬЮ "АМУР ЗОЛОТО"</t>
        </is>
      </c>
      <c r="F2358" s="1" t="inlineStr">
        <is>
          <t>2708001686</t>
        </is>
      </c>
      <c r="G2358" s="1" t="inlineStr">
        <is>
          <t>Машинист буровой установки</t>
        </is>
      </c>
      <c r="H2358" s="1" t="inlineStr">
        <is>
          <t>ООО "Амур Золото"</t>
        </is>
      </c>
      <c r="I2358" s="1" t="inlineStr">
        <is>
          <t>2708001686</t>
        </is>
      </c>
      <c r="J2358" s="1" t="inlineStr">
        <is>
          <t>ЮГОК ГРР 26-01</t>
        </is>
      </c>
      <c r="K2358" s="1" t="inlineStr">
        <is>
          <t>Использование (применение) средств индивидуальной защиты</t>
        </is>
      </c>
      <c r="L2358" s="1" t="inlineStr">
        <is>
          <t>23.05.2026</t>
        </is>
      </c>
      <c r="M2358" s="1" t="inlineStr">
        <is>
          <t>Успешно</t>
        </is>
      </c>
      <c r="N2358" s="1" t="inlineStr">
        <is>
          <t>25.05.2026</t>
        </is>
      </c>
      <c r="O2358" s="1" t="inlineStr"/>
      <c r="P2358" s="1" t="inlineStr"/>
      <c r="Q2358" s="1" t="inlineStr">
        <is>
          <t>Пользовательский интерфейс</t>
        </is>
      </c>
    </row>
    <row r="2359">
      <c r="B2359" s="1" t="inlineStr">
        <is>
          <t>197822414</t>
        </is>
      </c>
      <c r="C2359" s="1" t="inlineStr">
        <is>
          <t>14313485</t>
        </is>
      </c>
      <c r="D2359" t="inlineStr">
        <is>
          <t>работник 736</t>
        </is>
      </c>
      <c r="E2359" s="1" t="inlineStr">
        <is>
          <t>ОБЩЕСТВО С ОГРАНИЧЕННОЙ ОТВЕТСТВЕННОСТЬЮ "АМУР ЗОЛОТО"</t>
        </is>
      </c>
      <c r="F2359" s="1" t="inlineStr">
        <is>
          <t>2708001686</t>
        </is>
      </c>
      <c r="G2359" s="1" t="inlineStr">
        <is>
          <t>Машинист буровой установки</t>
        </is>
      </c>
      <c r="H2359" s="1" t="inlineStr">
        <is>
          <t>ООО "Амур Золото"</t>
        </is>
      </c>
      <c r="I2359" s="1" t="inlineStr">
        <is>
          <t>2708001686</t>
        </is>
      </c>
      <c r="J2359" s="1" t="inlineStr">
        <is>
          <t>ЮГОК ГРР 26-01</t>
        </is>
      </c>
      <c r="K235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359" s="1" t="inlineStr">
        <is>
          <t>23.05.2026</t>
        </is>
      </c>
      <c r="M2359" s="1" t="inlineStr">
        <is>
          <t>Успешно</t>
        </is>
      </c>
      <c r="N2359" s="1" t="inlineStr">
        <is>
          <t>25.05.2026</t>
        </is>
      </c>
      <c r="O2359" s="1" t="inlineStr"/>
      <c r="P2359" s="1" t="inlineStr"/>
      <c r="Q2359" s="1" t="inlineStr">
        <is>
          <t>Пользовательский интерфейс</t>
        </is>
      </c>
    </row>
    <row r="2360">
      <c r="B2360" s="1" t="inlineStr">
        <is>
          <t>197822415</t>
        </is>
      </c>
      <c r="C2360" s="1" t="inlineStr">
        <is>
          <t>14313485</t>
        </is>
      </c>
      <c r="D2360" t="inlineStr">
        <is>
          <t>работник 737</t>
        </is>
      </c>
      <c r="E2360" s="1" t="inlineStr">
        <is>
          <t>ОБЩЕСТВО С ОГРАНИЧЕННОЙ ОТВЕТСТВЕННОСТЬЮ "АМУР ЗОЛОТО"</t>
        </is>
      </c>
      <c r="F2360" s="1" t="inlineStr">
        <is>
          <t>2708001686</t>
        </is>
      </c>
      <c r="G2360" s="1" t="inlineStr">
        <is>
          <t>Помощник машиниста буровой установки</t>
        </is>
      </c>
      <c r="H2360" s="1" t="inlineStr">
        <is>
          <t>ООО "Амур Золото"</t>
        </is>
      </c>
      <c r="I2360" s="1" t="inlineStr">
        <is>
          <t>2708001686</t>
        </is>
      </c>
      <c r="J2360" s="1" t="inlineStr">
        <is>
          <t>ЮГОК ГРР 26-01</t>
        </is>
      </c>
      <c r="K2360" s="1" t="inlineStr">
        <is>
          <t>Использование (применение) средств индивидуальной защиты</t>
        </is>
      </c>
      <c r="L2360" s="1" t="inlineStr">
        <is>
          <t>23.05.2026</t>
        </is>
      </c>
      <c r="M2360" s="1" t="inlineStr">
        <is>
          <t>Успешно</t>
        </is>
      </c>
      <c r="N2360" s="1" t="inlineStr">
        <is>
          <t>25.05.2026</t>
        </is>
      </c>
      <c r="O2360" s="1" t="inlineStr"/>
      <c r="P2360" s="1" t="inlineStr"/>
      <c r="Q2360" s="1" t="inlineStr">
        <is>
          <t>Пользовательский интерфейс</t>
        </is>
      </c>
    </row>
    <row r="2361">
      <c r="B2361" s="1" t="inlineStr">
        <is>
          <t>197822416</t>
        </is>
      </c>
      <c r="C2361" s="1" t="inlineStr">
        <is>
          <t>14313485</t>
        </is>
      </c>
      <c r="D2361" t="inlineStr">
        <is>
          <t>работник 737</t>
        </is>
      </c>
      <c r="E2361" s="1" t="inlineStr">
        <is>
          <t>ОБЩЕСТВО С ОГРАНИЧЕННОЙ ОТВЕТСТВЕННОСТЬЮ "АМУР ЗОЛОТО"</t>
        </is>
      </c>
      <c r="F2361" s="1" t="inlineStr">
        <is>
          <t>2708001686</t>
        </is>
      </c>
      <c r="G2361" s="1" t="inlineStr">
        <is>
          <t>Помощник машиниста буровой установки</t>
        </is>
      </c>
      <c r="H2361" s="1" t="inlineStr">
        <is>
          <t>ООО "Амур Золото"</t>
        </is>
      </c>
      <c r="I2361" s="1" t="inlineStr">
        <is>
          <t>2708001686</t>
        </is>
      </c>
      <c r="J2361" s="1" t="inlineStr">
        <is>
          <t>ЮГОК ГРР 26-01</t>
        </is>
      </c>
      <c r="K236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361" s="1" t="inlineStr">
        <is>
          <t>23.05.2026</t>
        </is>
      </c>
      <c r="M2361" s="1" t="inlineStr">
        <is>
          <t>Успешно</t>
        </is>
      </c>
      <c r="N2361" s="1" t="inlineStr">
        <is>
          <t>25.05.2026</t>
        </is>
      </c>
      <c r="O2361" s="1" t="inlineStr"/>
      <c r="P2361" s="1" t="inlineStr"/>
      <c r="Q2361" s="1" t="inlineStr">
        <is>
          <t>Пользовательский интерфейс</t>
        </is>
      </c>
    </row>
    <row r="2362">
      <c r="B2362" s="1" t="inlineStr">
        <is>
          <t>197822417</t>
        </is>
      </c>
      <c r="C2362" s="1" t="inlineStr">
        <is>
          <t>14313485</t>
        </is>
      </c>
      <c r="D2362" t="inlineStr">
        <is>
          <t>работник 738</t>
        </is>
      </c>
      <c r="E2362" s="1" t="inlineStr">
        <is>
          <t>ОБЩЕСТВО С ОГРАНИЧЕННОЙ ОТВЕТСТВЕННОСТЬЮ "АМУР ЗОЛОТО"</t>
        </is>
      </c>
      <c r="F2362" s="1" t="inlineStr">
        <is>
          <t>2708001686</t>
        </is>
      </c>
      <c r="G2362" s="1" t="inlineStr">
        <is>
          <t>Помощник машиниста буровой установки</t>
        </is>
      </c>
      <c r="H2362" s="1" t="inlineStr">
        <is>
          <t>ООО "Амур Золото"</t>
        </is>
      </c>
      <c r="I2362" s="1" t="inlineStr">
        <is>
          <t>2708001686</t>
        </is>
      </c>
      <c r="J2362" s="1" t="inlineStr">
        <is>
          <t>ЮГОК ГРР 26-01</t>
        </is>
      </c>
      <c r="K2362" s="1" t="inlineStr">
        <is>
          <t>Использование (применение) средств индивидуальной защиты</t>
        </is>
      </c>
      <c r="L2362" s="1" t="inlineStr">
        <is>
          <t>23.05.2026</t>
        </is>
      </c>
      <c r="M2362" s="1" t="inlineStr">
        <is>
          <t>Успешно</t>
        </is>
      </c>
      <c r="N2362" s="1" t="inlineStr">
        <is>
          <t>25.05.2026</t>
        </is>
      </c>
      <c r="O2362" s="1" t="inlineStr"/>
      <c r="P2362" s="1" t="inlineStr"/>
      <c r="Q2362" s="1" t="inlineStr">
        <is>
          <t>Пользовательский интерфейс</t>
        </is>
      </c>
    </row>
    <row r="2363">
      <c r="B2363" s="1" t="inlineStr">
        <is>
          <t>197822418</t>
        </is>
      </c>
      <c r="C2363" s="1" t="inlineStr">
        <is>
          <t>14313485</t>
        </is>
      </c>
      <c r="D2363" t="inlineStr">
        <is>
          <t>работник 738</t>
        </is>
      </c>
      <c r="E2363" s="1" t="inlineStr">
        <is>
          <t>ОБЩЕСТВО С ОГРАНИЧЕННОЙ ОТВЕТСТВЕННОСТЬЮ "АМУР ЗОЛОТО"</t>
        </is>
      </c>
      <c r="F2363" s="1" t="inlineStr">
        <is>
          <t>2708001686</t>
        </is>
      </c>
      <c r="G2363" s="1" t="inlineStr">
        <is>
          <t>Помощник машиниста буровой установки</t>
        </is>
      </c>
      <c r="H2363" s="1" t="inlineStr">
        <is>
          <t>ООО "Амур Золото"</t>
        </is>
      </c>
      <c r="I2363" s="1" t="inlineStr">
        <is>
          <t>2708001686</t>
        </is>
      </c>
      <c r="J2363" s="1" t="inlineStr">
        <is>
          <t>ЮГОК ГРР 26-01</t>
        </is>
      </c>
      <c r="K236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363" s="1" t="inlineStr">
        <is>
          <t>23.05.2026</t>
        </is>
      </c>
      <c r="M2363" s="1" t="inlineStr">
        <is>
          <t>Успешно</t>
        </is>
      </c>
      <c r="N2363" s="1" t="inlineStr">
        <is>
          <t>25.05.2026</t>
        </is>
      </c>
      <c r="O2363" s="1" t="inlineStr"/>
      <c r="P2363" s="1" t="inlineStr"/>
      <c r="Q2363" s="1" t="inlineStr">
        <is>
          <t>Пользовательский интерфейс</t>
        </is>
      </c>
    </row>
    <row r="2364">
      <c r="B2364" s="1" t="inlineStr">
        <is>
          <t>197822419</t>
        </is>
      </c>
      <c r="C2364" s="1" t="inlineStr">
        <is>
          <t>14313485</t>
        </is>
      </c>
      <c r="D2364" t="inlineStr">
        <is>
          <t>работник 739</t>
        </is>
      </c>
      <c r="E2364" s="1" t="inlineStr">
        <is>
          <t>ОБЩЕСТВО С ОГРАНИЧЕННОЙ ОТВЕТСТВЕННОСТЬЮ "АМУР ЗОЛОТО"</t>
        </is>
      </c>
      <c r="F2364" s="1" t="inlineStr">
        <is>
          <t>2708001686</t>
        </is>
      </c>
      <c r="G2364" s="1" t="inlineStr">
        <is>
          <t>Вальщик леса</t>
        </is>
      </c>
      <c r="H2364" s="1" t="inlineStr">
        <is>
          <t>ООО "Амур Золото"</t>
        </is>
      </c>
      <c r="I2364" s="1" t="inlineStr">
        <is>
          <t>2708001686</t>
        </is>
      </c>
      <c r="J2364" s="1" t="inlineStr">
        <is>
          <t>ЮГОК ГРР 26-01</t>
        </is>
      </c>
      <c r="K2364" s="1" t="inlineStr">
        <is>
          <t>Использование (применение) средств индивидуальной защиты</t>
        </is>
      </c>
      <c r="L2364" s="1" t="inlineStr">
        <is>
          <t>23.05.2026</t>
        </is>
      </c>
      <c r="M2364" s="1" t="inlineStr">
        <is>
          <t>Успешно</t>
        </is>
      </c>
      <c r="N2364" s="1" t="inlineStr">
        <is>
          <t>25.05.2026</t>
        </is>
      </c>
      <c r="O2364" s="1" t="inlineStr"/>
      <c r="P2364" s="1" t="inlineStr"/>
      <c r="Q2364" s="1" t="inlineStr">
        <is>
          <t>Пользовательский интерфейс</t>
        </is>
      </c>
    </row>
    <row r="2365">
      <c r="B2365" s="1" t="inlineStr">
        <is>
          <t>197822420</t>
        </is>
      </c>
      <c r="C2365" s="1" t="inlineStr">
        <is>
          <t>14313485</t>
        </is>
      </c>
      <c r="D2365" t="inlineStr">
        <is>
          <t>работник 739</t>
        </is>
      </c>
      <c r="E2365" s="1" t="inlineStr">
        <is>
          <t>ОБЩЕСТВО С ОГРАНИЧЕННОЙ ОТВЕТСТВЕННОСТЬЮ "АМУР ЗОЛОТО"</t>
        </is>
      </c>
      <c r="F2365" s="1" t="inlineStr">
        <is>
          <t>2708001686</t>
        </is>
      </c>
      <c r="G2365" s="1" t="inlineStr">
        <is>
          <t>Вальщик леса</t>
        </is>
      </c>
      <c r="H2365" s="1" t="inlineStr">
        <is>
          <t>ООО "Амур Золото"</t>
        </is>
      </c>
      <c r="I2365" s="1" t="inlineStr">
        <is>
          <t>2708001686</t>
        </is>
      </c>
      <c r="J2365" s="1" t="inlineStr">
        <is>
          <t>ЮГОК ГРР 26-01</t>
        </is>
      </c>
      <c r="K236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365" s="1" t="inlineStr">
        <is>
          <t>23.05.2026</t>
        </is>
      </c>
      <c r="M2365" s="1" t="inlineStr">
        <is>
          <t>Успешно</t>
        </is>
      </c>
      <c r="N2365" s="1" t="inlineStr">
        <is>
          <t>25.05.2026</t>
        </is>
      </c>
      <c r="O2365" s="1" t="inlineStr"/>
      <c r="P2365" s="1" t="inlineStr"/>
      <c r="Q2365" s="1" t="inlineStr">
        <is>
          <t>Пользовательский интерфейс</t>
        </is>
      </c>
    </row>
    <row r="2366">
      <c r="B2366" s="1" t="inlineStr">
        <is>
          <t>197822421</t>
        </is>
      </c>
      <c r="C2366" s="1" t="inlineStr">
        <is>
          <t>14313485</t>
        </is>
      </c>
      <c r="D2366" t="inlineStr">
        <is>
          <t>работник 740</t>
        </is>
      </c>
      <c r="E2366" s="1" t="inlineStr">
        <is>
          <t>ОБЩЕСТВО С ОГРАНИЧЕННОЙ ОТВЕТСТВЕННОСТЬЮ "АМУР ЗОЛОТО"</t>
        </is>
      </c>
      <c r="F2366" s="1" t="inlineStr">
        <is>
          <t>2708001686</t>
        </is>
      </c>
      <c r="G2366" s="1" t="inlineStr">
        <is>
          <t>Участковый геолог</t>
        </is>
      </c>
      <c r="H2366" s="1" t="inlineStr">
        <is>
          <t>ООО "Амур Золото"</t>
        </is>
      </c>
      <c r="I2366" s="1" t="inlineStr">
        <is>
          <t>2708001686</t>
        </is>
      </c>
      <c r="J2366" s="1" t="inlineStr">
        <is>
          <t>ЮГОК ГРР 26-01</t>
        </is>
      </c>
      <c r="K2366" s="1" t="inlineStr">
        <is>
          <t>Использование (применение) средств индивидуальной защиты</t>
        </is>
      </c>
      <c r="L2366" s="1" t="inlineStr">
        <is>
          <t>23.05.2026</t>
        </is>
      </c>
      <c r="M2366" s="1" t="inlineStr">
        <is>
          <t>Успешно</t>
        </is>
      </c>
      <c r="N2366" s="1" t="inlineStr">
        <is>
          <t>25.05.2026</t>
        </is>
      </c>
      <c r="O2366" s="1" t="inlineStr"/>
      <c r="P2366" s="1" t="inlineStr"/>
      <c r="Q2366" s="1" t="inlineStr">
        <is>
          <t>Пользовательский интерфейс</t>
        </is>
      </c>
    </row>
    <row r="2367">
      <c r="B2367" s="1" t="inlineStr">
        <is>
          <t>197822422</t>
        </is>
      </c>
      <c r="C2367" s="1" t="inlineStr">
        <is>
          <t>14313485</t>
        </is>
      </c>
      <c r="D2367" t="inlineStr">
        <is>
          <t>работник 740</t>
        </is>
      </c>
      <c r="E2367" s="1" t="inlineStr">
        <is>
          <t>ОБЩЕСТВО С ОГРАНИЧЕННОЙ ОТВЕТСТВЕННОСТЬЮ "АМУР ЗОЛОТО"</t>
        </is>
      </c>
      <c r="F2367" s="1" t="inlineStr">
        <is>
          <t>2708001686</t>
        </is>
      </c>
      <c r="G2367" s="1" t="inlineStr">
        <is>
          <t>Участковый геолог</t>
        </is>
      </c>
      <c r="H2367" s="1" t="inlineStr">
        <is>
          <t>ООО "Амур Золото"</t>
        </is>
      </c>
      <c r="I2367" s="1" t="inlineStr">
        <is>
          <t>2708001686</t>
        </is>
      </c>
      <c r="J2367" s="1" t="inlineStr">
        <is>
          <t>ЮГОК ГРР 26-01</t>
        </is>
      </c>
      <c r="K236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367" s="1" t="inlineStr">
        <is>
          <t>23.05.2026</t>
        </is>
      </c>
      <c r="M2367" s="1" t="inlineStr">
        <is>
          <t>Успешно</t>
        </is>
      </c>
      <c r="N2367" s="1" t="inlineStr">
        <is>
          <t>25.05.2026</t>
        </is>
      </c>
      <c r="O2367" s="1" t="inlineStr"/>
      <c r="P2367" s="1" t="inlineStr"/>
      <c r="Q2367" s="1" t="inlineStr">
        <is>
          <t>Пользовательский интерфейс</t>
        </is>
      </c>
    </row>
    <row r="2368">
      <c r="B2368" s="1" t="inlineStr">
        <is>
          <t>197822423</t>
        </is>
      </c>
      <c r="C2368" s="1" t="inlineStr">
        <is>
          <t>14313485</t>
        </is>
      </c>
      <c r="D2368" t="inlineStr">
        <is>
          <t>работник 741</t>
        </is>
      </c>
      <c r="E2368" s="1" t="inlineStr">
        <is>
          <t>ОБЩЕСТВО С ОГРАНИЧЕННОЙ ОТВЕТСТВЕННОСТЬЮ "АМУР ЗОЛОТО"</t>
        </is>
      </c>
      <c r="F2368" s="1" t="inlineStr">
        <is>
          <t>2708001686</t>
        </is>
      </c>
      <c r="G2368" s="1" t="inlineStr">
        <is>
          <t>Электрогазосварщик (занятый на резке и ручной сварке)</t>
        </is>
      </c>
      <c r="H2368" s="1" t="inlineStr">
        <is>
          <t>ООО "Амур Золото"</t>
        </is>
      </c>
      <c r="I2368" s="1" t="inlineStr">
        <is>
          <t>2708001686</t>
        </is>
      </c>
      <c r="J2368" s="1" t="inlineStr">
        <is>
          <t>ЮГОК ГРР 26-01</t>
        </is>
      </c>
      <c r="K2368" s="1" t="inlineStr">
        <is>
          <t>Использование (применение) средств индивидуальной защиты</t>
        </is>
      </c>
      <c r="L2368" s="1" t="inlineStr">
        <is>
          <t>23.05.2026</t>
        </is>
      </c>
      <c r="M2368" s="1" t="inlineStr">
        <is>
          <t>Успешно</t>
        </is>
      </c>
      <c r="N2368" s="1" t="inlineStr">
        <is>
          <t>25.05.2026</t>
        </is>
      </c>
      <c r="O2368" s="1" t="inlineStr"/>
      <c r="P2368" s="1" t="inlineStr"/>
      <c r="Q2368" s="1" t="inlineStr">
        <is>
          <t>Пользовательский интерфейс</t>
        </is>
      </c>
    </row>
    <row r="2369">
      <c r="B2369" s="1" t="inlineStr">
        <is>
          <t>197822424</t>
        </is>
      </c>
      <c r="C2369" s="1" t="inlineStr">
        <is>
          <t>14313485</t>
        </is>
      </c>
      <c r="D2369" t="inlineStr">
        <is>
          <t>работник 741</t>
        </is>
      </c>
      <c r="E2369" s="1" t="inlineStr">
        <is>
          <t>ОБЩЕСТВО С ОГРАНИЧЕННОЙ ОТВЕТСТВЕННОСТЬЮ "АМУР ЗОЛОТО"</t>
        </is>
      </c>
      <c r="F2369" s="1" t="inlineStr">
        <is>
          <t>2708001686</t>
        </is>
      </c>
      <c r="G2369" s="1" t="inlineStr">
        <is>
          <t>Электрогазосварщик (занятый на резке и ручной сварке)</t>
        </is>
      </c>
      <c r="H2369" s="1" t="inlineStr">
        <is>
          <t>ООО "Амур Золото"</t>
        </is>
      </c>
      <c r="I2369" s="1" t="inlineStr">
        <is>
          <t>2708001686</t>
        </is>
      </c>
      <c r="J2369" s="1" t="inlineStr">
        <is>
          <t>ЮГОК ГРР 26-01</t>
        </is>
      </c>
      <c r="K236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369" s="1" t="inlineStr">
        <is>
          <t>23.05.2026</t>
        </is>
      </c>
      <c r="M2369" s="1" t="inlineStr">
        <is>
          <t>Успешно</t>
        </is>
      </c>
      <c r="N2369" s="1" t="inlineStr">
        <is>
          <t>25.05.2026</t>
        </is>
      </c>
      <c r="O2369" s="1" t="inlineStr"/>
      <c r="P2369" s="1" t="inlineStr"/>
      <c r="Q2369" s="1" t="inlineStr">
        <is>
          <t>Пользовательский интерфейс</t>
        </is>
      </c>
    </row>
    <row r="2370">
      <c r="B2370" s="1" t="inlineStr">
        <is>
          <t>197822425</t>
        </is>
      </c>
      <c r="C2370" s="1" t="inlineStr">
        <is>
          <t>14313485</t>
        </is>
      </c>
      <c r="D2370" t="inlineStr">
        <is>
          <t>работник 741</t>
        </is>
      </c>
      <c r="E2370" s="1" t="inlineStr">
        <is>
          <t>ОБЩЕСТВО С ОГРАНИЧЕННОЙ ОТВЕТСТВЕННОСТЬЮ "АМУР ЗОЛОТО"</t>
        </is>
      </c>
      <c r="F2370" s="1" t="inlineStr">
        <is>
          <t>2708001686</t>
        </is>
      </c>
      <c r="G2370" s="1" t="inlineStr">
        <is>
          <t>Электрогазосварщик (занятый на резке и ручной сварке)</t>
        </is>
      </c>
      <c r="H2370" s="1" t="inlineStr">
        <is>
          <t>ООО "Амур Золото"</t>
        </is>
      </c>
      <c r="I2370" s="1" t="inlineStr">
        <is>
          <t>2708001686</t>
        </is>
      </c>
      <c r="J2370" s="1" t="inlineStr">
        <is>
          <t>ЮГОК ГРР 26-01</t>
        </is>
      </c>
      <c r="K2370" s="1" t="inlineStr">
        <is>
          <t>Безопасные методы и приемы выполнения огневых работ</t>
        </is>
      </c>
      <c r="L2370" s="1" t="inlineStr">
        <is>
          <t>23.05.2026</t>
        </is>
      </c>
      <c r="M2370" s="1" t="inlineStr">
        <is>
          <t>Успешно</t>
        </is>
      </c>
      <c r="N2370" s="1" t="inlineStr">
        <is>
          <t>25.05.2026</t>
        </is>
      </c>
      <c r="O2370" s="1" t="inlineStr"/>
      <c r="P2370" s="1" t="inlineStr"/>
      <c r="Q2370" s="1" t="inlineStr">
        <is>
          <t>Пользовательский интерфейс</t>
        </is>
      </c>
    </row>
    <row r="2371">
      <c r="B2371" s="1" t="inlineStr">
        <is>
          <t>197822426</t>
        </is>
      </c>
      <c r="C2371" s="1" t="inlineStr">
        <is>
          <t>14313485</t>
        </is>
      </c>
      <c r="D2371" t="inlineStr">
        <is>
          <t>работник 199</t>
        </is>
      </c>
      <c r="E2371" s="1" t="inlineStr">
        <is>
          <t>ОБЩЕСТВО С ОГРАНИЧЕННОЙ ОТВЕТСТВЕННОСТЬЮ "АМУР ЗОЛОТО"</t>
        </is>
      </c>
      <c r="F2371" s="1" t="inlineStr">
        <is>
          <t>2708001686</t>
        </is>
      </c>
      <c r="G2371" s="1" t="inlineStr">
        <is>
          <t>Машинист бульдозера</t>
        </is>
      </c>
      <c r="H2371" s="1" t="inlineStr">
        <is>
          <t>ООО "Амур Золото"</t>
        </is>
      </c>
      <c r="I2371" s="1" t="inlineStr">
        <is>
          <t>2708001686</t>
        </is>
      </c>
      <c r="J2371" s="1" t="inlineStr">
        <is>
          <t>ЮГОК ГРР 26-01</t>
        </is>
      </c>
      <c r="K2371" s="1" t="inlineStr">
        <is>
          <t>Использование (применение) средств индивидуальной защиты</t>
        </is>
      </c>
      <c r="L2371" s="1" t="inlineStr">
        <is>
          <t>23.05.2026</t>
        </is>
      </c>
      <c r="M2371" s="1" t="inlineStr">
        <is>
          <t>Успешно</t>
        </is>
      </c>
      <c r="N2371" s="1" t="inlineStr">
        <is>
          <t>25.05.2026</t>
        </is>
      </c>
      <c r="O2371" s="1" t="inlineStr"/>
      <c r="P2371" s="1" t="inlineStr"/>
      <c r="Q2371" s="1" t="inlineStr">
        <is>
          <t>Пользовательский интерфейс</t>
        </is>
      </c>
    </row>
    <row r="2372">
      <c r="B2372" s="1" t="inlineStr">
        <is>
          <t>197822427</t>
        </is>
      </c>
      <c r="C2372" s="1" t="inlineStr">
        <is>
          <t>14313485</t>
        </is>
      </c>
      <c r="D2372" t="inlineStr">
        <is>
          <t>работник 199</t>
        </is>
      </c>
      <c r="E2372" s="1" t="inlineStr">
        <is>
          <t>ОБЩЕСТВО С ОГРАНИЧЕННОЙ ОТВЕТСТВЕННОСТЬЮ "АМУР ЗОЛОТО"</t>
        </is>
      </c>
      <c r="F2372" s="1" t="inlineStr">
        <is>
          <t>2708001686</t>
        </is>
      </c>
      <c r="G2372" s="1" t="inlineStr">
        <is>
          <t>Машинист бульдозера</t>
        </is>
      </c>
      <c r="H2372" s="1" t="inlineStr">
        <is>
          <t>ООО "Амур Золото"</t>
        </is>
      </c>
      <c r="I2372" s="1" t="inlineStr">
        <is>
          <t>2708001686</t>
        </is>
      </c>
      <c r="J2372" s="1" t="inlineStr">
        <is>
          <t>ЮГОК ГРР 26-01</t>
        </is>
      </c>
      <c r="K237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372" s="1" t="inlineStr">
        <is>
          <t>23.05.2026</t>
        </is>
      </c>
      <c r="M2372" s="1" t="inlineStr">
        <is>
          <t>Успешно</t>
        </is>
      </c>
      <c r="N2372" s="1" t="inlineStr">
        <is>
          <t>25.05.2026</t>
        </is>
      </c>
      <c r="O2372" s="1" t="inlineStr"/>
      <c r="P2372" s="1" t="inlineStr"/>
      <c r="Q2372" s="1" t="inlineStr">
        <is>
          <t>Пользовательский интерфейс</t>
        </is>
      </c>
    </row>
    <row r="2373">
      <c r="B2373" s="1" t="inlineStr">
        <is>
          <t>197822428</t>
        </is>
      </c>
      <c r="C2373" s="1" t="inlineStr">
        <is>
          <t>14313485</t>
        </is>
      </c>
      <c r="D2373" t="inlineStr">
        <is>
          <t>работник 714</t>
        </is>
      </c>
      <c r="E2373" s="1" t="inlineStr">
        <is>
          <t>ОБЩЕСТВО С ОГРАНИЧЕННОЙ ОТВЕТСТВЕННОСТЬЮ "АМУР ЗОЛОТО"</t>
        </is>
      </c>
      <c r="F2373" s="1" t="inlineStr">
        <is>
          <t>2708001686</t>
        </is>
      </c>
      <c r="G2373" s="1" t="inlineStr">
        <is>
          <t>Повар</t>
        </is>
      </c>
      <c r="H2373" s="1" t="inlineStr">
        <is>
          <t>ООО "Амур Золото"</t>
        </is>
      </c>
      <c r="I2373" s="1" t="inlineStr">
        <is>
          <t>2708001686</t>
        </is>
      </c>
      <c r="J2373" s="1" t="inlineStr">
        <is>
          <t>ЮГОК ГРР 26-01</t>
        </is>
      </c>
      <c r="K237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373" s="1" t="inlineStr">
        <is>
          <t>23.05.2026</t>
        </is>
      </c>
      <c r="M2373" s="1" t="inlineStr">
        <is>
          <t>Успешно</t>
        </is>
      </c>
      <c r="N2373" s="1" t="inlineStr">
        <is>
          <t>25.05.2026</t>
        </is>
      </c>
      <c r="O2373" s="1" t="inlineStr"/>
      <c r="P2373" s="1" t="inlineStr"/>
      <c r="Q2373" s="1" t="inlineStr">
        <is>
          <t>Пользовательский интерфейс</t>
        </is>
      </c>
    </row>
    <row r="2374">
      <c r="B2374" s="1" t="inlineStr">
        <is>
          <t>197822429</t>
        </is>
      </c>
      <c r="C2374" s="1" t="inlineStr">
        <is>
          <t>14313485</t>
        </is>
      </c>
      <c r="D2374" t="inlineStr">
        <is>
          <t>работник 742</t>
        </is>
      </c>
      <c r="E2374" s="1" t="inlineStr">
        <is>
          <t>ОБЩЕСТВО С ОГРАНИЧЕННОЙ ОТВЕТСТВЕННОСТЬЮ "АМУР ЗОЛОТО"</t>
        </is>
      </c>
      <c r="F2374" s="1" t="inlineStr">
        <is>
          <t>2708001686</t>
        </is>
      </c>
      <c r="G2374" s="1" t="inlineStr">
        <is>
          <t>Повар</t>
        </is>
      </c>
      <c r="H2374" s="1" t="inlineStr">
        <is>
          <t>ООО "Амур Золото"</t>
        </is>
      </c>
      <c r="I2374" s="1" t="inlineStr">
        <is>
          <t>2708001686</t>
        </is>
      </c>
      <c r="J2374" s="1" t="inlineStr">
        <is>
          <t>ЮГОК ГРР 26-01</t>
        </is>
      </c>
      <c r="K2374" s="1" t="inlineStr">
        <is>
          <t>Использование (применение) средств индивидуальной защиты</t>
        </is>
      </c>
      <c r="L2374" s="1" t="inlineStr">
        <is>
          <t>23.05.2026</t>
        </is>
      </c>
      <c r="M2374" s="1" t="inlineStr">
        <is>
          <t>Успешно</t>
        </is>
      </c>
      <c r="N2374" s="1" t="inlineStr">
        <is>
          <t>25.05.2026</t>
        </is>
      </c>
      <c r="O2374" s="1" t="inlineStr"/>
      <c r="P2374" s="1" t="inlineStr"/>
      <c r="Q2374" s="1" t="inlineStr">
        <is>
          <t>Пользовательский интерфейс</t>
        </is>
      </c>
    </row>
    <row r="2375">
      <c r="B2375" s="1" t="inlineStr">
        <is>
          <t>197822430</t>
        </is>
      </c>
      <c r="C2375" s="1" t="inlineStr">
        <is>
          <t>14313485</t>
        </is>
      </c>
      <c r="D2375" t="inlineStr">
        <is>
          <t>работник 742</t>
        </is>
      </c>
      <c r="E2375" s="1" t="inlineStr">
        <is>
          <t>ОБЩЕСТВО С ОГРАНИЧЕННОЙ ОТВЕТСТВЕННОСТЬЮ "АМУР ЗОЛОТО"</t>
        </is>
      </c>
      <c r="F2375" s="1" t="inlineStr">
        <is>
          <t>2708001686</t>
        </is>
      </c>
      <c r="G2375" s="1" t="inlineStr">
        <is>
          <t>Повар</t>
        </is>
      </c>
      <c r="H2375" s="1" t="inlineStr">
        <is>
          <t>ООО "Амур Золото"</t>
        </is>
      </c>
      <c r="I2375" s="1" t="inlineStr">
        <is>
          <t>2708001686</t>
        </is>
      </c>
      <c r="J2375" s="1" t="inlineStr">
        <is>
          <t>ЮГОК ГРР 26-01</t>
        </is>
      </c>
      <c r="K237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375" s="1" t="inlineStr">
        <is>
          <t>23.05.2026</t>
        </is>
      </c>
      <c r="M2375" s="1" t="inlineStr">
        <is>
          <t>Успешно</t>
        </is>
      </c>
      <c r="N2375" s="1" t="inlineStr">
        <is>
          <t>25.05.2026</t>
        </is>
      </c>
      <c r="O2375" s="1" t="inlineStr"/>
      <c r="P2375" s="1" t="inlineStr"/>
      <c r="Q2375" s="1" t="inlineStr">
        <is>
          <t>Пользовательский интерфейс</t>
        </is>
      </c>
    </row>
    <row r="2376">
      <c r="B2376" s="1" t="inlineStr">
        <is>
          <t>197822431</t>
        </is>
      </c>
      <c r="C2376" s="1" t="inlineStr">
        <is>
          <t>14313485</t>
        </is>
      </c>
      <c r="D2376" t="inlineStr">
        <is>
          <t>работник 743</t>
        </is>
      </c>
      <c r="E2376" s="1" t="inlineStr">
        <is>
          <t>ОБЩЕСТВО С ОГРАНИЧЕННОЙ ОТВЕТСТВЕННОСТЬЮ "АМУР ЗОЛОТО"</t>
        </is>
      </c>
      <c r="F2376" s="1" t="inlineStr">
        <is>
          <t>2708001686</t>
        </is>
      </c>
      <c r="G2376" s="1" t="inlineStr">
        <is>
          <t>Водитель автомобиля (категория С)</t>
        </is>
      </c>
      <c r="H2376" s="1" t="inlineStr">
        <is>
          <t>ООО "Амур Золото"</t>
        </is>
      </c>
      <c r="I2376" s="1" t="inlineStr">
        <is>
          <t>2708001686</t>
        </is>
      </c>
      <c r="J2376" s="1" t="inlineStr">
        <is>
          <t>ЮГОК ГРР 26-01</t>
        </is>
      </c>
      <c r="K2376" s="1" t="inlineStr">
        <is>
          <t>Использование (применение) средств индивидуальной защиты</t>
        </is>
      </c>
      <c r="L2376" s="1" t="inlineStr">
        <is>
          <t>23.05.2026</t>
        </is>
      </c>
      <c r="M2376" s="1" t="inlineStr">
        <is>
          <t>Успешно</t>
        </is>
      </c>
      <c r="N2376" s="1" t="inlineStr">
        <is>
          <t>25.05.2026</t>
        </is>
      </c>
      <c r="O2376" s="1" t="inlineStr"/>
      <c r="P2376" s="1" t="inlineStr"/>
      <c r="Q2376" s="1" t="inlineStr">
        <is>
          <t>Пользовательский интерфейс</t>
        </is>
      </c>
    </row>
    <row r="2377">
      <c r="B2377" s="1" t="inlineStr">
        <is>
          <t>197822432</t>
        </is>
      </c>
      <c r="C2377" s="1" t="inlineStr">
        <is>
          <t>14313485</t>
        </is>
      </c>
      <c r="D2377" t="inlineStr">
        <is>
          <t>работник 743</t>
        </is>
      </c>
      <c r="E2377" s="1" t="inlineStr">
        <is>
          <t>ОБЩЕСТВО С ОГРАНИЧЕННОЙ ОТВЕТСТВЕННОСТЬЮ "АМУР ЗОЛОТО"</t>
        </is>
      </c>
      <c r="F2377" s="1" t="inlineStr">
        <is>
          <t>2708001686</t>
        </is>
      </c>
      <c r="G2377" s="1" t="inlineStr">
        <is>
          <t>Водитель автомобиля (категория С)</t>
        </is>
      </c>
      <c r="H2377" s="1" t="inlineStr">
        <is>
          <t>ООО "Амур Золото"</t>
        </is>
      </c>
      <c r="I2377" s="1" t="inlineStr">
        <is>
          <t>2708001686</t>
        </is>
      </c>
      <c r="J2377" s="1" t="inlineStr">
        <is>
          <t>ЮГОК ГРР 26-01</t>
        </is>
      </c>
      <c r="K237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377" s="1" t="inlineStr">
        <is>
          <t>23.05.2026</t>
        </is>
      </c>
      <c r="M2377" s="1" t="inlineStr">
        <is>
          <t>Успешно</t>
        </is>
      </c>
      <c r="N2377" s="1" t="inlineStr">
        <is>
          <t>25.05.2026</t>
        </is>
      </c>
      <c r="O2377" s="1" t="inlineStr"/>
      <c r="P2377" s="1" t="inlineStr"/>
      <c r="Q2377" s="1" t="inlineStr">
        <is>
          <t>Пользовательский интерфейс</t>
        </is>
      </c>
    </row>
    <row r="2378">
      <c r="B2378" s="1" t="inlineStr">
        <is>
          <t>197822433</t>
        </is>
      </c>
      <c r="C2378" s="1" t="inlineStr">
        <is>
          <t>14313485</t>
        </is>
      </c>
      <c r="D2378" t="inlineStr">
        <is>
          <t>работник 744</t>
        </is>
      </c>
      <c r="E2378" s="1" t="inlineStr">
        <is>
          <t>ОБЩЕСТВО С ОГРАНИЧЕННОЙ ОТВЕТСТВЕННОСТЬЮ "АМУР ЗОЛОТО"</t>
        </is>
      </c>
      <c r="F2378" s="1" t="inlineStr">
        <is>
          <t>2708001686</t>
        </is>
      </c>
      <c r="G2378" s="1" t="inlineStr">
        <is>
          <t>Механик</t>
        </is>
      </c>
      <c r="H2378" s="1" t="inlineStr">
        <is>
          <t>ООО "Амур Золото"</t>
        </is>
      </c>
      <c r="I2378" s="1" t="inlineStr">
        <is>
          <t>2708001686</t>
        </is>
      </c>
      <c r="J2378" s="1" t="inlineStr">
        <is>
          <t>ЮГОК ГРР 26-01</t>
        </is>
      </c>
      <c r="K2378" s="1" t="inlineStr">
        <is>
          <t>Использование (применение) средств индивидуальной защиты</t>
        </is>
      </c>
      <c r="L2378" s="1" t="inlineStr">
        <is>
          <t>23.05.2026</t>
        </is>
      </c>
      <c r="M2378" s="1" t="inlineStr">
        <is>
          <t>Успешно</t>
        </is>
      </c>
      <c r="N2378" s="1" t="inlineStr">
        <is>
          <t>25.05.2026</t>
        </is>
      </c>
      <c r="O2378" s="1" t="inlineStr"/>
      <c r="P2378" s="1" t="inlineStr"/>
      <c r="Q2378" s="1" t="inlineStr">
        <is>
          <t>Пользовательский интерфейс</t>
        </is>
      </c>
    </row>
    <row r="2379">
      <c r="B2379" s="1" t="inlineStr">
        <is>
          <t>197822434</t>
        </is>
      </c>
      <c r="C2379" s="1" t="inlineStr">
        <is>
          <t>14313485</t>
        </is>
      </c>
      <c r="D2379" t="inlineStr">
        <is>
          <t>работник 744</t>
        </is>
      </c>
      <c r="E2379" s="1" t="inlineStr">
        <is>
          <t>ОБЩЕСТВО С ОГРАНИЧЕННОЙ ОТВЕТСТВЕННОСТЬЮ "АМУР ЗОЛОТО"</t>
        </is>
      </c>
      <c r="F2379" s="1" t="inlineStr">
        <is>
          <t>2708001686</t>
        </is>
      </c>
      <c r="G2379" s="1" t="inlineStr">
        <is>
          <t>Механик</t>
        </is>
      </c>
      <c r="H2379" s="1" t="inlineStr">
        <is>
          <t>ООО "Амур Золото"</t>
        </is>
      </c>
      <c r="I2379" s="1" t="inlineStr">
        <is>
          <t>2708001686</t>
        </is>
      </c>
      <c r="J2379" s="1" t="inlineStr">
        <is>
          <t>ЮГОК ГРР 26-01</t>
        </is>
      </c>
      <c r="K237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379" s="1" t="inlineStr">
        <is>
          <t>23.05.2026</t>
        </is>
      </c>
      <c r="M2379" s="1" t="inlineStr">
        <is>
          <t>Успешно</t>
        </is>
      </c>
      <c r="N2379" s="1" t="inlineStr">
        <is>
          <t>25.05.2026</t>
        </is>
      </c>
      <c r="O2379" s="1" t="inlineStr"/>
      <c r="P2379" s="1" t="inlineStr"/>
      <c r="Q2379" s="1" t="inlineStr">
        <is>
          <t>Пользовательский интерфейс</t>
        </is>
      </c>
    </row>
    <row r="2380">
      <c r="B2380" s="1" t="inlineStr">
        <is>
          <t>197822435</t>
        </is>
      </c>
      <c r="C2380" s="1" t="inlineStr">
        <is>
          <t>14313485</t>
        </is>
      </c>
      <c r="D2380" t="inlineStr">
        <is>
          <t>работник 744</t>
        </is>
      </c>
      <c r="E2380" s="1" t="inlineStr">
        <is>
          <t>ОБЩЕСТВО С ОГРАНИЧЕННОЙ ОТВЕТСТВЕННОСТЬЮ "АМУР ЗОЛОТО"</t>
        </is>
      </c>
      <c r="F2380" s="1" t="inlineStr">
        <is>
          <t>2708001686</t>
        </is>
      </c>
      <c r="G2380" s="1" t="inlineStr">
        <is>
          <t>Механик</t>
        </is>
      </c>
      <c r="H2380" s="1" t="inlineStr">
        <is>
          <t>ООО "Амур Золото"</t>
        </is>
      </c>
      <c r="I2380" s="1" t="inlineStr">
        <is>
          <t>2708001686</t>
        </is>
      </c>
      <c r="J2380" s="1" t="inlineStr">
        <is>
          <t>ЮГОК ГРР 26-01</t>
        </is>
      </c>
      <c r="K2380" s="1" t="inlineStr">
        <is>
          <t>Безопасные методы и приемы выполнения огневых работ</t>
        </is>
      </c>
      <c r="L2380" s="1" t="inlineStr">
        <is>
          <t>23.05.2026</t>
        </is>
      </c>
      <c r="M2380" s="1" t="inlineStr">
        <is>
          <t>Успешно</t>
        </is>
      </c>
      <c r="N2380" s="1" t="inlineStr">
        <is>
          <t>25.05.2026</t>
        </is>
      </c>
      <c r="O2380" s="1" t="inlineStr"/>
      <c r="P2380" s="1" t="inlineStr"/>
      <c r="Q2380" s="1" t="inlineStr">
        <is>
          <t>Пользовательский интерфейс</t>
        </is>
      </c>
    </row>
    <row r="2381">
      <c r="B2381" s="1" t="inlineStr">
        <is>
          <t>197822436</t>
        </is>
      </c>
      <c r="C2381" s="1" t="inlineStr">
        <is>
          <t>14313485</t>
        </is>
      </c>
      <c r="D2381" t="inlineStr">
        <is>
          <t>работник 745</t>
        </is>
      </c>
      <c r="E2381" s="1" t="inlineStr">
        <is>
          <t>ОБЩЕСТВО С ОГРАНИЧЕННОЙ ОТВЕТСТВЕННОСТЬЮ "АМУР ЗОЛОТО"</t>
        </is>
      </c>
      <c r="F2381" s="1" t="inlineStr">
        <is>
          <t>2708001686</t>
        </is>
      </c>
      <c r="G2381" s="1" t="inlineStr">
        <is>
          <t>Водитель автомобиля (категория С)</t>
        </is>
      </c>
      <c r="H2381" s="1" t="inlineStr">
        <is>
          <t>ООО "Амур Золото"</t>
        </is>
      </c>
      <c r="I2381" s="1" t="inlineStr">
        <is>
          <t>2708001686</t>
        </is>
      </c>
      <c r="J2381" s="1" t="inlineStr">
        <is>
          <t>ЮГОК ГРР 26-01</t>
        </is>
      </c>
      <c r="K2381" s="1" t="inlineStr">
        <is>
          <t>Использование (применение) средств индивидуальной защиты</t>
        </is>
      </c>
      <c r="L2381" s="1" t="inlineStr">
        <is>
          <t>23.05.2026</t>
        </is>
      </c>
      <c r="M2381" s="1" t="inlineStr">
        <is>
          <t>Успешно</t>
        </is>
      </c>
      <c r="N2381" s="1" t="inlineStr">
        <is>
          <t>25.05.2026</t>
        </is>
      </c>
      <c r="O2381" s="1" t="inlineStr"/>
      <c r="P2381" s="1" t="inlineStr"/>
      <c r="Q2381" s="1" t="inlineStr">
        <is>
          <t>Пользовательский интерфейс</t>
        </is>
      </c>
    </row>
    <row r="2382">
      <c r="B2382" s="1" t="inlineStr">
        <is>
          <t>197822437</t>
        </is>
      </c>
      <c r="C2382" s="1" t="inlineStr">
        <is>
          <t>14313485</t>
        </is>
      </c>
      <c r="D2382" t="inlineStr">
        <is>
          <t>работник 745</t>
        </is>
      </c>
      <c r="E2382" s="1" t="inlineStr">
        <is>
          <t>ОБЩЕСТВО С ОГРАНИЧЕННОЙ ОТВЕТСТВЕННОСТЬЮ "АМУР ЗОЛОТО"</t>
        </is>
      </c>
      <c r="F2382" s="1" t="inlineStr">
        <is>
          <t>2708001686</t>
        </is>
      </c>
      <c r="G2382" s="1" t="inlineStr">
        <is>
          <t>Водитель автомобиля (категория С)</t>
        </is>
      </c>
      <c r="H2382" s="1" t="inlineStr">
        <is>
          <t>ООО "Амур Золото"</t>
        </is>
      </c>
      <c r="I2382" s="1" t="inlineStr">
        <is>
          <t>2708001686</t>
        </is>
      </c>
      <c r="J2382" s="1" t="inlineStr">
        <is>
          <t>ЮГОК ГРР 26-01</t>
        </is>
      </c>
      <c r="K238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382" s="1" t="inlineStr">
        <is>
          <t>23.05.2026</t>
        </is>
      </c>
      <c r="M2382" s="1" t="inlineStr">
        <is>
          <t>Успешно</t>
        </is>
      </c>
      <c r="N2382" s="1" t="inlineStr">
        <is>
          <t>25.05.2026</t>
        </is>
      </c>
      <c r="O2382" s="1" t="inlineStr"/>
      <c r="P2382" s="1" t="inlineStr"/>
      <c r="Q2382" s="1" t="inlineStr">
        <is>
          <t>Пользовательский интерфейс</t>
        </is>
      </c>
    </row>
    <row r="2383">
      <c r="B2383" s="1" t="inlineStr">
        <is>
          <t>197822438</t>
        </is>
      </c>
      <c r="C2383" s="1" t="inlineStr">
        <is>
          <t>14313485</t>
        </is>
      </c>
      <c r="D2383" t="inlineStr">
        <is>
          <t>работник 746</t>
        </is>
      </c>
      <c r="E2383" s="1" t="inlineStr">
        <is>
          <t>ОБЩЕСТВО С ОГРАНИЧЕННОЙ ОТВЕТСТВЕННОСТЬЮ "АМУР ЗОЛОТО"</t>
        </is>
      </c>
      <c r="F2383" s="1" t="inlineStr">
        <is>
          <t>2708001686</t>
        </is>
      </c>
      <c r="G2383" s="1" t="inlineStr">
        <is>
          <t>Начальник по рудному направлению</t>
        </is>
      </c>
      <c r="H2383" s="1" t="inlineStr">
        <is>
          <t>ООО "Амур Золото"</t>
        </is>
      </c>
      <c r="I2383" s="1" t="inlineStr">
        <is>
          <t>2708001686</t>
        </is>
      </c>
      <c r="J2383" s="1" t="inlineStr">
        <is>
          <t>ЮГОК ГРР 26-01</t>
        </is>
      </c>
      <c r="K2383" s="1" t="inlineStr">
        <is>
          <t>Использование (применение) средств индивидуальной защиты</t>
        </is>
      </c>
      <c r="L2383" s="1" t="inlineStr">
        <is>
          <t>23.05.2026</t>
        </is>
      </c>
      <c r="M2383" s="1" t="inlineStr">
        <is>
          <t>Успешно</t>
        </is>
      </c>
      <c r="N2383" s="1" t="inlineStr">
        <is>
          <t>25.05.2026</t>
        </is>
      </c>
      <c r="O2383" s="1" t="inlineStr"/>
      <c r="P2383" s="1" t="inlineStr"/>
      <c r="Q2383" s="1" t="inlineStr">
        <is>
          <t>Пользовательский интерфейс</t>
        </is>
      </c>
    </row>
    <row r="2384">
      <c r="B2384" s="1" t="inlineStr">
        <is>
          <t>197822439</t>
        </is>
      </c>
      <c r="C2384" s="1" t="inlineStr">
        <is>
          <t>14313485</t>
        </is>
      </c>
      <c r="D2384" t="inlineStr">
        <is>
          <t>работник 746</t>
        </is>
      </c>
      <c r="E2384" s="1" t="inlineStr">
        <is>
          <t>ОБЩЕСТВО С ОГРАНИЧЕННОЙ ОТВЕТСТВЕННОСТЬЮ "АМУР ЗОЛОТО"</t>
        </is>
      </c>
      <c r="F2384" s="1" t="inlineStr">
        <is>
          <t>2708001686</t>
        </is>
      </c>
      <c r="G2384" s="1" t="inlineStr">
        <is>
          <t>Начальник по рудному направлению</t>
        </is>
      </c>
      <c r="H2384" s="1" t="inlineStr">
        <is>
          <t>ООО "Амур Золото"</t>
        </is>
      </c>
      <c r="I2384" s="1" t="inlineStr">
        <is>
          <t>2708001686</t>
        </is>
      </c>
      <c r="J2384" s="1" t="inlineStr">
        <is>
          <t>ЮГОК ГРР 26-01</t>
        </is>
      </c>
      <c r="K2384" s="132" t="inlineStr">
        <is>
          <t>Общие вопросы охраны труда и функционирования системы управления охраной труда</t>
        </is>
      </c>
      <c r="L2384" s="1" t="inlineStr">
        <is>
          <t>23.05.2026</t>
        </is>
      </c>
      <c r="M2384" s="1" t="inlineStr">
        <is>
          <t>Успешно</t>
        </is>
      </c>
      <c r="N2384" s="1" t="inlineStr">
        <is>
          <t>25.05.2026</t>
        </is>
      </c>
      <c r="O2384" s="1" t="inlineStr"/>
      <c r="P2384" s="1" t="inlineStr"/>
      <c r="Q2384" s="1" t="inlineStr">
        <is>
          <t>Пользовательский интерфейс</t>
        </is>
      </c>
      <c r="R2384" s="13" t="inlineStr">
        <is>
          <t>Нет отклонения</t>
        </is>
      </c>
      <c r="S2384" s="13" t="inlineStr">
        <is>
          <t>ПП РФ № 2464, п. 53 подп. «б»: руководителю структурного подразделения программы 46а и 46б требуются.</t>
        </is>
      </c>
    </row>
    <row r="2385">
      <c r="B2385" s="1" t="inlineStr">
        <is>
          <t>197822440</t>
        </is>
      </c>
      <c r="C2385" s="1" t="inlineStr">
        <is>
          <t>14313485</t>
        </is>
      </c>
      <c r="D2385" t="inlineStr">
        <is>
          <t>работник 746</t>
        </is>
      </c>
      <c r="E2385" s="1" t="inlineStr">
        <is>
          <t>ОБЩЕСТВО С ОГРАНИЧЕННОЙ ОТВЕТСТВЕННОСТЬЮ "АМУР ЗОЛОТО"</t>
        </is>
      </c>
      <c r="F2385" s="1" t="inlineStr">
        <is>
          <t>2708001686</t>
        </is>
      </c>
      <c r="G2385" s="1" t="inlineStr">
        <is>
          <t>Начальник по рудному направлению</t>
        </is>
      </c>
      <c r="H2385" s="1" t="inlineStr">
        <is>
          <t>ООО "Амур Золото"</t>
        </is>
      </c>
      <c r="I2385" s="1" t="inlineStr">
        <is>
          <t>2708001686</t>
        </is>
      </c>
      <c r="J2385" s="1" t="inlineStr">
        <is>
          <t>ЮГОК ГРР 26-01</t>
        </is>
      </c>
      <c r="K238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385" s="1" t="inlineStr">
        <is>
          <t>23.05.2026</t>
        </is>
      </c>
      <c r="M2385" s="1" t="inlineStr">
        <is>
          <t>Успешно</t>
        </is>
      </c>
      <c r="N2385" s="1" t="inlineStr">
        <is>
          <t>25.05.2026</t>
        </is>
      </c>
      <c r="O2385" s="1" t="inlineStr"/>
      <c r="P2385" s="1" t="inlineStr"/>
      <c r="Q2385" s="1" t="inlineStr">
        <is>
          <t>Пользовательский интерфейс</t>
        </is>
      </c>
    </row>
    <row r="2386">
      <c r="B2386" s="1" t="inlineStr">
        <is>
          <t>197822441</t>
        </is>
      </c>
      <c r="C2386" s="1" t="inlineStr">
        <is>
          <t>14313485</t>
        </is>
      </c>
      <c r="D2386" t="inlineStr">
        <is>
          <t>работник 747</t>
        </is>
      </c>
      <c r="E2386" s="1" t="inlineStr">
        <is>
          <t>ОБЩЕСТВО С ОГРАНИЧЕННОЙ ОТВЕТСТВЕННОСТЬЮ "АМУР ЗОЛОТО"</t>
        </is>
      </c>
      <c r="F2386" s="1" t="inlineStr">
        <is>
          <t>2708001686</t>
        </is>
      </c>
      <c r="G2386" s="1" t="inlineStr">
        <is>
          <t>Водитель автомобиля (с правом управления КМУ)</t>
        </is>
      </c>
      <c r="H2386" s="1" t="inlineStr">
        <is>
          <t>ООО "Амур Золото"</t>
        </is>
      </c>
      <c r="I2386" s="1" t="inlineStr">
        <is>
          <t>2708001686</t>
        </is>
      </c>
      <c r="J2386" s="1" t="inlineStr">
        <is>
          <t>ЮГОК ГРР 26-01</t>
        </is>
      </c>
      <c r="K2386" s="1" t="inlineStr">
        <is>
          <t>Использование (применение) средств индивидуальной защиты</t>
        </is>
      </c>
      <c r="L2386" s="1" t="inlineStr">
        <is>
          <t>23.05.2026</t>
        </is>
      </c>
      <c r="M2386" s="1" t="inlineStr">
        <is>
          <t>Успешно</t>
        </is>
      </c>
      <c r="N2386" s="1" t="inlineStr">
        <is>
          <t>25.05.2026</t>
        </is>
      </c>
      <c r="O2386" s="1" t="inlineStr"/>
      <c r="P2386" s="1" t="inlineStr"/>
      <c r="Q2386" s="1" t="inlineStr">
        <is>
          <t>Пользовательский интерфейс</t>
        </is>
      </c>
    </row>
    <row r="2387">
      <c r="B2387" s="1" t="inlineStr">
        <is>
          <t>197822442</t>
        </is>
      </c>
      <c r="C2387" s="1" t="inlineStr">
        <is>
          <t>14313485</t>
        </is>
      </c>
      <c r="D2387" t="inlineStr">
        <is>
          <t>работник 747</t>
        </is>
      </c>
      <c r="E2387" s="1" t="inlineStr">
        <is>
          <t>ОБЩЕСТВО С ОГРАНИЧЕННОЙ ОТВЕТСТВЕННОСТЬЮ "АМУР ЗОЛОТО"</t>
        </is>
      </c>
      <c r="F2387" s="1" t="inlineStr">
        <is>
          <t>2708001686</t>
        </is>
      </c>
      <c r="G2387" s="1" t="inlineStr">
        <is>
          <t>Водитель автомобиля (с правом управления КМУ)</t>
        </is>
      </c>
      <c r="H2387" s="1" t="inlineStr">
        <is>
          <t>ООО "Амур Золото"</t>
        </is>
      </c>
      <c r="I2387" s="1" t="inlineStr">
        <is>
          <t>2708001686</t>
        </is>
      </c>
      <c r="J2387" s="1" t="inlineStr">
        <is>
          <t>ЮГОК ГРР 26-01</t>
        </is>
      </c>
      <c r="K238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387" s="1" t="inlineStr">
        <is>
          <t>23.05.2026</t>
        </is>
      </c>
      <c r="M2387" s="1" t="inlineStr">
        <is>
          <t>Успешно</t>
        </is>
      </c>
      <c r="N2387" s="1" t="inlineStr">
        <is>
          <t>25.05.2026</t>
        </is>
      </c>
      <c r="O2387" s="1" t="inlineStr"/>
      <c r="P2387" s="1" t="inlineStr"/>
      <c r="Q2387" s="1" t="inlineStr">
        <is>
          <t>Пользовательский интерфейс</t>
        </is>
      </c>
    </row>
    <row r="2388">
      <c r="B2388" s="1" t="inlineStr">
        <is>
          <t>200896945</t>
        </is>
      </c>
      <c r="C2388" s="1" t="inlineStr">
        <is>
          <t>14513218</t>
        </is>
      </c>
      <c r="D2388" t="inlineStr">
        <is>
          <t>работник 748</t>
        </is>
      </c>
      <c r="E2388" s="1" t="inlineStr">
        <is>
          <t>ОБЩЕСТВО С ОГРАНИЧЕННОЙ ОТВЕТСТВЕННОСТЬЮ "АМУР ЗОЛОТО"</t>
        </is>
      </c>
      <c r="F2388" s="1" t="inlineStr">
        <is>
          <t>2708001686</t>
        </is>
      </c>
      <c r="G2388" s="1" t="inlineStr">
        <is>
          <t>Аппаратчик сгустителей</t>
        </is>
      </c>
      <c r="H2388" s="1" t="inlineStr">
        <is>
          <t>ООО "Амур Золото"</t>
        </is>
      </c>
      <c r="I2388" s="1" t="inlineStr">
        <is>
          <t>2708001686</t>
        </is>
      </c>
      <c r="J2388" s="1" t="inlineStr">
        <is>
          <t>ЮГОК ЗИОФ 26-01</t>
        </is>
      </c>
      <c r="K2388" s="1" t="inlineStr">
        <is>
          <t>Оказание первой помощи пострадавшим</t>
        </is>
      </c>
      <c r="L2388" s="1" t="inlineStr">
        <is>
          <t>05.06.2026</t>
        </is>
      </c>
      <c r="M2388" s="1" t="inlineStr">
        <is>
          <t>Успешно</t>
        </is>
      </c>
      <c r="N2388" s="1" t="inlineStr">
        <is>
          <t>08.06.2026</t>
        </is>
      </c>
      <c r="O2388" s="1" t="inlineStr"/>
      <c r="P2388" s="1" t="inlineStr"/>
      <c r="Q2388" s="1" t="inlineStr">
        <is>
          <t>Пользовательский интерфейс</t>
        </is>
      </c>
    </row>
    <row r="2389">
      <c r="B2389" s="1" t="inlineStr">
        <is>
          <t>200896946</t>
        </is>
      </c>
      <c r="C2389" s="1" t="inlineStr">
        <is>
          <t>14513218</t>
        </is>
      </c>
      <c r="D2389" t="inlineStr">
        <is>
          <t>работник 748</t>
        </is>
      </c>
      <c r="E2389" s="1" t="inlineStr">
        <is>
          <t>ОБЩЕСТВО С ОГРАНИЧЕННОЙ ОТВЕТСТВЕННОСТЬЮ "АМУР ЗОЛОТО"</t>
        </is>
      </c>
      <c r="F2389" s="1" t="inlineStr">
        <is>
          <t>2708001686</t>
        </is>
      </c>
      <c r="G2389" s="1" t="inlineStr">
        <is>
          <t>Аппаратчик сгустителей</t>
        </is>
      </c>
      <c r="H2389" s="1" t="inlineStr">
        <is>
          <t>ООО "Амур Золото"</t>
        </is>
      </c>
      <c r="I2389" s="1" t="inlineStr">
        <is>
          <t>2708001686</t>
        </is>
      </c>
      <c r="J2389" s="1" t="inlineStr">
        <is>
          <t>ЮГОК ЗИОФ 26-01</t>
        </is>
      </c>
      <c r="K2389" s="1" t="inlineStr">
        <is>
          <t>Использование (применение) средств индивидуальной защиты</t>
        </is>
      </c>
      <c r="L2389" s="1" t="inlineStr">
        <is>
          <t>05.06.2026</t>
        </is>
      </c>
      <c r="M2389" s="1" t="inlineStr">
        <is>
          <t>Успешно</t>
        </is>
      </c>
      <c r="N2389" s="1" t="inlineStr">
        <is>
          <t>08.06.2026</t>
        </is>
      </c>
      <c r="O2389" s="1" t="inlineStr"/>
      <c r="P2389" s="1" t="inlineStr"/>
      <c r="Q2389" s="1" t="inlineStr">
        <is>
          <t>Пользовательский интерфейс</t>
        </is>
      </c>
    </row>
    <row r="2390">
      <c r="B2390" s="1" t="inlineStr">
        <is>
          <t>200896947</t>
        </is>
      </c>
      <c r="C2390" s="1" t="inlineStr">
        <is>
          <t>14513218</t>
        </is>
      </c>
      <c r="D2390" t="inlineStr">
        <is>
          <t>работник 748</t>
        </is>
      </c>
      <c r="E2390" s="1" t="inlineStr">
        <is>
          <t>ОБЩЕСТВО С ОГРАНИЧЕННОЙ ОТВЕТСТВЕННОСТЬЮ "АМУР ЗОЛОТО"</t>
        </is>
      </c>
      <c r="F2390" s="1" t="inlineStr">
        <is>
          <t>2708001686</t>
        </is>
      </c>
      <c r="G2390" s="1" t="inlineStr">
        <is>
          <t>Аппаратчик сгустителей</t>
        </is>
      </c>
      <c r="H2390" s="1" t="inlineStr">
        <is>
          <t>ООО "Амур Золото"</t>
        </is>
      </c>
      <c r="I2390" s="1" t="inlineStr">
        <is>
          <t>2708001686</t>
        </is>
      </c>
      <c r="J2390" s="1" t="inlineStr">
        <is>
          <t>ЮГОК ЗИОФ 26-01</t>
        </is>
      </c>
      <c r="K239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390" s="1" t="inlineStr">
        <is>
          <t>05.06.2026</t>
        </is>
      </c>
      <c r="M2390" s="1" t="inlineStr">
        <is>
          <t>Успешно</t>
        </is>
      </c>
      <c r="N2390" s="1" t="inlineStr">
        <is>
          <t>08.06.2026</t>
        </is>
      </c>
      <c r="O2390" s="1" t="inlineStr"/>
      <c r="P2390" s="1" t="inlineStr"/>
      <c r="Q2390" s="1" t="inlineStr">
        <is>
          <t>Пользовательский интерфейс</t>
        </is>
      </c>
    </row>
    <row r="2391">
      <c r="B2391" s="1" t="inlineStr">
        <is>
          <t>200896948</t>
        </is>
      </c>
      <c r="C2391" s="1" t="inlineStr">
        <is>
          <t>14513218</t>
        </is>
      </c>
      <c r="D2391" t="inlineStr">
        <is>
          <t>работник 748</t>
        </is>
      </c>
      <c r="E2391" s="1" t="inlineStr">
        <is>
          <t>ОБЩЕСТВО С ОГРАНИЧЕННОЙ ОТВЕТСТВЕННОСТЬЮ "АМУР ЗОЛОТО"</t>
        </is>
      </c>
      <c r="F2391" s="1" t="inlineStr">
        <is>
          <t>2708001686</t>
        </is>
      </c>
      <c r="G2391" s="1" t="inlineStr">
        <is>
          <t>Аппаратчик сгустителей</t>
        </is>
      </c>
      <c r="H2391" s="1" t="inlineStr">
        <is>
          <t>ООО "Амур Золото"</t>
        </is>
      </c>
      <c r="I2391" s="1" t="inlineStr">
        <is>
          <t>2708001686</t>
        </is>
      </c>
      <c r="J2391" s="1" t="inlineStr">
        <is>
          <t>ЮГОК ЗИОФ 26-01</t>
        </is>
      </c>
      <c r="K2391" s="1" t="inlineStr">
        <is>
          <t>Безопасные методы и приемы выполнения работ на высоте</t>
        </is>
      </c>
      <c r="L2391" s="1" t="inlineStr">
        <is>
          <t>05.06.2026</t>
        </is>
      </c>
      <c r="M2391" s="1" t="inlineStr">
        <is>
          <t>Успешно</t>
        </is>
      </c>
      <c r="N2391" s="1" t="inlineStr">
        <is>
          <t>08.06.2026</t>
        </is>
      </c>
      <c r="O2391" s="1" t="inlineStr"/>
      <c r="P2391" s="1" t="inlineStr"/>
      <c r="Q2391" s="1" t="inlineStr">
        <is>
          <t>Пользовательский интерфейс</t>
        </is>
      </c>
    </row>
    <row r="2392">
      <c r="B2392" s="1" t="inlineStr">
        <is>
          <t>200896949</t>
        </is>
      </c>
      <c r="C2392" s="1" t="inlineStr">
        <is>
          <t>14513218</t>
        </is>
      </c>
      <c r="D2392" t="inlineStr">
        <is>
          <t>работник 748</t>
        </is>
      </c>
      <c r="E2392" s="1" t="inlineStr">
        <is>
          <t>ОБЩЕСТВО С ОГРАНИЧЕННОЙ ОТВЕТСТВЕННОСТЬЮ "АМУР ЗОЛОТО"</t>
        </is>
      </c>
      <c r="F2392" s="1" t="inlineStr">
        <is>
          <t>2708001686</t>
        </is>
      </c>
      <c r="G2392" s="1" t="inlineStr">
        <is>
          <t>Аппаратчик сгустителей</t>
        </is>
      </c>
      <c r="H2392" s="1" t="inlineStr">
        <is>
          <t>ООО "Амур Золото"</t>
        </is>
      </c>
      <c r="I2392" s="1" t="inlineStr">
        <is>
          <t>2708001686</t>
        </is>
      </c>
      <c r="J2392" s="1" t="inlineStr">
        <is>
          <t>ЮГОК ЗИОФ 26-01</t>
        </is>
      </c>
      <c r="K2392" s="1" t="inlineStr">
        <is>
          <t>Безопасные методы и приемы выполнения работ в ограниченных и замкнутых пространствах (ОЗП)</t>
        </is>
      </c>
      <c r="L2392" s="1" t="inlineStr">
        <is>
          <t>05.06.2026</t>
        </is>
      </c>
      <c r="M2392" s="1" t="inlineStr">
        <is>
          <t>Успешно</t>
        </is>
      </c>
      <c r="N2392" s="1" t="inlineStr">
        <is>
          <t>08.06.2026</t>
        </is>
      </c>
      <c r="O2392" s="1" t="inlineStr"/>
      <c r="P2392" s="1" t="inlineStr"/>
      <c r="Q2392" s="1" t="inlineStr">
        <is>
          <t>Пользовательский интерфейс</t>
        </is>
      </c>
    </row>
    <row r="2393">
      <c r="B2393" s="1" t="inlineStr">
        <is>
          <t>200896950</t>
        </is>
      </c>
      <c r="C2393" s="1" t="inlineStr">
        <is>
          <t>14513218</t>
        </is>
      </c>
      <c r="D2393" t="inlineStr">
        <is>
          <t>работник 557</t>
        </is>
      </c>
      <c r="E2393" s="1" t="inlineStr">
        <is>
          <t>ОБЩЕСТВО С ОГРАНИЧЕННОЙ ОТВЕТСТВЕННОСТЬЮ "АМУР ЗОЛОТО"</t>
        </is>
      </c>
      <c r="F2393" s="1" t="inlineStr">
        <is>
          <t>2708001686</t>
        </is>
      </c>
      <c r="G2393" s="1" t="inlineStr">
        <is>
          <t>Аппаратчик сгустителей</t>
        </is>
      </c>
      <c r="H2393" s="1" t="inlineStr">
        <is>
          <t>ООО "Амур Золото"</t>
        </is>
      </c>
      <c r="I2393" s="1" t="inlineStr">
        <is>
          <t>2708001686</t>
        </is>
      </c>
      <c r="J2393" s="1" t="inlineStr">
        <is>
          <t>ЮГОК ЗИОФ 26-01</t>
        </is>
      </c>
      <c r="K2393" s="1" t="inlineStr">
        <is>
          <t>Оказание первой помощи пострадавшим</t>
        </is>
      </c>
      <c r="L2393" s="1" t="inlineStr">
        <is>
          <t>05.06.2026</t>
        </is>
      </c>
      <c r="M2393" s="1" t="inlineStr">
        <is>
          <t>Успешно</t>
        </is>
      </c>
      <c r="N2393" s="1" t="inlineStr">
        <is>
          <t>08.06.2026</t>
        </is>
      </c>
      <c r="O2393" s="1" t="inlineStr"/>
      <c r="P2393" s="1" t="inlineStr"/>
      <c r="Q2393" s="1" t="inlineStr">
        <is>
          <t>Пользовательский интерфейс</t>
        </is>
      </c>
    </row>
    <row r="2394">
      <c r="B2394" s="1" t="inlineStr">
        <is>
          <t>200896951</t>
        </is>
      </c>
      <c r="C2394" s="1" t="inlineStr">
        <is>
          <t>14513218</t>
        </is>
      </c>
      <c r="D2394" t="inlineStr">
        <is>
          <t>работник 557</t>
        </is>
      </c>
      <c r="E2394" s="1" t="inlineStr">
        <is>
          <t>ОБЩЕСТВО С ОГРАНИЧЕННОЙ ОТВЕТСТВЕННОСТЬЮ "АМУР ЗОЛОТО"</t>
        </is>
      </c>
      <c r="F2394" s="1" t="inlineStr">
        <is>
          <t>2708001686</t>
        </is>
      </c>
      <c r="G2394" s="1" t="inlineStr">
        <is>
          <t>Аппаратчик сгустителей</t>
        </is>
      </c>
      <c r="H2394" s="1" t="inlineStr">
        <is>
          <t>ООО "Амур Золото"</t>
        </is>
      </c>
      <c r="I2394" s="1" t="inlineStr">
        <is>
          <t>2708001686</t>
        </is>
      </c>
      <c r="J2394" s="1" t="inlineStr">
        <is>
          <t>ЮГОК ЗИОФ 26-01</t>
        </is>
      </c>
      <c r="K2394" s="1" t="inlineStr">
        <is>
          <t>Безопасные методы и приемы выполнения работ на высоте</t>
        </is>
      </c>
      <c r="L2394" s="1" t="inlineStr">
        <is>
          <t>05.06.2026</t>
        </is>
      </c>
      <c r="M2394" s="1" t="inlineStr">
        <is>
          <t>Успешно</t>
        </is>
      </c>
      <c r="N2394" s="1" t="inlineStr">
        <is>
          <t>08.06.2026</t>
        </is>
      </c>
      <c r="O2394" s="1" t="inlineStr"/>
      <c r="P2394" s="1" t="inlineStr"/>
      <c r="Q2394" s="1" t="inlineStr">
        <is>
          <t>Пользовательский интерфейс</t>
        </is>
      </c>
    </row>
    <row r="2395">
      <c r="B2395" s="1" t="inlineStr">
        <is>
          <t>200896952</t>
        </is>
      </c>
      <c r="C2395" s="1" t="inlineStr">
        <is>
          <t>14513218</t>
        </is>
      </c>
      <c r="D2395" t="inlineStr">
        <is>
          <t>работник 557</t>
        </is>
      </c>
      <c r="E2395" s="1" t="inlineStr">
        <is>
          <t>ОБЩЕСТВО С ОГРАНИЧЕННОЙ ОТВЕТСТВЕННОСТЬЮ "АМУР ЗОЛОТО"</t>
        </is>
      </c>
      <c r="F2395" s="1" t="inlineStr">
        <is>
          <t>2708001686</t>
        </is>
      </c>
      <c r="G2395" s="1" t="inlineStr">
        <is>
          <t>Аппаратчик сгустителей</t>
        </is>
      </c>
      <c r="H2395" s="1" t="inlineStr">
        <is>
          <t>ООО "Амур Золото"</t>
        </is>
      </c>
      <c r="I2395" s="1" t="inlineStr">
        <is>
          <t>2708001686</t>
        </is>
      </c>
      <c r="J2395" s="1" t="inlineStr">
        <is>
          <t>ЮГОК ЗИОФ 26-01</t>
        </is>
      </c>
      <c r="K2395" s="1" t="inlineStr">
        <is>
          <t>Безопасные методы и приемы выполнения работ в ограниченных и замкнутых пространствах (ОЗП)</t>
        </is>
      </c>
      <c r="L2395" s="1" t="inlineStr">
        <is>
          <t>05.06.2026</t>
        </is>
      </c>
      <c r="M2395" s="1" t="inlineStr">
        <is>
          <t>Успешно</t>
        </is>
      </c>
      <c r="N2395" s="1" t="inlineStr">
        <is>
          <t>08.06.2026</t>
        </is>
      </c>
      <c r="O2395" s="1" t="inlineStr"/>
      <c r="P2395" s="1" t="inlineStr"/>
      <c r="Q2395" s="1" t="inlineStr">
        <is>
          <t>Пользовательский интерфейс</t>
        </is>
      </c>
    </row>
    <row r="2396">
      <c r="B2396" s="1" t="inlineStr">
        <is>
          <t>200896953</t>
        </is>
      </c>
      <c r="C2396" s="1" t="inlineStr">
        <is>
          <t>14513218</t>
        </is>
      </c>
      <c r="D2396" t="inlineStr">
        <is>
          <t>работник 617</t>
        </is>
      </c>
      <c r="E2396" s="1" t="inlineStr">
        <is>
          <t>ОБЩЕСТВО С ОГРАНИЧЕННОЙ ОТВЕТСТВЕННОСТЬЮ "АМУР ЗОЛОТО"</t>
        </is>
      </c>
      <c r="F2396" s="1" t="inlineStr">
        <is>
          <t>2708001686</t>
        </is>
      </c>
      <c r="G2396" s="1" t="inlineStr">
        <is>
          <t>Фильтровальщик</t>
        </is>
      </c>
      <c r="H2396" s="1" t="inlineStr">
        <is>
          <t>ООО "Амур Золото"</t>
        </is>
      </c>
      <c r="I2396" s="1" t="inlineStr">
        <is>
          <t>2708001686</t>
        </is>
      </c>
      <c r="J2396" s="1" t="inlineStr">
        <is>
          <t>ЮГОК ЗИОФ 26-01</t>
        </is>
      </c>
      <c r="K2396" s="1" t="inlineStr">
        <is>
          <t>Оказание первой помощи пострадавшим</t>
        </is>
      </c>
      <c r="L2396" s="1" t="inlineStr">
        <is>
          <t>05.06.2026</t>
        </is>
      </c>
      <c r="M2396" s="1" t="inlineStr">
        <is>
          <t>Успешно</t>
        </is>
      </c>
      <c r="N2396" s="1" t="inlineStr">
        <is>
          <t>08.06.2026</t>
        </is>
      </c>
      <c r="O2396" s="1" t="inlineStr"/>
      <c r="P2396" s="1" t="inlineStr"/>
      <c r="Q2396" s="1" t="inlineStr">
        <is>
          <t>Пользовательский интерфейс</t>
        </is>
      </c>
    </row>
    <row r="2397">
      <c r="B2397" s="1" t="inlineStr">
        <is>
          <t>200896954</t>
        </is>
      </c>
      <c r="C2397" s="1" t="inlineStr">
        <is>
          <t>14513218</t>
        </is>
      </c>
      <c r="D2397" t="inlineStr">
        <is>
          <t>работник 617</t>
        </is>
      </c>
      <c r="E2397" s="1" t="inlineStr">
        <is>
          <t>ОБЩЕСТВО С ОГРАНИЧЕННОЙ ОТВЕТСТВЕННОСТЬЮ "АМУР ЗОЛОТО"</t>
        </is>
      </c>
      <c r="F2397" s="1" t="inlineStr">
        <is>
          <t>2708001686</t>
        </is>
      </c>
      <c r="G2397" s="1" t="inlineStr">
        <is>
          <t>Фильтровальщик</t>
        </is>
      </c>
      <c r="H2397" s="1" t="inlineStr">
        <is>
          <t>ООО "Амур Золото"</t>
        </is>
      </c>
      <c r="I2397" s="1" t="inlineStr">
        <is>
          <t>2708001686</t>
        </is>
      </c>
      <c r="J2397" s="1" t="inlineStr">
        <is>
          <t>ЮГОК ЗИОФ 26-01</t>
        </is>
      </c>
      <c r="K2397" s="1" t="inlineStr">
        <is>
          <t>Безопасные методы и приемы выполнения работ на высоте</t>
        </is>
      </c>
      <c r="L2397" s="1" t="inlineStr">
        <is>
          <t>05.06.2026</t>
        </is>
      </c>
      <c r="M2397" s="1" t="inlineStr">
        <is>
          <t>Успешно</t>
        </is>
      </c>
      <c r="N2397" s="1" t="inlineStr">
        <is>
          <t>08.06.2026</t>
        </is>
      </c>
      <c r="O2397" s="1" t="inlineStr"/>
      <c r="P2397" s="1" t="inlineStr"/>
      <c r="Q2397" s="1" t="inlineStr">
        <is>
          <t>Пользовательский интерфейс</t>
        </is>
      </c>
    </row>
    <row r="2398">
      <c r="B2398" s="1" t="inlineStr">
        <is>
          <t>200896955</t>
        </is>
      </c>
      <c r="C2398" s="1" t="inlineStr">
        <is>
          <t>14513218</t>
        </is>
      </c>
      <c r="D2398" t="inlineStr">
        <is>
          <t>работник 617</t>
        </is>
      </c>
      <c r="E2398" s="1" t="inlineStr">
        <is>
          <t>ОБЩЕСТВО С ОГРАНИЧЕННОЙ ОТВЕТСТВЕННОСТЬЮ "АМУР ЗОЛОТО"</t>
        </is>
      </c>
      <c r="F2398" s="1" t="inlineStr">
        <is>
          <t>2708001686</t>
        </is>
      </c>
      <c r="G2398" s="1" t="inlineStr">
        <is>
          <t>Фильтровальщик</t>
        </is>
      </c>
      <c r="H2398" s="1" t="inlineStr">
        <is>
          <t>ООО "Амур Золото"</t>
        </is>
      </c>
      <c r="I2398" s="1" t="inlineStr">
        <is>
          <t>2708001686</t>
        </is>
      </c>
      <c r="J2398" s="1" t="inlineStr">
        <is>
          <t>ЮГОК ЗИОФ 26-01</t>
        </is>
      </c>
      <c r="K2398" s="1" t="inlineStr">
        <is>
          <t>Безопасные методы и приемы выполнения работ в ограниченных и замкнутых пространствах (ОЗП)</t>
        </is>
      </c>
      <c r="L2398" s="1" t="inlineStr">
        <is>
          <t>05.06.2026</t>
        </is>
      </c>
      <c r="M2398" s="1" t="inlineStr">
        <is>
          <t>Успешно</t>
        </is>
      </c>
      <c r="N2398" s="1" t="inlineStr">
        <is>
          <t>08.06.2026</t>
        </is>
      </c>
      <c r="O2398" s="1" t="inlineStr"/>
      <c r="P2398" s="1" t="inlineStr"/>
      <c r="Q2398" s="1" t="inlineStr">
        <is>
          <t>Пользовательский интерфейс</t>
        </is>
      </c>
    </row>
    <row r="2399">
      <c r="B2399" s="1" t="inlineStr">
        <is>
          <t>200896956</t>
        </is>
      </c>
      <c r="C2399" s="1" t="inlineStr">
        <is>
          <t>14513218</t>
        </is>
      </c>
      <c r="D2399" t="inlineStr">
        <is>
          <t>работник 425</t>
        </is>
      </c>
      <c r="E2399" s="1" t="inlineStr">
        <is>
          <t>ОБЩЕСТВО С ОГРАНИЧЕННОЙ ОТВЕТСТВЕННОСТЬЮ "АМУР ЗОЛОТО"</t>
        </is>
      </c>
      <c r="F2399" s="1" t="inlineStr">
        <is>
          <t>2708001686</t>
        </is>
      </c>
      <c r="G2399" s="1" t="inlineStr">
        <is>
          <t>Аппаратчик сгустителей</t>
        </is>
      </c>
      <c r="H2399" s="1" t="inlineStr">
        <is>
          <t>ООО "Амур Золото"</t>
        </is>
      </c>
      <c r="I2399" s="1" t="inlineStr">
        <is>
          <t>2708001686</t>
        </is>
      </c>
      <c r="J2399" s="1" t="inlineStr">
        <is>
          <t>ЮГОК ЗИОФ 26-01</t>
        </is>
      </c>
      <c r="K2399" s="1" t="inlineStr">
        <is>
          <t>Безопасные методы и приемы выполнения работ на высоте</t>
        </is>
      </c>
      <c r="L2399" s="1" t="inlineStr">
        <is>
          <t>05.06.2026</t>
        </is>
      </c>
      <c r="M2399" s="1" t="inlineStr">
        <is>
          <t>Успешно</t>
        </is>
      </c>
      <c r="N2399" s="1" t="inlineStr">
        <is>
          <t>08.06.2026</t>
        </is>
      </c>
      <c r="O2399" s="1" t="inlineStr"/>
      <c r="P2399" s="1" t="inlineStr"/>
      <c r="Q2399" s="1" t="inlineStr">
        <is>
          <t>Пользовательский интерфейс</t>
        </is>
      </c>
    </row>
    <row r="2400">
      <c r="B2400" s="1" t="inlineStr">
        <is>
          <t>200896957</t>
        </is>
      </c>
      <c r="C2400" s="1" t="inlineStr">
        <is>
          <t>14513218</t>
        </is>
      </c>
      <c r="D2400" t="inlineStr">
        <is>
          <t>работник 425</t>
        </is>
      </c>
      <c r="E2400" s="1" t="inlineStr">
        <is>
          <t>ОБЩЕСТВО С ОГРАНИЧЕННОЙ ОТВЕТСТВЕННОСТЬЮ "АМУР ЗОЛОТО"</t>
        </is>
      </c>
      <c r="F2400" s="1" t="inlineStr">
        <is>
          <t>2708001686</t>
        </is>
      </c>
      <c r="G2400" s="1" t="inlineStr">
        <is>
          <t>Аппаратчик сгустителей</t>
        </is>
      </c>
      <c r="H2400" s="1" t="inlineStr">
        <is>
          <t>ООО "Амур Золото"</t>
        </is>
      </c>
      <c r="I2400" s="1" t="inlineStr">
        <is>
          <t>2708001686</t>
        </is>
      </c>
      <c r="J2400" s="1" t="inlineStr">
        <is>
          <t>ЮГОК ЗИОФ 26-01</t>
        </is>
      </c>
      <c r="K2400" s="1" t="inlineStr">
        <is>
          <t>Безопасные методы и приемы выполнения работ в ограниченных и замкнутых пространствах (ОЗП)</t>
        </is>
      </c>
      <c r="L2400" s="1" t="inlineStr">
        <is>
          <t>05.06.2026</t>
        </is>
      </c>
      <c r="M2400" s="1" t="inlineStr">
        <is>
          <t>Успешно</t>
        </is>
      </c>
      <c r="N2400" s="1" t="inlineStr">
        <is>
          <t>08.06.2026</t>
        </is>
      </c>
      <c r="O2400" s="1" t="inlineStr"/>
      <c r="P2400" s="1" t="inlineStr"/>
      <c r="Q2400" s="1" t="inlineStr">
        <is>
          <t>Пользовательский интерфейс</t>
        </is>
      </c>
    </row>
    <row r="2401">
      <c r="B2401" s="1" t="inlineStr">
        <is>
          <t>200896958</t>
        </is>
      </c>
      <c r="C2401" s="1" t="inlineStr">
        <is>
          <t>14513218</t>
        </is>
      </c>
      <c r="D2401" t="inlineStr">
        <is>
          <t>работник 640</t>
        </is>
      </c>
      <c r="E2401" s="1" t="inlineStr">
        <is>
          <t>ОБЩЕСТВО С ОГРАНИЧЕННОЙ ОТВЕТСТВЕННОСТЬЮ "АМУР ЗОЛОТО"</t>
        </is>
      </c>
      <c r="F2401" s="1" t="inlineStr">
        <is>
          <t>2708001686</t>
        </is>
      </c>
      <c r="G2401" s="1" t="inlineStr">
        <is>
          <t>Аппаратчик сгустителей</t>
        </is>
      </c>
      <c r="H2401" s="1" t="inlineStr">
        <is>
          <t>ООО "Амур Золото"</t>
        </is>
      </c>
      <c r="I2401" s="1" t="inlineStr">
        <is>
          <t>2708001686</t>
        </is>
      </c>
      <c r="J2401" s="1" t="inlineStr">
        <is>
          <t>ЮГОК ЗИОФ 26-01</t>
        </is>
      </c>
      <c r="K2401" s="1" t="inlineStr">
        <is>
          <t>Безопасные методы и приемы выполнения работ на высоте</t>
        </is>
      </c>
      <c r="L2401" s="1" t="inlineStr">
        <is>
          <t>05.06.2026</t>
        </is>
      </c>
      <c r="M2401" s="1" t="inlineStr">
        <is>
          <t>Успешно</t>
        </is>
      </c>
      <c r="N2401" s="1" t="inlineStr">
        <is>
          <t>08.06.2026</t>
        </is>
      </c>
      <c r="O2401" s="1" t="inlineStr"/>
      <c r="P2401" s="1" t="inlineStr"/>
      <c r="Q2401" s="1" t="inlineStr">
        <is>
          <t>Пользовательский интерфейс</t>
        </is>
      </c>
    </row>
    <row r="2402">
      <c r="B2402" s="1" t="inlineStr">
        <is>
          <t>200896959</t>
        </is>
      </c>
      <c r="C2402" s="1" t="inlineStr">
        <is>
          <t>14513218</t>
        </is>
      </c>
      <c r="D2402" t="inlineStr">
        <is>
          <t>работник 640</t>
        </is>
      </c>
      <c r="E2402" s="1" t="inlineStr">
        <is>
          <t>ОБЩЕСТВО С ОГРАНИЧЕННОЙ ОТВЕТСТВЕННОСТЬЮ "АМУР ЗОЛОТО"</t>
        </is>
      </c>
      <c r="F2402" s="1" t="inlineStr">
        <is>
          <t>2708001686</t>
        </is>
      </c>
      <c r="G2402" s="1" t="inlineStr">
        <is>
          <t>Аппаратчик сгустителей</t>
        </is>
      </c>
      <c r="H2402" s="1" t="inlineStr">
        <is>
          <t>ООО "Амур Золото"</t>
        </is>
      </c>
      <c r="I2402" s="1" t="inlineStr">
        <is>
          <t>2708001686</t>
        </is>
      </c>
      <c r="J2402" s="1" t="inlineStr">
        <is>
          <t>ЮГОК ЗИОФ 26-01</t>
        </is>
      </c>
      <c r="K2402" s="1" t="inlineStr">
        <is>
          <t>Безопасные методы и приемы выполнения работ в ограниченных и замкнутых пространствах (ОЗП)</t>
        </is>
      </c>
      <c r="L2402" s="1" t="inlineStr">
        <is>
          <t>05.06.2026</t>
        </is>
      </c>
      <c r="M2402" s="1" t="inlineStr">
        <is>
          <t>Успешно</t>
        </is>
      </c>
      <c r="N2402" s="1" t="inlineStr">
        <is>
          <t>08.06.2026</t>
        </is>
      </c>
      <c r="O2402" s="1" t="inlineStr"/>
      <c r="P2402" s="1" t="inlineStr"/>
      <c r="Q2402" s="1" t="inlineStr">
        <is>
          <t>Пользовательский интерфейс</t>
        </is>
      </c>
    </row>
    <row r="2403">
      <c r="B2403" s="1" t="inlineStr">
        <is>
          <t>200896960</t>
        </is>
      </c>
      <c r="C2403" s="1" t="inlineStr">
        <is>
          <t>14513218</t>
        </is>
      </c>
      <c r="D2403" t="inlineStr">
        <is>
          <t>работник 340</t>
        </is>
      </c>
      <c r="E2403" s="1" t="inlineStr">
        <is>
          <t>ОБЩЕСТВО С ОГРАНИЧЕННОЙ ОТВЕТСТВЕННОСТЬЮ "АМУР ЗОЛОТО"</t>
        </is>
      </c>
      <c r="F2403" s="1" t="inlineStr">
        <is>
          <t>2708001686</t>
        </is>
      </c>
      <c r="G2403" s="1" t="inlineStr">
        <is>
          <t>Аппаратчик сгустителей</t>
        </is>
      </c>
      <c r="H2403" s="1" t="inlineStr">
        <is>
          <t>ООО "Амур Золото"</t>
        </is>
      </c>
      <c r="I2403" s="1" t="inlineStr">
        <is>
          <t>2708001686</t>
        </is>
      </c>
      <c r="J2403" s="1" t="inlineStr">
        <is>
          <t>ЮГОК ЗИОФ 26-01</t>
        </is>
      </c>
      <c r="K2403" s="1" t="inlineStr">
        <is>
          <t>Безопасные методы и приемы выполнения работ на высоте</t>
        </is>
      </c>
      <c r="L2403" s="1" t="inlineStr">
        <is>
          <t>05.06.2026</t>
        </is>
      </c>
      <c r="M2403" s="1" t="inlineStr">
        <is>
          <t>Успешно</t>
        </is>
      </c>
      <c r="N2403" s="1" t="inlineStr">
        <is>
          <t>08.06.2026</t>
        </is>
      </c>
      <c r="O2403" s="1" t="inlineStr"/>
      <c r="P2403" s="1" t="inlineStr"/>
      <c r="Q2403" s="1" t="inlineStr">
        <is>
          <t>Пользовательский интерфейс</t>
        </is>
      </c>
    </row>
    <row r="2404">
      <c r="B2404" s="1" t="inlineStr">
        <is>
          <t>200896961</t>
        </is>
      </c>
      <c r="C2404" s="1" t="inlineStr">
        <is>
          <t>14513218</t>
        </is>
      </c>
      <c r="D2404" t="inlineStr">
        <is>
          <t>работник 340</t>
        </is>
      </c>
      <c r="E2404" s="1" t="inlineStr">
        <is>
          <t>ОБЩЕСТВО С ОГРАНИЧЕННОЙ ОТВЕТСТВЕННОСТЬЮ "АМУР ЗОЛОТО"</t>
        </is>
      </c>
      <c r="F2404" s="1" t="inlineStr">
        <is>
          <t>2708001686</t>
        </is>
      </c>
      <c r="G2404" s="1" t="inlineStr">
        <is>
          <t>Аппаратчик сгустителей</t>
        </is>
      </c>
      <c r="H2404" s="1" t="inlineStr">
        <is>
          <t>ООО "Амур Золото"</t>
        </is>
      </c>
      <c r="I2404" s="1" t="inlineStr">
        <is>
          <t>2708001686</t>
        </is>
      </c>
      <c r="J2404" s="1" t="inlineStr">
        <is>
          <t>ЮГОК ЗИОФ 26-01</t>
        </is>
      </c>
      <c r="K2404" s="1" t="inlineStr">
        <is>
          <t>Безопасные методы и приемы выполнения работ в ограниченных и замкнутых пространствах (ОЗП)</t>
        </is>
      </c>
      <c r="L2404" s="1" t="inlineStr">
        <is>
          <t>05.06.2026</t>
        </is>
      </c>
      <c r="M2404" s="1" t="inlineStr">
        <is>
          <t>Успешно</t>
        </is>
      </c>
      <c r="N2404" s="1" t="inlineStr">
        <is>
          <t>08.06.2026</t>
        </is>
      </c>
      <c r="O2404" s="1" t="inlineStr"/>
      <c r="P2404" s="1" t="inlineStr"/>
      <c r="Q2404" s="1" t="inlineStr">
        <is>
          <t>Пользовательский интерфейс</t>
        </is>
      </c>
    </row>
    <row r="2405">
      <c r="B2405" s="1" t="inlineStr">
        <is>
          <t>200896962</t>
        </is>
      </c>
      <c r="C2405" s="1" t="inlineStr">
        <is>
          <t>14513218</t>
        </is>
      </c>
      <c r="D2405" t="inlineStr">
        <is>
          <t>работник 749</t>
        </is>
      </c>
      <c r="E2405" s="1" t="inlineStr">
        <is>
          <t>ОБЩЕСТВО С ОГРАНИЧЕННОЙ ОТВЕТСТВЕННОСТЬЮ "АМУР ЗОЛОТО"</t>
        </is>
      </c>
      <c r="F2405" s="1" t="inlineStr">
        <is>
          <t>2708001686</t>
        </is>
      </c>
      <c r="G2405" s="1" t="inlineStr">
        <is>
          <t>Бункеровщик</t>
        </is>
      </c>
      <c r="H2405" s="1" t="inlineStr">
        <is>
          <t>ООО "Амур Золото"</t>
        </is>
      </c>
      <c r="I2405" s="1" t="inlineStr">
        <is>
          <t>2708001686</t>
        </is>
      </c>
      <c r="J2405" s="1" t="inlineStr">
        <is>
          <t>ЮГОК ЗИОФ 26-01</t>
        </is>
      </c>
      <c r="K2405" s="1" t="inlineStr">
        <is>
          <t>Оказание первой помощи пострадавшим</t>
        </is>
      </c>
      <c r="L2405" s="1" t="inlineStr">
        <is>
          <t>05.06.2026</t>
        </is>
      </c>
      <c r="M2405" s="1" t="inlineStr">
        <is>
          <t>Успешно</t>
        </is>
      </c>
      <c r="N2405" s="1" t="inlineStr">
        <is>
          <t>08.06.2026</t>
        </is>
      </c>
      <c r="O2405" s="1" t="inlineStr"/>
      <c r="P2405" s="1" t="inlineStr"/>
      <c r="Q2405" s="1" t="inlineStr">
        <is>
          <t>Пользовательский интерфейс</t>
        </is>
      </c>
    </row>
    <row r="2406">
      <c r="B2406" s="1" t="inlineStr">
        <is>
          <t>200896963</t>
        </is>
      </c>
      <c r="C2406" s="1" t="inlineStr">
        <is>
          <t>14513218</t>
        </is>
      </c>
      <c r="D2406" t="inlineStr">
        <is>
          <t>работник 749</t>
        </is>
      </c>
      <c r="E2406" s="1" t="inlineStr">
        <is>
          <t>ОБЩЕСТВО С ОГРАНИЧЕННОЙ ОТВЕТСТВЕННОСТЬЮ "АМУР ЗОЛОТО"</t>
        </is>
      </c>
      <c r="F2406" s="1" t="inlineStr">
        <is>
          <t>2708001686</t>
        </is>
      </c>
      <c r="G2406" s="1" t="inlineStr">
        <is>
          <t>Бункеровщик</t>
        </is>
      </c>
      <c r="H2406" s="1" t="inlineStr">
        <is>
          <t>ООО "Амур Золото"</t>
        </is>
      </c>
      <c r="I2406" s="1" t="inlineStr">
        <is>
          <t>2708001686</t>
        </is>
      </c>
      <c r="J2406" s="1" t="inlineStr">
        <is>
          <t>ЮГОК ЗИОФ 26-01</t>
        </is>
      </c>
      <c r="K2406" s="1" t="inlineStr">
        <is>
          <t>Использование (применение) средств индивидуальной защиты</t>
        </is>
      </c>
      <c r="L2406" s="1" t="inlineStr">
        <is>
          <t>05.06.2026</t>
        </is>
      </c>
      <c r="M2406" s="1" t="inlineStr">
        <is>
          <t>Успешно</t>
        </is>
      </c>
      <c r="N2406" s="1" t="inlineStr">
        <is>
          <t>08.06.2026</t>
        </is>
      </c>
      <c r="O2406" s="1" t="inlineStr"/>
      <c r="P2406" s="1" t="inlineStr"/>
      <c r="Q2406" s="1" t="inlineStr">
        <is>
          <t>Пользовательский интерфейс</t>
        </is>
      </c>
    </row>
    <row r="2407">
      <c r="B2407" s="1" t="inlineStr">
        <is>
          <t>200896964</t>
        </is>
      </c>
      <c r="C2407" s="1" t="inlineStr">
        <is>
          <t>14513218</t>
        </is>
      </c>
      <c r="D2407" t="inlineStr">
        <is>
          <t>работник 749</t>
        </is>
      </c>
      <c r="E2407" s="1" t="inlineStr">
        <is>
          <t>ОБЩЕСТВО С ОГРАНИЧЕННОЙ ОТВЕТСТВЕННОСТЬЮ "АМУР ЗОЛОТО"</t>
        </is>
      </c>
      <c r="F2407" s="1" t="inlineStr">
        <is>
          <t>2708001686</t>
        </is>
      </c>
      <c r="G2407" s="1" t="inlineStr">
        <is>
          <t>Бункеровщик</t>
        </is>
      </c>
      <c r="H2407" s="1" t="inlineStr">
        <is>
          <t>ООО "Амур Золото"</t>
        </is>
      </c>
      <c r="I2407" s="1" t="inlineStr">
        <is>
          <t>2708001686</t>
        </is>
      </c>
      <c r="J2407" s="1" t="inlineStr">
        <is>
          <t>ЮГОК ЗИОФ 26-01</t>
        </is>
      </c>
      <c r="K240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407" s="1" t="inlineStr">
        <is>
          <t>05.06.2026</t>
        </is>
      </c>
      <c r="M2407" s="1" t="inlineStr">
        <is>
          <t>Успешно</t>
        </is>
      </c>
      <c r="N2407" s="1" t="inlineStr">
        <is>
          <t>08.06.2026</t>
        </is>
      </c>
      <c r="O2407" s="1" t="inlineStr"/>
      <c r="P2407" s="1" t="inlineStr"/>
      <c r="Q2407" s="1" t="inlineStr">
        <is>
          <t>Пользовательский интерфейс</t>
        </is>
      </c>
    </row>
    <row r="2408">
      <c r="B2408" s="1" t="inlineStr">
        <is>
          <t>200896965</t>
        </is>
      </c>
      <c r="C2408" s="1" t="inlineStr">
        <is>
          <t>14513218</t>
        </is>
      </c>
      <c r="D2408" t="inlineStr">
        <is>
          <t>работник 749</t>
        </is>
      </c>
      <c r="E2408" s="1" t="inlineStr">
        <is>
          <t>ОБЩЕСТВО С ОГРАНИЧЕННОЙ ОТВЕТСТВЕННОСТЬЮ "АМУР ЗОЛОТО"</t>
        </is>
      </c>
      <c r="F2408" s="1" t="inlineStr">
        <is>
          <t>2708001686</t>
        </is>
      </c>
      <c r="G2408" s="1" t="inlineStr">
        <is>
          <t>Бункеровщик</t>
        </is>
      </c>
      <c r="H2408" s="1" t="inlineStr">
        <is>
          <t>ООО "Амур Золото"</t>
        </is>
      </c>
      <c r="I2408" s="1" t="inlineStr">
        <is>
          <t>2708001686</t>
        </is>
      </c>
      <c r="J2408" s="1" t="inlineStr">
        <is>
          <t>ЮГОК ЗИОФ 26-01</t>
        </is>
      </c>
      <c r="K2408" s="1" t="inlineStr">
        <is>
          <t>Безопасные методы и приемы выполнения работ на высоте</t>
        </is>
      </c>
      <c r="L2408" s="1" t="inlineStr">
        <is>
          <t>05.06.2026</t>
        </is>
      </c>
      <c r="M2408" s="1" t="inlineStr">
        <is>
          <t>Успешно</t>
        </is>
      </c>
      <c r="N2408" s="1" t="inlineStr">
        <is>
          <t>08.06.2026</t>
        </is>
      </c>
      <c r="O2408" s="1" t="inlineStr"/>
      <c r="P2408" s="1" t="inlineStr"/>
      <c r="Q2408" s="1" t="inlineStr">
        <is>
          <t>Пользовательский интерфейс</t>
        </is>
      </c>
    </row>
    <row r="2409">
      <c r="B2409" s="1" t="inlineStr">
        <is>
          <t>200896966</t>
        </is>
      </c>
      <c r="C2409" s="1" t="inlineStr">
        <is>
          <t>14513218</t>
        </is>
      </c>
      <c r="D2409" t="inlineStr">
        <is>
          <t>работник 749</t>
        </is>
      </c>
      <c r="E2409" s="1" t="inlineStr">
        <is>
          <t>ОБЩЕСТВО С ОГРАНИЧЕННОЙ ОТВЕТСТВЕННОСТЬЮ "АМУР ЗОЛОТО"</t>
        </is>
      </c>
      <c r="F2409" s="1" t="inlineStr">
        <is>
          <t>2708001686</t>
        </is>
      </c>
      <c r="G2409" s="1" t="inlineStr">
        <is>
          <t>Бункеровщик</t>
        </is>
      </c>
      <c r="H2409" s="1" t="inlineStr">
        <is>
          <t>ООО "Амур Золото"</t>
        </is>
      </c>
      <c r="I2409" s="1" t="inlineStr">
        <is>
          <t>2708001686</t>
        </is>
      </c>
      <c r="J2409" s="1" t="inlineStr">
        <is>
          <t>ЮГОК ЗИОФ 26-01</t>
        </is>
      </c>
      <c r="K2409" s="1" t="inlineStr">
        <is>
          <t>Безопасные методы и приемы выполнения работ в ограниченных и замкнутых пространствах (ОЗП)</t>
        </is>
      </c>
      <c r="L2409" s="1" t="inlineStr">
        <is>
          <t>05.06.2026</t>
        </is>
      </c>
      <c r="M2409" s="1" t="inlineStr">
        <is>
          <t>Успешно</t>
        </is>
      </c>
      <c r="N2409" s="1" t="inlineStr">
        <is>
          <t>08.06.2026</t>
        </is>
      </c>
      <c r="O2409" s="1" t="inlineStr"/>
      <c r="P2409" s="1" t="inlineStr"/>
      <c r="Q2409" s="1" t="inlineStr">
        <is>
          <t>Пользовательский интерфейс</t>
        </is>
      </c>
    </row>
    <row r="2410">
      <c r="B2410" s="1" t="inlineStr">
        <is>
          <t>200896967</t>
        </is>
      </c>
      <c r="C2410" s="1" t="inlineStr">
        <is>
          <t>14513218</t>
        </is>
      </c>
      <c r="D2410" t="inlineStr">
        <is>
          <t>работник 445</t>
        </is>
      </c>
      <c r="E2410" s="1" t="inlineStr">
        <is>
          <t>ОБЩЕСТВО С ОГРАНИЧЕННОЙ ОТВЕТСТВЕННОСТЬЮ "АМУР ЗОЛОТО"</t>
        </is>
      </c>
      <c r="F2410" s="1" t="inlineStr">
        <is>
          <t>2708001686</t>
        </is>
      </c>
      <c r="G2410" s="1" t="inlineStr">
        <is>
          <t>Дробильщик</t>
        </is>
      </c>
      <c r="H2410" s="1" t="inlineStr">
        <is>
          <t>ООО "Амур Золото"</t>
        </is>
      </c>
      <c r="I2410" s="1" t="inlineStr">
        <is>
          <t>2708001686</t>
        </is>
      </c>
      <c r="J2410" s="1" t="inlineStr">
        <is>
          <t>ЮГОК ЗИОФ 26-01</t>
        </is>
      </c>
      <c r="K2410" s="1" t="inlineStr">
        <is>
          <t>Оказание первой помощи пострадавшим</t>
        </is>
      </c>
      <c r="L2410" s="1" t="inlineStr">
        <is>
          <t>05.06.2026</t>
        </is>
      </c>
      <c r="M2410" s="1" t="inlineStr">
        <is>
          <t>Успешно</t>
        </is>
      </c>
      <c r="N2410" s="1" t="inlineStr">
        <is>
          <t>08.06.2026</t>
        </is>
      </c>
      <c r="O2410" s="1" t="inlineStr"/>
      <c r="P2410" s="1" t="inlineStr"/>
      <c r="Q2410" s="1" t="inlineStr">
        <is>
          <t>Пользовательский интерфейс</t>
        </is>
      </c>
    </row>
    <row r="2411">
      <c r="B2411" s="1" t="inlineStr">
        <is>
          <t>200896968</t>
        </is>
      </c>
      <c r="C2411" s="1" t="inlineStr">
        <is>
          <t>14513218</t>
        </is>
      </c>
      <c r="D2411" t="inlineStr">
        <is>
          <t>работник 128</t>
        </is>
      </c>
      <c r="E2411" s="1" t="inlineStr">
        <is>
          <t>ОБЩЕСТВО С ОГРАНИЧЕННОЙ ОТВЕТСТВЕННОСТЬЮ "АМУР ЗОЛОТО"</t>
        </is>
      </c>
      <c r="F2411" s="1" t="inlineStr">
        <is>
          <t>2708001686</t>
        </is>
      </c>
      <c r="G2411" s="1" t="inlineStr">
        <is>
          <t>Машинист конвейера</t>
        </is>
      </c>
      <c r="H2411" s="1" t="inlineStr">
        <is>
          <t>ООО "Амур Золото"</t>
        </is>
      </c>
      <c r="I2411" s="1" t="inlineStr">
        <is>
          <t>2708001686</t>
        </is>
      </c>
      <c r="J2411" s="1" t="inlineStr">
        <is>
          <t>ЮГОК ЗИОФ 26-01</t>
        </is>
      </c>
      <c r="K2411" s="1" t="inlineStr">
        <is>
          <t>Использование (применение) средств индивидуальной защиты</t>
        </is>
      </c>
      <c r="L2411" s="1" t="inlineStr">
        <is>
          <t>05.06.2026</t>
        </is>
      </c>
      <c r="M2411" s="1" t="inlineStr">
        <is>
          <t>Успешно</t>
        </is>
      </c>
      <c r="N2411" s="1" t="inlineStr">
        <is>
          <t>08.06.2026</t>
        </is>
      </c>
      <c r="O2411" s="1" t="inlineStr"/>
      <c r="P2411" s="1" t="inlineStr"/>
      <c r="Q2411" s="1" t="inlineStr">
        <is>
          <t>Пользовательский интерфейс</t>
        </is>
      </c>
    </row>
    <row r="2412">
      <c r="B2412" s="1" t="inlineStr">
        <is>
          <t>200896969</t>
        </is>
      </c>
      <c r="C2412" s="1" t="inlineStr">
        <is>
          <t>14513218</t>
        </is>
      </c>
      <c r="D2412" t="inlineStr">
        <is>
          <t>работник 128</t>
        </is>
      </c>
      <c r="E2412" s="1" t="inlineStr">
        <is>
          <t>ОБЩЕСТВО С ОГРАНИЧЕННОЙ ОТВЕТСТВЕННОСТЬЮ "АМУР ЗОЛОТО"</t>
        </is>
      </c>
      <c r="F2412" s="1" t="inlineStr">
        <is>
          <t>2708001686</t>
        </is>
      </c>
      <c r="G2412" s="1" t="inlineStr">
        <is>
          <t>Машинист конвейера</t>
        </is>
      </c>
      <c r="H2412" s="1" t="inlineStr">
        <is>
          <t>ООО "Амур Золото"</t>
        </is>
      </c>
      <c r="I2412" s="1" t="inlineStr">
        <is>
          <t>2708001686</t>
        </is>
      </c>
      <c r="J2412" s="1" t="inlineStr">
        <is>
          <t>ЮГОК ЗИОФ 26-01</t>
        </is>
      </c>
      <c r="K241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412" s="1" t="inlineStr">
        <is>
          <t>05.06.2026</t>
        </is>
      </c>
      <c r="M2412" s="1" t="inlineStr">
        <is>
          <t>Успешно</t>
        </is>
      </c>
      <c r="N2412" s="1" t="inlineStr">
        <is>
          <t>08.06.2026</t>
        </is>
      </c>
      <c r="O2412" s="1" t="inlineStr"/>
      <c r="P2412" s="1" t="inlineStr"/>
      <c r="Q2412" s="1" t="inlineStr">
        <is>
          <t>Пользовательский интерфейс</t>
        </is>
      </c>
    </row>
    <row r="2413">
      <c r="B2413" s="1" t="inlineStr">
        <is>
          <t>200896970</t>
        </is>
      </c>
      <c r="C2413" s="1" t="inlineStr">
        <is>
          <t>14513218</t>
        </is>
      </c>
      <c r="D2413" t="inlineStr">
        <is>
          <t>работник 750</t>
        </is>
      </c>
      <c r="E2413" s="1" t="inlineStr">
        <is>
          <t>ОБЩЕСТВО С ОГРАНИЧЕННОЙ ОТВЕТСТВЕННОСТЬЮ "АМУР ЗОЛОТО"</t>
        </is>
      </c>
      <c r="F2413" s="1" t="inlineStr">
        <is>
          <t>2708001686</t>
        </is>
      </c>
      <c r="G2413" s="1" t="inlineStr">
        <is>
          <t>Машинист мельниц</t>
        </is>
      </c>
      <c r="H2413" s="1" t="inlineStr">
        <is>
          <t>ООО "Амур Золото"</t>
        </is>
      </c>
      <c r="I2413" s="1" t="inlineStr">
        <is>
          <t>2708001686</t>
        </is>
      </c>
      <c r="J2413" s="1" t="inlineStr">
        <is>
          <t>ЮГОК ЗИОФ 26-01</t>
        </is>
      </c>
      <c r="K2413" s="1" t="inlineStr">
        <is>
          <t>Оказание первой помощи пострадавшим</t>
        </is>
      </c>
      <c r="L2413" s="1" t="inlineStr">
        <is>
          <t>05.06.2026</t>
        </is>
      </c>
      <c r="M2413" s="1" t="inlineStr">
        <is>
          <t>Успешно</t>
        </is>
      </c>
      <c r="N2413" s="1" t="inlineStr">
        <is>
          <t>08.06.2026</t>
        </is>
      </c>
      <c r="O2413" s="1" t="inlineStr"/>
      <c r="P2413" s="1" t="inlineStr"/>
      <c r="Q2413" s="1" t="inlineStr">
        <is>
          <t>Пользовательский интерфейс</t>
        </is>
      </c>
    </row>
    <row r="2414">
      <c r="B2414" s="1" t="inlineStr">
        <is>
          <t>200896971</t>
        </is>
      </c>
      <c r="C2414" s="1" t="inlineStr">
        <is>
          <t>14513218</t>
        </is>
      </c>
      <c r="D2414" t="inlineStr">
        <is>
          <t>работник 750</t>
        </is>
      </c>
      <c r="E2414" s="1" t="inlineStr">
        <is>
          <t>ОБЩЕСТВО С ОГРАНИЧЕННОЙ ОТВЕТСТВЕННОСТЬЮ "АМУР ЗОЛОТО"</t>
        </is>
      </c>
      <c r="F2414" s="1" t="inlineStr">
        <is>
          <t>2708001686</t>
        </is>
      </c>
      <c r="G2414" s="1" t="inlineStr">
        <is>
          <t>Машинист мельниц</t>
        </is>
      </c>
      <c r="H2414" s="1" t="inlineStr">
        <is>
          <t>ООО "Амур Золото"</t>
        </is>
      </c>
      <c r="I2414" s="1" t="inlineStr">
        <is>
          <t>2708001686</t>
        </is>
      </c>
      <c r="J2414" s="1" t="inlineStr">
        <is>
          <t>ЮГОК ЗИОФ 26-01</t>
        </is>
      </c>
      <c r="K2414" s="1" t="inlineStr">
        <is>
          <t>Использование (применение) средств индивидуальной защиты</t>
        </is>
      </c>
      <c r="L2414" s="1" t="inlineStr">
        <is>
          <t>05.06.2026</t>
        </is>
      </c>
      <c r="M2414" s="1" t="inlineStr">
        <is>
          <t>Успешно</t>
        </is>
      </c>
      <c r="N2414" s="1" t="inlineStr">
        <is>
          <t>08.06.2026</t>
        </is>
      </c>
      <c r="O2414" s="1" t="inlineStr"/>
      <c r="P2414" s="1" t="inlineStr"/>
      <c r="Q2414" s="1" t="inlineStr">
        <is>
          <t>Пользовательский интерфейс</t>
        </is>
      </c>
    </row>
    <row r="2415">
      <c r="B2415" s="1" t="inlineStr">
        <is>
          <t>200896972</t>
        </is>
      </c>
      <c r="C2415" s="1" t="inlineStr">
        <is>
          <t>14513218</t>
        </is>
      </c>
      <c r="D2415" t="inlineStr">
        <is>
          <t>работник 750</t>
        </is>
      </c>
      <c r="E2415" s="1" t="inlineStr">
        <is>
          <t>ОБЩЕСТВО С ОГРАНИЧЕННОЙ ОТВЕТСТВЕННОСТЬЮ "АМУР ЗОЛОТО"</t>
        </is>
      </c>
      <c r="F2415" s="1" t="inlineStr">
        <is>
          <t>2708001686</t>
        </is>
      </c>
      <c r="G2415" s="1" t="inlineStr">
        <is>
          <t>Машинист мельниц</t>
        </is>
      </c>
      <c r="H2415" s="1" t="inlineStr">
        <is>
          <t>ООО "Амур Золото"</t>
        </is>
      </c>
      <c r="I2415" s="1" t="inlineStr">
        <is>
          <t>2708001686</t>
        </is>
      </c>
      <c r="J2415" s="1" t="inlineStr">
        <is>
          <t>ЮГОК ЗИОФ 26-01</t>
        </is>
      </c>
      <c r="K241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415" s="1" t="inlineStr">
        <is>
          <t>05.06.2026</t>
        </is>
      </c>
      <c r="M2415" s="1" t="inlineStr">
        <is>
          <t>Успешно</t>
        </is>
      </c>
      <c r="N2415" s="1" t="inlineStr">
        <is>
          <t>08.06.2026</t>
        </is>
      </c>
      <c r="O2415" s="1" t="inlineStr"/>
      <c r="P2415" s="1" t="inlineStr"/>
      <c r="Q2415" s="1" t="inlineStr">
        <is>
          <t>Пользовательский интерфейс</t>
        </is>
      </c>
    </row>
    <row r="2416">
      <c r="B2416" s="1" t="inlineStr">
        <is>
          <t>200896973</t>
        </is>
      </c>
      <c r="C2416" s="1" t="inlineStr">
        <is>
          <t>14513218</t>
        </is>
      </c>
      <c r="D2416" t="inlineStr">
        <is>
          <t>работник 750</t>
        </is>
      </c>
      <c r="E2416" s="1" t="inlineStr">
        <is>
          <t>ОБЩЕСТВО С ОГРАНИЧЕННОЙ ОТВЕТСТВЕННОСТЬЮ "АМУР ЗОЛОТО"</t>
        </is>
      </c>
      <c r="F2416" s="1" t="inlineStr">
        <is>
          <t>2708001686</t>
        </is>
      </c>
      <c r="G2416" s="1" t="inlineStr">
        <is>
          <t>Машинист мельниц</t>
        </is>
      </c>
      <c r="H2416" s="1" t="inlineStr">
        <is>
          <t>ООО "Амур Золото"</t>
        </is>
      </c>
      <c r="I2416" s="1" t="inlineStr">
        <is>
          <t>2708001686</t>
        </is>
      </c>
      <c r="J2416" s="1" t="inlineStr">
        <is>
          <t>ЮГОК ЗИОФ 26-01</t>
        </is>
      </c>
      <c r="K2416" s="1" t="inlineStr">
        <is>
          <t>Безопасные методы и приемы выполнения работ на высоте</t>
        </is>
      </c>
      <c r="L2416" s="1" t="inlineStr">
        <is>
          <t>05.06.2026</t>
        </is>
      </c>
      <c r="M2416" s="1" t="inlineStr">
        <is>
          <t>Успешно</t>
        </is>
      </c>
      <c r="N2416" s="1" t="inlineStr">
        <is>
          <t>08.06.2026</t>
        </is>
      </c>
      <c r="O2416" s="1" t="inlineStr"/>
      <c r="P2416" s="1" t="inlineStr"/>
      <c r="Q2416" s="1" t="inlineStr">
        <is>
          <t>Пользовательский интерфейс</t>
        </is>
      </c>
    </row>
    <row r="2417">
      <c r="B2417" s="1" t="inlineStr">
        <is>
          <t>200896974</t>
        </is>
      </c>
      <c r="C2417" s="1" t="inlineStr">
        <is>
          <t>14513218</t>
        </is>
      </c>
      <c r="D2417" t="inlineStr">
        <is>
          <t>работник 750</t>
        </is>
      </c>
      <c r="E2417" s="1" t="inlineStr">
        <is>
          <t>ОБЩЕСТВО С ОГРАНИЧЕННОЙ ОТВЕТСТВЕННОСТЬЮ "АМУР ЗОЛОТО"</t>
        </is>
      </c>
      <c r="F2417" s="1" t="inlineStr">
        <is>
          <t>2708001686</t>
        </is>
      </c>
      <c r="G2417" s="1" t="inlineStr">
        <is>
          <t>Машинист мельниц</t>
        </is>
      </c>
      <c r="H2417" s="1" t="inlineStr">
        <is>
          <t>ООО "Амур Золото"</t>
        </is>
      </c>
      <c r="I2417" s="1" t="inlineStr">
        <is>
          <t>2708001686</t>
        </is>
      </c>
      <c r="J2417" s="1" t="inlineStr">
        <is>
          <t>ЮГОК ЗИОФ 26-01</t>
        </is>
      </c>
      <c r="K2417" s="1" t="inlineStr">
        <is>
          <t>Безопасные методы и приемы выполнения работ в ограниченных и замкнутых пространствах (ОЗП)</t>
        </is>
      </c>
      <c r="L2417" s="1" t="inlineStr">
        <is>
          <t>05.06.2026</t>
        </is>
      </c>
      <c r="M2417" s="1" t="inlineStr">
        <is>
          <t>Успешно</t>
        </is>
      </c>
      <c r="N2417" s="1" t="inlineStr">
        <is>
          <t>08.06.2026</t>
        </is>
      </c>
      <c r="O2417" s="1" t="inlineStr"/>
      <c r="P2417" s="1" t="inlineStr"/>
      <c r="Q2417" s="1" t="inlineStr">
        <is>
          <t>Пользовательский интерфейс</t>
        </is>
      </c>
    </row>
    <row r="2418">
      <c r="B2418" s="1" t="inlineStr">
        <is>
          <t>200896975</t>
        </is>
      </c>
      <c r="C2418" s="1" t="inlineStr">
        <is>
          <t>14513218</t>
        </is>
      </c>
      <c r="D2418" t="inlineStr">
        <is>
          <t>работник 751</t>
        </is>
      </c>
      <c r="E2418" s="1" t="inlineStr">
        <is>
          <t>ОБЩЕСТВО С ОГРАНИЧЕННОЙ ОТВЕТСТВЕННОСТЬЮ "АМУР ЗОЛОТО"</t>
        </is>
      </c>
      <c r="F2418" s="1" t="inlineStr">
        <is>
          <t>2708001686</t>
        </is>
      </c>
      <c r="G2418" s="1" t="inlineStr">
        <is>
          <t>Фильтровальщик</t>
        </is>
      </c>
      <c r="H2418" s="1" t="inlineStr">
        <is>
          <t>ООО "Амур Золото"</t>
        </is>
      </c>
      <c r="I2418" s="1" t="inlineStr">
        <is>
          <t>2708001686</t>
        </is>
      </c>
      <c r="J2418" s="1" t="inlineStr">
        <is>
          <t>ЮГОК ЗИОФ 26-01</t>
        </is>
      </c>
      <c r="K2418" s="1" t="inlineStr">
        <is>
          <t>Оказание первой помощи пострадавшим</t>
        </is>
      </c>
      <c r="L2418" s="1" t="inlineStr">
        <is>
          <t>05.06.2026</t>
        </is>
      </c>
      <c r="M2418" s="1" t="inlineStr">
        <is>
          <t>Успешно</t>
        </is>
      </c>
      <c r="N2418" s="1" t="inlineStr">
        <is>
          <t>08.06.2026</t>
        </is>
      </c>
      <c r="O2418" s="1" t="inlineStr"/>
      <c r="P2418" s="1" t="inlineStr"/>
      <c r="Q2418" s="1" t="inlineStr">
        <is>
          <t>Пользовательский интерфейс</t>
        </is>
      </c>
    </row>
    <row r="2419">
      <c r="B2419" s="1" t="inlineStr">
        <is>
          <t>200896976</t>
        </is>
      </c>
      <c r="C2419" s="1" t="inlineStr">
        <is>
          <t>14513218</t>
        </is>
      </c>
      <c r="D2419" t="inlineStr">
        <is>
          <t>работник 751</t>
        </is>
      </c>
      <c r="E2419" s="1" t="inlineStr">
        <is>
          <t>ОБЩЕСТВО С ОГРАНИЧЕННОЙ ОТВЕТСТВЕННОСТЬЮ "АМУР ЗОЛОТО"</t>
        </is>
      </c>
      <c r="F2419" s="1" t="inlineStr">
        <is>
          <t>2708001686</t>
        </is>
      </c>
      <c r="G2419" s="1" t="inlineStr">
        <is>
          <t>Фильтровальщик</t>
        </is>
      </c>
      <c r="H2419" s="1" t="inlineStr">
        <is>
          <t>ООО "Амур Золото"</t>
        </is>
      </c>
      <c r="I2419" s="1" t="inlineStr">
        <is>
          <t>2708001686</t>
        </is>
      </c>
      <c r="J2419" s="1" t="inlineStr">
        <is>
          <t>ЮГОК ЗИОФ 26-01</t>
        </is>
      </c>
      <c r="K2419" s="1" t="inlineStr">
        <is>
          <t>Использование (применение) средств индивидуальной защиты</t>
        </is>
      </c>
      <c r="L2419" s="1" t="inlineStr">
        <is>
          <t>05.06.2026</t>
        </is>
      </c>
      <c r="M2419" s="1" t="inlineStr">
        <is>
          <t>Успешно</t>
        </is>
      </c>
      <c r="N2419" s="1" t="inlineStr">
        <is>
          <t>08.06.2026</t>
        </is>
      </c>
      <c r="O2419" s="1" t="inlineStr"/>
      <c r="P2419" s="1" t="inlineStr"/>
      <c r="Q2419" s="1" t="inlineStr">
        <is>
          <t>Пользовательский интерфейс</t>
        </is>
      </c>
    </row>
    <row r="2420">
      <c r="B2420" s="1" t="inlineStr">
        <is>
          <t>200896977</t>
        </is>
      </c>
      <c r="C2420" s="1" t="inlineStr">
        <is>
          <t>14513218</t>
        </is>
      </c>
      <c r="D2420" t="inlineStr">
        <is>
          <t>работник 751</t>
        </is>
      </c>
      <c r="E2420" s="1" t="inlineStr">
        <is>
          <t>ОБЩЕСТВО С ОГРАНИЧЕННОЙ ОТВЕТСТВЕННОСТЬЮ "АМУР ЗОЛОТО"</t>
        </is>
      </c>
      <c r="F2420" s="1" t="inlineStr">
        <is>
          <t>2708001686</t>
        </is>
      </c>
      <c r="G2420" s="1" t="inlineStr">
        <is>
          <t>Фильтровальщик</t>
        </is>
      </c>
      <c r="H2420" s="1" t="inlineStr">
        <is>
          <t>ООО "Амур Золото"</t>
        </is>
      </c>
      <c r="I2420" s="1" t="inlineStr">
        <is>
          <t>2708001686</t>
        </is>
      </c>
      <c r="J2420" s="1" t="inlineStr">
        <is>
          <t>ЮГОК ЗИОФ 26-01</t>
        </is>
      </c>
      <c r="K242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420" s="1" t="inlineStr">
        <is>
          <t>05.06.2026</t>
        </is>
      </c>
      <c r="M2420" s="1" t="inlineStr">
        <is>
          <t>Успешно</t>
        </is>
      </c>
      <c r="N2420" s="1" t="inlineStr">
        <is>
          <t>08.06.2026</t>
        </is>
      </c>
      <c r="O2420" s="1" t="inlineStr"/>
      <c r="P2420" s="1" t="inlineStr"/>
      <c r="Q2420" s="1" t="inlineStr">
        <is>
          <t>Пользовательский интерфейс</t>
        </is>
      </c>
    </row>
    <row r="2421">
      <c r="B2421" s="1" t="inlineStr">
        <is>
          <t>200896978</t>
        </is>
      </c>
      <c r="C2421" s="1" t="inlineStr">
        <is>
          <t>14513218</t>
        </is>
      </c>
      <c r="D2421" t="inlineStr">
        <is>
          <t>работник 751</t>
        </is>
      </c>
      <c r="E2421" s="1" t="inlineStr">
        <is>
          <t>ОБЩЕСТВО С ОГРАНИЧЕННОЙ ОТВЕТСТВЕННОСТЬЮ "АМУР ЗОЛОТО"</t>
        </is>
      </c>
      <c r="F2421" s="1" t="inlineStr">
        <is>
          <t>2708001686</t>
        </is>
      </c>
      <c r="G2421" s="1" t="inlineStr">
        <is>
          <t>Фильтровальщик</t>
        </is>
      </c>
      <c r="H2421" s="1" t="inlineStr">
        <is>
          <t>ООО "Амур Золото"</t>
        </is>
      </c>
      <c r="I2421" s="1" t="inlineStr">
        <is>
          <t>2708001686</t>
        </is>
      </c>
      <c r="J2421" s="1" t="inlineStr">
        <is>
          <t>ЮГОК ЗИОФ 26-01</t>
        </is>
      </c>
      <c r="K2421" s="1" t="inlineStr">
        <is>
          <t>Безопасные методы и приемы выполнения работ на высоте</t>
        </is>
      </c>
      <c r="L2421" s="1" t="inlineStr">
        <is>
          <t>05.06.2026</t>
        </is>
      </c>
      <c r="M2421" s="1" t="inlineStr">
        <is>
          <t>Успешно</t>
        </is>
      </c>
      <c r="N2421" s="1" t="inlineStr">
        <is>
          <t>08.06.2026</t>
        </is>
      </c>
      <c r="O2421" s="1" t="inlineStr"/>
      <c r="P2421" s="1" t="inlineStr"/>
      <c r="Q2421" s="1" t="inlineStr">
        <is>
          <t>Пользовательский интерфейс</t>
        </is>
      </c>
    </row>
    <row r="2422">
      <c r="B2422" s="1" t="inlineStr">
        <is>
          <t>200896979</t>
        </is>
      </c>
      <c r="C2422" s="1" t="inlineStr">
        <is>
          <t>14513218</t>
        </is>
      </c>
      <c r="D2422" t="inlineStr">
        <is>
          <t>работник 751</t>
        </is>
      </c>
      <c r="E2422" s="1" t="inlineStr">
        <is>
          <t>ОБЩЕСТВО С ОГРАНИЧЕННОЙ ОТВЕТСТВЕННОСТЬЮ "АМУР ЗОЛОТО"</t>
        </is>
      </c>
      <c r="F2422" s="1" t="inlineStr">
        <is>
          <t>2708001686</t>
        </is>
      </c>
      <c r="G2422" s="1" t="inlineStr">
        <is>
          <t>Фильтровальщик</t>
        </is>
      </c>
      <c r="H2422" s="1" t="inlineStr">
        <is>
          <t>ООО "Амур Золото"</t>
        </is>
      </c>
      <c r="I2422" s="1" t="inlineStr">
        <is>
          <t>2708001686</t>
        </is>
      </c>
      <c r="J2422" s="1" t="inlineStr">
        <is>
          <t>ЮГОК ЗИОФ 26-01</t>
        </is>
      </c>
      <c r="K2422" s="1" t="inlineStr">
        <is>
          <t>Безопасные методы и приемы выполнения работ в ограниченных и замкнутых пространствах (ОЗП)</t>
        </is>
      </c>
      <c r="L2422" s="1" t="inlineStr">
        <is>
          <t>05.06.2026</t>
        </is>
      </c>
      <c r="M2422" s="1" t="inlineStr">
        <is>
          <t>Успешно</t>
        </is>
      </c>
      <c r="N2422" s="1" t="inlineStr">
        <is>
          <t>08.06.2026</t>
        </is>
      </c>
      <c r="O2422" s="1" t="inlineStr"/>
      <c r="P2422" s="1" t="inlineStr"/>
      <c r="Q2422" s="1" t="inlineStr">
        <is>
          <t>Пользовательский интерфейс</t>
        </is>
      </c>
    </row>
    <row r="2423">
      <c r="B2423" s="1" t="inlineStr">
        <is>
          <t>200896980</t>
        </is>
      </c>
      <c r="C2423" s="1" t="inlineStr">
        <is>
          <t>14513218</t>
        </is>
      </c>
      <c r="D2423" t="inlineStr">
        <is>
          <t>работник 752</t>
        </is>
      </c>
      <c r="E2423" s="1" t="inlineStr">
        <is>
          <t>ОБЩЕСТВО С ОГРАНИЧЕННОЙ ОТВЕТСТВЕННОСТЬЮ "АМУР ЗОЛОТО"</t>
        </is>
      </c>
      <c r="F2423" s="1" t="inlineStr">
        <is>
          <t>2708001686</t>
        </is>
      </c>
      <c r="G2423" s="1" t="inlineStr">
        <is>
          <t>Фильтровальщик</t>
        </is>
      </c>
      <c r="H2423" s="1" t="inlineStr">
        <is>
          <t>ООО "Амур Золото"</t>
        </is>
      </c>
      <c r="I2423" s="1" t="inlineStr">
        <is>
          <t>2708001686</t>
        </is>
      </c>
      <c r="J2423" s="1" t="inlineStr">
        <is>
          <t>ЮГОК ЗИОФ 26-01</t>
        </is>
      </c>
      <c r="K2423" s="1" t="inlineStr">
        <is>
          <t>Оказание первой помощи пострадавшим</t>
        </is>
      </c>
      <c r="L2423" s="1" t="inlineStr">
        <is>
          <t>05.06.2026</t>
        </is>
      </c>
      <c r="M2423" s="1" t="inlineStr">
        <is>
          <t>Успешно</t>
        </is>
      </c>
      <c r="N2423" s="1" t="inlineStr">
        <is>
          <t>08.06.2026</t>
        </is>
      </c>
      <c r="O2423" s="1" t="inlineStr"/>
      <c r="P2423" s="1" t="inlineStr"/>
      <c r="Q2423" s="1" t="inlineStr">
        <is>
          <t>Пользовательский интерфейс</t>
        </is>
      </c>
    </row>
    <row r="2424">
      <c r="B2424" s="1" t="inlineStr">
        <is>
          <t>200896981</t>
        </is>
      </c>
      <c r="C2424" s="1" t="inlineStr">
        <is>
          <t>14513218</t>
        </is>
      </c>
      <c r="D2424" t="inlineStr">
        <is>
          <t>работник 752</t>
        </is>
      </c>
      <c r="E2424" s="1" t="inlineStr">
        <is>
          <t>ОБЩЕСТВО С ОГРАНИЧЕННОЙ ОТВЕТСТВЕННОСТЬЮ "АМУР ЗОЛОТО"</t>
        </is>
      </c>
      <c r="F2424" s="1" t="inlineStr">
        <is>
          <t>2708001686</t>
        </is>
      </c>
      <c r="G2424" s="1" t="inlineStr">
        <is>
          <t>Фильтровальщик</t>
        </is>
      </c>
      <c r="H2424" s="1" t="inlineStr">
        <is>
          <t>ООО "Амур Золото"</t>
        </is>
      </c>
      <c r="I2424" s="1" t="inlineStr">
        <is>
          <t>2708001686</t>
        </is>
      </c>
      <c r="J2424" s="1" t="inlineStr">
        <is>
          <t>ЮГОК ЗИОФ 26-01</t>
        </is>
      </c>
      <c r="K2424" s="1" t="inlineStr">
        <is>
          <t>Использование (применение) средств индивидуальной защиты</t>
        </is>
      </c>
      <c r="L2424" s="1" t="inlineStr">
        <is>
          <t>05.06.2026</t>
        </is>
      </c>
      <c r="M2424" s="1" t="inlineStr">
        <is>
          <t>Успешно</t>
        </is>
      </c>
      <c r="N2424" s="1" t="inlineStr">
        <is>
          <t>08.06.2026</t>
        </is>
      </c>
      <c r="O2424" s="1" t="inlineStr"/>
      <c r="P2424" s="1" t="inlineStr"/>
      <c r="Q2424" s="1" t="inlineStr">
        <is>
          <t>Пользовательский интерфейс</t>
        </is>
      </c>
    </row>
    <row r="2425">
      <c r="B2425" s="1" t="inlineStr">
        <is>
          <t>200896982</t>
        </is>
      </c>
      <c r="C2425" s="1" t="inlineStr">
        <is>
          <t>14513218</t>
        </is>
      </c>
      <c r="D2425" t="inlineStr">
        <is>
          <t>работник 752</t>
        </is>
      </c>
      <c r="E2425" s="1" t="inlineStr">
        <is>
          <t>ОБЩЕСТВО С ОГРАНИЧЕННОЙ ОТВЕТСТВЕННОСТЬЮ "АМУР ЗОЛОТО"</t>
        </is>
      </c>
      <c r="F2425" s="1" t="inlineStr">
        <is>
          <t>2708001686</t>
        </is>
      </c>
      <c r="G2425" s="1" t="inlineStr">
        <is>
          <t>Фильтровальщик</t>
        </is>
      </c>
      <c r="H2425" s="1" t="inlineStr">
        <is>
          <t>ООО "Амур Золото"</t>
        </is>
      </c>
      <c r="I2425" s="1" t="inlineStr">
        <is>
          <t>2708001686</t>
        </is>
      </c>
      <c r="J2425" s="1" t="inlineStr">
        <is>
          <t>ЮГОК ЗИОФ 26-01</t>
        </is>
      </c>
      <c r="K242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425" s="1" t="inlineStr">
        <is>
          <t>05.06.2026</t>
        </is>
      </c>
      <c r="M2425" s="1" t="inlineStr">
        <is>
          <t>Успешно</t>
        </is>
      </c>
      <c r="N2425" s="1" t="inlineStr">
        <is>
          <t>08.06.2026</t>
        </is>
      </c>
      <c r="O2425" s="1" t="inlineStr"/>
      <c r="P2425" s="1" t="inlineStr"/>
      <c r="Q2425" s="1" t="inlineStr">
        <is>
          <t>Пользовательский интерфейс</t>
        </is>
      </c>
    </row>
    <row r="2426">
      <c r="B2426" s="1" t="inlineStr">
        <is>
          <t>200896983</t>
        </is>
      </c>
      <c r="C2426" s="1" t="inlineStr">
        <is>
          <t>14513218</t>
        </is>
      </c>
      <c r="D2426" t="inlineStr">
        <is>
          <t>работник 752</t>
        </is>
      </c>
      <c r="E2426" s="1" t="inlineStr">
        <is>
          <t>ОБЩЕСТВО С ОГРАНИЧЕННОЙ ОТВЕТСТВЕННОСТЬЮ "АМУР ЗОЛОТО"</t>
        </is>
      </c>
      <c r="F2426" s="1" t="inlineStr">
        <is>
          <t>2708001686</t>
        </is>
      </c>
      <c r="G2426" s="1" t="inlineStr">
        <is>
          <t>Фильтровальщик</t>
        </is>
      </c>
      <c r="H2426" s="1" t="inlineStr">
        <is>
          <t>ООО "Амур Золото"</t>
        </is>
      </c>
      <c r="I2426" s="1" t="inlineStr">
        <is>
          <t>2708001686</t>
        </is>
      </c>
      <c r="J2426" s="1" t="inlineStr">
        <is>
          <t>ЮГОК ЗИОФ 26-01</t>
        </is>
      </c>
      <c r="K2426" s="1" t="inlineStr">
        <is>
          <t>Безопасные методы и приемы выполнения работ на высоте</t>
        </is>
      </c>
      <c r="L2426" s="1" t="inlineStr">
        <is>
          <t>05.06.2026</t>
        </is>
      </c>
      <c r="M2426" s="1" t="inlineStr">
        <is>
          <t>Успешно</t>
        </is>
      </c>
      <c r="N2426" s="1" t="inlineStr">
        <is>
          <t>08.06.2026</t>
        </is>
      </c>
      <c r="O2426" s="1" t="inlineStr"/>
      <c r="P2426" s="1" t="inlineStr"/>
      <c r="Q2426" s="1" t="inlineStr">
        <is>
          <t>Пользовательский интерфейс</t>
        </is>
      </c>
    </row>
    <row r="2427">
      <c r="B2427" s="1" t="inlineStr">
        <is>
          <t>200896984</t>
        </is>
      </c>
      <c r="C2427" s="1" t="inlineStr">
        <is>
          <t>14513218</t>
        </is>
      </c>
      <c r="D2427" t="inlineStr">
        <is>
          <t>работник 752</t>
        </is>
      </c>
      <c r="E2427" s="1" t="inlineStr">
        <is>
          <t>ОБЩЕСТВО С ОГРАНИЧЕННОЙ ОТВЕТСТВЕННОСТЬЮ "АМУР ЗОЛОТО"</t>
        </is>
      </c>
      <c r="F2427" s="1" t="inlineStr">
        <is>
          <t>2708001686</t>
        </is>
      </c>
      <c r="G2427" s="1" t="inlineStr">
        <is>
          <t>Фильтровальщик</t>
        </is>
      </c>
      <c r="H2427" s="1" t="inlineStr">
        <is>
          <t>ООО "Амур Золото"</t>
        </is>
      </c>
      <c r="I2427" s="1" t="inlineStr">
        <is>
          <t>2708001686</t>
        </is>
      </c>
      <c r="J2427" s="1" t="inlineStr">
        <is>
          <t>ЮГОК ЗИОФ 26-01</t>
        </is>
      </c>
      <c r="K2427" s="1" t="inlineStr">
        <is>
          <t>Безопасные методы и приемы выполнения работ в ограниченных и замкнутых пространствах (ОЗП)</t>
        </is>
      </c>
      <c r="L2427" s="1" t="inlineStr">
        <is>
          <t>05.06.2026</t>
        </is>
      </c>
      <c r="M2427" s="1" t="inlineStr">
        <is>
          <t>Успешно</t>
        </is>
      </c>
      <c r="N2427" s="1" t="inlineStr">
        <is>
          <t>08.06.2026</t>
        </is>
      </c>
      <c r="O2427" s="1" t="inlineStr"/>
      <c r="P2427" s="1" t="inlineStr"/>
      <c r="Q2427" s="1" t="inlineStr">
        <is>
          <t>Пользовательский интерфейс</t>
        </is>
      </c>
    </row>
    <row r="2428">
      <c r="B2428" s="1" t="inlineStr">
        <is>
          <t>200896985</t>
        </is>
      </c>
      <c r="C2428" s="1" t="inlineStr">
        <is>
          <t>14513218</t>
        </is>
      </c>
      <c r="D2428" t="inlineStr">
        <is>
          <t>работник 753</t>
        </is>
      </c>
      <c r="E2428" s="1" t="inlineStr">
        <is>
          <t>ОБЩЕСТВО С ОГРАНИЧЕННОЙ ОТВЕТСТВЕННОСТЬЮ "АМУР ЗОЛОТО"</t>
        </is>
      </c>
      <c r="F2428" s="1" t="inlineStr">
        <is>
          <t>2708001686</t>
        </is>
      </c>
      <c r="G2428" s="1" t="inlineStr">
        <is>
          <t>Фильтровальщик</t>
        </is>
      </c>
      <c r="H2428" s="1" t="inlineStr">
        <is>
          <t>ООО "Амур Золото"</t>
        </is>
      </c>
      <c r="I2428" s="1" t="inlineStr">
        <is>
          <t>2708001686</t>
        </is>
      </c>
      <c r="J2428" s="1" t="inlineStr">
        <is>
          <t>ЮГОК ЗИОФ 26-01</t>
        </is>
      </c>
      <c r="K2428" s="1" t="inlineStr">
        <is>
          <t>Оказание первой помощи пострадавшим</t>
        </is>
      </c>
      <c r="L2428" s="1" t="inlineStr">
        <is>
          <t>05.06.2026</t>
        </is>
      </c>
      <c r="M2428" s="1" t="inlineStr">
        <is>
          <t>Успешно</t>
        </is>
      </c>
      <c r="N2428" s="1" t="inlineStr">
        <is>
          <t>08.06.2026</t>
        </is>
      </c>
      <c r="O2428" s="1" t="inlineStr"/>
      <c r="P2428" s="1" t="inlineStr"/>
      <c r="Q2428" s="1" t="inlineStr">
        <is>
          <t>Пользовательский интерфейс</t>
        </is>
      </c>
    </row>
    <row r="2429">
      <c r="B2429" s="1" t="inlineStr">
        <is>
          <t>200896986</t>
        </is>
      </c>
      <c r="C2429" s="1" t="inlineStr">
        <is>
          <t>14513218</t>
        </is>
      </c>
      <c r="D2429" t="inlineStr">
        <is>
          <t>работник 753</t>
        </is>
      </c>
      <c r="E2429" s="1" t="inlineStr">
        <is>
          <t>ОБЩЕСТВО С ОГРАНИЧЕННОЙ ОТВЕТСТВЕННОСТЬЮ "АМУР ЗОЛОТО"</t>
        </is>
      </c>
      <c r="F2429" s="1" t="inlineStr">
        <is>
          <t>2708001686</t>
        </is>
      </c>
      <c r="G2429" s="1" t="inlineStr">
        <is>
          <t>Фильтровальщик</t>
        </is>
      </c>
      <c r="H2429" s="1" t="inlineStr">
        <is>
          <t>ООО "Амур Золото"</t>
        </is>
      </c>
      <c r="I2429" s="1" t="inlineStr">
        <is>
          <t>2708001686</t>
        </is>
      </c>
      <c r="J2429" s="1" t="inlineStr">
        <is>
          <t>ЮГОК ЗИОФ 26-01</t>
        </is>
      </c>
      <c r="K2429" s="1" t="inlineStr">
        <is>
          <t>Использование (применение) средств индивидуальной защиты</t>
        </is>
      </c>
      <c r="L2429" s="1" t="inlineStr">
        <is>
          <t>05.06.2026</t>
        </is>
      </c>
      <c r="M2429" s="1" t="inlineStr">
        <is>
          <t>Успешно</t>
        </is>
      </c>
      <c r="N2429" s="1" t="inlineStr">
        <is>
          <t>08.06.2026</t>
        </is>
      </c>
      <c r="O2429" s="1" t="inlineStr"/>
      <c r="P2429" s="1" t="inlineStr"/>
      <c r="Q2429" s="1" t="inlineStr">
        <is>
          <t>Пользовательский интерфейс</t>
        </is>
      </c>
    </row>
    <row r="2430">
      <c r="B2430" s="1" t="inlineStr">
        <is>
          <t>200896987</t>
        </is>
      </c>
      <c r="C2430" s="1" t="inlineStr">
        <is>
          <t>14513218</t>
        </is>
      </c>
      <c r="D2430" t="inlineStr">
        <is>
          <t>работник 753</t>
        </is>
      </c>
      <c r="E2430" s="1" t="inlineStr">
        <is>
          <t>ОБЩЕСТВО С ОГРАНИЧЕННОЙ ОТВЕТСТВЕННОСТЬЮ "АМУР ЗОЛОТО"</t>
        </is>
      </c>
      <c r="F2430" s="1" t="inlineStr">
        <is>
          <t>2708001686</t>
        </is>
      </c>
      <c r="G2430" s="1" t="inlineStr">
        <is>
          <t>Фильтровальщик</t>
        </is>
      </c>
      <c r="H2430" s="1" t="inlineStr">
        <is>
          <t>ООО "Амур Золото"</t>
        </is>
      </c>
      <c r="I2430" s="1" t="inlineStr">
        <is>
          <t>2708001686</t>
        </is>
      </c>
      <c r="J2430" s="1" t="inlineStr">
        <is>
          <t>ЮГОК ЗИОФ 26-01</t>
        </is>
      </c>
      <c r="K243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430" s="1" t="inlineStr">
        <is>
          <t>05.06.2026</t>
        </is>
      </c>
      <c r="M2430" s="1" t="inlineStr">
        <is>
          <t>Успешно</t>
        </is>
      </c>
      <c r="N2430" s="1" t="inlineStr">
        <is>
          <t>08.06.2026</t>
        </is>
      </c>
      <c r="O2430" s="1" t="inlineStr"/>
      <c r="P2430" s="1" t="inlineStr"/>
      <c r="Q2430" s="1" t="inlineStr">
        <is>
          <t>Пользовательский интерфейс</t>
        </is>
      </c>
    </row>
    <row r="2431">
      <c r="B2431" s="1" t="inlineStr">
        <is>
          <t>200896988</t>
        </is>
      </c>
      <c r="C2431" s="1" t="inlineStr">
        <is>
          <t>14513218</t>
        </is>
      </c>
      <c r="D2431" t="inlineStr">
        <is>
          <t>работник 753</t>
        </is>
      </c>
      <c r="E2431" s="1" t="inlineStr">
        <is>
          <t>ОБЩЕСТВО С ОГРАНИЧЕННОЙ ОТВЕТСТВЕННОСТЬЮ "АМУР ЗОЛОТО"</t>
        </is>
      </c>
      <c r="F2431" s="1" t="inlineStr">
        <is>
          <t>2708001686</t>
        </is>
      </c>
      <c r="G2431" s="1" t="inlineStr">
        <is>
          <t>Фильтровальщик</t>
        </is>
      </c>
      <c r="H2431" s="1" t="inlineStr">
        <is>
          <t>ООО "Амур Золото"</t>
        </is>
      </c>
      <c r="I2431" s="1" t="inlineStr">
        <is>
          <t>2708001686</t>
        </is>
      </c>
      <c r="J2431" s="1" t="inlineStr">
        <is>
          <t>ЮГОК ЗИОФ 26-01</t>
        </is>
      </c>
      <c r="K2431" s="1" t="inlineStr">
        <is>
          <t>Безопасные методы и приемы выполнения работ на высоте</t>
        </is>
      </c>
      <c r="L2431" s="1" t="inlineStr">
        <is>
          <t>05.06.2026</t>
        </is>
      </c>
      <c r="M2431" s="1" t="inlineStr">
        <is>
          <t>Успешно</t>
        </is>
      </c>
      <c r="N2431" s="1" t="inlineStr">
        <is>
          <t>08.06.2026</t>
        </is>
      </c>
      <c r="O2431" s="1" t="inlineStr"/>
      <c r="P2431" s="1" t="inlineStr"/>
      <c r="Q2431" s="1" t="inlineStr">
        <is>
          <t>Пользовательский интерфейс</t>
        </is>
      </c>
    </row>
    <row r="2432">
      <c r="B2432" s="1" t="inlineStr">
        <is>
          <t>200896989</t>
        </is>
      </c>
      <c r="C2432" s="1" t="inlineStr">
        <is>
          <t>14513218</t>
        </is>
      </c>
      <c r="D2432" t="inlineStr">
        <is>
          <t>работник 753</t>
        </is>
      </c>
      <c r="E2432" s="1" t="inlineStr">
        <is>
          <t>ОБЩЕСТВО С ОГРАНИЧЕННОЙ ОТВЕТСТВЕННОСТЬЮ "АМУР ЗОЛОТО"</t>
        </is>
      </c>
      <c r="F2432" s="1" t="inlineStr">
        <is>
          <t>2708001686</t>
        </is>
      </c>
      <c r="G2432" s="1" t="inlineStr">
        <is>
          <t>Фильтровальщик</t>
        </is>
      </c>
      <c r="H2432" s="1" t="inlineStr">
        <is>
          <t>ООО "Амур Золото"</t>
        </is>
      </c>
      <c r="I2432" s="1" t="inlineStr">
        <is>
          <t>2708001686</t>
        </is>
      </c>
      <c r="J2432" s="1" t="inlineStr">
        <is>
          <t>ЮГОК ЗИОФ 26-01</t>
        </is>
      </c>
      <c r="K2432" s="1" t="inlineStr">
        <is>
          <t>Безопасные методы и приемы выполнения работ в ограниченных и замкнутых пространствах (ОЗП)</t>
        </is>
      </c>
      <c r="L2432" s="1" t="inlineStr">
        <is>
          <t>05.06.2026</t>
        </is>
      </c>
      <c r="M2432" s="1" t="inlineStr">
        <is>
          <t>Успешно</t>
        </is>
      </c>
      <c r="N2432" s="1" t="inlineStr">
        <is>
          <t>08.06.2026</t>
        </is>
      </c>
      <c r="O2432" s="1" t="inlineStr"/>
      <c r="P2432" s="1" t="inlineStr"/>
      <c r="Q2432" s="1" t="inlineStr">
        <is>
          <t>Пользовательский интерфейс</t>
        </is>
      </c>
    </row>
    <row r="2433">
      <c r="B2433" s="1" t="inlineStr">
        <is>
          <t>200896990</t>
        </is>
      </c>
      <c r="C2433" s="1" t="inlineStr">
        <is>
          <t>14513218</t>
        </is>
      </c>
      <c r="D2433" t="inlineStr">
        <is>
          <t>работник 754</t>
        </is>
      </c>
      <c r="E2433" s="1" t="inlineStr">
        <is>
          <t>ОБЩЕСТВО С ОГРАНИЧЕННОЙ ОТВЕТСТВЕННОСТЬЮ "АМУР ЗОЛОТО"</t>
        </is>
      </c>
      <c r="F2433" s="1" t="inlineStr">
        <is>
          <t>2708001686</t>
        </is>
      </c>
      <c r="G2433" s="1" t="inlineStr">
        <is>
          <t>Фильтровальщик</t>
        </is>
      </c>
      <c r="H2433" s="1" t="inlineStr">
        <is>
          <t>ООО "Амур Золото"</t>
        </is>
      </c>
      <c r="I2433" s="1" t="inlineStr">
        <is>
          <t>2708001686</t>
        </is>
      </c>
      <c r="J2433" s="1" t="inlineStr">
        <is>
          <t>ЮГОК ЗИОФ 26-01</t>
        </is>
      </c>
      <c r="K2433" s="1" t="inlineStr">
        <is>
          <t>Оказание первой помощи пострадавшим</t>
        </is>
      </c>
      <c r="L2433" s="1" t="inlineStr">
        <is>
          <t>05.06.2026</t>
        </is>
      </c>
      <c r="M2433" s="1" t="inlineStr">
        <is>
          <t>Успешно</t>
        </is>
      </c>
      <c r="N2433" s="1" t="inlineStr">
        <is>
          <t>08.06.2026</t>
        </is>
      </c>
      <c r="O2433" s="1" t="inlineStr"/>
      <c r="P2433" s="1" t="inlineStr"/>
      <c r="Q2433" s="1" t="inlineStr">
        <is>
          <t>Пользовательский интерфейс</t>
        </is>
      </c>
    </row>
    <row r="2434">
      <c r="B2434" s="1" t="inlineStr">
        <is>
          <t>200896991</t>
        </is>
      </c>
      <c r="C2434" s="1" t="inlineStr">
        <is>
          <t>14513218</t>
        </is>
      </c>
      <c r="D2434" t="inlineStr">
        <is>
          <t>работник 754</t>
        </is>
      </c>
      <c r="E2434" s="1" t="inlineStr">
        <is>
          <t>ОБЩЕСТВО С ОГРАНИЧЕННОЙ ОТВЕТСТВЕННОСТЬЮ "АМУР ЗОЛОТО"</t>
        </is>
      </c>
      <c r="F2434" s="1" t="inlineStr">
        <is>
          <t>2708001686</t>
        </is>
      </c>
      <c r="G2434" s="1" t="inlineStr">
        <is>
          <t>Фильтровальщик</t>
        </is>
      </c>
      <c r="H2434" s="1" t="inlineStr">
        <is>
          <t>ООО "Амур Золото"</t>
        </is>
      </c>
      <c r="I2434" s="1" t="inlineStr">
        <is>
          <t>2708001686</t>
        </is>
      </c>
      <c r="J2434" s="1" t="inlineStr">
        <is>
          <t>ЮГОК ЗИОФ 26-01</t>
        </is>
      </c>
      <c r="K2434" s="1" t="inlineStr">
        <is>
          <t>Использование (применение) средств индивидуальной защиты</t>
        </is>
      </c>
      <c r="L2434" s="1" t="inlineStr">
        <is>
          <t>05.06.2026</t>
        </is>
      </c>
      <c r="M2434" s="1" t="inlineStr">
        <is>
          <t>Успешно</t>
        </is>
      </c>
      <c r="N2434" s="1" t="inlineStr">
        <is>
          <t>08.06.2026</t>
        </is>
      </c>
      <c r="O2434" s="1" t="inlineStr"/>
      <c r="P2434" s="1" t="inlineStr"/>
      <c r="Q2434" s="1" t="inlineStr">
        <is>
          <t>Пользовательский интерфейс</t>
        </is>
      </c>
    </row>
    <row r="2435">
      <c r="B2435" s="1" t="inlineStr">
        <is>
          <t>200896992</t>
        </is>
      </c>
      <c r="C2435" s="1" t="inlineStr">
        <is>
          <t>14513218</t>
        </is>
      </c>
      <c r="D2435" t="inlineStr">
        <is>
          <t>работник 754</t>
        </is>
      </c>
      <c r="E2435" s="1" t="inlineStr">
        <is>
          <t>ОБЩЕСТВО С ОГРАНИЧЕННОЙ ОТВЕТСТВЕННОСТЬЮ "АМУР ЗОЛОТО"</t>
        </is>
      </c>
      <c r="F2435" s="1" t="inlineStr">
        <is>
          <t>2708001686</t>
        </is>
      </c>
      <c r="G2435" s="1" t="inlineStr">
        <is>
          <t>Фильтровальщик</t>
        </is>
      </c>
      <c r="H2435" s="1" t="inlineStr">
        <is>
          <t>ООО "Амур Золото"</t>
        </is>
      </c>
      <c r="I2435" s="1" t="inlineStr">
        <is>
          <t>2708001686</t>
        </is>
      </c>
      <c r="J2435" s="1" t="inlineStr">
        <is>
          <t>ЮГОК ЗИОФ 26-01</t>
        </is>
      </c>
      <c r="K243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435" s="1" t="inlineStr">
        <is>
          <t>05.06.2026</t>
        </is>
      </c>
      <c r="M2435" s="1" t="inlineStr">
        <is>
          <t>Успешно</t>
        </is>
      </c>
      <c r="N2435" s="1" t="inlineStr">
        <is>
          <t>08.06.2026</t>
        </is>
      </c>
      <c r="O2435" s="1" t="inlineStr"/>
      <c r="P2435" s="1" t="inlineStr"/>
      <c r="Q2435" s="1" t="inlineStr">
        <is>
          <t>Пользовательский интерфейс</t>
        </is>
      </c>
    </row>
    <row r="2436">
      <c r="B2436" s="1" t="inlineStr">
        <is>
          <t>200896993</t>
        </is>
      </c>
      <c r="C2436" s="1" t="inlineStr">
        <is>
          <t>14513218</t>
        </is>
      </c>
      <c r="D2436" t="inlineStr">
        <is>
          <t>работник 754</t>
        </is>
      </c>
      <c r="E2436" s="1" t="inlineStr">
        <is>
          <t>ОБЩЕСТВО С ОГРАНИЧЕННОЙ ОТВЕТСТВЕННОСТЬЮ "АМУР ЗОЛОТО"</t>
        </is>
      </c>
      <c r="F2436" s="1" t="inlineStr">
        <is>
          <t>2708001686</t>
        </is>
      </c>
      <c r="G2436" s="1" t="inlineStr">
        <is>
          <t>Фильтровальщик</t>
        </is>
      </c>
      <c r="H2436" s="1" t="inlineStr">
        <is>
          <t>ООО "Амур Золото"</t>
        </is>
      </c>
      <c r="I2436" s="1" t="inlineStr">
        <is>
          <t>2708001686</t>
        </is>
      </c>
      <c r="J2436" s="1" t="inlineStr">
        <is>
          <t>ЮГОК ЗИОФ 26-01</t>
        </is>
      </c>
      <c r="K2436" s="1" t="inlineStr">
        <is>
          <t>Безопасные методы и приемы выполнения работ на высоте</t>
        </is>
      </c>
      <c r="L2436" s="1" t="inlineStr">
        <is>
          <t>05.06.2026</t>
        </is>
      </c>
      <c r="M2436" s="1" t="inlineStr">
        <is>
          <t>Успешно</t>
        </is>
      </c>
      <c r="N2436" s="1" t="inlineStr">
        <is>
          <t>08.06.2026</t>
        </is>
      </c>
      <c r="O2436" s="1" t="inlineStr"/>
      <c r="P2436" s="1" t="inlineStr"/>
      <c r="Q2436" s="1" t="inlineStr">
        <is>
          <t>Пользовательский интерфейс</t>
        </is>
      </c>
    </row>
    <row r="2437">
      <c r="B2437" s="1" t="inlineStr">
        <is>
          <t>200896994</t>
        </is>
      </c>
      <c r="C2437" s="1" t="inlineStr">
        <is>
          <t>14513218</t>
        </is>
      </c>
      <c r="D2437" t="inlineStr">
        <is>
          <t>работник 754</t>
        </is>
      </c>
      <c r="E2437" s="1" t="inlineStr">
        <is>
          <t>ОБЩЕСТВО С ОГРАНИЧЕННОЙ ОТВЕТСТВЕННОСТЬЮ "АМУР ЗОЛОТО"</t>
        </is>
      </c>
      <c r="F2437" s="1" t="inlineStr">
        <is>
          <t>2708001686</t>
        </is>
      </c>
      <c r="G2437" s="1" t="inlineStr">
        <is>
          <t>Фильтровальщик</t>
        </is>
      </c>
      <c r="H2437" s="1" t="inlineStr">
        <is>
          <t>ООО "Амур Золото"</t>
        </is>
      </c>
      <c r="I2437" s="1" t="inlineStr">
        <is>
          <t>2708001686</t>
        </is>
      </c>
      <c r="J2437" s="1" t="inlineStr">
        <is>
          <t>ЮГОК ЗИОФ 26-01</t>
        </is>
      </c>
      <c r="K2437" s="1" t="inlineStr">
        <is>
          <t>Безопасные методы и приемы выполнения работ в ограниченных и замкнутых пространствах (ОЗП)</t>
        </is>
      </c>
      <c r="L2437" s="1" t="inlineStr">
        <is>
          <t>05.06.2026</t>
        </is>
      </c>
      <c r="M2437" s="1" t="inlineStr">
        <is>
          <t>Успешно</t>
        </is>
      </c>
      <c r="N2437" s="1" t="inlineStr">
        <is>
          <t>08.06.2026</t>
        </is>
      </c>
      <c r="O2437" s="1" t="inlineStr"/>
      <c r="P2437" s="1" t="inlineStr"/>
      <c r="Q2437" s="1" t="inlineStr">
        <is>
          <t>Пользовательский интерфейс</t>
        </is>
      </c>
    </row>
    <row r="2438">
      <c r="B2438" s="1" t="inlineStr">
        <is>
          <t>200896995</t>
        </is>
      </c>
      <c r="C2438" s="1" t="inlineStr">
        <is>
          <t>14513218</t>
        </is>
      </c>
      <c r="D2438" t="inlineStr">
        <is>
          <t>работник 755</t>
        </is>
      </c>
      <c r="E2438" s="1" t="inlineStr">
        <is>
          <t>ОБЩЕСТВО С ОГРАНИЧЕННОЙ ОТВЕТСТВЕННОСТЬЮ "АМУР ЗОЛОТО"</t>
        </is>
      </c>
      <c r="F2438" s="1" t="inlineStr">
        <is>
          <t>2708001686</t>
        </is>
      </c>
      <c r="G2438" s="1" t="inlineStr">
        <is>
          <t>Фильтровальщик</t>
        </is>
      </c>
      <c r="H2438" s="1" t="inlineStr">
        <is>
          <t>ООО "Амур Золото"</t>
        </is>
      </c>
      <c r="I2438" s="1" t="inlineStr">
        <is>
          <t>2708001686</t>
        </is>
      </c>
      <c r="J2438" s="1" t="inlineStr">
        <is>
          <t>ЮГОК ЗИОФ 26-01</t>
        </is>
      </c>
      <c r="K2438" s="1" t="inlineStr">
        <is>
          <t>Оказание первой помощи пострадавшим</t>
        </is>
      </c>
      <c r="L2438" s="1" t="inlineStr">
        <is>
          <t>05.06.2026</t>
        </is>
      </c>
      <c r="M2438" s="1" t="inlineStr">
        <is>
          <t>Успешно</t>
        </is>
      </c>
      <c r="N2438" s="1" t="inlineStr">
        <is>
          <t>08.06.2026</t>
        </is>
      </c>
      <c r="O2438" s="1" t="inlineStr"/>
      <c r="P2438" s="1" t="inlineStr"/>
      <c r="Q2438" s="1" t="inlineStr">
        <is>
          <t>Пользовательский интерфейс</t>
        </is>
      </c>
    </row>
    <row r="2439">
      <c r="B2439" s="1" t="inlineStr">
        <is>
          <t>200896996</t>
        </is>
      </c>
      <c r="C2439" s="1" t="inlineStr">
        <is>
          <t>14513218</t>
        </is>
      </c>
      <c r="D2439" t="inlineStr">
        <is>
          <t>работник 755</t>
        </is>
      </c>
      <c r="E2439" s="1" t="inlineStr">
        <is>
          <t>ОБЩЕСТВО С ОГРАНИЧЕННОЙ ОТВЕТСТВЕННОСТЬЮ "АМУР ЗОЛОТО"</t>
        </is>
      </c>
      <c r="F2439" s="1" t="inlineStr">
        <is>
          <t>2708001686</t>
        </is>
      </c>
      <c r="G2439" s="1" t="inlineStr">
        <is>
          <t>Фильтровальщик</t>
        </is>
      </c>
      <c r="H2439" s="1" t="inlineStr">
        <is>
          <t>ООО "Амур Золото"</t>
        </is>
      </c>
      <c r="I2439" s="1" t="inlineStr">
        <is>
          <t>2708001686</t>
        </is>
      </c>
      <c r="J2439" s="1" t="inlineStr">
        <is>
          <t>ЮГОК ЗИОФ 26-01</t>
        </is>
      </c>
      <c r="K2439" s="1" t="inlineStr">
        <is>
          <t>Использование (применение) средств индивидуальной защиты</t>
        </is>
      </c>
      <c r="L2439" s="1" t="inlineStr">
        <is>
          <t>05.06.2026</t>
        </is>
      </c>
      <c r="M2439" s="1" t="inlineStr">
        <is>
          <t>Успешно</t>
        </is>
      </c>
      <c r="N2439" s="1" t="inlineStr">
        <is>
          <t>08.06.2026</t>
        </is>
      </c>
      <c r="O2439" s="1" t="inlineStr"/>
      <c r="P2439" s="1" t="inlineStr"/>
      <c r="Q2439" s="1" t="inlineStr">
        <is>
          <t>Пользовательский интерфейс</t>
        </is>
      </c>
    </row>
    <row r="2440">
      <c r="B2440" s="1" t="inlineStr">
        <is>
          <t>200896997</t>
        </is>
      </c>
      <c r="C2440" s="1" t="inlineStr">
        <is>
          <t>14513218</t>
        </is>
      </c>
      <c r="D2440" t="inlineStr">
        <is>
          <t>работник 755</t>
        </is>
      </c>
      <c r="E2440" s="1" t="inlineStr">
        <is>
          <t>ОБЩЕСТВО С ОГРАНИЧЕННОЙ ОТВЕТСТВЕННОСТЬЮ "АМУР ЗОЛОТО"</t>
        </is>
      </c>
      <c r="F2440" s="1" t="inlineStr">
        <is>
          <t>2708001686</t>
        </is>
      </c>
      <c r="G2440" s="1" t="inlineStr">
        <is>
          <t>Фильтровальщик</t>
        </is>
      </c>
      <c r="H2440" s="1" t="inlineStr">
        <is>
          <t>ООО "Амур Золото"</t>
        </is>
      </c>
      <c r="I2440" s="1" t="inlineStr">
        <is>
          <t>2708001686</t>
        </is>
      </c>
      <c r="J2440" s="1" t="inlineStr">
        <is>
          <t>ЮГОК ЗИОФ 26-01</t>
        </is>
      </c>
      <c r="K244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440" s="1" t="inlineStr">
        <is>
          <t>05.06.2026</t>
        </is>
      </c>
      <c r="M2440" s="1" t="inlineStr">
        <is>
          <t>Успешно</t>
        </is>
      </c>
      <c r="N2440" s="1" t="inlineStr">
        <is>
          <t>08.06.2026</t>
        </is>
      </c>
      <c r="O2440" s="1" t="inlineStr"/>
      <c r="P2440" s="1" t="inlineStr"/>
      <c r="Q2440" s="1" t="inlineStr">
        <is>
          <t>Пользовательский интерфейс</t>
        </is>
      </c>
    </row>
    <row r="2441">
      <c r="B2441" s="1" t="inlineStr">
        <is>
          <t>200896998</t>
        </is>
      </c>
      <c r="C2441" s="1" t="inlineStr">
        <is>
          <t>14513218</t>
        </is>
      </c>
      <c r="D2441" t="inlineStr">
        <is>
          <t>работник 755</t>
        </is>
      </c>
      <c r="E2441" s="1" t="inlineStr">
        <is>
          <t>ОБЩЕСТВО С ОГРАНИЧЕННОЙ ОТВЕТСТВЕННОСТЬЮ "АМУР ЗОЛОТО"</t>
        </is>
      </c>
      <c r="F2441" s="1" t="inlineStr">
        <is>
          <t>2708001686</t>
        </is>
      </c>
      <c r="G2441" s="1" t="inlineStr">
        <is>
          <t>Фильтровальщик</t>
        </is>
      </c>
      <c r="H2441" s="1" t="inlineStr">
        <is>
          <t>ООО "Амур Золото"</t>
        </is>
      </c>
      <c r="I2441" s="1" t="inlineStr">
        <is>
          <t>2708001686</t>
        </is>
      </c>
      <c r="J2441" s="1" t="inlineStr">
        <is>
          <t>ЮГОК ЗИОФ 26-01</t>
        </is>
      </c>
      <c r="K2441" s="1" t="inlineStr">
        <is>
          <t>Безопасные методы и приемы выполнения работ на высоте</t>
        </is>
      </c>
      <c r="L2441" s="1" t="inlineStr">
        <is>
          <t>05.06.2026</t>
        </is>
      </c>
      <c r="M2441" s="1" t="inlineStr">
        <is>
          <t>Успешно</t>
        </is>
      </c>
      <c r="N2441" s="1" t="inlineStr">
        <is>
          <t>08.06.2026</t>
        </is>
      </c>
      <c r="O2441" s="1" t="inlineStr"/>
      <c r="P2441" s="1" t="inlineStr"/>
      <c r="Q2441" s="1" t="inlineStr">
        <is>
          <t>Пользовательский интерфейс</t>
        </is>
      </c>
    </row>
    <row r="2442">
      <c r="B2442" s="1" t="inlineStr">
        <is>
          <t>200896999</t>
        </is>
      </c>
      <c r="C2442" s="1" t="inlineStr">
        <is>
          <t>14513218</t>
        </is>
      </c>
      <c r="D2442" t="inlineStr">
        <is>
          <t>работник 755</t>
        </is>
      </c>
      <c r="E2442" s="1" t="inlineStr">
        <is>
          <t>ОБЩЕСТВО С ОГРАНИЧЕННОЙ ОТВЕТСТВЕННОСТЬЮ "АМУР ЗОЛОТО"</t>
        </is>
      </c>
      <c r="F2442" s="1" t="inlineStr">
        <is>
          <t>2708001686</t>
        </is>
      </c>
      <c r="G2442" s="1" t="inlineStr">
        <is>
          <t>Фильтровальщик</t>
        </is>
      </c>
      <c r="H2442" s="1" t="inlineStr">
        <is>
          <t>ООО "Амур Золото"</t>
        </is>
      </c>
      <c r="I2442" s="1" t="inlineStr">
        <is>
          <t>2708001686</t>
        </is>
      </c>
      <c r="J2442" s="1" t="inlineStr">
        <is>
          <t>ЮГОК ЗИОФ 26-01</t>
        </is>
      </c>
      <c r="K2442" s="1" t="inlineStr">
        <is>
          <t>Безопасные методы и приемы выполнения работ в ограниченных и замкнутых пространствах (ОЗП)</t>
        </is>
      </c>
      <c r="L2442" s="1" t="inlineStr">
        <is>
          <t>05.06.2026</t>
        </is>
      </c>
      <c r="M2442" s="1" t="inlineStr">
        <is>
          <t>Успешно</t>
        </is>
      </c>
      <c r="N2442" s="1" t="inlineStr">
        <is>
          <t>08.06.2026</t>
        </is>
      </c>
      <c r="O2442" s="1" t="inlineStr"/>
      <c r="P2442" s="1" t="inlineStr"/>
      <c r="Q2442" s="1" t="inlineStr">
        <is>
          <t>Пользовательский интерфейс</t>
        </is>
      </c>
    </row>
    <row r="2443">
      <c r="B2443" s="1" t="inlineStr">
        <is>
          <t>200897000</t>
        </is>
      </c>
      <c r="C2443" s="1" t="inlineStr">
        <is>
          <t>14513218</t>
        </is>
      </c>
      <c r="D2443" t="inlineStr">
        <is>
          <t>работник 756</t>
        </is>
      </c>
      <c r="E2443" s="1" t="inlineStr">
        <is>
          <t>ОБЩЕСТВО С ОГРАНИЧЕННОЙ ОТВЕТСТВЕННОСТЬЮ "АМУР ЗОЛОТО"</t>
        </is>
      </c>
      <c r="F2443" s="1" t="inlineStr">
        <is>
          <t>2708001686</t>
        </is>
      </c>
      <c r="G2443" s="1" t="inlineStr">
        <is>
          <t>Фильтровальщик</t>
        </is>
      </c>
      <c r="H2443" s="1" t="inlineStr">
        <is>
          <t>ООО "Амур Золото"</t>
        </is>
      </c>
      <c r="I2443" s="1" t="inlineStr">
        <is>
          <t>2708001686</t>
        </is>
      </c>
      <c r="J2443" s="1" t="inlineStr">
        <is>
          <t>ЮГОК ЗИОФ 26-01</t>
        </is>
      </c>
      <c r="K2443" s="1" t="inlineStr">
        <is>
          <t>Оказание первой помощи пострадавшим</t>
        </is>
      </c>
      <c r="L2443" s="1" t="inlineStr">
        <is>
          <t>05.06.2026</t>
        </is>
      </c>
      <c r="M2443" s="1" t="inlineStr">
        <is>
          <t>Успешно</t>
        </is>
      </c>
      <c r="N2443" s="1" t="inlineStr">
        <is>
          <t>08.06.2026</t>
        </is>
      </c>
      <c r="O2443" s="1" t="inlineStr"/>
      <c r="P2443" s="1" t="inlineStr"/>
      <c r="Q2443" s="1" t="inlineStr">
        <is>
          <t>Пользовательский интерфейс</t>
        </is>
      </c>
    </row>
    <row r="2444">
      <c r="B2444" s="1" t="inlineStr">
        <is>
          <t>200897001</t>
        </is>
      </c>
      <c r="C2444" s="1" t="inlineStr">
        <is>
          <t>14513218</t>
        </is>
      </c>
      <c r="D2444" t="inlineStr">
        <is>
          <t>работник 756</t>
        </is>
      </c>
      <c r="E2444" s="1" t="inlineStr">
        <is>
          <t>ОБЩЕСТВО С ОГРАНИЧЕННОЙ ОТВЕТСТВЕННОСТЬЮ "АМУР ЗОЛОТО"</t>
        </is>
      </c>
      <c r="F2444" s="1" t="inlineStr">
        <is>
          <t>2708001686</t>
        </is>
      </c>
      <c r="G2444" s="1" t="inlineStr">
        <is>
          <t>Фильтровальщик</t>
        </is>
      </c>
      <c r="H2444" s="1" t="inlineStr">
        <is>
          <t>ООО "Амур Золото"</t>
        </is>
      </c>
      <c r="I2444" s="1" t="inlineStr">
        <is>
          <t>2708001686</t>
        </is>
      </c>
      <c r="J2444" s="1" t="inlineStr">
        <is>
          <t>ЮГОК ЗИОФ 26-01</t>
        </is>
      </c>
      <c r="K2444" s="1" t="inlineStr">
        <is>
          <t>Использование (применение) средств индивидуальной защиты</t>
        </is>
      </c>
      <c r="L2444" s="1" t="inlineStr">
        <is>
          <t>05.06.2026</t>
        </is>
      </c>
      <c r="M2444" s="1" t="inlineStr">
        <is>
          <t>Успешно</t>
        </is>
      </c>
      <c r="N2444" s="1" t="inlineStr">
        <is>
          <t>08.06.2026</t>
        </is>
      </c>
      <c r="O2444" s="1" t="inlineStr"/>
      <c r="P2444" s="1" t="inlineStr"/>
      <c r="Q2444" s="1" t="inlineStr">
        <is>
          <t>Пользовательский интерфейс</t>
        </is>
      </c>
    </row>
    <row r="2445">
      <c r="B2445" s="1" t="inlineStr">
        <is>
          <t>200897002</t>
        </is>
      </c>
      <c r="C2445" s="1" t="inlineStr">
        <is>
          <t>14513218</t>
        </is>
      </c>
      <c r="D2445" t="inlineStr">
        <is>
          <t>работник 756</t>
        </is>
      </c>
      <c r="E2445" s="1" t="inlineStr">
        <is>
          <t>ОБЩЕСТВО С ОГРАНИЧЕННОЙ ОТВЕТСТВЕННОСТЬЮ "АМУР ЗОЛОТО"</t>
        </is>
      </c>
      <c r="F2445" s="1" t="inlineStr">
        <is>
          <t>2708001686</t>
        </is>
      </c>
      <c r="G2445" s="1" t="inlineStr">
        <is>
          <t>Фильтровальщик</t>
        </is>
      </c>
      <c r="H2445" s="1" t="inlineStr">
        <is>
          <t>ООО "Амур Золото"</t>
        </is>
      </c>
      <c r="I2445" s="1" t="inlineStr">
        <is>
          <t>2708001686</t>
        </is>
      </c>
      <c r="J2445" s="1" t="inlineStr">
        <is>
          <t>ЮГОК ЗИОФ 26-01</t>
        </is>
      </c>
      <c r="K244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445" s="1" t="inlineStr">
        <is>
          <t>05.06.2026</t>
        </is>
      </c>
      <c r="M2445" s="1" t="inlineStr">
        <is>
          <t>Успешно</t>
        </is>
      </c>
      <c r="N2445" s="1" t="inlineStr">
        <is>
          <t>08.06.2026</t>
        </is>
      </c>
      <c r="O2445" s="1" t="inlineStr"/>
      <c r="P2445" s="1" t="inlineStr"/>
      <c r="Q2445" s="1" t="inlineStr">
        <is>
          <t>Пользовательский интерфейс</t>
        </is>
      </c>
    </row>
    <row r="2446">
      <c r="B2446" s="1" t="inlineStr">
        <is>
          <t>200897003</t>
        </is>
      </c>
      <c r="C2446" s="1" t="inlineStr">
        <is>
          <t>14513218</t>
        </is>
      </c>
      <c r="D2446" t="inlineStr">
        <is>
          <t>работник 756</t>
        </is>
      </c>
      <c r="E2446" s="1" t="inlineStr">
        <is>
          <t>ОБЩЕСТВО С ОГРАНИЧЕННОЙ ОТВЕТСТВЕННОСТЬЮ "АМУР ЗОЛОТО"</t>
        </is>
      </c>
      <c r="F2446" s="1" t="inlineStr">
        <is>
          <t>2708001686</t>
        </is>
      </c>
      <c r="G2446" s="1" t="inlineStr">
        <is>
          <t>Фильтровальщик</t>
        </is>
      </c>
      <c r="H2446" s="1" t="inlineStr">
        <is>
          <t>ООО "Амур Золото"</t>
        </is>
      </c>
      <c r="I2446" s="1" t="inlineStr">
        <is>
          <t>2708001686</t>
        </is>
      </c>
      <c r="J2446" s="1" t="inlineStr">
        <is>
          <t>ЮГОК ЗИОФ 26-01</t>
        </is>
      </c>
      <c r="K2446" s="1" t="inlineStr">
        <is>
          <t>Безопасные методы и приемы выполнения работ на высоте</t>
        </is>
      </c>
      <c r="L2446" s="1" t="inlineStr">
        <is>
          <t>05.06.2026</t>
        </is>
      </c>
      <c r="M2446" s="1" t="inlineStr">
        <is>
          <t>Успешно</t>
        </is>
      </c>
      <c r="N2446" s="1" t="inlineStr">
        <is>
          <t>08.06.2026</t>
        </is>
      </c>
      <c r="O2446" s="1" t="inlineStr"/>
      <c r="P2446" s="1" t="inlineStr"/>
      <c r="Q2446" s="1" t="inlineStr">
        <is>
          <t>Пользовательский интерфейс</t>
        </is>
      </c>
    </row>
    <row r="2447">
      <c r="B2447" s="1" t="inlineStr">
        <is>
          <t>200897004</t>
        </is>
      </c>
      <c r="C2447" s="1" t="inlineStr">
        <is>
          <t>14513218</t>
        </is>
      </c>
      <c r="D2447" t="inlineStr">
        <is>
          <t>работник 756</t>
        </is>
      </c>
      <c r="E2447" s="1" t="inlineStr">
        <is>
          <t>ОБЩЕСТВО С ОГРАНИЧЕННОЙ ОТВЕТСТВЕННОСТЬЮ "АМУР ЗОЛОТО"</t>
        </is>
      </c>
      <c r="F2447" s="1" t="inlineStr">
        <is>
          <t>2708001686</t>
        </is>
      </c>
      <c r="G2447" s="1" t="inlineStr">
        <is>
          <t>Фильтровальщик</t>
        </is>
      </c>
      <c r="H2447" s="1" t="inlineStr">
        <is>
          <t>ООО "Амур Золото"</t>
        </is>
      </c>
      <c r="I2447" s="1" t="inlineStr">
        <is>
          <t>2708001686</t>
        </is>
      </c>
      <c r="J2447" s="1" t="inlineStr">
        <is>
          <t>ЮГОК ЗИОФ 26-01</t>
        </is>
      </c>
      <c r="K2447" s="1" t="inlineStr">
        <is>
          <t>Безопасные методы и приемы выполнения работ в ограниченных и замкнутых пространствах (ОЗП)</t>
        </is>
      </c>
      <c r="L2447" s="1" t="inlineStr">
        <is>
          <t>05.06.2026</t>
        </is>
      </c>
      <c r="M2447" s="1" t="inlineStr">
        <is>
          <t>Успешно</t>
        </is>
      </c>
      <c r="N2447" s="1" t="inlineStr">
        <is>
          <t>08.06.2026</t>
        </is>
      </c>
      <c r="O2447" s="1" t="inlineStr"/>
      <c r="P2447" s="1" t="inlineStr"/>
      <c r="Q2447" s="1" t="inlineStr">
        <is>
          <t>Пользовательский интерфейс</t>
        </is>
      </c>
    </row>
    <row r="2448">
      <c r="B2448" s="1" t="inlineStr">
        <is>
          <t>200897005</t>
        </is>
      </c>
      <c r="C2448" s="1" t="inlineStr">
        <is>
          <t>14513218</t>
        </is>
      </c>
      <c r="D2448" t="inlineStr">
        <is>
          <t>работник 757</t>
        </is>
      </c>
      <c r="E2448" s="1" t="inlineStr">
        <is>
          <t>ОБЩЕСТВО С ОГРАНИЧЕННОЙ ОТВЕТСТВЕННОСТЬЮ "АМУР ЗОЛОТО"</t>
        </is>
      </c>
      <c r="F2448" s="1" t="inlineStr">
        <is>
          <t>2708001686</t>
        </is>
      </c>
      <c r="G2448" s="1" t="inlineStr">
        <is>
          <t>Фильтровальщик</t>
        </is>
      </c>
      <c r="H2448" s="1" t="inlineStr">
        <is>
          <t>ООО "Амур Золото"</t>
        </is>
      </c>
      <c r="I2448" s="1" t="inlineStr">
        <is>
          <t>2708001686</t>
        </is>
      </c>
      <c r="J2448" s="1" t="inlineStr">
        <is>
          <t>ЮГОК ЗИОФ 26-01</t>
        </is>
      </c>
      <c r="K2448" s="1" t="inlineStr">
        <is>
          <t>Оказание первой помощи пострадавшим</t>
        </is>
      </c>
      <c r="L2448" s="1" t="inlineStr">
        <is>
          <t>05.06.2026</t>
        </is>
      </c>
      <c r="M2448" s="1" t="inlineStr">
        <is>
          <t>Успешно</t>
        </is>
      </c>
      <c r="N2448" s="1" t="inlineStr">
        <is>
          <t>08.06.2026</t>
        </is>
      </c>
      <c r="O2448" s="1" t="inlineStr"/>
      <c r="P2448" s="1" t="inlineStr"/>
      <c r="Q2448" s="1" t="inlineStr">
        <is>
          <t>Пользовательский интерфейс</t>
        </is>
      </c>
    </row>
    <row r="2449">
      <c r="B2449" s="1" t="inlineStr">
        <is>
          <t>200897006</t>
        </is>
      </c>
      <c r="C2449" s="1" t="inlineStr">
        <is>
          <t>14513218</t>
        </is>
      </c>
      <c r="D2449" t="inlineStr">
        <is>
          <t>работник 757</t>
        </is>
      </c>
      <c r="E2449" s="1" t="inlineStr">
        <is>
          <t>ОБЩЕСТВО С ОГРАНИЧЕННОЙ ОТВЕТСТВЕННОСТЬЮ "АМУР ЗОЛОТО"</t>
        </is>
      </c>
      <c r="F2449" s="1" t="inlineStr">
        <is>
          <t>2708001686</t>
        </is>
      </c>
      <c r="G2449" s="1" t="inlineStr">
        <is>
          <t>Фильтровальщик</t>
        </is>
      </c>
      <c r="H2449" s="1" t="inlineStr">
        <is>
          <t>ООО "Амур Золото"</t>
        </is>
      </c>
      <c r="I2449" s="1" t="inlineStr">
        <is>
          <t>2708001686</t>
        </is>
      </c>
      <c r="J2449" s="1" t="inlineStr">
        <is>
          <t>ЮГОК ЗИОФ 26-01</t>
        </is>
      </c>
      <c r="K2449" s="1" t="inlineStr">
        <is>
          <t>Использование (применение) средств индивидуальной защиты</t>
        </is>
      </c>
      <c r="L2449" s="1" t="inlineStr">
        <is>
          <t>05.06.2026</t>
        </is>
      </c>
      <c r="M2449" s="1" t="inlineStr">
        <is>
          <t>Успешно</t>
        </is>
      </c>
      <c r="N2449" s="1" t="inlineStr">
        <is>
          <t>08.06.2026</t>
        </is>
      </c>
      <c r="O2449" s="1" t="inlineStr"/>
      <c r="P2449" s="1" t="inlineStr"/>
      <c r="Q2449" s="1" t="inlineStr">
        <is>
          <t>Пользовательский интерфейс</t>
        </is>
      </c>
    </row>
    <row r="2450">
      <c r="B2450" s="1" t="inlineStr">
        <is>
          <t>200897007</t>
        </is>
      </c>
      <c r="C2450" s="1" t="inlineStr">
        <is>
          <t>14513218</t>
        </is>
      </c>
      <c r="D2450" t="inlineStr">
        <is>
          <t>работник 757</t>
        </is>
      </c>
      <c r="E2450" s="1" t="inlineStr">
        <is>
          <t>ОБЩЕСТВО С ОГРАНИЧЕННОЙ ОТВЕТСТВЕННОСТЬЮ "АМУР ЗОЛОТО"</t>
        </is>
      </c>
      <c r="F2450" s="1" t="inlineStr">
        <is>
          <t>2708001686</t>
        </is>
      </c>
      <c r="G2450" s="1" t="inlineStr">
        <is>
          <t>Фильтровальщик</t>
        </is>
      </c>
      <c r="H2450" s="1" t="inlineStr">
        <is>
          <t>ООО "Амур Золото"</t>
        </is>
      </c>
      <c r="I2450" s="1" t="inlineStr">
        <is>
          <t>2708001686</t>
        </is>
      </c>
      <c r="J2450" s="1" t="inlineStr">
        <is>
          <t>ЮГОК ЗИОФ 26-01</t>
        </is>
      </c>
      <c r="K245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450" s="1" t="inlineStr">
        <is>
          <t>05.06.2026</t>
        </is>
      </c>
      <c r="M2450" s="1" t="inlineStr">
        <is>
          <t>Успешно</t>
        </is>
      </c>
      <c r="N2450" s="1" t="inlineStr">
        <is>
          <t>08.06.2026</t>
        </is>
      </c>
      <c r="O2450" s="1" t="inlineStr"/>
      <c r="P2450" s="1" t="inlineStr"/>
      <c r="Q2450" s="1" t="inlineStr">
        <is>
          <t>Пользовательский интерфейс</t>
        </is>
      </c>
    </row>
    <row r="2451">
      <c r="B2451" s="1" t="inlineStr">
        <is>
          <t>200897008</t>
        </is>
      </c>
      <c r="C2451" s="1" t="inlineStr">
        <is>
          <t>14513218</t>
        </is>
      </c>
      <c r="D2451" t="inlineStr">
        <is>
          <t>работник 757</t>
        </is>
      </c>
      <c r="E2451" s="1" t="inlineStr">
        <is>
          <t>ОБЩЕСТВО С ОГРАНИЧЕННОЙ ОТВЕТСТВЕННОСТЬЮ "АМУР ЗОЛОТО"</t>
        </is>
      </c>
      <c r="F2451" s="1" t="inlineStr">
        <is>
          <t>2708001686</t>
        </is>
      </c>
      <c r="G2451" s="1" t="inlineStr">
        <is>
          <t>Фильтровальщик</t>
        </is>
      </c>
      <c r="H2451" s="1" t="inlineStr">
        <is>
          <t>ООО "Амур Золото"</t>
        </is>
      </c>
      <c r="I2451" s="1" t="inlineStr">
        <is>
          <t>2708001686</t>
        </is>
      </c>
      <c r="J2451" s="1" t="inlineStr">
        <is>
          <t>ЮГОК ЗИОФ 26-01</t>
        </is>
      </c>
      <c r="K2451" s="1" t="inlineStr">
        <is>
          <t>Безопасные методы и приемы выполнения работ на высоте</t>
        </is>
      </c>
      <c r="L2451" s="1" t="inlineStr">
        <is>
          <t>05.06.2026</t>
        </is>
      </c>
      <c r="M2451" s="1" t="inlineStr">
        <is>
          <t>Успешно</t>
        </is>
      </c>
      <c r="N2451" s="1" t="inlineStr">
        <is>
          <t>08.06.2026</t>
        </is>
      </c>
      <c r="O2451" s="1" t="inlineStr"/>
      <c r="P2451" s="1" t="inlineStr"/>
      <c r="Q2451" s="1" t="inlineStr">
        <is>
          <t>Пользовательский интерфейс</t>
        </is>
      </c>
    </row>
    <row r="2452">
      <c r="B2452" s="1" t="inlineStr">
        <is>
          <t>200897009</t>
        </is>
      </c>
      <c r="C2452" s="1" t="inlineStr">
        <is>
          <t>14513218</t>
        </is>
      </c>
      <c r="D2452" t="inlineStr">
        <is>
          <t>работник 757</t>
        </is>
      </c>
      <c r="E2452" s="1" t="inlineStr">
        <is>
          <t>ОБЩЕСТВО С ОГРАНИЧЕННОЙ ОТВЕТСТВЕННОСТЬЮ "АМУР ЗОЛОТО"</t>
        </is>
      </c>
      <c r="F2452" s="1" t="inlineStr">
        <is>
          <t>2708001686</t>
        </is>
      </c>
      <c r="G2452" s="1" t="inlineStr">
        <is>
          <t>Фильтровальщик</t>
        </is>
      </c>
      <c r="H2452" s="1" t="inlineStr">
        <is>
          <t>ООО "Амур Золото"</t>
        </is>
      </c>
      <c r="I2452" s="1" t="inlineStr">
        <is>
          <t>2708001686</t>
        </is>
      </c>
      <c r="J2452" s="1" t="inlineStr">
        <is>
          <t>ЮГОК ЗИОФ 26-01</t>
        </is>
      </c>
      <c r="K2452" s="1" t="inlineStr">
        <is>
          <t>Безопасные методы и приемы выполнения работ в ограниченных и замкнутых пространствах (ОЗП)</t>
        </is>
      </c>
      <c r="L2452" s="1" t="inlineStr">
        <is>
          <t>05.06.2026</t>
        </is>
      </c>
      <c r="M2452" s="1" t="inlineStr">
        <is>
          <t>Успешно</t>
        </is>
      </c>
      <c r="N2452" s="1" t="inlineStr">
        <is>
          <t>08.06.2026</t>
        </is>
      </c>
      <c r="O2452" s="1" t="inlineStr"/>
      <c r="P2452" s="1" t="inlineStr"/>
      <c r="Q2452" s="1" t="inlineStr">
        <is>
          <t>Пользовательский интерфейс</t>
        </is>
      </c>
    </row>
    <row r="2453">
      <c r="B2453" s="1" t="inlineStr">
        <is>
          <t>200897010</t>
        </is>
      </c>
      <c r="C2453" s="1" t="inlineStr">
        <is>
          <t>14513218</t>
        </is>
      </c>
      <c r="D2453" t="inlineStr">
        <is>
          <t>работник 585</t>
        </is>
      </c>
      <c r="E2453" s="1" t="inlineStr">
        <is>
          <t>ОБЩЕСТВО С ОГРАНИЧЕННОЙ ОТВЕТСТВЕННОСТЬЮ "АМУР ЗОЛОТО"</t>
        </is>
      </c>
      <c r="F2453" s="1" t="inlineStr">
        <is>
          <t>2708001686</t>
        </is>
      </c>
      <c r="G2453" s="1" t="inlineStr">
        <is>
          <t>Фильтровальщик</t>
        </is>
      </c>
      <c r="H2453" s="1" t="inlineStr">
        <is>
          <t>ООО "Амур Золото"</t>
        </is>
      </c>
      <c r="I2453" s="1" t="inlineStr">
        <is>
          <t>2708001686</t>
        </is>
      </c>
      <c r="J2453" s="1" t="inlineStr">
        <is>
          <t>ЮГОК ЗИОФ 26-01</t>
        </is>
      </c>
      <c r="K2453" s="1" t="inlineStr">
        <is>
          <t>Безопасные методы и приемы выполнения работ на высоте</t>
        </is>
      </c>
      <c r="L2453" s="1" t="inlineStr">
        <is>
          <t>05.06.2026</t>
        </is>
      </c>
      <c r="M2453" s="1" t="inlineStr">
        <is>
          <t>Успешно</t>
        </is>
      </c>
      <c r="N2453" s="1" t="inlineStr">
        <is>
          <t>08.06.2026</t>
        </is>
      </c>
      <c r="O2453" s="1" t="inlineStr"/>
      <c r="P2453" s="1" t="inlineStr"/>
      <c r="Q2453" s="1" t="inlineStr">
        <is>
          <t>Пользовательский интерфейс</t>
        </is>
      </c>
    </row>
    <row r="2454">
      <c r="B2454" s="1" t="inlineStr">
        <is>
          <t>200897011</t>
        </is>
      </c>
      <c r="C2454" s="1" t="inlineStr">
        <is>
          <t>14513218</t>
        </is>
      </c>
      <c r="D2454" t="inlineStr">
        <is>
          <t>работник 585</t>
        </is>
      </c>
      <c r="E2454" s="1" t="inlineStr">
        <is>
          <t>ОБЩЕСТВО С ОГРАНИЧЕННОЙ ОТВЕТСТВЕННОСТЬЮ "АМУР ЗОЛОТО"</t>
        </is>
      </c>
      <c r="F2454" s="1" t="inlineStr">
        <is>
          <t>2708001686</t>
        </is>
      </c>
      <c r="G2454" s="1" t="inlineStr">
        <is>
          <t>Фильтровальщик</t>
        </is>
      </c>
      <c r="H2454" s="1" t="inlineStr">
        <is>
          <t>ООО "Амур Золото"</t>
        </is>
      </c>
      <c r="I2454" s="1" t="inlineStr">
        <is>
          <t>2708001686</t>
        </is>
      </c>
      <c r="J2454" s="1" t="inlineStr">
        <is>
          <t>ЮГОК ЗИОФ 26-01</t>
        </is>
      </c>
      <c r="K2454" s="1" t="inlineStr">
        <is>
          <t>Безопасные методы и приемы выполнения работ в ограниченных и замкнутых пространствах (ОЗП)</t>
        </is>
      </c>
      <c r="L2454" s="1" t="inlineStr">
        <is>
          <t>05.06.2026</t>
        </is>
      </c>
      <c r="M2454" s="1" t="inlineStr">
        <is>
          <t>Успешно</t>
        </is>
      </c>
      <c r="N2454" s="1" t="inlineStr">
        <is>
          <t>08.06.2026</t>
        </is>
      </c>
      <c r="O2454" s="1" t="inlineStr"/>
      <c r="P2454" s="1" t="inlineStr"/>
      <c r="Q2454" s="1" t="inlineStr">
        <is>
          <t>Пользовательский интерфейс</t>
        </is>
      </c>
    </row>
    <row r="2455">
      <c r="B2455" s="1" t="inlineStr">
        <is>
          <t>200897012</t>
        </is>
      </c>
      <c r="C2455" s="1" t="inlineStr">
        <is>
          <t>14513218</t>
        </is>
      </c>
      <c r="D2455" t="inlineStr">
        <is>
          <t>работник 452</t>
        </is>
      </c>
      <c r="E2455" s="1" t="inlineStr">
        <is>
          <t>ОБЩЕСТВО С ОГРАНИЧЕННОЙ ОТВЕТСТВЕННОСТЬЮ "АМУР ЗОЛОТО"</t>
        </is>
      </c>
      <c r="F2455" s="1" t="inlineStr">
        <is>
          <t>2708001686</t>
        </is>
      </c>
      <c r="G2455" s="1" t="inlineStr">
        <is>
          <t>Фильтровальщик</t>
        </is>
      </c>
      <c r="H2455" s="1" t="inlineStr">
        <is>
          <t>ООО "Амур Золото"</t>
        </is>
      </c>
      <c r="I2455" s="1" t="inlineStr">
        <is>
          <t>2708001686</t>
        </is>
      </c>
      <c r="J2455" s="1" t="inlineStr">
        <is>
          <t>ЮГОК ЗИОФ 26-01</t>
        </is>
      </c>
      <c r="K2455" s="1" t="inlineStr">
        <is>
          <t>Безопасные методы и приемы выполнения работ на высоте</t>
        </is>
      </c>
      <c r="L2455" s="1" t="inlineStr">
        <is>
          <t>05.06.2026</t>
        </is>
      </c>
      <c r="M2455" s="1" t="inlineStr">
        <is>
          <t>Успешно</t>
        </is>
      </c>
      <c r="N2455" s="1" t="inlineStr">
        <is>
          <t>08.06.2026</t>
        </is>
      </c>
      <c r="O2455" s="1" t="inlineStr"/>
      <c r="P2455" s="1" t="inlineStr"/>
      <c r="Q2455" s="1" t="inlineStr">
        <is>
          <t>Пользовательский интерфейс</t>
        </is>
      </c>
    </row>
    <row r="2456">
      <c r="B2456" s="1" t="inlineStr">
        <is>
          <t>200897013</t>
        </is>
      </c>
      <c r="C2456" s="1" t="inlineStr">
        <is>
          <t>14513218</t>
        </is>
      </c>
      <c r="D2456" t="inlineStr">
        <is>
          <t>работник 452</t>
        </is>
      </c>
      <c r="E2456" s="1" t="inlineStr">
        <is>
          <t>ОБЩЕСТВО С ОГРАНИЧЕННОЙ ОТВЕТСТВЕННОСТЬЮ "АМУР ЗОЛОТО"</t>
        </is>
      </c>
      <c r="F2456" s="1" t="inlineStr">
        <is>
          <t>2708001686</t>
        </is>
      </c>
      <c r="G2456" s="1" t="inlineStr">
        <is>
          <t>Фильтровальщик</t>
        </is>
      </c>
      <c r="H2456" s="1" t="inlineStr">
        <is>
          <t>ООО "Амур Золото"</t>
        </is>
      </c>
      <c r="I2456" s="1" t="inlineStr">
        <is>
          <t>2708001686</t>
        </is>
      </c>
      <c r="J2456" s="1" t="inlineStr">
        <is>
          <t>ЮГОК ЗИОФ 26-01</t>
        </is>
      </c>
      <c r="K2456" s="1" t="inlineStr">
        <is>
          <t>Безопасные методы и приемы выполнения работ в ограниченных и замкнутых пространствах (ОЗП)</t>
        </is>
      </c>
      <c r="L2456" s="1" t="inlineStr">
        <is>
          <t>05.06.2026</t>
        </is>
      </c>
      <c r="M2456" s="1" t="inlineStr">
        <is>
          <t>Успешно</t>
        </is>
      </c>
      <c r="N2456" s="1" t="inlineStr">
        <is>
          <t>08.06.2026</t>
        </is>
      </c>
      <c r="O2456" s="1" t="inlineStr"/>
      <c r="P2456" s="1" t="inlineStr"/>
      <c r="Q2456" s="1" t="inlineStr">
        <is>
          <t>Пользовательский интерфейс</t>
        </is>
      </c>
    </row>
    <row r="2457">
      <c r="B2457" s="1" t="inlineStr">
        <is>
          <t>200897014</t>
        </is>
      </c>
      <c r="C2457" s="1" t="inlineStr">
        <is>
          <t>14513218</t>
        </is>
      </c>
      <c r="D2457" t="inlineStr">
        <is>
          <t>работник 584</t>
        </is>
      </c>
      <c r="E2457" s="1" t="inlineStr">
        <is>
          <t>ОБЩЕСТВО С ОГРАНИЧЕННОЙ ОТВЕТСТВЕННОСТЬЮ "АМУР ЗОЛОТО"</t>
        </is>
      </c>
      <c r="F2457" s="1" t="inlineStr">
        <is>
          <t>2708001686</t>
        </is>
      </c>
      <c r="G2457" s="1" t="inlineStr">
        <is>
          <t>Растворщик реагентов</t>
        </is>
      </c>
      <c r="H2457" s="1" t="inlineStr">
        <is>
          <t>ООО "Амур Золото"</t>
        </is>
      </c>
      <c r="I2457" s="1" t="inlineStr">
        <is>
          <t>2708001686</t>
        </is>
      </c>
      <c r="J2457" s="1" t="inlineStr">
        <is>
          <t>ЮГОК ЗИОФ 26-01</t>
        </is>
      </c>
      <c r="K2457" s="1" t="inlineStr">
        <is>
          <t>Безопасные методы и приемы выполнения работ на высоте</t>
        </is>
      </c>
      <c r="L2457" s="1" t="inlineStr">
        <is>
          <t>05.06.2026</t>
        </is>
      </c>
      <c r="M2457" s="1" t="inlineStr">
        <is>
          <t>Успешно</t>
        </is>
      </c>
      <c r="N2457" s="1" t="inlineStr">
        <is>
          <t>08.06.2026</t>
        </is>
      </c>
      <c r="O2457" s="1" t="inlineStr"/>
      <c r="P2457" s="1" t="inlineStr"/>
      <c r="Q2457" s="1" t="inlineStr">
        <is>
          <t>Пользовательский интерфейс</t>
        </is>
      </c>
    </row>
    <row r="2458">
      <c r="B2458" s="1" t="inlineStr">
        <is>
          <t>200897015</t>
        </is>
      </c>
      <c r="C2458" s="1" t="inlineStr">
        <is>
          <t>14513218</t>
        </is>
      </c>
      <c r="D2458" t="inlineStr">
        <is>
          <t>работник 584</t>
        </is>
      </c>
      <c r="E2458" s="1" t="inlineStr">
        <is>
          <t>ОБЩЕСТВО С ОГРАНИЧЕННОЙ ОТВЕТСТВЕННОСТЬЮ "АМУР ЗОЛОТО"</t>
        </is>
      </c>
      <c r="F2458" s="1" t="inlineStr">
        <is>
          <t>2708001686</t>
        </is>
      </c>
      <c r="G2458" s="1" t="inlineStr">
        <is>
          <t>Растворщик реагентов</t>
        </is>
      </c>
      <c r="H2458" s="1" t="inlineStr">
        <is>
          <t>ООО "Амур Золото"</t>
        </is>
      </c>
      <c r="I2458" s="1" t="inlineStr">
        <is>
          <t>2708001686</t>
        </is>
      </c>
      <c r="J2458" s="1" t="inlineStr">
        <is>
          <t>ЮГОК ЗИОФ 26-01</t>
        </is>
      </c>
      <c r="K2458" s="1" t="inlineStr">
        <is>
          <t>Безопасные методы и приемы выполнения работ в ограниченных и замкнутых пространствах (ОЗП)</t>
        </is>
      </c>
      <c r="L2458" s="1" t="inlineStr">
        <is>
          <t>05.06.2026</t>
        </is>
      </c>
      <c r="M2458" s="1" t="inlineStr">
        <is>
          <t>Успешно</t>
        </is>
      </c>
      <c r="N2458" s="1" t="inlineStr">
        <is>
          <t>08.06.2026</t>
        </is>
      </c>
      <c r="O2458" s="1" t="inlineStr"/>
      <c r="P2458" s="1" t="inlineStr"/>
      <c r="Q2458" s="1" t="inlineStr">
        <is>
          <t>Пользовательский интерфейс</t>
        </is>
      </c>
    </row>
    <row r="2459">
      <c r="B2459" s="1" t="inlineStr">
        <is>
          <t>200897016</t>
        </is>
      </c>
      <c r="C2459" s="1" t="inlineStr">
        <is>
          <t>14513218</t>
        </is>
      </c>
      <c r="D2459" t="inlineStr">
        <is>
          <t>работник 646</t>
        </is>
      </c>
      <c r="E2459" s="1" t="inlineStr">
        <is>
          <t>ОБЩЕСТВО С ОГРАНИЧЕННОЙ ОТВЕТСТВЕННОСТЬЮ "АМУР ЗОЛОТО"</t>
        </is>
      </c>
      <c r="F2459" s="1" t="inlineStr">
        <is>
          <t>2708001686</t>
        </is>
      </c>
      <c r="G2459" s="1" t="inlineStr">
        <is>
          <t>Растворщик реагентов</t>
        </is>
      </c>
      <c r="H2459" s="1" t="inlineStr">
        <is>
          <t>ООО "Амур Золото"</t>
        </is>
      </c>
      <c r="I2459" s="1" t="inlineStr">
        <is>
          <t>2708001686</t>
        </is>
      </c>
      <c r="J2459" s="1" t="inlineStr">
        <is>
          <t>ЮГОК ЗИОФ 26-01</t>
        </is>
      </c>
      <c r="K2459" s="1" t="inlineStr">
        <is>
          <t>Безопасные методы и приемы выполнения работ на высоте</t>
        </is>
      </c>
      <c r="L2459" s="1" t="inlineStr">
        <is>
          <t>05.06.2026</t>
        </is>
      </c>
      <c r="M2459" s="1" t="inlineStr">
        <is>
          <t>Успешно</t>
        </is>
      </c>
      <c r="N2459" s="1" t="inlineStr">
        <is>
          <t>08.06.2026</t>
        </is>
      </c>
      <c r="O2459" s="1" t="inlineStr"/>
      <c r="P2459" s="1" t="inlineStr"/>
      <c r="Q2459" s="1" t="inlineStr">
        <is>
          <t>Пользовательский интерфейс</t>
        </is>
      </c>
    </row>
    <row r="2460">
      <c r="B2460" s="1" t="inlineStr">
        <is>
          <t>200897017</t>
        </is>
      </c>
      <c r="C2460" s="1" t="inlineStr">
        <is>
          <t>14513218</t>
        </is>
      </c>
      <c r="D2460" t="inlineStr">
        <is>
          <t>работник 646</t>
        </is>
      </c>
      <c r="E2460" s="1" t="inlineStr">
        <is>
          <t>ОБЩЕСТВО С ОГРАНИЧЕННОЙ ОТВЕТСТВЕННОСТЬЮ "АМУР ЗОЛОТО"</t>
        </is>
      </c>
      <c r="F2460" s="1" t="inlineStr">
        <is>
          <t>2708001686</t>
        </is>
      </c>
      <c r="G2460" s="1" t="inlineStr">
        <is>
          <t>Растворщик реагентов</t>
        </is>
      </c>
      <c r="H2460" s="1" t="inlineStr">
        <is>
          <t>ООО "Амур Золото"</t>
        </is>
      </c>
      <c r="I2460" s="1" t="inlineStr">
        <is>
          <t>2708001686</t>
        </is>
      </c>
      <c r="J2460" s="1" t="inlineStr">
        <is>
          <t>ЮГОК ЗИОФ 26-01</t>
        </is>
      </c>
      <c r="K2460" s="1" t="inlineStr">
        <is>
          <t>Безопасные методы и приемы выполнения работ в ограниченных и замкнутых пространствах (ОЗП)</t>
        </is>
      </c>
      <c r="L2460" s="1" t="inlineStr">
        <is>
          <t>05.06.2026</t>
        </is>
      </c>
      <c r="M2460" s="1" t="inlineStr">
        <is>
          <t>Успешно</t>
        </is>
      </c>
      <c r="N2460" s="1" t="inlineStr">
        <is>
          <t>08.06.2026</t>
        </is>
      </c>
      <c r="O2460" s="1" t="inlineStr"/>
      <c r="P2460" s="1" t="inlineStr"/>
      <c r="Q2460" s="1" t="inlineStr">
        <is>
          <t>Пользовательский интерфейс</t>
        </is>
      </c>
    </row>
    <row r="2461">
      <c r="B2461" s="1" t="inlineStr">
        <is>
          <t>200897018</t>
        </is>
      </c>
      <c r="C2461" s="1" t="inlineStr">
        <is>
          <t>14513218</t>
        </is>
      </c>
      <c r="D2461" t="inlineStr">
        <is>
          <t>работник 642</t>
        </is>
      </c>
      <c r="E2461" s="1" t="inlineStr">
        <is>
          <t>ОБЩЕСТВО С ОГРАНИЧЕННОЙ ОТВЕТСТВЕННОСТЬЮ "АМУР ЗОЛОТО"</t>
        </is>
      </c>
      <c r="F2461" s="1" t="inlineStr">
        <is>
          <t>2708001686</t>
        </is>
      </c>
      <c r="G2461" s="1" t="inlineStr">
        <is>
          <t>Растворщик реагентов</t>
        </is>
      </c>
      <c r="H2461" s="1" t="inlineStr">
        <is>
          <t>ООО "Амур Золото"</t>
        </is>
      </c>
      <c r="I2461" s="1" t="inlineStr">
        <is>
          <t>2708001686</t>
        </is>
      </c>
      <c r="J2461" s="1" t="inlineStr">
        <is>
          <t>ЮГОК ЗИОФ 26-01</t>
        </is>
      </c>
      <c r="K2461" s="1" t="inlineStr">
        <is>
          <t>Безопасные методы и приемы выполнения работ на высоте</t>
        </is>
      </c>
      <c r="L2461" s="1" t="inlineStr">
        <is>
          <t>05.06.2026</t>
        </is>
      </c>
      <c r="M2461" s="1" t="inlineStr">
        <is>
          <t>Успешно</t>
        </is>
      </c>
      <c r="N2461" s="1" t="inlineStr">
        <is>
          <t>08.06.2026</t>
        </is>
      </c>
      <c r="O2461" s="1" t="inlineStr"/>
      <c r="P2461" s="1" t="inlineStr"/>
      <c r="Q2461" s="1" t="inlineStr">
        <is>
          <t>Пользовательский интерфейс</t>
        </is>
      </c>
    </row>
    <row r="2462">
      <c r="B2462" s="1" t="inlineStr">
        <is>
          <t>200897019</t>
        </is>
      </c>
      <c r="C2462" s="1" t="inlineStr">
        <is>
          <t>14513218</t>
        </is>
      </c>
      <c r="D2462" t="inlineStr">
        <is>
          <t>работник 642</t>
        </is>
      </c>
      <c r="E2462" s="1" t="inlineStr">
        <is>
          <t>ОБЩЕСТВО С ОГРАНИЧЕННОЙ ОТВЕТСТВЕННОСТЬЮ "АМУР ЗОЛОТО"</t>
        </is>
      </c>
      <c r="F2462" s="1" t="inlineStr">
        <is>
          <t>2708001686</t>
        </is>
      </c>
      <c r="G2462" s="1" t="inlineStr">
        <is>
          <t>Растворщик реагентов</t>
        </is>
      </c>
      <c r="H2462" s="1" t="inlineStr">
        <is>
          <t>ООО "Амур Золото"</t>
        </is>
      </c>
      <c r="I2462" s="1" t="inlineStr">
        <is>
          <t>2708001686</t>
        </is>
      </c>
      <c r="J2462" s="1" t="inlineStr">
        <is>
          <t>ЮГОК ЗИОФ 26-01</t>
        </is>
      </c>
      <c r="K2462" s="1" t="inlineStr">
        <is>
          <t>Безопасные методы и приемы выполнения работ в ограниченных и замкнутых пространствах (ОЗП)</t>
        </is>
      </c>
      <c r="L2462" s="1" t="inlineStr">
        <is>
          <t>05.06.2026</t>
        </is>
      </c>
      <c r="M2462" s="1" t="inlineStr">
        <is>
          <t>Успешно</t>
        </is>
      </c>
      <c r="N2462" s="1" t="inlineStr">
        <is>
          <t>08.06.2026</t>
        </is>
      </c>
      <c r="O2462" s="1" t="inlineStr"/>
      <c r="P2462" s="1" t="inlineStr"/>
      <c r="Q2462" s="1" t="inlineStr">
        <is>
          <t>Пользовательский интерфейс</t>
        </is>
      </c>
    </row>
    <row r="2463">
      <c r="B2463" s="1" t="inlineStr">
        <is>
          <t>200897020</t>
        </is>
      </c>
      <c r="C2463" s="1" t="inlineStr">
        <is>
          <t>14513218</t>
        </is>
      </c>
      <c r="D2463" t="inlineStr">
        <is>
          <t>работник 448</t>
        </is>
      </c>
      <c r="E2463" s="1" t="inlineStr">
        <is>
          <t>ОБЩЕСТВО С ОГРАНИЧЕННОЙ ОТВЕТСТВЕННОСТЬЮ "АМУР ЗОЛОТО"</t>
        </is>
      </c>
      <c r="F2463" s="1" t="inlineStr">
        <is>
          <t>2708001686</t>
        </is>
      </c>
      <c r="G2463" s="1" t="inlineStr">
        <is>
          <t>Слесарь по контрольно-измерительным приборам и автоматике</t>
        </is>
      </c>
      <c r="H2463" s="1" t="inlineStr">
        <is>
          <t>ООО "Амур Золото"</t>
        </is>
      </c>
      <c r="I2463" s="1" t="inlineStr">
        <is>
          <t>2708001686</t>
        </is>
      </c>
      <c r="J2463" s="1" t="inlineStr">
        <is>
          <t>ЮГОК ЗИОФ 26-01</t>
        </is>
      </c>
      <c r="K2463" s="1" t="inlineStr">
        <is>
          <t>Безопасные методы и приемы выполнения работ в электроустановках</t>
        </is>
      </c>
      <c r="L2463" s="1" t="inlineStr">
        <is>
          <t>05.06.2026</t>
        </is>
      </c>
      <c r="M2463" s="1" t="inlineStr">
        <is>
          <t>Успешно</t>
        </is>
      </c>
      <c r="N2463" s="1" t="inlineStr">
        <is>
          <t>08.06.2026</t>
        </is>
      </c>
      <c r="O2463" s="1" t="inlineStr"/>
      <c r="P2463" s="1" t="inlineStr"/>
      <c r="Q2463" s="1" t="inlineStr">
        <is>
          <t>Пользовательский интерфейс</t>
        </is>
      </c>
    </row>
    <row r="2464">
      <c r="B2464" s="1" t="inlineStr">
        <is>
          <t>200897021</t>
        </is>
      </c>
      <c r="C2464" s="1" t="inlineStr">
        <is>
          <t>14513218</t>
        </is>
      </c>
      <c r="D2464" t="inlineStr">
        <is>
          <t>работник 504</t>
        </is>
      </c>
      <c r="E2464" s="1" t="inlineStr">
        <is>
          <t>ОБЩЕСТВО С ОГРАНИЧЕННОЙ ОТВЕТСТВЕННОСТЬЮ "АМУР ЗОЛОТО"</t>
        </is>
      </c>
      <c r="F2464" s="1" t="inlineStr">
        <is>
          <t>2708001686</t>
        </is>
      </c>
      <c r="G2464" s="1" t="inlineStr">
        <is>
          <t>Электрогазосварщик (занятый на резке и ручной сварке)</t>
        </is>
      </c>
      <c r="H2464" s="1" t="inlineStr">
        <is>
          <t>ООО "Амур Золото"</t>
        </is>
      </c>
      <c r="I2464" s="1" t="inlineStr">
        <is>
          <t>2708001686</t>
        </is>
      </c>
      <c r="J2464" s="1" t="inlineStr">
        <is>
          <t>ЮГОК ЗИОФ 26-01</t>
        </is>
      </c>
      <c r="K2464" s="1" t="inlineStr">
        <is>
          <t>Безопасные методы и приемы выполнения работ на высоте</t>
        </is>
      </c>
      <c r="L2464" s="1" t="inlineStr">
        <is>
          <t>05.06.2026</t>
        </is>
      </c>
      <c r="M2464" s="1" t="inlineStr">
        <is>
          <t>Успешно</t>
        </is>
      </c>
      <c r="N2464" s="1" t="inlineStr">
        <is>
          <t>08.06.2026</t>
        </is>
      </c>
      <c r="O2464" s="1" t="inlineStr"/>
      <c r="P2464" s="1" t="inlineStr"/>
      <c r="Q2464" s="1" t="inlineStr">
        <is>
          <t>Пользовательский интерфейс</t>
        </is>
      </c>
    </row>
    <row r="2465">
      <c r="B2465" s="1" t="inlineStr">
        <is>
          <t>200897022</t>
        </is>
      </c>
      <c r="C2465" s="1" t="inlineStr">
        <is>
          <t>14513218</t>
        </is>
      </c>
      <c r="D2465" t="inlineStr">
        <is>
          <t>работник 504</t>
        </is>
      </c>
      <c r="E2465" s="1" t="inlineStr">
        <is>
          <t>ОБЩЕСТВО С ОГРАНИЧЕННОЙ ОТВЕТСТВЕННОСТЬЮ "АМУР ЗОЛОТО"</t>
        </is>
      </c>
      <c r="F2465" s="1" t="inlineStr">
        <is>
          <t>2708001686</t>
        </is>
      </c>
      <c r="G2465" s="1" t="inlineStr">
        <is>
          <t>Электрогазосварщик (занятый на резке и ручной сварке)</t>
        </is>
      </c>
      <c r="H2465" s="1" t="inlineStr">
        <is>
          <t>ООО "Амур Золото"</t>
        </is>
      </c>
      <c r="I2465" s="1" t="inlineStr">
        <is>
          <t>2708001686</t>
        </is>
      </c>
      <c r="J2465" s="1" t="inlineStr">
        <is>
          <t>ЮГОК ЗИОФ 26-01</t>
        </is>
      </c>
      <c r="K2465" s="1" t="inlineStr">
        <is>
          <t>Безопасные методы и приемы выполнения работ в ограниченных и замкнутых пространствах (ОЗП)</t>
        </is>
      </c>
      <c r="L2465" s="1" t="inlineStr">
        <is>
          <t>05.06.2026</t>
        </is>
      </c>
      <c r="M2465" s="1" t="inlineStr">
        <is>
          <t>Успешно</t>
        </is>
      </c>
      <c r="N2465" s="1" t="inlineStr">
        <is>
          <t>08.06.2026</t>
        </is>
      </c>
      <c r="O2465" s="1" t="inlineStr"/>
      <c r="P2465" s="1" t="inlineStr"/>
      <c r="Q2465" s="1" t="inlineStr">
        <is>
          <t>Пользовательский интерфейс</t>
        </is>
      </c>
    </row>
    <row r="2466">
      <c r="B2466" s="1" t="inlineStr">
        <is>
          <t>200897023</t>
        </is>
      </c>
      <c r="C2466" s="1" t="inlineStr">
        <is>
          <t>14513218</t>
        </is>
      </c>
      <c r="D2466" t="inlineStr">
        <is>
          <t>работник 504</t>
        </is>
      </c>
      <c r="E2466" s="1" t="inlineStr">
        <is>
          <t>ОБЩЕСТВО С ОГРАНИЧЕННОЙ ОТВЕТСТВЕННОСТЬЮ "АМУР ЗОЛОТО"</t>
        </is>
      </c>
      <c r="F2466" s="1" t="inlineStr">
        <is>
          <t>2708001686</t>
        </is>
      </c>
      <c r="G2466" s="1" t="inlineStr">
        <is>
          <t>Электрогазосварщик (занятый на резке и ручной сварке)</t>
        </is>
      </c>
      <c r="H2466" s="1" t="inlineStr">
        <is>
          <t>ООО "Амур Золото"</t>
        </is>
      </c>
      <c r="I2466" s="1" t="inlineStr">
        <is>
          <t>2708001686</t>
        </is>
      </c>
      <c r="J2466" s="1" t="inlineStr">
        <is>
          <t>ЮГОК ЗИОФ 26-01</t>
        </is>
      </c>
      <c r="K2466" s="1" t="inlineStr">
        <is>
          <t>Безопасные методы и приемы выполнения огневых работ</t>
        </is>
      </c>
      <c r="L2466" s="1" t="inlineStr">
        <is>
          <t>05.06.2026</t>
        </is>
      </c>
      <c r="M2466" s="1" t="inlineStr">
        <is>
          <t>Успешно</t>
        </is>
      </c>
      <c r="N2466" s="1" t="inlineStr">
        <is>
          <t>08.06.2026</t>
        </is>
      </c>
      <c r="O2466" s="1" t="inlineStr"/>
      <c r="P2466" s="1" t="inlineStr"/>
      <c r="Q2466" s="1" t="inlineStr">
        <is>
          <t>Пользовательский интерфейс</t>
        </is>
      </c>
    </row>
    <row r="2467">
      <c r="B2467" s="1" t="inlineStr">
        <is>
          <t>200897024</t>
        </is>
      </c>
      <c r="C2467" s="1" t="inlineStr">
        <is>
          <t>14513218</t>
        </is>
      </c>
      <c r="D2467" t="inlineStr">
        <is>
          <t>работник 133</t>
        </is>
      </c>
      <c r="E2467" s="1" t="inlineStr">
        <is>
          <t>ОБЩЕСТВО С ОГРАНИЧЕННОЙ ОТВЕТСТВЕННОСТЬЮ "АМУР ЗОЛОТО"</t>
        </is>
      </c>
      <c r="F2467" s="1" t="inlineStr">
        <is>
          <t>2708001686</t>
        </is>
      </c>
      <c r="G2467" s="1" t="inlineStr">
        <is>
          <t>Электрогазосварщик (занятый на резке и ручной сварке)</t>
        </is>
      </c>
      <c r="H2467" s="1" t="inlineStr">
        <is>
          <t>ООО "Амур Золото"</t>
        </is>
      </c>
      <c r="I2467" s="1" t="inlineStr">
        <is>
          <t>2708001686</t>
        </is>
      </c>
      <c r="J2467" s="1" t="inlineStr">
        <is>
          <t>ЮГОК ЗИОФ 26-01</t>
        </is>
      </c>
      <c r="K2467" s="1" t="inlineStr">
        <is>
          <t>Безопасные методы и приемы выполнения работ на высоте</t>
        </is>
      </c>
      <c r="L2467" s="1" t="inlineStr">
        <is>
          <t>05.06.2026</t>
        </is>
      </c>
      <c r="M2467" s="1" t="inlineStr">
        <is>
          <t>Успешно</t>
        </is>
      </c>
      <c r="N2467" s="1" t="inlineStr">
        <is>
          <t>08.06.2026</t>
        </is>
      </c>
      <c r="O2467" s="1" t="inlineStr"/>
      <c r="P2467" s="1" t="inlineStr"/>
      <c r="Q2467" s="1" t="inlineStr">
        <is>
          <t>Пользовательский интерфейс</t>
        </is>
      </c>
    </row>
    <row r="2468">
      <c r="B2468" s="1" t="inlineStr">
        <is>
          <t>200897025</t>
        </is>
      </c>
      <c r="C2468" s="1" t="inlineStr">
        <is>
          <t>14513218</t>
        </is>
      </c>
      <c r="D2468" t="inlineStr">
        <is>
          <t>работник 133</t>
        </is>
      </c>
      <c r="E2468" s="1" t="inlineStr">
        <is>
          <t>ОБЩЕСТВО С ОГРАНИЧЕННОЙ ОТВЕТСТВЕННОСТЬЮ "АМУР ЗОЛОТО"</t>
        </is>
      </c>
      <c r="F2468" s="1" t="inlineStr">
        <is>
          <t>2708001686</t>
        </is>
      </c>
      <c r="G2468" s="1" t="inlineStr">
        <is>
          <t>Электрогазосварщик (занятый на резке и ручной сварке)</t>
        </is>
      </c>
      <c r="H2468" s="1" t="inlineStr">
        <is>
          <t>ООО "Амур Золото"</t>
        </is>
      </c>
      <c r="I2468" s="1" t="inlineStr">
        <is>
          <t>2708001686</t>
        </is>
      </c>
      <c r="J2468" s="1" t="inlineStr">
        <is>
          <t>ЮГОК ЗИОФ 26-01</t>
        </is>
      </c>
      <c r="K2468" s="1" t="inlineStr">
        <is>
          <t>Безопасные методы и приемы выполнения работ в ограниченных и замкнутых пространствах (ОЗП)</t>
        </is>
      </c>
      <c r="L2468" s="1" t="inlineStr">
        <is>
          <t>05.06.2026</t>
        </is>
      </c>
      <c r="M2468" s="1" t="inlineStr">
        <is>
          <t>Успешно</t>
        </is>
      </c>
      <c r="N2468" s="1" t="inlineStr">
        <is>
          <t>08.06.2026</t>
        </is>
      </c>
      <c r="O2468" s="1" t="inlineStr"/>
      <c r="P2468" s="1" t="inlineStr"/>
      <c r="Q2468" s="1" t="inlineStr">
        <is>
          <t>Пользовательский интерфейс</t>
        </is>
      </c>
    </row>
    <row r="2469">
      <c r="B2469" s="1" t="inlineStr">
        <is>
          <t>200897026</t>
        </is>
      </c>
      <c r="C2469" s="1" t="inlineStr">
        <is>
          <t>14513218</t>
        </is>
      </c>
      <c r="D2469" t="inlineStr">
        <is>
          <t>работник 133</t>
        </is>
      </c>
      <c r="E2469" s="1" t="inlineStr">
        <is>
          <t>ОБЩЕСТВО С ОГРАНИЧЕННОЙ ОТВЕТСТВЕННОСТЬЮ "АМУР ЗОЛОТО"</t>
        </is>
      </c>
      <c r="F2469" s="1" t="inlineStr">
        <is>
          <t>2708001686</t>
        </is>
      </c>
      <c r="G2469" s="1" t="inlineStr">
        <is>
          <t>Электрогазосварщик (занятый на резке и ручной сварке)</t>
        </is>
      </c>
      <c r="H2469" s="1" t="inlineStr">
        <is>
          <t>ООО "Амур Золото"</t>
        </is>
      </c>
      <c r="I2469" s="1" t="inlineStr">
        <is>
          <t>2708001686</t>
        </is>
      </c>
      <c r="J2469" s="1" t="inlineStr">
        <is>
          <t>ЮГОК ЗИОФ 26-01</t>
        </is>
      </c>
      <c r="K2469" s="1" t="inlineStr">
        <is>
          <t>Безопасные методы и приемы выполнения огневых работ</t>
        </is>
      </c>
      <c r="L2469" s="1" t="inlineStr">
        <is>
          <t>05.06.2026</t>
        </is>
      </c>
      <c r="M2469" s="1" t="inlineStr">
        <is>
          <t>Успешно</t>
        </is>
      </c>
      <c r="N2469" s="1" t="inlineStr">
        <is>
          <t>08.06.2026</t>
        </is>
      </c>
      <c r="O2469" s="1" t="inlineStr"/>
      <c r="P2469" s="1" t="inlineStr"/>
      <c r="Q2469" s="1" t="inlineStr">
        <is>
          <t>Пользовательский интерфейс</t>
        </is>
      </c>
    </row>
    <row r="2470">
      <c r="B2470" s="1" t="inlineStr">
        <is>
          <t>200897027</t>
        </is>
      </c>
      <c r="C2470" s="1" t="inlineStr">
        <is>
          <t>14513218</t>
        </is>
      </c>
      <c r="D2470" t="inlineStr">
        <is>
          <t>работник 32</t>
        </is>
      </c>
      <c r="E2470" s="1" t="inlineStr">
        <is>
          <t>ОБЩЕСТВО С ОГРАНИЧЕННОЙ ОТВЕТСТВЕННОСТЬЮ "АМУР ЗОЛОТО"</t>
        </is>
      </c>
      <c r="F2470" s="1" t="inlineStr">
        <is>
          <t>2708001686</t>
        </is>
      </c>
      <c r="G2470" s="1" t="inlineStr">
        <is>
          <t>Электромонтер по ремонту и обслуживанию электрооборудования</t>
        </is>
      </c>
      <c r="H2470" s="1" t="inlineStr">
        <is>
          <t>ООО "Амур Золото"</t>
        </is>
      </c>
      <c r="I2470" s="1" t="inlineStr">
        <is>
          <t>2708001686</t>
        </is>
      </c>
      <c r="J2470" s="1" t="inlineStr">
        <is>
          <t>ЮГОК ЗИОФ 26-01</t>
        </is>
      </c>
      <c r="K2470" s="1" t="inlineStr">
        <is>
          <t>Безопасные методы и приемы выполнения работ в электроустановках</t>
        </is>
      </c>
      <c r="L2470" s="1" t="inlineStr">
        <is>
          <t>05.06.2026</t>
        </is>
      </c>
      <c r="M2470" s="1" t="inlineStr">
        <is>
          <t>Успешно</t>
        </is>
      </c>
      <c r="N2470" s="1" t="inlineStr">
        <is>
          <t>08.06.2026</t>
        </is>
      </c>
      <c r="O2470" s="1" t="inlineStr"/>
      <c r="P2470" s="1" t="inlineStr"/>
      <c r="Q2470" s="1" t="inlineStr">
        <is>
          <t>Пользовательский интерфейс</t>
        </is>
      </c>
    </row>
    <row r="2471">
      <c r="B2471" s="1" t="inlineStr">
        <is>
          <t>200897028</t>
        </is>
      </c>
      <c r="C2471" s="1" t="inlineStr">
        <is>
          <t>14513218</t>
        </is>
      </c>
      <c r="D2471" t="inlineStr">
        <is>
          <t>работник 581</t>
        </is>
      </c>
      <c r="E2471" s="1" t="inlineStr">
        <is>
          <t>ОБЩЕСТВО С ОГРАНИЧЕННОЙ ОТВЕТСТВЕННОСТЬЮ "АМУР ЗОЛОТО"</t>
        </is>
      </c>
      <c r="F2471" s="1" t="inlineStr">
        <is>
          <t>2708001686</t>
        </is>
      </c>
      <c r="G2471" s="1" t="inlineStr">
        <is>
          <t>Электромонтер по ремонту и обслуживанию электрооборудования</t>
        </is>
      </c>
      <c r="H2471" s="1" t="inlineStr">
        <is>
          <t>ООО "Амур Золото"</t>
        </is>
      </c>
      <c r="I2471" s="1" t="inlineStr">
        <is>
          <t>2708001686</t>
        </is>
      </c>
      <c r="J2471" s="1" t="inlineStr">
        <is>
          <t>ЮГОК ЗИОФ 26-01</t>
        </is>
      </c>
      <c r="K2471" s="1" t="inlineStr">
        <is>
          <t>Безопасные методы и приемы выполнения работ в электроустановках</t>
        </is>
      </c>
      <c r="L2471" s="1" t="inlineStr">
        <is>
          <t>05.06.2026</t>
        </is>
      </c>
      <c r="M2471" s="1" t="inlineStr">
        <is>
          <t>Успешно</t>
        </is>
      </c>
      <c r="N2471" s="1" t="inlineStr">
        <is>
          <t>08.06.2026</t>
        </is>
      </c>
      <c r="O2471" s="1" t="inlineStr"/>
      <c r="P2471" s="1" t="inlineStr"/>
      <c r="Q2471" s="1" t="inlineStr">
        <is>
          <t>Пользовательский интерфейс</t>
        </is>
      </c>
    </row>
    <row r="2472">
      <c r="B2472" s="1" t="inlineStr">
        <is>
          <t>200897029</t>
        </is>
      </c>
      <c r="C2472" s="1" t="inlineStr">
        <is>
          <t>14513218</t>
        </is>
      </c>
      <c r="D2472" t="inlineStr">
        <is>
          <t>работник 758</t>
        </is>
      </c>
      <c r="E2472" s="1" t="inlineStr">
        <is>
          <t>ОБЩЕСТВО С ОГРАНИЧЕННОЙ ОТВЕТСТВЕННОСТЬЮ "АМУР ЗОЛОТО"</t>
        </is>
      </c>
      <c r="F2472" s="1" t="inlineStr">
        <is>
          <t>2708001686</t>
        </is>
      </c>
      <c r="G2472" s="1" t="inlineStr">
        <is>
          <t>Слесарь-ремонтник (по ремонту обогатительного оборудования)</t>
        </is>
      </c>
      <c r="H2472" s="1" t="inlineStr">
        <is>
          <t>ООО "Амур Золото"</t>
        </is>
      </c>
      <c r="I2472" s="1" t="inlineStr">
        <is>
          <t>2708001686</t>
        </is>
      </c>
      <c r="J2472" s="1" t="inlineStr">
        <is>
          <t>ЮГОК ЗИОФ 26-01</t>
        </is>
      </c>
      <c r="K2472" s="1" t="inlineStr">
        <is>
          <t>Оказание первой помощи пострадавшим</t>
        </is>
      </c>
      <c r="L2472" s="1" t="inlineStr">
        <is>
          <t>05.06.2026</t>
        </is>
      </c>
      <c r="M2472" s="1" t="inlineStr">
        <is>
          <t>Успешно</t>
        </is>
      </c>
      <c r="N2472" s="1" t="inlineStr">
        <is>
          <t>08.06.2026</t>
        </is>
      </c>
      <c r="O2472" s="1" t="inlineStr"/>
      <c r="P2472" s="1" t="inlineStr"/>
      <c r="Q2472" s="1" t="inlineStr">
        <is>
          <t>Пользовательский интерфейс</t>
        </is>
      </c>
    </row>
    <row r="2473">
      <c r="B2473" s="1" t="inlineStr">
        <is>
          <t>200897030</t>
        </is>
      </c>
      <c r="C2473" s="1" t="inlineStr">
        <is>
          <t>14513218</t>
        </is>
      </c>
      <c r="D2473" t="inlineStr">
        <is>
          <t>работник 758</t>
        </is>
      </c>
      <c r="E2473" s="1" t="inlineStr">
        <is>
          <t>ОБЩЕСТВО С ОГРАНИЧЕННОЙ ОТВЕТСТВЕННОСТЬЮ "АМУР ЗОЛОТО"</t>
        </is>
      </c>
      <c r="F2473" s="1" t="inlineStr">
        <is>
          <t>2708001686</t>
        </is>
      </c>
      <c r="G2473" s="1" t="inlineStr">
        <is>
          <t>Слесарь-ремонтник (по ремонту обогатительного оборудования)</t>
        </is>
      </c>
      <c r="H2473" s="1" t="inlineStr">
        <is>
          <t>ООО "Амур Золото"</t>
        </is>
      </c>
      <c r="I2473" s="1" t="inlineStr">
        <is>
          <t>2708001686</t>
        </is>
      </c>
      <c r="J2473" s="1" t="inlineStr">
        <is>
          <t>ЮГОК ЗИОФ 26-01</t>
        </is>
      </c>
      <c r="K2473" s="1" t="inlineStr">
        <is>
          <t>Использование (применение) средств индивидуальной защиты</t>
        </is>
      </c>
      <c r="L2473" s="1" t="inlineStr">
        <is>
          <t>05.06.2026</t>
        </is>
      </c>
      <c r="M2473" s="1" t="inlineStr">
        <is>
          <t>Успешно</t>
        </is>
      </c>
      <c r="N2473" s="1" t="inlineStr">
        <is>
          <t>08.06.2026</t>
        </is>
      </c>
      <c r="O2473" s="1" t="inlineStr"/>
      <c r="P2473" s="1" t="inlineStr"/>
      <c r="Q2473" s="1" t="inlineStr">
        <is>
          <t>Пользовательский интерфейс</t>
        </is>
      </c>
    </row>
    <row r="2474">
      <c r="B2474" s="1" t="inlineStr">
        <is>
          <t>200897031</t>
        </is>
      </c>
      <c r="C2474" s="1" t="inlineStr">
        <is>
          <t>14513218</t>
        </is>
      </c>
      <c r="D2474" t="inlineStr">
        <is>
          <t>работник 758</t>
        </is>
      </c>
      <c r="E2474" s="1" t="inlineStr">
        <is>
          <t>ОБЩЕСТВО С ОГРАНИЧЕННОЙ ОТВЕТСТВЕННОСТЬЮ "АМУР ЗОЛОТО"</t>
        </is>
      </c>
      <c r="F2474" s="1" t="inlineStr">
        <is>
          <t>2708001686</t>
        </is>
      </c>
      <c r="G2474" s="1" t="inlineStr">
        <is>
          <t>Слесарь-ремонтник (по ремонту обогатительного оборудования)</t>
        </is>
      </c>
      <c r="H2474" s="1" t="inlineStr">
        <is>
          <t>ООО "Амур Золото"</t>
        </is>
      </c>
      <c r="I2474" s="1" t="inlineStr">
        <is>
          <t>2708001686</t>
        </is>
      </c>
      <c r="J2474" s="1" t="inlineStr">
        <is>
          <t>ЮГОК ЗИОФ 26-01</t>
        </is>
      </c>
      <c r="K247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474" s="1" t="inlineStr">
        <is>
          <t>05.06.2026</t>
        </is>
      </c>
      <c r="M2474" s="1" t="inlineStr">
        <is>
          <t>Успешно</t>
        </is>
      </c>
      <c r="N2474" s="1" t="inlineStr">
        <is>
          <t>08.06.2026</t>
        </is>
      </c>
      <c r="O2474" s="1" t="inlineStr"/>
      <c r="P2474" s="1" t="inlineStr"/>
      <c r="Q2474" s="1" t="inlineStr">
        <is>
          <t>Пользовательский интерфейс</t>
        </is>
      </c>
    </row>
    <row r="2475">
      <c r="B2475" s="1" t="inlineStr">
        <is>
          <t>200897032</t>
        </is>
      </c>
      <c r="C2475" s="1" t="inlineStr">
        <is>
          <t>14513218</t>
        </is>
      </c>
      <c r="D2475" t="inlineStr">
        <is>
          <t>работник 758</t>
        </is>
      </c>
      <c r="E2475" s="1" t="inlineStr">
        <is>
          <t>ОБЩЕСТВО С ОГРАНИЧЕННОЙ ОТВЕТСТВЕННОСТЬЮ "АМУР ЗОЛОТО"</t>
        </is>
      </c>
      <c r="F2475" s="1" t="inlineStr">
        <is>
          <t>2708001686</t>
        </is>
      </c>
      <c r="G2475" s="1" t="inlineStr">
        <is>
          <t>Слесарь-ремонтник (по ремонту обогатительного оборудования)</t>
        </is>
      </c>
      <c r="H2475" s="1" t="inlineStr">
        <is>
          <t>ООО "Амур Золото"</t>
        </is>
      </c>
      <c r="I2475" s="1" t="inlineStr">
        <is>
          <t>2708001686</t>
        </is>
      </c>
      <c r="J2475" s="1" t="inlineStr">
        <is>
          <t>ЮГОК ЗИОФ 26-01</t>
        </is>
      </c>
      <c r="K2475" s="1" t="inlineStr">
        <is>
          <t>Безопасные методы и приемы выполнения работ на высоте</t>
        </is>
      </c>
      <c r="L2475" s="1" t="inlineStr">
        <is>
          <t>05.06.2026</t>
        </is>
      </c>
      <c r="M2475" s="1" t="inlineStr">
        <is>
          <t>Успешно</t>
        </is>
      </c>
      <c r="N2475" s="1" t="inlineStr">
        <is>
          <t>08.06.2026</t>
        </is>
      </c>
      <c r="O2475" s="1" t="inlineStr"/>
      <c r="P2475" s="1" t="inlineStr"/>
      <c r="Q2475" s="1" t="inlineStr">
        <is>
          <t>Пользовательский интерфейс</t>
        </is>
      </c>
    </row>
    <row r="2476">
      <c r="B2476" s="1" t="inlineStr">
        <is>
          <t>200897033</t>
        </is>
      </c>
      <c r="C2476" s="1" t="inlineStr">
        <is>
          <t>14513218</t>
        </is>
      </c>
      <c r="D2476" t="inlineStr">
        <is>
          <t>работник 758</t>
        </is>
      </c>
      <c r="E2476" s="1" t="inlineStr">
        <is>
          <t>ОБЩЕСТВО С ОГРАНИЧЕННОЙ ОТВЕТСТВЕННОСТЬЮ "АМУР ЗОЛОТО"</t>
        </is>
      </c>
      <c r="F2476" s="1" t="inlineStr">
        <is>
          <t>2708001686</t>
        </is>
      </c>
      <c r="G2476" s="1" t="inlineStr">
        <is>
          <t>Слесарь-ремонтник (по ремонту обогатительного оборудования)</t>
        </is>
      </c>
      <c r="H2476" s="1" t="inlineStr">
        <is>
          <t>ООО "Амур Золото"</t>
        </is>
      </c>
      <c r="I2476" s="1" t="inlineStr">
        <is>
          <t>2708001686</t>
        </is>
      </c>
      <c r="J2476" s="1" t="inlineStr">
        <is>
          <t>ЮГОК ЗИОФ 26-01</t>
        </is>
      </c>
      <c r="K2476" s="1" t="inlineStr">
        <is>
          <t>Безопасные методы и приемы выполнения работ в ограниченных и замкнутых пространствах (ОЗП)</t>
        </is>
      </c>
      <c r="L2476" s="1" t="inlineStr">
        <is>
          <t>05.06.2026</t>
        </is>
      </c>
      <c r="M2476" s="1" t="inlineStr">
        <is>
          <t>Успешно</t>
        </is>
      </c>
      <c r="N2476" s="1" t="inlineStr">
        <is>
          <t>08.06.2026</t>
        </is>
      </c>
      <c r="O2476" s="1" t="inlineStr"/>
      <c r="P2476" s="1" t="inlineStr"/>
      <c r="Q2476" s="1" t="inlineStr">
        <is>
          <t>Пользовательский интерфейс</t>
        </is>
      </c>
    </row>
    <row r="2477">
      <c r="B2477" s="1" t="inlineStr">
        <is>
          <t>200897034</t>
        </is>
      </c>
      <c r="C2477" s="1" t="inlineStr">
        <is>
          <t>14513218</t>
        </is>
      </c>
      <c r="D2477" t="inlineStr">
        <is>
          <t>работник 758</t>
        </is>
      </c>
      <c r="E2477" s="1" t="inlineStr">
        <is>
          <t>ОБЩЕСТВО С ОГРАНИЧЕННОЙ ОТВЕТСТВЕННОСТЬЮ "АМУР ЗОЛОТО"</t>
        </is>
      </c>
      <c r="F2477" s="1" t="inlineStr">
        <is>
          <t>2708001686</t>
        </is>
      </c>
      <c r="G2477" s="1" t="inlineStr">
        <is>
          <t>Слесарь-ремонтник (по ремонту обогатительного оборудования)</t>
        </is>
      </c>
      <c r="H2477" s="1" t="inlineStr">
        <is>
          <t>ООО "Амур Золото"</t>
        </is>
      </c>
      <c r="I2477" s="1" t="inlineStr">
        <is>
          <t>2708001686</t>
        </is>
      </c>
      <c r="J2477" s="1" t="inlineStr">
        <is>
          <t>ЮГОК ЗИОФ 26-01</t>
        </is>
      </c>
      <c r="K2477" s="1" t="inlineStr">
        <is>
          <t>Безопасные методы и приемы выполнения огневых работ</t>
        </is>
      </c>
      <c r="L2477" s="1" t="inlineStr">
        <is>
          <t>05.06.2026</t>
        </is>
      </c>
      <c r="M2477" s="1" t="inlineStr">
        <is>
          <t>Успешно</t>
        </is>
      </c>
      <c r="N2477" s="1" t="inlineStr">
        <is>
          <t>08.06.2026</t>
        </is>
      </c>
      <c r="O2477" s="1" t="inlineStr"/>
      <c r="P2477" s="1" t="inlineStr"/>
      <c r="Q2477" s="1" t="inlineStr">
        <is>
          <t>Пользовательский интерфейс</t>
        </is>
      </c>
    </row>
    <row r="2478">
      <c r="B2478" s="1" t="inlineStr">
        <is>
          <t>200897035</t>
        </is>
      </c>
      <c r="C2478" s="1" t="inlineStr">
        <is>
          <t>14513218</t>
        </is>
      </c>
      <c r="D2478" t="inlineStr">
        <is>
          <t>работник 477</t>
        </is>
      </c>
      <c r="E2478" s="1" t="inlineStr">
        <is>
          <t>ОБЩЕСТВО С ОГРАНИЧЕННОЙ ОТВЕТСТВЕННОСТЬЮ "АМУР ЗОЛОТО"</t>
        </is>
      </c>
      <c r="F2478" s="1" t="inlineStr">
        <is>
          <t>2708001686</t>
        </is>
      </c>
      <c r="G2478" s="1" t="inlineStr">
        <is>
          <t>Слесарь-ремонтник (по ремонту обогатительного оборудования)</t>
        </is>
      </c>
      <c r="H2478" s="1" t="inlineStr">
        <is>
          <t>ООО "Амур Золото"</t>
        </is>
      </c>
      <c r="I2478" s="1" t="inlineStr">
        <is>
          <t>2708001686</t>
        </is>
      </c>
      <c r="J2478" s="1" t="inlineStr">
        <is>
          <t>ЮГОК ЗИОФ 26-01</t>
        </is>
      </c>
      <c r="K2478" s="1" t="inlineStr">
        <is>
          <t>Безопасные методы и приемы выполнения работ на высоте</t>
        </is>
      </c>
      <c r="L2478" s="1" t="inlineStr">
        <is>
          <t>05.06.2026</t>
        </is>
      </c>
      <c r="M2478" s="1" t="inlineStr">
        <is>
          <t>Успешно</t>
        </is>
      </c>
      <c r="N2478" s="1" t="inlineStr">
        <is>
          <t>08.06.2026</t>
        </is>
      </c>
      <c r="O2478" s="1" t="inlineStr"/>
      <c r="P2478" s="1" t="inlineStr"/>
      <c r="Q2478" s="1" t="inlineStr">
        <is>
          <t>Пользовательский интерфейс</t>
        </is>
      </c>
    </row>
    <row r="2479">
      <c r="B2479" s="1" t="inlineStr">
        <is>
          <t>200897036</t>
        </is>
      </c>
      <c r="C2479" s="1" t="inlineStr">
        <is>
          <t>14513218</t>
        </is>
      </c>
      <c r="D2479" t="inlineStr">
        <is>
          <t>работник 477</t>
        </is>
      </c>
      <c r="E2479" s="1" t="inlineStr">
        <is>
          <t>ОБЩЕСТВО С ОГРАНИЧЕННОЙ ОТВЕТСТВЕННОСТЬЮ "АМУР ЗОЛОТО"</t>
        </is>
      </c>
      <c r="F2479" s="1" t="inlineStr">
        <is>
          <t>2708001686</t>
        </is>
      </c>
      <c r="G2479" s="1" t="inlineStr">
        <is>
          <t>Слесарь-ремонтник (по ремонту обогатительного оборудования)</t>
        </is>
      </c>
      <c r="H2479" s="1" t="inlineStr">
        <is>
          <t>ООО "Амур Золото"</t>
        </is>
      </c>
      <c r="I2479" s="1" t="inlineStr">
        <is>
          <t>2708001686</t>
        </is>
      </c>
      <c r="J2479" s="1" t="inlineStr">
        <is>
          <t>ЮГОК ЗИОФ 26-01</t>
        </is>
      </c>
      <c r="K2479" s="1" t="inlineStr">
        <is>
          <t>Безопасные методы и приемы выполнения работ в ограниченных и замкнутых пространствах (ОЗП)</t>
        </is>
      </c>
      <c r="L2479" s="1" t="inlineStr">
        <is>
          <t>05.06.2026</t>
        </is>
      </c>
      <c r="M2479" s="1" t="inlineStr">
        <is>
          <t>Успешно</t>
        </is>
      </c>
      <c r="N2479" s="1" t="inlineStr">
        <is>
          <t>08.06.2026</t>
        </is>
      </c>
      <c r="O2479" s="1" t="inlineStr"/>
      <c r="P2479" s="1" t="inlineStr"/>
      <c r="Q2479" s="1" t="inlineStr">
        <is>
          <t>Пользовательский интерфейс</t>
        </is>
      </c>
    </row>
    <row r="2480">
      <c r="B2480" s="1" t="inlineStr">
        <is>
          <t>200897037</t>
        </is>
      </c>
      <c r="C2480" s="1" t="inlineStr">
        <is>
          <t>14513218</t>
        </is>
      </c>
      <c r="D2480" t="inlineStr">
        <is>
          <t>работник 477</t>
        </is>
      </c>
      <c r="E2480" s="1" t="inlineStr">
        <is>
          <t>ОБЩЕСТВО С ОГРАНИЧЕННОЙ ОТВЕТСТВЕННОСТЬЮ "АМУР ЗОЛОТО"</t>
        </is>
      </c>
      <c r="F2480" s="1" t="inlineStr">
        <is>
          <t>2708001686</t>
        </is>
      </c>
      <c r="G2480" s="1" t="inlineStr">
        <is>
          <t>Слесарь-ремонтник (по ремонту обогатительного оборудования)</t>
        </is>
      </c>
      <c r="H2480" s="1" t="inlineStr">
        <is>
          <t>ООО "Амур Золото"</t>
        </is>
      </c>
      <c r="I2480" s="1" t="inlineStr">
        <is>
          <t>2708001686</t>
        </is>
      </c>
      <c r="J2480" s="1" t="inlineStr">
        <is>
          <t>ЮГОК ЗИОФ 26-01</t>
        </is>
      </c>
      <c r="K2480" s="1" t="inlineStr">
        <is>
          <t>Безопасные методы и приемы выполнения огневых работ</t>
        </is>
      </c>
      <c r="L2480" s="1" t="inlineStr">
        <is>
          <t>05.06.2026</t>
        </is>
      </c>
      <c r="M2480" s="1" t="inlineStr">
        <is>
          <t>Успешно</t>
        </is>
      </c>
      <c r="N2480" s="1" t="inlineStr">
        <is>
          <t>08.06.2026</t>
        </is>
      </c>
      <c r="O2480" s="1" t="inlineStr"/>
      <c r="P2480" s="1" t="inlineStr"/>
      <c r="Q2480" s="1" t="inlineStr">
        <is>
          <t>Пользовательский интерфейс</t>
        </is>
      </c>
    </row>
    <row r="2481">
      <c r="B2481" s="1" t="inlineStr">
        <is>
          <t>200897038</t>
        </is>
      </c>
      <c r="C2481" s="1" t="inlineStr">
        <is>
          <t>14513218</t>
        </is>
      </c>
      <c r="D2481" t="inlineStr">
        <is>
          <t>работник 23</t>
        </is>
      </c>
      <c r="E2481" s="1" t="inlineStr">
        <is>
          <t>ОБЩЕСТВО С ОГРАНИЧЕННОЙ ОТВЕТСТВЕННОСТЬЮ "АМУР ЗОЛОТО"</t>
        </is>
      </c>
      <c r="F2481" s="1" t="inlineStr">
        <is>
          <t>2708001686</t>
        </is>
      </c>
      <c r="G2481" s="1" t="inlineStr">
        <is>
          <t>Слесарь-ремонтник (по ремонту обогатительного оборудования)</t>
        </is>
      </c>
      <c r="H2481" s="1" t="inlineStr">
        <is>
          <t>ООО "Амур Золото"</t>
        </is>
      </c>
      <c r="I2481" s="1" t="inlineStr">
        <is>
          <t>2708001686</t>
        </is>
      </c>
      <c r="J2481" s="1" t="inlineStr">
        <is>
          <t>ЮГОК ЗИОФ 26-01</t>
        </is>
      </c>
      <c r="K2481" s="1" t="inlineStr">
        <is>
          <t>Использование (применение) средств индивидуальной защиты</t>
        </is>
      </c>
      <c r="L2481" s="1" t="inlineStr">
        <is>
          <t>05.06.2026</t>
        </is>
      </c>
      <c r="M2481" s="1" t="inlineStr">
        <is>
          <t>Успешно</t>
        </is>
      </c>
      <c r="N2481" s="1" t="inlineStr">
        <is>
          <t>08.06.2026</t>
        </is>
      </c>
      <c r="O2481" s="1" t="inlineStr"/>
      <c r="P2481" s="1" t="inlineStr"/>
      <c r="Q2481" s="1" t="inlineStr">
        <is>
          <t>Пользовательский интерфейс</t>
        </is>
      </c>
    </row>
    <row r="2482">
      <c r="B2482" s="1" t="inlineStr">
        <is>
          <t>200897039</t>
        </is>
      </c>
      <c r="C2482" s="1" t="inlineStr">
        <is>
          <t>14513218</t>
        </is>
      </c>
      <c r="D2482" t="inlineStr">
        <is>
          <t>работник 23</t>
        </is>
      </c>
      <c r="E2482" s="1" t="inlineStr">
        <is>
          <t>ОБЩЕСТВО С ОГРАНИЧЕННОЙ ОТВЕТСТВЕННОСТЬЮ "АМУР ЗОЛОТО"</t>
        </is>
      </c>
      <c r="F2482" s="1" t="inlineStr">
        <is>
          <t>2708001686</t>
        </is>
      </c>
      <c r="G2482" s="1" t="inlineStr">
        <is>
          <t>Слесарь-ремонтник (по ремонту обогатительного оборудования)</t>
        </is>
      </c>
      <c r="H2482" s="1" t="inlineStr">
        <is>
          <t>ООО "Амур Золото"</t>
        </is>
      </c>
      <c r="I2482" s="1" t="inlineStr">
        <is>
          <t>2708001686</t>
        </is>
      </c>
      <c r="J2482" s="1" t="inlineStr">
        <is>
          <t>ЮГОК ЗИОФ 26-01</t>
        </is>
      </c>
      <c r="K2482" s="1" t="inlineStr">
        <is>
          <t>Безопасные методы и приемы выполнения работ на высоте</t>
        </is>
      </c>
      <c r="L2482" s="1" t="inlineStr">
        <is>
          <t>05.06.2026</t>
        </is>
      </c>
      <c r="M2482" s="1" t="inlineStr">
        <is>
          <t>Успешно</t>
        </is>
      </c>
      <c r="N2482" s="1" t="inlineStr">
        <is>
          <t>08.06.2026</t>
        </is>
      </c>
      <c r="O2482" s="1" t="inlineStr"/>
      <c r="P2482" s="1" t="inlineStr"/>
      <c r="Q2482" s="1" t="inlineStr">
        <is>
          <t>Пользовательский интерфейс</t>
        </is>
      </c>
    </row>
    <row r="2483">
      <c r="B2483" s="1" t="inlineStr">
        <is>
          <t>200897040</t>
        </is>
      </c>
      <c r="C2483" s="1" t="inlineStr">
        <is>
          <t>14513218</t>
        </is>
      </c>
      <c r="D2483" t="inlineStr">
        <is>
          <t>работник 23</t>
        </is>
      </c>
      <c r="E2483" s="1" t="inlineStr">
        <is>
          <t>ОБЩЕСТВО С ОГРАНИЧЕННОЙ ОТВЕТСТВЕННОСТЬЮ "АМУР ЗОЛОТО"</t>
        </is>
      </c>
      <c r="F2483" s="1" t="inlineStr">
        <is>
          <t>2708001686</t>
        </is>
      </c>
      <c r="G2483" s="1" t="inlineStr">
        <is>
          <t>Слесарь-ремонтник (по ремонту обогатительного оборудования)</t>
        </is>
      </c>
      <c r="H2483" s="1" t="inlineStr">
        <is>
          <t>ООО "Амур Золото"</t>
        </is>
      </c>
      <c r="I2483" s="1" t="inlineStr">
        <is>
          <t>2708001686</t>
        </is>
      </c>
      <c r="J2483" s="1" t="inlineStr">
        <is>
          <t>ЮГОК ЗИОФ 26-01</t>
        </is>
      </c>
      <c r="K2483" s="1" t="inlineStr">
        <is>
          <t>Безопасные методы и приемы выполнения работ в ограниченных и замкнутых пространствах (ОЗП)</t>
        </is>
      </c>
      <c r="L2483" s="1" t="inlineStr">
        <is>
          <t>05.06.2026</t>
        </is>
      </c>
      <c r="M2483" s="1" t="inlineStr">
        <is>
          <t>Успешно</t>
        </is>
      </c>
      <c r="N2483" s="1" t="inlineStr">
        <is>
          <t>08.06.2026</t>
        </is>
      </c>
      <c r="O2483" s="1" t="inlineStr"/>
      <c r="P2483" s="1" t="inlineStr"/>
      <c r="Q2483" s="1" t="inlineStr">
        <is>
          <t>Пользовательский интерфейс</t>
        </is>
      </c>
    </row>
    <row r="2484">
      <c r="B2484" s="1" t="inlineStr">
        <is>
          <t>200897041</t>
        </is>
      </c>
      <c r="C2484" s="1" t="inlineStr">
        <is>
          <t>14513218</t>
        </is>
      </c>
      <c r="D2484" t="inlineStr">
        <is>
          <t>работник 23</t>
        </is>
      </c>
      <c r="E2484" s="1" t="inlineStr">
        <is>
          <t>ОБЩЕСТВО С ОГРАНИЧЕННОЙ ОТВЕТСТВЕННОСТЬЮ "АМУР ЗОЛОТО"</t>
        </is>
      </c>
      <c r="F2484" s="1" t="inlineStr">
        <is>
          <t>2708001686</t>
        </is>
      </c>
      <c r="G2484" s="1" t="inlineStr">
        <is>
          <t>Слесарь-ремонтник (по ремонту обогатительного оборудования)</t>
        </is>
      </c>
      <c r="H2484" s="1" t="inlineStr">
        <is>
          <t>ООО "Амур Золото"</t>
        </is>
      </c>
      <c r="I2484" s="1" t="inlineStr">
        <is>
          <t>2708001686</t>
        </is>
      </c>
      <c r="J2484" s="1" t="inlineStr">
        <is>
          <t>ЮГОК ЗИОФ 26-01</t>
        </is>
      </c>
      <c r="K2484" s="1" t="inlineStr">
        <is>
          <t>Безопасные методы и приемы выполнения огневых работ</t>
        </is>
      </c>
      <c r="L2484" s="1" t="inlineStr">
        <is>
          <t>05.06.2026</t>
        </is>
      </c>
      <c r="M2484" s="1" t="inlineStr">
        <is>
          <t>Успешно</t>
        </is>
      </c>
      <c r="N2484" s="1" t="inlineStr">
        <is>
          <t>08.06.2026</t>
        </is>
      </c>
      <c r="O2484" s="1" t="inlineStr"/>
      <c r="P2484" s="1" t="inlineStr"/>
      <c r="Q2484" s="1" t="inlineStr">
        <is>
          <t>Пользовательский интерфейс</t>
        </is>
      </c>
    </row>
    <row r="2485">
      <c r="B2485" s="1" t="inlineStr">
        <is>
          <t>200897042</t>
        </is>
      </c>
      <c r="C2485" s="1" t="inlineStr">
        <is>
          <t>14513218</t>
        </is>
      </c>
      <c r="D2485" t="inlineStr">
        <is>
          <t>работник 24</t>
        </is>
      </c>
      <c r="E2485" s="1" t="inlineStr">
        <is>
          <t>ОБЩЕСТВО С ОГРАНИЧЕННОЙ ОТВЕТСТВЕННОСТЬЮ "АМУР ЗОЛОТО"</t>
        </is>
      </c>
      <c r="F2485" s="1" t="inlineStr">
        <is>
          <t>2708001686</t>
        </is>
      </c>
      <c r="G2485" s="1" t="inlineStr">
        <is>
          <t>Слесарь-ремонтник (по ремонту обогатительного оборудования)</t>
        </is>
      </c>
      <c r="H2485" s="1" t="inlineStr">
        <is>
          <t>ООО "Амур Золото"</t>
        </is>
      </c>
      <c r="I2485" s="1" t="inlineStr">
        <is>
          <t>2708001686</t>
        </is>
      </c>
      <c r="J2485" s="1" t="inlineStr">
        <is>
          <t>ЮГОК ЗИОФ 26-01</t>
        </is>
      </c>
      <c r="K2485" s="1" t="inlineStr">
        <is>
          <t>Использование (применение) средств индивидуальной защиты</t>
        </is>
      </c>
      <c r="L2485" s="1" t="inlineStr">
        <is>
          <t>05.06.2026</t>
        </is>
      </c>
      <c r="M2485" s="1" t="inlineStr">
        <is>
          <t>Успешно</t>
        </is>
      </c>
      <c r="N2485" s="1" t="inlineStr">
        <is>
          <t>08.06.2026</t>
        </is>
      </c>
      <c r="O2485" s="1" t="inlineStr"/>
      <c r="P2485" s="1" t="inlineStr"/>
      <c r="Q2485" s="1" t="inlineStr">
        <is>
          <t>Пользовательский интерфейс</t>
        </is>
      </c>
    </row>
    <row r="2486">
      <c r="B2486" s="1" t="inlineStr">
        <is>
          <t>200897043</t>
        </is>
      </c>
      <c r="C2486" s="1" t="inlineStr">
        <is>
          <t>14513218</t>
        </is>
      </c>
      <c r="D2486" t="inlineStr">
        <is>
          <t>работник 24</t>
        </is>
      </c>
      <c r="E2486" s="1" t="inlineStr">
        <is>
          <t>ОБЩЕСТВО С ОГРАНИЧЕННОЙ ОТВЕТСТВЕННОСТЬЮ "АМУР ЗОЛОТО"</t>
        </is>
      </c>
      <c r="F2486" s="1" t="inlineStr">
        <is>
          <t>2708001686</t>
        </is>
      </c>
      <c r="G2486" s="1" t="inlineStr">
        <is>
          <t>Слесарь-ремонтник (по ремонту обогатительного оборудования)</t>
        </is>
      </c>
      <c r="H2486" s="1" t="inlineStr">
        <is>
          <t>ООО "Амур Золото"</t>
        </is>
      </c>
      <c r="I2486" s="1" t="inlineStr">
        <is>
          <t>2708001686</t>
        </is>
      </c>
      <c r="J2486" s="1" t="inlineStr">
        <is>
          <t>ЮГОК ЗИОФ 26-01</t>
        </is>
      </c>
      <c r="K2486" s="1" t="inlineStr">
        <is>
          <t>Безопасные методы и приемы выполнения работ на высоте</t>
        </is>
      </c>
      <c r="L2486" s="1" t="inlineStr">
        <is>
          <t>05.06.2026</t>
        </is>
      </c>
      <c r="M2486" s="1" t="inlineStr">
        <is>
          <t>Успешно</t>
        </is>
      </c>
      <c r="N2486" s="1" t="inlineStr">
        <is>
          <t>08.06.2026</t>
        </is>
      </c>
      <c r="O2486" s="1" t="inlineStr"/>
      <c r="P2486" s="1" t="inlineStr"/>
      <c r="Q2486" s="1" t="inlineStr">
        <is>
          <t>Пользовательский интерфейс</t>
        </is>
      </c>
    </row>
    <row r="2487">
      <c r="B2487" s="1" t="inlineStr">
        <is>
          <t>200897044</t>
        </is>
      </c>
      <c r="C2487" s="1" t="inlineStr">
        <is>
          <t>14513218</t>
        </is>
      </c>
      <c r="D2487" t="inlineStr">
        <is>
          <t>работник 24</t>
        </is>
      </c>
      <c r="E2487" s="1" t="inlineStr">
        <is>
          <t>ОБЩЕСТВО С ОГРАНИЧЕННОЙ ОТВЕТСТВЕННОСТЬЮ "АМУР ЗОЛОТО"</t>
        </is>
      </c>
      <c r="F2487" s="1" t="inlineStr">
        <is>
          <t>2708001686</t>
        </is>
      </c>
      <c r="G2487" s="1" t="inlineStr">
        <is>
          <t>Слесарь-ремонтник (по ремонту обогатительного оборудования)</t>
        </is>
      </c>
      <c r="H2487" s="1" t="inlineStr">
        <is>
          <t>ООО "Амур Золото"</t>
        </is>
      </c>
      <c r="I2487" s="1" t="inlineStr">
        <is>
          <t>2708001686</t>
        </is>
      </c>
      <c r="J2487" s="1" t="inlineStr">
        <is>
          <t>ЮГОК ЗИОФ 26-01</t>
        </is>
      </c>
      <c r="K2487" s="1" t="inlineStr">
        <is>
          <t>Безопасные методы и приемы выполнения работ в ограниченных и замкнутых пространствах (ОЗП)</t>
        </is>
      </c>
      <c r="L2487" s="1" t="inlineStr">
        <is>
          <t>05.06.2026</t>
        </is>
      </c>
      <c r="M2487" s="1" t="inlineStr">
        <is>
          <t>Успешно</t>
        </is>
      </c>
      <c r="N2487" s="1" t="inlineStr">
        <is>
          <t>08.06.2026</t>
        </is>
      </c>
      <c r="O2487" s="1" t="inlineStr"/>
      <c r="P2487" s="1" t="inlineStr"/>
      <c r="Q2487" s="1" t="inlineStr">
        <is>
          <t>Пользовательский интерфейс</t>
        </is>
      </c>
    </row>
    <row r="2488">
      <c r="B2488" s="1" t="inlineStr">
        <is>
          <t>200897045</t>
        </is>
      </c>
      <c r="C2488" s="1" t="inlineStr">
        <is>
          <t>14513218</t>
        </is>
      </c>
      <c r="D2488" t="inlineStr">
        <is>
          <t>работник 24</t>
        </is>
      </c>
      <c r="E2488" s="1" t="inlineStr">
        <is>
          <t>ОБЩЕСТВО С ОГРАНИЧЕННОЙ ОТВЕТСТВЕННОСТЬЮ "АМУР ЗОЛОТО"</t>
        </is>
      </c>
      <c r="F2488" s="1" t="inlineStr">
        <is>
          <t>2708001686</t>
        </is>
      </c>
      <c r="G2488" s="1" t="inlineStr">
        <is>
          <t>Слесарь-ремонтник (по ремонту обогатительного оборудования)</t>
        </is>
      </c>
      <c r="H2488" s="1" t="inlineStr">
        <is>
          <t>ООО "Амур Золото"</t>
        </is>
      </c>
      <c r="I2488" s="1" t="inlineStr">
        <is>
          <t>2708001686</t>
        </is>
      </c>
      <c r="J2488" s="1" t="inlineStr">
        <is>
          <t>ЮГОК ЗИОФ 26-01</t>
        </is>
      </c>
      <c r="K2488" s="1" t="inlineStr">
        <is>
          <t>Безопасные методы и приемы выполнения огневых работ</t>
        </is>
      </c>
      <c r="L2488" s="1" t="inlineStr">
        <is>
          <t>05.06.2026</t>
        </is>
      </c>
      <c r="M2488" s="1" t="inlineStr">
        <is>
          <t>Успешно</t>
        </is>
      </c>
      <c r="N2488" s="1" t="inlineStr">
        <is>
          <t>08.06.2026</t>
        </is>
      </c>
      <c r="O2488" s="1" t="inlineStr"/>
      <c r="P2488" s="1" t="inlineStr"/>
      <c r="Q2488" s="1" t="inlineStr">
        <is>
          <t>Пользовательский интерфейс</t>
        </is>
      </c>
    </row>
    <row r="2489">
      <c r="B2489" s="1" t="inlineStr">
        <is>
          <t>200897046</t>
        </is>
      </c>
      <c r="C2489" s="1" t="inlineStr">
        <is>
          <t>14513218</t>
        </is>
      </c>
      <c r="D2489" t="inlineStr">
        <is>
          <t>работник 137</t>
        </is>
      </c>
      <c r="E2489" s="1" t="inlineStr">
        <is>
          <t>ОБЩЕСТВО С ОГРАНИЧЕННОЙ ОТВЕТСТВЕННОСТЬЮ "АМУР ЗОЛОТО"</t>
        </is>
      </c>
      <c r="F2489" s="1" t="inlineStr">
        <is>
          <t>2708001686</t>
        </is>
      </c>
      <c r="G2489" s="1" t="inlineStr">
        <is>
          <t>Горнорабочий на геологических работах</t>
        </is>
      </c>
      <c r="H2489" s="1" t="inlineStr">
        <is>
          <t>ООО "Амур Золото"</t>
        </is>
      </c>
      <c r="I2489" s="1" t="inlineStr">
        <is>
          <t>2708001686</t>
        </is>
      </c>
      <c r="J2489" s="1" t="inlineStr">
        <is>
          <t>ЮГОК ПГУ 26-01</t>
        </is>
      </c>
      <c r="K2489" s="1" t="inlineStr">
        <is>
          <t>Оказание первой помощи пострадавшим</t>
        </is>
      </c>
      <c r="L2489" s="1" t="inlineStr">
        <is>
          <t>04.06.2026</t>
        </is>
      </c>
      <c r="M2489" s="1" t="inlineStr">
        <is>
          <t>Успешно</t>
        </is>
      </c>
      <c r="N2489" s="1" t="inlineStr">
        <is>
          <t>08.06.2026</t>
        </is>
      </c>
      <c r="O2489" s="1" t="inlineStr"/>
      <c r="P2489" s="1" t="inlineStr"/>
      <c r="Q2489" s="1" t="inlineStr">
        <is>
          <t>Пользовательский интерфейс</t>
        </is>
      </c>
    </row>
    <row r="2490">
      <c r="B2490" s="1" t="inlineStr">
        <is>
          <t>200897047</t>
        </is>
      </c>
      <c r="C2490" s="1" t="inlineStr">
        <is>
          <t>14513218</t>
        </is>
      </c>
      <c r="D2490" t="inlineStr">
        <is>
          <t>работник 137</t>
        </is>
      </c>
      <c r="E2490" s="1" t="inlineStr">
        <is>
          <t>ОБЩЕСТВО С ОГРАНИЧЕННОЙ ОТВЕТСТВЕННОСТЬЮ "АМУР ЗОЛОТО"</t>
        </is>
      </c>
      <c r="F2490" s="1" t="inlineStr">
        <is>
          <t>2708001686</t>
        </is>
      </c>
      <c r="G2490" s="1" t="inlineStr">
        <is>
          <t>Горнорабочий на геологических работах</t>
        </is>
      </c>
      <c r="H2490" s="1" t="inlineStr">
        <is>
          <t>ООО "Амур Золото"</t>
        </is>
      </c>
      <c r="I2490" s="1" t="inlineStr">
        <is>
          <t>2708001686</t>
        </is>
      </c>
      <c r="J2490" s="1" t="inlineStr">
        <is>
          <t>ЮГОК ПГУ 26-01</t>
        </is>
      </c>
      <c r="K2490" s="1" t="inlineStr">
        <is>
          <t>Использование (применение) средств индивидуальной защиты</t>
        </is>
      </c>
      <c r="L2490" s="1" t="inlineStr">
        <is>
          <t>04.06.2026</t>
        </is>
      </c>
      <c r="M2490" s="1" t="inlineStr">
        <is>
          <t>Успешно</t>
        </is>
      </c>
      <c r="N2490" s="1" t="inlineStr">
        <is>
          <t>08.06.2026</t>
        </is>
      </c>
      <c r="O2490" s="1" t="inlineStr"/>
      <c r="P2490" s="1" t="inlineStr"/>
      <c r="Q2490" s="1" t="inlineStr">
        <is>
          <t>Пользовательский интерфейс</t>
        </is>
      </c>
    </row>
    <row r="2491">
      <c r="B2491" s="1" t="inlineStr">
        <is>
          <t>200897048</t>
        </is>
      </c>
      <c r="C2491" s="1" t="inlineStr">
        <is>
          <t>14513218</t>
        </is>
      </c>
      <c r="D2491" t="inlineStr">
        <is>
          <t>работник 137</t>
        </is>
      </c>
      <c r="E2491" s="1" t="inlineStr">
        <is>
          <t>ОБЩЕСТВО С ОГРАНИЧЕННОЙ ОТВЕТСТВЕННОСТЬЮ "АМУР ЗОЛОТО"</t>
        </is>
      </c>
      <c r="F2491" s="1" t="inlineStr">
        <is>
          <t>2708001686</t>
        </is>
      </c>
      <c r="G2491" s="1" t="inlineStr">
        <is>
          <t>Горнорабочий на геологических работах</t>
        </is>
      </c>
      <c r="H2491" s="1" t="inlineStr">
        <is>
          <t>ООО "Амур Золото"</t>
        </is>
      </c>
      <c r="I2491" s="1" t="inlineStr">
        <is>
          <t>2708001686</t>
        </is>
      </c>
      <c r="J2491" s="1" t="inlineStr">
        <is>
          <t>ЮГОК ПГУ 26-01</t>
        </is>
      </c>
      <c r="K249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491" s="1" t="inlineStr">
        <is>
          <t>04.06.2026</t>
        </is>
      </c>
      <c r="M2491" s="1" t="inlineStr">
        <is>
          <t>Успешно</t>
        </is>
      </c>
      <c r="N2491" s="1" t="inlineStr">
        <is>
          <t>08.06.2026</t>
        </is>
      </c>
      <c r="O2491" s="1" t="inlineStr"/>
      <c r="P2491" s="1" t="inlineStr"/>
      <c r="Q2491" s="1" t="inlineStr">
        <is>
          <t>Пользовательский интерфейс</t>
        </is>
      </c>
    </row>
    <row r="2492">
      <c r="B2492" s="1" t="inlineStr">
        <is>
          <t>200897049</t>
        </is>
      </c>
      <c r="C2492" s="1" t="inlineStr">
        <is>
          <t>14513218</t>
        </is>
      </c>
      <c r="D2492" t="inlineStr">
        <is>
          <t>работник 759</t>
        </is>
      </c>
      <c r="E2492" s="1" t="inlineStr">
        <is>
          <t>ОБЩЕСТВО С ОГРАНИЧЕННОЙ ОТВЕТСТВЕННОСТЬЮ "АМУР ЗОЛОТО"</t>
        </is>
      </c>
      <c r="F2492" s="1" t="inlineStr">
        <is>
          <t>2708001686</t>
        </is>
      </c>
      <c r="G2492" s="1" t="inlineStr">
        <is>
          <t>Геолог по рудоконтролю</t>
        </is>
      </c>
      <c r="H2492" s="1" t="inlineStr">
        <is>
          <t>ООО "Амур Золото"</t>
        </is>
      </c>
      <c r="I2492" s="1" t="inlineStr">
        <is>
          <t>2708001686</t>
        </is>
      </c>
      <c r="J2492" s="1" t="inlineStr">
        <is>
          <t>ЮГОК ПГУ 26-01</t>
        </is>
      </c>
      <c r="K2492" s="1" t="inlineStr">
        <is>
          <t>Оказание первой помощи пострадавшим</t>
        </is>
      </c>
      <c r="L2492" s="1" t="inlineStr">
        <is>
          <t>04.06.2026</t>
        </is>
      </c>
      <c r="M2492" s="1" t="inlineStr">
        <is>
          <t>Успешно</t>
        </is>
      </c>
      <c r="N2492" s="1" t="inlineStr">
        <is>
          <t>08.06.2026</t>
        </is>
      </c>
      <c r="O2492" s="1" t="inlineStr"/>
      <c r="P2492" s="1" t="inlineStr"/>
      <c r="Q2492" s="1" t="inlineStr">
        <is>
          <t>Пользовательский интерфейс</t>
        </is>
      </c>
    </row>
    <row r="2493">
      <c r="B2493" s="1" t="inlineStr">
        <is>
          <t>200897050</t>
        </is>
      </c>
      <c r="C2493" s="1" t="inlineStr">
        <is>
          <t>14513218</t>
        </is>
      </c>
      <c r="D2493" t="inlineStr">
        <is>
          <t>работник 759</t>
        </is>
      </c>
      <c r="E2493" s="1" t="inlineStr">
        <is>
          <t>ОБЩЕСТВО С ОГРАНИЧЕННОЙ ОТВЕТСТВЕННОСТЬЮ "АМУР ЗОЛОТО"</t>
        </is>
      </c>
      <c r="F2493" s="1" t="inlineStr">
        <is>
          <t>2708001686</t>
        </is>
      </c>
      <c r="G2493" s="1" t="inlineStr">
        <is>
          <t>Геолог по рудоконтролю</t>
        </is>
      </c>
      <c r="H2493" s="1" t="inlineStr">
        <is>
          <t>ООО "Амур Золото"</t>
        </is>
      </c>
      <c r="I2493" s="1" t="inlineStr">
        <is>
          <t>2708001686</t>
        </is>
      </c>
      <c r="J2493" s="1" t="inlineStr">
        <is>
          <t>ЮГОК ПГУ 26-01</t>
        </is>
      </c>
      <c r="K2493" s="1" t="inlineStr">
        <is>
          <t>Использование (применение) средств индивидуальной защиты</t>
        </is>
      </c>
      <c r="L2493" s="1" t="inlineStr">
        <is>
          <t>04.06.2026</t>
        </is>
      </c>
      <c r="M2493" s="1" t="inlineStr">
        <is>
          <t>Успешно</t>
        </is>
      </c>
      <c r="N2493" s="1" t="inlineStr">
        <is>
          <t>08.06.2026</t>
        </is>
      </c>
      <c r="O2493" s="1" t="inlineStr"/>
      <c r="P2493" s="1" t="inlineStr"/>
      <c r="Q2493" s="1" t="inlineStr">
        <is>
          <t>Пользовательский интерфейс</t>
        </is>
      </c>
    </row>
    <row r="2494">
      <c r="B2494" s="1" t="inlineStr">
        <is>
          <t>200897051</t>
        </is>
      </c>
      <c r="C2494" s="1" t="inlineStr">
        <is>
          <t>14513218</t>
        </is>
      </c>
      <c r="D2494" t="inlineStr">
        <is>
          <t>работник 759</t>
        </is>
      </c>
      <c r="E2494" s="1" t="inlineStr">
        <is>
          <t>ОБЩЕСТВО С ОГРАНИЧЕННОЙ ОТВЕТСТВЕННОСТЬЮ "АМУР ЗОЛОТО"</t>
        </is>
      </c>
      <c r="F2494" s="1" t="inlineStr">
        <is>
          <t>2708001686</t>
        </is>
      </c>
      <c r="G2494" s="1" t="inlineStr">
        <is>
          <t>Геолог по рудоконтролю</t>
        </is>
      </c>
      <c r="H2494" s="1" t="inlineStr">
        <is>
          <t>ООО "Амур Золото"</t>
        </is>
      </c>
      <c r="I2494" s="1" t="inlineStr">
        <is>
          <t>2708001686</t>
        </is>
      </c>
      <c r="J2494" s="1" t="inlineStr">
        <is>
          <t>ЮГОК ПГУ 26-01</t>
        </is>
      </c>
      <c r="K249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494" s="1" t="inlineStr">
        <is>
          <t>04.06.2026</t>
        </is>
      </c>
      <c r="M2494" s="1" t="inlineStr">
        <is>
          <t>Успешно</t>
        </is>
      </c>
      <c r="N2494" s="1" t="inlineStr">
        <is>
          <t>08.06.2026</t>
        </is>
      </c>
      <c r="O2494" s="1" t="inlineStr"/>
      <c r="P2494" s="1" t="inlineStr"/>
      <c r="Q2494" s="1" t="inlineStr">
        <is>
          <t>Пользовательский интерфейс</t>
        </is>
      </c>
    </row>
    <row r="2495">
      <c r="B2495" s="1" t="inlineStr">
        <is>
          <t>200897052</t>
        </is>
      </c>
      <c r="C2495" s="1" t="inlineStr">
        <is>
          <t>14513218</t>
        </is>
      </c>
      <c r="D2495" t="inlineStr">
        <is>
          <t>работник 760</t>
        </is>
      </c>
      <c r="E2495" s="1" t="inlineStr">
        <is>
          <t>ОБЩЕСТВО С ОГРАНИЧЕННОЙ ОТВЕТСТВЕННОСТЬЮ "АМУР ЗОЛОТО"</t>
        </is>
      </c>
      <c r="F2495" s="1" t="inlineStr">
        <is>
          <t>2708001686</t>
        </is>
      </c>
      <c r="G2495" s="1" t="inlineStr">
        <is>
          <t>Раздатчик взрывчатых материалов (с исполнением обязанностей аппаратчика по изготовлению взрывчатых материалов)</t>
        </is>
      </c>
      <c r="H2495" s="1" t="inlineStr">
        <is>
          <t>ООО "Амур Золото"</t>
        </is>
      </c>
      <c r="I2495" s="1" t="inlineStr">
        <is>
          <t>2708001686</t>
        </is>
      </c>
      <c r="J2495" s="1" t="inlineStr">
        <is>
          <t>ЮГОК ПГУ 26-01</t>
        </is>
      </c>
      <c r="K2495" s="1" t="inlineStr">
        <is>
          <t>Оказание первой помощи пострадавшим</t>
        </is>
      </c>
      <c r="L2495" s="1" t="inlineStr">
        <is>
          <t>04.06.2026</t>
        </is>
      </c>
      <c r="M2495" s="1" t="inlineStr">
        <is>
          <t>Успешно</t>
        </is>
      </c>
      <c r="N2495" s="1" t="inlineStr">
        <is>
          <t>08.06.2026</t>
        </is>
      </c>
      <c r="O2495" s="1" t="inlineStr"/>
      <c r="P2495" s="1" t="inlineStr"/>
      <c r="Q2495" s="1" t="inlineStr">
        <is>
          <t>Пользовательский интерфейс</t>
        </is>
      </c>
    </row>
    <row r="2496">
      <c r="B2496" s="1" t="inlineStr">
        <is>
          <t>200897053</t>
        </is>
      </c>
      <c r="C2496" s="1" t="inlineStr">
        <is>
          <t>14513218</t>
        </is>
      </c>
      <c r="D2496" t="inlineStr">
        <is>
          <t>работник 760</t>
        </is>
      </c>
      <c r="E2496" s="1" t="inlineStr">
        <is>
          <t>ОБЩЕСТВО С ОГРАНИЧЕННОЙ ОТВЕТСТВЕННОСТЬЮ "АМУР ЗОЛОТО"</t>
        </is>
      </c>
      <c r="F2496" s="1" t="inlineStr">
        <is>
          <t>2708001686</t>
        </is>
      </c>
      <c r="G2496" s="1" t="inlineStr">
        <is>
          <t>Раздатчик взрывчатых материалов (с исполнением обязанностей аппаратчика по изготовлению взрывчатых материалов)</t>
        </is>
      </c>
      <c r="H2496" s="1" t="inlineStr">
        <is>
          <t>ООО "Амур Золото"</t>
        </is>
      </c>
      <c r="I2496" s="1" t="inlineStr">
        <is>
          <t>2708001686</t>
        </is>
      </c>
      <c r="J2496" s="1" t="inlineStr">
        <is>
          <t>ЮГОК ПГУ 26-01</t>
        </is>
      </c>
      <c r="K2496" s="1" t="inlineStr">
        <is>
          <t>Использование (применение) средств индивидуальной защиты</t>
        </is>
      </c>
      <c r="L2496" s="1" t="inlineStr">
        <is>
          <t>04.06.2026</t>
        </is>
      </c>
      <c r="M2496" s="1" t="inlineStr">
        <is>
          <t>Успешно</t>
        </is>
      </c>
      <c r="N2496" s="1" t="inlineStr">
        <is>
          <t>08.06.2026</t>
        </is>
      </c>
      <c r="O2496" s="1" t="inlineStr"/>
      <c r="P2496" s="1" t="inlineStr"/>
      <c r="Q2496" s="1" t="inlineStr">
        <is>
          <t>Пользовательский интерфейс</t>
        </is>
      </c>
    </row>
    <row r="2497">
      <c r="B2497" s="1" t="inlineStr">
        <is>
          <t>200897054</t>
        </is>
      </c>
      <c r="C2497" s="1" t="inlineStr">
        <is>
          <t>14513218</t>
        </is>
      </c>
      <c r="D2497" t="inlineStr">
        <is>
          <t>работник 760</t>
        </is>
      </c>
      <c r="E2497" s="1" t="inlineStr">
        <is>
          <t>ОБЩЕСТВО С ОГРАНИЧЕННОЙ ОТВЕТСТВЕННОСТЬЮ "АМУР ЗОЛОТО"</t>
        </is>
      </c>
      <c r="F2497" s="1" t="inlineStr">
        <is>
          <t>2708001686</t>
        </is>
      </c>
      <c r="G2497" s="1" t="inlineStr">
        <is>
          <t>Раздатчик взрывчатых материалов (с исполнением обязанностей аппаратчика по изготовлению взрывчатых материалов)</t>
        </is>
      </c>
      <c r="H2497" s="1" t="inlineStr">
        <is>
          <t>ООО "Амур Золото"</t>
        </is>
      </c>
      <c r="I2497" s="1" t="inlineStr">
        <is>
          <t>2708001686</t>
        </is>
      </c>
      <c r="J2497" s="1" t="inlineStr">
        <is>
          <t>ЮГОК ПГУ 26-01</t>
        </is>
      </c>
      <c r="K249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497" s="1" t="inlineStr">
        <is>
          <t>04.06.2026</t>
        </is>
      </c>
      <c r="M2497" s="1" t="inlineStr">
        <is>
          <t>Успешно</t>
        </is>
      </c>
      <c r="N2497" s="1" t="inlineStr">
        <is>
          <t>08.06.2026</t>
        </is>
      </c>
      <c r="O2497" s="1" t="inlineStr"/>
      <c r="P2497" s="1" t="inlineStr"/>
      <c r="Q2497" s="1" t="inlineStr">
        <is>
          <t>Пользовательский интерфейс</t>
        </is>
      </c>
    </row>
    <row r="2498">
      <c r="B2498" s="1" t="inlineStr">
        <is>
          <t>200897055</t>
        </is>
      </c>
      <c r="C2498" s="1" t="inlineStr">
        <is>
          <t>14513218</t>
        </is>
      </c>
      <c r="D2498" t="inlineStr">
        <is>
          <t>работник 652</t>
        </is>
      </c>
      <c r="E2498" s="1" t="inlineStr">
        <is>
          <t>ОБЩЕСТВО С ОГРАНИЧЕННОЙ ОТВЕТСТВЕННОСТЬЮ "АМУР ЗОЛОТО"</t>
        </is>
      </c>
      <c r="F2498" s="1" t="inlineStr">
        <is>
          <t>2708001686</t>
        </is>
      </c>
      <c r="G2498" s="1" t="inlineStr">
        <is>
          <t>Электрогазосварщик (занятый на резке и ручной сварке)</t>
        </is>
      </c>
      <c r="H2498" s="1" t="inlineStr">
        <is>
          <t>ООО "Амур Золото"</t>
        </is>
      </c>
      <c r="I2498" s="1" t="inlineStr">
        <is>
          <t>2708001686</t>
        </is>
      </c>
      <c r="J2498" s="1" t="inlineStr">
        <is>
          <t>ЮГОК ПГУ 26-01</t>
        </is>
      </c>
      <c r="K2498" s="1" t="inlineStr">
        <is>
          <t>Оказание первой помощи пострадавшим</t>
        </is>
      </c>
      <c r="L2498" s="1" t="inlineStr">
        <is>
          <t>04.06.2026</t>
        </is>
      </c>
      <c r="M2498" s="1" t="inlineStr">
        <is>
          <t>Успешно</t>
        </is>
      </c>
      <c r="N2498" s="1" t="inlineStr">
        <is>
          <t>08.06.2026</t>
        </is>
      </c>
      <c r="O2498" s="1" t="inlineStr"/>
      <c r="P2498" s="1" t="inlineStr"/>
      <c r="Q2498" s="1" t="inlineStr">
        <is>
          <t>Пользовательский интерфейс</t>
        </is>
      </c>
    </row>
    <row r="2499">
      <c r="B2499" s="1" t="inlineStr">
        <is>
          <t>200897056</t>
        </is>
      </c>
      <c r="C2499" s="1" t="inlineStr">
        <is>
          <t>14513218</t>
        </is>
      </c>
      <c r="D2499" t="inlineStr">
        <is>
          <t>работник 652</t>
        </is>
      </c>
      <c r="E2499" s="1" t="inlineStr">
        <is>
          <t>ОБЩЕСТВО С ОГРАНИЧЕННОЙ ОТВЕТСТВЕННОСТЬЮ "АМУР ЗОЛОТО"</t>
        </is>
      </c>
      <c r="F2499" s="1" t="inlineStr">
        <is>
          <t>2708001686</t>
        </is>
      </c>
      <c r="G2499" s="1" t="inlineStr">
        <is>
          <t>Электрогазосварщик (занятый на резке и ручной сварке)</t>
        </is>
      </c>
      <c r="H2499" s="1" t="inlineStr">
        <is>
          <t>ООО "Амур Золото"</t>
        </is>
      </c>
      <c r="I2499" s="1" t="inlineStr">
        <is>
          <t>2708001686</t>
        </is>
      </c>
      <c r="J2499" s="1" t="inlineStr">
        <is>
          <t>ЮГОК ПГУ 26-01</t>
        </is>
      </c>
      <c r="K2499" s="1" t="inlineStr">
        <is>
          <t>Использование (применение) средств индивидуальной защиты</t>
        </is>
      </c>
      <c r="L2499" s="1" t="inlineStr">
        <is>
          <t>04.06.2026</t>
        </is>
      </c>
      <c r="M2499" s="1" t="inlineStr">
        <is>
          <t>Успешно</t>
        </is>
      </c>
      <c r="N2499" s="1" t="inlineStr">
        <is>
          <t>08.06.2026</t>
        </is>
      </c>
      <c r="O2499" s="1" t="inlineStr"/>
      <c r="P2499" s="1" t="inlineStr"/>
      <c r="Q2499" s="1" t="inlineStr">
        <is>
          <t>Пользовательский интерфейс</t>
        </is>
      </c>
    </row>
    <row r="2500">
      <c r="B2500" s="1" t="inlineStr">
        <is>
          <t>200897057</t>
        </is>
      </c>
      <c r="C2500" s="1" t="inlineStr">
        <is>
          <t>14513218</t>
        </is>
      </c>
      <c r="D2500" t="inlineStr">
        <is>
          <t>работник 652</t>
        </is>
      </c>
      <c r="E2500" s="1" t="inlineStr">
        <is>
          <t>ОБЩЕСТВО С ОГРАНИЧЕННОЙ ОТВЕТСТВЕННОСТЬЮ "АМУР ЗОЛОТО"</t>
        </is>
      </c>
      <c r="F2500" s="1" t="inlineStr">
        <is>
          <t>2708001686</t>
        </is>
      </c>
      <c r="G2500" s="1" t="inlineStr">
        <is>
          <t>Электрогазосварщик (занятый на резке и ручной сварке)</t>
        </is>
      </c>
      <c r="H2500" s="1" t="inlineStr">
        <is>
          <t>ООО "Амур Золото"</t>
        </is>
      </c>
      <c r="I2500" s="1" t="inlineStr">
        <is>
          <t>2708001686</t>
        </is>
      </c>
      <c r="J2500" s="1" t="inlineStr">
        <is>
          <t>ЮГОК ПГУ 26-01</t>
        </is>
      </c>
      <c r="K250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500" s="1" t="inlineStr">
        <is>
          <t>04.06.2026</t>
        </is>
      </c>
      <c r="M2500" s="1" t="inlineStr">
        <is>
          <t>Успешно</t>
        </is>
      </c>
      <c r="N2500" s="1" t="inlineStr">
        <is>
          <t>08.06.2026</t>
        </is>
      </c>
      <c r="O2500" s="1" t="inlineStr"/>
      <c r="P2500" s="1" t="inlineStr"/>
      <c r="Q2500" s="1" t="inlineStr">
        <is>
          <t>Пользовательский интерфейс</t>
        </is>
      </c>
    </row>
    <row r="2501">
      <c r="B2501" s="1" t="inlineStr">
        <is>
          <t>200897058</t>
        </is>
      </c>
      <c r="C2501" s="1" t="inlineStr">
        <is>
          <t>14513218</t>
        </is>
      </c>
      <c r="D2501" t="inlineStr">
        <is>
          <t>работник 652</t>
        </is>
      </c>
      <c r="E2501" s="1" t="inlineStr">
        <is>
          <t>ОБЩЕСТВО С ОГРАНИЧЕННОЙ ОТВЕТСТВЕННОСТЬЮ "АМУР ЗОЛОТО"</t>
        </is>
      </c>
      <c r="F2501" s="1" t="inlineStr">
        <is>
          <t>2708001686</t>
        </is>
      </c>
      <c r="G2501" s="1" t="inlineStr">
        <is>
          <t>Электрогазосварщик (занятый на резке и ручной сварке)</t>
        </is>
      </c>
      <c r="H2501" s="1" t="inlineStr">
        <is>
          <t>ООО "Амур Золото"</t>
        </is>
      </c>
      <c r="I2501" s="1" t="inlineStr">
        <is>
          <t>2708001686</t>
        </is>
      </c>
      <c r="J2501" s="1" t="inlineStr">
        <is>
          <t>ЮГОК ПГУ 26-01</t>
        </is>
      </c>
      <c r="K2501" s="1" t="inlineStr">
        <is>
          <t>Безопасные методы и приемы выполнения огневых работ</t>
        </is>
      </c>
      <c r="L2501" s="1" t="inlineStr">
        <is>
          <t>04.06.2026</t>
        </is>
      </c>
      <c r="M2501" s="1" t="inlineStr">
        <is>
          <t>Успешно</t>
        </is>
      </c>
      <c r="N2501" s="1" t="inlineStr">
        <is>
          <t>08.06.2026</t>
        </is>
      </c>
      <c r="O2501" s="1" t="inlineStr"/>
      <c r="P2501" s="1" t="inlineStr"/>
      <c r="Q2501" s="1" t="inlineStr">
        <is>
          <t>Пользовательский интерфейс</t>
        </is>
      </c>
    </row>
    <row r="2502">
      <c r="B2502" s="1" t="inlineStr">
        <is>
          <t>200897059</t>
        </is>
      </c>
      <c r="C2502" s="1" t="inlineStr">
        <is>
          <t>14513218</t>
        </is>
      </c>
      <c r="D2502" t="inlineStr">
        <is>
          <t>работник 761</t>
        </is>
      </c>
      <c r="E2502" s="1" t="inlineStr">
        <is>
          <t>ОБЩЕСТВО С ОГРАНИЧЕННОЙ ОТВЕТСТВЕННОСТЬЮ "АМУР ЗОЛОТО"</t>
        </is>
      </c>
      <c r="F2502" s="1" t="inlineStr">
        <is>
          <t>2708001686</t>
        </is>
      </c>
      <c r="G2502" s="1" t="inlineStr">
        <is>
          <t>Машинист погрузочно-доставочной машины (занятый на транспортировании горной массы в технологическом процессе)</t>
        </is>
      </c>
      <c r="H2502" s="1" t="inlineStr">
        <is>
          <t>ООО "Амур Золото"</t>
        </is>
      </c>
      <c r="I2502" s="1" t="inlineStr">
        <is>
          <t>2708001686</t>
        </is>
      </c>
      <c r="J2502" s="1" t="inlineStr">
        <is>
          <t>ЮГОК ПГУ 26-01</t>
        </is>
      </c>
      <c r="K2502" s="1" t="inlineStr">
        <is>
          <t>Оказание первой помощи пострадавшим</t>
        </is>
      </c>
      <c r="L2502" s="1" t="inlineStr">
        <is>
          <t>04.06.2026</t>
        </is>
      </c>
      <c r="M2502" s="1" t="inlineStr">
        <is>
          <t>Успешно</t>
        </is>
      </c>
      <c r="N2502" s="1" t="inlineStr">
        <is>
          <t>08.06.2026</t>
        </is>
      </c>
      <c r="O2502" s="1" t="inlineStr"/>
      <c r="P2502" s="1" t="inlineStr"/>
      <c r="Q2502" s="1" t="inlineStr">
        <is>
          <t>Пользовательский интерфейс</t>
        </is>
      </c>
    </row>
    <row r="2503">
      <c r="B2503" s="1" t="inlineStr">
        <is>
          <t>200897060</t>
        </is>
      </c>
      <c r="C2503" s="1" t="inlineStr">
        <is>
          <t>14513218</t>
        </is>
      </c>
      <c r="D2503" t="inlineStr">
        <is>
          <t>работник 761</t>
        </is>
      </c>
      <c r="E2503" s="1" t="inlineStr">
        <is>
          <t>ОБЩЕСТВО С ОГРАНИЧЕННОЙ ОТВЕТСТВЕННОСТЬЮ "АМУР ЗОЛОТО"</t>
        </is>
      </c>
      <c r="F2503" s="1" t="inlineStr">
        <is>
          <t>2708001686</t>
        </is>
      </c>
      <c r="G2503" s="1" t="inlineStr">
        <is>
          <t>Машинист погрузочно-доставочной машины (занятый на транспортировании горной массы в технологическом процессе)</t>
        </is>
      </c>
      <c r="H2503" s="1" t="inlineStr">
        <is>
          <t>ООО "Амур Золото"</t>
        </is>
      </c>
      <c r="I2503" s="1" t="inlineStr">
        <is>
          <t>2708001686</t>
        </is>
      </c>
      <c r="J2503" s="1" t="inlineStr">
        <is>
          <t>ЮГОК ПГУ 26-01</t>
        </is>
      </c>
      <c r="K2503" s="1" t="inlineStr">
        <is>
          <t>Использование (применение) средств индивидуальной защиты</t>
        </is>
      </c>
      <c r="L2503" s="1" t="inlineStr">
        <is>
          <t>04.06.2026</t>
        </is>
      </c>
      <c r="M2503" s="1" t="inlineStr">
        <is>
          <t>Успешно</t>
        </is>
      </c>
      <c r="N2503" s="1" t="inlineStr">
        <is>
          <t>08.06.2026</t>
        </is>
      </c>
      <c r="O2503" s="1" t="inlineStr"/>
      <c r="P2503" s="1" t="inlineStr"/>
      <c r="Q2503" s="1" t="inlineStr">
        <is>
          <t>Пользовательский интерфейс</t>
        </is>
      </c>
    </row>
    <row r="2504">
      <c r="B2504" s="1" t="inlineStr">
        <is>
          <t>200897061</t>
        </is>
      </c>
      <c r="C2504" s="1" t="inlineStr">
        <is>
          <t>14513218</t>
        </is>
      </c>
      <c r="D2504" t="inlineStr">
        <is>
          <t>работник 761</t>
        </is>
      </c>
      <c r="E2504" s="1" t="inlineStr">
        <is>
          <t>ОБЩЕСТВО С ОГРАНИЧЕННОЙ ОТВЕТСТВЕННОСТЬЮ "АМУР ЗОЛОТО"</t>
        </is>
      </c>
      <c r="F2504" s="1" t="inlineStr">
        <is>
          <t>2708001686</t>
        </is>
      </c>
      <c r="G2504" s="1" t="inlineStr">
        <is>
          <t>Машинист погрузочно-доставочной машины (занятый на транспортировании горной массы в технологическом процессе)</t>
        </is>
      </c>
      <c r="H2504" s="1" t="inlineStr">
        <is>
          <t>ООО "Амур Золото"</t>
        </is>
      </c>
      <c r="I2504" s="1" t="inlineStr">
        <is>
          <t>2708001686</t>
        </is>
      </c>
      <c r="J2504" s="1" t="inlineStr">
        <is>
          <t>ЮГОК ПГУ 26-01</t>
        </is>
      </c>
      <c r="K250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504" s="1" t="inlineStr">
        <is>
          <t>04.06.2026</t>
        </is>
      </c>
      <c r="M2504" s="1" t="inlineStr">
        <is>
          <t>Успешно</t>
        </is>
      </c>
      <c r="N2504" s="1" t="inlineStr">
        <is>
          <t>08.06.2026</t>
        </is>
      </c>
      <c r="O2504" s="1" t="inlineStr"/>
      <c r="P2504" s="1" t="inlineStr"/>
      <c r="Q2504" s="1" t="inlineStr">
        <is>
          <t>Пользовательский интерфейс</t>
        </is>
      </c>
    </row>
    <row r="2505">
      <c r="B2505" s="1" t="inlineStr">
        <is>
          <t>200897062</t>
        </is>
      </c>
      <c r="C2505" s="1" t="inlineStr">
        <is>
          <t>14513218</t>
        </is>
      </c>
      <c r="D2505" t="inlineStr">
        <is>
          <t>работник 762</t>
        </is>
      </c>
      <c r="E2505" s="1" t="inlineStr">
        <is>
          <t>ОБЩЕСТВО С ОГРАНИЧЕННОЙ ОТВЕТСТВЕННОСТЬЮ "АМУР ЗОЛОТО"</t>
        </is>
      </c>
      <c r="F2505" s="1" t="inlineStr">
        <is>
          <t>2708001686</t>
        </is>
      </c>
      <c r="G2505" s="1" t="inlineStr">
        <is>
          <t>Машинист погрузочно-доставочной машины (занятый на транспортировании горной массы в технологическом процессе)</t>
        </is>
      </c>
      <c r="H2505" s="1" t="inlineStr">
        <is>
          <t>ООО "Амур Золото"</t>
        </is>
      </c>
      <c r="I2505" s="1" t="inlineStr">
        <is>
          <t>2708001686</t>
        </is>
      </c>
      <c r="J2505" s="1" t="inlineStr">
        <is>
          <t>ЮГОК ПГУ 26-01</t>
        </is>
      </c>
      <c r="K2505" s="1" t="inlineStr">
        <is>
          <t>Оказание первой помощи пострадавшим</t>
        </is>
      </c>
      <c r="L2505" s="1" t="inlineStr">
        <is>
          <t>04.06.2026</t>
        </is>
      </c>
      <c r="M2505" s="1" t="inlineStr">
        <is>
          <t>Успешно</t>
        </is>
      </c>
      <c r="N2505" s="1" t="inlineStr">
        <is>
          <t>08.06.2026</t>
        </is>
      </c>
      <c r="O2505" s="1" t="inlineStr"/>
      <c r="P2505" s="1" t="inlineStr"/>
      <c r="Q2505" s="1" t="inlineStr">
        <is>
          <t>Пользовательский интерфейс</t>
        </is>
      </c>
    </row>
    <row r="2506">
      <c r="B2506" s="1" t="inlineStr">
        <is>
          <t>200897063</t>
        </is>
      </c>
      <c r="C2506" s="1" t="inlineStr">
        <is>
          <t>14513218</t>
        </is>
      </c>
      <c r="D2506" t="inlineStr">
        <is>
          <t>работник 762</t>
        </is>
      </c>
      <c r="E2506" s="1" t="inlineStr">
        <is>
          <t>ОБЩЕСТВО С ОГРАНИЧЕННОЙ ОТВЕТСТВЕННОСТЬЮ "АМУР ЗОЛОТО"</t>
        </is>
      </c>
      <c r="F2506" s="1" t="inlineStr">
        <is>
          <t>2708001686</t>
        </is>
      </c>
      <c r="G2506" s="1" t="inlineStr">
        <is>
          <t>Машинист погрузочно-доставочной машины (занятый на транспортировании горной массы в технологическом процессе)</t>
        </is>
      </c>
      <c r="H2506" s="1" t="inlineStr">
        <is>
          <t>ООО "Амур Золото"</t>
        </is>
      </c>
      <c r="I2506" s="1" t="inlineStr">
        <is>
          <t>2708001686</t>
        </is>
      </c>
      <c r="J2506" s="1" t="inlineStr">
        <is>
          <t>ЮГОК ПГУ 26-01</t>
        </is>
      </c>
      <c r="K2506" s="1" t="inlineStr">
        <is>
          <t>Использование (применение) средств индивидуальной защиты</t>
        </is>
      </c>
      <c r="L2506" s="1" t="inlineStr">
        <is>
          <t>04.06.2026</t>
        </is>
      </c>
      <c r="M2506" s="1" t="inlineStr">
        <is>
          <t>Успешно</t>
        </is>
      </c>
      <c r="N2506" s="1" t="inlineStr">
        <is>
          <t>08.06.2026</t>
        </is>
      </c>
      <c r="O2506" s="1" t="inlineStr"/>
      <c r="P2506" s="1" t="inlineStr"/>
      <c r="Q2506" s="1" t="inlineStr">
        <is>
          <t>Пользовательский интерфейс</t>
        </is>
      </c>
    </row>
    <row r="2507">
      <c r="B2507" s="1" t="inlineStr">
        <is>
          <t>200897064</t>
        </is>
      </c>
      <c r="C2507" s="1" t="inlineStr">
        <is>
          <t>14513218</t>
        </is>
      </c>
      <c r="D2507" t="inlineStr">
        <is>
          <t>работник 762</t>
        </is>
      </c>
      <c r="E2507" s="1" t="inlineStr">
        <is>
          <t>ОБЩЕСТВО С ОГРАНИЧЕННОЙ ОТВЕТСТВЕННОСТЬЮ "АМУР ЗОЛОТО"</t>
        </is>
      </c>
      <c r="F2507" s="1" t="inlineStr">
        <is>
          <t>2708001686</t>
        </is>
      </c>
      <c r="G2507" s="1" t="inlineStr">
        <is>
          <t>Машинист погрузочно-доставочной машины (занятый на транспортировании горной массы в технологическом процессе)</t>
        </is>
      </c>
      <c r="H2507" s="1" t="inlineStr">
        <is>
          <t>ООО "Амур Золото"</t>
        </is>
      </c>
      <c r="I2507" s="1" t="inlineStr">
        <is>
          <t>2708001686</t>
        </is>
      </c>
      <c r="J2507" s="1" t="inlineStr">
        <is>
          <t>ЮГОК ПГУ 26-01</t>
        </is>
      </c>
      <c r="K250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507" s="1" t="inlineStr">
        <is>
          <t>04.06.2026</t>
        </is>
      </c>
      <c r="M2507" s="1" t="inlineStr">
        <is>
          <t>Успешно</t>
        </is>
      </c>
      <c r="N2507" s="1" t="inlineStr">
        <is>
          <t>08.06.2026</t>
        </is>
      </c>
      <c r="O2507" s="1" t="inlineStr"/>
      <c r="P2507" s="1" t="inlineStr"/>
      <c r="Q2507" s="1" t="inlineStr">
        <is>
          <t>Пользовательский интерфейс</t>
        </is>
      </c>
    </row>
    <row r="2508">
      <c r="B2508" s="1" t="inlineStr">
        <is>
          <t>200897065</t>
        </is>
      </c>
      <c r="C2508" s="1" t="inlineStr">
        <is>
          <t>14513218</t>
        </is>
      </c>
      <c r="D2508" t="inlineStr">
        <is>
          <t>работник 763</t>
        </is>
      </c>
      <c r="E2508" s="1" t="inlineStr">
        <is>
          <t>ОБЩЕСТВО С ОГРАНИЧЕННОЙ ОТВЕТСТВЕННОСТЬЮ "АМУР ЗОЛОТО"</t>
        </is>
      </c>
      <c r="F2508" s="1" t="inlineStr">
        <is>
          <t>2708001686</t>
        </is>
      </c>
      <c r="G2508" s="1" t="inlineStr">
        <is>
          <t>Машинист погрузочно-доставочной машины (занятый на транспортировании горной массы в технологическом процессе)</t>
        </is>
      </c>
      <c r="H2508" s="1" t="inlineStr">
        <is>
          <t>ООО "Амур Золото"</t>
        </is>
      </c>
      <c r="I2508" s="1" t="inlineStr">
        <is>
          <t>2708001686</t>
        </is>
      </c>
      <c r="J2508" s="1" t="inlineStr">
        <is>
          <t>ЮГОК ПГУ 26-01</t>
        </is>
      </c>
      <c r="K2508" s="1" t="inlineStr">
        <is>
          <t>Оказание первой помощи пострадавшим</t>
        </is>
      </c>
      <c r="L2508" s="1" t="inlineStr">
        <is>
          <t>04.06.2026</t>
        </is>
      </c>
      <c r="M2508" s="1" t="inlineStr">
        <is>
          <t>Успешно</t>
        </is>
      </c>
      <c r="N2508" s="1" t="inlineStr">
        <is>
          <t>08.06.2026</t>
        </is>
      </c>
      <c r="O2508" s="1" t="inlineStr"/>
      <c r="P2508" s="1" t="inlineStr"/>
      <c r="Q2508" s="1" t="inlineStr">
        <is>
          <t>Пользовательский интерфейс</t>
        </is>
      </c>
    </row>
    <row r="2509">
      <c r="B2509" s="1" t="inlineStr">
        <is>
          <t>200897066</t>
        </is>
      </c>
      <c r="C2509" s="1" t="inlineStr">
        <is>
          <t>14513218</t>
        </is>
      </c>
      <c r="D2509" t="inlineStr">
        <is>
          <t>работник 763</t>
        </is>
      </c>
      <c r="E2509" s="1" t="inlineStr">
        <is>
          <t>ОБЩЕСТВО С ОГРАНИЧЕННОЙ ОТВЕТСТВЕННОСТЬЮ "АМУР ЗОЛОТО"</t>
        </is>
      </c>
      <c r="F2509" s="1" t="inlineStr">
        <is>
          <t>2708001686</t>
        </is>
      </c>
      <c r="G2509" s="1" t="inlineStr">
        <is>
          <t>Машинист погрузочно-доставочной машины (занятый на транспортировании горной массы в технологическом процессе)</t>
        </is>
      </c>
      <c r="H2509" s="1" t="inlineStr">
        <is>
          <t>ООО "Амур Золото"</t>
        </is>
      </c>
      <c r="I2509" s="1" t="inlineStr">
        <is>
          <t>2708001686</t>
        </is>
      </c>
      <c r="J2509" s="1" t="inlineStr">
        <is>
          <t>ЮГОК ПГУ 26-01</t>
        </is>
      </c>
      <c r="K2509" s="1" t="inlineStr">
        <is>
          <t>Использование (применение) средств индивидуальной защиты</t>
        </is>
      </c>
      <c r="L2509" s="1" t="inlineStr">
        <is>
          <t>04.06.2026</t>
        </is>
      </c>
      <c r="M2509" s="1" t="inlineStr">
        <is>
          <t>Успешно</t>
        </is>
      </c>
      <c r="N2509" s="1" t="inlineStr">
        <is>
          <t>08.06.2026</t>
        </is>
      </c>
      <c r="O2509" s="1" t="inlineStr"/>
      <c r="P2509" s="1" t="inlineStr"/>
      <c r="Q2509" s="1" t="inlineStr">
        <is>
          <t>Пользовательский интерфейс</t>
        </is>
      </c>
    </row>
    <row r="2510">
      <c r="B2510" s="1" t="inlineStr">
        <is>
          <t>200897067</t>
        </is>
      </c>
      <c r="C2510" s="1" t="inlineStr">
        <is>
          <t>14513218</t>
        </is>
      </c>
      <c r="D2510" t="inlineStr">
        <is>
          <t>работник 763</t>
        </is>
      </c>
      <c r="E2510" s="1" t="inlineStr">
        <is>
          <t>ОБЩЕСТВО С ОГРАНИЧЕННОЙ ОТВЕТСТВЕННОСТЬЮ "АМУР ЗОЛОТО"</t>
        </is>
      </c>
      <c r="F2510" s="1" t="inlineStr">
        <is>
          <t>2708001686</t>
        </is>
      </c>
      <c r="G2510" s="1" t="inlineStr">
        <is>
          <t>Машинист погрузочно-доставочной машины (занятый на транспортировании горной массы в технологическом процессе)</t>
        </is>
      </c>
      <c r="H2510" s="1" t="inlineStr">
        <is>
          <t>ООО "Амур Золото"</t>
        </is>
      </c>
      <c r="I2510" s="1" t="inlineStr">
        <is>
          <t>2708001686</t>
        </is>
      </c>
      <c r="J2510" s="1" t="inlineStr">
        <is>
          <t>ЮГОК ПГУ 26-01</t>
        </is>
      </c>
      <c r="K251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510" s="1" t="inlineStr">
        <is>
          <t>04.06.2026</t>
        </is>
      </c>
      <c r="M2510" s="1" t="inlineStr">
        <is>
          <t>Успешно</t>
        </is>
      </c>
      <c r="N2510" s="1" t="inlineStr">
        <is>
          <t>08.06.2026</t>
        </is>
      </c>
      <c r="O2510" s="1" t="inlineStr"/>
      <c r="P2510" s="1" t="inlineStr"/>
      <c r="Q2510" s="1" t="inlineStr">
        <is>
          <t>Пользовательский интерфейс</t>
        </is>
      </c>
    </row>
    <row r="2511">
      <c r="B2511" s="1" t="inlineStr">
        <is>
          <t>200897068</t>
        </is>
      </c>
      <c r="C2511" s="1" t="inlineStr">
        <is>
          <t>14513218</t>
        </is>
      </c>
      <c r="D2511" t="inlineStr">
        <is>
          <t>работник 764</t>
        </is>
      </c>
      <c r="E2511" s="1" t="inlineStr">
        <is>
          <t>ОБЩЕСТВО С ОГРАНИЧЕННОЙ ОТВЕТСТВЕННОСТЬЮ "АМУР ЗОЛОТО"</t>
        </is>
      </c>
      <c r="F2511" s="1" t="inlineStr">
        <is>
          <t>2708001686</t>
        </is>
      </c>
      <c r="G2511" s="1" t="inlineStr">
        <is>
          <t>Машинист погрузочно-доставочной машины (занятый на транспортировании горной массы в технологическом процессе)</t>
        </is>
      </c>
      <c r="H2511" s="1" t="inlineStr">
        <is>
          <t>ООО "Амур Золото"</t>
        </is>
      </c>
      <c r="I2511" s="1" t="inlineStr">
        <is>
          <t>2708001686</t>
        </is>
      </c>
      <c r="J2511" s="1" t="inlineStr">
        <is>
          <t>ЮГОК ПГУ 26-01</t>
        </is>
      </c>
      <c r="K2511" s="1" t="inlineStr">
        <is>
          <t>Оказание первой помощи пострадавшим</t>
        </is>
      </c>
      <c r="L2511" s="1" t="inlineStr">
        <is>
          <t>04.06.2026</t>
        </is>
      </c>
      <c r="M2511" s="1" t="inlineStr">
        <is>
          <t>Успешно</t>
        </is>
      </c>
      <c r="N2511" s="1" t="inlineStr">
        <is>
          <t>08.06.2026</t>
        </is>
      </c>
      <c r="O2511" s="1" t="inlineStr"/>
      <c r="P2511" s="1" t="inlineStr"/>
      <c r="Q2511" s="1" t="inlineStr">
        <is>
          <t>Пользовательский интерфейс</t>
        </is>
      </c>
    </row>
    <row r="2512">
      <c r="B2512" s="1" t="inlineStr">
        <is>
          <t>200897069</t>
        </is>
      </c>
      <c r="C2512" s="1" t="inlineStr">
        <is>
          <t>14513218</t>
        </is>
      </c>
      <c r="D2512" t="inlineStr">
        <is>
          <t>работник 764</t>
        </is>
      </c>
      <c r="E2512" s="1" t="inlineStr">
        <is>
          <t>ОБЩЕСТВО С ОГРАНИЧЕННОЙ ОТВЕТСТВЕННОСТЬЮ "АМУР ЗОЛОТО"</t>
        </is>
      </c>
      <c r="F2512" s="1" t="inlineStr">
        <is>
          <t>2708001686</t>
        </is>
      </c>
      <c r="G2512" s="1" t="inlineStr">
        <is>
          <t>Машинист погрузочно-доставочной машины (занятый на транспортировании горной массы в технологическом процессе)</t>
        </is>
      </c>
      <c r="H2512" s="1" t="inlineStr">
        <is>
          <t>ООО "Амур Золото"</t>
        </is>
      </c>
      <c r="I2512" s="1" t="inlineStr">
        <is>
          <t>2708001686</t>
        </is>
      </c>
      <c r="J2512" s="1" t="inlineStr">
        <is>
          <t>ЮГОК ПГУ 26-01</t>
        </is>
      </c>
      <c r="K2512" s="1" t="inlineStr">
        <is>
          <t>Использование (применение) средств индивидуальной защиты</t>
        </is>
      </c>
      <c r="L2512" s="1" t="inlineStr">
        <is>
          <t>04.06.2026</t>
        </is>
      </c>
      <c r="M2512" s="1" t="inlineStr">
        <is>
          <t>Успешно</t>
        </is>
      </c>
      <c r="N2512" s="1" t="inlineStr">
        <is>
          <t>08.06.2026</t>
        </is>
      </c>
      <c r="O2512" s="1" t="inlineStr"/>
      <c r="P2512" s="1" t="inlineStr"/>
      <c r="Q2512" s="1" t="inlineStr">
        <is>
          <t>Пользовательский интерфейс</t>
        </is>
      </c>
    </row>
    <row r="2513">
      <c r="B2513" s="1" t="inlineStr">
        <is>
          <t>200897070</t>
        </is>
      </c>
      <c r="C2513" s="1" t="inlineStr">
        <is>
          <t>14513218</t>
        </is>
      </c>
      <c r="D2513" t="inlineStr">
        <is>
          <t>работник 404</t>
        </is>
      </c>
      <c r="E2513" s="1" t="inlineStr">
        <is>
          <t>ОБЩЕСТВО С ОГРАНИЧЕННОЙ ОТВЕТСТВЕННОСТЬЮ "АМУР ЗОЛОТО"</t>
        </is>
      </c>
      <c r="F2513" s="1" t="inlineStr">
        <is>
          <t>2708001686</t>
        </is>
      </c>
      <c r="G2513" s="1" t="inlineStr">
        <is>
          <t>Машинист подземных самоходных машин</t>
        </is>
      </c>
      <c r="H2513" s="1" t="inlineStr">
        <is>
          <t>ООО "Амур Золото"</t>
        </is>
      </c>
      <c r="I2513" s="1" t="inlineStr">
        <is>
          <t>2708001686</t>
        </is>
      </c>
      <c r="J2513" s="1" t="inlineStr">
        <is>
          <t>ЮГОК ПГУ 26-01</t>
        </is>
      </c>
      <c r="K2513" s="1" t="inlineStr">
        <is>
          <t>Оказание первой помощи пострадавшим</t>
        </is>
      </c>
      <c r="L2513" s="1" t="inlineStr">
        <is>
          <t>04.06.2026</t>
        </is>
      </c>
      <c r="M2513" s="1" t="inlineStr">
        <is>
          <t>Успешно</t>
        </is>
      </c>
      <c r="N2513" s="1" t="inlineStr">
        <is>
          <t>08.06.2026</t>
        </is>
      </c>
      <c r="O2513" s="1" t="inlineStr"/>
      <c r="P2513" s="1" t="inlineStr"/>
      <c r="Q2513" s="1" t="inlineStr">
        <is>
          <t>Пользовательский интерфейс</t>
        </is>
      </c>
    </row>
    <row r="2514">
      <c r="B2514" s="1" t="inlineStr">
        <is>
          <t>200897071</t>
        </is>
      </c>
      <c r="C2514" s="1" t="inlineStr">
        <is>
          <t>14513218</t>
        </is>
      </c>
      <c r="D2514" t="inlineStr">
        <is>
          <t>работник 764</t>
        </is>
      </c>
      <c r="E2514" s="1" t="inlineStr">
        <is>
          <t>ОБЩЕСТВО С ОГРАНИЧЕННОЙ ОТВЕТСТВЕННОСТЬЮ "АМУР ЗОЛОТО"</t>
        </is>
      </c>
      <c r="F2514" s="1" t="inlineStr">
        <is>
          <t>2708001686</t>
        </is>
      </c>
      <c r="G2514" s="1" t="inlineStr">
        <is>
          <t>Машинист погрузочно-доставочной машины (занятый на транспортировании горной массы в технологическом процессе)</t>
        </is>
      </c>
      <c r="H2514" s="1" t="inlineStr">
        <is>
          <t>ООО "Амур Золото"</t>
        </is>
      </c>
      <c r="I2514" s="1" t="inlineStr">
        <is>
          <t>2708001686</t>
        </is>
      </c>
      <c r="J2514" s="1" t="inlineStr">
        <is>
          <t>ЮГОК ПГУ 26-01</t>
        </is>
      </c>
      <c r="K251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514" s="1" t="inlineStr">
        <is>
          <t>04.06.2026</t>
        </is>
      </c>
      <c r="M2514" s="1" t="inlineStr">
        <is>
          <t>Успешно</t>
        </is>
      </c>
      <c r="N2514" s="1" t="inlineStr">
        <is>
          <t>08.06.2026</t>
        </is>
      </c>
      <c r="O2514" s="1" t="inlineStr"/>
      <c r="P2514" s="1" t="inlineStr"/>
      <c r="Q2514" s="1" t="inlineStr">
        <is>
          <t>Пользовательский интерфейс</t>
        </is>
      </c>
    </row>
    <row r="2515">
      <c r="B2515" s="1" t="inlineStr">
        <is>
          <t>200897072</t>
        </is>
      </c>
      <c r="C2515" s="1" t="inlineStr">
        <is>
          <t>14513218</t>
        </is>
      </c>
      <c r="D2515" t="inlineStr">
        <is>
          <t>работник 765</t>
        </is>
      </c>
      <c r="E2515" s="1" t="inlineStr">
        <is>
          <t>ОБЩЕСТВО С ОГРАНИЧЕННОЙ ОТВЕТСТВЕННОСТЬЮ "АМУР ЗОЛОТО"</t>
        </is>
      </c>
      <c r="F2515" s="1" t="inlineStr">
        <is>
          <t>2708001686</t>
        </is>
      </c>
      <c r="G2515" s="1" t="inlineStr">
        <is>
          <t>Машинист погрузочно-доставочной машины (занятый на транспортировании горной массы в технологическом процессе)</t>
        </is>
      </c>
      <c r="H2515" s="1" t="inlineStr">
        <is>
          <t>ООО "Амур Золото"</t>
        </is>
      </c>
      <c r="I2515" s="1" t="inlineStr">
        <is>
          <t>2708001686</t>
        </is>
      </c>
      <c r="J2515" s="1" t="inlineStr">
        <is>
          <t>ЮГОК ПГУ 26-01</t>
        </is>
      </c>
      <c r="K2515" s="1" t="inlineStr">
        <is>
          <t>Оказание первой помощи пострадавшим</t>
        </is>
      </c>
      <c r="L2515" s="1" t="inlineStr">
        <is>
          <t>04.06.2026</t>
        </is>
      </c>
      <c r="M2515" s="1" t="inlineStr">
        <is>
          <t>Успешно</t>
        </is>
      </c>
      <c r="N2515" s="1" t="inlineStr">
        <is>
          <t>08.06.2026</t>
        </is>
      </c>
      <c r="O2515" s="1" t="inlineStr"/>
      <c r="P2515" s="1" t="inlineStr"/>
      <c r="Q2515" s="1" t="inlineStr">
        <is>
          <t>Пользовательский интерфейс</t>
        </is>
      </c>
    </row>
    <row r="2516">
      <c r="B2516" s="1" t="inlineStr">
        <is>
          <t>200897073</t>
        </is>
      </c>
      <c r="C2516" s="1" t="inlineStr">
        <is>
          <t>14513218</t>
        </is>
      </c>
      <c r="D2516" t="inlineStr">
        <is>
          <t>работник 765</t>
        </is>
      </c>
      <c r="E2516" s="1" t="inlineStr">
        <is>
          <t>ОБЩЕСТВО С ОГРАНИЧЕННОЙ ОТВЕТСТВЕННОСТЬЮ "АМУР ЗОЛОТО"</t>
        </is>
      </c>
      <c r="F2516" s="1" t="inlineStr">
        <is>
          <t>2708001686</t>
        </is>
      </c>
      <c r="G2516" s="1" t="inlineStr">
        <is>
          <t>Машинист погрузочно-доставочной машины (занятый на транспортировании горной массы в технологическом процессе)</t>
        </is>
      </c>
      <c r="H2516" s="1" t="inlineStr">
        <is>
          <t>ООО "Амур Золото"</t>
        </is>
      </c>
      <c r="I2516" s="1" t="inlineStr">
        <is>
          <t>2708001686</t>
        </is>
      </c>
      <c r="J2516" s="1" t="inlineStr">
        <is>
          <t>ЮГОК ПГУ 26-01</t>
        </is>
      </c>
      <c r="K2516" s="1" t="inlineStr">
        <is>
          <t>Использование (применение) средств индивидуальной защиты</t>
        </is>
      </c>
      <c r="L2516" s="1" t="inlineStr">
        <is>
          <t>04.06.2026</t>
        </is>
      </c>
      <c r="M2516" s="1" t="inlineStr">
        <is>
          <t>Успешно</t>
        </is>
      </c>
      <c r="N2516" s="1" t="inlineStr">
        <is>
          <t>08.06.2026</t>
        </is>
      </c>
      <c r="O2516" s="1" t="inlineStr"/>
      <c r="P2516" s="1" t="inlineStr"/>
      <c r="Q2516" s="1" t="inlineStr">
        <is>
          <t>Пользовательский интерфейс</t>
        </is>
      </c>
    </row>
    <row r="2517">
      <c r="B2517" s="1" t="inlineStr">
        <is>
          <t>200897074</t>
        </is>
      </c>
      <c r="C2517" s="1" t="inlineStr">
        <is>
          <t>14513218</t>
        </is>
      </c>
      <c r="D2517" t="inlineStr">
        <is>
          <t>работник 765</t>
        </is>
      </c>
      <c r="E2517" s="1" t="inlineStr">
        <is>
          <t>ОБЩЕСТВО С ОГРАНИЧЕННОЙ ОТВЕТСТВЕННОСТЬЮ "АМУР ЗОЛОТО"</t>
        </is>
      </c>
      <c r="F2517" s="1" t="inlineStr">
        <is>
          <t>2708001686</t>
        </is>
      </c>
      <c r="G2517" s="1" t="inlineStr">
        <is>
          <t>Машинист погрузочно-доставочной машины (занятый на транспортировании горной массы в технологическом процессе)</t>
        </is>
      </c>
      <c r="H2517" s="1" t="inlineStr">
        <is>
          <t>ООО "Амур Золото"</t>
        </is>
      </c>
      <c r="I2517" s="1" t="inlineStr">
        <is>
          <t>2708001686</t>
        </is>
      </c>
      <c r="J2517" s="1" t="inlineStr">
        <is>
          <t>ЮГОК ПГУ 26-01</t>
        </is>
      </c>
      <c r="K251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517" s="1" t="inlineStr">
        <is>
          <t>04.06.2026</t>
        </is>
      </c>
      <c r="M2517" s="1" t="inlineStr">
        <is>
          <t>Успешно</t>
        </is>
      </c>
      <c r="N2517" s="1" t="inlineStr">
        <is>
          <t>08.06.2026</t>
        </is>
      </c>
      <c r="O2517" s="1" t="inlineStr"/>
      <c r="P2517" s="1" t="inlineStr"/>
      <c r="Q2517" s="1" t="inlineStr">
        <is>
          <t>Пользовательский интерфейс</t>
        </is>
      </c>
    </row>
    <row r="2518">
      <c r="B2518" s="1" t="inlineStr">
        <is>
          <t>200897075</t>
        </is>
      </c>
      <c r="C2518" s="1" t="inlineStr">
        <is>
          <t>14513218</t>
        </is>
      </c>
      <c r="D2518" t="inlineStr">
        <is>
          <t>работник 766</t>
        </is>
      </c>
      <c r="E2518" s="1" t="inlineStr">
        <is>
          <t>ОБЩЕСТВО С ОГРАНИЧЕННОЙ ОТВЕТСТВЕННОСТЬЮ "АМУР ЗОЛОТО"</t>
        </is>
      </c>
      <c r="F2518" s="1" t="inlineStr">
        <is>
          <t>2708001686</t>
        </is>
      </c>
      <c r="G2518" s="1" t="inlineStr">
        <is>
          <t>Машинист погрузочно-доставочной машины (занятый на транспортировании горной массы в технологическом процессе)</t>
        </is>
      </c>
      <c r="H2518" s="1" t="inlineStr">
        <is>
          <t>ООО "Амур Золото"</t>
        </is>
      </c>
      <c r="I2518" s="1" t="inlineStr">
        <is>
          <t>2708001686</t>
        </is>
      </c>
      <c r="J2518" s="1" t="inlineStr">
        <is>
          <t>ЮГОК ПГУ 26-01</t>
        </is>
      </c>
      <c r="K2518" s="1" t="inlineStr">
        <is>
          <t>Оказание первой помощи пострадавшим</t>
        </is>
      </c>
      <c r="L2518" s="1" t="inlineStr">
        <is>
          <t>04.06.2026</t>
        </is>
      </c>
      <c r="M2518" s="1" t="inlineStr">
        <is>
          <t>Успешно</t>
        </is>
      </c>
      <c r="N2518" s="1" t="inlineStr">
        <is>
          <t>08.06.2026</t>
        </is>
      </c>
      <c r="O2518" s="1" t="inlineStr"/>
      <c r="P2518" s="1" t="inlineStr"/>
      <c r="Q2518" s="1" t="inlineStr">
        <is>
          <t>Пользовательский интерфейс</t>
        </is>
      </c>
    </row>
    <row r="2519">
      <c r="B2519" s="1" t="inlineStr">
        <is>
          <t>200897076</t>
        </is>
      </c>
      <c r="C2519" s="1" t="inlineStr">
        <is>
          <t>14513218</t>
        </is>
      </c>
      <c r="D2519" t="inlineStr">
        <is>
          <t>работник 766</t>
        </is>
      </c>
      <c r="E2519" s="1" t="inlineStr">
        <is>
          <t>ОБЩЕСТВО С ОГРАНИЧЕННОЙ ОТВЕТСТВЕННОСТЬЮ "АМУР ЗОЛОТО"</t>
        </is>
      </c>
      <c r="F2519" s="1" t="inlineStr">
        <is>
          <t>2708001686</t>
        </is>
      </c>
      <c r="G2519" s="1" t="inlineStr">
        <is>
          <t>Машинист погрузочно-доставочной машины (занятый на транспортировании горной массы в технологическом процессе)</t>
        </is>
      </c>
      <c r="H2519" s="1" t="inlineStr">
        <is>
          <t>ООО "Амур Золото"</t>
        </is>
      </c>
      <c r="I2519" s="1" t="inlineStr">
        <is>
          <t>2708001686</t>
        </is>
      </c>
      <c r="J2519" s="1" t="inlineStr">
        <is>
          <t>ЮГОК ПГУ 26-01</t>
        </is>
      </c>
      <c r="K2519" s="1" t="inlineStr">
        <is>
          <t>Использование (применение) средств индивидуальной защиты</t>
        </is>
      </c>
      <c r="L2519" s="1" t="inlineStr">
        <is>
          <t>04.06.2026</t>
        </is>
      </c>
      <c r="M2519" s="1" t="inlineStr">
        <is>
          <t>Успешно</t>
        </is>
      </c>
      <c r="N2519" s="1" t="inlineStr">
        <is>
          <t>08.06.2026</t>
        </is>
      </c>
      <c r="O2519" s="1" t="inlineStr"/>
      <c r="P2519" s="1" t="inlineStr"/>
      <c r="Q2519" s="1" t="inlineStr">
        <is>
          <t>Пользовательский интерфейс</t>
        </is>
      </c>
    </row>
    <row r="2520">
      <c r="B2520" s="1" t="inlineStr">
        <is>
          <t>200897077</t>
        </is>
      </c>
      <c r="C2520" s="1" t="inlineStr">
        <is>
          <t>14513218</t>
        </is>
      </c>
      <c r="D2520" t="inlineStr">
        <is>
          <t>работник 766</t>
        </is>
      </c>
      <c r="E2520" s="1" t="inlineStr">
        <is>
          <t>ОБЩЕСТВО С ОГРАНИЧЕННОЙ ОТВЕТСТВЕННОСТЬЮ "АМУР ЗОЛОТО"</t>
        </is>
      </c>
      <c r="F2520" s="1" t="inlineStr">
        <is>
          <t>2708001686</t>
        </is>
      </c>
      <c r="G2520" s="1" t="inlineStr">
        <is>
          <t>Машинист погрузочно-доставочной машины (занятый на транспортировании горной массы в технологическом процессе)</t>
        </is>
      </c>
      <c r="H2520" s="1" t="inlineStr">
        <is>
          <t>ООО "Амур Золото"</t>
        </is>
      </c>
      <c r="I2520" s="1" t="inlineStr">
        <is>
          <t>2708001686</t>
        </is>
      </c>
      <c r="J2520" s="1" t="inlineStr">
        <is>
          <t>ЮГОК ПГУ 26-01</t>
        </is>
      </c>
      <c r="K252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520" s="1" t="inlineStr">
        <is>
          <t>04.06.2026</t>
        </is>
      </c>
      <c r="M2520" s="1" t="inlineStr">
        <is>
          <t>Успешно</t>
        </is>
      </c>
      <c r="N2520" s="1" t="inlineStr">
        <is>
          <t>08.06.2026</t>
        </is>
      </c>
      <c r="O2520" s="1" t="inlineStr"/>
      <c r="P2520" s="1" t="inlineStr"/>
      <c r="Q2520" s="1" t="inlineStr">
        <is>
          <t>Пользовательский интерфейс</t>
        </is>
      </c>
    </row>
    <row r="2521">
      <c r="B2521" s="1" t="inlineStr">
        <is>
          <t>200897078</t>
        </is>
      </c>
      <c r="C2521" s="1" t="inlineStr">
        <is>
          <t>14513218</t>
        </is>
      </c>
      <c r="D2521" t="inlineStr">
        <is>
          <t>работник 767</t>
        </is>
      </c>
      <c r="E2521" s="1" t="inlineStr">
        <is>
          <t>ОБЩЕСТВО С ОГРАНИЧЕННОЙ ОТВЕТСТВЕННОСТЬЮ "АМУР ЗОЛОТО"</t>
        </is>
      </c>
      <c r="F2521" s="1" t="inlineStr">
        <is>
          <t>2708001686</t>
        </is>
      </c>
      <c r="G2521" s="1" t="inlineStr">
        <is>
          <t>Проходчик (с исполнением обязанностей взрывника)</t>
        </is>
      </c>
      <c r="H2521" s="1" t="inlineStr">
        <is>
          <t>ООО "Амур Золото"</t>
        </is>
      </c>
      <c r="I2521" s="1" t="inlineStr">
        <is>
          <t>2708001686</t>
        </is>
      </c>
      <c r="J2521" s="1" t="inlineStr">
        <is>
          <t>ЮГОК ПГУ 26-01</t>
        </is>
      </c>
      <c r="K2521" s="1" t="inlineStr">
        <is>
          <t>Оказание первой помощи пострадавшим</t>
        </is>
      </c>
      <c r="L2521" s="1" t="inlineStr">
        <is>
          <t>04.06.2026</t>
        </is>
      </c>
      <c r="M2521" s="1" t="inlineStr">
        <is>
          <t>Успешно</t>
        </is>
      </c>
      <c r="N2521" s="1" t="inlineStr">
        <is>
          <t>08.06.2026</t>
        </is>
      </c>
      <c r="O2521" s="1" t="inlineStr"/>
      <c r="P2521" s="1" t="inlineStr"/>
      <c r="Q2521" s="1" t="inlineStr">
        <is>
          <t>Пользовательский интерфейс</t>
        </is>
      </c>
    </row>
    <row r="2522">
      <c r="B2522" s="1" t="inlineStr">
        <is>
          <t>200897079</t>
        </is>
      </c>
      <c r="C2522" s="1" t="inlineStr">
        <is>
          <t>14513218</t>
        </is>
      </c>
      <c r="D2522" t="inlineStr">
        <is>
          <t>работник 768</t>
        </is>
      </c>
      <c r="E2522" s="1" t="inlineStr">
        <is>
          <t>ОБЩЕСТВО С ОГРАНИЧЕННОЙ ОТВЕТСТВЕННОСТЬЮ "АМУР ЗОЛОТО"</t>
        </is>
      </c>
      <c r="F2522" s="1" t="inlineStr">
        <is>
          <t>2708001686</t>
        </is>
      </c>
      <c r="G2522" s="1" t="inlineStr">
        <is>
          <t>Проходчик (с исполнением обязанностей взрывника)</t>
        </is>
      </c>
      <c r="H2522" s="1" t="inlineStr">
        <is>
          <t>ООО "Амур Золото"</t>
        </is>
      </c>
      <c r="I2522" s="1" t="inlineStr">
        <is>
          <t>2708001686</t>
        </is>
      </c>
      <c r="J2522" s="1" t="inlineStr">
        <is>
          <t>ЮГОК ПГУ 26-01</t>
        </is>
      </c>
      <c r="K2522" s="1" t="inlineStr">
        <is>
          <t>Оказание первой помощи пострадавшим</t>
        </is>
      </c>
      <c r="L2522" s="1" t="inlineStr">
        <is>
          <t>04.06.2026</t>
        </is>
      </c>
      <c r="M2522" s="1" t="inlineStr">
        <is>
          <t>Успешно</t>
        </is>
      </c>
      <c r="N2522" s="1" t="inlineStr">
        <is>
          <t>08.06.2026</t>
        </is>
      </c>
      <c r="O2522" s="1" t="inlineStr"/>
      <c r="P2522" s="1" t="inlineStr"/>
      <c r="Q2522" s="1" t="inlineStr">
        <is>
          <t>Пользовательский интерфейс</t>
        </is>
      </c>
    </row>
    <row r="2523">
      <c r="B2523" s="1" t="inlineStr">
        <is>
          <t>200897080</t>
        </is>
      </c>
      <c r="C2523" s="1" t="inlineStr">
        <is>
          <t>14513218</t>
        </is>
      </c>
      <c r="D2523" t="inlineStr">
        <is>
          <t>работник 769</t>
        </is>
      </c>
      <c r="E2523" s="1" t="inlineStr">
        <is>
          <t>ОБЩЕСТВО С ОГРАНИЧЕННОЙ ОТВЕТСТВЕННОСТЬЮ "АМУР ЗОЛОТО"</t>
        </is>
      </c>
      <c r="F2523" s="1" t="inlineStr">
        <is>
          <t>2708001686</t>
        </is>
      </c>
      <c r="G2523" s="1" t="inlineStr">
        <is>
          <t>Проходчик (с исполнением обязанностей взрывника)</t>
        </is>
      </c>
      <c r="H2523" s="1" t="inlineStr">
        <is>
          <t>ООО "Амур Золото"</t>
        </is>
      </c>
      <c r="I2523" s="1" t="inlineStr">
        <is>
          <t>2708001686</t>
        </is>
      </c>
      <c r="J2523" s="1" t="inlineStr">
        <is>
          <t>ЮГОК ПГУ 26-01</t>
        </is>
      </c>
      <c r="K2523" s="1" t="inlineStr">
        <is>
          <t>Оказание первой помощи пострадавшим</t>
        </is>
      </c>
      <c r="L2523" s="1" t="inlineStr">
        <is>
          <t>04.06.2026</t>
        </is>
      </c>
      <c r="M2523" s="1" t="inlineStr">
        <is>
          <t>Успешно</t>
        </is>
      </c>
      <c r="N2523" s="1" t="inlineStr">
        <is>
          <t>08.06.2026</t>
        </is>
      </c>
      <c r="O2523" s="1" t="inlineStr"/>
      <c r="P2523" s="1" t="inlineStr"/>
      <c r="Q2523" s="1" t="inlineStr">
        <is>
          <t>Пользовательский интерфейс</t>
        </is>
      </c>
    </row>
    <row r="2524">
      <c r="B2524" s="1" t="inlineStr">
        <is>
          <t>200897081</t>
        </is>
      </c>
      <c r="C2524" s="1" t="inlineStr">
        <is>
          <t>14513218</t>
        </is>
      </c>
      <c r="D2524" t="inlineStr">
        <is>
          <t>работник 770</t>
        </is>
      </c>
      <c r="E2524" s="1" t="inlineStr">
        <is>
          <t>ОБЩЕСТВО С ОГРАНИЧЕННОЙ ОТВЕТСТВЕННОСТЬЮ "АМУР ЗОЛОТО"</t>
        </is>
      </c>
      <c r="F2524" s="1" t="inlineStr">
        <is>
          <t>2708001686</t>
        </is>
      </c>
      <c r="G2524" s="1" t="inlineStr">
        <is>
          <t>Машинист погрузочно-доставочной машины</t>
        </is>
      </c>
      <c r="H2524" s="1" t="inlineStr">
        <is>
          <t>ООО "Амур Золото"</t>
        </is>
      </c>
      <c r="I2524" s="1" t="inlineStr">
        <is>
          <t>2708001686</t>
        </is>
      </c>
      <c r="J2524" s="1" t="inlineStr">
        <is>
          <t>ЮГОК ПГУ 26-01</t>
        </is>
      </c>
      <c r="K2524" s="1" t="inlineStr">
        <is>
          <t>Оказание первой помощи пострадавшим</t>
        </is>
      </c>
      <c r="L2524" s="1" t="inlineStr">
        <is>
          <t>04.06.2026</t>
        </is>
      </c>
      <c r="M2524" s="1" t="inlineStr">
        <is>
          <t>Успешно</t>
        </is>
      </c>
      <c r="N2524" s="1" t="inlineStr">
        <is>
          <t>08.06.2026</t>
        </is>
      </c>
      <c r="O2524" s="1" t="inlineStr"/>
      <c r="P2524" s="1" t="inlineStr"/>
      <c r="Q2524" s="1" t="inlineStr">
        <is>
          <t>Пользовательский интерфейс</t>
        </is>
      </c>
    </row>
    <row r="2525">
      <c r="B2525" s="1" t="inlineStr">
        <is>
          <t>200897082</t>
        </is>
      </c>
      <c r="C2525" s="1" t="inlineStr">
        <is>
          <t>14513218</t>
        </is>
      </c>
      <c r="D2525" t="inlineStr">
        <is>
          <t>работник 770</t>
        </is>
      </c>
      <c r="E2525" s="1" t="inlineStr">
        <is>
          <t>ОБЩЕСТВО С ОГРАНИЧЕННОЙ ОТВЕТСТВЕННОСТЬЮ "АМУР ЗОЛОТО"</t>
        </is>
      </c>
      <c r="F2525" s="1" t="inlineStr">
        <is>
          <t>2708001686</t>
        </is>
      </c>
      <c r="G2525" s="1" t="inlineStr">
        <is>
          <t>Машинист погрузочно-доставочной машины</t>
        </is>
      </c>
      <c r="H2525" s="1" t="inlineStr">
        <is>
          <t>ООО "Амур Золото"</t>
        </is>
      </c>
      <c r="I2525" s="1" t="inlineStr">
        <is>
          <t>2708001686</t>
        </is>
      </c>
      <c r="J2525" s="1" t="inlineStr">
        <is>
          <t>ЮГОК ПГУ 26-01</t>
        </is>
      </c>
      <c r="K2525" s="1" t="inlineStr">
        <is>
          <t>Использование (применение) средств индивидуальной защиты</t>
        </is>
      </c>
      <c r="L2525" s="1" t="inlineStr">
        <is>
          <t>04.06.2026</t>
        </is>
      </c>
      <c r="M2525" s="1" t="inlineStr">
        <is>
          <t>Успешно</t>
        </is>
      </c>
      <c r="N2525" s="1" t="inlineStr">
        <is>
          <t>08.06.2026</t>
        </is>
      </c>
      <c r="O2525" s="1" t="inlineStr"/>
      <c r="P2525" s="1" t="inlineStr"/>
      <c r="Q2525" s="1" t="inlineStr">
        <is>
          <t>Пользовательский интерфейс</t>
        </is>
      </c>
    </row>
    <row r="2526">
      <c r="B2526" s="1" t="inlineStr">
        <is>
          <t>200897083</t>
        </is>
      </c>
      <c r="C2526" s="1" t="inlineStr">
        <is>
          <t>14513218</t>
        </is>
      </c>
      <c r="D2526" t="inlineStr">
        <is>
          <t>работник 770</t>
        </is>
      </c>
      <c r="E2526" s="1" t="inlineStr">
        <is>
          <t>ОБЩЕСТВО С ОГРАНИЧЕННОЙ ОТВЕТСТВЕННОСТЬЮ "АМУР ЗОЛОТО"</t>
        </is>
      </c>
      <c r="F2526" s="1" t="inlineStr">
        <is>
          <t>2708001686</t>
        </is>
      </c>
      <c r="G2526" s="1" t="inlineStr">
        <is>
          <t>Машинист погрузочно-доставочной машины</t>
        </is>
      </c>
      <c r="H2526" s="1" t="inlineStr">
        <is>
          <t>ООО "Амур Золото"</t>
        </is>
      </c>
      <c r="I2526" s="1" t="inlineStr">
        <is>
          <t>2708001686</t>
        </is>
      </c>
      <c r="J2526" s="1" t="inlineStr">
        <is>
          <t>ЮГОК ПГУ 26-01</t>
        </is>
      </c>
      <c r="K252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526" s="1" t="inlineStr">
        <is>
          <t>04.06.2026</t>
        </is>
      </c>
      <c r="M2526" s="1" t="inlineStr">
        <is>
          <t>Успешно</t>
        </is>
      </c>
      <c r="N2526" s="1" t="inlineStr">
        <is>
          <t>08.06.2026</t>
        </is>
      </c>
      <c r="O2526" s="1" t="inlineStr"/>
      <c r="P2526" s="1" t="inlineStr"/>
      <c r="Q2526" s="1" t="inlineStr">
        <is>
          <t>Пользовательский интерфейс</t>
        </is>
      </c>
    </row>
    <row r="2527">
      <c r="B2527" s="1" t="inlineStr">
        <is>
          <t>200897084</t>
        </is>
      </c>
      <c r="C2527" s="1" t="inlineStr">
        <is>
          <t>14513218</t>
        </is>
      </c>
      <c r="D2527" t="inlineStr">
        <is>
          <t>работник 771</t>
        </is>
      </c>
      <c r="E2527" s="1" t="inlineStr">
        <is>
          <t>ОБЩЕСТВО С ОГРАНИЧЕННОЙ ОТВЕТСТВЕННОСТЬЮ "АМУР ЗОЛОТО"</t>
        </is>
      </c>
      <c r="F2527" s="1" t="inlineStr">
        <is>
          <t>2708001686</t>
        </is>
      </c>
      <c r="G2527" s="1" t="inlineStr">
        <is>
          <t>Машинист погрузочно-доставочной машины</t>
        </is>
      </c>
      <c r="H2527" s="1" t="inlineStr">
        <is>
          <t>ООО "Амур Золото"</t>
        </is>
      </c>
      <c r="I2527" s="1" t="inlineStr">
        <is>
          <t>2708001686</t>
        </is>
      </c>
      <c r="J2527" s="1" t="inlineStr">
        <is>
          <t>ЮГОК ПГУ 26-01</t>
        </is>
      </c>
      <c r="K2527" s="1" t="inlineStr">
        <is>
          <t>Оказание первой помощи пострадавшим</t>
        </is>
      </c>
      <c r="L2527" s="1" t="inlineStr">
        <is>
          <t>04.06.2026</t>
        </is>
      </c>
      <c r="M2527" s="1" t="inlineStr">
        <is>
          <t>Успешно</t>
        </is>
      </c>
      <c r="N2527" s="1" t="inlineStr">
        <is>
          <t>08.06.2026</t>
        </is>
      </c>
      <c r="O2527" s="1" t="inlineStr"/>
      <c r="P2527" s="1" t="inlineStr"/>
      <c r="Q2527" s="1" t="inlineStr">
        <is>
          <t>Пользовательский интерфейс</t>
        </is>
      </c>
    </row>
    <row r="2528">
      <c r="B2528" s="1" t="inlineStr">
        <is>
          <t>200897085</t>
        </is>
      </c>
      <c r="C2528" s="1" t="inlineStr">
        <is>
          <t>14513218</t>
        </is>
      </c>
      <c r="D2528" t="inlineStr">
        <is>
          <t>работник 771</t>
        </is>
      </c>
      <c r="E2528" s="1" t="inlineStr">
        <is>
          <t>ОБЩЕСТВО С ОГРАНИЧЕННОЙ ОТВЕТСТВЕННОСТЬЮ "АМУР ЗОЛОТО"</t>
        </is>
      </c>
      <c r="F2528" s="1" t="inlineStr">
        <is>
          <t>2708001686</t>
        </is>
      </c>
      <c r="G2528" s="1" t="inlineStr">
        <is>
          <t>Машинист погрузочно-доставочной машины</t>
        </is>
      </c>
      <c r="H2528" s="1" t="inlineStr">
        <is>
          <t>ООО "Амур Золото"</t>
        </is>
      </c>
      <c r="I2528" s="1" t="inlineStr">
        <is>
          <t>2708001686</t>
        </is>
      </c>
      <c r="J2528" s="1" t="inlineStr">
        <is>
          <t>ЮГОК ПГУ 26-01</t>
        </is>
      </c>
      <c r="K2528" s="1" t="inlineStr">
        <is>
          <t>Использование (применение) средств индивидуальной защиты</t>
        </is>
      </c>
      <c r="L2528" s="1" t="inlineStr">
        <is>
          <t>04.06.2026</t>
        </is>
      </c>
      <c r="M2528" s="1" t="inlineStr">
        <is>
          <t>Успешно</t>
        </is>
      </c>
      <c r="N2528" s="1" t="inlineStr">
        <is>
          <t>08.06.2026</t>
        </is>
      </c>
      <c r="O2528" s="1" t="inlineStr"/>
      <c r="P2528" s="1" t="inlineStr"/>
      <c r="Q2528" s="1" t="inlineStr">
        <is>
          <t>Пользовательский интерфейс</t>
        </is>
      </c>
    </row>
    <row r="2529">
      <c r="B2529" s="1" t="inlineStr">
        <is>
          <t>200897086</t>
        </is>
      </c>
      <c r="C2529" s="1" t="inlineStr">
        <is>
          <t>14513218</t>
        </is>
      </c>
      <c r="D2529" t="inlineStr">
        <is>
          <t>работник 771</t>
        </is>
      </c>
      <c r="E2529" s="1" t="inlineStr">
        <is>
          <t>ОБЩЕСТВО С ОГРАНИЧЕННОЙ ОТВЕТСТВЕННОСТЬЮ "АМУР ЗОЛОТО"</t>
        </is>
      </c>
      <c r="F2529" s="1" t="inlineStr">
        <is>
          <t>2708001686</t>
        </is>
      </c>
      <c r="G2529" s="1" t="inlineStr">
        <is>
          <t>Машинист погрузочно-доставочной машины</t>
        </is>
      </c>
      <c r="H2529" s="1" t="inlineStr">
        <is>
          <t>ООО "Амур Золото"</t>
        </is>
      </c>
      <c r="I2529" s="1" t="inlineStr">
        <is>
          <t>2708001686</t>
        </is>
      </c>
      <c r="J2529" s="1" t="inlineStr">
        <is>
          <t>ЮГОК ПГУ 26-01</t>
        </is>
      </c>
      <c r="K252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529" s="1" t="inlineStr">
        <is>
          <t>04.06.2026</t>
        </is>
      </c>
      <c r="M2529" s="1" t="inlineStr">
        <is>
          <t>Успешно</t>
        </is>
      </c>
      <c r="N2529" s="1" t="inlineStr">
        <is>
          <t>08.06.2026</t>
        </is>
      </c>
      <c r="O2529" s="1" t="inlineStr"/>
      <c r="P2529" s="1" t="inlineStr"/>
      <c r="Q2529" s="1" t="inlineStr">
        <is>
          <t>Пользовательский интерфейс</t>
        </is>
      </c>
    </row>
    <row r="2530">
      <c r="B2530" s="1" t="inlineStr">
        <is>
          <t>200897087</t>
        </is>
      </c>
      <c r="C2530" s="1" t="inlineStr">
        <is>
          <t>14513218</t>
        </is>
      </c>
      <c r="D2530" t="inlineStr">
        <is>
          <t>работник 491</t>
        </is>
      </c>
      <c r="E2530" s="1" t="inlineStr">
        <is>
          <t>ОБЩЕСТВО С ОГРАНИЧЕННОЙ ОТВЕТСТВЕННОСТЬЮ "АМУР ЗОЛОТО"</t>
        </is>
      </c>
      <c r="F2530" s="1" t="inlineStr">
        <is>
          <t>2708001686</t>
        </is>
      </c>
      <c r="G2530" s="1" t="inlineStr">
        <is>
          <t>Машинист погрузочно-доставочной машины</t>
        </is>
      </c>
      <c r="H2530" s="1" t="inlineStr">
        <is>
          <t>ООО "Амур Золото"</t>
        </is>
      </c>
      <c r="I2530" s="1" t="inlineStr">
        <is>
          <t>2708001686</t>
        </is>
      </c>
      <c r="J2530" s="1" t="inlineStr">
        <is>
          <t>ЮГОК ПГУ 26-01</t>
        </is>
      </c>
      <c r="K2530" s="1" t="inlineStr">
        <is>
          <t>Оказание первой помощи пострадавшим</t>
        </is>
      </c>
      <c r="L2530" s="1" t="inlineStr">
        <is>
          <t>04.06.2026</t>
        </is>
      </c>
      <c r="M2530" s="1" t="inlineStr">
        <is>
          <t>Успешно</t>
        </is>
      </c>
      <c r="N2530" s="1" t="inlineStr">
        <is>
          <t>08.06.2026</t>
        </is>
      </c>
      <c r="O2530" s="1" t="inlineStr"/>
      <c r="P2530" s="1" t="inlineStr"/>
      <c r="Q2530" s="1" t="inlineStr">
        <is>
          <t>Пользовательский интерфейс</t>
        </is>
      </c>
    </row>
    <row r="2531">
      <c r="B2531" s="1" t="inlineStr">
        <is>
          <t>200897088</t>
        </is>
      </c>
      <c r="C2531" s="1" t="inlineStr">
        <is>
          <t>14513218</t>
        </is>
      </c>
      <c r="D2531" t="inlineStr">
        <is>
          <t>работник 493</t>
        </is>
      </c>
      <c r="E2531" s="1" t="inlineStr">
        <is>
          <t>ОБЩЕСТВО С ОГРАНИЧЕННОЙ ОТВЕТСТВЕННОСТЬЮ "АМУР ЗОЛОТО"</t>
        </is>
      </c>
      <c r="F2531" s="1" t="inlineStr">
        <is>
          <t>2708001686</t>
        </is>
      </c>
      <c r="G2531" s="1" t="inlineStr">
        <is>
          <t>Машинист погрузочно-доставочной машины</t>
        </is>
      </c>
      <c r="H2531" s="1" t="inlineStr">
        <is>
          <t>ООО "Амур Золото"</t>
        </is>
      </c>
      <c r="I2531" s="1" t="inlineStr">
        <is>
          <t>2708001686</t>
        </is>
      </c>
      <c r="J2531" s="1" t="inlineStr">
        <is>
          <t>ЮГОК ПГУ 26-01</t>
        </is>
      </c>
      <c r="K2531" s="1" t="inlineStr">
        <is>
          <t>Оказание первой помощи пострадавшим</t>
        </is>
      </c>
      <c r="L2531" s="1" t="inlineStr">
        <is>
          <t>04.06.2026</t>
        </is>
      </c>
      <c r="M2531" s="1" t="inlineStr">
        <is>
          <t>Успешно</t>
        </is>
      </c>
      <c r="N2531" s="1" t="inlineStr">
        <is>
          <t>08.06.2026</t>
        </is>
      </c>
      <c r="O2531" s="1" t="inlineStr"/>
      <c r="P2531" s="1" t="inlineStr"/>
      <c r="Q2531" s="1" t="inlineStr">
        <is>
          <t>Пользовательский интерфейс</t>
        </is>
      </c>
    </row>
    <row r="2532">
      <c r="B2532" s="1" t="inlineStr">
        <is>
          <t>200897089</t>
        </is>
      </c>
      <c r="C2532" s="1" t="inlineStr">
        <is>
          <t>14513218</t>
        </is>
      </c>
      <c r="D2532" t="inlineStr">
        <is>
          <t>работник 772</t>
        </is>
      </c>
      <c r="E2532" s="1" t="inlineStr">
        <is>
          <t>ОБЩЕСТВО С ОГРАНИЧЕННОЙ ОТВЕТСТВЕННОСТЬЮ "АМУР ЗОЛОТО"</t>
        </is>
      </c>
      <c r="F2532" s="1" t="inlineStr">
        <is>
          <t>2708001686</t>
        </is>
      </c>
      <c r="G2532" s="1" t="inlineStr">
        <is>
          <t>Машинист погрузочно-доставочной машины</t>
        </is>
      </c>
      <c r="H2532" s="1" t="inlineStr">
        <is>
          <t>ООО "Амур Золото"</t>
        </is>
      </c>
      <c r="I2532" s="1" t="inlineStr">
        <is>
          <t>2708001686</t>
        </is>
      </c>
      <c r="J2532" s="1" t="inlineStr">
        <is>
          <t>ЮГОК ПГУ 26-01</t>
        </is>
      </c>
      <c r="K2532" s="1" t="inlineStr">
        <is>
          <t>Оказание первой помощи пострадавшим</t>
        </is>
      </c>
      <c r="L2532" s="1" t="inlineStr">
        <is>
          <t>04.06.2026</t>
        </is>
      </c>
      <c r="M2532" s="1" t="inlineStr">
        <is>
          <t>Успешно</t>
        </is>
      </c>
      <c r="N2532" s="1" t="inlineStr">
        <is>
          <t>08.06.2026</t>
        </is>
      </c>
      <c r="O2532" s="1" t="inlineStr"/>
      <c r="P2532" s="1" t="inlineStr"/>
      <c r="Q2532" s="1" t="inlineStr">
        <is>
          <t>Пользовательский интерфейс</t>
        </is>
      </c>
    </row>
    <row r="2533">
      <c r="B2533" s="1" t="inlineStr">
        <is>
          <t>200897090</t>
        </is>
      </c>
      <c r="C2533" s="1" t="inlineStr">
        <is>
          <t>14513218</t>
        </is>
      </c>
      <c r="D2533" t="inlineStr">
        <is>
          <t>работник 772</t>
        </is>
      </c>
      <c r="E2533" s="1" t="inlineStr">
        <is>
          <t>ОБЩЕСТВО С ОГРАНИЧЕННОЙ ОТВЕТСТВЕННОСТЬЮ "АМУР ЗОЛОТО"</t>
        </is>
      </c>
      <c r="F2533" s="1" t="inlineStr">
        <is>
          <t>2708001686</t>
        </is>
      </c>
      <c r="G2533" s="1" t="inlineStr">
        <is>
          <t>Машинист погрузочно-доставочной машины</t>
        </is>
      </c>
      <c r="H2533" s="1" t="inlineStr">
        <is>
          <t>ООО "Амур Золото"</t>
        </is>
      </c>
      <c r="I2533" s="1" t="inlineStr">
        <is>
          <t>2708001686</t>
        </is>
      </c>
      <c r="J2533" s="1" t="inlineStr">
        <is>
          <t>ЮГОК ПГУ 26-01</t>
        </is>
      </c>
      <c r="K2533" s="1" t="inlineStr">
        <is>
          <t>Использование (применение) средств индивидуальной защиты</t>
        </is>
      </c>
      <c r="L2533" s="1" t="inlineStr">
        <is>
          <t>04.06.2026</t>
        </is>
      </c>
      <c r="M2533" s="1" t="inlineStr">
        <is>
          <t>Успешно</t>
        </is>
      </c>
      <c r="N2533" s="1" t="inlineStr">
        <is>
          <t>08.06.2026</t>
        </is>
      </c>
      <c r="O2533" s="1" t="inlineStr"/>
      <c r="P2533" s="1" t="inlineStr"/>
      <c r="Q2533" s="1" t="inlineStr">
        <is>
          <t>Пользовательский интерфейс</t>
        </is>
      </c>
    </row>
    <row r="2534">
      <c r="B2534" s="1" t="inlineStr">
        <is>
          <t>200897091</t>
        </is>
      </c>
      <c r="C2534" s="1" t="inlineStr">
        <is>
          <t>14513218</t>
        </is>
      </c>
      <c r="D2534" t="inlineStr">
        <is>
          <t>работник 772</t>
        </is>
      </c>
      <c r="E2534" s="1" t="inlineStr">
        <is>
          <t>ОБЩЕСТВО С ОГРАНИЧЕННОЙ ОТВЕТСТВЕННОСТЬЮ "АМУР ЗОЛОТО"</t>
        </is>
      </c>
      <c r="F2534" s="1" t="inlineStr">
        <is>
          <t>2708001686</t>
        </is>
      </c>
      <c r="G2534" s="1" t="inlineStr">
        <is>
          <t>Машинист погрузочно-доставочной машины</t>
        </is>
      </c>
      <c r="H2534" s="1" t="inlineStr">
        <is>
          <t>ООО "Амур Золото"</t>
        </is>
      </c>
      <c r="I2534" s="1" t="inlineStr">
        <is>
          <t>2708001686</t>
        </is>
      </c>
      <c r="J2534" s="1" t="inlineStr">
        <is>
          <t>ЮГОК ПГУ 26-01</t>
        </is>
      </c>
      <c r="K253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534" s="1" t="inlineStr">
        <is>
          <t>04.06.2026</t>
        </is>
      </c>
      <c r="M2534" s="1" t="inlineStr">
        <is>
          <t>Успешно</t>
        </is>
      </c>
      <c r="N2534" s="1" t="inlineStr">
        <is>
          <t>08.06.2026</t>
        </is>
      </c>
      <c r="O2534" s="1" t="inlineStr"/>
      <c r="P2534" s="1" t="inlineStr"/>
      <c r="Q2534" s="1" t="inlineStr">
        <is>
          <t>Пользовательский интерфейс</t>
        </is>
      </c>
    </row>
    <row r="2535">
      <c r="B2535" s="1" t="inlineStr">
        <is>
          <t>200897092</t>
        </is>
      </c>
      <c r="C2535" s="1" t="inlineStr">
        <is>
          <t>14513218</t>
        </is>
      </c>
      <c r="D2535" t="inlineStr">
        <is>
          <t>работник 773</t>
        </is>
      </c>
      <c r="E2535" s="1" t="inlineStr">
        <is>
          <t>ОБЩЕСТВО С ОГРАНИЧЕННОЙ ОТВЕТСТВЕННОСТЬЮ "АМУР ЗОЛОТО"</t>
        </is>
      </c>
      <c r="F2535" s="1" t="inlineStr">
        <is>
          <t>2708001686</t>
        </is>
      </c>
      <c r="G2535" s="1" t="inlineStr">
        <is>
          <t>Слесарь-ремонтник (по ремонту горно-шахтного оборудования)</t>
        </is>
      </c>
      <c r="H2535" s="1" t="inlineStr">
        <is>
          <t>ООО "Амур Золото"</t>
        </is>
      </c>
      <c r="I2535" s="1" t="inlineStr">
        <is>
          <t>2708001686</t>
        </is>
      </c>
      <c r="J2535" s="1" t="inlineStr">
        <is>
          <t>ЮГОК ПГУ 26-01</t>
        </is>
      </c>
      <c r="K2535" s="1" t="inlineStr">
        <is>
          <t>Оказание первой помощи пострадавшим</t>
        </is>
      </c>
      <c r="L2535" s="1" t="inlineStr">
        <is>
          <t>04.06.2026</t>
        </is>
      </c>
      <c r="M2535" s="1" t="inlineStr">
        <is>
          <t>Успешно</t>
        </is>
      </c>
      <c r="N2535" s="1" t="inlineStr">
        <is>
          <t>08.06.2026</t>
        </is>
      </c>
      <c r="O2535" s="1" t="inlineStr"/>
      <c r="P2535" s="1" t="inlineStr"/>
      <c r="Q2535" s="1" t="inlineStr">
        <is>
          <t>Пользовательский интерфейс</t>
        </is>
      </c>
    </row>
    <row r="2536">
      <c r="B2536" s="1" t="inlineStr">
        <is>
          <t>200897093</t>
        </is>
      </c>
      <c r="C2536" s="1" t="inlineStr">
        <is>
          <t>14513218</t>
        </is>
      </c>
      <c r="D2536" t="inlineStr">
        <is>
          <t>работник 773</t>
        </is>
      </c>
      <c r="E2536" s="1" t="inlineStr">
        <is>
          <t>ОБЩЕСТВО С ОГРАНИЧЕННОЙ ОТВЕТСТВЕННОСТЬЮ "АМУР ЗОЛОТО"</t>
        </is>
      </c>
      <c r="F2536" s="1" t="inlineStr">
        <is>
          <t>2708001686</t>
        </is>
      </c>
      <c r="G2536" s="1" t="inlineStr">
        <is>
          <t>Слесарь-ремонтник (по ремонту горно-шахтного оборудования)</t>
        </is>
      </c>
      <c r="H2536" s="1" t="inlineStr">
        <is>
          <t>ООО "Амур Золото"</t>
        </is>
      </c>
      <c r="I2536" s="1" t="inlineStr">
        <is>
          <t>2708001686</t>
        </is>
      </c>
      <c r="J2536" s="1" t="inlineStr">
        <is>
          <t>ЮГОК ПГУ 26-01</t>
        </is>
      </c>
      <c r="K2536" s="1" t="inlineStr">
        <is>
          <t>Использование (применение) средств индивидуальной защиты</t>
        </is>
      </c>
      <c r="L2536" s="1" t="inlineStr">
        <is>
          <t>04.06.2026</t>
        </is>
      </c>
      <c r="M2536" s="1" t="inlineStr">
        <is>
          <t>Успешно</t>
        </is>
      </c>
      <c r="N2536" s="1" t="inlineStr">
        <is>
          <t>08.06.2026</t>
        </is>
      </c>
      <c r="O2536" s="1" t="inlineStr"/>
      <c r="P2536" s="1" t="inlineStr"/>
      <c r="Q2536" s="1" t="inlineStr">
        <is>
          <t>Пользовательский интерфейс</t>
        </is>
      </c>
    </row>
    <row r="2537">
      <c r="B2537" s="1" t="inlineStr">
        <is>
          <t>200897094</t>
        </is>
      </c>
      <c r="C2537" s="1" t="inlineStr">
        <is>
          <t>14513218</t>
        </is>
      </c>
      <c r="D2537" t="inlineStr">
        <is>
          <t>работник 773</t>
        </is>
      </c>
      <c r="E2537" s="1" t="inlineStr">
        <is>
          <t>ОБЩЕСТВО С ОГРАНИЧЕННОЙ ОТВЕТСТВЕННОСТЬЮ "АМУР ЗОЛОТО"</t>
        </is>
      </c>
      <c r="F2537" s="1" t="inlineStr">
        <is>
          <t>2708001686</t>
        </is>
      </c>
      <c r="G2537" s="1" t="inlineStr">
        <is>
          <t>Слесарь-ремонтник (по ремонту горно-шахтного оборудования)</t>
        </is>
      </c>
      <c r="H2537" s="1" t="inlineStr">
        <is>
          <t>ООО "Амур Золото"</t>
        </is>
      </c>
      <c r="I2537" s="1" t="inlineStr">
        <is>
          <t>2708001686</t>
        </is>
      </c>
      <c r="J2537" s="1" t="inlineStr">
        <is>
          <t>ЮГОК ПГУ 26-01</t>
        </is>
      </c>
      <c r="K253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537" s="1" t="inlineStr">
        <is>
          <t>04.06.2026</t>
        </is>
      </c>
      <c r="M2537" s="1" t="inlineStr">
        <is>
          <t>Успешно</t>
        </is>
      </c>
      <c r="N2537" s="1" t="inlineStr">
        <is>
          <t>08.06.2026</t>
        </is>
      </c>
      <c r="O2537" s="1" t="inlineStr"/>
      <c r="P2537" s="1" t="inlineStr"/>
      <c r="Q2537" s="1" t="inlineStr">
        <is>
          <t>Пользовательский интерфейс</t>
        </is>
      </c>
    </row>
    <row r="2538">
      <c r="B2538" s="1" t="inlineStr">
        <is>
          <t>200897095</t>
        </is>
      </c>
      <c r="C2538" s="1" t="inlineStr">
        <is>
          <t>14513218</t>
        </is>
      </c>
      <c r="D2538" t="inlineStr">
        <is>
          <t>работник 773</t>
        </is>
      </c>
      <c r="E2538" s="1" t="inlineStr">
        <is>
          <t>ОБЩЕСТВО С ОГРАНИЧЕННОЙ ОТВЕТСТВЕННОСТЬЮ "АМУР ЗОЛОТО"</t>
        </is>
      </c>
      <c r="F2538" s="1" t="inlineStr">
        <is>
          <t>2708001686</t>
        </is>
      </c>
      <c r="G2538" s="1" t="inlineStr">
        <is>
          <t>Слесарь-ремонтник (по ремонту горно-шахтного оборудования)</t>
        </is>
      </c>
      <c r="H2538" s="1" t="inlineStr">
        <is>
          <t>ООО "Амур Золото"</t>
        </is>
      </c>
      <c r="I2538" s="1" t="inlineStr">
        <is>
          <t>2708001686</t>
        </is>
      </c>
      <c r="J2538" s="1" t="inlineStr">
        <is>
          <t>ЮГОК ПГУ 26-01</t>
        </is>
      </c>
      <c r="K2538" s="1" t="inlineStr">
        <is>
          <t>Безопасные методы и приемы выполнения огневых работ</t>
        </is>
      </c>
      <c r="L2538" s="1" t="inlineStr">
        <is>
          <t>04.06.2026</t>
        </is>
      </c>
      <c r="M2538" s="1" t="inlineStr">
        <is>
          <t>Успешно</t>
        </is>
      </c>
      <c r="N2538" s="1" t="inlineStr">
        <is>
          <t>08.06.2026</t>
        </is>
      </c>
      <c r="O2538" s="1" t="inlineStr"/>
      <c r="P2538" s="1" t="inlineStr"/>
      <c r="Q2538" s="1" t="inlineStr">
        <is>
          <t>Пользовательский интерфейс</t>
        </is>
      </c>
    </row>
    <row r="2539">
      <c r="B2539" s="1" t="inlineStr">
        <is>
          <t>200897096</t>
        </is>
      </c>
      <c r="C2539" s="1" t="inlineStr">
        <is>
          <t>14513218</t>
        </is>
      </c>
      <c r="D2539" t="inlineStr">
        <is>
          <t>работник 774</t>
        </is>
      </c>
      <c r="E2539" s="1" t="inlineStr">
        <is>
          <t>ОБЩЕСТВО С ОГРАНИЧЕННОЙ ОТВЕТСТВЕННОСТЬЮ "АМУР ЗОЛОТО"</t>
        </is>
      </c>
      <c r="F2539" s="1" t="inlineStr">
        <is>
          <t>2708001686</t>
        </is>
      </c>
      <c r="G2539" s="1" t="inlineStr">
        <is>
          <t>Машинист подземных самоходных машин</t>
        </is>
      </c>
      <c r="H2539" s="1" t="inlineStr">
        <is>
          <t>ООО "Амур Золото"</t>
        </is>
      </c>
      <c r="I2539" s="1" t="inlineStr">
        <is>
          <t>2708001686</t>
        </is>
      </c>
      <c r="J2539" s="1" t="inlineStr">
        <is>
          <t>ЮГОК ПГУ 26-01</t>
        </is>
      </c>
      <c r="K2539" s="1" t="inlineStr">
        <is>
          <t>Оказание первой помощи пострадавшим</t>
        </is>
      </c>
      <c r="L2539" s="1" t="inlineStr">
        <is>
          <t>04.06.2026</t>
        </is>
      </c>
      <c r="M2539" s="1" t="inlineStr">
        <is>
          <t>Успешно</t>
        </is>
      </c>
      <c r="N2539" s="1" t="inlineStr">
        <is>
          <t>08.06.2026</t>
        </is>
      </c>
      <c r="O2539" s="1" t="inlineStr"/>
      <c r="P2539" s="1" t="inlineStr"/>
      <c r="Q2539" s="1" t="inlineStr">
        <is>
          <t>Пользовательский интерфейс</t>
        </is>
      </c>
    </row>
    <row r="2540">
      <c r="B2540" s="1" t="inlineStr">
        <is>
          <t>200897097</t>
        </is>
      </c>
      <c r="C2540" s="1" t="inlineStr">
        <is>
          <t>14513218</t>
        </is>
      </c>
      <c r="D2540" t="inlineStr">
        <is>
          <t>работник 774</t>
        </is>
      </c>
      <c r="E2540" s="1" t="inlineStr">
        <is>
          <t>ОБЩЕСТВО С ОГРАНИЧЕННОЙ ОТВЕТСТВЕННОСТЬЮ "АМУР ЗОЛОТО"</t>
        </is>
      </c>
      <c r="F2540" s="1" t="inlineStr">
        <is>
          <t>2708001686</t>
        </is>
      </c>
      <c r="G2540" s="1" t="inlineStr">
        <is>
          <t>Машинист подземных самоходных машин</t>
        </is>
      </c>
      <c r="H2540" s="1" t="inlineStr">
        <is>
          <t>ООО "Амур Золото"</t>
        </is>
      </c>
      <c r="I2540" s="1" t="inlineStr">
        <is>
          <t>2708001686</t>
        </is>
      </c>
      <c r="J2540" s="1" t="inlineStr">
        <is>
          <t>ЮГОК ПГУ 26-01</t>
        </is>
      </c>
      <c r="K2540" s="1" t="inlineStr">
        <is>
          <t>Использование (применение) средств индивидуальной защиты</t>
        </is>
      </c>
      <c r="L2540" s="1" t="inlineStr">
        <is>
          <t>04.06.2026</t>
        </is>
      </c>
      <c r="M2540" s="1" t="inlineStr">
        <is>
          <t>Успешно</t>
        </is>
      </c>
      <c r="N2540" s="1" t="inlineStr">
        <is>
          <t>08.06.2026</t>
        </is>
      </c>
      <c r="O2540" s="1" t="inlineStr"/>
      <c r="P2540" s="1" t="inlineStr"/>
      <c r="Q2540" s="1" t="inlineStr">
        <is>
          <t>Пользовательский интерфейс</t>
        </is>
      </c>
    </row>
    <row r="2541">
      <c r="B2541" s="1" t="inlineStr">
        <is>
          <t>200897098</t>
        </is>
      </c>
      <c r="C2541" s="1" t="inlineStr">
        <is>
          <t>14513218</t>
        </is>
      </c>
      <c r="D2541" t="inlineStr">
        <is>
          <t>работник 774</t>
        </is>
      </c>
      <c r="E2541" s="1" t="inlineStr">
        <is>
          <t>ОБЩЕСТВО С ОГРАНИЧЕННОЙ ОТВЕТСТВЕННОСТЬЮ "АМУР ЗОЛОТО"</t>
        </is>
      </c>
      <c r="F2541" s="1" t="inlineStr">
        <is>
          <t>2708001686</t>
        </is>
      </c>
      <c r="G2541" s="1" t="inlineStr">
        <is>
          <t>Машинист подземных самоходных машин</t>
        </is>
      </c>
      <c r="H2541" s="1" t="inlineStr">
        <is>
          <t>ООО "Амур Золото"</t>
        </is>
      </c>
      <c r="I2541" s="1" t="inlineStr">
        <is>
          <t>2708001686</t>
        </is>
      </c>
      <c r="J2541" s="1" t="inlineStr">
        <is>
          <t>ЮГОК ПГУ 26-01</t>
        </is>
      </c>
      <c r="K254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541" s="1" t="inlineStr">
        <is>
          <t>04.06.2026</t>
        </is>
      </c>
      <c r="M2541" s="1" t="inlineStr">
        <is>
          <t>Успешно</t>
        </is>
      </c>
      <c r="N2541" s="1" t="inlineStr">
        <is>
          <t>08.06.2026</t>
        </is>
      </c>
      <c r="O2541" s="1" t="inlineStr"/>
      <c r="P2541" s="1" t="inlineStr"/>
      <c r="Q2541" s="1" t="inlineStr">
        <is>
          <t>Пользовательский интерфейс</t>
        </is>
      </c>
    </row>
    <row r="2542">
      <c r="B2542" s="1" t="inlineStr">
        <is>
          <t>200897099</t>
        </is>
      </c>
      <c r="C2542" s="1" t="inlineStr">
        <is>
          <t>14513218</t>
        </is>
      </c>
      <c r="D2542" t="inlineStr">
        <is>
          <t>работник 775</t>
        </is>
      </c>
      <c r="E2542" s="1" t="inlineStr">
        <is>
          <t>ОБЩЕСТВО С ОГРАНИЧЕННОЙ ОТВЕТСТВЕННОСТЬЮ "АМУР ЗОЛОТО"</t>
        </is>
      </c>
      <c r="F2542" s="1" t="inlineStr">
        <is>
          <t>2708001686</t>
        </is>
      </c>
      <c r="G2542" s="1" t="inlineStr">
        <is>
          <t>Машинист самоходной буровой установки</t>
        </is>
      </c>
      <c r="H2542" s="1" t="inlineStr">
        <is>
          <t>ООО "Амур Золото"</t>
        </is>
      </c>
      <c r="I2542" s="1" t="inlineStr">
        <is>
          <t>2708001686</t>
        </is>
      </c>
      <c r="J2542" s="1" t="inlineStr">
        <is>
          <t>ЮГОК ПГУ 26-01</t>
        </is>
      </c>
      <c r="K2542" s="1" t="inlineStr">
        <is>
          <t>Использование (применение) средств индивидуальной защиты</t>
        </is>
      </c>
      <c r="L2542" s="1" t="inlineStr">
        <is>
          <t>04.06.2026</t>
        </is>
      </c>
      <c r="M2542" s="1" t="inlineStr">
        <is>
          <t>Успешно</t>
        </is>
      </c>
      <c r="N2542" s="1" t="inlineStr">
        <is>
          <t>08.06.2026</t>
        </is>
      </c>
      <c r="O2542" s="1" t="inlineStr"/>
      <c r="P2542" s="1" t="inlineStr"/>
      <c r="Q2542" s="1" t="inlineStr">
        <is>
          <t>Пользовательский интерфейс</t>
        </is>
      </c>
    </row>
    <row r="2543">
      <c r="B2543" s="1" t="inlineStr">
        <is>
          <t>200897100</t>
        </is>
      </c>
      <c r="C2543" s="1" t="inlineStr">
        <is>
          <t>14513218</t>
        </is>
      </c>
      <c r="D2543" t="inlineStr">
        <is>
          <t>работник 775</t>
        </is>
      </c>
      <c r="E2543" s="1" t="inlineStr">
        <is>
          <t>ОБЩЕСТВО С ОГРАНИЧЕННОЙ ОТВЕТСТВЕННОСТЬЮ "АМУР ЗОЛОТО"</t>
        </is>
      </c>
      <c r="F2543" s="1" t="inlineStr">
        <is>
          <t>2708001686</t>
        </is>
      </c>
      <c r="G2543" s="1" t="inlineStr">
        <is>
          <t>Машинист самоходной буровой установки</t>
        </is>
      </c>
      <c r="H2543" s="1" t="inlineStr">
        <is>
          <t>ООО "Амур Золото"</t>
        </is>
      </c>
      <c r="I2543" s="1" t="inlineStr">
        <is>
          <t>2708001686</t>
        </is>
      </c>
      <c r="J2543" s="1" t="inlineStr">
        <is>
          <t>ЮГОК ПГУ 26-01</t>
        </is>
      </c>
      <c r="K254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543" s="1" t="inlineStr">
        <is>
          <t>04.06.2026</t>
        </is>
      </c>
      <c r="M2543" s="1" t="inlineStr">
        <is>
          <t>Успешно</t>
        </is>
      </c>
      <c r="N2543" s="1" t="inlineStr">
        <is>
          <t>08.06.2026</t>
        </is>
      </c>
      <c r="O2543" s="1" t="inlineStr"/>
      <c r="P2543" s="1" t="inlineStr"/>
      <c r="Q2543" s="1" t="inlineStr">
        <is>
          <t>Пользовательский интерфейс</t>
        </is>
      </c>
    </row>
    <row r="2544">
      <c r="B2544" s="1" t="inlineStr">
        <is>
          <t>200897101</t>
        </is>
      </c>
      <c r="C2544" s="1" t="inlineStr">
        <is>
          <t>14513218</t>
        </is>
      </c>
      <c r="D2544" t="inlineStr">
        <is>
          <t>работник 776</t>
        </is>
      </c>
      <c r="E2544" s="1" t="inlineStr">
        <is>
          <t>ОБЩЕСТВО С ОГРАНИЧЕННОЙ ОТВЕТСТВЕННОСТЬЮ "АМУР ЗОЛОТО"</t>
        </is>
      </c>
      <c r="F2544" s="1" t="inlineStr">
        <is>
          <t>2708001686</t>
        </is>
      </c>
      <c r="G2544" s="1" t="inlineStr">
        <is>
          <t>Машинист самоходной буровой установки</t>
        </is>
      </c>
      <c r="H2544" s="1" t="inlineStr">
        <is>
          <t>ООО "Амур Золото"</t>
        </is>
      </c>
      <c r="I2544" s="1" t="inlineStr">
        <is>
          <t>2708001686</t>
        </is>
      </c>
      <c r="J2544" s="1" t="inlineStr">
        <is>
          <t>ЮГОК ПГУ 26-01</t>
        </is>
      </c>
      <c r="K2544" s="1" t="inlineStr">
        <is>
          <t>Оказание первой помощи пострадавшим</t>
        </is>
      </c>
      <c r="L2544" s="1" t="inlineStr">
        <is>
          <t>04.06.2026</t>
        </is>
      </c>
      <c r="M2544" s="1" t="inlineStr">
        <is>
          <t>Успешно</t>
        </is>
      </c>
      <c r="N2544" s="1" t="inlineStr">
        <is>
          <t>08.06.2026</t>
        </is>
      </c>
      <c r="O2544" s="1" t="inlineStr"/>
      <c r="P2544" s="1" t="inlineStr"/>
      <c r="Q2544" s="1" t="inlineStr">
        <is>
          <t>Пользовательский интерфейс</t>
        </is>
      </c>
    </row>
    <row r="2545">
      <c r="B2545" s="1" t="inlineStr">
        <is>
          <t>200897102</t>
        </is>
      </c>
      <c r="C2545" s="1" t="inlineStr">
        <is>
          <t>14513218</t>
        </is>
      </c>
      <c r="D2545" t="inlineStr">
        <is>
          <t>работник 776</t>
        </is>
      </c>
      <c r="E2545" s="1" t="inlineStr">
        <is>
          <t>ОБЩЕСТВО С ОГРАНИЧЕННОЙ ОТВЕТСТВЕННОСТЬЮ "АМУР ЗОЛОТО"</t>
        </is>
      </c>
      <c r="F2545" s="1" t="inlineStr">
        <is>
          <t>2708001686</t>
        </is>
      </c>
      <c r="G2545" s="1" t="inlineStr">
        <is>
          <t>Машинист самоходной буровой установки</t>
        </is>
      </c>
      <c r="H2545" s="1" t="inlineStr">
        <is>
          <t>ООО "Амур Золото"</t>
        </is>
      </c>
      <c r="I2545" s="1" t="inlineStr">
        <is>
          <t>2708001686</t>
        </is>
      </c>
      <c r="J2545" s="1" t="inlineStr">
        <is>
          <t>ЮГОК ПГУ 26-01</t>
        </is>
      </c>
      <c r="K2545" s="1" t="inlineStr">
        <is>
          <t>Использование (применение) средств индивидуальной защиты</t>
        </is>
      </c>
      <c r="L2545" s="1" t="inlineStr">
        <is>
          <t>04.06.2026</t>
        </is>
      </c>
      <c r="M2545" s="1" t="inlineStr">
        <is>
          <t>Успешно</t>
        </is>
      </c>
      <c r="N2545" s="1" t="inlineStr">
        <is>
          <t>08.06.2026</t>
        </is>
      </c>
      <c r="O2545" s="1" t="inlineStr"/>
      <c r="P2545" s="1" t="inlineStr"/>
      <c r="Q2545" s="1" t="inlineStr">
        <is>
          <t>Пользовательский интерфейс</t>
        </is>
      </c>
    </row>
    <row r="2546">
      <c r="B2546" s="1" t="inlineStr">
        <is>
          <t>200897103</t>
        </is>
      </c>
      <c r="C2546" s="1" t="inlineStr">
        <is>
          <t>14513218</t>
        </is>
      </c>
      <c r="D2546" t="inlineStr">
        <is>
          <t>работник 776</t>
        </is>
      </c>
      <c r="E2546" s="1" t="inlineStr">
        <is>
          <t>ОБЩЕСТВО С ОГРАНИЧЕННОЙ ОТВЕТСТВЕННОСТЬЮ "АМУР ЗОЛОТО"</t>
        </is>
      </c>
      <c r="F2546" s="1" t="inlineStr">
        <is>
          <t>2708001686</t>
        </is>
      </c>
      <c r="G2546" s="1" t="inlineStr">
        <is>
          <t>Машинист самоходной буровой установки</t>
        </is>
      </c>
      <c r="H2546" s="1" t="inlineStr">
        <is>
          <t>ООО "Амур Золото"</t>
        </is>
      </c>
      <c r="I2546" s="1" t="inlineStr">
        <is>
          <t>2708001686</t>
        </is>
      </c>
      <c r="J2546" s="1" t="inlineStr">
        <is>
          <t>ЮГОК ПГУ 26-01</t>
        </is>
      </c>
      <c r="K254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546" s="1" t="inlineStr">
        <is>
          <t>04.06.2026</t>
        </is>
      </c>
      <c r="M2546" s="1" t="inlineStr">
        <is>
          <t>Успешно</t>
        </is>
      </c>
      <c r="N2546" s="1" t="inlineStr">
        <is>
          <t>08.06.2026</t>
        </is>
      </c>
      <c r="O2546" s="1" t="inlineStr"/>
      <c r="P2546" s="1" t="inlineStr"/>
      <c r="Q2546" s="1" t="inlineStr">
        <is>
          <t>Пользовательский интерфейс</t>
        </is>
      </c>
    </row>
    <row r="2547">
      <c r="B2547" s="1" t="inlineStr">
        <is>
          <t>200897104</t>
        </is>
      </c>
      <c r="C2547" s="1" t="inlineStr">
        <is>
          <t>14513218</t>
        </is>
      </c>
      <c r="D2547" t="inlineStr">
        <is>
          <t>работник 777</t>
        </is>
      </c>
      <c r="E2547" s="1" t="inlineStr">
        <is>
          <t>ОБЩЕСТВО С ОГРАНИЧЕННОЙ ОТВЕТСТВЕННОСТЬЮ "АМУР ЗОЛОТО"</t>
        </is>
      </c>
      <c r="F2547" s="1" t="inlineStr">
        <is>
          <t>2708001686</t>
        </is>
      </c>
      <c r="G2547" s="1" t="inlineStr">
        <is>
          <t>Машинист самоходной буровой установки</t>
        </is>
      </c>
      <c r="H2547" s="1" t="inlineStr">
        <is>
          <t>ООО "Амур Золото"</t>
        </is>
      </c>
      <c r="I2547" s="1" t="inlineStr">
        <is>
          <t>2708001686</t>
        </is>
      </c>
      <c r="J2547" s="1" t="inlineStr">
        <is>
          <t>ЮГОК ПГУ 26-01</t>
        </is>
      </c>
      <c r="K2547" s="1" t="inlineStr">
        <is>
          <t>Использование (применение) средств индивидуальной защиты</t>
        </is>
      </c>
      <c r="L2547" s="1" t="inlineStr">
        <is>
          <t>04.06.2026</t>
        </is>
      </c>
      <c r="M2547" s="1" t="inlineStr">
        <is>
          <t>Успешно</t>
        </is>
      </c>
      <c r="N2547" s="1" t="inlineStr">
        <is>
          <t>08.06.2026</t>
        </is>
      </c>
      <c r="O2547" s="1" t="inlineStr"/>
      <c r="P2547" s="1" t="inlineStr"/>
      <c r="Q2547" s="1" t="inlineStr">
        <is>
          <t>Пользовательский интерфейс</t>
        </is>
      </c>
    </row>
    <row r="2548">
      <c r="B2548" s="1" t="inlineStr">
        <is>
          <t>200897105</t>
        </is>
      </c>
      <c r="C2548" s="1" t="inlineStr">
        <is>
          <t>14513218</t>
        </is>
      </c>
      <c r="D2548" t="inlineStr">
        <is>
          <t>работник 777</t>
        </is>
      </c>
      <c r="E2548" s="1" t="inlineStr">
        <is>
          <t>ОБЩЕСТВО С ОГРАНИЧЕННОЙ ОТВЕТСТВЕННОСТЬЮ "АМУР ЗОЛОТО"</t>
        </is>
      </c>
      <c r="F2548" s="1" t="inlineStr">
        <is>
          <t>2708001686</t>
        </is>
      </c>
      <c r="G2548" s="1" t="inlineStr">
        <is>
          <t>Машинист самоходной буровой установки</t>
        </is>
      </c>
      <c r="H2548" s="1" t="inlineStr">
        <is>
          <t>ООО "Амур Золото"</t>
        </is>
      </c>
      <c r="I2548" s="1" t="inlineStr">
        <is>
          <t>2708001686</t>
        </is>
      </c>
      <c r="J2548" s="1" t="inlineStr">
        <is>
          <t>ЮГОК ПГУ 26-01</t>
        </is>
      </c>
      <c r="K254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548" s="1" t="inlineStr">
        <is>
          <t>04.06.2026</t>
        </is>
      </c>
      <c r="M2548" s="1" t="inlineStr">
        <is>
          <t>Успешно</t>
        </is>
      </c>
      <c r="N2548" s="1" t="inlineStr">
        <is>
          <t>08.06.2026</t>
        </is>
      </c>
      <c r="O2548" s="1" t="inlineStr"/>
      <c r="P2548" s="1" t="inlineStr"/>
      <c r="Q2548" s="1" t="inlineStr">
        <is>
          <t>Пользовательский интерфейс</t>
        </is>
      </c>
    </row>
    <row r="2549">
      <c r="B2549" s="1" t="inlineStr">
        <is>
          <t>200897106</t>
        </is>
      </c>
      <c r="C2549" s="1" t="inlineStr">
        <is>
          <t>14513218</t>
        </is>
      </c>
      <c r="D2549" t="inlineStr">
        <is>
          <t>работник 778</t>
        </is>
      </c>
      <c r="E2549" s="1" t="inlineStr">
        <is>
          <t>ОБЩЕСТВО С ОГРАНИЧЕННОЙ ОТВЕТСТВЕННОСТЬЮ "АМУР ЗОЛОТО"</t>
        </is>
      </c>
      <c r="F2549" s="1" t="inlineStr">
        <is>
          <t>2708001686</t>
        </is>
      </c>
      <c r="G2549" s="1" t="inlineStr">
        <is>
          <t>Машинист самоходной буровой установки</t>
        </is>
      </c>
      <c r="H2549" s="1" t="inlineStr">
        <is>
          <t>ООО "Амур Золото"</t>
        </is>
      </c>
      <c r="I2549" s="1" t="inlineStr">
        <is>
          <t>2708001686</t>
        </is>
      </c>
      <c r="J2549" s="1" t="inlineStr">
        <is>
          <t>ЮГОК ПГУ 26-01</t>
        </is>
      </c>
      <c r="K2549" s="1" t="inlineStr">
        <is>
          <t>Использование (применение) средств индивидуальной защиты</t>
        </is>
      </c>
      <c r="L2549" s="1" t="inlineStr">
        <is>
          <t>04.06.2026</t>
        </is>
      </c>
      <c r="M2549" s="1" t="inlineStr">
        <is>
          <t>Успешно</t>
        </is>
      </c>
      <c r="N2549" s="1" t="inlineStr">
        <is>
          <t>08.06.2026</t>
        </is>
      </c>
      <c r="O2549" s="1" t="inlineStr"/>
      <c r="P2549" s="1" t="inlineStr"/>
      <c r="Q2549" s="1" t="inlineStr">
        <is>
          <t>Пользовательский интерфейс</t>
        </is>
      </c>
    </row>
    <row r="2550">
      <c r="B2550" s="1" t="inlineStr">
        <is>
          <t>200897107</t>
        </is>
      </c>
      <c r="C2550" s="1" t="inlineStr">
        <is>
          <t>14513218</t>
        </is>
      </c>
      <c r="D2550" t="inlineStr">
        <is>
          <t>работник 778</t>
        </is>
      </c>
      <c r="E2550" s="1" t="inlineStr">
        <is>
          <t>ОБЩЕСТВО С ОГРАНИЧЕННОЙ ОТВЕТСТВЕННОСТЬЮ "АМУР ЗОЛОТО"</t>
        </is>
      </c>
      <c r="F2550" s="1" t="inlineStr">
        <is>
          <t>2708001686</t>
        </is>
      </c>
      <c r="G2550" s="1" t="inlineStr">
        <is>
          <t>Машинист самоходной буровой установки</t>
        </is>
      </c>
      <c r="H2550" s="1" t="inlineStr">
        <is>
          <t>ООО "Амур Золото"</t>
        </is>
      </c>
      <c r="I2550" s="1" t="inlineStr">
        <is>
          <t>2708001686</t>
        </is>
      </c>
      <c r="J2550" s="1" t="inlineStr">
        <is>
          <t>ЮГОК ПГУ 26-01</t>
        </is>
      </c>
      <c r="K255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550" s="1" t="inlineStr">
        <is>
          <t>04.06.2026</t>
        </is>
      </c>
      <c r="M2550" s="1" t="inlineStr">
        <is>
          <t>Успешно</t>
        </is>
      </c>
      <c r="N2550" s="1" t="inlineStr">
        <is>
          <t>08.06.2026</t>
        </is>
      </c>
      <c r="O2550" s="1" t="inlineStr"/>
      <c r="P2550" s="1" t="inlineStr"/>
      <c r="Q2550" s="1" t="inlineStr">
        <is>
          <t>Пользовательский интерфейс</t>
        </is>
      </c>
    </row>
    <row r="2551">
      <c r="B2551" s="1" t="inlineStr">
        <is>
          <t>200897108</t>
        </is>
      </c>
      <c r="C2551" s="1" t="inlineStr">
        <is>
          <t>14513218</t>
        </is>
      </c>
      <c r="D2551" t="inlineStr">
        <is>
          <t>работник 779</t>
        </is>
      </c>
      <c r="E2551" s="1" t="inlineStr">
        <is>
          <t>ОБЩЕСТВО С ОГРАНИЧЕННОЙ ОТВЕТСТВЕННОСТЬЮ "АМУР ЗОЛОТО"</t>
        </is>
      </c>
      <c r="F2551" s="1" t="inlineStr">
        <is>
          <t>2708001686</t>
        </is>
      </c>
      <c r="G2551" s="1" t="inlineStr">
        <is>
          <t>Помощник машиниста самоходной буровой установки (с исполнением обязанностей пробоотборщика)</t>
        </is>
      </c>
      <c r="H2551" s="1" t="inlineStr">
        <is>
          <t>ООО "Амур Золото"</t>
        </is>
      </c>
      <c r="I2551" s="1" t="inlineStr">
        <is>
          <t>2708001686</t>
        </is>
      </c>
      <c r="J2551" s="1" t="inlineStr">
        <is>
          <t>ЮГОК ПГУ 26-01</t>
        </is>
      </c>
      <c r="K2551" s="1" t="inlineStr">
        <is>
          <t>Оказание первой помощи пострадавшим</t>
        </is>
      </c>
      <c r="L2551" s="1" t="inlineStr">
        <is>
          <t>04.06.2026</t>
        </is>
      </c>
      <c r="M2551" s="1" t="inlineStr">
        <is>
          <t>Успешно</t>
        </is>
      </c>
      <c r="N2551" s="1" t="inlineStr">
        <is>
          <t>08.06.2026</t>
        </is>
      </c>
      <c r="O2551" s="1" t="inlineStr"/>
      <c r="P2551" s="1" t="inlineStr"/>
      <c r="Q2551" s="1" t="inlineStr">
        <is>
          <t>Пользовательский интерфейс</t>
        </is>
      </c>
    </row>
    <row r="2552">
      <c r="B2552" s="1" t="inlineStr">
        <is>
          <t>200897109</t>
        </is>
      </c>
      <c r="C2552" s="1" t="inlineStr">
        <is>
          <t>14513218</t>
        </is>
      </c>
      <c r="D2552" t="inlineStr">
        <is>
          <t>работник 779</t>
        </is>
      </c>
      <c r="E2552" s="1" t="inlineStr">
        <is>
          <t>ОБЩЕСТВО С ОГРАНИЧЕННОЙ ОТВЕТСТВЕННОСТЬЮ "АМУР ЗОЛОТО"</t>
        </is>
      </c>
      <c r="F2552" s="1" t="inlineStr">
        <is>
          <t>2708001686</t>
        </is>
      </c>
      <c r="G2552" s="1" t="inlineStr">
        <is>
          <t>Помощник машиниста самоходной буровой установки (с исполнением обязанностей пробоотборщика)</t>
        </is>
      </c>
      <c r="H2552" s="1" t="inlineStr">
        <is>
          <t>ООО "Амур Золото"</t>
        </is>
      </c>
      <c r="I2552" s="1" t="inlineStr">
        <is>
          <t>2708001686</t>
        </is>
      </c>
      <c r="J2552" s="1" t="inlineStr">
        <is>
          <t>ЮГОК ПГУ 26-01</t>
        </is>
      </c>
      <c r="K2552" s="1" t="inlineStr">
        <is>
          <t>Использование (применение) средств индивидуальной защиты</t>
        </is>
      </c>
      <c r="L2552" s="1" t="inlineStr">
        <is>
          <t>04.06.2026</t>
        </is>
      </c>
      <c r="M2552" s="1" t="inlineStr">
        <is>
          <t>Успешно</t>
        </is>
      </c>
      <c r="N2552" s="1" t="inlineStr">
        <is>
          <t>08.06.2026</t>
        </is>
      </c>
      <c r="O2552" s="1" t="inlineStr"/>
      <c r="P2552" s="1" t="inlineStr"/>
      <c r="Q2552" s="1" t="inlineStr">
        <is>
          <t>Пользовательский интерфейс</t>
        </is>
      </c>
    </row>
    <row r="2553">
      <c r="B2553" s="1" t="inlineStr">
        <is>
          <t>200897110</t>
        </is>
      </c>
      <c r="C2553" s="1" t="inlineStr">
        <is>
          <t>14513218</t>
        </is>
      </c>
      <c r="D2553" t="inlineStr">
        <is>
          <t>работник 779</t>
        </is>
      </c>
      <c r="E2553" s="1" t="inlineStr">
        <is>
          <t>ОБЩЕСТВО С ОГРАНИЧЕННОЙ ОТВЕТСТВЕННОСТЬЮ "АМУР ЗОЛОТО"</t>
        </is>
      </c>
      <c r="F2553" s="1" t="inlineStr">
        <is>
          <t>2708001686</t>
        </is>
      </c>
      <c r="G2553" s="1" t="inlineStr">
        <is>
          <t>Помощник машиниста самоходной буровой установки (с исполнением обязанностей пробоотборщика)</t>
        </is>
      </c>
      <c r="H2553" s="1" t="inlineStr">
        <is>
          <t>ООО "Амур Золото"</t>
        </is>
      </c>
      <c r="I2553" s="1" t="inlineStr">
        <is>
          <t>2708001686</t>
        </is>
      </c>
      <c r="J2553" s="1" t="inlineStr">
        <is>
          <t>ЮГОК ПГУ 26-01</t>
        </is>
      </c>
      <c r="K255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553" s="1" t="inlineStr">
        <is>
          <t>04.06.2026</t>
        </is>
      </c>
      <c r="M2553" s="1" t="inlineStr">
        <is>
          <t>Успешно</t>
        </is>
      </c>
      <c r="N2553" s="1" t="inlineStr">
        <is>
          <t>08.06.2026</t>
        </is>
      </c>
      <c r="O2553" s="1" t="inlineStr"/>
      <c r="P2553" s="1" t="inlineStr"/>
      <c r="Q2553" s="1" t="inlineStr">
        <is>
          <t>Пользовательский интерфейс</t>
        </is>
      </c>
    </row>
    <row r="2554">
      <c r="B2554" s="1" t="inlineStr">
        <is>
          <t>200897111</t>
        </is>
      </c>
      <c r="C2554" s="1" t="inlineStr">
        <is>
          <t>14513218</t>
        </is>
      </c>
      <c r="D2554" t="inlineStr">
        <is>
          <t>работник 780</t>
        </is>
      </c>
      <c r="E2554" s="1" t="inlineStr">
        <is>
          <t>ОБЩЕСТВО С ОГРАНИЧЕННОЙ ОТВЕТСТВЕННОСТЬЮ "АМУР ЗОЛОТО"</t>
        </is>
      </c>
      <c r="F2554" s="1" t="inlineStr">
        <is>
          <t>2708001686</t>
        </is>
      </c>
      <c r="G2554" s="1" t="inlineStr">
        <is>
          <t>Горный диспетчер</t>
        </is>
      </c>
      <c r="H2554" s="1" t="inlineStr">
        <is>
          <t>ООО "Амур Золото"</t>
        </is>
      </c>
      <c r="I2554" s="1" t="inlineStr">
        <is>
          <t>2708001686</t>
        </is>
      </c>
      <c r="J2554" s="1" t="inlineStr">
        <is>
          <t>ЮГОК ПГУ 26-01</t>
        </is>
      </c>
      <c r="K2554" s="1" t="inlineStr">
        <is>
          <t>Использование (применение) средств индивидуальной защиты</t>
        </is>
      </c>
      <c r="L2554" s="1" t="inlineStr">
        <is>
          <t>04.06.2026</t>
        </is>
      </c>
      <c r="M2554" s="1" t="inlineStr">
        <is>
          <t>Успешно</t>
        </is>
      </c>
      <c r="N2554" s="1" t="inlineStr">
        <is>
          <t>08.06.2026</t>
        </is>
      </c>
      <c r="O2554" s="1" t="inlineStr"/>
      <c r="P2554" s="1" t="inlineStr"/>
      <c r="Q2554" s="1" t="inlineStr">
        <is>
          <t>Пользовательский интерфейс</t>
        </is>
      </c>
    </row>
    <row r="2555">
      <c r="B2555" s="1" t="inlineStr">
        <is>
          <t>200897112</t>
        </is>
      </c>
      <c r="C2555" s="1" t="inlineStr">
        <is>
          <t>14513218</t>
        </is>
      </c>
      <c r="D2555" t="inlineStr">
        <is>
          <t>работник 780</t>
        </is>
      </c>
      <c r="E2555" s="1" t="inlineStr">
        <is>
          <t>ОБЩЕСТВО С ОГРАНИЧЕННОЙ ОТВЕТСТВЕННОСТЬЮ "АМУР ЗОЛОТО"</t>
        </is>
      </c>
      <c r="F2555" s="1" t="inlineStr">
        <is>
          <t>2708001686</t>
        </is>
      </c>
      <c r="G2555" s="1" t="inlineStr">
        <is>
          <t>Горный диспетчер</t>
        </is>
      </c>
      <c r="H2555" s="1" t="inlineStr">
        <is>
          <t>ООО "Амур Золото"</t>
        </is>
      </c>
      <c r="I2555" s="1" t="inlineStr">
        <is>
          <t>2708001686</t>
        </is>
      </c>
      <c r="J2555" s="1" t="inlineStr">
        <is>
          <t>ЮГОК ПГУ 26-01</t>
        </is>
      </c>
      <c r="K2555" s="133" t="inlineStr">
        <is>
          <t>Общие вопросы охраны труда и функционирования системы управления охраной труда</t>
        </is>
      </c>
      <c r="L2555" s="1" t="inlineStr">
        <is>
          <t>04.06.2026</t>
        </is>
      </c>
      <c r="M2555" s="1" t="inlineStr">
        <is>
          <t>Успешно</t>
        </is>
      </c>
      <c r="N2555" s="1" t="inlineStr">
        <is>
          <t>08.06.2026</t>
        </is>
      </c>
      <c r="O2555" s="1" t="inlineStr"/>
      <c r="P2555" s="1" t="inlineStr"/>
      <c r="Q2555" s="1" t="inlineStr">
        <is>
          <t>Пользовательский интерфейс</t>
        </is>
      </c>
      <c r="R2555" s="134" t="inlineStr">
        <is>
          <t>Избыток обучения</t>
        </is>
      </c>
      <c r="S2555" s="133" t="inlineStr">
        <is>
          <t>ПП РФ № 2464, п. 53 подп. «в»: специалисту программа 46а не требуется, установлена программа 46б.</t>
        </is>
      </c>
    </row>
    <row r="2556">
      <c r="B2556" s="1" t="inlineStr">
        <is>
          <t>200897113</t>
        </is>
      </c>
      <c r="C2556" s="1" t="inlineStr">
        <is>
          <t>14513218</t>
        </is>
      </c>
      <c r="D2556" t="inlineStr">
        <is>
          <t>работник 780</t>
        </is>
      </c>
      <c r="E2556" s="1" t="inlineStr">
        <is>
          <t>ОБЩЕСТВО С ОГРАНИЧЕННОЙ ОТВЕТСТВЕННОСТЬЮ "АМУР ЗОЛОТО"</t>
        </is>
      </c>
      <c r="F2556" s="1" t="inlineStr">
        <is>
          <t>2708001686</t>
        </is>
      </c>
      <c r="G2556" s="1" t="inlineStr">
        <is>
          <t>Горный диспетчер</t>
        </is>
      </c>
      <c r="H2556" s="1" t="inlineStr">
        <is>
          <t>ООО "Амур Золото"</t>
        </is>
      </c>
      <c r="I2556" s="1" t="inlineStr">
        <is>
          <t>2708001686</t>
        </is>
      </c>
      <c r="J2556" s="1" t="inlineStr">
        <is>
          <t>ЮГОК ПГУ 26-01</t>
        </is>
      </c>
      <c r="K255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556" s="1" t="inlineStr">
        <is>
          <t>04.06.2026</t>
        </is>
      </c>
      <c r="M2556" s="1" t="inlineStr">
        <is>
          <t>Успешно</t>
        </is>
      </c>
      <c r="N2556" s="1" t="inlineStr">
        <is>
          <t>08.06.2026</t>
        </is>
      </c>
      <c r="O2556" s="1" t="inlineStr"/>
      <c r="P2556" s="1" t="inlineStr"/>
      <c r="Q2556" s="1" t="inlineStr">
        <is>
          <t>Пользовательский интерфейс</t>
        </is>
      </c>
    </row>
    <row r="2557">
      <c r="B2557" s="1" t="inlineStr">
        <is>
          <t>200897114</t>
        </is>
      </c>
      <c r="C2557" s="1" t="inlineStr">
        <is>
          <t>14513218</t>
        </is>
      </c>
      <c r="D2557" t="inlineStr">
        <is>
          <t>работник 413</t>
        </is>
      </c>
      <c r="E2557" s="1" t="inlineStr">
        <is>
          <t>ОБЩЕСТВО С ОГРАНИЧЕННОЙ ОТВЕТСТВЕННОСТЬЮ "АМУР ЗОЛОТО"</t>
        </is>
      </c>
      <c r="F2557" s="1" t="inlineStr">
        <is>
          <t>2708001686</t>
        </is>
      </c>
      <c r="G2557" s="1" t="inlineStr">
        <is>
          <t>Слесарь-ремонтник (по ремонту самоходной техники)</t>
        </is>
      </c>
      <c r="H2557" s="1" t="inlineStr">
        <is>
          <t>ООО "Амур Золото"</t>
        </is>
      </c>
      <c r="I2557" s="1" t="inlineStr">
        <is>
          <t>2708001686</t>
        </is>
      </c>
      <c r="J2557" s="1" t="inlineStr">
        <is>
          <t>ЮГОК ПГУ 26-01</t>
        </is>
      </c>
      <c r="K2557" s="1" t="inlineStr">
        <is>
          <t>Оказание первой помощи пострадавшим</t>
        </is>
      </c>
      <c r="L2557" s="1" t="inlineStr">
        <is>
          <t>04.06.2026</t>
        </is>
      </c>
      <c r="M2557" s="1" t="inlineStr">
        <is>
          <t>Успешно</t>
        </is>
      </c>
      <c r="N2557" s="1" t="inlineStr">
        <is>
          <t>08.06.2026</t>
        </is>
      </c>
      <c r="O2557" s="1" t="inlineStr"/>
      <c r="P2557" s="1" t="inlineStr"/>
      <c r="Q2557" s="1" t="inlineStr">
        <is>
          <t>Пользовательский интерфейс</t>
        </is>
      </c>
    </row>
    <row r="2558">
      <c r="B2558" s="1" t="inlineStr">
        <is>
          <t>200897115</t>
        </is>
      </c>
      <c r="C2558" s="1" t="inlineStr">
        <is>
          <t>14513218</t>
        </is>
      </c>
      <c r="D2558" t="inlineStr">
        <is>
          <t>работник 413</t>
        </is>
      </c>
      <c r="E2558" s="1" t="inlineStr">
        <is>
          <t>ОБЩЕСТВО С ОГРАНИЧЕННОЙ ОТВЕТСТВЕННОСТЬЮ "АМУР ЗОЛОТО"</t>
        </is>
      </c>
      <c r="F2558" s="1" t="inlineStr">
        <is>
          <t>2708001686</t>
        </is>
      </c>
      <c r="G2558" s="1" t="inlineStr">
        <is>
          <t>Слесарь-ремонтник (по ремонту самоходной техники)</t>
        </is>
      </c>
      <c r="H2558" s="1" t="inlineStr">
        <is>
          <t>ООО "Амур Золото"</t>
        </is>
      </c>
      <c r="I2558" s="1" t="inlineStr">
        <is>
          <t>2708001686</t>
        </is>
      </c>
      <c r="J2558" s="1" t="inlineStr">
        <is>
          <t>ЮГОК ПГУ 26-01</t>
        </is>
      </c>
      <c r="K2558" s="1" t="inlineStr">
        <is>
          <t>Безопасные методы и приемы выполнения огневых работ</t>
        </is>
      </c>
      <c r="L2558" s="1" t="inlineStr">
        <is>
          <t>04.06.2026</t>
        </is>
      </c>
      <c r="M2558" s="1" t="inlineStr">
        <is>
          <t>Успешно</t>
        </is>
      </c>
      <c r="N2558" s="1" t="inlineStr">
        <is>
          <t>08.06.2026</t>
        </is>
      </c>
      <c r="O2558" s="1" t="inlineStr"/>
      <c r="P2558" s="1" t="inlineStr"/>
      <c r="Q2558" s="1" t="inlineStr">
        <is>
          <t>Пользовательский интерфейс</t>
        </is>
      </c>
    </row>
    <row r="2559">
      <c r="B2559" s="1" t="inlineStr">
        <is>
          <t>200897116</t>
        </is>
      </c>
      <c r="C2559" s="1" t="inlineStr">
        <is>
          <t>14513218</t>
        </is>
      </c>
      <c r="D2559" t="inlineStr">
        <is>
          <t>работник 781</t>
        </is>
      </c>
      <c r="E2559" s="1" t="inlineStr">
        <is>
          <t>ОБЩЕСТВО С ОГРАНИЧЕННОЙ ОТВЕТСТВЕННОСТЬЮ "АМУР ЗОЛОТО"</t>
        </is>
      </c>
      <c r="F2559" s="1" t="inlineStr">
        <is>
          <t>2708001686</t>
        </is>
      </c>
      <c r="G2559" s="1" t="inlineStr">
        <is>
          <t>Слесарь-ремонтник (по ремонту самоходной техники)</t>
        </is>
      </c>
      <c r="H2559" s="1" t="inlineStr">
        <is>
          <t>ООО "Амур Золото"</t>
        </is>
      </c>
      <c r="I2559" s="1" t="inlineStr">
        <is>
          <t>2708001686</t>
        </is>
      </c>
      <c r="J2559" s="1" t="inlineStr">
        <is>
          <t>ЮГОК ПГУ 26-01</t>
        </is>
      </c>
      <c r="K2559" s="1" t="inlineStr">
        <is>
          <t>Использование (применение) средств индивидуальной защиты</t>
        </is>
      </c>
      <c r="L2559" s="1" t="inlineStr">
        <is>
          <t>04.06.2026</t>
        </is>
      </c>
      <c r="M2559" s="1" t="inlineStr">
        <is>
          <t>Успешно</t>
        </is>
      </c>
      <c r="N2559" s="1" t="inlineStr">
        <is>
          <t>08.06.2026</t>
        </is>
      </c>
      <c r="O2559" s="1" t="inlineStr"/>
      <c r="P2559" s="1" t="inlineStr"/>
      <c r="Q2559" s="1" t="inlineStr">
        <is>
          <t>Пользовательский интерфейс</t>
        </is>
      </c>
    </row>
    <row r="2560">
      <c r="B2560" s="1" t="inlineStr">
        <is>
          <t>200897117</t>
        </is>
      </c>
      <c r="C2560" s="1" t="inlineStr">
        <is>
          <t>14513218</t>
        </is>
      </c>
      <c r="D2560" t="inlineStr">
        <is>
          <t>работник 781</t>
        </is>
      </c>
      <c r="E2560" s="1" t="inlineStr">
        <is>
          <t>ОБЩЕСТВО С ОГРАНИЧЕННОЙ ОТВЕТСТВЕННОСТЬЮ "АМУР ЗОЛОТО"</t>
        </is>
      </c>
      <c r="F2560" s="1" t="inlineStr">
        <is>
          <t>2708001686</t>
        </is>
      </c>
      <c r="G2560" s="1" t="inlineStr">
        <is>
          <t>Слесарь-ремонтник (по ремонту самоходной техники)</t>
        </is>
      </c>
      <c r="H2560" s="1" t="inlineStr">
        <is>
          <t>ООО "Амур Золото"</t>
        </is>
      </c>
      <c r="I2560" s="1" t="inlineStr">
        <is>
          <t>2708001686</t>
        </is>
      </c>
      <c r="J2560" s="1" t="inlineStr">
        <is>
          <t>ЮГОК ПГУ 26-01</t>
        </is>
      </c>
      <c r="K256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560" s="1" t="inlineStr">
        <is>
          <t>04.06.2026</t>
        </is>
      </c>
      <c r="M2560" s="1" t="inlineStr">
        <is>
          <t>Успешно</t>
        </is>
      </c>
      <c r="N2560" s="1" t="inlineStr">
        <is>
          <t>08.06.2026</t>
        </is>
      </c>
      <c r="O2560" s="1" t="inlineStr"/>
      <c r="P2560" s="1" t="inlineStr"/>
      <c r="Q2560" s="1" t="inlineStr">
        <is>
          <t>Пользовательский интерфейс</t>
        </is>
      </c>
    </row>
    <row r="2561">
      <c r="B2561" s="1" t="inlineStr">
        <is>
          <t>200897118</t>
        </is>
      </c>
      <c r="C2561" s="1" t="inlineStr">
        <is>
          <t>14513218</t>
        </is>
      </c>
      <c r="D2561" t="inlineStr">
        <is>
          <t>работник 781</t>
        </is>
      </c>
      <c r="E2561" s="1" t="inlineStr">
        <is>
          <t>ОБЩЕСТВО С ОГРАНИЧЕННОЙ ОТВЕТСТВЕННОСТЬЮ "АМУР ЗОЛОТО"</t>
        </is>
      </c>
      <c r="F2561" s="1" t="inlineStr">
        <is>
          <t>2708001686</t>
        </is>
      </c>
      <c r="G2561" s="1" t="inlineStr">
        <is>
          <t>Слесарь-ремонтник (по ремонту самоходной техники)</t>
        </is>
      </c>
      <c r="H2561" s="1" t="inlineStr">
        <is>
          <t>ООО "Амур Золото"</t>
        </is>
      </c>
      <c r="I2561" s="1" t="inlineStr">
        <is>
          <t>2708001686</t>
        </is>
      </c>
      <c r="J2561" s="1" t="inlineStr">
        <is>
          <t>ЮГОК ПГУ 26-01</t>
        </is>
      </c>
      <c r="K2561" s="1" t="inlineStr">
        <is>
          <t>Безопасные методы и приемы выполнения огневых работ</t>
        </is>
      </c>
      <c r="L2561" s="1" t="inlineStr">
        <is>
          <t>04.06.2026</t>
        </is>
      </c>
      <c r="M2561" s="1" t="inlineStr">
        <is>
          <t>Успешно</t>
        </is>
      </c>
      <c r="N2561" s="1" t="inlineStr">
        <is>
          <t>08.06.2026</t>
        </is>
      </c>
      <c r="O2561" s="1" t="inlineStr"/>
      <c r="P2561" s="1" t="inlineStr"/>
      <c r="Q2561" s="1" t="inlineStr">
        <is>
          <t>Пользовательский интерфейс</t>
        </is>
      </c>
    </row>
    <row r="2562">
      <c r="B2562" s="1" t="inlineStr">
        <is>
          <t>200897119</t>
        </is>
      </c>
      <c r="C2562" s="1" t="inlineStr">
        <is>
          <t>14513218</t>
        </is>
      </c>
      <c r="D2562" t="inlineStr">
        <is>
          <t>работник 782</t>
        </is>
      </c>
      <c r="E2562" s="1" t="inlineStr">
        <is>
          <t>ОБЩЕСТВО С ОГРАНИЧЕННОЙ ОТВЕТСТВЕННОСТЬЮ "АМУР ЗОЛОТО"</t>
        </is>
      </c>
      <c r="F2562" s="1" t="inlineStr">
        <is>
          <t>2708001686</t>
        </is>
      </c>
      <c r="G2562" s="1" t="inlineStr">
        <is>
          <t>Электрослесарь (слесарь) дежурный и по ремонту оборудования подземного горного участка</t>
        </is>
      </c>
      <c r="H2562" s="1" t="inlineStr">
        <is>
          <t>ООО "Амур Золото"</t>
        </is>
      </c>
      <c r="I2562" s="1" t="inlineStr">
        <is>
          <t>2708001686</t>
        </is>
      </c>
      <c r="J2562" s="1" t="inlineStr">
        <is>
          <t>ЮГОК ПГУ 26-01</t>
        </is>
      </c>
      <c r="K2562" s="1" t="inlineStr">
        <is>
          <t>Оказание первой помощи пострадавшим</t>
        </is>
      </c>
      <c r="L2562" s="1" t="inlineStr">
        <is>
          <t>04.06.2026</t>
        </is>
      </c>
      <c r="M2562" s="1" t="inlineStr">
        <is>
          <t>Успешно</t>
        </is>
      </c>
      <c r="N2562" s="1" t="inlineStr">
        <is>
          <t>08.06.2026</t>
        </is>
      </c>
      <c r="O2562" s="1" t="inlineStr"/>
      <c r="P2562" s="1" t="inlineStr"/>
      <c r="Q2562" s="1" t="inlineStr">
        <is>
          <t>Пользовательский интерфейс</t>
        </is>
      </c>
    </row>
    <row r="2563">
      <c r="B2563" s="1" t="inlineStr">
        <is>
          <t>200897120</t>
        </is>
      </c>
      <c r="C2563" s="1" t="inlineStr">
        <is>
          <t>14513218</t>
        </is>
      </c>
      <c r="D2563" t="inlineStr">
        <is>
          <t>работник 782</t>
        </is>
      </c>
      <c r="E2563" s="1" t="inlineStr">
        <is>
          <t>ОБЩЕСТВО С ОГРАНИЧЕННОЙ ОТВЕТСТВЕННОСТЬЮ "АМУР ЗОЛОТО"</t>
        </is>
      </c>
      <c r="F2563" s="1" t="inlineStr">
        <is>
          <t>2708001686</t>
        </is>
      </c>
      <c r="G2563" s="1" t="inlineStr">
        <is>
          <t>Электрослесарь (слесарь) дежурный и по ремонту оборудования подземного горного участка</t>
        </is>
      </c>
      <c r="H2563" s="1" t="inlineStr">
        <is>
          <t>ООО "Амур Золото"</t>
        </is>
      </c>
      <c r="I2563" s="1" t="inlineStr">
        <is>
          <t>2708001686</t>
        </is>
      </c>
      <c r="J2563" s="1" t="inlineStr">
        <is>
          <t>ЮГОК ПГУ 26-01</t>
        </is>
      </c>
      <c r="K2563" s="1" t="inlineStr">
        <is>
          <t>Использование (применение) средств индивидуальной защиты</t>
        </is>
      </c>
      <c r="L2563" s="1" t="inlineStr">
        <is>
          <t>04.06.2026</t>
        </is>
      </c>
      <c r="M2563" s="1" t="inlineStr">
        <is>
          <t>Успешно</t>
        </is>
      </c>
      <c r="N2563" s="1" t="inlineStr">
        <is>
          <t>08.06.2026</t>
        </is>
      </c>
      <c r="O2563" s="1" t="inlineStr"/>
      <c r="P2563" s="1" t="inlineStr"/>
      <c r="Q2563" s="1" t="inlineStr">
        <is>
          <t>Пользовательский интерфейс</t>
        </is>
      </c>
    </row>
    <row r="2564">
      <c r="B2564" s="1" t="inlineStr">
        <is>
          <t>200897121</t>
        </is>
      </c>
      <c r="C2564" s="1" t="inlineStr">
        <is>
          <t>14513218</t>
        </is>
      </c>
      <c r="D2564" t="inlineStr">
        <is>
          <t>работник 782</t>
        </is>
      </c>
      <c r="E2564" s="1" t="inlineStr">
        <is>
          <t>ОБЩЕСТВО С ОГРАНИЧЕННОЙ ОТВЕТСТВЕННОСТЬЮ "АМУР ЗОЛОТО"</t>
        </is>
      </c>
      <c r="F2564" s="1" t="inlineStr">
        <is>
          <t>2708001686</t>
        </is>
      </c>
      <c r="G2564" s="1" t="inlineStr">
        <is>
          <t>Электрослесарь (слесарь) дежурный и по ремонту оборудования подземного горного участка</t>
        </is>
      </c>
      <c r="H2564" s="1" t="inlineStr">
        <is>
          <t>ООО "Амур Золото"</t>
        </is>
      </c>
      <c r="I2564" s="1" t="inlineStr">
        <is>
          <t>2708001686</t>
        </is>
      </c>
      <c r="J2564" s="1" t="inlineStr">
        <is>
          <t>ЮГОК ПГУ 26-01</t>
        </is>
      </c>
      <c r="K256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564" s="1" t="inlineStr">
        <is>
          <t>04.06.2026</t>
        </is>
      </c>
      <c r="M2564" s="1" t="inlineStr">
        <is>
          <t>Успешно</t>
        </is>
      </c>
      <c r="N2564" s="1" t="inlineStr">
        <is>
          <t>08.06.2026</t>
        </is>
      </c>
      <c r="O2564" s="1" t="inlineStr"/>
      <c r="P2564" s="1" t="inlineStr"/>
      <c r="Q2564" s="1" t="inlineStr">
        <is>
          <t>Пользовательский интерфейс</t>
        </is>
      </c>
    </row>
    <row r="2565">
      <c r="B2565" s="1" t="inlineStr">
        <is>
          <t>200897122</t>
        </is>
      </c>
      <c r="C2565" s="1" t="inlineStr">
        <is>
          <t>14513218</t>
        </is>
      </c>
      <c r="D2565" t="inlineStr">
        <is>
          <t>работник 782</t>
        </is>
      </c>
      <c r="E2565" s="1" t="inlineStr">
        <is>
          <t>ОБЩЕСТВО С ОГРАНИЧЕННОЙ ОТВЕТСТВЕННОСТЬЮ "АМУР ЗОЛОТО"</t>
        </is>
      </c>
      <c r="F2565" s="1" t="inlineStr">
        <is>
          <t>2708001686</t>
        </is>
      </c>
      <c r="G2565" s="1" t="inlineStr">
        <is>
          <t>Электрослесарь (слесарь) дежурный и по ремонту оборудования подземного горного участка</t>
        </is>
      </c>
      <c r="H2565" s="1" t="inlineStr">
        <is>
          <t>ООО "Амур Золото"</t>
        </is>
      </c>
      <c r="I2565" s="1" t="inlineStr">
        <is>
          <t>2708001686</t>
        </is>
      </c>
      <c r="J2565" s="1" t="inlineStr">
        <is>
          <t>ЮГОК ПГУ 26-01</t>
        </is>
      </c>
      <c r="K2565" s="1" t="inlineStr">
        <is>
          <t>Безопасные методы и приемы выполнения работ в электроустановках</t>
        </is>
      </c>
      <c r="L2565" s="1" t="inlineStr">
        <is>
          <t>04.06.2026</t>
        </is>
      </c>
      <c r="M2565" s="1" t="inlineStr">
        <is>
          <t>Успешно</t>
        </is>
      </c>
      <c r="N2565" s="1" t="inlineStr">
        <is>
          <t>08.06.2026</t>
        </is>
      </c>
      <c r="O2565" s="1" t="inlineStr"/>
      <c r="P2565" s="1" t="inlineStr"/>
      <c r="Q2565" s="1" t="inlineStr">
        <is>
          <t>Пользовательский интерфейс</t>
        </is>
      </c>
    </row>
    <row r="2566">
      <c r="B2566" s="1" t="inlineStr">
        <is>
          <t>200982805</t>
        </is>
      </c>
      <c r="C2566" s="1" t="inlineStr">
        <is>
          <t>14518357</t>
        </is>
      </c>
      <c r="D2566" t="inlineStr">
        <is>
          <t>работник 783</t>
        </is>
      </c>
      <c r="E2566" s="1" t="inlineStr">
        <is>
          <t>ОБЩЕСТВО С ОГРАНИЧЕННОЙ ОТВЕТСТВЕННОСТЬЮ "АМУР ЗОЛОТО"</t>
        </is>
      </c>
      <c r="F2566" s="1" t="inlineStr">
        <is>
          <t>2708001686</t>
        </is>
      </c>
      <c r="G2566" s="1" t="inlineStr">
        <is>
          <t>Машинист автогрейдера</t>
        </is>
      </c>
      <c r="H2566" s="1" t="inlineStr">
        <is>
          <t>ООО "Амур Золото"</t>
        </is>
      </c>
      <c r="I2566" s="1" t="inlineStr">
        <is>
          <t>2708001686</t>
        </is>
      </c>
      <c r="J2566" s="1" t="inlineStr">
        <is>
          <t>ЮГОК АТЦ 26-01</t>
        </is>
      </c>
      <c r="K2566" s="1" t="inlineStr">
        <is>
          <t>Оказание первой помощи пострадавшим</t>
        </is>
      </c>
      <c r="L2566" s="1" t="inlineStr">
        <is>
          <t>06.06.2026</t>
        </is>
      </c>
      <c r="M2566" s="1" t="inlineStr">
        <is>
          <t>Успешно</t>
        </is>
      </c>
      <c r="N2566" s="1" t="inlineStr">
        <is>
          <t>08.06.2026</t>
        </is>
      </c>
      <c r="O2566" s="1" t="inlineStr"/>
      <c r="P2566" s="1" t="inlineStr"/>
      <c r="Q2566" s="1" t="inlineStr">
        <is>
          <t>Пользовательский интерфейс</t>
        </is>
      </c>
    </row>
    <row r="2567">
      <c r="B2567" s="1" t="inlineStr">
        <is>
          <t>200982806</t>
        </is>
      </c>
      <c r="C2567" s="1" t="inlineStr">
        <is>
          <t>14518357</t>
        </is>
      </c>
      <c r="D2567" t="inlineStr">
        <is>
          <t>работник 783</t>
        </is>
      </c>
      <c r="E2567" s="1" t="inlineStr">
        <is>
          <t>ОБЩЕСТВО С ОГРАНИЧЕННОЙ ОТВЕТСТВЕННОСТЬЮ "АМУР ЗОЛОТО"</t>
        </is>
      </c>
      <c r="F2567" s="1" t="inlineStr">
        <is>
          <t>2708001686</t>
        </is>
      </c>
      <c r="G2567" s="1" t="inlineStr">
        <is>
          <t>Машинист автогрейдера</t>
        </is>
      </c>
      <c r="H2567" s="1" t="inlineStr">
        <is>
          <t>ООО "Амур Золото"</t>
        </is>
      </c>
      <c r="I2567" s="1" t="inlineStr">
        <is>
          <t>2708001686</t>
        </is>
      </c>
      <c r="J2567" s="1" t="inlineStr">
        <is>
          <t>ЮГОК АТЦ 26-01</t>
        </is>
      </c>
      <c r="K2567" s="1" t="inlineStr">
        <is>
          <t>Использование (применение) средств индивидуальной защиты</t>
        </is>
      </c>
      <c r="L2567" s="1" t="inlineStr">
        <is>
          <t>06.06.2026</t>
        </is>
      </c>
      <c r="M2567" s="1" t="inlineStr">
        <is>
          <t>Успешно</t>
        </is>
      </c>
      <c r="N2567" s="1" t="inlineStr">
        <is>
          <t>08.06.2026</t>
        </is>
      </c>
      <c r="O2567" s="1" t="inlineStr"/>
      <c r="P2567" s="1" t="inlineStr"/>
      <c r="Q2567" s="1" t="inlineStr">
        <is>
          <t>Пользовательский интерфейс</t>
        </is>
      </c>
    </row>
    <row r="2568">
      <c r="B2568" s="1" t="inlineStr">
        <is>
          <t>200982807</t>
        </is>
      </c>
      <c r="C2568" s="1" t="inlineStr">
        <is>
          <t>14518357</t>
        </is>
      </c>
      <c r="D2568" t="inlineStr">
        <is>
          <t>работник 783</t>
        </is>
      </c>
      <c r="E2568" s="1" t="inlineStr">
        <is>
          <t>ОБЩЕСТВО С ОГРАНИЧЕННОЙ ОТВЕТСТВЕННОСТЬЮ "АМУР ЗОЛОТО"</t>
        </is>
      </c>
      <c r="F2568" s="1" t="inlineStr">
        <is>
          <t>2708001686</t>
        </is>
      </c>
      <c r="G2568" s="1" t="inlineStr">
        <is>
          <t>Машинист автогрейдера</t>
        </is>
      </c>
      <c r="H2568" s="1" t="inlineStr">
        <is>
          <t>ООО "Амур Золото"</t>
        </is>
      </c>
      <c r="I2568" s="1" t="inlineStr">
        <is>
          <t>2708001686</t>
        </is>
      </c>
      <c r="J2568" s="1" t="inlineStr">
        <is>
          <t>ЮГОК АТЦ 26-01</t>
        </is>
      </c>
      <c r="K256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568" s="1" t="inlineStr">
        <is>
          <t>06.06.2026</t>
        </is>
      </c>
      <c r="M2568" s="1" t="inlineStr">
        <is>
          <t>Успешно</t>
        </is>
      </c>
      <c r="N2568" s="1" t="inlineStr">
        <is>
          <t>08.06.2026</t>
        </is>
      </c>
      <c r="O2568" s="1" t="inlineStr"/>
      <c r="P2568" s="1" t="inlineStr"/>
      <c r="Q2568" s="1" t="inlineStr">
        <is>
          <t>Пользовательский интерфейс</t>
        </is>
      </c>
    </row>
    <row r="2569">
      <c r="B2569" s="1" t="inlineStr">
        <is>
          <t>200982808</t>
        </is>
      </c>
      <c r="C2569" s="1" t="inlineStr">
        <is>
          <t>14518357</t>
        </is>
      </c>
      <c r="D2569" t="inlineStr">
        <is>
          <t>работник 784</t>
        </is>
      </c>
      <c r="E2569" s="1" t="inlineStr">
        <is>
          <t>ОБЩЕСТВО С ОГРАНИЧЕННОЙ ОТВЕТСТВЕННОСТЬЮ "АМУР ЗОЛОТО"</t>
        </is>
      </c>
      <c r="F2569" s="1" t="inlineStr">
        <is>
          <t>2708001686</t>
        </is>
      </c>
      <c r="G2569" s="1" t="inlineStr">
        <is>
          <t>Водитель автомобиля (занятый на транспортировании горной массы в технологическом процессе)</t>
        </is>
      </c>
      <c r="H2569" s="1" t="inlineStr">
        <is>
          <t>ООО "Амур Золото"</t>
        </is>
      </c>
      <c r="I2569" s="1" t="inlineStr">
        <is>
          <t>2708001686</t>
        </is>
      </c>
      <c r="J2569" s="1" t="inlineStr">
        <is>
          <t>ЮГОК АТЦ 26-01</t>
        </is>
      </c>
      <c r="K2569" s="1" t="inlineStr">
        <is>
          <t>Оказание первой помощи пострадавшим</t>
        </is>
      </c>
      <c r="L2569" s="1" t="inlineStr">
        <is>
          <t>06.06.2026</t>
        </is>
      </c>
      <c r="M2569" s="1" t="inlineStr">
        <is>
          <t>Успешно</t>
        </is>
      </c>
      <c r="N2569" s="1" t="inlineStr">
        <is>
          <t>08.06.2026</t>
        </is>
      </c>
      <c r="O2569" s="1" t="inlineStr"/>
      <c r="P2569" s="1" t="inlineStr"/>
      <c r="Q2569" s="1" t="inlineStr">
        <is>
          <t>Пользовательский интерфейс</t>
        </is>
      </c>
    </row>
    <row r="2570">
      <c r="B2570" s="1" t="inlineStr">
        <is>
          <t>200982809</t>
        </is>
      </c>
      <c r="C2570" s="1" t="inlineStr">
        <is>
          <t>14518357</t>
        </is>
      </c>
      <c r="D2570" t="inlineStr">
        <is>
          <t>работник 784</t>
        </is>
      </c>
      <c r="E2570" s="1" t="inlineStr">
        <is>
          <t>ОБЩЕСТВО С ОГРАНИЧЕННОЙ ОТВЕТСТВЕННОСТЬЮ "АМУР ЗОЛОТО"</t>
        </is>
      </c>
      <c r="F2570" s="1" t="inlineStr">
        <is>
          <t>2708001686</t>
        </is>
      </c>
      <c r="G2570" s="1" t="inlineStr">
        <is>
          <t>Водитель автомобиля (занятый на транспортировании горной массы в технологическом процессе)</t>
        </is>
      </c>
      <c r="H2570" s="1" t="inlineStr">
        <is>
          <t>ООО "Амур Золото"</t>
        </is>
      </c>
      <c r="I2570" s="1" t="inlineStr">
        <is>
          <t>2708001686</t>
        </is>
      </c>
      <c r="J2570" s="1" t="inlineStr">
        <is>
          <t>ЮГОК АТЦ 26-01</t>
        </is>
      </c>
      <c r="K2570" s="1" t="inlineStr">
        <is>
          <t>Использование (применение) средств индивидуальной защиты</t>
        </is>
      </c>
      <c r="L2570" s="1" t="inlineStr">
        <is>
          <t>06.06.2026</t>
        </is>
      </c>
      <c r="M2570" s="1" t="inlineStr">
        <is>
          <t>Успешно</t>
        </is>
      </c>
      <c r="N2570" s="1" t="inlineStr">
        <is>
          <t>08.06.2026</t>
        </is>
      </c>
      <c r="O2570" s="1" t="inlineStr"/>
      <c r="P2570" s="1" t="inlineStr"/>
      <c r="Q2570" s="1" t="inlineStr">
        <is>
          <t>Пользовательский интерфейс</t>
        </is>
      </c>
    </row>
    <row r="2571">
      <c r="B2571" s="1" t="inlineStr">
        <is>
          <t>200982810</t>
        </is>
      </c>
      <c r="C2571" s="1" t="inlineStr">
        <is>
          <t>14518357</t>
        </is>
      </c>
      <c r="D2571" t="inlineStr">
        <is>
          <t>работник 784</t>
        </is>
      </c>
      <c r="E2571" s="1" t="inlineStr">
        <is>
          <t>ОБЩЕСТВО С ОГРАНИЧЕННОЙ ОТВЕТСТВЕННОСТЬЮ "АМУР ЗОЛОТО"</t>
        </is>
      </c>
      <c r="F2571" s="1" t="inlineStr">
        <is>
          <t>2708001686</t>
        </is>
      </c>
      <c r="G2571" s="1" t="inlineStr">
        <is>
          <t>Водитель автомобиля (занятый на транспортировании горной массы в технологическом процессе)</t>
        </is>
      </c>
      <c r="H2571" s="1" t="inlineStr">
        <is>
          <t>ООО "Амур Золото"</t>
        </is>
      </c>
      <c r="I2571" s="1" t="inlineStr">
        <is>
          <t>2708001686</t>
        </is>
      </c>
      <c r="J2571" s="1" t="inlineStr">
        <is>
          <t>ЮГОК АТЦ 26-01</t>
        </is>
      </c>
      <c r="K257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571" s="1" t="inlineStr">
        <is>
          <t>06.06.2026</t>
        </is>
      </c>
      <c r="M2571" s="1" t="inlineStr">
        <is>
          <t>Успешно</t>
        </is>
      </c>
      <c r="N2571" s="1" t="inlineStr">
        <is>
          <t>08.06.2026</t>
        </is>
      </c>
      <c r="O2571" s="1" t="inlineStr"/>
      <c r="P2571" s="1" t="inlineStr"/>
      <c r="Q2571" s="1" t="inlineStr">
        <is>
          <t>Пользовательский интерфейс</t>
        </is>
      </c>
    </row>
    <row r="2572">
      <c r="B2572" s="1" t="inlineStr">
        <is>
          <t>200982811</t>
        </is>
      </c>
      <c r="C2572" s="1" t="inlineStr">
        <is>
          <t>14518357</t>
        </is>
      </c>
      <c r="D2572" t="inlineStr">
        <is>
          <t>работник 785</t>
        </is>
      </c>
      <c r="E2572" s="1" t="inlineStr">
        <is>
          <t>ОБЩЕСТВО С ОГРАНИЧЕННОЙ ОТВЕТСТВЕННОСТЬЮ "АМУР ЗОЛОТО"</t>
        </is>
      </c>
      <c r="F2572" s="1" t="inlineStr">
        <is>
          <t>2708001686</t>
        </is>
      </c>
      <c r="G2572" s="1" t="inlineStr">
        <is>
          <t>Водитель автомобиля (занятый на транспортировании горной массы в технологическом процессе)</t>
        </is>
      </c>
      <c r="H2572" s="1" t="inlineStr">
        <is>
          <t>ООО "Амур Золото"</t>
        </is>
      </c>
      <c r="I2572" s="1" t="inlineStr">
        <is>
          <t>2708001686</t>
        </is>
      </c>
      <c r="J2572" s="1" t="inlineStr">
        <is>
          <t>ЮГОК АТЦ 26-01</t>
        </is>
      </c>
      <c r="K2572" s="1" t="inlineStr">
        <is>
          <t>Оказание первой помощи пострадавшим</t>
        </is>
      </c>
      <c r="L2572" s="1" t="inlineStr">
        <is>
          <t>06.06.2026</t>
        </is>
      </c>
      <c r="M2572" s="1" t="inlineStr">
        <is>
          <t>Успешно</t>
        </is>
      </c>
      <c r="N2572" s="1" t="inlineStr">
        <is>
          <t>08.06.2026</t>
        </is>
      </c>
      <c r="O2572" s="1" t="inlineStr"/>
      <c r="P2572" s="1" t="inlineStr"/>
      <c r="Q2572" s="1" t="inlineStr">
        <is>
          <t>Пользовательский интерфейс</t>
        </is>
      </c>
    </row>
    <row r="2573">
      <c r="B2573" s="1" t="inlineStr">
        <is>
          <t>200982812</t>
        </is>
      </c>
      <c r="C2573" s="1" t="inlineStr">
        <is>
          <t>14518357</t>
        </is>
      </c>
      <c r="D2573" t="inlineStr">
        <is>
          <t>работник 785</t>
        </is>
      </c>
      <c r="E2573" s="1" t="inlineStr">
        <is>
          <t>ОБЩЕСТВО С ОГРАНИЧЕННОЙ ОТВЕТСТВЕННОСТЬЮ "АМУР ЗОЛОТО"</t>
        </is>
      </c>
      <c r="F2573" s="1" t="inlineStr">
        <is>
          <t>2708001686</t>
        </is>
      </c>
      <c r="G2573" s="1" t="inlineStr">
        <is>
          <t>Водитель автомобиля (занятый на транспортировании горной массы в технологическом процессе)</t>
        </is>
      </c>
      <c r="H2573" s="1" t="inlineStr">
        <is>
          <t>ООО "Амур Золото"</t>
        </is>
      </c>
      <c r="I2573" s="1" t="inlineStr">
        <is>
          <t>2708001686</t>
        </is>
      </c>
      <c r="J2573" s="1" t="inlineStr">
        <is>
          <t>ЮГОК АТЦ 26-01</t>
        </is>
      </c>
      <c r="K2573" s="1" t="inlineStr">
        <is>
          <t>Использование (применение) средств индивидуальной защиты</t>
        </is>
      </c>
      <c r="L2573" s="1" t="inlineStr">
        <is>
          <t>06.06.2026</t>
        </is>
      </c>
      <c r="M2573" s="1" t="inlineStr">
        <is>
          <t>Успешно</t>
        </is>
      </c>
      <c r="N2573" s="1" t="inlineStr">
        <is>
          <t>08.06.2026</t>
        </is>
      </c>
      <c r="O2573" s="1" t="inlineStr"/>
      <c r="P2573" s="1" t="inlineStr"/>
      <c r="Q2573" s="1" t="inlineStr">
        <is>
          <t>Пользовательский интерфейс</t>
        </is>
      </c>
    </row>
    <row r="2574">
      <c r="B2574" s="1" t="inlineStr">
        <is>
          <t>200982813</t>
        </is>
      </c>
      <c r="C2574" s="1" t="inlineStr">
        <is>
          <t>14518357</t>
        </is>
      </c>
      <c r="D2574" t="inlineStr">
        <is>
          <t>работник 785</t>
        </is>
      </c>
      <c r="E2574" s="1" t="inlineStr">
        <is>
          <t>ОБЩЕСТВО С ОГРАНИЧЕННОЙ ОТВЕТСТВЕННОСТЬЮ "АМУР ЗОЛОТО"</t>
        </is>
      </c>
      <c r="F2574" s="1" t="inlineStr">
        <is>
          <t>2708001686</t>
        </is>
      </c>
      <c r="G2574" s="1" t="inlineStr">
        <is>
          <t>Водитель автомобиля (занятый на транспортировании горной массы в технологическом процессе)</t>
        </is>
      </c>
      <c r="H2574" s="1" t="inlineStr">
        <is>
          <t>ООО "Амур Золото"</t>
        </is>
      </c>
      <c r="I2574" s="1" t="inlineStr">
        <is>
          <t>2708001686</t>
        </is>
      </c>
      <c r="J2574" s="1" t="inlineStr">
        <is>
          <t>ЮГОК АТЦ 26-01</t>
        </is>
      </c>
      <c r="K257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574" s="1" t="inlineStr">
        <is>
          <t>06.06.2026</t>
        </is>
      </c>
      <c r="M2574" s="1" t="inlineStr">
        <is>
          <t>Успешно</t>
        </is>
      </c>
      <c r="N2574" s="1" t="inlineStr">
        <is>
          <t>08.06.2026</t>
        </is>
      </c>
      <c r="O2574" s="1" t="inlineStr"/>
      <c r="P2574" s="1" t="inlineStr"/>
      <c r="Q2574" s="1" t="inlineStr">
        <is>
          <t>Пользовательский интерфейс</t>
        </is>
      </c>
    </row>
    <row r="2575">
      <c r="B2575" s="1" t="inlineStr">
        <is>
          <t>200982814</t>
        </is>
      </c>
      <c r="C2575" s="1" t="inlineStr">
        <is>
          <t>14518357</t>
        </is>
      </c>
      <c r="D2575" t="inlineStr">
        <is>
          <t>работник 202</t>
        </is>
      </c>
      <c r="E2575" s="1" t="inlineStr">
        <is>
          <t>ОБЩЕСТВО С ОГРАНИЧЕННОЙ ОТВЕТСТВЕННОСТЬЮ "АМУР ЗОЛОТО"</t>
        </is>
      </c>
      <c r="F2575" s="1" t="inlineStr">
        <is>
          <t>2708001686</t>
        </is>
      </c>
      <c r="G2575" s="1" t="inlineStr">
        <is>
          <t>Водитель автомобиля (занятый на транспортировании горной массы в технологическом процессе)</t>
        </is>
      </c>
      <c r="H2575" s="1" t="inlineStr">
        <is>
          <t>ООО "Амур Золото"</t>
        </is>
      </c>
      <c r="I2575" s="1" t="inlineStr">
        <is>
          <t>2708001686</t>
        </is>
      </c>
      <c r="J2575" s="1" t="inlineStr">
        <is>
          <t>ЮГОК АТЦ 26-01</t>
        </is>
      </c>
      <c r="K2575" s="1" t="inlineStr">
        <is>
          <t>Оказание первой помощи пострадавшим</t>
        </is>
      </c>
      <c r="L2575" s="1" t="inlineStr">
        <is>
          <t>06.06.2026</t>
        </is>
      </c>
      <c r="M2575" s="1" t="inlineStr">
        <is>
          <t>Успешно</t>
        </is>
      </c>
      <c r="N2575" s="1" t="inlineStr">
        <is>
          <t>08.06.2026</t>
        </is>
      </c>
      <c r="O2575" s="1" t="inlineStr"/>
      <c r="P2575" s="1" t="inlineStr"/>
      <c r="Q2575" s="1" t="inlineStr">
        <is>
          <t>Пользовательский интерфейс</t>
        </is>
      </c>
    </row>
    <row r="2576">
      <c r="B2576" s="1" t="inlineStr">
        <is>
          <t>200982815</t>
        </is>
      </c>
      <c r="C2576" s="1" t="inlineStr">
        <is>
          <t>14518357</t>
        </is>
      </c>
      <c r="D2576" t="inlineStr">
        <is>
          <t>работник 202</t>
        </is>
      </c>
      <c r="E2576" s="1" t="inlineStr">
        <is>
          <t>ОБЩЕСТВО С ОГРАНИЧЕННОЙ ОТВЕТСТВЕННОСТЬЮ "АМУР ЗОЛОТО"</t>
        </is>
      </c>
      <c r="F2576" s="1" t="inlineStr">
        <is>
          <t>2708001686</t>
        </is>
      </c>
      <c r="G2576" s="1" t="inlineStr">
        <is>
          <t>Водитель автомобиля (занятый на транспортировании горной массы в технологическом процессе)</t>
        </is>
      </c>
      <c r="H2576" s="1" t="inlineStr">
        <is>
          <t>ООО "Амур Золото"</t>
        </is>
      </c>
      <c r="I2576" s="1" t="inlineStr">
        <is>
          <t>2708001686</t>
        </is>
      </c>
      <c r="J2576" s="1" t="inlineStr">
        <is>
          <t>ЮГОК АТЦ 26-01</t>
        </is>
      </c>
      <c r="K2576" s="1" t="inlineStr">
        <is>
          <t>Использование (применение) средств индивидуальной защиты</t>
        </is>
      </c>
      <c r="L2576" s="1" t="inlineStr">
        <is>
          <t>06.06.2026</t>
        </is>
      </c>
      <c r="M2576" s="1" t="inlineStr">
        <is>
          <t>Успешно</t>
        </is>
      </c>
      <c r="N2576" s="1" t="inlineStr">
        <is>
          <t>08.06.2026</t>
        </is>
      </c>
      <c r="O2576" s="1" t="inlineStr"/>
      <c r="P2576" s="1" t="inlineStr"/>
      <c r="Q2576" s="1" t="inlineStr">
        <is>
          <t>Пользовательский интерфейс</t>
        </is>
      </c>
    </row>
    <row r="2577">
      <c r="B2577" s="1" t="inlineStr">
        <is>
          <t>200982816</t>
        </is>
      </c>
      <c r="C2577" s="1" t="inlineStr">
        <is>
          <t>14518357</t>
        </is>
      </c>
      <c r="D2577" t="inlineStr">
        <is>
          <t>работник 202</t>
        </is>
      </c>
      <c r="E2577" s="1" t="inlineStr">
        <is>
          <t>ОБЩЕСТВО С ОГРАНИЧЕННОЙ ОТВЕТСТВЕННОСТЬЮ "АМУР ЗОЛОТО"</t>
        </is>
      </c>
      <c r="F2577" s="1" t="inlineStr">
        <is>
          <t>2708001686</t>
        </is>
      </c>
      <c r="G2577" s="1" t="inlineStr">
        <is>
          <t>Водитель автомобиля (занятый на транспортировании горной массы в технологическом процессе)</t>
        </is>
      </c>
      <c r="H2577" s="1" t="inlineStr">
        <is>
          <t>ООО "Амур Золото"</t>
        </is>
      </c>
      <c r="I2577" s="1" t="inlineStr">
        <is>
          <t>2708001686</t>
        </is>
      </c>
      <c r="J2577" s="1" t="inlineStr">
        <is>
          <t>ЮГОК АТЦ 26-01</t>
        </is>
      </c>
      <c r="K257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577" s="1" t="inlineStr">
        <is>
          <t>06.06.2026</t>
        </is>
      </c>
      <c r="M2577" s="1" t="inlineStr">
        <is>
          <t>Успешно</t>
        </is>
      </c>
      <c r="N2577" s="1" t="inlineStr">
        <is>
          <t>08.06.2026</t>
        </is>
      </c>
      <c r="O2577" s="1" t="inlineStr"/>
      <c r="P2577" s="1" t="inlineStr"/>
      <c r="Q2577" s="1" t="inlineStr">
        <is>
          <t>Пользовательский интерфейс</t>
        </is>
      </c>
    </row>
    <row r="2578">
      <c r="B2578" s="1" t="inlineStr">
        <is>
          <t>200982817</t>
        </is>
      </c>
      <c r="C2578" s="1" t="inlineStr">
        <is>
          <t>14518357</t>
        </is>
      </c>
      <c r="D2578" t="inlineStr">
        <is>
          <t>работник 786</t>
        </is>
      </c>
      <c r="E2578" s="1" t="inlineStr">
        <is>
          <t>ОБЩЕСТВО С ОГРАНИЧЕННОЙ ОТВЕТСТВЕННОСТЬЮ "АМУР ЗОЛОТО"</t>
        </is>
      </c>
      <c r="F2578" s="1" t="inlineStr">
        <is>
          <t>2708001686</t>
        </is>
      </c>
      <c r="G2578" s="1" t="inlineStr">
        <is>
          <t>Водитель автомобиля (занятый на транспортировании горной массы в технологическом процессе)</t>
        </is>
      </c>
      <c r="H2578" s="1" t="inlineStr">
        <is>
          <t>ООО "Амур Золото"</t>
        </is>
      </c>
      <c r="I2578" s="1" t="inlineStr">
        <is>
          <t>2708001686</t>
        </is>
      </c>
      <c r="J2578" s="1" t="inlineStr">
        <is>
          <t>ЮГОК АТЦ 26-01</t>
        </is>
      </c>
      <c r="K2578" s="1" t="inlineStr">
        <is>
          <t>Оказание первой помощи пострадавшим</t>
        </is>
      </c>
      <c r="L2578" s="1" t="inlineStr">
        <is>
          <t>06.06.2026</t>
        </is>
      </c>
      <c r="M2578" s="1" t="inlineStr">
        <is>
          <t>Успешно</t>
        </is>
      </c>
      <c r="N2578" s="1" t="inlineStr">
        <is>
          <t>08.06.2026</t>
        </is>
      </c>
      <c r="O2578" s="1" t="inlineStr"/>
      <c r="P2578" s="1" t="inlineStr"/>
      <c r="Q2578" s="1" t="inlineStr">
        <is>
          <t>Пользовательский интерфейс</t>
        </is>
      </c>
    </row>
    <row r="2579">
      <c r="B2579" s="1" t="inlineStr">
        <is>
          <t>200982818</t>
        </is>
      </c>
      <c r="C2579" s="1" t="inlineStr">
        <is>
          <t>14518357</t>
        </is>
      </c>
      <c r="D2579" t="inlineStr">
        <is>
          <t>работник 786</t>
        </is>
      </c>
      <c r="E2579" s="1" t="inlineStr">
        <is>
          <t>ОБЩЕСТВО С ОГРАНИЧЕННОЙ ОТВЕТСТВЕННОСТЬЮ "АМУР ЗОЛОТО"</t>
        </is>
      </c>
      <c r="F2579" s="1" t="inlineStr">
        <is>
          <t>2708001686</t>
        </is>
      </c>
      <c r="G2579" s="1" t="inlineStr">
        <is>
          <t>Водитель автомобиля (занятый на транспортировании горной массы в технологическом процессе)</t>
        </is>
      </c>
      <c r="H2579" s="1" t="inlineStr">
        <is>
          <t>ООО "Амур Золото"</t>
        </is>
      </c>
      <c r="I2579" s="1" t="inlineStr">
        <is>
          <t>2708001686</t>
        </is>
      </c>
      <c r="J2579" s="1" t="inlineStr">
        <is>
          <t>ЮГОК АТЦ 26-01</t>
        </is>
      </c>
      <c r="K2579" s="1" t="inlineStr">
        <is>
          <t>Использование (применение) средств индивидуальной защиты</t>
        </is>
      </c>
      <c r="L2579" s="1" t="inlineStr">
        <is>
          <t>06.06.2026</t>
        </is>
      </c>
      <c r="M2579" s="1" t="inlineStr">
        <is>
          <t>Успешно</t>
        </is>
      </c>
      <c r="N2579" s="1" t="inlineStr">
        <is>
          <t>08.06.2026</t>
        </is>
      </c>
      <c r="O2579" s="1" t="inlineStr"/>
      <c r="P2579" s="1" t="inlineStr"/>
      <c r="Q2579" s="1" t="inlineStr">
        <is>
          <t>Пользовательский интерфейс</t>
        </is>
      </c>
    </row>
    <row r="2580">
      <c r="B2580" s="1" t="inlineStr">
        <is>
          <t>200982819</t>
        </is>
      </c>
      <c r="C2580" s="1" t="inlineStr">
        <is>
          <t>14518357</t>
        </is>
      </c>
      <c r="D2580" t="inlineStr">
        <is>
          <t>работник 786</t>
        </is>
      </c>
      <c r="E2580" s="1" t="inlineStr">
        <is>
          <t>ОБЩЕСТВО С ОГРАНИЧЕННОЙ ОТВЕТСТВЕННОСТЬЮ "АМУР ЗОЛОТО"</t>
        </is>
      </c>
      <c r="F2580" s="1" t="inlineStr">
        <is>
          <t>2708001686</t>
        </is>
      </c>
      <c r="G2580" s="1" t="inlineStr">
        <is>
          <t>Водитель автомобиля (занятый на транспортировании горной массы в технологическом процессе)</t>
        </is>
      </c>
      <c r="H2580" s="1" t="inlineStr">
        <is>
          <t>ООО "Амур Золото"</t>
        </is>
      </c>
      <c r="I2580" s="1" t="inlineStr">
        <is>
          <t>2708001686</t>
        </is>
      </c>
      <c r="J2580" s="1" t="inlineStr">
        <is>
          <t>ЮГОК АТЦ 26-01</t>
        </is>
      </c>
      <c r="K258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580" s="1" t="inlineStr">
        <is>
          <t>06.06.2026</t>
        </is>
      </c>
      <c r="M2580" s="1" t="inlineStr">
        <is>
          <t>Успешно</t>
        </is>
      </c>
      <c r="N2580" s="1" t="inlineStr">
        <is>
          <t>08.06.2026</t>
        </is>
      </c>
      <c r="O2580" s="1" t="inlineStr"/>
      <c r="P2580" s="1" t="inlineStr"/>
      <c r="Q2580" s="1" t="inlineStr">
        <is>
          <t>Пользовательский интерфейс</t>
        </is>
      </c>
    </row>
    <row r="2581">
      <c r="B2581" s="1" t="inlineStr">
        <is>
          <t>200982820</t>
        </is>
      </c>
      <c r="C2581" s="1" t="inlineStr">
        <is>
          <t>14518357</t>
        </is>
      </c>
      <c r="D2581" t="inlineStr">
        <is>
          <t>работник 787</t>
        </is>
      </c>
      <c r="E2581" s="1" t="inlineStr">
        <is>
          <t>ОБЩЕСТВО С ОГРАНИЧЕННОЙ ОТВЕТСТВЕННОСТЬЮ "АМУР ЗОЛОТО"</t>
        </is>
      </c>
      <c r="F2581" s="1" t="inlineStr">
        <is>
          <t>2708001686</t>
        </is>
      </c>
      <c r="G2581" s="1" t="inlineStr">
        <is>
          <t>Машинист бульдозера</t>
        </is>
      </c>
      <c r="H2581" s="1" t="inlineStr">
        <is>
          <t>ООО "Амур Золото"</t>
        </is>
      </c>
      <c r="I2581" s="1" t="inlineStr">
        <is>
          <t>2708001686</t>
        </is>
      </c>
      <c r="J2581" s="1" t="inlineStr">
        <is>
          <t>ЮГОК АТЦ 26-01</t>
        </is>
      </c>
      <c r="K2581" s="1" t="inlineStr">
        <is>
          <t>Оказание первой помощи пострадавшим</t>
        </is>
      </c>
      <c r="L2581" s="1" t="inlineStr">
        <is>
          <t>06.06.2026</t>
        </is>
      </c>
      <c r="M2581" s="1" t="inlineStr">
        <is>
          <t>Успешно</t>
        </is>
      </c>
      <c r="N2581" s="1" t="inlineStr">
        <is>
          <t>08.06.2026</t>
        </is>
      </c>
      <c r="O2581" s="1" t="inlineStr"/>
      <c r="P2581" s="1" t="inlineStr"/>
      <c r="Q2581" s="1" t="inlineStr">
        <is>
          <t>Пользовательский интерфейс</t>
        </is>
      </c>
    </row>
    <row r="2582">
      <c r="B2582" s="1" t="inlineStr">
        <is>
          <t>200982821</t>
        </is>
      </c>
      <c r="C2582" s="1" t="inlineStr">
        <is>
          <t>14518357</t>
        </is>
      </c>
      <c r="D2582" t="inlineStr">
        <is>
          <t>работник 787</t>
        </is>
      </c>
      <c r="E2582" s="1" t="inlineStr">
        <is>
          <t>ОБЩЕСТВО С ОГРАНИЧЕННОЙ ОТВЕТСТВЕННОСТЬЮ "АМУР ЗОЛОТО"</t>
        </is>
      </c>
      <c r="F2582" s="1" t="inlineStr">
        <is>
          <t>2708001686</t>
        </is>
      </c>
      <c r="G2582" s="1" t="inlineStr">
        <is>
          <t>Машинист бульдозера</t>
        </is>
      </c>
      <c r="H2582" s="1" t="inlineStr">
        <is>
          <t>ООО "Амур Золото"</t>
        </is>
      </c>
      <c r="I2582" s="1" t="inlineStr">
        <is>
          <t>2708001686</t>
        </is>
      </c>
      <c r="J2582" s="1" t="inlineStr">
        <is>
          <t>ЮГОК АТЦ 26-01</t>
        </is>
      </c>
      <c r="K2582" s="1" t="inlineStr">
        <is>
          <t>Использование (применение) средств индивидуальной защиты</t>
        </is>
      </c>
      <c r="L2582" s="1" t="inlineStr">
        <is>
          <t>06.06.2026</t>
        </is>
      </c>
      <c r="M2582" s="1" t="inlineStr">
        <is>
          <t>Успешно</t>
        </is>
      </c>
      <c r="N2582" s="1" t="inlineStr">
        <is>
          <t>08.06.2026</t>
        </is>
      </c>
      <c r="O2582" s="1" t="inlineStr"/>
      <c r="P2582" s="1" t="inlineStr"/>
      <c r="Q2582" s="1" t="inlineStr">
        <is>
          <t>Пользовательский интерфейс</t>
        </is>
      </c>
    </row>
    <row r="2583">
      <c r="B2583" s="1" t="inlineStr">
        <is>
          <t>200982822</t>
        </is>
      </c>
      <c r="C2583" s="1" t="inlineStr">
        <is>
          <t>14518357</t>
        </is>
      </c>
      <c r="D2583" t="inlineStr">
        <is>
          <t>работник 787</t>
        </is>
      </c>
      <c r="E2583" s="1" t="inlineStr">
        <is>
          <t>ОБЩЕСТВО С ОГРАНИЧЕННОЙ ОТВЕТСТВЕННОСТЬЮ "АМУР ЗОЛОТО"</t>
        </is>
      </c>
      <c r="F2583" s="1" t="inlineStr">
        <is>
          <t>2708001686</t>
        </is>
      </c>
      <c r="G2583" s="1" t="inlineStr">
        <is>
          <t>Машинист бульдозера</t>
        </is>
      </c>
      <c r="H2583" s="1" t="inlineStr">
        <is>
          <t>ООО "Амур Золото"</t>
        </is>
      </c>
      <c r="I2583" s="1" t="inlineStr">
        <is>
          <t>2708001686</t>
        </is>
      </c>
      <c r="J2583" s="1" t="inlineStr">
        <is>
          <t>ЮГОК АТЦ 26-01</t>
        </is>
      </c>
      <c r="K258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583" s="1" t="inlineStr">
        <is>
          <t>06.06.2026</t>
        </is>
      </c>
      <c r="M2583" s="1" t="inlineStr">
        <is>
          <t>Успешно</t>
        </is>
      </c>
      <c r="N2583" s="1" t="inlineStr">
        <is>
          <t>08.06.2026</t>
        </is>
      </c>
      <c r="O2583" s="1" t="inlineStr"/>
      <c r="P2583" s="1" t="inlineStr"/>
      <c r="Q2583" s="1" t="inlineStr">
        <is>
          <t>Пользовательский интерфейс</t>
        </is>
      </c>
    </row>
    <row r="2584">
      <c r="B2584" s="1" t="inlineStr">
        <is>
          <t>200982823</t>
        </is>
      </c>
      <c r="C2584" s="1" t="inlineStr">
        <is>
          <t>14518357</t>
        </is>
      </c>
      <c r="D2584" t="inlineStr">
        <is>
          <t>работник 788</t>
        </is>
      </c>
      <c r="E2584" s="1" t="inlineStr">
        <is>
          <t>ОБЩЕСТВО С ОГРАНИЧЕННОЙ ОТВЕТСТВЕННОСТЬЮ "АМУР ЗОЛОТО"</t>
        </is>
      </c>
      <c r="F2584" s="1" t="inlineStr">
        <is>
          <t>2708001686</t>
        </is>
      </c>
      <c r="G2584" s="1" t="inlineStr">
        <is>
          <t>Машинист экскаватора</t>
        </is>
      </c>
      <c r="H2584" s="1" t="inlineStr">
        <is>
          <t>ООО "Амур Золото"</t>
        </is>
      </c>
      <c r="I2584" s="1" t="inlineStr">
        <is>
          <t>2708001686</t>
        </is>
      </c>
      <c r="J2584" s="1" t="inlineStr">
        <is>
          <t>ЮГОК АТЦ 26-01</t>
        </is>
      </c>
      <c r="K2584" s="1" t="inlineStr">
        <is>
          <t>Оказание первой помощи пострадавшим</t>
        </is>
      </c>
      <c r="L2584" s="1" t="inlineStr">
        <is>
          <t>06.06.2026</t>
        </is>
      </c>
      <c r="M2584" s="1" t="inlineStr">
        <is>
          <t>Успешно</t>
        </is>
      </c>
      <c r="N2584" s="1" t="inlineStr">
        <is>
          <t>08.06.2026</t>
        </is>
      </c>
      <c r="O2584" s="1" t="inlineStr"/>
      <c r="P2584" s="1" t="inlineStr"/>
      <c r="Q2584" s="1" t="inlineStr">
        <is>
          <t>Пользовательский интерфейс</t>
        </is>
      </c>
    </row>
    <row r="2585">
      <c r="B2585" s="1" t="inlineStr">
        <is>
          <t>200982824</t>
        </is>
      </c>
      <c r="C2585" s="1" t="inlineStr">
        <is>
          <t>14518357</t>
        </is>
      </c>
      <c r="D2585" t="inlineStr">
        <is>
          <t>работник 788</t>
        </is>
      </c>
      <c r="E2585" s="1" t="inlineStr">
        <is>
          <t>ОБЩЕСТВО С ОГРАНИЧЕННОЙ ОТВЕТСТВЕННОСТЬЮ "АМУР ЗОЛОТО"</t>
        </is>
      </c>
      <c r="F2585" s="1" t="inlineStr">
        <is>
          <t>2708001686</t>
        </is>
      </c>
      <c r="G2585" s="1" t="inlineStr">
        <is>
          <t>Машинист экскаватора</t>
        </is>
      </c>
      <c r="H2585" s="1" t="inlineStr">
        <is>
          <t>ООО "Амур Золото"</t>
        </is>
      </c>
      <c r="I2585" s="1" t="inlineStr">
        <is>
          <t>2708001686</t>
        </is>
      </c>
      <c r="J2585" s="1" t="inlineStr">
        <is>
          <t>ЮГОК АТЦ 26-01</t>
        </is>
      </c>
      <c r="K2585" s="1" t="inlineStr">
        <is>
          <t>Использование (применение) средств индивидуальной защиты</t>
        </is>
      </c>
      <c r="L2585" s="1" t="inlineStr">
        <is>
          <t>06.06.2026</t>
        </is>
      </c>
      <c r="M2585" s="1" t="inlineStr">
        <is>
          <t>Успешно</t>
        </is>
      </c>
      <c r="N2585" s="1" t="inlineStr">
        <is>
          <t>08.06.2026</t>
        </is>
      </c>
      <c r="O2585" s="1" t="inlineStr"/>
      <c r="P2585" s="1" t="inlineStr"/>
      <c r="Q2585" s="1" t="inlineStr">
        <is>
          <t>Пользовательский интерфейс</t>
        </is>
      </c>
    </row>
    <row r="2586">
      <c r="B2586" s="1" t="inlineStr">
        <is>
          <t>200982825</t>
        </is>
      </c>
      <c r="C2586" s="1" t="inlineStr">
        <is>
          <t>14518357</t>
        </is>
      </c>
      <c r="D2586" t="inlineStr">
        <is>
          <t>работник 788</t>
        </is>
      </c>
      <c r="E2586" s="1" t="inlineStr">
        <is>
          <t>ОБЩЕСТВО С ОГРАНИЧЕННОЙ ОТВЕТСТВЕННОСТЬЮ "АМУР ЗОЛОТО"</t>
        </is>
      </c>
      <c r="F2586" s="1" t="inlineStr">
        <is>
          <t>2708001686</t>
        </is>
      </c>
      <c r="G2586" s="1" t="inlineStr">
        <is>
          <t>Машинист экскаватора</t>
        </is>
      </c>
      <c r="H2586" s="1" t="inlineStr">
        <is>
          <t>ООО "Амур Золото"</t>
        </is>
      </c>
      <c r="I2586" s="1" t="inlineStr">
        <is>
          <t>2708001686</t>
        </is>
      </c>
      <c r="J2586" s="1" t="inlineStr">
        <is>
          <t>ЮГОК АТЦ 26-01</t>
        </is>
      </c>
      <c r="K258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586" s="1" t="inlineStr">
        <is>
          <t>06.06.2026</t>
        </is>
      </c>
      <c r="M2586" s="1" t="inlineStr">
        <is>
          <t>Успешно</t>
        </is>
      </c>
      <c r="N2586" s="1" t="inlineStr">
        <is>
          <t>08.06.2026</t>
        </is>
      </c>
      <c r="O2586" s="1" t="inlineStr"/>
      <c r="P2586" s="1" t="inlineStr"/>
      <c r="Q2586" s="1" t="inlineStr">
        <is>
          <t>Пользовательский интерфейс</t>
        </is>
      </c>
    </row>
    <row r="2587">
      <c r="B2587" s="1" t="inlineStr">
        <is>
          <t>200982826</t>
        </is>
      </c>
      <c r="C2587" s="1" t="inlineStr">
        <is>
          <t>14518357</t>
        </is>
      </c>
      <c r="D2587" t="inlineStr">
        <is>
          <t>работник 789</t>
        </is>
      </c>
      <c r="E2587" s="1" t="inlineStr">
        <is>
          <t>ОБЩЕСТВО С ОГРАНИЧЕННОЙ ОТВЕТСТВЕННОСТЬЮ "АМУР ЗОЛОТО"</t>
        </is>
      </c>
      <c r="F2587" s="1" t="inlineStr">
        <is>
          <t>2708001686</t>
        </is>
      </c>
      <c r="G2587" s="1" t="inlineStr">
        <is>
          <t>Машинист экскаватора</t>
        </is>
      </c>
      <c r="H2587" s="1" t="inlineStr">
        <is>
          <t>ООО "Амур Золото"</t>
        </is>
      </c>
      <c r="I2587" s="1" t="inlineStr">
        <is>
          <t>2708001686</t>
        </is>
      </c>
      <c r="J2587" s="1" t="inlineStr">
        <is>
          <t>ЮГОК АТЦ 26-01</t>
        </is>
      </c>
      <c r="K2587" s="1" t="inlineStr">
        <is>
          <t>Оказание первой помощи пострадавшим</t>
        </is>
      </c>
      <c r="L2587" s="1" t="inlineStr">
        <is>
          <t>06.06.2026</t>
        </is>
      </c>
      <c r="M2587" s="1" t="inlineStr">
        <is>
          <t>Успешно</t>
        </is>
      </c>
      <c r="N2587" s="1" t="inlineStr">
        <is>
          <t>08.06.2026</t>
        </is>
      </c>
      <c r="O2587" s="1" t="inlineStr"/>
      <c r="P2587" s="1" t="inlineStr"/>
      <c r="Q2587" s="1" t="inlineStr">
        <is>
          <t>Пользовательский интерфейс</t>
        </is>
      </c>
    </row>
    <row r="2588">
      <c r="B2588" s="1" t="inlineStr">
        <is>
          <t>200982827</t>
        </is>
      </c>
      <c r="C2588" s="1" t="inlineStr">
        <is>
          <t>14518357</t>
        </is>
      </c>
      <c r="D2588" t="inlineStr">
        <is>
          <t>работник 789</t>
        </is>
      </c>
      <c r="E2588" s="1" t="inlineStr">
        <is>
          <t>ОБЩЕСТВО С ОГРАНИЧЕННОЙ ОТВЕТСТВЕННОСТЬЮ "АМУР ЗОЛОТО"</t>
        </is>
      </c>
      <c r="F2588" s="1" t="inlineStr">
        <is>
          <t>2708001686</t>
        </is>
      </c>
      <c r="G2588" s="1" t="inlineStr">
        <is>
          <t>Машинист экскаватора</t>
        </is>
      </c>
      <c r="H2588" s="1" t="inlineStr">
        <is>
          <t>ООО "Амур Золото"</t>
        </is>
      </c>
      <c r="I2588" s="1" t="inlineStr">
        <is>
          <t>2708001686</t>
        </is>
      </c>
      <c r="J2588" s="1" t="inlineStr">
        <is>
          <t>ЮГОК АТЦ 26-01</t>
        </is>
      </c>
      <c r="K2588" s="1" t="inlineStr">
        <is>
          <t>Использование (применение) средств индивидуальной защиты</t>
        </is>
      </c>
      <c r="L2588" s="1" t="inlineStr">
        <is>
          <t>06.06.2026</t>
        </is>
      </c>
      <c r="M2588" s="1" t="inlineStr">
        <is>
          <t>Успешно</t>
        </is>
      </c>
      <c r="N2588" s="1" t="inlineStr">
        <is>
          <t>08.06.2026</t>
        </is>
      </c>
      <c r="O2588" s="1" t="inlineStr"/>
      <c r="P2588" s="1" t="inlineStr"/>
      <c r="Q2588" s="1" t="inlineStr">
        <is>
          <t>Пользовательский интерфейс</t>
        </is>
      </c>
    </row>
    <row r="2589">
      <c r="B2589" s="1" t="inlineStr">
        <is>
          <t>200982828</t>
        </is>
      </c>
      <c r="C2589" s="1" t="inlineStr">
        <is>
          <t>14518357</t>
        </is>
      </c>
      <c r="D2589" t="inlineStr">
        <is>
          <t>работник 789</t>
        </is>
      </c>
      <c r="E2589" s="1" t="inlineStr">
        <is>
          <t>ОБЩЕСТВО С ОГРАНИЧЕННОЙ ОТВЕТСТВЕННОСТЬЮ "АМУР ЗОЛОТО"</t>
        </is>
      </c>
      <c r="F2589" s="1" t="inlineStr">
        <is>
          <t>2708001686</t>
        </is>
      </c>
      <c r="G2589" s="1" t="inlineStr">
        <is>
          <t>Машинист экскаватора</t>
        </is>
      </c>
      <c r="H2589" s="1" t="inlineStr">
        <is>
          <t>ООО "Амур Золото"</t>
        </is>
      </c>
      <c r="I2589" s="1" t="inlineStr">
        <is>
          <t>2708001686</t>
        </is>
      </c>
      <c r="J2589" s="1" t="inlineStr">
        <is>
          <t>ЮГОК АТЦ 26-01</t>
        </is>
      </c>
      <c r="K258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589" s="1" t="inlineStr">
        <is>
          <t>06.06.2026</t>
        </is>
      </c>
      <c r="M2589" s="1" t="inlineStr">
        <is>
          <t>Успешно</t>
        </is>
      </c>
      <c r="N2589" s="1" t="inlineStr">
        <is>
          <t>08.06.2026</t>
        </is>
      </c>
      <c r="O2589" s="1" t="inlineStr"/>
      <c r="P2589" s="1" t="inlineStr"/>
      <c r="Q2589" s="1" t="inlineStr">
        <is>
          <t>Пользовательский интерфейс</t>
        </is>
      </c>
    </row>
    <row r="2590">
      <c r="B2590" s="1" t="inlineStr">
        <is>
          <t>200982829</t>
        </is>
      </c>
      <c r="C2590" s="1" t="inlineStr">
        <is>
          <t>14518357</t>
        </is>
      </c>
      <c r="D2590" t="inlineStr">
        <is>
          <t>работник 790</t>
        </is>
      </c>
      <c r="E2590" s="1" t="inlineStr">
        <is>
          <t>ОБЩЕСТВО С ОГРАНИЧЕННОЙ ОТВЕТСТВЕННОСТЬЮ "АМУР ЗОЛОТО"</t>
        </is>
      </c>
      <c r="F2590" s="1" t="inlineStr">
        <is>
          <t>2708001686</t>
        </is>
      </c>
      <c r="G2590" s="1" t="inlineStr">
        <is>
          <t>Машинист экскаватора</t>
        </is>
      </c>
      <c r="H2590" s="1" t="inlineStr">
        <is>
          <t>ООО "Амур Золото"</t>
        </is>
      </c>
      <c r="I2590" s="1" t="inlineStr">
        <is>
          <t>2708001686</t>
        </is>
      </c>
      <c r="J2590" s="1" t="inlineStr">
        <is>
          <t>ЮГОК АТЦ 26-01</t>
        </is>
      </c>
      <c r="K2590" s="1" t="inlineStr">
        <is>
          <t>Оказание первой помощи пострадавшим</t>
        </is>
      </c>
      <c r="L2590" s="1" t="inlineStr">
        <is>
          <t>06.06.2026</t>
        </is>
      </c>
      <c r="M2590" s="1" t="inlineStr">
        <is>
          <t>Успешно</t>
        </is>
      </c>
      <c r="N2590" s="1" t="inlineStr">
        <is>
          <t>08.06.2026</t>
        </is>
      </c>
      <c r="O2590" s="1" t="inlineStr"/>
      <c r="P2590" s="1" t="inlineStr"/>
      <c r="Q2590" s="1" t="inlineStr">
        <is>
          <t>Пользовательский интерфейс</t>
        </is>
      </c>
    </row>
    <row r="2591">
      <c r="B2591" s="1" t="inlineStr">
        <is>
          <t>200982830</t>
        </is>
      </c>
      <c r="C2591" s="1" t="inlineStr">
        <is>
          <t>14518357</t>
        </is>
      </c>
      <c r="D2591" t="inlineStr">
        <is>
          <t>работник 790</t>
        </is>
      </c>
      <c r="E2591" s="1" t="inlineStr">
        <is>
          <t>ОБЩЕСТВО С ОГРАНИЧЕННОЙ ОТВЕТСТВЕННОСТЬЮ "АМУР ЗОЛОТО"</t>
        </is>
      </c>
      <c r="F2591" s="1" t="inlineStr">
        <is>
          <t>2708001686</t>
        </is>
      </c>
      <c r="G2591" s="1" t="inlineStr">
        <is>
          <t>Машинист экскаватора</t>
        </is>
      </c>
      <c r="H2591" s="1" t="inlineStr">
        <is>
          <t>ООО "Амур Золото"</t>
        </is>
      </c>
      <c r="I2591" s="1" t="inlineStr">
        <is>
          <t>2708001686</t>
        </is>
      </c>
      <c r="J2591" s="1" t="inlineStr">
        <is>
          <t>ЮГОК АТЦ 26-01</t>
        </is>
      </c>
      <c r="K2591" s="1" t="inlineStr">
        <is>
          <t>Использование (применение) средств индивидуальной защиты</t>
        </is>
      </c>
      <c r="L2591" s="1" t="inlineStr">
        <is>
          <t>06.06.2026</t>
        </is>
      </c>
      <c r="M2591" s="1" t="inlineStr">
        <is>
          <t>Успешно</t>
        </is>
      </c>
      <c r="N2591" s="1" t="inlineStr">
        <is>
          <t>08.06.2026</t>
        </is>
      </c>
      <c r="O2591" s="1" t="inlineStr"/>
      <c r="P2591" s="1" t="inlineStr"/>
      <c r="Q2591" s="1" t="inlineStr">
        <is>
          <t>Пользовательский интерфейс</t>
        </is>
      </c>
    </row>
    <row r="2592">
      <c r="B2592" s="1" t="inlineStr">
        <is>
          <t>200982831</t>
        </is>
      </c>
      <c r="C2592" s="1" t="inlineStr">
        <is>
          <t>14518357</t>
        </is>
      </c>
      <c r="D2592" t="inlineStr">
        <is>
          <t>работник 790</t>
        </is>
      </c>
      <c r="E2592" s="1" t="inlineStr">
        <is>
          <t>ОБЩЕСТВО С ОГРАНИЧЕННОЙ ОТВЕТСТВЕННОСТЬЮ "АМУР ЗОЛОТО"</t>
        </is>
      </c>
      <c r="F2592" s="1" t="inlineStr">
        <is>
          <t>2708001686</t>
        </is>
      </c>
      <c r="G2592" s="1" t="inlineStr">
        <is>
          <t>Машинист экскаватора</t>
        </is>
      </c>
      <c r="H2592" s="1" t="inlineStr">
        <is>
          <t>ООО "Амур Золото"</t>
        </is>
      </c>
      <c r="I2592" s="1" t="inlineStr">
        <is>
          <t>2708001686</t>
        </is>
      </c>
      <c r="J2592" s="1" t="inlineStr">
        <is>
          <t>ЮГОК АТЦ 26-01</t>
        </is>
      </c>
      <c r="K259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592" s="1" t="inlineStr">
        <is>
          <t>06.06.2026</t>
        </is>
      </c>
      <c r="M2592" s="1" t="inlineStr">
        <is>
          <t>Успешно</t>
        </is>
      </c>
      <c r="N2592" s="1" t="inlineStr">
        <is>
          <t>08.06.2026</t>
        </is>
      </c>
      <c r="O2592" s="1" t="inlineStr"/>
      <c r="P2592" s="1" t="inlineStr"/>
      <c r="Q2592" s="1" t="inlineStr">
        <is>
          <t>Пользовательский интерфейс</t>
        </is>
      </c>
    </row>
    <row r="2593">
      <c r="B2593" s="1" t="inlineStr">
        <is>
          <t>200982832</t>
        </is>
      </c>
      <c r="C2593" s="1" t="inlineStr">
        <is>
          <t>14518357</t>
        </is>
      </c>
      <c r="D2593" t="inlineStr">
        <is>
          <t>работник 791</t>
        </is>
      </c>
      <c r="E2593" s="1" t="inlineStr">
        <is>
          <t>ОБЩЕСТВО С ОГРАНИЧЕННОЙ ОТВЕТСТВЕННОСТЬЮ "АМУР ЗОЛОТО"</t>
        </is>
      </c>
      <c r="F2593" s="1" t="inlineStr">
        <is>
          <t>2708001686</t>
        </is>
      </c>
      <c r="G2593" s="1" t="inlineStr">
        <is>
          <t>Машинист экскаватора</t>
        </is>
      </c>
      <c r="H2593" s="1" t="inlineStr">
        <is>
          <t>ООО "Амур Золото"</t>
        </is>
      </c>
      <c r="I2593" s="1" t="inlineStr">
        <is>
          <t>2708001686</t>
        </is>
      </c>
      <c r="J2593" s="1" t="inlineStr">
        <is>
          <t>ЮГОК АТЦ 26-01</t>
        </is>
      </c>
      <c r="K2593" s="1" t="inlineStr">
        <is>
          <t>Оказание первой помощи пострадавшим</t>
        </is>
      </c>
      <c r="L2593" s="1" t="inlineStr">
        <is>
          <t>06.06.2026</t>
        </is>
      </c>
      <c r="M2593" s="1" t="inlineStr">
        <is>
          <t>Успешно</t>
        </is>
      </c>
      <c r="N2593" s="1" t="inlineStr">
        <is>
          <t>08.06.2026</t>
        </is>
      </c>
      <c r="O2593" s="1" t="inlineStr"/>
      <c r="P2593" s="1" t="inlineStr"/>
      <c r="Q2593" s="1" t="inlineStr">
        <is>
          <t>Пользовательский интерфейс</t>
        </is>
      </c>
    </row>
    <row r="2594">
      <c r="B2594" s="1" t="inlineStr">
        <is>
          <t>200982833</t>
        </is>
      </c>
      <c r="C2594" s="1" t="inlineStr">
        <is>
          <t>14518357</t>
        </is>
      </c>
      <c r="D2594" t="inlineStr">
        <is>
          <t>работник 791</t>
        </is>
      </c>
      <c r="E2594" s="1" t="inlineStr">
        <is>
          <t>ОБЩЕСТВО С ОГРАНИЧЕННОЙ ОТВЕТСТВЕННОСТЬЮ "АМУР ЗОЛОТО"</t>
        </is>
      </c>
      <c r="F2594" s="1" t="inlineStr">
        <is>
          <t>2708001686</t>
        </is>
      </c>
      <c r="G2594" s="1" t="inlineStr">
        <is>
          <t>Машинист экскаватора</t>
        </is>
      </c>
      <c r="H2594" s="1" t="inlineStr">
        <is>
          <t>ООО "Амур Золото"</t>
        </is>
      </c>
      <c r="I2594" s="1" t="inlineStr">
        <is>
          <t>2708001686</t>
        </is>
      </c>
      <c r="J2594" s="1" t="inlineStr">
        <is>
          <t>ЮГОК АТЦ 26-01</t>
        </is>
      </c>
      <c r="K2594" s="1" t="inlineStr">
        <is>
          <t>Использование (применение) средств индивидуальной защиты</t>
        </is>
      </c>
      <c r="L2594" s="1" t="inlineStr">
        <is>
          <t>06.06.2026</t>
        </is>
      </c>
      <c r="M2594" s="1" t="inlineStr">
        <is>
          <t>Успешно</t>
        </is>
      </c>
      <c r="N2594" s="1" t="inlineStr">
        <is>
          <t>08.06.2026</t>
        </is>
      </c>
      <c r="O2594" s="1" t="inlineStr"/>
      <c r="P2594" s="1" t="inlineStr"/>
      <c r="Q2594" s="1" t="inlineStr">
        <is>
          <t>Пользовательский интерфейс</t>
        </is>
      </c>
    </row>
    <row r="2595">
      <c r="B2595" s="1" t="inlineStr">
        <is>
          <t>200982834</t>
        </is>
      </c>
      <c r="C2595" s="1" t="inlineStr">
        <is>
          <t>14518357</t>
        </is>
      </c>
      <c r="D2595" t="inlineStr">
        <is>
          <t>работник 791</t>
        </is>
      </c>
      <c r="E2595" s="1" t="inlineStr">
        <is>
          <t>ОБЩЕСТВО С ОГРАНИЧЕННОЙ ОТВЕТСТВЕННОСТЬЮ "АМУР ЗОЛОТО"</t>
        </is>
      </c>
      <c r="F2595" s="1" t="inlineStr">
        <is>
          <t>2708001686</t>
        </is>
      </c>
      <c r="G2595" s="1" t="inlineStr">
        <is>
          <t>Машинист экскаватора</t>
        </is>
      </c>
      <c r="H2595" s="1" t="inlineStr">
        <is>
          <t>ООО "Амур Золото"</t>
        </is>
      </c>
      <c r="I2595" s="1" t="inlineStr">
        <is>
          <t>2708001686</t>
        </is>
      </c>
      <c r="J2595" s="1" t="inlineStr">
        <is>
          <t>ЮГОК АТЦ 26-01</t>
        </is>
      </c>
      <c r="K259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595" s="1" t="inlineStr">
        <is>
          <t>06.06.2026</t>
        </is>
      </c>
      <c r="M2595" s="1" t="inlineStr">
        <is>
          <t>Успешно</t>
        </is>
      </c>
      <c r="N2595" s="1" t="inlineStr">
        <is>
          <t>08.06.2026</t>
        </is>
      </c>
      <c r="O2595" s="1" t="inlineStr"/>
      <c r="P2595" s="1" t="inlineStr"/>
      <c r="Q2595" s="1" t="inlineStr">
        <is>
          <t>Пользовательский интерфейс</t>
        </is>
      </c>
    </row>
    <row r="2596">
      <c r="B2596" s="1" t="inlineStr">
        <is>
          <t>200982835</t>
        </is>
      </c>
      <c r="C2596" s="1" t="inlineStr">
        <is>
          <t>14518357</t>
        </is>
      </c>
      <c r="D2596" t="inlineStr">
        <is>
          <t>работник 792</t>
        </is>
      </c>
      <c r="E2596" s="1" t="inlineStr">
        <is>
          <t>ОБЩЕСТВО С ОГРАНИЧЕННОЙ ОТВЕТСТВЕННОСТЬЮ "АМУР ЗОЛОТО"</t>
        </is>
      </c>
      <c r="F2596" s="1" t="inlineStr">
        <is>
          <t>2708001686</t>
        </is>
      </c>
      <c r="G2596" s="1" t="inlineStr">
        <is>
          <t>Машинист экскаватора</t>
        </is>
      </c>
      <c r="H2596" s="1" t="inlineStr">
        <is>
          <t>ООО "Амур Золото"</t>
        </is>
      </c>
      <c r="I2596" s="1" t="inlineStr">
        <is>
          <t>2708001686</t>
        </is>
      </c>
      <c r="J2596" s="1" t="inlineStr">
        <is>
          <t>ЮГОК АТЦ 26-01</t>
        </is>
      </c>
      <c r="K2596" s="1" t="inlineStr">
        <is>
          <t>Оказание первой помощи пострадавшим</t>
        </is>
      </c>
      <c r="L2596" s="1" t="inlineStr">
        <is>
          <t>06.06.2026</t>
        </is>
      </c>
      <c r="M2596" s="1" t="inlineStr">
        <is>
          <t>Успешно</t>
        </is>
      </c>
      <c r="N2596" s="1" t="inlineStr">
        <is>
          <t>08.06.2026</t>
        </is>
      </c>
      <c r="O2596" s="1" t="inlineStr"/>
      <c r="P2596" s="1" t="inlineStr"/>
      <c r="Q2596" s="1" t="inlineStr">
        <is>
          <t>Пользовательский интерфейс</t>
        </is>
      </c>
    </row>
    <row r="2597">
      <c r="B2597" s="1" t="inlineStr">
        <is>
          <t>200982836</t>
        </is>
      </c>
      <c r="C2597" s="1" t="inlineStr">
        <is>
          <t>14518357</t>
        </is>
      </c>
      <c r="D2597" t="inlineStr">
        <is>
          <t>работник 792</t>
        </is>
      </c>
      <c r="E2597" s="1" t="inlineStr">
        <is>
          <t>ОБЩЕСТВО С ОГРАНИЧЕННОЙ ОТВЕТСТВЕННОСТЬЮ "АМУР ЗОЛОТО"</t>
        </is>
      </c>
      <c r="F2597" s="1" t="inlineStr">
        <is>
          <t>2708001686</t>
        </is>
      </c>
      <c r="G2597" s="1" t="inlineStr">
        <is>
          <t>Машинист экскаватора</t>
        </is>
      </c>
      <c r="H2597" s="1" t="inlineStr">
        <is>
          <t>ООО "Амур Золото"</t>
        </is>
      </c>
      <c r="I2597" s="1" t="inlineStr">
        <is>
          <t>2708001686</t>
        </is>
      </c>
      <c r="J2597" s="1" t="inlineStr">
        <is>
          <t>ЮГОК АТЦ 26-01</t>
        </is>
      </c>
      <c r="K2597" s="1" t="inlineStr">
        <is>
          <t>Использование (применение) средств индивидуальной защиты</t>
        </is>
      </c>
      <c r="L2597" s="1" t="inlineStr">
        <is>
          <t>06.06.2026</t>
        </is>
      </c>
      <c r="M2597" s="1" t="inlineStr">
        <is>
          <t>Успешно</t>
        </is>
      </c>
      <c r="N2597" s="1" t="inlineStr">
        <is>
          <t>08.06.2026</t>
        </is>
      </c>
      <c r="O2597" s="1" t="inlineStr"/>
      <c r="P2597" s="1" t="inlineStr"/>
      <c r="Q2597" s="1" t="inlineStr">
        <is>
          <t>Пользовательский интерфейс</t>
        </is>
      </c>
    </row>
    <row r="2598">
      <c r="B2598" s="1" t="inlineStr">
        <is>
          <t>200982837</t>
        </is>
      </c>
      <c r="C2598" s="1" t="inlineStr">
        <is>
          <t>14518357</t>
        </is>
      </c>
      <c r="D2598" t="inlineStr">
        <is>
          <t>работник 792</t>
        </is>
      </c>
      <c r="E2598" s="1" t="inlineStr">
        <is>
          <t>ОБЩЕСТВО С ОГРАНИЧЕННОЙ ОТВЕТСТВЕННОСТЬЮ "АМУР ЗОЛОТО"</t>
        </is>
      </c>
      <c r="F2598" s="1" t="inlineStr">
        <is>
          <t>2708001686</t>
        </is>
      </c>
      <c r="G2598" s="1" t="inlineStr">
        <is>
          <t>Машинист экскаватора</t>
        </is>
      </c>
      <c r="H2598" s="1" t="inlineStr">
        <is>
          <t>ООО "Амур Золото"</t>
        </is>
      </c>
      <c r="I2598" s="1" t="inlineStr">
        <is>
          <t>2708001686</t>
        </is>
      </c>
      <c r="J2598" s="1" t="inlineStr">
        <is>
          <t>ЮГОК АТЦ 26-01</t>
        </is>
      </c>
      <c r="K259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598" s="1" t="inlineStr">
        <is>
          <t>06.06.2026</t>
        </is>
      </c>
      <c r="M2598" s="1" t="inlineStr">
        <is>
          <t>Успешно</t>
        </is>
      </c>
      <c r="N2598" s="1" t="inlineStr">
        <is>
          <t>08.06.2026</t>
        </is>
      </c>
      <c r="O2598" s="1" t="inlineStr"/>
      <c r="P2598" s="1" t="inlineStr"/>
      <c r="Q2598" s="1" t="inlineStr">
        <is>
          <t>Пользовательский интерфейс</t>
        </is>
      </c>
    </row>
    <row r="2599">
      <c r="B2599" s="1" t="inlineStr">
        <is>
          <t>200982838</t>
        </is>
      </c>
      <c r="C2599" s="1" t="inlineStr">
        <is>
          <t>14518357</t>
        </is>
      </c>
      <c r="D2599" t="inlineStr">
        <is>
          <t>работник 793</t>
        </is>
      </c>
      <c r="E2599" s="1" t="inlineStr">
        <is>
          <t>ОБЩЕСТВО С ОГРАНИЧЕННОЙ ОТВЕТСТВЕННОСТЬЮ "АМУР ЗОЛОТО"</t>
        </is>
      </c>
      <c r="F2599" s="1" t="inlineStr">
        <is>
          <t>2708001686</t>
        </is>
      </c>
      <c r="G2599" s="1" t="inlineStr">
        <is>
          <t>Водитель погрузчика</t>
        </is>
      </c>
      <c r="H2599" s="1" t="inlineStr">
        <is>
          <t>ООО "Амур Золото"</t>
        </is>
      </c>
      <c r="I2599" s="1" t="inlineStr">
        <is>
          <t>2708001686</t>
        </is>
      </c>
      <c r="J2599" s="1" t="inlineStr">
        <is>
          <t>ЮГОК АТЦ 26-01</t>
        </is>
      </c>
      <c r="K2599" s="1" t="inlineStr">
        <is>
          <t>Оказание первой помощи пострадавшим</t>
        </is>
      </c>
      <c r="L2599" s="1" t="inlineStr">
        <is>
          <t>06.06.2026</t>
        </is>
      </c>
      <c r="M2599" s="1" t="inlineStr">
        <is>
          <t>Успешно</t>
        </is>
      </c>
      <c r="N2599" s="1" t="inlineStr">
        <is>
          <t>08.06.2026</t>
        </is>
      </c>
      <c r="O2599" s="1" t="inlineStr"/>
      <c r="P2599" s="1" t="inlineStr"/>
      <c r="Q2599" s="1" t="inlineStr">
        <is>
          <t>Пользовательский интерфейс</t>
        </is>
      </c>
    </row>
    <row r="2600">
      <c r="B2600" s="1" t="inlineStr">
        <is>
          <t>200982839</t>
        </is>
      </c>
      <c r="C2600" s="1" t="inlineStr">
        <is>
          <t>14518357</t>
        </is>
      </c>
      <c r="D2600" t="inlineStr">
        <is>
          <t>работник 793</t>
        </is>
      </c>
      <c r="E2600" s="1" t="inlineStr">
        <is>
          <t>ОБЩЕСТВО С ОГРАНИЧЕННОЙ ОТВЕТСТВЕННОСТЬЮ "АМУР ЗОЛОТО"</t>
        </is>
      </c>
      <c r="F2600" s="1" t="inlineStr">
        <is>
          <t>2708001686</t>
        </is>
      </c>
      <c r="G2600" s="1" t="inlineStr">
        <is>
          <t>Водитель погрузчика</t>
        </is>
      </c>
      <c r="H2600" s="1" t="inlineStr">
        <is>
          <t>ООО "Амур Золото"</t>
        </is>
      </c>
      <c r="I2600" s="1" t="inlineStr">
        <is>
          <t>2708001686</t>
        </is>
      </c>
      <c r="J2600" s="1" t="inlineStr">
        <is>
          <t>ЮГОК АТЦ 26-01</t>
        </is>
      </c>
      <c r="K2600" s="1" t="inlineStr">
        <is>
          <t>Использование (применение) средств индивидуальной защиты</t>
        </is>
      </c>
      <c r="L2600" s="1" t="inlineStr">
        <is>
          <t>06.06.2026</t>
        </is>
      </c>
      <c r="M2600" s="1" t="inlineStr">
        <is>
          <t>Успешно</t>
        </is>
      </c>
      <c r="N2600" s="1" t="inlineStr">
        <is>
          <t>08.06.2026</t>
        </is>
      </c>
      <c r="O2600" s="1" t="inlineStr"/>
      <c r="P2600" s="1" t="inlineStr"/>
      <c r="Q2600" s="1" t="inlineStr">
        <is>
          <t>Пользовательский интерфейс</t>
        </is>
      </c>
    </row>
    <row r="2601">
      <c r="B2601" s="1" t="inlineStr">
        <is>
          <t>200982840</t>
        </is>
      </c>
      <c r="C2601" s="1" t="inlineStr">
        <is>
          <t>14518357</t>
        </is>
      </c>
      <c r="D2601" t="inlineStr">
        <is>
          <t>работник 793</t>
        </is>
      </c>
      <c r="E2601" s="1" t="inlineStr">
        <is>
          <t>ОБЩЕСТВО С ОГРАНИЧЕННОЙ ОТВЕТСТВЕННОСТЬЮ "АМУР ЗОЛОТО"</t>
        </is>
      </c>
      <c r="F2601" s="1" t="inlineStr">
        <is>
          <t>2708001686</t>
        </is>
      </c>
      <c r="G2601" s="1" t="inlineStr">
        <is>
          <t>Водитель погрузчика</t>
        </is>
      </c>
      <c r="H2601" s="1" t="inlineStr">
        <is>
          <t>ООО "Амур Золото"</t>
        </is>
      </c>
      <c r="I2601" s="1" t="inlineStr">
        <is>
          <t>2708001686</t>
        </is>
      </c>
      <c r="J2601" s="1" t="inlineStr">
        <is>
          <t>ЮГОК АТЦ 26-01</t>
        </is>
      </c>
      <c r="K260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601" s="1" t="inlineStr">
        <is>
          <t>06.06.2026</t>
        </is>
      </c>
      <c r="M2601" s="1" t="inlineStr">
        <is>
          <t>Успешно</t>
        </is>
      </c>
      <c r="N2601" s="1" t="inlineStr">
        <is>
          <t>08.06.2026</t>
        </is>
      </c>
      <c r="O2601" s="1" t="inlineStr"/>
      <c r="P2601" s="1" t="inlineStr"/>
      <c r="Q2601" s="1" t="inlineStr">
        <is>
          <t>Пользовательский интерфейс</t>
        </is>
      </c>
    </row>
    <row r="2602">
      <c r="B2602" s="1" t="inlineStr">
        <is>
          <t>200982841</t>
        </is>
      </c>
      <c r="C2602" s="1" t="inlineStr">
        <is>
          <t>14518357</t>
        </is>
      </c>
      <c r="D2602" t="inlineStr">
        <is>
          <t>работник 794</t>
        </is>
      </c>
      <c r="E2602" s="1" t="inlineStr">
        <is>
          <t>ОБЩЕСТВО С ОГРАНИЧЕННОЙ ОТВЕТСТВЕННОСТЬЮ "АМУР ЗОЛОТО"</t>
        </is>
      </c>
      <c r="F2602" s="1" t="inlineStr">
        <is>
          <t>2708001686</t>
        </is>
      </c>
      <c r="G2602" s="1" t="inlineStr">
        <is>
          <t>Водитель погрузчика</t>
        </is>
      </c>
      <c r="H2602" s="1" t="inlineStr">
        <is>
          <t>ООО "Амур Золото"</t>
        </is>
      </c>
      <c r="I2602" s="1" t="inlineStr">
        <is>
          <t>2708001686</t>
        </is>
      </c>
      <c r="J2602" s="1" t="inlineStr">
        <is>
          <t>ЮГОК АТЦ 26-01</t>
        </is>
      </c>
      <c r="K2602" s="1" t="inlineStr">
        <is>
          <t>Использование (применение) средств индивидуальной защиты</t>
        </is>
      </c>
      <c r="L2602" s="1" t="inlineStr">
        <is>
          <t>06.06.2026</t>
        </is>
      </c>
      <c r="M2602" s="1" t="inlineStr">
        <is>
          <t>Успешно</t>
        </is>
      </c>
      <c r="N2602" s="1" t="inlineStr">
        <is>
          <t>08.06.2026</t>
        </is>
      </c>
      <c r="O2602" s="1" t="inlineStr"/>
      <c r="P2602" s="1" t="inlineStr"/>
      <c r="Q2602" s="1" t="inlineStr">
        <is>
          <t>Пользовательский интерфейс</t>
        </is>
      </c>
    </row>
    <row r="2603">
      <c r="B2603" s="1" t="inlineStr">
        <is>
          <t>200982842</t>
        </is>
      </c>
      <c r="C2603" s="1" t="inlineStr">
        <is>
          <t>14518357</t>
        </is>
      </c>
      <c r="D2603" t="inlineStr">
        <is>
          <t>работник 794</t>
        </is>
      </c>
      <c r="E2603" s="1" t="inlineStr">
        <is>
          <t>ОБЩЕСТВО С ОГРАНИЧЕННОЙ ОТВЕТСТВЕННОСТЬЮ "АМУР ЗОЛОТО"</t>
        </is>
      </c>
      <c r="F2603" s="1" t="inlineStr">
        <is>
          <t>2708001686</t>
        </is>
      </c>
      <c r="G2603" s="1" t="inlineStr">
        <is>
          <t>Водитель погрузчика</t>
        </is>
      </c>
      <c r="H2603" s="1" t="inlineStr">
        <is>
          <t>ООО "Амур Золото"</t>
        </is>
      </c>
      <c r="I2603" s="1" t="inlineStr">
        <is>
          <t>2708001686</t>
        </is>
      </c>
      <c r="J2603" s="1" t="inlineStr">
        <is>
          <t>ЮГОК АТЦ 26-01</t>
        </is>
      </c>
      <c r="K260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603" s="1" t="inlineStr">
        <is>
          <t>06.06.2026</t>
        </is>
      </c>
      <c r="M2603" s="1" t="inlineStr">
        <is>
          <t>Успешно</t>
        </is>
      </c>
      <c r="N2603" s="1" t="inlineStr">
        <is>
          <t>08.06.2026</t>
        </is>
      </c>
      <c r="O2603" s="1" t="inlineStr"/>
      <c r="P2603" s="1" t="inlineStr"/>
      <c r="Q2603" s="1" t="inlineStr">
        <is>
          <t>Пользовательский интерфейс</t>
        </is>
      </c>
    </row>
    <row r="2604">
      <c r="B2604" s="1" t="inlineStr">
        <is>
          <t>200982843</t>
        </is>
      </c>
      <c r="C2604" s="1" t="inlineStr">
        <is>
          <t>14518357</t>
        </is>
      </c>
      <c r="D2604" t="inlineStr">
        <is>
          <t>работник 465</t>
        </is>
      </c>
      <c r="E2604" s="1" t="inlineStr">
        <is>
          <t>ОБЩЕСТВО С ОГРАНИЧЕННОЙ ОТВЕТСТВЕННОСТЬЮ "АМУР ЗОЛОТО"</t>
        </is>
      </c>
      <c r="F2604" s="1" t="inlineStr">
        <is>
          <t>2708001686</t>
        </is>
      </c>
      <c r="G2604" s="1" t="inlineStr">
        <is>
          <t>Машинист крана автомобильного</t>
        </is>
      </c>
      <c r="H2604" s="1" t="inlineStr">
        <is>
          <t>ООО "Амур Золото"</t>
        </is>
      </c>
      <c r="I2604" s="1" t="inlineStr">
        <is>
          <t>2708001686</t>
        </is>
      </c>
      <c r="J2604" s="1" t="inlineStr">
        <is>
          <t>ЮГОК АТЦ 26-01</t>
        </is>
      </c>
      <c r="K2604" s="1" t="inlineStr">
        <is>
          <t>Оказание первой помощи пострадавшим</t>
        </is>
      </c>
      <c r="L2604" s="1" t="inlineStr">
        <is>
          <t>06.06.2026</t>
        </is>
      </c>
      <c r="M2604" s="1" t="inlineStr">
        <is>
          <t>Успешно</t>
        </is>
      </c>
      <c r="N2604" s="1" t="inlineStr">
        <is>
          <t>08.06.2026</t>
        </is>
      </c>
      <c r="O2604" s="1" t="inlineStr"/>
      <c r="P2604" s="1" t="inlineStr"/>
      <c r="Q2604" s="1" t="inlineStr">
        <is>
          <t>Пользовательский интерфейс</t>
        </is>
      </c>
    </row>
    <row r="2605">
      <c r="B2605" s="1" t="inlineStr">
        <is>
          <t>200982844</t>
        </is>
      </c>
      <c r="C2605" s="1" t="inlineStr">
        <is>
          <t>14518357</t>
        </is>
      </c>
      <c r="D2605" t="inlineStr">
        <is>
          <t>работник 795</t>
        </is>
      </c>
      <c r="E2605" s="1" t="inlineStr">
        <is>
          <t>ОБЩЕСТВО С ОГРАНИЧЕННОЙ ОТВЕТСТВЕННОСТЬЮ "АМУР ЗОЛОТО"</t>
        </is>
      </c>
      <c r="F2605" s="1" t="inlineStr">
        <is>
          <t>2708001686</t>
        </is>
      </c>
      <c r="G2605" s="1" t="inlineStr">
        <is>
          <t>Водитель автомобиля (топливозаправщик)</t>
        </is>
      </c>
      <c r="H2605" s="1" t="inlineStr">
        <is>
          <t>ООО "Амур Золото"</t>
        </is>
      </c>
      <c r="I2605" s="1" t="inlineStr">
        <is>
          <t>2708001686</t>
        </is>
      </c>
      <c r="J2605" s="1" t="inlineStr">
        <is>
          <t>ЮГОК АТЦ 26-01</t>
        </is>
      </c>
      <c r="K2605" s="1" t="inlineStr">
        <is>
          <t>Оказание первой помощи пострадавшим</t>
        </is>
      </c>
      <c r="L2605" s="1" t="inlineStr">
        <is>
          <t>06.06.2026</t>
        </is>
      </c>
      <c r="M2605" s="1" t="inlineStr">
        <is>
          <t>Успешно</t>
        </is>
      </c>
      <c r="N2605" s="1" t="inlineStr">
        <is>
          <t>08.06.2026</t>
        </is>
      </c>
      <c r="O2605" s="1" t="inlineStr"/>
      <c r="P2605" s="1" t="inlineStr"/>
      <c r="Q2605" s="1" t="inlineStr">
        <is>
          <t>Пользовательский интерфейс</t>
        </is>
      </c>
    </row>
    <row r="2606">
      <c r="B2606" s="1" t="inlineStr">
        <is>
          <t>200982845</t>
        </is>
      </c>
      <c r="C2606" s="1" t="inlineStr">
        <is>
          <t>14518357</t>
        </is>
      </c>
      <c r="D2606" t="inlineStr">
        <is>
          <t>работник 795</t>
        </is>
      </c>
      <c r="E2606" s="1" t="inlineStr">
        <is>
          <t>ОБЩЕСТВО С ОГРАНИЧЕННОЙ ОТВЕТСТВЕННОСТЬЮ "АМУР ЗОЛОТО"</t>
        </is>
      </c>
      <c r="F2606" s="1" t="inlineStr">
        <is>
          <t>2708001686</t>
        </is>
      </c>
      <c r="G2606" s="1" t="inlineStr">
        <is>
          <t>Водитель автомобиля (топливозаправщик)</t>
        </is>
      </c>
      <c r="H2606" s="1" t="inlineStr">
        <is>
          <t>ООО "Амур Золото"</t>
        </is>
      </c>
      <c r="I2606" s="1" t="inlineStr">
        <is>
          <t>2708001686</t>
        </is>
      </c>
      <c r="J2606" s="1" t="inlineStr">
        <is>
          <t>ЮГОК АТЦ 26-01</t>
        </is>
      </c>
      <c r="K2606" s="1" t="inlineStr">
        <is>
          <t>Использование (применение) средств индивидуальной защиты</t>
        </is>
      </c>
      <c r="L2606" s="1" t="inlineStr">
        <is>
          <t>06.06.2026</t>
        </is>
      </c>
      <c r="M2606" s="1" t="inlineStr">
        <is>
          <t>Успешно</t>
        </is>
      </c>
      <c r="N2606" s="1" t="inlineStr">
        <is>
          <t>08.06.2026</t>
        </is>
      </c>
      <c r="O2606" s="1" t="inlineStr"/>
      <c r="P2606" s="1" t="inlineStr"/>
      <c r="Q2606" s="1" t="inlineStr">
        <is>
          <t>Пользовательский интерфейс</t>
        </is>
      </c>
    </row>
    <row r="2607">
      <c r="B2607" s="1" t="inlineStr">
        <is>
          <t>200982846</t>
        </is>
      </c>
      <c r="C2607" s="1" t="inlineStr">
        <is>
          <t>14518357</t>
        </is>
      </c>
      <c r="D2607" t="inlineStr">
        <is>
          <t>работник 795</t>
        </is>
      </c>
      <c r="E2607" s="1" t="inlineStr">
        <is>
          <t>ОБЩЕСТВО С ОГРАНИЧЕННОЙ ОТВЕТСТВЕННОСТЬЮ "АМУР ЗОЛОТО"</t>
        </is>
      </c>
      <c r="F2607" s="1" t="inlineStr">
        <is>
          <t>2708001686</t>
        </is>
      </c>
      <c r="G2607" s="1" t="inlineStr">
        <is>
          <t>Водитель автомобиля (топливозаправщик)</t>
        </is>
      </c>
      <c r="H2607" s="1" t="inlineStr">
        <is>
          <t>ООО "Амур Золото"</t>
        </is>
      </c>
      <c r="I2607" s="1" t="inlineStr">
        <is>
          <t>2708001686</t>
        </is>
      </c>
      <c r="J2607" s="1" t="inlineStr">
        <is>
          <t>ЮГОК АТЦ 26-01</t>
        </is>
      </c>
      <c r="K260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607" s="1" t="inlineStr">
        <is>
          <t>06.06.2026</t>
        </is>
      </c>
      <c r="M2607" s="1" t="inlineStr">
        <is>
          <t>Успешно</t>
        </is>
      </c>
      <c r="N2607" s="1" t="inlineStr">
        <is>
          <t>08.06.2026</t>
        </is>
      </c>
      <c r="O2607" s="1" t="inlineStr"/>
      <c r="P2607" s="1" t="inlineStr"/>
      <c r="Q2607" s="1" t="inlineStr">
        <is>
          <t>Пользовательский интерфейс</t>
        </is>
      </c>
    </row>
    <row r="2608">
      <c r="B2608" s="1" t="inlineStr">
        <is>
          <t>200982847</t>
        </is>
      </c>
      <c r="C2608" s="1" t="inlineStr">
        <is>
          <t>14518357</t>
        </is>
      </c>
      <c r="D2608" t="inlineStr">
        <is>
          <t>работник 796</t>
        </is>
      </c>
      <c r="E2608" s="1" t="inlineStr">
        <is>
          <t>ОБЩЕСТВО С ОГРАНИЧЕННОЙ ОТВЕТСТВЕННОСТЬЮ "АМУР ЗОЛОТО"</t>
        </is>
      </c>
      <c r="F2608" s="1" t="inlineStr">
        <is>
          <t>2708001686</t>
        </is>
      </c>
      <c r="G2608" s="1" t="inlineStr">
        <is>
          <t>Водитель автомобиля (топливозаправщик)</t>
        </is>
      </c>
      <c r="H2608" s="1" t="inlineStr">
        <is>
          <t>ООО "Амур Золото"</t>
        </is>
      </c>
      <c r="I2608" s="1" t="inlineStr">
        <is>
          <t>2708001686</t>
        </is>
      </c>
      <c r="J2608" s="1" t="inlineStr">
        <is>
          <t>ЮГОК АТЦ 26-01</t>
        </is>
      </c>
      <c r="K2608" s="1" t="inlineStr">
        <is>
          <t>Оказание первой помощи пострадавшим</t>
        </is>
      </c>
      <c r="L2608" s="1" t="inlineStr">
        <is>
          <t>06.06.2026</t>
        </is>
      </c>
      <c r="M2608" s="1" t="inlineStr">
        <is>
          <t>Успешно</t>
        </is>
      </c>
      <c r="N2608" s="1" t="inlineStr">
        <is>
          <t>08.06.2026</t>
        </is>
      </c>
      <c r="O2608" s="1" t="inlineStr"/>
      <c r="P2608" s="1" t="inlineStr"/>
      <c r="Q2608" s="1" t="inlineStr">
        <is>
          <t>Пользовательский интерфейс</t>
        </is>
      </c>
    </row>
    <row r="2609">
      <c r="B2609" s="1" t="inlineStr">
        <is>
          <t>200982848</t>
        </is>
      </c>
      <c r="C2609" s="1" t="inlineStr">
        <is>
          <t>14518357</t>
        </is>
      </c>
      <c r="D2609" t="inlineStr">
        <is>
          <t>работник 796</t>
        </is>
      </c>
      <c r="E2609" s="1" t="inlineStr">
        <is>
          <t>ОБЩЕСТВО С ОГРАНИЧЕННОЙ ОТВЕТСТВЕННОСТЬЮ "АМУР ЗОЛОТО"</t>
        </is>
      </c>
      <c r="F2609" s="1" t="inlineStr">
        <is>
          <t>2708001686</t>
        </is>
      </c>
      <c r="G2609" s="1" t="inlineStr">
        <is>
          <t>Водитель автомобиля (топливозаправщик)</t>
        </is>
      </c>
      <c r="H2609" s="1" t="inlineStr">
        <is>
          <t>ООО "Амур Золото"</t>
        </is>
      </c>
      <c r="I2609" s="1" t="inlineStr">
        <is>
          <t>2708001686</t>
        </is>
      </c>
      <c r="J2609" s="1" t="inlineStr">
        <is>
          <t>ЮГОК АТЦ 26-01</t>
        </is>
      </c>
      <c r="K2609" s="1" t="inlineStr">
        <is>
          <t>Использование (применение) средств индивидуальной защиты</t>
        </is>
      </c>
      <c r="L2609" s="1" t="inlineStr">
        <is>
          <t>06.06.2026</t>
        </is>
      </c>
      <c r="M2609" s="1" t="inlineStr">
        <is>
          <t>Успешно</t>
        </is>
      </c>
      <c r="N2609" s="1" t="inlineStr">
        <is>
          <t>08.06.2026</t>
        </is>
      </c>
      <c r="O2609" s="1" t="inlineStr"/>
      <c r="P2609" s="1" t="inlineStr"/>
      <c r="Q2609" s="1" t="inlineStr">
        <is>
          <t>Пользовательский интерфейс</t>
        </is>
      </c>
    </row>
    <row r="2610">
      <c r="B2610" s="1" t="inlineStr">
        <is>
          <t>200982849</t>
        </is>
      </c>
      <c r="C2610" s="1" t="inlineStr">
        <is>
          <t>14518357</t>
        </is>
      </c>
      <c r="D2610" t="inlineStr">
        <is>
          <t>работник 796</t>
        </is>
      </c>
      <c r="E2610" s="1" t="inlineStr">
        <is>
          <t>ОБЩЕСТВО С ОГРАНИЧЕННОЙ ОТВЕТСТВЕННОСТЬЮ "АМУР ЗОЛОТО"</t>
        </is>
      </c>
      <c r="F2610" s="1" t="inlineStr">
        <is>
          <t>2708001686</t>
        </is>
      </c>
      <c r="G2610" s="1" t="inlineStr">
        <is>
          <t>Водитель автомобиля (топливозаправщик)</t>
        </is>
      </c>
      <c r="H2610" s="1" t="inlineStr">
        <is>
          <t>ООО "Амур Золото"</t>
        </is>
      </c>
      <c r="I2610" s="1" t="inlineStr">
        <is>
          <t>2708001686</t>
        </is>
      </c>
      <c r="J2610" s="1" t="inlineStr">
        <is>
          <t>ЮГОК АТЦ 26-01</t>
        </is>
      </c>
      <c r="K261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610" s="1" t="inlineStr">
        <is>
          <t>06.06.2026</t>
        </is>
      </c>
      <c r="M2610" s="1" t="inlineStr">
        <is>
          <t>Успешно</t>
        </is>
      </c>
      <c r="N2610" s="1" t="inlineStr">
        <is>
          <t>08.06.2026</t>
        </is>
      </c>
      <c r="O2610" s="1" t="inlineStr"/>
      <c r="P2610" s="1" t="inlineStr"/>
      <c r="Q2610" s="1" t="inlineStr">
        <is>
          <t>Пользовательский интерфейс</t>
        </is>
      </c>
    </row>
    <row r="2611">
      <c r="B2611" s="1" t="inlineStr">
        <is>
          <t>200982850</t>
        </is>
      </c>
      <c r="C2611" s="1" t="inlineStr">
        <is>
          <t>14518357</t>
        </is>
      </c>
      <c r="D2611" t="inlineStr">
        <is>
          <t>работник 797</t>
        </is>
      </c>
      <c r="E2611" s="1" t="inlineStr">
        <is>
          <t>ОБЩЕСТВО С ОГРАНИЧЕННОЙ ОТВЕТСТВЕННОСТЬЮ "АМУР ЗОЛОТО"</t>
        </is>
      </c>
      <c r="F2611" s="1" t="inlineStr">
        <is>
          <t>2708001686</t>
        </is>
      </c>
      <c r="G2611" s="1" t="inlineStr">
        <is>
          <t>Водитель автомобиля (категория D)</t>
        </is>
      </c>
      <c r="H2611" s="1" t="inlineStr">
        <is>
          <t>ООО "Амур Золото"</t>
        </is>
      </c>
      <c r="I2611" s="1" t="inlineStr">
        <is>
          <t>2708001686</t>
        </is>
      </c>
      <c r="J2611" s="1" t="inlineStr">
        <is>
          <t>ЮГОК АТЦ 26-01</t>
        </is>
      </c>
      <c r="K2611" s="1" t="inlineStr">
        <is>
          <t>Оказание первой помощи пострадавшим</t>
        </is>
      </c>
      <c r="L2611" s="1" t="inlineStr">
        <is>
          <t>06.06.2026</t>
        </is>
      </c>
      <c r="M2611" s="1" t="inlineStr">
        <is>
          <t>Успешно</t>
        </is>
      </c>
      <c r="N2611" s="1" t="inlineStr">
        <is>
          <t>08.06.2026</t>
        </is>
      </c>
      <c r="O2611" s="1" t="inlineStr"/>
      <c r="P2611" s="1" t="inlineStr"/>
      <c r="Q2611" s="1" t="inlineStr">
        <is>
          <t>Пользовательский интерфейс</t>
        </is>
      </c>
    </row>
    <row r="2612">
      <c r="B2612" s="1" t="inlineStr">
        <is>
          <t>200982851</t>
        </is>
      </c>
      <c r="C2612" s="1" t="inlineStr">
        <is>
          <t>14518357</t>
        </is>
      </c>
      <c r="D2612" t="inlineStr">
        <is>
          <t>работник 797</t>
        </is>
      </c>
      <c r="E2612" s="1" t="inlineStr">
        <is>
          <t>ОБЩЕСТВО С ОГРАНИЧЕННОЙ ОТВЕТСТВЕННОСТЬЮ "АМУР ЗОЛОТО"</t>
        </is>
      </c>
      <c r="F2612" s="1" t="inlineStr">
        <is>
          <t>2708001686</t>
        </is>
      </c>
      <c r="G2612" s="1" t="inlineStr">
        <is>
          <t>Водитель автомобиля (категория D)</t>
        </is>
      </c>
      <c r="H2612" s="1" t="inlineStr">
        <is>
          <t>ООО "Амур Золото"</t>
        </is>
      </c>
      <c r="I2612" s="1" t="inlineStr">
        <is>
          <t>2708001686</t>
        </is>
      </c>
      <c r="J2612" s="1" t="inlineStr">
        <is>
          <t>ЮГОК АТЦ 26-01</t>
        </is>
      </c>
      <c r="K2612" s="1" t="inlineStr">
        <is>
          <t>Использование (применение) средств индивидуальной защиты</t>
        </is>
      </c>
      <c r="L2612" s="1" t="inlineStr">
        <is>
          <t>06.06.2026</t>
        </is>
      </c>
      <c r="M2612" s="1" t="inlineStr">
        <is>
          <t>Успешно</t>
        </is>
      </c>
      <c r="N2612" s="1" t="inlineStr">
        <is>
          <t>08.06.2026</t>
        </is>
      </c>
      <c r="O2612" s="1" t="inlineStr"/>
      <c r="P2612" s="1" t="inlineStr"/>
      <c r="Q2612" s="1" t="inlineStr">
        <is>
          <t>Пользовательский интерфейс</t>
        </is>
      </c>
    </row>
    <row r="2613">
      <c r="B2613" s="1" t="inlineStr">
        <is>
          <t>200982852</t>
        </is>
      </c>
      <c r="C2613" s="1" t="inlineStr">
        <is>
          <t>14518357</t>
        </is>
      </c>
      <c r="D2613" t="inlineStr">
        <is>
          <t>работник 797</t>
        </is>
      </c>
      <c r="E2613" s="1" t="inlineStr">
        <is>
          <t>ОБЩЕСТВО С ОГРАНИЧЕННОЙ ОТВЕТСТВЕННОСТЬЮ "АМУР ЗОЛОТО"</t>
        </is>
      </c>
      <c r="F2613" s="1" t="inlineStr">
        <is>
          <t>2708001686</t>
        </is>
      </c>
      <c r="G2613" s="1" t="inlineStr">
        <is>
          <t>Водитель автомобиля (категория D)</t>
        </is>
      </c>
      <c r="H2613" s="1" t="inlineStr">
        <is>
          <t>ООО "Амур Золото"</t>
        </is>
      </c>
      <c r="I2613" s="1" t="inlineStr">
        <is>
          <t>2708001686</t>
        </is>
      </c>
      <c r="J2613" s="1" t="inlineStr">
        <is>
          <t>ЮГОК АТЦ 26-01</t>
        </is>
      </c>
      <c r="K261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613" s="1" t="inlineStr">
        <is>
          <t>06.06.2026</t>
        </is>
      </c>
      <c r="M2613" s="1" t="inlineStr">
        <is>
          <t>Успешно</t>
        </is>
      </c>
      <c r="N2613" s="1" t="inlineStr">
        <is>
          <t>08.06.2026</t>
        </is>
      </c>
      <c r="O2613" s="1" t="inlineStr"/>
      <c r="P2613" s="1" t="inlineStr"/>
      <c r="Q2613" s="1" t="inlineStr">
        <is>
          <t>Пользовательский интерфейс</t>
        </is>
      </c>
    </row>
    <row r="2614">
      <c r="B2614" s="1" t="inlineStr">
        <is>
          <t>200982853</t>
        </is>
      </c>
      <c r="C2614" s="1" t="inlineStr">
        <is>
          <t>14518357</t>
        </is>
      </c>
      <c r="D2614" t="inlineStr">
        <is>
          <t>работник 798</t>
        </is>
      </c>
      <c r="E2614" s="1" t="inlineStr">
        <is>
          <t>ОБЩЕСТВО С ОГРАНИЧЕННОЙ ОТВЕТСТВЕННОСТЬЮ "АМУР ЗОЛОТО"</t>
        </is>
      </c>
      <c r="F2614" s="1" t="inlineStr">
        <is>
          <t>2708001686</t>
        </is>
      </c>
      <c r="G2614" s="1" t="inlineStr">
        <is>
          <t>Водитель автомобиля (категория D)</t>
        </is>
      </c>
      <c r="H2614" s="1" t="inlineStr">
        <is>
          <t>ООО "Амур Золото"</t>
        </is>
      </c>
      <c r="I2614" s="1" t="inlineStr">
        <is>
          <t>2708001686</t>
        </is>
      </c>
      <c r="J2614" s="1" t="inlineStr">
        <is>
          <t>ЮГОК АТЦ 26-01</t>
        </is>
      </c>
      <c r="K2614" s="1" t="inlineStr">
        <is>
          <t>Оказание первой помощи пострадавшим</t>
        </is>
      </c>
      <c r="L2614" s="1" t="inlineStr">
        <is>
          <t>06.06.2026</t>
        </is>
      </c>
      <c r="M2614" s="1" t="inlineStr">
        <is>
          <t>Успешно</t>
        </is>
      </c>
      <c r="N2614" s="1" t="inlineStr">
        <is>
          <t>08.06.2026</t>
        </is>
      </c>
      <c r="O2614" s="1" t="inlineStr"/>
      <c r="P2614" s="1" t="inlineStr"/>
      <c r="Q2614" s="1" t="inlineStr">
        <is>
          <t>Пользовательский интерфейс</t>
        </is>
      </c>
    </row>
    <row r="2615">
      <c r="B2615" s="1" t="inlineStr">
        <is>
          <t>200982854</t>
        </is>
      </c>
      <c r="C2615" s="1" t="inlineStr">
        <is>
          <t>14518357</t>
        </is>
      </c>
      <c r="D2615" t="inlineStr">
        <is>
          <t>работник 798</t>
        </is>
      </c>
      <c r="E2615" s="1" t="inlineStr">
        <is>
          <t>ОБЩЕСТВО С ОГРАНИЧЕННОЙ ОТВЕТСТВЕННОСТЬЮ "АМУР ЗОЛОТО"</t>
        </is>
      </c>
      <c r="F2615" s="1" t="inlineStr">
        <is>
          <t>2708001686</t>
        </is>
      </c>
      <c r="G2615" s="1" t="inlineStr">
        <is>
          <t>Водитель автомобиля (категория D)</t>
        </is>
      </c>
      <c r="H2615" s="1" t="inlineStr">
        <is>
          <t>ООО "Амур Золото"</t>
        </is>
      </c>
      <c r="I2615" s="1" t="inlineStr">
        <is>
          <t>2708001686</t>
        </is>
      </c>
      <c r="J2615" s="1" t="inlineStr">
        <is>
          <t>ЮГОК АТЦ 26-01</t>
        </is>
      </c>
      <c r="K2615" s="1" t="inlineStr">
        <is>
          <t>Использование (применение) средств индивидуальной защиты</t>
        </is>
      </c>
      <c r="L2615" s="1" t="inlineStr">
        <is>
          <t>06.06.2026</t>
        </is>
      </c>
      <c r="M2615" s="1" t="inlineStr">
        <is>
          <t>Успешно</t>
        </is>
      </c>
      <c r="N2615" s="1" t="inlineStr">
        <is>
          <t>08.06.2026</t>
        </is>
      </c>
      <c r="O2615" s="1" t="inlineStr"/>
      <c r="P2615" s="1" t="inlineStr"/>
      <c r="Q2615" s="1" t="inlineStr">
        <is>
          <t>Пользовательский интерфейс</t>
        </is>
      </c>
    </row>
    <row r="2616">
      <c r="B2616" s="1" t="inlineStr">
        <is>
          <t>200982855</t>
        </is>
      </c>
      <c r="C2616" s="1" t="inlineStr">
        <is>
          <t>14518357</t>
        </is>
      </c>
      <c r="D2616" t="inlineStr">
        <is>
          <t>работник 798</t>
        </is>
      </c>
      <c r="E2616" s="1" t="inlineStr">
        <is>
          <t>ОБЩЕСТВО С ОГРАНИЧЕННОЙ ОТВЕТСТВЕННОСТЬЮ "АМУР ЗОЛОТО"</t>
        </is>
      </c>
      <c r="F2616" s="1" t="inlineStr">
        <is>
          <t>2708001686</t>
        </is>
      </c>
      <c r="G2616" s="1" t="inlineStr">
        <is>
          <t>Водитель автомобиля (категория D)</t>
        </is>
      </c>
      <c r="H2616" s="1" t="inlineStr">
        <is>
          <t>ООО "Амур Золото"</t>
        </is>
      </c>
      <c r="I2616" s="1" t="inlineStr">
        <is>
          <t>2708001686</t>
        </is>
      </c>
      <c r="J2616" s="1" t="inlineStr">
        <is>
          <t>ЮГОК АТЦ 26-01</t>
        </is>
      </c>
      <c r="K261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616" s="1" t="inlineStr">
        <is>
          <t>06.06.2026</t>
        </is>
      </c>
      <c r="M2616" s="1" t="inlineStr">
        <is>
          <t>Успешно</t>
        </is>
      </c>
      <c r="N2616" s="1" t="inlineStr">
        <is>
          <t>08.06.2026</t>
        </is>
      </c>
      <c r="O2616" s="1" t="inlineStr"/>
      <c r="P2616" s="1" t="inlineStr"/>
      <c r="Q2616" s="1" t="inlineStr">
        <is>
          <t>Пользовательский интерфейс</t>
        </is>
      </c>
    </row>
    <row r="2617">
      <c r="B2617" s="1" t="inlineStr">
        <is>
          <t>200982856</t>
        </is>
      </c>
      <c r="C2617" s="1" t="inlineStr">
        <is>
          <t>14518357</t>
        </is>
      </c>
      <c r="D2617" t="inlineStr">
        <is>
          <t>работник 799</t>
        </is>
      </c>
      <c r="E2617" s="1" t="inlineStr">
        <is>
          <t>ОБЩЕСТВО С ОГРАНИЧЕННОЙ ОТВЕТСТВЕННОСТЬЮ "АМУР ЗОЛОТО"</t>
        </is>
      </c>
      <c r="F2617" s="1" t="inlineStr">
        <is>
          <t>2708001686</t>
        </is>
      </c>
      <c r="G2617" s="1" t="inlineStr">
        <is>
          <t>Слесарь-электрик по ремонту электрооборудования</t>
        </is>
      </c>
      <c r="H2617" s="1" t="inlineStr">
        <is>
          <t>ООО "Амур Золото"</t>
        </is>
      </c>
      <c r="I2617" s="1" t="inlineStr">
        <is>
          <t>2708001686</t>
        </is>
      </c>
      <c r="J2617" s="1" t="inlineStr">
        <is>
          <t>ЮГОК АТЦ 26-01</t>
        </is>
      </c>
      <c r="K2617" s="1" t="inlineStr">
        <is>
          <t>Оказание первой помощи пострадавшим</t>
        </is>
      </c>
      <c r="L2617" s="1" t="inlineStr">
        <is>
          <t>06.06.2026</t>
        </is>
      </c>
      <c r="M2617" s="1" t="inlineStr">
        <is>
          <t>Успешно</t>
        </is>
      </c>
      <c r="N2617" s="1" t="inlineStr">
        <is>
          <t>08.06.2026</t>
        </is>
      </c>
      <c r="O2617" s="1" t="inlineStr"/>
      <c r="P2617" s="1" t="inlineStr"/>
      <c r="Q2617" s="1" t="inlineStr">
        <is>
          <t>Пользовательский интерфейс</t>
        </is>
      </c>
    </row>
    <row r="2618">
      <c r="B2618" s="1" t="inlineStr">
        <is>
          <t>200982857</t>
        </is>
      </c>
      <c r="C2618" s="1" t="inlineStr">
        <is>
          <t>14518357</t>
        </is>
      </c>
      <c r="D2618" t="inlineStr">
        <is>
          <t>работник 799</t>
        </is>
      </c>
      <c r="E2618" s="1" t="inlineStr">
        <is>
          <t>ОБЩЕСТВО С ОГРАНИЧЕННОЙ ОТВЕТСТВЕННОСТЬЮ "АМУР ЗОЛОТО"</t>
        </is>
      </c>
      <c r="F2618" s="1" t="inlineStr">
        <is>
          <t>2708001686</t>
        </is>
      </c>
      <c r="G2618" s="1" t="inlineStr">
        <is>
          <t>Слесарь-электрик по ремонту электрооборудования</t>
        </is>
      </c>
      <c r="H2618" s="1" t="inlineStr">
        <is>
          <t>ООО "Амур Золото"</t>
        </is>
      </c>
      <c r="I2618" s="1" t="inlineStr">
        <is>
          <t>2708001686</t>
        </is>
      </c>
      <c r="J2618" s="1" t="inlineStr">
        <is>
          <t>ЮГОК АТЦ 26-01</t>
        </is>
      </c>
      <c r="K2618" s="1" t="inlineStr">
        <is>
          <t>Использование (применение) средств индивидуальной защиты</t>
        </is>
      </c>
      <c r="L2618" s="1" t="inlineStr">
        <is>
          <t>06.06.2026</t>
        </is>
      </c>
      <c r="M2618" s="1" t="inlineStr">
        <is>
          <t>Успешно</t>
        </is>
      </c>
      <c r="N2618" s="1" t="inlineStr">
        <is>
          <t>08.06.2026</t>
        </is>
      </c>
      <c r="O2618" s="1" t="inlineStr"/>
      <c r="P2618" s="1" t="inlineStr"/>
      <c r="Q2618" s="1" t="inlineStr">
        <is>
          <t>Пользовательский интерфейс</t>
        </is>
      </c>
    </row>
    <row r="2619">
      <c r="B2619" s="1" t="inlineStr">
        <is>
          <t>200982858</t>
        </is>
      </c>
      <c r="C2619" s="1" t="inlineStr">
        <is>
          <t>14518357</t>
        </is>
      </c>
      <c r="D2619" t="inlineStr">
        <is>
          <t>работник 799</t>
        </is>
      </c>
      <c r="E2619" s="1" t="inlineStr">
        <is>
          <t>ОБЩЕСТВО С ОГРАНИЧЕННОЙ ОТВЕТСТВЕННОСТЬЮ "АМУР ЗОЛОТО"</t>
        </is>
      </c>
      <c r="F2619" s="1" t="inlineStr">
        <is>
          <t>2708001686</t>
        </is>
      </c>
      <c r="G2619" s="1" t="inlineStr">
        <is>
          <t>Слесарь-электрик по ремонту электрооборудования</t>
        </is>
      </c>
      <c r="H2619" s="1" t="inlineStr">
        <is>
          <t>ООО "Амур Золото"</t>
        </is>
      </c>
      <c r="I2619" s="1" t="inlineStr">
        <is>
          <t>2708001686</t>
        </is>
      </c>
      <c r="J2619" s="1" t="inlineStr">
        <is>
          <t>ЮГОК АТЦ 26-01</t>
        </is>
      </c>
      <c r="K261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619" s="1" t="inlineStr">
        <is>
          <t>06.06.2026</t>
        </is>
      </c>
      <c r="M2619" s="1" t="inlineStr">
        <is>
          <t>Успешно</t>
        </is>
      </c>
      <c r="N2619" s="1" t="inlineStr">
        <is>
          <t>08.06.2026</t>
        </is>
      </c>
      <c r="O2619" s="1" t="inlineStr"/>
      <c r="P2619" s="1" t="inlineStr"/>
      <c r="Q2619" s="1" t="inlineStr">
        <is>
          <t>Пользовательский интерфейс</t>
        </is>
      </c>
    </row>
    <row r="2620">
      <c r="B2620" s="1" t="inlineStr">
        <is>
          <t>200982859</t>
        </is>
      </c>
      <c r="C2620" s="1" t="inlineStr">
        <is>
          <t>14518357</t>
        </is>
      </c>
      <c r="D2620" t="inlineStr">
        <is>
          <t>работник 262</t>
        </is>
      </c>
      <c r="E2620" s="1" t="inlineStr">
        <is>
          <t>ОБЩЕСТВО С ОГРАНИЧЕННОЙ ОТВЕТСТВЕННОСТЬЮ "АМУР ЗОЛОТО"</t>
        </is>
      </c>
      <c r="F2620" s="1" t="inlineStr">
        <is>
          <t>2708001686</t>
        </is>
      </c>
      <c r="G2620" s="1" t="inlineStr">
        <is>
          <t>Электрогазосварщик (занятый на резке и ручной сварке)</t>
        </is>
      </c>
      <c r="H2620" s="1" t="inlineStr">
        <is>
          <t>ООО "Амур Золото"</t>
        </is>
      </c>
      <c r="I2620" s="1" t="inlineStr">
        <is>
          <t>2708001686</t>
        </is>
      </c>
      <c r="J2620" s="1" t="inlineStr">
        <is>
          <t>ЮГОК АТЦ 26-01</t>
        </is>
      </c>
      <c r="K2620" s="1" t="inlineStr">
        <is>
          <t>Оказание первой помощи пострадавшим</t>
        </is>
      </c>
      <c r="L2620" s="1" t="inlineStr">
        <is>
          <t>06.06.2026</t>
        </is>
      </c>
      <c r="M2620" s="1" t="inlineStr">
        <is>
          <t>Успешно</t>
        </is>
      </c>
      <c r="N2620" s="1" t="inlineStr">
        <is>
          <t>08.06.2026</t>
        </is>
      </c>
      <c r="O2620" s="1" t="inlineStr"/>
      <c r="P2620" s="1" t="inlineStr"/>
      <c r="Q2620" s="1" t="inlineStr">
        <is>
          <t>Пользовательский интерфейс</t>
        </is>
      </c>
    </row>
    <row r="2621">
      <c r="B2621" s="1" t="inlineStr">
        <is>
          <t>200982860</t>
        </is>
      </c>
      <c r="C2621" s="1" t="inlineStr">
        <is>
          <t>14518357</t>
        </is>
      </c>
      <c r="D2621" t="inlineStr">
        <is>
          <t>работник 262</t>
        </is>
      </c>
      <c r="E2621" s="1" t="inlineStr">
        <is>
          <t>ОБЩЕСТВО С ОГРАНИЧЕННОЙ ОТВЕТСТВЕННОСТЬЮ "АМУР ЗОЛОТО"</t>
        </is>
      </c>
      <c r="F2621" s="1" t="inlineStr">
        <is>
          <t>2708001686</t>
        </is>
      </c>
      <c r="G2621" s="1" t="inlineStr">
        <is>
          <t>Электрогазосварщик (занятый на резке и ручной сварке)</t>
        </is>
      </c>
      <c r="H2621" s="1" t="inlineStr">
        <is>
          <t>ООО "Амур Золото"</t>
        </is>
      </c>
      <c r="I2621" s="1" t="inlineStr">
        <is>
          <t>2708001686</t>
        </is>
      </c>
      <c r="J2621" s="1" t="inlineStr">
        <is>
          <t>ЮГОК АТЦ 26-01</t>
        </is>
      </c>
      <c r="K2621" s="1" t="inlineStr">
        <is>
          <t>Использование (применение) средств индивидуальной защиты</t>
        </is>
      </c>
      <c r="L2621" s="1" t="inlineStr">
        <is>
          <t>06.06.2026</t>
        </is>
      </c>
      <c r="M2621" s="1" t="inlineStr">
        <is>
          <t>Успешно</t>
        </is>
      </c>
      <c r="N2621" s="1" t="inlineStr">
        <is>
          <t>08.06.2026</t>
        </is>
      </c>
      <c r="O2621" s="1" t="inlineStr"/>
      <c r="P2621" s="1" t="inlineStr"/>
      <c r="Q2621" s="1" t="inlineStr">
        <is>
          <t>Пользовательский интерфейс</t>
        </is>
      </c>
    </row>
    <row r="2622">
      <c r="B2622" s="1" t="inlineStr">
        <is>
          <t>200982861</t>
        </is>
      </c>
      <c r="C2622" s="1" t="inlineStr">
        <is>
          <t>14518357</t>
        </is>
      </c>
      <c r="D2622" t="inlineStr">
        <is>
          <t>работник 262</t>
        </is>
      </c>
      <c r="E2622" s="1" t="inlineStr">
        <is>
          <t>ОБЩЕСТВО С ОГРАНИЧЕННОЙ ОТВЕТСТВЕННОСТЬЮ "АМУР ЗОЛОТО"</t>
        </is>
      </c>
      <c r="F2622" s="1" t="inlineStr">
        <is>
          <t>2708001686</t>
        </is>
      </c>
      <c r="G2622" s="1" t="inlineStr">
        <is>
          <t>Электрогазосварщик (занятый на резке и ручной сварке)</t>
        </is>
      </c>
      <c r="H2622" s="1" t="inlineStr">
        <is>
          <t>ООО "Амур Золото"</t>
        </is>
      </c>
      <c r="I2622" s="1" t="inlineStr">
        <is>
          <t>2708001686</t>
        </is>
      </c>
      <c r="J2622" s="1" t="inlineStr">
        <is>
          <t>ЮГОК АТЦ 26-01</t>
        </is>
      </c>
      <c r="K262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622" s="1" t="inlineStr">
        <is>
          <t>06.06.2026</t>
        </is>
      </c>
      <c r="M2622" s="1" t="inlineStr">
        <is>
          <t>Успешно</t>
        </is>
      </c>
      <c r="N2622" s="1" t="inlineStr">
        <is>
          <t>08.06.2026</t>
        </is>
      </c>
      <c r="O2622" s="1" t="inlineStr"/>
      <c r="P2622" s="1" t="inlineStr"/>
      <c r="Q2622" s="1" t="inlineStr">
        <is>
          <t>Пользовательский интерфейс</t>
        </is>
      </c>
    </row>
    <row r="2623">
      <c r="B2623" s="1" t="inlineStr">
        <is>
          <t>200982862</t>
        </is>
      </c>
      <c r="C2623" s="1" t="inlineStr">
        <is>
          <t>14518357</t>
        </is>
      </c>
      <c r="D2623" t="inlineStr">
        <is>
          <t>работник 262</t>
        </is>
      </c>
      <c r="E2623" s="1" t="inlineStr">
        <is>
          <t>ОБЩЕСТВО С ОГРАНИЧЕННОЙ ОТВЕТСТВЕННОСТЬЮ "АМУР ЗОЛОТО"</t>
        </is>
      </c>
      <c r="F2623" s="1" t="inlineStr">
        <is>
          <t>2708001686</t>
        </is>
      </c>
      <c r="G2623" s="1" t="inlineStr">
        <is>
          <t>Электрогазосварщик (занятый на резке и ручной сварке)</t>
        </is>
      </c>
      <c r="H2623" s="1" t="inlineStr">
        <is>
          <t>ООО "Амур Золото"</t>
        </is>
      </c>
      <c r="I2623" s="1" t="inlineStr">
        <is>
          <t>2708001686</t>
        </is>
      </c>
      <c r="J2623" s="1" t="inlineStr">
        <is>
          <t>ЮГОК АТЦ 26-01</t>
        </is>
      </c>
      <c r="K2623" s="1" t="inlineStr">
        <is>
          <t>Безопасные методы и приемы выполнения работ на высоте</t>
        </is>
      </c>
      <c r="L2623" s="1" t="inlineStr">
        <is>
          <t>06.06.2026</t>
        </is>
      </c>
      <c r="M2623" s="1" t="inlineStr">
        <is>
          <t>Успешно</t>
        </is>
      </c>
      <c r="N2623" s="1" t="inlineStr">
        <is>
          <t>08.06.2026</t>
        </is>
      </c>
      <c r="O2623" s="1" t="inlineStr"/>
      <c r="P2623" s="1" t="inlineStr"/>
      <c r="Q2623" s="1" t="inlineStr">
        <is>
          <t>Пользовательский интерфейс</t>
        </is>
      </c>
    </row>
    <row r="2624">
      <c r="B2624" s="1" t="inlineStr">
        <is>
          <t>200982863</t>
        </is>
      </c>
      <c r="C2624" s="1" t="inlineStr">
        <is>
          <t>14518357</t>
        </is>
      </c>
      <c r="D2624" t="inlineStr">
        <is>
          <t>работник 262</t>
        </is>
      </c>
      <c r="E2624" s="1" t="inlineStr">
        <is>
          <t>ОБЩЕСТВО С ОГРАНИЧЕННОЙ ОТВЕТСТВЕННОСТЬЮ "АМУР ЗОЛОТО"</t>
        </is>
      </c>
      <c r="F2624" s="1" t="inlineStr">
        <is>
          <t>2708001686</t>
        </is>
      </c>
      <c r="G2624" s="1" t="inlineStr">
        <is>
          <t>Электрогазосварщик (занятый на резке и ручной сварке)</t>
        </is>
      </c>
      <c r="H2624" s="1" t="inlineStr">
        <is>
          <t>ООО "Амур Золото"</t>
        </is>
      </c>
      <c r="I2624" s="1" t="inlineStr">
        <is>
          <t>2708001686</t>
        </is>
      </c>
      <c r="J2624" s="1" t="inlineStr">
        <is>
          <t>ЮГОК АТЦ 26-01</t>
        </is>
      </c>
      <c r="K2624" s="1" t="inlineStr">
        <is>
          <t>Безопасные методы и приемы выполнения огневых работ</t>
        </is>
      </c>
      <c r="L2624" s="1" t="inlineStr">
        <is>
          <t>06.06.2026</t>
        </is>
      </c>
      <c r="M2624" s="1" t="inlineStr">
        <is>
          <t>Успешно</t>
        </is>
      </c>
      <c r="N2624" s="1" t="inlineStr">
        <is>
          <t>08.06.2026</t>
        </is>
      </c>
      <c r="O2624" s="1" t="inlineStr"/>
      <c r="P2624" s="1" t="inlineStr"/>
      <c r="Q2624" s="1" t="inlineStr">
        <is>
          <t>Пользовательский интерфейс</t>
        </is>
      </c>
    </row>
    <row r="2625">
      <c r="B2625" s="1" t="inlineStr">
        <is>
          <t>200982864</t>
        </is>
      </c>
      <c r="C2625" s="1" t="inlineStr">
        <is>
          <t>14518357</t>
        </is>
      </c>
      <c r="D2625" t="inlineStr">
        <is>
          <t>работник 800</t>
        </is>
      </c>
      <c r="E2625" s="1" t="inlineStr">
        <is>
          <t>ОБЩЕСТВО С ОГРАНИЧЕННОЙ ОТВЕТСТВЕННОСТЬЮ "АМУР ЗОЛОТО"</t>
        </is>
      </c>
      <c r="F2625" s="1" t="inlineStr">
        <is>
          <t>2708001686</t>
        </is>
      </c>
      <c r="G2625" s="1" t="inlineStr">
        <is>
          <t>Слесарь по ремонту автомобилей (ДВС)</t>
        </is>
      </c>
      <c r="H2625" s="1" t="inlineStr">
        <is>
          <t>ООО "Амур Золото"</t>
        </is>
      </c>
      <c r="I2625" s="1" t="inlineStr">
        <is>
          <t>2708001686</t>
        </is>
      </c>
      <c r="J2625" s="1" t="inlineStr">
        <is>
          <t>ЮГОК АТЦ 26-01</t>
        </is>
      </c>
      <c r="K2625" s="1" t="inlineStr">
        <is>
          <t>Использование (применение) средств индивидуальной защиты</t>
        </is>
      </c>
      <c r="L2625" s="1" t="inlineStr">
        <is>
          <t>06.06.2026</t>
        </is>
      </c>
      <c r="M2625" s="1" t="inlineStr">
        <is>
          <t>Успешно</t>
        </is>
      </c>
      <c r="N2625" s="1" t="inlineStr">
        <is>
          <t>08.06.2026</t>
        </is>
      </c>
      <c r="O2625" s="1" t="inlineStr"/>
      <c r="P2625" s="1" t="inlineStr"/>
      <c r="Q2625" s="1" t="inlineStr">
        <is>
          <t>Пользовательский интерфейс</t>
        </is>
      </c>
    </row>
    <row r="2626">
      <c r="B2626" s="1" t="inlineStr">
        <is>
          <t>200982865</t>
        </is>
      </c>
      <c r="C2626" s="1" t="inlineStr">
        <is>
          <t>14518357</t>
        </is>
      </c>
      <c r="D2626" t="inlineStr">
        <is>
          <t>работник 800</t>
        </is>
      </c>
      <c r="E2626" s="1" t="inlineStr">
        <is>
          <t>ОБЩЕСТВО С ОГРАНИЧЕННОЙ ОТВЕТСТВЕННОСТЬЮ "АМУР ЗОЛОТО"</t>
        </is>
      </c>
      <c r="F2626" s="1" t="inlineStr">
        <is>
          <t>2708001686</t>
        </is>
      </c>
      <c r="G2626" s="1" t="inlineStr">
        <is>
          <t>Слесарь по ремонту автомобилей (ДВС)</t>
        </is>
      </c>
      <c r="H2626" s="1" t="inlineStr">
        <is>
          <t>ООО "Амур Золото"</t>
        </is>
      </c>
      <c r="I2626" s="1" t="inlineStr">
        <is>
          <t>2708001686</t>
        </is>
      </c>
      <c r="J2626" s="1" t="inlineStr">
        <is>
          <t>ЮГОК АТЦ 26-01</t>
        </is>
      </c>
      <c r="K262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626" s="1" t="inlineStr">
        <is>
          <t>06.06.2026</t>
        </is>
      </c>
      <c r="M2626" s="1" t="inlineStr">
        <is>
          <t>Успешно</t>
        </is>
      </c>
      <c r="N2626" s="1" t="inlineStr">
        <is>
          <t>08.06.2026</t>
        </is>
      </c>
      <c r="O2626" s="1" t="inlineStr"/>
      <c r="P2626" s="1" t="inlineStr"/>
      <c r="Q2626" s="1" t="inlineStr">
        <is>
          <t>Пользовательский интерфейс</t>
        </is>
      </c>
    </row>
    <row r="2627">
      <c r="B2627" s="1" t="inlineStr">
        <is>
          <t>200982866</t>
        </is>
      </c>
      <c r="C2627" s="1" t="inlineStr">
        <is>
          <t>14518357</t>
        </is>
      </c>
      <c r="D2627" t="inlineStr">
        <is>
          <t>работник 801</t>
        </is>
      </c>
      <c r="E2627" s="1" t="inlineStr">
        <is>
          <t>ОБЩЕСТВО С ОГРАНИЧЕННОЙ ОТВЕТСТВЕННОСТЬЮ "АМУР ЗОЛОТО"</t>
        </is>
      </c>
      <c r="F2627" s="1" t="inlineStr">
        <is>
          <t>2708001686</t>
        </is>
      </c>
      <c r="G2627" s="1" t="inlineStr">
        <is>
          <t>Слесарь по ремонту автомобилей и тяжелой техники</t>
        </is>
      </c>
      <c r="H2627" s="1" t="inlineStr">
        <is>
          <t>ООО "Амур Золото"</t>
        </is>
      </c>
      <c r="I2627" s="1" t="inlineStr">
        <is>
          <t>2708001686</t>
        </is>
      </c>
      <c r="J2627" s="1" t="inlineStr">
        <is>
          <t>ЮГОК АТЦ 26-01</t>
        </is>
      </c>
      <c r="K2627" s="1" t="inlineStr">
        <is>
          <t>Оказание первой помощи пострадавшим</t>
        </is>
      </c>
      <c r="L2627" s="1" t="inlineStr">
        <is>
          <t>06.06.2026</t>
        </is>
      </c>
      <c r="M2627" s="1" t="inlineStr">
        <is>
          <t>Успешно</t>
        </is>
      </c>
      <c r="N2627" s="1" t="inlineStr">
        <is>
          <t>08.06.2026</t>
        </is>
      </c>
      <c r="O2627" s="1" t="inlineStr"/>
      <c r="P2627" s="1" t="inlineStr"/>
      <c r="Q2627" s="1" t="inlineStr">
        <is>
          <t>Пользовательский интерфейс</t>
        </is>
      </c>
    </row>
    <row r="2628">
      <c r="B2628" s="1" t="inlineStr">
        <is>
          <t>200982867</t>
        </is>
      </c>
      <c r="C2628" s="1" t="inlineStr">
        <is>
          <t>14518357</t>
        </is>
      </c>
      <c r="D2628" t="inlineStr">
        <is>
          <t>работник 801</t>
        </is>
      </c>
      <c r="E2628" s="1" t="inlineStr">
        <is>
          <t>ОБЩЕСТВО С ОГРАНИЧЕННОЙ ОТВЕТСТВЕННОСТЬЮ "АМУР ЗОЛОТО"</t>
        </is>
      </c>
      <c r="F2628" s="1" t="inlineStr">
        <is>
          <t>2708001686</t>
        </is>
      </c>
      <c r="G2628" s="1" t="inlineStr">
        <is>
          <t>Слесарь по ремонту автомобилей и тяжелой техники</t>
        </is>
      </c>
      <c r="H2628" s="1" t="inlineStr">
        <is>
          <t>ООО "Амур Золото"</t>
        </is>
      </c>
      <c r="I2628" s="1" t="inlineStr">
        <is>
          <t>2708001686</t>
        </is>
      </c>
      <c r="J2628" s="1" t="inlineStr">
        <is>
          <t>ЮГОК АТЦ 26-01</t>
        </is>
      </c>
      <c r="K2628" s="1" t="inlineStr">
        <is>
          <t>Использование (применение) средств индивидуальной защиты</t>
        </is>
      </c>
      <c r="L2628" s="1" t="inlineStr">
        <is>
          <t>06.06.2026</t>
        </is>
      </c>
      <c r="M2628" s="1" t="inlineStr">
        <is>
          <t>Успешно</t>
        </is>
      </c>
      <c r="N2628" s="1" t="inlineStr">
        <is>
          <t>08.06.2026</t>
        </is>
      </c>
      <c r="O2628" s="1" t="inlineStr"/>
      <c r="P2628" s="1" t="inlineStr"/>
      <c r="Q2628" s="1" t="inlineStr">
        <is>
          <t>Пользовательский интерфейс</t>
        </is>
      </c>
    </row>
    <row r="2629">
      <c r="B2629" s="1" t="inlineStr">
        <is>
          <t>200982868</t>
        </is>
      </c>
      <c r="C2629" s="1" t="inlineStr">
        <is>
          <t>14518357</t>
        </is>
      </c>
      <c r="D2629" t="inlineStr">
        <is>
          <t>работник 801</t>
        </is>
      </c>
      <c r="E2629" s="1" t="inlineStr">
        <is>
          <t>ОБЩЕСТВО С ОГРАНИЧЕННОЙ ОТВЕТСТВЕННОСТЬЮ "АМУР ЗОЛОТО"</t>
        </is>
      </c>
      <c r="F2629" s="1" t="inlineStr">
        <is>
          <t>2708001686</t>
        </is>
      </c>
      <c r="G2629" s="1" t="inlineStr">
        <is>
          <t>Слесарь по ремонту автомобилей и тяжелой техники</t>
        </is>
      </c>
      <c r="H2629" s="1" t="inlineStr">
        <is>
          <t>ООО "Амур Золото"</t>
        </is>
      </c>
      <c r="I2629" s="1" t="inlineStr">
        <is>
          <t>2708001686</t>
        </is>
      </c>
      <c r="J2629" s="1" t="inlineStr">
        <is>
          <t>ЮГОК АТЦ 26-01</t>
        </is>
      </c>
      <c r="K262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629" s="1" t="inlineStr">
        <is>
          <t>06.06.2026</t>
        </is>
      </c>
      <c r="M2629" s="1" t="inlineStr">
        <is>
          <t>Успешно</t>
        </is>
      </c>
      <c r="N2629" s="1" t="inlineStr">
        <is>
          <t>08.06.2026</t>
        </is>
      </c>
      <c r="O2629" s="1" t="inlineStr"/>
      <c r="P2629" s="1" t="inlineStr"/>
      <c r="Q2629" s="1" t="inlineStr">
        <is>
          <t>Пользовательский интерфейс</t>
        </is>
      </c>
    </row>
    <row r="2630">
      <c r="B2630" s="1" t="inlineStr">
        <is>
          <t>200982869</t>
        </is>
      </c>
      <c r="C2630" s="1" t="inlineStr">
        <is>
          <t>14518357</t>
        </is>
      </c>
      <c r="D2630" t="inlineStr">
        <is>
          <t>работник 801</t>
        </is>
      </c>
      <c r="E2630" s="1" t="inlineStr">
        <is>
          <t>ОБЩЕСТВО С ОГРАНИЧЕННОЙ ОТВЕТСТВЕННОСТЬЮ "АМУР ЗОЛОТО"</t>
        </is>
      </c>
      <c r="F2630" s="1" t="inlineStr">
        <is>
          <t>2708001686</t>
        </is>
      </c>
      <c r="G2630" s="1" t="inlineStr">
        <is>
          <t>Слесарь по ремонту автомобилей и тяжелой техники</t>
        </is>
      </c>
      <c r="H2630" s="1" t="inlineStr">
        <is>
          <t>ООО "Амур Золото"</t>
        </is>
      </c>
      <c r="I2630" s="1" t="inlineStr">
        <is>
          <t>2708001686</t>
        </is>
      </c>
      <c r="J2630" s="1" t="inlineStr">
        <is>
          <t>ЮГОК АТЦ 26-01</t>
        </is>
      </c>
      <c r="K2630" s="1" t="inlineStr">
        <is>
          <t>Безопасные методы и приемы выполнения огневых работ</t>
        </is>
      </c>
      <c r="L2630" s="1" t="inlineStr">
        <is>
          <t>06.06.2026</t>
        </is>
      </c>
      <c r="M2630" s="1" t="inlineStr">
        <is>
          <t>Успешно</t>
        </is>
      </c>
      <c r="N2630" s="1" t="inlineStr">
        <is>
          <t>08.06.2026</t>
        </is>
      </c>
      <c r="O2630" s="1" t="inlineStr"/>
      <c r="P2630" s="1" t="inlineStr"/>
      <c r="Q2630" s="1" t="inlineStr">
        <is>
          <t>Пользовательский интерфейс</t>
        </is>
      </c>
    </row>
    <row r="2631">
      <c r="B2631" s="1" t="inlineStr">
        <is>
          <t>200982870</t>
        </is>
      </c>
      <c r="C2631" s="1" t="inlineStr">
        <is>
          <t>14518357</t>
        </is>
      </c>
      <c r="D2631" t="inlineStr">
        <is>
          <t>работник 802</t>
        </is>
      </c>
      <c r="E2631" s="1" t="inlineStr">
        <is>
          <t>ОБЩЕСТВО С ОГРАНИЧЕННОЙ ОТВЕТСТВЕННОСТЬЮ "АМУР ЗОЛОТО"</t>
        </is>
      </c>
      <c r="F2631" s="1" t="inlineStr">
        <is>
          <t>2708001686</t>
        </is>
      </c>
      <c r="G2631" s="1" t="inlineStr">
        <is>
          <t>Слесарь по ремонту автомобилей и тяжелой техники</t>
        </is>
      </c>
      <c r="H2631" s="1" t="inlineStr">
        <is>
          <t>ООО "Амур Золото"</t>
        </is>
      </c>
      <c r="I2631" s="1" t="inlineStr">
        <is>
          <t>2708001686</t>
        </is>
      </c>
      <c r="J2631" s="1" t="inlineStr">
        <is>
          <t>ЮГОК АТЦ 26-01</t>
        </is>
      </c>
      <c r="K2631" s="1" t="inlineStr">
        <is>
          <t>Оказание первой помощи пострадавшим</t>
        </is>
      </c>
      <c r="L2631" s="1" t="inlineStr">
        <is>
          <t>06.06.2026</t>
        </is>
      </c>
      <c r="M2631" s="1" t="inlineStr">
        <is>
          <t>Успешно</t>
        </is>
      </c>
      <c r="N2631" s="1" t="inlineStr">
        <is>
          <t>08.06.2026</t>
        </is>
      </c>
      <c r="O2631" s="1" t="inlineStr"/>
      <c r="P2631" s="1" t="inlineStr"/>
      <c r="Q2631" s="1" t="inlineStr">
        <is>
          <t>Пользовательский интерфейс</t>
        </is>
      </c>
    </row>
    <row r="2632">
      <c r="B2632" s="1" t="inlineStr">
        <is>
          <t>200982871</t>
        </is>
      </c>
      <c r="C2632" s="1" t="inlineStr">
        <is>
          <t>14518357</t>
        </is>
      </c>
      <c r="D2632" t="inlineStr">
        <is>
          <t>работник 802</t>
        </is>
      </c>
      <c r="E2632" s="1" t="inlineStr">
        <is>
          <t>ОБЩЕСТВО С ОГРАНИЧЕННОЙ ОТВЕТСТВЕННОСТЬЮ "АМУР ЗОЛОТО"</t>
        </is>
      </c>
      <c r="F2632" s="1" t="inlineStr">
        <is>
          <t>2708001686</t>
        </is>
      </c>
      <c r="G2632" s="1" t="inlineStr">
        <is>
          <t>Слесарь по ремонту автомобилей и тяжелой техники</t>
        </is>
      </c>
      <c r="H2632" s="1" t="inlineStr">
        <is>
          <t>ООО "Амур Золото"</t>
        </is>
      </c>
      <c r="I2632" s="1" t="inlineStr">
        <is>
          <t>2708001686</t>
        </is>
      </c>
      <c r="J2632" s="1" t="inlineStr">
        <is>
          <t>ЮГОК АТЦ 26-01</t>
        </is>
      </c>
      <c r="K2632" s="1" t="inlineStr">
        <is>
          <t>Использование (применение) средств индивидуальной защиты</t>
        </is>
      </c>
      <c r="L2632" s="1" t="inlineStr">
        <is>
          <t>06.06.2026</t>
        </is>
      </c>
      <c r="M2632" s="1" t="inlineStr">
        <is>
          <t>Успешно</t>
        </is>
      </c>
      <c r="N2632" s="1" t="inlineStr">
        <is>
          <t>08.06.2026</t>
        </is>
      </c>
      <c r="O2632" s="1" t="inlineStr"/>
      <c r="P2632" s="1" t="inlineStr"/>
      <c r="Q2632" s="1" t="inlineStr">
        <is>
          <t>Пользовательский интерфейс</t>
        </is>
      </c>
    </row>
    <row r="2633">
      <c r="B2633" s="1" t="inlineStr">
        <is>
          <t>200982872</t>
        </is>
      </c>
      <c r="C2633" s="1" t="inlineStr">
        <is>
          <t>14518357</t>
        </is>
      </c>
      <c r="D2633" t="inlineStr">
        <is>
          <t>работник 802</t>
        </is>
      </c>
      <c r="E2633" s="1" t="inlineStr">
        <is>
          <t>ОБЩЕСТВО С ОГРАНИЧЕННОЙ ОТВЕТСТВЕННОСТЬЮ "АМУР ЗОЛОТО"</t>
        </is>
      </c>
      <c r="F2633" s="1" t="inlineStr">
        <is>
          <t>2708001686</t>
        </is>
      </c>
      <c r="G2633" s="1" t="inlineStr">
        <is>
          <t>Слесарь по ремонту автомобилей и тяжелой техники</t>
        </is>
      </c>
      <c r="H2633" s="1" t="inlineStr">
        <is>
          <t>ООО "Амур Золото"</t>
        </is>
      </c>
      <c r="I2633" s="1" t="inlineStr">
        <is>
          <t>2708001686</t>
        </is>
      </c>
      <c r="J2633" s="1" t="inlineStr">
        <is>
          <t>ЮГОК АТЦ 26-01</t>
        </is>
      </c>
      <c r="K263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633" s="1" t="inlineStr">
        <is>
          <t>06.06.2026</t>
        </is>
      </c>
      <c r="M2633" s="1" t="inlineStr">
        <is>
          <t>Успешно</t>
        </is>
      </c>
      <c r="N2633" s="1" t="inlineStr">
        <is>
          <t>08.06.2026</t>
        </is>
      </c>
      <c r="O2633" s="1" t="inlineStr"/>
      <c r="P2633" s="1" t="inlineStr"/>
      <c r="Q2633" s="1" t="inlineStr">
        <is>
          <t>Пользовательский интерфейс</t>
        </is>
      </c>
    </row>
    <row r="2634">
      <c r="B2634" s="1" t="inlineStr">
        <is>
          <t>200982873</t>
        </is>
      </c>
      <c r="C2634" s="1" t="inlineStr">
        <is>
          <t>14518357</t>
        </is>
      </c>
      <c r="D2634" t="inlineStr">
        <is>
          <t>работник 802</t>
        </is>
      </c>
      <c r="E2634" s="1" t="inlineStr">
        <is>
          <t>ОБЩЕСТВО С ОГРАНИЧЕННОЙ ОТВЕТСТВЕННОСТЬЮ "АМУР ЗОЛОТО"</t>
        </is>
      </c>
      <c r="F2634" s="1" t="inlineStr">
        <is>
          <t>2708001686</t>
        </is>
      </c>
      <c r="G2634" s="1" t="inlineStr">
        <is>
          <t>Слесарь по ремонту автомобилей и тяжелой техники</t>
        </is>
      </c>
      <c r="H2634" s="1" t="inlineStr">
        <is>
          <t>ООО "Амур Золото"</t>
        </is>
      </c>
      <c r="I2634" s="1" t="inlineStr">
        <is>
          <t>2708001686</t>
        </is>
      </c>
      <c r="J2634" s="1" t="inlineStr">
        <is>
          <t>ЮГОК АТЦ 26-01</t>
        </is>
      </c>
      <c r="K2634" s="1" t="inlineStr">
        <is>
          <t>Безопасные методы и приемы выполнения огневых работ</t>
        </is>
      </c>
      <c r="L2634" s="1" t="inlineStr">
        <is>
          <t>06.06.2026</t>
        </is>
      </c>
      <c r="M2634" s="1" t="inlineStr">
        <is>
          <t>Успешно</t>
        </is>
      </c>
      <c r="N2634" s="1" t="inlineStr">
        <is>
          <t>08.06.2026</t>
        </is>
      </c>
      <c r="O2634" s="1" t="inlineStr"/>
      <c r="P2634" s="1" t="inlineStr"/>
      <c r="Q2634" s="1" t="inlineStr">
        <is>
          <t>Пользовательский интерфейс</t>
        </is>
      </c>
    </row>
    <row r="2635">
      <c r="B2635" s="1" t="inlineStr">
        <is>
          <t>200982874</t>
        </is>
      </c>
      <c r="C2635" s="1" t="inlineStr">
        <is>
          <t>14518357</t>
        </is>
      </c>
      <c r="D2635" t="inlineStr">
        <is>
          <t>работник 803</t>
        </is>
      </c>
      <c r="E2635" s="1" t="inlineStr">
        <is>
          <t>ОБЩЕСТВО С ОГРАНИЧЕННОЙ ОТВЕТСТВЕННОСТЬЮ "АМУР ЗОЛОТО"</t>
        </is>
      </c>
      <c r="F2635" s="1" t="inlineStr">
        <is>
          <t>2708001686</t>
        </is>
      </c>
      <c r="G2635" s="1" t="inlineStr">
        <is>
          <t>Слесарь по ремонту автомобилей и тяжелой техники</t>
        </is>
      </c>
      <c r="H2635" s="1" t="inlineStr">
        <is>
          <t>ООО "Амур Золото"</t>
        </is>
      </c>
      <c r="I2635" s="1" t="inlineStr">
        <is>
          <t>2708001686</t>
        </is>
      </c>
      <c r="J2635" s="1" t="inlineStr">
        <is>
          <t>ЮГОК АТЦ 26-01</t>
        </is>
      </c>
      <c r="K2635" s="1" t="inlineStr">
        <is>
          <t>Оказание первой помощи пострадавшим</t>
        </is>
      </c>
      <c r="L2635" s="1" t="inlineStr">
        <is>
          <t>06.06.2026</t>
        </is>
      </c>
      <c r="M2635" s="1" t="inlineStr">
        <is>
          <t>Успешно</t>
        </is>
      </c>
      <c r="N2635" s="1" t="inlineStr">
        <is>
          <t>08.06.2026</t>
        </is>
      </c>
      <c r="O2635" s="1" t="inlineStr"/>
      <c r="P2635" s="1" t="inlineStr"/>
      <c r="Q2635" s="1" t="inlineStr">
        <is>
          <t>Пользовательский интерфейс</t>
        </is>
      </c>
    </row>
    <row r="2636">
      <c r="B2636" s="1" t="inlineStr">
        <is>
          <t>200982875</t>
        </is>
      </c>
      <c r="C2636" s="1" t="inlineStr">
        <is>
          <t>14518357</t>
        </is>
      </c>
      <c r="D2636" t="inlineStr">
        <is>
          <t>работник 803</t>
        </is>
      </c>
      <c r="E2636" s="1" t="inlineStr">
        <is>
          <t>ОБЩЕСТВО С ОГРАНИЧЕННОЙ ОТВЕТСТВЕННОСТЬЮ "АМУР ЗОЛОТО"</t>
        </is>
      </c>
      <c r="F2636" s="1" t="inlineStr">
        <is>
          <t>2708001686</t>
        </is>
      </c>
      <c r="G2636" s="1" t="inlineStr">
        <is>
          <t>Слесарь по ремонту автомобилей и тяжелой техники</t>
        </is>
      </c>
      <c r="H2636" s="1" t="inlineStr">
        <is>
          <t>ООО "Амур Золото"</t>
        </is>
      </c>
      <c r="I2636" s="1" t="inlineStr">
        <is>
          <t>2708001686</t>
        </is>
      </c>
      <c r="J2636" s="1" t="inlineStr">
        <is>
          <t>ЮГОК АТЦ 26-01</t>
        </is>
      </c>
      <c r="K2636" s="1" t="inlineStr">
        <is>
          <t>Использование (применение) средств индивидуальной защиты</t>
        </is>
      </c>
      <c r="L2636" s="1" t="inlineStr">
        <is>
          <t>06.06.2026</t>
        </is>
      </c>
      <c r="M2636" s="1" t="inlineStr">
        <is>
          <t>Успешно</t>
        </is>
      </c>
      <c r="N2636" s="1" t="inlineStr">
        <is>
          <t>08.06.2026</t>
        </is>
      </c>
      <c r="O2636" s="1" t="inlineStr"/>
      <c r="P2636" s="1" t="inlineStr"/>
      <c r="Q2636" s="1" t="inlineStr">
        <is>
          <t>Пользовательский интерфейс</t>
        </is>
      </c>
    </row>
    <row r="2637">
      <c r="B2637" s="1" t="inlineStr">
        <is>
          <t>200982876</t>
        </is>
      </c>
      <c r="C2637" s="1" t="inlineStr">
        <is>
          <t>14518357</t>
        </is>
      </c>
      <c r="D2637" t="inlineStr">
        <is>
          <t>работник 803</t>
        </is>
      </c>
      <c r="E2637" s="1" t="inlineStr">
        <is>
          <t>ОБЩЕСТВО С ОГРАНИЧЕННОЙ ОТВЕТСТВЕННОСТЬЮ "АМУР ЗОЛОТО"</t>
        </is>
      </c>
      <c r="F2637" s="1" t="inlineStr">
        <is>
          <t>2708001686</t>
        </is>
      </c>
      <c r="G2637" s="1" t="inlineStr">
        <is>
          <t>Слесарь по ремонту автомобилей и тяжелой техники</t>
        </is>
      </c>
      <c r="H2637" s="1" t="inlineStr">
        <is>
          <t>ООО "Амур Золото"</t>
        </is>
      </c>
      <c r="I2637" s="1" t="inlineStr">
        <is>
          <t>2708001686</t>
        </is>
      </c>
      <c r="J2637" s="1" t="inlineStr">
        <is>
          <t>ЮГОК АТЦ 26-01</t>
        </is>
      </c>
      <c r="K263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637" s="1" t="inlineStr">
        <is>
          <t>06.06.2026</t>
        </is>
      </c>
      <c r="M2637" s="1" t="inlineStr">
        <is>
          <t>Успешно</t>
        </is>
      </c>
      <c r="N2637" s="1" t="inlineStr">
        <is>
          <t>08.06.2026</t>
        </is>
      </c>
      <c r="O2637" s="1" t="inlineStr"/>
      <c r="P2637" s="1" t="inlineStr"/>
      <c r="Q2637" s="1" t="inlineStr">
        <is>
          <t>Пользовательский интерфейс</t>
        </is>
      </c>
    </row>
    <row r="2638">
      <c r="B2638" s="1" t="inlineStr">
        <is>
          <t>200982877</t>
        </is>
      </c>
      <c r="C2638" s="1" t="inlineStr">
        <is>
          <t>14518357</t>
        </is>
      </c>
      <c r="D2638" t="inlineStr">
        <is>
          <t>работник 803</t>
        </is>
      </c>
      <c r="E2638" s="1" t="inlineStr">
        <is>
          <t>ОБЩЕСТВО С ОГРАНИЧЕННОЙ ОТВЕТСТВЕННОСТЬЮ "АМУР ЗОЛОТО"</t>
        </is>
      </c>
      <c r="F2638" s="1" t="inlineStr">
        <is>
          <t>2708001686</t>
        </is>
      </c>
      <c r="G2638" s="1" t="inlineStr">
        <is>
          <t>Слесарь по ремонту автомобилей и тяжелой техники</t>
        </is>
      </c>
      <c r="H2638" s="1" t="inlineStr">
        <is>
          <t>ООО "Амур Золото"</t>
        </is>
      </c>
      <c r="I2638" s="1" t="inlineStr">
        <is>
          <t>2708001686</t>
        </is>
      </c>
      <c r="J2638" s="1" t="inlineStr">
        <is>
          <t>ЮГОК АТЦ 26-01</t>
        </is>
      </c>
      <c r="K2638" s="1" t="inlineStr">
        <is>
          <t>Безопасные методы и приемы выполнения огневых работ</t>
        </is>
      </c>
      <c r="L2638" s="1" t="inlineStr">
        <is>
          <t>06.06.2026</t>
        </is>
      </c>
      <c r="M2638" s="1" t="inlineStr">
        <is>
          <t>Успешно</t>
        </is>
      </c>
      <c r="N2638" s="1" t="inlineStr">
        <is>
          <t>08.06.2026</t>
        </is>
      </c>
      <c r="O2638" s="1" t="inlineStr"/>
      <c r="P2638" s="1" t="inlineStr"/>
      <c r="Q2638" s="1" t="inlineStr">
        <is>
          <t>Пользовательский интерфейс</t>
        </is>
      </c>
    </row>
    <row r="2639">
      <c r="B2639" s="1" t="inlineStr">
        <is>
          <t>200982878</t>
        </is>
      </c>
      <c r="C2639" s="1" t="inlineStr">
        <is>
          <t>14518357</t>
        </is>
      </c>
      <c r="D2639" t="inlineStr">
        <is>
          <t>работник 804</t>
        </is>
      </c>
      <c r="E2639" s="1" t="inlineStr">
        <is>
          <t>ОБЩЕСТВО С ОГРАНИЧЕННОЙ ОТВЕТСТВЕННОСТЬЮ "АМУР ЗОЛОТО"</t>
        </is>
      </c>
      <c r="F2639" s="1" t="inlineStr">
        <is>
          <t>2708001686</t>
        </is>
      </c>
      <c r="G2639" s="1" t="inlineStr">
        <is>
          <t>Слесарь по ремонту автомобилей и тяжелой техники</t>
        </is>
      </c>
      <c r="H2639" s="1" t="inlineStr">
        <is>
          <t>ООО "Амур Золото"</t>
        </is>
      </c>
      <c r="I2639" s="1" t="inlineStr">
        <is>
          <t>2708001686</t>
        </is>
      </c>
      <c r="J2639" s="1" t="inlineStr">
        <is>
          <t>ЮГОК АТЦ 26-01</t>
        </is>
      </c>
      <c r="K2639" s="1" t="inlineStr">
        <is>
          <t>Оказание первой помощи пострадавшим</t>
        </is>
      </c>
      <c r="L2639" s="1" t="inlineStr">
        <is>
          <t>06.06.2026</t>
        </is>
      </c>
      <c r="M2639" s="1" t="inlineStr">
        <is>
          <t>Успешно</t>
        </is>
      </c>
      <c r="N2639" s="1" t="inlineStr">
        <is>
          <t>08.06.2026</t>
        </is>
      </c>
      <c r="O2639" s="1" t="inlineStr"/>
      <c r="P2639" s="1" t="inlineStr"/>
      <c r="Q2639" s="1" t="inlineStr">
        <is>
          <t>Пользовательский интерфейс</t>
        </is>
      </c>
    </row>
    <row r="2640">
      <c r="B2640" s="1" t="inlineStr">
        <is>
          <t>200982879</t>
        </is>
      </c>
      <c r="C2640" s="1" t="inlineStr">
        <is>
          <t>14518357</t>
        </is>
      </c>
      <c r="D2640" t="inlineStr">
        <is>
          <t>работник 804</t>
        </is>
      </c>
      <c r="E2640" s="1" t="inlineStr">
        <is>
          <t>ОБЩЕСТВО С ОГРАНИЧЕННОЙ ОТВЕТСТВЕННОСТЬЮ "АМУР ЗОЛОТО"</t>
        </is>
      </c>
      <c r="F2640" s="1" t="inlineStr">
        <is>
          <t>2708001686</t>
        </is>
      </c>
      <c r="G2640" s="1" t="inlineStr">
        <is>
          <t>Слесарь по ремонту автомобилей и тяжелой техники</t>
        </is>
      </c>
      <c r="H2640" s="1" t="inlineStr">
        <is>
          <t>ООО "Амур Золото"</t>
        </is>
      </c>
      <c r="I2640" s="1" t="inlineStr">
        <is>
          <t>2708001686</t>
        </is>
      </c>
      <c r="J2640" s="1" t="inlineStr">
        <is>
          <t>ЮГОК АТЦ 26-01</t>
        </is>
      </c>
      <c r="K2640" s="1" t="inlineStr">
        <is>
          <t>Использование (применение) средств индивидуальной защиты</t>
        </is>
      </c>
      <c r="L2640" s="1" t="inlineStr">
        <is>
          <t>06.06.2026</t>
        </is>
      </c>
      <c r="M2640" s="1" t="inlineStr">
        <is>
          <t>Успешно</t>
        </is>
      </c>
      <c r="N2640" s="1" t="inlineStr">
        <is>
          <t>08.06.2026</t>
        </is>
      </c>
      <c r="O2640" s="1" t="inlineStr"/>
      <c r="P2640" s="1" t="inlineStr"/>
      <c r="Q2640" s="1" t="inlineStr">
        <is>
          <t>Пользовательский интерфейс</t>
        </is>
      </c>
    </row>
    <row r="2641">
      <c r="B2641" s="1" t="inlineStr">
        <is>
          <t>200982880</t>
        </is>
      </c>
      <c r="C2641" s="1" t="inlineStr">
        <is>
          <t>14518357</t>
        </is>
      </c>
      <c r="D2641" t="inlineStr">
        <is>
          <t>работник 804</t>
        </is>
      </c>
      <c r="E2641" s="1" t="inlineStr">
        <is>
          <t>ОБЩЕСТВО С ОГРАНИЧЕННОЙ ОТВЕТСТВЕННОСТЬЮ "АМУР ЗОЛОТО"</t>
        </is>
      </c>
      <c r="F2641" s="1" t="inlineStr">
        <is>
          <t>2708001686</t>
        </is>
      </c>
      <c r="G2641" s="1" t="inlineStr">
        <is>
          <t>Слесарь по ремонту автомобилей и тяжелой техники</t>
        </is>
      </c>
      <c r="H2641" s="1" t="inlineStr">
        <is>
          <t>ООО "Амур Золото"</t>
        </is>
      </c>
      <c r="I2641" s="1" t="inlineStr">
        <is>
          <t>2708001686</t>
        </is>
      </c>
      <c r="J2641" s="1" t="inlineStr">
        <is>
          <t>ЮГОК АТЦ 26-01</t>
        </is>
      </c>
      <c r="K264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641" s="1" t="inlineStr">
        <is>
          <t>06.06.2026</t>
        </is>
      </c>
      <c r="M2641" s="1" t="inlineStr">
        <is>
          <t>Успешно</t>
        </is>
      </c>
      <c r="N2641" s="1" t="inlineStr">
        <is>
          <t>08.06.2026</t>
        </is>
      </c>
      <c r="O2641" s="1" t="inlineStr"/>
      <c r="P2641" s="1" t="inlineStr"/>
      <c r="Q2641" s="1" t="inlineStr">
        <is>
          <t>Пользовательский интерфейс</t>
        </is>
      </c>
    </row>
    <row r="2642">
      <c r="B2642" s="1" t="inlineStr">
        <is>
          <t>200982881</t>
        </is>
      </c>
      <c r="C2642" s="1" t="inlineStr">
        <is>
          <t>14518357</t>
        </is>
      </c>
      <c r="D2642" t="inlineStr">
        <is>
          <t>работник 804</t>
        </is>
      </c>
      <c r="E2642" s="1" t="inlineStr">
        <is>
          <t>ОБЩЕСТВО С ОГРАНИЧЕННОЙ ОТВЕТСТВЕННОСТЬЮ "АМУР ЗОЛОТО"</t>
        </is>
      </c>
      <c r="F2642" s="1" t="inlineStr">
        <is>
          <t>2708001686</t>
        </is>
      </c>
      <c r="G2642" s="1" t="inlineStr">
        <is>
          <t>Слесарь по ремонту автомобилей и тяжелой техники</t>
        </is>
      </c>
      <c r="H2642" s="1" t="inlineStr">
        <is>
          <t>ООО "Амур Золото"</t>
        </is>
      </c>
      <c r="I2642" s="1" t="inlineStr">
        <is>
          <t>2708001686</t>
        </is>
      </c>
      <c r="J2642" s="1" t="inlineStr">
        <is>
          <t>ЮГОК АТЦ 26-01</t>
        </is>
      </c>
      <c r="K2642" s="1" t="inlineStr">
        <is>
          <t>Безопасные методы и приемы выполнения огневых работ</t>
        </is>
      </c>
      <c r="L2642" s="1" t="inlineStr">
        <is>
          <t>06.06.2026</t>
        </is>
      </c>
      <c r="M2642" s="1" t="inlineStr">
        <is>
          <t>Успешно</t>
        </is>
      </c>
      <c r="N2642" s="1" t="inlineStr">
        <is>
          <t>08.06.2026</t>
        </is>
      </c>
      <c r="O2642" s="1" t="inlineStr"/>
      <c r="P2642" s="1" t="inlineStr"/>
      <c r="Q2642" s="1" t="inlineStr">
        <is>
          <t>Пользовательский интерфейс</t>
        </is>
      </c>
    </row>
    <row r="2643">
      <c r="B2643" s="1" t="inlineStr">
        <is>
          <t>207616902</t>
        </is>
      </c>
      <c r="C2643" s="1" t="inlineStr">
        <is>
          <t>14965340</t>
        </is>
      </c>
      <c r="D2643" t="inlineStr">
        <is>
          <t>работник 805</t>
        </is>
      </c>
      <c r="E2643" s="1" t="inlineStr">
        <is>
          <t>ОБЩЕСТВО С ОГРАНИЧЕННОЙ ОТВЕТСТВЕННОСТЬЮ "АМУР ЗОЛОТО"</t>
        </is>
      </c>
      <c r="F2643" s="1" t="inlineStr">
        <is>
          <t>2708001686</t>
        </is>
      </c>
      <c r="G2643" s="1" t="inlineStr">
        <is>
          <t>Машинист экскаватора</t>
        </is>
      </c>
      <c r="H2643" s="1" t="inlineStr">
        <is>
          <t>ООО "Амур Золото"</t>
        </is>
      </c>
      <c r="I2643" s="1" t="inlineStr">
        <is>
          <t>2708001686</t>
        </is>
      </c>
      <c r="J2643" s="1" t="inlineStr">
        <is>
          <t>ЮГОК АТЦ 26-05</t>
        </is>
      </c>
      <c r="K2643" s="1" t="inlineStr">
        <is>
          <t>Использование (применение) средств индивидуальной защиты</t>
        </is>
      </c>
      <c r="L2643" s="1" t="inlineStr">
        <is>
          <t>30.06.2026</t>
        </is>
      </c>
      <c r="M2643" s="1" t="inlineStr">
        <is>
          <t>Успешно</t>
        </is>
      </c>
      <c r="N2643" s="1" t="inlineStr">
        <is>
          <t>08.07.2026</t>
        </is>
      </c>
      <c r="O2643" s="1" t="inlineStr"/>
      <c r="P2643" s="1" t="inlineStr"/>
      <c r="Q2643" s="1" t="inlineStr">
        <is>
          <t>Пользовательский интерфейс</t>
        </is>
      </c>
    </row>
    <row r="2644">
      <c r="B2644" s="1" t="inlineStr">
        <is>
          <t>207616903</t>
        </is>
      </c>
      <c r="C2644" s="1" t="inlineStr">
        <is>
          <t>14965340</t>
        </is>
      </c>
      <c r="D2644" t="inlineStr">
        <is>
          <t>работник 805</t>
        </is>
      </c>
      <c r="E2644" s="1" t="inlineStr">
        <is>
          <t>ОБЩЕСТВО С ОГРАНИЧЕННОЙ ОТВЕТСТВЕННОСТЬЮ "АМУР ЗОЛОТО"</t>
        </is>
      </c>
      <c r="F2644" s="1" t="inlineStr">
        <is>
          <t>2708001686</t>
        </is>
      </c>
      <c r="G2644" s="1" t="inlineStr">
        <is>
          <t>Машинист экскаватора</t>
        </is>
      </c>
      <c r="H2644" s="1" t="inlineStr">
        <is>
          <t>ООО "Амур Золото"</t>
        </is>
      </c>
      <c r="I2644" s="1" t="inlineStr">
        <is>
          <t>2708001686</t>
        </is>
      </c>
      <c r="J2644" s="1" t="inlineStr">
        <is>
          <t>ЮГОК АТЦ 26-05</t>
        </is>
      </c>
      <c r="K264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644" s="1" t="inlineStr">
        <is>
          <t>30.06.2026</t>
        </is>
      </c>
      <c r="M2644" s="1" t="inlineStr">
        <is>
          <t>Успешно</t>
        </is>
      </c>
      <c r="N2644" s="1" t="inlineStr">
        <is>
          <t>08.07.2026</t>
        </is>
      </c>
      <c r="O2644" s="1" t="inlineStr"/>
      <c r="P2644" s="1" t="inlineStr"/>
      <c r="Q2644" s="1" t="inlineStr">
        <is>
          <t>Пользовательский интерфейс</t>
        </is>
      </c>
    </row>
    <row r="2645">
      <c r="B2645" s="1" t="inlineStr">
        <is>
          <t>207616904</t>
        </is>
      </c>
      <c r="C2645" s="1" t="inlineStr">
        <is>
          <t>14965340</t>
        </is>
      </c>
      <c r="D2645" t="inlineStr">
        <is>
          <t>работник 806</t>
        </is>
      </c>
      <c r="E2645" s="1" t="inlineStr">
        <is>
          <t>ОБЩЕСТВО С ОГРАНИЧЕННОЙ ОТВЕТСТВЕННОСТЬЮ "АМУР ЗОЛОТО"</t>
        </is>
      </c>
      <c r="F2645" s="1" t="inlineStr">
        <is>
          <t>2708001686</t>
        </is>
      </c>
      <c r="G2645" s="1" t="inlineStr">
        <is>
          <t>повар</t>
        </is>
      </c>
      <c r="H2645" s="1" t="inlineStr">
        <is>
          <t>ООО "Амур Золото"</t>
        </is>
      </c>
      <c r="I2645" s="1" t="inlineStr">
        <is>
          <t>2708001686</t>
        </is>
      </c>
      <c r="J2645" s="1" t="inlineStr">
        <is>
          <t>ЮГОК АХЧ- 23</t>
        </is>
      </c>
      <c r="K2645" s="1" t="inlineStr">
        <is>
          <t>Использование (применение) средств индивидуальной защиты</t>
        </is>
      </c>
      <c r="L2645" s="1" t="inlineStr">
        <is>
          <t>03.07.2026</t>
        </is>
      </c>
      <c r="M2645" s="1" t="inlineStr">
        <is>
          <t>Успешно</t>
        </is>
      </c>
      <c r="N2645" s="1" t="inlineStr">
        <is>
          <t>08.07.2026</t>
        </is>
      </c>
      <c r="O2645" s="1" t="inlineStr"/>
      <c r="P2645" s="1" t="inlineStr"/>
      <c r="Q2645" s="1" t="inlineStr">
        <is>
          <t>Пользовательский интерфейс</t>
        </is>
      </c>
    </row>
    <row r="2646">
      <c r="B2646" s="1" t="inlineStr">
        <is>
          <t>207616905</t>
        </is>
      </c>
      <c r="C2646" s="1" t="inlineStr">
        <is>
          <t>14965340</t>
        </is>
      </c>
      <c r="D2646" t="inlineStr">
        <is>
          <t>работник 806</t>
        </is>
      </c>
      <c r="E2646" s="1" t="inlineStr">
        <is>
          <t>ОБЩЕСТВО С ОГРАНИЧЕННОЙ ОТВЕТСТВЕННОСТЬЮ "АМУР ЗОЛОТО"</t>
        </is>
      </c>
      <c r="F2646" s="1" t="inlineStr">
        <is>
          <t>2708001686</t>
        </is>
      </c>
      <c r="G2646" s="1" t="inlineStr">
        <is>
          <t>повар</t>
        </is>
      </c>
      <c r="H2646" s="1" t="inlineStr">
        <is>
          <t>ООО "Амур Золото"</t>
        </is>
      </c>
      <c r="I2646" s="1" t="inlineStr">
        <is>
          <t>2708001686</t>
        </is>
      </c>
      <c r="J2646" s="1" t="inlineStr">
        <is>
          <t>ЮГОК АХЧ- 23</t>
        </is>
      </c>
      <c r="K264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646" s="1" t="inlineStr">
        <is>
          <t>03.07.2026</t>
        </is>
      </c>
      <c r="M2646" s="1" t="inlineStr">
        <is>
          <t>Успешно</t>
        </is>
      </c>
      <c r="N2646" s="1" t="inlineStr">
        <is>
          <t>08.07.2026</t>
        </is>
      </c>
      <c r="O2646" s="1" t="inlineStr"/>
      <c r="P2646" s="1" t="inlineStr"/>
      <c r="Q2646" s="1" t="inlineStr">
        <is>
          <t>Пользовательский интерфейс</t>
        </is>
      </c>
    </row>
    <row r="2647">
      <c r="B2647" s="1" t="inlineStr">
        <is>
          <t>207616906</t>
        </is>
      </c>
      <c r="C2647" s="1" t="inlineStr">
        <is>
          <t>14965340</t>
        </is>
      </c>
      <c r="D2647" t="inlineStr">
        <is>
          <t>работник 807</t>
        </is>
      </c>
      <c r="E2647" s="1" t="inlineStr">
        <is>
          <t>ОБЩЕСТВО С ОГРАНИЧЕННОЙ ОТВЕТСТВЕННОСТЬЮ "АМУР ЗОЛОТО"</t>
        </is>
      </c>
      <c r="F2647" s="1" t="inlineStr">
        <is>
          <t>2708001686</t>
        </is>
      </c>
      <c r="G2647" s="1" t="inlineStr">
        <is>
          <t>повар</t>
        </is>
      </c>
      <c r="H2647" s="1" t="inlineStr">
        <is>
          <t>ООО "Амур Золото"</t>
        </is>
      </c>
      <c r="I2647" s="1" t="inlineStr">
        <is>
          <t>2708001686</t>
        </is>
      </c>
      <c r="J2647" s="1" t="inlineStr">
        <is>
          <t>ЮГОК АХЧ- 23</t>
        </is>
      </c>
      <c r="K2647" s="1" t="inlineStr">
        <is>
          <t>Использование (применение) средств индивидуальной защиты</t>
        </is>
      </c>
      <c r="L2647" s="1" t="inlineStr">
        <is>
          <t>03.07.2026</t>
        </is>
      </c>
      <c r="M2647" s="1" t="inlineStr">
        <is>
          <t>Успешно</t>
        </is>
      </c>
      <c r="N2647" s="1" t="inlineStr">
        <is>
          <t>08.07.2026</t>
        </is>
      </c>
      <c r="O2647" s="1" t="inlineStr"/>
      <c r="P2647" s="1" t="inlineStr"/>
      <c r="Q2647" s="1" t="inlineStr">
        <is>
          <t>Пользовательский интерфейс</t>
        </is>
      </c>
    </row>
    <row r="2648">
      <c r="B2648" s="1" t="inlineStr">
        <is>
          <t>207616907</t>
        </is>
      </c>
      <c r="C2648" s="1" t="inlineStr">
        <is>
          <t>14965340</t>
        </is>
      </c>
      <c r="D2648" t="inlineStr">
        <is>
          <t>работник 807</t>
        </is>
      </c>
      <c r="E2648" s="1" t="inlineStr">
        <is>
          <t>ОБЩЕСТВО С ОГРАНИЧЕННОЙ ОТВЕТСТВЕННОСТЬЮ "АМУР ЗОЛОТО"</t>
        </is>
      </c>
      <c r="F2648" s="1" t="inlineStr">
        <is>
          <t>2708001686</t>
        </is>
      </c>
      <c r="G2648" s="1" t="inlineStr">
        <is>
          <t>повар</t>
        </is>
      </c>
      <c r="H2648" s="1" t="inlineStr">
        <is>
          <t>ООО "Амур Золото"</t>
        </is>
      </c>
      <c r="I2648" s="1" t="inlineStr">
        <is>
          <t>2708001686</t>
        </is>
      </c>
      <c r="J2648" s="1" t="inlineStr">
        <is>
          <t>ЮГОК АХЧ- 23</t>
        </is>
      </c>
      <c r="K264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648" s="1" t="inlineStr">
        <is>
          <t>03.07.2026</t>
        </is>
      </c>
      <c r="M2648" s="1" t="inlineStr">
        <is>
          <t>Успешно</t>
        </is>
      </c>
      <c r="N2648" s="1" t="inlineStr">
        <is>
          <t>08.07.2026</t>
        </is>
      </c>
      <c r="O2648" s="1" t="inlineStr"/>
      <c r="P2648" s="1" t="inlineStr"/>
      <c r="Q2648" s="1" t="inlineStr">
        <is>
          <t>Пользовательский интерфейс</t>
        </is>
      </c>
    </row>
    <row r="2649">
      <c r="B2649" s="1" t="inlineStr">
        <is>
          <t>207616908</t>
        </is>
      </c>
      <c r="C2649" s="1" t="inlineStr">
        <is>
          <t>14965340</t>
        </is>
      </c>
      <c r="D2649" t="inlineStr">
        <is>
          <t>работник 808</t>
        </is>
      </c>
      <c r="E2649" s="1" t="inlineStr">
        <is>
          <t>ОБЩЕСТВО С ОГРАНИЧЕННОЙ ОТВЕТСТВЕННОСТЬЮ "АМУР ЗОЛОТО"</t>
        </is>
      </c>
      <c r="F2649" s="1" t="inlineStr">
        <is>
          <t>2708001686</t>
        </is>
      </c>
      <c r="G2649" s="1" t="inlineStr">
        <is>
          <t>повар</t>
        </is>
      </c>
      <c r="H2649" s="1" t="inlineStr">
        <is>
          <t>ООО "Амур Золото"</t>
        </is>
      </c>
      <c r="I2649" s="1" t="inlineStr">
        <is>
          <t>2708001686</t>
        </is>
      </c>
      <c r="J2649" s="1" t="inlineStr">
        <is>
          <t>ЮГОК АХЧ- 23</t>
        </is>
      </c>
      <c r="K2649" s="1" t="inlineStr">
        <is>
          <t>Использование (применение) средств индивидуальной защиты</t>
        </is>
      </c>
      <c r="L2649" s="1" t="inlineStr">
        <is>
          <t>03.07.2026</t>
        </is>
      </c>
      <c r="M2649" s="1" t="inlineStr">
        <is>
          <t>Успешно</t>
        </is>
      </c>
      <c r="N2649" s="1" t="inlineStr">
        <is>
          <t>08.07.2026</t>
        </is>
      </c>
      <c r="O2649" s="1" t="inlineStr"/>
      <c r="P2649" s="1" t="inlineStr"/>
      <c r="Q2649" s="1" t="inlineStr">
        <is>
          <t>Пользовательский интерфейс</t>
        </is>
      </c>
    </row>
    <row r="2650">
      <c r="B2650" s="1" t="inlineStr">
        <is>
          <t>207616909</t>
        </is>
      </c>
      <c r="C2650" s="1" t="inlineStr">
        <is>
          <t>14965340</t>
        </is>
      </c>
      <c r="D2650" t="inlineStr">
        <is>
          <t>работник 808</t>
        </is>
      </c>
      <c r="E2650" s="1" t="inlineStr">
        <is>
          <t>ОБЩЕСТВО С ОГРАНИЧЕННОЙ ОТВЕТСТВЕННОСТЬЮ "АМУР ЗОЛОТО"</t>
        </is>
      </c>
      <c r="F2650" s="1" t="inlineStr">
        <is>
          <t>2708001686</t>
        </is>
      </c>
      <c r="G2650" s="1" t="inlineStr">
        <is>
          <t>повар</t>
        </is>
      </c>
      <c r="H2650" s="1" t="inlineStr">
        <is>
          <t>ООО "Амур Золото"</t>
        </is>
      </c>
      <c r="I2650" s="1" t="inlineStr">
        <is>
          <t>2708001686</t>
        </is>
      </c>
      <c r="J2650" s="1" t="inlineStr">
        <is>
          <t>ЮГОК АХЧ- 23</t>
        </is>
      </c>
      <c r="K265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650" s="1" t="inlineStr">
        <is>
          <t>03.07.2026</t>
        </is>
      </c>
      <c r="M2650" s="1" t="inlineStr">
        <is>
          <t>Успешно</t>
        </is>
      </c>
      <c r="N2650" s="1" t="inlineStr">
        <is>
          <t>08.07.2026</t>
        </is>
      </c>
      <c r="O2650" s="1" t="inlineStr"/>
      <c r="P2650" s="1" t="inlineStr"/>
      <c r="Q2650" s="1" t="inlineStr">
        <is>
          <t>Пользовательский интерфейс</t>
        </is>
      </c>
    </row>
    <row r="2651">
      <c r="B2651" s="1" t="inlineStr">
        <is>
          <t>207616910</t>
        </is>
      </c>
      <c r="C2651" s="1" t="inlineStr">
        <is>
          <t>14965340</t>
        </is>
      </c>
      <c r="D2651" t="inlineStr">
        <is>
          <t>работник 809</t>
        </is>
      </c>
      <c r="E2651" s="1" t="inlineStr">
        <is>
          <t>ОБЩЕСТВО С ОГРАНИЧЕННОЙ ОТВЕТСТВЕННОСТЬЮ "АМУР ЗОЛОТО"</t>
        </is>
      </c>
      <c r="F2651" s="1" t="inlineStr">
        <is>
          <t>2708001686</t>
        </is>
      </c>
      <c r="G2651" s="1" t="inlineStr">
        <is>
          <t>повар</t>
        </is>
      </c>
      <c r="H2651" s="1" t="inlineStr">
        <is>
          <t>ООО "Амур Золото"</t>
        </is>
      </c>
      <c r="I2651" s="1" t="inlineStr">
        <is>
          <t>2708001686</t>
        </is>
      </c>
      <c r="J2651" s="1" t="inlineStr">
        <is>
          <t>ЮГОК АХЧ- 23</t>
        </is>
      </c>
      <c r="K2651" s="1" t="inlineStr">
        <is>
          <t>Использование (применение) средств индивидуальной защиты</t>
        </is>
      </c>
      <c r="L2651" s="1" t="inlineStr">
        <is>
          <t>03.07.2026</t>
        </is>
      </c>
      <c r="M2651" s="1" t="inlineStr">
        <is>
          <t>Успешно</t>
        </is>
      </c>
      <c r="N2651" s="1" t="inlineStr">
        <is>
          <t>08.07.2026</t>
        </is>
      </c>
      <c r="O2651" s="1" t="inlineStr"/>
      <c r="P2651" s="1" t="inlineStr"/>
      <c r="Q2651" s="1" t="inlineStr">
        <is>
          <t>Пользовательский интерфейс</t>
        </is>
      </c>
    </row>
    <row r="2652">
      <c r="B2652" s="1" t="inlineStr">
        <is>
          <t>207616911</t>
        </is>
      </c>
      <c r="C2652" s="1" t="inlineStr">
        <is>
          <t>14965340</t>
        </is>
      </c>
      <c r="D2652" t="inlineStr">
        <is>
          <t>работник 809</t>
        </is>
      </c>
      <c r="E2652" s="1" t="inlineStr">
        <is>
          <t>ОБЩЕСТВО С ОГРАНИЧЕННОЙ ОТВЕТСТВЕННОСТЬЮ "АМУР ЗОЛОТО"</t>
        </is>
      </c>
      <c r="F2652" s="1" t="inlineStr">
        <is>
          <t>2708001686</t>
        </is>
      </c>
      <c r="G2652" s="1" t="inlineStr">
        <is>
          <t>повар</t>
        </is>
      </c>
      <c r="H2652" s="1" t="inlineStr">
        <is>
          <t>ООО "Амур Золото"</t>
        </is>
      </c>
      <c r="I2652" s="1" t="inlineStr">
        <is>
          <t>2708001686</t>
        </is>
      </c>
      <c r="J2652" s="1" t="inlineStr">
        <is>
          <t>ЮГОК АХЧ- 23</t>
        </is>
      </c>
      <c r="K265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652" s="1" t="inlineStr">
        <is>
          <t>03.07.2026</t>
        </is>
      </c>
      <c r="M2652" s="1" t="inlineStr">
        <is>
          <t>Успешно</t>
        </is>
      </c>
      <c r="N2652" s="1" t="inlineStr">
        <is>
          <t>08.07.2026</t>
        </is>
      </c>
      <c r="O2652" s="1" t="inlineStr"/>
      <c r="P2652" s="1" t="inlineStr"/>
      <c r="Q2652" s="1" t="inlineStr">
        <is>
          <t>Пользовательский интерфейс</t>
        </is>
      </c>
    </row>
    <row r="2653">
      <c r="B2653" s="1" t="inlineStr">
        <is>
          <t>207616912</t>
        </is>
      </c>
      <c r="C2653" s="1" t="inlineStr">
        <is>
          <t>14965340</t>
        </is>
      </c>
      <c r="D2653" t="inlineStr">
        <is>
          <t>работник 810</t>
        </is>
      </c>
      <c r="E2653" s="1" t="inlineStr">
        <is>
          <t>ОБЩЕСТВО С ОГРАНИЧЕННОЙ ОТВЕТСТВЕННОСТЬЮ "АМУР ЗОЛОТО"</t>
        </is>
      </c>
      <c r="F2653" s="1" t="inlineStr">
        <is>
          <t>2708001686</t>
        </is>
      </c>
      <c r="G2653" s="1" t="inlineStr">
        <is>
          <t>Раздатчик взрывчатых материалов (с исполнением обязанностей аппаратчика по изготовлению взрывчатых материалов)</t>
        </is>
      </c>
      <c r="H2653" s="1" t="inlineStr">
        <is>
          <t>ООО "Амур Золото"</t>
        </is>
      </c>
      <c r="I2653" s="1" t="inlineStr">
        <is>
          <t>2708001686</t>
        </is>
      </c>
      <c r="J2653" s="1" t="inlineStr">
        <is>
          <t>ЮГОК ВМ-07</t>
        </is>
      </c>
      <c r="K2653" s="1" t="inlineStr">
        <is>
          <t>Использование (применение) средств индивидуальной защиты</t>
        </is>
      </c>
      <c r="L2653" s="1" t="inlineStr">
        <is>
          <t>01.07.2026</t>
        </is>
      </c>
      <c r="M2653" s="1" t="inlineStr">
        <is>
          <t>Успешно</t>
        </is>
      </c>
      <c r="N2653" s="1" t="inlineStr">
        <is>
          <t>08.07.2026</t>
        </is>
      </c>
      <c r="O2653" s="1" t="inlineStr"/>
      <c r="P2653" s="1" t="inlineStr"/>
      <c r="Q2653" s="1" t="inlineStr">
        <is>
          <t>Пользовательский интерфейс</t>
        </is>
      </c>
    </row>
    <row r="2654">
      <c r="B2654" s="1" t="inlineStr">
        <is>
          <t>207616913</t>
        </is>
      </c>
      <c r="C2654" s="1" t="inlineStr">
        <is>
          <t>14965340</t>
        </is>
      </c>
      <c r="D2654" t="inlineStr">
        <is>
          <t>работник 810</t>
        </is>
      </c>
      <c r="E2654" s="1" t="inlineStr">
        <is>
          <t>ОБЩЕСТВО С ОГРАНИЧЕННОЙ ОТВЕТСТВЕННОСТЬЮ "АМУР ЗОЛОТО"</t>
        </is>
      </c>
      <c r="F2654" s="1" t="inlineStr">
        <is>
          <t>2708001686</t>
        </is>
      </c>
      <c r="G2654" s="1" t="inlineStr">
        <is>
          <t>Раздатчик взрывчатых материалов (с исполнением обязанностей аппаратчика по изготовлению взрывчатых материалов)</t>
        </is>
      </c>
      <c r="H2654" s="1" t="inlineStr">
        <is>
          <t>ООО "Амур Золото"</t>
        </is>
      </c>
      <c r="I2654" s="1" t="inlineStr">
        <is>
          <t>2708001686</t>
        </is>
      </c>
      <c r="J2654" s="1" t="inlineStr">
        <is>
          <t>ЮГОК ВМ-07</t>
        </is>
      </c>
      <c r="K265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654" s="1" t="inlineStr">
        <is>
          <t>01.07.2026</t>
        </is>
      </c>
      <c r="M2654" s="1" t="inlineStr">
        <is>
          <t>Успешно</t>
        </is>
      </c>
      <c r="N2654" s="1" t="inlineStr">
        <is>
          <t>08.07.2026</t>
        </is>
      </c>
      <c r="O2654" s="1" t="inlineStr"/>
      <c r="P2654" s="1" t="inlineStr"/>
      <c r="Q2654" s="1" t="inlineStr">
        <is>
          <t>Пользовательский интерфейс</t>
        </is>
      </c>
    </row>
    <row r="2655">
      <c r="B2655" s="1" t="inlineStr">
        <is>
          <t>207616914</t>
        </is>
      </c>
      <c r="C2655" s="1" t="inlineStr">
        <is>
          <t>14965340</t>
        </is>
      </c>
      <c r="D2655" t="inlineStr">
        <is>
          <t>работник 145</t>
        </is>
      </c>
      <c r="E2655" s="1" t="inlineStr">
        <is>
          <t>ОБЩЕСТВО С ОГРАНИЧЕННОЙ ОТВЕТСТВЕННОСТЬЮ "АМУР ЗОЛОТО"</t>
        </is>
      </c>
      <c r="F2655" s="1" t="inlineStr">
        <is>
          <t>2708001686</t>
        </is>
      </c>
      <c r="G2655" s="1" t="inlineStr">
        <is>
          <t>Фильтровальщик</t>
        </is>
      </c>
      <c r="H2655" s="1" t="inlineStr">
        <is>
          <t>ООО "Амур Золото"</t>
        </is>
      </c>
      <c r="I2655" s="1" t="inlineStr">
        <is>
          <t>2708001686</t>
        </is>
      </c>
      <c r="J2655" s="1" t="inlineStr">
        <is>
          <t>ЮГОК ЗИОФ-15</t>
        </is>
      </c>
      <c r="K2655" s="1" t="inlineStr">
        <is>
          <t>Использование (применение) средств индивидуальной защиты</t>
        </is>
      </c>
      <c r="L2655" s="1" t="inlineStr">
        <is>
          <t>01.07.2026</t>
        </is>
      </c>
      <c r="M2655" s="1" t="inlineStr">
        <is>
          <t>Успешно</t>
        </is>
      </c>
      <c r="N2655" s="1" t="inlineStr">
        <is>
          <t>08.07.2026</t>
        </is>
      </c>
      <c r="O2655" s="1" t="inlineStr"/>
      <c r="P2655" s="1" t="inlineStr"/>
      <c r="Q2655" s="1" t="inlineStr">
        <is>
          <t>Пользовательский интерфейс</t>
        </is>
      </c>
    </row>
    <row r="2656">
      <c r="B2656" s="1" t="inlineStr">
        <is>
          <t>207616915</t>
        </is>
      </c>
      <c r="C2656" s="1" t="inlineStr">
        <is>
          <t>14965340</t>
        </is>
      </c>
      <c r="D2656" t="inlineStr">
        <is>
          <t>работник 145</t>
        </is>
      </c>
      <c r="E2656" s="1" t="inlineStr">
        <is>
          <t>ОБЩЕСТВО С ОГРАНИЧЕННОЙ ОТВЕТСТВЕННОСТЬЮ "АМУР ЗОЛОТО"</t>
        </is>
      </c>
      <c r="F2656" s="1" t="inlineStr">
        <is>
          <t>2708001686</t>
        </is>
      </c>
      <c r="G2656" s="1" t="inlineStr">
        <is>
          <t>Фильтровальщик</t>
        </is>
      </c>
      <c r="H2656" s="1" t="inlineStr">
        <is>
          <t>ООО "Амур Золото"</t>
        </is>
      </c>
      <c r="I2656" s="1" t="inlineStr">
        <is>
          <t>2708001686</t>
        </is>
      </c>
      <c r="J2656" s="1" t="inlineStr">
        <is>
          <t>ЮГОК ЗИОФ-15</t>
        </is>
      </c>
      <c r="K265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656" s="1" t="inlineStr">
        <is>
          <t>01.07.2026</t>
        </is>
      </c>
      <c r="M2656" s="1" t="inlineStr">
        <is>
          <t>Успешно</t>
        </is>
      </c>
      <c r="N2656" s="1" t="inlineStr">
        <is>
          <t>08.07.2026</t>
        </is>
      </c>
      <c r="O2656" s="1" t="inlineStr"/>
      <c r="P2656" s="1" t="inlineStr"/>
      <c r="Q2656" s="1" t="inlineStr">
        <is>
          <t>Пользовательский интерфейс</t>
        </is>
      </c>
    </row>
    <row r="2657">
      <c r="B2657" s="1" t="inlineStr">
        <is>
          <t>207616916</t>
        </is>
      </c>
      <c r="C2657" s="1" t="inlineStr">
        <is>
          <t>14965340</t>
        </is>
      </c>
      <c r="D2657" t="inlineStr">
        <is>
          <t>работник 811</t>
        </is>
      </c>
      <c r="E2657" s="1" t="inlineStr">
        <is>
          <t>ОБЩЕСТВО С ОГРАНИЧЕННОЙ ОТВЕТСТВЕННОСТЬЮ "АМУР ЗОЛОТО"</t>
        </is>
      </c>
      <c r="F2657" s="1" t="inlineStr">
        <is>
          <t>2708001686</t>
        </is>
      </c>
      <c r="G2657" s="1" t="inlineStr">
        <is>
          <t>Машинист конвейера</t>
        </is>
      </c>
      <c r="H2657" s="1" t="inlineStr">
        <is>
          <t>ООО "Амур Золото"</t>
        </is>
      </c>
      <c r="I2657" s="1" t="inlineStr">
        <is>
          <t>2708001686</t>
        </is>
      </c>
      <c r="J2657" s="1" t="inlineStr">
        <is>
          <t>ЮГОК ЗИОФ-15</t>
        </is>
      </c>
      <c r="K2657" s="1" t="inlineStr">
        <is>
          <t>Использование (применение) средств индивидуальной защиты</t>
        </is>
      </c>
      <c r="L2657" s="1" t="inlineStr">
        <is>
          <t>01.07.2026</t>
        </is>
      </c>
      <c r="M2657" s="1" t="inlineStr">
        <is>
          <t>Успешно</t>
        </is>
      </c>
      <c r="N2657" s="1" t="inlineStr">
        <is>
          <t>08.07.2026</t>
        </is>
      </c>
      <c r="O2657" s="1" t="inlineStr"/>
      <c r="P2657" s="1" t="inlineStr"/>
      <c r="Q2657" s="1" t="inlineStr">
        <is>
          <t>Пользовательский интерфейс</t>
        </is>
      </c>
    </row>
    <row r="2658">
      <c r="B2658" s="1" t="inlineStr">
        <is>
          <t>207616917</t>
        </is>
      </c>
      <c r="C2658" s="1" t="inlineStr">
        <is>
          <t>14965340</t>
        </is>
      </c>
      <c r="D2658" t="inlineStr">
        <is>
          <t>работник 811</t>
        </is>
      </c>
      <c r="E2658" s="1" t="inlineStr">
        <is>
          <t>ОБЩЕСТВО С ОГРАНИЧЕННОЙ ОТВЕТСТВЕННОСТЬЮ "АМУР ЗОЛОТО"</t>
        </is>
      </c>
      <c r="F2658" s="1" t="inlineStr">
        <is>
          <t>2708001686</t>
        </is>
      </c>
      <c r="G2658" s="1" t="inlineStr">
        <is>
          <t>Машинист конвейера</t>
        </is>
      </c>
      <c r="H2658" s="1" t="inlineStr">
        <is>
          <t>ООО "Амур Золото"</t>
        </is>
      </c>
      <c r="I2658" s="1" t="inlineStr">
        <is>
          <t>2708001686</t>
        </is>
      </c>
      <c r="J2658" s="1" t="inlineStr">
        <is>
          <t>ЮГОК ЗИОФ-15</t>
        </is>
      </c>
      <c r="K265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658" s="1" t="inlineStr">
        <is>
          <t>01.07.2026</t>
        </is>
      </c>
      <c r="M2658" s="1" t="inlineStr">
        <is>
          <t>Успешно</t>
        </is>
      </c>
      <c r="N2658" s="1" t="inlineStr">
        <is>
          <t>08.07.2026</t>
        </is>
      </c>
      <c r="O2658" s="1" t="inlineStr"/>
      <c r="P2658" s="1" t="inlineStr"/>
      <c r="Q2658" s="1" t="inlineStr">
        <is>
          <t>Пользовательский интерфейс</t>
        </is>
      </c>
    </row>
    <row r="2659">
      <c r="B2659" s="1" t="inlineStr">
        <is>
          <t>207616918</t>
        </is>
      </c>
      <c r="C2659" s="1" t="inlineStr">
        <is>
          <t>14965340</t>
        </is>
      </c>
      <c r="D2659" t="inlineStr">
        <is>
          <t>работник 812</t>
        </is>
      </c>
      <c r="E2659" s="1" t="inlineStr">
        <is>
          <t>ОБЩЕСТВО С ОГРАНИЧЕННОЙ ОТВЕТСТВЕННОСТЬЮ "АМУР ЗОЛОТО"</t>
        </is>
      </c>
      <c r="F2659" s="1" t="inlineStr">
        <is>
          <t>2708001686</t>
        </is>
      </c>
      <c r="G2659" s="1" t="inlineStr">
        <is>
          <t>дробильщик</t>
        </is>
      </c>
      <c r="H2659" s="1" t="inlineStr">
        <is>
          <t>ООО "Амур Золото"</t>
        </is>
      </c>
      <c r="I2659" s="1" t="inlineStr">
        <is>
          <t>2708001686</t>
        </is>
      </c>
      <c r="J2659" s="1" t="inlineStr">
        <is>
          <t>ЮГОК ЗИОФ-15</t>
        </is>
      </c>
      <c r="K2659" s="1" t="inlineStr">
        <is>
          <t>Использование (применение) средств индивидуальной защиты</t>
        </is>
      </c>
      <c r="L2659" s="1" t="inlineStr">
        <is>
          <t>01.07.2026</t>
        </is>
      </c>
      <c r="M2659" s="1" t="inlineStr">
        <is>
          <t>Успешно</t>
        </is>
      </c>
      <c r="N2659" s="1" t="inlineStr">
        <is>
          <t>08.07.2026</t>
        </is>
      </c>
      <c r="O2659" s="1" t="inlineStr"/>
      <c r="P2659" s="1" t="inlineStr"/>
      <c r="Q2659" s="1" t="inlineStr">
        <is>
          <t>Пользовательский интерфейс</t>
        </is>
      </c>
    </row>
    <row r="2660">
      <c r="B2660" s="1" t="inlineStr">
        <is>
          <t>207616919</t>
        </is>
      </c>
      <c r="C2660" s="1" t="inlineStr">
        <is>
          <t>14965340</t>
        </is>
      </c>
      <c r="D2660" t="inlineStr">
        <is>
          <t>работник 812</t>
        </is>
      </c>
      <c r="E2660" s="1" t="inlineStr">
        <is>
          <t>ОБЩЕСТВО С ОГРАНИЧЕННОЙ ОТВЕТСТВЕННОСТЬЮ "АМУР ЗОЛОТО"</t>
        </is>
      </c>
      <c r="F2660" s="1" t="inlineStr">
        <is>
          <t>2708001686</t>
        </is>
      </c>
      <c r="G2660" s="1" t="inlineStr">
        <is>
          <t>дробильщик</t>
        </is>
      </c>
      <c r="H2660" s="1" t="inlineStr">
        <is>
          <t>ООО "Амур Золото"</t>
        </is>
      </c>
      <c r="I2660" s="1" t="inlineStr">
        <is>
          <t>2708001686</t>
        </is>
      </c>
      <c r="J2660" s="1" t="inlineStr">
        <is>
          <t>ЮГОК ЗИОФ-15</t>
        </is>
      </c>
      <c r="K266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660" s="1" t="inlineStr">
        <is>
          <t>01.07.2026</t>
        </is>
      </c>
      <c r="M2660" s="1" t="inlineStr">
        <is>
          <t>Успешно</t>
        </is>
      </c>
      <c r="N2660" s="1" t="inlineStr">
        <is>
          <t>08.07.2026</t>
        </is>
      </c>
      <c r="O2660" s="1" t="inlineStr"/>
      <c r="P2660" s="1" t="inlineStr"/>
      <c r="Q2660" s="1" t="inlineStr">
        <is>
          <t>Пользовательский интерфейс</t>
        </is>
      </c>
    </row>
    <row r="2661">
      <c r="B2661" s="1" t="inlineStr">
        <is>
          <t>207616920</t>
        </is>
      </c>
      <c r="C2661" s="1" t="inlineStr">
        <is>
          <t>14965340</t>
        </is>
      </c>
      <c r="D2661" t="inlineStr">
        <is>
          <t>работник 813</t>
        </is>
      </c>
      <c r="E2661" s="1" t="inlineStr">
        <is>
          <t>ОБЩЕСТВО С ОГРАНИЧЕННОЙ ОТВЕТСТВЕННОСТЬЮ "АМУР ЗОЛОТО"</t>
        </is>
      </c>
      <c r="F2661" s="1" t="inlineStr">
        <is>
          <t>2708001686</t>
        </is>
      </c>
      <c r="G2661" s="1" t="inlineStr">
        <is>
          <t>Электрогазосварщик</t>
        </is>
      </c>
      <c r="H2661" s="1" t="inlineStr">
        <is>
          <t>ООО "Амур Золото"</t>
        </is>
      </c>
      <c r="I2661" s="1" t="inlineStr">
        <is>
          <t>2708001686</t>
        </is>
      </c>
      <c r="J2661" s="1" t="inlineStr">
        <is>
          <t>ЮГОК ОКС 26-1</t>
        </is>
      </c>
      <c r="K2661" s="1" t="inlineStr">
        <is>
          <t>Использование (применение) средств индивидуальной защиты</t>
        </is>
      </c>
      <c r="L2661" s="1" t="inlineStr">
        <is>
          <t>20.06.2026</t>
        </is>
      </c>
      <c r="M2661" s="1" t="inlineStr">
        <is>
          <t>Успешно</t>
        </is>
      </c>
      <c r="N2661" s="1" t="inlineStr">
        <is>
          <t>08.07.2026</t>
        </is>
      </c>
      <c r="O2661" s="1" t="inlineStr"/>
      <c r="P2661" s="1" t="inlineStr"/>
      <c r="Q2661" s="1" t="inlineStr">
        <is>
          <t>Пользовательский интерфейс</t>
        </is>
      </c>
    </row>
    <row r="2662">
      <c r="B2662" s="1" t="inlineStr">
        <is>
          <t>207616921</t>
        </is>
      </c>
      <c r="C2662" s="1" t="inlineStr">
        <is>
          <t>14965340</t>
        </is>
      </c>
      <c r="D2662" t="inlineStr">
        <is>
          <t>работник 813</t>
        </is>
      </c>
      <c r="E2662" s="1" t="inlineStr">
        <is>
          <t>ОБЩЕСТВО С ОГРАНИЧЕННОЙ ОТВЕТСТВЕННОСТЬЮ "АМУР ЗОЛОТО"</t>
        </is>
      </c>
      <c r="F2662" s="1" t="inlineStr">
        <is>
          <t>2708001686</t>
        </is>
      </c>
      <c r="G2662" s="1" t="inlineStr">
        <is>
          <t>Электрогазосварщик</t>
        </is>
      </c>
      <c r="H2662" s="1" t="inlineStr">
        <is>
          <t>ООО "Амур Золото"</t>
        </is>
      </c>
      <c r="I2662" s="1" t="inlineStr">
        <is>
          <t>2708001686</t>
        </is>
      </c>
      <c r="J2662" s="1" t="inlineStr">
        <is>
          <t>ЮГОК ОКС 26-1</t>
        </is>
      </c>
      <c r="K266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662" s="1" t="inlineStr">
        <is>
          <t>20.06.2026</t>
        </is>
      </c>
      <c r="M2662" s="1" t="inlineStr">
        <is>
          <t>Успешно</t>
        </is>
      </c>
      <c r="N2662" s="1" t="inlineStr">
        <is>
          <t>08.07.2026</t>
        </is>
      </c>
      <c r="O2662" s="1" t="inlineStr"/>
      <c r="P2662" s="1" t="inlineStr"/>
      <c r="Q2662" s="1" t="inlineStr">
        <is>
          <t>Пользовательский интерфейс</t>
        </is>
      </c>
    </row>
    <row r="2663">
      <c r="B2663" s="1" t="inlineStr">
        <is>
          <t>207616922</t>
        </is>
      </c>
      <c r="C2663" s="1" t="inlineStr">
        <is>
          <t>14965340</t>
        </is>
      </c>
      <c r="D2663" t="inlineStr">
        <is>
          <t>работник 813</t>
        </is>
      </c>
      <c r="E2663" s="1" t="inlineStr">
        <is>
          <t>ОБЩЕСТВО С ОГРАНИЧЕННОЙ ОТВЕТСТВЕННОСТЬЮ "АМУР ЗОЛОТО"</t>
        </is>
      </c>
      <c r="F2663" s="1" t="inlineStr">
        <is>
          <t>2708001686</t>
        </is>
      </c>
      <c r="G2663" s="1" t="inlineStr">
        <is>
          <t>Электрогазосварщик</t>
        </is>
      </c>
      <c r="H2663" s="1" t="inlineStr">
        <is>
          <t>ООО "Амур Золото"</t>
        </is>
      </c>
      <c r="I2663" s="1" t="inlineStr">
        <is>
          <t>2708001686</t>
        </is>
      </c>
      <c r="J2663" s="1" t="inlineStr">
        <is>
          <t>ЮГОК ОКС 26-1</t>
        </is>
      </c>
      <c r="K2663" s="1" t="inlineStr">
        <is>
          <t>Безопасные методы и приемы выполнения огневых работ</t>
        </is>
      </c>
      <c r="L2663" s="1" t="inlineStr">
        <is>
          <t>20.06.2026</t>
        </is>
      </c>
      <c r="M2663" s="1" t="inlineStr">
        <is>
          <t>Успешно</t>
        </is>
      </c>
      <c r="N2663" s="1" t="inlineStr">
        <is>
          <t>08.07.2026</t>
        </is>
      </c>
      <c r="O2663" s="1" t="inlineStr"/>
      <c r="P2663" s="1" t="inlineStr"/>
      <c r="Q2663" s="1" t="inlineStr">
        <is>
          <t>Пользовательский интерфейс</t>
        </is>
      </c>
    </row>
    <row r="2664">
      <c r="B2664" s="1" t="inlineStr">
        <is>
          <t>207616923</t>
        </is>
      </c>
      <c r="C2664" s="1" t="inlineStr">
        <is>
          <t>14965340</t>
        </is>
      </c>
      <c r="D2664" t="inlineStr">
        <is>
          <t>работник 814</t>
        </is>
      </c>
      <c r="E2664" s="1" t="inlineStr">
        <is>
          <t>ОБЩЕСТВО С ОГРАНИЧЕННОЙ ОТВЕТСТВЕННОСТЬЮ "АМУР ЗОЛОТО"</t>
        </is>
      </c>
      <c r="F2664" s="1" t="inlineStr">
        <is>
          <t>2708001686</t>
        </is>
      </c>
      <c r="G2664" s="1" t="inlineStr">
        <is>
          <t>Машинист самоходной буровой установки (Проходка)</t>
        </is>
      </c>
      <c r="H2664" s="1" t="inlineStr">
        <is>
          <t>ООО "Амур Золото"</t>
        </is>
      </c>
      <c r="I2664" s="1" t="inlineStr">
        <is>
          <t>2708001686</t>
        </is>
      </c>
      <c r="J2664" s="1" t="inlineStr">
        <is>
          <t>ЮГОК ПГУ 06-03</t>
        </is>
      </c>
      <c r="K2664" s="1" t="inlineStr">
        <is>
          <t>Использование (применение) средств индивидуальной защиты</t>
        </is>
      </c>
      <c r="L2664" s="1" t="inlineStr">
        <is>
          <t>12.06.2026</t>
        </is>
      </c>
      <c r="M2664" s="1" t="inlineStr">
        <is>
          <t>Успешно</t>
        </is>
      </c>
      <c r="N2664" s="1" t="inlineStr">
        <is>
          <t>08.07.2026</t>
        </is>
      </c>
      <c r="O2664" s="1" t="inlineStr"/>
      <c r="P2664" s="1" t="inlineStr"/>
      <c r="Q2664" s="1" t="inlineStr">
        <is>
          <t>Пользовательский интерфейс</t>
        </is>
      </c>
    </row>
    <row r="2665">
      <c r="B2665" s="1" t="inlineStr">
        <is>
          <t>207616924</t>
        </is>
      </c>
      <c r="C2665" s="1" t="inlineStr">
        <is>
          <t>14965340</t>
        </is>
      </c>
      <c r="D2665" t="inlineStr">
        <is>
          <t>работник 814</t>
        </is>
      </c>
      <c r="E2665" s="1" t="inlineStr">
        <is>
          <t>ОБЩЕСТВО С ОГРАНИЧЕННОЙ ОТВЕТСТВЕННОСТЬЮ "АМУР ЗОЛОТО"</t>
        </is>
      </c>
      <c r="F2665" s="1" t="inlineStr">
        <is>
          <t>2708001686</t>
        </is>
      </c>
      <c r="G2665" s="1" t="inlineStr">
        <is>
          <t>Машинист самоходной буровой установки (Проходка)</t>
        </is>
      </c>
      <c r="H2665" s="1" t="inlineStr">
        <is>
          <t>ООО "Амур Золото"</t>
        </is>
      </c>
      <c r="I2665" s="1" t="inlineStr">
        <is>
          <t>2708001686</t>
        </is>
      </c>
      <c r="J2665" s="1" t="inlineStr">
        <is>
          <t>ЮГОК ПГУ 06-03</t>
        </is>
      </c>
      <c r="K266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665" s="1" t="inlineStr">
        <is>
          <t>12.06.2026</t>
        </is>
      </c>
      <c r="M2665" s="1" t="inlineStr">
        <is>
          <t>Успешно</t>
        </is>
      </c>
      <c r="N2665" s="1" t="inlineStr">
        <is>
          <t>08.07.2026</t>
        </is>
      </c>
      <c r="O2665" s="1" t="inlineStr"/>
      <c r="P2665" s="1" t="inlineStr"/>
      <c r="Q2665" s="1" t="inlineStr">
        <is>
          <t>Пользовательский интерфейс</t>
        </is>
      </c>
    </row>
    <row r="2666">
      <c r="B2666" s="1" t="inlineStr">
        <is>
          <t>211159385</t>
        </is>
      </c>
      <c r="C2666" s="1" t="inlineStr">
        <is>
          <t>15197910</t>
        </is>
      </c>
      <c r="D2666" t="inlineStr">
        <is>
          <t>работник 815</t>
        </is>
      </c>
      <c r="E2666" s="1" t="inlineStr">
        <is>
          <t>ОБЩЕСТВО С ОГРАНИЧЕННОЙ ОТВЕТСТВЕННОСТЬЮ "АМУР ЗОЛОТО"</t>
        </is>
      </c>
      <c r="F2666" s="1" t="inlineStr">
        <is>
          <t>2708001686</t>
        </is>
      </c>
      <c r="G2666" s="1" t="inlineStr">
        <is>
          <t>Машинист крана автомобильного (КМУ)</t>
        </is>
      </c>
      <c r="H2666" s="1" t="inlineStr">
        <is>
          <t>ООО "Амур Золото"</t>
        </is>
      </c>
      <c r="I2666" s="1" t="inlineStr">
        <is>
          <t>2708001686</t>
        </is>
      </c>
      <c r="J2666" s="1" t="inlineStr">
        <is>
          <t>ЮГОК АТЦ 26-05</t>
        </is>
      </c>
      <c r="K2666" s="1" t="inlineStr">
        <is>
          <t>Использование (применение) средств индивидуальной защиты</t>
        </is>
      </c>
      <c r="L2666" s="1" t="inlineStr">
        <is>
          <t>30.06.2026</t>
        </is>
      </c>
      <c r="M2666" s="1" t="inlineStr">
        <is>
          <t>Успешно</t>
        </is>
      </c>
      <c r="N2666" s="1" t="inlineStr">
        <is>
          <t>27.07.2026</t>
        </is>
      </c>
      <c r="O2666" s="1" t="inlineStr"/>
      <c r="P2666" s="1" t="inlineStr"/>
      <c r="Q2666" s="1" t="inlineStr">
        <is>
          <t>Пользовательский интерфейс</t>
        </is>
      </c>
    </row>
    <row r="2667">
      <c r="B2667" s="1" t="inlineStr">
        <is>
          <t>211159386</t>
        </is>
      </c>
      <c r="C2667" s="1" t="inlineStr">
        <is>
          <t>15197910</t>
        </is>
      </c>
      <c r="D2667" t="inlineStr">
        <is>
          <t>работник 815</t>
        </is>
      </c>
      <c r="E2667" s="1" t="inlineStr">
        <is>
          <t>ОБЩЕСТВО С ОГРАНИЧЕННОЙ ОТВЕТСТВЕННОСТЬЮ "АМУР ЗОЛОТО"</t>
        </is>
      </c>
      <c r="F2667" s="1" t="inlineStr">
        <is>
          <t>2708001686</t>
        </is>
      </c>
      <c r="G2667" s="1" t="inlineStr">
        <is>
          <t>Машинист крана автомобильного (КМУ)</t>
        </is>
      </c>
      <c r="H2667" s="1" t="inlineStr">
        <is>
          <t>ООО "Амур Золото"</t>
        </is>
      </c>
      <c r="I2667" s="1" t="inlineStr">
        <is>
          <t>2708001686</t>
        </is>
      </c>
      <c r="J2667" s="1" t="inlineStr">
        <is>
          <t>ЮГОК АТЦ 26-05</t>
        </is>
      </c>
      <c r="K266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667" s="1" t="inlineStr">
        <is>
          <t>30.06.2026</t>
        </is>
      </c>
      <c r="M2667" s="1" t="inlineStr">
        <is>
          <t>Успешно</t>
        </is>
      </c>
      <c r="N2667" s="1" t="inlineStr">
        <is>
          <t>27.07.2026</t>
        </is>
      </c>
      <c r="O2667" s="1" t="inlineStr"/>
      <c r="P2667" s="1" t="inlineStr"/>
      <c r="Q2667" s="1" t="inlineStr">
        <is>
          <t>Пользовательский интерфейс</t>
        </is>
      </c>
    </row>
    <row r="2668">
      <c r="B2668" s="1" t="inlineStr">
        <is>
          <t>211159387</t>
        </is>
      </c>
      <c r="C2668" s="1" t="inlineStr">
        <is>
          <t>15197910</t>
        </is>
      </c>
      <c r="D2668" t="inlineStr">
        <is>
          <t>работник 816</t>
        </is>
      </c>
      <c r="E2668" s="1" t="inlineStr">
        <is>
          <t>ОБЩЕСТВО С ОГРАНИЧЕННОЙ ОТВЕТСТВЕННОСТЬЮ "АМУР ЗОЛОТО"</t>
        </is>
      </c>
      <c r="F2668" s="1" t="inlineStr">
        <is>
          <t>2708001686</t>
        </is>
      </c>
      <c r="G2668" s="1" t="inlineStr">
        <is>
          <t>Водитель автомобиля (категория D)</t>
        </is>
      </c>
      <c r="H2668" s="1" t="inlineStr">
        <is>
          <t>ООО "Амур Золото"</t>
        </is>
      </c>
      <c r="I2668" s="1" t="inlineStr">
        <is>
          <t>2708001686</t>
        </is>
      </c>
      <c r="J2668" s="1" t="inlineStr">
        <is>
          <t>ЮГОК АТЦ 26-05</t>
        </is>
      </c>
      <c r="K2668" s="1" t="inlineStr">
        <is>
          <t>Использование (применение) средств индивидуальной защиты</t>
        </is>
      </c>
      <c r="L2668" s="1" t="inlineStr">
        <is>
          <t>30.06.2026</t>
        </is>
      </c>
      <c r="M2668" s="1" t="inlineStr">
        <is>
          <t>Успешно</t>
        </is>
      </c>
      <c r="N2668" s="1" t="inlineStr">
        <is>
          <t>27.07.2026</t>
        </is>
      </c>
      <c r="O2668" s="1" t="inlineStr"/>
      <c r="P2668" s="1" t="inlineStr"/>
      <c r="Q2668" s="1" t="inlineStr">
        <is>
          <t>Пользовательский интерфейс</t>
        </is>
      </c>
    </row>
    <row r="2669">
      <c r="B2669" s="1" t="inlineStr">
        <is>
          <t>211159388</t>
        </is>
      </c>
      <c r="C2669" s="1" t="inlineStr">
        <is>
          <t>15197910</t>
        </is>
      </c>
      <c r="D2669" t="inlineStr">
        <is>
          <t>работник 816</t>
        </is>
      </c>
      <c r="E2669" s="1" t="inlineStr">
        <is>
          <t>ОБЩЕСТВО С ОГРАНИЧЕННОЙ ОТВЕТСТВЕННОСТЬЮ "АМУР ЗОЛОТО"</t>
        </is>
      </c>
      <c r="F2669" s="1" t="inlineStr">
        <is>
          <t>2708001686</t>
        </is>
      </c>
      <c r="G2669" s="1" t="inlineStr">
        <is>
          <t>Водитель автомобиля (категория D)</t>
        </is>
      </c>
      <c r="H2669" s="1" t="inlineStr">
        <is>
          <t>ООО "Амур Золото"</t>
        </is>
      </c>
      <c r="I2669" s="1" t="inlineStr">
        <is>
          <t>2708001686</t>
        </is>
      </c>
      <c r="J2669" s="1" t="inlineStr">
        <is>
          <t>ЮГОК АТЦ 26-05</t>
        </is>
      </c>
      <c r="K266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669" s="1" t="inlineStr">
        <is>
          <t>30.06.2026</t>
        </is>
      </c>
      <c r="M2669" s="1" t="inlineStr">
        <is>
          <t>Успешно</t>
        </is>
      </c>
      <c r="N2669" s="1" t="inlineStr">
        <is>
          <t>27.07.2026</t>
        </is>
      </c>
      <c r="O2669" s="1" t="inlineStr"/>
      <c r="P2669" s="1" t="inlineStr"/>
      <c r="Q2669" s="1" t="inlineStr">
        <is>
          <t>Пользовательский интерфейс</t>
        </is>
      </c>
    </row>
    <row r="2670">
      <c r="B2670" s="1" t="inlineStr">
        <is>
          <t>211159389</t>
        </is>
      </c>
      <c r="C2670" s="1" t="inlineStr">
        <is>
          <t>15197910</t>
        </is>
      </c>
      <c r="D2670" t="inlineStr">
        <is>
          <t>работник 817</t>
        </is>
      </c>
      <c r="E2670" s="1" t="inlineStr">
        <is>
          <t>ОБЩЕСТВО С ОГРАНИЧЕННОЙ ОТВЕТСТВЕННОСТЬЮ "АМУР ЗОЛОТО"</t>
        </is>
      </c>
      <c r="F2670" s="1" t="inlineStr">
        <is>
          <t>2708001686</t>
        </is>
      </c>
      <c r="G2670" s="1" t="inlineStr">
        <is>
          <t>Машинист крана автомобильного</t>
        </is>
      </c>
      <c r="H2670" s="1" t="inlineStr">
        <is>
          <t>ООО "Амур Золото"</t>
        </is>
      </c>
      <c r="I2670" s="1" t="inlineStr">
        <is>
          <t>2708001686</t>
        </is>
      </c>
      <c r="J2670" s="1" t="inlineStr">
        <is>
          <t>ЮГОК АТЦ 26-05</t>
        </is>
      </c>
      <c r="K2670" s="1" t="inlineStr">
        <is>
          <t>Использование (применение) средств индивидуальной защиты</t>
        </is>
      </c>
      <c r="L2670" s="1" t="inlineStr">
        <is>
          <t>30.06.2026</t>
        </is>
      </c>
      <c r="M2670" s="1" t="inlineStr">
        <is>
          <t>Успешно</t>
        </is>
      </c>
      <c r="N2670" s="1" t="inlineStr">
        <is>
          <t>27.07.2026</t>
        </is>
      </c>
      <c r="O2670" s="1" t="inlineStr"/>
      <c r="P2670" s="1" t="inlineStr"/>
      <c r="Q2670" s="1" t="inlineStr">
        <is>
          <t>Пользовательский интерфейс</t>
        </is>
      </c>
    </row>
    <row r="2671">
      <c r="B2671" s="1" t="inlineStr">
        <is>
          <t>211159390</t>
        </is>
      </c>
      <c r="C2671" s="1" t="inlineStr">
        <is>
          <t>15197910</t>
        </is>
      </c>
      <c r="D2671" t="inlineStr">
        <is>
          <t>работник 817</t>
        </is>
      </c>
      <c r="E2671" s="1" t="inlineStr">
        <is>
          <t>ОБЩЕСТВО С ОГРАНИЧЕННОЙ ОТВЕТСТВЕННОСТЬЮ "АМУР ЗОЛОТО"</t>
        </is>
      </c>
      <c r="F2671" s="1" t="inlineStr">
        <is>
          <t>2708001686</t>
        </is>
      </c>
      <c r="G2671" s="1" t="inlineStr">
        <is>
          <t>Машинист крана автомобильного</t>
        </is>
      </c>
      <c r="H2671" s="1" t="inlineStr">
        <is>
          <t>ООО "Амур Золото"</t>
        </is>
      </c>
      <c r="I2671" s="1" t="inlineStr">
        <is>
          <t>2708001686</t>
        </is>
      </c>
      <c r="J2671" s="1" t="inlineStr">
        <is>
          <t>ЮГОК АТЦ 26-05</t>
        </is>
      </c>
      <c r="K267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671" s="1" t="inlineStr">
        <is>
          <t>30.06.2026</t>
        </is>
      </c>
      <c r="M2671" s="1" t="inlineStr">
        <is>
          <t>Успешно</t>
        </is>
      </c>
      <c r="N2671" s="1" t="inlineStr">
        <is>
          <t>27.07.2026</t>
        </is>
      </c>
      <c r="O2671" s="1" t="inlineStr"/>
      <c r="P2671" s="1" t="inlineStr"/>
      <c r="Q2671" s="1" t="inlineStr">
        <is>
          <t>Пользовательский интерфейс</t>
        </is>
      </c>
    </row>
    <row r="2672">
      <c r="B2672" s="1" t="inlineStr">
        <is>
          <t>211159391</t>
        </is>
      </c>
      <c r="C2672" s="1" t="inlineStr">
        <is>
          <t>15197910</t>
        </is>
      </c>
      <c r="D2672" t="inlineStr">
        <is>
          <t>работник 818</t>
        </is>
      </c>
      <c r="E2672" s="1" t="inlineStr">
        <is>
          <t>ОБЩЕСТВО С ОГРАНИЧЕННОЙ ОТВЕТСТВЕННОСТЬЮ "АМУР ЗОЛОТО"</t>
        </is>
      </c>
      <c r="F2672" s="1" t="inlineStr">
        <is>
          <t>2708001686</t>
        </is>
      </c>
      <c r="G2672" s="1" t="inlineStr">
        <is>
          <t>Водитель автомобиля (занятый на транспортировании горной массы в технологическом процессе)</t>
        </is>
      </c>
      <c r="H2672" s="1" t="inlineStr">
        <is>
          <t>ООО "Амур Золото"</t>
        </is>
      </c>
      <c r="I2672" s="1" t="inlineStr">
        <is>
          <t>2708001686</t>
        </is>
      </c>
      <c r="J2672" s="1" t="inlineStr">
        <is>
          <t>ЮГОК АТЦ 26-05</t>
        </is>
      </c>
      <c r="K2672" s="1" t="inlineStr">
        <is>
          <t>Использование (применение) средств индивидуальной защиты</t>
        </is>
      </c>
      <c r="L2672" s="1" t="inlineStr">
        <is>
          <t>30.06.2026</t>
        </is>
      </c>
      <c r="M2672" s="1" t="inlineStr">
        <is>
          <t>Успешно</t>
        </is>
      </c>
      <c r="N2672" s="1" t="inlineStr">
        <is>
          <t>27.07.2026</t>
        </is>
      </c>
      <c r="O2672" s="1" t="inlineStr"/>
      <c r="P2672" s="1" t="inlineStr"/>
      <c r="Q2672" s="1" t="inlineStr">
        <is>
          <t>Пользовательский интерфейс</t>
        </is>
      </c>
    </row>
    <row r="2673">
      <c r="B2673" s="1" t="inlineStr">
        <is>
          <t>211159392</t>
        </is>
      </c>
      <c r="C2673" s="1" t="inlineStr">
        <is>
          <t>15197910</t>
        </is>
      </c>
      <c r="D2673" t="inlineStr">
        <is>
          <t>работник 818</t>
        </is>
      </c>
      <c r="E2673" s="1" t="inlineStr">
        <is>
          <t>ОБЩЕСТВО С ОГРАНИЧЕННОЙ ОТВЕТСТВЕННОСТЬЮ "АМУР ЗОЛОТО"</t>
        </is>
      </c>
      <c r="F2673" s="1" t="inlineStr">
        <is>
          <t>2708001686</t>
        </is>
      </c>
      <c r="G2673" s="1" t="inlineStr">
        <is>
          <t>Водитель автомобиля (занятый на транспортировании горной массы в технологическом процессе)</t>
        </is>
      </c>
      <c r="H2673" s="1" t="inlineStr">
        <is>
          <t>ООО "Амур Золото"</t>
        </is>
      </c>
      <c r="I2673" s="1" t="inlineStr">
        <is>
          <t>2708001686</t>
        </is>
      </c>
      <c r="J2673" s="1" t="inlineStr">
        <is>
          <t>ЮГОК АТЦ 26-05</t>
        </is>
      </c>
      <c r="K267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673" s="1" t="inlineStr">
        <is>
          <t>30.06.2026</t>
        </is>
      </c>
      <c r="M2673" s="1" t="inlineStr">
        <is>
          <t>Успешно</t>
        </is>
      </c>
      <c r="N2673" s="1" t="inlineStr">
        <is>
          <t>27.07.2026</t>
        </is>
      </c>
      <c r="O2673" s="1" t="inlineStr"/>
      <c r="P2673" s="1" t="inlineStr"/>
      <c r="Q2673" s="1" t="inlineStr">
        <is>
          <t>Пользовательский интерфейс</t>
        </is>
      </c>
    </row>
    <row r="2674">
      <c r="B2674" s="1" t="inlineStr">
        <is>
          <t>211159393</t>
        </is>
      </c>
      <c r="C2674" s="1" t="inlineStr">
        <is>
          <t>15197910</t>
        </is>
      </c>
      <c r="D2674" t="inlineStr">
        <is>
          <t>работник 819</t>
        </is>
      </c>
      <c r="E2674" s="1" t="inlineStr">
        <is>
          <t>ОБЩЕСТВО С ОГРАНИЧЕННОЙ ОТВЕТСТВЕННОСТЬЮ "АМУР ЗОЛОТО"</t>
        </is>
      </c>
      <c r="F2674" s="1" t="inlineStr">
        <is>
          <t>2708001686</t>
        </is>
      </c>
      <c r="G2674" s="1" t="inlineStr">
        <is>
          <t>Водитель погрузчика</t>
        </is>
      </c>
      <c r="H2674" s="1" t="inlineStr">
        <is>
          <t>ООО "Амур Золото"</t>
        </is>
      </c>
      <c r="I2674" s="1" t="inlineStr">
        <is>
          <t>2708001686</t>
        </is>
      </c>
      <c r="J2674" s="1" t="inlineStr">
        <is>
          <t>ЮГОК АТЦ 26-05</t>
        </is>
      </c>
      <c r="K2674" s="1" t="inlineStr">
        <is>
          <t>Использование (применение) средств индивидуальной защиты</t>
        </is>
      </c>
      <c r="L2674" s="1" t="inlineStr">
        <is>
          <t>30.06.2026</t>
        </is>
      </c>
      <c r="M2674" s="1" t="inlineStr">
        <is>
          <t>Успешно</t>
        </is>
      </c>
      <c r="N2674" s="1" t="inlineStr">
        <is>
          <t>27.07.2026</t>
        </is>
      </c>
      <c r="O2674" s="1" t="inlineStr"/>
      <c r="P2674" s="1" t="inlineStr"/>
      <c r="Q2674" s="1" t="inlineStr">
        <is>
          <t>Пользовательский интерфейс</t>
        </is>
      </c>
    </row>
    <row r="2675">
      <c r="B2675" s="1" t="inlineStr">
        <is>
          <t>211159394</t>
        </is>
      </c>
      <c r="C2675" s="1" t="inlineStr">
        <is>
          <t>15197910</t>
        </is>
      </c>
      <c r="D2675" t="inlineStr">
        <is>
          <t>работник 819</t>
        </is>
      </c>
      <c r="E2675" s="1" t="inlineStr">
        <is>
          <t>ОБЩЕСТВО С ОГРАНИЧЕННОЙ ОТВЕТСТВЕННОСТЬЮ "АМУР ЗОЛОТО"</t>
        </is>
      </c>
      <c r="F2675" s="1" t="inlineStr">
        <is>
          <t>2708001686</t>
        </is>
      </c>
      <c r="G2675" s="1" t="inlineStr">
        <is>
          <t>Водитель погрузчика</t>
        </is>
      </c>
      <c r="H2675" s="1" t="inlineStr">
        <is>
          <t>ООО "Амур Золото"</t>
        </is>
      </c>
      <c r="I2675" s="1" t="inlineStr">
        <is>
          <t>2708001686</t>
        </is>
      </c>
      <c r="J2675" s="1" t="inlineStr">
        <is>
          <t>ЮГОК АТЦ 26-05</t>
        </is>
      </c>
      <c r="K267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675" s="1" t="inlineStr">
        <is>
          <t>30.06.2026</t>
        </is>
      </c>
      <c r="M2675" s="1" t="inlineStr">
        <is>
          <t>Успешно</t>
        </is>
      </c>
      <c r="N2675" s="1" t="inlineStr">
        <is>
          <t>27.07.2026</t>
        </is>
      </c>
      <c r="O2675" s="1" t="inlineStr"/>
      <c r="P2675" s="1" t="inlineStr"/>
      <c r="Q2675" s="1" t="inlineStr">
        <is>
          <t>Пользовательский интерфейс</t>
        </is>
      </c>
    </row>
    <row r="2676">
      <c r="B2676" s="1" t="inlineStr">
        <is>
          <t>211159395</t>
        </is>
      </c>
      <c r="C2676" s="1" t="inlineStr">
        <is>
          <t>15197910</t>
        </is>
      </c>
      <c r="D2676" t="inlineStr">
        <is>
          <t>работник 398</t>
        </is>
      </c>
      <c r="E2676" s="1" t="inlineStr">
        <is>
          <t>ОБЩЕСТВО С ОГРАНИЧЕННОЙ ОТВЕТСТВЕННОСТЬЮ "АМУР ЗОЛОТО"</t>
        </is>
      </c>
      <c r="F2676" s="1" t="inlineStr">
        <is>
          <t>2708001686</t>
        </is>
      </c>
      <c r="G2676" s="1" t="inlineStr">
        <is>
          <t>Машинист крана автомобильного</t>
        </is>
      </c>
      <c r="H2676" s="1" t="inlineStr">
        <is>
          <t>ООО "Амур Золото"</t>
        </is>
      </c>
      <c r="I2676" s="1" t="inlineStr">
        <is>
          <t>2708001686</t>
        </is>
      </c>
      <c r="J2676" s="1" t="inlineStr">
        <is>
          <t>ЮГОК АТЦ 26-05</t>
        </is>
      </c>
      <c r="K2676" s="1" t="inlineStr">
        <is>
          <t>Оказание первой помощи пострадавшим</t>
        </is>
      </c>
      <c r="L2676" s="1" t="inlineStr">
        <is>
          <t>30.06.2026</t>
        </is>
      </c>
      <c r="M2676" s="1" t="inlineStr">
        <is>
          <t>Успешно</t>
        </is>
      </c>
      <c r="N2676" s="1" t="inlineStr">
        <is>
          <t>27.07.2026</t>
        </is>
      </c>
      <c r="O2676" s="1" t="inlineStr"/>
      <c r="P2676" s="1" t="inlineStr"/>
      <c r="Q2676" s="1" t="inlineStr">
        <is>
          <t>Пользовательский интерфейс</t>
        </is>
      </c>
    </row>
    <row r="2677">
      <c r="B2677" s="1" t="inlineStr">
        <is>
          <t>211159396</t>
        </is>
      </c>
      <c r="C2677" s="1" t="inlineStr">
        <is>
          <t>15197910</t>
        </is>
      </c>
      <c r="D2677" t="inlineStr">
        <is>
          <t>работник 820</t>
        </is>
      </c>
      <c r="E2677" s="1" t="inlineStr">
        <is>
          <t>ОБЩЕСТВО С ОГРАНИЧЕННОЙ ОТВЕТСТВЕННОСТЬЮ "АМУР ЗОЛОТО"</t>
        </is>
      </c>
      <c r="F2677" s="1" t="inlineStr">
        <is>
          <t>2708001686</t>
        </is>
      </c>
      <c r="G2677" s="1" t="inlineStr">
        <is>
          <t>Токарь (с исполнением обязанностей фрезеровщика)</t>
        </is>
      </c>
      <c r="H2677" s="1" t="inlineStr">
        <is>
          <t>ООО "Амур Золото"</t>
        </is>
      </c>
      <c r="I2677" s="1" t="inlineStr">
        <is>
          <t>2708001686</t>
        </is>
      </c>
      <c r="J2677" s="1" t="inlineStr">
        <is>
          <t>ЮГОК АТЦ 26-05</t>
        </is>
      </c>
      <c r="K2677" s="1" t="inlineStr">
        <is>
          <t>Использование (применение) средств индивидуальной защиты</t>
        </is>
      </c>
      <c r="L2677" s="1" t="inlineStr">
        <is>
          <t>30.06.2026</t>
        </is>
      </c>
      <c r="M2677" s="1" t="inlineStr">
        <is>
          <t>Успешно</t>
        </is>
      </c>
      <c r="N2677" s="1" t="inlineStr">
        <is>
          <t>27.07.2026</t>
        </is>
      </c>
      <c r="O2677" s="1" t="inlineStr"/>
      <c r="P2677" s="1" t="inlineStr"/>
      <c r="Q2677" s="1" t="inlineStr">
        <is>
          <t>Пользовательский интерфейс</t>
        </is>
      </c>
    </row>
    <row r="2678">
      <c r="B2678" s="1" t="inlineStr">
        <is>
          <t>211159397</t>
        </is>
      </c>
      <c r="C2678" s="1" t="inlineStr">
        <is>
          <t>15197910</t>
        </is>
      </c>
      <c r="D2678" t="inlineStr">
        <is>
          <t>работник 820</t>
        </is>
      </c>
      <c r="E2678" s="1" t="inlineStr">
        <is>
          <t>ОБЩЕСТВО С ОГРАНИЧЕННОЙ ОТВЕТСТВЕННОСТЬЮ "АМУР ЗОЛОТО"</t>
        </is>
      </c>
      <c r="F2678" s="1" t="inlineStr">
        <is>
          <t>2708001686</t>
        </is>
      </c>
      <c r="G2678" s="1" t="inlineStr">
        <is>
          <t>Токарь (с исполнением обязанностей фрезеровщика)</t>
        </is>
      </c>
      <c r="H2678" s="1" t="inlineStr">
        <is>
          <t>ООО "Амур Золото"</t>
        </is>
      </c>
      <c r="I2678" s="1" t="inlineStr">
        <is>
          <t>2708001686</t>
        </is>
      </c>
      <c r="J2678" s="1" t="inlineStr">
        <is>
          <t>ЮГОК АТЦ 26-05</t>
        </is>
      </c>
      <c r="K267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678" s="1" t="inlineStr">
        <is>
          <t>30.06.2026</t>
        </is>
      </c>
      <c r="M2678" s="1" t="inlineStr">
        <is>
          <t>Успешно</t>
        </is>
      </c>
      <c r="N2678" s="1" t="inlineStr">
        <is>
          <t>27.07.2026</t>
        </is>
      </c>
      <c r="O2678" s="1" t="inlineStr"/>
      <c r="P2678" s="1" t="inlineStr"/>
      <c r="Q2678" s="1" t="inlineStr">
        <is>
          <t>Пользовательский интерфейс</t>
        </is>
      </c>
    </row>
    <row r="2679">
      <c r="B2679" s="1" t="inlineStr">
        <is>
          <t>211159398</t>
        </is>
      </c>
      <c r="C2679" s="1" t="inlineStr">
        <is>
          <t>15197910</t>
        </is>
      </c>
      <c r="D2679" t="inlineStr">
        <is>
          <t>работник 821</t>
        </is>
      </c>
      <c r="E2679" s="1" t="inlineStr">
        <is>
          <t>ОБЩЕСТВО С ОГРАНИЧЕННОЙ ОТВЕТСТВЕННОСТЬЮ "АМУР ЗОЛОТО"</t>
        </is>
      </c>
      <c r="F2679" s="1" t="inlineStr">
        <is>
          <t>2708001686</t>
        </is>
      </c>
      <c r="G2679" s="1" t="inlineStr">
        <is>
          <t>Водитель автомобиля (занятый на транспортировании горной массы в технологическом процессе)</t>
        </is>
      </c>
      <c r="H2679" s="1" t="inlineStr">
        <is>
          <t>ООО "Амур Золото"</t>
        </is>
      </c>
      <c r="I2679" s="1" t="inlineStr">
        <is>
          <t>2708001686</t>
        </is>
      </c>
      <c r="J2679" s="1" t="inlineStr">
        <is>
          <t>ЮГОК АТЦ 26-05</t>
        </is>
      </c>
      <c r="K2679" s="1" t="inlineStr">
        <is>
          <t>Использование (применение) средств индивидуальной защиты</t>
        </is>
      </c>
      <c r="L2679" s="1" t="inlineStr">
        <is>
          <t>30.06.2026</t>
        </is>
      </c>
      <c r="M2679" s="1" t="inlineStr">
        <is>
          <t>Успешно</t>
        </is>
      </c>
      <c r="N2679" s="1" t="inlineStr">
        <is>
          <t>27.07.2026</t>
        </is>
      </c>
      <c r="O2679" s="1" t="inlineStr"/>
      <c r="P2679" s="1" t="inlineStr"/>
      <c r="Q2679" s="1" t="inlineStr">
        <is>
          <t>Пользовательский интерфейс</t>
        </is>
      </c>
    </row>
    <row r="2680">
      <c r="B2680" s="1" t="inlineStr">
        <is>
          <t>211159399</t>
        </is>
      </c>
      <c r="C2680" s="1" t="inlineStr">
        <is>
          <t>15197910</t>
        </is>
      </c>
      <c r="D2680" t="inlineStr">
        <is>
          <t>работник 821</t>
        </is>
      </c>
      <c r="E2680" s="1" t="inlineStr">
        <is>
          <t>ОБЩЕСТВО С ОГРАНИЧЕННОЙ ОТВЕТСТВЕННОСТЬЮ "АМУР ЗОЛОТО"</t>
        </is>
      </c>
      <c r="F2680" s="1" t="inlineStr">
        <is>
          <t>2708001686</t>
        </is>
      </c>
      <c r="G2680" s="1" t="inlineStr">
        <is>
          <t>Водитель автомобиля (занятый на транспортировании горной массы в технологическом процессе)</t>
        </is>
      </c>
      <c r="H2680" s="1" t="inlineStr">
        <is>
          <t>ООО "Амур Золото"</t>
        </is>
      </c>
      <c r="I2680" s="1" t="inlineStr">
        <is>
          <t>2708001686</t>
        </is>
      </c>
      <c r="J2680" s="1" t="inlineStr">
        <is>
          <t>ЮГОК АТЦ 26-05</t>
        </is>
      </c>
      <c r="K268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680" s="1" t="inlineStr">
        <is>
          <t>30.06.2026</t>
        </is>
      </c>
      <c r="M2680" s="1" t="inlineStr">
        <is>
          <t>Успешно</t>
        </is>
      </c>
      <c r="N2680" s="1" t="inlineStr">
        <is>
          <t>27.07.2026</t>
        </is>
      </c>
      <c r="O2680" s="1" t="inlineStr"/>
      <c r="P2680" s="1" t="inlineStr"/>
      <c r="Q2680" s="1" t="inlineStr">
        <is>
          <t>Пользовательский интерфейс</t>
        </is>
      </c>
    </row>
    <row r="2681">
      <c r="B2681" s="1" t="inlineStr">
        <is>
          <t>211159400</t>
        </is>
      </c>
      <c r="C2681" s="1" t="inlineStr">
        <is>
          <t>15197910</t>
        </is>
      </c>
      <c r="D2681" t="inlineStr">
        <is>
          <t>работник 221</t>
        </is>
      </c>
      <c r="E2681" s="1" t="inlineStr">
        <is>
          <t>ОБЩЕСТВО С ОГРАНИЧЕННОЙ ОТВЕТСТВЕННОСТЬЮ "АМУР ЗОЛОТО"</t>
        </is>
      </c>
      <c r="F2681" s="1" t="inlineStr">
        <is>
          <t>2708001686</t>
        </is>
      </c>
      <c r="G2681" s="1" t="inlineStr">
        <is>
          <t>Водитель автомобиля для перевозки взрывчатых материалов</t>
        </is>
      </c>
      <c r="H2681" s="1" t="inlineStr">
        <is>
          <t>ООО "Амур Золото"</t>
        </is>
      </c>
      <c r="I2681" s="1" t="inlineStr">
        <is>
          <t>2708001686</t>
        </is>
      </c>
      <c r="J2681" s="1" t="inlineStr">
        <is>
          <t>ЮГОК АТЦ 26-05</t>
        </is>
      </c>
      <c r="K2681" s="1" t="inlineStr">
        <is>
          <t>Оказание первой помощи пострадавшим</t>
        </is>
      </c>
      <c r="L2681" s="1" t="inlineStr">
        <is>
          <t>30.06.2026</t>
        </is>
      </c>
      <c r="M2681" s="1" t="inlineStr">
        <is>
          <t>Успешно</t>
        </is>
      </c>
      <c r="N2681" s="1" t="inlineStr">
        <is>
          <t>27.07.2026</t>
        </is>
      </c>
      <c r="O2681" s="1" t="inlineStr"/>
      <c r="P2681" s="1" t="inlineStr"/>
      <c r="Q2681" s="1" t="inlineStr">
        <is>
          <t>Пользовательский интерфейс</t>
        </is>
      </c>
    </row>
    <row r="2682">
      <c r="B2682" s="1" t="inlineStr">
        <is>
          <t>211159401</t>
        </is>
      </c>
      <c r="C2682" s="1" t="inlineStr">
        <is>
          <t>15197910</t>
        </is>
      </c>
      <c r="D2682" t="inlineStr">
        <is>
          <t>работник 221</t>
        </is>
      </c>
      <c r="E2682" s="1" t="inlineStr">
        <is>
          <t>ОБЩЕСТВО С ОГРАНИЧЕННОЙ ОТВЕТСТВЕННОСТЬЮ "АМУР ЗОЛОТО"</t>
        </is>
      </c>
      <c r="F2682" s="1" t="inlineStr">
        <is>
          <t>2708001686</t>
        </is>
      </c>
      <c r="G2682" s="1" t="inlineStr">
        <is>
          <t>Водитель автомобиля для перевозки взрывчатых материалов</t>
        </is>
      </c>
      <c r="H2682" s="1" t="inlineStr">
        <is>
          <t>ООО "Амур Золото"</t>
        </is>
      </c>
      <c r="I2682" s="1" t="inlineStr">
        <is>
          <t>2708001686</t>
        </is>
      </c>
      <c r="J2682" s="1" t="inlineStr">
        <is>
          <t>ЮГОК АТЦ 26-05</t>
        </is>
      </c>
      <c r="K2682" s="1" t="inlineStr">
        <is>
          <t>Использование (применение) средств индивидуальной защиты</t>
        </is>
      </c>
      <c r="L2682" s="1" t="inlineStr">
        <is>
          <t>30.06.2026</t>
        </is>
      </c>
      <c r="M2682" s="1" t="inlineStr">
        <is>
          <t>Успешно</t>
        </is>
      </c>
      <c r="N2682" s="1" t="inlineStr">
        <is>
          <t>27.07.2026</t>
        </is>
      </c>
      <c r="O2682" s="1" t="inlineStr"/>
      <c r="P2682" s="1" t="inlineStr"/>
      <c r="Q2682" s="1" t="inlineStr">
        <is>
          <t>Пользовательский интерфейс</t>
        </is>
      </c>
    </row>
    <row r="2683">
      <c r="B2683" s="1" t="inlineStr">
        <is>
          <t>211159402</t>
        </is>
      </c>
      <c r="C2683" s="1" t="inlineStr">
        <is>
          <t>15197910</t>
        </is>
      </c>
      <c r="D2683" t="inlineStr">
        <is>
          <t>работник 221</t>
        </is>
      </c>
      <c r="E2683" s="1" t="inlineStr">
        <is>
          <t>ОБЩЕСТВО С ОГРАНИЧЕННОЙ ОТВЕТСТВЕННОСТЬЮ "АМУР ЗОЛОТО"</t>
        </is>
      </c>
      <c r="F2683" s="1" t="inlineStr">
        <is>
          <t>2708001686</t>
        </is>
      </c>
      <c r="G2683" s="1" t="inlineStr">
        <is>
          <t>Водитель автомобиля для перевозки взрывчатых материалов</t>
        </is>
      </c>
      <c r="H2683" s="1" t="inlineStr">
        <is>
          <t>ООО "Амур Золото"</t>
        </is>
      </c>
      <c r="I2683" s="1" t="inlineStr">
        <is>
          <t>2708001686</t>
        </is>
      </c>
      <c r="J2683" s="1" t="inlineStr">
        <is>
          <t>ЮГОК АТЦ 26-05</t>
        </is>
      </c>
      <c r="K268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683" s="1" t="inlineStr">
        <is>
          <t>30.06.2026</t>
        </is>
      </c>
      <c r="M2683" s="1" t="inlineStr">
        <is>
          <t>Успешно</t>
        </is>
      </c>
      <c r="N2683" s="1" t="inlineStr">
        <is>
          <t>27.07.2026</t>
        </is>
      </c>
      <c r="O2683" s="1" t="inlineStr"/>
      <c r="P2683" s="1" t="inlineStr"/>
      <c r="Q2683" s="1" t="inlineStr">
        <is>
          <t>Пользовательский интерфейс</t>
        </is>
      </c>
    </row>
    <row r="2684">
      <c r="B2684" s="1" t="inlineStr">
        <is>
          <t>211159403</t>
        </is>
      </c>
      <c r="C2684" s="1" t="inlineStr">
        <is>
          <t>15197910</t>
        </is>
      </c>
      <c r="D2684" t="inlineStr">
        <is>
          <t>работник 822</t>
        </is>
      </c>
      <c r="E2684" s="1" t="inlineStr">
        <is>
          <t>ОБЩЕСТВО С ОГРАНИЧЕННОЙ ОТВЕТСТВЕННОСТЬЮ "АМУР ЗОЛОТО"</t>
        </is>
      </c>
      <c r="F2684" s="1" t="inlineStr">
        <is>
          <t>2708001686</t>
        </is>
      </c>
      <c r="G2684" s="1" t="inlineStr">
        <is>
          <t>Водитель автомобиля (занятый на транспортировании горной массы в технологическом процессе)</t>
        </is>
      </c>
      <c r="H2684" s="1" t="inlineStr">
        <is>
          <t>ООО "Амур Золото"</t>
        </is>
      </c>
      <c r="I2684" s="1" t="inlineStr">
        <is>
          <t>2708001686</t>
        </is>
      </c>
      <c r="J2684" s="1" t="inlineStr">
        <is>
          <t>ЮГОК АТЦ 26-05</t>
        </is>
      </c>
      <c r="K2684" s="1" t="inlineStr">
        <is>
          <t>Оказание первой помощи пострадавшим</t>
        </is>
      </c>
      <c r="L2684" s="1" t="inlineStr">
        <is>
          <t>30.06.2026</t>
        </is>
      </c>
      <c r="M2684" s="1" t="inlineStr">
        <is>
          <t>Успешно</t>
        </is>
      </c>
      <c r="N2684" s="1" t="inlineStr">
        <is>
          <t>27.07.2026</t>
        </is>
      </c>
      <c r="O2684" s="1" t="inlineStr"/>
      <c r="P2684" s="1" t="inlineStr"/>
      <c r="Q2684" s="1" t="inlineStr">
        <is>
          <t>Пользовательский интерфейс</t>
        </is>
      </c>
    </row>
    <row r="2685">
      <c r="B2685" s="1" t="inlineStr">
        <is>
          <t>211159404</t>
        </is>
      </c>
      <c r="C2685" s="1" t="inlineStr">
        <is>
          <t>15197910</t>
        </is>
      </c>
      <c r="D2685" t="inlineStr">
        <is>
          <t>работник 822</t>
        </is>
      </c>
      <c r="E2685" s="1" t="inlineStr">
        <is>
          <t>ОБЩЕСТВО С ОГРАНИЧЕННОЙ ОТВЕТСТВЕННОСТЬЮ "АМУР ЗОЛОТО"</t>
        </is>
      </c>
      <c r="F2685" s="1" t="inlineStr">
        <is>
          <t>2708001686</t>
        </is>
      </c>
      <c r="G2685" s="1" t="inlineStr">
        <is>
          <t>Водитель автомобиля (занятый на транспортировании горной массы в технологическом процессе)</t>
        </is>
      </c>
      <c r="H2685" s="1" t="inlineStr">
        <is>
          <t>ООО "Амур Золото"</t>
        </is>
      </c>
      <c r="I2685" s="1" t="inlineStr">
        <is>
          <t>2708001686</t>
        </is>
      </c>
      <c r="J2685" s="1" t="inlineStr">
        <is>
          <t>ЮГОК АТЦ 26-05</t>
        </is>
      </c>
      <c r="K2685" s="1" t="inlineStr">
        <is>
          <t>Использование (применение) средств индивидуальной защиты</t>
        </is>
      </c>
      <c r="L2685" s="1" t="inlineStr">
        <is>
          <t>30.06.2026</t>
        </is>
      </c>
      <c r="M2685" s="1" t="inlineStr">
        <is>
          <t>Успешно</t>
        </is>
      </c>
      <c r="N2685" s="1" t="inlineStr">
        <is>
          <t>27.07.2026</t>
        </is>
      </c>
      <c r="O2685" s="1" t="inlineStr"/>
      <c r="P2685" s="1" t="inlineStr"/>
      <c r="Q2685" s="1" t="inlineStr">
        <is>
          <t>Пользовательский интерфейс</t>
        </is>
      </c>
    </row>
    <row r="2686">
      <c r="B2686" s="1" t="inlineStr">
        <is>
          <t>211159405</t>
        </is>
      </c>
      <c r="C2686" s="1" t="inlineStr">
        <is>
          <t>15197910</t>
        </is>
      </c>
      <c r="D2686" t="inlineStr">
        <is>
          <t>работник 822</t>
        </is>
      </c>
      <c r="E2686" s="1" t="inlineStr">
        <is>
          <t>ОБЩЕСТВО С ОГРАНИЧЕННОЙ ОТВЕТСТВЕННОСТЬЮ "АМУР ЗОЛОТО"</t>
        </is>
      </c>
      <c r="F2686" s="1" t="inlineStr">
        <is>
          <t>2708001686</t>
        </is>
      </c>
      <c r="G2686" s="1" t="inlineStr">
        <is>
          <t>Водитель автомобиля (занятый на транспортировании горной массы в технологическом процессе)</t>
        </is>
      </c>
      <c r="H2686" s="1" t="inlineStr">
        <is>
          <t>ООО "Амур Золото"</t>
        </is>
      </c>
      <c r="I2686" s="1" t="inlineStr">
        <is>
          <t>2708001686</t>
        </is>
      </c>
      <c r="J2686" s="1" t="inlineStr">
        <is>
          <t>ЮГОК АТЦ 26-05</t>
        </is>
      </c>
      <c r="K268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686" s="1" t="inlineStr">
        <is>
          <t>30.06.2026</t>
        </is>
      </c>
      <c r="M2686" s="1" t="inlineStr">
        <is>
          <t>Успешно</t>
        </is>
      </c>
      <c r="N2686" s="1" t="inlineStr">
        <is>
          <t>27.07.2026</t>
        </is>
      </c>
      <c r="O2686" s="1" t="inlineStr"/>
      <c r="P2686" s="1" t="inlineStr"/>
      <c r="Q2686" s="1" t="inlineStr">
        <is>
          <t>Пользовательский интерфейс</t>
        </is>
      </c>
    </row>
    <row r="2687">
      <c r="B2687" s="1" t="inlineStr">
        <is>
          <t>211159406</t>
        </is>
      </c>
      <c r="C2687" s="1" t="inlineStr">
        <is>
          <t>15197910</t>
        </is>
      </c>
      <c r="D2687" t="inlineStr">
        <is>
          <t>работник 823</t>
        </is>
      </c>
      <c r="E2687" s="1" t="inlineStr">
        <is>
          <t>ОБЩЕСТВО С ОГРАНИЧЕННОЙ ОТВЕТСТВЕННОСТЬЮ "АМУР ЗОЛОТО"</t>
        </is>
      </c>
      <c r="F2687" s="1" t="inlineStr">
        <is>
          <t>2708001686</t>
        </is>
      </c>
      <c r="G2687" s="1" t="inlineStr">
        <is>
          <t>Слесарь по ремонту автомобилей и тяжелой техники</t>
        </is>
      </c>
      <c r="H2687" s="1" t="inlineStr">
        <is>
          <t>ООО "Амур Золото"</t>
        </is>
      </c>
      <c r="I2687" s="1" t="inlineStr">
        <is>
          <t>2708001686</t>
        </is>
      </c>
      <c r="J2687" s="1" t="inlineStr">
        <is>
          <t>ЮГОК АТЦ 26-05</t>
        </is>
      </c>
      <c r="K2687" s="1" t="inlineStr">
        <is>
          <t>Оказание первой помощи пострадавшим</t>
        </is>
      </c>
      <c r="L2687" s="1" t="inlineStr">
        <is>
          <t>30.06.2026</t>
        </is>
      </c>
      <c r="M2687" s="1" t="inlineStr">
        <is>
          <t>Успешно</t>
        </is>
      </c>
      <c r="N2687" s="1" t="inlineStr">
        <is>
          <t>27.07.2026</t>
        </is>
      </c>
      <c r="O2687" s="1" t="inlineStr"/>
      <c r="P2687" s="1" t="inlineStr"/>
      <c r="Q2687" s="1" t="inlineStr">
        <is>
          <t>Пользовательский интерфейс</t>
        </is>
      </c>
    </row>
    <row r="2688">
      <c r="B2688" s="1" t="inlineStr">
        <is>
          <t>211159407</t>
        </is>
      </c>
      <c r="C2688" s="1" t="inlineStr">
        <is>
          <t>15197910</t>
        </is>
      </c>
      <c r="D2688" t="inlineStr">
        <is>
          <t>работник 823</t>
        </is>
      </c>
      <c r="E2688" s="1" t="inlineStr">
        <is>
          <t>ОБЩЕСТВО С ОГРАНИЧЕННОЙ ОТВЕТСТВЕННОСТЬЮ "АМУР ЗОЛОТО"</t>
        </is>
      </c>
      <c r="F2688" s="1" t="inlineStr">
        <is>
          <t>2708001686</t>
        </is>
      </c>
      <c r="G2688" s="1" t="inlineStr">
        <is>
          <t>Слесарь по ремонту автомобилей и тяжелой техники</t>
        </is>
      </c>
      <c r="H2688" s="1" t="inlineStr">
        <is>
          <t>ООО "Амур Золото"</t>
        </is>
      </c>
      <c r="I2688" s="1" t="inlineStr">
        <is>
          <t>2708001686</t>
        </is>
      </c>
      <c r="J2688" s="1" t="inlineStr">
        <is>
          <t>ЮГОК АТЦ 26-05</t>
        </is>
      </c>
      <c r="K2688" s="1" t="inlineStr">
        <is>
          <t>Использование (применение) средств индивидуальной защиты</t>
        </is>
      </c>
      <c r="L2688" s="1" t="inlineStr">
        <is>
          <t>30.06.2026</t>
        </is>
      </c>
      <c r="M2688" s="1" t="inlineStr">
        <is>
          <t>Успешно</t>
        </is>
      </c>
      <c r="N2688" s="1" t="inlineStr">
        <is>
          <t>27.07.2026</t>
        </is>
      </c>
      <c r="O2688" s="1" t="inlineStr"/>
      <c r="P2688" s="1" t="inlineStr"/>
      <c r="Q2688" s="1" t="inlineStr">
        <is>
          <t>Пользовательский интерфейс</t>
        </is>
      </c>
    </row>
    <row r="2689">
      <c r="B2689" s="1" t="inlineStr">
        <is>
          <t>211159408</t>
        </is>
      </c>
      <c r="C2689" s="1" t="inlineStr">
        <is>
          <t>15197910</t>
        </is>
      </c>
      <c r="D2689" t="inlineStr">
        <is>
          <t>работник 823</t>
        </is>
      </c>
      <c r="E2689" s="1" t="inlineStr">
        <is>
          <t>ОБЩЕСТВО С ОГРАНИЧЕННОЙ ОТВЕТСТВЕННОСТЬЮ "АМУР ЗОЛОТО"</t>
        </is>
      </c>
      <c r="F2689" s="1" t="inlineStr">
        <is>
          <t>2708001686</t>
        </is>
      </c>
      <c r="G2689" s="1" t="inlineStr">
        <is>
          <t>Слесарь по ремонту автомобилей и тяжелой техники</t>
        </is>
      </c>
      <c r="H2689" s="1" t="inlineStr">
        <is>
          <t>ООО "Амур Золото"</t>
        </is>
      </c>
      <c r="I2689" s="1" t="inlineStr">
        <is>
          <t>2708001686</t>
        </is>
      </c>
      <c r="J2689" s="1" t="inlineStr">
        <is>
          <t>ЮГОК АТЦ 26-05</t>
        </is>
      </c>
      <c r="K268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689" s="1" t="inlineStr">
        <is>
          <t>30.06.2026</t>
        </is>
      </c>
      <c r="M2689" s="1" t="inlineStr">
        <is>
          <t>Успешно</t>
        </is>
      </c>
      <c r="N2689" s="1" t="inlineStr">
        <is>
          <t>27.07.2026</t>
        </is>
      </c>
      <c r="O2689" s="1" t="inlineStr"/>
      <c r="P2689" s="1" t="inlineStr"/>
      <c r="Q2689" s="1" t="inlineStr">
        <is>
          <t>Пользовательский интерфейс</t>
        </is>
      </c>
    </row>
    <row r="2690">
      <c r="B2690" s="1" t="inlineStr">
        <is>
          <t>211159409</t>
        </is>
      </c>
      <c r="C2690" s="1" t="inlineStr">
        <is>
          <t>15197910</t>
        </is>
      </c>
      <c r="D2690" t="inlineStr">
        <is>
          <t>работник 823</t>
        </is>
      </c>
      <c r="E2690" s="1" t="inlineStr">
        <is>
          <t>ОБЩЕСТВО С ОГРАНИЧЕННОЙ ОТВЕТСТВЕННОСТЬЮ "АМУР ЗОЛОТО"</t>
        </is>
      </c>
      <c r="F2690" s="1" t="inlineStr">
        <is>
          <t>2708001686</t>
        </is>
      </c>
      <c r="G2690" s="1" t="inlineStr">
        <is>
          <t>Слесарь по ремонту автомобилей и тяжелой техники</t>
        </is>
      </c>
      <c r="H2690" s="1" t="inlineStr">
        <is>
          <t>ООО "Амур Золото"</t>
        </is>
      </c>
      <c r="I2690" s="1" t="inlineStr">
        <is>
          <t>2708001686</t>
        </is>
      </c>
      <c r="J2690" s="1" t="inlineStr">
        <is>
          <t>ЮГОК АТЦ 26-05</t>
        </is>
      </c>
      <c r="K2690" s="1" t="inlineStr">
        <is>
          <t>Безопасные методы и приемы выполнения огневых работ</t>
        </is>
      </c>
      <c r="L2690" s="1" t="inlineStr">
        <is>
          <t>30.06.2026</t>
        </is>
      </c>
      <c r="M2690" s="1" t="inlineStr">
        <is>
          <t>Успешно</t>
        </is>
      </c>
      <c r="N2690" s="1" t="inlineStr">
        <is>
          <t>27.07.2026</t>
        </is>
      </c>
      <c r="O2690" s="1" t="inlineStr"/>
      <c r="P2690" s="1" t="inlineStr"/>
      <c r="Q2690" s="1" t="inlineStr">
        <is>
          <t>Пользовательский интерфейс</t>
        </is>
      </c>
    </row>
    <row r="2691">
      <c r="B2691" s="1" t="inlineStr">
        <is>
          <t>211159410</t>
        </is>
      </c>
      <c r="C2691" s="1" t="inlineStr">
        <is>
          <t>15197910</t>
        </is>
      </c>
      <c r="D2691" t="inlineStr">
        <is>
          <t>работник 824</t>
        </is>
      </c>
      <c r="E2691" s="1" t="inlineStr">
        <is>
          <t>ОБЩЕСТВО С ОГРАНИЧЕННОЙ ОТВЕТСТВЕННОСТЬЮ "АМУР ЗОЛОТО"</t>
        </is>
      </c>
      <c r="F2691" s="1" t="inlineStr">
        <is>
          <t>2708001686</t>
        </is>
      </c>
      <c r="G2691" s="1" t="inlineStr">
        <is>
          <t>Уборщик производственных и служебных помещений</t>
        </is>
      </c>
      <c r="H2691" s="1" t="inlineStr">
        <is>
          <t>ООО "Амур Золото"</t>
        </is>
      </c>
      <c r="I2691" s="1" t="inlineStr">
        <is>
          <t>2708001686</t>
        </is>
      </c>
      <c r="J2691" s="1" t="inlineStr">
        <is>
          <t>ЮГОК АХЧ 26- 44</t>
        </is>
      </c>
      <c r="K2691" s="1" t="inlineStr">
        <is>
          <t>Использование (применение) средств индивидуальной защиты</t>
        </is>
      </c>
      <c r="L2691" s="1" t="inlineStr">
        <is>
          <t>12.07.2026</t>
        </is>
      </c>
      <c r="M2691" s="1" t="inlineStr">
        <is>
          <t>Успешно</t>
        </is>
      </c>
      <c r="N2691" s="1" t="inlineStr">
        <is>
          <t>27.07.2026</t>
        </is>
      </c>
      <c r="O2691" s="1" t="inlineStr"/>
      <c r="P2691" s="1" t="inlineStr"/>
      <c r="Q2691" s="1" t="inlineStr">
        <is>
          <t>Пользовательский интерфейс</t>
        </is>
      </c>
    </row>
    <row r="2692">
      <c r="B2692" s="1" t="inlineStr">
        <is>
          <t>211159411</t>
        </is>
      </c>
      <c r="C2692" s="1" t="inlineStr">
        <is>
          <t>15197910</t>
        </is>
      </c>
      <c r="D2692" t="inlineStr">
        <is>
          <t>работник 824</t>
        </is>
      </c>
      <c r="E2692" s="1" t="inlineStr">
        <is>
          <t>ОБЩЕСТВО С ОГРАНИЧЕННОЙ ОТВЕТСТВЕННОСТЬЮ "АМУР ЗОЛОТО"</t>
        </is>
      </c>
      <c r="F2692" s="1" t="inlineStr">
        <is>
          <t>2708001686</t>
        </is>
      </c>
      <c r="G2692" s="1" t="inlineStr">
        <is>
          <t>Уборщик производственных и служебных помещений</t>
        </is>
      </c>
      <c r="H2692" s="1" t="inlineStr">
        <is>
          <t>ООО "Амур Золото"</t>
        </is>
      </c>
      <c r="I2692" s="1" t="inlineStr">
        <is>
          <t>2708001686</t>
        </is>
      </c>
      <c r="J2692" s="1" t="inlineStr">
        <is>
          <t>ЮГОК АХЧ 26- 44</t>
        </is>
      </c>
      <c r="K269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692" s="1" t="inlineStr">
        <is>
          <t>12.07.2026</t>
        </is>
      </c>
      <c r="M2692" s="1" t="inlineStr">
        <is>
          <t>Успешно</t>
        </is>
      </c>
      <c r="N2692" s="1" t="inlineStr">
        <is>
          <t>27.07.2026</t>
        </is>
      </c>
      <c r="O2692" s="1" t="inlineStr"/>
      <c r="P2692" s="1" t="inlineStr"/>
      <c r="Q2692" s="1" t="inlineStr">
        <is>
          <t>Пользовательский интерфейс</t>
        </is>
      </c>
    </row>
    <row r="2693">
      <c r="B2693" s="1" t="inlineStr">
        <is>
          <t>211159412</t>
        </is>
      </c>
      <c r="C2693" s="1" t="inlineStr">
        <is>
          <t>15197910</t>
        </is>
      </c>
      <c r="D2693" t="inlineStr">
        <is>
          <t>работник 825</t>
        </is>
      </c>
      <c r="E2693" s="1" t="inlineStr">
        <is>
          <t>ОБЩЕСТВО С ОГРАНИЧЕННОЙ ОТВЕТСТВЕННОСТЬЮ "АМУР ЗОЛОТО"</t>
        </is>
      </c>
      <c r="F2693" s="1" t="inlineStr">
        <is>
          <t>2708001686</t>
        </is>
      </c>
      <c r="G2693" s="1" t="inlineStr">
        <is>
          <t>Уборщик производственных и служебных помещений</t>
        </is>
      </c>
      <c r="H2693" s="1" t="inlineStr">
        <is>
          <t>ООО "Амур Золото"</t>
        </is>
      </c>
      <c r="I2693" s="1" t="inlineStr">
        <is>
          <t>2708001686</t>
        </is>
      </c>
      <c r="J2693" s="1" t="inlineStr">
        <is>
          <t>ЮГОК АХЧ 26- 45</t>
        </is>
      </c>
      <c r="K2693" s="1" t="inlineStr">
        <is>
          <t>Использование (применение) средств индивидуальной защиты</t>
        </is>
      </c>
      <c r="L2693" s="1" t="inlineStr">
        <is>
          <t>23.07.2026</t>
        </is>
      </c>
      <c r="M2693" s="1" t="inlineStr">
        <is>
          <t>Успешно</t>
        </is>
      </c>
      <c r="N2693" s="1" t="inlineStr">
        <is>
          <t>27.07.2026</t>
        </is>
      </c>
      <c r="O2693" s="1" t="inlineStr"/>
      <c r="P2693" s="1" t="inlineStr"/>
      <c r="Q2693" s="1" t="inlineStr">
        <is>
          <t>Пользовательский интерфейс</t>
        </is>
      </c>
    </row>
    <row r="2694">
      <c r="B2694" s="1" t="inlineStr">
        <is>
          <t>211159413</t>
        </is>
      </c>
      <c r="C2694" s="1" t="inlineStr">
        <is>
          <t>15197910</t>
        </is>
      </c>
      <c r="D2694" t="inlineStr">
        <is>
          <t>работник 825</t>
        </is>
      </c>
      <c r="E2694" s="1" t="inlineStr">
        <is>
          <t>ОБЩЕСТВО С ОГРАНИЧЕННОЙ ОТВЕТСТВЕННОСТЬЮ "АМУР ЗОЛОТО"</t>
        </is>
      </c>
      <c r="F2694" s="1" t="inlineStr">
        <is>
          <t>2708001686</t>
        </is>
      </c>
      <c r="G2694" s="1" t="inlineStr">
        <is>
          <t>Уборщик производственных и служебных помещений</t>
        </is>
      </c>
      <c r="H2694" s="1" t="inlineStr">
        <is>
          <t>ООО "Амур Золото"</t>
        </is>
      </c>
      <c r="I2694" s="1" t="inlineStr">
        <is>
          <t>2708001686</t>
        </is>
      </c>
      <c r="J2694" s="1" t="inlineStr">
        <is>
          <t>ЮГОК АХЧ 26- 45</t>
        </is>
      </c>
      <c r="K269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694" s="1" t="inlineStr">
        <is>
          <t>23.07.2026</t>
        </is>
      </c>
      <c r="M2694" s="1" t="inlineStr">
        <is>
          <t>Успешно</t>
        </is>
      </c>
      <c r="N2694" s="1" t="inlineStr">
        <is>
          <t>27.07.2026</t>
        </is>
      </c>
      <c r="O2694" s="1" t="inlineStr"/>
      <c r="P2694" s="1" t="inlineStr"/>
      <c r="Q2694" s="1" t="inlineStr">
        <is>
          <t>Пользовательский интерфейс</t>
        </is>
      </c>
    </row>
    <row r="2695">
      <c r="B2695" s="1" t="inlineStr">
        <is>
          <t>211159414</t>
        </is>
      </c>
      <c r="C2695" s="1" t="inlineStr">
        <is>
          <t>15197910</t>
        </is>
      </c>
      <c r="D2695" t="inlineStr">
        <is>
          <t>работник 826</t>
        </is>
      </c>
      <c r="E2695" s="1" t="inlineStr">
        <is>
          <t>ОБЩЕСТВО С ОГРАНИЧЕННОЙ ОТВЕТСТВЕННОСТЬЮ "АМУР ЗОЛОТО"</t>
        </is>
      </c>
      <c r="F2695" s="1" t="inlineStr">
        <is>
          <t>2708001686</t>
        </is>
      </c>
      <c r="G2695" s="1" t="inlineStr">
        <is>
          <t>Лаборант пробирного анализа</t>
        </is>
      </c>
      <c r="H2695" s="1" t="inlineStr">
        <is>
          <t>ООО "Амур Золото"</t>
        </is>
      </c>
      <c r="I2695" s="1" t="inlineStr">
        <is>
          <t>2708001686</t>
        </is>
      </c>
      <c r="J2695" s="1" t="inlineStr">
        <is>
          <t>ЮГОК ПАЛ 26-07</t>
        </is>
      </c>
      <c r="K2695" s="1" t="inlineStr">
        <is>
          <t>Использование (применение) средств индивидуальной защиты</t>
        </is>
      </c>
      <c r="L2695" s="1" t="inlineStr">
        <is>
          <t>25.07.2026</t>
        </is>
      </c>
      <c r="M2695" s="1" t="inlineStr">
        <is>
          <t>Успешно</t>
        </is>
      </c>
      <c r="N2695" s="1" t="inlineStr">
        <is>
          <t>27.07.2026</t>
        </is>
      </c>
      <c r="O2695" s="1" t="inlineStr"/>
      <c r="P2695" s="1" t="inlineStr"/>
      <c r="Q2695" s="1" t="inlineStr">
        <is>
          <t>Пользовательский интерфейс</t>
        </is>
      </c>
    </row>
    <row r="2696">
      <c r="B2696" s="1" t="inlineStr">
        <is>
          <t>211159415</t>
        </is>
      </c>
      <c r="C2696" s="1" t="inlineStr">
        <is>
          <t>15197910</t>
        </is>
      </c>
      <c r="D2696" t="inlineStr">
        <is>
          <t>работник 826</t>
        </is>
      </c>
      <c r="E2696" s="1" t="inlineStr">
        <is>
          <t>ОБЩЕСТВО С ОГРАНИЧЕННОЙ ОТВЕТСТВЕННОСТЬЮ "АМУР ЗОЛОТО"</t>
        </is>
      </c>
      <c r="F2696" s="1" t="inlineStr">
        <is>
          <t>2708001686</t>
        </is>
      </c>
      <c r="G2696" s="1" t="inlineStr">
        <is>
          <t>Лаборант пробирного анализа</t>
        </is>
      </c>
      <c r="H2696" s="1" t="inlineStr">
        <is>
          <t>ООО "Амур Золото"</t>
        </is>
      </c>
      <c r="I2696" s="1" t="inlineStr">
        <is>
          <t>2708001686</t>
        </is>
      </c>
      <c r="J2696" s="1" t="inlineStr">
        <is>
          <t>ЮГОК ПАЛ 26-07</t>
        </is>
      </c>
      <c r="K269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696" s="1" t="inlineStr">
        <is>
          <t>25.07.2026</t>
        </is>
      </c>
      <c r="M2696" s="1" t="inlineStr">
        <is>
          <t>Успешно</t>
        </is>
      </c>
      <c r="N2696" s="1" t="inlineStr">
        <is>
          <t>27.07.2026</t>
        </is>
      </c>
      <c r="O2696" s="1" t="inlineStr"/>
      <c r="P2696" s="1" t="inlineStr"/>
      <c r="Q2696" s="1" t="inlineStr">
        <is>
          <t>Пользовательский интерфейс</t>
        </is>
      </c>
    </row>
    <row r="2697">
      <c r="B2697" s="1" t="inlineStr">
        <is>
          <t>214421204</t>
        </is>
      </c>
      <c r="C2697" s="1" t="inlineStr">
        <is>
          <t>15411209</t>
        </is>
      </c>
      <c r="D2697" t="inlineStr">
        <is>
          <t>работник 755</t>
        </is>
      </c>
      <c r="E2697" s="1" t="inlineStr">
        <is>
          <t>ОБЩЕСТВО С ОГРАНИЧЕННОЙ ОТВЕТСТВЕННОСТЬЮ "АМУР ЗОЛОТО"</t>
        </is>
      </c>
      <c r="F2697" s="1" t="inlineStr">
        <is>
          <t>2708001686</t>
        </is>
      </c>
      <c r="G2697" s="1" t="inlineStr">
        <is>
          <t>Фильтровальщик</t>
        </is>
      </c>
      <c r="H2697" s="1" t="inlineStr">
        <is>
          <t>ООО "Амур Золото"</t>
        </is>
      </c>
      <c r="I2697" s="1" t="inlineStr">
        <is>
          <t>2708001686</t>
        </is>
      </c>
      <c r="J2697" s="1" t="inlineStr">
        <is>
          <t>ЮГОК ЗИОФ 26-28</t>
        </is>
      </c>
      <c r="K2697" s="1" t="inlineStr">
        <is>
          <t>Оказание первой помощи пострадавшим</t>
        </is>
      </c>
      <c r="L2697" s="1" t="inlineStr">
        <is>
          <t>29.07.2026</t>
        </is>
      </c>
      <c r="M2697" s="1" t="inlineStr">
        <is>
          <t>Успешно</t>
        </is>
      </c>
      <c r="N2697" s="1" t="inlineStr">
        <is>
          <t>11.08.2026</t>
        </is>
      </c>
      <c r="O2697" s="1" t="inlineStr"/>
      <c r="P2697" s="1" t="inlineStr"/>
      <c r="Q2697" s="1" t="inlineStr">
        <is>
          <t>Пользовательский интерфейс</t>
        </is>
      </c>
    </row>
    <row r="2698">
      <c r="B2698" s="1" t="inlineStr">
        <is>
          <t>214421205</t>
        </is>
      </c>
      <c r="C2698" s="1" t="inlineStr">
        <is>
          <t>15411209</t>
        </is>
      </c>
      <c r="D2698" t="inlineStr">
        <is>
          <t>работник 755</t>
        </is>
      </c>
      <c r="E2698" s="1" t="inlineStr">
        <is>
          <t>ОБЩЕСТВО С ОГРАНИЧЕННОЙ ОТВЕТСТВЕННОСТЬЮ "АМУР ЗОЛОТО"</t>
        </is>
      </c>
      <c r="F2698" s="1" t="inlineStr">
        <is>
          <t>2708001686</t>
        </is>
      </c>
      <c r="G2698" s="1" t="inlineStr">
        <is>
          <t>Фильтровальщик</t>
        </is>
      </c>
      <c r="H2698" s="1" t="inlineStr">
        <is>
          <t>ООО "Амур Золото"</t>
        </is>
      </c>
      <c r="I2698" s="1" t="inlineStr">
        <is>
          <t>2708001686</t>
        </is>
      </c>
      <c r="J2698" s="1" t="inlineStr">
        <is>
          <t>ЮГОК ЗИОФ 26-28</t>
        </is>
      </c>
      <c r="K2698" s="1" t="inlineStr">
        <is>
          <t>Использование (применение) средств индивидуальной защиты</t>
        </is>
      </c>
      <c r="L2698" s="1" t="inlineStr">
        <is>
          <t>29.07.2026</t>
        </is>
      </c>
      <c r="M2698" s="1" t="inlineStr">
        <is>
          <t>Успешно</t>
        </is>
      </c>
      <c r="N2698" s="1" t="inlineStr">
        <is>
          <t>11.08.2026</t>
        </is>
      </c>
      <c r="O2698" s="1" t="inlineStr"/>
      <c r="P2698" s="1" t="inlineStr"/>
      <c r="Q2698" s="1" t="inlineStr">
        <is>
          <t>Пользовательский интерфейс</t>
        </is>
      </c>
    </row>
    <row r="2699">
      <c r="B2699" s="1" t="inlineStr">
        <is>
          <t>214421206</t>
        </is>
      </c>
      <c r="C2699" s="1" t="inlineStr">
        <is>
          <t>15411209</t>
        </is>
      </c>
      <c r="D2699" t="inlineStr">
        <is>
          <t>работник 755</t>
        </is>
      </c>
      <c r="E2699" s="1" t="inlineStr">
        <is>
          <t>ОБЩЕСТВО С ОГРАНИЧЕННОЙ ОТВЕТСТВЕННОСТЬЮ "АМУР ЗОЛОТО"</t>
        </is>
      </c>
      <c r="F2699" s="1" t="inlineStr">
        <is>
          <t>2708001686</t>
        </is>
      </c>
      <c r="G2699" s="1" t="inlineStr">
        <is>
          <t>Фильтровальщик</t>
        </is>
      </c>
      <c r="H2699" s="1" t="inlineStr">
        <is>
          <t>ООО "Амур Золото"</t>
        </is>
      </c>
      <c r="I2699" s="1" t="inlineStr">
        <is>
          <t>2708001686</t>
        </is>
      </c>
      <c r="J2699" s="1" t="inlineStr">
        <is>
          <t>ЮГОК ЗИОФ 26-28</t>
        </is>
      </c>
      <c r="K269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699" s="1" t="inlineStr">
        <is>
          <t>29.07.2026</t>
        </is>
      </c>
      <c r="M2699" s="1" t="inlineStr">
        <is>
          <t>Успешно</t>
        </is>
      </c>
      <c r="N2699" s="1" t="inlineStr">
        <is>
          <t>11.08.2026</t>
        </is>
      </c>
      <c r="O2699" s="1" t="inlineStr"/>
      <c r="P2699" s="1" t="inlineStr"/>
      <c r="Q2699" s="1" t="inlineStr">
        <is>
          <t>Пользовательский интерфейс</t>
        </is>
      </c>
    </row>
    <row r="2700">
      <c r="B2700" s="1" t="inlineStr">
        <is>
          <t>214421207</t>
        </is>
      </c>
      <c r="C2700" s="1" t="inlineStr">
        <is>
          <t>15411209</t>
        </is>
      </c>
      <c r="D2700" t="inlineStr">
        <is>
          <t>работник 145</t>
        </is>
      </c>
      <c r="E2700" s="1" t="inlineStr">
        <is>
          <t>ОБЩЕСТВО С ОГРАНИЧЕННОЙ ОТВЕТСТВЕННОСТЬЮ "АМУР ЗОЛОТО"</t>
        </is>
      </c>
      <c r="F2700" s="1" t="inlineStr">
        <is>
          <t>2708001686</t>
        </is>
      </c>
      <c r="G2700" s="1" t="inlineStr">
        <is>
          <t>Фильтровальщик</t>
        </is>
      </c>
      <c r="H2700" s="1" t="inlineStr">
        <is>
          <t>ООО "Амур Золото"</t>
        </is>
      </c>
      <c r="I2700" s="1" t="inlineStr">
        <is>
          <t>2708001686</t>
        </is>
      </c>
      <c r="J2700" s="1" t="inlineStr">
        <is>
          <t>ЮГОК ЗИОФ 26-28</t>
        </is>
      </c>
      <c r="K2700" s="1" t="inlineStr">
        <is>
          <t>Оказание первой помощи пострадавшим</t>
        </is>
      </c>
      <c r="L2700" s="1" t="inlineStr">
        <is>
          <t>29.07.2026</t>
        </is>
      </c>
      <c r="M2700" s="1" t="inlineStr">
        <is>
          <t>Успешно</t>
        </is>
      </c>
      <c r="N2700" s="1" t="inlineStr">
        <is>
          <t>11.08.2026</t>
        </is>
      </c>
      <c r="O2700" s="1" t="inlineStr"/>
      <c r="P2700" s="1" t="inlineStr"/>
      <c r="Q2700" s="1" t="inlineStr">
        <is>
          <t>Пользовательский интерфейс</t>
        </is>
      </c>
    </row>
    <row r="2701">
      <c r="B2701" s="1" t="inlineStr">
        <is>
          <t>214421208</t>
        </is>
      </c>
      <c r="C2701" s="1" t="inlineStr">
        <is>
          <t>15411209</t>
        </is>
      </c>
      <c r="D2701" t="inlineStr">
        <is>
          <t>работник 145</t>
        </is>
      </c>
      <c r="E2701" s="1" t="inlineStr">
        <is>
          <t>ОБЩЕСТВО С ОГРАНИЧЕННОЙ ОТВЕТСТВЕННОСТЬЮ "АМУР ЗОЛОТО"</t>
        </is>
      </c>
      <c r="F2701" s="1" t="inlineStr">
        <is>
          <t>2708001686</t>
        </is>
      </c>
      <c r="G2701" s="1" t="inlineStr">
        <is>
          <t>Фильтровальщик</t>
        </is>
      </c>
      <c r="H2701" s="1" t="inlineStr">
        <is>
          <t>ООО "Амур Золото"</t>
        </is>
      </c>
      <c r="I2701" s="1" t="inlineStr">
        <is>
          <t>2708001686</t>
        </is>
      </c>
      <c r="J2701" s="1" t="inlineStr">
        <is>
          <t>ЮГОК ЗИОФ 26-28</t>
        </is>
      </c>
      <c r="K2701" s="1" t="inlineStr">
        <is>
          <t>Использование (применение) средств индивидуальной защиты</t>
        </is>
      </c>
      <c r="L2701" s="1" t="inlineStr">
        <is>
          <t>29.07.2026</t>
        </is>
      </c>
      <c r="M2701" s="1" t="inlineStr">
        <is>
          <t>Успешно</t>
        </is>
      </c>
      <c r="N2701" s="1" t="inlineStr">
        <is>
          <t>11.08.2026</t>
        </is>
      </c>
      <c r="O2701" s="1" t="inlineStr"/>
      <c r="P2701" s="1" t="inlineStr"/>
      <c r="Q2701" s="1" t="inlineStr">
        <is>
          <t>Пользовательский интерфейс</t>
        </is>
      </c>
    </row>
    <row r="2702">
      <c r="B2702" s="1" t="inlineStr">
        <is>
          <t>214421209</t>
        </is>
      </c>
      <c r="C2702" s="1" t="inlineStr">
        <is>
          <t>15411209</t>
        </is>
      </c>
      <c r="D2702" t="inlineStr">
        <is>
          <t>работник 145</t>
        </is>
      </c>
      <c r="E2702" s="1" t="inlineStr">
        <is>
          <t>ОБЩЕСТВО С ОГРАНИЧЕННОЙ ОТВЕТСТВЕННОСТЬЮ "АМУР ЗОЛОТО"</t>
        </is>
      </c>
      <c r="F2702" s="1" t="inlineStr">
        <is>
          <t>2708001686</t>
        </is>
      </c>
      <c r="G2702" s="1" t="inlineStr">
        <is>
          <t>Фильтровальщик</t>
        </is>
      </c>
      <c r="H2702" s="1" t="inlineStr">
        <is>
          <t>ООО "Амур Золото"</t>
        </is>
      </c>
      <c r="I2702" s="1" t="inlineStr">
        <is>
          <t>2708001686</t>
        </is>
      </c>
      <c r="J2702" s="1" t="inlineStr">
        <is>
          <t>ЮГОК ЗИОФ 26-28</t>
        </is>
      </c>
      <c r="K270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702" s="1" t="inlineStr">
        <is>
          <t>29.07.2026</t>
        </is>
      </c>
      <c r="M2702" s="1" t="inlineStr">
        <is>
          <t>Успешно</t>
        </is>
      </c>
      <c r="N2702" s="1" t="inlineStr">
        <is>
          <t>11.08.2026</t>
        </is>
      </c>
      <c r="O2702" s="1" t="inlineStr"/>
      <c r="P2702" s="1" t="inlineStr"/>
      <c r="Q2702" s="1" t="inlineStr">
        <is>
          <t>Пользовательский интерфейс</t>
        </is>
      </c>
    </row>
    <row r="2703">
      <c r="B2703" s="1" t="inlineStr">
        <is>
          <t>214421210</t>
        </is>
      </c>
      <c r="C2703" s="1" t="inlineStr">
        <is>
          <t>15411209</t>
        </is>
      </c>
      <c r="D2703" t="inlineStr">
        <is>
          <t>работник 614</t>
        </is>
      </c>
      <c r="E2703" s="1" t="inlineStr">
        <is>
          <t>ОБЩЕСТВО С ОГРАНИЧЕННОЙ ОТВЕТСТВЕННОСТЬЮ "АМУР ЗОЛОТО"</t>
        </is>
      </c>
      <c r="F2703" s="1" t="inlineStr">
        <is>
          <t>2708001686</t>
        </is>
      </c>
      <c r="G2703" s="1" t="inlineStr">
        <is>
          <t>Фильтровальщик</t>
        </is>
      </c>
      <c r="H2703" s="1" t="inlineStr">
        <is>
          <t>ООО "Амур Золото"</t>
        </is>
      </c>
      <c r="I2703" s="1" t="inlineStr">
        <is>
          <t>2708001686</t>
        </is>
      </c>
      <c r="J2703" s="1" t="inlineStr">
        <is>
          <t>ЮГОК ЗИОФ 26-28</t>
        </is>
      </c>
      <c r="K2703" s="1" t="inlineStr">
        <is>
          <t>Оказание первой помощи пострадавшим</t>
        </is>
      </c>
      <c r="L2703" s="1" t="inlineStr">
        <is>
          <t>29.07.2026</t>
        </is>
      </c>
      <c r="M2703" s="1" t="inlineStr">
        <is>
          <t>Успешно</t>
        </is>
      </c>
      <c r="N2703" s="1" t="inlineStr">
        <is>
          <t>11.08.2026</t>
        </is>
      </c>
      <c r="O2703" s="1" t="inlineStr"/>
      <c r="P2703" s="1" t="inlineStr"/>
      <c r="Q2703" s="1" t="inlineStr">
        <is>
          <t>Пользовательский интерфейс</t>
        </is>
      </c>
    </row>
    <row r="2704">
      <c r="B2704" s="1" t="inlineStr">
        <is>
          <t>214421211</t>
        </is>
      </c>
      <c r="C2704" s="1" t="inlineStr">
        <is>
          <t>15411209</t>
        </is>
      </c>
      <c r="D2704" t="inlineStr">
        <is>
          <t>работник 614</t>
        </is>
      </c>
      <c r="E2704" s="1" t="inlineStr">
        <is>
          <t>ОБЩЕСТВО С ОГРАНИЧЕННОЙ ОТВЕТСТВЕННОСТЬЮ "АМУР ЗОЛОТО"</t>
        </is>
      </c>
      <c r="F2704" s="1" t="inlineStr">
        <is>
          <t>2708001686</t>
        </is>
      </c>
      <c r="G2704" s="1" t="inlineStr">
        <is>
          <t>Фильтровальщик</t>
        </is>
      </c>
      <c r="H2704" s="1" t="inlineStr">
        <is>
          <t>ООО "Амур Золото"</t>
        </is>
      </c>
      <c r="I2704" s="1" t="inlineStr">
        <is>
          <t>2708001686</t>
        </is>
      </c>
      <c r="J2704" s="1" t="inlineStr">
        <is>
          <t>ЮГОК ЗИОФ 26-28</t>
        </is>
      </c>
      <c r="K2704" s="1" t="inlineStr">
        <is>
          <t>Использование (применение) средств индивидуальной защиты</t>
        </is>
      </c>
      <c r="L2704" s="1" t="inlineStr">
        <is>
          <t>29.07.2026</t>
        </is>
      </c>
      <c r="M2704" s="1" t="inlineStr">
        <is>
          <t>Успешно</t>
        </is>
      </c>
      <c r="N2704" s="1" t="inlineStr">
        <is>
          <t>11.08.2026</t>
        </is>
      </c>
      <c r="O2704" s="1" t="inlineStr"/>
      <c r="P2704" s="1" t="inlineStr"/>
      <c r="Q2704" s="1" t="inlineStr">
        <is>
          <t>Пользовательский интерфейс</t>
        </is>
      </c>
    </row>
    <row r="2705">
      <c r="B2705" s="1" t="inlineStr">
        <is>
          <t>214421212</t>
        </is>
      </c>
      <c r="C2705" s="1" t="inlineStr">
        <is>
          <t>15411209</t>
        </is>
      </c>
      <c r="D2705" t="inlineStr">
        <is>
          <t>работник 614</t>
        </is>
      </c>
      <c r="E2705" s="1" t="inlineStr">
        <is>
          <t>ОБЩЕСТВО С ОГРАНИЧЕННОЙ ОТВЕТСТВЕННОСТЬЮ "АМУР ЗОЛОТО"</t>
        </is>
      </c>
      <c r="F2705" s="1" t="inlineStr">
        <is>
          <t>2708001686</t>
        </is>
      </c>
      <c r="G2705" s="1" t="inlineStr">
        <is>
          <t>Фильтровальщик</t>
        </is>
      </c>
      <c r="H2705" s="1" t="inlineStr">
        <is>
          <t>ООО "Амур Золото"</t>
        </is>
      </c>
      <c r="I2705" s="1" t="inlineStr">
        <is>
          <t>2708001686</t>
        </is>
      </c>
      <c r="J2705" s="1" t="inlineStr">
        <is>
          <t>ЮГОК ЗИОФ 26-28</t>
        </is>
      </c>
      <c r="K270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705" s="1" t="inlineStr">
        <is>
          <t>29.07.2026</t>
        </is>
      </c>
      <c r="M2705" s="1" t="inlineStr">
        <is>
          <t>Успешно</t>
        </is>
      </c>
      <c r="N2705" s="1" t="inlineStr">
        <is>
          <t>11.08.2026</t>
        </is>
      </c>
      <c r="O2705" s="1" t="inlineStr"/>
      <c r="P2705" s="1" t="inlineStr"/>
      <c r="Q2705" s="1" t="inlineStr">
        <is>
          <t>Пользовательский интерфейс</t>
        </is>
      </c>
    </row>
    <row r="2706">
      <c r="B2706" s="1" t="inlineStr">
        <is>
          <t>214421213</t>
        </is>
      </c>
      <c r="C2706" s="1" t="inlineStr">
        <is>
          <t>15411209</t>
        </is>
      </c>
      <c r="D2706" t="inlineStr">
        <is>
          <t>работник 752</t>
        </is>
      </c>
      <c r="E2706" s="1" t="inlineStr">
        <is>
          <t>ОБЩЕСТВО С ОГРАНИЧЕННОЙ ОТВЕТСТВЕННОСТЬЮ "АМУР ЗОЛОТО"</t>
        </is>
      </c>
      <c r="F2706" s="1" t="inlineStr">
        <is>
          <t>2708001686</t>
        </is>
      </c>
      <c r="G2706" s="1" t="inlineStr">
        <is>
          <t>Фильтровальщик</t>
        </is>
      </c>
      <c r="H2706" s="1" t="inlineStr">
        <is>
          <t>ООО "Амур Золото"</t>
        </is>
      </c>
      <c r="I2706" s="1" t="inlineStr">
        <is>
          <t>2708001686</t>
        </is>
      </c>
      <c r="J2706" s="1" t="inlineStr">
        <is>
          <t>ЮГОК ЗИОФ 26-28</t>
        </is>
      </c>
      <c r="K2706" s="1" t="inlineStr">
        <is>
          <t>Оказание первой помощи пострадавшим</t>
        </is>
      </c>
      <c r="L2706" s="1" t="inlineStr">
        <is>
          <t>29.07.2026</t>
        </is>
      </c>
      <c r="M2706" s="1" t="inlineStr">
        <is>
          <t>Успешно</t>
        </is>
      </c>
      <c r="N2706" s="1" t="inlineStr">
        <is>
          <t>11.08.2026</t>
        </is>
      </c>
      <c r="O2706" s="1" t="inlineStr"/>
      <c r="P2706" s="1" t="inlineStr"/>
      <c r="Q2706" s="1" t="inlineStr">
        <is>
          <t>Пользовательский интерфейс</t>
        </is>
      </c>
    </row>
    <row r="2707">
      <c r="B2707" s="1" t="inlineStr">
        <is>
          <t>214421214</t>
        </is>
      </c>
      <c r="C2707" s="1" t="inlineStr">
        <is>
          <t>15411209</t>
        </is>
      </c>
      <c r="D2707" t="inlineStr">
        <is>
          <t>работник 752</t>
        </is>
      </c>
      <c r="E2707" s="1" t="inlineStr">
        <is>
          <t>ОБЩЕСТВО С ОГРАНИЧЕННОЙ ОТВЕТСТВЕННОСТЬЮ "АМУР ЗОЛОТО"</t>
        </is>
      </c>
      <c r="F2707" s="1" t="inlineStr">
        <is>
          <t>2708001686</t>
        </is>
      </c>
      <c r="G2707" s="1" t="inlineStr">
        <is>
          <t>Фильтровальщик</t>
        </is>
      </c>
      <c r="H2707" s="1" t="inlineStr">
        <is>
          <t>ООО "Амур Золото"</t>
        </is>
      </c>
      <c r="I2707" s="1" t="inlineStr">
        <is>
          <t>2708001686</t>
        </is>
      </c>
      <c r="J2707" s="1" t="inlineStr">
        <is>
          <t>ЮГОК ЗИОФ 26-28</t>
        </is>
      </c>
      <c r="K2707" s="1" t="inlineStr">
        <is>
          <t>Использование (применение) средств индивидуальной защиты</t>
        </is>
      </c>
      <c r="L2707" s="1" t="inlineStr">
        <is>
          <t>29.07.2026</t>
        </is>
      </c>
      <c r="M2707" s="1" t="inlineStr">
        <is>
          <t>Успешно</t>
        </is>
      </c>
      <c r="N2707" s="1" t="inlineStr">
        <is>
          <t>11.08.2026</t>
        </is>
      </c>
      <c r="O2707" s="1" t="inlineStr"/>
      <c r="P2707" s="1" t="inlineStr"/>
      <c r="Q2707" s="1" t="inlineStr">
        <is>
          <t>Пользовательский интерфейс</t>
        </is>
      </c>
    </row>
    <row r="2708">
      <c r="B2708" s="1" t="inlineStr">
        <is>
          <t>214421215</t>
        </is>
      </c>
      <c r="C2708" s="1" t="inlineStr">
        <is>
          <t>15411209</t>
        </is>
      </c>
      <c r="D2708" t="inlineStr">
        <is>
          <t>работник 752</t>
        </is>
      </c>
      <c r="E2708" s="1" t="inlineStr">
        <is>
          <t>ОБЩЕСТВО С ОГРАНИЧЕННОЙ ОТВЕТСТВЕННОСТЬЮ "АМУР ЗОЛОТО"</t>
        </is>
      </c>
      <c r="F2708" s="1" t="inlineStr">
        <is>
          <t>2708001686</t>
        </is>
      </c>
      <c r="G2708" s="1" t="inlineStr">
        <is>
          <t>Фильтровальщик</t>
        </is>
      </c>
      <c r="H2708" s="1" t="inlineStr">
        <is>
          <t>ООО "Амур Золото"</t>
        </is>
      </c>
      <c r="I2708" s="1" t="inlineStr">
        <is>
          <t>2708001686</t>
        </is>
      </c>
      <c r="J2708" s="1" t="inlineStr">
        <is>
          <t>ЮГОК ЗИОФ 26-28</t>
        </is>
      </c>
      <c r="K270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708" s="1" t="inlineStr">
        <is>
          <t>29.07.2026</t>
        </is>
      </c>
      <c r="M2708" s="1" t="inlineStr">
        <is>
          <t>Успешно</t>
        </is>
      </c>
      <c r="N2708" s="1" t="inlineStr">
        <is>
          <t>11.08.2026</t>
        </is>
      </c>
      <c r="O2708" s="1" t="inlineStr"/>
      <c r="P2708" s="1" t="inlineStr"/>
      <c r="Q2708" s="1" t="inlineStr">
        <is>
          <t>Пользовательский интерфейс</t>
        </is>
      </c>
    </row>
    <row r="2709">
      <c r="B2709" s="1" t="inlineStr">
        <is>
          <t>214421216</t>
        </is>
      </c>
      <c r="C2709" s="1" t="inlineStr">
        <is>
          <t>15411209</t>
        </is>
      </c>
      <c r="D2709" t="inlineStr">
        <is>
          <t>работник 827</t>
        </is>
      </c>
      <c r="E2709" s="1" t="inlineStr">
        <is>
          <t>ОБЩЕСТВО С ОГРАНИЧЕННОЙ ОТВЕТСТВЕННОСТЬЮ "АМУР ЗОЛОТО"</t>
        </is>
      </c>
      <c r="F2709" s="1" t="inlineStr">
        <is>
          <t>2708001686</t>
        </is>
      </c>
      <c r="G2709" s="1" t="inlineStr">
        <is>
          <t>Фильтровальщик</t>
        </is>
      </c>
      <c r="H2709" s="1" t="inlineStr">
        <is>
          <t>ООО "Амур Золото"</t>
        </is>
      </c>
      <c r="I2709" s="1" t="inlineStr">
        <is>
          <t>2708001686</t>
        </is>
      </c>
      <c r="J2709" s="1" t="inlineStr">
        <is>
          <t>ЮГОК ЗИОФ 26-28</t>
        </is>
      </c>
      <c r="K2709" s="1" t="inlineStr">
        <is>
          <t>Оказание первой помощи пострадавшим</t>
        </is>
      </c>
      <c r="L2709" s="1" t="inlineStr">
        <is>
          <t>29.07.2026</t>
        </is>
      </c>
      <c r="M2709" s="1" t="inlineStr">
        <is>
          <t>Успешно</t>
        </is>
      </c>
      <c r="N2709" s="1" t="inlineStr">
        <is>
          <t>11.08.2026</t>
        </is>
      </c>
      <c r="O2709" s="1" t="inlineStr"/>
      <c r="P2709" s="1" t="inlineStr"/>
      <c r="Q2709" s="1" t="inlineStr">
        <is>
          <t>Пользовательский интерфейс</t>
        </is>
      </c>
    </row>
    <row r="2710">
      <c r="B2710" s="1" t="inlineStr">
        <is>
          <t>214421217</t>
        </is>
      </c>
      <c r="C2710" s="1" t="inlineStr">
        <is>
          <t>15411209</t>
        </is>
      </c>
      <c r="D2710" t="inlineStr">
        <is>
          <t>работник 827</t>
        </is>
      </c>
      <c r="E2710" s="1" t="inlineStr">
        <is>
          <t>ОБЩЕСТВО С ОГРАНИЧЕННОЙ ОТВЕТСТВЕННОСТЬЮ "АМУР ЗОЛОТО"</t>
        </is>
      </c>
      <c r="F2710" s="1" t="inlineStr">
        <is>
          <t>2708001686</t>
        </is>
      </c>
      <c r="G2710" s="1" t="inlineStr">
        <is>
          <t>Фильтровальщик</t>
        </is>
      </c>
      <c r="H2710" s="1" t="inlineStr">
        <is>
          <t>ООО "Амур Золото"</t>
        </is>
      </c>
      <c r="I2710" s="1" t="inlineStr">
        <is>
          <t>2708001686</t>
        </is>
      </c>
      <c r="J2710" s="1" t="inlineStr">
        <is>
          <t>ЮГОК ЗИОФ 26-28</t>
        </is>
      </c>
      <c r="K2710" s="1" t="inlineStr">
        <is>
          <t>Использование (применение) средств индивидуальной защиты</t>
        </is>
      </c>
      <c r="L2710" s="1" t="inlineStr">
        <is>
          <t>29.07.2026</t>
        </is>
      </c>
      <c r="M2710" s="1" t="inlineStr">
        <is>
          <t>Успешно</t>
        </is>
      </c>
      <c r="N2710" s="1" t="inlineStr">
        <is>
          <t>11.08.2026</t>
        </is>
      </c>
      <c r="O2710" s="1" t="inlineStr"/>
      <c r="P2710" s="1" t="inlineStr"/>
      <c r="Q2710" s="1" t="inlineStr">
        <is>
          <t>Пользовательский интерфейс</t>
        </is>
      </c>
    </row>
    <row r="2711">
      <c r="B2711" s="1" t="inlineStr">
        <is>
          <t>214421218</t>
        </is>
      </c>
      <c r="C2711" s="1" t="inlineStr">
        <is>
          <t>15411209</t>
        </is>
      </c>
      <c r="D2711" t="inlineStr">
        <is>
          <t>работник 811</t>
        </is>
      </c>
      <c r="E2711" s="1" t="inlineStr">
        <is>
          <t>ОБЩЕСТВО С ОГРАНИЧЕННОЙ ОТВЕТСТВЕННОСТЬЮ "АМУР ЗОЛОТО"</t>
        </is>
      </c>
      <c r="F2711" s="1" t="inlineStr">
        <is>
          <t>2708001686</t>
        </is>
      </c>
      <c r="G2711" s="1" t="inlineStr">
        <is>
          <t>Машинист конвейера</t>
        </is>
      </c>
      <c r="H2711" s="1" t="inlineStr">
        <is>
          <t>ООО "Амур Золото"</t>
        </is>
      </c>
      <c r="I2711" s="1" t="inlineStr">
        <is>
          <t>2708001686</t>
        </is>
      </c>
      <c r="J2711" s="1" t="inlineStr">
        <is>
          <t>ЮГОК ЗИОФ 26-30</t>
        </is>
      </c>
      <c r="K2711" s="1" t="inlineStr">
        <is>
          <t>Использование (применение) средств индивидуальной защиты</t>
        </is>
      </c>
      <c r="L2711" s="1" t="inlineStr">
        <is>
          <t>29.07.2026</t>
        </is>
      </c>
      <c r="M2711" s="1" t="inlineStr">
        <is>
          <t>Успешно</t>
        </is>
      </c>
      <c r="N2711" s="1" t="inlineStr">
        <is>
          <t>11.08.2026</t>
        </is>
      </c>
      <c r="O2711" s="1" t="inlineStr"/>
      <c r="P2711" s="1" t="inlineStr"/>
      <c r="Q2711" s="1" t="inlineStr">
        <is>
          <t>Пользовательский интерфейс</t>
        </is>
      </c>
    </row>
    <row r="2712">
      <c r="B2712" s="1" t="inlineStr">
        <is>
          <t>214421219</t>
        </is>
      </c>
      <c r="C2712" s="1" t="inlineStr">
        <is>
          <t>15411209</t>
        </is>
      </c>
      <c r="D2712" t="inlineStr">
        <is>
          <t>работник 827</t>
        </is>
      </c>
      <c r="E2712" s="1" t="inlineStr">
        <is>
          <t>ОБЩЕСТВО С ОГРАНИЧЕННОЙ ОТВЕТСТВЕННОСТЬЮ "АМУР ЗОЛОТО"</t>
        </is>
      </c>
      <c r="F2712" s="1" t="inlineStr">
        <is>
          <t>2708001686</t>
        </is>
      </c>
      <c r="G2712" s="1" t="inlineStr">
        <is>
          <t>Фильтровальщик</t>
        </is>
      </c>
      <c r="H2712" s="1" t="inlineStr">
        <is>
          <t>ООО "Амур Золото"</t>
        </is>
      </c>
      <c r="I2712" s="1" t="inlineStr">
        <is>
          <t>2708001686</t>
        </is>
      </c>
      <c r="J2712" s="1" t="inlineStr">
        <is>
          <t>ЮГОК ЗИОФ 26-28</t>
        </is>
      </c>
      <c r="K271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712" s="1" t="inlineStr">
        <is>
          <t>29.07.2026</t>
        </is>
      </c>
      <c r="M2712" s="1" t="inlineStr">
        <is>
          <t>Успешно</t>
        </is>
      </c>
      <c r="N2712" s="1" t="inlineStr">
        <is>
          <t>11.08.2026</t>
        </is>
      </c>
      <c r="O2712" s="1" t="inlineStr"/>
      <c r="P2712" s="1" t="inlineStr"/>
      <c r="Q2712" s="1" t="inlineStr">
        <is>
          <t>Пользовательский интерфейс</t>
        </is>
      </c>
    </row>
    <row r="2713">
      <c r="B2713" s="1" t="inlineStr">
        <is>
          <t>214421220</t>
        </is>
      </c>
      <c r="C2713" s="1" t="inlineStr">
        <is>
          <t>15411209</t>
        </is>
      </c>
      <c r="D2713" t="inlineStr">
        <is>
          <t>работник 342</t>
        </is>
      </c>
      <c r="E2713" s="1" t="inlineStr">
        <is>
          <t>ОБЩЕСТВО С ОГРАНИЧЕННОЙ ОТВЕТСТВЕННОСТЬЮ "АМУР ЗОЛОТО"</t>
        </is>
      </c>
      <c r="F2713" s="1" t="inlineStr">
        <is>
          <t>2708001686</t>
        </is>
      </c>
      <c r="G2713" s="1" t="inlineStr">
        <is>
          <t>Машинист мельниц</t>
        </is>
      </c>
      <c r="H2713" s="1" t="inlineStr">
        <is>
          <t>ООО "Амур Золото"</t>
        </is>
      </c>
      <c r="I2713" s="1" t="inlineStr">
        <is>
          <t>2708001686</t>
        </is>
      </c>
      <c r="J2713" s="1" t="inlineStr">
        <is>
          <t>ЮГОК ЗИОФ 26-29</t>
        </is>
      </c>
      <c r="K2713" s="1" t="inlineStr">
        <is>
          <t>Оказание первой помощи пострадавшим</t>
        </is>
      </c>
      <c r="L2713" s="1" t="inlineStr">
        <is>
          <t>29.07.2026</t>
        </is>
      </c>
      <c r="M2713" s="1" t="inlineStr">
        <is>
          <t>Успешно</t>
        </is>
      </c>
      <c r="N2713" s="1" t="inlineStr">
        <is>
          <t>11.08.2026</t>
        </is>
      </c>
      <c r="O2713" s="1" t="inlineStr"/>
      <c r="P2713" s="1" t="inlineStr"/>
      <c r="Q2713" s="1" t="inlineStr">
        <is>
          <t>Пользовательский интерфейс</t>
        </is>
      </c>
    </row>
    <row r="2714">
      <c r="B2714" s="1" t="inlineStr">
        <is>
          <t>214421221</t>
        </is>
      </c>
      <c r="C2714" s="1" t="inlineStr">
        <is>
          <t>15411209</t>
        </is>
      </c>
      <c r="D2714" t="inlineStr">
        <is>
          <t>работник 342</t>
        </is>
      </c>
      <c r="E2714" s="1" t="inlineStr">
        <is>
          <t>ОБЩЕСТВО С ОГРАНИЧЕННОЙ ОТВЕТСТВЕННОСТЬЮ "АМУР ЗОЛОТО"</t>
        </is>
      </c>
      <c r="F2714" s="1" t="inlineStr">
        <is>
          <t>2708001686</t>
        </is>
      </c>
      <c r="G2714" s="1" t="inlineStr">
        <is>
          <t>Машинист мельниц</t>
        </is>
      </c>
      <c r="H2714" s="1" t="inlineStr">
        <is>
          <t>ООО "Амур Золото"</t>
        </is>
      </c>
      <c r="I2714" s="1" t="inlineStr">
        <is>
          <t>2708001686</t>
        </is>
      </c>
      <c r="J2714" s="1" t="inlineStr">
        <is>
          <t>ЮГОК ЗИОФ 26-29</t>
        </is>
      </c>
      <c r="K2714" s="1" t="inlineStr">
        <is>
          <t>Использование (применение) средств индивидуальной защиты</t>
        </is>
      </c>
      <c r="L2714" s="1" t="inlineStr">
        <is>
          <t>29.07.2026</t>
        </is>
      </c>
      <c r="M2714" s="1" t="inlineStr">
        <is>
          <t>Успешно</t>
        </is>
      </c>
      <c r="N2714" s="1" t="inlineStr">
        <is>
          <t>11.08.2026</t>
        </is>
      </c>
      <c r="O2714" s="1" t="inlineStr"/>
      <c r="P2714" s="1" t="inlineStr"/>
      <c r="Q2714" s="1" t="inlineStr">
        <is>
          <t>Пользовательский интерфейс</t>
        </is>
      </c>
    </row>
    <row r="2715">
      <c r="B2715" s="1" t="inlineStr">
        <is>
          <t>214421222</t>
        </is>
      </c>
      <c r="C2715" s="1" t="inlineStr">
        <is>
          <t>15411209</t>
        </is>
      </c>
      <c r="D2715" t="inlineStr">
        <is>
          <t>работник 342</t>
        </is>
      </c>
      <c r="E2715" s="1" t="inlineStr">
        <is>
          <t>ОБЩЕСТВО С ОГРАНИЧЕННОЙ ОТВЕТСТВЕННОСТЬЮ "АМУР ЗОЛОТО"</t>
        </is>
      </c>
      <c r="F2715" s="1" t="inlineStr">
        <is>
          <t>2708001686</t>
        </is>
      </c>
      <c r="G2715" s="1" t="inlineStr">
        <is>
          <t>Машинист мельниц</t>
        </is>
      </c>
      <c r="H2715" s="1" t="inlineStr">
        <is>
          <t>ООО "Амур Золото"</t>
        </is>
      </c>
      <c r="I2715" s="1" t="inlineStr">
        <is>
          <t>2708001686</t>
        </is>
      </c>
      <c r="J2715" s="1" t="inlineStr">
        <is>
          <t>ЮГОК ЗИОФ 26-29</t>
        </is>
      </c>
      <c r="K271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715" s="1" t="inlineStr">
        <is>
          <t>29.07.2026</t>
        </is>
      </c>
      <c r="M2715" s="1" t="inlineStr">
        <is>
          <t>Успешно</t>
        </is>
      </c>
      <c r="N2715" s="1" t="inlineStr">
        <is>
          <t>11.08.2026</t>
        </is>
      </c>
      <c r="O2715" s="1" t="inlineStr"/>
      <c r="P2715" s="1" t="inlineStr"/>
      <c r="Q2715" s="1" t="inlineStr">
        <is>
          <t>Пользовательский интерфейс</t>
        </is>
      </c>
    </row>
    <row r="2716">
      <c r="B2716" s="1" t="inlineStr">
        <is>
          <t>214421223</t>
        </is>
      </c>
      <c r="C2716" s="1" t="inlineStr">
        <is>
          <t>15411209</t>
        </is>
      </c>
      <c r="D2716" t="inlineStr">
        <is>
          <t>работник 127</t>
        </is>
      </c>
      <c r="E2716" s="1" t="inlineStr">
        <is>
          <t>ОБЩЕСТВО С ОГРАНИЧЕННОЙ ОТВЕТСТВЕННОСТЬЮ "АМУР ЗОЛОТО"</t>
        </is>
      </c>
      <c r="F2716" s="1" t="inlineStr">
        <is>
          <t>2708001686</t>
        </is>
      </c>
      <c r="G2716" s="1" t="inlineStr">
        <is>
          <t>Машинист мельниц</t>
        </is>
      </c>
      <c r="H2716" s="1" t="inlineStr">
        <is>
          <t>ООО "Амур Золото"</t>
        </is>
      </c>
      <c r="I2716" s="1" t="inlineStr">
        <is>
          <t>2708001686</t>
        </is>
      </c>
      <c r="J2716" s="1" t="inlineStr">
        <is>
          <t>ЮГОК ЗИОФ 26-29</t>
        </is>
      </c>
      <c r="K2716" s="1" t="inlineStr">
        <is>
          <t>Оказание первой помощи пострадавшим</t>
        </is>
      </c>
      <c r="L2716" s="1" t="inlineStr">
        <is>
          <t>29.07.2026</t>
        </is>
      </c>
      <c r="M2716" s="1" t="inlineStr">
        <is>
          <t>Успешно</t>
        </is>
      </c>
      <c r="N2716" s="1" t="inlineStr">
        <is>
          <t>11.08.2026</t>
        </is>
      </c>
      <c r="O2716" s="1" t="inlineStr"/>
      <c r="P2716" s="1" t="inlineStr"/>
      <c r="Q2716" s="1" t="inlineStr">
        <is>
          <t>Пользовательский интерфейс</t>
        </is>
      </c>
    </row>
    <row r="2717">
      <c r="B2717" s="1" t="inlineStr">
        <is>
          <t>214421224</t>
        </is>
      </c>
      <c r="C2717" s="1" t="inlineStr">
        <is>
          <t>15411209</t>
        </is>
      </c>
      <c r="D2717" t="inlineStr">
        <is>
          <t>работник 127</t>
        </is>
      </c>
      <c r="E2717" s="1" t="inlineStr">
        <is>
          <t>ОБЩЕСТВО С ОГРАНИЧЕННОЙ ОТВЕТСТВЕННОСТЬЮ "АМУР ЗОЛОТО"</t>
        </is>
      </c>
      <c r="F2717" s="1" t="inlineStr">
        <is>
          <t>2708001686</t>
        </is>
      </c>
      <c r="G2717" s="1" t="inlineStr">
        <is>
          <t>Машинист мельниц</t>
        </is>
      </c>
      <c r="H2717" s="1" t="inlineStr">
        <is>
          <t>ООО "Амур Золото"</t>
        </is>
      </c>
      <c r="I2717" s="1" t="inlineStr">
        <is>
          <t>2708001686</t>
        </is>
      </c>
      <c r="J2717" s="1" t="inlineStr">
        <is>
          <t>ЮГОК ЗИОФ 26-29</t>
        </is>
      </c>
      <c r="K2717" s="1" t="inlineStr">
        <is>
          <t>Использование (применение) средств индивидуальной защиты</t>
        </is>
      </c>
      <c r="L2717" s="1" t="inlineStr">
        <is>
          <t>29.07.2026</t>
        </is>
      </c>
      <c r="M2717" s="1" t="inlineStr">
        <is>
          <t>Успешно</t>
        </is>
      </c>
      <c r="N2717" s="1" t="inlineStr">
        <is>
          <t>11.08.2026</t>
        </is>
      </c>
      <c r="O2717" s="1" t="inlineStr"/>
      <c r="P2717" s="1" t="inlineStr"/>
      <c r="Q2717" s="1" t="inlineStr">
        <is>
          <t>Пользовательский интерфейс</t>
        </is>
      </c>
    </row>
    <row r="2718">
      <c r="B2718" s="1" t="inlineStr">
        <is>
          <t>214421225</t>
        </is>
      </c>
      <c r="C2718" s="1" t="inlineStr">
        <is>
          <t>15411209</t>
        </is>
      </c>
      <c r="D2718" t="inlineStr">
        <is>
          <t>работник 127</t>
        </is>
      </c>
      <c r="E2718" s="1" t="inlineStr">
        <is>
          <t>ОБЩЕСТВО С ОГРАНИЧЕННОЙ ОТВЕТСТВЕННОСТЬЮ "АМУР ЗОЛОТО"</t>
        </is>
      </c>
      <c r="F2718" s="1" t="inlineStr">
        <is>
          <t>2708001686</t>
        </is>
      </c>
      <c r="G2718" s="1" t="inlineStr">
        <is>
          <t>Машинист мельниц</t>
        </is>
      </c>
      <c r="H2718" s="1" t="inlineStr">
        <is>
          <t>ООО "Амур Золото"</t>
        </is>
      </c>
      <c r="I2718" s="1" t="inlineStr">
        <is>
          <t>2708001686</t>
        </is>
      </c>
      <c r="J2718" s="1" t="inlineStr">
        <is>
          <t>ЮГОК ЗИОФ 26-29</t>
        </is>
      </c>
      <c r="K271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718" s="1" t="inlineStr">
        <is>
          <t>29.07.2026</t>
        </is>
      </c>
      <c r="M2718" s="1" t="inlineStr">
        <is>
          <t>Успешно</t>
        </is>
      </c>
      <c r="N2718" s="1" t="inlineStr">
        <is>
          <t>11.08.2026</t>
        </is>
      </c>
      <c r="O2718" s="1" t="inlineStr"/>
      <c r="P2718" s="1" t="inlineStr"/>
      <c r="Q2718" s="1" t="inlineStr">
        <is>
          <t>Пользовательский интерфейс</t>
        </is>
      </c>
    </row>
    <row r="2719">
      <c r="B2719" s="1" t="inlineStr">
        <is>
          <t>214421226</t>
        </is>
      </c>
      <c r="C2719" s="1" t="inlineStr">
        <is>
          <t>15411209</t>
        </is>
      </c>
      <c r="D2719" t="inlineStr">
        <is>
          <t>работник 144</t>
        </is>
      </c>
      <c r="E2719" s="1" t="inlineStr">
        <is>
          <t>ОБЩЕСТВО С ОГРАНИЧЕННОЙ ОТВЕТСТВЕННОСТЬЮ "АМУР ЗОЛОТО"</t>
        </is>
      </c>
      <c r="F2719" s="1" t="inlineStr">
        <is>
          <t>2708001686</t>
        </is>
      </c>
      <c r="G2719" s="1" t="inlineStr">
        <is>
          <t>Машинист мельниц</t>
        </is>
      </c>
      <c r="H2719" s="1" t="inlineStr">
        <is>
          <t>ООО "Амур Золото"</t>
        </is>
      </c>
      <c r="I2719" s="1" t="inlineStr">
        <is>
          <t>2708001686</t>
        </is>
      </c>
      <c r="J2719" s="1" t="inlineStr">
        <is>
          <t>ЮГОК ЗИОФ 26-29</t>
        </is>
      </c>
      <c r="K2719" s="1" t="inlineStr">
        <is>
          <t>Оказание первой помощи пострадавшим</t>
        </is>
      </c>
      <c r="L2719" s="1" t="inlineStr">
        <is>
          <t>29.07.2026</t>
        </is>
      </c>
      <c r="M2719" s="1" t="inlineStr">
        <is>
          <t>Успешно</t>
        </is>
      </c>
      <c r="N2719" s="1" t="inlineStr">
        <is>
          <t>11.08.2026</t>
        </is>
      </c>
      <c r="O2719" s="1" t="inlineStr"/>
      <c r="P2719" s="1" t="inlineStr"/>
      <c r="Q2719" s="1" t="inlineStr">
        <is>
          <t>Пользовательский интерфейс</t>
        </is>
      </c>
    </row>
    <row r="2720">
      <c r="B2720" s="1" t="inlineStr">
        <is>
          <t>214421227</t>
        </is>
      </c>
      <c r="C2720" s="1" t="inlineStr">
        <is>
          <t>15411209</t>
        </is>
      </c>
      <c r="D2720" t="inlineStr">
        <is>
          <t>работник 144</t>
        </is>
      </c>
      <c r="E2720" s="1" t="inlineStr">
        <is>
          <t>ОБЩЕСТВО С ОГРАНИЧЕННОЙ ОТВЕТСТВЕННОСТЬЮ "АМУР ЗОЛОТО"</t>
        </is>
      </c>
      <c r="F2720" s="1" t="inlineStr">
        <is>
          <t>2708001686</t>
        </is>
      </c>
      <c r="G2720" s="1" t="inlineStr">
        <is>
          <t>Машинист мельниц</t>
        </is>
      </c>
      <c r="H2720" s="1" t="inlineStr">
        <is>
          <t>ООО "Амур Золото"</t>
        </is>
      </c>
      <c r="I2720" s="1" t="inlineStr">
        <is>
          <t>2708001686</t>
        </is>
      </c>
      <c r="J2720" s="1" t="inlineStr">
        <is>
          <t>ЮГОК ЗИОФ 26-29</t>
        </is>
      </c>
      <c r="K2720" s="1" t="inlineStr">
        <is>
          <t>Использование (применение) средств индивидуальной защиты</t>
        </is>
      </c>
      <c r="L2720" s="1" t="inlineStr">
        <is>
          <t>29.07.2026</t>
        </is>
      </c>
      <c r="M2720" s="1" t="inlineStr">
        <is>
          <t>Успешно</t>
        </is>
      </c>
      <c r="N2720" s="1" t="inlineStr">
        <is>
          <t>11.08.2026</t>
        </is>
      </c>
      <c r="O2720" s="1" t="inlineStr"/>
      <c r="P2720" s="1" t="inlineStr"/>
      <c r="Q2720" s="1" t="inlineStr">
        <is>
          <t>Пользовательский интерфейс</t>
        </is>
      </c>
    </row>
    <row r="2721">
      <c r="B2721" s="1" t="inlineStr">
        <is>
          <t>214421228</t>
        </is>
      </c>
      <c r="C2721" s="1" t="inlineStr">
        <is>
          <t>15411209</t>
        </is>
      </c>
      <c r="D2721" t="inlineStr">
        <is>
          <t>работник 144</t>
        </is>
      </c>
      <c r="E2721" s="1" t="inlineStr">
        <is>
          <t>ОБЩЕСТВО С ОГРАНИЧЕННОЙ ОТВЕТСТВЕННОСТЬЮ "АМУР ЗОЛОТО"</t>
        </is>
      </c>
      <c r="F2721" s="1" t="inlineStr">
        <is>
          <t>2708001686</t>
        </is>
      </c>
      <c r="G2721" s="1" t="inlineStr">
        <is>
          <t>Машинист мельниц</t>
        </is>
      </c>
      <c r="H2721" s="1" t="inlineStr">
        <is>
          <t>ООО "Амур Золото"</t>
        </is>
      </c>
      <c r="I2721" s="1" t="inlineStr">
        <is>
          <t>2708001686</t>
        </is>
      </c>
      <c r="J2721" s="1" t="inlineStr">
        <is>
          <t>ЮГОК ЗИОФ 26-29</t>
        </is>
      </c>
      <c r="K272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721" s="1" t="inlineStr">
        <is>
          <t>29.07.2026</t>
        </is>
      </c>
      <c r="M2721" s="1" t="inlineStr">
        <is>
          <t>Успешно</t>
        </is>
      </c>
      <c r="N2721" s="1" t="inlineStr">
        <is>
          <t>11.08.2026</t>
        </is>
      </c>
      <c r="O2721" s="1" t="inlineStr"/>
      <c r="P2721" s="1" t="inlineStr"/>
      <c r="Q2721" s="1" t="inlineStr">
        <is>
          <t>Пользовательский интерфейс</t>
        </is>
      </c>
    </row>
    <row r="2722">
      <c r="B2722" s="1" t="inlineStr">
        <is>
          <t>214421229</t>
        </is>
      </c>
      <c r="C2722" s="1" t="inlineStr">
        <is>
          <t>15411209</t>
        </is>
      </c>
      <c r="D2722" t="inlineStr">
        <is>
          <t>работник 524</t>
        </is>
      </c>
      <c r="E2722" s="1" t="inlineStr">
        <is>
          <t>ОБЩЕСТВО С ОГРАНИЧЕННОЙ ОТВЕТСТВЕННОСТЬЮ "АМУР ЗОЛОТО"</t>
        </is>
      </c>
      <c r="F2722" s="1" t="inlineStr">
        <is>
          <t>2708001686</t>
        </is>
      </c>
      <c r="G2722" s="1" t="inlineStr">
        <is>
          <t>Машинист мельниц</t>
        </is>
      </c>
      <c r="H2722" s="1" t="inlineStr">
        <is>
          <t>ООО "Амур Золото"</t>
        </is>
      </c>
      <c r="I2722" s="1" t="inlineStr">
        <is>
          <t>2708001686</t>
        </is>
      </c>
      <c r="J2722" s="1" t="inlineStr">
        <is>
          <t>ЮГОК ЗИОФ 26-29</t>
        </is>
      </c>
      <c r="K2722" s="1" t="inlineStr">
        <is>
          <t>Оказание первой помощи пострадавшим</t>
        </is>
      </c>
      <c r="L2722" s="1" t="inlineStr">
        <is>
          <t>29.07.2026</t>
        </is>
      </c>
      <c r="M2722" s="1" t="inlineStr">
        <is>
          <t>Успешно</t>
        </is>
      </c>
      <c r="N2722" s="1" t="inlineStr">
        <is>
          <t>11.08.2026</t>
        </is>
      </c>
      <c r="O2722" s="1" t="inlineStr"/>
      <c r="P2722" s="1" t="inlineStr"/>
      <c r="Q2722" s="1" t="inlineStr">
        <is>
          <t>Пользовательский интерфейс</t>
        </is>
      </c>
    </row>
    <row r="2723">
      <c r="B2723" s="1" t="inlineStr">
        <is>
          <t>214421230</t>
        </is>
      </c>
      <c r="C2723" s="1" t="inlineStr">
        <is>
          <t>15411209</t>
        </is>
      </c>
      <c r="D2723" t="inlineStr">
        <is>
          <t>работник 524</t>
        </is>
      </c>
      <c r="E2723" s="1" t="inlineStr">
        <is>
          <t>ОБЩЕСТВО С ОГРАНИЧЕННОЙ ОТВЕТСТВЕННОСТЬЮ "АМУР ЗОЛОТО"</t>
        </is>
      </c>
      <c r="F2723" s="1" t="inlineStr">
        <is>
          <t>2708001686</t>
        </is>
      </c>
      <c r="G2723" s="1" t="inlineStr">
        <is>
          <t>Машинист мельниц</t>
        </is>
      </c>
      <c r="H2723" s="1" t="inlineStr">
        <is>
          <t>ООО "Амур Золото"</t>
        </is>
      </c>
      <c r="I2723" s="1" t="inlineStr">
        <is>
          <t>2708001686</t>
        </is>
      </c>
      <c r="J2723" s="1" t="inlineStr">
        <is>
          <t>ЮГОК ЗИОФ 26-29</t>
        </is>
      </c>
      <c r="K2723" s="1" t="inlineStr">
        <is>
          <t>Использование (применение) средств индивидуальной защиты</t>
        </is>
      </c>
      <c r="L2723" s="1" t="inlineStr">
        <is>
          <t>29.07.2026</t>
        </is>
      </c>
      <c r="M2723" s="1" t="inlineStr">
        <is>
          <t>Успешно</t>
        </is>
      </c>
      <c r="N2723" s="1" t="inlineStr">
        <is>
          <t>11.08.2026</t>
        </is>
      </c>
      <c r="O2723" s="1" t="inlineStr"/>
      <c r="P2723" s="1" t="inlineStr"/>
      <c r="Q2723" s="1" t="inlineStr">
        <is>
          <t>Пользовательский интерфейс</t>
        </is>
      </c>
    </row>
    <row r="2724">
      <c r="B2724" s="1" t="inlineStr">
        <is>
          <t>214421231</t>
        </is>
      </c>
      <c r="C2724" s="1" t="inlineStr">
        <is>
          <t>15411209</t>
        </is>
      </c>
      <c r="D2724" t="inlineStr">
        <is>
          <t>работник 524</t>
        </is>
      </c>
      <c r="E2724" s="1" t="inlineStr">
        <is>
          <t>ОБЩЕСТВО С ОГРАНИЧЕННОЙ ОТВЕТСТВЕННОСТЬЮ "АМУР ЗОЛОТО"</t>
        </is>
      </c>
      <c r="F2724" s="1" t="inlineStr">
        <is>
          <t>2708001686</t>
        </is>
      </c>
      <c r="G2724" s="1" t="inlineStr">
        <is>
          <t>Машинист мельниц</t>
        </is>
      </c>
      <c r="H2724" s="1" t="inlineStr">
        <is>
          <t>ООО "Амур Золото"</t>
        </is>
      </c>
      <c r="I2724" s="1" t="inlineStr">
        <is>
          <t>2708001686</t>
        </is>
      </c>
      <c r="J2724" s="1" t="inlineStr">
        <is>
          <t>ЮГОК ЗИОФ 26-29</t>
        </is>
      </c>
      <c r="K272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724" s="1" t="inlineStr">
        <is>
          <t>29.07.2026</t>
        </is>
      </c>
      <c r="M2724" s="1" t="inlineStr">
        <is>
          <t>Успешно</t>
        </is>
      </c>
      <c r="N2724" s="1" t="inlineStr">
        <is>
          <t>11.08.2026</t>
        </is>
      </c>
      <c r="O2724" s="1" t="inlineStr"/>
      <c r="P2724" s="1" t="inlineStr"/>
      <c r="Q2724" s="1" t="inlineStr">
        <is>
          <t>Пользовательский интерфейс</t>
        </is>
      </c>
    </row>
    <row r="2725">
      <c r="B2725" s="1" t="inlineStr">
        <is>
          <t>214421232</t>
        </is>
      </c>
      <c r="C2725" s="1" t="inlineStr">
        <is>
          <t>15411209</t>
        </is>
      </c>
      <c r="D2725" t="inlineStr">
        <is>
          <t>работник 811</t>
        </is>
      </c>
      <c r="E2725" s="1" t="inlineStr">
        <is>
          <t>ОБЩЕСТВО С ОГРАНИЧЕННОЙ ОТВЕТСТВЕННОСТЬЮ "АМУР ЗОЛОТО"</t>
        </is>
      </c>
      <c r="F2725" s="1" t="inlineStr">
        <is>
          <t>2708001686</t>
        </is>
      </c>
      <c r="G2725" s="1" t="inlineStr">
        <is>
          <t>Машинист конвейера</t>
        </is>
      </c>
      <c r="H2725" s="1" t="inlineStr">
        <is>
          <t>ООО "Амур Золото"</t>
        </is>
      </c>
      <c r="I2725" s="1" t="inlineStr">
        <is>
          <t>2708001686</t>
        </is>
      </c>
      <c r="J2725" s="1" t="inlineStr">
        <is>
          <t>ЮГОК ЗИОФ 26-30</t>
        </is>
      </c>
      <c r="K2725" s="1" t="inlineStr">
        <is>
          <t>Оказание первой помощи пострадавшим</t>
        </is>
      </c>
      <c r="L2725" s="1" t="inlineStr">
        <is>
          <t>29.07.2026</t>
        </is>
      </c>
      <c r="M2725" s="1" t="inlineStr">
        <is>
          <t>Успешно</t>
        </is>
      </c>
      <c r="N2725" s="1" t="inlineStr">
        <is>
          <t>11.08.2026</t>
        </is>
      </c>
      <c r="O2725" s="1" t="inlineStr"/>
      <c r="P2725" s="1" t="inlineStr"/>
      <c r="Q2725" s="1" t="inlineStr">
        <is>
          <t>Пользовательский интерфейс</t>
        </is>
      </c>
    </row>
    <row r="2726">
      <c r="B2726" s="1" t="inlineStr">
        <is>
          <t>214421233</t>
        </is>
      </c>
      <c r="C2726" s="1" t="inlineStr">
        <is>
          <t>15411209</t>
        </is>
      </c>
      <c r="D2726" t="inlineStr">
        <is>
          <t>работник 811</t>
        </is>
      </c>
      <c r="E2726" s="1" t="inlineStr">
        <is>
          <t>ОБЩЕСТВО С ОГРАНИЧЕННОЙ ОТВЕТСТВЕННОСТЬЮ "АМУР ЗОЛОТО"</t>
        </is>
      </c>
      <c r="F2726" s="1" t="inlineStr">
        <is>
          <t>2708001686</t>
        </is>
      </c>
      <c r="G2726" s="1" t="inlineStr">
        <is>
          <t>Машинист конвейера</t>
        </is>
      </c>
      <c r="H2726" s="1" t="inlineStr">
        <is>
          <t>ООО "Амур Золото"</t>
        </is>
      </c>
      <c r="I2726" s="1" t="inlineStr">
        <is>
          <t>2708001686</t>
        </is>
      </c>
      <c r="J2726" s="1" t="inlineStr">
        <is>
          <t>ЮГОК ЗИОФ 26-30</t>
        </is>
      </c>
      <c r="K272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726" s="1" t="inlineStr">
        <is>
          <t>29.07.2026</t>
        </is>
      </c>
      <c r="M2726" s="1" t="inlineStr">
        <is>
          <t>Успешно</t>
        </is>
      </c>
      <c r="N2726" s="1" t="inlineStr">
        <is>
          <t>11.08.2026</t>
        </is>
      </c>
      <c r="O2726" s="1" t="inlineStr"/>
      <c r="P2726" s="1" t="inlineStr"/>
      <c r="Q2726" s="1" t="inlineStr">
        <is>
          <t>Пользовательский интерфейс</t>
        </is>
      </c>
    </row>
    <row r="2727">
      <c r="B2727" s="1" t="inlineStr">
        <is>
          <t>214421234</t>
        </is>
      </c>
      <c r="C2727" s="1" t="inlineStr">
        <is>
          <t>15411209</t>
        </is>
      </c>
      <c r="D2727" t="inlineStr">
        <is>
          <t>работник 439</t>
        </is>
      </c>
      <c r="E2727" s="1" t="inlineStr">
        <is>
          <t>ОБЩЕСТВО С ОГРАНИЧЕННОЙ ОТВЕТСТВЕННОСТЬЮ "АМУР ЗОЛОТО"</t>
        </is>
      </c>
      <c r="F2727" s="1" t="inlineStr">
        <is>
          <t>2708001686</t>
        </is>
      </c>
      <c r="G2727" s="1" t="inlineStr">
        <is>
          <t>Машинист конвейера</t>
        </is>
      </c>
      <c r="H2727" s="1" t="inlineStr">
        <is>
          <t>ООО "Амур Золото"</t>
        </is>
      </c>
      <c r="I2727" s="1" t="inlineStr">
        <is>
          <t>2708001686</t>
        </is>
      </c>
      <c r="J2727" s="1" t="inlineStr">
        <is>
          <t>ЮГОК ЗИОФ 26-30</t>
        </is>
      </c>
      <c r="K2727" s="1" t="inlineStr">
        <is>
          <t>Оказание первой помощи пострадавшим</t>
        </is>
      </c>
      <c r="L2727" s="1" t="inlineStr">
        <is>
          <t>29.07.2026</t>
        </is>
      </c>
      <c r="M2727" s="1" t="inlineStr">
        <is>
          <t>Успешно</t>
        </is>
      </c>
      <c r="N2727" s="1" t="inlineStr">
        <is>
          <t>11.08.2026</t>
        </is>
      </c>
      <c r="O2727" s="1" t="inlineStr"/>
      <c r="P2727" s="1" t="inlineStr"/>
      <c r="Q2727" s="1" t="inlineStr">
        <is>
          <t>Пользовательский интерфейс</t>
        </is>
      </c>
    </row>
    <row r="2728">
      <c r="B2728" s="1" t="inlineStr">
        <is>
          <t>214421235</t>
        </is>
      </c>
      <c r="C2728" s="1" t="inlineStr">
        <is>
          <t>15411209</t>
        </is>
      </c>
      <c r="D2728" t="inlineStr">
        <is>
          <t>работник 439</t>
        </is>
      </c>
      <c r="E2728" s="1" t="inlineStr">
        <is>
          <t>ОБЩЕСТВО С ОГРАНИЧЕННОЙ ОТВЕТСТВЕННОСТЬЮ "АМУР ЗОЛОТО"</t>
        </is>
      </c>
      <c r="F2728" s="1" t="inlineStr">
        <is>
          <t>2708001686</t>
        </is>
      </c>
      <c r="G2728" s="1" t="inlineStr">
        <is>
          <t>Машинист конвейера</t>
        </is>
      </c>
      <c r="H2728" s="1" t="inlineStr">
        <is>
          <t>ООО "Амур Золото"</t>
        </is>
      </c>
      <c r="I2728" s="1" t="inlineStr">
        <is>
          <t>2708001686</t>
        </is>
      </c>
      <c r="J2728" s="1" t="inlineStr">
        <is>
          <t>ЮГОК ЗИОФ 26-30</t>
        </is>
      </c>
      <c r="K2728" s="1" t="inlineStr">
        <is>
          <t>Использование (применение) средств индивидуальной защиты</t>
        </is>
      </c>
      <c r="L2728" s="1" t="inlineStr">
        <is>
          <t>29.07.2026</t>
        </is>
      </c>
      <c r="M2728" s="1" t="inlineStr">
        <is>
          <t>Успешно</t>
        </is>
      </c>
      <c r="N2728" s="1" t="inlineStr">
        <is>
          <t>11.08.2026</t>
        </is>
      </c>
      <c r="O2728" s="1" t="inlineStr"/>
      <c r="P2728" s="1" t="inlineStr"/>
      <c r="Q2728" s="1" t="inlineStr">
        <is>
          <t>Пользовательский интерфейс</t>
        </is>
      </c>
    </row>
    <row r="2729">
      <c r="B2729" s="1" t="inlineStr">
        <is>
          <t>214421236</t>
        </is>
      </c>
      <c r="C2729" s="1" t="inlineStr">
        <is>
          <t>15411209</t>
        </is>
      </c>
      <c r="D2729" t="inlineStr">
        <is>
          <t>работник 439</t>
        </is>
      </c>
      <c r="E2729" s="1" t="inlineStr">
        <is>
          <t>ОБЩЕСТВО С ОГРАНИЧЕННОЙ ОТВЕТСТВЕННОСТЬЮ "АМУР ЗОЛОТО"</t>
        </is>
      </c>
      <c r="F2729" s="1" t="inlineStr">
        <is>
          <t>2708001686</t>
        </is>
      </c>
      <c r="G2729" s="1" t="inlineStr">
        <is>
          <t>Машинист конвейера</t>
        </is>
      </c>
      <c r="H2729" s="1" t="inlineStr">
        <is>
          <t>ООО "Амур Золото"</t>
        </is>
      </c>
      <c r="I2729" s="1" t="inlineStr">
        <is>
          <t>2708001686</t>
        </is>
      </c>
      <c r="J2729" s="1" t="inlineStr">
        <is>
          <t>ЮГОК ЗИОФ 26-30</t>
        </is>
      </c>
      <c r="K272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729" s="1" t="inlineStr">
        <is>
          <t>29.07.2026</t>
        </is>
      </c>
      <c r="M2729" s="1" t="inlineStr">
        <is>
          <t>Успешно</t>
        </is>
      </c>
      <c r="N2729" s="1" t="inlineStr">
        <is>
          <t>11.08.2026</t>
        </is>
      </c>
      <c r="O2729" s="1" t="inlineStr"/>
      <c r="P2729" s="1" t="inlineStr"/>
      <c r="Q2729" s="1" t="inlineStr">
        <is>
          <t>Пользовательский интерфейс</t>
        </is>
      </c>
    </row>
    <row r="2730">
      <c r="B2730" s="1" t="inlineStr">
        <is>
          <t>214421237</t>
        </is>
      </c>
      <c r="C2730" s="1" t="inlineStr">
        <is>
          <t>15411209</t>
        </is>
      </c>
      <c r="D2730" t="inlineStr">
        <is>
          <t>работник 332</t>
        </is>
      </c>
      <c r="E2730" s="1" t="inlineStr">
        <is>
          <t>ОБЩЕСТВО С ОГРАНИЧЕННОЙ ОТВЕТСТВЕННОСТЬЮ "АМУР ЗОЛОТО"</t>
        </is>
      </c>
      <c r="F2730" s="1" t="inlineStr">
        <is>
          <t>2708001686</t>
        </is>
      </c>
      <c r="G2730" s="1" t="inlineStr">
        <is>
          <t>Дробильщик</t>
        </is>
      </c>
      <c r="H2730" s="1" t="inlineStr">
        <is>
          <t>ООО "Амур Золото"</t>
        </is>
      </c>
      <c r="I2730" s="1" t="inlineStr">
        <is>
          <t>2708001686</t>
        </is>
      </c>
      <c r="J2730" s="1" t="inlineStr">
        <is>
          <t>ЮГОК ЗИОФ 26-31</t>
        </is>
      </c>
      <c r="K2730" s="1" t="inlineStr">
        <is>
          <t>Оказание первой помощи пострадавшим</t>
        </is>
      </c>
      <c r="L2730" s="1" t="inlineStr">
        <is>
          <t>29.07.2026</t>
        </is>
      </c>
      <c r="M2730" s="1" t="inlineStr">
        <is>
          <t>Успешно</t>
        </is>
      </c>
      <c r="N2730" s="1" t="inlineStr">
        <is>
          <t>11.08.2026</t>
        </is>
      </c>
      <c r="O2730" s="1" t="inlineStr"/>
      <c r="P2730" s="1" t="inlineStr"/>
      <c r="Q2730" s="1" t="inlineStr">
        <is>
          <t>Пользовательский интерфейс</t>
        </is>
      </c>
    </row>
    <row r="2731">
      <c r="B2731" s="1" t="inlineStr">
        <is>
          <t>214421238</t>
        </is>
      </c>
      <c r="C2731" s="1" t="inlineStr">
        <is>
          <t>15411209</t>
        </is>
      </c>
      <c r="D2731" t="inlineStr">
        <is>
          <t>работник 332</t>
        </is>
      </c>
      <c r="E2731" s="1" t="inlineStr">
        <is>
          <t>ОБЩЕСТВО С ОГРАНИЧЕННОЙ ОТВЕТСТВЕННОСТЬЮ "АМУР ЗОЛОТО"</t>
        </is>
      </c>
      <c r="F2731" s="1" t="inlineStr">
        <is>
          <t>2708001686</t>
        </is>
      </c>
      <c r="G2731" s="1" t="inlineStr">
        <is>
          <t>Дробильщик</t>
        </is>
      </c>
      <c r="H2731" s="1" t="inlineStr">
        <is>
          <t>ООО "Амур Золото"</t>
        </is>
      </c>
      <c r="I2731" s="1" t="inlineStr">
        <is>
          <t>2708001686</t>
        </is>
      </c>
      <c r="J2731" s="1" t="inlineStr">
        <is>
          <t>ЮГОК ЗИОФ 26-31</t>
        </is>
      </c>
      <c r="K2731" s="1" t="inlineStr">
        <is>
          <t>Использование (применение) средств индивидуальной защиты</t>
        </is>
      </c>
      <c r="L2731" s="1" t="inlineStr">
        <is>
          <t>29.07.2026</t>
        </is>
      </c>
      <c r="M2731" s="1" t="inlineStr">
        <is>
          <t>Успешно</t>
        </is>
      </c>
      <c r="N2731" s="1" t="inlineStr">
        <is>
          <t>11.08.2026</t>
        </is>
      </c>
      <c r="O2731" s="1" t="inlineStr"/>
      <c r="P2731" s="1" t="inlineStr"/>
      <c r="Q2731" s="1" t="inlineStr">
        <is>
          <t>Пользовательский интерфейс</t>
        </is>
      </c>
    </row>
    <row r="2732">
      <c r="B2732" s="1" t="inlineStr">
        <is>
          <t>214421239</t>
        </is>
      </c>
      <c r="C2732" s="1" t="inlineStr">
        <is>
          <t>15411209</t>
        </is>
      </c>
      <c r="D2732" t="inlineStr">
        <is>
          <t>работник 332</t>
        </is>
      </c>
      <c r="E2732" s="1" t="inlineStr">
        <is>
          <t>ОБЩЕСТВО С ОГРАНИЧЕННОЙ ОТВЕТСТВЕННОСТЬЮ "АМУР ЗОЛОТО"</t>
        </is>
      </c>
      <c r="F2732" s="1" t="inlineStr">
        <is>
          <t>2708001686</t>
        </is>
      </c>
      <c r="G2732" s="1" t="inlineStr">
        <is>
          <t>Дробильщик</t>
        </is>
      </c>
      <c r="H2732" s="1" t="inlineStr">
        <is>
          <t>ООО "Амур Золото"</t>
        </is>
      </c>
      <c r="I2732" s="1" t="inlineStr">
        <is>
          <t>2708001686</t>
        </is>
      </c>
      <c r="J2732" s="1" t="inlineStr">
        <is>
          <t>ЮГОК ЗИОФ 26-31</t>
        </is>
      </c>
      <c r="K273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732" s="1" t="inlineStr">
        <is>
          <t>29.07.2026</t>
        </is>
      </c>
      <c r="M2732" s="1" t="inlineStr">
        <is>
          <t>Успешно</t>
        </is>
      </c>
      <c r="N2732" s="1" t="inlineStr">
        <is>
          <t>11.08.2026</t>
        </is>
      </c>
      <c r="O2732" s="1" t="inlineStr"/>
      <c r="P2732" s="1" t="inlineStr"/>
      <c r="Q2732" s="1" t="inlineStr">
        <is>
          <t>Пользовательский интерфейс</t>
        </is>
      </c>
    </row>
    <row r="2733">
      <c r="B2733" s="1" t="inlineStr">
        <is>
          <t>214421240</t>
        </is>
      </c>
      <c r="C2733" s="1" t="inlineStr">
        <is>
          <t>15411209</t>
        </is>
      </c>
      <c r="D2733" t="inlineStr">
        <is>
          <t>работник 637</t>
        </is>
      </c>
      <c r="E2733" s="1" t="inlineStr">
        <is>
          <t>ОБЩЕСТВО С ОГРАНИЧЕННОЙ ОТВЕТСТВЕННОСТЬЮ "АМУР ЗОЛОТО"</t>
        </is>
      </c>
      <c r="F2733" s="1" t="inlineStr">
        <is>
          <t>2708001686</t>
        </is>
      </c>
      <c r="G2733" s="1" t="inlineStr">
        <is>
          <t>Дробильщик</t>
        </is>
      </c>
      <c r="H2733" s="1" t="inlineStr">
        <is>
          <t>ООО "Амур Золото"</t>
        </is>
      </c>
      <c r="I2733" s="1" t="inlineStr">
        <is>
          <t>2708001686</t>
        </is>
      </c>
      <c r="J2733" s="1" t="inlineStr">
        <is>
          <t>ЮГОК ЗИОФ 26-31</t>
        </is>
      </c>
      <c r="K2733" s="1" t="inlineStr">
        <is>
          <t>Оказание первой помощи пострадавшим</t>
        </is>
      </c>
      <c r="L2733" s="1" t="inlineStr">
        <is>
          <t>29.07.2026</t>
        </is>
      </c>
      <c r="M2733" s="1" t="inlineStr">
        <is>
          <t>Успешно</t>
        </is>
      </c>
      <c r="N2733" s="1" t="inlineStr">
        <is>
          <t>11.08.2026</t>
        </is>
      </c>
      <c r="O2733" s="1" t="inlineStr"/>
      <c r="P2733" s="1" t="inlineStr"/>
      <c r="Q2733" s="1" t="inlineStr">
        <is>
          <t>Пользовательский интерфейс</t>
        </is>
      </c>
    </row>
    <row r="2734">
      <c r="B2734" s="1" t="inlineStr">
        <is>
          <t>214421241</t>
        </is>
      </c>
      <c r="C2734" s="1" t="inlineStr">
        <is>
          <t>15411209</t>
        </is>
      </c>
      <c r="D2734" t="inlineStr">
        <is>
          <t>работник 637</t>
        </is>
      </c>
      <c r="E2734" s="1" t="inlineStr">
        <is>
          <t>ОБЩЕСТВО С ОГРАНИЧЕННОЙ ОТВЕТСТВЕННОСТЬЮ "АМУР ЗОЛОТО"</t>
        </is>
      </c>
      <c r="F2734" s="1" t="inlineStr">
        <is>
          <t>2708001686</t>
        </is>
      </c>
      <c r="G2734" s="1" t="inlineStr">
        <is>
          <t>Дробильщик</t>
        </is>
      </c>
      <c r="H2734" s="1" t="inlineStr">
        <is>
          <t>ООО "Амур Золото"</t>
        </is>
      </c>
      <c r="I2734" s="1" t="inlineStr">
        <is>
          <t>2708001686</t>
        </is>
      </c>
      <c r="J2734" s="1" t="inlineStr">
        <is>
          <t>ЮГОК ЗИОФ 26-31</t>
        </is>
      </c>
      <c r="K2734" s="1" t="inlineStr">
        <is>
          <t>Использование (применение) средств индивидуальной защиты</t>
        </is>
      </c>
      <c r="L2734" s="1" t="inlineStr">
        <is>
          <t>29.07.2026</t>
        </is>
      </c>
      <c r="M2734" s="1" t="inlineStr">
        <is>
          <t>Успешно</t>
        </is>
      </c>
      <c r="N2734" s="1" t="inlineStr">
        <is>
          <t>11.08.2026</t>
        </is>
      </c>
      <c r="O2734" s="1" t="inlineStr"/>
      <c r="P2734" s="1" t="inlineStr"/>
      <c r="Q2734" s="1" t="inlineStr">
        <is>
          <t>Пользовательский интерфейс</t>
        </is>
      </c>
    </row>
    <row r="2735">
      <c r="B2735" s="1" t="inlineStr">
        <is>
          <t>214421242</t>
        </is>
      </c>
      <c r="C2735" s="1" t="inlineStr">
        <is>
          <t>15411209</t>
        </is>
      </c>
      <c r="D2735" t="inlineStr">
        <is>
          <t>работник 637</t>
        </is>
      </c>
      <c r="E2735" s="1" t="inlineStr">
        <is>
          <t>ОБЩЕСТВО С ОГРАНИЧЕННОЙ ОТВЕТСТВЕННОСТЬЮ "АМУР ЗОЛОТО"</t>
        </is>
      </c>
      <c r="F2735" s="1" t="inlineStr">
        <is>
          <t>2708001686</t>
        </is>
      </c>
      <c r="G2735" s="1" t="inlineStr">
        <is>
          <t>Дробильщик</t>
        </is>
      </c>
      <c r="H2735" s="1" t="inlineStr">
        <is>
          <t>ООО "Амур Золото"</t>
        </is>
      </c>
      <c r="I2735" s="1" t="inlineStr">
        <is>
          <t>2708001686</t>
        </is>
      </c>
      <c r="J2735" s="1" t="inlineStr">
        <is>
          <t>ЮГОК ЗИОФ 26-31</t>
        </is>
      </c>
      <c r="K273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735" s="1" t="inlineStr">
        <is>
          <t>29.07.2026</t>
        </is>
      </c>
      <c r="M2735" s="1" t="inlineStr">
        <is>
          <t>Успешно</t>
        </is>
      </c>
      <c r="N2735" s="1" t="inlineStr">
        <is>
          <t>11.08.2026</t>
        </is>
      </c>
      <c r="O2735" s="1" t="inlineStr"/>
      <c r="P2735" s="1" t="inlineStr"/>
      <c r="Q2735" s="1" t="inlineStr">
        <is>
          <t>Пользовательский интерфейс</t>
        </is>
      </c>
    </row>
    <row r="2736">
      <c r="B2736" s="1" t="inlineStr">
        <is>
          <t>214421243</t>
        </is>
      </c>
      <c r="C2736" s="1" t="inlineStr">
        <is>
          <t>15411209</t>
        </is>
      </c>
      <c r="D2736" t="inlineStr">
        <is>
          <t>работник 388</t>
        </is>
      </c>
      <c r="E2736" s="1" t="inlineStr">
        <is>
          <t>ОБЩЕСТВО С ОГРАНИЧЕННОЙ ОТВЕТСТВЕННОСТЬЮ "АМУР ЗОЛОТО"</t>
        </is>
      </c>
      <c r="F2736" s="1" t="inlineStr">
        <is>
          <t>2708001686</t>
        </is>
      </c>
      <c r="G2736" s="1" t="inlineStr">
        <is>
          <t>Дробильщик</t>
        </is>
      </c>
      <c r="H2736" s="1" t="inlineStr">
        <is>
          <t>ООО "Амур Золото"</t>
        </is>
      </c>
      <c r="I2736" s="1" t="inlineStr">
        <is>
          <t>2708001686</t>
        </is>
      </c>
      <c r="J2736" s="1" t="inlineStr">
        <is>
          <t>ЮГОК ЗИОФ 26-31</t>
        </is>
      </c>
      <c r="K2736" s="1" t="inlineStr">
        <is>
          <t>Оказание первой помощи пострадавшим</t>
        </is>
      </c>
      <c r="L2736" s="1" t="inlineStr">
        <is>
          <t>29.07.2026</t>
        </is>
      </c>
      <c r="M2736" s="1" t="inlineStr">
        <is>
          <t>Успешно</t>
        </is>
      </c>
      <c r="N2736" s="1" t="inlineStr">
        <is>
          <t>11.08.2026</t>
        </is>
      </c>
      <c r="O2736" s="1" t="inlineStr"/>
      <c r="P2736" s="1" t="inlineStr"/>
      <c r="Q2736" s="1" t="inlineStr">
        <is>
          <t>Пользовательский интерфейс</t>
        </is>
      </c>
    </row>
    <row r="2737">
      <c r="B2737" s="1" t="inlineStr">
        <is>
          <t>214421244</t>
        </is>
      </c>
      <c r="C2737" s="1" t="inlineStr">
        <is>
          <t>15411209</t>
        </is>
      </c>
      <c r="D2737" t="inlineStr">
        <is>
          <t>работник 388</t>
        </is>
      </c>
      <c r="E2737" s="1" t="inlineStr">
        <is>
          <t>ОБЩЕСТВО С ОГРАНИЧЕННОЙ ОТВЕТСТВЕННОСТЬЮ "АМУР ЗОЛОТО"</t>
        </is>
      </c>
      <c r="F2737" s="1" t="inlineStr">
        <is>
          <t>2708001686</t>
        </is>
      </c>
      <c r="G2737" s="1" t="inlineStr">
        <is>
          <t>Дробильщик</t>
        </is>
      </c>
      <c r="H2737" s="1" t="inlineStr">
        <is>
          <t>ООО "Амур Золото"</t>
        </is>
      </c>
      <c r="I2737" s="1" t="inlineStr">
        <is>
          <t>2708001686</t>
        </is>
      </c>
      <c r="J2737" s="1" t="inlineStr">
        <is>
          <t>ЮГОК ЗИОФ 26-31</t>
        </is>
      </c>
      <c r="K2737" s="1" t="inlineStr">
        <is>
          <t>Использование (применение) средств индивидуальной защиты</t>
        </is>
      </c>
      <c r="L2737" s="1" t="inlineStr">
        <is>
          <t>29.07.2026</t>
        </is>
      </c>
      <c r="M2737" s="1" t="inlineStr">
        <is>
          <t>Успешно</t>
        </is>
      </c>
      <c r="N2737" s="1" t="inlineStr">
        <is>
          <t>11.08.2026</t>
        </is>
      </c>
      <c r="O2737" s="1" t="inlineStr"/>
      <c r="P2737" s="1" t="inlineStr"/>
      <c r="Q2737" s="1" t="inlineStr">
        <is>
          <t>Пользовательский интерфейс</t>
        </is>
      </c>
    </row>
    <row r="2738">
      <c r="B2738" s="1" t="inlineStr">
        <is>
          <t>214421245</t>
        </is>
      </c>
      <c r="C2738" s="1" t="inlineStr">
        <is>
          <t>15411209</t>
        </is>
      </c>
      <c r="D2738" t="inlineStr">
        <is>
          <t>работник 388</t>
        </is>
      </c>
      <c r="E2738" s="1" t="inlineStr">
        <is>
          <t>ОБЩЕСТВО С ОГРАНИЧЕННОЙ ОТВЕТСТВЕННОСТЬЮ "АМУР ЗОЛОТО"</t>
        </is>
      </c>
      <c r="F2738" s="1" t="inlineStr">
        <is>
          <t>2708001686</t>
        </is>
      </c>
      <c r="G2738" s="1" t="inlineStr">
        <is>
          <t>Дробильщик</t>
        </is>
      </c>
      <c r="H2738" s="1" t="inlineStr">
        <is>
          <t>ООО "Амур Золото"</t>
        </is>
      </c>
      <c r="I2738" s="1" t="inlineStr">
        <is>
          <t>2708001686</t>
        </is>
      </c>
      <c r="J2738" s="1" t="inlineStr">
        <is>
          <t>ЮГОК ЗИОФ 26-31</t>
        </is>
      </c>
      <c r="K273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738" s="1" t="inlineStr">
        <is>
          <t>29.07.2026</t>
        </is>
      </c>
      <c r="M2738" s="1" t="inlineStr">
        <is>
          <t>Успешно</t>
        </is>
      </c>
      <c r="N2738" s="1" t="inlineStr">
        <is>
          <t>11.08.2026</t>
        </is>
      </c>
      <c r="O2738" s="1" t="inlineStr"/>
      <c r="P2738" s="1" t="inlineStr"/>
      <c r="Q2738" s="1" t="inlineStr">
        <is>
          <t>Пользовательский интерфейс</t>
        </is>
      </c>
    </row>
    <row r="2739">
      <c r="B2739" s="1" t="inlineStr">
        <is>
          <t>214421246</t>
        </is>
      </c>
      <c r="C2739" s="1" t="inlineStr">
        <is>
          <t>15411209</t>
        </is>
      </c>
      <c r="D2739" t="inlineStr">
        <is>
          <t>работник 828</t>
        </is>
      </c>
      <c r="E2739" s="1" t="inlineStr">
        <is>
          <t>ОБЩЕСТВО С ОГРАНИЧЕННОЙ ОТВЕТСТВЕННОСТЬЮ "АМУР ЗОЛОТО"</t>
        </is>
      </c>
      <c r="F2739" s="1" t="inlineStr">
        <is>
          <t>2708001686</t>
        </is>
      </c>
      <c r="G2739" s="1" t="inlineStr">
        <is>
          <t>Дробильщик</t>
        </is>
      </c>
      <c r="H2739" s="1" t="inlineStr">
        <is>
          <t>ООО "Амур Золото"</t>
        </is>
      </c>
      <c r="I2739" s="1" t="inlineStr">
        <is>
          <t>2708001686</t>
        </is>
      </c>
      <c r="J2739" s="1" t="inlineStr">
        <is>
          <t>ЮГОК ЗИОФ 26-31</t>
        </is>
      </c>
      <c r="K2739" s="1" t="inlineStr">
        <is>
          <t>Оказание первой помощи пострадавшим</t>
        </is>
      </c>
      <c r="L2739" s="1" t="inlineStr">
        <is>
          <t>29.07.2026</t>
        </is>
      </c>
      <c r="M2739" s="1" t="inlineStr">
        <is>
          <t>Успешно</t>
        </is>
      </c>
      <c r="N2739" s="1" t="inlineStr">
        <is>
          <t>11.08.2026</t>
        </is>
      </c>
      <c r="O2739" s="1" t="inlineStr"/>
      <c r="P2739" s="1" t="inlineStr"/>
      <c r="Q2739" s="1" t="inlineStr">
        <is>
          <t>Пользовательский интерфейс</t>
        </is>
      </c>
    </row>
    <row r="2740">
      <c r="B2740" s="1" t="inlineStr">
        <is>
          <t>214421247</t>
        </is>
      </c>
      <c r="C2740" s="1" t="inlineStr">
        <is>
          <t>15411209</t>
        </is>
      </c>
      <c r="D2740" t="inlineStr">
        <is>
          <t>работник 828</t>
        </is>
      </c>
      <c r="E2740" s="1" t="inlineStr">
        <is>
          <t>ОБЩЕСТВО С ОГРАНИЧЕННОЙ ОТВЕТСТВЕННОСТЬЮ "АМУР ЗОЛОТО"</t>
        </is>
      </c>
      <c r="F2740" s="1" t="inlineStr">
        <is>
          <t>2708001686</t>
        </is>
      </c>
      <c r="G2740" s="1" t="inlineStr">
        <is>
          <t>Дробильщик</t>
        </is>
      </c>
      <c r="H2740" s="1" t="inlineStr">
        <is>
          <t>ООО "Амур Золото"</t>
        </is>
      </c>
      <c r="I2740" s="1" t="inlineStr">
        <is>
          <t>2708001686</t>
        </is>
      </c>
      <c r="J2740" s="1" t="inlineStr">
        <is>
          <t>ЮГОК ЗИОФ 26-31</t>
        </is>
      </c>
      <c r="K2740" s="1" t="inlineStr">
        <is>
          <t>Использование (применение) средств индивидуальной защиты</t>
        </is>
      </c>
      <c r="L2740" s="1" t="inlineStr">
        <is>
          <t>29.07.2026</t>
        </is>
      </c>
      <c r="M2740" s="1" t="inlineStr">
        <is>
          <t>Успешно</t>
        </is>
      </c>
      <c r="N2740" s="1" t="inlineStr">
        <is>
          <t>11.08.2026</t>
        </is>
      </c>
      <c r="O2740" s="1" t="inlineStr"/>
      <c r="P2740" s="1" t="inlineStr"/>
      <c r="Q2740" s="1" t="inlineStr">
        <is>
          <t>Пользовательский интерфейс</t>
        </is>
      </c>
    </row>
    <row r="2741">
      <c r="B2741" s="1" t="inlineStr">
        <is>
          <t>214421248</t>
        </is>
      </c>
      <c r="C2741" s="1" t="inlineStr">
        <is>
          <t>15411209</t>
        </is>
      </c>
      <c r="D2741" t="inlineStr">
        <is>
          <t>работник 828</t>
        </is>
      </c>
      <c r="E2741" s="1" t="inlineStr">
        <is>
          <t>ОБЩЕСТВО С ОГРАНИЧЕННОЙ ОТВЕТСТВЕННОСТЬЮ "АМУР ЗОЛОТО"</t>
        </is>
      </c>
      <c r="F2741" s="1" t="inlineStr">
        <is>
          <t>2708001686</t>
        </is>
      </c>
      <c r="G2741" s="1" t="inlineStr">
        <is>
          <t>Дробильщик</t>
        </is>
      </c>
      <c r="H2741" s="1" t="inlineStr">
        <is>
          <t>ООО "Амур Золото"</t>
        </is>
      </c>
      <c r="I2741" s="1" t="inlineStr">
        <is>
          <t>2708001686</t>
        </is>
      </c>
      <c r="J2741" s="1" t="inlineStr">
        <is>
          <t>ЮГОК ЗИОФ 26-31</t>
        </is>
      </c>
      <c r="K274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741" s="1" t="inlineStr">
        <is>
          <t>29.07.2026</t>
        </is>
      </c>
      <c r="M2741" s="1" t="inlineStr">
        <is>
          <t>Успешно</t>
        </is>
      </c>
      <c r="N2741" s="1" t="inlineStr">
        <is>
          <t>11.08.2026</t>
        </is>
      </c>
      <c r="O2741" s="1" t="inlineStr"/>
      <c r="P2741" s="1" t="inlineStr"/>
      <c r="Q2741" s="1" t="inlineStr">
        <is>
          <t>Пользовательский интерфейс</t>
        </is>
      </c>
    </row>
    <row r="2742">
      <c r="B2742" s="1" t="inlineStr">
        <is>
          <t>214421249</t>
        </is>
      </c>
      <c r="C2742" s="1" t="inlineStr">
        <is>
          <t>15411209</t>
        </is>
      </c>
      <c r="D2742" t="inlineStr">
        <is>
          <t>работник 387</t>
        </is>
      </c>
      <c r="E2742" s="1" t="inlineStr">
        <is>
          <t>ОБЩЕСТВО С ОГРАНИЧЕННОЙ ОТВЕТСТВЕННОСТЬЮ "АМУР ЗОЛОТО"</t>
        </is>
      </c>
      <c r="F2742" s="1" t="inlineStr">
        <is>
          <t>2708001686</t>
        </is>
      </c>
      <c r="G2742" s="1" t="inlineStr">
        <is>
          <t>Дробильщик</t>
        </is>
      </c>
      <c r="H2742" s="1" t="inlineStr">
        <is>
          <t>ООО "Амур Золото"</t>
        </is>
      </c>
      <c r="I2742" s="1" t="inlineStr">
        <is>
          <t>2708001686</t>
        </is>
      </c>
      <c r="J2742" s="1" t="inlineStr">
        <is>
          <t>ЮГОК ЗИОФ 26-31</t>
        </is>
      </c>
      <c r="K2742" s="1" t="inlineStr">
        <is>
          <t>Оказание первой помощи пострадавшим</t>
        </is>
      </c>
      <c r="L2742" s="1" t="inlineStr">
        <is>
          <t>29.07.2026</t>
        </is>
      </c>
      <c r="M2742" s="1" t="inlineStr">
        <is>
          <t>Успешно</t>
        </is>
      </c>
      <c r="N2742" s="1" t="inlineStr">
        <is>
          <t>11.08.2026</t>
        </is>
      </c>
      <c r="O2742" s="1" t="inlineStr"/>
      <c r="P2742" s="1" t="inlineStr"/>
      <c r="Q2742" s="1" t="inlineStr">
        <is>
          <t>Пользовательский интерфейс</t>
        </is>
      </c>
    </row>
    <row r="2743">
      <c r="B2743" s="1" t="inlineStr">
        <is>
          <t>214421250</t>
        </is>
      </c>
      <c r="C2743" s="1" t="inlineStr">
        <is>
          <t>15411209</t>
        </is>
      </c>
      <c r="D2743" t="inlineStr">
        <is>
          <t>работник 387</t>
        </is>
      </c>
      <c r="E2743" s="1" t="inlineStr">
        <is>
          <t>ОБЩЕСТВО С ОГРАНИЧЕННОЙ ОТВЕТСТВЕННОСТЬЮ "АМУР ЗОЛОТО"</t>
        </is>
      </c>
      <c r="F2743" s="1" t="inlineStr">
        <is>
          <t>2708001686</t>
        </is>
      </c>
      <c r="G2743" s="1" t="inlineStr">
        <is>
          <t>Дробильщик</t>
        </is>
      </c>
      <c r="H2743" s="1" t="inlineStr">
        <is>
          <t>ООО "Амур Золото"</t>
        </is>
      </c>
      <c r="I2743" s="1" t="inlineStr">
        <is>
          <t>2708001686</t>
        </is>
      </c>
      <c r="J2743" s="1" t="inlineStr">
        <is>
          <t>ЮГОК ЗИОФ 26-31</t>
        </is>
      </c>
      <c r="K2743" s="1" t="inlineStr">
        <is>
          <t>Использование (применение) средств индивидуальной защиты</t>
        </is>
      </c>
      <c r="L2743" s="1" t="inlineStr">
        <is>
          <t>29.07.2026</t>
        </is>
      </c>
      <c r="M2743" s="1" t="inlineStr">
        <is>
          <t>Успешно</t>
        </is>
      </c>
      <c r="N2743" s="1" t="inlineStr">
        <is>
          <t>11.08.2026</t>
        </is>
      </c>
      <c r="O2743" s="1" t="inlineStr"/>
      <c r="P2743" s="1" t="inlineStr"/>
      <c r="Q2743" s="1" t="inlineStr">
        <is>
          <t>Пользовательский интерфейс</t>
        </is>
      </c>
    </row>
    <row r="2744">
      <c r="B2744" s="1" t="inlineStr">
        <is>
          <t>214421251</t>
        </is>
      </c>
      <c r="C2744" s="1" t="inlineStr">
        <is>
          <t>15411209</t>
        </is>
      </c>
      <c r="D2744" t="inlineStr">
        <is>
          <t>работник 387</t>
        </is>
      </c>
      <c r="E2744" s="1" t="inlineStr">
        <is>
          <t>ОБЩЕСТВО С ОГРАНИЧЕННОЙ ОТВЕТСТВЕННОСТЬЮ "АМУР ЗОЛОТО"</t>
        </is>
      </c>
      <c r="F2744" s="1" t="inlineStr">
        <is>
          <t>2708001686</t>
        </is>
      </c>
      <c r="G2744" s="1" t="inlineStr">
        <is>
          <t>Дробильщик</t>
        </is>
      </c>
      <c r="H2744" s="1" t="inlineStr">
        <is>
          <t>ООО "Амур Золото"</t>
        </is>
      </c>
      <c r="I2744" s="1" t="inlineStr">
        <is>
          <t>2708001686</t>
        </is>
      </c>
      <c r="J2744" s="1" t="inlineStr">
        <is>
          <t>ЮГОК ЗИОФ 26-31</t>
        </is>
      </c>
      <c r="K274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744" s="1" t="inlineStr">
        <is>
          <t>29.07.2026</t>
        </is>
      </c>
      <c r="M2744" s="1" t="inlineStr">
        <is>
          <t>Успешно</t>
        </is>
      </c>
      <c r="N2744" s="1" t="inlineStr">
        <is>
          <t>11.08.2026</t>
        </is>
      </c>
      <c r="O2744" s="1" t="inlineStr"/>
      <c r="P2744" s="1" t="inlineStr"/>
      <c r="Q2744" s="1" t="inlineStr">
        <is>
          <t>Пользовательский интерфейс</t>
        </is>
      </c>
    </row>
    <row r="2745">
      <c r="B2745" s="1" t="inlineStr">
        <is>
          <t>214421252</t>
        </is>
      </c>
      <c r="C2745" s="1" t="inlineStr">
        <is>
          <t>15411209</t>
        </is>
      </c>
      <c r="D2745" t="inlineStr">
        <is>
          <t>работник 812</t>
        </is>
      </c>
      <c r="E2745" s="1" t="inlineStr">
        <is>
          <t>ОБЩЕСТВО С ОГРАНИЧЕННОЙ ОТВЕТСТВЕННОСТЬЮ "АМУР ЗОЛОТО"</t>
        </is>
      </c>
      <c r="F2745" s="1" t="inlineStr">
        <is>
          <t>2708001686</t>
        </is>
      </c>
      <c r="G2745" s="1" t="inlineStr">
        <is>
          <t>Дробильщик</t>
        </is>
      </c>
      <c r="H2745" s="1" t="inlineStr">
        <is>
          <t>ООО "Амур Золото"</t>
        </is>
      </c>
      <c r="I2745" s="1" t="inlineStr">
        <is>
          <t>2708001686</t>
        </is>
      </c>
      <c r="J2745" s="1" t="inlineStr">
        <is>
          <t>ЮГОК ЗИОФ 26-31</t>
        </is>
      </c>
      <c r="K2745" s="1" t="inlineStr">
        <is>
          <t>Оказание первой помощи пострадавшим</t>
        </is>
      </c>
      <c r="L2745" s="1" t="inlineStr">
        <is>
          <t>29.07.2026</t>
        </is>
      </c>
      <c r="M2745" s="1" t="inlineStr">
        <is>
          <t>Успешно</t>
        </is>
      </c>
      <c r="N2745" s="1" t="inlineStr">
        <is>
          <t>11.08.2026</t>
        </is>
      </c>
      <c r="O2745" s="1" t="inlineStr"/>
      <c r="P2745" s="1" t="inlineStr"/>
      <c r="Q2745" s="1" t="inlineStr">
        <is>
          <t>Пользовательский интерфейс</t>
        </is>
      </c>
    </row>
    <row r="2746">
      <c r="B2746" s="1" t="inlineStr">
        <is>
          <t>214421253</t>
        </is>
      </c>
      <c r="C2746" s="1" t="inlineStr">
        <is>
          <t>15411209</t>
        </is>
      </c>
      <c r="D2746" t="inlineStr">
        <is>
          <t>работник 812</t>
        </is>
      </c>
      <c r="E2746" s="1" t="inlineStr">
        <is>
          <t>ОБЩЕСТВО С ОГРАНИЧЕННОЙ ОТВЕТСТВЕННОСТЬЮ "АМУР ЗОЛОТО"</t>
        </is>
      </c>
      <c r="F2746" s="1" t="inlineStr">
        <is>
          <t>2708001686</t>
        </is>
      </c>
      <c r="G2746" s="1" t="inlineStr">
        <is>
          <t>Дробильщик</t>
        </is>
      </c>
      <c r="H2746" s="1" t="inlineStr">
        <is>
          <t>ООО "Амур Золото"</t>
        </is>
      </c>
      <c r="I2746" s="1" t="inlineStr">
        <is>
          <t>2708001686</t>
        </is>
      </c>
      <c r="J2746" s="1" t="inlineStr">
        <is>
          <t>ЮГОК ЗИОФ 26-31</t>
        </is>
      </c>
      <c r="K2746" s="1" t="inlineStr">
        <is>
          <t>Использование (применение) средств индивидуальной защиты</t>
        </is>
      </c>
      <c r="L2746" s="1" t="inlineStr">
        <is>
          <t>29.07.2026</t>
        </is>
      </c>
      <c r="M2746" s="1" t="inlineStr">
        <is>
          <t>Успешно</t>
        </is>
      </c>
      <c r="N2746" s="1" t="inlineStr">
        <is>
          <t>11.08.2026</t>
        </is>
      </c>
      <c r="O2746" s="1" t="inlineStr"/>
      <c r="P2746" s="1" t="inlineStr"/>
      <c r="Q2746" s="1" t="inlineStr">
        <is>
          <t>Пользовательский интерфейс</t>
        </is>
      </c>
    </row>
    <row r="2747">
      <c r="B2747" s="1" t="inlineStr">
        <is>
          <t>214421254</t>
        </is>
      </c>
      <c r="C2747" s="1" t="inlineStr">
        <is>
          <t>15411209</t>
        </is>
      </c>
      <c r="D2747" t="inlineStr">
        <is>
          <t>работник 812</t>
        </is>
      </c>
      <c r="E2747" s="1" t="inlineStr">
        <is>
          <t>ОБЩЕСТВО С ОГРАНИЧЕННОЙ ОТВЕТСТВЕННОСТЬЮ "АМУР ЗОЛОТО"</t>
        </is>
      </c>
      <c r="F2747" s="1" t="inlineStr">
        <is>
          <t>2708001686</t>
        </is>
      </c>
      <c r="G2747" s="1" t="inlineStr">
        <is>
          <t>Дробильщик</t>
        </is>
      </c>
      <c r="H2747" s="1" t="inlineStr">
        <is>
          <t>ООО "Амур Золото"</t>
        </is>
      </c>
      <c r="I2747" s="1" t="inlineStr">
        <is>
          <t>2708001686</t>
        </is>
      </c>
      <c r="J2747" s="1" t="inlineStr">
        <is>
          <t>ЮГОК ЗИОФ 26-31</t>
        </is>
      </c>
      <c r="K274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747" s="1" t="inlineStr">
        <is>
          <t>29.07.2026</t>
        </is>
      </c>
      <c r="M2747" s="1" t="inlineStr">
        <is>
          <t>Успешно</t>
        </is>
      </c>
      <c r="N2747" s="1" t="inlineStr">
        <is>
          <t>11.08.2026</t>
        </is>
      </c>
      <c r="O2747" s="1" t="inlineStr"/>
      <c r="P2747" s="1" t="inlineStr"/>
      <c r="Q2747" s="1" t="inlineStr">
        <is>
          <t>Пользовательский интерфейс</t>
        </is>
      </c>
    </row>
    <row r="2748">
      <c r="B2748" s="1" t="inlineStr">
        <is>
          <t>214421255</t>
        </is>
      </c>
      <c r="C2748" s="1" t="inlineStr">
        <is>
          <t>15411209</t>
        </is>
      </c>
      <c r="D2748" t="inlineStr">
        <is>
          <t>работник 829</t>
        </is>
      </c>
      <c r="E2748" s="1" t="inlineStr">
        <is>
          <t>ОБЩЕСТВО С ОГРАНИЧЕННОЙ ОТВЕТСТВЕННОСТЬЮ "АМУР ЗОЛОТО"</t>
        </is>
      </c>
      <c r="F2748" s="1" t="inlineStr">
        <is>
          <t>2708001686</t>
        </is>
      </c>
      <c r="G2748" s="1" t="inlineStr">
        <is>
          <t>Дробильщик</t>
        </is>
      </c>
      <c r="H2748" s="1" t="inlineStr">
        <is>
          <t>ООО "Амур Золото"</t>
        </is>
      </c>
      <c r="I2748" s="1" t="inlineStr">
        <is>
          <t>2708001686</t>
        </is>
      </c>
      <c r="J2748" s="1" t="inlineStr">
        <is>
          <t>ЮГОК ЗИОФ 26-31</t>
        </is>
      </c>
      <c r="K2748" s="1" t="inlineStr">
        <is>
          <t>Оказание первой помощи пострадавшим</t>
        </is>
      </c>
      <c r="L2748" s="1" t="inlineStr">
        <is>
          <t>29.07.2026</t>
        </is>
      </c>
      <c r="M2748" s="1" t="inlineStr">
        <is>
          <t>Успешно</t>
        </is>
      </c>
      <c r="N2748" s="1" t="inlineStr">
        <is>
          <t>11.08.2026</t>
        </is>
      </c>
      <c r="O2748" s="1" t="inlineStr"/>
      <c r="P2748" s="1" t="inlineStr"/>
      <c r="Q2748" s="1" t="inlineStr">
        <is>
          <t>Пользовательский интерфейс</t>
        </is>
      </c>
    </row>
    <row r="2749">
      <c r="B2749" s="1" t="inlineStr">
        <is>
          <t>214421256</t>
        </is>
      </c>
      <c r="C2749" s="1" t="inlineStr">
        <is>
          <t>15411209</t>
        </is>
      </c>
      <c r="D2749" t="inlineStr">
        <is>
          <t>работник 829</t>
        </is>
      </c>
      <c r="E2749" s="1" t="inlineStr">
        <is>
          <t>ОБЩЕСТВО С ОГРАНИЧЕННОЙ ОТВЕТСТВЕННОСТЬЮ "АМУР ЗОЛОТО"</t>
        </is>
      </c>
      <c r="F2749" s="1" t="inlineStr">
        <is>
          <t>2708001686</t>
        </is>
      </c>
      <c r="G2749" s="1" t="inlineStr">
        <is>
          <t>Дробильщик</t>
        </is>
      </c>
      <c r="H2749" s="1" t="inlineStr">
        <is>
          <t>ООО "Амур Золото"</t>
        </is>
      </c>
      <c r="I2749" s="1" t="inlineStr">
        <is>
          <t>2708001686</t>
        </is>
      </c>
      <c r="J2749" s="1" t="inlineStr">
        <is>
          <t>ЮГОК ЗИОФ 26-31</t>
        </is>
      </c>
      <c r="K2749" s="1" t="inlineStr">
        <is>
          <t>Использование (применение) средств индивидуальной защиты</t>
        </is>
      </c>
      <c r="L2749" s="1" t="inlineStr">
        <is>
          <t>29.07.2026</t>
        </is>
      </c>
      <c r="M2749" s="1" t="inlineStr">
        <is>
          <t>Успешно</t>
        </is>
      </c>
      <c r="N2749" s="1" t="inlineStr">
        <is>
          <t>11.08.2026</t>
        </is>
      </c>
      <c r="O2749" s="1" t="inlineStr"/>
      <c r="P2749" s="1" t="inlineStr"/>
      <c r="Q2749" s="1" t="inlineStr">
        <is>
          <t>Пользовательский интерфейс</t>
        </is>
      </c>
    </row>
    <row r="2750">
      <c r="B2750" s="1" t="inlineStr">
        <is>
          <t>214421257</t>
        </is>
      </c>
      <c r="C2750" s="1" t="inlineStr">
        <is>
          <t>15411209</t>
        </is>
      </c>
      <c r="D2750" t="inlineStr">
        <is>
          <t>работник 829</t>
        </is>
      </c>
      <c r="E2750" s="1" t="inlineStr">
        <is>
          <t>ОБЩЕСТВО С ОГРАНИЧЕННОЙ ОТВЕТСТВЕННОСТЬЮ "АМУР ЗОЛОТО"</t>
        </is>
      </c>
      <c r="F2750" s="1" t="inlineStr">
        <is>
          <t>2708001686</t>
        </is>
      </c>
      <c r="G2750" s="1" t="inlineStr">
        <is>
          <t>Дробильщик</t>
        </is>
      </c>
      <c r="H2750" s="1" t="inlineStr">
        <is>
          <t>ООО "Амур Золото"</t>
        </is>
      </c>
      <c r="I2750" s="1" t="inlineStr">
        <is>
          <t>2708001686</t>
        </is>
      </c>
      <c r="J2750" s="1" t="inlineStr">
        <is>
          <t>ЮГОК ЗИОФ 26-31</t>
        </is>
      </c>
      <c r="K275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750" s="1" t="inlineStr">
        <is>
          <t>29.07.2026</t>
        </is>
      </c>
      <c r="M2750" s="1" t="inlineStr">
        <is>
          <t>Успешно</t>
        </is>
      </c>
      <c r="N2750" s="1" t="inlineStr">
        <is>
          <t>11.08.2026</t>
        </is>
      </c>
      <c r="O2750" s="1" t="inlineStr"/>
      <c r="P2750" s="1" t="inlineStr"/>
      <c r="Q2750" s="1" t="inlineStr">
        <is>
          <t>Пользовательский интерфейс</t>
        </is>
      </c>
    </row>
    <row r="2751">
      <c r="B2751" s="1" t="inlineStr">
        <is>
          <t>214421258</t>
        </is>
      </c>
      <c r="C2751" s="1" t="inlineStr">
        <is>
          <t>15411209</t>
        </is>
      </c>
      <c r="D2751" t="inlineStr">
        <is>
          <t>работник 436</t>
        </is>
      </c>
      <c r="E2751" s="1" t="inlineStr">
        <is>
          <t>ОБЩЕСТВО С ОГРАНИЧЕННОЙ ОТВЕТСТВЕННОСТЬЮ "АМУР ЗОЛОТО"</t>
        </is>
      </c>
      <c r="F2751" s="1" t="inlineStr">
        <is>
          <t>2708001686</t>
        </is>
      </c>
      <c r="G2751" s="1" t="inlineStr">
        <is>
          <t>Дробильщик</t>
        </is>
      </c>
      <c r="H2751" s="1" t="inlineStr">
        <is>
          <t>ООО "Амур Золото"</t>
        </is>
      </c>
      <c r="I2751" s="1" t="inlineStr">
        <is>
          <t>2708001686</t>
        </is>
      </c>
      <c r="J2751" s="1" t="inlineStr">
        <is>
          <t>ЮГОК ЗИОФ 26-31</t>
        </is>
      </c>
      <c r="K2751" s="1" t="inlineStr">
        <is>
          <t>Оказание первой помощи пострадавшим</t>
        </is>
      </c>
      <c r="L2751" s="1" t="inlineStr">
        <is>
          <t>29.07.2026</t>
        </is>
      </c>
      <c r="M2751" s="1" t="inlineStr">
        <is>
          <t>Успешно</t>
        </is>
      </c>
      <c r="N2751" s="1" t="inlineStr">
        <is>
          <t>11.08.2026</t>
        </is>
      </c>
      <c r="O2751" s="1" t="inlineStr"/>
      <c r="P2751" s="1" t="inlineStr"/>
      <c r="Q2751" s="1" t="inlineStr">
        <is>
          <t>Пользовательский интерфейс</t>
        </is>
      </c>
    </row>
    <row r="2752">
      <c r="B2752" s="1" t="inlineStr">
        <is>
          <t>214421259</t>
        </is>
      </c>
      <c r="C2752" s="1" t="inlineStr">
        <is>
          <t>15411209</t>
        </is>
      </c>
      <c r="D2752" t="inlineStr">
        <is>
          <t>работник 436</t>
        </is>
      </c>
      <c r="E2752" s="1" t="inlineStr">
        <is>
          <t>ОБЩЕСТВО С ОГРАНИЧЕННОЙ ОТВЕТСТВЕННОСТЬЮ "АМУР ЗОЛОТО"</t>
        </is>
      </c>
      <c r="F2752" s="1" t="inlineStr">
        <is>
          <t>2708001686</t>
        </is>
      </c>
      <c r="G2752" s="1" t="inlineStr">
        <is>
          <t>Дробильщик</t>
        </is>
      </c>
      <c r="H2752" s="1" t="inlineStr">
        <is>
          <t>ООО "Амур Золото"</t>
        </is>
      </c>
      <c r="I2752" s="1" t="inlineStr">
        <is>
          <t>2708001686</t>
        </is>
      </c>
      <c r="J2752" s="1" t="inlineStr">
        <is>
          <t>ЮГОК ЗИОФ 26-31</t>
        </is>
      </c>
      <c r="K2752" s="1" t="inlineStr">
        <is>
          <t>Использование (применение) средств индивидуальной защиты</t>
        </is>
      </c>
      <c r="L2752" s="1" t="inlineStr">
        <is>
          <t>29.07.2026</t>
        </is>
      </c>
      <c r="M2752" s="1" t="inlineStr">
        <is>
          <t>Успешно</t>
        </is>
      </c>
      <c r="N2752" s="1" t="inlineStr">
        <is>
          <t>11.08.2026</t>
        </is>
      </c>
      <c r="O2752" s="1" t="inlineStr"/>
      <c r="P2752" s="1" t="inlineStr"/>
      <c r="Q2752" s="1" t="inlineStr">
        <is>
          <t>Пользовательский интерфейс</t>
        </is>
      </c>
    </row>
    <row r="2753">
      <c r="B2753" s="1" t="inlineStr">
        <is>
          <t>214421260</t>
        </is>
      </c>
      <c r="C2753" s="1" t="inlineStr">
        <is>
          <t>15411209</t>
        </is>
      </c>
      <c r="D2753" t="inlineStr">
        <is>
          <t>работник 436</t>
        </is>
      </c>
      <c r="E2753" s="1" t="inlineStr">
        <is>
          <t>ОБЩЕСТВО С ОГРАНИЧЕННОЙ ОТВЕТСТВЕННОСТЬЮ "АМУР ЗОЛОТО"</t>
        </is>
      </c>
      <c r="F2753" s="1" t="inlineStr">
        <is>
          <t>2708001686</t>
        </is>
      </c>
      <c r="G2753" s="1" t="inlineStr">
        <is>
          <t>Дробильщик</t>
        </is>
      </c>
      <c r="H2753" s="1" t="inlineStr">
        <is>
          <t>ООО "Амур Золото"</t>
        </is>
      </c>
      <c r="I2753" s="1" t="inlineStr">
        <is>
          <t>2708001686</t>
        </is>
      </c>
      <c r="J2753" s="1" t="inlineStr">
        <is>
          <t>ЮГОК ЗИОФ 26-31</t>
        </is>
      </c>
      <c r="K275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753" s="1" t="inlineStr">
        <is>
          <t>29.07.2026</t>
        </is>
      </c>
      <c r="M2753" s="1" t="inlineStr">
        <is>
          <t>Успешно</t>
        </is>
      </c>
      <c r="N2753" s="1" t="inlineStr">
        <is>
          <t>11.08.2026</t>
        </is>
      </c>
      <c r="O2753" s="1" t="inlineStr"/>
      <c r="P2753" s="1" t="inlineStr"/>
      <c r="Q2753" s="1" t="inlineStr">
        <is>
          <t>Пользовательский интерфейс</t>
        </is>
      </c>
    </row>
    <row r="2754">
      <c r="B2754" s="1" t="inlineStr">
        <is>
          <t>214421261</t>
        </is>
      </c>
      <c r="C2754" s="1" t="inlineStr">
        <is>
          <t>15411209</t>
        </is>
      </c>
      <c r="D2754" t="inlineStr">
        <is>
          <t>работник 830</t>
        </is>
      </c>
      <c r="E2754" s="1" t="inlineStr">
        <is>
          <t>ОБЩЕСТВО С ОГРАНИЧЕННОЙ ОТВЕТСТВЕННОСТЬЮ "АМУР ЗОЛОТО"</t>
        </is>
      </c>
      <c r="F2754" s="1" t="inlineStr">
        <is>
          <t>2708001686</t>
        </is>
      </c>
      <c r="G2754" s="1" t="inlineStr">
        <is>
          <t>Дробильщик</t>
        </is>
      </c>
      <c r="H2754" s="1" t="inlineStr">
        <is>
          <t>ООО "Амур Золото"</t>
        </is>
      </c>
      <c r="I2754" s="1" t="inlineStr">
        <is>
          <t>2708001686</t>
        </is>
      </c>
      <c r="J2754" s="1" t="inlineStr">
        <is>
          <t>ЮГОК ЗИОФ 26-31</t>
        </is>
      </c>
      <c r="K2754" s="1" t="inlineStr">
        <is>
          <t>Оказание первой помощи пострадавшим</t>
        </is>
      </c>
      <c r="L2754" s="1" t="inlineStr">
        <is>
          <t>29.07.2026</t>
        </is>
      </c>
      <c r="M2754" s="1" t="inlineStr">
        <is>
          <t>Успешно</t>
        </is>
      </c>
      <c r="N2754" s="1" t="inlineStr">
        <is>
          <t>11.08.2026</t>
        </is>
      </c>
      <c r="O2754" s="1" t="inlineStr"/>
      <c r="P2754" s="1" t="inlineStr"/>
      <c r="Q2754" s="1" t="inlineStr">
        <is>
          <t>Пользовательский интерфейс</t>
        </is>
      </c>
    </row>
    <row r="2755">
      <c r="B2755" s="1" t="inlineStr">
        <is>
          <t>214421262</t>
        </is>
      </c>
      <c r="C2755" s="1" t="inlineStr">
        <is>
          <t>15411209</t>
        </is>
      </c>
      <c r="D2755" t="inlineStr">
        <is>
          <t>работник 830</t>
        </is>
      </c>
      <c r="E2755" s="1" t="inlineStr">
        <is>
          <t>ОБЩЕСТВО С ОГРАНИЧЕННОЙ ОТВЕТСТВЕННОСТЬЮ "АМУР ЗОЛОТО"</t>
        </is>
      </c>
      <c r="F2755" s="1" t="inlineStr">
        <is>
          <t>2708001686</t>
        </is>
      </c>
      <c r="G2755" s="1" t="inlineStr">
        <is>
          <t>Дробильщик</t>
        </is>
      </c>
      <c r="H2755" s="1" t="inlineStr">
        <is>
          <t>ООО "Амур Золото"</t>
        </is>
      </c>
      <c r="I2755" s="1" t="inlineStr">
        <is>
          <t>2708001686</t>
        </is>
      </c>
      <c r="J2755" s="1" t="inlineStr">
        <is>
          <t>ЮГОК ЗИОФ 26-31</t>
        </is>
      </c>
      <c r="K2755" s="1" t="inlineStr">
        <is>
          <t>Использование (применение) средств индивидуальной защиты</t>
        </is>
      </c>
      <c r="L2755" s="1" t="inlineStr">
        <is>
          <t>29.07.2026</t>
        </is>
      </c>
      <c r="M2755" s="1" t="inlineStr">
        <is>
          <t>Успешно</t>
        </is>
      </c>
      <c r="N2755" s="1" t="inlineStr">
        <is>
          <t>11.08.2026</t>
        </is>
      </c>
      <c r="O2755" s="1" t="inlineStr"/>
      <c r="P2755" s="1" t="inlineStr"/>
      <c r="Q2755" s="1" t="inlineStr">
        <is>
          <t>Пользовательский интерфейс</t>
        </is>
      </c>
    </row>
    <row r="2756">
      <c r="B2756" s="1" t="inlineStr">
        <is>
          <t>214421263</t>
        </is>
      </c>
      <c r="C2756" s="1" t="inlineStr">
        <is>
          <t>15411209</t>
        </is>
      </c>
      <c r="D2756" t="inlineStr">
        <is>
          <t>работник 830</t>
        </is>
      </c>
      <c r="E2756" s="1" t="inlineStr">
        <is>
          <t>ОБЩЕСТВО С ОГРАНИЧЕННОЙ ОТВЕТСТВЕННОСТЬЮ "АМУР ЗОЛОТО"</t>
        </is>
      </c>
      <c r="F2756" s="1" t="inlineStr">
        <is>
          <t>2708001686</t>
        </is>
      </c>
      <c r="G2756" s="1" t="inlineStr">
        <is>
          <t>Дробильщик</t>
        </is>
      </c>
      <c r="H2756" s="1" t="inlineStr">
        <is>
          <t>ООО "Амур Золото"</t>
        </is>
      </c>
      <c r="I2756" s="1" t="inlineStr">
        <is>
          <t>2708001686</t>
        </is>
      </c>
      <c r="J2756" s="1" t="inlineStr">
        <is>
          <t>ЮГОК ЗИОФ 26-31</t>
        </is>
      </c>
      <c r="K275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756" s="1" t="inlineStr">
        <is>
          <t>29.07.2026</t>
        </is>
      </c>
      <c r="M2756" s="1" t="inlineStr">
        <is>
          <t>Успешно</t>
        </is>
      </c>
      <c r="N2756" s="1" t="inlineStr">
        <is>
          <t>11.08.2026</t>
        </is>
      </c>
      <c r="O2756" s="1" t="inlineStr"/>
      <c r="P2756" s="1" t="inlineStr"/>
      <c r="Q2756" s="1" t="inlineStr">
        <is>
          <t>Пользовательский интерфейс</t>
        </is>
      </c>
    </row>
    <row r="2757">
      <c r="B2757" s="1" t="inlineStr">
        <is>
          <t>214421264</t>
        </is>
      </c>
      <c r="C2757" s="1" t="inlineStr">
        <is>
          <t>15411209</t>
        </is>
      </c>
      <c r="D2757" t="inlineStr">
        <is>
          <t>работник 831</t>
        </is>
      </c>
      <c r="E2757" s="1" t="inlineStr">
        <is>
          <t>ОБЩЕСТВО С ОГРАНИЧЕННОЙ ОТВЕТСТВЕННОСТЬЮ "АМУР ЗОЛОТО"</t>
        </is>
      </c>
      <c r="F2757" s="1" t="inlineStr">
        <is>
          <t>2708001686</t>
        </is>
      </c>
      <c r="G2757" s="1" t="inlineStr">
        <is>
          <t>Бункеровщик</t>
        </is>
      </c>
      <c r="H2757" s="1" t="inlineStr">
        <is>
          <t>ООО "Амур Золото"</t>
        </is>
      </c>
      <c r="I2757" s="1" t="inlineStr">
        <is>
          <t>2708001686</t>
        </is>
      </c>
      <c r="J2757" s="1" t="inlineStr">
        <is>
          <t>ЮГОК ЗИОФ 26-32</t>
        </is>
      </c>
      <c r="K2757" s="1" t="inlineStr">
        <is>
          <t>Оказание первой помощи пострадавшим</t>
        </is>
      </c>
      <c r="L2757" s="1" t="inlineStr">
        <is>
          <t>29.07.2026</t>
        </is>
      </c>
      <c r="M2757" s="1" t="inlineStr">
        <is>
          <t>Успешно</t>
        </is>
      </c>
      <c r="N2757" s="1" t="inlineStr">
        <is>
          <t>11.08.2026</t>
        </is>
      </c>
      <c r="O2757" s="1" t="inlineStr"/>
      <c r="P2757" s="1" t="inlineStr"/>
      <c r="Q2757" s="1" t="inlineStr">
        <is>
          <t>Пользовательский интерфейс</t>
        </is>
      </c>
    </row>
    <row r="2758">
      <c r="B2758" s="1" t="inlineStr">
        <is>
          <t>214421265</t>
        </is>
      </c>
      <c r="C2758" s="1" t="inlineStr">
        <is>
          <t>15411209</t>
        </is>
      </c>
      <c r="D2758" t="inlineStr">
        <is>
          <t>работник 831</t>
        </is>
      </c>
      <c r="E2758" s="1" t="inlineStr">
        <is>
          <t>ОБЩЕСТВО С ОГРАНИЧЕННОЙ ОТВЕТСТВЕННОСТЬЮ "АМУР ЗОЛОТО"</t>
        </is>
      </c>
      <c r="F2758" s="1" t="inlineStr">
        <is>
          <t>2708001686</t>
        </is>
      </c>
      <c r="G2758" s="1" t="inlineStr">
        <is>
          <t>Бункеровщик</t>
        </is>
      </c>
      <c r="H2758" s="1" t="inlineStr">
        <is>
          <t>ООО "Амур Золото"</t>
        </is>
      </c>
      <c r="I2758" s="1" t="inlineStr">
        <is>
          <t>2708001686</t>
        </is>
      </c>
      <c r="J2758" s="1" t="inlineStr">
        <is>
          <t>ЮГОК ЗИОФ 26-32</t>
        </is>
      </c>
      <c r="K2758" s="1" t="inlineStr">
        <is>
          <t>Использование (применение) средств индивидуальной защиты</t>
        </is>
      </c>
      <c r="L2758" s="1" t="inlineStr">
        <is>
          <t>29.07.2026</t>
        </is>
      </c>
      <c r="M2758" s="1" t="inlineStr">
        <is>
          <t>Успешно</t>
        </is>
      </c>
      <c r="N2758" s="1" t="inlineStr">
        <is>
          <t>11.08.2026</t>
        </is>
      </c>
      <c r="O2758" s="1" t="inlineStr"/>
      <c r="P2758" s="1" t="inlineStr"/>
      <c r="Q2758" s="1" t="inlineStr">
        <is>
          <t>Пользовательский интерфейс</t>
        </is>
      </c>
    </row>
    <row r="2759">
      <c r="B2759" s="1" t="inlineStr">
        <is>
          <t>214421266</t>
        </is>
      </c>
      <c r="C2759" s="1" t="inlineStr">
        <is>
          <t>15411209</t>
        </is>
      </c>
      <c r="D2759" t="inlineStr">
        <is>
          <t>работник 831</t>
        </is>
      </c>
      <c r="E2759" s="1" t="inlineStr">
        <is>
          <t>ОБЩЕСТВО С ОГРАНИЧЕННОЙ ОТВЕТСТВЕННОСТЬЮ "АМУР ЗОЛОТО"</t>
        </is>
      </c>
      <c r="F2759" s="1" t="inlineStr">
        <is>
          <t>2708001686</t>
        </is>
      </c>
      <c r="G2759" s="1" t="inlineStr">
        <is>
          <t>Бункеровщик</t>
        </is>
      </c>
      <c r="H2759" s="1" t="inlineStr">
        <is>
          <t>ООО "Амур Золото"</t>
        </is>
      </c>
      <c r="I2759" s="1" t="inlineStr">
        <is>
          <t>2708001686</t>
        </is>
      </c>
      <c r="J2759" s="1" t="inlineStr">
        <is>
          <t>ЮГОК ЗИОФ 26-32</t>
        </is>
      </c>
      <c r="K275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759" s="1" t="inlineStr">
        <is>
          <t>29.07.2026</t>
        </is>
      </c>
      <c r="M2759" s="1" t="inlineStr">
        <is>
          <t>Успешно</t>
        </is>
      </c>
      <c r="N2759" s="1" t="inlineStr">
        <is>
          <t>11.08.2026</t>
        </is>
      </c>
      <c r="O2759" s="1" t="inlineStr"/>
      <c r="P2759" s="1" t="inlineStr"/>
      <c r="Q2759" s="1" t="inlineStr">
        <is>
          <t>Пользовательский интерфейс</t>
        </is>
      </c>
    </row>
    <row r="2760">
      <c r="B2760" s="1" t="inlineStr">
        <is>
          <t>214421267</t>
        </is>
      </c>
      <c r="C2760" s="1" t="inlineStr">
        <is>
          <t>15411209</t>
        </is>
      </c>
      <c r="D2760" t="inlineStr">
        <is>
          <t>работник 540</t>
        </is>
      </c>
      <c r="E2760" s="1" t="inlineStr">
        <is>
          <t>ОБЩЕСТВО С ОГРАНИЧЕННОЙ ОТВЕТСТВЕННОСТЬЮ "АМУР ЗОЛОТО"</t>
        </is>
      </c>
      <c r="F2760" s="1" t="inlineStr">
        <is>
          <t>2708001686</t>
        </is>
      </c>
      <c r="G2760" s="1" t="inlineStr">
        <is>
          <t>Бункеровщик</t>
        </is>
      </c>
      <c r="H2760" s="1" t="inlineStr">
        <is>
          <t>ООО "Амур Золото"</t>
        </is>
      </c>
      <c r="I2760" s="1" t="inlineStr">
        <is>
          <t>2708001686</t>
        </is>
      </c>
      <c r="J2760" s="1" t="inlineStr">
        <is>
          <t>ЮГОК ЗИОФ 26-32</t>
        </is>
      </c>
      <c r="K2760" s="1" t="inlineStr">
        <is>
          <t>Оказание первой помощи пострадавшим</t>
        </is>
      </c>
      <c r="L2760" s="1" t="inlineStr">
        <is>
          <t>29.07.2026</t>
        </is>
      </c>
      <c r="M2760" s="1" t="inlineStr">
        <is>
          <t>Успешно</t>
        </is>
      </c>
      <c r="N2760" s="1" t="inlineStr">
        <is>
          <t>11.08.2026</t>
        </is>
      </c>
      <c r="O2760" s="1" t="inlineStr"/>
      <c r="P2760" s="1" t="inlineStr"/>
      <c r="Q2760" s="1" t="inlineStr">
        <is>
          <t>Пользовательский интерфейс</t>
        </is>
      </c>
    </row>
    <row r="2761">
      <c r="B2761" s="1" t="inlineStr">
        <is>
          <t>214421268</t>
        </is>
      </c>
      <c r="C2761" s="1" t="inlineStr">
        <is>
          <t>15411209</t>
        </is>
      </c>
      <c r="D2761" t="inlineStr">
        <is>
          <t>работник 540</t>
        </is>
      </c>
      <c r="E2761" s="1" t="inlineStr">
        <is>
          <t>ОБЩЕСТВО С ОГРАНИЧЕННОЙ ОТВЕТСТВЕННОСТЬЮ "АМУР ЗОЛОТО"</t>
        </is>
      </c>
      <c r="F2761" s="1" t="inlineStr">
        <is>
          <t>2708001686</t>
        </is>
      </c>
      <c r="G2761" s="1" t="inlineStr">
        <is>
          <t>Бункеровщик</t>
        </is>
      </c>
      <c r="H2761" s="1" t="inlineStr">
        <is>
          <t>ООО "Амур Золото"</t>
        </is>
      </c>
      <c r="I2761" s="1" t="inlineStr">
        <is>
          <t>2708001686</t>
        </is>
      </c>
      <c r="J2761" s="1" t="inlineStr">
        <is>
          <t>ЮГОК ЗИОФ 26-32</t>
        </is>
      </c>
      <c r="K2761" s="1" t="inlineStr">
        <is>
          <t>Использование (применение) средств индивидуальной защиты</t>
        </is>
      </c>
      <c r="L2761" s="1" t="inlineStr">
        <is>
          <t>29.07.2026</t>
        </is>
      </c>
      <c r="M2761" s="1" t="inlineStr">
        <is>
          <t>Успешно</t>
        </is>
      </c>
      <c r="N2761" s="1" t="inlineStr">
        <is>
          <t>11.08.2026</t>
        </is>
      </c>
      <c r="O2761" s="1" t="inlineStr"/>
      <c r="P2761" s="1" t="inlineStr"/>
      <c r="Q2761" s="1" t="inlineStr">
        <is>
          <t>Пользовательский интерфейс</t>
        </is>
      </c>
    </row>
    <row r="2762">
      <c r="B2762" s="1" t="inlineStr">
        <is>
          <t>214421269</t>
        </is>
      </c>
      <c r="C2762" s="1" t="inlineStr">
        <is>
          <t>15411209</t>
        </is>
      </c>
      <c r="D2762" t="inlineStr">
        <is>
          <t>работник 540</t>
        </is>
      </c>
      <c r="E2762" s="1" t="inlineStr">
        <is>
          <t>ОБЩЕСТВО С ОГРАНИЧЕННОЙ ОТВЕТСТВЕННОСТЬЮ "АМУР ЗОЛОТО"</t>
        </is>
      </c>
      <c r="F2762" s="1" t="inlineStr">
        <is>
          <t>2708001686</t>
        </is>
      </c>
      <c r="G2762" s="1" t="inlineStr">
        <is>
          <t>Бункеровщик</t>
        </is>
      </c>
      <c r="H2762" s="1" t="inlineStr">
        <is>
          <t>ООО "Амур Золото"</t>
        </is>
      </c>
      <c r="I2762" s="1" t="inlineStr">
        <is>
          <t>2708001686</t>
        </is>
      </c>
      <c r="J2762" s="1" t="inlineStr">
        <is>
          <t>ЮГОК ЗИОФ 26-32</t>
        </is>
      </c>
      <c r="K276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762" s="1" t="inlineStr">
        <is>
          <t>29.07.2026</t>
        </is>
      </c>
      <c r="M2762" s="1" t="inlineStr">
        <is>
          <t>Успешно</t>
        </is>
      </c>
      <c r="N2762" s="1" t="inlineStr">
        <is>
          <t>11.08.2026</t>
        </is>
      </c>
      <c r="O2762" s="1" t="inlineStr"/>
      <c r="P2762" s="1" t="inlineStr"/>
      <c r="Q2762" s="1" t="inlineStr">
        <is>
          <t>Пользовательский интерфейс</t>
        </is>
      </c>
    </row>
    <row r="2763">
      <c r="B2763" s="1" t="inlineStr">
        <is>
          <t>214421270</t>
        </is>
      </c>
      <c r="C2763" s="1" t="inlineStr">
        <is>
          <t>15411209</t>
        </is>
      </c>
      <c r="D2763" t="inlineStr">
        <is>
          <t>работник 522</t>
        </is>
      </c>
      <c r="E2763" s="1" t="inlineStr">
        <is>
          <t>ОБЩЕСТВО С ОГРАНИЧЕННОЙ ОТВЕТСТВЕННОСТЬЮ "АМУР ЗОЛОТО"</t>
        </is>
      </c>
      <c r="F2763" s="1" t="inlineStr">
        <is>
          <t>2708001686</t>
        </is>
      </c>
      <c r="G2763" s="1" t="inlineStr">
        <is>
          <t>Аппаратчик сгустителей</t>
        </is>
      </c>
      <c r="H2763" s="1" t="inlineStr">
        <is>
          <t>ООО "Амур Золото"</t>
        </is>
      </c>
      <c r="I2763" s="1" t="inlineStr">
        <is>
          <t>2708001686</t>
        </is>
      </c>
      <c r="J2763" s="1" t="inlineStr">
        <is>
          <t>ЮГОК ЗИОФ 26-33</t>
        </is>
      </c>
      <c r="K2763" s="1" t="inlineStr">
        <is>
          <t>Оказание первой помощи пострадавшим</t>
        </is>
      </c>
      <c r="L2763" s="1" t="inlineStr">
        <is>
          <t>29.07.2026</t>
        </is>
      </c>
      <c r="M2763" s="1" t="inlineStr">
        <is>
          <t>Успешно</t>
        </is>
      </c>
      <c r="N2763" s="1" t="inlineStr">
        <is>
          <t>11.08.2026</t>
        </is>
      </c>
      <c r="O2763" s="1" t="inlineStr"/>
      <c r="P2763" s="1" t="inlineStr"/>
      <c r="Q2763" s="1" t="inlineStr">
        <is>
          <t>Пользовательский интерфейс</t>
        </is>
      </c>
    </row>
    <row r="2764">
      <c r="B2764" s="1" t="inlineStr">
        <is>
          <t>214421271</t>
        </is>
      </c>
      <c r="C2764" s="1" t="inlineStr">
        <is>
          <t>15411209</t>
        </is>
      </c>
      <c r="D2764" t="inlineStr">
        <is>
          <t>работник 522</t>
        </is>
      </c>
      <c r="E2764" s="1" t="inlineStr">
        <is>
          <t>ОБЩЕСТВО С ОГРАНИЧЕННОЙ ОТВЕТСТВЕННОСТЬЮ "АМУР ЗОЛОТО"</t>
        </is>
      </c>
      <c r="F2764" s="1" t="inlineStr">
        <is>
          <t>2708001686</t>
        </is>
      </c>
      <c r="G2764" s="1" t="inlineStr">
        <is>
          <t>Аппаратчик сгустителей</t>
        </is>
      </c>
      <c r="H2764" s="1" t="inlineStr">
        <is>
          <t>ООО "Амур Золото"</t>
        </is>
      </c>
      <c r="I2764" s="1" t="inlineStr">
        <is>
          <t>2708001686</t>
        </is>
      </c>
      <c r="J2764" s="1" t="inlineStr">
        <is>
          <t>ЮГОК ЗИОФ 26-33</t>
        </is>
      </c>
      <c r="K2764" s="1" t="inlineStr">
        <is>
          <t>Использование (применение) средств индивидуальной защиты</t>
        </is>
      </c>
      <c r="L2764" s="1" t="inlineStr">
        <is>
          <t>29.07.2026</t>
        </is>
      </c>
      <c r="M2764" s="1" t="inlineStr">
        <is>
          <t>Успешно</t>
        </is>
      </c>
      <c r="N2764" s="1" t="inlineStr">
        <is>
          <t>11.08.2026</t>
        </is>
      </c>
      <c r="O2764" s="1" t="inlineStr"/>
      <c r="P2764" s="1" t="inlineStr"/>
      <c r="Q2764" s="1" t="inlineStr">
        <is>
          <t>Пользовательский интерфейс</t>
        </is>
      </c>
    </row>
    <row r="2765">
      <c r="B2765" s="1" t="inlineStr">
        <is>
          <t>214421272</t>
        </is>
      </c>
      <c r="C2765" s="1" t="inlineStr">
        <is>
          <t>15411209</t>
        </is>
      </c>
      <c r="D2765" t="inlineStr">
        <is>
          <t>работник 522</t>
        </is>
      </c>
      <c r="E2765" s="1" t="inlineStr">
        <is>
          <t>ОБЩЕСТВО С ОГРАНИЧЕННОЙ ОТВЕТСТВЕННОСТЬЮ "АМУР ЗОЛОТО"</t>
        </is>
      </c>
      <c r="F2765" s="1" t="inlineStr">
        <is>
          <t>2708001686</t>
        </is>
      </c>
      <c r="G2765" s="1" t="inlineStr">
        <is>
          <t>Аппаратчик сгустителей</t>
        </is>
      </c>
      <c r="H2765" s="1" t="inlineStr">
        <is>
          <t>ООО "Амур Золото"</t>
        </is>
      </c>
      <c r="I2765" s="1" t="inlineStr">
        <is>
          <t>2708001686</t>
        </is>
      </c>
      <c r="J2765" s="1" t="inlineStr">
        <is>
          <t>ЮГОК ЗИОФ 26-33</t>
        </is>
      </c>
      <c r="K276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765" s="1" t="inlineStr">
        <is>
          <t>29.07.2026</t>
        </is>
      </c>
      <c r="M2765" s="1" t="inlineStr">
        <is>
          <t>Успешно</t>
        </is>
      </c>
      <c r="N2765" s="1" t="inlineStr">
        <is>
          <t>11.08.2026</t>
        </is>
      </c>
      <c r="O2765" s="1" t="inlineStr"/>
      <c r="P2765" s="1" t="inlineStr"/>
      <c r="Q2765" s="1" t="inlineStr">
        <is>
          <t>Пользовательский интерфейс</t>
        </is>
      </c>
    </row>
    <row r="2766">
      <c r="B2766" s="1" t="inlineStr">
        <is>
          <t>214421273</t>
        </is>
      </c>
      <c r="C2766" s="1" t="inlineStr">
        <is>
          <t>15411209</t>
        </is>
      </c>
      <c r="D2766" t="inlineStr">
        <is>
          <t>работник 438</t>
        </is>
      </c>
      <c r="E2766" s="1" t="inlineStr">
        <is>
          <t>ОБЩЕСТВО С ОГРАНИЧЕННОЙ ОТВЕТСТВЕННОСТЬЮ "АМУР ЗОЛОТО"</t>
        </is>
      </c>
      <c r="F2766" s="1" t="inlineStr">
        <is>
          <t>2708001686</t>
        </is>
      </c>
      <c r="G2766" s="1" t="inlineStr">
        <is>
          <t>Аппаратчик сгустителей</t>
        </is>
      </c>
      <c r="H2766" s="1" t="inlineStr">
        <is>
          <t>ООО "Амур Золото"</t>
        </is>
      </c>
      <c r="I2766" s="1" t="inlineStr">
        <is>
          <t>2708001686</t>
        </is>
      </c>
      <c r="J2766" s="1" t="inlineStr">
        <is>
          <t>ЮГОК ЗИОФ 26-33</t>
        </is>
      </c>
      <c r="K2766" s="1" t="inlineStr">
        <is>
          <t>Оказание первой помощи пострадавшим</t>
        </is>
      </c>
      <c r="L2766" s="1" t="inlineStr">
        <is>
          <t>29.07.2026</t>
        </is>
      </c>
      <c r="M2766" s="1" t="inlineStr">
        <is>
          <t>Успешно</t>
        </is>
      </c>
      <c r="N2766" s="1" t="inlineStr">
        <is>
          <t>11.08.2026</t>
        </is>
      </c>
      <c r="O2766" s="1" t="inlineStr"/>
      <c r="P2766" s="1" t="inlineStr"/>
      <c r="Q2766" s="1" t="inlineStr">
        <is>
          <t>Пользовательский интерфейс</t>
        </is>
      </c>
    </row>
    <row r="2767">
      <c r="B2767" s="1" t="inlineStr">
        <is>
          <t>214421274</t>
        </is>
      </c>
      <c r="C2767" s="1" t="inlineStr">
        <is>
          <t>15411209</t>
        </is>
      </c>
      <c r="D2767" t="inlineStr">
        <is>
          <t>работник 438</t>
        </is>
      </c>
      <c r="E2767" s="1" t="inlineStr">
        <is>
          <t>ОБЩЕСТВО С ОГРАНИЧЕННОЙ ОТВЕТСТВЕННОСТЬЮ "АМУР ЗОЛОТО"</t>
        </is>
      </c>
      <c r="F2767" s="1" t="inlineStr">
        <is>
          <t>2708001686</t>
        </is>
      </c>
      <c r="G2767" s="1" t="inlineStr">
        <is>
          <t>Аппаратчик сгустителей</t>
        </is>
      </c>
      <c r="H2767" s="1" t="inlineStr">
        <is>
          <t>ООО "Амур Золото"</t>
        </is>
      </c>
      <c r="I2767" s="1" t="inlineStr">
        <is>
          <t>2708001686</t>
        </is>
      </c>
      <c r="J2767" s="1" t="inlineStr">
        <is>
          <t>ЮГОК ЗИОФ 26-33</t>
        </is>
      </c>
      <c r="K2767" s="1" t="inlineStr">
        <is>
          <t>Использование (применение) средств индивидуальной защиты</t>
        </is>
      </c>
      <c r="L2767" s="1" t="inlineStr">
        <is>
          <t>29.07.2026</t>
        </is>
      </c>
      <c r="M2767" s="1" t="inlineStr">
        <is>
          <t>Успешно</t>
        </is>
      </c>
      <c r="N2767" s="1" t="inlineStr">
        <is>
          <t>11.08.2026</t>
        </is>
      </c>
      <c r="O2767" s="1" t="inlineStr"/>
      <c r="P2767" s="1" t="inlineStr"/>
      <c r="Q2767" s="1" t="inlineStr">
        <is>
          <t>Пользовательский интерфейс</t>
        </is>
      </c>
    </row>
    <row r="2768">
      <c r="B2768" s="1" t="inlineStr">
        <is>
          <t>214421275</t>
        </is>
      </c>
      <c r="C2768" s="1" t="inlineStr">
        <is>
          <t>15411209</t>
        </is>
      </c>
      <c r="D2768" t="inlineStr">
        <is>
          <t>работник 832</t>
        </is>
      </c>
      <c r="E2768" s="1" t="inlineStr">
        <is>
          <t>ОБЩЕСТВО С ОГРАНИЧЕННОЙ ОТВЕТСТВЕННОСТЬЮ "АМУР ЗОЛОТО"</t>
        </is>
      </c>
      <c r="F2768" s="1" t="inlineStr">
        <is>
          <t>2708001686</t>
        </is>
      </c>
      <c r="G2768" s="1" t="inlineStr">
        <is>
          <t>Растворщик реагентов</t>
        </is>
      </c>
      <c r="H2768" s="1" t="inlineStr">
        <is>
          <t>ООО "Амур Золото"</t>
        </is>
      </c>
      <c r="I2768" s="1" t="inlineStr">
        <is>
          <t>2708001686</t>
        </is>
      </c>
      <c r="J2768" s="1" t="inlineStr">
        <is>
          <t>ЮГОК ЗИОФ 26-41</t>
        </is>
      </c>
      <c r="K2768" s="1" t="inlineStr">
        <is>
          <t>Оказание первой помощи пострадавшим</t>
        </is>
      </c>
      <c r="L2768" s="1" t="inlineStr">
        <is>
          <t>29.07.2026</t>
        </is>
      </c>
      <c r="M2768" s="1" t="inlineStr">
        <is>
          <t>Успешно</t>
        </is>
      </c>
      <c r="N2768" s="1" t="inlineStr">
        <is>
          <t>11.08.2026</t>
        </is>
      </c>
      <c r="O2768" s="1" t="inlineStr"/>
      <c r="P2768" s="1" t="inlineStr"/>
      <c r="Q2768" s="1" t="inlineStr">
        <is>
          <t>Пользовательский интерфейс</t>
        </is>
      </c>
    </row>
    <row r="2769">
      <c r="B2769" s="1" t="inlineStr">
        <is>
          <t>214421276</t>
        </is>
      </c>
      <c r="C2769" s="1" t="inlineStr">
        <is>
          <t>15411209</t>
        </is>
      </c>
      <c r="D2769" t="inlineStr">
        <is>
          <t>работник 438</t>
        </is>
      </c>
      <c r="E2769" s="1" t="inlineStr">
        <is>
          <t>ОБЩЕСТВО С ОГРАНИЧЕННОЙ ОТВЕТСТВЕННОСТЬЮ "АМУР ЗОЛОТО"</t>
        </is>
      </c>
      <c r="F2769" s="1" t="inlineStr">
        <is>
          <t>2708001686</t>
        </is>
      </c>
      <c r="G2769" s="1" t="inlineStr">
        <is>
          <t>Аппаратчик сгустителей</t>
        </is>
      </c>
      <c r="H2769" s="1" t="inlineStr">
        <is>
          <t>ООО "Амур Золото"</t>
        </is>
      </c>
      <c r="I2769" s="1" t="inlineStr">
        <is>
          <t>2708001686</t>
        </is>
      </c>
      <c r="J2769" s="1" t="inlineStr">
        <is>
          <t>ЮГОК ЗИОФ 26-33</t>
        </is>
      </c>
      <c r="K276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769" s="1" t="inlineStr">
        <is>
          <t>29.07.2026</t>
        </is>
      </c>
      <c r="M2769" s="1" t="inlineStr">
        <is>
          <t>Успешно</t>
        </is>
      </c>
      <c r="N2769" s="1" t="inlineStr">
        <is>
          <t>11.08.2026</t>
        </is>
      </c>
      <c r="O2769" s="1" t="inlineStr"/>
      <c r="P2769" s="1" t="inlineStr"/>
      <c r="Q2769" s="1" t="inlineStr">
        <is>
          <t>Пользовательский интерфейс</t>
        </is>
      </c>
    </row>
    <row r="2770">
      <c r="B2770" s="1" t="inlineStr">
        <is>
          <t>214421277</t>
        </is>
      </c>
      <c r="C2770" s="1" t="inlineStr">
        <is>
          <t>15411209</t>
        </is>
      </c>
      <c r="D2770" t="inlineStr">
        <is>
          <t>работник 250</t>
        </is>
      </c>
      <c r="E2770" s="1" t="inlineStr">
        <is>
          <t>ОБЩЕСТВО С ОГРАНИЧЕННОЙ ОТВЕТСТВЕННОСТЬЮ "АМУР ЗОЛОТО"</t>
        </is>
      </c>
      <c r="F2770" s="1" t="inlineStr">
        <is>
          <t>2708001686</t>
        </is>
      </c>
      <c r="G2770" s="1" t="inlineStr">
        <is>
          <t>Аппаратчик-гидрометаллург</t>
        </is>
      </c>
      <c r="H2770" s="1" t="inlineStr">
        <is>
          <t>ООО "Амур Золото"</t>
        </is>
      </c>
      <c r="I2770" s="1" t="inlineStr">
        <is>
          <t>2708001686</t>
        </is>
      </c>
      <c r="J2770" s="1" t="inlineStr">
        <is>
          <t>ЮГОК ЗИОФ 26-34</t>
        </is>
      </c>
      <c r="K2770" s="1" t="inlineStr">
        <is>
          <t>Оказание первой помощи пострадавшим</t>
        </is>
      </c>
      <c r="L2770" s="1" t="inlineStr">
        <is>
          <t>29.07.2026</t>
        </is>
      </c>
      <c r="M2770" s="1" t="inlineStr">
        <is>
          <t>Успешно</t>
        </is>
      </c>
      <c r="N2770" s="1" t="inlineStr">
        <is>
          <t>11.08.2026</t>
        </is>
      </c>
      <c r="O2770" s="1" t="inlineStr"/>
      <c r="P2770" s="1" t="inlineStr"/>
      <c r="Q2770" s="1" t="inlineStr">
        <is>
          <t>Пользовательский интерфейс</t>
        </is>
      </c>
    </row>
    <row r="2771">
      <c r="B2771" s="1" t="inlineStr">
        <is>
          <t>214421278</t>
        </is>
      </c>
      <c r="C2771" s="1" t="inlineStr">
        <is>
          <t>15411209</t>
        </is>
      </c>
      <c r="D2771" t="inlineStr">
        <is>
          <t>работник 250</t>
        </is>
      </c>
      <c r="E2771" s="1" t="inlineStr">
        <is>
          <t>ОБЩЕСТВО С ОГРАНИЧЕННОЙ ОТВЕТСТВЕННОСТЬЮ "АМУР ЗОЛОТО"</t>
        </is>
      </c>
      <c r="F2771" s="1" t="inlineStr">
        <is>
          <t>2708001686</t>
        </is>
      </c>
      <c r="G2771" s="1" t="inlineStr">
        <is>
          <t>Аппаратчик-гидрометаллург</t>
        </is>
      </c>
      <c r="H2771" s="1" t="inlineStr">
        <is>
          <t>ООО "Амур Золото"</t>
        </is>
      </c>
      <c r="I2771" s="1" t="inlineStr">
        <is>
          <t>2708001686</t>
        </is>
      </c>
      <c r="J2771" s="1" t="inlineStr">
        <is>
          <t>ЮГОК ЗИОФ 26-34</t>
        </is>
      </c>
      <c r="K2771" s="1" t="inlineStr">
        <is>
          <t>Использование (применение) средств индивидуальной защиты</t>
        </is>
      </c>
      <c r="L2771" s="1" t="inlineStr">
        <is>
          <t>29.07.2026</t>
        </is>
      </c>
      <c r="M2771" s="1" t="inlineStr">
        <is>
          <t>Успешно</t>
        </is>
      </c>
      <c r="N2771" s="1" t="inlineStr">
        <is>
          <t>11.08.2026</t>
        </is>
      </c>
      <c r="O2771" s="1" t="inlineStr"/>
      <c r="P2771" s="1" t="inlineStr"/>
      <c r="Q2771" s="1" t="inlineStr">
        <is>
          <t>Пользовательский интерфейс</t>
        </is>
      </c>
    </row>
    <row r="2772">
      <c r="B2772" s="1" t="inlineStr">
        <is>
          <t>214421279</t>
        </is>
      </c>
      <c r="C2772" s="1" t="inlineStr">
        <is>
          <t>15411209</t>
        </is>
      </c>
      <c r="D2772" t="inlineStr">
        <is>
          <t>работник 250</t>
        </is>
      </c>
      <c r="E2772" s="1" t="inlineStr">
        <is>
          <t>ОБЩЕСТВО С ОГРАНИЧЕННОЙ ОТВЕТСТВЕННОСТЬЮ "АМУР ЗОЛОТО"</t>
        </is>
      </c>
      <c r="F2772" s="1" t="inlineStr">
        <is>
          <t>2708001686</t>
        </is>
      </c>
      <c r="G2772" s="1" t="inlineStr">
        <is>
          <t>Аппаратчик-гидрометаллург</t>
        </is>
      </c>
      <c r="H2772" s="1" t="inlineStr">
        <is>
          <t>ООО "Амур Золото"</t>
        </is>
      </c>
      <c r="I2772" s="1" t="inlineStr">
        <is>
          <t>2708001686</t>
        </is>
      </c>
      <c r="J2772" s="1" t="inlineStr">
        <is>
          <t>ЮГОК ЗИОФ 26-34</t>
        </is>
      </c>
      <c r="K277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772" s="1" t="inlineStr">
        <is>
          <t>29.07.2026</t>
        </is>
      </c>
      <c r="M2772" s="1" t="inlineStr">
        <is>
          <t>Успешно</t>
        </is>
      </c>
      <c r="N2772" s="1" t="inlineStr">
        <is>
          <t>11.08.2026</t>
        </is>
      </c>
      <c r="O2772" s="1" t="inlineStr"/>
      <c r="P2772" s="1" t="inlineStr"/>
      <c r="Q2772" s="1" t="inlineStr">
        <is>
          <t>Пользовательский интерфейс</t>
        </is>
      </c>
    </row>
    <row r="2773">
      <c r="B2773" s="1" t="inlineStr">
        <is>
          <t>214421280</t>
        </is>
      </c>
      <c r="C2773" s="1" t="inlineStr">
        <is>
          <t>15411209</t>
        </is>
      </c>
      <c r="D2773" t="inlineStr">
        <is>
          <t>работник 451</t>
        </is>
      </c>
      <c r="E2773" s="1" t="inlineStr">
        <is>
          <t>ОБЩЕСТВО С ОГРАНИЧЕННОЙ ОТВЕТСТВЕННОСТЬЮ "АМУР ЗОЛОТО"</t>
        </is>
      </c>
      <c r="F2773" s="1" t="inlineStr">
        <is>
          <t>2708001686</t>
        </is>
      </c>
      <c r="G2773" s="1" t="inlineStr">
        <is>
          <t>Аппаратчик-гидрометаллург</t>
        </is>
      </c>
      <c r="H2773" s="1" t="inlineStr">
        <is>
          <t>ООО "Амур Золото"</t>
        </is>
      </c>
      <c r="I2773" s="1" t="inlineStr">
        <is>
          <t>2708001686</t>
        </is>
      </c>
      <c r="J2773" s="1" t="inlineStr">
        <is>
          <t>ЮГОК ЗИОФ 26-34</t>
        </is>
      </c>
      <c r="K2773" s="1" t="inlineStr">
        <is>
          <t>Оказание первой помощи пострадавшим</t>
        </is>
      </c>
      <c r="L2773" s="1" t="inlineStr">
        <is>
          <t>29.07.2026</t>
        </is>
      </c>
      <c r="M2773" s="1" t="inlineStr">
        <is>
          <t>Успешно</t>
        </is>
      </c>
      <c r="N2773" s="1" t="inlineStr">
        <is>
          <t>11.08.2026</t>
        </is>
      </c>
      <c r="O2773" s="1" t="inlineStr"/>
      <c r="P2773" s="1" t="inlineStr"/>
      <c r="Q2773" s="1" t="inlineStr">
        <is>
          <t>Пользовательский интерфейс</t>
        </is>
      </c>
    </row>
    <row r="2774">
      <c r="B2774" s="1" t="inlineStr">
        <is>
          <t>214421281</t>
        </is>
      </c>
      <c r="C2774" s="1" t="inlineStr">
        <is>
          <t>15411209</t>
        </is>
      </c>
      <c r="D2774" t="inlineStr">
        <is>
          <t>работник 451</t>
        </is>
      </c>
      <c r="E2774" s="1" t="inlineStr">
        <is>
          <t>ОБЩЕСТВО С ОГРАНИЧЕННОЙ ОТВЕТСТВЕННОСТЬЮ "АМУР ЗОЛОТО"</t>
        </is>
      </c>
      <c r="F2774" s="1" t="inlineStr">
        <is>
          <t>2708001686</t>
        </is>
      </c>
      <c r="G2774" s="1" t="inlineStr">
        <is>
          <t>Аппаратчик-гидрометаллург</t>
        </is>
      </c>
      <c r="H2774" s="1" t="inlineStr">
        <is>
          <t>ООО "Амур Золото"</t>
        </is>
      </c>
      <c r="I2774" s="1" t="inlineStr">
        <is>
          <t>2708001686</t>
        </is>
      </c>
      <c r="J2774" s="1" t="inlineStr">
        <is>
          <t>ЮГОК ЗИОФ 26-34</t>
        </is>
      </c>
      <c r="K2774" s="1" t="inlineStr">
        <is>
          <t>Использование (применение) средств индивидуальной защиты</t>
        </is>
      </c>
      <c r="L2774" s="1" t="inlineStr">
        <is>
          <t>29.07.2026</t>
        </is>
      </c>
      <c r="M2774" s="1" t="inlineStr">
        <is>
          <t>Успешно</t>
        </is>
      </c>
      <c r="N2774" s="1" t="inlineStr">
        <is>
          <t>11.08.2026</t>
        </is>
      </c>
      <c r="O2774" s="1" t="inlineStr"/>
      <c r="P2774" s="1" t="inlineStr"/>
      <c r="Q2774" s="1" t="inlineStr">
        <is>
          <t>Пользовательский интерфейс</t>
        </is>
      </c>
    </row>
    <row r="2775">
      <c r="B2775" s="1" t="inlineStr">
        <is>
          <t>214421282</t>
        </is>
      </c>
      <c r="C2775" s="1" t="inlineStr">
        <is>
          <t>15411209</t>
        </is>
      </c>
      <c r="D2775" t="inlineStr">
        <is>
          <t>работник 451</t>
        </is>
      </c>
      <c r="E2775" s="1" t="inlineStr">
        <is>
          <t>ОБЩЕСТВО С ОГРАНИЧЕННОЙ ОТВЕТСТВЕННОСТЬЮ "АМУР ЗОЛОТО"</t>
        </is>
      </c>
      <c r="F2775" s="1" t="inlineStr">
        <is>
          <t>2708001686</t>
        </is>
      </c>
      <c r="G2775" s="1" t="inlineStr">
        <is>
          <t>Аппаратчик-гидрометаллург</t>
        </is>
      </c>
      <c r="H2775" s="1" t="inlineStr">
        <is>
          <t>ООО "Амур Золото"</t>
        </is>
      </c>
      <c r="I2775" s="1" t="inlineStr">
        <is>
          <t>2708001686</t>
        </is>
      </c>
      <c r="J2775" s="1" t="inlineStr">
        <is>
          <t>ЮГОК ЗИОФ 26-34</t>
        </is>
      </c>
      <c r="K277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775" s="1" t="inlineStr">
        <is>
          <t>29.07.2026</t>
        </is>
      </c>
      <c r="M2775" s="1" t="inlineStr">
        <is>
          <t>Успешно</t>
        </is>
      </c>
      <c r="N2775" s="1" t="inlineStr">
        <is>
          <t>11.08.2026</t>
        </is>
      </c>
      <c r="O2775" s="1" t="inlineStr"/>
      <c r="P2775" s="1" t="inlineStr"/>
      <c r="Q2775" s="1" t="inlineStr">
        <is>
          <t>Пользовательский интерфейс</t>
        </is>
      </c>
    </row>
    <row r="2776">
      <c r="B2776" s="1" t="inlineStr">
        <is>
          <t>214421283</t>
        </is>
      </c>
      <c r="C2776" s="1" t="inlineStr">
        <is>
          <t>15411209</t>
        </is>
      </c>
      <c r="D2776" t="inlineStr">
        <is>
          <t>работник 585</t>
        </is>
      </c>
      <c r="E2776" s="1" t="inlineStr">
        <is>
          <t>ОБЩЕСТВО С ОГРАНИЧЕННОЙ ОТВЕТСТВЕННОСТЬЮ "АМУР ЗОЛОТО"</t>
        </is>
      </c>
      <c r="F2776" s="1" t="inlineStr">
        <is>
          <t>2708001686</t>
        </is>
      </c>
      <c r="G2776" s="1" t="inlineStr">
        <is>
          <t>Аппаратчик-гидрометаллург</t>
        </is>
      </c>
      <c r="H2776" s="1" t="inlineStr">
        <is>
          <t>ООО "Амур Золото"</t>
        </is>
      </c>
      <c r="I2776" s="1" t="inlineStr">
        <is>
          <t>2708001686</t>
        </is>
      </c>
      <c r="J2776" s="1" t="inlineStr">
        <is>
          <t>ЮГОК ЗИОФ 26-34</t>
        </is>
      </c>
      <c r="K2776" s="1" t="inlineStr">
        <is>
          <t>Оказание первой помощи пострадавшим</t>
        </is>
      </c>
      <c r="L2776" s="1" t="inlineStr">
        <is>
          <t>29.07.2026</t>
        </is>
      </c>
      <c r="M2776" s="1" t="inlineStr">
        <is>
          <t>Успешно</t>
        </is>
      </c>
      <c r="N2776" s="1" t="inlineStr">
        <is>
          <t>11.08.2026</t>
        </is>
      </c>
      <c r="O2776" s="1" t="inlineStr"/>
      <c r="P2776" s="1" t="inlineStr"/>
      <c r="Q2776" s="1" t="inlineStr">
        <is>
          <t>Пользовательский интерфейс</t>
        </is>
      </c>
    </row>
    <row r="2777">
      <c r="B2777" s="1" t="inlineStr">
        <is>
          <t>214421284</t>
        </is>
      </c>
      <c r="C2777" s="1" t="inlineStr">
        <is>
          <t>15411209</t>
        </is>
      </c>
      <c r="D2777" t="inlineStr">
        <is>
          <t>работник 585</t>
        </is>
      </c>
      <c r="E2777" s="1" t="inlineStr">
        <is>
          <t>ОБЩЕСТВО С ОГРАНИЧЕННОЙ ОТВЕТСТВЕННОСТЬЮ "АМУР ЗОЛОТО"</t>
        </is>
      </c>
      <c r="F2777" s="1" t="inlineStr">
        <is>
          <t>2708001686</t>
        </is>
      </c>
      <c r="G2777" s="1" t="inlineStr">
        <is>
          <t>Аппаратчик-гидрометаллург</t>
        </is>
      </c>
      <c r="H2777" s="1" t="inlineStr">
        <is>
          <t>ООО "Амур Золото"</t>
        </is>
      </c>
      <c r="I2777" s="1" t="inlineStr">
        <is>
          <t>2708001686</t>
        </is>
      </c>
      <c r="J2777" s="1" t="inlineStr">
        <is>
          <t>ЮГОК ЗИОФ 26-34</t>
        </is>
      </c>
      <c r="K2777" s="1" t="inlineStr">
        <is>
          <t>Использование (применение) средств индивидуальной защиты</t>
        </is>
      </c>
      <c r="L2777" s="1" t="inlineStr">
        <is>
          <t>29.07.2026</t>
        </is>
      </c>
      <c r="M2777" s="1" t="inlineStr">
        <is>
          <t>Успешно</t>
        </is>
      </c>
      <c r="N2777" s="1" t="inlineStr">
        <is>
          <t>11.08.2026</t>
        </is>
      </c>
      <c r="O2777" s="1" t="inlineStr"/>
      <c r="P2777" s="1" t="inlineStr"/>
      <c r="Q2777" s="1" t="inlineStr">
        <is>
          <t>Пользовательский интерфейс</t>
        </is>
      </c>
    </row>
    <row r="2778">
      <c r="B2778" s="1" t="inlineStr">
        <is>
          <t>214421285</t>
        </is>
      </c>
      <c r="C2778" s="1" t="inlineStr">
        <is>
          <t>15411209</t>
        </is>
      </c>
      <c r="D2778" t="inlineStr">
        <is>
          <t>работник 585</t>
        </is>
      </c>
      <c r="E2778" s="1" t="inlineStr">
        <is>
          <t>ОБЩЕСТВО С ОГРАНИЧЕННОЙ ОТВЕТСТВЕННОСТЬЮ "АМУР ЗОЛОТО"</t>
        </is>
      </c>
      <c r="F2778" s="1" t="inlineStr">
        <is>
          <t>2708001686</t>
        </is>
      </c>
      <c r="G2778" s="1" t="inlineStr">
        <is>
          <t>Аппаратчик-гидрометаллург</t>
        </is>
      </c>
      <c r="H2778" s="1" t="inlineStr">
        <is>
          <t>ООО "Амур Золото"</t>
        </is>
      </c>
      <c r="I2778" s="1" t="inlineStr">
        <is>
          <t>2708001686</t>
        </is>
      </c>
      <c r="J2778" s="1" t="inlineStr">
        <is>
          <t>ЮГОК ЗИОФ 26-34</t>
        </is>
      </c>
      <c r="K277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778" s="1" t="inlineStr">
        <is>
          <t>29.07.2026</t>
        </is>
      </c>
      <c r="M2778" s="1" t="inlineStr">
        <is>
          <t>Успешно</t>
        </is>
      </c>
      <c r="N2778" s="1" t="inlineStr">
        <is>
          <t>11.08.2026</t>
        </is>
      </c>
      <c r="O2778" s="1" t="inlineStr"/>
      <c r="P2778" s="1" t="inlineStr"/>
      <c r="Q2778" s="1" t="inlineStr">
        <is>
          <t>Пользовательский интерфейс</t>
        </is>
      </c>
    </row>
    <row r="2779">
      <c r="B2779" s="1" t="inlineStr">
        <is>
          <t>214421286</t>
        </is>
      </c>
      <c r="C2779" s="1" t="inlineStr">
        <is>
          <t>15411209</t>
        </is>
      </c>
      <c r="D2779" t="inlineStr">
        <is>
          <t>работник 425</t>
        </is>
      </c>
      <c r="E2779" s="1" t="inlineStr">
        <is>
          <t>ОБЩЕСТВО С ОГРАНИЧЕННОЙ ОТВЕТСТВЕННОСТЬЮ "АМУР ЗОЛОТО"</t>
        </is>
      </c>
      <c r="F2779" s="1" t="inlineStr">
        <is>
          <t>2708001686</t>
        </is>
      </c>
      <c r="G2779" s="1" t="inlineStr">
        <is>
          <t>Аппаратчик-гидрометаллург</t>
        </is>
      </c>
      <c r="H2779" s="1" t="inlineStr">
        <is>
          <t>ООО "Амур Золото"</t>
        </is>
      </c>
      <c r="I2779" s="1" t="inlineStr">
        <is>
          <t>2708001686</t>
        </is>
      </c>
      <c r="J2779" s="1" t="inlineStr">
        <is>
          <t>ЮГОК ЗИОФ 26-34</t>
        </is>
      </c>
      <c r="K2779" s="1" t="inlineStr">
        <is>
          <t>Оказание первой помощи пострадавшим</t>
        </is>
      </c>
      <c r="L2779" s="1" t="inlineStr">
        <is>
          <t>29.07.2026</t>
        </is>
      </c>
      <c r="M2779" s="1" t="inlineStr">
        <is>
          <t>Успешно</t>
        </is>
      </c>
      <c r="N2779" s="1" t="inlineStr">
        <is>
          <t>11.08.2026</t>
        </is>
      </c>
      <c r="O2779" s="1" t="inlineStr"/>
      <c r="P2779" s="1" t="inlineStr"/>
      <c r="Q2779" s="1" t="inlineStr">
        <is>
          <t>Пользовательский интерфейс</t>
        </is>
      </c>
    </row>
    <row r="2780">
      <c r="B2780" s="1" t="inlineStr">
        <is>
          <t>214421287</t>
        </is>
      </c>
      <c r="C2780" s="1" t="inlineStr">
        <is>
          <t>15411209</t>
        </is>
      </c>
      <c r="D2780" t="inlineStr">
        <is>
          <t>работник 425</t>
        </is>
      </c>
      <c r="E2780" s="1" t="inlineStr">
        <is>
          <t>ОБЩЕСТВО С ОГРАНИЧЕННОЙ ОТВЕТСТВЕННОСТЬЮ "АМУР ЗОЛОТО"</t>
        </is>
      </c>
      <c r="F2780" s="1" t="inlineStr">
        <is>
          <t>2708001686</t>
        </is>
      </c>
      <c r="G2780" s="1" t="inlineStr">
        <is>
          <t>Аппаратчик-гидрометаллург</t>
        </is>
      </c>
      <c r="H2780" s="1" t="inlineStr">
        <is>
          <t>ООО "Амур Золото"</t>
        </is>
      </c>
      <c r="I2780" s="1" t="inlineStr">
        <is>
          <t>2708001686</t>
        </is>
      </c>
      <c r="J2780" s="1" t="inlineStr">
        <is>
          <t>ЮГОК ЗИОФ 26-34</t>
        </is>
      </c>
      <c r="K2780" s="1" t="inlineStr">
        <is>
          <t>Использование (применение) средств индивидуальной защиты</t>
        </is>
      </c>
      <c r="L2780" s="1" t="inlineStr">
        <is>
          <t>29.07.2026</t>
        </is>
      </c>
      <c r="M2780" s="1" t="inlineStr">
        <is>
          <t>Успешно</t>
        </is>
      </c>
      <c r="N2780" s="1" t="inlineStr">
        <is>
          <t>11.08.2026</t>
        </is>
      </c>
      <c r="O2780" s="1" t="inlineStr"/>
      <c r="P2780" s="1" t="inlineStr"/>
      <c r="Q2780" s="1" t="inlineStr">
        <is>
          <t>Пользовательский интерфейс</t>
        </is>
      </c>
    </row>
    <row r="2781">
      <c r="B2781" s="1" t="inlineStr">
        <is>
          <t>214421288</t>
        </is>
      </c>
      <c r="C2781" s="1" t="inlineStr">
        <is>
          <t>15411209</t>
        </is>
      </c>
      <c r="D2781" t="inlineStr">
        <is>
          <t>работник 425</t>
        </is>
      </c>
      <c r="E2781" s="1" t="inlineStr">
        <is>
          <t>ОБЩЕСТВО С ОГРАНИЧЕННОЙ ОТВЕТСТВЕННОСТЬЮ "АМУР ЗОЛОТО"</t>
        </is>
      </c>
      <c r="F2781" s="1" t="inlineStr">
        <is>
          <t>2708001686</t>
        </is>
      </c>
      <c r="G2781" s="1" t="inlineStr">
        <is>
          <t>Аппаратчик-гидрометаллург</t>
        </is>
      </c>
      <c r="H2781" s="1" t="inlineStr">
        <is>
          <t>ООО "Амур Золото"</t>
        </is>
      </c>
      <c r="I2781" s="1" t="inlineStr">
        <is>
          <t>2708001686</t>
        </is>
      </c>
      <c r="J2781" s="1" t="inlineStr">
        <is>
          <t>ЮГОК ЗИОФ 26-34</t>
        </is>
      </c>
      <c r="K278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781" s="1" t="inlineStr">
        <is>
          <t>29.07.2026</t>
        </is>
      </c>
      <c r="M2781" s="1" t="inlineStr">
        <is>
          <t>Успешно</t>
        </is>
      </c>
      <c r="N2781" s="1" t="inlineStr">
        <is>
          <t>11.08.2026</t>
        </is>
      </c>
      <c r="O2781" s="1" t="inlineStr"/>
      <c r="P2781" s="1" t="inlineStr"/>
      <c r="Q2781" s="1" t="inlineStr">
        <is>
          <t>Пользовательский интерфейс</t>
        </is>
      </c>
    </row>
    <row r="2782">
      <c r="B2782" s="1" t="inlineStr">
        <is>
          <t>214421289</t>
        </is>
      </c>
      <c r="C2782" s="1" t="inlineStr">
        <is>
          <t>15411209</t>
        </is>
      </c>
      <c r="D2782" t="inlineStr">
        <is>
          <t>работник 641</t>
        </is>
      </c>
      <c r="E2782" s="1" t="inlineStr">
        <is>
          <t>ОБЩЕСТВО С ОГРАНИЧЕННОЙ ОТВЕТСТВЕННОСТЬЮ "АМУР ЗОЛОТО"</t>
        </is>
      </c>
      <c r="F2782" s="1" t="inlineStr">
        <is>
          <t>2708001686</t>
        </is>
      </c>
      <c r="G2782" s="1" t="inlineStr">
        <is>
          <t>Аппаратчик-гидрометаллург</t>
        </is>
      </c>
      <c r="H2782" s="1" t="inlineStr">
        <is>
          <t>ООО "Амур Золото"</t>
        </is>
      </c>
      <c r="I2782" s="1" t="inlineStr">
        <is>
          <t>2708001686</t>
        </is>
      </c>
      <c r="J2782" s="1" t="inlineStr">
        <is>
          <t>ЮГОК ЗИОФ 26-34</t>
        </is>
      </c>
      <c r="K2782" s="1" t="inlineStr">
        <is>
          <t>Оказание первой помощи пострадавшим</t>
        </is>
      </c>
      <c r="L2782" s="1" t="inlineStr">
        <is>
          <t>29.07.2026</t>
        </is>
      </c>
      <c r="M2782" s="1" t="inlineStr">
        <is>
          <t>Успешно</t>
        </is>
      </c>
      <c r="N2782" s="1" t="inlineStr">
        <is>
          <t>11.08.2026</t>
        </is>
      </c>
      <c r="O2782" s="1" t="inlineStr"/>
      <c r="P2782" s="1" t="inlineStr"/>
      <c r="Q2782" s="1" t="inlineStr">
        <is>
          <t>Пользовательский интерфейс</t>
        </is>
      </c>
    </row>
    <row r="2783">
      <c r="B2783" s="1" t="inlineStr">
        <is>
          <t>214421290</t>
        </is>
      </c>
      <c r="C2783" s="1" t="inlineStr">
        <is>
          <t>15411209</t>
        </is>
      </c>
      <c r="D2783" t="inlineStr">
        <is>
          <t>работник 641</t>
        </is>
      </c>
      <c r="E2783" s="1" t="inlineStr">
        <is>
          <t>ОБЩЕСТВО С ОГРАНИЧЕННОЙ ОТВЕТСТВЕННОСТЬЮ "АМУР ЗОЛОТО"</t>
        </is>
      </c>
      <c r="F2783" s="1" t="inlineStr">
        <is>
          <t>2708001686</t>
        </is>
      </c>
      <c r="G2783" s="1" t="inlineStr">
        <is>
          <t>Аппаратчик-гидрометаллург</t>
        </is>
      </c>
      <c r="H2783" s="1" t="inlineStr">
        <is>
          <t>ООО "Амур Золото"</t>
        </is>
      </c>
      <c r="I2783" s="1" t="inlineStr">
        <is>
          <t>2708001686</t>
        </is>
      </c>
      <c r="J2783" s="1" t="inlineStr">
        <is>
          <t>ЮГОК ЗИОФ 26-34</t>
        </is>
      </c>
      <c r="K2783" s="1" t="inlineStr">
        <is>
          <t>Использование (применение) средств индивидуальной защиты</t>
        </is>
      </c>
      <c r="L2783" s="1" t="inlineStr">
        <is>
          <t>29.07.2026</t>
        </is>
      </c>
      <c r="M2783" s="1" t="inlineStr">
        <is>
          <t>Успешно</t>
        </is>
      </c>
      <c r="N2783" s="1" t="inlineStr">
        <is>
          <t>11.08.2026</t>
        </is>
      </c>
      <c r="O2783" s="1" t="inlineStr"/>
      <c r="P2783" s="1" t="inlineStr"/>
      <c r="Q2783" s="1" t="inlineStr">
        <is>
          <t>Пользовательский интерфейс</t>
        </is>
      </c>
    </row>
    <row r="2784">
      <c r="B2784" s="1" t="inlineStr">
        <is>
          <t>214421291</t>
        </is>
      </c>
      <c r="C2784" s="1" t="inlineStr">
        <is>
          <t>15411209</t>
        </is>
      </c>
      <c r="D2784" t="inlineStr">
        <is>
          <t>работник 641</t>
        </is>
      </c>
      <c r="E2784" s="1" t="inlineStr">
        <is>
          <t>ОБЩЕСТВО С ОГРАНИЧЕННОЙ ОТВЕТСТВЕННОСТЬЮ "АМУР ЗОЛОТО"</t>
        </is>
      </c>
      <c r="F2784" s="1" t="inlineStr">
        <is>
          <t>2708001686</t>
        </is>
      </c>
      <c r="G2784" s="1" t="inlineStr">
        <is>
          <t>Аппаратчик-гидрометаллург</t>
        </is>
      </c>
      <c r="H2784" s="1" t="inlineStr">
        <is>
          <t>ООО "Амур Золото"</t>
        </is>
      </c>
      <c r="I2784" s="1" t="inlineStr">
        <is>
          <t>2708001686</t>
        </is>
      </c>
      <c r="J2784" s="1" t="inlineStr">
        <is>
          <t>ЮГОК ЗИОФ 26-34</t>
        </is>
      </c>
      <c r="K278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784" s="1" t="inlineStr">
        <is>
          <t>29.07.2026</t>
        </is>
      </c>
      <c r="M2784" s="1" t="inlineStr">
        <is>
          <t>Успешно</t>
        </is>
      </c>
      <c r="N2784" s="1" t="inlineStr">
        <is>
          <t>11.08.2026</t>
        </is>
      </c>
      <c r="O2784" s="1" t="inlineStr"/>
      <c r="P2784" s="1" t="inlineStr"/>
      <c r="Q2784" s="1" t="inlineStr">
        <is>
          <t>Пользовательский интерфейс</t>
        </is>
      </c>
    </row>
    <row r="2785">
      <c r="B2785" s="1" t="inlineStr">
        <is>
          <t>214421292</t>
        </is>
      </c>
      <c r="C2785" s="1" t="inlineStr">
        <is>
          <t>15411209</t>
        </is>
      </c>
      <c r="D2785" t="inlineStr">
        <is>
          <t>работник 433</t>
        </is>
      </c>
      <c r="E2785" s="1" t="inlineStr">
        <is>
          <t>ОБЩЕСТВО С ОГРАНИЧЕННОЙ ОТВЕТСТВЕННОСТЬЮ "АМУР ЗОЛОТО"</t>
        </is>
      </c>
      <c r="F2785" s="1" t="inlineStr">
        <is>
          <t>2708001686</t>
        </is>
      </c>
      <c r="G2785" s="1" t="inlineStr">
        <is>
          <t>Плавильщик</t>
        </is>
      </c>
      <c r="H2785" s="1" t="inlineStr">
        <is>
          <t>ООО "Амур Золото"</t>
        </is>
      </c>
      <c r="I2785" s="1" t="inlineStr">
        <is>
          <t>2708001686</t>
        </is>
      </c>
      <c r="J2785" s="1" t="inlineStr">
        <is>
          <t>ЮГОК ЗИОФ 26-35</t>
        </is>
      </c>
      <c r="K2785" s="1" t="inlineStr">
        <is>
          <t>Оказание первой помощи пострадавшим</t>
        </is>
      </c>
      <c r="L2785" s="1" t="inlineStr">
        <is>
          <t>29.07.2026</t>
        </is>
      </c>
      <c r="M2785" s="1" t="inlineStr">
        <is>
          <t>Успешно</t>
        </is>
      </c>
      <c r="N2785" s="1" t="inlineStr">
        <is>
          <t>11.08.2026</t>
        </is>
      </c>
      <c r="O2785" s="1" t="inlineStr"/>
      <c r="P2785" s="1" t="inlineStr"/>
      <c r="Q2785" s="1" t="inlineStr">
        <is>
          <t>Пользовательский интерфейс</t>
        </is>
      </c>
    </row>
    <row r="2786">
      <c r="B2786" s="1" t="inlineStr">
        <is>
          <t>214421293</t>
        </is>
      </c>
      <c r="C2786" s="1" t="inlineStr">
        <is>
          <t>15411209</t>
        </is>
      </c>
      <c r="D2786" t="inlineStr">
        <is>
          <t>работник 433</t>
        </is>
      </c>
      <c r="E2786" s="1" t="inlineStr">
        <is>
          <t>ОБЩЕСТВО С ОГРАНИЧЕННОЙ ОТВЕТСТВЕННОСТЬЮ "АМУР ЗОЛОТО"</t>
        </is>
      </c>
      <c r="F2786" s="1" t="inlineStr">
        <is>
          <t>2708001686</t>
        </is>
      </c>
      <c r="G2786" s="1" t="inlineStr">
        <is>
          <t>Плавильщик</t>
        </is>
      </c>
      <c r="H2786" s="1" t="inlineStr">
        <is>
          <t>ООО "Амур Золото"</t>
        </is>
      </c>
      <c r="I2786" s="1" t="inlineStr">
        <is>
          <t>2708001686</t>
        </is>
      </c>
      <c r="J2786" s="1" t="inlineStr">
        <is>
          <t>ЮГОК ЗИОФ 26-35</t>
        </is>
      </c>
      <c r="K2786" s="1" t="inlineStr">
        <is>
          <t>Использование (применение) средств индивидуальной защиты</t>
        </is>
      </c>
      <c r="L2786" s="1" t="inlineStr">
        <is>
          <t>29.07.2026</t>
        </is>
      </c>
      <c r="M2786" s="1" t="inlineStr">
        <is>
          <t>Успешно</t>
        </is>
      </c>
      <c r="N2786" s="1" t="inlineStr">
        <is>
          <t>11.08.2026</t>
        </is>
      </c>
      <c r="O2786" s="1" t="inlineStr"/>
      <c r="P2786" s="1" t="inlineStr"/>
      <c r="Q2786" s="1" t="inlineStr">
        <is>
          <t>Пользовательский интерфейс</t>
        </is>
      </c>
    </row>
    <row r="2787">
      <c r="B2787" s="1" t="inlineStr">
        <is>
          <t>214421294</t>
        </is>
      </c>
      <c r="C2787" s="1" t="inlineStr">
        <is>
          <t>15411209</t>
        </is>
      </c>
      <c r="D2787" t="inlineStr">
        <is>
          <t>работник 433</t>
        </is>
      </c>
      <c r="E2787" s="1" t="inlineStr">
        <is>
          <t>ОБЩЕСТВО С ОГРАНИЧЕННОЙ ОТВЕТСТВЕННОСТЬЮ "АМУР ЗОЛОТО"</t>
        </is>
      </c>
      <c r="F2787" s="1" t="inlineStr">
        <is>
          <t>2708001686</t>
        </is>
      </c>
      <c r="G2787" s="1" t="inlineStr">
        <is>
          <t>Плавильщик</t>
        </is>
      </c>
      <c r="H2787" s="1" t="inlineStr">
        <is>
          <t>ООО "Амур Золото"</t>
        </is>
      </c>
      <c r="I2787" s="1" t="inlineStr">
        <is>
          <t>2708001686</t>
        </is>
      </c>
      <c r="J2787" s="1" t="inlineStr">
        <is>
          <t>ЮГОК ЗИОФ 26-35</t>
        </is>
      </c>
      <c r="K278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787" s="1" t="inlineStr">
        <is>
          <t>29.07.2026</t>
        </is>
      </c>
      <c r="M2787" s="1" t="inlineStr">
        <is>
          <t>Успешно</t>
        </is>
      </c>
      <c r="N2787" s="1" t="inlineStr">
        <is>
          <t>11.08.2026</t>
        </is>
      </c>
      <c r="O2787" s="1" t="inlineStr"/>
      <c r="P2787" s="1" t="inlineStr"/>
      <c r="Q2787" s="1" t="inlineStr">
        <is>
          <t>Пользовательский интерфейс</t>
        </is>
      </c>
    </row>
    <row r="2788">
      <c r="B2788" s="1" t="inlineStr">
        <is>
          <t>214421295</t>
        </is>
      </c>
      <c r="C2788" s="1" t="inlineStr">
        <is>
          <t>15411209</t>
        </is>
      </c>
      <c r="D2788" t="inlineStr">
        <is>
          <t>работник 31</t>
        </is>
      </c>
      <c r="E2788" s="1" t="inlineStr">
        <is>
          <t>ОБЩЕСТВО С ОГРАНИЧЕННОЙ ОТВЕТСТВЕННОСТЬЮ "АМУР ЗОЛОТО"</t>
        </is>
      </c>
      <c r="F2788" s="1" t="inlineStr">
        <is>
          <t>2708001686</t>
        </is>
      </c>
      <c r="G2788" s="1" t="inlineStr">
        <is>
          <t>Электромонтер по ремонту и обслуживанию электрооборудования</t>
        </is>
      </c>
      <c r="H2788" s="1" t="inlineStr">
        <is>
          <t>ООО "Амур Золото"</t>
        </is>
      </c>
      <c r="I2788" s="1" t="inlineStr">
        <is>
          <t>2708001686</t>
        </is>
      </c>
      <c r="J2788" s="1" t="inlineStr">
        <is>
          <t>ЮГОК ЗИОФ 26-36</t>
        </is>
      </c>
      <c r="K2788" s="1" t="inlineStr">
        <is>
          <t>Оказание первой помощи пострадавшим</t>
        </is>
      </c>
      <c r="L2788" s="1" t="inlineStr">
        <is>
          <t>29.07.2026</t>
        </is>
      </c>
      <c r="M2788" s="1" t="inlineStr">
        <is>
          <t>Успешно</t>
        </is>
      </c>
      <c r="N2788" s="1" t="inlineStr">
        <is>
          <t>11.08.2026</t>
        </is>
      </c>
      <c r="O2788" s="1" t="inlineStr"/>
      <c r="P2788" s="1" t="inlineStr"/>
      <c r="Q2788" s="1" t="inlineStr">
        <is>
          <t>Пользовательский интерфейс</t>
        </is>
      </c>
    </row>
    <row r="2789">
      <c r="B2789" s="1" t="inlineStr">
        <is>
          <t>214421296</t>
        </is>
      </c>
      <c r="C2789" s="1" t="inlineStr">
        <is>
          <t>15411209</t>
        </is>
      </c>
      <c r="D2789" t="inlineStr">
        <is>
          <t>работник 31</t>
        </is>
      </c>
      <c r="E2789" s="1" t="inlineStr">
        <is>
          <t>ОБЩЕСТВО С ОГРАНИЧЕННОЙ ОТВЕТСТВЕННОСТЬЮ "АМУР ЗОЛОТО"</t>
        </is>
      </c>
      <c r="F2789" s="1" t="inlineStr">
        <is>
          <t>2708001686</t>
        </is>
      </c>
      <c r="G2789" s="1" t="inlineStr">
        <is>
          <t>Электромонтер по ремонту и обслуживанию электрооборудования</t>
        </is>
      </c>
      <c r="H2789" s="1" t="inlineStr">
        <is>
          <t>ООО "Амур Золото"</t>
        </is>
      </c>
      <c r="I2789" s="1" t="inlineStr">
        <is>
          <t>2708001686</t>
        </is>
      </c>
      <c r="J2789" s="1" t="inlineStr">
        <is>
          <t>ЮГОК ЗИОФ 26-36</t>
        </is>
      </c>
      <c r="K2789" s="1" t="inlineStr">
        <is>
          <t>Использование (применение) средств индивидуальной защиты</t>
        </is>
      </c>
      <c r="L2789" s="1" t="inlineStr">
        <is>
          <t>29.07.2026</t>
        </is>
      </c>
      <c r="M2789" s="1" t="inlineStr">
        <is>
          <t>Успешно</t>
        </is>
      </c>
      <c r="N2789" s="1" t="inlineStr">
        <is>
          <t>11.08.2026</t>
        </is>
      </c>
      <c r="O2789" s="1" t="inlineStr"/>
      <c r="P2789" s="1" t="inlineStr"/>
      <c r="Q2789" s="1" t="inlineStr">
        <is>
          <t>Пользовательский интерфейс</t>
        </is>
      </c>
    </row>
    <row r="2790">
      <c r="B2790" s="1" t="inlineStr">
        <is>
          <t>214421297</t>
        </is>
      </c>
      <c r="C2790" s="1" t="inlineStr">
        <is>
          <t>15411209</t>
        </is>
      </c>
      <c r="D2790" t="inlineStr">
        <is>
          <t>работник 31</t>
        </is>
      </c>
      <c r="E2790" s="1" t="inlineStr">
        <is>
          <t>ОБЩЕСТВО С ОГРАНИЧЕННОЙ ОТВЕТСТВЕННОСТЬЮ "АМУР ЗОЛОТО"</t>
        </is>
      </c>
      <c r="F2790" s="1" t="inlineStr">
        <is>
          <t>2708001686</t>
        </is>
      </c>
      <c r="G2790" s="1" t="inlineStr">
        <is>
          <t>Электромонтер по ремонту и обслуживанию электрооборудования</t>
        </is>
      </c>
      <c r="H2790" s="1" t="inlineStr">
        <is>
          <t>ООО "Амур Золото"</t>
        </is>
      </c>
      <c r="I2790" s="1" t="inlineStr">
        <is>
          <t>2708001686</t>
        </is>
      </c>
      <c r="J2790" s="1" t="inlineStr">
        <is>
          <t>ЮГОК ЗИОФ 26-36</t>
        </is>
      </c>
      <c r="K279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790" s="1" t="inlineStr">
        <is>
          <t>29.07.2026</t>
        </is>
      </c>
      <c r="M2790" s="1" t="inlineStr">
        <is>
          <t>Успешно</t>
        </is>
      </c>
      <c r="N2790" s="1" t="inlineStr">
        <is>
          <t>11.08.2026</t>
        </is>
      </c>
      <c r="O2790" s="1" t="inlineStr"/>
      <c r="P2790" s="1" t="inlineStr"/>
      <c r="Q2790" s="1" t="inlineStr">
        <is>
          <t>Пользовательский интерфейс</t>
        </is>
      </c>
    </row>
    <row r="2791">
      <c r="B2791" s="1" t="inlineStr">
        <is>
          <t>214421298</t>
        </is>
      </c>
      <c r="C2791" s="1" t="inlineStr">
        <is>
          <t>15411209</t>
        </is>
      </c>
      <c r="D2791" t="inlineStr">
        <is>
          <t>работник 833</t>
        </is>
      </c>
      <c r="E2791" s="1" t="inlineStr">
        <is>
          <t>ОБЩЕСТВО С ОГРАНИЧЕННОЙ ОТВЕТСТВЕННОСТЬЮ "АМУР ЗОЛОТО"</t>
        </is>
      </c>
      <c r="F2791" s="1" t="inlineStr">
        <is>
          <t>2708001686</t>
        </is>
      </c>
      <c r="G2791" s="1" t="inlineStr">
        <is>
          <t>Электромонтер по ремонту и обслуживанию электрооборудования</t>
        </is>
      </c>
      <c r="H2791" s="1" t="inlineStr">
        <is>
          <t>ООО "Амур Золото"</t>
        </is>
      </c>
      <c r="I2791" s="1" t="inlineStr">
        <is>
          <t>2708001686</t>
        </is>
      </c>
      <c r="J2791" s="1" t="inlineStr">
        <is>
          <t>ЮГОК ЗИОФ 26-36</t>
        </is>
      </c>
      <c r="K2791" s="1" t="inlineStr">
        <is>
          <t>Оказание первой помощи пострадавшим</t>
        </is>
      </c>
      <c r="L2791" s="1" t="inlineStr">
        <is>
          <t>29.07.2026</t>
        </is>
      </c>
      <c r="M2791" s="1" t="inlineStr">
        <is>
          <t>Успешно</t>
        </is>
      </c>
      <c r="N2791" s="1" t="inlineStr">
        <is>
          <t>11.08.2026</t>
        </is>
      </c>
      <c r="O2791" s="1" t="inlineStr"/>
      <c r="P2791" s="1" t="inlineStr"/>
      <c r="Q2791" s="1" t="inlineStr">
        <is>
          <t>Пользовательский интерфейс</t>
        </is>
      </c>
    </row>
    <row r="2792">
      <c r="B2792" s="1" t="inlineStr">
        <is>
          <t>214421299</t>
        </is>
      </c>
      <c r="C2792" s="1" t="inlineStr">
        <is>
          <t>15411209</t>
        </is>
      </c>
      <c r="D2792" t="inlineStr">
        <is>
          <t>работник 833</t>
        </is>
      </c>
      <c r="E2792" s="1" t="inlineStr">
        <is>
          <t>ОБЩЕСТВО С ОГРАНИЧЕННОЙ ОТВЕТСТВЕННОСТЬЮ "АМУР ЗОЛОТО"</t>
        </is>
      </c>
      <c r="F2792" s="1" t="inlineStr">
        <is>
          <t>2708001686</t>
        </is>
      </c>
      <c r="G2792" s="1" t="inlineStr">
        <is>
          <t>Электромонтер по ремонту и обслуживанию электрооборудования</t>
        </is>
      </c>
      <c r="H2792" s="1" t="inlineStr">
        <is>
          <t>ООО "Амур Золото"</t>
        </is>
      </c>
      <c r="I2792" s="1" t="inlineStr">
        <is>
          <t>2708001686</t>
        </is>
      </c>
      <c r="J2792" s="1" t="inlineStr">
        <is>
          <t>ЮГОК ЗИОФ 26-36</t>
        </is>
      </c>
      <c r="K2792" s="1" t="inlineStr">
        <is>
          <t>Использование (применение) средств индивидуальной защиты</t>
        </is>
      </c>
      <c r="L2792" s="1" t="inlineStr">
        <is>
          <t>29.07.2026</t>
        </is>
      </c>
      <c r="M2792" s="1" t="inlineStr">
        <is>
          <t>Успешно</t>
        </is>
      </c>
      <c r="N2792" s="1" t="inlineStr">
        <is>
          <t>11.08.2026</t>
        </is>
      </c>
      <c r="O2792" s="1" t="inlineStr"/>
      <c r="P2792" s="1" t="inlineStr"/>
      <c r="Q2792" s="1" t="inlineStr">
        <is>
          <t>Пользовательский интерфейс</t>
        </is>
      </c>
    </row>
    <row r="2793">
      <c r="B2793" s="1" t="inlineStr">
        <is>
          <t>214421300</t>
        </is>
      </c>
      <c r="C2793" s="1" t="inlineStr">
        <is>
          <t>15411209</t>
        </is>
      </c>
      <c r="D2793" t="inlineStr">
        <is>
          <t>работник 833</t>
        </is>
      </c>
      <c r="E2793" s="1" t="inlineStr">
        <is>
          <t>ОБЩЕСТВО С ОГРАНИЧЕННОЙ ОТВЕТСТВЕННОСТЬЮ "АМУР ЗОЛОТО"</t>
        </is>
      </c>
      <c r="F2793" s="1" t="inlineStr">
        <is>
          <t>2708001686</t>
        </is>
      </c>
      <c r="G2793" s="1" t="inlineStr">
        <is>
          <t>Электромонтер по ремонту и обслуживанию электрооборудования</t>
        </is>
      </c>
      <c r="H2793" s="1" t="inlineStr">
        <is>
          <t>ООО "Амур Золото"</t>
        </is>
      </c>
      <c r="I2793" s="1" t="inlineStr">
        <is>
          <t>2708001686</t>
        </is>
      </c>
      <c r="J2793" s="1" t="inlineStr">
        <is>
          <t>ЮГОК ЗИОФ 26-36</t>
        </is>
      </c>
      <c r="K279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793" s="1" t="inlineStr">
        <is>
          <t>29.07.2026</t>
        </is>
      </c>
      <c r="M2793" s="1" t="inlineStr">
        <is>
          <t>Успешно</t>
        </is>
      </c>
      <c r="N2793" s="1" t="inlineStr">
        <is>
          <t>11.08.2026</t>
        </is>
      </c>
      <c r="O2793" s="1" t="inlineStr"/>
      <c r="P2793" s="1" t="inlineStr"/>
      <c r="Q2793" s="1" t="inlineStr">
        <is>
          <t>Пользовательский интерфейс</t>
        </is>
      </c>
    </row>
    <row r="2794">
      <c r="B2794" s="1" t="inlineStr">
        <is>
          <t>214421301</t>
        </is>
      </c>
      <c r="C2794" s="1" t="inlineStr">
        <is>
          <t>15411209</t>
        </is>
      </c>
      <c r="D2794" t="inlineStr">
        <is>
          <t>работник 26</t>
        </is>
      </c>
      <c r="E2794" s="1" t="inlineStr">
        <is>
          <t>ОБЩЕСТВО С ОГРАНИЧЕННОЙ ОТВЕТСТВЕННОСТЬЮ "АМУР ЗОЛОТО"</t>
        </is>
      </c>
      <c r="F2794" s="1" t="inlineStr">
        <is>
          <t>2708001686</t>
        </is>
      </c>
      <c r="G2794" s="1" t="inlineStr">
        <is>
          <t>Электрогазосварщик (занятый на резке и ручной сварке)</t>
        </is>
      </c>
      <c r="H2794" s="1" t="inlineStr">
        <is>
          <t>ООО "Амур Золото"</t>
        </is>
      </c>
      <c r="I2794" s="1" t="inlineStr">
        <is>
          <t>2708001686</t>
        </is>
      </c>
      <c r="J2794" s="1" t="inlineStr">
        <is>
          <t>ЮГОК ЗИОФ 26-37</t>
        </is>
      </c>
      <c r="K2794" s="1" t="inlineStr">
        <is>
          <t>Оказание первой помощи пострадавшим</t>
        </is>
      </c>
      <c r="L2794" s="1" t="inlineStr">
        <is>
          <t>29.07.2026</t>
        </is>
      </c>
      <c r="M2794" s="1" t="inlineStr">
        <is>
          <t>Успешно</t>
        </is>
      </c>
      <c r="N2794" s="1" t="inlineStr">
        <is>
          <t>11.08.2026</t>
        </is>
      </c>
      <c r="O2794" s="1" t="inlineStr"/>
      <c r="P2794" s="1" t="inlineStr"/>
      <c r="Q2794" s="1" t="inlineStr">
        <is>
          <t>Пользовательский интерфейс</t>
        </is>
      </c>
    </row>
    <row r="2795">
      <c r="B2795" s="1" t="inlineStr">
        <is>
          <t>214421302</t>
        </is>
      </c>
      <c r="C2795" s="1" t="inlineStr">
        <is>
          <t>15411209</t>
        </is>
      </c>
      <c r="D2795" t="inlineStr">
        <is>
          <t>работник 26</t>
        </is>
      </c>
      <c r="E2795" s="1" t="inlineStr">
        <is>
          <t>ОБЩЕСТВО С ОГРАНИЧЕННОЙ ОТВЕТСТВЕННОСТЬЮ "АМУР ЗОЛОТО"</t>
        </is>
      </c>
      <c r="F2795" s="1" t="inlineStr">
        <is>
          <t>2708001686</t>
        </is>
      </c>
      <c r="G2795" s="1" t="inlineStr">
        <is>
          <t>Электрогазосварщик (занятый на резке и ручной сварке)</t>
        </is>
      </c>
      <c r="H2795" s="1" t="inlineStr">
        <is>
          <t>ООО "Амур Золото"</t>
        </is>
      </c>
      <c r="I2795" s="1" t="inlineStr">
        <is>
          <t>2708001686</t>
        </is>
      </c>
      <c r="J2795" s="1" t="inlineStr">
        <is>
          <t>ЮГОК ЗИОФ 26-37</t>
        </is>
      </c>
      <c r="K2795" s="1" t="inlineStr">
        <is>
          <t>Использование (применение) средств индивидуальной защиты</t>
        </is>
      </c>
      <c r="L2795" s="1" t="inlineStr">
        <is>
          <t>29.07.2026</t>
        </is>
      </c>
      <c r="M2795" s="1" t="inlineStr">
        <is>
          <t>Успешно</t>
        </is>
      </c>
      <c r="N2795" s="1" t="inlineStr">
        <is>
          <t>11.08.2026</t>
        </is>
      </c>
      <c r="O2795" s="1" t="inlineStr"/>
      <c r="P2795" s="1" t="inlineStr"/>
      <c r="Q2795" s="1" t="inlineStr">
        <is>
          <t>Пользовательский интерфейс</t>
        </is>
      </c>
    </row>
    <row r="2796">
      <c r="B2796" s="1" t="inlineStr">
        <is>
          <t>214421303</t>
        </is>
      </c>
      <c r="C2796" s="1" t="inlineStr">
        <is>
          <t>15411209</t>
        </is>
      </c>
      <c r="D2796" t="inlineStr">
        <is>
          <t>работник 26</t>
        </is>
      </c>
      <c r="E2796" s="1" t="inlineStr">
        <is>
          <t>ОБЩЕСТВО С ОГРАНИЧЕННОЙ ОТВЕТСТВЕННОСТЬЮ "АМУР ЗОЛОТО"</t>
        </is>
      </c>
      <c r="F2796" s="1" t="inlineStr">
        <is>
          <t>2708001686</t>
        </is>
      </c>
      <c r="G2796" s="1" t="inlineStr">
        <is>
          <t>Электрогазосварщик (занятый на резке и ручной сварке)</t>
        </is>
      </c>
      <c r="H2796" s="1" t="inlineStr">
        <is>
          <t>ООО "Амур Золото"</t>
        </is>
      </c>
      <c r="I2796" s="1" t="inlineStr">
        <is>
          <t>2708001686</t>
        </is>
      </c>
      <c r="J2796" s="1" t="inlineStr">
        <is>
          <t>ЮГОК ЗИОФ 26-37</t>
        </is>
      </c>
      <c r="K279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796" s="1" t="inlineStr">
        <is>
          <t>29.07.2026</t>
        </is>
      </c>
      <c r="M2796" s="1" t="inlineStr">
        <is>
          <t>Успешно</t>
        </is>
      </c>
      <c r="N2796" s="1" t="inlineStr">
        <is>
          <t>11.08.2026</t>
        </is>
      </c>
      <c r="O2796" s="1" t="inlineStr"/>
      <c r="P2796" s="1" t="inlineStr"/>
      <c r="Q2796" s="1" t="inlineStr">
        <is>
          <t>Пользовательский интерфейс</t>
        </is>
      </c>
    </row>
    <row r="2797">
      <c r="B2797" s="1" t="inlineStr">
        <is>
          <t>214421304</t>
        </is>
      </c>
      <c r="C2797" s="1" t="inlineStr">
        <is>
          <t>15411209</t>
        </is>
      </c>
      <c r="D2797" t="inlineStr">
        <is>
          <t>работник 504</t>
        </is>
      </c>
      <c r="E2797" s="1" t="inlineStr">
        <is>
          <t>ОБЩЕСТВО С ОГРАНИЧЕННОЙ ОТВЕТСТВЕННОСТЬЮ "АМУР ЗОЛОТО"</t>
        </is>
      </c>
      <c r="F2797" s="1" t="inlineStr">
        <is>
          <t>2708001686</t>
        </is>
      </c>
      <c r="G2797" s="1" t="inlineStr">
        <is>
          <t>Электрогазосварщик (занятый на резке и ручной сварке)</t>
        </is>
      </c>
      <c r="H2797" s="1" t="inlineStr">
        <is>
          <t>ООО "Амур Золото"</t>
        </is>
      </c>
      <c r="I2797" s="1" t="inlineStr">
        <is>
          <t>2708001686</t>
        </is>
      </c>
      <c r="J2797" s="1" t="inlineStr">
        <is>
          <t>ЮГОК ЗИОФ 26-37</t>
        </is>
      </c>
      <c r="K2797" s="1" t="inlineStr">
        <is>
          <t>Оказание первой помощи пострадавшим</t>
        </is>
      </c>
      <c r="L2797" s="1" t="inlineStr">
        <is>
          <t>29.07.2026</t>
        </is>
      </c>
      <c r="M2797" s="1" t="inlineStr">
        <is>
          <t>Успешно</t>
        </is>
      </c>
      <c r="N2797" s="1" t="inlineStr">
        <is>
          <t>11.08.2026</t>
        </is>
      </c>
      <c r="O2797" s="1" t="inlineStr"/>
      <c r="P2797" s="1" t="inlineStr"/>
      <c r="Q2797" s="1" t="inlineStr">
        <is>
          <t>Пользовательский интерфейс</t>
        </is>
      </c>
    </row>
    <row r="2798">
      <c r="B2798" s="1" t="inlineStr">
        <is>
          <t>214421305</t>
        </is>
      </c>
      <c r="C2798" s="1" t="inlineStr">
        <is>
          <t>15411209</t>
        </is>
      </c>
      <c r="D2798" t="inlineStr">
        <is>
          <t>работник 504</t>
        </is>
      </c>
      <c r="E2798" s="1" t="inlineStr">
        <is>
          <t>ОБЩЕСТВО С ОГРАНИЧЕННОЙ ОТВЕТСТВЕННОСТЬЮ "АМУР ЗОЛОТО"</t>
        </is>
      </c>
      <c r="F2798" s="1" t="inlineStr">
        <is>
          <t>2708001686</t>
        </is>
      </c>
      <c r="G2798" s="1" t="inlineStr">
        <is>
          <t>Электрогазосварщик (занятый на резке и ручной сварке)</t>
        </is>
      </c>
      <c r="H2798" s="1" t="inlineStr">
        <is>
          <t>ООО "Амур Золото"</t>
        </is>
      </c>
      <c r="I2798" s="1" t="inlineStr">
        <is>
          <t>2708001686</t>
        </is>
      </c>
      <c r="J2798" s="1" t="inlineStr">
        <is>
          <t>ЮГОК ЗИОФ 26-37</t>
        </is>
      </c>
      <c r="K2798" s="1" t="inlineStr">
        <is>
          <t>Использование (применение) средств индивидуальной защиты</t>
        </is>
      </c>
      <c r="L2798" s="1" t="inlineStr">
        <is>
          <t>29.07.2026</t>
        </is>
      </c>
      <c r="M2798" s="1" t="inlineStr">
        <is>
          <t>Успешно</t>
        </is>
      </c>
      <c r="N2798" s="1" t="inlineStr">
        <is>
          <t>11.08.2026</t>
        </is>
      </c>
      <c r="O2798" s="1" t="inlineStr"/>
      <c r="P2798" s="1" t="inlineStr"/>
      <c r="Q2798" s="1" t="inlineStr">
        <is>
          <t>Пользовательский интерфейс</t>
        </is>
      </c>
    </row>
    <row r="2799">
      <c r="B2799" s="1" t="inlineStr">
        <is>
          <t>214421306</t>
        </is>
      </c>
      <c r="C2799" s="1" t="inlineStr">
        <is>
          <t>15411209</t>
        </is>
      </c>
      <c r="D2799" t="inlineStr">
        <is>
          <t>работник 504</t>
        </is>
      </c>
      <c r="E2799" s="1" t="inlineStr">
        <is>
          <t>ОБЩЕСТВО С ОГРАНИЧЕННОЙ ОТВЕТСТВЕННОСТЬЮ "АМУР ЗОЛОТО"</t>
        </is>
      </c>
      <c r="F2799" s="1" t="inlineStr">
        <is>
          <t>2708001686</t>
        </is>
      </c>
      <c r="G2799" s="1" t="inlineStr">
        <is>
          <t>Электрогазосварщик (занятый на резке и ручной сварке)</t>
        </is>
      </c>
      <c r="H2799" s="1" t="inlineStr">
        <is>
          <t>ООО "Амур Золото"</t>
        </is>
      </c>
      <c r="I2799" s="1" t="inlineStr">
        <is>
          <t>2708001686</t>
        </is>
      </c>
      <c r="J2799" s="1" t="inlineStr">
        <is>
          <t>ЮГОК ЗИОФ 26-37</t>
        </is>
      </c>
      <c r="K279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799" s="1" t="inlineStr">
        <is>
          <t>29.07.2026</t>
        </is>
      </c>
      <c r="M2799" s="1" t="inlineStr">
        <is>
          <t>Успешно</t>
        </is>
      </c>
      <c r="N2799" s="1" t="inlineStr">
        <is>
          <t>11.08.2026</t>
        </is>
      </c>
      <c r="O2799" s="1" t="inlineStr"/>
      <c r="P2799" s="1" t="inlineStr"/>
      <c r="Q2799" s="1" t="inlineStr">
        <is>
          <t>Пользовательский интерфейс</t>
        </is>
      </c>
    </row>
    <row r="2800">
      <c r="B2800" s="1" t="inlineStr">
        <is>
          <t>214421307</t>
        </is>
      </c>
      <c r="C2800" s="1" t="inlineStr">
        <is>
          <t>15411209</t>
        </is>
      </c>
      <c r="D2800" t="inlineStr">
        <is>
          <t>работник 659</t>
        </is>
      </c>
      <c r="E2800" s="1" t="inlineStr">
        <is>
          <t>ОБЩЕСТВО С ОГРАНИЧЕННОЙ ОТВЕТСТВЕННОСТЬЮ "АМУР ЗОЛОТО"</t>
        </is>
      </c>
      <c r="F2800" s="1" t="inlineStr">
        <is>
          <t>2708001686</t>
        </is>
      </c>
      <c r="G2800" s="1" t="inlineStr">
        <is>
          <t>Электрогазосварщик (занятый на резке и ручной сварке)</t>
        </is>
      </c>
      <c r="H2800" s="1" t="inlineStr">
        <is>
          <t>ООО "Амур Золото"</t>
        </is>
      </c>
      <c r="I2800" s="1" t="inlineStr">
        <is>
          <t>2708001686</t>
        </is>
      </c>
      <c r="J2800" s="1" t="inlineStr">
        <is>
          <t>ЮГОК ЗИОФ 26-37</t>
        </is>
      </c>
      <c r="K2800" s="1" t="inlineStr">
        <is>
          <t>Оказание первой помощи пострадавшим</t>
        </is>
      </c>
      <c r="L2800" s="1" t="inlineStr">
        <is>
          <t>29.07.2026</t>
        </is>
      </c>
      <c r="M2800" s="1" t="inlineStr">
        <is>
          <t>Успешно</t>
        </is>
      </c>
      <c r="N2800" s="1" t="inlineStr">
        <is>
          <t>11.08.2026</t>
        </is>
      </c>
      <c r="O2800" s="1" t="inlineStr"/>
      <c r="P2800" s="1" t="inlineStr"/>
      <c r="Q2800" s="1" t="inlineStr">
        <is>
          <t>Пользовательский интерфейс</t>
        </is>
      </c>
    </row>
    <row r="2801">
      <c r="B2801" s="1" t="inlineStr">
        <is>
          <t>214421308</t>
        </is>
      </c>
      <c r="C2801" s="1" t="inlineStr">
        <is>
          <t>15411209</t>
        </is>
      </c>
      <c r="D2801" t="inlineStr">
        <is>
          <t>работник 659</t>
        </is>
      </c>
      <c r="E2801" s="1" t="inlineStr">
        <is>
          <t>ОБЩЕСТВО С ОГРАНИЧЕННОЙ ОТВЕТСТВЕННОСТЬЮ "АМУР ЗОЛОТО"</t>
        </is>
      </c>
      <c r="F2801" s="1" t="inlineStr">
        <is>
          <t>2708001686</t>
        </is>
      </c>
      <c r="G2801" s="1" t="inlineStr">
        <is>
          <t>Электрогазосварщик (занятый на резке и ручной сварке)</t>
        </is>
      </c>
      <c r="H2801" s="1" t="inlineStr">
        <is>
          <t>ООО "Амур Золото"</t>
        </is>
      </c>
      <c r="I2801" s="1" t="inlineStr">
        <is>
          <t>2708001686</t>
        </is>
      </c>
      <c r="J2801" s="1" t="inlineStr">
        <is>
          <t>ЮГОК ЗИОФ 26-37</t>
        </is>
      </c>
      <c r="K280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801" s="1" t="inlineStr">
        <is>
          <t>29.07.2026</t>
        </is>
      </c>
      <c r="M2801" s="1" t="inlineStr">
        <is>
          <t>Успешно</t>
        </is>
      </c>
      <c r="N2801" s="1" t="inlineStr">
        <is>
          <t>11.08.2026</t>
        </is>
      </c>
      <c r="O2801" s="1" t="inlineStr"/>
      <c r="P2801" s="1" t="inlineStr"/>
      <c r="Q2801" s="1" t="inlineStr">
        <is>
          <t>Пользовательский интерфейс</t>
        </is>
      </c>
    </row>
    <row r="2802">
      <c r="B2802" s="1" t="inlineStr">
        <is>
          <t>214421309</t>
        </is>
      </c>
      <c r="C2802" s="1" t="inlineStr">
        <is>
          <t>15411209</t>
        </is>
      </c>
      <c r="D2802" t="inlineStr">
        <is>
          <t>работник 758</t>
        </is>
      </c>
      <c r="E2802" s="1" t="inlineStr">
        <is>
          <t>ОБЩЕСТВО С ОГРАНИЧЕННОЙ ОТВЕТСТВЕННОСТЬЮ "АМУР ЗОЛОТО"</t>
        </is>
      </c>
      <c r="F2802" s="1" t="inlineStr">
        <is>
          <t>2708001686</t>
        </is>
      </c>
      <c r="G2802" s="1" t="inlineStr">
        <is>
          <t>Слесарь-ремонтник (по ремонту обогатительного оборудования)</t>
        </is>
      </c>
      <c r="H2802" s="1" t="inlineStr">
        <is>
          <t>ООО "Амур Золото"</t>
        </is>
      </c>
      <c r="I2802" s="1" t="inlineStr">
        <is>
          <t>2708001686</t>
        </is>
      </c>
      <c r="J2802" s="1" t="inlineStr">
        <is>
          <t>ЮГОК ЗИОФ 26-38</t>
        </is>
      </c>
      <c r="K2802" s="1" t="inlineStr">
        <is>
          <t>Оказание первой помощи пострадавшим</t>
        </is>
      </c>
      <c r="L2802" s="1" t="inlineStr">
        <is>
          <t>29.07.2026</t>
        </is>
      </c>
      <c r="M2802" s="1" t="inlineStr">
        <is>
          <t>Успешно</t>
        </is>
      </c>
      <c r="N2802" s="1" t="inlineStr">
        <is>
          <t>11.08.2026</t>
        </is>
      </c>
      <c r="O2802" s="1" t="inlineStr"/>
      <c r="P2802" s="1" t="inlineStr"/>
      <c r="Q2802" s="1" t="inlineStr">
        <is>
          <t>Пользовательский интерфейс</t>
        </is>
      </c>
    </row>
    <row r="2803">
      <c r="B2803" s="1" t="inlineStr">
        <is>
          <t>214421310</t>
        </is>
      </c>
      <c r="C2803" s="1" t="inlineStr">
        <is>
          <t>15411209</t>
        </is>
      </c>
      <c r="D2803" t="inlineStr">
        <is>
          <t>работник 758</t>
        </is>
      </c>
      <c r="E2803" s="1" t="inlineStr">
        <is>
          <t>ОБЩЕСТВО С ОГРАНИЧЕННОЙ ОТВЕТСТВЕННОСТЬЮ "АМУР ЗОЛОТО"</t>
        </is>
      </c>
      <c r="F2803" s="1" t="inlineStr">
        <is>
          <t>2708001686</t>
        </is>
      </c>
      <c r="G2803" s="1" t="inlineStr">
        <is>
          <t>Слесарь-ремонтник (по ремонту обогатительного оборудования)</t>
        </is>
      </c>
      <c r="H2803" s="1" t="inlineStr">
        <is>
          <t>ООО "Амур Золото"</t>
        </is>
      </c>
      <c r="I2803" s="1" t="inlineStr">
        <is>
          <t>2708001686</t>
        </is>
      </c>
      <c r="J2803" s="1" t="inlineStr">
        <is>
          <t>ЮГОК ЗИОФ 26-38</t>
        </is>
      </c>
      <c r="K2803" s="1" t="inlineStr">
        <is>
          <t>Использование (применение) средств индивидуальной защиты</t>
        </is>
      </c>
      <c r="L2803" s="1" t="inlineStr">
        <is>
          <t>29.07.2026</t>
        </is>
      </c>
      <c r="M2803" s="1" t="inlineStr">
        <is>
          <t>Успешно</t>
        </is>
      </c>
      <c r="N2803" s="1" t="inlineStr">
        <is>
          <t>11.08.2026</t>
        </is>
      </c>
      <c r="O2803" s="1" t="inlineStr"/>
      <c r="P2803" s="1" t="inlineStr"/>
      <c r="Q2803" s="1" t="inlineStr">
        <is>
          <t>Пользовательский интерфейс</t>
        </is>
      </c>
    </row>
    <row r="2804">
      <c r="B2804" s="1" t="inlineStr">
        <is>
          <t>214421311</t>
        </is>
      </c>
      <c r="C2804" s="1" t="inlineStr">
        <is>
          <t>15411209</t>
        </is>
      </c>
      <c r="D2804" t="inlineStr">
        <is>
          <t>работник 758</t>
        </is>
      </c>
      <c r="E2804" s="1" t="inlineStr">
        <is>
          <t>ОБЩЕСТВО С ОГРАНИЧЕННОЙ ОТВЕТСТВЕННОСТЬЮ "АМУР ЗОЛОТО"</t>
        </is>
      </c>
      <c r="F2804" s="1" t="inlineStr">
        <is>
          <t>2708001686</t>
        </is>
      </c>
      <c r="G2804" s="1" t="inlineStr">
        <is>
          <t>Слесарь-ремонтник (по ремонту обогатительного оборудования)</t>
        </is>
      </c>
      <c r="H2804" s="1" t="inlineStr">
        <is>
          <t>ООО "Амур Золото"</t>
        </is>
      </c>
      <c r="I2804" s="1" t="inlineStr">
        <is>
          <t>2708001686</t>
        </is>
      </c>
      <c r="J2804" s="1" t="inlineStr">
        <is>
          <t>ЮГОК ЗИОФ 26-38</t>
        </is>
      </c>
      <c r="K280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804" s="1" t="inlineStr">
        <is>
          <t>29.07.2026</t>
        </is>
      </c>
      <c r="M2804" s="1" t="inlineStr">
        <is>
          <t>Успешно</t>
        </is>
      </c>
      <c r="N2804" s="1" t="inlineStr">
        <is>
          <t>11.08.2026</t>
        </is>
      </c>
      <c r="O2804" s="1" t="inlineStr"/>
      <c r="P2804" s="1" t="inlineStr"/>
      <c r="Q2804" s="1" t="inlineStr">
        <is>
          <t>Пользовательский интерфейс</t>
        </is>
      </c>
    </row>
    <row r="2805">
      <c r="B2805" s="1" t="inlineStr">
        <is>
          <t>214421312</t>
        </is>
      </c>
      <c r="C2805" s="1" t="inlineStr">
        <is>
          <t>15411209</t>
        </is>
      </c>
      <c r="D2805" t="inlineStr">
        <is>
          <t>работник 24</t>
        </is>
      </c>
      <c r="E2805" s="1" t="inlineStr">
        <is>
          <t>ОБЩЕСТВО С ОГРАНИЧЕННОЙ ОТВЕТСТВЕННОСТЬЮ "АМУР ЗОЛОТО"</t>
        </is>
      </c>
      <c r="F2805" s="1" t="inlineStr">
        <is>
          <t>2708001686</t>
        </is>
      </c>
      <c r="G2805" s="1" t="inlineStr">
        <is>
          <t>Слесарь-ремонтник (по ремонту обогатительного оборудования)</t>
        </is>
      </c>
      <c r="H2805" s="1" t="inlineStr">
        <is>
          <t>ООО "Амур Золото"</t>
        </is>
      </c>
      <c r="I2805" s="1" t="inlineStr">
        <is>
          <t>2708001686</t>
        </is>
      </c>
      <c r="J2805" s="1" t="inlineStr">
        <is>
          <t>ЮГОК ЗИОФ 26-38</t>
        </is>
      </c>
      <c r="K2805" s="1" t="inlineStr">
        <is>
          <t>Оказание первой помощи пострадавшим</t>
        </is>
      </c>
      <c r="L2805" s="1" t="inlineStr">
        <is>
          <t>29.07.2026</t>
        </is>
      </c>
      <c r="M2805" s="1" t="inlineStr">
        <is>
          <t>Успешно</t>
        </is>
      </c>
      <c r="N2805" s="1" t="inlineStr">
        <is>
          <t>11.08.2026</t>
        </is>
      </c>
      <c r="O2805" s="1" t="inlineStr"/>
      <c r="P2805" s="1" t="inlineStr"/>
      <c r="Q2805" s="1" t="inlineStr">
        <is>
          <t>Пользовательский интерфейс</t>
        </is>
      </c>
    </row>
    <row r="2806">
      <c r="B2806" s="1" t="inlineStr">
        <is>
          <t>214421313</t>
        </is>
      </c>
      <c r="C2806" s="1" t="inlineStr">
        <is>
          <t>15411209</t>
        </is>
      </c>
      <c r="D2806" t="inlineStr">
        <is>
          <t>работник 24</t>
        </is>
      </c>
      <c r="E2806" s="1" t="inlineStr">
        <is>
          <t>ОБЩЕСТВО С ОГРАНИЧЕННОЙ ОТВЕТСТВЕННОСТЬЮ "АМУР ЗОЛОТО"</t>
        </is>
      </c>
      <c r="F2806" s="1" t="inlineStr">
        <is>
          <t>2708001686</t>
        </is>
      </c>
      <c r="G2806" s="1" t="inlineStr">
        <is>
          <t>Слесарь-ремонтник (по ремонту обогатительного оборудования)</t>
        </is>
      </c>
      <c r="H2806" s="1" t="inlineStr">
        <is>
          <t>ООО "Амур Золото"</t>
        </is>
      </c>
      <c r="I2806" s="1" t="inlineStr">
        <is>
          <t>2708001686</t>
        </is>
      </c>
      <c r="J2806" s="1" t="inlineStr">
        <is>
          <t>ЮГОК ЗИОФ 26-38</t>
        </is>
      </c>
      <c r="K2806" s="1" t="inlineStr">
        <is>
          <t>Использование (применение) средств индивидуальной защиты</t>
        </is>
      </c>
      <c r="L2806" s="1" t="inlineStr">
        <is>
          <t>29.07.2026</t>
        </is>
      </c>
      <c r="M2806" s="1" t="inlineStr">
        <is>
          <t>Успешно</t>
        </is>
      </c>
      <c r="N2806" s="1" t="inlineStr">
        <is>
          <t>11.08.2026</t>
        </is>
      </c>
      <c r="O2806" s="1" t="inlineStr"/>
      <c r="P2806" s="1" t="inlineStr"/>
      <c r="Q2806" s="1" t="inlineStr">
        <is>
          <t>Пользовательский интерфейс</t>
        </is>
      </c>
    </row>
    <row r="2807">
      <c r="B2807" s="1" t="inlineStr">
        <is>
          <t>214421314</t>
        </is>
      </c>
      <c r="C2807" s="1" t="inlineStr">
        <is>
          <t>15411209</t>
        </is>
      </c>
      <c r="D2807" t="inlineStr">
        <is>
          <t>работник 832</t>
        </is>
      </c>
      <c r="E2807" s="1" t="inlineStr">
        <is>
          <t>ОБЩЕСТВО С ОГРАНИЧЕННОЙ ОТВЕТСТВЕННОСТЬЮ "АМУР ЗОЛОТО"</t>
        </is>
      </c>
      <c r="F2807" s="1" t="inlineStr">
        <is>
          <t>2708001686</t>
        </is>
      </c>
      <c r="G2807" s="1" t="inlineStr">
        <is>
          <t>Растворщик реагентов</t>
        </is>
      </c>
      <c r="H2807" s="1" t="inlineStr">
        <is>
          <t>ООО "Амур Золото"</t>
        </is>
      </c>
      <c r="I2807" s="1" t="inlineStr">
        <is>
          <t>2708001686</t>
        </is>
      </c>
      <c r="J2807" s="1" t="inlineStr">
        <is>
          <t>ЮГОК ЗИОФ 26-41</t>
        </is>
      </c>
      <c r="K2807" s="1" t="inlineStr">
        <is>
          <t>Использование (применение) средств индивидуальной защиты</t>
        </is>
      </c>
      <c r="L2807" s="1" t="inlineStr">
        <is>
          <t>29.07.2026</t>
        </is>
      </c>
      <c r="M2807" s="1" t="inlineStr">
        <is>
          <t>Успешно</t>
        </is>
      </c>
      <c r="N2807" s="1" t="inlineStr">
        <is>
          <t>11.08.2026</t>
        </is>
      </c>
      <c r="O2807" s="1" t="inlineStr"/>
      <c r="P2807" s="1" t="inlineStr"/>
      <c r="Q2807" s="1" t="inlineStr">
        <is>
          <t>Пользовательский интерфейс</t>
        </is>
      </c>
    </row>
    <row r="2808">
      <c r="B2808" s="1" t="inlineStr">
        <is>
          <t>214421315</t>
        </is>
      </c>
      <c r="C2808" s="1" t="inlineStr">
        <is>
          <t>15411209</t>
        </is>
      </c>
      <c r="D2808" t="inlineStr">
        <is>
          <t>работник 24</t>
        </is>
      </c>
      <c r="E2808" s="1" t="inlineStr">
        <is>
          <t>ОБЩЕСТВО С ОГРАНИЧЕННОЙ ОТВЕТСТВЕННОСТЬЮ "АМУР ЗОЛОТО"</t>
        </is>
      </c>
      <c r="F2808" s="1" t="inlineStr">
        <is>
          <t>2708001686</t>
        </is>
      </c>
      <c r="G2808" s="1" t="inlineStr">
        <is>
          <t>Слесарь-ремонтник (по ремонту обогатительного оборудования)</t>
        </is>
      </c>
      <c r="H2808" s="1" t="inlineStr">
        <is>
          <t>ООО "Амур Золото"</t>
        </is>
      </c>
      <c r="I2808" s="1" t="inlineStr">
        <is>
          <t>2708001686</t>
        </is>
      </c>
      <c r="J2808" s="1" t="inlineStr">
        <is>
          <t>ЮГОК ЗИОФ 26-38</t>
        </is>
      </c>
      <c r="K280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808" s="1" t="inlineStr">
        <is>
          <t>29.07.2026</t>
        </is>
      </c>
      <c r="M2808" s="1" t="inlineStr">
        <is>
          <t>Успешно</t>
        </is>
      </c>
      <c r="N2808" s="1" t="inlineStr">
        <is>
          <t>11.08.2026</t>
        </is>
      </c>
      <c r="O2808" s="1" t="inlineStr"/>
      <c r="P2808" s="1" t="inlineStr"/>
      <c r="Q2808" s="1" t="inlineStr">
        <is>
          <t>Пользовательский интерфейс</t>
        </is>
      </c>
    </row>
    <row r="2809">
      <c r="B2809" s="1" t="inlineStr">
        <is>
          <t>214421316</t>
        </is>
      </c>
      <c r="C2809" s="1" t="inlineStr">
        <is>
          <t>15411209</t>
        </is>
      </c>
      <c r="D2809" t="inlineStr">
        <is>
          <t>работник 23</t>
        </is>
      </c>
      <c r="E2809" s="1" t="inlineStr">
        <is>
          <t>ОБЩЕСТВО С ОГРАНИЧЕННОЙ ОТВЕТСТВЕННОСТЬЮ "АМУР ЗОЛОТО"</t>
        </is>
      </c>
      <c r="F2809" s="1" t="inlineStr">
        <is>
          <t>2708001686</t>
        </is>
      </c>
      <c r="G2809" s="1" t="inlineStr">
        <is>
          <t>Слесарь-ремонтник (по ремонту обогатительного оборудования)</t>
        </is>
      </c>
      <c r="H2809" s="1" t="inlineStr">
        <is>
          <t>ООО "Амур Золото"</t>
        </is>
      </c>
      <c r="I2809" s="1" t="inlineStr">
        <is>
          <t>2708001686</t>
        </is>
      </c>
      <c r="J2809" s="1" t="inlineStr">
        <is>
          <t>ЮГОК ЗИОФ 26-38</t>
        </is>
      </c>
      <c r="K2809" s="1" t="inlineStr">
        <is>
          <t>Оказание первой помощи пострадавшим</t>
        </is>
      </c>
      <c r="L2809" s="1" t="inlineStr">
        <is>
          <t>29.07.2026</t>
        </is>
      </c>
      <c r="M2809" s="1" t="inlineStr">
        <is>
          <t>Успешно</t>
        </is>
      </c>
      <c r="N2809" s="1" t="inlineStr">
        <is>
          <t>11.08.2026</t>
        </is>
      </c>
      <c r="O2809" s="1" t="inlineStr"/>
      <c r="P2809" s="1" t="inlineStr"/>
      <c r="Q2809" s="1" t="inlineStr">
        <is>
          <t>Пользовательский интерфейс</t>
        </is>
      </c>
    </row>
    <row r="2810">
      <c r="B2810" s="1" t="inlineStr">
        <is>
          <t>214421317</t>
        </is>
      </c>
      <c r="C2810" s="1" t="inlineStr">
        <is>
          <t>15411209</t>
        </is>
      </c>
      <c r="D2810" t="inlineStr">
        <is>
          <t>работник 23</t>
        </is>
      </c>
      <c r="E2810" s="1" t="inlineStr">
        <is>
          <t>ОБЩЕСТВО С ОГРАНИЧЕННОЙ ОТВЕТСТВЕННОСТЬЮ "АМУР ЗОЛОТО"</t>
        </is>
      </c>
      <c r="F2810" s="1" t="inlineStr">
        <is>
          <t>2708001686</t>
        </is>
      </c>
      <c r="G2810" s="1" t="inlineStr">
        <is>
          <t>Слесарь-ремонтник (по ремонту обогатительного оборудования)</t>
        </is>
      </c>
      <c r="H2810" s="1" t="inlineStr">
        <is>
          <t>ООО "Амур Золото"</t>
        </is>
      </c>
      <c r="I2810" s="1" t="inlineStr">
        <is>
          <t>2708001686</t>
        </is>
      </c>
      <c r="J2810" s="1" t="inlineStr">
        <is>
          <t>ЮГОК ЗИОФ 26-38</t>
        </is>
      </c>
      <c r="K2810" s="1" t="inlineStr">
        <is>
          <t>Использование (применение) средств индивидуальной защиты</t>
        </is>
      </c>
      <c r="L2810" s="1" t="inlineStr">
        <is>
          <t>29.07.2026</t>
        </is>
      </c>
      <c r="M2810" s="1" t="inlineStr">
        <is>
          <t>Успешно</t>
        </is>
      </c>
      <c r="N2810" s="1" t="inlineStr">
        <is>
          <t>11.08.2026</t>
        </is>
      </c>
      <c r="O2810" s="1" t="inlineStr"/>
      <c r="P2810" s="1" t="inlineStr"/>
      <c r="Q2810" s="1" t="inlineStr">
        <is>
          <t>Пользовательский интерфейс</t>
        </is>
      </c>
    </row>
    <row r="2811">
      <c r="B2811" s="1" t="inlineStr">
        <is>
          <t>214421318</t>
        </is>
      </c>
      <c r="C2811" s="1" t="inlineStr">
        <is>
          <t>15411209</t>
        </is>
      </c>
      <c r="D2811" t="inlineStr">
        <is>
          <t>работник 23</t>
        </is>
      </c>
      <c r="E2811" s="1" t="inlineStr">
        <is>
          <t>ОБЩЕСТВО С ОГРАНИЧЕННОЙ ОТВЕТСТВЕННОСТЬЮ "АМУР ЗОЛОТО"</t>
        </is>
      </c>
      <c r="F2811" s="1" t="inlineStr">
        <is>
          <t>2708001686</t>
        </is>
      </c>
      <c r="G2811" s="1" t="inlineStr">
        <is>
          <t>Слесарь-ремонтник (по ремонту обогатительного оборудования)</t>
        </is>
      </c>
      <c r="H2811" s="1" t="inlineStr">
        <is>
          <t>ООО "Амур Золото"</t>
        </is>
      </c>
      <c r="I2811" s="1" t="inlineStr">
        <is>
          <t>2708001686</t>
        </is>
      </c>
      <c r="J2811" s="1" t="inlineStr">
        <is>
          <t>ЮГОК ЗИОФ 26-38</t>
        </is>
      </c>
      <c r="K281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811" s="1" t="inlineStr">
        <is>
          <t>29.07.2026</t>
        </is>
      </c>
      <c r="M2811" s="1" t="inlineStr">
        <is>
          <t>Успешно</t>
        </is>
      </c>
      <c r="N2811" s="1" t="inlineStr">
        <is>
          <t>11.08.2026</t>
        </is>
      </c>
      <c r="O2811" s="1" t="inlineStr"/>
      <c r="P2811" s="1" t="inlineStr"/>
      <c r="Q2811" s="1" t="inlineStr">
        <is>
          <t>Пользовательский интерфейс</t>
        </is>
      </c>
    </row>
    <row r="2812">
      <c r="B2812" s="1" t="inlineStr">
        <is>
          <t>214421319</t>
        </is>
      </c>
      <c r="C2812" s="1" t="inlineStr">
        <is>
          <t>15411209</t>
        </is>
      </c>
      <c r="D2812" t="inlineStr">
        <is>
          <t>работник 243</t>
        </is>
      </c>
      <c r="E2812" s="1" t="inlineStr">
        <is>
          <t>ОБЩЕСТВО С ОГРАНИЧЕННОЙ ОТВЕТСТВЕННОСТЬЮ "АМУР ЗОЛОТО"</t>
        </is>
      </c>
      <c r="F2812" s="1" t="inlineStr">
        <is>
          <t>2708001686</t>
        </is>
      </c>
      <c r="G2812" s="1" t="inlineStr">
        <is>
          <t>Слесарь по контрольно-измерительным приборам и автоматике</t>
        </is>
      </c>
      <c r="H2812" s="1" t="inlineStr">
        <is>
          <t>ООО "Амур Золото"</t>
        </is>
      </c>
      <c r="I2812" s="1" t="inlineStr">
        <is>
          <t>2708001686</t>
        </is>
      </c>
      <c r="J2812" s="1" t="inlineStr">
        <is>
          <t>ЮГОК ЗИОФ 26-39</t>
        </is>
      </c>
      <c r="K2812" s="1" t="inlineStr">
        <is>
          <t>Оказание первой помощи пострадавшим</t>
        </is>
      </c>
      <c r="L2812" s="1" t="inlineStr">
        <is>
          <t>29.07.2026</t>
        </is>
      </c>
      <c r="M2812" s="1" t="inlineStr">
        <is>
          <t>Успешно</t>
        </is>
      </c>
      <c r="N2812" s="1" t="inlineStr">
        <is>
          <t>11.08.2026</t>
        </is>
      </c>
      <c r="O2812" s="1" t="inlineStr"/>
      <c r="P2812" s="1" t="inlineStr"/>
      <c r="Q2812" s="1" t="inlineStr">
        <is>
          <t>Пользовательский интерфейс</t>
        </is>
      </c>
    </row>
    <row r="2813">
      <c r="B2813" s="1" t="inlineStr">
        <is>
          <t>214421320</t>
        </is>
      </c>
      <c r="C2813" s="1" t="inlineStr">
        <is>
          <t>15411209</t>
        </is>
      </c>
      <c r="D2813" t="inlineStr">
        <is>
          <t>работник 243</t>
        </is>
      </c>
      <c r="E2813" s="1" t="inlineStr">
        <is>
          <t>ОБЩЕСТВО С ОГРАНИЧЕННОЙ ОТВЕТСТВЕННОСТЬЮ "АМУР ЗОЛОТО"</t>
        </is>
      </c>
      <c r="F2813" s="1" t="inlineStr">
        <is>
          <t>2708001686</t>
        </is>
      </c>
      <c r="G2813" s="1" t="inlineStr">
        <is>
          <t>Слесарь по контрольно-измерительным приборам и автоматике</t>
        </is>
      </c>
      <c r="H2813" s="1" t="inlineStr">
        <is>
          <t>ООО "Амур Золото"</t>
        </is>
      </c>
      <c r="I2813" s="1" t="inlineStr">
        <is>
          <t>2708001686</t>
        </is>
      </c>
      <c r="J2813" s="1" t="inlineStr">
        <is>
          <t>ЮГОК ЗИОФ 26-39</t>
        </is>
      </c>
      <c r="K2813" s="1" t="inlineStr">
        <is>
          <t>Использование (применение) средств индивидуальной защиты</t>
        </is>
      </c>
      <c r="L2813" s="1" t="inlineStr">
        <is>
          <t>29.07.2026</t>
        </is>
      </c>
      <c r="M2813" s="1" t="inlineStr">
        <is>
          <t>Успешно</t>
        </is>
      </c>
      <c r="N2813" s="1" t="inlineStr">
        <is>
          <t>11.08.2026</t>
        </is>
      </c>
      <c r="O2813" s="1" t="inlineStr"/>
      <c r="P2813" s="1" t="inlineStr"/>
      <c r="Q2813" s="1" t="inlineStr">
        <is>
          <t>Пользовательский интерфейс</t>
        </is>
      </c>
    </row>
    <row r="2814">
      <c r="B2814" s="1" t="inlineStr">
        <is>
          <t>214421321</t>
        </is>
      </c>
      <c r="C2814" s="1" t="inlineStr">
        <is>
          <t>15411209</t>
        </is>
      </c>
      <c r="D2814" t="inlineStr">
        <is>
          <t>работник 243</t>
        </is>
      </c>
      <c r="E2814" s="1" t="inlineStr">
        <is>
          <t>ОБЩЕСТВО С ОГРАНИЧЕННОЙ ОТВЕТСТВЕННОСТЬЮ "АМУР ЗОЛОТО"</t>
        </is>
      </c>
      <c r="F2814" s="1" t="inlineStr">
        <is>
          <t>2708001686</t>
        </is>
      </c>
      <c r="G2814" s="1" t="inlineStr">
        <is>
          <t>Слесарь по контрольно-измерительным приборам и автоматике</t>
        </is>
      </c>
      <c r="H2814" s="1" t="inlineStr">
        <is>
          <t>ООО "Амур Золото"</t>
        </is>
      </c>
      <c r="I2814" s="1" t="inlineStr">
        <is>
          <t>2708001686</t>
        </is>
      </c>
      <c r="J2814" s="1" t="inlineStr">
        <is>
          <t>ЮГОК ЗИОФ 26-39</t>
        </is>
      </c>
      <c r="K281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814" s="1" t="inlineStr">
        <is>
          <t>29.07.2026</t>
        </is>
      </c>
      <c r="M2814" s="1" t="inlineStr">
        <is>
          <t>Успешно</t>
        </is>
      </c>
      <c r="N2814" s="1" t="inlineStr">
        <is>
          <t>11.08.2026</t>
        </is>
      </c>
      <c r="O2814" s="1" t="inlineStr"/>
      <c r="P2814" s="1" t="inlineStr"/>
      <c r="Q2814" s="1" t="inlineStr">
        <is>
          <t>Пользовательский интерфейс</t>
        </is>
      </c>
    </row>
    <row r="2815">
      <c r="B2815" s="1" t="inlineStr">
        <is>
          <t>214421322</t>
        </is>
      </c>
      <c r="C2815" s="1" t="inlineStr">
        <is>
          <t>15411209</t>
        </is>
      </c>
      <c r="D2815" t="inlineStr">
        <is>
          <t>работник 834</t>
        </is>
      </c>
      <c r="E2815" s="1" t="inlineStr">
        <is>
          <t>ОБЩЕСТВО С ОГРАНИЧЕННОЙ ОТВЕТСТВЕННОСТЬЮ "АМУР ЗОЛОТО"</t>
        </is>
      </c>
      <c r="F2815" s="1" t="inlineStr">
        <is>
          <t>2708001686</t>
        </is>
      </c>
      <c r="G2815" s="1" t="inlineStr">
        <is>
          <t>подсобный рабочий</t>
        </is>
      </c>
      <c r="H2815" s="1" t="inlineStr">
        <is>
          <t>ООО "Амур Золото"</t>
        </is>
      </c>
      <c r="I2815" s="1" t="inlineStr">
        <is>
          <t>2708001686</t>
        </is>
      </c>
      <c r="J2815" s="1" t="inlineStr">
        <is>
          <t>ЮГОК ЗИОФ 26-40</t>
        </is>
      </c>
      <c r="K2815" s="1" t="inlineStr">
        <is>
          <t>Оказание первой помощи пострадавшим</t>
        </is>
      </c>
      <c r="L2815" s="1" t="inlineStr">
        <is>
          <t>29.07.2026</t>
        </is>
      </c>
      <c r="M2815" s="1" t="inlineStr">
        <is>
          <t>Успешно</t>
        </is>
      </c>
      <c r="N2815" s="1" t="inlineStr">
        <is>
          <t>11.08.2026</t>
        </is>
      </c>
      <c r="O2815" s="1" t="inlineStr"/>
      <c r="P2815" s="1" t="inlineStr"/>
      <c r="Q2815" s="1" t="inlineStr">
        <is>
          <t>Пользовательский интерфейс</t>
        </is>
      </c>
    </row>
    <row r="2816">
      <c r="B2816" s="1" t="inlineStr">
        <is>
          <t>214421323</t>
        </is>
      </c>
      <c r="C2816" s="1" t="inlineStr">
        <is>
          <t>15411209</t>
        </is>
      </c>
      <c r="D2816" t="inlineStr">
        <is>
          <t>работник 834</t>
        </is>
      </c>
      <c r="E2816" s="1" t="inlineStr">
        <is>
          <t>ОБЩЕСТВО С ОГРАНИЧЕННОЙ ОТВЕТСТВЕННОСТЬЮ "АМУР ЗОЛОТО"</t>
        </is>
      </c>
      <c r="F2816" s="1" t="inlineStr">
        <is>
          <t>2708001686</t>
        </is>
      </c>
      <c r="G2816" s="1" t="inlineStr">
        <is>
          <t>подсобный рабочий</t>
        </is>
      </c>
      <c r="H2816" s="1" t="inlineStr">
        <is>
          <t>ООО "Амур Золото"</t>
        </is>
      </c>
      <c r="I2816" s="1" t="inlineStr">
        <is>
          <t>2708001686</t>
        </is>
      </c>
      <c r="J2816" s="1" t="inlineStr">
        <is>
          <t>ЮГОК ЗИОФ 26-40</t>
        </is>
      </c>
      <c r="K2816" s="1" t="inlineStr">
        <is>
          <t>Использование (применение) средств индивидуальной защиты</t>
        </is>
      </c>
      <c r="L2816" s="1" t="inlineStr">
        <is>
          <t>29.07.2026</t>
        </is>
      </c>
      <c r="M2816" s="1" t="inlineStr">
        <is>
          <t>Успешно</t>
        </is>
      </c>
      <c r="N2816" s="1" t="inlineStr">
        <is>
          <t>11.08.2026</t>
        </is>
      </c>
      <c r="O2816" s="1" t="inlineStr"/>
      <c r="P2816" s="1" t="inlineStr"/>
      <c r="Q2816" s="1" t="inlineStr">
        <is>
          <t>Пользовательский интерфейс</t>
        </is>
      </c>
    </row>
    <row r="2817">
      <c r="B2817" s="1" t="inlineStr">
        <is>
          <t>214421324</t>
        </is>
      </c>
      <c r="C2817" s="1" t="inlineStr">
        <is>
          <t>15411209</t>
        </is>
      </c>
      <c r="D2817" t="inlineStr">
        <is>
          <t>работник 834</t>
        </is>
      </c>
      <c r="E2817" s="1" t="inlineStr">
        <is>
          <t>ОБЩЕСТВО С ОГРАНИЧЕННОЙ ОТВЕТСТВЕННОСТЬЮ "АМУР ЗОЛОТО"</t>
        </is>
      </c>
      <c r="F2817" s="1" t="inlineStr">
        <is>
          <t>2708001686</t>
        </is>
      </c>
      <c r="G2817" s="1" t="inlineStr">
        <is>
          <t>подсобный рабочий</t>
        </is>
      </c>
      <c r="H2817" s="1" t="inlineStr">
        <is>
          <t>ООО "Амур Золото"</t>
        </is>
      </c>
      <c r="I2817" s="1" t="inlineStr">
        <is>
          <t>2708001686</t>
        </is>
      </c>
      <c r="J2817" s="1" t="inlineStr">
        <is>
          <t>ЮГОК ЗИОФ 26-40</t>
        </is>
      </c>
      <c r="K281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817" s="1" t="inlineStr">
        <is>
          <t>29.07.2026</t>
        </is>
      </c>
      <c r="M2817" s="1" t="inlineStr">
        <is>
          <t>Успешно</t>
        </is>
      </c>
      <c r="N2817" s="1" t="inlineStr">
        <is>
          <t>11.08.2026</t>
        </is>
      </c>
      <c r="O2817" s="1" t="inlineStr"/>
      <c r="P2817" s="1" t="inlineStr"/>
      <c r="Q2817" s="1" t="inlineStr">
        <is>
          <t>Пользовательский интерфейс</t>
        </is>
      </c>
    </row>
    <row r="2818">
      <c r="B2818" s="1" t="inlineStr">
        <is>
          <t>214421325</t>
        </is>
      </c>
      <c r="C2818" s="1" t="inlineStr">
        <is>
          <t>15411209</t>
        </is>
      </c>
      <c r="D2818" t="inlineStr">
        <is>
          <t>работник 835</t>
        </is>
      </c>
      <c r="E2818" s="1" t="inlineStr">
        <is>
          <t>ОБЩЕСТВО С ОГРАНИЧЕННОЙ ОТВЕТСТВЕННОСТЬЮ "АМУР ЗОЛОТО"</t>
        </is>
      </c>
      <c r="F2818" s="1" t="inlineStr">
        <is>
          <t>2708001686</t>
        </is>
      </c>
      <c r="G2818" s="1" t="inlineStr">
        <is>
          <t>подсобный рабочий</t>
        </is>
      </c>
      <c r="H2818" s="1" t="inlineStr">
        <is>
          <t>ООО "Амур Золото"</t>
        </is>
      </c>
      <c r="I2818" s="1" t="inlineStr">
        <is>
          <t>2708001686</t>
        </is>
      </c>
      <c r="J2818" s="1" t="inlineStr">
        <is>
          <t>ЮГОК ЗИОФ 26-40</t>
        </is>
      </c>
      <c r="K2818" s="1" t="inlineStr">
        <is>
          <t>Оказание первой помощи пострадавшим</t>
        </is>
      </c>
      <c r="L2818" s="1" t="inlineStr">
        <is>
          <t>29.07.2026</t>
        </is>
      </c>
      <c r="M2818" s="1" t="inlineStr">
        <is>
          <t>Успешно</t>
        </is>
      </c>
      <c r="N2818" s="1" t="inlineStr">
        <is>
          <t>11.08.2026</t>
        </is>
      </c>
      <c r="O2818" s="1" t="inlineStr"/>
      <c r="P2818" s="1" t="inlineStr"/>
      <c r="Q2818" s="1" t="inlineStr">
        <is>
          <t>Пользовательский интерфейс</t>
        </is>
      </c>
    </row>
    <row r="2819">
      <c r="B2819" s="1" t="inlineStr">
        <is>
          <t>214421326</t>
        </is>
      </c>
      <c r="C2819" s="1" t="inlineStr">
        <is>
          <t>15411209</t>
        </is>
      </c>
      <c r="D2819" t="inlineStr">
        <is>
          <t>работник 835</t>
        </is>
      </c>
      <c r="E2819" s="1" t="inlineStr">
        <is>
          <t>ОБЩЕСТВО С ОГРАНИЧЕННОЙ ОТВЕТСТВЕННОСТЬЮ "АМУР ЗОЛОТО"</t>
        </is>
      </c>
      <c r="F2819" s="1" t="inlineStr">
        <is>
          <t>2708001686</t>
        </is>
      </c>
      <c r="G2819" s="1" t="inlineStr">
        <is>
          <t>подсобный рабочий</t>
        </is>
      </c>
      <c r="H2819" s="1" t="inlineStr">
        <is>
          <t>ООО "Амур Золото"</t>
        </is>
      </c>
      <c r="I2819" s="1" t="inlineStr">
        <is>
          <t>2708001686</t>
        </is>
      </c>
      <c r="J2819" s="1" t="inlineStr">
        <is>
          <t>ЮГОК ЗИОФ 26-40</t>
        </is>
      </c>
      <c r="K2819" s="1" t="inlineStr">
        <is>
          <t>Использование (применение) средств индивидуальной защиты</t>
        </is>
      </c>
      <c r="L2819" s="1" t="inlineStr">
        <is>
          <t>29.07.2026</t>
        </is>
      </c>
      <c r="M2819" s="1" t="inlineStr">
        <is>
          <t>Успешно</t>
        </is>
      </c>
      <c r="N2819" s="1" t="inlineStr">
        <is>
          <t>11.08.2026</t>
        </is>
      </c>
      <c r="O2819" s="1" t="inlineStr"/>
      <c r="P2819" s="1" t="inlineStr"/>
      <c r="Q2819" s="1" t="inlineStr">
        <is>
          <t>Пользовательский интерфейс</t>
        </is>
      </c>
    </row>
    <row r="2820">
      <c r="B2820" s="1" t="inlineStr">
        <is>
          <t>214421327</t>
        </is>
      </c>
      <c r="C2820" s="1" t="inlineStr">
        <is>
          <t>15411209</t>
        </is>
      </c>
      <c r="D2820" t="inlineStr">
        <is>
          <t>работник 835</t>
        </is>
      </c>
      <c r="E2820" s="1" t="inlineStr">
        <is>
          <t>ОБЩЕСТВО С ОГРАНИЧЕННОЙ ОТВЕТСТВЕННОСТЬЮ "АМУР ЗОЛОТО"</t>
        </is>
      </c>
      <c r="F2820" s="1" t="inlineStr">
        <is>
          <t>2708001686</t>
        </is>
      </c>
      <c r="G2820" s="1" t="inlineStr">
        <is>
          <t>подсобный рабочий</t>
        </is>
      </c>
      <c r="H2820" s="1" t="inlineStr">
        <is>
          <t>ООО "Амур Золото"</t>
        </is>
      </c>
      <c r="I2820" s="1" t="inlineStr">
        <is>
          <t>2708001686</t>
        </is>
      </c>
      <c r="J2820" s="1" t="inlineStr">
        <is>
          <t>ЮГОК ЗИОФ 26-40</t>
        </is>
      </c>
      <c r="K282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820" s="1" t="inlineStr">
        <is>
          <t>29.07.2026</t>
        </is>
      </c>
      <c r="M2820" s="1" t="inlineStr">
        <is>
          <t>Успешно</t>
        </is>
      </c>
      <c r="N2820" s="1" t="inlineStr">
        <is>
          <t>11.08.2026</t>
        </is>
      </c>
      <c r="O2820" s="1" t="inlineStr"/>
      <c r="P2820" s="1" t="inlineStr"/>
      <c r="Q2820" s="1" t="inlineStr">
        <is>
          <t>Пользовательский интерфейс</t>
        </is>
      </c>
    </row>
    <row r="2821">
      <c r="B2821" s="1" t="inlineStr">
        <is>
          <t>214421328</t>
        </is>
      </c>
      <c r="C2821" s="1" t="inlineStr">
        <is>
          <t>15411209</t>
        </is>
      </c>
      <c r="D2821" t="inlineStr">
        <is>
          <t>работник 832</t>
        </is>
      </c>
      <c r="E2821" s="1" t="inlineStr">
        <is>
          <t>ОБЩЕСТВО С ОГРАНИЧЕННОЙ ОТВЕТСТВЕННОСТЬЮ "АМУР ЗОЛОТО"</t>
        </is>
      </c>
      <c r="F2821" s="1" t="inlineStr">
        <is>
          <t>2708001686</t>
        </is>
      </c>
      <c r="G2821" s="1" t="inlineStr">
        <is>
          <t>Растворщик реагентов</t>
        </is>
      </c>
      <c r="H2821" s="1" t="inlineStr">
        <is>
          <t>ООО "Амур Золото"</t>
        </is>
      </c>
      <c r="I2821" s="1" t="inlineStr">
        <is>
          <t>2708001686</t>
        </is>
      </c>
      <c r="J2821" s="1" t="inlineStr">
        <is>
          <t>ЮГОК ЗИОФ 26-41</t>
        </is>
      </c>
      <c r="K282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821" s="1" t="inlineStr">
        <is>
          <t>29.07.2026</t>
        </is>
      </c>
      <c r="M2821" s="1" t="inlineStr">
        <is>
          <t>Успешно</t>
        </is>
      </c>
      <c r="N2821" s="1" t="inlineStr">
        <is>
          <t>11.08.2026</t>
        </is>
      </c>
      <c r="O2821" s="1" t="inlineStr"/>
      <c r="P2821" s="1" t="inlineStr"/>
      <c r="Q2821" s="1" t="inlineStr">
        <is>
          <t>Пользовательский интерфейс</t>
        </is>
      </c>
    </row>
    <row r="2822">
      <c r="B2822" s="1" t="inlineStr">
        <is>
          <t>214421329</t>
        </is>
      </c>
      <c r="C2822" s="1" t="inlineStr">
        <is>
          <t>15411209</t>
        </is>
      </c>
      <c r="D2822" t="inlineStr">
        <is>
          <t>работник 836</t>
        </is>
      </c>
      <c r="E2822" s="1" t="inlineStr">
        <is>
          <t>ОБЩЕСТВО С ОГРАНИЧЕННОЙ ОТВЕТСТВЕННОСТЬЮ "АМУР ЗОЛОТО"</t>
        </is>
      </c>
      <c r="F2822" s="1" t="inlineStr">
        <is>
          <t>2708001686</t>
        </is>
      </c>
      <c r="G2822" s="1" t="inlineStr">
        <is>
          <t>Растворщик реагентов</t>
        </is>
      </c>
      <c r="H2822" s="1" t="inlineStr">
        <is>
          <t>ООО "Амур Золото"</t>
        </is>
      </c>
      <c r="I2822" s="1" t="inlineStr">
        <is>
          <t>2708001686</t>
        </is>
      </c>
      <c r="J2822" s="1" t="inlineStr">
        <is>
          <t>ЮГОК ЗИОФ 26-41</t>
        </is>
      </c>
      <c r="K2822" s="1" t="inlineStr">
        <is>
          <t>Оказание первой помощи пострадавшим</t>
        </is>
      </c>
      <c r="L2822" s="1" t="inlineStr">
        <is>
          <t>29.07.2026</t>
        </is>
      </c>
      <c r="M2822" s="1" t="inlineStr">
        <is>
          <t>Успешно</t>
        </is>
      </c>
      <c r="N2822" s="1" t="inlineStr">
        <is>
          <t>11.08.2026</t>
        </is>
      </c>
      <c r="O2822" s="1" t="inlineStr"/>
      <c r="P2822" s="1" t="inlineStr"/>
      <c r="Q2822" s="1" t="inlineStr">
        <is>
          <t>Пользовательский интерфейс</t>
        </is>
      </c>
    </row>
    <row r="2823">
      <c r="B2823" s="1" t="inlineStr">
        <is>
          <t>214421330</t>
        </is>
      </c>
      <c r="C2823" s="1" t="inlineStr">
        <is>
          <t>15411209</t>
        </is>
      </c>
      <c r="D2823" t="inlineStr">
        <is>
          <t>работник 836</t>
        </is>
      </c>
      <c r="E2823" s="1" t="inlineStr">
        <is>
          <t>ОБЩЕСТВО С ОГРАНИЧЕННОЙ ОТВЕТСТВЕННОСТЬЮ "АМУР ЗОЛОТО"</t>
        </is>
      </c>
      <c r="F2823" s="1" t="inlineStr">
        <is>
          <t>2708001686</t>
        </is>
      </c>
      <c r="G2823" s="1" t="inlineStr">
        <is>
          <t>Растворщик реагентов</t>
        </is>
      </c>
      <c r="H2823" s="1" t="inlineStr">
        <is>
          <t>ООО "Амур Золото"</t>
        </is>
      </c>
      <c r="I2823" s="1" t="inlineStr">
        <is>
          <t>2708001686</t>
        </is>
      </c>
      <c r="J2823" s="1" t="inlineStr">
        <is>
          <t>ЮГОК ЗИОФ 26-41</t>
        </is>
      </c>
      <c r="K2823" s="1" t="inlineStr">
        <is>
          <t>Использование (применение) средств индивидуальной защиты</t>
        </is>
      </c>
      <c r="L2823" s="1" t="inlineStr">
        <is>
          <t>29.07.2026</t>
        </is>
      </c>
      <c r="M2823" s="1" t="inlineStr">
        <is>
          <t>Успешно</t>
        </is>
      </c>
      <c r="N2823" s="1" t="inlineStr">
        <is>
          <t>11.08.2026</t>
        </is>
      </c>
      <c r="O2823" s="1" t="inlineStr"/>
      <c r="P2823" s="1" t="inlineStr"/>
      <c r="Q2823" s="1" t="inlineStr">
        <is>
          <t>Пользовательский интерфейс</t>
        </is>
      </c>
    </row>
    <row r="2824">
      <c r="B2824" s="1" t="inlineStr">
        <is>
          <t>214421331</t>
        </is>
      </c>
      <c r="C2824" s="1" t="inlineStr">
        <is>
          <t>15411209</t>
        </is>
      </c>
      <c r="D2824" t="inlineStr">
        <is>
          <t>работник 836</t>
        </is>
      </c>
      <c r="E2824" s="1" t="inlineStr">
        <is>
          <t>ОБЩЕСТВО С ОГРАНИЧЕННОЙ ОТВЕТСТВЕННОСТЬЮ "АМУР ЗОЛОТО"</t>
        </is>
      </c>
      <c r="F2824" s="1" t="inlineStr">
        <is>
          <t>2708001686</t>
        </is>
      </c>
      <c r="G2824" s="1" t="inlineStr">
        <is>
          <t>Растворщик реагентов</t>
        </is>
      </c>
      <c r="H2824" s="1" t="inlineStr">
        <is>
          <t>ООО "Амур Золото"</t>
        </is>
      </c>
      <c r="I2824" s="1" t="inlineStr">
        <is>
          <t>2708001686</t>
        </is>
      </c>
      <c r="J2824" s="1" t="inlineStr">
        <is>
          <t>ЮГОК ЗИОФ 26-41</t>
        </is>
      </c>
      <c r="K282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824" s="1" t="inlineStr">
        <is>
          <t>29.07.2026</t>
        </is>
      </c>
      <c r="M2824" s="1" t="inlineStr">
        <is>
          <t>Успешно</t>
        </is>
      </c>
      <c r="N2824" s="1" t="inlineStr">
        <is>
          <t>11.08.2026</t>
        </is>
      </c>
      <c r="O2824" s="1" t="inlineStr"/>
      <c r="P2824" s="1" t="inlineStr"/>
      <c r="Q2824" s="1" t="inlineStr">
        <is>
          <t>Пользовательский интерфейс</t>
        </is>
      </c>
    </row>
    <row r="2825">
      <c r="B2825" s="1" t="inlineStr">
        <is>
          <t>214421332</t>
        </is>
      </c>
      <c r="C2825" s="1" t="inlineStr">
        <is>
          <t>15411209</t>
        </is>
      </c>
      <c r="D2825" t="inlineStr">
        <is>
          <t>работник 674</t>
        </is>
      </c>
      <c r="E2825" s="1" t="inlineStr">
        <is>
          <t>ОБЩЕСТВО С ОГРАНИЧЕННОЙ ОТВЕТСТВЕННОСТЬЮ "АМУР ЗОЛОТО"</t>
        </is>
      </c>
      <c r="F2825" s="1" t="inlineStr">
        <is>
          <t>2708001686</t>
        </is>
      </c>
      <c r="G2825" s="1" t="inlineStr">
        <is>
          <t>Растворщик реагентов</t>
        </is>
      </c>
      <c r="H2825" s="1" t="inlineStr">
        <is>
          <t>ООО "Амур Золото"</t>
        </is>
      </c>
      <c r="I2825" s="1" t="inlineStr">
        <is>
          <t>2708001686</t>
        </is>
      </c>
      <c r="J2825" s="1" t="inlineStr">
        <is>
          <t>ЮГОК ЗИОФ 26-41</t>
        </is>
      </c>
      <c r="K2825" s="1" t="inlineStr">
        <is>
          <t>Оказание первой помощи пострадавшим</t>
        </is>
      </c>
      <c r="L2825" s="1" t="inlineStr">
        <is>
          <t>29.07.2026</t>
        </is>
      </c>
      <c r="M2825" s="1" t="inlineStr">
        <is>
          <t>Успешно</t>
        </is>
      </c>
      <c r="N2825" s="1" t="inlineStr">
        <is>
          <t>11.08.2026</t>
        </is>
      </c>
      <c r="O2825" s="1" t="inlineStr"/>
      <c r="P2825" s="1" t="inlineStr"/>
      <c r="Q2825" s="1" t="inlineStr">
        <is>
          <t>Пользовательский интерфейс</t>
        </is>
      </c>
    </row>
    <row r="2826">
      <c r="B2826" s="1" t="inlineStr">
        <is>
          <t>214421333</t>
        </is>
      </c>
      <c r="C2826" s="1" t="inlineStr">
        <is>
          <t>15411209</t>
        </is>
      </c>
      <c r="D2826" t="inlineStr">
        <is>
          <t>работник 674</t>
        </is>
      </c>
      <c r="E2826" s="1" t="inlineStr">
        <is>
          <t>ОБЩЕСТВО С ОГРАНИЧЕННОЙ ОТВЕТСТВЕННОСТЬЮ "АМУР ЗОЛОТО"</t>
        </is>
      </c>
      <c r="F2826" s="1" t="inlineStr">
        <is>
          <t>2708001686</t>
        </is>
      </c>
      <c r="G2826" s="1" t="inlineStr">
        <is>
          <t>Растворщик реагентов</t>
        </is>
      </c>
      <c r="H2826" s="1" t="inlineStr">
        <is>
          <t>ООО "Амур Золото"</t>
        </is>
      </c>
      <c r="I2826" s="1" t="inlineStr">
        <is>
          <t>2708001686</t>
        </is>
      </c>
      <c r="J2826" s="1" t="inlineStr">
        <is>
          <t>ЮГОК ЗИОФ 26-41</t>
        </is>
      </c>
      <c r="K2826" s="1" t="inlineStr">
        <is>
          <t>Использование (применение) средств индивидуальной защиты</t>
        </is>
      </c>
      <c r="L2826" s="1" t="inlineStr">
        <is>
          <t>29.07.2026</t>
        </is>
      </c>
      <c r="M2826" s="1" t="inlineStr">
        <is>
          <t>Успешно</t>
        </is>
      </c>
      <c r="N2826" s="1" t="inlineStr">
        <is>
          <t>11.08.2026</t>
        </is>
      </c>
      <c r="O2826" s="1" t="inlineStr"/>
      <c r="P2826" s="1" t="inlineStr"/>
      <c r="Q2826" s="1" t="inlineStr">
        <is>
          <t>Пользовательский интерфейс</t>
        </is>
      </c>
    </row>
    <row r="2827">
      <c r="B2827" s="1" t="inlineStr">
        <is>
          <t>214421334</t>
        </is>
      </c>
      <c r="C2827" s="1" t="inlineStr">
        <is>
          <t>15411209</t>
        </is>
      </c>
      <c r="D2827" t="inlineStr">
        <is>
          <t>работник 674</t>
        </is>
      </c>
      <c r="E2827" s="1" t="inlineStr">
        <is>
          <t>ОБЩЕСТВО С ОГРАНИЧЕННОЙ ОТВЕТСТВЕННОСТЬЮ "АМУР ЗОЛОТО"</t>
        </is>
      </c>
      <c r="F2827" s="1" t="inlineStr">
        <is>
          <t>2708001686</t>
        </is>
      </c>
      <c r="G2827" s="1" t="inlineStr">
        <is>
          <t>Растворщик реагентов</t>
        </is>
      </c>
      <c r="H2827" s="1" t="inlineStr">
        <is>
          <t>ООО "Амур Золото"</t>
        </is>
      </c>
      <c r="I2827" s="1" t="inlineStr">
        <is>
          <t>2708001686</t>
        </is>
      </c>
      <c r="J2827" s="1" t="inlineStr">
        <is>
          <t>ЮГОК ЗИОФ 26-41</t>
        </is>
      </c>
      <c r="K282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827" s="1" t="inlineStr">
        <is>
          <t>29.07.2026</t>
        </is>
      </c>
      <c r="M2827" s="1" t="inlineStr">
        <is>
          <t>Успешно</t>
        </is>
      </c>
      <c r="N2827" s="1" t="inlineStr">
        <is>
          <t>11.08.2026</t>
        </is>
      </c>
      <c r="O2827" s="1" t="inlineStr"/>
      <c r="P2827" s="1" t="inlineStr"/>
      <c r="Q2827" s="1" t="inlineStr">
        <is>
          <t>Пользовательский интерфейс</t>
        </is>
      </c>
    </row>
    <row r="2828">
      <c r="B2828" s="1" t="inlineStr">
        <is>
          <t>214421335</t>
        </is>
      </c>
      <c r="C2828" s="1" t="inlineStr">
        <is>
          <t>15411209</t>
        </is>
      </c>
      <c r="D2828" t="inlineStr">
        <is>
          <t>работник 636</t>
        </is>
      </c>
      <c r="E2828" s="1" t="inlineStr">
        <is>
          <t>ОБЩЕСТВО С ОГРАНИЧЕННОЙ ОТВЕТСТВЕННОСТЬЮ "АМУР ЗОЛОТО"</t>
        </is>
      </c>
      <c r="F2828" s="1" t="inlineStr">
        <is>
          <t>2708001686</t>
        </is>
      </c>
      <c r="G2828" s="1" t="inlineStr">
        <is>
          <t>Грузчик</t>
        </is>
      </c>
      <c r="H2828" s="1" t="inlineStr">
        <is>
          <t>ООО "Амур Золото"</t>
        </is>
      </c>
      <c r="I2828" s="1" t="inlineStr">
        <is>
          <t>2708001686</t>
        </is>
      </c>
      <c r="J2828" s="1" t="inlineStr">
        <is>
          <t>ЮГОК ЗИОФ 26-42</t>
        </is>
      </c>
      <c r="K2828" s="1" t="inlineStr">
        <is>
          <t>Оказание первой помощи пострадавшим</t>
        </is>
      </c>
      <c r="L2828" s="1" t="inlineStr">
        <is>
          <t>29.07.2026</t>
        </is>
      </c>
      <c r="M2828" s="1" t="inlineStr">
        <is>
          <t>Успешно</t>
        </is>
      </c>
      <c r="N2828" s="1" t="inlineStr">
        <is>
          <t>11.08.2026</t>
        </is>
      </c>
      <c r="O2828" s="1" t="inlineStr"/>
      <c r="P2828" s="1" t="inlineStr"/>
      <c r="Q2828" s="1" t="inlineStr">
        <is>
          <t>Пользовательский интерфейс</t>
        </is>
      </c>
    </row>
    <row r="2829">
      <c r="B2829" s="1" t="inlineStr">
        <is>
          <t>214421336</t>
        </is>
      </c>
      <c r="C2829" s="1" t="inlineStr">
        <is>
          <t>15411209</t>
        </is>
      </c>
      <c r="D2829" t="inlineStr">
        <is>
          <t>работник 636</t>
        </is>
      </c>
      <c r="E2829" s="1" t="inlineStr">
        <is>
          <t>ОБЩЕСТВО С ОГРАНИЧЕННОЙ ОТВЕТСТВЕННОСТЬЮ "АМУР ЗОЛОТО"</t>
        </is>
      </c>
      <c r="F2829" s="1" t="inlineStr">
        <is>
          <t>2708001686</t>
        </is>
      </c>
      <c r="G2829" s="1" t="inlineStr">
        <is>
          <t>Грузчик</t>
        </is>
      </c>
      <c r="H2829" s="1" t="inlineStr">
        <is>
          <t>ООО "Амур Золото"</t>
        </is>
      </c>
      <c r="I2829" s="1" t="inlineStr">
        <is>
          <t>2708001686</t>
        </is>
      </c>
      <c r="J2829" s="1" t="inlineStr">
        <is>
          <t>ЮГОК ЗИОФ 26-42</t>
        </is>
      </c>
      <c r="K2829" s="1" t="inlineStr">
        <is>
          <t>Использование (применение) средств индивидуальной защиты</t>
        </is>
      </c>
      <c r="L2829" s="1" t="inlineStr">
        <is>
          <t>29.07.2026</t>
        </is>
      </c>
      <c r="M2829" s="1" t="inlineStr">
        <is>
          <t>Успешно</t>
        </is>
      </c>
      <c r="N2829" s="1" t="inlineStr">
        <is>
          <t>11.08.2026</t>
        </is>
      </c>
      <c r="O2829" s="1" t="inlineStr"/>
      <c r="P2829" s="1" t="inlineStr"/>
      <c r="Q2829" s="1" t="inlineStr">
        <is>
          <t>Пользовательский интерфейс</t>
        </is>
      </c>
    </row>
    <row r="2830">
      <c r="B2830" s="1" t="inlineStr">
        <is>
          <t>214421337</t>
        </is>
      </c>
      <c r="C2830" s="1" t="inlineStr">
        <is>
          <t>15411209</t>
        </is>
      </c>
      <c r="D2830" t="inlineStr">
        <is>
          <t>работник 636</t>
        </is>
      </c>
      <c r="E2830" s="1" t="inlineStr">
        <is>
          <t>ОБЩЕСТВО С ОГРАНИЧЕННОЙ ОТВЕТСТВЕННОСТЬЮ "АМУР ЗОЛОТО"</t>
        </is>
      </c>
      <c r="F2830" s="1" t="inlineStr">
        <is>
          <t>2708001686</t>
        </is>
      </c>
      <c r="G2830" s="1" t="inlineStr">
        <is>
          <t>Грузчик</t>
        </is>
      </c>
      <c r="H2830" s="1" t="inlineStr">
        <is>
          <t>ООО "Амур Золото"</t>
        </is>
      </c>
      <c r="I2830" s="1" t="inlineStr">
        <is>
          <t>2708001686</t>
        </is>
      </c>
      <c r="J2830" s="1" t="inlineStr">
        <is>
          <t>ЮГОК ЗИОФ 26-42</t>
        </is>
      </c>
      <c r="K283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830" s="1" t="inlineStr">
        <is>
          <t>29.07.2026</t>
        </is>
      </c>
      <c r="M2830" s="1" t="inlineStr">
        <is>
          <t>Успешно</t>
        </is>
      </c>
      <c r="N2830" s="1" t="inlineStr">
        <is>
          <t>11.08.2026</t>
        </is>
      </c>
      <c r="O2830" s="1" t="inlineStr"/>
      <c r="P2830" s="1" t="inlineStr"/>
      <c r="Q2830" s="1" t="inlineStr">
        <is>
          <t>Пользовательский интерфейс</t>
        </is>
      </c>
    </row>
    <row r="2831">
      <c r="B2831" s="1" t="inlineStr">
        <is>
          <t>214421338</t>
        </is>
      </c>
      <c r="C2831" s="1" t="inlineStr">
        <is>
          <t>15411209</t>
        </is>
      </c>
      <c r="D2831" t="inlineStr">
        <is>
          <t>работник 638</t>
        </is>
      </c>
      <c r="E2831" s="1" t="inlineStr">
        <is>
          <t>ОБЩЕСТВО С ОГРАНИЧЕННОЙ ОТВЕТСТВЕННОСТЬЮ "АМУР ЗОЛОТО"</t>
        </is>
      </c>
      <c r="F2831" s="1" t="inlineStr">
        <is>
          <t>2708001686</t>
        </is>
      </c>
      <c r="G2831" s="1" t="inlineStr">
        <is>
          <t>Грузчик</t>
        </is>
      </c>
      <c r="H2831" s="1" t="inlineStr">
        <is>
          <t>ООО "Амур Золото"</t>
        </is>
      </c>
      <c r="I2831" s="1" t="inlineStr">
        <is>
          <t>2708001686</t>
        </is>
      </c>
      <c r="J2831" s="1" t="inlineStr">
        <is>
          <t>ЮГОК ЗИОФ 26-42</t>
        </is>
      </c>
      <c r="K2831" s="1" t="inlineStr">
        <is>
          <t>Оказание первой помощи пострадавшим</t>
        </is>
      </c>
      <c r="L2831" s="1" t="inlineStr">
        <is>
          <t>29.07.2026</t>
        </is>
      </c>
      <c r="M2831" s="1" t="inlineStr">
        <is>
          <t>Успешно</t>
        </is>
      </c>
      <c r="N2831" s="1" t="inlineStr">
        <is>
          <t>11.08.2026</t>
        </is>
      </c>
      <c r="O2831" s="1" t="inlineStr"/>
      <c r="P2831" s="1" t="inlineStr"/>
      <c r="Q2831" s="1" t="inlineStr">
        <is>
          <t>Пользовательский интерфейс</t>
        </is>
      </c>
    </row>
    <row r="2832">
      <c r="B2832" s="1" t="inlineStr">
        <is>
          <t>214421339</t>
        </is>
      </c>
      <c r="C2832" s="1" t="inlineStr">
        <is>
          <t>15411209</t>
        </is>
      </c>
      <c r="D2832" t="inlineStr">
        <is>
          <t>работник 638</t>
        </is>
      </c>
      <c r="E2832" s="1" t="inlineStr">
        <is>
          <t>ОБЩЕСТВО С ОГРАНИЧЕННОЙ ОТВЕТСТВЕННОСТЬЮ "АМУР ЗОЛОТО"</t>
        </is>
      </c>
      <c r="F2832" s="1" t="inlineStr">
        <is>
          <t>2708001686</t>
        </is>
      </c>
      <c r="G2832" s="1" t="inlineStr">
        <is>
          <t>Грузчик</t>
        </is>
      </c>
      <c r="H2832" s="1" t="inlineStr">
        <is>
          <t>ООО "Амур Золото"</t>
        </is>
      </c>
      <c r="I2832" s="1" t="inlineStr">
        <is>
          <t>2708001686</t>
        </is>
      </c>
      <c r="J2832" s="1" t="inlineStr">
        <is>
          <t>ЮГОК ЗИОФ 26-42</t>
        </is>
      </c>
      <c r="K2832" s="1" t="inlineStr">
        <is>
          <t>Использование (применение) средств индивидуальной защиты</t>
        </is>
      </c>
      <c r="L2832" s="1" t="inlineStr">
        <is>
          <t>29.07.2026</t>
        </is>
      </c>
      <c r="M2832" s="1" t="inlineStr">
        <is>
          <t>Успешно</t>
        </is>
      </c>
      <c r="N2832" s="1" t="inlineStr">
        <is>
          <t>11.08.2026</t>
        </is>
      </c>
      <c r="O2832" s="1" t="inlineStr"/>
      <c r="P2832" s="1" t="inlineStr"/>
      <c r="Q2832" s="1" t="inlineStr">
        <is>
          <t>Пользовательский интерфейс</t>
        </is>
      </c>
    </row>
    <row r="2833">
      <c r="B2833" s="1" t="inlineStr">
        <is>
          <t>214421340</t>
        </is>
      </c>
      <c r="C2833" s="1" t="inlineStr">
        <is>
          <t>15411209</t>
        </is>
      </c>
      <c r="D2833" t="inlineStr">
        <is>
          <t>работник 638</t>
        </is>
      </c>
      <c r="E2833" s="1" t="inlineStr">
        <is>
          <t>ОБЩЕСТВО С ОГРАНИЧЕННОЙ ОТВЕТСТВЕННОСТЬЮ "АМУР ЗОЛОТО"</t>
        </is>
      </c>
      <c r="F2833" s="1" t="inlineStr">
        <is>
          <t>2708001686</t>
        </is>
      </c>
      <c r="G2833" s="1" t="inlineStr">
        <is>
          <t>Грузчик</t>
        </is>
      </c>
      <c r="H2833" s="1" t="inlineStr">
        <is>
          <t>ООО "Амур Золото"</t>
        </is>
      </c>
      <c r="I2833" s="1" t="inlineStr">
        <is>
          <t>2708001686</t>
        </is>
      </c>
      <c r="J2833" s="1" t="inlineStr">
        <is>
          <t>ЮГОК ЗИОФ 26-42</t>
        </is>
      </c>
      <c r="K283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833" s="1" t="inlineStr">
        <is>
          <t>29.07.2026</t>
        </is>
      </c>
      <c r="M2833" s="1" t="inlineStr">
        <is>
          <t>Успешно</t>
        </is>
      </c>
      <c r="N2833" s="1" t="inlineStr">
        <is>
          <t>11.08.2026</t>
        </is>
      </c>
      <c r="O2833" s="1" t="inlineStr"/>
      <c r="P2833" s="1" t="inlineStr"/>
      <c r="Q2833" s="1" t="inlineStr">
        <is>
          <t>Пользовательский интерфейс</t>
        </is>
      </c>
    </row>
    <row r="2834">
      <c r="B2834" s="1" t="inlineStr">
        <is>
          <t>214421341</t>
        </is>
      </c>
      <c r="C2834" s="1" t="inlineStr">
        <is>
          <t>15411209</t>
        </is>
      </c>
      <c r="D2834" t="inlineStr">
        <is>
          <t>работник 837</t>
        </is>
      </c>
      <c r="E2834" s="1" t="inlineStr">
        <is>
          <t>ОБЩЕСТВО С ОГРАНИЧЕННОЙ ОТВЕТСТВЕННОСТЬЮ "АМУР ЗОЛОТО"</t>
        </is>
      </c>
      <c r="F2834" s="1" t="inlineStr">
        <is>
          <t>2708001686</t>
        </is>
      </c>
      <c r="G2834" s="1" t="inlineStr">
        <is>
          <t>Ламповщик</t>
        </is>
      </c>
      <c r="H2834" s="1" t="inlineStr">
        <is>
          <t>ООО "Амур Золото"</t>
        </is>
      </c>
      <c r="I2834" s="1" t="inlineStr">
        <is>
          <t>2708001686</t>
        </is>
      </c>
      <c r="J2834" s="1" t="inlineStr">
        <is>
          <t>ЮГОК ПГУ 26-26</t>
        </is>
      </c>
      <c r="K2834" s="1" t="inlineStr">
        <is>
          <t>Оказание первой помощи пострадавшим</t>
        </is>
      </c>
      <c r="L2834" s="1" t="inlineStr">
        <is>
          <t>28.07.2026</t>
        </is>
      </c>
      <c r="M2834" s="1" t="inlineStr">
        <is>
          <t>Успешно</t>
        </is>
      </c>
      <c r="N2834" s="1" t="inlineStr">
        <is>
          <t>11.08.2026</t>
        </is>
      </c>
      <c r="O2834" s="1" t="inlineStr"/>
      <c r="P2834" s="1" t="inlineStr"/>
      <c r="Q2834" s="1" t="inlineStr">
        <is>
          <t>Пользовательский интерфейс</t>
        </is>
      </c>
    </row>
    <row r="2835">
      <c r="B2835" s="1" t="inlineStr">
        <is>
          <t>214421342</t>
        </is>
      </c>
      <c r="C2835" s="1" t="inlineStr">
        <is>
          <t>15411209</t>
        </is>
      </c>
      <c r="D2835" t="inlineStr">
        <is>
          <t>работник 837</t>
        </is>
      </c>
      <c r="E2835" s="1" t="inlineStr">
        <is>
          <t>ОБЩЕСТВО С ОГРАНИЧЕННОЙ ОТВЕТСТВЕННОСТЬЮ "АМУР ЗОЛОТО"</t>
        </is>
      </c>
      <c r="F2835" s="1" t="inlineStr">
        <is>
          <t>2708001686</t>
        </is>
      </c>
      <c r="G2835" s="1" t="inlineStr">
        <is>
          <t>Ламповщик</t>
        </is>
      </c>
      <c r="H2835" s="1" t="inlineStr">
        <is>
          <t>ООО "Амур Золото"</t>
        </is>
      </c>
      <c r="I2835" s="1" t="inlineStr">
        <is>
          <t>2708001686</t>
        </is>
      </c>
      <c r="J2835" s="1" t="inlineStr">
        <is>
          <t>ЮГОК ПГУ 26-26</t>
        </is>
      </c>
      <c r="K2835" s="1" t="inlineStr">
        <is>
          <t>Использование (применение) средств индивидуальной защиты</t>
        </is>
      </c>
      <c r="L2835" s="1" t="inlineStr">
        <is>
          <t>28.07.2026</t>
        </is>
      </c>
      <c r="M2835" s="1" t="inlineStr">
        <is>
          <t>Успешно</t>
        </is>
      </c>
      <c r="N2835" s="1" t="inlineStr">
        <is>
          <t>11.08.2026</t>
        </is>
      </c>
      <c r="O2835" s="1" t="inlineStr"/>
      <c r="P2835" s="1" t="inlineStr"/>
      <c r="Q2835" s="1" t="inlineStr">
        <is>
          <t>Пользовательский интерфейс</t>
        </is>
      </c>
    </row>
    <row r="2836">
      <c r="B2836" s="1" t="inlineStr">
        <is>
          <t>214421343</t>
        </is>
      </c>
      <c r="C2836" s="1" t="inlineStr">
        <is>
          <t>15411209</t>
        </is>
      </c>
      <c r="D2836" t="inlineStr">
        <is>
          <t>работник 837</t>
        </is>
      </c>
      <c r="E2836" s="1" t="inlineStr">
        <is>
          <t>ОБЩЕСТВО С ОГРАНИЧЕННОЙ ОТВЕТСТВЕННОСТЬЮ "АМУР ЗОЛОТО"</t>
        </is>
      </c>
      <c r="F2836" s="1" t="inlineStr">
        <is>
          <t>2708001686</t>
        </is>
      </c>
      <c r="G2836" s="1" t="inlineStr">
        <is>
          <t>Ламповщик</t>
        </is>
      </c>
      <c r="H2836" s="1" t="inlineStr">
        <is>
          <t>ООО "Амур Золото"</t>
        </is>
      </c>
      <c r="I2836" s="1" t="inlineStr">
        <is>
          <t>2708001686</t>
        </is>
      </c>
      <c r="J2836" s="1" t="inlineStr">
        <is>
          <t>ЮГОК ПГУ 26-26</t>
        </is>
      </c>
      <c r="K283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836" s="1" t="inlineStr">
        <is>
          <t>28.07.2026</t>
        </is>
      </c>
      <c r="M2836" s="1" t="inlineStr">
        <is>
          <t>Успешно</t>
        </is>
      </c>
      <c r="N2836" s="1" t="inlineStr">
        <is>
          <t>11.08.2026</t>
        </is>
      </c>
      <c r="O2836" s="1" t="inlineStr"/>
      <c r="P2836" s="1" t="inlineStr"/>
      <c r="Q2836" s="1" t="inlineStr">
        <is>
          <t>Пользовательский интерфейс</t>
        </is>
      </c>
    </row>
    <row r="2837">
      <c r="B2837" s="1" t="inlineStr">
        <is>
          <t>214421344</t>
        </is>
      </c>
      <c r="C2837" s="1" t="inlineStr">
        <is>
          <t>15411209</t>
        </is>
      </c>
      <c r="D2837" t="inlineStr">
        <is>
          <t>работник 366</t>
        </is>
      </c>
      <c r="E2837" s="1" t="inlineStr">
        <is>
          <t>ОБЩЕСТВО С ОГРАНИЧЕННОЙ ОТВЕТСТВЕННОСТЬЮ "АМУР ЗОЛОТО"</t>
        </is>
      </c>
      <c r="F2837" s="1" t="inlineStr">
        <is>
          <t>2708001686</t>
        </is>
      </c>
      <c r="G2837" s="1" t="inlineStr">
        <is>
          <t>Ламповщик</t>
        </is>
      </c>
      <c r="H2837" s="1" t="inlineStr">
        <is>
          <t>ООО "Амур Золото"</t>
        </is>
      </c>
      <c r="I2837" s="1" t="inlineStr">
        <is>
          <t>2708001686</t>
        </is>
      </c>
      <c r="J2837" s="1" t="inlineStr">
        <is>
          <t>ЮГОК ПГУ 26-26</t>
        </is>
      </c>
      <c r="K2837" s="1" t="inlineStr">
        <is>
          <t>Оказание первой помощи пострадавшим</t>
        </is>
      </c>
      <c r="L2837" s="1" t="inlineStr">
        <is>
          <t>28.07.2026</t>
        </is>
      </c>
      <c r="M2837" s="1" t="inlineStr">
        <is>
          <t>Успешно</t>
        </is>
      </c>
      <c r="N2837" s="1" t="inlineStr">
        <is>
          <t>11.08.2026</t>
        </is>
      </c>
      <c r="O2837" s="1" t="inlineStr"/>
      <c r="P2837" s="1" t="inlineStr"/>
      <c r="Q2837" s="1" t="inlineStr">
        <is>
          <t>Пользовательский интерфейс</t>
        </is>
      </c>
    </row>
    <row r="2838">
      <c r="B2838" s="1" t="inlineStr">
        <is>
          <t>214421345</t>
        </is>
      </c>
      <c r="C2838" s="1" t="inlineStr">
        <is>
          <t>15411209</t>
        </is>
      </c>
      <c r="D2838" t="inlineStr">
        <is>
          <t>работник 366</t>
        </is>
      </c>
      <c r="E2838" s="1" t="inlineStr">
        <is>
          <t>ОБЩЕСТВО С ОГРАНИЧЕННОЙ ОТВЕТСТВЕННОСТЬЮ "АМУР ЗОЛОТО"</t>
        </is>
      </c>
      <c r="F2838" s="1" t="inlineStr">
        <is>
          <t>2708001686</t>
        </is>
      </c>
      <c r="G2838" s="1" t="inlineStr">
        <is>
          <t>Ламповщик</t>
        </is>
      </c>
      <c r="H2838" s="1" t="inlineStr">
        <is>
          <t>ООО "Амур Золото"</t>
        </is>
      </c>
      <c r="I2838" s="1" t="inlineStr">
        <is>
          <t>2708001686</t>
        </is>
      </c>
      <c r="J2838" s="1" t="inlineStr">
        <is>
          <t>ЮГОК ПГУ 26-26</t>
        </is>
      </c>
      <c r="K2838" s="1" t="inlineStr">
        <is>
          <t>Использование (применение) средств индивидуальной защиты</t>
        </is>
      </c>
      <c r="L2838" s="1" t="inlineStr">
        <is>
          <t>28.07.2026</t>
        </is>
      </c>
      <c r="M2838" s="1" t="inlineStr">
        <is>
          <t>Успешно</t>
        </is>
      </c>
      <c r="N2838" s="1" t="inlineStr">
        <is>
          <t>11.08.2026</t>
        </is>
      </c>
      <c r="O2838" s="1" t="inlineStr"/>
      <c r="P2838" s="1" t="inlineStr"/>
      <c r="Q2838" s="1" t="inlineStr">
        <is>
          <t>Пользовательский интерфейс</t>
        </is>
      </c>
    </row>
    <row r="2839">
      <c r="B2839" s="1" t="inlineStr">
        <is>
          <t>214421346</t>
        </is>
      </c>
      <c r="C2839" s="1" t="inlineStr">
        <is>
          <t>15411209</t>
        </is>
      </c>
      <c r="D2839" t="inlineStr">
        <is>
          <t>работник 366</t>
        </is>
      </c>
      <c r="E2839" s="1" t="inlineStr">
        <is>
          <t>ОБЩЕСТВО С ОГРАНИЧЕННОЙ ОТВЕТСТВЕННОСТЬЮ "АМУР ЗОЛОТО"</t>
        </is>
      </c>
      <c r="F2839" s="1" t="inlineStr">
        <is>
          <t>2708001686</t>
        </is>
      </c>
      <c r="G2839" s="1" t="inlineStr">
        <is>
          <t>Ламповщик</t>
        </is>
      </c>
      <c r="H2839" s="1" t="inlineStr">
        <is>
          <t>ООО "Амур Золото"</t>
        </is>
      </c>
      <c r="I2839" s="1" t="inlineStr">
        <is>
          <t>2708001686</t>
        </is>
      </c>
      <c r="J2839" s="1" t="inlineStr">
        <is>
          <t>ЮГОК ПГУ 26-26</t>
        </is>
      </c>
      <c r="K283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839" s="1" t="inlineStr">
        <is>
          <t>28.07.2026</t>
        </is>
      </c>
      <c r="M2839" s="1" t="inlineStr">
        <is>
          <t>Успешно</t>
        </is>
      </c>
      <c r="N2839" s="1" t="inlineStr">
        <is>
          <t>11.08.2026</t>
        </is>
      </c>
      <c r="O2839" s="1" t="inlineStr"/>
      <c r="P2839" s="1" t="inlineStr"/>
      <c r="Q2839" s="1" t="inlineStr">
        <is>
          <t>Пользовательский интерфейс</t>
        </is>
      </c>
    </row>
    <row r="2840">
      <c r="B2840" s="1" t="inlineStr">
        <is>
          <t>214421347</t>
        </is>
      </c>
      <c r="C2840" s="1" t="inlineStr">
        <is>
          <t>15411209</t>
        </is>
      </c>
      <c r="D2840" t="inlineStr">
        <is>
          <t>работник 765</t>
        </is>
      </c>
      <c r="E2840" s="1" t="inlineStr">
        <is>
          <t>ОБЩЕСТВО С ОГРАНИЧЕННОЙ ОТВЕТСТВЕННОСТЬЮ "АМУР ЗОЛОТО"</t>
        </is>
      </c>
      <c r="F2840" s="1" t="inlineStr">
        <is>
          <t>2708001686</t>
        </is>
      </c>
      <c r="G2840" s="1" t="inlineStr">
        <is>
          <t>Машинист погрузочно-доставочной машины (занятый на транспортировании горной массы в технологическом процессе)</t>
        </is>
      </c>
      <c r="H2840" s="1" t="inlineStr">
        <is>
          <t>ООО "Амур Золото"</t>
        </is>
      </c>
      <c r="I2840" s="1" t="inlineStr">
        <is>
          <t>2708001686</t>
        </is>
      </c>
      <c r="J2840" s="1" t="inlineStr">
        <is>
          <t>ЮГОК ПГУ 26-27</t>
        </is>
      </c>
      <c r="K2840" s="1" t="inlineStr">
        <is>
          <t>Оказание первой помощи пострадавшим</t>
        </is>
      </c>
      <c r="L2840" s="1" t="inlineStr">
        <is>
          <t>23.07.2026</t>
        </is>
      </c>
      <c r="M2840" s="1" t="inlineStr">
        <is>
          <t>Успешно</t>
        </is>
      </c>
      <c r="N2840" s="1" t="inlineStr">
        <is>
          <t>11.08.2026</t>
        </is>
      </c>
      <c r="O2840" s="1" t="inlineStr"/>
      <c r="P2840" s="1" t="inlineStr"/>
      <c r="Q2840" s="1" t="inlineStr">
        <is>
          <t>Пользовательский интерфейс</t>
        </is>
      </c>
    </row>
    <row r="2841">
      <c r="B2841" s="1" t="inlineStr">
        <is>
          <t>214421348</t>
        </is>
      </c>
      <c r="C2841" s="1" t="inlineStr">
        <is>
          <t>15411209</t>
        </is>
      </c>
      <c r="D2841" t="inlineStr">
        <is>
          <t>работник 765</t>
        </is>
      </c>
      <c r="E2841" s="1" t="inlineStr">
        <is>
          <t>ОБЩЕСТВО С ОГРАНИЧЕННОЙ ОТВЕТСТВЕННОСТЬЮ "АМУР ЗОЛОТО"</t>
        </is>
      </c>
      <c r="F2841" s="1" t="inlineStr">
        <is>
          <t>2708001686</t>
        </is>
      </c>
      <c r="G2841" s="1" t="inlineStr">
        <is>
          <t>Машинист погрузочно-доставочной машины (занятый на транспортировании горной массы в технологическом процессе)</t>
        </is>
      </c>
      <c r="H2841" s="1" t="inlineStr">
        <is>
          <t>ООО "Амур Золото"</t>
        </is>
      </c>
      <c r="I2841" s="1" t="inlineStr">
        <is>
          <t>2708001686</t>
        </is>
      </c>
      <c r="J2841" s="1" t="inlineStr">
        <is>
          <t>ЮГОК ПГУ 26-27</t>
        </is>
      </c>
      <c r="K2841" s="1" t="inlineStr">
        <is>
          <t>Использование (применение) средств индивидуальной защиты</t>
        </is>
      </c>
      <c r="L2841" s="1" t="inlineStr">
        <is>
          <t>23.07.2026</t>
        </is>
      </c>
      <c r="M2841" s="1" t="inlineStr">
        <is>
          <t>Успешно</t>
        </is>
      </c>
      <c r="N2841" s="1" t="inlineStr">
        <is>
          <t>11.08.2026</t>
        </is>
      </c>
      <c r="O2841" s="1" t="inlineStr"/>
      <c r="P2841" s="1" t="inlineStr"/>
      <c r="Q2841" s="1" t="inlineStr">
        <is>
          <t>Пользовательский интерфейс</t>
        </is>
      </c>
    </row>
    <row r="2842">
      <c r="B2842" s="1" t="inlineStr">
        <is>
          <t>214421349</t>
        </is>
      </c>
      <c r="C2842" s="1" t="inlineStr">
        <is>
          <t>15411209</t>
        </is>
      </c>
      <c r="D2842" t="inlineStr">
        <is>
          <t>работник 765</t>
        </is>
      </c>
      <c r="E2842" s="1" t="inlineStr">
        <is>
          <t>ОБЩЕСТВО С ОГРАНИЧЕННОЙ ОТВЕТСТВЕННОСТЬЮ "АМУР ЗОЛОТО"</t>
        </is>
      </c>
      <c r="F2842" s="1" t="inlineStr">
        <is>
          <t>2708001686</t>
        </is>
      </c>
      <c r="G2842" s="1" t="inlineStr">
        <is>
          <t>Машинист погрузочно-доставочной машины (занятый на транспортировании горной массы в технологическом процессе)</t>
        </is>
      </c>
      <c r="H2842" s="1" t="inlineStr">
        <is>
          <t>ООО "Амур Золото"</t>
        </is>
      </c>
      <c r="I2842" s="1" t="inlineStr">
        <is>
          <t>2708001686</t>
        </is>
      </c>
      <c r="J2842" s="1" t="inlineStr">
        <is>
          <t>ЮГОК ПГУ 26-27</t>
        </is>
      </c>
      <c r="K284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842" s="1" t="inlineStr">
        <is>
          <t>23.07.2026</t>
        </is>
      </c>
      <c r="M2842" s="1" t="inlineStr">
        <is>
          <t>Успешно</t>
        </is>
      </c>
      <c r="N2842" s="1" t="inlineStr">
        <is>
          <t>11.08.2026</t>
        </is>
      </c>
      <c r="O2842" s="1" t="inlineStr"/>
      <c r="P2842" s="1" t="inlineStr"/>
      <c r="Q2842" s="1" t="inlineStr">
        <is>
          <t>Пользовательский интерфейс</t>
        </is>
      </c>
    </row>
    <row r="2843">
      <c r="B2843" s="1" t="inlineStr">
        <is>
          <t>214421350</t>
        </is>
      </c>
      <c r="C2843" s="1" t="inlineStr">
        <is>
          <t>15411209</t>
        </is>
      </c>
      <c r="D2843" t="inlineStr">
        <is>
          <t>работник 174</t>
        </is>
      </c>
      <c r="E2843" s="1" t="inlineStr">
        <is>
          <t>ОБЩЕСТВО С ОГРАНИЧЕННОЙ ОТВЕТСТВЕННОСТЬЮ "АМУР ЗОЛОТО"</t>
        </is>
      </c>
      <c r="F2843" s="1" t="inlineStr">
        <is>
          <t>2708001686</t>
        </is>
      </c>
      <c r="G2843" s="1" t="inlineStr">
        <is>
          <t>Машинист погрузочно-доставочной машины (занятый на транспортировании горной массы в технологическом процессе)</t>
        </is>
      </c>
      <c r="H2843" s="1" t="inlineStr">
        <is>
          <t>ООО "Амур Золото"</t>
        </is>
      </c>
      <c r="I2843" s="1" t="inlineStr">
        <is>
          <t>2708001686</t>
        </is>
      </c>
      <c r="J2843" s="1" t="inlineStr">
        <is>
          <t>ЮГОК ПГУ 26-27</t>
        </is>
      </c>
      <c r="K2843" s="1" t="inlineStr">
        <is>
          <t>Оказание первой помощи пострадавшим</t>
        </is>
      </c>
      <c r="L2843" s="1" t="inlineStr">
        <is>
          <t>23.07.2026</t>
        </is>
      </c>
      <c r="M2843" s="1" t="inlineStr">
        <is>
          <t>Успешно</t>
        </is>
      </c>
      <c r="N2843" s="1" t="inlineStr">
        <is>
          <t>11.08.2026</t>
        </is>
      </c>
      <c r="O2843" s="1" t="inlineStr"/>
      <c r="P2843" s="1" t="inlineStr"/>
      <c r="Q2843" s="1" t="inlineStr">
        <is>
          <t>Пользовательский интерфейс</t>
        </is>
      </c>
    </row>
    <row r="2844">
      <c r="B2844" s="1" t="inlineStr">
        <is>
          <t>214421351</t>
        </is>
      </c>
      <c r="C2844" s="1" t="inlineStr">
        <is>
          <t>15411209</t>
        </is>
      </c>
      <c r="D2844" t="inlineStr">
        <is>
          <t>работник 174</t>
        </is>
      </c>
      <c r="E2844" s="1" t="inlineStr">
        <is>
          <t>ОБЩЕСТВО С ОГРАНИЧЕННОЙ ОТВЕТСТВЕННОСТЬЮ "АМУР ЗОЛОТО"</t>
        </is>
      </c>
      <c r="F2844" s="1" t="inlineStr">
        <is>
          <t>2708001686</t>
        </is>
      </c>
      <c r="G2844" s="1" t="inlineStr">
        <is>
          <t>Машинист погрузочно-доставочной машины (занятый на транспортировании горной массы в технологическом процессе)</t>
        </is>
      </c>
      <c r="H2844" s="1" t="inlineStr">
        <is>
          <t>ООО "Амур Золото"</t>
        </is>
      </c>
      <c r="I2844" s="1" t="inlineStr">
        <is>
          <t>2708001686</t>
        </is>
      </c>
      <c r="J2844" s="1" t="inlineStr">
        <is>
          <t>ЮГОК ПГУ 26-27</t>
        </is>
      </c>
      <c r="K2844" s="1" t="inlineStr">
        <is>
          <t>Использование (применение) средств индивидуальной защиты</t>
        </is>
      </c>
      <c r="L2844" s="1" t="inlineStr">
        <is>
          <t>23.07.2026</t>
        </is>
      </c>
      <c r="M2844" s="1" t="inlineStr">
        <is>
          <t>Успешно</t>
        </is>
      </c>
      <c r="N2844" s="1" t="inlineStr">
        <is>
          <t>11.08.2026</t>
        </is>
      </c>
      <c r="O2844" s="1" t="inlineStr"/>
      <c r="P2844" s="1" t="inlineStr"/>
      <c r="Q2844" s="1" t="inlineStr">
        <is>
          <t>Пользовательский интерфейс</t>
        </is>
      </c>
    </row>
    <row r="2845">
      <c r="B2845" s="1" t="inlineStr">
        <is>
          <t>214421352</t>
        </is>
      </c>
      <c r="C2845" s="1" t="inlineStr">
        <is>
          <t>15411209</t>
        </is>
      </c>
      <c r="D2845" t="inlineStr">
        <is>
          <t>работник 174</t>
        </is>
      </c>
      <c r="E2845" s="1" t="inlineStr">
        <is>
          <t>ОБЩЕСТВО С ОГРАНИЧЕННОЙ ОТВЕТСТВЕННОСТЬЮ "АМУР ЗОЛОТО"</t>
        </is>
      </c>
      <c r="F2845" s="1" t="inlineStr">
        <is>
          <t>2708001686</t>
        </is>
      </c>
      <c r="G2845" s="1" t="inlineStr">
        <is>
          <t>Машинист погрузочно-доставочной машины (занятый на транспортировании горной массы в технологическом процессе)</t>
        </is>
      </c>
      <c r="H2845" s="1" t="inlineStr">
        <is>
          <t>ООО "Амур Золото"</t>
        </is>
      </c>
      <c r="I2845" s="1" t="inlineStr">
        <is>
          <t>2708001686</t>
        </is>
      </c>
      <c r="J2845" s="1" t="inlineStr">
        <is>
          <t>ЮГОК ПГУ 26-27</t>
        </is>
      </c>
      <c r="K284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845" s="1" t="inlineStr">
        <is>
          <t>23.07.2026</t>
        </is>
      </c>
      <c r="M2845" s="1" t="inlineStr">
        <is>
          <t>Успешно</t>
        </is>
      </c>
      <c r="N2845" s="1" t="inlineStr">
        <is>
          <t>11.08.2026</t>
        </is>
      </c>
      <c r="O2845" s="1" t="inlineStr"/>
      <c r="P2845" s="1" t="inlineStr"/>
      <c r="Q2845" s="1" t="inlineStr">
        <is>
          <t>Пользовательский интерфейс</t>
        </is>
      </c>
    </row>
    <row r="2846">
      <c r="B2846" s="1" t="inlineStr">
        <is>
          <t>214421353</t>
        </is>
      </c>
      <c r="C2846" s="1" t="inlineStr">
        <is>
          <t>15411209</t>
        </is>
      </c>
      <c r="D2846" t="inlineStr">
        <is>
          <t>работник 838</t>
        </is>
      </c>
      <c r="E2846" s="1" t="inlineStr">
        <is>
          <t>ОБЩЕСТВО С ОГРАНИЧЕННОЙ ОТВЕТСТВЕННОСТЬЮ "АМУР ЗОЛОТО"</t>
        </is>
      </c>
      <c r="F2846" s="1" t="inlineStr">
        <is>
          <t>2708001686</t>
        </is>
      </c>
      <c r="G2846" s="1" t="inlineStr">
        <is>
          <t>Машинист погрузочно-доставочной машины (занятый на транспортировании горной массы в технологическом процессе)</t>
        </is>
      </c>
      <c r="H2846" s="1" t="inlineStr">
        <is>
          <t>ООО "Амур Золото"</t>
        </is>
      </c>
      <c r="I2846" s="1" t="inlineStr">
        <is>
          <t>2708001686</t>
        </is>
      </c>
      <c r="J2846" s="1" t="inlineStr">
        <is>
          <t>ЮГОК ПГУ 26-27</t>
        </is>
      </c>
      <c r="K2846" s="1" t="inlineStr">
        <is>
          <t>Оказание первой помощи пострадавшим</t>
        </is>
      </c>
      <c r="L2846" s="1" t="inlineStr">
        <is>
          <t>23.07.2026</t>
        </is>
      </c>
      <c r="M2846" s="1" t="inlineStr">
        <is>
          <t>Успешно</t>
        </is>
      </c>
      <c r="N2846" s="1" t="inlineStr">
        <is>
          <t>11.08.2026</t>
        </is>
      </c>
      <c r="O2846" s="1" t="inlineStr"/>
      <c r="P2846" s="1" t="inlineStr"/>
      <c r="Q2846" s="1" t="inlineStr">
        <is>
          <t>Пользовательский интерфейс</t>
        </is>
      </c>
    </row>
    <row r="2847">
      <c r="B2847" s="1" t="inlineStr">
        <is>
          <t>214421354</t>
        </is>
      </c>
      <c r="C2847" s="1" t="inlineStr">
        <is>
          <t>15411209</t>
        </is>
      </c>
      <c r="D2847" t="inlineStr">
        <is>
          <t>работник 838</t>
        </is>
      </c>
      <c r="E2847" s="1" t="inlineStr">
        <is>
          <t>ОБЩЕСТВО С ОГРАНИЧЕННОЙ ОТВЕТСТВЕННОСТЬЮ "АМУР ЗОЛОТО"</t>
        </is>
      </c>
      <c r="F2847" s="1" t="inlineStr">
        <is>
          <t>2708001686</t>
        </is>
      </c>
      <c r="G2847" s="1" t="inlineStr">
        <is>
          <t>Машинист погрузочно-доставочной машины (занятый на транспортировании горной массы в технологическом процессе)</t>
        </is>
      </c>
      <c r="H2847" s="1" t="inlineStr">
        <is>
          <t>ООО "Амур Золото"</t>
        </is>
      </c>
      <c r="I2847" s="1" t="inlineStr">
        <is>
          <t>2708001686</t>
        </is>
      </c>
      <c r="J2847" s="1" t="inlineStr">
        <is>
          <t>ЮГОК ПГУ 26-27</t>
        </is>
      </c>
      <c r="K2847" s="1" t="inlineStr">
        <is>
          <t>Использование (применение) средств индивидуальной защиты</t>
        </is>
      </c>
      <c r="L2847" s="1" t="inlineStr">
        <is>
          <t>23.07.2026</t>
        </is>
      </c>
      <c r="M2847" s="1" t="inlineStr">
        <is>
          <t>Успешно</t>
        </is>
      </c>
      <c r="N2847" s="1" t="inlineStr">
        <is>
          <t>11.08.2026</t>
        </is>
      </c>
      <c r="O2847" s="1" t="inlineStr"/>
      <c r="P2847" s="1" t="inlineStr"/>
      <c r="Q2847" s="1" t="inlineStr">
        <is>
          <t>Пользовательский интерфейс</t>
        </is>
      </c>
    </row>
    <row r="2848">
      <c r="B2848" s="1" t="inlineStr">
        <is>
          <t>214421355</t>
        </is>
      </c>
      <c r="C2848" s="1" t="inlineStr">
        <is>
          <t>15411209</t>
        </is>
      </c>
      <c r="D2848" t="inlineStr">
        <is>
          <t>работник 838</t>
        </is>
      </c>
      <c r="E2848" s="1" t="inlineStr">
        <is>
          <t>ОБЩЕСТВО С ОГРАНИЧЕННОЙ ОТВЕТСТВЕННОСТЬЮ "АМУР ЗОЛОТО"</t>
        </is>
      </c>
      <c r="F2848" s="1" t="inlineStr">
        <is>
          <t>2708001686</t>
        </is>
      </c>
      <c r="G2848" s="1" t="inlineStr">
        <is>
          <t>Машинист погрузочно-доставочной машины (занятый на транспортировании горной массы в технологическом процессе)</t>
        </is>
      </c>
      <c r="H2848" s="1" t="inlineStr">
        <is>
          <t>ООО "Амур Золото"</t>
        </is>
      </c>
      <c r="I2848" s="1" t="inlineStr">
        <is>
          <t>2708001686</t>
        </is>
      </c>
      <c r="J2848" s="1" t="inlineStr">
        <is>
          <t>ЮГОК ПГУ 26-27</t>
        </is>
      </c>
      <c r="K284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848" s="1" t="inlineStr">
        <is>
          <t>23.07.2026</t>
        </is>
      </c>
      <c r="M2848" s="1" t="inlineStr">
        <is>
          <t>Успешно</t>
        </is>
      </c>
      <c r="N2848" s="1" t="inlineStr">
        <is>
          <t>11.08.2026</t>
        </is>
      </c>
      <c r="O2848" s="1" t="inlineStr"/>
      <c r="P2848" s="1" t="inlineStr"/>
      <c r="Q2848" s="1" t="inlineStr">
        <is>
          <t>Пользовательский интерфейс</t>
        </is>
      </c>
    </row>
    <row r="2849">
      <c r="B2849" s="1" t="inlineStr">
        <is>
          <t>214421356</t>
        </is>
      </c>
      <c r="C2849" s="1" t="inlineStr">
        <is>
          <t>15411209</t>
        </is>
      </c>
      <c r="D2849" t="inlineStr">
        <is>
          <t>работник 766</t>
        </is>
      </c>
      <c r="E2849" s="1" t="inlineStr">
        <is>
          <t>ОБЩЕСТВО С ОГРАНИЧЕННОЙ ОТВЕТСТВЕННОСТЬЮ "АМУР ЗОЛОТО"</t>
        </is>
      </c>
      <c r="F2849" s="1" t="inlineStr">
        <is>
          <t>2708001686</t>
        </is>
      </c>
      <c r="G2849" s="1" t="inlineStr">
        <is>
          <t>Машинист погрузочно-доставочной машины (занятый на транспортировании горной массы в технологическом процессе)</t>
        </is>
      </c>
      <c r="H2849" s="1" t="inlineStr">
        <is>
          <t>ООО "Амур Золото"</t>
        </is>
      </c>
      <c r="I2849" s="1" t="inlineStr">
        <is>
          <t>2708001686</t>
        </is>
      </c>
      <c r="J2849" s="1" t="inlineStr">
        <is>
          <t>ЮГОК ПГУ 26-27</t>
        </is>
      </c>
      <c r="K2849" s="1" t="inlineStr">
        <is>
          <t>Оказание первой помощи пострадавшим</t>
        </is>
      </c>
      <c r="L2849" s="1" t="inlineStr">
        <is>
          <t>23.07.2026</t>
        </is>
      </c>
      <c r="M2849" s="1" t="inlineStr">
        <is>
          <t>Успешно</t>
        </is>
      </c>
      <c r="N2849" s="1" t="inlineStr">
        <is>
          <t>11.08.2026</t>
        </is>
      </c>
      <c r="O2849" s="1" t="inlineStr"/>
      <c r="P2849" s="1" t="inlineStr"/>
      <c r="Q2849" s="1" t="inlineStr">
        <is>
          <t>Пользовательский интерфейс</t>
        </is>
      </c>
    </row>
    <row r="2850">
      <c r="B2850" s="1" t="inlineStr">
        <is>
          <t>214421357</t>
        </is>
      </c>
      <c r="C2850" s="1" t="inlineStr">
        <is>
          <t>15411209</t>
        </is>
      </c>
      <c r="D2850" t="inlineStr">
        <is>
          <t>работник 766</t>
        </is>
      </c>
      <c r="E2850" s="1" t="inlineStr">
        <is>
          <t>ОБЩЕСТВО С ОГРАНИЧЕННОЙ ОТВЕТСТВЕННОСТЬЮ "АМУР ЗОЛОТО"</t>
        </is>
      </c>
      <c r="F2850" s="1" t="inlineStr">
        <is>
          <t>2708001686</t>
        </is>
      </c>
      <c r="G2850" s="1" t="inlineStr">
        <is>
          <t>Машинист погрузочно-доставочной машины (занятый на транспортировании горной массы в технологическом процессе)</t>
        </is>
      </c>
      <c r="H2850" s="1" t="inlineStr">
        <is>
          <t>ООО "Амур Золото"</t>
        </is>
      </c>
      <c r="I2850" s="1" t="inlineStr">
        <is>
          <t>2708001686</t>
        </is>
      </c>
      <c r="J2850" s="1" t="inlineStr">
        <is>
          <t>ЮГОК ПГУ 26-27</t>
        </is>
      </c>
      <c r="K2850" s="1" t="inlineStr">
        <is>
          <t>Использование (применение) средств индивидуальной защиты</t>
        </is>
      </c>
      <c r="L2850" s="1" t="inlineStr">
        <is>
          <t>23.07.2026</t>
        </is>
      </c>
      <c r="M2850" s="1" t="inlineStr">
        <is>
          <t>Успешно</t>
        </is>
      </c>
      <c r="N2850" s="1" t="inlineStr">
        <is>
          <t>11.08.2026</t>
        </is>
      </c>
      <c r="O2850" s="1" t="inlineStr"/>
      <c r="P2850" s="1" t="inlineStr"/>
      <c r="Q2850" s="1" t="inlineStr">
        <is>
          <t>Пользовательский интерфейс</t>
        </is>
      </c>
    </row>
    <row r="2851">
      <c r="B2851" s="1" t="inlineStr">
        <is>
          <t>214421358</t>
        </is>
      </c>
      <c r="C2851" s="1" t="inlineStr">
        <is>
          <t>15411209</t>
        </is>
      </c>
      <c r="D2851" t="inlineStr">
        <is>
          <t>работник 766</t>
        </is>
      </c>
      <c r="E2851" s="1" t="inlineStr">
        <is>
          <t>ОБЩЕСТВО С ОГРАНИЧЕННОЙ ОТВЕТСТВЕННОСТЬЮ "АМУР ЗОЛОТО"</t>
        </is>
      </c>
      <c r="F2851" s="1" t="inlineStr">
        <is>
          <t>2708001686</t>
        </is>
      </c>
      <c r="G2851" s="1" t="inlineStr">
        <is>
          <t>Машинист погрузочно-доставочной машины (занятый на транспортировании горной массы в технологическом процессе)</t>
        </is>
      </c>
      <c r="H2851" s="1" t="inlineStr">
        <is>
          <t>ООО "Амур Золото"</t>
        </is>
      </c>
      <c r="I2851" s="1" t="inlineStr">
        <is>
          <t>2708001686</t>
        </is>
      </c>
      <c r="J2851" s="1" t="inlineStr">
        <is>
          <t>ЮГОК ПГУ 26-27</t>
        </is>
      </c>
      <c r="K285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851" s="1" t="inlineStr">
        <is>
          <t>23.07.2026</t>
        </is>
      </c>
      <c r="M2851" s="1" t="inlineStr">
        <is>
          <t>Успешно</t>
        </is>
      </c>
      <c r="N2851" s="1" t="inlineStr">
        <is>
          <t>11.08.2026</t>
        </is>
      </c>
      <c r="O2851" s="1" t="inlineStr"/>
      <c r="P2851" s="1" t="inlineStr"/>
      <c r="Q2851" s="1" t="inlineStr">
        <is>
          <t>Пользовательский интерфейс</t>
        </is>
      </c>
    </row>
    <row r="2852">
      <c r="B2852" s="1" t="inlineStr">
        <is>
          <t>214421359</t>
        </is>
      </c>
      <c r="C2852" s="1" t="inlineStr">
        <is>
          <t>15411209</t>
        </is>
      </c>
      <c r="D2852" t="inlineStr">
        <is>
          <t>работник 839</t>
        </is>
      </c>
      <c r="E2852" s="1" t="inlineStr">
        <is>
          <t>ОБЩЕСТВО С ОГРАНИЧЕННОЙ ОТВЕТСТВЕННОСТЬЮ "АМУР ЗОЛОТО"</t>
        </is>
      </c>
      <c r="F2852" s="1" t="inlineStr">
        <is>
          <t>2708001686</t>
        </is>
      </c>
      <c r="G2852" s="1" t="inlineStr">
        <is>
          <t>Машинист погрузочно-доставочной машины (занятый на транспортировании горной массы в технологическом процессе)</t>
        </is>
      </c>
      <c r="H2852" s="1" t="inlineStr">
        <is>
          <t>ООО "Амур Золото"</t>
        </is>
      </c>
      <c r="I2852" s="1" t="inlineStr">
        <is>
          <t>2708001686</t>
        </is>
      </c>
      <c r="J2852" s="1" t="inlineStr">
        <is>
          <t>ЮГОК ПГУ 26-27</t>
        </is>
      </c>
      <c r="K2852" s="1" t="inlineStr">
        <is>
          <t>Оказание первой помощи пострадавшим</t>
        </is>
      </c>
      <c r="L2852" s="1" t="inlineStr">
        <is>
          <t>23.07.2026</t>
        </is>
      </c>
      <c r="M2852" s="1" t="inlineStr">
        <is>
          <t>Успешно</t>
        </is>
      </c>
      <c r="N2852" s="1" t="inlineStr">
        <is>
          <t>11.08.2026</t>
        </is>
      </c>
      <c r="O2852" s="1" t="inlineStr"/>
      <c r="P2852" s="1" t="inlineStr"/>
      <c r="Q2852" s="1" t="inlineStr">
        <is>
          <t>Пользовательский интерфейс</t>
        </is>
      </c>
    </row>
    <row r="2853">
      <c r="B2853" s="1" t="inlineStr">
        <is>
          <t>214421360</t>
        </is>
      </c>
      <c r="C2853" s="1" t="inlineStr">
        <is>
          <t>15411209</t>
        </is>
      </c>
      <c r="D2853" t="inlineStr">
        <is>
          <t>работник 839</t>
        </is>
      </c>
      <c r="E2853" s="1" t="inlineStr">
        <is>
          <t>ОБЩЕСТВО С ОГРАНИЧЕННОЙ ОТВЕТСТВЕННОСТЬЮ "АМУР ЗОЛОТО"</t>
        </is>
      </c>
      <c r="F2853" s="1" t="inlineStr">
        <is>
          <t>2708001686</t>
        </is>
      </c>
      <c r="G2853" s="1" t="inlineStr">
        <is>
          <t>Машинист погрузочно-доставочной машины (занятый на транспортировании горной массы в технологическом процессе)</t>
        </is>
      </c>
      <c r="H2853" s="1" t="inlineStr">
        <is>
          <t>ООО "Амур Золото"</t>
        </is>
      </c>
      <c r="I2853" s="1" t="inlineStr">
        <is>
          <t>2708001686</t>
        </is>
      </c>
      <c r="J2853" s="1" t="inlineStr">
        <is>
          <t>ЮГОК ПГУ 26-27</t>
        </is>
      </c>
      <c r="K2853" s="1" t="inlineStr">
        <is>
          <t>Использование (применение) средств индивидуальной защиты</t>
        </is>
      </c>
      <c r="L2853" s="1" t="inlineStr">
        <is>
          <t>23.07.2026</t>
        </is>
      </c>
      <c r="M2853" s="1" t="inlineStr">
        <is>
          <t>Успешно</t>
        </is>
      </c>
      <c r="N2853" s="1" t="inlineStr">
        <is>
          <t>11.08.2026</t>
        </is>
      </c>
      <c r="O2853" s="1" t="inlineStr"/>
      <c r="P2853" s="1" t="inlineStr"/>
      <c r="Q2853" s="1" t="inlineStr">
        <is>
          <t>Пользовательский интерфейс</t>
        </is>
      </c>
    </row>
    <row r="2854">
      <c r="B2854" s="1" t="inlineStr">
        <is>
          <t>214421361</t>
        </is>
      </c>
      <c r="C2854" s="1" t="inlineStr">
        <is>
          <t>15411209</t>
        </is>
      </c>
      <c r="D2854" t="inlineStr">
        <is>
          <t>работник 839</t>
        </is>
      </c>
      <c r="E2854" s="1" t="inlineStr">
        <is>
          <t>ОБЩЕСТВО С ОГРАНИЧЕННОЙ ОТВЕТСТВЕННОСТЬЮ "АМУР ЗОЛОТО"</t>
        </is>
      </c>
      <c r="F2854" s="1" t="inlineStr">
        <is>
          <t>2708001686</t>
        </is>
      </c>
      <c r="G2854" s="1" t="inlineStr">
        <is>
          <t>Машинист погрузочно-доставочной машины (занятый на транспортировании горной массы в технологическом процессе)</t>
        </is>
      </c>
      <c r="H2854" s="1" t="inlineStr">
        <is>
          <t>ООО "Амур Золото"</t>
        </is>
      </c>
      <c r="I2854" s="1" t="inlineStr">
        <is>
          <t>2708001686</t>
        </is>
      </c>
      <c r="J2854" s="1" t="inlineStr">
        <is>
          <t>ЮГОК ПГУ 26-27</t>
        </is>
      </c>
      <c r="K285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854" s="1" t="inlineStr">
        <is>
          <t>23.07.2026</t>
        </is>
      </c>
      <c r="M2854" s="1" t="inlineStr">
        <is>
          <t>Успешно</t>
        </is>
      </c>
      <c r="N2854" s="1" t="inlineStr">
        <is>
          <t>11.08.2026</t>
        </is>
      </c>
      <c r="O2854" s="1" t="inlineStr"/>
      <c r="P2854" s="1" t="inlineStr"/>
      <c r="Q2854" s="1" t="inlineStr">
        <is>
          <t>Пользовательский интерфейс</t>
        </is>
      </c>
    </row>
    <row r="2855">
      <c r="B2855" s="1" t="inlineStr">
        <is>
          <t>214421362</t>
        </is>
      </c>
      <c r="C2855" s="1" t="inlineStr">
        <is>
          <t>15411209</t>
        </is>
      </c>
      <c r="D2855" t="inlineStr">
        <is>
          <t>работник 208</t>
        </is>
      </c>
      <c r="E2855" s="1" t="inlineStr">
        <is>
          <t>ОБЩЕСТВО С ОГРАНИЧЕННОЙ ОТВЕТСТВЕННОСТЬЮ "АМУР ЗОЛОТО"</t>
        </is>
      </c>
      <c r="F2855" s="1" t="inlineStr">
        <is>
          <t>2708001686</t>
        </is>
      </c>
      <c r="G2855" s="1" t="inlineStr">
        <is>
          <t>Машинист погрузочно-доставочной машины (занятый на транспортировании горной массы в технологическом процессе)</t>
        </is>
      </c>
      <c r="H2855" s="1" t="inlineStr">
        <is>
          <t>ООО "Амур Золото"</t>
        </is>
      </c>
      <c r="I2855" s="1" t="inlineStr">
        <is>
          <t>2708001686</t>
        </is>
      </c>
      <c r="J2855" s="1" t="inlineStr">
        <is>
          <t>ЮГОК ПГУ 26-27</t>
        </is>
      </c>
      <c r="K2855" s="1" t="inlineStr">
        <is>
          <t>Оказание первой помощи пострадавшим</t>
        </is>
      </c>
      <c r="L2855" s="1" t="inlineStr">
        <is>
          <t>23.07.2026</t>
        </is>
      </c>
      <c r="M2855" s="1" t="inlineStr">
        <is>
          <t>Успешно</t>
        </is>
      </c>
      <c r="N2855" s="1" t="inlineStr">
        <is>
          <t>11.08.2026</t>
        </is>
      </c>
      <c r="O2855" s="1" t="inlineStr"/>
      <c r="P2855" s="1" t="inlineStr"/>
      <c r="Q2855" s="1" t="inlineStr">
        <is>
          <t>Пользовательский интерфейс</t>
        </is>
      </c>
    </row>
    <row r="2856">
      <c r="B2856" s="1" t="inlineStr">
        <is>
          <t>214421363</t>
        </is>
      </c>
      <c r="C2856" s="1" t="inlineStr">
        <is>
          <t>15411209</t>
        </is>
      </c>
      <c r="D2856" t="inlineStr">
        <is>
          <t>работник 208</t>
        </is>
      </c>
      <c r="E2856" s="1" t="inlineStr">
        <is>
          <t>ОБЩЕСТВО С ОГРАНИЧЕННОЙ ОТВЕТСТВЕННОСТЬЮ "АМУР ЗОЛОТО"</t>
        </is>
      </c>
      <c r="F2856" s="1" t="inlineStr">
        <is>
          <t>2708001686</t>
        </is>
      </c>
      <c r="G2856" s="1" t="inlineStr">
        <is>
          <t>Машинист погрузочно-доставочной машины (занятый на транспортировании горной массы в технологическом процессе)</t>
        </is>
      </c>
      <c r="H2856" s="1" t="inlineStr">
        <is>
          <t>ООО "Амур Золото"</t>
        </is>
      </c>
      <c r="I2856" s="1" t="inlineStr">
        <is>
          <t>2708001686</t>
        </is>
      </c>
      <c r="J2856" s="1" t="inlineStr">
        <is>
          <t>ЮГОК ПГУ 26-27</t>
        </is>
      </c>
      <c r="K2856" s="1" t="inlineStr">
        <is>
          <t>Использование (применение) средств индивидуальной защиты</t>
        </is>
      </c>
      <c r="L2856" s="1" t="inlineStr">
        <is>
          <t>23.07.2026</t>
        </is>
      </c>
      <c r="M2856" s="1" t="inlineStr">
        <is>
          <t>Успешно</t>
        </is>
      </c>
      <c r="N2856" s="1" t="inlineStr">
        <is>
          <t>11.08.2026</t>
        </is>
      </c>
      <c r="O2856" s="1" t="inlineStr"/>
      <c r="P2856" s="1" t="inlineStr"/>
      <c r="Q2856" s="1" t="inlineStr">
        <is>
          <t>Пользовательский интерфейс</t>
        </is>
      </c>
    </row>
    <row r="2857">
      <c r="B2857" s="1" t="inlineStr">
        <is>
          <t>214421364</t>
        </is>
      </c>
      <c r="C2857" s="1" t="inlineStr">
        <is>
          <t>15411209</t>
        </is>
      </c>
      <c r="D2857" t="inlineStr">
        <is>
          <t>работник 761</t>
        </is>
      </c>
      <c r="E2857" s="1" t="inlineStr">
        <is>
          <t>ОБЩЕСТВО С ОГРАНИЧЕННОЙ ОТВЕТСТВЕННОСТЬЮ "АМУР ЗОЛОТО"</t>
        </is>
      </c>
      <c r="F2857" s="1" t="inlineStr">
        <is>
          <t>2708001686</t>
        </is>
      </c>
      <c r="G2857" s="1" t="inlineStr">
        <is>
          <t>Машинист погрузочно-доставочной машины (занятый на транспортировании горной массы в технологическом процессе)</t>
        </is>
      </c>
      <c r="H2857" s="1" t="inlineStr">
        <is>
          <t>ООО "Амур Золото"</t>
        </is>
      </c>
      <c r="I2857" s="1" t="inlineStr">
        <is>
          <t>2708001686</t>
        </is>
      </c>
      <c r="J2857" s="1" t="inlineStr">
        <is>
          <t>ЮГОК ПГУ 26-27</t>
        </is>
      </c>
      <c r="K2857" s="1" t="inlineStr">
        <is>
          <t>Оказание первой помощи пострадавшим</t>
        </is>
      </c>
      <c r="L2857" s="1" t="inlineStr">
        <is>
          <t>23.07.2026</t>
        </is>
      </c>
      <c r="M2857" s="1" t="inlineStr">
        <is>
          <t>Успешно</t>
        </is>
      </c>
      <c r="N2857" s="1" t="inlineStr">
        <is>
          <t>11.08.2026</t>
        </is>
      </c>
      <c r="O2857" s="1" t="inlineStr"/>
      <c r="P2857" s="1" t="inlineStr"/>
      <c r="Q2857" s="1" t="inlineStr">
        <is>
          <t>Пользовательский интерфейс</t>
        </is>
      </c>
    </row>
    <row r="2858">
      <c r="B2858" s="1" t="inlineStr">
        <is>
          <t>214421365</t>
        </is>
      </c>
      <c r="C2858" s="1" t="inlineStr">
        <is>
          <t>15411209</t>
        </is>
      </c>
      <c r="D2858" t="inlineStr">
        <is>
          <t>работник 208</t>
        </is>
      </c>
      <c r="E2858" s="1" t="inlineStr">
        <is>
          <t>ОБЩЕСТВО С ОГРАНИЧЕННОЙ ОТВЕТСТВЕННОСТЬЮ "АМУР ЗОЛОТО"</t>
        </is>
      </c>
      <c r="F2858" s="1" t="inlineStr">
        <is>
          <t>2708001686</t>
        </is>
      </c>
      <c r="G2858" s="1" t="inlineStr">
        <is>
          <t>Машинист погрузочно-доставочной машины (занятый на транспортировании горной массы в технологическом процессе)</t>
        </is>
      </c>
      <c r="H2858" s="1" t="inlineStr">
        <is>
          <t>ООО "Амур Золото"</t>
        </is>
      </c>
      <c r="I2858" s="1" t="inlineStr">
        <is>
          <t>2708001686</t>
        </is>
      </c>
      <c r="J2858" s="1" t="inlineStr">
        <is>
          <t>ЮГОК ПГУ 26-27</t>
        </is>
      </c>
      <c r="K285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858" s="1" t="inlineStr">
        <is>
          <t>23.07.2026</t>
        </is>
      </c>
      <c r="M2858" s="1" t="inlineStr">
        <is>
          <t>Успешно</t>
        </is>
      </c>
      <c r="N2858" s="1" t="inlineStr">
        <is>
          <t>11.08.2026</t>
        </is>
      </c>
      <c r="O2858" s="1" t="inlineStr"/>
      <c r="P2858" s="1" t="inlineStr"/>
      <c r="Q2858" s="1" t="inlineStr">
        <is>
          <t>Пользовательский интерфейс</t>
        </is>
      </c>
    </row>
    <row r="2859">
      <c r="B2859" s="1" t="inlineStr">
        <is>
          <t>214421366</t>
        </is>
      </c>
      <c r="C2859" s="1" t="inlineStr">
        <is>
          <t>15411209</t>
        </is>
      </c>
      <c r="D2859" t="inlineStr">
        <is>
          <t>работник 762</t>
        </is>
      </c>
      <c r="E2859" s="1" t="inlineStr">
        <is>
          <t>ОБЩЕСТВО С ОГРАНИЧЕННОЙ ОТВЕТСТВЕННОСТЬЮ "АМУР ЗОЛОТО"</t>
        </is>
      </c>
      <c r="F2859" s="1" t="inlineStr">
        <is>
          <t>2708001686</t>
        </is>
      </c>
      <c r="G2859" s="1" t="inlineStr">
        <is>
          <t>Машинист погрузочно-доставочной машины (занятый на транспортировании горной массы в технологическом процессе)</t>
        </is>
      </c>
      <c r="H2859" s="1" t="inlineStr">
        <is>
          <t>ООО "Амур Золото"</t>
        </is>
      </c>
      <c r="I2859" s="1" t="inlineStr">
        <is>
          <t>2708001686</t>
        </is>
      </c>
      <c r="J2859" s="1" t="inlineStr">
        <is>
          <t>ЮГОК ПГУ 26-27</t>
        </is>
      </c>
      <c r="K2859" s="1" t="inlineStr">
        <is>
          <t>Оказание первой помощи пострадавшим</t>
        </is>
      </c>
      <c r="L2859" s="1" t="inlineStr">
        <is>
          <t>23.07.2026</t>
        </is>
      </c>
      <c r="M2859" s="1" t="inlineStr">
        <is>
          <t>Успешно</t>
        </is>
      </c>
      <c r="N2859" s="1" t="inlineStr">
        <is>
          <t>11.08.2026</t>
        </is>
      </c>
      <c r="O2859" s="1" t="inlineStr"/>
      <c r="P2859" s="1" t="inlineStr"/>
      <c r="Q2859" s="1" t="inlineStr">
        <is>
          <t>Пользовательский интерфейс</t>
        </is>
      </c>
    </row>
    <row r="2860">
      <c r="B2860" s="1" t="inlineStr">
        <is>
          <t>214421367</t>
        </is>
      </c>
      <c r="C2860" s="1" t="inlineStr">
        <is>
          <t>15411209</t>
        </is>
      </c>
      <c r="D2860" t="inlineStr">
        <is>
          <t>работник 762</t>
        </is>
      </c>
      <c r="E2860" s="1" t="inlineStr">
        <is>
          <t>ОБЩЕСТВО С ОГРАНИЧЕННОЙ ОТВЕТСТВЕННОСТЬЮ "АМУР ЗОЛОТО"</t>
        </is>
      </c>
      <c r="F2860" s="1" t="inlineStr">
        <is>
          <t>2708001686</t>
        </is>
      </c>
      <c r="G2860" s="1" t="inlineStr">
        <is>
          <t>Машинист погрузочно-доставочной машины (занятый на транспортировании горной массы в технологическом процессе)</t>
        </is>
      </c>
      <c r="H2860" s="1" t="inlineStr">
        <is>
          <t>ООО "Амур Золото"</t>
        </is>
      </c>
      <c r="I2860" s="1" t="inlineStr">
        <is>
          <t>2708001686</t>
        </is>
      </c>
      <c r="J2860" s="1" t="inlineStr">
        <is>
          <t>ЮГОК ПГУ 26-27</t>
        </is>
      </c>
      <c r="K2860" s="1" t="inlineStr">
        <is>
          <t>Использование (применение) средств индивидуальной защиты</t>
        </is>
      </c>
      <c r="L2860" s="1" t="inlineStr">
        <is>
          <t>23.07.2026</t>
        </is>
      </c>
      <c r="M2860" s="1" t="inlineStr">
        <is>
          <t>Успешно</t>
        </is>
      </c>
      <c r="N2860" s="1" t="inlineStr">
        <is>
          <t>11.08.2026</t>
        </is>
      </c>
      <c r="O2860" s="1" t="inlineStr"/>
      <c r="P2860" s="1" t="inlineStr"/>
      <c r="Q2860" s="1" t="inlineStr">
        <is>
          <t>Пользовательский интерфейс</t>
        </is>
      </c>
    </row>
    <row r="2861">
      <c r="B2861" s="1" t="inlineStr">
        <is>
          <t>214421368</t>
        </is>
      </c>
      <c r="C2861" s="1" t="inlineStr">
        <is>
          <t>15411209</t>
        </is>
      </c>
      <c r="D2861" t="inlineStr">
        <is>
          <t>работник 762</t>
        </is>
      </c>
      <c r="E2861" s="1" t="inlineStr">
        <is>
          <t>ОБЩЕСТВО С ОГРАНИЧЕННОЙ ОТВЕТСТВЕННОСТЬЮ "АМУР ЗОЛОТО"</t>
        </is>
      </c>
      <c r="F2861" s="1" t="inlineStr">
        <is>
          <t>2708001686</t>
        </is>
      </c>
      <c r="G2861" s="1" t="inlineStr">
        <is>
          <t>Машинист погрузочно-доставочной машины (занятый на транспортировании горной массы в технологическом процессе)</t>
        </is>
      </c>
      <c r="H2861" s="1" t="inlineStr">
        <is>
          <t>ООО "Амур Золото"</t>
        </is>
      </c>
      <c r="I2861" s="1" t="inlineStr">
        <is>
          <t>2708001686</t>
        </is>
      </c>
      <c r="J2861" s="1" t="inlineStr">
        <is>
          <t>ЮГОК ПГУ 26-27</t>
        </is>
      </c>
      <c r="K286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861" s="1" t="inlineStr">
        <is>
          <t>23.07.2026</t>
        </is>
      </c>
      <c r="M2861" s="1" t="inlineStr">
        <is>
          <t>Успешно</t>
        </is>
      </c>
      <c r="N2861" s="1" t="inlineStr">
        <is>
          <t>11.08.2026</t>
        </is>
      </c>
      <c r="O2861" s="1" t="inlineStr"/>
      <c r="P2861" s="1" t="inlineStr"/>
      <c r="Q2861" s="1" t="inlineStr">
        <is>
          <t>Пользовательский интерфейс</t>
        </is>
      </c>
    </row>
    <row r="2862">
      <c r="B2862" s="1" t="inlineStr">
        <is>
          <t>214421369</t>
        </is>
      </c>
      <c r="C2862" s="1" t="inlineStr">
        <is>
          <t>15411209</t>
        </is>
      </c>
      <c r="D2862" t="inlineStr">
        <is>
          <t>работник 840</t>
        </is>
      </c>
      <c r="E2862" s="1" t="inlineStr">
        <is>
          <t>ОБЩЕСТВО С ОГРАНИЧЕННОЙ ОТВЕТСТВЕННОСТЬЮ "АМУР ЗОЛОТО"</t>
        </is>
      </c>
      <c r="F2862" s="1" t="inlineStr">
        <is>
          <t>2708001686</t>
        </is>
      </c>
      <c r="G2862" s="1" t="inlineStr">
        <is>
          <t>Машинист погрузочно-доставочной машины (занятый на транспортировании горной массы в технологическом процессе)</t>
        </is>
      </c>
      <c r="H2862" s="1" t="inlineStr">
        <is>
          <t>ООО "Амур Золото"</t>
        </is>
      </c>
      <c r="I2862" s="1" t="inlineStr">
        <is>
          <t>2708001686</t>
        </is>
      </c>
      <c r="J2862" s="1" t="inlineStr">
        <is>
          <t>ЮГОК ПГУ 26-27</t>
        </is>
      </c>
      <c r="K2862" s="1" t="inlineStr">
        <is>
          <t>Оказание первой помощи пострадавшим</t>
        </is>
      </c>
      <c r="L2862" s="1" t="inlineStr">
        <is>
          <t>23.07.2026</t>
        </is>
      </c>
      <c r="M2862" s="1" t="inlineStr">
        <is>
          <t>Успешно</t>
        </is>
      </c>
      <c r="N2862" s="1" t="inlineStr">
        <is>
          <t>11.08.2026</t>
        </is>
      </c>
      <c r="O2862" s="1" t="inlineStr"/>
      <c r="P2862" s="1" t="inlineStr"/>
      <c r="Q2862" s="1" t="inlineStr">
        <is>
          <t>Пользовательский интерфейс</t>
        </is>
      </c>
    </row>
    <row r="2863">
      <c r="B2863" s="1" t="inlineStr">
        <is>
          <t>214421370</t>
        </is>
      </c>
      <c r="C2863" s="1" t="inlineStr">
        <is>
          <t>15411209</t>
        </is>
      </c>
      <c r="D2863" t="inlineStr">
        <is>
          <t>работник 840</t>
        </is>
      </c>
      <c r="E2863" s="1" t="inlineStr">
        <is>
          <t>ОБЩЕСТВО С ОГРАНИЧЕННОЙ ОТВЕТСТВЕННОСТЬЮ "АМУР ЗОЛОТО"</t>
        </is>
      </c>
      <c r="F2863" s="1" t="inlineStr">
        <is>
          <t>2708001686</t>
        </is>
      </c>
      <c r="G2863" s="1" t="inlineStr">
        <is>
          <t>Машинист погрузочно-доставочной машины (занятый на транспортировании горной массы в технологическом процессе)</t>
        </is>
      </c>
      <c r="H2863" s="1" t="inlineStr">
        <is>
          <t>ООО "Амур Золото"</t>
        </is>
      </c>
      <c r="I2863" s="1" t="inlineStr">
        <is>
          <t>2708001686</t>
        </is>
      </c>
      <c r="J2863" s="1" t="inlineStr">
        <is>
          <t>ЮГОК ПГУ 26-27</t>
        </is>
      </c>
      <c r="K2863" s="1" t="inlineStr">
        <is>
          <t>Использование (применение) средств индивидуальной защиты</t>
        </is>
      </c>
      <c r="L2863" s="1" t="inlineStr">
        <is>
          <t>23.07.2026</t>
        </is>
      </c>
      <c r="M2863" s="1" t="inlineStr">
        <is>
          <t>Успешно</t>
        </is>
      </c>
      <c r="N2863" s="1" t="inlineStr">
        <is>
          <t>11.08.2026</t>
        </is>
      </c>
      <c r="O2863" s="1" t="inlineStr"/>
      <c r="P2863" s="1" t="inlineStr"/>
      <c r="Q2863" s="1" t="inlineStr">
        <is>
          <t>Пользовательский интерфейс</t>
        </is>
      </c>
    </row>
    <row r="2864">
      <c r="B2864" s="1" t="inlineStr">
        <is>
          <t>214421371</t>
        </is>
      </c>
      <c r="C2864" s="1" t="inlineStr">
        <is>
          <t>15411209</t>
        </is>
      </c>
      <c r="D2864" t="inlineStr">
        <is>
          <t>работник 840</t>
        </is>
      </c>
      <c r="E2864" s="1" t="inlineStr">
        <is>
          <t>ОБЩЕСТВО С ОГРАНИЧЕННОЙ ОТВЕТСТВЕННОСТЬЮ "АМУР ЗОЛОТО"</t>
        </is>
      </c>
      <c r="F2864" s="1" t="inlineStr">
        <is>
          <t>2708001686</t>
        </is>
      </c>
      <c r="G2864" s="1" t="inlineStr">
        <is>
          <t>Машинист погрузочно-доставочной машины (занятый на транспортировании горной массы в технологическом процессе)</t>
        </is>
      </c>
      <c r="H2864" s="1" t="inlineStr">
        <is>
          <t>ООО "Амур Золото"</t>
        </is>
      </c>
      <c r="I2864" s="1" t="inlineStr">
        <is>
          <t>2708001686</t>
        </is>
      </c>
      <c r="J2864" s="1" t="inlineStr">
        <is>
          <t>ЮГОК ПГУ 26-27</t>
        </is>
      </c>
      <c r="K286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864" s="1" t="inlineStr">
        <is>
          <t>23.07.2026</t>
        </is>
      </c>
      <c r="M2864" s="1" t="inlineStr">
        <is>
          <t>Успешно</t>
        </is>
      </c>
      <c r="N2864" s="1" t="inlineStr">
        <is>
          <t>11.08.2026</t>
        </is>
      </c>
      <c r="O2864" s="1" t="inlineStr"/>
      <c r="P2864" s="1" t="inlineStr"/>
      <c r="Q2864" s="1" t="inlineStr">
        <is>
          <t>Пользовательский интерфейс</t>
        </is>
      </c>
    </row>
    <row r="2865">
      <c r="B2865" s="1" t="inlineStr">
        <is>
          <t>214421372</t>
        </is>
      </c>
      <c r="C2865" s="1" t="inlineStr">
        <is>
          <t>15411209</t>
        </is>
      </c>
      <c r="D2865" t="inlineStr">
        <is>
          <t>работник 763</t>
        </is>
      </c>
      <c r="E2865" s="1" t="inlineStr">
        <is>
          <t>ОБЩЕСТВО С ОГРАНИЧЕННОЙ ОТВЕТСТВЕННОСТЬЮ "АМУР ЗОЛОТО"</t>
        </is>
      </c>
      <c r="F2865" s="1" t="inlineStr">
        <is>
          <t>2708001686</t>
        </is>
      </c>
      <c r="G2865" s="1" t="inlineStr">
        <is>
          <t>Машинист погрузочно-доставочной машины (занятый на транспортировании горной массы в технологическом процессе)</t>
        </is>
      </c>
      <c r="H2865" s="1" t="inlineStr">
        <is>
          <t>ООО "Амур Золото"</t>
        </is>
      </c>
      <c r="I2865" s="1" t="inlineStr">
        <is>
          <t>2708001686</t>
        </is>
      </c>
      <c r="J2865" s="1" t="inlineStr">
        <is>
          <t>ЮГОК ПГУ 26-27</t>
        </is>
      </c>
      <c r="K2865" s="1" t="inlineStr">
        <is>
          <t>Оказание первой помощи пострадавшим</t>
        </is>
      </c>
      <c r="L2865" s="1" t="inlineStr">
        <is>
          <t>23.07.2026</t>
        </is>
      </c>
      <c r="M2865" s="1" t="inlineStr">
        <is>
          <t>Успешно</t>
        </is>
      </c>
      <c r="N2865" s="1" t="inlineStr">
        <is>
          <t>11.08.2026</t>
        </is>
      </c>
      <c r="O2865" s="1" t="inlineStr"/>
      <c r="P2865" s="1" t="inlineStr"/>
      <c r="Q2865" s="1" t="inlineStr">
        <is>
          <t>Пользовательский интерфейс</t>
        </is>
      </c>
    </row>
    <row r="2866">
      <c r="B2866" s="1" t="inlineStr">
        <is>
          <t>214421373</t>
        </is>
      </c>
      <c r="C2866" s="1" t="inlineStr">
        <is>
          <t>15411209</t>
        </is>
      </c>
      <c r="D2866" t="inlineStr">
        <is>
          <t>работник 763</t>
        </is>
      </c>
      <c r="E2866" s="1" t="inlineStr">
        <is>
          <t>ОБЩЕСТВО С ОГРАНИЧЕННОЙ ОТВЕТСТВЕННОСТЬЮ "АМУР ЗОЛОТО"</t>
        </is>
      </c>
      <c r="F2866" s="1" t="inlineStr">
        <is>
          <t>2708001686</t>
        </is>
      </c>
      <c r="G2866" s="1" t="inlineStr">
        <is>
          <t>Машинист погрузочно-доставочной машины (занятый на транспортировании горной массы в технологическом процессе)</t>
        </is>
      </c>
      <c r="H2866" s="1" t="inlineStr">
        <is>
          <t>ООО "Амур Золото"</t>
        </is>
      </c>
      <c r="I2866" s="1" t="inlineStr">
        <is>
          <t>2708001686</t>
        </is>
      </c>
      <c r="J2866" s="1" t="inlineStr">
        <is>
          <t>ЮГОК ПГУ 26-27</t>
        </is>
      </c>
      <c r="K2866" s="1" t="inlineStr">
        <is>
          <t>Использование (применение) средств индивидуальной защиты</t>
        </is>
      </c>
      <c r="L2866" s="1" t="inlineStr">
        <is>
          <t>23.07.2026</t>
        </is>
      </c>
      <c r="M2866" s="1" t="inlineStr">
        <is>
          <t>Успешно</t>
        </is>
      </c>
      <c r="N2866" s="1" t="inlineStr">
        <is>
          <t>11.08.2026</t>
        </is>
      </c>
      <c r="O2866" s="1" t="inlineStr"/>
      <c r="P2866" s="1" t="inlineStr"/>
      <c r="Q2866" s="1" t="inlineStr">
        <is>
          <t>Пользовательский интерфейс</t>
        </is>
      </c>
    </row>
    <row r="2867">
      <c r="B2867" s="1" t="inlineStr">
        <is>
          <t>214421374</t>
        </is>
      </c>
      <c r="C2867" s="1" t="inlineStr">
        <is>
          <t>15411209</t>
        </is>
      </c>
      <c r="D2867" t="inlineStr">
        <is>
          <t>работник 763</t>
        </is>
      </c>
      <c r="E2867" s="1" t="inlineStr">
        <is>
          <t>ОБЩЕСТВО С ОГРАНИЧЕННОЙ ОТВЕТСТВЕННОСТЬЮ "АМУР ЗОЛОТО"</t>
        </is>
      </c>
      <c r="F2867" s="1" t="inlineStr">
        <is>
          <t>2708001686</t>
        </is>
      </c>
      <c r="G2867" s="1" t="inlineStr">
        <is>
          <t>Машинист погрузочно-доставочной машины (занятый на транспортировании горной массы в технологическом процессе)</t>
        </is>
      </c>
      <c r="H2867" s="1" t="inlineStr">
        <is>
          <t>ООО "Амур Золото"</t>
        </is>
      </c>
      <c r="I2867" s="1" t="inlineStr">
        <is>
          <t>2708001686</t>
        </is>
      </c>
      <c r="J2867" s="1" t="inlineStr">
        <is>
          <t>ЮГОК ПГУ 26-27</t>
        </is>
      </c>
      <c r="K286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867" s="1" t="inlineStr">
        <is>
          <t>23.07.2026</t>
        </is>
      </c>
      <c r="M2867" s="1" t="inlineStr">
        <is>
          <t>Успешно</t>
        </is>
      </c>
      <c r="N2867" s="1" t="inlineStr">
        <is>
          <t>11.08.2026</t>
        </is>
      </c>
      <c r="O2867" s="1" t="inlineStr"/>
      <c r="P2867" s="1" t="inlineStr"/>
      <c r="Q2867" s="1" t="inlineStr">
        <is>
          <t>Пользовательский интерфейс</t>
        </is>
      </c>
    </row>
    <row r="2868">
      <c r="B2868" s="1" t="inlineStr">
        <is>
          <t>214421375</t>
        </is>
      </c>
      <c r="C2868" s="1" t="inlineStr">
        <is>
          <t>15411209</t>
        </is>
      </c>
      <c r="D2868" t="inlineStr">
        <is>
          <t>работник 761</t>
        </is>
      </c>
      <c r="E2868" s="1" t="inlineStr">
        <is>
          <t>ОБЩЕСТВО С ОГРАНИЧЕННОЙ ОТВЕТСТВЕННОСТЬЮ "АМУР ЗОЛОТО"</t>
        </is>
      </c>
      <c r="F2868" s="1" t="inlineStr">
        <is>
          <t>2708001686</t>
        </is>
      </c>
      <c r="G2868" s="1" t="inlineStr">
        <is>
          <t>Машинист погрузочно-доставочной машины (занятый на транспортировании горной массы в технологическом процессе)</t>
        </is>
      </c>
      <c r="H2868" s="1" t="inlineStr">
        <is>
          <t>ООО "Амур Золото"</t>
        </is>
      </c>
      <c r="I2868" s="1" t="inlineStr">
        <is>
          <t>2708001686</t>
        </is>
      </c>
      <c r="J2868" s="1" t="inlineStr">
        <is>
          <t>ЮГОК ПГУ 26-27</t>
        </is>
      </c>
      <c r="K2868" s="1" t="inlineStr">
        <is>
          <t>Использование (применение) средств индивидуальной защиты</t>
        </is>
      </c>
      <c r="L2868" s="1" t="inlineStr">
        <is>
          <t>23.07.2026</t>
        </is>
      </c>
      <c r="M2868" s="1" t="inlineStr">
        <is>
          <t>Успешно</t>
        </is>
      </c>
      <c r="N2868" s="1" t="inlineStr">
        <is>
          <t>11.08.2026</t>
        </is>
      </c>
      <c r="O2868" s="1" t="inlineStr"/>
      <c r="P2868" s="1" t="inlineStr"/>
      <c r="Q2868" s="1" t="inlineStr">
        <is>
          <t>Пользовательский интерфейс</t>
        </is>
      </c>
    </row>
    <row r="2869">
      <c r="B2869" s="1" t="inlineStr">
        <is>
          <t>214421376</t>
        </is>
      </c>
      <c r="C2869" s="1" t="inlineStr">
        <is>
          <t>15411209</t>
        </is>
      </c>
      <c r="D2869" t="inlineStr">
        <is>
          <t>работник 761</t>
        </is>
      </c>
      <c r="E2869" s="1" t="inlineStr">
        <is>
          <t>ОБЩЕСТВО С ОГРАНИЧЕННОЙ ОТВЕТСТВЕННОСТЬЮ "АМУР ЗОЛОТО"</t>
        </is>
      </c>
      <c r="F2869" s="1" t="inlineStr">
        <is>
          <t>2708001686</t>
        </is>
      </c>
      <c r="G2869" s="1" t="inlineStr">
        <is>
          <t>Машинист погрузочно-доставочной машины (занятый на транспортировании горной массы в технологическом процессе)</t>
        </is>
      </c>
      <c r="H2869" s="1" t="inlineStr">
        <is>
          <t>ООО "Амур Золото"</t>
        </is>
      </c>
      <c r="I2869" s="1" t="inlineStr">
        <is>
          <t>2708001686</t>
        </is>
      </c>
      <c r="J2869" s="1" t="inlineStr">
        <is>
          <t>ЮГОК ПГУ 26-27</t>
        </is>
      </c>
      <c r="K286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869" s="1" t="inlineStr">
        <is>
          <t>23.07.2026</t>
        </is>
      </c>
      <c r="M2869" s="1" t="inlineStr">
        <is>
          <t>Успешно</t>
        </is>
      </c>
      <c r="N2869" s="1" t="inlineStr">
        <is>
          <t>11.08.2026</t>
        </is>
      </c>
      <c r="O2869" s="1" t="inlineStr"/>
      <c r="P2869" s="1" t="inlineStr"/>
      <c r="Q2869" s="1" t="inlineStr">
        <is>
          <t>Пользовательский интерфейс</t>
        </is>
      </c>
    </row>
    <row r="2870">
      <c r="B2870" s="1" t="inlineStr">
        <is>
          <t>214421377</t>
        </is>
      </c>
      <c r="C2870" s="1" t="inlineStr">
        <is>
          <t>15411209</t>
        </is>
      </c>
      <c r="D2870" t="inlineStr">
        <is>
          <t>работник 653</t>
        </is>
      </c>
      <c r="E2870" s="1" t="inlineStr">
        <is>
          <t>ОБЩЕСТВО С ОГРАНИЧЕННОЙ ОТВЕТСТВЕННОСТЬЮ "АМУР ЗОЛОТО"</t>
        </is>
      </c>
      <c r="F2870" s="1" t="inlineStr">
        <is>
          <t>2708001686</t>
        </is>
      </c>
      <c r="G2870" s="1" t="inlineStr">
        <is>
          <t>Машинист погрузочно-доставочной машины (занятый на транспортировании горной массы в технологическом процессе)</t>
        </is>
      </c>
      <c r="H2870" s="1" t="inlineStr">
        <is>
          <t>ООО "Амур Золото"</t>
        </is>
      </c>
      <c r="I2870" s="1" t="inlineStr">
        <is>
          <t>2708001686</t>
        </is>
      </c>
      <c r="J2870" s="1" t="inlineStr">
        <is>
          <t>ЮГОК ПГУ 26-27</t>
        </is>
      </c>
      <c r="K2870" s="1" t="inlineStr">
        <is>
          <t>Оказание первой помощи пострадавшим</t>
        </is>
      </c>
      <c r="L2870" s="1" t="inlineStr">
        <is>
          <t>23.07.2026</t>
        </is>
      </c>
      <c r="M2870" s="1" t="inlineStr">
        <is>
          <t>Успешно</t>
        </is>
      </c>
      <c r="N2870" s="1" t="inlineStr">
        <is>
          <t>11.08.2026</t>
        </is>
      </c>
      <c r="O2870" s="1" t="inlineStr"/>
      <c r="P2870" s="1" t="inlineStr"/>
      <c r="Q2870" s="1" t="inlineStr">
        <is>
          <t>Пользовательский интерфейс</t>
        </is>
      </c>
    </row>
    <row r="2871">
      <c r="B2871" s="1" t="inlineStr">
        <is>
          <t>214421378</t>
        </is>
      </c>
      <c r="C2871" s="1" t="inlineStr">
        <is>
          <t>15411209</t>
        </is>
      </c>
      <c r="D2871" t="inlineStr">
        <is>
          <t>работник 653</t>
        </is>
      </c>
      <c r="E2871" s="1" t="inlineStr">
        <is>
          <t>ОБЩЕСТВО С ОГРАНИЧЕННОЙ ОТВЕТСТВЕННОСТЬЮ "АМУР ЗОЛОТО"</t>
        </is>
      </c>
      <c r="F2871" s="1" t="inlineStr">
        <is>
          <t>2708001686</t>
        </is>
      </c>
      <c r="G2871" s="1" t="inlineStr">
        <is>
          <t>Машинист погрузочно-доставочной машины (занятый на транспортировании горной массы в технологическом процессе)</t>
        </is>
      </c>
      <c r="H2871" s="1" t="inlineStr">
        <is>
          <t>ООО "Амур Золото"</t>
        </is>
      </c>
      <c r="I2871" s="1" t="inlineStr">
        <is>
          <t>2708001686</t>
        </is>
      </c>
      <c r="J2871" s="1" t="inlineStr">
        <is>
          <t>ЮГОК ПГУ 26-27</t>
        </is>
      </c>
      <c r="K2871" s="1" t="inlineStr">
        <is>
          <t>Использование (применение) средств индивидуальной защиты</t>
        </is>
      </c>
      <c r="L2871" s="1" t="inlineStr">
        <is>
          <t>23.07.2026</t>
        </is>
      </c>
      <c r="M2871" s="1" t="inlineStr">
        <is>
          <t>Успешно</t>
        </is>
      </c>
      <c r="N2871" s="1" t="inlineStr">
        <is>
          <t>11.08.2026</t>
        </is>
      </c>
      <c r="O2871" s="1" t="inlineStr"/>
      <c r="P2871" s="1" t="inlineStr"/>
      <c r="Q2871" s="1" t="inlineStr">
        <is>
          <t>Пользовательский интерфейс</t>
        </is>
      </c>
    </row>
    <row r="2872">
      <c r="B2872" s="1" t="inlineStr">
        <is>
          <t>214421379</t>
        </is>
      </c>
      <c r="C2872" s="1" t="inlineStr">
        <is>
          <t>15411209</t>
        </is>
      </c>
      <c r="D2872" t="inlineStr">
        <is>
          <t>работник 653</t>
        </is>
      </c>
      <c r="E2872" s="1" t="inlineStr">
        <is>
          <t>ОБЩЕСТВО С ОГРАНИЧЕННОЙ ОТВЕТСТВЕННОСТЬЮ "АМУР ЗОЛОТО"</t>
        </is>
      </c>
      <c r="F2872" s="1" t="inlineStr">
        <is>
          <t>2708001686</t>
        </is>
      </c>
      <c r="G2872" s="1" t="inlineStr">
        <is>
          <t>Машинист погрузочно-доставочной машины (занятый на транспортировании горной массы в технологическом процессе)</t>
        </is>
      </c>
      <c r="H2872" s="1" t="inlineStr">
        <is>
          <t>ООО "Амур Золото"</t>
        </is>
      </c>
      <c r="I2872" s="1" t="inlineStr">
        <is>
          <t>2708001686</t>
        </is>
      </c>
      <c r="J2872" s="1" t="inlineStr">
        <is>
          <t>ЮГОК ПГУ 26-27</t>
        </is>
      </c>
      <c r="K287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872" s="1" t="inlineStr">
        <is>
          <t>23.07.2026</t>
        </is>
      </c>
      <c r="M2872" s="1" t="inlineStr">
        <is>
          <t>Успешно</t>
        </is>
      </c>
      <c r="N2872" s="1" t="inlineStr">
        <is>
          <t>11.08.2026</t>
        </is>
      </c>
      <c r="O2872" s="1" t="inlineStr"/>
      <c r="P2872" s="1" t="inlineStr"/>
      <c r="Q2872" s="1" t="inlineStr">
        <is>
          <t>Пользовательский интерфейс</t>
        </is>
      </c>
    </row>
    <row r="2873">
      <c r="B2873" s="1" t="inlineStr">
        <is>
          <t>214421380</t>
        </is>
      </c>
      <c r="C2873" s="1" t="inlineStr">
        <is>
          <t>15411209</t>
        </is>
      </c>
      <c r="D2873" t="inlineStr">
        <is>
          <t>работник 764</t>
        </is>
      </c>
      <c r="E2873" s="1" t="inlineStr">
        <is>
          <t>ОБЩЕСТВО С ОГРАНИЧЕННОЙ ОТВЕТСТВЕННОСТЬЮ "АМУР ЗОЛОТО"</t>
        </is>
      </c>
      <c r="F2873" s="1" t="inlineStr">
        <is>
          <t>2708001686</t>
        </is>
      </c>
      <c r="G2873" s="1" t="inlineStr">
        <is>
          <t>Машинист погрузочно-доставочной машины (занятый на транспортировании горной массы в технологическом процессе)</t>
        </is>
      </c>
      <c r="H2873" s="1" t="inlineStr">
        <is>
          <t>ООО "Амур Золото"</t>
        </is>
      </c>
      <c r="I2873" s="1" t="inlineStr">
        <is>
          <t>2708001686</t>
        </is>
      </c>
      <c r="J2873" s="1" t="inlineStr">
        <is>
          <t>ЮГОК ПГУ 26-27</t>
        </is>
      </c>
      <c r="K2873" s="1" t="inlineStr">
        <is>
          <t>Оказание первой помощи пострадавшим</t>
        </is>
      </c>
      <c r="L2873" s="1" t="inlineStr">
        <is>
          <t>23.07.2026</t>
        </is>
      </c>
      <c r="M2873" s="1" t="inlineStr">
        <is>
          <t>Успешно</t>
        </is>
      </c>
      <c r="N2873" s="1" t="inlineStr">
        <is>
          <t>11.08.2026</t>
        </is>
      </c>
      <c r="O2873" s="1" t="inlineStr"/>
      <c r="P2873" s="1" t="inlineStr"/>
      <c r="Q2873" s="1" t="inlineStr">
        <is>
          <t>Пользовательский интерфейс</t>
        </is>
      </c>
    </row>
    <row r="2874">
      <c r="B2874" s="1" t="inlineStr">
        <is>
          <t>214421381</t>
        </is>
      </c>
      <c r="C2874" s="1" t="inlineStr">
        <is>
          <t>15411209</t>
        </is>
      </c>
      <c r="D2874" t="inlineStr">
        <is>
          <t>работник 764</t>
        </is>
      </c>
      <c r="E2874" s="1" t="inlineStr">
        <is>
          <t>ОБЩЕСТВО С ОГРАНИЧЕННОЙ ОТВЕТСТВЕННОСТЬЮ "АМУР ЗОЛОТО"</t>
        </is>
      </c>
      <c r="F2874" s="1" t="inlineStr">
        <is>
          <t>2708001686</t>
        </is>
      </c>
      <c r="G2874" s="1" t="inlineStr">
        <is>
          <t>Машинист погрузочно-доставочной машины (занятый на транспортировании горной массы в технологическом процессе)</t>
        </is>
      </c>
      <c r="H2874" s="1" t="inlineStr">
        <is>
          <t>ООО "Амур Золото"</t>
        </is>
      </c>
      <c r="I2874" s="1" t="inlineStr">
        <is>
          <t>2708001686</t>
        </is>
      </c>
      <c r="J2874" s="1" t="inlineStr">
        <is>
          <t>ЮГОК ПГУ 26-27</t>
        </is>
      </c>
      <c r="K2874" s="1" t="inlineStr">
        <is>
          <t>Использование (применение) средств индивидуальной защиты</t>
        </is>
      </c>
      <c r="L2874" s="1" t="inlineStr">
        <is>
          <t>23.07.2026</t>
        </is>
      </c>
      <c r="M2874" s="1" t="inlineStr">
        <is>
          <t>Успешно</t>
        </is>
      </c>
      <c r="N2874" s="1" t="inlineStr">
        <is>
          <t>11.08.2026</t>
        </is>
      </c>
      <c r="O2874" s="1" t="inlineStr"/>
      <c r="P2874" s="1" t="inlineStr"/>
      <c r="Q2874" s="1" t="inlineStr">
        <is>
          <t>Пользовательский интерфейс</t>
        </is>
      </c>
    </row>
    <row r="2875">
      <c r="B2875" s="1" t="inlineStr">
        <is>
          <t>214421382</t>
        </is>
      </c>
      <c r="C2875" s="1" t="inlineStr">
        <is>
          <t>15411209</t>
        </is>
      </c>
      <c r="D2875" t="inlineStr">
        <is>
          <t>работник 764</t>
        </is>
      </c>
      <c r="E2875" s="1" t="inlineStr">
        <is>
          <t>ОБЩЕСТВО С ОГРАНИЧЕННОЙ ОТВЕТСТВЕННОСТЬЮ "АМУР ЗОЛОТО"</t>
        </is>
      </c>
      <c r="F2875" s="1" t="inlineStr">
        <is>
          <t>2708001686</t>
        </is>
      </c>
      <c r="G2875" s="1" t="inlineStr">
        <is>
          <t>Машинист погрузочно-доставочной машины (занятый на транспортировании горной массы в технологическом процессе)</t>
        </is>
      </c>
      <c r="H2875" s="1" t="inlineStr">
        <is>
          <t>ООО "Амур Золото"</t>
        </is>
      </c>
      <c r="I2875" s="1" t="inlineStr">
        <is>
          <t>2708001686</t>
        </is>
      </c>
      <c r="J2875" s="1" t="inlineStr">
        <is>
          <t>ЮГОК ПГУ 26-27</t>
        </is>
      </c>
      <c r="K287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875" s="1" t="inlineStr">
        <is>
          <t>23.07.2026</t>
        </is>
      </c>
      <c r="M2875" s="1" t="inlineStr">
        <is>
          <t>Успешно</t>
        </is>
      </c>
      <c r="N2875" s="1" t="inlineStr">
        <is>
          <t>11.08.2026</t>
        </is>
      </c>
      <c r="O2875" s="1" t="inlineStr"/>
      <c r="P2875" s="1" t="inlineStr"/>
      <c r="Q2875" s="1" t="inlineStr">
        <is>
          <t>Пользовательский интерфейс</t>
        </is>
      </c>
    </row>
    <row r="2876">
      <c r="B2876" s="1" t="inlineStr">
        <is>
          <t>214421383</t>
        </is>
      </c>
      <c r="C2876" s="1" t="inlineStr">
        <is>
          <t>15411209</t>
        </is>
      </c>
      <c r="D2876" t="inlineStr">
        <is>
          <t>работник 771</t>
        </is>
      </c>
      <c r="E2876" s="1" t="inlineStr">
        <is>
          <t>ОБЩЕСТВО С ОГРАНИЧЕННОЙ ОТВЕТСТВЕННОСТЬЮ "АМУР ЗОЛОТО"</t>
        </is>
      </c>
      <c r="F2876" s="1" t="inlineStr">
        <is>
          <t>2708001686</t>
        </is>
      </c>
      <c r="G2876" s="1" t="inlineStr">
        <is>
          <t>Машинист погрузочно-доставочной машины</t>
        </is>
      </c>
      <c r="H2876" s="1" t="inlineStr">
        <is>
          <t>ООО "Амур Золото"</t>
        </is>
      </c>
      <c r="I2876" s="1" t="inlineStr">
        <is>
          <t>2708001686</t>
        </is>
      </c>
      <c r="J2876" s="1" t="inlineStr">
        <is>
          <t>ЮГОК ПГУ 26-28</t>
        </is>
      </c>
      <c r="K2876" s="1" t="inlineStr">
        <is>
          <t>Оказание первой помощи пострадавшим</t>
        </is>
      </c>
      <c r="L2876" s="1" t="inlineStr">
        <is>
          <t>23.07.2026</t>
        </is>
      </c>
      <c r="M2876" s="1" t="inlineStr">
        <is>
          <t>Успешно</t>
        </is>
      </c>
      <c r="N2876" s="1" t="inlineStr">
        <is>
          <t>11.08.2026</t>
        </is>
      </c>
      <c r="O2876" s="1" t="inlineStr"/>
      <c r="P2876" s="1" t="inlineStr"/>
      <c r="Q2876" s="1" t="inlineStr">
        <is>
          <t>Пользовательский интерфейс</t>
        </is>
      </c>
    </row>
    <row r="2877">
      <c r="B2877" s="1" t="inlineStr">
        <is>
          <t>214421384</t>
        </is>
      </c>
      <c r="C2877" s="1" t="inlineStr">
        <is>
          <t>15411209</t>
        </is>
      </c>
      <c r="D2877" t="inlineStr">
        <is>
          <t>работник 771</t>
        </is>
      </c>
      <c r="E2877" s="1" t="inlineStr">
        <is>
          <t>ОБЩЕСТВО С ОГРАНИЧЕННОЙ ОТВЕТСТВЕННОСТЬЮ "АМУР ЗОЛОТО"</t>
        </is>
      </c>
      <c r="F2877" s="1" t="inlineStr">
        <is>
          <t>2708001686</t>
        </is>
      </c>
      <c r="G2877" s="1" t="inlineStr">
        <is>
          <t>Машинист погрузочно-доставочной машины</t>
        </is>
      </c>
      <c r="H2877" s="1" t="inlineStr">
        <is>
          <t>ООО "Амур Золото"</t>
        </is>
      </c>
      <c r="I2877" s="1" t="inlineStr">
        <is>
          <t>2708001686</t>
        </is>
      </c>
      <c r="J2877" s="1" t="inlineStr">
        <is>
          <t>ЮГОК ПГУ 26-28</t>
        </is>
      </c>
      <c r="K2877" s="1" t="inlineStr">
        <is>
          <t>Использование (применение) средств индивидуальной защиты</t>
        </is>
      </c>
      <c r="L2877" s="1" t="inlineStr">
        <is>
          <t>23.07.2026</t>
        </is>
      </c>
      <c r="M2877" s="1" t="inlineStr">
        <is>
          <t>Успешно</t>
        </is>
      </c>
      <c r="N2877" s="1" t="inlineStr">
        <is>
          <t>11.08.2026</t>
        </is>
      </c>
      <c r="O2877" s="1" t="inlineStr"/>
      <c r="P2877" s="1" t="inlineStr"/>
      <c r="Q2877" s="1" t="inlineStr">
        <is>
          <t>Пользовательский интерфейс</t>
        </is>
      </c>
    </row>
    <row r="2878">
      <c r="B2878" s="1" t="inlineStr">
        <is>
          <t>214421385</t>
        </is>
      </c>
      <c r="C2878" s="1" t="inlineStr">
        <is>
          <t>15411209</t>
        </is>
      </c>
      <c r="D2878" t="inlineStr">
        <is>
          <t>работник 771</t>
        </is>
      </c>
      <c r="E2878" s="1" t="inlineStr">
        <is>
          <t>ОБЩЕСТВО С ОГРАНИЧЕННОЙ ОТВЕТСТВЕННОСТЬЮ "АМУР ЗОЛОТО"</t>
        </is>
      </c>
      <c r="F2878" s="1" t="inlineStr">
        <is>
          <t>2708001686</t>
        </is>
      </c>
      <c r="G2878" s="1" t="inlineStr">
        <is>
          <t>Машинист погрузочно-доставочной машины</t>
        </is>
      </c>
      <c r="H2878" s="1" t="inlineStr">
        <is>
          <t>ООО "Амур Золото"</t>
        </is>
      </c>
      <c r="I2878" s="1" t="inlineStr">
        <is>
          <t>2708001686</t>
        </is>
      </c>
      <c r="J2878" s="1" t="inlineStr">
        <is>
          <t>ЮГОК ПГУ 26-28</t>
        </is>
      </c>
      <c r="K287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878" s="1" t="inlineStr">
        <is>
          <t>23.07.2026</t>
        </is>
      </c>
      <c r="M2878" s="1" t="inlineStr">
        <is>
          <t>Успешно</t>
        </is>
      </c>
      <c r="N2878" s="1" t="inlineStr">
        <is>
          <t>11.08.2026</t>
        </is>
      </c>
      <c r="O2878" s="1" t="inlineStr"/>
      <c r="P2878" s="1" t="inlineStr"/>
      <c r="Q2878" s="1" t="inlineStr">
        <is>
          <t>Пользовательский интерфейс</t>
        </is>
      </c>
    </row>
    <row r="2879">
      <c r="B2879" s="1" t="inlineStr">
        <is>
          <t>214421386</t>
        </is>
      </c>
      <c r="C2879" s="1" t="inlineStr">
        <is>
          <t>15411209</t>
        </is>
      </c>
      <c r="D2879" t="inlineStr">
        <is>
          <t>работник 154</t>
        </is>
      </c>
      <c r="E2879" s="1" t="inlineStr">
        <is>
          <t>ОБЩЕСТВО С ОГРАНИЧЕННОЙ ОТВЕТСТВЕННОСТЬЮ "АМУР ЗОЛОТО"</t>
        </is>
      </c>
      <c r="F2879" s="1" t="inlineStr">
        <is>
          <t>2708001686</t>
        </is>
      </c>
      <c r="G2879" s="1" t="inlineStr">
        <is>
          <t>Машинист погрузочно-доставочной машины</t>
        </is>
      </c>
      <c r="H2879" s="1" t="inlineStr">
        <is>
          <t>ООО "Амур Золото"</t>
        </is>
      </c>
      <c r="I2879" s="1" t="inlineStr">
        <is>
          <t>2708001686</t>
        </is>
      </c>
      <c r="J2879" s="1" t="inlineStr">
        <is>
          <t>ЮГОК ПГУ 26-28</t>
        </is>
      </c>
      <c r="K2879" s="1" t="inlineStr">
        <is>
          <t>Оказание первой помощи пострадавшим</t>
        </is>
      </c>
      <c r="L2879" s="1" t="inlineStr">
        <is>
          <t>23.07.2026</t>
        </is>
      </c>
      <c r="M2879" s="1" t="inlineStr">
        <is>
          <t>Успешно</t>
        </is>
      </c>
      <c r="N2879" s="1" t="inlineStr">
        <is>
          <t>11.08.2026</t>
        </is>
      </c>
      <c r="O2879" s="1" t="inlineStr"/>
      <c r="P2879" s="1" t="inlineStr"/>
      <c r="Q2879" s="1" t="inlineStr">
        <is>
          <t>Пользовательский интерфейс</t>
        </is>
      </c>
    </row>
    <row r="2880">
      <c r="B2880" s="1" t="inlineStr">
        <is>
          <t>214421387</t>
        </is>
      </c>
      <c r="C2880" s="1" t="inlineStr">
        <is>
          <t>15411209</t>
        </is>
      </c>
      <c r="D2880" t="inlineStr">
        <is>
          <t>работник 154</t>
        </is>
      </c>
      <c r="E2880" s="1" t="inlineStr">
        <is>
          <t>ОБЩЕСТВО С ОГРАНИЧЕННОЙ ОТВЕТСТВЕННОСТЬЮ "АМУР ЗОЛОТО"</t>
        </is>
      </c>
      <c r="F2880" s="1" t="inlineStr">
        <is>
          <t>2708001686</t>
        </is>
      </c>
      <c r="G2880" s="1" t="inlineStr">
        <is>
          <t>Машинист погрузочно-доставочной машины</t>
        </is>
      </c>
      <c r="H2880" s="1" t="inlineStr">
        <is>
          <t>ООО "Амур Золото"</t>
        </is>
      </c>
      <c r="I2880" s="1" t="inlineStr">
        <is>
          <t>2708001686</t>
        </is>
      </c>
      <c r="J2880" s="1" t="inlineStr">
        <is>
          <t>ЮГОК ПГУ 26-28</t>
        </is>
      </c>
      <c r="K2880" s="1" t="inlineStr">
        <is>
          <t>Использование (применение) средств индивидуальной защиты</t>
        </is>
      </c>
      <c r="L2880" s="1" t="inlineStr">
        <is>
          <t>23.07.2026</t>
        </is>
      </c>
      <c r="M2880" s="1" t="inlineStr">
        <is>
          <t>Успешно</t>
        </is>
      </c>
      <c r="N2880" s="1" t="inlineStr">
        <is>
          <t>11.08.2026</t>
        </is>
      </c>
      <c r="O2880" s="1" t="inlineStr"/>
      <c r="P2880" s="1" t="inlineStr"/>
      <c r="Q2880" s="1" t="inlineStr">
        <is>
          <t>Пользовательский интерфейс</t>
        </is>
      </c>
    </row>
    <row r="2881">
      <c r="B2881" s="1" t="inlineStr">
        <is>
          <t>214421388</t>
        </is>
      </c>
      <c r="C2881" s="1" t="inlineStr">
        <is>
          <t>15411209</t>
        </is>
      </c>
      <c r="D2881" t="inlineStr">
        <is>
          <t>работник 154</t>
        </is>
      </c>
      <c r="E2881" s="1" t="inlineStr">
        <is>
          <t>ОБЩЕСТВО С ОГРАНИЧЕННОЙ ОТВЕТСТВЕННОСТЬЮ "АМУР ЗОЛОТО"</t>
        </is>
      </c>
      <c r="F2881" s="1" t="inlineStr">
        <is>
          <t>2708001686</t>
        </is>
      </c>
      <c r="G2881" s="1" t="inlineStr">
        <is>
          <t>Машинист погрузочно-доставочной машины</t>
        </is>
      </c>
      <c r="H2881" s="1" t="inlineStr">
        <is>
          <t>ООО "Амур Золото"</t>
        </is>
      </c>
      <c r="I2881" s="1" t="inlineStr">
        <is>
          <t>2708001686</t>
        </is>
      </c>
      <c r="J2881" s="1" t="inlineStr">
        <is>
          <t>ЮГОК ПГУ 26-28</t>
        </is>
      </c>
      <c r="K288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881" s="1" t="inlineStr">
        <is>
          <t>23.07.2026</t>
        </is>
      </c>
      <c r="M2881" s="1" t="inlineStr">
        <is>
          <t>Успешно</t>
        </is>
      </c>
      <c r="N2881" s="1" t="inlineStr">
        <is>
          <t>11.08.2026</t>
        </is>
      </c>
      <c r="O2881" s="1" t="inlineStr"/>
      <c r="P2881" s="1" t="inlineStr"/>
      <c r="Q2881" s="1" t="inlineStr">
        <is>
          <t>Пользовательский интерфейс</t>
        </is>
      </c>
    </row>
    <row r="2882">
      <c r="B2882" s="1" t="inlineStr">
        <is>
          <t>214421389</t>
        </is>
      </c>
      <c r="C2882" s="1" t="inlineStr">
        <is>
          <t>15411209</t>
        </is>
      </c>
      <c r="D2882" t="inlineStr">
        <is>
          <t>работник 326</t>
        </is>
      </c>
      <c r="E2882" s="1" t="inlineStr">
        <is>
          <t>ОБЩЕСТВО С ОГРАНИЧЕННОЙ ОТВЕТСТВЕННОСТЬЮ "АМУР ЗОЛОТО"</t>
        </is>
      </c>
      <c r="F2882" s="1" t="inlineStr">
        <is>
          <t>2708001686</t>
        </is>
      </c>
      <c r="G2882" s="1" t="inlineStr">
        <is>
          <t>Машинист погрузочно-доставочной машины</t>
        </is>
      </c>
      <c r="H2882" s="1" t="inlineStr">
        <is>
          <t>ООО "Амур Золото"</t>
        </is>
      </c>
      <c r="I2882" s="1" t="inlineStr">
        <is>
          <t>2708001686</t>
        </is>
      </c>
      <c r="J2882" s="1" t="inlineStr">
        <is>
          <t>ЮГОК ПГУ 26-28</t>
        </is>
      </c>
      <c r="K2882" s="1" t="inlineStr">
        <is>
          <t>Оказание первой помощи пострадавшим</t>
        </is>
      </c>
      <c r="L2882" s="1" t="inlineStr">
        <is>
          <t>23.07.2026</t>
        </is>
      </c>
      <c r="M2882" s="1" t="inlineStr">
        <is>
          <t>Успешно</t>
        </is>
      </c>
      <c r="N2882" s="1" t="inlineStr">
        <is>
          <t>11.08.2026</t>
        </is>
      </c>
      <c r="O2882" s="1" t="inlineStr"/>
      <c r="P2882" s="1" t="inlineStr"/>
      <c r="Q2882" s="1" t="inlineStr">
        <is>
          <t>Пользовательский интерфейс</t>
        </is>
      </c>
    </row>
    <row r="2883">
      <c r="B2883" s="1" t="inlineStr">
        <is>
          <t>214421390</t>
        </is>
      </c>
      <c r="C2883" s="1" t="inlineStr">
        <is>
          <t>15411209</t>
        </is>
      </c>
      <c r="D2883" t="inlineStr">
        <is>
          <t>работник 326</t>
        </is>
      </c>
      <c r="E2883" s="1" t="inlineStr">
        <is>
          <t>ОБЩЕСТВО С ОГРАНИЧЕННОЙ ОТВЕТСТВЕННОСТЬЮ "АМУР ЗОЛОТО"</t>
        </is>
      </c>
      <c r="F2883" s="1" t="inlineStr">
        <is>
          <t>2708001686</t>
        </is>
      </c>
      <c r="G2883" s="1" t="inlineStr">
        <is>
          <t>Машинист погрузочно-доставочной машины</t>
        </is>
      </c>
      <c r="H2883" s="1" t="inlineStr">
        <is>
          <t>ООО "Амур Золото"</t>
        </is>
      </c>
      <c r="I2883" s="1" t="inlineStr">
        <is>
          <t>2708001686</t>
        </is>
      </c>
      <c r="J2883" s="1" t="inlineStr">
        <is>
          <t>ЮГОК ПГУ 26-28</t>
        </is>
      </c>
      <c r="K2883" s="1" t="inlineStr">
        <is>
          <t>Использование (применение) средств индивидуальной защиты</t>
        </is>
      </c>
      <c r="L2883" s="1" t="inlineStr">
        <is>
          <t>23.07.2026</t>
        </is>
      </c>
      <c r="M2883" s="1" t="inlineStr">
        <is>
          <t>Успешно</t>
        </is>
      </c>
      <c r="N2883" s="1" t="inlineStr">
        <is>
          <t>11.08.2026</t>
        </is>
      </c>
      <c r="O2883" s="1" t="inlineStr"/>
      <c r="P2883" s="1" t="inlineStr"/>
      <c r="Q2883" s="1" t="inlineStr">
        <is>
          <t>Пользовательский интерфейс</t>
        </is>
      </c>
    </row>
    <row r="2884">
      <c r="B2884" s="1" t="inlineStr">
        <is>
          <t>214421391</t>
        </is>
      </c>
      <c r="C2884" s="1" t="inlineStr">
        <is>
          <t>15411209</t>
        </is>
      </c>
      <c r="D2884" t="inlineStr">
        <is>
          <t>работник 326</t>
        </is>
      </c>
      <c r="E2884" s="1" t="inlineStr">
        <is>
          <t>ОБЩЕСТВО С ОГРАНИЧЕННОЙ ОТВЕТСТВЕННОСТЬЮ "АМУР ЗОЛОТО"</t>
        </is>
      </c>
      <c r="F2884" s="1" t="inlineStr">
        <is>
          <t>2708001686</t>
        </is>
      </c>
      <c r="G2884" s="1" t="inlineStr">
        <is>
          <t>Машинист погрузочно-доставочной машины</t>
        </is>
      </c>
      <c r="H2884" s="1" t="inlineStr">
        <is>
          <t>ООО "Амур Золото"</t>
        </is>
      </c>
      <c r="I2884" s="1" t="inlineStr">
        <is>
          <t>2708001686</t>
        </is>
      </c>
      <c r="J2884" s="1" t="inlineStr">
        <is>
          <t>ЮГОК ПГУ 26-28</t>
        </is>
      </c>
      <c r="K288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884" s="1" t="inlineStr">
        <is>
          <t>23.07.2026</t>
        </is>
      </c>
      <c r="M2884" s="1" t="inlineStr">
        <is>
          <t>Успешно</t>
        </is>
      </c>
      <c r="N2884" s="1" t="inlineStr">
        <is>
          <t>11.08.2026</t>
        </is>
      </c>
      <c r="O2884" s="1" t="inlineStr"/>
      <c r="P2884" s="1" t="inlineStr"/>
      <c r="Q2884" s="1" t="inlineStr">
        <is>
          <t>Пользовательский интерфейс</t>
        </is>
      </c>
    </row>
    <row r="2885">
      <c r="B2885" s="1" t="inlineStr">
        <is>
          <t>214421392</t>
        </is>
      </c>
      <c r="C2885" s="1" t="inlineStr">
        <is>
          <t>15411209</t>
        </is>
      </c>
      <c r="D2885" t="inlineStr">
        <is>
          <t>работник 161</t>
        </is>
      </c>
      <c r="E2885" s="1" t="inlineStr">
        <is>
          <t>ОБЩЕСТВО С ОГРАНИЧЕННОЙ ОТВЕТСТВЕННОСТЬЮ "АМУР ЗОЛОТО"</t>
        </is>
      </c>
      <c r="F2885" s="1" t="inlineStr">
        <is>
          <t>2708001686</t>
        </is>
      </c>
      <c r="G2885" s="1" t="inlineStr">
        <is>
          <t>Машинист погрузочно-доставочной машины</t>
        </is>
      </c>
      <c r="H2885" s="1" t="inlineStr">
        <is>
          <t>ООО "Амур Золото"</t>
        </is>
      </c>
      <c r="I2885" s="1" t="inlineStr">
        <is>
          <t>2708001686</t>
        </is>
      </c>
      <c r="J2885" s="1" t="inlineStr">
        <is>
          <t>ЮГОК ПГУ 26-28</t>
        </is>
      </c>
      <c r="K2885" s="1" t="inlineStr">
        <is>
          <t>Оказание первой помощи пострадавшим</t>
        </is>
      </c>
      <c r="L2885" s="1" t="inlineStr">
        <is>
          <t>23.07.2026</t>
        </is>
      </c>
      <c r="M2885" s="1" t="inlineStr">
        <is>
          <t>Успешно</t>
        </is>
      </c>
      <c r="N2885" s="1" t="inlineStr">
        <is>
          <t>11.08.2026</t>
        </is>
      </c>
      <c r="O2885" s="1" t="inlineStr"/>
      <c r="P2885" s="1" t="inlineStr"/>
      <c r="Q2885" s="1" t="inlineStr">
        <is>
          <t>Пользовательский интерфейс</t>
        </is>
      </c>
    </row>
    <row r="2886">
      <c r="B2886" s="1" t="inlineStr">
        <is>
          <t>214421393</t>
        </is>
      </c>
      <c r="C2886" s="1" t="inlineStr">
        <is>
          <t>15411209</t>
        </is>
      </c>
      <c r="D2886" t="inlineStr">
        <is>
          <t>работник 161</t>
        </is>
      </c>
      <c r="E2886" s="1" t="inlineStr">
        <is>
          <t>ОБЩЕСТВО С ОГРАНИЧЕННОЙ ОТВЕТСТВЕННОСТЬЮ "АМУР ЗОЛОТО"</t>
        </is>
      </c>
      <c r="F2886" s="1" t="inlineStr">
        <is>
          <t>2708001686</t>
        </is>
      </c>
      <c r="G2886" s="1" t="inlineStr">
        <is>
          <t>Машинист погрузочно-доставочной машины</t>
        </is>
      </c>
      <c r="H2886" s="1" t="inlineStr">
        <is>
          <t>ООО "Амур Золото"</t>
        </is>
      </c>
      <c r="I2886" s="1" t="inlineStr">
        <is>
          <t>2708001686</t>
        </is>
      </c>
      <c r="J2886" s="1" t="inlineStr">
        <is>
          <t>ЮГОК ПГУ 26-28</t>
        </is>
      </c>
      <c r="K2886" s="1" t="inlineStr">
        <is>
          <t>Использование (применение) средств индивидуальной защиты</t>
        </is>
      </c>
      <c r="L2886" s="1" t="inlineStr">
        <is>
          <t>23.07.2026</t>
        </is>
      </c>
      <c r="M2886" s="1" t="inlineStr">
        <is>
          <t>Успешно</t>
        </is>
      </c>
      <c r="N2886" s="1" t="inlineStr">
        <is>
          <t>11.08.2026</t>
        </is>
      </c>
      <c r="O2886" s="1" t="inlineStr"/>
      <c r="P2886" s="1" t="inlineStr"/>
      <c r="Q2886" s="1" t="inlineStr">
        <is>
          <t>Пользовательский интерфейс</t>
        </is>
      </c>
    </row>
    <row r="2887">
      <c r="B2887" s="1" t="inlineStr">
        <is>
          <t>214421394</t>
        </is>
      </c>
      <c r="C2887" s="1" t="inlineStr">
        <is>
          <t>15411209</t>
        </is>
      </c>
      <c r="D2887" t="inlineStr">
        <is>
          <t>работник 161</t>
        </is>
      </c>
      <c r="E2887" s="1" t="inlineStr">
        <is>
          <t>ОБЩЕСТВО С ОГРАНИЧЕННОЙ ОТВЕТСТВЕННОСТЬЮ "АМУР ЗОЛОТО"</t>
        </is>
      </c>
      <c r="F2887" s="1" t="inlineStr">
        <is>
          <t>2708001686</t>
        </is>
      </c>
      <c r="G2887" s="1" t="inlineStr">
        <is>
          <t>Машинист погрузочно-доставочной машины</t>
        </is>
      </c>
      <c r="H2887" s="1" t="inlineStr">
        <is>
          <t>ООО "Амур Золото"</t>
        </is>
      </c>
      <c r="I2887" s="1" t="inlineStr">
        <is>
          <t>2708001686</t>
        </is>
      </c>
      <c r="J2887" s="1" t="inlineStr">
        <is>
          <t>ЮГОК ПГУ 26-28</t>
        </is>
      </c>
      <c r="K288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887" s="1" t="inlineStr">
        <is>
          <t>23.07.2026</t>
        </is>
      </c>
      <c r="M2887" s="1" t="inlineStr">
        <is>
          <t>Успешно</t>
        </is>
      </c>
      <c r="N2887" s="1" t="inlineStr">
        <is>
          <t>11.08.2026</t>
        </is>
      </c>
      <c r="O2887" s="1" t="inlineStr"/>
      <c r="P2887" s="1" t="inlineStr"/>
      <c r="Q2887" s="1" t="inlineStr">
        <is>
          <t>Пользовательский интерфейс</t>
        </is>
      </c>
    </row>
    <row r="2888">
      <c r="B2888" s="1" t="inlineStr">
        <is>
          <t>214421395</t>
        </is>
      </c>
      <c r="C2888" s="1" t="inlineStr">
        <is>
          <t>15411209</t>
        </is>
      </c>
      <c r="D2888" t="inlineStr">
        <is>
          <t>работник 770</t>
        </is>
      </c>
      <c r="E2888" s="1" t="inlineStr">
        <is>
          <t>ОБЩЕСТВО С ОГРАНИЧЕННОЙ ОТВЕТСТВЕННОСТЬЮ "АМУР ЗОЛОТО"</t>
        </is>
      </c>
      <c r="F2888" s="1" t="inlineStr">
        <is>
          <t>2708001686</t>
        </is>
      </c>
      <c r="G2888" s="1" t="inlineStr">
        <is>
          <t>Машинист погрузочно-доставочной машины</t>
        </is>
      </c>
      <c r="H2888" s="1" t="inlineStr">
        <is>
          <t>ООО "Амур Золото"</t>
        </is>
      </c>
      <c r="I2888" s="1" t="inlineStr">
        <is>
          <t>2708001686</t>
        </is>
      </c>
      <c r="J2888" s="1" t="inlineStr">
        <is>
          <t>ЮГОК ПГУ 26-28</t>
        </is>
      </c>
      <c r="K2888" s="1" t="inlineStr">
        <is>
          <t>Оказание первой помощи пострадавшим</t>
        </is>
      </c>
      <c r="L2888" s="1" t="inlineStr">
        <is>
          <t>23.07.2026</t>
        </is>
      </c>
      <c r="M2888" s="1" t="inlineStr">
        <is>
          <t>Успешно</t>
        </is>
      </c>
      <c r="N2888" s="1" t="inlineStr">
        <is>
          <t>11.08.2026</t>
        </is>
      </c>
      <c r="O2888" s="1" t="inlineStr"/>
      <c r="P2888" s="1" t="inlineStr"/>
      <c r="Q2888" s="1" t="inlineStr">
        <is>
          <t>Пользовательский интерфейс</t>
        </is>
      </c>
    </row>
    <row r="2889">
      <c r="B2889" s="1" t="inlineStr">
        <is>
          <t>214421396</t>
        </is>
      </c>
      <c r="C2889" s="1" t="inlineStr">
        <is>
          <t>15411209</t>
        </is>
      </c>
      <c r="D2889" t="inlineStr">
        <is>
          <t>работник 770</t>
        </is>
      </c>
      <c r="E2889" s="1" t="inlineStr">
        <is>
          <t>ОБЩЕСТВО С ОГРАНИЧЕННОЙ ОТВЕТСТВЕННОСТЬЮ "АМУР ЗОЛОТО"</t>
        </is>
      </c>
      <c r="F2889" s="1" t="inlineStr">
        <is>
          <t>2708001686</t>
        </is>
      </c>
      <c r="G2889" s="1" t="inlineStr">
        <is>
          <t>Машинист погрузочно-доставочной машины</t>
        </is>
      </c>
      <c r="H2889" s="1" t="inlineStr">
        <is>
          <t>ООО "Амур Золото"</t>
        </is>
      </c>
      <c r="I2889" s="1" t="inlineStr">
        <is>
          <t>2708001686</t>
        </is>
      </c>
      <c r="J2889" s="1" t="inlineStr">
        <is>
          <t>ЮГОК ПГУ 26-28</t>
        </is>
      </c>
      <c r="K2889" s="1" t="inlineStr">
        <is>
          <t>Использование (применение) средств индивидуальной защиты</t>
        </is>
      </c>
      <c r="L2889" s="1" t="inlineStr">
        <is>
          <t>23.07.2026</t>
        </is>
      </c>
      <c r="M2889" s="1" t="inlineStr">
        <is>
          <t>Успешно</t>
        </is>
      </c>
      <c r="N2889" s="1" t="inlineStr">
        <is>
          <t>11.08.2026</t>
        </is>
      </c>
      <c r="O2889" s="1" t="inlineStr"/>
      <c r="P2889" s="1" t="inlineStr"/>
      <c r="Q2889" s="1" t="inlineStr">
        <is>
          <t>Пользовательский интерфейс</t>
        </is>
      </c>
    </row>
    <row r="2890">
      <c r="B2890" s="1" t="inlineStr">
        <is>
          <t>214421397</t>
        </is>
      </c>
      <c r="C2890" s="1" t="inlineStr">
        <is>
          <t>15411209</t>
        </is>
      </c>
      <c r="D2890" t="inlineStr">
        <is>
          <t>работник 770</t>
        </is>
      </c>
      <c r="E2890" s="1" t="inlineStr">
        <is>
          <t>ОБЩЕСТВО С ОГРАНИЧЕННОЙ ОТВЕТСТВЕННОСТЬЮ "АМУР ЗОЛОТО"</t>
        </is>
      </c>
      <c r="F2890" s="1" t="inlineStr">
        <is>
          <t>2708001686</t>
        </is>
      </c>
      <c r="G2890" s="1" t="inlineStr">
        <is>
          <t>Машинист погрузочно-доставочной машины</t>
        </is>
      </c>
      <c r="H2890" s="1" t="inlineStr">
        <is>
          <t>ООО "Амур Золото"</t>
        </is>
      </c>
      <c r="I2890" s="1" t="inlineStr">
        <is>
          <t>2708001686</t>
        </is>
      </c>
      <c r="J2890" s="1" t="inlineStr">
        <is>
          <t>ЮГОК ПГУ 26-28</t>
        </is>
      </c>
      <c r="K289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890" s="1" t="inlineStr">
        <is>
          <t>23.07.2026</t>
        </is>
      </c>
      <c r="M2890" s="1" t="inlineStr">
        <is>
          <t>Успешно</t>
        </is>
      </c>
      <c r="N2890" s="1" t="inlineStr">
        <is>
          <t>11.08.2026</t>
        </is>
      </c>
      <c r="O2890" s="1" t="inlineStr"/>
      <c r="P2890" s="1" t="inlineStr"/>
      <c r="Q2890" s="1" t="inlineStr">
        <is>
          <t>Пользовательский интерфейс</t>
        </is>
      </c>
    </row>
    <row r="2891">
      <c r="B2891" s="1" t="inlineStr">
        <is>
          <t>214421398</t>
        </is>
      </c>
      <c r="C2891" s="1" t="inlineStr">
        <is>
          <t>15411209</t>
        </is>
      </c>
      <c r="D2891" t="inlineStr">
        <is>
          <t>работник 302</t>
        </is>
      </c>
      <c r="E2891" s="1" t="inlineStr">
        <is>
          <t>ОБЩЕСТВО С ОГРАНИЧЕННОЙ ОТВЕТСТВЕННОСТЬЮ "АМУР ЗОЛОТО"</t>
        </is>
      </c>
      <c r="F2891" s="1" t="inlineStr">
        <is>
          <t>2708001686</t>
        </is>
      </c>
      <c r="G2891" s="1" t="inlineStr">
        <is>
          <t>Машинист погрузочно-доставочной машины</t>
        </is>
      </c>
      <c r="H2891" s="1" t="inlineStr">
        <is>
          <t>ООО "Амур Золото"</t>
        </is>
      </c>
      <c r="I2891" s="1" t="inlineStr">
        <is>
          <t>2708001686</t>
        </is>
      </c>
      <c r="J2891" s="1" t="inlineStr">
        <is>
          <t>ЮГОК ПГУ 26-28</t>
        </is>
      </c>
      <c r="K2891" s="1" t="inlineStr">
        <is>
          <t>Оказание первой помощи пострадавшим</t>
        </is>
      </c>
      <c r="L2891" s="1" t="inlineStr">
        <is>
          <t>23.07.2026</t>
        </is>
      </c>
      <c r="M2891" s="1" t="inlineStr">
        <is>
          <t>Успешно</t>
        </is>
      </c>
      <c r="N2891" s="1" t="inlineStr">
        <is>
          <t>11.08.2026</t>
        </is>
      </c>
      <c r="O2891" s="1" t="inlineStr"/>
      <c r="P2891" s="1" t="inlineStr"/>
      <c r="Q2891" s="1" t="inlineStr">
        <is>
          <t>Пользовательский интерфейс</t>
        </is>
      </c>
    </row>
    <row r="2892">
      <c r="B2892" s="1" t="inlineStr">
        <is>
          <t>214421399</t>
        </is>
      </c>
      <c r="C2892" s="1" t="inlineStr">
        <is>
          <t>15411209</t>
        </is>
      </c>
      <c r="D2892" t="inlineStr">
        <is>
          <t>работник 302</t>
        </is>
      </c>
      <c r="E2892" s="1" t="inlineStr">
        <is>
          <t>ОБЩЕСТВО С ОГРАНИЧЕННОЙ ОТВЕТСТВЕННОСТЬЮ "АМУР ЗОЛОТО"</t>
        </is>
      </c>
      <c r="F2892" s="1" t="inlineStr">
        <is>
          <t>2708001686</t>
        </is>
      </c>
      <c r="G2892" s="1" t="inlineStr">
        <is>
          <t>Машинист погрузочно-доставочной машины</t>
        </is>
      </c>
      <c r="H2892" s="1" t="inlineStr">
        <is>
          <t>ООО "Амур Золото"</t>
        </is>
      </c>
      <c r="I2892" s="1" t="inlineStr">
        <is>
          <t>2708001686</t>
        </is>
      </c>
      <c r="J2892" s="1" t="inlineStr">
        <is>
          <t>ЮГОК ПГУ 26-28</t>
        </is>
      </c>
      <c r="K2892" s="1" t="inlineStr">
        <is>
          <t>Использование (применение) средств индивидуальной защиты</t>
        </is>
      </c>
      <c r="L2892" s="1" t="inlineStr">
        <is>
          <t>23.07.2026</t>
        </is>
      </c>
      <c r="M2892" s="1" t="inlineStr">
        <is>
          <t>Успешно</t>
        </is>
      </c>
      <c r="N2892" s="1" t="inlineStr">
        <is>
          <t>11.08.2026</t>
        </is>
      </c>
      <c r="O2892" s="1" t="inlineStr"/>
      <c r="P2892" s="1" t="inlineStr"/>
      <c r="Q2892" s="1" t="inlineStr">
        <is>
          <t>Пользовательский интерфейс</t>
        </is>
      </c>
    </row>
    <row r="2893">
      <c r="B2893" s="1" t="inlineStr">
        <is>
          <t>214421400</t>
        </is>
      </c>
      <c r="C2893" s="1" t="inlineStr">
        <is>
          <t>15411209</t>
        </is>
      </c>
      <c r="D2893" t="inlineStr">
        <is>
          <t>работник 302</t>
        </is>
      </c>
      <c r="E2893" s="1" t="inlineStr">
        <is>
          <t>ОБЩЕСТВО С ОГРАНИЧЕННОЙ ОТВЕТСТВЕННОСТЬЮ "АМУР ЗОЛОТО"</t>
        </is>
      </c>
      <c r="F2893" s="1" t="inlineStr">
        <is>
          <t>2708001686</t>
        </is>
      </c>
      <c r="G2893" s="1" t="inlineStr">
        <is>
          <t>Машинист погрузочно-доставочной машины</t>
        </is>
      </c>
      <c r="H2893" s="1" t="inlineStr">
        <is>
          <t>ООО "Амур Золото"</t>
        </is>
      </c>
      <c r="I2893" s="1" t="inlineStr">
        <is>
          <t>2708001686</t>
        </is>
      </c>
      <c r="J2893" s="1" t="inlineStr">
        <is>
          <t>ЮГОК ПГУ 26-28</t>
        </is>
      </c>
      <c r="K289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893" s="1" t="inlineStr">
        <is>
          <t>23.07.2026</t>
        </is>
      </c>
      <c r="M2893" s="1" t="inlineStr">
        <is>
          <t>Успешно</t>
        </is>
      </c>
      <c r="N2893" s="1" t="inlineStr">
        <is>
          <t>11.08.2026</t>
        </is>
      </c>
      <c r="O2893" s="1" t="inlineStr"/>
      <c r="P2893" s="1" t="inlineStr"/>
      <c r="Q2893" s="1" t="inlineStr">
        <is>
          <t>Пользовательский интерфейс</t>
        </is>
      </c>
    </row>
    <row r="2894">
      <c r="B2894" s="1" t="inlineStr">
        <is>
          <t>214421401</t>
        </is>
      </c>
      <c r="C2894" s="1" t="inlineStr">
        <is>
          <t>15411209</t>
        </is>
      </c>
      <c r="D2894" t="inlineStr">
        <is>
          <t>работник 772</t>
        </is>
      </c>
      <c r="E2894" s="1" t="inlineStr">
        <is>
          <t>ОБЩЕСТВО С ОГРАНИЧЕННОЙ ОТВЕТСТВЕННОСТЬЮ "АМУР ЗОЛОТО"</t>
        </is>
      </c>
      <c r="F2894" s="1" t="inlineStr">
        <is>
          <t>2708001686</t>
        </is>
      </c>
      <c r="G2894" s="1" t="inlineStr">
        <is>
          <t>Машинист погрузочно-доставочной машины</t>
        </is>
      </c>
      <c r="H2894" s="1" t="inlineStr">
        <is>
          <t>ООО "Амур Золото"</t>
        </is>
      </c>
      <c r="I2894" s="1" t="inlineStr">
        <is>
          <t>2708001686</t>
        </is>
      </c>
      <c r="J2894" s="1" t="inlineStr">
        <is>
          <t>ЮГОК ПГУ 26-28</t>
        </is>
      </c>
      <c r="K2894" s="1" t="inlineStr">
        <is>
          <t>Оказание первой помощи пострадавшим</t>
        </is>
      </c>
      <c r="L2894" s="1" t="inlineStr">
        <is>
          <t>23.07.2026</t>
        </is>
      </c>
      <c r="M2894" s="1" t="inlineStr">
        <is>
          <t>Успешно</t>
        </is>
      </c>
      <c r="N2894" s="1" t="inlineStr">
        <is>
          <t>11.08.2026</t>
        </is>
      </c>
      <c r="O2894" s="1" t="inlineStr"/>
      <c r="P2894" s="1" t="inlineStr"/>
      <c r="Q2894" s="1" t="inlineStr">
        <is>
          <t>Пользовательский интерфейс</t>
        </is>
      </c>
    </row>
    <row r="2895">
      <c r="B2895" s="1" t="inlineStr">
        <is>
          <t>214421402</t>
        </is>
      </c>
      <c r="C2895" s="1" t="inlineStr">
        <is>
          <t>15411209</t>
        </is>
      </c>
      <c r="D2895" t="inlineStr">
        <is>
          <t>работник 772</t>
        </is>
      </c>
      <c r="E2895" s="1" t="inlineStr">
        <is>
          <t>ОБЩЕСТВО С ОГРАНИЧЕННОЙ ОТВЕТСТВЕННОСТЬЮ "АМУР ЗОЛОТО"</t>
        </is>
      </c>
      <c r="F2895" s="1" t="inlineStr">
        <is>
          <t>2708001686</t>
        </is>
      </c>
      <c r="G2895" s="1" t="inlineStr">
        <is>
          <t>Машинист погрузочно-доставочной машины</t>
        </is>
      </c>
      <c r="H2895" s="1" t="inlineStr">
        <is>
          <t>ООО "Амур Золото"</t>
        </is>
      </c>
      <c r="I2895" s="1" t="inlineStr">
        <is>
          <t>2708001686</t>
        </is>
      </c>
      <c r="J2895" s="1" t="inlineStr">
        <is>
          <t>ЮГОК ПГУ 26-28</t>
        </is>
      </c>
      <c r="K2895" s="1" t="inlineStr">
        <is>
          <t>Использование (применение) средств индивидуальной защиты</t>
        </is>
      </c>
      <c r="L2895" s="1" t="inlineStr">
        <is>
          <t>23.07.2026</t>
        </is>
      </c>
      <c r="M2895" s="1" t="inlineStr">
        <is>
          <t>Успешно</t>
        </is>
      </c>
      <c r="N2895" s="1" t="inlineStr">
        <is>
          <t>11.08.2026</t>
        </is>
      </c>
      <c r="O2895" s="1" t="inlineStr"/>
      <c r="P2895" s="1" t="inlineStr"/>
      <c r="Q2895" s="1" t="inlineStr">
        <is>
          <t>Пользовательский интерфейс</t>
        </is>
      </c>
    </row>
    <row r="2896">
      <c r="B2896" s="1" t="inlineStr">
        <is>
          <t>214421403</t>
        </is>
      </c>
      <c r="C2896" s="1" t="inlineStr">
        <is>
          <t>15411209</t>
        </is>
      </c>
      <c r="D2896" t="inlineStr">
        <is>
          <t>работник 772</t>
        </is>
      </c>
      <c r="E2896" s="1" t="inlineStr">
        <is>
          <t>ОБЩЕСТВО С ОГРАНИЧЕННОЙ ОТВЕТСТВЕННОСТЬЮ "АМУР ЗОЛОТО"</t>
        </is>
      </c>
      <c r="F2896" s="1" t="inlineStr">
        <is>
          <t>2708001686</t>
        </is>
      </c>
      <c r="G2896" s="1" t="inlineStr">
        <is>
          <t>Машинист погрузочно-доставочной машины</t>
        </is>
      </c>
      <c r="H2896" s="1" t="inlineStr">
        <is>
          <t>ООО "Амур Золото"</t>
        </is>
      </c>
      <c r="I2896" s="1" t="inlineStr">
        <is>
          <t>2708001686</t>
        </is>
      </c>
      <c r="J2896" s="1" t="inlineStr">
        <is>
          <t>ЮГОК ПГУ 26-28</t>
        </is>
      </c>
      <c r="K289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896" s="1" t="inlineStr">
        <is>
          <t>23.07.2026</t>
        </is>
      </c>
      <c r="M2896" s="1" t="inlineStr">
        <is>
          <t>Успешно</t>
        </is>
      </c>
      <c r="N2896" s="1" t="inlineStr">
        <is>
          <t>11.08.2026</t>
        </is>
      </c>
      <c r="O2896" s="1" t="inlineStr"/>
      <c r="P2896" s="1" t="inlineStr"/>
      <c r="Q2896" s="1" t="inlineStr">
        <is>
          <t>Пользовательский интерфейс</t>
        </is>
      </c>
    </row>
    <row r="2897">
      <c r="B2897" s="1" t="inlineStr">
        <is>
          <t>214421404</t>
        </is>
      </c>
      <c r="C2897" s="1" t="inlineStr">
        <is>
          <t>15411209</t>
        </is>
      </c>
      <c r="D2897" t="inlineStr">
        <is>
          <t>работник 375</t>
        </is>
      </c>
      <c r="E2897" s="1" t="inlineStr">
        <is>
          <t>ОБЩЕСТВО С ОГРАНИЧЕННОЙ ОТВЕТСТВЕННОСТЬЮ "АМУР ЗОЛОТО"</t>
        </is>
      </c>
      <c r="F2897" s="1" t="inlineStr">
        <is>
          <t>2708001686</t>
        </is>
      </c>
      <c r="G2897" s="1" t="inlineStr">
        <is>
          <t>Крепильщик</t>
        </is>
      </c>
      <c r="H2897" s="1" t="inlineStr">
        <is>
          <t>ООО "Амур Золото"</t>
        </is>
      </c>
      <c r="I2897" s="1" t="inlineStr">
        <is>
          <t>2708001686</t>
        </is>
      </c>
      <c r="J2897" s="1" t="inlineStr">
        <is>
          <t>ЮГОК ПГУ 26-29</t>
        </is>
      </c>
      <c r="K289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897" s="1" t="inlineStr">
        <is>
          <t>25.07.2026</t>
        </is>
      </c>
      <c r="M2897" s="1" t="inlineStr">
        <is>
          <t>Успешно</t>
        </is>
      </c>
      <c r="N2897" s="1" t="inlineStr">
        <is>
          <t>11.08.2026</t>
        </is>
      </c>
      <c r="O2897" s="1" t="inlineStr"/>
      <c r="P2897" s="1" t="inlineStr"/>
      <c r="Q2897" s="1" t="inlineStr">
        <is>
          <t>Пользовательский интерфейс</t>
        </is>
      </c>
    </row>
    <row r="2898">
      <c r="B2898" s="1" t="inlineStr">
        <is>
          <t>214421405</t>
        </is>
      </c>
      <c r="C2898" s="1" t="inlineStr">
        <is>
          <t>15411209</t>
        </is>
      </c>
      <c r="D2898" t="inlineStr">
        <is>
          <t>работник 841</t>
        </is>
      </c>
      <c r="E2898" s="1" t="inlineStr">
        <is>
          <t>ОБЩЕСТВО С ОГРАНИЧЕННОЙ ОТВЕТСТВЕННОСТЬЮ "АМУР ЗОЛОТО"</t>
        </is>
      </c>
      <c r="F2898" s="1" t="inlineStr">
        <is>
          <t>2708001686</t>
        </is>
      </c>
      <c r="G2898" s="1" t="inlineStr">
        <is>
          <t>Машинист самоходной буровой установки</t>
        </is>
      </c>
      <c r="H2898" s="1" t="inlineStr">
        <is>
          <t>ООО "Амур Золото"</t>
        </is>
      </c>
      <c r="I2898" s="1" t="inlineStr">
        <is>
          <t>2708001686</t>
        </is>
      </c>
      <c r="J2898" s="1" t="inlineStr">
        <is>
          <t>ЮГОК ПГУ 26-29</t>
        </is>
      </c>
      <c r="K2898" s="1" t="inlineStr">
        <is>
          <t>Оказание первой помощи пострадавшим</t>
        </is>
      </c>
      <c r="L2898" s="1" t="inlineStr">
        <is>
          <t>25.07.2026</t>
        </is>
      </c>
      <c r="M2898" s="1" t="inlineStr">
        <is>
          <t>Успешно</t>
        </is>
      </c>
      <c r="N2898" s="1" t="inlineStr">
        <is>
          <t>11.08.2026</t>
        </is>
      </c>
      <c r="O2898" s="1" t="inlineStr"/>
      <c r="P2898" s="1" t="inlineStr"/>
      <c r="Q2898" s="1" t="inlineStr">
        <is>
          <t>Пользовательский интерфейс</t>
        </is>
      </c>
    </row>
    <row r="2899">
      <c r="B2899" s="1" t="inlineStr">
        <is>
          <t>214421406</t>
        </is>
      </c>
      <c r="C2899" s="1" t="inlineStr">
        <is>
          <t>15411209</t>
        </is>
      </c>
      <c r="D2899" t="inlineStr">
        <is>
          <t>работник 841</t>
        </is>
      </c>
      <c r="E2899" s="1" t="inlineStr">
        <is>
          <t>ОБЩЕСТВО С ОГРАНИЧЕННОЙ ОТВЕТСТВЕННОСТЬЮ "АМУР ЗОЛОТО"</t>
        </is>
      </c>
      <c r="F2899" s="1" t="inlineStr">
        <is>
          <t>2708001686</t>
        </is>
      </c>
      <c r="G2899" s="1" t="inlineStr">
        <is>
          <t>Машинист самоходной буровой установки</t>
        </is>
      </c>
      <c r="H2899" s="1" t="inlineStr">
        <is>
          <t>ООО "Амур Золото"</t>
        </is>
      </c>
      <c r="I2899" s="1" t="inlineStr">
        <is>
          <t>2708001686</t>
        </is>
      </c>
      <c r="J2899" s="1" t="inlineStr">
        <is>
          <t>ЮГОК ПГУ 26-29</t>
        </is>
      </c>
      <c r="K2899" s="1" t="inlineStr">
        <is>
          <t>Использование (применение) средств индивидуальной защиты</t>
        </is>
      </c>
      <c r="L2899" s="1" t="inlineStr">
        <is>
          <t>25.07.2026</t>
        </is>
      </c>
      <c r="M2899" s="1" t="inlineStr">
        <is>
          <t>Успешно</t>
        </is>
      </c>
      <c r="N2899" s="1" t="inlineStr">
        <is>
          <t>11.08.2026</t>
        </is>
      </c>
      <c r="O2899" s="1" t="inlineStr"/>
      <c r="P2899" s="1" t="inlineStr"/>
      <c r="Q2899" s="1" t="inlineStr">
        <is>
          <t>Пользовательский интерфейс</t>
        </is>
      </c>
    </row>
    <row r="2900">
      <c r="B2900" s="1" t="inlineStr">
        <is>
          <t>214421407</t>
        </is>
      </c>
      <c r="C2900" s="1" t="inlineStr">
        <is>
          <t>15411209</t>
        </is>
      </c>
      <c r="D2900" t="inlineStr">
        <is>
          <t>работник 841</t>
        </is>
      </c>
      <c r="E2900" s="1" t="inlineStr">
        <is>
          <t>ОБЩЕСТВО С ОГРАНИЧЕННОЙ ОТВЕТСТВЕННОСТЬЮ "АМУР ЗОЛОТО"</t>
        </is>
      </c>
      <c r="F2900" s="1" t="inlineStr">
        <is>
          <t>2708001686</t>
        </is>
      </c>
      <c r="G2900" s="1" t="inlineStr">
        <is>
          <t>Машинист самоходной буровой установки</t>
        </is>
      </c>
      <c r="H2900" s="1" t="inlineStr">
        <is>
          <t>ООО "Амур Золото"</t>
        </is>
      </c>
      <c r="I2900" s="1" t="inlineStr">
        <is>
          <t>2708001686</t>
        </is>
      </c>
      <c r="J2900" s="1" t="inlineStr">
        <is>
          <t>ЮГОК ПГУ 26-29</t>
        </is>
      </c>
      <c r="K290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900" s="1" t="inlineStr">
        <is>
          <t>25.07.2026</t>
        </is>
      </c>
      <c r="M2900" s="1" t="inlineStr">
        <is>
          <t>Успешно</t>
        </is>
      </c>
      <c r="N2900" s="1" t="inlineStr">
        <is>
          <t>11.08.2026</t>
        </is>
      </c>
      <c r="O2900" s="1" t="inlineStr"/>
      <c r="P2900" s="1" t="inlineStr"/>
      <c r="Q2900" s="1" t="inlineStr">
        <is>
          <t>Пользовательский интерфейс</t>
        </is>
      </c>
    </row>
    <row r="2901">
      <c r="B2901" s="1" t="inlineStr">
        <is>
          <t>214421408</t>
        </is>
      </c>
      <c r="C2901" s="1" t="inlineStr">
        <is>
          <t>15411209</t>
        </is>
      </c>
      <c r="D2901" t="inlineStr">
        <is>
          <t>работник 494</t>
        </is>
      </c>
      <c r="E2901" s="1" t="inlineStr">
        <is>
          <t>ОБЩЕСТВО С ОГРАНИЧЕННОЙ ОТВЕТСТВЕННОСТЬЮ "АМУР ЗОЛОТО"</t>
        </is>
      </c>
      <c r="F2901" s="1" t="inlineStr">
        <is>
          <t>2708001686</t>
        </is>
      </c>
      <c r="G2901" s="1" t="inlineStr">
        <is>
          <t>Машинист самоходной буровой установки</t>
        </is>
      </c>
      <c r="H2901" s="1" t="inlineStr">
        <is>
          <t>ООО "Амур Золото"</t>
        </is>
      </c>
      <c r="I2901" s="1" t="inlineStr">
        <is>
          <t>2708001686</t>
        </is>
      </c>
      <c r="J2901" s="1" t="inlineStr">
        <is>
          <t>ЮГОК ПГУ 26-29</t>
        </is>
      </c>
      <c r="K2901" s="1" t="inlineStr">
        <is>
          <t>Оказание первой помощи пострадавшим</t>
        </is>
      </c>
      <c r="L2901" s="1" t="inlineStr">
        <is>
          <t>25.07.2026</t>
        </is>
      </c>
      <c r="M2901" s="1" t="inlineStr">
        <is>
          <t>Успешно</t>
        </is>
      </c>
      <c r="N2901" s="1" t="inlineStr">
        <is>
          <t>11.08.2026</t>
        </is>
      </c>
      <c r="O2901" s="1" t="inlineStr"/>
      <c r="P2901" s="1" t="inlineStr"/>
      <c r="Q2901" s="1" t="inlineStr">
        <is>
          <t>Пользовательский интерфейс</t>
        </is>
      </c>
    </row>
    <row r="2902">
      <c r="B2902" s="1" t="inlineStr">
        <is>
          <t>214421409</t>
        </is>
      </c>
      <c r="C2902" s="1" t="inlineStr">
        <is>
          <t>15411209</t>
        </is>
      </c>
      <c r="D2902" t="inlineStr">
        <is>
          <t>работник 494</t>
        </is>
      </c>
      <c r="E2902" s="1" t="inlineStr">
        <is>
          <t>ОБЩЕСТВО С ОГРАНИЧЕННОЙ ОТВЕТСТВЕННОСТЬЮ "АМУР ЗОЛОТО"</t>
        </is>
      </c>
      <c r="F2902" s="1" t="inlineStr">
        <is>
          <t>2708001686</t>
        </is>
      </c>
      <c r="G2902" s="1" t="inlineStr">
        <is>
          <t>Машинист самоходной буровой установки</t>
        </is>
      </c>
      <c r="H2902" s="1" t="inlineStr">
        <is>
          <t>ООО "Амур Золото"</t>
        </is>
      </c>
      <c r="I2902" s="1" t="inlineStr">
        <is>
          <t>2708001686</t>
        </is>
      </c>
      <c r="J2902" s="1" t="inlineStr">
        <is>
          <t>ЮГОК ПГУ 26-29</t>
        </is>
      </c>
      <c r="K2902" s="1" t="inlineStr">
        <is>
          <t>Использование (применение) средств индивидуальной защиты</t>
        </is>
      </c>
      <c r="L2902" s="1" t="inlineStr">
        <is>
          <t>25.07.2026</t>
        </is>
      </c>
      <c r="M2902" s="1" t="inlineStr">
        <is>
          <t>Успешно</t>
        </is>
      </c>
      <c r="N2902" s="1" t="inlineStr">
        <is>
          <t>11.08.2026</t>
        </is>
      </c>
      <c r="O2902" s="1" t="inlineStr"/>
      <c r="P2902" s="1" t="inlineStr"/>
      <c r="Q2902" s="1" t="inlineStr">
        <is>
          <t>Пользовательский интерфейс</t>
        </is>
      </c>
    </row>
    <row r="2903">
      <c r="B2903" s="1" t="inlineStr">
        <is>
          <t>214421410</t>
        </is>
      </c>
      <c r="C2903" s="1" t="inlineStr">
        <is>
          <t>15411209</t>
        </is>
      </c>
      <c r="D2903" t="inlineStr">
        <is>
          <t>работник 494</t>
        </is>
      </c>
      <c r="E2903" s="1" t="inlineStr">
        <is>
          <t>ОБЩЕСТВО С ОГРАНИЧЕННОЙ ОТВЕТСТВЕННОСТЬЮ "АМУР ЗОЛОТО"</t>
        </is>
      </c>
      <c r="F2903" s="1" t="inlineStr">
        <is>
          <t>2708001686</t>
        </is>
      </c>
      <c r="G2903" s="1" t="inlineStr">
        <is>
          <t>Машинист самоходной буровой установки</t>
        </is>
      </c>
      <c r="H2903" s="1" t="inlineStr">
        <is>
          <t>ООО "Амур Золото"</t>
        </is>
      </c>
      <c r="I2903" s="1" t="inlineStr">
        <is>
          <t>2708001686</t>
        </is>
      </c>
      <c r="J2903" s="1" t="inlineStr">
        <is>
          <t>ЮГОК ПГУ 26-29</t>
        </is>
      </c>
      <c r="K290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903" s="1" t="inlineStr">
        <is>
          <t>25.07.2026</t>
        </is>
      </c>
      <c r="M2903" s="1" t="inlineStr">
        <is>
          <t>Успешно</t>
        </is>
      </c>
      <c r="N2903" s="1" t="inlineStr">
        <is>
          <t>11.08.2026</t>
        </is>
      </c>
      <c r="O2903" s="1" t="inlineStr"/>
      <c r="P2903" s="1" t="inlineStr"/>
      <c r="Q2903" s="1" t="inlineStr">
        <is>
          <t>Пользовательский интерфейс</t>
        </is>
      </c>
    </row>
    <row r="2904">
      <c r="B2904" s="1" t="inlineStr">
        <is>
          <t>214421411</t>
        </is>
      </c>
      <c r="C2904" s="1" t="inlineStr">
        <is>
          <t>15411209</t>
        </is>
      </c>
      <c r="D2904" t="inlineStr">
        <is>
          <t>работник 842</t>
        </is>
      </c>
      <c r="E2904" s="1" t="inlineStr">
        <is>
          <t>ОБЩЕСТВО С ОГРАНИЧЕННОЙ ОТВЕТСТВЕННОСТЬЮ "АМУР ЗОЛОТО"</t>
        </is>
      </c>
      <c r="F2904" s="1" t="inlineStr">
        <is>
          <t>2708001686</t>
        </is>
      </c>
      <c r="G2904" s="1" t="inlineStr">
        <is>
          <t>Машинист самоходной буровой установки</t>
        </is>
      </c>
      <c r="H2904" s="1" t="inlineStr">
        <is>
          <t>ООО "Амур Золото"</t>
        </is>
      </c>
      <c r="I2904" s="1" t="inlineStr">
        <is>
          <t>2708001686</t>
        </is>
      </c>
      <c r="J2904" s="1" t="inlineStr">
        <is>
          <t>ЮГОК ПГУ 26-29</t>
        </is>
      </c>
      <c r="K2904" s="1" t="inlineStr">
        <is>
          <t>Оказание первой помощи пострадавшим</t>
        </is>
      </c>
      <c r="L2904" s="1" t="inlineStr">
        <is>
          <t>25.07.2026</t>
        </is>
      </c>
      <c r="M2904" s="1" t="inlineStr">
        <is>
          <t>Успешно</t>
        </is>
      </c>
      <c r="N2904" s="1" t="inlineStr">
        <is>
          <t>11.08.2026</t>
        </is>
      </c>
      <c r="O2904" s="1" t="inlineStr"/>
      <c r="P2904" s="1" t="inlineStr"/>
      <c r="Q2904" s="1" t="inlineStr">
        <is>
          <t>Пользовательский интерфейс</t>
        </is>
      </c>
    </row>
    <row r="2905">
      <c r="B2905" s="1" t="inlineStr">
        <is>
          <t>214421412</t>
        </is>
      </c>
      <c r="C2905" s="1" t="inlineStr">
        <is>
          <t>15411209</t>
        </is>
      </c>
      <c r="D2905" t="inlineStr">
        <is>
          <t>работник 842</t>
        </is>
      </c>
      <c r="E2905" s="1" t="inlineStr">
        <is>
          <t>ОБЩЕСТВО С ОГРАНИЧЕННОЙ ОТВЕТСТВЕННОСТЬЮ "АМУР ЗОЛОТО"</t>
        </is>
      </c>
      <c r="F2905" s="1" t="inlineStr">
        <is>
          <t>2708001686</t>
        </is>
      </c>
      <c r="G2905" s="1" t="inlineStr">
        <is>
          <t>Машинист самоходной буровой установки</t>
        </is>
      </c>
      <c r="H2905" s="1" t="inlineStr">
        <is>
          <t>ООО "Амур Золото"</t>
        </is>
      </c>
      <c r="I2905" s="1" t="inlineStr">
        <is>
          <t>2708001686</t>
        </is>
      </c>
      <c r="J2905" s="1" t="inlineStr">
        <is>
          <t>ЮГОК ПГУ 26-29</t>
        </is>
      </c>
      <c r="K2905" s="1" t="inlineStr">
        <is>
          <t>Использование (применение) средств индивидуальной защиты</t>
        </is>
      </c>
      <c r="L2905" s="1" t="inlineStr">
        <is>
          <t>25.07.2026</t>
        </is>
      </c>
      <c r="M2905" s="1" t="inlineStr">
        <is>
          <t>Успешно</t>
        </is>
      </c>
      <c r="N2905" s="1" t="inlineStr">
        <is>
          <t>11.08.2026</t>
        </is>
      </c>
      <c r="O2905" s="1" t="inlineStr"/>
      <c r="P2905" s="1" t="inlineStr"/>
      <c r="Q2905" s="1" t="inlineStr">
        <is>
          <t>Пользовательский интерфейс</t>
        </is>
      </c>
    </row>
    <row r="2906">
      <c r="B2906" s="1" t="inlineStr">
        <is>
          <t>214421413</t>
        </is>
      </c>
      <c r="C2906" s="1" t="inlineStr">
        <is>
          <t>15411209</t>
        </is>
      </c>
      <c r="D2906" t="inlineStr">
        <is>
          <t>работник 842</t>
        </is>
      </c>
      <c r="E2906" s="1" t="inlineStr">
        <is>
          <t>ОБЩЕСТВО С ОГРАНИЧЕННОЙ ОТВЕТСТВЕННОСТЬЮ "АМУР ЗОЛОТО"</t>
        </is>
      </c>
      <c r="F2906" s="1" t="inlineStr">
        <is>
          <t>2708001686</t>
        </is>
      </c>
      <c r="G2906" s="1" t="inlineStr">
        <is>
          <t>Машинист самоходной буровой установки</t>
        </is>
      </c>
      <c r="H2906" s="1" t="inlineStr">
        <is>
          <t>ООО "Амур Золото"</t>
        </is>
      </c>
      <c r="I2906" s="1" t="inlineStr">
        <is>
          <t>2708001686</t>
        </is>
      </c>
      <c r="J2906" s="1" t="inlineStr">
        <is>
          <t>ЮГОК ПГУ 26-29</t>
        </is>
      </c>
      <c r="K290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906" s="1" t="inlineStr">
        <is>
          <t>25.07.2026</t>
        </is>
      </c>
      <c r="M2906" s="1" t="inlineStr">
        <is>
          <t>Успешно</t>
        </is>
      </c>
      <c r="N2906" s="1" t="inlineStr">
        <is>
          <t>11.08.2026</t>
        </is>
      </c>
      <c r="O2906" s="1" t="inlineStr"/>
      <c r="P2906" s="1" t="inlineStr"/>
      <c r="Q2906" s="1" t="inlineStr">
        <is>
          <t>Пользовательский интерфейс</t>
        </is>
      </c>
    </row>
    <row r="2907">
      <c r="B2907" s="1" t="inlineStr">
        <is>
          <t>214421414</t>
        </is>
      </c>
      <c r="C2907" s="1" t="inlineStr">
        <is>
          <t>15411209</t>
        </is>
      </c>
      <c r="D2907" t="inlineStr">
        <is>
          <t>работник 164</t>
        </is>
      </c>
      <c r="E2907" s="1" t="inlineStr">
        <is>
          <t>ОБЩЕСТВО С ОГРАНИЧЕННОЙ ОТВЕТСТВЕННОСТЬЮ "АМУР ЗОЛОТО"</t>
        </is>
      </c>
      <c r="F2907" s="1" t="inlineStr">
        <is>
          <t>2708001686</t>
        </is>
      </c>
      <c r="G2907" s="1" t="inlineStr">
        <is>
          <t>Машинист самоходной буровой установки</t>
        </is>
      </c>
      <c r="H2907" s="1" t="inlineStr">
        <is>
          <t>ООО "Амур Золото"</t>
        </is>
      </c>
      <c r="I2907" s="1" t="inlineStr">
        <is>
          <t>2708001686</t>
        </is>
      </c>
      <c r="J2907" s="1" t="inlineStr">
        <is>
          <t>ЮГОК ПГУ 26-29</t>
        </is>
      </c>
      <c r="K2907" s="1" t="inlineStr">
        <is>
          <t>Оказание первой помощи пострадавшим</t>
        </is>
      </c>
      <c r="L2907" s="1" t="inlineStr">
        <is>
          <t>25.07.2026</t>
        </is>
      </c>
      <c r="M2907" s="1" t="inlineStr">
        <is>
          <t>Успешно</t>
        </is>
      </c>
      <c r="N2907" s="1" t="inlineStr">
        <is>
          <t>11.08.2026</t>
        </is>
      </c>
      <c r="O2907" s="1" t="inlineStr"/>
      <c r="P2907" s="1" t="inlineStr"/>
      <c r="Q2907" s="1" t="inlineStr">
        <is>
          <t>Пользовательский интерфейс</t>
        </is>
      </c>
    </row>
    <row r="2908">
      <c r="B2908" s="1" t="inlineStr">
        <is>
          <t>214421415</t>
        </is>
      </c>
      <c r="C2908" s="1" t="inlineStr">
        <is>
          <t>15411209</t>
        </is>
      </c>
      <c r="D2908" t="inlineStr">
        <is>
          <t>работник 164</t>
        </is>
      </c>
      <c r="E2908" s="1" t="inlineStr">
        <is>
          <t>ОБЩЕСТВО С ОГРАНИЧЕННОЙ ОТВЕТСТВЕННОСТЬЮ "АМУР ЗОЛОТО"</t>
        </is>
      </c>
      <c r="F2908" s="1" t="inlineStr">
        <is>
          <t>2708001686</t>
        </is>
      </c>
      <c r="G2908" s="1" t="inlineStr">
        <is>
          <t>Машинист самоходной буровой установки</t>
        </is>
      </c>
      <c r="H2908" s="1" t="inlineStr">
        <is>
          <t>ООО "Амур Золото"</t>
        </is>
      </c>
      <c r="I2908" s="1" t="inlineStr">
        <is>
          <t>2708001686</t>
        </is>
      </c>
      <c r="J2908" s="1" t="inlineStr">
        <is>
          <t>ЮГОК ПГУ 26-29</t>
        </is>
      </c>
      <c r="K2908" s="1" t="inlineStr">
        <is>
          <t>Использование (применение) средств индивидуальной защиты</t>
        </is>
      </c>
      <c r="L2908" s="1" t="inlineStr">
        <is>
          <t>25.07.2026</t>
        </is>
      </c>
      <c r="M2908" s="1" t="inlineStr">
        <is>
          <t>Успешно</t>
        </is>
      </c>
      <c r="N2908" s="1" t="inlineStr">
        <is>
          <t>11.08.2026</t>
        </is>
      </c>
      <c r="O2908" s="1" t="inlineStr"/>
      <c r="P2908" s="1" t="inlineStr"/>
      <c r="Q2908" s="1" t="inlineStr">
        <is>
          <t>Пользовательский интерфейс</t>
        </is>
      </c>
    </row>
    <row r="2909">
      <c r="B2909" s="1" t="inlineStr">
        <is>
          <t>214421416</t>
        </is>
      </c>
      <c r="C2909" s="1" t="inlineStr">
        <is>
          <t>15411209</t>
        </is>
      </c>
      <c r="D2909" t="inlineStr">
        <is>
          <t>работник 164</t>
        </is>
      </c>
      <c r="E2909" s="1" t="inlineStr">
        <is>
          <t>ОБЩЕСТВО С ОГРАНИЧЕННОЙ ОТВЕТСТВЕННОСТЬЮ "АМУР ЗОЛОТО"</t>
        </is>
      </c>
      <c r="F2909" s="1" t="inlineStr">
        <is>
          <t>2708001686</t>
        </is>
      </c>
      <c r="G2909" s="1" t="inlineStr">
        <is>
          <t>Машинист самоходной буровой установки</t>
        </is>
      </c>
      <c r="H2909" s="1" t="inlineStr">
        <is>
          <t>ООО "Амур Золото"</t>
        </is>
      </c>
      <c r="I2909" s="1" t="inlineStr">
        <is>
          <t>2708001686</t>
        </is>
      </c>
      <c r="J2909" s="1" t="inlineStr">
        <is>
          <t>ЮГОК ПГУ 26-29</t>
        </is>
      </c>
      <c r="K290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909" s="1" t="inlineStr">
        <is>
          <t>25.07.2026</t>
        </is>
      </c>
      <c r="M2909" s="1" t="inlineStr">
        <is>
          <t>Успешно</t>
        </is>
      </c>
      <c r="N2909" s="1" t="inlineStr">
        <is>
          <t>11.08.2026</t>
        </is>
      </c>
      <c r="O2909" s="1" t="inlineStr"/>
      <c r="P2909" s="1" t="inlineStr"/>
      <c r="Q2909" s="1" t="inlineStr">
        <is>
          <t>Пользовательский интерфейс</t>
        </is>
      </c>
    </row>
    <row r="2910">
      <c r="B2910" s="1" t="inlineStr">
        <is>
          <t>214421417</t>
        </is>
      </c>
      <c r="C2910" s="1" t="inlineStr">
        <is>
          <t>15411209</t>
        </is>
      </c>
      <c r="D2910" t="inlineStr">
        <is>
          <t>работник 843</t>
        </is>
      </c>
      <c r="E2910" s="1" t="inlineStr">
        <is>
          <t>ОБЩЕСТВО С ОГРАНИЧЕННОЙ ОТВЕТСТВЕННОСТЬЮ "АМУР ЗОЛОТО"</t>
        </is>
      </c>
      <c r="F2910" s="1" t="inlineStr">
        <is>
          <t>2708001686</t>
        </is>
      </c>
      <c r="G2910" s="1" t="inlineStr">
        <is>
          <t>Машинист самоходной буровой установки</t>
        </is>
      </c>
      <c r="H2910" s="1" t="inlineStr">
        <is>
          <t>ООО "Амур Золото"</t>
        </is>
      </c>
      <c r="I2910" s="1" t="inlineStr">
        <is>
          <t>2708001686</t>
        </is>
      </c>
      <c r="J2910" s="1" t="inlineStr">
        <is>
          <t>ЮГОК ПГУ 26-29</t>
        </is>
      </c>
      <c r="K2910" s="1" t="inlineStr">
        <is>
          <t>Оказание первой помощи пострадавшим</t>
        </is>
      </c>
      <c r="L2910" s="1" t="inlineStr">
        <is>
          <t>25.07.2026</t>
        </is>
      </c>
      <c r="M2910" s="1" t="inlineStr">
        <is>
          <t>Успешно</t>
        </is>
      </c>
      <c r="N2910" s="1" t="inlineStr">
        <is>
          <t>11.08.2026</t>
        </is>
      </c>
      <c r="O2910" s="1" t="inlineStr"/>
      <c r="P2910" s="1" t="inlineStr"/>
      <c r="Q2910" s="1" t="inlineStr">
        <is>
          <t>Пользовательский интерфейс</t>
        </is>
      </c>
    </row>
    <row r="2911">
      <c r="B2911" s="1" t="inlineStr">
        <is>
          <t>214421418</t>
        </is>
      </c>
      <c r="C2911" s="1" t="inlineStr">
        <is>
          <t>15411209</t>
        </is>
      </c>
      <c r="D2911" t="inlineStr">
        <is>
          <t>работник 843</t>
        </is>
      </c>
      <c r="E2911" s="1" t="inlineStr">
        <is>
          <t>ОБЩЕСТВО С ОГРАНИЧЕННОЙ ОТВЕТСТВЕННОСТЬЮ "АМУР ЗОЛОТО"</t>
        </is>
      </c>
      <c r="F2911" s="1" t="inlineStr">
        <is>
          <t>2708001686</t>
        </is>
      </c>
      <c r="G2911" s="1" t="inlineStr">
        <is>
          <t>Машинист самоходной буровой установки</t>
        </is>
      </c>
      <c r="H2911" s="1" t="inlineStr">
        <is>
          <t>ООО "Амур Золото"</t>
        </is>
      </c>
      <c r="I2911" s="1" t="inlineStr">
        <is>
          <t>2708001686</t>
        </is>
      </c>
      <c r="J2911" s="1" t="inlineStr">
        <is>
          <t>ЮГОК ПГУ 26-29</t>
        </is>
      </c>
      <c r="K2911" s="1" t="inlineStr">
        <is>
          <t>Использование (применение) средств индивидуальной защиты</t>
        </is>
      </c>
      <c r="L2911" s="1" t="inlineStr">
        <is>
          <t>25.07.2026</t>
        </is>
      </c>
      <c r="M2911" s="1" t="inlineStr">
        <is>
          <t>Успешно</t>
        </is>
      </c>
      <c r="N2911" s="1" t="inlineStr">
        <is>
          <t>11.08.2026</t>
        </is>
      </c>
      <c r="O2911" s="1" t="inlineStr"/>
      <c r="P2911" s="1" t="inlineStr"/>
      <c r="Q2911" s="1" t="inlineStr">
        <is>
          <t>Пользовательский интерфейс</t>
        </is>
      </c>
    </row>
    <row r="2912">
      <c r="B2912" s="1" t="inlineStr">
        <is>
          <t>214421419</t>
        </is>
      </c>
      <c r="C2912" s="1" t="inlineStr">
        <is>
          <t>15411209</t>
        </is>
      </c>
      <c r="D2912" t="inlineStr">
        <is>
          <t>работник 843</t>
        </is>
      </c>
      <c r="E2912" s="1" t="inlineStr">
        <is>
          <t>ОБЩЕСТВО С ОГРАНИЧЕННОЙ ОТВЕТСТВЕННОСТЬЮ "АМУР ЗОЛОТО"</t>
        </is>
      </c>
      <c r="F2912" s="1" t="inlineStr">
        <is>
          <t>2708001686</t>
        </is>
      </c>
      <c r="G2912" s="1" t="inlineStr">
        <is>
          <t>Машинист самоходной буровой установки</t>
        </is>
      </c>
      <c r="H2912" s="1" t="inlineStr">
        <is>
          <t>ООО "Амур Золото"</t>
        </is>
      </c>
      <c r="I2912" s="1" t="inlineStr">
        <is>
          <t>2708001686</t>
        </is>
      </c>
      <c r="J2912" s="1" t="inlineStr">
        <is>
          <t>ЮГОК ПГУ 26-29</t>
        </is>
      </c>
      <c r="K291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912" s="1" t="inlineStr">
        <is>
          <t>25.07.2026</t>
        </is>
      </c>
      <c r="M2912" s="1" t="inlineStr">
        <is>
          <t>Успешно</t>
        </is>
      </c>
      <c r="N2912" s="1" t="inlineStr">
        <is>
          <t>11.08.2026</t>
        </is>
      </c>
      <c r="O2912" s="1" t="inlineStr"/>
      <c r="P2912" s="1" t="inlineStr"/>
      <c r="Q2912" s="1" t="inlineStr">
        <is>
          <t>Пользовательский интерфейс</t>
        </is>
      </c>
    </row>
    <row r="2913">
      <c r="B2913" s="1" t="inlineStr">
        <is>
          <t>214421420</t>
        </is>
      </c>
      <c r="C2913" s="1" t="inlineStr">
        <is>
          <t>15411209</t>
        </is>
      </c>
      <c r="D2913" t="inlineStr">
        <is>
          <t>работник 633</t>
        </is>
      </c>
      <c r="E2913" s="1" t="inlineStr">
        <is>
          <t>ОБЩЕСТВО С ОГРАНИЧЕННОЙ ОТВЕТСТВЕННОСТЬЮ "АМУР ЗОЛОТО"</t>
        </is>
      </c>
      <c r="F2913" s="1" t="inlineStr">
        <is>
          <t>2708001686</t>
        </is>
      </c>
      <c r="G2913" s="1" t="inlineStr">
        <is>
          <t>Помощник машиниста самоходной буровой установки (с исполнением обязанностей пробоотборщика)</t>
        </is>
      </c>
      <c r="H2913" s="1" t="inlineStr">
        <is>
          <t>ООО "Амур Золото"</t>
        </is>
      </c>
      <c r="I2913" s="1" t="inlineStr">
        <is>
          <t>2708001686</t>
        </is>
      </c>
      <c r="J2913" s="1" t="inlineStr">
        <is>
          <t>ЮГОК ПГУ 26-30</t>
        </is>
      </c>
      <c r="K2913" s="1" t="inlineStr">
        <is>
          <t>Оказание первой помощи пострадавшим</t>
        </is>
      </c>
      <c r="L2913" s="1" t="inlineStr">
        <is>
          <t>26.07.2026</t>
        </is>
      </c>
      <c r="M2913" s="1" t="inlineStr">
        <is>
          <t>Успешно</t>
        </is>
      </c>
      <c r="N2913" s="1" t="inlineStr">
        <is>
          <t>11.08.2026</t>
        </is>
      </c>
      <c r="O2913" s="1" t="inlineStr"/>
      <c r="P2913" s="1" t="inlineStr"/>
      <c r="Q2913" s="1" t="inlineStr">
        <is>
          <t>Пользовательский интерфейс</t>
        </is>
      </c>
    </row>
    <row r="2914">
      <c r="B2914" s="1" t="inlineStr">
        <is>
          <t>214421421</t>
        </is>
      </c>
      <c r="C2914" s="1" t="inlineStr">
        <is>
          <t>15411209</t>
        </is>
      </c>
      <c r="D2914" t="inlineStr">
        <is>
          <t>работник 633</t>
        </is>
      </c>
      <c r="E2914" s="1" t="inlineStr">
        <is>
          <t>ОБЩЕСТВО С ОГРАНИЧЕННОЙ ОТВЕТСТВЕННОСТЬЮ "АМУР ЗОЛОТО"</t>
        </is>
      </c>
      <c r="F2914" s="1" t="inlineStr">
        <is>
          <t>2708001686</t>
        </is>
      </c>
      <c r="G2914" s="1" t="inlineStr">
        <is>
          <t>Помощник машиниста самоходной буровой установки (с исполнением обязанностей пробоотборщика)</t>
        </is>
      </c>
      <c r="H2914" s="1" t="inlineStr">
        <is>
          <t>ООО "Амур Золото"</t>
        </is>
      </c>
      <c r="I2914" s="1" t="inlineStr">
        <is>
          <t>2708001686</t>
        </is>
      </c>
      <c r="J2914" s="1" t="inlineStr">
        <is>
          <t>ЮГОК ПГУ 26-30</t>
        </is>
      </c>
      <c r="K2914" s="1" t="inlineStr">
        <is>
          <t>Использование (применение) средств индивидуальной защиты</t>
        </is>
      </c>
      <c r="L2914" s="1" t="inlineStr">
        <is>
          <t>26.07.2026</t>
        </is>
      </c>
      <c r="M2914" s="1" t="inlineStr">
        <is>
          <t>Успешно</t>
        </is>
      </c>
      <c r="N2914" s="1" t="inlineStr">
        <is>
          <t>11.08.2026</t>
        </is>
      </c>
      <c r="O2914" s="1" t="inlineStr"/>
      <c r="P2914" s="1" t="inlineStr"/>
      <c r="Q2914" s="1" t="inlineStr">
        <is>
          <t>Пользовательский интерфейс</t>
        </is>
      </c>
    </row>
    <row r="2915">
      <c r="B2915" s="1" t="inlineStr">
        <is>
          <t>214421422</t>
        </is>
      </c>
      <c r="C2915" s="1" t="inlineStr">
        <is>
          <t>15411209</t>
        </is>
      </c>
      <c r="D2915" t="inlineStr">
        <is>
          <t>работник 633</t>
        </is>
      </c>
      <c r="E2915" s="1" t="inlineStr">
        <is>
          <t>ОБЩЕСТВО С ОГРАНИЧЕННОЙ ОТВЕТСТВЕННОСТЬЮ "АМУР ЗОЛОТО"</t>
        </is>
      </c>
      <c r="F2915" s="1" t="inlineStr">
        <is>
          <t>2708001686</t>
        </is>
      </c>
      <c r="G2915" s="1" t="inlineStr">
        <is>
          <t>Помощник машиниста самоходной буровой установки (с исполнением обязанностей пробоотборщика)</t>
        </is>
      </c>
      <c r="H2915" s="1" t="inlineStr">
        <is>
          <t>ООО "Амур Золото"</t>
        </is>
      </c>
      <c r="I2915" s="1" t="inlineStr">
        <is>
          <t>2708001686</t>
        </is>
      </c>
      <c r="J2915" s="1" t="inlineStr">
        <is>
          <t>ЮГОК ПГУ 26-30</t>
        </is>
      </c>
      <c r="K291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915" s="1" t="inlineStr">
        <is>
          <t>26.07.2026</t>
        </is>
      </c>
      <c r="M2915" s="1" t="inlineStr">
        <is>
          <t>Успешно</t>
        </is>
      </c>
      <c r="N2915" s="1" t="inlineStr">
        <is>
          <t>11.08.2026</t>
        </is>
      </c>
      <c r="O2915" s="1" t="inlineStr"/>
      <c r="P2915" s="1" t="inlineStr"/>
      <c r="Q2915" s="1" t="inlineStr">
        <is>
          <t>Пользовательский интерфейс</t>
        </is>
      </c>
    </row>
    <row r="2916">
      <c r="B2916" s="1" t="inlineStr">
        <is>
          <t>214421423</t>
        </is>
      </c>
      <c r="C2916" s="1" t="inlineStr">
        <is>
          <t>15411209</t>
        </is>
      </c>
      <c r="D2916" t="inlineStr">
        <is>
          <t>работник 594</t>
        </is>
      </c>
      <c r="E2916" s="1" t="inlineStr">
        <is>
          <t>ОБЩЕСТВО С ОГРАНИЧЕННОЙ ОТВЕТСТВЕННОСТЬЮ "АМУР ЗОЛОТО"</t>
        </is>
      </c>
      <c r="F2916" s="1" t="inlineStr">
        <is>
          <t>2708001686</t>
        </is>
      </c>
      <c r="G2916" s="1" t="inlineStr">
        <is>
          <t>Помощник машиниста самоходной буровой установки (с исполнением обязанностей пробоотборщика)</t>
        </is>
      </c>
      <c r="H2916" s="1" t="inlineStr">
        <is>
          <t>ООО "Амур Золото"</t>
        </is>
      </c>
      <c r="I2916" s="1" t="inlineStr">
        <is>
          <t>2708001686</t>
        </is>
      </c>
      <c r="J2916" s="1" t="inlineStr">
        <is>
          <t>ЮГОК ПГУ 26-30</t>
        </is>
      </c>
      <c r="K2916" s="1" t="inlineStr">
        <is>
          <t>Оказание первой помощи пострадавшим</t>
        </is>
      </c>
      <c r="L2916" s="1" t="inlineStr">
        <is>
          <t>26.07.2026</t>
        </is>
      </c>
      <c r="M2916" s="1" t="inlineStr">
        <is>
          <t>Успешно</t>
        </is>
      </c>
      <c r="N2916" s="1" t="inlineStr">
        <is>
          <t>11.08.2026</t>
        </is>
      </c>
      <c r="O2916" s="1" t="inlineStr"/>
      <c r="P2916" s="1" t="inlineStr"/>
      <c r="Q2916" s="1" t="inlineStr">
        <is>
          <t>Пользовательский интерфейс</t>
        </is>
      </c>
    </row>
    <row r="2917">
      <c r="B2917" s="1" t="inlineStr">
        <is>
          <t>214421424</t>
        </is>
      </c>
      <c r="C2917" s="1" t="inlineStr">
        <is>
          <t>15411209</t>
        </is>
      </c>
      <c r="D2917" t="inlineStr">
        <is>
          <t>работник 594</t>
        </is>
      </c>
      <c r="E2917" s="1" t="inlineStr">
        <is>
          <t>ОБЩЕСТВО С ОГРАНИЧЕННОЙ ОТВЕТСТВЕННОСТЬЮ "АМУР ЗОЛОТО"</t>
        </is>
      </c>
      <c r="F2917" s="1" t="inlineStr">
        <is>
          <t>2708001686</t>
        </is>
      </c>
      <c r="G2917" s="1" t="inlineStr">
        <is>
          <t>Помощник машиниста самоходной буровой установки (с исполнением обязанностей пробоотборщика)</t>
        </is>
      </c>
      <c r="H2917" s="1" t="inlineStr">
        <is>
          <t>ООО "Амур Золото"</t>
        </is>
      </c>
      <c r="I2917" s="1" t="inlineStr">
        <is>
          <t>2708001686</t>
        </is>
      </c>
      <c r="J2917" s="1" t="inlineStr">
        <is>
          <t>ЮГОК ПГУ 26-30</t>
        </is>
      </c>
      <c r="K2917" s="1" t="inlineStr">
        <is>
          <t>Использование (применение) средств индивидуальной защиты</t>
        </is>
      </c>
      <c r="L2917" s="1" t="inlineStr">
        <is>
          <t>26.07.2026</t>
        </is>
      </c>
      <c r="M2917" s="1" t="inlineStr">
        <is>
          <t>Успешно</t>
        </is>
      </c>
      <c r="N2917" s="1" t="inlineStr">
        <is>
          <t>11.08.2026</t>
        </is>
      </c>
      <c r="O2917" s="1" t="inlineStr"/>
      <c r="P2917" s="1" t="inlineStr"/>
      <c r="Q2917" s="1" t="inlineStr">
        <is>
          <t>Пользовательский интерфейс</t>
        </is>
      </c>
    </row>
    <row r="2918">
      <c r="B2918" s="1" t="inlineStr">
        <is>
          <t>214421425</t>
        </is>
      </c>
      <c r="C2918" s="1" t="inlineStr">
        <is>
          <t>15411209</t>
        </is>
      </c>
      <c r="D2918" t="inlineStr">
        <is>
          <t>работник 594</t>
        </is>
      </c>
      <c r="E2918" s="1" t="inlineStr">
        <is>
          <t>ОБЩЕСТВО С ОГРАНИЧЕННОЙ ОТВЕТСТВЕННОСТЬЮ "АМУР ЗОЛОТО"</t>
        </is>
      </c>
      <c r="F2918" s="1" t="inlineStr">
        <is>
          <t>2708001686</t>
        </is>
      </c>
      <c r="G2918" s="1" t="inlineStr">
        <is>
          <t>Помощник машиниста самоходной буровой установки (с исполнением обязанностей пробоотборщика)</t>
        </is>
      </c>
      <c r="H2918" s="1" t="inlineStr">
        <is>
          <t>ООО "Амур Золото"</t>
        </is>
      </c>
      <c r="I2918" s="1" t="inlineStr">
        <is>
          <t>2708001686</t>
        </is>
      </c>
      <c r="J2918" s="1" t="inlineStr">
        <is>
          <t>ЮГОК ПГУ 26-30</t>
        </is>
      </c>
      <c r="K291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918" s="1" t="inlineStr">
        <is>
          <t>26.07.2026</t>
        </is>
      </c>
      <c r="M2918" s="1" t="inlineStr">
        <is>
          <t>Успешно</t>
        </is>
      </c>
      <c r="N2918" s="1" t="inlineStr">
        <is>
          <t>11.08.2026</t>
        </is>
      </c>
      <c r="O2918" s="1" t="inlineStr"/>
      <c r="P2918" s="1" t="inlineStr"/>
      <c r="Q2918" s="1" t="inlineStr">
        <is>
          <t>Пользовательский интерфейс</t>
        </is>
      </c>
    </row>
    <row r="2919">
      <c r="B2919" s="1" t="inlineStr">
        <is>
          <t>214421426</t>
        </is>
      </c>
      <c r="C2919" s="1" t="inlineStr">
        <is>
          <t>15411209</t>
        </is>
      </c>
      <c r="D2919" t="inlineStr">
        <is>
          <t>работник 508</t>
        </is>
      </c>
      <c r="E2919" s="1" t="inlineStr">
        <is>
          <t>ОБЩЕСТВО С ОГРАНИЧЕННОЙ ОТВЕТСТВЕННОСТЬЮ "АМУР ЗОЛОТО"</t>
        </is>
      </c>
      <c r="F2919" s="1" t="inlineStr">
        <is>
          <t>2708001686</t>
        </is>
      </c>
      <c r="G2919" s="1" t="inlineStr">
        <is>
          <t>Помощник машиниста самоходной буровой установки (с исполнением обязанностей пробоотборщика)</t>
        </is>
      </c>
      <c r="H2919" s="1" t="inlineStr">
        <is>
          <t>ООО "Амур Золото"</t>
        </is>
      </c>
      <c r="I2919" s="1" t="inlineStr">
        <is>
          <t>2708001686</t>
        </is>
      </c>
      <c r="J2919" s="1" t="inlineStr">
        <is>
          <t>ЮГОК ПГУ 26-30</t>
        </is>
      </c>
      <c r="K2919" s="1" t="inlineStr">
        <is>
          <t>Оказание первой помощи пострадавшим</t>
        </is>
      </c>
      <c r="L2919" s="1" t="inlineStr">
        <is>
          <t>26.07.2026</t>
        </is>
      </c>
      <c r="M2919" s="1" t="inlineStr">
        <is>
          <t>Успешно</t>
        </is>
      </c>
      <c r="N2919" s="1" t="inlineStr">
        <is>
          <t>11.08.2026</t>
        </is>
      </c>
      <c r="O2919" s="1" t="inlineStr"/>
      <c r="P2919" s="1" t="inlineStr"/>
      <c r="Q2919" s="1" t="inlineStr">
        <is>
          <t>Пользовательский интерфейс</t>
        </is>
      </c>
    </row>
    <row r="2920">
      <c r="B2920" s="1" t="inlineStr">
        <is>
          <t>214421427</t>
        </is>
      </c>
      <c r="C2920" s="1" t="inlineStr">
        <is>
          <t>15411209</t>
        </is>
      </c>
      <c r="D2920" t="inlineStr">
        <is>
          <t>работник 508</t>
        </is>
      </c>
      <c r="E2920" s="1" t="inlineStr">
        <is>
          <t>ОБЩЕСТВО С ОГРАНИЧЕННОЙ ОТВЕТСТВЕННОСТЬЮ "АМУР ЗОЛОТО"</t>
        </is>
      </c>
      <c r="F2920" s="1" t="inlineStr">
        <is>
          <t>2708001686</t>
        </is>
      </c>
      <c r="G2920" s="1" t="inlineStr">
        <is>
          <t>Помощник машиниста самоходной буровой установки (с исполнением обязанностей пробоотборщика)</t>
        </is>
      </c>
      <c r="H2920" s="1" t="inlineStr">
        <is>
          <t>ООО "Амур Золото"</t>
        </is>
      </c>
      <c r="I2920" s="1" t="inlineStr">
        <is>
          <t>2708001686</t>
        </is>
      </c>
      <c r="J2920" s="1" t="inlineStr">
        <is>
          <t>ЮГОК ПГУ 26-30</t>
        </is>
      </c>
      <c r="K2920" s="1" t="inlineStr">
        <is>
          <t>Использование (применение) средств индивидуальной защиты</t>
        </is>
      </c>
      <c r="L2920" s="1" t="inlineStr">
        <is>
          <t>26.07.2026</t>
        </is>
      </c>
      <c r="M2920" s="1" t="inlineStr">
        <is>
          <t>Успешно</t>
        </is>
      </c>
      <c r="N2920" s="1" t="inlineStr">
        <is>
          <t>11.08.2026</t>
        </is>
      </c>
      <c r="O2920" s="1" t="inlineStr"/>
      <c r="P2920" s="1" t="inlineStr"/>
      <c r="Q2920" s="1" t="inlineStr">
        <is>
          <t>Пользовательский интерфейс</t>
        </is>
      </c>
    </row>
    <row r="2921">
      <c r="B2921" s="1" t="inlineStr">
        <is>
          <t>214421428</t>
        </is>
      </c>
      <c r="C2921" s="1" t="inlineStr">
        <is>
          <t>15411209</t>
        </is>
      </c>
      <c r="D2921" t="inlineStr">
        <is>
          <t>работник 508</t>
        </is>
      </c>
      <c r="E2921" s="1" t="inlineStr">
        <is>
          <t>ОБЩЕСТВО С ОГРАНИЧЕННОЙ ОТВЕТСТВЕННОСТЬЮ "АМУР ЗОЛОТО"</t>
        </is>
      </c>
      <c r="F2921" s="1" t="inlineStr">
        <is>
          <t>2708001686</t>
        </is>
      </c>
      <c r="G2921" s="1" t="inlineStr">
        <is>
          <t>Помощник машиниста самоходной буровой установки (с исполнением обязанностей пробоотборщика)</t>
        </is>
      </c>
      <c r="H2921" s="1" t="inlineStr">
        <is>
          <t>ООО "Амур Золото"</t>
        </is>
      </c>
      <c r="I2921" s="1" t="inlineStr">
        <is>
          <t>2708001686</t>
        </is>
      </c>
      <c r="J2921" s="1" t="inlineStr">
        <is>
          <t>ЮГОК ПГУ 26-30</t>
        </is>
      </c>
      <c r="K292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921" s="1" t="inlineStr">
        <is>
          <t>26.07.2026</t>
        </is>
      </c>
      <c r="M2921" s="1" t="inlineStr">
        <is>
          <t>Успешно</t>
        </is>
      </c>
      <c r="N2921" s="1" t="inlineStr">
        <is>
          <t>11.08.2026</t>
        </is>
      </c>
      <c r="O2921" s="1" t="inlineStr"/>
      <c r="P2921" s="1" t="inlineStr"/>
      <c r="Q2921" s="1" t="inlineStr">
        <is>
          <t>Пользовательский интерфейс</t>
        </is>
      </c>
    </row>
    <row r="2922">
      <c r="B2922" s="1" t="inlineStr">
        <is>
          <t>214421429</t>
        </is>
      </c>
      <c r="C2922" s="1" t="inlineStr">
        <is>
          <t>15411209</t>
        </is>
      </c>
      <c r="D2922" t="inlineStr">
        <is>
          <t>работник 844</t>
        </is>
      </c>
      <c r="E2922" s="1" t="inlineStr">
        <is>
          <t>ОБЩЕСТВО С ОГРАНИЧЕННОЙ ОТВЕТСТВЕННОСТЬЮ "АМУР ЗОЛОТО"</t>
        </is>
      </c>
      <c r="F2922" s="1" t="inlineStr">
        <is>
          <t>2708001686</t>
        </is>
      </c>
      <c r="G2922" s="1" t="inlineStr">
        <is>
          <t>Помощник машиниста самоходной буровой установки (с исполнением обязанностей пробоотборщика)</t>
        </is>
      </c>
      <c r="H2922" s="1" t="inlineStr">
        <is>
          <t>ООО "Амур Золото"</t>
        </is>
      </c>
      <c r="I2922" s="1" t="inlineStr">
        <is>
          <t>2708001686</t>
        </is>
      </c>
      <c r="J2922" s="1" t="inlineStr">
        <is>
          <t>ЮГОК ПГУ 26-30</t>
        </is>
      </c>
      <c r="K2922" s="1" t="inlineStr">
        <is>
          <t>Оказание первой помощи пострадавшим</t>
        </is>
      </c>
      <c r="L2922" s="1" t="inlineStr">
        <is>
          <t>26.07.2026</t>
        </is>
      </c>
      <c r="M2922" s="1" t="inlineStr">
        <is>
          <t>Успешно</t>
        </is>
      </c>
      <c r="N2922" s="1" t="inlineStr">
        <is>
          <t>11.08.2026</t>
        </is>
      </c>
      <c r="O2922" s="1" t="inlineStr"/>
      <c r="P2922" s="1" t="inlineStr"/>
      <c r="Q2922" s="1" t="inlineStr">
        <is>
          <t>Пользовательский интерфейс</t>
        </is>
      </c>
    </row>
    <row r="2923">
      <c r="B2923" s="1" t="inlineStr">
        <is>
          <t>214421430</t>
        </is>
      </c>
      <c r="C2923" s="1" t="inlineStr">
        <is>
          <t>15411209</t>
        </is>
      </c>
      <c r="D2923" t="inlineStr">
        <is>
          <t>работник 844</t>
        </is>
      </c>
      <c r="E2923" s="1" t="inlineStr">
        <is>
          <t>ОБЩЕСТВО С ОГРАНИЧЕННОЙ ОТВЕТСТВЕННОСТЬЮ "АМУР ЗОЛОТО"</t>
        </is>
      </c>
      <c r="F2923" s="1" t="inlineStr">
        <is>
          <t>2708001686</t>
        </is>
      </c>
      <c r="G2923" s="1" t="inlineStr">
        <is>
          <t>Помощник машиниста самоходной буровой установки (с исполнением обязанностей пробоотборщика)</t>
        </is>
      </c>
      <c r="H2923" s="1" t="inlineStr">
        <is>
          <t>ООО "Амур Золото"</t>
        </is>
      </c>
      <c r="I2923" s="1" t="inlineStr">
        <is>
          <t>2708001686</t>
        </is>
      </c>
      <c r="J2923" s="1" t="inlineStr">
        <is>
          <t>ЮГОК ПГУ 26-30</t>
        </is>
      </c>
      <c r="K2923" s="1" t="inlineStr">
        <is>
          <t>Использование (применение) средств индивидуальной защиты</t>
        </is>
      </c>
      <c r="L2923" s="1" t="inlineStr">
        <is>
          <t>26.07.2026</t>
        </is>
      </c>
      <c r="M2923" s="1" t="inlineStr">
        <is>
          <t>Успешно</t>
        </is>
      </c>
      <c r="N2923" s="1" t="inlineStr">
        <is>
          <t>11.08.2026</t>
        </is>
      </c>
      <c r="O2923" s="1" t="inlineStr"/>
      <c r="P2923" s="1" t="inlineStr"/>
      <c r="Q2923" s="1" t="inlineStr">
        <is>
          <t>Пользовательский интерфейс</t>
        </is>
      </c>
    </row>
    <row r="2924">
      <c r="B2924" s="1" t="inlineStr">
        <is>
          <t>214421431</t>
        </is>
      </c>
      <c r="C2924" s="1" t="inlineStr">
        <is>
          <t>15411209</t>
        </is>
      </c>
      <c r="D2924" t="inlineStr">
        <is>
          <t>работник 844</t>
        </is>
      </c>
      <c r="E2924" s="1" t="inlineStr">
        <is>
          <t>ОБЩЕСТВО С ОГРАНИЧЕННОЙ ОТВЕТСТВЕННОСТЬЮ "АМУР ЗОЛОТО"</t>
        </is>
      </c>
      <c r="F2924" s="1" t="inlineStr">
        <is>
          <t>2708001686</t>
        </is>
      </c>
      <c r="G2924" s="1" t="inlineStr">
        <is>
          <t>Помощник машиниста самоходной буровой установки (с исполнением обязанностей пробоотборщика)</t>
        </is>
      </c>
      <c r="H2924" s="1" t="inlineStr">
        <is>
          <t>ООО "Амур Золото"</t>
        </is>
      </c>
      <c r="I2924" s="1" t="inlineStr">
        <is>
          <t>2708001686</t>
        </is>
      </c>
      <c r="J2924" s="1" t="inlineStr">
        <is>
          <t>ЮГОК ПГУ 26-30</t>
        </is>
      </c>
      <c r="K292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924" s="1" t="inlineStr">
        <is>
          <t>26.07.2026</t>
        </is>
      </c>
      <c r="M2924" s="1" t="inlineStr">
        <is>
          <t>Успешно</t>
        </is>
      </c>
      <c r="N2924" s="1" t="inlineStr">
        <is>
          <t>11.08.2026</t>
        </is>
      </c>
      <c r="O2924" s="1" t="inlineStr"/>
      <c r="P2924" s="1" t="inlineStr"/>
      <c r="Q2924" s="1" t="inlineStr">
        <is>
          <t>Пользовательский интерфейс</t>
        </is>
      </c>
    </row>
    <row r="2925">
      <c r="B2925" s="1" t="inlineStr">
        <is>
          <t>214421432</t>
        </is>
      </c>
      <c r="C2925" s="1" t="inlineStr">
        <is>
          <t>15411209</t>
        </is>
      </c>
      <c r="D2925" t="inlineStr">
        <is>
          <t>работник 634</t>
        </is>
      </c>
      <c r="E2925" s="1" t="inlineStr">
        <is>
          <t>ОБЩЕСТВО С ОГРАНИЧЕННОЙ ОТВЕТСТВЕННОСТЬЮ "АМУР ЗОЛОТО"</t>
        </is>
      </c>
      <c r="F2925" s="1" t="inlineStr">
        <is>
          <t>2708001686</t>
        </is>
      </c>
      <c r="G2925" s="1" t="inlineStr">
        <is>
          <t>Помощник машиниста самоходной буровой установки (с исполнением обязанностей пробоотборщика)</t>
        </is>
      </c>
      <c r="H2925" s="1" t="inlineStr">
        <is>
          <t>ООО "Амур Золото"</t>
        </is>
      </c>
      <c r="I2925" s="1" t="inlineStr">
        <is>
          <t>2708001686</t>
        </is>
      </c>
      <c r="J2925" s="1" t="inlineStr">
        <is>
          <t>ЮГОК ПГУ 26-30</t>
        </is>
      </c>
      <c r="K2925" s="1" t="inlineStr">
        <is>
          <t>Оказание первой помощи пострадавшим</t>
        </is>
      </c>
      <c r="L2925" s="1" t="inlineStr">
        <is>
          <t>26.07.2026</t>
        </is>
      </c>
      <c r="M2925" s="1" t="inlineStr">
        <is>
          <t>Успешно</t>
        </is>
      </c>
      <c r="N2925" s="1" t="inlineStr">
        <is>
          <t>11.08.2026</t>
        </is>
      </c>
      <c r="O2925" s="1" t="inlineStr"/>
      <c r="P2925" s="1" t="inlineStr"/>
      <c r="Q2925" s="1" t="inlineStr">
        <is>
          <t>Пользовательский интерфейс</t>
        </is>
      </c>
    </row>
    <row r="2926">
      <c r="B2926" s="1" t="inlineStr">
        <is>
          <t>214421433</t>
        </is>
      </c>
      <c r="C2926" s="1" t="inlineStr">
        <is>
          <t>15411209</t>
        </is>
      </c>
      <c r="D2926" t="inlineStr">
        <is>
          <t>работник 634</t>
        </is>
      </c>
      <c r="E2926" s="1" t="inlineStr">
        <is>
          <t>ОБЩЕСТВО С ОГРАНИЧЕННОЙ ОТВЕТСТВЕННОСТЬЮ "АМУР ЗОЛОТО"</t>
        </is>
      </c>
      <c r="F2926" s="1" t="inlineStr">
        <is>
          <t>2708001686</t>
        </is>
      </c>
      <c r="G2926" s="1" t="inlineStr">
        <is>
          <t>Помощник машиниста самоходной буровой установки (с исполнением обязанностей пробоотборщика)</t>
        </is>
      </c>
      <c r="H2926" s="1" t="inlineStr">
        <is>
          <t>ООО "Амур Золото"</t>
        </is>
      </c>
      <c r="I2926" s="1" t="inlineStr">
        <is>
          <t>2708001686</t>
        </is>
      </c>
      <c r="J2926" s="1" t="inlineStr">
        <is>
          <t>ЮГОК ПГУ 26-30</t>
        </is>
      </c>
      <c r="K2926" s="1" t="inlineStr">
        <is>
          <t>Использование (применение) средств индивидуальной защиты</t>
        </is>
      </c>
      <c r="L2926" s="1" t="inlineStr">
        <is>
          <t>26.07.2026</t>
        </is>
      </c>
      <c r="M2926" s="1" t="inlineStr">
        <is>
          <t>Успешно</t>
        </is>
      </c>
      <c r="N2926" s="1" t="inlineStr">
        <is>
          <t>11.08.2026</t>
        </is>
      </c>
      <c r="O2926" s="1" t="inlineStr"/>
      <c r="P2926" s="1" t="inlineStr"/>
      <c r="Q2926" s="1" t="inlineStr">
        <is>
          <t>Пользовательский интерфейс</t>
        </is>
      </c>
    </row>
    <row r="2927">
      <c r="B2927" s="1" t="inlineStr">
        <is>
          <t>214421434</t>
        </is>
      </c>
      <c r="C2927" s="1" t="inlineStr">
        <is>
          <t>15411209</t>
        </is>
      </c>
      <c r="D2927" t="inlineStr">
        <is>
          <t>работник 634</t>
        </is>
      </c>
      <c r="E2927" s="1" t="inlineStr">
        <is>
          <t>ОБЩЕСТВО С ОГРАНИЧЕННОЙ ОТВЕТСТВЕННОСТЬЮ "АМУР ЗОЛОТО"</t>
        </is>
      </c>
      <c r="F2927" s="1" t="inlineStr">
        <is>
          <t>2708001686</t>
        </is>
      </c>
      <c r="G2927" s="1" t="inlineStr">
        <is>
          <t>Помощник машиниста самоходной буровой установки (с исполнением обязанностей пробоотборщика)</t>
        </is>
      </c>
      <c r="H2927" s="1" t="inlineStr">
        <is>
          <t>ООО "Амур Золото"</t>
        </is>
      </c>
      <c r="I2927" s="1" t="inlineStr">
        <is>
          <t>2708001686</t>
        </is>
      </c>
      <c r="J2927" s="1" t="inlineStr">
        <is>
          <t>ЮГОК ПГУ 26-30</t>
        </is>
      </c>
      <c r="K292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927" s="1" t="inlineStr">
        <is>
          <t>26.07.2026</t>
        </is>
      </c>
      <c r="M2927" s="1" t="inlineStr">
        <is>
          <t>Успешно</t>
        </is>
      </c>
      <c r="N2927" s="1" t="inlineStr">
        <is>
          <t>11.08.2026</t>
        </is>
      </c>
      <c r="O2927" s="1" t="inlineStr"/>
      <c r="P2927" s="1" t="inlineStr"/>
      <c r="Q2927" s="1" t="inlineStr">
        <is>
          <t>Пользовательский интерфейс</t>
        </is>
      </c>
    </row>
    <row r="2928">
      <c r="B2928" s="1" t="inlineStr">
        <is>
          <t>214421435</t>
        </is>
      </c>
      <c r="C2928" s="1" t="inlineStr">
        <is>
          <t>15411209</t>
        </is>
      </c>
      <c r="D2928" t="inlineStr">
        <is>
          <t>работник 603</t>
        </is>
      </c>
      <c r="E2928" s="1" t="inlineStr">
        <is>
          <t>ОБЩЕСТВО С ОГРАНИЧЕННОЙ ОТВЕТСТВЕННОСТЬЮ "АМУР ЗОЛОТО"</t>
        </is>
      </c>
      <c r="F2928" s="1" t="inlineStr">
        <is>
          <t>2708001686</t>
        </is>
      </c>
      <c r="G2928" s="1" t="inlineStr">
        <is>
          <t>Помощник машиниста самоходной буровой установки (с исполнением обязанностей пробоотборщика)</t>
        </is>
      </c>
      <c r="H2928" s="1" t="inlineStr">
        <is>
          <t>ООО "Амур Золото"</t>
        </is>
      </c>
      <c r="I2928" s="1" t="inlineStr">
        <is>
          <t>2708001686</t>
        </is>
      </c>
      <c r="J2928" s="1" t="inlineStr">
        <is>
          <t>ЮГОК ПГУ 26-30</t>
        </is>
      </c>
      <c r="K2928" s="1" t="inlineStr">
        <is>
          <t>Оказание первой помощи пострадавшим</t>
        </is>
      </c>
      <c r="L2928" s="1" t="inlineStr">
        <is>
          <t>26.07.2026</t>
        </is>
      </c>
      <c r="M2928" s="1" t="inlineStr">
        <is>
          <t>Успешно</t>
        </is>
      </c>
      <c r="N2928" s="1" t="inlineStr">
        <is>
          <t>11.08.2026</t>
        </is>
      </c>
      <c r="O2928" s="1" t="inlineStr"/>
      <c r="P2928" s="1" t="inlineStr"/>
      <c r="Q2928" s="1" t="inlineStr">
        <is>
          <t>Пользовательский интерфейс</t>
        </is>
      </c>
    </row>
    <row r="2929">
      <c r="B2929" s="1" t="inlineStr">
        <is>
          <t>214421436</t>
        </is>
      </c>
      <c r="C2929" s="1" t="inlineStr">
        <is>
          <t>15411209</t>
        </is>
      </c>
      <c r="D2929" t="inlineStr">
        <is>
          <t>работник 603</t>
        </is>
      </c>
      <c r="E2929" s="1" t="inlineStr">
        <is>
          <t>ОБЩЕСТВО С ОГРАНИЧЕННОЙ ОТВЕТСТВЕННОСТЬЮ "АМУР ЗОЛОТО"</t>
        </is>
      </c>
      <c r="F2929" s="1" t="inlineStr">
        <is>
          <t>2708001686</t>
        </is>
      </c>
      <c r="G2929" s="1" t="inlineStr">
        <is>
          <t>Помощник машиниста самоходной буровой установки (с исполнением обязанностей пробоотборщика)</t>
        </is>
      </c>
      <c r="H2929" s="1" t="inlineStr">
        <is>
          <t>ООО "Амур Золото"</t>
        </is>
      </c>
      <c r="I2929" s="1" t="inlineStr">
        <is>
          <t>2708001686</t>
        </is>
      </c>
      <c r="J2929" s="1" t="inlineStr">
        <is>
          <t>ЮГОК ПГУ 26-30</t>
        </is>
      </c>
      <c r="K2929" s="1" t="inlineStr">
        <is>
          <t>Использование (применение) средств индивидуальной защиты</t>
        </is>
      </c>
      <c r="L2929" s="1" t="inlineStr">
        <is>
          <t>26.07.2026</t>
        </is>
      </c>
      <c r="M2929" s="1" t="inlineStr">
        <is>
          <t>Успешно</t>
        </is>
      </c>
      <c r="N2929" s="1" t="inlineStr">
        <is>
          <t>11.08.2026</t>
        </is>
      </c>
      <c r="O2929" s="1" t="inlineStr"/>
      <c r="P2929" s="1" t="inlineStr"/>
      <c r="Q2929" s="1" t="inlineStr">
        <is>
          <t>Пользовательский интерфейс</t>
        </is>
      </c>
    </row>
    <row r="2930">
      <c r="B2930" s="1" t="inlineStr">
        <is>
          <t>214421437</t>
        </is>
      </c>
      <c r="C2930" s="1" t="inlineStr">
        <is>
          <t>15411209</t>
        </is>
      </c>
      <c r="D2930" t="inlineStr">
        <is>
          <t>работник 603</t>
        </is>
      </c>
      <c r="E2930" s="1" t="inlineStr">
        <is>
          <t>ОБЩЕСТВО С ОГРАНИЧЕННОЙ ОТВЕТСТВЕННОСТЬЮ "АМУР ЗОЛОТО"</t>
        </is>
      </c>
      <c r="F2930" s="1" t="inlineStr">
        <is>
          <t>2708001686</t>
        </is>
      </c>
      <c r="G2930" s="1" t="inlineStr">
        <is>
          <t>Помощник машиниста самоходной буровой установки (с исполнением обязанностей пробоотборщика)</t>
        </is>
      </c>
      <c r="H2930" s="1" t="inlineStr">
        <is>
          <t>ООО "Амур Золото"</t>
        </is>
      </c>
      <c r="I2930" s="1" t="inlineStr">
        <is>
          <t>2708001686</t>
        </is>
      </c>
      <c r="J2930" s="1" t="inlineStr">
        <is>
          <t>ЮГОК ПГУ 26-30</t>
        </is>
      </c>
      <c r="K293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930" s="1" t="inlineStr">
        <is>
          <t>26.07.2026</t>
        </is>
      </c>
      <c r="M2930" s="1" t="inlineStr">
        <is>
          <t>Успешно</t>
        </is>
      </c>
      <c r="N2930" s="1" t="inlineStr">
        <is>
          <t>11.08.2026</t>
        </is>
      </c>
      <c r="O2930" s="1" t="inlineStr"/>
      <c r="P2930" s="1" t="inlineStr"/>
      <c r="Q2930" s="1" t="inlineStr">
        <is>
          <t>Пользовательский интерфейс</t>
        </is>
      </c>
    </row>
    <row r="2931">
      <c r="B2931" s="1" t="inlineStr">
        <is>
          <t>214421438</t>
        </is>
      </c>
      <c r="C2931" s="1" t="inlineStr">
        <is>
          <t>15411209</t>
        </is>
      </c>
      <c r="D2931" t="inlineStr">
        <is>
          <t>работник 845</t>
        </is>
      </c>
      <c r="E2931" s="1" t="inlineStr">
        <is>
          <t>ОБЩЕСТВО С ОГРАНИЧЕННОЙ ОТВЕТСТВЕННОСТЬЮ "АМУР ЗОЛОТО"</t>
        </is>
      </c>
      <c r="F2931" s="1" t="inlineStr">
        <is>
          <t>2708001686</t>
        </is>
      </c>
      <c r="G2931" s="1" t="inlineStr">
        <is>
          <t>Проходчик (с исполнением обязанностей взрывника)</t>
        </is>
      </c>
      <c r="H2931" s="1" t="inlineStr">
        <is>
          <t>ООО "Амур Золото"</t>
        </is>
      </c>
      <c r="I2931" s="1" t="inlineStr">
        <is>
          <t>2708001686</t>
        </is>
      </c>
      <c r="J2931" s="1" t="inlineStr">
        <is>
          <t>ЮГОК ПГУ 26-31</t>
        </is>
      </c>
      <c r="K2931" s="1" t="inlineStr">
        <is>
          <t>Оказание первой помощи пострадавшим</t>
        </is>
      </c>
      <c r="L2931" s="1" t="inlineStr">
        <is>
          <t>22.07.2026</t>
        </is>
      </c>
      <c r="M2931" s="1" t="inlineStr">
        <is>
          <t>Успешно</t>
        </is>
      </c>
      <c r="N2931" s="1" t="inlineStr">
        <is>
          <t>11.08.2026</t>
        </is>
      </c>
      <c r="O2931" s="1" t="inlineStr"/>
      <c r="P2931" s="1" t="inlineStr"/>
      <c r="Q2931" s="1" t="inlineStr">
        <is>
          <t>Пользовательский интерфейс</t>
        </is>
      </c>
    </row>
    <row r="2932">
      <c r="B2932" s="1" t="inlineStr">
        <is>
          <t>214421439</t>
        </is>
      </c>
      <c r="C2932" s="1" t="inlineStr">
        <is>
          <t>15411209</t>
        </is>
      </c>
      <c r="D2932" t="inlineStr">
        <is>
          <t>работник 845</t>
        </is>
      </c>
      <c r="E2932" s="1" t="inlineStr">
        <is>
          <t>ОБЩЕСТВО С ОГРАНИЧЕННОЙ ОТВЕТСТВЕННОСТЬЮ "АМУР ЗОЛОТО"</t>
        </is>
      </c>
      <c r="F2932" s="1" t="inlineStr">
        <is>
          <t>2708001686</t>
        </is>
      </c>
      <c r="G2932" s="1" t="inlineStr">
        <is>
          <t>Проходчик (с исполнением обязанностей взрывника)</t>
        </is>
      </c>
      <c r="H2932" s="1" t="inlineStr">
        <is>
          <t>ООО "Амур Золото"</t>
        </is>
      </c>
      <c r="I2932" s="1" t="inlineStr">
        <is>
          <t>2708001686</t>
        </is>
      </c>
      <c r="J2932" s="1" t="inlineStr">
        <is>
          <t>ЮГОК ПГУ 26-31</t>
        </is>
      </c>
      <c r="K2932" s="1" t="inlineStr">
        <is>
          <t>Использование (применение) средств индивидуальной защиты</t>
        </is>
      </c>
      <c r="L2932" s="1" t="inlineStr">
        <is>
          <t>22.07.2026</t>
        </is>
      </c>
      <c r="M2932" s="1" t="inlineStr">
        <is>
          <t>Успешно</t>
        </is>
      </c>
      <c r="N2932" s="1" t="inlineStr">
        <is>
          <t>11.08.2026</t>
        </is>
      </c>
      <c r="O2932" s="1" t="inlineStr"/>
      <c r="P2932" s="1" t="inlineStr"/>
      <c r="Q2932" s="1" t="inlineStr">
        <is>
          <t>Пользовательский интерфейс</t>
        </is>
      </c>
    </row>
    <row r="2933">
      <c r="B2933" s="1" t="inlineStr">
        <is>
          <t>214421440</t>
        </is>
      </c>
      <c r="C2933" s="1" t="inlineStr">
        <is>
          <t>15411209</t>
        </is>
      </c>
      <c r="D2933" t="inlineStr">
        <is>
          <t>работник 845</t>
        </is>
      </c>
      <c r="E2933" s="1" t="inlineStr">
        <is>
          <t>ОБЩЕСТВО С ОГРАНИЧЕННОЙ ОТВЕТСТВЕННОСТЬЮ "АМУР ЗОЛОТО"</t>
        </is>
      </c>
      <c r="F2933" s="1" t="inlineStr">
        <is>
          <t>2708001686</t>
        </is>
      </c>
      <c r="G2933" s="1" t="inlineStr">
        <is>
          <t>Проходчик (с исполнением обязанностей взрывника)</t>
        </is>
      </c>
      <c r="H2933" s="1" t="inlineStr">
        <is>
          <t>ООО "Амур Золото"</t>
        </is>
      </c>
      <c r="I2933" s="1" t="inlineStr">
        <is>
          <t>2708001686</t>
        </is>
      </c>
      <c r="J2933" s="1" t="inlineStr">
        <is>
          <t>ЮГОК ПГУ 26-31</t>
        </is>
      </c>
      <c r="K293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933" s="1" t="inlineStr">
        <is>
          <t>22.07.2026</t>
        </is>
      </c>
      <c r="M2933" s="1" t="inlineStr">
        <is>
          <t>Успешно</t>
        </is>
      </c>
      <c r="N2933" s="1" t="inlineStr">
        <is>
          <t>11.08.2026</t>
        </is>
      </c>
      <c r="O2933" s="1" t="inlineStr"/>
      <c r="P2933" s="1" t="inlineStr"/>
      <c r="Q2933" s="1" t="inlineStr">
        <is>
          <t>Пользовательский интерфейс</t>
        </is>
      </c>
    </row>
    <row r="2934">
      <c r="B2934" s="1" t="inlineStr">
        <is>
          <t>214421441</t>
        </is>
      </c>
      <c r="C2934" s="1" t="inlineStr">
        <is>
          <t>15411209</t>
        </is>
      </c>
      <c r="D2934" t="inlineStr">
        <is>
          <t>работник 552</t>
        </is>
      </c>
      <c r="E2934" s="1" t="inlineStr">
        <is>
          <t>ОБЩЕСТВО С ОГРАНИЧЕННОЙ ОТВЕТСТВЕННОСТЬЮ "АМУР ЗОЛОТО"</t>
        </is>
      </c>
      <c r="F2934" s="1" t="inlineStr">
        <is>
          <t>2708001686</t>
        </is>
      </c>
      <c r="G2934" s="1" t="inlineStr">
        <is>
          <t>Проходчик (с исполнением обязанностей взрывника)</t>
        </is>
      </c>
      <c r="H2934" s="1" t="inlineStr">
        <is>
          <t>ООО "Амур Золото"</t>
        </is>
      </c>
      <c r="I2934" s="1" t="inlineStr">
        <is>
          <t>2708001686</t>
        </is>
      </c>
      <c r="J2934" s="1" t="inlineStr">
        <is>
          <t>ЮГОК ПГУ 26-31</t>
        </is>
      </c>
      <c r="K2934" s="1" t="inlineStr">
        <is>
          <t>Оказание первой помощи пострадавшим</t>
        </is>
      </c>
      <c r="L2934" s="1" t="inlineStr">
        <is>
          <t>22.07.2026</t>
        </is>
      </c>
      <c r="M2934" s="1" t="inlineStr">
        <is>
          <t>Успешно</t>
        </is>
      </c>
      <c r="N2934" s="1" t="inlineStr">
        <is>
          <t>11.08.2026</t>
        </is>
      </c>
      <c r="O2934" s="1" t="inlineStr"/>
      <c r="P2934" s="1" t="inlineStr"/>
      <c r="Q2934" s="1" t="inlineStr">
        <is>
          <t>Пользовательский интерфейс</t>
        </is>
      </c>
    </row>
    <row r="2935">
      <c r="B2935" s="1" t="inlineStr">
        <is>
          <t>214421442</t>
        </is>
      </c>
      <c r="C2935" s="1" t="inlineStr">
        <is>
          <t>15411209</t>
        </is>
      </c>
      <c r="D2935" t="inlineStr">
        <is>
          <t>работник 552</t>
        </is>
      </c>
      <c r="E2935" s="1" t="inlineStr">
        <is>
          <t>ОБЩЕСТВО С ОГРАНИЧЕННОЙ ОТВЕТСТВЕННОСТЬЮ "АМУР ЗОЛОТО"</t>
        </is>
      </c>
      <c r="F2935" s="1" t="inlineStr">
        <is>
          <t>2708001686</t>
        </is>
      </c>
      <c r="G2935" s="1" t="inlineStr">
        <is>
          <t>Проходчик (с исполнением обязанностей взрывника)</t>
        </is>
      </c>
      <c r="H2935" s="1" t="inlineStr">
        <is>
          <t>ООО "Амур Золото"</t>
        </is>
      </c>
      <c r="I2935" s="1" t="inlineStr">
        <is>
          <t>2708001686</t>
        </is>
      </c>
      <c r="J2935" s="1" t="inlineStr">
        <is>
          <t>ЮГОК ПГУ 26-31</t>
        </is>
      </c>
      <c r="K2935" s="1" t="inlineStr">
        <is>
          <t>Использование (применение) средств индивидуальной защиты</t>
        </is>
      </c>
      <c r="L2935" s="1" t="inlineStr">
        <is>
          <t>22.07.2026</t>
        </is>
      </c>
      <c r="M2935" s="1" t="inlineStr">
        <is>
          <t>Успешно</t>
        </is>
      </c>
      <c r="N2935" s="1" t="inlineStr">
        <is>
          <t>11.08.2026</t>
        </is>
      </c>
      <c r="O2935" s="1" t="inlineStr"/>
      <c r="P2935" s="1" t="inlineStr"/>
      <c r="Q2935" s="1" t="inlineStr">
        <is>
          <t>Пользовательский интерфейс</t>
        </is>
      </c>
    </row>
    <row r="2936">
      <c r="B2936" s="1" t="inlineStr">
        <is>
          <t>214421443</t>
        </is>
      </c>
      <c r="C2936" s="1" t="inlineStr">
        <is>
          <t>15411209</t>
        </is>
      </c>
      <c r="D2936" t="inlineStr">
        <is>
          <t>работник 552</t>
        </is>
      </c>
      <c r="E2936" s="1" t="inlineStr">
        <is>
          <t>ОБЩЕСТВО С ОГРАНИЧЕННОЙ ОТВЕТСТВЕННОСТЬЮ "АМУР ЗОЛОТО"</t>
        </is>
      </c>
      <c r="F2936" s="1" t="inlineStr">
        <is>
          <t>2708001686</t>
        </is>
      </c>
      <c r="G2936" s="1" t="inlineStr">
        <is>
          <t>Проходчик (с исполнением обязанностей взрывника)</t>
        </is>
      </c>
      <c r="H2936" s="1" t="inlineStr">
        <is>
          <t>ООО "Амур Золото"</t>
        </is>
      </c>
      <c r="I2936" s="1" t="inlineStr">
        <is>
          <t>2708001686</t>
        </is>
      </c>
      <c r="J2936" s="1" t="inlineStr">
        <is>
          <t>ЮГОК ПГУ 26-31</t>
        </is>
      </c>
      <c r="K293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936" s="1" t="inlineStr">
        <is>
          <t>22.07.2026</t>
        </is>
      </c>
      <c r="M2936" s="1" t="inlineStr">
        <is>
          <t>Успешно</t>
        </is>
      </c>
      <c r="N2936" s="1" t="inlineStr">
        <is>
          <t>11.08.2026</t>
        </is>
      </c>
      <c r="O2936" s="1" t="inlineStr"/>
      <c r="P2936" s="1" t="inlineStr"/>
      <c r="Q2936" s="1" t="inlineStr">
        <is>
          <t>Пользовательский интерфейс</t>
        </is>
      </c>
    </row>
    <row r="2937">
      <c r="B2937" s="1" t="inlineStr">
        <is>
          <t>214421444</t>
        </is>
      </c>
      <c r="C2937" s="1" t="inlineStr">
        <is>
          <t>15411209</t>
        </is>
      </c>
      <c r="D2937" t="inlineStr">
        <is>
          <t>работник 162</t>
        </is>
      </c>
      <c r="E2937" s="1" t="inlineStr">
        <is>
          <t>ОБЩЕСТВО С ОГРАНИЧЕННОЙ ОТВЕТСТВЕННОСТЬЮ "АМУР ЗОЛОТО"</t>
        </is>
      </c>
      <c r="F2937" s="1" t="inlineStr">
        <is>
          <t>2708001686</t>
        </is>
      </c>
      <c r="G2937" s="1" t="inlineStr">
        <is>
          <t>Проходчик (с исполнением обязанностей взрывника)</t>
        </is>
      </c>
      <c r="H2937" s="1" t="inlineStr">
        <is>
          <t>ООО "Амур Золото"</t>
        </is>
      </c>
      <c r="I2937" s="1" t="inlineStr">
        <is>
          <t>2708001686</t>
        </is>
      </c>
      <c r="J2937" s="1" t="inlineStr">
        <is>
          <t>ЮГОК ПГУ 26-31</t>
        </is>
      </c>
      <c r="K2937" s="1" t="inlineStr">
        <is>
          <t>Оказание первой помощи пострадавшим</t>
        </is>
      </c>
      <c r="L2937" s="1" t="inlineStr">
        <is>
          <t>22.07.2026</t>
        </is>
      </c>
      <c r="M2937" s="1" t="inlineStr">
        <is>
          <t>Успешно</t>
        </is>
      </c>
      <c r="N2937" s="1" t="inlineStr">
        <is>
          <t>11.08.2026</t>
        </is>
      </c>
      <c r="O2937" s="1" t="inlineStr"/>
      <c r="P2937" s="1" t="inlineStr"/>
      <c r="Q2937" s="1" t="inlineStr">
        <is>
          <t>Пользовательский интерфейс</t>
        </is>
      </c>
    </row>
    <row r="2938">
      <c r="B2938" s="1" t="inlineStr">
        <is>
          <t>214421445</t>
        </is>
      </c>
      <c r="C2938" s="1" t="inlineStr">
        <is>
          <t>15411209</t>
        </is>
      </c>
      <c r="D2938" t="inlineStr">
        <is>
          <t>работник 162</t>
        </is>
      </c>
      <c r="E2938" s="1" t="inlineStr">
        <is>
          <t>ОБЩЕСТВО С ОГРАНИЧЕННОЙ ОТВЕТСТВЕННОСТЬЮ "АМУР ЗОЛОТО"</t>
        </is>
      </c>
      <c r="F2938" s="1" t="inlineStr">
        <is>
          <t>2708001686</t>
        </is>
      </c>
      <c r="G2938" s="1" t="inlineStr">
        <is>
          <t>Проходчик (с исполнением обязанностей взрывника)</t>
        </is>
      </c>
      <c r="H2938" s="1" t="inlineStr">
        <is>
          <t>ООО "Амур Золото"</t>
        </is>
      </c>
      <c r="I2938" s="1" t="inlineStr">
        <is>
          <t>2708001686</t>
        </is>
      </c>
      <c r="J2938" s="1" t="inlineStr">
        <is>
          <t>ЮГОК ПГУ 26-31</t>
        </is>
      </c>
      <c r="K2938" s="1" t="inlineStr">
        <is>
          <t>Использование (применение) средств индивидуальной защиты</t>
        </is>
      </c>
      <c r="L2938" s="1" t="inlineStr">
        <is>
          <t>22.07.2026</t>
        </is>
      </c>
      <c r="M2938" s="1" t="inlineStr">
        <is>
          <t>Успешно</t>
        </is>
      </c>
      <c r="N2938" s="1" t="inlineStr">
        <is>
          <t>11.08.2026</t>
        </is>
      </c>
      <c r="O2938" s="1" t="inlineStr"/>
      <c r="P2938" s="1" t="inlineStr"/>
      <c r="Q2938" s="1" t="inlineStr">
        <is>
          <t>Пользовательский интерфейс</t>
        </is>
      </c>
    </row>
    <row r="2939">
      <c r="B2939" s="1" t="inlineStr">
        <is>
          <t>214421446</t>
        </is>
      </c>
      <c r="C2939" s="1" t="inlineStr">
        <is>
          <t>15411209</t>
        </is>
      </c>
      <c r="D2939" t="inlineStr">
        <is>
          <t>работник 162</t>
        </is>
      </c>
      <c r="E2939" s="1" t="inlineStr">
        <is>
          <t>ОБЩЕСТВО С ОГРАНИЧЕННОЙ ОТВЕТСТВЕННОСТЬЮ "АМУР ЗОЛОТО"</t>
        </is>
      </c>
      <c r="F2939" s="1" t="inlineStr">
        <is>
          <t>2708001686</t>
        </is>
      </c>
      <c r="G2939" s="1" t="inlineStr">
        <is>
          <t>Проходчик (с исполнением обязанностей взрывника)</t>
        </is>
      </c>
      <c r="H2939" s="1" t="inlineStr">
        <is>
          <t>ООО "Амур Золото"</t>
        </is>
      </c>
      <c r="I2939" s="1" t="inlineStr">
        <is>
          <t>2708001686</t>
        </is>
      </c>
      <c r="J2939" s="1" t="inlineStr">
        <is>
          <t>ЮГОК ПГУ 26-31</t>
        </is>
      </c>
      <c r="K293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939" s="1" t="inlineStr">
        <is>
          <t>22.07.2026</t>
        </is>
      </c>
      <c r="M2939" s="1" t="inlineStr">
        <is>
          <t>Успешно</t>
        </is>
      </c>
      <c r="N2939" s="1" t="inlineStr">
        <is>
          <t>11.08.2026</t>
        </is>
      </c>
      <c r="O2939" s="1" t="inlineStr"/>
      <c r="P2939" s="1" t="inlineStr"/>
      <c r="Q2939" s="1" t="inlineStr">
        <is>
          <t>Пользовательский интерфейс</t>
        </is>
      </c>
    </row>
    <row r="2940">
      <c r="B2940" s="1" t="inlineStr">
        <is>
          <t>214421447</t>
        </is>
      </c>
      <c r="C2940" s="1" t="inlineStr">
        <is>
          <t>15411209</t>
        </is>
      </c>
      <c r="D2940" t="inlineStr">
        <is>
          <t>работник 846</t>
        </is>
      </c>
      <c r="E2940" s="1" t="inlineStr">
        <is>
          <t>ОБЩЕСТВО С ОГРАНИЧЕННОЙ ОТВЕТСТВЕННОСТЬЮ "АМУР ЗОЛОТО"</t>
        </is>
      </c>
      <c r="F2940" s="1" t="inlineStr">
        <is>
          <t>2708001686</t>
        </is>
      </c>
      <c r="G2940" s="1" t="inlineStr">
        <is>
          <t>Проходчик (с исполнением обязанностей взрывника)</t>
        </is>
      </c>
      <c r="H2940" s="1" t="inlineStr">
        <is>
          <t>ООО "Амур Золото"</t>
        </is>
      </c>
      <c r="I2940" s="1" t="inlineStr">
        <is>
          <t>2708001686</t>
        </is>
      </c>
      <c r="J2940" s="1" t="inlineStr">
        <is>
          <t>ЮГОК ПГУ 26-31</t>
        </is>
      </c>
      <c r="K2940" s="1" t="inlineStr">
        <is>
          <t>Оказание первой помощи пострадавшим</t>
        </is>
      </c>
      <c r="L2940" s="1" t="inlineStr">
        <is>
          <t>22.07.2026</t>
        </is>
      </c>
      <c r="M2940" s="1" t="inlineStr">
        <is>
          <t>Успешно</t>
        </is>
      </c>
      <c r="N2940" s="1" t="inlineStr">
        <is>
          <t>11.08.2026</t>
        </is>
      </c>
      <c r="O2940" s="1" t="inlineStr"/>
      <c r="P2940" s="1" t="inlineStr"/>
      <c r="Q2940" s="1" t="inlineStr">
        <is>
          <t>Пользовательский интерфейс</t>
        </is>
      </c>
    </row>
    <row r="2941">
      <c r="B2941" s="1" t="inlineStr">
        <is>
          <t>214421448</t>
        </is>
      </c>
      <c r="C2941" s="1" t="inlineStr">
        <is>
          <t>15411209</t>
        </is>
      </c>
      <c r="D2941" t="inlineStr">
        <is>
          <t>работник 846</t>
        </is>
      </c>
      <c r="E2941" s="1" t="inlineStr">
        <is>
          <t>ОБЩЕСТВО С ОГРАНИЧЕННОЙ ОТВЕТСТВЕННОСТЬЮ "АМУР ЗОЛОТО"</t>
        </is>
      </c>
      <c r="F2941" s="1" t="inlineStr">
        <is>
          <t>2708001686</t>
        </is>
      </c>
      <c r="G2941" s="1" t="inlineStr">
        <is>
          <t>Проходчик (с исполнением обязанностей взрывника)</t>
        </is>
      </c>
      <c r="H2941" s="1" t="inlineStr">
        <is>
          <t>ООО "Амур Золото"</t>
        </is>
      </c>
      <c r="I2941" s="1" t="inlineStr">
        <is>
          <t>2708001686</t>
        </is>
      </c>
      <c r="J2941" s="1" t="inlineStr">
        <is>
          <t>ЮГОК ПГУ 26-31</t>
        </is>
      </c>
      <c r="K2941" s="1" t="inlineStr">
        <is>
          <t>Использование (применение) средств индивидуальной защиты</t>
        </is>
      </c>
      <c r="L2941" s="1" t="inlineStr">
        <is>
          <t>22.07.2026</t>
        </is>
      </c>
      <c r="M2941" s="1" t="inlineStr">
        <is>
          <t>Успешно</t>
        </is>
      </c>
      <c r="N2941" s="1" t="inlineStr">
        <is>
          <t>11.08.2026</t>
        </is>
      </c>
      <c r="O2941" s="1" t="inlineStr"/>
      <c r="P2941" s="1" t="inlineStr"/>
      <c r="Q2941" s="1" t="inlineStr">
        <is>
          <t>Пользовательский интерфейс</t>
        </is>
      </c>
    </row>
    <row r="2942">
      <c r="B2942" s="1" t="inlineStr">
        <is>
          <t>214421449</t>
        </is>
      </c>
      <c r="C2942" s="1" t="inlineStr">
        <is>
          <t>15411209</t>
        </is>
      </c>
      <c r="D2942" t="inlineStr">
        <is>
          <t>работник 846</t>
        </is>
      </c>
      <c r="E2942" s="1" t="inlineStr">
        <is>
          <t>ОБЩЕСТВО С ОГРАНИЧЕННОЙ ОТВЕТСТВЕННОСТЬЮ "АМУР ЗОЛОТО"</t>
        </is>
      </c>
      <c r="F2942" s="1" t="inlineStr">
        <is>
          <t>2708001686</t>
        </is>
      </c>
      <c r="G2942" s="1" t="inlineStr">
        <is>
          <t>Проходчик (с исполнением обязанностей взрывника)</t>
        </is>
      </c>
      <c r="H2942" s="1" t="inlineStr">
        <is>
          <t>ООО "Амур Золото"</t>
        </is>
      </c>
      <c r="I2942" s="1" t="inlineStr">
        <is>
          <t>2708001686</t>
        </is>
      </c>
      <c r="J2942" s="1" t="inlineStr">
        <is>
          <t>ЮГОК ПГУ 26-31</t>
        </is>
      </c>
      <c r="K294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942" s="1" t="inlineStr">
        <is>
          <t>22.07.2026</t>
        </is>
      </c>
      <c r="M2942" s="1" t="inlineStr">
        <is>
          <t>Успешно</t>
        </is>
      </c>
      <c r="N2942" s="1" t="inlineStr">
        <is>
          <t>11.08.2026</t>
        </is>
      </c>
      <c r="O2942" s="1" t="inlineStr"/>
      <c r="P2942" s="1" t="inlineStr"/>
      <c r="Q2942" s="1" t="inlineStr">
        <is>
          <t>Пользовательский интерфейс</t>
        </is>
      </c>
    </row>
    <row r="2943">
      <c r="B2943" s="1" t="inlineStr">
        <is>
          <t>214421450</t>
        </is>
      </c>
      <c r="C2943" s="1" t="inlineStr">
        <is>
          <t>15411209</t>
        </is>
      </c>
      <c r="D2943" t="inlineStr">
        <is>
          <t>работник 530</t>
        </is>
      </c>
      <c r="E2943" s="1" t="inlineStr">
        <is>
          <t>ОБЩЕСТВО С ОГРАНИЧЕННОЙ ОТВЕТСТВЕННОСТЬЮ "АМУР ЗОЛОТО"</t>
        </is>
      </c>
      <c r="F2943" s="1" t="inlineStr">
        <is>
          <t>2708001686</t>
        </is>
      </c>
      <c r="G2943" s="1" t="inlineStr">
        <is>
          <t>Проходчик (с исполнением обязанностей взрывника)</t>
        </is>
      </c>
      <c r="H2943" s="1" t="inlineStr">
        <is>
          <t>ООО "Амур Золото"</t>
        </is>
      </c>
      <c r="I2943" s="1" t="inlineStr">
        <is>
          <t>2708001686</t>
        </is>
      </c>
      <c r="J2943" s="1" t="inlineStr">
        <is>
          <t>ЮГОК ПГУ 26-31</t>
        </is>
      </c>
      <c r="K2943" s="1" t="inlineStr">
        <is>
          <t>Оказание первой помощи пострадавшим</t>
        </is>
      </c>
      <c r="L2943" s="1" t="inlineStr">
        <is>
          <t>22.07.2026</t>
        </is>
      </c>
      <c r="M2943" s="1" t="inlineStr">
        <is>
          <t>Успешно</t>
        </is>
      </c>
      <c r="N2943" s="1" t="inlineStr">
        <is>
          <t>11.08.2026</t>
        </is>
      </c>
      <c r="O2943" s="1" t="inlineStr"/>
      <c r="P2943" s="1" t="inlineStr"/>
      <c r="Q2943" s="1" t="inlineStr">
        <is>
          <t>Пользовательский интерфейс</t>
        </is>
      </c>
    </row>
    <row r="2944">
      <c r="B2944" s="1" t="inlineStr">
        <is>
          <t>214421451</t>
        </is>
      </c>
      <c r="C2944" s="1" t="inlineStr">
        <is>
          <t>15411209</t>
        </is>
      </c>
      <c r="D2944" t="inlineStr">
        <is>
          <t>работник 530</t>
        </is>
      </c>
      <c r="E2944" s="1" t="inlineStr">
        <is>
          <t>ОБЩЕСТВО С ОГРАНИЧЕННОЙ ОТВЕТСТВЕННОСТЬЮ "АМУР ЗОЛОТО"</t>
        </is>
      </c>
      <c r="F2944" s="1" t="inlineStr">
        <is>
          <t>2708001686</t>
        </is>
      </c>
      <c r="G2944" s="1" t="inlineStr">
        <is>
          <t>Проходчик (с исполнением обязанностей взрывника)</t>
        </is>
      </c>
      <c r="H2944" s="1" t="inlineStr">
        <is>
          <t>ООО "Амур Золото"</t>
        </is>
      </c>
      <c r="I2944" s="1" t="inlineStr">
        <is>
          <t>2708001686</t>
        </is>
      </c>
      <c r="J2944" s="1" t="inlineStr">
        <is>
          <t>ЮГОК ПГУ 26-31</t>
        </is>
      </c>
      <c r="K2944" s="1" t="inlineStr">
        <is>
          <t>Использование (применение) средств индивидуальной защиты</t>
        </is>
      </c>
      <c r="L2944" s="1" t="inlineStr">
        <is>
          <t>22.07.2026</t>
        </is>
      </c>
      <c r="M2944" s="1" t="inlineStr">
        <is>
          <t>Успешно</t>
        </is>
      </c>
      <c r="N2944" s="1" t="inlineStr">
        <is>
          <t>11.08.2026</t>
        </is>
      </c>
      <c r="O2944" s="1" t="inlineStr"/>
      <c r="P2944" s="1" t="inlineStr"/>
      <c r="Q2944" s="1" t="inlineStr">
        <is>
          <t>Пользовательский интерфейс</t>
        </is>
      </c>
    </row>
    <row r="2945">
      <c r="B2945" s="1" t="inlineStr">
        <is>
          <t>214421452</t>
        </is>
      </c>
      <c r="C2945" s="1" t="inlineStr">
        <is>
          <t>15411209</t>
        </is>
      </c>
      <c r="D2945" t="inlineStr">
        <is>
          <t>работник 530</t>
        </is>
      </c>
      <c r="E2945" s="1" t="inlineStr">
        <is>
          <t>ОБЩЕСТВО С ОГРАНИЧЕННОЙ ОТВЕТСТВЕННОСТЬЮ "АМУР ЗОЛОТО"</t>
        </is>
      </c>
      <c r="F2945" s="1" t="inlineStr">
        <is>
          <t>2708001686</t>
        </is>
      </c>
      <c r="G2945" s="1" t="inlineStr">
        <is>
          <t>Проходчик (с исполнением обязанностей взрывника)</t>
        </is>
      </c>
      <c r="H2945" s="1" t="inlineStr">
        <is>
          <t>ООО "Амур Золото"</t>
        </is>
      </c>
      <c r="I2945" s="1" t="inlineStr">
        <is>
          <t>2708001686</t>
        </is>
      </c>
      <c r="J2945" s="1" t="inlineStr">
        <is>
          <t>ЮГОК ПГУ 26-31</t>
        </is>
      </c>
      <c r="K294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945" s="1" t="inlineStr">
        <is>
          <t>22.07.2026</t>
        </is>
      </c>
      <c r="M2945" s="1" t="inlineStr">
        <is>
          <t>Успешно</t>
        </is>
      </c>
      <c r="N2945" s="1" t="inlineStr">
        <is>
          <t>11.08.2026</t>
        </is>
      </c>
      <c r="O2945" s="1" t="inlineStr"/>
      <c r="P2945" s="1" t="inlineStr"/>
      <c r="Q2945" s="1" t="inlineStr">
        <is>
          <t>Пользовательский интерфейс</t>
        </is>
      </c>
    </row>
    <row r="2946">
      <c r="B2946" s="1" t="inlineStr">
        <is>
          <t>214421453</t>
        </is>
      </c>
      <c r="C2946" s="1" t="inlineStr">
        <is>
          <t>15411209</t>
        </is>
      </c>
      <c r="D2946" t="inlineStr">
        <is>
          <t>работник 847</t>
        </is>
      </c>
      <c r="E2946" s="1" t="inlineStr">
        <is>
          <t>ОБЩЕСТВО С ОГРАНИЧЕННОЙ ОТВЕТСТВЕННОСТЬЮ "АМУР ЗОЛОТО"</t>
        </is>
      </c>
      <c r="F2946" s="1" t="inlineStr">
        <is>
          <t>2708001686</t>
        </is>
      </c>
      <c r="G2946" s="1" t="inlineStr">
        <is>
          <t>Проходчик (с исполнением обязанностей взрывника)</t>
        </is>
      </c>
      <c r="H2946" s="1" t="inlineStr">
        <is>
          <t>ООО "Амур Золото"</t>
        </is>
      </c>
      <c r="I2946" s="1" t="inlineStr">
        <is>
          <t>2708001686</t>
        </is>
      </c>
      <c r="J2946" s="1" t="inlineStr">
        <is>
          <t>ЮГОК ПГУ 26-31</t>
        </is>
      </c>
      <c r="K2946" s="1" t="inlineStr">
        <is>
          <t>Оказание первой помощи пострадавшим</t>
        </is>
      </c>
      <c r="L2946" s="1" t="inlineStr">
        <is>
          <t>22.07.2026</t>
        </is>
      </c>
      <c r="M2946" s="1" t="inlineStr">
        <is>
          <t>Успешно</t>
        </is>
      </c>
      <c r="N2946" s="1" t="inlineStr">
        <is>
          <t>11.08.2026</t>
        </is>
      </c>
      <c r="O2946" s="1" t="inlineStr"/>
      <c r="P2946" s="1" t="inlineStr"/>
      <c r="Q2946" s="1" t="inlineStr">
        <is>
          <t>Пользовательский интерфейс</t>
        </is>
      </c>
    </row>
    <row r="2947">
      <c r="B2947" s="1" t="inlineStr">
        <is>
          <t>214421454</t>
        </is>
      </c>
      <c r="C2947" s="1" t="inlineStr">
        <is>
          <t>15411209</t>
        </is>
      </c>
      <c r="D2947" t="inlineStr">
        <is>
          <t>работник 847</t>
        </is>
      </c>
      <c r="E2947" s="1" t="inlineStr">
        <is>
          <t>ОБЩЕСТВО С ОГРАНИЧЕННОЙ ОТВЕТСТВЕННОСТЬЮ "АМУР ЗОЛОТО"</t>
        </is>
      </c>
      <c r="F2947" s="1" t="inlineStr">
        <is>
          <t>2708001686</t>
        </is>
      </c>
      <c r="G2947" s="1" t="inlineStr">
        <is>
          <t>Проходчик (с исполнением обязанностей взрывника)</t>
        </is>
      </c>
      <c r="H2947" s="1" t="inlineStr">
        <is>
          <t>ООО "Амур Золото"</t>
        </is>
      </c>
      <c r="I2947" s="1" t="inlineStr">
        <is>
          <t>2708001686</t>
        </is>
      </c>
      <c r="J2947" s="1" t="inlineStr">
        <is>
          <t>ЮГОК ПГУ 26-31</t>
        </is>
      </c>
      <c r="K2947" s="1" t="inlineStr">
        <is>
          <t>Использование (применение) средств индивидуальной защиты</t>
        </is>
      </c>
      <c r="L2947" s="1" t="inlineStr">
        <is>
          <t>22.07.2026</t>
        </is>
      </c>
      <c r="M2947" s="1" t="inlineStr">
        <is>
          <t>Успешно</t>
        </is>
      </c>
      <c r="N2947" s="1" t="inlineStr">
        <is>
          <t>11.08.2026</t>
        </is>
      </c>
      <c r="O2947" s="1" t="inlineStr"/>
      <c r="P2947" s="1" t="inlineStr"/>
      <c r="Q2947" s="1" t="inlineStr">
        <is>
          <t>Пользовательский интерфейс</t>
        </is>
      </c>
    </row>
    <row r="2948">
      <c r="B2948" s="1" t="inlineStr">
        <is>
          <t>214421455</t>
        </is>
      </c>
      <c r="C2948" s="1" t="inlineStr">
        <is>
          <t>15411209</t>
        </is>
      </c>
      <c r="D2948" t="inlineStr">
        <is>
          <t>работник 847</t>
        </is>
      </c>
      <c r="E2948" s="1" t="inlineStr">
        <is>
          <t>ОБЩЕСТВО С ОГРАНИЧЕННОЙ ОТВЕТСТВЕННОСТЬЮ "АМУР ЗОЛОТО"</t>
        </is>
      </c>
      <c r="F2948" s="1" t="inlineStr">
        <is>
          <t>2708001686</t>
        </is>
      </c>
      <c r="G2948" s="1" t="inlineStr">
        <is>
          <t>Проходчик (с исполнением обязанностей взрывника)</t>
        </is>
      </c>
      <c r="H2948" s="1" t="inlineStr">
        <is>
          <t>ООО "Амур Золото"</t>
        </is>
      </c>
      <c r="I2948" s="1" t="inlineStr">
        <is>
          <t>2708001686</t>
        </is>
      </c>
      <c r="J2948" s="1" t="inlineStr">
        <is>
          <t>ЮГОК ПГУ 26-31</t>
        </is>
      </c>
      <c r="K294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948" s="1" t="inlineStr">
        <is>
          <t>22.07.2026</t>
        </is>
      </c>
      <c r="M2948" s="1" t="inlineStr">
        <is>
          <t>Успешно</t>
        </is>
      </c>
      <c r="N2948" s="1" t="inlineStr">
        <is>
          <t>11.08.2026</t>
        </is>
      </c>
      <c r="O2948" s="1" t="inlineStr"/>
      <c r="P2948" s="1" t="inlineStr"/>
      <c r="Q2948" s="1" t="inlineStr">
        <is>
          <t>Пользовательский интерфейс</t>
        </is>
      </c>
    </row>
    <row r="2949">
      <c r="B2949" s="1" t="inlineStr">
        <is>
          <t>214421456</t>
        </is>
      </c>
      <c r="C2949" s="1" t="inlineStr">
        <is>
          <t>15411209</t>
        </is>
      </c>
      <c r="D2949" t="inlineStr">
        <is>
          <t>работник 848</t>
        </is>
      </c>
      <c r="E2949" s="1" t="inlineStr">
        <is>
          <t>ОБЩЕСТВО С ОГРАНИЧЕННОЙ ОТВЕТСТВЕННОСТЬЮ "АМУР ЗОЛОТО"</t>
        </is>
      </c>
      <c r="F2949" s="1" t="inlineStr">
        <is>
          <t>2708001686</t>
        </is>
      </c>
      <c r="G2949" s="1" t="inlineStr">
        <is>
          <t>Проходчик (с исполнением обязанностей взрывника)</t>
        </is>
      </c>
      <c r="H2949" s="1" t="inlineStr">
        <is>
          <t>ООО "Амур Золото"</t>
        </is>
      </c>
      <c r="I2949" s="1" t="inlineStr">
        <is>
          <t>2708001686</t>
        </is>
      </c>
      <c r="J2949" s="1" t="inlineStr">
        <is>
          <t>ЮГОК ПГУ 26-31</t>
        </is>
      </c>
      <c r="K2949" s="1" t="inlineStr">
        <is>
          <t>Оказание первой помощи пострадавшим</t>
        </is>
      </c>
      <c r="L2949" s="1" t="inlineStr">
        <is>
          <t>22.07.2026</t>
        </is>
      </c>
      <c r="M2949" s="1" t="inlineStr">
        <is>
          <t>Успешно</t>
        </is>
      </c>
      <c r="N2949" s="1" t="inlineStr">
        <is>
          <t>11.08.2026</t>
        </is>
      </c>
      <c r="O2949" s="1" t="inlineStr"/>
      <c r="P2949" s="1" t="inlineStr"/>
      <c r="Q2949" s="1" t="inlineStr">
        <is>
          <t>Пользовательский интерфейс</t>
        </is>
      </c>
    </row>
    <row r="2950">
      <c r="B2950" s="1" t="inlineStr">
        <is>
          <t>214421457</t>
        </is>
      </c>
      <c r="C2950" s="1" t="inlineStr">
        <is>
          <t>15411209</t>
        </is>
      </c>
      <c r="D2950" t="inlineStr">
        <is>
          <t>работник 848</t>
        </is>
      </c>
      <c r="E2950" s="1" t="inlineStr">
        <is>
          <t>ОБЩЕСТВО С ОГРАНИЧЕННОЙ ОТВЕТСТВЕННОСТЬЮ "АМУР ЗОЛОТО"</t>
        </is>
      </c>
      <c r="F2950" s="1" t="inlineStr">
        <is>
          <t>2708001686</t>
        </is>
      </c>
      <c r="G2950" s="1" t="inlineStr">
        <is>
          <t>Проходчик (с исполнением обязанностей взрывника)</t>
        </is>
      </c>
      <c r="H2950" s="1" t="inlineStr">
        <is>
          <t>ООО "Амур Золото"</t>
        </is>
      </c>
      <c r="I2950" s="1" t="inlineStr">
        <is>
          <t>2708001686</t>
        </is>
      </c>
      <c r="J2950" s="1" t="inlineStr">
        <is>
          <t>ЮГОК ПГУ 26-31</t>
        </is>
      </c>
      <c r="K2950" s="1" t="inlineStr">
        <is>
          <t>Использование (применение) средств индивидуальной защиты</t>
        </is>
      </c>
      <c r="L2950" s="1" t="inlineStr">
        <is>
          <t>22.07.2026</t>
        </is>
      </c>
      <c r="M2950" s="1" t="inlineStr">
        <is>
          <t>Успешно</t>
        </is>
      </c>
      <c r="N2950" s="1" t="inlineStr">
        <is>
          <t>11.08.2026</t>
        </is>
      </c>
      <c r="O2950" s="1" t="inlineStr"/>
      <c r="P2950" s="1" t="inlineStr"/>
      <c r="Q2950" s="1" t="inlineStr">
        <is>
          <t>Пользовательский интерфейс</t>
        </is>
      </c>
    </row>
    <row r="2951">
      <c r="B2951" s="1" t="inlineStr">
        <is>
          <t>214421458</t>
        </is>
      </c>
      <c r="C2951" s="1" t="inlineStr">
        <is>
          <t>15411209</t>
        </is>
      </c>
      <c r="D2951" t="inlineStr">
        <is>
          <t>работник 848</t>
        </is>
      </c>
      <c r="E2951" s="1" t="inlineStr">
        <is>
          <t>ОБЩЕСТВО С ОГРАНИЧЕННОЙ ОТВЕТСТВЕННОСТЬЮ "АМУР ЗОЛОТО"</t>
        </is>
      </c>
      <c r="F2951" s="1" t="inlineStr">
        <is>
          <t>2708001686</t>
        </is>
      </c>
      <c r="G2951" s="1" t="inlineStr">
        <is>
          <t>Проходчик (с исполнением обязанностей взрывника)</t>
        </is>
      </c>
      <c r="H2951" s="1" t="inlineStr">
        <is>
          <t>ООО "Амур Золото"</t>
        </is>
      </c>
      <c r="I2951" s="1" t="inlineStr">
        <is>
          <t>2708001686</t>
        </is>
      </c>
      <c r="J2951" s="1" t="inlineStr">
        <is>
          <t>ЮГОК ПГУ 26-31</t>
        </is>
      </c>
      <c r="K295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951" s="1" t="inlineStr">
        <is>
          <t>22.07.2026</t>
        </is>
      </c>
      <c r="M2951" s="1" t="inlineStr">
        <is>
          <t>Успешно</t>
        </is>
      </c>
      <c r="N2951" s="1" t="inlineStr">
        <is>
          <t>11.08.2026</t>
        </is>
      </c>
      <c r="O2951" s="1" t="inlineStr"/>
      <c r="P2951" s="1" t="inlineStr"/>
      <c r="Q2951" s="1" t="inlineStr">
        <is>
          <t>Пользовательский интерфейс</t>
        </is>
      </c>
    </row>
    <row r="2952">
      <c r="B2952" s="1" t="inlineStr">
        <is>
          <t>214421459</t>
        </is>
      </c>
      <c r="C2952" s="1" t="inlineStr">
        <is>
          <t>15411209</t>
        </is>
      </c>
      <c r="D2952" t="inlineStr">
        <is>
          <t>работник 560</t>
        </is>
      </c>
      <c r="E2952" s="1" t="inlineStr">
        <is>
          <t>ОБЩЕСТВО С ОГРАНИЧЕННОЙ ОТВЕТСТВЕННОСТЬЮ "АМУР ЗОЛОТО"</t>
        </is>
      </c>
      <c r="F2952" s="1" t="inlineStr">
        <is>
          <t>2708001686</t>
        </is>
      </c>
      <c r="G2952" s="1" t="inlineStr">
        <is>
          <t>Электрослесарь (слесарь) дежурный и по ремонту оборудования</t>
        </is>
      </c>
      <c r="H2952" s="1" t="inlineStr">
        <is>
          <t>ООО "Амур Золото"</t>
        </is>
      </c>
      <c r="I2952" s="1" t="inlineStr">
        <is>
          <t>2708001686</t>
        </is>
      </c>
      <c r="J2952" s="1" t="inlineStr">
        <is>
          <t>ЮГОК ПГУ 26-32</t>
        </is>
      </c>
      <c r="K2952" s="1" t="inlineStr">
        <is>
          <t>Оказание первой помощи пострадавшим</t>
        </is>
      </c>
      <c r="L2952" s="1" t="inlineStr">
        <is>
          <t>28.07.2026</t>
        </is>
      </c>
      <c r="M2952" s="1" t="inlineStr">
        <is>
          <t>Успешно</t>
        </is>
      </c>
      <c r="N2952" s="1" t="inlineStr">
        <is>
          <t>11.08.2026</t>
        </is>
      </c>
      <c r="O2952" s="1" t="inlineStr"/>
      <c r="P2952" s="1" t="inlineStr"/>
      <c r="Q2952" s="1" t="inlineStr">
        <is>
          <t>Пользовательский интерфейс</t>
        </is>
      </c>
    </row>
    <row r="2953">
      <c r="B2953" s="1" t="inlineStr">
        <is>
          <t>214421460</t>
        </is>
      </c>
      <c r="C2953" s="1" t="inlineStr">
        <is>
          <t>15411209</t>
        </is>
      </c>
      <c r="D2953" t="inlineStr">
        <is>
          <t>работник 560</t>
        </is>
      </c>
      <c r="E2953" s="1" t="inlineStr">
        <is>
          <t>ОБЩЕСТВО С ОГРАНИЧЕННОЙ ОТВЕТСТВЕННОСТЬЮ "АМУР ЗОЛОТО"</t>
        </is>
      </c>
      <c r="F2953" s="1" t="inlineStr">
        <is>
          <t>2708001686</t>
        </is>
      </c>
      <c r="G2953" s="1" t="inlineStr">
        <is>
          <t>Электрослесарь (слесарь) дежурный и по ремонту оборудования</t>
        </is>
      </c>
      <c r="H2953" s="1" t="inlineStr">
        <is>
          <t>ООО "Амур Золото"</t>
        </is>
      </c>
      <c r="I2953" s="1" t="inlineStr">
        <is>
          <t>2708001686</t>
        </is>
      </c>
      <c r="J2953" s="1" t="inlineStr">
        <is>
          <t>ЮГОК ПГУ 26-32</t>
        </is>
      </c>
      <c r="K2953" s="1" t="inlineStr">
        <is>
          <t>Использование (применение) средств индивидуальной защиты</t>
        </is>
      </c>
      <c r="L2953" s="1" t="inlineStr">
        <is>
          <t>28.07.2026</t>
        </is>
      </c>
      <c r="M2953" s="1" t="inlineStr">
        <is>
          <t>Успешно</t>
        </is>
      </c>
      <c r="N2953" s="1" t="inlineStr">
        <is>
          <t>11.08.2026</t>
        </is>
      </c>
      <c r="O2953" s="1" t="inlineStr"/>
      <c r="P2953" s="1" t="inlineStr"/>
      <c r="Q2953" s="1" t="inlineStr">
        <is>
          <t>Пользовательский интерфейс</t>
        </is>
      </c>
    </row>
    <row r="2954">
      <c r="B2954" s="1" t="inlineStr">
        <is>
          <t>214421461</t>
        </is>
      </c>
      <c r="C2954" s="1" t="inlineStr">
        <is>
          <t>15411209</t>
        </is>
      </c>
      <c r="D2954" t="inlineStr">
        <is>
          <t>работник 560</t>
        </is>
      </c>
      <c r="E2954" s="1" t="inlineStr">
        <is>
          <t>ОБЩЕСТВО С ОГРАНИЧЕННОЙ ОТВЕТСТВЕННОСТЬЮ "АМУР ЗОЛОТО"</t>
        </is>
      </c>
      <c r="F2954" s="1" t="inlineStr">
        <is>
          <t>2708001686</t>
        </is>
      </c>
      <c r="G2954" s="1" t="inlineStr">
        <is>
          <t>Электрослесарь (слесарь) дежурный и по ремонту оборудования</t>
        </is>
      </c>
      <c r="H2954" s="1" t="inlineStr">
        <is>
          <t>ООО "Амур Золото"</t>
        </is>
      </c>
      <c r="I2954" s="1" t="inlineStr">
        <is>
          <t>2708001686</t>
        </is>
      </c>
      <c r="J2954" s="1" t="inlineStr">
        <is>
          <t>ЮГОК ПГУ 26-32</t>
        </is>
      </c>
      <c r="K295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954" s="1" t="inlineStr">
        <is>
          <t>28.07.2026</t>
        </is>
      </c>
      <c r="M2954" s="1" t="inlineStr">
        <is>
          <t>Успешно</t>
        </is>
      </c>
      <c r="N2954" s="1" t="inlineStr">
        <is>
          <t>11.08.2026</t>
        </is>
      </c>
      <c r="O2954" s="1" t="inlineStr"/>
      <c r="P2954" s="1" t="inlineStr"/>
      <c r="Q2954" s="1" t="inlineStr">
        <is>
          <t>Пользовательский интерфейс</t>
        </is>
      </c>
    </row>
    <row r="2955">
      <c r="B2955" s="1" t="inlineStr">
        <is>
          <t>214421462</t>
        </is>
      </c>
      <c r="C2955" s="1" t="inlineStr">
        <is>
          <t>15411209</t>
        </is>
      </c>
      <c r="D2955" t="inlineStr">
        <is>
          <t>работник 782</t>
        </is>
      </c>
      <c r="E2955" s="1" t="inlineStr">
        <is>
          <t>ОБЩЕСТВО С ОГРАНИЧЕННОЙ ОТВЕТСТВЕННОСТЬЮ "АМУР ЗОЛОТО"</t>
        </is>
      </c>
      <c r="F2955" s="1" t="inlineStr">
        <is>
          <t>2708001686</t>
        </is>
      </c>
      <c r="G2955" s="1" t="inlineStr">
        <is>
          <t>Электрослесарь (слесарь) дежурный и по ремонту оборудования</t>
        </is>
      </c>
      <c r="H2955" s="1" t="inlineStr">
        <is>
          <t>ООО "Амур Золото"</t>
        </is>
      </c>
      <c r="I2955" s="1" t="inlineStr">
        <is>
          <t>2708001686</t>
        </is>
      </c>
      <c r="J2955" s="1" t="inlineStr">
        <is>
          <t>ЮГОК ПГУ 26-32</t>
        </is>
      </c>
      <c r="K2955" s="1" t="inlineStr">
        <is>
          <t>Оказание первой помощи пострадавшим</t>
        </is>
      </c>
      <c r="L2955" s="1" t="inlineStr">
        <is>
          <t>28.07.2026</t>
        </is>
      </c>
      <c r="M2955" s="1" t="inlineStr">
        <is>
          <t>Успешно</t>
        </is>
      </c>
      <c r="N2955" s="1" t="inlineStr">
        <is>
          <t>11.08.2026</t>
        </is>
      </c>
      <c r="O2955" s="1" t="inlineStr"/>
      <c r="P2955" s="1" t="inlineStr"/>
      <c r="Q2955" s="1" t="inlineStr">
        <is>
          <t>Пользовательский интерфейс</t>
        </is>
      </c>
    </row>
    <row r="2956">
      <c r="B2956" s="1" t="inlineStr">
        <is>
          <t>214421463</t>
        </is>
      </c>
      <c r="C2956" s="1" t="inlineStr">
        <is>
          <t>15411209</t>
        </is>
      </c>
      <c r="D2956" t="inlineStr">
        <is>
          <t>работник 782</t>
        </is>
      </c>
      <c r="E2956" s="1" t="inlineStr">
        <is>
          <t>ОБЩЕСТВО С ОГРАНИЧЕННОЙ ОТВЕТСТВЕННОСТЬЮ "АМУР ЗОЛОТО"</t>
        </is>
      </c>
      <c r="F2956" s="1" t="inlineStr">
        <is>
          <t>2708001686</t>
        </is>
      </c>
      <c r="G2956" s="1" t="inlineStr">
        <is>
          <t>Электрослесарь (слесарь) дежурный и по ремонту оборудования</t>
        </is>
      </c>
      <c r="H2956" s="1" t="inlineStr">
        <is>
          <t>ООО "Амур Золото"</t>
        </is>
      </c>
      <c r="I2956" s="1" t="inlineStr">
        <is>
          <t>2708001686</t>
        </is>
      </c>
      <c r="J2956" s="1" t="inlineStr">
        <is>
          <t>ЮГОК ПГУ 26-32</t>
        </is>
      </c>
      <c r="K2956" s="1" t="inlineStr">
        <is>
          <t>Использование (применение) средств индивидуальной защиты</t>
        </is>
      </c>
      <c r="L2956" s="1" t="inlineStr">
        <is>
          <t>28.07.2026</t>
        </is>
      </c>
      <c r="M2956" s="1" t="inlineStr">
        <is>
          <t>Успешно</t>
        </is>
      </c>
      <c r="N2956" s="1" t="inlineStr">
        <is>
          <t>11.08.2026</t>
        </is>
      </c>
      <c r="O2956" s="1" t="inlineStr"/>
      <c r="P2956" s="1" t="inlineStr"/>
      <c r="Q2956" s="1" t="inlineStr">
        <is>
          <t>Пользовательский интерфейс</t>
        </is>
      </c>
    </row>
    <row r="2957">
      <c r="B2957" s="1" t="inlineStr">
        <is>
          <t>214421464</t>
        </is>
      </c>
      <c r="C2957" s="1" t="inlineStr">
        <is>
          <t>15411209</t>
        </is>
      </c>
      <c r="D2957" t="inlineStr">
        <is>
          <t>работник 782</t>
        </is>
      </c>
      <c r="E2957" s="1" t="inlineStr">
        <is>
          <t>ОБЩЕСТВО С ОГРАНИЧЕННОЙ ОТВЕТСТВЕННОСТЬЮ "АМУР ЗОЛОТО"</t>
        </is>
      </c>
      <c r="F2957" s="1" t="inlineStr">
        <is>
          <t>2708001686</t>
        </is>
      </c>
      <c r="G2957" s="1" t="inlineStr">
        <is>
          <t>Электрослесарь (слесарь) дежурный и по ремонту оборудования</t>
        </is>
      </c>
      <c r="H2957" s="1" t="inlineStr">
        <is>
          <t>ООО "Амур Золото"</t>
        </is>
      </c>
      <c r="I2957" s="1" t="inlineStr">
        <is>
          <t>2708001686</t>
        </is>
      </c>
      <c r="J2957" s="1" t="inlineStr">
        <is>
          <t>ЮГОК ПГУ 26-32</t>
        </is>
      </c>
      <c r="K295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957" s="1" t="inlineStr">
        <is>
          <t>28.07.2026</t>
        </is>
      </c>
      <c r="M2957" s="1" t="inlineStr">
        <is>
          <t>Успешно</t>
        </is>
      </c>
      <c r="N2957" s="1" t="inlineStr">
        <is>
          <t>11.08.2026</t>
        </is>
      </c>
      <c r="O2957" s="1" t="inlineStr"/>
      <c r="P2957" s="1" t="inlineStr"/>
      <c r="Q2957" s="1" t="inlineStr">
        <is>
          <t>Пользовательский интерфейс</t>
        </is>
      </c>
    </row>
    <row r="2958">
      <c r="B2958" s="1" t="inlineStr">
        <is>
          <t>214421465</t>
        </is>
      </c>
      <c r="C2958" s="1" t="inlineStr">
        <is>
          <t>15411209</t>
        </is>
      </c>
      <c r="D2958" t="inlineStr">
        <is>
          <t>работник 666</t>
        </is>
      </c>
      <c r="E2958" s="1" t="inlineStr">
        <is>
          <t>ОБЩЕСТВО С ОГРАНИЧЕННОЙ ОТВЕТСТВЕННОСТЬЮ "АМУР ЗОЛОТО"</t>
        </is>
      </c>
      <c r="F2958" s="1" t="inlineStr">
        <is>
          <t>2708001686</t>
        </is>
      </c>
      <c r="G2958" s="1" t="inlineStr">
        <is>
          <t>Электрослесарь (слесарь) дежурный и по ремонту оборудования</t>
        </is>
      </c>
      <c r="H2958" s="1" t="inlineStr">
        <is>
          <t>ООО "Амур Золото"</t>
        </is>
      </c>
      <c r="I2958" s="1" t="inlineStr">
        <is>
          <t>2708001686</t>
        </is>
      </c>
      <c r="J2958" s="1" t="inlineStr">
        <is>
          <t>ЮГОК ПГУ 26-32</t>
        </is>
      </c>
      <c r="K2958" s="1" t="inlineStr">
        <is>
          <t>Оказание первой помощи пострадавшим</t>
        </is>
      </c>
      <c r="L2958" s="1" t="inlineStr">
        <is>
          <t>28.07.2026</t>
        </is>
      </c>
      <c r="M2958" s="1" t="inlineStr">
        <is>
          <t>Успешно</t>
        </is>
      </c>
      <c r="N2958" s="1" t="inlineStr">
        <is>
          <t>11.08.2026</t>
        </is>
      </c>
      <c r="O2958" s="1" t="inlineStr"/>
      <c r="P2958" s="1" t="inlineStr"/>
      <c r="Q2958" s="1" t="inlineStr">
        <is>
          <t>Пользовательский интерфейс</t>
        </is>
      </c>
    </row>
    <row r="2959">
      <c r="B2959" s="1" t="inlineStr">
        <is>
          <t>214421466</t>
        </is>
      </c>
      <c r="C2959" s="1" t="inlineStr">
        <is>
          <t>15411209</t>
        </is>
      </c>
      <c r="D2959" t="inlineStr">
        <is>
          <t>работник 666</t>
        </is>
      </c>
      <c r="E2959" s="1" t="inlineStr">
        <is>
          <t>ОБЩЕСТВО С ОГРАНИЧЕННОЙ ОТВЕТСТВЕННОСТЬЮ "АМУР ЗОЛОТО"</t>
        </is>
      </c>
      <c r="F2959" s="1" t="inlineStr">
        <is>
          <t>2708001686</t>
        </is>
      </c>
      <c r="G2959" s="1" t="inlineStr">
        <is>
          <t>Электрослесарь (слесарь) дежурный и по ремонту оборудования</t>
        </is>
      </c>
      <c r="H2959" s="1" t="inlineStr">
        <is>
          <t>ООО "Амур Золото"</t>
        </is>
      </c>
      <c r="I2959" s="1" t="inlineStr">
        <is>
          <t>2708001686</t>
        </is>
      </c>
      <c r="J2959" s="1" t="inlineStr">
        <is>
          <t>ЮГОК ПГУ 26-32</t>
        </is>
      </c>
      <c r="K2959" s="1" t="inlineStr">
        <is>
          <t>Использование (применение) средств индивидуальной защиты</t>
        </is>
      </c>
      <c r="L2959" s="1" t="inlineStr">
        <is>
          <t>28.07.2026</t>
        </is>
      </c>
      <c r="M2959" s="1" t="inlineStr">
        <is>
          <t>Успешно</t>
        </is>
      </c>
      <c r="N2959" s="1" t="inlineStr">
        <is>
          <t>11.08.2026</t>
        </is>
      </c>
      <c r="O2959" s="1" t="inlineStr"/>
      <c r="P2959" s="1" t="inlineStr"/>
      <c r="Q2959" s="1" t="inlineStr">
        <is>
          <t>Пользовательский интерфейс</t>
        </is>
      </c>
    </row>
    <row r="2960">
      <c r="B2960" s="1" t="inlineStr">
        <is>
          <t>214421467</t>
        </is>
      </c>
      <c r="C2960" s="1" t="inlineStr">
        <is>
          <t>15411209</t>
        </is>
      </c>
      <c r="D2960" t="inlineStr">
        <is>
          <t>работник 666</t>
        </is>
      </c>
      <c r="E2960" s="1" t="inlineStr">
        <is>
          <t>ОБЩЕСТВО С ОГРАНИЧЕННОЙ ОТВЕТСТВЕННОСТЬЮ "АМУР ЗОЛОТО"</t>
        </is>
      </c>
      <c r="F2960" s="1" t="inlineStr">
        <is>
          <t>2708001686</t>
        </is>
      </c>
      <c r="G2960" s="1" t="inlineStr">
        <is>
          <t>Электрослесарь (слесарь) дежурный и по ремонту оборудования</t>
        </is>
      </c>
      <c r="H2960" s="1" t="inlineStr">
        <is>
          <t>ООО "Амур Золото"</t>
        </is>
      </c>
      <c r="I2960" s="1" t="inlineStr">
        <is>
          <t>2708001686</t>
        </is>
      </c>
      <c r="J2960" s="1" t="inlineStr">
        <is>
          <t>ЮГОК ПГУ 26-32</t>
        </is>
      </c>
      <c r="K296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960" s="1" t="inlineStr">
        <is>
          <t>28.07.2026</t>
        </is>
      </c>
      <c r="M2960" s="1" t="inlineStr">
        <is>
          <t>Успешно</t>
        </is>
      </c>
      <c r="N2960" s="1" t="inlineStr">
        <is>
          <t>11.08.2026</t>
        </is>
      </c>
      <c r="O2960" s="1" t="inlineStr"/>
      <c r="P2960" s="1" t="inlineStr"/>
      <c r="Q2960" s="1" t="inlineStr">
        <is>
          <t>Пользовательский интерфейс</t>
        </is>
      </c>
    </row>
    <row r="2961">
      <c r="B2961" s="1" t="inlineStr">
        <is>
          <t>214421468</t>
        </is>
      </c>
      <c r="C2961" s="1" t="inlineStr">
        <is>
          <t>15411209</t>
        </is>
      </c>
      <c r="D2961" t="inlineStr">
        <is>
          <t>работник 147</t>
        </is>
      </c>
      <c r="E2961" s="1" t="inlineStr">
        <is>
          <t>ОБЩЕСТВО С ОГРАНИЧЕННОЙ ОТВЕТСТВЕННОСТЬЮ "АМУР ЗОЛОТО"</t>
        </is>
      </c>
      <c r="F2961" s="1" t="inlineStr">
        <is>
          <t>2708001686</t>
        </is>
      </c>
      <c r="G2961" s="1" t="inlineStr">
        <is>
          <t>Крепильщик</t>
        </is>
      </c>
      <c r="H2961" s="1" t="inlineStr">
        <is>
          <t>ООО "Амур Золото"</t>
        </is>
      </c>
      <c r="I2961" s="1" t="inlineStr">
        <is>
          <t>2708001686</t>
        </is>
      </c>
      <c r="J2961" s="1" t="inlineStr">
        <is>
          <t>ЮГОК ПГУ 26-33</t>
        </is>
      </c>
      <c r="K2961" s="1" t="inlineStr">
        <is>
          <t>Оказание первой помощи пострадавшим</t>
        </is>
      </c>
      <c r="L2961" s="1" t="inlineStr">
        <is>
          <t>24.07.2026</t>
        </is>
      </c>
      <c r="M2961" s="1" t="inlineStr">
        <is>
          <t>Успешно</t>
        </is>
      </c>
      <c r="N2961" s="1" t="inlineStr">
        <is>
          <t>11.08.2026</t>
        </is>
      </c>
      <c r="O2961" s="1" t="inlineStr"/>
      <c r="P2961" s="1" t="inlineStr"/>
      <c r="Q2961" s="1" t="inlineStr">
        <is>
          <t>Пользовательский интерфейс</t>
        </is>
      </c>
    </row>
    <row r="2962">
      <c r="B2962" s="1" t="inlineStr">
        <is>
          <t>214421469</t>
        </is>
      </c>
      <c r="C2962" s="1" t="inlineStr">
        <is>
          <t>15411209</t>
        </is>
      </c>
      <c r="D2962" t="inlineStr">
        <is>
          <t>работник 147</t>
        </is>
      </c>
      <c r="E2962" s="1" t="inlineStr">
        <is>
          <t>ОБЩЕСТВО С ОГРАНИЧЕННОЙ ОТВЕТСТВЕННОСТЬЮ "АМУР ЗОЛОТО"</t>
        </is>
      </c>
      <c r="F2962" s="1" t="inlineStr">
        <is>
          <t>2708001686</t>
        </is>
      </c>
      <c r="G2962" s="1" t="inlineStr">
        <is>
          <t>Крепильщик</t>
        </is>
      </c>
      <c r="H2962" s="1" t="inlineStr">
        <is>
          <t>ООО "Амур Золото"</t>
        </is>
      </c>
      <c r="I2962" s="1" t="inlineStr">
        <is>
          <t>2708001686</t>
        </is>
      </c>
      <c r="J2962" s="1" t="inlineStr">
        <is>
          <t>ЮГОК ПГУ 26-33</t>
        </is>
      </c>
      <c r="K2962" s="1" t="inlineStr">
        <is>
          <t>Использование (применение) средств индивидуальной защиты</t>
        </is>
      </c>
      <c r="L2962" s="1" t="inlineStr">
        <is>
          <t>24.07.2026</t>
        </is>
      </c>
      <c r="M2962" s="1" t="inlineStr">
        <is>
          <t>Успешно</t>
        </is>
      </c>
      <c r="N2962" s="1" t="inlineStr">
        <is>
          <t>11.08.2026</t>
        </is>
      </c>
      <c r="O2962" s="1" t="inlineStr"/>
      <c r="P2962" s="1" t="inlineStr"/>
      <c r="Q2962" s="1" t="inlineStr">
        <is>
          <t>Пользовательский интерфейс</t>
        </is>
      </c>
    </row>
    <row r="2963">
      <c r="B2963" s="1" t="inlineStr">
        <is>
          <t>214421470</t>
        </is>
      </c>
      <c r="C2963" s="1" t="inlineStr">
        <is>
          <t>15411209</t>
        </is>
      </c>
      <c r="D2963" t="inlineStr">
        <is>
          <t>работник 147</t>
        </is>
      </c>
      <c r="E2963" s="1" t="inlineStr">
        <is>
          <t>ОБЩЕСТВО С ОГРАНИЧЕННОЙ ОТВЕТСТВЕННОСТЬЮ "АМУР ЗОЛОТО"</t>
        </is>
      </c>
      <c r="F2963" s="1" t="inlineStr">
        <is>
          <t>2708001686</t>
        </is>
      </c>
      <c r="G2963" s="1" t="inlineStr">
        <is>
          <t>Крепильщик</t>
        </is>
      </c>
      <c r="H2963" s="1" t="inlineStr">
        <is>
          <t>ООО "Амур Золото"</t>
        </is>
      </c>
      <c r="I2963" s="1" t="inlineStr">
        <is>
          <t>2708001686</t>
        </is>
      </c>
      <c r="J2963" s="1" t="inlineStr">
        <is>
          <t>ЮГОК ПГУ 26-33</t>
        </is>
      </c>
      <c r="K296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963" s="1" t="inlineStr">
        <is>
          <t>24.07.2026</t>
        </is>
      </c>
      <c r="M2963" s="1" t="inlineStr">
        <is>
          <t>Успешно</t>
        </is>
      </c>
      <c r="N2963" s="1" t="inlineStr">
        <is>
          <t>11.08.2026</t>
        </is>
      </c>
      <c r="O2963" s="1" t="inlineStr"/>
      <c r="P2963" s="1" t="inlineStr"/>
      <c r="Q2963" s="1" t="inlineStr">
        <is>
          <t>Пользовательский интерфейс</t>
        </is>
      </c>
    </row>
    <row r="2964">
      <c r="B2964" s="1" t="inlineStr">
        <is>
          <t>214421471</t>
        </is>
      </c>
      <c r="C2964" s="1" t="inlineStr">
        <is>
          <t>15411209</t>
        </is>
      </c>
      <c r="D2964" t="inlineStr">
        <is>
          <t>работник 849</t>
        </is>
      </c>
      <c r="E2964" s="1" t="inlineStr">
        <is>
          <t>ОБЩЕСТВО С ОГРАНИЧЕННОЙ ОТВЕТСТВЕННОСТЬЮ "АМУР ЗОЛОТО"</t>
        </is>
      </c>
      <c r="F2964" s="1" t="inlineStr">
        <is>
          <t>2708001686</t>
        </is>
      </c>
      <c r="G2964" s="1" t="inlineStr">
        <is>
          <t>Крепильщик</t>
        </is>
      </c>
      <c r="H2964" s="1" t="inlineStr">
        <is>
          <t>ООО "Амур Золото"</t>
        </is>
      </c>
      <c r="I2964" s="1" t="inlineStr">
        <is>
          <t>2708001686</t>
        </is>
      </c>
      <c r="J2964" s="1" t="inlineStr">
        <is>
          <t>ЮГОК ПГУ 26-33</t>
        </is>
      </c>
      <c r="K2964" s="1" t="inlineStr">
        <is>
          <t>Оказание первой помощи пострадавшим</t>
        </is>
      </c>
      <c r="L2964" s="1" t="inlineStr">
        <is>
          <t>24.07.2026</t>
        </is>
      </c>
      <c r="M2964" s="1" t="inlineStr">
        <is>
          <t>Успешно</t>
        </is>
      </c>
      <c r="N2964" s="1" t="inlineStr">
        <is>
          <t>11.08.2026</t>
        </is>
      </c>
      <c r="O2964" s="1" t="inlineStr"/>
      <c r="P2964" s="1" t="inlineStr"/>
      <c r="Q2964" s="1" t="inlineStr">
        <is>
          <t>Пользовательский интерфейс</t>
        </is>
      </c>
    </row>
    <row r="2965">
      <c r="B2965" s="1" t="inlineStr">
        <is>
          <t>214421472</t>
        </is>
      </c>
      <c r="C2965" s="1" t="inlineStr">
        <is>
          <t>15411209</t>
        </is>
      </c>
      <c r="D2965" t="inlineStr">
        <is>
          <t>работник 849</t>
        </is>
      </c>
      <c r="E2965" s="1" t="inlineStr">
        <is>
          <t>ОБЩЕСТВО С ОГРАНИЧЕННОЙ ОТВЕТСТВЕННОСТЬЮ "АМУР ЗОЛОТО"</t>
        </is>
      </c>
      <c r="F2965" s="1" t="inlineStr">
        <is>
          <t>2708001686</t>
        </is>
      </c>
      <c r="G2965" s="1" t="inlineStr">
        <is>
          <t>Крепильщик</t>
        </is>
      </c>
      <c r="H2965" s="1" t="inlineStr">
        <is>
          <t>ООО "Амур Золото"</t>
        </is>
      </c>
      <c r="I2965" s="1" t="inlineStr">
        <is>
          <t>2708001686</t>
        </is>
      </c>
      <c r="J2965" s="1" t="inlineStr">
        <is>
          <t>ЮГОК ПГУ 26-33</t>
        </is>
      </c>
      <c r="K2965" s="1" t="inlineStr">
        <is>
          <t>Использование (применение) средств индивидуальной защиты</t>
        </is>
      </c>
      <c r="L2965" s="1" t="inlineStr">
        <is>
          <t>24.07.2026</t>
        </is>
      </c>
      <c r="M2965" s="1" t="inlineStr">
        <is>
          <t>Успешно</t>
        </is>
      </c>
      <c r="N2965" s="1" t="inlineStr">
        <is>
          <t>11.08.2026</t>
        </is>
      </c>
      <c r="O2965" s="1" t="inlineStr"/>
      <c r="P2965" s="1" t="inlineStr"/>
      <c r="Q2965" s="1" t="inlineStr">
        <is>
          <t>Пользовательский интерфейс</t>
        </is>
      </c>
    </row>
    <row r="2966">
      <c r="B2966" s="1" t="inlineStr">
        <is>
          <t>214421473</t>
        </is>
      </c>
      <c r="C2966" s="1" t="inlineStr">
        <is>
          <t>15411209</t>
        </is>
      </c>
      <c r="D2966" t="inlineStr">
        <is>
          <t>работник 849</t>
        </is>
      </c>
      <c r="E2966" s="1" t="inlineStr">
        <is>
          <t>ОБЩЕСТВО С ОГРАНИЧЕННОЙ ОТВЕТСТВЕННОСТЬЮ "АМУР ЗОЛОТО"</t>
        </is>
      </c>
      <c r="F2966" s="1" t="inlineStr">
        <is>
          <t>2708001686</t>
        </is>
      </c>
      <c r="G2966" s="1" t="inlineStr">
        <is>
          <t>Крепильщик</t>
        </is>
      </c>
      <c r="H2966" s="1" t="inlineStr">
        <is>
          <t>ООО "Амур Золото"</t>
        </is>
      </c>
      <c r="I2966" s="1" t="inlineStr">
        <is>
          <t>2708001686</t>
        </is>
      </c>
      <c r="J2966" s="1" t="inlineStr">
        <is>
          <t>ЮГОК ПГУ 26-33</t>
        </is>
      </c>
      <c r="K296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966" s="1" t="inlineStr">
        <is>
          <t>24.07.2026</t>
        </is>
      </c>
      <c r="M2966" s="1" t="inlineStr">
        <is>
          <t>Успешно</t>
        </is>
      </c>
      <c r="N2966" s="1" t="inlineStr">
        <is>
          <t>11.08.2026</t>
        </is>
      </c>
      <c r="O2966" s="1" t="inlineStr"/>
      <c r="P2966" s="1" t="inlineStr"/>
      <c r="Q2966" s="1" t="inlineStr">
        <is>
          <t>Пользовательский интерфейс</t>
        </is>
      </c>
    </row>
    <row r="2967">
      <c r="B2967" s="1" t="inlineStr">
        <is>
          <t>214421474</t>
        </is>
      </c>
      <c r="C2967" s="1" t="inlineStr">
        <is>
          <t>15411209</t>
        </is>
      </c>
      <c r="D2967" t="inlineStr">
        <is>
          <t>работник 375</t>
        </is>
      </c>
      <c r="E2967" s="1" t="inlineStr">
        <is>
          <t>ОБЩЕСТВО С ОГРАНИЧЕННОЙ ОТВЕТСТВЕННОСТЬЮ "АМУР ЗОЛОТО"</t>
        </is>
      </c>
      <c r="F2967" s="1" t="inlineStr">
        <is>
          <t>2708001686</t>
        </is>
      </c>
      <c r="G2967" s="1" t="inlineStr">
        <is>
          <t>Крепильщик</t>
        </is>
      </c>
      <c r="H2967" s="1" t="inlineStr">
        <is>
          <t>ООО "Амур Золото"</t>
        </is>
      </c>
      <c r="I2967" s="1" t="inlineStr">
        <is>
          <t>2708001686</t>
        </is>
      </c>
      <c r="J2967" s="1" t="inlineStr">
        <is>
          <t>ЮГОК ПГУ 26-33</t>
        </is>
      </c>
      <c r="K2967" s="1" t="inlineStr">
        <is>
          <t>Оказание первой помощи пострадавшим</t>
        </is>
      </c>
      <c r="L2967" s="1" t="inlineStr">
        <is>
          <t>24.07.2026</t>
        </is>
      </c>
      <c r="M2967" s="1" t="inlineStr">
        <is>
          <t>Успешно</t>
        </is>
      </c>
      <c r="N2967" s="1" t="inlineStr">
        <is>
          <t>11.08.2026</t>
        </is>
      </c>
      <c r="O2967" s="1" t="inlineStr"/>
      <c r="P2967" s="1" t="inlineStr"/>
      <c r="Q2967" s="1" t="inlineStr">
        <is>
          <t>Пользовательский интерфейс</t>
        </is>
      </c>
    </row>
    <row r="2968">
      <c r="B2968" s="1" t="inlineStr">
        <is>
          <t>214421475</t>
        </is>
      </c>
      <c r="C2968" s="1" t="inlineStr">
        <is>
          <t>15411209</t>
        </is>
      </c>
      <c r="D2968" t="inlineStr">
        <is>
          <t>работник 375</t>
        </is>
      </c>
      <c r="E2968" s="1" t="inlineStr">
        <is>
          <t>ОБЩЕСТВО С ОГРАНИЧЕННОЙ ОТВЕТСТВЕННОСТЬЮ "АМУР ЗОЛОТО"</t>
        </is>
      </c>
      <c r="F2968" s="1" t="inlineStr">
        <is>
          <t>2708001686</t>
        </is>
      </c>
      <c r="G2968" s="1" t="inlineStr">
        <is>
          <t>Крепильщик</t>
        </is>
      </c>
      <c r="H2968" s="1" t="inlineStr">
        <is>
          <t>ООО "Амур Золото"</t>
        </is>
      </c>
      <c r="I2968" s="1" t="inlineStr">
        <is>
          <t>2708001686</t>
        </is>
      </c>
      <c r="J2968" s="1" t="inlineStr">
        <is>
          <t>ЮГОК ПГУ 26-33</t>
        </is>
      </c>
      <c r="K2968" s="1" t="inlineStr">
        <is>
          <t>Использование (применение) средств индивидуальной защиты</t>
        </is>
      </c>
      <c r="L2968" s="1" t="inlineStr">
        <is>
          <t>24.07.2026</t>
        </is>
      </c>
      <c r="M2968" s="1" t="inlineStr">
        <is>
          <t>Успешно</t>
        </is>
      </c>
      <c r="N2968" s="1" t="inlineStr">
        <is>
          <t>11.08.2026</t>
        </is>
      </c>
      <c r="O2968" s="1" t="inlineStr"/>
      <c r="P2968" s="1" t="inlineStr"/>
      <c r="Q2968" s="1" t="inlineStr">
        <is>
          <t>Пользовательский интерфейс</t>
        </is>
      </c>
    </row>
    <row r="2969">
      <c r="B2969" s="1" t="inlineStr">
        <is>
          <t>214421476</t>
        </is>
      </c>
      <c r="C2969" s="1" t="inlineStr">
        <is>
          <t>15411209</t>
        </is>
      </c>
      <c r="D2969" t="inlineStr">
        <is>
          <t>работник 850</t>
        </is>
      </c>
      <c r="E2969" s="1" t="inlineStr">
        <is>
          <t>ОБЩЕСТВО С ОГРАНИЧЕННОЙ ОТВЕТСТВЕННОСТЬЮ "АМУР ЗОЛОТО"</t>
        </is>
      </c>
      <c r="F2969" s="1" t="inlineStr">
        <is>
          <t>2708001686</t>
        </is>
      </c>
      <c r="G2969" s="1" t="inlineStr">
        <is>
          <t>Электрогазосварщик (занятый на резке и ручной сварке)</t>
        </is>
      </c>
      <c r="H2969" s="1" t="inlineStr">
        <is>
          <t>ООО "Амур Золото"</t>
        </is>
      </c>
      <c r="I2969" s="1" t="inlineStr">
        <is>
          <t>2708001686</t>
        </is>
      </c>
      <c r="J2969" s="1" t="inlineStr">
        <is>
          <t>ЮГОК ПГУ 26-34</t>
        </is>
      </c>
      <c r="K2969" s="1" t="inlineStr">
        <is>
          <t>Оказание первой помощи пострадавшим</t>
        </is>
      </c>
      <c r="L2969" s="1" t="inlineStr">
        <is>
          <t>23.07.2026</t>
        </is>
      </c>
      <c r="M2969" s="1" t="inlineStr">
        <is>
          <t>Успешно</t>
        </is>
      </c>
      <c r="N2969" s="1" t="inlineStr">
        <is>
          <t>11.08.2026</t>
        </is>
      </c>
      <c r="O2969" s="1" t="inlineStr"/>
      <c r="P2969" s="1" t="inlineStr"/>
      <c r="Q2969" s="1" t="inlineStr">
        <is>
          <t>Пользовательский интерфейс</t>
        </is>
      </c>
    </row>
    <row r="2970">
      <c r="B2970" s="1" t="inlineStr">
        <is>
          <t>214421477</t>
        </is>
      </c>
      <c r="C2970" s="1" t="inlineStr">
        <is>
          <t>15411209</t>
        </is>
      </c>
      <c r="D2970" t="inlineStr">
        <is>
          <t>работник 850</t>
        </is>
      </c>
      <c r="E2970" s="1" t="inlineStr">
        <is>
          <t>ОБЩЕСТВО С ОГРАНИЧЕННОЙ ОТВЕТСТВЕННОСТЬЮ "АМУР ЗОЛОТО"</t>
        </is>
      </c>
      <c r="F2970" s="1" t="inlineStr">
        <is>
          <t>2708001686</t>
        </is>
      </c>
      <c r="G2970" s="1" t="inlineStr">
        <is>
          <t>Электрогазосварщик (занятый на резке и ручной сварке)</t>
        </is>
      </c>
      <c r="H2970" s="1" t="inlineStr">
        <is>
          <t>ООО "Амур Золото"</t>
        </is>
      </c>
      <c r="I2970" s="1" t="inlineStr">
        <is>
          <t>2708001686</t>
        </is>
      </c>
      <c r="J2970" s="1" t="inlineStr">
        <is>
          <t>ЮГОК ПГУ 26-34</t>
        </is>
      </c>
      <c r="K2970" s="1" t="inlineStr">
        <is>
          <t>Использование (применение) средств индивидуальной защиты</t>
        </is>
      </c>
      <c r="L2970" s="1" t="inlineStr">
        <is>
          <t>23.07.2026</t>
        </is>
      </c>
      <c r="M2970" s="1" t="inlineStr">
        <is>
          <t>Успешно</t>
        </is>
      </c>
      <c r="N2970" s="1" t="inlineStr">
        <is>
          <t>11.08.2026</t>
        </is>
      </c>
      <c r="O2970" s="1" t="inlineStr"/>
      <c r="P2970" s="1" t="inlineStr"/>
      <c r="Q2970" s="1" t="inlineStr">
        <is>
          <t>Пользовательский интерфейс</t>
        </is>
      </c>
    </row>
    <row r="2971">
      <c r="B2971" s="1" t="inlineStr">
        <is>
          <t>214421478</t>
        </is>
      </c>
      <c r="C2971" s="1" t="inlineStr">
        <is>
          <t>15411209</t>
        </is>
      </c>
      <c r="D2971" t="inlineStr">
        <is>
          <t>работник 850</t>
        </is>
      </c>
      <c r="E2971" s="1" t="inlineStr">
        <is>
          <t>ОБЩЕСТВО С ОГРАНИЧЕННОЙ ОТВЕТСТВЕННОСТЬЮ "АМУР ЗОЛОТО"</t>
        </is>
      </c>
      <c r="F2971" s="1" t="inlineStr">
        <is>
          <t>2708001686</t>
        </is>
      </c>
      <c r="G2971" s="1" t="inlineStr">
        <is>
          <t>Электрогазосварщик (занятый на резке и ручной сварке)</t>
        </is>
      </c>
      <c r="H2971" s="1" t="inlineStr">
        <is>
          <t>ООО "Амур Золото"</t>
        </is>
      </c>
      <c r="I2971" s="1" t="inlineStr">
        <is>
          <t>2708001686</t>
        </is>
      </c>
      <c r="J2971" s="1" t="inlineStr">
        <is>
          <t>ЮГОК ПГУ 26-34</t>
        </is>
      </c>
      <c r="K297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971" s="1" t="inlineStr">
        <is>
          <t>23.07.2026</t>
        </is>
      </c>
      <c r="M2971" s="1" t="inlineStr">
        <is>
          <t>Успешно</t>
        </is>
      </c>
      <c r="N2971" s="1" t="inlineStr">
        <is>
          <t>11.08.2026</t>
        </is>
      </c>
      <c r="O2971" s="1" t="inlineStr"/>
      <c r="P2971" s="1" t="inlineStr"/>
      <c r="Q2971" s="1" t="inlineStr">
        <is>
          <t>Пользовательский интерфейс</t>
        </is>
      </c>
    </row>
    <row r="2972">
      <c r="B2972" s="1" t="inlineStr">
        <is>
          <t>214421479</t>
        </is>
      </c>
      <c r="C2972" s="1" t="inlineStr">
        <is>
          <t>15411209</t>
        </is>
      </c>
      <c r="D2972" t="inlineStr">
        <is>
          <t>работник 850</t>
        </is>
      </c>
      <c r="E2972" s="1" t="inlineStr">
        <is>
          <t>ОБЩЕСТВО С ОГРАНИЧЕННОЙ ОТВЕТСТВЕННОСТЬЮ "АМУР ЗОЛОТО"</t>
        </is>
      </c>
      <c r="F2972" s="1" t="inlineStr">
        <is>
          <t>2708001686</t>
        </is>
      </c>
      <c r="G2972" s="1" t="inlineStr">
        <is>
          <t>Электрогазосварщик (занятый на резке и ручной сварке)</t>
        </is>
      </c>
      <c r="H2972" s="1" t="inlineStr">
        <is>
          <t>ООО "Амур Золото"</t>
        </is>
      </c>
      <c r="I2972" s="1" t="inlineStr">
        <is>
          <t>2708001686</t>
        </is>
      </c>
      <c r="J2972" s="1" t="inlineStr">
        <is>
          <t>ЮГОК ПГУ 26-34</t>
        </is>
      </c>
      <c r="K2972" s="1" t="inlineStr">
        <is>
          <t>Безопасные методы и приемы выполнения огневых работ</t>
        </is>
      </c>
      <c r="L2972" s="1" t="inlineStr">
        <is>
          <t>23.07.2026</t>
        </is>
      </c>
      <c r="M2972" s="1" t="inlineStr">
        <is>
          <t>Успешно</t>
        </is>
      </c>
      <c r="N2972" s="1" t="inlineStr">
        <is>
          <t>11.08.2026</t>
        </is>
      </c>
      <c r="O2972" s="1" t="inlineStr"/>
      <c r="P2972" s="1" t="inlineStr"/>
      <c r="Q2972" s="1" t="inlineStr">
        <is>
          <t>Пользовательский интерфейс</t>
        </is>
      </c>
    </row>
    <row r="2973">
      <c r="B2973" s="1" t="inlineStr">
        <is>
          <t>214421480</t>
        </is>
      </c>
      <c r="C2973" s="1" t="inlineStr">
        <is>
          <t>15411209</t>
        </is>
      </c>
      <c r="D2973" t="inlineStr">
        <is>
          <t>работник 507</t>
        </is>
      </c>
      <c r="E2973" s="1" t="inlineStr">
        <is>
          <t>ОБЩЕСТВО С ОГРАНИЧЕННОЙ ОТВЕТСТВЕННОСТЬЮ "АМУР ЗОЛОТО"</t>
        </is>
      </c>
      <c r="F2973" s="1" t="inlineStr">
        <is>
          <t>2708001686</t>
        </is>
      </c>
      <c r="G2973" s="1" t="inlineStr">
        <is>
          <t>Электрогазосварщик (занятый на резке и ручной сварке)</t>
        </is>
      </c>
      <c r="H2973" s="1" t="inlineStr">
        <is>
          <t>ООО "Амур Золото"</t>
        </is>
      </c>
      <c r="I2973" s="1" t="inlineStr">
        <is>
          <t>2708001686</t>
        </is>
      </c>
      <c r="J2973" s="1" t="inlineStr">
        <is>
          <t>ЮГОК ПГУ 26-34</t>
        </is>
      </c>
      <c r="K2973" s="1" t="inlineStr">
        <is>
          <t>Оказание первой помощи пострадавшим</t>
        </is>
      </c>
      <c r="L2973" s="1" t="inlineStr">
        <is>
          <t>23.07.2026</t>
        </is>
      </c>
      <c r="M2973" s="1" t="inlineStr">
        <is>
          <t>Успешно</t>
        </is>
      </c>
      <c r="N2973" s="1" t="inlineStr">
        <is>
          <t>11.08.2026</t>
        </is>
      </c>
      <c r="O2973" s="1" t="inlineStr"/>
      <c r="P2973" s="1" t="inlineStr"/>
      <c r="Q2973" s="1" t="inlineStr">
        <is>
          <t>Пользовательский интерфейс</t>
        </is>
      </c>
    </row>
    <row r="2974">
      <c r="B2974" s="1" t="inlineStr">
        <is>
          <t>214421481</t>
        </is>
      </c>
      <c r="C2974" s="1" t="inlineStr">
        <is>
          <t>15411209</t>
        </is>
      </c>
      <c r="D2974" t="inlineStr">
        <is>
          <t>работник 507</t>
        </is>
      </c>
      <c r="E2974" s="1" t="inlineStr">
        <is>
          <t>ОБЩЕСТВО С ОГРАНИЧЕННОЙ ОТВЕТСТВЕННОСТЬЮ "АМУР ЗОЛОТО"</t>
        </is>
      </c>
      <c r="F2974" s="1" t="inlineStr">
        <is>
          <t>2708001686</t>
        </is>
      </c>
      <c r="G2974" s="1" t="inlineStr">
        <is>
          <t>Электрогазосварщик (занятый на резке и ручной сварке)</t>
        </is>
      </c>
      <c r="H2974" s="1" t="inlineStr">
        <is>
          <t>ООО "Амур Золото"</t>
        </is>
      </c>
      <c r="I2974" s="1" t="inlineStr">
        <is>
          <t>2708001686</t>
        </is>
      </c>
      <c r="J2974" s="1" t="inlineStr">
        <is>
          <t>ЮГОК ПГУ 26-34</t>
        </is>
      </c>
      <c r="K2974" s="1" t="inlineStr">
        <is>
          <t>Использование (применение) средств индивидуальной защиты</t>
        </is>
      </c>
      <c r="L2974" s="1" t="inlineStr">
        <is>
          <t>23.07.2026</t>
        </is>
      </c>
      <c r="M2974" s="1" t="inlineStr">
        <is>
          <t>Успешно</t>
        </is>
      </c>
      <c r="N2974" s="1" t="inlineStr">
        <is>
          <t>11.08.2026</t>
        </is>
      </c>
      <c r="O2974" s="1" t="inlineStr"/>
      <c r="P2974" s="1" t="inlineStr"/>
      <c r="Q2974" s="1" t="inlineStr">
        <is>
          <t>Пользовательский интерфейс</t>
        </is>
      </c>
    </row>
    <row r="2975">
      <c r="B2975" s="1" t="inlineStr">
        <is>
          <t>214421482</t>
        </is>
      </c>
      <c r="C2975" s="1" t="inlineStr">
        <is>
          <t>15411209</t>
        </is>
      </c>
      <c r="D2975" t="inlineStr">
        <is>
          <t>работник 507</t>
        </is>
      </c>
      <c r="E2975" s="1" t="inlineStr">
        <is>
          <t>ОБЩЕСТВО С ОГРАНИЧЕННОЙ ОТВЕТСТВЕННОСТЬЮ "АМУР ЗОЛОТО"</t>
        </is>
      </c>
      <c r="F2975" s="1" t="inlineStr">
        <is>
          <t>2708001686</t>
        </is>
      </c>
      <c r="G2975" s="1" t="inlineStr">
        <is>
          <t>Электрогазосварщик (занятый на резке и ручной сварке)</t>
        </is>
      </c>
      <c r="H2975" s="1" t="inlineStr">
        <is>
          <t>ООО "Амур Золото"</t>
        </is>
      </c>
      <c r="I2975" s="1" t="inlineStr">
        <is>
          <t>2708001686</t>
        </is>
      </c>
      <c r="J2975" s="1" t="inlineStr">
        <is>
          <t>ЮГОК ПГУ 26-34</t>
        </is>
      </c>
      <c r="K297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975" s="1" t="inlineStr">
        <is>
          <t>23.07.2026</t>
        </is>
      </c>
      <c r="M2975" s="1" t="inlineStr">
        <is>
          <t>Успешно</t>
        </is>
      </c>
      <c r="N2975" s="1" t="inlineStr">
        <is>
          <t>11.08.2026</t>
        </is>
      </c>
      <c r="O2975" s="1" t="inlineStr"/>
      <c r="P2975" s="1" t="inlineStr"/>
      <c r="Q2975" s="1" t="inlineStr">
        <is>
          <t>Пользовательский интерфейс</t>
        </is>
      </c>
    </row>
    <row r="2976">
      <c r="B2976" s="1" t="inlineStr">
        <is>
          <t>214421483</t>
        </is>
      </c>
      <c r="C2976" s="1" t="inlineStr">
        <is>
          <t>15411209</t>
        </is>
      </c>
      <c r="D2976" t="inlineStr">
        <is>
          <t>работник 507</t>
        </is>
      </c>
      <c r="E2976" s="1" t="inlineStr">
        <is>
          <t>ОБЩЕСТВО С ОГРАНИЧЕННОЙ ОТВЕТСТВЕННОСТЬЮ "АМУР ЗОЛОТО"</t>
        </is>
      </c>
      <c r="F2976" s="1" t="inlineStr">
        <is>
          <t>2708001686</t>
        </is>
      </c>
      <c r="G2976" s="1" t="inlineStr">
        <is>
          <t>Электрогазосварщик (занятый на резке и ручной сварке)</t>
        </is>
      </c>
      <c r="H2976" s="1" t="inlineStr">
        <is>
          <t>ООО "Амур Золото"</t>
        </is>
      </c>
      <c r="I2976" s="1" t="inlineStr">
        <is>
          <t>2708001686</t>
        </is>
      </c>
      <c r="J2976" s="1" t="inlineStr">
        <is>
          <t>ЮГОК ПГУ 26-34</t>
        </is>
      </c>
      <c r="K2976" s="1" t="inlineStr">
        <is>
          <t>Безопасные методы и приемы выполнения огневых работ</t>
        </is>
      </c>
      <c r="L2976" s="1" t="inlineStr">
        <is>
          <t>23.07.2026</t>
        </is>
      </c>
      <c r="M2976" s="1" t="inlineStr">
        <is>
          <t>Успешно</t>
        </is>
      </c>
      <c r="N2976" s="1" t="inlineStr">
        <is>
          <t>11.08.2026</t>
        </is>
      </c>
      <c r="O2976" s="1" t="inlineStr"/>
      <c r="P2976" s="1" t="inlineStr"/>
      <c r="Q2976" s="1" t="inlineStr">
        <is>
          <t>Пользовательский интерфейс</t>
        </is>
      </c>
    </row>
    <row r="2977">
      <c r="B2977" s="1" t="inlineStr">
        <is>
          <t>214421484</t>
        </is>
      </c>
      <c r="C2977" s="1" t="inlineStr">
        <is>
          <t>15411209</t>
        </is>
      </c>
      <c r="D2977" t="inlineStr">
        <is>
          <t>работник 851</t>
        </is>
      </c>
      <c r="E2977" s="1" t="inlineStr">
        <is>
          <t>ОБЩЕСТВО С ОГРАНИЧЕННОЙ ОТВЕТСТВЕННОСТЬЮ "АМУР ЗОЛОТО"</t>
        </is>
      </c>
      <c r="F2977" s="1" t="inlineStr">
        <is>
          <t>2708001686</t>
        </is>
      </c>
      <c r="G2977" s="1" t="inlineStr">
        <is>
          <t>Электрогазосварщик (занятый на резке и ручной сварке)</t>
        </is>
      </c>
      <c r="H2977" s="1" t="inlineStr">
        <is>
          <t>ООО "Амур Золото"</t>
        </is>
      </c>
      <c r="I2977" s="1" t="inlineStr">
        <is>
          <t>2708001686</t>
        </is>
      </c>
      <c r="J2977" s="1" t="inlineStr">
        <is>
          <t>ЮГОК ПГУ 26-34</t>
        </is>
      </c>
      <c r="K2977" s="1" t="inlineStr">
        <is>
          <t>Оказание первой помощи пострадавшим</t>
        </is>
      </c>
      <c r="L2977" s="1" t="inlineStr">
        <is>
          <t>23.07.2026</t>
        </is>
      </c>
      <c r="M2977" s="1" t="inlineStr">
        <is>
          <t>Успешно</t>
        </is>
      </c>
      <c r="N2977" s="1" t="inlineStr">
        <is>
          <t>11.08.2026</t>
        </is>
      </c>
      <c r="O2977" s="1" t="inlineStr"/>
      <c r="P2977" s="1" t="inlineStr"/>
      <c r="Q2977" s="1" t="inlineStr">
        <is>
          <t>Пользовательский интерфейс</t>
        </is>
      </c>
    </row>
    <row r="2978">
      <c r="B2978" s="1" t="inlineStr">
        <is>
          <t>214421485</t>
        </is>
      </c>
      <c r="C2978" s="1" t="inlineStr">
        <is>
          <t>15411209</t>
        </is>
      </c>
      <c r="D2978" t="inlineStr">
        <is>
          <t>работник 851</t>
        </is>
      </c>
      <c r="E2978" s="1" t="inlineStr">
        <is>
          <t>ОБЩЕСТВО С ОГРАНИЧЕННОЙ ОТВЕТСТВЕННОСТЬЮ "АМУР ЗОЛОТО"</t>
        </is>
      </c>
      <c r="F2978" s="1" t="inlineStr">
        <is>
          <t>2708001686</t>
        </is>
      </c>
      <c r="G2978" s="1" t="inlineStr">
        <is>
          <t>Электрогазосварщик (занятый на резке и ручной сварке)</t>
        </is>
      </c>
      <c r="H2978" s="1" t="inlineStr">
        <is>
          <t>ООО "Амур Золото"</t>
        </is>
      </c>
      <c r="I2978" s="1" t="inlineStr">
        <is>
          <t>2708001686</t>
        </is>
      </c>
      <c r="J2978" s="1" t="inlineStr">
        <is>
          <t>ЮГОК ПГУ 26-34</t>
        </is>
      </c>
      <c r="K2978" s="1" t="inlineStr">
        <is>
          <t>Использование (применение) средств индивидуальной защиты</t>
        </is>
      </c>
      <c r="L2978" s="1" t="inlineStr">
        <is>
          <t>23.07.2026</t>
        </is>
      </c>
      <c r="M2978" s="1" t="inlineStr">
        <is>
          <t>Успешно</t>
        </is>
      </c>
      <c r="N2978" s="1" t="inlineStr">
        <is>
          <t>11.08.2026</t>
        </is>
      </c>
      <c r="O2978" s="1" t="inlineStr"/>
      <c r="P2978" s="1" t="inlineStr"/>
      <c r="Q2978" s="1" t="inlineStr">
        <is>
          <t>Пользовательский интерфейс</t>
        </is>
      </c>
    </row>
    <row r="2979">
      <c r="B2979" s="1" t="inlineStr">
        <is>
          <t>214421486</t>
        </is>
      </c>
      <c r="C2979" s="1" t="inlineStr">
        <is>
          <t>15411209</t>
        </is>
      </c>
      <c r="D2979" t="inlineStr">
        <is>
          <t>работник 852</t>
        </is>
      </c>
      <c r="E2979" s="1" t="inlineStr">
        <is>
          <t>ОБЩЕСТВО С ОГРАНИЧЕННОЙ ОТВЕТСТВЕННОСТЬЮ "АМУР ЗОЛОТО"</t>
        </is>
      </c>
      <c r="F2979" s="1" t="inlineStr">
        <is>
          <t>2708001686</t>
        </is>
      </c>
      <c r="G2979" s="1" t="inlineStr">
        <is>
          <t>Машинист самоходной буровой установки</t>
        </is>
      </c>
      <c r="H2979" s="1" t="inlineStr">
        <is>
          <t>ООО "Амур Золото"</t>
        </is>
      </c>
      <c r="I2979" s="1" t="inlineStr">
        <is>
          <t>2708001686</t>
        </is>
      </c>
      <c r="J2979" s="1" t="inlineStr">
        <is>
          <t>ЮГОК ПГУ 26-40</t>
        </is>
      </c>
      <c r="K2979" s="1" t="inlineStr">
        <is>
          <t>Оказание первой помощи пострадавшим</t>
        </is>
      </c>
      <c r="L2979" s="1" t="inlineStr">
        <is>
          <t>28.07.2026</t>
        </is>
      </c>
      <c r="M2979" s="1" t="inlineStr">
        <is>
          <t>Успешно</t>
        </is>
      </c>
      <c r="N2979" s="1" t="inlineStr">
        <is>
          <t>11.08.2026</t>
        </is>
      </c>
      <c r="O2979" s="1" t="inlineStr"/>
      <c r="P2979" s="1" t="inlineStr"/>
      <c r="Q2979" s="1" t="inlineStr">
        <is>
          <t>Пользовательский интерфейс</t>
        </is>
      </c>
    </row>
    <row r="2980">
      <c r="B2980" s="1" t="inlineStr">
        <is>
          <t>214421487</t>
        </is>
      </c>
      <c r="C2980" s="1" t="inlineStr">
        <is>
          <t>15411209</t>
        </is>
      </c>
      <c r="D2980" t="inlineStr">
        <is>
          <t>работник 851</t>
        </is>
      </c>
      <c r="E2980" s="1" t="inlineStr">
        <is>
          <t>ОБЩЕСТВО С ОГРАНИЧЕННОЙ ОТВЕТСТВЕННОСТЬЮ "АМУР ЗОЛОТО"</t>
        </is>
      </c>
      <c r="F2980" s="1" t="inlineStr">
        <is>
          <t>2708001686</t>
        </is>
      </c>
      <c r="G2980" s="1" t="inlineStr">
        <is>
          <t>Электрогазосварщик (занятый на резке и ручной сварке)</t>
        </is>
      </c>
      <c r="H2980" s="1" t="inlineStr">
        <is>
          <t>ООО "Амур Золото"</t>
        </is>
      </c>
      <c r="I2980" s="1" t="inlineStr">
        <is>
          <t>2708001686</t>
        </is>
      </c>
      <c r="J2980" s="1" t="inlineStr">
        <is>
          <t>ЮГОК ПГУ 26-34</t>
        </is>
      </c>
      <c r="K298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980" s="1" t="inlineStr">
        <is>
          <t>23.07.2026</t>
        </is>
      </c>
      <c r="M2980" s="1" t="inlineStr">
        <is>
          <t>Успешно</t>
        </is>
      </c>
      <c r="N2980" s="1" t="inlineStr">
        <is>
          <t>11.08.2026</t>
        </is>
      </c>
      <c r="O2980" s="1" t="inlineStr"/>
      <c r="P2980" s="1" t="inlineStr"/>
      <c r="Q2980" s="1" t="inlineStr">
        <is>
          <t>Пользовательский интерфейс</t>
        </is>
      </c>
    </row>
    <row r="2981">
      <c r="B2981" s="1" t="inlineStr">
        <is>
          <t>214421488</t>
        </is>
      </c>
      <c r="C2981" s="1" t="inlineStr">
        <is>
          <t>15411209</t>
        </is>
      </c>
      <c r="D2981" t="inlineStr">
        <is>
          <t>работник 851</t>
        </is>
      </c>
      <c r="E2981" s="1" t="inlineStr">
        <is>
          <t>ОБЩЕСТВО С ОГРАНИЧЕННОЙ ОТВЕТСТВЕННОСТЬЮ "АМУР ЗОЛОТО"</t>
        </is>
      </c>
      <c r="F2981" s="1" t="inlineStr">
        <is>
          <t>2708001686</t>
        </is>
      </c>
      <c r="G2981" s="1" t="inlineStr">
        <is>
          <t>Электрогазосварщик (занятый на резке и ручной сварке)</t>
        </is>
      </c>
      <c r="H2981" s="1" t="inlineStr">
        <is>
          <t>ООО "Амур Золото"</t>
        </is>
      </c>
      <c r="I2981" s="1" t="inlineStr">
        <is>
          <t>2708001686</t>
        </is>
      </c>
      <c r="J2981" s="1" t="inlineStr">
        <is>
          <t>ЮГОК ПГУ 26-34</t>
        </is>
      </c>
      <c r="K2981" s="1" t="inlineStr">
        <is>
          <t>Безопасные методы и приемы выполнения огневых работ</t>
        </is>
      </c>
      <c r="L2981" s="1" t="inlineStr">
        <is>
          <t>23.07.2026</t>
        </is>
      </c>
      <c r="M2981" s="1" t="inlineStr">
        <is>
          <t>Успешно</t>
        </is>
      </c>
      <c r="N2981" s="1" t="inlineStr">
        <is>
          <t>11.08.2026</t>
        </is>
      </c>
      <c r="O2981" s="1" t="inlineStr"/>
      <c r="P2981" s="1" t="inlineStr"/>
      <c r="Q2981" s="1" t="inlineStr">
        <is>
          <t>Пользовательский интерфейс</t>
        </is>
      </c>
    </row>
    <row r="2982">
      <c r="B2982" s="1" t="inlineStr">
        <is>
          <t>214421489</t>
        </is>
      </c>
      <c r="C2982" s="1" t="inlineStr">
        <is>
          <t>15411209</t>
        </is>
      </c>
      <c r="D2982" t="inlineStr">
        <is>
          <t>работник 596</t>
        </is>
      </c>
      <c r="E2982" s="1" t="inlineStr">
        <is>
          <t>ОБЩЕСТВО С ОГРАНИЧЕННОЙ ОТВЕТСТВЕННОСТЬЮ "АМУР ЗОЛОТО"</t>
        </is>
      </c>
      <c r="F2982" s="1" t="inlineStr">
        <is>
          <t>2708001686</t>
        </is>
      </c>
      <c r="G2982" s="1" t="inlineStr">
        <is>
          <t>Слесарь-ремонтник (по ремонту самоходной техники)</t>
        </is>
      </c>
      <c r="H2982" s="1" t="inlineStr">
        <is>
          <t>ООО "Амур Золото"</t>
        </is>
      </c>
      <c r="I2982" s="1" t="inlineStr">
        <is>
          <t>2708001686</t>
        </is>
      </c>
      <c r="J2982" s="1" t="inlineStr">
        <is>
          <t>ЮГОК ПГУ 26-35</t>
        </is>
      </c>
      <c r="K2982" s="1" t="inlineStr">
        <is>
          <t>Оказание первой помощи пострадавшим</t>
        </is>
      </c>
      <c r="L2982" s="1" t="inlineStr">
        <is>
          <t>25.07.2026</t>
        </is>
      </c>
      <c r="M2982" s="1" t="inlineStr">
        <is>
          <t>Успешно</t>
        </is>
      </c>
      <c r="N2982" s="1" t="inlineStr">
        <is>
          <t>11.08.2026</t>
        </is>
      </c>
      <c r="O2982" s="1" t="inlineStr"/>
      <c r="P2982" s="1" t="inlineStr"/>
      <c r="Q2982" s="1" t="inlineStr">
        <is>
          <t>Пользовательский интерфейс</t>
        </is>
      </c>
    </row>
    <row r="2983">
      <c r="B2983" s="1" t="inlineStr">
        <is>
          <t>214421490</t>
        </is>
      </c>
      <c r="C2983" s="1" t="inlineStr">
        <is>
          <t>15411209</t>
        </is>
      </c>
      <c r="D2983" t="inlineStr">
        <is>
          <t>работник 596</t>
        </is>
      </c>
      <c r="E2983" s="1" t="inlineStr">
        <is>
          <t>ОБЩЕСТВО С ОГРАНИЧЕННОЙ ОТВЕТСТВЕННОСТЬЮ "АМУР ЗОЛОТО"</t>
        </is>
      </c>
      <c r="F2983" s="1" t="inlineStr">
        <is>
          <t>2708001686</t>
        </is>
      </c>
      <c r="G2983" s="1" t="inlineStr">
        <is>
          <t>Слесарь-ремонтник (по ремонту самоходной техники)</t>
        </is>
      </c>
      <c r="H2983" s="1" t="inlineStr">
        <is>
          <t>ООО "Амур Золото"</t>
        </is>
      </c>
      <c r="I2983" s="1" t="inlineStr">
        <is>
          <t>2708001686</t>
        </is>
      </c>
      <c r="J2983" s="1" t="inlineStr">
        <is>
          <t>ЮГОК ПГУ 26-35</t>
        </is>
      </c>
      <c r="K2983" s="1" t="inlineStr">
        <is>
          <t>Использование (применение) средств индивидуальной защиты</t>
        </is>
      </c>
      <c r="L2983" s="1" t="inlineStr">
        <is>
          <t>25.07.2026</t>
        </is>
      </c>
      <c r="M2983" s="1" t="inlineStr">
        <is>
          <t>Успешно</t>
        </is>
      </c>
      <c r="N2983" s="1" t="inlineStr">
        <is>
          <t>11.08.2026</t>
        </is>
      </c>
      <c r="O2983" s="1" t="inlineStr"/>
      <c r="P2983" s="1" t="inlineStr"/>
      <c r="Q2983" s="1" t="inlineStr">
        <is>
          <t>Пользовательский интерфейс</t>
        </is>
      </c>
    </row>
    <row r="2984">
      <c r="B2984" s="1" t="inlineStr">
        <is>
          <t>214421491</t>
        </is>
      </c>
      <c r="C2984" s="1" t="inlineStr">
        <is>
          <t>15411209</t>
        </is>
      </c>
      <c r="D2984" t="inlineStr">
        <is>
          <t>работник 596</t>
        </is>
      </c>
      <c r="E2984" s="1" t="inlineStr">
        <is>
          <t>ОБЩЕСТВО С ОГРАНИЧЕННОЙ ОТВЕТСТВЕННОСТЬЮ "АМУР ЗОЛОТО"</t>
        </is>
      </c>
      <c r="F2984" s="1" t="inlineStr">
        <is>
          <t>2708001686</t>
        </is>
      </c>
      <c r="G2984" s="1" t="inlineStr">
        <is>
          <t>Слесарь-ремонтник (по ремонту самоходной техники)</t>
        </is>
      </c>
      <c r="H2984" s="1" t="inlineStr">
        <is>
          <t>ООО "Амур Золото"</t>
        </is>
      </c>
      <c r="I2984" s="1" t="inlineStr">
        <is>
          <t>2708001686</t>
        </is>
      </c>
      <c r="J2984" s="1" t="inlineStr">
        <is>
          <t>ЮГОК ПГУ 26-35</t>
        </is>
      </c>
      <c r="K298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984" s="1" t="inlineStr">
        <is>
          <t>25.07.2026</t>
        </is>
      </c>
      <c r="M2984" s="1" t="inlineStr">
        <is>
          <t>Успешно</t>
        </is>
      </c>
      <c r="N2984" s="1" t="inlineStr">
        <is>
          <t>11.08.2026</t>
        </is>
      </c>
      <c r="O2984" s="1" t="inlineStr"/>
      <c r="P2984" s="1" t="inlineStr"/>
      <c r="Q2984" s="1" t="inlineStr">
        <is>
          <t>Пользовательский интерфейс</t>
        </is>
      </c>
    </row>
    <row r="2985">
      <c r="B2985" s="1" t="inlineStr">
        <is>
          <t>214421492</t>
        </is>
      </c>
      <c r="C2985" s="1" t="inlineStr">
        <is>
          <t>15411209</t>
        </is>
      </c>
      <c r="D2985" t="inlineStr">
        <is>
          <t>работник 597</t>
        </is>
      </c>
      <c r="E2985" s="1" t="inlineStr">
        <is>
          <t>ОБЩЕСТВО С ОГРАНИЧЕННОЙ ОТВЕТСТВЕННОСТЬЮ "АМУР ЗОЛОТО"</t>
        </is>
      </c>
      <c r="F2985" s="1" t="inlineStr">
        <is>
          <t>2708001686</t>
        </is>
      </c>
      <c r="G2985" s="1" t="inlineStr">
        <is>
          <t>Слесарь-ремонтник (по ремонту самоходной техники)</t>
        </is>
      </c>
      <c r="H2985" s="1" t="inlineStr">
        <is>
          <t>ООО "Амур Золото"</t>
        </is>
      </c>
      <c r="I2985" s="1" t="inlineStr">
        <is>
          <t>2708001686</t>
        </is>
      </c>
      <c r="J2985" s="1" t="inlineStr">
        <is>
          <t>ЮГОК ПГУ 26-35</t>
        </is>
      </c>
      <c r="K2985" s="1" t="inlineStr">
        <is>
          <t>Оказание первой помощи пострадавшим</t>
        </is>
      </c>
      <c r="L2985" s="1" t="inlineStr">
        <is>
          <t>25.07.2026</t>
        </is>
      </c>
      <c r="M2985" s="1" t="inlineStr">
        <is>
          <t>Успешно</t>
        </is>
      </c>
      <c r="N2985" s="1" t="inlineStr">
        <is>
          <t>11.08.2026</t>
        </is>
      </c>
      <c r="O2985" s="1" t="inlineStr"/>
      <c r="P2985" s="1" t="inlineStr"/>
      <c r="Q2985" s="1" t="inlineStr">
        <is>
          <t>Пользовательский интерфейс</t>
        </is>
      </c>
    </row>
    <row r="2986">
      <c r="B2986" s="1" t="inlineStr">
        <is>
          <t>214421493</t>
        </is>
      </c>
      <c r="C2986" s="1" t="inlineStr">
        <is>
          <t>15411209</t>
        </is>
      </c>
      <c r="D2986" t="inlineStr">
        <is>
          <t>работник 597</t>
        </is>
      </c>
      <c r="E2986" s="1" t="inlineStr">
        <is>
          <t>ОБЩЕСТВО С ОГРАНИЧЕННОЙ ОТВЕТСТВЕННОСТЬЮ "АМУР ЗОЛОТО"</t>
        </is>
      </c>
      <c r="F2986" s="1" t="inlineStr">
        <is>
          <t>2708001686</t>
        </is>
      </c>
      <c r="G2986" s="1" t="inlineStr">
        <is>
          <t>Слесарь-ремонтник (по ремонту самоходной техники)</t>
        </is>
      </c>
      <c r="H2986" s="1" t="inlineStr">
        <is>
          <t>ООО "Амур Золото"</t>
        </is>
      </c>
      <c r="I2986" s="1" t="inlineStr">
        <is>
          <t>2708001686</t>
        </is>
      </c>
      <c r="J2986" s="1" t="inlineStr">
        <is>
          <t>ЮГОК ПГУ 26-35</t>
        </is>
      </c>
      <c r="K2986" s="1" t="inlineStr">
        <is>
          <t>Использование (применение) средств индивидуальной защиты</t>
        </is>
      </c>
      <c r="L2986" s="1" t="inlineStr">
        <is>
          <t>25.07.2026</t>
        </is>
      </c>
      <c r="M2986" s="1" t="inlineStr">
        <is>
          <t>Успешно</t>
        </is>
      </c>
      <c r="N2986" s="1" t="inlineStr">
        <is>
          <t>11.08.2026</t>
        </is>
      </c>
      <c r="O2986" s="1" t="inlineStr"/>
      <c r="P2986" s="1" t="inlineStr"/>
      <c r="Q2986" s="1" t="inlineStr">
        <is>
          <t>Пользовательский интерфейс</t>
        </is>
      </c>
    </row>
    <row r="2987">
      <c r="B2987" s="1" t="inlineStr">
        <is>
          <t>214421494</t>
        </is>
      </c>
      <c r="C2987" s="1" t="inlineStr">
        <is>
          <t>15411209</t>
        </is>
      </c>
      <c r="D2987" t="inlineStr">
        <is>
          <t>работник 597</t>
        </is>
      </c>
      <c r="E2987" s="1" t="inlineStr">
        <is>
          <t>ОБЩЕСТВО С ОГРАНИЧЕННОЙ ОТВЕТСТВЕННОСТЬЮ "АМУР ЗОЛОТО"</t>
        </is>
      </c>
      <c r="F2987" s="1" t="inlineStr">
        <is>
          <t>2708001686</t>
        </is>
      </c>
      <c r="G2987" s="1" t="inlineStr">
        <is>
          <t>Слесарь-ремонтник (по ремонту самоходной техники)</t>
        </is>
      </c>
      <c r="H2987" s="1" t="inlineStr">
        <is>
          <t>ООО "Амур Золото"</t>
        </is>
      </c>
      <c r="I2987" s="1" t="inlineStr">
        <is>
          <t>2708001686</t>
        </is>
      </c>
      <c r="J2987" s="1" t="inlineStr">
        <is>
          <t>ЮГОК ПГУ 26-35</t>
        </is>
      </c>
      <c r="K298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987" s="1" t="inlineStr">
        <is>
          <t>25.07.2026</t>
        </is>
      </c>
      <c r="M2987" s="1" t="inlineStr">
        <is>
          <t>Успешно</t>
        </is>
      </c>
      <c r="N2987" s="1" t="inlineStr">
        <is>
          <t>11.08.2026</t>
        </is>
      </c>
      <c r="O2987" s="1" t="inlineStr"/>
      <c r="P2987" s="1" t="inlineStr"/>
      <c r="Q2987" s="1" t="inlineStr">
        <is>
          <t>Пользовательский интерфейс</t>
        </is>
      </c>
    </row>
    <row r="2988">
      <c r="B2988" s="1" t="inlineStr">
        <is>
          <t>214421495</t>
        </is>
      </c>
      <c r="C2988" s="1" t="inlineStr">
        <is>
          <t>15411209</t>
        </is>
      </c>
      <c r="D2988" t="inlineStr">
        <is>
          <t>работник 600</t>
        </is>
      </c>
      <c r="E2988" s="1" t="inlineStr">
        <is>
          <t>ОБЩЕСТВО С ОГРАНИЧЕННОЙ ОТВЕТСТВЕННОСТЬЮ "АМУР ЗОЛОТО"</t>
        </is>
      </c>
      <c r="F2988" s="1" t="inlineStr">
        <is>
          <t>2708001686</t>
        </is>
      </c>
      <c r="G2988" s="1" t="inlineStr">
        <is>
          <t>Слесарь-ремонтник (по ремонту самоходной техники)</t>
        </is>
      </c>
      <c r="H2988" s="1" t="inlineStr">
        <is>
          <t>ООО "Амур Золото"</t>
        </is>
      </c>
      <c r="I2988" s="1" t="inlineStr">
        <is>
          <t>2708001686</t>
        </is>
      </c>
      <c r="J2988" s="1" t="inlineStr">
        <is>
          <t>ЮГОК ПГУ 26-35</t>
        </is>
      </c>
      <c r="K2988" s="1" t="inlineStr">
        <is>
          <t>Оказание первой помощи пострадавшим</t>
        </is>
      </c>
      <c r="L2988" s="1" t="inlineStr">
        <is>
          <t>25.07.2026</t>
        </is>
      </c>
      <c r="M2988" s="1" t="inlineStr">
        <is>
          <t>Успешно</t>
        </is>
      </c>
      <c r="N2988" s="1" t="inlineStr">
        <is>
          <t>11.08.2026</t>
        </is>
      </c>
      <c r="O2988" s="1" t="inlineStr"/>
      <c r="P2988" s="1" t="inlineStr"/>
      <c r="Q2988" s="1" t="inlineStr">
        <is>
          <t>Пользовательский интерфейс</t>
        </is>
      </c>
    </row>
    <row r="2989">
      <c r="B2989" s="1" t="inlineStr">
        <is>
          <t>214421496</t>
        </is>
      </c>
      <c r="C2989" s="1" t="inlineStr">
        <is>
          <t>15411209</t>
        </is>
      </c>
      <c r="D2989" t="inlineStr">
        <is>
          <t>работник 600</t>
        </is>
      </c>
      <c r="E2989" s="1" t="inlineStr">
        <is>
          <t>ОБЩЕСТВО С ОГРАНИЧЕННОЙ ОТВЕТСТВЕННОСТЬЮ "АМУР ЗОЛОТО"</t>
        </is>
      </c>
      <c r="F2989" s="1" t="inlineStr">
        <is>
          <t>2708001686</t>
        </is>
      </c>
      <c r="G2989" s="1" t="inlineStr">
        <is>
          <t>Слесарь-ремонтник (по ремонту самоходной техники)</t>
        </is>
      </c>
      <c r="H2989" s="1" t="inlineStr">
        <is>
          <t>ООО "Амур Золото"</t>
        </is>
      </c>
      <c r="I2989" s="1" t="inlineStr">
        <is>
          <t>2708001686</t>
        </is>
      </c>
      <c r="J2989" s="1" t="inlineStr">
        <is>
          <t>ЮГОК ПГУ 26-35</t>
        </is>
      </c>
      <c r="K2989" s="1" t="inlineStr">
        <is>
          <t>Использование (применение) средств индивидуальной защиты</t>
        </is>
      </c>
      <c r="L2989" s="1" t="inlineStr">
        <is>
          <t>25.07.2026</t>
        </is>
      </c>
      <c r="M2989" s="1" t="inlineStr">
        <is>
          <t>Успешно</t>
        </is>
      </c>
      <c r="N2989" s="1" t="inlineStr">
        <is>
          <t>11.08.2026</t>
        </is>
      </c>
      <c r="O2989" s="1" t="inlineStr"/>
      <c r="P2989" s="1" t="inlineStr"/>
      <c r="Q2989" s="1" t="inlineStr">
        <is>
          <t>Пользовательский интерфейс</t>
        </is>
      </c>
    </row>
    <row r="2990">
      <c r="B2990" s="1" t="inlineStr">
        <is>
          <t>214421497</t>
        </is>
      </c>
      <c r="C2990" s="1" t="inlineStr">
        <is>
          <t>15411209</t>
        </is>
      </c>
      <c r="D2990" t="inlineStr">
        <is>
          <t>работник 600</t>
        </is>
      </c>
      <c r="E2990" s="1" t="inlineStr">
        <is>
          <t>ОБЩЕСТВО С ОГРАНИЧЕННОЙ ОТВЕТСТВЕННОСТЬЮ "АМУР ЗОЛОТО"</t>
        </is>
      </c>
      <c r="F2990" s="1" t="inlineStr">
        <is>
          <t>2708001686</t>
        </is>
      </c>
      <c r="G2990" s="1" t="inlineStr">
        <is>
          <t>Слесарь-ремонтник (по ремонту самоходной техники)</t>
        </is>
      </c>
      <c r="H2990" s="1" t="inlineStr">
        <is>
          <t>ООО "Амур Золото"</t>
        </is>
      </c>
      <c r="I2990" s="1" t="inlineStr">
        <is>
          <t>2708001686</t>
        </is>
      </c>
      <c r="J2990" s="1" t="inlineStr">
        <is>
          <t>ЮГОК ПГУ 26-35</t>
        </is>
      </c>
      <c r="K299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990" s="1" t="inlineStr">
        <is>
          <t>25.07.2026</t>
        </is>
      </c>
      <c r="M2990" s="1" t="inlineStr">
        <is>
          <t>Успешно</t>
        </is>
      </c>
      <c r="N2990" s="1" t="inlineStr">
        <is>
          <t>11.08.2026</t>
        </is>
      </c>
      <c r="O2990" s="1" t="inlineStr"/>
      <c r="P2990" s="1" t="inlineStr"/>
      <c r="Q2990" s="1" t="inlineStr">
        <is>
          <t>Пользовательский интерфейс</t>
        </is>
      </c>
    </row>
    <row r="2991">
      <c r="B2991" s="1" t="inlineStr">
        <is>
          <t>214421498</t>
        </is>
      </c>
      <c r="C2991" s="1" t="inlineStr">
        <is>
          <t>15411209</t>
        </is>
      </c>
      <c r="D2991" t="inlineStr">
        <is>
          <t>работник 571</t>
        </is>
      </c>
      <c r="E2991" s="1" t="inlineStr">
        <is>
          <t>ОБЩЕСТВО С ОГРАНИЧЕННОЙ ОТВЕТСТВЕННОСТЬЮ "АМУР ЗОЛОТО"</t>
        </is>
      </c>
      <c r="F2991" s="1" t="inlineStr">
        <is>
          <t>2708001686</t>
        </is>
      </c>
      <c r="G2991" s="1" t="inlineStr">
        <is>
          <t>Слесарь-ремонтник (по ремонту горно-шахтного оборудования)</t>
        </is>
      </c>
      <c r="H2991" s="1" t="inlineStr">
        <is>
          <t>ООО "Амур Золото"</t>
        </is>
      </c>
      <c r="I2991" s="1" t="inlineStr">
        <is>
          <t>2708001686</t>
        </is>
      </c>
      <c r="J2991" s="1" t="inlineStr">
        <is>
          <t>ЮГОК ПГУ 26-35</t>
        </is>
      </c>
      <c r="K2991" s="1" t="inlineStr">
        <is>
          <t>Оказание первой помощи пострадавшим</t>
        </is>
      </c>
      <c r="L2991" s="1" t="inlineStr">
        <is>
          <t>28.07.2026</t>
        </is>
      </c>
      <c r="M2991" s="1" t="inlineStr">
        <is>
          <t>Успешно</t>
        </is>
      </c>
      <c r="N2991" s="1" t="inlineStr">
        <is>
          <t>11.08.2026</t>
        </is>
      </c>
      <c r="O2991" s="1" t="inlineStr"/>
      <c r="P2991" s="1" t="inlineStr"/>
      <c r="Q2991" s="1" t="inlineStr">
        <is>
          <t>Пользовательский интерфейс</t>
        </is>
      </c>
    </row>
    <row r="2992">
      <c r="B2992" s="1" t="inlineStr">
        <is>
          <t>214421499</t>
        </is>
      </c>
      <c r="C2992" s="1" t="inlineStr">
        <is>
          <t>15411209</t>
        </is>
      </c>
      <c r="D2992" t="inlineStr">
        <is>
          <t>работник 571</t>
        </is>
      </c>
      <c r="E2992" s="1" t="inlineStr">
        <is>
          <t>ОБЩЕСТВО С ОГРАНИЧЕННОЙ ОТВЕТСТВЕННОСТЬЮ "АМУР ЗОЛОТО"</t>
        </is>
      </c>
      <c r="F2992" s="1" t="inlineStr">
        <is>
          <t>2708001686</t>
        </is>
      </c>
      <c r="G2992" s="1" t="inlineStr">
        <is>
          <t>Слесарь-ремонтник (по ремонту горно-шахтного оборудования)</t>
        </is>
      </c>
      <c r="H2992" s="1" t="inlineStr">
        <is>
          <t>ООО "Амур Золото"</t>
        </is>
      </c>
      <c r="I2992" s="1" t="inlineStr">
        <is>
          <t>2708001686</t>
        </is>
      </c>
      <c r="J2992" s="1" t="inlineStr">
        <is>
          <t>ЮГОК ПГУ 26-35</t>
        </is>
      </c>
      <c r="K2992" s="1" t="inlineStr">
        <is>
          <t>Использование (применение) средств индивидуальной защиты</t>
        </is>
      </c>
      <c r="L2992" s="1" t="inlineStr">
        <is>
          <t>28.07.2026</t>
        </is>
      </c>
      <c r="M2992" s="1" t="inlineStr">
        <is>
          <t>Успешно</t>
        </is>
      </c>
      <c r="N2992" s="1" t="inlineStr">
        <is>
          <t>11.08.2026</t>
        </is>
      </c>
      <c r="O2992" s="1" t="inlineStr"/>
      <c r="P2992" s="1" t="inlineStr"/>
      <c r="Q2992" s="1" t="inlineStr">
        <is>
          <t>Пользовательский интерфейс</t>
        </is>
      </c>
    </row>
    <row r="2993">
      <c r="B2993" s="1" t="inlineStr">
        <is>
          <t>214421500</t>
        </is>
      </c>
      <c r="C2993" s="1" t="inlineStr">
        <is>
          <t>15411209</t>
        </is>
      </c>
      <c r="D2993" t="inlineStr">
        <is>
          <t>работник 571</t>
        </is>
      </c>
      <c r="E2993" s="1" t="inlineStr">
        <is>
          <t>ОБЩЕСТВО С ОГРАНИЧЕННОЙ ОТВЕТСТВЕННОСТЬЮ "АМУР ЗОЛОТО"</t>
        </is>
      </c>
      <c r="F2993" s="1" t="inlineStr">
        <is>
          <t>2708001686</t>
        </is>
      </c>
      <c r="G2993" s="1" t="inlineStr">
        <is>
          <t>Слесарь-ремонтник (по ремонту горно-шахтного оборудования)</t>
        </is>
      </c>
      <c r="H2993" s="1" t="inlineStr">
        <is>
          <t>ООО "Амур Золото"</t>
        </is>
      </c>
      <c r="I2993" s="1" t="inlineStr">
        <is>
          <t>2708001686</t>
        </is>
      </c>
      <c r="J2993" s="1" t="inlineStr">
        <is>
          <t>ЮГОК ПГУ 26-35</t>
        </is>
      </c>
      <c r="K299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993" s="1" t="inlineStr">
        <is>
          <t>28.07.2026</t>
        </is>
      </c>
      <c r="M2993" s="1" t="inlineStr">
        <is>
          <t>Успешно</t>
        </is>
      </c>
      <c r="N2993" s="1" t="inlineStr">
        <is>
          <t>11.08.2026</t>
        </is>
      </c>
      <c r="O2993" s="1" t="inlineStr"/>
      <c r="P2993" s="1" t="inlineStr"/>
      <c r="Q2993" s="1" t="inlineStr">
        <is>
          <t>Пользовательский интерфейс</t>
        </is>
      </c>
    </row>
    <row r="2994">
      <c r="B2994" s="1" t="inlineStr">
        <is>
          <t>214421501</t>
        </is>
      </c>
      <c r="C2994" s="1" t="inlineStr">
        <is>
          <t>15411209</t>
        </is>
      </c>
      <c r="D2994" t="inlineStr">
        <is>
          <t>работник 404</t>
        </is>
      </c>
      <c r="E2994" s="1" t="inlineStr">
        <is>
          <t>ОБЩЕСТВО С ОГРАНИЧЕННОЙ ОТВЕТСТВЕННОСТЬЮ "АМУР ЗОЛОТО"</t>
        </is>
      </c>
      <c r="F2994" s="1" t="inlineStr">
        <is>
          <t>2708001686</t>
        </is>
      </c>
      <c r="G2994" s="1" t="inlineStr">
        <is>
          <t>Машинист подземных самоходных машин</t>
        </is>
      </c>
      <c r="H2994" s="1" t="inlineStr">
        <is>
          <t>ООО "Амур Золото"</t>
        </is>
      </c>
      <c r="I2994" s="1" t="inlineStr">
        <is>
          <t>2708001686</t>
        </is>
      </c>
      <c r="J2994" s="1" t="inlineStr">
        <is>
          <t>ЮГОК ПГУ 26-36</t>
        </is>
      </c>
      <c r="K2994" s="1" t="inlineStr">
        <is>
          <t>Оказание первой помощи пострадавшим</t>
        </is>
      </c>
      <c r="L2994" s="1" t="inlineStr">
        <is>
          <t>24.07.2026</t>
        </is>
      </c>
      <c r="M2994" s="1" t="inlineStr">
        <is>
          <t>Успешно</t>
        </is>
      </c>
      <c r="N2994" s="1" t="inlineStr">
        <is>
          <t>11.08.2026</t>
        </is>
      </c>
      <c r="O2994" s="1" t="inlineStr"/>
      <c r="P2994" s="1" t="inlineStr"/>
      <c r="Q2994" s="1" t="inlineStr">
        <is>
          <t>Пользовательский интерфейс</t>
        </is>
      </c>
    </row>
    <row r="2995">
      <c r="B2995" s="1" t="inlineStr">
        <is>
          <t>214421502</t>
        </is>
      </c>
      <c r="C2995" s="1" t="inlineStr">
        <is>
          <t>15411209</t>
        </is>
      </c>
      <c r="D2995" t="inlineStr">
        <is>
          <t>работник 404</t>
        </is>
      </c>
      <c r="E2995" s="1" t="inlineStr">
        <is>
          <t>ОБЩЕСТВО С ОГРАНИЧЕННОЙ ОТВЕТСТВЕННОСТЬЮ "АМУР ЗОЛОТО"</t>
        </is>
      </c>
      <c r="F2995" s="1" t="inlineStr">
        <is>
          <t>2708001686</t>
        </is>
      </c>
      <c r="G2995" s="1" t="inlineStr">
        <is>
          <t>Машинист подземных самоходных машин</t>
        </is>
      </c>
      <c r="H2995" s="1" t="inlineStr">
        <is>
          <t>ООО "Амур Золото"</t>
        </is>
      </c>
      <c r="I2995" s="1" t="inlineStr">
        <is>
          <t>2708001686</t>
        </is>
      </c>
      <c r="J2995" s="1" t="inlineStr">
        <is>
          <t>ЮГОК ПГУ 26-36</t>
        </is>
      </c>
      <c r="K2995" s="1" t="inlineStr">
        <is>
          <t>Использование (применение) средств индивидуальной защиты</t>
        </is>
      </c>
      <c r="L2995" s="1" t="inlineStr">
        <is>
          <t>24.07.2026</t>
        </is>
      </c>
      <c r="M2995" s="1" t="inlineStr">
        <is>
          <t>Успешно</t>
        </is>
      </c>
      <c r="N2995" s="1" t="inlineStr">
        <is>
          <t>11.08.2026</t>
        </is>
      </c>
      <c r="O2995" s="1" t="inlineStr"/>
      <c r="P2995" s="1" t="inlineStr"/>
      <c r="Q2995" s="1" t="inlineStr">
        <is>
          <t>Пользовательский интерфейс</t>
        </is>
      </c>
    </row>
    <row r="2996">
      <c r="B2996" s="1" t="inlineStr">
        <is>
          <t>214421503</t>
        </is>
      </c>
      <c r="C2996" s="1" t="inlineStr">
        <is>
          <t>15411209</t>
        </is>
      </c>
      <c r="D2996" t="inlineStr">
        <is>
          <t>работник 404</t>
        </is>
      </c>
      <c r="E2996" s="1" t="inlineStr">
        <is>
          <t>ОБЩЕСТВО С ОГРАНИЧЕННОЙ ОТВЕТСТВЕННОСТЬЮ "АМУР ЗОЛОТО"</t>
        </is>
      </c>
      <c r="F2996" s="1" t="inlineStr">
        <is>
          <t>2708001686</t>
        </is>
      </c>
      <c r="G2996" s="1" t="inlineStr">
        <is>
          <t>Машинист подземных самоходных машин</t>
        </is>
      </c>
      <c r="H2996" s="1" t="inlineStr">
        <is>
          <t>ООО "Амур Золото"</t>
        </is>
      </c>
      <c r="I2996" s="1" t="inlineStr">
        <is>
          <t>2708001686</t>
        </is>
      </c>
      <c r="J2996" s="1" t="inlineStr">
        <is>
          <t>ЮГОК ПГУ 26-36</t>
        </is>
      </c>
      <c r="K299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996" s="1" t="inlineStr">
        <is>
          <t>24.07.2026</t>
        </is>
      </c>
      <c r="M2996" s="1" t="inlineStr">
        <is>
          <t>Успешно</t>
        </is>
      </c>
      <c r="N2996" s="1" t="inlineStr">
        <is>
          <t>11.08.2026</t>
        </is>
      </c>
      <c r="O2996" s="1" t="inlineStr"/>
      <c r="P2996" s="1" t="inlineStr"/>
      <c r="Q2996" s="1" t="inlineStr">
        <is>
          <t>Пользовательский интерфейс</t>
        </is>
      </c>
    </row>
    <row r="2997">
      <c r="B2997" s="1" t="inlineStr">
        <is>
          <t>214421504</t>
        </is>
      </c>
      <c r="C2997" s="1" t="inlineStr">
        <is>
          <t>15411209</t>
        </is>
      </c>
      <c r="D2997" t="inlineStr">
        <is>
          <t>работник 853</t>
        </is>
      </c>
      <c r="E2997" s="1" t="inlineStr">
        <is>
          <t>ОБЩЕСТВО С ОГРАНИЧЕННОЙ ОТВЕТСТВЕННОСТЬЮ "АМУР ЗОЛОТО"</t>
        </is>
      </c>
      <c r="F2997" s="1" t="inlineStr">
        <is>
          <t>2708001686</t>
        </is>
      </c>
      <c r="G2997" s="1" t="inlineStr">
        <is>
          <t>Машинист насосных установок</t>
        </is>
      </c>
      <c r="H2997" s="1" t="inlineStr">
        <is>
          <t>ООО "Амур Золото"</t>
        </is>
      </c>
      <c r="I2997" s="1" t="inlineStr">
        <is>
          <t>2708001686</t>
        </is>
      </c>
      <c r="J2997" s="1" t="inlineStr">
        <is>
          <t>ЮГОК ПГУ 26-37</t>
        </is>
      </c>
      <c r="K2997" s="1" t="inlineStr">
        <is>
          <t>Оказание первой помощи пострадавшим</t>
        </is>
      </c>
      <c r="L2997" s="1" t="inlineStr">
        <is>
          <t>27.07.2026</t>
        </is>
      </c>
      <c r="M2997" s="1" t="inlineStr">
        <is>
          <t>Успешно</t>
        </is>
      </c>
      <c r="N2997" s="1" t="inlineStr">
        <is>
          <t>11.08.2026</t>
        </is>
      </c>
      <c r="O2997" s="1" t="inlineStr"/>
      <c r="P2997" s="1" t="inlineStr"/>
      <c r="Q2997" s="1" t="inlineStr">
        <is>
          <t>Пользовательский интерфейс</t>
        </is>
      </c>
    </row>
    <row r="2998">
      <c r="B2998" s="1" t="inlineStr">
        <is>
          <t>214421505</t>
        </is>
      </c>
      <c r="C2998" s="1" t="inlineStr">
        <is>
          <t>15411209</t>
        </is>
      </c>
      <c r="D2998" t="inlineStr">
        <is>
          <t>работник 853</t>
        </is>
      </c>
      <c r="E2998" s="1" t="inlineStr">
        <is>
          <t>ОБЩЕСТВО С ОГРАНИЧЕННОЙ ОТВЕТСТВЕННОСТЬЮ "АМУР ЗОЛОТО"</t>
        </is>
      </c>
      <c r="F2998" s="1" t="inlineStr">
        <is>
          <t>2708001686</t>
        </is>
      </c>
      <c r="G2998" s="1" t="inlineStr">
        <is>
          <t>Машинист насосных установок</t>
        </is>
      </c>
      <c r="H2998" s="1" t="inlineStr">
        <is>
          <t>ООО "Амур Золото"</t>
        </is>
      </c>
      <c r="I2998" s="1" t="inlineStr">
        <is>
          <t>2708001686</t>
        </is>
      </c>
      <c r="J2998" s="1" t="inlineStr">
        <is>
          <t>ЮГОК ПГУ 26-37</t>
        </is>
      </c>
      <c r="K2998" s="1" t="inlineStr">
        <is>
          <t>Использование (применение) средств индивидуальной защиты</t>
        </is>
      </c>
      <c r="L2998" s="1" t="inlineStr">
        <is>
          <t>27.07.2026</t>
        </is>
      </c>
      <c r="M2998" s="1" t="inlineStr">
        <is>
          <t>Успешно</t>
        </is>
      </c>
      <c r="N2998" s="1" t="inlineStr">
        <is>
          <t>11.08.2026</t>
        </is>
      </c>
      <c r="O2998" s="1" t="inlineStr"/>
      <c r="P2998" s="1" t="inlineStr"/>
      <c r="Q2998" s="1" t="inlineStr">
        <is>
          <t>Пользовательский интерфейс</t>
        </is>
      </c>
    </row>
    <row r="2999">
      <c r="B2999" s="1" t="inlineStr">
        <is>
          <t>214421506</t>
        </is>
      </c>
      <c r="C2999" s="1" t="inlineStr">
        <is>
          <t>15411209</t>
        </is>
      </c>
      <c r="D2999" t="inlineStr">
        <is>
          <t>работник 853</t>
        </is>
      </c>
      <c r="E2999" s="1" t="inlineStr">
        <is>
          <t>ОБЩЕСТВО С ОГРАНИЧЕННОЙ ОТВЕТСТВЕННОСТЬЮ "АМУР ЗОЛОТО"</t>
        </is>
      </c>
      <c r="F2999" s="1" t="inlineStr">
        <is>
          <t>2708001686</t>
        </is>
      </c>
      <c r="G2999" s="1" t="inlineStr">
        <is>
          <t>Машинист насосных установок</t>
        </is>
      </c>
      <c r="H2999" s="1" t="inlineStr">
        <is>
          <t>ООО "Амур Золото"</t>
        </is>
      </c>
      <c r="I2999" s="1" t="inlineStr">
        <is>
          <t>2708001686</t>
        </is>
      </c>
      <c r="J2999" s="1" t="inlineStr">
        <is>
          <t>ЮГОК ПГУ 26-37</t>
        </is>
      </c>
      <c r="K299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2999" s="1" t="inlineStr">
        <is>
          <t>27.07.2026</t>
        </is>
      </c>
      <c r="M2999" s="1" t="inlineStr">
        <is>
          <t>Успешно</t>
        </is>
      </c>
      <c r="N2999" s="1" t="inlineStr">
        <is>
          <t>11.08.2026</t>
        </is>
      </c>
      <c r="O2999" s="1" t="inlineStr"/>
      <c r="P2999" s="1" t="inlineStr"/>
      <c r="Q2999" s="1" t="inlineStr">
        <is>
          <t>Пользовательский интерфейс</t>
        </is>
      </c>
    </row>
    <row r="3000">
      <c r="B3000" s="1" t="inlineStr">
        <is>
          <t>214421507</t>
        </is>
      </c>
      <c r="C3000" s="1" t="inlineStr">
        <is>
          <t>15411209</t>
        </is>
      </c>
      <c r="D3000" t="inlineStr">
        <is>
          <t>работник 532</t>
        </is>
      </c>
      <c r="E3000" s="1" t="inlineStr">
        <is>
          <t>ОБЩЕСТВО С ОГРАНИЧЕННОЙ ОТВЕТСТВЕННОСТЬЮ "АМУР ЗОЛОТО"</t>
        </is>
      </c>
      <c r="F3000" s="1" t="inlineStr">
        <is>
          <t>2708001686</t>
        </is>
      </c>
      <c r="G3000" s="1" t="inlineStr">
        <is>
          <t>Машинист самоходной буровой установки</t>
        </is>
      </c>
      <c r="H3000" s="1" t="inlineStr">
        <is>
          <t>ООО "Амур Золото"</t>
        </is>
      </c>
      <c r="I3000" s="1" t="inlineStr">
        <is>
          <t>2708001686</t>
        </is>
      </c>
      <c r="J3000" s="1" t="inlineStr">
        <is>
          <t>ЮГОК ПГУ 26-38</t>
        </is>
      </c>
      <c r="K3000" s="1" t="inlineStr">
        <is>
          <t>Оказание первой помощи пострадавшим</t>
        </is>
      </c>
      <c r="L3000" s="1" t="inlineStr">
        <is>
          <t>22.07.2026</t>
        </is>
      </c>
      <c r="M3000" s="1" t="inlineStr">
        <is>
          <t>Успешно</t>
        </is>
      </c>
      <c r="N3000" s="1" t="inlineStr">
        <is>
          <t>11.08.2026</t>
        </is>
      </c>
      <c r="O3000" s="1" t="inlineStr"/>
      <c r="P3000" s="1" t="inlineStr"/>
      <c r="Q3000" s="1" t="inlineStr">
        <is>
          <t>Пользовательский интерфейс</t>
        </is>
      </c>
    </row>
    <row r="3001">
      <c r="B3001" s="1" t="inlineStr">
        <is>
          <t>214421508</t>
        </is>
      </c>
      <c r="C3001" s="1" t="inlineStr">
        <is>
          <t>15411209</t>
        </is>
      </c>
      <c r="D3001" t="inlineStr">
        <is>
          <t>работник 532</t>
        </is>
      </c>
      <c r="E3001" s="1" t="inlineStr">
        <is>
          <t>ОБЩЕСТВО С ОГРАНИЧЕННОЙ ОТВЕТСТВЕННОСТЬЮ "АМУР ЗОЛОТО"</t>
        </is>
      </c>
      <c r="F3001" s="1" t="inlineStr">
        <is>
          <t>2708001686</t>
        </is>
      </c>
      <c r="G3001" s="1" t="inlineStr">
        <is>
          <t>Машинист самоходной буровой установки</t>
        </is>
      </c>
      <c r="H3001" s="1" t="inlineStr">
        <is>
          <t>ООО "Амур Золото"</t>
        </is>
      </c>
      <c r="I3001" s="1" t="inlineStr">
        <is>
          <t>2708001686</t>
        </is>
      </c>
      <c r="J3001" s="1" t="inlineStr">
        <is>
          <t>ЮГОК ПГУ 26-38</t>
        </is>
      </c>
      <c r="K3001" s="1" t="inlineStr">
        <is>
          <t>Использование (применение) средств индивидуальной защиты</t>
        </is>
      </c>
      <c r="L3001" s="1" t="inlineStr">
        <is>
          <t>22.07.2026</t>
        </is>
      </c>
      <c r="M3001" s="1" t="inlineStr">
        <is>
          <t>Успешно</t>
        </is>
      </c>
      <c r="N3001" s="1" t="inlineStr">
        <is>
          <t>11.08.2026</t>
        </is>
      </c>
      <c r="O3001" s="1" t="inlineStr"/>
      <c r="P3001" s="1" t="inlineStr"/>
      <c r="Q3001" s="1" t="inlineStr">
        <is>
          <t>Пользовательский интерфейс</t>
        </is>
      </c>
    </row>
    <row r="3002">
      <c r="B3002" s="1" t="inlineStr">
        <is>
          <t>214421509</t>
        </is>
      </c>
      <c r="C3002" s="1" t="inlineStr">
        <is>
          <t>15411209</t>
        </is>
      </c>
      <c r="D3002" t="inlineStr">
        <is>
          <t>работник 532</t>
        </is>
      </c>
      <c r="E3002" s="1" t="inlineStr">
        <is>
          <t>ОБЩЕСТВО С ОГРАНИЧЕННОЙ ОТВЕТСТВЕННОСТЬЮ "АМУР ЗОЛОТО"</t>
        </is>
      </c>
      <c r="F3002" s="1" t="inlineStr">
        <is>
          <t>2708001686</t>
        </is>
      </c>
      <c r="G3002" s="1" t="inlineStr">
        <is>
          <t>Машинист самоходной буровой установки</t>
        </is>
      </c>
      <c r="H3002" s="1" t="inlineStr">
        <is>
          <t>ООО "Амур Золото"</t>
        </is>
      </c>
      <c r="I3002" s="1" t="inlineStr">
        <is>
          <t>2708001686</t>
        </is>
      </c>
      <c r="J3002" s="1" t="inlineStr">
        <is>
          <t>ЮГОК ПГУ 26-38</t>
        </is>
      </c>
      <c r="K300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002" s="1" t="inlineStr">
        <is>
          <t>22.07.2026</t>
        </is>
      </c>
      <c r="M3002" s="1" t="inlineStr">
        <is>
          <t>Успешно</t>
        </is>
      </c>
      <c r="N3002" s="1" t="inlineStr">
        <is>
          <t>11.08.2026</t>
        </is>
      </c>
      <c r="O3002" s="1" t="inlineStr"/>
      <c r="P3002" s="1" t="inlineStr"/>
      <c r="Q3002" s="1" t="inlineStr">
        <is>
          <t>Пользовательский интерфейс</t>
        </is>
      </c>
    </row>
    <row r="3003">
      <c r="B3003" s="1" t="inlineStr">
        <is>
          <t>214421510</t>
        </is>
      </c>
      <c r="C3003" s="1" t="inlineStr">
        <is>
          <t>15411209</t>
        </is>
      </c>
      <c r="D3003" t="inlineStr">
        <is>
          <t>работник 302</t>
        </is>
      </c>
      <c r="E3003" s="1" t="inlineStr">
        <is>
          <t>ОБЩЕСТВО С ОГРАНИЧЕННОЙ ОТВЕТСТВЕННОСТЬЮ "АМУР ЗОЛОТО"</t>
        </is>
      </c>
      <c r="F3003" s="1" t="inlineStr">
        <is>
          <t>2708001686</t>
        </is>
      </c>
      <c r="G3003" s="1" t="inlineStr">
        <is>
          <t>Машинист погрузочно-доставочной машины</t>
        </is>
      </c>
      <c r="H3003" s="1" t="inlineStr">
        <is>
          <t>ООО "Амур Золото"</t>
        </is>
      </c>
      <c r="I3003" s="1" t="inlineStr">
        <is>
          <t>2708001686</t>
        </is>
      </c>
      <c r="J3003" s="1" t="inlineStr">
        <is>
          <t>ЮГОК ПГУ 26-39</t>
        </is>
      </c>
      <c r="K3003" s="1" t="inlineStr">
        <is>
          <t>Оказание первой помощи пострадавшим</t>
        </is>
      </c>
      <c r="L3003" s="1" t="inlineStr">
        <is>
          <t>26.07.2026</t>
        </is>
      </c>
      <c r="M3003" s="1" t="inlineStr">
        <is>
          <t>Успешно</t>
        </is>
      </c>
      <c r="N3003" s="1" t="inlineStr">
        <is>
          <t>11.08.2026</t>
        </is>
      </c>
      <c r="O3003" s="1" t="inlineStr"/>
      <c r="P3003" s="1" t="inlineStr"/>
      <c r="Q3003" s="1" t="inlineStr">
        <is>
          <t>Пользовательский интерфейс</t>
        </is>
      </c>
    </row>
    <row r="3004">
      <c r="B3004" s="1" t="inlineStr">
        <is>
          <t>214421511</t>
        </is>
      </c>
      <c r="C3004" s="1" t="inlineStr">
        <is>
          <t>15411209</t>
        </is>
      </c>
      <c r="D3004" t="inlineStr">
        <is>
          <t>работник 302</t>
        </is>
      </c>
      <c r="E3004" s="1" t="inlineStr">
        <is>
          <t>ОБЩЕСТВО С ОГРАНИЧЕННОЙ ОТВЕТСТВЕННОСТЬЮ "АМУР ЗОЛОТО"</t>
        </is>
      </c>
      <c r="F3004" s="1" t="inlineStr">
        <is>
          <t>2708001686</t>
        </is>
      </c>
      <c r="G3004" s="1" t="inlineStr">
        <is>
          <t>Машинист погрузочно-доставочной машины</t>
        </is>
      </c>
      <c r="H3004" s="1" t="inlineStr">
        <is>
          <t>ООО "Амур Золото"</t>
        </is>
      </c>
      <c r="I3004" s="1" t="inlineStr">
        <is>
          <t>2708001686</t>
        </is>
      </c>
      <c r="J3004" s="1" t="inlineStr">
        <is>
          <t>ЮГОК ПГУ 26-39</t>
        </is>
      </c>
      <c r="K3004" s="1" t="inlineStr">
        <is>
          <t>Использование (применение) средств индивидуальной защиты</t>
        </is>
      </c>
      <c r="L3004" s="1" t="inlineStr">
        <is>
          <t>26.07.2026</t>
        </is>
      </c>
      <c r="M3004" s="1" t="inlineStr">
        <is>
          <t>Успешно</t>
        </is>
      </c>
      <c r="N3004" s="1" t="inlineStr">
        <is>
          <t>11.08.2026</t>
        </is>
      </c>
      <c r="O3004" s="1" t="inlineStr"/>
      <c r="P3004" s="1" t="inlineStr"/>
      <c r="Q3004" s="1" t="inlineStr">
        <is>
          <t>Пользовательский интерфейс</t>
        </is>
      </c>
    </row>
    <row r="3005">
      <c r="B3005" s="1" t="inlineStr">
        <is>
          <t>214421512</t>
        </is>
      </c>
      <c r="C3005" s="1" t="inlineStr">
        <is>
          <t>15411209</t>
        </is>
      </c>
      <c r="D3005" t="inlineStr">
        <is>
          <t>работник 302</t>
        </is>
      </c>
      <c r="E3005" s="1" t="inlineStr">
        <is>
          <t>ОБЩЕСТВО С ОГРАНИЧЕННОЙ ОТВЕТСТВЕННОСТЬЮ "АМУР ЗОЛОТО"</t>
        </is>
      </c>
      <c r="F3005" s="1" t="inlineStr">
        <is>
          <t>2708001686</t>
        </is>
      </c>
      <c r="G3005" s="1" t="inlineStr">
        <is>
          <t>Машинист погрузочно-доставочной машины</t>
        </is>
      </c>
      <c r="H3005" s="1" t="inlineStr">
        <is>
          <t>ООО "Амур Золото"</t>
        </is>
      </c>
      <c r="I3005" s="1" t="inlineStr">
        <is>
          <t>2708001686</t>
        </is>
      </c>
      <c r="J3005" s="1" t="inlineStr">
        <is>
          <t>ЮГОК ПГУ 26-39</t>
        </is>
      </c>
      <c r="K300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005" s="1" t="inlineStr">
        <is>
          <t>26.07.2026</t>
        </is>
      </c>
      <c r="M3005" s="1" t="inlineStr">
        <is>
          <t>Успешно</t>
        </is>
      </c>
      <c r="N3005" s="1" t="inlineStr">
        <is>
          <t>11.08.2026</t>
        </is>
      </c>
      <c r="O3005" s="1" t="inlineStr"/>
      <c r="P3005" s="1" t="inlineStr"/>
      <c r="Q3005" s="1" t="inlineStr">
        <is>
          <t>Пользовательский интерфейс</t>
        </is>
      </c>
    </row>
    <row r="3006">
      <c r="B3006" s="1" t="inlineStr">
        <is>
          <t>214421513</t>
        </is>
      </c>
      <c r="C3006" s="1" t="inlineStr">
        <is>
          <t>15411209</t>
        </is>
      </c>
      <c r="D3006" t="inlineStr">
        <is>
          <t>работник 852</t>
        </is>
      </c>
      <c r="E3006" s="1" t="inlineStr">
        <is>
          <t>ОБЩЕСТВО С ОГРАНИЧЕННОЙ ОТВЕТСТВЕННОСТЬЮ "АМУР ЗОЛОТО"</t>
        </is>
      </c>
      <c r="F3006" s="1" t="inlineStr">
        <is>
          <t>2708001686</t>
        </is>
      </c>
      <c r="G3006" s="1" t="inlineStr">
        <is>
          <t>Машинист самоходной буровой установки</t>
        </is>
      </c>
      <c r="H3006" s="1" t="inlineStr">
        <is>
          <t>ООО "Амур Золото"</t>
        </is>
      </c>
      <c r="I3006" s="1" t="inlineStr">
        <is>
          <t>2708001686</t>
        </is>
      </c>
      <c r="J3006" s="1" t="inlineStr">
        <is>
          <t>ЮГОК ПГУ 26-40</t>
        </is>
      </c>
      <c r="K3006" s="1" t="inlineStr">
        <is>
          <t>Использование (применение) средств индивидуальной защиты</t>
        </is>
      </c>
      <c r="L3006" s="1" t="inlineStr">
        <is>
          <t>28.07.2026</t>
        </is>
      </c>
      <c r="M3006" s="1" t="inlineStr">
        <is>
          <t>Успешно</t>
        </is>
      </c>
      <c r="N3006" s="1" t="inlineStr">
        <is>
          <t>11.08.2026</t>
        </is>
      </c>
      <c r="O3006" s="1" t="inlineStr"/>
      <c r="P3006" s="1" t="inlineStr"/>
      <c r="Q3006" s="1" t="inlineStr">
        <is>
          <t>Пользовательский интерфейс</t>
        </is>
      </c>
    </row>
    <row r="3007">
      <c r="B3007" s="1" t="inlineStr">
        <is>
          <t>214421514</t>
        </is>
      </c>
      <c r="C3007" s="1" t="inlineStr">
        <is>
          <t>15411209</t>
        </is>
      </c>
      <c r="D3007" t="inlineStr">
        <is>
          <t>работник 852</t>
        </is>
      </c>
      <c r="E3007" s="1" t="inlineStr">
        <is>
          <t>ОБЩЕСТВО С ОГРАНИЧЕННОЙ ОТВЕТСТВЕННОСТЬЮ "АМУР ЗОЛОТО"</t>
        </is>
      </c>
      <c r="F3007" s="1" t="inlineStr">
        <is>
          <t>2708001686</t>
        </is>
      </c>
      <c r="G3007" s="1" t="inlineStr">
        <is>
          <t>Машинист самоходной буровой установки</t>
        </is>
      </c>
      <c r="H3007" s="1" t="inlineStr">
        <is>
          <t>ООО "Амур Золото"</t>
        </is>
      </c>
      <c r="I3007" s="1" t="inlineStr">
        <is>
          <t>2708001686</t>
        </is>
      </c>
      <c r="J3007" s="1" t="inlineStr">
        <is>
          <t>ЮГОК ПГУ 26-40</t>
        </is>
      </c>
      <c r="K300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007" s="1" t="inlineStr">
        <is>
          <t>28.07.2026</t>
        </is>
      </c>
      <c r="M3007" s="1" t="inlineStr">
        <is>
          <t>Успешно</t>
        </is>
      </c>
      <c r="N3007" s="1" t="inlineStr">
        <is>
          <t>11.08.2026</t>
        </is>
      </c>
      <c r="O3007" s="1" t="inlineStr"/>
      <c r="P3007" s="1" t="inlineStr"/>
      <c r="Q3007" s="1" t="inlineStr">
        <is>
          <t>Пользовательский интерфейс</t>
        </is>
      </c>
    </row>
    <row r="3008">
      <c r="B3008" s="1" t="inlineStr">
        <is>
          <t>214421515</t>
        </is>
      </c>
      <c r="C3008" s="1" t="inlineStr">
        <is>
          <t>15411209</t>
        </is>
      </c>
      <c r="D3008" t="inlineStr">
        <is>
          <t>работник 780</t>
        </is>
      </c>
      <c r="E3008" s="1" t="inlineStr">
        <is>
          <t>ОБЩЕСТВО С ОГРАНИЧЕННОЙ ОТВЕТСТВЕННОСТЬЮ "АМУР ЗОЛОТО"</t>
        </is>
      </c>
      <c r="F3008" s="1" t="inlineStr">
        <is>
          <t>2708001686</t>
        </is>
      </c>
      <c r="G3008" s="1" t="inlineStr">
        <is>
          <t>Горный диспетчер</t>
        </is>
      </c>
      <c r="H3008" s="1" t="inlineStr">
        <is>
          <t>ООО "Амур Золото"</t>
        </is>
      </c>
      <c r="I3008" s="1" t="inlineStr">
        <is>
          <t>2708001686</t>
        </is>
      </c>
      <c r="J3008" s="1" t="inlineStr">
        <is>
          <t>ЮГОК ПГУ 26-41</t>
        </is>
      </c>
      <c r="K3008" s="1" t="inlineStr">
        <is>
          <t>Оказание первой помощи пострадавшим</t>
        </is>
      </c>
      <c r="L3008" s="1" t="inlineStr">
        <is>
          <t>28.07.2026</t>
        </is>
      </c>
      <c r="M3008" s="1" t="inlineStr">
        <is>
          <t>Успешно</t>
        </is>
      </c>
      <c r="N3008" s="1" t="inlineStr">
        <is>
          <t>11.08.2026</t>
        </is>
      </c>
      <c r="O3008" s="1" t="inlineStr"/>
      <c r="P3008" s="1" t="inlineStr"/>
      <c r="Q3008" s="1" t="inlineStr">
        <is>
          <t>Пользовательский интерфейс</t>
        </is>
      </c>
    </row>
    <row r="3009">
      <c r="B3009" s="1" t="inlineStr">
        <is>
          <t>214421516</t>
        </is>
      </c>
      <c r="C3009" s="1" t="inlineStr">
        <is>
          <t>15411209</t>
        </is>
      </c>
      <c r="D3009" t="inlineStr">
        <is>
          <t>работник 780</t>
        </is>
      </c>
      <c r="E3009" s="1" t="inlineStr">
        <is>
          <t>ОБЩЕСТВО С ОГРАНИЧЕННОЙ ОТВЕТСТВЕННОСТЬЮ "АМУР ЗОЛОТО"</t>
        </is>
      </c>
      <c r="F3009" s="1" t="inlineStr">
        <is>
          <t>2708001686</t>
        </is>
      </c>
      <c r="G3009" s="1" t="inlineStr">
        <is>
          <t>Горный диспетчер</t>
        </is>
      </c>
      <c r="H3009" s="1" t="inlineStr">
        <is>
          <t>ООО "Амур Золото"</t>
        </is>
      </c>
      <c r="I3009" s="1" t="inlineStr">
        <is>
          <t>2708001686</t>
        </is>
      </c>
      <c r="J3009" s="1" t="inlineStr">
        <is>
          <t>ЮГОК ПГУ 26-41</t>
        </is>
      </c>
      <c r="K3009" s="1" t="inlineStr">
        <is>
          <t>Использование (применение) средств индивидуальной защиты</t>
        </is>
      </c>
      <c r="L3009" s="1" t="inlineStr">
        <is>
          <t>28.07.2026</t>
        </is>
      </c>
      <c r="M3009" s="1" t="inlineStr">
        <is>
          <t>Успешно</t>
        </is>
      </c>
      <c r="N3009" s="1" t="inlineStr">
        <is>
          <t>11.08.2026</t>
        </is>
      </c>
      <c r="O3009" s="1" t="inlineStr"/>
      <c r="P3009" s="1" t="inlineStr"/>
      <c r="Q3009" s="1" t="inlineStr">
        <is>
          <t>Пользовательский интерфейс</t>
        </is>
      </c>
    </row>
    <row r="3010">
      <c r="B3010" s="1" t="inlineStr">
        <is>
          <t>214421517</t>
        </is>
      </c>
      <c r="C3010" s="1" t="inlineStr">
        <is>
          <t>15411209</t>
        </is>
      </c>
      <c r="D3010" t="inlineStr">
        <is>
          <t>работник 780</t>
        </is>
      </c>
      <c r="E3010" s="1" t="inlineStr">
        <is>
          <t>ОБЩЕСТВО С ОГРАНИЧЕННОЙ ОТВЕТСТВЕННОСТЬЮ "АМУР ЗОЛОТО"</t>
        </is>
      </c>
      <c r="F3010" s="1" t="inlineStr">
        <is>
          <t>2708001686</t>
        </is>
      </c>
      <c r="G3010" s="1" t="inlineStr">
        <is>
          <t>Горный диспетчер</t>
        </is>
      </c>
      <c r="H3010" s="1" t="inlineStr">
        <is>
          <t>ООО "Амур Золото"</t>
        </is>
      </c>
      <c r="I3010" s="1" t="inlineStr">
        <is>
          <t>2708001686</t>
        </is>
      </c>
      <c r="J3010" s="1" t="inlineStr">
        <is>
          <t>ЮГОК ПГУ 26-41</t>
        </is>
      </c>
      <c r="K301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010" s="1" t="inlineStr">
        <is>
          <t>28.07.2026</t>
        </is>
      </c>
      <c r="M3010" s="1" t="inlineStr">
        <is>
          <t>Успешно</t>
        </is>
      </c>
      <c r="N3010" s="1" t="inlineStr">
        <is>
          <t>11.08.2026</t>
        </is>
      </c>
      <c r="O3010" s="1" t="inlineStr"/>
      <c r="P3010" s="1" t="inlineStr"/>
      <c r="Q3010" s="1" t="inlineStr">
        <is>
          <t>Пользовательский интерфейс</t>
        </is>
      </c>
    </row>
    <row r="3011">
      <c r="B3011" s="1" t="inlineStr">
        <is>
          <t>214421518</t>
        </is>
      </c>
      <c r="C3011" s="1" t="inlineStr">
        <is>
          <t>15411209</t>
        </is>
      </c>
      <c r="D3011" t="inlineStr">
        <is>
          <t>работник 158</t>
        </is>
      </c>
      <c r="E3011" s="1" t="inlineStr">
        <is>
          <t>ОБЩЕСТВО С ОГРАНИЧЕННОЙ ОТВЕТСТВЕННОСТЬЮ "АМУР ЗОЛОТО"</t>
        </is>
      </c>
      <c r="F3011" s="1" t="inlineStr">
        <is>
          <t>2708001686</t>
        </is>
      </c>
      <c r="G3011" s="1" t="inlineStr">
        <is>
          <t>Горный диспетчер</t>
        </is>
      </c>
      <c r="H3011" s="1" t="inlineStr">
        <is>
          <t>ООО "Амур Золото"</t>
        </is>
      </c>
      <c r="I3011" s="1" t="inlineStr">
        <is>
          <t>2708001686</t>
        </is>
      </c>
      <c r="J3011" s="1" t="inlineStr">
        <is>
          <t>ЮГОК ПГУ 26-41</t>
        </is>
      </c>
      <c r="K3011" s="1" t="inlineStr">
        <is>
          <t>Оказание первой помощи пострадавшим</t>
        </is>
      </c>
      <c r="L3011" s="1" t="inlineStr">
        <is>
          <t>28.07.2026</t>
        </is>
      </c>
      <c r="M3011" s="1" t="inlineStr">
        <is>
          <t>Успешно</t>
        </is>
      </c>
      <c r="N3011" s="1" t="inlineStr">
        <is>
          <t>11.08.2026</t>
        </is>
      </c>
      <c r="O3011" s="1" t="inlineStr"/>
      <c r="P3011" s="1" t="inlineStr"/>
      <c r="Q3011" s="1" t="inlineStr">
        <is>
          <t>Пользовательский интерфейс</t>
        </is>
      </c>
    </row>
    <row r="3012">
      <c r="B3012" s="1" t="inlineStr">
        <is>
          <t>214421519</t>
        </is>
      </c>
      <c r="C3012" s="1" t="inlineStr">
        <is>
          <t>15411209</t>
        </is>
      </c>
      <c r="D3012" t="inlineStr">
        <is>
          <t>работник 158</t>
        </is>
      </c>
      <c r="E3012" s="1" t="inlineStr">
        <is>
          <t>ОБЩЕСТВО С ОГРАНИЧЕННОЙ ОТВЕТСТВЕННОСТЬЮ "АМУР ЗОЛОТО"</t>
        </is>
      </c>
      <c r="F3012" s="1" t="inlineStr">
        <is>
          <t>2708001686</t>
        </is>
      </c>
      <c r="G3012" s="1" t="inlineStr">
        <is>
          <t>Горный диспетчер</t>
        </is>
      </c>
      <c r="H3012" s="1" t="inlineStr">
        <is>
          <t>ООО "Амур Золото"</t>
        </is>
      </c>
      <c r="I3012" s="1" t="inlineStr">
        <is>
          <t>2708001686</t>
        </is>
      </c>
      <c r="J3012" s="1" t="inlineStr">
        <is>
          <t>ЮГОК ПГУ 26-41</t>
        </is>
      </c>
      <c r="K3012" s="1" t="inlineStr">
        <is>
          <t>Использование (применение) средств индивидуальной защиты</t>
        </is>
      </c>
      <c r="L3012" s="1" t="inlineStr">
        <is>
          <t>28.07.2026</t>
        </is>
      </c>
      <c r="M3012" s="1" t="inlineStr">
        <is>
          <t>Успешно</t>
        </is>
      </c>
      <c r="N3012" s="1" t="inlineStr">
        <is>
          <t>11.08.2026</t>
        </is>
      </c>
      <c r="O3012" s="1" t="inlineStr"/>
      <c r="P3012" s="1" t="inlineStr"/>
      <c r="Q3012" s="1" t="inlineStr">
        <is>
          <t>Пользовательский интерфейс</t>
        </is>
      </c>
    </row>
    <row r="3013">
      <c r="B3013" s="1" t="inlineStr">
        <is>
          <t>214421520</t>
        </is>
      </c>
      <c r="C3013" s="1" t="inlineStr">
        <is>
          <t>15411209</t>
        </is>
      </c>
      <c r="D3013" t="inlineStr">
        <is>
          <t>работник 158</t>
        </is>
      </c>
      <c r="E3013" s="1" t="inlineStr">
        <is>
          <t>ОБЩЕСТВО С ОГРАНИЧЕННОЙ ОТВЕТСТВЕННОСТЬЮ "АМУР ЗОЛОТО"</t>
        </is>
      </c>
      <c r="F3013" s="1" t="inlineStr">
        <is>
          <t>2708001686</t>
        </is>
      </c>
      <c r="G3013" s="1" t="inlineStr">
        <is>
          <t>Горный диспетчер</t>
        </is>
      </c>
      <c r="H3013" s="1" t="inlineStr">
        <is>
          <t>ООО "Амур Золото"</t>
        </is>
      </c>
      <c r="I3013" s="1" t="inlineStr">
        <is>
          <t>2708001686</t>
        </is>
      </c>
      <c r="J3013" s="1" t="inlineStr">
        <is>
          <t>ЮГОК ПГУ 26-41</t>
        </is>
      </c>
      <c r="K301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013" s="1" t="inlineStr">
        <is>
          <t>28.07.2026</t>
        </is>
      </c>
      <c r="M3013" s="1" t="inlineStr">
        <is>
          <t>Успешно</t>
        </is>
      </c>
      <c r="N3013" s="1" t="inlineStr">
        <is>
          <t>11.08.2026</t>
        </is>
      </c>
      <c r="O3013" s="1" t="inlineStr"/>
      <c r="P3013" s="1" t="inlineStr"/>
      <c r="Q3013" s="1" t="inlineStr">
        <is>
          <t>Пользовательский интерфейс</t>
        </is>
      </c>
    </row>
    <row r="3014">
      <c r="B3014" s="1" t="inlineStr">
        <is>
          <t>214421521</t>
        </is>
      </c>
      <c r="C3014" s="1" t="inlineStr">
        <is>
          <t>15411209</t>
        </is>
      </c>
      <c r="D3014" t="inlineStr">
        <is>
          <t>работник 663</t>
        </is>
      </c>
      <c r="E3014" s="1" t="inlineStr">
        <is>
          <t>ОБЩЕСТВО С ОГРАНИЧЕННОЙ ОТВЕТСТВЕННОСТЬЮ "АМУР ЗОЛОТО"</t>
        </is>
      </c>
      <c r="F3014" s="1" t="inlineStr">
        <is>
          <t>2708001686</t>
        </is>
      </c>
      <c r="G3014" s="1" t="inlineStr">
        <is>
          <t>Проходчик (с исполнением обязанностей взрывника)</t>
        </is>
      </c>
      <c r="H3014" s="1" t="inlineStr">
        <is>
          <t>ООО "Амур Золото"</t>
        </is>
      </c>
      <c r="I3014" s="1" t="inlineStr">
        <is>
          <t>2708001686</t>
        </is>
      </c>
      <c r="J3014" s="1" t="inlineStr">
        <is>
          <t>ЮГОК ПГУ 26-42</t>
        </is>
      </c>
      <c r="K3014" s="1" t="inlineStr">
        <is>
          <t>Оказание первой помощи пострадавшим</t>
        </is>
      </c>
      <c r="L3014" s="1" t="inlineStr">
        <is>
          <t>28.07.2026</t>
        </is>
      </c>
      <c r="M3014" s="1" t="inlineStr">
        <is>
          <t>Успешно</t>
        </is>
      </c>
      <c r="N3014" s="1" t="inlineStr">
        <is>
          <t>11.08.2026</t>
        </is>
      </c>
      <c r="O3014" s="1" t="inlineStr"/>
      <c r="P3014" s="1" t="inlineStr"/>
      <c r="Q3014" s="1" t="inlineStr">
        <is>
          <t>Пользовательский интерфейс</t>
        </is>
      </c>
    </row>
    <row r="3015">
      <c r="B3015" s="1" t="inlineStr">
        <is>
          <t>214421522</t>
        </is>
      </c>
      <c r="C3015" s="1" t="inlineStr">
        <is>
          <t>15411209</t>
        </is>
      </c>
      <c r="D3015" t="inlineStr">
        <is>
          <t>работник 663</t>
        </is>
      </c>
      <c r="E3015" s="1" t="inlineStr">
        <is>
          <t>ОБЩЕСТВО С ОГРАНИЧЕННОЙ ОТВЕТСТВЕННОСТЬЮ "АМУР ЗОЛОТО"</t>
        </is>
      </c>
      <c r="F3015" s="1" t="inlineStr">
        <is>
          <t>2708001686</t>
        </is>
      </c>
      <c r="G3015" s="1" t="inlineStr">
        <is>
          <t>Проходчик (с исполнением обязанностей взрывника)</t>
        </is>
      </c>
      <c r="H3015" s="1" t="inlineStr">
        <is>
          <t>ООО "Амур Золото"</t>
        </is>
      </c>
      <c r="I3015" s="1" t="inlineStr">
        <is>
          <t>2708001686</t>
        </is>
      </c>
      <c r="J3015" s="1" t="inlineStr">
        <is>
          <t>ЮГОК ПГУ 26-42</t>
        </is>
      </c>
      <c r="K3015" s="1" t="inlineStr">
        <is>
          <t>Использование (применение) средств индивидуальной защиты</t>
        </is>
      </c>
      <c r="L3015" s="1" t="inlineStr">
        <is>
          <t>28.07.2026</t>
        </is>
      </c>
      <c r="M3015" s="1" t="inlineStr">
        <is>
          <t>Успешно</t>
        </is>
      </c>
      <c r="N3015" s="1" t="inlineStr">
        <is>
          <t>11.08.2026</t>
        </is>
      </c>
      <c r="O3015" s="1" t="inlineStr"/>
      <c r="P3015" s="1" t="inlineStr"/>
      <c r="Q3015" s="1" t="inlineStr">
        <is>
          <t>Пользовательский интерфейс</t>
        </is>
      </c>
    </row>
    <row r="3016">
      <c r="B3016" s="1" t="inlineStr">
        <is>
          <t>214421523</t>
        </is>
      </c>
      <c r="C3016" s="1" t="inlineStr">
        <is>
          <t>15411209</t>
        </is>
      </c>
      <c r="D3016" t="inlineStr">
        <is>
          <t>работник 663</t>
        </is>
      </c>
      <c r="E3016" s="1" t="inlineStr">
        <is>
          <t>ОБЩЕСТВО С ОГРАНИЧЕННОЙ ОТВЕТСТВЕННОСТЬЮ "АМУР ЗОЛОТО"</t>
        </is>
      </c>
      <c r="F3016" s="1" t="inlineStr">
        <is>
          <t>2708001686</t>
        </is>
      </c>
      <c r="G3016" s="1" t="inlineStr">
        <is>
          <t>Проходчик (с исполнением обязанностей взрывника)</t>
        </is>
      </c>
      <c r="H3016" s="1" t="inlineStr">
        <is>
          <t>ООО "Амур Золото"</t>
        </is>
      </c>
      <c r="I3016" s="1" t="inlineStr">
        <is>
          <t>2708001686</t>
        </is>
      </c>
      <c r="J3016" s="1" t="inlineStr">
        <is>
          <t>ЮГОК ПГУ 26-42</t>
        </is>
      </c>
      <c r="K301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016" s="1" t="inlineStr">
        <is>
          <t>28.07.2026</t>
        </is>
      </c>
      <c r="M3016" s="1" t="inlineStr">
        <is>
          <t>Успешно</t>
        </is>
      </c>
      <c r="N3016" s="1" t="inlineStr">
        <is>
          <t>11.08.2026</t>
        </is>
      </c>
      <c r="O3016" s="1" t="inlineStr"/>
      <c r="P3016" s="1" t="inlineStr"/>
      <c r="Q3016" s="1" t="inlineStr">
        <is>
          <t>Пользовательский интерфейс</t>
        </is>
      </c>
    </row>
    <row r="3017">
      <c r="B3017" s="1" t="inlineStr">
        <is>
          <t>214421725</t>
        </is>
      </c>
      <c r="C3017" s="1" t="inlineStr">
        <is>
          <t>15411233</t>
        </is>
      </c>
      <c r="D3017" t="inlineStr">
        <is>
          <t>работник 854</t>
        </is>
      </c>
      <c r="E3017" s="1" t="inlineStr">
        <is>
          <t>ОБЩЕСТВО С ОГРАНИЧЕННОЙ ОТВЕТСТВЕННОСТЬЮ "АМУР ЗОЛОТО"</t>
        </is>
      </c>
      <c r="F3017" s="1" t="inlineStr">
        <is>
          <t>2708001686</t>
        </is>
      </c>
      <c r="G3017" s="1" t="inlineStr">
        <is>
          <t>Уборщик производственных и служебных помещений</t>
        </is>
      </c>
      <c r="H3017" s="1" t="inlineStr">
        <is>
          <t>ООО "Амур Золото"</t>
        </is>
      </c>
      <c r="I3017" s="1" t="inlineStr">
        <is>
          <t>2708001686</t>
        </is>
      </c>
      <c r="J3017" s="1" t="inlineStr">
        <is>
          <t>ЮГОК АХЧ 26-43</t>
        </is>
      </c>
      <c r="K3017" s="1" t="inlineStr">
        <is>
          <t>Оказание первой помощи пострадавшим</t>
        </is>
      </c>
      <c r="L3017" s="1" t="inlineStr">
        <is>
          <t>02.07.2026</t>
        </is>
      </c>
      <c r="M3017" s="1" t="inlineStr">
        <is>
          <t>Успешно</t>
        </is>
      </c>
      <c r="N3017" s="1" t="inlineStr">
        <is>
          <t>11.08.2026</t>
        </is>
      </c>
      <c r="O3017" s="1" t="inlineStr"/>
      <c r="P3017" s="1" t="inlineStr"/>
      <c r="Q3017" s="1" t="inlineStr">
        <is>
          <t>Пользовательский интерфейс</t>
        </is>
      </c>
    </row>
    <row r="3018">
      <c r="B3018" s="1" t="inlineStr">
        <is>
          <t>214421726</t>
        </is>
      </c>
      <c r="C3018" s="1" t="inlineStr">
        <is>
          <t>15411233</t>
        </is>
      </c>
      <c r="D3018" t="inlineStr">
        <is>
          <t>работник 854</t>
        </is>
      </c>
      <c r="E3018" s="1" t="inlineStr">
        <is>
          <t>ОБЩЕСТВО С ОГРАНИЧЕННОЙ ОТВЕТСТВЕННОСТЬЮ "АМУР ЗОЛОТО"</t>
        </is>
      </c>
      <c r="F3018" s="1" t="inlineStr">
        <is>
          <t>2708001686</t>
        </is>
      </c>
      <c r="G3018" s="1" t="inlineStr">
        <is>
          <t>Уборщик производственных и служебных помещений</t>
        </is>
      </c>
      <c r="H3018" s="1" t="inlineStr">
        <is>
          <t>ООО "Амур Золото"</t>
        </is>
      </c>
      <c r="I3018" s="1" t="inlineStr">
        <is>
          <t>2708001686</t>
        </is>
      </c>
      <c r="J3018" s="1" t="inlineStr">
        <is>
          <t>ЮГОК АХЧ 26-43</t>
        </is>
      </c>
      <c r="K3018" s="1" t="inlineStr">
        <is>
          <t>Использование (применение) средств индивидуальной защиты</t>
        </is>
      </c>
      <c r="L3018" s="1" t="inlineStr">
        <is>
          <t>02.07.2026</t>
        </is>
      </c>
      <c r="M3018" s="1" t="inlineStr">
        <is>
          <t>Успешно</t>
        </is>
      </c>
      <c r="N3018" s="1" t="inlineStr">
        <is>
          <t>11.08.2026</t>
        </is>
      </c>
      <c r="O3018" s="1" t="inlineStr"/>
      <c r="P3018" s="1" t="inlineStr"/>
      <c r="Q3018" s="1" t="inlineStr">
        <is>
          <t>Пользовательский интерфейс</t>
        </is>
      </c>
    </row>
    <row r="3019">
      <c r="B3019" s="1" t="inlineStr">
        <is>
          <t>214421727</t>
        </is>
      </c>
      <c r="C3019" s="1" t="inlineStr">
        <is>
          <t>15411233</t>
        </is>
      </c>
      <c r="D3019" t="inlineStr">
        <is>
          <t>работник 854</t>
        </is>
      </c>
      <c r="E3019" s="1" t="inlineStr">
        <is>
          <t>ОБЩЕСТВО С ОГРАНИЧЕННОЙ ОТВЕТСТВЕННОСТЬЮ "АМУР ЗОЛОТО"</t>
        </is>
      </c>
      <c r="F3019" s="1" t="inlineStr">
        <is>
          <t>2708001686</t>
        </is>
      </c>
      <c r="G3019" s="1" t="inlineStr">
        <is>
          <t>Уборщик производственных и служебных помещений</t>
        </is>
      </c>
      <c r="H3019" s="1" t="inlineStr">
        <is>
          <t>ООО "Амур Золото"</t>
        </is>
      </c>
      <c r="I3019" s="1" t="inlineStr">
        <is>
          <t>2708001686</t>
        </is>
      </c>
      <c r="J3019" s="1" t="inlineStr">
        <is>
          <t>ЮГОК АХЧ 26-43</t>
        </is>
      </c>
      <c r="K301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019" s="1" t="inlineStr">
        <is>
          <t>02.07.2026</t>
        </is>
      </c>
      <c r="M3019" s="1" t="inlineStr">
        <is>
          <t>Успешно</t>
        </is>
      </c>
      <c r="N3019" s="1" t="inlineStr">
        <is>
          <t>11.08.2026</t>
        </is>
      </c>
      <c r="O3019" s="1" t="inlineStr"/>
      <c r="P3019" s="1" t="inlineStr"/>
      <c r="Q3019" s="1" t="inlineStr">
        <is>
          <t>Пользовательский интерфейс</t>
        </is>
      </c>
    </row>
    <row r="3020">
      <c r="B3020" s="1" t="inlineStr">
        <is>
          <t>214421728</t>
        </is>
      </c>
      <c r="C3020" s="1" t="inlineStr">
        <is>
          <t>15411233</t>
        </is>
      </c>
      <c r="D3020" t="inlineStr">
        <is>
          <t>работник 350</t>
        </is>
      </c>
      <c r="E3020" s="1" t="inlineStr">
        <is>
          <t>ОБЩЕСТВО С ОГРАНИЧЕННОЙ ОТВЕТСТВЕННОСТЬЮ "АМУР ЗОЛОТО"</t>
        </is>
      </c>
      <c r="F3020" s="1" t="inlineStr">
        <is>
          <t>2708001686</t>
        </is>
      </c>
      <c r="G3020" s="1" t="inlineStr">
        <is>
          <t>Уборщик производственных и служебных помещений</t>
        </is>
      </c>
      <c r="H3020" s="1" t="inlineStr">
        <is>
          <t>ООО "Амур Золото"</t>
        </is>
      </c>
      <c r="I3020" s="1" t="inlineStr">
        <is>
          <t>2708001686</t>
        </is>
      </c>
      <c r="J3020" s="1" t="inlineStr">
        <is>
          <t>ЮГОК АХЧ 26-43</t>
        </is>
      </c>
      <c r="K3020" s="1" t="inlineStr">
        <is>
          <t>Оказание первой помощи пострадавшим</t>
        </is>
      </c>
      <c r="L3020" s="1" t="inlineStr">
        <is>
          <t>02.07.2026</t>
        </is>
      </c>
      <c r="M3020" s="1" t="inlineStr">
        <is>
          <t>Успешно</t>
        </is>
      </c>
      <c r="N3020" s="1" t="inlineStr">
        <is>
          <t>11.08.2026</t>
        </is>
      </c>
      <c r="O3020" s="1" t="inlineStr"/>
      <c r="P3020" s="1" t="inlineStr"/>
      <c r="Q3020" s="1" t="inlineStr">
        <is>
          <t>Пользовательский интерфейс</t>
        </is>
      </c>
    </row>
    <row r="3021">
      <c r="B3021" s="1" t="inlineStr">
        <is>
          <t>214421729</t>
        </is>
      </c>
      <c r="C3021" s="1" t="inlineStr">
        <is>
          <t>15411233</t>
        </is>
      </c>
      <c r="D3021" t="inlineStr">
        <is>
          <t>работник 350</t>
        </is>
      </c>
      <c r="E3021" s="1" t="inlineStr">
        <is>
          <t>ОБЩЕСТВО С ОГРАНИЧЕННОЙ ОТВЕТСТВЕННОСТЬЮ "АМУР ЗОЛОТО"</t>
        </is>
      </c>
      <c r="F3021" s="1" t="inlineStr">
        <is>
          <t>2708001686</t>
        </is>
      </c>
      <c r="G3021" s="1" t="inlineStr">
        <is>
          <t>Уборщик производственных и служебных помещений</t>
        </is>
      </c>
      <c r="H3021" s="1" t="inlineStr">
        <is>
          <t>ООО "Амур Золото"</t>
        </is>
      </c>
      <c r="I3021" s="1" t="inlineStr">
        <is>
          <t>2708001686</t>
        </is>
      </c>
      <c r="J3021" s="1" t="inlineStr">
        <is>
          <t>ЮГОК АХЧ 26-43</t>
        </is>
      </c>
      <c r="K3021" s="1" t="inlineStr">
        <is>
          <t>Использование (применение) средств индивидуальной защиты</t>
        </is>
      </c>
      <c r="L3021" s="1" t="inlineStr">
        <is>
          <t>02.07.2026</t>
        </is>
      </c>
      <c r="M3021" s="1" t="inlineStr">
        <is>
          <t>Успешно</t>
        </is>
      </c>
      <c r="N3021" s="1" t="inlineStr">
        <is>
          <t>11.08.2026</t>
        </is>
      </c>
      <c r="O3021" s="1" t="inlineStr"/>
      <c r="P3021" s="1" t="inlineStr"/>
      <c r="Q3021" s="1" t="inlineStr">
        <is>
          <t>Пользовательский интерфейс</t>
        </is>
      </c>
    </row>
    <row r="3022">
      <c r="B3022" s="1" t="inlineStr">
        <is>
          <t>214421730</t>
        </is>
      </c>
      <c r="C3022" s="1" t="inlineStr">
        <is>
          <t>15411233</t>
        </is>
      </c>
      <c r="D3022" t="inlineStr">
        <is>
          <t>работник 350</t>
        </is>
      </c>
      <c r="E3022" s="1" t="inlineStr">
        <is>
          <t>ОБЩЕСТВО С ОГРАНИЧЕННОЙ ОТВЕТСТВЕННОСТЬЮ "АМУР ЗОЛОТО"</t>
        </is>
      </c>
      <c r="F3022" s="1" t="inlineStr">
        <is>
          <t>2708001686</t>
        </is>
      </c>
      <c r="G3022" s="1" t="inlineStr">
        <is>
          <t>Уборщик производственных и служебных помещений</t>
        </is>
      </c>
      <c r="H3022" s="1" t="inlineStr">
        <is>
          <t>ООО "Амур Золото"</t>
        </is>
      </c>
      <c r="I3022" s="1" t="inlineStr">
        <is>
          <t>2708001686</t>
        </is>
      </c>
      <c r="J3022" s="1" t="inlineStr">
        <is>
          <t>ЮГОК АХЧ 26-43</t>
        </is>
      </c>
      <c r="K302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022" s="1" t="inlineStr">
        <is>
          <t>02.07.2026</t>
        </is>
      </c>
      <c r="M3022" s="1" t="inlineStr">
        <is>
          <t>Успешно</t>
        </is>
      </c>
      <c r="N3022" s="1" t="inlineStr">
        <is>
          <t>11.08.2026</t>
        </is>
      </c>
      <c r="O3022" s="1" t="inlineStr"/>
      <c r="P3022" s="1" t="inlineStr"/>
      <c r="Q3022" s="1" t="inlineStr">
        <is>
          <t>Пользовательский интерфейс</t>
        </is>
      </c>
    </row>
    <row r="3023">
      <c r="B3023" s="1" t="inlineStr">
        <is>
          <t>214421731</t>
        </is>
      </c>
      <c r="C3023" s="1" t="inlineStr">
        <is>
          <t>15411233</t>
        </is>
      </c>
      <c r="D3023" t="inlineStr">
        <is>
          <t>работник 855</t>
        </is>
      </c>
      <c r="E3023" s="1" t="inlineStr">
        <is>
          <t>ОБЩЕСТВО С ОГРАНИЧЕННОЙ ОТВЕТСТВЕННОСТЬЮ "АМУР ЗОЛОТО"</t>
        </is>
      </c>
      <c r="F3023" s="1" t="inlineStr">
        <is>
          <t>2708001686</t>
        </is>
      </c>
      <c r="G3023" s="1" t="inlineStr">
        <is>
          <t>Уборщик производственных и служебных помещений</t>
        </is>
      </c>
      <c r="H3023" s="1" t="inlineStr">
        <is>
          <t>ООО "Амур Золото"</t>
        </is>
      </c>
      <c r="I3023" s="1" t="inlineStr">
        <is>
          <t>2708001686</t>
        </is>
      </c>
      <c r="J3023" s="1" t="inlineStr">
        <is>
          <t>ЮГОК АХЧ 26-43</t>
        </is>
      </c>
      <c r="K3023" s="1" t="inlineStr">
        <is>
          <t>Оказание первой помощи пострадавшим</t>
        </is>
      </c>
      <c r="L3023" s="1" t="inlineStr">
        <is>
          <t>02.07.2026</t>
        </is>
      </c>
      <c r="M3023" s="1" t="inlineStr">
        <is>
          <t>Успешно</t>
        </is>
      </c>
      <c r="N3023" s="1" t="inlineStr">
        <is>
          <t>11.08.2026</t>
        </is>
      </c>
      <c r="O3023" s="1" t="inlineStr"/>
      <c r="P3023" s="1" t="inlineStr"/>
      <c r="Q3023" s="1" t="inlineStr">
        <is>
          <t>Пользовательский интерфейс</t>
        </is>
      </c>
    </row>
    <row r="3024">
      <c r="B3024" s="1" t="inlineStr">
        <is>
          <t>214421732</t>
        </is>
      </c>
      <c r="C3024" s="1" t="inlineStr">
        <is>
          <t>15411233</t>
        </is>
      </c>
      <c r="D3024" t="inlineStr">
        <is>
          <t>работник 855</t>
        </is>
      </c>
      <c r="E3024" s="1" t="inlineStr">
        <is>
          <t>ОБЩЕСТВО С ОГРАНИЧЕННОЙ ОТВЕТСТВЕННОСТЬЮ "АМУР ЗОЛОТО"</t>
        </is>
      </c>
      <c r="F3024" s="1" t="inlineStr">
        <is>
          <t>2708001686</t>
        </is>
      </c>
      <c r="G3024" s="1" t="inlineStr">
        <is>
          <t>Уборщик производственных и служебных помещений</t>
        </is>
      </c>
      <c r="H3024" s="1" t="inlineStr">
        <is>
          <t>ООО "Амур Золото"</t>
        </is>
      </c>
      <c r="I3024" s="1" t="inlineStr">
        <is>
          <t>2708001686</t>
        </is>
      </c>
      <c r="J3024" s="1" t="inlineStr">
        <is>
          <t>ЮГОК АХЧ 26-43</t>
        </is>
      </c>
      <c r="K3024" s="1" t="inlineStr">
        <is>
          <t>Использование (применение) средств индивидуальной защиты</t>
        </is>
      </c>
      <c r="L3024" s="1" t="inlineStr">
        <is>
          <t>02.07.2026</t>
        </is>
      </c>
      <c r="M3024" s="1" t="inlineStr">
        <is>
          <t>Успешно</t>
        </is>
      </c>
      <c r="N3024" s="1" t="inlineStr">
        <is>
          <t>11.08.2026</t>
        </is>
      </c>
      <c r="O3024" s="1" t="inlineStr"/>
      <c r="P3024" s="1" t="inlineStr"/>
      <c r="Q3024" s="1" t="inlineStr">
        <is>
          <t>Пользовательский интерфейс</t>
        </is>
      </c>
    </row>
    <row r="3025">
      <c r="B3025" s="1" t="inlineStr">
        <is>
          <t>214421733</t>
        </is>
      </c>
      <c r="C3025" s="1" t="inlineStr">
        <is>
          <t>15411233</t>
        </is>
      </c>
      <c r="D3025" t="inlineStr">
        <is>
          <t>работник 855</t>
        </is>
      </c>
      <c r="E3025" s="1" t="inlineStr">
        <is>
          <t>ОБЩЕСТВО С ОГРАНИЧЕННОЙ ОТВЕТСТВЕННОСТЬЮ "АМУР ЗОЛОТО"</t>
        </is>
      </c>
      <c r="F3025" s="1" t="inlineStr">
        <is>
          <t>2708001686</t>
        </is>
      </c>
      <c r="G3025" s="1" t="inlineStr">
        <is>
          <t>Уборщик производственных и служебных помещений</t>
        </is>
      </c>
      <c r="H3025" s="1" t="inlineStr">
        <is>
          <t>ООО "Амур Золото"</t>
        </is>
      </c>
      <c r="I3025" s="1" t="inlineStr">
        <is>
          <t>2708001686</t>
        </is>
      </c>
      <c r="J3025" s="1" t="inlineStr">
        <is>
          <t>ЮГОК АХЧ 26-43</t>
        </is>
      </c>
      <c r="K302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025" s="1" t="inlineStr">
        <is>
          <t>02.07.2026</t>
        </is>
      </c>
      <c r="M3025" s="1" t="inlineStr">
        <is>
          <t>Успешно</t>
        </is>
      </c>
      <c r="N3025" s="1" t="inlineStr">
        <is>
          <t>11.08.2026</t>
        </is>
      </c>
      <c r="O3025" s="1" t="inlineStr"/>
      <c r="P3025" s="1" t="inlineStr"/>
      <c r="Q3025" s="1" t="inlineStr">
        <is>
          <t>Пользовательский интерфейс</t>
        </is>
      </c>
    </row>
    <row r="3026">
      <c r="B3026" s="1" t="inlineStr">
        <is>
          <t>214421734</t>
        </is>
      </c>
      <c r="C3026" s="1" t="inlineStr">
        <is>
          <t>15411233</t>
        </is>
      </c>
      <c r="D3026" t="inlineStr">
        <is>
          <t>работник 856</t>
        </is>
      </c>
      <c r="E3026" s="1" t="inlineStr">
        <is>
          <t>ОБЩЕСТВО С ОГРАНИЧЕННОЙ ОТВЕТСТВЕННОСТЬЮ "АМУР ЗОЛОТО"</t>
        </is>
      </c>
      <c r="F3026" s="1" t="inlineStr">
        <is>
          <t>2708001686</t>
        </is>
      </c>
      <c r="G3026" s="1" t="inlineStr">
        <is>
          <t>Подсобный рабочий</t>
        </is>
      </c>
      <c r="H3026" s="1" t="inlineStr">
        <is>
          <t>ООО "Амур Золото"</t>
        </is>
      </c>
      <c r="I3026" s="1" t="inlineStr">
        <is>
          <t>2708001686</t>
        </is>
      </c>
      <c r="J3026" s="1" t="inlineStr">
        <is>
          <t>ЮГОК АХЧ 26-43</t>
        </is>
      </c>
      <c r="K3026" s="1" t="inlineStr">
        <is>
          <t>Оказание первой помощи пострадавшим</t>
        </is>
      </c>
      <c r="L3026" s="1" t="inlineStr">
        <is>
          <t>02.07.2026</t>
        </is>
      </c>
      <c r="M3026" s="1" t="inlineStr">
        <is>
          <t>Успешно</t>
        </is>
      </c>
      <c r="N3026" s="1" t="inlineStr">
        <is>
          <t>11.08.2026</t>
        </is>
      </c>
      <c r="O3026" s="1" t="inlineStr"/>
      <c r="P3026" s="1" t="inlineStr"/>
      <c r="Q3026" s="1" t="inlineStr">
        <is>
          <t>Пользовательский интерфейс</t>
        </is>
      </c>
    </row>
    <row r="3027">
      <c r="B3027" s="1" t="inlineStr">
        <is>
          <t>214421735</t>
        </is>
      </c>
      <c r="C3027" s="1" t="inlineStr">
        <is>
          <t>15411233</t>
        </is>
      </c>
      <c r="D3027" t="inlineStr">
        <is>
          <t>работник 856</t>
        </is>
      </c>
      <c r="E3027" s="1" t="inlineStr">
        <is>
          <t>ОБЩЕСТВО С ОГРАНИЧЕННОЙ ОТВЕТСТВЕННОСТЬЮ "АМУР ЗОЛОТО"</t>
        </is>
      </c>
      <c r="F3027" s="1" t="inlineStr">
        <is>
          <t>2708001686</t>
        </is>
      </c>
      <c r="G3027" s="1" t="inlineStr">
        <is>
          <t>Подсобный рабочий</t>
        </is>
      </c>
      <c r="H3027" s="1" t="inlineStr">
        <is>
          <t>ООО "Амур Золото"</t>
        </is>
      </c>
      <c r="I3027" s="1" t="inlineStr">
        <is>
          <t>2708001686</t>
        </is>
      </c>
      <c r="J3027" s="1" t="inlineStr">
        <is>
          <t>ЮГОК АХЧ 26-43</t>
        </is>
      </c>
      <c r="K3027" s="1" t="inlineStr">
        <is>
          <t>Использование (применение) средств индивидуальной защиты</t>
        </is>
      </c>
      <c r="L3027" s="1" t="inlineStr">
        <is>
          <t>02.07.2026</t>
        </is>
      </c>
      <c r="M3027" s="1" t="inlineStr">
        <is>
          <t>Успешно</t>
        </is>
      </c>
      <c r="N3027" s="1" t="inlineStr">
        <is>
          <t>11.08.2026</t>
        </is>
      </c>
      <c r="O3027" s="1" t="inlineStr"/>
      <c r="P3027" s="1" t="inlineStr"/>
      <c r="Q3027" s="1" t="inlineStr">
        <is>
          <t>Пользовательский интерфейс</t>
        </is>
      </c>
    </row>
    <row r="3028">
      <c r="B3028" s="1" t="inlineStr">
        <is>
          <t>214421736</t>
        </is>
      </c>
      <c r="C3028" s="1" t="inlineStr">
        <is>
          <t>15411233</t>
        </is>
      </c>
      <c r="D3028" t="inlineStr">
        <is>
          <t>работник 856</t>
        </is>
      </c>
      <c r="E3028" s="1" t="inlineStr">
        <is>
          <t>ОБЩЕСТВО С ОГРАНИЧЕННОЙ ОТВЕТСТВЕННОСТЬЮ "АМУР ЗОЛОТО"</t>
        </is>
      </c>
      <c r="F3028" s="1" t="inlineStr">
        <is>
          <t>2708001686</t>
        </is>
      </c>
      <c r="G3028" s="1" t="inlineStr">
        <is>
          <t>Подсобный рабочий</t>
        </is>
      </c>
      <c r="H3028" s="1" t="inlineStr">
        <is>
          <t>ООО "Амур Золото"</t>
        </is>
      </c>
      <c r="I3028" s="1" t="inlineStr">
        <is>
          <t>2708001686</t>
        </is>
      </c>
      <c r="J3028" s="1" t="inlineStr">
        <is>
          <t>ЮГОК АХЧ 26-43</t>
        </is>
      </c>
      <c r="K302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028" s="1" t="inlineStr">
        <is>
          <t>02.07.2026</t>
        </is>
      </c>
      <c r="M3028" s="1" t="inlineStr">
        <is>
          <t>Успешно</t>
        </is>
      </c>
      <c r="N3028" s="1" t="inlineStr">
        <is>
          <t>11.08.2026</t>
        </is>
      </c>
      <c r="O3028" s="1" t="inlineStr"/>
      <c r="P3028" s="1" t="inlineStr"/>
      <c r="Q3028" s="1" t="inlineStr">
        <is>
          <t>Пользовательский интерфейс</t>
        </is>
      </c>
    </row>
    <row r="3029">
      <c r="B3029" s="1" t="inlineStr">
        <is>
          <t>214421737</t>
        </is>
      </c>
      <c r="C3029" s="1" t="inlineStr">
        <is>
          <t>15411233</t>
        </is>
      </c>
      <c r="D3029" t="inlineStr">
        <is>
          <t>работник 857</t>
        </is>
      </c>
      <c r="E3029" s="1" t="inlineStr">
        <is>
          <t>ОБЩЕСТВО С ОГРАНИЧЕННОЙ ОТВЕТСТВЕННОСТЬЮ "АМУР ЗОЛОТО"</t>
        </is>
      </c>
      <c r="F3029" s="1" t="inlineStr">
        <is>
          <t>2708001686</t>
        </is>
      </c>
      <c r="G3029" s="1" t="inlineStr">
        <is>
          <t>Уборщик производственных и служебных помещений</t>
        </is>
      </c>
      <c r="H3029" s="1" t="inlineStr">
        <is>
          <t>ООО "Амур Золото"</t>
        </is>
      </c>
      <c r="I3029" s="1" t="inlineStr">
        <is>
          <t>2708001686</t>
        </is>
      </c>
      <c r="J3029" s="1" t="inlineStr">
        <is>
          <t>ЮГОК АХЧ 26-44/1</t>
        </is>
      </c>
      <c r="K3029" s="1" t="inlineStr">
        <is>
          <t>Оказание первой помощи пострадавшим</t>
        </is>
      </c>
      <c r="L3029" s="1" t="inlineStr">
        <is>
          <t>19.07.2026</t>
        </is>
      </c>
      <c r="M3029" s="1" t="inlineStr">
        <is>
          <t>Успешно</t>
        </is>
      </c>
      <c r="N3029" s="1" t="inlineStr">
        <is>
          <t>11.08.2026</t>
        </is>
      </c>
      <c r="O3029" s="1" t="inlineStr"/>
      <c r="P3029" s="1" t="inlineStr"/>
      <c r="Q3029" s="1" t="inlineStr">
        <is>
          <t>Пользовательский интерфейс</t>
        </is>
      </c>
    </row>
    <row r="3030">
      <c r="B3030" s="1" t="inlineStr">
        <is>
          <t>214421738</t>
        </is>
      </c>
      <c r="C3030" s="1" t="inlineStr">
        <is>
          <t>15411233</t>
        </is>
      </c>
      <c r="D3030" t="inlineStr">
        <is>
          <t>работник 857</t>
        </is>
      </c>
      <c r="E3030" s="1" t="inlineStr">
        <is>
          <t>ОБЩЕСТВО С ОГРАНИЧЕННОЙ ОТВЕТСТВЕННОСТЬЮ "АМУР ЗОЛОТО"</t>
        </is>
      </c>
      <c r="F3030" s="1" t="inlineStr">
        <is>
          <t>2708001686</t>
        </is>
      </c>
      <c r="G3030" s="1" t="inlineStr">
        <is>
          <t>Уборщик производственных и служебных помещений</t>
        </is>
      </c>
      <c r="H3030" s="1" t="inlineStr">
        <is>
          <t>ООО "Амур Золото"</t>
        </is>
      </c>
      <c r="I3030" s="1" t="inlineStr">
        <is>
          <t>2708001686</t>
        </is>
      </c>
      <c r="J3030" s="1" t="inlineStr">
        <is>
          <t>ЮГОК АХЧ 26-44/1</t>
        </is>
      </c>
      <c r="K3030" s="1" t="inlineStr">
        <is>
          <t>Использование (применение) средств индивидуальной защиты</t>
        </is>
      </c>
      <c r="L3030" s="1" t="inlineStr">
        <is>
          <t>19.07.2026</t>
        </is>
      </c>
      <c r="M3030" s="1" t="inlineStr">
        <is>
          <t>Успешно</t>
        </is>
      </c>
      <c r="N3030" s="1" t="inlineStr">
        <is>
          <t>11.08.2026</t>
        </is>
      </c>
      <c r="O3030" s="1" t="inlineStr"/>
      <c r="P3030" s="1" t="inlineStr"/>
      <c r="Q3030" s="1" t="inlineStr">
        <is>
          <t>Пользовательский интерфейс</t>
        </is>
      </c>
    </row>
    <row r="3031">
      <c r="B3031" s="1" t="inlineStr">
        <is>
          <t>214421739</t>
        </is>
      </c>
      <c r="C3031" s="1" t="inlineStr">
        <is>
          <t>15411233</t>
        </is>
      </c>
      <c r="D3031" t="inlineStr">
        <is>
          <t>работник 857</t>
        </is>
      </c>
      <c r="E3031" s="1" t="inlineStr">
        <is>
          <t>ОБЩЕСТВО С ОГРАНИЧЕННОЙ ОТВЕТСТВЕННОСТЬЮ "АМУР ЗОЛОТО"</t>
        </is>
      </c>
      <c r="F3031" s="1" t="inlineStr">
        <is>
          <t>2708001686</t>
        </is>
      </c>
      <c r="G3031" s="1" t="inlineStr">
        <is>
          <t>Уборщик производственных и служебных помещений</t>
        </is>
      </c>
      <c r="H3031" s="1" t="inlineStr">
        <is>
          <t>ООО "Амур Золото"</t>
        </is>
      </c>
      <c r="I3031" s="1" t="inlineStr">
        <is>
          <t>2708001686</t>
        </is>
      </c>
      <c r="J3031" s="1" t="inlineStr">
        <is>
          <t>ЮГОК АХЧ 26-44/1</t>
        </is>
      </c>
      <c r="K303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031" s="1" t="inlineStr">
        <is>
          <t>19.07.2026</t>
        </is>
      </c>
      <c r="M3031" s="1" t="inlineStr">
        <is>
          <t>Успешно</t>
        </is>
      </c>
      <c r="N3031" s="1" t="inlineStr">
        <is>
          <t>11.08.2026</t>
        </is>
      </c>
      <c r="O3031" s="1" t="inlineStr"/>
      <c r="P3031" s="1" t="inlineStr"/>
      <c r="Q3031" s="1" t="inlineStr">
        <is>
          <t>Пользовательский интерфейс</t>
        </is>
      </c>
    </row>
    <row r="3032">
      <c r="B3032" s="1" t="inlineStr">
        <is>
          <t>214421740</t>
        </is>
      </c>
      <c r="C3032" s="1" t="inlineStr">
        <is>
          <t>15411233</t>
        </is>
      </c>
      <c r="D3032" t="inlineStr">
        <is>
          <t>работник 858</t>
        </is>
      </c>
      <c r="E3032" s="1" t="inlineStr">
        <is>
          <t>ОБЩЕСТВО С ОГРАНИЧЕННОЙ ОТВЕТСТВЕННОСТЬЮ "АМУР ЗОЛОТО"</t>
        </is>
      </c>
      <c r="F3032" s="1" t="inlineStr">
        <is>
          <t>2708001686</t>
        </is>
      </c>
      <c r="G3032" s="1" t="inlineStr">
        <is>
          <t>Раздатчик взрывчатых материалов</t>
        </is>
      </c>
      <c r="H3032" s="1" t="inlineStr">
        <is>
          <t>ООО "Амур Золото"</t>
        </is>
      </c>
      <c r="I3032" s="1" t="inlineStr">
        <is>
          <t>2708001686</t>
        </is>
      </c>
      <c r="J3032" s="1" t="inlineStr">
        <is>
          <t>ЮГОК ВМ 26-08</t>
        </is>
      </c>
      <c r="K3032" s="1" t="inlineStr">
        <is>
          <t>Оказание первой помощи пострадавшим</t>
        </is>
      </c>
      <c r="L3032" s="1" t="inlineStr">
        <is>
          <t>02.08.2026</t>
        </is>
      </c>
      <c r="M3032" s="1" t="inlineStr">
        <is>
          <t>Успешно</t>
        </is>
      </c>
      <c r="N3032" s="1" t="inlineStr">
        <is>
          <t>11.08.2026</t>
        </is>
      </c>
      <c r="O3032" s="1" t="inlineStr"/>
      <c r="P3032" s="1" t="inlineStr"/>
      <c r="Q3032" s="1" t="inlineStr">
        <is>
          <t>Пользовательский интерфейс</t>
        </is>
      </c>
    </row>
    <row r="3033">
      <c r="B3033" s="1" t="inlineStr">
        <is>
          <t>214421741</t>
        </is>
      </c>
      <c r="C3033" s="1" t="inlineStr">
        <is>
          <t>15411233</t>
        </is>
      </c>
      <c r="D3033" t="inlineStr">
        <is>
          <t>работник 858</t>
        </is>
      </c>
      <c r="E3033" s="1" t="inlineStr">
        <is>
          <t>ОБЩЕСТВО С ОГРАНИЧЕННОЙ ОТВЕТСТВЕННОСТЬЮ "АМУР ЗОЛОТО"</t>
        </is>
      </c>
      <c r="F3033" s="1" t="inlineStr">
        <is>
          <t>2708001686</t>
        </is>
      </c>
      <c r="G3033" s="1" t="inlineStr">
        <is>
          <t>Раздатчик взрывчатых материалов</t>
        </is>
      </c>
      <c r="H3033" s="1" t="inlineStr">
        <is>
          <t>ООО "Амур Золото"</t>
        </is>
      </c>
      <c r="I3033" s="1" t="inlineStr">
        <is>
          <t>2708001686</t>
        </is>
      </c>
      <c r="J3033" s="1" t="inlineStr">
        <is>
          <t>ЮГОК ВМ 26-08</t>
        </is>
      </c>
      <c r="K3033" s="1" t="inlineStr">
        <is>
          <t>Использование (применение) средств индивидуальной защиты</t>
        </is>
      </c>
      <c r="L3033" s="1" t="inlineStr">
        <is>
          <t>02.08.2026</t>
        </is>
      </c>
      <c r="M3033" s="1" t="inlineStr">
        <is>
          <t>Успешно</t>
        </is>
      </c>
      <c r="N3033" s="1" t="inlineStr">
        <is>
          <t>11.08.2026</t>
        </is>
      </c>
      <c r="O3033" s="1" t="inlineStr"/>
      <c r="P3033" s="1" t="inlineStr"/>
      <c r="Q3033" s="1" t="inlineStr">
        <is>
          <t>Пользовательский интерфейс</t>
        </is>
      </c>
    </row>
    <row r="3034">
      <c r="B3034" s="1" t="inlineStr">
        <is>
          <t>214421742</t>
        </is>
      </c>
      <c r="C3034" s="1" t="inlineStr">
        <is>
          <t>15411233</t>
        </is>
      </c>
      <c r="D3034" t="inlineStr">
        <is>
          <t>работник 858</t>
        </is>
      </c>
      <c r="E3034" s="1" t="inlineStr">
        <is>
          <t>ОБЩЕСТВО С ОГРАНИЧЕННОЙ ОТВЕТСТВЕННОСТЬЮ "АМУР ЗОЛОТО"</t>
        </is>
      </c>
      <c r="F3034" s="1" t="inlineStr">
        <is>
          <t>2708001686</t>
        </is>
      </c>
      <c r="G3034" s="1" t="inlineStr">
        <is>
          <t>Раздатчик взрывчатых материалов</t>
        </is>
      </c>
      <c r="H3034" s="1" t="inlineStr">
        <is>
          <t>ООО "Амур Золото"</t>
        </is>
      </c>
      <c r="I3034" s="1" t="inlineStr">
        <is>
          <t>2708001686</t>
        </is>
      </c>
      <c r="J3034" s="1" t="inlineStr">
        <is>
          <t>ЮГОК ВМ 26-08</t>
        </is>
      </c>
      <c r="K303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034" s="1" t="inlineStr">
        <is>
          <t>02.08.2026</t>
        </is>
      </c>
      <c r="M3034" s="1" t="inlineStr">
        <is>
          <t>Успешно</t>
        </is>
      </c>
      <c r="N3034" s="1" t="inlineStr">
        <is>
          <t>11.08.2026</t>
        </is>
      </c>
      <c r="O3034" s="1" t="inlineStr"/>
      <c r="P3034" s="1" t="inlineStr"/>
      <c r="Q3034" s="1" t="inlineStr">
        <is>
          <t>Пользовательский интерфейс</t>
        </is>
      </c>
    </row>
    <row r="3035">
      <c r="B3035" s="1" t="inlineStr">
        <is>
          <t>214421743</t>
        </is>
      </c>
      <c r="C3035" s="1" t="inlineStr">
        <is>
          <t>15411233</t>
        </is>
      </c>
      <c r="D3035" t="inlineStr">
        <is>
          <t>работник 37</t>
        </is>
      </c>
      <c r="E3035" s="1" t="inlineStr">
        <is>
          <t>ОБЩЕСТВО С ОГРАНИЧЕННОЙ ОТВЕТСТВЕННОСТЬЮ "АМУР ЗОЛОТО"</t>
        </is>
      </c>
      <c r="F3035" s="1" t="inlineStr">
        <is>
          <t>2708001686</t>
        </is>
      </c>
      <c r="G3035" s="1" t="inlineStr">
        <is>
          <t>Дробильщик</t>
        </is>
      </c>
      <c r="H3035" s="1" t="inlineStr">
        <is>
          <t>ООО "Амур Золото"</t>
        </is>
      </c>
      <c r="I3035" s="1" t="inlineStr">
        <is>
          <t>2708001686</t>
        </is>
      </c>
      <c r="J3035" s="1" t="inlineStr">
        <is>
          <t>ЮГОК ОТК 26-05</t>
        </is>
      </c>
      <c r="K3035" s="1" t="inlineStr">
        <is>
          <t>Оказание первой помощи пострадавшим</t>
        </is>
      </c>
      <c r="L3035" s="1" t="inlineStr">
        <is>
          <t>02.08.2026</t>
        </is>
      </c>
      <c r="M3035" s="1" t="inlineStr">
        <is>
          <t>Успешно</t>
        </is>
      </c>
      <c r="N3035" s="1" t="inlineStr">
        <is>
          <t>11.08.2026</t>
        </is>
      </c>
      <c r="O3035" s="1" t="inlineStr"/>
      <c r="P3035" s="1" t="inlineStr"/>
      <c r="Q3035" s="1" t="inlineStr">
        <is>
          <t>Пользовательский интерфейс</t>
        </is>
      </c>
    </row>
    <row r="3036">
      <c r="B3036" s="1" t="inlineStr">
        <is>
          <t>214421744</t>
        </is>
      </c>
      <c r="C3036" s="1" t="inlineStr">
        <is>
          <t>15411233</t>
        </is>
      </c>
      <c r="D3036" t="inlineStr">
        <is>
          <t>работник 37</t>
        </is>
      </c>
      <c r="E3036" s="1" t="inlineStr">
        <is>
          <t>ОБЩЕСТВО С ОГРАНИЧЕННОЙ ОТВЕТСТВЕННОСТЬЮ "АМУР ЗОЛОТО"</t>
        </is>
      </c>
      <c r="F3036" s="1" t="inlineStr">
        <is>
          <t>2708001686</t>
        </is>
      </c>
      <c r="G3036" s="1" t="inlineStr">
        <is>
          <t>Дробильщик</t>
        </is>
      </c>
      <c r="H3036" s="1" t="inlineStr">
        <is>
          <t>ООО "Амур Золото"</t>
        </is>
      </c>
      <c r="I3036" s="1" t="inlineStr">
        <is>
          <t>2708001686</t>
        </is>
      </c>
      <c r="J3036" s="1" t="inlineStr">
        <is>
          <t>ЮГОК ОТК 26-05</t>
        </is>
      </c>
      <c r="K3036" s="1" t="inlineStr">
        <is>
          <t>Использование (применение) средств индивидуальной защиты</t>
        </is>
      </c>
      <c r="L3036" s="1" t="inlineStr">
        <is>
          <t>02.08.2026</t>
        </is>
      </c>
      <c r="M3036" s="1" t="inlineStr">
        <is>
          <t>Успешно</t>
        </is>
      </c>
      <c r="N3036" s="1" t="inlineStr">
        <is>
          <t>11.08.2026</t>
        </is>
      </c>
      <c r="O3036" s="1" t="inlineStr"/>
      <c r="P3036" s="1" t="inlineStr"/>
      <c r="Q3036" s="1" t="inlineStr">
        <is>
          <t>Пользовательский интерфейс</t>
        </is>
      </c>
    </row>
    <row r="3037">
      <c r="B3037" s="1" t="inlineStr">
        <is>
          <t>214421745</t>
        </is>
      </c>
      <c r="C3037" s="1" t="inlineStr">
        <is>
          <t>15411233</t>
        </is>
      </c>
      <c r="D3037" t="inlineStr">
        <is>
          <t>работник 37</t>
        </is>
      </c>
      <c r="E3037" s="1" t="inlineStr">
        <is>
          <t>ОБЩЕСТВО С ОГРАНИЧЕННОЙ ОТВЕТСТВЕННОСТЬЮ "АМУР ЗОЛОТО"</t>
        </is>
      </c>
      <c r="F3037" s="1" t="inlineStr">
        <is>
          <t>2708001686</t>
        </is>
      </c>
      <c r="G3037" s="1" t="inlineStr">
        <is>
          <t>Дробильщик</t>
        </is>
      </c>
      <c r="H3037" s="1" t="inlineStr">
        <is>
          <t>ООО "Амур Золото"</t>
        </is>
      </c>
      <c r="I3037" s="1" t="inlineStr">
        <is>
          <t>2708001686</t>
        </is>
      </c>
      <c r="J3037" s="1" t="inlineStr">
        <is>
          <t>ЮГОК ОТК 26-05</t>
        </is>
      </c>
      <c r="K303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037" s="1" t="inlineStr">
        <is>
          <t>02.08.2026</t>
        </is>
      </c>
      <c r="M3037" s="1" t="inlineStr">
        <is>
          <t>Успешно</t>
        </is>
      </c>
      <c r="N3037" s="1" t="inlineStr">
        <is>
          <t>11.08.2026</t>
        </is>
      </c>
      <c r="O3037" s="1" t="inlineStr"/>
      <c r="P3037" s="1" t="inlineStr"/>
      <c r="Q3037" s="1" t="inlineStr">
        <is>
          <t>Пользовательский интерфейс</t>
        </is>
      </c>
    </row>
    <row r="3038">
      <c r="B3038" s="1" t="inlineStr">
        <is>
          <t>214421746</t>
        </is>
      </c>
      <c r="C3038" s="1" t="inlineStr">
        <is>
          <t>15411233</t>
        </is>
      </c>
      <c r="D3038" t="inlineStr">
        <is>
          <t>работник 389</t>
        </is>
      </c>
      <c r="E3038" s="1" t="inlineStr">
        <is>
          <t>ОБЩЕСТВО С ОГРАНИЧЕННОЙ ОТВЕТСТВЕННОСТЬЮ "АМУР ЗОЛОТО"</t>
        </is>
      </c>
      <c r="F3038" s="1" t="inlineStr">
        <is>
          <t>2708001686</t>
        </is>
      </c>
      <c r="G3038" s="1" t="inlineStr">
        <is>
          <t>Контролер продукции обогащения</t>
        </is>
      </c>
      <c r="H3038" s="1" t="inlineStr">
        <is>
          <t>ООО "Амур Золото"</t>
        </is>
      </c>
      <c r="I3038" s="1" t="inlineStr">
        <is>
          <t>2708001686</t>
        </is>
      </c>
      <c r="J3038" s="1" t="inlineStr">
        <is>
          <t>ЮГОК ОТК 26-05</t>
        </is>
      </c>
      <c r="K3038" s="1" t="inlineStr">
        <is>
          <t>Оказание первой помощи пострадавшим</t>
        </is>
      </c>
      <c r="L3038" s="1" t="inlineStr">
        <is>
          <t>02.08.2026</t>
        </is>
      </c>
      <c r="M3038" s="1" t="inlineStr">
        <is>
          <t>Успешно</t>
        </is>
      </c>
      <c r="N3038" s="1" t="inlineStr">
        <is>
          <t>11.08.2026</t>
        </is>
      </c>
      <c r="O3038" s="1" t="inlineStr"/>
      <c r="P3038" s="1" t="inlineStr"/>
      <c r="Q3038" s="1" t="inlineStr">
        <is>
          <t>Пользовательский интерфейс</t>
        </is>
      </c>
    </row>
    <row r="3039">
      <c r="B3039" s="1" t="inlineStr">
        <is>
          <t>214421747</t>
        </is>
      </c>
      <c r="C3039" s="1" t="inlineStr">
        <is>
          <t>15411233</t>
        </is>
      </c>
      <c r="D3039" t="inlineStr">
        <is>
          <t>работник 389</t>
        </is>
      </c>
      <c r="E3039" s="1" t="inlineStr">
        <is>
          <t>ОБЩЕСТВО С ОГРАНИЧЕННОЙ ОТВЕТСТВЕННОСТЬЮ "АМУР ЗОЛОТО"</t>
        </is>
      </c>
      <c r="F3039" s="1" t="inlineStr">
        <is>
          <t>2708001686</t>
        </is>
      </c>
      <c r="G3039" s="1" t="inlineStr">
        <is>
          <t>Контролер продукции обогащения</t>
        </is>
      </c>
      <c r="H3039" s="1" t="inlineStr">
        <is>
          <t>ООО "Амур Золото"</t>
        </is>
      </c>
      <c r="I3039" s="1" t="inlineStr">
        <is>
          <t>2708001686</t>
        </is>
      </c>
      <c r="J3039" s="1" t="inlineStr">
        <is>
          <t>ЮГОК ОТК 26-05</t>
        </is>
      </c>
      <c r="K3039" s="1" t="inlineStr">
        <is>
          <t>Использование (применение) средств индивидуальной защиты</t>
        </is>
      </c>
      <c r="L3039" s="1" t="inlineStr">
        <is>
          <t>02.08.2026</t>
        </is>
      </c>
      <c r="M3039" s="1" t="inlineStr">
        <is>
          <t>Успешно</t>
        </is>
      </c>
      <c r="N3039" s="1" t="inlineStr">
        <is>
          <t>11.08.2026</t>
        </is>
      </c>
      <c r="O3039" s="1" t="inlineStr"/>
      <c r="P3039" s="1" t="inlineStr"/>
      <c r="Q3039" s="1" t="inlineStr">
        <is>
          <t>Пользовательский интерфейс</t>
        </is>
      </c>
    </row>
    <row r="3040">
      <c r="B3040" s="1" t="inlineStr">
        <is>
          <t>214421748</t>
        </is>
      </c>
      <c r="C3040" s="1" t="inlineStr">
        <is>
          <t>15411233</t>
        </is>
      </c>
      <c r="D3040" t="inlineStr">
        <is>
          <t>работник 389</t>
        </is>
      </c>
      <c r="E3040" s="1" t="inlineStr">
        <is>
          <t>ОБЩЕСТВО С ОГРАНИЧЕННОЙ ОТВЕТСТВЕННОСТЬЮ "АМУР ЗОЛОТО"</t>
        </is>
      </c>
      <c r="F3040" s="1" t="inlineStr">
        <is>
          <t>2708001686</t>
        </is>
      </c>
      <c r="G3040" s="1" t="inlineStr">
        <is>
          <t>Контролер продукции обогащения</t>
        </is>
      </c>
      <c r="H3040" s="1" t="inlineStr">
        <is>
          <t>ООО "Амур Золото"</t>
        </is>
      </c>
      <c r="I3040" s="1" t="inlineStr">
        <is>
          <t>2708001686</t>
        </is>
      </c>
      <c r="J3040" s="1" t="inlineStr">
        <is>
          <t>ЮГОК ОТК 26-05</t>
        </is>
      </c>
      <c r="K304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040" s="1" t="inlineStr">
        <is>
          <t>02.08.2026</t>
        </is>
      </c>
      <c r="M3040" s="1" t="inlineStr">
        <is>
          <t>Успешно</t>
        </is>
      </c>
      <c r="N3040" s="1" t="inlineStr">
        <is>
          <t>11.08.2026</t>
        </is>
      </c>
      <c r="O3040" s="1" t="inlineStr"/>
      <c r="P3040" s="1" t="inlineStr"/>
      <c r="Q3040" s="1" t="inlineStr">
        <is>
          <t>Пользовательский интерфейс</t>
        </is>
      </c>
    </row>
    <row r="3041">
      <c r="B3041" s="1" t="inlineStr">
        <is>
          <t>214421749</t>
        </is>
      </c>
      <c r="C3041" s="1" t="inlineStr">
        <is>
          <t>15411233</t>
        </is>
      </c>
      <c r="D3041" t="inlineStr">
        <is>
          <t>работник 502</t>
        </is>
      </c>
      <c r="E3041" s="1" t="inlineStr">
        <is>
          <t>ОБЩЕСТВО С ОГРАНИЧЕННОЙ ОТВЕТСТВЕННОСТЬЮ "АМУР ЗОЛОТО"</t>
        </is>
      </c>
      <c r="F3041" s="1" t="inlineStr">
        <is>
          <t>2708001686</t>
        </is>
      </c>
      <c r="G3041" s="1" t="inlineStr">
        <is>
          <t>Контролер продукции обогащения</t>
        </is>
      </c>
      <c r="H3041" s="1" t="inlineStr">
        <is>
          <t>ООО "Амур Золото"</t>
        </is>
      </c>
      <c r="I3041" s="1" t="inlineStr">
        <is>
          <t>2708001686</t>
        </is>
      </c>
      <c r="J3041" s="1" t="inlineStr">
        <is>
          <t>ЮГОК ОТК 26-05</t>
        </is>
      </c>
      <c r="K3041" s="1" t="inlineStr">
        <is>
          <t>Оказание первой помощи пострадавшим</t>
        </is>
      </c>
      <c r="L3041" s="1" t="inlineStr">
        <is>
          <t>02.08.2026</t>
        </is>
      </c>
      <c r="M3041" s="1" t="inlineStr">
        <is>
          <t>Успешно</t>
        </is>
      </c>
      <c r="N3041" s="1" t="inlineStr">
        <is>
          <t>11.08.2026</t>
        </is>
      </c>
      <c r="O3041" s="1" t="inlineStr"/>
      <c r="P3041" s="1" t="inlineStr"/>
      <c r="Q3041" s="1" t="inlineStr">
        <is>
          <t>Пользовательский интерфейс</t>
        </is>
      </c>
    </row>
    <row r="3042">
      <c r="B3042" s="1" t="inlineStr">
        <is>
          <t>214421750</t>
        </is>
      </c>
      <c r="C3042" s="1" t="inlineStr">
        <is>
          <t>15411233</t>
        </is>
      </c>
      <c r="D3042" t="inlineStr">
        <is>
          <t>работник 502</t>
        </is>
      </c>
      <c r="E3042" s="1" t="inlineStr">
        <is>
          <t>ОБЩЕСТВО С ОГРАНИЧЕННОЙ ОТВЕТСТВЕННОСТЬЮ "АМУР ЗОЛОТО"</t>
        </is>
      </c>
      <c r="F3042" s="1" t="inlineStr">
        <is>
          <t>2708001686</t>
        </is>
      </c>
      <c r="G3042" s="1" t="inlineStr">
        <is>
          <t>Контролер продукции обогащения</t>
        </is>
      </c>
      <c r="H3042" s="1" t="inlineStr">
        <is>
          <t>ООО "Амур Золото"</t>
        </is>
      </c>
      <c r="I3042" s="1" t="inlineStr">
        <is>
          <t>2708001686</t>
        </is>
      </c>
      <c r="J3042" s="1" t="inlineStr">
        <is>
          <t>ЮГОК ОТК 26-05</t>
        </is>
      </c>
      <c r="K3042" s="1" t="inlineStr">
        <is>
          <t>Использование (применение) средств индивидуальной защиты</t>
        </is>
      </c>
      <c r="L3042" s="1" t="inlineStr">
        <is>
          <t>02.08.2026</t>
        </is>
      </c>
      <c r="M3042" s="1" t="inlineStr">
        <is>
          <t>Успешно</t>
        </is>
      </c>
      <c r="N3042" s="1" t="inlineStr">
        <is>
          <t>11.08.2026</t>
        </is>
      </c>
      <c r="O3042" s="1" t="inlineStr"/>
      <c r="P3042" s="1" t="inlineStr"/>
      <c r="Q3042" s="1" t="inlineStr">
        <is>
          <t>Пользовательский интерфейс</t>
        </is>
      </c>
    </row>
    <row r="3043">
      <c r="B3043" s="1" t="inlineStr">
        <is>
          <t>214421751</t>
        </is>
      </c>
      <c r="C3043" s="1" t="inlineStr">
        <is>
          <t>15411233</t>
        </is>
      </c>
      <c r="D3043" t="inlineStr">
        <is>
          <t>работник 671</t>
        </is>
      </c>
      <c r="E3043" s="1" t="inlineStr">
        <is>
          <t>ОБЩЕСТВО С ОГРАНИЧЕННОЙ ОТВЕТСТВЕННОСТЬЮ "АМУР ЗОЛОТО"</t>
        </is>
      </c>
      <c r="F3043" s="1" t="inlineStr">
        <is>
          <t>2708001686</t>
        </is>
      </c>
      <c r="G3043" s="1" t="inlineStr">
        <is>
          <t>Лаборант пробирного анализа</t>
        </is>
      </c>
      <c r="H3043" s="1" t="inlineStr">
        <is>
          <t>ООО "Амур Золото"</t>
        </is>
      </c>
      <c r="I3043" s="1" t="inlineStr">
        <is>
          <t>2708001686</t>
        </is>
      </c>
      <c r="J3043" s="1" t="inlineStr">
        <is>
          <t>ЮГОК ПАЛ 26-08</t>
        </is>
      </c>
      <c r="K3043" s="1" t="inlineStr">
        <is>
          <t>Оказание первой помощи пострадавшим</t>
        </is>
      </c>
      <c r="L3043" s="1" t="inlineStr">
        <is>
          <t>02.08.2026</t>
        </is>
      </c>
      <c r="M3043" s="1" t="inlineStr">
        <is>
          <t>Успешно</t>
        </is>
      </c>
      <c r="N3043" s="1" t="inlineStr">
        <is>
          <t>11.08.2026</t>
        </is>
      </c>
      <c r="O3043" s="1" t="inlineStr"/>
      <c r="P3043" s="1" t="inlineStr"/>
      <c r="Q3043" s="1" t="inlineStr">
        <is>
          <t>Пользовательский интерфейс</t>
        </is>
      </c>
    </row>
    <row r="3044">
      <c r="B3044" s="1" t="inlineStr">
        <is>
          <t>214421752</t>
        </is>
      </c>
      <c r="C3044" s="1" t="inlineStr">
        <is>
          <t>15411233</t>
        </is>
      </c>
      <c r="D3044" t="inlineStr">
        <is>
          <t>работник 502</t>
        </is>
      </c>
      <c r="E3044" s="1" t="inlineStr">
        <is>
          <t>ОБЩЕСТВО С ОГРАНИЧЕННОЙ ОТВЕТСТВЕННОСТЬЮ "АМУР ЗОЛОТО"</t>
        </is>
      </c>
      <c r="F3044" s="1" t="inlineStr">
        <is>
          <t>2708001686</t>
        </is>
      </c>
      <c r="G3044" s="1" t="inlineStr">
        <is>
          <t>Контролер продукции обогащения</t>
        </is>
      </c>
      <c r="H3044" s="1" t="inlineStr">
        <is>
          <t>ООО "Амур Золото"</t>
        </is>
      </c>
      <c r="I3044" s="1" t="inlineStr">
        <is>
          <t>2708001686</t>
        </is>
      </c>
      <c r="J3044" s="1" t="inlineStr">
        <is>
          <t>ЮГОК ОТК 26-05</t>
        </is>
      </c>
      <c r="K304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044" s="1" t="inlineStr">
        <is>
          <t>02.08.2026</t>
        </is>
      </c>
      <c r="M3044" s="1" t="inlineStr">
        <is>
          <t>Успешно</t>
        </is>
      </c>
      <c r="N3044" s="1" t="inlineStr">
        <is>
          <t>11.08.2026</t>
        </is>
      </c>
      <c r="O3044" s="1" t="inlineStr"/>
      <c r="P3044" s="1" t="inlineStr"/>
      <c r="Q3044" s="1" t="inlineStr">
        <is>
          <t>Пользовательский интерфейс</t>
        </is>
      </c>
    </row>
    <row r="3045">
      <c r="B3045" s="1" t="inlineStr">
        <is>
          <t>214421753</t>
        </is>
      </c>
      <c r="C3045" s="1" t="inlineStr">
        <is>
          <t>15411233</t>
        </is>
      </c>
      <c r="D3045" t="inlineStr">
        <is>
          <t>работник 402</t>
        </is>
      </c>
      <c r="E3045" s="1" t="inlineStr">
        <is>
          <t>ОБЩЕСТВО С ОГРАНИЧЕННОЙ ОТВЕТСТВЕННОСТЬЮ "АМУР ЗОЛОТО"</t>
        </is>
      </c>
      <c r="F3045" s="1" t="inlineStr">
        <is>
          <t>2708001686</t>
        </is>
      </c>
      <c r="G3045" s="1" t="inlineStr">
        <is>
          <t>Лаборант пробирного анализа</t>
        </is>
      </c>
      <c r="H3045" s="1" t="inlineStr">
        <is>
          <t>ООО "Амур Золото"</t>
        </is>
      </c>
      <c r="I3045" s="1" t="inlineStr">
        <is>
          <t>2708001686</t>
        </is>
      </c>
      <c r="J3045" s="1" t="inlineStr">
        <is>
          <t>ЮГОК ПАЛ 26-08</t>
        </is>
      </c>
      <c r="K3045" s="1" t="inlineStr">
        <is>
          <t>Оказание первой помощи пострадавшим</t>
        </is>
      </c>
      <c r="L3045" s="1" t="inlineStr">
        <is>
          <t>02.08.2026</t>
        </is>
      </c>
      <c r="M3045" s="1" t="inlineStr">
        <is>
          <t>Успешно</t>
        </is>
      </c>
      <c r="N3045" s="1" t="inlineStr">
        <is>
          <t>11.08.2026</t>
        </is>
      </c>
      <c r="O3045" s="1" t="inlineStr"/>
      <c r="P3045" s="1" t="inlineStr"/>
      <c r="Q3045" s="1" t="inlineStr">
        <is>
          <t>Пользовательский интерфейс</t>
        </is>
      </c>
    </row>
    <row r="3046">
      <c r="B3046" s="1" t="inlineStr">
        <is>
          <t>214421754</t>
        </is>
      </c>
      <c r="C3046" s="1" t="inlineStr">
        <is>
          <t>15411233</t>
        </is>
      </c>
      <c r="D3046" t="inlineStr">
        <is>
          <t>работник 402</t>
        </is>
      </c>
      <c r="E3046" s="1" t="inlineStr">
        <is>
          <t>ОБЩЕСТВО С ОГРАНИЧЕННОЙ ОТВЕТСТВЕННОСТЬЮ "АМУР ЗОЛОТО"</t>
        </is>
      </c>
      <c r="F3046" s="1" t="inlineStr">
        <is>
          <t>2708001686</t>
        </is>
      </c>
      <c r="G3046" s="1" t="inlineStr">
        <is>
          <t>Лаборант пробирного анализа</t>
        </is>
      </c>
      <c r="H3046" s="1" t="inlineStr">
        <is>
          <t>ООО "Амур Золото"</t>
        </is>
      </c>
      <c r="I3046" s="1" t="inlineStr">
        <is>
          <t>2708001686</t>
        </is>
      </c>
      <c r="J3046" s="1" t="inlineStr">
        <is>
          <t>ЮГОК ПАЛ 26-08</t>
        </is>
      </c>
      <c r="K3046" s="1" t="inlineStr">
        <is>
          <t>Использование (применение) средств индивидуальной защиты</t>
        </is>
      </c>
      <c r="L3046" s="1" t="inlineStr">
        <is>
          <t>02.08.2026</t>
        </is>
      </c>
      <c r="M3046" s="1" t="inlineStr">
        <is>
          <t>Успешно</t>
        </is>
      </c>
      <c r="N3046" s="1" t="inlineStr">
        <is>
          <t>11.08.2026</t>
        </is>
      </c>
      <c r="O3046" s="1" t="inlineStr"/>
      <c r="P3046" s="1" t="inlineStr"/>
      <c r="Q3046" s="1" t="inlineStr">
        <is>
          <t>Пользовательский интерфейс</t>
        </is>
      </c>
    </row>
    <row r="3047">
      <c r="B3047" s="1" t="inlineStr">
        <is>
          <t>214421755</t>
        </is>
      </c>
      <c r="C3047" s="1" t="inlineStr">
        <is>
          <t>15411233</t>
        </is>
      </c>
      <c r="D3047" t="inlineStr">
        <is>
          <t>работник 402</t>
        </is>
      </c>
      <c r="E3047" s="1" t="inlineStr">
        <is>
          <t>ОБЩЕСТВО С ОГРАНИЧЕННОЙ ОТВЕТСТВЕННОСТЬЮ "АМУР ЗОЛОТО"</t>
        </is>
      </c>
      <c r="F3047" s="1" t="inlineStr">
        <is>
          <t>2708001686</t>
        </is>
      </c>
      <c r="G3047" s="1" t="inlineStr">
        <is>
          <t>Лаборант пробирного анализа</t>
        </is>
      </c>
      <c r="H3047" s="1" t="inlineStr">
        <is>
          <t>ООО "Амур Золото"</t>
        </is>
      </c>
      <c r="I3047" s="1" t="inlineStr">
        <is>
          <t>2708001686</t>
        </is>
      </c>
      <c r="J3047" s="1" t="inlineStr">
        <is>
          <t>ЮГОК ПАЛ 26-08</t>
        </is>
      </c>
      <c r="K304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047" s="1" t="inlineStr">
        <is>
          <t>02.08.2026</t>
        </is>
      </c>
      <c r="M3047" s="1" t="inlineStr">
        <is>
          <t>Успешно</t>
        </is>
      </c>
      <c r="N3047" s="1" t="inlineStr">
        <is>
          <t>11.08.2026</t>
        </is>
      </c>
      <c r="O3047" s="1" t="inlineStr"/>
      <c r="P3047" s="1" t="inlineStr"/>
      <c r="Q3047" s="1" t="inlineStr">
        <is>
          <t>Пользовательский интерфейс</t>
        </is>
      </c>
    </row>
    <row r="3048">
      <c r="B3048" s="1" t="inlineStr">
        <is>
          <t>214421756</t>
        </is>
      </c>
      <c r="C3048" s="1" t="inlineStr">
        <is>
          <t>15411233</t>
        </is>
      </c>
      <c r="D3048" t="inlineStr">
        <is>
          <t>работник 403</t>
        </is>
      </c>
      <c r="E3048" s="1" t="inlineStr">
        <is>
          <t>ОБЩЕСТВО С ОГРАНИЧЕННОЙ ОТВЕТСТВЕННОСТЬЮ "АМУР ЗОЛОТО"</t>
        </is>
      </c>
      <c r="F3048" s="1" t="inlineStr">
        <is>
          <t>2708001686</t>
        </is>
      </c>
      <c r="G3048" s="1" t="inlineStr">
        <is>
          <t>Лаборант пробирного анализа</t>
        </is>
      </c>
      <c r="H3048" s="1" t="inlineStr">
        <is>
          <t>ООО "Амур Золото"</t>
        </is>
      </c>
      <c r="I3048" s="1" t="inlineStr">
        <is>
          <t>2708001686</t>
        </is>
      </c>
      <c r="J3048" s="1" t="inlineStr">
        <is>
          <t>ЮГОК ПАЛ 26-08</t>
        </is>
      </c>
      <c r="K3048" s="1" t="inlineStr">
        <is>
          <t>Оказание первой помощи пострадавшим</t>
        </is>
      </c>
      <c r="L3048" s="1" t="inlineStr">
        <is>
          <t>02.08.2026</t>
        </is>
      </c>
      <c r="M3048" s="1" t="inlineStr">
        <is>
          <t>Успешно</t>
        </is>
      </c>
      <c r="N3048" s="1" t="inlineStr">
        <is>
          <t>11.08.2026</t>
        </is>
      </c>
      <c r="O3048" s="1" t="inlineStr"/>
      <c r="P3048" s="1" t="inlineStr"/>
      <c r="Q3048" s="1" t="inlineStr">
        <is>
          <t>Пользовательский интерфейс</t>
        </is>
      </c>
    </row>
    <row r="3049">
      <c r="B3049" s="1" t="inlineStr">
        <is>
          <t>214421757</t>
        </is>
      </c>
      <c r="C3049" s="1" t="inlineStr">
        <is>
          <t>15411233</t>
        </is>
      </c>
      <c r="D3049" t="inlineStr">
        <is>
          <t>работник 403</t>
        </is>
      </c>
      <c r="E3049" s="1" t="inlineStr">
        <is>
          <t>ОБЩЕСТВО С ОГРАНИЧЕННОЙ ОТВЕТСТВЕННОСТЬЮ "АМУР ЗОЛОТО"</t>
        </is>
      </c>
      <c r="F3049" s="1" t="inlineStr">
        <is>
          <t>2708001686</t>
        </is>
      </c>
      <c r="G3049" s="1" t="inlineStr">
        <is>
          <t>Лаборант пробирного анализа</t>
        </is>
      </c>
      <c r="H3049" s="1" t="inlineStr">
        <is>
          <t>ООО "Амур Золото"</t>
        </is>
      </c>
      <c r="I3049" s="1" t="inlineStr">
        <is>
          <t>2708001686</t>
        </is>
      </c>
      <c r="J3049" s="1" t="inlineStr">
        <is>
          <t>ЮГОК ПАЛ 26-08</t>
        </is>
      </c>
      <c r="K3049" s="1" t="inlineStr">
        <is>
          <t>Использование (применение) средств индивидуальной защиты</t>
        </is>
      </c>
      <c r="L3049" s="1" t="inlineStr">
        <is>
          <t>02.08.2026</t>
        </is>
      </c>
      <c r="M3049" s="1" t="inlineStr">
        <is>
          <t>Успешно</t>
        </is>
      </c>
      <c r="N3049" s="1" t="inlineStr">
        <is>
          <t>11.08.2026</t>
        </is>
      </c>
      <c r="O3049" s="1" t="inlineStr"/>
      <c r="P3049" s="1" t="inlineStr"/>
      <c r="Q3049" s="1" t="inlineStr">
        <is>
          <t>Пользовательский интерфейс</t>
        </is>
      </c>
    </row>
    <row r="3050">
      <c r="B3050" s="1" t="inlineStr">
        <is>
          <t>214421758</t>
        </is>
      </c>
      <c r="C3050" s="1" t="inlineStr">
        <is>
          <t>15411233</t>
        </is>
      </c>
      <c r="D3050" t="inlineStr">
        <is>
          <t>работник 403</t>
        </is>
      </c>
      <c r="E3050" s="1" t="inlineStr">
        <is>
          <t>ОБЩЕСТВО С ОГРАНИЧЕННОЙ ОТВЕТСТВЕННОСТЬЮ "АМУР ЗОЛОТО"</t>
        </is>
      </c>
      <c r="F3050" s="1" t="inlineStr">
        <is>
          <t>2708001686</t>
        </is>
      </c>
      <c r="G3050" s="1" t="inlineStr">
        <is>
          <t>Лаборант пробирного анализа</t>
        </is>
      </c>
      <c r="H3050" s="1" t="inlineStr">
        <is>
          <t>ООО "Амур Золото"</t>
        </is>
      </c>
      <c r="I3050" s="1" t="inlineStr">
        <is>
          <t>2708001686</t>
        </is>
      </c>
      <c r="J3050" s="1" t="inlineStr">
        <is>
          <t>ЮГОК ПАЛ 26-08</t>
        </is>
      </c>
      <c r="K305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050" s="1" t="inlineStr">
        <is>
          <t>02.08.2026</t>
        </is>
      </c>
      <c r="M3050" s="1" t="inlineStr">
        <is>
          <t>Успешно</t>
        </is>
      </c>
      <c r="N3050" s="1" t="inlineStr">
        <is>
          <t>11.08.2026</t>
        </is>
      </c>
      <c r="O3050" s="1" t="inlineStr"/>
      <c r="P3050" s="1" t="inlineStr"/>
      <c r="Q3050" s="1" t="inlineStr">
        <is>
          <t>Пользовательский интерфейс</t>
        </is>
      </c>
    </row>
    <row r="3051">
      <c r="B3051" s="1" t="inlineStr">
        <is>
          <t>214421759</t>
        </is>
      </c>
      <c r="C3051" s="1" t="inlineStr">
        <is>
          <t>15411233</t>
        </is>
      </c>
      <c r="D3051" t="inlineStr">
        <is>
          <t>работник 859</t>
        </is>
      </c>
      <c r="E3051" s="1" t="inlineStr">
        <is>
          <t>ОБЩЕСТВО С ОГРАНИЧЕННОЙ ОТВЕТСТВЕННОСТЬЮ "АМУР ЗОЛОТО"</t>
        </is>
      </c>
      <c r="F3051" s="1" t="inlineStr">
        <is>
          <t>2708001686</t>
        </is>
      </c>
      <c r="G3051" s="1" t="inlineStr">
        <is>
          <t>Лаборант пробирного анализа</t>
        </is>
      </c>
      <c r="H3051" s="1" t="inlineStr">
        <is>
          <t>ООО "Амур Золото"</t>
        </is>
      </c>
      <c r="I3051" s="1" t="inlineStr">
        <is>
          <t>2708001686</t>
        </is>
      </c>
      <c r="J3051" s="1" t="inlineStr">
        <is>
          <t>ЮГОК ПАЛ 26-08</t>
        </is>
      </c>
      <c r="K3051" s="1" t="inlineStr">
        <is>
          <t>Оказание первой помощи пострадавшим</t>
        </is>
      </c>
      <c r="L3051" s="1" t="inlineStr">
        <is>
          <t>02.08.2026</t>
        </is>
      </c>
      <c r="M3051" s="1" t="inlineStr">
        <is>
          <t>Успешно</t>
        </is>
      </c>
      <c r="N3051" s="1" t="inlineStr">
        <is>
          <t>11.08.2026</t>
        </is>
      </c>
      <c r="O3051" s="1" t="inlineStr"/>
      <c r="P3051" s="1" t="inlineStr"/>
      <c r="Q3051" s="1" t="inlineStr">
        <is>
          <t>Пользовательский интерфейс</t>
        </is>
      </c>
    </row>
    <row r="3052">
      <c r="B3052" s="1" t="inlineStr">
        <is>
          <t>214421760</t>
        </is>
      </c>
      <c r="C3052" s="1" t="inlineStr">
        <is>
          <t>15411233</t>
        </is>
      </c>
      <c r="D3052" t="inlineStr">
        <is>
          <t>работник 859</t>
        </is>
      </c>
      <c r="E3052" s="1" t="inlineStr">
        <is>
          <t>ОБЩЕСТВО С ОГРАНИЧЕННОЙ ОТВЕТСТВЕННОСТЬЮ "АМУР ЗОЛОТО"</t>
        </is>
      </c>
      <c r="F3052" s="1" t="inlineStr">
        <is>
          <t>2708001686</t>
        </is>
      </c>
      <c r="G3052" s="1" t="inlineStr">
        <is>
          <t>Лаборант пробирного анализа</t>
        </is>
      </c>
      <c r="H3052" s="1" t="inlineStr">
        <is>
          <t>ООО "Амур Золото"</t>
        </is>
      </c>
      <c r="I3052" s="1" t="inlineStr">
        <is>
          <t>2708001686</t>
        </is>
      </c>
      <c r="J3052" s="1" t="inlineStr">
        <is>
          <t>ЮГОК ПАЛ 26-08</t>
        </is>
      </c>
      <c r="K3052" s="1" t="inlineStr">
        <is>
          <t>Использование (применение) средств индивидуальной защиты</t>
        </is>
      </c>
      <c r="L3052" s="1" t="inlineStr">
        <is>
          <t>02.08.2026</t>
        </is>
      </c>
      <c r="M3052" s="1" t="inlineStr">
        <is>
          <t>Успешно</t>
        </is>
      </c>
      <c r="N3052" s="1" t="inlineStr">
        <is>
          <t>11.08.2026</t>
        </is>
      </c>
      <c r="O3052" s="1" t="inlineStr"/>
      <c r="P3052" s="1" t="inlineStr"/>
      <c r="Q3052" s="1" t="inlineStr">
        <is>
          <t>Пользовательский интерфейс</t>
        </is>
      </c>
    </row>
    <row r="3053">
      <c r="B3053" s="1" t="inlineStr">
        <is>
          <t>214421761</t>
        </is>
      </c>
      <c r="C3053" s="1" t="inlineStr">
        <is>
          <t>15411233</t>
        </is>
      </c>
      <c r="D3053" t="inlineStr">
        <is>
          <t>работник 859</t>
        </is>
      </c>
      <c r="E3053" s="1" t="inlineStr">
        <is>
          <t>ОБЩЕСТВО С ОГРАНИЧЕННОЙ ОТВЕТСТВЕННОСТЬЮ "АМУР ЗОЛОТО"</t>
        </is>
      </c>
      <c r="F3053" s="1" t="inlineStr">
        <is>
          <t>2708001686</t>
        </is>
      </c>
      <c r="G3053" s="1" t="inlineStr">
        <is>
          <t>Лаборант пробирного анализа</t>
        </is>
      </c>
      <c r="H3053" s="1" t="inlineStr">
        <is>
          <t>ООО "Амур Золото"</t>
        </is>
      </c>
      <c r="I3053" s="1" t="inlineStr">
        <is>
          <t>2708001686</t>
        </is>
      </c>
      <c r="J3053" s="1" t="inlineStr">
        <is>
          <t>ЮГОК ПАЛ 26-08</t>
        </is>
      </c>
      <c r="K305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053" s="1" t="inlineStr">
        <is>
          <t>02.08.2026</t>
        </is>
      </c>
      <c r="M3053" s="1" t="inlineStr">
        <is>
          <t>Успешно</t>
        </is>
      </c>
      <c r="N3053" s="1" t="inlineStr">
        <is>
          <t>11.08.2026</t>
        </is>
      </c>
      <c r="O3053" s="1" t="inlineStr"/>
      <c r="P3053" s="1" t="inlineStr"/>
      <c r="Q3053" s="1" t="inlineStr">
        <is>
          <t>Пользовательский интерфейс</t>
        </is>
      </c>
    </row>
    <row r="3054">
      <c r="B3054" s="1" t="inlineStr">
        <is>
          <t>214421762</t>
        </is>
      </c>
      <c r="C3054" s="1" t="inlineStr">
        <is>
          <t>15411233</t>
        </is>
      </c>
      <c r="D3054" t="inlineStr">
        <is>
          <t>работник 670</t>
        </is>
      </c>
      <c r="E3054" s="1" t="inlineStr">
        <is>
          <t>ОБЩЕСТВО С ОГРАНИЧЕННОЙ ОТВЕТСТВЕННОСТЬЮ "АМУР ЗОЛОТО"</t>
        </is>
      </c>
      <c r="F3054" s="1" t="inlineStr">
        <is>
          <t>2708001686</t>
        </is>
      </c>
      <c r="G3054" s="1" t="inlineStr">
        <is>
          <t>Лаборант пробирного анализа</t>
        </is>
      </c>
      <c r="H3054" s="1" t="inlineStr">
        <is>
          <t>ООО "Амур Золото"</t>
        </is>
      </c>
      <c r="I3054" s="1" t="inlineStr">
        <is>
          <t>2708001686</t>
        </is>
      </c>
      <c r="J3054" s="1" t="inlineStr">
        <is>
          <t>ЮГОК ПАЛ 26-08</t>
        </is>
      </c>
      <c r="K3054" s="1" t="inlineStr">
        <is>
          <t>Оказание первой помощи пострадавшим</t>
        </is>
      </c>
      <c r="L3054" s="1" t="inlineStr">
        <is>
          <t>02.08.2026</t>
        </is>
      </c>
      <c r="M3054" s="1" t="inlineStr">
        <is>
          <t>Успешно</t>
        </is>
      </c>
      <c r="N3054" s="1" t="inlineStr">
        <is>
          <t>11.08.2026</t>
        </is>
      </c>
      <c r="O3054" s="1" t="inlineStr"/>
      <c r="P3054" s="1" t="inlineStr"/>
      <c r="Q3054" s="1" t="inlineStr">
        <is>
          <t>Пользовательский интерфейс</t>
        </is>
      </c>
    </row>
    <row r="3055">
      <c r="B3055" s="1" t="inlineStr">
        <is>
          <t>214421763</t>
        </is>
      </c>
      <c r="C3055" s="1" t="inlineStr">
        <is>
          <t>15411233</t>
        </is>
      </c>
      <c r="D3055" t="inlineStr">
        <is>
          <t>работник 670</t>
        </is>
      </c>
      <c r="E3055" s="1" t="inlineStr">
        <is>
          <t>ОБЩЕСТВО С ОГРАНИЧЕННОЙ ОТВЕТСТВЕННОСТЬЮ "АМУР ЗОЛОТО"</t>
        </is>
      </c>
      <c r="F3055" s="1" t="inlineStr">
        <is>
          <t>2708001686</t>
        </is>
      </c>
      <c r="G3055" s="1" t="inlineStr">
        <is>
          <t>Лаборант пробирного анализа</t>
        </is>
      </c>
      <c r="H3055" s="1" t="inlineStr">
        <is>
          <t>ООО "Амур Золото"</t>
        </is>
      </c>
      <c r="I3055" s="1" t="inlineStr">
        <is>
          <t>2708001686</t>
        </is>
      </c>
      <c r="J3055" s="1" t="inlineStr">
        <is>
          <t>ЮГОК ПАЛ 26-08</t>
        </is>
      </c>
      <c r="K3055" s="1" t="inlineStr">
        <is>
          <t>Использование (применение) средств индивидуальной защиты</t>
        </is>
      </c>
      <c r="L3055" s="1" t="inlineStr">
        <is>
          <t>02.08.2026</t>
        </is>
      </c>
      <c r="M3055" s="1" t="inlineStr">
        <is>
          <t>Успешно</t>
        </is>
      </c>
      <c r="N3055" s="1" t="inlineStr">
        <is>
          <t>11.08.2026</t>
        </is>
      </c>
      <c r="O3055" s="1" t="inlineStr"/>
      <c r="P3055" s="1" t="inlineStr"/>
      <c r="Q3055" s="1" t="inlineStr">
        <is>
          <t>Пользовательский интерфейс</t>
        </is>
      </c>
    </row>
    <row r="3056">
      <c r="B3056" s="1" t="inlineStr">
        <is>
          <t>214421764</t>
        </is>
      </c>
      <c r="C3056" s="1" t="inlineStr">
        <is>
          <t>15411233</t>
        </is>
      </c>
      <c r="D3056" t="inlineStr">
        <is>
          <t>работник 670</t>
        </is>
      </c>
      <c r="E3056" s="1" t="inlineStr">
        <is>
          <t>ОБЩЕСТВО С ОГРАНИЧЕННОЙ ОТВЕТСТВЕННОСТЬЮ "АМУР ЗОЛОТО"</t>
        </is>
      </c>
      <c r="F3056" s="1" t="inlineStr">
        <is>
          <t>2708001686</t>
        </is>
      </c>
      <c r="G3056" s="1" t="inlineStr">
        <is>
          <t>Лаборант пробирного анализа</t>
        </is>
      </c>
      <c r="H3056" s="1" t="inlineStr">
        <is>
          <t>ООО "Амур Золото"</t>
        </is>
      </c>
      <c r="I3056" s="1" t="inlineStr">
        <is>
          <t>2708001686</t>
        </is>
      </c>
      <c r="J3056" s="1" t="inlineStr">
        <is>
          <t>ЮГОК ПАЛ 26-08</t>
        </is>
      </c>
      <c r="K305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056" s="1" t="inlineStr">
        <is>
          <t>02.08.2026</t>
        </is>
      </c>
      <c r="M3056" s="1" t="inlineStr">
        <is>
          <t>Успешно</t>
        </is>
      </c>
      <c r="N3056" s="1" t="inlineStr">
        <is>
          <t>11.08.2026</t>
        </is>
      </c>
      <c r="O3056" s="1" t="inlineStr"/>
      <c r="P3056" s="1" t="inlineStr"/>
      <c r="Q3056" s="1" t="inlineStr">
        <is>
          <t>Пользовательский интерфейс</t>
        </is>
      </c>
    </row>
    <row r="3057">
      <c r="B3057" s="1" t="inlineStr">
        <is>
          <t>214421765</t>
        </is>
      </c>
      <c r="C3057" s="1" t="inlineStr">
        <is>
          <t>15411233</t>
        </is>
      </c>
      <c r="D3057" t="inlineStr">
        <is>
          <t>работник 671</t>
        </is>
      </c>
      <c r="E3057" s="1" t="inlineStr">
        <is>
          <t>ОБЩЕСТВО С ОГРАНИЧЕННОЙ ОТВЕТСТВЕННОСТЬЮ "АМУР ЗОЛОТО"</t>
        </is>
      </c>
      <c r="F3057" s="1" t="inlineStr">
        <is>
          <t>2708001686</t>
        </is>
      </c>
      <c r="G3057" s="1" t="inlineStr">
        <is>
          <t>Лаборант пробирного анализа</t>
        </is>
      </c>
      <c r="H3057" s="1" t="inlineStr">
        <is>
          <t>ООО "Амур Золото"</t>
        </is>
      </c>
      <c r="I3057" s="1" t="inlineStr">
        <is>
          <t>2708001686</t>
        </is>
      </c>
      <c r="J3057" s="1" t="inlineStr">
        <is>
          <t>ЮГОК ПАЛ 26-08</t>
        </is>
      </c>
      <c r="K3057" s="1" t="inlineStr">
        <is>
          <t>Использование (применение) средств индивидуальной защиты</t>
        </is>
      </c>
      <c r="L3057" s="1" t="inlineStr">
        <is>
          <t>02.08.2026</t>
        </is>
      </c>
      <c r="M3057" s="1" t="inlineStr">
        <is>
          <t>Успешно</t>
        </is>
      </c>
      <c r="N3057" s="1" t="inlineStr">
        <is>
          <t>11.08.2026</t>
        </is>
      </c>
      <c r="O3057" s="1" t="inlineStr"/>
      <c r="P3057" s="1" t="inlineStr"/>
      <c r="Q3057" s="1" t="inlineStr">
        <is>
          <t>Пользовательский интерфейс</t>
        </is>
      </c>
    </row>
    <row r="3058">
      <c r="B3058" s="1" t="inlineStr">
        <is>
          <t>214421766</t>
        </is>
      </c>
      <c r="C3058" s="1" t="inlineStr">
        <is>
          <t>15411233</t>
        </is>
      </c>
      <c r="D3058" t="inlineStr">
        <is>
          <t>работник 671</t>
        </is>
      </c>
      <c r="E3058" s="1" t="inlineStr">
        <is>
          <t>ОБЩЕСТВО С ОГРАНИЧЕННОЙ ОТВЕТСТВЕННОСТЬЮ "АМУР ЗОЛОТО"</t>
        </is>
      </c>
      <c r="F3058" s="1" t="inlineStr">
        <is>
          <t>2708001686</t>
        </is>
      </c>
      <c r="G3058" s="1" t="inlineStr">
        <is>
          <t>Лаборант пробирного анализа</t>
        </is>
      </c>
      <c r="H3058" s="1" t="inlineStr">
        <is>
          <t>ООО "Амур Золото"</t>
        </is>
      </c>
      <c r="I3058" s="1" t="inlineStr">
        <is>
          <t>2708001686</t>
        </is>
      </c>
      <c r="J3058" s="1" t="inlineStr">
        <is>
          <t>ЮГОК ПАЛ 26-08</t>
        </is>
      </c>
      <c r="K305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058" s="1" t="inlineStr">
        <is>
          <t>02.08.2026</t>
        </is>
      </c>
      <c r="M3058" s="1" t="inlineStr">
        <is>
          <t>Успешно</t>
        </is>
      </c>
      <c r="N3058" s="1" t="inlineStr">
        <is>
          <t>11.08.2026</t>
        </is>
      </c>
      <c r="O3058" s="1" t="inlineStr"/>
      <c r="P3058" s="1" t="inlineStr"/>
      <c r="Q3058" s="1" t="inlineStr">
        <is>
          <t>Пользовательский интерфейс</t>
        </is>
      </c>
    </row>
    <row r="3059">
      <c r="B3059" s="1" t="inlineStr">
        <is>
          <t>214421767</t>
        </is>
      </c>
      <c r="C3059" s="1" t="inlineStr">
        <is>
          <t>15411233</t>
        </is>
      </c>
      <c r="D3059" t="inlineStr">
        <is>
          <t>работник 120</t>
        </is>
      </c>
      <c r="E3059" s="1" t="inlineStr">
        <is>
          <t>ОБЩЕСТВО С ОГРАНИЧЕННОЙ ОТВЕТСТВЕННОСТЬЮ "АМУР ЗОЛОТО"</t>
        </is>
      </c>
      <c r="F3059" s="1" t="inlineStr">
        <is>
          <t>2708001686</t>
        </is>
      </c>
      <c r="G3059" s="1" t="inlineStr">
        <is>
          <t>Дробильщик</t>
        </is>
      </c>
      <c r="H3059" s="1" t="inlineStr">
        <is>
          <t>ООО "Амур Золото"</t>
        </is>
      </c>
      <c r="I3059" s="1" t="inlineStr">
        <is>
          <t>2708001686</t>
        </is>
      </c>
      <c r="J3059" s="1" t="inlineStr">
        <is>
          <t>ЮГОК ПАЛ 26-09</t>
        </is>
      </c>
      <c r="K3059" s="1" t="inlineStr">
        <is>
          <t>Оказание первой помощи пострадавшим</t>
        </is>
      </c>
      <c r="L3059" s="1" t="inlineStr">
        <is>
          <t>02.08.2026</t>
        </is>
      </c>
      <c r="M3059" s="1" t="inlineStr">
        <is>
          <t>Успешно</t>
        </is>
      </c>
      <c r="N3059" s="1" t="inlineStr">
        <is>
          <t>11.08.2026</t>
        </is>
      </c>
      <c r="O3059" s="1" t="inlineStr"/>
      <c r="P3059" s="1" t="inlineStr"/>
      <c r="Q3059" s="1" t="inlineStr">
        <is>
          <t>Пользовательский интерфейс</t>
        </is>
      </c>
    </row>
    <row r="3060">
      <c r="B3060" s="1" t="inlineStr">
        <is>
          <t>214421768</t>
        </is>
      </c>
      <c r="C3060" s="1" t="inlineStr">
        <is>
          <t>15411233</t>
        </is>
      </c>
      <c r="D3060" t="inlineStr">
        <is>
          <t>работник 120</t>
        </is>
      </c>
      <c r="E3060" s="1" t="inlineStr">
        <is>
          <t>ОБЩЕСТВО С ОГРАНИЧЕННОЙ ОТВЕТСТВЕННОСТЬЮ "АМУР ЗОЛОТО"</t>
        </is>
      </c>
      <c r="F3060" s="1" t="inlineStr">
        <is>
          <t>2708001686</t>
        </is>
      </c>
      <c r="G3060" s="1" t="inlineStr">
        <is>
          <t>Дробильщик</t>
        </is>
      </c>
      <c r="H3060" s="1" t="inlineStr">
        <is>
          <t>ООО "Амур Золото"</t>
        </is>
      </c>
      <c r="I3060" s="1" t="inlineStr">
        <is>
          <t>2708001686</t>
        </is>
      </c>
      <c r="J3060" s="1" t="inlineStr">
        <is>
          <t>ЮГОК ПАЛ 26-09</t>
        </is>
      </c>
      <c r="K3060" s="1" t="inlineStr">
        <is>
          <t>Использование (применение) средств индивидуальной защиты</t>
        </is>
      </c>
      <c r="L3060" s="1" t="inlineStr">
        <is>
          <t>02.08.2026</t>
        </is>
      </c>
      <c r="M3060" s="1" t="inlineStr">
        <is>
          <t>Успешно</t>
        </is>
      </c>
      <c r="N3060" s="1" t="inlineStr">
        <is>
          <t>11.08.2026</t>
        </is>
      </c>
      <c r="O3060" s="1" t="inlineStr"/>
      <c r="P3060" s="1" t="inlineStr"/>
      <c r="Q3060" s="1" t="inlineStr">
        <is>
          <t>Пользовательский интерфейс</t>
        </is>
      </c>
    </row>
    <row r="3061">
      <c r="B3061" s="1" t="inlineStr">
        <is>
          <t>214421769</t>
        </is>
      </c>
      <c r="C3061" s="1" t="inlineStr">
        <is>
          <t>15411233</t>
        </is>
      </c>
      <c r="D3061" t="inlineStr">
        <is>
          <t>работник 120</t>
        </is>
      </c>
      <c r="E3061" s="1" t="inlineStr">
        <is>
          <t>ОБЩЕСТВО С ОГРАНИЧЕННОЙ ОТВЕТСТВЕННОСТЬЮ "АМУР ЗОЛОТО"</t>
        </is>
      </c>
      <c r="F3061" s="1" t="inlineStr">
        <is>
          <t>2708001686</t>
        </is>
      </c>
      <c r="G3061" s="1" t="inlineStr">
        <is>
          <t>Дробильщик</t>
        </is>
      </c>
      <c r="H3061" s="1" t="inlineStr">
        <is>
          <t>ООО "Амур Золото"</t>
        </is>
      </c>
      <c r="I3061" s="1" t="inlineStr">
        <is>
          <t>2708001686</t>
        </is>
      </c>
      <c r="J3061" s="1" t="inlineStr">
        <is>
          <t>ЮГОК ПАЛ 26-09</t>
        </is>
      </c>
      <c r="K306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061" s="1" t="inlineStr">
        <is>
          <t>02.08.2026</t>
        </is>
      </c>
      <c r="M3061" s="1" t="inlineStr">
        <is>
          <t>Успешно</t>
        </is>
      </c>
      <c r="N3061" s="1" t="inlineStr">
        <is>
          <t>11.08.2026</t>
        </is>
      </c>
      <c r="O3061" s="1" t="inlineStr"/>
      <c r="P3061" s="1" t="inlineStr"/>
      <c r="Q3061" s="1" t="inlineStr">
        <is>
          <t>Пользовательский интерфейс</t>
        </is>
      </c>
    </row>
    <row r="3062">
      <c r="B3062" s="1" t="inlineStr">
        <is>
          <t>214421770</t>
        </is>
      </c>
      <c r="C3062" s="1" t="inlineStr">
        <is>
          <t>15411233</t>
        </is>
      </c>
      <c r="D3062" t="inlineStr">
        <is>
          <t>работник 860</t>
        </is>
      </c>
      <c r="E3062" s="1" t="inlineStr">
        <is>
          <t>ОБЩЕСТВО С ОГРАНИЧЕННОЙ ОТВЕТСТВЕННОСТЬЮ "АМУР ЗОЛОТО"</t>
        </is>
      </c>
      <c r="F3062" s="1" t="inlineStr">
        <is>
          <t>2708001686</t>
        </is>
      </c>
      <c r="G3062" s="1" t="inlineStr">
        <is>
          <t>Машинист самоходной буровой установки</t>
        </is>
      </c>
      <c r="H3062" s="1" t="inlineStr">
        <is>
          <t>ООО "Амур Золото"</t>
        </is>
      </c>
      <c r="I3062" s="1" t="inlineStr">
        <is>
          <t>2708001686</t>
        </is>
      </c>
      <c r="J3062" s="1" t="inlineStr">
        <is>
          <t>ЮГОК ПГУ 26-42</t>
        </is>
      </c>
      <c r="K3062" s="1" t="inlineStr">
        <is>
          <t>Оказание первой помощи пострадавшим</t>
        </is>
      </c>
      <c r="L3062" s="1" t="inlineStr">
        <is>
          <t>31.07.2026</t>
        </is>
      </c>
      <c r="M3062" s="1" t="inlineStr">
        <is>
          <t>Успешно</t>
        </is>
      </c>
      <c r="N3062" s="1" t="inlineStr">
        <is>
          <t>11.08.2026</t>
        </is>
      </c>
      <c r="O3062" s="1" t="inlineStr"/>
      <c r="P3062" s="1" t="inlineStr"/>
      <c r="Q3062" s="1" t="inlineStr">
        <is>
          <t>Пользовательский интерфейс</t>
        </is>
      </c>
    </row>
    <row r="3063">
      <c r="B3063" s="1" t="inlineStr">
        <is>
          <t>214421771</t>
        </is>
      </c>
      <c r="C3063" s="1" t="inlineStr">
        <is>
          <t>15411233</t>
        </is>
      </c>
      <c r="D3063" t="inlineStr">
        <is>
          <t>работник 860</t>
        </is>
      </c>
      <c r="E3063" s="1" t="inlineStr">
        <is>
          <t>ОБЩЕСТВО С ОГРАНИЧЕННОЙ ОТВЕТСТВЕННОСТЬЮ "АМУР ЗОЛОТО"</t>
        </is>
      </c>
      <c r="F3063" s="1" t="inlineStr">
        <is>
          <t>2708001686</t>
        </is>
      </c>
      <c r="G3063" s="1" t="inlineStr">
        <is>
          <t>Машинист самоходной буровой установки</t>
        </is>
      </c>
      <c r="H3063" s="1" t="inlineStr">
        <is>
          <t>ООО "Амур Золото"</t>
        </is>
      </c>
      <c r="I3063" s="1" t="inlineStr">
        <is>
          <t>2708001686</t>
        </is>
      </c>
      <c r="J3063" s="1" t="inlineStr">
        <is>
          <t>ЮГОК ПГУ 26-42</t>
        </is>
      </c>
      <c r="K3063" s="1" t="inlineStr">
        <is>
          <t>Использование (применение) средств индивидуальной защиты</t>
        </is>
      </c>
      <c r="L3063" s="1" t="inlineStr">
        <is>
          <t>31.07.2026</t>
        </is>
      </c>
      <c r="M3063" s="1" t="inlineStr">
        <is>
          <t>Успешно</t>
        </is>
      </c>
      <c r="N3063" s="1" t="inlineStr">
        <is>
          <t>11.08.2026</t>
        </is>
      </c>
      <c r="O3063" s="1" t="inlineStr"/>
      <c r="P3063" s="1" t="inlineStr"/>
      <c r="Q3063" s="1" t="inlineStr">
        <is>
          <t>Пользовательский интерфейс</t>
        </is>
      </c>
    </row>
    <row r="3064">
      <c r="B3064" s="1" t="inlineStr">
        <is>
          <t>214421772</t>
        </is>
      </c>
      <c r="C3064" s="1" t="inlineStr">
        <is>
          <t>15411233</t>
        </is>
      </c>
      <c r="D3064" t="inlineStr">
        <is>
          <t>работник 860</t>
        </is>
      </c>
      <c r="E3064" s="1" t="inlineStr">
        <is>
          <t>ОБЩЕСТВО С ОГРАНИЧЕННОЙ ОТВЕТСТВЕННОСТЬЮ "АМУР ЗОЛОТО"</t>
        </is>
      </c>
      <c r="F3064" s="1" t="inlineStr">
        <is>
          <t>2708001686</t>
        </is>
      </c>
      <c r="G3064" s="1" t="inlineStr">
        <is>
          <t>Машинист самоходной буровой установки</t>
        </is>
      </c>
      <c r="H3064" s="1" t="inlineStr">
        <is>
          <t>ООО "Амур Золото"</t>
        </is>
      </c>
      <c r="I3064" s="1" t="inlineStr">
        <is>
          <t>2708001686</t>
        </is>
      </c>
      <c r="J3064" s="1" t="inlineStr">
        <is>
          <t>ЮГОК ПГУ 26-42</t>
        </is>
      </c>
      <c r="K306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064" s="1" t="inlineStr">
        <is>
          <t>31.07.2026</t>
        </is>
      </c>
      <c r="M3064" s="1" t="inlineStr">
        <is>
          <t>Успешно</t>
        </is>
      </c>
      <c r="N3064" s="1" t="inlineStr">
        <is>
          <t>11.08.2026</t>
        </is>
      </c>
      <c r="O3064" s="1" t="inlineStr"/>
      <c r="P3064" s="1" t="inlineStr"/>
      <c r="Q3064" s="1" t="inlineStr">
        <is>
          <t>Пользовательский интерфейс</t>
        </is>
      </c>
    </row>
    <row r="3065">
      <c r="B3065" s="1" t="inlineStr">
        <is>
          <t>216771043</t>
        </is>
      </c>
      <c r="C3065" s="1" t="inlineStr">
        <is>
          <t>15571832</t>
        </is>
      </c>
      <c r="D3065" t="inlineStr">
        <is>
          <t>работник 861</t>
        </is>
      </c>
      <c r="E3065" s="1" t="inlineStr">
        <is>
          <t>ОБЩЕСТВО С ОГРАНИЧЕННОЙ ОТВЕТСТВЕННОСТЬЮ "АМУР ЗОЛОТО"</t>
        </is>
      </c>
      <c r="F3065" s="1" t="inlineStr">
        <is>
          <t>2708001686</t>
        </is>
      </c>
      <c r="G3065" s="1" t="inlineStr">
        <is>
          <t>Уборщик производственных и служебных помещений</t>
        </is>
      </c>
      <c r="H3065" s="1" t="inlineStr">
        <is>
          <t>ООО "Амур Золото"</t>
        </is>
      </c>
      <c r="I3065" s="1" t="inlineStr">
        <is>
          <t>2708001686</t>
        </is>
      </c>
      <c r="J3065" s="1" t="inlineStr">
        <is>
          <t>ЮГОК АХЧ 26-46</t>
        </is>
      </c>
      <c r="K3065" s="1" t="inlineStr">
        <is>
          <t>Оказание первой помощи пострадавшим</t>
        </is>
      </c>
      <c r="L3065" s="1" t="inlineStr">
        <is>
          <t>15.08.2026</t>
        </is>
      </c>
      <c r="M3065" s="1" t="inlineStr">
        <is>
          <t>Успешно</t>
        </is>
      </c>
      <c r="N3065" s="1" t="inlineStr">
        <is>
          <t>21.08.2026</t>
        </is>
      </c>
      <c r="O3065" s="1" t="inlineStr"/>
      <c r="P3065" s="1" t="inlineStr"/>
      <c r="Q3065" s="1" t="inlineStr">
        <is>
          <t>Пользовательский интерфейс</t>
        </is>
      </c>
    </row>
    <row r="3066">
      <c r="B3066" s="1" t="inlineStr">
        <is>
          <t>216771044</t>
        </is>
      </c>
      <c r="C3066" s="1" t="inlineStr">
        <is>
          <t>15571832</t>
        </is>
      </c>
      <c r="D3066" t="inlineStr">
        <is>
          <t>работник 861</t>
        </is>
      </c>
      <c r="E3066" s="1" t="inlineStr">
        <is>
          <t>ОБЩЕСТВО С ОГРАНИЧЕННОЙ ОТВЕТСТВЕННОСТЬЮ "АМУР ЗОЛОТО"</t>
        </is>
      </c>
      <c r="F3066" s="1" t="inlineStr">
        <is>
          <t>2708001686</t>
        </is>
      </c>
      <c r="G3066" s="1" t="inlineStr">
        <is>
          <t>Уборщик производственных и служебных помещений</t>
        </is>
      </c>
      <c r="H3066" s="1" t="inlineStr">
        <is>
          <t>ООО "Амур Золото"</t>
        </is>
      </c>
      <c r="I3066" s="1" t="inlineStr">
        <is>
          <t>2708001686</t>
        </is>
      </c>
      <c r="J3066" s="1" t="inlineStr">
        <is>
          <t>ЮГОК АХЧ 26-46</t>
        </is>
      </c>
      <c r="K3066" s="1" t="inlineStr">
        <is>
          <t>Использование (применение) средств индивидуальной защиты</t>
        </is>
      </c>
      <c r="L3066" s="1" t="inlineStr">
        <is>
          <t>15.08.2026</t>
        </is>
      </c>
      <c r="M3066" s="1" t="inlineStr">
        <is>
          <t>Успешно</t>
        </is>
      </c>
      <c r="N3066" s="1" t="inlineStr">
        <is>
          <t>21.08.2026</t>
        </is>
      </c>
      <c r="O3066" s="1" t="inlineStr"/>
      <c r="P3066" s="1" t="inlineStr"/>
      <c r="Q3066" s="1" t="inlineStr">
        <is>
          <t>Пользовательский интерфейс</t>
        </is>
      </c>
    </row>
    <row r="3067">
      <c r="B3067" s="1" t="inlineStr">
        <is>
          <t>216771045</t>
        </is>
      </c>
      <c r="C3067" s="1" t="inlineStr">
        <is>
          <t>15571832</t>
        </is>
      </c>
      <c r="D3067" t="inlineStr">
        <is>
          <t>работник 861</t>
        </is>
      </c>
      <c r="E3067" s="1" t="inlineStr">
        <is>
          <t>ОБЩЕСТВО С ОГРАНИЧЕННОЙ ОТВЕТСТВЕННОСТЬЮ "АМУР ЗОЛОТО"</t>
        </is>
      </c>
      <c r="F3067" s="1" t="inlineStr">
        <is>
          <t>2708001686</t>
        </is>
      </c>
      <c r="G3067" s="1" t="inlineStr">
        <is>
          <t>Уборщик производственных и служебных помещений</t>
        </is>
      </c>
      <c r="H3067" s="1" t="inlineStr">
        <is>
          <t>ООО "Амур Золото"</t>
        </is>
      </c>
      <c r="I3067" s="1" t="inlineStr">
        <is>
          <t>2708001686</t>
        </is>
      </c>
      <c r="J3067" s="1" t="inlineStr">
        <is>
          <t>ЮГОК АХЧ 26-46</t>
        </is>
      </c>
      <c r="K306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067" s="1" t="inlineStr">
        <is>
          <t>15.08.2026</t>
        </is>
      </c>
      <c r="M3067" s="1" t="inlineStr">
        <is>
          <t>Успешно</t>
        </is>
      </c>
      <c r="N3067" s="1" t="inlineStr">
        <is>
          <t>21.08.2026</t>
        </is>
      </c>
      <c r="O3067" s="1" t="inlineStr"/>
      <c r="P3067" s="1" t="inlineStr"/>
      <c r="Q3067" s="1" t="inlineStr">
        <is>
          <t>Пользовательский интерфейс</t>
        </is>
      </c>
    </row>
    <row r="3068">
      <c r="B3068" s="1" t="inlineStr">
        <is>
          <t>216771046</t>
        </is>
      </c>
      <c r="C3068" s="1" t="inlineStr">
        <is>
          <t>15571832</t>
        </is>
      </c>
      <c r="D3068" t="inlineStr">
        <is>
          <t>работник 862</t>
        </is>
      </c>
      <c r="E3068" s="1" t="inlineStr">
        <is>
          <t>ОБЩЕСТВО С ОГРАНИЧЕННОЙ ОТВЕТСТВЕННОСТЬЮ "АМУР ЗОЛОТО"</t>
        </is>
      </c>
      <c r="F3068" s="1" t="inlineStr">
        <is>
          <t>2708001686</t>
        </is>
      </c>
      <c r="G3068" s="1" t="inlineStr">
        <is>
          <t>Уборщик производственных и служебных помещений</t>
        </is>
      </c>
      <c r="H3068" s="1" t="inlineStr">
        <is>
          <t>ООО "Амур Золото"</t>
        </is>
      </c>
      <c r="I3068" s="1" t="inlineStr">
        <is>
          <t>2708001686</t>
        </is>
      </c>
      <c r="J3068" s="1" t="inlineStr">
        <is>
          <t>ЮГОК АХЧ 26-46</t>
        </is>
      </c>
      <c r="K3068" s="1" t="inlineStr">
        <is>
          <t>Оказание первой помощи пострадавшим</t>
        </is>
      </c>
      <c r="L3068" s="1" t="inlineStr">
        <is>
          <t>15.08.2026</t>
        </is>
      </c>
      <c r="M3068" s="1" t="inlineStr">
        <is>
          <t>Успешно</t>
        </is>
      </c>
      <c r="N3068" s="1" t="inlineStr">
        <is>
          <t>21.08.2026</t>
        </is>
      </c>
      <c r="O3068" s="1" t="inlineStr"/>
      <c r="P3068" s="1" t="inlineStr"/>
      <c r="Q3068" s="1" t="inlineStr">
        <is>
          <t>Пользовательский интерфейс</t>
        </is>
      </c>
    </row>
    <row r="3069">
      <c r="B3069" s="1" t="inlineStr">
        <is>
          <t>216771047</t>
        </is>
      </c>
      <c r="C3069" s="1" t="inlineStr">
        <is>
          <t>15571832</t>
        </is>
      </c>
      <c r="D3069" t="inlineStr">
        <is>
          <t>работник 862</t>
        </is>
      </c>
      <c r="E3069" s="1" t="inlineStr">
        <is>
          <t>ОБЩЕСТВО С ОГРАНИЧЕННОЙ ОТВЕТСТВЕННОСТЬЮ "АМУР ЗОЛОТО"</t>
        </is>
      </c>
      <c r="F3069" s="1" t="inlineStr">
        <is>
          <t>2708001686</t>
        </is>
      </c>
      <c r="G3069" s="1" t="inlineStr">
        <is>
          <t>Уборщик производственных и служебных помещений</t>
        </is>
      </c>
      <c r="H3069" s="1" t="inlineStr">
        <is>
          <t>ООО "Амур Золото"</t>
        </is>
      </c>
      <c r="I3069" s="1" t="inlineStr">
        <is>
          <t>2708001686</t>
        </is>
      </c>
      <c r="J3069" s="1" t="inlineStr">
        <is>
          <t>ЮГОК АХЧ 26-46</t>
        </is>
      </c>
      <c r="K3069" s="1" t="inlineStr">
        <is>
          <t>Использование (применение) средств индивидуальной защиты</t>
        </is>
      </c>
      <c r="L3069" s="1" t="inlineStr">
        <is>
          <t>15.08.2026</t>
        </is>
      </c>
      <c r="M3069" s="1" t="inlineStr">
        <is>
          <t>Успешно</t>
        </is>
      </c>
      <c r="N3069" s="1" t="inlineStr">
        <is>
          <t>21.08.2026</t>
        </is>
      </c>
      <c r="O3069" s="1" t="inlineStr"/>
      <c r="P3069" s="1" t="inlineStr"/>
      <c r="Q3069" s="1" t="inlineStr">
        <is>
          <t>Пользовательский интерфейс</t>
        </is>
      </c>
    </row>
    <row r="3070">
      <c r="B3070" s="1" t="inlineStr">
        <is>
          <t>216771048</t>
        </is>
      </c>
      <c r="C3070" s="1" t="inlineStr">
        <is>
          <t>15571832</t>
        </is>
      </c>
      <c r="D3070" t="inlineStr">
        <is>
          <t>работник 862</t>
        </is>
      </c>
      <c r="E3070" s="1" t="inlineStr">
        <is>
          <t>ОБЩЕСТВО С ОГРАНИЧЕННОЙ ОТВЕТСТВЕННОСТЬЮ "АМУР ЗОЛОТО"</t>
        </is>
      </c>
      <c r="F3070" s="1" t="inlineStr">
        <is>
          <t>2708001686</t>
        </is>
      </c>
      <c r="G3070" s="1" t="inlineStr">
        <is>
          <t>Уборщик производственных и служебных помещений</t>
        </is>
      </c>
      <c r="H3070" s="1" t="inlineStr">
        <is>
          <t>ООО "Амур Золото"</t>
        </is>
      </c>
      <c r="I3070" s="1" t="inlineStr">
        <is>
          <t>2708001686</t>
        </is>
      </c>
      <c r="J3070" s="1" t="inlineStr">
        <is>
          <t>ЮГОК АХЧ 26-46</t>
        </is>
      </c>
      <c r="K307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070" s="1" t="inlineStr">
        <is>
          <t>15.08.2026</t>
        </is>
      </c>
      <c r="M3070" s="1" t="inlineStr">
        <is>
          <t>Успешно</t>
        </is>
      </c>
      <c r="N3070" s="1" t="inlineStr">
        <is>
          <t>21.08.2026</t>
        </is>
      </c>
      <c r="O3070" s="1" t="inlineStr"/>
      <c r="P3070" s="1" t="inlineStr"/>
      <c r="Q3070" s="1" t="inlineStr">
        <is>
          <t>Пользовательский интерфейс</t>
        </is>
      </c>
    </row>
    <row r="3071">
      <c r="B3071" s="1" t="inlineStr">
        <is>
          <t>216771049</t>
        </is>
      </c>
      <c r="C3071" s="1" t="inlineStr">
        <is>
          <t>15571832</t>
        </is>
      </c>
      <c r="D3071" t="inlineStr">
        <is>
          <t>работник 363</t>
        </is>
      </c>
      <c r="E3071" s="1" t="inlineStr">
        <is>
          <t>ОБЩЕСТВО С ОГРАНИЧЕННОЙ ОТВЕТСТВЕННОСТЬЮ "АМУР ЗОЛОТО"</t>
        </is>
      </c>
      <c r="F3071" s="1" t="inlineStr">
        <is>
          <t>2708001686</t>
        </is>
      </c>
      <c r="G3071" s="1" t="inlineStr">
        <is>
          <t>Уборщик производственных и служебных помещений</t>
        </is>
      </c>
      <c r="H3071" s="1" t="inlineStr">
        <is>
          <t>ООО "Амур Золото"</t>
        </is>
      </c>
      <c r="I3071" s="1" t="inlineStr">
        <is>
          <t>2708001686</t>
        </is>
      </c>
      <c r="J3071" s="1" t="inlineStr">
        <is>
          <t>ЮГОК АХЧ 26-46</t>
        </is>
      </c>
      <c r="K3071" s="1" t="inlineStr">
        <is>
          <t>Оказание первой помощи пострадавшим</t>
        </is>
      </c>
      <c r="L3071" s="1" t="inlineStr">
        <is>
          <t>15.08.2026</t>
        </is>
      </c>
      <c r="M3071" s="1" t="inlineStr">
        <is>
          <t>Успешно</t>
        </is>
      </c>
      <c r="N3071" s="1" t="inlineStr">
        <is>
          <t>21.08.2026</t>
        </is>
      </c>
      <c r="O3071" s="1" t="inlineStr"/>
      <c r="P3071" s="1" t="inlineStr"/>
      <c r="Q3071" s="1" t="inlineStr">
        <is>
          <t>Пользовательский интерфейс</t>
        </is>
      </c>
    </row>
    <row r="3072">
      <c r="B3072" s="1" t="inlineStr">
        <is>
          <t>216771050</t>
        </is>
      </c>
      <c r="C3072" s="1" t="inlineStr">
        <is>
          <t>15571832</t>
        </is>
      </c>
      <c r="D3072" t="inlineStr">
        <is>
          <t>работник 363</t>
        </is>
      </c>
      <c r="E3072" s="1" t="inlineStr">
        <is>
          <t>ОБЩЕСТВО С ОГРАНИЧЕННОЙ ОТВЕТСТВЕННОСТЬЮ "АМУР ЗОЛОТО"</t>
        </is>
      </c>
      <c r="F3072" s="1" t="inlineStr">
        <is>
          <t>2708001686</t>
        </is>
      </c>
      <c r="G3072" s="1" t="inlineStr">
        <is>
          <t>Уборщик производственных и служебных помещений</t>
        </is>
      </c>
      <c r="H3072" s="1" t="inlineStr">
        <is>
          <t>ООО "Амур Золото"</t>
        </is>
      </c>
      <c r="I3072" s="1" t="inlineStr">
        <is>
          <t>2708001686</t>
        </is>
      </c>
      <c r="J3072" s="1" t="inlineStr">
        <is>
          <t>ЮГОК АХЧ 26-46</t>
        </is>
      </c>
      <c r="K3072" s="1" t="inlineStr">
        <is>
          <t>Использование (применение) средств индивидуальной защиты</t>
        </is>
      </c>
      <c r="L3072" s="1" t="inlineStr">
        <is>
          <t>15.08.2026</t>
        </is>
      </c>
      <c r="M3072" s="1" t="inlineStr">
        <is>
          <t>Успешно</t>
        </is>
      </c>
      <c r="N3072" s="1" t="inlineStr">
        <is>
          <t>21.08.2026</t>
        </is>
      </c>
      <c r="O3072" s="1" t="inlineStr"/>
      <c r="P3072" s="1" t="inlineStr"/>
      <c r="Q3072" s="1" t="inlineStr">
        <is>
          <t>Пользовательский интерфейс</t>
        </is>
      </c>
    </row>
    <row r="3073">
      <c r="B3073" s="1" t="inlineStr">
        <is>
          <t>216771051</t>
        </is>
      </c>
      <c r="C3073" s="1" t="inlineStr">
        <is>
          <t>15571832</t>
        </is>
      </c>
      <c r="D3073" t="inlineStr">
        <is>
          <t>работник 363</t>
        </is>
      </c>
      <c r="E3073" s="1" t="inlineStr">
        <is>
          <t>ОБЩЕСТВО С ОГРАНИЧЕННОЙ ОТВЕТСТВЕННОСТЬЮ "АМУР ЗОЛОТО"</t>
        </is>
      </c>
      <c r="F3073" s="1" t="inlineStr">
        <is>
          <t>2708001686</t>
        </is>
      </c>
      <c r="G3073" s="1" t="inlineStr">
        <is>
          <t>Уборщик производственных и служебных помещений</t>
        </is>
      </c>
      <c r="H3073" s="1" t="inlineStr">
        <is>
          <t>ООО "Амур Золото"</t>
        </is>
      </c>
      <c r="I3073" s="1" t="inlineStr">
        <is>
          <t>2708001686</t>
        </is>
      </c>
      <c r="J3073" s="1" t="inlineStr">
        <is>
          <t>ЮГОК АХЧ 26-46</t>
        </is>
      </c>
      <c r="K307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073" s="1" t="inlineStr">
        <is>
          <t>15.08.2026</t>
        </is>
      </c>
      <c r="M3073" s="1" t="inlineStr">
        <is>
          <t>Успешно</t>
        </is>
      </c>
      <c r="N3073" s="1" t="inlineStr">
        <is>
          <t>21.08.2026</t>
        </is>
      </c>
      <c r="O3073" s="1" t="inlineStr"/>
      <c r="P3073" s="1" t="inlineStr"/>
      <c r="Q3073" s="1" t="inlineStr">
        <is>
          <t>Пользовательский интерфейс</t>
        </is>
      </c>
    </row>
    <row r="3074">
      <c r="B3074" s="1" t="inlineStr">
        <is>
          <t>216771052</t>
        </is>
      </c>
      <c r="C3074" s="1" t="inlineStr">
        <is>
          <t>15571832</t>
        </is>
      </c>
      <c r="D3074" t="inlineStr">
        <is>
          <t>работник 627</t>
        </is>
      </c>
      <c r="E3074" s="1" t="inlineStr">
        <is>
          <t>ОБЩЕСТВО С ОГРАНИЧЕННОЙ ОТВЕТСТВЕННОСТЬЮ "АМУР ЗОЛОТО"</t>
        </is>
      </c>
      <c r="F3074" s="1" t="inlineStr">
        <is>
          <t>2708001686</t>
        </is>
      </c>
      <c r="G3074" s="1" t="inlineStr">
        <is>
          <t>Подсобный рабочий</t>
        </is>
      </c>
      <c r="H3074" s="1" t="inlineStr">
        <is>
          <t>ООО "Амур Золото"</t>
        </is>
      </c>
      <c r="I3074" s="1" t="inlineStr">
        <is>
          <t>2708001686</t>
        </is>
      </c>
      <c r="J3074" s="1" t="inlineStr">
        <is>
          <t>ЮГОК АХЧ 26-47</t>
        </is>
      </c>
      <c r="K3074" s="1" t="inlineStr">
        <is>
          <t>Оказание первой помощи пострадавшим</t>
        </is>
      </c>
      <c r="L3074" s="1" t="inlineStr">
        <is>
          <t>16.08.2026</t>
        </is>
      </c>
      <c r="M3074" s="1" t="inlineStr">
        <is>
          <t>Успешно</t>
        </is>
      </c>
      <c r="N3074" s="1" t="inlineStr">
        <is>
          <t>21.08.2026</t>
        </is>
      </c>
      <c r="O3074" s="1" t="inlineStr"/>
      <c r="P3074" s="1" t="inlineStr"/>
      <c r="Q3074" s="1" t="inlineStr">
        <is>
          <t>Пользовательский интерфейс</t>
        </is>
      </c>
    </row>
    <row r="3075">
      <c r="B3075" s="1" t="inlineStr">
        <is>
          <t>216771053</t>
        </is>
      </c>
      <c r="C3075" s="1" t="inlineStr">
        <is>
          <t>15571832</t>
        </is>
      </c>
      <c r="D3075" t="inlineStr">
        <is>
          <t>работник 627</t>
        </is>
      </c>
      <c r="E3075" s="1" t="inlineStr">
        <is>
          <t>ОБЩЕСТВО С ОГРАНИЧЕННОЙ ОТВЕТСТВЕННОСТЬЮ "АМУР ЗОЛОТО"</t>
        </is>
      </c>
      <c r="F3075" s="1" t="inlineStr">
        <is>
          <t>2708001686</t>
        </is>
      </c>
      <c r="G3075" s="1" t="inlineStr">
        <is>
          <t>Подсобный рабочий</t>
        </is>
      </c>
      <c r="H3075" s="1" t="inlineStr">
        <is>
          <t>ООО "Амур Золото"</t>
        </is>
      </c>
      <c r="I3075" s="1" t="inlineStr">
        <is>
          <t>2708001686</t>
        </is>
      </c>
      <c r="J3075" s="1" t="inlineStr">
        <is>
          <t>ЮГОК АХЧ 26-47</t>
        </is>
      </c>
      <c r="K3075" s="1" t="inlineStr">
        <is>
          <t>Использование (применение) средств индивидуальной защиты</t>
        </is>
      </c>
      <c r="L3075" s="1" t="inlineStr">
        <is>
          <t>16.08.2026</t>
        </is>
      </c>
      <c r="M3075" s="1" t="inlineStr">
        <is>
          <t>Успешно</t>
        </is>
      </c>
      <c r="N3075" s="1" t="inlineStr">
        <is>
          <t>21.08.2026</t>
        </is>
      </c>
      <c r="O3075" s="1" t="inlineStr"/>
      <c r="P3075" s="1" t="inlineStr"/>
      <c r="Q3075" s="1" t="inlineStr">
        <is>
          <t>Пользовательский интерфейс</t>
        </is>
      </c>
    </row>
    <row r="3076">
      <c r="B3076" s="1" t="inlineStr">
        <is>
          <t>216771054</t>
        </is>
      </c>
      <c r="C3076" s="1" t="inlineStr">
        <is>
          <t>15571832</t>
        </is>
      </c>
      <c r="D3076" t="inlineStr">
        <is>
          <t>работник 627</t>
        </is>
      </c>
      <c r="E3076" s="1" t="inlineStr">
        <is>
          <t>ОБЩЕСТВО С ОГРАНИЧЕННОЙ ОТВЕТСТВЕННОСТЬЮ "АМУР ЗОЛОТО"</t>
        </is>
      </c>
      <c r="F3076" s="1" t="inlineStr">
        <is>
          <t>2708001686</t>
        </is>
      </c>
      <c r="G3076" s="1" t="inlineStr">
        <is>
          <t>Подсобный рабочий</t>
        </is>
      </c>
      <c r="H3076" s="1" t="inlineStr">
        <is>
          <t>ООО "Амур Золото"</t>
        </is>
      </c>
      <c r="I3076" s="1" t="inlineStr">
        <is>
          <t>2708001686</t>
        </is>
      </c>
      <c r="J3076" s="1" t="inlineStr">
        <is>
          <t>ЮГОК АХЧ 26-47</t>
        </is>
      </c>
      <c r="K307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076" s="1" t="inlineStr">
        <is>
          <t>16.08.2026</t>
        </is>
      </c>
      <c r="M3076" s="1" t="inlineStr">
        <is>
          <t>Успешно</t>
        </is>
      </c>
      <c r="N3076" s="1" t="inlineStr">
        <is>
          <t>21.08.2026</t>
        </is>
      </c>
      <c r="O3076" s="1" t="inlineStr"/>
      <c r="P3076" s="1" t="inlineStr"/>
      <c r="Q3076" s="1" t="inlineStr">
        <is>
          <t>Пользовательский интерфейс</t>
        </is>
      </c>
    </row>
    <row r="3077">
      <c r="B3077" s="1" t="inlineStr">
        <is>
          <t>216771055</t>
        </is>
      </c>
      <c r="C3077" s="1" t="inlineStr">
        <is>
          <t>15571832</t>
        </is>
      </c>
      <c r="D3077" t="inlineStr">
        <is>
          <t>работник 863</t>
        </is>
      </c>
      <c r="E3077" s="1" t="inlineStr">
        <is>
          <t>ОБЩЕСТВО С ОГРАНИЧЕННОЙ ОТВЕТСТВЕННОСТЬЮ "АМУР ЗОЛОТО"</t>
        </is>
      </c>
      <c r="F3077" s="1" t="inlineStr">
        <is>
          <t>2708001686</t>
        </is>
      </c>
      <c r="G3077" s="1" t="inlineStr">
        <is>
          <t>Подсобный рабочий</t>
        </is>
      </c>
      <c r="H3077" s="1" t="inlineStr">
        <is>
          <t>ООО "Амур Золото"</t>
        </is>
      </c>
      <c r="I3077" s="1" t="inlineStr">
        <is>
          <t>2708001686</t>
        </is>
      </c>
      <c r="J3077" s="1" t="inlineStr">
        <is>
          <t>ЮГОК АХЧ 26-47</t>
        </is>
      </c>
      <c r="K3077" s="1" t="inlineStr">
        <is>
          <t>Оказание первой помощи пострадавшим</t>
        </is>
      </c>
      <c r="L3077" s="1" t="inlineStr">
        <is>
          <t>16.08.2026</t>
        </is>
      </c>
      <c r="M3077" s="1" t="inlineStr">
        <is>
          <t>Успешно</t>
        </is>
      </c>
      <c r="N3077" s="1" t="inlineStr">
        <is>
          <t>21.08.2026</t>
        </is>
      </c>
      <c r="O3077" s="1" t="inlineStr"/>
      <c r="P3077" s="1" t="inlineStr"/>
      <c r="Q3077" s="1" t="inlineStr">
        <is>
          <t>Пользовательский интерфейс</t>
        </is>
      </c>
    </row>
    <row r="3078">
      <c r="B3078" s="1" t="inlineStr">
        <is>
          <t>216771056</t>
        </is>
      </c>
      <c r="C3078" s="1" t="inlineStr">
        <is>
          <t>15571832</t>
        </is>
      </c>
      <c r="D3078" t="inlineStr">
        <is>
          <t>работник 863</t>
        </is>
      </c>
      <c r="E3078" s="1" t="inlineStr">
        <is>
          <t>ОБЩЕСТВО С ОГРАНИЧЕННОЙ ОТВЕТСТВЕННОСТЬЮ "АМУР ЗОЛОТО"</t>
        </is>
      </c>
      <c r="F3078" s="1" t="inlineStr">
        <is>
          <t>2708001686</t>
        </is>
      </c>
      <c r="G3078" s="1" t="inlineStr">
        <is>
          <t>Подсобный рабочий</t>
        </is>
      </c>
      <c r="H3078" s="1" t="inlineStr">
        <is>
          <t>ООО "Амур Золото"</t>
        </is>
      </c>
      <c r="I3078" s="1" t="inlineStr">
        <is>
          <t>2708001686</t>
        </is>
      </c>
      <c r="J3078" s="1" t="inlineStr">
        <is>
          <t>ЮГОК АХЧ 26-47</t>
        </is>
      </c>
      <c r="K3078" s="1" t="inlineStr">
        <is>
          <t>Использование (применение) средств индивидуальной защиты</t>
        </is>
      </c>
      <c r="L3078" s="1" t="inlineStr">
        <is>
          <t>16.08.2026</t>
        </is>
      </c>
      <c r="M3078" s="1" t="inlineStr">
        <is>
          <t>Успешно</t>
        </is>
      </c>
      <c r="N3078" s="1" t="inlineStr">
        <is>
          <t>21.08.2026</t>
        </is>
      </c>
      <c r="O3078" s="1" t="inlineStr"/>
      <c r="P3078" s="1" t="inlineStr"/>
      <c r="Q3078" s="1" t="inlineStr">
        <is>
          <t>Пользовательский интерфейс</t>
        </is>
      </c>
    </row>
    <row r="3079">
      <c r="B3079" s="1" t="inlineStr">
        <is>
          <t>216771057</t>
        </is>
      </c>
      <c r="C3079" s="1" t="inlineStr">
        <is>
          <t>15571832</t>
        </is>
      </c>
      <c r="D3079" t="inlineStr">
        <is>
          <t>работник 863</t>
        </is>
      </c>
      <c r="E3079" s="1" t="inlineStr">
        <is>
          <t>ОБЩЕСТВО С ОГРАНИЧЕННОЙ ОТВЕТСТВЕННОСТЬЮ "АМУР ЗОЛОТО"</t>
        </is>
      </c>
      <c r="F3079" s="1" t="inlineStr">
        <is>
          <t>2708001686</t>
        </is>
      </c>
      <c r="G3079" s="1" t="inlineStr">
        <is>
          <t>Подсобный рабочий</t>
        </is>
      </c>
      <c r="H3079" s="1" t="inlineStr">
        <is>
          <t>ООО "Амур Золото"</t>
        </is>
      </c>
      <c r="I3079" s="1" t="inlineStr">
        <is>
          <t>2708001686</t>
        </is>
      </c>
      <c r="J3079" s="1" t="inlineStr">
        <is>
          <t>ЮГОК АХЧ 26-47</t>
        </is>
      </c>
      <c r="K307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079" s="1" t="inlineStr">
        <is>
          <t>16.08.2026</t>
        </is>
      </c>
      <c r="M3079" s="1" t="inlineStr">
        <is>
          <t>Успешно</t>
        </is>
      </c>
      <c r="N3079" s="1" t="inlineStr">
        <is>
          <t>21.08.2026</t>
        </is>
      </c>
      <c r="O3079" s="1" t="inlineStr"/>
      <c r="P3079" s="1" t="inlineStr"/>
      <c r="Q3079" s="1" t="inlineStr">
        <is>
          <t>Пользовательский интерфейс</t>
        </is>
      </c>
    </row>
    <row r="3080">
      <c r="B3080" s="1" t="inlineStr">
        <is>
          <t>216771058</t>
        </is>
      </c>
      <c r="C3080" s="1" t="inlineStr">
        <is>
          <t>15571832</t>
        </is>
      </c>
      <c r="D3080" t="inlineStr">
        <is>
          <t>работник 864</t>
        </is>
      </c>
      <c r="E3080" s="1" t="inlineStr">
        <is>
          <t>ОБЩЕСТВО С ОГРАНИЧЕННОЙ ОТВЕТСТВЕННОСТЬЮ "АМУР ЗОЛОТО"</t>
        </is>
      </c>
      <c r="F3080" s="1" t="inlineStr">
        <is>
          <t>2708001686</t>
        </is>
      </c>
      <c r="G3080" s="1" t="inlineStr">
        <is>
          <t>Подсобный рабочий</t>
        </is>
      </c>
      <c r="H3080" s="1" t="inlineStr">
        <is>
          <t>ООО "Амур Золото"</t>
        </is>
      </c>
      <c r="I3080" s="1" t="inlineStr">
        <is>
          <t>2708001686</t>
        </is>
      </c>
      <c r="J3080" s="1" t="inlineStr">
        <is>
          <t>ЮГОК АХЧ 26-47</t>
        </is>
      </c>
      <c r="K3080" s="1" t="inlineStr">
        <is>
          <t>Оказание первой помощи пострадавшим</t>
        </is>
      </c>
      <c r="L3080" s="1" t="inlineStr">
        <is>
          <t>16.08.2026</t>
        </is>
      </c>
      <c r="M3080" s="1" t="inlineStr">
        <is>
          <t>Успешно</t>
        </is>
      </c>
      <c r="N3080" s="1" t="inlineStr">
        <is>
          <t>21.08.2026</t>
        </is>
      </c>
      <c r="O3080" s="1" t="inlineStr"/>
      <c r="P3080" s="1" t="inlineStr"/>
      <c r="Q3080" s="1" t="inlineStr">
        <is>
          <t>Пользовательский интерфейс</t>
        </is>
      </c>
    </row>
    <row r="3081">
      <c r="B3081" s="1" t="inlineStr">
        <is>
          <t>216771059</t>
        </is>
      </c>
      <c r="C3081" s="1" t="inlineStr">
        <is>
          <t>15571832</t>
        </is>
      </c>
      <c r="D3081" t="inlineStr">
        <is>
          <t>работник 864</t>
        </is>
      </c>
      <c r="E3081" s="1" t="inlineStr">
        <is>
          <t>ОБЩЕСТВО С ОГРАНИЧЕННОЙ ОТВЕТСТВЕННОСТЬЮ "АМУР ЗОЛОТО"</t>
        </is>
      </c>
      <c r="F3081" s="1" t="inlineStr">
        <is>
          <t>2708001686</t>
        </is>
      </c>
      <c r="G3081" s="1" t="inlineStr">
        <is>
          <t>Подсобный рабочий</t>
        </is>
      </c>
      <c r="H3081" s="1" t="inlineStr">
        <is>
          <t>ООО "Амур Золото"</t>
        </is>
      </c>
      <c r="I3081" s="1" t="inlineStr">
        <is>
          <t>2708001686</t>
        </is>
      </c>
      <c r="J3081" s="1" t="inlineStr">
        <is>
          <t>ЮГОК АХЧ 26-47</t>
        </is>
      </c>
      <c r="K3081" s="1" t="inlineStr">
        <is>
          <t>Использование (применение) средств индивидуальной защиты</t>
        </is>
      </c>
      <c r="L3081" s="1" t="inlineStr">
        <is>
          <t>16.08.2026</t>
        </is>
      </c>
      <c r="M3081" s="1" t="inlineStr">
        <is>
          <t>Успешно</t>
        </is>
      </c>
      <c r="N3081" s="1" t="inlineStr">
        <is>
          <t>21.08.2026</t>
        </is>
      </c>
      <c r="O3081" s="1" t="inlineStr"/>
      <c r="P3081" s="1" t="inlineStr"/>
      <c r="Q3081" s="1" t="inlineStr">
        <is>
          <t>Пользовательский интерфейс</t>
        </is>
      </c>
    </row>
    <row r="3082">
      <c r="B3082" s="1" t="inlineStr">
        <is>
          <t>216771060</t>
        </is>
      </c>
      <c r="C3082" s="1" t="inlineStr">
        <is>
          <t>15571832</t>
        </is>
      </c>
      <c r="D3082" t="inlineStr">
        <is>
          <t>работник 864</t>
        </is>
      </c>
      <c r="E3082" s="1" t="inlineStr">
        <is>
          <t>ОБЩЕСТВО С ОГРАНИЧЕННОЙ ОТВЕТСТВЕННОСТЬЮ "АМУР ЗОЛОТО"</t>
        </is>
      </c>
      <c r="F3082" s="1" t="inlineStr">
        <is>
          <t>2708001686</t>
        </is>
      </c>
      <c r="G3082" s="1" t="inlineStr">
        <is>
          <t>Подсобный рабочий</t>
        </is>
      </c>
      <c r="H3082" s="1" t="inlineStr">
        <is>
          <t>ООО "Амур Золото"</t>
        </is>
      </c>
      <c r="I3082" s="1" t="inlineStr">
        <is>
          <t>2708001686</t>
        </is>
      </c>
      <c r="J3082" s="1" t="inlineStr">
        <is>
          <t>ЮГОК АХЧ 26-47</t>
        </is>
      </c>
      <c r="K308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082" s="1" t="inlineStr">
        <is>
          <t>16.08.2026</t>
        </is>
      </c>
      <c r="M3082" s="1" t="inlineStr">
        <is>
          <t>Успешно</t>
        </is>
      </c>
      <c r="N3082" s="1" t="inlineStr">
        <is>
          <t>21.08.2026</t>
        </is>
      </c>
      <c r="O3082" s="1" t="inlineStr"/>
      <c r="P3082" s="1" t="inlineStr"/>
      <c r="Q3082" s="1" t="inlineStr">
        <is>
          <t>Пользовательский интерфейс</t>
        </is>
      </c>
    </row>
    <row r="3083">
      <c r="B3083" s="1" t="inlineStr">
        <is>
          <t>216771061</t>
        </is>
      </c>
      <c r="C3083" s="1" t="inlineStr">
        <is>
          <t>15571832</t>
        </is>
      </c>
      <c r="D3083" t="inlineStr">
        <is>
          <t>работник 865</t>
        </is>
      </c>
      <c r="E3083" s="1" t="inlineStr">
        <is>
          <t>ОБЩЕСТВО С ОГРАНИЧЕННОЙ ОТВЕТСТВЕННОСТЬЮ "АМУР ЗОЛОТО"</t>
        </is>
      </c>
      <c r="F3083" s="1" t="inlineStr">
        <is>
          <t>2708001686</t>
        </is>
      </c>
      <c r="G3083" s="1" t="inlineStr">
        <is>
          <t>Подсобный рабочий</t>
        </is>
      </c>
      <c r="H3083" s="1" t="inlineStr">
        <is>
          <t>ООО "Амур Золото"</t>
        </is>
      </c>
      <c r="I3083" s="1" t="inlineStr">
        <is>
          <t>2708001686</t>
        </is>
      </c>
      <c r="J3083" s="1" t="inlineStr">
        <is>
          <t>ЮГОК АХЧ 26-47</t>
        </is>
      </c>
      <c r="K3083" s="1" t="inlineStr">
        <is>
          <t>Оказание первой помощи пострадавшим</t>
        </is>
      </c>
      <c r="L3083" s="1" t="inlineStr">
        <is>
          <t>16.08.2026</t>
        </is>
      </c>
      <c r="M3083" s="1" t="inlineStr">
        <is>
          <t>Успешно</t>
        </is>
      </c>
      <c r="N3083" s="1" t="inlineStr">
        <is>
          <t>21.08.2026</t>
        </is>
      </c>
      <c r="O3083" s="1" t="inlineStr"/>
      <c r="P3083" s="1" t="inlineStr"/>
      <c r="Q3083" s="1" t="inlineStr">
        <is>
          <t>Пользовательский интерфейс</t>
        </is>
      </c>
    </row>
    <row r="3084">
      <c r="B3084" s="1" t="inlineStr">
        <is>
          <t>216771062</t>
        </is>
      </c>
      <c r="C3084" s="1" t="inlineStr">
        <is>
          <t>15571832</t>
        </is>
      </c>
      <c r="D3084" t="inlineStr">
        <is>
          <t>работник 865</t>
        </is>
      </c>
      <c r="E3084" s="1" t="inlineStr">
        <is>
          <t>ОБЩЕСТВО С ОГРАНИЧЕННОЙ ОТВЕТСТВЕННОСТЬЮ "АМУР ЗОЛОТО"</t>
        </is>
      </c>
      <c r="F3084" s="1" t="inlineStr">
        <is>
          <t>2708001686</t>
        </is>
      </c>
      <c r="G3084" s="1" t="inlineStr">
        <is>
          <t>Подсобный рабочий</t>
        </is>
      </c>
      <c r="H3084" s="1" t="inlineStr">
        <is>
          <t>ООО "Амур Золото"</t>
        </is>
      </c>
      <c r="I3084" s="1" t="inlineStr">
        <is>
          <t>2708001686</t>
        </is>
      </c>
      <c r="J3084" s="1" t="inlineStr">
        <is>
          <t>ЮГОК АХЧ 26-47</t>
        </is>
      </c>
      <c r="K3084" s="1" t="inlineStr">
        <is>
          <t>Использование (применение) средств индивидуальной защиты</t>
        </is>
      </c>
      <c r="L3084" s="1" t="inlineStr">
        <is>
          <t>16.08.2026</t>
        </is>
      </c>
      <c r="M3084" s="1" t="inlineStr">
        <is>
          <t>Успешно</t>
        </is>
      </c>
      <c r="N3084" s="1" t="inlineStr">
        <is>
          <t>21.08.2026</t>
        </is>
      </c>
      <c r="O3084" s="1" t="inlineStr"/>
      <c r="P3084" s="1" t="inlineStr"/>
      <c r="Q3084" s="1" t="inlineStr">
        <is>
          <t>Пользовательский интерфейс</t>
        </is>
      </c>
    </row>
    <row r="3085">
      <c r="B3085" s="1" t="inlineStr">
        <is>
          <t>216771063</t>
        </is>
      </c>
      <c r="C3085" s="1" t="inlineStr">
        <is>
          <t>15571832</t>
        </is>
      </c>
      <c r="D3085" t="inlineStr">
        <is>
          <t>работник 865</t>
        </is>
      </c>
      <c r="E3085" s="1" t="inlineStr">
        <is>
          <t>ОБЩЕСТВО С ОГРАНИЧЕННОЙ ОТВЕТСТВЕННОСТЬЮ "АМУР ЗОЛОТО"</t>
        </is>
      </c>
      <c r="F3085" s="1" t="inlineStr">
        <is>
          <t>2708001686</t>
        </is>
      </c>
      <c r="G3085" s="1" t="inlineStr">
        <is>
          <t>Подсобный рабочий</t>
        </is>
      </c>
      <c r="H3085" s="1" t="inlineStr">
        <is>
          <t>ООО "Амур Золото"</t>
        </is>
      </c>
      <c r="I3085" s="1" t="inlineStr">
        <is>
          <t>2708001686</t>
        </is>
      </c>
      <c r="J3085" s="1" t="inlineStr">
        <is>
          <t>ЮГОК АХЧ 26-47</t>
        </is>
      </c>
      <c r="K308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085" s="1" t="inlineStr">
        <is>
          <t>16.08.2026</t>
        </is>
      </c>
      <c r="M3085" s="1" t="inlineStr">
        <is>
          <t>Успешно</t>
        </is>
      </c>
      <c r="N3085" s="1" t="inlineStr">
        <is>
          <t>21.08.2026</t>
        </is>
      </c>
      <c r="O3085" s="1" t="inlineStr"/>
      <c r="P3085" s="1" t="inlineStr"/>
      <c r="Q3085" s="1" t="inlineStr">
        <is>
          <t>Пользовательский интерфейс</t>
        </is>
      </c>
    </row>
    <row r="3086">
      <c r="B3086" s="1" t="inlineStr">
        <is>
          <t>216771064</t>
        </is>
      </c>
      <c r="C3086" s="1" t="inlineStr">
        <is>
          <t>15571832</t>
        </is>
      </c>
      <c r="D3086" t="inlineStr">
        <is>
          <t>работник 866</t>
        </is>
      </c>
      <c r="E3086" s="1" t="inlineStr">
        <is>
          <t>ОБЩЕСТВО С ОГРАНИЧЕННОЙ ОТВЕТСТВЕННОСТЬЮ "АМУР ЗОЛОТО"</t>
        </is>
      </c>
      <c r="F3086" s="1" t="inlineStr">
        <is>
          <t>2708001686</t>
        </is>
      </c>
      <c r="G3086" s="1" t="inlineStr">
        <is>
          <t>Продавец</t>
        </is>
      </c>
      <c r="H3086" s="1" t="inlineStr">
        <is>
          <t>ООО "Амур Золото"</t>
        </is>
      </c>
      <c r="I3086" s="1" t="inlineStr">
        <is>
          <t>2708001686</t>
        </is>
      </c>
      <c r="J3086" s="1" t="inlineStr">
        <is>
          <t>ЮГОК АХЧ 26-48</t>
        </is>
      </c>
      <c r="K3086" s="1" t="inlineStr">
        <is>
          <t>Оказание первой помощи пострадавшим</t>
        </is>
      </c>
      <c r="L3086" s="1" t="inlineStr">
        <is>
          <t>16.08.2026</t>
        </is>
      </c>
      <c r="M3086" s="1" t="inlineStr">
        <is>
          <t>Успешно</t>
        </is>
      </c>
      <c r="N3086" s="1" t="inlineStr">
        <is>
          <t>21.08.2026</t>
        </is>
      </c>
      <c r="O3086" s="1" t="inlineStr"/>
      <c r="P3086" s="1" t="inlineStr"/>
      <c r="Q3086" s="1" t="inlineStr">
        <is>
          <t>Пользовательский интерфейс</t>
        </is>
      </c>
    </row>
    <row r="3087">
      <c r="B3087" s="1" t="inlineStr">
        <is>
          <t>216771065</t>
        </is>
      </c>
      <c r="C3087" s="1" t="inlineStr">
        <is>
          <t>15571832</t>
        </is>
      </c>
      <c r="D3087" t="inlineStr">
        <is>
          <t>работник 866</t>
        </is>
      </c>
      <c r="E3087" s="1" t="inlineStr">
        <is>
          <t>ОБЩЕСТВО С ОГРАНИЧЕННОЙ ОТВЕТСТВЕННОСТЬЮ "АМУР ЗОЛОТО"</t>
        </is>
      </c>
      <c r="F3087" s="1" t="inlineStr">
        <is>
          <t>2708001686</t>
        </is>
      </c>
      <c r="G3087" s="1" t="inlineStr">
        <is>
          <t>Продавец</t>
        </is>
      </c>
      <c r="H3087" s="1" t="inlineStr">
        <is>
          <t>ООО "Амур Золото"</t>
        </is>
      </c>
      <c r="I3087" s="1" t="inlineStr">
        <is>
          <t>2708001686</t>
        </is>
      </c>
      <c r="J3087" s="1" t="inlineStr">
        <is>
          <t>ЮГОК АХЧ 26-48</t>
        </is>
      </c>
      <c r="K3087" s="1" t="inlineStr">
        <is>
          <t>Использование (применение) средств индивидуальной защиты</t>
        </is>
      </c>
      <c r="L3087" s="1" t="inlineStr">
        <is>
          <t>16.08.2026</t>
        </is>
      </c>
      <c r="M3087" s="1" t="inlineStr">
        <is>
          <t>Успешно</t>
        </is>
      </c>
      <c r="N3087" s="1" t="inlineStr">
        <is>
          <t>21.08.2026</t>
        </is>
      </c>
      <c r="O3087" s="1" t="inlineStr"/>
      <c r="P3087" s="1" t="inlineStr"/>
      <c r="Q3087" s="1" t="inlineStr">
        <is>
          <t>Пользовательский интерфейс</t>
        </is>
      </c>
    </row>
    <row r="3088">
      <c r="B3088" s="1" t="inlineStr">
        <is>
          <t>216771066</t>
        </is>
      </c>
      <c r="C3088" s="1" t="inlineStr">
        <is>
          <t>15571832</t>
        </is>
      </c>
      <c r="D3088" t="inlineStr">
        <is>
          <t>работник 866</t>
        </is>
      </c>
      <c r="E3088" s="1" t="inlineStr">
        <is>
          <t>ОБЩЕСТВО С ОГРАНИЧЕННОЙ ОТВЕТСТВЕННОСТЬЮ "АМУР ЗОЛОТО"</t>
        </is>
      </c>
      <c r="F3088" s="1" t="inlineStr">
        <is>
          <t>2708001686</t>
        </is>
      </c>
      <c r="G3088" s="1" t="inlineStr">
        <is>
          <t>Продавец</t>
        </is>
      </c>
      <c r="H3088" s="1" t="inlineStr">
        <is>
          <t>ООО "Амур Золото"</t>
        </is>
      </c>
      <c r="I3088" s="1" t="inlineStr">
        <is>
          <t>2708001686</t>
        </is>
      </c>
      <c r="J3088" s="1" t="inlineStr">
        <is>
          <t>ЮГОК АХЧ 26-48</t>
        </is>
      </c>
      <c r="K308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088" s="1" t="inlineStr">
        <is>
          <t>16.08.2026</t>
        </is>
      </c>
      <c r="M3088" s="1" t="inlineStr">
        <is>
          <t>Успешно</t>
        </is>
      </c>
      <c r="N3088" s="1" t="inlineStr">
        <is>
          <t>21.08.2026</t>
        </is>
      </c>
      <c r="O3088" s="1" t="inlineStr"/>
      <c r="P3088" s="1" t="inlineStr"/>
      <c r="Q3088" s="1" t="inlineStr">
        <is>
          <t>Пользовательский интерфейс</t>
        </is>
      </c>
    </row>
    <row r="3089">
      <c r="B3089" s="1" t="inlineStr">
        <is>
          <t>216771067</t>
        </is>
      </c>
      <c r="C3089" s="1" t="inlineStr">
        <is>
          <t>15571832</t>
        </is>
      </c>
      <c r="D3089" t="inlineStr">
        <is>
          <t>работник 867</t>
        </is>
      </c>
      <c r="E3089" s="1" t="inlineStr">
        <is>
          <t>ОБЩЕСТВО С ОГРАНИЧЕННОЙ ОТВЕТСТВЕННОСТЬЮ "АМУР ЗОЛОТО"</t>
        </is>
      </c>
      <c r="F3089" s="1" t="inlineStr">
        <is>
          <t>2708001686</t>
        </is>
      </c>
      <c r="G3089" s="1" t="inlineStr">
        <is>
          <t>Оператор стиральных машин (с исполнением обязанностей рабочего по ремонту спецодежды)</t>
        </is>
      </c>
      <c r="H3089" s="1" t="inlineStr">
        <is>
          <t>ООО "Амур Золото"</t>
        </is>
      </c>
      <c r="I3089" s="1" t="inlineStr">
        <is>
          <t>2708001686</t>
        </is>
      </c>
      <c r="J3089" s="1" t="inlineStr">
        <is>
          <t>ЮГОК АХЧ 26-49</t>
        </is>
      </c>
      <c r="K3089" s="1" t="inlineStr">
        <is>
          <t>Оказание первой помощи пострадавшим</t>
        </is>
      </c>
      <c r="L3089" s="1" t="inlineStr">
        <is>
          <t>17.08.2026</t>
        </is>
      </c>
      <c r="M3089" s="1" t="inlineStr">
        <is>
          <t>Успешно</t>
        </is>
      </c>
      <c r="N3089" s="1" t="inlineStr">
        <is>
          <t>21.08.2026</t>
        </is>
      </c>
      <c r="O3089" s="1" t="inlineStr"/>
      <c r="P3089" s="1" t="inlineStr"/>
      <c r="Q3089" s="1" t="inlineStr">
        <is>
          <t>Пользовательский интерфейс</t>
        </is>
      </c>
    </row>
    <row r="3090">
      <c r="B3090" s="1" t="inlineStr">
        <is>
          <t>216771068</t>
        </is>
      </c>
      <c r="C3090" s="1" t="inlineStr">
        <is>
          <t>15571832</t>
        </is>
      </c>
      <c r="D3090" t="inlineStr">
        <is>
          <t>работник 867</t>
        </is>
      </c>
      <c r="E3090" s="1" t="inlineStr">
        <is>
          <t>ОБЩЕСТВО С ОГРАНИЧЕННОЙ ОТВЕТСТВЕННОСТЬЮ "АМУР ЗОЛОТО"</t>
        </is>
      </c>
      <c r="F3090" s="1" t="inlineStr">
        <is>
          <t>2708001686</t>
        </is>
      </c>
      <c r="G3090" s="1" t="inlineStr">
        <is>
          <t>Оператор стиральных машин (с исполнением обязанностей рабочего по ремонту спецодежды)</t>
        </is>
      </c>
      <c r="H3090" s="1" t="inlineStr">
        <is>
          <t>ООО "Амур Золото"</t>
        </is>
      </c>
      <c r="I3090" s="1" t="inlineStr">
        <is>
          <t>2708001686</t>
        </is>
      </c>
      <c r="J3090" s="1" t="inlineStr">
        <is>
          <t>ЮГОК АХЧ 26-49</t>
        </is>
      </c>
      <c r="K3090" s="1" t="inlineStr">
        <is>
          <t>Использование (применение) средств индивидуальной защиты</t>
        </is>
      </c>
      <c r="L3090" s="1" t="inlineStr">
        <is>
          <t>17.08.2026</t>
        </is>
      </c>
      <c r="M3090" s="1" t="inlineStr">
        <is>
          <t>Успешно</t>
        </is>
      </c>
      <c r="N3090" s="1" t="inlineStr">
        <is>
          <t>21.08.2026</t>
        </is>
      </c>
      <c r="O3090" s="1" t="inlineStr"/>
      <c r="P3090" s="1" t="inlineStr"/>
      <c r="Q3090" s="1" t="inlineStr">
        <is>
          <t>Пользовательский интерфейс</t>
        </is>
      </c>
    </row>
    <row r="3091">
      <c r="B3091" s="1" t="inlineStr">
        <is>
          <t>216771069</t>
        </is>
      </c>
      <c r="C3091" s="1" t="inlineStr">
        <is>
          <t>15571832</t>
        </is>
      </c>
      <c r="D3091" t="inlineStr">
        <is>
          <t>работник 868</t>
        </is>
      </c>
      <c r="E3091" s="1" t="inlineStr">
        <is>
          <t>ОБЩЕСТВО С ОГРАНИЧЕННОЙ ОТВЕТСТВЕННОСТЬЮ "АМУР ЗОЛОТО"</t>
        </is>
      </c>
      <c r="F3091" s="1" t="inlineStr">
        <is>
          <t>2708001686</t>
        </is>
      </c>
      <c r="G3091" s="1" t="inlineStr">
        <is>
          <t>Кухонный рабочий</t>
        </is>
      </c>
      <c r="H3091" s="1" t="inlineStr">
        <is>
          <t>ООО "Амур Золото"</t>
        </is>
      </c>
      <c r="I3091" s="1" t="inlineStr">
        <is>
          <t>2708001686</t>
        </is>
      </c>
      <c r="J3091" s="1" t="inlineStr">
        <is>
          <t>ЮГОК АХЧ 26-52</t>
        </is>
      </c>
      <c r="K3091" s="1" t="inlineStr">
        <is>
          <t>Использование (применение) средств индивидуальной защиты</t>
        </is>
      </c>
      <c r="L3091" s="1" t="inlineStr">
        <is>
          <t>18.08.2026</t>
        </is>
      </c>
      <c r="M3091" s="1" t="inlineStr">
        <is>
          <t>Успешно</t>
        </is>
      </c>
      <c r="N3091" s="1" t="inlineStr">
        <is>
          <t>21.08.2026</t>
        </is>
      </c>
      <c r="O3091" s="1" t="inlineStr"/>
      <c r="P3091" s="1" t="inlineStr"/>
      <c r="Q3091" s="1" t="inlineStr">
        <is>
          <t>Пользовательский интерфейс</t>
        </is>
      </c>
    </row>
    <row r="3092">
      <c r="B3092" s="1" t="inlineStr">
        <is>
          <t>216771070</t>
        </is>
      </c>
      <c r="C3092" s="1" t="inlineStr">
        <is>
          <t>15571832</t>
        </is>
      </c>
      <c r="D3092" t="inlineStr">
        <is>
          <t>работник 867</t>
        </is>
      </c>
      <c r="E3092" s="1" t="inlineStr">
        <is>
          <t>ОБЩЕСТВО С ОГРАНИЧЕННОЙ ОТВЕТСТВЕННОСТЬЮ "АМУР ЗОЛОТО"</t>
        </is>
      </c>
      <c r="F3092" s="1" t="inlineStr">
        <is>
          <t>2708001686</t>
        </is>
      </c>
      <c r="G3092" s="1" t="inlineStr">
        <is>
          <t>Оператор стиральных машин (с исполнением обязанностей рабочего по ремонту спецодежды)</t>
        </is>
      </c>
      <c r="H3092" s="1" t="inlineStr">
        <is>
          <t>ООО "Амур Золото"</t>
        </is>
      </c>
      <c r="I3092" s="1" t="inlineStr">
        <is>
          <t>2708001686</t>
        </is>
      </c>
      <c r="J3092" s="1" t="inlineStr">
        <is>
          <t>ЮГОК АХЧ 26-49</t>
        </is>
      </c>
      <c r="K309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092" s="1" t="inlineStr">
        <is>
          <t>17.08.2026</t>
        </is>
      </c>
      <c r="M3092" s="1" t="inlineStr">
        <is>
          <t>Успешно</t>
        </is>
      </c>
      <c r="N3092" s="1" t="inlineStr">
        <is>
          <t>21.08.2026</t>
        </is>
      </c>
      <c r="O3092" s="1" t="inlineStr"/>
      <c r="P3092" s="1" t="inlineStr"/>
      <c r="Q3092" s="1" t="inlineStr">
        <is>
          <t>Пользовательский интерфейс</t>
        </is>
      </c>
    </row>
    <row r="3093">
      <c r="B3093" s="1" t="inlineStr">
        <is>
          <t>216771071</t>
        </is>
      </c>
      <c r="C3093" s="1" t="inlineStr">
        <is>
          <t>15571832</t>
        </is>
      </c>
      <c r="D3093" t="inlineStr">
        <is>
          <t>работник 869</t>
        </is>
      </c>
      <c r="E3093" s="1" t="inlineStr">
        <is>
          <t>ОБЩЕСТВО С ОГРАНИЧЕННОЙ ОТВЕТСТВЕННОСТЬЮ "АМУР ЗОЛОТО"</t>
        </is>
      </c>
      <c r="F3093" s="1" t="inlineStr">
        <is>
          <t>2708001686</t>
        </is>
      </c>
      <c r="G3093" s="1" t="inlineStr">
        <is>
          <t>Повар</t>
        </is>
      </c>
      <c r="H3093" s="1" t="inlineStr">
        <is>
          <t>ООО "Амур Золото"</t>
        </is>
      </c>
      <c r="I3093" s="1" t="inlineStr">
        <is>
          <t>2708001686</t>
        </is>
      </c>
      <c r="J3093" s="1" t="inlineStr">
        <is>
          <t>ЮГОК АХЧ 26-50</t>
        </is>
      </c>
      <c r="K3093" s="1" t="inlineStr">
        <is>
          <t>Оказание первой помощи пострадавшим</t>
        </is>
      </c>
      <c r="L3093" s="1" t="inlineStr">
        <is>
          <t>17.08.2026</t>
        </is>
      </c>
      <c r="M3093" s="1" t="inlineStr">
        <is>
          <t>Успешно</t>
        </is>
      </c>
      <c r="N3093" s="1" t="inlineStr">
        <is>
          <t>21.08.2026</t>
        </is>
      </c>
      <c r="O3093" s="1" t="inlineStr"/>
      <c r="P3093" s="1" t="inlineStr"/>
      <c r="Q3093" s="1" t="inlineStr">
        <is>
          <t>Пользовательский интерфейс</t>
        </is>
      </c>
    </row>
    <row r="3094">
      <c r="B3094" s="1" t="inlineStr">
        <is>
          <t>216771072</t>
        </is>
      </c>
      <c r="C3094" s="1" t="inlineStr">
        <is>
          <t>15571832</t>
        </is>
      </c>
      <c r="D3094" t="inlineStr">
        <is>
          <t>работник 869</t>
        </is>
      </c>
      <c r="E3094" s="1" t="inlineStr">
        <is>
          <t>ОБЩЕСТВО С ОГРАНИЧЕННОЙ ОТВЕТСТВЕННОСТЬЮ "АМУР ЗОЛОТО"</t>
        </is>
      </c>
      <c r="F3094" s="1" t="inlineStr">
        <is>
          <t>2708001686</t>
        </is>
      </c>
      <c r="G3094" s="1" t="inlineStr">
        <is>
          <t>Повар</t>
        </is>
      </c>
      <c r="H3094" s="1" t="inlineStr">
        <is>
          <t>ООО "Амур Золото"</t>
        </is>
      </c>
      <c r="I3094" s="1" t="inlineStr">
        <is>
          <t>2708001686</t>
        </is>
      </c>
      <c r="J3094" s="1" t="inlineStr">
        <is>
          <t>ЮГОК АХЧ 26-50</t>
        </is>
      </c>
      <c r="K3094" s="1" t="inlineStr">
        <is>
          <t>Использование (применение) средств индивидуальной защиты</t>
        </is>
      </c>
      <c r="L3094" s="1" t="inlineStr">
        <is>
          <t>17.08.2026</t>
        </is>
      </c>
      <c r="M3094" s="1" t="inlineStr">
        <is>
          <t>Успешно</t>
        </is>
      </c>
      <c r="N3094" s="1" t="inlineStr">
        <is>
          <t>21.08.2026</t>
        </is>
      </c>
      <c r="O3094" s="1" t="inlineStr"/>
      <c r="P3094" s="1" t="inlineStr"/>
      <c r="Q3094" s="1" t="inlineStr">
        <is>
          <t>Пользовательский интерфейс</t>
        </is>
      </c>
    </row>
    <row r="3095">
      <c r="B3095" s="1" t="inlineStr">
        <is>
          <t>216771073</t>
        </is>
      </c>
      <c r="C3095" s="1" t="inlineStr">
        <is>
          <t>15571832</t>
        </is>
      </c>
      <c r="D3095" t="inlineStr">
        <is>
          <t>работник 869</t>
        </is>
      </c>
      <c r="E3095" s="1" t="inlineStr">
        <is>
          <t>ОБЩЕСТВО С ОГРАНИЧЕННОЙ ОТВЕТСТВЕННОСТЬЮ "АМУР ЗОЛОТО"</t>
        </is>
      </c>
      <c r="F3095" s="1" t="inlineStr">
        <is>
          <t>2708001686</t>
        </is>
      </c>
      <c r="G3095" s="1" t="inlineStr">
        <is>
          <t>Повар</t>
        </is>
      </c>
      <c r="H3095" s="1" t="inlineStr">
        <is>
          <t>ООО "Амур Золото"</t>
        </is>
      </c>
      <c r="I3095" s="1" t="inlineStr">
        <is>
          <t>2708001686</t>
        </is>
      </c>
      <c r="J3095" s="1" t="inlineStr">
        <is>
          <t>ЮГОК АХЧ 26-50</t>
        </is>
      </c>
      <c r="K309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095" s="1" t="inlineStr">
        <is>
          <t>17.08.2026</t>
        </is>
      </c>
      <c r="M3095" s="1" t="inlineStr">
        <is>
          <t>Успешно</t>
        </is>
      </c>
      <c r="N3095" s="1" t="inlineStr">
        <is>
          <t>21.08.2026</t>
        </is>
      </c>
      <c r="O3095" s="1" t="inlineStr"/>
      <c r="P3095" s="1" t="inlineStr"/>
      <c r="Q3095" s="1" t="inlineStr">
        <is>
          <t>Пользовательский интерфейс</t>
        </is>
      </c>
    </row>
    <row r="3096">
      <c r="B3096" s="1" t="inlineStr">
        <is>
          <t>216771074</t>
        </is>
      </c>
      <c r="C3096" s="1" t="inlineStr">
        <is>
          <t>15571832</t>
        </is>
      </c>
      <c r="D3096" t="inlineStr">
        <is>
          <t>работник 870</t>
        </is>
      </c>
      <c r="E3096" s="1" t="inlineStr">
        <is>
          <t>ОБЩЕСТВО С ОГРАНИЧЕННОЙ ОТВЕТСТВЕННОСТЬЮ "АМУР ЗОЛОТО"</t>
        </is>
      </c>
      <c r="F3096" s="1" t="inlineStr">
        <is>
          <t>2708001686</t>
        </is>
      </c>
      <c r="G3096" s="1" t="inlineStr">
        <is>
          <t>Повар</t>
        </is>
      </c>
      <c r="H3096" s="1" t="inlineStr">
        <is>
          <t>ООО "Амур Золото"</t>
        </is>
      </c>
      <c r="I3096" s="1" t="inlineStr">
        <is>
          <t>2708001686</t>
        </is>
      </c>
      <c r="J3096" s="1" t="inlineStr">
        <is>
          <t>ЮГОК АХЧ 26-50</t>
        </is>
      </c>
      <c r="K3096" s="1" t="inlineStr">
        <is>
          <t>Оказание первой помощи пострадавшим</t>
        </is>
      </c>
      <c r="L3096" s="1" t="inlineStr">
        <is>
          <t>17.08.2026</t>
        </is>
      </c>
      <c r="M3096" s="1" t="inlineStr">
        <is>
          <t>Успешно</t>
        </is>
      </c>
      <c r="N3096" s="1" t="inlineStr">
        <is>
          <t>21.08.2026</t>
        </is>
      </c>
      <c r="O3096" s="1" t="inlineStr"/>
      <c r="P3096" s="1" t="inlineStr"/>
      <c r="Q3096" s="1" t="inlineStr">
        <is>
          <t>Пользовательский интерфейс</t>
        </is>
      </c>
    </row>
    <row r="3097">
      <c r="B3097" s="1" t="inlineStr">
        <is>
          <t>216771075</t>
        </is>
      </c>
      <c r="C3097" s="1" t="inlineStr">
        <is>
          <t>15571832</t>
        </is>
      </c>
      <c r="D3097" t="inlineStr">
        <is>
          <t>работник 870</t>
        </is>
      </c>
      <c r="E3097" s="1" t="inlineStr">
        <is>
          <t>ОБЩЕСТВО С ОГРАНИЧЕННОЙ ОТВЕТСТВЕННОСТЬЮ "АМУР ЗОЛОТО"</t>
        </is>
      </c>
      <c r="F3097" s="1" t="inlineStr">
        <is>
          <t>2708001686</t>
        </is>
      </c>
      <c r="G3097" s="1" t="inlineStr">
        <is>
          <t>Повар</t>
        </is>
      </c>
      <c r="H3097" s="1" t="inlineStr">
        <is>
          <t>ООО "Амур Золото"</t>
        </is>
      </c>
      <c r="I3097" s="1" t="inlineStr">
        <is>
          <t>2708001686</t>
        </is>
      </c>
      <c r="J3097" s="1" t="inlineStr">
        <is>
          <t>ЮГОК АХЧ 26-50</t>
        </is>
      </c>
      <c r="K3097" s="1" t="inlineStr">
        <is>
          <t>Использование (применение) средств индивидуальной защиты</t>
        </is>
      </c>
      <c r="L3097" s="1" t="inlineStr">
        <is>
          <t>17.08.2026</t>
        </is>
      </c>
      <c r="M3097" s="1" t="inlineStr">
        <is>
          <t>Успешно</t>
        </is>
      </c>
      <c r="N3097" s="1" t="inlineStr">
        <is>
          <t>21.08.2026</t>
        </is>
      </c>
      <c r="O3097" s="1" t="inlineStr"/>
      <c r="P3097" s="1" t="inlineStr"/>
      <c r="Q3097" s="1" t="inlineStr">
        <is>
          <t>Пользовательский интерфейс</t>
        </is>
      </c>
    </row>
    <row r="3098">
      <c r="B3098" s="1" t="inlineStr">
        <is>
          <t>216771076</t>
        </is>
      </c>
      <c r="C3098" s="1" t="inlineStr">
        <is>
          <t>15571832</t>
        </is>
      </c>
      <c r="D3098" t="inlineStr">
        <is>
          <t>работник 870</t>
        </is>
      </c>
      <c r="E3098" s="1" t="inlineStr">
        <is>
          <t>ОБЩЕСТВО С ОГРАНИЧЕННОЙ ОТВЕТСТВЕННОСТЬЮ "АМУР ЗОЛОТО"</t>
        </is>
      </c>
      <c r="F3098" s="1" t="inlineStr">
        <is>
          <t>2708001686</t>
        </is>
      </c>
      <c r="G3098" s="1" t="inlineStr">
        <is>
          <t>Повар</t>
        </is>
      </c>
      <c r="H3098" s="1" t="inlineStr">
        <is>
          <t>ООО "Амур Золото"</t>
        </is>
      </c>
      <c r="I3098" s="1" t="inlineStr">
        <is>
          <t>2708001686</t>
        </is>
      </c>
      <c r="J3098" s="1" t="inlineStr">
        <is>
          <t>ЮГОК АХЧ 26-50</t>
        </is>
      </c>
      <c r="K309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098" s="1" t="inlineStr">
        <is>
          <t>17.08.2026</t>
        </is>
      </c>
      <c r="M3098" s="1" t="inlineStr">
        <is>
          <t>Успешно</t>
        </is>
      </c>
      <c r="N3098" s="1" t="inlineStr">
        <is>
          <t>21.08.2026</t>
        </is>
      </c>
      <c r="O3098" s="1" t="inlineStr"/>
      <c r="P3098" s="1" t="inlineStr"/>
      <c r="Q3098" s="1" t="inlineStr">
        <is>
          <t>Пользовательский интерфейс</t>
        </is>
      </c>
    </row>
    <row r="3099">
      <c r="B3099" s="1" t="inlineStr">
        <is>
          <t>216771077</t>
        </is>
      </c>
      <c r="C3099" s="1" t="inlineStr">
        <is>
          <t>15571832</t>
        </is>
      </c>
      <c r="D3099" t="inlineStr">
        <is>
          <t>работник 871</t>
        </is>
      </c>
      <c r="E3099" s="1" t="inlineStr">
        <is>
          <t>ОБЩЕСТВО С ОГРАНИЧЕННОЙ ОТВЕТСТВЕННОСТЬЮ "АМУР ЗОЛОТО"</t>
        </is>
      </c>
      <c r="F3099" s="1" t="inlineStr">
        <is>
          <t>2708001686</t>
        </is>
      </c>
      <c r="G3099" s="1" t="inlineStr">
        <is>
          <t>Повар</t>
        </is>
      </c>
      <c r="H3099" s="1" t="inlineStr">
        <is>
          <t>ООО "Амур Золото"</t>
        </is>
      </c>
      <c r="I3099" s="1" t="inlineStr">
        <is>
          <t>2708001686</t>
        </is>
      </c>
      <c r="J3099" s="1" t="inlineStr">
        <is>
          <t>ЮГОК АХЧ 26-50</t>
        </is>
      </c>
      <c r="K3099" s="1" t="inlineStr">
        <is>
          <t>Оказание первой помощи пострадавшим</t>
        </is>
      </c>
      <c r="L3099" s="1" t="inlineStr">
        <is>
          <t>17.08.2026</t>
        </is>
      </c>
      <c r="M3099" s="1" t="inlineStr">
        <is>
          <t>Успешно</t>
        </is>
      </c>
      <c r="N3099" s="1" t="inlineStr">
        <is>
          <t>21.08.2026</t>
        </is>
      </c>
      <c r="O3099" s="1" t="inlineStr"/>
      <c r="P3099" s="1" t="inlineStr"/>
      <c r="Q3099" s="1" t="inlineStr">
        <is>
          <t>Пользовательский интерфейс</t>
        </is>
      </c>
    </row>
    <row r="3100">
      <c r="B3100" s="1" t="inlineStr">
        <is>
          <t>216771078</t>
        </is>
      </c>
      <c r="C3100" s="1" t="inlineStr">
        <is>
          <t>15571832</t>
        </is>
      </c>
      <c r="D3100" t="inlineStr">
        <is>
          <t>работник 871</t>
        </is>
      </c>
      <c r="E3100" s="1" t="inlineStr">
        <is>
          <t>ОБЩЕСТВО С ОГРАНИЧЕННОЙ ОТВЕТСТВЕННОСТЬЮ "АМУР ЗОЛОТО"</t>
        </is>
      </c>
      <c r="F3100" s="1" t="inlineStr">
        <is>
          <t>2708001686</t>
        </is>
      </c>
      <c r="G3100" s="1" t="inlineStr">
        <is>
          <t>Повар</t>
        </is>
      </c>
      <c r="H3100" s="1" t="inlineStr">
        <is>
          <t>ООО "Амур Золото"</t>
        </is>
      </c>
      <c r="I3100" s="1" t="inlineStr">
        <is>
          <t>2708001686</t>
        </is>
      </c>
      <c r="J3100" s="1" t="inlineStr">
        <is>
          <t>ЮГОК АХЧ 26-50</t>
        </is>
      </c>
      <c r="K3100" s="1" t="inlineStr">
        <is>
          <t>Использование (применение) средств индивидуальной защиты</t>
        </is>
      </c>
      <c r="L3100" s="1" t="inlineStr">
        <is>
          <t>17.08.2026</t>
        </is>
      </c>
      <c r="M3100" s="1" t="inlineStr">
        <is>
          <t>Успешно</t>
        </is>
      </c>
      <c r="N3100" s="1" t="inlineStr">
        <is>
          <t>21.08.2026</t>
        </is>
      </c>
      <c r="O3100" s="1" t="inlineStr"/>
      <c r="P3100" s="1" t="inlineStr"/>
      <c r="Q3100" s="1" t="inlineStr">
        <is>
          <t>Пользовательский интерфейс</t>
        </is>
      </c>
    </row>
    <row r="3101">
      <c r="B3101" s="1" t="inlineStr">
        <is>
          <t>216771079</t>
        </is>
      </c>
      <c r="C3101" s="1" t="inlineStr">
        <is>
          <t>15571832</t>
        </is>
      </c>
      <c r="D3101" t="inlineStr">
        <is>
          <t>работник 871</t>
        </is>
      </c>
      <c r="E3101" s="1" t="inlineStr">
        <is>
          <t>ОБЩЕСТВО С ОГРАНИЧЕННОЙ ОТВЕТСТВЕННОСТЬЮ "АМУР ЗОЛОТО"</t>
        </is>
      </c>
      <c r="F3101" s="1" t="inlineStr">
        <is>
          <t>2708001686</t>
        </is>
      </c>
      <c r="G3101" s="1" t="inlineStr">
        <is>
          <t>Повар</t>
        </is>
      </c>
      <c r="H3101" s="1" t="inlineStr">
        <is>
          <t>ООО "Амур Золото"</t>
        </is>
      </c>
      <c r="I3101" s="1" t="inlineStr">
        <is>
          <t>2708001686</t>
        </is>
      </c>
      <c r="J3101" s="1" t="inlineStr">
        <is>
          <t>ЮГОК АХЧ 26-50</t>
        </is>
      </c>
      <c r="K310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101" s="1" t="inlineStr">
        <is>
          <t>17.08.2026</t>
        </is>
      </c>
      <c r="M3101" s="1" t="inlineStr">
        <is>
          <t>Успешно</t>
        </is>
      </c>
      <c r="N3101" s="1" t="inlineStr">
        <is>
          <t>21.08.2026</t>
        </is>
      </c>
      <c r="O3101" s="1" t="inlineStr"/>
      <c r="P3101" s="1" t="inlineStr"/>
      <c r="Q3101" s="1" t="inlineStr">
        <is>
          <t>Пользовательский интерфейс</t>
        </is>
      </c>
    </row>
    <row r="3102">
      <c r="B3102" s="1" t="inlineStr">
        <is>
          <t>216771080</t>
        </is>
      </c>
      <c r="C3102" s="1" t="inlineStr">
        <is>
          <t>15571832</t>
        </is>
      </c>
      <c r="D3102" t="inlineStr">
        <is>
          <t>работник 872</t>
        </is>
      </c>
      <c r="E3102" s="1" t="inlineStr">
        <is>
          <t>ОБЩЕСТВО С ОГРАНИЧЕННОЙ ОТВЕТСТВЕННОСТЬЮ "АМУР ЗОЛОТО"</t>
        </is>
      </c>
      <c r="F3102" s="1" t="inlineStr">
        <is>
          <t>2708001686</t>
        </is>
      </c>
      <c r="G3102" s="1" t="inlineStr">
        <is>
          <t>Повар (кондитер)</t>
        </is>
      </c>
      <c r="H3102" s="1" t="inlineStr">
        <is>
          <t>ООО "Амур Золото"</t>
        </is>
      </c>
      <c r="I3102" s="1" t="inlineStr">
        <is>
          <t>2708001686</t>
        </is>
      </c>
      <c r="J3102" s="1" t="inlineStr">
        <is>
          <t>ЮГОК АХЧ 26-51</t>
        </is>
      </c>
      <c r="K3102" s="1" t="inlineStr">
        <is>
          <t>Оказание первой помощи пострадавшим</t>
        </is>
      </c>
      <c r="L3102" s="1" t="inlineStr">
        <is>
          <t>18.08.2026</t>
        </is>
      </c>
      <c r="M3102" s="1" t="inlineStr">
        <is>
          <t>Успешно</t>
        </is>
      </c>
      <c r="N3102" s="1" t="inlineStr">
        <is>
          <t>21.08.2026</t>
        </is>
      </c>
      <c r="O3102" s="1" t="inlineStr"/>
      <c r="P3102" s="1" t="inlineStr"/>
      <c r="Q3102" s="1" t="inlineStr">
        <is>
          <t>Пользовательский интерфейс</t>
        </is>
      </c>
    </row>
    <row r="3103">
      <c r="B3103" s="1" t="inlineStr">
        <is>
          <t>216771081</t>
        </is>
      </c>
      <c r="C3103" s="1" t="inlineStr">
        <is>
          <t>15571832</t>
        </is>
      </c>
      <c r="D3103" t="inlineStr">
        <is>
          <t>работник 872</t>
        </is>
      </c>
      <c r="E3103" s="1" t="inlineStr">
        <is>
          <t>ОБЩЕСТВО С ОГРАНИЧЕННОЙ ОТВЕТСТВЕННОСТЬЮ "АМУР ЗОЛОТО"</t>
        </is>
      </c>
      <c r="F3103" s="1" t="inlineStr">
        <is>
          <t>2708001686</t>
        </is>
      </c>
      <c r="G3103" s="1" t="inlineStr">
        <is>
          <t>Повар (кондитер)</t>
        </is>
      </c>
      <c r="H3103" s="1" t="inlineStr">
        <is>
          <t>ООО "Амур Золото"</t>
        </is>
      </c>
      <c r="I3103" s="1" t="inlineStr">
        <is>
          <t>2708001686</t>
        </is>
      </c>
      <c r="J3103" s="1" t="inlineStr">
        <is>
          <t>ЮГОК АХЧ 26-51</t>
        </is>
      </c>
      <c r="K3103" s="1" t="inlineStr">
        <is>
          <t>Использование (применение) средств индивидуальной защиты</t>
        </is>
      </c>
      <c r="L3103" s="1" t="inlineStr">
        <is>
          <t>18.08.2026</t>
        </is>
      </c>
      <c r="M3103" s="1" t="inlineStr">
        <is>
          <t>Успешно</t>
        </is>
      </c>
      <c r="N3103" s="1" t="inlineStr">
        <is>
          <t>21.08.2026</t>
        </is>
      </c>
      <c r="O3103" s="1" t="inlineStr"/>
      <c r="P3103" s="1" t="inlineStr"/>
      <c r="Q3103" s="1" t="inlineStr">
        <is>
          <t>Пользовательский интерфейс</t>
        </is>
      </c>
    </row>
    <row r="3104">
      <c r="B3104" s="1" t="inlineStr">
        <is>
          <t>216771082</t>
        </is>
      </c>
      <c r="C3104" s="1" t="inlineStr">
        <is>
          <t>15571832</t>
        </is>
      </c>
      <c r="D3104" t="inlineStr">
        <is>
          <t>работник 872</t>
        </is>
      </c>
      <c r="E3104" s="1" t="inlineStr">
        <is>
          <t>ОБЩЕСТВО С ОГРАНИЧЕННОЙ ОТВЕТСТВЕННОСТЬЮ "АМУР ЗОЛОТО"</t>
        </is>
      </c>
      <c r="F3104" s="1" t="inlineStr">
        <is>
          <t>2708001686</t>
        </is>
      </c>
      <c r="G3104" s="1" t="inlineStr">
        <is>
          <t>Повар (кондитер)</t>
        </is>
      </c>
      <c r="H3104" s="1" t="inlineStr">
        <is>
          <t>ООО "Амур Золото"</t>
        </is>
      </c>
      <c r="I3104" s="1" t="inlineStr">
        <is>
          <t>2708001686</t>
        </is>
      </c>
      <c r="J3104" s="1" t="inlineStr">
        <is>
          <t>ЮГОК АХЧ 26-51</t>
        </is>
      </c>
      <c r="K310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104" s="1" t="inlineStr">
        <is>
          <t>18.08.2026</t>
        </is>
      </c>
      <c r="M3104" s="1" t="inlineStr">
        <is>
          <t>Успешно</t>
        </is>
      </c>
      <c r="N3104" s="1" t="inlineStr">
        <is>
          <t>21.08.2026</t>
        </is>
      </c>
      <c r="O3104" s="1" t="inlineStr"/>
      <c r="P3104" s="1" t="inlineStr"/>
      <c r="Q3104" s="1" t="inlineStr">
        <is>
          <t>Пользовательский интерфейс</t>
        </is>
      </c>
    </row>
    <row r="3105">
      <c r="B3105" s="1" t="inlineStr">
        <is>
          <t>216771083</t>
        </is>
      </c>
      <c r="C3105" s="1" t="inlineStr">
        <is>
          <t>15571832</t>
        </is>
      </c>
      <c r="D3105" t="inlineStr">
        <is>
          <t>работник 868</t>
        </is>
      </c>
      <c r="E3105" s="1" t="inlineStr">
        <is>
          <t>ОБЩЕСТВО С ОГРАНИЧЕННОЙ ОТВЕТСТВЕННОСТЬЮ "АМУР ЗОЛОТО"</t>
        </is>
      </c>
      <c r="F3105" s="1" t="inlineStr">
        <is>
          <t>2708001686</t>
        </is>
      </c>
      <c r="G3105" s="1" t="inlineStr">
        <is>
          <t>Кухонный рабочий</t>
        </is>
      </c>
      <c r="H3105" s="1" t="inlineStr">
        <is>
          <t>ООО "Амур Золото"</t>
        </is>
      </c>
      <c r="I3105" s="1" t="inlineStr">
        <is>
          <t>2708001686</t>
        </is>
      </c>
      <c r="J3105" s="1" t="inlineStr">
        <is>
          <t>ЮГОК АХЧ 26-52</t>
        </is>
      </c>
      <c r="K3105" s="1" t="inlineStr">
        <is>
          <t>Оказание первой помощи пострадавшим</t>
        </is>
      </c>
      <c r="L3105" s="1" t="inlineStr">
        <is>
          <t>18.08.2026</t>
        </is>
      </c>
      <c r="M3105" s="1" t="inlineStr">
        <is>
          <t>Успешно</t>
        </is>
      </c>
      <c r="N3105" s="1" t="inlineStr">
        <is>
          <t>21.08.2026</t>
        </is>
      </c>
      <c r="O3105" s="1" t="inlineStr"/>
      <c r="P3105" s="1" t="inlineStr"/>
      <c r="Q3105" s="1" t="inlineStr">
        <is>
          <t>Пользовательский интерфейс</t>
        </is>
      </c>
    </row>
    <row r="3106">
      <c r="B3106" s="1" t="inlineStr">
        <is>
          <t>216771084</t>
        </is>
      </c>
      <c r="C3106" s="1" t="inlineStr">
        <is>
          <t>15571832</t>
        </is>
      </c>
      <c r="D3106" t="inlineStr">
        <is>
          <t>работник 868</t>
        </is>
      </c>
      <c r="E3106" s="1" t="inlineStr">
        <is>
          <t>ОБЩЕСТВО С ОГРАНИЧЕННОЙ ОТВЕТСТВЕННОСТЬЮ "АМУР ЗОЛОТО"</t>
        </is>
      </c>
      <c r="F3106" s="1" t="inlineStr">
        <is>
          <t>2708001686</t>
        </is>
      </c>
      <c r="G3106" s="1" t="inlineStr">
        <is>
          <t>Кухонный рабочий</t>
        </is>
      </c>
      <c r="H3106" s="1" t="inlineStr">
        <is>
          <t>ООО "Амур Золото"</t>
        </is>
      </c>
      <c r="I3106" s="1" t="inlineStr">
        <is>
          <t>2708001686</t>
        </is>
      </c>
      <c r="J3106" s="1" t="inlineStr">
        <is>
          <t>ЮГОК АХЧ 26-52</t>
        </is>
      </c>
      <c r="K310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106" s="1" t="inlineStr">
        <is>
          <t>18.08.2026</t>
        </is>
      </c>
      <c r="M3106" s="1" t="inlineStr">
        <is>
          <t>Успешно</t>
        </is>
      </c>
      <c r="N3106" s="1" t="inlineStr">
        <is>
          <t>21.08.2026</t>
        </is>
      </c>
      <c r="O3106" s="1" t="inlineStr"/>
      <c r="P3106" s="1" t="inlineStr"/>
      <c r="Q3106" s="1" t="inlineStr">
        <is>
          <t>Пользовательский интерфейс</t>
        </is>
      </c>
    </row>
    <row r="3107">
      <c r="B3107" s="1" t="inlineStr">
        <is>
          <t>216771085</t>
        </is>
      </c>
      <c r="C3107" s="1" t="inlineStr">
        <is>
          <t>15571832</t>
        </is>
      </c>
      <c r="D3107" t="inlineStr">
        <is>
          <t>работник 873</t>
        </is>
      </c>
      <c r="E3107" s="1" t="inlineStr">
        <is>
          <t>ОБЩЕСТВО С ОГРАНИЧЕННОЙ ОТВЕТСТВЕННОСТЬЮ "АМУР ЗОЛОТО"</t>
        </is>
      </c>
      <c r="F3107" s="1" t="inlineStr">
        <is>
          <t>2708001686</t>
        </is>
      </c>
      <c r="G3107" s="1" t="inlineStr">
        <is>
          <t>Кухонный рабочий</t>
        </is>
      </c>
      <c r="H3107" s="1" t="inlineStr">
        <is>
          <t>ООО "Амур Золото"</t>
        </is>
      </c>
      <c r="I3107" s="1" t="inlineStr">
        <is>
          <t>2708001686</t>
        </is>
      </c>
      <c r="J3107" s="1" t="inlineStr">
        <is>
          <t>ЮГОК АХЧ 26-52</t>
        </is>
      </c>
      <c r="K3107" s="1" t="inlineStr">
        <is>
          <t>Оказание первой помощи пострадавшим</t>
        </is>
      </c>
      <c r="L3107" s="1" t="inlineStr">
        <is>
          <t>18.08.2026</t>
        </is>
      </c>
      <c r="M3107" s="1" t="inlineStr">
        <is>
          <t>Успешно</t>
        </is>
      </c>
      <c r="N3107" s="1" t="inlineStr">
        <is>
          <t>21.08.2026</t>
        </is>
      </c>
      <c r="O3107" s="1" t="inlineStr"/>
      <c r="P3107" s="1" t="inlineStr"/>
      <c r="Q3107" s="1" t="inlineStr">
        <is>
          <t>Пользовательский интерфейс</t>
        </is>
      </c>
    </row>
    <row r="3108">
      <c r="B3108" s="1" t="inlineStr">
        <is>
          <t>216771086</t>
        </is>
      </c>
      <c r="C3108" s="1" t="inlineStr">
        <is>
          <t>15571832</t>
        </is>
      </c>
      <c r="D3108" t="inlineStr">
        <is>
          <t>работник 873</t>
        </is>
      </c>
      <c r="E3108" s="1" t="inlineStr">
        <is>
          <t>ОБЩЕСТВО С ОГРАНИЧЕННОЙ ОТВЕТСТВЕННОСТЬЮ "АМУР ЗОЛОТО"</t>
        </is>
      </c>
      <c r="F3108" s="1" t="inlineStr">
        <is>
          <t>2708001686</t>
        </is>
      </c>
      <c r="G3108" s="1" t="inlineStr">
        <is>
          <t>Кухонный рабочий</t>
        </is>
      </c>
      <c r="H3108" s="1" t="inlineStr">
        <is>
          <t>ООО "Амур Золото"</t>
        </is>
      </c>
      <c r="I3108" s="1" t="inlineStr">
        <is>
          <t>2708001686</t>
        </is>
      </c>
      <c r="J3108" s="1" t="inlineStr">
        <is>
          <t>ЮГОК АХЧ 26-52</t>
        </is>
      </c>
      <c r="K3108" s="1" t="inlineStr">
        <is>
          <t>Использование (применение) средств индивидуальной защиты</t>
        </is>
      </c>
      <c r="L3108" s="1" t="inlineStr">
        <is>
          <t>18.08.2026</t>
        </is>
      </c>
      <c r="M3108" s="1" t="inlineStr">
        <is>
          <t>Успешно</t>
        </is>
      </c>
      <c r="N3108" s="1" t="inlineStr">
        <is>
          <t>21.08.2026</t>
        </is>
      </c>
      <c r="O3108" s="1" t="inlineStr"/>
      <c r="P3108" s="1" t="inlineStr"/>
      <c r="Q3108" s="1" t="inlineStr">
        <is>
          <t>Пользовательский интерфейс</t>
        </is>
      </c>
    </row>
    <row r="3109">
      <c r="B3109" s="1" t="inlineStr">
        <is>
          <t>216771087</t>
        </is>
      </c>
      <c r="C3109" s="1" t="inlineStr">
        <is>
          <t>15571832</t>
        </is>
      </c>
      <c r="D3109" t="inlineStr">
        <is>
          <t>работник 873</t>
        </is>
      </c>
      <c r="E3109" s="1" t="inlineStr">
        <is>
          <t>ОБЩЕСТВО С ОГРАНИЧЕННОЙ ОТВЕТСТВЕННОСТЬЮ "АМУР ЗОЛОТО"</t>
        </is>
      </c>
      <c r="F3109" s="1" t="inlineStr">
        <is>
          <t>2708001686</t>
        </is>
      </c>
      <c r="G3109" s="1" t="inlineStr">
        <is>
          <t>Кухонный рабочий</t>
        </is>
      </c>
      <c r="H3109" s="1" t="inlineStr">
        <is>
          <t>ООО "Амур Золото"</t>
        </is>
      </c>
      <c r="I3109" s="1" t="inlineStr">
        <is>
          <t>2708001686</t>
        </is>
      </c>
      <c r="J3109" s="1" t="inlineStr">
        <is>
          <t>ЮГОК АХЧ 26-52</t>
        </is>
      </c>
      <c r="K310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109" s="1" t="inlineStr">
        <is>
          <t>18.08.2026</t>
        </is>
      </c>
      <c r="M3109" s="1" t="inlineStr">
        <is>
          <t>Успешно</t>
        </is>
      </c>
      <c r="N3109" s="1" t="inlineStr">
        <is>
          <t>21.08.2026</t>
        </is>
      </c>
      <c r="O3109" s="1" t="inlineStr"/>
      <c r="P3109" s="1" t="inlineStr"/>
      <c r="Q3109" s="1" t="inlineStr">
        <is>
          <t>Пользовательский интерфейс</t>
        </is>
      </c>
    </row>
    <row r="3110">
      <c r="B3110" s="1" t="inlineStr">
        <is>
          <t>216771088</t>
        </is>
      </c>
      <c r="C3110" s="1" t="inlineStr">
        <is>
          <t>15571832</t>
        </is>
      </c>
      <c r="D3110" t="inlineStr">
        <is>
          <t>работник 874</t>
        </is>
      </c>
      <c r="E3110" s="1" t="inlineStr">
        <is>
          <t>ОБЩЕСТВО С ОГРАНИЧЕННОЙ ОТВЕТСТВЕННОСТЬЮ "АМУР ЗОЛОТО"</t>
        </is>
      </c>
      <c r="F3110" s="1" t="inlineStr">
        <is>
          <t>2708001686</t>
        </is>
      </c>
      <c r="G3110" s="1" t="inlineStr">
        <is>
          <t>Кухонный рабочий</t>
        </is>
      </c>
      <c r="H3110" s="1" t="inlineStr">
        <is>
          <t>ООО "Амур Золото"</t>
        </is>
      </c>
      <c r="I3110" s="1" t="inlineStr">
        <is>
          <t>2708001686</t>
        </is>
      </c>
      <c r="J3110" s="1" t="inlineStr">
        <is>
          <t>ЮГОК АХЧ 26-52</t>
        </is>
      </c>
      <c r="K3110" s="1" t="inlineStr">
        <is>
          <t>Оказание первой помощи пострадавшим</t>
        </is>
      </c>
      <c r="L3110" s="1" t="inlineStr">
        <is>
          <t>18.08.2026</t>
        </is>
      </c>
      <c r="M3110" s="1" t="inlineStr">
        <is>
          <t>Успешно</t>
        </is>
      </c>
      <c r="N3110" s="1" t="inlineStr">
        <is>
          <t>21.08.2026</t>
        </is>
      </c>
      <c r="O3110" s="1" t="inlineStr"/>
      <c r="P3110" s="1" t="inlineStr"/>
      <c r="Q3110" s="1" t="inlineStr">
        <is>
          <t>Пользовательский интерфейс</t>
        </is>
      </c>
    </row>
    <row r="3111">
      <c r="B3111" s="1" t="inlineStr">
        <is>
          <t>216771089</t>
        </is>
      </c>
      <c r="C3111" s="1" t="inlineStr">
        <is>
          <t>15571832</t>
        </is>
      </c>
      <c r="D3111" t="inlineStr">
        <is>
          <t>работник 874</t>
        </is>
      </c>
      <c r="E3111" s="1" t="inlineStr">
        <is>
          <t>ОБЩЕСТВО С ОГРАНИЧЕННОЙ ОТВЕТСТВЕННОСТЬЮ "АМУР ЗОЛОТО"</t>
        </is>
      </c>
      <c r="F3111" s="1" t="inlineStr">
        <is>
          <t>2708001686</t>
        </is>
      </c>
      <c r="G3111" s="1" t="inlineStr">
        <is>
          <t>Кухонный рабочий</t>
        </is>
      </c>
      <c r="H3111" s="1" t="inlineStr">
        <is>
          <t>ООО "Амур Золото"</t>
        </is>
      </c>
      <c r="I3111" s="1" t="inlineStr">
        <is>
          <t>2708001686</t>
        </is>
      </c>
      <c r="J3111" s="1" t="inlineStr">
        <is>
          <t>ЮГОК АХЧ 26-52</t>
        </is>
      </c>
      <c r="K3111" s="1" t="inlineStr">
        <is>
          <t>Использование (применение) средств индивидуальной защиты</t>
        </is>
      </c>
      <c r="L3111" s="1" t="inlineStr">
        <is>
          <t>18.08.2026</t>
        </is>
      </c>
      <c r="M3111" s="1" t="inlineStr">
        <is>
          <t>Успешно</t>
        </is>
      </c>
      <c r="N3111" s="1" t="inlineStr">
        <is>
          <t>21.08.2026</t>
        </is>
      </c>
      <c r="O3111" s="1" t="inlineStr"/>
      <c r="P3111" s="1" t="inlineStr"/>
      <c r="Q3111" s="1" t="inlineStr">
        <is>
          <t>Пользовательский интерфейс</t>
        </is>
      </c>
    </row>
    <row r="3112">
      <c r="B3112" s="1" t="inlineStr">
        <is>
          <t>216771090</t>
        </is>
      </c>
      <c r="C3112" s="1" t="inlineStr">
        <is>
          <t>15571832</t>
        </is>
      </c>
      <c r="D3112" t="inlineStr">
        <is>
          <t>работник 874</t>
        </is>
      </c>
      <c r="E3112" s="1" t="inlineStr">
        <is>
          <t>ОБЩЕСТВО С ОГРАНИЧЕННОЙ ОТВЕТСТВЕННОСТЬЮ "АМУР ЗОЛОТО"</t>
        </is>
      </c>
      <c r="F3112" s="1" t="inlineStr">
        <is>
          <t>2708001686</t>
        </is>
      </c>
      <c r="G3112" s="1" t="inlineStr">
        <is>
          <t>Кухонный рабочий</t>
        </is>
      </c>
      <c r="H3112" s="1" t="inlineStr">
        <is>
          <t>ООО "Амур Золото"</t>
        </is>
      </c>
      <c r="I3112" s="1" t="inlineStr">
        <is>
          <t>2708001686</t>
        </is>
      </c>
      <c r="J3112" s="1" t="inlineStr">
        <is>
          <t>ЮГОК АХЧ 26-52</t>
        </is>
      </c>
      <c r="K311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112" s="1" t="inlineStr">
        <is>
          <t>18.08.2026</t>
        </is>
      </c>
      <c r="M3112" s="1" t="inlineStr">
        <is>
          <t>Успешно</t>
        </is>
      </c>
      <c r="N3112" s="1" t="inlineStr">
        <is>
          <t>21.08.2026</t>
        </is>
      </c>
      <c r="O3112" s="1" t="inlineStr"/>
      <c r="P3112" s="1" t="inlineStr"/>
      <c r="Q3112" s="1" t="inlineStr">
        <is>
          <t>Пользовательский интерфейс</t>
        </is>
      </c>
    </row>
    <row r="3113">
      <c r="B3113" s="1" t="inlineStr">
        <is>
          <t>216771091</t>
        </is>
      </c>
      <c r="C3113" s="1" t="inlineStr">
        <is>
          <t>15571832</t>
        </is>
      </c>
      <c r="D3113" t="inlineStr">
        <is>
          <t>работник 875</t>
        </is>
      </c>
      <c r="E3113" s="1" t="inlineStr">
        <is>
          <t>ОБЩЕСТВО С ОГРАНИЧЕННОЙ ОТВЕТСТВЕННОСТЬЮ "АМУР ЗОЛОТО"</t>
        </is>
      </c>
      <c r="F3113" s="1" t="inlineStr">
        <is>
          <t>2708001686</t>
        </is>
      </c>
      <c r="G3113" s="1" t="inlineStr">
        <is>
          <t>Кухонный рабочий</t>
        </is>
      </c>
      <c r="H3113" s="1" t="inlineStr">
        <is>
          <t>ООО "Амур Золото"</t>
        </is>
      </c>
      <c r="I3113" s="1" t="inlineStr">
        <is>
          <t>2708001686</t>
        </is>
      </c>
      <c r="J3113" s="1" t="inlineStr">
        <is>
          <t>ЮГОК АХЧ 26-52</t>
        </is>
      </c>
      <c r="K3113" s="1" t="inlineStr">
        <is>
          <t>Оказание первой помощи пострадавшим</t>
        </is>
      </c>
      <c r="L3113" s="1" t="inlineStr">
        <is>
          <t>18.08.2026</t>
        </is>
      </c>
      <c r="M3113" s="1" t="inlineStr">
        <is>
          <t>Успешно</t>
        </is>
      </c>
      <c r="N3113" s="1" t="inlineStr">
        <is>
          <t>21.08.2026</t>
        </is>
      </c>
      <c r="O3113" s="1" t="inlineStr"/>
      <c r="P3113" s="1" t="inlineStr"/>
      <c r="Q3113" s="1" t="inlineStr">
        <is>
          <t>Пользовательский интерфейс</t>
        </is>
      </c>
    </row>
    <row r="3114">
      <c r="B3114" s="1" t="inlineStr">
        <is>
          <t>216771092</t>
        </is>
      </c>
      <c r="C3114" s="1" t="inlineStr">
        <is>
          <t>15571832</t>
        </is>
      </c>
      <c r="D3114" t="inlineStr">
        <is>
          <t>работник 875</t>
        </is>
      </c>
      <c r="E3114" s="1" t="inlineStr">
        <is>
          <t>ОБЩЕСТВО С ОГРАНИЧЕННОЙ ОТВЕТСТВЕННОСТЬЮ "АМУР ЗОЛОТО"</t>
        </is>
      </c>
      <c r="F3114" s="1" t="inlineStr">
        <is>
          <t>2708001686</t>
        </is>
      </c>
      <c r="G3114" s="1" t="inlineStr">
        <is>
          <t>Кухонный рабочий</t>
        </is>
      </c>
      <c r="H3114" s="1" t="inlineStr">
        <is>
          <t>ООО "Амур Золото"</t>
        </is>
      </c>
      <c r="I3114" s="1" t="inlineStr">
        <is>
          <t>2708001686</t>
        </is>
      </c>
      <c r="J3114" s="1" t="inlineStr">
        <is>
          <t>ЮГОК АХЧ 26-52</t>
        </is>
      </c>
      <c r="K3114" s="1" t="inlineStr">
        <is>
          <t>Использование (применение) средств индивидуальной защиты</t>
        </is>
      </c>
      <c r="L3114" s="1" t="inlineStr">
        <is>
          <t>18.08.2026</t>
        </is>
      </c>
      <c r="M3114" s="1" t="inlineStr">
        <is>
          <t>Успешно</t>
        </is>
      </c>
      <c r="N3114" s="1" t="inlineStr">
        <is>
          <t>21.08.2026</t>
        </is>
      </c>
      <c r="O3114" s="1" t="inlineStr"/>
      <c r="P3114" s="1" t="inlineStr"/>
      <c r="Q3114" s="1" t="inlineStr">
        <is>
          <t>Пользовательский интерфейс</t>
        </is>
      </c>
    </row>
    <row r="3115">
      <c r="B3115" s="1" t="inlineStr">
        <is>
          <t>216771093</t>
        </is>
      </c>
      <c r="C3115" s="1" t="inlineStr">
        <is>
          <t>15571832</t>
        </is>
      </c>
      <c r="D3115" t="inlineStr">
        <is>
          <t>работник 875</t>
        </is>
      </c>
      <c r="E3115" s="1" t="inlineStr">
        <is>
          <t>ОБЩЕСТВО С ОГРАНИЧЕННОЙ ОТВЕТСТВЕННОСТЬЮ "АМУР ЗОЛОТО"</t>
        </is>
      </c>
      <c r="F3115" s="1" t="inlineStr">
        <is>
          <t>2708001686</t>
        </is>
      </c>
      <c r="G3115" s="1" t="inlineStr">
        <is>
          <t>Кухонный рабочий</t>
        </is>
      </c>
      <c r="H3115" s="1" t="inlineStr">
        <is>
          <t>ООО "Амур Золото"</t>
        </is>
      </c>
      <c r="I3115" s="1" t="inlineStr">
        <is>
          <t>2708001686</t>
        </is>
      </c>
      <c r="J3115" s="1" t="inlineStr">
        <is>
          <t>ЮГОК АХЧ 26-52</t>
        </is>
      </c>
      <c r="K311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115" s="1" t="inlineStr">
        <is>
          <t>18.08.2026</t>
        </is>
      </c>
      <c r="M3115" s="1" t="inlineStr">
        <is>
          <t>Успешно</t>
        </is>
      </c>
      <c r="N3115" s="1" t="inlineStr">
        <is>
          <t>21.08.2026</t>
        </is>
      </c>
      <c r="O3115" s="1" t="inlineStr"/>
      <c r="P3115" s="1" t="inlineStr"/>
      <c r="Q3115" s="1" t="inlineStr">
        <is>
          <t>Пользовательский интерфейс</t>
        </is>
      </c>
    </row>
    <row r="3116">
      <c r="B3116" s="1" t="inlineStr">
        <is>
          <t>216771094</t>
        </is>
      </c>
      <c r="C3116" s="1" t="inlineStr">
        <is>
          <t>15571832</t>
        </is>
      </c>
      <c r="D3116" t="inlineStr">
        <is>
          <t>работник 876</t>
        </is>
      </c>
      <c r="E3116" s="1" t="inlineStr">
        <is>
          <t>ОБЩЕСТВО С ОГРАНИЧЕННОЙ ОТВЕТСТВЕННОСТЬЮ "АМУР ЗОЛОТО"</t>
        </is>
      </c>
      <c r="F3116" s="1" t="inlineStr">
        <is>
          <t>2708001686</t>
        </is>
      </c>
      <c r="G3116" s="1" t="inlineStr">
        <is>
          <t>Фильтровальщик</t>
        </is>
      </c>
      <c r="H3116" s="1" t="inlineStr">
        <is>
          <t>ООО "Амур Золото"</t>
        </is>
      </c>
      <c r="I3116" s="1" t="inlineStr">
        <is>
          <t>2708001686</t>
        </is>
      </c>
      <c r="J3116" s="1" t="inlineStr">
        <is>
          <t>ЮГОК ЗИОФ 26-43</t>
        </is>
      </c>
      <c r="K3116" s="1" t="inlineStr">
        <is>
          <t>Оказание первой помощи пострадавшим</t>
        </is>
      </c>
      <c r="L3116" s="1" t="inlineStr">
        <is>
          <t>07.08.2026</t>
        </is>
      </c>
      <c r="M3116" s="1" t="inlineStr">
        <is>
          <t>Успешно</t>
        </is>
      </c>
      <c r="N3116" s="1" t="inlineStr">
        <is>
          <t>21.08.2026</t>
        </is>
      </c>
      <c r="O3116" s="1" t="inlineStr"/>
      <c r="P3116" s="1" t="inlineStr"/>
      <c r="Q3116" s="1" t="inlineStr">
        <is>
          <t>Пользовательский интерфейс</t>
        </is>
      </c>
    </row>
    <row r="3117">
      <c r="B3117" s="1" t="inlineStr">
        <is>
          <t>216771095</t>
        </is>
      </c>
      <c r="C3117" s="1" t="inlineStr">
        <is>
          <t>15571832</t>
        </is>
      </c>
      <c r="D3117" t="inlineStr">
        <is>
          <t>работник 876</t>
        </is>
      </c>
      <c r="E3117" s="1" t="inlineStr">
        <is>
          <t>ОБЩЕСТВО С ОГРАНИЧЕННОЙ ОТВЕТСТВЕННОСТЬЮ "АМУР ЗОЛОТО"</t>
        </is>
      </c>
      <c r="F3117" s="1" t="inlineStr">
        <is>
          <t>2708001686</t>
        </is>
      </c>
      <c r="G3117" s="1" t="inlineStr">
        <is>
          <t>Фильтровальщик</t>
        </is>
      </c>
      <c r="H3117" s="1" t="inlineStr">
        <is>
          <t>ООО "Амур Золото"</t>
        </is>
      </c>
      <c r="I3117" s="1" t="inlineStr">
        <is>
          <t>2708001686</t>
        </is>
      </c>
      <c r="J3117" s="1" t="inlineStr">
        <is>
          <t>ЮГОК ЗИОФ 26-43</t>
        </is>
      </c>
      <c r="K3117" s="1" t="inlineStr">
        <is>
          <t>Использование (применение) средств индивидуальной защиты</t>
        </is>
      </c>
      <c r="L3117" s="1" t="inlineStr">
        <is>
          <t>07.08.2026</t>
        </is>
      </c>
      <c r="M3117" s="1" t="inlineStr">
        <is>
          <t>Успешно</t>
        </is>
      </c>
      <c r="N3117" s="1" t="inlineStr">
        <is>
          <t>21.08.2026</t>
        </is>
      </c>
      <c r="O3117" s="1" t="inlineStr"/>
      <c r="P3117" s="1" t="inlineStr"/>
      <c r="Q3117" s="1" t="inlineStr">
        <is>
          <t>Пользовательский интерфейс</t>
        </is>
      </c>
    </row>
    <row r="3118">
      <c r="B3118" s="1" t="inlineStr">
        <is>
          <t>216771096</t>
        </is>
      </c>
      <c r="C3118" s="1" t="inlineStr">
        <is>
          <t>15571832</t>
        </is>
      </c>
      <c r="D3118" t="inlineStr">
        <is>
          <t>работник 876</t>
        </is>
      </c>
      <c r="E3118" s="1" t="inlineStr">
        <is>
          <t>ОБЩЕСТВО С ОГРАНИЧЕННОЙ ОТВЕТСТВЕННОСТЬЮ "АМУР ЗОЛОТО"</t>
        </is>
      </c>
      <c r="F3118" s="1" t="inlineStr">
        <is>
          <t>2708001686</t>
        </is>
      </c>
      <c r="G3118" s="1" t="inlineStr">
        <is>
          <t>Фильтровальщик</t>
        </is>
      </c>
      <c r="H3118" s="1" t="inlineStr">
        <is>
          <t>ООО "Амур Золото"</t>
        </is>
      </c>
      <c r="I3118" s="1" t="inlineStr">
        <is>
          <t>2708001686</t>
        </is>
      </c>
      <c r="J3118" s="1" t="inlineStr">
        <is>
          <t>ЮГОК ЗИОФ 26-43</t>
        </is>
      </c>
      <c r="K311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118" s="1" t="inlineStr">
        <is>
          <t>07.08.2026</t>
        </is>
      </c>
      <c r="M3118" s="1" t="inlineStr">
        <is>
          <t>Успешно</t>
        </is>
      </c>
      <c r="N3118" s="1" t="inlineStr">
        <is>
          <t>21.08.2026</t>
        </is>
      </c>
      <c r="O3118" s="1" t="inlineStr"/>
      <c r="P3118" s="1" t="inlineStr"/>
      <c r="Q3118" s="1" t="inlineStr">
        <is>
          <t>Пользовательский интерфейс</t>
        </is>
      </c>
    </row>
    <row r="3119">
      <c r="B3119" s="1" t="inlineStr">
        <is>
          <t>216771097</t>
        </is>
      </c>
      <c r="C3119" s="1" t="inlineStr">
        <is>
          <t>15571832</t>
        </is>
      </c>
      <c r="D3119" t="inlineStr">
        <is>
          <t>работник 877</t>
        </is>
      </c>
      <c r="E3119" s="1" t="inlineStr">
        <is>
          <t>ОБЩЕСТВО С ОГРАНИЧЕННОЙ ОТВЕТСТВЕННОСТЬЮ "АМУР ЗОЛОТО"</t>
        </is>
      </c>
      <c r="F3119" s="1" t="inlineStr">
        <is>
          <t>2708001686</t>
        </is>
      </c>
      <c r="G3119" s="1" t="inlineStr">
        <is>
          <t>Машинист мельниц</t>
        </is>
      </c>
      <c r="H3119" s="1" t="inlineStr">
        <is>
          <t>ООО "Амур Золото"</t>
        </is>
      </c>
      <c r="I3119" s="1" t="inlineStr">
        <is>
          <t>2708001686</t>
        </is>
      </c>
      <c r="J3119" s="1" t="inlineStr">
        <is>
          <t>ЮГОК ЗИОФ 26-44</t>
        </is>
      </c>
      <c r="K3119" s="1" t="inlineStr">
        <is>
          <t>Оказание первой помощи пострадавшим</t>
        </is>
      </c>
      <c r="L3119" s="1" t="inlineStr">
        <is>
          <t>13.08.2026</t>
        </is>
      </c>
      <c r="M3119" s="1" t="inlineStr">
        <is>
          <t>Успешно</t>
        </is>
      </c>
      <c r="N3119" s="1" t="inlineStr">
        <is>
          <t>21.08.2026</t>
        </is>
      </c>
      <c r="O3119" s="1" t="inlineStr"/>
      <c r="P3119" s="1" t="inlineStr"/>
      <c r="Q3119" s="1" t="inlineStr">
        <is>
          <t>Пользовательский интерфейс</t>
        </is>
      </c>
    </row>
    <row r="3120">
      <c r="B3120" s="1" t="inlineStr">
        <is>
          <t>216771098</t>
        </is>
      </c>
      <c r="C3120" s="1" t="inlineStr">
        <is>
          <t>15571832</t>
        </is>
      </c>
      <c r="D3120" t="inlineStr">
        <is>
          <t>работник 877</t>
        </is>
      </c>
      <c r="E3120" s="1" t="inlineStr">
        <is>
          <t>ОБЩЕСТВО С ОГРАНИЧЕННОЙ ОТВЕТСТВЕННОСТЬЮ "АМУР ЗОЛОТО"</t>
        </is>
      </c>
      <c r="F3120" s="1" t="inlineStr">
        <is>
          <t>2708001686</t>
        </is>
      </c>
      <c r="G3120" s="1" t="inlineStr">
        <is>
          <t>Машинист мельниц</t>
        </is>
      </c>
      <c r="H3120" s="1" t="inlineStr">
        <is>
          <t>ООО "Амур Золото"</t>
        </is>
      </c>
      <c r="I3120" s="1" t="inlineStr">
        <is>
          <t>2708001686</t>
        </is>
      </c>
      <c r="J3120" s="1" t="inlineStr">
        <is>
          <t>ЮГОК ЗИОФ 26-44</t>
        </is>
      </c>
      <c r="K3120" s="1" t="inlineStr">
        <is>
          <t>Использование (применение) средств индивидуальной защиты</t>
        </is>
      </c>
      <c r="L3120" s="1" t="inlineStr">
        <is>
          <t>13.08.2026</t>
        </is>
      </c>
      <c r="M3120" s="1" t="inlineStr">
        <is>
          <t>Успешно</t>
        </is>
      </c>
      <c r="N3120" s="1" t="inlineStr">
        <is>
          <t>21.08.2026</t>
        </is>
      </c>
      <c r="O3120" s="1" t="inlineStr"/>
      <c r="P3120" s="1" t="inlineStr"/>
      <c r="Q3120" s="1" t="inlineStr">
        <is>
          <t>Пользовательский интерфейс</t>
        </is>
      </c>
    </row>
    <row r="3121">
      <c r="B3121" s="1" t="inlineStr">
        <is>
          <t>216771099</t>
        </is>
      </c>
      <c r="C3121" s="1" t="inlineStr">
        <is>
          <t>15571832</t>
        </is>
      </c>
      <c r="D3121" t="inlineStr">
        <is>
          <t>работник 877</t>
        </is>
      </c>
      <c r="E3121" s="1" t="inlineStr">
        <is>
          <t>ОБЩЕСТВО С ОГРАНИЧЕННОЙ ОТВЕТСТВЕННОСТЬЮ "АМУР ЗОЛОТО"</t>
        </is>
      </c>
      <c r="F3121" s="1" t="inlineStr">
        <is>
          <t>2708001686</t>
        </is>
      </c>
      <c r="G3121" s="1" t="inlineStr">
        <is>
          <t>Машинист мельниц</t>
        </is>
      </c>
      <c r="H3121" s="1" t="inlineStr">
        <is>
          <t>ООО "Амур Золото"</t>
        </is>
      </c>
      <c r="I3121" s="1" t="inlineStr">
        <is>
          <t>2708001686</t>
        </is>
      </c>
      <c r="J3121" s="1" t="inlineStr">
        <is>
          <t>ЮГОК ЗИОФ 26-44</t>
        </is>
      </c>
      <c r="K312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121" s="1" t="inlineStr">
        <is>
          <t>13.08.2026</t>
        </is>
      </c>
      <c r="M3121" s="1" t="inlineStr">
        <is>
          <t>Успешно</t>
        </is>
      </c>
      <c r="N3121" s="1" t="inlineStr">
        <is>
          <t>21.08.2026</t>
        </is>
      </c>
      <c r="O3121" s="1" t="inlineStr"/>
      <c r="P3121" s="1" t="inlineStr"/>
      <c r="Q3121" s="1" t="inlineStr">
        <is>
          <t>Пользовательский интерфейс</t>
        </is>
      </c>
    </row>
    <row r="3122">
      <c r="B3122" s="1" t="inlineStr">
        <is>
          <t>216771100</t>
        </is>
      </c>
      <c r="C3122" s="1" t="inlineStr">
        <is>
          <t>15571832</t>
        </is>
      </c>
      <c r="D3122" t="inlineStr">
        <is>
          <t>работник 878</t>
        </is>
      </c>
      <c r="E3122" s="1" t="inlineStr">
        <is>
          <t>ОБЩЕСТВО С ОГРАНИЧЕННОЙ ОТВЕТСТВЕННОСТЬЮ "АМУР ЗОЛОТО"</t>
        </is>
      </c>
      <c r="F3122" s="1" t="inlineStr">
        <is>
          <t>2708001686</t>
        </is>
      </c>
      <c r="G3122" s="1" t="inlineStr">
        <is>
          <t>Аппаратчик-гидрометаллург</t>
        </is>
      </c>
      <c r="H3122" s="1" t="inlineStr">
        <is>
          <t>ООО "Амур Золото"</t>
        </is>
      </c>
      <c r="I3122" s="1" t="inlineStr">
        <is>
          <t>2708001686</t>
        </is>
      </c>
      <c r="J3122" s="1" t="inlineStr">
        <is>
          <t>ЮГОК ЗИОФ 26-44</t>
        </is>
      </c>
      <c r="K3122" s="1" t="inlineStr">
        <is>
          <t>Оказание первой помощи пострадавшим</t>
        </is>
      </c>
      <c r="L3122" s="1" t="inlineStr">
        <is>
          <t>13.08.2026</t>
        </is>
      </c>
      <c r="M3122" s="1" t="inlineStr">
        <is>
          <t>Успешно</t>
        </is>
      </c>
      <c r="N3122" s="1" t="inlineStr">
        <is>
          <t>21.08.2026</t>
        </is>
      </c>
      <c r="O3122" s="1" t="inlineStr"/>
      <c r="P3122" s="1" t="inlineStr"/>
      <c r="Q3122" s="1" t="inlineStr">
        <is>
          <t>Пользовательский интерфейс</t>
        </is>
      </c>
    </row>
    <row r="3123">
      <c r="B3123" s="1" t="inlineStr">
        <is>
          <t>216771101</t>
        </is>
      </c>
      <c r="C3123" s="1" t="inlineStr">
        <is>
          <t>15571832</t>
        </is>
      </c>
      <c r="D3123" t="inlineStr">
        <is>
          <t>работник 878</t>
        </is>
      </c>
      <c r="E3123" s="1" t="inlineStr">
        <is>
          <t>ОБЩЕСТВО С ОГРАНИЧЕННОЙ ОТВЕТСТВЕННОСТЬЮ "АМУР ЗОЛОТО"</t>
        </is>
      </c>
      <c r="F3123" s="1" t="inlineStr">
        <is>
          <t>2708001686</t>
        </is>
      </c>
      <c r="G3123" s="1" t="inlineStr">
        <is>
          <t>Аппаратчик-гидрометаллург</t>
        </is>
      </c>
      <c r="H3123" s="1" t="inlineStr">
        <is>
          <t>ООО "Амур Золото"</t>
        </is>
      </c>
      <c r="I3123" s="1" t="inlineStr">
        <is>
          <t>2708001686</t>
        </is>
      </c>
      <c r="J3123" s="1" t="inlineStr">
        <is>
          <t>ЮГОК ЗИОФ 26-44</t>
        </is>
      </c>
      <c r="K3123" s="1" t="inlineStr">
        <is>
          <t>Использование (применение) средств индивидуальной защиты</t>
        </is>
      </c>
      <c r="L3123" s="1" t="inlineStr">
        <is>
          <t>13.08.2026</t>
        </is>
      </c>
      <c r="M3123" s="1" t="inlineStr">
        <is>
          <t>Успешно</t>
        </is>
      </c>
      <c r="N3123" s="1" t="inlineStr">
        <is>
          <t>21.08.2026</t>
        </is>
      </c>
      <c r="O3123" s="1" t="inlineStr"/>
      <c r="P3123" s="1" t="inlineStr"/>
      <c r="Q3123" s="1" t="inlineStr">
        <is>
          <t>Пользовательский интерфейс</t>
        </is>
      </c>
    </row>
    <row r="3124">
      <c r="B3124" s="1" t="inlineStr">
        <is>
          <t>216771102</t>
        </is>
      </c>
      <c r="C3124" s="1" t="inlineStr">
        <is>
          <t>15571832</t>
        </is>
      </c>
      <c r="D3124" t="inlineStr">
        <is>
          <t>работник 878</t>
        </is>
      </c>
      <c r="E3124" s="1" t="inlineStr">
        <is>
          <t>ОБЩЕСТВО С ОГРАНИЧЕННОЙ ОТВЕТСТВЕННОСТЬЮ "АМУР ЗОЛОТО"</t>
        </is>
      </c>
      <c r="F3124" s="1" t="inlineStr">
        <is>
          <t>2708001686</t>
        </is>
      </c>
      <c r="G3124" s="1" t="inlineStr">
        <is>
          <t>Аппаратчик-гидрометаллург</t>
        </is>
      </c>
      <c r="H3124" s="1" t="inlineStr">
        <is>
          <t>ООО "Амур Золото"</t>
        </is>
      </c>
      <c r="I3124" s="1" t="inlineStr">
        <is>
          <t>2708001686</t>
        </is>
      </c>
      <c r="J3124" s="1" t="inlineStr">
        <is>
          <t>ЮГОК ЗИОФ 26-44</t>
        </is>
      </c>
      <c r="K312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124" s="1" t="inlineStr">
        <is>
          <t>13.08.2026</t>
        </is>
      </c>
      <c r="M3124" s="1" t="inlineStr">
        <is>
          <t>Успешно</t>
        </is>
      </c>
      <c r="N3124" s="1" t="inlineStr">
        <is>
          <t>21.08.2026</t>
        </is>
      </c>
      <c r="O3124" s="1" t="inlineStr"/>
      <c r="P3124" s="1" t="inlineStr"/>
      <c r="Q3124" s="1" t="inlineStr">
        <is>
          <t>Пользовательский интерфейс</t>
        </is>
      </c>
    </row>
    <row r="3125">
      <c r="B3125" s="1" t="inlineStr">
        <is>
          <t>216771103</t>
        </is>
      </c>
      <c r="C3125" s="1" t="inlineStr">
        <is>
          <t>15571832</t>
        </is>
      </c>
      <c r="D3125" t="inlineStr">
        <is>
          <t>работник 879</t>
        </is>
      </c>
      <c r="E3125" s="1" t="inlineStr">
        <is>
          <t>ОБЩЕСТВО С ОГРАНИЧЕННОЙ ОТВЕТСТВЕННОСТЬЮ "АМУР ЗОЛОТО"</t>
        </is>
      </c>
      <c r="F3125" s="1" t="inlineStr">
        <is>
          <t>2708001686</t>
        </is>
      </c>
      <c r="G3125" s="1" t="inlineStr">
        <is>
          <t>Крепильщик</t>
        </is>
      </c>
      <c r="H3125" s="1" t="inlineStr">
        <is>
          <t>ООО "Амур Золото"</t>
        </is>
      </c>
      <c r="I3125" s="1" t="inlineStr">
        <is>
          <t>2708001686</t>
        </is>
      </c>
      <c r="J3125" s="1" t="inlineStr">
        <is>
          <t>ЮГОК ПГУ 26-43</t>
        </is>
      </c>
      <c r="K3125" s="1" t="inlineStr">
        <is>
          <t>Оказание первой помощи пострадавшим</t>
        </is>
      </c>
      <c r="L3125" s="1" t="inlineStr">
        <is>
          <t>11.08.2026</t>
        </is>
      </c>
      <c r="M3125" s="1" t="inlineStr">
        <is>
          <t>Успешно</t>
        </is>
      </c>
      <c r="N3125" s="1" t="inlineStr">
        <is>
          <t>21.08.2026</t>
        </is>
      </c>
      <c r="O3125" s="1" t="inlineStr"/>
      <c r="P3125" s="1" t="inlineStr"/>
      <c r="Q3125" s="1" t="inlineStr">
        <is>
          <t>Пользовательский интерфейс</t>
        </is>
      </c>
    </row>
    <row r="3126">
      <c r="B3126" s="1" t="inlineStr">
        <is>
          <t>216771104</t>
        </is>
      </c>
      <c r="C3126" s="1" t="inlineStr">
        <is>
          <t>15571832</t>
        </is>
      </c>
      <c r="D3126" t="inlineStr">
        <is>
          <t>работник 879</t>
        </is>
      </c>
      <c r="E3126" s="1" t="inlineStr">
        <is>
          <t>ОБЩЕСТВО С ОГРАНИЧЕННОЙ ОТВЕТСТВЕННОСТЬЮ "АМУР ЗОЛОТО"</t>
        </is>
      </c>
      <c r="F3126" s="1" t="inlineStr">
        <is>
          <t>2708001686</t>
        </is>
      </c>
      <c r="G3126" s="1" t="inlineStr">
        <is>
          <t>Крепильщик</t>
        </is>
      </c>
      <c r="H3126" s="1" t="inlineStr">
        <is>
          <t>ООО "Амур Золото"</t>
        </is>
      </c>
      <c r="I3126" s="1" t="inlineStr">
        <is>
          <t>2708001686</t>
        </is>
      </c>
      <c r="J3126" s="1" t="inlineStr">
        <is>
          <t>ЮГОК ПГУ 26-43</t>
        </is>
      </c>
      <c r="K3126" s="1" t="inlineStr">
        <is>
          <t>Использование (применение) средств индивидуальной защиты</t>
        </is>
      </c>
      <c r="L3126" s="1" t="inlineStr">
        <is>
          <t>11.08.2026</t>
        </is>
      </c>
      <c r="M3126" s="1" t="inlineStr">
        <is>
          <t>Успешно</t>
        </is>
      </c>
      <c r="N3126" s="1" t="inlineStr">
        <is>
          <t>21.08.2026</t>
        </is>
      </c>
      <c r="O3126" s="1" t="inlineStr"/>
      <c r="P3126" s="1" t="inlineStr"/>
      <c r="Q3126" s="1" t="inlineStr">
        <is>
          <t>Пользовательский интерфейс</t>
        </is>
      </c>
    </row>
    <row r="3127">
      <c r="B3127" s="1" t="inlineStr">
        <is>
          <t>216771105</t>
        </is>
      </c>
      <c r="C3127" s="1" t="inlineStr">
        <is>
          <t>15571832</t>
        </is>
      </c>
      <c r="D3127" t="inlineStr">
        <is>
          <t>работник 879</t>
        </is>
      </c>
      <c r="E3127" s="1" t="inlineStr">
        <is>
          <t>ОБЩЕСТВО С ОГРАНИЧЕННОЙ ОТВЕТСТВЕННОСТЬЮ "АМУР ЗОЛОТО"</t>
        </is>
      </c>
      <c r="F3127" s="1" t="inlineStr">
        <is>
          <t>2708001686</t>
        </is>
      </c>
      <c r="G3127" s="1" t="inlineStr">
        <is>
          <t>Крепильщик</t>
        </is>
      </c>
      <c r="H3127" s="1" t="inlineStr">
        <is>
          <t>ООО "Амур Золото"</t>
        </is>
      </c>
      <c r="I3127" s="1" t="inlineStr">
        <is>
          <t>2708001686</t>
        </is>
      </c>
      <c r="J3127" s="1" t="inlineStr">
        <is>
          <t>ЮГОК ПГУ 26-43</t>
        </is>
      </c>
      <c r="K312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127" s="1" t="inlineStr">
        <is>
          <t>11.08.2026</t>
        </is>
      </c>
      <c r="M3127" s="1" t="inlineStr">
        <is>
          <t>Успешно</t>
        </is>
      </c>
      <c r="N3127" s="1" t="inlineStr">
        <is>
          <t>21.08.2026</t>
        </is>
      </c>
      <c r="O3127" s="1" t="inlineStr"/>
      <c r="P3127" s="1" t="inlineStr"/>
      <c r="Q3127" s="1" t="inlineStr">
        <is>
          <t>Пользовательский интерфейс</t>
        </is>
      </c>
    </row>
    <row r="3128">
      <c r="B3128" s="1" t="inlineStr">
        <is>
          <t>216771106</t>
        </is>
      </c>
      <c r="C3128" s="1" t="inlineStr">
        <is>
          <t>15571832</t>
        </is>
      </c>
      <c r="D3128" t="inlineStr">
        <is>
          <t>работник 180</t>
        </is>
      </c>
      <c r="E3128" s="1" t="inlineStr">
        <is>
          <t>ОБЩЕСТВО С ОГРАНИЧЕННОЙ ОТВЕТСТВЕННОСТЬЮ "АМУР ЗОЛОТО"</t>
        </is>
      </c>
      <c r="F3128" s="1" t="inlineStr">
        <is>
          <t>2708001686</t>
        </is>
      </c>
      <c r="G3128" s="1" t="inlineStr">
        <is>
          <t>Электрогазосварщик (занятый на резке и ручной сварке)</t>
        </is>
      </c>
      <c r="H3128" s="1" t="inlineStr">
        <is>
          <t>ООО "Амур Золото"</t>
        </is>
      </c>
      <c r="I3128" s="1" t="inlineStr">
        <is>
          <t>2708001686</t>
        </is>
      </c>
      <c r="J3128" s="1" t="inlineStr">
        <is>
          <t>ЮГОК ПГУ 26-44</t>
        </is>
      </c>
      <c r="K3128" s="1" t="inlineStr">
        <is>
          <t>Оказание первой помощи пострадавшим</t>
        </is>
      </c>
      <c r="L3128" s="1" t="inlineStr">
        <is>
          <t>14.08.2026</t>
        </is>
      </c>
      <c r="M3128" s="1" t="inlineStr">
        <is>
          <t>Успешно</t>
        </is>
      </c>
      <c r="N3128" s="1" t="inlineStr">
        <is>
          <t>21.08.2026</t>
        </is>
      </c>
      <c r="O3128" s="1" t="inlineStr"/>
      <c r="P3128" s="1" t="inlineStr"/>
      <c r="Q3128" s="1" t="inlineStr">
        <is>
          <t>Пользовательский интерфейс</t>
        </is>
      </c>
    </row>
    <row r="3129">
      <c r="B3129" s="1" t="inlineStr">
        <is>
          <t>216771107</t>
        </is>
      </c>
      <c r="C3129" s="1" t="inlineStr">
        <is>
          <t>15571832</t>
        </is>
      </c>
      <c r="D3129" t="inlineStr">
        <is>
          <t>работник 180</t>
        </is>
      </c>
      <c r="E3129" s="1" t="inlineStr">
        <is>
          <t>ОБЩЕСТВО С ОГРАНИЧЕННОЙ ОТВЕТСТВЕННОСТЬЮ "АМУР ЗОЛОТО"</t>
        </is>
      </c>
      <c r="F3129" s="1" t="inlineStr">
        <is>
          <t>2708001686</t>
        </is>
      </c>
      <c r="G3129" s="1" t="inlineStr">
        <is>
          <t>Электрогазосварщик (занятый на резке и ручной сварке)</t>
        </is>
      </c>
      <c r="H3129" s="1" t="inlineStr">
        <is>
          <t>ООО "Амур Золото"</t>
        </is>
      </c>
      <c r="I3129" s="1" t="inlineStr">
        <is>
          <t>2708001686</t>
        </is>
      </c>
      <c r="J3129" s="1" t="inlineStr">
        <is>
          <t>ЮГОК ПГУ 26-44</t>
        </is>
      </c>
      <c r="K3129" s="1" t="inlineStr">
        <is>
          <t>Использование (применение) средств индивидуальной защиты</t>
        </is>
      </c>
      <c r="L3129" s="1" t="inlineStr">
        <is>
          <t>14.08.2026</t>
        </is>
      </c>
      <c r="M3129" s="1" t="inlineStr">
        <is>
          <t>Успешно</t>
        </is>
      </c>
      <c r="N3129" s="1" t="inlineStr">
        <is>
          <t>21.08.2026</t>
        </is>
      </c>
      <c r="O3129" s="1" t="inlineStr"/>
      <c r="P3129" s="1" t="inlineStr"/>
      <c r="Q3129" s="1" t="inlineStr">
        <is>
          <t>Пользовательский интерфейс</t>
        </is>
      </c>
    </row>
    <row r="3130">
      <c r="B3130" s="1" t="inlineStr">
        <is>
          <t>216771108</t>
        </is>
      </c>
      <c r="C3130" s="1" t="inlineStr">
        <is>
          <t>15571832</t>
        </is>
      </c>
      <c r="D3130" t="inlineStr">
        <is>
          <t>работник 180</t>
        </is>
      </c>
      <c r="E3130" s="1" t="inlineStr">
        <is>
          <t>ОБЩЕСТВО С ОГРАНИЧЕННОЙ ОТВЕТСТВЕННОСТЬЮ "АМУР ЗОЛОТО"</t>
        </is>
      </c>
      <c r="F3130" s="1" t="inlineStr">
        <is>
          <t>2708001686</t>
        </is>
      </c>
      <c r="G3130" s="1" t="inlineStr">
        <is>
          <t>Электрогазосварщик (занятый на резке и ручной сварке)</t>
        </is>
      </c>
      <c r="H3130" s="1" t="inlineStr">
        <is>
          <t>ООО "Амур Золото"</t>
        </is>
      </c>
      <c r="I3130" s="1" t="inlineStr">
        <is>
          <t>2708001686</t>
        </is>
      </c>
      <c r="J3130" s="1" t="inlineStr">
        <is>
          <t>ЮГОК ПГУ 26-44</t>
        </is>
      </c>
      <c r="K313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130" s="1" t="inlineStr">
        <is>
          <t>14.08.2026</t>
        </is>
      </c>
      <c r="M3130" s="1" t="inlineStr">
        <is>
          <t>Успешно</t>
        </is>
      </c>
      <c r="N3130" s="1" t="inlineStr">
        <is>
          <t>21.08.2026</t>
        </is>
      </c>
      <c r="O3130" s="1" t="inlineStr"/>
      <c r="P3130" s="1" t="inlineStr"/>
      <c r="Q3130" s="1" t="inlineStr">
        <is>
          <t>Пользовательский интерфейс</t>
        </is>
      </c>
    </row>
    <row r="3131">
      <c r="B3131" s="1" t="inlineStr">
        <is>
          <t>216771109</t>
        </is>
      </c>
      <c r="C3131" s="1" t="inlineStr">
        <is>
          <t>15571832</t>
        </is>
      </c>
      <c r="D3131" t="inlineStr">
        <is>
          <t>работник 180</t>
        </is>
      </c>
      <c r="E3131" s="1" t="inlineStr">
        <is>
          <t>ОБЩЕСТВО С ОГРАНИЧЕННОЙ ОТВЕТСТВЕННОСТЬЮ "АМУР ЗОЛОТО"</t>
        </is>
      </c>
      <c r="F3131" s="1" t="inlineStr">
        <is>
          <t>2708001686</t>
        </is>
      </c>
      <c r="G3131" s="1" t="inlineStr">
        <is>
          <t>Электрогазосварщик (занятый на резке и ручной сварке)</t>
        </is>
      </c>
      <c r="H3131" s="1" t="inlineStr">
        <is>
          <t>ООО "Амур Золото"</t>
        </is>
      </c>
      <c r="I3131" s="1" t="inlineStr">
        <is>
          <t>2708001686</t>
        </is>
      </c>
      <c r="J3131" s="1" t="inlineStr">
        <is>
          <t>ЮГОК ПГУ 26-44</t>
        </is>
      </c>
      <c r="K3131" s="1" t="inlineStr">
        <is>
          <t>Безопасные методы и приемы выполнения огневых работ</t>
        </is>
      </c>
      <c r="L3131" s="1" t="inlineStr">
        <is>
          <t>14.08.2026</t>
        </is>
      </c>
      <c r="M3131" s="1" t="inlineStr">
        <is>
          <t>Успешно</t>
        </is>
      </c>
      <c r="N3131" s="1" t="inlineStr">
        <is>
          <t>21.08.2026</t>
        </is>
      </c>
      <c r="O3131" s="1" t="inlineStr"/>
      <c r="P3131" s="1" t="inlineStr"/>
      <c r="Q3131" s="1" t="inlineStr">
        <is>
          <t>Пользовательский интерфейс</t>
        </is>
      </c>
    </row>
    <row r="3132">
      <c r="B3132" s="1" t="inlineStr">
        <is>
          <t>216771110</t>
        </is>
      </c>
      <c r="C3132" s="1" t="inlineStr">
        <is>
          <t>15571832</t>
        </is>
      </c>
      <c r="D3132" t="inlineStr">
        <is>
          <t>работник 551</t>
        </is>
      </c>
      <c r="E3132" s="1" t="inlineStr">
        <is>
          <t>ОБЩЕСТВО С ОГРАНИЧЕННОЙ ОТВЕТСТВЕННОСТЬЮ "АМУР ЗОЛОТО"</t>
        </is>
      </c>
      <c r="F3132" s="1" t="inlineStr">
        <is>
          <t>2708001686</t>
        </is>
      </c>
      <c r="G3132" s="1" t="inlineStr">
        <is>
          <t>Ламповщик</t>
        </is>
      </c>
      <c r="H3132" s="1" t="inlineStr">
        <is>
          <t>ООО "Амур Золото"</t>
        </is>
      </c>
      <c r="I3132" s="1" t="inlineStr">
        <is>
          <t>2708001686</t>
        </is>
      </c>
      <c r="J3132" s="1" t="inlineStr">
        <is>
          <t>ЮГОК ПГУ 26-45</t>
        </is>
      </c>
      <c r="K3132" s="1" t="inlineStr">
        <is>
          <t>Оказание первой помощи пострадавшим</t>
        </is>
      </c>
      <c r="L3132" s="1" t="inlineStr">
        <is>
          <t>14.08.2026</t>
        </is>
      </c>
      <c r="M3132" s="1" t="inlineStr">
        <is>
          <t>Успешно</t>
        </is>
      </c>
      <c r="N3132" s="1" t="inlineStr">
        <is>
          <t>21.08.2026</t>
        </is>
      </c>
      <c r="O3132" s="1" t="inlineStr"/>
      <c r="P3132" s="1" t="inlineStr"/>
      <c r="Q3132" s="1" t="inlineStr">
        <is>
          <t>Пользовательский интерфейс</t>
        </is>
      </c>
    </row>
    <row r="3133">
      <c r="B3133" s="1" t="inlineStr">
        <is>
          <t>216771111</t>
        </is>
      </c>
      <c r="C3133" s="1" t="inlineStr">
        <is>
          <t>15571832</t>
        </is>
      </c>
      <c r="D3133" t="inlineStr">
        <is>
          <t>работник 551</t>
        </is>
      </c>
      <c r="E3133" s="1" t="inlineStr">
        <is>
          <t>ОБЩЕСТВО С ОГРАНИЧЕННОЙ ОТВЕТСТВЕННОСТЬЮ "АМУР ЗОЛОТО"</t>
        </is>
      </c>
      <c r="F3133" s="1" t="inlineStr">
        <is>
          <t>2708001686</t>
        </is>
      </c>
      <c r="G3133" s="1" t="inlineStr">
        <is>
          <t>Ламповщик</t>
        </is>
      </c>
      <c r="H3133" s="1" t="inlineStr">
        <is>
          <t>ООО "Амур Золото"</t>
        </is>
      </c>
      <c r="I3133" s="1" t="inlineStr">
        <is>
          <t>2708001686</t>
        </is>
      </c>
      <c r="J3133" s="1" t="inlineStr">
        <is>
          <t>ЮГОК ПГУ 26-45</t>
        </is>
      </c>
      <c r="K3133" s="1" t="inlineStr">
        <is>
          <t>Использование (применение) средств индивидуальной защиты</t>
        </is>
      </c>
      <c r="L3133" s="1" t="inlineStr">
        <is>
          <t>14.08.2026</t>
        </is>
      </c>
      <c r="M3133" s="1" t="inlineStr">
        <is>
          <t>Успешно</t>
        </is>
      </c>
      <c r="N3133" s="1" t="inlineStr">
        <is>
          <t>21.08.2026</t>
        </is>
      </c>
      <c r="O3133" s="1" t="inlineStr"/>
      <c r="P3133" s="1" t="inlineStr"/>
      <c r="Q3133" s="1" t="inlineStr">
        <is>
          <t>Пользовательский интерфейс</t>
        </is>
      </c>
    </row>
    <row r="3134">
      <c r="B3134" s="1" t="inlineStr">
        <is>
          <t>216771112</t>
        </is>
      </c>
      <c r="C3134" s="1" t="inlineStr">
        <is>
          <t>15571832</t>
        </is>
      </c>
      <c r="D3134" t="inlineStr">
        <is>
          <t>работник 551</t>
        </is>
      </c>
      <c r="E3134" s="1" t="inlineStr">
        <is>
          <t>ОБЩЕСТВО С ОГРАНИЧЕННОЙ ОТВЕТСТВЕННОСТЬЮ "АМУР ЗОЛОТО"</t>
        </is>
      </c>
      <c r="F3134" s="1" t="inlineStr">
        <is>
          <t>2708001686</t>
        </is>
      </c>
      <c r="G3134" s="1" t="inlineStr">
        <is>
          <t>Ламповщик</t>
        </is>
      </c>
      <c r="H3134" s="1" t="inlineStr">
        <is>
          <t>ООО "Амур Золото"</t>
        </is>
      </c>
      <c r="I3134" s="1" t="inlineStr">
        <is>
          <t>2708001686</t>
        </is>
      </c>
      <c r="J3134" s="1" t="inlineStr">
        <is>
          <t>ЮГОК ПГУ 26-45</t>
        </is>
      </c>
      <c r="K313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134" s="1" t="inlineStr">
        <is>
          <t>14.08.2026</t>
        </is>
      </c>
      <c r="M3134" s="1" t="inlineStr">
        <is>
          <t>Успешно</t>
        </is>
      </c>
      <c r="N3134" s="1" t="inlineStr">
        <is>
          <t>21.08.2026</t>
        </is>
      </c>
      <c r="O3134" s="1" t="inlineStr"/>
      <c r="P3134" s="1" t="inlineStr"/>
      <c r="Q3134" s="1" t="inlineStr">
        <is>
          <t>Пользовательский интерфейс</t>
        </is>
      </c>
    </row>
    <row r="3135">
      <c r="B3135" s="1" t="inlineStr">
        <is>
          <t>216771113</t>
        </is>
      </c>
      <c r="C3135" s="1" t="inlineStr">
        <is>
          <t>15571832</t>
        </is>
      </c>
      <c r="D3135" t="inlineStr">
        <is>
          <t>работник 880</t>
        </is>
      </c>
      <c r="E3135" s="1" t="inlineStr">
        <is>
          <t>ОБЩЕСТВО С ОГРАНИЧЕННОЙ ОТВЕТСТВЕННОСТЬЮ "АМУР ЗОЛОТО"</t>
        </is>
      </c>
      <c r="F3135" s="1" t="inlineStr">
        <is>
          <t>2708001686</t>
        </is>
      </c>
      <c r="G3135" s="1" t="inlineStr">
        <is>
          <t>Ламповщик</t>
        </is>
      </c>
      <c r="H3135" s="1" t="inlineStr">
        <is>
          <t>ООО "Амур Золото"</t>
        </is>
      </c>
      <c r="I3135" s="1" t="inlineStr">
        <is>
          <t>2708001686</t>
        </is>
      </c>
      <c r="J3135" s="1" t="inlineStr">
        <is>
          <t>ЮГОК ПГУ 26-45</t>
        </is>
      </c>
      <c r="K3135" s="1" t="inlineStr">
        <is>
          <t>Оказание первой помощи пострадавшим</t>
        </is>
      </c>
      <c r="L3135" s="1" t="inlineStr">
        <is>
          <t>14.08.2026</t>
        </is>
      </c>
      <c r="M3135" s="1" t="inlineStr">
        <is>
          <t>Успешно</t>
        </is>
      </c>
      <c r="N3135" s="1" t="inlineStr">
        <is>
          <t>21.08.2026</t>
        </is>
      </c>
      <c r="O3135" s="1" t="inlineStr"/>
      <c r="P3135" s="1" t="inlineStr"/>
      <c r="Q3135" s="1" t="inlineStr">
        <is>
          <t>Пользовательский интерфейс</t>
        </is>
      </c>
    </row>
    <row r="3136">
      <c r="B3136" s="1" t="inlineStr">
        <is>
          <t>216771114</t>
        </is>
      </c>
      <c r="C3136" s="1" t="inlineStr">
        <is>
          <t>15571832</t>
        </is>
      </c>
      <c r="D3136" t="inlineStr">
        <is>
          <t>работник 880</t>
        </is>
      </c>
      <c r="E3136" s="1" t="inlineStr">
        <is>
          <t>ОБЩЕСТВО С ОГРАНИЧЕННОЙ ОТВЕТСТВЕННОСТЬЮ "АМУР ЗОЛОТО"</t>
        </is>
      </c>
      <c r="F3136" s="1" t="inlineStr">
        <is>
          <t>2708001686</t>
        </is>
      </c>
      <c r="G3136" s="1" t="inlineStr">
        <is>
          <t>Ламповщик</t>
        </is>
      </c>
      <c r="H3136" s="1" t="inlineStr">
        <is>
          <t>ООО "Амур Золото"</t>
        </is>
      </c>
      <c r="I3136" s="1" t="inlineStr">
        <is>
          <t>2708001686</t>
        </is>
      </c>
      <c r="J3136" s="1" t="inlineStr">
        <is>
          <t>ЮГОК ПГУ 26-45</t>
        </is>
      </c>
      <c r="K3136" s="1" t="inlineStr">
        <is>
          <t>Использование (применение) средств индивидуальной защиты</t>
        </is>
      </c>
      <c r="L3136" s="1" t="inlineStr">
        <is>
          <t>14.08.2026</t>
        </is>
      </c>
      <c r="M3136" s="1" t="inlineStr">
        <is>
          <t>Успешно</t>
        </is>
      </c>
      <c r="N3136" s="1" t="inlineStr">
        <is>
          <t>21.08.2026</t>
        </is>
      </c>
      <c r="O3136" s="1" t="inlineStr"/>
      <c r="P3136" s="1" t="inlineStr"/>
      <c r="Q3136" s="1" t="inlineStr">
        <is>
          <t>Пользовательский интерфейс</t>
        </is>
      </c>
    </row>
    <row r="3137">
      <c r="B3137" s="1" t="inlineStr">
        <is>
          <t>216771115</t>
        </is>
      </c>
      <c r="C3137" s="1" t="inlineStr">
        <is>
          <t>15571832</t>
        </is>
      </c>
      <c r="D3137" t="inlineStr">
        <is>
          <t>работник 880</t>
        </is>
      </c>
      <c r="E3137" s="1" t="inlineStr">
        <is>
          <t>ОБЩЕСТВО С ОГРАНИЧЕННОЙ ОТВЕТСТВЕННОСТЬЮ "АМУР ЗОЛОТО"</t>
        </is>
      </c>
      <c r="F3137" s="1" t="inlineStr">
        <is>
          <t>2708001686</t>
        </is>
      </c>
      <c r="G3137" s="1" t="inlineStr">
        <is>
          <t>Ламповщик</t>
        </is>
      </c>
      <c r="H3137" s="1" t="inlineStr">
        <is>
          <t>ООО "Амур Золото"</t>
        </is>
      </c>
      <c r="I3137" s="1" t="inlineStr">
        <is>
          <t>2708001686</t>
        </is>
      </c>
      <c r="J3137" s="1" t="inlineStr">
        <is>
          <t>ЮГОК ПГУ 26-45</t>
        </is>
      </c>
      <c r="K313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137" s="1" t="inlineStr">
        <is>
          <t>14.08.2026</t>
        </is>
      </c>
      <c r="M3137" s="1" t="inlineStr">
        <is>
          <t>Успешно</t>
        </is>
      </c>
      <c r="N3137" s="1" t="inlineStr">
        <is>
          <t>21.08.2026</t>
        </is>
      </c>
      <c r="O3137" s="1" t="inlineStr"/>
      <c r="P3137" s="1" t="inlineStr"/>
      <c r="Q3137" s="1" t="inlineStr">
        <is>
          <t>Пользовательский интерфейс</t>
        </is>
      </c>
    </row>
    <row r="3138">
      <c r="B3138" s="1" t="inlineStr">
        <is>
          <t>216771116</t>
        </is>
      </c>
      <c r="C3138" s="1" t="inlineStr">
        <is>
          <t>15571832</t>
        </is>
      </c>
      <c r="D3138" t="inlineStr">
        <is>
          <t>работник 881</t>
        </is>
      </c>
      <c r="E3138" s="1" t="inlineStr">
        <is>
          <t>ОБЩЕСТВО С ОГРАНИЧЕННОЙ ОТВЕТСТВЕННОСТЬЮ "АМУР ЗОЛОТО"</t>
        </is>
      </c>
      <c r="F3138" s="1" t="inlineStr">
        <is>
          <t>2708001686</t>
        </is>
      </c>
      <c r="G3138" s="1" t="inlineStr">
        <is>
          <t>Помощник машиниста самоходной буровой установки (с исполнением обязанностей пробоотборщика)</t>
        </is>
      </c>
      <c r="H3138" s="1" t="inlineStr">
        <is>
          <t>ООО "Амур Золото"</t>
        </is>
      </c>
      <c r="I3138" s="1" t="inlineStr">
        <is>
          <t>2708001686</t>
        </is>
      </c>
      <c r="J3138" s="1" t="inlineStr">
        <is>
          <t>ЮГОК ПГУ 26-46</t>
        </is>
      </c>
      <c r="K3138" s="1" t="inlineStr">
        <is>
          <t>Оказание первой помощи пострадавшим</t>
        </is>
      </c>
      <c r="L3138" s="1" t="inlineStr">
        <is>
          <t>14.08.2026</t>
        </is>
      </c>
      <c r="M3138" s="1" t="inlineStr">
        <is>
          <t>Успешно</t>
        </is>
      </c>
      <c r="N3138" s="1" t="inlineStr">
        <is>
          <t>21.08.2026</t>
        </is>
      </c>
      <c r="O3138" s="1" t="inlineStr"/>
      <c r="P3138" s="1" t="inlineStr"/>
      <c r="Q3138" s="1" t="inlineStr">
        <is>
          <t>Пользовательский интерфейс</t>
        </is>
      </c>
    </row>
    <row r="3139">
      <c r="B3139" s="1" t="inlineStr">
        <is>
          <t>216771117</t>
        </is>
      </c>
      <c r="C3139" s="1" t="inlineStr">
        <is>
          <t>15571832</t>
        </is>
      </c>
      <c r="D3139" t="inlineStr">
        <is>
          <t>работник 881</t>
        </is>
      </c>
      <c r="E3139" s="1" t="inlineStr">
        <is>
          <t>ОБЩЕСТВО С ОГРАНИЧЕННОЙ ОТВЕТСТВЕННОСТЬЮ "АМУР ЗОЛОТО"</t>
        </is>
      </c>
      <c r="F3139" s="1" t="inlineStr">
        <is>
          <t>2708001686</t>
        </is>
      </c>
      <c r="G3139" s="1" t="inlineStr">
        <is>
          <t>Помощник машиниста самоходной буровой установки (с исполнением обязанностей пробоотборщика)</t>
        </is>
      </c>
      <c r="H3139" s="1" t="inlineStr">
        <is>
          <t>ООО "Амур Золото"</t>
        </is>
      </c>
      <c r="I3139" s="1" t="inlineStr">
        <is>
          <t>2708001686</t>
        </is>
      </c>
      <c r="J3139" s="1" t="inlineStr">
        <is>
          <t>ЮГОК ПГУ 26-46</t>
        </is>
      </c>
      <c r="K3139" s="1" t="inlineStr">
        <is>
          <t>Использование (применение) средств индивидуальной защиты</t>
        </is>
      </c>
      <c r="L3139" s="1" t="inlineStr">
        <is>
          <t>14.08.2026</t>
        </is>
      </c>
      <c r="M3139" s="1" t="inlineStr">
        <is>
          <t>Успешно</t>
        </is>
      </c>
      <c r="N3139" s="1" t="inlineStr">
        <is>
          <t>21.08.2026</t>
        </is>
      </c>
      <c r="O3139" s="1" t="inlineStr"/>
      <c r="P3139" s="1" t="inlineStr"/>
      <c r="Q3139" s="1" t="inlineStr">
        <is>
          <t>Пользовательский интерфейс</t>
        </is>
      </c>
    </row>
    <row r="3140">
      <c r="B3140" s="1" t="inlineStr">
        <is>
          <t>216771118</t>
        </is>
      </c>
      <c r="C3140" s="1" t="inlineStr">
        <is>
          <t>15571832</t>
        </is>
      </c>
      <c r="D3140" t="inlineStr">
        <is>
          <t>работник 881</t>
        </is>
      </c>
      <c r="E3140" s="1" t="inlineStr">
        <is>
          <t>ОБЩЕСТВО С ОГРАНИЧЕННОЙ ОТВЕТСТВЕННОСТЬЮ "АМУР ЗОЛОТО"</t>
        </is>
      </c>
      <c r="F3140" s="1" t="inlineStr">
        <is>
          <t>2708001686</t>
        </is>
      </c>
      <c r="G3140" s="1" t="inlineStr">
        <is>
          <t>Помощник машиниста самоходной буровой установки (с исполнением обязанностей пробоотборщика)</t>
        </is>
      </c>
      <c r="H3140" s="1" t="inlineStr">
        <is>
          <t>ООО "Амур Золото"</t>
        </is>
      </c>
      <c r="I3140" s="1" t="inlineStr">
        <is>
          <t>2708001686</t>
        </is>
      </c>
      <c r="J3140" s="1" t="inlineStr">
        <is>
          <t>ЮГОК ПГУ 26-46</t>
        </is>
      </c>
      <c r="K314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140" s="1" t="inlineStr">
        <is>
          <t>14.08.2026</t>
        </is>
      </c>
      <c r="M3140" s="1" t="inlineStr">
        <is>
          <t>Успешно</t>
        </is>
      </c>
      <c r="N3140" s="1" t="inlineStr">
        <is>
          <t>21.08.2026</t>
        </is>
      </c>
      <c r="O3140" s="1" t="inlineStr"/>
      <c r="P3140" s="1" t="inlineStr"/>
      <c r="Q3140" s="1" t="inlineStr">
        <is>
          <t>Пользовательский интерфейс</t>
        </is>
      </c>
    </row>
    <row r="3141">
      <c r="B3141" s="1" t="inlineStr">
        <is>
          <t>216771119</t>
        </is>
      </c>
      <c r="C3141" s="1" t="inlineStr">
        <is>
          <t>15571832</t>
        </is>
      </c>
      <c r="D3141" t="inlineStr">
        <is>
          <t>работник 882</t>
        </is>
      </c>
      <c r="E3141" s="1" t="inlineStr">
        <is>
          <t>ОБЩЕСТВО С ОГРАНИЧЕННОЙ ОТВЕТСТВЕННОСТЬЮ "АМУР ЗОЛОТО"</t>
        </is>
      </c>
      <c r="F3141" s="1" t="inlineStr">
        <is>
          <t>2708001686</t>
        </is>
      </c>
      <c r="G3141" s="1" t="inlineStr">
        <is>
          <t>Помощник машиниста самоходной буровой установки (с исполнением обязанностей пробоотборщика)</t>
        </is>
      </c>
      <c r="H3141" s="1" t="inlineStr">
        <is>
          <t>ООО "Амур Золото"</t>
        </is>
      </c>
      <c r="I3141" s="1" t="inlineStr">
        <is>
          <t>2708001686</t>
        </is>
      </c>
      <c r="J3141" s="1" t="inlineStr">
        <is>
          <t>ЮГОК ПГУ 26-46</t>
        </is>
      </c>
      <c r="K3141" s="1" t="inlineStr">
        <is>
          <t>Оказание первой помощи пострадавшим</t>
        </is>
      </c>
      <c r="L3141" s="1" t="inlineStr">
        <is>
          <t>14.08.2026</t>
        </is>
      </c>
      <c r="M3141" s="1" t="inlineStr">
        <is>
          <t>Успешно</t>
        </is>
      </c>
      <c r="N3141" s="1" t="inlineStr">
        <is>
          <t>21.08.2026</t>
        </is>
      </c>
      <c r="O3141" s="1" t="inlineStr"/>
      <c r="P3141" s="1" t="inlineStr"/>
      <c r="Q3141" s="1" t="inlineStr">
        <is>
          <t>Пользовательский интерфейс</t>
        </is>
      </c>
    </row>
    <row r="3142">
      <c r="B3142" s="1" t="inlineStr">
        <is>
          <t>216771120</t>
        </is>
      </c>
      <c r="C3142" s="1" t="inlineStr">
        <is>
          <t>15571832</t>
        </is>
      </c>
      <c r="D3142" t="inlineStr">
        <is>
          <t>работник 882</t>
        </is>
      </c>
      <c r="E3142" s="1" t="inlineStr">
        <is>
          <t>ОБЩЕСТВО С ОГРАНИЧЕННОЙ ОТВЕТСТВЕННОСТЬЮ "АМУР ЗОЛОТО"</t>
        </is>
      </c>
      <c r="F3142" s="1" t="inlineStr">
        <is>
          <t>2708001686</t>
        </is>
      </c>
      <c r="G3142" s="1" t="inlineStr">
        <is>
          <t>Помощник машиниста самоходной буровой установки (с исполнением обязанностей пробоотборщика)</t>
        </is>
      </c>
      <c r="H3142" s="1" t="inlineStr">
        <is>
          <t>ООО "Амур Золото"</t>
        </is>
      </c>
      <c r="I3142" s="1" t="inlineStr">
        <is>
          <t>2708001686</t>
        </is>
      </c>
      <c r="J3142" s="1" t="inlineStr">
        <is>
          <t>ЮГОК ПГУ 26-46</t>
        </is>
      </c>
      <c r="K3142" s="1" t="inlineStr">
        <is>
          <t>Использование (применение) средств индивидуальной защиты</t>
        </is>
      </c>
      <c r="L3142" s="1" t="inlineStr">
        <is>
          <t>14.08.2026</t>
        </is>
      </c>
      <c r="M3142" s="1" t="inlineStr">
        <is>
          <t>Успешно</t>
        </is>
      </c>
      <c r="N3142" s="1" t="inlineStr">
        <is>
          <t>21.08.2026</t>
        </is>
      </c>
      <c r="O3142" s="1" t="inlineStr"/>
      <c r="P3142" s="1" t="inlineStr"/>
      <c r="Q3142" s="1" t="inlineStr">
        <is>
          <t>Пользовательский интерфейс</t>
        </is>
      </c>
    </row>
    <row r="3143">
      <c r="B3143" s="1" t="inlineStr">
        <is>
          <t>216771121</t>
        </is>
      </c>
      <c r="C3143" s="1" t="inlineStr">
        <is>
          <t>15571832</t>
        </is>
      </c>
      <c r="D3143" t="inlineStr">
        <is>
          <t>работник 882</t>
        </is>
      </c>
      <c r="E3143" s="1" t="inlineStr">
        <is>
          <t>ОБЩЕСТВО С ОГРАНИЧЕННОЙ ОТВЕТСТВЕННОСТЬЮ "АМУР ЗОЛОТО"</t>
        </is>
      </c>
      <c r="F3143" s="1" t="inlineStr">
        <is>
          <t>2708001686</t>
        </is>
      </c>
      <c r="G3143" s="1" t="inlineStr">
        <is>
          <t>Помощник машиниста самоходной буровой установки (с исполнением обязанностей пробоотборщика)</t>
        </is>
      </c>
      <c r="H3143" s="1" t="inlineStr">
        <is>
          <t>ООО "Амур Золото"</t>
        </is>
      </c>
      <c r="I3143" s="1" t="inlineStr">
        <is>
          <t>2708001686</t>
        </is>
      </c>
      <c r="J3143" s="1" t="inlineStr">
        <is>
          <t>ЮГОК ПГУ 26-46</t>
        </is>
      </c>
      <c r="K314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143" s="1" t="inlineStr">
        <is>
          <t>14.08.2026</t>
        </is>
      </c>
      <c r="M3143" s="1" t="inlineStr">
        <is>
          <t>Успешно</t>
        </is>
      </c>
      <c r="N3143" s="1" t="inlineStr">
        <is>
          <t>21.08.2026</t>
        </is>
      </c>
      <c r="O3143" s="1" t="inlineStr"/>
      <c r="P3143" s="1" t="inlineStr"/>
      <c r="Q3143" s="1" t="inlineStr">
        <is>
          <t>Пользовательский интерфейс</t>
        </is>
      </c>
    </row>
    <row r="3144">
      <c r="B3144" s="1" t="inlineStr">
        <is>
          <t>216771122</t>
        </is>
      </c>
      <c r="C3144" s="1" t="inlineStr">
        <is>
          <t>15571832</t>
        </is>
      </c>
      <c r="D3144" t="inlineStr">
        <is>
          <t>работник 883</t>
        </is>
      </c>
      <c r="E3144" s="1" t="inlineStr">
        <is>
          <t>ОБЩЕСТВО С ОГРАНИЧЕННОЙ ОТВЕТСТВЕННОСТЬЮ "АМУР ЗОЛОТО"</t>
        </is>
      </c>
      <c r="F3144" s="1" t="inlineStr">
        <is>
          <t>2708001686</t>
        </is>
      </c>
      <c r="G3144" s="1" t="inlineStr">
        <is>
          <t>Помощник машиниста самоходной буровой установки (с исполнением обязанностей пробоотборщика)</t>
        </is>
      </c>
      <c r="H3144" s="1" t="inlineStr">
        <is>
          <t>ООО "Амур Золото"</t>
        </is>
      </c>
      <c r="I3144" s="1" t="inlineStr">
        <is>
          <t>2708001686</t>
        </is>
      </c>
      <c r="J3144" s="1" t="inlineStr">
        <is>
          <t>ЮГОК ПГУ 26-46</t>
        </is>
      </c>
      <c r="K3144" s="1" t="inlineStr">
        <is>
          <t>Оказание первой помощи пострадавшим</t>
        </is>
      </c>
      <c r="L3144" s="1" t="inlineStr">
        <is>
          <t>14.08.2026</t>
        </is>
      </c>
      <c r="M3144" s="1" t="inlineStr">
        <is>
          <t>Успешно</t>
        </is>
      </c>
      <c r="N3144" s="1" t="inlineStr">
        <is>
          <t>21.08.2026</t>
        </is>
      </c>
      <c r="O3144" s="1" t="inlineStr"/>
      <c r="P3144" s="1" t="inlineStr"/>
      <c r="Q3144" s="1" t="inlineStr">
        <is>
          <t>Пользовательский интерфейс</t>
        </is>
      </c>
    </row>
    <row r="3145">
      <c r="B3145" s="1" t="inlineStr">
        <is>
          <t>216771123</t>
        </is>
      </c>
      <c r="C3145" s="1" t="inlineStr">
        <is>
          <t>15571832</t>
        </is>
      </c>
      <c r="D3145" t="inlineStr">
        <is>
          <t>работник 883</t>
        </is>
      </c>
      <c r="E3145" s="1" t="inlineStr">
        <is>
          <t>ОБЩЕСТВО С ОГРАНИЧЕННОЙ ОТВЕТСТВЕННОСТЬЮ "АМУР ЗОЛОТО"</t>
        </is>
      </c>
      <c r="F3145" s="1" t="inlineStr">
        <is>
          <t>2708001686</t>
        </is>
      </c>
      <c r="G3145" s="1" t="inlineStr">
        <is>
          <t>Помощник машиниста самоходной буровой установки (с исполнением обязанностей пробоотборщика)</t>
        </is>
      </c>
      <c r="H3145" s="1" t="inlineStr">
        <is>
          <t>ООО "Амур Золото"</t>
        </is>
      </c>
      <c r="I3145" s="1" t="inlineStr">
        <is>
          <t>2708001686</t>
        </is>
      </c>
      <c r="J3145" s="1" t="inlineStr">
        <is>
          <t>ЮГОК ПГУ 26-46</t>
        </is>
      </c>
      <c r="K3145" s="1" t="inlineStr">
        <is>
          <t>Использование (применение) средств индивидуальной защиты</t>
        </is>
      </c>
      <c r="L3145" s="1" t="inlineStr">
        <is>
          <t>14.08.2026</t>
        </is>
      </c>
      <c r="M3145" s="1" t="inlineStr">
        <is>
          <t>Успешно</t>
        </is>
      </c>
      <c r="N3145" s="1" t="inlineStr">
        <is>
          <t>21.08.2026</t>
        </is>
      </c>
      <c r="O3145" s="1" t="inlineStr"/>
      <c r="P3145" s="1" t="inlineStr"/>
      <c r="Q3145" s="1" t="inlineStr">
        <is>
          <t>Пользовательский интерфейс</t>
        </is>
      </c>
    </row>
    <row r="3146">
      <c r="B3146" s="1" t="inlineStr">
        <is>
          <t>216771124</t>
        </is>
      </c>
      <c r="C3146" s="1" t="inlineStr">
        <is>
          <t>15571832</t>
        </is>
      </c>
      <c r="D3146" t="inlineStr">
        <is>
          <t>работник 883</t>
        </is>
      </c>
      <c r="E3146" s="1" t="inlineStr">
        <is>
          <t>ОБЩЕСТВО С ОГРАНИЧЕННОЙ ОТВЕТСТВЕННОСТЬЮ "АМУР ЗОЛОТО"</t>
        </is>
      </c>
      <c r="F3146" s="1" t="inlineStr">
        <is>
          <t>2708001686</t>
        </is>
      </c>
      <c r="G3146" s="1" t="inlineStr">
        <is>
          <t>Помощник машиниста самоходной буровой установки (с исполнением обязанностей пробоотборщика)</t>
        </is>
      </c>
      <c r="H3146" s="1" t="inlineStr">
        <is>
          <t>ООО "Амур Золото"</t>
        </is>
      </c>
      <c r="I3146" s="1" t="inlineStr">
        <is>
          <t>2708001686</t>
        </is>
      </c>
      <c r="J3146" s="1" t="inlineStr">
        <is>
          <t>ЮГОК ПГУ 26-46</t>
        </is>
      </c>
      <c r="K314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146" s="1" t="inlineStr">
        <is>
          <t>14.08.2026</t>
        </is>
      </c>
      <c r="M3146" s="1" t="inlineStr">
        <is>
          <t>Успешно</t>
        </is>
      </c>
      <c r="N3146" s="1" t="inlineStr">
        <is>
          <t>21.08.2026</t>
        </is>
      </c>
      <c r="O3146" s="1" t="inlineStr"/>
      <c r="P3146" s="1" t="inlineStr"/>
      <c r="Q3146" s="1" t="inlineStr">
        <is>
          <t>Пользовательский интерфейс</t>
        </is>
      </c>
    </row>
    <row r="3147">
      <c r="B3147" s="1" t="inlineStr">
        <is>
          <t>216771125</t>
        </is>
      </c>
      <c r="C3147" s="1" t="inlineStr">
        <is>
          <t>15571832</t>
        </is>
      </c>
      <c r="D3147" t="inlineStr">
        <is>
          <t>работник 311</t>
        </is>
      </c>
      <c r="E3147" s="1" t="inlineStr">
        <is>
          <t>ОБЩЕСТВО С ОГРАНИЧЕННОЙ ОТВЕТСТВЕННОСТЬЮ "АМУР ЗОЛОТО"</t>
        </is>
      </c>
      <c r="F3147" s="1" t="inlineStr">
        <is>
          <t>2708001686</t>
        </is>
      </c>
      <c r="G3147" s="1" t="inlineStr">
        <is>
          <t>Помощник машиниста самоходной буровой установки (с исполнением обязанностей пробоотборщика)</t>
        </is>
      </c>
      <c r="H3147" s="1" t="inlineStr">
        <is>
          <t>ООО "Амур Золото"</t>
        </is>
      </c>
      <c r="I3147" s="1" t="inlineStr">
        <is>
          <t>2708001686</t>
        </is>
      </c>
      <c r="J3147" s="1" t="inlineStr">
        <is>
          <t>ЮГОК ПГУ 26-46</t>
        </is>
      </c>
      <c r="K3147" s="1" t="inlineStr">
        <is>
          <t>Оказание первой помощи пострадавшим</t>
        </is>
      </c>
      <c r="L3147" s="1" t="inlineStr">
        <is>
          <t>14.08.2026</t>
        </is>
      </c>
      <c r="M3147" s="1" t="inlineStr">
        <is>
          <t>Успешно</t>
        </is>
      </c>
      <c r="N3147" s="1" t="inlineStr">
        <is>
          <t>21.08.2026</t>
        </is>
      </c>
      <c r="O3147" s="1" t="inlineStr"/>
      <c r="P3147" s="1" t="inlineStr"/>
      <c r="Q3147" s="1" t="inlineStr">
        <is>
          <t>Пользовательский интерфейс</t>
        </is>
      </c>
    </row>
    <row r="3148">
      <c r="B3148" s="1" t="inlineStr">
        <is>
          <t>216771126</t>
        </is>
      </c>
      <c r="C3148" s="1" t="inlineStr">
        <is>
          <t>15571832</t>
        </is>
      </c>
      <c r="D3148" t="inlineStr">
        <is>
          <t>работник 311</t>
        </is>
      </c>
      <c r="E3148" s="1" t="inlineStr">
        <is>
          <t>ОБЩЕСТВО С ОГРАНИЧЕННОЙ ОТВЕТСТВЕННОСТЬЮ "АМУР ЗОЛОТО"</t>
        </is>
      </c>
      <c r="F3148" s="1" t="inlineStr">
        <is>
          <t>2708001686</t>
        </is>
      </c>
      <c r="G3148" s="1" t="inlineStr">
        <is>
          <t>Помощник машиниста самоходной буровой установки (с исполнением обязанностей пробоотборщика)</t>
        </is>
      </c>
      <c r="H3148" s="1" t="inlineStr">
        <is>
          <t>ООО "Амур Золото"</t>
        </is>
      </c>
      <c r="I3148" s="1" t="inlineStr">
        <is>
          <t>2708001686</t>
        </is>
      </c>
      <c r="J3148" s="1" t="inlineStr">
        <is>
          <t>ЮГОК ПГУ 26-46</t>
        </is>
      </c>
      <c r="K3148" s="1" t="inlineStr">
        <is>
          <t>Использование (применение) средств индивидуальной защиты</t>
        </is>
      </c>
      <c r="L3148" s="1" t="inlineStr">
        <is>
          <t>14.08.2026</t>
        </is>
      </c>
      <c r="M3148" s="1" t="inlineStr">
        <is>
          <t>Успешно</t>
        </is>
      </c>
      <c r="N3148" s="1" t="inlineStr">
        <is>
          <t>21.08.2026</t>
        </is>
      </c>
      <c r="O3148" s="1" t="inlineStr"/>
      <c r="P3148" s="1" t="inlineStr"/>
      <c r="Q3148" s="1" t="inlineStr">
        <is>
          <t>Пользовательский интерфейс</t>
        </is>
      </c>
    </row>
    <row r="3149">
      <c r="B3149" s="1" t="inlineStr">
        <is>
          <t>216771127</t>
        </is>
      </c>
      <c r="C3149" s="1" t="inlineStr">
        <is>
          <t>15571832</t>
        </is>
      </c>
      <c r="D3149" t="inlineStr">
        <is>
          <t>работник 311</t>
        </is>
      </c>
      <c r="E3149" s="1" t="inlineStr">
        <is>
          <t>ОБЩЕСТВО С ОГРАНИЧЕННОЙ ОТВЕТСТВЕННОСТЬЮ "АМУР ЗОЛОТО"</t>
        </is>
      </c>
      <c r="F3149" s="1" t="inlineStr">
        <is>
          <t>2708001686</t>
        </is>
      </c>
      <c r="G3149" s="1" t="inlineStr">
        <is>
          <t>Помощник машиниста самоходной буровой установки (с исполнением обязанностей пробоотборщика)</t>
        </is>
      </c>
      <c r="H3149" s="1" t="inlineStr">
        <is>
          <t>ООО "Амур Золото"</t>
        </is>
      </c>
      <c r="I3149" s="1" t="inlineStr">
        <is>
          <t>2708001686</t>
        </is>
      </c>
      <c r="J3149" s="1" t="inlineStr">
        <is>
          <t>ЮГОК ПГУ 26-46</t>
        </is>
      </c>
      <c r="K314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149" s="1" t="inlineStr">
        <is>
          <t>14.08.2026</t>
        </is>
      </c>
      <c r="M3149" s="1" t="inlineStr">
        <is>
          <t>Успешно</t>
        </is>
      </c>
      <c r="N3149" s="1" t="inlineStr">
        <is>
          <t>21.08.2026</t>
        </is>
      </c>
      <c r="O3149" s="1" t="inlineStr"/>
      <c r="P3149" s="1" t="inlineStr"/>
      <c r="Q3149" s="1" t="inlineStr">
        <is>
          <t>Пользовательский интерфейс</t>
        </is>
      </c>
    </row>
    <row r="3150">
      <c r="B3150" s="1" t="inlineStr">
        <is>
          <t>216771128</t>
        </is>
      </c>
      <c r="C3150" s="1" t="inlineStr">
        <is>
          <t>15571832</t>
        </is>
      </c>
      <c r="D3150" t="inlineStr">
        <is>
          <t>работник 884</t>
        </is>
      </c>
      <c r="E3150" s="1" t="inlineStr">
        <is>
          <t>ОБЩЕСТВО С ОГРАНИЧЕННОЙ ОТВЕТСТВЕННОСТЬЮ "АМУР ЗОЛОТО"</t>
        </is>
      </c>
      <c r="F3150" s="1" t="inlineStr">
        <is>
          <t>2708001686</t>
        </is>
      </c>
      <c r="G3150" s="1" t="inlineStr">
        <is>
          <t>Помощник машиниста самоходной буровой установки (с исполнением обязанностей пробоотборщика)</t>
        </is>
      </c>
      <c r="H3150" s="1" t="inlineStr">
        <is>
          <t>ООО "Амур Золото"</t>
        </is>
      </c>
      <c r="I3150" s="1" t="inlineStr">
        <is>
          <t>2708001686</t>
        </is>
      </c>
      <c r="J3150" s="1" t="inlineStr">
        <is>
          <t>ЮГОК ПГУ 26-46</t>
        </is>
      </c>
      <c r="K3150" s="1" t="inlineStr">
        <is>
          <t>Оказание первой помощи пострадавшим</t>
        </is>
      </c>
      <c r="L3150" s="1" t="inlineStr">
        <is>
          <t>14.08.2026</t>
        </is>
      </c>
      <c r="M3150" s="1" t="inlineStr">
        <is>
          <t>Успешно</t>
        </is>
      </c>
      <c r="N3150" s="1" t="inlineStr">
        <is>
          <t>21.08.2026</t>
        </is>
      </c>
      <c r="O3150" s="1" t="inlineStr"/>
      <c r="P3150" s="1" t="inlineStr"/>
      <c r="Q3150" s="1" t="inlineStr">
        <is>
          <t>Пользовательский интерфейс</t>
        </is>
      </c>
    </row>
    <row r="3151">
      <c r="B3151" s="1" t="inlineStr">
        <is>
          <t>216771129</t>
        </is>
      </c>
      <c r="C3151" s="1" t="inlineStr">
        <is>
          <t>15571832</t>
        </is>
      </c>
      <c r="D3151" t="inlineStr">
        <is>
          <t>работник 884</t>
        </is>
      </c>
      <c r="E3151" s="1" t="inlineStr">
        <is>
          <t>ОБЩЕСТВО С ОГРАНИЧЕННОЙ ОТВЕТСТВЕННОСТЬЮ "АМУР ЗОЛОТО"</t>
        </is>
      </c>
      <c r="F3151" s="1" t="inlineStr">
        <is>
          <t>2708001686</t>
        </is>
      </c>
      <c r="G3151" s="1" t="inlineStr">
        <is>
          <t>Помощник машиниста самоходной буровой установки (с исполнением обязанностей пробоотборщика)</t>
        </is>
      </c>
      <c r="H3151" s="1" t="inlineStr">
        <is>
          <t>ООО "Амур Золото"</t>
        </is>
      </c>
      <c r="I3151" s="1" t="inlineStr">
        <is>
          <t>2708001686</t>
        </is>
      </c>
      <c r="J3151" s="1" t="inlineStr">
        <is>
          <t>ЮГОК ПГУ 26-46</t>
        </is>
      </c>
      <c r="K3151" s="1" t="inlineStr">
        <is>
          <t>Использование (применение) средств индивидуальной защиты</t>
        </is>
      </c>
      <c r="L3151" s="1" t="inlineStr">
        <is>
          <t>14.08.2026</t>
        </is>
      </c>
      <c r="M3151" s="1" t="inlineStr">
        <is>
          <t>Успешно</t>
        </is>
      </c>
      <c r="N3151" s="1" t="inlineStr">
        <is>
          <t>21.08.2026</t>
        </is>
      </c>
      <c r="O3151" s="1" t="inlineStr"/>
      <c r="P3151" s="1" t="inlineStr"/>
      <c r="Q3151" s="1" t="inlineStr">
        <is>
          <t>Пользовательский интерфейс</t>
        </is>
      </c>
    </row>
    <row r="3152">
      <c r="B3152" s="1" t="inlineStr">
        <is>
          <t>216771130</t>
        </is>
      </c>
      <c r="C3152" s="1" t="inlineStr">
        <is>
          <t>15571832</t>
        </is>
      </c>
      <c r="D3152" t="inlineStr">
        <is>
          <t>работник 884</t>
        </is>
      </c>
      <c r="E3152" s="1" t="inlineStr">
        <is>
          <t>ОБЩЕСТВО С ОГРАНИЧЕННОЙ ОТВЕТСТВЕННОСТЬЮ "АМУР ЗОЛОТО"</t>
        </is>
      </c>
      <c r="F3152" s="1" t="inlineStr">
        <is>
          <t>2708001686</t>
        </is>
      </c>
      <c r="G3152" s="1" t="inlineStr">
        <is>
          <t>Помощник машиниста самоходной буровой установки (с исполнением обязанностей пробоотборщика)</t>
        </is>
      </c>
      <c r="H3152" s="1" t="inlineStr">
        <is>
          <t>ООО "Амур Золото"</t>
        </is>
      </c>
      <c r="I3152" s="1" t="inlineStr">
        <is>
          <t>2708001686</t>
        </is>
      </c>
      <c r="J3152" s="1" t="inlineStr">
        <is>
          <t>ЮГОК ПГУ 26-46</t>
        </is>
      </c>
      <c r="K315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152" s="1" t="inlineStr">
        <is>
          <t>14.08.2026</t>
        </is>
      </c>
      <c r="M3152" s="1" t="inlineStr">
        <is>
          <t>Успешно</t>
        </is>
      </c>
      <c r="N3152" s="1" t="inlineStr">
        <is>
          <t>21.08.2026</t>
        </is>
      </c>
      <c r="O3152" s="1" t="inlineStr"/>
      <c r="P3152" s="1" t="inlineStr"/>
      <c r="Q3152" s="1" t="inlineStr">
        <is>
          <t>Пользовательский интерфейс</t>
        </is>
      </c>
    </row>
    <row r="3153">
      <c r="B3153" s="1" t="inlineStr">
        <is>
          <t>216771131</t>
        </is>
      </c>
      <c r="C3153" s="1" t="inlineStr">
        <is>
          <t>15571832</t>
        </is>
      </c>
      <c r="D3153" t="inlineStr">
        <is>
          <t>работник 493</t>
        </is>
      </c>
      <c r="E3153" s="1" t="inlineStr">
        <is>
          <t>ОБЩЕСТВО С ОГРАНИЧЕННОЙ ОТВЕТСТВЕННОСТЬЮ "АМУР ЗОЛОТО"</t>
        </is>
      </c>
      <c r="F3153" s="1" t="inlineStr">
        <is>
          <t>2708001686</t>
        </is>
      </c>
      <c r="G3153" s="1" t="inlineStr">
        <is>
          <t>Машинист погрузочно-доставочной машины</t>
        </is>
      </c>
      <c r="H3153" s="1" t="inlineStr">
        <is>
          <t>ООО "Амур Золото"</t>
        </is>
      </c>
      <c r="I3153" s="1" t="inlineStr">
        <is>
          <t>2708001686</t>
        </is>
      </c>
      <c r="J3153" s="1" t="inlineStr">
        <is>
          <t>ЮГОК ПГУ 26-47</t>
        </is>
      </c>
      <c r="K3153" s="1" t="inlineStr">
        <is>
          <t>Оказание первой помощи пострадавшим</t>
        </is>
      </c>
      <c r="L3153" s="1" t="inlineStr">
        <is>
          <t>15.08.2026</t>
        </is>
      </c>
      <c r="M3153" s="1" t="inlineStr">
        <is>
          <t>Успешно</t>
        </is>
      </c>
      <c r="N3153" s="1" t="inlineStr">
        <is>
          <t>21.08.2026</t>
        </is>
      </c>
      <c r="O3153" s="1" t="inlineStr"/>
      <c r="P3153" s="1" t="inlineStr"/>
      <c r="Q3153" s="1" t="inlineStr">
        <is>
          <t>Пользовательский интерфейс</t>
        </is>
      </c>
    </row>
    <row r="3154">
      <c r="B3154" s="1" t="inlineStr">
        <is>
          <t>216771132</t>
        </is>
      </c>
      <c r="C3154" s="1" t="inlineStr">
        <is>
          <t>15571832</t>
        </is>
      </c>
      <c r="D3154" t="inlineStr">
        <is>
          <t>работник 493</t>
        </is>
      </c>
      <c r="E3154" s="1" t="inlineStr">
        <is>
          <t>ОБЩЕСТВО С ОГРАНИЧЕННОЙ ОТВЕТСТВЕННОСТЬЮ "АМУР ЗОЛОТО"</t>
        </is>
      </c>
      <c r="F3154" s="1" t="inlineStr">
        <is>
          <t>2708001686</t>
        </is>
      </c>
      <c r="G3154" s="1" t="inlineStr">
        <is>
          <t>Машинист погрузочно-доставочной машины</t>
        </is>
      </c>
      <c r="H3154" s="1" t="inlineStr">
        <is>
          <t>ООО "Амур Золото"</t>
        </is>
      </c>
      <c r="I3154" s="1" t="inlineStr">
        <is>
          <t>2708001686</t>
        </is>
      </c>
      <c r="J3154" s="1" t="inlineStr">
        <is>
          <t>ЮГОК ПГУ 26-47</t>
        </is>
      </c>
      <c r="K3154" s="1" t="inlineStr">
        <is>
          <t>Использование (применение) средств индивидуальной защиты</t>
        </is>
      </c>
      <c r="L3154" s="1" t="inlineStr">
        <is>
          <t>15.08.2026</t>
        </is>
      </c>
      <c r="M3154" s="1" t="inlineStr">
        <is>
          <t>Успешно</t>
        </is>
      </c>
      <c r="N3154" s="1" t="inlineStr">
        <is>
          <t>21.08.2026</t>
        </is>
      </c>
      <c r="O3154" s="1" t="inlineStr"/>
      <c r="P3154" s="1" t="inlineStr"/>
      <c r="Q3154" s="1" t="inlineStr">
        <is>
          <t>Пользовательский интерфейс</t>
        </is>
      </c>
    </row>
    <row r="3155">
      <c r="B3155" s="1" t="inlineStr">
        <is>
          <t>216771133</t>
        </is>
      </c>
      <c r="C3155" s="1" t="inlineStr">
        <is>
          <t>15571832</t>
        </is>
      </c>
      <c r="D3155" t="inlineStr">
        <is>
          <t>работник 493</t>
        </is>
      </c>
      <c r="E3155" s="1" t="inlineStr">
        <is>
          <t>ОБЩЕСТВО С ОГРАНИЧЕННОЙ ОТВЕТСТВЕННОСТЬЮ "АМУР ЗОЛОТО"</t>
        </is>
      </c>
      <c r="F3155" s="1" t="inlineStr">
        <is>
          <t>2708001686</t>
        </is>
      </c>
      <c r="G3155" s="1" t="inlineStr">
        <is>
          <t>Машинист погрузочно-доставочной машины</t>
        </is>
      </c>
      <c r="H3155" s="1" t="inlineStr">
        <is>
          <t>ООО "Амур Золото"</t>
        </is>
      </c>
      <c r="I3155" s="1" t="inlineStr">
        <is>
          <t>2708001686</t>
        </is>
      </c>
      <c r="J3155" s="1" t="inlineStr">
        <is>
          <t>ЮГОК ПГУ 26-47</t>
        </is>
      </c>
      <c r="K315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155" s="1" t="inlineStr">
        <is>
          <t>15.08.2026</t>
        </is>
      </c>
      <c r="M3155" s="1" t="inlineStr">
        <is>
          <t>Успешно</t>
        </is>
      </c>
      <c r="N3155" s="1" t="inlineStr">
        <is>
          <t>21.08.2026</t>
        </is>
      </c>
      <c r="O3155" s="1" t="inlineStr"/>
      <c r="P3155" s="1" t="inlineStr"/>
      <c r="Q3155" s="1" t="inlineStr">
        <is>
          <t>Пользовательский интерфейс</t>
        </is>
      </c>
    </row>
    <row r="3156">
      <c r="B3156" s="1" t="inlineStr">
        <is>
          <t>216771134</t>
        </is>
      </c>
      <c r="C3156" s="1" t="inlineStr">
        <is>
          <t>15571832</t>
        </is>
      </c>
      <c r="D3156" t="inlineStr">
        <is>
          <t>работник 885</t>
        </is>
      </c>
      <c r="E3156" s="1" t="inlineStr">
        <is>
          <t>ОБЩЕСТВО С ОГРАНИЧЕННОЙ ОТВЕТСТВЕННОСТЬЮ "АМУР ЗОЛОТО"</t>
        </is>
      </c>
      <c r="F3156" s="1" t="inlineStr">
        <is>
          <t>2708001686</t>
        </is>
      </c>
      <c r="G3156" s="1" t="inlineStr">
        <is>
          <t>Машинист погрузочно-доставочной машины</t>
        </is>
      </c>
      <c r="H3156" s="1" t="inlineStr">
        <is>
          <t>ООО "Амур Золото"</t>
        </is>
      </c>
      <c r="I3156" s="1" t="inlineStr">
        <is>
          <t>2708001686</t>
        </is>
      </c>
      <c r="J3156" s="1" t="inlineStr">
        <is>
          <t>ЮГОК ПГУ 26-47</t>
        </is>
      </c>
      <c r="K3156" s="1" t="inlineStr">
        <is>
          <t>Оказание первой помощи пострадавшим</t>
        </is>
      </c>
      <c r="L3156" s="1" t="inlineStr">
        <is>
          <t>15.08.2026</t>
        </is>
      </c>
      <c r="M3156" s="1" t="inlineStr">
        <is>
          <t>Успешно</t>
        </is>
      </c>
      <c r="N3156" s="1" t="inlineStr">
        <is>
          <t>21.08.2026</t>
        </is>
      </c>
      <c r="O3156" s="1" t="inlineStr"/>
      <c r="P3156" s="1" t="inlineStr"/>
      <c r="Q3156" s="1" t="inlineStr">
        <is>
          <t>Пользовательский интерфейс</t>
        </is>
      </c>
    </row>
    <row r="3157">
      <c r="B3157" s="1" t="inlineStr">
        <is>
          <t>216771135</t>
        </is>
      </c>
      <c r="C3157" s="1" t="inlineStr">
        <is>
          <t>15571832</t>
        </is>
      </c>
      <c r="D3157" t="inlineStr">
        <is>
          <t>работник 885</t>
        </is>
      </c>
      <c r="E3157" s="1" t="inlineStr">
        <is>
          <t>ОБЩЕСТВО С ОГРАНИЧЕННОЙ ОТВЕТСТВЕННОСТЬЮ "АМУР ЗОЛОТО"</t>
        </is>
      </c>
      <c r="F3157" s="1" t="inlineStr">
        <is>
          <t>2708001686</t>
        </is>
      </c>
      <c r="G3157" s="1" t="inlineStr">
        <is>
          <t>Машинист погрузочно-доставочной машины</t>
        </is>
      </c>
      <c r="H3157" s="1" t="inlineStr">
        <is>
          <t>ООО "Амур Золото"</t>
        </is>
      </c>
      <c r="I3157" s="1" t="inlineStr">
        <is>
          <t>2708001686</t>
        </is>
      </c>
      <c r="J3157" s="1" t="inlineStr">
        <is>
          <t>ЮГОК ПГУ 26-47</t>
        </is>
      </c>
      <c r="K3157" s="1" t="inlineStr">
        <is>
          <t>Использование (применение) средств индивидуальной защиты</t>
        </is>
      </c>
      <c r="L3157" s="1" t="inlineStr">
        <is>
          <t>15.08.2026</t>
        </is>
      </c>
      <c r="M3157" s="1" t="inlineStr">
        <is>
          <t>Успешно</t>
        </is>
      </c>
      <c r="N3157" s="1" t="inlineStr">
        <is>
          <t>21.08.2026</t>
        </is>
      </c>
      <c r="O3157" s="1" t="inlineStr"/>
      <c r="P3157" s="1" t="inlineStr"/>
      <c r="Q3157" s="1" t="inlineStr">
        <is>
          <t>Пользовательский интерфейс</t>
        </is>
      </c>
    </row>
    <row r="3158">
      <c r="B3158" s="1" t="inlineStr">
        <is>
          <t>216771136</t>
        </is>
      </c>
      <c r="C3158" s="1" t="inlineStr">
        <is>
          <t>15571832</t>
        </is>
      </c>
      <c r="D3158" t="inlineStr">
        <is>
          <t>работник 885</t>
        </is>
      </c>
      <c r="E3158" s="1" t="inlineStr">
        <is>
          <t>ОБЩЕСТВО С ОГРАНИЧЕННОЙ ОТВЕТСТВЕННОСТЬЮ "АМУР ЗОЛОТО"</t>
        </is>
      </c>
      <c r="F3158" s="1" t="inlineStr">
        <is>
          <t>2708001686</t>
        </is>
      </c>
      <c r="G3158" s="1" t="inlineStr">
        <is>
          <t>Машинист погрузочно-доставочной машины</t>
        </is>
      </c>
      <c r="H3158" s="1" t="inlineStr">
        <is>
          <t>ООО "Амур Золото"</t>
        </is>
      </c>
      <c r="I3158" s="1" t="inlineStr">
        <is>
          <t>2708001686</t>
        </is>
      </c>
      <c r="J3158" s="1" t="inlineStr">
        <is>
          <t>ЮГОК ПГУ 26-47</t>
        </is>
      </c>
      <c r="K315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158" s="1" t="inlineStr">
        <is>
          <t>15.08.2026</t>
        </is>
      </c>
      <c r="M3158" s="1" t="inlineStr">
        <is>
          <t>Успешно</t>
        </is>
      </c>
      <c r="N3158" s="1" t="inlineStr">
        <is>
          <t>21.08.2026</t>
        </is>
      </c>
      <c r="O3158" s="1" t="inlineStr"/>
      <c r="P3158" s="1" t="inlineStr"/>
      <c r="Q3158" s="1" t="inlineStr">
        <is>
          <t>Пользовательский интерфейс</t>
        </is>
      </c>
    </row>
    <row r="3159">
      <c r="B3159" s="1" t="inlineStr">
        <is>
          <t>216771137</t>
        </is>
      </c>
      <c r="C3159" s="1" t="inlineStr">
        <is>
          <t>15571832</t>
        </is>
      </c>
      <c r="D3159" t="inlineStr">
        <is>
          <t>работник 486</t>
        </is>
      </c>
      <c r="E3159" s="1" t="inlineStr">
        <is>
          <t>ОБЩЕСТВО С ОГРАНИЧЕННОЙ ОТВЕТСТВЕННОСТЬЮ "АМУР ЗОЛОТО"</t>
        </is>
      </c>
      <c r="F3159" s="1" t="inlineStr">
        <is>
          <t>2708001686</t>
        </is>
      </c>
      <c r="G3159" s="1" t="inlineStr">
        <is>
          <t>Машинист погрузочно-доставочной машины</t>
        </is>
      </c>
      <c r="H3159" s="1" t="inlineStr">
        <is>
          <t>ООО "Амур Золото"</t>
        </is>
      </c>
      <c r="I3159" s="1" t="inlineStr">
        <is>
          <t>2708001686</t>
        </is>
      </c>
      <c r="J3159" s="1" t="inlineStr">
        <is>
          <t>ЮГОК ПГУ 26-47</t>
        </is>
      </c>
      <c r="K3159" s="1" t="inlineStr">
        <is>
          <t>Оказание первой помощи пострадавшим</t>
        </is>
      </c>
      <c r="L3159" s="1" t="inlineStr">
        <is>
          <t>15.08.2026</t>
        </is>
      </c>
      <c r="M3159" s="1" t="inlineStr">
        <is>
          <t>Успешно</t>
        </is>
      </c>
      <c r="N3159" s="1" t="inlineStr">
        <is>
          <t>21.08.2026</t>
        </is>
      </c>
      <c r="O3159" s="1" t="inlineStr"/>
      <c r="P3159" s="1" t="inlineStr"/>
      <c r="Q3159" s="1" t="inlineStr">
        <is>
          <t>Пользовательский интерфейс</t>
        </is>
      </c>
    </row>
    <row r="3160">
      <c r="B3160" s="1" t="inlineStr">
        <is>
          <t>216771138</t>
        </is>
      </c>
      <c r="C3160" s="1" t="inlineStr">
        <is>
          <t>15571832</t>
        </is>
      </c>
      <c r="D3160" t="inlineStr">
        <is>
          <t>работник 486</t>
        </is>
      </c>
      <c r="E3160" s="1" t="inlineStr">
        <is>
          <t>ОБЩЕСТВО С ОГРАНИЧЕННОЙ ОТВЕТСТВЕННОСТЬЮ "АМУР ЗОЛОТО"</t>
        </is>
      </c>
      <c r="F3160" s="1" t="inlineStr">
        <is>
          <t>2708001686</t>
        </is>
      </c>
      <c r="G3160" s="1" t="inlineStr">
        <is>
          <t>Машинист погрузочно-доставочной машины</t>
        </is>
      </c>
      <c r="H3160" s="1" t="inlineStr">
        <is>
          <t>ООО "Амур Золото"</t>
        </is>
      </c>
      <c r="I3160" s="1" t="inlineStr">
        <is>
          <t>2708001686</t>
        </is>
      </c>
      <c r="J3160" s="1" t="inlineStr">
        <is>
          <t>ЮГОК ПГУ 26-47</t>
        </is>
      </c>
      <c r="K3160" s="1" t="inlineStr">
        <is>
          <t>Использование (применение) средств индивидуальной защиты</t>
        </is>
      </c>
      <c r="L3160" s="1" t="inlineStr">
        <is>
          <t>15.08.2026</t>
        </is>
      </c>
      <c r="M3160" s="1" t="inlineStr">
        <is>
          <t>Успешно</t>
        </is>
      </c>
      <c r="N3160" s="1" t="inlineStr">
        <is>
          <t>21.08.2026</t>
        </is>
      </c>
      <c r="O3160" s="1" t="inlineStr"/>
      <c r="P3160" s="1" t="inlineStr"/>
      <c r="Q3160" s="1" t="inlineStr">
        <is>
          <t>Пользовательский интерфейс</t>
        </is>
      </c>
    </row>
    <row r="3161">
      <c r="B3161" s="1" t="inlineStr">
        <is>
          <t>216771139</t>
        </is>
      </c>
      <c r="C3161" s="1" t="inlineStr">
        <is>
          <t>15571832</t>
        </is>
      </c>
      <c r="D3161" t="inlineStr">
        <is>
          <t>работник 486</t>
        </is>
      </c>
      <c r="E3161" s="1" t="inlineStr">
        <is>
          <t>ОБЩЕСТВО С ОГРАНИЧЕННОЙ ОТВЕТСТВЕННОСТЬЮ "АМУР ЗОЛОТО"</t>
        </is>
      </c>
      <c r="F3161" s="1" t="inlineStr">
        <is>
          <t>2708001686</t>
        </is>
      </c>
      <c r="G3161" s="1" t="inlineStr">
        <is>
          <t>Машинист погрузочно-доставочной машины</t>
        </is>
      </c>
      <c r="H3161" s="1" t="inlineStr">
        <is>
          <t>ООО "Амур Золото"</t>
        </is>
      </c>
      <c r="I3161" s="1" t="inlineStr">
        <is>
          <t>2708001686</t>
        </is>
      </c>
      <c r="J3161" s="1" t="inlineStr">
        <is>
          <t>ЮГОК ПГУ 26-47</t>
        </is>
      </c>
      <c r="K316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161" s="1" t="inlineStr">
        <is>
          <t>15.08.2026</t>
        </is>
      </c>
      <c r="M3161" s="1" t="inlineStr">
        <is>
          <t>Успешно</t>
        </is>
      </c>
      <c r="N3161" s="1" t="inlineStr">
        <is>
          <t>21.08.2026</t>
        </is>
      </c>
      <c r="O3161" s="1" t="inlineStr"/>
      <c r="P3161" s="1" t="inlineStr"/>
      <c r="Q3161" s="1" t="inlineStr">
        <is>
          <t>Пользовательский интерфейс</t>
        </is>
      </c>
    </row>
    <row r="3162">
      <c r="B3162" s="1" t="inlineStr">
        <is>
          <t>216771140</t>
        </is>
      </c>
      <c r="C3162" s="1" t="inlineStr">
        <is>
          <t>15571832</t>
        </is>
      </c>
      <c r="D3162" t="inlineStr">
        <is>
          <t>работник 546</t>
        </is>
      </c>
      <c r="E3162" s="1" t="inlineStr">
        <is>
          <t>ОБЩЕСТВО С ОГРАНИЧЕННОЙ ОТВЕТСТВЕННОСТЬЮ "АМУР ЗОЛОТО"</t>
        </is>
      </c>
      <c r="F3162" s="1" t="inlineStr">
        <is>
          <t>2708001686</t>
        </is>
      </c>
      <c r="G3162" s="1" t="inlineStr">
        <is>
          <t>Машинист погрузочно-доставочной машины</t>
        </is>
      </c>
      <c r="H3162" s="1" t="inlineStr">
        <is>
          <t>ООО "Амур Золото"</t>
        </is>
      </c>
      <c r="I3162" s="1" t="inlineStr">
        <is>
          <t>2708001686</t>
        </is>
      </c>
      <c r="J3162" s="1" t="inlineStr">
        <is>
          <t>ЮГОК ПГУ 26-47</t>
        </is>
      </c>
      <c r="K3162" s="1" t="inlineStr">
        <is>
          <t>Оказание первой помощи пострадавшим</t>
        </is>
      </c>
      <c r="L3162" s="1" t="inlineStr">
        <is>
          <t>15.08.2026</t>
        </is>
      </c>
      <c r="M3162" s="1" t="inlineStr">
        <is>
          <t>Успешно</t>
        </is>
      </c>
      <c r="N3162" s="1" t="inlineStr">
        <is>
          <t>21.08.2026</t>
        </is>
      </c>
      <c r="O3162" s="1" t="inlineStr"/>
      <c r="P3162" s="1" t="inlineStr"/>
      <c r="Q3162" s="1" t="inlineStr">
        <is>
          <t>Пользовательский интерфейс</t>
        </is>
      </c>
    </row>
    <row r="3163">
      <c r="B3163" s="1" t="inlineStr">
        <is>
          <t>216771141</t>
        </is>
      </c>
      <c r="C3163" s="1" t="inlineStr">
        <is>
          <t>15571832</t>
        </is>
      </c>
      <c r="D3163" t="inlineStr">
        <is>
          <t>работник 546</t>
        </is>
      </c>
      <c r="E3163" s="1" t="inlineStr">
        <is>
          <t>ОБЩЕСТВО С ОГРАНИЧЕННОЙ ОТВЕТСТВЕННОСТЬЮ "АМУР ЗОЛОТО"</t>
        </is>
      </c>
      <c r="F3163" s="1" t="inlineStr">
        <is>
          <t>2708001686</t>
        </is>
      </c>
      <c r="G3163" s="1" t="inlineStr">
        <is>
          <t>Машинист погрузочно-доставочной машины</t>
        </is>
      </c>
      <c r="H3163" s="1" t="inlineStr">
        <is>
          <t>ООО "Амур Золото"</t>
        </is>
      </c>
      <c r="I3163" s="1" t="inlineStr">
        <is>
          <t>2708001686</t>
        </is>
      </c>
      <c r="J3163" s="1" t="inlineStr">
        <is>
          <t>ЮГОК ПГУ 26-47</t>
        </is>
      </c>
      <c r="K3163" s="1" t="inlineStr">
        <is>
          <t>Использование (применение) средств индивидуальной защиты</t>
        </is>
      </c>
      <c r="L3163" s="1" t="inlineStr">
        <is>
          <t>15.08.2026</t>
        </is>
      </c>
      <c r="M3163" s="1" t="inlineStr">
        <is>
          <t>Успешно</t>
        </is>
      </c>
      <c r="N3163" s="1" t="inlineStr">
        <is>
          <t>21.08.2026</t>
        </is>
      </c>
      <c r="O3163" s="1" t="inlineStr"/>
      <c r="P3163" s="1" t="inlineStr"/>
      <c r="Q3163" s="1" t="inlineStr">
        <is>
          <t>Пользовательский интерфейс</t>
        </is>
      </c>
    </row>
    <row r="3164">
      <c r="B3164" s="1" t="inlineStr">
        <is>
          <t>216771142</t>
        </is>
      </c>
      <c r="C3164" s="1" t="inlineStr">
        <is>
          <t>15571832</t>
        </is>
      </c>
      <c r="D3164" t="inlineStr">
        <is>
          <t>работник 546</t>
        </is>
      </c>
      <c r="E3164" s="1" t="inlineStr">
        <is>
          <t>ОБЩЕСТВО С ОГРАНИЧЕННОЙ ОТВЕТСТВЕННОСТЬЮ "АМУР ЗОЛОТО"</t>
        </is>
      </c>
      <c r="F3164" s="1" t="inlineStr">
        <is>
          <t>2708001686</t>
        </is>
      </c>
      <c r="G3164" s="1" t="inlineStr">
        <is>
          <t>Машинист погрузочно-доставочной машины</t>
        </is>
      </c>
      <c r="H3164" s="1" t="inlineStr">
        <is>
          <t>ООО "Амур Золото"</t>
        </is>
      </c>
      <c r="I3164" s="1" t="inlineStr">
        <is>
          <t>2708001686</t>
        </is>
      </c>
      <c r="J3164" s="1" t="inlineStr">
        <is>
          <t>ЮГОК ПГУ 26-47</t>
        </is>
      </c>
      <c r="K316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164" s="1" t="inlineStr">
        <is>
          <t>15.08.2026</t>
        </is>
      </c>
      <c r="M3164" s="1" t="inlineStr">
        <is>
          <t>Успешно</t>
        </is>
      </c>
      <c r="N3164" s="1" t="inlineStr">
        <is>
          <t>21.08.2026</t>
        </is>
      </c>
      <c r="O3164" s="1" t="inlineStr"/>
      <c r="P3164" s="1" t="inlineStr"/>
      <c r="Q3164" s="1" t="inlineStr">
        <is>
          <t>Пользовательский интерфейс</t>
        </is>
      </c>
    </row>
    <row r="3165">
      <c r="B3165" s="1" t="inlineStr">
        <is>
          <t>216771143</t>
        </is>
      </c>
      <c r="C3165" s="1" t="inlineStr">
        <is>
          <t>15571832</t>
        </is>
      </c>
      <c r="D3165" t="inlineStr">
        <is>
          <t>работник 149</t>
        </is>
      </c>
      <c r="E3165" s="1" t="inlineStr">
        <is>
          <t>ОБЩЕСТВО С ОГРАНИЧЕННОЙ ОТВЕТСТВЕННОСТЬЮ "АМУР ЗОЛОТО"</t>
        </is>
      </c>
      <c r="F3165" s="1" t="inlineStr">
        <is>
          <t>2708001686</t>
        </is>
      </c>
      <c r="G3165" s="1" t="inlineStr">
        <is>
          <t>Машинист погрузочно-доставочной машины</t>
        </is>
      </c>
      <c r="H3165" s="1" t="inlineStr">
        <is>
          <t>ООО "Амур Золото"</t>
        </is>
      </c>
      <c r="I3165" s="1" t="inlineStr">
        <is>
          <t>2708001686</t>
        </is>
      </c>
      <c r="J3165" s="1" t="inlineStr">
        <is>
          <t>ЮГОК ПГУ 26-47</t>
        </is>
      </c>
      <c r="K3165" s="1" t="inlineStr">
        <is>
          <t>Оказание первой помощи пострадавшим</t>
        </is>
      </c>
      <c r="L3165" s="1" t="inlineStr">
        <is>
          <t>15.08.2026</t>
        </is>
      </c>
      <c r="M3165" s="1" t="inlineStr">
        <is>
          <t>Успешно</t>
        </is>
      </c>
      <c r="N3165" s="1" t="inlineStr">
        <is>
          <t>21.08.2026</t>
        </is>
      </c>
      <c r="O3165" s="1" t="inlineStr"/>
      <c r="P3165" s="1" t="inlineStr"/>
      <c r="Q3165" s="1" t="inlineStr">
        <is>
          <t>Пользовательский интерфейс</t>
        </is>
      </c>
    </row>
    <row r="3166">
      <c r="B3166" s="1" t="inlineStr">
        <is>
          <t>216771144</t>
        </is>
      </c>
      <c r="C3166" s="1" t="inlineStr">
        <is>
          <t>15571832</t>
        </is>
      </c>
      <c r="D3166" t="inlineStr">
        <is>
          <t>работник 149</t>
        </is>
      </c>
      <c r="E3166" s="1" t="inlineStr">
        <is>
          <t>ОБЩЕСТВО С ОГРАНИЧЕННОЙ ОТВЕТСТВЕННОСТЬЮ "АМУР ЗОЛОТО"</t>
        </is>
      </c>
      <c r="F3166" s="1" t="inlineStr">
        <is>
          <t>2708001686</t>
        </is>
      </c>
      <c r="G3166" s="1" t="inlineStr">
        <is>
          <t>Машинист погрузочно-доставочной машины</t>
        </is>
      </c>
      <c r="H3166" s="1" t="inlineStr">
        <is>
          <t>ООО "Амур Золото"</t>
        </is>
      </c>
      <c r="I3166" s="1" t="inlineStr">
        <is>
          <t>2708001686</t>
        </is>
      </c>
      <c r="J3166" s="1" t="inlineStr">
        <is>
          <t>ЮГОК ПГУ 26-47</t>
        </is>
      </c>
      <c r="K3166" s="1" t="inlineStr">
        <is>
          <t>Использование (применение) средств индивидуальной защиты</t>
        </is>
      </c>
      <c r="L3166" s="1" t="inlineStr">
        <is>
          <t>15.08.2026</t>
        </is>
      </c>
      <c r="M3166" s="1" t="inlineStr">
        <is>
          <t>Успешно</t>
        </is>
      </c>
      <c r="N3166" s="1" t="inlineStr">
        <is>
          <t>21.08.2026</t>
        </is>
      </c>
      <c r="O3166" s="1" t="inlineStr"/>
      <c r="P3166" s="1" t="inlineStr"/>
      <c r="Q3166" s="1" t="inlineStr">
        <is>
          <t>Пользовательский интерфейс</t>
        </is>
      </c>
    </row>
    <row r="3167">
      <c r="B3167" s="1" t="inlineStr">
        <is>
          <t>216771145</t>
        </is>
      </c>
      <c r="C3167" s="1" t="inlineStr">
        <is>
          <t>15571832</t>
        </is>
      </c>
      <c r="D3167" t="inlineStr">
        <is>
          <t>работник 149</t>
        </is>
      </c>
      <c r="E3167" s="1" t="inlineStr">
        <is>
          <t>ОБЩЕСТВО С ОГРАНИЧЕННОЙ ОТВЕТСТВЕННОСТЬЮ "АМУР ЗОЛОТО"</t>
        </is>
      </c>
      <c r="F3167" s="1" t="inlineStr">
        <is>
          <t>2708001686</t>
        </is>
      </c>
      <c r="G3167" s="1" t="inlineStr">
        <is>
          <t>Машинист погрузочно-доставочной машины</t>
        </is>
      </c>
      <c r="H3167" s="1" t="inlineStr">
        <is>
          <t>ООО "Амур Золото"</t>
        </is>
      </c>
      <c r="I3167" s="1" t="inlineStr">
        <is>
          <t>2708001686</t>
        </is>
      </c>
      <c r="J3167" s="1" t="inlineStr">
        <is>
          <t>ЮГОК ПГУ 26-47</t>
        </is>
      </c>
      <c r="K316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167" s="1" t="inlineStr">
        <is>
          <t>15.08.2026</t>
        </is>
      </c>
      <c r="M3167" s="1" t="inlineStr">
        <is>
          <t>Успешно</t>
        </is>
      </c>
      <c r="N3167" s="1" t="inlineStr">
        <is>
          <t>21.08.2026</t>
        </is>
      </c>
      <c r="O3167" s="1" t="inlineStr"/>
      <c r="P3167" s="1" t="inlineStr"/>
      <c r="Q3167" s="1" t="inlineStr">
        <is>
          <t>Пользовательский интерфейс</t>
        </is>
      </c>
    </row>
    <row r="3168">
      <c r="B3168" s="1" t="inlineStr">
        <is>
          <t>216771146</t>
        </is>
      </c>
      <c r="C3168" s="1" t="inlineStr">
        <is>
          <t>15571832</t>
        </is>
      </c>
      <c r="D3168" t="inlineStr">
        <is>
          <t>работник 886</t>
        </is>
      </c>
      <c r="E3168" s="1" t="inlineStr">
        <is>
          <t>ОБЩЕСТВО С ОГРАНИЧЕННОЙ ОТВЕТСТВЕННОСТЬЮ "АМУР ЗОЛОТО"</t>
        </is>
      </c>
      <c r="F3168" s="1" t="inlineStr">
        <is>
          <t>2708001686</t>
        </is>
      </c>
      <c r="G3168" s="1" t="inlineStr">
        <is>
          <t>Машинист погрузочно-доставочной машины</t>
        </is>
      </c>
      <c r="H3168" s="1" t="inlineStr">
        <is>
          <t>ООО "Амур Золото"</t>
        </is>
      </c>
      <c r="I3168" s="1" t="inlineStr">
        <is>
          <t>2708001686</t>
        </is>
      </c>
      <c r="J3168" s="1" t="inlineStr">
        <is>
          <t>ЮГОК ПГУ 26-47</t>
        </is>
      </c>
      <c r="K3168" s="1" t="inlineStr">
        <is>
          <t>Оказание первой помощи пострадавшим</t>
        </is>
      </c>
      <c r="L3168" s="1" t="inlineStr">
        <is>
          <t>15.08.2026</t>
        </is>
      </c>
      <c r="M3168" s="1" t="inlineStr">
        <is>
          <t>Успешно</t>
        </is>
      </c>
      <c r="N3168" s="1" t="inlineStr">
        <is>
          <t>21.08.2026</t>
        </is>
      </c>
      <c r="O3168" s="1" t="inlineStr"/>
      <c r="P3168" s="1" t="inlineStr"/>
      <c r="Q3168" s="1" t="inlineStr">
        <is>
          <t>Пользовательский интерфейс</t>
        </is>
      </c>
    </row>
    <row r="3169">
      <c r="B3169" s="1" t="inlineStr">
        <is>
          <t>216771147</t>
        </is>
      </c>
      <c r="C3169" s="1" t="inlineStr">
        <is>
          <t>15571832</t>
        </is>
      </c>
      <c r="D3169" t="inlineStr">
        <is>
          <t>работник 886</t>
        </is>
      </c>
      <c r="E3169" s="1" t="inlineStr">
        <is>
          <t>ОБЩЕСТВО С ОГРАНИЧЕННОЙ ОТВЕТСТВЕННОСТЬЮ "АМУР ЗОЛОТО"</t>
        </is>
      </c>
      <c r="F3169" s="1" t="inlineStr">
        <is>
          <t>2708001686</t>
        </is>
      </c>
      <c r="G3169" s="1" t="inlineStr">
        <is>
          <t>Машинист погрузочно-доставочной машины</t>
        </is>
      </c>
      <c r="H3169" s="1" t="inlineStr">
        <is>
          <t>ООО "Амур Золото"</t>
        </is>
      </c>
      <c r="I3169" s="1" t="inlineStr">
        <is>
          <t>2708001686</t>
        </is>
      </c>
      <c r="J3169" s="1" t="inlineStr">
        <is>
          <t>ЮГОК ПГУ 26-47</t>
        </is>
      </c>
      <c r="K3169" s="1" t="inlineStr">
        <is>
          <t>Использование (применение) средств индивидуальной защиты</t>
        </is>
      </c>
      <c r="L3169" s="1" t="inlineStr">
        <is>
          <t>15.08.2026</t>
        </is>
      </c>
      <c r="M3169" s="1" t="inlineStr">
        <is>
          <t>Успешно</t>
        </is>
      </c>
      <c r="N3169" s="1" t="inlineStr">
        <is>
          <t>21.08.2026</t>
        </is>
      </c>
      <c r="O3169" s="1" t="inlineStr"/>
      <c r="P3169" s="1" t="inlineStr"/>
      <c r="Q3169" s="1" t="inlineStr">
        <is>
          <t>Пользовательский интерфейс</t>
        </is>
      </c>
    </row>
    <row r="3170">
      <c r="B3170" s="1" t="inlineStr">
        <is>
          <t>216771148</t>
        </is>
      </c>
      <c r="C3170" s="1" t="inlineStr">
        <is>
          <t>15571832</t>
        </is>
      </c>
      <c r="D3170" t="inlineStr">
        <is>
          <t>работник 886</t>
        </is>
      </c>
      <c r="E3170" s="1" t="inlineStr">
        <is>
          <t>ОБЩЕСТВО С ОГРАНИЧЕННОЙ ОТВЕТСТВЕННОСТЬЮ "АМУР ЗОЛОТО"</t>
        </is>
      </c>
      <c r="F3170" s="1" t="inlineStr">
        <is>
          <t>2708001686</t>
        </is>
      </c>
      <c r="G3170" s="1" t="inlineStr">
        <is>
          <t>Машинист погрузочно-доставочной машины</t>
        </is>
      </c>
      <c r="H3170" s="1" t="inlineStr">
        <is>
          <t>ООО "Амур Золото"</t>
        </is>
      </c>
      <c r="I3170" s="1" t="inlineStr">
        <is>
          <t>2708001686</t>
        </is>
      </c>
      <c r="J3170" s="1" t="inlineStr">
        <is>
          <t>ЮГОК ПГУ 26-47</t>
        </is>
      </c>
      <c r="K317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170" s="1" t="inlineStr">
        <is>
          <t>15.08.2026</t>
        </is>
      </c>
      <c r="M3170" s="1" t="inlineStr">
        <is>
          <t>Успешно</t>
        </is>
      </c>
      <c r="N3170" s="1" t="inlineStr">
        <is>
          <t>21.08.2026</t>
        </is>
      </c>
      <c r="O3170" s="1" t="inlineStr"/>
      <c r="P3170" s="1" t="inlineStr"/>
      <c r="Q3170" s="1" t="inlineStr">
        <is>
          <t>Пользовательский интерфейс</t>
        </is>
      </c>
    </row>
    <row r="3171">
      <c r="B3171" s="1" t="inlineStr">
        <is>
          <t>216771149</t>
        </is>
      </c>
      <c r="C3171" s="1" t="inlineStr">
        <is>
          <t>15571832</t>
        </is>
      </c>
      <c r="D3171" t="inlineStr">
        <is>
          <t>работник 651</t>
        </is>
      </c>
      <c r="E3171" s="1" t="inlineStr">
        <is>
          <t>ОБЩЕСТВО С ОГРАНИЧЕННОЙ ОТВЕТСТВЕННОСТЬЮ "АМУР ЗОЛОТО"</t>
        </is>
      </c>
      <c r="F3171" s="1" t="inlineStr">
        <is>
          <t>2708001686</t>
        </is>
      </c>
      <c r="G3171" s="1" t="inlineStr">
        <is>
          <t>Машинист погрузочно-доставочной машины</t>
        </is>
      </c>
      <c r="H3171" s="1" t="inlineStr">
        <is>
          <t>ООО "Амур Золото"</t>
        </is>
      </c>
      <c r="I3171" s="1" t="inlineStr">
        <is>
          <t>2708001686</t>
        </is>
      </c>
      <c r="J3171" s="1" t="inlineStr">
        <is>
          <t>ЮГОК ПГУ 26-47</t>
        </is>
      </c>
      <c r="K3171" s="1" t="inlineStr">
        <is>
          <t>Оказание первой помощи пострадавшим</t>
        </is>
      </c>
      <c r="L3171" s="1" t="inlineStr">
        <is>
          <t>15.08.2026</t>
        </is>
      </c>
      <c r="M3171" s="1" t="inlineStr">
        <is>
          <t>Успешно</t>
        </is>
      </c>
      <c r="N3171" s="1" t="inlineStr">
        <is>
          <t>21.08.2026</t>
        </is>
      </c>
      <c r="O3171" s="1" t="inlineStr"/>
      <c r="P3171" s="1" t="inlineStr"/>
      <c r="Q3171" s="1" t="inlineStr">
        <is>
          <t>Пользовательский интерфейс</t>
        </is>
      </c>
    </row>
    <row r="3172">
      <c r="B3172" s="1" t="inlineStr">
        <is>
          <t>216771150</t>
        </is>
      </c>
      <c r="C3172" s="1" t="inlineStr">
        <is>
          <t>15571832</t>
        </is>
      </c>
      <c r="D3172" t="inlineStr">
        <is>
          <t>работник 651</t>
        </is>
      </c>
      <c r="E3172" s="1" t="inlineStr">
        <is>
          <t>ОБЩЕСТВО С ОГРАНИЧЕННОЙ ОТВЕТСТВЕННОСТЬЮ "АМУР ЗОЛОТО"</t>
        </is>
      </c>
      <c r="F3172" s="1" t="inlineStr">
        <is>
          <t>2708001686</t>
        </is>
      </c>
      <c r="G3172" s="1" t="inlineStr">
        <is>
          <t>Машинист погрузочно-доставочной машины</t>
        </is>
      </c>
      <c r="H3172" s="1" t="inlineStr">
        <is>
          <t>ООО "Амур Золото"</t>
        </is>
      </c>
      <c r="I3172" s="1" t="inlineStr">
        <is>
          <t>2708001686</t>
        </is>
      </c>
      <c r="J3172" s="1" t="inlineStr">
        <is>
          <t>ЮГОК ПГУ 26-47</t>
        </is>
      </c>
      <c r="K3172" s="1" t="inlineStr">
        <is>
          <t>Использование (применение) средств индивидуальной защиты</t>
        </is>
      </c>
      <c r="L3172" s="1" t="inlineStr">
        <is>
          <t>15.08.2026</t>
        </is>
      </c>
      <c r="M3172" s="1" t="inlineStr">
        <is>
          <t>Успешно</t>
        </is>
      </c>
      <c r="N3172" s="1" t="inlineStr">
        <is>
          <t>21.08.2026</t>
        </is>
      </c>
      <c r="O3172" s="1" t="inlineStr"/>
      <c r="P3172" s="1" t="inlineStr"/>
      <c r="Q3172" s="1" t="inlineStr">
        <is>
          <t>Пользовательский интерфейс</t>
        </is>
      </c>
    </row>
    <row r="3173">
      <c r="B3173" s="1" t="inlineStr">
        <is>
          <t>216771151</t>
        </is>
      </c>
      <c r="C3173" s="1" t="inlineStr">
        <is>
          <t>15571832</t>
        </is>
      </c>
      <c r="D3173" t="inlineStr">
        <is>
          <t>работник 651</t>
        </is>
      </c>
      <c r="E3173" s="1" t="inlineStr">
        <is>
          <t>ОБЩЕСТВО С ОГРАНИЧЕННОЙ ОТВЕТСТВЕННОСТЬЮ "АМУР ЗОЛОТО"</t>
        </is>
      </c>
      <c r="F3173" s="1" t="inlineStr">
        <is>
          <t>2708001686</t>
        </is>
      </c>
      <c r="G3173" s="1" t="inlineStr">
        <is>
          <t>Машинист погрузочно-доставочной машины</t>
        </is>
      </c>
      <c r="H3173" s="1" t="inlineStr">
        <is>
          <t>ООО "Амур Золото"</t>
        </is>
      </c>
      <c r="I3173" s="1" t="inlineStr">
        <is>
          <t>2708001686</t>
        </is>
      </c>
      <c r="J3173" s="1" t="inlineStr">
        <is>
          <t>ЮГОК ПГУ 26-47</t>
        </is>
      </c>
      <c r="K317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173" s="1" t="inlineStr">
        <is>
          <t>15.08.2026</t>
        </is>
      </c>
      <c r="M3173" s="1" t="inlineStr">
        <is>
          <t>Успешно</t>
        </is>
      </c>
      <c r="N3173" s="1" t="inlineStr">
        <is>
          <t>21.08.2026</t>
        </is>
      </c>
      <c r="O3173" s="1" t="inlineStr"/>
      <c r="P3173" s="1" t="inlineStr"/>
      <c r="Q3173" s="1" t="inlineStr">
        <is>
          <t>Пользовательский интерфейс</t>
        </is>
      </c>
    </row>
    <row r="3174">
      <c r="B3174" s="1" t="inlineStr">
        <is>
          <t>216771152</t>
        </is>
      </c>
      <c r="C3174" s="1" t="inlineStr">
        <is>
          <t>15571832</t>
        </is>
      </c>
      <c r="D3174" t="inlineStr">
        <is>
          <t>работник 887</t>
        </is>
      </c>
      <c r="E3174" s="1" t="inlineStr">
        <is>
          <t>ОБЩЕСТВО С ОГРАНИЧЕННОЙ ОТВЕТСТВЕННОСТЬЮ "АМУР ЗОЛОТО"</t>
        </is>
      </c>
      <c r="F3174" s="1" t="inlineStr">
        <is>
          <t>2708001686</t>
        </is>
      </c>
      <c r="G3174" s="1" t="inlineStr">
        <is>
          <t>Машинист погрузочно-доставочной машины</t>
        </is>
      </c>
      <c r="H3174" s="1" t="inlineStr">
        <is>
          <t>ООО "Амур Золото"</t>
        </is>
      </c>
      <c r="I3174" s="1" t="inlineStr">
        <is>
          <t>2708001686</t>
        </is>
      </c>
      <c r="J3174" s="1" t="inlineStr">
        <is>
          <t>ЮГОК ПГУ 26-47</t>
        </is>
      </c>
      <c r="K3174" s="1" t="inlineStr">
        <is>
          <t>Оказание первой помощи пострадавшим</t>
        </is>
      </c>
      <c r="L3174" s="1" t="inlineStr">
        <is>
          <t>15.08.2026</t>
        </is>
      </c>
      <c r="M3174" s="1" t="inlineStr">
        <is>
          <t>Успешно</t>
        </is>
      </c>
      <c r="N3174" s="1" t="inlineStr">
        <is>
          <t>21.08.2026</t>
        </is>
      </c>
      <c r="O3174" s="1" t="inlineStr"/>
      <c r="P3174" s="1" t="inlineStr"/>
      <c r="Q3174" s="1" t="inlineStr">
        <is>
          <t>Пользовательский интерфейс</t>
        </is>
      </c>
    </row>
    <row r="3175">
      <c r="B3175" s="1" t="inlineStr">
        <is>
          <t>216771153</t>
        </is>
      </c>
      <c r="C3175" s="1" t="inlineStr">
        <is>
          <t>15571832</t>
        </is>
      </c>
      <c r="D3175" t="inlineStr">
        <is>
          <t>работник 887</t>
        </is>
      </c>
      <c r="E3175" s="1" t="inlineStr">
        <is>
          <t>ОБЩЕСТВО С ОГРАНИЧЕННОЙ ОТВЕТСТВЕННОСТЬЮ "АМУР ЗОЛОТО"</t>
        </is>
      </c>
      <c r="F3175" s="1" t="inlineStr">
        <is>
          <t>2708001686</t>
        </is>
      </c>
      <c r="G3175" s="1" t="inlineStr">
        <is>
          <t>Машинист погрузочно-доставочной машины</t>
        </is>
      </c>
      <c r="H3175" s="1" t="inlineStr">
        <is>
          <t>ООО "Амур Золото"</t>
        </is>
      </c>
      <c r="I3175" s="1" t="inlineStr">
        <is>
          <t>2708001686</t>
        </is>
      </c>
      <c r="J3175" s="1" t="inlineStr">
        <is>
          <t>ЮГОК ПГУ 26-47</t>
        </is>
      </c>
      <c r="K3175" s="1" t="inlineStr">
        <is>
          <t>Использование (применение) средств индивидуальной защиты</t>
        </is>
      </c>
      <c r="L3175" s="1" t="inlineStr">
        <is>
          <t>15.08.2026</t>
        </is>
      </c>
      <c r="M3175" s="1" t="inlineStr">
        <is>
          <t>Успешно</t>
        </is>
      </c>
      <c r="N3175" s="1" t="inlineStr">
        <is>
          <t>21.08.2026</t>
        </is>
      </c>
      <c r="O3175" s="1" t="inlineStr"/>
      <c r="P3175" s="1" t="inlineStr"/>
      <c r="Q3175" s="1" t="inlineStr">
        <is>
          <t>Пользовательский интерфейс</t>
        </is>
      </c>
    </row>
    <row r="3176">
      <c r="B3176" s="1" t="inlineStr">
        <is>
          <t>216771154</t>
        </is>
      </c>
      <c r="C3176" s="1" t="inlineStr">
        <is>
          <t>15571832</t>
        </is>
      </c>
      <c r="D3176" t="inlineStr">
        <is>
          <t>работник 887</t>
        </is>
      </c>
      <c r="E3176" s="1" t="inlineStr">
        <is>
          <t>ОБЩЕСТВО С ОГРАНИЧЕННОЙ ОТВЕТСТВЕННОСТЬЮ "АМУР ЗОЛОТО"</t>
        </is>
      </c>
      <c r="F3176" s="1" t="inlineStr">
        <is>
          <t>2708001686</t>
        </is>
      </c>
      <c r="G3176" s="1" t="inlineStr">
        <is>
          <t>Машинист погрузочно-доставочной машины</t>
        </is>
      </c>
      <c r="H3176" s="1" t="inlineStr">
        <is>
          <t>ООО "Амур Золото"</t>
        </is>
      </c>
      <c r="I3176" s="1" t="inlineStr">
        <is>
          <t>2708001686</t>
        </is>
      </c>
      <c r="J3176" s="1" t="inlineStr">
        <is>
          <t>ЮГОК ПГУ 26-47</t>
        </is>
      </c>
      <c r="K317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176" s="1" t="inlineStr">
        <is>
          <t>15.08.2026</t>
        </is>
      </c>
      <c r="M3176" s="1" t="inlineStr">
        <is>
          <t>Успешно</t>
        </is>
      </c>
      <c r="N3176" s="1" t="inlineStr">
        <is>
          <t>21.08.2026</t>
        </is>
      </c>
      <c r="O3176" s="1" t="inlineStr"/>
      <c r="P3176" s="1" t="inlineStr"/>
      <c r="Q3176" s="1" t="inlineStr">
        <is>
          <t>Пользовательский интерфейс</t>
        </is>
      </c>
    </row>
    <row r="3177">
      <c r="B3177" s="1" t="inlineStr">
        <is>
          <t>216771155</t>
        </is>
      </c>
      <c r="C3177" s="1" t="inlineStr">
        <is>
          <t>15571832</t>
        </is>
      </c>
      <c r="D3177" t="inlineStr">
        <is>
          <t>работник 888</t>
        </is>
      </c>
      <c r="E3177" s="1" t="inlineStr">
        <is>
          <t>ОБЩЕСТВО С ОГРАНИЧЕННОЙ ОТВЕТСТВЕННОСТЬЮ "АМУР ЗОЛОТО"</t>
        </is>
      </c>
      <c r="F3177" s="1" t="inlineStr">
        <is>
          <t>2708001686</t>
        </is>
      </c>
      <c r="G3177" s="1" t="inlineStr">
        <is>
          <t>Машинист погрузочно-доставочной машины</t>
        </is>
      </c>
      <c r="H3177" s="1" t="inlineStr">
        <is>
          <t>ООО "Амур Золото"</t>
        </is>
      </c>
      <c r="I3177" s="1" t="inlineStr">
        <is>
          <t>2708001686</t>
        </is>
      </c>
      <c r="J3177" s="1" t="inlineStr">
        <is>
          <t>ЮГОК ПГУ 26-47</t>
        </is>
      </c>
      <c r="K3177" s="1" t="inlineStr">
        <is>
          <t>Оказание первой помощи пострадавшим</t>
        </is>
      </c>
      <c r="L3177" s="1" t="inlineStr">
        <is>
          <t>15.08.2026</t>
        </is>
      </c>
      <c r="M3177" s="1" t="inlineStr">
        <is>
          <t>Успешно</t>
        </is>
      </c>
      <c r="N3177" s="1" t="inlineStr">
        <is>
          <t>21.08.2026</t>
        </is>
      </c>
      <c r="O3177" s="1" t="inlineStr"/>
      <c r="P3177" s="1" t="inlineStr"/>
      <c r="Q3177" s="1" t="inlineStr">
        <is>
          <t>Пользовательский интерфейс</t>
        </is>
      </c>
    </row>
    <row r="3178">
      <c r="B3178" s="1" t="inlineStr">
        <is>
          <t>216771156</t>
        </is>
      </c>
      <c r="C3178" s="1" t="inlineStr">
        <is>
          <t>15571832</t>
        </is>
      </c>
      <c r="D3178" t="inlineStr">
        <is>
          <t>работник 888</t>
        </is>
      </c>
      <c r="E3178" s="1" t="inlineStr">
        <is>
          <t>ОБЩЕСТВО С ОГРАНИЧЕННОЙ ОТВЕТСТВЕННОСТЬЮ "АМУР ЗОЛОТО"</t>
        </is>
      </c>
      <c r="F3178" s="1" t="inlineStr">
        <is>
          <t>2708001686</t>
        </is>
      </c>
      <c r="G3178" s="1" t="inlineStr">
        <is>
          <t>Машинист погрузочно-доставочной машины</t>
        </is>
      </c>
      <c r="H3178" s="1" t="inlineStr">
        <is>
          <t>ООО "Амур Золото"</t>
        </is>
      </c>
      <c r="I3178" s="1" t="inlineStr">
        <is>
          <t>2708001686</t>
        </is>
      </c>
      <c r="J3178" s="1" t="inlineStr">
        <is>
          <t>ЮГОК ПГУ 26-47</t>
        </is>
      </c>
      <c r="K3178" s="1" t="inlineStr">
        <is>
          <t>Использование (применение) средств индивидуальной защиты</t>
        </is>
      </c>
      <c r="L3178" s="1" t="inlineStr">
        <is>
          <t>15.08.2026</t>
        </is>
      </c>
      <c r="M3178" s="1" t="inlineStr">
        <is>
          <t>Успешно</t>
        </is>
      </c>
      <c r="N3178" s="1" t="inlineStr">
        <is>
          <t>21.08.2026</t>
        </is>
      </c>
      <c r="O3178" s="1" t="inlineStr"/>
      <c r="P3178" s="1" t="inlineStr"/>
      <c r="Q3178" s="1" t="inlineStr">
        <is>
          <t>Пользовательский интерфейс</t>
        </is>
      </c>
    </row>
    <row r="3179">
      <c r="B3179" s="1" t="inlineStr">
        <is>
          <t>216771157</t>
        </is>
      </c>
      <c r="C3179" s="1" t="inlineStr">
        <is>
          <t>15571832</t>
        </is>
      </c>
      <c r="D3179" t="inlineStr">
        <is>
          <t>работник 888</t>
        </is>
      </c>
      <c r="E3179" s="1" t="inlineStr">
        <is>
          <t>ОБЩЕСТВО С ОГРАНИЧЕННОЙ ОТВЕТСТВЕННОСТЬЮ "АМУР ЗОЛОТО"</t>
        </is>
      </c>
      <c r="F3179" s="1" t="inlineStr">
        <is>
          <t>2708001686</t>
        </is>
      </c>
      <c r="G3179" s="1" t="inlineStr">
        <is>
          <t>Машинист погрузочно-доставочной машины</t>
        </is>
      </c>
      <c r="H3179" s="1" t="inlineStr">
        <is>
          <t>ООО "Амур Золото"</t>
        </is>
      </c>
      <c r="I3179" s="1" t="inlineStr">
        <is>
          <t>2708001686</t>
        </is>
      </c>
      <c r="J3179" s="1" t="inlineStr">
        <is>
          <t>ЮГОК ПГУ 26-47</t>
        </is>
      </c>
      <c r="K317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179" s="1" t="inlineStr">
        <is>
          <t>15.08.2026</t>
        </is>
      </c>
      <c r="M3179" s="1" t="inlineStr">
        <is>
          <t>Успешно</t>
        </is>
      </c>
      <c r="N3179" s="1" t="inlineStr">
        <is>
          <t>21.08.2026</t>
        </is>
      </c>
      <c r="O3179" s="1" t="inlineStr"/>
      <c r="P3179" s="1" t="inlineStr"/>
      <c r="Q3179" s="1" t="inlineStr">
        <is>
          <t>Пользовательский интерфейс</t>
        </is>
      </c>
    </row>
    <row r="3180">
      <c r="B3180" s="1" t="inlineStr">
        <is>
          <t>216771158</t>
        </is>
      </c>
      <c r="C3180" s="1" t="inlineStr">
        <is>
          <t>15571832</t>
        </is>
      </c>
      <c r="D3180" t="inlineStr">
        <is>
          <t>работник 663</t>
        </is>
      </c>
      <c r="E3180" s="1" t="inlineStr">
        <is>
          <t>ОБЩЕСТВО С ОГРАНИЧЕННОЙ ОТВЕТСТВЕННОСТЬЮ "АМУР ЗОЛОТО"</t>
        </is>
      </c>
      <c r="F3180" s="1" t="inlineStr">
        <is>
          <t>2708001686</t>
        </is>
      </c>
      <c r="G3180" s="1" t="inlineStr">
        <is>
          <t>Проходчик (с исполнением обязанностей взрывника)</t>
        </is>
      </c>
      <c r="H3180" s="1" t="inlineStr">
        <is>
          <t>ООО "Амур Золото"</t>
        </is>
      </c>
      <c r="I3180" s="1" t="inlineStr">
        <is>
          <t>2708001686</t>
        </is>
      </c>
      <c r="J3180" s="1" t="inlineStr">
        <is>
          <t>ЮГОК ПГУ 26-48</t>
        </is>
      </c>
      <c r="K3180" s="1" t="inlineStr">
        <is>
          <t>Оказание первой помощи пострадавшим</t>
        </is>
      </c>
      <c r="L3180" s="1" t="inlineStr">
        <is>
          <t>16.08.2026</t>
        </is>
      </c>
      <c r="M3180" s="1" t="inlineStr">
        <is>
          <t>Успешно</t>
        </is>
      </c>
      <c r="N3180" s="1" t="inlineStr">
        <is>
          <t>21.08.2026</t>
        </is>
      </c>
      <c r="O3180" s="1" t="inlineStr"/>
      <c r="P3180" s="1" t="inlineStr"/>
      <c r="Q3180" s="1" t="inlineStr">
        <is>
          <t>Пользовательский интерфейс</t>
        </is>
      </c>
    </row>
    <row r="3181">
      <c r="B3181" s="1" t="inlineStr">
        <is>
          <t>216771159</t>
        </is>
      </c>
      <c r="C3181" s="1" t="inlineStr">
        <is>
          <t>15571832</t>
        </is>
      </c>
      <c r="D3181" t="inlineStr">
        <is>
          <t>работник 663</t>
        </is>
      </c>
      <c r="E3181" s="1" t="inlineStr">
        <is>
          <t>ОБЩЕСТВО С ОГРАНИЧЕННОЙ ОТВЕТСТВЕННОСТЬЮ "АМУР ЗОЛОТО"</t>
        </is>
      </c>
      <c r="F3181" s="1" t="inlineStr">
        <is>
          <t>2708001686</t>
        </is>
      </c>
      <c r="G3181" s="1" t="inlineStr">
        <is>
          <t>Проходчик (с исполнением обязанностей взрывника)</t>
        </is>
      </c>
      <c r="H3181" s="1" t="inlineStr">
        <is>
          <t>ООО "Амур Золото"</t>
        </is>
      </c>
      <c r="I3181" s="1" t="inlineStr">
        <is>
          <t>2708001686</t>
        </is>
      </c>
      <c r="J3181" s="1" t="inlineStr">
        <is>
          <t>ЮГОК ПГУ 26-48</t>
        </is>
      </c>
      <c r="K3181" s="1" t="inlineStr">
        <is>
          <t>Использование (применение) средств индивидуальной защиты</t>
        </is>
      </c>
      <c r="L3181" s="1" t="inlineStr">
        <is>
          <t>16.08.2026</t>
        </is>
      </c>
      <c r="M3181" s="1" t="inlineStr">
        <is>
          <t>Успешно</t>
        </is>
      </c>
      <c r="N3181" s="1" t="inlineStr">
        <is>
          <t>21.08.2026</t>
        </is>
      </c>
      <c r="O3181" s="1" t="inlineStr"/>
      <c r="P3181" s="1" t="inlineStr"/>
      <c r="Q3181" s="1" t="inlineStr">
        <is>
          <t>Пользовательский интерфейс</t>
        </is>
      </c>
    </row>
    <row r="3182">
      <c r="B3182" s="1" t="inlineStr">
        <is>
          <t>216771160</t>
        </is>
      </c>
      <c r="C3182" s="1" t="inlineStr">
        <is>
          <t>15571832</t>
        </is>
      </c>
      <c r="D3182" t="inlineStr">
        <is>
          <t>работник 663</t>
        </is>
      </c>
      <c r="E3182" s="1" t="inlineStr">
        <is>
          <t>ОБЩЕСТВО С ОГРАНИЧЕННОЙ ОТВЕТСТВЕННОСТЬЮ "АМУР ЗОЛОТО"</t>
        </is>
      </c>
      <c r="F3182" s="1" t="inlineStr">
        <is>
          <t>2708001686</t>
        </is>
      </c>
      <c r="G3182" s="1" t="inlineStr">
        <is>
          <t>Проходчик (с исполнением обязанностей взрывника)</t>
        </is>
      </c>
      <c r="H3182" s="1" t="inlineStr">
        <is>
          <t>ООО "Амур Золото"</t>
        </is>
      </c>
      <c r="I3182" s="1" t="inlineStr">
        <is>
          <t>2708001686</t>
        </is>
      </c>
      <c r="J3182" s="1" t="inlineStr">
        <is>
          <t>ЮГОК ПГУ 26-48</t>
        </is>
      </c>
      <c r="K318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182" s="1" t="inlineStr">
        <is>
          <t>16.08.2026</t>
        </is>
      </c>
      <c r="M3182" s="1" t="inlineStr">
        <is>
          <t>Успешно</t>
        </is>
      </c>
      <c r="N3182" s="1" t="inlineStr">
        <is>
          <t>21.08.2026</t>
        </is>
      </c>
      <c r="O3182" s="1" t="inlineStr"/>
      <c r="P3182" s="1" t="inlineStr"/>
      <c r="Q3182" s="1" t="inlineStr">
        <is>
          <t>Пользовательский интерфейс</t>
        </is>
      </c>
    </row>
    <row r="3183">
      <c r="B3183" s="1" t="inlineStr">
        <is>
          <t>216771161</t>
        </is>
      </c>
      <c r="C3183" s="1" t="inlineStr">
        <is>
          <t>15571832</t>
        </is>
      </c>
      <c r="D3183" t="inlineStr">
        <is>
          <t>работник 534</t>
        </is>
      </c>
      <c r="E3183" s="1" t="inlineStr">
        <is>
          <t>ОБЩЕСТВО С ОГРАНИЧЕННОЙ ОТВЕТСТВЕННОСТЬЮ "АМУР ЗОЛОТО"</t>
        </is>
      </c>
      <c r="F3183" s="1" t="inlineStr">
        <is>
          <t>2708001686</t>
        </is>
      </c>
      <c r="G3183" s="1" t="inlineStr">
        <is>
          <t>Проходчик (с исполнением обязанностей взрывника)</t>
        </is>
      </c>
      <c r="H3183" s="1" t="inlineStr">
        <is>
          <t>ООО "Амур Золото"</t>
        </is>
      </c>
      <c r="I3183" s="1" t="inlineStr">
        <is>
          <t>2708001686</t>
        </is>
      </c>
      <c r="J3183" s="1" t="inlineStr">
        <is>
          <t>ЮГОК ПГУ 26-48</t>
        </is>
      </c>
      <c r="K3183" s="1" t="inlineStr">
        <is>
          <t>Оказание первой помощи пострадавшим</t>
        </is>
      </c>
      <c r="L3183" s="1" t="inlineStr">
        <is>
          <t>16.08.2026</t>
        </is>
      </c>
      <c r="M3183" s="1" t="inlineStr">
        <is>
          <t>Успешно</t>
        </is>
      </c>
      <c r="N3183" s="1" t="inlineStr">
        <is>
          <t>21.08.2026</t>
        </is>
      </c>
      <c r="O3183" s="1" t="inlineStr"/>
      <c r="P3183" s="1" t="inlineStr"/>
      <c r="Q3183" s="1" t="inlineStr">
        <is>
          <t>Пользовательский интерфейс</t>
        </is>
      </c>
    </row>
    <row r="3184">
      <c r="B3184" s="1" t="inlineStr">
        <is>
          <t>216771162</t>
        </is>
      </c>
      <c r="C3184" s="1" t="inlineStr">
        <is>
          <t>15571832</t>
        </is>
      </c>
      <c r="D3184" t="inlineStr">
        <is>
          <t>работник 534</t>
        </is>
      </c>
      <c r="E3184" s="1" t="inlineStr">
        <is>
          <t>ОБЩЕСТВО С ОГРАНИЧЕННОЙ ОТВЕТСТВЕННОСТЬЮ "АМУР ЗОЛОТО"</t>
        </is>
      </c>
      <c r="F3184" s="1" t="inlineStr">
        <is>
          <t>2708001686</t>
        </is>
      </c>
      <c r="G3184" s="1" t="inlineStr">
        <is>
          <t>Проходчик (с исполнением обязанностей взрывника)</t>
        </is>
      </c>
      <c r="H3184" s="1" t="inlineStr">
        <is>
          <t>ООО "Амур Золото"</t>
        </is>
      </c>
      <c r="I3184" s="1" t="inlineStr">
        <is>
          <t>2708001686</t>
        </is>
      </c>
      <c r="J3184" s="1" t="inlineStr">
        <is>
          <t>ЮГОК ПГУ 26-48</t>
        </is>
      </c>
      <c r="K3184" s="1" t="inlineStr">
        <is>
          <t>Использование (применение) средств индивидуальной защиты</t>
        </is>
      </c>
      <c r="L3184" s="1" t="inlineStr">
        <is>
          <t>16.08.2026</t>
        </is>
      </c>
      <c r="M3184" s="1" t="inlineStr">
        <is>
          <t>Успешно</t>
        </is>
      </c>
      <c r="N3184" s="1" t="inlineStr">
        <is>
          <t>21.08.2026</t>
        </is>
      </c>
      <c r="O3184" s="1" t="inlineStr"/>
      <c r="P3184" s="1" t="inlineStr"/>
      <c r="Q3184" s="1" t="inlineStr">
        <is>
          <t>Пользовательский интерфейс</t>
        </is>
      </c>
    </row>
    <row r="3185">
      <c r="B3185" s="1" t="inlineStr">
        <is>
          <t>216771163</t>
        </is>
      </c>
      <c r="C3185" s="1" t="inlineStr">
        <is>
          <t>15571832</t>
        </is>
      </c>
      <c r="D3185" t="inlineStr">
        <is>
          <t>работник 534</t>
        </is>
      </c>
      <c r="E3185" s="1" t="inlineStr">
        <is>
          <t>ОБЩЕСТВО С ОГРАНИЧЕННОЙ ОТВЕТСТВЕННОСТЬЮ "АМУР ЗОЛОТО"</t>
        </is>
      </c>
      <c r="F3185" s="1" t="inlineStr">
        <is>
          <t>2708001686</t>
        </is>
      </c>
      <c r="G3185" s="1" t="inlineStr">
        <is>
          <t>Проходчик (с исполнением обязанностей взрывника)</t>
        </is>
      </c>
      <c r="H3185" s="1" t="inlineStr">
        <is>
          <t>ООО "Амур Золото"</t>
        </is>
      </c>
      <c r="I3185" s="1" t="inlineStr">
        <is>
          <t>2708001686</t>
        </is>
      </c>
      <c r="J3185" s="1" t="inlineStr">
        <is>
          <t>ЮГОК ПГУ 26-48</t>
        </is>
      </c>
      <c r="K318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185" s="1" t="inlineStr">
        <is>
          <t>16.08.2026</t>
        </is>
      </c>
      <c r="M3185" s="1" t="inlineStr">
        <is>
          <t>Успешно</t>
        </is>
      </c>
      <c r="N3185" s="1" t="inlineStr">
        <is>
          <t>21.08.2026</t>
        </is>
      </c>
      <c r="O3185" s="1" t="inlineStr"/>
      <c r="P3185" s="1" t="inlineStr"/>
      <c r="Q3185" s="1" t="inlineStr">
        <is>
          <t>Пользовательский интерфейс</t>
        </is>
      </c>
    </row>
    <row r="3186">
      <c r="B3186" s="1" t="inlineStr">
        <is>
          <t>216771164</t>
        </is>
      </c>
      <c r="C3186" s="1" t="inlineStr">
        <is>
          <t>15571832</t>
        </is>
      </c>
      <c r="D3186" t="inlineStr">
        <is>
          <t>работник 487</t>
        </is>
      </c>
      <c r="E3186" s="1" t="inlineStr">
        <is>
          <t>ОБЩЕСТВО С ОГРАНИЧЕННОЙ ОТВЕТСТВЕННОСТЬЮ "АМУР ЗОЛОТО"</t>
        </is>
      </c>
      <c r="F3186" s="1" t="inlineStr">
        <is>
          <t>2708001686</t>
        </is>
      </c>
      <c r="G3186" s="1" t="inlineStr">
        <is>
          <t>Машинист самоходной буровой установки (Проходка)</t>
        </is>
      </c>
      <c r="H3186" s="1" t="inlineStr">
        <is>
          <t>ООО "Амур Золото"</t>
        </is>
      </c>
      <c r="I3186" s="1" t="inlineStr">
        <is>
          <t>2708001686</t>
        </is>
      </c>
      <c r="J3186" s="1" t="inlineStr">
        <is>
          <t>ЮГОК ПГУ 26-49</t>
        </is>
      </c>
      <c r="K3186" s="1" t="inlineStr">
        <is>
          <t>Оказание первой помощи пострадавшим</t>
        </is>
      </c>
      <c r="L3186" s="1" t="inlineStr">
        <is>
          <t>16.08.2026</t>
        </is>
      </c>
      <c r="M3186" s="1" t="inlineStr">
        <is>
          <t>Успешно</t>
        </is>
      </c>
      <c r="N3186" s="1" t="inlineStr">
        <is>
          <t>21.08.2026</t>
        </is>
      </c>
      <c r="O3186" s="1" t="inlineStr"/>
      <c r="P3186" s="1" t="inlineStr"/>
      <c r="Q3186" s="1" t="inlineStr">
        <is>
          <t>Пользовательский интерфейс</t>
        </is>
      </c>
    </row>
    <row r="3187">
      <c r="B3187" s="1" t="inlineStr">
        <is>
          <t>216771165</t>
        </is>
      </c>
      <c r="C3187" s="1" t="inlineStr">
        <is>
          <t>15571832</t>
        </is>
      </c>
      <c r="D3187" t="inlineStr">
        <is>
          <t>работник 487</t>
        </is>
      </c>
      <c r="E3187" s="1" t="inlineStr">
        <is>
          <t>ОБЩЕСТВО С ОГРАНИЧЕННОЙ ОТВЕТСТВЕННОСТЬЮ "АМУР ЗОЛОТО"</t>
        </is>
      </c>
      <c r="F3187" s="1" t="inlineStr">
        <is>
          <t>2708001686</t>
        </is>
      </c>
      <c r="G3187" s="1" t="inlineStr">
        <is>
          <t>Машинист самоходной буровой установки (Проходка)</t>
        </is>
      </c>
      <c r="H3187" s="1" t="inlineStr">
        <is>
          <t>ООО "Амур Золото"</t>
        </is>
      </c>
      <c r="I3187" s="1" t="inlineStr">
        <is>
          <t>2708001686</t>
        </is>
      </c>
      <c r="J3187" s="1" t="inlineStr">
        <is>
          <t>ЮГОК ПГУ 26-49</t>
        </is>
      </c>
      <c r="K3187" s="1" t="inlineStr">
        <is>
          <t>Использование (применение) средств индивидуальной защиты</t>
        </is>
      </c>
      <c r="L3187" s="1" t="inlineStr">
        <is>
          <t>16.08.2026</t>
        </is>
      </c>
      <c r="M3187" s="1" t="inlineStr">
        <is>
          <t>Успешно</t>
        </is>
      </c>
      <c r="N3187" s="1" t="inlineStr">
        <is>
          <t>21.08.2026</t>
        </is>
      </c>
      <c r="O3187" s="1" t="inlineStr"/>
      <c r="P3187" s="1" t="inlineStr"/>
      <c r="Q3187" s="1" t="inlineStr">
        <is>
          <t>Пользовательский интерфейс</t>
        </is>
      </c>
    </row>
    <row r="3188">
      <c r="B3188" s="1" t="inlineStr">
        <is>
          <t>216771166</t>
        </is>
      </c>
      <c r="C3188" s="1" t="inlineStr">
        <is>
          <t>15571832</t>
        </is>
      </c>
      <c r="D3188" t="inlineStr">
        <is>
          <t>работник 487</t>
        </is>
      </c>
      <c r="E3188" s="1" t="inlineStr">
        <is>
          <t>ОБЩЕСТВО С ОГРАНИЧЕННОЙ ОТВЕТСТВЕННОСТЬЮ "АМУР ЗОЛОТО"</t>
        </is>
      </c>
      <c r="F3188" s="1" t="inlineStr">
        <is>
          <t>2708001686</t>
        </is>
      </c>
      <c r="G3188" s="1" t="inlineStr">
        <is>
          <t>Машинист самоходной буровой установки (Проходка)</t>
        </is>
      </c>
      <c r="H3188" s="1" t="inlineStr">
        <is>
          <t>ООО "Амур Золото"</t>
        </is>
      </c>
      <c r="I3188" s="1" t="inlineStr">
        <is>
          <t>2708001686</t>
        </is>
      </c>
      <c r="J3188" s="1" t="inlineStr">
        <is>
          <t>ЮГОК ПГУ 26-49</t>
        </is>
      </c>
      <c r="K318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188" s="1" t="inlineStr">
        <is>
          <t>16.08.2026</t>
        </is>
      </c>
      <c r="M3188" s="1" t="inlineStr">
        <is>
          <t>Успешно</t>
        </is>
      </c>
      <c r="N3188" s="1" t="inlineStr">
        <is>
          <t>21.08.2026</t>
        </is>
      </c>
      <c r="O3188" s="1" t="inlineStr"/>
      <c r="P3188" s="1" t="inlineStr"/>
      <c r="Q3188" s="1" t="inlineStr">
        <is>
          <t>Пользовательский интерфейс</t>
        </is>
      </c>
    </row>
    <row r="3189">
      <c r="B3189" s="1" t="inlineStr">
        <is>
          <t>216771167</t>
        </is>
      </c>
      <c r="C3189" s="1" t="inlineStr">
        <is>
          <t>15571832</t>
        </is>
      </c>
      <c r="D3189" t="inlineStr">
        <is>
          <t>работник 889</t>
        </is>
      </c>
      <c r="E3189" s="1" t="inlineStr">
        <is>
          <t>ОБЩЕСТВО С ОГРАНИЧЕННОЙ ОТВЕТСТВЕННОСТЬЮ "АМУР ЗОЛОТО"</t>
        </is>
      </c>
      <c r="F3189" s="1" t="inlineStr">
        <is>
          <t>2708001686</t>
        </is>
      </c>
      <c r="G3189" s="1" t="inlineStr">
        <is>
          <t>Машинист самоходной буровой установки (Проходка)</t>
        </is>
      </c>
      <c r="H3189" s="1" t="inlineStr">
        <is>
          <t>ООО "Амур Золото"</t>
        </is>
      </c>
      <c r="I3189" s="1" t="inlineStr">
        <is>
          <t>2708001686</t>
        </is>
      </c>
      <c r="J3189" s="1" t="inlineStr">
        <is>
          <t>ЮГОК ПГУ 26-49</t>
        </is>
      </c>
      <c r="K3189" s="1" t="inlineStr">
        <is>
          <t>Оказание первой помощи пострадавшим</t>
        </is>
      </c>
      <c r="L3189" s="1" t="inlineStr">
        <is>
          <t>16.08.2026</t>
        </is>
      </c>
      <c r="M3189" s="1" t="inlineStr">
        <is>
          <t>Успешно</t>
        </is>
      </c>
      <c r="N3189" s="1" t="inlineStr">
        <is>
          <t>21.08.2026</t>
        </is>
      </c>
      <c r="O3189" s="1" t="inlineStr"/>
      <c r="P3189" s="1" t="inlineStr"/>
      <c r="Q3189" s="1" t="inlineStr">
        <is>
          <t>Пользовательский интерфейс</t>
        </is>
      </c>
    </row>
    <row r="3190">
      <c r="B3190" s="1" t="inlineStr">
        <is>
          <t>216771168</t>
        </is>
      </c>
      <c r="C3190" s="1" t="inlineStr">
        <is>
          <t>15571832</t>
        </is>
      </c>
      <c r="D3190" t="inlineStr">
        <is>
          <t>работник 889</t>
        </is>
      </c>
      <c r="E3190" s="1" t="inlineStr">
        <is>
          <t>ОБЩЕСТВО С ОГРАНИЧЕННОЙ ОТВЕТСТВЕННОСТЬЮ "АМУР ЗОЛОТО"</t>
        </is>
      </c>
      <c r="F3190" s="1" t="inlineStr">
        <is>
          <t>2708001686</t>
        </is>
      </c>
      <c r="G3190" s="1" t="inlineStr">
        <is>
          <t>Машинист самоходной буровой установки (Проходка)</t>
        </is>
      </c>
      <c r="H3190" s="1" t="inlineStr">
        <is>
          <t>ООО "Амур Золото"</t>
        </is>
      </c>
      <c r="I3190" s="1" t="inlineStr">
        <is>
          <t>2708001686</t>
        </is>
      </c>
      <c r="J3190" s="1" t="inlineStr">
        <is>
          <t>ЮГОК ПГУ 26-49</t>
        </is>
      </c>
      <c r="K3190" s="1" t="inlineStr">
        <is>
          <t>Использование (применение) средств индивидуальной защиты</t>
        </is>
      </c>
      <c r="L3190" s="1" t="inlineStr">
        <is>
          <t>16.08.2026</t>
        </is>
      </c>
      <c r="M3190" s="1" t="inlineStr">
        <is>
          <t>Успешно</t>
        </is>
      </c>
      <c r="N3190" s="1" t="inlineStr">
        <is>
          <t>21.08.2026</t>
        </is>
      </c>
      <c r="O3190" s="1" t="inlineStr"/>
      <c r="P3190" s="1" t="inlineStr"/>
      <c r="Q3190" s="1" t="inlineStr">
        <is>
          <t>Пользовательский интерфейс</t>
        </is>
      </c>
    </row>
    <row r="3191">
      <c r="B3191" s="1" t="inlineStr">
        <is>
          <t>216771169</t>
        </is>
      </c>
      <c r="C3191" s="1" t="inlineStr">
        <is>
          <t>15571832</t>
        </is>
      </c>
      <c r="D3191" t="inlineStr">
        <is>
          <t>работник 889</t>
        </is>
      </c>
      <c r="E3191" s="1" t="inlineStr">
        <is>
          <t>ОБЩЕСТВО С ОГРАНИЧЕННОЙ ОТВЕТСТВЕННОСТЬЮ "АМУР ЗОЛОТО"</t>
        </is>
      </c>
      <c r="F3191" s="1" t="inlineStr">
        <is>
          <t>2708001686</t>
        </is>
      </c>
      <c r="G3191" s="1" t="inlineStr">
        <is>
          <t>Машинист самоходной буровой установки (Проходка)</t>
        </is>
      </c>
      <c r="H3191" s="1" t="inlineStr">
        <is>
          <t>ООО "Амур Золото"</t>
        </is>
      </c>
      <c r="I3191" s="1" t="inlineStr">
        <is>
          <t>2708001686</t>
        </is>
      </c>
      <c r="J3191" s="1" t="inlineStr">
        <is>
          <t>ЮГОК ПГУ 26-49</t>
        </is>
      </c>
      <c r="K319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191" s="1" t="inlineStr">
        <is>
          <t>16.08.2026</t>
        </is>
      </c>
      <c r="M3191" s="1" t="inlineStr">
        <is>
          <t>Успешно</t>
        </is>
      </c>
      <c r="N3191" s="1" t="inlineStr">
        <is>
          <t>21.08.2026</t>
        </is>
      </c>
      <c r="O3191" s="1" t="inlineStr"/>
      <c r="P3191" s="1" t="inlineStr"/>
      <c r="Q3191" s="1" t="inlineStr">
        <is>
          <t>Пользовательский интерфейс</t>
        </is>
      </c>
    </row>
    <row r="3192">
      <c r="B3192" s="1" t="inlineStr">
        <is>
          <t>216771170</t>
        </is>
      </c>
      <c r="C3192" s="1" t="inlineStr">
        <is>
          <t>15571832</t>
        </is>
      </c>
      <c r="D3192" t="inlineStr">
        <is>
          <t>работник 890</t>
        </is>
      </c>
      <c r="E3192" s="1" t="inlineStr">
        <is>
          <t>ОБЩЕСТВО С ОГРАНИЧЕННОЙ ОТВЕТСТВЕННОСТЬЮ "АМУР ЗОЛОТО"</t>
        </is>
      </c>
      <c r="F3192" s="1" t="inlineStr">
        <is>
          <t>2708001686</t>
        </is>
      </c>
      <c r="G3192" s="1" t="inlineStr">
        <is>
          <t>Машинист погрузочно-доставочной машины (занятый на транспортировании горной массы в технологическом процессе)</t>
        </is>
      </c>
      <c r="H3192" s="1" t="inlineStr">
        <is>
          <t>ООО "Амур Золото"</t>
        </is>
      </c>
      <c r="I3192" s="1" t="inlineStr">
        <is>
          <t>2708001686</t>
        </is>
      </c>
      <c r="J3192" s="1" t="inlineStr">
        <is>
          <t>ЮГОК ПГУ 26-50</t>
        </is>
      </c>
      <c r="K3192" s="1" t="inlineStr">
        <is>
          <t>Оказание первой помощи пострадавшим</t>
        </is>
      </c>
      <c r="L3192" s="1" t="inlineStr">
        <is>
          <t>16.08.2026</t>
        </is>
      </c>
      <c r="M3192" s="1" t="inlineStr">
        <is>
          <t>Успешно</t>
        </is>
      </c>
      <c r="N3192" s="1" t="inlineStr">
        <is>
          <t>21.08.2026</t>
        </is>
      </c>
      <c r="O3192" s="1" t="inlineStr"/>
      <c r="P3192" s="1" t="inlineStr"/>
      <c r="Q3192" s="1" t="inlineStr">
        <is>
          <t>Пользовательский интерфейс</t>
        </is>
      </c>
    </row>
    <row r="3193">
      <c r="B3193" s="1" t="inlineStr">
        <is>
          <t>216771171</t>
        </is>
      </c>
      <c r="C3193" s="1" t="inlineStr">
        <is>
          <t>15571832</t>
        </is>
      </c>
      <c r="D3193" t="inlineStr">
        <is>
          <t>работник 890</t>
        </is>
      </c>
      <c r="E3193" s="1" t="inlineStr">
        <is>
          <t>ОБЩЕСТВО С ОГРАНИЧЕННОЙ ОТВЕТСТВЕННОСТЬЮ "АМУР ЗОЛОТО"</t>
        </is>
      </c>
      <c r="F3193" s="1" t="inlineStr">
        <is>
          <t>2708001686</t>
        </is>
      </c>
      <c r="G3193" s="1" t="inlineStr">
        <is>
          <t>Машинист погрузочно-доставочной машины (занятый на транспортировании горной массы в технологическом процессе)</t>
        </is>
      </c>
      <c r="H3193" s="1" t="inlineStr">
        <is>
          <t>ООО "Амур Золото"</t>
        </is>
      </c>
      <c r="I3193" s="1" t="inlineStr">
        <is>
          <t>2708001686</t>
        </is>
      </c>
      <c r="J3193" s="1" t="inlineStr">
        <is>
          <t>ЮГОК ПГУ 26-50</t>
        </is>
      </c>
      <c r="K3193" s="1" t="inlineStr">
        <is>
          <t>Использование (применение) средств индивидуальной защиты</t>
        </is>
      </c>
      <c r="L3193" s="1" t="inlineStr">
        <is>
          <t>16.08.2026</t>
        </is>
      </c>
      <c r="M3193" s="1" t="inlineStr">
        <is>
          <t>Успешно</t>
        </is>
      </c>
      <c r="N3193" s="1" t="inlineStr">
        <is>
          <t>21.08.2026</t>
        </is>
      </c>
      <c r="O3193" s="1" t="inlineStr"/>
      <c r="P3193" s="1" t="inlineStr"/>
      <c r="Q3193" s="1" t="inlineStr">
        <is>
          <t>Пользовательский интерфейс</t>
        </is>
      </c>
    </row>
    <row r="3194">
      <c r="B3194" s="1" t="inlineStr">
        <is>
          <t>216771172</t>
        </is>
      </c>
      <c r="C3194" s="1" t="inlineStr">
        <is>
          <t>15571832</t>
        </is>
      </c>
      <c r="D3194" t="inlineStr">
        <is>
          <t>работник 890</t>
        </is>
      </c>
      <c r="E3194" s="1" t="inlineStr">
        <is>
          <t>ОБЩЕСТВО С ОГРАНИЧЕННОЙ ОТВЕТСТВЕННОСТЬЮ "АМУР ЗОЛОТО"</t>
        </is>
      </c>
      <c r="F3194" s="1" t="inlineStr">
        <is>
          <t>2708001686</t>
        </is>
      </c>
      <c r="G3194" s="1" t="inlineStr">
        <is>
          <t>Машинист погрузочно-доставочной машины (занятый на транспортировании горной массы в технологическом процессе)</t>
        </is>
      </c>
      <c r="H3194" s="1" t="inlineStr">
        <is>
          <t>ООО "Амур Золото"</t>
        </is>
      </c>
      <c r="I3194" s="1" t="inlineStr">
        <is>
          <t>2708001686</t>
        </is>
      </c>
      <c r="J3194" s="1" t="inlineStr">
        <is>
          <t>ЮГОК ПГУ 26-50</t>
        </is>
      </c>
      <c r="K319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194" s="1" t="inlineStr">
        <is>
          <t>16.08.2026</t>
        </is>
      </c>
      <c r="M3194" s="1" t="inlineStr">
        <is>
          <t>Успешно</t>
        </is>
      </c>
      <c r="N3194" s="1" t="inlineStr">
        <is>
          <t>21.08.2026</t>
        </is>
      </c>
      <c r="O3194" s="1" t="inlineStr"/>
      <c r="P3194" s="1" t="inlineStr"/>
      <c r="Q3194" s="1" t="inlineStr">
        <is>
          <t>Пользовательский интерфейс</t>
        </is>
      </c>
    </row>
    <row r="3195">
      <c r="B3195" s="1" t="inlineStr">
        <is>
          <t>216771173</t>
        </is>
      </c>
      <c r="C3195" s="1" t="inlineStr">
        <is>
          <t>15571832</t>
        </is>
      </c>
      <c r="D3195" t="inlineStr">
        <is>
          <t>работник 178</t>
        </is>
      </c>
      <c r="E3195" s="1" t="inlineStr">
        <is>
          <t>ОБЩЕСТВО С ОГРАНИЧЕННОЙ ОТВЕТСТВЕННОСТЬЮ "АМУР ЗОЛОТО"</t>
        </is>
      </c>
      <c r="F3195" s="1" t="inlineStr">
        <is>
          <t>2708001686</t>
        </is>
      </c>
      <c r="G3195" s="1" t="inlineStr">
        <is>
          <t>Машинист погрузочно-доставочной машины (занятый на транспортировании горной массы в технологическом процессе)</t>
        </is>
      </c>
      <c r="H3195" s="1" t="inlineStr">
        <is>
          <t>ООО "Амур Золото"</t>
        </is>
      </c>
      <c r="I3195" s="1" t="inlineStr">
        <is>
          <t>2708001686</t>
        </is>
      </c>
      <c r="J3195" s="1" t="inlineStr">
        <is>
          <t>ЮГОК ПГУ 26-50</t>
        </is>
      </c>
      <c r="K3195" s="1" t="inlineStr">
        <is>
          <t>Оказание первой помощи пострадавшим</t>
        </is>
      </c>
      <c r="L3195" s="1" t="inlineStr">
        <is>
          <t>16.08.2026</t>
        </is>
      </c>
      <c r="M3195" s="1" t="inlineStr">
        <is>
          <t>Успешно</t>
        </is>
      </c>
      <c r="N3195" s="1" t="inlineStr">
        <is>
          <t>21.08.2026</t>
        </is>
      </c>
      <c r="O3195" s="1" t="inlineStr"/>
      <c r="P3195" s="1" t="inlineStr"/>
      <c r="Q3195" s="1" t="inlineStr">
        <is>
          <t>Пользовательский интерфейс</t>
        </is>
      </c>
    </row>
    <row r="3196">
      <c r="B3196" s="1" t="inlineStr">
        <is>
          <t>216771174</t>
        </is>
      </c>
      <c r="C3196" s="1" t="inlineStr">
        <is>
          <t>15571832</t>
        </is>
      </c>
      <c r="D3196" t="inlineStr">
        <is>
          <t>работник 178</t>
        </is>
      </c>
      <c r="E3196" s="1" t="inlineStr">
        <is>
          <t>ОБЩЕСТВО С ОГРАНИЧЕННОЙ ОТВЕТСТВЕННОСТЬЮ "АМУР ЗОЛОТО"</t>
        </is>
      </c>
      <c r="F3196" s="1" t="inlineStr">
        <is>
          <t>2708001686</t>
        </is>
      </c>
      <c r="G3196" s="1" t="inlineStr">
        <is>
          <t>Машинист погрузочно-доставочной машины (занятый на транспортировании горной массы в технологическом процессе)</t>
        </is>
      </c>
      <c r="H3196" s="1" t="inlineStr">
        <is>
          <t>ООО "Амур Золото"</t>
        </is>
      </c>
      <c r="I3196" s="1" t="inlineStr">
        <is>
          <t>2708001686</t>
        </is>
      </c>
      <c r="J3196" s="1" t="inlineStr">
        <is>
          <t>ЮГОК ПГУ 26-50</t>
        </is>
      </c>
      <c r="K3196" s="1" t="inlineStr">
        <is>
          <t>Использование (применение) средств индивидуальной защиты</t>
        </is>
      </c>
      <c r="L3196" s="1" t="inlineStr">
        <is>
          <t>16.08.2026</t>
        </is>
      </c>
      <c r="M3196" s="1" t="inlineStr">
        <is>
          <t>Успешно</t>
        </is>
      </c>
      <c r="N3196" s="1" t="inlineStr">
        <is>
          <t>21.08.2026</t>
        </is>
      </c>
      <c r="O3196" s="1" t="inlineStr"/>
      <c r="P3196" s="1" t="inlineStr"/>
      <c r="Q3196" s="1" t="inlineStr">
        <is>
          <t>Пользовательский интерфейс</t>
        </is>
      </c>
    </row>
    <row r="3197">
      <c r="B3197" s="1" t="inlineStr">
        <is>
          <t>216771175</t>
        </is>
      </c>
      <c r="C3197" s="1" t="inlineStr">
        <is>
          <t>15571832</t>
        </is>
      </c>
      <c r="D3197" t="inlineStr">
        <is>
          <t>работник 178</t>
        </is>
      </c>
      <c r="E3197" s="1" t="inlineStr">
        <is>
          <t>ОБЩЕСТВО С ОГРАНИЧЕННОЙ ОТВЕТСТВЕННОСТЬЮ "АМУР ЗОЛОТО"</t>
        </is>
      </c>
      <c r="F3197" s="1" t="inlineStr">
        <is>
          <t>2708001686</t>
        </is>
      </c>
      <c r="G3197" s="1" t="inlineStr">
        <is>
          <t>Машинист погрузочно-доставочной машины (занятый на транспортировании горной массы в технологическом процессе)</t>
        </is>
      </c>
      <c r="H3197" s="1" t="inlineStr">
        <is>
          <t>ООО "Амур Золото"</t>
        </is>
      </c>
      <c r="I3197" s="1" t="inlineStr">
        <is>
          <t>2708001686</t>
        </is>
      </c>
      <c r="J3197" s="1" t="inlineStr">
        <is>
          <t>ЮГОК ПГУ 26-50</t>
        </is>
      </c>
      <c r="K319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197" s="1" t="inlineStr">
        <is>
          <t>16.08.2026</t>
        </is>
      </c>
      <c r="M3197" s="1" t="inlineStr">
        <is>
          <t>Успешно</t>
        </is>
      </c>
      <c r="N3197" s="1" t="inlineStr">
        <is>
          <t>21.08.2026</t>
        </is>
      </c>
      <c r="O3197" s="1" t="inlineStr"/>
      <c r="P3197" s="1" t="inlineStr"/>
      <c r="Q3197" s="1" t="inlineStr">
        <is>
          <t>Пользовательский интерфейс</t>
        </is>
      </c>
    </row>
    <row r="3198">
      <c r="B3198" s="1" t="inlineStr">
        <is>
          <t>216771176</t>
        </is>
      </c>
      <c r="C3198" s="1" t="inlineStr">
        <is>
          <t>15571832</t>
        </is>
      </c>
      <c r="D3198" t="inlineStr">
        <is>
          <t>работник 319</t>
        </is>
      </c>
      <c r="E3198" s="1" t="inlineStr">
        <is>
          <t>ОБЩЕСТВО С ОГРАНИЧЕННОЙ ОТВЕТСТВЕННОСТЬЮ "АМУР ЗОЛОТО"</t>
        </is>
      </c>
      <c r="F3198" s="1" t="inlineStr">
        <is>
          <t>2708001686</t>
        </is>
      </c>
      <c r="G3198" s="1" t="inlineStr">
        <is>
          <t>Машинист погрузочно-доставочной машины (занятый на транспортировании горной массы в технологическом процессе)</t>
        </is>
      </c>
      <c r="H3198" s="1" t="inlineStr">
        <is>
          <t>ООО "Амур Золото"</t>
        </is>
      </c>
      <c r="I3198" s="1" t="inlineStr">
        <is>
          <t>2708001686</t>
        </is>
      </c>
      <c r="J3198" s="1" t="inlineStr">
        <is>
          <t>ЮГОК ПГУ 26-50</t>
        </is>
      </c>
      <c r="K3198" s="1" t="inlineStr">
        <is>
          <t>Оказание первой помощи пострадавшим</t>
        </is>
      </c>
      <c r="L3198" s="1" t="inlineStr">
        <is>
          <t>16.08.2026</t>
        </is>
      </c>
      <c r="M3198" s="1" t="inlineStr">
        <is>
          <t>Успешно</t>
        </is>
      </c>
      <c r="N3198" s="1" t="inlineStr">
        <is>
          <t>21.08.2026</t>
        </is>
      </c>
      <c r="O3198" s="1" t="inlineStr"/>
      <c r="P3198" s="1" t="inlineStr"/>
      <c r="Q3198" s="1" t="inlineStr">
        <is>
          <t>Пользовательский интерфейс</t>
        </is>
      </c>
    </row>
    <row r="3199">
      <c r="B3199" s="1" t="inlineStr">
        <is>
          <t>216771177</t>
        </is>
      </c>
      <c r="C3199" s="1" t="inlineStr">
        <is>
          <t>15571832</t>
        </is>
      </c>
      <c r="D3199" t="inlineStr">
        <is>
          <t>работник 319</t>
        </is>
      </c>
      <c r="E3199" s="1" t="inlineStr">
        <is>
          <t>ОБЩЕСТВО С ОГРАНИЧЕННОЙ ОТВЕТСТВЕННОСТЬЮ "АМУР ЗОЛОТО"</t>
        </is>
      </c>
      <c r="F3199" s="1" t="inlineStr">
        <is>
          <t>2708001686</t>
        </is>
      </c>
      <c r="G3199" s="1" t="inlineStr">
        <is>
          <t>Машинист погрузочно-доставочной машины (занятый на транспортировании горной массы в технологическом процессе)</t>
        </is>
      </c>
      <c r="H3199" s="1" t="inlineStr">
        <is>
          <t>ООО "Амур Золото"</t>
        </is>
      </c>
      <c r="I3199" s="1" t="inlineStr">
        <is>
          <t>2708001686</t>
        </is>
      </c>
      <c r="J3199" s="1" t="inlineStr">
        <is>
          <t>ЮГОК ПГУ 26-50</t>
        </is>
      </c>
      <c r="K3199" s="1" t="inlineStr">
        <is>
          <t>Использование (применение) средств индивидуальной защиты</t>
        </is>
      </c>
      <c r="L3199" s="1" t="inlineStr">
        <is>
          <t>16.08.2026</t>
        </is>
      </c>
      <c r="M3199" s="1" t="inlineStr">
        <is>
          <t>Успешно</t>
        </is>
      </c>
      <c r="N3199" s="1" t="inlineStr">
        <is>
          <t>21.08.2026</t>
        </is>
      </c>
      <c r="O3199" s="1" t="inlineStr"/>
      <c r="P3199" s="1" t="inlineStr"/>
      <c r="Q3199" s="1" t="inlineStr">
        <is>
          <t>Пользовательский интерфейс</t>
        </is>
      </c>
    </row>
    <row r="3200">
      <c r="B3200" s="1" t="inlineStr">
        <is>
          <t>216771178</t>
        </is>
      </c>
      <c r="C3200" s="1" t="inlineStr">
        <is>
          <t>15571832</t>
        </is>
      </c>
      <c r="D3200" t="inlineStr">
        <is>
          <t>работник 319</t>
        </is>
      </c>
      <c r="E3200" s="1" t="inlineStr">
        <is>
          <t>ОБЩЕСТВО С ОГРАНИЧЕННОЙ ОТВЕТСТВЕННОСТЬЮ "АМУР ЗОЛОТО"</t>
        </is>
      </c>
      <c r="F3200" s="1" t="inlineStr">
        <is>
          <t>2708001686</t>
        </is>
      </c>
      <c r="G3200" s="1" t="inlineStr">
        <is>
          <t>Машинист погрузочно-доставочной машины (занятый на транспортировании горной массы в технологическом процессе)</t>
        </is>
      </c>
      <c r="H3200" s="1" t="inlineStr">
        <is>
          <t>ООО "Амур Золото"</t>
        </is>
      </c>
      <c r="I3200" s="1" t="inlineStr">
        <is>
          <t>2708001686</t>
        </is>
      </c>
      <c r="J3200" s="1" t="inlineStr">
        <is>
          <t>ЮГОК ПГУ 26-50</t>
        </is>
      </c>
      <c r="K320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200" s="1" t="inlineStr">
        <is>
          <t>16.08.2026</t>
        </is>
      </c>
      <c r="M3200" s="1" t="inlineStr">
        <is>
          <t>Успешно</t>
        </is>
      </c>
      <c r="N3200" s="1" t="inlineStr">
        <is>
          <t>21.08.2026</t>
        </is>
      </c>
      <c r="O3200" s="1" t="inlineStr"/>
      <c r="P3200" s="1" t="inlineStr"/>
      <c r="Q3200" s="1" t="inlineStr">
        <is>
          <t>Пользовательский интерфейс</t>
        </is>
      </c>
    </row>
    <row r="3201">
      <c r="B3201" s="1" t="inlineStr">
        <is>
          <t>216771179</t>
        </is>
      </c>
      <c r="C3201" s="1" t="inlineStr">
        <is>
          <t>15571832</t>
        </is>
      </c>
      <c r="D3201" t="inlineStr">
        <is>
          <t>работник 172</t>
        </is>
      </c>
      <c r="E3201" s="1" t="inlineStr">
        <is>
          <t>ОБЩЕСТВО С ОГРАНИЧЕННОЙ ОТВЕТСТВЕННОСТЬЮ "АМУР ЗОЛОТО"</t>
        </is>
      </c>
      <c r="F3201" s="1" t="inlineStr">
        <is>
          <t>2708001686</t>
        </is>
      </c>
      <c r="G3201" s="1" t="inlineStr">
        <is>
          <t>Машинист погрузочно-доставочной машины (занятый на транспортировании горной массы в технологическом процессе)</t>
        </is>
      </c>
      <c r="H3201" s="1" t="inlineStr">
        <is>
          <t>ООО "Амур Золото"</t>
        </is>
      </c>
      <c r="I3201" s="1" t="inlineStr">
        <is>
          <t>2708001686</t>
        </is>
      </c>
      <c r="J3201" s="1" t="inlineStr">
        <is>
          <t>ЮГОК ПГУ 26-50</t>
        </is>
      </c>
      <c r="K3201" s="1" t="inlineStr">
        <is>
          <t>Оказание первой помощи пострадавшим</t>
        </is>
      </c>
      <c r="L3201" s="1" t="inlineStr">
        <is>
          <t>16.08.2026</t>
        </is>
      </c>
      <c r="M3201" s="1" t="inlineStr">
        <is>
          <t>Успешно</t>
        </is>
      </c>
      <c r="N3201" s="1" t="inlineStr">
        <is>
          <t>21.08.2026</t>
        </is>
      </c>
      <c r="O3201" s="1" t="inlineStr"/>
      <c r="P3201" s="1" t="inlineStr"/>
      <c r="Q3201" s="1" t="inlineStr">
        <is>
          <t>Пользовательский интерфейс</t>
        </is>
      </c>
    </row>
    <row r="3202">
      <c r="B3202" s="1" t="inlineStr">
        <is>
          <t>216771180</t>
        </is>
      </c>
      <c r="C3202" s="1" t="inlineStr">
        <is>
          <t>15571832</t>
        </is>
      </c>
      <c r="D3202" t="inlineStr">
        <is>
          <t>работник 172</t>
        </is>
      </c>
      <c r="E3202" s="1" t="inlineStr">
        <is>
          <t>ОБЩЕСТВО С ОГРАНИЧЕННОЙ ОТВЕТСТВЕННОСТЬЮ "АМУР ЗОЛОТО"</t>
        </is>
      </c>
      <c r="F3202" s="1" t="inlineStr">
        <is>
          <t>2708001686</t>
        </is>
      </c>
      <c r="G3202" s="1" t="inlineStr">
        <is>
          <t>Машинист погрузочно-доставочной машины (занятый на транспортировании горной массы в технологическом процессе)</t>
        </is>
      </c>
      <c r="H3202" s="1" t="inlineStr">
        <is>
          <t>ООО "Амур Золото"</t>
        </is>
      </c>
      <c r="I3202" s="1" t="inlineStr">
        <is>
          <t>2708001686</t>
        </is>
      </c>
      <c r="J3202" s="1" t="inlineStr">
        <is>
          <t>ЮГОК ПГУ 26-50</t>
        </is>
      </c>
      <c r="K3202" s="1" t="inlineStr">
        <is>
          <t>Использование (применение) средств индивидуальной защиты</t>
        </is>
      </c>
      <c r="L3202" s="1" t="inlineStr">
        <is>
          <t>16.08.2026</t>
        </is>
      </c>
      <c r="M3202" s="1" t="inlineStr">
        <is>
          <t>Успешно</t>
        </is>
      </c>
      <c r="N3202" s="1" t="inlineStr">
        <is>
          <t>21.08.2026</t>
        </is>
      </c>
      <c r="O3202" s="1" t="inlineStr"/>
      <c r="P3202" s="1" t="inlineStr"/>
      <c r="Q3202" s="1" t="inlineStr">
        <is>
          <t>Пользовательский интерфейс</t>
        </is>
      </c>
    </row>
    <row r="3203">
      <c r="B3203" s="1" t="inlineStr">
        <is>
          <t>216771181</t>
        </is>
      </c>
      <c r="C3203" s="1" t="inlineStr">
        <is>
          <t>15571832</t>
        </is>
      </c>
      <c r="D3203" t="inlineStr">
        <is>
          <t>работник 172</t>
        </is>
      </c>
      <c r="E3203" s="1" t="inlineStr">
        <is>
          <t>ОБЩЕСТВО С ОГРАНИЧЕННОЙ ОТВЕТСТВЕННОСТЬЮ "АМУР ЗОЛОТО"</t>
        </is>
      </c>
      <c r="F3203" s="1" t="inlineStr">
        <is>
          <t>2708001686</t>
        </is>
      </c>
      <c r="G3203" s="1" t="inlineStr">
        <is>
          <t>Машинист погрузочно-доставочной машины (занятый на транспортировании горной массы в технологическом процессе)</t>
        </is>
      </c>
      <c r="H3203" s="1" t="inlineStr">
        <is>
          <t>ООО "Амур Золото"</t>
        </is>
      </c>
      <c r="I3203" s="1" t="inlineStr">
        <is>
          <t>2708001686</t>
        </is>
      </c>
      <c r="J3203" s="1" t="inlineStr">
        <is>
          <t>ЮГОК ПГУ 26-50</t>
        </is>
      </c>
      <c r="K320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203" s="1" t="inlineStr">
        <is>
          <t>16.08.2026</t>
        </is>
      </c>
      <c r="M3203" s="1" t="inlineStr">
        <is>
          <t>Успешно</t>
        </is>
      </c>
      <c r="N3203" s="1" t="inlineStr">
        <is>
          <t>21.08.2026</t>
        </is>
      </c>
      <c r="O3203" s="1" t="inlineStr"/>
      <c r="P3203" s="1" t="inlineStr"/>
      <c r="Q3203" s="1" t="inlineStr">
        <is>
          <t>Пользовательский интерфейс</t>
        </is>
      </c>
    </row>
    <row r="3204">
      <c r="B3204" s="1" t="inlineStr">
        <is>
          <t>216771182</t>
        </is>
      </c>
      <c r="C3204" s="1" t="inlineStr">
        <is>
          <t>15571832</t>
        </is>
      </c>
      <c r="D3204" t="inlineStr">
        <is>
          <t>работник 891</t>
        </is>
      </c>
      <c r="E3204" s="1" t="inlineStr">
        <is>
          <t>ОБЩЕСТВО С ОГРАНИЧЕННОЙ ОТВЕТСТВЕННОСТЬЮ "АМУР ЗОЛОТО"</t>
        </is>
      </c>
      <c r="F3204" s="1" t="inlineStr">
        <is>
          <t>2708001686</t>
        </is>
      </c>
      <c r="G3204" s="1" t="inlineStr">
        <is>
          <t>Машинист погрузочно-доставочной машины (занятый на транспортировании горной массы в технологическом процессе)</t>
        </is>
      </c>
      <c r="H3204" s="1" t="inlineStr">
        <is>
          <t>ООО "Амур Золото"</t>
        </is>
      </c>
      <c r="I3204" s="1" t="inlineStr">
        <is>
          <t>2708001686</t>
        </is>
      </c>
      <c r="J3204" s="1" t="inlineStr">
        <is>
          <t>ЮГОК ПГУ 26-50</t>
        </is>
      </c>
      <c r="K3204" s="1" t="inlineStr">
        <is>
          <t>Оказание первой помощи пострадавшим</t>
        </is>
      </c>
      <c r="L3204" s="1" t="inlineStr">
        <is>
          <t>16.08.2026</t>
        </is>
      </c>
      <c r="M3204" s="1" t="inlineStr">
        <is>
          <t>Успешно</t>
        </is>
      </c>
      <c r="N3204" s="1" t="inlineStr">
        <is>
          <t>21.08.2026</t>
        </is>
      </c>
      <c r="O3204" s="1" t="inlineStr"/>
      <c r="P3204" s="1" t="inlineStr"/>
      <c r="Q3204" s="1" t="inlineStr">
        <is>
          <t>Пользовательский интерфейс</t>
        </is>
      </c>
    </row>
    <row r="3205">
      <c r="B3205" s="1" t="inlineStr">
        <is>
          <t>216771183</t>
        </is>
      </c>
      <c r="C3205" s="1" t="inlineStr">
        <is>
          <t>15571832</t>
        </is>
      </c>
      <c r="D3205" t="inlineStr">
        <is>
          <t>работник 891</t>
        </is>
      </c>
      <c r="E3205" s="1" t="inlineStr">
        <is>
          <t>ОБЩЕСТВО С ОГРАНИЧЕННОЙ ОТВЕТСТВЕННОСТЬЮ "АМУР ЗОЛОТО"</t>
        </is>
      </c>
      <c r="F3205" s="1" t="inlineStr">
        <is>
          <t>2708001686</t>
        </is>
      </c>
      <c r="G3205" s="1" t="inlineStr">
        <is>
          <t>Машинист погрузочно-доставочной машины (занятый на транспортировании горной массы в технологическом процессе)</t>
        </is>
      </c>
      <c r="H3205" s="1" t="inlineStr">
        <is>
          <t>ООО "Амур Золото"</t>
        </is>
      </c>
      <c r="I3205" s="1" t="inlineStr">
        <is>
          <t>2708001686</t>
        </is>
      </c>
      <c r="J3205" s="1" t="inlineStr">
        <is>
          <t>ЮГОК ПГУ 26-50</t>
        </is>
      </c>
      <c r="K3205" s="1" t="inlineStr">
        <is>
          <t>Использование (применение) средств индивидуальной защиты</t>
        </is>
      </c>
      <c r="L3205" s="1" t="inlineStr">
        <is>
          <t>16.08.2026</t>
        </is>
      </c>
      <c r="M3205" s="1" t="inlineStr">
        <is>
          <t>Успешно</t>
        </is>
      </c>
      <c r="N3205" s="1" t="inlineStr">
        <is>
          <t>21.08.2026</t>
        </is>
      </c>
      <c r="O3205" s="1" t="inlineStr"/>
      <c r="P3205" s="1" t="inlineStr"/>
      <c r="Q3205" s="1" t="inlineStr">
        <is>
          <t>Пользовательский интерфейс</t>
        </is>
      </c>
    </row>
    <row r="3206">
      <c r="B3206" s="1" t="inlineStr">
        <is>
          <t>216771184</t>
        </is>
      </c>
      <c r="C3206" s="1" t="inlineStr">
        <is>
          <t>15571832</t>
        </is>
      </c>
      <c r="D3206" t="inlineStr">
        <is>
          <t>работник 892</t>
        </is>
      </c>
      <c r="E3206" s="1" t="inlineStr">
        <is>
          <t>ОБЩЕСТВО С ОГРАНИЧЕННОЙ ОТВЕТСТВЕННОСТЬЮ "АМУР ЗОЛОТО"</t>
        </is>
      </c>
      <c r="F3206" s="1" t="inlineStr">
        <is>
          <t>2708001686</t>
        </is>
      </c>
      <c r="G3206" s="1" t="inlineStr">
        <is>
          <t>Машинист погрузочно-доставочной машины (занятый на транспортировании горной массы в технологическом процессе)</t>
        </is>
      </c>
      <c r="H3206" s="1" t="inlineStr">
        <is>
          <t>ООО "Амур Золото"</t>
        </is>
      </c>
      <c r="I3206" s="1" t="inlineStr">
        <is>
          <t>2708001686</t>
        </is>
      </c>
      <c r="J3206" s="1" t="inlineStr">
        <is>
          <t>ЮГОК ПГУ 26-50</t>
        </is>
      </c>
      <c r="K3206" s="1" t="inlineStr">
        <is>
          <t>Оказание первой помощи пострадавшим</t>
        </is>
      </c>
      <c r="L3206" s="1" t="inlineStr">
        <is>
          <t>16.08.2026</t>
        </is>
      </c>
      <c r="M3206" s="1" t="inlineStr">
        <is>
          <t>Успешно</t>
        </is>
      </c>
      <c r="N3206" s="1" t="inlineStr">
        <is>
          <t>21.08.2026</t>
        </is>
      </c>
      <c r="O3206" s="1" t="inlineStr"/>
      <c r="P3206" s="1" t="inlineStr"/>
      <c r="Q3206" s="1" t="inlineStr">
        <is>
          <t>Пользовательский интерфейс</t>
        </is>
      </c>
    </row>
    <row r="3207">
      <c r="B3207" s="1" t="inlineStr">
        <is>
          <t>216771185</t>
        </is>
      </c>
      <c r="C3207" s="1" t="inlineStr">
        <is>
          <t>15571832</t>
        </is>
      </c>
      <c r="D3207" t="inlineStr">
        <is>
          <t>работник 891</t>
        </is>
      </c>
      <c r="E3207" s="1" t="inlineStr">
        <is>
          <t>ОБЩЕСТВО С ОГРАНИЧЕННОЙ ОТВЕТСТВЕННОСТЬЮ "АМУР ЗОЛОТО"</t>
        </is>
      </c>
      <c r="F3207" s="1" t="inlineStr">
        <is>
          <t>2708001686</t>
        </is>
      </c>
      <c r="G3207" s="1" t="inlineStr">
        <is>
          <t>Машинист погрузочно-доставочной машины (занятый на транспортировании горной массы в технологическом процессе)</t>
        </is>
      </c>
      <c r="H3207" s="1" t="inlineStr">
        <is>
          <t>ООО "Амур Золото"</t>
        </is>
      </c>
      <c r="I3207" s="1" t="inlineStr">
        <is>
          <t>2708001686</t>
        </is>
      </c>
      <c r="J3207" s="1" t="inlineStr">
        <is>
          <t>ЮГОК ПГУ 26-50</t>
        </is>
      </c>
      <c r="K320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207" s="1" t="inlineStr">
        <is>
          <t>16.08.2026</t>
        </is>
      </c>
      <c r="M3207" s="1" t="inlineStr">
        <is>
          <t>Успешно</t>
        </is>
      </c>
      <c r="N3207" s="1" t="inlineStr">
        <is>
          <t>21.08.2026</t>
        </is>
      </c>
      <c r="O3207" s="1" t="inlineStr"/>
      <c r="P3207" s="1" t="inlineStr"/>
      <c r="Q3207" s="1" t="inlineStr">
        <is>
          <t>Пользовательский интерфейс</t>
        </is>
      </c>
    </row>
    <row r="3208">
      <c r="B3208" s="1" t="inlineStr">
        <is>
          <t>216771186</t>
        </is>
      </c>
      <c r="C3208" s="1" t="inlineStr">
        <is>
          <t>15571832</t>
        </is>
      </c>
      <c r="D3208" t="inlineStr">
        <is>
          <t>работник 893</t>
        </is>
      </c>
      <c r="E3208" s="1" t="inlineStr">
        <is>
          <t>ОБЩЕСТВО С ОГРАНИЧЕННОЙ ОТВЕТСТВЕННОСТЬЮ "АМУР ЗОЛОТО"</t>
        </is>
      </c>
      <c r="F3208" s="1" t="inlineStr">
        <is>
          <t>2708001686</t>
        </is>
      </c>
      <c r="G3208" s="1" t="inlineStr">
        <is>
          <t>Машинист погрузочно-доставочной машины (занятый на транспортировании горной массы в технологическом процессе)</t>
        </is>
      </c>
      <c r="H3208" s="1" t="inlineStr">
        <is>
          <t>ООО "Амур Золото"</t>
        </is>
      </c>
      <c r="I3208" s="1" t="inlineStr">
        <is>
          <t>2708001686</t>
        </is>
      </c>
      <c r="J3208" s="1" t="inlineStr">
        <is>
          <t>ЮГОК ПГУ 26-50</t>
        </is>
      </c>
      <c r="K3208" s="1" t="inlineStr">
        <is>
          <t>Оказание первой помощи пострадавшим</t>
        </is>
      </c>
      <c r="L3208" s="1" t="inlineStr">
        <is>
          <t>16.08.2026</t>
        </is>
      </c>
      <c r="M3208" s="1" t="inlineStr">
        <is>
          <t>Успешно</t>
        </is>
      </c>
      <c r="N3208" s="1" t="inlineStr">
        <is>
          <t>21.08.2026</t>
        </is>
      </c>
      <c r="O3208" s="1" t="inlineStr"/>
      <c r="P3208" s="1" t="inlineStr"/>
      <c r="Q3208" s="1" t="inlineStr">
        <is>
          <t>Пользовательский интерфейс</t>
        </is>
      </c>
    </row>
    <row r="3209">
      <c r="B3209" s="1" t="inlineStr">
        <is>
          <t>216771187</t>
        </is>
      </c>
      <c r="C3209" s="1" t="inlineStr">
        <is>
          <t>15571832</t>
        </is>
      </c>
      <c r="D3209" t="inlineStr">
        <is>
          <t>работник 893</t>
        </is>
      </c>
      <c r="E3209" s="1" t="inlineStr">
        <is>
          <t>ОБЩЕСТВО С ОГРАНИЧЕННОЙ ОТВЕТСТВЕННОСТЬЮ "АМУР ЗОЛОТО"</t>
        </is>
      </c>
      <c r="F3209" s="1" t="inlineStr">
        <is>
          <t>2708001686</t>
        </is>
      </c>
      <c r="G3209" s="1" t="inlineStr">
        <is>
          <t>Машинист погрузочно-доставочной машины (занятый на транспортировании горной массы в технологическом процессе)</t>
        </is>
      </c>
      <c r="H3209" s="1" t="inlineStr">
        <is>
          <t>ООО "Амур Золото"</t>
        </is>
      </c>
      <c r="I3209" s="1" t="inlineStr">
        <is>
          <t>2708001686</t>
        </is>
      </c>
      <c r="J3209" s="1" t="inlineStr">
        <is>
          <t>ЮГОК ПГУ 26-50</t>
        </is>
      </c>
      <c r="K3209" s="1" t="inlineStr">
        <is>
          <t>Использование (применение) средств индивидуальной защиты</t>
        </is>
      </c>
      <c r="L3209" s="1" t="inlineStr">
        <is>
          <t>16.08.2026</t>
        </is>
      </c>
      <c r="M3209" s="1" t="inlineStr">
        <is>
          <t>Успешно</t>
        </is>
      </c>
      <c r="N3209" s="1" t="inlineStr">
        <is>
          <t>21.08.2026</t>
        </is>
      </c>
      <c r="O3209" s="1" t="inlineStr"/>
      <c r="P3209" s="1" t="inlineStr"/>
      <c r="Q3209" s="1" t="inlineStr">
        <is>
          <t>Пользовательский интерфейс</t>
        </is>
      </c>
    </row>
    <row r="3210">
      <c r="B3210" s="1" t="inlineStr">
        <is>
          <t>216771188</t>
        </is>
      </c>
      <c r="C3210" s="1" t="inlineStr">
        <is>
          <t>15571832</t>
        </is>
      </c>
      <c r="D3210" t="inlineStr">
        <is>
          <t>работник 893</t>
        </is>
      </c>
      <c r="E3210" s="1" t="inlineStr">
        <is>
          <t>ОБЩЕСТВО С ОГРАНИЧЕННОЙ ОТВЕТСТВЕННОСТЬЮ "АМУР ЗОЛОТО"</t>
        </is>
      </c>
      <c r="F3210" s="1" t="inlineStr">
        <is>
          <t>2708001686</t>
        </is>
      </c>
      <c r="G3210" s="1" t="inlineStr">
        <is>
          <t>Машинист погрузочно-доставочной машины (занятый на транспортировании горной массы в технологическом процессе)</t>
        </is>
      </c>
      <c r="H3210" s="1" t="inlineStr">
        <is>
          <t>ООО "Амур Золото"</t>
        </is>
      </c>
      <c r="I3210" s="1" t="inlineStr">
        <is>
          <t>2708001686</t>
        </is>
      </c>
      <c r="J3210" s="1" t="inlineStr">
        <is>
          <t>ЮГОК ПГУ 26-50</t>
        </is>
      </c>
      <c r="K321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210" s="1" t="inlineStr">
        <is>
          <t>16.08.2026</t>
        </is>
      </c>
      <c r="M3210" s="1" t="inlineStr">
        <is>
          <t>Успешно</t>
        </is>
      </c>
      <c r="N3210" s="1" t="inlineStr">
        <is>
          <t>21.08.2026</t>
        </is>
      </c>
      <c r="O3210" s="1" t="inlineStr"/>
      <c r="P3210" s="1" t="inlineStr"/>
      <c r="Q3210" s="1" t="inlineStr">
        <is>
          <t>Пользовательский интерфейс</t>
        </is>
      </c>
    </row>
    <row r="3211">
      <c r="B3211" s="1" t="inlineStr">
        <is>
          <t>216771189</t>
        </is>
      </c>
      <c r="C3211" s="1" t="inlineStr">
        <is>
          <t>15571832</t>
        </is>
      </c>
      <c r="D3211" t="inlineStr">
        <is>
          <t>работник 151</t>
        </is>
      </c>
      <c r="E3211" s="1" t="inlineStr">
        <is>
          <t>ОБЩЕСТВО С ОГРАНИЧЕННОЙ ОТВЕТСТВЕННОСТЬЮ "АМУР ЗОЛОТО"</t>
        </is>
      </c>
      <c r="F3211" s="1" t="inlineStr">
        <is>
          <t>2708001686</t>
        </is>
      </c>
      <c r="G3211" s="1" t="inlineStr">
        <is>
          <t>Машинист погрузочно-доставочной машины (занятый на транспортировании горной массы в технологическом процессе)</t>
        </is>
      </c>
      <c r="H3211" s="1" t="inlineStr">
        <is>
          <t>ООО "Амур Золото"</t>
        </is>
      </c>
      <c r="I3211" s="1" t="inlineStr">
        <is>
          <t>2708001686</t>
        </is>
      </c>
      <c r="J3211" s="1" t="inlineStr">
        <is>
          <t>ЮГОК ПГУ 26-50</t>
        </is>
      </c>
      <c r="K3211" s="1" t="inlineStr">
        <is>
          <t>Оказание первой помощи пострадавшим</t>
        </is>
      </c>
      <c r="L3211" s="1" t="inlineStr">
        <is>
          <t>16.08.2026</t>
        </is>
      </c>
      <c r="M3211" s="1" t="inlineStr">
        <is>
          <t>Успешно</t>
        </is>
      </c>
      <c r="N3211" s="1" t="inlineStr">
        <is>
          <t>21.08.2026</t>
        </is>
      </c>
      <c r="O3211" s="1" t="inlineStr"/>
      <c r="P3211" s="1" t="inlineStr"/>
      <c r="Q3211" s="1" t="inlineStr">
        <is>
          <t>Пользовательский интерфейс</t>
        </is>
      </c>
    </row>
    <row r="3212">
      <c r="B3212" s="1" t="inlineStr">
        <is>
          <t>216771190</t>
        </is>
      </c>
      <c r="C3212" s="1" t="inlineStr">
        <is>
          <t>15571832</t>
        </is>
      </c>
      <c r="D3212" t="inlineStr">
        <is>
          <t>работник 151</t>
        </is>
      </c>
      <c r="E3212" s="1" t="inlineStr">
        <is>
          <t>ОБЩЕСТВО С ОГРАНИЧЕННОЙ ОТВЕТСТВЕННОСТЬЮ "АМУР ЗОЛОТО"</t>
        </is>
      </c>
      <c r="F3212" s="1" t="inlineStr">
        <is>
          <t>2708001686</t>
        </is>
      </c>
      <c r="G3212" s="1" t="inlineStr">
        <is>
          <t>Машинист погрузочно-доставочной машины (занятый на транспортировании горной массы в технологическом процессе)</t>
        </is>
      </c>
      <c r="H3212" s="1" t="inlineStr">
        <is>
          <t>ООО "Амур Золото"</t>
        </is>
      </c>
      <c r="I3212" s="1" t="inlineStr">
        <is>
          <t>2708001686</t>
        </is>
      </c>
      <c r="J3212" s="1" t="inlineStr">
        <is>
          <t>ЮГОК ПГУ 26-50</t>
        </is>
      </c>
      <c r="K3212" s="1" t="inlineStr">
        <is>
          <t>Использование (применение) средств индивидуальной защиты</t>
        </is>
      </c>
      <c r="L3212" s="1" t="inlineStr">
        <is>
          <t>16.08.2026</t>
        </is>
      </c>
      <c r="M3212" s="1" t="inlineStr">
        <is>
          <t>Успешно</t>
        </is>
      </c>
      <c r="N3212" s="1" t="inlineStr">
        <is>
          <t>21.08.2026</t>
        </is>
      </c>
      <c r="O3212" s="1" t="inlineStr"/>
      <c r="P3212" s="1" t="inlineStr"/>
      <c r="Q3212" s="1" t="inlineStr">
        <is>
          <t>Пользовательский интерфейс</t>
        </is>
      </c>
    </row>
    <row r="3213">
      <c r="B3213" s="1" t="inlineStr">
        <is>
          <t>216771191</t>
        </is>
      </c>
      <c r="C3213" s="1" t="inlineStr">
        <is>
          <t>15571832</t>
        </is>
      </c>
      <c r="D3213" t="inlineStr">
        <is>
          <t>работник 151</t>
        </is>
      </c>
      <c r="E3213" s="1" t="inlineStr">
        <is>
          <t>ОБЩЕСТВО С ОГРАНИЧЕННОЙ ОТВЕТСТВЕННОСТЬЮ "АМУР ЗОЛОТО"</t>
        </is>
      </c>
      <c r="F3213" s="1" t="inlineStr">
        <is>
          <t>2708001686</t>
        </is>
      </c>
      <c r="G3213" s="1" t="inlineStr">
        <is>
          <t>Машинист погрузочно-доставочной машины (занятый на транспортировании горной массы в технологическом процессе)</t>
        </is>
      </c>
      <c r="H3213" s="1" t="inlineStr">
        <is>
          <t>ООО "Амур Золото"</t>
        </is>
      </c>
      <c r="I3213" s="1" t="inlineStr">
        <is>
          <t>2708001686</t>
        </is>
      </c>
      <c r="J3213" s="1" t="inlineStr">
        <is>
          <t>ЮГОК ПГУ 26-50</t>
        </is>
      </c>
      <c r="K321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213" s="1" t="inlineStr">
        <is>
          <t>16.08.2026</t>
        </is>
      </c>
      <c r="M3213" s="1" t="inlineStr">
        <is>
          <t>Успешно</t>
        </is>
      </c>
      <c r="N3213" s="1" t="inlineStr">
        <is>
          <t>21.08.2026</t>
        </is>
      </c>
      <c r="O3213" s="1" t="inlineStr"/>
      <c r="P3213" s="1" t="inlineStr"/>
      <c r="Q3213" s="1" t="inlineStr">
        <is>
          <t>Пользовательский интерфейс</t>
        </is>
      </c>
    </row>
    <row r="3214">
      <c r="B3214" s="1" t="inlineStr">
        <is>
          <t>216771192</t>
        </is>
      </c>
      <c r="C3214" s="1" t="inlineStr">
        <is>
          <t>15571832</t>
        </is>
      </c>
      <c r="D3214" t="inlineStr">
        <is>
          <t>работник 495</t>
        </is>
      </c>
      <c r="E3214" s="1" t="inlineStr">
        <is>
          <t>ОБЩЕСТВО С ОГРАНИЧЕННОЙ ОТВЕТСТВЕННОСТЬЮ "АМУР ЗОЛОТО"</t>
        </is>
      </c>
      <c r="F3214" s="1" t="inlineStr">
        <is>
          <t>2708001686</t>
        </is>
      </c>
      <c r="G3214" s="1" t="inlineStr">
        <is>
          <t>Машинист погрузочно-доставочной машины (занятый на транспортировании горной массы в технологическом процессе)</t>
        </is>
      </c>
      <c r="H3214" s="1" t="inlineStr">
        <is>
          <t>ООО "Амур Золото"</t>
        </is>
      </c>
      <c r="I3214" s="1" t="inlineStr">
        <is>
          <t>2708001686</t>
        </is>
      </c>
      <c r="J3214" s="1" t="inlineStr">
        <is>
          <t>ЮГОК ПГУ 26-50</t>
        </is>
      </c>
      <c r="K3214" s="1" t="inlineStr">
        <is>
          <t>Оказание первой помощи пострадавшим</t>
        </is>
      </c>
      <c r="L3214" s="1" t="inlineStr">
        <is>
          <t>16.08.2026</t>
        </is>
      </c>
      <c r="M3214" s="1" t="inlineStr">
        <is>
          <t>Успешно</t>
        </is>
      </c>
      <c r="N3214" s="1" t="inlineStr">
        <is>
          <t>21.08.2026</t>
        </is>
      </c>
      <c r="O3214" s="1" t="inlineStr"/>
      <c r="P3214" s="1" t="inlineStr"/>
      <c r="Q3214" s="1" t="inlineStr">
        <is>
          <t>Пользовательский интерфейс</t>
        </is>
      </c>
    </row>
    <row r="3215">
      <c r="B3215" s="1" t="inlineStr">
        <is>
          <t>216771193</t>
        </is>
      </c>
      <c r="C3215" s="1" t="inlineStr">
        <is>
          <t>15571832</t>
        </is>
      </c>
      <c r="D3215" t="inlineStr">
        <is>
          <t>работник 495</t>
        </is>
      </c>
      <c r="E3215" s="1" t="inlineStr">
        <is>
          <t>ОБЩЕСТВО С ОГРАНИЧЕННОЙ ОТВЕТСТВЕННОСТЬЮ "АМУР ЗОЛОТО"</t>
        </is>
      </c>
      <c r="F3215" s="1" t="inlineStr">
        <is>
          <t>2708001686</t>
        </is>
      </c>
      <c r="G3215" s="1" t="inlineStr">
        <is>
          <t>Машинист погрузочно-доставочной машины (занятый на транспортировании горной массы в технологическом процессе)</t>
        </is>
      </c>
      <c r="H3215" s="1" t="inlineStr">
        <is>
          <t>ООО "Амур Золото"</t>
        </is>
      </c>
      <c r="I3215" s="1" t="inlineStr">
        <is>
          <t>2708001686</t>
        </is>
      </c>
      <c r="J3215" s="1" t="inlineStr">
        <is>
          <t>ЮГОК ПГУ 26-50</t>
        </is>
      </c>
      <c r="K3215" s="1" t="inlineStr">
        <is>
          <t>Использование (применение) средств индивидуальной защиты</t>
        </is>
      </c>
      <c r="L3215" s="1" t="inlineStr">
        <is>
          <t>16.08.2026</t>
        </is>
      </c>
      <c r="M3215" s="1" t="inlineStr">
        <is>
          <t>Успешно</t>
        </is>
      </c>
      <c r="N3215" s="1" t="inlineStr">
        <is>
          <t>21.08.2026</t>
        </is>
      </c>
      <c r="O3215" s="1" t="inlineStr"/>
      <c r="P3215" s="1" t="inlineStr"/>
      <c r="Q3215" s="1" t="inlineStr">
        <is>
          <t>Пользовательский интерфейс</t>
        </is>
      </c>
    </row>
    <row r="3216">
      <c r="B3216" s="1" t="inlineStr">
        <is>
          <t>216771194</t>
        </is>
      </c>
      <c r="C3216" s="1" t="inlineStr">
        <is>
          <t>15571832</t>
        </is>
      </c>
      <c r="D3216" t="inlineStr">
        <is>
          <t>работник 495</t>
        </is>
      </c>
      <c r="E3216" s="1" t="inlineStr">
        <is>
          <t>ОБЩЕСТВО С ОГРАНИЧЕННОЙ ОТВЕТСТВЕННОСТЬЮ "АМУР ЗОЛОТО"</t>
        </is>
      </c>
      <c r="F3216" s="1" t="inlineStr">
        <is>
          <t>2708001686</t>
        </is>
      </c>
      <c r="G3216" s="1" t="inlineStr">
        <is>
          <t>Машинист погрузочно-доставочной машины (занятый на транспортировании горной массы в технологическом процессе)</t>
        </is>
      </c>
      <c r="H3216" s="1" t="inlineStr">
        <is>
          <t>ООО "Амур Золото"</t>
        </is>
      </c>
      <c r="I3216" s="1" t="inlineStr">
        <is>
          <t>2708001686</t>
        </is>
      </c>
      <c r="J3216" s="1" t="inlineStr">
        <is>
          <t>ЮГОК ПГУ 26-50</t>
        </is>
      </c>
      <c r="K321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216" s="1" t="inlineStr">
        <is>
          <t>16.08.2026</t>
        </is>
      </c>
      <c r="M3216" s="1" t="inlineStr">
        <is>
          <t>Успешно</t>
        </is>
      </c>
      <c r="N3216" s="1" t="inlineStr">
        <is>
          <t>21.08.2026</t>
        </is>
      </c>
      <c r="O3216" s="1" t="inlineStr"/>
      <c r="P3216" s="1" t="inlineStr"/>
      <c r="Q3216" s="1" t="inlineStr">
        <is>
          <t>Пользовательский интерфейс</t>
        </is>
      </c>
    </row>
    <row r="3217">
      <c r="B3217" s="1" t="inlineStr">
        <is>
          <t>216771195</t>
        </is>
      </c>
      <c r="C3217" s="1" t="inlineStr">
        <is>
          <t>15571832</t>
        </is>
      </c>
      <c r="D3217" t="inlineStr">
        <is>
          <t>работник 894</t>
        </is>
      </c>
      <c r="E3217" s="1" t="inlineStr">
        <is>
          <t>ОБЩЕСТВО С ОГРАНИЧЕННОЙ ОТВЕТСТВЕННОСТЬЮ "АМУР ЗОЛОТО"</t>
        </is>
      </c>
      <c r="F3217" s="1" t="inlineStr">
        <is>
          <t>2708001686</t>
        </is>
      </c>
      <c r="G3217" s="1" t="inlineStr">
        <is>
          <t>Горный диспетчер</t>
        </is>
      </c>
      <c r="H3217" s="1" t="inlineStr">
        <is>
          <t>ООО "Амур Золото"</t>
        </is>
      </c>
      <c r="I3217" s="1" t="inlineStr">
        <is>
          <t>2708001686</t>
        </is>
      </c>
      <c r="J3217" s="1" t="inlineStr">
        <is>
          <t>ЮГОК ПГУ 26-53</t>
        </is>
      </c>
      <c r="K3217" s="1" t="inlineStr">
        <is>
          <t>Оказание первой помощи пострадавшим</t>
        </is>
      </c>
      <c r="L3217" s="1" t="inlineStr">
        <is>
          <t>18.08.2026</t>
        </is>
      </c>
      <c r="M3217" s="1" t="inlineStr">
        <is>
          <t>Успешно</t>
        </is>
      </c>
      <c r="N3217" s="1" t="inlineStr">
        <is>
          <t>21.08.2026</t>
        </is>
      </c>
      <c r="O3217" s="1" t="inlineStr"/>
      <c r="P3217" s="1" t="inlineStr"/>
      <c r="Q3217" s="1" t="inlineStr">
        <is>
          <t>Пользовательский интерфейс</t>
        </is>
      </c>
    </row>
    <row r="3218">
      <c r="B3218" s="1" t="inlineStr">
        <is>
          <t>216771196</t>
        </is>
      </c>
      <c r="C3218" s="1" t="inlineStr">
        <is>
          <t>15571832</t>
        </is>
      </c>
      <c r="D3218" t="inlineStr">
        <is>
          <t>работник 892</t>
        </is>
      </c>
      <c r="E3218" s="1" t="inlineStr">
        <is>
          <t>ОБЩЕСТВО С ОГРАНИЧЕННОЙ ОТВЕТСТВЕННОСТЬЮ "АМУР ЗОЛОТО"</t>
        </is>
      </c>
      <c r="F3218" s="1" t="inlineStr">
        <is>
          <t>2708001686</t>
        </is>
      </c>
      <c r="G3218" s="1" t="inlineStr">
        <is>
          <t>Машинист погрузочно-доставочной машины (занятый на транспортировании горной массы в технологическом процессе)</t>
        </is>
      </c>
      <c r="H3218" s="1" t="inlineStr">
        <is>
          <t>ООО "Амур Золото"</t>
        </is>
      </c>
      <c r="I3218" s="1" t="inlineStr">
        <is>
          <t>2708001686</t>
        </is>
      </c>
      <c r="J3218" s="1" t="inlineStr">
        <is>
          <t>ЮГОК ПГУ 26-50</t>
        </is>
      </c>
      <c r="K3218" s="1" t="inlineStr">
        <is>
          <t>Использование (применение) средств индивидуальной защиты</t>
        </is>
      </c>
      <c r="L3218" s="1" t="inlineStr">
        <is>
          <t>16.08.2026</t>
        </is>
      </c>
      <c r="M3218" s="1" t="inlineStr">
        <is>
          <t>Успешно</t>
        </is>
      </c>
      <c r="N3218" s="1" t="inlineStr">
        <is>
          <t>21.08.2026</t>
        </is>
      </c>
      <c r="O3218" s="1" t="inlineStr"/>
      <c r="P3218" s="1" t="inlineStr"/>
      <c r="Q3218" s="1" t="inlineStr">
        <is>
          <t>Пользовательский интерфейс</t>
        </is>
      </c>
    </row>
    <row r="3219">
      <c r="B3219" s="1" t="inlineStr">
        <is>
          <t>216771197</t>
        </is>
      </c>
      <c r="C3219" s="1" t="inlineStr">
        <is>
          <t>15571832</t>
        </is>
      </c>
      <c r="D3219" t="inlineStr">
        <is>
          <t>работник 892</t>
        </is>
      </c>
      <c r="E3219" s="1" t="inlineStr">
        <is>
          <t>ОБЩЕСТВО С ОГРАНИЧЕННОЙ ОТВЕТСТВЕННОСТЬЮ "АМУР ЗОЛОТО"</t>
        </is>
      </c>
      <c r="F3219" s="1" t="inlineStr">
        <is>
          <t>2708001686</t>
        </is>
      </c>
      <c r="G3219" s="1" t="inlineStr">
        <is>
          <t>Машинист погрузочно-доставочной машины (занятый на транспортировании горной массы в технологическом процессе)</t>
        </is>
      </c>
      <c r="H3219" s="1" t="inlineStr">
        <is>
          <t>ООО "Амур Золото"</t>
        </is>
      </c>
      <c r="I3219" s="1" t="inlineStr">
        <is>
          <t>2708001686</t>
        </is>
      </c>
      <c r="J3219" s="1" t="inlineStr">
        <is>
          <t>ЮГОК ПГУ 26-50</t>
        </is>
      </c>
      <c r="K321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219" s="1" t="inlineStr">
        <is>
          <t>16.08.2026</t>
        </is>
      </c>
      <c r="M3219" s="1" t="inlineStr">
        <is>
          <t>Успешно</t>
        </is>
      </c>
      <c r="N3219" s="1" t="inlineStr">
        <is>
          <t>21.08.2026</t>
        </is>
      </c>
      <c r="O3219" s="1" t="inlineStr"/>
      <c r="P3219" s="1" t="inlineStr"/>
      <c r="Q3219" s="1" t="inlineStr">
        <is>
          <t>Пользовательский интерфейс</t>
        </is>
      </c>
    </row>
    <row r="3220">
      <c r="B3220" s="1" t="inlineStr">
        <is>
          <t>216771198</t>
        </is>
      </c>
      <c r="C3220" s="1" t="inlineStr">
        <is>
          <t>15571832</t>
        </is>
      </c>
      <c r="D3220" t="inlineStr">
        <is>
          <t>работник 773</t>
        </is>
      </c>
      <c r="E3220" s="1" t="inlineStr">
        <is>
          <t>ОБЩЕСТВО С ОГРАНИЧЕННОЙ ОТВЕТСТВЕННОСТЬЮ "АМУР ЗОЛОТО"</t>
        </is>
      </c>
      <c r="F3220" s="1" t="inlineStr">
        <is>
          <t>2708001686</t>
        </is>
      </c>
      <c r="G3220" s="1" t="inlineStr">
        <is>
          <t>Слесарь-ремонтник (по ремонту горно-шахтного оборудования)</t>
        </is>
      </c>
      <c r="H3220" s="1" t="inlineStr">
        <is>
          <t>ООО "Амур Золото"</t>
        </is>
      </c>
      <c r="I3220" s="1" t="inlineStr">
        <is>
          <t>2708001686</t>
        </is>
      </c>
      <c r="J3220" s="1" t="inlineStr">
        <is>
          <t>ЮГОК ПГУ 26-51</t>
        </is>
      </c>
      <c r="K3220" s="1" t="inlineStr">
        <is>
          <t>Оказание первой помощи пострадавшим</t>
        </is>
      </c>
      <c r="L3220" s="1" t="inlineStr">
        <is>
          <t>17.08.2026</t>
        </is>
      </c>
      <c r="M3220" s="1" t="inlineStr">
        <is>
          <t>Успешно</t>
        </is>
      </c>
      <c r="N3220" s="1" t="inlineStr">
        <is>
          <t>21.08.2026</t>
        </is>
      </c>
      <c r="O3220" s="1" t="inlineStr"/>
      <c r="P3220" s="1" t="inlineStr"/>
      <c r="Q3220" s="1" t="inlineStr">
        <is>
          <t>Пользовательский интерфейс</t>
        </is>
      </c>
    </row>
    <row r="3221">
      <c r="B3221" s="1" t="inlineStr">
        <is>
          <t>216771199</t>
        </is>
      </c>
      <c r="C3221" s="1" t="inlineStr">
        <is>
          <t>15571832</t>
        </is>
      </c>
      <c r="D3221" t="inlineStr">
        <is>
          <t>работник 773</t>
        </is>
      </c>
      <c r="E3221" s="1" t="inlineStr">
        <is>
          <t>ОБЩЕСТВО С ОГРАНИЧЕННОЙ ОТВЕТСТВЕННОСТЬЮ "АМУР ЗОЛОТО"</t>
        </is>
      </c>
      <c r="F3221" s="1" t="inlineStr">
        <is>
          <t>2708001686</t>
        </is>
      </c>
      <c r="G3221" s="1" t="inlineStr">
        <is>
          <t>Слесарь-ремонтник (по ремонту горно-шахтного оборудования)</t>
        </is>
      </c>
      <c r="H3221" s="1" t="inlineStr">
        <is>
          <t>ООО "Амур Золото"</t>
        </is>
      </c>
      <c r="I3221" s="1" t="inlineStr">
        <is>
          <t>2708001686</t>
        </is>
      </c>
      <c r="J3221" s="1" t="inlineStr">
        <is>
          <t>ЮГОК ПГУ 26-51</t>
        </is>
      </c>
      <c r="K3221" s="1" t="inlineStr">
        <is>
          <t>Использование (применение) средств индивидуальной защиты</t>
        </is>
      </c>
      <c r="L3221" s="1" t="inlineStr">
        <is>
          <t>17.08.2026</t>
        </is>
      </c>
      <c r="M3221" s="1" t="inlineStr">
        <is>
          <t>Успешно</t>
        </is>
      </c>
      <c r="N3221" s="1" t="inlineStr">
        <is>
          <t>21.08.2026</t>
        </is>
      </c>
      <c r="O3221" s="1" t="inlineStr"/>
      <c r="P3221" s="1" t="inlineStr"/>
      <c r="Q3221" s="1" t="inlineStr">
        <is>
          <t>Пользовательский интерфейс</t>
        </is>
      </c>
    </row>
    <row r="3222">
      <c r="B3222" s="1" t="inlineStr">
        <is>
          <t>216771200</t>
        </is>
      </c>
      <c r="C3222" s="1" t="inlineStr">
        <is>
          <t>15571832</t>
        </is>
      </c>
      <c r="D3222" t="inlineStr">
        <is>
          <t>работник 773</t>
        </is>
      </c>
      <c r="E3222" s="1" t="inlineStr">
        <is>
          <t>ОБЩЕСТВО С ОГРАНИЧЕННОЙ ОТВЕТСТВЕННОСТЬЮ "АМУР ЗОЛОТО"</t>
        </is>
      </c>
      <c r="F3222" s="1" t="inlineStr">
        <is>
          <t>2708001686</t>
        </is>
      </c>
      <c r="G3222" s="1" t="inlineStr">
        <is>
          <t>Слесарь-ремонтник (по ремонту горно-шахтного оборудования)</t>
        </is>
      </c>
      <c r="H3222" s="1" t="inlineStr">
        <is>
          <t>ООО "Амур Золото"</t>
        </is>
      </c>
      <c r="I3222" s="1" t="inlineStr">
        <is>
          <t>2708001686</t>
        </is>
      </c>
      <c r="J3222" s="1" t="inlineStr">
        <is>
          <t>ЮГОК ПГУ 26-51</t>
        </is>
      </c>
      <c r="K322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222" s="1" t="inlineStr">
        <is>
          <t>17.08.2026</t>
        </is>
      </c>
      <c r="M3222" s="1" t="inlineStr">
        <is>
          <t>Успешно</t>
        </is>
      </c>
      <c r="N3222" s="1" t="inlineStr">
        <is>
          <t>21.08.2026</t>
        </is>
      </c>
      <c r="O3222" s="1" t="inlineStr"/>
      <c r="P3222" s="1" t="inlineStr"/>
      <c r="Q3222" s="1" t="inlineStr">
        <is>
          <t>Пользовательский интерфейс</t>
        </is>
      </c>
    </row>
    <row r="3223">
      <c r="B3223" s="1" t="inlineStr">
        <is>
          <t>216771201</t>
        </is>
      </c>
      <c r="C3223" s="1" t="inlineStr">
        <is>
          <t>15571832</t>
        </is>
      </c>
      <c r="D3223" t="inlineStr">
        <is>
          <t>работник 895</t>
        </is>
      </c>
      <c r="E3223" s="1" t="inlineStr">
        <is>
          <t>ОБЩЕСТВО С ОГРАНИЧЕННОЙ ОТВЕТСТВЕННОСТЬЮ "АМУР ЗОЛОТО"</t>
        </is>
      </c>
      <c r="F3223" s="1" t="inlineStr">
        <is>
          <t>2708001686</t>
        </is>
      </c>
      <c r="G3223" s="1" t="inlineStr">
        <is>
          <t>Электрослесарь (слесарь) дежурный и по ремонту оборудования подземного горного участка</t>
        </is>
      </c>
      <c r="H3223" s="1" t="inlineStr">
        <is>
          <t>ООО "Амур Золото"</t>
        </is>
      </c>
      <c r="I3223" s="1" t="inlineStr">
        <is>
          <t>2708001686</t>
        </is>
      </c>
      <c r="J3223" s="1" t="inlineStr">
        <is>
          <t>ЮГОК ПГУ 26-52</t>
        </is>
      </c>
      <c r="K3223" s="1" t="inlineStr">
        <is>
          <t>Оказание первой помощи пострадавшим</t>
        </is>
      </c>
      <c r="L3223" s="1" t="inlineStr">
        <is>
          <t>18.08.2026</t>
        </is>
      </c>
      <c r="M3223" s="1" t="inlineStr">
        <is>
          <t>Успешно</t>
        </is>
      </c>
      <c r="N3223" s="1" t="inlineStr">
        <is>
          <t>21.08.2026</t>
        </is>
      </c>
      <c r="O3223" s="1" t="inlineStr"/>
      <c r="P3223" s="1" t="inlineStr"/>
      <c r="Q3223" s="1" t="inlineStr">
        <is>
          <t>Пользовательский интерфейс</t>
        </is>
      </c>
    </row>
    <row r="3224">
      <c r="B3224" s="1" t="inlineStr">
        <is>
          <t>216771202</t>
        </is>
      </c>
      <c r="C3224" s="1" t="inlineStr">
        <is>
          <t>15571832</t>
        </is>
      </c>
      <c r="D3224" t="inlineStr">
        <is>
          <t>работник 895</t>
        </is>
      </c>
      <c r="E3224" s="1" t="inlineStr">
        <is>
          <t>ОБЩЕСТВО С ОГРАНИЧЕННОЙ ОТВЕТСТВЕННОСТЬЮ "АМУР ЗОЛОТО"</t>
        </is>
      </c>
      <c r="F3224" s="1" t="inlineStr">
        <is>
          <t>2708001686</t>
        </is>
      </c>
      <c r="G3224" s="1" t="inlineStr">
        <is>
          <t>Электрослесарь (слесарь) дежурный и по ремонту оборудования подземного горного участка</t>
        </is>
      </c>
      <c r="H3224" s="1" t="inlineStr">
        <is>
          <t>ООО "Амур Золото"</t>
        </is>
      </c>
      <c r="I3224" s="1" t="inlineStr">
        <is>
          <t>2708001686</t>
        </is>
      </c>
      <c r="J3224" s="1" t="inlineStr">
        <is>
          <t>ЮГОК ПГУ 26-52</t>
        </is>
      </c>
      <c r="K3224" s="1" t="inlineStr">
        <is>
          <t>Использование (применение) средств индивидуальной защиты</t>
        </is>
      </c>
      <c r="L3224" s="1" t="inlineStr">
        <is>
          <t>18.08.2026</t>
        </is>
      </c>
      <c r="M3224" s="1" t="inlineStr">
        <is>
          <t>Успешно</t>
        </is>
      </c>
      <c r="N3224" s="1" t="inlineStr">
        <is>
          <t>21.08.2026</t>
        </is>
      </c>
      <c r="O3224" s="1" t="inlineStr"/>
      <c r="P3224" s="1" t="inlineStr"/>
      <c r="Q3224" s="1" t="inlineStr">
        <is>
          <t>Пользовательский интерфейс</t>
        </is>
      </c>
    </row>
    <row r="3225">
      <c r="B3225" s="1" t="inlineStr">
        <is>
          <t>216771203</t>
        </is>
      </c>
      <c r="C3225" s="1" t="inlineStr">
        <is>
          <t>15571832</t>
        </is>
      </c>
      <c r="D3225" t="inlineStr">
        <is>
          <t>работник 895</t>
        </is>
      </c>
      <c r="E3225" s="1" t="inlineStr">
        <is>
          <t>ОБЩЕСТВО С ОГРАНИЧЕННОЙ ОТВЕТСТВЕННОСТЬЮ "АМУР ЗОЛОТО"</t>
        </is>
      </c>
      <c r="F3225" s="1" t="inlineStr">
        <is>
          <t>2708001686</t>
        </is>
      </c>
      <c r="G3225" s="1" t="inlineStr">
        <is>
          <t>Электрослесарь (слесарь) дежурный и по ремонту оборудования подземного горного участка</t>
        </is>
      </c>
      <c r="H3225" s="1" t="inlineStr">
        <is>
          <t>ООО "Амур Золото"</t>
        </is>
      </c>
      <c r="I3225" s="1" t="inlineStr">
        <is>
          <t>2708001686</t>
        </is>
      </c>
      <c r="J3225" s="1" t="inlineStr">
        <is>
          <t>ЮГОК ПГУ 26-52</t>
        </is>
      </c>
      <c r="K322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225" s="1" t="inlineStr">
        <is>
          <t>18.08.2026</t>
        </is>
      </c>
      <c r="M3225" s="1" t="inlineStr">
        <is>
          <t>Успешно</t>
        </is>
      </c>
      <c r="N3225" s="1" t="inlineStr">
        <is>
          <t>21.08.2026</t>
        </is>
      </c>
      <c r="O3225" s="1" t="inlineStr"/>
      <c r="P3225" s="1" t="inlineStr"/>
      <c r="Q3225" s="1" t="inlineStr">
        <is>
          <t>Пользовательский интерфейс</t>
        </is>
      </c>
    </row>
    <row r="3226">
      <c r="B3226" s="1" t="inlineStr">
        <is>
          <t>216771204</t>
        </is>
      </c>
      <c r="C3226" s="1" t="inlineStr">
        <is>
          <t>15571832</t>
        </is>
      </c>
      <c r="D3226" t="inlineStr">
        <is>
          <t>работник 66</t>
        </is>
      </c>
      <c r="E3226" s="1" t="inlineStr">
        <is>
          <t>ОБЩЕСТВО С ОГРАНИЧЕННОЙ ОТВЕТСТВЕННОСТЬЮ "АМУР ЗОЛОТО"</t>
        </is>
      </c>
      <c r="F3226" s="1" t="inlineStr">
        <is>
          <t>2708001686</t>
        </is>
      </c>
      <c r="G3226" s="1" t="inlineStr">
        <is>
          <t>Электрослесарь (слесарь) дежурный и по ремонту оборудования подземного горного участка</t>
        </is>
      </c>
      <c r="H3226" s="1" t="inlineStr">
        <is>
          <t>ООО "Амур Золото"</t>
        </is>
      </c>
      <c r="I3226" s="1" t="inlineStr">
        <is>
          <t>2708001686</t>
        </is>
      </c>
      <c r="J3226" s="1" t="inlineStr">
        <is>
          <t>ЮГОК ПГУ 26-52</t>
        </is>
      </c>
      <c r="K3226" s="1" t="inlineStr">
        <is>
          <t>Оказание первой помощи пострадавшим</t>
        </is>
      </c>
      <c r="L3226" s="1" t="inlineStr">
        <is>
          <t>18.08.2026</t>
        </is>
      </c>
      <c r="M3226" s="1" t="inlineStr">
        <is>
          <t>Успешно</t>
        </is>
      </c>
      <c r="N3226" s="1" t="inlineStr">
        <is>
          <t>21.08.2026</t>
        </is>
      </c>
      <c r="O3226" s="1" t="inlineStr"/>
      <c r="P3226" s="1" t="inlineStr"/>
      <c r="Q3226" s="1" t="inlineStr">
        <is>
          <t>Пользовательский интерфейс</t>
        </is>
      </c>
    </row>
    <row r="3227">
      <c r="B3227" s="1" t="inlineStr">
        <is>
          <t>216771205</t>
        </is>
      </c>
      <c r="C3227" s="1" t="inlineStr">
        <is>
          <t>15571832</t>
        </is>
      </c>
      <c r="D3227" t="inlineStr">
        <is>
          <t>работник 66</t>
        </is>
      </c>
      <c r="E3227" s="1" t="inlineStr">
        <is>
          <t>ОБЩЕСТВО С ОГРАНИЧЕННОЙ ОТВЕТСТВЕННОСТЬЮ "АМУР ЗОЛОТО"</t>
        </is>
      </c>
      <c r="F3227" s="1" t="inlineStr">
        <is>
          <t>2708001686</t>
        </is>
      </c>
      <c r="G3227" s="1" t="inlineStr">
        <is>
          <t>Электрослесарь (слесарь) дежурный и по ремонту оборудования подземного горного участка</t>
        </is>
      </c>
      <c r="H3227" s="1" t="inlineStr">
        <is>
          <t>ООО "Амур Золото"</t>
        </is>
      </c>
      <c r="I3227" s="1" t="inlineStr">
        <is>
          <t>2708001686</t>
        </is>
      </c>
      <c r="J3227" s="1" t="inlineStr">
        <is>
          <t>ЮГОК ПГУ 26-52</t>
        </is>
      </c>
      <c r="K3227" s="1" t="inlineStr">
        <is>
          <t>Использование (применение) средств индивидуальной защиты</t>
        </is>
      </c>
      <c r="L3227" s="1" t="inlineStr">
        <is>
          <t>18.08.2026</t>
        </is>
      </c>
      <c r="M3227" s="1" t="inlineStr">
        <is>
          <t>Успешно</t>
        </is>
      </c>
      <c r="N3227" s="1" t="inlineStr">
        <is>
          <t>21.08.2026</t>
        </is>
      </c>
      <c r="O3227" s="1" t="inlineStr"/>
      <c r="P3227" s="1" t="inlineStr"/>
      <c r="Q3227" s="1" t="inlineStr">
        <is>
          <t>Пользовательский интерфейс</t>
        </is>
      </c>
    </row>
    <row r="3228">
      <c r="B3228" s="1" t="inlineStr">
        <is>
          <t>216771206</t>
        </is>
      </c>
      <c r="C3228" s="1" t="inlineStr">
        <is>
          <t>15571832</t>
        </is>
      </c>
      <c r="D3228" t="inlineStr">
        <is>
          <t>работник 66</t>
        </is>
      </c>
      <c r="E3228" s="1" t="inlineStr">
        <is>
          <t>ОБЩЕСТВО С ОГРАНИЧЕННОЙ ОТВЕТСТВЕННОСТЬЮ "АМУР ЗОЛОТО"</t>
        </is>
      </c>
      <c r="F3228" s="1" t="inlineStr">
        <is>
          <t>2708001686</t>
        </is>
      </c>
      <c r="G3228" s="1" t="inlineStr">
        <is>
          <t>Электрослесарь (слесарь) дежурный и по ремонту оборудования подземного горного участка</t>
        </is>
      </c>
      <c r="H3228" s="1" t="inlineStr">
        <is>
          <t>ООО "Амур Золото"</t>
        </is>
      </c>
      <c r="I3228" s="1" t="inlineStr">
        <is>
          <t>2708001686</t>
        </is>
      </c>
      <c r="J3228" s="1" t="inlineStr">
        <is>
          <t>ЮГОК ПГУ 26-52</t>
        </is>
      </c>
      <c r="K322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228" s="1" t="inlineStr">
        <is>
          <t>18.08.2026</t>
        </is>
      </c>
      <c r="M3228" s="1" t="inlineStr">
        <is>
          <t>Успешно</t>
        </is>
      </c>
      <c r="N3228" s="1" t="inlineStr">
        <is>
          <t>21.08.2026</t>
        </is>
      </c>
      <c r="O3228" s="1" t="inlineStr"/>
      <c r="P3228" s="1" t="inlineStr"/>
      <c r="Q3228" s="1" t="inlineStr">
        <is>
          <t>Пользовательский интерфейс</t>
        </is>
      </c>
    </row>
    <row r="3229">
      <c r="B3229" s="1" t="inlineStr">
        <is>
          <t>216771207</t>
        </is>
      </c>
      <c r="C3229" s="1" t="inlineStr">
        <is>
          <t>15571832</t>
        </is>
      </c>
      <c r="D3229" t="inlineStr">
        <is>
          <t>работник 894</t>
        </is>
      </c>
      <c r="E3229" s="1" t="inlineStr">
        <is>
          <t>ОБЩЕСТВО С ОГРАНИЧЕННОЙ ОТВЕТСТВЕННОСТЬЮ "АМУР ЗОЛОТО"</t>
        </is>
      </c>
      <c r="F3229" s="1" t="inlineStr">
        <is>
          <t>2708001686</t>
        </is>
      </c>
      <c r="G3229" s="1" t="inlineStr">
        <is>
          <t>Горный диспетчер</t>
        </is>
      </c>
      <c r="H3229" s="1" t="inlineStr">
        <is>
          <t>ООО "Амур Золото"</t>
        </is>
      </c>
      <c r="I3229" s="1" t="inlineStr">
        <is>
          <t>2708001686</t>
        </is>
      </c>
      <c r="J3229" s="1" t="inlineStr">
        <is>
          <t>ЮГОК ПГУ 26-53</t>
        </is>
      </c>
      <c r="K3229" s="1" t="inlineStr">
        <is>
          <t>Использование (применение) средств индивидуальной защиты</t>
        </is>
      </c>
      <c r="L3229" s="1" t="inlineStr">
        <is>
          <t>18.08.2026</t>
        </is>
      </c>
      <c r="M3229" s="1" t="inlineStr">
        <is>
          <t>Успешно</t>
        </is>
      </c>
      <c r="N3229" s="1" t="inlineStr">
        <is>
          <t>21.08.2026</t>
        </is>
      </c>
      <c r="O3229" s="1" t="inlineStr"/>
      <c r="P3229" s="1" t="inlineStr"/>
      <c r="Q3229" s="1" t="inlineStr">
        <is>
          <t>Пользовательский интерфейс</t>
        </is>
      </c>
    </row>
    <row r="3230">
      <c r="B3230" s="1" t="inlineStr">
        <is>
          <t>216771208</t>
        </is>
      </c>
      <c r="C3230" s="1" t="inlineStr">
        <is>
          <t>15571832</t>
        </is>
      </c>
      <c r="D3230" t="inlineStr">
        <is>
          <t>работник 894</t>
        </is>
      </c>
      <c r="E3230" s="1" t="inlineStr">
        <is>
          <t>ОБЩЕСТВО С ОГРАНИЧЕННОЙ ОТВЕТСТВЕННОСТЬЮ "АМУР ЗОЛОТО"</t>
        </is>
      </c>
      <c r="F3230" s="1" t="inlineStr">
        <is>
          <t>2708001686</t>
        </is>
      </c>
      <c r="G3230" s="1" t="inlineStr">
        <is>
          <t>Горный диспетчер</t>
        </is>
      </c>
      <c r="H3230" s="1" t="inlineStr">
        <is>
          <t>ООО "Амур Золото"</t>
        </is>
      </c>
      <c r="I3230" s="1" t="inlineStr">
        <is>
          <t>2708001686</t>
        </is>
      </c>
      <c r="J3230" s="1" t="inlineStr">
        <is>
          <t>ЮГОК ПГУ 26-53</t>
        </is>
      </c>
      <c r="K323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230" s="1" t="inlineStr">
        <is>
          <t>18.08.2026</t>
        </is>
      </c>
      <c r="M3230" s="1" t="inlineStr">
        <is>
          <t>Успешно</t>
        </is>
      </c>
      <c r="N3230" s="1" t="inlineStr">
        <is>
          <t>21.08.2026</t>
        </is>
      </c>
      <c r="O3230" s="1" t="inlineStr"/>
      <c r="P3230" s="1" t="inlineStr"/>
      <c r="Q3230" s="1" t="inlineStr">
        <is>
          <t>Пользовательский интерфейс</t>
        </is>
      </c>
    </row>
    <row r="3231">
      <c r="B3231" s="1" t="inlineStr">
        <is>
          <t>216771209</t>
        </is>
      </c>
      <c r="C3231" s="1" t="inlineStr">
        <is>
          <t>15571832</t>
        </is>
      </c>
      <c r="D3231" t="inlineStr">
        <is>
          <t>работник 170</t>
        </is>
      </c>
      <c r="E3231" s="1" t="inlineStr">
        <is>
          <t>ОБЩЕСТВО С ОГРАНИЧЕННОЙ ОТВЕТСТВЕННОСТЬЮ "АМУР ЗОЛОТО"</t>
        </is>
      </c>
      <c r="F3231" s="1" t="inlineStr">
        <is>
          <t>2708001686</t>
        </is>
      </c>
      <c r="G3231" s="1" t="inlineStr">
        <is>
          <t>Горный диспетчер</t>
        </is>
      </c>
      <c r="H3231" s="1" t="inlineStr">
        <is>
          <t>ООО "Амур Золото"</t>
        </is>
      </c>
      <c r="I3231" s="1" t="inlineStr">
        <is>
          <t>2708001686</t>
        </is>
      </c>
      <c r="J3231" s="1" t="inlineStr">
        <is>
          <t>ЮГОК ПГУ 26-53</t>
        </is>
      </c>
      <c r="K3231" s="1" t="inlineStr">
        <is>
          <t>Оказание первой помощи пострадавшим</t>
        </is>
      </c>
      <c r="L3231" s="1" t="inlineStr">
        <is>
          <t>18.08.2026</t>
        </is>
      </c>
      <c r="M3231" s="1" t="inlineStr">
        <is>
          <t>Успешно</t>
        </is>
      </c>
      <c r="N3231" s="1" t="inlineStr">
        <is>
          <t>21.08.2026</t>
        </is>
      </c>
      <c r="O3231" s="1" t="inlineStr"/>
      <c r="P3231" s="1" t="inlineStr"/>
      <c r="Q3231" s="1" t="inlineStr">
        <is>
          <t>Пользовательский интерфейс</t>
        </is>
      </c>
    </row>
    <row r="3232">
      <c r="B3232" s="1" t="inlineStr">
        <is>
          <t>216771210</t>
        </is>
      </c>
      <c r="C3232" s="1" t="inlineStr">
        <is>
          <t>15571832</t>
        </is>
      </c>
      <c r="D3232" t="inlineStr">
        <is>
          <t>работник 170</t>
        </is>
      </c>
      <c r="E3232" s="1" t="inlineStr">
        <is>
          <t>ОБЩЕСТВО С ОГРАНИЧЕННОЙ ОТВЕТСТВЕННОСТЬЮ "АМУР ЗОЛОТО"</t>
        </is>
      </c>
      <c r="F3232" s="1" t="inlineStr">
        <is>
          <t>2708001686</t>
        </is>
      </c>
      <c r="G3232" s="1" t="inlineStr">
        <is>
          <t>Горный диспетчер</t>
        </is>
      </c>
      <c r="H3232" s="1" t="inlineStr">
        <is>
          <t>ООО "Амур Золото"</t>
        </is>
      </c>
      <c r="I3232" s="1" t="inlineStr">
        <is>
          <t>2708001686</t>
        </is>
      </c>
      <c r="J3232" s="1" t="inlineStr">
        <is>
          <t>ЮГОК ПГУ 26-53</t>
        </is>
      </c>
      <c r="K3232" s="1" t="inlineStr">
        <is>
          <t>Использование (применение) средств индивидуальной защиты</t>
        </is>
      </c>
      <c r="L3232" s="1" t="inlineStr">
        <is>
          <t>18.08.2026</t>
        </is>
      </c>
      <c r="M3232" s="1" t="inlineStr">
        <is>
          <t>Успешно</t>
        </is>
      </c>
      <c r="N3232" s="1" t="inlineStr">
        <is>
          <t>21.08.2026</t>
        </is>
      </c>
      <c r="O3232" s="1" t="inlineStr"/>
      <c r="P3232" s="1" t="inlineStr"/>
      <c r="Q3232" s="1" t="inlineStr">
        <is>
          <t>Пользовательский интерфейс</t>
        </is>
      </c>
    </row>
    <row r="3233">
      <c r="B3233" s="1" t="inlineStr">
        <is>
          <t>216771211</t>
        </is>
      </c>
      <c r="C3233" s="1" t="inlineStr">
        <is>
          <t>15571832</t>
        </is>
      </c>
      <c r="D3233" t="inlineStr">
        <is>
          <t>работник 170</t>
        </is>
      </c>
      <c r="E3233" s="1" t="inlineStr">
        <is>
          <t>ОБЩЕСТВО С ОГРАНИЧЕННОЙ ОТВЕТСТВЕННОСТЬЮ "АМУР ЗОЛОТО"</t>
        </is>
      </c>
      <c r="F3233" s="1" t="inlineStr">
        <is>
          <t>2708001686</t>
        </is>
      </c>
      <c r="G3233" s="1" t="inlineStr">
        <is>
          <t>Горный диспетчер</t>
        </is>
      </c>
      <c r="H3233" s="1" t="inlineStr">
        <is>
          <t>ООО "Амур Золото"</t>
        </is>
      </c>
      <c r="I3233" s="1" t="inlineStr">
        <is>
          <t>2708001686</t>
        </is>
      </c>
      <c r="J3233" s="1" t="inlineStr">
        <is>
          <t>ЮГОК ПГУ 26-53</t>
        </is>
      </c>
      <c r="K323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233" s="1" t="inlineStr">
        <is>
          <t>18.08.2026</t>
        </is>
      </c>
      <c r="M3233" s="1" t="inlineStr">
        <is>
          <t>Успешно</t>
        </is>
      </c>
      <c r="N3233" s="1" t="inlineStr">
        <is>
          <t>21.08.2026</t>
        </is>
      </c>
      <c r="O3233" s="1" t="inlineStr"/>
      <c r="P3233" s="1" t="inlineStr"/>
      <c r="Q3233" s="1" t="inlineStr">
        <is>
          <t>Пользовательский интерфейс</t>
        </is>
      </c>
    </row>
    <row r="3234">
      <c r="B3234" s="1" t="inlineStr">
        <is>
          <t>216771212</t>
        </is>
      </c>
      <c r="C3234" s="1" t="inlineStr">
        <is>
          <t>15571832</t>
        </is>
      </c>
      <c r="D3234" t="inlineStr">
        <is>
          <t>работник 896</t>
        </is>
      </c>
      <c r="E3234" s="1" t="inlineStr">
        <is>
          <t>ОБЩЕСТВО С ОГРАНИЧЕННОЙ ОТВЕТСТВЕННОСТЬЮ "АМУР ЗОЛОТО"</t>
        </is>
      </c>
      <c r="F3234" s="1" t="inlineStr">
        <is>
          <t>2708001686</t>
        </is>
      </c>
      <c r="G3234" s="1" t="inlineStr">
        <is>
          <t>Крепильщик</t>
        </is>
      </c>
      <c r="H3234" s="1" t="inlineStr">
        <is>
          <t>ООО "Амур Золото"</t>
        </is>
      </c>
      <c r="I3234" s="1" t="inlineStr">
        <is>
          <t>2708001686</t>
        </is>
      </c>
      <c r="J3234" s="1" t="inlineStr">
        <is>
          <t>ЮГОК ПГУ 26-54</t>
        </is>
      </c>
      <c r="K3234" s="1" t="inlineStr">
        <is>
          <t>Оказание первой помощи пострадавшим</t>
        </is>
      </c>
      <c r="L3234" s="1" t="inlineStr">
        <is>
          <t>18.08.2026</t>
        </is>
      </c>
      <c r="M3234" s="1" t="inlineStr">
        <is>
          <t>Успешно</t>
        </is>
      </c>
      <c r="N3234" s="1" t="inlineStr">
        <is>
          <t>21.08.2026</t>
        </is>
      </c>
      <c r="O3234" s="1" t="inlineStr"/>
      <c r="P3234" s="1" t="inlineStr"/>
      <c r="Q3234" s="1" t="inlineStr">
        <is>
          <t>Пользовательский интерфейс</t>
        </is>
      </c>
    </row>
    <row r="3235">
      <c r="B3235" s="1" t="inlineStr">
        <is>
          <t>216771213</t>
        </is>
      </c>
      <c r="C3235" s="1" t="inlineStr">
        <is>
          <t>15571832</t>
        </is>
      </c>
      <c r="D3235" t="inlineStr">
        <is>
          <t>работник 896</t>
        </is>
      </c>
      <c r="E3235" s="1" t="inlineStr">
        <is>
          <t>ОБЩЕСТВО С ОГРАНИЧЕННОЙ ОТВЕТСТВЕННОСТЬЮ "АМУР ЗОЛОТО"</t>
        </is>
      </c>
      <c r="F3235" s="1" t="inlineStr">
        <is>
          <t>2708001686</t>
        </is>
      </c>
      <c r="G3235" s="1" t="inlineStr">
        <is>
          <t>Крепильщик</t>
        </is>
      </c>
      <c r="H3235" s="1" t="inlineStr">
        <is>
          <t>ООО "Амур Золото"</t>
        </is>
      </c>
      <c r="I3235" s="1" t="inlineStr">
        <is>
          <t>2708001686</t>
        </is>
      </c>
      <c r="J3235" s="1" t="inlineStr">
        <is>
          <t>ЮГОК ПГУ 26-54</t>
        </is>
      </c>
      <c r="K3235" s="1" t="inlineStr">
        <is>
          <t>Использование (применение) средств индивидуальной защиты</t>
        </is>
      </c>
      <c r="L3235" s="1" t="inlineStr">
        <is>
          <t>18.08.2026</t>
        </is>
      </c>
      <c r="M3235" s="1" t="inlineStr">
        <is>
          <t>Успешно</t>
        </is>
      </c>
      <c r="N3235" s="1" t="inlineStr">
        <is>
          <t>21.08.2026</t>
        </is>
      </c>
      <c r="O3235" s="1" t="inlineStr"/>
      <c r="P3235" s="1" t="inlineStr"/>
      <c r="Q3235" s="1" t="inlineStr">
        <is>
          <t>Пользовательский интерфейс</t>
        </is>
      </c>
    </row>
    <row r="3236">
      <c r="B3236" s="1" t="inlineStr">
        <is>
          <t>216771214</t>
        </is>
      </c>
      <c r="C3236" s="1" t="inlineStr">
        <is>
          <t>15571832</t>
        </is>
      </c>
      <c r="D3236" t="inlineStr">
        <is>
          <t>работник 896</t>
        </is>
      </c>
      <c r="E3236" s="1" t="inlineStr">
        <is>
          <t>ОБЩЕСТВО С ОГРАНИЧЕННОЙ ОТВЕТСТВЕННОСТЬЮ "АМУР ЗОЛОТО"</t>
        </is>
      </c>
      <c r="F3236" s="1" t="inlineStr">
        <is>
          <t>2708001686</t>
        </is>
      </c>
      <c r="G3236" s="1" t="inlineStr">
        <is>
          <t>Крепильщик</t>
        </is>
      </c>
      <c r="H3236" s="1" t="inlineStr">
        <is>
          <t>ООО "Амур Золото"</t>
        </is>
      </c>
      <c r="I3236" s="1" t="inlineStr">
        <is>
          <t>2708001686</t>
        </is>
      </c>
      <c r="J3236" s="1" t="inlineStr">
        <is>
          <t>ЮГОК ПГУ 26-54</t>
        </is>
      </c>
      <c r="K323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236" s="1" t="inlineStr">
        <is>
          <t>18.08.2026</t>
        </is>
      </c>
      <c r="M3236" s="1" t="inlineStr">
        <is>
          <t>Успешно</t>
        </is>
      </c>
      <c r="N3236" s="1" t="inlineStr">
        <is>
          <t>21.08.2026</t>
        </is>
      </c>
      <c r="O3236" s="1" t="inlineStr"/>
      <c r="P3236" s="1" t="inlineStr"/>
      <c r="Q3236" s="1" t="inlineStr">
        <is>
          <t>Пользовательский интерфейс</t>
        </is>
      </c>
    </row>
    <row r="3237">
      <c r="B3237" s="1" t="inlineStr">
        <is>
          <t>216771215</t>
        </is>
      </c>
      <c r="C3237" s="1" t="inlineStr">
        <is>
          <t>15571832</t>
        </is>
      </c>
      <c r="D3237" t="inlineStr">
        <is>
          <t>работник 593</t>
        </is>
      </c>
      <c r="E3237" s="1" t="inlineStr">
        <is>
          <t>ОБЩЕСТВО С ОГРАНИЧЕННОЙ ОТВЕТСТВЕННОСТЬЮ "АМУР ЗОЛОТО"</t>
        </is>
      </c>
      <c r="F3237" s="1" t="inlineStr">
        <is>
          <t>2708001686</t>
        </is>
      </c>
      <c r="G3237" s="1" t="inlineStr">
        <is>
          <t>Крепильщик</t>
        </is>
      </c>
      <c r="H3237" s="1" t="inlineStr">
        <is>
          <t>ООО "Амур Золото"</t>
        </is>
      </c>
      <c r="I3237" s="1" t="inlineStr">
        <is>
          <t>2708001686</t>
        </is>
      </c>
      <c r="J3237" s="1" t="inlineStr">
        <is>
          <t>ЮГОК ПГУ 26-54</t>
        </is>
      </c>
      <c r="K3237" s="1" t="inlineStr">
        <is>
          <t>Оказание первой помощи пострадавшим</t>
        </is>
      </c>
      <c r="L3237" s="1" t="inlineStr">
        <is>
          <t>18.08.2026</t>
        </is>
      </c>
      <c r="M3237" s="1" t="inlineStr">
        <is>
          <t>Успешно</t>
        </is>
      </c>
      <c r="N3237" s="1" t="inlineStr">
        <is>
          <t>21.08.2026</t>
        </is>
      </c>
      <c r="O3237" s="1" t="inlineStr"/>
      <c r="P3237" s="1" t="inlineStr"/>
      <c r="Q3237" s="1" t="inlineStr">
        <is>
          <t>Пользовательский интерфейс</t>
        </is>
      </c>
    </row>
    <row r="3238">
      <c r="B3238" s="1" t="inlineStr">
        <is>
          <t>216771216</t>
        </is>
      </c>
      <c r="C3238" s="1" t="inlineStr">
        <is>
          <t>15571832</t>
        </is>
      </c>
      <c r="D3238" t="inlineStr">
        <is>
          <t>работник 593</t>
        </is>
      </c>
      <c r="E3238" s="1" t="inlineStr">
        <is>
          <t>ОБЩЕСТВО С ОГРАНИЧЕННОЙ ОТВЕТСТВЕННОСТЬЮ "АМУР ЗОЛОТО"</t>
        </is>
      </c>
      <c r="F3238" s="1" t="inlineStr">
        <is>
          <t>2708001686</t>
        </is>
      </c>
      <c r="G3238" s="1" t="inlineStr">
        <is>
          <t>Крепильщик</t>
        </is>
      </c>
      <c r="H3238" s="1" t="inlineStr">
        <is>
          <t>ООО "Амур Золото"</t>
        </is>
      </c>
      <c r="I3238" s="1" t="inlineStr">
        <is>
          <t>2708001686</t>
        </is>
      </c>
      <c r="J3238" s="1" t="inlineStr">
        <is>
          <t>ЮГОК ПГУ 26-54</t>
        </is>
      </c>
      <c r="K3238" s="1" t="inlineStr">
        <is>
          <t>Использование (применение) средств индивидуальной защиты</t>
        </is>
      </c>
      <c r="L3238" s="1" t="inlineStr">
        <is>
          <t>18.08.2026</t>
        </is>
      </c>
      <c r="M3238" s="1" t="inlineStr">
        <is>
          <t>Успешно</t>
        </is>
      </c>
      <c r="N3238" s="1" t="inlineStr">
        <is>
          <t>21.08.2026</t>
        </is>
      </c>
      <c r="O3238" s="1" t="inlineStr"/>
      <c r="P3238" s="1" t="inlineStr"/>
      <c r="Q3238" s="1" t="inlineStr">
        <is>
          <t>Пользовательский интерфейс</t>
        </is>
      </c>
    </row>
    <row r="3239">
      <c r="B3239" s="1" t="inlineStr">
        <is>
          <t>216771217</t>
        </is>
      </c>
      <c r="C3239" s="1" t="inlineStr">
        <is>
          <t>15571832</t>
        </is>
      </c>
      <c r="D3239" t="inlineStr">
        <is>
          <t>работник 593</t>
        </is>
      </c>
      <c r="E3239" s="1" t="inlineStr">
        <is>
          <t>ОБЩЕСТВО С ОГРАНИЧЕННОЙ ОТВЕТСТВЕННОСТЬЮ "АМУР ЗОЛОТО"</t>
        </is>
      </c>
      <c r="F3239" s="1" t="inlineStr">
        <is>
          <t>2708001686</t>
        </is>
      </c>
      <c r="G3239" s="1" t="inlineStr">
        <is>
          <t>Крепильщик</t>
        </is>
      </c>
      <c r="H3239" s="1" t="inlineStr">
        <is>
          <t>ООО "Амур Золото"</t>
        </is>
      </c>
      <c r="I3239" s="1" t="inlineStr">
        <is>
          <t>2708001686</t>
        </is>
      </c>
      <c r="J3239" s="1" t="inlineStr">
        <is>
          <t>ЮГОК ПГУ 26-54</t>
        </is>
      </c>
      <c r="K323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239" s="1" t="inlineStr">
        <is>
          <t>18.08.2026</t>
        </is>
      </c>
      <c r="M3239" s="1" t="inlineStr">
        <is>
          <t>Успешно</t>
        </is>
      </c>
      <c r="N3239" s="1" t="inlineStr">
        <is>
          <t>21.08.2026</t>
        </is>
      </c>
      <c r="O3239" s="1" t="inlineStr"/>
      <c r="P3239" s="1" t="inlineStr"/>
      <c r="Q3239" s="1" t="inlineStr">
        <is>
          <t>Пользовательский интерфейс</t>
        </is>
      </c>
    </row>
    <row r="3240">
      <c r="B3240" s="1" t="inlineStr">
        <is>
          <t>222717129</t>
        </is>
      </c>
      <c r="C3240" s="1" t="inlineStr">
        <is>
          <t>15953442</t>
        </is>
      </c>
      <c r="D3240" t="inlineStr">
        <is>
          <t>работник 897</t>
        </is>
      </c>
      <c r="E3240" s="1" t="inlineStr">
        <is>
          <t>ОБЩЕСТВО С ОГРАНИЧЕННОЙ ОТВЕТСТВЕННОСТЬЮ "АМУР ЗОЛОТО"</t>
        </is>
      </c>
      <c r="F3240" s="1" t="inlineStr">
        <is>
          <t>2708001686</t>
        </is>
      </c>
      <c r="G3240" s="1" t="inlineStr">
        <is>
          <t>машинист автогрейдера</t>
        </is>
      </c>
      <c r="H3240" s="1" t="inlineStr">
        <is>
          <t>ООО "Амур Золото"</t>
        </is>
      </c>
      <c r="I3240" s="1" t="inlineStr">
        <is>
          <t>2708001686</t>
        </is>
      </c>
      <c r="J3240" s="1" t="inlineStr">
        <is>
          <t>ЮГОК АТЦ 26-14/07</t>
        </is>
      </c>
      <c r="K3240" s="1" t="inlineStr">
        <is>
          <t>Использование (применение) средств индивидуальной защиты</t>
        </is>
      </c>
      <c r="L3240" s="1" t="inlineStr">
        <is>
          <t>17.07.2026</t>
        </is>
      </c>
      <c r="M3240" s="1" t="inlineStr">
        <is>
          <t>Успешно</t>
        </is>
      </c>
      <c r="N3240" s="1" t="inlineStr">
        <is>
          <t>17.09.2026</t>
        </is>
      </c>
      <c r="O3240" s="1" t="inlineStr"/>
      <c r="P3240" s="1" t="inlineStr"/>
      <c r="Q3240" s="1" t="inlineStr">
        <is>
          <t>Пользовательский интерфейс</t>
        </is>
      </c>
    </row>
    <row r="3241">
      <c r="B3241" s="1" t="inlineStr">
        <is>
          <t>222717130</t>
        </is>
      </c>
      <c r="C3241" s="1" t="inlineStr">
        <is>
          <t>15953442</t>
        </is>
      </c>
      <c r="D3241" t="inlineStr">
        <is>
          <t>работник 897</t>
        </is>
      </c>
      <c r="E3241" s="1" t="inlineStr">
        <is>
          <t>ОБЩЕСТВО С ОГРАНИЧЕННОЙ ОТВЕТСТВЕННОСТЬЮ "АМУР ЗОЛОТО"</t>
        </is>
      </c>
      <c r="F3241" s="1" t="inlineStr">
        <is>
          <t>2708001686</t>
        </is>
      </c>
      <c r="G3241" s="1" t="inlineStr">
        <is>
          <t>машинист автогрейдера</t>
        </is>
      </c>
      <c r="H3241" s="1" t="inlineStr">
        <is>
          <t>ООО "Амур Золото"</t>
        </is>
      </c>
      <c r="I3241" s="1" t="inlineStr">
        <is>
          <t>2708001686</t>
        </is>
      </c>
      <c r="J3241" s="1" t="inlineStr">
        <is>
          <t>ЮГОК АТЦ 26-14/07</t>
        </is>
      </c>
      <c r="K324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241" s="1" t="inlineStr">
        <is>
          <t>17.07.2026</t>
        </is>
      </c>
      <c r="M3241" s="1" t="inlineStr">
        <is>
          <t>Успешно</t>
        </is>
      </c>
      <c r="N3241" s="1" t="inlineStr">
        <is>
          <t>17.09.2026</t>
        </is>
      </c>
      <c r="O3241" s="1" t="inlineStr"/>
      <c r="P3241" s="1" t="inlineStr"/>
      <c r="Q3241" s="1" t="inlineStr">
        <is>
          <t>Пользовательский интерфейс</t>
        </is>
      </c>
    </row>
    <row r="3242">
      <c r="B3242" s="1" t="inlineStr">
        <is>
          <t>222717131</t>
        </is>
      </c>
      <c r="C3242" s="1" t="inlineStr">
        <is>
          <t>15953442</t>
        </is>
      </c>
      <c r="D3242" t="inlineStr">
        <is>
          <t>работник 260</t>
        </is>
      </c>
      <c r="E3242" s="1" t="inlineStr">
        <is>
          <t>ОБЩЕСТВО С ОГРАНИЧЕННОЙ ОТВЕТСТВЕННОСТЬЮ "АМУР ЗОЛОТО"</t>
        </is>
      </c>
      <c r="F3242" s="1" t="inlineStr">
        <is>
          <t>2708001686</t>
        </is>
      </c>
      <c r="G3242" s="1" t="inlineStr">
        <is>
          <t>Водитель автомобиля (занятый на транспортировании горной массы в технологическом процессе)</t>
        </is>
      </c>
      <c r="H3242" s="1" t="inlineStr">
        <is>
          <t>ООО "Амур Золото"</t>
        </is>
      </c>
      <c r="I3242" s="1" t="inlineStr">
        <is>
          <t>2708001686</t>
        </is>
      </c>
      <c r="J3242" s="1" t="inlineStr">
        <is>
          <t>ЮГОК АТЦ 26-15</t>
        </is>
      </c>
      <c r="K3242" s="1" t="inlineStr">
        <is>
          <t>Оказание первой помощи пострадавшим</t>
        </is>
      </c>
      <c r="L3242" s="1" t="inlineStr">
        <is>
          <t>17.08.2026</t>
        </is>
      </c>
      <c r="M3242" s="1" t="inlineStr">
        <is>
          <t>Успешно</t>
        </is>
      </c>
      <c r="N3242" s="1" t="inlineStr">
        <is>
          <t>17.09.2026</t>
        </is>
      </c>
      <c r="O3242" s="1" t="inlineStr"/>
      <c r="P3242" s="1" t="inlineStr"/>
      <c r="Q3242" s="1" t="inlineStr">
        <is>
          <t>Пользовательский интерфейс</t>
        </is>
      </c>
    </row>
    <row r="3243">
      <c r="B3243" s="1" t="inlineStr">
        <is>
          <t>222717132</t>
        </is>
      </c>
      <c r="C3243" s="1" t="inlineStr">
        <is>
          <t>15953442</t>
        </is>
      </c>
      <c r="D3243" t="inlineStr">
        <is>
          <t>работник 260</t>
        </is>
      </c>
      <c r="E3243" s="1" t="inlineStr">
        <is>
          <t>ОБЩЕСТВО С ОГРАНИЧЕННОЙ ОТВЕТСТВЕННОСТЬЮ "АМУР ЗОЛОТО"</t>
        </is>
      </c>
      <c r="F3243" s="1" t="inlineStr">
        <is>
          <t>2708001686</t>
        </is>
      </c>
      <c r="G3243" s="1" t="inlineStr">
        <is>
          <t>Водитель автомобиля (занятый на транспортировании горной массы в технологическом процессе)</t>
        </is>
      </c>
      <c r="H3243" s="1" t="inlineStr">
        <is>
          <t>ООО "Амур Золото"</t>
        </is>
      </c>
      <c r="I3243" s="1" t="inlineStr">
        <is>
          <t>2708001686</t>
        </is>
      </c>
      <c r="J3243" s="1" t="inlineStr">
        <is>
          <t>ЮГОК АТЦ 26-15</t>
        </is>
      </c>
      <c r="K3243" s="1" t="inlineStr">
        <is>
          <t>Использование (применение) средств индивидуальной защиты</t>
        </is>
      </c>
      <c r="L3243" s="1" t="inlineStr">
        <is>
          <t>17.08.2026</t>
        </is>
      </c>
      <c r="M3243" s="1" t="inlineStr">
        <is>
          <t>Успешно</t>
        </is>
      </c>
      <c r="N3243" s="1" t="inlineStr">
        <is>
          <t>17.09.2026</t>
        </is>
      </c>
      <c r="O3243" s="1" t="inlineStr"/>
      <c r="P3243" s="1" t="inlineStr"/>
      <c r="Q3243" s="1" t="inlineStr">
        <is>
          <t>Пользовательский интерфейс</t>
        </is>
      </c>
    </row>
    <row r="3244">
      <c r="B3244" s="1" t="inlineStr">
        <is>
          <t>222717133</t>
        </is>
      </c>
      <c r="C3244" s="1" t="inlineStr">
        <is>
          <t>15953442</t>
        </is>
      </c>
      <c r="D3244" t="inlineStr">
        <is>
          <t>работник 260</t>
        </is>
      </c>
      <c r="E3244" s="1" t="inlineStr">
        <is>
          <t>ОБЩЕСТВО С ОГРАНИЧЕННОЙ ОТВЕТСТВЕННОСТЬЮ "АМУР ЗОЛОТО"</t>
        </is>
      </c>
      <c r="F3244" s="1" t="inlineStr">
        <is>
          <t>2708001686</t>
        </is>
      </c>
      <c r="G3244" s="1" t="inlineStr">
        <is>
          <t>Водитель автомобиля (занятый на транспортировании горной массы в технологическом процессе)</t>
        </is>
      </c>
      <c r="H3244" s="1" t="inlineStr">
        <is>
          <t>ООО "Амур Золото"</t>
        </is>
      </c>
      <c r="I3244" s="1" t="inlineStr">
        <is>
          <t>2708001686</t>
        </is>
      </c>
      <c r="J3244" s="1" t="inlineStr">
        <is>
          <t>ЮГОК АТЦ 26-15</t>
        </is>
      </c>
      <c r="K324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244" s="1" t="inlineStr">
        <is>
          <t>17.08.2026</t>
        </is>
      </c>
      <c r="M3244" s="1" t="inlineStr">
        <is>
          <t>Успешно</t>
        </is>
      </c>
      <c r="N3244" s="1" t="inlineStr">
        <is>
          <t>17.09.2026</t>
        </is>
      </c>
      <c r="O3244" s="1" t="inlineStr"/>
      <c r="P3244" s="1" t="inlineStr"/>
      <c r="Q3244" s="1" t="inlineStr">
        <is>
          <t>Пользовательский интерфейс</t>
        </is>
      </c>
    </row>
    <row r="3245">
      <c r="B3245" s="1" t="inlineStr">
        <is>
          <t>222717134</t>
        </is>
      </c>
      <c r="C3245" s="1" t="inlineStr">
        <is>
          <t>15953442</t>
        </is>
      </c>
      <c r="D3245" t="inlineStr">
        <is>
          <t>работник 466</t>
        </is>
      </c>
      <c r="E3245" s="1" t="inlineStr">
        <is>
          <t>ОБЩЕСТВО С ОГРАНИЧЕННОЙ ОТВЕТСТВЕННОСТЬЮ "АМУР ЗОЛОТО"</t>
        </is>
      </c>
      <c r="F3245" s="1" t="inlineStr">
        <is>
          <t>2708001686</t>
        </is>
      </c>
      <c r="G3245" s="1" t="inlineStr">
        <is>
          <t>Водитель автомобиля (занятый на транспортировании горной массы в технологическом процессе)</t>
        </is>
      </c>
      <c r="H3245" s="1" t="inlineStr">
        <is>
          <t>ООО "Амур Золото"</t>
        </is>
      </c>
      <c r="I3245" s="1" t="inlineStr">
        <is>
          <t>2708001686</t>
        </is>
      </c>
      <c r="J3245" s="1" t="inlineStr">
        <is>
          <t>ЮГОК АТЦ 26-15</t>
        </is>
      </c>
      <c r="K3245" s="1" t="inlineStr">
        <is>
          <t>Оказание первой помощи пострадавшим</t>
        </is>
      </c>
      <c r="L3245" s="1" t="inlineStr">
        <is>
          <t>17.08.2026</t>
        </is>
      </c>
      <c r="M3245" s="1" t="inlineStr">
        <is>
          <t>Успешно</t>
        </is>
      </c>
      <c r="N3245" s="1" t="inlineStr">
        <is>
          <t>17.09.2026</t>
        </is>
      </c>
      <c r="O3245" s="1" t="inlineStr"/>
      <c r="P3245" s="1" t="inlineStr"/>
      <c r="Q3245" s="1" t="inlineStr">
        <is>
          <t>Пользовательский интерфейс</t>
        </is>
      </c>
    </row>
    <row r="3246">
      <c r="B3246" s="1" t="inlineStr">
        <is>
          <t>222717135</t>
        </is>
      </c>
      <c r="C3246" s="1" t="inlineStr">
        <is>
          <t>15953442</t>
        </is>
      </c>
      <c r="D3246" t="inlineStr">
        <is>
          <t>работник 466</t>
        </is>
      </c>
      <c r="E3246" s="1" t="inlineStr">
        <is>
          <t>ОБЩЕСТВО С ОГРАНИЧЕННОЙ ОТВЕТСТВЕННОСТЬЮ "АМУР ЗОЛОТО"</t>
        </is>
      </c>
      <c r="F3246" s="1" t="inlineStr">
        <is>
          <t>2708001686</t>
        </is>
      </c>
      <c r="G3246" s="1" t="inlineStr">
        <is>
          <t>Водитель автомобиля (занятый на транспортировании горной массы в технологическом процессе)</t>
        </is>
      </c>
      <c r="H3246" s="1" t="inlineStr">
        <is>
          <t>ООО "Амур Золото"</t>
        </is>
      </c>
      <c r="I3246" s="1" t="inlineStr">
        <is>
          <t>2708001686</t>
        </is>
      </c>
      <c r="J3246" s="1" t="inlineStr">
        <is>
          <t>ЮГОК АТЦ 26-15</t>
        </is>
      </c>
      <c r="K3246" s="1" t="inlineStr">
        <is>
          <t>Использование (применение) средств индивидуальной защиты</t>
        </is>
      </c>
      <c r="L3246" s="1" t="inlineStr">
        <is>
          <t>17.08.2026</t>
        </is>
      </c>
      <c r="M3246" s="1" t="inlineStr">
        <is>
          <t>Успешно</t>
        </is>
      </c>
      <c r="N3246" s="1" t="inlineStr">
        <is>
          <t>17.09.2026</t>
        </is>
      </c>
      <c r="O3246" s="1" t="inlineStr"/>
      <c r="P3246" s="1" t="inlineStr"/>
      <c r="Q3246" s="1" t="inlineStr">
        <is>
          <t>Пользовательский интерфейс</t>
        </is>
      </c>
    </row>
    <row r="3247">
      <c r="B3247" s="1" t="inlineStr">
        <is>
          <t>222717136</t>
        </is>
      </c>
      <c r="C3247" s="1" t="inlineStr">
        <is>
          <t>15953442</t>
        </is>
      </c>
      <c r="D3247" t="inlineStr">
        <is>
          <t>работник 466</t>
        </is>
      </c>
      <c r="E3247" s="1" t="inlineStr">
        <is>
          <t>ОБЩЕСТВО С ОГРАНИЧЕННОЙ ОТВЕТСТВЕННОСТЬЮ "АМУР ЗОЛОТО"</t>
        </is>
      </c>
      <c r="F3247" s="1" t="inlineStr">
        <is>
          <t>2708001686</t>
        </is>
      </c>
      <c r="G3247" s="1" t="inlineStr">
        <is>
          <t>Водитель автомобиля (занятый на транспортировании горной массы в технологическом процессе)</t>
        </is>
      </c>
      <c r="H3247" s="1" t="inlineStr">
        <is>
          <t>ООО "Амур Золото"</t>
        </is>
      </c>
      <c r="I3247" s="1" t="inlineStr">
        <is>
          <t>2708001686</t>
        </is>
      </c>
      <c r="J3247" s="1" t="inlineStr">
        <is>
          <t>ЮГОК АТЦ 26-15</t>
        </is>
      </c>
      <c r="K324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247" s="1" t="inlineStr">
        <is>
          <t>17.08.2026</t>
        </is>
      </c>
      <c r="M3247" s="1" t="inlineStr">
        <is>
          <t>Успешно</t>
        </is>
      </c>
      <c r="N3247" s="1" t="inlineStr">
        <is>
          <t>17.09.2026</t>
        </is>
      </c>
      <c r="O3247" s="1" t="inlineStr"/>
      <c r="P3247" s="1" t="inlineStr"/>
      <c r="Q3247" s="1" t="inlineStr">
        <is>
          <t>Пользовательский интерфейс</t>
        </is>
      </c>
    </row>
    <row r="3248">
      <c r="B3248" s="1" t="inlineStr">
        <is>
          <t>222717137</t>
        </is>
      </c>
      <c r="C3248" s="1" t="inlineStr">
        <is>
          <t>15953442</t>
        </is>
      </c>
      <c r="D3248" t="inlineStr">
        <is>
          <t>работник 220</t>
        </is>
      </c>
      <c r="E3248" s="1" t="inlineStr">
        <is>
          <t>ОБЩЕСТВО С ОГРАНИЧЕННОЙ ОТВЕТСТВЕННОСТЬЮ "АМУР ЗОЛОТО"</t>
        </is>
      </c>
      <c r="F3248" s="1" t="inlineStr">
        <is>
          <t>2708001686</t>
        </is>
      </c>
      <c r="G3248" s="1" t="inlineStr">
        <is>
          <t>Водитель автомобиля (занятый на транспортировании горной массы в технологическом процессе)</t>
        </is>
      </c>
      <c r="H3248" s="1" t="inlineStr">
        <is>
          <t>ООО "Амур Золото"</t>
        </is>
      </c>
      <c r="I3248" s="1" t="inlineStr">
        <is>
          <t>2708001686</t>
        </is>
      </c>
      <c r="J3248" s="1" t="inlineStr">
        <is>
          <t>ЮГОК АТЦ 26-15</t>
        </is>
      </c>
      <c r="K3248" s="1" t="inlineStr">
        <is>
          <t>Оказание первой помощи пострадавшим</t>
        </is>
      </c>
      <c r="L3248" s="1" t="inlineStr">
        <is>
          <t>17.08.2026</t>
        </is>
      </c>
      <c r="M3248" s="1" t="inlineStr">
        <is>
          <t>Успешно</t>
        </is>
      </c>
      <c r="N3248" s="1" t="inlineStr">
        <is>
          <t>17.09.2026</t>
        </is>
      </c>
      <c r="O3248" s="1" t="inlineStr"/>
      <c r="P3248" s="1" t="inlineStr"/>
      <c r="Q3248" s="1" t="inlineStr">
        <is>
          <t>Пользовательский интерфейс</t>
        </is>
      </c>
    </row>
    <row r="3249">
      <c r="B3249" s="1" t="inlineStr">
        <is>
          <t>222717138</t>
        </is>
      </c>
      <c r="C3249" s="1" t="inlineStr">
        <is>
          <t>15953442</t>
        </is>
      </c>
      <c r="D3249" t="inlineStr">
        <is>
          <t>работник 220</t>
        </is>
      </c>
      <c r="E3249" s="1" t="inlineStr">
        <is>
          <t>ОБЩЕСТВО С ОГРАНИЧЕННОЙ ОТВЕТСТВЕННОСТЬЮ "АМУР ЗОЛОТО"</t>
        </is>
      </c>
      <c r="F3249" s="1" t="inlineStr">
        <is>
          <t>2708001686</t>
        </is>
      </c>
      <c r="G3249" s="1" t="inlineStr">
        <is>
          <t>Водитель автомобиля (занятый на транспортировании горной массы в технологическом процессе)</t>
        </is>
      </c>
      <c r="H3249" s="1" t="inlineStr">
        <is>
          <t>ООО "Амур Золото"</t>
        </is>
      </c>
      <c r="I3249" s="1" t="inlineStr">
        <is>
          <t>2708001686</t>
        </is>
      </c>
      <c r="J3249" s="1" t="inlineStr">
        <is>
          <t>ЮГОК АТЦ 26-15</t>
        </is>
      </c>
      <c r="K3249" s="1" t="inlineStr">
        <is>
          <t>Использование (применение) средств индивидуальной защиты</t>
        </is>
      </c>
      <c r="L3249" s="1" t="inlineStr">
        <is>
          <t>17.08.2026</t>
        </is>
      </c>
      <c r="M3249" s="1" t="inlineStr">
        <is>
          <t>Успешно</t>
        </is>
      </c>
      <c r="N3249" s="1" t="inlineStr">
        <is>
          <t>17.09.2026</t>
        </is>
      </c>
      <c r="O3249" s="1" t="inlineStr"/>
      <c r="P3249" s="1" t="inlineStr"/>
      <c r="Q3249" s="1" t="inlineStr">
        <is>
          <t>Пользовательский интерфейс</t>
        </is>
      </c>
    </row>
    <row r="3250">
      <c r="B3250" s="1" t="inlineStr">
        <is>
          <t>222717139</t>
        </is>
      </c>
      <c r="C3250" s="1" t="inlineStr">
        <is>
          <t>15953442</t>
        </is>
      </c>
      <c r="D3250" t="inlineStr">
        <is>
          <t>работник 220</t>
        </is>
      </c>
      <c r="E3250" s="1" t="inlineStr">
        <is>
          <t>ОБЩЕСТВО С ОГРАНИЧЕННОЙ ОТВЕТСТВЕННОСТЬЮ "АМУР ЗОЛОТО"</t>
        </is>
      </c>
      <c r="F3250" s="1" t="inlineStr">
        <is>
          <t>2708001686</t>
        </is>
      </c>
      <c r="G3250" s="1" t="inlineStr">
        <is>
          <t>Водитель автомобиля (занятый на транспортировании горной массы в технологическом процессе)</t>
        </is>
      </c>
      <c r="H3250" s="1" t="inlineStr">
        <is>
          <t>ООО "Амур Золото"</t>
        </is>
      </c>
      <c r="I3250" s="1" t="inlineStr">
        <is>
          <t>2708001686</t>
        </is>
      </c>
      <c r="J3250" s="1" t="inlineStr">
        <is>
          <t>ЮГОК АТЦ 26-15</t>
        </is>
      </c>
      <c r="K325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250" s="1" t="inlineStr">
        <is>
          <t>17.08.2026</t>
        </is>
      </c>
      <c r="M3250" s="1" t="inlineStr">
        <is>
          <t>Успешно</t>
        </is>
      </c>
      <c r="N3250" s="1" t="inlineStr">
        <is>
          <t>17.09.2026</t>
        </is>
      </c>
      <c r="O3250" s="1" t="inlineStr"/>
      <c r="P3250" s="1" t="inlineStr"/>
      <c r="Q3250" s="1" t="inlineStr">
        <is>
          <t>Пользовательский интерфейс</t>
        </is>
      </c>
    </row>
    <row r="3251">
      <c r="B3251" s="1" t="inlineStr">
        <is>
          <t>222717140</t>
        </is>
      </c>
      <c r="C3251" s="1" t="inlineStr">
        <is>
          <t>15953442</t>
        </is>
      </c>
      <c r="D3251" t="inlineStr">
        <is>
          <t>работник 823</t>
        </is>
      </c>
      <c r="E3251" s="1" t="inlineStr">
        <is>
          <t>ОБЩЕСТВО С ОГРАНИЧЕННОЙ ОТВЕТСТВЕННОСТЬЮ "АМУР ЗОЛОТО"</t>
        </is>
      </c>
      <c r="F3251" s="1" t="inlineStr">
        <is>
          <t>2708001686</t>
        </is>
      </c>
      <c r="G3251" s="1" t="inlineStr">
        <is>
          <t>Слесарь по ремонту автомобилей</t>
        </is>
      </c>
      <c r="H3251" s="1" t="inlineStr">
        <is>
          <t>ООО "Амур Золото"</t>
        </is>
      </c>
      <c r="I3251" s="1" t="inlineStr">
        <is>
          <t>2708001686</t>
        </is>
      </c>
      <c r="J3251" s="1" t="inlineStr">
        <is>
          <t>ЮГОК АТЦ 26-21</t>
        </is>
      </c>
      <c r="K3251" s="1" t="inlineStr">
        <is>
          <t>Оказание первой помощи пострадавшим</t>
        </is>
      </c>
      <c r="L3251" s="1" t="inlineStr">
        <is>
          <t>18.08.2026</t>
        </is>
      </c>
      <c r="M3251" s="1" t="inlineStr">
        <is>
          <t>Успешно</t>
        </is>
      </c>
      <c r="N3251" s="1" t="inlineStr">
        <is>
          <t>17.09.2026</t>
        </is>
      </c>
      <c r="O3251" s="1" t="inlineStr"/>
      <c r="P3251" s="1" t="inlineStr"/>
      <c r="Q3251" s="1" t="inlineStr">
        <is>
          <t>Пользовательский интерфейс</t>
        </is>
      </c>
    </row>
    <row r="3252">
      <c r="B3252" s="1" t="inlineStr">
        <is>
          <t>222717141</t>
        </is>
      </c>
      <c r="C3252" s="1" t="inlineStr">
        <is>
          <t>15953442</t>
        </is>
      </c>
      <c r="D3252" t="inlineStr">
        <is>
          <t>работник 371</t>
        </is>
      </c>
      <c r="E3252" s="1" t="inlineStr">
        <is>
          <t>ОБЩЕСТВО С ОГРАНИЧЕННОЙ ОТВЕТСТВЕННОСТЬЮ "АМУР ЗОЛОТО"</t>
        </is>
      </c>
      <c r="F3252" s="1" t="inlineStr">
        <is>
          <t>2708001686</t>
        </is>
      </c>
      <c r="G3252" s="1" t="inlineStr">
        <is>
          <t>Водитель автомобиля (занятый на транспортировании горной массы в технологическом процессе)</t>
        </is>
      </c>
      <c r="H3252" s="1" t="inlineStr">
        <is>
          <t>ООО "Амур Золото"</t>
        </is>
      </c>
      <c r="I3252" s="1" t="inlineStr">
        <is>
          <t>2708001686</t>
        </is>
      </c>
      <c r="J3252" s="1" t="inlineStr">
        <is>
          <t>ЮГОК АТЦ 26-15</t>
        </is>
      </c>
      <c r="K3252" s="1" t="inlineStr">
        <is>
          <t>Оказание первой помощи пострадавшим</t>
        </is>
      </c>
      <c r="L3252" s="1" t="inlineStr">
        <is>
          <t>17.08.2026</t>
        </is>
      </c>
      <c r="M3252" s="1" t="inlineStr">
        <is>
          <t>Успешно</t>
        </is>
      </c>
      <c r="N3252" s="1" t="inlineStr">
        <is>
          <t>17.09.2026</t>
        </is>
      </c>
      <c r="O3252" s="1" t="inlineStr"/>
      <c r="P3252" s="1" t="inlineStr"/>
      <c r="Q3252" s="1" t="inlineStr">
        <is>
          <t>Пользовательский интерфейс</t>
        </is>
      </c>
    </row>
    <row r="3253">
      <c r="B3253" s="1" t="inlineStr">
        <is>
          <t>222717142</t>
        </is>
      </c>
      <c r="C3253" s="1" t="inlineStr">
        <is>
          <t>15953442</t>
        </is>
      </c>
      <c r="D3253" t="inlineStr">
        <is>
          <t>работник 371</t>
        </is>
      </c>
      <c r="E3253" s="1" t="inlineStr">
        <is>
          <t>ОБЩЕСТВО С ОГРАНИЧЕННОЙ ОТВЕТСТВЕННОСТЬЮ "АМУР ЗОЛОТО"</t>
        </is>
      </c>
      <c r="F3253" s="1" t="inlineStr">
        <is>
          <t>2708001686</t>
        </is>
      </c>
      <c r="G3253" s="1" t="inlineStr">
        <is>
          <t>Водитель автомобиля (занятый на транспортировании горной массы в технологическом процессе)</t>
        </is>
      </c>
      <c r="H3253" s="1" t="inlineStr">
        <is>
          <t>ООО "Амур Золото"</t>
        </is>
      </c>
      <c r="I3253" s="1" t="inlineStr">
        <is>
          <t>2708001686</t>
        </is>
      </c>
      <c r="J3253" s="1" t="inlineStr">
        <is>
          <t>ЮГОК АТЦ 26-15</t>
        </is>
      </c>
      <c r="K3253" s="1" t="inlineStr">
        <is>
          <t>Использование (применение) средств индивидуальной защиты</t>
        </is>
      </c>
      <c r="L3253" s="1" t="inlineStr">
        <is>
          <t>17.08.2026</t>
        </is>
      </c>
      <c r="M3253" s="1" t="inlineStr">
        <is>
          <t>Успешно</t>
        </is>
      </c>
      <c r="N3253" s="1" t="inlineStr">
        <is>
          <t>17.09.2026</t>
        </is>
      </c>
      <c r="O3253" s="1" t="inlineStr"/>
      <c r="P3253" s="1" t="inlineStr"/>
      <c r="Q3253" s="1" t="inlineStr">
        <is>
          <t>Пользовательский интерфейс</t>
        </is>
      </c>
    </row>
    <row r="3254">
      <c r="B3254" s="1" t="inlineStr">
        <is>
          <t>222717143</t>
        </is>
      </c>
      <c r="C3254" s="1" t="inlineStr">
        <is>
          <t>15953442</t>
        </is>
      </c>
      <c r="D3254" t="inlineStr">
        <is>
          <t>работник 371</t>
        </is>
      </c>
      <c r="E3254" s="1" t="inlineStr">
        <is>
          <t>ОБЩЕСТВО С ОГРАНИЧЕННОЙ ОТВЕТСТВЕННОСТЬЮ "АМУР ЗОЛОТО"</t>
        </is>
      </c>
      <c r="F3254" s="1" t="inlineStr">
        <is>
          <t>2708001686</t>
        </is>
      </c>
      <c r="G3254" s="1" t="inlineStr">
        <is>
          <t>Водитель автомобиля (занятый на транспортировании горной массы в технологическом процессе)</t>
        </is>
      </c>
      <c r="H3254" s="1" t="inlineStr">
        <is>
          <t>ООО "Амур Золото"</t>
        </is>
      </c>
      <c r="I3254" s="1" t="inlineStr">
        <is>
          <t>2708001686</t>
        </is>
      </c>
      <c r="J3254" s="1" t="inlineStr">
        <is>
          <t>ЮГОК АТЦ 26-15</t>
        </is>
      </c>
      <c r="K325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254" s="1" t="inlineStr">
        <is>
          <t>17.08.2026</t>
        </is>
      </c>
      <c r="M3254" s="1" t="inlineStr">
        <is>
          <t>Успешно</t>
        </is>
      </c>
      <c r="N3254" s="1" t="inlineStr">
        <is>
          <t>17.09.2026</t>
        </is>
      </c>
      <c r="O3254" s="1" t="inlineStr"/>
      <c r="P3254" s="1" t="inlineStr"/>
      <c r="Q3254" s="1" t="inlineStr">
        <is>
          <t>Пользовательский интерфейс</t>
        </is>
      </c>
    </row>
    <row r="3255">
      <c r="B3255" s="1" t="inlineStr">
        <is>
          <t>222717144</t>
        </is>
      </c>
      <c r="C3255" s="1" t="inlineStr">
        <is>
          <t>15953442</t>
        </is>
      </c>
      <c r="D3255" t="inlineStr">
        <is>
          <t>работник 898</t>
        </is>
      </c>
      <c r="E3255" s="1" t="inlineStr">
        <is>
          <t>ОБЩЕСТВО С ОГРАНИЧЕННОЙ ОТВЕТСТВЕННОСТЬЮ "АМУР ЗОЛОТО"</t>
        </is>
      </c>
      <c r="F3255" s="1" t="inlineStr">
        <is>
          <t>2708001686</t>
        </is>
      </c>
      <c r="G3255" s="1" t="inlineStr">
        <is>
          <t>Водитель автомобиля (занятый на транспортировании горной массы в технологическом процессе)</t>
        </is>
      </c>
      <c r="H3255" s="1" t="inlineStr">
        <is>
          <t>ООО "Амур Золото"</t>
        </is>
      </c>
      <c r="I3255" s="1" t="inlineStr">
        <is>
          <t>2708001686</t>
        </is>
      </c>
      <c r="J3255" s="1" t="inlineStr">
        <is>
          <t>ЮГОК АТЦ 26-15</t>
        </is>
      </c>
      <c r="K3255" s="1" t="inlineStr">
        <is>
          <t>Оказание первой помощи пострадавшим</t>
        </is>
      </c>
      <c r="L3255" s="1" t="inlineStr">
        <is>
          <t>17.08.2026</t>
        </is>
      </c>
      <c r="M3255" s="1" t="inlineStr">
        <is>
          <t>Успешно</t>
        </is>
      </c>
      <c r="N3255" s="1" t="inlineStr">
        <is>
          <t>17.09.2026</t>
        </is>
      </c>
      <c r="O3255" s="1" t="inlineStr"/>
      <c r="P3255" s="1" t="inlineStr"/>
      <c r="Q3255" s="1" t="inlineStr">
        <is>
          <t>Пользовательский интерфейс</t>
        </is>
      </c>
    </row>
    <row r="3256">
      <c r="B3256" s="1" t="inlineStr">
        <is>
          <t>222717145</t>
        </is>
      </c>
      <c r="C3256" s="1" t="inlineStr">
        <is>
          <t>15953442</t>
        </is>
      </c>
      <c r="D3256" t="inlineStr">
        <is>
          <t>работник 898</t>
        </is>
      </c>
      <c r="E3256" s="1" t="inlineStr">
        <is>
          <t>ОБЩЕСТВО С ОГРАНИЧЕННОЙ ОТВЕТСТВЕННОСТЬЮ "АМУР ЗОЛОТО"</t>
        </is>
      </c>
      <c r="F3256" s="1" t="inlineStr">
        <is>
          <t>2708001686</t>
        </is>
      </c>
      <c r="G3256" s="1" t="inlineStr">
        <is>
          <t>Водитель автомобиля (занятый на транспортировании горной массы в технологическом процессе)</t>
        </is>
      </c>
      <c r="H3256" s="1" t="inlineStr">
        <is>
          <t>ООО "Амур Золото"</t>
        </is>
      </c>
      <c r="I3256" s="1" t="inlineStr">
        <is>
          <t>2708001686</t>
        </is>
      </c>
      <c r="J3256" s="1" t="inlineStr">
        <is>
          <t>ЮГОК АТЦ 26-15</t>
        </is>
      </c>
      <c r="K3256" s="1" t="inlineStr">
        <is>
          <t>Использование (применение) средств индивидуальной защиты</t>
        </is>
      </c>
      <c r="L3256" s="1" t="inlineStr">
        <is>
          <t>17.08.2026</t>
        </is>
      </c>
      <c r="M3256" s="1" t="inlineStr">
        <is>
          <t>Успешно</t>
        </is>
      </c>
      <c r="N3256" s="1" t="inlineStr">
        <is>
          <t>17.09.2026</t>
        </is>
      </c>
      <c r="O3256" s="1" t="inlineStr"/>
      <c r="P3256" s="1" t="inlineStr"/>
      <c r="Q3256" s="1" t="inlineStr">
        <is>
          <t>Пользовательский интерфейс</t>
        </is>
      </c>
    </row>
    <row r="3257">
      <c r="B3257" s="1" t="inlineStr">
        <is>
          <t>222717146</t>
        </is>
      </c>
      <c r="C3257" s="1" t="inlineStr">
        <is>
          <t>15953442</t>
        </is>
      </c>
      <c r="D3257" t="inlineStr">
        <is>
          <t>работник 898</t>
        </is>
      </c>
      <c r="E3257" s="1" t="inlineStr">
        <is>
          <t>ОБЩЕСТВО С ОГРАНИЧЕННОЙ ОТВЕТСТВЕННОСТЬЮ "АМУР ЗОЛОТО"</t>
        </is>
      </c>
      <c r="F3257" s="1" t="inlineStr">
        <is>
          <t>2708001686</t>
        </is>
      </c>
      <c r="G3257" s="1" t="inlineStr">
        <is>
          <t>Водитель автомобиля (занятый на транспортировании горной массы в технологическом процессе)</t>
        </is>
      </c>
      <c r="H3257" s="1" t="inlineStr">
        <is>
          <t>ООО "Амур Золото"</t>
        </is>
      </c>
      <c r="I3257" s="1" t="inlineStr">
        <is>
          <t>2708001686</t>
        </is>
      </c>
      <c r="J3257" s="1" t="inlineStr">
        <is>
          <t>ЮГОК АТЦ 26-15</t>
        </is>
      </c>
      <c r="K325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257" s="1" t="inlineStr">
        <is>
          <t>17.08.2026</t>
        </is>
      </c>
      <c r="M3257" s="1" t="inlineStr">
        <is>
          <t>Успешно</t>
        </is>
      </c>
      <c r="N3257" s="1" t="inlineStr">
        <is>
          <t>17.09.2026</t>
        </is>
      </c>
      <c r="O3257" s="1" t="inlineStr"/>
      <c r="P3257" s="1" t="inlineStr"/>
      <c r="Q3257" s="1" t="inlineStr">
        <is>
          <t>Пользовательский интерфейс</t>
        </is>
      </c>
    </row>
    <row r="3258">
      <c r="B3258" s="1" t="inlineStr">
        <is>
          <t>222717147</t>
        </is>
      </c>
      <c r="C3258" s="1" t="inlineStr">
        <is>
          <t>15953442</t>
        </is>
      </c>
      <c r="D3258" t="inlineStr">
        <is>
          <t>работник 272</t>
        </is>
      </c>
      <c r="E3258" s="1" t="inlineStr">
        <is>
          <t>ОБЩЕСТВО С ОГРАНИЧЕННОЙ ОТВЕТСТВЕННОСТЬЮ "АМУР ЗОЛОТО"</t>
        </is>
      </c>
      <c r="F3258" s="1" t="inlineStr">
        <is>
          <t>2708001686</t>
        </is>
      </c>
      <c r="G3258" s="1" t="inlineStr">
        <is>
          <t>Водитель автомобиля (занятый на транспортировании горной массы в технологическом процессе)</t>
        </is>
      </c>
      <c r="H3258" s="1" t="inlineStr">
        <is>
          <t>ООО "Амур Золото"</t>
        </is>
      </c>
      <c r="I3258" s="1" t="inlineStr">
        <is>
          <t>2708001686</t>
        </is>
      </c>
      <c r="J3258" s="1" t="inlineStr">
        <is>
          <t>ЮГОК АТЦ 26-15</t>
        </is>
      </c>
      <c r="K3258" s="1" t="inlineStr">
        <is>
          <t>Оказание первой помощи пострадавшим</t>
        </is>
      </c>
      <c r="L3258" s="1" t="inlineStr">
        <is>
          <t>17.08.2026</t>
        </is>
      </c>
      <c r="M3258" s="1" t="inlineStr">
        <is>
          <t>Успешно</t>
        </is>
      </c>
      <c r="N3258" s="1" t="inlineStr">
        <is>
          <t>17.09.2026</t>
        </is>
      </c>
      <c r="O3258" s="1" t="inlineStr"/>
      <c r="P3258" s="1" t="inlineStr"/>
      <c r="Q3258" s="1" t="inlineStr">
        <is>
          <t>Пользовательский интерфейс</t>
        </is>
      </c>
    </row>
    <row r="3259">
      <c r="B3259" s="1" t="inlineStr">
        <is>
          <t>222717148</t>
        </is>
      </c>
      <c r="C3259" s="1" t="inlineStr">
        <is>
          <t>15953442</t>
        </is>
      </c>
      <c r="D3259" t="inlineStr">
        <is>
          <t>работник 272</t>
        </is>
      </c>
      <c r="E3259" s="1" t="inlineStr">
        <is>
          <t>ОБЩЕСТВО С ОГРАНИЧЕННОЙ ОТВЕТСТВЕННОСТЬЮ "АМУР ЗОЛОТО"</t>
        </is>
      </c>
      <c r="F3259" s="1" t="inlineStr">
        <is>
          <t>2708001686</t>
        </is>
      </c>
      <c r="G3259" s="1" t="inlineStr">
        <is>
          <t>Водитель автомобиля (занятый на транспортировании горной массы в технологическом процессе)</t>
        </is>
      </c>
      <c r="H3259" s="1" t="inlineStr">
        <is>
          <t>ООО "Амур Золото"</t>
        </is>
      </c>
      <c r="I3259" s="1" t="inlineStr">
        <is>
          <t>2708001686</t>
        </is>
      </c>
      <c r="J3259" s="1" t="inlineStr">
        <is>
          <t>ЮГОК АТЦ 26-15</t>
        </is>
      </c>
      <c r="K3259" s="1" t="inlineStr">
        <is>
          <t>Использование (применение) средств индивидуальной защиты</t>
        </is>
      </c>
      <c r="L3259" s="1" t="inlineStr">
        <is>
          <t>17.08.2026</t>
        </is>
      </c>
      <c r="M3259" s="1" t="inlineStr">
        <is>
          <t>Успешно</t>
        </is>
      </c>
      <c r="N3259" s="1" t="inlineStr">
        <is>
          <t>17.09.2026</t>
        </is>
      </c>
      <c r="O3259" s="1" t="inlineStr"/>
      <c r="P3259" s="1" t="inlineStr"/>
      <c r="Q3259" s="1" t="inlineStr">
        <is>
          <t>Пользовательский интерфейс</t>
        </is>
      </c>
    </row>
    <row r="3260">
      <c r="B3260" s="1" t="inlineStr">
        <is>
          <t>222717149</t>
        </is>
      </c>
      <c r="C3260" s="1" t="inlineStr">
        <is>
          <t>15953442</t>
        </is>
      </c>
      <c r="D3260" t="inlineStr">
        <is>
          <t>работник 272</t>
        </is>
      </c>
      <c r="E3260" s="1" t="inlineStr">
        <is>
          <t>ОБЩЕСТВО С ОГРАНИЧЕННОЙ ОТВЕТСТВЕННОСТЬЮ "АМУР ЗОЛОТО"</t>
        </is>
      </c>
      <c r="F3260" s="1" t="inlineStr">
        <is>
          <t>2708001686</t>
        </is>
      </c>
      <c r="G3260" s="1" t="inlineStr">
        <is>
          <t>Водитель автомобиля (занятый на транспортировании горной массы в технологическом процессе)</t>
        </is>
      </c>
      <c r="H3260" s="1" t="inlineStr">
        <is>
          <t>ООО "Амур Золото"</t>
        </is>
      </c>
      <c r="I3260" s="1" t="inlineStr">
        <is>
          <t>2708001686</t>
        </is>
      </c>
      <c r="J3260" s="1" t="inlineStr">
        <is>
          <t>ЮГОК АТЦ 26-15</t>
        </is>
      </c>
      <c r="K326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260" s="1" t="inlineStr">
        <is>
          <t>17.08.2026</t>
        </is>
      </c>
      <c r="M3260" s="1" t="inlineStr">
        <is>
          <t>Успешно</t>
        </is>
      </c>
      <c r="N3260" s="1" t="inlineStr">
        <is>
          <t>17.09.2026</t>
        </is>
      </c>
      <c r="O3260" s="1" t="inlineStr"/>
      <c r="P3260" s="1" t="inlineStr"/>
      <c r="Q3260" s="1" t="inlineStr">
        <is>
          <t>Пользовательский интерфейс</t>
        </is>
      </c>
    </row>
    <row r="3261">
      <c r="B3261" s="1" t="inlineStr">
        <is>
          <t>222717150</t>
        </is>
      </c>
      <c r="C3261" s="1" t="inlineStr">
        <is>
          <t>15953442</t>
        </is>
      </c>
      <c r="D3261" t="inlineStr">
        <is>
          <t>работник 899</t>
        </is>
      </c>
      <c r="E3261" s="1" t="inlineStr">
        <is>
          <t>ОБЩЕСТВО С ОГРАНИЧЕННОЙ ОТВЕТСТВЕННОСТЬЮ "АМУР ЗОЛОТО"</t>
        </is>
      </c>
      <c r="F3261" s="1" t="inlineStr">
        <is>
          <t>2708001686</t>
        </is>
      </c>
      <c r="G3261" s="1" t="inlineStr">
        <is>
          <t>Водитель автомобиля (занятый на транспортировании горной массы в технологическом процессе)</t>
        </is>
      </c>
      <c r="H3261" s="1" t="inlineStr">
        <is>
          <t>ООО "Амур Золото"</t>
        </is>
      </c>
      <c r="I3261" s="1" t="inlineStr">
        <is>
          <t>2708001686</t>
        </is>
      </c>
      <c r="J3261" s="1" t="inlineStr">
        <is>
          <t>ЮГОК АТЦ 26-15</t>
        </is>
      </c>
      <c r="K3261" s="1" t="inlineStr">
        <is>
          <t>Оказание первой помощи пострадавшим</t>
        </is>
      </c>
      <c r="L3261" s="1" t="inlineStr">
        <is>
          <t>17.08.2026</t>
        </is>
      </c>
      <c r="M3261" s="1" t="inlineStr">
        <is>
          <t>Успешно</t>
        </is>
      </c>
      <c r="N3261" s="1" t="inlineStr">
        <is>
          <t>17.09.2026</t>
        </is>
      </c>
      <c r="O3261" s="1" t="inlineStr"/>
      <c r="P3261" s="1" t="inlineStr"/>
      <c r="Q3261" s="1" t="inlineStr">
        <is>
          <t>Пользовательский интерфейс</t>
        </is>
      </c>
    </row>
    <row r="3262">
      <c r="B3262" s="1" t="inlineStr">
        <is>
          <t>222717151</t>
        </is>
      </c>
      <c r="C3262" s="1" t="inlineStr">
        <is>
          <t>15953442</t>
        </is>
      </c>
      <c r="D3262" t="inlineStr">
        <is>
          <t>работник 899</t>
        </is>
      </c>
      <c r="E3262" s="1" t="inlineStr">
        <is>
          <t>ОБЩЕСТВО С ОГРАНИЧЕННОЙ ОТВЕТСТВЕННОСТЬЮ "АМУР ЗОЛОТО"</t>
        </is>
      </c>
      <c r="F3262" s="1" t="inlineStr">
        <is>
          <t>2708001686</t>
        </is>
      </c>
      <c r="G3262" s="1" t="inlineStr">
        <is>
          <t>Водитель автомобиля (занятый на транспортировании горной массы в технологическом процессе)</t>
        </is>
      </c>
      <c r="H3262" s="1" t="inlineStr">
        <is>
          <t>ООО "Амур Золото"</t>
        </is>
      </c>
      <c r="I3262" s="1" t="inlineStr">
        <is>
          <t>2708001686</t>
        </is>
      </c>
      <c r="J3262" s="1" t="inlineStr">
        <is>
          <t>ЮГОК АТЦ 26-15</t>
        </is>
      </c>
      <c r="K3262" s="1" t="inlineStr">
        <is>
          <t>Использование (применение) средств индивидуальной защиты</t>
        </is>
      </c>
      <c r="L3262" s="1" t="inlineStr">
        <is>
          <t>17.08.2026</t>
        </is>
      </c>
      <c r="M3262" s="1" t="inlineStr">
        <is>
          <t>Успешно</t>
        </is>
      </c>
      <c r="N3262" s="1" t="inlineStr">
        <is>
          <t>17.09.2026</t>
        </is>
      </c>
      <c r="O3262" s="1" t="inlineStr"/>
      <c r="P3262" s="1" t="inlineStr"/>
      <c r="Q3262" s="1" t="inlineStr">
        <is>
          <t>Пользовательский интерфейс</t>
        </is>
      </c>
    </row>
    <row r="3263">
      <c r="B3263" s="1" t="inlineStr">
        <is>
          <t>222717152</t>
        </is>
      </c>
      <c r="C3263" s="1" t="inlineStr">
        <is>
          <t>15953442</t>
        </is>
      </c>
      <c r="D3263" t="inlineStr">
        <is>
          <t>работник 22</t>
        </is>
      </c>
      <c r="E3263" s="1" t="inlineStr">
        <is>
          <t>ОБЩЕСТВО С ОГРАНИЧЕННОЙ ОТВЕТСТВЕННОСТЬЮ "АМУР ЗОЛОТО"</t>
        </is>
      </c>
      <c r="F3263" s="1" t="inlineStr">
        <is>
          <t>2708001686</t>
        </is>
      </c>
      <c r="G3263" s="1" t="inlineStr">
        <is>
          <t>Электрогазосварщик (занятый на резке и ручной сварке)</t>
        </is>
      </c>
      <c r="H3263" s="1" t="inlineStr">
        <is>
          <t>ООО "Амур Золото"</t>
        </is>
      </c>
      <c r="I3263" s="1" t="inlineStr">
        <is>
          <t>2708001686</t>
        </is>
      </c>
      <c r="J3263" s="1" t="inlineStr">
        <is>
          <t>ЮГОК АТЦ 26-18</t>
        </is>
      </c>
      <c r="K3263" s="1" t="inlineStr">
        <is>
          <t>Оказание первой помощи пострадавшим</t>
        </is>
      </c>
      <c r="L3263" s="1" t="inlineStr">
        <is>
          <t>18.08.2026</t>
        </is>
      </c>
      <c r="M3263" s="1" t="inlineStr">
        <is>
          <t>Успешно</t>
        </is>
      </c>
      <c r="N3263" s="1" t="inlineStr">
        <is>
          <t>17.09.2026</t>
        </is>
      </c>
      <c r="O3263" s="1" t="inlineStr"/>
      <c r="P3263" s="1" t="inlineStr"/>
      <c r="Q3263" s="1" t="inlineStr">
        <is>
          <t>Пользовательский интерфейс</t>
        </is>
      </c>
    </row>
    <row r="3264">
      <c r="B3264" s="1" t="inlineStr">
        <is>
          <t>222717153</t>
        </is>
      </c>
      <c r="C3264" s="1" t="inlineStr">
        <is>
          <t>15953442</t>
        </is>
      </c>
      <c r="D3264" t="inlineStr">
        <is>
          <t>работник 899</t>
        </is>
      </c>
      <c r="E3264" s="1" t="inlineStr">
        <is>
          <t>ОБЩЕСТВО С ОГРАНИЧЕННОЙ ОТВЕТСТВЕННОСТЬЮ "АМУР ЗОЛОТО"</t>
        </is>
      </c>
      <c r="F3264" s="1" t="inlineStr">
        <is>
          <t>2708001686</t>
        </is>
      </c>
      <c r="G3264" s="1" t="inlineStr">
        <is>
          <t>Водитель автомобиля (занятый на транспортировании горной массы в технологическом процессе)</t>
        </is>
      </c>
      <c r="H3264" s="1" t="inlineStr">
        <is>
          <t>ООО "Амур Золото"</t>
        </is>
      </c>
      <c r="I3264" s="1" t="inlineStr">
        <is>
          <t>2708001686</t>
        </is>
      </c>
      <c r="J3264" s="1" t="inlineStr">
        <is>
          <t>ЮГОК АТЦ 26-15</t>
        </is>
      </c>
      <c r="K326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264" s="1" t="inlineStr">
        <is>
          <t>17.08.2026</t>
        </is>
      </c>
      <c r="M3264" s="1" t="inlineStr">
        <is>
          <t>Успешно</t>
        </is>
      </c>
      <c r="N3264" s="1" t="inlineStr">
        <is>
          <t>17.09.2026</t>
        </is>
      </c>
      <c r="O3264" s="1" t="inlineStr"/>
      <c r="P3264" s="1" t="inlineStr"/>
      <c r="Q3264" s="1" t="inlineStr">
        <is>
          <t>Пользовательский интерфейс</t>
        </is>
      </c>
    </row>
    <row r="3265">
      <c r="B3265" s="1" t="inlineStr">
        <is>
          <t>222717154</t>
        </is>
      </c>
      <c r="C3265" s="1" t="inlineStr">
        <is>
          <t>15953442</t>
        </is>
      </c>
      <c r="D3265" t="inlineStr">
        <is>
          <t>работник 85</t>
        </is>
      </c>
      <c r="E3265" s="1" t="inlineStr">
        <is>
          <t>ОБЩЕСТВО С ОГРАНИЧЕННОЙ ОТВЕТСТВЕННОСТЬЮ "АМУР ЗОЛОТО"</t>
        </is>
      </c>
      <c r="F3265" s="1" t="inlineStr">
        <is>
          <t>2708001686</t>
        </is>
      </c>
      <c r="G3265" s="1" t="inlineStr">
        <is>
          <t>Водитель автомобиля (занятый на транспортировании горной массы в технологическом процессе)</t>
        </is>
      </c>
      <c r="H3265" s="1" t="inlineStr">
        <is>
          <t>ООО "Амур Золото"</t>
        </is>
      </c>
      <c r="I3265" s="1" t="inlineStr">
        <is>
          <t>2708001686</t>
        </is>
      </c>
      <c r="J3265" s="1" t="inlineStr">
        <is>
          <t>ЮГОК АТЦ 26-15</t>
        </is>
      </c>
      <c r="K3265" s="1" t="inlineStr">
        <is>
          <t>Оказание первой помощи пострадавшим</t>
        </is>
      </c>
      <c r="L3265" s="1" t="inlineStr">
        <is>
          <t>17.08.2026</t>
        </is>
      </c>
      <c r="M3265" s="1" t="inlineStr">
        <is>
          <t>Успешно</t>
        </is>
      </c>
      <c r="N3265" s="1" t="inlineStr">
        <is>
          <t>17.09.2026</t>
        </is>
      </c>
      <c r="O3265" s="1" t="inlineStr"/>
      <c r="P3265" s="1" t="inlineStr"/>
      <c r="Q3265" s="1" t="inlineStr">
        <is>
          <t>Пользовательский интерфейс</t>
        </is>
      </c>
    </row>
    <row r="3266">
      <c r="B3266" s="1" t="inlineStr">
        <is>
          <t>222717155</t>
        </is>
      </c>
      <c r="C3266" s="1" t="inlineStr">
        <is>
          <t>15953442</t>
        </is>
      </c>
      <c r="D3266" t="inlineStr">
        <is>
          <t>работник 85</t>
        </is>
      </c>
      <c r="E3266" s="1" t="inlineStr">
        <is>
          <t>ОБЩЕСТВО С ОГРАНИЧЕННОЙ ОТВЕТСТВЕННОСТЬЮ "АМУР ЗОЛОТО"</t>
        </is>
      </c>
      <c r="F3266" s="1" t="inlineStr">
        <is>
          <t>2708001686</t>
        </is>
      </c>
      <c r="G3266" s="1" t="inlineStr">
        <is>
          <t>Водитель автомобиля (занятый на транспортировании горной массы в технологическом процессе)</t>
        </is>
      </c>
      <c r="H3266" s="1" t="inlineStr">
        <is>
          <t>ООО "Амур Золото"</t>
        </is>
      </c>
      <c r="I3266" s="1" t="inlineStr">
        <is>
          <t>2708001686</t>
        </is>
      </c>
      <c r="J3266" s="1" t="inlineStr">
        <is>
          <t>ЮГОК АТЦ 26-15</t>
        </is>
      </c>
      <c r="K3266" s="1" t="inlineStr">
        <is>
          <t>Использование (применение) средств индивидуальной защиты</t>
        </is>
      </c>
      <c r="L3266" s="1" t="inlineStr">
        <is>
          <t>17.08.2026</t>
        </is>
      </c>
      <c r="M3266" s="1" t="inlineStr">
        <is>
          <t>Успешно</t>
        </is>
      </c>
      <c r="N3266" s="1" t="inlineStr">
        <is>
          <t>17.09.2026</t>
        </is>
      </c>
      <c r="O3266" s="1" t="inlineStr"/>
      <c r="P3266" s="1" t="inlineStr"/>
      <c r="Q3266" s="1" t="inlineStr">
        <is>
          <t>Пользовательский интерфейс</t>
        </is>
      </c>
    </row>
    <row r="3267">
      <c r="B3267" s="1" t="inlineStr">
        <is>
          <t>222717156</t>
        </is>
      </c>
      <c r="C3267" s="1" t="inlineStr">
        <is>
          <t>15953442</t>
        </is>
      </c>
      <c r="D3267" t="inlineStr">
        <is>
          <t>работник 85</t>
        </is>
      </c>
      <c r="E3267" s="1" t="inlineStr">
        <is>
          <t>ОБЩЕСТВО С ОГРАНИЧЕННОЙ ОТВЕТСТВЕННОСТЬЮ "АМУР ЗОЛОТО"</t>
        </is>
      </c>
      <c r="F3267" s="1" t="inlineStr">
        <is>
          <t>2708001686</t>
        </is>
      </c>
      <c r="G3267" s="1" t="inlineStr">
        <is>
          <t>Водитель автомобиля (занятый на транспортировании горной массы в технологическом процессе)</t>
        </is>
      </c>
      <c r="H3267" s="1" t="inlineStr">
        <is>
          <t>ООО "Амур Золото"</t>
        </is>
      </c>
      <c r="I3267" s="1" t="inlineStr">
        <is>
          <t>2708001686</t>
        </is>
      </c>
      <c r="J3267" s="1" t="inlineStr">
        <is>
          <t>ЮГОК АТЦ 26-15</t>
        </is>
      </c>
      <c r="K326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267" s="1" t="inlineStr">
        <is>
          <t>17.08.2026</t>
        </is>
      </c>
      <c r="M3267" s="1" t="inlineStr">
        <is>
          <t>Успешно</t>
        </is>
      </c>
      <c r="N3267" s="1" t="inlineStr">
        <is>
          <t>17.09.2026</t>
        </is>
      </c>
      <c r="O3267" s="1" t="inlineStr"/>
      <c r="P3267" s="1" t="inlineStr"/>
      <c r="Q3267" s="1" t="inlineStr">
        <is>
          <t>Пользовательский интерфейс</t>
        </is>
      </c>
    </row>
    <row r="3268">
      <c r="B3268" s="1" t="inlineStr">
        <is>
          <t>222717157</t>
        </is>
      </c>
      <c r="C3268" s="1" t="inlineStr">
        <is>
          <t>15953442</t>
        </is>
      </c>
      <c r="D3268" t="inlineStr">
        <is>
          <t>работник 517</t>
        </is>
      </c>
      <c r="E3268" s="1" t="inlineStr">
        <is>
          <t>ОБЩЕСТВО С ОГРАНИЧЕННОЙ ОТВЕТСТВЕННОСТЬЮ "АМУР ЗОЛОТО"</t>
        </is>
      </c>
      <c r="F3268" s="1" t="inlineStr">
        <is>
          <t>2708001686</t>
        </is>
      </c>
      <c r="G3268" s="1" t="inlineStr">
        <is>
          <t>Водитель автомобиля (категория D)</t>
        </is>
      </c>
      <c r="H3268" s="1" t="inlineStr">
        <is>
          <t>ООО "Амур Золото"</t>
        </is>
      </c>
      <c r="I3268" s="1" t="inlineStr">
        <is>
          <t>2708001686</t>
        </is>
      </c>
      <c r="J3268" s="1" t="inlineStr">
        <is>
          <t>ЮГОК АТЦ 26-16</t>
        </is>
      </c>
      <c r="K3268" s="1" t="inlineStr">
        <is>
          <t>Оказание первой помощи пострадавшим</t>
        </is>
      </c>
      <c r="L3268" s="1" t="inlineStr">
        <is>
          <t>17.08.2026</t>
        </is>
      </c>
      <c r="M3268" s="1" t="inlineStr">
        <is>
          <t>Успешно</t>
        </is>
      </c>
      <c r="N3268" s="1" t="inlineStr">
        <is>
          <t>17.09.2026</t>
        </is>
      </c>
      <c r="O3268" s="1" t="inlineStr"/>
      <c r="P3268" s="1" t="inlineStr"/>
      <c r="Q3268" s="1" t="inlineStr">
        <is>
          <t>Пользовательский интерфейс</t>
        </is>
      </c>
    </row>
    <row r="3269">
      <c r="B3269" s="1" t="inlineStr">
        <is>
          <t>222717158</t>
        </is>
      </c>
      <c r="C3269" s="1" t="inlineStr">
        <is>
          <t>15953442</t>
        </is>
      </c>
      <c r="D3269" t="inlineStr">
        <is>
          <t>работник 517</t>
        </is>
      </c>
      <c r="E3269" s="1" t="inlineStr">
        <is>
          <t>ОБЩЕСТВО С ОГРАНИЧЕННОЙ ОТВЕТСТВЕННОСТЬЮ "АМУР ЗОЛОТО"</t>
        </is>
      </c>
      <c r="F3269" s="1" t="inlineStr">
        <is>
          <t>2708001686</t>
        </is>
      </c>
      <c r="G3269" s="1" t="inlineStr">
        <is>
          <t>Водитель автомобиля (категория D)</t>
        </is>
      </c>
      <c r="H3269" s="1" t="inlineStr">
        <is>
          <t>ООО "Амур Золото"</t>
        </is>
      </c>
      <c r="I3269" s="1" t="inlineStr">
        <is>
          <t>2708001686</t>
        </is>
      </c>
      <c r="J3269" s="1" t="inlineStr">
        <is>
          <t>ЮГОК АТЦ 26-16</t>
        </is>
      </c>
      <c r="K3269" s="1" t="inlineStr">
        <is>
          <t>Использование (применение) средств индивидуальной защиты</t>
        </is>
      </c>
      <c r="L3269" s="1" t="inlineStr">
        <is>
          <t>17.08.2026</t>
        </is>
      </c>
      <c r="M3269" s="1" t="inlineStr">
        <is>
          <t>Успешно</t>
        </is>
      </c>
      <c r="N3269" s="1" t="inlineStr">
        <is>
          <t>17.09.2026</t>
        </is>
      </c>
      <c r="O3269" s="1" t="inlineStr"/>
      <c r="P3269" s="1" t="inlineStr"/>
      <c r="Q3269" s="1" t="inlineStr">
        <is>
          <t>Пользовательский интерфейс</t>
        </is>
      </c>
    </row>
    <row r="3270">
      <c r="B3270" s="1" t="inlineStr">
        <is>
          <t>222717159</t>
        </is>
      </c>
      <c r="C3270" s="1" t="inlineStr">
        <is>
          <t>15953442</t>
        </is>
      </c>
      <c r="D3270" t="inlineStr">
        <is>
          <t>работник 517</t>
        </is>
      </c>
      <c r="E3270" s="1" t="inlineStr">
        <is>
          <t>ОБЩЕСТВО С ОГРАНИЧЕННОЙ ОТВЕТСТВЕННОСТЬЮ "АМУР ЗОЛОТО"</t>
        </is>
      </c>
      <c r="F3270" s="1" t="inlineStr">
        <is>
          <t>2708001686</t>
        </is>
      </c>
      <c r="G3270" s="1" t="inlineStr">
        <is>
          <t>Водитель автомобиля (категория D)</t>
        </is>
      </c>
      <c r="H3270" s="1" t="inlineStr">
        <is>
          <t>ООО "Амур Золото"</t>
        </is>
      </c>
      <c r="I3270" s="1" t="inlineStr">
        <is>
          <t>2708001686</t>
        </is>
      </c>
      <c r="J3270" s="1" t="inlineStr">
        <is>
          <t>ЮГОК АТЦ 26-16</t>
        </is>
      </c>
      <c r="K327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270" s="1" t="inlineStr">
        <is>
          <t>17.08.2026</t>
        </is>
      </c>
      <c r="M3270" s="1" t="inlineStr">
        <is>
          <t>Успешно</t>
        </is>
      </c>
      <c r="N3270" s="1" t="inlineStr">
        <is>
          <t>17.09.2026</t>
        </is>
      </c>
      <c r="O3270" s="1" t="inlineStr"/>
      <c r="P3270" s="1" t="inlineStr"/>
      <c r="Q3270" s="1" t="inlineStr">
        <is>
          <t>Пользовательский интерфейс</t>
        </is>
      </c>
    </row>
    <row r="3271">
      <c r="B3271" s="1" t="inlineStr">
        <is>
          <t>222717160</t>
        </is>
      </c>
      <c r="C3271" s="1" t="inlineStr">
        <is>
          <t>15953442</t>
        </is>
      </c>
      <c r="D3271" t="inlineStr">
        <is>
          <t>работник 518</t>
        </is>
      </c>
      <c r="E3271" s="1" t="inlineStr">
        <is>
          <t>ОБЩЕСТВО С ОГРАНИЧЕННОЙ ОТВЕТСТВЕННОСТЬЮ "АМУР ЗОЛОТО"</t>
        </is>
      </c>
      <c r="F3271" s="1" t="inlineStr">
        <is>
          <t>2708001686</t>
        </is>
      </c>
      <c r="G3271" s="1" t="inlineStr">
        <is>
          <t>Водитель автомобиля (категория D)</t>
        </is>
      </c>
      <c r="H3271" s="1" t="inlineStr">
        <is>
          <t>ООО "Амур Золото"</t>
        </is>
      </c>
      <c r="I3271" s="1" t="inlineStr">
        <is>
          <t>2708001686</t>
        </is>
      </c>
      <c r="J3271" s="1" t="inlineStr">
        <is>
          <t>ЮГОК АТЦ 26-16</t>
        </is>
      </c>
      <c r="K3271" s="1" t="inlineStr">
        <is>
          <t>Оказание первой помощи пострадавшим</t>
        </is>
      </c>
      <c r="L3271" s="1" t="inlineStr">
        <is>
          <t>17.08.2026</t>
        </is>
      </c>
      <c r="M3271" s="1" t="inlineStr">
        <is>
          <t>Успешно</t>
        </is>
      </c>
      <c r="N3271" s="1" t="inlineStr">
        <is>
          <t>17.09.2026</t>
        </is>
      </c>
      <c r="O3271" s="1" t="inlineStr"/>
      <c r="P3271" s="1" t="inlineStr"/>
      <c r="Q3271" s="1" t="inlineStr">
        <is>
          <t>Пользовательский интерфейс</t>
        </is>
      </c>
    </row>
    <row r="3272">
      <c r="B3272" s="1" t="inlineStr">
        <is>
          <t>222717161</t>
        </is>
      </c>
      <c r="C3272" s="1" t="inlineStr">
        <is>
          <t>15953442</t>
        </is>
      </c>
      <c r="D3272" t="inlineStr">
        <is>
          <t>работник 518</t>
        </is>
      </c>
      <c r="E3272" s="1" t="inlineStr">
        <is>
          <t>ОБЩЕСТВО С ОГРАНИЧЕННОЙ ОТВЕТСТВЕННОСТЬЮ "АМУР ЗОЛОТО"</t>
        </is>
      </c>
      <c r="F3272" s="1" t="inlineStr">
        <is>
          <t>2708001686</t>
        </is>
      </c>
      <c r="G3272" s="1" t="inlineStr">
        <is>
          <t>Водитель автомобиля (категория D)</t>
        </is>
      </c>
      <c r="H3272" s="1" t="inlineStr">
        <is>
          <t>ООО "Амур Золото"</t>
        </is>
      </c>
      <c r="I3272" s="1" t="inlineStr">
        <is>
          <t>2708001686</t>
        </is>
      </c>
      <c r="J3272" s="1" t="inlineStr">
        <is>
          <t>ЮГОК АТЦ 26-16</t>
        </is>
      </c>
      <c r="K3272" s="1" t="inlineStr">
        <is>
          <t>Использование (применение) средств индивидуальной защиты</t>
        </is>
      </c>
      <c r="L3272" s="1" t="inlineStr">
        <is>
          <t>17.08.2026</t>
        </is>
      </c>
      <c r="M3272" s="1" t="inlineStr">
        <is>
          <t>Успешно</t>
        </is>
      </c>
      <c r="N3272" s="1" t="inlineStr">
        <is>
          <t>17.09.2026</t>
        </is>
      </c>
      <c r="O3272" s="1" t="inlineStr"/>
      <c r="P3272" s="1" t="inlineStr"/>
      <c r="Q3272" s="1" t="inlineStr">
        <is>
          <t>Пользовательский интерфейс</t>
        </is>
      </c>
    </row>
    <row r="3273">
      <c r="B3273" s="1" t="inlineStr">
        <is>
          <t>222717162</t>
        </is>
      </c>
      <c r="C3273" s="1" t="inlineStr">
        <is>
          <t>15953442</t>
        </is>
      </c>
      <c r="D3273" t="inlineStr">
        <is>
          <t>работник 518</t>
        </is>
      </c>
      <c r="E3273" s="1" t="inlineStr">
        <is>
          <t>ОБЩЕСТВО С ОГРАНИЧЕННОЙ ОТВЕТСТВЕННОСТЬЮ "АМУР ЗОЛОТО"</t>
        </is>
      </c>
      <c r="F3273" s="1" t="inlineStr">
        <is>
          <t>2708001686</t>
        </is>
      </c>
      <c r="G3273" s="1" t="inlineStr">
        <is>
          <t>Водитель автомобиля (категория D)</t>
        </is>
      </c>
      <c r="H3273" s="1" t="inlineStr">
        <is>
          <t>ООО "Амур Золото"</t>
        </is>
      </c>
      <c r="I3273" s="1" t="inlineStr">
        <is>
          <t>2708001686</t>
        </is>
      </c>
      <c r="J3273" s="1" t="inlineStr">
        <is>
          <t>ЮГОК АТЦ 26-16</t>
        </is>
      </c>
      <c r="K327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273" s="1" t="inlineStr">
        <is>
          <t>17.08.2026</t>
        </is>
      </c>
      <c r="M3273" s="1" t="inlineStr">
        <is>
          <t>Успешно</t>
        </is>
      </c>
      <c r="N3273" s="1" t="inlineStr">
        <is>
          <t>17.09.2026</t>
        </is>
      </c>
      <c r="O3273" s="1" t="inlineStr"/>
      <c r="P3273" s="1" t="inlineStr"/>
      <c r="Q3273" s="1" t="inlineStr">
        <is>
          <t>Пользовательский интерфейс</t>
        </is>
      </c>
    </row>
    <row r="3274">
      <c r="B3274" s="1" t="inlineStr">
        <is>
          <t>222717163</t>
        </is>
      </c>
      <c r="C3274" s="1" t="inlineStr">
        <is>
          <t>15953442</t>
        </is>
      </c>
      <c r="D3274" t="inlineStr">
        <is>
          <t>работник 535</t>
        </is>
      </c>
      <c r="E3274" s="1" t="inlineStr">
        <is>
          <t>ОБЩЕСТВО С ОГРАНИЧЕННОЙ ОТВЕТСТВЕННОСТЬЮ "АМУР ЗОЛОТО"</t>
        </is>
      </c>
      <c r="F3274" s="1" t="inlineStr">
        <is>
          <t>2708001686</t>
        </is>
      </c>
      <c r="G3274" s="1" t="inlineStr">
        <is>
          <t>Водитель автомобиля (категория D)</t>
        </is>
      </c>
      <c r="H3274" s="1" t="inlineStr">
        <is>
          <t>ООО "Амур Золото"</t>
        </is>
      </c>
      <c r="I3274" s="1" t="inlineStr">
        <is>
          <t>2708001686</t>
        </is>
      </c>
      <c r="J3274" s="1" t="inlineStr">
        <is>
          <t>ЮГОК АТЦ 26-16</t>
        </is>
      </c>
      <c r="K3274" s="1" t="inlineStr">
        <is>
          <t>Оказание первой помощи пострадавшим</t>
        </is>
      </c>
      <c r="L3274" s="1" t="inlineStr">
        <is>
          <t>17.08.2026</t>
        </is>
      </c>
      <c r="M3274" s="1" t="inlineStr">
        <is>
          <t>Успешно</t>
        </is>
      </c>
      <c r="N3274" s="1" t="inlineStr">
        <is>
          <t>17.09.2026</t>
        </is>
      </c>
      <c r="O3274" s="1" t="inlineStr"/>
      <c r="P3274" s="1" t="inlineStr"/>
      <c r="Q3274" s="1" t="inlineStr">
        <is>
          <t>Пользовательский интерфейс</t>
        </is>
      </c>
    </row>
    <row r="3275">
      <c r="B3275" s="1" t="inlineStr">
        <is>
          <t>222717164</t>
        </is>
      </c>
      <c r="C3275" s="1" t="inlineStr">
        <is>
          <t>15953442</t>
        </is>
      </c>
      <c r="D3275" t="inlineStr">
        <is>
          <t>работник 535</t>
        </is>
      </c>
      <c r="E3275" s="1" t="inlineStr">
        <is>
          <t>ОБЩЕСТВО С ОГРАНИЧЕННОЙ ОТВЕТСТВЕННОСТЬЮ "АМУР ЗОЛОТО"</t>
        </is>
      </c>
      <c r="F3275" s="1" t="inlineStr">
        <is>
          <t>2708001686</t>
        </is>
      </c>
      <c r="G3275" s="1" t="inlineStr">
        <is>
          <t>Водитель автомобиля (категория D)</t>
        </is>
      </c>
      <c r="H3275" s="1" t="inlineStr">
        <is>
          <t>ООО "Амур Золото"</t>
        </is>
      </c>
      <c r="I3275" s="1" t="inlineStr">
        <is>
          <t>2708001686</t>
        </is>
      </c>
      <c r="J3275" s="1" t="inlineStr">
        <is>
          <t>ЮГОК АТЦ 26-16</t>
        </is>
      </c>
      <c r="K3275" s="1" t="inlineStr">
        <is>
          <t>Использование (применение) средств индивидуальной защиты</t>
        </is>
      </c>
      <c r="L3275" s="1" t="inlineStr">
        <is>
          <t>17.08.2026</t>
        </is>
      </c>
      <c r="M3275" s="1" t="inlineStr">
        <is>
          <t>Успешно</t>
        </is>
      </c>
      <c r="N3275" s="1" t="inlineStr">
        <is>
          <t>17.09.2026</t>
        </is>
      </c>
      <c r="O3275" s="1" t="inlineStr"/>
      <c r="P3275" s="1" t="inlineStr"/>
      <c r="Q3275" s="1" t="inlineStr">
        <is>
          <t>Пользовательский интерфейс</t>
        </is>
      </c>
    </row>
    <row r="3276">
      <c r="B3276" s="1" t="inlineStr">
        <is>
          <t>222717165</t>
        </is>
      </c>
      <c r="C3276" s="1" t="inlineStr">
        <is>
          <t>15953442</t>
        </is>
      </c>
      <c r="D3276" t="inlineStr">
        <is>
          <t>работник 22</t>
        </is>
      </c>
      <c r="E3276" s="1" t="inlineStr">
        <is>
          <t>ОБЩЕСТВО С ОГРАНИЧЕННОЙ ОТВЕТСТВЕННОСТЬЮ "АМУР ЗОЛОТО"</t>
        </is>
      </c>
      <c r="F3276" s="1" t="inlineStr">
        <is>
          <t>2708001686</t>
        </is>
      </c>
      <c r="G3276" s="1" t="inlineStr">
        <is>
          <t>Электрогазосварщик (занятый на резке и ручной сварке)</t>
        </is>
      </c>
      <c r="H3276" s="1" t="inlineStr">
        <is>
          <t>ООО "Амур Золото"</t>
        </is>
      </c>
      <c r="I3276" s="1" t="inlineStr">
        <is>
          <t>2708001686</t>
        </is>
      </c>
      <c r="J3276" s="1" t="inlineStr">
        <is>
          <t>ЮГОК АТЦ 26-18</t>
        </is>
      </c>
      <c r="K3276" s="1" t="inlineStr">
        <is>
          <t>Использование (применение) средств индивидуальной защиты</t>
        </is>
      </c>
      <c r="L3276" s="1" t="inlineStr">
        <is>
          <t>18.08.2026</t>
        </is>
      </c>
      <c r="M3276" s="1" t="inlineStr">
        <is>
          <t>Успешно</t>
        </is>
      </c>
      <c r="N3276" s="1" t="inlineStr">
        <is>
          <t>17.09.2026</t>
        </is>
      </c>
      <c r="O3276" s="1" t="inlineStr"/>
      <c r="P3276" s="1" t="inlineStr"/>
      <c r="Q3276" s="1" t="inlineStr">
        <is>
          <t>Пользовательский интерфейс</t>
        </is>
      </c>
    </row>
    <row r="3277">
      <c r="B3277" s="1" t="inlineStr">
        <is>
          <t>222717166</t>
        </is>
      </c>
      <c r="C3277" s="1" t="inlineStr">
        <is>
          <t>15953442</t>
        </is>
      </c>
      <c r="D3277" t="inlineStr">
        <is>
          <t>работник 535</t>
        </is>
      </c>
      <c r="E3277" s="1" t="inlineStr">
        <is>
          <t>ОБЩЕСТВО С ОГРАНИЧЕННОЙ ОТВЕТСТВЕННОСТЬЮ "АМУР ЗОЛОТО"</t>
        </is>
      </c>
      <c r="F3277" s="1" t="inlineStr">
        <is>
          <t>2708001686</t>
        </is>
      </c>
      <c r="G3277" s="1" t="inlineStr">
        <is>
          <t>Водитель автомобиля (категория D)</t>
        </is>
      </c>
      <c r="H3277" s="1" t="inlineStr">
        <is>
          <t>ООО "Амур Золото"</t>
        </is>
      </c>
      <c r="I3277" s="1" t="inlineStr">
        <is>
          <t>2708001686</t>
        </is>
      </c>
      <c r="J3277" s="1" t="inlineStr">
        <is>
          <t>ЮГОК АТЦ 26-17</t>
        </is>
      </c>
      <c r="K327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277" s="1" t="inlineStr">
        <is>
          <t>17.08.2026</t>
        </is>
      </c>
      <c r="M3277" s="1" t="inlineStr">
        <is>
          <t>Успешно</t>
        </is>
      </c>
      <c r="N3277" s="1" t="inlineStr">
        <is>
          <t>17.09.2026</t>
        </is>
      </c>
      <c r="O3277" s="1" t="inlineStr"/>
      <c r="P3277" s="1" t="inlineStr"/>
      <c r="Q3277" s="1" t="inlineStr">
        <is>
          <t>Пользовательский интерфейс</t>
        </is>
      </c>
    </row>
    <row r="3278">
      <c r="B3278" s="1" t="inlineStr">
        <is>
          <t>222717167</t>
        </is>
      </c>
      <c r="C3278" s="1" t="inlineStr">
        <is>
          <t>15953442</t>
        </is>
      </c>
      <c r="D3278" t="inlineStr">
        <is>
          <t>работник 194</t>
        </is>
      </c>
      <c r="E3278" s="1" t="inlineStr">
        <is>
          <t>ОБЩЕСТВО С ОГРАНИЧЕННОЙ ОТВЕТСТВЕННОСТЬЮ "АМУР ЗОЛОТО"</t>
        </is>
      </c>
      <c r="F3278" s="1" t="inlineStr">
        <is>
          <t>2708001686</t>
        </is>
      </c>
      <c r="G3278" s="1" t="inlineStr">
        <is>
          <t>Машинист экскаватора</t>
        </is>
      </c>
      <c r="H3278" s="1" t="inlineStr">
        <is>
          <t>ООО "Амур Золото"</t>
        </is>
      </c>
      <c r="I3278" s="1" t="inlineStr">
        <is>
          <t>2708001686</t>
        </is>
      </c>
      <c r="J3278" s="1" t="inlineStr">
        <is>
          <t>ЮГОК АТЦ 26-17</t>
        </is>
      </c>
      <c r="K3278" s="1" t="inlineStr">
        <is>
          <t>Оказание первой помощи пострадавшим</t>
        </is>
      </c>
      <c r="L3278" s="1" t="inlineStr">
        <is>
          <t>17.08.2026</t>
        </is>
      </c>
      <c r="M3278" s="1" t="inlineStr">
        <is>
          <t>Успешно</t>
        </is>
      </c>
      <c r="N3278" s="1" t="inlineStr">
        <is>
          <t>17.09.2026</t>
        </is>
      </c>
      <c r="O3278" s="1" t="inlineStr"/>
      <c r="P3278" s="1" t="inlineStr"/>
      <c r="Q3278" s="1" t="inlineStr">
        <is>
          <t>Пользовательский интерфейс</t>
        </is>
      </c>
    </row>
    <row r="3279">
      <c r="B3279" s="1" t="inlineStr">
        <is>
          <t>222717168</t>
        </is>
      </c>
      <c r="C3279" s="1" t="inlineStr">
        <is>
          <t>15953442</t>
        </is>
      </c>
      <c r="D3279" t="inlineStr">
        <is>
          <t>работник 194</t>
        </is>
      </c>
      <c r="E3279" s="1" t="inlineStr">
        <is>
          <t>ОБЩЕСТВО С ОГРАНИЧЕННОЙ ОТВЕТСТВЕННОСТЬЮ "АМУР ЗОЛОТО"</t>
        </is>
      </c>
      <c r="F3279" s="1" t="inlineStr">
        <is>
          <t>2708001686</t>
        </is>
      </c>
      <c r="G3279" s="1" t="inlineStr">
        <is>
          <t>Машинист экскаватора</t>
        </is>
      </c>
      <c r="H3279" s="1" t="inlineStr">
        <is>
          <t>ООО "Амур Золото"</t>
        </is>
      </c>
      <c r="I3279" s="1" t="inlineStr">
        <is>
          <t>2708001686</t>
        </is>
      </c>
      <c r="J3279" s="1" t="inlineStr">
        <is>
          <t>ЮГОК АТЦ 26-17</t>
        </is>
      </c>
      <c r="K3279" s="1" t="inlineStr">
        <is>
          <t>Использование (применение) средств индивидуальной защиты</t>
        </is>
      </c>
      <c r="L3279" s="1" t="inlineStr">
        <is>
          <t>17.08.2026</t>
        </is>
      </c>
      <c r="M3279" s="1" t="inlineStr">
        <is>
          <t>Успешно</t>
        </is>
      </c>
      <c r="N3279" s="1" t="inlineStr">
        <is>
          <t>17.09.2026</t>
        </is>
      </c>
      <c r="O3279" s="1" t="inlineStr"/>
      <c r="P3279" s="1" t="inlineStr"/>
      <c r="Q3279" s="1" t="inlineStr">
        <is>
          <t>Пользовательский интерфейс</t>
        </is>
      </c>
    </row>
    <row r="3280">
      <c r="B3280" s="1" t="inlineStr">
        <is>
          <t>222717169</t>
        </is>
      </c>
      <c r="C3280" s="1" t="inlineStr">
        <is>
          <t>15953442</t>
        </is>
      </c>
      <c r="D3280" t="inlineStr">
        <is>
          <t>работник 194</t>
        </is>
      </c>
      <c r="E3280" s="1" t="inlineStr">
        <is>
          <t>ОБЩЕСТВО С ОГРАНИЧЕННОЙ ОТВЕТСТВЕННОСТЬЮ "АМУР ЗОЛОТО"</t>
        </is>
      </c>
      <c r="F3280" s="1" t="inlineStr">
        <is>
          <t>2708001686</t>
        </is>
      </c>
      <c r="G3280" s="1" t="inlineStr">
        <is>
          <t>Машинист экскаватора</t>
        </is>
      </c>
      <c r="H3280" s="1" t="inlineStr">
        <is>
          <t>ООО "Амур Золото"</t>
        </is>
      </c>
      <c r="I3280" s="1" t="inlineStr">
        <is>
          <t>2708001686</t>
        </is>
      </c>
      <c r="J3280" s="1" t="inlineStr">
        <is>
          <t>ЮГОК АТЦ 26-17</t>
        </is>
      </c>
      <c r="K328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280" s="1" t="inlineStr">
        <is>
          <t>17.08.2026</t>
        </is>
      </c>
      <c r="M3280" s="1" t="inlineStr">
        <is>
          <t>Успешно</t>
        </is>
      </c>
      <c r="N3280" s="1" t="inlineStr">
        <is>
          <t>17.09.2026</t>
        </is>
      </c>
      <c r="O3280" s="1" t="inlineStr"/>
      <c r="P3280" s="1" t="inlineStr"/>
      <c r="Q3280" s="1" t="inlineStr">
        <is>
          <t>Пользовательский интерфейс</t>
        </is>
      </c>
    </row>
    <row r="3281">
      <c r="B3281" s="1" t="inlineStr">
        <is>
          <t>222717170</t>
        </is>
      </c>
      <c r="C3281" s="1" t="inlineStr">
        <is>
          <t>15953442</t>
        </is>
      </c>
      <c r="D3281" t="inlineStr">
        <is>
          <t>работник 294</t>
        </is>
      </c>
      <c r="E3281" s="1" t="inlineStr">
        <is>
          <t>ОБЩЕСТВО С ОГРАНИЧЕННОЙ ОТВЕТСТВЕННОСТЬЮ "АМУР ЗОЛОТО"</t>
        </is>
      </c>
      <c r="F3281" s="1" t="inlineStr">
        <is>
          <t>2708001686</t>
        </is>
      </c>
      <c r="G3281" s="1" t="inlineStr">
        <is>
          <t>Машинист экскаватора</t>
        </is>
      </c>
      <c r="H3281" s="1" t="inlineStr">
        <is>
          <t>ООО "Амур Золото"</t>
        </is>
      </c>
      <c r="I3281" s="1" t="inlineStr">
        <is>
          <t>2708001686</t>
        </is>
      </c>
      <c r="J3281" s="1" t="inlineStr">
        <is>
          <t>ЮГОК АТЦ 26-17</t>
        </is>
      </c>
      <c r="K3281" s="1" t="inlineStr">
        <is>
          <t>Оказание первой помощи пострадавшим</t>
        </is>
      </c>
      <c r="L3281" s="1" t="inlineStr">
        <is>
          <t>17.08.2026</t>
        </is>
      </c>
      <c r="M3281" s="1" t="inlineStr">
        <is>
          <t>Успешно</t>
        </is>
      </c>
      <c r="N3281" s="1" t="inlineStr">
        <is>
          <t>17.09.2026</t>
        </is>
      </c>
      <c r="O3281" s="1" t="inlineStr"/>
      <c r="P3281" s="1" t="inlineStr"/>
      <c r="Q3281" s="1" t="inlineStr">
        <is>
          <t>Пользовательский интерфейс</t>
        </is>
      </c>
    </row>
    <row r="3282">
      <c r="B3282" s="1" t="inlineStr">
        <is>
          <t>222717171</t>
        </is>
      </c>
      <c r="C3282" s="1" t="inlineStr">
        <is>
          <t>15953442</t>
        </is>
      </c>
      <c r="D3282" t="inlineStr">
        <is>
          <t>работник 294</t>
        </is>
      </c>
      <c r="E3282" s="1" t="inlineStr">
        <is>
          <t>ОБЩЕСТВО С ОГРАНИЧЕННОЙ ОТВЕТСТВЕННОСТЬЮ "АМУР ЗОЛОТО"</t>
        </is>
      </c>
      <c r="F3282" s="1" t="inlineStr">
        <is>
          <t>2708001686</t>
        </is>
      </c>
      <c r="G3282" s="1" t="inlineStr">
        <is>
          <t>Машинист экскаватора</t>
        </is>
      </c>
      <c r="H3282" s="1" t="inlineStr">
        <is>
          <t>ООО "Амур Золото"</t>
        </is>
      </c>
      <c r="I3282" s="1" t="inlineStr">
        <is>
          <t>2708001686</t>
        </is>
      </c>
      <c r="J3282" s="1" t="inlineStr">
        <is>
          <t>ЮГОК АТЦ 26-17</t>
        </is>
      </c>
      <c r="K3282" s="1" t="inlineStr">
        <is>
          <t>Использование (применение) средств индивидуальной защиты</t>
        </is>
      </c>
      <c r="L3282" s="1" t="inlineStr">
        <is>
          <t>17.08.2026</t>
        </is>
      </c>
      <c r="M3282" s="1" t="inlineStr">
        <is>
          <t>Успешно</t>
        </is>
      </c>
      <c r="N3282" s="1" t="inlineStr">
        <is>
          <t>17.09.2026</t>
        </is>
      </c>
      <c r="O3282" s="1" t="inlineStr"/>
      <c r="P3282" s="1" t="inlineStr"/>
      <c r="Q3282" s="1" t="inlineStr">
        <is>
          <t>Пользовательский интерфейс</t>
        </is>
      </c>
    </row>
    <row r="3283">
      <c r="B3283" s="1" t="inlineStr">
        <is>
          <t>222717172</t>
        </is>
      </c>
      <c r="C3283" s="1" t="inlineStr">
        <is>
          <t>15953442</t>
        </is>
      </c>
      <c r="D3283" t="inlineStr">
        <is>
          <t>работник 294</t>
        </is>
      </c>
      <c r="E3283" s="1" t="inlineStr">
        <is>
          <t>ОБЩЕСТВО С ОГРАНИЧЕННОЙ ОТВЕТСТВЕННОСТЬЮ "АМУР ЗОЛОТО"</t>
        </is>
      </c>
      <c r="F3283" s="1" t="inlineStr">
        <is>
          <t>2708001686</t>
        </is>
      </c>
      <c r="G3283" s="1" t="inlineStr">
        <is>
          <t>Машинист экскаватора</t>
        </is>
      </c>
      <c r="H3283" s="1" t="inlineStr">
        <is>
          <t>ООО "Амур Золото"</t>
        </is>
      </c>
      <c r="I3283" s="1" t="inlineStr">
        <is>
          <t>2708001686</t>
        </is>
      </c>
      <c r="J3283" s="1" t="inlineStr">
        <is>
          <t>ЮГОК АТЦ 26-17</t>
        </is>
      </c>
      <c r="K328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283" s="1" t="inlineStr">
        <is>
          <t>17.08.2026</t>
        </is>
      </c>
      <c r="M3283" s="1" t="inlineStr">
        <is>
          <t>Успешно</t>
        </is>
      </c>
      <c r="N3283" s="1" t="inlineStr">
        <is>
          <t>17.09.2026</t>
        </is>
      </c>
      <c r="O3283" s="1" t="inlineStr"/>
      <c r="P3283" s="1" t="inlineStr"/>
      <c r="Q3283" s="1" t="inlineStr">
        <is>
          <t>Пользовательский интерфейс</t>
        </is>
      </c>
    </row>
    <row r="3284">
      <c r="B3284" s="1" t="inlineStr">
        <is>
          <t>222717173</t>
        </is>
      </c>
      <c r="C3284" s="1" t="inlineStr">
        <is>
          <t>15953442</t>
        </is>
      </c>
      <c r="D3284" t="inlineStr">
        <is>
          <t>работник 268</t>
        </is>
      </c>
      <c r="E3284" s="1" t="inlineStr">
        <is>
          <t>ОБЩЕСТВО С ОГРАНИЧЕННОЙ ОТВЕТСТВЕННОСТЬЮ "АМУР ЗОЛОТО"</t>
        </is>
      </c>
      <c r="F3284" s="1" t="inlineStr">
        <is>
          <t>2708001686</t>
        </is>
      </c>
      <c r="G3284" s="1" t="inlineStr">
        <is>
          <t>Машинист экскаватора</t>
        </is>
      </c>
      <c r="H3284" s="1" t="inlineStr">
        <is>
          <t>ООО "Амур Золото"</t>
        </is>
      </c>
      <c r="I3284" s="1" t="inlineStr">
        <is>
          <t>2708001686</t>
        </is>
      </c>
      <c r="J3284" s="1" t="inlineStr">
        <is>
          <t>ЮГОК АТЦ 26-17</t>
        </is>
      </c>
      <c r="K3284" s="1" t="inlineStr">
        <is>
          <t>Оказание первой помощи пострадавшим</t>
        </is>
      </c>
      <c r="L3284" s="1" t="inlineStr">
        <is>
          <t>17.08.2026</t>
        </is>
      </c>
      <c r="M3284" s="1" t="inlineStr">
        <is>
          <t>Успешно</t>
        </is>
      </c>
      <c r="N3284" s="1" t="inlineStr">
        <is>
          <t>17.09.2026</t>
        </is>
      </c>
      <c r="O3284" s="1" t="inlineStr"/>
      <c r="P3284" s="1" t="inlineStr"/>
      <c r="Q3284" s="1" t="inlineStr">
        <is>
          <t>Пользовательский интерфейс</t>
        </is>
      </c>
    </row>
    <row r="3285">
      <c r="B3285" s="1" t="inlineStr">
        <is>
          <t>222717174</t>
        </is>
      </c>
      <c r="C3285" s="1" t="inlineStr">
        <is>
          <t>15953442</t>
        </is>
      </c>
      <c r="D3285" t="inlineStr">
        <is>
          <t>работник 268</t>
        </is>
      </c>
      <c r="E3285" s="1" t="inlineStr">
        <is>
          <t>ОБЩЕСТВО С ОГРАНИЧЕННОЙ ОТВЕТСТВЕННОСТЬЮ "АМУР ЗОЛОТО"</t>
        </is>
      </c>
      <c r="F3285" s="1" t="inlineStr">
        <is>
          <t>2708001686</t>
        </is>
      </c>
      <c r="G3285" s="1" t="inlineStr">
        <is>
          <t>Машинист экскаватора</t>
        </is>
      </c>
      <c r="H3285" s="1" t="inlineStr">
        <is>
          <t>ООО "Амур Золото"</t>
        </is>
      </c>
      <c r="I3285" s="1" t="inlineStr">
        <is>
          <t>2708001686</t>
        </is>
      </c>
      <c r="J3285" s="1" t="inlineStr">
        <is>
          <t>ЮГОК АТЦ 26-17</t>
        </is>
      </c>
      <c r="K3285" s="1" t="inlineStr">
        <is>
          <t>Использование (применение) средств индивидуальной защиты</t>
        </is>
      </c>
      <c r="L3285" s="1" t="inlineStr">
        <is>
          <t>17.08.2026</t>
        </is>
      </c>
      <c r="M3285" s="1" t="inlineStr">
        <is>
          <t>Успешно</t>
        </is>
      </c>
      <c r="N3285" s="1" t="inlineStr">
        <is>
          <t>17.09.2026</t>
        </is>
      </c>
      <c r="O3285" s="1" t="inlineStr"/>
      <c r="P3285" s="1" t="inlineStr"/>
      <c r="Q3285" s="1" t="inlineStr">
        <is>
          <t>Пользовательский интерфейс</t>
        </is>
      </c>
    </row>
    <row r="3286">
      <c r="B3286" s="1" t="inlineStr">
        <is>
          <t>222717175</t>
        </is>
      </c>
      <c r="C3286" s="1" t="inlineStr">
        <is>
          <t>15953442</t>
        </is>
      </c>
      <c r="D3286" t="inlineStr">
        <is>
          <t>работник 268</t>
        </is>
      </c>
      <c r="E3286" s="1" t="inlineStr">
        <is>
          <t>ОБЩЕСТВО С ОГРАНИЧЕННОЙ ОТВЕТСТВЕННОСТЬЮ "АМУР ЗОЛОТО"</t>
        </is>
      </c>
      <c r="F3286" s="1" t="inlineStr">
        <is>
          <t>2708001686</t>
        </is>
      </c>
      <c r="G3286" s="1" t="inlineStr">
        <is>
          <t>Машинист экскаватора</t>
        </is>
      </c>
      <c r="H3286" s="1" t="inlineStr">
        <is>
          <t>ООО "Амур Золото"</t>
        </is>
      </c>
      <c r="I3286" s="1" t="inlineStr">
        <is>
          <t>2708001686</t>
        </is>
      </c>
      <c r="J3286" s="1" t="inlineStr">
        <is>
          <t>ЮГОК АТЦ 26-17</t>
        </is>
      </c>
      <c r="K328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286" s="1" t="inlineStr">
        <is>
          <t>17.08.2026</t>
        </is>
      </c>
      <c r="M3286" s="1" t="inlineStr">
        <is>
          <t>Успешно</t>
        </is>
      </c>
      <c r="N3286" s="1" t="inlineStr">
        <is>
          <t>17.09.2026</t>
        </is>
      </c>
      <c r="O3286" s="1" t="inlineStr"/>
      <c r="P3286" s="1" t="inlineStr"/>
      <c r="Q3286" s="1" t="inlineStr">
        <is>
          <t>Пользовательский интерфейс</t>
        </is>
      </c>
    </row>
    <row r="3287">
      <c r="B3287" s="1" t="inlineStr">
        <is>
          <t>222717176</t>
        </is>
      </c>
      <c r="C3287" s="1" t="inlineStr">
        <is>
          <t>15953442</t>
        </is>
      </c>
      <c r="D3287" t="inlineStr">
        <is>
          <t>работник 183</t>
        </is>
      </c>
      <c r="E3287" s="1" t="inlineStr">
        <is>
          <t>ОБЩЕСТВО С ОГРАНИЧЕННОЙ ОТВЕТСТВЕННОСТЬЮ "АМУР ЗОЛОТО"</t>
        </is>
      </c>
      <c r="F3287" s="1" t="inlineStr">
        <is>
          <t>2708001686</t>
        </is>
      </c>
      <c r="G3287" s="1" t="inlineStr">
        <is>
          <t>Машинист экскаватора</t>
        </is>
      </c>
      <c r="H3287" s="1" t="inlineStr">
        <is>
          <t>ООО "Амур Золото"</t>
        </is>
      </c>
      <c r="I3287" s="1" t="inlineStr">
        <is>
          <t>2708001686</t>
        </is>
      </c>
      <c r="J3287" s="1" t="inlineStr">
        <is>
          <t>ЮГОК АТЦ 26-17</t>
        </is>
      </c>
      <c r="K3287" s="1" t="inlineStr">
        <is>
          <t>Оказание первой помощи пострадавшим</t>
        </is>
      </c>
      <c r="L3287" s="1" t="inlineStr">
        <is>
          <t>17.08.2026</t>
        </is>
      </c>
      <c r="M3287" s="1" t="inlineStr">
        <is>
          <t>Успешно</t>
        </is>
      </c>
      <c r="N3287" s="1" t="inlineStr">
        <is>
          <t>17.09.2026</t>
        </is>
      </c>
      <c r="O3287" s="1" t="inlineStr"/>
      <c r="P3287" s="1" t="inlineStr"/>
      <c r="Q3287" s="1" t="inlineStr">
        <is>
          <t>Пользовательский интерфейс</t>
        </is>
      </c>
    </row>
    <row r="3288">
      <c r="B3288" s="1" t="inlineStr">
        <is>
          <t>222717177</t>
        </is>
      </c>
      <c r="C3288" s="1" t="inlineStr">
        <is>
          <t>15953442</t>
        </is>
      </c>
      <c r="D3288" t="inlineStr">
        <is>
          <t>работник 183</t>
        </is>
      </c>
      <c r="E3288" s="1" t="inlineStr">
        <is>
          <t>ОБЩЕСТВО С ОГРАНИЧЕННОЙ ОТВЕТСТВЕННОСТЬЮ "АМУР ЗОЛОТО"</t>
        </is>
      </c>
      <c r="F3288" s="1" t="inlineStr">
        <is>
          <t>2708001686</t>
        </is>
      </c>
      <c r="G3288" s="1" t="inlineStr">
        <is>
          <t>Машинист экскаватора</t>
        </is>
      </c>
      <c r="H3288" s="1" t="inlineStr">
        <is>
          <t>ООО "Амур Золото"</t>
        </is>
      </c>
      <c r="I3288" s="1" t="inlineStr">
        <is>
          <t>2708001686</t>
        </is>
      </c>
      <c r="J3288" s="1" t="inlineStr">
        <is>
          <t>ЮГОК АТЦ 26-17</t>
        </is>
      </c>
      <c r="K3288" s="1" t="inlineStr">
        <is>
          <t>Использование (применение) средств индивидуальной защиты</t>
        </is>
      </c>
      <c r="L3288" s="1" t="inlineStr">
        <is>
          <t>17.08.2026</t>
        </is>
      </c>
      <c r="M3288" s="1" t="inlineStr">
        <is>
          <t>Успешно</t>
        </is>
      </c>
      <c r="N3288" s="1" t="inlineStr">
        <is>
          <t>17.09.2026</t>
        </is>
      </c>
      <c r="O3288" s="1" t="inlineStr"/>
      <c r="P3288" s="1" t="inlineStr"/>
      <c r="Q3288" s="1" t="inlineStr">
        <is>
          <t>Пользовательский интерфейс</t>
        </is>
      </c>
    </row>
    <row r="3289">
      <c r="B3289" s="1" t="inlineStr">
        <is>
          <t>222717178</t>
        </is>
      </c>
      <c r="C3289" s="1" t="inlineStr">
        <is>
          <t>15953442</t>
        </is>
      </c>
      <c r="D3289" t="inlineStr">
        <is>
          <t>работник 183</t>
        </is>
      </c>
      <c r="E3289" s="1" t="inlineStr">
        <is>
          <t>ОБЩЕСТВО С ОГРАНИЧЕННОЙ ОТВЕТСТВЕННОСТЬЮ "АМУР ЗОЛОТО"</t>
        </is>
      </c>
      <c r="F3289" s="1" t="inlineStr">
        <is>
          <t>2708001686</t>
        </is>
      </c>
      <c r="G3289" s="1" t="inlineStr">
        <is>
          <t>Машинист экскаватора</t>
        </is>
      </c>
      <c r="H3289" s="1" t="inlineStr">
        <is>
          <t>ООО "Амур Золото"</t>
        </is>
      </c>
      <c r="I3289" s="1" t="inlineStr">
        <is>
          <t>2708001686</t>
        </is>
      </c>
      <c r="J3289" s="1" t="inlineStr">
        <is>
          <t>ЮГОК АТЦ 26-17</t>
        </is>
      </c>
      <c r="K328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289" s="1" t="inlineStr">
        <is>
          <t>17.08.2026</t>
        </is>
      </c>
      <c r="M3289" s="1" t="inlineStr">
        <is>
          <t>Успешно</t>
        </is>
      </c>
      <c r="N3289" s="1" t="inlineStr">
        <is>
          <t>17.09.2026</t>
        </is>
      </c>
      <c r="O3289" s="1" t="inlineStr"/>
      <c r="P3289" s="1" t="inlineStr"/>
      <c r="Q3289" s="1" t="inlineStr">
        <is>
          <t>Пользовательский интерфейс</t>
        </is>
      </c>
    </row>
    <row r="3290">
      <c r="B3290" s="1" t="inlineStr">
        <is>
          <t>222717179</t>
        </is>
      </c>
      <c r="C3290" s="1" t="inlineStr">
        <is>
          <t>15953442</t>
        </is>
      </c>
      <c r="D3290" t="inlineStr">
        <is>
          <t>работник 900</t>
        </is>
      </c>
      <c r="E3290" s="1" t="inlineStr">
        <is>
          <t>ОБЩЕСТВО С ОГРАНИЧЕННОЙ ОТВЕТСТВЕННОСТЬЮ "АМУР ЗОЛОТО"</t>
        </is>
      </c>
      <c r="F3290" s="1" t="inlineStr">
        <is>
          <t>2708001686</t>
        </is>
      </c>
      <c r="G3290" s="1" t="inlineStr">
        <is>
          <t>Водитель погрузчика</t>
        </is>
      </c>
      <c r="H3290" s="1" t="inlineStr">
        <is>
          <t>ООО "Амур Золото"</t>
        </is>
      </c>
      <c r="I3290" s="1" t="inlineStr">
        <is>
          <t>2708001686</t>
        </is>
      </c>
      <c r="J3290" s="1" t="inlineStr">
        <is>
          <t>ЮГОК АТЦ 26-20</t>
        </is>
      </c>
      <c r="K3290" s="1" t="inlineStr">
        <is>
          <t>Использование (применение) средств индивидуальной защиты</t>
        </is>
      </c>
      <c r="L3290" s="1" t="inlineStr">
        <is>
          <t>18.08.2026</t>
        </is>
      </c>
      <c r="M3290" s="1" t="inlineStr">
        <is>
          <t>Успешно</t>
        </is>
      </c>
      <c r="N3290" s="1" t="inlineStr">
        <is>
          <t>17.09.2026</t>
        </is>
      </c>
      <c r="O3290" s="1" t="inlineStr"/>
      <c r="P3290" s="1" t="inlineStr"/>
      <c r="Q3290" s="1" t="inlineStr">
        <is>
          <t>Пользовательский интерфейс</t>
        </is>
      </c>
    </row>
    <row r="3291">
      <c r="B3291" s="1" t="inlineStr">
        <is>
          <t>222717180</t>
        </is>
      </c>
      <c r="C3291" s="1" t="inlineStr">
        <is>
          <t>15953442</t>
        </is>
      </c>
      <c r="D3291" t="inlineStr">
        <is>
          <t>работник 22</t>
        </is>
      </c>
      <c r="E3291" s="1" t="inlineStr">
        <is>
          <t>ОБЩЕСТВО С ОГРАНИЧЕННОЙ ОТВЕТСТВЕННОСТЬЮ "АМУР ЗОЛОТО"</t>
        </is>
      </c>
      <c r="F3291" s="1" t="inlineStr">
        <is>
          <t>2708001686</t>
        </is>
      </c>
      <c r="G3291" s="1" t="inlineStr">
        <is>
          <t>Электрогазосварщик (занятый на резке и ручной сварке)</t>
        </is>
      </c>
      <c r="H3291" s="1" t="inlineStr">
        <is>
          <t>ООО "Амур Золото"</t>
        </is>
      </c>
      <c r="I3291" s="1" t="inlineStr">
        <is>
          <t>2708001686</t>
        </is>
      </c>
      <c r="J3291" s="1" t="inlineStr">
        <is>
          <t>ЮГОК АТЦ 26-18</t>
        </is>
      </c>
      <c r="K329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291" s="1" t="inlineStr">
        <is>
          <t>18.08.2026</t>
        </is>
      </c>
      <c r="M3291" s="1" t="inlineStr">
        <is>
          <t>Успешно</t>
        </is>
      </c>
      <c r="N3291" s="1" t="inlineStr">
        <is>
          <t>17.09.2026</t>
        </is>
      </c>
      <c r="O3291" s="1" t="inlineStr"/>
      <c r="P3291" s="1" t="inlineStr"/>
      <c r="Q3291" s="1" t="inlineStr">
        <is>
          <t>Пользовательский интерфейс</t>
        </is>
      </c>
    </row>
    <row r="3292">
      <c r="B3292" s="1" t="inlineStr">
        <is>
          <t>222717181</t>
        </is>
      </c>
      <c r="C3292" s="1" t="inlineStr">
        <is>
          <t>15953442</t>
        </is>
      </c>
      <c r="D3292" t="inlineStr">
        <is>
          <t>работник 22</t>
        </is>
      </c>
      <c r="E3292" s="1" t="inlineStr">
        <is>
          <t>ОБЩЕСТВО С ОГРАНИЧЕННОЙ ОТВЕТСТВЕННОСТЬЮ "АМУР ЗОЛОТО"</t>
        </is>
      </c>
      <c r="F3292" s="1" t="inlineStr">
        <is>
          <t>2708001686</t>
        </is>
      </c>
      <c r="G3292" s="1" t="inlineStr">
        <is>
          <t>Электрогазосварщик (занятый на резке и ручной сварке)</t>
        </is>
      </c>
      <c r="H3292" s="1" t="inlineStr">
        <is>
          <t>ООО "Амур Золото"</t>
        </is>
      </c>
      <c r="I3292" s="1" t="inlineStr">
        <is>
          <t>2708001686</t>
        </is>
      </c>
      <c r="J3292" s="1" t="inlineStr">
        <is>
          <t>ЮГОК АТЦ 26-18</t>
        </is>
      </c>
      <c r="K3292" s="1" t="inlineStr">
        <is>
          <t>Безопасные методы и приемы выполнения огневых работ</t>
        </is>
      </c>
      <c r="L3292" s="1" t="inlineStr">
        <is>
          <t>18.08.2026</t>
        </is>
      </c>
      <c r="M3292" s="1" t="inlineStr">
        <is>
          <t>Успешно</t>
        </is>
      </c>
      <c r="N3292" s="1" t="inlineStr">
        <is>
          <t>17.09.2026</t>
        </is>
      </c>
      <c r="O3292" s="1" t="inlineStr"/>
      <c r="P3292" s="1" t="inlineStr"/>
      <c r="Q3292" s="1" t="inlineStr">
        <is>
          <t>Пользовательский интерфейс</t>
        </is>
      </c>
    </row>
    <row r="3293">
      <c r="B3293" s="1" t="inlineStr">
        <is>
          <t>222717182</t>
        </is>
      </c>
      <c r="C3293" s="1" t="inlineStr">
        <is>
          <t>15953442</t>
        </is>
      </c>
      <c r="D3293" t="inlineStr">
        <is>
          <t>работник 462</t>
        </is>
      </c>
      <c r="E3293" s="1" t="inlineStr">
        <is>
          <t>ОБЩЕСТВО С ОГРАНИЧЕННОЙ ОТВЕТСТВЕННОСТЬЮ "АМУР ЗОЛОТО"</t>
        </is>
      </c>
      <c r="F3293" s="1" t="inlineStr">
        <is>
          <t>2708001686</t>
        </is>
      </c>
      <c r="G3293" s="1" t="inlineStr">
        <is>
          <t>Электрогазосварщик (занятый на резке и ручной сварке)</t>
        </is>
      </c>
      <c r="H3293" s="1" t="inlineStr">
        <is>
          <t>ООО "Амур Золото"</t>
        </is>
      </c>
      <c r="I3293" s="1" t="inlineStr">
        <is>
          <t>2708001686</t>
        </is>
      </c>
      <c r="J3293" s="1" t="inlineStr">
        <is>
          <t>ЮГОК АТЦ 26-18</t>
        </is>
      </c>
      <c r="K3293" s="1" t="inlineStr">
        <is>
          <t>Оказание первой помощи пострадавшим</t>
        </is>
      </c>
      <c r="L3293" s="1" t="inlineStr">
        <is>
          <t>18.08.2026</t>
        </is>
      </c>
      <c r="M3293" s="1" t="inlineStr">
        <is>
          <t>Успешно</t>
        </is>
      </c>
      <c r="N3293" s="1" t="inlineStr">
        <is>
          <t>17.09.2026</t>
        </is>
      </c>
      <c r="O3293" s="1" t="inlineStr"/>
      <c r="P3293" s="1" t="inlineStr"/>
      <c r="Q3293" s="1" t="inlineStr">
        <is>
          <t>Пользовательский интерфейс</t>
        </is>
      </c>
    </row>
    <row r="3294">
      <c r="B3294" s="1" t="inlineStr">
        <is>
          <t>222717183</t>
        </is>
      </c>
      <c r="C3294" s="1" t="inlineStr">
        <is>
          <t>15953442</t>
        </is>
      </c>
      <c r="D3294" t="inlineStr">
        <is>
          <t>работник 462</t>
        </is>
      </c>
      <c r="E3294" s="1" t="inlineStr">
        <is>
          <t>ОБЩЕСТВО С ОГРАНИЧЕННОЙ ОТВЕТСТВЕННОСТЬЮ "АМУР ЗОЛОТО"</t>
        </is>
      </c>
      <c r="F3294" s="1" t="inlineStr">
        <is>
          <t>2708001686</t>
        </is>
      </c>
      <c r="G3294" s="1" t="inlineStr">
        <is>
          <t>Электрогазосварщик (занятый на резке и ручной сварке)</t>
        </is>
      </c>
      <c r="H3294" s="1" t="inlineStr">
        <is>
          <t>ООО "Амур Золото"</t>
        </is>
      </c>
      <c r="I3294" s="1" t="inlineStr">
        <is>
          <t>2708001686</t>
        </is>
      </c>
      <c r="J3294" s="1" t="inlineStr">
        <is>
          <t>ЮГОК АТЦ 26-18</t>
        </is>
      </c>
      <c r="K3294" s="1" t="inlineStr">
        <is>
          <t>Использование (применение) средств индивидуальной защиты</t>
        </is>
      </c>
      <c r="L3294" s="1" t="inlineStr">
        <is>
          <t>18.08.2026</t>
        </is>
      </c>
      <c r="M3294" s="1" t="inlineStr">
        <is>
          <t>Успешно</t>
        </is>
      </c>
      <c r="N3294" s="1" t="inlineStr">
        <is>
          <t>17.09.2026</t>
        </is>
      </c>
      <c r="O3294" s="1" t="inlineStr"/>
      <c r="P3294" s="1" t="inlineStr"/>
      <c r="Q3294" s="1" t="inlineStr">
        <is>
          <t>Пользовательский интерфейс</t>
        </is>
      </c>
    </row>
    <row r="3295">
      <c r="B3295" s="1" t="inlineStr">
        <is>
          <t>222717184</t>
        </is>
      </c>
      <c r="C3295" s="1" t="inlineStr">
        <is>
          <t>15953442</t>
        </is>
      </c>
      <c r="D3295" t="inlineStr">
        <is>
          <t>работник 462</t>
        </is>
      </c>
      <c r="E3295" s="1" t="inlineStr">
        <is>
          <t>ОБЩЕСТВО С ОГРАНИЧЕННОЙ ОТВЕТСТВЕННОСТЬЮ "АМУР ЗОЛОТО"</t>
        </is>
      </c>
      <c r="F3295" s="1" t="inlineStr">
        <is>
          <t>2708001686</t>
        </is>
      </c>
      <c r="G3295" s="1" t="inlineStr">
        <is>
          <t>Электрогазосварщик (занятый на резке и ручной сварке)</t>
        </is>
      </c>
      <c r="H3295" s="1" t="inlineStr">
        <is>
          <t>ООО "Амур Золото"</t>
        </is>
      </c>
      <c r="I3295" s="1" t="inlineStr">
        <is>
          <t>2708001686</t>
        </is>
      </c>
      <c r="J3295" s="1" t="inlineStr">
        <is>
          <t>ЮГОК АТЦ 26-18</t>
        </is>
      </c>
      <c r="K329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295" s="1" t="inlineStr">
        <is>
          <t>18.08.2026</t>
        </is>
      </c>
      <c r="M3295" s="1" t="inlineStr">
        <is>
          <t>Успешно</t>
        </is>
      </c>
      <c r="N3295" s="1" t="inlineStr">
        <is>
          <t>17.09.2026</t>
        </is>
      </c>
      <c r="O3295" s="1" t="inlineStr"/>
      <c r="P3295" s="1" t="inlineStr"/>
      <c r="Q3295" s="1" t="inlineStr">
        <is>
          <t>Пользовательский интерфейс</t>
        </is>
      </c>
    </row>
    <row r="3296">
      <c r="B3296" s="1" t="inlineStr">
        <is>
          <t>222717185</t>
        </is>
      </c>
      <c r="C3296" s="1" t="inlineStr">
        <is>
          <t>15953442</t>
        </is>
      </c>
      <c r="D3296" t="inlineStr">
        <is>
          <t>работник 462</t>
        </is>
      </c>
      <c r="E3296" s="1" t="inlineStr">
        <is>
          <t>ОБЩЕСТВО С ОГРАНИЧЕННОЙ ОТВЕТСТВЕННОСТЬЮ "АМУР ЗОЛОТО"</t>
        </is>
      </c>
      <c r="F3296" s="1" t="inlineStr">
        <is>
          <t>2708001686</t>
        </is>
      </c>
      <c r="G3296" s="1" t="inlineStr">
        <is>
          <t>Электрогазосварщик (занятый на резке и ручной сварке)</t>
        </is>
      </c>
      <c r="H3296" s="1" t="inlineStr">
        <is>
          <t>ООО "Амур Золото"</t>
        </is>
      </c>
      <c r="I3296" s="1" t="inlineStr">
        <is>
          <t>2708001686</t>
        </is>
      </c>
      <c r="J3296" s="1" t="inlineStr">
        <is>
          <t>ЮГОК АТЦ 26-18</t>
        </is>
      </c>
      <c r="K3296" s="1" t="inlineStr">
        <is>
          <t>Безопасные методы и приемы выполнения огневых работ</t>
        </is>
      </c>
      <c r="L3296" s="1" t="inlineStr">
        <is>
          <t>18.08.2026</t>
        </is>
      </c>
      <c r="M3296" s="1" t="inlineStr">
        <is>
          <t>Успешно</t>
        </is>
      </c>
      <c r="N3296" s="1" t="inlineStr">
        <is>
          <t>17.09.2026</t>
        </is>
      </c>
      <c r="O3296" s="1" t="inlineStr"/>
      <c r="P3296" s="1" t="inlineStr"/>
      <c r="Q3296" s="1" t="inlineStr">
        <is>
          <t>Пользовательский интерфейс</t>
        </is>
      </c>
    </row>
    <row r="3297">
      <c r="B3297" s="1" t="inlineStr">
        <is>
          <t>222717186</t>
        </is>
      </c>
      <c r="C3297" s="1" t="inlineStr">
        <is>
          <t>15953442</t>
        </is>
      </c>
      <c r="D3297" t="inlineStr">
        <is>
          <t>работник 370</t>
        </is>
      </c>
      <c r="E3297" s="1" t="inlineStr">
        <is>
          <t>ОБЩЕСТВО С ОГРАНИЧЕННОЙ ОТВЕТСТВЕННОСТЬЮ "АМУР ЗОЛОТО"</t>
        </is>
      </c>
      <c r="F3297" s="1" t="inlineStr">
        <is>
          <t>2708001686</t>
        </is>
      </c>
      <c r="G3297" s="1" t="inlineStr">
        <is>
          <t>Машинист бульдозера</t>
        </is>
      </c>
      <c r="H3297" s="1" t="inlineStr">
        <is>
          <t>ООО "Амур Золото"</t>
        </is>
      </c>
      <c r="I3297" s="1" t="inlineStr">
        <is>
          <t>2708001686</t>
        </is>
      </c>
      <c r="J3297" s="1" t="inlineStr">
        <is>
          <t>ЮГОК АТЦ 26-19</t>
        </is>
      </c>
      <c r="K3297" s="1" t="inlineStr">
        <is>
          <t>Оказание первой помощи пострадавшим</t>
        </is>
      </c>
      <c r="L3297" s="1" t="inlineStr">
        <is>
          <t>18.08.2026</t>
        </is>
      </c>
      <c r="M3297" s="1" t="inlineStr">
        <is>
          <t>Успешно</t>
        </is>
      </c>
      <c r="N3297" s="1" t="inlineStr">
        <is>
          <t>17.09.2026</t>
        </is>
      </c>
      <c r="O3297" s="1" t="inlineStr"/>
      <c r="P3297" s="1" t="inlineStr"/>
      <c r="Q3297" s="1" t="inlineStr">
        <is>
          <t>Пользовательский интерфейс</t>
        </is>
      </c>
    </row>
    <row r="3298">
      <c r="B3298" s="1" t="inlineStr">
        <is>
          <t>222717187</t>
        </is>
      </c>
      <c r="C3298" s="1" t="inlineStr">
        <is>
          <t>15953442</t>
        </is>
      </c>
      <c r="D3298" t="inlineStr">
        <is>
          <t>работник 370</t>
        </is>
      </c>
      <c r="E3298" s="1" t="inlineStr">
        <is>
          <t>ОБЩЕСТВО С ОГРАНИЧЕННОЙ ОТВЕТСТВЕННОСТЬЮ "АМУР ЗОЛОТО"</t>
        </is>
      </c>
      <c r="F3298" s="1" t="inlineStr">
        <is>
          <t>2708001686</t>
        </is>
      </c>
      <c r="G3298" s="1" t="inlineStr">
        <is>
          <t>Машинист бульдозера</t>
        </is>
      </c>
      <c r="H3298" s="1" t="inlineStr">
        <is>
          <t>ООО "Амур Золото"</t>
        </is>
      </c>
      <c r="I3298" s="1" t="inlineStr">
        <is>
          <t>2708001686</t>
        </is>
      </c>
      <c r="J3298" s="1" t="inlineStr">
        <is>
          <t>ЮГОК АТЦ 26-19</t>
        </is>
      </c>
      <c r="K3298" s="1" t="inlineStr">
        <is>
          <t>Использование (применение) средств индивидуальной защиты</t>
        </is>
      </c>
      <c r="L3298" s="1" t="inlineStr">
        <is>
          <t>18.08.2026</t>
        </is>
      </c>
      <c r="M3298" s="1" t="inlineStr">
        <is>
          <t>Успешно</t>
        </is>
      </c>
      <c r="N3298" s="1" t="inlineStr">
        <is>
          <t>17.09.2026</t>
        </is>
      </c>
      <c r="O3298" s="1" t="inlineStr"/>
      <c r="P3298" s="1" t="inlineStr"/>
      <c r="Q3298" s="1" t="inlineStr">
        <is>
          <t>Пользовательский интерфейс</t>
        </is>
      </c>
    </row>
    <row r="3299">
      <c r="B3299" s="1" t="inlineStr">
        <is>
          <t>222717188</t>
        </is>
      </c>
      <c r="C3299" s="1" t="inlineStr">
        <is>
          <t>15953442</t>
        </is>
      </c>
      <c r="D3299" t="inlineStr">
        <is>
          <t>работник 370</t>
        </is>
      </c>
      <c r="E3299" s="1" t="inlineStr">
        <is>
          <t>ОБЩЕСТВО С ОГРАНИЧЕННОЙ ОТВЕТСТВЕННОСТЬЮ "АМУР ЗОЛОТО"</t>
        </is>
      </c>
      <c r="F3299" s="1" t="inlineStr">
        <is>
          <t>2708001686</t>
        </is>
      </c>
      <c r="G3299" s="1" t="inlineStr">
        <is>
          <t>Машинист бульдозера</t>
        </is>
      </c>
      <c r="H3299" s="1" t="inlineStr">
        <is>
          <t>ООО "Амур Золото"</t>
        </is>
      </c>
      <c r="I3299" s="1" t="inlineStr">
        <is>
          <t>2708001686</t>
        </is>
      </c>
      <c r="J3299" s="1" t="inlineStr">
        <is>
          <t>ЮГОК АТЦ 26-19</t>
        </is>
      </c>
      <c r="K329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299" s="1" t="inlineStr">
        <is>
          <t>18.08.2026</t>
        </is>
      </c>
      <c r="M3299" s="1" t="inlineStr">
        <is>
          <t>Успешно</t>
        </is>
      </c>
      <c r="N3299" s="1" t="inlineStr">
        <is>
          <t>17.09.2026</t>
        </is>
      </c>
      <c r="O3299" s="1" t="inlineStr"/>
      <c r="P3299" s="1" t="inlineStr"/>
      <c r="Q3299" s="1" t="inlineStr">
        <is>
          <t>Пользовательский интерфейс</t>
        </is>
      </c>
    </row>
    <row r="3300">
      <c r="B3300" s="1" t="inlineStr">
        <is>
          <t>222717189</t>
        </is>
      </c>
      <c r="C3300" s="1" t="inlineStr">
        <is>
          <t>15953442</t>
        </is>
      </c>
      <c r="D3300" t="inlineStr">
        <is>
          <t>работник 261</t>
        </is>
      </c>
      <c r="E3300" s="1" t="inlineStr">
        <is>
          <t>ОБЩЕСТВО С ОГРАНИЧЕННОЙ ОТВЕТСТВЕННОСТЬЮ "АМУР ЗОЛОТО"</t>
        </is>
      </c>
      <c r="F3300" s="1" t="inlineStr">
        <is>
          <t>2708001686</t>
        </is>
      </c>
      <c r="G3300" s="1" t="inlineStr">
        <is>
          <t>Машинист бульдозера</t>
        </is>
      </c>
      <c r="H3300" s="1" t="inlineStr">
        <is>
          <t>ООО "Амур Золото"</t>
        </is>
      </c>
      <c r="I3300" s="1" t="inlineStr">
        <is>
          <t>2708001686</t>
        </is>
      </c>
      <c r="J3300" s="1" t="inlineStr">
        <is>
          <t>ЮГОК АТЦ 26-19</t>
        </is>
      </c>
      <c r="K3300" s="1" t="inlineStr">
        <is>
          <t>Оказание первой помощи пострадавшим</t>
        </is>
      </c>
      <c r="L3300" s="1" t="inlineStr">
        <is>
          <t>18.08.2026</t>
        </is>
      </c>
      <c r="M3300" s="1" t="inlineStr">
        <is>
          <t>Успешно</t>
        </is>
      </c>
      <c r="N3300" s="1" t="inlineStr">
        <is>
          <t>17.09.2026</t>
        </is>
      </c>
      <c r="O3300" s="1" t="inlineStr"/>
      <c r="P3300" s="1" t="inlineStr"/>
      <c r="Q3300" s="1" t="inlineStr">
        <is>
          <t>Пользовательский интерфейс</t>
        </is>
      </c>
    </row>
    <row r="3301">
      <c r="B3301" s="1" t="inlineStr">
        <is>
          <t>222717190</t>
        </is>
      </c>
      <c r="C3301" s="1" t="inlineStr">
        <is>
          <t>15953442</t>
        </is>
      </c>
      <c r="D3301" t="inlineStr">
        <is>
          <t>работник 261</t>
        </is>
      </c>
      <c r="E3301" s="1" t="inlineStr">
        <is>
          <t>ОБЩЕСТВО С ОГРАНИЧЕННОЙ ОТВЕТСТВЕННОСТЬЮ "АМУР ЗОЛОТО"</t>
        </is>
      </c>
      <c r="F3301" s="1" t="inlineStr">
        <is>
          <t>2708001686</t>
        </is>
      </c>
      <c r="G3301" s="1" t="inlineStr">
        <is>
          <t>Машинист бульдозера</t>
        </is>
      </c>
      <c r="H3301" s="1" t="inlineStr">
        <is>
          <t>ООО "Амур Золото"</t>
        </is>
      </c>
      <c r="I3301" s="1" t="inlineStr">
        <is>
          <t>2708001686</t>
        </is>
      </c>
      <c r="J3301" s="1" t="inlineStr">
        <is>
          <t>ЮГОК АТЦ 26-19</t>
        </is>
      </c>
      <c r="K3301" s="1" t="inlineStr">
        <is>
          <t>Использование (применение) средств индивидуальной защиты</t>
        </is>
      </c>
      <c r="L3301" s="1" t="inlineStr">
        <is>
          <t>18.08.2026</t>
        </is>
      </c>
      <c r="M3301" s="1" t="inlineStr">
        <is>
          <t>Успешно</t>
        </is>
      </c>
      <c r="N3301" s="1" t="inlineStr">
        <is>
          <t>17.09.2026</t>
        </is>
      </c>
      <c r="O3301" s="1" t="inlineStr"/>
      <c r="P3301" s="1" t="inlineStr"/>
      <c r="Q3301" s="1" t="inlineStr">
        <is>
          <t>Пользовательский интерфейс</t>
        </is>
      </c>
    </row>
    <row r="3302">
      <c r="B3302" s="1" t="inlineStr">
        <is>
          <t>222717191</t>
        </is>
      </c>
      <c r="C3302" s="1" t="inlineStr">
        <is>
          <t>15953442</t>
        </is>
      </c>
      <c r="D3302" t="inlineStr">
        <is>
          <t>работник 261</t>
        </is>
      </c>
      <c r="E3302" s="1" t="inlineStr">
        <is>
          <t>ОБЩЕСТВО С ОГРАНИЧЕННОЙ ОТВЕТСТВЕННОСТЬЮ "АМУР ЗОЛОТО"</t>
        </is>
      </c>
      <c r="F3302" s="1" t="inlineStr">
        <is>
          <t>2708001686</t>
        </is>
      </c>
      <c r="G3302" s="1" t="inlineStr">
        <is>
          <t>Машинист бульдозера</t>
        </is>
      </c>
      <c r="H3302" s="1" t="inlineStr">
        <is>
          <t>ООО "Амур Золото"</t>
        </is>
      </c>
      <c r="I3302" s="1" t="inlineStr">
        <is>
          <t>2708001686</t>
        </is>
      </c>
      <c r="J3302" s="1" t="inlineStr">
        <is>
          <t>ЮГОК АТЦ 26-19</t>
        </is>
      </c>
      <c r="K330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302" s="1" t="inlineStr">
        <is>
          <t>18.08.2026</t>
        </is>
      </c>
      <c r="M3302" s="1" t="inlineStr">
        <is>
          <t>Успешно</t>
        </is>
      </c>
      <c r="N3302" s="1" t="inlineStr">
        <is>
          <t>17.09.2026</t>
        </is>
      </c>
      <c r="O3302" s="1" t="inlineStr"/>
      <c r="P3302" s="1" t="inlineStr"/>
      <c r="Q3302" s="1" t="inlineStr">
        <is>
          <t>Пользовательский интерфейс</t>
        </is>
      </c>
    </row>
    <row r="3303">
      <c r="B3303" s="1" t="inlineStr">
        <is>
          <t>222717192</t>
        </is>
      </c>
      <c r="C3303" s="1" t="inlineStr">
        <is>
          <t>15953442</t>
        </is>
      </c>
      <c r="D3303" t="inlineStr">
        <is>
          <t>работник 271</t>
        </is>
      </c>
      <c r="E3303" s="1" t="inlineStr">
        <is>
          <t>ОБЩЕСТВО С ОГРАНИЧЕННОЙ ОТВЕТСТВЕННОСТЬЮ "АМУР ЗОЛОТО"</t>
        </is>
      </c>
      <c r="F3303" s="1" t="inlineStr">
        <is>
          <t>2708001686</t>
        </is>
      </c>
      <c r="G3303" s="1" t="inlineStr">
        <is>
          <t>Машинист бульдозера</t>
        </is>
      </c>
      <c r="H3303" s="1" t="inlineStr">
        <is>
          <t>ООО "Амур Золото"</t>
        </is>
      </c>
      <c r="I3303" s="1" t="inlineStr">
        <is>
          <t>2708001686</t>
        </is>
      </c>
      <c r="J3303" s="1" t="inlineStr">
        <is>
          <t>ЮГОК АТЦ 26-19</t>
        </is>
      </c>
      <c r="K3303" s="1" t="inlineStr">
        <is>
          <t>Оказание первой помощи пострадавшим</t>
        </is>
      </c>
      <c r="L3303" s="1" t="inlineStr">
        <is>
          <t>18.08.2026</t>
        </is>
      </c>
      <c r="M3303" s="1" t="inlineStr">
        <is>
          <t>Успешно</t>
        </is>
      </c>
      <c r="N3303" s="1" t="inlineStr">
        <is>
          <t>17.09.2026</t>
        </is>
      </c>
      <c r="O3303" s="1" t="inlineStr"/>
      <c r="P3303" s="1" t="inlineStr"/>
      <c r="Q3303" s="1" t="inlineStr">
        <is>
          <t>Пользовательский интерфейс</t>
        </is>
      </c>
    </row>
    <row r="3304">
      <c r="B3304" s="1" t="inlineStr">
        <is>
          <t>222717193</t>
        </is>
      </c>
      <c r="C3304" s="1" t="inlineStr">
        <is>
          <t>15953442</t>
        </is>
      </c>
      <c r="D3304" t="inlineStr">
        <is>
          <t>работник 271</t>
        </is>
      </c>
      <c r="E3304" s="1" t="inlineStr">
        <is>
          <t>ОБЩЕСТВО С ОГРАНИЧЕННОЙ ОТВЕТСТВЕННОСТЬЮ "АМУР ЗОЛОТО"</t>
        </is>
      </c>
      <c r="F3304" s="1" t="inlineStr">
        <is>
          <t>2708001686</t>
        </is>
      </c>
      <c r="G3304" s="1" t="inlineStr">
        <is>
          <t>Машинист бульдозера</t>
        </is>
      </c>
      <c r="H3304" s="1" t="inlineStr">
        <is>
          <t>ООО "Амур Золото"</t>
        </is>
      </c>
      <c r="I3304" s="1" t="inlineStr">
        <is>
          <t>2708001686</t>
        </is>
      </c>
      <c r="J3304" s="1" t="inlineStr">
        <is>
          <t>ЮГОК АТЦ 26-19</t>
        </is>
      </c>
      <c r="K3304" s="1" t="inlineStr">
        <is>
          <t>Использование (применение) средств индивидуальной защиты</t>
        </is>
      </c>
      <c r="L3304" s="1" t="inlineStr">
        <is>
          <t>18.08.2026</t>
        </is>
      </c>
      <c r="M3304" s="1" t="inlineStr">
        <is>
          <t>Успешно</t>
        </is>
      </c>
      <c r="N3304" s="1" t="inlineStr">
        <is>
          <t>17.09.2026</t>
        </is>
      </c>
      <c r="O3304" s="1" t="inlineStr"/>
      <c r="P3304" s="1" t="inlineStr"/>
      <c r="Q3304" s="1" t="inlineStr">
        <is>
          <t>Пользовательский интерфейс</t>
        </is>
      </c>
    </row>
    <row r="3305">
      <c r="B3305" s="1" t="inlineStr">
        <is>
          <t>222717194</t>
        </is>
      </c>
      <c r="C3305" s="1" t="inlineStr">
        <is>
          <t>15953442</t>
        </is>
      </c>
      <c r="D3305" t="inlineStr">
        <is>
          <t>работник 271</t>
        </is>
      </c>
      <c r="E3305" s="1" t="inlineStr">
        <is>
          <t>ОБЩЕСТВО С ОГРАНИЧЕННОЙ ОТВЕТСТВЕННОСТЬЮ "АМУР ЗОЛОТО"</t>
        </is>
      </c>
      <c r="F3305" s="1" t="inlineStr">
        <is>
          <t>2708001686</t>
        </is>
      </c>
      <c r="G3305" s="1" t="inlineStr">
        <is>
          <t>Машинист бульдозера</t>
        </is>
      </c>
      <c r="H3305" s="1" t="inlineStr">
        <is>
          <t>ООО "Амур Золото"</t>
        </is>
      </c>
      <c r="I3305" s="1" t="inlineStr">
        <is>
          <t>2708001686</t>
        </is>
      </c>
      <c r="J3305" s="1" t="inlineStr">
        <is>
          <t>ЮГОК АТЦ 26-19</t>
        </is>
      </c>
      <c r="K330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305" s="1" t="inlineStr">
        <is>
          <t>18.08.2026</t>
        </is>
      </c>
      <c r="M3305" s="1" t="inlineStr">
        <is>
          <t>Успешно</t>
        </is>
      </c>
      <c r="N3305" s="1" t="inlineStr">
        <is>
          <t>17.09.2026</t>
        </is>
      </c>
      <c r="O3305" s="1" t="inlineStr"/>
      <c r="P3305" s="1" t="inlineStr"/>
      <c r="Q3305" s="1" t="inlineStr">
        <is>
          <t>Пользовательский интерфейс</t>
        </is>
      </c>
    </row>
    <row r="3306">
      <c r="B3306" s="1" t="inlineStr">
        <is>
          <t>222717195</t>
        </is>
      </c>
      <c r="C3306" s="1" t="inlineStr">
        <is>
          <t>15953442</t>
        </is>
      </c>
      <c r="D3306" t="inlineStr">
        <is>
          <t>работник 901</t>
        </is>
      </c>
      <c r="E3306" s="1" t="inlineStr">
        <is>
          <t>ОБЩЕСТВО С ОГРАНИЧЕННОЙ ОТВЕТСТВЕННОСТЬЮ "АМУР ЗОЛОТО"</t>
        </is>
      </c>
      <c r="F3306" s="1" t="inlineStr">
        <is>
          <t>2708001686</t>
        </is>
      </c>
      <c r="G3306" s="1" t="inlineStr">
        <is>
          <t>Машинист бульдозера</t>
        </is>
      </c>
      <c r="H3306" s="1" t="inlineStr">
        <is>
          <t>ООО "Амур Золото"</t>
        </is>
      </c>
      <c r="I3306" s="1" t="inlineStr">
        <is>
          <t>2708001686</t>
        </is>
      </c>
      <c r="J3306" s="1" t="inlineStr">
        <is>
          <t>ЮГОК АТЦ 26-19</t>
        </is>
      </c>
      <c r="K3306" s="1" t="inlineStr">
        <is>
          <t>Оказание первой помощи пострадавшим</t>
        </is>
      </c>
      <c r="L3306" s="1" t="inlineStr">
        <is>
          <t>18.08.2026</t>
        </is>
      </c>
      <c r="M3306" s="1" t="inlineStr">
        <is>
          <t>Успешно</t>
        </is>
      </c>
      <c r="N3306" s="1" t="inlineStr">
        <is>
          <t>17.09.2026</t>
        </is>
      </c>
      <c r="O3306" s="1" t="inlineStr"/>
      <c r="P3306" s="1" t="inlineStr"/>
      <c r="Q3306" s="1" t="inlineStr">
        <is>
          <t>Пользовательский интерфейс</t>
        </is>
      </c>
    </row>
    <row r="3307">
      <c r="B3307" s="1" t="inlineStr">
        <is>
          <t>222717196</t>
        </is>
      </c>
      <c r="C3307" s="1" t="inlineStr">
        <is>
          <t>15953442</t>
        </is>
      </c>
      <c r="D3307" t="inlineStr">
        <is>
          <t>работник 901</t>
        </is>
      </c>
      <c r="E3307" s="1" t="inlineStr">
        <is>
          <t>ОБЩЕСТВО С ОГРАНИЧЕННОЙ ОТВЕТСТВЕННОСТЬЮ "АМУР ЗОЛОТО"</t>
        </is>
      </c>
      <c r="F3307" s="1" t="inlineStr">
        <is>
          <t>2708001686</t>
        </is>
      </c>
      <c r="G3307" s="1" t="inlineStr">
        <is>
          <t>Машинист бульдозера</t>
        </is>
      </c>
      <c r="H3307" s="1" t="inlineStr">
        <is>
          <t>ООО "Амур Золото"</t>
        </is>
      </c>
      <c r="I3307" s="1" t="inlineStr">
        <is>
          <t>2708001686</t>
        </is>
      </c>
      <c r="J3307" s="1" t="inlineStr">
        <is>
          <t>ЮГОК АТЦ 26-19</t>
        </is>
      </c>
      <c r="K3307" s="1" t="inlineStr">
        <is>
          <t>Использование (применение) средств индивидуальной защиты</t>
        </is>
      </c>
      <c r="L3307" s="1" t="inlineStr">
        <is>
          <t>18.08.2026</t>
        </is>
      </c>
      <c r="M3307" s="1" t="inlineStr">
        <is>
          <t>Успешно</t>
        </is>
      </c>
      <c r="N3307" s="1" t="inlineStr">
        <is>
          <t>17.09.2026</t>
        </is>
      </c>
      <c r="O3307" s="1" t="inlineStr"/>
      <c r="P3307" s="1" t="inlineStr"/>
      <c r="Q3307" s="1" t="inlineStr">
        <is>
          <t>Пользовательский интерфейс</t>
        </is>
      </c>
    </row>
    <row r="3308">
      <c r="B3308" s="1" t="inlineStr">
        <is>
          <t>222717197</t>
        </is>
      </c>
      <c r="C3308" s="1" t="inlineStr">
        <is>
          <t>15953442</t>
        </is>
      </c>
      <c r="D3308" t="inlineStr">
        <is>
          <t>работник 901</t>
        </is>
      </c>
      <c r="E3308" s="1" t="inlineStr">
        <is>
          <t>ОБЩЕСТВО С ОГРАНИЧЕННОЙ ОТВЕТСТВЕННОСТЬЮ "АМУР ЗОЛОТО"</t>
        </is>
      </c>
      <c r="F3308" s="1" t="inlineStr">
        <is>
          <t>2708001686</t>
        </is>
      </c>
      <c r="G3308" s="1" t="inlineStr">
        <is>
          <t>Машинист бульдозера</t>
        </is>
      </c>
      <c r="H3308" s="1" t="inlineStr">
        <is>
          <t>ООО "Амур Золото"</t>
        </is>
      </c>
      <c r="I3308" s="1" t="inlineStr">
        <is>
          <t>2708001686</t>
        </is>
      </c>
      <c r="J3308" s="1" t="inlineStr">
        <is>
          <t>ЮГОК АТЦ 26-19</t>
        </is>
      </c>
      <c r="K330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308" s="1" t="inlineStr">
        <is>
          <t>18.08.2026</t>
        </is>
      </c>
      <c r="M3308" s="1" t="inlineStr">
        <is>
          <t>Успешно</t>
        </is>
      </c>
      <c r="N3308" s="1" t="inlineStr">
        <is>
          <t>17.09.2026</t>
        </is>
      </c>
      <c r="O3308" s="1" t="inlineStr"/>
      <c r="P3308" s="1" t="inlineStr"/>
      <c r="Q3308" s="1" t="inlineStr">
        <is>
          <t>Пользовательский интерфейс</t>
        </is>
      </c>
    </row>
    <row r="3309">
      <c r="B3309" s="1" t="inlineStr">
        <is>
          <t>222717198</t>
        </is>
      </c>
      <c r="C3309" s="1" t="inlineStr">
        <is>
          <t>15953442</t>
        </is>
      </c>
      <c r="D3309" t="inlineStr">
        <is>
          <t>работник 204</t>
        </is>
      </c>
      <c r="E3309" s="1" t="inlineStr">
        <is>
          <t>ОБЩЕСТВО С ОГРАНИЧЕННОЙ ОТВЕТСТВЕННОСТЬЮ "АМУР ЗОЛОТО"</t>
        </is>
      </c>
      <c r="F3309" s="1" t="inlineStr">
        <is>
          <t>2708001686</t>
        </is>
      </c>
      <c r="G3309" s="1" t="inlineStr">
        <is>
          <t>Машинист бульдозера</t>
        </is>
      </c>
      <c r="H3309" s="1" t="inlineStr">
        <is>
          <t>ООО "Амур Золото"</t>
        </is>
      </c>
      <c r="I3309" s="1" t="inlineStr">
        <is>
          <t>2708001686</t>
        </is>
      </c>
      <c r="J3309" s="1" t="inlineStr">
        <is>
          <t>ЮГОК АТЦ 26-19</t>
        </is>
      </c>
      <c r="K3309" s="1" t="inlineStr">
        <is>
          <t>Оказание первой помощи пострадавшим</t>
        </is>
      </c>
      <c r="L3309" s="1" t="inlineStr">
        <is>
          <t>18.08.2026</t>
        </is>
      </c>
      <c r="M3309" s="1" t="inlineStr">
        <is>
          <t>Успешно</t>
        </is>
      </c>
      <c r="N3309" s="1" t="inlineStr">
        <is>
          <t>17.09.2026</t>
        </is>
      </c>
      <c r="O3309" s="1" t="inlineStr"/>
      <c r="P3309" s="1" t="inlineStr"/>
      <c r="Q3309" s="1" t="inlineStr">
        <is>
          <t>Пользовательский интерфейс</t>
        </is>
      </c>
    </row>
    <row r="3310">
      <c r="B3310" s="1" t="inlineStr">
        <is>
          <t>222717199</t>
        </is>
      </c>
      <c r="C3310" s="1" t="inlineStr">
        <is>
          <t>15953442</t>
        </is>
      </c>
      <c r="D3310" t="inlineStr">
        <is>
          <t>работник 204</t>
        </is>
      </c>
      <c r="E3310" s="1" t="inlineStr">
        <is>
          <t>ОБЩЕСТВО С ОГРАНИЧЕННОЙ ОТВЕТСТВЕННОСТЬЮ "АМУР ЗОЛОТО"</t>
        </is>
      </c>
      <c r="F3310" s="1" t="inlineStr">
        <is>
          <t>2708001686</t>
        </is>
      </c>
      <c r="G3310" s="1" t="inlineStr">
        <is>
          <t>Машинист бульдозера</t>
        </is>
      </c>
      <c r="H3310" s="1" t="inlineStr">
        <is>
          <t>ООО "Амур Золото"</t>
        </is>
      </c>
      <c r="I3310" s="1" t="inlineStr">
        <is>
          <t>2708001686</t>
        </is>
      </c>
      <c r="J3310" s="1" t="inlineStr">
        <is>
          <t>ЮГОК АТЦ 26-19</t>
        </is>
      </c>
      <c r="K3310" s="1" t="inlineStr">
        <is>
          <t>Использование (применение) средств индивидуальной защиты</t>
        </is>
      </c>
      <c r="L3310" s="1" t="inlineStr">
        <is>
          <t>18.08.2026</t>
        </is>
      </c>
      <c r="M3310" s="1" t="inlineStr">
        <is>
          <t>Успешно</t>
        </is>
      </c>
      <c r="N3310" s="1" t="inlineStr">
        <is>
          <t>17.09.2026</t>
        </is>
      </c>
      <c r="O3310" s="1" t="inlineStr"/>
      <c r="P3310" s="1" t="inlineStr"/>
      <c r="Q3310" s="1" t="inlineStr">
        <is>
          <t>Пользовательский интерфейс</t>
        </is>
      </c>
    </row>
    <row r="3311">
      <c r="B3311" s="1" t="inlineStr">
        <is>
          <t>222717200</t>
        </is>
      </c>
      <c r="C3311" s="1" t="inlineStr">
        <is>
          <t>15953442</t>
        </is>
      </c>
      <c r="D3311" t="inlineStr">
        <is>
          <t>работник 204</t>
        </is>
      </c>
      <c r="E3311" s="1" t="inlineStr">
        <is>
          <t>ОБЩЕСТВО С ОГРАНИЧЕННОЙ ОТВЕТСТВЕННОСТЬЮ "АМУР ЗОЛОТО"</t>
        </is>
      </c>
      <c r="F3311" s="1" t="inlineStr">
        <is>
          <t>2708001686</t>
        </is>
      </c>
      <c r="G3311" s="1" t="inlineStr">
        <is>
          <t>Машинист бульдозера</t>
        </is>
      </c>
      <c r="H3311" s="1" t="inlineStr">
        <is>
          <t>ООО "Амур Золото"</t>
        </is>
      </c>
      <c r="I3311" s="1" t="inlineStr">
        <is>
          <t>2708001686</t>
        </is>
      </c>
      <c r="J3311" s="1" t="inlineStr">
        <is>
          <t>ЮГОК АТЦ 26-20</t>
        </is>
      </c>
      <c r="K331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311" s="1" t="inlineStr">
        <is>
          <t>18.08.2026</t>
        </is>
      </c>
      <c r="M3311" s="1" t="inlineStr">
        <is>
          <t>Успешно</t>
        </is>
      </c>
      <c r="N3311" s="1" t="inlineStr">
        <is>
          <t>17.09.2026</t>
        </is>
      </c>
      <c r="O3311" s="1" t="inlineStr"/>
      <c r="P3311" s="1" t="inlineStr"/>
      <c r="Q3311" s="1" t="inlineStr">
        <is>
          <t>Пользовательский интерфейс</t>
        </is>
      </c>
    </row>
    <row r="3312">
      <c r="B3312" s="1" t="inlineStr">
        <is>
          <t>222717201</t>
        </is>
      </c>
      <c r="C3312" s="1" t="inlineStr">
        <is>
          <t>15953442</t>
        </is>
      </c>
      <c r="D3312" t="inlineStr">
        <is>
          <t>работник 290</t>
        </is>
      </c>
      <c r="E3312" s="1" t="inlineStr">
        <is>
          <t>ОБЩЕСТВО С ОГРАНИЧЕННОЙ ОТВЕТСТВЕННОСТЬЮ "АМУР ЗОЛОТО"</t>
        </is>
      </c>
      <c r="F3312" s="1" t="inlineStr">
        <is>
          <t>2708001686</t>
        </is>
      </c>
      <c r="G3312" s="1" t="inlineStr">
        <is>
          <t>Водитель погрузчика</t>
        </is>
      </c>
      <c r="H3312" s="1" t="inlineStr">
        <is>
          <t>ООО "Амур Золото"</t>
        </is>
      </c>
      <c r="I3312" s="1" t="inlineStr">
        <is>
          <t>2708001686</t>
        </is>
      </c>
      <c r="J3312" s="1" t="inlineStr">
        <is>
          <t>ЮГОК АТЦ 26-20</t>
        </is>
      </c>
      <c r="K3312" s="1" t="inlineStr">
        <is>
          <t>Оказание первой помощи пострадавшим</t>
        </is>
      </c>
      <c r="L3312" s="1" t="inlineStr">
        <is>
          <t>18.08.2026</t>
        </is>
      </c>
      <c r="M3312" s="1" t="inlineStr">
        <is>
          <t>Успешно</t>
        </is>
      </c>
      <c r="N3312" s="1" t="inlineStr">
        <is>
          <t>17.09.2026</t>
        </is>
      </c>
      <c r="O3312" s="1" t="inlineStr"/>
      <c r="P3312" s="1" t="inlineStr"/>
      <c r="Q3312" s="1" t="inlineStr">
        <is>
          <t>Пользовательский интерфейс</t>
        </is>
      </c>
    </row>
    <row r="3313">
      <c r="B3313" s="1" t="inlineStr">
        <is>
          <t>222717202</t>
        </is>
      </c>
      <c r="C3313" s="1" t="inlineStr">
        <is>
          <t>15953442</t>
        </is>
      </c>
      <c r="D3313" t="inlineStr">
        <is>
          <t>работник 290</t>
        </is>
      </c>
      <c r="E3313" s="1" t="inlineStr">
        <is>
          <t>ОБЩЕСТВО С ОГРАНИЧЕННОЙ ОТВЕТСТВЕННОСТЬЮ "АМУР ЗОЛОТО"</t>
        </is>
      </c>
      <c r="F3313" s="1" t="inlineStr">
        <is>
          <t>2708001686</t>
        </is>
      </c>
      <c r="G3313" s="1" t="inlineStr">
        <is>
          <t>Водитель погрузчика</t>
        </is>
      </c>
      <c r="H3313" s="1" t="inlineStr">
        <is>
          <t>ООО "Амур Золото"</t>
        </is>
      </c>
      <c r="I3313" s="1" t="inlineStr">
        <is>
          <t>2708001686</t>
        </is>
      </c>
      <c r="J3313" s="1" t="inlineStr">
        <is>
          <t>ЮГОК АТЦ 26-20</t>
        </is>
      </c>
      <c r="K3313" s="1" t="inlineStr">
        <is>
          <t>Использование (применение) средств индивидуальной защиты</t>
        </is>
      </c>
      <c r="L3313" s="1" t="inlineStr">
        <is>
          <t>18.08.2026</t>
        </is>
      </c>
      <c r="M3313" s="1" t="inlineStr">
        <is>
          <t>Успешно</t>
        </is>
      </c>
      <c r="N3313" s="1" t="inlineStr">
        <is>
          <t>17.09.2026</t>
        </is>
      </c>
      <c r="O3313" s="1" t="inlineStr"/>
      <c r="P3313" s="1" t="inlineStr"/>
      <c r="Q3313" s="1" t="inlineStr">
        <is>
          <t>Пользовательский интерфейс</t>
        </is>
      </c>
    </row>
    <row r="3314">
      <c r="B3314" s="1" t="inlineStr">
        <is>
          <t>222717203</t>
        </is>
      </c>
      <c r="C3314" s="1" t="inlineStr">
        <is>
          <t>15953442</t>
        </is>
      </c>
      <c r="D3314" t="inlineStr">
        <is>
          <t>работник 290</t>
        </is>
      </c>
      <c r="E3314" s="1" t="inlineStr">
        <is>
          <t>ОБЩЕСТВО С ОГРАНИЧЕННОЙ ОТВЕТСТВЕННОСТЬЮ "АМУР ЗОЛОТО"</t>
        </is>
      </c>
      <c r="F3314" s="1" t="inlineStr">
        <is>
          <t>2708001686</t>
        </is>
      </c>
      <c r="G3314" s="1" t="inlineStr">
        <is>
          <t>Водитель погрузчика</t>
        </is>
      </c>
      <c r="H3314" s="1" t="inlineStr">
        <is>
          <t>ООО "Амур Золото"</t>
        </is>
      </c>
      <c r="I3314" s="1" t="inlineStr">
        <is>
          <t>2708001686</t>
        </is>
      </c>
      <c r="J3314" s="1" t="inlineStr">
        <is>
          <t>ЮГОК АТЦ 26-20</t>
        </is>
      </c>
      <c r="K331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314" s="1" t="inlineStr">
        <is>
          <t>18.08.2026</t>
        </is>
      </c>
      <c r="M3314" s="1" t="inlineStr">
        <is>
          <t>Успешно</t>
        </is>
      </c>
      <c r="N3314" s="1" t="inlineStr">
        <is>
          <t>17.09.2026</t>
        </is>
      </c>
      <c r="O3314" s="1" t="inlineStr"/>
      <c r="P3314" s="1" t="inlineStr"/>
      <c r="Q3314" s="1" t="inlineStr">
        <is>
          <t>Пользовательский интерфейс</t>
        </is>
      </c>
    </row>
    <row r="3315">
      <c r="B3315" s="1" t="inlineStr">
        <is>
          <t>222717204</t>
        </is>
      </c>
      <c r="C3315" s="1" t="inlineStr">
        <is>
          <t>15953442</t>
        </is>
      </c>
      <c r="D3315" t="inlineStr">
        <is>
          <t>работник 902</t>
        </is>
      </c>
      <c r="E3315" s="1" t="inlineStr">
        <is>
          <t>ОБЩЕСТВО С ОГРАНИЧЕННОЙ ОТВЕТСТВЕННОСТЬЮ "АМУР ЗОЛОТО"</t>
        </is>
      </c>
      <c r="F3315" s="1" t="inlineStr">
        <is>
          <t>2708001686</t>
        </is>
      </c>
      <c r="G3315" s="1" t="inlineStr">
        <is>
          <t>Водитель погрузчика</t>
        </is>
      </c>
      <c r="H3315" s="1" t="inlineStr">
        <is>
          <t>ООО "Амур Золото"</t>
        </is>
      </c>
      <c r="I3315" s="1" t="inlineStr">
        <is>
          <t>2708001686</t>
        </is>
      </c>
      <c r="J3315" s="1" t="inlineStr">
        <is>
          <t>ЮГОК АТЦ 26-20</t>
        </is>
      </c>
      <c r="K3315" s="1" t="inlineStr">
        <is>
          <t>Оказание первой помощи пострадавшим</t>
        </is>
      </c>
      <c r="L3315" s="1" t="inlineStr">
        <is>
          <t>18.08.2026</t>
        </is>
      </c>
      <c r="M3315" s="1" t="inlineStr">
        <is>
          <t>Успешно</t>
        </is>
      </c>
      <c r="N3315" s="1" t="inlineStr">
        <is>
          <t>17.09.2026</t>
        </is>
      </c>
      <c r="O3315" s="1" t="inlineStr"/>
      <c r="P3315" s="1" t="inlineStr"/>
      <c r="Q3315" s="1" t="inlineStr">
        <is>
          <t>Пользовательский интерфейс</t>
        </is>
      </c>
    </row>
    <row r="3316">
      <c r="B3316" s="1" t="inlineStr">
        <is>
          <t>222717205</t>
        </is>
      </c>
      <c r="C3316" s="1" t="inlineStr">
        <is>
          <t>15953442</t>
        </is>
      </c>
      <c r="D3316" t="inlineStr">
        <is>
          <t>работник 902</t>
        </is>
      </c>
      <c r="E3316" s="1" t="inlineStr">
        <is>
          <t>ОБЩЕСТВО С ОГРАНИЧЕННОЙ ОТВЕТСТВЕННОСТЬЮ "АМУР ЗОЛОТО"</t>
        </is>
      </c>
      <c r="F3316" s="1" t="inlineStr">
        <is>
          <t>2708001686</t>
        </is>
      </c>
      <c r="G3316" s="1" t="inlineStr">
        <is>
          <t>Водитель погрузчика</t>
        </is>
      </c>
      <c r="H3316" s="1" t="inlineStr">
        <is>
          <t>ООО "Амур Золото"</t>
        </is>
      </c>
      <c r="I3316" s="1" t="inlineStr">
        <is>
          <t>2708001686</t>
        </is>
      </c>
      <c r="J3316" s="1" t="inlineStr">
        <is>
          <t>ЮГОК АТЦ 26-20</t>
        </is>
      </c>
      <c r="K3316" s="1" t="inlineStr">
        <is>
          <t>Использование (применение) средств индивидуальной защиты</t>
        </is>
      </c>
      <c r="L3316" s="1" t="inlineStr">
        <is>
          <t>18.08.2026</t>
        </is>
      </c>
      <c r="M3316" s="1" t="inlineStr">
        <is>
          <t>Успешно</t>
        </is>
      </c>
      <c r="N3316" s="1" t="inlineStr">
        <is>
          <t>17.09.2026</t>
        </is>
      </c>
      <c r="O3316" s="1" t="inlineStr"/>
      <c r="P3316" s="1" t="inlineStr"/>
      <c r="Q3316" s="1" t="inlineStr">
        <is>
          <t>Пользовательский интерфейс</t>
        </is>
      </c>
    </row>
    <row r="3317">
      <c r="B3317" s="1" t="inlineStr">
        <is>
          <t>222717206</t>
        </is>
      </c>
      <c r="C3317" s="1" t="inlineStr">
        <is>
          <t>15953442</t>
        </is>
      </c>
      <c r="D3317" t="inlineStr">
        <is>
          <t>работник 902</t>
        </is>
      </c>
      <c r="E3317" s="1" t="inlineStr">
        <is>
          <t>ОБЩЕСТВО С ОГРАНИЧЕННОЙ ОТВЕТСТВЕННОСТЬЮ "АМУР ЗОЛОТО"</t>
        </is>
      </c>
      <c r="F3317" s="1" t="inlineStr">
        <is>
          <t>2708001686</t>
        </is>
      </c>
      <c r="G3317" s="1" t="inlineStr">
        <is>
          <t>Водитель погрузчика</t>
        </is>
      </c>
      <c r="H3317" s="1" t="inlineStr">
        <is>
          <t>ООО "Амур Золото"</t>
        </is>
      </c>
      <c r="I3317" s="1" t="inlineStr">
        <is>
          <t>2708001686</t>
        </is>
      </c>
      <c r="J3317" s="1" t="inlineStr">
        <is>
          <t>ЮГОК АТЦ 26-20</t>
        </is>
      </c>
      <c r="K331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317" s="1" t="inlineStr">
        <is>
          <t>18.08.2026</t>
        </is>
      </c>
      <c r="M3317" s="1" t="inlineStr">
        <is>
          <t>Успешно</t>
        </is>
      </c>
      <c r="N3317" s="1" t="inlineStr">
        <is>
          <t>17.09.2026</t>
        </is>
      </c>
      <c r="O3317" s="1" t="inlineStr"/>
      <c r="P3317" s="1" t="inlineStr"/>
      <c r="Q3317" s="1" t="inlineStr">
        <is>
          <t>Пользовательский интерфейс</t>
        </is>
      </c>
    </row>
    <row r="3318">
      <c r="B3318" s="1" t="inlineStr">
        <is>
          <t>222717207</t>
        </is>
      </c>
      <c r="C3318" s="1" t="inlineStr">
        <is>
          <t>15953442</t>
        </is>
      </c>
      <c r="D3318" t="inlineStr">
        <is>
          <t>работник 900</t>
        </is>
      </c>
      <c r="E3318" s="1" t="inlineStr">
        <is>
          <t>ОБЩЕСТВО С ОГРАНИЧЕННОЙ ОТВЕТСТВЕННОСТЬЮ "АМУР ЗОЛОТО"</t>
        </is>
      </c>
      <c r="F3318" s="1" t="inlineStr">
        <is>
          <t>2708001686</t>
        </is>
      </c>
      <c r="G3318" s="1" t="inlineStr">
        <is>
          <t>Водитель погрузчика</t>
        </is>
      </c>
      <c r="H3318" s="1" t="inlineStr">
        <is>
          <t>ООО "Амур Золото"</t>
        </is>
      </c>
      <c r="I3318" s="1" t="inlineStr">
        <is>
          <t>2708001686</t>
        </is>
      </c>
      <c r="J3318" s="1" t="inlineStr">
        <is>
          <t>ЮГОК АТЦ 26-20</t>
        </is>
      </c>
      <c r="K3318" s="1" t="inlineStr">
        <is>
          <t>Оказание первой помощи пострадавшим</t>
        </is>
      </c>
      <c r="L3318" s="1" t="inlineStr">
        <is>
          <t>18.08.2026</t>
        </is>
      </c>
      <c r="M3318" s="1" t="inlineStr">
        <is>
          <t>Успешно</t>
        </is>
      </c>
      <c r="N3318" s="1" t="inlineStr">
        <is>
          <t>17.09.2026</t>
        </is>
      </c>
      <c r="O3318" s="1" t="inlineStr"/>
      <c r="P3318" s="1" t="inlineStr"/>
      <c r="Q3318" s="1" t="inlineStr">
        <is>
          <t>Пользовательский интерфейс</t>
        </is>
      </c>
    </row>
    <row r="3319">
      <c r="B3319" s="1" t="inlineStr">
        <is>
          <t>222717208</t>
        </is>
      </c>
      <c r="C3319" s="1" t="inlineStr">
        <is>
          <t>15953442</t>
        </is>
      </c>
      <c r="D3319" t="inlineStr">
        <is>
          <t>работник 900</t>
        </is>
      </c>
      <c r="E3319" s="1" t="inlineStr">
        <is>
          <t>ОБЩЕСТВО С ОГРАНИЧЕННОЙ ОТВЕТСТВЕННОСТЬЮ "АМУР ЗОЛОТО"</t>
        </is>
      </c>
      <c r="F3319" s="1" t="inlineStr">
        <is>
          <t>2708001686</t>
        </is>
      </c>
      <c r="G3319" s="1" t="inlineStr">
        <is>
          <t>Водитель погрузчика</t>
        </is>
      </c>
      <c r="H3319" s="1" t="inlineStr">
        <is>
          <t>ООО "Амур Золото"</t>
        </is>
      </c>
      <c r="I3319" s="1" t="inlineStr">
        <is>
          <t>2708001686</t>
        </is>
      </c>
      <c r="J3319" s="1" t="inlineStr">
        <is>
          <t>ЮГОК АТЦ 26-20</t>
        </is>
      </c>
      <c r="K331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319" s="1" t="inlineStr">
        <is>
          <t>18.08.2026</t>
        </is>
      </c>
      <c r="M3319" s="1" t="inlineStr">
        <is>
          <t>Успешно</t>
        </is>
      </c>
      <c r="N3319" s="1" t="inlineStr">
        <is>
          <t>17.09.2026</t>
        </is>
      </c>
      <c r="O3319" s="1" t="inlineStr"/>
      <c r="P3319" s="1" t="inlineStr"/>
      <c r="Q3319" s="1" t="inlineStr">
        <is>
          <t>Пользовательский интерфейс</t>
        </is>
      </c>
    </row>
    <row r="3320">
      <c r="B3320" s="1" t="inlineStr">
        <is>
          <t>222717209</t>
        </is>
      </c>
      <c r="C3320" s="1" t="inlineStr">
        <is>
          <t>15953442</t>
        </is>
      </c>
      <c r="D3320" t="inlineStr">
        <is>
          <t>работник 214</t>
        </is>
      </c>
      <c r="E3320" s="1" t="inlineStr">
        <is>
          <t>ОБЩЕСТВО С ОГРАНИЧЕННОЙ ОТВЕТСТВЕННОСТЬЮ "АМУР ЗОЛОТО"</t>
        </is>
      </c>
      <c r="F3320" s="1" t="inlineStr">
        <is>
          <t>2708001686</t>
        </is>
      </c>
      <c r="G3320" s="1" t="inlineStr">
        <is>
          <t>Водитель погрузчика</t>
        </is>
      </c>
      <c r="H3320" s="1" t="inlineStr">
        <is>
          <t>ООО "Амур Золото"</t>
        </is>
      </c>
      <c r="I3320" s="1" t="inlineStr">
        <is>
          <t>2708001686</t>
        </is>
      </c>
      <c r="J3320" s="1" t="inlineStr">
        <is>
          <t>ЮГОК АТЦ 26-20</t>
        </is>
      </c>
      <c r="K3320" s="1" t="inlineStr">
        <is>
          <t>Оказание первой помощи пострадавшим</t>
        </is>
      </c>
      <c r="L3320" s="1" t="inlineStr">
        <is>
          <t>18.08.2026</t>
        </is>
      </c>
      <c r="M3320" s="1" t="inlineStr">
        <is>
          <t>Успешно</t>
        </is>
      </c>
      <c r="N3320" s="1" t="inlineStr">
        <is>
          <t>17.09.2026</t>
        </is>
      </c>
      <c r="O3320" s="1" t="inlineStr"/>
      <c r="P3320" s="1" t="inlineStr"/>
      <c r="Q3320" s="1" t="inlineStr">
        <is>
          <t>Пользовательский интерфейс</t>
        </is>
      </c>
    </row>
    <row r="3321">
      <c r="B3321" s="1" t="inlineStr">
        <is>
          <t>222717210</t>
        </is>
      </c>
      <c r="C3321" s="1" t="inlineStr">
        <is>
          <t>15953442</t>
        </is>
      </c>
      <c r="D3321" t="inlineStr">
        <is>
          <t>работник 214</t>
        </is>
      </c>
      <c r="E3321" s="1" t="inlineStr">
        <is>
          <t>ОБЩЕСТВО С ОГРАНИЧЕННОЙ ОТВЕТСТВЕННОСТЬЮ "АМУР ЗОЛОТО"</t>
        </is>
      </c>
      <c r="F3321" s="1" t="inlineStr">
        <is>
          <t>2708001686</t>
        </is>
      </c>
      <c r="G3321" s="1" t="inlineStr">
        <is>
          <t>Водитель погрузчика</t>
        </is>
      </c>
      <c r="H3321" s="1" t="inlineStr">
        <is>
          <t>ООО "Амур Золото"</t>
        </is>
      </c>
      <c r="I3321" s="1" t="inlineStr">
        <is>
          <t>2708001686</t>
        </is>
      </c>
      <c r="J3321" s="1" t="inlineStr">
        <is>
          <t>ЮГОК АТЦ 26-20</t>
        </is>
      </c>
      <c r="K3321" s="1" t="inlineStr">
        <is>
          <t>Использование (применение) средств индивидуальной защиты</t>
        </is>
      </c>
      <c r="L3321" s="1" t="inlineStr">
        <is>
          <t>18.08.2026</t>
        </is>
      </c>
      <c r="M3321" s="1" t="inlineStr">
        <is>
          <t>Успешно</t>
        </is>
      </c>
      <c r="N3321" s="1" t="inlineStr">
        <is>
          <t>17.09.2026</t>
        </is>
      </c>
      <c r="O3321" s="1" t="inlineStr"/>
      <c r="P3321" s="1" t="inlineStr"/>
      <c r="Q3321" s="1" t="inlineStr">
        <is>
          <t>Пользовательский интерфейс</t>
        </is>
      </c>
    </row>
    <row r="3322">
      <c r="B3322" s="1" t="inlineStr">
        <is>
          <t>222717211</t>
        </is>
      </c>
      <c r="C3322" s="1" t="inlineStr">
        <is>
          <t>15953442</t>
        </is>
      </c>
      <c r="D3322" t="inlineStr">
        <is>
          <t>работник 214</t>
        </is>
      </c>
      <c r="E3322" s="1" t="inlineStr">
        <is>
          <t>ОБЩЕСТВО С ОГРАНИЧЕННОЙ ОТВЕТСТВЕННОСТЬЮ "АМУР ЗОЛОТО"</t>
        </is>
      </c>
      <c r="F3322" s="1" t="inlineStr">
        <is>
          <t>2708001686</t>
        </is>
      </c>
      <c r="G3322" s="1" t="inlineStr">
        <is>
          <t>Водитель погрузчика</t>
        </is>
      </c>
      <c r="H3322" s="1" t="inlineStr">
        <is>
          <t>ООО "Амур Золото"</t>
        </is>
      </c>
      <c r="I3322" s="1" t="inlineStr">
        <is>
          <t>2708001686</t>
        </is>
      </c>
      <c r="J3322" s="1" t="inlineStr">
        <is>
          <t>ЮГОК АТЦ 26-20</t>
        </is>
      </c>
      <c r="K332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322" s="1" t="inlineStr">
        <is>
          <t>18.08.2026</t>
        </is>
      </c>
      <c r="M3322" s="1" t="inlineStr">
        <is>
          <t>Успешно</t>
        </is>
      </c>
      <c r="N3322" s="1" t="inlineStr">
        <is>
          <t>17.09.2026</t>
        </is>
      </c>
      <c r="O3322" s="1" t="inlineStr"/>
      <c r="P3322" s="1" t="inlineStr"/>
      <c r="Q3322" s="1" t="inlineStr">
        <is>
          <t>Пользовательский интерфейс</t>
        </is>
      </c>
    </row>
    <row r="3323">
      <c r="B3323" s="1" t="inlineStr">
        <is>
          <t>222717212</t>
        </is>
      </c>
      <c r="C3323" s="1" t="inlineStr">
        <is>
          <t>15953442</t>
        </is>
      </c>
      <c r="D3323" t="inlineStr">
        <is>
          <t>работник 189</t>
        </is>
      </c>
      <c r="E3323" s="1" t="inlineStr">
        <is>
          <t>ОБЩЕСТВО С ОГРАНИЧЕННОЙ ОТВЕТСТВЕННОСТЬЮ "АМУР ЗОЛОТО"</t>
        </is>
      </c>
      <c r="F3323" s="1" t="inlineStr">
        <is>
          <t>2708001686</t>
        </is>
      </c>
      <c r="G3323" s="1" t="inlineStr">
        <is>
          <t>Водитель погрузчика</t>
        </is>
      </c>
      <c r="H3323" s="1" t="inlineStr">
        <is>
          <t>ООО "Амур Золото"</t>
        </is>
      </c>
      <c r="I3323" s="1" t="inlineStr">
        <is>
          <t>2708001686</t>
        </is>
      </c>
      <c r="J3323" s="1" t="inlineStr">
        <is>
          <t>ЮГОК АТЦ 26-20</t>
        </is>
      </c>
      <c r="K3323" s="1" t="inlineStr">
        <is>
          <t>Оказание первой помощи пострадавшим</t>
        </is>
      </c>
      <c r="L3323" s="1" t="inlineStr">
        <is>
          <t>18.08.2026</t>
        </is>
      </c>
      <c r="M3323" s="1" t="inlineStr">
        <is>
          <t>Успешно</t>
        </is>
      </c>
      <c r="N3323" s="1" t="inlineStr">
        <is>
          <t>17.09.2026</t>
        </is>
      </c>
      <c r="O3323" s="1" t="inlineStr"/>
      <c r="P3323" s="1" t="inlineStr"/>
      <c r="Q3323" s="1" t="inlineStr">
        <is>
          <t>Пользовательский интерфейс</t>
        </is>
      </c>
    </row>
    <row r="3324">
      <c r="B3324" s="1" t="inlineStr">
        <is>
          <t>222717213</t>
        </is>
      </c>
      <c r="C3324" s="1" t="inlineStr">
        <is>
          <t>15953442</t>
        </is>
      </c>
      <c r="D3324" t="inlineStr">
        <is>
          <t>работник 189</t>
        </is>
      </c>
      <c r="E3324" s="1" t="inlineStr">
        <is>
          <t>ОБЩЕСТВО С ОГРАНИЧЕННОЙ ОТВЕТСТВЕННОСТЬЮ "АМУР ЗОЛОТО"</t>
        </is>
      </c>
      <c r="F3324" s="1" t="inlineStr">
        <is>
          <t>2708001686</t>
        </is>
      </c>
      <c r="G3324" s="1" t="inlineStr">
        <is>
          <t>Водитель погрузчика</t>
        </is>
      </c>
      <c r="H3324" s="1" t="inlineStr">
        <is>
          <t>ООО "Амур Золото"</t>
        </is>
      </c>
      <c r="I3324" s="1" t="inlineStr">
        <is>
          <t>2708001686</t>
        </is>
      </c>
      <c r="J3324" s="1" t="inlineStr">
        <is>
          <t>ЮГОК АТЦ 26-20</t>
        </is>
      </c>
      <c r="K3324" s="1" t="inlineStr">
        <is>
          <t>Использование (применение) средств индивидуальной защиты</t>
        </is>
      </c>
      <c r="L3324" s="1" t="inlineStr">
        <is>
          <t>18.08.2026</t>
        </is>
      </c>
      <c r="M3324" s="1" t="inlineStr">
        <is>
          <t>Успешно</t>
        </is>
      </c>
      <c r="N3324" s="1" t="inlineStr">
        <is>
          <t>17.09.2026</t>
        </is>
      </c>
      <c r="O3324" s="1" t="inlineStr"/>
      <c r="P3324" s="1" t="inlineStr"/>
      <c r="Q3324" s="1" t="inlineStr">
        <is>
          <t>Пользовательский интерфейс</t>
        </is>
      </c>
    </row>
    <row r="3325">
      <c r="B3325" s="1" t="inlineStr">
        <is>
          <t>222717214</t>
        </is>
      </c>
      <c r="C3325" s="1" t="inlineStr">
        <is>
          <t>15953442</t>
        </is>
      </c>
      <c r="D3325" t="inlineStr">
        <is>
          <t>работник 189</t>
        </is>
      </c>
      <c r="E3325" s="1" t="inlineStr">
        <is>
          <t>ОБЩЕСТВО С ОГРАНИЧЕННОЙ ОТВЕТСТВЕННОСТЬЮ "АМУР ЗОЛОТО"</t>
        </is>
      </c>
      <c r="F3325" s="1" t="inlineStr">
        <is>
          <t>2708001686</t>
        </is>
      </c>
      <c r="G3325" s="1" t="inlineStr">
        <is>
          <t>Водитель погрузчика</t>
        </is>
      </c>
      <c r="H3325" s="1" t="inlineStr">
        <is>
          <t>ООО "Амур Золото"</t>
        </is>
      </c>
      <c r="I3325" s="1" t="inlineStr">
        <is>
          <t>2708001686</t>
        </is>
      </c>
      <c r="J3325" s="1" t="inlineStr">
        <is>
          <t>ЮГОК АТЦ 26-20</t>
        </is>
      </c>
      <c r="K332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325" s="1" t="inlineStr">
        <is>
          <t>18.08.2026</t>
        </is>
      </c>
      <c r="M3325" s="1" t="inlineStr">
        <is>
          <t>Успешно</t>
        </is>
      </c>
      <c r="N3325" s="1" t="inlineStr">
        <is>
          <t>17.09.2026</t>
        </is>
      </c>
      <c r="O3325" s="1" t="inlineStr"/>
      <c r="P3325" s="1" t="inlineStr"/>
      <c r="Q3325" s="1" t="inlineStr">
        <is>
          <t>Пользовательский интерфейс</t>
        </is>
      </c>
    </row>
    <row r="3326">
      <c r="B3326" s="1" t="inlineStr">
        <is>
          <t>222717215</t>
        </is>
      </c>
      <c r="C3326" s="1" t="inlineStr">
        <is>
          <t>15953442</t>
        </is>
      </c>
      <c r="D3326" t="inlineStr">
        <is>
          <t>работник 903</t>
        </is>
      </c>
      <c r="E3326" s="1" t="inlineStr">
        <is>
          <t>ОБЩЕСТВО С ОГРАНИЧЕННОЙ ОТВЕТСТВЕННОСТЬЮ "АМУР ЗОЛОТО"</t>
        </is>
      </c>
      <c r="F3326" s="1" t="inlineStr">
        <is>
          <t>2708001686</t>
        </is>
      </c>
      <c r="G3326" s="1" t="inlineStr">
        <is>
          <t>Слесарь по ремонту автомобилей</t>
        </is>
      </c>
      <c r="H3326" s="1" t="inlineStr">
        <is>
          <t>ООО "Амур Золото"</t>
        </is>
      </c>
      <c r="I3326" s="1" t="inlineStr">
        <is>
          <t>2708001686</t>
        </is>
      </c>
      <c r="J3326" s="1" t="inlineStr">
        <is>
          <t>ЮГОК АТЦ 26-21</t>
        </is>
      </c>
      <c r="K3326" s="1" t="inlineStr">
        <is>
          <t>Оказание первой помощи пострадавшим</t>
        </is>
      </c>
      <c r="L3326" s="1" t="inlineStr">
        <is>
          <t>18.08.2026</t>
        </is>
      </c>
      <c r="M3326" s="1" t="inlineStr">
        <is>
          <t>Успешно</t>
        </is>
      </c>
      <c r="N3326" s="1" t="inlineStr">
        <is>
          <t>17.09.2026</t>
        </is>
      </c>
      <c r="O3326" s="1" t="inlineStr"/>
      <c r="P3326" s="1" t="inlineStr"/>
      <c r="Q3326" s="1" t="inlineStr">
        <is>
          <t>Пользовательский интерфейс</t>
        </is>
      </c>
    </row>
    <row r="3327">
      <c r="B3327" s="1" t="inlineStr">
        <is>
          <t>222717216</t>
        </is>
      </c>
      <c r="C3327" s="1" t="inlineStr">
        <is>
          <t>15953442</t>
        </is>
      </c>
      <c r="D3327" t="inlineStr">
        <is>
          <t>работник 903</t>
        </is>
      </c>
      <c r="E3327" s="1" t="inlineStr">
        <is>
          <t>ОБЩЕСТВО С ОГРАНИЧЕННОЙ ОТВЕТСТВЕННОСТЬЮ "АМУР ЗОЛОТО"</t>
        </is>
      </c>
      <c r="F3327" s="1" t="inlineStr">
        <is>
          <t>2708001686</t>
        </is>
      </c>
      <c r="G3327" s="1" t="inlineStr">
        <is>
          <t>Слесарь по ремонту автомобилей</t>
        </is>
      </c>
      <c r="H3327" s="1" t="inlineStr">
        <is>
          <t>ООО "Амур Золото"</t>
        </is>
      </c>
      <c r="I3327" s="1" t="inlineStr">
        <is>
          <t>2708001686</t>
        </is>
      </c>
      <c r="J3327" s="1" t="inlineStr">
        <is>
          <t>ЮГОК АТЦ 26-21</t>
        </is>
      </c>
      <c r="K3327" s="1" t="inlineStr">
        <is>
          <t>Использование (применение) средств индивидуальной защиты</t>
        </is>
      </c>
      <c r="L3327" s="1" t="inlineStr">
        <is>
          <t>18.08.2026</t>
        </is>
      </c>
      <c r="M3327" s="1" t="inlineStr">
        <is>
          <t>Успешно</t>
        </is>
      </c>
      <c r="N3327" s="1" t="inlineStr">
        <is>
          <t>17.09.2026</t>
        </is>
      </c>
      <c r="O3327" s="1" t="inlineStr"/>
      <c r="P3327" s="1" t="inlineStr"/>
      <c r="Q3327" s="1" t="inlineStr">
        <is>
          <t>Пользовательский интерфейс</t>
        </is>
      </c>
    </row>
    <row r="3328">
      <c r="B3328" s="1" t="inlineStr">
        <is>
          <t>222717217</t>
        </is>
      </c>
      <c r="C3328" s="1" t="inlineStr">
        <is>
          <t>15953442</t>
        </is>
      </c>
      <c r="D3328" t="inlineStr">
        <is>
          <t>работник 903</t>
        </is>
      </c>
      <c r="E3328" s="1" t="inlineStr">
        <is>
          <t>ОБЩЕСТВО С ОГРАНИЧЕННОЙ ОТВЕТСТВЕННОСТЬЮ "АМУР ЗОЛОТО"</t>
        </is>
      </c>
      <c r="F3328" s="1" t="inlineStr">
        <is>
          <t>2708001686</t>
        </is>
      </c>
      <c r="G3328" s="1" t="inlineStr">
        <is>
          <t>Слесарь по ремонту автомобилей</t>
        </is>
      </c>
      <c r="H3328" s="1" t="inlineStr">
        <is>
          <t>ООО "Амур Золото"</t>
        </is>
      </c>
      <c r="I3328" s="1" t="inlineStr">
        <is>
          <t>2708001686</t>
        </is>
      </c>
      <c r="J3328" s="1" t="inlineStr">
        <is>
          <t>ЮГОК АТЦ 26-21</t>
        </is>
      </c>
      <c r="K332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328" s="1" t="inlineStr">
        <is>
          <t>18.08.2026</t>
        </is>
      </c>
      <c r="M3328" s="1" t="inlineStr">
        <is>
          <t>Успешно</t>
        </is>
      </c>
      <c r="N3328" s="1" t="inlineStr">
        <is>
          <t>17.09.2026</t>
        </is>
      </c>
      <c r="O3328" s="1" t="inlineStr"/>
      <c r="P3328" s="1" t="inlineStr"/>
      <c r="Q3328" s="1" t="inlineStr">
        <is>
          <t>Пользовательский интерфейс</t>
        </is>
      </c>
    </row>
    <row r="3329">
      <c r="B3329" s="1" t="inlineStr">
        <is>
          <t>222717218</t>
        </is>
      </c>
      <c r="C3329" s="1" t="inlineStr">
        <is>
          <t>15953442</t>
        </is>
      </c>
      <c r="D3329" t="inlineStr">
        <is>
          <t>работник 655</t>
        </is>
      </c>
      <c r="E3329" s="1" t="inlineStr">
        <is>
          <t>ОБЩЕСТВО С ОГРАНИЧЕННОЙ ОТВЕТСТВЕННОСТЬЮ "АМУР ЗОЛОТО"</t>
        </is>
      </c>
      <c r="F3329" s="1" t="inlineStr">
        <is>
          <t>2708001686</t>
        </is>
      </c>
      <c r="G3329" s="1" t="inlineStr">
        <is>
          <t>Слесарь по ремонту автомобилей</t>
        </is>
      </c>
      <c r="H3329" s="1" t="inlineStr">
        <is>
          <t>ООО "Амур Золото"</t>
        </is>
      </c>
      <c r="I3329" s="1" t="inlineStr">
        <is>
          <t>2708001686</t>
        </is>
      </c>
      <c r="J3329" s="1" t="inlineStr">
        <is>
          <t>ЮГОК АТЦ 26-21</t>
        </is>
      </c>
      <c r="K3329" s="1" t="inlineStr">
        <is>
          <t>Оказание первой помощи пострадавшим</t>
        </is>
      </c>
      <c r="L3329" s="1" t="inlineStr">
        <is>
          <t>18.08.2026</t>
        </is>
      </c>
      <c r="M3329" s="1" t="inlineStr">
        <is>
          <t>Успешно</t>
        </is>
      </c>
      <c r="N3329" s="1" t="inlineStr">
        <is>
          <t>17.09.2026</t>
        </is>
      </c>
      <c r="O3329" s="1" t="inlineStr"/>
      <c r="P3329" s="1" t="inlineStr"/>
      <c r="Q3329" s="1" t="inlineStr">
        <is>
          <t>Пользовательский интерфейс</t>
        </is>
      </c>
    </row>
    <row r="3330">
      <c r="B3330" s="1" t="inlineStr">
        <is>
          <t>222717219</t>
        </is>
      </c>
      <c r="C3330" s="1" t="inlineStr">
        <is>
          <t>15953442</t>
        </is>
      </c>
      <c r="D3330" t="inlineStr">
        <is>
          <t>работник 655</t>
        </is>
      </c>
      <c r="E3330" s="1" t="inlineStr">
        <is>
          <t>ОБЩЕСТВО С ОГРАНИЧЕННОЙ ОТВЕТСТВЕННОСТЬЮ "АМУР ЗОЛОТО"</t>
        </is>
      </c>
      <c r="F3330" s="1" t="inlineStr">
        <is>
          <t>2708001686</t>
        </is>
      </c>
      <c r="G3330" s="1" t="inlineStr">
        <is>
          <t>Слесарь по ремонту автомобилей</t>
        </is>
      </c>
      <c r="H3330" s="1" t="inlineStr">
        <is>
          <t>ООО "Амур Золото"</t>
        </is>
      </c>
      <c r="I3330" s="1" t="inlineStr">
        <is>
          <t>2708001686</t>
        </is>
      </c>
      <c r="J3330" s="1" t="inlineStr">
        <is>
          <t>ЮГОК АТЦ 26-21</t>
        </is>
      </c>
      <c r="K3330" s="1" t="inlineStr">
        <is>
          <t>Использование (применение) средств индивидуальной защиты</t>
        </is>
      </c>
      <c r="L3330" s="1" t="inlineStr">
        <is>
          <t>18.08.2026</t>
        </is>
      </c>
      <c r="M3330" s="1" t="inlineStr">
        <is>
          <t>Успешно</t>
        </is>
      </c>
      <c r="N3330" s="1" t="inlineStr">
        <is>
          <t>17.09.2026</t>
        </is>
      </c>
      <c r="O3330" s="1" t="inlineStr"/>
      <c r="P3330" s="1" t="inlineStr"/>
      <c r="Q3330" s="1" t="inlineStr">
        <is>
          <t>Пользовательский интерфейс</t>
        </is>
      </c>
    </row>
    <row r="3331">
      <c r="B3331" s="1" t="inlineStr">
        <is>
          <t>222717220</t>
        </is>
      </c>
      <c r="C3331" s="1" t="inlineStr">
        <is>
          <t>15953442</t>
        </is>
      </c>
      <c r="D3331" t="inlineStr">
        <is>
          <t>работник 655</t>
        </is>
      </c>
      <c r="E3331" s="1" t="inlineStr">
        <is>
          <t>ОБЩЕСТВО С ОГРАНИЧЕННОЙ ОТВЕТСТВЕННОСТЬЮ "АМУР ЗОЛОТО"</t>
        </is>
      </c>
      <c r="F3331" s="1" t="inlineStr">
        <is>
          <t>2708001686</t>
        </is>
      </c>
      <c r="G3331" s="1" t="inlineStr">
        <is>
          <t>Слесарь по ремонту автомобилей</t>
        </is>
      </c>
      <c r="H3331" s="1" t="inlineStr">
        <is>
          <t>ООО "Амур Золото"</t>
        </is>
      </c>
      <c r="I3331" s="1" t="inlineStr">
        <is>
          <t>2708001686</t>
        </is>
      </c>
      <c r="J3331" s="1" t="inlineStr">
        <is>
          <t>ЮГОК АТЦ 26-21</t>
        </is>
      </c>
      <c r="K333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331" s="1" t="inlineStr">
        <is>
          <t>18.08.2026</t>
        </is>
      </c>
      <c r="M3331" s="1" t="inlineStr">
        <is>
          <t>Успешно</t>
        </is>
      </c>
      <c r="N3331" s="1" t="inlineStr">
        <is>
          <t>17.09.2026</t>
        </is>
      </c>
      <c r="O3331" s="1" t="inlineStr"/>
      <c r="P3331" s="1" t="inlineStr"/>
      <c r="Q3331" s="1" t="inlineStr">
        <is>
          <t>Пользовательский интерфейс</t>
        </is>
      </c>
    </row>
    <row r="3332">
      <c r="B3332" s="1" t="inlineStr">
        <is>
          <t>222717221</t>
        </is>
      </c>
      <c r="C3332" s="1" t="inlineStr">
        <is>
          <t>15953442</t>
        </is>
      </c>
      <c r="D3332" t="inlineStr">
        <is>
          <t>работник 806</t>
        </is>
      </c>
      <c r="E3332" s="1" t="inlineStr">
        <is>
          <t>ОБЩЕСТВО С ОГРАНИЧЕННОЙ ОТВЕТСТВЕННОСТЬЮ "АМУР ЗОЛОТО"</t>
        </is>
      </c>
      <c r="F3332" s="1" t="inlineStr">
        <is>
          <t>2708001686</t>
        </is>
      </c>
      <c r="G3332" s="1" t="inlineStr">
        <is>
          <t>Повар</t>
        </is>
      </c>
      <c r="H3332" s="1" t="inlineStr">
        <is>
          <t>ООО "Амур Золото"</t>
        </is>
      </c>
      <c r="I3332" s="1" t="inlineStr">
        <is>
          <t>2708001686</t>
        </is>
      </c>
      <c r="J3332" s="1" t="inlineStr">
        <is>
          <t>ЮГОК АХЧ 26-54</t>
        </is>
      </c>
      <c r="K3332" s="1" t="inlineStr">
        <is>
          <t>Оказание первой помощи пострадавшим</t>
        </is>
      </c>
      <c r="L3332" s="1" t="inlineStr">
        <is>
          <t>20.08.2026</t>
        </is>
      </c>
      <c r="M3332" s="1" t="inlineStr">
        <is>
          <t>Успешно</t>
        </is>
      </c>
      <c r="N3332" s="1" t="inlineStr">
        <is>
          <t>17.09.2026</t>
        </is>
      </c>
      <c r="O3332" s="1" t="inlineStr"/>
      <c r="P3332" s="1" t="inlineStr"/>
      <c r="Q3332" s="1" t="inlineStr">
        <is>
          <t>Пользовательский интерфейс</t>
        </is>
      </c>
    </row>
    <row r="3333">
      <c r="B3333" s="1" t="inlineStr">
        <is>
          <t>222717222</t>
        </is>
      </c>
      <c r="C3333" s="1" t="inlineStr">
        <is>
          <t>15953442</t>
        </is>
      </c>
      <c r="D3333" t="inlineStr">
        <is>
          <t>работник 823</t>
        </is>
      </c>
      <c r="E3333" s="1" t="inlineStr">
        <is>
          <t>ОБЩЕСТВО С ОГРАНИЧЕННОЙ ОТВЕТСТВЕННОСТЬЮ "АМУР ЗОЛОТО"</t>
        </is>
      </c>
      <c r="F3333" s="1" t="inlineStr">
        <is>
          <t>2708001686</t>
        </is>
      </c>
      <c r="G3333" s="1" t="inlineStr">
        <is>
          <t>Слесарь по ремонту автомобилей</t>
        </is>
      </c>
      <c r="H3333" s="1" t="inlineStr">
        <is>
          <t>ООО "Амур Золото"</t>
        </is>
      </c>
      <c r="I3333" s="1" t="inlineStr">
        <is>
          <t>2708001686</t>
        </is>
      </c>
      <c r="J3333" s="1" t="inlineStr">
        <is>
          <t>ЮГОК АТЦ 26-21</t>
        </is>
      </c>
      <c r="K3333" s="1" t="inlineStr">
        <is>
          <t>Использование (применение) средств индивидуальной защиты</t>
        </is>
      </c>
      <c r="L3333" s="1" t="inlineStr">
        <is>
          <t>18.08.2026</t>
        </is>
      </c>
      <c r="M3333" s="1" t="inlineStr">
        <is>
          <t>Успешно</t>
        </is>
      </c>
      <c r="N3333" s="1" t="inlineStr">
        <is>
          <t>17.09.2026</t>
        </is>
      </c>
      <c r="O3333" s="1" t="inlineStr"/>
      <c r="P3333" s="1" t="inlineStr"/>
      <c r="Q3333" s="1" t="inlineStr">
        <is>
          <t>Пользовательский интерфейс</t>
        </is>
      </c>
    </row>
    <row r="3334">
      <c r="B3334" s="1" t="inlineStr">
        <is>
          <t>222717223</t>
        </is>
      </c>
      <c r="C3334" s="1" t="inlineStr">
        <is>
          <t>15953442</t>
        </is>
      </c>
      <c r="D3334" t="inlineStr">
        <is>
          <t>работник 823</t>
        </is>
      </c>
      <c r="E3334" s="1" t="inlineStr">
        <is>
          <t>ОБЩЕСТВО С ОГРАНИЧЕННОЙ ОТВЕТСТВЕННОСТЬЮ "АМУР ЗОЛОТО"</t>
        </is>
      </c>
      <c r="F3334" s="1" t="inlineStr">
        <is>
          <t>2708001686</t>
        </is>
      </c>
      <c r="G3334" s="1" t="inlineStr">
        <is>
          <t>Слесарь по ремонту автомобилей</t>
        </is>
      </c>
      <c r="H3334" s="1" t="inlineStr">
        <is>
          <t>ООО "Амур Золото"</t>
        </is>
      </c>
      <c r="I3334" s="1" t="inlineStr">
        <is>
          <t>2708001686</t>
        </is>
      </c>
      <c r="J3334" s="1" t="inlineStr">
        <is>
          <t>ЮГОК АТЦ 26-21</t>
        </is>
      </c>
      <c r="K333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334" s="1" t="inlineStr">
        <is>
          <t>18.08.2026</t>
        </is>
      </c>
      <c r="M3334" s="1" t="inlineStr">
        <is>
          <t>Успешно</t>
        </is>
      </c>
      <c r="N3334" s="1" t="inlineStr">
        <is>
          <t>17.09.2026</t>
        </is>
      </c>
      <c r="O3334" s="1" t="inlineStr"/>
      <c r="P3334" s="1" t="inlineStr"/>
      <c r="Q3334" s="1" t="inlineStr">
        <is>
          <t>Пользовательский интерфейс</t>
        </is>
      </c>
    </row>
    <row r="3335">
      <c r="B3335" s="1" t="inlineStr">
        <is>
          <t>222717224</t>
        </is>
      </c>
      <c r="C3335" s="1" t="inlineStr">
        <is>
          <t>15953442</t>
        </is>
      </c>
      <c r="D3335" t="inlineStr">
        <is>
          <t>работник 656</t>
        </is>
      </c>
      <c r="E3335" s="1" t="inlineStr">
        <is>
          <t>ОБЩЕСТВО С ОГРАНИЧЕННОЙ ОТВЕТСТВЕННОСТЬЮ "АМУР ЗОЛОТО"</t>
        </is>
      </c>
      <c r="F3335" s="1" t="inlineStr">
        <is>
          <t>2708001686</t>
        </is>
      </c>
      <c r="G3335" s="1" t="inlineStr">
        <is>
          <t>Слесарь по ремонту автомобилей</t>
        </is>
      </c>
      <c r="H3335" s="1" t="inlineStr">
        <is>
          <t>ООО "Амур Золото"</t>
        </is>
      </c>
      <c r="I3335" s="1" t="inlineStr">
        <is>
          <t>2708001686</t>
        </is>
      </c>
      <c r="J3335" s="1" t="inlineStr">
        <is>
          <t>ЮГОК АТЦ 26-21</t>
        </is>
      </c>
      <c r="K3335" s="1" t="inlineStr">
        <is>
          <t>Оказание первой помощи пострадавшим</t>
        </is>
      </c>
      <c r="L3335" s="1" t="inlineStr">
        <is>
          <t>18.08.2026</t>
        </is>
      </c>
      <c r="M3335" s="1" t="inlineStr">
        <is>
          <t>Успешно</t>
        </is>
      </c>
      <c r="N3335" s="1" t="inlineStr">
        <is>
          <t>17.09.2026</t>
        </is>
      </c>
      <c r="O3335" s="1" t="inlineStr"/>
      <c r="P3335" s="1" t="inlineStr"/>
      <c r="Q3335" s="1" t="inlineStr">
        <is>
          <t>Пользовательский интерфейс</t>
        </is>
      </c>
    </row>
    <row r="3336">
      <c r="B3336" s="1" t="inlineStr">
        <is>
          <t>222717225</t>
        </is>
      </c>
      <c r="C3336" s="1" t="inlineStr">
        <is>
          <t>15953442</t>
        </is>
      </c>
      <c r="D3336" t="inlineStr">
        <is>
          <t>работник 656</t>
        </is>
      </c>
      <c r="E3336" s="1" t="inlineStr">
        <is>
          <t>ОБЩЕСТВО С ОГРАНИЧЕННОЙ ОТВЕТСТВЕННОСТЬЮ "АМУР ЗОЛОТО"</t>
        </is>
      </c>
      <c r="F3336" s="1" t="inlineStr">
        <is>
          <t>2708001686</t>
        </is>
      </c>
      <c r="G3336" s="1" t="inlineStr">
        <is>
          <t>Слесарь по ремонту автомобилей</t>
        </is>
      </c>
      <c r="H3336" s="1" t="inlineStr">
        <is>
          <t>ООО "Амур Золото"</t>
        </is>
      </c>
      <c r="I3336" s="1" t="inlineStr">
        <is>
          <t>2708001686</t>
        </is>
      </c>
      <c r="J3336" s="1" t="inlineStr">
        <is>
          <t>ЮГОК АТЦ 26-21</t>
        </is>
      </c>
      <c r="K3336" s="1" t="inlineStr">
        <is>
          <t>Использование (применение) средств индивидуальной защиты</t>
        </is>
      </c>
      <c r="L3336" s="1" t="inlineStr">
        <is>
          <t>18.08.2026</t>
        </is>
      </c>
      <c r="M3336" s="1" t="inlineStr">
        <is>
          <t>Успешно</t>
        </is>
      </c>
      <c r="N3336" s="1" t="inlineStr">
        <is>
          <t>17.09.2026</t>
        </is>
      </c>
      <c r="O3336" s="1" t="inlineStr"/>
      <c r="P3336" s="1" t="inlineStr"/>
      <c r="Q3336" s="1" t="inlineStr">
        <is>
          <t>Пользовательский интерфейс</t>
        </is>
      </c>
    </row>
    <row r="3337">
      <c r="B3337" s="1" t="inlineStr">
        <is>
          <t>222717226</t>
        </is>
      </c>
      <c r="C3337" s="1" t="inlineStr">
        <is>
          <t>15953442</t>
        </is>
      </c>
      <c r="D3337" t="inlineStr">
        <is>
          <t>работник 656</t>
        </is>
      </c>
      <c r="E3337" s="1" t="inlineStr">
        <is>
          <t>ОБЩЕСТВО С ОГРАНИЧЕННОЙ ОТВЕТСТВЕННОСТЬЮ "АМУР ЗОЛОТО"</t>
        </is>
      </c>
      <c r="F3337" s="1" t="inlineStr">
        <is>
          <t>2708001686</t>
        </is>
      </c>
      <c r="G3337" s="1" t="inlineStr">
        <is>
          <t>Слесарь по ремонту автомобилей</t>
        </is>
      </c>
      <c r="H3337" s="1" t="inlineStr">
        <is>
          <t>ООО "Амур Золото"</t>
        </is>
      </c>
      <c r="I3337" s="1" t="inlineStr">
        <is>
          <t>2708001686</t>
        </is>
      </c>
      <c r="J3337" s="1" t="inlineStr">
        <is>
          <t>ЮГОК АТЦ 26-21</t>
        </is>
      </c>
      <c r="K333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337" s="1" t="inlineStr">
        <is>
          <t>18.08.2026</t>
        </is>
      </c>
      <c r="M3337" s="1" t="inlineStr">
        <is>
          <t>Успешно</t>
        </is>
      </c>
      <c r="N3337" s="1" t="inlineStr">
        <is>
          <t>17.09.2026</t>
        </is>
      </c>
      <c r="O3337" s="1" t="inlineStr"/>
      <c r="P3337" s="1" t="inlineStr"/>
      <c r="Q3337" s="1" t="inlineStr">
        <is>
          <t>Пользовательский интерфейс</t>
        </is>
      </c>
    </row>
    <row r="3338">
      <c r="B3338" s="1" t="inlineStr">
        <is>
          <t>222717227</t>
        </is>
      </c>
      <c r="C3338" s="1" t="inlineStr">
        <is>
          <t>15953442</t>
        </is>
      </c>
      <c r="D3338" t="inlineStr">
        <is>
          <t>работник 904</t>
        </is>
      </c>
      <c r="E3338" s="1" t="inlineStr">
        <is>
          <t>ОБЩЕСТВО С ОГРАНИЧЕННОЙ ОТВЕТСТВЕННОСТЬЮ "АМУР ЗОЛОТО"</t>
        </is>
      </c>
      <c r="F3338" s="1" t="inlineStr">
        <is>
          <t>2708001686</t>
        </is>
      </c>
      <c r="G3338" s="1" t="inlineStr">
        <is>
          <t>Водитель автомобиля для перевозки взрывчатых материалов</t>
        </is>
      </c>
      <c r="H3338" s="1" t="inlineStr">
        <is>
          <t>ООО "Амур Золото"</t>
        </is>
      </c>
      <c r="I3338" s="1" t="inlineStr">
        <is>
          <t>2708001686</t>
        </is>
      </c>
      <c r="J3338" s="1" t="inlineStr">
        <is>
          <t>ЮГОК АТЦ 26-24</t>
        </is>
      </c>
      <c r="K3338" s="1" t="inlineStr">
        <is>
          <t>Оказание первой помощи пострадавшим</t>
        </is>
      </c>
      <c r="L3338" s="1" t="inlineStr">
        <is>
          <t>19.08.2026</t>
        </is>
      </c>
      <c r="M3338" s="1" t="inlineStr">
        <is>
          <t>Успешно</t>
        </is>
      </c>
      <c r="N3338" s="1" t="inlineStr">
        <is>
          <t>17.09.2026</t>
        </is>
      </c>
      <c r="O3338" s="1" t="inlineStr"/>
      <c r="P3338" s="1" t="inlineStr"/>
      <c r="Q3338" s="1" t="inlineStr">
        <is>
          <t>Пользовательский интерфейс</t>
        </is>
      </c>
    </row>
    <row r="3339">
      <c r="B3339" s="1" t="inlineStr">
        <is>
          <t>222717228</t>
        </is>
      </c>
      <c r="C3339" s="1" t="inlineStr">
        <is>
          <t>15953442</t>
        </is>
      </c>
      <c r="D3339" t="inlineStr">
        <is>
          <t>работник 904</t>
        </is>
      </c>
      <c r="E3339" s="1" t="inlineStr">
        <is>
          <t>ОБЩЕСТВО С ОГРАНИЧЕННОЙ ОТВЕТСТВЕННОСТЬЮ "АМУР ЗОЛОТО"</t>
        </is>
      </c>
      <c r="F3339" s="1" t="inlineStr">
        <is>
          <t>2708001686</t>
        </is>
      </c>
      <c r="G3339" s="1" t="inlineStr">
        <is>
          <t>Водитель автомобиля для перевозки взрывчатых материалов</t>
        </is>
      </c>
      <c r="H3339" s="1" t="inlineStr">
        <is>
          <t>ООО "Амур Золото"</t>
        </is>
      </c>
      <c r="I3339" s="1" t="inlineStr">
        <is>
          <t>2708001686</t>
        </is>
      </c>
      <c r="J3339" s="1" t="inlineStr">
        <is>
          <t>ЮГОК АТЦ 26-24</t>
        </is>
      </c>
      <c r="K3339" s="1" t="inlineStr">
        <is>
          <t>Использование (применение) средств индивидуальной защиты</t>
        </is>
      </c>
      <c r="L3339" s="1" t="inlineStr">
        <is>
          <t>19.08.2026</t>
        </is>
      </c>
      <c r="M3339" s="1" t="inlineStr">
        <is>
          <t>Успешно</t>
        </is>
      </c>
      <c r="N3339" s="1" t="inlineStr">
        <is>
          <t>17.09.2026</t>
        </is>
      </c>
      <c r="O3339" s="1" t="inlineStr"/>
      <c r="P3339" s="1" t="inlineStr"/>
      <c r="Q3339" s="1" t="inlineStr">
        <is>
          <t>Пользовательский интерфейс</t>
        </is>
      </c>
    </row>
    <row r="3340">
      <c r="B3340" s="1" t="inlineStr">
        <is>
          <t>222717229</t>
        </is>
      </c>
      <c r="C3340" s="1" t="inlineStr">
        <is>
          <t>15953442</t>
        </is>
      </c>
      <c r="D3340" t="inlineStr">
        <is>
          <t>работник 904</t>
        </is>
      </c>
      <c r="E3340" s="1" t="inlineStr">
        <is>
          <t>ОБЩЕСТВО С ОГРАНИЧЕННОЙ ОТВЕТСТВЕННОСТЬЮ "АМУР ЗОЛОТО"</t>
        </is>
      </c>
      <c r="F3340" s="1" t="inlineStr">
        <is>
          <t>2708001686</t>
        </is>
      </c>
      <c r="G3340" s="1" t="inlineStr">
        <is>
          <t>Водитель автомобиля для перевозки взрывчатых материалов</t>
        </is>
      </c>
      <c r="H3340" s="1" t="inlineStr">
        <is>
          <t>ООО "Амур Золото"</t>
        </is>
      </c>
      <c r="I3340" s="1" t="inlineStr">
        <is>
          <t>2708001686</t>
        </is>
      </c>
      <c r="J3340" s="1" t="inlineStr">
        <is>
          <t>ЮГОК АТЦ 26-24</t>
        </is>
      </c>
      <c r="K334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340" s="1" t="inlineStr">
        <is>
          <t>19.08.2026</t>
        </is>
      </c>
      <c r="M3340" s="1" t="inlineStr">
        <is>
          <t>Успешно</t>
        </is>
      </c>
      <c r="N3340" s="1" t="inlineStr">
        <is>
          <t>17.09.2026</t>
        </is>
      </c>
      <c r="O3340" s="1" t="inlineStr"/>
      <c r="P3340" s="1" t="inlineStr"/>
      <c r="Q3340" s="1" t="inlineStr">
        <is>
          <t>Пользовательский интерфейс</t>
        </is>
      </c>
    </row>
    <row r="3341">
      <c r="B3341" s="1" t="inlineStr">
        <is>
          <t>222717230</t>
        </is>
      </c>
      <c r="C3341" s="1" t="inlineStr">
        <is>
          <t>15953442</t>
        </is>
      </c>
      <c r="D3341" t="inlineStr">
        <is>
          <t>работник 406</t>
        </is>
      </c>
      <c r="E3341" s="1" t="inlineStr">
        <is>
          <t>ОБЩЕСТВО С ОГРАНИЧЕННОЙ ОТВЕТСТВЕННОСТЬЮ "АМУР ЗОЛОТО"</t>
        </is>
      </c>
      <c r="F3341" s="1" t="inlineStr">
        <is>
          <t>2708001686</t>
        </is>
      </c>
      <c r="G3341" s="1" t="inlineStr">
        <is>
          <t>Водитель автомобиля (категория С)</t>
        </is>
      </c>
      <c r="H3341" s="1" t="inlineStr">
        <is>
          <t>ООО "Амур Золото"</t>
        </is>
      </c>
      <c r="I3341" s="1" t="inlineStr">
        <is>
          <t>2708001686</t>
        </is>
      </c>
      <c r="J3341" s="1" t="inlineStr">
        <is>
          <t>ЮГОК АТЦ 26-25</t>
        </is>
      </c>
      <c r="K3341" s="1" t="inlineStr">
        <is>
          <t>Оказание первой помощи пострадавшим</t>
        </is>
      </c>
      <c r="L3341" s="1" t="inlineStr">
        <is>
          <t>19.08.2026</t>
        </is>
      </c>
      <c r="M3341" s="1" t="inlineStr">
        <is>
          <t>Успешно</t>
        </is>
      </c>
      <c r="N3341" s="1" t="inlineStr">
        <is>
          <t>17.09.2026</t>
        </is>
      </c>
      <c r="O3341" s="1" t="inlineStr"/>
      <c r="P3341" s="1" t="inlineStr"/>
      <c r="Q3341" s="1" t="inlineStr">
        <is>
          <t>Пользовательский интерфейс</t>
        </is>
      </c>
    </row>
    <row r="3342">
      <c r="B3342" s="1" t="inlineStr">
        <is>
          <t>222717231</t>
        </is>
      </c>
      <c r="C3342" s="1" t="inlineStr">
        <is>
          <t>15953442</t>
        </is>
      </c>
      <c r="D3342" t="inlineStr">
        <is>
          <t>работник 406</t>
        </is>
      </c>
      <c r="E3342" s="1" t="inlineStr">
        <is>
          <t>ОБЩЕСТВО С ОГРАНИЧЕННОЙ ОТВЕТСТВЕННОСТЬЮ "АМУР ЗОЛОТО"</t>
        </is>
      </c>
      <c r="F3342" s="1" t="inlineStr">
        <is>
          <t>2708001686</t>
        </is>
      </c>
      <c r="G3342" s="1" t="inlineStr">
        <is>
          <t>Водитель автомобиля (категория С)</t>
        </is>
      </c>
      <c r="H3342" s="1" t="inlineStr">
        <is>
          <t>ООО "Амур Золото"</t>
        </is>
      </c>
      <c r="I3342" s="1" t="inlineStr">
        <is>
          <t>2708001686</t>
        </is>
      </c>
      <c r="J3342" s="1" t="inlineStr">
        <is>
          <t>ЮГОК АТЦ 26-25</t>
        </is>
      </c>
      <c r="K3342" s="1" t="inlineStr">
        <is>
          <t>Использование (применение) средств индивидуальной защиты</t>
        </is>
      </c>
      <c r="L3342" s="1" t="inlineStr">
        <is>
          <t>19.08.2026</t>
        </is>
      </c>
      <c r="M3342" s="1" t="inlineStr">
        <is>
          <t>Успешно</t>
        </is>
      </c>
      <c r="N3342" s="1" t="inlineStr">
        <is>
          <t>17.09.2026</t>
        </is>
      </c>
      <c r="O3342" s="1" t="inlineStr"/>
      <c r="P3342" s="1" t="inlineStr"/>
      <c r="Q3342" s="1" t="inlineStr">
        <is>
          <t>Пользовательский интерфейс</t>
        </is>
      </c>
    </row>
    <row r="3343">
      <c r="B3343" s="1" t="inlineStr">
        <is>
          <t>222717232</t>
        </is>
      </c>
      <c r="C3343" s="1" t="inlineStr">
        <is>
          <t>15953442</t>
        </is>
      </c>
      <c r="D3343" t="inlineStr">
        <is>
          <t>работник 406</t>
        </is>
      </c>
      <c r="E3343" s="1" t="inlineStr">
        <is>
          <t>ОБЩЕСТВО С ОГРАНИЧЕННОЙ ОТВЕТСТВЕННОСТЬЮ "АМУР ЗОЛОТО"</t>
        </is>
      </c>
      <c r="F3343" s="1" t="inlineStr">
        <is>
          <t>2708001686</t>
        </is>
      </c>
      <c r="G3343" s="1" t="inlineStr">
        <is>
          <t>Водитель автомобиля (категория С)</t>
        </is>
      </c>
      <c r="H3343" s="1" t="inlineStr">
        <is>
          <t>ООО "Амур Золото"</t>
        </is>
      </c>
      <c r="I3343" s="1" t="inlineStr">
        <is>
          <t>2708001686</t>
        </is>
      </c>
      <c r="J3343" s="1" t="inlineStr">
        <is>
          <t>ЮГОК АТЦ 26-25</t>
        </is>
      </c>
      <c r="K334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343" s="1" t="inlineStr">
        <is>
          <t>19.08.2026</t>
        </is>
      </c>
      <c r="M3343" s="1" t="inlineStr">
        <is>
          <t>Успешно</t>
        </is>
      </c>
      <c r="N3343" s="1" t="inlineStr">
        <is>
          <t>17.09.2026</t>
        </is>
      </c>
      <c r="O3343" s="1" t="inlineStr"/>
      <c r="P3343" s="1" t="inlineStr"/>
      <c r="Q3343" s="1" t="inlineStr">
        <is>
          <t>Пользовательский интерфейс</t>
        </is>
      </c>
    </row>
    <row r="3344">
      <c r="B3344" s="1" t="inlineStr">
        <is>
          <t>222717233</t>
        </is>
      </c>
      <c r="C3344" s="1" t="inlineStr">
        <is>
          <t>15953442</t>
        </is>
      </c>
      <c r="D3344" t="inlineStr">
        <is>
          <t>работник 905</t>
        </is>
      </c>
      <c r="E3344" s="1" t="inlineStr">
        <is>
          <t>ОБЩЕСТВО С ОГРАНИЧЕННОЙ ОТВЕТСТВЕННОСТЬЮ "АМУР ЗОЛОТО"</t>
        </is>
      </c>
      <c r="F3344" s="1" t="inlineStr">
        <is>
          <t>2708001686</t>
        </is>
      </c>
      <c r="G3344" s="1" t="inlineStr">
        <is>
          <t>Водитель автомобиля (категория С)</t>
        </is>
      </c>
      <c r="H3344" s="1" t="inlineStr">
        <is>
          <t>ООО "Амур Золото"</t>
        </is>
      </c>
      <c r="I3344" s="1" t="inlineStr">
        <is>
          <t>2708001686</t>
        </is>
      </c>
      <c r="J3344" s="1" t="inlineStr">
        <is>
          <t>ЮГОК АТЦ 26-25</t>
        </is>
      </c>
      <c r="K3344" s="1" t="inlineStr">
        <is>
          <t>Оказание первой помощи пострадавшим</t>
        </is>
      </c>
      <c r="L3344" s="1" t="inlineStr">
        <is>
          <t>19.08.2026</t>
        </is>
      </c>
      <c r="M3344" s="1" t="inlineStr">
        <is>
          <t>Успешно</t>
        </is>
      </c>
      <c r="N3344" s="1" t="inlineStr">
        <is>
          <t>17.09.2026</t>
        </is>
      </c>
      <c r="O3344" s="1" t="inlineStr"/>
      <c r="P3344" s="1" t="inlineStr"/>
      <c r="Q3344" s="1" t="inlineStr">
        <is>
          <t>Пользовательский интерфейс</t>
        </is>
      </c>
    </row>
    <row r="3345">
      <c r="B3345" s="1" t="inlineStr">
        <is>
          <t>222717234</t>
        </is>
      </c>
      <c r="C3345" s="1" t="inlineStr">
        <is>
          <t>15953442</t>
        </is>
      </c>
      <c r="D3345" t="inlineStr">
        <is>
          <t>работник 905</t>
        </is>
      </c>
      <c r="E3345" s="1" t="inlineStr">
        <is>
          <t>ОБЩЕСТВО С ОГРАНИЧЕННОЙ ОТВЕТСТВЕННОСТЬЮ "АМУР ЗОЛОТО"</t>
        </is>
      </c>
      <c r="F3345" s="1" t="inlineStr">
        <is>
          <t>2708001686</t>
        </is>
      </c>
      <c r="G3345" s="1" t="inlineStr">
        <is>
          <t>Водитель автомобиля (категория С)</t>
        </is>
      </c>
      <c r="H3345" s="1" t="inlineStr">
        <is>
          <t>ООО "Амур Золото"</t>
        </is>
      </c>
      <c r="I3345" s="1" t="inlineStr">
        <is>
          <t>2708001686</t>
        </is>
      </c>
      <c r="J3345" s="1" t="inlineStr">
        <is>
          <t>ЮГОК АТЦ 26-25</t>
        </is>
      </c>
      <c r="K3345" s="1" t="inlineStr">
        <is>
          <t>Использование (применение) средств индивидуальной защиты</t>
        </is>
      </c>
      <c r="L3345" s="1" t="inlineStr">
        <is>
          <t>19.08.2026</t>
        </is>
      </c>
      <c r="M3345" s="1" t="inlineStr">
        <is>
          <t>Успешно</t>
        </is>
      </c>
      <c r="N3345" s="1" t="inlineStr">
        <is>
          <t>17.09.2026</t>
        </is>
      </c>
      <c r="O3345" s="1" t="inlineStr"/>
      <c r="P3345" s="1" t="inlineStr"/>
      <c r="Q3345" s="1" t="inlineStr">
        <is>
          <t>Пользовательский интерфейс</t>
        </is>
      </c>
    </row>
    <row r="3346">
      <c r="B3346" s="1" t="inlineStr">
        <is>
          <t>222717235</t>
        </is>
      </c>
      <c r="C3346" s="1" t="inlineStr">
        <is>
          <t>15953442</t>
        </is>
      </c>
      <c r="D3346" t="inlineStr">
        <is>
          <t>работник 905</t>
        </is>
      </c>
      <c r="E3346" s="1" t="inlineStr">
        <is>
          <t>ОБЩЕСТВО С ОГРАНИЧЕННОЙ ОТВЕТСТВЕННОСТЬЮ "АМУР ЗОЛОТО"</t>
        </is>
      </c>
      <c r="F3346" s="1" t="inlineStr">
        <is>
          <t>2708001686</t>
        </is>
      </c>
      <c r="G3346" s="1" t="inlineStr">
        <is>
          <t>Водитель автомобиля (категория С)</t>
        </is>
      </c>
      <c r="H3346" s="1" t="inlineStr">
        <is>
          <t>ООО "Амур Золото"</t>
        </is>
      </c>
      <c r="I3346" s="1" t="inlineStr">
        <is>
          <t>2708001686</t>
        </is>
      </c>
      <c r="J3346" s="1" t="inlineStr">
        <is>
          <t>ЮГОК АТЦ 26-25</t>
        </is>
      </c>
      <c r="K334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346" s="1" t="inlineStr">
        <is>
          <t>19.08.2026</t>
        </is>
      </c>
      <c r="M3346" s="1" t="inlineStr">
        <is>
          <t>Успешно</t>
        </is>
      </c>
      <c r="N3346" s="1" t="inlineStr">
        <is>
          <t>17.09.2026</t>
        </is>
      </c>
      <c r="O3346" s="1" t="inlineStr"/>
      <c r="P3346" s="1" t="inlineStr"/>
      <c r="Q3346" s="1" t="inlineStr">
        <is>
          <t>Пользовательский интерфейс</t>
        </is>
      </c>
    </row>
    <row r="3347">
      <c r="B3347" s="1" t="inlineStr">
        <is>
          <t>222717236</t>
        </is>
      </c>
      <c r="C3347" s="1" t="inlineStr">
        <is>
          <t>15953442</t>
        </is>
      </c>
      <c r="D3347" t="inlineStr">
        <is>
          <t>работник 297</t>
        </is>
      </c>
      <c r="E3347" s="1" t="inlineStr">
        <is>
          <t>ОБЩЕСТВО С ОГРАНИЧЕННОЙ ОТВЕТСТВЕННОСТЬЮ "АМУР ЗОЛОТО"</t>
        </is>
      </c>
      <c r="F3347" s="1" t="inlineStr">
        <is>
          <t>2708001686</t>
        </is>
      </c>
      <c r="G3347" s="1" t="inlineStr">
        <is>
          <t>Машинист крана автомобильного</t>
        </is>
      </c>
      <c r="H3347" s="1" t="inlineStr">
        <is>
          <t>ООО "Амур Золото"</t>
        </is>
      </c>
      <c r="I3347" s="1" t="inlineStr">
        <is>
          <t>2708001686</t>
        </is>
      </c>
      <c r="J3347" s="1" t="inlineStr">
        <is>
          <t>ЮГОК АТЦ 26-26</t>
        </is>
      </c>
      <c r="K3347" s="1" t="inlineStr">
        <is>
          <t>Оказание первой помощи пострадавшим</t>
        </is>
      </c>
      <c r="L3347" s="1" t="inlineStr">
        <is>
          <t>19.08.2026</t>
        </is>
      </c>
      <c r="M3347" s="1" t="inlineStr">
        <is>
          <t>Успешно</t>
        </is>
      </c>
      <c r="N3347" s="1" t="inlineStr">
        <is>
          <t>17.09.2026</t>
        </is>
      </c>
      <c r="O3347" s="1" t="inlineStr"/>
      <c r="P3347" s="1" t="inlineStr"/>
      <c r="Q3347" s="1" t="inlineStr">
        <is>
          <t>Пользовательский интерфейс</t>
        </is>
      </c>
    </row>
    <row r="3348">
      <c r="B3348" s="1" t="inlineStr">
        <is>
          <t>222717237</t>
        </is>
      </c>
      <c r="C3348" s="1" t="inlineStr">
        <is>
          <t>15953442</t>
        </is>
      </c>
      <c r="D3348" t="inlineStr">
        <is>
          <t>работник 297</t>
        </is>
      </c>
      <c r="E3348" s="1" t="inlineStr">
        <is>
          <t>ОБЩЕСТВО С ОГРАНИЧЕННОЙ ОТВЕТСТВЕННОСТЬЮ "АМУР ЗОЛОТО"</t>
        </is>
      </c>
      <c r="F3348" s="1" t="inlineStr">
        <is>
          <t>2708001686</t>
        </is>
      </c>
      <c r="G3348" s="1" t="inlineStr">
        <is>
          <t>Машинист крана автомобильного</t>
        </is>
      </c>
      <c r="H3348" s="1" t="inlineStr">
        <is>
          <t>ООО "Амур Золото"</t>
        </is>
      </c>
      <c r="I3348" s="1" t="inlineStr">
        <is>
          <t>2708001686</t>
        </is>
      </c>
      <c r="J3348" s="1" t="inlineStr">
        <is>
          <t>ЮГОК АТЦ 26-26</t>
        </is>
      </c>
      <c r="K3348" s="1" t="inlineStr">
        <is>
          <t>Использование (применение) средств индивидуальной защиты</t>
        </is>
      </c>
      <c r="L3348" s="1" t="inlineStr">
        <is>
          <t>19.08.2026</t>
        </is>
      </c>
      <c r="M3348" s="1" t="inlineStr">
        <is>
          <t>Успешно</t>
        </is>
      </c>
      <c r="N3348" s="1" t="inlineStr">
        <is>
          <t>17.09.2026</t>
        </is>
      </c>
      <c r="O3348" s="1" t="inlineStr"/>
      <c r="P3348" s="1" t="inlineStr"/>
      <c r="Q3348" s="1" t="inlineStr">
        <is>
          <t>Пользовательский интерфейс</t>
        </is>
      </c>
    </row>
    <row r="3349">
      <c r="B3349" s="1" t="inlineStr">
        <is>
          <t>222717238</t>
        </is>
      </c>
      <c r="C3349" s="1" t="inlineStr">
        <is>
          <t>15953442</t>
        </is>
      </c>
      <c r="D3349" t="inlineStr">
        <is>
          <t>работник 297</t>
        </is>
      </c>
      <c r="E3349" s="1" t="inlineStr">
        <is>
          <t>ОБЩЕСТВО С ОГРАНИЧЕННОЙ ОТВЕТСТВЕННОСТЬЮ "АМУР ЗОЛОТО"</t>
        </is>
      </c>
      <c r="F3349" s="1" t="inlineStr">
        <is>
          <t>2708001686</t>
        </is>
      </c>
      <c r="G3349" s="1" t="inlineStr">
        <is>
          <t>Машинист крана автомобильного</t>
        </is>
      </c>
      <c r="H3349" s="1" t="inlineStr">
        <is>
          <t>ООО "Амур Золото"</t>
        </is>
      </c>
      <c r="I3349" s="1" t="inlineStr">
        <is>
          <t>2708001686</t>
        </is>
      </c>
      <c r="J3349" s="1" t="inlineStr">
        <is>
          <t>ЮГОК АТЦ 26-26</t>
        </is>
      </c>
      <c r="K334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349" s="1" t="inlineStr">
        <is>
          <t>19.08.2026</t>
        </is>
      </c>
      <c r="M3349" s="1" t="inlineStr">
        <is>
          <t>Успешно</t>
        </is>
      </c>
      <c r="N3349" s="1" t="inlineStr">
        <is>
          <t>17.09.2026</t>
        </is>
      </c>
      <c r="O3349" s="1" t="inlineStr"/>
      <c r="P3349" s="1" t="inlineStr"/>
      <c r="Q3349" s="1" t="inlineStr">
        <is>
          <t>Пользовательский интерфейс</t>
        </is>
      </c>
    </row>
    <row r="3350">
      <c r="B3350" s="1" t="inlineStr">
        <is>
          <t>222717239</t>
        </is>
      </c>
      <c r="C3350" s="1" t="inlineStr">
        <is>
          <t>15953442</t>
        </is>
      </c>
      <c r="D3350" t="inlineStr">
        <is>
          <t>работник 906</t>
        </is>
      </c>
      <c r="E3350" s="1" t="inlineStr">
        <is>
          <t>ОБЩЕСТВО С ОГРАНИЧЕННОЙ ОТВЕТСТВЕННОСТЬЮ "АМУР ЗОЛОТО"</t>
        </is>
      </c>
      <c r="F3350" s="1" t="inlineStr">
        <is>
          <t>2708001686</t>
        </is>
      </c>
      <c r="G3350" s="1" t="inlineStr">
        <is>
          <t>Слесарь-электрик по ремонту электрооборудования</t>
        </is>
      </c>
      <c r="H3350" s="1" t="inlineStr">
        <is>
          <t>ООО "Амур Золото"</t>
        </is>
      </c>
      <c r="I3350" s="1" t="inlineStr">
        <is>
          <t>2708001686</t>
        </is>
      </c>
      <c r="J3350" s="1" t="inlineStr">
        <is>
          <t>ЮГОК АТЦ 26-27</t>
        </is>
      </c>
      <c r="K3350" s="1" t="inlineStr">
        <is>
          <t>Оказание первой помощи пострадавшим</t>
        </is>
      </c>
      <c r="L3350" s="1" t="inlineStr">
        <is>
          <t>20.08.2026</t>
        </is>
      </c>
      <c r="M3350" s="1" t="inlineStr">
        <is>
          <t>Успешно</t>
        </is>
      </c>
      <c r="N3350" s="1" t="inlineStr">
        <is>
          <t>17.09.2026</t>
        </is>
      </c>
      <c r="O3350" s="1" t="inlineStr"/>
      <c r="P3350" s="1" t="inlineStr"/>
      <c r="Q3350" s="1" t="inlineStr">
        <is>
          <t>Пользовательский интерфейс</t>
        </is>
      </c>
    </row>
    <row r="3351">
      <c r="B3351" s="1" t="inlineStr">
        <is>
          <t>222717240</t>
        </is>
      </c>
      <c r="C3351" s="1" t="inlineStr">
        <is>
          <t>15953442</t>
        </is>
      </c>
      <c r="D3351" t="inlineStr">
        <is>
          <t>работник 906</t>
        </is>
      </c>
      <c r="E3351" s="1" t="inlineStr">
        <is>
          <t>ОБЩЕСТВО С ОГРАНИЧЕННОЙ ОТВЕТСТВЕННОСТЬЮ "АМУР ЗОЛОТО"</t>
        </is>
      </c>
      <c r="F3351" s="1" t="inlineStr">
        <is>
          <t>2708001686</t>
        </is>
      </c>
      <c r="G3351" s="1" t="inlineStr">
        <is>
          <t>Слесарь-электрик по ремонту электрооборудования</t>
        </is>
      </c>
      <c r="H3351" s="1" t="inlineStr">
        <is>
          <t>ООО "Амур Золото"</t>
        </is>
      </c>
      <c r="I3351" s="1" t="inlineStr">
        <is>
          <t>2708001686</t>
        </is>
      </c>
      <c r="J3351" s="1" t="inlineStr">
        <is>
          <t>ЮГОК АТЦ 26-27</t>
        </is>
      </c>
      <c r="K3351" s="1" t="inlineStr">
        <is>
          <t>Использование (применение) средств индивидуальной защиты</t>
        </is>
      </c>
      <c r="L3351" s="1" t="inlineStr">
        <is>
          <t>20.08.2026</t>
        </is>
      </c>
      <c r="M3351" s="1" t="inlineStr">
        <is>
          <t>Успешно</t>
        </is>
      </c>
      <c r="N3351" s="1" t="inlineStr">
        <is>
          <t>17.09.2026</t>
        </is>
      </c>
      <c r="O3351" s="1" t="inlineStr"/>
      <c r="P3351" s="1" t="inlineStr"/>
      <c r="Q3351" s="1" t="inlineStr">
        <is>
          <t>Пользовательский интерфейс</t>
        </is>
      </c>
    </row>
    <row r="3352">
      <c r="B3352" s="1" t="inlineStr">
        <is>
          <t>222717241</t>
        </is>
      </c>
      <c r="C3352" s="1" t="inlineStr">
        <is>
          <t>15953442</t>
        </is>
      </c>
      <c r="D3352" t="inlineStr">
        <is>
          <t>работник 906</t>
        </is>
      </c>
      <c r="E3352" s="1" t="inlineStr">
        <is>
          <t>ОБЩЕСТВО С ОГРАНИЧЕННОЙ ОТВЕТСТВЕННОСТЬЮ "АМУР ЗОЛОТО"</t>
        </is>
      </c>
      <c r="F3352" s="1" t="inlineStr">
        <is>
          <t>2708001686</t>
        </is>
      </c>
      <c r="G3352" s="1" t="inlineStr">
        <is>
          <t>Слесарь-электрик по ремонту электрооборудования</t>
        </is>
      </c>
      <c r="H3352" s="1" t="inlineStr">
        <is>
          <t>ООО "Амур Золото"</t>
        </is>
      </c>
      <c r="I3352" s="1" t="inlineStr">
        <is>
          <t>2708001686</t>
        </is>
      </c>
      <c r="J3352" s="1" t="inlineStr">
        <is>
          <t>ЮГОК АТЦ 26-27</t>
        </is>
      </c>
      <c r="K335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352" s="1" t="inlineStr">
        <is>
          <t>20.08.2026</t>
        </is>
      </c>
      <c r="M3352" s="1" t="inlineStr">
        <is>
          <t>Успешно</t>
        </is>
      </c>
      <c r="N3352" s="1" t="inlineStr">
        <is>
          <t>17.09.2026</t>
        </is>
      </c>
      <c r="O3352" s="1" t="inlineStr"/>
      <c r="P3352" s="1" t="inlineStr"/>
      <c r="Q3352" s="1" t="inlineStr">
        <is>
          <t>Пользовательский интерфейс</t>
        </is>
      </c>
    </row>
    <row r="3353">
      <c r="B3353" s="1" t="inlineStr">
        <is>
          <t>222717242</t>
        </is>
      </c>
      <c r="C3353" s="1" t="inlineStr">
        <is>
          <t>15953442</t>
        </is>
      </c>
      <c r="D3353" t="inlineStr">
        <is>
          <t>работник 907</t>
        </is>
      </c>
      <c r="E3353" s="1" t="inlineStr">
        <is>
          <t>ОБЩЕСТВО С ОГРАНИЧЕННОЙ ОТВЕТСТВЕННОСТЬЮ "АМУР ЗОЛОТО"</t>
        </is>
      </c>
      <c r="F3353" s="1" t="inlineStr">
        <is>
          <t>2708001686</t>
        </is>
      </c>
      <c r="G3353" s="1" t="inlineStr">
        <is>
          <t>Слесарь по ремонту автомобилей (ДВС)</t>
        </is>
      </c>
      <c r="H3353" s="1" t="inlineStr">
        <is>
          <t>ООО "Амур Золото"</t>
        </is>
      </c>
      <c r="I3353" s="1" t="inlineStr">
        <is>
          <t>2708001686</t>
        </is>
      </c>
      <c r="J3353" s="1" t="inlineStr">
        <is>
          <t>ЮГОК АТЦ 26-28</t>
        </is>
      </c>
      <c r="K3353" s="1" t="inlineStr">
        <is>
          <t>Оказание первой помощи пострадавшим</t>
        </is>
      </c>
      <c r="L3353" s="1" t="inlineStr">
        <is>
          <t>20.08.2026</t>
        </is>
      </c>
      <c r="M3353" s="1" t="inlineStr">
        <is>
          <t>Успешно</t>
        </is>
      </c>
      <c r="N3353" s="1" t="inlineStr">
        <is>
          <t>17.09.2026</t>
        </is>
      </c>
      <c r="O3353" s="1" t="inlineStr"/>
      <c r="P3353" s="1" t="inlineStr"/>
      <c r="Q3353" s="1" t="inlineStr">
        <is>
          <t>Пользовательский интерфейс</t>
        </is>
      </c>
    </row>
    <row r="3354">
      <c r="B3354" s="1" t="inlineStr">
        <is>
          <t>222717243</t>
        </is>
      </c>
      <c r="C3354" s="1" t="inlineStr">
        <is>
          <t>15953442</t>
        </is>
      </c>
      <c r="D3354" t="inlineStr">
        <is>
          <t>работник 907</t>
        </is>
      </c>
      <c r="E3354" s="1" t="inlineStr">
        <is>
          <t>ОБЩЕСТВО С ОГРАНИЧЕННОЙ ОТВЕТСТВЕННОСТЬЮ "АМУР ЗОЛОТО"</t>
        </is>
      </c>
      <c r="F3354" s="1" t="inlineStr">
        <is>
          <t>2708001686</t>
        </is>
      </c>
      <c r="G3354" s="1" t="inlineStr">
        <is>
          <t>Слесарь по ремонту автомобилей (ДВС)</t>
        </is>
      </c>
      <c r="H3354" s="1" t="inlineStr">
        <is>
          <t>ООО "Амур Золото"</t>
        </is>
      </c>
      <c r="I3354" s="1" t="inlineStr">
        <is>
          <t>2708001686</t>
        </is>
      </c>
      <c r="J3354" s="1" t="inlineStr">
        <is>
          <t>ЮГОК АТЦ 26-28</t>
        </is>
      </c>
      <c r="K3354" s="1" t="inlineStr">
        <is>
          <t>Использование (применение) средств индивидуальной защиты</t>
        </is>
      </c>
      <c r="L3354" s="1" t="inlineStr">
        <is>
          <t>20.08.2026</t>
        </is>
      </c>
      <c r="M3354" s="1" t="inlineStr">
        <is>
          <t>Успешно</t>
        </is>
      </c>
      <c r="N3354" s="1" t="inlineStr">
        <is>
          <t>17.09.2026</t>
        </is>
      </c>
      <c r="O3354" s="1" t="inlineStr"/>
      <c r="P3354" s="1" t="inlineStr"/>
      <c r="Q3354" s="1" t="inlineStr">
        <is>
          <t>Пользовательский интерфейс</t>
        </is>
      </c>
    </row>
    <row r="3355">
      <c r="B3355" s="1" t="inlineStr">
        <is>
          <t>222717244</t>
        </is>
      </c>
      <c r="C3355" s="1" t="inlineStr">
        <is>
          <t>15953442</t>
        </is>
      </c>
      <c r="D3355" t="inlineStr">
        <is>
          <t>работник 907</t>
        </is>
      </c>
      <c r="E3355" s="1" t="inlineStr">
        <is>
          <t>ОБЩЕСТВО С ОГРАНИЧЕННОЙ ОТВЕТСТВЕННОСТЬЮ "АМУР ЗОЛОТО"</t>
        </is>
      </c>
      <c r="F3355" s="1" t="inlineStr">
        <is>
          <t>2708001686</t>
        </is>
      </c>
      <c r="G3355" s="1" t="inlineStr">
        <is>
          <t>Слесарь по ремонту автомобилей (ДВС)</t>
        </is>
      </c>
      <c r="H3355" s="1" t="inlineStr">
        <is>
          <t>ООО "Амур Золото"</t>
        </is>
      </c>
      <c r="I3355" s="1" t="inlineStr">
        <is>
          <t>2708001686</t>
        </is>
      </c>
      <c r="J3355" s="1" t="inlineStr">
        <is>
          <t>ЮГОК АТЦ 26-28</t>
        </is>
      </c>
      <c r="K335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355" s="1" t="inlineStr">
        <is>
          <t>20.08.2026</t>
        </is>
      </c>
      <c r="M3355" s="1" t="inlineStr">
        <is>
          <t>Успешно</t>
        </is>
      </c>
      <c r="N3355" s="1" t="inlineStr">
        <is>
          <t>17.09.2026</t>
        </is>
      </c>
      <c r="O3355" s="1" t="inlineStr"/>
      <c r="P3355" s="1" t="inlineStr"/>
      <c r="Q3355" s="1" t="inlineStr">
        <is>
          <t>Пользовательский интерфейс</t>
        </is>
      </c>
    </row>
    <row r="3356">
      <c r="B3356" s="1" t="inlineStr">
        <is>
          <t>222717245</t>
        </is>
      </c>
      <c r="C3356" s="1" t="inlineStr">
        <is>
          <t>15953442</t>
        </is>
      </c>
      <c r="D3356" t="inlineStr">
        <is>
          <t>работник 908</t>
        </is>
      </c>
      <c r="E3356" s="1" t="inlineStr">
        <is>
          <t>ОБЩЕСТВО С ОГРАНИЧЕННОЙ ОТВЕТСТВЕННОСТЬЮ "АМУР ЗОЛОТО"</t>
        </is>
      </c>
      <c r="F3356" s="1" t="inlineStr">
        <is>
          <t>2708001686</t>
        </is>
      </c>
      <c r="G3356" s="1" t="inlineStr">
        <is>
          <t>Повар</t>
        </is>
      </c>
      <c r="H3356" s="1" t="inlineStr">
        <is>
          <t>ООО "Амур Золото"</t>
        </is>
      </c>
      <c r="I3356" s="1" t="inlineStr">
        <is>
          <t>2708001686</t>
        </is>
      </c>
      <c r="J3356" s="1" t="inlineStr">
        <is>
          <t>ЮГОК АХЧ 26-53</t>
        </is>
      </c>
      <c r="K3356" s="1" t="inlineStr">
        <is>
          <t>Оказание первой помощи пострадавшим</t>
        </is>
      </c>
      <c r="L3356" s="1" t="inlineStr">
        <is>
          <t>19.08.2026</t>
        </is>
      </c>
      <c r="M3356" s="1" t="inlineStr">
        <is>
          <t>Успешно</t>
        </is>
      </c>
      <c r="N3356" s="1" t="inlineStr">
        <is>
          <t>17.09.2026</t>
        </is>
      </c>
      <c r="O3356" s="1" t="inlineStr"/>
      <c r="P3356" s="1" t="inlineStr"/>
      <c r="Q3356" s="1" t="inlineStr">
        <is>
          <t>Пользовательский интерфейс</t>
        </is>
      </c>
    </row>
    <row r="3357">
      <c r="B3357" s="1" t="inlineStr">
        <is>
          <t>222717246</t>
        </is>
      </c>
      <c r="C3357" s="1" t="inlineStr">
        <is>
          <t>15953442</t>
        </is>
      </c>
      <c r="D3357" t="inlineStr">
        <is>
          <t>работник 908</t>
        </is>
      </c>
      <c r="E3357" s="1" t="inlineStr">
        <is>
          <t>ОБЩЕСТВО С ОГРАНИЧЕННОЙ ОТВЕТСТВЕННОСТЬЮ "АМУР ЗОЛОТО"</t>
        </is>
      </c>
      <c r="F3357" s="1" t="inlineStr">
        <is>
          <t>2708001686</t>
        </is>
      </c>
      <c r="G3357" s="1" t="inlineStr">
        <is>
          <t>Повар</t>
        </is>
      </c>
      <c r="H3357" s="1" t="inlineStr">
        <is>
          <t>ООО "Амур Золото"</t>
        </is>
      </c>
      <c r="I3357" s="1" t="inlineStr">
        <is>
          <t>2708001686</t>
        </is>
      </c>
      <c r="J3357" s="1" t="inlineStr">
        <is>
          <t>ЮГОК АХЧ 26-53</t>
        </is>
      </c>
      <c r="K3357" s="1" t="inlineStr">
        <is>
          <t>Использование (применение) средств индивидуальной защиты</t>
        </is>
      </c>
      <c r="L3357" s="1" t="inlineStr">
        <is>
          <t>19.08.2026</t>
        </is>
      </c>
      <c r="M3357" s="1" t="inlineStr">
        <is>
          <t>Успешно</t>
        </is>
      </c>
      <c r="N3357" s="1" t="inlineStr">
        <is>
          <t>17.09.2026</t>
        </is>
      </c>
      <c r="O3357" s="1" t="inlineStr"/>
      <c r="P3357" s="1" t="inlineStr"/>
      <c r="Q3357" s="1" t="inlineStr">
        <is>
          <t>Пользовательский интерфейс</t>
        </is>
      </c>
    </row>
    <row r="3358">
      <c r="B3358" s="1" t="inlineStr">
        <is>
          <t>222717247</t>
        </is>
      </c>
      <c r="C3358" s="1" t="inlineStr">
        <is>
          <t>15953442</t>
        </is>
      </c>
      <c r="D3358" t="inlineStr">
        <is>
          <t>работник 908</t>
        </is>
      </c>
      <c r="E3358" s="1" t="inlineStr">
        <is>
          <t>ОБЩЕСТВО С ОГРАНИЧЕННОЙ ОТВЕТСТВЕННОСТЬЮ "АМУР ЗОЛОТО"</t>
        </is>
      </c>
      <c r="F3358" s="1" t="inlineStr">
        <is>
          <t>2708001686</t>
        </is>
      </c>
      <c r="G3358" s="1" t="inlineStr">
        <is>
          <t>Повар</t>
        </is>
      </c>
      <c r="H3358" s="1" t="inlineStr">
        <is>
          <t>ООО "Амур Золото"</t>
        </is>
      </c>
      <c r="I3358" s="1" t="inlineStr">
        <is>
          <t>2708001686</t>
        </is>
      </c>
      <c r="J3358" s="1" t="inlineStr">
        <is>
          <t>ЮГОК АХЧ 26-53</t>
        </is>
      </c>
      <c r="K335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358" s="1" t="inlineStr">
        <is>
          <t>19.08.2026</t>
        </is>
      </c>
      <c r="M3358" s="1" t="inlineStr">
        <is>
          <t>Успешно</t>
        </is>
      </c>
      <c r="N3358" s="1" t="inlineStr">
        <is>
          <t>17.09.2026</t>
        </is>
      </c>
      <c r="O3358" s="1" t="inlineStr"/>
      <c r="P3358" s="1" t="inlineStr"/>
      <c r="Q3358" s="1" t="inlineStr">
        <is>
          <t>Пользовательский интерфейс</t>
        </is>
      </c>
    </row>
    <row r="3359">
      <c r="B3359" s="1" t="inlineStr">
        <is>
          <t>222717248</t>
        </is>
      </c>
      <c r="C3359" s="1" t="inlineStr">
        <is>
          <t>15953442</t>
        </is>
      </c>
      <c r="D3359" t="inlineStr">
        <is>
          <t>работник 806</t>
        </is>
      </c>
      <c r="E3359" s="1" t="inlineStr">
        <is>
          <t>ОБЩЕСТВО С ОГРАНИЧЕННОЙ ОТВЕТСТВЕННОСТЬЮ "АМУР ЗОЛОТО"</t>
        </is>
      </c>
      <c r="F3359" s="1" t="inlineStr">
        <is>
          <t>2708001686</t>
        </is>
      </c>
      <c r="G3359" s="1" t="inlineStr">
        <is>
          <t>Повар</t>
        </is>
      </c>
      <c r="H3359" s="1" t="inlineStr">
        <is>
          <t>ООО "Амур Золото"</t>
        </is>
      </c>
      <c r="I3359" s="1" t="inlineStr">
        <is>
          <t>2708001686</t>
        </is>
      </c>
      <c r="J3359" s="1" t="inlineStr">
        <is>
          <t>ЮГОК АХЧ 26-54</t>
        </is>
      </c>
      <c r="K3359" s="1" t="inlineStr">
        <is>
          <t>Использование (применение) средств индивидуальной защиты</t>
        </is>
      </c>
      <c r="L3359" s="1" t="inlineStr">
        <is>
          <t>20.08.2026</t>
        </is>
      </c>
      <c r="M3359" s="1" t="inlineStr">
        <is>
          <t>Успешно</t>
        </is>
      </c>
      <c r="N3359" s="1" t="inlineStr">
        <is>
          <t>17.09.2026</t>
        </is>
      </c>
      <c r="O3359" s="1" t="inlineStr"/>
      <c r="P3359" s="1" t="inlineStr"/>
      <c r="Q3359" s="1" t="inlineStr">
        <is>
          <t>Пользовательский интерфейс</t>
        </is>
      </c>
    </row>
    <row r="3360">
      <c r="B3360" s="1" t="inlineStr">
        <is>
          <t>222717249</t>
        </is>
      </c>
      <c r="C3360" s="1" t="inlineStr">
        <is>
          <t>15953442</t>
        </is>
      </c>
      <c r="D3360" t="inlineStr">
        <is>
          <t>работник 806</t>
        </is>
      </c>
      <c r="E3360" s="1" t="inlineStr">
        <is>
          <t>ОБЩЕСТВО С ОГРАНИЧЕННОЙ ОТВЕТСТВЕННОСТЬЮ "АМУР ЗОЛОТО"</t>
        </is>
      </c>
      <c r="F3360" s="1" t="inlineStr">
        <is>
          <t>2708001686</t>
        </is>
      </c>
      <c r="G3360" s="1" t="inlineStr">
        <is>
          <t>Повар</t>
        </is>
      </c>
      <c r="H3360" s="1" t="inlineStr">
        <is>
          <t>ООО "Амур Золото"</t>
        </is>
      </c>
      <c r="I3360" s="1" t="inlineStr">
        <is>
          <t>2708001686</t>
        </is>
      </c>
      <c r="J3360" s="1" t="inlineStr">
        <is>
          <t>ЮГОК АХЧ 26-54</t>
        </is>
      </c>
      <c r="K336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360" s="1" t="inlineStr">
        <is>
          <t>20.08.2026</t>
        </is>
      </c>
      <c r="M3360" s="1" t="inlineStr">
        <is>
          <t>Успешно</t>
        </is>
      </c>
      <c r="N3360" s="1" t="inlineStr">
        <is>
          <t>17.09.2026</t>
        </is>
      </c>
      <c r="O3360" s="1" t="inlineStr"/>
      <c r="P3360" s="1" t="inlineStr"/>
      <c r="Q3360" s="1" t="inlineStr">
        <is>
          <t>Пользовательский интерфейс</t>
        </is>
      </c>
    </row>
    <row r="3361">
      <c r="B3361" s="1" t="inlineStr">
        <is>
          <t>222717250</t>
        </is>
      </c>
      <c r="C3361" s="1" t="inlineStr">
        <is>
          <t>15953442</t>
        </is>
      </c>
      <c r="D3361" t="inlineStr">
        <is>
          <t>работник 909</t>
        </is>
      </c>
      <c r="E3361" s="1" t="inlineStr">
        <is>
          <t>ОБЩЕСТВО С ОГРАНИЧЕННОЙ ОТВЕТСТВЕННОСТЬЮ "АМУР ЗОЛОТО"</t>
        </is>
      </c>
      <c r="F3361" s="1" t="inlineStr">
        <is>
          <t>2708001686</t>
        </is>
      </c>
      <c r="G3361" s="1" t="inlineStr">
        <is>
          <t>Кухонный рабочий</t>
        </is>
      </c>
      <c r="H3361" s="1" t="inlineStr">
        <is>
          <t>ООО "Амур Золото"</t>
        </is>
      </c>
      <c r="I3361" s="1" t="inlineStr">
        <is>
          <t>2708001686</t>
        </is>
      </c>
      <c r="J3361" s="1" t="inlineStr">
        <is>
          <t>ЮГОК АХЧ 26-56</t>
        </is>
      </c>
      <c r="K3361" s="1" t="inlineStr">
        <is>
          <t>Оказание первой помощи пострадавшим</t>
        </is>
      </c>
      <c r="L3361" s="1" t="inlineStr">
        <is>
          <t>23.08.2026</t>
        </is>
      </c>
      <c r="M3361" s="1" t="inlineStr">
        <is>
          <t>Успешно</t>
        </is>
      </c>
      <c r="N3361" s="1" t="inlineStr">
        <is>
          <t>17.09.2026</t>
        </is>
      </c>
      <c r="O3361" s="1" t="inlineStr"/>
      <c r="P3361" s="1" t="inlineStr"/>
      <c r="Q3361" s="1" t="inlineStr">
        <is>
          <t>Пользовательский интерфейс</t>
        </is>
      </c>
    </row>
    <row r="3362">
      <c r="B3362" s="1" t="inlineStr">
        <is>
          <t>222717251</t>
        </is>
      </c>
      <c r="C3362" s="1" t="inlineStr">
        <is>
          <t>15953442</t>
        </is>
      </c>
      <c r="D3362" t="inlineStr">
        <is>
          <t>работник 909</t>
        </is>
      </c>
      <c r="E3362" s="1" t="inlineStr">
        <is>
          <t>ОБЩЕСТВО С ОГРАНИЧЕННОЙ ОТВЕТСТВЕННОСТЬЮ "АМУР ЗОЛОТО"</t>
        </is>
      </c>
      <c r="F3362" s="1" t="inlineStr">
        <is>
          <t>2708001686</t>
        </is>
      </c>
      <c r="G3362" s="1" t="inlineStr">
        <is>
          <t>Кухонный рабочий</t>
        </is>
      </c>
      <c r="H3362" s="1" t="inlineStr">
        <is>
          <t>ООО "Амур Золото"</t>
        </is>
      </c>
      <c r="I3362" s="1" t="inlineStr">
        <is>
          <t>2708001686</t>
        </is>
      </c>
      <c r="J3362" s="1" t="inlineStr">
        <is>
          <t>ЮГОК АХЧ 26-56</t>
        </is>
      </c>
      <c r="K3362" s="1" t="inlineStr">
        <is>
          <t>Использование (применение) средств индивидуальной защиты</t>
        </is>
      </c>
      <c r="L3362" s="1" t="inlineStr">
        <is>
          <t>23.08.2026</t>
        </is>
      </c>
      <c r="M3362" s="1" t="inlineStr">
        <is>
          <t>Успешно</t>
        </is>
      </c>
      <c r="N3362" s="1" t="inlineStr">
        <is>
          <t>17.09.2026</t>
        </is>
      </c>
      <c r="O3362" s="1" t="inlineStr"/>
      <c r="P3362" s="1" t="inlineStr"/>
      <c r="Q3362" s="1" t="inlineStr">
        <is>
          <t>Пользовательский интерфейс</t>
        </is>
      </c>
    </row>
    <row r="3363">
      <c r="B3363" s="1" t="inlineStr">
        <is>
          <t>222717252</t>
        </is>
      </c>
      <c r="C3363" s="1" t="inlineStr">
        <is>
          <t>15953442</t>
        </is>
      </c>
      <c r="D3363" t="inlineStr">
        <is>
          <t>работник 909</t>
        </is>
      </c>
      <c r="E3363" s="1" t="inlineStr">
        <is>
          <t>ОБЩЕСТВО С ОГРАНИЧЕННОЙ ОТВЕТСТВЕННОСТЬЮ "АМУР ЗОЛОТО"</t>
        </is>
      </c>
      <c r="F3363" s="1" t="inlineStr">
        <is>
          <t>2708001686</t>
        </is>
      </c>
      <c r="G3363" s="1" t="inlineStr">
        <is>
          <t>Кухонный рабочий</t>
        </is>
      </c>
      <c r="H3363" s="1" t="inlineStr">
        <is>
          <t>ООО "Амур Золото"</t>
        </is>
      </c>
      <c r="I3363" s="1" t="inlineStr">
        <is>
          <t>2708001686</t>
        </is>
      </c>
      <c r="J3363" s="1" t="inlineStr">
        <is>
          <t>ЮГОК АХЧ 26-56</t>
        </is>
      </c>
      <c r="K336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363" s="1" t="inlineStr">
        <is>
          <t>23.08.2026</t>
        </is>
      </c>
      <c r="M3363" s="1" t="inlineStr">
        <is>
          <t>Успешно</t>
        </is>
      </c>
      <c r="N3363" s="1" t="inlineStr">
        <is>
          <t>17.09.2026</t>
        </is>
      </c>
      <c r="O3363" s="1" t="inlineStr"/>
      <c r="P3363" s="1" t="inlineStr"/>
      <c r="Q3363" s="1" t="inlineStr">
        <is>
          <t>Пользовательский интерфейс</t>
        </is>
      </c>
    </row>
    <row r="3364">
      <c r="B3364" s="1" t="inlineStr">
        <is>
          <t>222717253</t>
        </is>
      </c>
      <c r="C3364" s="1" t="inlineStr">
        <is>
          <t>15953442</t>
        </is>
      </c>
      <c r="D3364" t="inlineStr">
        <is>
          <t>работник 910</t>
        </is>
      </c>
      <c r="E3364" s="1" t="inlineStr">
        <is>
          <t>ОБЩЕСТВО С ОГРАНИЧЕННОЙ ОТВЕТСТВЕННОСТЬЮ "АМУР ЗОЛОТО"</t>
        </is>
      </c>
      <c r="F3364" s="1" t="inlineStr">
        <is>
          <t>2708001686</t>
        </is>
      </c>
      <c r="G3364" s="1" t="inlineStr">
        <is>
          <t>Инженер по планированию</t>
        </is>
      </c>
      <c r="H3364" s="1" t="inlineStr">
        <is>
          <t>ООО "Амур Золото"</t>
        </is>
      </c>
      <c r="I3364" s="1" t="inlineStr">
        <is>
          <t>2708001686</t>
        </is>
      </c>
      <c r="J3364" s="1" t="inlineStr">
        <is>
          <t>ЮГОК ЗИОФ 26-15</t>
        </is>
      </c>
      <c r="K3364" s="1" t="inlineStr">
        <is>
          <t>Оказание первой помощи пострадавшим</t>
        </is>
      </c>
      <c r="L3364" s="1" t="inlineStr">
        <is>
          <t>01.07.2026</t>
        </is>
      </c>
      <c r="M3364" s="1" t="inlineStr">
        <is>
          <t>Успешно</t>
        </is>
      </c>
      <c r="N3364" s="1" t="inlineStr">
        <is>
          <t>17.09.2026</t>
        </is>
      </c>
      <c r="O3364" s="1" t="inlineStr"/>
      <c r="P3364" s="1" t="inlineStr"/>
      <c r="Q3364" s="1" t="inlineStr">
        <is>
          <t>Пользовательский интерфейс</t>
        </is>
      </c>
    </row>
    <row r="3365">
      <c r="B3365" s="1" t="inlineStr">
        <is>
          <t>222717254</t>
        </is>
      </c>
      <c r="C3365" s="1" t="inlineStr">
        <is>
          <t>15953442</t>
        </is>
      </c>
      <c r="D3365" t="inlineStr">
        <is>
          <t>работник 910</t>
        </is>
      </c>
      <c r="E3365" s="1" t="inlineStr">
        <is>
          <t>ОБЩЕСТВО С ОГРАНИЧЕННОЙ ОТВЕТСТВЕННОСТЬЮ "АМУР ЗОЛОТО"</t>
        </is>
      </c>
      <c r="F3365" s="1" t="inlineStr">
        <is>
          <t>2708001686</t>
        </is>
      </c>
      <c r="G3365" s="1" t="inlineStr">
        <is>
          <t>Инженер по планированию</t>
        </is>
      </c>
      <c r="H3365" s="1" t="inlineStr">
        <is>
          <t>ООО "Амур Золото"</t>
        </is>
      </c>
      <c r="I3365" s="1" t="inlineStr">
        <is>
          <t>2708001686</t>
        </is>
      </c>
      <c r="J3365" s="1" t="inlineStr">
        <is>
          <t>ЮГОК ЗИОФ 26-15</t>
        </is>
      </c>
      <c r="K3365" s="1" t="inlineStr">
        <is>
          <t>Использование (применение) средств индивидуальной защиты</t>
        </is>
      </c>
      <c r="L3365" s="1" t="inlineStr">
        <is>
          <t>01.07.2026</t>
        </is>
      </c>
      <c r="M3365" s="1" t="inlineStr">
        <is>
          <t>Успешно</t>
        </is>
      </c>
      <c r="N3365" s="1" t="inlineStr">
        <is>
          <t>17.09.2026</t>
        </is>
      </c>
      <c r="O3365" s="1" t="inlineStr"/>
      <c r="P3365" s="1" t="inlineStr"/>
      <c r="Q3365" s="1" t="inlineStr">
        <is>
          <t>Пользовательский интерфейс</t>
        </is>
      </c>
    </row>
    <row r="3366">
      <c r="B3366" s="1" t="inlineStr">
        <is>
          <t>222717255</t>
        </is>
      </c>
      <c r="C3366" s="1" t="inlineStr">
        <is>
          <t>15953442</t>
        </is>
      </c>
      <c r="D3366" t="inlineStr">
        <is>
          <t>работник 910</t>
        </is>
      </c>
      <c r="E3366" s="1" t="inlineStr">
        <is>
          <t>ОБЩЕСТВО С ОГРАНИЧЕННОЙ ОТВЕТСТВЕННОСТЬЮ "АМУР ЗОЛОТО"</t>
        </is>
      </c>
      <c r="F3366" s="1" t="inlineStr">
        <is>
          <t>2708001686</t>
        </is>
      </c>
      <c r="G3366" s="1" t="inlineStr">
        <is>
          <t>Инженер по планированию</t>
        </is>
      </c>
      <c r="H3366" s="1" t="inlineStr">
        <is>
          <t>ООО "Амур Золото"</t>
        </is>
      </c>
      <c r="I3366" s="1" t="inlineStr">
        <is>
          <t>2708001686</t>
        </is>
      </c>
      <c r="J3366" s="1" t="inlineStr">
        <is>
          <t>ЮГОК ЗИОФ 26-15</t>
        </is>
      </c>
      <c r="K336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366" s="1" t="inlineStr">
        <is>
          <t>01.07.2026</t>
        </is>
      </c>
      <c r="M3366" s="1" t="inlineStr">
        <is>
          <t>Успешно</t>
        </is>
      </c>
      <c r="N3366" s="1" t="inlineStr">
        <is>
          <t>17.09.2026</t>
        </is>
      </c>
      <c r="O3366" s="1" t="inlineStr"/>
      <c r="P3366" s="1" t="inlineStr"/>
      <c r="Q3366" s="1" t="inlineStr">
        <is>
          <t>Пользовательский интерфейс</t>
        </is>
      </c>
    </row>
    <row r="3367">
      <c r="B3367" s="1" t="inlineStr">
        <is>
          <t>222717256</t>
        </is>
      </c>
      <c r="C3367" s="1" t="inlineStr">
        <is>
          <t>15953442</t>
        </is>
      </c>
      <c r="D3367" t="inlineStr">
        <is>
          <t>работник 827</t>
        </is>
      </c>
      <c r="E3367" s="1" t="inlineStr">
        <is>
          <t>ОБЩЕСТВО С ОГРАНИЧЕННОЙ ОТВЕТСТВЕННОСТЬЮ "АМУР ЗОЛОТО"</t>
        </is>
      </c>
      <c r="F3367" s="1" t="inlineStr">
        <is>
          <t>2708001686</t>
        </is>
      </c>
      <c r="G3367" s="1" t="inlineStr">
        <is>
          <t>Фильтровальщик</t>
        </is>
      </c>
      <c r="H3367" s="1" t="inlineStr">
        <is>
          <t>ООО "Амур Золото"</t>
        </is>
      </c>
      <c r="I3367" s="1" t="inlineStr">
        <is>
          <t>2708001686</t>
        </is>
      </c>
      <c r="J3367" s="1" t="inlineStr">
        <is>
          <t>ЮГОК ЗИОФ 26-15</t>
        </is>
      </c>
      <c r="K3367" s="1" t="inlineStr">
        <is>
          <t>Оказание первой помощи пострадавшим</t>
        </is>
      </c>
      <c r="L3367" s="1" t="inlineStr">
        <is>
          <t>01.07.2026</t>
        </is>
      </c>
      <c r="M3367" s="1" t="inlineStr">
        <is>
          <t>Успешно</t>
        </is>
      </c>
      <c r="N3367" s="1" t="inlineStr">
        <is>
          <t>17.09.2026</t>
        </is>
      </c>
      <c r="O3367" s="1" t="inlineStr"/>
      <c r="P3367" s="1" t="inlineStr"/>
      <c r="Q3367" s="1" t="inlineStr">
        <is>
          <t>Пользовательский интерфейс</t>
        </is>
      </c>
    </row>
    <row r="3368">
      <c r="B3368" s="1" t="inlineStr">
        <is>
          <t>222717257</t>
        </is>
      </c>
      <c r="C3368" s="1" t="inlineStr">
        <is>
          <t>15953442</t>
        </is>
      </c>
      <c r="D3368" t="inlineStr">
        <is>
          <t>работник 827</t>
        </is>
      </c>
      <c r="E3368" s="1" t="inlineStr">
        <is>
          <t>ОБЩЕСТВО С ОГРАНИЧЕННОЙ ОТВЕТСТВЕННОСТЬЮ "АМУР ЗОЛОТО"</t>
        </is>
      </c>
      <c r="F3368" s="1" t="inlineStr">
        <is>
          <t>2708001686</t>
        </is>
      </c>
      <c r="G3368" s="1" t="inlineStr">
        <is>
          <t>Фильтровальщик</t>
        </is>
      </c>
      <c r="H3368" s="1" t="inlineStr">
        <is>
          <t>ООО "Амур Золото"</t>
        </is>
      </c>
      <c r="I3368" s="1" t="inlineStr">
        <is>
          <t>2708001686</t>
        </is>
      </c>
      <c r="J3368" s="1" t="inlineStr">
        <is>
          <t>ЮГОК ЗИОФ 26-15</t>
        </is>
      </c>
      <c r="K3368" s="1" t="inlineStr">
        <is>
          <t>Использование (применение) средств индивидуальной защиты</t>
        </is>
      </c>
      <c r="L3368" s="1" t="inlineStr">
        <is>
          <t>01.07.2026</t>
        </is>
      </c>
      <c r="M3368" s="1" t="inlineStr">
        <is>
          <t>Успешно</t>
        </is>
      </c>
      <c r="N3368" s="1" t="inlineStr">
        <is>
          <t>17.09.2026</t>
        </is>
      </c>
      <c r="O3368" s="1" t="inlineStr"/>
      <c r="P3368" s="1" t="inlineStr"/>
      <c r="Q3368" s="1" t="inlineStr">
        <is>
          <t>Пользовательский интерфейс</t>
        </is>
      </c>
    </row>
    <row r="3369">
      <c r="B3369" s="1" t="inlineStr">
        <is>
          <t>222717258</t>
        </is>
      </c>
      <c r="C3369" s="1" t="inlineStr">
        <is>
          <t>15953442</t>
        </is>
      </c>
      <c r="D3369" t="inlineStr">
        <is>
          <t>работник 827</t>
        </is>
      </c>
      <c r="E3369" s="1" t="inlineStr">
        <is>
          <t>ОБЩЕСТВО С ОГРАНИЧЕННОЙ ОТВЕТСТВЕННОСТЬЮ "АМУР ЗОЛОТО"</t>
        </is>
      </c>
      <c r="F3369" s="1" t="inlineStr">
        <is>
          <t>2708001686</t>
        </is>
      </c>
      <c r="G3369" s="1" t="inlineStr">
        <is>
          <t>Фильтровальщик</t>
        </is>
      </c>
      <c r="H3369" s="1" t="inlineStr">
        <is>
          <t>ООО "Амур Золото"</t>
        </is>
      </c>
      <c r="I3369" s="1" t="inlineStr">
        <is>
          <t>2708001686</t>
        </is>
      </c>
      <c r="J3369" s="1" t="inlineStr">
        <is>
          <t>ЮГОК ЗИОФ 26-15</t>
        </is>
      </c>
      <c r="K336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369" s="1" t="inlineStr">
        <is>
          <t>01.07.2026</t>
        </is>
      </c>
      <c r="M3369" s="1" t="inlineStr">
        <is>
          <t>Успешно</t>
        </is>
      </c>
      <c r="N3369" s="1" t="inlineStr">
        <is>
          <t>17.09.2026</t>
        </is>
      </c>
      <c r="O3369" s="1" t="inlineStr"/>
      <c r="P3369" s="1" t="inlineStr"/>
      <c r="Q3369" s="1" t="inlineStr">
        <is>
          <t>Пользовательский интерфейс</t>
        </is>
      </c>
    </row>
    <row r="3370">
      <c r="B3370" s="1" t="inlineStr">
        <is>
          <t>222717259</t>
        </is>
      </c>
      <c r="C3370" s="1" t="inlineStr">
        <is>
          <t>15953442</t>
        </is>
      </c>
      <c r="D3370" t="inlineStr">
        <is>
          <t>работник 911</t>
        </is>
      </c>
      <c r="E3370" s="1" t="inlineStr">
        <is>
          <t>ОБЩЕСТВО С ОГРАНИЧЕННОЙ ОТВЕТСТВЕННОСТЬЮ "АМУР ЗОЛОТО"</t>
        </is>
      </c>
      <c r="F3370" s="1" t="inlineStr">
        <is>
          <t>2708001686</t>
        </is>
      </c>
      <c r="G3370" s="1" t="inlineStr">
        <is>
          <t>Инженер-исследователь</t>
        </is>
      </c>
      <c r="H3370" s="1" t="inlineStr">
        <is>
          <t>ООО "Амур Золото"</t>
        </is>
      </c>
      <c r="I3370" s="1" t="inlineStr">
        <is>
          <t>2708001686</t>
        </is>
      </c>
      <c r="J3370" s="1" t="inlineStr">
        <is>
          <t>ЮГОК ЗИОФ 26-15</t>
        </is>
      </c>
      <c r="K3370" s="1" t="inlineStr">
        <is>
          <t>Оказание первой помощи пострадавшим</t>
        </is>
      </c>
      <c r="L3370" s="1" t="inlineStr">
        <is>
          <t>01.07.2026</t>
        </is>
      </c>
      <c r="M3370" s="1" t="inlineStr">
        <is>
          <t>Успешно</t>
        </is>
      </c>
      <c r="N3370" s="1" t="inlineStr">
        <is>
          <t>17.09.2026</t>
        </is>
      </c>
      <c r="O3370" s="1" t="inlineStr"/>
      <c r="P3370" s="1" t="inlineStr"/>
      <c r="Q3370" s="1" t="inlineStr">
        <is>
          <t>Пользовательский интерфейс</t>
        </is>
      </c>
    </row>
    <row r="3371">
      <c r="B3371" s="1" t="inlineStr">
        <is>
          <t>222717260</t>
        </is>
      </c>
      <c r="C3371" s="1" t="inlineStr">
        <is>
          <t>15953442</t>
        </is>
      </c>
      <c r="D3371" t="inlineStr">
        <is>
          <t>работник 911</t>
        </is>
      </c>
      <c r="E3371" s="1" t="inlineStr">
        <is>
          <t>ОБЩЕСТВО С ОГРАНИЧЕННОЙ ОТВЕТСТВЕННОСТЬЮ "АМУР ЗОЛОТО"</t>
        </is>
      </c>
      <c r="F3371" s="1" t="inlineStr">
        <is>
          <t>2708001686</t>
        </is>
      </c>
      <c r="G3371" s="1" t="inlineStr">
        <is>
          <t>Инженер-исследователь</t>
        </is>
      </c>
      <c r="H3371" s="1" t="inlineStr">
        <is>
          <t>ООО "Амур Золото"</t>
        </is>
      </c>
      <c r="I3371" s="1" t="inlineStr">
        <is>
          <t>2708001686</t>
        </is>
      </c>
      <c r="J3371" s="1" t="inlineStr">
        <is>
          <t>ЮГОК ЗИОФ 26-15</t>
        </is>
      </c>
      <c r="K3371" s="1" t="inlineStr">
        <is>
          <t>Использование (применение) средств индивидуальной защиты</t>
        </is>
      </c>
      <c r="L3371" s="1" t="inlineStr">
        <is>
          <t>01.07.2026</t>
        </is>
      </c>
      <c r="M3371" s="1" t="inlineStr">
        <is>
          <t>Успешно</t>
        </is>
      </c>
      <c r="N3371" s="1" t="inlineStr">
        <is>
          <t>17.09.2026</t>
        </is>
      </c>
      <c r="O3371" s="1" t="inlineStr"/>
      <c r="P3371" s="1" t="inlineStr"/>
      <c r="Q3371" s="1" t="inlineStr">
        <is>
          <t>Пользовательский интерфейс</t>
        </is>
      </c>
    </row>
    <row r="3372">
      <c r="B3372" s="1" t="inlineStr">
        <is>
          <t>222717261</t>
        </is>
      </c>
      <c r="C3372" s="1" t="inlineStr">
        <is>
          <t>15953442</t>
        </is>
      </c>
      <c r="D3372" t="inlineStr">
        <is>
          <t>работник 911</t>
        </is>
      </c>
      <c r="E3372" s="1" t="inlineStr">
        <is>
          <t>ОБЩЕСТВО С ОГРАНИЧЕННОЙ ОТВЕТСТВЕННОСТЬЮ "АМУР ЗОЛОТО"</t>
        </is>
      </c>
      <c r="F3372" s="1" t="inlineStr">
        <is>
          <t>2708001686</t>
        </is>
      </c>
      <c r="G3372" s="1" t="inlineStr">
        <is>
          <t>Инженер-исследователь</t>
        </is>
      </c>
      <c r="H3372" s="1" t="inlineStr">
        <is>
          <t>ООО "Амур Золото"</t>
        </is>
      </c>
      <c r="I3372" s="1" t="inlineStr">
        <is>
          <t>2708001686</t>
        </is>
      </c>
      <c r="J3372" s="1" t="inlineStr">
        <is>
          <t>ЮГОК ЗИОФ 26-15</t>
        </is>
      </c>
      <c r="K337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372" s="1" t="inlineStr">
        <is>
          <t>01.07.2026</t>
        </is>
      </c>
      <c r="M3372" s="1" t="inlineStr">
        <is>
          <t>Успешно</t>
        </is>
      </c>
      <c r="N3372" s="1" t="inlineStr">
        <is>
          <t>17.09.2026</t>
        </is>
      </c>
      <c r="O3372" s="1" t="inlineStr"/>
      <c r="P3372" s="1" t="inlineStr"/>
      <c r="Q3372" s="1" t="inlineStr">
        <is>
          <t>Пользовательский интерфейс</t>
        </is>
      </c>
    </row>
    <row r="3373">
      <c r="B3373" s="1" t="inlineStr">
        <is>
          <t>222717262</t>
        </is>
      </c>
      <c r="C3373" s="1" t="inlineStr">
        <is>
          <t>15953442</t>
        </is>
      </c>
      <c r="D3373" t="inlineStr">
        <is>
          <t>работник 912</t>
        </is>
      </c>
      <c r="E3373" s="1" t="inlineStr">
        <is>
          <t>ОБЩЕСТВО С ОГРАНИЧЕННОЙ ОТВЕТСТВЕННОСТЬЮ "АМУР ЗОЛОТО"</t>
        </is>
      </c>
      <c r="F3373" s="1" t="inlineStr">
        <is>
          <t>2708001686</t>
        </is>
      </c>
      <c r="G3373" s="1" t="inlineStr">
        <is>
          <t>Делопроизводитель</t>
        </is>
      </c>
      <c r="H3373" s="1" t="inlineStr">
        <is>
          <t>ООО "Амур Золото"</t>
        </is>
      </c>
      <c r="I3373" s="1" t="inlineStr">
        <is>
          <t>2708001686</t>
        </is>
      </c>
      <c r="J3373" s="1" t="inlineStr">
        <is>
          <t>ЮГОК ЗИОФ 26-15</t>
        </is>
      </c>
      <c r="K3373" s="133" t="inlineStr">
        <is>
          <t>Общие вопросы охраны труда и функционирования системы управления охраной труда</t>
        </is>
      </c>
      <c r="L3373" s="1" t="inlineStr">
        <is>
          <t>01.07.2026</t>
        </is>
      </c>
      <c r="M3373" s="1" t="inlineStr">
        <is>
          <t>Успешно</t>
        </is>
      </c>
      <c r="N3373" s="1" t="inlineStr">
        <is>
          <t>17.09.2026</t>
        </is>
      </c>
      <c r="O3373" s="1" t="inlineStr"/>
      <c r="P3373" s="1" t="inlineStr"/>
      <c r="Q3373" s="1" t="inlineStr">
        <is>
          <t>Пользовательский интерфейс</t>
        </is>
      </c>
      <c r="R3373" s="134" t="inlineStr">
        <is>
          <t>Избыток обучения</t>
        </is>
      </c>
      <c r="S3373" s="133" t="inlineStr">
        <is>
          <t>ПП РФ № 2464, п. 53 подп. «в»: специалисту программа 46а не требуется, установлена программа 46б.</t>
        </is>
      </c>
    </row>
    <row r="3374">
      <c r="B3374" s="1" t="inlineStr">
        <is>
          <t>222717263</t>
        </is>
      </c>
      <c r="C3374" s="1" t="inlineStr">
        <is>
          <t>15953442</t>
        </is>
      </c>
      <c r="D3374" t="inlineStr">
        <is>
          <t>работник 912</t>
        </is>
      </c>
      <c r="E3374" s="1" t="inlineStr">
        <is>
          <t>ОБЩЕСТВО С ОГРАНИЧЕННОЙ ОТВЕТСТВЕННОСТЬЮ "АМУР ЗОЛОТО"</t>
        </is>
      </c>
      <c r="F3374" s="1" t="inlineStr">
        <is>
          <t>2708001686</t>
        </is>
      </c>
      <c r="G3374" s="1" t="inlineStr">
        <is>
          <t>Делопроизводитель</t>
        </is>
      </c>
      <c r="H3374" s="1" t="inlineStr">
        <is>
          <t>ООО "Амур Золото"</t>
        </is>
      </c>
      <c r="I3374" s="1" t="inlineStr">
        <is>
          <t>2708001686</t>
        </is>
      </c>
      <c r="J3374" s="1" t="inlineStr">
        <is>
          <t>ЮГОК ЗИОФ 26-15</t>
        </is>
      </c>
      <c r="K3374" s="1" t="inlineStr">
        <is>
          <t>Оказание первой помощи пострадавшим</t>
        </is>
      </c>
      <c r="L3374" s="1" t="inlineStr">
        <is>
          <t>01.07.2026</t>
        </is>
      </c>
      <c r="M3374" s="1" t="inlineStr">
        <is>
          <t>Успешно</t>
        </is>
      </c>
      <c r="N3374" s="1" t="inlineStr">
        <is>
          <t>17.09.2026</t>
        </is>
      </c>
      <c r="O3374" s="1" t="inlineStr"/>
      <c r="P3374" s="1" t="inlineStr"/>
      <c r="Q3374" s="1" t="inlineStr">
        <is>
          <t>Пользовательский интерфейс</t>
        </is>
      </c>
    </row>
    <row r="3375">
      <c r="B3375" s="1" t="inlineStr">
        <is>
          <t>222717264</t>
        </is>
      </c>
      <c r="C3375" s="1" t="inlineStr">
        <is>
          <t>15953442</t>
        </is>
      </c>
      <c r="D3375" t="inlineStr">
        <is>
          <t>работник 912</t>
        </is>
      </c>
      <c r="E3375" s="1" t="inlineStr">
        <is>
          <t>ОБЩЕСТВО С ОГРАНИЧЕННОЙ ОТВЕТСТВЕННОСТЬЮ "АМУР ЗОЛОТО"</t>
        </is>
      </c>
      <c r="F3375" s="1" t="inlineStr">
        <is>
          <t>2708001686</t>
        </is>
      </c>
      <c r="G3375" s="1" t="inlineStr">
        <is>
          <t>Делопроизводитель</t>
        </is>
      </c>
      <c r="H3375" s="1" t="inlineStr">
        <is>
          <t>ООО "Амур Золото"</t>
        </is>
      </c>
      <c r="I3375" s="1" t="inlineStr">
        <is>
          <t>2708001686</t>
        </is>
      </c>
      <c r="J3375" s="1" t="inlineStr">
        <is>
          <t>ЮГОК ЗИОФ 26-15</t>
        </is>
      </c>
      <c r="K3375" s="1" t="inlineStr">
        <is>
          <t>Использование (применение) средств индивидуальной защиты</t>
        </is>
      </c>
      <c r="L3375" s="1" t="inlineStr">
        <is>
          <t>01.07.2026</t>
        </is>
      </c>
      <c r="M3375" s="1" t="inlineStr">
        <is>
          <t>Успешно</t>
        </is>
      </c>
      <c r="N3375" s="1" t="inlineStr">
        <is>
          <t>17.09.2026</t>
        </is>
      </c>
      <c r="O3375" s="1" t="inlineStr"/>
      <c r="P3375" s="1" t="inlineStr"/>
      <c r="Q3375" s="1" t="inlineStr">
        <is>
          <t>Пользовательский интерфейс</t>
        </is>
      </c>
    </row>
    <row r="3376">
      <c r="B3376" s="1" t="inlineStr">
        <is>
          <t>222717265</t>
        </is>
      </c>
      <c r="C3376" s="1" t="inlineStr">
        <is>
          <t>15953442</t>
        </is>
      </c>
      <c r="D3376" t="inlineStr">
        <is>
          <t>работник 913</t>
        </is>
      </c>
      <c r="E3376" s="1" t="inlineStr">
        <is>
          <t>ОБЩЕСТВО С ОГРАНИЧЕННОЙ ОТВЕТСТВЕННОСТЬЮ "АМУР ЗОЛОТО"</t>
        </is>
      </c>
      <c r="F3376" s="1" t="inlineStr">
        <is>
          <t>2708001686</t>
        </is>
      </c>
      <c r="G3376" s="1" t="inlineStr">
        <is>
          <t>Ведущий инженер ППР</t>
        </is>
      </c>
      <c r="H3376" s="1" t="inlineStr">
        <is>
          <t>ООО "Амур Золото"</t>
        </is>
      </c>
      <c r="I3376" s="1" t="inlineStr">
        <is>
          <t>2708001686</t>
        </is>
      </c>
      <c r="J3376" s="1" t="inlineStr">
        <is>
          <t>ЮГОК ЗИОФ 26-15</t>
        </is>
      </c>
      <c r="K3376" s="133" t="inlineStr">
        <is>
          <t>Общие вопросы охраны труда и функционирования системы управления охраной труда</t>
        </is>
      </c>
      <c r="L3376" s="1" t="inlineStr">
        <is>
          <t>01.07.2026</t>
        </is>
      </c>
      <c r="M3376" s="1" t="inlineStr">
        <is>
          <t>Успешно</t>
        </is>
      </c>
      <c r="N3376" s="1" t="inlineStr">
        <is>
          <t>17.09.2026</t>
        </is>
      </c>
      <c r="O3376" s="1" t="inlineStr"/>
      <c r="P3376" s="1" t="inlineStr"/>
      <c r="Q3376" s="1" t="inlineStr">
        <is>
          <t>Пользовательский интерфейс</t>
        </is>
      </c>
      <c r="R3376" s="134" t="inlineStr">
        <is>
          <t>Избыток обучения</t>
        </is>
      </c>
      <c r="S3376" s="133" t="inlineStr">
        <is>
          <t>ПП РФ № 2464, п. 53 подп. «в»: специалисту программа 46а не требуется, установлена программа 46б.</t>
        </is>
      </c>
    </row>
    <row r="3377">
      <c r="B3377" s="1" t="inlineStr">
        <is>
          <t>222717266</t>
        </is>
      </c>
      <c r="C3377" s="1" t="inlineStr">
        <is>
          <t>15953442</t>
        </is>
      </c>
      <c r="D3377" t="inlineStr">
        <is>
          <t>работник 913</t>
        </is>
      </c>
      <c r="E3377" s="1" t="inlineStr">
        <is>
          <t>ОБЩЕСТВО С ОГРАНИЧЕННОЙ ОТВЕТСТВЕННОСТЬЮ "АМУР ЗОЛОТО"</t>
        </is>
      </c>
      <c r="F3377" s="1" t="inlineStr">
        <is>
          <t>2708001686</t>
        </is>
      </c>
      <c r="G3377" s="1" t="inlineStr">
        <is>
          <t>Ведущий инженер ППР</t>
        </is>
      </c>
      <c r="H3377" s="1" t="inlineStr">
        <is>
          <t>ООО "Амур Золото"</t>
        </is>
      </c>
      <c r="I3377" s="1" t="inlineStr">
        <is>
          <t>2708001686</t>
        </is>
      </c>
      <c r="J3377" s="1" t="inlineStr">
        <is>
          <t>ЮГОК ЗИОФ 26-15</t>
        </is>
      </c>
      <c r="K3377" s="1" t="inlineStr">
        <is>
          <t>Оказание первой помощи пострадавшим</t>
        </is>
      </c>
      <c r="L3377" s="1" t="inlineStr">
        <is>
          <t>01.07.2026</t>
        </is>
      </c>
      <c r="M3377" s="1" t="inlineStr">
        <is>
          <t>Успешно</t>
        </is>
      </c>
      <c r="N3377" s="1" t="inlineStr">
        <is>
          <t>17.09.2026</t>
        </is>
      </c>
      <c r="O3377" s="1" t="inlineStr"/>
      <c r="P3377" s="1" t="inlineStr"/>
      <c r="Q3377" s="1" t="inlineStr">
        <is>
          <t>Пользовательский интерфейс</t>
        </is>
      </c>
    </row>
    <row r="3378">
      <c r="B3378" s="1" t="inlineStr">
        <is>
          <t>222717267</t>
        </is>
      </c>
      <c r="C3378" s="1" t="inlineStr">
        <is>
          <t>15953442</t>
        </is>
      </c>
      <c r="D3378" t="inlineStr">
        <is>
          <t>работник 913</t>
        </is>
      </c>
      <c r="E3378" s="1" t="inlineStr">
        <is>
          <t>ОБЩЕСТВО С ОГРАНИЧЕННОЙ ОТВЕТСТВЕННОСТЬЮ "АМУР ЗОЛОТО"</t>
        </is>
      </c>
      <c r="F3378" s="1" t="inlineStr">
        <is>
          <t>2708001686</t>
        </is>
      </c>
      <c r="G3378" s="1" t="inlineStr">
        <is>
          <t>Ведущий инженер ППР</t>
        </is>
      </c>
      <c r="H3378" s="1" t="inlineStr">
        <is>
          <t>ООО "Амур Золото"</t>
        </is>
      </c>
      <c r="I3378" s="1" t="inlineStr">
        <is>
          <t>2708001686</t>
        </is>
      </c>
      <c r="J3378" s="1" t="inlineStr">
        <is>
          <t>ЮГОК ЗИОФ 26-15</t>
        </is>
      </c>
      <c r="K3378" s="1" t="inlineStr">
        <is>
          <t>Использование (применение) средств индивидуальной защиты</t>
        </is>
      </c>
      <c r="L3378" s="1" t="inlineStr">
        <is>
          <t>01.07.2026</t>
        </is>
      </c>
      <c r="M3378" s="1" t="inlineStr">
        <is>
          <t>Успешно</t>
        </is>
      </c>
      <c r="N3378" s="1" t="inlineStr">
        <is>
          <t>17.09.2026</t>
        </is>
      </c>
      <c r="O3378" s="1" t="inlineStr"/>
      <c r="P3378" s="1" t="inlineStr"/>
      <c r="Q3378" s="1" t="inlineStr">
        <is>
          <t>Пользовательский интерфейс</t>
        </is>
      </c>
    </row>
    <row r="3379">
      <c r="B3379" s="1" t="inlineStr">
        <is>
          <t>222717268</t>
        </is>
      </c>
      <c r="C3379" s="1" t="inlineStr">
        <is>
          <t>15953442</t>
        </is>
      </c>
      <c r="D3379" t="inlineStr">
        <is>
          <t>работник 833</t>
        </is>
      </c>
      <c r="E3379" s="1" t="inlineStr">
        <is>
          <t>ОБЩЕСТВО С ОГРАНИЧЕННОЙ ОТВЕТСТВЕННОСТЬЮ "АМУР ЗОЛОТО"</t>
        </is>
      </c>
      <c r="F3379" s="1" t="inlineStr">
        <is>
          <t>2708001686</t>
        </is>
      </c>
      <c r="G3379" s="1" t="inlineStr">
        <is>
          <t>Электромонтер по ремонту и обслуживанию электрооборудования</t>
        </is>
      </c>
      <c r="H3379" s="1" t="inlineStr">
        <is>
          <t>ООО "Амур Золото"</t>
        </is>
      </c>
      <c r="I3379" s="1" t="inlineStr">
        <is>
          <t>2708001686</t>
        </is>
      </c>
      <c r="J3379" s="1" t="inlineStr">
        <is>
          <t>ЮГОК ЗИОФ 26-15</t>
        </is>
      </c>
      <c r="K3379" s="1" t="inlineStr">
        <is>
          <t>Оказание первой помощи пострадавшим</t>
        </is>
      </c>
      <c r="L3379" s="1" t="inlineStr">
        <is>
          <t>01.07.2026</t>
        </is>
      </c>
      <c r="M3379" s="1" t="inlineStr">
        <is>
          <t>Успешно</t>
        </is>
      </c>
      <c r="N3379" s="1" t="inlineStr">
        <is>
          <t>17.09.2026</t>
        </is>
      </c>
      <c r="O3379" s="1" t="inlineStr"/>
      <c r="P3379" s="1" t="inlineStr"/>
      <c r="Q3379" s="1" t="inlineStr">
        <is>
          <t>Пользовательский интерфейс</t>
        </is>
      </c>
    </row>
    <row r="3380">
      <c r="B3380" s="1" t="inlineStr">
        <is>
          <t>222717269</t>
        </is>
      </c>
      <c r="C3380" s="1" t="inlineStr">
        <is>
          <t>15953442</t>
        </is>
      </c>
      <c r="D3380" t="inlineStr">
        <is>
          <t>работник 833</t>
        </is>
      </c>
      <c r="E3380" s="1" t="inlineStr">
        <is>
          <t>ОБЩЕСТВО С ОГРАНИЧЕННОЙ ОТВЕТСТВЕННОСТЬЮ "АМУР ЗОЛОТО"</t>
        </is>
      </c>
      <c r="F3380" s="1" t="inlineStr">
        <is>
          <t>2708001686</t>
        </is>
      </c>
      <c r="G3380" s="1" t="inlineStr">
        <is>
          <t>Электромонтер по ремонту и обслуживанию электрооборудования</t>
        </is>
      </c>
      <c r="H3380" s="1" t="inlineStr">
        <is>
          <t>ООО "Амур Золото"</t>
        </is>
      </c>
      <c r="I3380" s="1" t="inlineStr">
        <is>
          <t>2708001686</t>
        </is>
      </c>
      <c r="J3380" s="1" t="inlineStr">
        <is>
          <t>ЮГОК ЗИОФ 26-15</t>
        </is>
      </c>
      <c r="K3380" s="1" t="inlineStr">
        <is>
          <t>Использование (применение) средств индивидуальной защиты</t>
        </is>
      </c>
      <c r="L3380" s="1" t="inlineStr">
        <is>
          <t>01.07.2026</t>
        </is>
      </c>
      <c r="M3380" s="1" t="inlineStr">
        <is>
          <t>Успешно</t>
        </is>
      </c>
      <c r="N3380" s="1" t="inlineStr">
        <is>
          <t>17.09.2026</t>
        </is>
      </c>
      <c r="O3380" s="1" t="inlineStr"/>
      <c r="P3380" s="1" t="inlineStr"/>
      <c r="Q3380" s="1" t="inlineStr">
        <is>
          <t>Пользовательский интерфейс</t>
        </is>
      </c>
    </row>
    <row r="3381">
      <c r="B3381" s="1" t="inlineStr">
        <is>
          <t>222717270</t>
        </is>
      </c>
      <c r="C3381" s="1" t="inlineStr">
        <is>
          <t>15953442</t>
        </is>
      </c>
      <c r="D3381" t="inlineStr">
        <is>
          <t>работник 833</t>
        </is>
      </c>
      <c r="E3381" s="1" t="inlineStr">
        <is>
          <t>ОБЩЕСТВО С ОГРАНИЧЕННОЙ ОТВЕТСТВЕННОСТЬЮ "АМУР ЗОЛОТО"</t>
        </is>
      </c>
      <c r="F3381" s="1" t="inlineStr">
        <is>
          <t>2708001686</t>
        </is>
      </c>
      <c r="G3381" s="1" t="inlineStr">
        <is>
          <t>Электромонтер по ремонту и обслуживанию электрооборудования</t>
        </is>
      </c>
      <c r="H3381" s="1" t="inlineStr">
        <is>
          <t>ООО "Амур Золото"</t>
        </is>
      </c>
      <c r="I3381" s="1" t="inlineStr">
        <is>
          <t>2708001686</t>
        </is>
      </c>
      <c r="J3381" s="1" t="inlineStr">
        <is>
          <t>ЮГОК ЗИОФ 26-15</t>
        </is>
      </c>
      <c r="K338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381" s="1" t="inlineStr">
        <is>
          <t>01.07.2026</t>
        </is>
      </c>
      <c r="M3381" s="1" t="inlineStr">
        <is>
          <t>Успешно</t>
        </is>
      </c>
      <c r="N3381" s="1" t="inlineStr">
        <is>
          <t>17.09.2026</t>
        </is>
      </c>
      <c r="O3381" s="1" t="inlineStr"/>
      <c r="P3381" s="1" t="inlineStr"/>
      <c r="Q3381" s="1" t="inlineStr">
        <is>
          <t>Пользовательский интерфейс</t>
        </is>
      </c>
    </row>
    <row r="3382">
      <c r="B3382" s="1" t="inlineStr">
        <is>
          <t>222717271</t>
        </is>
      </c>
      <c r="C3382" s="1" t="inlineStr">
        <is>
          <t>15953442</t>
        </is>
      </c>
      <c r="D3382" t="inlineStr">
        <is>
          <t>работник 833</t>
        </is>
      </c>
      <c r="E3382" s="1" t="inlineStr">
        <is>
          <t>ОБЩЕСТВО С ОГРАНИЧЕННОЙ ОТВЕТСТВЕННОСТЬЮ "АМУР ЗОЛОТО"</t>
        </is>
      </c>
      <c r="F3382" s="1" t="inlineStr">
        <is>
          <t>2708001686</t>
        </is>
      </c>
      <c r="G3382" s="1" t="inlineStr">
        <is>
          <t>Электромонтер по ремонту и обслуживанию электрооборудования</t>
        </is>
      </c>
      <c r="H3382" s="1" t="inlineStr">
        <is>
          <t>ООО "Амур Золото"</t>
        </is>
      </c>
      <c r="I3382" s="1" t="inlineStr">
        <is>
          <t>2708001686</t>
        </is>
      </c>
      <c r="J3382" s="1" t="inlineStr">
        <is>
          <t>ЮГОК ЗИОФ 26-15</t>
        </is>
      </c>
      <c r="K3382" s="1" t="inlineStr">
        <is>
          <t>Безопасные методы и приемы выполнения работ в электроустановках</t>
        </is>
      </c>
      <c r="L3382" s="1" t="inlineStr">
        <is>
          <t>01.07.2026</t>
        </is>
      </c>
      <c r="M3382" s="1" t="inlineStr">
        <is>
          <t>Успешно</t>
        </is>
      </c>
      <c r="N3382" s="1" t="inlineStr">
        <is>
          <t>17.09.2026</t>
        </is>
      </c>
      <c r="O3382" s="1" t="inlineStr"/>
      <c r="P3382" s="1" t="inlineStr"/>
      <c r="Q3382" s="1" t="inlineStr">
        <is>
          <t>Пользовательский интерфейс</t>
        </is>
      </c>
    </row>
    <row r="3383">
      <c r="B3383" s="1" t="inlineStr">
        <is>
          <t>222717272</t>
        </is>
      </c>
      <c r="C3383" s="1" t="inlineStr">
        <is>
          <t>15953442</t>
        </is>
      </c>
      <c r="D3383" t="inlineStr">
        <is>
          <t>работник 914</t>
        </is>
      </c>
      <c r="E3383" s="1" t="inlineStr">
        <is>
          <t>ОБЩЕСТВО С ОГРАНИЧЕННОЙ ОТВЕТСТВЕННОСТЬЮ "АМУР ЗОЛОТО"</t>
        </is>
      </c>
      <c r="F3383" s="1" t="inlineStr">
        <is>
          <t>2708001686</t>
        </is>
      </c>
      <c r="G3383" s="1" t="inlineStr">
        <is>
          <t>Слесарь-ремонтник (по ремонту обогатительного оборудования)</t>
        </is>
      </c>
      <c r="H3383" s="1" t="inlineStr">
        <is>
          <t>ООО "Амур Золото"</t>
        </is>
      </c>
      <c r="I3383" s="1" t="inlineStr">
        <is>
          <t>2708001686</t>
        </is>
      </c>
      <c r="J3383" s="1" t="inlineStr">
        <is>
          <t>ЮГОК ЗИОФ 26-45</t>
        </is>
      </c>
      <c r="K3383" s="1" t="inlineStr">
        <is>
          <t>Оказание первой помощи пострадавшим</t>
        </is>
      </c>
      <c r="L3383" s="1" t="inlineStr">
        <is>
          <t>15.08.2026</t>
        </is>
      </c>
      <c r="M3383" s="1" t="inlineStr">
        <is>
          <t>Успешно</t>
        </is>
      </c>
      <c r="N3383" s="1" t="inlineStr">
        <is>
          <t>17.09.2026</t>
        </is>
      </c>
      <c r="O3383" s="1" t="inlineStr"/>
      <c r="P3383" s="1" t="inlineStr"/>
      <c r="Q3383" s="1" t="inlineStr">
        <is>
          <t>Пользовательский интерфейс</t>
        </is>
      </c>
    </row>
    <row r="3384">
      <c r="B3384" s="1" t="inlineStr">
        <is>
          <t>222717273</t>
        </is>
      </c>
      <c r="C3384" s="1" t="inlineStr">
        <is>
          <t>15953442</t>
        </is>
      </c>
      <c r="D3384" t="inlineStr">
        <is>
          <t>работник 914</t>
        </is>
      </c>
      <c r="E3384" s="1" t="inlineStr">
        <is>
          <t>ОБЩЕСТВО С ОГРАНИЧЕННОЙ ОТВЕТСТВЕННОСТЬЮ "АМУР ЗОЛОТО"</t>
        </is>
      </c>
      <c r="F3384" s="1" t="inlineStr">
        <is>
          <t>2708001686</t>
        </is>
      </c>
      <c r="G3384" s="1" t="inlineStr">
        <is>
          <t>Слесарь-ремонтник (по ремонту обогатительного оборудования)</t>
        </is>
      </c>
      <c r="H3384" s="1" t="inlineStr">
        <is>
          <t>ООО "Амур Золото"</t>
        </is>
      </c>
      <c r="I3384" s="1" t="inlineStr">
        <is>
          <t>2708001686</t>
        </is>
      </c>
      <c r="J3384" s="1" t="inlineStr">
        <is>
          <t>ЮГОК ЗИОФ 26-45</t>
        </is>
      </c>
      <c r="K3384" s="1" t="inlineStr">
        <is>
          <t>Использование (применение) средств индивидуальной защиты</t>
        </is>
      </c>
      <c r="L3384" s="1" t="inlineStr">
        <is>
          <t>15.08.2026</t>
        </is>
      </c>
      <c r="M3384" s="1" t="inlineStr">
        <is>
          <t>Успешно</t>
        </is>
      </c>
      <c r="N3384" s="1" t="inlineStr">
        <is>
          <t>17.09.2026</t>
        </is>
      </c>
      <c r="O3384" s="1" t="inlineStr"/>
      <c r="P3384" s="1" t="inlineStr"/>
      <c r="Q3384" s="1" t="inlineStr">
        <is>
          <t>Пользовательский интерфейс</t>
        </is>
      </c>
    </row>
    <row r="3385">
      <c r="B3385" s="1" t="inlineStr">
        <is>
          <t>222717274</t>
        </is>
      </c>
      <c r="C3385" s="1" t="inlineStr">
        <is>
          <t>15953442</t>
        </is>
      </c>
      <c r="D3385" t="inlineStr">
        <is>
          <t>работник 914</t>
        </is>
      </c>
      <c r="E3385" s="1" t="inlineStr">
        <is>
          <t>ОБЩЕСТВО С ОГРАНИЧЕННОЙ ОТВЕТСТВЕННОСТЬЮ "АМУР ЗОЛОТО"</t>
        </is>
      </c>
      <c r="F3385" s="1" t="inlineStr">
        <is>
          <t>2708001686</t>
        </is>
      </c>
      <c r="G3385" s="1" t="inlineStr">
        <is>
          <t>Слесарь-ремонтник (по ремонту обогатительного оборудования)</t>
        </is>
      </c>
      <c r="H3385" s="1" t="inlineStr">
        <is>
          <t>ООО "Амур Золото"</t>
        </is>
      </c>
      <c r="I3385" s="1" t="inlineStr">
        <is>
          <t>2708001686</t>
        </is>
      </c>
      <c r="J3385" s="1" t="inlineStr">
        <is>
          <t>ЮГОК ЗИОФ 26-45</t>
        </is>
      </c>
      <c r="K338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385" s="1" t="inlineStr">
        <is>
          <t>15.08.2026</t>
        </is>
      </c>
      <c r="M3385" s="1" t="inlineStr">
        <is>
          <t>Успешно</t>
        </is>
      </c>
      <c r="N3385" s="1" t="inlineStr">
        <is>
          <t>17.09.2026</t>
        </is>
      </c>
      <c r="O3385" s="1" t="inlineStr"/>
      <c r="P3385" s="1" t="inlineStr"/>
      <c r="Q3385" s="1" t="inlineStr">
        <is>
          <t>Пользовательский интерфейс</t>
        </is>
      </c>
    </row>
    <row r="3386">
      <c r="B3386" s="1" t="inlineStr">
        <is>
          <t>222717275</t>
        </is>
      </c>
      <c r="C3386" s="1" t="inlineStr">
        <is>
          <t>15953442</t>
        </is>
      </c>
      <c r="D3386" t="inlineStr">
        <is>
          <t>работник 915</t>
        </is>
      </c>
      <c r="E3386" s="1" t="inlineStr">
        <is>
          <t>ОБЩЕСТВО С ОГРАНИЧЕННОЙ ОТВЕТСТВЕННОСТЬЮ "АМУР ЗОЛОТО"</t>
        </is>
      </c>
      <c r="F3386" s="1" t="inlineStr">
        <is>
          <t>2708001686</t>
        </is>
      </c>
      <c r="G3386" s="1" t="inlineStr">
        <is>
          <t>Слесарь-ремонтник (по ремонту обогатительного оборудования)</t>
        </is>
      </c>
      <c r="H3386" s="1" t="inlineStr">
        <is>
          <t>ООО "Амур Золото"</t>
        </is>
      </c>
      <c r="I3386" s="1" t="inlineStr">
        <is>
          <t>2708001686</t>
        </is>
      </c>
      <c r="J3386" s="1" t="inlineStr">
        <is>
          <t>ЮГОК ЗИОФ 26-45</t>
        </is>
      </c>
      <c r="K3386" s="1" t="inlineStr">
        <is>
          <t>Оказание первой помощи пострадавшим</t>
        </is>
      </c>
      <c r="L3386" s="1" t="inlineStr">
        <is>
          <t>15.08.2026</t>
        </is>
      </c>
      <c r="M3386" s="1" t="inlineStr">
        <is>
          <t>Успешно</t>
        </is>
      </c>
      <c r="N3386" s="1" t="inlineStr">
        <is>
          <t>17.09.2026</t>
        </is>
      </c>
      <c r="O3386" s="1" t="inlineStr"/>
      <c r="P3386" s="1" t="inlineStr"/>
      <c r="Q3386" s="1" t="inlineStr">
        <is>
          <t>Пользовательский интерфейс</t>
        </is>
      </c>
    </row>
    <row r="3387">
      <c r="B3387" s="1" t="inlineStr">
        <is>
          <t>222717276</t>
        </is>
      </c>
      <c r="C3387" s="1" t="inlineStr">
        <is>
          <t>15953442</t>
        </is>
      </c>
      <c r="D3387" t="inlineStr">
        <is>
          <t>работник 915</t>
        </is>
      </c>
      <c r="E3387" s="1" t="inlineStr">
        <is>
          <t>ОБЩЕСТВО С ОГРАНИЧЕННОЙ ОТВЕТСТВЕННОСТЬЮ "АМУР ЗОЛОТО"</t>
        </is>
      </c>
      <c r="F3387" s="1" t="inlineStr">
        <is>
          <t>2708001686</t>
        </is>
      </c>
      <c r="G3387" s="1" t="inlineStr">
        <is>
          <t>Слесарь-ремонтник (по ремонту обогатительного оборудования)</t>
        </is>
      </c>
      <c r="H3387" s="1" t="inlineStr">
        <is>
          <t>ООО "Амур Золото"</t>
        </is>
      </c>
      <c r="I3387" s="1" t="inlineStr">
        <is>
          <t>2708001686</t>
        </is>
      </c>
      <c r="J3387" s="1" t="inlineStr">
        <is>
          <t>ЮГОК ЗИОФ 26-45</t>
        </is>
      </c>
      <c r="K3387" s="1" t="inlineStr">
        <is>
          <t>Использование (применение) средств индивидуальной защиты</t>
        </is>
      </c>
      <c r="L3387" s="1" t="inlineStr">
        <is>
          <t>15.08.2026</t>
        </is>
      </c>
      <c r="M3387" s="1" t="inlineStr">
        <is>
          <t>Успешно</t>
        </is>
      </c>
      <c r="N3387" s="1" t="inlineStr">
        <is>
          <t>17.09.2026</t>
        </is>
      </c>
      <c r="O3387" s="1" t="inlineStr"/>
      <c r="P3387" s="1" t="inlineStr"/>
      <c r="Q3387" s="1" t="inlineStr">
        <is>
          <t>Пользовательский интерфейс</t>
        </is>
      </c>
    </row>
    <row r="3388">
      <c r="B3388" s="1" t="inlineStr">
        <is>
          <t>222717277</t>
        </is>
      </c>
      <c r="C3388" s="1" t="inlineStr">
        <is>
          <t>15953442</t>
        </is>
      </c>
      <c r="D3388" t="inlineStr">
        <is>
          <t>работник 915</t>
        </is>
      </c>
      <c r="E3388" s="1" t="inlineStr">
        <is>
          <t>ОБЩЕСТВО С ОГРАНИЧЕННОЙ ОТВЕТСТВЕННОСТЬЮ "АМУР ЗОЛОТО"</t>
        </is>
      </c>
      <c r="F3388" s="1" t="inlineStr">
        <is>
          <t>2708001686</t>
        </is>
      </c>
      <c r="G3388" s="1" t="inlineStr">
        <is>
          <t>Слесарь-ремонтник (по ремонту обогатительного оборудования)</t>
        </is>
      </c>
      <c r="H3388" s="1" t="inlineStr">
        <is>
          <t>ООО "Амур Золото"</t>
        </is>
      </c>
      <c r="I3388" s="1" t="inlineStr">
        <is>
          <t>2708001686</t>
        </is>
      </c>
      <c r="J3388" s="1" t="inlineStr">
        <is>
          <t>ЮГОК ЗИОФ 26-45</t>
        </is>
      </c>
      <c r="K338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388" s="1" t="inlineStr">
        <is>
          <t>15.08.2026</t>
        </is>
      </c>
      <c r="M3388" s="1" t="inlineStr">
        <is>
          <t>Успешно</t>
        </is>
      </c>
      <c r="N3388" s="1" t="inlineStr">
        <is>
          <t>17.09.2026</t>
        </is>
      </c>
      <c r="O3388" s="1" t="inlineStr"/>
      <c r="P3388" s="1" t="inlineStr"/>
      <c r="Q3388" s="1" t="inlineStr">
        <is>
          <t>Пользовательский интерфейс</t>
        </is>
      </c>
    </row>
    <row r="3389">
      <c r="B3389" s="1" t="inlineStr">
        <is>
          <t>222717278</t>
        </is>
      </c>
      <c r="C3389" s="1" t="inlineStr">
        <is>
          <t>15953442</t>
        </is>
      </c>
      <c r="D3389" t="inlineStr">
        <is>
          <t>работник 916</t>
        </is>
      </c>
      <c r="E3389" s="1" t="inlineStr">
        <is>
          <t>ОБЩЕСТВО С ОГРАНИЧЕННОЙ ОТВЕТСТВЕННОСТЬЮ "АМУР ЗОЛОТО"</t>
        </is>
      </c>
      <c r="F3389" s="1" t="inlineStr">
        <is>
          <t>2708001686</t>
        </is>
      </c>
      <c r="G3389" s="1" t="inlineStr">
        <is>
          <t>Фильтровальщик</t>
        </is>
      </c>
      <c r="H3389" s="1" t="inlineStr">
        <is>
          <t>ООО "Амур Золото"</t>
        </is>
      </c>
      <c r="I3389" s="1" t="inlineStr">
        <is>
          <t>2708001686</t>
        </is>
      </c>
      <c r="J3389" s="1" t="inlineStr">
        <is>
          <t>ЮГОК ЗИОФ 26-46</t>
        </is>
      </c>
      <c r="K3389" s="1" t="inlineStr">
        <is>
          <t>Оказание первой помощи пострадавшим</t>
        </is>
      </c>
      <c r="L3389" s="1" t="inlineStr">
        <is>
          <t>15.08.2026</t>
        </is>
      </c>
      <c r="M3389" s="1" t="inlineStr">
        <is>
          <t>Успешно</t>
        </is>
      </c>
      <c r="N3389" s="1" t="inlineStr">
        <is>
          <t>17.09.2026</t>
        </is>
      </c>
      <c r="O3389" s="1" t="inlineStr"/>
      <c r="P3389" s="1" t="inlineStr"/>
      <c r="Q3389" s="1" t="inlineStr">
        <is>
          <t>Пользовательский интерфейс</t>
        </is>
      </c>
    </row>
    <row r="3390">
      <c r="B3390" s="1" t="inlineStr">
        <is>
          <t>222717279</t>
        </is>
      </c>
      <c r="C3390" s="1" t="inlineStr">
        <is>
          <t>15953442</t>
        </is>
      </c>
      <c r="D3390" t="inlineStr">
        <is>
          <t>работник 916</t>
        </is>
      </c>
      <c r="E3390" s="1" t="inlineStr">
        <is>
          <t>ОБЩЕСТВО С ОГРАНИЧЕННОЙ ОТВЕТСТВЕННОСТЬЮ "АМУР ЗОЛОТО"</t>
        </is>
      </c>
      <c r="F3390" s="1" t="inlineStr">
        <is>
          <t>2708001686</t>
        </is>
      </c>
      <c r="G3390" s="1" t="inlineStr">
        <is>
          <t>Фильтровальщик</t>
        </is>
      </c>
      <c r="H3390" s="1" t="inlineStr">
        <is>
          <t>ООО "Амур Золото"</t>
        </is>
      </c>
      <c r="I3390" s="1" t="inlineStr">
        <is>
          <t>2708001686</t>
        </is>
      </c>
      <c r="J3390" s="1" t="inlineStr">
        <is>
          <t>ЮГОК ЗИОФ 26-46</t>
        </is>
      </c>
      <c r="K3390" s="1" t="inlineStr">
        <is>
          <t>Использование (применение) средств индивидуальной защиты</t>
        </is>
      </c>
      <c r="L3390" s="1" t="inlineStr">
        <is>
          <t>15.08.2026</t>
        </is>
      </c>
      <c r="M3390" s="1" t="inlineStr">
        <is>
          <t>Успешно</t>
        </is>
      </c>
      <c r="N3390" s="1" t="inlineStr">
        <is>
          <t>17.09.2026</t>
        </is>
      </c>
      <c r="O3390" s="1" t="inlineStr"/>
      <c r="P3390" s="1" t="inlineStr"/>
      <c r="Q3390" s="1" t="inlineStr">
        <is>
          <t>Пользовательский интерфейс</t>
        </is>
      </c>
    </row>
    <row r="3391">
      <c r="B3391" s="1" t="inlineStr">
        <is>
          <t>222717280</t>
        </is>
      </c>
      <c r="C3391" s="1" t="inlineStr">
        <is>
          <t>15953442</t>
        </is>
      </c>
      <c r="D3391" t="inlineStr">
        <is>
          <t>работник 916</t>
        </is>
      </c>
      <c r="E3391" s="1" t="inlineStr">
        <is>
          <t>ОБЩЕСТВО С ОГРАНИЧЕННОЙ ОТВЕТСТВЕННОСТЬЮ "АМУР ЗОЛОТО"</t>
        </is>
      </c>
      <c r="F3391" s="1" t="inlineStr">
        <is>
          <t>2708001686</t>
        </is>
      </c>
      <c r="G3391" s="1" t="inlineStr">
        <is>
          <t>Фильтровальщик</t>
        </is>
      </c>
      <c r="H3391" s="1" t="inlineStr">
        <is>
          <t>ООО "Амур Золото"</t>
        </is>
      </c>
      <c r="I3391" s="1" t="inlineStr">
        <is>
          <t>2708001686</t>
        </is>
      </c>
      <c r="J3391" s="1" t="inlineStr">
        <is>
          <t>ЮГОК ЗИОФ 26-46</t>
        </is>
      </c>
      <c r="K339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391" s="1" t="inlineStr">
        <is>
          <t>15.08.2026</t>
        </is>
      </c>
      <c r="M3391" s="1" t="inlineStr">
        <is>
          <t>Успешно</t>
        </is>
      </c>
      <c r="N3391" s="1" t="inlineStr">
        <is>
          <t>17.09.2026</t>
        </is>
      </c>
      <c r="O3391" s="1" t="inlineStr"/>
      <c r="P3391" s="1" t="inlineStr"/>
      <c r="Q3391" s="1" t="inlineStr">
        <is>
          <t>Пользовательский интерфейс</t>
        </is>
      </c>
    </row>
    <row r="3392">
      <c r="B3392" s="1" t="inlineStr">
        <is>
          <t>222717281</t>
        </is>
      </c>
      <c r="C3392" s="1" t="inlineStr">
        <is>
          <t>15953442</t>
        </is>
      </c>
      <c r="D3392" t="inlineStr">
        <is>
          <t>работник 917</t>
        </is>
      </c>
      <c r="E3392" s="1" t="inlineStr">
        <is>
          <t>ОБЩЕСТВО С ОГРАНИЧЕННОЙ ОТВЕТСТВЕННОСТЬЮ "АМУР ЗОЛОТО"</t>
        </is>
      </c>
      <c r="F3392" s="1" t="inlineStr">
        <is>
          <t>2708001686</t>
        </is>
      </c>
      <c r="G3392" s="1" t="inlineStr">
        <is>
          <t>Стропальщик</t>
        </is>
      </c>
      <c r="H3392" s="1" t="inlineStr">
        <is>
          <t>ООО "Амур Золото"</t>
        </is>
      </c>
      <c r="I3392" s="1" t="inlineStr">
        <is>
          <t>2708001686</t>
        </is>
      </c>
      <c r="J3392" s="1" t="inlineStr">
        <is>
          <t>ЮГОК МТО 26-14</t>
        </is>
      </c>
      <c r="K3392" s="1" t="inlineStr">
        <is>
          <t>Оказание первой помощи пострадавшим</t>
        </is>
      </c>
      <c r="L3392" s="1" t="inlineStr">
        <is>
          <t>25.08.2026</t>
        </is>
      </c>
      <c r="M3392" s="1" t="inlineStr">
        <is>
          <t>Успешно</t>
        </is>
      </c>
      <c r="N3392" s="1" t="inlineStr">
        <is>
          <t>17.09.2026</t>
        </is>
      </c>
      <c r="O3392" s="1" t="inlineStr"/>
      <c r="P3392" s="1" t="inlineStr"/>
      <c r="Q3392" s="1" t="inlineStr">
        <is>
          <t>Пользовательский интерфейс</t>
        </is>
      </c>
    </row>
    <row r="3393">
      <c r="B3393" s="1" t="inlineStr">
        <is>
          <t>222717282</t>
        </is>
      </c>
      <c r="C3393" s="1" t="inlineStr">
        <is>
          <t>15953442</t>
        </is>
      </c>
      <c r="D3393" t="inlineStr">
        <is>
          <t>работник 917</t>
        </is>
      </c>
      <c r="E3393" s="1" t="inlineStr">
        <is>
          <t>ОБЩЕСТВО С ОГРАНИЧЕННОЙ ОТВЕТСТВЕННОСТЬЮ "АМУР ЗОЛОТО"</t>
        </is>
      </c>
      <c r="F3393" s="1" t="inlineStr">
        <is>
          <t>2708001686</t>
        </is>
      </c>
      <c r="G3393" s="1" t="inlineStr">
        <is>
          <t>Стропальщик</t>
        </is>
      </c>
      <c r="H3393" s="1" t="inlineStr">
        <is>
          <t>ООО "Амур Золото"</t>
        </is>
      </c>
      <c r="I3393" s="1" t="inlineStr">
        <is>
          <t>2708001686</t>
        </is>
      </c>
      <c r="J3393" s="1" t="inlineStr">
        <is>
          <t>ЮГОК МТО 26-14</t>
        </is>
      </c>
      <c r="K3393" s="1" t="inlineStr">
        <is>
          <t>Использование (применение) средств индивидуальной защиты</t>
        </is>
      </c>
      <c r="L3393" s="1" t="inlineStr">
        <is>
          <t>25.08.2026</t>
        </is>
      </c>
      <c r="M3393" s="1" t="inlineStr">
        <is>
          <t>Успешно</t>
        </is>
      </c>
      <c r="N3393" s="1" t="inlineStr">
        <is>
          <t>17.09.2026</t>
        </is>
      </c>
      <c r="O3393" s="1" t="inlineStr"/>
      <c r="P3393" s="1" t="inlineStr"/>
      <c r="Q3393" s="1" t="inlineStr">
        <is>
          <t>Пользовательский интерфейс</t>
        </is>
      </c>
    </row>
    <row r="3394">
      <c r="B3394" s="1" t="inlineStr">
        <is>
          <t>222717283</t>
        </is>
      </c>
      <c r="C3394" s="1" t="inlineStr">
        <is>
          <t>15953442</t>
        </is>
      </c>
      <c r="D3394" t="inlineStr">
        <is>
          <t>работник 917</t>
        </is>
      </c>
      <c r="E3394" s="1" t="inlineStr">
        <is>
          <t>ОБЩЕСТВО С ОГРАНИЧЕННОЙ ОТВЕТСТВЕННОСТЬЮ "АМУР ЗОЛОТО"</t>
        </is>
      </c>
      <c r="F3394" s="1" t="inlineStr">
        <is>
          <t>2708001686</t>
        </is>
      </c>
      <c r="G3394" s="1" t="inlineStr">
        <is>
          <t>Стропальщик</t>
        </is>
      </c>
      <c r="H3394" s="1" t="inlineStr">
        <is>
          <t>ООО "Амур Золото"</t>
        </is>
      </c>
      <c r="I3394" s="1" t="inlineStr">
        <is>
          <t>2708001686</t>
        </is>
      </c>
      <c r="J3394" s="1" t="inlineStr">
        <is>
          <t>ЮГОК МТО 26-14</t>
        </is>
      </c>
      <c r="K339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394" s="1" t="inlineStr">
        <is>
          <t>25.08.2026</t>
        </is>
      </c>
      <c r="M3394" s="1" t="inlineStr">
        <is>
          <t>Успешно</t>
        </is>
      </c>
      <c r="N3394" s="1" t="inlineStr">
        <is>
          <t>17.09.2026</t>
        </is>
      </c>
      <c r="O3394" s="1" t="inlineStr"/>
      <c r="P3394" s="1" t="inlineStr"/>
      <c r="Q3394" s="1" t="inlineStr">
        <is>
          <t>Пользовательский интерфейс</t>
        </is>
      </c>
    </row>
    <row r="3395">
      <c r="B3395" s="1" t="inlineStr">
        <is>
          <t>222717284</t>
        </is>
      </c>
      <c r="C3395" s="1" t="inlineStr">
        <is>
          <t>15953442</t>
        </is>
      </c>
      <c r="D3395" t="inlineStr">
        <is>
          <t>работник 91</t>
        </is>
      </c>
      <c r="E3395" s="1" t="inlineStr">
        <is>
          <t>ОБЩЕСТВО С ОГРАНИЧЕННОЙ ОТВЕТСТВЕННОСТЬЮ "АМУР ЗОЛОТО"</t>
        </is>
      </c>
      <c r="F3395" s="1" t="inlineStr">
        <is>
          <t>2708001686</t>
        </is>
      </c>
      <c r="G3395" s="1" t="inlineStr">
        <is>
          <t>Стропальщик</t>
        </is>
      </c>
      <c r="H3395" s="1" t="inlineStr">
        <is>
          <t>ООО "Амур Золото"</t>
        </is>
      </c>
      <c r="I3395" s="1" t="inlineStr">
        <is>
          <t>2708001686</t>
        </is>
      </c>
      <c r="J3395" s="1" t="inlineStr">
        <is>
          <t>ЮГОК МТО 26-14</t>
        </is>
      </c>
      <c r="K3395" s="1" t="inlineStr">
        <is>
          <t>Оказание первой помощи пострадавшим</t>
        </is>
      </c>
      <c r="L3395" s="1" t="inlineStr">
        <is>
          <t>25.08.2026</t>
        </is>
      </c>
      <c r="M3395" s="1" t="inlineStr">
        <is>
          <t>Успешно</t>
        </is>
      </c>
      <c r="N3395" s="1" t="inlineStr">
        <is>
          <t>17.09.2026</t>
        </is>
      </c>
      <c r="O3395" s="1" t="inlineStr"/>
      <c r="P3395" s="1" t="inlineStr"/>
      <c r="Q3395" s="1" t="inlineStr">
        <is>
          <t>Пользовательский интерфейс</t>
        </is>
      </c>
    </row>
    <row r="3396">
      <c r="B3396" s="1" t="inlineStr">
        <is>
          <t>222717285</t>
        </is>
      </c>
      <c r="C3396" s="1" t="inlineStr">
        <is>
          <t>15953442</t>
        </is>
      </c>
      <c r="D3396" t="inlineStr">
        <is>
          <t>работник 91</t>
        </is>
      </c>
      <c r="E3396" s="1" t="inlineStr">
        <is>
          <t>ОБЩЕСТВО С ОГРАНИЧЕННОЙ ОТВЕТСТВЕННОСТЬЮ "АМУР ЗОЛОТО"</t>
        </is>
      </c>
      <c r="F3396" s="1" t="inlineStr">
        <is>
          <t>2708001686</t>
        </is>
      </c>
      <c r="G3396" s="1" t="inlineStr">
        <is>
          <t>Стропальщик</t>
        </is>
      </c>
      <c r="H3396" s="1" t="inlineStr">
        <is>
          <t>ООО "Амур Золото"</t>
        </is>
      </c>
      <c r="I3396" s="1" t="inlineStr">
        <is>
          <t>2708001686</t>
        </is>
      </c>
      <c r="J3396" s="1" t="inlineStr">
        <is>
          <t>ЮГОК МТО 26-14</t>
        </is>
      </c>
      <c r="K3396" s="1" t="inlineStr">
        <is>
          <t>Использование (применение) средств индивидуальной защиты</t>
        </is>
      </c>
      <c r="L3396" s="1" t="inlineStr">
        <is>
          <t>25.08.2026</t>
        </is>
      </c>
      <c r="M3396" s="1" t="inlineStr">
        <is>
          <t>Успешно</t>
        </is>
      </c>
      <c r="N3396" s="1" t="inlineStr">
        <is>
          <t>17.09.2026</t>
        </is>
      </c>
      <c r="O3396" s="1" t="inlineStr"/>
      <c r="P3396" s="1" t="inlineStr"/>
      <c r="Q3396" s="1" t="inlineStr">
        <is>
          <t>Пользовательский интерфейс</t>
        </is>
      </c>
    </row>
    <row r="3397">
      <c r="B3397" s="1" t="inlineStr">
        <is>
          <t>222717286</t>
        </is>
      </c>
      <c r="C3397" s="1" t="inlineStr">
        <is>
          <t>15953442</t>
        </is>
      </c>
      <c r="D3397" t="inlineStr">
        <is>
          <t>работник 91</t>
        </is>
      </c>
      <c r="E3397" s="1" t="inlineStr">
        <is>
          <t>ОБЩЕСТВО С ОГРАНИЧЕННОЙ ОТВЕТСТВЕННОСТЬЮ "АМУР ЗОЛОТО"</t>
        </is>
      </c>
      <c r="F3397" s="1" t="inlineStr">
        <is>
          <t>2708001686</t>
        </is>
      </c>
      <c r="G3397" s="1" t="inlineStr">
        <is>
          <t>Стропальщик</t>
        </is>
      </c>
      <c r="H3397" s="1" t="inlineStr">
        <is>
          <t>ООО "Амур Золото"</t>
        </is>
      </c>
      <c r="I3397" s="1" t="inlineStr">
        <is>
          <t>2708001686</t>
        </is>
      </c>
      <c r="J3397" s="1" t="inlineStr">
        <is>
          <t>ЮГОК МТО 26-14</t>
        </is>
      </c>
      <c r="K339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397" s="1" t="inlineStr">
        <is>
          <t>25.08.2026</t>
        </is>
      </c>
      <c r="M3397" s="1" t="inlineStr">
        <is>
          <t>Успешно</t>
        </is>
      </c>
      <c r="N3397" s="1" t="inlineStr">
        <is>
          <t>17.09.2026</t>
        </is>
      </c>
      <c r="O3397" s="1" t="inlineStr"/>
      <c r="P3397" s="1" t="inlineStr"/>
      <c r="Q3397" s="1" t="inlineStr">
        <is>
          <t>Пользовательский интерфейс</t>
        </is>
      </c>
    </row>
    <row r="3398">
      <c r="B3398" s="1" t="inlineStr">
        <is>
          <t>222717287</t>
        </is>
      </c>
      <c r="C3398" s="1" t="inlineStr">
        <is>
          <t>15953442</t>
        </is>
      </c>
      <c r="D3398" t="inlineStr">
        <is>
          <t>работник 608</t>
        </is>
      </c>
      <c r="E3398" s="1" t="inlineStr">
        <is>
          <t>ОБЩЕСТВО С ОГРАНИЧЕННОЙ ОТВЕТСТВЕННОСТЬЮ "АМУР ЗОЛОТО"</t>
        </is>
      </c>
      <c r="F3398" s="1" t="inlineStr">
        <is>
          <t>2708001686</t>
        </is>
      </c>
      <c r="G3398" s="1" t="inlineStr">
        <is>
          <t>Стропальщик</t>
        </is>
      </c>
      <c r="H3398" s="1" t="inlineStr">
        <is>
          <t>ООО "Амур Золото"</t>
        </is>
      </c>
      <c r="I3398" s="1" t="inlineStr">
        <is>
          <t>2708001686</t>
        </is>
      </c>
      <c r="J3398" s="1" t="inlineStr">
        <is>
          <t>ЮГОК МТО 26-14</t>
        </is>
      </c>
      <c r="K3398" s="1" t="inlineStr">
        <is>
          <t>Оказание первой помощи пострадавшим</t>
        </is>
      </c>
      <c r="L3398" s="1" t="inlineStr">
        <is>
          <t>25.08.2026</t>
        </is>
      </c>
      <c r="M3398" s="1" t="inlineStr">
        <is>
          <t>Успешно</t>
        </is>
      </c>
      <c r="N3398" s="1" t="inlineStr">
        <is>
          <t>17.09.2026</t>
        </is>
      </c>
      <c r="O3398" s="1" t="inlineStr"/>
      <c r="P3398" s="1" t="inlineStr"/>
      <c r="Q3398" s="1" t="inlineStr">
        <is>
          <t>Пользовательский интерфейс</t>
        </is>
      </c>
    </row>
    <row r="3399">
      <c r="B3399" s="1" t="inlineStr">
        <is>
          <t>222717288</t>
        </is>
      </c>
      <c r="C3399" s="1" t="inlineStr">
        <is>
          <t>15953442</t>
        </is>
      </c>
      <c r="D3399" t="inlineStr">
        <is>
          <t>работник 608</t>
        </is>
      </c>
      <c r="E3399" s="1" t="inlineStr">
        <is>
          <t>ОБЩЕСТВО С ОГРАНИЧЕННОЙ ОТВЕТСТВЕННОСТЬЮ "АМУР ЗОЛОТО"</t>
        </is>
      </c>
      <c r="F3399" s="1" t="inlineStr">
        <is>
          <t>2708001686</t>
        </is>
      </c>
      <c r="G3399" s="1" t="inlineStr">
        <is>
          <t>Стропальщик</t>
        </is>
      </c>
      <c r="H3399" s="1" t="inlineStr">
        <is>
          <t>ООО "Амур Золото"</t>
        </is>
      </c>
      <c r="I3399" s="1" t="inlineStr">
        <is>
          <t>2708001686</t>
        </is>
      </c>
      <c r="J3399" s="1" t="inlineStr">
        <is>
          <t>ЮГОК МТО 26-14</t>
        </is>
      </c>
      <c r="K3399" s="1" t="inlineStr">
        <is>
          <t>Использование (применение) средств индивидуальной защиты</t>
        </is>
      </c>
      <c r="L3399" s="1" t="inlineStr">
        <is>
          <t>25.08.2026</t>
        </is>
      </c>
      <c r="M3399" s="1" t="inlineStr">
        <is>
          <t>Успешно</t>
        </is>
      </c>
      <c r="N3399" s="1" t="inlineStr">
        <is>
          <t>17.09.2026</t>
        </is>
      </c>
      <c r="O3399" s="1" t="inlineStr"/>
      <c r="P3399" s="1" t="inlineStr"/>
      <c r="Q3399" s="1" t="inlineStr">
        <is>
          <t>Пользовательский интерфейс</t>
        </is>
      </c>
    </row>
    <row r="3400">
      <c r="B3400" s="1" t="inlineStr">
        <is>
          <t>222717289</t>
        </is>
      </c>
      <c r="C3400" s="1" t="inlineStr">
        <is>
          <t>15953442</t>
        </is>
      </c>
      <c r="D3400" t="inlineStr">
        <is>
          <t>работник 608</t>
        </is>
      </c>
      <c r="E3400" s="1" t="inlineStr">
        <is>
          <t>ОБЩЕСТВО С ОГРАНИЧЕННОЙ ОТВЕТСТВЕННОСТЬЮ "АМУР ЗОЛОТО"</t>
        </is>
      </c>
      <c r="F3400" s="1" t="inlineStr">
        <is>
          <t>2708001686</t>
        </is>
      </c>
      <c r="G3400" s="1" t="inlineStr">
        <is>
          <t>Стропальщик</t>
        </is>
      </c>
      <c r="H3400" s="1" t="inlineStr">
        <is>
          <t>ООО "Амур Золото"</t>
        </is>
      </c>
      <c r="I3400" s="1" t="inlineStr">
        <is>
          <t>2708001686</t>
        </is>
      </c>
      <c r="J3400" s="1" t="inlineStr">
        <is>
          <t>ЮГОК МТО 26-14</t>
        </is>
      </c>
      <c r="K340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400" s="1" t="inlineStr">
        <is>
          <t>25.08.2026</t>
        </is>
      </c>
      <c r="M3400" s="1" t="inlineStr">
        <is>
          <t>Успешно</t>
        </is>
      </c>
      <c r="N3400" s="1" t="inlineStr">
        <is>
          <t>17.09.2026</t>
        </is>
      </c>
      <c r="O3400" s="1" t="inlineStr"/>
      <c r="P3400" s="1" t="inlineStr"/>
      <c r="Q3400" s="1" t="inlineStr">
        <is>
          <t>Пользовательский интерфейс</t>
        </is>
      </c>
    </row>
    <row r="3401">
      <c r="B3401" s="1" t="inlineStr">
        <is>
          <t>222717290</t>
        </is>
      </c>
      <c r="C3401" s="1" t="inlineStr">
        <is>
          <t>15953442</t>
        </is>
      </c>
      <c r="D3401" t="inlineStr">
        <is>
          <t>работник 918</t>
        </is>
      </c>
      <c r="E3401" s="1" t="inlineStr">
        <is>
          <t>ОБЩЕСТВО С ОГРАНИЧЕННОЙ ОТВЕТСТВЕННОСТЬЮ "АМУР ЗОЛОТО"</t>
        </is>
      </c>
      <c r="F3401" s="1" t="inlineStr">
        <is>
          <t>2708001686</t>
        </is>
      </c>
      <c r="G3401" s="1" t="inlineStr">
        <is>
          <t>Стропальщик</t>
        </is>
      </c>
      <c r="H3401" s="1" t="inlineStr">
        <is>
          <t>ООО "Амур Золото"</t>
        </is>
      </c>
      <c r="I3401" s="1" t="inlineStr">
        <is>
          <t>2708001686</t>
        </is>
      </c>
      <c r="J3401" s="1" t="inlineStr">
        <is>
          <t>ЮГОК МТО 26-14</t>
        </is>
      </c>
      <c r="K3401" s="1" t="inlineStr">
        <is>
          <t>Оказание первой помощи пострадавшим</t>
        </is>
      </c>
      <c r="L3401" s="1" t="inlineStr">
        <is>
          <t>25.08.2026</t>
        </is>
      </c>
      <c r="M3401" s="1" t="inlineStr">
        <is>
          <t>Успешно</t>
        </is>
      </c>
      <c r="N3401" s="1" t="inlineStr">
        <is>
          <t>17.09.2026</t>
        </is>
      </c>
      <c r="O3401" s="1" t="inlineStr"/>
      <c r="P3401" s="1" t="inlineStr"/>
      <c r="Q3401" s="1" t="inlineStr">
        <is>
          <t>Пользовательский интерфейс</t>
        </is>
      </c>
    </row>
    <row r="3402">
      <c r="B3402" s="1" t="inlineStr">
        <is>
          <t>222717291</t>
        </is>
      </c>
      <c r="C3402" s="1" t="inlineStr">
        <is>
          <t>15953442</t>
        </is>
      </c>
      <c r="D3402" t="inlineStr">
        <is>
          <t>работник 918</t>
        </is>
      </c>
      <c r="E3402" s="1" t="inlineStr">
        <is>
          <t>ОБЩЕСТВО С ОГРАНИЧЕННОЙ ОТВЕТСТВЕННОСТЬЮ "АМУР ЗОЛОТО"</t>
        </is>
      </c>
      <c r="F3402" s="1" t="inlineStr">
        <is>
          <t>2708001686</t>
        </is>
      </c>
      <c r="G3402" s="1" t="inlineStr">
        <is>
          <t>Стропальщик</t>
        </is>
      </c>
      <c r="H3402" s="1" t="inlineStr">
        <is>
          <t>ООО "Амур Золото"</t>
        </is>
      </c>
      <c r="I3402" s="1" t="inlineStr">
        <is>
          <t>2708001686</t>
        </is>
      </c>
      <c r="J3402" s="1" t="inlineStr">
        <is>
          <t>ЮГОК МТО 26-14</t>
        </is>
      </c>
      <c r="K3402" s="1" t="inlineStr">
        <is>
          <t>Использование (применение) средств индивидуальной защиты</t>
        </is>
      </c>
      <c r="L3402" s="1" t="inlineStr">
        <is>
          <t>25.08.2026</t>
        </is>
      </c>
      <c r="M3402" s="1" t="inlineStr">
        <is>
          <t>Успешно</t>
        </is>
      </c>
      <c r="N3402" s="1" t="inlineStr">
        <is>
          <t>17.09.2026</t>
        </is>
      </c>
      <c r="O3402" s="1" t="inlineStr"/>
      <c r="P3402" s="1" t="inlineStr"/>
      <c r="Q3402" s="1" t="inlineStr">
        <is>
          <t>Пользовательский интерфейс</t>
        </is>
      </c>
    </row>
    <row r="3403">
      <c r="B3403" s="1" t="inlineStr">
        <is>
          <t>222717292</t>
        </is>
      </c>
      <c r="C3403" s="1" t="inlineStr">
        <is>
          <t>15953442</t>
        </is>
      </c>
      <c r="D3403" t="inlineStr">
        <is>
          <t>работник 918</t>
        </is>
      </c>
      <c r="E3403" s="1" t="inlineStr">
        <is>
          <t>ОБЩЕСТВО С ОГРАНИЧЕННОЙ ОТВЕТСТВЕННОСТЬЮ "АМУР ЗОЛОТО"</t>
        </is>
      </c>
      <c r="F3403" s="1" t="inlineStr">
        <is>
          <t>2708001686</t>
        </is>
      </c>
      <c r="G3403" s="1" t="inlineStr">
        <is>
          <t>Стропальщик</t>
        </is>
      </c>
      <c r="H3403" s="1" t="inlineStr">
        <is>
          <t>ООО "Амур Золото"</t>
        </is>
      </c>
      <c r="I3403" s="1" t="inlineStr">
        <is>
          <t>2708001686</t>
        </is>
      </c>
      <c r="J3403" s="1" t="inlineStr">
        <is>
          <t>ЮГОК МТО 26-14</t>
        </is>
      </c>
      <c r="K340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403" s="1" t="inlineStr">
        <is>
          <t>25.08.2026</t>
        </is>
      </c>
      <c r="M3403" s="1" t="inlineStr">
        <is>
          <t>Успешно</t>
        </is>
      </c>
      <c r="N3403" s="1" t="inlineStr">
        <is>
          <t>17.09.2026</t>
        </is>
      </c>
      <c r="O3403" s="1" t="inlineStr"/>
      <c r="P3403" s="1" t="inlineStr"/>
      <c r="Q3403" s="1" t="inlineStr">
        <is>
          <t>Пользовательский интерфейс</t>
        </is>
      </c>
    </row>
    <row r="3404">
      <c r="B3404" s="1" t="inlineStr">
        <is>
          <t>222717293</t>
        </is>
      </c>
      <c r="C3404" s="1" t="inlineStr">
        <is>
          <t>15953442</t>
        </is>
      </c>
      <c r="D3404" t="inlineStr">
        <is>
          <t>работник 919</t>
        </is>
      </c>
      <c r="E3404" s="1" t="inlineStr">
        <is>
          <t>ОБЩЕСТВО С ОГРАНИЧЕННОЙ ОТВЕТСТВЕННОСТЬЮ "АМУР ЗОЛОТО"</t>
        </is>
      </c>
      <c r="F3404" s="1" t="inlineStr">
        <is>
          <t>2708001686</t>
        </is>
      </c>
      <c r="G3404" s="1" t="inlineStr">
        <is>
          <t>Стропальщик</t>
        </is>
      </c>
      <c r="H3404" s="1" t="inlineStr">
        <is>
          <t>ООО "Амур Золото"</t>
        </is>
      </c>
      <c r="I3404" s="1" t="inlineStr">
        <is>
          <t>2708001686</t>
        </is>
      </c>
      <c r="J3404" s="1" t="inlineStr">
        <is>
          <t>ЮГОК МТО 26-14</t>
        </is>
      </c>
      <c r="K3404" s="1" t="inlineStr">
        <is>
          <t>Оказание первой помощи пострадавшим</t>
        </is>
      </c>
      <c r="L3404" s="1" t="inlineStr">
        <is>
          <t>25.08.2026</t>
        </is>
      </c>
      <c r="M3404" s="1" t="inlineStr">
        <is>
          <t>Успешно</t>
        </is>
      </c>
      <c r="N3404" s="1" t="inlineStr">
        <is>
          <t>17.09.2026</t>
        </is>
      </c>
      <c r="O3404" s="1" t="inlineStr"/>
      <c r="P3404" s="1" t="inlineStr"/>
      <c r="Q3404" s="1" t="inlineStr">
        <is>
          <t>Пользовательский интерфейс</t>
        </is>
      </c>
    </row>
    <row r="3405">
      <c r="B3405" s="1" t="inlineStr">
        <is>
          <t>222717294</t>
        </is>
      </c>
      <c r="C3405" s="1" t="inlineStr">
        <is>
          <t>15953442</t>
        </is>
      </c>
      <c r="D3405" t="inlineStr">
        <is>
          <t>работник 919</t>
        </is>
      </c>
      <c r="E3405" s="1" t="inlineStr">
        <is>
          <t>ОБЩЕСТВО С ОГРАНИЧЕННОЙ ОТВЕТСТВЕННОСТЬЮ "АМУР ЗОЛОТО"</t>
        </is>
      </c>
      <c r="F3405" s="1" t="inlineStr">
        <is>
          <t>2708001686</t>
        </is>
      </c>
      <c r="G3405" s="1" t="inlineStr">
        <is>
          <t>Стропальщик</t>
        </is>
      </c>
      <c r="H3405" s="1" t="inlineStr">
        <is>
          <t>ООО "Амур Золото"</t>
        </is>
      </c>
      <c r="I3405" s="1" t="inlineStr">
        <is>
          <t>2708001686</t>
        </is>
      </c>
      <c r="J3405" s="1" t="inlineStr">
        <is>
          <t>ЮГОК МТО 26-14</t>
        </is>
      </c>
      <c r="K3405" s="1" t="inlineStr">
        <is>
          <t>Использование (применение) средств индивидуальной защиты</t>
        </is>
      </c>
      <c r="L3405" s="1" t="inlineStr">
        <is>
          <t>25.08.2026</t>
        </is>
      </c>
      <c r="M3405" s="1" t="inlineStr">
        <is>
          <t>Успешно</t>
        </is>
      </c>
      <c r="N3405" s="1" t="inlineStr">
        <is>
          <t>17.09.2026</t>
        </is>
      </c>
      <c r="O3405" s="1" t="inlineStr"/>
      <c r="P3405" s="1" t="inlineStr"/>
      <c r="Q3405" s="1" t="inlineStr">
        <is>
          <t>Пользовательский интерфейс</t>
        </is>
      </c>
    </row>
    <row r="3406">
      <c r="B3406" s="1" t="inlineStr">
        <is>
          <t>222717295</t>
        </is>
      </c>
      <c r="C3406" s="1" t="inlineStr">
        <is>
          <t>15953442</t>
        </is>
      </c>
      <c r="D3406" t="inlineStr">
        <is>
          <t>работник 919</t>
        </is>
      </c>
      <c r="E3406" s="1" t="inlineStr">
        <is>
          <t>ОБЩЕСТВО С ОГРАНИЧЕННОЙ ОТВЕТСТВЕННОСТЬЮ "АМУР ЗОЛОТО"</t>
        </is>
      </c>
      <c r="F3406" s="1" t="inlineStr">
        <is>
          <t>2708001686</t>
        </is>
      </c>
      <c r="G3406" s="1" t="inlineStr">
        <is>
          <t>Стропальщик</t>
        </is>
      </c>
      <c r="H3406" s="1" t="inlineStr">
        <is>
          <t>ООО "Амур Золото"</t>
        </is>
      </c>
      <c r="I3406" s="1" t="inlineStr">
        <is>
          <t>2708001686</t>
        </is>
      </c>
      <c r="J3406" s="1" t="inlineStr">
        <is>
          <t>ЮГОК МТО 26-14</t>
        </is>
      </c>
      <c r="K340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406" s="1" t="inlineStr">
        <is>
          <t>25.08.2026</t>
        </is>
      </c>
      <c r="M3406" s="1" t="inlineStr">
        <is>
          <t>Успешно</t>
        </is>
      </c>
      <c r="N3406" s="1" t="inlineStr">
        <is>
          <t>17.09.2026</t>
        </is>
      </c>
      <c r="O3406" s="1" t="inlineStr"/>
      <c r="P3406" s="1" t="inlineStr"/>
      <c r="Q3406" s="1" t="inlineStr">
        <is>
          <t>Пользовательский интерфейс</t>
        </is>
      </c>
    </row>
    <row r="3407">
      <c r="B3407" s="1" t="inlineStr">
        <is>
          <t>222717296</t>
        </is>
      </c>
      <c r="C3407" s="1" t="inlineStr">
        <is>
          <t>15953442</t>
        </is>
      </c>
      <c r="D3407" t="inlineStr">
        <is>
          <t>работник 920</t>
        </is>
      </c>
      <c r="E3407" s="1" t="inlineStr">
        <is>
          <t>ОБЩЕСТВО С ОГРАНИЧЕННОЙ ОТВЕТСТВЕННОСТЬЮ "АМУР ЗОЛОТО"</t>
        </is>
      </c>
      <c r="F3407" s="1" t="inlineStr">
        <is>
          <t>2708001686</t>
        </is>
      </c>
      <c r="G3407" s="1" t="inlineStr">
        <is>
          <t>Мастер погрузочно-разгрузочных работ</t>
        </is>
      </c>
      <c r="H3407" s="1" t="inlineStr">
        <is>
          <t>ООО "Амур Золото"</t>
        </is>
      </c>
      <c r="I3407" s="1" t="inlineStr">
        <is>
          <t>2708001686</t>
        </is>
      </c>
      <c r="J3407" s="1" t="inlineStr">
        <is>
          <t>ЮГОК МТО 26-15</t>
        </is>
      </c>
      <c r="K3407" s="1" t="inlineStr">
        <is>
          <t>Оказание первой помощи пострадавшим</t>
        </is>
      </c>
      <c r="L3407" s="1" t="inlineStr">
        <is>
          <t>25.08.2026</t>
        </is>
      </c>
      <c r="M3407" s="1" t="inlineStr">
        <is>
          <t>Успешно</t>
        </is>
      </c>
      <c r="N3407" s="1" t="inlineStr">
        <is>
          <t>17.09.2026</t>
        </is>
      </c>
      <c r="O3407" s="1" t="inlineStr"/>
      <c r="P3407" s="1" t="inlineStr"/>
      <c r="Q3407" s="1" t="inlineStr">
        <is>
          <t>Пользовательский интерфейс</t>
        </is>
      </c>
    </row>
    <row r="3408">
      <c r="B3408" s="1" t="inlineStr">
        <is>
          <t>222717297</t>
        </is>
      </c>
      <c r="C3408" s="1" t="inlineStr">
        <is>
          <t>15953442</t>
        </is>
      </c>
      <c r="D3408" t="inlineStr">
        <is>
          <t>работник 920</t>
        </is>
      </c>
      <c r="E3408" s="1" t="inlineStr">
        <is>
          <t>ОБЩЕСТВО С ОГРАНИЧЕННОЙ ОТВЕТСТВЕННОСТЬЮ "АМУР ЗОЛОТО"</t>
        </is>
      </c>
      <c r="F3408" s="1" t="inlineStr">
        <is>
          <t>2708001686</t>
        </is>
      </c>
      <c r="G3408" s="1" t="inlineStr">
        <is>
          <t>Мастер погрузочно-разгрузочных работ</t>
        </is>
      </c>
      <c r="H3408" s="1" t="inlineStr">
        <is>
          <t>ООО "Амур Золото"</t>
        </is>
      </c>
      <c r="I3408" s="1" t="inlineStr">
        <is>
          <t>2708001686</t>
        </is>
      </c>
      <c r="J3408" s="1" t="inlineStr">
        <is>
          <t>ЮГОК МТО 26-15</t>
        </is>
      </c>
      <c r="K3408" s="1" t="inlineStr">
        <is>
          <t>Использование (применение) средств индивидуальной защиты</t>
        </is>
      </c>
      <c r="L3408" s="1" t="inlineStr">
        <is>
          <t>25.08.2026</t>
        </is>
      </c>
      <c r="M3408" s="1" t="inlineStr">
        <is>
          <t>Успешно</t>
        </is>
      </c>
      <c r="N3408" s="1" t="inlineStr">
        <is>
          <t>17.09.2026</t>
        </is>
      </c>
      <c r="O3408" s="1" t="inlineStr"/>
      <c r="P3408" s="1" t="inlineStr"/>
      <c r="Q3408" s="1" t="inlineStr">
        <is>
          <t>Пользовательский интерфейс</t>
        </is>
      </c>
    </row>
    <row r="3409">
      <c r="B3409" s="1" t="inlineStr">
        <is>
          <t>222717298</t>
        </is>
      </c>
      <c r="C3409" s="1" t="inlineStr">
        <is>
          <t>15953442</t>
        </is>
      </c>
      <c r="D3409" t="inlineStr">
        <is>
          <t>работник 920</t>
        </is>
      </c>
      <c r="E3409" s="1" t="inlineStr">
        <is>
          <t>ОБЩЕСТВО С ОГРАНИЧЕННОЙ ОТВЕТСТВЕННОСТЬЮ "АМУР ЗОЛОТО"</t>
        </is>
      </c>
      <c r="F3409" s="1" t="inlineStr">
        <is>
          <t>2708001686</t>
        </is>
      </c>
      <c r="G3409" s="1" t="inlineStr">
        <is>
          <t>Мастер погрузочно-разгрузочных работ</t>
        </is>
      </c>
      <c r="H3409" s="1" t="inlineStr">
        <is>
          <t>ООО "Амур Золото"</t>
        </is>
      </c>
      <c r="I3409" s="1" t="inlineStr">
        <is>
          <t>2708001686</t>
        </is>
      </c>
      <c r="J3409" s="1" t="inlineStr">
        <is>
          <t>ЮГОК МТО 26-15</t>
        </is>
      </c>
      <c r="K340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409" s="1" t="inlineStr">
        <is>
          <t>25.08.2026</t>
        </is>
      </c>
      <c r="M3409" s="1" t="inlineStr">
        <is>
          <t>Успешно</t>
        </is>
      </c>
      <c r="N3409" s="1" t="inlineStr">
        <is>
          <t>17.09.2026</t>
        </is>
      </c>
      <c r="O3409" s="1" t="inlineStr"/>
      <c r="P3409" s="1" t="inlineStr"/>
      <c r="Q3409" s="1" t="inlineStr">
        <is>
          <t>Пользовательский интерфейс</t>
        </is>
      </c>
    </row>
    <row r="3410">
      <c r="B3410" s="1" t="inlineStr">
        <is>
          <t>222717299</t>
        </is>
      </c>
      <c r="C3410" s="1" t="inlineStr">
        <is>
          <t>15953442</t>
        </is>
      </c>
      <c r="D3410" t="inlineStr">
        <is>
          <t>работник 386</t>
        </is>
      </c>
      <c r="E3410" s="1" t="inlineStr">
        <is>
          <t>ОБЩЕСТВО С ОГРАНИЧЕННОЙ ОТВЕТСТВЕННОСТЬЮ "АМУР ЗОЛОТО"</t>
        </is>
      </c>
      <c r="F3410" s="1" t="inlineStr">
        <is>
          <t>2708001686</t>
        </is>
      </c>
      <c r="G3410" s="1" t="inlineStr">
        <is>
          <t>Горнорабочий на геологических работах</t>
        </is>
      </c>
      <c r="H3410" s="1" t="inlineStr">
        <is>
          <t>ООО "Амур Золото"</t>
        </is>
      </c>
      <c r="I3410" s="1" t="inlineStr">
        <is>
          <t>2708001686</t>
        </is>
      </c>
      <c r="J3410" s="1" t="inlineStr">
        <is>
          <t>ЮГОК ОГГ 26-08</t>
        </is>
      </c>
      <c r="K3410" s="1" t="inlineStr">
        <is>
          <t>Оказание первой помощи пострадавшим</t>
        </is>
      </c>
      <c r="L3410" s="1" t="inlineStr">
        <is>
          <t>25.08.2026</t>
        </is>
      </c>
      <c r="M3410" s="1" t="inlineStr">
        <is>
          <t>Успешно</t>
        </is>
      </c>
      <c r="N3410" s="1" t="inlineStr">
        <is>
          <t>17.09.2026</t>
        </is>
      </c>
      <c r="O3410" s="1" t="inlineStr"/>
      <c r="P3410" s="1" t="inlineStr"/>
      <c r="Q3410" s="1" t="inlineStr">
        <is>
          <t>Пользовательский интерфейс</t>
        </is>
      </c>
    </row>
    <row r="3411">
      <c r="B3411" s="1" t="inlineStr">
        <is>
          <t>222717300</t>
        </is>
      </c>
      <c r="C3411" s="1" t="inlineStr">
        <is>
          <t>15953442</t>
        </is>
      </c>
      <c r="D3411" t="inlineStr">
        <is>
          <t>работник 386</t>
        </is>
      </c>
      <c r="E3411" s="1" t="inlineStr">
        <is>
          <t>ОБЩЕСТВО С ОГРАНИЧЕННОЙ ОТВЕТСТВЕННОСТЬЮ "АМУР ЗОЛОТО"</t>
        </is>
      </c>
      <c r="F3411" s="1" t="inlineStr">
        <is>
          <t>2708001686</t>
        </is>
      </c>
      <c r="G3411" s="1" t="inlineStr">
        <is>
          <t>Горнорабочий на геологических работах</t>
        </is>
      </c>
      <c r="H3411" s="1" t="inlineStr">
        <is>
          <t>ООО "Амур Золото"</t>
        </is>
      </c>
      <c r="I3411" s="1" t="inlineStr">
        <is>
          <t>2708001686</t>
        </is>
      </c>
      <c r="J3411" s="1" t="inlineStr">
        <is>
          <t>ЮГОК ОГГ 26-08</t>
        </is>
      </c>
      <c r="K3411" s="1" t="inlineStr">
        <is>
          <t>Использование (применение) средств индивидуальной защиты</t>
        </is>
      </c>
      <c r="L3411" s="1" t="inlineStr">
        <is>
          <t>25.08.2026</t>
        </is>
      </c>
      <c r="M3411" s="1" t="inlineStr">
        <is>
          <t>Успешно</t>
        </is>
      </c>
      <c r="N3411" s="1" t="inlineStr">
        <is>
          <t>17.09.2026</t>
        </is>
      </c>
      <c r="O3411" s="1" t="inlineStr"/>
      <c r="P3411" s="1" t="inlineStr"/>
      <c r="Q3411" s="1" t="inlineStr">
        <is>
          <t>Пользовательский интерфейс</t>
        </is>
      </c>
    </row>
    <row r="3412">
      <c r="B3412" s="1" t="inlineStr">
        <is>
          <t>222717301</t>
        </is>
      </c>
      <c r="C3412" s="1" t="inlineStr">
        <is>
          <t>15953442</t>
        </is>
      </c>
      <c r="D3412" t="inlineStr">
        <is>
          <t>работник 386</t>
        </is>
      </c>
      <c r="E3412" s="1" t="inlineStr">
        <is>
          <t>ОБЩЕСТВО С ОГРАНИЧЕННОЙ ОТВЕТСТВЕННОСТЬЮ "АМУР ЗОЛОТО"</t>
        </is>
      </c>
      <c r="F3412" s="1" t="inlineStr">
        <is>
          <t>2708001686</t>
        </is>
      </c>
      <c r="G3412" s="1" t="inlineStr">
        <is>
          <t>Горнорабочий на геологических работах</t>
        </is>
      </c>
      <c r="H3412" s="1" t="inlineStr">
        <is>
          <t>ООО "Амур Золото"</t>
        </is>
      </c>
      <c r="I3412" s="1" t="inlineStr">
        <is>
          <t>2708001686</t>
        </is>
      </c>
      <c r="J3412" s="1" t="inlineStr">
        <is>
          <t>ЮГОК ОГГ 26-08</t>
        </is>
      </c>
      <c r="K341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412" s="1" t="inlineStr">
        <is>
          <t>25.08.2026</t>
        </is>
      </c>
      <c r="M3412" s="1" t="inlineStr">
        <is>
          <t>Успешно</t>
        </is>
      </c>
      <c r="N3412" s="1" t="inlineStr">
        <is>
          <t>17.09.2026</t>
        </is>
      </c>
      <c r="O3412" s="1" t="inlineStr"/>
      <c r="P3412" s="1" t="inlineStr"/>
      <c r="Q3412" s="1" t="inlineStr">
        <is>
          <t>Пользовательский интерфейс</t>
        </is>
      </c>
    </row>
    <row r="3413">
      <c r="B3413" s="1" t="inlineStr">
        <is>
          <t>222717302</t>
        </is>
      </c>
      <c r="C3413" s="1" t="inlineStr">
        <is>
          <t>15953442</t>
        </is>
      </c>
      <c r="D3413" t="inlineStr">
        <is>
          <t>работник 94</t>
        </is>
      </c>
      <c r="E3413" s="1" t="inlineStr">
        <is>
          <t>ОБЩЕСТВО С ОГРАНИЧЕННОЙ ОТВЕТСТВЕННОСТЬЮ "АМУР ЗОЛОТО"</t>
        </is>
      </c>
      <c r="F3413" s="1" t="inlineStr">
        <is>
          <t>2708001686</t>
        </is>
      </c>
      <c r="G3413" s="1" t="inlineStr">
        <is>
          <t>Горнорабочий на геологических работах</t>
        </is>
      </c>
      <c r="H3413" s="1" t="inlineStr">
        <is>
          <t>ООО "Амур Золото"</t>
        </is>
      </c>
      <c r="I3413" s="1" t="inlineStr">
        <is>
          <t>2708001686</t>
        </is>
      </c>
      <c r="J3413" s="1" t="inlineStr">
        <is>
          <t>ЮГОК ОГГ 26-08</t>
        </is>
      </c>
      <c r="K3413" s="1" t="inlineStr">
        <is>
          <t>Оказание первой помощи пострадавшим</t>
        </is>
      </c>
      <c r="L3413" s="1" t="inlineStr">
        <is>
          <t>25.08.2026</t>
        </is>
      </c>
      <c r="M3413" s="1" t="inlineStr">
        <is>
          <t>Успешно</t>
        </is>
      </c>
      <c r="N3413" s="1" t="inlineStr">
        <is>
          <t>17.09.2026</t>
        </is>
      </c>
      <c r="O3413" s="1" t="inlineStr"/>
      <c r="P3413" s="1" t="inlineStr"/>
      <c r="Q3413" s="1" t="inlineStr">
        <is>
          <t>Пользовательский интерфейс</t>
        </is>
      </c>
    </row>
    <row r="3414">
      <c r="B3414" s="1" t="inlineStr">
        <is>
          <t>222717303</t>
        </is>
      </c>
      <c r="C3414" s="1" t="inlineStr">
        <is>
          <t>15953442</t>
        </is>
      </c>
      <c r="D3414" t="inlineStr">
        <is>
          <t>работник 94</t>
        </is>
      </c>
      <c r="E3414" s="1" t="inlineStr">
        <is>
          <t>ОБЩЕСТВО С ОГРАНИЧЕННОЙ ОТВЕТСТВЕННОСТЬЮ "АМУР ЗОЛОТО"</t>
        </is>
      </c>
      <c r="F3414" s="1" t="inlineStr">
        <is>
          <t>2708001686</t>
        </is>
      </c>
      <c r="G3414" s="1" t="inlineStr">
        <is>
          <t>Горнорабочий на геологических работах</t>
        </is>
      </c>
      <c r="H3414" s="1" t="inlineStr">
        <is>
          <t>ООО "Амур Золото"</t>
        </is>
      </c>
      <c r="I3414" s="1" t="inlineStr">
        <is>
          <t>2708001686</t>
        </is>
      </c>
      <c r="J3414" s="1" t="inlineStr">
        <is>
          <t>ЮГОК ОГГ 26-08</t>
        </is>
      </c>
      <c r="K3414" s="1" t="inlineStr">
        <is>
          <t>Использование (применение) средств индивидуальной защиты</t>
        </is>
      </c>
      <c r="L3414" s="1" t="inlineStr">
        <is>
          <t>25.08.2026</t>
        </is>
      </c>
      <c r="M3414" s="1" t="inlineStr">
        <is>
          <t>Успешно</t>
        </is>
      </c>
      <c r="N3414" s="1" t="inlineStr">
        <is>
          <t>17.09.2026</t>
        </is>
      </c>
      <c r="O3414" s="1" t="inlineStr"/>
      <c r="P3414" s="1" t="inlineStr"/>
      <c r="Q3414" s="1" t="inlineStr">
        <is>
          <t>Пользовательский интерфейс</t>
        </is>
      </c>
    </row>
    <row r="3415">
      <c r="B3415" s="1" t="inlineStr">
        <is>
          <t>222717304</t>
        </is>
      </c>
      <c r="C3415" s="1" t="inlineStr">
        <is>
          <t>15953442</t>
        </is>
      </c>
      <c r="D3415" t="inlineStr">
        <is>
          <t>работник 94</t>
        </is>
      </c>
      <c r="E3415" s="1" t="inlineStr">
        <is>
          <t>ОБЩЕСТВО С ОГРАНИЧЕННОЙ ОТВЕТСТВЕННОСТЬЮ "АМУР ЗОЛОТО"</t>
        </is>
      </c>
      <c r="F3415" s="1" t="inlineStr">
        <is>
          <t>2708001686</t>
        </is>
      </c>
      <c r="G3415" s="1" t="inlineStr">
        <is>
          <t>Горнорабочий на геологических работах</t>
        </is>
      </c>
      <c r="H3415" s="1" t="inlineStr">
        <is>
          <t>ООО "Амур Золото"</t>
        </is>
      </c>
      <c r="I3415" s="1" t="inlineStr">
        <is>
          <t>2708001686</t>
        </is>
      </c>
      <c r="J3415" s="1" t="inlineStr">
        <is>
          <t>ЮГОК ОГГ 26-08</t>
        </is>
      </c>
      <c r="K341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415" s="1" t="inlineStr">
        <is>
          <t>25.08.2026</t>
        </is>
      </c>
      <c r="M3415" s="1" t="inlineStr">
        <is>
          <t>Успешно</t>
        </is>
      </c>
      <c r="N3415" s="1" t="inlineStr">
        <is>
          <t>17.09.2026</t>
        </is>
      </c>
      <c r="O3415" s="1" t="inlineStr"/>
      <c r="P3415" s="1" t="inlineStr"/>
      <c r="Q3415" s="1" t="inlineStr">
        <is>
          <t>Пользовательский интерфейс</t>
        </is>
      </c>
    </row>
    <row r="3416">
      <c r="B3416" s="1" t="inlineStr">
        <is>
          <t>222717305</t>
        </is>
      </c>
      <c r="C3416" s="1" t="inlineStr">
        <is>
          <t>15953442</t>
        </is>
      </c>
      <c r="D3416" t="inlineStr">
        <is>
          <t>работник 630</t>
        </is>
      </c>
      <c r="E3416" s="1" t="inlineStr">
        <is>
          <t>ОБЩЕСТВО С ОГРАНИЧЕННОЙ ОТВЕТСТВЕННОСТЬЮ "АМУР ЗОЛОТО"</t>
        </is>
      </c>
      <c r="F3416" s="1" t="inlineStr">
        <is>
          <t>2708001686</t>
        </is>
      </c>
      <c r="G3416" s="1" t="inlineStr">
        <is>
          <t>Горнорабочий на маркшейдерских работах</t>
        </is>
      </c>
      <c r="H3416" s="1" t="inlineStr">
        <is>
          <t>ООО "Амур Золото"</t>
        </is>
      </c>
      <c r="I3416" s="1" t="inlineStr">
        <is>
          <t>2708001686</t>
        </is>
      </c>
      <c r="J3416" s="1" t="inlineStr">
        <is>
          <t>ЮГОК ОГМ 26-05</t>
        </is>
      </c>
      <c r="K3416" s="1" t="inlineStr">
        <is>
          <t>Оказание первой помощи пострадавшим</t>
        </is>
      </c>
      <c r="L3416" s="1" t="inlineStr">
        <is>
          <t>25.08.2026</t>
        </is>
      </c>
      <c r="M3416" s="1" t="inlineStr">
        <is>
          <t>Успешно</t>
        </is>
      </c>
      <c r="N3416" s="1" t="inlineStr">
        <is>
          <t>17.09.2026</t>
        </is>
      </c>
      <c r="O3416" s="1" t="inlineStr"/>
      <c r="P3416" s="1" t="inlineStr"/>
      <c r="Q3416" s="1" t="inlineStr">
        <is>
          <t>Пользовательский интерфейс</t>
        </is>
      </c>
    </row>
    <row r="3417">
      <c r="B3417" s="1" t="inlineStr">
        <is>
          <t>222717306</t>
        </is>
      </c>
      <c r="C3417" s="1" t="inlineStr">
        <is>
          <t>15953442</t>
        </is>
      </c>
      <c r="D3417" t="inlineStr">
        <is>
          <t>работник 630</t>
        </is>
      </c>
      <c r="E3417" s="1" t="inlineStr">
        <is>
          <t>ОБЩЕСТВО С ОГРАНИЧЕННОЙ ОТВЕТСТВЕННОСТЬЮ "АМУР ЗОЛОТО"</t>
        </is>
      </c>
      <c r="F3417" s="1" t="inlineStr">
        <is>
          <t>2708001686</t>
        </is>
      </c>
      <c r="G3417" s="1" t="inlineStr">
        <is>
          <t>Горнорабочий на маркшейдерских работах</t>
        </is>
      </c>
      <c r="H3417" s="1" t="inlineStr">
        <is>
          <t>ООО "Амур Золото"</t>
        </is>
      </c>
      <c r="I3417" s="1" t="inlineStr">
        <is>
          <t>2708001686</t>
        </is>
      </c>
      <c r="J3417" s="1" t="inlineStr">
        <is>
          <t>ЮГОК ОГМ 26-05</t>
        </is>
      </c>
      <c r="K3417" s="1" t="inlineStr">
        <is>
          <t>Использование (применение) средств индивидуальной защиты</t>
        </is>
      </c>
      <c r="L3417" s="1" t="inlineStr">
        <is>
          <t>25.08.2026</t>
        </is>
      </c>
      <c r="M3417" s="1" t="inlineStr">
        <is>
          <t>Успешно</t>
        </is>
      </c>
      <c r="N3417" s="1" t="inlineStr">
        <is>
          <t>17.09.2026</t>
        </is>
      </c>
      <c r="O3417" s="1" t="inlineStr"/>
      <c r="P3417" s="1" t="inlineStr"/>
      <c r="Q3417" s="1" t="inlineStr">
        <is>
          <t>Пользовательский интерфейс</t>
        </is>
      </c>
    </row>
    <row r="3418">
      <c r="B3418" s="1" t="inlineStr">
        <is>
          <t>222717307</t>
        </is>
      </c>
      <c r="C3418" s="1" t="inlineStr">
        <is>
          <t>15953442</t>
        </is>
      </c>
      <c r="D3418" t="inlineStr">
        <is>
          <t>работник 630</t>
        </is>
      </c>
      <c r="E3418" s="1" t="inlineStr">
        <is>
          <t>ОБЩЕСТВО С ОГРАНИЧЕННОЙ ОТВЕТСТВЕННОСТЬЮ "АМУР ЗОЛОТО"</t>
        </is>
      </c>
      <c r="F3418" s="1" t="inlineStr">
        <is>
          <t>2708001686</t>
        </is>
      </c>
      <c r="G3418" s="1" t="inlineStr">
        <is>
          <t>Горнорабочий на маркшейдерских работах</t>
        </is>
      </c>
      <c r="H3418" s="1" t="inlineStr">
        <is>
          <t>ООО "Амур Золото"</t>
        </is>
      </c>
      <c r="I3418" s="1" t="inlineStr">
        <is>
          <t>2708001686</t>
        </is>
      </c>
      <c r="J3418" s="1" t="inlineStr">
        <is>
          <t>ЮГОК ОГМ 26-05</t>
        </is>
      </c>
      <c r="K341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418" s="1" t="inlineStr">
        <is>
          <t>25.08.2026</t>
        </is>
      </c>
      <c r="M3418" s="1" t="inlineStr">
        <is>
          <t>Успешно</t>
        </is>
      </c>
      <c r="N3418" s="1" t="inlineStr">
        <is>
          <t>17.09.2026</t>
        </is>
      </c>
      <c r="O3418" s="1" t="inlineStr"/>
      <c r="P3418" s="1" t="inlineStr"/>
      <c r="Q3418" s="1" t="inlineStr">
        <is>
          <t>Пользовательский интерфейс</t>
        </is>
      </c>
    </row>
    <row r="3419">
      <c r="B3419" s="1" t="inlineStr">
        <is>
          <t>222717308</t>
        </is>
      </c>
      <c r="C3419" s="1" t="inlineStr">
        <is>
          <t>15953442</t>
        </is>
      </c>
      <c r="D3419" t="inlineStr">
        <is>
          <t>работник 672</t>
        </is>
      </c>
      <c r="E3419" s="1" t="inlineStr">
        <is>
          <t>ОБЩЕСТВО С ОГРАНИЧЕННОЙ ОТВЕТСТВЕННОСТЬЮ "АМУР ЗОЛОТО"</t>
        </is>
      </c>
      <c r="F3419" s="1" t="inlineStr">
        <is>
          <t>2708001686</t>
        </is>
      </c>
      <c r="G3419" s="1" t="inlineStr">
        <is>
          <t>Горнорабочий на маркшейдерских работах</t>
        </is>
      </c>
      <c r="H3419" s="1" t="inlineStr">
        <is>
          <t>ООО "Амур Золото"</t>
        </is>
      </c>
      <c r="I3419" s="1" t="inlineStr">
        <is>
          <t>2708001686</t>
        </is>
      </c>
      <c r="J3419" s="1" t="inlineStr">
        <is>
          <t>ЮГОК ОГМ 26-05</t>
        </is>
      </c>
      <c r="K3419" s="1" t="inlineStr">
        <is>
          <t>Оказание первой помощи пострадавшим</t>
        </is>
      </c>
      <c r="L3419" s="1" t="inlineStr">
        <is>
          <t>25.08.2026</t>
        </is>
      </c>
      <c r="M3419" s="1" t="inlineStr">
        <is>
          <t>Успешно</t>
        </is>
      </c>
      <c r="N3419" s="1" t="inlineStr">
        <is>
          <t>17.09.2026</t>
        </is>
      </c>
      <c r="O3419" s="1" t="inlineStr"/>
      <c r="P3419" s="1" t="inlineStr"/>
      <c r="Q3419" s="1" t="inlineStr">
        <is>
          <t>Пользовательский интерфейс</t>
        </is>
      </c>
    </row>
    <row r="3420">
      <c r="B3420" s="1" t="inlineStr">
        <is>
          <t>222717309</t>
        </is>
      </c>
      <c r="C3420" s="1" t="inlineStr">
        <is>
          <t>15953442</t>
        </is>
      </c>
      <c r="D3420" t="inlineStr">
        <is>
          <t>работник 672</t>
        </is>
      </c>
      <c r="E3420" s="1" t="inlineStr">
        <is>
          <t>ОБЩЕСТВО С ОГРАНИЧЕННОЙ ОТВЕТСТВЕННОСТЬЮ "АМУР ЗОЛОТО"</t>
        </is>
      </c>
      <c r="F3420" s="1" t="inlineStr">
        <is>
          <t>2708001686</t>
        </is>
      </c>
      <c r="G3420" s="1" t="inlineStr">
        <is>
          <t>Горнорабочий на маркшейдерских работах</t>
        </is>
      </c>
      <c r="H3420" s="1" t="inlineStr">
        <is>
          <t>ООО "Амур Золото"</t>
        </is>
      </c>
      <c r="I3420" s="1" t="inlineStr">
        <is>
          <t>2708001686</t>
        </is>
      </c>
      <c r="J3420" s="1" t="inlineStr">
        <is>
          <t>ЮГОК ОГМ 26-05</t>
        </is>
      </c>
      <c r="K3420" s="1" t="inlineStr">
        <is>
          <t>Использование (применение) средств индивидуальной защиты</t>
        </is>
      </c>
      <c r="L3420" s="1" t="inlineStr">
        <is>
          <t>25.08.2026</t>
        </is>
      </c>
      <c r="M3420" s="1" t="inlineStr">
        <is>
          <t>Успешно</t>
        </is>
      </c>
      <c r="N3420" s="1" t="inlineStr">
        <is>
          <t>17.09.2026</t>
        </is>
      </c>
      <c r="O3420" s="1" t="inlineStr"/>
      <c r="P3420" s="1" t="inlineStr"/>
      <c r="Q3420" s="1" t="inlineStr">
        <is>
          <t>Пользовательский интерфейс</t>
        </is>
      </c>
    </row>
    <row r="3421">
      <c r="B3421" s="1" t="inlineStr">
        <is>
          <t>222717310</t>
        </is>
      </c>
      <c r="C3421" s="1" t="inlineStr">
        <is>
          <t>15953442</t>
        </is>
      </c>
      <c r="D3421" t="inlineStr">
        <is>
          <t>работник 672</t>
        </is>
      </c>
      <c r="E3421" s="1" t="inlineStr">
        <is>
          <t>ОБЩЕСТВО С ОГРАНИЧЕННОЙ ОТВЕТСТВЕННОСТЬЮ "АМУР ЗОЛОТО"</t>
        </is>
      </c>
      <c r="F3421" s="1" t="inlineStr">
        <is>
          <t>2708001686</t>
        </is>
      </c>
      <c r="G3421" s="1" t="inlineStr">
        <is>
          <t>Горнорабочий на маркшейдерских работах</t>
        </is>
      </c>
      <c r="H3421" s="1" t="inlineStr">
        <is>
          <t>ООО "Амур Золото"</t>
        </is>
      </c>
      <c r="I3421" s="1" t="inlineStr">
        <is>
          <t>2708001686</t>
        </is>
      </c>
      <c r="J3421" s="1" t="inlineStr">
        <is>
          <t>ЮГОК ОГМ 26-05</t>
        </is>
      </c>
      <c r="K342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421" s="1" t="inlineStr">
        <is>
          <t>25.08.2026</t>
        </is>
      </c>
      <c r="M3421" s="1" t="inlineStr">
        <is>
          <t>Успешно</t>
        </is>
      </c>
      <c r="N3421" s="1" t="inlineStr">
        <is>
          <t>17.09.2026</t>
        </is>
      </c>
      <c r="O3421" s="1" t="inlineStr"/>
      <c r="P3421" s="1" t="inlineStr"/>
      <c r="Q3421" s="1" t="inlineStr">
        <is>
          <t>Пользовательский интерфейс</t>
        </is>
      </c>
    </row>
    <row r="3422">
      <c r="B3422" s="1" t="inlineStr">
        <is>
          <t>222717311</t>
        </is>
      </c>
      <c r="C3422" s="1" t="inlineStr">
        <is>
          <t>15953442</t>
        </is>
      </c>
      <c r="D3422" t="inlineStr">
        <is>
          <t>работник 921</t>
        </is>
      </c>
      <c r="E3422" s="1" t="inlineStr">
        <is>
          <t>ОБЩЕСТВО С ОГРАНИЧЕННОЙ ОТВЕТСТВЕННОСТЬЮ "АМУР ЗОЛОТО"</t>
        </is>
      </c>
      <c r="F3422" s="1" t="inlineStr">
        <is>
          <t>2708001686</t>
        </is>
      </c>
      <c r="G3422" s="1" t="inlineStr">
        <is>
          <t>Оператор дизельных котлов</t>
        </is>
      </c>
      <c r="H3422" s="1" t="inlineStr">
        <is>
          <t>ООО "Амур Золото"</t>
        </is>
      </c>
      <c r="I3422" s="1" t="inlineStr">
        <is>
          <t>2708001686</t>
        </is>
      </c>
      <c r="J3422" s="1" t="inlineStr">
        <is>
          <t>ЮГОК ЭУ 12-26</t>
        </is>
      </c>
      <c r="K3422" s="1" t="inlineStr">
        <is>
          <t>Использование (применение) средств индивидуальной защиты</t>
        </is>
      </c>
      <c r="L3422" s="1" t="inlineStr">
        <is>
          <t>21.08.2026</t>
        </is>
      </c>
      <c r="M3422" s="1" t="inlineStr">
        <is>
          <t>Успешно</t>
        </is>
      </c>
      <c r="N3422" s="1" t="inlineStr">
        <is>
          <t>17.09.2026</t>
        </is>
      </c>
      <c r="O3422" s="1" t="inlineStr"/>
      <c r="P3422" s="1" t="inlineStr"/>
      <c r="Q3422" s="1" t="inlineStr">
        <is>
          <t>Пользовательский интерфейс</t>
        </is>
      </c>
    </row>
    <row r="3423">
      <c r="B3423" s="1" t="inlineStr">
        <is>
          <t>222717312</t>
        </is>
      </c>
      <c r="C3423" s="1" t="inlineStr">
        <is>
          <t>15953442</t>
        </is>
      </c>
      <c r="D3423" t="inlineStr">
        <is>
          <t>работник 921</t>
        </is>
      </c>
      <c r="E3423" s="1" t="inlineStr">
        <is>
          <t>ОБЩЕСТВО С ОГРАНИЧЕННОЙ ОТВЕТСТВЕННОСТЬЮ "АМУР ЗОЛОТО"</t>
        </is>
      </c>
      <c r="F3423" s="1" t="inlineStr">
        <is>
          <t>2708001686</t>
        </is>
      </c>
      <c r="G3423" s="1" t="inlineStr">
        <is>
          <t>Оператор дизельных котлов</t>
        </is>
      </c>
      <c r="H3423" s="1" t="inlineStr">
        <is>
          <t>ООО "Амур Золото"</t>
        </is>
      </c>
      <c r="I3423" s="1" t="inlineStr">
        <is>
          <t>2708001686</t>
        </is>
      </c>
      <c r="J3423" s="1" t="inlineStr">
        <is>
          <t>ЮГОК ЭУ 12-26</t>
        </is>
      </c>
      <c r="K342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423" s="1" t="inlineStr">
        <is>
          <t>21.08.2026</t>
        </is>
      </c>
      <c r="M3423" s="1" t="inlineStr">
        <is>
          <t>Успешно</t>
        </is>
      </c>
      <c r="N3423" s="1" t="inlineStr">
        <is>
          <t>17.09.2026</t>
        </is>
      </c>
      <c r="O3423" s="1" t="inlineStr"/>
      <c r="P3423" s="1" t="inlineStr"/>
      <c r="Q3423" s="1" t="inlineStr">
        <is>
          <t>Пользовательский интерфейс</t>
        </is>
      </c>
    </row>
    <row r="3424">
      <c r="B3424" s="1" t="inlineStr">
        <is>
          <t>222717313</t>
        </is>
      </c>
      <c r="C3424" s="1" t="inlineStr">
        <is>
          <t>15953442</t>
        </is>
      </c>
      <c r="D3424" t="inlineStr">
        <is>
          <t>работник 610</t>
        </is>
      </c>
      <c r="E3424" s="1" t="inlineStr">
        <is>
          <t>ОБЩЕСТВО С ОГРАНИЧЕННОЙ ОТВЕТСТВЕННОСТЬЮ "АМУР ЗОЛОТО"</t>
        </is>
      </c>
      <c r="F3424" s="1" t="inlineStr">
        <is>
          <t>2708001686</t>
        </is>
      </c>
      <c r="G3424" s="1" t="inlineStr">
        <is>
          <t>Аппаратчик воздухоразделения</t>
        </is>
      </c>
      <c r="H3424" s="1" t="inlineStr">
        <is>
          <t>ООО "Амур Золото"</t>
        </is>
      </c>
      <c r="I3424" s="1" t="inlineStr">
        <is>
          <t>2708001686</t>
        </is>
      </c>
      <c r="J3424" s="1" t="inlineStr">
        <is>
          <t>ЮГОК ЭУ 13-26</t>
        </is>
      </c>
      <c r="K3424" s="1" t="inlineStr">
        <is>
          <t>Использование (применение) средств индивидуальной защиты</t>
        </is>
      </c>
      <c r="L3424" s="1" t="inlineStr">
        <is>
          <t>21.08.2026</t>
        </is>
      </c>
      <c r="M3424" s="1" t="inlineStr">
        <is>
          <t>Успешно</t>
        </is>
      </c>
      <c r="N3424" s="1" t="inlineStr">
        <is>
          <t>17.09.2026</t>
        </is>
      </c>
      <c r="O3424" s="1" t="inlineStr"/>
      <c r="P3424" s="1" t="inlineStr"/>
      <c r="Q3424" s="1" t="inlineStr">
        <is>
          <t>Пользовательский интерфейс</t>
        </is>
      </c>
    </row>
    <row r="3425">
      <c r="B3425" s="1" t="inlineStr">
        <is>
          <t>222717314</t>
        </is>
      </c>
      <c r="C3425" s="1" t="inlineStr">
        <is>
          <t>15953442</t>
        </is>
      </c>
      <c r="D3425" t="inlineStr">
        <is>
          <t>работник 610</t>
        </is>
      </c>
      <c r="E3425" s="1" t="inlineStr">
        <is>
          <t>ОБЩЕСТВО С ОГРАНИЧЕННОЙ ОТВЕТСТВЕННОСТЬЮ "АМУР ЗОЛОТО"</t>
        </is>
      </c>
      <c r="F3425" s="1" t="inlineStr">
        <is>
          <t>2708001686</t>
        </is>
      </c>
      <c r="G3425" s="1" t="inlineStr">
        <is>
          <t>Аппаратчик воздухоразделения</t>
        </is>
      </c>
      <c r="H3425" s="1" t="inlineStr">
        <is>
          <t>ООО "Амур Золото"</t>
        </is>
      </c>
      <c r="I3425" s="1" t="inlineStr">
        <is>
          <t>2708001686</t>
        </is>
      </c>
      <c r="J3425" s="1" t="inlineStr">
        <is>
          <t>ЮГОК ЭУ 13-26</t>
        </is>
      </c>
      <c r="K342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425" s="1" t="inlineStr">
        <is>
          <t>21.08.2026</t>
        </is>
      </c>
      <c r="M3425" s="1" t="inlineStr">
        <is>
          <t>Успешно</t>
        </is>
      </c>
      <c r="N3425" s="1" t="inlineStr">
        <is>
          <t>17.09.2026</t>
        </is>
      </c>
      <c r="O3425" s="1" t="inlineStr"/>
      <c r="P3425" s="1" t="inlineStr"/>
      <c r="Q3425" s="1" t="inlineStr">
        <is>
          <t>Пользовательский интерфейс</t>
        </is>
      </c>
    </row>
    <row r="3426">
      <c r="B3426" s="1" t="inlineStr">
        <is>
          <t>222717315</t>
        </is>
      </c>
      <c r="C3426" s="1" t="inlineStr">
        <is>
          <t>15953442</t>
        </is>
      </c>
      <c r="D3426" t="inlineStr">
        <is>
          <t>работник 45</t>
        </is>
      </c>
      <c r="E3426" s="1" t="inlineStr">
        <is>
          <t>ОБЩЕСТВО С ОГРАНИЧЕННОЙ ОТВЕТСТВЕННОСТЬЮ "АМУР ЗОЛОТО"</t>
        </is>
      </c>
      <c r="F3426" s="1" t="inlineStr">
        <is>
          <t>2708001686</t>
        </is>
      </c>
      <c r="G3426" s="1" t="inlineStr">
        <is>
          <t>Электромонтер по ремонту и обслуживанию электрооборудования</t>
        </is>
      </c>
      <c r="H3426" s="1" t="inlineStr">
        <is>
          <t>ООО "Амур Золото"</t>
        </is>
      </c>
      <c r="I3426" s="1" t="inlineStr">
        <is>
          <t>2708001686</t>
        </is>
      </c>
      <c r="J3426" s="1" t="inlineStr">
        <is>
          <t>ЮГОК ЭУ 16-26</t>
        </is>
      </c>
      <c r="K3426" s="1" t="inlineStr">
        <is>
          <t>Использование (применение) средств индивидуальной защиты</t>
        </is>
      </c>
      <c r="L3426" s="1" t="inlineStr">
        <is>
          <t>22.08.2026</t>
        </is>
      </c>
      <c r="M3426" s="1" t="inlineStr">
        <is>
          <t>Успешно</t>
        </is>
      </c>
      <c r="N3426" s="1" t="inlineStr">
        <is>
          <t>17.09.2026</t>
        </is>
      </c>
      <c r="O3426" s="1" t="inlineStr"/>
      <c r="P3426" s="1" t="inlineStr"/>
      <c r="Q3426" s="1" t="inlineStr">
        <is>
          <t>Пользовательский интерфейс</t>
        </is>
      </c>
    </row>
    <row r="3427">
      <c r="B3427" s="1" t="inlineStr">
        <is>
          <t>222717316</t>
        </is>
      </c>
      <c r="C3427" s="1" t="inlineStr">
        <is>
          <t>15953442</t>
        </is>
      </c>
      <c r="D3427" t="inlineStr">
        <is>
          <t>работник 52</t>
        </is>
      </c>
      <c r="E3427" s="1" t="inlineStr">
        <is>
          <t>ОБЩЕСТВО С ОГРАНИЧЕННОЙ ОТВЕТСТВЕННОСТЬЮ "АМУР ЗОЛОТО"</t>
        </is>
      </c>
      <c r="F3427" s="1" t="inlineStr">
        <is>
          <t>2708001686</t>
        </is>
      </c>
      <c r="G3427" s="1" t="inlineStr">
        <is>
          <t>Машинист двигателей внутреннего сгорания</t>
        </is>
      </c>
      <c r="H3427" s="1" t="inlineStr">
        <is>
          <t>ООО "Амур Золото"</t>
        </is>
      </c>
      <c r="I3427" s="1" t="inlineStr">
        <is>
          <t>2708001686</t>
        </is>
      </c>
      <c r="J3427" s="1" t="inlineStr">
        <is>
          <t>ЮГОК ЭУ 26-20</t>
        </is>
      </c>
      <c r="K3427" s="1" t="inlineStr">
        <is>
          <t>Использование (применение) средств индивидуальной защиты</t>
        </is>
      </c>
      <c r="L3427" s="1" t="inlineStr">
        <is>
          <t>23.08.2026</t>
        </is>
      </c>
      <c r="M3427" s="1" t="inlineStr">
        <is>
          <t>Успешно</t>
        </is>
      </c>
      <c r="N3427" s="1" t="inlineStr">
        <is>
          <t>17.09.2026</t>
        </is>
      </c>
      <c r="O3427" s="1" t="inlineStr"/>
      <c r="P3427" s="1" t="inlineStr"/>
      <c r="Q3427" s="1" t="inlineStr">
        <is>
          <t>Пользовательский интерфейс</t>
        </is>
      </c>
    </row>
    <row r="3428">
      <c r="B3428" s="1" t="inlineStr">
        <is>
          <t>222717317</t>
        </is>
      </c>
      <c r="C3428" s="1" t="inlineStr">
        <is>
          <t>15953442</t>
        </is>
      </c>
      <c r="D3428" t="inlineStr">
        <is>
          <t>работник 45</t>
        </is>
      </c>
      <c r="E3428" s="1" t="inlineStr">
        <is>
          <t>ОБЩЕСТВО С ОГРАНИЧЕННОЙ ОТВЕТСТВЕННОСТЬЮ "АМУР ЗОЛОТО"</t>
        </is>
      </c>
      <c r="F3428" s="1" t="inlineStr">
        <is>
          <t>2708001686</t>
        </is>
      </c>
      <c r="G3428" s="1" t="inlineStr">
        <is>
          <t>Электромонтер по ремонту и обслуживанию электрооборудования</t>
        </is>
      </c>
      <c r="H3428" s="1" t="inlineStr">
        <is>
          <t>ООО "Амур Золото"</t>
        </is>
      </c>
      <c r="I3428" s="1" t="inlineStr">
        <is>
          <t>2708001686</t>
        </is>
      </c>
      <c r="J3428" s="1" t="inlineStr">
        <is>
          <t>ЮГОК ЭУ 16-26</t>
        </is>
      </c>
      <c r="K342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428" s="1" t="inlineStr">
        <is>
          <t>22.08.2026</t>
        </is>
      </c>
      <c r="M3428" s="1" t="inlineStr">
        <is>
          <t>Успешно</t>
        </is>
      </c>
      <c r="N3428" s="1" t="inlineStr">
        <is>
          <t>17.09.2026</t>
        </is>
      </c>
      <c r="O3428" s="1" t="inlineStr"/>
      <c r="P3428" s="1" t="inlineStr"/>
      <c r="Q3428" s="1" t="inlineStr">
        <is>
          <t>Пользовательский интерфейс</t>
        </is>
      </c>
    </row>
    <row r="3429">
      <c r="B3429" s="1" t="inlineStr">
        <is>
          <t>222717318</t>
        </is>
      </c>
      <c r="C3429" s="1" t="inlineStr">
        <is>
          <t>15953442</t>
        </is>
      </c>
      <c r="D3429" t="inlineStr">
        <is>
          <t>работник 922</t>
        </is>
      </c>
      <c r="E3429" s="1" t="inlineStr">
        <is>
          <t>ОБЩЕСТВО С ОГРАНИЧЕННОЙ ОТВЕТСТВЕННОСТЬЮ "АМУР ЗОЛОТО"</t>
        </is>
      </c>
      <c r="F3429" s="1" t="inlineStr">
        <is>
          <t>2708001686</t>
        </is>
      </c>
      <c r="G3429" s="1" t="inlineStr">
        <is>
          <t>Электромонтер по ремонту и обслуживанию электрооборудования</t>
        </is>
      </c>
      <c r="H3429" s="1" t="inlineStr">
        <is>
          <t>ООО "Амур Золото"</t>
        </is>
      </c>
      <c r="I3429" s="1" t="inlineStr">
        <is>
          <t>2708001686</t>
        </is>
      </c>
      <c r="J3429" s="1" t="inlineStr">
        <is>
          <t>ЮГОК ЭУ 18-26</t>
        </is>
      </c>
      <c r="K3429" s="1" t="inlineStr">
        <is>
          <t>Использование (применение) средств индивидуальной защиты</t>
        </is>
      </c>
      <c r="L3429" s="1" t="inlineStr">
        <is>
          <t>22.08.2026</t>
        </is>
      </c>
      <c r="M3429" s="1" t="inlineStr">
        <is>
          <t>Успешно</t>
        </is>
      </c>
      <c r="N3429" s="1" t="inlineStr">
        <is>
          <t>17.09.2026</t>
        </is>
      </c>
      <c r="O3429" s="1" t="inlineStr"/>
      <c r="P3429" s="1" t="inlineStr"/>
      <c r="Q3429" s="1" t="inlineStr">
        <is>
          <t>Пользовательский интерфейс</t>
        </is>
      </c>
    </row>
    <row r="3430">
      <c r="B3430" s="1" t="inlineStr">
        <is>
          <t>222717319</t>
        </is>
      </c>
      <c r="C3430" s="1" t="inlineStr">
        <is>
          <t>15953442</t>
        </is>
      </c>
      <c r="D3430" t="inlineStr">
        <is>
          <t>работник 922</t>
        </is>
      </c>
      <c r="E3430" s="1" t="inlineStr">
        <is>
          <t>ОБЩЕСТВО С ОГРАНИЧЕННОЙ ОТВЕТСТВЕННОСТЬЮ "АМУР ЗОЛОТО"</t>
        </is>
      </c>
      <c r="F3430" s="1" t="inlineStr">
        <is>
          <t>2708001686</t>
        </is>
      </c>
      <c r="G3430" s="1" t="inlineStr">
        <is>
          <t>Электромонтер по ремонту и обслуживанию электрооборудования</t>
        </is>
      </c>
      <c r="H3430" s="1" t="inlineStr">
        <is>
          <t>ООО "Амур Золото"</t>
        </is>
      </c>
      <c r="I3430" s="1" t="inlineStr">
        <is>
          <t>2708001686</t>
        </is>
      </c>
      <c r="J3430" s="1" t="inlineStr">
        <is>
          <t>ЮГОК ЭУ 18-26</t>
        </is>
      </c>
      <c r="K343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430" s="1" t="inlineStr">
        <is>
          <t>22.08.2026</t>
        </is>
      </c>
      <c r="M3430" s="1" t="inlineStr">
        <is>
          <t>Успешно</t>
        </is>
      </c>
      <c r="N3430" s="1" t="inlineStr">
        <is>
          <t>17.09.2026</t>
        </is>
      </c>
      <c r="O3430" s="1" t="inlineStr"/>
      <c r="P3430" s="1" t="inlineStr"/>
      <c r="Q3430" s="1" t="inlineStr">
        <is>
          <t>Пользовательский интерфейс</t>
        </is>
      </c>
    </row>
    <row r="3431">
      <c r="B3431" s="1" t="inlineStr">
        <is>
          <t>222717320</t>
        </is>
      </c>
      <c r="C3431" s="1" t="inlineStr">
        <is>
          <t>15953442</t>
        </is>
      </c>
      <c r="D3431" t="inlineStr">
        <is>
          <t>работник 59</t>
        </is>
      </c>
      <c r="E3431" s="1" t="inlineStr">
        <is>
          <t>ОБЩЕСТВО С ОГРАНИЧЕННОЙ ОТВЕТСТВЕННОСТЬЮ "АМУР ЗОЛОТО"</t>
        </is>
      </c>
      <c r="F3431" s="1" t="inlineStr">
        <is>
          <t>2708001686</t>
        </is>
      </c>
      <c r="G3431" s="1" t="inlineStr">
        <is>
          <t>Оператор дизельных котлов</t>
        </is>
      </c>
      <c r="H3431" s="1" t="inlineStr">
        <is>
          <t>ООО "Амур Золото"</t>
        </is>
      </c>
      <c r="I3431" s="1" t="inlineStr">
        <is>
          <t>2708001686</t>
        </is>
      </c>
      <c r="J3431" s="1" t="inlineStr">
        <is>
          <t>ЮГОК ЭУ 26-19</t>
        </is>
      </c>
      <c r="K3431" s="1" t="inlineStr">
        <is>
          <t>Оказание первой помощи пострадавшим</t>
        </is>
      </c>
      <c r="L3431" s="1" t="inlineStr">
        <is>
          <t>23.08.2026</t>
        </is>
      </c>
      <c r="M3431" s="1" t="inlineStr">
        <is>
          <t>Успешно</t>
        </is>
      </c>
      <c r="N3431" s="1" t="inlineStr">
        <is>
          <t>17.09.2026</t>
        </is>
      </c>
      <c r="O3431" s="1" t="inlineStr"/>
      <c r="P3431" s="1" t="inlineStr"/>
      <c r="Q3431" s="1" t="inlineStr">
        <is>
          <t>Пользовательский интерфейс</t>
        </is>
      </c>
    </row>
    <row r="3432">
      <c r="B3432" s="1" t="inlineStr">
        <is>
          <t>222717321</t>
        </is>
      </c>
      <c r="C3432" s="1" t="inlineStr">
        <is>
          <t>15953442</t>
        </is>
      </c>
      <c r="D3432" t="inlineStr">
        <is>
          <t>работник 59</t>
        </is>
      </c>
      <c r="E3432" s="1" t="inlineStr">
        <is>
          <t>ОБЩЕСТВО С ОГРАНИЧЕННОЙ ОТВЕТСТВЕННОСТЬЮ "АМУР ЗОЛОТО"</t>
        </is>
      </c>
      <c r="F3432" s="1" t="inlineStr">
        <is>
          <t>2708001686</t>
        </is>
      </c>
      <c r="G3432" s="1" t="inlineStr">
        <is>
          <t>Оператор дизельных котлов</t>
        </is>
      </c>
      <c r="H3432" s="1" t="inlineStr">
        <is>
          <t>ООО "Амур Золото"</t>
        </is>
      </c>
      <c r="I3432" s="1" t="inlineStr">
        <is>
          <t>2708001686</t>
        </is>
      </c>
      <c r="J3432" s="1" t="inlineStr">
        <is>
          <t>ЮГОК ЭУ 26-19</t>
        </is>
      </c>
      <c r="K3432" s="1" t="inlineStr">
        <is>
          <t>Использование (применение) средств индивидуальной защиты</t>
        </is>
      </c>
      <c r="L3432" s="1" t="inlineStr">
        <is>
          <t>23.08.2026</t>
        </is>
      </c>
      <c r="M3432" s="1" t="inlineStr">
        <is>
          <t>Успешно</t>
        </is>
      </c>
      <c r="N3432" s="1" t="inlineStr">
        <is>
          <t>17.09.2026</t>
        </is>
      </c>
      <c r="O3432" s="1" t="inlineStr"/>
      <c r="P3432" s="1" t="inlineStr"/>
      <c r="Q3432" s="1" t="inlineStr">
        <is>
          <t>Пользовательский интерфейс</t>
        </is>
      </c>
    </row>
    <row r="3433">
      <c r="B3433" s="1" t="inlineStr">
        <is>
          <t>222717322</t>
        </is>
      </c>
      <c r="C3433" s="1" t="inlineStr">
        <is>
          <t>15953442</t>
        </is>
      </c>
      <c r="D3433" t="inlineStr">
        <is>
          <t>работник 59</t>
        </is>
      </c>
      <c r="E3433" s="1" t="inlineStr">
        <is>
          <t>ОБЩЕСТВО С ОГРАНИЧЕННОЙ ОТВЕТСТВЕННОСТЬЮ "АМУР ЗОЛОТО"</t>
        </is>
      </c>
      <c r="F3433" s="1" t="inlineStr">
        <is>
          <t>2708001686</t>
        </is>
      </c>
      <c r="G3433" s="1" t="inlineStr">
        <is>
          <t>Оператор дизельных котлов</t>
        </is>
      </c>
      <c r="H3433" s="1" t="inlineStr">
        <is>
          <t>ООО "Амур Золото"</t>
        </is>
      </c>
      <c r="I3433" s="1" t="inlineStr">
        <is>
          <t>2708001686</t>
        </is>
      </c>
      <c r="J3433" s="1" t="inlineStr">
        <is>
          <t>ЮГОК ЭУ 26-19</t>
        </is>
      </c>
      <c r="K343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433" s="1" t="inlineStr">
        <is>
          <t>23.08.2026</t>
        </is>
      </c>
      <c r="M3433" s="1" t="inlineStr">
        <is>
          <t>Успешно</t>
        </is>
      </c>
      <c r="N3433" s="1" t="inlineStr">
        <is>
          <t>17.09.2026</t>
        </is>
      </c>
      <c r="O3433" s="1" t="inlineStr"/>
      <c r="P3433" s="1" t="inlineStr"/>
      <c r="Q3433" s="1" t="inlineStr">
        <is>
          <t>Пользовательский интерфейс</t>
        </is>
      </c>
    </row>
    <row r="3434">
      <c r="B3434" s="1" t="inlineStr">
        <is>
          <t>222717323</t>
        </is>
      </c>
      <c r="C3434" s="1" t="inlineStr">
        <is>
          <t>15953442</t>
        </is>
      </c>
      <c r="D3434" t="inlineStr">
        <is>
          <t>работник 70</t>
        </is>
      </c>
      <c r="E3434" s="1" t="inlineStr">
        <is>
          <t>ОБЩЕСТВО С ОГРАНИЧЕННОЙ ОТВЕТСТВЕННОСТЬЮ "АМУР ЗОЛОТО"</t>
        </is>
      </c>
      <c r="F3434" s="1" t="inlineStr">
        <is>
          <t>2708001686</t>
        </is>
      </c>
      <c r="G3434" s="1" t="inlineStr">
        <is>
          <t>Оператор дизельных котлов</t>
        </is>
      </c>
      <c r="H3434" s="1" t="inlineStr">
        <is>
          <t>ООО "Амур Золото"</t>
        </is>
      </c>
      <c r="I3434" s="1" t="inlineStr">
        <is>
          <t>2708001686</t>
        </is>
      </c>
      <c r="J3434" s="1" t="inlineStr">
        <is>
          <t>ЮГОК ЭУ 26-19</t>
        </is>
      </c>
      <c r="K3434" s="1" t="inlineStr">
        <is>
          <t>Оказание первой помощи пострадавшим</t>
        </is>
      </c>
      <c r="L3434" s="1" t="inlineStr">
        <is>
          <t>23.08.2026</t>
        </is>
      </c>
      <c r="M3434" s="1" t="inlineStr">
        <is>
          <t>Успешно</t>
        </is>
      </c>
      <c r="N3434" s="1" t="inlineStr">
        <is>
          <t>17.09.2026</t>
        </is>
      </c>
      <c r="O3434" s="1" t="inlineStr"/>
      <c r="P3434" s="1" t="inlineStr"/>
      <c r="Q3434" s="1" t="inlineStr">
        <is>
          <t>Пользовательский интерфейс</t>
        </is>
      </c>
    </row>
    <row r="3435">
      <c r="B3435" s="1" t="inlineStr">
        <is>
          <t>222717324</t>
        </is>
      </c>
      <c r="C3435" s="1" t="inlineStr">
        <is>
          <t>15953442</t>
        </is>
      </c>
      <c r="D3435" t="inlineStr">
        <is>
          <t>работник 70</t>
        </is>
      </c>
      <c r="E3435" s="1" t="inlineStr">
        <is>
          <t>ОБЩЕСТВО С ОГРАНИЧЕННОЙ ОТВЕТСТВЕННОСТЬЮ "АМУР ЗОЛОТО"</t>
        </is>
      </c>
      <c r="F3435" s="1" t="inlineStr">
        <is>
          <t>2708001686</t>
        </is>
      </c>
      <c r="G3435" s="1" t="inlineStr">
        <is>
          <t>Оператор дизельных котлов</t>
        </is>
      </c>
      <c r="H3435" s="1" t="inlineStr">
        <is>
          <t>ООО "Амур Золото"</t>
        </is>
      </c>
      <c r="I3435" s="1" t="inlineStr">
        <is>
          <t>2708001686</t>
        </is>
      </c>
      <c r="J3435" s="1" t="inlineStr">
        <is>
          <t>ЮГОК ЭУ 26-19</t>
        </is>
      </c>
      <c r="K3435" s="1" t="inlineStr">
        <is>
          <t>Использование (применение) средств индивидуальной защиты</t>
        </is>
      </c>
      <c r="L3435" s="1" t="inlineStr">
        <is>
          <t>23.08.2026</t>
        </is>
      </c>
      <c r="M3435" s="1" t="inlineStr">
        <is>
          <t>Успешно</t>
        </is>
      </c>
      <c r="N3435" s="1" t="inlineStr">
        <is>
          <t>17.09.2026</t>
        </is>
      </c>
      <c r="O3435" s="1" t="inlineStr"/>
      <c r="P3435" s="1" t="inlineStr"/>
      <c r="Q3435" s="1" t="inlineStr">
        <is>
          <t>Пользовательский интерфейс</t>
        </is>
      </c>
    </row>
    <row r="3436">
      <c r="B3436" s="1" t="inlineStr">
        <is>
          <t>222717325</t>
        </is>
      </c>
      <c r="C3436" s="1" t="inlineStr">
        <is>
          <t>15953442</t>
        </is>
      </c>
      <c r="D3436" t="inlineStr">
        <is>
          <t>работник 70</t>
        </is>
      </c>
      <c r="E3436" s="1" t="inlineStr">
        <is>
          <t>ОБЩЕСТВО С ОГРАНИЧЕННОЙ ОТВЕТСТВЕННОСТЬЮ "АМУР ЗОЛОТО"</t>
        </is>
      </c>
      <c r="F3436" s="1" t="inlineStr">
        <is>
          <t>2708001686</t>
        </is>
      </c>
      <c r="G3436" s="1" t="inlineStr">
        <is>
          <t>Оператор дизельных котлов</t>
        </is>
      </c>
      <c r="H3436" s="1" t="inlineStr">
        <is>
          <t>ООО "Амур Золото"</t>
        </is>
      </c>
      <c r="I3436" s="1" t="inlineStr">
        <is>
          <t>2708001686</t>
        </is>
      </c>
      <c r="J3436" s="1" t="inlineStr">
        <is>
          <t>ЮГОК ЭУ 26-19</t>
        </is>
      </c>
      <c r="K343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436" s="1" t="inlineStr">
        <is>
          <t>23.08.2026</t>
        </is>
      </c>
      <c r="M3436" s="1" t="inlineStr">
        <is>
          <t>Успешно</t>
        </is>
      </c>
      <c r="N3436" s="1" t="inlineStr">
        <is>
          <t>17.09.2026</t>
        </is>
      </c>
      <c r="O3436" s="1" t="inlineStr"/>
      <c r="P3436" s="1" t="inlineStr"/>
      <c r="Q3436" s="1" t="inlineStr">
        <is>
          <t>Пользовательский интерфейс</t>
        </is>
      </c>
    </row>
    <row r="3437">
      <c r="B3437" s="1" t="inlineStr">
        <is>
          <t>222717326</t>
        </is>
      </c>
      <c r="C3437" s="1" t="inlineStr">
        <is>
          <t>15953442</t>
        </is>
      </c>
      <c r="D3437" t="inlineStr">
        <is>
          <t>работник 683</t>
        </is>
      </c>
      <c r="E3437" s="1" t="inlineStr">
        <is>
          <t>ОБЩЕСТВО С ОГРАНИЧЕННОЙ ОТВЕТСТВЕННОСТЬЮ "АМУР ЗОЛОТО"</t>
        </is>
      </c>
      <c r="F3437" s="1" t="inlineStr">
        <is>
          <t>2708001686</t>
        </is>
      </c>
      <c r="G3437" s="1" t="inlineStr">
        <is>
          <t>Оператор дизельных котлов</t>
        </is>
      </c>
      <c r="H3437" s="1" t="inlineStr">
        <is>
          <t>ООО "Амур Золото"</t>
        </is>
      </c>
      <c r="I3437" s="1" t="inlineStr">
        <is>
          <t>2708001686</t>
        </is>
      </c>
      <c r="J3437" s="1" t="inlineStr">
        <is>
          <t>ЮГОК ЭУ 26-19</t>
        </is>
      </c>
      <c r="K3437" s="1" t="inlineStr">
        <is>
          <t>Оказание первой помощи пострадавшим</t>
        </is>
      </c>
      <c r="L3437" s="1" t="inlineStr">
        <is>
          <t>23.08.2026</t>
        </is>
      </c>
      <c r="M3437" s="1" t="inlineStr">
        <is>
          <t>Успешно</t>
        </is>
      </c>
      <c r="N3437" s="1" t="inlineStr">
        <is>
          <t>17.09.2026</t>
        </is>
      </c>
      <c r="O3437" s="1" t="inlineStr"/>
      <c r="P3437" s="1" t="inlineStr"/>
      <c r="Q3437" s="1" t="inlineStr">
        <is>
          <t>Пользовательский интерфейс</t>
        </is>
      </c>
    </row>
    <row r="3438">
      <c r="B3438" s="1" t="inlineStr">
        <is>
          <t>222717327</t>
        </is>
      </c>
      <c r="C3438" s="1" t="inlineStr">
        <is>
          <t>15953442</t>
        </is>
      </c>
      <c r="D3438" t="inlineStr">
        <is>
          <t>работник 683</t>
        </is>
      </c>
      <c r="E3438" s="1" t="inlineStr">
        <is>
          <t>ОБЩЕСТВО С ОГРАНИЧЕННОЙ ОТВЕТСТВЕННОСТЬЮ "АМУР ЗОЛОТО"</t>
        </is>
      </c>
      <c r="F3438" s="1" t="inlineStr">
        <is>
          <t>2708001686</t>
        </is>
      </c>
      <c r="G3438" s="1" t="inlineStr">
        <is>
          <t>Оператор дизельных котлов</t>
        </is>
      </c>
      <c r="H3438" s="1" t="inlineStr">
        <is>
          <t>ООО "Амур Золото"</t>
        </is>
      </c>
      <c r="I3438" s="1" t="inlineStr">
        <is>
          <t>2708001686</t>
        </is>
      </c>
      <c r="J3438" s="1" t="inlineStr">
        <is>
          <t>ЮГОК ЭУ 26-19</t>
        </is>
      </c>
      <c r="K3438" s="1" t="inlineStr">
        <is>
          <t>Использование (применение) средств индивидуальной защиты</t>
        </is>
      </c>
      <c r="L3438" s="1" t="inlineStr">
        <is>
          <t>23.08.2026</t>
        </is>
      </c>
      <c r="M3438" s="1" t="inlineStr">
        <is>
          <t>Успешно</t>
        </is>
      </c>
      <c r="N3438" s="1" t="inlineStr">
        <is>
          <t>17.09.2026</t>
        </is>
      </c>
      <c r="O3438" s="1" t="inlineStr"/>
      <c r="P3438" s="1" t="inlineStr"/>
      <c r="Q3438" s="1" t="inlineStr">
        <is>
          <t>Пользовательский интерфейс</t>
        </is>
      </c>
    </row>
    <row r="3439">
      <c r="B3439" s="1" t="inlineStr">
        <is>
          <t>222717328</t>
        </is>
      </c>
      <c r="C3439" s="1" t="inlineStr">
        <is>
          <t>15953442</t>
        </is>
      </c>
      <c r="D3439" t="inlineStr">
        <is>
          <t>работник 683</t>
        </is>
      </c>
      <c r="E3439" s="1" t="inlineStr">
        <is>
          <t>ОБЩЕСТВО С ОГРАНИЧЕННОЙ ОТВЕТСТВЕННОСТЬЮ "АМУР ЗОЛОТО"</t>
        </is>
      </c>
      <c r="F3439" s="1" t="inlineStr">
        <is>
          <t>2708001686</t>
        </is>
      </c>
      <c r="G3439" s="1" t="inlineStr">
        <is>
          <t>Оператор дизельных котлов</t>
        </is>
      </c>
      <c r="H3439" s="1" t="inlineStr">
        <is>
          <t>ООО "Амур Золото"</t>
        </is>
      </c>
      <c r="I3439" s="1" t="inlineStr">
        <is>
          <t>2708001686</t>
        </is>
      </c>
      <c r="J3439" s="1" t="inlineStr">
        <is>
          <t>ЮГОК ЭУ 26-19</t>
        </is>
      </c>
      <c r="K343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439" s="1" t="inlineStr">
        <is>
          <t>23.08.2026</t>
        </is>
      </c>
      <c r="M3439" s="1" t="inlineStr">
        <is>
          <t>Успешно</t>
        </is>
      </c>
      <c r="N3439" s="1" t="inlineStr">
        <is>
          <t>17.09.2026</t>
        </is>
      </c>
      <c r="O3439" s="1" t="inlineStr"/>
      <c r="P3439" s="1" t="inlineStr"/>
      <c r="Q3439" s="1" t="inlineStr">
        <is>
          <t>Пользовательский интерфейс</t>
        </is>
      </c>
    </row>
    <row r="3440">
      <c r="B3440" s="1" t="inlineStr">
        <is>
          <t>222717329</t>
        </is>
      </c>
      <c r="C3440" s="1" t="inlineStr">
        <is>
          <t>15953442</t>
        </is>
      </c>
      <c r="D3440" t="inlineStr">
        <is>
          <t>работник 52</t>
        </is>
      </c>
      <c r="E3440" s="1" t="inlineStr">
        <is>
          <t>ОБЩЕСТВО С ОГРАНИЧЕННОЙ ОТВЕТСТВЕННОСТЬЮ "АМУР ЗОЛОТО"</t>
        </is>
      </c>
      <c r="F3440" s="1" t="inlineStr">
        <is>
          <t>2708001686</t>
        </is>
      </c>
      <c r="G3440" s="1" t="inlineStr">
        <is>
          <t>Машинист двигателей внутреннего сгорания</t>
        </is>
      </c>
      <c r="H3440" s="1" t="inlineStr">
        <is>
          <t>ООО "Амур Золото"</t>
        </is>
      </c>
      <c r="I3440" s="1" t="inlineStr">
        <is>
          <t>2708001686</t>
        </is>
      </c>
      <c r="J3440" s="1" t="inlineStr">
        <is>
          <t>ЮГОК ЭУ 26-20</t>
        </is>
      </c>
      <c r="K3440" s="1" t="inlineStr">
        <is>
          <t>Оказание первой помощи пострадавшим</t>
        </is>
      </c>
      <c r="L3440" s="1" t="inlineStr">
        <is>
          <t>23.08.2026</t>
        </is>
      </c>
      <c r="M3440" s="1" t="inlineStr">
        <is>
          <t>Успешно</t>
        </is>
      </c>
      <c r="N3440" s="1" t="inlineStr">
        <is>
          <t>17.09.2026</t>
        </is>
      </c>
      <c r="O3440" s="1" t="inlineStr"/>
      <c r="P3440" s="1" t="inlineStr"/>
      <c r="Q3440" s="1" t="inlineStr">
        <is>
          <t>Пользовательский интерфейс</t>
        </is>
      </c>
    </row>
    <row r="3441">
      <c r="B3441" s="1" t="inlineStr">
        <is>
          <t>222717330</t>
        </is>
      </c>
      <c r="C3441" s="1" t="inlineStr">
        <is>
          <t>15953442</t>
        </is>
      </c>
      <c r="D3441" t="inlineStr">
        <is>
          <t>работник 52</t>
        </is>
      </c>
      <c r="E3441" s="1" t="inlineStr">
        <is>
          <t>ОБЩЕСТВО С ОГРАНИЧЕННОЙ ОТВЕТСТВЕННОСТЬЮ "АМУР ЗОЛОТО"</t>
        </is>
      </c>
      <c r="F3441" s="1" t="inlineStr">
        <is>
          <t>2708001686</t>
        </is>
      </c>
      <c r="G3441" s="1" t="inlineStr">
        <is>
          <t>Машинист двигателей внутреннего сгорания</t>
        </is>
      </c>
      <c r="H3441" s="1" t="inlineStr">
        <is>
          <t>ООО "Амур Золото"</t>
        </is>
      </c>
      <c r="I3441" s="1" t="inlineStr">
        <is>
          <t>2708001686</t>
        </is>
      </c>
      <c r="J3441" s="1" t="inlineStr">
        <is>
          <t>ЮГОК ЭУ 26-20</t>
        </is>
      </c>
      <c r="K344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441" s="1" t="inlineStr">
        <is>
          <t>23.08.2026</t>
        </is>
      </c>
      <c r="M3441" s="1" t="inlineStr">
        <is>
          <t>Успешно</t>
        </is>
      </c>
      <c r="N3441" s="1" t="inlineStr">
        <is>
          <t>17.09.2026</t>
        </is>
      </c>
      <c r="O3441" s="1" t="inlineStr"/>
      <c r="P3441" s="1" t="inlineStr"/>
      <c r="Q3441" s="1" t="inlineStr">
        <is>
          <t>Пользовательский интерфейс</t>
        </is>
      </c>
    </row>
    <row r="3442">
      <c r="B3442" s="1" t="inlineStr">
        <is>
          <t>222717331</t>
        </is>
      </c>
      <c r="C3442" s="1" t="inlineStr">
        <is>
          <t>15953442</t>
        </is>
      </c>
      <c r="D3442" t="inlineStr">
        <is>
          <t>работник 353</t>
        </is>
      </c>
      <c r="E3442" s="1" t="inlineStr">
        <is>
          <t>ОБЩЕСТВО С ОГРАНИЧЕННОЙ ОТВЕТСТВЕННОСТЬЮ "АМУР ЗОЛОТО"</t>
        </is>
      </c>
      <c r="F3442" s="1" t="inlineStr">
        <is>
          <t>2708001686</t>
        </is>
      </c>
      <c r="G3442" s="1" t="inlineStr">
        <is>
          <t>Машинист двигателей внутреннего сгорания</t>
        </is>
      </c>
      <c r="H3442" s="1" t="inlineStr">
        <is>
          <t>ООО "Амур Золото"</t>
        </is>
      </c>
      <c r="I3442" s="1" t="inlineStr">
        <is>
          <t>2708001686</t>
        </is>
      </c>
      <c r="J3442" s="1" t="inlineStr">
        <is>
          <t>ЮГОК ЭУ 26-20</t>
        </is>
      </c>
      <c r="K3442" s="1" t="inlineStr">
        <is>
          <t>Оказание первой помощи пострадавшим</t>
        </is>
      </c>
      <c r="L3442" s="1" t="inlineStr">
        <is>
          <t>23.08.2026</t>
        </is>
      </c>
      <c r="M3442" s="1" t="inlineStr">
        <is>
          <t>Успешно</t>
        </is>
      </c>
      <c r="N3442" s="1" t="inlineStr">
        <is>
          <t>17.09.2026</t>
        </is>
      </c>
      <c r="O3442" s="1" t="inlineStr"/>
      <c r="P3442" s="1" t="inlineStr"/>
      <c r="Q3442" s="1" t="inlineStr">
        <is>
          <t>Пользовательский интерфейс</t>
        </is>
      </c>
    </row>
    <row r="3443">
      <c r="B3443" s="1" t="inlineStr">
        <is>
          <t>222717332</t>
        </is>
      </c>
      <c r="C3443" s="1" t="inlineStr">
        <is>
          <t>15953442</t>
        </is>
      </c>
      <c r="D3443" t="inlineStr">
        <is>
          <t>работник 353</t>
        </is>
      </c>
      <c r="E3443" s="1" t="inlineStr">
        <is>
          <t>ОБЩЕСТВО С ОГРАНИЧЕННОЙ ОТВЕТСТВЕННОСТЬЮ "АМУР ЗОЛОТО"</t>
        </is>
      </c>
      <c r="F3443" s="1" t="inlineStr">
        <is>
          <t>2708001686</t>
        </is>
      </c>
      <c r="G3443" s="1" t="inlineStr">
        <is>
          <t>Машинист двигателей внутреннего сгорания</t>
        </is>
      </c>
      <c r="H3443" s="1" t="inlineStr">
        <is>
          <t>ООО "Амур Золото"</t>
        </is>
      </c>
      <c r="I3443" s="1" t="inlineStr">
        <is>
          <t>2708001686</t>
        </is>
      </c>
      <c r="J3443" s="1" t="inlineStr">
        <is>
          <t>ЮГОК ЭУ 26-20</t>
        </is>
      </c>
      <c r="K3443" s="1" t="inlineStr">
        <is>
          <t>Использование (применение) средств индивидуальной защиты</t>
        </is>
      </c>
      <c r="L3443" s="1" t="inlineStr">
        <is>
          <t>23.08.2026</t>
        </is>
      </c>
      <c r="M3443" s="1" t="inlineStr">
        <is>
          <t>Успешно</t>
        </is>
      </c>
      <c r="N3443" s="1" t="inlineStr">
        <is>
          <t>17.09.2026</t>
        </is>
      </c>
      <c r="O3443" s="1" t="inlineStr"/>
      <c r="P3443" s="1" t="inlineStr"/>
      <c r="Q3443" s="1" t="inlineStr">
        <is>
          <t>Пользовательский интерфейс</t>
        </is>
      </c>
    </row>
    <row r="3444">
      <c r="B3444" s="1" t="inlineStr">
        <is>
          <t>222717333</t>
        </is>
      </c>
      <c r="C3444" s="1" t="inlineStr">
        <is>
          <t>15953442</t>
        </is>
      </c>
      <c r="D3444" t="inlineStr">
        <is>
          <t>работник 353</t>
        </is>
      </c>
      <c r="E3444" s="1" t="inlineStr">
        <is>
          <t>ОБЩЕСТВО С ОГРАНИЧЕННОЙ ОТВЕТСТВЕННОСТЬЮ "АМУР ЗОЛОТО"</t>
        </is>
      </c>
      <c r="F3444" s="1" t="inlineStr">
        <is>
          <t>2708001686</t>
        </is>
      </c>
      <c r="G3444" s="1" t="inlineStr">
        <is>
          <t>Машинист двигателей внутреннего сгорания</t>
        </is>
      </c>
      <c r="H3444" s="1" t="inlineStr">
        <is>
          <t>ООО "Амур Золото"</t>
        </is>
      </c>
      <c r="I3444" s="1" t="inlineStr">
        <is>
          <t>2708001686</t>
        </is>
      </c>
      <c r="J3444" s="1" t="inlineStr">
        <is>
          <t>ЮГОК ЭУ 26-20</t>
        </is>
      </c>
      <c r="K344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444" s="1" t="inlineStr">
        <is>
          <t>23.08.2026</t>
        </is>
      </c>
      <c r="M3444" s="1" t="inlineStr">
        <is>
          <t>Успешно</t>
        </is>
      </c>
      <c r="N3444" s="1" t="inlineStr">
        <is>
          <t>17.09.2026</t>
        </is>
      </c>
      <c r="O3444" s="1" t="inlineStr"/>
      <c r="P3444" s="1" t="inlineStr"/>
      <c r="Q3444" s="1" t="inlineStr">
        <is>
          <t>Пользовательский интерфейс</t>
        </is>
      </c>
    </row>
    <row r="3445">
      <c r="B3445" s="1" t="inlineStr">
        <is>
          <t>222717334</t>
        </is>
      </c>
      <c r="C3445" s="1" t="inlineStr">
        <is>
          <t>15953442</t>
        </is>
      </c>
      <c r="D3445" t="inlineStr">
        <is>
          <t>работник 923</t>
        </is>
      </c>
      <c r="E3445" s="1" t="inlineStr">
        <is>
          <t>ОБЩЕСТВО С ОГРАНИЧЕННОЙ ОТВЕТСТВЕННОСТЬЮ "АМУР ЗОЛОТО"</t>
        </is>
      </c>
      <c r="F3445" s="1" t="inlineStr">
        <is>
          <t>2708001686</t>
        </is>
      </c>
      <c r="G3445" s="1" t="inlineStr">
        <is>
          <t>Машинист двигателей внутреннего сгорания</t>
        </is>
      </c>
      <c r="H3445" s="1" t="inlineStr">
        <is>
          <t>ООО "Амур Золото"</t>
        </is>
      </c>
      <c r="I3445" s="1" t="inlineStr">
        <is>
          <t>2708001686</t>
        </is>
      </c>
      <c r="J3445" s="1" t="inlineStr">
        <is>
          <t>ЮГОК ЭУ 26-20</t>
        </is>
      </c>
      <c r="K3445" s="1" t="inlineStr">
        <is>
          <t>Оказание первой помощи пострадавшим</t>
        </is>
      </c>
      <c r="L3445" s="1" t="inlineStr">
        <is>
          <t>23.08.2026</t>
        </is>
      </c>
      <c r="M3445" s="1" t="inlineStr">
        <is>
          <t>Успешно</t>
        </is>
      </c>
      <c r="N3445" s="1" t="inlineStr">
        <is>
          <t>17.09.2026</t>
        </is>
      </c>
      <c r="O3445" s="1" t="inlineStr"/>
      <c r="P3445" s="1" t="inlineStr"/>
      <c r="Q3445" s="1" t="inlineStr">
        <is>
          <t>Пользовательский интерфейс</t>
        </is>
      </c>
    </row>
    <row r="3446">
      <c r="B3446" s="1" t="inlineStr">
        <is>
          <t>222717335</t>
        </is>
      </c>
      <c r="C3446" s="1" t="inlineStr">
        <is>
          <t>15953442</t>
        </is>
      </c>
      <c r="D3446" t="inlineStr">
        <is>
          <t>работник 923</t>
        </is>
      </c>
      <c r="E3446" s="1" t="inlineStr">
        <is>
          <t>ОБЩЕСТВО С ОГРАНИЧЕННОЙ ОТВЕТСТВЕННОСТЬЮ "АМУР ЗОЛОТО"</t>
        </is>
      </c>
      <c r="F3446" s="1" t="inlineStr">
        <is>
          <t>2708001686</t>
        </is>
      </c>
      <c r="G3446" s="1" t="inlineStr">
        <is>
          <t>Машинист двигателей внутреннего сгорания</t>
        </is>
      </c>
      <c r="H3446" s="1" t="inlineStr">
        <is>
          <t>ООО "Амур Золото"</t>
        </is>
      </c>
      <c r="I3446" s="1" t="inlineStr">
        <is>
          <t>2708001686</t>
        </is>
      </c>
      <c r="J3446" s="1" t="inlineStr">
        <is>
          <t>ЮГОК ЭУ 26-20</t>
        </is>
      </c>
      <c r="K3446" s="1" t="inlineStr">
        <is>
          <t>Использование (применение) средств индивидуальной защиты</t>
        </is>
      </c>
      <c r="L3446" s="1" t="inlineStr">
        <is>
          <t>23.08.2026</t>
        </is>
      </c>
      <c r="M3446" s="1" t="inlineStr">
        <is>
          <t>Успешно</t>
        </is>
      </c>
      <c r="N3446" s="1" t="inlineStr">
        <is>
          <t>17.09.2026</t>
        </is>
      </c>
      <c r="O3446" s="1" t="inlineStr"/>
      <c r="P3446" s="1" t="inlineStr"/>
      <c r="Q3446" s="1" t="inlineStr">
        <is>
          <t>Пользовательский интерфейс</t>
        </is>
      </c>
    </row>
    <row r="3447">
      <c r="B3447" s="1" t="inlineStr">
        <is>
          <t>222717336</t>
        </is>
      </c>
      <c r="C3447" s="1" t="inlineStr">
        <is>
          <t>15953442</t>
        </is>
      </c>
      <c r="D3447" t="inlineStr">
        <is>
          <t>работник 923</t>
        </is>
      </c>
      <c r="E3447" s="1" t="inlineStr">
        <is>
          <t>ОБЩЕСТВО С ОГРАНИЧЕННОЙ ОТВЕТСТВЕННОСТЬЮ "АМУР ЗОЛОТО"</t>
        </is>
      </c>
      <c r="F3447" s="1" t="inlineStr">
        <is>
          <t>2708001686</t>
        </is>
      </c>
      <c r="G3447" s="1" t="inlineStr">
        <is>
          <t>Машинист двигателей внутреннего сгорания</t>
        </is>
      </c>
      <c r="H3447" s="1" t="inlineStr">
        <is>
          <t>ООО "Амур Золото"</t>
        </is>
      </c>
      <c r="I3447" s="1" t="inlineStr">
        <is>
          <t>2708001686</t>
        </is>
      </c>
      <c r="J3447" s="1" t="inlineStr">
        <is>
          <t>ЮГОК ЭУ 26-20</t>
        </is>
      </c>
      <c r="K344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447" s="1" t="inlineStr">
        <is>
          <t>23.08.2026</t>
        </is>
      </c>
      <c r="M3447" s="1" t="inlineStr">
        <is>
          <t>Успешно</t>
        </is>
      </c>
      <c r="N3447" s="1" t="inlineStr">
        <is>
          <t>17.09.2026</t>
        </is>
      </c>
      <c r="O3447" s="1" t="inlineStr"/>
      <c r="P3447" s="1" t="inlineStr"/>
      <c r="Q3447" s="1" t="inlineStr">
        <is>
          <t>Пользовательский интерфейс</t>
        </is>
      </c>
    </row>
    <row r="3448">
      <c r="B3448" s="1" t="inlineStr">
        <is>
          <t>222717337</t>
        </is>
      </c>
      <c r="C3448" s="1" t="inlineStr">
        <is>
          <t>15953442</t>
        </is>
      </c>
      <c r="D3448" t="inlineStr">
        <is>
          <t>работник 92</t>
        </is>
      </c>
      <c r="E3448" s="1" t="inlineStr">
        <is>
          <t>ОБЩЕСТВО С ОГРАНИЧЕННОЙ ОТВЕТСТВЕННОСТЬЮ "АМУР ЗОЛОТО"</t>
        </is>
      </c>
      <c r="F3448" s="1" t="inlineStr">
        <is>
          <t>2708001686</t>
        </is>
      </c>
      <c r="G3448" s="1" t="inlineStr">
        <is>
          <t>Машинист насосных установок</t>
        </is>
      </c>
      <c r="H3448" s="1" t="inlineStr">
        <is>
          <t>ООО "Амур Золото"</t>
        </is>
      </c>
      <c r="I3448" s="1" t="inlineStr">
        <is>
          <t>2708001686</t>
        </is>
      </c>
      <c r="J3448" s="1" t="inlineStr">
        <is>
          <t>ЮГОК ЭУ 26-21</t>
        </is>
      </c>
      <c r="K3448" s="1" t="inlineStr">
        <is>
          <t>Оказание первой помощи пострадавшим</t>
        </is>
      </c>
      <c r="L3448" s="1" t="inlineStr">
        <is>
          <t>24.08.2026</t>
        </is>
      </c>
      <c r="M3448" s="1" t="inlineStr">
        <is>
          <t>Успешно</t>
        </is>
      </c>
      <c r="N3448" s="1" t="inlineStr">
        <is>
          <t>17.09.2026</t>
        </is>
      </c>
      <c r="O3448" s="1" t="inlineStr"/>
      <c r="P3448" s="1" t="inlineStr"/>
      <c r="Q3448" s="1" t="inlineStr">
        <is>
          <t>Пользовательский интерфейс</t>
        </is>
      </c>
    </row>
    <row r="3449">
      <c r="B3449" s="1" t="inlineStr">
        <is>
          <t>222717338</t>
        </is>
      </c>
      <c r="C3449" s="1" t="inlineStr">
        <is>
          <t>15953442</t>
        </is>
      </c>
      <c r="D3449" t="inlineStr">
        <is>
          <t>работник 92</t>
        </is>
      </c>
      <c r="E3449" s="1" t="inlineStr">
        <is>
          <t>ОБЩЕСТВО С ОГРАНИЧЕННОЙ ОТВЕТСТВЕННОСТЬЮ "АМУР ЗОЛОТО"</t>
        </is>
      </c>
      <c r="F3449" s="1" t="inlineStr">
        <is>
          <t>2708001686</t>
        </is>
      </c>
      <c r="G3449" s="1" t="inlineStr">
        <is>
          <t>Машинист насосных установок</t>
        </is>
      </c>
      <c r="H3449" s="1" t="inlineStr">
        <is>
          <t>ООО "Амур Золото"</t>
        </is>
      </c>
      <c r="I3449" s="1" t="inlineStr">
        <is>
          <t>2708001686</t>
        </is>
      </c>
      <c r="J3449" s="1" t="inlineStr">
        <is>
          <t>ЮГОК ЭУ 26-21</t>
        </is>
      </c>
      <c r="K3449" s="1" t="inlineStr">
        <is>
          <t>Использование (применение) средств индивидуальной защиты</t>
        </is>
      </c>
      <c r="L3449" s="1" t="inlineStr">
        <is>
          <t>24.08.2026</t>
        </is>
      </c>
      <c r="M3449" s="1" t="inlineStr">
        <is>
          <t>Успешно</t>
        </is>
      </c>
      <c r="N3449" s="1" t="inlineStr">
        <is>
          <t>17.09.2026</t>
        </is>
      </c>
      <c r="O3449" s="1" t="inlineStr"/>
      <c r="P3449" s="1" t="inlineStr"/>
      <c r="Q3449" s="1" t="inlineStr">
        <is>
          <t>Пользовательский интерфейс</t>
        </is>
      </c>
    </row>
    <row r="3450">
      <c r="B3450" s="1" t="inlineStr">
        <is>
          <t>222717339</t>
        </is>
      </c>
      <c r="C3450" s="1" t="inlineStr">
        <is>
          <t>15953442</t>
        </is>
      </c>
      <c r="D3450" t="inlineStr">
        <is>
          <t>работник 92</t>
        </is>
      </c>
      <c r="E3450" s="1" t="inlineStr">
        <is>
          <t>ОБЩЕСТВО С ОГРАНИЧЕННОЙ ОТВЕТСТВЕННОСТЬЮ "АМУР ЗОЛОТО"</t>
        </is>
      </c>
      <c r="F3450" s="1" t="inlineStr">
        <is>
          <t>2708001686</t>
        </is>
      </c>
      <c r="G3450" s="1" t="inlineStr">
        <is>
          <t>Машинист насосных установок</t>
        </is>
      </c>
      <c r="H3450" s="1" t="inlineStr">
        <is>
          <t>ООО "Амур Золото"</t>
        </is>
      </c>
      <c r="I3450" s="1" t="inlineStr">
        <is>
          <t>2708001686</t>
        </is>
      </c>
      <c r="J3450" s="1" t="inlineStr">
        <is>
          <t>ЮГОК ЭУ 26-21</t>
        </is>
      </c>
      <c r="K345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450" s="1" t="inlineStr">
        <is>
          <t>24.08.2026</t>
        </is>
      </c>
      <c r="M3450" s="1" t="inlineStr">
        <is>
          <t>Успешно</t>
        </is>
      </c>
      <c r="N3450" s="1" t="inlineStr">
        <is>
          <t>17.09.2026</t>
        </is>
      </c>
      <c r="O3450" s="1" t="inlineStr"/>
      <c r="P3450" s="1" t="inlineStr"/>
      <c r="Q3450" s="1" t="inlineStr">
        <is>
          <t>Пользовательский интерфейс</t>
        </is>
      </c>
    </row>
    <row r="3451">
      <c r="B3451" s="1" t="inlineStr">
        <is>
          <t>222717340</t>
        </is>
      </c>
      <c r="C3451" s="1" t="inlineStr">
        <is>
          <t>15953442</t>
        </is>
      </c>
      <c r="D3451" t="inlineStr">
        <is>
          <t>работник 91</t>
        </is>
      </c>
      <c r="E3451" s="1" t="inlineStr">
        <is>
          <t>ОБЩЕСТВО С ОГРАНИЧЕННОЙ ОТВЕТСТВЕННОСТЬЮ "АМУР ЗОЛОТО"</t>
        </is>
      </c>
      <c r="F3451" s="1" t="inlineStr">
        <is>
          <t>2708001686</t>
        </is>
      </c>
      <c r="G3451" s="1" t="inlineStr">
        <is>
          <t>Машинист насосных установок</t>
        </is>
      </c>
      <c r="H3451" s="1" t="inlineStr">
        <is>
          <t>ООО "Амур Золото"</t>
        </is>
      </c>
      <c r="I3451" s="1" t="inlineStr">
        <is>
          <t>2708001686</t>
        </is>
      </c>
      <c r="J3451" s="1" t="inlineStr">
        <is>
          <t>ЮГОК ЭУ 26-21</t>
        </is>
      </c>
      <c r="K3451" s="1" t="inlineStr">
        <is>
          <t>Оказание первой помощи пострадавшим</t>
        </is>
      </c>
      <c r="L3451" s="1" t="inlineStr">
        <is>
          <t>24.08.2026</t>
        </is>
      </c>
      <c r="M3451" s="1" t="inlineStr">
        <is>
          <t>Успешно</t>
        </is>
      </c>
      <c r="N3451" s="1" t="inlineStr">
        <is>
          <t>17.09.2026</t>
        </is>
      </c>
      <c r="O3451" s="1" t="inlineStr"/>
      <c r="P3451" s="1" t="inlineStr"/>
      <c r="Q3451" s="1" t="inlineStr">
        <is>
          <t>Пользовательский интерфейс</t>
        </is>
      </c>
    </row>
    <row r="3452">
      <c r="B3452" s="1" t="inlineStr">
        <is>
          <t>222717341</t>
        </is>
      </c>
      <c r="C3452" s="1" t="inlineStr">
        <is>
          <t>15953442</t>
        </is>
      </c>
      <c r="D3452" t="inlineStr">
        <is>
          <t>работник 91</t>
        </is>
      </c>
      <c r="E3452" s="1" t="inlineStr">
        <is>
          <t>ОБЩЕСТВО С ОГРАНИЧЕННОЙ ОТВЕТСТВЕННОСТЬЮ "АМУР ЗОЛОТО"</t>
        </is>
      </c>
      <c r="F3452" s="1" t="inlineStr">
        <is>
          <t>2708001686</t>
        </is>
      </c>
      <c r="G3452" s="1" t="inlineStr">
        <is>
          <t>Машинист насосных установок</t>
        </is>
      </c>
      <c r="H3452" s="1" t="inlineStr">
        <is>
          <t>ООО "Амур Золото"</t>
        </is>
      </c>
      <c r="I3452" s="1" t="inlineStr">
        <is>
          <t>2708001686</t>
        </is>
      </c>
      <c r="J3452" s="1" t="inlineStr">
        <is>
          <t>ЮГОК ЭУ 26-21</t>
        </is>
      </c>
      <c r="K3452" s="1" t="inlineStr">
        <is>
          <t>Использование (применение) средств индивидуальной защиты</t>
        </is>
      </c>
      <c r="L3452" s="1" t="inlineStr">
        <is>
          <t>24.08.2026</t>
        </is>
      </c>
      <c r="M3452" s="1" t="inlineStr">
        <is>
          <t>Успешно</t>
        </is>
      </c>
      <c r="N3452" s="1" t="inlineStr">
        <is>
          <t>17.09.2026</t>
        </is>
      </c>
      <c r="O3452" s="1" t="inlineStr"/>
      <c r="P3452" s="1" t="inlineStr"/>
      <c r="Q3452" s="1" t="inlineStr">
        <is>
          <t>Пользовательский интерфейс</t>
        </is>
      </c>
    </row>
    <row r="3453">
      <c r="B3453" s="1" t="inlineStr">
        <is>
          <t>222717342</t>
        </is>
      </c>
      <c r="C3453" s="1" t="inlineStr">
        <is>
          <t>15953442</t>
        </is>
      </c>
      <c r="D3453" t="inlineStr">
        <is>
          <t>работник 91</t>
        </is>
      </c>
      <c r="E3453" s="1" t="inlineStr">
        <is>
          <t>ОБЩЕСТВО С ОГРАНИЧЕННОЙ ОТВЕТСТВЕННОСТЬЮ "АМУР ЗОЛОТО"</t>
        </is>
      </c>
      <c r="F3453" s="1" t="inlineStr">
        <is>
          <t>2708001686</t>
        </is>
      </c>
      <c r="G3453" s="1" t="inlineStr">
        <is>
          <t>Машинист насосных установок</t>
        </is>
      </c>
      <c r="H3453" s="1" t="inlineStr">
        <is>
          <t>ООО "Амур Золото"</t>
        </is>
      </c>
      <c r="I3453" s="1" t="inlineStr">
        <is>
          <t>2708001686</t>
        </is>
      </c>
      <c r="J3453" s="1" t="inlineStr">
        <is>
          <t>ЮГОК ЭУ 26-21</t>
        </is>
      </c>
      <c r="K345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453" s="1" t="inlineStr">
        <is>
          <t>24.08.2026</t>
        </is>
      </c>
      <c r="M3453" s="1" t="inlineStr">
        <is>
          <t>Успешно</t>
        </is>
      </c>
      <c r="N3453" s="1" t="inlineStr">
        <is>
          <t>17.09.2026</t>
        </is>
      </c>
      <c r="O3453" s="1" t="inlineStr"/>
      <c r="P3453" s="1" t="inlineStr"/>
      <c r="Q3453" s="1" t="inlineStr">
        <is>
          <t>Пользовательский интерфейс</t>
        </is>
      </c>
    </row>
    <row r="3454">
      <c r="B3454" s="1" t="inlineStr">
        <is>
          <t>222717343</t>
        </is>
      </c>
      <c r="C3454" s="1" t="inlineStr">
        <is>
          <t>15953442</t>
        </is>
      </c>
      <c r="D3454" t="inlineStr">
        <is>
          <t>работник 679</t>
        </is>
      </c>
      <c r="E3454" s="1" t="inlineStr">
        <is>
          <t>ОБЩЕСТВО С ОГРАНИЧЕННОЙ ОТВЕТСТВЕННОСТЬЮ "АМУР ЗОЛОТО"</t>
        </is>
      </c>
      <c r="F3454" s="1" t="inlineStr">
        <is>
          <t>2708001686</t>
        </is>
      </c>
      <c r="G3454" s="1" t="inlineStr">
        <is>
          <t>Электрослесарь (слесарь) дежурный и по ремонту оборудования</t>
        </is>
      </c>
      <c r="H3454" s="1" t="inlineStr">
        <is>
          <t>ООО "Амур Золото"</t>
        </is>
      </c>
      <c r="I3454" s="1" t="inlineStr">
        <is>
          <t>2708001686</t>
        </is>
      </c>
      <c r="J3454" s="1" t="inlineStr">
        <is>
          <t>ЮГОК ЭУ 26-22</t>
        </is>
      </c>
      <c r="K3454" s="1" t="inlineStr">
        <is>
          <t>Оказание первой помощи пострадавшим</t>
        </is>
      </c>
      <c r="L3454" s="1" t="inlineStr">
        <is>
          <t>24.08.2026</t>
        </is>
      </c>
      <c r="M3454" s="1" t="inlineStr">
        <is>
          <t>Успешно</t>
        </is>
      </c>
      <c r="N3454" s="1" t="inlineStr">
        <is>
          <t>17.09.2026</t>
        </is>
      </c>
      <c r="O3454" s="1" t="inlineStr"/>
      <c r="P3454" s="1" t="inlineStr"/>
      <c r="Q3454" s="1" t="inlineStr">
        <is>
          <t>Пользовательский интерфейс</t>
        </is>
      </c>
    </row>
    <row r="3455">
      <c r="B3455" s="1" t="inlineStr">
        <is>
          <t>222717344</t>
        </is>
      </c>
      <c r="C3455" s="1" t="inlineStr">
        <is>
          <t>15953442</t>
        </is>
      </c>
      <c r="D3455" t="inlineStr">
        <is>
          <t>работник 679</t>
        </is>
      </c>
      <c r="E3455" s="1" t="inlineStr">
        <is>
          <t>ОБЩЕСТВО С ОГРАНИЧЕННОЙ ОТВЕТСТВЕННОСТЬЮ "АМУР ЗОЛОТО"</t>
        </is>
      </c>
      <c r="F3455" s="1" t="inlineStr">
        <is>
          <t>2708001686</t>
        </is>
      </c>
      <c r="G3455" s="1" t="inlineStr">
        <is>
          <t>Электрослесарь (слесарь) дежурный и по ремонту оборудования</t>
        </is>
      </c>
      <c r="H3455" s="1" t="inlineStr">
        <is>
          <t>ООО "Амур Золото"</t>
        </is>
      </c>
      <c r="I3455" s="1" t="inlineStr">
        <is>
          <t>2708001686</t>
        </is>
      </c>
      <c r="J3455" s="1" t="inlineStr">
        <is>
          <t>ЮГОК ЭУ 26-22</t>
        </is>
      </c>
      <c r="K3455" s="1" t="inlineStr">
        <is>
          <t>Использование (применение) средств индивидуальной защиты</t>
        </is>
      </c>
      <c r="L3455" s="1" t="inlineStr">
        <is>
          <t>24.08.2026</t>
        </is>
      </c>
      <c r="M3455" s="1" t="inlineStr">
        <is>
          <t>Успешно</t>
        </is>
      </c>
      <c r="N3455" s="1" t="inlineStr">
        <is>
          <t>17.09.2026</t>
        </is>
      </c>
      <c r="O3455" s="1" t="inlineStr"/>
      <c r="P3455" s="1" t="inlineStr"/>
      <c r="Q3455" s="1" t="inlineStr">
        <is>
          <t>Пользовательский интерфейс</t>
        </is>
      </c>
    </row>
    <row r="3456">
      <c r="B3456" s="1" t="inlineStr">
        <is>
          <t>222717345</t>
        </is>
      </c>
      <c r="C3456" s="1" t="inlineStr">
        <is>
          <t>15953442</t>
        </is>
      </c>
      <c r="D3456" t="inlineStr">
        <is>
          <t>работник 679</t>
        </is>
      </c>
      <c r="E3456" s="1" t="inlineStr">
        <is>
          <t>ОБЩЕСТВО С ОГРАНИЧЕННОЙ ОТВЕТСТВЕННОСТЬЮ "АМУР ЗОЛОТО"</t>
        </is>
      </c>
      <c r="F3456" s="1" t="inlineStr">
        <is>
          <t>2708001686</t>
        </is>
      </c>
      <c r="G3456" s="1" t="inlineStr">
        <is>
          <t>Электрослесарь (слесарь) дежурный и по ремонту оборудования</t>
        </is>
      </c>
      <c r="H3456" s="1" t="inlineStr">
        <is>
          <t>ООО "Амур Золото"</t>
        </is>
      </c>
      <c r="I3456" s="1" t="inlineStr">
        <is>
          <t>2708001686</t>
        </is>
      </c>
      <c r="J3456" s="1" t="inlineStr">
        <is>
          <t>ЮГОК ЭУ 26-22</t>
        </is>
      </c>
      <c r="K345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456" s="1" t="inlineStr">
        <is>
          <t>24.08.2026</t>
        </is>
      </c>
      <c r="M3456" s="1" t="inlineStr">
        <is>
          <t>Успешно</t>
        </is>
      </c>
      <c r="N3456" s="1" t="inlineStr">
        <is>
          <t>17.09.2026</t>
        </is>
      </c>
      <c r="O3456" s="1" t="inlineStr"/>
      <c r="P3456" s="1" t="inlineStr"/>
      <c r="Q3456" s="1" t="inlineStr">
        <is>
          <t>Пользовательский интерфейс</t>
        </is>
      </c>
    </row>
    <row r="3457">
      <c r="B3457" s="1" t="inlineStr">
        <is>
          <t>222717346</t>
        </is>
      </c>
      <c r="C3457" s="1" t="inlineStr">
        <is>
          <t>15953442</t>
        </is>
      </c>
      <c r="D3457" t="inlineStr">
        <is>
          <t>работник 62</t>
        </is>
      </c>
      <c r="E3457" s="1" t="inlineStr">
        <is>
          <t>ОБЩЕСТВО С ОГРАНИЧЕННОЙ ОТВЕТСТВЕННОСТЬЮ "АМУР ЗОЛОТО"</t>
        </is>
      </c>
      <c r="F3457" s="1" t="inlineStr">
        <is>
          <t>2708001686</t>
        </is>
      </c>
      <c r="G3457" s="1" t="inlineStr">
        <is>
          <t>Машинист двигателей внутреннего сгорания (с исполнением обязанностей машиниста компрессорных установок)</t>
        </is>
      </c>
      <c r="H3457" s="1" t="inlineStr">
        <is>
          <t>ООО "Амур Золото"</t>
        </is>
      </c>
      <c r="I3457" s="1" t="inlineStr">
        <is>
          <t>2708001686</t>
        </is>
      </c>
      <c r="J3457" s="1" t="inlineStr">
        <is>
          <t>ЮГОК ЭУ 26-23</t>
        </is>
      </c>
      <c r="K3457" s="1" t="inlineStr">
        <is>
          <t>Оказание первой помощи пострадавшим</t>
        </is>
      </c>
      <c r="L3457" s="1" t="inlineStr">
        <is>
          <t>24.08.2026</t>
        </is>
      </c>
      <c r="M3457" s="1" t="inlineStr">
        <is>
          <t>Успешно</t>
        </is>
      </c>
      <c r="N3457" s="1" t="inlineStr">
        <is>
          <t>17.09.2026</t>
        </is>
      </c>
      <c r="O3457" s="1" t="inlineStr"/>
      <c r="P3457" s="1" t="inlineStr"/>
      <c r="Q3457" s="1" t="inlineStr">
        <is>
          <t>Пользовательский интерфейс</t>
        </is>
      </c>
    </row>
    <row r="3458">
      <c r="B3458" s="1" t="inlineStr">
        <is>
          <t>222717347</t>
        </is>
      </c>
      <c r="C3458" s="1" t="inlineStr">
        <is>
          <t>15953442</t>
        </is>
      </c>
      <c r="D3458" t="inlineStr">
        <is>
          <t>работник 62</t>
        </is>
      </c>
      <c r="E3458" s="1" t="inlineStr">
        <is>
          <t>ОБЩЕСТВО С ОГРАНИЧЕННОЙ ОТВЕТСТВЕННОСТЬЮ "АМУР ЗОЛОТО"</t>
        </is>
      </c>
      <c r="F3458" s="1" t="inlineStr">
        <is>
          <t>2708001686</t>
        </is>
      </c>
      <c r="G3458" s="1" t="inlineStr">
        <is>
          <t>Машинист двигателей внутреннего сгорания (с исполнением обязанностей машиниста компрессорных установок)</t>
        </is>
      </c>
      <c r="H3458" s="1" t="inlineStr">
        <is>
          <t>ООО "Амур Золото"</t>
        </is>
      </c>
      <c r="I3458" s="1" t="inlineStr">
        <is>
          <t>2708001686</t>
        </is>
      </c>
      <c r="J3458" s="1" t="inlineStr">
        <is>
          <t>ЮГОК ЭУ 26-23</t>
        </is>
      </c>
      <c r="K3458" s="1" t="inlineStr">
        <is>
          <t>Использование (применение) средств индивидуальной защиты</t>
        </is>
      </c>
      <c r="L3458" s="1" t="inlineStr">
        <is>
          <t>24.08.2026</t>
        </is>
      </c>
      <c r="M3458" s="1" t="inlineStr">
        <is>
          <t>Успешно</t>
        </is>
      </c>
      <c r="N3458" s="1" t="inlineStr">
        <is>
          <t>17.09.2026</t>
        </is>
      </c>
      <c r="O3458" s="1" t="inlineStr"/>
      <c r="P3458" s="1" t="inlineStr"/>
      <c r="Q3458" s="1" t="inlineStr">
        <is>
          <t>Пользовательский интерфейс</t>
        </is>
      </c>
    </row>
    <row r="3459">
      <c r="B3459" s="1" t="inlineStr">
        <is>
          <t>222717348</t>
        </is>
      </c>
      <c r="C3459" s="1" t="inlineStr">
        <is>
          <t>15953442</t>
        </is>
      </c>
      <c r="D3459" t="inlineStr">
        <is>
          <t>работник 62</t>
        </is>
      </c>
      <c r="E3459" s="1" t="inlineStr">
        <is>
          <t>ОБЩЕСТВО С ОГРАНИЧЕННОЙ ОТВЕТСТВЕННОСТЬЮ "АМУР ЗОЛОТО"</t>
        </is>
      </c>
      <c r="F3459" s="1" t="inlineStr">
        <is>
          <t>2708001686</t>
        </is>
      </c>
      <c r="G3459" s="1" t="inlineStr">
        <is>
          <t>Машинист двигателей внутреннего сгорания (с исполнением обязанностей машиниста компрессорных установок)</t>
        </is>
      </c>
      <c r="H3459" s="1" t="inlineStr">
        <is>
          <t>ООО "Амур Золото"</t>
        </is>
      </c>
      <c r="I3459" s="1" t="inlineStr">
        <is>
          <t>2708001686</t>
        </is>
      </c>
      <c r="J3459" s="1" t="inlineStr">
        <is>
          <t>ЮГОК ЭУ 26-23</t>
        </is>
      </c>
      <c r="K345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459" s="1" t="inlineStr">
        <is>
          <t>24.08.2026</t>
        </is>
      </c>
      <c r="M3459" s="1" t="inlineStr">
        <is>
          <t>Успешно</t>
        </is>
      </c>
      <c r="N3459" s="1" t="inlineStr">
        <is>
          <t>17.09.2026</t>
        </is>
      </c>
      <c r="O3459" s="1" t="inlineStr"/>
      <c r="P3459" s="1" t="inlineStr"/>
      <c r="Q3459" s="1" t="inlineStr">
        <is>
          <t>Пользовательский интерфейс</t>
        </is>
      </c>
    </row>
    <row r="3460">
      <c r="B3460" s="1" t="inlineStr">
        <is>
          <t>222717349</t>
        </is>
      </c>
      <c r="C3460" s="1" t="inlineStr">
        <is>
          <t>15953442</t>
        </is>
      </c>
      <c r="D3460" t="inlineStr">
        <is>
          <t>работник 786</t>
        </is>
      </c>
      <c r="E3460" s="1" t="inlineStr">
        <is>
          <t>ОБЩЕСТВО С ОГРАНИЧЕННОЙ ОТВЕТСТВЕННОСТЬЮ "АМУР ЗОЛОТО"</t>
        </is>
      </c>
      <c r="F3460" s="1" t="inlineStr">
        <is>
          <t>2708001686</t>
        </is>
      </c>
      <c r="G3460" s="1" t="inlineStr">
        <is>
          <t>Машинист двигателей внутреннего сгорания (с исполнением обязанностей машиниста компрессорных установок)</t>
        </is>
      </c>
      <c r="H3460" s="1" t="inlineStr">
        <is>
          <t>ООО "Амур Золото"</t>
        </is>
      </c>
      <c r="I3460" s="1" t="inlineStr">
        <is>
          <t>2708001686</t>
        </is>
      </c>
      <c r="J3460" s="1" t="inlineStr">
        <is>
          <t>ЮГОК ЭУ 26-23</t>
        </is>
      </c>
      <c r="K3460" s="1" t="inlineStr">
        <is>
          <t>Оказание первой помощи пострадавшим</t>
        </is>
      </c>
      <c r="L3460" s="1" t="inlineStr">
        <is>
          <t>24.08.2026</t>
        </is>
      </c>
      <c r="M3460" s="1" t="inlineStr">
        <is>
          <t>Успешно</t>
        </is>
      </c>
      <c r="N3460" s="1" t="inlineStr">
        <is>
          <t>17.09.2026</t>
        </is>
      </c>
      <c r="O3460" s="1" t="inlineStr"/>
      <c r="P3460" s="1" t="inlineStr"/>
      <c r="Q3460" s="1" t="inlineStr">
        <is>
          <t>Пользовательский интерфейс</t>
        </is>
      </c>
    </row>
    <row r="3461">
      <c r="B3461" s="1" t="inlineStr">
        <is>
          <t>222717350</t>
        </is>
      </c>
      <c r="C3461" s="1" t="inlineStr">
        <is>
          <t>15953442</t>
        </is>
      </c>
      <c r="D3461" t="inlineStr">
        <is>
          <t>работник 786</t>
        </is>
      </c>
      <c r="E3461" s="1" t="inlineStr">
        <is>
          <t>ОБЩЕСТВО С ОГРАНИЧЕННОЙ ОТВЕТСТВЕННОСТЬЮ "АМУР ЗОЛОТО"</t>
        </is>
      </c>
      <c r="F3461" s="1" t="inlineStr">
        <is>
          <t>2708001686</t>
        </is>
      </c>
      <c r="G3461" s="1" t="inlineStr">
        <is>
          <t>Машинист двигателей внутреннего сгорания (с исполнением обязанностей машиниста компрессорных установок)</t>
        </is>
      </c>
      <c r="H3461" s="1" t="inlineStr">
        <is>
          <t>ООО "Амур Золото"</t>
        </is>
      </c>
      <c r="I3461" s="1" t="inlineStr">
        <is>
          <t>2708001686</t>
        </is>
      </c>
      <c r="J3461" s="1" t="inlineStr">
        <is>
          <t>ЮГОК ЭУ 26-23</t>
        </is>
      </c>
      <c r="K3461" s="1" t="inlineStr">
        <is>
          <t>Использование (применение) средств индивидуальной защиты</t>
        </is>
      </c>
      <c r="L3461" s="1" t="inlineStr">
        <is>
          <t>24.08.2026</t>
        </is>
      </c>
      <c r="M3461" s="1" t="inlineStr">
        <is>
          <t>Успешно</t>
        </is>
      </c>
      <c r="N3461" s="1" t="inlineStr">
        <is>
          <t>17.09.2026</t>
        </is>
      </c>
      <c r="O3461" s="1" t="inlineStr"/>
      <c r="P3461" s="1" t="inlineStr"/>
      <c r="Q3461" s="1" t="inlineStr">
        <is>
          <t>Пользовательский интерфейс</t>
        </is>
      </c>
    </row>
    <row r="3462">
      <c r="B3462" s="1" t="inlineStr">
        <is>
          <t>222717351</t>
        </is>
      </c>
      <c r="C3462" s="1" t="inlineStr">
        <is>
          <t>15953442</t>
        </is>
      </c>
      <c r="D3462" t="inlineStr">
        <is>
          <t>работник 786</t>
        </is>
      </c>
      <c r="E3462" s="1" t="inlineStr">
        <is>
          <t>ОБЩЕСТВО С ОГРАНИЧЕННОЙ ОТВЕТСТВЕННОСТЬЮ "АМУР ЗОЛОТО"</t>
        </is>
      </c>
      <c r="F3462" s="1" t="inlineStr">
        <is>
          <t>2708001686</t>
        </is>
      </c>
      <c r="G3462" s="1" t="inlineStr">
        <is>
          <t>Машинист двигателей внутреннего сгорания (с исполнением обязанностей машиниста компрессорных установок)</t>
        </is>
      </c>
      <c r="H3462" s="1" t="inlineStr">
        <is>
          <t>ООО "Амур Золото"</t>
        </is>
      </c>
      <c r="I3462" s="1" t="inlineStr">
        <is>
          <t>2708001686</t>
        </is>
      </c>
      <c r="J3462" s="1" t="inlineStr">
        <is>
          <t>ЮГОК ЭУ 26-23</t>
        </is>
      </c>
      <c r="K346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462" s="1" t="inlineStr">
        <is>
          <t>24.08.2026</t>
        </is>
      </c>
      <c r="M3462" s="1" t="inlineStr">
        <is>
          <t>Успешно</t>
        </is>
      </c>
      <c r="N3462" s="1" t="inlineStr">
        <is>
          <t>17.09.2026</t>
        </is>
      </c>
      <c r="O3462" s="1" t="inlineStr"/>
      <c r="P3462" s="1" t="inlineStr"/>
      <c r="Q3462" s="1" t="inlineStr">
        <is>
          <t>Пользовательский интерфейс</t>
        </is>
      </c>
    </row>
    <row r="3463">
      <c r="B3463" s="1" t="inlineStr">
        <is>
          <t>222717352</t>
        </is>
      </c>
      <c r="C3463" s="1" t="inlineStr">
        <is>
          <t>15953442</t>
        </is>
      </c>
      <c r="D3463" t="inlineStr">
        <is>
          <t>работник 680</t>
        </is>
      </c>
      <c r="E3463" s="1" t="inlineStr">
        <is>
          <t>ОБЩЕСТВО С ОГРАНИЧЕННОЙ ОТВЕТСТВЕННОСТЬЮ "АМУР ЗОЛОТО"</t>
        </is>
      </c>
      <c r="F3463" s="1" t="inlineStr">
        <is>
          <t>2708001686</t>
        </is>
      </c>
      <c r="G3463" s="1" t="inlineStr">
        <is>
          <t>Слесарь-сантехник</t>
        </is>
      </c>
      <c r="H3463" s="1" t="inlineStr">
        <is>
          <t>ООО "Амур Золото"</t>
        </is>
      </c>
      <c r="I3463" s="1" t="inlineStr">
        <is>
          <t>2708001686</t>
        </is>
      </c>
      <c r="J3463" s="1" t="inlineStr">
        <is>
          <t>ЮГОК ЭУ 26-24</t>
        </is>
      </c>
      <c r="K3463" s="1" t="inlineStr">
        <is>
          <t>Оказание первой помощи пострадавшим</t>
        </is>
      </c>
      <c r="L3463" s="1" t="inlineStr">
        <is>
          <t>25.08.2026</t>
        </is>
      </c>
      <c r="M3463" s="1" t="inlineStr">
        <is>
          <t>Успешно</t>
        </is>
      </c>
      <c r="N3463" s="1" t="inlineStr">
        <is>
          <t>17.09.2026</t>
        </is>
      </c>
      <c r="O3463" s="1" t="inlineStr"/>
      <c r="P3463" s="1" t="inlineStr"/>
      <c r="Q3463" s="1" t="inlineStr">
        <is>
          <t>Пользовательский интерфейс</t>
        </is>
      </c>
    </row>
    <row r="3464">
      <c r="B3464" s="1" t="inlineStr">
        <is>
          <t>222717353</t>
        </is>
      </c>
      <c r="C3464" s="1" t="inlineStr">
        <is>
          <t>15953442</t>
        </is>
      </c>
      <c r="D3464" t="inlineStr">
        <is>
          <t>работник 680</t>
        </is>
      </c>
      <c r="E3464" s="1" t="inlineStr">
        <is>
          <t>ОБЩЕСТВО С ОГРАНИЧЕННОЙ ОТВЕТСТВЕННОСТЬЮ "АМУР ЗОЛОТО"</t>
        </is>
      </c>
      <c r="F3464" s="1" t="inlineStr">
        <is>
          <t>2708001686</t>
        </is>
      </c>
      <c r="G3464" s="1" t="inlineStr">
        <is>
          <t>Слесарь-сантехник</t>
        </is>
      </c>
      <c r="H3464" s="1" t="inlineStr">
        <is>
          <t>ООО "Амур Золото"</t>
        </is>
      </c>
      <c r="I3464" s="1" t="inlineStr">
        <is>
          <t>2708001686</t>
        </is>
      </c>
      <c r="J3464" s="1" t="inlineStr">
        <is>
          <t>ЮГОК ЭУ 26-24</t>
        </is>
      </c>
      <c r="K3464" s="1" t="inlineStr">
        <is>
          <t>Использование (применение) средств индивидуальной защиты</t>
        </is>
      </c>
      <c r="L3464" s="1" t="inlineStr">
        <is>
          <t>25.08.2026</t>
        </is>
      </c>
      <c r="M3464" s="1" t="inlineStr">
        <is>
          <t>Успешно</t>
        </is>
      </c>
      <c r="N3464" s="1" t="inlineStr">
        <is>
          <t>17.09.2026</t>
        </is>
      </c>
      <c r="O3464" s="1" t="inlineStr"/>
      <c r="P3464" s="1" t="inlineStr"/>
      <c r="Q3464" s="1" t="inlineStr">
        <is>
          <t>Пользовательский интерфейс</t>
        </is>
      </c>
    </row>
    <row r="3465">
      <c r="B3465" s="1" t="inlineStr">
        <is>
          <t>222717354</t>
        </is>
      </c>
      <c r="C3465" s="1" t="inlineStr">
        <is>
          <t>15953442</t>
        </is>
      </c>
      <c r="D3465" t="inlineStr">
        <is>
          <t>работник 680</t>
        </is>
      </c>
      <c r="E3465" s="1" t="inlineStr">
        <is>
          <t>ОБЩЕСТВО С ОГРАНИЧЕННОЙ ОТВЕТСТВЕННОСТЬЮ "АМУР ЗОЛОТО"</t>
        </is>
      </c>
      <c r="F3465" s="1" t="inlineStr">
        <is>
          <t>2708001686</t>
        </is>
      </c>
      <c r="G3465" s="1" t="inlineStr">
        <is>
          <t>Слесарь-сантехник</t>
        </is>
      </c>
      <c r="H3465" s="1" t="inlineStr">
        <is>
          <t>ООО "Амур Золото"</t>
        </is>
      </c>
      <c r="I3465" s="1" t="inlineStr">
        <is>
          <t>2708001686</t>
        </is>
      </c>
      <c r="J3465" s="1" t="inlineStr">
        <is>
          <t>ЮГОК ЭУ 26-24</t>
        </is>
      </c>
      <c r="K346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465" s="1" t="inlineStr">
        <is>
          <t>25.08.2026</t>
        </is>
      </c>
      <c r="M3465" s="1" t="inlineStr">
        <is>
          <t>Успешно</t>
        </is>
      </c>
      <c r="N3465" s="1" t="inlineStr">
        <is>
          <t>17.09.2026</t>
        </is>
      </c>
      <c r="O3465" s="1" t="inlineStr"/>
      <c r="P3465" s="1" t="inlineStr"/>
      <c r="Q3465" s="1" t="inlineStr">
        <is>
          <t>Пользовательский интерфейс</t>
        </is>
      </c>
    </row>
    <row r="3466">
      <c r="B3466" s="1" t="inlineStr">
        <is>
          <t>222717355</t>
        </is>
      </c>
      <c r="C3466" s="1" t="inlineStr">
        <is>
          <t>15953442</t>
        </is>
      </c>
      <c r="D3466" t="inlineStr">
        <is>
          <t>работник 335</t>
        </is>
      </c>
      <c r="E3466" s="1" t="inlineStr">
        <is>
          <t>ОБЩЕСТВО С ОГРАНИЧЕННОЙ ОТВЕТСТВЕННОСТЬЮ "АМУР ЗОЛОТО"</t>
        </is>
      </c>
      <c r="F3466" s="1" t="inlineStr">
        <is>
          <t>2708001686</t>
        </is>
      </c>
      <c r="G3466" s="1" t="inlineStr">
        <is>
          <t>Машинист двигателей внутреннего сгорания (с исполнением обязанностей машиниста компрессорных установок)</t>
        </is>
      </c>
      <c r="H3466" s="1" t="inlineStr">
        <is>
          <t>ООО "Амур Золото"</t>
        </is>
      </c>
      <c r="I3466" s="1" t="inlineStr">
        <is>
          <t>2708001686</t>
        </is>
      </c>
      <c r="J3466" s="1" t="inlineStr">
        <is>
          <t>ЮГОК ЭУ 26-25</t>
        </is>
      </c>
      <c r="K3466" s="1" t="inlineStr">
        <is>
          <t>Оказание первой помощи пострадавшим</t>
        </is>
      </c>
      <c r="L3466" s="1" t="inlineStr">
        <is>
          <t>25.08.2026</t>
        </is>
      </c>
      <c r="M3466" s="1" t="inlineStr">
        <is>
          <t>Успешно</t>
        </is>
      </c>
      <c r="N3466" s="1" t="inlineStr">
        <is>
          <t>17.09.2026</t>
        </is>
      </c>
      <c r="O3466" s="1" t="inlineStr"/>
      <c r="P3466" s="1" t="inlineStr"/>
      <c r="Q3466" s="1" t="inlineStr">
        <is>
          <t>Пользовательский интерфейс</t>
        </is>
      </c>
    </row>
    <row r="3467">
      <c r="B3467" s="1" t="inlineStr">
        <is>
          <t>222717356</t>
        </is>
      </c>
      <c r="C3467" s="1" t="inlineStr">
        <is>
          <t>15953442</t>
        </is>
      </c>
      <c r="D3467" t="inlineStr">
        <is>
          <t>работник 335</t>
        </is>
      </c>
      <c r="E3467" s="1" t="inlineStr">
        <is>
          <t>ОБЩЕСТВО С ОГРАНИЧЕННОЙ ОТВЕТСТВЕННОСТЬЮ "АМУР ЗОЛОТО"</t>
        </is>
      </c>
      <c r="F3467" s="1" t="inlineStr">
        <is>
          <t>2708001686</t>
        </is>
      </c>
      <c r="G3467" s="1" t="inlineStr">
        <is>
          <t>Машинист двигателей внутреннего сгорания (с исполнением обязанностей машиниста компрессорных установок)</t>
        </is>
      </c>
      <c r="H3467" s="1" t="inlineStr">
        <is>
          <t>ООО "Амур Золото"</t>
        </is>
      </c>
      <c r="I3467" s="1" t="inlineStr">
        <is>
          <t>2708001686</t>
        </is>
      </c>
      <c r="J3467" s="1" t="inlineStr">
        <is>
          <t>ЮГОК ЭУ 26-25</t>
        </is>
      </c>
      <c r="K3467" s="1" t="inlineStr">
        <is>
          <t>Использование (применение) средств индивидуальной защиты</t>
        </is>
      </c>
      <c r="L3467" s="1" t="inlineStr">
        <is>
          <t>25.08.2026</t>
        </is>
      </c>
      <c r="M3467" s="1" t="inlineStr">
        <is>
          <t>Успешно</t>
        </is>
      </c>
      <c r="N3467" s="1" t="inlineStr">
        <is>
          <t>17.09.2026</t>
        </is>
      </c>
      <c r="O3467" s="1" t="inlineStr"/>
      <c r="P3467" s="1" t="inlineStr"/>
      <c r="Q3467" s="1" t="inlineStr">
        <is>
          <t>Пользовательский интерфейс</t>
        </is>
      </c>
    </row>
    <row r="3468">
      <c r="B3468" s="1" t="inlineStr">
        <is>
          <t>222717357</t>
        </is>
      </c>
      <c r="C3468" s="1" t="inlineStr">
        <is>
          <t>15953442</t>
        </is>
      </c>
      <c r="D3468" t="inlineStr">
        <is>
          <t>работник 335</t>
        </is>
      </c>
      <c r="E3468" s="1" t="inlineStr">
        <is>
          <t>ОБЩЕСТВО С ОГРАНИЧЕННОЙ ОТВЕТСТВЕННОСТЬЮ "АМУР ЗОЛОТО"</t>
        </is>
      </c>
      <c r="F3468" s="1" t="inlineStr">
        <is>
          <t>2708001686</t>
        </is>
      </c>
      <c r="G3468" s="1" t="inlineStr">
        <is>
          <t>Машинист двигателей внутреннего сгорания (с исполнением обязанностей машиниста компрессорных установок)</t>
        </is>
      </c>
      <c r="H3468" s="1" t="inlineStr">
        <is>
          <t>ООО "Амур Золото"</t>
        </is>
      </c>
      <c r="I3468" s="1" t="inlineStr">
        <is>
          <t>2708001686</t>
        </is>
      </c>
      <c r="J3468" s="1" t="inlineStr">
        <is>
          <t>ЮГОК ЭУ 26-25</t>
        </is>
      </c>
      <c r="K346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468" s="1" t="inlineStr">
        <is>
          <t>25.08.2026</t>
        </is>
      </c>
      <c r="M3468" s="1" t="inlineStr">
        <is>
          <t>Успешно</t>
        </is>
      </c>
      <c r="N3468" s="1" t="inlineStr">
        <is>
          <t>17.09.2026</t>
        </is>
      </c>
      <c r="O3468" s="1" t="inlineStr"/>
      <c r="P3468" s="1" t="inlineStr"/>
      <c r="Q3468" s="1" t="inlineStr">
        <is>
          <t>Пользовательский интерфейс</t>
        </is>
      </c>
    </row>
    <row r="3469">
      <c r="B3469" s="1" t="inlineStr">
        <is>
          <t>223282974</t>
        </is>
      </c>
      <c r="C3469" s="1" t="inlineStr">
        <is>
          <t>15995643</t>
        </is>
      </c>
      <c r="D3469" t="inlineStr">
        <is>
          <t>работник 924</t>
        </is>
      </c>
      <c r="E3469" s="1" t="inlineStr">
        <is>
          <t>ОБЩЕСТВО С ОГРАНИЧЕННОЙ ОТВЕТСТВЕННОСТЬЮ "АМУР ЗОЛОТО"</t>
        </is>
      </c>
      <c r="F3469" s="1" t="inlineStr">
        <is>
          <t>2708001686</t>
        </is>
      </c>
      <c r="G3469" s="1" t="inlineStr">
        <is>
          <t>Повар</t>
        </is>
      </c>
      <c r="H3469" s="1" t="inlineStr">
        <is>
          <t>ООО "Амур Золото"</t>
        </is>
      </c>
      <c r="I3469" s="1" t="inlineStr">
        <is>
          <t>2708001686</t>
        </is>
      </c>
      <c r="J3469" s="1" t="inlineStr">
        <is>
          <t>ЮГОК АХЧ 26-30</t>
        </is>
      </c>
      <c r="K3469" s="1" t="inlineStr">
        <is>
          <t>Использование (применение) средств индивидуальной защиты</t>
        </is>
      </c>
      <c r="L3469" s="1" t="inlineStr">
        <is>
          <t>30.08.2026</t>
        </is>
      </c>
      <c r="M3469" s="1" t="inlineStr">
        <is>
          <t>Успешно</t>
        </is>
      </c>
      <c r="N3469" s="1" t="inlineStr">
        <is>
          <t>21.09.2026</t>
        </is>
      </c>
      <c r="O3469" s="1" t="inlineStr"/>
      <c r="P3469" s="1" t="inlineStr"/>
      <c r="Q3469" s="1" t="inlineStr">
        <is>
          <t>Пользовательский интерфейс</t>
        </is>
      </c>
    </row>
    <row r="3470">
      <c r="B3470" s="1" t="inlineStr">
        <is>
          <t>223282975</t>
        </is>
      </c>
      <c r="C3470" s="1" t="inlineStr">
        <is>
          <t>15995643</t>
        </is>
      </c>
      <c r="D3470" t="inlineStr">
        <is>
          <t>работник 924</t>
        </is>
      </c>
      <c r="E3470" s="1" t="inlineStr">
        <is>
          <t>ОБЩЕСТВО С ОГРАНИЧЕННОЙ ОТВЕТСТВЕННОСТЬЮ "АМУР ЗОЛОТО"</t>
        </is>
      </c>
      <c r="F3470" s="1" t="inlineStr">
        <is>
          <t>2708001686</t>
        </is>
      </c>
      <c r="G3470" s="1" t="inlineStr">
        <is>
          <t>Повар</t>
        </is>
      </c>
      <c r="H3470" s="1" t="inlineStr">
        <is>
          <t>ООО "Амур Золото"</t>
        </is>
      </c>
      <c r="I3470" s="1" t="inlineStr">
        <is>
          <t>2708001686</t>
        </is>
      </c>
      <c r="J3470" s="1" t="inlineStr">
        <is>
          <t>ЮГОК АХЧ 26-30</t>
        </is>
      </c>
      <c r="K347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470" s="1" t="inlineStr">
        <is>
          <t>30.08.2026</t>
        </is>
      </c>
      <c r="M3470" s="1" t="inlineStr">
        <is>
          <t>Успешно</t>
        </is>
      </c>
      <c r="N3470" s="1" t="inlineStr">
        <is>
          <t>21.09.2026</t>
        </is>
      </c>
      <c r="O3470" s="1" t="inlineStr"/>
      <c r="P3470" s="1" t="inlineStr"/>
      <c r="Q3470" s="1" t="inlineStr">
        <is>
          <t>Пользовательский интерфейс</t>
        </is>
      </c>
    </row>
    <row r="3471">
      <c r="B3471" s="1" t="inlineStr">
        <is>
          <t>223282976</t>
        </is>
      </c>
      <c r="C3471" s="1" t="inlineStr">
        <is>
          <t>15995643</t>
        </is>
      </c>
      <c r="D3471" t="inlineStr">
        <is>
          <t>работник 925</t>
        </is>
      </c>
      <c r="E3471" s="1" t="inlineStr">
        <is>
          <t>ОБЩЕСТВО С ОГРАНИЧЕННОЙ ОТВЕТСТВЕННОСТЬЮ "АМУР ЗОЛОТО"</t>
        </is>
      </c>
      <c r="F3471" s="1" t="inlineStr">
        <is>
          <t>2708001686</t>
        </is>
      </c>
      <c r="G3471" s="1" t="inlineStr">
        <is>
          <t>Повар</t>
        </is>
      </c>
      <c r="H3471" s="1" t="inlineStr">
        <is>
          <t>ООО "Амур Золото"</t>
        </is>
      </c>
      <c r="I3471" s="1" t="inlineStr">
        <is>
          <t>2708001686</t>
        </is>
      </c>
      <c r="J3471" s="1" t="inlineStr">
        <is>
          <t>ЮГОК АХЧ 26-31</t>
        </is>
      </c>
      <c r="K3471" s="1" t="inlineStr">
        <is>
          <t>Использование (применение) средств индивидуальной защиты</t>
        </is>
      </c>
      <c r="L3471" s="1" t="inlineStr">
        <is>
          <t>30.08.2026</t>
        </is>
      </c>
      <c r="M3471" s="1" t="inlineStr">
        <is>
          <t>Успешно</t>
        </is>
      </c>
      <c r="N3471" s="1" t="inlineStr">
        <is>
          <t>21.09.2026</t>
        </is>
      </c>
      <c r="O3471" s="1" t="inlineStr"/>
      <c r="P3471" s="1" t="inlineStr"/>
      <c r="Q3471" s="1" t="inlineStr">
        <is>
          <t>Пользовательский интерфейс</t>
        </is>
      </c>
    </row>
    <row r="3472">
      <c r="B3472" s="1" t="inlineStr">
        <is>
          <t>223282977</t>
        </is>
      </c>
      <c r="C3472" s="1" t="inlineStr">
        <is>
          <t>15995643</t>
        </is>
      </c>
      <c r="D3472" t="inlineStr">
        <is>
          <t>работник 925</t>
        </is>
      </c>
      <c r="E3472" s="1" t="inlineStr">
        <is>
          <t>ОБЩЕСТВО С ОГРАНИЧЕННОЙ ОТВЕТСТВЕННОСТЬЮ "АМУР ЗОЛОТО"</t>
        </is>
      </c>
      <c r="F3472" s="1" t="inlineStr">
        <is>
          <t>2708001686</t>
        </is>
      </c>
      <c r="G3472" s="1" t="inlineStr">
        <is>
          <t>Повар</t>
        </is>
      </c>
      <c r="H3472" s="1" t="inlineStr">
        <is>
          <t>ООО "Амур Золото"</t>
        </is>
      </c>
      <c r="I3472" s="1" t="inlineStr">
        <is>
          <t>2708001686</t>
        </is>
      </c>
      <c r="J3472" s="1" t="inlineStr">
        <is>
          <t>ЮГОК АХЧ 26-31</t>
        </is>
      </c>
      <c r="K347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472" s="1" t="inlineStr">
        <is>
          <t>30.08.2026</t>
        </is>
      </c>
      <c r="M3472" s="1" t="inlineStr">
        <is>
          <t>Успешно</t>
        </is>
      </c>
      <c r="N3472" s="1" t="inlineStr">
        <is>
          <t>21.09.2026</t>
        </is>
      </c>
      <c r="O3472" s="1" t="inlineStr"/>
      <c r="P3472" s="1" t="inlineStr"/>
      <c r="Q3472" s="1" t="inlineStr">
        <is>
          <t>Пользовательский интерфейс</t>
        </is>
      </c>
    </row>
    <row r="3473">
      <c r="B3473" s="1" t="inlineStr">
        <is>
          <t>223282978</t>
        </is>
      </c>
      <c r="C3473" s="1" t="inlineStr">
        <is>
          <t>15995643</t>
        </is>
      </c>
      <c r="D3473" t="inlineStr">
        <is>
          <t>работник 926</t>
        </is>
      </c>
      <c r="E3473" s="1" t="inlineStr">
        <is>
          <t>ОБЩЕСТВО С ОГРАНИЧЕННОЙ ОТВЕТСТВЕННОСТЬЮ "АМУР ЗОЛОТО"</t>
        </is>
      </c>
      <c r="F3473" s="1" t="inlineStr">
        <is>
          <t>2708001686</t>
        </is>
      </c>
      <c r="G3473" s="1" t="inlineStr">
        <is>
          <t>Плавильщик</t>
        </is>
      </c>
      <c r="H3473" s="1" t="inlineStr">
        <is>
          <t>ООО "Амур Золото"</t>
        </is>
      </c>
      <c r="I3473" s="1" t="inlineStr">
        <is>
          <t>2708001686</t>
        </is>
      </c>
      <c r="J3473" s="1" t="inlineStr">
        <is>
          <t>ЮГОК ЗИОФ 26-47</t>
        </is>
      </c>
      <c r="K3473" s="1" t="inlineStr">
        <is>
          <t>Оказание первой помощи пострадавшим</t>
        </is>
      </c>
      <c r="L3473" s="1" t="inlineStr">
        <is>
          <t>26.08.2026</t>
        </is>
      </c>
      <c r="M3473" s="1" t="inlineStr">
        <is>
          <t>Успешно</t>
        </is>
      </c>
      <c r="N3473" s="1" t="inlineStr">
        <is>
          <t>21.09.2026</t>
        </is>
      </c>
      <c r="O3473" s="1" t="inlineStr"/>
      <c r="P3473" s="1" t="inlineStr"/>
      <c r="Q3473" s="1" t="inlineStr">
        <is>
          <t>Пользовательский интерфейс</t>
        </is>
      </c>
    </row>
    <row r="3474">
      <c r="B3474" s="1" t="inlineStr">
        <is>
          <t>223282979</t>
        </is>
      </c>
      <c r="C3474" s="1" t="inlineStr">
        <is>
          <t>15995643</t>
        </is>
      </c>
      <c r="D3474" t="inlineStr">
        <is>
          <t>работник 926</t>
        </is>
      </c>
      <c r="E3474" s="1" t="inlineStr">
        <is>
          <t>ОБЩЕСТВО С ОГРАНИЧЕННОЙ ОТВЕТСТВЕННОСТЬЮ "АМУР ЗОЛОТО"</t>
        </is>
      </c>
      <c r="F3474" s="1" t="inlineStr">
        <is>
          <t>2708001686</t>
        </is>
      </c>
      <c r="G3474" s="1" t="inlineStr">
        <is>
          <t>Плавильщик</t>
        </is>
      </c>
      <c r="H3474" s="1" t="inlineStr">
        <is>
          <t>ООО "Амур Золото"</t>
        </is>
      </c>
      <c r="I3474" s="1" t="inlineStr">
        <is>
          <t>2708001686</t>
        </is>
      </c>
      <c r="J3474" s="1" t="inlineStr">
        <is>
          <t>ЮГОК ЗИОФ 26-47</t>
        </is>
      </c>
      <c r="K3474" s="1" t="inlineStr">
        <is>
          <t>Использование (применение) средств индивидуальной защиты</t>
        </is>
      </c>
      <c r="L3474" s="1" t="inlineStr">
        <is>
          <t>26.08.2026</t>
        </is>
      </c>
      <c r="M3474" s="1" t="inlineStr">
        <is>
          <t>Успешно</t>
        </is>
      </c>
      <c r="N3474" s="1" t="inlineStr">
        <is>
          <t>21.09.2026</t>
        </is>
      </c>
      <c r="O3474" s="1" t="inlineStr"/>
      <c r="P3474" s="1" t="inlineStr"/>
      <c r="Q3474" s="1" t="inlineStr">
        <is>
          <t>Пользовательский интерфейс</t>
        </is>
      </c>
    </row>
    <row r="3475">
      <c r="B3475" s="1" t="inlineStr">
        <is>
          <t>223282980</t>
        </is>
      </c>
      <c r="C3475" s="1" t="inlineStr">
        <is>
          <t>15995643</t>
        </is>
      </c>
      <c r="D3475" t="inlineStr">
        <is>
          <t>работник 926</t>
        </is>
      </c>
      <c r="E3475" s="1" t="inlineStr">
        <is>
          <t>ОБЩЕСТВО С ОГРАНИЧЕННОЙ ОТВЕТСТВЕННОСТЬЮ "АМУР ЗОЛОТО"</t>
        </is>
      </c>
      <c r="F3475" s="1" t="inlineStr">
        <is>
          <t>2708001686</t>
        </is>
      </c>
      <c r="G3475" s="1" t="inlineStr">
        <is>
          <t>Плавильщик</t>
        </is>
      </c>
      <c r="H3475" s="1" t="inlineStr">
        <is>
          <t>ООО "Амур Золото"</t>
        </is>
      </c>
      <c r="I3475" s="1" t="inlineStr">
        <is>
          <t>2708001686</t>
        </is>
      </c>
      <c r="J3475" s="1" t="inlineStr">
        <is>
          <t>ЮГОК ЗИОФ 26-47</t>
        </is>
      </c>
      <c r="K347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475" s="1" t="inlineStr">
        <is>
          <t>26.08.2026</t>
        </is>
      </c>
      <c r="M3475" s="1" t="inlineStr">
        <is>
          <t>Успешно</t>
        </is>
      </c>
      <c r="N3475" s="1" t="inlineStr">
        <is>
          <t>21.09.2026</t>
        </is>
      </c>
      <c r="O3475" s="1" t="inlineStr"/>
      <c r="P3475" s="1" t="inlineStr"/>
      <c r="Q3475" s="1" t="inlineStr">
        <is>
          <t>Пользовательский интерфейс</t>
        </is>
      </c>
    </row>
    <row r="3476">
      <c r="B3476" s="1" t="inlineStr">
        <is>
          <t>223282981</t>
        </is>
      </c>
      <c r="C3476" s="1" t="inlineStr">
        <is>
          <t>15995643</t>
        </is>
      </c>
      <c r="D3476" t="inlineStr">
        <is>
          <t>работник 424</t>
        </is>
      </c>
      <c r="E3476" s="1" t="inlineStr">
        <is>
          <t>ОБЩЕСТВО С ОГРАНИЧЕННОЙ ОТВЕТСТВЕННОСТЬЮ "АМУР ЗОЛОТО"</t>
        </is>
      </c>
      <c r="F3476" s="1" t="inlineStr">
        <is>
          <t>2708001686</t>
        </is>
      </c>
      <c r="G3476" s="1" t="inlineStr">
        <is>
          <t>Фильтровальщик</t>
        </is>
      </c>
      <c r="H3476" s="1" t="inlineStr">
        <is>
          <t>ООО "Амур Золото"</t>
        </is>
      </c>
      <c r="I3476" s="1" t="inlineStr">
        <is>
          <t>2708001686</t>
        </is>
      </c>
      <c r="J3476" s="1" t="inlineStr">
        <is>
          <t>ЮГОК ЗИОФ 26-48</t>
        </is>
      </c>
      <c r="K3476" s="1" t="inlineStr">
        <is>
          <t>Оказание первой помощи пострадавшим</t>
        </is>
      </c>
      <c r="L3476" s="1" t="inlineStr">
        <is>
          <t>26.08.2026</t>
        </is>
      </c>
      <c r="M3476" s="1" t="inlineStr">
        <is>
          <t>Успешно</t>
        </is>
      </c>
      <c r="N3476" s="1" t="inlineStr">
        <is>
          <t>21.09.2026</t>
        </is>
      </c>
      <c r="O3476" s="1" t="inlineStr"/>
      <c r="P3476" s="1" t="inlineStr"/>
      <c r="Q3476" s="1" t="inlineStr">
        <is>
          <t>Пользовательский интерфейс</t>
        </is>
      </c>
    </row>
    <row r="3477">
      <c r="B3477" s="1" t="inlineStr">
        <is>
          <t>223282982</t>
        </is>
      </c>
      <c r="C3477" s="1" t="inlineStr">
        <is>
          <t>15995643</t>
        </is>
      </c>
      <c r="D3477" t="inlineStr">
        <is>
          <t>работник 424</t>
        </is>
      </c>
      <c r="E3477" s="1" t="inlineStr">
        <is>
          <t>ОБЩЕСТВО С ОГРАНИЧЕННОЙ ОТВЕТСТВЕННОСТЬЮ "АМУР ЗОЛОТО"</t>
        </is>
      </c>
      <c r="F3477" s="1" t="inlineStr">
        <is>
          <t>2708001686</t>
        </is>
      </c>
      <c r="G3477" s="1" t="inlineStr">
        <is>
          <t>Фильтровальщик</t>
        </is>
      </c>
      <c r="H3477" s="1" t="inlineStr">
        <is>
          <t>ООО "Амур Золото"</t>
        </is>
      </c>
      <c r="I3477" s="1" t="inlineStr">
        <is>
          <t>2708001686</t>
        </is>
      </c>
      <c r="J3477" s="1" t="inlineStr">
        <is>
          <t>ЮГОК ЗИОФ 26-48</t>
        </is>
      </c>
      <c r="K3477" s="1" t="inlineStr">
        <is>
          <t>Использование (применение) средств индивидуальной защиты</t>
        </is>
      </c>
      <c r="L3477" s="1" t="inlineStr">
        <is>
          <t>26.08.2026</t>
        </is>
      </c>
      <c r="M3477" s="1" t="inlineStr">
        <is>
          <t>Успешно</t>
        </is>
      </c>
      <c r="N3477" s="1" t="inlineStr">
        <is>
          <t>21.09.2026</t>
        </is>
      </c>
      <c r="O3477" s="1" t="inlineStr"/>
      <c r="P3477" s="1" t="inlineStr"/>
      <c r="Q3477" s="1" t="inlineStr">
        <is>
          <t>Пользовательский интерфейс</t>
        </is>
      </c>
    </row>
    <row r="3478">
      <c r="B3478" s="1" t="inlineStr">
        <is>
          <t>223282983</t>
        </is>
      </c>
      <c r="C3478" s="1" t="inlineStr">
        <is>
          <t>15995643</t>
        </is>
      </c>
      <c r="D3478" t="inlineStr">
        <is>
          <t>работник 424</t>
        </is>
      </c>
      <c r="E3478" s="1" t="inlineStr">
        <is>
          <t>ОБЩЕСТВО С ОГРАНИЧЕННОЙ ОТВЕТСТВЕННОСТЬЮ "АМУР ЗОЛОТО"</t>
        </is>
      </c>
      <c r="F3478" s="1" t="inlineStr">
        <is>
          <t>2708001686</t>
        </is>
      </c>
      <c r="G3478" s="1" t="inlineStr">
        <is>
          <t>Фильтровальщик</t>
        </is>
      </c>
      <c r="H3478" s="1" t="inlineStr">
        <is>
          <t>ООО "Амур Золото"</t>
        </is>
      </c>
      <c r="I3478" s="1" t="inlineStr">
        <is>
          <t>2708001686</t>
        </is>
      </c>
      <c r="J3478" s="1" t="inlineStr">
        <is>
          <t>ЮГОК ЗИОФ 26-48</t>
        </is>
      </c>
      <c r="K347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478" s="1" t="inlineStr">
        <is>
          <t>26.08.2026</t>
        </is>
      </c>
      <c r="M3478" s="1" t="inlineStr">
        <is>
          <t>Успешно</t>
        </is>
      </c>
      <c r="N3478" s="1" t="inlineStr">
        <is>
          <t>21.09.2026</t>
        </is>
      </c>
      <c r="O3478" s="1" t="inlineStr"/>
      <c r="P3478" s="1" t="inlineStr"/>
      <c r="Q3478" s="1" t="inlineStr">
        <is>
          <t>Пользовательский интерфейс</t>
        </is>
      </c>
    </row>
    <row r="3479">
      <c r="B3479" s="1" t="inlineStr">
        <is>
          <t>223282984</t>
        </is>
      </c>
      <c r="C3479" s="1" t="inlineStr">
        <is>
          <t>15995643</t>
        </is>
      </c>
      <c r="D3479" t="inlineStr">
        <is>
          <t>работник 131</t>
        </is>
      </c>
      <c r="E3479" s="1" t="inlineStr">
        <is>
          <t>ОБЩЕСТВО С ОГРАНИЧЕННОЙ ОТВЕТСТВЕННОСТЬЮ "АМУР ЗОЛОТО"</t>
        </is>
      </c>
      <c r="F3479" s="1" t="inlineStr">
        <is>
          <t>2708001686</t>
        </is>
      </c>
      <c r="G3479" s="1" t="inlineStr">
        <is>
          <t>Электрогазосварщик, занятый на резке и ручной сварке</t>
        </is>
      </c>
      <c r="H3479" s="1" t="inlineStr">
        <is>
          <t>ООО "Амур Золото"</t>
        </is>
      </c>
      <c r="I3479" s="1" t="inlineStr">
        <is>
          <t>2708001686</t>
        </is>
      </c>
      <c r="J3479" s="1" t="inlineStr">
        <is>
          <t>ЮГОК ЗИОФ 26-49</t>
        </is>
      </c>
      <c r="K3479" s="1" t="inlineStr">
        <is>
          <t>Оказание первой помощи пострадавшим</t>
        </is>
      </c>
      <c r="L3479" s="1" t="inlineStr">
        <is>
          <t>26.08.2026</t>
        </is>
      </c>
      <c r="M3479" s="1" t="inlineStr">
        <is>
          <t>Успешно</t>
        </is>
      </c>
      <c r="N3479" s="1" t="inlineStr">
        <is>
          <t>21.09.2026</t>
        </is>
      </c>
      <c r="O3479" s="1" t="inlineStr"/>
      <c r="P3479" s="1" t="inlineStr"/>
      <c r="Q3479" s="1" t="inlineStr">
        <is>
          <t>Пользовательский интерфейс</t>
        </is>
      </c>
    </row>
    <row r="3480">
      <c r="B3480" s="1" t="inlineStr">
        <is>
          <t>223282985</t>
        </is>
      </c>
      <c r="C3480" s="1" t="inlineStr">
        <is>
          <t>15995643</t>
        </is>
      </c>
      <c r="D3480" t="inlineStr">
        <is>
          <t>работник 131</t>
        </is>
      </c>
      <c r="E3480" s="1" t="inlineStr">
        <is>
          <t>ОБЩЕСТВО С ОГРАНИЧЕННОЙ ОТВЕТСТВЕННОСТЬЮ "АМУР ЗОЛОТО"</t>
        </is>
      </c>
      <c r="F3480" s="1" t="inlineStr">
        <is>
          <t>2708001686</t>
        </is>
      </c>
      <c r="G3480" s="1" t="inlineStr">
        <is>
          <t>Электрогазосварщик, занятый на резке и ручной сварке</t>
        </is>
      </c>
      <c r="H3480" s="1" t="inlineStr">
        <is>
          <t>ООО "Амур Золото"</t>
        </is>
      </c>
      <c r="I3480" s="1" t="inlineStr">
        <is>
          <t>2708001686</t>
        </is>
      </c>
      <c r="J3480" s="1" t="inlineStr">
        <is>
          <t>ЮГОК ЗИОФ 26-49</t>
        </is>
      </c>
      <c r="K3480" s="1" t="inlineStr">
        <is>
          <t>Использование (применение) средств индивидуальной защиты</t>
        </is>
      </c>
      <c r="L3480" s="1" t="inlineStr">
        <is>
          <t>26.08.2026</t>
        </is>
      </c>
      <c r="M3480" s="1" t="inlineStr">
        <is>
          <t>Успешно</t>
        </is>
      </c>
      <c r="N3480" s="1" t="inlineStr">
        <is>
          <t>21.09.2026</t>
        </is>
      </c>
      <c r="O3480" s="1" t="inlineStr"/>
      <c r="P3480" s="1" t="inlineStr"/>
      <c r="Q3480" s="1" t="inlineStr">
        <is>
          <t>Пользовательский интерфейс</t>
        </is>
      </c>
    </row>
    <row r="3481">
      <c r="B3481" s="1" t="inlineStr">
        <is>
          <t>223282986</t>
        </is>
      </c>
      <c r="C3481" s="1" t="inlineStr">
        <is>
          <t>15995643</t>
        </is>
      </c>
      <c r="D3481" t="inlineStr">
        <is>
          <t>работник 131</t>
        </is>
      </c>
      <c r="E3481" s="1" t="inlineStr">
        <is>
          <t>ОБЩЕСТВО С ОГРАНИЧЕННОЙ ОТВЕТСТВЕННОСТЬЮ "АМУР ЗОЛОТО"</t>
        </is>
      </c>
      <c r="F3481" s="1" t="inlineStr">
        <is>
          <t>2708001686</t>
        </is>
      </c>
      <c r="G3481" s="1" t="inlineStr">
        <is>
          <t>Электрогазосварщик, занятый на резке и ручной сварке</t>
        </is>
      </c>
      <c r="H3481" s="1" t="inlineStr">
        <is>
          <t>ООО "Амур Золото"</t>
        </is>
      </c>
      <c r="I3481" s="1" t="inlineStr">
        <is>
          <t>2708001686</t>
        </is>
      </c>
      <c r="J3481" s="1" t="inlineStr">
        <is>
          <t>ЮГОК ЗИОФ 26-49</t>
        </is>
      </c>
      <c r="K348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481" s="1" t="inlineStr">
        <is>
          <t>26.08.2026</t>
        </is>
      </c>
      <c r="M3481" s="1" t="inlineStr">
        <is>
          <t>Успешно</t>
        </is>
      </c>
      <c r="N3481" s="1" t="inlineStr">
        <is>
          <t>21.09.2026</t>
        </is>
      </c>
      <c r="O3481" s="1" t="inlineStr"/>
      <c r="P3481" s="1" t="inlineStr"/>
      <c r="Q3481" s="1" t="inlineStr">
        <is>
          <t>Пользовательский интерфейс</t>
        </is>
      </c>
    </row>
    <row r="3482">
      <c r="B3482" s="1" t="inlineStr">
        <is>
          <t>223282987</t>
        </is>
      </c>
      <c r="C3482" s="1" t="inlineStr">
        <is>
          <t>15995643</t>
        </is>
      </c>
      <c r="D3482" t="inlineStr">
        <is>
          <t>работник 132</t>
        </is>
      </c>
      <c r="E3482" s="1" t="inlineStr">
        <is>
          <t>ОБЩЕСТВО С ОГРАНИЧЕННОЙ ОТВЕТСТВЕННОСТЬЮ "АМУР ЗОЛОТО"</t>
        </is>
      </c>
      <c r="F3482" s="1" t="inlineStr">
        <is>
          <t>2708001686</t>
        </is>
      </c>
      <c r="G3482" s="1" t="inlineStr">
        <is>
          <t>Электрогазосварщик, занятый на резке и ручной сварке</t>
        </is>
      </c>
      <c r="H3482" s="1" t="inlineStr">
        <is>
          <t>ООО "Амур Золото"</t>
        </is>
      </c>
      <c r="I3482" s="1" t="inlineStr">
        <is>
          <t>2708001686</t>
        </is>
      </c>
      <c r="J3482" s="1" t="inlineStr">
        <is>
          <t>ЮГОК ЗИОФ 26-49</t>
        </is>
      </c>
      <c r="K3482" s="1" t="inlineStr">
        <is>
          <t>Оказание первой помощи пострадавшим</t>
        </is>
      </c>
      <c r="L3482" s="1" t="inlineStr">
        <is>
          <t>26.08.2026</t>
        </is>
      </c>
      <c r="M3482" s="1" t="inlineStr">
        <is>
          <t>Успешно</t>
        </is>
      </c>
      <c r="N3482" s="1" t="inlineStr">
        <is>
          <t>21.09.2026</t>
        </is>
      </c>
      <c r="O3482" s="1" t="inlineStr"/>
      <c r="P3482" s="1" t="inlineStr"/>
      <c r="Q3482" s="1" t="inlineStr">
        <is>
          <t>Пользовательский интерфейс</t>
        </is>
      </c>
    </row>
    <row r="3483">
      <c r="B3483" s="1" t="inlineStr">
        <is>
          <t>223282988</t>
        </is>
      </c>
      <c r="C3483" s="1" t="inlineStr">
        <is>
          <t>15995643</t>
        </is>
      </c>
      <c r="D3483" t="inlineStr">
        <is>
          <t>работник 132</t>
        </is>
      </c>
      <c r="E3483" s="1" t="inlineStr">
        <is>
          <t>ОБЩЕСТВО С ОГРАНИЧЕННОЙ ОТВЕТСТВЕННОСТЬЮ "АМУР ЗОЛОТО"</t>
        </is>
      </c>
      <c r="F3483" s="1" t="inlineStr">
        <is>
          <t>2708001686</t>
        </is>
      </c>
      <c r="G3483" s="1" t="inlineStr">
        <is>
          <t>Электрогазосварщик, занятый на резке и ручной сварке</t>
        </is>
      </c>
      <c r="H3483" s="1" t="inlineStr">
        <is>
          <t>ООО "Амур Золото"</t>
        </is>
      </c>
      <c r="I3483" s="1" t="inlineStr">
        <is>
          <t>2708001686</t>
        </is>
      </c>
      <c r="J3483" s="1" t="inlineStr">
        <is>
          <t>ЮГОК ЗИОФ 26-49</t>
        </is>
      </c>
      <c r="K3483" s="1" t="inlineStr">
        <is>
          <t>Использование (применение) средств индивидуальной защиты</t>
        </is>
      </c>
      <c r="L3483" s="1" t="inlineStr">
        <is>
          <t>26.08.2026</t>
        </is>
      </c>
      <c r="M3483" s="1" t="inlineStr">
        <is>
          <t>Успешно</t>
        </is>
      </c>
      <c r="N3483" s="1" t="inlineStr">
        <is>
          <t>21.09.2026</t>
        </is>
      </c>
      <c r="O3483" s="1" t="inlineStr"/>
      <c r="P3483" s="1" t="inlineStr"/>
      <c r="Q3483" s="1" t="inlineStr">
        <is>
          <t>Пользовательский интерфейс</t>
        </is>
      </c>
    </row>
    <row r="3484">
      <c r="B3484" s="1" t="inlineStr">
        <is>
          <t>223282989</t>
        </is>
      </c>
      <c r="C3484" s="1" t="inlineStr">
        <is>
          <t>15995643</t>
        </is>
      </c>
      <c r="D3484" t="inlineStr">
        <is>
          <t>работник 132</t>
        </is>
      </c>
      <c r="E3484" s="1" t="inlineStr">
        <is>
          <t>ОБЩЕСТВО С ОГРАНИЧЕННОЙ ОТВЕТСТВЕННОСТЬЮ "АМУР ЗОЛОТО"</t>
        </is>
      </c>
      <c r="F3484" s="1" t="inlineStr">
        <is>
          <t>2708001686</t>
        </is>
      </c>
      <c r="G3484" s="1" t="inlineStr">
        <is>
          <t>Электрогазосварщик, занятый на резке и ручной сварке</t>
        </is>
      </c>
      <c r="H3484" s="1" t="inlineStr">
        <is>
          <t>ООО "Амур Золото"</t>
        </is>
      </c>
      <c r="I3484" s="1" t="inlineStr">
        <is>
          <t>2708001686</t>
        </is>
      </c>
      <c r="J3484" s="1" t="inlineStr">
        <is>
          <t>ЮГОК ЗИОФ 26-49</t>
        </is>
      </c>
      <c r="K348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484" s="1" t="inlineStr">
        <is>
          <t>26.08.2026</t>
        </is>
      </c>
      <c r="M3484" s="1" t="inlineStr">
        <is>
          <t>Успешно</t>
        </is>
      </c>
      <c r="N3484" s="1" t="inlineStr">
        <is>
          <t>21.09.2026</t>
        </is>
      </c>
      <c r="O3484" s="1" t="inlineStr"/>
      <c r="P3484" s="1" t="inlineStr"/>
      <c r="Q3484" s="1" t="inlineStr">
        <is>
          <t>Пользовательский интерфейс</t>
        </is>
      </c>
    </row>
    <row r="3485">
      <c r="B3485" s="1" t="inlineStr">
        <is>
          <t>223282990</t>
        </is>
      </c>
      <c r="C3485" s="1" t="inlineStr">
        <is>
          <t>15995643</t>
        </is>
      </c>
      <c r="D3485" t="inlineStr">
        <is>
          <t>работник 432</t>
        </is>
      </c>
      <c r="E3485" s="1" t="inlineStr">
        <is>
          <t>ОБЩЕСТВО С ОГРАНИЧЕННОЙ ОТВЕТСТВЕННОСТЬЮ "АМУР ЗОЛОТО"</t>
        </is>
      </c>
      <c r="F3485" s="1" t="inlineStr">
        <is>
          <t>2708001686</t>
        </is>
      </c>
      <c r="G3485" s="1" t="inlineStr">
        <is>
          <t>Слесарь-ремонтник (по ремонту обогатительного оборудования)</t>
        </is>
      </c>
      <c r="H3485" s="1" t="inlineStr">
        <is>
          <t>ООО "Амур Золото"</t>
        </is>
      </c>
      <c r="I3485" s="1" t="inlineStr">
        <is>
          <t>2708001686</t>
        </is>
      </c>
      <c r="J3485" s="1" t="inlineStr">
        <is>
          <t>ЮГОК ЗИОФ 26-50</t>
        </is>
      </c>
      <c r="K3485" s="1" t="inlineStr">
        <is>
          <t>Оказание первой помощи пострадавшим</t>
        </is>
      </c>
      <c r="L3485" s="1" t="inlineStr">
        <is>
          <t>26.08.2026</t>
        </is>
      </c>
      <c r="M3485" s="1" t="inlineStr">
        <is>
          <t>Успешно</t>
        </is>
      </c>
      <c r="N3485" s="1" t="inlineStr">
        <is>
          <t>21.09.2026</t>
        </is>
      </c>
      <c r="O3485" s="1" t="inlineStr"/>
      <c r="P3485" s="1" t="inlineStr"/>
      <c r="Q3485" s="1" t="inlineStr">
        <is>
          <t>Пользовательский интерфейс</t>
        </is>
      </c>
    </row>
    <row r="3486">
      <c r="B3486" s="1" t="inlineStr">
        <is>
          <t>223282991</t>
        </is>
      </c>
      <c r="C3486" s="1" t="inlineStr">
        <is>
          <t>15995643</t>
        </is>
      </c>
      <c r="D3486" t="inlineStr">
        <is>
          <t>работник 432</t>
        </is>
      </c>
      <c r="E3486" s="1" t="inlineStr">
        <is>
          <t>ОБЩЕСТВО С ОГРАНИЧЕННОЙ ОТВЕТСТВЕННОСТЬЮ "АМУР ЗОЛОТО"</t>
        </is>
      </c>
      <c r="F3486" s="1" t="inlineStr">
        <is>
          <t>2708001686</t>
        </is>
      </c>
      <c r="G3486" s="1" t="inlineStr">
        <is>
          <t>Слесарь-ремонтник (по ремонту обогатительного оборудования)</t>
        </is>
      </c>
      <c r="H3486" s="1" t="inlineStr">
        <is>
          <t>ООО "Амур Золото"</t>
        </is>
      </c>
      <c r="I3486" s="1" t="inlineStr">
        <is>
          <t>2708001686</t>
        </is>
      </c>
      <c r="J3486" s="1" t="inlineStr">
        <is>
          <t>ЮГОК ЗИОФ 26-50</t>
        </is>
      </c>
      <c r="K3486" s="1" t="inlineStr">
        <is>
          <t>Использование (применение) средств индивидуальной защиты</t>
        </is>
      </c>
      <c r="L3486" s="1" t="inlineStr">
        <is>
          <t>26.08.2026</t>
        </is>
      </c>
      <c r="M3486" s="1" t="inlineStr">
        <is>
          <t>Успешно</t>
        </is>
      </c>
      <c r="N3486" s="1" t="inlineStr">
        <is>
          <t>21.09.2026</t>
        </is>
      </c>
      <c r="O3486" s="1" t="inlineStr"/>
      <c r="P3486" s="1" t="inlineStr"/>
      <c r="Q3486" s="1" t="inlineStr">
        <is>
          <t>Пользовательский интерфейс</t>
        </is>
      </c>
    </row>
    <row r="3487">
      <c r="B3487" s="1" t="inlineStr">
        <is>
          <t>223282992</t>
        </is>
      </c>
      <c r="C3487" s="1" t="inlineStr">
        <is>
          <t>15995643</t>
        </is>
      </c>
      <c r="D3487" t="inlineStr">
        <is>
          <t>работник 432</t>
        </is>
      </c>
      <c r="E3487" s="1" t="inlineStr">
        <is>
          <t>ОБЩЕСТВО С ОГРАНИЧЕННОЙ ОТВЕТСТВЕННОСТЬЮ "АМУР ЗОЛОТО"</t>
        </is>
      </c>
      <c r="F3487" s="1" t="inlineStr">
        <is>
          <t>2708001686</t>
        </is>
      </c>
      <c r="G3487" s="1" t="inlineStr">
        <is>
          <t>Слесарь-ремонтник (по ремонту обогатительного оборудования)</t>
        </is>
      </c>
      <c r="H3487" s="1" t="inlineStr">
        <is>
          <t>ООО "Амур Золото"</t>
        </is>
      </c>
      <c r="I3487" s="1" t="inlineStr">
        <is>
          <t>2708001686</t>
        </is>
      </c>
      <c r="J3487" s="1" t="inlineStr">
        <is>
          <t>ЮГОК ЗИОФ 26-50</t>
        </is>
      </c>
      <c r="K348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487" s="1" t="inlineStr">
        <is>
          <t>26.08.2026</t>
        </is>
      </c>
      <c r="M3487" s="1" t="inlineStr">
        <is>
          <t>Успешно</t>
        </is>
      </c>
      <c r="N3487" s="1" t="inlineStr">
        <is>
          <t>21.09.2026</t>
        </is>
      </c>
      <c r="O3487" s="1" t="inlineStr"/>
      <c r="P3487" s="1" t="inlineStr"/>
      <c r="Q3487" s="1" t="inlineStr">
        <is>
          <t>Пользовательский интерфейс</t>
        </is>
      </c>
    </row>
    <row r="3488">
      <c r="B3488" s="1" t="inlineStr">
        <is>
          <t>223282993</t>
        </is>
      </c>
      <c r="C3488" s="1" t="inlineStr">
        <is>
          <t>15995643</t>
        </is>
      </c>
      <c r="D3488" t="inlineStr">
        <is>
          <t>работник 503</t>
        </is>
      </c>
      <c r="E3488" s="1" t="inlineStr">
        <is>
          <t>ОБЩЕСТВО С ОГРАНИЧЕННОЙ ОТВЕТСТВЕННОСТЬЮ "АМУР ЗОЛОТО"</t>
        </is>
      </c>
      <c r="F3488" s="1" t="inlineStr">
        <is>
          <t>2708001686</t>
        </is>
      </c>
      <c r="G3488" s="1" t="inlineStr">
        <is>
          <t>Слесарь-ремонтник (по ремонту обогатительного оборудования)</t>
        </is>
      </c>
      <c r="H3488" s="1" t="inlineStr">
        <is>
          <t>ООО "Амур Золото"</t>
        </is>
      </c>
      <c r="I3488" s="1" t="inlineStr">
        <is>
          <t>2708001686</t>
        </is>
      </c>
      <c r="J3488" s="1" t="inlineStr">
        <is>
          <t>ЮГОК ЗИОФ 26-50</t>
        </is>
      </c>
      <c r="K3488" s="1" t="inlineStr">
        <is>
          <t>Оказание первой помощи пострадавшим</t>
        </is>
      </c>
      <c r="L3488" s="1" t="inlineStr">
        <is>
          <t>26.08.2026</t>
        </is>
      </c>
      <c r="M3488" s="1" t="inlineStr">
        <is>
          <t>Успешно</t>
        </is>
      </c>
      <c r="N3488" s="1" t="inlineStr">
        <is>
          <t>21.09.2026</t>
        </is>
      </c>
      <c r="O3488" s="1" t="inlineStr"/>
      <c r="P3488" s="1" t="inlineStr"/>
      <c r="Q3488" s="1" t="inlineStr">
        <is>
          <t>Пользовательский интерфейс</t>
        </is>
      </c>
    </row>
    <row r="3489">
      <c r="B3489" s="1" t="inlineStr">
        <is>
          <t>223282994</t>
        </is>
      </c>
      <c r="C3489" s="1" t="inlineStr">
        <is>
          <t>15995643</t>
        </is>
      </c>
      <c r="D3489" t="inlineStr">
        <is>
          <t>работник 503</t>
        </is>
      </c>
      <c r="E3489" s="1" t="inlineStr">
        <is>
          <t>ОБЩЕСТВО С ОГРАНИЧЕННОЙ ОТВЕТСТВЕННОСТЬЮ "АМУР ЗОЛОТО"</t>
        </is>
      </c>
      <c r="F3489" s="1" t="inlineStr">
        <is>
          <t>2708001686</t>
        </is>
      </c>
      <c r="G3489" s="1" t="inlineStr">
        <is>
          <t>Слесарь-ремонтник (по ремонту обогатительного оборудования)</t>
        </is>
      </c>
      <c r="H3489" s="1" t="inlineStr">
        <is>
          <t>ООО "Амур Золото"</t>
        </is>
      </c>
      <c r="I3489" s="1" t="inlineStr">
        <is>
          <t>2708001686</t>
        </is>
      </c>
      <c r="J3489" s="1" t="inlineStr">
        <is>
          <t>ЮГОК ЗИОФ 26-50</t>
        </is>
      </c>
      <c r="K3489" s="1" t="inlineStr">
        <is>
          <t>Использование (применение) средств индивидуальной защиты</t>
        </is>
      </c>
      <c r="L3489" s="1" t="inlineStr">
        <is>
          <t>26.08.2026</t>
        </is>
      </c>
      <c r="M3489" s="1" t="inlineStr">
        <is>
          <t>Успешно</t>
        </is>
      </c>
      <c r="N3489" s="1" t="inlineStr">
        <is>
          <t>21.09.2026</t>
        </is>
      </c>
      <c r="O3489" s="1" t="inlineStr"/>
      <c r="P3489" s="1" t="inlineStr"/>
      <c r="Q3489" s="1" t="inlineStr">
        <is>
          <t>Пользовательский интерфейс</t>
        </is>
      </c>
    </row>
    <row r="3490">
      <c r="B3490" s="1" t="inlineStr">
        <is>
          <t>223282995</t>
        </is>
      </c>
      <c r="C3490" s="1" t="inlineStr">
        <is>
          <t>15995643</t>
        </is>
      </c>
      <c r="D3490" t="inlineStr">
        <is>
          <t>работник 503</t>
        </is>
      </c>
      <c r="E3490" s="1" t="inlineStr">
        <is>
          <t>ОБЩЕСТВО С ОГРАНИЧЕННОЙ ОТВЕТСТВЕННОСТЬЮ "АМУР ЗОЛОТО"</t>
        </is>
      </c>
      <c r="F3490" s="1" t="inlineStr">
        <is>
          <t>2708001686</t>
        </is>
      </c>
      <c r="G3490" s="1" t="inlineStr">
        <is>
          <t>Слесарь-ремонтник (по ремонту обогатительного оборудования)</t>
        </is>
      </c>
      <c r="H3490" s="1" t="inlineStr">
        <is>
          <t>ООО "Амур Золото"</t>
        </is>
      </c>
      <c r="I3490" s="1" t="inlineStr">
        <is>
          <t>2708001686</t>
        </is>
      </c>
      <c r="J3490" s="1" t="inlineStr">
        <is>
          <t>ЮГОК ЗИОФ 26-50</t>
        </is>
      </c>
      <c r="K349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490" s="1" t="inlineStr">
        <is>
          <t>26.08.2026</t>
        </is>
      </c>
      <c r="M3490" s="1" t="inlineStr">
        <is>
          <t>Успешно</t>
        </is>
      </c>
      <c r="N3490" s="1" t="inlineStr">
        <is>
          <t>21.09.2026</t>
        </is>
      </c>
      <c r="O3490" s="1" t="inlineStr"/>
      <c r="P3490" s="1" t="inlineStr"/>
      <c r="Q3490" s="1" t="inlineStr">
        <is>
          <t>Пользовательский интерфейс</t>
        </is>
      </c>
    </row>
    <row r="3491">
      <c r="B3491" s="1" t="inlineStr">
        <is>
          <t>223282996</t>
        </is>
      </c>
      <c r="C3491" s="1" t="inlineStr">
        <is>
          <t>15995643</t>
        </is>
      </c>
      <c r="D3491" t="inlineStr">
        <is>
          <t>работник 567</t>
        </is>
      </c>
      <c r="E3491" s="1" t="inlineStr">
        <is>
          <t>ОБЩЕСТВО С ОГРАНИЧЕННОЙ ОТВЕТСТВЕННОСТЬЮ "АМУР ЗОЛОТО"</t>
        </is>
      </c>
      <c r="F3491" s="1" t="inlineStr">
        <is>
          <t>2708001686</t>
        </is>
      </c>
      <c r="G3491" s="1" t="inlineStr">
        <is>
          <t>Слесарь-ремонтник (по ремонту обогатительного оборудования)</t>
        </is>
      </c>
      <c r="H3491" s="1" t="inlineStr">
        <is>
          <t>ООО "Амур Золото"</t>
        </is>
      </c>
      <c r="I3491" s="1" t="inlineStr">
        <is>
          <t>2708001686</t>
        </is>
      </c>
      <c r="J3491" s="1" t="inlineStr">
        <is>
          <t>ЮГОК ЗИОФ 26-50</t>
        </is>
      </c>
      <c r="K3491" s="1" t="inlineStr">
        <is>
          <t>Оказание первой помощи пострадавшим</t>
        </is>
      </c>
      <c r="L3491" s="1" t="inlineStr">
        <is>
          <t>26.08.2026</t>
        </is>
      </c>
      <c r="M3491" s="1" t="inlineStr">
        <is>
          <t>Успешно</t>
        </is>
      </c>
      <c r="N3491" s="1" t="inlineStr">
        <is>
          <t>21.09.2026</t>
        </is>
      </c>
      <c r="O3491" s="1" t="inlineStr"/>
      <c r="P3491" s="1" t="inlineStr"/>
      <c r="Q3491" s="1" t="inlineStr">
        <is>
          <t>Пользовательский интерфейс</t>
        </is>
      </c>
    </row>
    <row r="3492">
      <c r="B3492" s="1" t="inlineStr">
        <is>
          <t>223282997</t>
        </is>
      </c>
      <c r="C3492" s="1" t="inlineStr">
        <is>
          <t>15995643</t>
        </is>
      </c>
      <c r="D3492" t="inlineStr">
        <is>
          <t>работник 567</t>
        </is>
      </c>
      <c r="E3492" s="1" t="inlineStr">
        <is>
          <t>ОБЩЕСТВО С ОГРАНИЧЕННОЙ ОТВЕТСТВЕННОСТЬЮ "АМУР ЗОЛОТО"</t>
        </is>
      </c>
      <c r="F3492" s="1" t="inlineStr">
        <is>
          <t>2708001686</t>
        </is>
      </c>
      <c r="G3492" s="1" t="inlineStr">
        <is>
          <t>Слесарь-ремонтник (по ремонту обогатительного оборудования)</t>
        </is>
      </c>
      <c r="H3492" s="1" t="inlineStr">
        <is>
          <t>ООО "Амур Золото"</t>
        </is>
      </c>
      <c r="I3492" s="1" t="inlineStr">
        <is>
          <t>2708001686</t>
        </is>
      </c>
      <c r="J3492" s="1" t="inlineStr">
        <is>
          <t>ЮГОК ЗИОФ 26-50</t>
        </is>
      </c>
      <c r="K3492" s="1" t="inlineStr">
        <is>
          <t>Использование (применение) средств индивидуальной защиты</t>
        </is>
      </c>
      <c r="L3492" s="1" t="inlineStr">
        <is>
          <t>26.08.2026</t>
        </is>
      </c>
      <c r="M3492" s="1" t="inlineStr">
        <is>
          <t>Успешно</t>
        </is>
      </c>
      <c r="N3492" s="1" t="inlineStr">
        <is>
          <t>21.09.2026</t>
        </is>
      </c>
      <c r="O3492" s="1" t="inlineStr"/>
      <c r="P3492" s="1" t="inlineStr"/>
      <c r="Q3492" s="1" t="inlineStr">
        <is>
          <t>Пользовательский интерфейс</t>
        </is>
      </c>
    </row>
    <row r="3493">
      <c r="B3493" s="1" t="inlineStr">
        <is>
          <t>223282998</t>
        </is>
      </c>
      <c r="C3493" s="1" t="inlineStr">
        <is>
          <t>15995643</t>
        </is>
      </c>
      <c r="D3493" t="inlineStr">
        <is>
          <t>работник 567</t>
        </is>
      </c>
      <c r="E3493" s="1" t="inlineStr">
        <is>
          <t>ОБЩЕСТВО С ОГРАНИЧЕННОЙ ОТВЕТСТВЕННОСТЬЮ "АМУР ЗОЛОТО"</t>
        </is>
      </c>
      <c r="F3493" s="1" t="inlineStr">
        <is>
          <t>2708001686</t>
        </is>
      </c>
      <c r="G3493" s="1" t="inlineStr">
        <is>
          <t>Слесарь-ремонтник (по ремонту обогатительного оборудования)</t>
        </is>
      </c>
      <c r="H3493" s="1" t="inlineStr">
        <is>
          <t>ООО "Амур Золото"</t>
        </is>
      </c>
      <c r="I3493" s="1" t="inlineStr">
        <is>
          <t>2708001686</t>
        </is>
      </c>
      <c r="J3493" s="1" t="inlineStr">
        <is>
          <t>ЮГОК ЗИОФ 26-50</t>
        </is>
      </c>
      <c r="K349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493" s="1" t="inlineStr">
        <is>
          <t>26.08.2026</t>
        </is>
      </c>
      <c r="M3493" s="1" t="inlineStr">
        <is>
          <t>Успешно</t>
        </is>
      </c>
      <c r="N3493" s="1" t="inlineStr">
        <is>
          <t>21.09.2026</t>
        </is>
      </c>
      <c r="O3493" s="1" t="inlineStr"/>
      <c r="P3493" s="1" t="inlineStr"/>
      <c r="Q3493" s="1" t="inlineStr">
        <is>
          <t>Пользовательский интерфейс</t>
        </is>
      </c>
    </row>
    <row r="3494">
      <c r="B3494" s="1" t="inlineStr">
        <is>
          <t>223282999</t>
        </is>
      </c>
      <c r="C3494" s="1" t="inlineStr">
        <is>
          <t>15995643</t>
        </is>
      </c>
      <c r="D3494" t="inlineStr">
        <is>
          <t>работник 927</t>
        </is>
      </c>
      <c r="E3494" s="1" t="inlineStr">
        <is>
          <t>ОБЩЕСТВО С ОГРАНИЧЕННОЙ ОТВЕТСТВЕННОСТЬЮ "АМУР ЗОЛОТО"</t>
        </is>
      </c>
      <c r="F3494" s="1" t="inlineStr">
        <is>
          <t>2708001686</t>
        </is>
      </c>
      <c r="G3494" s="1" t="inlineStr">
        <is>
          <t>Слесарь-ремонтник (по ремонту обогатительного оборудования)</t>
        </is>
      </c>
      <c r="H3494" s="1" t="inlineStr">
        <is>
          <t>ООО "Амур Золото"</t>
        </is>
      </c>
      <c r="I3494" s="1" t="inlineStr">
        <is>
          <t>2708001686</t>
        </is>
      </c>
      <c r="J3494" s="1" t="inlineStr">
        <is>
          <t>ЮГОК ЗИОФ 26-50</t>
        </is>
      </c>
      <c r="K3494" s="1" t="inlineStr">
        <is>
          <t>Оказание первой помощи пострадавшим</t>
        </is>
      </c>
      <c r="L3494" s="1" t="inlineStr">
        <is>
          <t>26.08.2026</t>
        </is>
      </c>
      <c r="M3494" s="1" t="inlineStr">
        <is>
          <t>Успешно</t>
        </is>
      </c>
      <c r="N3494" s="1" t="inlineStr">
        <is>
          <t>21.09.2026</t>
        </is>
      </c>
      <c r="O3494" s="1" t="inlineStr"/>
      <c r="P3494" s="1" t="inlineStr"/>
      <c r="Q3494" s="1" t="inlineStr">
        <is>
          <t>Пользовательский интерфейс</t>
        </is>
      </c>
    </row>
    <row r="3495">
      <c r="B3495" s="1" t="inlineStr">
        <is>
          <t>223283000</t>
        </is>
      </c>
      <c r="C3495" s="1" t="inlineStr">
        <is>
          <t>15995643</t>
        </is>
      </c>
      <c r="D3495" t="inlineStr">
        <is>
          <t>работник 928</t>
        </is>
      </c>
      <c r="E3495" s="1" t="inlineStr">
        <is>
          <t>ОБЩЕСТВО С ОГРАНИЧЕННОЙ ОТВЕТСТВЕННОСТЬЮ "АМУР ЗОЛОТО"</t>
        </is>
      </c>
      <c r="F3495" s="1" t="inlineStr">
        <is>
          <t>2708001686</t>
        </is>
      </c>
      <c r="G3495" s="1" t="inlineStr">
        <is>
          <t>Фильтровальщик</t>
        </is>
      </c>
      <c r="H3495" s="1" t="inlineStr">
        <is>
          <t>ООО "Амур Золото"</t>
        </is>
      </c>
      <c r="I3495" s="1" t="inlineStr">
        <is>
          <t>2708001686</t>
        </is>
      </c>
      <c r="J3495" s="1" t="inlineStr">
        <is>
          <t>ЮГОК ЗИОФ 26-52</t>
        </is>
      </c>
      <c r="K3495" s="1" t="inlineStr">
        <is>
          <t>Оказание первой помощи пострадавшим</t>
        </is>
      </c>
      <c r="L3495" s="1" t="inlineStr">
        <is>
          <t>04.09.2026</t>
        </is>
      </c>
      <c r="M3495" s="1" t="inlineStr">
        <is>
          <t>Успешно</t>
        </is>
      </c>
      <c r="N3495" s="1" t="inlineStr">
        <is>
          <t>21.09.2026</t>
        </is>
      </c>
      <c r="O3495" s="1" t="inlineStr"/>
      <c r="P3495" s="1" t="inlineStr"/>
      <c r="Q3495" s="1" t="inlineStr">
        <is>
          <t>Пользовательский интерфейс</t>
        </is>
      </c>
    </row>
    <row r="3496">
      <c r="B3496" s="1" t="inlineStr">
        <is>
          <t>223283001</t>
        </is>
      </c>
      <c r="C3496" s="1" t="inlineStr">
        <is>
          <t>15995643</t>
        </is>
      </c>
      <c r="D3496" t="inlineStr">
        <is>
          <t>работник 927</t>
        </is>
      </c>
      <c r="E3496" s="1" t="inlineStr">
        <is>
          <t>ОБЩЕСТВО С ОГРАНИЧЕННОЙ ОТВЕТСТВЕННОСТЬЮ "АМУР ЗОЛОТО"</t>
        </is>
      </c>
      <c r="F3496" s="1" t="inlineStr">
        <is>
          <t>2708001686</t>
        </is>
      </c>
      <c r="G3496" s="1" t="inlineStr">
        <is>
          <t>Слесарь-ремонтник (по ремонту обогатительного оборудования)</t>
        </is>
      </c>
      <c r="H3496" s="1" t="inlineStr">
        <is>
          <t>ООО "Амур Золото"</t>
        </is>
      </c>
      <c r="I3496" s="1" t="inlineStr">
        <is>
          <t>2708001686</t>
        </is>
      </c>
      <c r="J3496" s="1" t="inlineStr">
        <is>
          <t>ЮГОК ЗИОФ 26-50</t>
        </is>
      </c>
      <c r="K3496" s="1" t="inlineStr">
        <is>
          <t>Использование (применение) средств индивидуальной защиты</t>
        </is>
      </c>
      <c r="L3496" s="1" t="inlineStr">
        <is>
          <t>26.08.2026</t>
        </is>
      </c>
      <c r="M3496" s="1" t="inlineStr">
        <is>
          <t>Успешно</t>
        </is>
      </c>
      <c r="N3496" s="1" t="inlineStr">
        <is>
          <t>21.09.2026</t>
        </is>
      </c>
      <c r="O3496" s="1" t="inlineStr"/>
      <c r="P3496" s="1" t="inlineStr"/>
      <c r="Q3496" s="1" t="inlineStr">
        <is>
          <t>Пользовательский интерфейс</t>
        </is>
      </c>
    </row>
    <row r="3497">
      <c r="B3497" s="1" t="inlineStr">
        <is>
          <t>223283002</t>
        </is>
      </c>
      <c r="C3497" s="1" t="inlineStr">
        <is>
          <t>15995643</t>
        </is>
      </c>
      <c r="D3497" t="inlineStr">
        <is>
          <t>работник 927</t>
        </is>
      </c>
      <c r="E3497" s="1" t="inlineStr">
        <is>
          <t>ОБЩЕСТВО С ОГРАНИЧЕННОЙ ОТВЕТСТВЕННОСТЬЮ "АМУР ЗОЛОТО"</t>
        </is>
      </c>
      <c r="F3497" s="1" t="inlineStr">
        <is>
          <t>2708001686</t>
        </is>
      </c>
      <c r="G3497" s="1" t="inlineStr">
        <is>
          <t>Слесарь-ремонтник (по ремонту обогатительного оборудования)</t>
        </is>
      </c>
      <c r="H3497" s="1" t="inlineStr">
        <is>
          <t>ООО "Амур Золото"</t>
        </is>
      </c>
      <c r="I3497" s="1" t="inlineStr">
        <is>
          <t>2708001686</t>
        </is>
      </c>
      <c r="J3497" s="1" t="inlineStr">
        <is>
          <t>ЮГОК ЗИОФ 26-50</t>
        </is>
      </c>
      <c r="K349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497" s="1" t="inlineStr">
        <is>
          <t>26.08.2026</t>
        </is>
      </c>
      <c r="M3497" s="1" t="inlineStr">
        <is>
          <t>Успешно</t>
        </is>
      </c>
      <c r="N3497" s="1" t="inlineStr">
        <is>
          <t>21.09.2026</t>
        </is>
      </c>
      <c r="O3497" s="1" t="inlineStr"/>
      <c r="P3497" s="1" t="inlineStr"/>
      <c r="Q3497" s="1" t="inlineStr">
        <is>
          <t>Пользовательский интерфейс</t>
        </is>
      </c>
    </row>
    <row r="3498">
      <c r="B3498" s="1" t="inlineStr">
        <is>
          <t>223283003</t>
        </is>
      </c>
      <c r="C3498" s="1" t="inlineStr">
        <is>
          <t>15995643</t>
        </is>
      </c>
      <c r="D3498" t="inlineStr">
        <is>
          <t>работник 445</t>
        </is>
      </c>
      <c r="E3498" s="1" t="inlineStr">
        <is>
          <t>ОБЩЕСТВО С ОГРАНИЧЕННОЙ ОТВЕТСТВЕННОСТЬЮ "АМУР ЗОЛОТО"</t>
        </is>
      </c>
      <c r="F3498" s="1" t="inlineStr">
        <is>
          <t>2708001686</t>
        </is>
      </c>
      <c r="G3498" s="1" t="inlineStr">
        <is>
          <t>Дробильщики</t>
        </is>
      </c>
      <c r="H3498" s="1" t="inlineStr">
        <is>
          <t>ООО "Амур Золото"</t>
        </is>
      </c>
      <c r="I3498" s="1" t="inlineStr">
        <is>
          <t>2708001686</t>
        </is>
      </c>
      <c r="J3498" s="1" t="inlineStr">
        <is>
          <t>ЮГОК ЗИОФ 26-51</t>
        </is>
      </c>
      <c r="K3498" s="1" t="inlineStr">
        <is>
          <t>Оказание первой помощи пострадавшим</t>
        </is>
      </c>
      <c r="L3498" s="1" t="inlineStr">
        <is>
          <t>26.08.2026</t>
        </is>
      </c>
      <c r="M3498" s="1" t="inlineStr">
        <is>
          <t>Успешно</t>
        </is>
      </c>
      <c r="N3498" s="1" t="inlineStr">
        <is>
          <t>21.09.2026</t>
        </is>
      </c>
      <c r="O3498" s="1" t="inlineStr"/>
      <c r="P3498" s="1" t="inlineStr"/>
      <c r="Q3498" s="1" t="inlineStr">
        <is>
          <t>Пользовательский интерфейс</t>
        </is>
      </c>
    </row>
    <row r="3499">
      <c r="B3499" s="1" t="inlineStr">
        <is>
          <t>223283004</t>
        </is>
      </c>
      <c r="C3499" s="1" t="inlineStr">
        <is>
          <t>15995643</t>
        </is>
      </c>
      <c r="D3499" t="inlineStr">
        <is>
          <t>работник 445</t>
        </is>
      </c>
      <c r="E3499" s="1" t="inlineStr">
        <is>
          <t>ОБЩЕСТВО С ОГРАНИЧЕННОЙ ОТВЕТСТВЕННОСТЬЮ "АМУР ЗОЛОТО"</t>
        </is>
      </c>
      <c r="F3499" s="1" t="inlineStr">
        <is>
          <t>2708001686</t>
        </is>
      </c>
      <c r="G3499" s="1" t="inlineStr">
        <is>
          <t>Дробильщики</t>
        </is>
      </c>
      <c r="H3499" s="1" t="inlineStr">
        <is>
          <t>ООО "Амур Золото"</t>
        </is>
      </c>
      <c r="I3499" s="1" t="inlineStr">
        <is>
          <t>2708001686</t>
        </is>
      </c>
      <c r="J3499" s="1" t="inlineStr">
        <is>
          <t>ЮГОК ЗИОФ 26-51</t>
        </is>
      </c>
      <c r="K3499" s="1" t="inlineStr">
        <is>
          <t>Использование (применение) средств индивидуальной защиты</t>
        </is>
      </c>
      <c r="L3499" s="1" t="inlineStr">
        <is>
          <t>26.08.2026</t>
        </is>
      </c>
      <c r="M3499" s="1" t="inlineStr">
        <is>
          <t>Успешно</t>
        </is>
      </c>
      <c r="N3499" s="1" t="inlineStr">
        <is>
          <t>21.09.2026</t>
        </is>
      </c>
      <c r="O3499" s="1" t="inlineStr"/>
      <c r="P3499" s="1" t="inlineStr"/>
      <c r="Q3499" s="1" t="inlineStr">
        <is>
          <t>Пользовательский интерфейс</t>
        </is>
      </c>
    </row>
    <row r="3500">
      <c r="B3500" s="1" t="inlineStr">
        <is>
          <t>223283005</t>
        </is>
      </c>
      <c r="C3500" s="1" t="inlineStr">
        <is>
          <t>15995643</t>
        </is>
      </c>
      <c r="D3500" t="inlineStr">
        <is>
          <t>работник 445</t>
        </is>
      </c>
      <c r="E3500" s="1" t="inlineStr">
        <is>
          <t>ОБЩЕСТВО С ОГРАНИЧЕННОЙ ОТВЕТСТВЕННОСТЬЮ "АМУР ЗОЛОТО"</t>
        </is>
      </c>
      <c r="F3500" s="1" t="inlineStr">
        <is>
          <t>2708001686</t>
        </is>
      </c>
      <c r="G3500" s="1" t="inlineStr">
        <is>
          <t>Дробильщики</t>
        </is>
      </c>
      <c r="H3500" s="1" t="inlineStr">
        <is>
          <t>ООО "Амур Золото"</t>
        </is>
      </c>
      <c r="I3500" s="1" t="inlineStr">
        <is>
          <t>2708001686</t>
        </is>
      </c>
      <c r="J3500" s="1" t="inlineStr">
        <is>
          <t>ЮГОК ЗИОФ 26-51</t>
        </is>
      </c>
      <c r="K350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500" s="1" t="inlineStr">
        <is>
          <t>26.08.2026</t>
        </is>
      </c>
      <c r="M3500" s="1" t="inlineStr">
        <is>
          <t>Успешно</t>
        </is>
      </c>
      <c r="N3500" s="1" t="inlineStr">
        <is>
          <t>21.09.2026</t>
        </is>
      </c>
      <c r="O3500" s="1" t="inlineStr"/>
      <c r="P3500" s="1" t="inlineStr"/>
      <c r="Q3500" s="1" t="inlineStr">
        <is>
          <t>Пользовательский интерфейс</t>
        </is>
      </c>
    </row>
    <row r="3501">
      <c r="B3501" s="1" t="inlineStr">
        <is>
          <t>223283006</t>
        </is>
      </c>
      <c r="C3501" s="1" t="inlineStr">
        <is>
          <t>15995643</t>
        </is>
      </c>
      <c r="D3501" t="inlineStr">
        <is>
          <t>работник 343</t>
        </is>
      </c>
      <c r="E3501" s="1" t="inlineStr">
        <is>
          <t>ОБЩЕСТВО С ОГРАНИЧЕННОЙ ОТВЕТСТВЕННОСТЬЮ "АМУР ЗОЛОТО"</t>
        </is>
      </c>
      <c r="F3501" s="1" t="inlineStr">
        <is>
          <t>2708001686</t>
        </is>
      </c>
      <c r="G3501" s="1" t="inlineStr">
        <is>
          <t>Дробильщики</t>
        </is>
      </c>
      <c r="H3501" s="1" t="inlineStr">
        <is>
          <t>ООО "Амур Золото"</t>
        </is>
      </c>
      <c r="I3501" s="1" t="inlineStr">
        <is>
          <t>2708001686</t>
        </is>
      </c>
      <c r="J3501" s="1" t="inlineStr">
        <is>
          <t>ЮГОК ЗИОФ 26-51</t>
        </is>
      </c>
      <c r="K3501" s="1" t="inlineStr">
        <is>
          <t>Оказание первой помощи пострадавшим</t>
        </is>
      </c>
      <c r="L3501" s="1" t="inlineStr">
        <is>
          <t>26.08.2026</t>
        </is>
      </c>
      <c r="M3501" s="1" t="inlineStr">
        <is>
          <t>Успешно</t>
        </is>
      </c>
      <c r="N3501" s="1" t="inlineStr">
        <is>
          <t>21.09.2026</t>
        </is>
      </c>
      <c r="O3501" s="1" t="inlineStr"/>
      <c r="P3501" s="1" t="inlineStr"/>
      <c r="Q3501" s="1" t="inlineStr">
        <is>
          <t>Пользовательский интерфейс</t>
        </is>
      </c>
    </row>
    <row r="3502">
      <c r="B3502" s="1" t="inlineStr">
        <is>
          <t>223283007</t>
        </is>
      </c>
      <c r="C3502" s="1" t="inlineStr">
        <is>
          <t>15995643</t>
        </is>
      </c>
      <c r="D3502" t="inlineStr">
        <is>
          <t>работник 343</t>
        </is>
      </c>
      <c r="E3502" s="1" t="inlineStr">
        <is>
          <t>ОБЩЕСТВО С ОГРАНИЧЕННОЙ ОТВЕТСТВЕННОСТЬЮ "АМУР ЗОЛОТО"</t>
        </is>
      </c>
      <c r="F3502" s="1" t="inlineStr">
        <is>
          <t>2708001686</t>
        </is>
      </c>
      <c r="G3502" s="1" t="inlineStr">
        <is>
          <t>Дробильщики</t>
        </is>
      </c>
      <c r="H3502" s="1" t="inlineStr">
        <is>
          <t>ООО "Амур Золото"</t>
        </is>
      </c>
      <c r="I3502" s="1" t="inlineStr">
        <is>
          <t>2708001686</t>
        </is>
      </c>
      <c r="J3502" s="1" t="inlineStr">
        <is>
          <t>ЮГОК ЗИОФ 26-51</t>
        </is>
      </c>
      <c r="K3502" s="1" t="inlineStr">
        <is>
          <t>Использование (применение) средств индивидуальной защиты</t>
        </is>
      </c>
      <c r="L3502" s="1" t="inlineStr">
        <is>
          <t>26.08.2026</t>
        </is>
      </c>
      <c r="M3502" s="1" t="inlineStr">
        <is>
          <t>Успешно</t>
        </is>
      </c>
      <c r="N3502" s="1" t="inlineStr">
        <is>
          <t>21.09.2026</t>
        </is>
      </c>
      <c r="O3502" s="1" t="inlineStr"/>
      <c r="P3502" s="1" t="inlineStr"/>
      <c r="Q3502" s="1" t="inlineStr">
        <is>
          <t>Пользовательский интерфейс</t>
        </is>
      </c>
    </row>
    <row r="3503">
      <c r="B3503" s="1" t="inlineStr">
        <is>
          <t>223283008</t>
        </is>
      </c>
      <c r="C3503" s="1" t="inlineStr">
        <is>
          <t>15995643</t>
        </is>
      </c>
      <c r="D3503" t="inlineStr">
        <is>
          <t>работник 343</t>
        </is>
      </c>
      <c r="E3503" s="1" t="inlineStr">
        <is>
          <t>ОБЩЕСТВО С ОГРАНИЧЕННОЙ ОТВЕТСТВЕННОСТЬЮ "АМУР ЗОЛОТО"</t>
        </is>
      </c>
      <c r="F3503" s="1" t="inlineStr">
        <is>
          <t>2708001686</t>
        </is>
      </c>
      <c r="G3503" s="1" t="inlineStr">
        <is>
          <t>Дробильщики</t>
        </is>
      </c>
      <c r="H3503" s="1" t="inlineStr">
        <is>
          <t>ООО "Амур Золото"</t>
        </is>
      </c>
      <c r="I3503" s="1" t="inlineStr">
        <is>
          <t>2708001686</t>
        </is>
      </c>
      <c r="J3503" s="1" t="inlineStr">
        <is>
          <t>ЮГОК ЗИОФ 26-51</t>
        </is>
      </c>
      <c r="K350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503" s="1" t="inlineStr">
        <is>
          <t>26.08.2026</t>
        </is>
      </c>
      <c r="M3503" s="1" t="inlineStr">
        <is>
          <t>Успешно</t>
        </is>
      </c>
      <c r="N3503" s="1" t="inlineStr">
        <is>
          <t>21.09.2026</t>
        </is>
      </c>
      <c r="O3503" s="1" t="inlineStr"/>
      <c r="P3503" s="1" t="inlineStr"/>
      <c r="Q3503" s="1" t="inlineStr">
        <is>
          <t>Пользовательский интерфейс</t>
        </is>
      </c>
    </row>
    <row r="3504">
      <c r="B3504" s="1" t="inlineStr">
        <is>
          <t>223283009</t>
        </is>
      </c>
      <c r="C3504" s="1" t="inlineStr">
        <is>
          <t>15995643</t>
        </is>
      </c>
      <c r="D3504" t="inlineStr">
        <is>
          <t>работник 122</t>
        </is>
      </c>
      <c r="E3504" s="1" t="inlineStr">
        <is>
          <t>ОБЩЕСТВО С ОГРАНИЧЕННОЙ ОТВЕТСТВЕННОСТЬЮ "АМУР ЗОЛОТО"</t>
        </is>
      </c>
      <c r="F3504" s="1" t="inlineStr">
        <is>
          <t>2708001686</t>
        </is>
      </c>
      <c r="G3504" s="1" t="inlineStr">
        <is>
          <t>Дробильщики</t>
        </is>
      </c>
      <c r="H3504" s="1" t="inlineStr">
        <is>
          <t>ООО "Амур Золото"</t>
        </is>
      </c>
      <c r="I3504" s="1" t="inlineStr">
        <is>
          <t>2708001686</t>
        </is>
      </c>
      <c r="J3504" s="1" t="inlineStr">
        <is>
          <t>ЮГОК ЗИОФ 26-51</t>
        </is>
      </c>
      <c r="K3504" s="1" t="inlineStr">
        <is>
          <t>Оказание первой помощи пострадавшим</t>
        </is>
      </c>
      <c r="L3504" s="1" t="inlineStr">
        <is>
          <t>26.08.2026</t>
        </is>
      </c>
      <c r="M3504" s="1" t="inlineStr">
        <is>
          <t>Успешно</t>
        </is>
      </c>
      <c r="N3504" s="1" t="inlineStr">
        <is>
          <t>21.09.2026</t>
        </is>
      </c>
      <c r="O3504" s="1" t="inlineStr"/>
      <c r="P3504" s="1" t="inlineStr"/>
      <c r="Q3504" s="1" t="inlineStr">
        <is>
          <t>Пользовательский интерфейс</t>
        </is>
      </c>
    </row>
    <row r="3505">
      <c r="B3505" s="1" t="inlineStr">
        <is>
          <t>223283010</t>
        </is>
      </c>
      <c r="C3505" s="1" t="inlineStr">
        <is>
          <t>15995643</t>
        </is>
      </c>
      <c r="D3505" t="inlineStr">
        <is>
          <t>работник 122</t>
        </is>
      </c>
      <c r="E3505" s="1" t="inlineStr">
        <is>
          <t>ОБЩЕСТВО С ОГРАНИЧЕННОЙ ОТВЕТСТВЕННОСТЬЮ "АМУР ЗОЛОТО"</t>
        </is>
      </c>
      <c r="F3505" s="1" t="inlineStr">
        <is>
          <t>2708001686</t>
        </is>
      </c>
      <c r="G3505" s="1" t="inlineStr">
        <is>
          <t>Дробильщики</t>
        </is>
      </c>
      <c r="H3505" s="1" t="inlineStr">
        <is>
          <t>ООО "Амур Золото"</t>
        </is>
      </c>
      <c r="I3505" s="1" t="inlineStr">
        <is>
          <t>2708001686</t>
        </is>
      </c>
      <c r="J3505" s="1" t="inlineStr">
        <is>
          <t>ЮГОК ЗИОФ 26-51</t>
        </is>
      </c>
      <c r="K3505" s="1" t="inlineStr">
        <is>
          <t>Использование (применение) средств индивидуальной защиты</t>
        </is>
      </c>
      <c r="L3505" s="1" t="inlineStr">
        <is>
          <t>26.08.2026</t>
        </is>
      </c>
      <c r="M3505" s="1" t="inlineStr">
        <is>
          <t>Успешно</t>
        </is>
      </c>
      <c r="N3505" s="1" t="inlineStr">
        <is>
          <t>21.09.2026</t>
        </is>
      </c>
      <c r="O3505" s="1" t="inlineStr"/>
      <c r="P3505" s="1" t="inlineStr"/>
      <c r="Q3505" s="1" t="inlineStr">
        <is>
          <t>Пользовательский интерфейс</t>
        </is>
      </c>
    </row>
    <row r="3506">
      <c r="B3506" s="1" t="inlineStr">
        <is>
          <t>223283011</t>
        </is>
      </c>
      <c r="C3506" s="1" t="inlineStr">
        <is>
          <t>15995643</t>
        </is>
      </c>
      <c r="D3506" t="inlineStr">
        <is>
          <t>работник 122</t>
        </is>
      </c>
      <c r="E3506" s="1" t="inlineStr">
        <is>
          <t>ОБЩЕСТВО С ОГРАНИЧЕННОЙ ОТВЕТСТВЕННОСТЬЮ "АМУР ЗОЛОТО"</t>
        </is>
      </c>
      <c r="F3506" s="1" t="inlineStr">
        <is>
          <t>2708001686</t>
        </is>
      </c>
      <c r="G3506" s="1" t="inlineStr">
        <is>
          <t>Дробильщики</t>
        </is>
      </c>
      <c r="H3506" s="1" t="inlineStr">
        <is>
          <t>ООО "Амур Золото"</t>
        </is>
      </c>
      <c r="I3506" s="1" t="inlineStr">
        <is>
          <t>2708001686</t>
        </is>
      </c>
      <c r="J3506" s="1" t="inlineStr">
        <is>
          <t>ЮГОК ЗИОФ 26-51</t>
        </is>
      </c>
      <c r="K350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506" s="1" t="inlineStr">
        <is>
          <t>26.08.2026</t>
        </is>
      </c>
      <c r="M3506" s="1" t="inlineStr">
        <is>
          <t>Успешно</t>
        </is>
      </c>
      <c r="N3506" s="1" t="inlineStr">
        <is>
          <t>21.09.2026</t>
        </is>
      </c>
      <c r="O3506" s="1" t="inlineStr"/>
      <c r="P3506" s="1" t="inlineStr"/>
      <c r="Q3506" s="1" t="inlineStr">
        <is>
          <t>Пользовательский интерфейс</t>
        </is>
      </c>
    </row>
    <row r="3507">
      <c r="B3507" s="1" t="inlineStr">
        <is>
          <t>223283012</t>
        </is>
      </c>
      <c r="C3507" s="1" t="inlineStr">
        <is>
          <t>15995643</t>
        </is>
      </c>
      <c r="D3507" t="inlineStr">
        <is>
          <t>работник 126</t>
        </is>
      </c>
      <c r="E3507" s="1" t="inlineStr">
        <is>
          <t>ОБЩЕСТВО С ОГРАНИЧЕННОЙ ОТВЕТСТВЕННОСТЬЮ "АМУР ЗОЛОТО"</t>
        </is>
      </c>
      <c r="F3507" s="1" t="inlineStr">
        <is>
          <t>2708001686</t>
        </is>
      </c>
      <c r="G3507" s="1" t="inlineStr">
        <is>
          <t>Дробильщики</t>
        </is>
      </c>
      <c r="H3507" s="1" t="inlineStr">
        <is>
          <t>ООО "Амур Золото"</t>
        </is>
      </c>
      <c r="I3507" s="1" t="inlineStr">
        <is>
          <t>2708001686</t>
        </is>
      </c>
      <c r="J3507" s="1" t="inlineStr">
        <is>
          <t>ЮГОК ЗИОФ 26-51</t>
        </is>
      </c>
      <c r="K3507" s="1" t="inlineStr">
        <is>
          <t>Оказание первой помощи пострадавшим</t>
        </is>
      </c>
      <c r="L3507" s="1" t="inlineStr">
        <is>
          <t>26.08.2026</t>
        </is>
      </c>
      <c r="M3507" s="1" t="inlineStr">
        <is>
          <t>Успешно</t>
        </is>
      </c>
      <c r="N3507" s="1" t="inlineStr">
        <is>
          <t>21.09.2026</t>
        </is>
      </c>
      <c r="O3507" s="1" t="inlineStr"/>
      <c r="P3507" s="1" t="inlineStr"/>
      <c r="Q3507" s="1" t="inlineStr">
        <is>
          <t>Пользовательский интерфейс</t>
        </is>
      </c>
    </row>
    <row r="3508">
      <c r="B3508" s="1" t="inlineStr">
        <is>
          <t>223283013</t>
        </is>
      </c>
      <c r="C3508" s="1" t="inlineStr">
        <is>
          <t>15995643</t>
        </is>
      </c>
      <c r="D3508" t="inlineStr">
        <is>
          <t>работник 126</t>
        </is>
      </c>
      <c r="E3508" s="1" t="inlineStr">
        <is>
          <t>ОБЩЕСТВО С ОГРАНИЧЕННОЙ ОТВЕТСТВЕННОСТЬЮ "АМУР ЗОЛОТО"</t>
        </is>
      </c>
      <c r="F3508" s="1" t="inlineStr">
        <is>
          <t>2708001686</t>
        </is>
      </c>
      <c r="G3508" s="1" t="inlineStr">
        <is>
          <t>Дробильщики</t>
        </is>
      </c>
      <c r="H3508" s="1" t="inlineStr">
        <is>
          <t>ООО "Амур Золото"</t>
        </is>
      </c>
      <c r="I3508" s="1" t="inlineStr">
        <is>
          <t>2708001686</t>
        </is>
      </c>
      <c r="J3508" s="1" t="inlineStr">
        <is>
          <t>ЮГОК ЗИОФ 26-51</t>
        </is>
      </c>
      <c r="K3508" s="1" t="inlineStr">
        <is>
          <t>Использование (применение) средств индивидуальной защиты</t>
        </is>
      </c>
      <c r="L3508" s="1" t="inlineStr">
        <is>
          <t>26.08.2026</t>
        </is>
      </c>
      <c r="M3508" s="1" t="inlineStr">
        <is>
          <t>Успешно</t>
        </is>
      </c>
      <c r="N3508" s="1" t="inlineStr">
        <is>
          <t>21.09.2026</t>
        </is>
      </c>
      <c r="O3508" s="1" t="inlineStr"/>
      <c r="P3508" s="1" t="inlineStr"/>
      <c r="Q3508" s="1" t="inlineStr">
        <is>
          <t>Пользовательский интерфейс</t>
        </is>
      </c>
    </row>
    <row r="3509">
      <c r="B3509" s="1" t="inlineStr">
        <is>
          <t>223283014</t>
        </is>
      </c>
      <c r="C3509" s="1" t="inlineStr">
        <is>
          <t>15995643</t>
        </is>
      </c>
      <c r="D3509" t="inlineStr">
        <is>
          <t>работник 126</t>
        </is>
      </c>
      <c r="E3509" s="1" t="inlineStr">
        <is>
          <t>ОБЩЕСТВО С ОГРАНИЧЕННОЙ ОТВЕТСТВЕННОСТЬЮ "АМУР ЗОЛОТО"</t>
        </is>
      </c>
      <c r="F3509" s="1" t="inlineStr">
        <is>
          <t>2708001686</t>
        </is>
      </c>
      <c r="G3509" s="1" t="inlineStr">
        <is>
          <t>Дробильщики</t>
        </is>
      </c>
      <c r="H3509" s="1" t="inlineStr">
        <is>
          <t>ООО "Амур Золото"</t>
        </is>
      </c>
      <c r="I3509" s="1" t="inlineStr">
        <is>
          <t>2708001686</t>
        </is>
      </c>
      <c r="J3509" s="1" t="inlineStr">
        <is>
          <t>ЮГОК ЗИОФ 26-51</t>
        </is>
      </c>
      <c r="K350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509" s="1" t="inlineStr">
        <is>
          <t>26.08.2026</t>
        </is>
      </c>
      <c r="M3509" s="1" t="inlineStr">
        <is>
          <t>Успешно</t>
        </is>
      </c>
      <c r="N3509" s="1" t="inlineStr">
        <is>
          <t>21.09.2026</t>
        </is>
      </c>
      <c r="O3509" s="1" t="inlineStr"/>
      <c r="P3509" s="1" t="inlineStr"/>
      <c r="Q3509" s="1" t="inlineStr">
        <is>
          <t>Пользовательский интерфейс</t>
        </is>
      </c>
    </row>
    <row r="3510">
      <c r="B3510" s="1" t="inlineStr">
        <is>
          <t>223283015</t>
        </is>
      </c>
      <c r="C3510" s="1" t="inlineStr">
        <is>
          <t>15995643</t>
        </is>
      </c>
      <c r="D3510" t="inlineStr">
        <is>
          <t>работник 928</t>
        </is>
      </c>
      <c r="E3510" s="1" t="inlineStr">
        <is>
          <t>ОБЩЕСТВО С ОГРАНИЧЕННОЙ ОТВЕТСТВЕННОСТЬЮ "АМУР ЗОЛОТО"</t>
        </is>
      </c>
      <c r="F3510" s="1" t="inlineStr">
        <is>
          <t>2708001686</t>
        </is>
      </c>
      <c r="G3510" s="1" t="inlineStr">
        <is>
          <t>Фильтровальщик</t>
        </is>
      </c>
      <c r="H3510" s="1" t="inlineStr">
        <is>
          <t>ООО "Амур Золото"</t>
        </is>
      </c>
      <c r="I3510" s="1" t="inlineStr">
        <is>
          <t>2708001686</t>
        </is>
      </c>
      <c r="J3510" s="1" t="inlineStr">
        <is>
          <t>ЮГОК ЗИОФ 26-52</t>
        </is>
      </c>
      <c r="K3510" s="1" t="inlineStr">
        <is>
          <t>Использование (применение) средств индивидуальной защиты</t>
        </is>
      </c>
      <c r="L3510" s="1" t="inlineStr">
        <is>
          <t>04.09.2026</t>
        </is>
      </c>
      <c r="M3510" s="1" t="inlineStr">
        <is>
          <t>Успешно</t>
        </is>
      </c>
      <c r="N3510" s="1" t="inlineStr">
        <is>
          <t>21.09.2026</t>
        </is>
      </c>
      <c r="O3510" s="1" t="inlineStr"/>
      <c r="P3510" s="1" t="inlineStr"/>
      <c r="Q3510" s="1" t="inlineStr">
        <is>
          <t>Пользовательский интерфейс</t>
        </is>
      </c>
    </row>
    <row r="3511">
      <c r="B3511" s="1" t="inlineStr">
        <is>
          <t>223283016</t>
        </is>
      </c>
      <c r="C3511" s="1" t="inlineStr">
        <is>
          <t>15995643</t>
        </is>
      </c>
      <c r="D3511" t="inlineStr">
        <is>
          <t>работник 928</t>
        </is>
      </c>
      <c r="E3511" s="1" t="inlineStr">
        <is>
          <t>ОБЩЕСТВО С ОГРАНИЧЕННОЙ ОТВЕТСТВЕННОСТЬЮ "АМУР ЗОЛОТО"</t>
        </is>
      </c>
      <c r="F3511" s="1" t="inlineStr">
        <is>
          <t>2708001686</t>
        </is>
      </c>
      <c r="G3511" s="1" t="inlineStr">
        <is>
          <t>Фильтровальщик</t>
        </is>
      </c>
      <c r="H3511" s="1" t="inlineStr">
        <is>
          <t>ООО "Амур Золото"</t>
        </is>
      </c>
      <c r="I3511" s="1" t="inlineStr">
        <is>
          <t>2708001686</t>
        </is>
      </c>
      <c r="J3511" s="1" t="inlineStr">
        <is>
          <t>ЮГОК ЗИОФ 26-52</t>
        </is>
      </c>
      <c r="K351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511" s="1" t="inlineStr">
        <is>
          <t>04.09.2026</t>
        </is>
      </c>
      <c r="M3511" s="1" t="inlineStr">
        <is>
          <t>Успешно</t>
        </is>
      </c>
      <c r="N3511" s="1" t="inlineStr">
        <is>
          <t>21.09.2026</t>
        </is>
      </c>
      <c r="O3511" s="1" t="inlineStr"/>
      <c r="P3511" s="1" t="inlineStr"/>
      <c r="Q3511" s="1" t="inlineStr">
        <is>
          <t>Пользовательский интерфейс</t>
        </is>
      </c>
    </row>
    <row r="3512">
      <c r="B3512" s="1" t="inlineStr">
        <is>
          <t>223283017</t>
        </is>
      </c>
      <c r="C3512" s="1" t="inlineStr">
        <is>
          <t>15995643</t>
        </is>
      </c>
      <c r="D3512" t="inlineStr">
        <is>
          <t>работник 673</t>
        </is>
      </c>
      <c r="E3512" s="1" t="inlineStr">
        <is>
          <t>ОБЩЕСТВО С ОГРАНИЧЕННОЙ ОТВЕТСТВЕННОСТЬЮ "АМУР ЗОЛОТО"</t>
        </is>
      </c>
      <c r="F3512" s="1" t="inlineStr">
        <is>
          <t>2708001686</t>
        </is>
      </c>
      <c r="G3512" s="1" t="inlineStr">
        <is>
          <t>Слесарь-ремонтник (по ремонту обогатительного оборудования)</t>
        </is>
      </c>
      <c r="H3512" s="1" t="inlineStr">
        <is>
          <t>ООО "Амур Золото"</t>
        </is>
      </c>
      <c r="I3512" s="1" t="inlineStr">
        <is>
          <t>2708001686</t>
        </is>
      </c>
      <c r="J3512" s="1" t="inlineStr">
        <is>
          <t>ЮГОК ЗИОФ 26-53</t>
        </is>
      </c>
      <c r="K3512" s="1" t="inlineStr">
        <is>
          <t>Оказание первой помощи пострадавшим</t>
        </is>
      </c>
      <c r="L3512" s="1" t="inlineStr">
        <is>
          <t>09.09.2026</t>
        </is>
      </c>
      <c r="M3512" s="1" t="inlineStr">
        <is>
          <t>Успешно</t>
        </is>
      </c>
      <c r="N3512" s="1" t="inlineStr">
        <is>
          <t>21.09.2026</t>
        </is>
      </c>
      <c r="O3512" s="1" t="inlineStr"/>
      <c r="P3512" s="1" t="inlineStr"/>
      <c r="Q3512" s="1" t="inlineStr">
        <is>
          <t>Пользовательский интерфейс</t>
        </is>
      </c>
    </row>
    <row r="3513">
      <c r="B3513" s="1" t="inlineStr">
        <is>
          <t>223283018</t>
        </is>
      </c>
      <c r="C3513" s="1" t="inlineStr">
        <is>
          <t>15995643</t>
        </is>
      </c>
      <c r="D3513" t="inlineStr">
        <is>
          <t>работник 673</t>
        </is>
      </c>
      <c r="E3513" s="1" t="inlineStr">
        <is>
          <t>ОБЩЕСТВО С ОГРАНИЧЕННОЙ ОТВЕТСТВЕННОСТЬЮ "АМУР ЗОЛОТО"</t>
        </is>
      </c>
      <c r="F3513" s="1" t="inlineStr">
        <is>
          <t>2708001686</t>
        </is>
      </c>
      <c r="G3513" s="1" t="inlineStr">
        <is>
          <t>Слесарь-ремонтник (по ремонту обогатительного оборудования)</t>
        </is>
      </c>
      <c r="H3513" s="1" t="inlineStr">
        <is>
          <t>ООО "Амур Золото"</t>
        </is>
      </c>
      <c r="I3513" s="1" t="inlineStr">
        <is>
          <t>2708001686</t>
        </is>
      </c>
      <c r="J3513" s="1" t="inlineStr">
        <is>
          <t>ЮГОК ЗИОФ 26-53</t>
        </is>
      </c>
      <c r="K3513" s="1" t="inlineStr">
        <is>
          <t>Использование (применение) средств индивидуальной защиты</t>
        </is>
      </c>
      <c r="L3513" s="1" t="inlineStr">
        <is>
          <t>09.09.2026</t>
        </is>
      </c>
      <c r="M3513" s="1" t="inlineStr">
        <is>
          <t>Успешно</t>
        </is>
      </c>
      <c r="N3513" s="1" t="inlineStr">
        <is>
          <t>21.09.2026</t>
        </is>
      </c>
      <c r="O3513" s="1" t="inlineStr"/>
      <c r="P3513" s="1" t="inlineStr"/>
      <c r="Q3513" s="1" t="inlineStr">
        <is>
          <t>Пользовательский интерфейс</t>
        </is>
      </c>
    </row>
    <row r="3514">
      <c r="B3514" s="1" t="inlineStr">
        <is>
          <t>223283019</t>
        </is>
      </c>
      <c r="C3514" s="1" t="inlineStr">
        <is>
          <t>15995643</t>
        </is>
      </c>
      <c r="D3514" t="inlineStr">
        <is>
          <t>работник 673</t>
        </is>
      </c>
      <c r="E3514" s="1" t="inlineStr">
        <is>
          <t>ОБЩЕСТВО С ОГРАНИЧЕННОЙ ОТВЕТСТВЕННОСТЬЮ "АМУР ЗОЛОТО"</t>
        </is>
      </c>
      <c r="F3514" s="1" t="inlineStr">
        <is>
          <t>2708001686</t>
        </is>
      </c>
      <c r="G3514" s="1" t="inlineStr">
        <is>
          <t>Слесарь-ремонтник (по ремонту обогатительного оборудования)</t>
        </is>
      </c>
      <c r="H3514" s="1" t="inlineStr">
        <is>
          <t>ООО "Амур Золото"</t>
        </is>
      </c>
      <c r="I3514" s="1" t="inlineStr">
        <is>
          <t>2708001686</t>
        </is>
      </c>
      <c r="J3514" s="1" t="inlineStr">
        <is>
          <t>ЮГОК ЗИОФ 26-53</t>
        </is>
      </c>
      <c r="K351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514" s="1" t="inlineStr">
        <is>
          <t>09.09.2026</t>
        </is>
      </c>
      <c r="M3514" s="1" t="inlineStr">
        <is>
          <t>Успешно</t>
        </is>
      </c>
      <c r="N3514" s="1" t="inlineStr">
        <is>
          <t>21.09.2026</t>
        </is>
      </c>
      <c r="O3514" s="1" t="inlineStr"/>
      <c r="P3514" s="1" t="inlineStr"/>
      <c r="Q3514" s="1" t="inlineStr">
        <is>
          <t>Пользовательский интерфейс</t>
        </is>
      </c>
    </row>
    <row r="3515">
      <c r="B3515" s="1" t="inlineStr">
        <is>
          <t>223283020</t>
        </is>
      </c>
      <c r="C3515" s="1" t="inlineStr">
        <is>
          <t>15995643</t>
        </is>
      </c>
      <c r="D3515" t="inlineStr">
        <is>
          <t>работник 613</t>
        </is>
      </c>
      <c r="E3515" s="1" t="inlineStr">
        <is>
          <t>ОБЩЕСТВО С ОГРАНИЧЕННОЙ ОТВЕТСТВЕННОСТЬЮ "АМУР ЗОЛОТО"</t>
        </is>
      </c>
      <c r="F3515" s="1" t="inlineStr">
        <is>
          <t>2708001686</t>
        </is>
      </c>
      <c r="G3515" s="1" t="inlineStr">
        <is>
          <t>Дробильщик</t>
        </is>
      </c>
      <c r="H3515" s="1" t="inlineStr">
        <is>
          <t>ООО "Амур Золото"</t>
        </is>
      </c>
      <c r="I3515" s="1" t="inlineStr">
        <is>
          <t>2708001686</t>
        </is>
      </c>
      <c r="J3515" s="1" t="inlineStr">
        <is>
          <t>ЮГОК ЗИОФ 26-54</t>
        </is>
      </c>
      <c r="K3515" s="1" t="inlineStr">
        <is>
          <t>Оказание первой помощи пострадавшим</t>
        </is>
      </c>
      <c r="L3515" s="1" t="inlineStr">
        <is>
          <t>05.09.2026</t>
        </is>
      </c>
      <c r="M3515" s="1" t="inlineStr">
        <is>
          <t>Успешно</t>
        </is>
      </c>
      <c r="N3515" s="1" t="inlineStr">
        <is>
          <t>21.09.2026</t>
        </is>
      </c>
      <c r="O3515" s="1" t="inlineStr"/>
      <c r="P3515" s="1" t="inlineStr"/>
      <c r="Q3515" s="1" t="inlineStr">
        <is>
          <t>Пользовательский интерфейс</t>
        </is>
      </c>
    </row>
    <row r="3516">
      <c r="B3516" s="1" t="inlineStr">
        <is>
          <t>223283021</t>
        </is>
      </c>
      <c r="C3516" s="1" t="inlineStr">
        <is>
          <t>15995643</t>
        </is>
      </c>
      <c r="D3516" t="inlineStr">
        <is>
          <t>работник 613</t>
        </is>
      </c>
      <c r="E3516" s="1" t="inlineStr">
        <is>
          <t>ОБЩЕСТВО С ОГРАНИЧЕННОЙ ОТВЕТСТВЕННОСТЬЮ "АМУР ЗОЛОТО"</t>
        </is>
      </c>
      <c r="F3516" s="1" t="inlineStr">
        <is>
          <t>2708001686</t>
        </is>
      </c>
      <c r="G3516" s="1" t="inlineStr">
        <is>
          <t>Дробильщик</t>
        </is>
      </c>
      <c r="H3516" s="1" t="inlineStr">
        <is>
          <t>ООО "Амур Золото"</t>
        </is>
      </c>
      <c r="I3516" s="1" t="inlineStr">
        <is>
          <t>2708001686</t>
        </is>
      </c>
      <c r="J3516" s="1" t="inlineStr">
        <is>
          <t>ЮГОК ЗИОФ 26-54</t>
        </is>
      </c>
      <c r="K3516" s="1" t="inlineStr">
        <is>
          <t>Использование (применение) средств индивидуальной защиты</t>
        </is>
      </c>
      <c r="L3516" s="1" t="inlineStr">
        <is>
          <t>05.09.2026</t>
        </is>
      </c>
      <c r="M3516" s="1" t="inlineStr">
        <is>
          <t>Успешно</t>
        </is>
      </c>
      <c r="N3516" s="1" t="inlineStr">
        <is>
          <t>21.09.2026</t>
        </is>
      </c>
      <c r="O3516" s="1" t="inlineStr"/>
      <c r="P3516" s="1" t="inlineStr"/>
      <c r="Q3516" s="1" t="inlineStr">
        <is>
          <t>Пользовательский интерфейс</t>
        </is>
      </c>
    </row>
    <row r="3517">
      <c r="B3517" s="1" t="inlineStr">
        <is>
          <t>223283022</t>
        </is>
      </c>
      <c r="C3517" s="1" t="inlineStr">
        <is>
          <t>15995643</t>
        </is>
      </c>
      <c r="D3517" t="inlineStr">
        <is>
          <t>работник 613</t>
        </is>
      </c>
      <c r="E3517" s="1" t="inlineStr">
        <is>
          <t>ОБЩЕСТВО С ОГРАНИЧЕННОЙ ОТВЕТСТВЕННОСТЬЮ "АМУР ЗОЛОТО"</t>
        </is>
      </c>
      <c r="F3517" s="1" t="inlineStr">
        <is>
          <t>2708001686</t>
        </is>
      </c>
      <c r="G3517" s="1" t="inlineStr">
        <is>
          <t>Дробильщик</t>
        </is>
      </c>
      <c r="H3517" s="1" t="inlineStr">
        <is>
          <t>ООО "Амур Золото"</t>
        </is>
      </c>
      <c r="I3517" s="1" t="inlineStr">
        <is>
          <t>2708001686</t>
        </is>
      </c>
      <c r="J3517" s="1" t="inlineStr">
        <is>
          <t>ЮГОК ЗИОФ 26-54</t>
        </is>
      </c>
      <c r="K351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517" s="1" t="inlineStr">
        <is>
          <t>05.09.2026</t>
        </is>
      </c>
      <c r="M3517" s="1" t="inlineStr">
        <is>
          <t>Успешно</t>
        </is>
      </c>
      <c r="N3517" s="1" t="inlineStr">
        <is>
          <t>21.09.2026</t>
        </is>
      </c>
      <c r="O3517" s="1" t="inlineStr"/>
      <c r="P3517" s="1" t="inlineStr"/>
      <c r="Q3517" s="1" t="inlineStr">
        <is>
          <t>Пользовательский интерфейс</t>
        </is>
      </c>
    </row>
    <row r="3518">
      <c r="B3518" s="1" t="inlineStr">
        <is>
          <t>223283023</t>
        </is>
      </c>
      <c r="C3518" s="1" t="inlineStr">
        <is>
          <t>15995643</t>
        </is>
      </c>
      <c r="D3518" t="inlineStr">
        <is>
          <t>работник 424</t>
        </is>
      </c>
      <c r="E3518" s="1" t="inlineStr">
        <is>
          <t>ОБЩЕСТВО С ОГРАНИЧЕННОЙ ОТВЕТСТВЕННОСТЬЮ "АМУР ЗОЛОТО"</t>
        </is>
      </c>
      <c r="F3518" s="1" t="inlineStr">
        <is>
          <t>2708001686</t>
        </is>
      </c>
      <c r="G3518" s="1" t="inlineStr">
        <is>
          <t>Аппаратчик-гидрометаллург</t>
        </is>
      </c>
      <c r="H3518" s="1" t="inlineStr">
        <is>
          <t>ООО "Амур Золото"</t>
        </is>
      </c>
      <c r="I3518" s="1" t="inlineStr">
        <is>
          <t>2708001686</t>
        </is>
      </c>
      <c r="J3518" s="1" t="inlineStr">
        <is>
          <t>ЮГОК ЗИОФ 26-55</t>
        </is>
      </c>
      <c r="K3518" s="1" t="inlineStr">
        <is>
          <t>Оказание первой помощи пострадавшим</t>
        </is>
      </c>
      <c r="L3518" s="1" t="inlineStr">
        <is>
          <t>07.09.2026</t>
        </is>
      </c>
      <c r="M3518" s="1" t="inlineStr">
        <is>
          <t>Успешно</t>
        </is>
      </c>
      <c r="N3518" s="1" t="inlineStr">
        <is>
          <t>21.09.2026</t>
        </is>
      </c>
      <c r="O3518" s="1" t="inlineStr"/>
      <c r="P3518" s="1" t="inlineStr"/>
      <c r="Q3518" s="1" t="inlineStr">
        <is>
          <t>Пользовательский интерфейс</t>
        </is>
      </c>
    </row>
    <row r="3519">
      <c r="B3519" s="1" t="inlineStr">
        <is>
          <t>223283024</t>
        </is>
      </c>
      <c r="C3519" s="1" t="inlineStr">
        <is>
          <t>15995643</t>
        </is>
      </c>
      <c r="D3519" t="inlineStr">
        <is>
          <t>работник 424</t>
        </is>
      </c>
      <c r="E3519" s="1" t="inlineStr">
        <is>
          <t>ОБЩЕСТВО С ОГРАНИЧЕННОЙ ОТВЕТСТВЕННОСТЬЮ "АМУР ЗОЛОТО"</t>
        </is>
      </c>
      <c r="F3519" s="1" t="inlineStr">
        <is>
          <t>2708001686</t>
        </is>
      </c>
      <c r="G3519" s="1" t="inlineStr">
        <is>
          <t>Аппаратчик-гидрометаллург</t>
        </is>
      </c>
      <c r="H3519" s="1" t="inlineStr">
        <is>
          <t>ООО "Амур Золото"</t>
        </is>
      </c>
      <c r="I3519" s="1" t="inlineStr">
        <is>
          <t>2708001686</t>
        </is>
      </c>
      <c r="J3519" s="1" t="inlineStr">
        <is>
          <t>ЮГОК ЗИОФ 26-55</t>
        </is>
      </c>
      <c r="K3519" s="1" t="inlineStr">
        <is>
          <t>Использование (применение) средств индивидуальной защиты</t>
        </is>
      </c>
      <c r="L3519" s="1" t="inlineStr">
        <is>
          <t>07.09.2026</t>
        </is>
      </c>
      <c r="M3519" s="1" t="inlineStr">
        <is>
          <t>Успешно</t>
        </is>
      </c>
      <c r="N3519" s="1" t="inlineStr">
        <is>
          <t>21.09.2026</t>
        </is>
      </c>
      <c r="O3519" s="1" t="inlineStr"/>
      <c r="P3519" s="1" t="inlineStr"/>
      <c r="Q3519" s="1" t="inlineStr">
        <is>
          <t>Пользовательский интерфейс</t>
        </is>
      </c>
    </row>
    <row r="3520">
      <c r="B3520" s="1" t="inlineStr">
        <is>
          <t>223283025</t>
        </is>
      </c>
      <c r="C3520" s="1" t="inlineStr">
        <is>
          <t>15995643</t>
        </is>
      </c>
      <c r="D3520" t="inlineStr">
        <is>
          <t>работник 424</t>
        </is>
      </c>
      <c r="E3520" s="1" t="inlineStr">
        <is>
          <t>ОБЩЕСТВО С ОГРАНИЧЕННОЙ ОТВЕТСТВЕННОСТЬЮ "АМУР ЗОЛОТО"</t>
        </is>
      </c>
      <c r="F3520" s="1" t="inlineStr">
        <is>
          <t>2708001686</t>
        </is>
      </c>
      <c r="G3520" s="1" t="inlineStr">
        <is>
          <t>Аппаратчик-гидрометаллург</t>
        </is>
      </c>
      <c r="H3520" s="1" t="inlineStr">
        <is>
          <t>ООО "Амур Золото"</t>
        </is>
      </c>
      <c r="I3520" s="1" t="inlineStr">
        <is>
          <t>2708001686</t>
        </is>
      </c>
      <c r="J3520" s="1" t="inlineStr">
        <is>
          <t>ЮГОК ЗИОФ 26-55</t>
        </is>
      </c>
      <c r="K352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520" s="1" t="inlineStr">
        <is>
          <t>07.09.2026</t>
        </is>
      </c>
      <c r="M3520" s="1" t="inlineStr">
        <is>
          <t>Успешно</t>
        </is>
      </c>
      <c r="N3520" s="1" t="inlineStr">
        <is>
          <t>21.09.2026</t>
        </is>
      </c>
      <c r="O3520" s="1" t="inlineStr"/>
      <c r="P3520" s="1" t="inlineStr"/>
      <c r="Q3520" s="1" t="inlineStr">
        <is>
          <t>Пользовательский интерфейс</t>
        </is>
      </c>
    </row>
    <row r="3521">
      <c r="B3521" s="1" t="inlineStr">
        <is>
          <t>223283026</t>
        </is>
      </c>
      <c r="C3521" s="1" t="inlineStr">
        <is>
          <t>15995643</t>
        </is>
      </c>
      <c r="D3521" t="inlineStr">
        <is>
          <t>работник 636</t>
        </is>
      </c>
      <c r="E3521" s="1" t="inlineStr">
        <is>
          <t>ОБЩЕСТВО С ОГРАНИЧЕННОЙ ОТВЕТСТВЕННОСТЬЮ "АМУР ЗОЛОТО"</t>
        </is>
      </c>
      <c r="F3521" s="1" t="inlineStr">
        <is>
          <t>2708001686</t>
        </is>
      </c>
      <c r="G3521" s="1" t="inlineStr">
        <is>
          <t>Аппаратчик-гидрометаллург</t>
        </is>
      </c>
      <c r="H3521" s="1" t="inlineStr">
        <is>
          <t>ООО "Амур Золото"</t>
        </is>
      </c>
      <c r="I3521" s="1" t="inlineStr">
        <is>
          <t>2708001686</t>
        </is>
      </c>
      <c r="J3521" s="1" t="inlineStr">
        <is>
          <t>ЮГОК ЗИОФ 26-56</t>
        </is>
      </c>
      <c r="K3521" s="1" t="inlineStr">
        <is>
          <t>Оказание первой помощи пострадавшим</t>
        </is>
      </c>
      <c r="L3521" s="1" t="inlineStr">
        <is>
          <t>10.09.2026</t>
        </is>
      </c>
      <c r="M3521" s="1" t="inlineStr">
        <is>
          <t>Успешно</t>
        </is>
      </c>
      <c r="N3521" s="1" t="inlineStr">
        <is>
          <t>21.09.2026</t>
        </is>
      </c>
      <c r="O3521" s="1" t="inlineStr"/>
      <c r="P3521" s="1" t="inlineStr"/>
      <c r="Q3521" s="1" t="inlineStr">
        <is>
          <t>Пользовательский интерфейс</t>
        </is>
      </c>
    </row>
    <row r="3522">
      <c r="B3522" s="1" t="inlineStr">
        <is>
          <t>223283027</t>
        </is>
      </c>
      <c r="C3522" s="1" t="inlineStr">
        <is>
          <t>15995643</t>
        </is>
      </c>
      <c r="D3522" t="inlineStr">
        <is>
          <t>работник 636</t>
        </is>
      </c>
      <c r="E3522" s="1" t="inlineStr">
        <is>
          <t>ОБЩЕСТВО С ОГРАНИЧЕННОЙ ОТВЕТСТВЕННОСТЬЮ "АМУР ЗОЛОТО"</t>
        </is>
      </c>
      <c r="F3522" s="1" t="inlineStr">
        <is>
          <t>2708001686</t>
        </is>
      </c>
      <c r="G3522" s="1" t="inlineStr">
        <is>
          <t>Аппаратчик-гидрометаллург</t>
        </is>
      </c>
      <c r="H3522" s="1" t="inlineStr">
        <is>
          <t>ООО "Амур Золото"</t>
        </is>
      </c>
      <c r="I3522" s="1" t="inlineStr">
        <is>
          <t>2708001686</t>
        </is>
      </c>
      <c r="J3522" s="1" t="inlineStr">
        <is>
          <t>ЮГОК ЗИОФ 26-56</t>
        </is>
      </c>
      <c r="K3522" s="1" t="inlineStr">
        <is>
          <t>Использование (применение) средств индивидуальной защиты</t>
        </is>
      </c>
      <c r="L3522" s="1" t="inlineStr">
        <is>
          <t>10.09.2026</t>
        </is>
      </c>
      <c r="M3522" s="1" t="inlineStr">
        <is>
          <t>Успешно</t>
        </is>
      </c>
      <c r="N3522" s="1" t="inlineStr">
        <is>
          <t>21.09.2026</t>
        </is>
      </c>
      <c r="O3522" s="1" t="inlineStr"/>
      <c r="P3522" s="1" t="inlineStr"/>
      <c r="Q3522" s="1" t="inlineStr">
        <is>
          <t>Пользовательский интерфейс</t>
        </is>
      </c>
    </row>
    <row r="3523">
      <c r="B3523" s="1" t="inlineStr">
        <is>
          <t>223283028</t>
        </is>
      </c>
      <c r="C3523" s="1" t="inlineStr">
        <is>
          <t>15995643</t>
        </is>
      </c>
      <c r="D3523" t="inlineStr">
        <is>
          <t>работник 226</t>
        </is>
      </c>
      <c r="E3523" s="1" t="inlineStr">
        <is>
          <t>ОБЩЕСТВО С ОГРАНИЧЕННОЙ ОТВЕТСТВЕННОСТЬЮ "АМУР ЗОЛОТО"</t>
        </is>
      </c>
      <c r="F3523" s="1" t="inlineStr">
        <is>
          <t>2708001686</t>
        </is>
      </c>
      <c r="G3523" s="1" t="inlineStr">
        <is>
          <t>Кладовщик</t>
        </is>
      </c>
      <c r="H3523" s="1" t="inlineStr">
        <is>
          <t>ООО "Амур Золото"</t>
        </is>
      </c>
      <c r="I3523" s="1" t="inlineStr">
        <is>
          <t>2708001686</t>
        </is>
      </c>
      <c r="J3523" s="1" t="inlineStr">
        <is>
          <t>ЮГОК МТО 26-11</t>
        </is>
      </c>
      <c r="K3523" s="1" t="inlineStr">
        <is>
          <t>Использование (применение) средств индивидуальной защиты</t>
        </is>
      </c>
      <c r="L3523" s="1" t="inlineStr">
        <is>
          <t>26.08.2026</t>
        </is>
      </c>
      <c r="M3523" s="1" t="inlineStr">
        <is>
          <t>Успешно</t>
        </is>
      </c>
      <c r="N3523" s="1" t="inlineStr">
        <is>
          <t>21.09.2026</t>
        </is>
      </c>
      <c r="O3523" s="1" t="inlineStr"/>
      <c r="P3523" s="1" t="inlineStr"/>
      <c r="Q3523" s="1" t="inlineStr">
        <is>
          <t>Пользовательский интерфейс</t>
        </is>
      </c>
    </row>
    <row r="3524">
      <c r="B3524" s="1" t="inlineStr">
        <is>
          <t>223283029</t>
        </is>
      </c>
      <c r="C3524" s="1" t="inlineStr">
        <is>
          <t>15995643</t>
        </is>
      </c>
      <c r="D3524" t="inlineStr">
        <is>
          <t>работник 636</t>
        </is>
      </c>
      <c r="E3524" s="1" t="inlineStr">
        <is>
          <t>ОБЩЕСТВО С ОГРАНИЧЕННОЙ ОТВЕТСТВЕННОСТЬЮ "АМУР ЗОЛОТО"</t>
        </is>
      </c>
      <c r="F3524" s="1" t="inlineStr">
        <is>
          <t>2708001686</t>
        </is>
      </c>
      <c r="G3524" s="1" t="inlineStr">
        <is>
          <t>Аппаратчик-гидрометаллург</t>
        </is>
      </c>
      <c r="H3524" s="1" t="inlineStr">
        <is>
          <t>ООО "Амур Золото"</t>
        </is>
      </c>
      <c r="I3524" s="1" t="inlineStr">
        <is>
          <t>2708001686</t>
        </is>
      </c>
      <c r="J3524" s="1" t="inlineStr">
        <is>
          <t>ЮГОК ЗИОФ 26-56</t>
        </is>
      </c>
      <c r="K352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524" s="1" t="inlineStr">
        <is>
          <t>10.09.2026</t>
        </is>
      </c>
      <c r="M3524" s="1" t="inlineStr">
        <is>
          <t>Успешно</t>
        </is>
      </c>
      <c r="N3524" s="1" t="inlineStr">
        <is>
          <t>21.09.2026</t>
        </is>
      </c>
      <c r="O3524" s="1" t="inlineStr"/>
      <c r="P3524" s="1" t="inlineStr"/>
      <c r="Q3524" s="1" t="inlineStr">
        <is>
          <t>Пользовательский интерфейс</t>
        </is>
      </c>
    </row>
    <row r="3525">
      <c r="B3525" s="1" t="inlineStr">
        <is>
          <t>223283030</t>
        </is>
      </c>
      <c r="C3525" s="1" t="inlineStr">
        <is>
          <t>15995643</t>
        </is>
      </c>
      <c r="D3525" t="inlineStr">
        <is>
          <t>работник 929</t>
        </is>
      </c>
      <c r="E3525" s="1" t="inlineStr">
        <is>
          <t>ОБЩЕСТВО С ОГРАНИЧЕННОЙ ОТВЕТСТВЕННОСТЬЮ "АМУР ЗОЛОТО"</t>
        </is>
      </c>
      <c r="F3525" s="1" t="inlineStr">
        <is>
          <t>2708001686</t>
        </is>
      </c>
      <c r="G3525" s="1" t="inlineStr">
        <is>
          <t>Фильтровальщик</t>
        </is>
      </c>
      <c r="H3525" s="1" t="inlineStr">
        <is>
          <t>ООО "Амур Золото"</t>
        </is>
      </c>
      <c r="I3525" s="1" t="inlineStr">
        <is>
          <t>2708001686</t>
        </is>
      </c>
      <c r="J3525" s="1" t="inlineStr">
        <is>
          <t>ЮГОК ЗИОФ 26-57</t>
        </is>
      </c>
      <c r="K3525" s="1" t="inlineStr">
        <is>
          <t>Оказание первой помощи пострадавшим</t>
        </is>
      </c>
      <c r="L3525" s="1" t="inlineStr">
        <is>
          <t>12.09.2026</t>
        </is>
      </c>
      <c r="M3525" s="1" t="inlineStr">
        <is>
          <t>Успешно</t>
        </is>
      </c>
      <c r="N3525" s="1" t="inlineStr">
        <is>
          <t>21.09.2026</t>
        </is>
      </c>
      <c r="O3525" s="1" t="inlineStr"/>
      <c r="P3525" s="1" t="inlineStr"/>
      <c r="Q3525" s="1" t="inlineStr">
        <is>
          <t>Пользовательский интерфейс</t>
        </is>
      </c>
    </row>
    <row r="3526">
      <c r="B3526" s="1" t="inlineStr">
        <is>
          <t>223283031</t>
        </is>
      </c>
      <c r="C3526" s="1" t="inlineStr">
        <is>
          <t>15995643</t>
        </is>
      </c>
      <c r="D3526" t="inlineStr">
        <is>
          <t>работник 929</t>
        </is>
      </c>
      <c r="E3526" s="1" t="inlineStr">
        <is>
          <t>ОБЩЕСТВО С ОГРАНИЧЕННОЙ ОТВЕТСТВЕННОСТЬЮ "АМУР ЗОЛОТО"</t>
        </is>
      </c>
      <c r="F3526" s="1" t="inlineStr">
        <is>
          <t>2708001686</t>
        </is>
      </c>
      <c r="G3526" s="1" t="inlineStr">
        <is>
          <t>Фильтровальщик</t>
        </is>
      </c>
      <c r="H3526" s="1" t="inlineStr">
        <is>
          <t>ООО "Амур Золото"</t>
        </is>
      </c>
      <c r="I3526" s="1" t="inlineStr">
        <is>
          <t>2708001686</t>
        </is>
      </c>
      <c r="J3526" s="1" t="inlineStr">
        <is>
          <t>ЮГОК ЗИОФ 26-57</t>
        </is>
      </c>
      <c r="K3526" s="1" t="inlineStr">
        <is>
          <t>Использование (применение) средств индивидуальной защиты</t>
        </is>
      </c>
      <c r="L3526" s="1" t="inlineStr">
        <is>
          <t>12.09.2026</t>
        </is>
      </c>
      <c r="M3526" s="1" t="inlineStr">
        <is>
          <t>Успешно</t>
        </is>
      </c>
      <c r="N3526" s="1" t="inlineStr">
        <is>
          <t>21.09.2026</t>
        </is>
      </c>
      <c r="O3526" s="1" t="inlineStr"/>
      <c r="P3526" s="1" t="inlineStr"/>
      <c r="Q3526" s="1" t="inlineStr">
        <is>
          <t>Пользовательский интерфейс</t>
        </is>
      </c>
    </row>
    <row r="3527">
      <c r="B3527" s="1" t="inlineStr">
        <is>
          <t>223283032</t>
        </is>
      </c>
      <c r="C3527" s="1" t="inlineStr">
        <is>
          <t>15995643</t>
        </is>
      </c>
      <c r="D3527" t="inlineStr">
        <is>
          <t>работник 929</t>
        </is>
      </c>
      <c r="E3527" s="1" t="inlineStr">
        <is>
          <t>ОБЩЕСТВО С ОГРАНИЧЕННОЙ ОТВЕТСТВЕННОСТЬЮ "АМУР ЗОЛОТО"</t>
        </is>
      </c>
      <c r="F3527" s="1" t="inlineStr">
        <is>
          <t>2708001686</t>
        </is>
      </c>
      <c r="G3527" s="1" t="inlineStr">
        <is>
          <t>Фильтровальщик</t>
        </is>
      </c>
      <c r="H3527" s="1" t="inlineStr">
        <is>
          <t>ООО "Амур Золото"</t>
        </is>
      </c>
      <c r="I3527" s="1" t="inlineStr">
        <is>
          <t>2708001686</t>
        </is>
      </c>
      <c r="J3527" s="1" t="inlineStr">
        <is>
          <t>ЮГОК ЗИОФ 26-57</t>
        </is>
      </c>
      <c r="K352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527" s="1" t="inlineStr">
        <is>
          <t>12.09.2026</t>
        </is>
      </c>
      <c r="M3527" s="1" t="inlineStr">
        <is>
          <t>Успешно</t>
        </is>
      </c>
      <c r="N3527" s="1" t="inlineStr">
        <is>
          <t>21.09.2026</t>
        </is>
      </c>
      <c r="O3527" s="1" t="inlineStr"/>
      <c r="P3527" s="1" t="inlineStr"/>
      <c r="Q3527" s="1" t="inlineStr">
        <is>
          <t>Пользовательский интерфейс</t>
        </is>
      </c>
    </row>
    <row r="3528">
      <c r="B3528" s="1" t="inlineStr">
        <is>
          <t>223283033</t>
        </is>
      </c>
      <c r="C3528" s="1" t="inlineStr">
        <is>
          <t>15995643</t>
        </is>
      </c>
      <c r="D3528" t="inlineStr">
        <is>
          <t>работник 930</t>
        </is>
      </c>
      <c r="E3528" s="1" t="inlineStr">
        <is>
          <t>ОБЩЕСТВО С ОГРАНИЧЕННОЙ ОТВЕТСТВЕННОСТЬЮ "АМУР ЗОЛОТО"</t>
        </is>
      </c>
      <c r="F3528" s="1" t="inlineStr">
        <is>
          <t>2708001686</t>
        </is>
      </c>
      <c r="G3528" s="1" t="inlineStr">
        <is>
          <t>Бункеровщик</t>
        </is>
      </c>
      <c r="H3528" s="1" t="inlineStr">
        <is>
          <t>ООО "Амур Золото"</t>
        </is>
      </c>
      <c r="I3528" s="1" t="inlineStr">
        <is>
          <t>2708001686</t>
        </is>
      </c>
      <c r="J3528" s="1" t="inlineStr">
        <is>
          <t>ЮГОК ЗИОФ 26-58</t>
        </is>
      </c>
      <c r="K3528" s="1" t="inlineStr">
        <is>
          <t>Оказание первой помощи пострадавшим</t>
        </is>
      </c>
      <c r="L3528" s="1" t="inlineStr">
        <is>
          <t>10.09.2026</t>
        </is>
      </c>
      <c r="M3528" s="1" t="inlineStr">
        <is>
          <t>Успешно</t>
        </is>
      </c>
      <c r="N3528" s="1" t="inlineStr">
        <is>
          <t>21.09.2026</t>
        </is>
      </c>
      <c r="O3528" s="1" t="inlineStr"/>
      <c r="P3528" s="1" t="inlineStr"/>
      <c r="Q3528" s="1" t="inlineStr">
        <is>
          <t>Пользовательский интерфейс</t>
        </is>
      </c>
    </row>
    <row r="3529">
      <c r="B3529" s="1" t="inlineStr">
        <is>
          <t>223283034</t>
        </is>
      </c>
      <c r="C3529" s="1" t="inlineStr">
        <is>
          <t>15995643</t>
        </is>
      </c>
      <c r="D3529" t="inlineStr">
        <is>
          <t>работник 930</t>
        </is>
      </c>
      <c r="E3529" s="1" t="inlineStr">
        <is>
          <t>ОБЩЕСТВО С ОГРАНИЧЕННОЙ ОТВЕТСТВЕННОСТЬЮ "АМУР ЗОЛОТО"</t>
        </is>
      </c>
      <c r="F3529" s="1" t="inlineStr">
        <is>
          <t>2708001686</t>
        </is>
      </c>
      <c r="G3529" s="1" t="inlineStr">
        <is>
          <t>Бункеровщик</t>
        </is>
      </c>
      <c r="H3529" s="1" t="inlineStr">
        <is>
          <t>ООО "Амур Золото"</t>
        </is>
      </c>
      <c r="I3529" s="1" t="inlineStr">
        <is>
          <t>2708001686</t>
        </is>
      </c>
      <c r="J3529" s="1" t="inlineStr">
        <is>
          <t>ЮГОК ЗИОФ 26-58</t>
        </is>
      </c>
      <c r="K3529" s="1" t="inlineStr">
        <is>
          <t>Использование (применение) средств индивидуальной защиты</t>
        </is>
      </c>
      <c r="L3529" s="1" t="inlineStr">
        <is>
          <t>10.09.2026</t>
        </is>
      </c>
      <c r="M3529" s="1" t="inlineStr">
        <is>
          <t>Успешно</t>
        </is>
      </c>
      <c r="N3529" s="1" t="inlineStr">
        <is>
          <t>21.09.2026</t>
        </is>
      </c>
      <c r="O3529" s="1" t="inlineStr"/>
      <c r="P3529" s="1" t="inlineStr"/>
      <c r="Q3529" s="1" t="inlineStr">
        <is>
          <t>Пользовательский интерфейс</t>
        </is>
      </c>
    </row>
    <row r="3530">
      <c r="B3530" s="1" t="inlineStr">
        <is>
          <t>223283035</t>
        </is>
      </c>
      <c r="C3530" s="1" t="inlineStr">
        <is>
          <t>15995643</t>
        </is>
      </c>
      <c r="D3530" t="inlineStr">
        <is>
          <t>работник 930</t>
        </is>
      </c>
      <c r="E3530" s="1" t="inlineStr">
        <is>
          <t>ОБЩЕСТВО С ОГРАНИЧЕННОЙ ОТВЕТСТВЕННОСТЬЮ "АМУР ЗОЛОТО"</t>
        </is>
      </c>
      <c r="F3530" s="1" t="inlineStr">
        <is>
          <t>2708001686</t>
        </is>
      </c>
      <c r="G3530" s="1" t="inlineStr">
        <is>
          <t>Бункеровщик</t>
        </is>
      </c>
      <c r="H3530" s="1" t="inlineStr">
        <is>
          <t>ООО "Амур Золото"</t>
        </is>
      </c>
      <c r="I3530" s="1" t="inlineStr">
        <is>
          <t>2708001686</t>
        </is>
      </c>
      <c r="J3530" s="1" t="inlineStr">
        <is>
          <t>ЮГОК ЗИОФ 26-58</t>
        </is>
      </c>
      <c r="K353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530" s="1" t="inlineStr">
        <is>
          <t>10.09.2026</t>
        </is>
      </c>
      <c r="M3530" s="1" t="inlineStr">
        <is>
          <t>Успешно</t>
        </is>
      </c>
      <c r="N3530" s="1" t="inlineStr">
        <is>
          <t>21.09.2026</t>
        </is>
      </c>
      <c r="O3530" s="1" t="inlineStr"/>
      <c r="P3530" s="1" t="inlineStr"/>
      <c r="Q3530" s="1" t="inlineStr">
        <is>
          <t>Пользовательский интерфейс</t>
        </is>
      </c>
    </row>
    <row r="3531">
      <c r="B3531" s="1" t="inlineStr">
        <is>
          <t>223283036</t>
        </is>
      </c>
      <c r="C3531" s="1" t="inlineStr">
        <is>
          <t>15995643</t>
        </is>
      </c>
      <c r="D3531" t="inlineStr">
        <is>
          <t>работник 931</t>
        </is>
      </c>
      <c r="E3531" s="1" t="inlineStr">
        <is>
          <t>ОБЩЕСТВО С ОГРАНИЧЕННОЙ ОТВЕТСТВЕННОСТЬЮ "АМУР ЗОЛОТО"</t>
        </is>
      </c>
      <c r="F3531" s="1" t="inlineStr">
        <is>
          <t>2708001686</t>
        </is>
      </c>
      <c r="G3531" s="1" t="inlineStr">
        <is>
          <t>Подсобный рабочий</t>
        </is>
      </c>
      <c r="H3531" s="1" t="inlineStr">
        <is>
          <t>ООО "Амур Золото"</t>
        </is>
      </c>
      <c r="I3531" s="1" t="inlineStr">
        <is>
          <t>2708001686</t>
        </is>
      </c>
      <c r="J3531" s="1" t="inlineStr">
        <is>
          <t>ЮГОК ЗИОФ 26-59</t>
        </is>
      </c>
      <c r="K3531" s="1" t="inlineStr">
        <is>
          <t>Оказание первой помощи пострадавшим</t>
        </is>
      </c>
      <c r="L3531" s="1" t="inlineStr">
        <is>
          <t>14.09.2026</t>
        </is>
      </c>
      <c r="M3531" s="1" t="inlineStr">
        <is>
          <t>Успешно</t>
        </is>
      </c>
      <c r="N3531" s="1" t="inlineStr">
        <is>
          <t>21.09.2026</t>
        </is>
      </c>
      <c r="O3531" s="1" t="inlineStr"/>
      <c r="P3531" s="1" t="inlineStr"/>
      <c r="Q3531" s="1" t="inlineStr">
        <is>
          <t>Пользовательский интерфейс</t>
        </is>
      </c>
    </row>
    <row r="3532">
      <c r="B3532" s="1" t="inlineStr">
        <is>
          <t>223283037</t>
        </is>
      </c>
      <c r="C3532" s="1" t="inlineStr">
        <is>
          <t>15995643</t>
        </is>
      </c>
      <c r="D3532" t="inlineStr">
        <is>
          <t>работник 931</t>
        </is>
      </c>
      <c r="E3532" s="1" t="inlineStr">
        <is>
          <t>ОБЩЕСТВО С ОГРАНИЧЕННОЙ ОТВЕТСТВЕННОСТЬЮ "АМУР ЗОЛОТО"</t>
        </is>
      </c>
      <c r="F3532" s="1" t="inlineStr">
        <is>
          <t>2708001686</t>
        </is>
      </c>
      <c r="G3532" s="1" t="inlineStr">
        <is>
          <t>Подсобный рабочий</t>
        </is>
      </c>
      <c r="H3532" s="1" t="inlineStr">
        <is>
          <t>ООО "Амур Золото"</t>
        </is>
      </c>
      <c r="I3532" s="1" t="inlineStr">
        <is>
          <t>2708001686</t>
        </is>
      </c>
      <c r="J3532" s="1" t="inlineStr">
        <is>
          <t>ЮГОК ЗИОФ 26-59</t>
        </is>
      </c>
      <c r="K3532" s="1" t="inlineStr">
        <is>
          <t>Использование (применение) средств индивидуальной защиты</t>
        </is>
      </c>
      <c r="L3532" s="1" t="inlineStr">
        <is>
          <t>14.09.2026</t>
        </is>
      </c>
      <c r="M3532" s="1" t="inlineStr">
        <is>
          <t>Успешно</t>
        </is>
      </c>
      <c r="N3532" s="1" t="inlineStr">
        <is>
          <t>21.09.2026</t>
        </is>
      </c>
      <c r="O3532" s="1" t="inlineStr"/>
      <c r="P3532" s="1" t="inlineStr"/>
      <c r="Q3532" s="1" t="inlineStr">
        <is>
          <t>Пользовательский интерфейс</t>
        </is>
      </c>
    </row>
    <row r="3533">
      <c r="B3533" s="1" t="inlineStr">
        <is>
          <t>223283038</t>
        </is>
      </c>
      <c r="C3533" s="1" t="inlineStr">
        <is>
          <t>15995643</t>
        </is>
      </c>
      <c r="D3533" t="inlineStr">
        <is>
          <t>работник 931</t>
        </is>
      </c>
      <c r="E3533" s="1" t="inlineStr">
        <is>
          <t>ОБЩЕСТВО С ОГРАНИЧЕННОЙ ОТВЕТСТВЕННОСТЬЮ "АМУР ЗОЛОТО"</t>
        </is>
      </c>
      <c r="F3533" s="1" t="inlineStr">
        <is>
          <t>2708001686</t>
        </is>
      </c>
      <c r="G3533" s="1" t="inlineStr">
        <is>
          <t>Подсобный рабочий</t>
        </is>
      </c>
      <c r="H3533" s="1" t="inlineStr">
        <is>
          <t>ООО "Амур Золото"</t>
        </is>
      </c>
      <c r="I3533" s="1" t="inlineStr">
        <is>
          <t>2708001686</t>
        </is>
      </c>
      <c r="J3533" s="1" t="inlineStr">
        <is>
          <t>ЮГОК ЗИОФ 26-59</t>
        </is>
      </c>
      <c r="K353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533" s="1" t="inlineStr">
        <is>
          <t>14.09.2026</t>
        </is>
      </c>
      <c r="M3533" s="1" t="inlineStr">
        <is>
          <t>Успешно</t>
        </is>
      </c>
      <c r="N3533" s="1" t="inlineStr">
        <is>
          <t>21.09.2026</t>
        </is>
      </c>
      <c r="O3533" s="1" t="inlineStr"/>
      <c r="P3533" s="1" t="inlineStr"/>
      <c r="Q3533" s="1" t="inlineStr">
        <is>
          <t>Пользовательский интерфейс</t>
        </is>
      </c>
    </row>
    <row r="3534">
      <c r="B3534" s="1" t="inlineStr">
        <is>
          <t>223283039</t>
        </is>
      </c>
      <c r="C3534" s="1" t="inlineStr">
        <is>
          <t>15995643</t>
        </is>
      </c>
      <c r="D3534" t="inlineStr">
        <is>
          <t>работник 227</t>
        </is>
      </c>
      <c r="E3534" s="1" t="inlineStr">
        <is>
          <t>ОБЩЕСТВО С ОГРАНИЧЕННОЙ ОТВЕТСТВЕННОСТЬЮ "АМУР ЗОЛОТО"</t>
        </is>
      </c>
      <c r="F3534" s="1" t="inlineStr">
        <is>
          <t>2708001686</t>
        </is>
      </c>
      <c r="G3534" s="1" t="inlineStr">
        <is>
          <t>Кладовщик</t>
        </is>
      </c>
      <c r="H3534" s="1" t="inlineStr">
        <is>
          <t>ООО "Амур Золото"</t>
        </is>
      </c>
      <c r="I3534" s="1" t="inlineStr">
        <is>
          <t>2708001686</t>
        </is>
      </c>
      <c r="J3534" s="1" t="inlineStr">
        <is>
          <t>ЮГОК МТО 26-11</t>
        </is>
      </c>
      <c r="K3534" s="1" t="inlineStr">
        <is>
          <t>Оказание первой помощи пострадавшим</t>
        </is>
      </c>
      <c r="L3534" s="1" t="inlineStr">
        <is>
          <t>26.08.2026</t>
        </is>
      </c>
      <c r="M3534" s="1" t="inlineStr">
        <is>
          <t>Успешно</t>
        </is>
      </c>
      <c r="N3534" s="1" t="inlineStr">
        <is>
          <t>21.09.2026</t>
        </is>
      </c>
      <c r="O3534" s="1" t="inlineStr"/>
      <c r="P3534" s="1" t="inlineStr"/>
      <c r="Q3534" s="1" t="inlineStr">
        <is>
          <t>Пользовательский интерфейс</t>
        </is>
      </c>
    </row>
    <row r="3535">
      <c r="B3535" s="1" t="inlineStr">
        <is>
          <t>223283040</t>
        </is>
      </c>
      <c r="C3535" s="1" t="inlineStr">
        <is>
          <t>15995643</t>
        </is>
      </c>
      <c r="D3535" t="inlineStr">
        <is>
          <t>работник 227</t>
        </is>
      </c>
      <c r="E3535" s="1" t="inlineStr">
        <is>
          <t>ОБЩЕСТВО С ОГРАНИЧЕННОЙ ОТВЕТСТВЕННОСТЬЮ "АМУР ЗОЛОТО"</t>
        </is>
      </c>
      <c r="F3535" s="1" t="inlineStr">
        <is>
          <t>2708001686</t>
        </is>
      </c>
      <c r="G3535" s="1" t="inlineStr">
        <is>
          <t>Кладовщик</t>
        </is>
      </c>
      <c r="H3535" s="1" t="inlineStr">
        <is>
          <t>ООО "Амур Золото"</t>
        </is>
      </c>
      <c r="I3535" s="1" t="inlineStr">
        <is>
          <t>2708001686</t>
        </is>
      </c>
      <c r="J3535" s="1" t="inlineStr">
        <is>
          <t>ЮГОК МТО 26-11</t>
        </is>
      </c>
      <c r="K3535" s="1" t="inlineStr">
        <is>
          <t>Использование (применение) средств индивидуальной защиты</t>
        </is>
      </c>
      <c r="L3535" s="1" t="inlineStr">
        <is>
          <t>26.08.2026</t>
        </is>
      </c>
      <c r="M3535" s="1" t="inlineStr">
        <is>
          <t>Успешно</t>
        </is>
      </c>
      <c r="N3535" s="1" t="inlineStr">
        <is>
          <t>21.09.2026</t>
        </is>
      </c>
      <c r="O3535" s="1" t="inlineStr"/>
      <c r="P3535" s="1" t="inlineStr"/>
      <c r="Q3535" s="1" t="inlineStr">
        <is>
          <t>Пользовательский интерфейс</t>
        </is>
      </c>
    </row>
    <row r="3536">
      <c r="B3536" s="1" t="inlineStr">
        <is>
          <t>223283041</t>
        </is>
      </c>
      <c r="C3536" s="1" t="inlineStr">
        <is>
          <t>15995643</t>
        </is>
      </c>
      <c r="D3536" t="inlineStr">
        <is>
          <t>работник 227</t>
        </is>
      </c>
      <c r="E3536" s="1" t="inlineStr">
        <is>
          <t>ОБЩЕСТВО С ОГРАНИЧЕННОЙ ОТВЕТСТВЕННОСТЬЮ "АМУР ЗОЛОТО"</t>
        </is>
      </c>
      <c r="F3536" s="1" t="inlineStr">
        <is>
          <t>2708001686</t>
        </is>
      </c>
      <c r="G3536" s="1" t="inlineStr">
        <is>
          <t>Кладовщик</t>
        </is>
      </c>
      <c r="H3536" s="1" t="inlineStr">
        <is>
          <t>ООО "Амур Золото"</t>
        </is>
      </c>
      <c r="I3536" s="1" t="inlineStr">
        <is>
          <t>2708001686</t>
        </is>
      </c>
      <c r="J3536" s="1" t="inlineStr">
        <is>
          <t>ЮГОК МТО 26-11</t>
        </is>
      </c>
      <c r="K353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536" s="1" t="inlineStr">
        <is>
          <t>26.08.2026</t>
        </is>
      </c>
      <c r="M3536" s="1" t="inlineStr">
        <is>
          <t>Успешно</t>
        </is>
      </c>
      <c r="N3536" s="1" t="inlineStr">
        <is>
          <t>21.09.2026</t>
        </is>
      </c>
      <c r="O3536" s="1" t="inlineStr"/>
      <c r="P3536" s="1" t="inlineStr"/>
      <c r="Q3536" s="1" t="inlineStr">
        <is>
          <t>Пользовательский интерфейс</t>
        </is>
      </c>
    </row>
    <row r="3537">
      <c r="B3537" s="1" t="inlineStr">
        <is>
          <t>223283042</t>
        </is>
      </c>
      <c r="C3537" s="1" t="inlineStr">
        <is>
          <t>15995643</t>
        </is>
      </c>
      <c r="D3537" t="inlineStr">
        <is>
          <t>работник 226</t>
        </is>
      </c>
      <c r="E3537" s="1" t="inlineStr">
        <is>
          <t>ОБЩЕСТВО С ОГРАНИЧЕННОЙ ОТВЕТСТВЕННОСТЬЮ "АМУР ЗОЛОТО"</t>
        </is>
      </c>
      <c r="F3537" s="1" t="inlineStr">
        <is>
          <t>2708001686</t>
        </is>
      </c>
      <c r="G3537" s="1" t="inlineStr">
        <is>
          <t>Кладовщик</t>
        </is>
      </c>
      <c r="H3537" s="1" t="inlineStr">
        <is>
          <t>ООО "Амур Золото"</t>
        </is>
      </c>
      <c r="I3537" s="1" t="inlineStr">
        <is>
          <t>2708001686</t>
        </is>
      </c>
      <c r="J3537" s="1" t="inlineStr">
        <is>
          <t>ЮГОК МТО 26-11</t>
        </is>
      </c>
      <c r="K3537" s="1" t="inlineStr">
        <is>
          <t>Оказание первой помощи пострадавшим</t>
        </is>
      </c>
      <c r="L3537" s="1" t="inlineStr">
        <is>
          <t>26.08.2026</t>
        </is>
      </c>
      <c r="M3537" s="1" t="inlineStr">
        <is>
          <t>Успешно</t>
        </is>
      </c>
      <c r="N3537" s="1" t="inlineStr">
        <is>
          <t>21.09.2026</t>
        </is>
      </c>
      <c r="O3537" s="1" t="inlineStr"/>
      <c r="P3537" s="1" t="inlineStr"/>
      <c r="Q3537" s="1" t="inlineStr">
        <is>
          <t>Пользовательский интерфейс</t>
        </is>
      </c>
    </row>
    <row r="3538">
      <c r="B3538" s="1" t="inlineStr">
        <is>
          <t>223283043</t>
        </is>
      </c>
      <c r="C3538" s="1" t="inlineStr">
        <is>
          <t>15995643</t>
        </is>
      </c>
      <c r="D3538" t="inlineStr">
        <is>
          <t>работник 226</t>
        </is>
      </c>
      <c r="E3538" s="1" t="inlineStr">
        <is>
          <t>ОБЩЕСТВО С ОГРАНИЧЕННОЙ ОТВЕТСТВЕННОСТЬЮ "АМУР ЗОЛОТО"</t>
        </is>
      </c>
      <c r="F3538" s="1" t="inlineStr">
        <is>
          <t>2708001686</t>
        </is>
      </c>
      <c r="G3538" s="1" t="inlineStr">
        <is>
          <t>Кладовщик</t>
        </is>
      </c>
      <c r="H3538" s="1" t="inlineStr">
        <is>
          <t>ООО "Амур Золото"</t>
        </is>
      </c>
      <c r="I3538" s="1" t="inlineStr">
        <is>
          <t>2708001686</t>
        </is>
      </c>
      <c r="J3538" s="1" t="inlineStr">
        <is>
          <t>ЮГОК МТО 26-11</t>
        </is>
      </c>
      <c r="K3538"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538" s="1" t="inlineStr">
        <is>
          <t>26.08.2026</t>
        </is>
      </c>
      <c r="M3538" s="1" t="inlineStr">
        <is>
          <t>Успешно</t>
        </is>
      </c>
      <c r="N3538" s="1" t="inlineStr">
        <is>
          <t>21.09.2026</t>
        </is>
      </c>
      <c r="O3538" s="1" t="inlineStr"/>
      <c r="P3538" s="1" t="inlineStr"/>
      <c r="Q3538" s="1" t="inlineStr">
        <is>
          <t>Пользовательский интерфейс</t>
        </is>
      </c>
    </row>
    <row r="3539">
      <c r="B3539" s="1" t="inlineStr">
        <is>
          <t>223283044</t>
        </is>
      </c>
      <c r="C3539" s="1" t="inlineStr">
        <is>
          <t>15995643</t>
        </is>
      </c>
      <c r="D3539" t="inlineStr">
        <is>
          <t>работник 932</t>
        </is>
      </c>
      <c r="E3539" s="1" t="inlineStr">
        <is>
          <t>ОБЩЕСТВО С ОГРАНИЧЕННОЙ ОТВЕТСТВЕННОСТЬЮ "АМУР ЗОЛОТО"</t>
        </is>
      </c>
      <c r="F3539" s="1" t="inlineStr">
        <is>
          <t>2708001686</t>
        </is>
      </c>
      <c r="G3539" s="1" t="inlineStr">
        <is>
          <t>Кладовщик</t>
        </is>
      </c>
      <c r="H3539" s="1" t="inlineStr">
        <is>
          <t>ООО "Амур Золото"</t>
        </is>
      </c>
      <c r="I3539" s="1" t="inlineStr">
        <is>
          <t>2708001686</t>
        </is>
      </c>
      <c r="J3539" s="1" t="inlineStr">
        <is>
          <t>ЮГОК МТО 26-11</t>
        </is>
      </c>
      <c r="K3539" s="1" t="inlineStr">
        <is>
          <t>Оказание первой помощи пострадавшим</t>
        </is>
      </c>
      <c r="L3539" s="1" t="inlineStr">
        <is>
          <t>26.08.2026</t>
        </is>
      </c>
      <c r="M3539" s="1" t="inlineStr">
        <is>
          <t>Успешно</t>
        </is>
      </c>
      <c r="N3539" s="1" t="inlineStr">
        <is>
          <t>21.09.2026</t>
        </is>
      </c>
      <c r="O3539" s="1" t="inlineStr"/>
      <c r="P3539" s="1" t="inlineStr"/>
      <c r="Q3539" s="1" t="inlineStr">
        <is>
          <t>Пользовательский интерфейс</t>
        </is>
      </c>
    </row>
    <row r="3540">
      <c r="B3540" s="1" t="inlineStr">
        <is>
          <t>223283045</t>
        </is>
      </c>
      <c r="C3540" s="1" t="inlineStr">
        <is>
          <t>15995643</t>
        </is>
      </c>
      <c r="D3540" t="inlineStr">
        <is>
          <t>работник 932</t>
        </is>
      </c>
      <c r="E3540" s="1" t="inlineStr">
        <is>
          <t>ОБЩЕСТВО С ОГРАНИЧЕННОЙ ОТВЕТСТВЕННОСТЬЮ "АМУР ЗОЛОТО"</t>
        </is>
      </c>
      <c r="F3540" s="1" t="inlineStr">
        <is>
          <t>2708001686</t>
        </is>
      </c>
      <c r="G3540" s="1" t="inlineStr">
        <is>
          <t>Кладовщик</t>
        </is>
      </c>
      <c r="H3540" s="1" t="inlineStr">
        <is>
          <t>ООО "Амур Золото"</t>
        </is>
      </c>
      <c r="I3540" s="1" t="inlineStr">
        <is>
          <t>2708001686</t>
        </is>
      </c>
      <c r="J3540" s="1" t="inlineStr">
        <is>
          <t>ЮГОК МТО 26-11</t>
        </is>
      </c>
      <c r="K3540" s="1" t="inlineStr">
        <is>
          <t>Использование (применение) средств индивидуальной защиты</t>
        </is>
      </c>
      <c r="L3540" s="1" t="inlineStr">
        <is>
          <t>26.08.2026</t>
        </is>
      </c>
      <c r="M3540" s="1" t="inlineStr">
        <is>
          <t>Успешно</t>
        </is>
      </c>
      <c r="N3540" s="1" t="inlineStr">
        <is>
          <t>21.09.2026</t>
        </is>
      </c>
      <c r="O3540" s="1" t="inlineStr"/>
      <c r="P3540" s="1" t="inlineStr"/>
      <c r="Q3540" s="1" t="inlineStr">
        <is>
          <t>Пользовательский интерфейс</t>
        </is>
      </c>
    </row>
    <row r="3541">
      <c r="B3541" s="1" t="inlineStr">
        <is>
          <t>223283046</t>
        </is>
      </c>
      <c r="C3541" s="1" t="inlineStr">
        <is>
          <t>15995643</t>
        </is>
      </c>
      <c r="D3541" t="inlineStr">
        <is>
          <t>работник 932</t>
        </is>
      </c>
      <c r="E3541" s="1" t="inlineStr">
        <is>
          <t>ОБЩЕСТВО С ОГРАНИЧЕННОЙ ОТВЕТСТВЕННОСТЬЮ "АМУР ЗОЛОТО"</t>
        </is>
      </c>
      <c r="F3541" s="1" t="inlineStr">
        <is>
          <t>2708001686</t>
        </is>
      </c>
      <c r="G3541" s="1" t="inlineStr">
        <is>
          <t>Кладовщик</t>
        </is>
      </c>
      <c r="H3541" s="1" t="inlineStr">
        <is>
          <t>ООО "Амур Золото"</t>
        </is>
      </c>
      <c r="I3541" s="1" t="inlineStr">
        <is>
          <t>2708001686</t>
        </is>
      </c>
      <c r="J3541" s="1" t="inlineStr">
        <is>
          <t>ЮГОК МТО 26-11</t>
        </is>
      </c>
      <c r="K3541"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541" s="1" t="inlineStr">
        <is>
          <t>26.08.2026</t>
        </is>
      </c>
      <c r="M3541" s="1" t="inlineStr">
        <is>
          <t>Успешно</t>
        </is>
      </c>
      <c r="N3541" s="1" t="inlineStr">
        <is>
          <t>21.09.2026</t>
        </is>
      </c>
      <c r="O3541" s="1" t="inlineStr"/>
      <c r="P3541" s="1" t="inlineStr"/>
      <c r="Q3541" s="1" t="inlineStr">
        <is>
          <t>Пользовательский интерфейс</t>
        </is>
      </c>
    </row>
    <row r="3542">
      <c r="B3542" s="1" t="inlineStr">
        <is>
          <t>223283047</t>
        </is>
      </c>
      <c r="C3542" s="1" t="inlineStr">
        <is>
          <t>15995643</t>
        </is>
      </c>
      <c r="D3542" t="inlineStr">
        <is>
          <t>работник 543</t>
        </is>
      </c>
      <c r="E3542" s="1" t="inlineStr">
        <is>
          <t>ОБЩЕСТВО С ОГРАНИЧЕННОЙ ОТВЕТСТВЕННОСТЬЮ "АМУР ЗОЛОТО"</t>
        </is>
      </c>
      <c r="F3542" s="1" t="inlineStr">
        <is>
          <t>2708001686</t>
        </is>
      </c>
      <c r="G3542" s="1" t="inlineStr">
        <is>
          <t>Контролер продукции обогащения</t>
        </is>
      </c>
      <c r="H3542" s="1" t="inlineStr">
        <is>
          <t>ООО "Амур Золото"</t>
        </is>
      </c>
      <c r="I3542" s="1" t="inlineStr">
        <is>
          <t>2708001686</t>
        </is>
      </c>
      <c r="J3542" s="1" t="inlineStr">
        <is>
          <t>ЮГОК ОТК 26-08</t>
        </is>
      </c>
      <c r="K3542" s="1" t="inlineStr">
        <is>
          <t>Оказание первой помощи пострадавшим</t>
        </is>
      </c>
      <c r="L3542" s="1" t="inlineStr">
        <is>
          <t>21.08.2026</t>
        </is>
      </c>
      <c r="M3542" s="1" t="inlineStr">
        <is>
          <t>Успешно</t>
        </is>
      </c>
      <c r="N3542" s="1" t="inlineStr">
        <is>
          <t>21.09.2026</t>
        </is>
      </c>
      <c r="O3542" s="1" t="inlineStr"/>
      <c r="P3542" s="1" t="inlineStr"/>
      <c r="Q3542" s="1" t="inlineStr">
        <is>
          <t>Пользовательский интерфейс</t>
        </is>
      </c>
    </row>
    <row r="3543">
      <c r="B3543" s="1" t="inlineStr">
        <is>
          <t>223283048</t>
        </is>
      </c>
      <c r="C3543" s="1" t="inlineStr">
        <is>
          <t>15995643</t>
        </is>
      </c>
      <c r="D3543" t="inlineStr">
        <is>
          <t>работник 543</t>
        </is>
      </c>
      <c r="E3543" s="1" t="inlineStr">
        <is>
          <t>ОБЩЕСТВО С ОГРАНИЧЕННОЙ ОТВЕТСТВЕННОСТЬЮ "АМУР ЗОЛОТО"</t>
        </is>
      </c>
      <c r="F3543" s="1" t="inlineStr">
        <is>
          <t>2708001686</t>
        </is>
      </c>
      <c r="G3543" s="1" t="inlineStr">
        <is>
          <t>Контролер продукции обогащения</t>
        </is>
      </c>
      <c r="H3543" s="1" t="inlineStr">
        <is>
          <t>ООО "Амур Золото"</t>
        </is>
      </c>
      <c r="I3543" s="1" t="inlineStr">
        <is>
          <t>2708001686</t>
        </is>
      </c>
      <c r="J3543" s="1" t="inlineStr">
        <is>
          <t>ЮГОК ОТК 26-08</t>
        </is>
      </c>
      <c r="K3543" s="1" t="inlineStr">
        <is>
          <t>Использование (применение) средств индивидуальной защиты</t>
        </is>
      </c>
      <c r="L3543" s="1" t="inlineStr">
        <is>
          <t>21.08.2026</t>
        </is>
      </c>
      <c r="M3543" s="1" t="inlineStr">
        <is>
          <t>Успешно</t>
        </is>
      </c>
      <c r="N3543" s="1" t="inlineStr">
        <is>
          <t>21.09.2026</t>
        </is>
      </c>
      <c r="O3543" s="1" t="inlineStr"/>
      <c r="P3543" s="1" t="inlineStr"/>
      <c r="Q3543" s="1" t="inlineStr">
        <is>
          <t>Пользовательский интерфейс</t>
        </is>
      </c>
    </row>
    <row r="3544">
      <c r="B3544" s="1" t="inlineStr">
        <is>
          <t>223283049</t>
        </is>
      </c>
      <c r="C3544" s="1" t="inlineStr">
        <is>
          <t>15995643</t>
        </is>
      </c>
      <c r="D3544" t="inlineStr">
        <is>
          <t>работник 543</t>
        </is>
      </c>
      <c r="E3544" s="1" t="inlineStr">
        <is>
          <t>ОБЩЕСТВО С ОГРАНИЧЕННОЙ ОТВЕТСТВЕННОСТЬЮ "АМУР ЗОЛОТО"</t>
        </is>
      </c>
      <c r="F3544" s="1" t="inlineStr">
        <is>
          <t>2708001686</t>
        </is>
      </c>
      <c r="G3544" s="1" t="inlineStr">
        <is>
          <t>Контролер продукции обогащения</t>
        </is>
      </c>
      <c r="H3544" s="1" t="inlineStr">
        <is>
          <t>ООО "Амур Золото"</t>
        </is>
      </c>
      <c r="I3544" s="1" t="inlineStr">
        <is>
          <t>2708001686</t>
        </is>
      </c>
      <c r="J3544" s="1" t="inlineStr">
        <is>
          <t>ЮГОК ОТК 26-08</t>
        </is>
      </c>
      <c r="K3544"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544" s="1" t="inlineStr">
        <is>
          <t>21.08.2026</t>
        </is>
      </c>
      <c r="M3544" s="1" t="inlineStr">
        <is>
          <t>Успешно</t>
        </is>
      </c>
      <c r="N3544" s="1" t="inlineStr">
        <is>
          <t>21.09.2026</t>
        </is>
      </c>
      <c r="O3544" s="1" t="inlineStr"/>
      <c r="P3544" s="1" t="inlineStr"/>
      <c r="Q3544" s="1" t="inlineStr">
        <is>
          <t>Пользовательский интерфейс</t>
        </is>
      </c>
    </row>
    <row r="3545">
      <c r="B3545" s="1" t="inlineStr">
        <is>
          <t>223283050</t>
        </is>
      </c>
      <c r="C3545" s="1" t="inlineStr">
        <is>
          <t>15995643</t>
        </is>
      </c>
      <c r="D3545" t="inlineStr">
        <is>
          <t>работник 401</t>
        </is>
      </c>
      <c r="E3545" s="1" t="inlineStr">
        <is>
          <t>ОБЩЕСТВО С ОГРАНИЧЕННОЙ ОТВЕТСТВЕННОСТЬЮ "АМУР ЗОЛОТО"</t>
        </is>
      </c>
      <c r="F3545" s="1" t="inlineStr">
        <is>
          <t>2708001686</t>
        </is>
      </c>
      <c r="G3545" s="1" t="inlineStr">
        <is>
          <t>Контролер продукции обогащения</t>
        </is>
      </c>
      <c r="H3545" s="1" t="inlineStr">
        <is>
          <t>ООО "Амур Золото"</t>
        </is>
      </c>
      <c r="I3545" s="1" t="inlineStr">
        <is>
          <t>2708001686</t>
        </is>
      </c>
      <c r="J3545" s="1" t="inlineStr">
        <is>
          <t>ЮГОК ОТК 26-09</t>
        </is>
      </c>
      <c r="K3545" s="1" t="inlineStr">
        <is>
          <t>Оказание первой помощи пострадавшим</t>
        </is>
      </c>
      <c r="L3545" s="1" t="inlineStr">
        <is>
          <t>27.08.2026</t>
        </is>
      </c>
      <c r="M3545" s="1" t="inlineStr">
        <is>
          <t>Успешно</t>
        </is>
      </c>
      <c r="N3545" s="1" t="inlineStr">
        <is>
          <t>21.09.2026</t>
        </is>
      </c>
      <c r="O3545" s="1" t="inlineStr"/>
      <c r="P3545" s="1" t="inlineStr"/>
      <c r="Q3545" s="1" t="inlineStr">
        <is>
          <t>Пользовательский интерфейс</t>
        </is>
      </c>
    </row>
    <row r="3546">
      <c r="B3546" s="1" t="inlineStr">
        <is>
          <t>223283051</t>
        </is>
      </c>
      <c r="C3546" s="1" t="inlineStr">
        <is>
          <t>15995643</t>
        </is>
      </c>
      <c r="D3546" t="inlineStr">
        <is>
          <t>работник 401</t>
        </is>
      </c>
      <c r="E3546" s="1" t="inlineStr">
        <is>
          <t>ОБЩЕСТВО С ОГРАНИЧЕННОЙ ОТВЕТСТВЕННОСТЬЮ "АМУР ЗОЛОТО"</t>
        </is>
      </c>
      <c r="F3546" s="1" t="inlineStr">
        <is>
          <t>2708001686</t>
        </is>
      </c>
      <c r="G3546" s="1" t="inlineStr">
        <is>
          <t>Контролер продукции обогащения</t>
        </is>
      </c>
      <c r="H3546" s="1" t="inlineStr">
        <is>
          <t>ООО "Амур Золото"</t>
        </is>
      </c>
      <c r="I3546" s="1" t="inlineStr">
        <is>
          <t>2708001686</t>
        </is>
      </c>
      <c r="J3546" s="1" t="inlineStr">
        <is>
          <t>ЮГОК ОТК 26-09</t>
        </is>
      </c>
      <c r="K3546" s="1" t="inlineStr">
        <is>
          <t>Использование (применение) средств индивидуальной защиты</t>
        </is>
      </c>
      <c r="L3546" s="1" t="inlineStr">
        <is>
          <t>27.08.2026</t>
        </is>
      </c>
      <c r="M3546" s="1" t="inlineStr">
        <is>
          <t>Успешно</t>
        </is>
      </c>
      <c r="N3546" s="1" t="inlineStr">
        <is>
          <t>21.09.2026</t>
        </is>
      </c>
      <c r="O3546" s="1" t="inlineStr"/>
      <c r="P3546" s="1" t="inlineStr"/>
      <c r="Q3546" s="1" t="inlineStr">
        <is>
          <t>Пользовательский интерфейс</t>
        </is>
      </c>
    </row>
    <row r="3547">
      <c r="B3547" s="1" t="inlineStr">
        <is>
          <t>223283052</t>
        </is>
      </c>
      <c r="C3547" s="1" t="inlineStr">
        <is>
          <t>15995643</t>
        </is>
      </c>
      <c r="D3547" t="inlineStr">
        <is>
          <t>работник 401</t>
        </is>
      </c>
      <c r="E3547" s="1" t="inlineStr">
        <is>
          <t>ОБЩЕСТВО С ОГРАНИЧЕННОЙ ОТВЕТСТВЕННОСТЬЮ "АМУР ЗОЛОТО"</t>
        </is>
      </c>
      <c r="F3547" s="1" t="inlineStr">
        <is>
          <t>2708001686</t>
        </is>
      </c>
      <c r="G3547" s="1" t="inlineStr">
        <is>
          <t>Контролер продукции обогащения</t>
        </is>
      </c>
      <c r="H3547" s="1" t="inlineStr">
        <is>
          <t>ООО "Амур Золото"</t>
        </is>
      </c>
      <c r="I3547" s="1" t="inlineStr">
        <is>
          <t>2708001686</t>
        </is>
      </c>
      <c r="J3547" s="1" t="inlineStr">
        <is>
          <t>ЮГОК ОТК 26-09</t>
        </is>
      </c>
      <c r="K3547"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547" s="1" t="inlineStr">
        <is>
          <t>27.08.2026</t>
        </is>
      </c>
      <c r="M3547" s="1" t="inlineStr">
        <is>
          <t>Успешно</t>
        </is>
      </c>
      <c r="N3547" s="1" t="inlineStr">
        <is>
          <t>21.09.2026</t>
        </is>
      </c>
      <c r="O3547" s="1" t="inlineStr"/>
      <c r="P3547" s="1" t="inlineStr"/>
      <c r="Q3547" s="1" t="inlineStr">
        <is>
          <t>Пользовательский интерфейс</t>
        </is>
      </c>
    </row>
    <row r="3548">
      <c r="B3548" s="1" t="inlineStr">
        <is>
          <t>223283053</t>
        </is>
      </c>
      <c r="C3548" s="1" t="inlineStr">
        <is>
          <t>15995643</t>
        </is>
      </c>
      <c r="D3548" t="inlineStr">
        <is>
          <t>работник 119</t>
        </is>
      </c>
      <c r="E3548" s="1" t="inlineStr">
        <is>
          <t>ОБЩЕСТВО С ОГРАНИЧЕННОЙ ОТВЕТСТВЕННОСТЬЮ "АМУР ЗОЛОТО"</t>
        </is>
      </c>
      <c r="F3548" s="1" t="inlineStr">
        <is>
          <t>2708001686</t>
        </is>
      </c>
      <c r="G3548" s="1" t="inlineStr">
        <is>
          <t>Контролер продукции обогащения</t>
        </is>
      </c>
      <c r="H3548" s="1" t="inlineStr">
        <is>
          <t>ООО "Амур Золото"</t>
        </is>
      </c>
      <c r="I3548" s="1" t="inlineStr">
        <is>
          <t>2708001686</t>
        </is>
      </c>
      <c r="J3548" s="1" t="inlineStr">
        <is>
          <t>ЮГОК ОТК 26-10</t>
        </is>
      </c>
      <c r="K3548" s="1" t="inlineStr">
        <is>
          <t>Оказание первой помощи пострадавшим</t>
        </is>
      </c>
      <c r="L3548" s="1" t="inlineStr">
        <is>
          <t>27.08.2026</t>
        </is>
      </c>
      <c r="M3548" s="1" t="inlineStr">
        <is>
          <t>Успешно</t>
        </is>
      </c>
      <c r="N3548" s="1" t="inlineStr">
        <is>
          <t>21.09.2026</t>
        </is>
      </c>
      <c r="O3548" s="1" t="inlineStr"/>
      <c r="P3548" s="1" t="inlineStr"/>
      <c r="Q3548" s="1" t="inlineStr">
        <is>
          <t>Пользовательский интерфейс</t>
        </is>
      </c>
    </row>
    <row r="3549">
      <c r="B3549" s="1" t="inlineStr">
        <is>
          <t>223283054</t>
        </is>
      </c>
      <c r="C3549" s="1" t="inlineStr">
        <is>
          <t>15995643</t>
        </is>
      </c>
      <c r="D3549" t="inlineStr">
        <is>
          <t>работник 119</t>
        </is>
      </c>
      <c r="E3549" s="1" t="inlineStr">
        <is>
          <t>ОБЩЕСТВО С ОГРАНИЧЕННОЙ ОТВЕТСТВЕННОСТЬЮ "АМУР ЗОЛОТО"</t>
        </is>
      </c>
      <c r="F3549" s="1" t="inlineStr">
        <is>
          <t>2708001686</t>
        </is>
      </c>
      <c r="G3549" s="1" t="inlineStr">
        <is>
          <t>Контролер продукции обогащения</t>
        </is>
      </c>
      <c r="H3549" s="1" t="inlineStr">
        <is>
          <t>ООО "Амур Золото"</t>
        </is>
      </c>
      <c r="I3549" s="1" t="inlineStr">
        <is>
          <t>2708001686</t>
        </is>
      </c>
      <c r="J3549" s="1" t="inlineStr">
        <is>
          <t>ЮГОК ОТК 26-10</t>
        </is>
      </c>
      <c r="K3549" s="1" t="inlineStr">
        <is>
          <t>Использование (применение) средств индивидуальной защиты</t>
        </is>
      </c>
      <c r="L3549" s="1" t="inlineStr">
        <is>
          <t>27.08.2026</t>
        </is>
      </c>
      <c r="M3549" s="1" t="inlineStr">
        <is>
          <t>Успешно</t>
        </is>
      </c>
      <c r="N3549" s="1" t="inlineStr">
        <is>
          <t>21.09.2026</t>
        </is>
      </c>
      <c r="O3549" s="1" t="inlineStr"/>
      <c r="P3549" s="1" t="inlineStr"/>
      <c r="Q3549" s="1" t="inlineStr">
        <is>
          <t>Пользовательский интерфейс</t>
        </is>
      </c>
    </row>
    <row r="3550">
      <c r="B3550" s="1" t="inlineStr">
        <is>
          <t>223283055</t>
        </is>
      </c>
      <c r="C3550" s="1" t="inlineStr">
        <is>
          <t>15995643</t>
        </is>
      </c>
      <c r="D3550" t="inlineStr">
        <is>
          <t>работник 119</t>
        </is>
      </c>
      <c r="E3550" s="1" t="inlineStr">
        <is>
          <t>ОБЩЕСТВО С ОГРАНИЧЕННОЙ ОТВЕТСТВЕННОСТЬЮ "АМУР ЗОЛОТО"</t>
        </is>
      </c>
      <c r="F3550" s="1" t="inlineStr">
        <is>
          <t>2708001686</t>
        </is>
      </c>
      <c r="G3550" s="1" t="inlineStr">
        <is>
          <t>Контролер продукции обогащения</t>
        </is>
      </c>
      <c r="H3550" s="1" t="inlineStr">
        <is>
          <t>ООО "Амур Золото"</t>
        </is>
      </c>
      <c r="I3550" s="1" t="inlineStr">
        <is>
          <t>2708001686</t>
        </is>
      </c>
      <c r="J3550" s="1" t="inlineStr">
        <is>
          <t>ЮГОК ОТК 26-10</t>
        </is>
      </c>
      <c r="K3550"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550" s="1" t="inlineStr">
        <is>
          <t>27.08.2026</t>
        </is>
      </c>
      <c r="M3550" s="1" t="inlineStr">
        <is>
          <t>Успешно</t>
        </is>
      </c>
      <c r="N3550" s="1" t="inlineStr">
        <is>
          <t>21.09.2026</t>
        </is>
      </c>
      <c r="O3550" s="1" t="inlineStr"/>
      <c r="P3550" s="1" t="inlineStr"/>
      <c r="Q3550" s="1" t="inlineStr">
        <is>
          <t>Пользовательский интерфейс</t>
        </is>
      </c>
    </row>
    <row r="3551">
      <c r="B3551" s="1" t="inlineStr">
        <is>
          <t>223283056</t>
        </is>
      </c>
      <c r="C3551" s="1" t="inlineStr">
        <is>
          <t>15995643</t>
        </is>
      </c>
      <c r="D3551" t="inlineStr">
        <is>
          <t>работник 606</t>
        </is>
      </c>
      <c r="E3551" s="1" t="inlineStr">
        <is>
          <t>ОБЩЕСТВО С ОГРАНИЧЕННОЙ ОТВЕТСТВЕННОСТЬЮ "АМУР ЗОЛОТО"</t>
        </is>
      </c>
      <c r="F3551" s="1" t="inlineStr">
        <is>
          <t>2708001686</t>
        </is>
      </c>
      <c r="G3551" s="1" t="inlineStr">
        <is>
          <t>Лаборант химического анализа</t>
        </is>
      </c>
      <c r="H3551" s="1" t="inlineStr">
        <is>
          <t>ООО "Амур Золото"</t>
        </is>
      </c>
      <c r="I3551" s="1" t="inlineStr">
        <is>
          <t>2708001686</t>
        </is>
      </c>
      <c r="J3551" s="1" t="inlineStr">
        <is>
          <t>ЮГОК ПАЛ 26-12</t>
        </is>
      </c>
      <c r="K3551" s="1" t="inlineStr">
        <is>
          <t>Оказание первой помощи пострадавшим</t>
        </is>
      </c>
      <c r="L3551" s="1" t="inlineStr">
        <is>
          <t>09.09.2026</t>
        </is>
      </c>
      <c r="M3551" s="1" t="inlineStr">
        <is>
          <t>Успешно</t>
        </is>
      </c>
      <c r="N3551" s="1" t="inlineStr">
        <is>
          <t>21.09.2026</t>
        </is>
      </c>
      <c r="O3551" s="1" t="inlineStr"/>
      <c r="P3551" s="1" t="inlineStr"/>
      <c r="Q3551" s="1" t="inlineStr">
        <is>
          <t>Пользовательский интерфейс</t>
        </is>
      </c>
    </row>
    <row r="3552">
      <c r="B3552" s="1" t="inlineStr">
        <is>
          <t>223283057</t>
        </is>
      </c>
      <c r="C3552" s="1" t="inlineStr">
        <is>
          <t>15995643</t>
        </is>
      </c>
      <c r="D3552" t="inlineStr">
        <is>
          <t>работник 606</t>
        </is>
      </c>
      <c r="E3552" s="1" t="inlineStr">
        <is>
          <t>ОБЩЕСТВО С ОГРАНИЧЕННОЙ ОТВЕТСТВЕННОСТЬЮ "АМУР ЗОЛОТО"</t>
        </is>
      </c>
      <c r="F3552" s="1" t="inlineStr">
        <is>
          <t>2708001686</t>
        </is>
      </c>
      <c r="G3552" s="1" t="inlineStr">
        <is>
          <t>Лаборант химического анализа</t>
        </is>
      </c>
      <c r="H3552" s="1" t="inlineStr">
        <is>
          <t>ООО "Амур Золото"</t>
        </is>
      </c>
      <c r="I3552" s="1" t="inlineStr">
        <is>
          <t>2708001686</t>
        </is>
      </c>
      <c r="J3552" s="1" t="inlineStr">
        <is>
          <t>ЮГОК ПАЛ 26-12</t>
        </is>
      </c>
      <c r="K3552" s="1" t="inlineStr">
        <is>
          <t>Использование (применение) средств индивидуальной защиты</t>
        </is>
      </c>
      <c r="L3552" s="1" t="inlineStr">
        <is>
          <t>09.09.2026</t>
        </is>
      </c>
      <c r="M3552" s="1" t="inlineStr">
        <is>
          <t>Успешно</t>
        </is>
      </c>
      <c r="N3552" s="1" t="inlineStr">
        <is>
          <t>21.09.2026</t>
        </is>
      </c>
      <c r="O3552" s="1" t="inlineStr"/>
      <c r="P3552" s="1" t="inlineStr"/>
      <c r="Q3552" s="1" t="inlineStr">
        <is>
          <t>Пользовательский интерфейс</t>
        </is>
      </c>
    </row>
    <row r="3553">
      <c r="B3553" s="1" t="inlineStr">
        <is>
          <t>223283058</t>
        </is>
      </c>
      <c r="C3553" s="1" t="inlineStr">
        <is>
          <t>15995643</t>
        </is>
      </c>
      <c r="D3553" t="inlineStr">
        <is>
          <t>работник 606</t>
        </is>
      </c>
      <c r="E3553" s="1" t="inlineStr">
        <is>
          <t>ОБЩЕСТВО С ОГРАНИЧЕННОЙ ОТВЕТСТВЕННОСТЬЮ "АМУР ЗОЛОТО"</t>
        </is>
      </c>
      <c r="F3553" s="1" t="inlineStr">
        <is>
          <t>2708001686</t>
        </is>
      </c>
      <c r="G3553" s="1" t="inlineStr">
        <is>
          <t>Лаборант химического анализа</t>
        </is>
      </c>
      <c r="H3553" s="1" t="inlineStr">
        <is>
          <t>ООО "Амур Золото"</t>
        </is>
      </c>
      <c r="I3553" s="1" t="inlineStr">
        <is>
          <t>2708001686</t>
        </is>
      </c>
      <c r="J3553" s="1" t="inlineStr">
        <is>
          <t>ЮГОК ПАЛ 26-12</t>
        </is>
      </c>
      <c r="K3553"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553" s="1" t="inlineStr">
        <is>
          <t>09.09.2026</t>
        </is>
      </c>
      <c r="M3553" s="1" t="inlineStr">
        <is>
          <t>Успешно</t>
        </is>
      </c>
      <c r="N3553" s="1" t="inlineStr">
        <is>
          <t>21.09.2026</t>
        </is>
      </c>
      <c r="O3553" s="1" t="inlineStr"/>
      <c r="P3553" s="1" t="inlineStr"/>
      <c r="Q3553" s="1" t="inlineStr">
        <is>
          <t>Пользовательский интерфейс</t>
        </is>
      </c>
    </row>
    <row r="3554">
      <c r="B3554" s="1" t="inlineStr">
        <is>
          <t>223283059</t>
        </is>
      </c>
      <c r="C3554" s="1" t="inlineStr">
        <is>
          <t>15995643</t>
        </is>
      </c>
      <c r="D3554" t="inlineStr">
        <is>
          <t>работник 544</t>
        </is>
      </c>
      <c r="E3554" s="1" t="inlineStr">
        <is>
          <t>ОБЩЕСТВО С ОГРАНИЧЕННОЙ ОТВЕТСТВЕННОСТЬЮ "АМУР ЗОЛОТО"</t>
        </is>
      </c>
      <c r="F3554" s="1" t="inlineStr">
        <is>
          <t>2708001686</t>
        </is>
      </c>
      <c r="G3554" s="1" t="inlineStr">
        <is>
          <t>Дробильщик</t>
        </is>
      </c>
      <c r="H3554" s="1" t="inlineStr">
        <is>
          <t>ООО "Амур Золото"</t>
        </is>
      </c>
      <c r="I3554" s="1" t="inlineStr">
        <is>
          <t>2708001686</t>
        </is>
      </c>
      <c r="J3554" s="1" t="inlineStr">
        <is>
          <t>ЮГОК ПАЛ 26-13</t>
        </is>
      </c>
      <c r="K3554" s="1" t="inlineStr">
        <is>
          <t>Оказание первой помощи пострадавшим</t>
        </is>
      </c>
      <c r="L3554" s="1" t="inlineStr">
        <is>
          <t>09.09.2026</t>
        </is>
      </c>
      <c r="M3554" s="1" t="inlineStr">
        <is>
          <t>Успешно</t>
        </is>
      </c>
      <c r="N3554" s="1" t="inlineStr">
        <is>
          <t>21.09.2026</t>
        </is>
      </c>
      <c r="O3554" s="1" t="inlineStr"/>
      <c r="P3554" s="1" t="inlineStr"/>
      <c r="Q3554" s="1" t="inlineStr">
        <is>
          <t>Пользовательский интерфейс</t>
        </is>
      </c>
    </row>
    <row r="3555">
      <c r="B3555" s="1" t="inlineStr">
        <is>
          <t>223283060</t>
        </is>
      </c>
      <c r="C3555" s="1" t="inlineStr">
        <is>
          <t>15995643</t>
        </is>
      </c>
      <c r="D3555" t="inlineStr">
        <is>
          <t>работник 544</t>
        </is>
      </c>
      <c r="E3555" s="1" t="inlineStr">
        <is>
          <t>ОБЩЕСТВО С ОГРАНИЧЕННОЙ ОТВЕТСТВЕННОСТЬЮ "АМУР ЗОЛОТО"</t>
        </is>
      </c>
      <c r="F3555" s="1" t="inlineStr">
        <is>
          <t>2708001686</t>
        </is>
      </c>
      <c r="G3555" s="1" t="inlineStr">
        <is>
          <t>Дробильщик</t>
        </is>
      </c>
      <c r="H3555" s="1" t="inlineStr">
        <is>
          <t>ООО "Амур Золото"</t>
        </is>
      </c>
      <c r="I3555" s="1" t="inlineStr">
        <is>
          <t>2708001686</t>
        </is>
      </c>
      <c r="J3555" s="1" t="inlineStr">
        <is>
          <t>ЮГОК ПАЛ 26-13</t>
        </is>
      </c>
      <c r="K3555" s="1" t="inlineStr">
        <is>
          <t>Использование (применение) средств индивидуальной защиты</t>
        </is>
      </c>
      <c r="L3555" s="1" t="inlineStr">
        <is>
          <t>09.09.2026</t>
        </is>
      </c>
      <c r="M3555" s="1" t="inlineStr">
        <is>
          <t>Успешно</t>
        </is>
      </c>
      <c r="N3555" s="1" t="inlineStr">
        <is>
          <t>21.09.2026</t>
        </is>
      </c>
      <c r="O3555" s="1" t="inlineStr"/>
      <c r="P3555" s="1" t="inlineStr"/>
      <c r="Q3555" s="1" t="inlineStr">
        <is>
          <t>Пользовательский интерфейс</t>
        </is>
      </c>
    </row>
    <row r="3556">
      <c r="B3556" s="1" t="inlineStr">
        <is>
          <t>223283061</t>
        </is>
      </c>
      <c r="C3556" s="1" t="inlineStr">
        <is>
          <t>15995643</t>
        </is>
      </c>
      <c r="D3556" t="inlineStr">
        <is>
          <t>работник 544</t>
        </is>
      </c>
      <c r="E3556" s="1" t="inlineStr">
        <is>
          <t>ОБЩЕСТВО С ОГРАНИЧЕННОЙ ОТВЕТСТВЕННОСТЬЮ "АМУР ЗОЛОТО"</t>
        </is>
      </c>
      <c r="F3556" s="1" t="inlineStr">
        <is>
          <t>2708001686</t>
        </is>
      </c>
      <c r="G3556" s="1" t="inlineStr">
        <is>
          <t>Дробильщик</t>
        </is>
      </c>
      <c r="H3556" s="1" t="inlineStr">
        <is>
          <t>ООО "Амур Золото"</t>
        </is>
      </c>
      <c r="I3556" s="1" t="inlineStr">
        <is>
          <t>2708001686</t>
        </is>
      </c>
      <c r="J3556" s="1" t="inlineStr">
        <is>
          <t>ЮГОК ПАЛ 26-13</t>
        </is>
      </c>
      <c r="K3556"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556" s="1" t="inlineStr">
        <is>
          <t>09.09.2026</t>
        </is>
      </c>
      <c r="M3556" s="1" t="inlineStr">
        <is>
          <t>Успешно</t>
        </is>
      </c>
      <c r="N3556" s="1" t="inlineStr">
        <is>
          <t>21.09.2026</t>
        </is>
      </c>
      <c r="O3556" s="1" t="inlineStr"/>
      <c r="P3556" s="1" t="inlineStr"/>
      <c r="Q3556" s="1" t="inlineStr">
        <is>
          <t>Пользовательский интерфейс</t>
        </is>
      </c>
    </row>
    <row r="3557">
      <c r="B3557" s="1" t="inlineStr">
        <is>
          <t>223283062</t>
        </is>
      </c>
      <c r="C3557" s="1" t="inlineStr">
        <is>
          <t>15995643</t>
        </is>
      </c>
      <c r="D3557" t="inlineStr">
        <is>
          <t>работник 238</t>
        </is>
      </c>
      <c r="E3557" s="1" t="inlineStr">
        <is>
          <t>ОБЩЕСТВО С ОГРАНИЧЕННОЙ ОТВЕТСТВЕННОСТЬЮ "АМУР ЗОЛОТО"</t>
        </is>
      </c>
      <c r="F3557" s="1" t="inlineStr">
        <is>
          <t>2708001686</t>
        </is>
      </c>
      <c r="G3557" s="1" t="inlineStr">
        <is>
          <t>Лаборант пробирного анализа</t>
        </is>
      </c>
      <c r="H3557" s="1" t="inlineStr">
        <is>
          <t>ООО "Амур Золото"</t>
        </is>
      </c>
      <c r="I3557" s="1" t="inlineStr">
        <is>
          <t>2708001686</t>
        </is>
      </c>
      <c r="J3557" s="1" t="inlineStr">
        <is>
          <t>ЮГОК ПАЛ 26-14</t>
        </is>
      </c>
      <c r="K3557" s="1" t="inlineStr">
        <is>
          <t>Оказание первой помощи пострадавшим</t>
        </is>
      </c>
      <c r="L3557" s="1" t="inlineStr">
        <is>
          <t>17.09.2026</t>
        </is>
      </c>
      <c r="M3557" s="1" t="inlineStr">
        <is>
          <t>Успешно</t>
        </is>
      </c>
      <c r="N3557" s="1" t="inlineStr">
        <is>
          <t>21.09.2026</t>
        </is>
      </c>
      <c r="O3557" s="1" t="inlineStr"/>
      <c r="P3557" s="1" t="inlineStr"/>
      <c r="Q3557" s="1" t="inlineStr">
        <is>
          <t>Пользовательский интерфейс</t>
        </is>
      </c>
    </row>
    <row r="3558">
      <c r="B3558" s="1" t="inlineStr">
        <is>
          <t>223283063</t>
        </is>
      </c>
      <c r="C3558" s="1" t="inlineStr">
        <is>
          <t>15995643</t>
        </is>
      </c>
      <c r="D3558" t="inlineStr">
        <is>
          <t>работник 238</t>
        </is>
      </c>
      <c r="E3558" s="1" t="inlineStr">
        <is>
          <t>ОБЩЕСТВО С ОГРАНИЧЕННОЙ ОТВЕТСТВЕННОСТЬЮ "АМУР ЗОЛОТО"</t>
        </is>
      </c>
      <c r="F3558" s="1" t="inlineStr">
        <is>
          <t>2708001686</t>
        </is>
      </c>
      <c r="G3558" s="1" t="inlineStr">
        <is>
          <t>Лаборант пробирного анализа</t>
        </is>
      </c>
      <c r="H3558" s="1" t="inlineStr">
        <is>
          <t>ООО "Амур Золото"</t>
        </is>
      </c>
      <c r="I3558" s="1" t="inlineStr">
        <is>
          <t>2708001686</t>
        </is>
      </c>
      <c r="J3558" s="1" t="inlineStr">
        <is>
          <t>ЮГОК ПАЛ 26-14</t>
        </is>
      </c>
      <c r="K3558" s="1" t="inlineStr">
        <is>
          <t>Использование (применение) средств индивидуальной защиты</t>
        </is>
      </c>
      <c r="L3558" s="1" t="inlineStr">
        <is>
          <t>17.09.2026</t>
        </is>
      </c>
      <c r="M3558" s="1" t="inlineStr">
        <is>
          <t>Успешно</t>
        </is>
      </c>
      <c r="N3558" s="1" t="inlineStr">
        <is>
          <t>21.09.2026</t>
        </is>
      </c>
      <c r="O3558" s="1" t="inlineStr"/>
      <c r="P3558" s="1" t="inlineStr"/>
      <c r="Q3558" s="1" t="inlineStr">
        <is>
          <t>Пользовательский интерфейс</t>
        </is>
      </c>
    </row>
    <row r="3559">
      <c r="B3559" s="1" t="inlineStr">
        <is>
          <t>223283064</t>
        </is>
      </c>
      <c r="C3559" s="1" t="inlineStr">
        <is>
          <t>15995643</t>
        </is>
      </c>
      <c r="D3559" t="inlineStr">
        <is>
          <t>работник 238</t>
        </is>
      </c>
      <c r="E3559" s="1" t="inlineStr">
        <is>
          <t>ОБЩЕСТВО С ОГРАНИЧЕННОЙ ОТВЕТСТВЕННОСТЬЮ "АМУР ЗОЛОТО"</t>
        </is>
      </c>
      <c r="F3559" s="1" t="inlineStr">
        <is>
          <t>2708001686</t>
        </is>
      </c>
      <c r="G3559" s="1" t="inlineStr">
        <is>
          <t>Лаборант пробирного анализа</t>
        </is>
      </c>
      <c r="H3559" s="1" t="inlineStr">
        <is>
          <t>ООО "Амур Золото"</t>
        </is>
      </c>
      <c r="I3559" s="1" t="inlineStr">
        <is>
          <t>2708001686</t>
        </is>
      </c>
      <c r="J3559" s="1" t="inlineStr">
        <is>
          <t>ЮГОК ПАЛ 26-14</t>
        </is>
      </c>
      <c r="K3559"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559" s="1" t="inlineStr">
        <is>
          <t>17.09.2026</t>
        </is>
      </c>
      <c r="M3559" s="1" t="inlineStr">
        <is>
          <t>Успешно</t>
        </is>
      </c>
      <c r="N3559" s="1" t="inlineStr">
        <is>
          <t>21.09.2026</t>
        </is>
      </c>
      <c r="O3559" s="1" t="inlineStr"/>
      <c r="P3559" s="1" t="inlineStr"/>
      <c r="Q3559" s="1" t="inlineStr">
        <is>
          <t>Пользовательский интерфейс</t>
        </is>
      </c>
    </row>
    <row r="3560">
      <c r="B3560" s="1" t="inlineStr">
        <is>
          <t>223283065</t>
        </is>
      </c>
      <c r="C3560" s="1" t="inlineStr">
        <is>
          <t>15995643</t>
        </is>
      </c>
      <c r="D3560" t="inlineStr">
        <is>
          <t>работник 620</t>
        </is>
      </c>
      <c r="E3560" s="1" t="inlineStr">
        <is>
          <t>ОБЩЕСТВО С ОГРАНИЧЕННОЙ ОТВЕТСТВЕННОСТЬЮ "АМУР ЗОЛОТО"</t>
        </is>
      </c>
      <c r="F3560" s="1" t="inlineStr">
        <is>
          <t>2708001686</t>
        </is>
      </c>
      <c r="G3560" s="1" t="inlineStr">
        <is>
          <t>Машинист двигателей внутреннего сгорания</t>
        </is>
      </c>
      <c r="H3560" s="1" t="inlineStr">
        <is>
          <t>ООО "Амур Золото"</t>
        </is>
      </c>
      <c r="I3560" s="1" t="inlineStr">
        <is>
          <t>2708001686</t>
        </is>
      </c>
      <c r="J3560" s="1" t="inlineStr">
        <is>
          <t>ЮГОК ЭУ 26-26</t>
        </is>
      </c>
      <c r="K3560" s="1" t="inlineStr">
        <is>
          <t>Оказание первой помощи пострадавшим</t>
        </is>
      </c>
      <c r="L3560" s="1" t="inlineStr">
        <is>
          <t>26.08.2026</t>
        </is>
      </c>
      <c r="M3560" s="1" t="inlineStr">
        <is>
          <t>Успешно</t>
        </is>
      </c>
      <c r="N3560" s="1" t="inlineStr">
        <is>
          <t>21.09.2026</t>
        </is>
      </c>
      <c r="O3560" s="1" t="inlineStr"/>
      <c r="P3560" s="1" t="inlineStr"/>
      <c r="Q3560" s="1" t="inlineStr">
        <is>
          <t>Пользовательский интерфейс</t>
        </is>
      </c>
    </row>
    <row r="3561">
      <c r="B3561" s="1" t="inlineStr">
        <is>
          <t>223283066</t>
        </is>
      </c>
      <c r="C3561" s="1" t="inlineStr">
        <is>
          <t>15995643</t>
        </is>
      </c>
      <c r="D3561" t="inlineStr">
        <is>
          <t>работник 620</t>
        </is>
      </c>
      <c r="E3561" s="1" t="inlineStr">
        <is>
          <t>ОБЩЕСТВО С ОГРАНИЧЕННОЙ ОТВЕТСТВЕННОСТЬЮ "АМУР ЗОЛОТО"</t>
        </is>
      </c>
      <c r="F3561" s="1" t="inlineStr">
        <is>
          <t>2708001686</t>
        </is>
      </c>
      <c r="G3561" s="1" t="inlineStr">
        <is>
          <t>Машинист двигателей внутреннего сгорания</t>
        </is>
      </c>
      <c r="H3561" s="1" t="inlineStr">
        <is>
          <t>ООО "Амур Золото"</t>
        </is>
      </c>
      <c r="I3561" s="1" t="inlineStr">
        <is>
          <t>2708001686</t>
        </is>
      </c>
      <c r="J3561" s="1" t="inlineStr">
        <is>
          <t>ЮГОК ЭУ 26-26</t>
        </is>
      </c>
      <c r="K3561" s="1" t="inlineStr">
        <is>
          <t>Использование (применение) средств индивидуальной защиты</t>
        </is>
      </c>
      <c r="L3561" s="1" t="inlineStr">
        <is>
          <t>26.08.2026</t>
        </is>
      </c>
      <c r="M3561" s="1" t="inlineStr">
        <is>
          <t>Успешно</t>
        </is>
      </c>
      <c r="N3561" s="1" t="inlineStr">
        <is>
          <t>21.09.2026</t>
        </is>
      </c>
      <c r="O3561" s="1" t="inlineStr"/>
      <c r="P3561" s="1" t="inlineStr"/>
      <c r="Q3561" s="1" t="inlineStr">
        <is>
          <t>Пользовательский интерфейс</t>
        </is>
      </c>
    </row>
    <row r="3562">
      <c r="B3562" s="1" t="inlineStr">
        <is>
          <t>223283067</t>
        </is>
      </c>
      <c r="C3562" s="1" t="inlineStr">
        <is>
          <t>15995643</t>
        </is>
      </c>
      <c r="D3562" t="inlineStr">
        <is>
          <t>работник 620</t>
        </is>
      </c>
      <c r="E3562" s="1" t="inlineStr">
        <is>
          <t>ОБЩЕСТВО С ОГРАНИЧЕННОЙ ОТВЕТСТВЕННОСТЬЮ "АМУР ЗОЛОТО"</t>
        </is>
      </c>
      <c r="F3562" s="1" t="inlineStr">
        <is>
          <t>2708001686</t>
        </is>
      </c>
      <c r="G3562" s="1" t="inlineStr">
        <is>
          <t>Машинист двигателей внутреннего сгорания</t>
        </is>
      </c>
      <c r="H3562" s="1" t="inlineStr">
        <is>
          <t>ООО "Амур Золото"</t>
        </is>
      </c>
      <c r="I3562" s="1" t="inlineStr">
        <is>
          <t>2708001686</t>
        </is>
      </c>
      <c r="J3562" s="1" t="inlineStr">
        <is>
          <t>ЮГОК ЭУ 26-26</t>
        </is>
      </c>
      <c r="K3562"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562" s="1" t="inlineStr">
        <is>
          <t>26.08.2026</t>
        </is>
      </c>
      <c r="M3562" s="1" t="inlineStr">
        <is>
          <t>Успешно</t>
        </is>
      </c>
      <c r="N3562" s="1" t="inlineStr">
        <is>
          <t>21.09.2026</t>
        </is>
      </c>
      <c r="O3562" s="1" t="inlineStr"/>
      <c r="P3562" s="1" t="inlineStr"/>
      <c r="Q3562" s="1" t="inlineStr">
        <is>
          <t>Пользовательский интерфейс</t>
        </is>
      </c>
    </row>
    <row r="3563">
      <c r="B3563" s="1" t="inlineStr">
        <is>
          <t>223283068</t>
        </is>
      </c>
      <c r="C3563" s="1" t="inlineStr">
        <is>
          <t>15995643</t>
        </is>
      </c>
      <c r="D3563" t="inlineStr">
        <is>
          <t>работник 71</t>
        </is>
      </c>
      <c r="E3563" s="1" t="inlineStr">
        <is>
          <t>ОБЩЕСТВО С ОГРАНИЧЕННОЙ ОТВЕТСТВЕННОСТЬЮ "АМУР ЗОЛОТО"</t>
        </is>
      </c>
      <c r="F3563" s="1" t="inlineStr">
        <is>
          <t>2708001686</t>
        </is>
      </c>
      <c r="G3563" s="1" t="inlineStr">
        <is>
          <t>Оператор дизельных котлов</t>
        </is>
      </c>
      <c r="H3563" s="1" t="inlineStr">
        <is>
          <t>ООО "Амур Золото"</t>
        </is>
      </c>
      <c r="I3563" s="1" t="inlineStr">
        <is>
          <t>2708001686</t>
        </is>
      </c>
      <c r="J3563" s="1" t="inlineStr">
        <is>
          <t>ЮГОК ЭУ 26-27</t>
        </is>
      </c>
      <c r="K3563" s="1" t="inlineStr">
        <is>
          <t>Оказание первой помощи пострадавшим</t>
        </is>
      </c>
      <c r="L3563" s="1" t="inlineStr">
        <is>
          <t>26.08.2026</t>
        </is>
      </c>
      <c r="M3563" s="1" t="inlineStr">
        <is>
          <t>Успешно</t>
        </is>
      </c>
      <c r="N3563" s="1" t="inlineStr">
        <is>
          <t>21.09.2026</t>
        </is>
      </c>
      <c r="O3563" s="1" t="inlineStr"/>
      <c r="P3563" s="1" t="inlineStr"/>
      <c r="Q3563" s="1" t="inlineStr">
        <is>
          <t>Пользовательский интерфейс</t>
        </is>
      </c>
    </row>
    <row r="3564">
      <c r="B3564" s="1" t="inlineStr">
        <is>
          <t>223283069</t>
        </is>
      </c>
      <c r="C3564" s="1" t="inlineStr">
        <is>
          <t>15995643</t>
        </is>
      </c>
      <c r="D3564" t="inlineStr">
        <is>
          <t>работник 71</t>
        </is>
      </c>
      <c r="E3564" s="1" t="inlineStr">
        <is>
          <t>ОБЩЕСТВО С ОГРАНИЧЕННОЙ ОТВЕТСТВЕННОСТЬЮ "АМУР ЗОЛОТО"</t>
        </is>
      </c>
      <c r="F3564" s="1" t="inlineStr">
        <is>
          <t>2708001686</t>
        </is>
      </c>
      <c r="G3564" s="1" t="inlineStr">
        <is>
          <t>Оператор дизельных котлов</t>
        </is>
      </c>
      <c r="H3564" s="1" t="inlineStr">
        <is>
          <t>ООО "Амур Золото"</t>
        </is>
      </c>
      <c r="I3564" s="1" t="inlineStr">
        <is>
          <t>2708001686</t>
        </is>
      </c>
      <c r="J3564" s="1" t="inlineStr">
        <is>
          <t>ЮГОК ЭУ 26-27</t>
        </is>
      </c>
      <c r="K3564" s="1" t="inlineStr">
        <is>
          <t>Использование (применение) средств индивидуальной защиты</t>
        </is>
      </c>
      <c r="L3564" s="1" t="inlineStr">
        <is>
          <t>26.08.2026</t>
        </is>
      </c>
      <c r="M3564" s="1" t="inlineStr">
        <is>
          <t>Успешно</t>
        </is>
      </c>
      <c r="N3564" s="1" t="inlineStr">
        <is>
          <t>21.09.2026</t>
        </is>
      </c>
      <c r="O3564" s="1" t="inlineStr"/>
      <c r="P3564" s="1" t="inlineStr"/>
      <c r="Q3564" s="1" t="inlineStr">
        <is>
          <t>Пользовательский интерфейс</t>
        </is>
      </c>
    </row>
    <row r="3565">
      <c r="B3565" s="1" t="inlineStr">
        <is>
          <t>223283070</t>
        </is>
      </c>
      <c r="C3565" s="1" t="inlineStr">
        <is>
          <t>15995643</t>
        </is>
      </c>
      <c r="D3565" t="inlineStr">
        <is>
          <t>работник 71</t>
        </is>
      </c>
      <c r="E3565" s="1" t="inlineStr">
        <is>
          <t>ОБЩЕСТВО С ОГРАНИЧЕННОЙ ОТВЕТСТВЕННОСТЬЮ "АМУР ЗОЛОТО"</t>
        </is>
      </c>
      <c r="F3565" s="1" t="inlineStr">
        <is>
          <t>2708001686</t>
        </is>
      </c>
      <c r="G3565" s="1" t="inlineStr">
        <is>
          <t>Оператор дизельных котлов</t>
        </is>
      </c>
      <c r="H3565" s="1" t="inlineStr">
        <is>
          <t>ООО "Амур Золото"</t>
        </is>
      </c>
      <c r="I3565" s="1" t="inlineStr">
        <is>
          <t>2708001686</t>
        </is>
      </c>
      <c r="J3565" s="1" t="inlineStr">
        <is>
          <t>ЮГОК ЭУ 26-27</t>
        </is>
      </c>
      <c r="K3565" s="1" t="inlineStr">
        <is>
          <t>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L3565" s="1" t="inlineStr">
        <is>
          <t>26.08.2026</t>
        </is>
      </c>
      <c r="M3565" s="1" t="inlineStr">
        <is>
          <t>Успешно</t>
        </is>
      </c>
      <c r="N3565" s="1" t="inlineStr">
        <is>
          <t>21.09.2026</t>
        </is>
      </c>
      <c r="O3565" s="1" t="inlineStr"/>
      <c r="P3565" s="1" t="inlineStr"/>
      <c r="Q3565" s="1" t="inlineStr">
        <is>
          <t>Пользовательский интерфейс</t>
        </is>
      </c>
    </row>
  </sheetData>
  <autoFilter ref="B1:S3565"/>
  <pageMargins left="0.75" right="0.75" top="1" bottom="1" header="0.5" footer="0.5"/>
</worksheet>
</file>

<file path=xl/worksheets/sheet2.xml><?xml version="1.0" encoding="utf-8"?>
<worksheet xmlns="http://schemas.openxmlformats.org/spreadsheetml/2006/main">
  <sheetPr>
    <tabColor rgb="0014532D"/>
    <outlinePr summaryBelow="1" summaryRight="1"/>
    <pageSetUpPr fitToPage="1"/>
  </sheetPr>
  <dimension ref="A1:Y1197"/>
  <sheetViews>
    <sheetView showGridLines="0" zoomScale="110" workbookViewId="0">
      <pane xSplit="2" ySplit="1" topLeftCell="C2" activePane="bottomRight" state="frozen"/>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28" customWidth="1" min="1" max="1"/>
    <col width="42" customWidth="1" min="2" max="2"/>
    <col width="38" customWidth="1" min="3" max="3"/>
    <col width="18" customWidth="1" min="4" max="4"/>
    <col width="38" customWidth="1" min="5" max="5"/>
    <col width="18" customWidth="1" min="6" max="6"/>
    <col width="14" customWidth="1" min="7" max="7"/>
    <col width="16" customWidth="1" min="8" max="8"/>
    <col width="18" customWidth="1" min="9" max="9"/>
    <col width="24" customWidth="1" min="10" max="10"/>
    <col width="14" customWidth="1" min="11" max="11"/>
    <col width="7" customWidth="1" min="12" max="12"/>
    <col width="7" customWidth="1" min="13" max="13"/>
    <col width="7" customWidth="1" min="14" max="14"/>
    <col width="7" customWidth="1" min="15" max="15"/>
    <col width="7" customWidth="1" min="16" max="16"/>
    <col width="7" customWidth="1" min="17" max="17"/>
    <col width="7" customWidth="1" min="18" max="18"/>
    <col width="7" customWidth="1" min="19" max="19"/>
    <col width="7" customWidth="1" min="20" max="20"/>
    <col width="7" customWidth="1" min="21" max="21"/>
    <col width="7" customWidth="1" min="22" max="22"/>
    <col width="7" customWidth="1" min="23" max="23"/>
    <col width="7" customWidth="1" min="24" max="24"/>
    <col width="7" customWidth="1" min="25" max="25"/>
    <col width="7" customWidth="1" min="26" max="26"/>
    <col width="7" customWidth="1" min="27" max="27"/>
  </cols>
  <sheetData>
    <row r="1" ht="160" customHeight="1">
      <c r="A1" s="135" t="inlineStr">
        <is>
          <t>FIO</t>
        </is>
      </c>
      <c r="B1" s="135" t="inlineStr">
        <is>
          <t>Должность</t>
        </is>
      </c>
      <c r="C1" s="135" t="inlineStr">
        <is>
          <t>Наименование работодателя</t>
        </is>
      </c>
      <c r="D1" s="135" t="inlineStr">
        <is>
          <t>ИНН работодателя</t>
        </is>
      </c>
      <c r="E1" s="135" t="inlineStr">
        <is>
          <t>Наименование организации проводившей обучение</t>
        </is>
      </c>
      <c r="F1" s="135" t="inlineStr">
        <is>
          <t>ИНН организации проводившей обучение</t>
        </is>
      </c>
      <c r="G1" s="135" t="inlineStr">
        <is>
          <t>Результат</t>
        </is>
      </c>
      <c r="H1" s="135" t="inlineStr">
        <is>
          <t>Аннулировано</t>
        </is>
      </c>
      <c r="I1" s="135" t="inlineStr">
        <is>
          <t>Дата аннулирования</t>
        </is>
      </c>
      <c r="J1" s="135" t="inlineStr">
        <is>
          <t>Источник отправки</t>
        </is>
      </c>
      <c r="K1" s="135" t="inlineStr">
        <is>
          <t>Записей в реестре</t>
        </is>
      </c>
      <c r="L1" s="136" t="inlineStr">
        <is>
          <t>46а. Общие вопросы охраны труда</t>
        </is>
      </c>
      <c r="M1" s="136" t="inlineStr">
        <is>
          <t>46б. Безопасные методы при вредных и опасных факторах</t>
        </is>
      </c>
      <c r="N1" s="136" t="inlineStr">
        <is>
          <t>46в. Работы на высоте</t>
        </is>
      </c>
      <c r="O1" s="136" t="inlineStr">
        <is>
          <t>46в. Огневые работы</t>
        </is>
      </c>
      <c r="P1" s="136" t="inlineStr">
        <is>
          <t>46в. Работы в ОЗП</t>
        </is>
      </c>
      <c r="Q1" s="136" t="inlineStr">
        <is>
          <t>46в. Подъемные сооружения</t>
        </is>
      </c>
      <c r="R1" s="136" t="inlineStr">
        <is>
          <t>46в. Сосуды под давлением</t>
        </is>
      </c>
      <c r="S1" s="136" t="inlineStr">
        <is>
          <t>46в. Технологическое оборудование</t>
        </is>
      </c>
      <c r="T1" s="136" t="inlineStr">
        <is>
          <t>46в. Электроустановки</t>
        </is>
      </c>
      <c r="U1" s="136" t="inlineStr">
        <is>
          <t>46в. Строительные работы</t>
        </is>
      </c>
      <c r="V1" s="136" t="inlineStr">
        <is>
          <t>46в. Ремонт, монтаж и демонтаж зданий</t>
        </is>
      </c>
      <c r="W1" s="136" t="inlineStr">
        <is>
          <t>46в. Земляные работы</t>
        </is>
      </c>
      <c r="X1" s="136" t="inlineStr">
        <is>
          <t>Первая помощь пострадавшим</t>
        </is>
      </c>
      <c r="Y1" s="136" t="inlineStr">
        <is>
          <t>Применение СИЗ</t>
        </is>
      </c>
    </row>
    <row r="2">
      <c r="A2" s="6" t="inlineStr">
        <is>
          <t>работник 216</t>
        </is>
      </c>
      <c r="B2" s="6" t="inlineStr">
        <is>
          <t>Водитель автомобиля (категория Д)</t>
        </is>
      </c>
      <c r="C2" s="6" t="inlineStr">
        <is>
          <t>ОБЩЕСТВО С ОГРАНИЧЕННОЙ ОТВЕТСТВЕННОСТЬЮ "АМУР ЗОЛОТО"</t>
        </is>
      </c>
      <c r="D2" s="7" t="inlineStr">
        <is>
          <t>2708001686</t>
        </is>
      </c>
      <c r="E2" s="6" t="inlineStr">
        <is>
          <t>ООО "Амур Золото"</t>
        </is>
      </c>
      <c r="F2" s="7" t="inlineStr">
        <is>
          <t>2708001686</t>
        </is>
      </c>
      <c r="G2" s="7" t="inlineStr">
        <is>
          <t>Успешно</t>
        </is>
      </c>
      <c r="H2" s="6" t="n"/>
      <c r="I2" s="6" t="n"/>
      <c r="J2" s="6" t="inlineStr">
        <is>
          <t>Пользовательский интерфейс</t>
        </is>
      </c>
      <c r="K2" s="7" t="n">
        <v>3</v>
      </c>
      <c r="L2" s="8" t="n"/>
      <c r="M2" s="137" t="inlineStr">
        <is>
          <t>+</t>
        </is>
      </c>
      <c r="N2" s="8" t="n"/>
      <c r="O2" s="8" t="n"/>
      <c r="P2" s="8" t="n"/>
      <c r="Q2" s="8" t="n"/>
      <c r="R2" s="8" t="n"/>
      <c r="S2" s="8" t="n"/>
      <c r="T2" s="8" t="n"/>
      <c r="U2" s="8" t="n"/>
      <c r="V2" s="8" t="n"/>
      <c r="W2" s="8" t="n"/>
      <c r="X2" s="137" t="inlineStr">
        <is>
          <t>+</t>
        </is>
      </c>
      <c r="Y2" s="138" t="inlineStr">
        <is>
          <t>+</t>
        </is>
      </c>
    </row>
    <row r="3">
      <c r="A3" s="6" t="inlineStr">
        <is>
          <t>работник 464</t>
        </is>
      </c>
      <c r="B3" s="6" t="inlineStr">
        <is>
          <t>Водитель автомобиля (категория D)</t>
        </is>
      </c>
      <c r="C3" s="6" t="inlineStr">
        <is>
          <t>ОБЩЕСТВО С ОГРАНИЧЕННОЙ ОТВЕТСТВЕННОСТЬЮ "АМУР ЗОЛОТО"</t>
        </is>
      </c>
      <c r="D3" s="7" t="inlineStr">
        <is>
          <t>2708001686</t>
        </is>
      </c>
      <c r="E3" s="6" t="inlineStr">
        <is>
          <t>ООО "Амур Золото"</t>
        </is>
      </c>
      <c r="F3" s="7" t="inlineStr">
        <is>
          <t>2708001686</t>
        </is>
      </c>
      <c r="G3" s="7" t="inlineStr">
        <is>
          <t>Успешно</t>
        </is>
      </c>
      <c r="H3" s="6" t="n"/>
      <c r="I3" s="6" t="n"/>
      <c r="J3" s="6" t="inlineStr">
        <is>
          <t>Пользовательский интерфейс</t>
        </is>
      </c>
      <c r="K3" s="7" t="n">
        <v>2</v>
      </c>
      <c r="L3" s="8" t="n"/>
      <c r="M3" s="137" t="inlineStr">
        <is>
          <t>+</t>
        </is>
      </c>
      <c r="N3" s="8" t="n"/>
      <c r="O3" s="8" t="n"/>
      <c r="P3" s="8" t="n"/>
      <c r="Q3" s="8" t="n"/>
      <c r="R3" s="8" t="n"/>
      <c r="S3" s="8" t="n"/>
      <c r="T3" s="8" t="n"/>
      <c r="U3" s="8" t="n"/>
      <c r="V3" s="8" t="n"/>
      <c r="W3" s="8" t="n"/>
      <c r="X3" s="139" t="n"/>
      <c r="Y3" s="138" t="inlineStr">
        <is>
          <t>+</t>
        </is>
      </c>
    </row>
    <row r="4">
      <c r="A4" s="6" t="inlineStr">
        <is>
          <t>работник 406</t>
        </is>
      </c>
      <c r="B4" s="6" t="inlineStr">
        <is>
          <t>Водитель автомобиля (категория С) / Водитель автомобиля кат. С</t>
        </is>
      </c>
      <c r="C4" s="6" t="inlineStr">
        <is>
          <t>ОБЩЕСТВО С ОГРАНИЧЕННОЙ ОТВЕТСТВЕННОСТЬЮ "АМУР ЗОЛОТО"</t>
        </is>
      </c>
      <c r="D4" s="7" t="inlineStr">
        <is>
          <t>2708001686</t>
        </is>
      </c>
      <c r="E4" s="6" t="inlineStr">
        <is>
          <t>ООО "Амур Золото"</t>
        </is>
      </c>
      <c r="F4" s="7" t="inlineStr">
        <is>
          <t>2708001686</t>
        </is>
      </c>
      <c r="G4" s="7" t="inlineStr">
        <is>
          <t>Успешно</t>
        </is>
      </c>
      <c r="H4" s="6" t="n"/>
      <c r="I4" s="6" t="n"/>
      <c r="J4" s="6" t="inlineStr">
        <is>
          <t>Пользовательский интерфейс</t>
        </is>
      </c>
      <c r="K4" s="7" t="n">
        <v>5</v>
      </c>
      <c r="L4" s="8" t="n"/>
      <c r="M4" s="137" t="inlineStr">
        <is>
          <t>+</t>
        </is>
      </c>
      <c r="N4" s="8" t="n"/>
      <c r="O4" s="8" t="n"/>
      <c r="P4" s="8" t="n"/>
      <c r="Q4" s="8" t="n"/>
      <c r="R4" s="8" t="n"/>
      <c r="S4" s="8" t="n"/>
      <c r="T4" s="8" t="n"/>
      <c r="U4" s="8" t="n"/>
      <c r="V4" s="8" t="n"/>
      <c r="W4" s="8" t="n"/>
      <c r="X4" s="137" t="inlineStr">
        <is>
          <t>+</t>
        </is>
      </c>
      <c r="Y4" s="137" t="inlineStr">
        <is>
          <t>+</t>
        </is>
      </c>
    </row>
    <row r="5">
      <c r="A5" s="6" t="inlineStr">
        <is>
          <t>работник 146</t>
        </is>
      </c>
      <c r="B5" s="6" t="inlineStr">
        <is>
          <t>Проходчик (с исполнением обязанностей взрывника)</t>
        </is>
      </c>
      <c r="C5" s="6" t="inlineStr">
        <is>
          <t>ОБЩЕСТВО С ОГРАНИЧЕННОЙ ОТВЕТСТВЕННОСТЬЮ "АМУР ЗОЛОТО"</t>
        </is>
      </c>
      <c r="D5" s="7" t="inlineStr">
        <is>
          <t>2708001686</t>
        </is>
      </c>
      <c r="E5" s="6" t="inlineStr">
        <is>
          <t>ООО "Амур Золото"</t>
        </is>
      </c>
      <c r="F5" s="7" t="inlineStr">
        <is>
          <t>2708001686</t>
        </is>
      </c>
      <c r="G5" s="7" t="inlineStr">
        <is>
          <t>Успешно</t>
        </is>
      </c>
      <c r="H5" s="6" t="n"/>
      <c r="I5" s="6" t="n"/>
      <c r="J5" s="6" t="inlineStr">
        <is>
          <t>Пользовательский интерфейс</t>
        </is>
      </c>
      <c r="K5" s="7" t="n">
        <v>5</v>
      </c>
      <c r="L5" s="8" t="n"/>
      <c r="M5" s="137" t="inlineStr">
        <is>
          <t>+</t>
        </is>
      </c>
      <c r="N5" s="8" t="n"/>
      <c r="O5" s="8" t="n"/>
      <c r="P5" s="8" t="n"/>
      <c r="Q5" s="8" t="n"/>
      <c r="R5" s="8" t="n"/>
      <c r="S5" s="8" t="n"/>
      <c r="T5" s="8" t="n"/>
      <c r="U5" s="8" t="n"/>
      <c r="V5" s="8" t="n"/>
      <c r="W5" s="8" t="n"/>
      <c r="X5" s="137" t="inlineStr">
        <is>
          <t>+</t>
        </is>
      </c>
      <c r="Y5" s="137" t="inlineStr">
        <is>
          <t>+</t>
        </is>
      </c>
    </row>
    <row r="6">
      <c r="A6" s="6" t="inlineStr">
        <is>
          <t>работник 606</t>
        </is>
      </c>
      <c r="B6" s="6" t="inlineStr">
        <is>
          <t>Лаборант химического анализа / Кухонный рабочий</t>
        </is>
      </c>
      <c r="C6" s="6" t="inlineStr">
        <is>
          <t>ОБЩЕСТВО С ОГРАНИЧЕННОЙ ОТВЕТСТВЕННОСТЬЮ "АМУР ЗОЛОТО"</t>
        </is>
      </c>
      <c r="D6" s="7" t="inlineStr">
        <is>
          <t>2708001686</t>
        </is>
      </c>
      <c r="E6" s="6" t="inlineStr">
        <is>
          <t>ООО "Амур Золото"</t>
        </is>
      </c>
      <c r="F6" s="7" t="inlineStr">
        <is>
          <t>2708001686</t>
        </is>
      </c>
      <c r="G6" s="7" t="inlineStr">
        <is>
          <t>Успешно</t>
        </is>
      </c>
      <c r="H6" s="6" t="n"/>
      <c r="I6" s="6" t="n"/>
      <c r="J6" s="6" t="inlineStr">
        <is>
          <t>Пользовательский интерфейс</t>
        </is>
      </c>
      <c r="K6" s="7" t="n">
        <v>5</v>
      </c>
      <c r="L6" s="8" t="n"/>
      <c r="M6" s="137" t="inlineStr">
        <is>
          <t>+</t>
        </is>
      </c>
      <c r="N6" s="8" t="n"/>
      <c r="O6" s="8" t="n"/>
      <c r="P6" s="8" t="n"/>
      <c r="Q6" s="8" t="n"/>
      <c r="R6" s="8" t="n"/>
      <c r="S6" s="8" t="n"/>
      <c r="T6" s="8" t="n"/>
      <c r="U6" s="8" t="n"/>
      <c r="V6" s="8" t="n"/>
      <c r="W6" s="8" t="n"/>
      <c r="X6" s="137" t="inlineStr">
        <is>
          <t>+</t>
        </is>
      </c>
      <c r="Y6" s="137" t="inlineStr">
        <is>
          <t>+</t>
        </is>
      </c>
    </row>
    <row r="7">
      <c r="A7" s="6" t="inlineStr">
        <is>
          <t>работник 32</t>
        </is>
      </c>
      <c r="B7" s="6" t="inlineStr">
        <is>
          <t>Электромонтер по ремонту и обслуживанию электрооборудованию / Электромонтер по ремонту и обслуживанию электрооборудования / Проходчик (с исполнением обязанностей взрывника) / Электромантер</t>
        </is>
      </c>
      <c r="C7" s="6" t="inlineStr">
        <is>
          <t>ОБЩЕСТВО С ОГРАНИЧЕННОЙ ОТВЕТСТВЕННОСТЬЮ "АМУР ЗОЛОТО"</t>
        </is>
      </c>
      <c r="D7" s="7" t="inlineStr">
        <is>
          <t>2708001686</t>
        </is>
      </c>
      <c r="E7" s="6" t="inlineStr">
        <is>
          <t>ООО "Амур Золото"</t>
        </is>
      </c>
      <c r="F7" s="7" t="inlineStr">
        <is>
          <t>2708001686</t>
        </is>
      </c>
      <c r="G7" s="7" t="inlineStr">
        <is>
          <t>Успешно</t>
        </is>
      </c>
      <c r="H7" s="6" t="n"/>
      <c r="I7" s="6" t="n"/>
      <c r="J7" s="6" t="inlineStr">
        <is>
          <t>Пользовательский интерфейс</t>
        </is>
      </c>
      <c r="K7" s="7" t="n">
        <v>14</v>
      </c>
      <c r="L7" s="8" t="n"/>
      <c r="M7" s="137" t="inlineStr">
        <is>
          <t>+</t>
        </is>
      </c>
      <c r="N7" s="137" t="inlineStr">
        <is>
          <t>+</t>
        </is>
      </c>
      <c r="O7" s="137" t="inlineStr">
        <is>
          <t>+</t>
        </is>
      </c>
      <c r="P7" s="137" t="inlineStr">
        <is>
          <t>+</t>
        </is>
      </c>
      <c r="Q7" s="137" t="inlineStr">
        <is>
          <t>+</t>
        </is>
      </c>
      <c r="R7" s="137" t="inlineStr">
        <is>
          <t>+</t>
        </is>
      </c>
      <c r="S7" s="137" t="inlineStr">
        <is>
          <t>+</t>
        </is>
      </c>
      <c r="T7" s="137" t="inlineStr">
        <is>
          <t>+</t>
        </is>
      </c>
      <c r="U7" s="8" t="n"/>
      <c r="V7" s="8" t="n"/>
      <c r="W7" s="8" t="n"/>
      <c r="X7" s="139" t="n"/>
      <c r="Y7" s="137" t="inlineStr">
        <is>
          <t>+</t>
        </is>
      </c>
    </row>
    <row r="8">
      <c r="A8" s="6" t="inlineStr">
        <is>
          <t>работник 306</t>
        </is>
      </c>
      <c r="B8" s="6" t="inlineStr">
        <is>
          <t>Машинист  самоходной буровой установки</t>
        </is>
      </c>
      <c r="C8" s="6" t="inlineStr">
        <is>
          <t>ОБЩЕСТВО С ОГРАНИЧЕННОЙ ОТВЕТСТВЕННОСТЬЮ "АМУР ЗОЛОТО"</t>
        </is>
      </c>
      <c r="D8" s="7" t="inlineStr">
        <is>
          <t>2708001686</t>
        </is>
      </c>
      <c r="E8" s="6" t="inlineStr">
        <is>
          <t>ООО "Амур Золото"</t>
        </is>
      </c>
      <c r="F8" s="7" t="inlineStr">
        <is>
          <t>2708001686</t>
        </is>
      </c>
      <c r="G8" s="7" t="inlineStr">
        <is>
          <t>Успешно</t>
        </is>
      </c>
      <c r="H8" s="6" t="n"/>
      <c r="I8" s="6" t="n"/>
      <c r="J8" s="6" t="inlineStr">
        <is>
          <t>Пользовательский интерфейс</t>
        </is>
      </c>
      <c r="K8" s="7" t="n">
        <v>3</v>
      </c>
      <c r="L8" s="8" t="n"/>
      <c r="M8" s="137" t="inlineStr">
        <is>
          <t>+</t>
        </is>
      </c>
      <c r="N8" s="8" t="n"/>
      <c r="O8" s="8" t="n"/>
      <c r="P8" s="8" t="n"/>
      <c r="Q8" s="8" t="n"/>
      <c r="R8" s="8" t="n"/>
      <c r="S8" s="8" t="n"/>
      <c r="T8" s="8" t="n"/>
      <c r="U8" s="8" t="n"/>
      <c r="V8" s="8" t="n"/>
      <c r="W8" s="8" t="n"/>
      <c r="X8" s="137" t="inlineStr">
        <is>
          <t>+</t>
        </is>
      </c>
      <c r="Y8" s="137" t="inlineStr">
        <is>
          <t>+</t>
        </is>
      </c>
    </row>
    <row r="9">
      <c r="A9" s="6" t="inlineStr">
        <is>
          <t>работник 572</t>
        </is>
      </c>
      <c r="B9" s="6" t="inlineStr">
        <is>
          <t>Электромонтер по ремонту и обслуживанию электрооборудования</t>
        </is>
      </c>
      <c r="C9" s="6" t="inlineStr">
        <is>
          <t>ОБЩЕСТВО С ОГРАНИЧЕННОЙ ОТВЕТСТВЕННОСТЬЮ "АМУР ЗОЛОТО"</t>
        </is>
      </c>
      <c r="D9" s="7" t="inlineStr">
        <is>
          <t>2708001686</t>
        </is>
      </c>
      <c r="E9" s="6" t="inlineStr">
        <is>
          <t>ООО "Амур Золото"</t>
        </is>
      </c>
      <c r="F9" s="7" t="inlineStr">
        <is>
          <t>2708001686</t>
        </is>
      </c>
      <c r="G9" s="7" t="inlineStr">
        <is>
          <t>Успешно</t>
        </is>
      </c>
      <c r="H9" s="6" t="n"/>
      <c r="I9" s="6" t="n"/>
      <c r="J9" s="6" t="n"/>
      <c r="K9" s="7" t="n">
        <v>2</v>
      </c>
      <c r="L9" s="8" t="n"/>
      <c r="M9" s="137" t="inlineStr">
        <is>
          <t>+</t>
        </is>
      </c>
      <c r="N9" s="8" t="n"/>
      <c r="O9" s="8" t="n"/>
      <c r="P9" s="8" t="n"/>
      <c r="Q9" s="8" t="n"/>
      <c r="R9" s="8" t="n"/>
      <c r="S9" s="8" t="n"/>
      <c r="T9" s="8" t="n"/>
      <c r="U9" s="8" t="n"/>
      <c r="V9" s="8" t="n"/>
      <c r="W9" s="8" t="n"/>
      <c r="X9" s="139" t="n"/>
      <c r="Y9" s="137" t="inlineStr">
        <is>
          <t>+</t>
        </is>
      </c>
    </row>
    <row r="10">
      <c r="A10" s="6" t="inlineStr">
        <is>
          <t>работник 126</t>
        </is>
      </c>
      <c r="B10" s="6" t="inlineStr">
        <is>
          <t>Дробильщик / Дробильщики</t>
        </is>
      </c>
      <c r="C10" s="6" t="inlineStr">
        <is>
          <t>ОБЩЕСТВО С ОГРАНИЧЕННОЙ ОТВЕТСТВЕННОСТЬЮ "АМУР ЗОЛОТО"</t>
        </is>
      </c>
      <c r="D10" s="7" t="inlineStr">
        <is>
          <t>2708001686</t>
        </is>
      </c>
      <c r="E10" s="6" t="inlineStr">
        <is>
          <t>ООО "Амур Золото"</t>
        </is>
      </c>
      <c r="F10" s="7" t="inlineStr">
        <is>
          <t>2708001686</t>
        </is>
      </c>
      <c r="G10" s="7" t="inlineStr">
        <is>
          <t>Успешно</t>
        </is>
      </c>
      <c r="H10" s="6" t="n"/>
      <c r="I10" s="6" t="n"/>
      <c r="J10" s="6" t="inlineStr">
        <is>
          <t>Пользовательский интерфейс</t>
        </is>
      </c>
      <c r="K10" s="7" t="n">
        <v>6</v>
      </c>
      <c r="L10" s="8" t="n"/>
      <c r="M10" s="137" t="inlineStr">
        <is>
          <t>+</t>
        </is>
      </c>
      <c r="N10" s="8" t="n"/>
      <c r="O10" s="8" t="n"/>
      <c r="P10" s="8" t="n"/>
      <c r="Q10" s="8" t="n"/>
      <c r="R10" s="8" t="n"/>
      <c r="S10" s="8" t="n"/>
      <c r="T10" s="8" t="n"/>
      <c r="U10" s="8" t="n"/>
      <c r="V10" s="8" t="n"/>
      <c r="W10" s="8" t="n"/>
      <c r="X10" s="137" t="inlineStr">
        <is>
          <t>+</t>
        </is>
      </c>
      <c r="Y10" s="137" t="inlineStr">
        <is>
          <t>+</t>
        </is>
      </c>
    </row>
    <row r="11">
      <c r="A11" s="6" t="inlineStr">
        <is>
          <t>работник 78</t>
        </is>
      </c>
      <c r="B11" s="6" t="inlineStr">
        <is>
          <t>Электрогазосварщик (занятый на резке и ручной сварке) / Электрогазосварщик / Сварщик</t>
        </is>
      </c>
      <c r="C11" s="6" t="inlineStr">
        <is>
          <t>ОБЩЕСТВО С ОГРАНИЧЕННОЙ ОТВЕТСТВЕННОСТЬЮ "АМУР ЗОЛОТО"</t>
        </is>
      </c>
      <c r="D11" s="7" t="inlineStr">
        <is>
          <t>2708001686</t>
        </is>
      </c>
      <c r="E11" s="6" t="inlineStr">
        <is>
          <t>ООО "Амур Золото"</t>
        </is>
      </c>
      <c r="F11" s="7" t="inlineStr">
        <is>
          <t>2708001686</t>
        </is>
      </c>
      <c r="G11" s="7" t="inlineStr">
        <is>
          <t>Успешно</t>
        </is>
      </c>
      <c r="H11" s="6" t="n"/>
      <c r="I11" s="6" t="n"/>
      <c r="J11" s="6" t="inlineStr">
        <is>
          <t>Пользовательский интерфейс</t>
        </is>
      </c>
      <c r="K11" s="7" t="n">
        <v>15</v>
      </c>
      <c r="L11" s="8" t="n"/>
      <c r="M11" s="137" t="inlineStr">
        <is>
          <t>+</t>
        </is>
      </c>
      <c r="N11" s="137" t="inlineStr">
        <is>
          <t>+</t>
        </is>
      </c>
      <c r="O11" s="137" t="inlineStr">
        <is>
          <t>+</t>
        </is>
      </c>
      <c r="P11" s="8" t="n"/>
      <c r="Q11" s="8" t="n"/>
      <c r="R11" s="8" t="n"/>
      <c r="S11" s="8" t="n"/>
      <c r="T11" s="8" t="n"/>
      <c r="U11" s="137" t="inlineStr">
        <is>
          <t>+</t>
        </is>
      </c>
      <c r="V11" s="137" t="inlineStr">
        <is>
          <t>+</t>
        </is>
      </c>
      <c r="W11" s="8" t="n"/>
      <c r="X11" s="137" t="inlineStr">
        <is>
          <t>+</t>
        </is>
      </c>
      <c r="Y11" s="137" t="inlineStr">
        <is>
          <t>+</t>
        </is>
      </c>
    </row>
    <row r="12">
      <c r="A12" s="6" t="inlineStr">
        <is>
          <t>работник 666</t>
        </is>
      </c>
      <c r="B12" s="6" t="inlineStr">
        <is>
          <t>Электрослесарь (слесарь) дежурный и по ремонту оборудования</t>
        </is>
      </c>
      <c r="C12" s="6" t="inlineStr">
        <is>
          <t>ОБЩЕСТВО С ОГРАНИЧЕННОЙ ОТВЕТСТВЕННОСТЬЮ "АМУР ЗОЛОТО"</t>
        </is>
      </c>
      <c r="D12" s="7" t="inlineStr">
        <is>
          <t>2708001686</t>
        </is>
      </c>
      <c r="E12" s="6" t="inlineStr">
        <is>
          <t>ООО "Амур Золото"</t>
        </is>
      </c>
      <c r="F12" s="7" t="inlineStr">
        <is>
          <t>2708001686</t>
        </is>
      </c>
      <c r="G12" s="7" t="inlineStr">
        <is>
          <t>Успешно</t>
        </is>
      </c>
      <c r="H12" s="6" t="n"/>
      <c r="I12" s="6" t="n"/>
      <c r="J12" s="6" t="inlineStr">
        <is>
          <t>Пользовательский интерфейс</t>
        </is>
      </c>
      <c r="K12" s="7" t="n">
        <v>5</v>
      </c>
      <c r="L12" s="8" t="n"/>
      <c r="M12" s="137" t="inlineStr">
        <is>
          <t>+</t>
        </is>
      </c>
      <c r="N12" s="8" t="n"/>
      <c r="O12" s="8" t="n"/>
      <c r="P12" s="8" t="n"/>
      <c r="Q12" s="8" t="n"/>
      <c r="R12" s="8" t="n"/>
      <c r="S12" s="8" t="n"/>
      <c r="T12" s="8" t="n"/>
      <c r="U12" s="8" t="n"/>
      <c r="V12" s="8" t="n"/>
      <c r="W12" s="8" t="n"/>
      <c r="X12" s="137" t="inlineStr">
        <is>
          <t>+</t>
        </is>
      </c>
      <c r="Y12" s="137" t="inlineStr">
        <is>
          <t>+</t>
        </is>
      </c>
    </row>
    <row r="13">
      <c r="A13" s="6" t="inlineStr">
        <is>
          <t>работник 825</t>
        </is>
      </c>
      <c r="B13" s="6" t="inlineStr">
        <is>
          <t>Уборщик производственных и служебных помещений</t>
        </is>
      </c>
      <c r="C13" s="6" t="inlineStr">
        <is>
          <t>ОБЩЕСТВО С ОГРАНИЧЕННОЙ ОТВЕТСТВЕННОСТЬЮ "АМУР ЗОЛОТО"</t>
        </is>
      </c>
      <c r="D13" s="7" t="inlineStr">
        <is>
          <t>2708001686</t>
        </is>
      </c>
      <c r="E13" s="6" t="inlineStr">
        <is>
          <t>ООО "Амур Золото"</t>
        </is>
      </c>
      <c r="F13" s="7" t="inlineStr">
        <is>
          <t>2708001686</t>
        </is>
      </c>
      <c r="G13" s="7" t="inlineStr">
        <is>
          <t>Успешно</t>
        </is>
      </c>
      <c r="H13" s="6" t="n"/>
      <c r="I13" s="6" t="n"/>
      <c r="J13" s="6" t="inlineStr">
        <is>
          <t>Пользовательский интерфейс</t>
        </is>
      </c>
      <c r="K13" s="7" t="n">
        <v>2</v>
      </c>
      <c r="L13" s="8" t="n"/>
      <c r="M13" s="137" t="inlineStr">
        <is>
          <t>+</t>
        </is>
      </c>
      <c r="N13" s="8" t="n"/>
      <c r="O13" s="8" t="n"/>
      <c r="P13" s="8" t="n"/>
      <c r="Q13" s="8" t="n"/>
      <c r="R13" s="8" t="n"/>
      <c r="S13" s="8" t="n"/>
      <c r="T13" s="8" t="n"/>
      <c r="U13" s="8" t="n"/>
      <c r="V13" s="8" t="n"/>
      <c r="W13" s="8" t="n"/>
      <c r="X13" s="139" t="n"/>
      <c r="Y13" s="137" t="inlineStr">
        <is>
          <t>+</t>
        </is>
      </c>
    </row>
    <row r="14">
      <c r="A14" s="6" t="inlineStr">
        <is>
          <t>работник 147</t>
        </is>
      </c>
      <c r="B14" s="6" t="inlineStr">
        <is>
          <t>Крепильщик</t>
        </is>
      </c>
      <c r="C14" s="6" t="inlineStr">
        <is>
          <t>ОБЩЕСТВО С ОГРАНИЧЕННОЙ ОТВЕТСТВЕННОСТЬЮ "АМУР ЗОЛОТО"</t>
        </is>
      </c>
      <c r="D14" s="7" t="inlineStr">
        <is>
          <t>2708001686</t>
        </is>
      </c>
      <c r="E14" s="6" t="inlineStr">
        <is>
          <t>ООО "Амур Золото"</t>
        </is>
      </c>
      <c r="F14" s="7" t="inlineStr">
        <is>
          <t>2708001686</t>
        </is>
      </c>
      <c r="G14" s="7" t="inlineStr">
        <is>
          <t>Успешно</t>
        </is>
      </c>
      <c r="H14" s="6" t="n"/>
      <c r="I14" s="6" t="n"/>
      <c r="J14" s="6" t="inlineStr">
        <is>
          <t>Пользовательский интерфейс</t>
        </is>
      </c>
      <c r="K14" s="7" t="n">
        <v>8</v>
      </c>
      <c r="L14" s="8" t="n"/>
      <c r="M14" s="137" t="inlineStr">
        <is>
          <t>+</t>
        </is>
      </c>
      <c r="N14" s="8" t="n"/>
      <c r="O14" s="8" t="n"/>
      <c r="P14" s="8" t="n"/>
      <c r="Q14" s="8" t="n"/>
      <c r="R14" s="8" t="n"/>
      <c r="S14" s="8" t="n"/>
      <c r="T14" s="8" t="n"/>
      <c r="U14" s="8" t="n"/>
      <c r="V14" s="8" t="n"/>
      <c r="W14" s="8" t="n"/>
      <c r="X14" s="137" t="inlineStr">
        <is>
          <t>+</t>
        </is>
      </c>
      <c r="Y14" s="137" t="inlineStr">
        <is>
          <t>+</t>
        </is>
      </c>
    </row>
    <row r="15">
      <c r="A15" s="6" t="inlineStr">
        <is>
          <t>работник 746</t>
        </is>
      </c>
      <c r="B15" s="6" t="inlineStr">
        <is>
          <t>Начальник по рудному направлению</t>
        </is>
      </c>
      <c r="C15" s="6" t="inlineStr">
        <is>
          <t>ОБЩЕСТВО С ОГРАНИЧЕННОЙ ОТВЕТСТВЕННОСТЬЮ "АМУР ЗОЛОТО"</t>
        </is>
      </c>
      <c r="D15" s="7" t="inlineStr">
        <is>
          <t>2708001686</t>
        </is>
      </c>
      <c r="E15" s="6" t="inlineStr">
        <is>
          <t>ООО "Амур Золото"</t>
        </is>
      </c>
      <c r="F15" s="7" t="inlineStr">
        <is>
          <t>2708001686</t>
        </is>
      </c>
      <c r="G15" s="7" t="inlineStr">
        <is>
          <t>Успешно</t>
        </is>
      </c>
      <c r="H15" s="6" t="n"/>
      <c r="I15" s="6" t="n"/>
      <c r="J15" s="6" t="inlineStr">
        <is>
          <t>Пользовательский интерфейс</t>
        </is>
      </c>
      <c r="K15" s="7" t="n">
        <v>3</v>
      </c>
      <c r="L15" s="137" t="inlineStr">
        <is>
          <t>+</t>
        </is>
      </c>
      <c r="M15" s="137" t="inlineStr">
        <is>
          <t>+</t>
        </is>
      </c>
      <c r="N15" s="8" t="n"/>
      <c r="O15" s="8" t="n"/>
      <c r="P15" s="8" t="n"/>
      <c r="Q15" s="8" t="n"/>
      <c r="R15" s="8" t="n"/>
      <c r="S15" s="8" t="n"/>
      <c r="T15" s="8" t="n"/>
      <c r="U15" s="8" t="n"/>
      <c r="V15" s="8" t="n"/>
      <c r="W15" s="8" t="n"/>
      <c r="X15" s="139" t="n"/>
      <c r="Y15" s="137" t="inlineStr">
        <is>
          <t>+</t>
        </is>
      </c>
    </row>
    <row r="16">
      <c r="A16" s="6" t="inlineStr">
        <is>
          <t>работник 341</t>
        </is>
      </c>
      <c r="B16" s="6" t="inlineStr">
        <is>
          <t>Электрогазосварщик</t>
        </is>
      </c>
      <c r="C16" s="6" t="inlineStr">
        <is>
          <t>ОБЩЕСТВО С ОГРАНИЧЕННОЙ ОТВЕТСТВЕННОСТЬЮ "АМУР ЗОЛОТО"</t>
        </is>
      </c>
      <c r="D16" s="7" t="inlineStr">
        <is>
          <t>2708001686</t>
        </is>
      </c>
      <c r="E16" s="6" t="inlineStr">
        <is>
          <t>ООО "Амур Золото"</t>
        </is>
      </c>
      <c r="F16" s="7" t="inlineStr">
        <is>
          <t>2708001686</t>
        </is>
      </c>
      <c r="G16" s="7" t="inlineStr">
        <is>
          <t>Успешно</t>
        </is>
      </c>
      <c r="H16" s="6" t="n"/>
      <c r="I16" s="6" t="n"/>
      <c r="J16" s="6" t="inlineStr">
        <is>
          <t>Пользовательский интерфейс</t>
        </is>
      </c>
      <c r="K16" s="7" t="n">
        <v>3</v>
      </c>
      <c r="L16" s="8" t="n"/>
      <c r="M16" s="137" t="inlineStr">
        <is>
          <t>+</t>
        </is>
      </c>
      <c r="N16" s="8" t="n"/>
      <c r="O16" s="8" t="n"/>
      <c r="P16" s="8" t="n"/>
      <c r="Q16" s="8" t="n"/>
      <c r="R16" s="8" t="n"/>
      <c r="S16" s="8" t="n"/>
      <c r="T16" s="8" t="n"/>
      <c r="U16" s="8" t="n"/>
      <c r="V16" s="8" t="n"/>
      <c r="W16" s="8" t="n"/>
      <c r="X16" s="137" t="inlineStr">
        <is>
          <t>+</t>
        </is>
      </c>
      <c r="Y16" s="137" t="inlineStr">
        <is>
          <t>+</t>
        </is>
      </c>
    </row>
    <row r="17">
      <c r="A17" s="6" t="inlineStr">
        <is>
          <t>работник 507</t>
        </is>
      </c>
      <c r="B17" s="6" t="inlineStr">
        <is>
          <t>Электрогазосварщик (занятый на резке и ручной сварке)</t>
        </is>
      </c>
      <c r="C17" s="6" t="inlineStr">
        <is>
          <t>ОБЩЕСТВО С ОГРАНИЧЕННОЙ ОТВЕТСТВЕННОСТЬЮ "АМУР ЗОЛОТО"</t>
        </is>
      </c>
      <c r="D17" s="7" t="inlineStr">
        <is>
          <t>2708001686</t>
        </is>
      </c>
      <c r="E17" s="6" t="inlineStr">
        <is>
          <t>ООО "Амур Золото"</t>
        </is>
      </c>
      <c r="F17" s="7" t="inlineStr">
        <is>
          <t>2708001686</t>
        </is>
      </c>
      <c r="G17" s="7" t="inlineStr">
        <is>
          <t>Успешно</t>
        </is>
      </c>
      <c r="H17" s="6" t="n"/>
      <c r="I17" s="6" t="n"/>
      <c r="J17" s="6" t="inlineStr">
        <is>
          <t>Пользовательский интерфейс</t>
        </is>
      </c>
      <c r="K17" s="7" t="n">
        <v>12</v>
      </c>
      <c r="L17" s="8" t="n"/>
      <c r="M17" s="137" t="inlineStr">
        <is>
          <t>+</t>
        </is>
      </c>
      <c r="N17" s="137" t="inlineStr">
        <is>
          <t>+</t>
        </is>
      </c>
      <c r="O17" s="137" t="inlineStr">
        <is>
          <t>+</t>
        </is>
      </c>
      <c r="P17" s="137" t="inlineStr">
        <is>
          <t>+</t>
        </is>
      </c>
      <c r="Q17" s="137" t="inlineStr">
        <is>
          <t>+</t>
        </is>
      </c>
      <c r="R17" s="137" t="inlineStr">
        <is>
          <t>+</t>
        </is>
      </c>
      <c r="S17" s="137" t="inlineStr">
        <is>
          <t>+</t>
        </is>
      </c>
      <c r="T17" s="8" t="n"/>
      <c r="U17" s="8" t="n"/>
      <c r="V17" s="8" t="n"/>
      <c r="W17" s="8" t="n"/>
      <c r="X17" s="137" t="inlineStr">
        <is>
          <t>+</t>
        </is>
      </c>
      <c r="Y17" s="137" t="inlineStr">
        <is>
          <t>+</t>
        </is>
      </c>
    </row>
    <row r="18">
      <c r="A18" s="6" t="inlineStr">
        <is>
          <t>работник 352</t>
        </is>
      </c>
      <c r="B18" s="6" t="inlineStr">
        <is>
          <t>Подсобный рабочий</t>
        </is>
      </c>
      <c r="C18" s="6" t="inlineStr">
        <is>
          <t>ОБЩЕСТВО С ОГРАНИЧЕННОЙ ОТВЕТСТВЕННОСТЬЮ "АМУР ЗОЛОТО"</t>
        </is>
      </c>
      <c r="D18" s="7" t="inlineStr">
        <is>
          <t>2708001686</t>
        </is>
      </c>
      <c r="E18" s="6" t="inlineStr">
        <is>
          <t>ООО "Амур Золото"</t>
        </is>
      </c>
      <c r="F18" s="7" t="inlineStr">
        <is>
          <t>2708001686</t>
        </is>
      </c>
      <c r="G18" s="7" t="inlineStr">
        <is>
          <t>Успешно</t>
        </is>
      </c>
      <c r="H18" s="6" t="n"/>
      <c r="I18" s="6" t="n"/>
      <c r="J18" s="6" t="inlineStr">
        <is>
          <t>Пользовательский интерфейс</t>
        </is>
      </c>
      <c r="K18" s="7" t="n">
        <v>3</v>
      </c>
      <c r="L18" s="8" t="n"/>
      <c r="M18" s="137" t="inlineStr">
        <is>
          <t>+</t>
        </is>
      </c>
      <c r="N18" s="8" t="n"/>
      <c r="O18" s="8" t="n"/>
      <c r="P18" s="8" t="n"/>
      <c r="Q18" s="8" t="n"/>
      <c r="R18" s="8" t="n"/>
      <c r="S18" s="8" t="n"/>
      <c r="T18" s="8" t="n"/>
      <c r="U18" s="8" t="n"/>
      <c r="V18" s="8" t="n"/>
      <c r="W18" s="8" t="n"/>
      <c r="X18" s="137" t="inlineStr">
        <is>
          <t>+</t>
        </is>
      </c>
      <c r="Y18" s="137" t="inlineStr">
        <is>
          <t>+</t>
        </is>
      </c>
    </row>
    <row r="19">
      <c r="A19" s="6" t="inlineStr">
        <is>
          <t>работник 77</t>
        </is>
      </c>
      <c r="B19" s="6" t="inlineStr">
        <is>
          <t>Плотник</t>
        </is>
      </c>
      <c r="C19" s="6" t="inlineStr">
        <is>
          <t>ОБЩЕСТВО С ОГРАНИЧЕННОЙ ОТВЕТСТВЕННОСТЬЮ "АМУР ЗОЛОТО"</t>
        </is>
      </c>
      <c r="D19" s="7" t="inlineStr">
        <is>
          <t>2708001686</t>
        </is>
      </c>
      <c r="E19" s="6" t="inlineStr">
        <is>
          <t>ООО "Амур Золото"</t>
        </is>
      </c>
      <c r="F19" s="7" t="inlineStr">
        <is>
          <t>2708001686</t>
        </is>
      </c>
      <c r="G19" s="7" t="inlineStr">
        <is>
          <t>Успешно</t>
        </is>
      </c>
      <c r="H19" s="6" t="n"/>
      <c r="I19" s="6" t="n"/>
      <c r="J19" s="6" t="inlineStr">
        <is>
          <t>Пользовательский интерфейс</t>
        </is>
      </c>
      <c r="K19" s="7" t="n">
        <v>6</v>
      </c>
      <c r="L19" s="8" t="n"/>
      <c r="M19" s="137" t="inlineStr">
        <is>
          <t>+</t>
        </is>
      </c>
      <c r="N19" s="137" t="inlineStr">
        <is>
          <t>+</t>
        </is>
      </c>
      <c r="O19" s="8" t="n"/>
      <c r="P19" s="8" t="n"/>
      <c r="Q19" s="8" t="n"/>
      <c r="R19" s="8" t="n"/>
      <c r="S19" s="8" t="n"/>
      <c r="T19" s="8" t="n"/>
      <c r="U19" s="137" t="inlineStr">
        <is>
          <t>+</t>
        </is>
      </c>
      <c r="V19" s="137" t="inlineStr">
        <is>
          <t>+</t>
        </is>
      </c>
      <c r="W19" s="8" t="n"/>
      <c r="X19" s="137" t="inlineStr">
        <is>
          <t>+</t>
        </is>
      </c>
      <c r="Y19" s="137" t="inlineStr">
        <is>
          <t>+</t>
        </is>
      </c>
    </row>
    <row r="20">
      <c r="A20" s="6" t="inlineStr">
        <is>
          <t>работник 747</t>
        </is>
      </c>
      <c r="B20" s="6" t="inlineStr">
        <is>
          <t>Водитель автомобиля (с правом управления КМУ)</t>
        </is>
      </c>
      <c r="C20" s="6" t="inlineStr">
        <is>
          <t>ОБЩЕСТВО С ОГРАНИЧЕННОЙ ОТВЕТСТВЕННОСТЬЮ "АМУР ЗОЛОТО"</t>
        </is>
      </c>
      <c r="D20" s="7" t="inlineStr">
        <is>
          <t>2708001686</t>
        </is>
      </c>
      <c r="E20" s="6" t="inlineStr">
        <is>
          <t>ООО "Амур Золото"</t>
        </is>
      </c>
      <c r="F20" s="7" t="inlineStr">
        <is>
          <t>2708001686</t>
        </is>
      </c>
      <c r="G20" s="7" t="inlineStr">
        <is>
          <t>Успешно</t>
        </is>
      </c>
      <c r="H20" s="6" t="n"/>
      <c r="I20" s="6" t="n"/>
      <c r="J20" s="6" t="inlineStr">
        <is>
          <t>Пользовательский интерфейс</t>
        </is>
      </c>
      <c r="K20" s="7" t="n">
        <v>2</v>
      </c>
      <c r="L20" s="8" t="n"/>
      <c r="M20" s="137" t="inlineStr">
        <is>
          <t>+</t>
        </is>
      </c>
      <c r="N20" s="8" t="n"/>
      <c r="O20" s="8" t="n"/>
      <c r="P20" s="8" t="n"/>
      <c r="Q20" s="8" t="n"/>
      <c r="R20" s="8" t="n"/>
      <c r="S20" s="8" t="n"/>
      <c r="T20" s="8" t="n"/>
      <c r="U20" s="8" t="n"/>
      <c r="V20" s="8" t="n"/>
      <c r="W20" s="8" t="n"/>
      <c r="X20" s="139" t="n"/>
      <c r="Y20" s="137" t="inlineStr">
        <is>
          <t>+</t>
        </is>
      </c>
    </row>
    <row r="21">
      <c r="A21" s="6" t="inlineStr">
        <is>
          <t>работник 48</t>
        </is>
      </c>
      <c r="B21" s="6" t="inlineStr">
        <is>
          <t>Машинист ДВС</t>
        </is>
      </c>
      <c r="C21" s="6" t="inlineStr">
        <is>
          <t>ОБЩЕСТВО С ОГРАНИЧЕННОЙ ОТВЕТСТВЕННОСТЬЮ "АМУР ЗОЛОТО"</t>
        </is>
      </c>
      <c r="D21" s="7" t="inlineStr">
        <is>
          <t>2708001686</t>
        </is>
      </c>
      <c r="E21" s="6" t="inlineStr">
        <is>
          <t>ООО "Амур Золото"</t>
        </is>
      </c>
      <c r="F21" s="7" t="inlineStr">
        <is>
          <t>2708001686</t>
        </is>
      </c>
      <c r="G21" s="7" t="inlineStr">
        <is>
          <t>Успешно</t>
        </is>
      </c>
      <c r="H21" s="6" t="n"/>
      <c r="I21" s="6" t="n"/>
      <c r="J21" s="6" t="inlineStr">
        <is>
          <t>Пользовательский интерфейс</t>
        </is>
      </c>
      <c r="K21" s="7" t="n">
        <v>3</v>
      </c>
      <c r="L21" s="8" t="n"/>
      <c r="M21" s="137" t="inlineStr">
        <is>
          <t>+</t>
        </is>
      </c>
      <c r="N21" s="8" t="n"/>
      <c r="O21" s="8" t="n"/>
      <c r="P21" s="8" t="n"/>
      <c r="Q21" s="8" t="n"/>
      <c r="R21" s="8" t="n"/>
      <c r="S21" s="8" t="n"/>
      <c r="T21" s="8" t="n"/>
      <c r="U21" s="8" t="n"/>
      <c r="V21" s="8" t="n"/>
      <c r="W21" s="8" t="n"/>
      <c r="X21" s="137" t="inlineStr">
        <is>
          <t>+</t>
        </is>
      </c>
      <c r="Y21" s="137" t="inlineStr">
        <is>
          <t>+</t>
        </is>
      </c>
    </row>
    <row r="22">
      <c r="A22" s="6" t="inlineStr">
        <is>
          <t>работник 351</t>
        </is>
      </c>
      <c r="B22" s="6" t="inlineStr">
        <is>
          <t>Стропальщик (с исполнением обязанностей грузчика) / Кладовщик</t>
        </is>
      </c>
      <c r="C22" s="6" t="inlineStr">
        <is>
          <t>ОБЩЕСТВО С ОГРАНИЧЕННОЙ ОТВЕТСТВЕННОСТЬЮ "АМУР ЗОЛОТО"</t>
        </is>
      </c>
      <c r="D22" s="7" t="inlineStr">
        <is>
          <t>2708001686</t>
        </is>
      </c>
      <c r="E22" s="6" t="inlineStr">
        <is>
          <t>ООО "Амур Золото"</t>
        </is>
      </c>
      <c r="F22" s="7" t="inlineStr">
        <is>
          <t>2708001686</t>
        </is>
      </c>
      <c r="G22" s="7" t="inlineStr">
        <is>
          <t>Успешно</t>
        </is>
      </c>
      <c r="H22" s="6" t="n"/>
      <c r="I22" s="6" t="n"/>
      <c r="J22" s="6" t="inlineStr">
        <is>
          <t>Пользовательский интерфейс</t>
        </is>
      </c>
      <c r="K22" s="7" t="n">
        <v>5</v>
      </c>
      <c r="L22" s="8" t="n"/>
      <c r="M22" s="137" t="inlineStr">
        <is>
          <t>+</t>
        </is>
      </c>
      <c r="N22" s="8" t="n"/>
      <c r="O22" s="8" t="n"/>
      <c r="P22" s="8" t="n"/>
      <c r="Q22" s="8" t="n"/>
      <c r="R22" s="8" t="n"/>
      <c r="S22" s="8" t="n"/>
      <c r="T22" s="8" t="n"/>
      <c r="U22" s="8" t="n"/>
      <c r="V22" s="8" t="n"/>
      <c r="W22" s="8" t="n"/>
      <c r="X22" s="137" t="inlineStr">
        <is>
          <t>+</t>
        </is>
      </c>
      <c r="Y22" s="137" t="inlineStr">
        <is>
          <t>+</t>
        </is>
      </c>
    </row>
    <row r="23">
      <c r="A23" s="6" t="inlineStr">
        <is>
          <t>работник 524</t>
        </is>
      </c>
      <c r="B23" s="6" t="inlineStr">
        <is>
          <t>Машинист мельниц / Машинист конвейера</t>
        </is>
      </c>
      <c r="C23" s="6" t="inlineStr">
        <is>
          <t>ОБЩЕСТВО С ОГРАНИЧЕННОЙ ОТВЕТСТВЕННОСТЬЮ "АМУР ЗОЛОТО"</t>
        </is>
      </c>
      <c r="D23" s="7" t="inlineStr">
        <is>
          <t>2708001686</t>
        </is>
      </c>
      <c r="E23" s="6" t="inlineStr">
        <is>
          <t>ООО "Амур Золото"</t>
        </is>
      </c>
      <c r="F23" s="7" t="inlineStr">
        <is>
          <t>2708001686</t>
        </is>
      </c>
      <c r="G23" s="7" t="inlineStr">
        <is>
          <t>Успешно</t>
        </is>
      </c>
      <c r="H23" s="6" t="n"/>
      <c r="I23" s="6" t="n"/>
      <c r="J23" s="6" t="inlineStr">
        <is>
          <t>Пользовательский интерфейс</t>
        </is>
      </c>
      <c r="K23" s="7" t="n">
        <v>5</v>
      </c>
      <c r="L23" s="8" t="n"/>
      <c r="M23" s="137" t="inlineStr">
        <is>
          <t>+</t>
        </is>
      </c>
      <c r="N23" s="8" t="n"/>
      <c r="O23" s="8" t="n"/>
      <c r="P23" s="8" t="n"/>
      <c r="Q23" s="8" t="n"/>
      <c r="R23" s="8" t="n"/>
      <c r="S23" s="8" t="n"/>
      <c r="T23" s="8" t="n"/>
      <c r="U23" s="8" t="n"/>
      <c r="V23" s="8" t="n"/>
      <c r="W23" s="8" t="n"/>
      <c r="X23" s="137" t="inlineStr">
        <is>
          <t>+</t>
        </is>
      </c>
      <c r="Y23" s="137" t="inlineStr">
        <is>
          <t>+</t>
        </is>
      </c>
    </row>
    <row r="24">
      <c r="A24" s="6" t="inlineStr">
        <is>
          <t>работник 409</t>
        </is>
      </c>
      <c r="B24" s="6" t="inlineStr">
        <is>
          <t>Водитель автомобиля (занятый на транспортировании горной массы в технологическом процессе)</t>
        </is>
      </c>
      <c r="C24" s="6" t="inlineStr">
        <is>
          <t>ОБЩЕСТВО С ОГРАНИЧЕННОЙ ОТВЕТСТВЕННОСТЬЮ "АМУР ЗОЛОТО"</t>
        </is>
      </c>
      <c r="D24" s="7" t="inlineStr">
        <is>
          <t>2708001686</t>
        </is>
      </c>
      <c r="E24" s="6" t="inlineStr">
        <is>
          <t>ООО "Амур Золото"</t>
        </is>
      </c>
      <c r="F24" s="7" t="inlineStr">
        <is>
          <t>2708001686</t>
        </is>
      </c>
      <c r="G24" s="7" t="inlineStr">
        <is>
          <t>Успешно</t>
        </is>
      </c>
      <c r="H24" s="6" t="n"/>
      <c r="I24" s="6" t="n"/>
      <c r="J24" s="6" t="inlineStr">
        <is>
          <t>Пользовательский интерфейс</t>
        </is>
      </c>
      <c r="K24" s="7" t="n">
        <v>2</v>
      </c>
      <c r="L24" s="8" t="n"/>
      <c r="M24" s="137" t="inlineStr">
        <is>
          <t>+</t>
        </is>
      </c>
      <c r="N24" s="8" t="n"/>
      <c r="O24" s="8" t="n"/>
      <c r="P24" s="8" t="n"/>
      <c r="Q24" s="8" t="n"/>
      <c r="R24" s="8" t="n"/>
      <c r="S24" s="8" t="n"/>
      <c r="T24" s="8" t="n"/>
      <c r="U24" s="8" t="n"/>
      <c r="V24" s="8" t="n"/>
      <c r="W24" s="8" t="n"/>
      <c r="X24" s="139" t="n"/>
      <c r="Y24" s="137" t="inlineStr">
        <is>
          <t>+</t>
        </is>
      </c>
    </row>
    <row r="25">
      <c r="A25" s="6" t="inlineStr">
        <is>
          <t>работник 76</t>
        </is>
      </c>
      <c r="B25" s="6" t="inlineStr">
        <is>
          <t>Монтажник по монтажу стальных и железобетонных конструкций / Монтажник ж/б и м/к</t>
        </is>
      </c>
      <c r="C25" s="6" t="inlineStr">
        <is>
          <t>ОБЩЕСТВО С ОГРАНИЧЕННОЙ ОТВЕТСТВЕННОСТЬЮ "АМУР ЗОЛОТО"</t>
        </is>
      </c>
      <c r="D25" s="7" t="inlineStr">
        <is>
          <t>2708001686</t>
        </is>
      </c>
      <c r="E25" s="6" t="inlineStr">
        <is>
          <t>ООО "Амур Золото"</t>
        </is>
      </c>
      <c r="F25" s="7" t="inlineStr">
        <is>
          <t>2708001686</t>
        </is>
      </c>
      <c r="G25" s="7" t="inlineStr">
        <is>
          <t>Успешно</t>
        </is>
      </c>
      <c r="H25" s="6" t="n"/>
      <c r="I25" s="6" t="n"/>
      <c r="J25" s="6" t="inlineStr">
        <is>
          <t>Пользовательский интерфейс</t>
        </is>
      </c>
      <c r="K25" s="7" t="n">
        <v>10</v>
      </c>
      <c r="L25" s="8" t="n"/>
      <c r="M25" s="137" t="inlineStr">
        <is>
          <t>+</t>
        </is>
      </c>
      <c r="N25" s="137" t="inlineStr">
        <is>
          <t>+</t>
        </is>
      </c>
      <c r="O25" s="8" t="n"/>
      <c r="P25" s="8" t="n"/>
      <c r="Q25" s="8" t="n"/>
      <c r="R25" s="8" t="n"/>
      <c r="S25" s="8" t="n"/>
      <c r="T25" s="8" t="n"/>
      <c r="U25" s="137" t="inlineStr">
        <is>
          <t>+</t>
        </is>
      </c>
      <c r="V25" s="137" t="inlineStr">
        <is>
          <t>+</t>
        </is>
      </c>
      <c r="W25" s="8" t="n"/>
      <c r="X25" s="137" t="inlineStr">
        <is>
          <t>+</t>
        </is>
      </c>
      <c r="Y25" s="137" t="inlineStr">
        <is>
          <t>+</t>
        </is>
      </c>
    </row>
    <row r="26">
      <c r="A26" s="6" t="inlineStr">
        <is>
          <t>работник 424</t>
        </is>
      </c>
      <c r="B26" s="6" t="inlineStr">
        <is>
          <t>Аппаратчик-гидрометаллург / Фильтровальщик</t>
        </is>
      </c>
      <c r="C26" s="6" t="inlineStr">
        <is>
          <t>ОБЩЕСТВО С ОГРАНИЧЕННОЙ ОТВЕТСТВЕННОСТЬЮ "АМУР ЗОЛОТО"</t>
        </is>
      </c>
      <c r="D26" s="7" t="inlineStr">
        <is>
          <t>2708001686</t>
        </is>
      </c>
      <c r="E26" s="6" t="inlineStr">
        <is>
          <t>ООО "Амур Золото"</t>
        </is>
      </c>
      <c r="F26" s="7" t="inlineStr">
        <is>
          <t>2708001686</t>
        </is>
      </c>
      <c r="G26" s="7" t="inlineStr">
        <is>
          <t>Успешно</t>
        </is>
      </c>
      <c r="H26" s="6" t="n"/>
      <c r="I26" s="6" t="n"/>
      <c r="J26" s="6" t="inlineStr">
        <is>
          <t>Пользовательский интерфейс</t>
        </is>
      </c>
      <c r="K26" s="7" t="n">
        <v>8</v>
      </c>
      <c r="L26" s="8" t="n"/>
      <c r="M26" s="137" t="inlineStr">
        <is>
          <t>+</t>
        </is>
      </c>
      <c r="N26" s="8" t="n"/>
      <c r="O26" s="8" t="n"/>
      <c r="P26" s="8" t="n"/>
      <c r="Q26" s="8" t="n"/>
      <c r="R26" s="8" t="n"/>
      <c r="S26" s="8" t="n"/>
      <c r="T26" s="8" t="n"/>
      <c r="U26" s="8" t="n"/>
      <c r="V26" s="8" t="n"/>
      <c r="W26" s="8" t="n"/>
      <c r="X26" s="137" t="inlineStr">
        <is>
          <t>+</t>
        </is>
      </c>
      <c r="Y26" s="137" t="inlineStr">
        <is>
          <t>+</t>
        </is>
      </c>
    </row>
    <row r="27">
      <c r="A27" s="6" t="inlineStr">
        <is>
          <t>работник 75</t>
        </is>
      </c>
      <c r="B27" s="6" t="inlineStr">
        <is>
          <t>Плотник</t>
        </is>
      </c>
      <c r="C27" s="6" t="inlineStr">
        <is>
          <t>ОБЩЕСТВО С ОГРАНИЧЕННОЙ ОТВЕТСТВЕННОСТЬЮ "АМУР ЗОЛОТО"</t>
        </is>
      </c>
      <c r="D27" s="7" t="inlineStr">
        <is>
          <t>2708001686</t>
        </is>
      </c>
      <c r="E27" s="6" t="inlineStr">
        <is>
          <t>ООО "Амур Золото"</t>
        </is>
      </c>
      <c r="F27" s="7" t="inlineStr">
        <is>
          <t>2708001686</t>
        </is>
      </c>
      <c r="G27" s="7" t="inlineStr">
        <is>
          <t>Успешно</t>
        </is>
      </c>
      <c r="H27" s="6" t="n"/>
      <c r="I27" s="6" t="n"/>
      <c r="J27" s="6" t="inlineStr">
        <is>
          <t>Пользовательский интерфейс</t>
        </is>
      </c>
      <c r="K27" s="7" t="n">
        <v>10</v>
      </c>
      <c r="L27" s="8" t="n"/>
      <c r="M27" s="137" t="inlineStr">
        <is>
          <t>+</t>
        </is>
      </c>
      <c r="N27" s="137" t="inlineStr">
        <is>
          <t>+</t>
        </is>
      </c>
      <c r="O27" s="8" t="n"/>
      <c r="P27" s="8" t="n"/>
      <c r="Q27" s="8" t="n"/>
      <c r="R27" s="8" t="n"/>
      <c r="S27" s="8" t="n"/>
      <c r="T27" s="8" t="n"/>
      <c r="U27" s="137" t="inlineStr">
        <is>
          <t>+</t>
        </is>
      </c>
      <c r="V27" s="137" t="inlineStr">
        <is>
          <t>+</t>
        </is>
      </c>
      <c r="W27" s="8" t="n"/>
      <c r="X27" s="137" t="inlineStr">
        <is>
          <t>+</t>
        </is>
      </c>
      <c r="Y27" s="137" t="inlineStr">
        <is>
          <t>+</t>
        </is>
      </c>
    </row>
    <row r="28">
      <c r="A28" s="6" t="inlineStr">
        <is>
          <t>работник 62</t>
        </is>
      </c>
      <c r="B28" s="6" t="inlineStr">
        <is>
          <t>Машинист ДВС с обязанностями компрессорщик / Машинист двигателей внутреннего сгорания (с исполнением обязанностей машиниста компрессорных установок)</t>
        </is>
      </c>
      <c r="C28" s="6" t="inlineStr">
        <is>
          <t>ОБЩЕСТВО С ОГРАНИЧЕННОЙ ОТВЕТСТВЕННОСТЬЮ "АМУР ЗОЛОТО"</t>
        </is>
      </c>
      <c r="D28" s="7" t="inlineStr">
        <is>
          <t>2708001686</t>
        </is>
      </c>
      <c r="E28" s="6" t="inlineStr">
        <is>
          <t>ООО "Амур Золото"</t>
        </is>
      </c>
      <c r="F28" s="7" t="inlineStr">
        <is>
          <t>2708001686</t>
        </is>
      </c>
      <c r="G28" s="7" t="inlineStr">
        <is>
          <t>Успешно</t>
        </is>
      </c>
      <c r="H28" s="6" t="n"/>
      <c r="I28" s="6" t="n"/>
      <c r="J28" s="6" t="inlineStr">
        <is>
          <t>Пользовательский интерфейс</t>
        </is>
      </c>
      <c r="K28" s="7" t="n">
        <v>6</v>
      </c>
      <c r="L28" s="8" t="n"/>
      <c r="M28" s="137" t="inlineStr">
        <is>
          <t>+</t>
        </is>
      </c>
      <c r="N28" s="8" t="n"/>
      <c r="O28" s="8" t="n"/>
      <c r="P28" s="8" t="n"/>
      <c r="Q28" s="8" t="n"/>
      <c r="R28" s="8" t="n"/>
      <c r="S28" s="8" t="n"/>
      <c r="T28" s="8" t="n"/>
      <c r="U28" s="8" t="n"/>
      <c r="V28" s="8" t="n"/>
      <c r="W28" s="8" t="n"/>
      <c r="X28" s="137" t="inlineStr">
        <is>
          <t>+</t>
        </is>
      </c>
      <c r="Y28" s="137" t="inlineStr">
        <is>
          <t>+</t>
        </is>
      </c>
    </row>
    <row r="29">
      <c r="A29" s="6" t="inlineStr">
        <is>
          <t>работник 104</t>
        </is>
      </c>
      <c r="B29" s="6" t="inlineStr">
        <is>
          <t>Повар</t>
        </is>
      </c>
      <c r="C29" s="6" t="inlineStr">
        <is>
          <t>ОБЩЕСТВО С ОГРАНИЧЕННОЙ ОТВЕТСТВЕННОСТЬЮ "АМУР ЗОЛОТО"</t>
        </is>
      </c>
      <c r="D29" s="7" t="inlineStr">
        <is>
          <t>2708001686</t>
        </is>
      </c>
      <c r="E29" s="6" t="inlineStr">
        <is>
          <t>ООО "Амур Золото"</t>
        </is>
      </c>
      <c r="F29" s="7" t="inlineStr">
        <is>
          <t>2708001686</t>
        </is>
      </c>
      <c r="G29" s="7" t="inlineStr">
        <is>
          <t>Успешно</t>
        </is>
      </c>
      <c r="H29" s="6" t="n"/>
      <c r="I29" s="6" t="n"/>
      <c r="J29" s="6" t="inlineStr">
        <is>
          <t>Пользовательский интерфейс</t>
        </is>
      </c>
      <c r="K29" s="7" t="n">
        <v>3</v>
      </c>
      <c r="L29" s="8" t="n"/>
      <c r="M29" s="137" t="inlineStr">
        <is>
          <t>+</t>
        </is>
      </c>
      <c r="N29" s="8" t="n"/>
      <c r="O29" s="8" t="n"/>
      <c r="P29" s="8" t="n"/>
      <c r="Q29" s="8" t="n"/>
      <c r="R29" s="8" t="n"/>
      <c r="S29" s="8" t="n"/>
      <c r="T29" s="8" t="n"/>
      <c r="U29" s="8" t="n"/>
      <c r="V29" s="8" t="n"/>
      <c r="W29" s="8" t="n"/>
      <c r="X29" s="137" t="inlineStr">
        <is>
          <t>+</t>
        </is>
      </c>
      <c r="Y29" s="138" t="inlineStr">
        <is>
          <t>+</t>
        </is>
      </c>
    </row>
    <row r="30">
      <c r="A30" s="6" t="inlineStr">
        <is>
          <t>работник 305</t>
        </is>
      </c>
      <c r="B30" s="6" t="inlineStr">
        <is>
          <t>Электромонтер по ремонту и обслуживанию электрооборудованию / Электромонтер / Электромонтер по ремонту и обслуживанию электрооборудования</t>
        </is>
      </c>
      <c r="C30" s="6" t="inlineStr">
        <is>
          <t>ОБЩЕСТВО С ОГРАНИЧЕННОЙ ОТВЕТСТВЕННОСТЬЮ "АМУР ЗОЛОТО"</t>
        </is>
      </c>
      <c r="D30" s="7" t="inlineStr">
        <is>
          <t>2708001686</t>
        </is>
      </c>
      <c r="E30" s="6" t="inlineStr">
        <is>
          <t>ООО "Амур Золото"</t>
        </is>
      </c>
      <c r="F30" s="7" t="inlineStr">
        <is>
          <t>2708001686</t>
        </is>
      </c>
      <c r="G30" s="7" t="inlineStr">
        <is>
          <t>Успешно</t>
        </is>
      </c>
      <c r="H30" s="6" t="n"/>
      <c r="I30" s="6" t="n"/>
      <c r="J30" s="6" t="inlineStr">
        <is>
          <t>Пользовательский интерфейс</t>
        </is>
      </c>
      <c r="K30" s="7" t="n">
        <v>10</v>
      </c>
      <c r="L30" s="8" t="n"/>
      <c r="M30" s="137" t="inlineStr">
        <is>
          <t>+</t>
        </is>
      </c>
      <c r="N30" s="137" t="inlineStr">
        <is>
          <t>+</t>
        </is>
      </c>
      <c r="O30" s="137" t="inlineStr">
        <is>
          <t>+</t>
        </is>
      </c>
      <c r="P30" s="137" t="inlineStr">
        <is>
          <t>+</t>
        </is>
      </c>
      <c r="Q30" s="137" t="inlineStr">
        <is>
          <t>+</t>
        </is>
      </c>
      <c r="R30" s="137" t="inlineStr">
        <is>
          <t>+</t>
        </is>
      </c>
      <c r="S30" s="137" t="inlineStr">
        <is>
          <t>+</t>
        </is>
      </c>
      <c r="T30" s="137" t="inlineStr">
        <is>
          <t>+</t>
        </is>
      </c>
      <c r="U30" s="8" t="n"/>
      <c r="V30" s="8" t="n"/>
      <c r="W30" s="8" t="n"/>
      <c r="X30" s="139" t="n"/>
      <c r="Y30" s="137" t="inlineStr">
        <is>
          <t>+</t>
        </is>
      </c>
    </row>
    <row r="31">
      <c r="A31" s="6" t="inlineStr">
        <is>
          <t>работник 249</t>
        </is>
      </c>
      <c r="B31" s="6" t="inlineStr">
        <is>
          <t>Бункеровщик</t>
        </is>
      </c>
      <c r="C31" s="6" t="inlineStr">
        <is>
          <t>ОБЩЕСТВО С ОГРАНИЧЕННОЙ ОТВЕТСТВЕННОСТЬЮ "АМУР ЗОЛОТО"</t>
        </is>
      </c>
      <c r="D31" s="7" t="inlineStr">
        <is>
          <t>2708001686</t>
        </is>
      </c>
      <c r="E31" s="6" t="inlineStr">
        <is>
          <t>ООО "Амур Золото"</t>
        </is>
      </c>
      <c r="F31" s="7" t="inlineStr">
        <is>
          <t>2708001686</t>
        </is>
      </c>
      <c r="G31" s="7" t="inlineStr">
        <is>
          <t>Успешно</t>
        </is>
      </c>
      <c r="H31" s="6" t="n"/>
      <c r="I31" s="6" t="n"/>
      <c r="J31" s="6" t="inlineStr">
        <is>
          <t>Пользовательский интерфейс</t>
        </is>
      </c>
      <c r="K31" s="7" t="n">
        <v>3</v>
      </c>
      <c r="L31" s="8" t="n"/>
      <c r="M31" s="137" t="inlineStr">
        <is>
          <t>+</t>
        </is>
      </c>
      <c r="N31" s="8" t="n"/>
      <c r="O31" s="8" t="n"/>
      <c r="P31" s="8" t="n"/>
      <c r="Q31" s="8" t="n"/>
      <c r="R31" s="8" t="n"/>
      <c r="S31" s="8" t="n"/>
      <c r="T31" s="8" t="n"/>
      <c r="U31" s="8" t="n"/>
      <c r="V31" s="8" t="n"/>
      <c r="W31" s="8" t="n"/>
      <c r="X31" s="137" t="inlineStr">
        <is>
          <t>+</t>
        </is>
      </c>
      <c r="Y31" s="137" t="inlineStr">
        <is>
          <t>+</t>
        </is>
      </c>
    </row>
    <row r="32">
      <c r="A32" s="6" t="inlineStr">
        <is>
          <t>работник 16</t>
        </is>
      </c>
      <c r="B32" s="6" t="inlineStr">
        <is>
          <t>Машинист буровой установки (НКР)</t>
        </is>
      </c>
      <c r="C32" s="6" t="inlineStr">
        <is>
          <t>ОБЩЕСТВО С ОГРАНИЧЕННОЙ ОТВЕТСТВЕННОСТЬЮ "АМУР ЗОЛОТО"</t>
        </is>
      </c>
      <c r="D32" s="7" t="inlineStr">
        <is>
          <t>2708001686</t>
        </is>
      </c>
      <c r="E32" s="6" t="inlineStr">
        <is>
          <t>ООО "Амур Золото"</t>
        </is>
      </c>
      <c r="F32" s="7" t="inlineStr">
        <is>
          <t>2708001686</t>
        </is>
      </c>
      <c r="G32" s="7" t="inlineStr">
        <is>
          <t>Успешно</t>
        </is>
      </c>
      <c r="H32" s="6" t="n"/>
      <c r="I32" s="6" t="n"/>
      <c r="J32" s="6" t="inlineStr">
        <is>
          <t>Пользовательский интерфейс</t>
        </is>
      </c>
      <c r="K32" s="7" t="n">
        <v>3</v>
      </c>
      <c r="L32" s="8" t="n"/>
      <c r="M32" s="137" t="inlineStr">
        <is>
          <t>+</t>
        </is>
      </c>
      <c r="N32" s="8" t="n"/>
      <c r="O32" s="8" t="n"/>
      <c r="P32" s="8" t="n"/>
      <c r="Q32" s="8" t="n"/>
      <c r="R32" s="8" t="n"/>
      <c r="S32" s="8" t="n"/>
      <c r="T32" s="8" t="n"/>
      <c r="U32" s="8" t="n"/>
      <c r="V32" s="8" t="n"/>
      <c r="W32" s="8" t="n"/>
      <c r="X32" s="137" t="inlineStr">
        <is>
          <t>+</t>
        </is>
      </c>
      <c r="Y32" s="137" t="inlineStr">
        <is>
          <t>+</t>
        </is>
      </c>
    </row>
    <row r="33">
      <c r="A33" s="6" t="inlineStr">
        <is>
          <t>работник 135</t>
        </is>
      </c>
      <c r="B33" s="6" t="inlineStr">
        <is>
          <t>Горнорабочий</t>
        </is>
      </c>
      <c r="C33" s="6" t="inlineStr">
        <is>
          <t>ОБЩЕСТВО С ОГРАНИЧЕННОЙ ОТВЕТСТВЕННОСТЬЮ "АМУР ЗОЛОТО"</t>
        </is>
      </c>
      <c r="D33" s="7" t="inlineStr">
        <is>
          <t>2708001686</t>
        </is>
      </c>
      <c r="E33" s="6" t="inlineStr">
        <is>
          <t>ООО "Амур Золото"</t>
        </is>
      </c>
      <c r="F33" s="7" t="inlineStr">
        <is>
          <t>2708001686</t>
        </is>
      </c>
      <c r="G33" s="7" t="inlineStr">
        <is>
          <t>Успешно</t>
        </is>
      </c>
      <c r="H33" s="6" t="n"/>
      <c r="I33" s="6" t="n"/>
      <c r="J33" s="6" t="inlineStr">
        <is>
          <t>Пользовательский интерфейс</t>
        </is>
      </c>
      <c r="K33" s="7" t="n">
        <v>3</v>
      </c>
      <c r="L33" s="8" t="n"/>
      <c r="M33" s="137" t="inlineStr">
        <is>
          <t>+</t>
        </is>
      </c>
      <c r="N33" s="8" t="n"/>
      <c r="O33" s="8" t="n"/>
      <c r="P33" s="8" t="n"/>
      <c r="Q33" s="8" t="n"/>
      <c r="R33" s="8" t="n"/>
      <c r="S33" s="8" t="n"/>
      <c r="T33" s="8" t="n"/>
      <c r="U33" s="8" t="n"/>
      <c r="V33" s="8" t="n"/>
      <c r="W33" s="8" t="n"/>
      <c r="X33" s="137" t="inlineStr">
        <is>
          <t>+</t>
        </is>
      </c>
      <c r="Y33" s="137" t="inlineStr">
        <is>
          <t>+</t>
        </is>
      </c>
    </row>
    <row r="34">
      <c r="A34" s="6" t="inlineStr">
        <is>
          <t>работник 899</t>
        </is>
      </c>
      <c r="B34" s="6" t="inlineStr">
        <is>
          <t>Водитель автомобиля (занятый на транспортировании горной массы в технологическом процессе)</t>
        </is>
      </c>
      <c r="C34" s="6" t="inlineStr">
        <is>
          <t>ОБЩЕСТВО С ОГРАНИЧЕННОЙ ОТВЕТСТВЕННОСТЬЮ "АМУР ЗОЛОТО"</t>
        </is>
      </c>
      <c r="D34" s="7" t="inlineStr">
        <is>
          <t>2708001686</t>
        </is>
      </c>
      <c r="E34" s="6" t="inlineStr">
        <is>
          <t>ООО "Амур Золото"</t>
        </is>
      </c>
      <c r="F34" s="7" t="inlineStr">
        <is>
          <t>2708001686</t>
        </is>
      </c>
      <c r="G34" s="7" t="inlineStr">
        <is>
          <t>Успешно</t>
        </is>
      </c>
      <c r="H34" s="6" t="n"/>
      <c r="I34" s="6" t="n"/>
      <c r="J34" s="6" t="inlineStr">
        <is>
          <t>Пользовательский интерфейс</t>
        </is>
      </c>
      <c r="K34" s="7" t="n">
        <v>3</v>
      </c>
      <c r="L34" s="8" t="n"/>
      <c r="M34" s="137" t="inlineStr">
        <is>
          <t>+</t>
        </is>
      </c>
      <c r="N34" s="8" t="n"/>
      <c r="O34" s="8" t="n"/>
      <c r="P34" s="8" t="n"/>
      <c r="Q34" s="8" t="n"/>
      <c r="R34" s="8" t="n"/>
      <c r="S34" s="8" t="n"/>
      <c r="T34" s="8" t="n"/>
      <c r="U34" s="8" t="n"/>
      <c r="V34" s="8" t="n"/>
      <c r="W34" s="8" t="n"/>
      <c r="X34" s="137" t="inlineStr">
        <is>
          <t>+</t>
        </is>
      </c>
      <c r="Y34" s="137" t="inlineStr">
        <is>
          <t>+</t>
        </is>
      </c>
    </row>
    <row r="35">
      <c r="A35" s="6" t="inlineStr">
        <is>
          <t>работник 672</t>
        </is>
      </c>
      <c r="B35" s="6" t="inlineStr">
        <is>
          <t>Горнорабочий на маркшейдерских работах</t>
        </is>
      </c>
      <c r="C35" s="6" t="inlineStr">
        <is>
          <t>ОБЩЕСТВО С ОГРАНИЧЕННОЙ ОТВЕТСТВЕННОСТЬЮ "АМУР ЗОЛОТО"</t>
        </is>
      </c>
      <c r="D35" s="7" t="inlineStr">
        <is>
          <t>2708001686</t>
        </is>
      </c>
      <c r="E35" s="6" t="inlineStr">
        <is>
          <t>ООО "Амур Золото"</t>
        </is>
      </c>
      <c r="F35" s="7" t="inlineStr">
        <is>
          <t>2708001686</t>
        </is>
      </c>
      <c r="G35" s="7" t="inlineStr">
        <is>
          <t>Успешно</t>
        </is>
      </c>
      <c r="H35" s="6" t="n"/>
      <c r="I35" s="6" t="n"/>
      <c r="J35" s="6" t="inlineStr">
        <is>
          <t>Пользовательский интерфейс</t>
        </is>
      </c>
      <c r="K35" s="7" t="n">
        <v>5</v>
      </c>
      <c r="L35" s="8" t="n"/>
      <c r="M35" s="137" t="inlineStr">
        <is>
          <t>+</t>
        </is>
      </c>
      <c r="N35" s="8" t="n"/>
      <c r="O35" s="8" t="n"/>
      <c r="P35" s="8" t="n"/>
      <c r="Q35" s="8" t="n"/>
      <c r="R35" s="8" t="n"/>
      <c r="S35" s="8" t="n"/>
      <c r="T35" s="8" t="n"/>
      <c r="U35" s="8" t="n"/>
      <c r="V35" s="8" t="n"/>
      <c r="W35" s="8" t="n"/>
      <c r="X35" s="137" t="inlineStr">
        <is>
          <t>+</t>
        </is>
      </c>
      <c r="Y35" s="137" t="inlineStr">
        <is>
          <t>+</t>
        </is>
      </c>
    </row>
    <row r="36">
      <c r="A36" s="6" t="inlineStr">
        <is>
          <t>работник 5</t>
        </is>
      </c>
      <c r="B36" s="6" t="inlineStr">
        <is>
          <t>Механик по ремонту самоходного транспорта</t>
        </is>
      </c>
      <c r="C36" s="6" t="inlineStr">
        <is>
          <t>ООО "Амур золото". Подразделение: горно-обогатительный комплекс "Юбилейный"</t>
        </is>
      </c>
      <c r="D36" s="7" t="inlineStr">
        <is>
          <t>2708001686</t>
        </is>
      </c>
      <c r="E36" s="6" t="inlineStr">
        <is>
          <t>Автономная некоммерческая организация дополнительного профессионального образования и сертификации "Перспектива"</t>
        </is>
      </c>
      <c r="F36" s="7" t="inlineStr">
        <is>
          <t>2722126782</t>
        </is>
      </c>
      <c r="G36" s="7" t="inlineStr">
        <is>
          <t>Успешно</t>
        </is>
      </c>
      <c r="H36" s="6" t="n"/>
      <c r="I36" s="6" t="n"/>
      <c r="J36" s="6" t="inlineStr">
        <is>
          <t>Пользовательский интерфейс</t>
        </is>
      </c>
      <c r="K36" s="7" t="n">
        <v>4</v>
      </c>
      <c r="L36" s="138" t="inlineStr">
        <is>
          <t>+</t>
        </is>
      </c>
      <c r="M36" s="137" t="inlineStr">
        <is>
          <t>+</t>
        </is>
      </c>
      <c r="N36" s="8" t="n"/>
      <c r="O36" s="8" t="n"/>
      <c r="P36" s="8" t="n"/>
      <c r="Q36" s="8" t="n"/>
      <c r="R36" s="8" t="n"/>
      <c r="S36" s="8" t="n"/>
      <c r="T36" s="8" t="n"/>
      <c r="U36" s="8" t="n"/>
      <c r="V36" s="8" t="n"/>
      <c r="W36" s="8" t="n"/>
      <c r="X36" s="140" t="inlineStr">
        <is>
          <t>+</t>
        </is>
      </c>
      <c r="Y36" s="137" t="inlineStr">
        <is>
          <t>+</t>
        </is>
      </c>
    </row>
    <row r="37">
      <c r="A37" s="6" t="inlineStr">
        <is>
          <t>работник 655</t>
        </is>
      </c>
      <c r="B37" s="6" t="inlineStr">
        <is>
          <t>Слесарь по ремонту автомобилей / Слесарь по ремонту автомобилей и тяжелой техники</t>
        </is>
      </c>
      <c r="C37" s="6" t="inlineStr">
        <is>
          <t>ОБЩЕСТВО С ОГРАНИЧЕННОЙ ОТВЕТСТВЕННОСТЬЮ "АМУР ЗОЛОТО"</t>
        </is>
      </c>
      <c r="D37" s="7" t="inlineStr">
        <is>
          <t>2708001686</t>
        </is>
      </c>
      <c r="E37" s="6" t="inlineStr">
        <is>
          <t>ООО "Амур Золото"</t>
        </is>
      </c>
      <c r="F37" s="7" t="inlineStr">
        <is>
          <t>2708001686</t>
        </is>
      </c>
      <c r="G37" s="7" t="inlineStr">
        <is>
          <t>Успешно</t>
        </is>
      </c>
      <c r="H37" s="6" t="n"/>
      <c r="I37" s="6" t="n"/>
      <c r="J37" s="6" t="inlineStr">
        <is>
          <t>Пользовательский интерфейс</t>
        </is>
      </c>
      <c r="K37" s="7" t="n">
        <v>5</v>
      </c>
      <c r="L37" s="8" t="n"/>
      <c r="M37" s="137" t="inlineStr">
        <is>
          <t>+</t>
        </is>
      </c>
      <c r="N37" s="8" t="n"/>
      <c r="O37" s="8" t="n"/>
      <c r="P37" s="8" t="n"/>
      <c r="Q37" s="8" t="n"/>
      <c r="R37" s="8" t="n"/>
      <c r="S37" s="8" t="n"/>
      <c r="T37" s="8" t="n"/>
      <c r="U37" s="8" t="n"/>
      <c r="V37" s="8" t="n"/>
      <c r="W37" s="8" t="n"/>
      <c r="X37" s="137" t="inlineStr">
        <is>
          <t>+</t>
        </is>
      </c>
      <c r="Y37" s="137" t="inlineStr">
        <is>
          <t>+</t>
        </is>
      </c>
    </row>
    <row r="38">
      <c r="A38" s="6" t="inlineStr">
        <is>
          <t>работник 53</t>
        </is>
      </c>
      <c r="B38" s="6" t="inlineStr">
        <is>
          <t>Машинист ДВС</t>
        </is>
      </c>
      <c r="C38" s="6" t="inlineStr">
        <is>
          <t>ОБЩЕСТВО С ОГРАНИЧЕННОЙ ОТВЕТСТВЕННОСТЬЮ "АМУР ЗОЛОТО"</t>
        </is>
      </c>
      <c r="D38" s="7" t="inlineStr">
        <is>
          <t>2708001686</t>
        </is>
      </c>
      <c r="E38" s="6" t="inlineStr">
        <is>
          <t>ООО "Амур Золото"</t>
        </is>
      </c>
      <c r="F38" s="7" t="inlineStr">
        <is>
          <t>2708001686</t>
        </is>
      </c>
      <c r="G38" s="7" t="inlineStr">
        <is>
          <t>Успешно</t>
        </is>
      </c>
      <c r="H38" s="6" t="n"/>
      <c r="I38" s="6" t="n"/>
      <c r="J38" s="6" t="inlineStr">
        <is>
          <t>Пользовательский интерфейс</t>
        </is>
      </c>
      <c r="K38" s="7" t="n">
        <v>3</v>
      </c>
      <c r="L38" s="8" t="n"/>
      <c r="M38" s="137" t="inlineStr">
        <is>
          <t>+</t>
        </is>
      </c>
      <c r="N38" s="8" t="n"/>
      <c r="O38" s="8" t="n"/>
      <c r="P38" s="8" t="n"/>
      <c r="Q38" s="8" t="n"/>
      <c r="R38" s="8" t="n"/>
      <c r="S38" s="8" t="n"/>
      <c r="T38" s="8" t="n"/>
      <c r="U38" s="8" t="n"/>
      <c r="V38" s="8" t="n"/>
      <c r="W38" s="8" t="n"/>
      <c r="X38" s="137" t="inlineStr">
        <is>
          <t>+</t>
        </is>
      </c>
      <c r="Y38" s="137" t="inlineStr">
        <is>
          <t>+</t>
        </is>
      </c>
    </row>
    <row r="39">
      <c r="A39" s="6" t="inlineStr">
        <is>
          <t>работник 354</t>
        </is>
      </c>
      <c r="B39" s="6" t="inlineStr">
        <is>
          <t>Водитель автомобиля (занятый на транспортировании горной массы в технологическом процессе)</t>
        </is>
      </c>
      <c r="C39" s="6" t="inlineStr">
        <is>
          <t>ОБЩЕСТВО С ОГРАНИЧЕННОЙ ОТВЕТСТВЕННОСТЬЮ "АМУР ЗОЛОТО"</t>
        </is>
      </c>
      <c r="D39" s="7" t="inlineStr">
        <is>
          <t>2708001686</t>
        </is>
      </c>
      <c r="E39" s="6" t="inlineStr">
        <is>
          <t>ООО "Амур Золото"</t>
        </is>
      </c>
      <c r="F39" s="7" t="inlineStr">
        <is>
          <t>2708001686</t>
        </is>
      </c>
      <c r="G39" s="7" t="inlineStr">
        <is>
          <t>Успешно</t>
        </is>
      </c>
      <c r="H39" s="6" t="n"/>
      <c r="I39" s="6" t="n"/>
      <c r="J39" s="6" t="inlineStr">
        <is>
          <t>Пользовательский интерфейс</t>
        </is>
      </c>
      <c r="K39" s="7" t="n">
        <v>5</v>
      </c>
      <c r="L39" s="8" t="n"/>
      <c r="M39" s="137" t="inlineStr">
        <is>
          <t>+</t>
        </is>
      </c>
      <c r="N39" s="8" t="n"/>
      <c r="O39" s="8" t="n"/>
      <c r="P39" s="8" t="n"/>
      <c r="Q39" s="8" t="n"/>
      <c r="R39" s="8" t="n"/>
      <c r="S39" s="8" t="n"/>
      <c r="T39" s="8" t="n"/>
      <c r="U39" s="8" t="n"/>
      <c r="V39" s="8" t="n"/>
      <c r="W39" s="8" t="n"/>
      <c r="X39" s="137" t="inlineStr">
        <is>
          <t>+</t>
        </is>
      </c>
      <c r="Y39" s="137" t="inlineStr">
        <is>
          <t>+</t>
        </is>
      </c>
    </row>
    <row r="40">
      <c r="A40" s="6" t="inlineStr">
        <is>
          <t>работник 200</t>
        </is>
      </c>
      <c r="B40" s="6" t="inlineStr">
        <is>
          <t>Водитель автомобиля для перевозки взрывчатых материалов</t>
        </is>
      </c>
      <c r="C40" s="6" t="inlineStr">
        <is>
          <t>ОБЩЕСТВО С ОГРАНИЧЕННОЙ ОТВЕТСТВЕННОСТЬЮ "АМУР ЗОЛОТО"</t>
        </is>
      </c>
      <c r="D40" s="7" t="inlineStr">
        <is>
          <t>2708001686</t>
        </is>
      </c>
      <c r="E40" s="6" t="inlineStr">
        <is>
          <t>ООО "Амур Золото"</t>
        </is>
      </c>
      <c r="F40" s="7" t="inlineStr">
        <is>
          <t>2708001686</t>
        </is>
      </c>
      <c r="G40" s="7" t="inlineStr">
        <is>
          <t>Успешно</t>
        </is>
      </c>
      <c r="H40" s="6" t="n"/>
      <c r="I40" s="6" t="n"/>
      <c r="J40" s="6" t="inlineStr">
        <is>
          <t>Пользовательский интерфейс</t>
        </is>
      </c>
      <c r="K40" s="7" t="n">
        <v>3</v>
      </c>
      <c r="L40" s="8" t="n"/>
      <c r="M40" s="137" t="inlineStr">
        <is>
          <t>+</t>
        </is>
      </c>
      <c r="N40" s="8" t="n"/>
      <c r="O40" s="8" t="n"/>
      <c r="P40" s="8" t="n"/>
      <c r="Q40" s="8" t="n"/>
      <c r="R40" s="8" t="n"/>
      <c r="S40" s="8" t="n"/>
      <c r="T40" s="8" t="n"/>
      <c r="U40" s="8" t="n"/>
      <c r="V40" s="8" t="n"/>
      <c r="W40" s="8" t="n"/>
      <c r="X40" s="137" t="inlineStr">
        <is>
          <t>+</t>
        </is>
      </c>
      <c r="Y40" s="137" t="inlineStr">
        <is>
          <t>+</t>
        </is>
      </c>
    </row>
    <row r="41">
      <c r="A41" s="6" t="inlineStr">
        <is>
          <t>работник 784</t>
        </is>
      </c>
      <c r="B41" s="6" t="inlineStr">
        <is>
          <t>Водитель автомобиля (занятый на транспортировании горной массы в технологическом процессе)</t>
        </is>
      </c>
      <c r="C41" s="6" t="inlineStr">
        <is>
          <t>ОБЩЕСТВО С ОГРАНИЧЕННОЙ ОТВЕТСТВЕННОСТЬЮ "АМУР ЗОЛОТО"</t>
        </is>
      </c>
      <c r="D41" s="7" t="inlineStr">
        <is>
          <t>2708001686</t>
        </is>
      </c>
      <c r="E41" s="6" t="inlineStr">
        <is>
          <t>ООО "Амур Золото"</t>
        </is>
      </c>
      <c r="F41" s="7" t="inlineStr">
        <is>
          <t>2708001686</t>
        </is>
      </c>
      <c r="G41" s="7" t="inlineStr">
        <is>
          <t>Успешно</t>
        </is>
      </c>
      <c r="H41" s="6" t="n"/>
      <c r="I41" s="6" t="n"/>
      <c r="J41" s="6" t="inlineStr">
        <is>
          <t>Пользовательский интерфейс</t>
        </is>
      </c>
      <c r="K41" s="7" t="n">
        <v>3</v>
      </c>
      <c r="L41" s="8" t="n"/>
      <c r="M41" s="137" t="inlineStr">
        <is>
          <t>+</t>
        </is>
      </c>
      <c r="N41" s="8" t="n"/>
      <c r="O41" s="8" t="n"/>
      <c r="P41" s="8" t="n"/>
      <c r="Q41" s="8" t="n"/>
      <c r="R41" s="8" t="n"/>
      <c r="S41" s="8" t="n"/>
      <c r="T41" s="8" t="n"/>
      <c r="U41" s="8" t="n"/>
      <c r="V41" s="8" t="n"/>
      <c r="W41" s="8" t="n"/>
      <c r="X41" s="137" t="inlineStr">
        <is>
          <t>+</t>
        </is>
      </c>
      <c r="Y41" s="137" t="inlineStr">
        <is>
          <t>+</t>
        </is>
      </c>
    </row>
    <row r="42">
      <c r="A42" s="6" t="inlineStr">
        <is>
          <t>работник 367</t>
        </is>
      </c>
      <c r="B42" s="6" t="inlineStr">
        <is>
          <t>Водитель автомобиля (занятый на транспортировании горной массы в технологическом процессе)</t>
        </is>
      </c>
      <c r="C42" s="6" t="inlineStr">
        <is>
          <t>ОБЩЕСТВО С ОГРАНИЧЕННОЙ ОТВЕТСТВЕННОСТЬЮ "АМУР ЗОЛОТО"</t>
        </is>
      </c>
      <c r="D42" s="7" t="inlineStr">
        <is>
          <t>2708001686</t>
        </is>
      </c>
      <c r="E42" s="6" t="inlineStr">
        <is>
          <t>ООО "Амур Золото"</t>
        </is>
      </c>
      <c r="F42" s="7" t="inlineStr">
        <is>
          <t>2708001686</t>
        </is>
      </c>
      <c r="G42" s="7" t="inlineStr">
        <is>
          <t>Успешно</t>
        </is>
      </c>
      <c r="H42" s="6" t="n"/>
      <c r="I42" s="6" t="n"/>
      <c r="J42" s="6" t="inlineStr">
        <is>
          <t>Пользовательский интерфейс</t>
        </is>
      </c>
      <c r="K42" s="7" t="n">
        <v>3</v>
      </c>
      <c r="L42" s="8" t="n"/>
      <c r="M42" s="137" t="inlineStr">
        <is>
          <t>+</t>
        </is>
      </c>
      <c r="N42" s="8" t="n"/>
      <c r="O42" s="8" t="n"/>
      <c r="P42" s="8" t="n"/>
      <c r="Q42" s="8" t="n"/>
      <c r="R42" s="8" t="n"/>
      <c r="S42" s="8" t="n"/>
      <c r="T42" s="8" t="n"/>
      <c r="U42" s="8" t="n"/>
      <c r="V42" s="8" t="n"/>
      <c r="W42" s="8" t="n"/>
      <c r="X42" s="137" t="inlineStr">
        <is>
          <t>+</t>
        </is>
      </c>
      <c r="Y42" s="137" t="inlineStr">
        <is>
          <t>+</t>
        </is>
      </c>
    </row>
    <row r="43">
      <c r="A43" s="6" t="inlineStr">
        <is>
          <t>работник 816</t>
        </is>
      </c>
      <c r="B43" s="6" t="inlineStr">
        <is>
          <t>Водитель автомобиля (категория D)</t>
        </is>
      </c>
      <c r="C43" s="6" t="inlineStr">
        <is>
          <t>ОБЩЕСТВО С ОГРАНИЧЕННОЙ ОТВЕТСТВЕННОСТЬЮ "АМУР ЗОЛОТО"</t>
        </is>
      </c>
      <c r="D43" s="7" t="inlineStr">
        <is>
          <t>2708001686</t>
        </is>
      </c>
      <c r="E43" s="6" t="inlineStr">
        <is>
          <t>ООО "Амур Золото"</t>
        </is>
      </c>
      <c r="F43" s="7" t="inlineStr">
        <is>
          <t>2708001686</t>
        </is>
      </c>
      <c r="G43" s="7" t="inlineStr">
        <is>
          <t>Успешно</t>
        </is>
      </c>
      <c r="H43" s="6" t="n"/>
      <c r="I43" s="6" t="n"/>
      <c r="J43" s="6" t="inlineStr">
        <is>
          <t>Пользовательский интерфейс</t>
        </is>
      </c>
      <c r="K43" s="7" t="n">
        <v>2</v>
      </c>
      <c r="L43" s="8" t="n"/>
      <c r="M43" s="137" t="inlineStr">
        <is>
          <t>+</t>
        </is>
      </c>
      <c r="N43" s="8" t="n"/>
      <c r="O43" s="8" t="n"/>
      <c r="P43" s="8" t="n"/>
      <c r="Q43" s="8" t="n"/>
      <c r="R43" s="8" t="n"/>
      <c r="S43" s="8" t="n"/>
      <c r="T43" s="8" t="n"/>
      <c r="U43" s="8" t="n"/>
      <c r="V43" s="8" t="n"/>
      <c r="W43" s="8" t="n"/>
      <c r="X43" s="139" t="n"/>
      <c r="Y43" s="138" t="inlineStr">
        <is>
          <t>+</t>
        </is>
      </c>
    </row>
    <row r="44">
      <c r="A44" s="6" t="inlineStr">
        <is>
          <t>работник 356</t>
        </is>
      </c>
      <c r="B44" s="6" t="inlineStr">
        <is>
          <t>Водитель погрузчика</t>
        </is>
      </c>
      <c r="C44" s="6" t="inlineStr">
        <is>
          <t>ОБЩЕСТВО С ОГРАНИЧЕННОЙ ОТВЕТСТВЕННОСТЬЮ "АМУР ЗОЛОТО"</t>
        </is>
      </c>
      <c r="D44" s="7" t="inlineStr">
        <is>
          <t>2708001686</t>
        </is>
      </c>
      <c r="E44" s="6" t="inlineStr">
        <is>
          <t>ООО "Амур Золото"</t>
        </is>
      </c>
      <c r="F44" s="7" t="inlineStr">
        <is>
          <t>2708001686</t>
        </is>
      </c>
      <c r="G44" s="7" t="inlineStr">
        <is>
          <t>Успешно</t>
        </is>
      </c>
      <c r="H44" s="6" t="n"/>
      <c r="I44" s="6" t="n"/>
      <c r="J44" s="6" t="inlineStr">
        <is>
          <t>Пользовательский интерфейс</t>
        </is>
      </c>
      <c r="K44" s="7" t="n">
        <v>3</v>
      </c>
      <c r="L44" s="8" t="n"/>
      <c r="M44" s="137" t="inlineStr">
        <is>
          <t>+</t>
        </is>
      </c>
      <c r="N44" s="8" t="n"/>
      <c r="O44" s="8" t="n"/>
      <c r="P44" s="8" t="n"/>
      <c r="Q44" s="8" t="n"/>
      <c r="R44" s="8" t="n"/>
      <c r="S44" s="8" t="n"/>
      <c r="T44" s="8" t="n"/>
      <c r="U44" s="8" t="n"/>
      <c r="V44" s="8" t="n"/>
      <c r="W44" s="8" t="n"/>
      <c r="X44" s="137" t="inlineStr">
        <is>
          <t>+</t>
        </is>
      </c>
      <c r="Y44" s="137" t="inlineStr">
        <is>
          <t>+</t>
        </is>
      </c>
    </row>
    <row r="45">
      <c r="A45" s="6" t="inlineStr">
        <is>
          <t>работник 773</t>
        </is>
      </c>
      <c r="B45" s="6" t="inlineStr">
        <is>
          <t>Слесарь-ремонтник (по ремонту горно-шахтного оборудования)</t>
        </is>
      </c>
      <c r="C45" s="6" t="inlineStr">
        <is>
          <t>ОБЩЕСТВО С ОГРАНИЧЕННОЙ ОТВЕТСТВЕННОСТЬЮ "АМУР ЗОЛОТО"</t>
        </is>
      </c>
      <c r="D45" s="7" t="inlineStr">
        <is>
          <t>2708001686</t>
        </is>
      </c>
      <c r="E45" s="6" t="inlineStr">
        <is>
          <t>ООО "Амур Золото"</t>
        </is>
      </c>
      <c r="F45" s="7" t="inlineStr">
        <is>
          <t>2708001686</t>
        </is>
      </c>
      <c r="G45" s="7" t="inlineStr">
        <is>
          <t>Успешно</t>
        </is>
      </c>
      <c r="H45" s="6" t="n"/>
      <c r="I45" s="6" t="n"/>
      <c r="J45" s="6" t="inlineStr">
        <is>
          <t>Пользовательский интерфейс</t>
        </is>
      </c>
      <c r="K45" s="7" t="n">
        <v>7</v>
      </c>
      <c r="L45" s="8" t="n"/>
      <c r="M45" s="137" t="inlineStr">
        <is>
          <t>+</t>
        </is>
      </c>
      <c r="N45" s="8" t="n"/>
      <c r="O45" s="137" t="inlineStr">
        <is>
          <t>+</t>
        </is>
      </c>
      <c r="P45" s="8" t="n"/>
      <c r="Q45" s="8" t="n"/>
      <c r="R45" s="8" t="n"/>
      <c r="S45" s="8" t="n"/>
      <c r="T45" s="8" t="n"/>
      <c r="U45" s="8" t="n"/>
      <c r="V45" s="8" t="n"/>
      <c r="W45" s="8" t="n"/>
      <c r="X45" s="137" t="inlineStr">
        <is>
          <t>+</t>
        </is>
      </c>
      <c r="Y45" s="137" t="inlineStr">
        <is>
          <t>+</t>
        </is>
      </c>
    </row>
    <row r="46">
      <c r="A46" s="6" t="inlineStr">
        <is>
          <t>работник 148</t>
        </is>
      </c>
      <c r="B46" s="6" t="inlineStr">
        <is>
          <t>Машинист подземно-доставочной машины / Машинист погрузочно-доставочной машины (занятый на транспортировании горной массы в технологическом процессе)</t>
        </is>
      </c>
      <c r="C46" s="6" t="inlineStr">
        <is>
          <t>ОБЩЕСТВО С ОГРАНИЧЕННОЙ ОТВЕТСТВЕННОСТЬЮ "АМУР ЗОЛОТО"</t>
        </is>
      </c>
      <c r="D46" s="7" t="inlineStr">
        <is>
          <t>2708001686</t>
        </is>
      </c>
      <c r="E46" s="6" t="inlineStr">
        <is>
          <t>ООО "Амур Золото"</t>
        </is>
      </c>
      <c r="F46" s="7" t="inlineStr">
        <is>
          <t>2708001686</t>
        </is>
      </c>
      <c r="G46" s="7" t="inlineStr">
        <is>
          <t>Успешно</t>
        </is>
      </c>
      <c r="H46" s="6" t="n"/>
      <c r="I46" s="6" t="n"/>
      <c r="J46" s="6" t="inlineStr">
        <is>
          <t>Пользовательский интерфейс</t>
        </is>
      </c>
      <c r="K46" s="7" t="n">
        <v>5</v>
      </c>
      <c r="L46" s="8" t="n"/>
      <c r="M46" s="137" t="inlineStr">
        <is>
          <t>+</t>
        </is>
      </c>
      <c r="N46" s="8" t="n"/>
      <c r="O46" s="8" t="n"/>
      <c r="P46" s="8" t="n"/>
      <c r="Q46" s="8" t="n"/>
      <c r="R46" s="8" t="n"/>
      <c r="S46" s="8" t="n"/>
      <c r="T46" s="8" t="n"/>
      <c r="U46" s="8" t="n"/>
      <c r="V46" s="8" t="n"/>
      <c r="W46" s="8" t="n"/>
      <c r="X46" s="137" t="inlineStr">
        <is>
          <t>+</t>
        </is>
      </c>
      <c r="Y46" s="137" t="inlineStr">
        <is>
          <t>+</t>
        </is>
      </c>
    </row>
    <row r="47">
      <c r="A47" s="6" t="inlineStr">
        <is>
          <t>работник 831</t>
        </is>
      </c>
      <c r="B47" s="6" t="inlineStr">
        <is>
          <t>Бункеровщик</t>
        </is>
      </c>
      <c r="C47" s="6" t="inlineStr">
        <is>
          <t>ОБЩЕСТВО С ОГРАНИЧЕННОЙ ОТВЕТСТВЕННОСТЬЮ "АМУР ЗОЛОТО"</t>
        </is>
      </c>
      <c r="D47" s="7" t="inlineStr">
        <is>
          <t>2708001686</t>
        </is>
      </c>
      <c r="E47" s="6" t="inlineStr">
        <is>
          <t>ООО "Амур Золото"</t>
        </is>
      </c>
      <c r="F47" s="7" t="inlineStr">
        <is>
          <t>2708001686</t>
        </is>
      </c>
      <c r="G47" s="7" t="inlineStr">
        <is>
          <t>Успешно</t>
        </is>
      </c>
      <c r="H47" s="6" t="n"/>
      <c r="I47" s="6" t="n"/>
      <c r="J47" s="6" t="inlineStr">
        <is>
          <t>Пользовательский интерфейс</t>
        </is>
      </c>
      <c r="K47" s="7" t="n">
        <v>3</v>
      </c>
      <c r="L47" s="8" t="n"/>
      <c r="M47" s="137" t="inlineStr">
        <is>
          <t>+</t>
        </is>
      </c>
      <c r="N47" s="8" t="n"/>
      <c r="O47" s="8" t="n"/>
      <c r="P47" s="8" t="n"/>
      <c r="Q47" s="8" t="n"/>
      <c r="R47" s="8" t="n"/>
      <c r="S47" s="8" t="n"/>
      <c r="T47" s="8" t="n"/>
      <c r="U47" s="8" t="n"/>
      <c r="V47" s="8" t="n"/>
      <c r="W47" s="8" t="n"/>
      <c r="X47" s="137" t="inlineStr">
        <is>
          <t>+</t>
        </is>
      </c>
      <c r="Y47" s="137" t="inlineStr">
        <is>
          <t>+</t>
        </is>
      </c>
    </row>
    <row r="48">
      <c r="A48" s="6" t="inlineStr">
        <is>
          <t>работник 840</t>
        </is>
      </c>
      <c r="B48" s="6" t="inlineStr">
        <is>
          <t>Машинист погрузочно-доставочной машины (занятый на транспортировании горной массы в технологическом процессе)</t>
        </is>
      </c>
      <c r="C48" s="6" t="inlineStr">
        <is>
          <t>ОБЩЕСТВО С ОГРАНИЧЕННОЙ ОТВЕТСТВЕННОСТЬЮ "АМУР ЗОЛОТО"</t>
        </is>
      </c>
      <c r="D48" s="7" t="inlineStr">
        <is>
          <t>2708001686</t>
        </is>
      </c>
      <c r="E48" s="6" t="inlineStr">
        <is>
          <t>ООО "Амур Золото"</t>
        </is>
      </c>
      <c r="F48" s="7" t="inlineStr">
        <is>
          <t>2708001686</t>
        </is>
      </c>
      <c r="G48" s="7" t="inlineStr">
        <is>
          <t>Успешно</t>
        </is>
      </c>
      <c r="H48" s="6" t="n"/>
      <c r="I48" s="6" t="n"/>
      <c r="J48" s="6" t="inlineStr">
        <is>
          <t>Пользовательский интерфейс</t>
        </is>
      </c>
      <c r="K48" s="7" t="n">
        <v>3</v>
      </c>
      <c r="L48" s="8" t="n"/>
      <c r="M48" s="137" t="inlineStr">
        <is>
          <t>+</t>
        </is>
      </c>
      <c r="N48" s="8" t="n"/>
      <c r="O48" s="8" t="n"/>
      <c r="P48" s="8" t="n"/>
      <c r="Q48" s="8" t="n"/>
      <c r="R48" s="8" t="n"/>
      <c r="S48" s="8" t="n"/>
      <c r="T48" s="8" t="n"/>
      <c r="U48" s="8" t="n"/>
      <c r="V48" s="8" t="n"/>
      <c r="W48" s="8" t="n"/>
      <c r="X48" s="137" t="inlineStr">
        <is>
          <t>+</t>
        </is>
      </c>
      <c r="Y48" s="137" t="inlineStr">
        <is>
          <t>+</t>
        </is>
      </c>
    </row>
    <row r="49">
      <c r="A49" s="6" t="inlineStr">
        <is>
          <t>работник 56</t>
        </is>
      </c>
      <c r="B49" s="6" t="inlineStr">
        <is>
          <t>Машинист насосных установок</t>
        </is>
      </c>
      <c r="C49" s="6" t="inlineStr">
        <is>
          <t>ОБЩЕСТВО С ОГРАНИЧЕННОЙ ОТВЕТСТВЕННОСТЬЮ "АМУР ЗОЛОТО"</t>
        </is>
      </c>
      <c r="D49" s="7" t="inlineStr">
        <is>
          <t>2708001686</t>
        </is>
      </c>
      <c r="E49" s="6" t="inlineStr">
        <is>
          <t>ООО "Амур Золото"</t>
        </is>
      </c>
      <c r="F49" s="7" t="inlineStr">
        <is>
          <t>2708001686</t>
        </is>
      </c>
      <c r="G49" s="7" t="inlineStr">
        <is>
          <t>Успешно</t>
        </is>
      </c>
      <c r="H49" s="6" t="n"/>
      <c r="I49" s="6" t="n"/>
      <c r="J49" s="6" t="inlineStr">
        <is>
          <t>Пользовательский интерфейс</t>
        </is>
      </c>
      <c r="K49" s="7" t="n">
        <v>3</v>
      </c>
      <c r="L49" s="8" t="n"/>
      <c r="M49" s="137" t="inlineStr">
        <is>
          <t>+</t>
        </is>
      </c>
      <c r="N49" s="8" t="n"/>
      <c r="O49" s="8" t="n"/>
      <c r="P49" s="8" t="n"/>
      <c r="Q49" s="8" t="n"/>
      <c r="R49" s="8" t="n"/>
      <c r="S49" s="8" t="n"/>
      <c r="T49" s="8" t="n"/>
      <c r="U49" s="8" t="n"/>
      <c r="V49" s="8" t="n"/>
      <c r="W49" s="8" t="n"/>
      <c r="X49" s="137" t="inlineStr">
        <is>
          <t>+</t>
        </is>
      </c>
      <c r="Y49" s="137" t="inlineStr">
        <is>
          <t>+</t>
        </is>
      </c>
    </row>
    <row r="50">
      <c r="A50" s="6" t="inlineStr">
        <is>
          <t>работник 687</t>
        </is>
      </c>
      <c r="B50" s="6" t="inlineStr">
        <is>
          <t>Заместитель начальника участка</t>
        </is>
      </c>
      <c r="C50" s="6" t="inlineStr">
        <is>
          <t>ОБЩЕСТВО С ОГРАНИЧЕННОЙ ОТВЕТСТВЕННОСТЬЮ "АМУР ЗОЛОТО"</t>
        </is>
      </c>
      <c r="D50" s="7" t="inlineStr">
        <is>
          <t>2708001686</t>
        </is>
      </c>
      <c r="E50" s="6" t="inlineStr">
        <is>
          <t>ООО "Амур Золото"</t>
        </is>
      </c>
      <c r="F50" s="7" t="inlineStr">
        <is>
          <t>2708001686</t>
        </is>
      </c>
      <c r="G50" s="7" t="inlineStr">
        <is>
          <t>Успешно</t>
        </is>
      </c>
      <c r="H50" s="6" t="n"/>
      <c r="I50" s="6" t="n"/>
      <c r="J50" s="6" t="inlineStr">
        <is>
          <t>Пользовательский интерфейс</t>
        </is>
      </c>
      <c r="K50" s="7" t="n">
        <v>1</v>
      </c>
      <c r="L50" s="141" t="n"/>
      <c r="M50" s="139" t="n"/>
      <c r="N50" s="8" t="n"/>
      <c r="O50" s="137" t="inlineStr">
        <is>
          <t>+</t>
        </is>
      </c>
      <c r="P50" s="8" t="n"/>
      <c r="Q50" s="8" t="n"/>
      <c r="R50" s="8" t="n"/>
      <c r="S50" s="8" t="n"/>
      <c r="T50" s="8" t="n"/>
      <c r="U50" s="8" t="n"/>
      <c r="V50" s="8" t="n"/>
      <c r="W50" s="8" t="n"/>
      <c r="X50" s="139" t="n"/>
      <c r="Y50" s="8" t="n"/>
    </row>
    <row r="51">
      <c r="A51" s="6" t="inlineStr">
        <is>
          <t>работник 504</t>
        </is>
      </c>
      <c r="B51" s="6" t="inlineStr">
        <is>
          <t>Электрогазосварщик (занятый на резке и ручной сварке) / Электрогазосварщик</t>
        </is>
      </c>
      <c r="C51" s="6" t="inlineStr">
        <is>
          <t>ОБЩЕСТВО С ОГРАНИЧЕННОЙ ОТВЕТСТВЕННОСТЬЮ "АМУР ЗОЛОТО"</t>
        </is>
      </c>
      <c r="D51" s="7" t="inlineStr">
        <is>
          <t>2708001686</t>
        </is>
      </c>
      <c r="E51" s="6" t="inlineStr">
        <is>
          <t>ООО "Амур Золото"</t>
        </is>
      </c>
      <c r="F51" s="7" t="inlineStr">
        <is>
          <t>2708001686</t>
        </is>
      </c>
      <c r="G51" s="7" t="inlineStr">
        <is>
          <t>Успешно</t>
        </is>
      </c>
      <c r="H51" s="6" t="n"/>
      <c r="I51" s="6" t="n"/>
      <c r="J51" s="6" t="inlineStr">
        <is>
          <t>Пользовательский интерфейс</t>
        </is>
      </c>
      <c r="K51" s="7" t="n">
        <v>14</v>
      </c>
      <c r="L51" s="8" t="n"/>
      <c r="M51" s="137" t="inlineStr">
        <is>
          <t>+</t>
        </is>
      </c>
      <c r="N51" s="137" t="inlineStr">
        <is>
          <t>+</t>
        </is>
      </c>
      <c r="O51" s="137" t="inlineStr">
        <is>
          <t>+</t>
        </is>
      </c>
      <c r="P51" s="137" t="inlineStr">
        <is>
          <t>+</t>
        </is>
      </c>
      <c r="Q51" s="137" t="inlineStr">
        <is>
          <t>+</t>
        </is>
      </c>
      <c r="R51" s="137" t="inlineStr">
        <is>
          <t>+</t>
        </is>
      </c>
      <c r="S51" s="137" t="inlineStr">
        <is>
          <t>+</t>
        </is>
      </c>
      <c r="T51" s="8" t="n"/>
      <c r="U51" s="8" t="n"/>
      <c r="V51" s="8" t="n"/>
      <c r="W51" s="8" t="n"/>
      <c r="X51" s="137" t="inlineStr">
        <is>
          <t>+</t>
        </is>
      </c>
      <c r="Y51" s="137" t="inlineStr">
        <is>
          <t>+</t>
        </is>
      </c>
    </row>
    <row r="52">
      <c r="A52" s="6" t="inlineStr">
        <is>
          <t>работник 79</t>
        </is>
      </c>
      <c r="B52" s="6" t="inlineStr">
        <is>
          <t>Плотник</t>
        </is>
      </c>
      <c r="C52" s="6" t="inlineStr">
        <is>
          <t>ОБЩЕСТВО С ОГРАНИЧЕННОЙ ОТВЕТСТВЕННОСТЬЮ "АМУР ЗОЛОТО"</t>
        </is>
      </c>
      <c r="D52" s="7" t="inlineStr">
        <is>
          <t>2708001686</t>
        </is>
      </c>
      <c r="E52" s="6" t="inlineStr">
        <is>
          <t>ООО "Амур Золото"</t>
        </is>
      </c>
      <c r="F52" s="7" t="inlineStr">
        <is>
          <t>2708001686</t>
        </is>
      </c>
      <c r="G52" s="7" t="inlineStr">
        <is>
          <t>Успешно</t>
        </is>
      </c>
      <c r="H52" s="6" t="n"/>
      <c r="I52" s="6" t="n"/>
      <c r="J52" s="6" t="inlineStr">
        <is>
          <t>Пользовательский интерфейс</t>
        </is>
      </c>
      <c r="K52" s="7" t="n">
        <v>6</v>
      </c>
      <c r="L52" s="8" t="n"/>
      <c r="M52" s="137" t="inlineStr">
        <is>
          <t>+</t>
        </is>
      </c>
      <c r="N52" s="137" t="inlineStr">
        <is>
          <t>+</t>
        </is>
      </c>
      <c r="O52" s="8" t="n"/>
      <c r="P52" s="8" t="n"/>
      <c r="Q52" s="8" t="n"/>
      <c r="R52" s="8" t="n"/>
      <c r="S52" s="8" t="n"/>
      <c r="T52" s="8" t="n"/>
      <c r="U52" s="137" t="inlineStr">
        <is>
          <t>+</t>
        </is>
      </c>
      <c r="V52" s="137" t="inlineStr">
        <is>
          <t>+</t>
        </is>
      </c>
      <c r="W52" s="8" t="n"/>
      <c r="X52" s="137" t="inlineStr">
        <is>
          <t>+</t>
        </is>
      </c>
      <c r="Y52" s="137" t="inlineStr">
        <is>
          <t>+</t>
        </is>
      </c>
    </row>
    <row r="53">
      <c r="A53" s="6" t="inlineStr">
        <is>
          <t>работник 149</t>
        </is>
      </c>
      <c r="B53" s="6" t="inlineStr">
        <is>
          <t>Машинист погрузочно-доставочной машины / Машинист подземно-доставочной машины</t>
        </is>
      </c>
      <c r="C53" s="6" t="inlineStr">
        <is>
          <t>ОБЩЕСТВО С ОГРАНИЧЕННОЙ ОТВЕТСТВЕННОСТЬЮ "АМУР ЗОЛОТО"</t>
        </is>
      </c>
      <c r="D53" s="7" t="inlineStr">
        <is>
          <t>2708001686</t>
        </is>
      </c>
      <c r="E53" s="6" t="inlineStr">
        <is>
          <t>ООО "Амур Золото"</t>
        </is>
      </c>
      <c r="F53" s="7" t="inlineStr">
        <is>
          <t>2708001686</t>
        </is>
      </c>
      <c r="G53" s="7" t="inlineStr">
        <is>
          <t>Успешно</t>
        </is>
      </c>
      <c r="H53" s="6" t="n"/>
      <c r="I53" s="6" t="n"/>
      <c r="J53" s="6" t="inlineStr">
        <is>
          <t>Пользовательский интерфейс</t>
        </is>
      </c>
      <c r="K53" s="7" t="n">
        <v>8</v>
      </c>
      <c r="L53" s="8" t="n"/>
      <c r="M53" s="137" t="inlineStr">
        <is>
          <t>+</t>
        </is>
      </c>
      <c r="N53" s="8" t="n"/>
      <c r="O53" s="8" t="n"/>
      <c r="P53" s="8" t="n"/>
      <c r="Q53" s="8" t="n"/>
      <c r="R53" s="8" t="n"/>
      <c r="S53" s="8" t="n"/>
      <c r="T53" s="8" t="n"/>
      <c r="U53" s="8" t="n"/>
      <c r="V53" s="8" t="n"/>
      <c r="W53" s="8" t="n"/>
      <c r="X53" s="137" t="inlineStr">
        <is>
          <t>+</t>
        </is>
      </c>
      <c r="Y53" s="137" t="inlineStr">
        <is>
          <t>+</t>
        </is>
      </c>
    </row>
    <row r="54">
      <c r="A54" s="6" t="inlineStr">
        <is>
          <t>работник 150</t>
        </is>
      </c>
      <c r="B54" s="6" t="inlineStr">
        <is>
          <t>Помощник машиниста самоходной буровой установки / Помощник машиниста  самоходной буровой установки (с исполнением обязанностей пробоотборщика) (Очистное)</t>
        </is>
      </c>
      <c r="C54" s="6" t="inlineStr">
        <is>
          <t>ОБЩЕСТВО С ОГРАНИЧЕННОЙ ОТВЕТСТВЕННОСТЬЮ "АМУР ЗОЛОТО"</t>
        </is>
      </c>
      <c r="D54" s="7" t="inlineStr">
        <is>
          <t>2708001686</t>
        </is>
      </c>
      <c r="E54" s="6" t="inlineStr">
        <is>
          <t>ООО "Амур Золото"</t>
        </is>
      </c>
      <c r="F54" s="7" t="inlineStr">
        <is>
          <t>2708001686</t>
        </is>
      </c>
      <c r="G54" s="7" t="inlineStr">
        <is>
          <t>Успешно</t>
        </is>
      </c>
      <c r="H54" s="6" t="n"/>
      <c r="I54" s="6" t="n"/>
      <c r="J54" s="6" t="inlineStr">
        <is>
          <t>Пользовательский интерфейс</t>
        </is>
      </c>
      <c r="K54" s="7" t="n">
        <v>5</v>
      </c>
      <c r="L54" s="8" t="n"/>
      <c r="M54" s="137" t="inlineStr">
        <is>
          <t>+</t>
        </is>
      </c>
      <c r="N54" s="8" t="n"/>
      <c r="O54" s="8" t="n"/>
      <c r="P54" s="8" t="n"/>
      <c r="Q54" s="8" t="n"/>
      <c r="R54" s="8" t="n"/>
      <c r="S54" s="8" t="n"/>
      <c r="T54" s="8" t="n"/>
      <c r="U54" s="8" t="n"/>
      <c r="V54" s="8" t="n"/>
      <c r="W54" s="8" t="n"/>
      <c r="X54" s="137" t="inlineStr">
        <is>
          <t>+</t>
        </is>
      </c>
      <c r="Y54" s="137" t="inlineStr">
        <is>
          <t>+</t>
        </is>
      </c>
    </row>
    <row r="55">
      <c r="A55" s="6" t="inlineStr">
        <is>
          <t>работник 151</t>
        </is>
      </c>
      <c r="B55" s="6" t="inlineStr">
        <is>
          <t>Машинист погрузочно-доставочной машины (занятый на транспортировании горной массы в технологическом процессе) / Машинист подземно-доставочной машины</t>
        </is>
      </c>
      <c r="C55" s="6" t="inlineStr">
        <is>
          <t>ОБЩЕСТВО С ОГРАНИЧЕННОЙ ОТВЕТСТВЕННОСТЬЮ "АМУР ЗОЛОТО"</t>
        </is>
      </c>
      <c r="D55" s="7" t="inlineStr">
        <is>
          <t>2708001686</t>
        </is>
      </c>
      <c r="E55" s="6" t="inlineStr">
        <is>
          <t>ООО "Амур Золото"</t>
        </is>
      </c>
      <c r="F55" s="7" t="inlineStr">
        <is>
          <t>2708001686</t>
        </is>
      </c>
      <c r="G55" s="7" t="inlineStr">
        <is>
          <t>Успешно</t>
        </is>
      </c>
      <c r="H55" s="6" t="n"/>
      <c r="I55" s="6" t="n"/>
      <c r="J55" s="6" t="inlineStr">
        <is>
          <t>Пользовательский интерфейс</t>
        </is>
      </c>
      <c r="K55" s="7" t="n">
        <v>8</v>
      </c>
      <c r="L55" s="8" t="n"/>
      <c r="M55" s="137" t="inlineStr">
        <is>
          <t>+</t>
        </is>
      </c>
      <c r="N55" s="8" t="n"/>
      <c r="O55" s="8" t="n"/>
      <c r="P55" s="8" t="n"/>
      <c r="Q55" s="8" t="n"/>
      <c r="R55" s="8" t="n"/>
      <c r="S55" s="8" t="n"/>
      <c r="T55" s="8" t="n"/>
      <c r="U55" s="8" t="n"/>
      <c r="V55" s="8" t="n"/>
      <c r="W55" s="8" t="n"/>
      <c r="X55" s="137" t="inlineStr">
        <is>
          <t>+</t>
        </is>
      </c>
      <c r="Y55" s="137" t="inlineStr">
        <is>
          <t>+</t>
        </is>
      </c>
    </row>
    <row r="56">
      <c r="A56" s="6" t="inlineStr">
        <is>
          <t>работник 109</t>
        </is>
      </c>
      <c r="B56" s="6" t="inlineStr">
        <is>
          <t>Повар</t>
        </is>
      </c>
      <c r="C56" s="6" t="inlineStr">
        <is>
          <t>ОБЩЕСТВО С ОГРАНИЧЕННОЙ ОТВЕТСТВЕННОСТЬЮ "АМУР ЗОЛОТО"</t>
        </is>
      </c>
      <c r="D56" s="7" t="inlineStr">
        <is>
          <t>2708001686</t>
        </is>
      </c>
      <c r="E56" s="6" t="inlineStr">
        <is>
          <t>ООО "Амур Золото"</t>
        </is>
      </c>
      <c r="F56" s="7" t="inlineStr">
        <is>
          <t>2708001686</t>
        </is>
      </c>
      <c r="G56" s="7" t="inlineStr">
        <is>
          <t>Успешно</t>
        </is>
      </c>
      <c r="H56" s="6" t="n"/>
      <c r="I56" s="6" t="n"/>
      <c r="J56" s="6" t="inlineStr">
        <is>
          <t>Пользовательский интерфейс</t>
        </is>
      </c>
      <c r="K56" s="7" t="n">
        <v>3</v>
      </c>
      <c r="L56" s="8" t="n"/>
      <c r="M56" s="137" t="inlineStr">
        <is>
          <t>+</t>
        </is>
      </c>
      <c r="N56" s="8" t="n"/>
      <c r="O56" s="8" t="n"/>
      <c r="P56" s="8" t="n"/>
      <c r="Q56" s="8" t="n"/>
      <c r="R56" s="8" t="n"/>
      <c r="S56" s="8" t="n"/>
      <c r="T56" s="8" t="n"/>
      <c r="U56" s="8" t="n"/>
      <c r="V56" s="8" t="n"/>
      <c r="W56" s="8" t="n"/>
      <c r="X56" s="137" t="inlineStr">
        <is>
          <t>+</t>
        </is>
      </c>
      <c r="Y56" s="138" t="inlineStr">
        <is>
          <t>+</t>
        </is>
      </c>
    </row>
    <row r="57">
      <c r="A57" s="6" t="inlineStr">
        <is>
          <t>работник 94</t>
        </is>
      </c>
      <c r="B57" s="6" t="inlineStr">
        <is>
          <t>Горнорабочий на геологических работах / Кухонный рабочий</t>
        </is>
      </c>
      <c r="C57" s="6" t="inlineStr">
        <is>
          <t>ОБЩЕСТВО С ОГРАНИЧЕННОЙ ОТВЕТСТВЕННОСТЬЮ "АМУР ЗОЛОТО"</t>
        </is>
      </c>
      <c r="D57" s="7" t="inlineStr">
        <is>
          <t>2708001686</t>
        </is>
      </c>
      <c r="E57" s="6" t="inlineStr">
        <is>
          <t>ООО "Амур Золото"</t>
        </is>
      </c>
      <c r="F57" s="7" t="inlineStr">
        <is>
          <t>2708001686</t>
        </is>
      </c>
      <c r="G57" s="7" t="inlineStr">
        <is>
          <t>Успешно</t>
        </is>
      </c>
      <c r="H57" s="6" t="n"/>
      <c r="I57" s="6" t="n"/>
      <c r="J57" s="6" t="inlineStr">
        <is>
          <t>Пользовательский интерфейс</t>
        </is>
      </c>
      <c r="K57" s="7" t="n">
        <v>8</v>
      </c>
      <c r="L57" s="8" t="n"/>
      <c r="M57" s="137" t="inlineStr">
        <is>
          <t>+</t>
        </is>
      </c>
      <c r="N57" s="8" t="n"/>
      <c r="O57" s="8" t="n"/>
      <c r="P57" s="8" t="n"/>
      <c r="Q57" s="8" t="n"/>
      <c r="R57" s="8" t="n"/>
      <c r="S57" s="8" t="n"/>
      <c r="T57" s="8" t="n"/>
      <c r="U57" s="8" t="n"/>
      <c r="V57" s="8" t="n"/>
      <c r="W57" s="8" t="n"/>
      <c r="X57" s="137" t="inlineStr">
        <is>
          <t>+</t>
        </is>
      </c>
      <c r="Y57" s="137" t="inlineStr">
        <is>
          <t>+</t>
        </is>
      </c>
    </row>
    <row r="58">
      <c r="A58" s="6" t="inlineStr">
        <is>
          <t>работник 905</t>
        </is>
      </c>
      <c r="B58" s="6" t="inlineStr">
        <is>
          <t>Водитель автомобиля (категория С)</t>
        </is>
      </c>
      <c r="C58" s="6" t="inlineStr">
        <is>
          <t>ОБЩЕСТВО С ОГРАНИЧЕННОЙ ОТВЕТСТВЕННОСТЬЮ "АМУР ЗОЛОТО"</t>
        </is>
      </c>
      <c r="D58" s="7" t="inlineStr">
        <is>
          <t>2708001686</t>
        </is>
      </c>
      <c r="E58" s="6" t="inlineStr">
        <is>
          <t>ООО "Амур Золото"</t>
        </is>
      </c>
      <c r="F58" s="7" t="inlineStr">
        <is>
          <t>2708001686</t>
        </is>
      </c>
      <c r="G58" s="7" t="inlineStr">
        <is>
          <t>Успешно</t>
        </is>
      </c>
      <c r="H58" s="6" t="n"/>
      <c r="I58" s="6" t="n"/>
      <c r="J58" s="6" t="inlineStr">
        <is>
          <t>Пользовательский интерфейс</t>
        </is>
      </c>
      <c r="K58" s="7" t="n">
        <v>3</v>
      </c>
      <c r="L58" s="8" t="n"/>
      <c r="M58" s="137" t="inlineStr">
        <is>
          <t>+</t>
        </is>
      </c>
      <c r="N58" s="8" t="n"/>
      <c r="O58" s="8" t="n"/>
      <c r="P58" s="8" t="n"/>
      <c r="Q58" s="8" t="n"/>
      <c r="R58" s="8" t="n"/>
      <c r="S58" s="8" t="n"/>
      <c r="T58" s="8" t="n"/>
      <c r="U58" s="8" t="n"/>
      <c r="V58" s="8" t="n"/>
      <c r="W58" s="8" t="n"/>
      <c r="X58" s="137" t="inlineStr">
        <is>
          <t>+</t>
        </is>
      </c>
      <c r="Y58" s="137" t="inlineStr">
        <is>
          <t>+</t>
        </is>
      </c>
    </row>
    <row r="59">
      <c r="A59" s="6" t="inlineStr">
        <is>
          <t>работник 779</t>
        </is>
      </c>
      <c r="B59" s="6" t="inlineStr">
        <is>
          <t>Помощник машиниста самоходной буровой установки (с исполнением обязанностей пробоотборщика)</t>
        </is>
      </c>
      <c r="C59" s="6" t="inlineStr">
        <is>
          <t>ОБЩЕСТВО С ОГРАНИЧЕННОЙ ОТВЕТСТВЕННОСТЬЮ "АМУР ЗОЛОТО"</t>
        </is>
      </c>
      <c r="D59" s="7" t="inlineStr">
        <is>
          <t>2708001686</t>
        </is>
      </c>
      <c r="E59" s="6" t="inlineStr">
        <is>
          <t>ООО "Амур Золото"</t>
        </is>
      </c>
      <c r="F59" s="7" t="inlineStr">
        <is>
          <t>2708001686</t>
        </is>
      </c>
      <c r="G59" s="7" t="inlineStr">
        <is>
          <t>Успешно</t>
        </is>
      </c>
      <c r="H59" s="6" t="n"/>
      <c r="I59" s="6" t="n"/>
      <c r="J59" s="6" t="inlineStr">
        <is>
          <t>Пользовательский интерфейс</t>
        </is>
      </c>
      <c r="K59" s="7" t="n">
        <v>3</v>
      </c>
      <c r="L59" s="8" t="n"/>
      <c r="M59" s="137" t="inlineStr">
        <is>
          <t>+</t>
        </is>
      </c>
      <c r="N59" s="8" t="n"/>
      <c r="O59" s="8" t="n"/>
      <c r="P59" s="8" t="n"/>
      <c r="Q59" s="8" t="n"/>
      <c r="R59" s="8" t="n"/>
      <c r="S59" s="8" t="n"/>
      <c r="T59" s="8" t="n"/>
      <c r="U59" s="8" t="n"/>
      <c r="V59" s="8" t="n"/>
      <c r="W59" s="8" t="n"/>
      <c r="X59" s="137" t="inlineStr">
        <is>
          <t>+</t>
        </is>
      </c>
      <c r="Y59" s="137" t="inlineStr">
        <is>
          <t>+</t>
        </is>
      </c>
    </row>
    <row r="60">
      <c r="A60" s="6" t="inlineStr">
        <is>
          <t>работник 627</t>
        </is>
      </c>
      <c r="B60" s="6" t="inlineStr">
        <is>
          <t>Подсобный рабочий</t>
        </is>
      </c>
      <c r="C60" s="6" t="inlineStr">
        <is>
          <t>ОБЩЕСТВО С ОГРАНИЧЕННОЙ ОТВЕТСТВЕННОСТЬЮ "АМУР ЗОЛОТО"</t>
        </is>
      </c>
      <c r="D60" s="7" t="inlineStr">
        <is>
          <t>2708001686</t>
        </is>
      </c>
      <c r="E60" s="6" t="inlineStr">
        <is>
          <t>ООО "Амур Золото"</t>
        </is>
      </c>
      <c r="F60" s="7" t="inlineStr">
        <is>
          <t>2708001686</t>
        </is>
      </c>
      <c r="G60" s="7" t="inlineStr">
        <is>
          <t>Успешно</t>
        </is>
      </c>
      <c r="H60" s="6" t="n"/>
      <c r="I60" s="6" t="n"/>
      <c r="J60" s="6" t="inlineStr">
        <is>
          <t>Пользовательский интерфейс</t>
        </is>
      </c>
      <c r="K60" s="7" t="n">
        <v>5</v>
      </c>
      <c r="L60" s="8" t="n"/>
      <c r="M60" s="137" t="inlineStr">
        <is>
          <t>+</t>
        </is>
      </c>
      <c r="N60" s="8" t="n"/>
      <c r="O60" s="8" t="n"/>
      <c r="P60" s="8" t="n"/>
      <c r="Q60" s="8" t="n"/>
      <c r="R60" s="8" t="n"/>
      <c r="S60" s="8" t="n"/>
      <c r="T60" s="8" t="n"/>
      <c r="U60" s="8" t="n"/>
      <c r="V60" s="8" t="n"/>
      <c r="W60" s="8" t="n"/>
      <c r="X60" s="137" t="inlineStr">
        <is>
          <t>+</t>
        </is>
      </c>
      <c r="Y60" s="137" t="inlineStr">
        <is>
          <t>+</t>
        </is>
      </c>
    </row>
    <row r="61">
      <c r="A61" s="6" t="inlineStr">
        <is>
          <t>работник 471</t>
        </is>
      </c>
      <c r="B61" s="6" t="inlineStr">
        <is>
          <t>Контролер</t>
        </is>
      </c>
      <c r="C61" s="6" t="inlineStr">
        <is>
          <t>ОБЩЕСТВО С ОГРАНИЧЕННОЙ ОТВЕТСТВЕННОСТЬЮ "АМУР ЗОЛОТО"</t>
        </is>
      </c>
      <c r="D61" s="7" t="inlineStr">
        <is>
          <t>2708001686</t>
        </is>
      </c>
      <c r="E61" s="6" t="inlineStr">
        <is>
          <t>ООО "Амур Золото"</t>
        </is>
      </c>
      <c r="F61" s="7" t="inlineStr">
        <is>
          <t>2708001686</t>
        </is>
      </c>
      <c r="G61" s="7" t="inlineStr">
        <is>
          <t>Успешно</t>
        </is>
      </c>
      <c r="H61" s="6" t="n"/>
      <c r="I61" s="6" t="n"/>
      <c r="J61" s="6" t="inlineStr">
        <is>
          <t>Пользовательский интерфейс</t>
        </is>
      </c>
      <c r="K61" s="7" t="n">
        <v>2</v>
      </c>
      <c r="L61" s="8" t="n"/>
      <c r="M61" s="137" t="inlineStr">
        <is>
          <t>+</t>
        </is>
      </c>
      <c r="N61" s="8" t="n"/>
      <c r="O61" s="8" t="n"/>
      <c r="P61" s="8" t="n"/>
      <c r="Q61" s="8" t="n"/>
      <c r="R61" s="8" t="n"/>
      <c r="S61" s="8" t="n"/>
      <c r="T61" s="8" t="n"/>
      <c r="U61" s="8" t="n"/>
      <c r="V61" s="8" t="n"/>
      <c r="W61" s="8" t="n"/>
      <c r="X61" s="139" t="n"/>
      <c r="Y61" s="137" t="inlineStr">
        <is>
          <t>+</t>
        </is>
      </c>
    </row>
    <row r="62">
      <c r="A62" s="6" t="inlineStr">
        <is>
          <t>работник 260</t>
        </is>
      </c>
      <c r="B62" s="6" t="inlineStr">
        <is>
          <t>Водитель автомобиля (занятый на транспортировании горной массы в технологическом процессе)</t>
        </is>
      </c>
      <c r="C62" s="6" t="inlineStr">
        <is>
          <t>ОБЩЕСТВО С ОГРАНИЧЕННОЙ ОТВЕТСТВЕННОСТЬЮ "АМУР ЗОЛОТО"</t>
        </is>
      </c>
      <c r="D62" s="7" t="inlineStr">
        <is>
          <t>2708001686</t>
        </is>
      </c>
      <c r="E62" s="6" t="inlineStr">
        <is>
          <t>ООО "Амур Золото"</t>
        </is>
      </c>
      <c r="F62" s="7" t="inlineStr">
        <is>
          <t>2708001686</t>
        </is>
      </c>
      <c r="G62" s="7" t="inlineStr">
        <is>
          <t>Успешно</t>
        </is>
      </c>
      <c r="H62" s="6" t="n"/>
      <c r="I62" s="6" t="n"/>
      <c r="J62" s="6" t="inlineStr">
        <is>
          <t>Пользовательский интерфейс</t>
        </is>
      </c>
      <c r="K62" s="7" t="n">
        <v>6</v>
      </c>
      <c r="L62" s="8" t="n"/>
      <c r="M62" s="137" t="inlineStr">
        <is>
          <t>+</t>
        </is>
      </c>
      <c r="N62" s="8" t="n"/>
      <c r="O62" s="8" t="n"/>
      <c r="P62" s="8" t="n"/>
      <c r="Q62" s="8" t="n"/>
      <c r="R62" s="8" t="n"/>
      <c r="S62" s="8" t="n"/>
      <c r="T62" s="8" t="n"/>
      <c r="U62" s="8" t="n"/>
      <c r="V62" s="8" t="n"/>
      <c r="W62" s="8" t="n"/>
      <c r="X62" s="137" t="inlineStr">
        <is>
          <t>+</t>
        </is>
      </c>
      <c r="Y62" s="137" t="inlineStr">
        <is>
          <t>+</t>
        </is>
      </c>
    </row>
    <row r="63">
      <c r="A63" s="6" t="inlineStr">
        <is>
          <t>работник 152</t>
        </is>
      </c>
      <c r="B63" s="6" t="inlineStr">
        <is>
          <t>Машинист подземно-доставочной машины / Машинист погрузочно-доставочной машины (занятый на транспортировании горной массы в технологическом процессе)</t>
        </is>
      </c>
      <c r="C63" s="6" t="inlineStr">
        <is>
          <t>ОБЩЕСТВО С ОГРАНИЧЕННОЙ ОТВЕТСТВЕННОСТЬЮ "АМУР ЗОЛОТО"</t>
        </is>
      </c>
      <c r="D63" s="7" t="inlineStr">
        <is>
          <t>2708001686</t>
        </is>
      </c>
      <c r="E63" s="6" t="inlineStr">
        <is>
          <t>ООО "Амур Золото"</t>
        </is>
      </c>
      <c r="F63" s="7" t="inlineStr">
        <is>
          <t>2708001686</t>
        </is>
      </c>
      <c r="G63" s="7" t="inlineStr">
        <is>
          <t>Успешно</t>
        </is>
      </c>
      <c r="H63" s="6" t="n"/>
      <c r="I63" s="6" t="n"/>
      <c r="J63" s="6" t="inlineStr">
        <is>
          <t>Пользовательский интерфейс</t>
        </is>
      </c>
      <c r="K63" s="7" t="n">
        <v>5</v>
      </c>
      <c r="L63" s="8" t="n"/>
      <c r="M63" s="137" t="inlineStr">
        <is>
          <t>+</t>
        </is>
      </c>
      <c r="N63" s="8" t="n"/>
      <c r="O63" s="8" t="n"/>
      <c r="P63" s="8" t="n"/>
      <c r="Q63" s="8" t="n"/>
      <c r="R63" s="8" t="n"/>
      <c r="S63" s="8" t="n"/>
      <c r="T63" s="8" t="n"/>
      <c r="U63" s="8" t="n"/>
      <c r="V63" s="8" t="n"/>
      <c r="W63" s="8" t="n"/>
      <c r="X63" s="137" t="inlineStr">
        <is>
          <t>+</t>
        </is>
      </c>
      <c r="Y63" s="137" t="inlineStr">
        <is>
          <t>+</t>
        </is>
      </c>
    </row>
    <row r="64">
      <c r="A64" s="6" t="inlineStr">
        <is>
          <t>работник 688</t>
        </is>
      </c>
      <c r="B64" s="6" t="inlineStr">
        <is>
          <t>Монтажник по монтажу стальных и железобетонных конструкций</t>
        </is>
      </c>
      <c r="C64" s="6" t="inlineStr">
        <is>
          <t>ОБЩЕСТВО С ОГРАНИЧЕННОЙ ОТВЕТСТВЕННОСТЬЮ "АМУР ЗОЛОТО"</t>
        </is>
      </c>
      <c r="D64" s="7" t="inlineStr">
        <is>
          <t>2708001686</t>
        </is>
      </c>
      <c r="E64" s="6" t="inlineStr">
        <is>
          <t>ООО "Амур Золото"</t>
        </is>
      </c>
      <c r="F64" s="7" t="inlineStr">
        <is>
          <t>2708001686</t>
        </is>
      </c>
      <c r="G64" s="7" t="inlineStr">
        <is>
          <t>Успешно</t>
        </is>
      </c>
      <c r="H64" s="6" t="n"/>
      <c r="I64" s="6" t="n"/>
      <c r="J64" s="6" t="inlineStr">
        <is>
          <t>Пользовательский интерфейс</t>
        </is>
      </c>
      <c r="K64" s="7" t="n">
        <v>2</v>
      </c>
      <c r="L64" s="8" t="n"/>
      <c r="M64" s="137" t="inlineStr">
        <is>
          <t>+</t>
        </is>
      </c>
      <c r="N64" s="8" t="n"/>
      <c r="O64" s="8" t="n"/>
      <c r="P64" s="8" t="n"/>
      <c r="Q64" s="8" t="n"/>
      <c r="R64" s="8" t="n"/>
      <c r="S64" s="8" t="n"/>
      <c r="T64" s="8" t="n"/>
      <c r="U64" s="8" t="n"/>
      <c r="V64" s="8" t="n"/>
      <c r="W64" s="8" t="n"/>
      <c r="X64" s="139" t="n"/>
      <c r="Y64" s="137" t="inlineStr">
        <is>
          <t>+</t>
        </is>
      </c>
    </row>
    <row r="65">
      <c r="A65" s="6" t="inlineStr">
        <is>
          <t>работник 223</t>
        </is>
      </c>
      <c r="B65" s="6" t="inlineStr">
        <is>
          <t>Водитель автомобиля (категория Д)</t>
        </is>
      </c>
      <c r="C65" s="6" t="inlineStr">
        <is>
          <t>ОБЩЕСТВО С ОГРАНИЧЕННОЙ ОТВЕТСТВЕННОСТЬЮ "АМУР ЗОЛОТО"</t>
        </is>
      </c>
      <c r="D65" s="7" t="inlineStr">
        <is>
          <t>2708001686</t>
        </is>
      </c>
      <c r="E65" s="6" t="inlineStr">
        <is>
          <t>ООО "Амур Золото"</t>
        </is>
      </c>
      <c r="F65" s="7" t="inlineStr">
        <is>
          <t>2708001686</t>
        </is>
      </c>
      <c r="G65" s="7" t="inlineStr">
        <is>
          <t>Успешно</t>
        </is>
      </c>
      <c r="H65" s="6" t="n"/>
      <c r="I65" s="6" t="n"/>
      <c r="J65" s="6" t="inlineStr">
        <is>
          <t>Пользовательский интерфейс</t>
        </is>
      </c>
      <c r="K65" s="7" t="n">
        <v>3</v>
      </c>
      <c r="L65" s="8" t="n"/>
      <c r="M65" s="137" t="inlineStr">
        <is>
          <t>+</t>
        </is>
      </c>
      <c r="N65" s="8" t="n"/>
      <c r="O65" s="8" t="n"/>
      <c r="P65" s="8" t="n"/>
      <c r="Q65" s="8" t="n"/>
      <c r="R65" s="8" t="n"/>
      <c r="S65" s="8" t="n"/>
      <c r="T65" s="8" t="n"/>
      <c r="U65" s="8" t="n"/>
      <c r="V65" s="8" t="n"/>
      <c r="W65" s="8" t="n"/>
      <c r="X65" s="137" t="inlineStr">
        <is>
          <t>+</t>
        </is>
      </c>
      <c r="Y65" s="138" t="inlineStr">
        <is>
          <t>+</t>
        </is>
      </c>
    </row>
    <row r="66">
      <c r="A66" s="6" t="inlineStr">
        <is>
          <t>работник 153</t>
        </is>
      </c>
      <c r="B66" s="6" t="inlineStr">
        <is>
          <t>Машинист подземно-доставочной машины</t>
        </is>
      </c>
      <c r="C66" s="6" t="inlineStr">
        <is>
          <t>ОБЩЕСТВО С ОГРАНИЧЕННОЙ ОТВЕТСТВЕННОСТЬЮ "АМУР ЗОЛОТО"</t>
        </is>
      </c>
      <c r="D66" s="7" t="inlineStr">
        <is>
          <t>2708001686</t>
        </is>
      </c>
      <c r="E66" s="6" t="inlineStr">
        <is>
          <t>ООО "Амур Золото"</t>
        </is>
      </c>
      <c r="F66" s="7" t="inlineStr">
        <is>
          <t>2708001686</t>
        </is>
      </c>
      <c r="G66" s="7" t="inlineStr">
        <is>
          <t>Успешно</t>
        </is>
      </c>
      <c r="H66" s="6" t="n"/>
      <c r="I66" s="6" t="n"/>
      <c r="J66" s="6" t="inlineStr">
        <is>
          <t>Пользовательский интерфейс</t>
        </is>
      </c>
      <c r="K66" s="7" t="n">
        <v>3</v>
      </c>
      <c r="L66" s="8" t="n"/>
      <c r="M66" s="137" t="inlineStr">
        <is>
          <t>+</t>
        </is>
      </c>
      <c r="N66" s="8" t="n"/>
      <c r="O66" s="8" t="n"/>
      <c r="P66" s="8" t="n"/>
      <c r="Q66" s="8" t="n"/>
      <c r="R66" s="8" t="n"/>
      <c r="S66" s="8" t="n"/>
      <c r="T66" s="8" t="n"/>
      <c r="U66" s="8" t="n"/>
      <c r="V66" s="8" t="n"/>
      <c r="W66" s="8" t="n"/>
      <c r="X66" s="137" t="inlineStr">
        <is>
          <t>+</t>
        </is>
      </c>
      <c r="Y66" s="137" t="inlineStr">
        <is>
          <t>+</t>
        </is>
      </c>
    </row>
    <row r="67">
      <c r="A67" s="6" t="inlineStr">
        <is>
          <t>работник 307</t>
        </is>
      </c>
      <c r="B67" s="6" t="inlineStr">
        <is>
          <t>Электрослесарь (слесарь) дежурный и по ремонту оборудования подземного горного участка</t>
        </is>
      </c>
      <c r="C67" s="6" t="inlineStr">
        <is>
          <t>ОБЩЕСТВО С ОГРАНИЧЕННОЙ ОТВЕТСТВЕННОСТЬЮ "АМУР ЗОЛОТО"</t>
        </is>
      </c>
      <c r="D67" s="7" t="inlineStr">
        <is>
          <t>2708001686</t>
        </is>
      </c>
      <c r="E67" s="6" t="inlineStr">
        <is>
          <t>ООО "Амур Золото"</t>
        </is>
      </c>
      <c r="F67" s="7" t="inlineStr">
        <is>
          <t>2708001686</t>
        </is>
      </c>
      <c r="G67" s="7" t="inlineStr">
        <is>
          <t>Успешно</t>
        </is>
      </c>
      <c r="H67" s="6" t="n"/>
      <c r="I67" s="6" t="n"/>
      <c r="J67" s="6" t="inlineStr">
        <is>
          <t>Пользовательский интерфейс</t>
        </is>
      </c>
      <c r="K67" s="7" t="n">
        <v>3</v>
      </c>
      <c r="L67" s="8" t="n"/>
      <c r="M67" s="137" t="inlineStr">
        <is>
          <t>+</t>
        </is>
      </c>
      <c r="N67" s="8" t="n"/>
      <c r="O67" s="8" t="n"/>
      <c r="P67" s="8" t="n"/>
      <c r="Q67" s="8" t="n"/>
      <c r="R67" s="8" t="n"/>
      <c r="S67" s="8" t="n"/>
      <c r="T67" s="8" t="n"/>
      <c r="U67" s="8" t="n"/>
      <c r="V67" s="8" t="n"/>
      <c r="W67" s="8" t="n"/>
      <c r="X67" s="137" t="inlineStr">
        <is>
          <t>+</t>
        </is>
      </c>
      <c r="Y67" s="137" t="inlineStr">
        <is>
          <t>+</t>
        </is>
      </c>
    </row>
    <row r="68">
      <c r="A68" s="6" t="inlineStr">
        <is>
          <t>работник 230</t>
        </is>
      </c>
      <c r="B68" s="6" t="inlineStr">
        <is>
          <t>Кладовщик</t>
        </is>
      </c>
      <c r="C68" s="6" t="inlineStr">
        <is>
          <t>ОБЩЕСТВО С ОГРАНИЧЕННОЙ ОТВЕТСТВЕННОСТЬЮ "АМУР ЗОЛОТО"</t>
        </is>
      </c>
      <c r="D68" s="7" t="inlineStr">
        <is>
          <t>2708001686</t>
        </is>
      </c>
      <c r="E68" s="6" t="inlineStr">
        <is>
          <t>ООО "Амур Золото"</t>
        </is>
      </c>
      <c r="F68" s="7" t="inlineStr">
        <is>
          <t>2708001686</t>
        </is>
      </c>
      <c r="G68" s="7" t="inlineStr">
        <is>
          <t>Успешно</t>
        </is>
      </c>
      <c r="H68" s="6" t="n"/>
      <c r="I68" s="6" t="n"/>
      <c r="J68" s="6" t="inlineStr">
        <is>
          <t>Пользовательский интерфейс</t>
        </is>
      </c>
      <c r="K68" s="7" t="n">
        <v>3</v>
      </c>
      <c r="L68" s="8" t="n"/>
      <c r="M68" s="137" t="inlineStr">
        <is>
          <t>+</t>
        </is>
      </c>
      <c r="N68" s="8" t="n"/>
      <c r="O68" s="8" t="n"/>
      <c r="P68" s="8" t="n"/>
      <c r="Q68" s="8" t="n"/>
      <c r="R68" s="8" t="n"/>
      <c r="S68" s="8" t="n"/>
      <c r="T68" s="8" t="n"/>
      <c r="U68" s="8" t="n"/>
      <c r="V68" s="8" t="n"/>
      <c r="W68" s="8" t="n"/>
      <c r="X68" s="137" t="inlineStr">
        <is>
          <t>+</t>
        </is>
      </c>
      <c r="Y68" s="137" t="inlineStr">
        <is>
          <t>+</t>
        </is>
      </c>
    </row>
    <row r="69">
      <c r="A69" s="6" t="inlineStr">
        <is>
          <t>работник 308</t>
        </is>
      </c>
      <c r="B69" s="6" t="inlineStr">
        <is>
          <t>Электрослесарь (слесарь) дежурный и по ремонту оборудования подземного горного участка</t>
        </is>
      </c>
      <c r="C69" s="6" t="inlineStr">
        <is>
          <t>ОБЩЕСТВО С ОГРАНИЧЕННОЙ ОТВЕТСТВЕННОСТЬЮ "АМУР ЗОЛОТО"</t>
        </is>
      </c>
      <c r="D69" s="7" t="inlineStr">
        <is>
          <t>2708001686</t>
        </is>
      </c>
      <c r="E69" s="6" t="inlineStr">
        <is>
          <t>ООО "Амур Золото"</t>
        </is>
      </c>
      <c r="F69" s="7" t="inlineStr">
        <is>
          <t>2708001686</t>
        </is>
      </c>
      <c r="G69" s="7" t="inlineStr">
        <is>
          <t>Успешно</t>
        </is>
      </c>
      <c r="H69" s="6" t="n"/>
      <c r="I69" s="6" t="n"/>
      <c r="J69" s="6" t="inlineStr">
        <is>
          <t>Пользовательский интерфейс</t>
        </is>
      </c>
      <c r="K69" s="7" t="n">
        <v>5</v>
      </c>
      <c r="L69" s="8" t="n"/>
      <c r="M69" s="137" t="inlineStr">
        <is>
          <t>+</t>
        </is>
      </c>
      <c r="N69" s="8" t="n"/>
      <c r="O69" s="8" t="n"/>
      <c r="P69" s="8" t="n"/>
      <c r="Q69" s="8" t="n"/>
      <c r="R69" s="8" t="n"/>
      <c r="S69" s="8" t="n"/>
      <c r="T69" s="8" t="n"/>
      <c r="U69" s="8" t="n"/>
      <c r="V69" s="8" t="n"/>
      <c r="W69" s="8" t="n"/>
      <c r="X69" s="137" t="inlineStr">
        <is>
          <t>+</t>
        </is>
      </c>
      <c r="Y69" s="137" t="inlineStr">
        <is>
          <t>+</t>
        </is>
      </c>
    </row>
    <row r="70">
      <c r="A70" s="6" t="inlineStr">
        <is>
          <t>работник 64</t>
        </is>
      </c>
      <c r="B70" s="6" t="inlineStr">
        <is>
          <t>Электрослесарь (слесарь)</t>
        </is>
      </c>
      <c r="C70" s="6" t="inlineStr">
        <is>
          <t>ОБЩЕСТВО С ОГРАНИЧЕННОЙ ОТВЕТСТВЕННОСТЬЮ "АМУР ЗОЛОТО"</t>
        </is>
      </c>
      <c r="D70" s="7" t="inlineStr">
        <is>
          <t>2708001686</t>
        </is>
      </c>
      <c r="E70" s="6" t="inlineStr">
        <is>
          <t>ООО "Амур Золото"</t>
        </is>
      </c>
      <c r="F70" s="7" t="inlineStr">
        <is>
          <t>2708001686</t>
        </is>
      </c>
      <c r="G70" s="7" t="inlineStr">
        <is>
          <t>Успешно</t>
        </is>
      </c>
      <c r="H70" s="6" t="n"/>
      <c r="I70" s="6" t="n"/>
      <c r="J70" s="6" t="inlineStr">
        <is>
          <t>Пользовательский интерфейс</t>
        </is>
      </c>
      <c r="K70" s="7" t="n">
        <v>3</v>
      </c>
      <c r="L70" s="8" t="n"/>
      <c r="M70" s="137" t="inlineStr">
        <is>
          <t>+</t>
        </is>
      </c>
      <c r="N70" s="8" t="n"/>
      <c r="O70" s="8" t="n"/>
      <c r="P70" s="8" t="n"/>
      <c r="Q70" s="8" t="n"/>
      <c r="R70" s="8" t="n"/>
      <c r="S70" s="8" t="n"/>
      <c r="T70" s="8" t="n"/>
      <c r="U70" s="8" t="n"/>
      <c r="V70" s="8" t="n"/>
      <c r="W70" s="8" t="n"/>
      <c r="X70" s="137" t="inlineStr">
        <is>
          <t>+</t>
        </is>
      </c>
      <c r="Y70" s="137" t="inlineStr">
        <is>
          <t>+</t>
        </is>
      </c>
    </row>
    <row r="71">
      <c r="A71" s="6" t="inlineStr">
        <is>
          <t>работник 47</t>
        </is>
      </c>
      <c r="B71" s="6" t="inlineStr">
        <is>
          <t>Механик холодильных установок</t>
        </is>
      </c>
      <c r="C71" s="6" t="inlineStr">
        <is>
          <t>ОБЩЕСТВО С ОГРАНИЧЕННОЙ ОТВЕТСТВЕННОСТЬЮ "АМУР ЗОЛОТО"</t>
        </is>
      </c>
      <c r="D71" s="7" t="inlineStr">
        <is>
          <t>2708001686</t>
        </is>
      </c>
      <c r="E71" s="6" t="inlineStr">
        <is>
          <t>ООО "Амур Золото"</t>
        </is>
      </c>
      <c r="F71" s="7" t="inlineStr">
        <is>
          <t>2708001686</t>
        </is>
      </c>
      <c r="G71" s="7" t="inlineStr">
        <is>
          <t>Успешно</t>
        </is>
      </c>
      <c r="H71" s="6" t="n"/>
      <c r="I71" s="6" t="n"/>
      <c r="J71" s="6" t="inlineStr">
        <is>
          <t>Пользовательский интерфейс</t>
        </is>
      </c>
      <c r="K71" s="7" t="n">
        <v>3</v>
      </c>
      <c r="L71" s="8" t="n"/>
      <c r="M71" s="137" t="inlineStr">
        <is>
          <t>+</t>
        </is>
      </c>
      <c r="N71" s="8" t="n"/>
      <c r="O71" s="8" t="n"/>
      <c r="P71" s="8" t="n"/>
      <c r="Q71" s="8" t="n"/>
      <c r="R71" s="8" t="n"/>
      <c r="S71" s="8" t="n"/>
      <c r="T71" s="8" t="n"/>
      <c r="U71" s="8" t="n"/>
      <c r="V71" s="8" t="n"/>
      <c r="W71" s="8" t="n"/>
      <c r="X71" s="140" t="inlineStr">
        <is>
          <t>+</t>
        </is>
      </c>
      <c r="Y71" s="137" t="inlineStr">
        <is>
          <t>+</t>
        </is>
      </c>
    </row>
    <row r="72">
      <c r="A72" s="6" t="inlineStr">
        <is>
          <t>работник 479</t>
        </is>
      </c>
      <c r="B72" s="6" t="inlineStr">
        <is>
          <t>Машинист подземных самоходных машин</t>
        </is>
      </c>
      <c r="C72" s="6" t="inlineStr">
        <is>
          <t>ОБЩЕСТВО С ОГРАНИЧЕННОЙ ОТВЕТСТВЕННОСТЬЮ "АМУР ЗОЛОТО"</t>
        </is>
      </c>
      <c r="D72" s="7" t="inlineStr">
        <is>
          <t>2708001686</t>
        </is>
      </c>
      <c r="E72" s="6" t="inlineStr">
        <is>
          <t>ООО "Амур Золото"</t>
        </is>
      </c>
      <c r="F72" s="7" t="inlineStr">
        <is>
          <t>2708001686</t>
        </is>
      </c>
      <c r="G72" s="7" t="inlineStr">
        <is>
          <t>Успешно</t>
        </is>
      </c>
      <c r="H72" s="6" t="n"/>
      <c r="I72" s="6" t="n"/>
      <c r="J72" s="6" t="inlineStr">
        <is>
          <t>Пользовательский интерфейс</t>
        </is>
      </c>
      <c r="K72" s="7" t="n">
        <v>4</v>
      </c>
      <c r="L72" s="8" t="n"/>
      <c r="M72" s="137" t="inlineStr">
        <is>
          <t>+</t>
        </is>
      </c>
      <c r="N72" s="8" t="n"/>
      <c r="O72" s="8" t="n"/>
      <c r="P72" s="8" t="n"/>
      <c r="Q72" s="8" t="n"/>
      <c r="R72" s="8" t="n"/>
      <c r="S72" s="8" t="n"/>
      <c r="T72" s="8" t="n"/>
      <c r="U72" s="8" t="n"/>
      <c r="V72" s="8" t="n"/>
      <c r="W72" s="8" t="n"/>
      <c r="X72" s="139" t="n"/>
      <c r="Y72" s="137" t="inlineStr">
        <is>
          <t>+</t>
        </is>
      </c>
    </row>
    <row r="73">
      <c r="A73" s="6" t="inlineStr">
        <is>
          <t>работник 261</t>
        </is>
      </c>
      <c r="B73" s="6" t="inlineStr">
        <is>
          <t>Машинист бульдозера</t>
        </is>
      </c>
      <c r="C73" s="6" t="inlineStr">
        <is>
          <t>ОБЩЕСТВО С ОГРАНИЧЕННОЙ ОТВЕТСТВЕННОСТЬЮ "АМУР ЗОЛОТО"</t>
        </is>
      </c>
      <c r="D73" s="7" t="inlineStr">
        <is>
          <t>2708001686</t>
        </is>
      </c>
      <c r="E73" s="6" t="inlineStr">
        <is>
          <t>ООО "Амур Золото"</t>
        </is>
      </c>
      <c r="F73" s="7" t="inlineStr">
        <is>
          <t>2708001686</t>
        </is>
      </c>
      <c r="G73" s="7" t="inlineStr">
        <is>
          <t>Успешно</t>
        </is>
      </c>
      <c r="H73" s="6" t="n"/>
      <c r="I73" s="6" t="n"/>
      <c r="J73" s="6" t="inlineStr">
        <is>
          <t>Пользовательский интерфейс</t>
        </is>
      </c>
      <c r="K73" s="7" t="n">
        <v>6</v>
      </c>
      <c r="L73" s="8" t="n"/>
      <c r="M73" s="137" t="inlineStr">
        <is>
          <t>+</t>
        </is>
      </c>
      <c r="N73" s="8" t="n"/>
      <c r="O73" s="8" t="n"/>
      <c r="P73" s="8" t="n"/>
      <c r="Q73" s="8" t="n"/>
      <c r="R73" s="8" t="n"/>
      <c r="S73" s="8" t="n"/>
      <c r="T73" s="8" t="n"/>
      <c r="U73" s="8" t="n"/>
      <c r="V73" s="8" t="n"/>
      <c r="W73" s="8" t="n"/>
      <c r="X73" s="137" t="inlineStr">
        <is>
          <t>+</t>
        </is>
      </c>
      <c r="Y73" s="137" t="inlineStr">
        <is>
          <t>+</t>
        </is>
      </c>
    </row>
    <row r="74">
      <c r="A74" s="6" t="inlineStr">
        <is>
          <t>работник 836</t>
        </is>
      </c>
      <c r="B74" s="6" t="inlineStr">
        <is>
          <t>Растворщик реагентов</t>
        </is>
      </c>
      <c r="C74" s="6" t="inlineStr">
        <is>
          <t>ОБЩЕСТВО С ОГРАНИЧЕННОЙ ОТВЕТСТВЕННОСТЬЮ "АМУР ЗОЛОТО"</t>
        </is>
      </c>
      <c r="D74" s="7" t="inlineStr">
        <is>
          <t>2708001686</t>
        </is>
      </c>
      <c r="E74" s="6" t="inlineStr">
        <is>
          <t>ООО "Амур Золото"</t>
        </is>
      </c>
      <c r="F74" s="7" t="inlineStr">
        <is>
          <t>2708001686</t>
        </is>
      </c>
      <c r="G74" s="7" t="inlineStr">
        <is>
          <t>Успешно</t>
        </is>
      </c>
      <c r="H74" s="6" t="n"/>
      <c r="I74" s="6" t="n"/>
      <c r="J74" s="6" t="inlineStr">
        <is>
          <t>Пользовательский интерфейс</t>
        </is>
      </c>
      <c r="K74" s="7" t="n">
        <v>3</v>
      </c>
      <c r="L74" s="8" t="n"/>
      <c r="M74" s="137" t="inlineStr">
        <is>
          <t>+</t>
        </is>
      </c>
      <c r="N74" s="8" t="n"/>
      <c r="O74" s="8" t="n"/>
      <c r="P74" s="8" t="n"/>
      <c r="Q74" s="8" t="n"/>
      <c r="R74" s="8" t="n"/>
      <c r="S74" s="8" t="n"/>
      <c r="T74" s="8" t="n"/>
      <c r="U74" s="8" t="n"/>
      <c r="V74" s="8" t="n"/>
      <c r="W74" s="8" t="n"/>
      <c r="X74" s="137" t="inlineStr">
        <is>
          <t>+</t>
        </is>
      </c>
      <c r="Y74" s="137" t="inlineStr">
        <is>
          <t>+</t>
        </is>
      </c>
    </row>
    <row r="75">
      <c r="A75" s="6" t="inlineStr">
        <is>
          <t>работник 262</t>
        </is>
      </c>
      <c r="B75" s="6" t="inlineStr">
        <is>
          <t>Электрогазосварщик (занятый на резке и ручной сварке)</t>
        </is>
      </c>
      <c r="C75" s="6" t="inlineStr">
        <is>
          <t>ОБЩЕСТВО С ОГРАНИЧЕННОЙ ОТВЕТСТВЕННОСТЬЮ "АМУР ЗОЛОТО"</t>
        </is>
      </c>
      <c r="D75" s="7" t="inlineStr">
        <is>
          <t>2708001686</t>
        </is>
      </c>
      <c r="E75" s="6" t="inlineStr">
        <is>
          <t>ООО "Амур Золото"</t>
        </is>
      </c>
      <c r="F75" s="7" t="inlineStr">
        <is>
          <t>2708001686</t>
        </is>
      </c>
      <c r="G75" s="7" t="inlineStr">
        <is>
          <t>Успешно</t>
        </is>
      </c>
      <c r="H75" s="6" t="n"/>
      <c r="I75" s="6" t="n"/>
      <c r="J75" s="6" t="inlineStr">
        <is>
          <t>Пользовательский интерфейс</t>
        </is>
      </c>
      <c r="K75" s="7" t="n">
        <v>8</v>
      </c>
      <c r="L75" s="8" t="n"/>
      <c r="M75" s="137" t="inlineStr">
        <is>
          <t>+</t>
        </is>
      </c>
      <c r="N75" s="137" t="inlineStr">
        <is>
          <t>+</t>
        </is>
      </c>
      <c r="O75" s="137" t="inlineStr">
        <is>
          <t>+</t>
        </is>
      </c>
      <c r="P75" s="8" t="n"/>
      <c r="Q75" s="8" t="n"/>
      <c r="R75" s="8" t="n"/>
      <c r="S75" s="8" t="n"/>
      <c r="T75" s="8" t="n"/>
      <c r="U75" s="8" t="n"/>
      <c r="V75" s="8" t="n"/>
      <c r="W75" s="8" t="n"/>
      <c r="X75" s="137" t="inlineStr">
        <is>
          <t>+</t>
        </is>
      </c>
      <c r="Y75" s="137" t="inlineStr">
        <is>
          <t>+</t>
        </is>
      </c>
    </row>
    <row r="76">
      <c r="A76" s="6" t="inlineStr">
        <is>
          <t>работник 55</t>
        </is>
      </c>
      <c r="B76" s="6" t="inlineStr">
        <is>
          <t>Машинист насосных установок</t>
        </is>
      </c>
      <c r="C76" s="6" t="inlineStr">
        <is>
          <t>ОБЩЕСТВО С ОГРАНИЧЕННОЙ ОТВЕТСТВЕННОСТЬЮ "АМУР ЗОЛОТО"</t>
        </is>
      </c>
      <c r="D76" s="7" t="inlineStr">
        <is>
          <t>2708001686</t>
        </is>
      </c>
      <c r="E76" s="6" t="inlineStr">
        <is>
          <t>ООО "Амур Золото"</t>
        </is>
      </c>
      <c r="F76" s="7" t="inlineStr">
        <is>
          <t>2708001686</t>
        </is>
      </c>
      <c r="G76" s="7" t="inlineStr">
        <is>
          <t>Успешно</t>
        </is>
      </c>
      <c r="H76" s="6" t="n"/>
      <c r="I76" s="6" t="n"/>
      <c r="J76" s="6" t="inlineStr">
        <is>
          <t>Пользовательский интерфейс</t>
        </is>
      </c>
      <c r="K76" s="7" t="n">
        <v>3</v>
      </c>
      <c r="L76" s="8" t="n"/>
      <c r="M76" s="137" t="inlineStr">
        <is>
          <t>+</t>
        </is>
      </c>
      <c r="N76" s="8" t="n"/>
      <c r="O76" s="8" t="n"/>
      <c r="P76" s="8" t="n"/>
      <c r="Q76" s="8" t="n"/>
      <c r="R76" s="8" t="n"/>
      <c r="S76" s="8" t="n"/>
      <c r="T76" s="8" t="n"/>
      <c r="U76" s="8" t="n"/>
      <c r="V76" s="8" t="n"/>
      <c r="W76" s="8" t="n"/>
      <c r="X76" s="137" t="inlineStr">
        <is>
          <t>+</t>
        </is>
      </c>
      <c r="Y76" s="137" t="inlineStr">
        <is>
          <t>+</t>
        </is>
      </c>
    </row>
    <row r="77">
      <c r="A77" s="6" t="inlineStr">
        <is>
          <t>работник 263</t>
        </is>
      </c>
      <c r="B77" s="6" t="inlineStr">
        <is>
          <t>Водитель погрузчика</t>
        </is>
      </c>
      <c r="C77" s="6" t="inlineStr">
        <is>
          <t>ОБЩЕСТВО С ОГРАНИЧЕННОЙ ОТВЕТСТВЕННОСТЬЮ "АМУР ЗОЛОТО"</t>
        </is>
      </c>
      <c r="D77" s="7" t="inlineStr">
        <is>
          <t>2708001686</t>
        </is>
      </c>
      <c r="E77" s="6" t="inlineStr">
        <is>
          <t>ООО "Амур Золото"</t>
        </is>
      </c>
      <c r="F77" s="7" t="inlineStr">
        <is>
          <t>2708001686</t>
        </is>
      </c>
      <c r="G77" s="7" t="inlineStr">
        <is>
          <t>Успешно</t>
        </is>
      </c>
      <c r="H77" s="6" t="n"/>
      <c r="I77" s="6" t="n"/>
      <c r="J77" s="6" t="inlineStr">
        <is>
          <t>Пользовательский интерфейс</t>
        </is>
      </c>
      <c r="K77" s="7" t="n">
        <v>3</v>
      </c>
      <c r="L77" s="8" t="n"/>
      <c r="M77" s="137" t="inlineStr">
        <is>
          <t>+</t>
        </is>
      </c>
      <c r="N77" s="8" t="n"/>
      <c r="O77" s="8" t="n"/>
      <c r="P77" s="8" t="n"/>
      <c r="Q77" s="8" t="n"/>
      <c r="R77" s="8" t="n"/>
      <c r="S77" s="8" t="n"/>
      <c r="T77" s="8" t="n"/>
      <c r="U77" s="8" t="n"/>
      <c r="V77" s="8" t="n"/>
      <c r="W77" s="8" t="n"/>
      <c r="X77" s="137" t="inlineStr">
        <is>
          <t>+</t>
        </is>
      </c>
      <c r="Y77" s="137" t="inlineStr">
        <is>
          <t>+</t>
        </is>
      </c>
    </row>
    <row r="78">
      <c r="A78" s="6" t="inlineStr">
        <is>
          <t>работник 15</t>
        </is>
      </c>
      <c r="B78" s="6" t="inlineStr">
        <is>
          <t>Проходчик (с исполнением обязанностей взрывника)</t>
        </is>
      </c>
      <c r="C78" s="6" t="inlineStr">
        <is>
          <t>ОБЩЕСТВО С ОГРАНИЧЕННОЙ ОТВЕТСТВЕННОСТЬЮ "АМУР ЗОЛОТО"</t>
        </is>
      </c>
      <c r="D78" s="7" t="inlineStr">
        <is>
          <t>2708001686</t>
        </is>
      </c>
      <c r="E78" s="6" t="inlineStr">
        <is>
          <t>ООО "Амур Золото"</t>
        </is>
      </c>
      <c r="F78" s="7" t="inlineStr">
        <is>
          <t>2708001686</t>
        </is>
      </c>
      <c r="G78" s="7" t="inlineStr">
        <is>
          <t>Успешно</t>
        </is>
      </c>
      <c r="H78" s="6" t="n"/>
      <c r="I78" s="6" t="n"/>
      <c r="J78" s="6" t="inlineStr">
        <is>
          <t>Пользовательский интерфейс</t>
        </is>
      </c>
      <c r="K78" s="7" t="n">
        <v>3</v>
      </c>
      <c r="L78" s="8" t="n"/>
      <c r="M78" s="137" t="inlineStr">
        <is>
          <t>+</t>
        </is>
      </c>
      <c r="N78" s="8" t="n"/>
      <c r="O78" s="8" t="n"/>
      <c r="P78" s="8" t="n"/>
      <c r="Q78" s="8" t="n"/>
      <c r="R78" s="8" t="n"/>
      <c r="S78" s="8" t="n"/>
      <c r="T78" s="8" t="n"/>
      <c r="U78" s="8" t="n"/>
      <c r="V78" s="8" t="n"/>
      <c r="W78" s="8" t="n"/>
      <c r="X78" s="137" t="inlineStr">
        <is>
          <t>+</t>
        </is>
      </c>
      <c r="Y78" s="137" t="inlineStr">
        <is>
          <t>+</t>
        </is>
      </c>
    </row>
    <row r="79">
      <c r="A79" s="6" t="inlineStr">
        <is>
          <t>работник 841</t>
        </is>
      </c>
      <c r="B79" s="6" t="inlineStr">
        <is>
          <t>Машинист самоходной буровой установки</t>
        </is>
      </c>
      <c r="C79" s="6" t="inlineStr">
        <is>
          <t>ОБЩЕСТВО С ОГРАНИЧЕННОЙ ОТВЕТСТВЕННОСТЬЮ "АМУР ЗОЛОТО"</t>
        </is>
      </c>
      <c r="D79" s="7" t="inlineStr">
        <is>
          <t>2708001686</t>
        </is>
      </c>
      <c r="E79" s="6" t="inlineStr">
        <is>
          <t>ООО "Амур Золото"</t>
        </is>
      </c>
      <c r="F79" s="7" t="inlineStr">
        <is>
          <t>2708001686</t>
        </is>
      </c>
      <c r="G79" s="7" t="inlineStr">
        <is>
          <t>Успешно</t>
        </is>
      </c>
      <c r="H79" s="6" t="n"/>
      <c r="I79" s="6" t="n"/>
      <c r="J79" s="6" t="inlineStr">
        <is>
          <t>Пользовательский интерфейс</t>
        </is>
      </c>
      <c r="K79" s="7" t="n">
        <v>3</v>
      </c>
      <c r="L79" s="8" t="n"/>
      <c r="M79" s="137" t="inlineStr">
        <is>
          <t>+</t>
        </is>
      </c>
      <c r="N79" s="8" t="n"/>
      <c r="O79" s="8" t="n"/>
      <c r="P79" s="8" t="n"/>
      <c r="Q79" s="8" t="n"/>
      <c r="R79" s="8" t="n"/>
      <c r="S79" s="8" t="n"/>
      <c r="T79" s="8" t="n"/>
      <c r="U79" s="8" t="n"/>
      <c r="V79" s="8" t="n"/>
      <c r="W79" s="8" t="n"/>
      <c r="X79" s="137" t="inlineStr">
        <is>
          <t>+</t>
        </is>
      </c>
      <c r="Y79" s="137" t="inlineStr">
        <is>
          <t>+</t>
        </is>
      </c>
    </row>
    <row r="80">
      <c r="A80" s="6" t="inlineStr">
        <is>
          <t>работник 893</t>
        </is>
      </c>
      <c r="B80" s="6" t="inlineStr">
        <is>
          <t>Машинист погрузочно-доставочной машины (занятый на транспортировании горной массы в технологическом процессе)</t>
        </is>
      </c>
      <c r="C80" s="6" t="inlineStr">
        <is>
          <t>ОБЩЕСТВО С ОГРАНИЧЕННОЙ ОТВЕТСТВЕННОСТЬЮ "АМУР ЗОЛОТО"</t>
        </is>
      </c>
      <c r="D80" s="7" t="inlineStr">
        <is>
          <t>2708001686</t>
        </is>
      </c>
      <c r="E80" s="6" t="inlineStr">
        <is>
          <t>ООО "Амур Золото"</t>
        </is>
      </c>
      <c r="F80" s="7" t="inlineStr">
        <is>
          <t>2708001686</t>
        </is>
      </c>
      <c r="G80" s="7" t="inlineStr">
        <is>
          <t>Успешно</t>
        </is>
      </c>
      <c r="H80" s="6" t="n"/>
      <c r="I80" s="6" t="n"/>
      <c r="J80" s="6" t="inlineStr">
        <is>
          <t>Пользовательский интерфейс</t>
        </is>
      </c>
      <c r="K80" s="7" t="n">
        <v>3</v>
      </c>
      <c r="L80" s="8" t="n"/>
      <c r="M80" s="137" t="inlineStr">
        <is>
          <t>+</t>
        </is>
      </c>
      <c r="N80" s="8" t="n"/>
      <c r="O80" s="8" t="n"/>
      <c r="P80" s="8" t="n"/>
      <c r="Q80" s="8" t="n"/>
      <c r="R80" s="8" t="n"/>
      <c r="S80" s="8" t="n"/>
      <c r="T80" s="8" t="n"/>
      <c r="U80" s="8" t="n"/>
      <c r="V80" s="8" t="n"/>
      <c r="W80" s="8" t="n"/>
      <c r="X80" s="137" t="inlineStr">
        <is>
          <t>+</t>
        </is>
      </c>
      <c r="Y80" s="137" t="inlineStr">
        <is>
          <t>+</t>
        </is>
      </c>
    </row>
    <row r="81">
      <c r="A81" s="6" t="inlineStr">
        <is>
          <t>работник 871</t>
        </is>
      </c>
      <c r="B81" s="6" t="inlineStr">
        <is>
          <t>Повар</t>
        </is>
      </c>
      <c r="C81" s="6" t="inlineStr">
        <is>
          <t>ОБЩЕСТВО С ОГРАНИЧЕННОЙ ОТВЕТСТВЕННОСТЬЮ "АМУР ЗОЛОТО"</t>
        </is>
      </c>
      <c r="D81" s="7" t="inlineStr">
        <is>
          <t>2708001686</t>
        </is>
      </c>
      <c r="E81" s="6" t="inlineStr">
        <is>
          <t>ООО "Амур Золото"</t>
        </is>
      </c>
      <c r="F81" s="7" t="inlineStr">
        <is>
          <t>2708001686</t>
        </is>
      </c>
      <c r="G81" s="7" t="inlineStr">
        <is>
          <t>Успешно</t>
        </is>
      </c>
      <c r="H81" s="6" t="n"/>
      <c r="I81" s="6" t="n"/>
      <c r="J81" s="6" t="inlineStr">
        <is>
          <t>Пользовательский интерфейс</t>
        </is>
      </c>
      <c r="K81" s="7" t="n">
        <v>3</v>
      </c>
      <c r="L81" s="8" t="n"/>
      <c r="M81" s="137" t="inlineStr">
        <is>
          <t>+</t>
        </is>
      </c>
      <c r="N81" s="8" t="n"/>
      <c r="O81" s="8" t="n"/>
      <c r="P81" s="8" t="n"/>
      <c r="Q81" s="8" t="n"/>
      <c r="R81" s="8" t="n"/>
      <c r="S81" s="8" t="n"/>
      <c r="T81" s="8" t="n"/>
      <c r="U81" s="8" t="n"/>
      <c r="V81" s="8" t="n"/>
      <c r="W81" s="8" t="n"/>
      <c r="X81" s="137" t="inlineStr">
        <is>
          <t>+</t>
        </is>
      </c>
      <c r="Y81" s="138" t="inlineStr">
        <is>
          <t>+</t>
        </is>
      </c>
    </row>
    <row r="82">
      <c r="A82" s="6" t="inlineStr">
        <is>
          <t>работник 154</t>
        </is>
      </c>
      <c r="B82" s="6" t="inlineStr">
        <is>
          <t>Машинист погрузочно-доставочной машины / Машинист подземно-доставочной машины</t>
        </is>
      </c>
      <c r="C82" s="6" t="inlineStr">
        <is>
          <t>ОБЩЕСТВО С ОГРАНИЧЕННОЙ ОТВЕТСТВЕННОСТЬЮ "АМУР ЗОЛОТО"</t>
        </is>
      </c>
      <c r="D82" s="7" t="inlineStr">
        <is>
          <t>2708001686</t>
        </is>
      </c>
      <c r="E82" s="6" t="inlineStr">
        <is>
          <t>ООО "Амур Золото"</t>
        </is>
      </c>
      <c r="F82" s="7" t="inlineStr">
        <is>
          <t>2708001686</t>
        </is>
      </c>
      <c r="G82" s="7" t="inlineStr">
        <is>
          <t>Успешно</t>
        </is>
      </c>
      <c r="H82" s="6" t="n"/>
      <c r="I82" s="6" t="n"/>
      <c r="J82" s="6" t="inlineStr">
        <is>
          <t>Пользовательский интерфейс</t>
        </is>
      </c>
      <c r="K82" s="7" t="n">
        <v>8</v>
      </c>
      <c r="L82" s="8" t="n"/>
      <c r="M82" s="137" t="inlineStr">
        <is>
          <t>+</t>
        </is>
      </c>
      <c r="N82" s="8" t="n"/>
      <c r="O82" s="8" t="n"/>
      <c r="P82" s="8" t="n"/>
      <c r="Q82" s="8" t="n"/>
      <c r="R82" s="8" t="n"/>
      <c r="S82" s="8" t="n"/>
      <c r="T82" s="8" t="n"/>
      <c r="U82" s="8" t="n"/>
      <c r="V82" s="8" t="n"/>
      <c r="W82" s="8" t="n"/>
      <c r="X82" s="137" t="inlineStr">
        <is>
          <t>+</t>
        </is>
      </c>
      <c r="Y82" s="137" t="inlineStr">
        <is>
          <t>+</t>
        </is>
      </c>
    </row>
    <row r="83">
      <c r="A83" s="6" t="inlineStr">
        <is>
          <t>работник 155</t>
        </is>
      </c>
      <c r="B83" s="6" t="inlineStr">
        <is>
          <t>Машинист самоходной буровой установки / Машинист  самоходной буровой установки (Проходка)</t>
        </is>
      </c>
      <c r="C83" s="6" t="inlineStr">
        <is>
          <t>ОБЩЕСТВО С ОГРАНИЧЕННОЙ ОТВЕТСТВЕННОСТЬЮ "АМУР ЗОЛОТО"</t>
        </is>
      </c>
      <c r="D83" s="7" t="inlineStr">
        <is>
          <t>2708001686</t>
        </is>
      </c>
      <c r="E83" s="6" t="inlineStr">
        <is>
          <t>ООО "Амур Золото"</t>
        </is>
      </c>
      <c r="F83" s="7" t="inlineStr">
        <is>
          <t>2708001686</t>
        </is>
      </c>
      <c r="G83" s="7" t="inlineStr">
        <is>
          <t>Успешно</t>
        </is>
      </c>
      <c r="H83" s="6" t="n"/>
      <c r="I83" s="6" t="n"/>
      <c r="J83" s="6" t="inlineStr">
        <is>
          <t>Пользовательский интерфейс</t>
        </is>
      </c>
      <c r="K83" s="7" t="n">
        <v>5</v>
      </c>
      <c r="L83" s="8" t="n"/>
      <c r="M83" s="137" t="inlineStr">
        <is>
          <t>+</t>
        </is>
      </c>
      <c r="N83" s="8" t="n"/>
      <c r="O83" s="8" t="n"/>
      <c r="P83" s="8" t="n"/>
      <c r="Q83" s="8" t="n"/>
      <c r="R83" s="8" t="n"/>
      <c r="S83" s="8" t="n"/>
      <c r="T83" s="8" t="n"/>
      <c r="U83" s="8" t="n"/>
      <c r="V83" s="8" t="n"/>
      <c r="W83" s="8" t="n"/>
      <c r="X83" s="137" t="inlineStr">
        <is>
          <t>+</t>
        </is>
      </c>
      <c r="Y83" s="137" t="inlineStr">
        <is>
          <t>+</t>
        </is>
      </c>
    </row>
    <row r="84">
      <c r="A84" s="6" t="inlineStr">
        <is>
          <t>работник 110</t>
        </is>
      </c>
      <c r="B84" s="6" t="inlineStr">
        <is>
          <t>Весовщик / Пробоотборщик</t>
        </is>
      </c>
      <c r="C84" s="6" t="inlineStr">
        <is>
          <t>ОБЩЕСТВО С ОГРАНИЧЕННОЙ ОТВЕТСТВЕННОСТЬЮ "АМУР ЗОЛОТО"</t>
        </is>
      </c>
      <c r="D84" s="7" t="inlineStr">
        <is>
          <t>2708001686</t>
        </is>
      </c>
      <c r="E84" s="6" t="inlineStr">
        <is>
          <t>ООО "Амур Золото"</t>
        </is>
      </c>
      <c r="F84" s="7" t="inlineStr">
        <is>
          <t>2708001686</t>
        </is>
      </c>
      <c r="G84" s="7" t="inlineStr">
        <is>
          <t>Успешно</t>
        </is>
      </c>
      <c r="H84" s="6" t="n"/>
      <c r="I84" s="6" t="n"/>
      <c r="J84" s="6" t="inlineStr">
        <is>
          <t>Пользовательский интерфейс</t>
        </is>
      </c>
      <c r="K84" s="7" t="n">
        <v>5</v>
      </c>
      <c r="L84" s="8" t="n"/>
      <c r="M84" s="137" t="inlineStr">
        <is>
          <t>+</t>
        </is>
      </c>
      <c r="N84" s="8" t="n"/>
      <c r="O84" s="8" t="n"/>
      <c r="P84" s="8" t="n"/>
      <c r="Q84" s="8" t="n"/>
      <c r="R84" s="8" t="n"/>
      <c r="S84" s="8" t="n"/>
      <c r="T84" s="8" t="n"/>
      <c r="U84" s="8" t="n"/>
      <c r="V84" s="8" t="n"/>
      <c r="W84" s="8" t="n"/>
      <c r="X84" s="137" t="inlineStr">
        <is>
          <t>+</t>
        </is>
      </c>
      <c r="Y84" s="137" t="inlineStr">
        <is>
          <t>+</t>
        </is>
      </c>
    </row>
    <row r="85">
      <c r="A85" s="6" t="inlineStr">
        <is>
          <t>работник 309</t>
        </is>
      </c>
      <c r="B85" s="6" t="inlineStr">
        <is>
          <t>Крепильщик</t>
        </is>
      </c>
      <c r="C85" s="6" t="inlineStr">
        <is>
          <t>ОБЩЕСТВО С ОГРАНИЧЕННОЙ ОТВЕТСТВЕННОСТЬЮ "АМУР ЗОЛОТО"</t>
        </is>
      </c>
      <c r="D85" s="7" t="inlineStr">
        <is>
          <t>2708001686</t>
        </is>
      </c>
      <c r="E85" s="6" t="inlineStr">
        <is>
          <t>ООО "Амур Золото"</t>
        </is>
      </c>
      <c r="F85" s="7" t="inlineStr">
        <is>
          <t>2708001686</t>
        </is>
      </c>
      <c r="G85" s="7" t="inlineStr">
        <is>
          <t>Успешно</t>
        </is>
      </c>
      <c r="H85" s="6" t="n"/>
      <c r="I85" s="6" t="n"/>
      <c r="J85" s="6" t="inlineStr">
        <is>
          <t>Пользовательский интерфейс</t>
        </is>
      </c>
      <c r="K85" s="7" t="n">
        <v>3</v>
      </c>
      <c r="L85" s="8" t="n"/>
      <c r="M85" s="137" t="inlineStr">
        <is>
          <t>+</t>
        </is>
      </c>
      <c r="N85" s="8" t="n"/>
      <c r="O85" s="8" t="n"/>
      <c r="P85" s="8" t="n"/>
      <c r="Q85" s="8" t="n"/>
      <c r="R85" s="8" t="n"/>
      <c r="S85" s="8" t="n"/>
      <c r="T85" s="8" t="n"/>
      <c r="U85" s="8" t="n"/>
      <c r="V85" s="8" t="n"/>
      <c r="W85" s="8" t="n"/>
      <c r="X85" s="137" t="inlineStr">
        <is>
          <t>+</t>
        </is>
      </c>
      <c r="Y85" s="137" t="inlineStr">
        <is>
          <t>+</t>
        </is>
      </c>
    </row>
    <row r="86">
      <c r="A86" s="6" t="inlineStr">
        <is>
          <t>работник 896</t>
        </is>
      </c>
      <c r="B86" s="6" t="inlineStr">
        <is>
          <t>Крепильщик</t>
        </is>
      </c>
      <c r="C86" s="6" t="inlineStr">
        <is>
          <t>ОБЩЕСТВО С ОГРАНИЧЕННОЙ ОТВЕТСТВЕННОСТЬЮ "АМУР ЗОЛОТО"</t>
        </is>
      </c>
      <c r="D86" s="7" t="inlineStr">
        <is>
          <t>2708001686</t>
        </is>
      </c>
      <c r="E86" s="6" t="inlineStr">
        <is>
          <t>ООО "Амур Золото"</t>
        </is>
      </c>
      <c r="F86" s="7" t="inlineStr">
        <is>
          <t>2708001686</t>
        </is>
      </c>
      <c r="G86" s="7" t="inlineStr">
        <is>
          <t>Успешно</t>
        </is>
      </c>
      <c r="H86" s="6" t="n"/>
      <c r="I86" s="6" t="n"/>
      <c r="J86" s="6" t="inlineStr">
        <is>
          <t>Пользовательский интерфейс</t>
        </is>
      </c>
      <c r="K86" s="7" t="n">
        <v>3</v>
      </c>
      <c r="L86" s="8" t="n"/>
      <c r="M86" s="137" t="inlineStr">
        <is>
          <t>+</t>
        </is>
      </c>
      <c r="N86" s="8" t="n"/>
      <c r="O86" s="8" t="n"/>
      <c r="P86" s="8" t="n"/>
      <c r="Q86" s="8" t="n"/>
      <c r="R86" s="8" t="n"/>
      <c r="S86" s="8" t="n"/>
      <c r="T86" s="8" t="n"/>
      <c r="U86" s="8" t="n"/>
      <c r="V86" s="8" t="n"/>
      <c r="W86" s="8" t="n"/>
      <c r="X86" s="137" t="inlineStr">
        <is>
          <t>+</t>
        </is>
      </c>
      <c r="Y86" s="137" t="inlineStr">
        <is>
          <t>+</t>
        </is>
      </c>
    </row>
    <row r="87">
      <c r="A87" s="6" t="inlineStr">
        <is>
          <t>работник 60</t>
        </is>
      </c>
      <c r="B87" s="6" t="inlineStr">
        <is>
          <t>Слесарь-сантехник</t>
        </is>
      </c>
      <c r="C87" s="6" t="inlineStr">
        <is>
          <t>ОБЩЕСТВО С ОГРАНИЧЕННОЙ ОТВЕТСТВЕННОСТЬЮ "АМУР ЗОЛОТО"</t>
        </is>
      </c>
      <c r="D87" s="7" t="inlineStr">
        <is>
          <t>2708001686</t>
        </is>
      </c>
      <c r="E87" s="6" t="inlineStr">
        <is>
          <t>ООО "Амур Золото"</t>
        </is>
      </c>
      <c r="F87" s="7" t="inlineStr">
        <is>
          <t>2708001686</t>
        </is>
      </c>
      <c r="G87" s="7" t="inlineStr">
        <is>
          <t>Успешно</t>
        </is>
      </c>
      <c r="H87" s="6" t="n"/>
      <c r="I87" s="6" t="n"/>
      <c r="J87" s="6" t="inlineStr">
        <is>
          <t>Пользовательский интерфейс</t>
        </is>
      </c>
      <c r="K87" s="7" t="n">
        <v>3</v>
      </c>
      <c r="L87" s="8" t="n"/>
      <c r="M87" s="137" t="inlineStr">
        <is>
          <t>+</t>
        </is>
      </c>
      <c r="N87" s="8" t="n"/>
      <c r="O87" s="8" t="n"/>
      <c r="P87" s="8" t="n"/>
      <c r="Q87" s="8" t="n"/>
      <c r="R87" s="8" t="n"/>
      <c r="S87" s="8" t="n"/>
      <c r="T87" s="8" t="n"/>
      <c r="U87" s="8" t="n"/>
      <c r="V87" s="8" t="n"/>
      <c r="W87" s="8" t="n"/>
      <c r="X87" s="137" t="inlineStr">
        <is>
          <t>+</t>
        </is>
      </c>
      <c r="Y87" s="137" t="inlineStr">
        <is>
          <t>+</t>
        </is>
      </c>
    </row>
    <row r="88">
      <c r="A88" s="6" t="inlineStr">
        <is>
          <t>работник 761</t>
        </is>
      </c>
      <c r="B88" s="6" t="inlineStr">
        <is>
          <t>Машинист погрузочно-доставочной машины (занятый на транспортировании горной массы в технологическом процессе)</t>
        </is>
      </c>
      <c r="C88" s="6" t="inlineStr">
        <is>
          <t>ОБЩЕСТВО С ОГРАНИЧЕННОЙ ОТВЕТСТВЕННОСТЬЮ "АМУР ЗОЛОТО"</t>
        </is>
      </c>
      <c r="D88" s="7" t="inlineStr">
        <is>
          <t>2708001686</t>
        </is>
      </c>
      <c r="E88" s="6" t="inlineStr">
        <is>
          <t>ООО "Амур Золото"</t>
        </is>
      </c>
      <c r="F88" s="7" t="inlineStr">
        <is>
          <t>2708001686</t>
        </is>
      </c>
      <c r="G88" s="7" t="inlineStr">
        <is>
          <t>Успешно</t>
        </is>
      </c>
      <c r="H88" s="6" t="n"/>
      <c r="I88" s="6" t="n"/>
      <c r="J88" s="6" t="inlineStr">
        <is>
          <t>Пользовательский интерфейс</t>
        </is>
      </c>
      <c r="K88" s="7" t="n">
        <v>6</v>
      </c>
      <c r="L88" s="8" t="n"/>
      <c r="M88" s="137" t="inlineStr">
        <is>
          <t>+</t>
        </is>
      </c>
      <c r="N88" s="8" t="n"/>
      <c r="O88" s="8" t="n"/>
      <c r="P88" s="8" t="n"/>
      <c r="Q88" s="8" t="n"/>
      <c r="R88" s="8" t="n"/>
      <c r="S88" s="8" t="n"/>
      <c r="T88" s="8" t="n"/>
      <c r="U88" s="8" t="n"/>
      <c r="V88" s="8" t="n"/>
      <c r="W88" s="8" t="n"/>
      <c r="X88" s="137" t="inlineStr">
        <is>
          <t>+</t>
        </is>
      </c>
      <c r="Y88" s="137" t="inlineStr">
        <is>
          <t>+</t>
        </is>
      </c>
    </row>
    <row r="89">
      <c r="A89" s="6" t="inlineStr">
        <is>
          <t>работник 891</t>
        </is>
      </c>
      <c r="B89" s="6" t="inlineStr">
        <is>
          <t>Машинист погрузочно-доставочной машины (занятый на транспортировании горной массы в технологическом процессе)</t>
        </is>
      </c>
      <c r="C89" s="6" t="inlineStr">
        <is>
          <t>ОБЩЕСТВО С ОГРАНИЧЕННОЙ ОТВЕТСТВЕННОСТЬЮ "АМУР ЗОЛОТО"</t>
        </is>
      </c>
      <c r="D89" s="7" t="inlineStr">
        <is>
          <t>2708001686</t>
        </is>
      </c>
      <c r="E89" s="6" t="inlineStr">
        <is>
          <t>ООО "Амур Золото"</t>
        </is>
      </c>
      <c r="F89" s="7" t="inlineStr">
        <is>
          <t>2708001686</t>
        </is>
      </c>
      <c r="G89" s="7" t="inlineStr">
        <is>
          <t>Успешно</t>
        </is>
      </c>
      <c r="H89" s="6" t="n"/>
      <c r="I89" s="6" t="n"/>
      <c r="J89" s="6" t="inlineStr">
        <is>
          <t>Пользовательский интерфейс</t>
        </is>
      </c>
      <c r="K89" s="7" t="n">
        <v>3</v>
      </c>
      <c r="L89" s="8" t="n"/>
      <c r="M89" s="137" t="inlineStr">
        <is>
          <t>+</t>
        </is>
      </c>
      <c r="N89" s="8" t="n"/>
      <c r="O89" s="8" t="n"/>
      <c r="P89" s="8" t="n"/>
      <c r="Q89" s="8" t="n"/>
      <c r="R89" s="8" t="n"/>
      <c r="S89" s="8" t="n"/>
      <c r="T89" s="8" t="n"/>
      <c r="U89" s="8" t="n"/>
      <c r="V89" s="8" t="n"/>
      <c r="W89" s="8" t="n"/>
      <c r="X89" s="137" t="inlineStr">
        <is>
          <t>+</t>
        </is>
      </c>
      <c r="Y89" s="137" t="inlineStr">
        <is>
          <t>+</t>
        </is>
      </c>
    </row>
    <row r="90">
      <c r="A90" s="6" t="inlineStr">
        <is>
          <t>работник 785</t>
        </is>
      </c>
      <c r="B90" s="6" t="inlineStr">
        <is>
          <t>Водитель автомобиля (занятый на транспортировании горной массы в технологическом процессе)</t>
        </is>
      </c>
      <c r="C90" s="6" t="inlineStr">
        <is>
          <t>ОБЩЕСТВО С ОГРАНИЧЕННОЙ ОТВЕТСТВЕННОСТЬЮ "АМУР ЗОЛОТО"</t>
        </is>
      </c>
      <c r="D90" s="7" t="inlineStr">
        <is>
          <t>2708001686</t>
        </is>
      </c>
      <c r="E90" s="6" t="inlineStr">
        <is>
          <t>ООО "Амур Золото"</t>
        </is>
      </c>
      <c r="F90" s="7" t="inlineStr">
        <is>
          <t>2708001686</t>
        </is>
      </c>
      <c r="G90" s="7" t="inlineStr">
        <is>
          <t>Успешно</t>
        </is>
      </c>
      <c r="H90" s="6" t="n"/>
      <c r="I90" s="6" t="n"/>
      <c r="J90" s="6" t="inlineStr">
        <is>
          <t>Пользовательский интерфейс</t>
        </is>
      </c>
      <c r="K90" s="7" t="n">
        <v>3</v>
      </c>
      <c r="L90" s="8" t="n"/>
      <c r="M90" s="137" t="inlineStr">
        <is>
          <t>+</t>
        </is>
      </c>
      <c r="N90" s="8" t="n"/>
      <c r="O90" s="8" t="n"/>
      <c r="P90" s="8" t="n"/>
      <c r="Q90" s="8" t="n"/>
      <c r="R90" s="8" t="n"/>
      <c r="S90" s="8" t="n"/>
      <c r="T90" s="8" t="n"/>
      <c r="U90" s="8" t="n"/>
      <c r="V90" s="8" t="n"/>
      <c r="W90" s="8" t="n"/>
      <c r="X90" s="137" t="inlineStr">
        <is>
          <t>+</t>
        </is>
      </c>
      <c r="Y90" s="137" t="inlineStr">
        <is>
          <t>+</t>
        </is>
      </c>
    </row>
    <row r="91">
      <c r="A91" s="6" t="inlineStr">
        <is>
          <t>работник 144</t>
        </is>
      </c>
      <c r="B91" s="6" t="inlineStr">
        <is>
          <t>Бункеровщик / Машинист мельниц</t>
        </is>
      </c>
      <c r="C91" s="6" t="inlineStr">
        <is>
          <t>ОБЩЕСТВО С ОГРАНИЧЕННОЙ ОТВЕТСТВЕННОСТЬЮ "АМУР ЗОЛОТО"</t>
        </is>
      </c>
      <c r="D91" s="7" t="inlineStr">
        <is>
          <t>2708001686</t>
        </is>
      </c>
      <c r="E91" s="6" t="inlineStr">
        <is>
          <t>ООО "Амур Золото"</t>
        </is>
      </c>
      <c r="F91" s="7" t="inlineStr">
        <is>
          <t>2708001686</t>
        </is>
      </c>
      <c r="G91" s="7" t="inlineStr">
        <is>
          <t>Успешно</t>
        </is>
      </c>
      <c r="H91" s="6" t="n"/>
      <c r="I91" s="6" t="n"/>
      <c r="J91" s="6" t="inlineStr">
        <is>
          <t>Пользовательский интерфейс</t>
        </is>
      </c>
      <c r="K91" s="7" t="n">
        <v>9</v>
      </c>
      <c r="L91" s="8" t="n"/>
      <c r="M91" s="137" t="inlineStr">
        <is>
          <t>+</t>
        </is>
      </c>
      <c r="N91" s="8" t="n"/>
      <c r="O91" s="8" t="n"/>
      <c r="P91" s="8" t="n"/>
      <c r="Q91" s="8" t="n"/>
      <c r="R91" s="8" t="n"/>
      <c r="S91" s="8" t="n"/>
      <c r="T91" s="8" t="n"/>
      <c r="U91" s="8" t="n"/>
      <c r="V91" s="8" t="n"/>
      <c r="W91" s="8" t="n"/>
      <c r="X91" s="137" t="inlineStr">
        <is>
          <t>+</t>
        </is>
      </c>
      <c r="Y91" s="137" t="inlineStr">
        <is>
          <t>+</t>
        </is>
      </c>
    </row>
    <row r="92">
      <c r="A92" s="6" t="inlineStr">
        <is>
          <t>работник 241</t>
        </is>
      </c>
      <c r="B92" s="6" t="inlineStr">
        <is>
          <t>Аппаратчик-гидрометаллург</t>
        </is>
      </c>
      <c r="C92" s="6" t="inlineStr">
        <is>
          <t>ОБЩЕСТВО С ОГРАНИЧЕННОЙ ОТВЕТСТВЕННОСТЬЮ "АМУР ЗОЛОТО"</t>
        </is>
      </c>
      <c r="D92" s="7" t="inlineStr">
        <is>
          <t>2708001686</t>
        </is>
      </c>
      <c r="E92" s="6" t="inlineStr">
        <is>
          <t>ООО "Амур Золото"</t>
        </is>
      </c>
      <c r="F92" s="7" t="inlineStr">
        <is>
          <t>2708001686</t>
        </is>
      </c>
      <c r="G92" s="7" t="inlineStr">
        <is>
          <t>Успешно</t>
        </is>
      </c>
      <c r="H92" s="6" t="n"/>
      <c r="I92" s="6" t="n"/>
      <c r="J92" s="6" t="inlineStr">
        <is>
          <t>Пользовательский интерфейс</t>
        </is>
      </c>
      <c r="K92" s="7" t="n">
        <v>3</v>
      </c>
      <c r="L92" s="8" t="n"/>
      <c r="M92" s="137" t="inlineStr">
        <is>
          <t>+</t>
        </is>
      </c>
      <c r="N92" s="8" t="n"/>
      <c r="O92" s="8" t="n"/>
      <c r="P92" s="8" t="n"/>
      <c r="Q92" s="8" t="n"/>
      <c r="R92" s="8" t="n"/>
      <c r="S92" s="8" t="n"/>
      <c r="T92" s="8" t="n"/>
      <c r="U92" s="8" t="n"/>
      <c r="V92" s="8" t="n"/>
      <c r="W92" s="8" t="n"/>
      <c r="X92" s="137" t="inlineStr">
        <is>
          <t>+</t>
        </is>
      </c>
      <c r="Y92" s="137" t="inlineStr">
        <is>
          <t>+</t>
        </is>
      </c>
    </row>
    <row r="93">
      <c r="A93" s="6" t="inlineStr">
        <is>
          <t>работник 301</t>
        </is>
      </c>
      <c r="B93" s="6" t="inlineStr">
        <is>
          <t>Слесарь-ремонтник (по ремонту самоходной техники)</t>
        </is>
      </c>
      <c r="C93" s="6" t="inlineStr">
        <is>
          <t>ОБЩЕСТВО С ОГРАНИЧЕННОЙ ОТВЕТСТВЕННОСТЬЮ "АМУР ЗОЛОТО"</t>
        </is>
      </c>
      <c r="D93" s="7" t="inlineStr">
        <is>
          <t>2708001686</t>
        </is>
      </c>
      <c r="E93" s="6" t="inlineStr">
        <is>
          <t>ООО "Амур Золото"</t>
        </is>
      </c>
      <c r="F93" s="7" t="inlineStr">
        <is>
          <t>2708001686</t>
        </is>
      </c>
      <c r="G93" s="7" t="inlineStr">
        <is>
          <t>Успешно</t>
        </is>
      </c>
      <c r="H93" s="6" t="n"/>
      <c r="I93" s="6" t="n"/>
      <c r="J93" s="6" t="inlineStr">
        <is>
          <t>Пользовательский интерфейс</t>
        </is>
      </c>
      <c r="K93" s="7" t="n">
        <v>3</v>
      </c>
      <c r="L93" s="8" t="n"/>
      <c r="M93" s="137" t="inlineStr">
        <is>
          <t>+</t>
        </is>
      </c>
      <c r="N93" s="8" t="n"/>
      <c r="O93" s="8" t="n"/>
      <c r="P93" s="8" t="n"/>
      <c r="Q93" s="8" t="n"/>
      <c r="R93" s="8" t="n"/>
      <c r="S93" s="8" t="n"/>
      <c r="T93" s="8" t="n"/>
      <c r="U93" s="8" t="n"/>
      <c r="V93" s="8" t="n"/>
      <c r="W93" s="8" t="n"/>
      <c r="X93" s="137" t="inlineStr">
        <is>
          <t>+</t>
        </is>
      </c>
      <c r="Y93" s="137" t="inlineStr">
        <is>
          <t>+</t>
        </is>
      </c>
    </row>
    <row r="94">
      <c r="A94" s="6" t="inlineStr">
        <is>
          <t>работник 631</t>
        </is>
      </c>
      <c r="B94" s="6" t="inlineStr">
        <is>
          <t>Кладовщик</t>
        </is>
      </c>
      <c r="C94" s="6" t="inlineStr">
        <is>
          <t>ОБЩЕСТВО С ОГРАНИЧЕННОЙ ОТВЕТСТВЕННОСТЬЮ "АМУР ЗОЛОТО"</t>
        </is>
      </c>
      <c r="D94" s="7" t="inlineStr">
        <is>
          <t>2708001686</t>
        </is>
      </c>
      <c r="E94" s="6" t="inlineStr">
        <is>
          <t>ООО "Амур Золото"</t>
        </is>
      </c>
      <c r="F94" s="7" t="inlineStr">
        <is>
          <t>2708001686</t>
        </is>
      </c>
      <c r="G94" s="7" t="inlineStr">
        <is>
          <t>Успешно</t>
        </is>
      </c>
      <c r="H94" s="6" t="n"/>
      <c r="I94" s="6" t="n"/>
      <c r="J94" s="6" t="inlineStr">
        <is>
          <t>Пользовательский интерфейс</t>
        </is>
      </c>
      <c r="K94" s="7" t="n">
        <v>2</v>
      </c>
      <c r="L94" s="8" t="n"/>
      <c r="M94" s="137" t="inlineStr">
        <is>
          <t>+</t>
        </is>
      </c>
      <c r="N94" s="8" t="n"/>
      <c r="O94" s="8" t="n"/>
      <c r="P94" s="8" t="n"/>
      <c r="Q94" s="8" t="n"/>
      <c r="R94" s="8" t="n"/>
      <c r="S94" s="8" t="n"/>
      <c r="T94" s="8" t="n"/>
      <c r="U94" s="8" t="n"/>
      <c r="V94" s="8" t="n"/>
      <c r="W94" s="8" t="n"/>
      <c r="X94" s="139" t="n"/>
      <c r="Y94" s="137" t="inlineStr">
        <is>
          <t>+</t>
        </is>
      </c>
    </row>
    <row r="95">
      <c r="A95" s="6" t="inlineStr">
        <is>
          <t>работник 441</t>
        </is>
      </c>
      <c r="B95" s="6" t="inlineStr">
        <is>
          <t>Фильтровальщик</t>
        </is>
      </c>
      <c r="C95" s="6" t="inlineStr">
        <is>
          <t>ОБЩЕСТВО С ОГРАНИЧЕННОЙ ОТВЕТСТВЕННОСТЬЮ "АМУР ЗОЛОТО"</t>
        </is>
      </c>
      <c r="D95" s="7" t="inlineStr">
        <is>
          <t>2708001686</t>
        </is>
      </c>
      <c r="E95" s="6" t="inlineStr">
        <is>
          <t>ООО "Амур Золото"</t>
        </is>
      </c>
      <c r="F95" s="7" t="inlineStr">
        <is>
          <t>2708001686</t>
        </is>
      </c>
      <c r="G95" s="7" t="inlineStr">
        <is>
          <t>Успешно</t>
        </is>
      </c>
      <c r="H95" s="6" t="n"/>
      <c r="I95" s="6" t="n"/>
      <c r="J95" s="6" t="inlineStr">
        <is>
          <t>Пользовательский интерфейс</t>
        </is>
      </c>
      <c r="K95" s="7" t="n">
        <v>2</v>
      </c>
      <c r="L95" s="8" t="n"/>
      <c r="M95" s="137" t="inlineStr">
        <is>
          <t>+</t>
        </is>
      </c>
      <c r="N95" s="8" t="n"/>
      <c r="O95" s="8" t="n"/>
      <c r="P95" s="8" t="n"/>
      <c r="Q95" s="8" t="n"/>
      <c r="R95" s="8" t="n"/>
      <c r="S95" s="8" t="n"/>
      <c r="T95" s="8" t="n"/>
      <c r="U95" s="8" t="n"/>
      <c r="V95" s="8" t="n"/>
      <c r="W95" s="8" t="n"/>
      <c r="X95" s="139" t="n"/>
      <c r="Y95" s="137" t="inlineStr">
        <is>
          <t>+</t>
        </is>
      </c>
    </row>
    <row r="96">
      <c r="A96" s="6" t="inlineStr">
        <is>
          <t>работник 310</t>
        </is>
      </c>
      <c r="B96" s="6" t="inlineStr">
        <is>
          <t>Проходчик (с исполнением обязанностей взрывника)</t>
        </is>
      </c>
      <c r="C96" s="6" t="inlineStr">
        <is>
          <t>ОБЩЕСТВО С ОГРАНИЧЕННОЙ ОТВЕТСТВЕННОСТЬЮ "АМУР ЗОЛОТО"</t>
        </is>
      </c>
      <c r="D96" s="7" t="inlineStr">
        <is>
          <t>2708001686</t>
        </is>
      </c>
      <c r="E96" s="6" t="inlineStr">
        <is>
          <t>ООО "Амур Золото"</t>
        </is>
      </c>
      <c r="F96" s="7" t="inlineStr">
        <is>
          <t>2708001686</t>
        </is>
      </c>
      <c r="G96" s="7" t="inlineStr">
        <is>
          <t>Успешно</t>
        </is>
      </c>
      <c r="H96" s="6" t="n"/>
      <c r="I96" s="6" t="n"/>
      <c r="J96" s="6" t="inlineStr">
        <is>
          <t>Пользовательский интерфейс</t>
        </is>
      </c>
      <c r="K96" s="7" t="n">
        <v>3</v>
      </c>
      <c r="L96" s="8" t="n"/>
      <c r="M96" s="137" t="inlineStr">
        <is>
          <t>+</t>
        </is>
      </c>
      <c r="N96" s="8" t="n"/>
      <c r="O96" s="8" t="n"/>
      <c r="P96" s="8" t="n"/>
      <c r="Q96" s="8" t="n"/>
      <c r="R96" s="8" t="n"/>
      <c r="S96" s="8" t="n"/>
      <c r="T96" s="8" t="n"/>
      <c r="U96" s="8" t="n"/>
      <c r="V96" s="8" t="n"/>
      <c r="W96" s="8" t="n"/>
      <c r="X96" s="137" t="inlineStr">
        <is>
          <t>+</t>
        </is>
      </c>
      <c r="Y96" s="137" t="inlineStr">
        <is>
          <t>+</t>
        </is>
      </c>
    </row>
    <row r="97">
      <c r="A97" s="6" t="inlineStr">
        <is>
          <t>работник 531</t>
        </is>
      </c>
      <c r="B97" s="6" t="inlineStr">
        <is>
          <t>Крепильщик</t>
        </is>
      </c>
      <c r="C97" s="6" t="inlineStr">
        <is>
          <t>ОБЩЕСТВО С ОГРАНИЧЕННОЙ ОТВЕТСТВЕННОСТЬЮ "АМУР ЗОЛОТО"</t>
        </is>
      </c>
      <c r="D97" s="7" t="inlineStr">
        <is>
          <t>2708001686</t>
        </is>
      </c>
      <c r="E97" s="6" t="inlineStr">
        <is>
          <t>ООО "Амур Золото"</t>
        </is>
      </c>
      <c r="F97" s="7" t="inlineStr">
        <is>
          <t>2708001686</t>
        </is>
      </c>
      <c r="G97" s="7" t="inlineStr">
        <is>
          <t>Успешно</t>
        </is>
      </c>
      <c r="H97" s="6" t="n"/>
      <c r="I97" s="6" t="n"/>
      <c r="J97" s="6" t="inlineStr">
        <is>
          <t>Пользовательский интерфейс</t>
        </is>
      </c>
      <c r="K97" s="7" t="n">
        <v>2</v>
      </c>
      <c r="L97" s="8" t="n"/>
      <c r="M97" s="137" t="inlineStr">
        <is>
          <t>+</t>
        </is>
      </c>
      <c r="N97" s="8" t="n"/>
      <c r="O97" s="8" t="n"/>
      <c r="P97" s="8" t="n"/>
      <c r="Q97" s="8" t="n"/>
      <c r="R97" s="8" t="n"/>
      <c r="S97" s="8" t="n"/>
      <c r="T97" s="8" t="n"/>
      <c r="U97" s="8" t="n"/>
      <c r="V97" s="8" t="n"/>
      <c r="W97" s="8" t="n"/>
      <c r="X97" s="139" t="n"/>
      <c r="Y97" s="137" t="inlineStr">
        <is>
          <t>+</t>
        </is>
      </c>
    </row>
    <row r="98">
      <c r="A98" s="6" t="inlineStr">
        <is>
          <t>работник 684</t>
        </is>
      </c>
      <c r="B98" s="6" t="inlineStr">
        <is>
          <t>Машинист ДВС</t>
        </is>
      </c>
      <c r="C98" s="6" t="inlineStr">
        <is>
          <t>ОБЩЕСТВО С ОГРАНИЧЕННОЙ ОТВЕТСТВЕННОСТЬЮ "АМУР ЗОЛОТО"</t>
        </is>
      </c>
      <c r="D98" s="7" t="inlineStr">
        <is>
          <t>2708001686</t>
        </is>
      </c>
      <c r="E98" s="6" t="inlineStr">
        <is>
          <t>ООО "Амур Золото"</t>
        </is>
      </c>
      <c r="F98" s="7" t="inlineStr">
        <is>
          <t>2708001686</t>
        </is>
      </c>
      <c r="G98" s="7" t="inlineStr">
        <is>
          <t>Успешно</t>
        </is>
      </c>
      <c r="H98" s="6" t="n"/>
      <c r="I98" s="6" t="n"/>
      <c r="J98" s="6" t="inlineStr">
        <is>
          <t>Пользовательский интерфейс</t>
        </is>
      </c>
      <c r="K98" s="7" t="n">
        <v>2</v>
      </c>
      <c r="L98" s="8" t="n"/>
      <c r="M98" s="137" t="inlineStr">
        <is>
          <t>+</t>
        </is>
      </c>
      <c r="N98" s="8" t="n"/>
      <c r="O98" s="8" t="n"/>
      <c r="P98" s="8" t="n"/>
      <c r="Q98" s="8" t="n"/>
      <c r="R98" s="8" t="n"/>
      <c r="S98" s="8" t="n"/>
      <c r="T98" s="8" t="n"/>
      <c r="U98" s="8" t="n"/>
      <c r="V98" s="8" t="n"/>
      <c r="W98" s="8" t="n"/>
      <c r="X98" s="139" t="n"/>
      <c r="Y98" s="137" t="inlineStr">
        <is>
          <t>+</t>
        </is>
      </c>
    </row>
    <row r="99">
      <c r="A99" s="6" t="inlineStr">
        <is>
          <t>работник 513</t>
        </is>
      </c>
      <c r="B99" s="6" t="inlineStr">
        <is>
          <t>Оператор дизельных котлов</t>
        </is>
      </c>
      <c r="C99" s="6" t="inlineStr">
        <is>
          <t>ОБЩЕСТВО С ОГРАНИЧЕННОЙ ОТВЕТСТВЕННОСТЬЮ "АМУР ЗОЛОТО"</t>
        </is>
      </c>
      <c r="D99" s="7" t="inlineStr">
        <is>
          <t>2708001686</t>
        </is>
      </c>
      <c r="E99" s="6" t="inlineStr">
        <is>
          <t>ООО "Амур Золото"</t>
        </is>
      </c>
      <c r="F99" s="7" t="inlineStr">
        <is>
          <t>2708001686</t>
        </is>
      </c>
      <c r="G99" s="7" t="inlineStr">
        <is>
          <t>Успешно</t>
        </is>
      </c>
      <c r="H99" s="6" t="n"/>
      <c r="I99" s="6" t="n"/>
      <c r="J99" s="6" t="n"/>
      <c r="K99" s="7" t="n">
        <v>3</v>
      </c>
      <c r="L99" s="8" t="n"/>
      <c r="M99" s="137" t="inlineStr">
        <is>
          <t>+</t>
        </is>
      </c>
      <c r="N99" s="8" t="n"/>
      <c r="O99" s="8" t="n"/>
      <c r="P99" s="8" t="n"/>
      <c r="Q99" s="8" t="n"/>
      <c r="R99" s="8" t="n"/>
      <c r="S99" s="8" t="n"/>
      <c r="T99" s="8" t="n"/>
      <c r="U99" s="8" t="n"/>
      <c r="V99" s="8" t="n"/>
      <c r="W99" s="8" t="n"/>
      <c r="X99" s="137" t="inlineStr">
        <is>
          <t>+</t>
        </is>
      </c>
      <c r="Y99" s="137" t="inlineStr">
        <is>
          <t>+</t>
        </is>
      </c>
    </row>
    <row r="100">
      <c r="A100" s="6" t="inlineStr">
        <is>
          <t>работник 457</t>
        </is>
      </c>
      <c r="B100" s="6" t="inlineStr">
        <is>
          <t>Подсобный рабочий</t>
        </is>
      </c>
      <c r="C100" s="6" t="inlineStr">
        <is>
          <t>ОБЩЕСТВО С ОГРАНИЧЕННОЙ ОТВЕТСТВЕННОСТЬЮ "АМУР ЗОЛОТО"</t>
        </is>
      </c>
      <c r="D100" s="7" t="inlineStr">
        <is>
          <t>2708001686</t>
        </is>
      </c>
      <c r="E100" s="6" t="inlineStr">
        <is>
          <t>ООО "Амур Золото"</t>
        </is>
      </c>
      <c r="F100" s="7" t="inlineStr">
        <is>
          <t>2708001686</t>
        </is>
      </c>
      <c r="G100" s="7" t="inlineStr">
        <is>
          <t>Успешно</t>
        </is>
      </c>
      <c r="H100" s="6" t="n"/>
      <c r="I100" s="6" t="n"/>
      <c r="J100" s="6" t="inlineStr">
        <is>
          <t>Пользовательский интерфейс</t>
        </is>
      </c>
      <c r="K100" s="7" t="n">
        <v>2</v>
      </c>
      <c r="L100" s="8" t="n"/>
      <c r="M100" s="137" t="inlineStr">
        <is>
          <t>+</t>
        </is>
      </c>
      <c r="N100" s="8" t="n"/>
      <c r="O100" s="8" t="n"/>
      <c r="P100" s="8" t="n"/>
      <c r="Q100" s="8" t="n"/>
      <c r="R100" s="8" t="n"/>
      <c r="S100" s="8" t="n"/>
      <c r="T100" s="8" t="n"/>
      <c r="U100" s="8" t="n"/>
      <c r="V100" s="8" t="n"/>
      <c r="W100" s="8" t="n"/>
      <c r="X100" s="139" t="n"/>
      <c r="Y100" s="137" t="inlineStr">
        <is>
          <t>+</t>
        </is>
      </c>
    </row>
    <row r="101">
      <c r="A101" s="6" t="inlineStr">
        <is>
          <t>работник 868</t>
        </is>
      </c>
      <c r="B101" s="6" t="inlineStr">
        <is>
          <t>Кухонный рабочий</t>
        </is>
      </c>
      <c r="C101" s="6" t="inlineStr">
        <is>
          <t>ОБЩЕСТВО С ОГРАНИЧЕННОЙ ОТВЕТСТВЕННОСТЬЮ "АМУР ЗОЛОТО"</t>
        </is>
      </c>
      <c r="D101" s="7" t="inlineStr">
        <is>
          <t>2708001686</t>
        </is>
      </c>
      <c r="E101" s="6" t="inlineStr">
        <is>
          <t>ООО "Амур Золото"</t>
        </is>
      </c>
      <c r="F101" s="7" t="inlineStr">
        <is>
          <t>2708001686</t>
        </is>
      </c>
      <c r="G101" s="7" t="inlineStr">
        <is>
          <t>Успешно</t>
        </is>
      </c>
      <c r="H101" s="6" t="n"/>
      <c r="I101" s="6" t="n"/>
      <c r="J101" s="6" t="inlineStr">
        <is>
          <t>Пользовательский интерфейс</t>
        </is>
      </c>
      <c r="K101" s="7" t="n">
        <v>3</v>
      </c>
      <c r="L101" s="8" t="n"/>
      <c r="M101" s="137" t="inlineStr">
        <is>
          <t>+</t>
        </is>
      </c>
      <c r="N101" s="8" t="n"/>
      <c r="O101" s="8" t="n"/>
      <c r="P101" s="8" t="n"/>
      <c r="Q101" s="8" t="n"/>
      <c r="R101" s="8" t="n"/>
      <c r="S101" s="8" t="n"/>
      <c r="T101" s="8" t="n"/>
      <c r="U101" s="8" t="n"/>
      <c r="V101" s="8" t="n"/>
      <c r="W101" s="8" t="n"/>
      <c r="X101" s="137" t="inlineStr">
        <is>
          <t>+</t>
        </is>
      </c>
      <c r="Y101" s="138" t="inlineStr">
        <is>
          <t>+</t>
        </is>
      </c>
    </row>
    <row r="102">
      <c r="A102" s="6" t="inlineStr">
        <is>
          <t>работник 229</t>
        </is>
      </c>
      <c r="B102" s="6" t="inlineStr">
        <is>
          <t>Кладовщик</t>
        </is>
      </c>
      <c r="C102" s="6" t="inlineStr">
        <is>
          <t>ОБЩЕСТВО С ОГРАНИЧЕННОЙ ОТВЕТСТВЕННОСТЬЮ "АМУР ЗОЛОТО"</t>
        </is>
      </c>
      <c r="D102" s="7" t="inlineStr">
        <is>
          <t>2708001686</t>
        </is>
      </c>
      <c r="E102" s="6" t="inlineStr">
        <is>
          <t>ООО "Амур Золото"</t>
        </is>
      </c>
      <c r="F102" s="7" t="inlineStr">
        <is>
          <t>2708001686</t>
        </is>
      </c>
      <c r="G102" s="7" t="inlineStr">
        <is>
          <t>Успешно</t>
        </is>
      </c>
      <c r="H102" s="6" t="n"/>
      <c r="I102" s="6" t="n"/>
      <c r="J102" s="6" t="inlineStr">
        <is>
          <t>Пользовательский интерфейс</t>
        </is>
      </c>
      <c r="K102" s="7" t="n">
        <v>3</v>
      </c>
      <c r="L102" s="8" t="n"/>
      <c r="M102" s="137" t="inlineStr">
        <is>
          <t>+</t>
        </is>
      </c>
      <c r="N102" s="8" t="n"/>
      <c r="O102" s="8" t="n"/>
      <c r="P102" s="8" t="n"/>
      <c r="Q102" s="8" t="n"/>
      <c r="R102" s="8" t="n"/>
      <c r="S102" s="8" t="n"/>
      <c r="T102" s="8" t="n"/>
      <c r="U102" s="8" t="n"/>
      <c r="V102" s="8" t="n"/>
      <c r="W102" s="8" t="n"/>
      <c r="X102" s="137" t="inlineStr">
        <is>
          <t>+</t>
        </is>
      </c>
      <c r="Y102" s="137" t="inlineStr">
        <is>
          <t>+</t>
        </is>
      </c>
    </row>
    <row r="103">
      <c r="A103" s="6" t="inlineStr">
        <is>
          <t>работник 43</t>
        </is>
      </c>
      <c r="B103" s="6" t="inlineStr">
        <is>
          <t>Стропальщик / Весовщик</t>
        </is>
      </c>
      <c r="C103" s="6" t="inlineStr">
        <is>
          <t>ОБЩЕСТВО С ОГРАНИЧЕННОЙ ОТВЕТСТВЕННОСТЬЮ "АМУР ЗОЛОТО"</t>
        </is>
      </c>
      <c r="D103" s="7" t="inlineStr">
        <is>
          <t>2708001686</t>
        </is>
      </c>
      <c r="E103" s="6" t="inlineStr">
        <is>
          <t>ООО "Амур Золото"</t>
        </is>
      </c>
      <c r="F103" s="7" t="inlineStr">
        <is>
          <t>2708001686</t>
        </is>
      </c>
      <c r="G103" s="7" t="inlineStr">
        <is>
          <t>Успешно</t>
        </is>
      </c>
      <c r="H103" s="6" t="n"/>
      <c r="I103" s="6" t="n"/>
      <c r="J103" s="6" t="inlineStr">
        <is>
          <t>Пользовательский интерфейс</t>
        </is>
      </c>
      <c r="K103" s="7" t="n">
        <v>5</v>
      </c>
      <c r="L103" s="8" t="n"/>
      <c r="M103" s="137" t="inlineStr">
        <is>
          <t>+</t>
        </is>
      </c>
      <c r="N103" s="8" t="n"/>
      <c r="O103" s="8" t="n"/>
      <c r="P103" s="8" t="n"/>
      <c r="Q103" s="8" t="n"/>
      <c r="R103" s="8" t="n"/>
      <c r="S103" s="8" t="n"/>
      <c r="T103" s="8" t="n"/>
      <c r="U103" s="8" t="n"/>
      <c r="V103" s="8" t="n"/>
      <c r="W103" s="8" t="n"/>
      <c r="X103" s="137" t="inlineStr">
        <is>
          <t>+</t>
        </is>
      </c>
      <c r="Y103" s="137" t="inlineStr">
        <is>
          <t>+</t>
        </is>
      </c>
    </row>
    <row r="104">
      <c r="A104" s="6" t="inlineStr">
        <is>
          <t>работник 633</t>
        </is>
      </c>
      <c r="B104" s="6" t="inlineStr">
        <is>
          <t>Помощник машиниста самоходной буровой установки (с исполнением обязанностей пробоотборщика) / Помощник машиниста самоходной буровой установки (с исполнением обязанностей пробоотборщика) (Очистное)</t>
        </is>
      </c>
      <c r="C104" s="6" t="inlineStr">
        <is>
          <t>ОБЩЕСТВО С ОГРАНИЧЕННОЙ ОТВЕТСТВЕННОСТЬЮ "АМУР ЗОЛОТО"</t>
        </is>
      </c>
      <c r="D104" s="7" t="inlineStr">
        <is>
          <t>2708001686</t>
        </is>
      </c>
      <c r="E104" s="6" t="inlineStr">
        <is>
          <t>ООО "Амур Золото"</t>
        </is>
      </c>
      <c r="F104" s="7" t="inlineStr">
        <is>
          <t>2708001686</t>
        </is>
      </c>
      <c r="G104" s="7" t="inlineStr">
        <is>
          <t>Успешно</t>
        </is>
      </c>
      <c r="H104" s="6" t="n"/>
      <c r="I104" s="6" t="n"/>
      <c r="J104" s="6" t="inlineStr">
        <is>
          <t>Пользовательский интерфейс</t>
        </is>
      </c>
      <c r="K104" s="7" t="n">
        <v>6</v>
      </c>
      <c r="L104" s="8" t="n"/>
      <c r="M104" s="137" t="inlineStr">
        <is>
          <t>+</t>
        </is>
      </c>
      <c r="N104" s="8" t="n"/>
      <c r="O104" s="8" t="n"/>
      <c r="P104" s="137" t="inlineStr">
        <is>
          <t>+</t>
        </is>
      </c>
      <c r="Q104" s="8" t="n"/>
      <c r="R104" s="8" t="n"/>
      <c r="S104" s="8" t="n"/>
      <c r="T104" s="8" t="n"/>
      <c r="U104" s="8" t="n"/>
      <c r="V104" s="8" t="n"/>
      <c r="W104" s="8" t="n"/>
      <c r="X104" s="137" t="inlineStr">
        <is>
          <t>+</t>
        </is>
      </c>
      <c r="Y104" s="137" t="inlineStr">
        <is>
          <t>+</t>
        </is>
      </c>
    </row>
    <row r="105">
      <c r="A105" s="6" t="inlineStr">
        <is>
          <t>работник 654</t>
        </is>
      </c>
      <c r="B105" s="6" t="inlineStr">
        <is>
          <t>Механик</t>
        </is>
      </c>
      <c r="C105" s="6" t="inlineStr">
        <is>
          <t>ОБЩЕСТВО С ОГРАНИЧЕННОЙ ОТВЕТСТВЕННОСТЬЮ "АМУР ЗОЛОТО"</t>
        </is>
      </c>
      <c r="D105" s="7" t="inlineStr">
        <is>
          <t>2708001686</t>
        </is>
      </c>
      <c r="E105" s="6" t="inlineStr">
        <is>
          <t>ООО "Амур Золото"</t>
        </is>
      </c>
      <c r="F105" s="7" t="inlineStr">
        <is>
          <t>2708001686</t>
        </is>
      </c>
      <c r="G105" s="7" t="inlineStr">
        <is>
          <t>Успешно</t>
        </is>
      </c>
      <c r="H105" s="6" t="n"/>
      <c r="I105" s="6" t="n"/>
      <c r="J105" s="6" t="inlineStr">
        <is>
          <t>Пользовательский интерфейс</t>
        </is>
      </c>
      <c r="K105" s="7" t="n">
        <v>2</v>
      </c>
      <c r="L105" s="8" t="n"/>
      <c r="M105" s="137" t="inlineStr">
        <is>
          <t>+</t>
        </is>
      </c>
      <c r="N105" s="8" t="n"/>
      <c r="O105" s="8" t="n"/>
      <c r="P105" s="8" t="n"/>
      <c r="Q105" s="8" t="n"/>
      <c r="R105" s="8" t="n"/>
      <c r="S105" s="8" t="n"/>
      <c r="T105" s="8" t="n"/>
      <c r="U105" s="8" t="n"/>
      <c r="V105" s="8" t="n"/>
      <c r="W105" s="8" t="n"/>
      <c r="X105" s="8" t="n"/>
      <c r="Y105" s="137" t="inlineStr">
        <is>
          <t>+</t>
        </is>
      </c>
    </row>
    <row r="106">
      <c r="A106" s="6" t="inlineStr">
        <is>
          <t>работник 44</t>
        </is>
      </c>
      <c r="B106" s="6" t="inlineStr">
        <is>
          <t>Электромонтер по ремонту и обслуживанию электрооборудования</t>
        </is>
      </c>
      <c r="C106" s="6" t="inlineStr">
        <is>
          <t>ОБЩЕСТВО С ОГРАНИЧЕННОЙ ОТВЕТСТВЕННОСТЬЮ "АМУР ЗОЛОТО"</t>
        </is>
      </c>
      <c r="D106" s="7" t="inlineStr">
        <is>
          <t>2708001686</t>
        </is>
      </c>
      <c r="E106" s="6" t="inlineStr">
        <is>
          <t>ООО "Амур Золото"</t>
        </is>
      </c>
      <c r="F106" s="7" t="inlineStr">
        <is>
          <t>2708001686</t>
        </is>
      </c>
      <c r="G106" s="7" t="inlineStr">
        <is>
          <t>Успешно</t>
        </is>
      </c>
      <c r="H106" s="6" t="n"/>
      <c r="I106" s="6" t="n"/>
      <c r="J106" s="6" t="inlineStr">
        <is>
          <t>Пользовательский интерфейс</t>
        </is>
      </c>
      <c r="K106" s="7" t="n">
        <v>7</v>
      </c>
      <c r="L106" s="8" t="n"/>
      <c r="M106" s="137" t="inlineStr">
        <is>
          <t>+</t>
        </is>
      </c>
      <c r="N106" s="137" t="inlineStr">
        <is>
          <t>+</t>
        </is>
      </c>
      <c r="O106" s="8" t="n"/>
      <c r="P106" s="8" t="n"/>
      <c r="Q106" s="8" t="n"/>
      <c r="R106" s="8" t="n"/>
      <c r="S106" s="8" t="n"/>
      <c r="T106" s="137" t="inlineStr">
        <is>
          <t>+</t>
        </is>
      </c>
      <c r="U106" s="8" t="n"/>
      <c r="V106" s="8" t="n"/>
      <c r="W106" s="8" t="n"/>
      <c r="X106" s="137" t="inlineStr">
        <is>
          <t>+</t>
        </is>
      </c>
      <c r="Y106" s="137" t="inlineStr">
        <is>
          <t>+</t>
        </is>
      </c>
    </row>
    <row r="107">
      <c r="A107" s="6" t="inlineStr">
        <is>
          <t>работник 61</t>
        </is>
      </c>
      <c r="B107" s="6" t="inlineStr">
        <is>
          <t>Машинист ДВС с обязанностями компрессорщик</t>
        </is>
      </c>
      <c r="C107" s="6" t="inlineStr">
        <is>
          <t>ОБЩЕСТВО С ОГРАНИЧЕННОЙ ОТВЕТСТВЕННОСТЬЮ "АМУР ЗОЛОТО"</t>
        </is>
      </c>
      <c r="D107" s="7" t="inlineStr">
        <is>
          <t>2708001686</t>
        </is>
      </c>
      <c r="E107" s="6" t="inlineStr">
        <is>
          <t>ООО "Амур Золото"</t>
        </is>
      </c>
      <c r="F107" s="7" t="inlineStr">
        <is>
          <t>2708001686</t>
        </is>
      </c>
      <c r="G107" s="7" t="inlineStr">
        <is>
          <t>Успешно</t>
        </is>
      </c>
      <c r="H107" s="6" t="n"/>
      <c r="I107" s="6" t="n"/>
      <c r="J107" s="6" t="inlineStr">
        <is>
          <t>Пользовательский интерфейс</t>
        </is>
      </c>
      <c r="K107" s="7" t="n">
        <v>3</v>
      </c>
      <c r="L107" s="8" t="n"/>
      <c r="M107" s="137" t="inlineStr">
        <is>
          <t>+</t>
        </is>
      </c>
      <c r="N107" s="8" t="n"/>
      <c r="O107" s="8" t="n"/>
      <c r="P107" s="8" t="n"/>
      <c r="Q107" s="8" t="n"/>
      <c r="R107" s="8" t="n"/>
      <c r="S107" s="8" t="n"/>
      <c r="T107" s="8" t="n"/>
      <c r="U107" s="8" t="n"/>
      <c r="V107" s="8" t="n"/>
      <c r="W107" s="8" t="n"/>
      <c r="X107" s="137" t="inlineStr">
        <is>
          <t>+</t>
        </is>
      </c>
      <c r="Y107" s="137" t="inlineStr">
        <is>
          <t>+</t>
        </is>
      </c>
    </row>
    <row r="108">
      <c r="A108" s="6" t="inlineStr">
        <is>
          <t>работник 331</t>
        </is>
      </c>
      <c r="B108" s="6" t="inlineStr">
        <is>
          <t>Пробоотборщик / Флотатор</t>
        </is>
      </c>
      <c r="C108" s="6" t="inlineStr">
        <is>
          <t>ОБЩЕСТВО С ОГРАНИЧЕННОЙ ОТВЕТСТВЕННОСТЬЮ "АМУР ЗОЛОТО"</t>
        </is>
      </c>
      <c r="D108" s="7" t="inlineStr">
        <is>
          <t>2708001686</t>
        </is>
      </c>
      <c r="E108" s="6" t="inlineStr">
        <is>
          <t>ООО "Амур Золото"</t>
        </is>
      </c>
      <c r="F108" s="7" t="inlineStr">
        <is>
          <t>2708001686</t>
        </is>
      </c>
      <c r="G108" s="7" t="inlineStr">
        <is>
          <t>Успешно</t>
        </is>
      </c>
      <c r="H108" s="6" t="n"/>
      <c r="I108" s="6" t="n"/>
      <c r="J108" s="6" t="inlineStr">
        <is>
          <t>Пользовательский интерфейс</t>
        </is>
      </c>
      <c r="K108" s="7" t="n">
        <v>6</v>
      </c>
      <c r="L108" s="8" t="n"/>
      <c r="M108" s="137" t="inlineStr">
        <is>
          <t>+</t>
        </is>
      </c>
      <c r="N108" s="8" t="n"/>
      <c r="O108" s="8" t="n"/>
      <c r="P108" s="8" t="n"/>
      <c r="Q108" s="8" t="n"/>
      <c r="R108" s="8" t="n"/>
      <c r="S108" s="8" t="n"/>
      <c r="T108" s="8" t="n"/>
      <c r="U108" s="8" t="n"/>
      <c r="V108" s="8" t="n"/>
      <c r="W108" s="8" t="n"/>
      <c r="X108" s="137" t="inlineStr">
        <is>
          <t>+</t>
        </is>
      </c>
      <c r="Y108" s="137" t="inlineStr">
        <is>
          <t>+</t>
        </is>
      </c>
    </row>
    <row r="109">
      <c r="A109" s="6" t="inlineStr">
        <is>
          <t>работник 689</t>
        </is>
      </c>
      <c r="B109" s="6" t="inlineStr">
        <is>
          <t>Ведущий инженер-геодезист</t>
        </is>
      </c>
      <c r="C109" s="6" t="inlineStr">
        <is>
          <t>ОБЩЕСТВО С ОГРАНИЧЕННОЙ ОТВЕТСТВЕННОСТЬЮ "АМУР ЗОЛОТО"</t>
        </is>
      </c>
      <c r="D109" s="7" t="inlineStr">
        <is>
          <t>2708001686</t>
        </is>
      </c>
      <c r="E109" s="6" t="inlineStr">
        <is>
          <t>ООО "Амур Золото"</t>
        </is>
      </c>
      <c r="F109" s="7" t="inlineStr">
        <is>
          <t>2708001686</t>
        </is>
      </c>
      <c r="G109" s="7" t="inlineStr">
        <is>
          <t>Успешно</t>
        </is>
      </c>
      <c r="H109" s="6" t="n"/>
      <c r="I109" s="6" t="n"/>
      <c r="J109" s="6" t="inlineStr">
        <is>
          <t>Пользовательский интерфейс</t>
        </is>
      </c>
      <c r="K109" s="7" t="n">
        <v>2</v>
      </c>
      <c r="L109" s="8" t="n"/>
      <c r="M109" s="137" t="inlineStr">
        <is>
          <t>+</t>
        </is>
      </c>
      <c r="N109" s="8" t="n"/>
      <c r="O109" s="8" t="n"/>
      <c r="P109" s="8" t="n"/>
      <c r="Q109" s="8" t="n"/>
      <c r="R109" s="8" t="n"/>
      <c r="S109" s="8" t="n"/>
      <c r="T109" s="8" t="n"/>
      <c r="U109" s="8" t="n"/>
      <c r="V109" s="8" t="n"/>
      <c r="W109" s="8" t="n"/>
      <c r="X109" s="8" t="n"/>
      <c r="Y109" s="137" t="inlineStr">
        <is>
          <t>+</t>
        </is>
      </c>
    </row>
    <row r="110">
      <c r="A110" s="6" t="inlineStr">
        <is>
          <t>работник 509</t>
        </is>
      </c>
      <c r="B110" s="6" t="inlineStr">
        <is>
          <t>Горнорабочиий на маркшейдерских работах</t>
        </is>
      </c>
      <c r="C110" s="6" t="inlineStr">
        <is>
          <t>ОБЩЕСТВО С ОГРАНИЧЕННОЙ ОТВЕТСТВЕННОСТЬЮ "АМУР ЗОЛОТО"</t>
        </is>
      </c>
      <c r="D110" s="7" t="inlineStr">
        <is>
          <t>2708001686</t>
        </is>
      </c>
      <c r="E110" s="6" t="inlineStr">
        <is>
          <t>ООО "Амур Золото"</t>
        </is>
      </c>
      <c r="F110" s="7" t="inlineStr">
        <is>
          <t>2708001686</t>
        </is>
      </c>
      <c r="G110" s="7" t="inlineStr">
        <is>
          <t>Успешно</t>
        </is>
      </c>
      <c r="H110" s="6" t="n"/>
      <c r="I110" s="6" t="n"/>
      <c r="J110" s="6" t="n"/>
      <c r="K110" s="7" t="n">
        <v>2</v>
      </c>
      <c r="L110" s="8" t="n"/>
      <c r="M110" s="137" t="inlineStr">
        <is>
          <t>+</t>
        </is>
      </c>
      <c r="N110" s="8" t="n"/>
      <c r="O110" s="8" t="n"/>
      <c r="P110" s="8" t="n"/>
      <c r="Q110" s="8" t="n"/>
      <c r="R110" s="8" t="n"/>
      <c r="S110" s="8" t="n"/>
      <c r="T110" s="8" t="n"/>
      <c r="U110" s="8" t="n"/>
      <c r="V110" s="8" t="n"/>
      <c r="W110" s="8" t="n"/>
      <c r="X110" s="139" t="n"/>
      <c r="Y110" s="137" t="inlineStr">
        <is>
          <t>+</t>
        </is>
      </c>
    </row>
    <row r="111">
      <c r="A111" s="6" t="inlineStr">
        <is>
          <t>работник 629</t>
        </is>
      </c>
      <c r="B111" s="6" t="inlineStr">
        <is>
          <t>Горнорабочий на маркшейдерских работах</t>
        </is>
      </c>
      <c r="C111" s="6" t="inlineStr">
        <is>
          <t>ОБЩЕСТВО С ОГРАНИЧЕННОЙ ОТВЕТСТВЕННОСТЬЮ "АМУР ЗОЛОТО"</t>
        </is>
      </c>
      <c r="D111" s="7" t="inlineStr">
        <is>
          <t>2708001686</t>
        </is>
      </c>
      <c r="E111" s="6" t="inlineStr">
        <is>
          <t>ООО "Амур Золото"</t>
        </is>
      </c>
      <c r="F111" s="7" t="inlineStr">
        <is>
          <t>2708001686</t>
        </is>
      </c>
      <c r="G111" s="7" t="inlineStr">
        <is>
          <t>Успешно</t>
        </is>
      </c>
      <c r="H111" s="6" t="n"/>
      <c r="I111" s="6" t="n"/>
      <c r="J111" s="6" t="inlineStr">
        <is>
          <t>Пользовательский интерфейс</t>
        </is>
      </c>
      <c r="K111" s="7" t="n">
        <v>3</v>
      </c>
      <c r="L111" s="8" t="n"/>
      <c r="M111" s="137" t="inlineStr">
        <is>
          <t>+</t>
        </is>
      </c>
      <c r="N111" s="8" t="n"/>
      <c r="O111" s="8" t="n"/>
      <c r="P111" s="8" t="n"/>
      <c r="Q111" s="8" t="n"/>
      <c r="R111" s="8" t="n"/>
      <c r="S111" s="8" t="n"/>
      <c r="T111" s="8" t="n"/>
      <c r="U111" s="8" t="n"/>
      <c r="V111" s="8" t="n"/>
      <c r="W111" s="137" t="inlineStr">
        <is>
          <t>+</t>
        </is>
      </c>
      <c r="X111" s="139" t="n"/>
      <c r="Y111" s="137" t="inlineStr">
        <is>
          <t>+</t>
        </is>
      </c>
    </row>
    <row r="112">
      <c r="A112" s="6" t="inlineStr">
        <is>
          <t>работник 690</t>
        </is>
      </c>
      <c r="B112" s="6" t="inlineStr">
        <is>
          <t>Монтажник по монтажу стальных и железобетонных конструкций</t>
        </is>
      </c>
      <c r="C112" s="6" t="inlineStr">
        <is>
          <t>ОБЩЕСТВО С ОГРАНИЧЕННОЙ ОТВЕТСТВЕННОСТЬЮ "АМУР ЗОЛОТО"</t>
        </is>
      </c>
      <c r="D112" s="7" t="inlineStr">
        <is>
          <t>2708001686</t>
        </is>
      </c>
      <c r="E112" s="6" t="inlineStr">
        <is>
          <t>ООО "Амур Золото"</t>
        </is>
      </c>
      <c r="F112" s="7" t="inlineStr">
        <is>
          <t>2708001686</t>
        </is>
      </c>
      <c r="G112" s="7" t="inlineStr">
        <is>
          <t>Успешно</t>
        </is>
      </c>
      <c r="H112" s="6" t="n"/>
      <c r="I112" s="6" t="n"/>
      <c r="J112" s="6" t="inlineStr">
        <is>
          <t>Пользовательский интерфейс</t>
        </is>
      </c>
      <c r="K112" s="7" t="n">
        <v>2</v>
      </c>
      <c r="L112" s="8" t="n"/>
      <c r="M112" s="137" t="inlineStr">
        <is>
          <t>+</t>
        </is>
      </c>
      <c r="N112" s="8" t="n"/>
      <c r="O112" s="8" t="n"/>
      <c r="P112" s="8" t="n"/>
      <c r="Q112" s="8" t="n"/>
      <c r="R112" s="8" t="n"/>
      <c r="S112" s="8" t="n"/>
      <c r="T112" s="8" t="n"/>
      <c r="U112" s="8" t="n"/>
      <c r="V112" s="8" t="n"/>
      <c r="W112" s="8" t="n"/>
      <c r="X112" s="139" t="n"/>
      <c r="Y112" s="137" t="inlineStr">
        <is>
          <t>+</t>
        </is>
      </c>
    </row>
    <row r="113">
      <c r="A113" s="6" t="inlineStr">
        <is>
          <t>работник 344</t>
        </is>
      </c>
      <c r="B113" s="6" t="inlineStr">
        <is>
          <t>Аппаратчик-гидрометаллург</t>
        </is>
      </c>
      <c r="C113" s="6" t="inlineStr">
        <is>
          <t>ОБЩЕСТВО С ОГРАНИЧЕННОЙ ОТВЕТСТВЕННОСТЬЮ "АМУР ЗОЛОТО"</t>
        </is>
      </c>
      <c r="D113" s="7" t="inlineStr">
        <is>
          <t>2708001686</t>
        </is>
      </c>
      <c r="E113" s="6" t="inlineStr">
        <is>
          <t>ООО "Амур Золото"</t>
        </is>
      </c>
      <c r="F113" s="7" t="inlineStr">
        <is>
          <t>2708001686</t>
        </is>
      </c>
      <c r="G113" s="7" t="inlineStr">
        <is>
          <t>Успешно</t>
        </is>
      </c>
      <c r="H113" s="6" t="n"/>
      <c r="I113" s="6" t="n"/>
      <c r="J113" s="6" t="inlineStr">
        <is>
          <t>Пользовательский интерфейс</t>
        </is>
      </c>
      <c r="K113" s="7" t="n">
        <v>3</v>
      </c>
      <c r="L113" s="8" t="n"/>
      <c r="M113" s="137" t="inlineStr">
        <is>
          <t>+</t>
        </is>
      </c>
      <c r="N113" s="8" t="n"/>
      <c r="O113" s="8" t="n"/>
      <c r="P113" s="8" t="n"/>
      <c r="Q113" s="8" t="n"/>
      <c r="R113" s="8" t="n"/>
      <c r="S113" s="8" t="n"/>
      <c r="T113" s="8" t="n"/>
      <c r="U113" s="8" t="n"/>
      <c r="V113" s="8" t="n"/>
      <c r="W113" s="8" t="n"/>
      <c r="X113" s="137" t="inlineStr">
        <is>
          <t>+</t>
        </is>
      </c>
      <c r="Y113" s="137" t="inlineStr">
        <is>
          <t>+</t>
        </is>
      </c>
    </row>
    <row r="114">
      <c r="A114" s="6" t="inlineStr">
        <is>
          <t>работник 202</t>
        </is>
      </c>
      <c r="B114" s="6" t="inlineStr">
        <is>
          <t>Водитель автомобиля (занятый на транспортировании горной массы в технологическом процессе) / Водитель автомобиля(занятый на траспортировании горной массы в технологическом процессе)</t>
        </is>
      </c>
      <c r="C114" s="6" t="inlineStr">
        <is>
          <t>ОБЩЕСТВО С ОГРАНИЧЕННОЙ ОТВЕТСТВЕННОСТЬЮ "АМУР ЗОЛОТО"</t>
        </is>
      </c>
      <c r="D114" s="7" t="inlineStr">
        <is>
          <t>2708001686</t>
        </is>
      </c>
      <c r="E114" s="6" t="inlineStr">
        <is>
          <t>ООО "Амур Золото"</t>
        </is>
      </c>
      <c r="F114" s="7" t="inlineStr">
        <is>
          <t>2708001686</t>
        </is>
      </c>
      <c r="G114" s="7" t="inlineStr">
        <is>
          <t>Успешно</t>
        </is>
      </c>
      <c r="H114" s="6" t="n"/>
      <c r="I114" s="6" t="n"/>
      <c r="J114" s="6" t="inlineStr">
        <is>
          <t>Пользовательский интерфейс</t>
        </is>
      </c>
      <c r="K114" s="7" t="n">
        <v>6</v>
      </c>
      <c r="L114" s="8" t="n"/>
      <c r="M114" s="137" t="inlineStr">
        <is>
          <t>+</t>
        </is>
      </c>
      <c r="N114" s="8" t="n"/>
      <c r="O114" s="8" t="n"/>
      <c r="P114" s="8" t="n"/>
      <c r="Q114" s="8" t="n"/>
      <c r="R114" s="8" t="n"/>
      <c r="S114" s="8" t="n"/>
      <c r="T114" s="8" t="n"/>
      <c r="U114" s="8" t="n"/>
      <c r="V114" s="8" t="n"/>
      <c r="W114" s="8" t="n"/>
      <c r="X114" s="137" t="inlineStr">
        <is>
          <t>+</t>
        </is>
      </c>
      <c r="Y114" s="137" t="inlineStr">
        <is>
          <t>+</t>
        </is>
      </c>
    </row>
    <row r="115">
      <c r="A115" s="6" t="inlineStr">
        <is>
          <t>работник 252</t>
        </is>
      </c>
      <c r="B115" s="6" t="inlineStr">
        <is>
          <t>Растворщик реагентов</t>
        </is>
      </c>
      <c r="C115" s="6" t="inlineStr">
        <is>
          <t>ОБЩЕСТВО С ОГРАНИЧЕННОЙ ОТВЕТСТВЕННОСТЬЮ "АМУР ЗОЛОТО"</t>
        </is>
      </c>
      <c r="D115" s="7" t="inlineStr">
        <is>
          <t>2708001686</t>
        </is>
      </c>
      <c r="E115" s="6" t="inlineStr">
        <is>
          <t>ООО "Амур Золото"</t>
        </is>
      </c>
      <c r="F115" s="7" t="inlineStr">
        <is>
          <t>2708001686</t>
        </is>
      </c>
      <c r="G115" s="7" t="inlineStr">
        <is>
          <t>Успешно</t>
        </is>
      </c>
      <c r="H115" s="6" t="n"/>
      <c r="I115" s="6" t="n"/>
      <c r="J115" s="6" t="inlineStr">
        <is>
          <t>Пользовательский интерфейс</t>
        </is>
      </c>
      <c r="K115" s="7" t="n">
        <v>3</v>
      </c>
      <c r="L115" s="8" t="n"/>
      <c r="M115" s="137" t="inlineStr">
        <is>
          <t>+</t>
        </is>
      </c>
      <c r="N115" s="8" t="n"/>
      <c r="O115" s="8" t="n"/>
      <c r="P115" s="8" t="n"/>
      <c r="Q115" s="8" t="n"/>
      <c r="R115" s="8" t="n"/>
      <c r="S115" s="8" t="n"/>
      <c r="T115" s="8" t="n"/>
      <c r="U115" s="8" t="n"/>
      <c r="V115" s="8" t="n"/>
      <c r="W115" s="8" t="n"/>
      <c r="X115" s="137" t="inlineStr">
        <is>
          <t>+</t>
        </is>
      </c>
      <c r="Y115" s="137" t="inlineStr">
        <is>
          <t>+</t>
        </is>
      </c>
    </row>
    <row r="116">
      <c r="A116" s="6" t="inlineStr">
        <is>
          <t>работник 196</t>
        </is>
      </c>
      <c r="B116" s="6" t="inlineStr">
        <is>
          <t>Водитель автомобиля (категория Д)</t>
        </is>
      </c>
      <c r="C116" s="6" t="inlineStr">
        <is>
          <t>ОБЩЕСТВО С ОГРАНИЧЕННОЙ ОТВЕТСТВЕННОСТЬЮ "АМУР ЗОЛОТО"</t>
        </is>
      </c>
      <c r="D116" s="7" t="inlineStr">
        <is>
          <t>2708001686</t>
        </is>
      </c>
      <c r="E116" s="6" t="inlineStr">
        <is>
          <t>ООО "Амур Золото"</t>
        </is>
      </c>
      <c r="F116" s="7" t="inlineStr">
        <is>
          <t>2708001686</t>
        </is>
      </c>
      <c r="G116" s="7" t="inlineStr">
        <is>
          <t>Успешно</t>
        </is>
      </c>
      <c r="H116" s="6" t="n"/>
      <c r="I116" s="6" t="n"/>
      <c r="J116" s="6" t="inlineStr">
        <is>
          <t>Пользовательский интерфейс</t>
        </is>
      </c>
      <c r="K116" s="7" t="n">
        <v>3</v>
      </c>
      <c r="L116" s="8" t="n"/>
      <c r="M116" s="137" t="inlineStr">
        <is>
          <t>+</t>
        </is>
      </c>
      <c r="N116" s="8" t="n"/>
      <c r="O116" s="8" t="n"/>
      <c r="P116" s="8" t="n"/>
      <c r="Q116" s="8" t="n"/>
      <c r="R116" s="8" t="n"/>
      <c r="S116" s="8" t="n"/>
      <c r="T116" s="8" t="n"/>
      <c r="U116" s="8" t="n"/>
      <c r="V116" s="8" t="n"/>
      <c r="W116" s="8" t="n"/>
      <c r="X116" s="137" t="inlineStr">
        <is>
          <t>+</t>
        </is>
      </c>
      <c r="Y116" s="138" t="inlineStr">
        <is>
          <t>+</t>
        </is>
      </c>
    </row>
    <row r="117">
      <c r="A117" s="6" t="inlineStr">
        <is>
          <t>работник 368</t>
        </is>
      </c>
      <c r="B117" s="6" t="inlineStr">
        <is>
          <t>Машинист бульдозера</t>
        </is>
      </c>
      <c r="C117" s="6" t="inlineStr">
        <is>
          <t>ОБЩЕСТВО С ОГРАНИЧЕННОЙ ОТВЕТСТВЕННОСТЬЮ "АМУР ЗОЛОТО"</t>
        </is>
      </c>
      <c r="D117" s="7" t="inlineStr">
        <is>
          <t>2708001686</t>
        </is>
      </c>
      <c r="E117" s="6" t="inlineStr">
        <is>
          <t>ООО "Амур Золото"</t>
        </is>
      </c>
      <c r="F117" s="7" t="inlineStr">
        <is>
          <t>2708001686</t>
        </is>
      </c>
      <c r="G117" s="7" t="inlineStr">
        <is>
          <t>Успешно</t>
        </is>
      </c>
      <c r="H117" s="6" t="n"/>
      <c r="I117" s="6" t="n"/>
      <c r="J117" s="6" t="inlineStr">
        <is>
          <t>Пользовательский интерфейс</t>
        </is>
      </c>
      <c r="K117" s="7" t="n">
        <v>5</v>
      </c>
      <c r="L117" s="8" t="n"/>
      <c r="M117" s="137" t="inlineStr">
        <is>
          <t>+</t>
        </is>
      </c>
      <c r="N117" s="8" t="n"/>
      <c r="O117" s="8" t="n"/>
      <c r="P117" s="8" t="n"/>
      <c r="Q117" s="8" t="n"/>
      <c r="R117" s="8" t="n"/>
      <c r="S117" s="8" t="n"/>
      <c r="T117" s="8" t="n"/>
      <c r="U117" s="8" t="n"/>
      <c r="V117" s="8" t="n"/>
      <c r="W117" s="8" t="n"/>
      <c r="X117" s="137" t="inlineStr">
        <is>
          <t>+</t>
        </is>
      </c>
      <c r="Y117" s="137" t="inlineStr">
        <is>
          <t>+</t>
        </is>
      </c>
    </row>
    <row r="118">
      <c r="A118" s="6" t="inlineStr">
        <is>
          <t>работник 339</t>
        </is>
      </c>
      <c r="B118" s="6" t="inlineStr">
        <is>
          <t>Флотатор</t>
        </is>
      </c>
      <c r="C118" s="6" t="inlineStr">
        <is>
          <t>ОБЩЕСТВО С ОГРАНИЧЕННОЙ ОТВЕТСТВЕННОСТЬЮ "АМУР ЗОЛОТО"</t>
        </is>
      </c>
      <c r="D118" s="7" t="inlineStr">
        <is>
          <t>2708001686</t>
        </is>
      </c>
      <c r="E118" s="6" t="inlineStr">
        <is>
          <t>ООО "Амур Золото"</t>
        </is>
      </c>
      <c r="F118" s="7" t="inlineStr">
        <is>
          <t>2708001686</t>
        </is>
      </c>
      <c r="G118" s="7" t="inlineStr">
        <is>
          <t>Успешно</t>
        </is>
      </c>
      <c r="H118" s="6" t="n"/>
      <c r="I118" s="6" t="n"/>
      <c r="J118" s="6" t="inlineStr">
        <is>
          <t>Пользовательский интерфейс</t>
        </is>
      </c>
      <c r="K118" s="7" t="n">
        <v>3</v>
      </c>
      <c r="L118" s="8" t="n"/>
      <c r="M118" s="137" t="inlineStr">
        <is>
          <t>+</t>
        </is>
      </c>
      <c r="N118" s="8" t="n"/>
      <c r="O118" s="8" t="n"/>
      <c r="P118" s="8" t="n"/>
      <c r="Q118" s="8" t="n"/>
      <c r="R118" s="8" t="n"/>
      <c r="S118" s="8" t="n"/>
      <c r="T118" s="8" t="n"/>
      <c r="U118" s="8" t="n"/>
      <c r="V118" s="8" t="n"/>
      <c r="W118" s="8" t="n"/>
      <c r="X118" s="137" t="inlineStr">
        <is>
          <t>+</t>
        </is>
      </c>
      <c r="Y118" s="137" t="inlineStr">
        <is>
          <t>+</t>
        </is>
      </c>
    </row>
    <row r="119">
      <c r="A119" s="6" t="inlineStr">
        <is>
          <t>работник 480</t>
        </is>
      </c>
      <c r="B119" s="6" t="inlineStr">
        <is>
          <t>Помощник машиниста  самоходной буровой установки (с исполнением обязанностей пробоотборщика) (Очистное)</t>
        </is>
      </c>
      <c r="C119" s="6" t="inlineStr">
        <is>
          <t>ОБЩЕСТВО С ОГРАНИЧЕННОЙ ОТВЕТСТВЕННОСТЬЮ "АМУР ЗОЛОТО"</t>
        </is>
      </c>
      <c r="D119" s="7" t="inlineStr">
        <is>
          <t>2708001686</t>
        </is>
      </c>
      <c r="E119" s="6" t="inlineStr">
        <is>
          <t>ООО "Амур Золото"</t>
        </is>
      </c>
      <c r="F119" s="7" t="inlineStr">
        <is>
          <t>2708001686</t>
        </is>
      </c>
      <c r="G119" s="7" t="inlineStr">
        <is>
          <t>Успешно</t>
        </is>
      </c>
      <c r="H119" s="6" t="n"/>
      <c r="I119" s="6" t="n"/>
      <c r="J119" s="6" t="inlineStr">
        <is>
          <t>Пользовательский интерфейс</t>
        </is>
      </c>
      <c r="K119" s="7" t="n">
        <v>2</v>
      </c>
      <c r="L119" s="8" t="n"/>
      <c r="M119" s="137" t="inlineStr">
        <is>
          <t>+</t>
        </is>
      </c>
      <c r="N119" s="8" t="n"/>
      <c r="O119" s="8" t="n"/>
      <c r="P119" s="8" t="n"/>
      <c r="Q119" s="8" t="n"/>
      <c r="R119" s="8" t="n"/>
      <c r="S119" s="8" t="n"/>
      <c r="T119" s="8" t="n"/>
      <c r="U119" s="8" t="n"/>
      <c r="V119" s="8" t="n"/>
      <c r="W119" s="8" t="n"/>
      <c r="X119" s="139" t="n"/>
      <c r="Y119" s="137" t="inlineStr">
        <is>
          <t>+</t>
        </is>
      </c>
    </row>
    <row r="120">
      <c r="A120" s="6" t="inlineStr">
        <is>
          <t>работник 671</t>
        </is>
      </c>
      <c r="B120" s="6" t="inlineStr">
        <is>
          <t>Лаборант пробирного анализа / Лаборант химического анализа</t>
        </is>
      </c>
      <c r="C120" s="6" t="inlineStr">
        <is>
          <t>ОБЩЕСТВО С ОГРАНИЧЕННОЙ ОТВЕТСТВЕННОСТЬЮ "АМУР ЗОЛОТО"</t>
        </is>
      </c>
      <c r="D120" s="7" t="inlineStr">
        <is>
          <t>2708001686</t>
        </is>
      </c>
      <c r="E120" s="6" t="inlineStr">
        <is>
          <t>ООО "Амур Золото"</t>
        </is>
      </c>
      <c r="F120" s="7" t="inlineStr">
        <is>
          <t>2708001686</t>
        </is>
      </c>
      <c r="G120" s="7" t="inlineStr">
        <is>
          <t>Успешно</t>
        </is>
      </c>
      <c r="H120" s="6" t="n"/>
      <c r="I120" s="6" t="n"/>
      <c r="J120" s="6" t="inlineStr">
        <is>
          <t>Пользовательский интерфейс</t>
        </is>
      </c>
      <c r="K120" s="7" t="n">
        <v>5</v>
      </c>
      <c r="L120" s="8" t="n"/>
      <c r="M120" s="137" t="inlineStr">
        <is>
          <t>+</t>
        </is>
      </c>
      <c r="N120" s="8" t="n"/>
      <c r="O120" s="8" t="n"/>
      <c r="P120" s="8" t="n"/>
      <c r="Q120" s="8" t="n"/>
      <c r="R120" s="8" t="n"/>
      <c r="S120" s="8" t="n"/>
      <c r="T120" s="8" t="n"/>
      <c r="U120" s="8" t="n"/>
      <c r="V120" s="8" t="n"/>
      <c r="W120" s="8" t="n"/>
      <c r="X120" s="137" t="inlineStr">
        <is>
          <t>+</t>
        </is>
      </c>
      <c r="Y120" s="137" t="inlineStr">
        <is>
          <t>+</t>
        </is>
      </c>
    </row>
    <row r="121">
      <c r="A121" s="6" t="inlineStr">
        <is>
          <t>работник 404</t>
        </is>
      </c>
      <c r="B121" s="6" t="inlineStr">
        <is>
          <t>Машинист подземных самоходных машин</t>
        </is>
      </c>
      <c r="C121" s="6" t="inlineStr">
        <is>
          <t>ОБЩЕСТВО С ОГРАНИЧЕННОЙ ОТВЕТСТВЕННОСТЬЮ "АМУР ЗОЛОТО"</t>
        </is>
      </c>
      <c r="D121" s="7" t="inlineStr">
        <is>
          <t>2708001686</t>
        </is>
      </c>
      <c r="E121" s="6" t="inlineStr">
        <is>
          <t>ООО "Амур Золото"</t>
        </is>
      </c>
      <c r="F121" s="7" t="inlineStr">
        <is>
          <t>2708001686</t>
        </is>
      </c>
      <c r="G121" s="7" t="inlineStr">
        <is>
          <t>Успешно</t>
        </is>
      </c>
      <c r="H121" s="6" t="n"/>
      <c r="I121" s="6" t="n"/>
      <c r="J121" s="6" t="inlineStr">
        <is>
          <t>Пользовательский интерфейс</t>
        </is>
      </c>
      <c r="K121" s="7" t="n">
        <v>6</v>
      </c>
      <c r="L121" s="8" t="n"/>
      <c r="M121" s="137" t="inlineStr">
        <is>
          <t>+</t>
        </is>
      </c>
      <c r="N121" s="8" t="n"/>
      <c r="O121" s="8" t="n"/>
      <c r="P121" s="8" t="n"/>
      <c r="Q121" s="8" t="n"/>
      <c r="R121" s="8" t="n"/>
      <c r="S121" s="8" t="n"/>
      <c r="T121" s="8" t="n"/>
      <c r="U121" s="8" t="n"/>
      <c r="V121" s="8" t="n"/>
      <c r="W121" s="8" t="n"/>
      <c r="X121" s="137" t="inlineStr">
        <is>
          <t>+</t>
        </is>
      </c>
      <c r="Y121" s="137" t="inlineStr">
        <is>
          <t>+</t>
        </is>
      </c>
    </row>
    <row r="122">
      <c r="A122" s="6" t="inlineStr">
        <is>
          <t>работник 433</t>
        </is>
      </c>
      <c r="B122" s="6" t="inlineStr">
        <is>
          <t>Плавильщик</t>
        </is>
      </c>
      <c r="C122" s="6" t="inlineStr">
        <is>
          <t>ОБЩЕСТВО С ОГРАНИЧЕННОЙ ОТВЕТСТВЕННОСТЬЮ "АМУР ЗОЛОТО"</t>
        </is>
      </c>
      <c r="D122" s="7" t="inlineStr">
        <is>
          <t>2708001686</t>
        </is>
      </c>
      <c r="E122" s="6" t="inlineStr">
        <is>
          <t>ООО "Амур Золото"</t>
        </is>
      </c>
      <c r="F122" s="7" t="inlineStr">
        <is>
          <t>2708001686</t>
        </is>
      </c>
      <c r="G122" s="7" t="inlineStr">
        <is>
          <t>Успешно</t>
        </is>
      </c>
      <c r="H122" s="6" t="n"/>
      <c r="I122" s="6" t="n"/>
      <c r="J122" s="6" t="inlineStr">
        <is>
          <t>Пользовательский интерфейс</t>
        </is>
      </c>
      <c r="K122" s="7" t="n">
        <v>6</v>
      </c>
      <c r="L122" s="8" t="n"/>
      <c r="M122" s="137" t="inlineStr">
        <is>
          <t>+</t>
        </is>
      </c>
      <c r="N122" s="8" t="n"/>
      <c r="O122" s="8" t="n"/>
      <c r="P122" s="8" t="n"/>
      <c r="Q122" s="8" t="n"/>
      <c r="R122" s="8" t="n"/>
      <c r="S122" s="8" t="n"/>
      <c r="T122" s="8" t="n"/>
      <c r="U122" s="8" t="n"/>
      <c r="V122" s="8" t="n"/>
      <c r="W122" s="8" t="n"/>
      <c r="X122" s="137" t="inlineStr">
        <is>
          <t>+</t>
        </is>
      </c>
      <c r="Y122" s="137" t="inlineStr">
        <is>
          <t>+</t>
        </is>
      </c>
    </row>
    <row r="123">
      <c r="A123" s="6" t="inlineStr">
        <is>
          <t>работник 586</t>
        </is>
      </c>
      <c r="B123" s="6" t="inlineStr">
        <is>
          <t>Лаборант химического анализа</t>
        </is>
      </c>
      <c r="C123" s="6" t="inlineStr">
        <is>
          <t>ОБЩЕСТВО С ОГРАНИЧЕННОЙ ОТВЕТСТВЕННОСТЬЮ "АМУР ЗОЛОТО"</t>
        </is>
      </c>
      <c r="D123" s="7" t="inlineStr">
        <is>
          <t>2708001686</t>
        </is>
      </c>
      <c r="E123" s="6" t="inlineStr">
        <is>
          <t>ООО "Амур Золото"</t>
        </is>
      </c>
      <c r="F123" s="7" t="inlineStr">
        <is>
          <t>2708001686</t>
        </is>
      </c>
      <c r="G123" s="7" t="inlineStr">
        <is>
          <t>Успешно</t>
        </is>
      </c>
      <c r="H123" s="6" t="n"/>
      <c r="I123" s="6" t="n"/>
      <c r="J123" s="6" t="inlineStr">
        <is>
          <t>Пользовательский интерфейс</t>
        </is>
      </c>
      <c r="K123" s="7" t="n">
        <v>2</v>
      </c>
      <c r="L123" s="8" t="n"/>
      <c r="M123" s="137" t="inlineStr">
        <is>
          <t>+</t>
        </is>
      </c>
      <c r="N123" s="8" t="n"/>
      <c r="O123" s="8" t="n"/>
      <c r="P123" s="8" t="n"/>
      <c r="Q123" s="8" t="n"/>
      <c r="R123" s="8" t="n"/>
      <c r="S123" s="8" t="n"/>
      <c r="T123" s="8" t="n"/>
      <c r="U123" s="8" t="n"/>
      <c r="V123" s="8" t="n"/>
      <c r="W123" s="8" t="n"/>
      <c r="X123" s="139" t="n"/>
      <c r="Y123" s="137" t="inlineStr">
        <is>
          <t>+</t>
        </is>
      </c>
    </row>
    <row r="124">
      <c r="A124" s="6" t="inlineStr">
        <is>
          <t>работник 839</t>
        </is>
      </c>
      <c r="B124" s="6" t="inlineStr">
        <is>
          <t>Машинист погрузочно-доставочной машины (занятый на транспортировании горной массы в технологическом процессе)</t>
        </is>
      </c>
      <c r="C124" s="6" t="inlineStr">
        <is>
          <t>ОБЩЕСТВО С ОГРАНИЧЕННОЙ ОТВЕТСТВЕННОСТЬЮ "АМУР ЗОЛОТО"</t>
        </is>
      </c>
      <c r="D124" s="7" t="inlineStr">
        <is>
          <t>2708001686</t>
        </is>
      </c>
      <c r="E124" s="6" t="inlineStr">
        <is>
          <t>ООО "Амур Золото"</t>
        </is>
      </c>
      <c r="F124" s="7" t="inlineStr">
        <is>
          <t>2708001686</t>
        </is>
      </c>
      <c r="G124" s="7" t="inlineStr">
        <is>
          <t>Успешно</t>
        </is>
      </c>
      <c r="H124" s="6" t="n"/>
      <c r="I124" s="6" t="n"/>
      <c r="J124" s="6" t="inlineStr">
        <is>
          <t>Пользовательский интерфейс</t>
        </is>
      </c>
      <c r="K124" s="7" t="n">
        <v>3</v>
      </c>
      <c r="L124" s="8" t="n"/>
      <c r="M124" s="137" t="inlineStr">
        <is>
          <t>+</t>
        </is>
      </c>
      <c r="N124" s="8" t="n"/>
      <c r="O124" s="8" t="n"/>
      <c r="P124" s="8" t="n"/>
      <c r="Q124" s="8" t="n"/>
      <c r="R124" s="8" t="n"/>
      <c r="S124" s="8" t="n"/>
      <c r="T124" s="8" t="n"/>
      <c r="U124" s="8" t="n"/>
      <c r="V124" s="8" t="n"/>
      <c r="W124" s="8" t="n"/>
      <c r="X124" s="137" t="inlineStr">
        <is>
          <t>+</t>
        </is>
      </c>
      <c r="Y124" s="137" t="inlineStr">
        <is>
          <t>+</t>
        </is>
      </c>
    </row>
    <row r="125">
      <c r="A125" s="6" t="inlineStr">
        <is>
          <t>работник 844</t>
        </is>
      </c>
      <c r="B125" s="6" t="inlineStr">
        <is>
          <t>Помощник машиниста самоходной буровой установки (с исполнением обязанностей пробоотборщика)</t>
        </is>
      </c>
      <c r="C125" s="6" t="inlineStr">
        <is>
          <t>ОБЩЕСТВО С ОГРАНИЧЕННОЙ ОТВЕТСТВЕННОСТЬЮ "АМУР ЗОЛОТО"</t>
        </is>
      </c>
      <c r="D125" s="7" t="inlineStr">
        <is>
          <t>2708001686</t>
        </is>
      </c>
      <c r="E125" s="6" t="inlineStr">
        <is>
          <t>ООО "Амур Золото"</t>
        </is>
      </c>
      <c r="F125" s="7" t="inlineStr">
        <is>
          <t>2708001686</t>
        </is>
      </c>
      <c r="G125" s="7" t="inlineStr">
        <is>
          <t>Успешно</t>
        </is>
      </c>
      <c r="H125" s="6" t="n"/>
      <c r="I125" s="6" t="n"/>
      <c r="J125" s="6" t="inlineStr">
        <is>
          <t>Пользовательский интерфейс</t>
        </is>
      </c>
      <c r="K125" s="7" t="n">
        <v>3</v>
      </c>
      <c r="L125" s="8" t="n"/>
      <c r="M125" s="137" t="inlineStr">
        <is>
          <t>+</t>
        </is>
      </c>
      <c r="N125" s="8" t="n"/>
      <c r="O125" s="8" t="n"/>
      <c r="P125" s="8" t="n"/>
      <c r="Q125" s="8" t="n"/>
      <c r="R125" s="8" t="n"/>
      <c r="S125" s="8" t="n"/>
      <c r="T125" s="8" t="n"/>
      <c r="U125" s="8" t="n"/>
      <c r="V125" s="8" t="n"/>
      <c r="W125" s="8" t="n"/>
      <c r="X125" s="137" t="inlineStr">
        <is>
          <t>+</t>
        </is>
      </c>
      <c r="Y125" s="137" t="inlineStr">
        <is>
          <t>+</t>
        </is>
      </c>
    </row>
    <row r="126">
      <c r="A126" s="6" t="inlineStr">
        <is>
          <t>работник 156</t>
        </is>
      </c>
      <c r="B126" s="6" t="inlineStr">
        <is>
          <t>Проходчик (с исполнением обязанностей взрывника) / Электрогазосварщик (занятый на резке и ручной сварке)</t>
        </is>
      </c>
      <c r="C126" s="6" t="inlineStr">
        <is>
          <t>ОБЩЕСТВО С ОГРАНИЧЕННОЙ ОТВЕТСТВЕННОСТЬЮ "АМУР ЗОЛОТО"</t>
        </is>
      </c>
      <c r="D126" s="7" t="inlineStr">
        <is>
          <t>2708001686</t>
        </is>
      </c>
      <c r="E126" s="6" t="inlineStr">
        <is>
          <t>ООО "Амур Золото"</t>
        </is>
      </c>
      <c r="F126" s="7" t="inlineStr">
        <is>
          <t>2708001686</t>
        </is>
      </c>
      <c r="G126" s="7" t="inlineStr">
        <is>
          <t>Успешно</t>
        </is>
      </c>
      <c r="H126" s="6" t="n"/>
      <c r="I126" s="6" t="n"/>
      <c r="J126" s="6" t="inlineStr">
        <is>
          <t>Пользовательский интерфейс</t>
        </is>
      </c>
      <c r="K126" s="7" t="n">
        <v>5</v>
      </c>
      <c r="L126" s="8" t="n"/>
      <c r="M126" s="137" t="inlineStr">
        <is>
          <t>+</t>
        </is>
      </c>
      <c r="N126" s="8" t="n"/>
      <c r="O126" s="8" t="n"/>
      <c r="P126" s="8" t="n"/>
      <c r="Q126" s="8" t="n"/>
      <c r="R126" s="8" t="n"/>
      <c r="S126" s="8" t="n"/>
      <c r="T126" s="8" t="n"/>
      <c r="U126" s="8" t="n"/>
      <c r="V126" s="8" t="n"/>
      <c r="W126" s="8" t="n"/>
      <c r="X126" s="137" t="inlineStr">
        <is>
          <t>+</t>
        </is>
      </c>
      <c r="Y126" s="137" t="inlineStr">
        <is>
          <t>+</t>
        </is>
      </c>
    </row>
    <row r="127">
      <c r="A127" s="6" t="inlineStr">
        <is>
          <t>работник 795</t>
        </is>
      </c>
      <c r="B127" s="6" t="inlineStr">
        <is>
          <t>Водитель автомобиля (топливозаправщик)</t>
        </is>
      </c>
      <c r="C127" s="6" t="inlineStr">
        <is>
          <t>ОБЩЕСТВО С ОГРАНИЧЕННОЙ ОТВЕТСТВЕННОСТЬЮ "АМУР ЗОЛОТО"</t>
        </is>
      </c>
      <c r="D127" s="7" t="inlineStr">
        <is>
          <t>2708001686</t>
        </is>
      </c>
      <c r="E127" s="6" t="inlineStr">
        <is>
          <t>ООО "Амур Золото"</t>
        </is>
      </c>
      <c r="F127" s="7" t="inlineStr">
        <is>
          <t>2708001686</t>
        </is>
      </c>
      <c r="G127" s="7" t="inlineStr">
        <is>
          <t>Успешно</t>
        </is>
      </c>
      <c r="H127" s="6" t="n"/>
      <c r="I127" s="6" t="n"/>
      <c r="J127" s="6" t="inlineStr">
        <is>
          <t>Пользовательский интерфейс</t>
        </is>
      </c>
      <c r="K127" s="7" t="n">
        <v>3</v>
      </c>
      <c r="L127" s="8" t="n"/>
      <c r="M127" s="137" t="inlineStr">
        <is>
          <t>+</t>
        </is>
      </c>
      <c r="N127" s="8" t="n"/>
      <c r="O127" s="8" t="n"/>
      <c r="P127" s="8" t="n"/>
      <c r="Q127" s="8" t="n"/>
      <c r="R127" s="8" t="n"/>
      <c r="S127" s="8" t="n"/>
      <c r="T127" s="8" t="n"/>
      <c r="U127" s="8" t="n"/>
      <c r="V127" s="8" t="n"/>
      <c r="W127" s="8" t="n"/>
      <c r="X127" s="137" t="inlineStr">
        <is>
          <t>+</t>
        </is>
      </c>
      <c r="Y127" s="137" t="inlineStr">
        <is>
          <t>+</t>
        </is>
      </c>
    </row>
    <row r="128">
      <c r="A128" s="6" t="inlineStr">
        <is>
          <t>работник 815</t>
        </is>
      </c>
      <c r="B128" s="6" t="inlineStr">
        <is>
          <t>Машинист крана автомобильного (КМУ)</t>
        </is>
      </c>
      <c r="C128" s="6" t="inlineStr">
        <is>
          <t>ОБЩЕСТВО С ОГРАНИЧЕННОЙ ОТВЕТСТВЕННОСТЬЮ "АМУР ЗОЛОТО"</t>
        </is>
      </c>
      <c r="D128" s="7" t="inlineStr">
        <is>
          <t>2708001686</t>
        </is>
      </c>
      <c r="E128" s="6" t="inlineStr">
        <is>
          <t>ООО "Амур Золото"</t>
        </is>
      </c>
      <c r="F128" s="7" t="inlineStr">
        <is>
          <t>2708001686</t>
        </is>
      </c>
      <c r="G128" s="7" t="inlineStr">
        <is>
          <t>Успешно</t>
        </is>
      </c>
      <c r="H128" s="6" t="n"/>
      <c r="I128" s="6" t="n"/>
      <c r="J128" s="6" t="inlineStr">
        <is>
          <t>Пользовательский интерфейс</t>
        </is>
      </c>
      <c r="K128" s="7" t="n">
        <v>2</v>
      </c>
      <c r="L128" s="8" t="n"/>
      <c r="M128" s="137" t="inlineStr">
        <is>
          <t>+</t>
        </is>
      </c>
      <c r="N128" s="8" t="n"/>
      <c r="O128" s="8" t="n"/>
      <c r="P128" s="8" t="n"/>
      <c r="Q128" s="8" t="n"/>
      <c r="R128" s="8" t="n"/>
      <c r="S128" s="8" t="n"/>
      <c r="T128" s="8" t="n"/>
      <c r="U128" s="8" t="n"/>
      <c r="V128" s="8" t="n"/>
      <c r="W128" s="8" t="n"/>
      <c r="X128" s="139" t="n"/>
      <c r="Y128" s="137" t="inlineStr">
        <is>
          <t>+</t>
        </is>
      </c>
    </row>
    <row r="129">
      <c r="A129" s="6" t="inlineStr">
        <is>
          <t>работник 873</t>
        </is>
      </c>
      <c r="B129" s="6" t="inlineStr">
        <is>
          <t>Кухонный рабочий</t>
        </is>
      </c>
      <c r="C129" s="6" t="inlineStr">
        <is>
          <t>ОБЩЕСТВО С ОГРАНИЧЕННОЙ ОТВЕТСТВЕННОСТЬЮ "АМУР ЗОЛОТО"</t>
        </is>
      </c>
      <c r="D129" s="7" t="inlineStr">
        <is>
          <t>2708001686</t>
        </is>
      </c>
      <c r="E129" s="6" t="inlineStr">
        <is>
          <t>ООО "Амур Золото"</t>
        </is>
      </c>
      <c r="F129" s="7" t="inlineStr">
        <is>
          <t>2708001686</t>
        </is>
      </c>
      <c r="G129" s="7" t="inlineStr">
        <is>
          <t>Успешно</t>
        </is>
      </c>
      <c r="H129" s="6" t="n"/>
      <c r="I129" s="6" t="n"/>
      <c r="J129" s="6" t="inlineStr">
        <is>
          <t>Пользовательский интерфейс</t>
        </is>
      </c>
      <c r="K129" s="7" t="n">
        <v>3</v>
      </c>
      <c r="L129" s="8" t="n"/>
      <c r="M129" s="137" t="inlineStr">
        <is>
          <t>+</t>
        </is>
      </c>
      <c r="N129" s="8" t="n"/>
      <c r="O129" s="8" t="n"/>
      <c r="P129" s="8" t="n"/>
      <c r="Q129" s="8" t="n"/>
      <c r="R129" s="8" t="n"/>
      <c r="S129" s="8" t="n"/>
      <c r="T129" s="8" t="n"/>
      <c r="U129" s="8" t="n"/>
      <c r="V129" s="8" t="n"/>
      <c r="W129" s="8" t="n"/>
      <c r="X129" s="137" t="inlineStr">
        <is>
          <t>+</t>
        </is>
      </c>
      <c r="Y129" s="138" t="inlineStr">
        <is>
          <t>+</t>
        </is>
      </c>
    </row>
    <row r="130">
      <c r="A130" s="6" t="inlineStr">
        <is>
          <t>работник 220</t>
        </is>
      </c>
      <c r="B130" s="6" t="inlineStr">
        <is>
          <t>Водитель автомобиля (занятый на транспортировании горной массы в технологическом процессе) / Водитель автомобиля(занятый на траспортировании горной массы в технологическом процессе)</t>
        </is>
      </c>
      <c r="C130" s="6" t="inlineStr">
        <is>
          <t>ОБЩЕСТВО С ОГРАНИЧЕННОЙ ОТВЕТСТВЕННОСТЬЮ "АМУР ЗОЛОТО"</t>
        </is>
      </c>
      <c r="D130" s="7" t="inlineStr">
        <is>
          <t>2708001686</t>
        </is>
      </c>
      <c r="E130" s="6" t="inlineStr">
        <is>
          <t>ООО "Амур Золото"</t>
        </is>
      </c>
      <c r="F130" s="7" t="inlineStr">
        <is>
          <t>2708001686</t>
        </is>
      </c>
      <c r="G130" s="7" t="inlineStr">
        <is>
          <t>Успешно</t>
        </is>
      </c>
      <c r="H130" s="6" t="n"/>
      <c r="I130" s="6" t="n"/>
      <c r="J130" s="6" t="inlineStr">
        <is>
          <t>Пользовательский интерфейс</t>
        </is>
      </c>
      <c r="K130" s="7" t="n">
        <v>9</v>
      </c>
      <c r="L130" s="8" t="n"/>
      <c r="M130" s="137" t="inlineStr">
        <is>
          <t>+</t>
        </is>
      </c>
      <c r="N130" s="8" t="n"/>
      <c r="O130" s="8" t="n"/>
      <c r="P130" s="8" t="n"/>
      <c r="Q130" s="8" t="n"/>
      <c r="R130" s="8" t="n"/>
      <c r="S130" s="8" t="n"/>
      <c r="T130" s="8" t="n"/>
      <c r="U130" s="8" t="n"/>
      <c r="V130" s="8" t="n"/>
      <c r="W130" s="8" t="n"/>
      <c r="X130" s="137" t="inlineStr">
        <is>
          <t>+</t>
        </is>
      </c>
      <c r="Y130" s="137" t="inlineStr">
        <is>
          <t>+</t>
        </is>
      </c>
    </row>
    <row r="131">
      <c r="A131" s="6" t="inlineStr">
        <is>
          <t>работник 902</t>
        </is>
      </c>
      <c r="B131" s="6" t="inlineStr">
        <is>
          <t>Водитель погрузчика</t>
        </is>
      </c>
      <c r="C131" s="6" t="inlineStr">
        <is>
          <t>ОБЩЕСТВО С ОГРАНИЧЕННОЙ ОТВЕТСТВЕННОСТЬЮ "АМУР ЗОЛОТО"</t>
        </is>
      </c>
      <c r="D131" s="7" t="inlineStr">
        <is>
          <t>2708001686</t>
        </is>
      </c>
      <c r="E131" s="6" t="inlineStr">
        <is>
          <t>ООО "Амур Золото"</t>
        </is>
      </c>
      <c r="F131" s="7" t="inlineStr">
        <is>
          <t>2708001686</t>
        </is>
      </c>
      <c r="G131" s="7" t="inlineStr">
        <is>
          <t>Успешно</t>
        </is>
      </c>
      <c r="H131" s="6" t="n"/>
      <c r="I131" s="6" t="n"/>
      <c r="J131" s="6" t="inlineStr">
        <is>
          <t>Пользовательский интерфейс</t>
        </is>
      </c>
      <c r="K131" s="7" t="n">
        <v>3</v>
      </c>
      <c r="L131" s="8" t="n"/>
      <c r="M131" s="137" t="inlineStr">
        <is>
          <t>+</t>
        </is>
      </c>
      <c r="N131" s="8" t="n"/>
      <c r="O131" s="8" t="n"/>
      <c r="P131" s="8" t="n"/>
      <c r="Q131" s="8" t="n"/>
      <c r="R131" s="8" t="n"/>
      <c r="S131" s="8" t="n"/>
      <c r="T131" s="8" t="n"/>
      <c r="U131" s="8" t="n"/>
      <c r="V131" s="8" t="n"/>
      <c r="W131" s="8" t="n"/>
      <c r="X131" s="137" t="inlineStr">
        <is>
          <t>+</t>
        </is>
      </c>
      <c r="Y131" s="137" t="inlineStr">
        <is>
          <t>+</t>
        </is>
      </c>
    </row>
    <row r="132">
      <c r="A132" s="6" t="inlineStr">
        <is>
          <t>работник 691</t>
        </is>
      </c>
      <c r="B132" s="6" t="inlineStr">
        <is>
          <t>Плотник</t>
        </is>
      </c>
      <c r="C132" s="6" t="inlineStr">
        <is>
          <t>ОБЩЕСТВО С ОГРАНИЧЕННОЙ ОТВЕТСТВЕННОСТЬЮ "АМУР ЗОЛОТО"</t>
        </is>
      </c>
      <c r="D132" s="7" t="inlineStr">
        <is>
          <t>2708001686</t>
        </is>
      </c>
      <c r="E132" s="6" t="inlineStr">
        <is>
          <t>ООО "Амур Золото"</t>
        </is>
      </c>
      <c r="F132" s="7" t="inlineStr">
        <is>
          <t>2708001686</t>
        </is>
      </c>
      <c r="G132" s="7" t="inlineStr">
        <is>
          <t>Успешно</t>
        </is>
      </c>
      <c r="H132" s="6" t="n"/>
      <c r="I132" s="6" t="n"/>
      <c r="J132" s="6" t="inlineStr">
        <is>
          <t>Пользовательский интерфейс</t>
        </is>
      </c>
      <c r="K132" s="7" t="n">
        <v>2</v>
      </c>
      <c r="L132" s="8" t="n"/>
      <c r="M132" s="137" t="inlineStr">
        <is>
          <t>+</t>
        </is>
      </c>
      <c r="N132" s="8" t="n"/>
      <c r="O132" s="8" t="n"/>
      <c r="P132" s="8" t="n"/>
      <c r="Q132" s="8" t="n"/>
      <c r="R132" s="8" t="n"/>
      <c r="S132" s="8" t="n"/>
      <c r="T132" s="8" t="n"/>
      <c r="U132" s="8" t="n"/>
      <c r="V132" s="8" t="n"/>
      <c r="W132" s="8" t="n"/>
      <c r="X132" s="139" t="n"/>
      <c r="Y132" s="137" t="inlineStr">
        <is>
          <t>+</t>
        </is>
      </c>
    </row>
    <row r="133">
      <c r="A133" s="6" t="inlineStr">
        <is>
          <t>работник 401</t>
        </is>
      </c>
      <c r="B133" s="6" t="inlineStr">
        <is>
          <t>Контролер продукции обогащения / Весовщик</t>
        </is>
      </c>
      <c r="C133" s="6" t="inlineStr">
        <is>
          <t>ОБЩЕСТВО С ОГРАНИЧЕННОЙ ОТВЕТСТВЕННОСТЬЮ "АМУР ЗОЛОТО"</t>
        </is>
      </c>
      <c r="D133" s="7" t="inlineStr">
        <is>
          <t>2708001686</t>
        </is>
      </c>
      <c r="E133" s="6" t="inlineStr">
        <is>
          <t>ООО "Амур Золото"</t>
        </is>
      </c>
      <c r="F133" s="7" t="inlineStr">
        <is>
          <t>2708001686</t>
        </is>
      </c>
      <c r="G133" s="7" t="inlineStr">
        <is>
          <t>Успешно</t>
        </is>
      </c>
      <c r="H133" s="6" t="n"/>
      <c r="I133" s="6" t="n"/>
      <c r="J133" s="6" t="inlineStr">
        <is>
          <t>Пользовательский интерфейс</t>
        </is>
      </c>
      <c r="K133" s="7" t="n">
        <v>5</v>
      </c>
      <c r="L133" s="8" t="n"/>
      <c r="M133" s="137" t="inlineStr">
        <is>
          <t>+</t>
        </is>
      </c>
      <c r="N133" s="8" t="n"/>
      <c r="O133" s="8" t="n"/>
      <c r="P133" s="8" t="n"/>
      <c r="Q133" s="8" t="n"/>
      <c r="R133" s="8" t="n"/>
      <c r="S133" s="8" t="n"/>
      <c r="T133" s="8" t="n"/>
      <c r="U133" s="8" t="n"/>
      <c r="V133" s="8" t="n"/>
      <c r="W133" s="8" t="n"/>
      <c r="X133" s="137" t="inlineStr">
        <is>
          <t>+</t>
        </is>
      </c>
      <c r="Y133" s="137" t="inlineStr">
        <is>
          <t>+</t>
        </is>
      </c>
    </row>
    <row r="134">
      <c r="A134" s="6" t="inlineStr">
        <is>
          <t>работник 817</t>
        </is>
      </c>
      <c r="B134" s="6" t="inlineStr">
        <is>
          <t>Машинист крана автомобильного</t>
        </is>
      </c>
      <c r="C134" s="6" t="inlineStr">
        <is>
          <t>ОБЩЕСТВО С ОГРАНИЧЕННОЙ ОТВЕТСТВЕННОСТЬЮ "АМУР ЗОЛОТО"</t>
        </is>
      </c>
      <c r="D134" s="7" t="inlineStr">
        <is>
          <t>2708001686</t>
        </is>
      </c>
      <c r="E134" s="6" t="inlineStr">
        <is>
          <t>ООО "Амур Золото"</t>
        </is>
      </c>
      <c r="F134" s="7" t="inlineStr">
        <is>
          <t>2708001686</t>
        </is>
      </c>
      <c r="G134" s="7" t="inlineStr">
        <is>
          <t>Успешно</t>
        </is>
      </c>
      <c r="H134" s="6" t="n"/>
      <c r="I134" s="6" t="n"/>
      <c r="J134" s="6" t="inlineStr">
        <is>
          <t>Пользовательский интерфейс</t>
        </is>
      </c>
      <c r="K134" s="7" t="n">
        <v>2</v>
      </c>
      <c r="L134" s="8" t="n"/>
      <c r="M134" s="137" t="inlineStr">
        <is>
          <t>+</t>
        </is>
      </c>
      <c r="N134" s="8" t="n"/>
      <c r="O134" s="8" t="n"/>
      <c r="P134" s="8" t="n"/>
      <c r="Q134" s="8" t="n"/>
      <c r="R134" s="8" t="n"/>
      <c r="S134" s="8" t="n"/>
      <c r="T134" s="8" t="n"/>
      <c r="U134" s="8" t="n"/>
      <c r="V134" s="8" t="n"/>
      <c r="W134" s="8" t="n"/>
      <c r="X134" s="139" t="n"/>
      <c r="Y134" s="137" t="inlineStr">
        <is>
          <t>+</t>
        </is>
      </c>
    </row>
    <row r="135">
      <c r="A135" s="6" t="inlineStr">
        <is>
          <t>работник 481</t>
        </is>
      </c>
      <c r="B135" s="6" t="inlineStr">
        <is>
          <t>Помощник машиниста  самоходной буровой установки (с исполнением обязанностей пробоотборщика) (Очистное)</t>
        </is>
      </c>
      <c r="C135" s="6" t="inlineStr">
        <is>
          <t>ОБЩЕСТВО С ОГРАНИЧЕННОЙ ОТВЕТСТВЕННОСТЬЮ "АМУР ЗОЛОТО"</t>
        </is>
      </c>
      <c r="D135" s="7" t="inlineStr">
        <is>
          <t>2708001686</t>
        </is>
      </c>
      <c r="E135" s="6" t="inlineStr">
        <is>
          <t>ООО "Амур Золото"</t>
        </is>
      </c>
      <c r="F135" s="7" t="inlineStr">
        <is>
          <t>2708001686</t>
        </is>
      </c>
      <c r="G135" s="7" t="inlineStr">
        <is>
          <t>Успешно</t>
        </is>
      </c>
      <c r="H135" s="6" t="n"/>
      <c r="I135" s="6" t="n"/>
      <c r="J135" s="6" t="inlineStr">
        <is>
          <t>Пользовательский интерфейс</t>
        </is>
      </c>
      <c r="K135" s="7" t="n">
        <v>2</v>
      </c>
      <c r="L135" s="8" t="n"/>
      <c r="M135" s="137" t="inlineStr">
        <is>
          <t>+</t>
        </is>
      </c>
      <c r="N135" s="8" t="n"/>
      <c r="O135" s="8" t="n"/>
      <c r="P135" s="8" t="n"/>
      <c r="Q135" s="8" t="n"/>
      <c r="R135" s="8" t="n"/>
      <c r="S135" s="8" t="n"/>
      <c r="T135" s="8" t="n"/>
      <c r="U135" s="8" t="n"/>
      <c r="V135" s="8" t="n"/>
      <c r="W135" s="8" t="n"/>
      <c r="X135" s="139" t="n"/>
      <c r="Y135" s="137" t="inlineStr">
        <is>
          <t>+</t>
        </is>
      </c>
    </row>
    <row r="136">
      <c r="A136" s="6" t="inlineStr">
        <is>
          <t>работник 874</t>
        </is>
      </c>
      <c r="B136" s="6" t="inlineStr">
        <is>
          <t>Кухонный рабочий</t>
        </is>
      </c>
      <c r="C136" s="6" t="inlineStr">
        <is>
          <t>ОБЩЕСТВО С ОГРАНИЧЕННОЙ ОТВЕТСТВЕННОСТЬЮ "АМУР ЗОЛОТО"</t>
        </is>
      </c>
      <c r="D136" s="7" t="inlineStr">
        <is>
          <t>2708001686</t>
        </is>
      </c>
      <c r="E136" s="6" t="inlineStr">
        <is>
          <t>ООО "Амур Золото"</t>
        </is>
      </c>
      <c r="F136" s="7" t="inlineStr">
        <is>
          <t>2708001686</t>
        </is>
      </c>
      <c r="G136" s="7" t="inlineStr">
        <is>
          <t>Успешно</t>
        </is>
      </c>
      <c r="H136" s="6" t="n"/>
      <c r="I136" s="6" t="n"/>
      <c r="J136" s="6" t="inlineStr">
        <is>
          <t>Пользовательский интерфейс</t>
        </is>
      </c>
      <c r="K136" s="7" t="n">
        <v>3</v>
      </c>
      <c r="L136" s="8" t="n"/>
      <c r="M136" s="137" t="inlineStr">
        <is>
          <t>+</t>
        </is>
      </c>
      <c r="N136" s="8" t="n"/>
      <c r="O136" s="8" t="n"/>
      <c r="P136" s="8" t="n"/>
      <c r="Q136" s="8" t="n"/>
      <c r="R136" s="8" t="n"/>
      <c r="S136" s="8" t="n"/>
      <c r="T136" s="8" t="n"/>
      <c r="U136" s="8" t="n"/>
      <c r="V136" s="8" t="n"/>
      <c r="W136" s="8" t="n"/>
      <c r="X136" s="137" t="inlineStr">
        <is>
          <t>+</t>
        </is>
      </c>
      <c r="Y136" s="138" t="inlineStr">
        <is>
          <t>+</t>
        </is>
      </c>
    </row>
    <row r="137">
      <c r="A137" s="6" t="inlineStr">
        <is>
          <t>работник 872</t>
        </is>
      </c>
      <c r="B137" s="6" t="inlineStr">
        <is>
          <t>Повар (кондитер)</t>
        </is>
      </c>
      <c r="C137" s="6" t="inlineStr">
        <is>
          <t>ОБЩЕСТВО С ОГРАНИЧЕННОЙ ОТВЕТСТВЕННОСТЬЮ "АМУР ЗОЛОТО"</t>
        </is>
      </c>
      <c r="D137" s="7" t="inlineStr">
        <is>
          <t>2708001686</t>
        </is>
      </c>
      <c r="E137" s="6" t="inlineStr">
        <is>
          <t>ООО "Амур Золото"</t>
        </is>
      </c>
      <c r="F137" s="7" t="inlineStr">
        <is>
          <t>2708001686</t>
        </is>
      </c>
      <c r="G137" s="7" t="inlineStr">
        <is>
          <t>Успешно</t>
        </is>
      </c>
      <c r="H137" s="6" t="n"/>
      <c r="I137" s="6" t="n"/>
      <c r="J137" s="6" t="inlineStr">
        <is>
          <t>Пользовательский интерфейс</t>
        </is>
      </c>
      <c r="K137" s="7" t="n">
        <v>3</v>
      </c>
      <c r="L137" s="8" t="n"/>
      <c r="M137" s="137" t="inlineStr">
        <is>
          <t>+</t>
        </is>
      </c>
      <c r="N137" s="8" t="n"/>
      <c r="O137" s="8" t="n"/>
      <c r="P137" s="8" t="n"/>
      <c r="Q137" s="8" t="n"/>
      <c r="R137" s="8" t="n"/>
      <c r="S137" s="8" t="n"/>
      <c r="T137" s="8" t="n"/>
      <c r="U137" s="8" t="n"/>
      <c r="V137" s="8" t="n"/>
      <c r="W137" s="8" t="n"/>
      <c r="X137" s="137" t="inlineStr">
        <is>
          <t>+</t>
        </is>
      </c>
      <c r="Y137" s="138" t="inlineStr">
        <is>
          <t>+</t>
        </is>
      </c>
    </row>
    <row r="138">
      <c r="A138" s="6" t="inlineStr">
        <is>
          <t>работник 634</t>
        </is>
      </c>
      <c r="B138" s="6" t="inlineStr">
        <is>
          <t>Помощник машиниста самоходной буровой установки (с исполнением обязанностей пробоотборщика) / Помощник машиниста самоходной буровой установки (с исполнением обязанностей пробоотборщика) (Очистное)</t>
        </is>
      </c>
      <c r="C138" s="6" t="inlineStr">
        <is>
          <t>ОБЩЕСТВО С ОГРАНИЧЕННОЙ ОТВЕТСТВЕННОСТЬЮ "АМУР ЗОЛОТО"</t>
        </is>
      </c>
      <c r="D138" s="7" t="inlineStr">
        <is>
          <t>2708001686</t>
        </is>
      </c>
      <c r="E138" s="6" t="inlineStr">
        <is>
          <t>ООО "Амур Золото"</t>
        </is>
      </c>
      <c r="F138" s="7" t="inlineStr">
        <is>
          <t>2708001686</t>
        </is>
      </c>
      <c r="G138" s="7" t="inlineStr">
        <is>
          <t>Успешно</t>
        </is>
      </c>
      <c r="H138" s="6" t="n"/>
      <c r="I138" s="6" t="n"/>
      <c r="J138" s="6" t="inlineStr">
        <is>
          <t>Пользовательский интерфейс</t>
        </is>
      </c>
      <c r="K138" s="7" t="n">
        <v>6</v>
      </c>
      <c r="L138" s="8" t="n"/>
      <c r="M138" s="137" t="inlineStr">
        <is>
          <t>+</t>
        </is>
      </c>
      <c r="N138" s="8" t="n"/>
      <c r="O138" s="8" t="n"/>
      <c r="P138" s="137" t="inlineStr">
        <is>
          <t>+</t>
        </is>
      </c>
      <c r="Q138" s="8" t="n"/>
      <c r="R138" s="8" t="n"/>
      <c r="S138" s="8" t="n"/>
      <c r="T138" s="8" t="n"/>
      <c r="U138" s="8" t="n"/>
      <c r="V138" s="8" t="n"/>
      <c r="W138" s="8" t="n"/>
      <c r="X138" s="137" t="inlineStr">
        <is>
          <t>+</t>
        </is>
      </c>
      <c r="Y138" s="137" t="inlineStr">
        <is>
          <t>+</t>
        </is>
      </c>
    </row>
    <row r="139">
      <c r="A139" s="6" t="inlineStr">
        <is>
          <t>работник 648</t>
        </is>
      </c>
      <c r="B139" s="6" t="inlineStr">
        <is>
          <t>Заведующий складом аварийно химически опасных веществ</t>
        </is>
      </c>
      <c r="C139" s="6" t="inlineStr">
        <is>
          <t>ОБЩЕСТВО С ОГРАНИЧЕННОЙ ОТВЕТСТВЕННОСТЬЮ "АМУР ЗОЛОТО"</t>
        </is>
      </c>
      <c r="D139" s="7" t="inlineStr">
        <is>
          <t>2708001686</t>
        </is>
      </c>
      <c r="E139" s="6" t="inlineStr">
        <is>
          <t>ООО "Амур Золото"</t>
        </is>
      </c>
      <c r="F139" s="7" t="inlineStr">
        <is>
          <t>2708001686</t>
        </is>
      </c>
      <c r="G139" s="7" t="inlineStr">
        <is>
          <t>Успешно</t>
        </is>
      </c>
      <c r="H139" s="6" t="n"/>
      <c r="I139" s="6" t="n"/>
      <c r="J139" s="6" t="inlineStr">
        <is>
          <t>Пользовательский интерфейс</t>
        </is>
      </c>
      <c r="K139" s="7" t="n">
        <v>2</v>
      </c>
      <c r="L139" s="141" t="n"/>
      <c r="M139" s="137" t="inlineStr">
        <is>
          <t>+</t>
        </is>
      </c>
      <c r="N139" s="8" t="n"/>
      <c r="O139" s="8" t="n"/>
      <c r="P139" s="8" t="n"/>
      <c r="Q139" s="8" t="n"/>
      <c r="R139" s="8" t="n"/>
      <c r="S139" s="8" t="n"/>
      <c r="T139" s="8" t="n"/>
      <c r="U139" s="8" t="n"/>
      <c r="V139" s="8" t="n"/>
      <c r="W139" s="8" t="n"/>
      <c r="X139" s="139" t="n"/>
      <c r="Y139" s="137" t="inlineStr">
        <is>
          <t>+</t>
        </is>
      </c>
    </row>
    <row r="140">
      <c r="A140" s="6" t="inlineStr">
        <is>
          <t>работник 460</t>
        </is>
      </c>
      <c r="B140" s="6" t="inlineStr">
        <is>
          <t>Электрогазосварщик</t>
        </is>
      </c>
      <c r="C140" s="6" t="inlineStr">
        <is>
          <t>ОБЩЕСТВО С ОГРАНИЧЕННОЙ ОТВЕТСТВЕННОСТЬЮ "АМУР ЗОЛОТО"</t>
        </is>
      </c>
      <c r="D140" s="7" t="inlineStr">
        <is>
          <t>2708001686</t>
        </is>
      </c>
      <c r="E140" s="6" t="inlineStr">
        <is>
          <t>ООО "Амур Золото"</t>
        </is>
      </c>
      <c r="F140" s="7" t="inlineStr">
        <is>
          <t>2708001686</t>
        </is>
      </c>
      <c r="G140" s="7" t="inlineStr">
        <is>
          <t>Успешно</t>
        </is>
      </c>
      <c r="H140" s="6" t="n"/>
      <c r="I140" s="6" t="n"/>
      <c r="J140" s="6" t="inlineStr">
        <is>
          <t>Пользовательский интерфейс</t>
        </is>
      </c>
      <c r="K140" s="7" t="n">
        <v>2</v>
      </c>
      <c r="L140" s="8" t="n"/>
      <c r="M140" s="137" t="inlineStr">
        <is>
          <t>+</t>
        </is>
      </c>
      <c r="N140" s="8" t="n"/>
      <c r="O140" s="8" t="n"/>
      <c r="P140" s="8" t="n"/>
      <c r="Q140" s="8" t="n"/>
      <c r="R140" s="8" t="n"/>
      <c r="S140" s="8" t="n"/>
      <c r="T140" s="8" t="n"/>
      <c r="U140" s="8" t="n"/>
      <c r="V140" s="8" t="n"/>
      <c r="W140" s="8" t="n"/>
      <c r="X140" s="139" t="n"/>
      <c r="Y140" s="137" t="inlineStr">
        <is>
          <t>+</t>
        </is>
      </c>
    </row>
    <row r="141">
      <c r="A141" s="6" t="inlineStr">
        <is>
          <t>работник 511</t>
        </is>
      </c>
      <c r="B141" s="6" t="inlineStr">
        <is>
          <t>Весовщик</t>
        </is>
      </c>
      <c r="C141" s="6" t="inlineStr">
        <is>
          <t>ОБЩЕСТВО С ОГРАНИЧЕННОЙ ОТВЕТСТВЕННОСТЬЮ "АМУР ЗОЛОТО"</t>
        </is>
      </c>
      <c r="D141" s="7" t="inlineStr">
        <is>
          <t>2708001686</t>
        </is>
      </c>
      <c r="E141" s="6" t="inlineStr">
        <is>
          <t>ООО "Амур Золото"</t>
        </is>
      </c>
      <c r="F141" s="7" t="inlineStr">
        <is>
          <t>2708001686</t>
        </is>
      </c>
      <c r="G141" s="7" t="inlineStr">
        <is>
          <t>Успешно</t>
        </is>
      </c>
      <c r="H141" s="6" t="n"/>
      <c r="I141" s="6" t="n"/>
      <c r="J141" s="6" t="n"/>
      <c r="K141" s="7" t="n">
        <v>2</v>
      </c>
      <c r="L141" s="8" t="n"/>
      <c r="M141" s="137" t="inlineStr">
        <is>
          <t>+</t>
        </is>
      </c>
      <c r="N141" s="8" t="n"/>
      <c r="O141" s="8" t="n"/>
      <c r="P141" s="8" t="n"/>
      <c r="Q141" s="8" t="n"/>
      <c r="R141" s="8" t="n"/>
      <c r="S141" s="8" t="n"/>
      <c r="T141" s="8" t="n"/>
      <c r="U141" s="8" t="n"/>
      <c r="V141" s="8" t="n"/>
      <c r="W141" s="8" t="n"/>
      <c r="X141" s="139" t="n"/>
      <c r="Y141" s="137" t="inlineStr">
        <is>
          <t>+</t>
        </is>
      </c>
    </row>
    <row r="142">
      <c r="A142" s="6" t="inlineStr">
        <is>
          <t>работник 93</t>
        </is>
      </c>
      <c r="B142" s="6" t="inlineStr">
        <is>
          <t>Кухонный рабочий</t>
        </is>
      </c>
      <c r="C142" s="6" t="inlineStr">
        <is>
          <t>ОБЩЕСТВО С ОГРАНИЧЕННОЙ ОТВЕТСТВЕННОСТЬЮ "АМУР ЗОЛОТО"</t>
        </is>
      </c>
      <c r="D142" s="7" t="inlineStr">
        <is>
          <t>2708001686</t>
        </is>
      </c>
      <c r="E142" s="6" t="inlineStr">
        <is>
          <t>ООО "Амур Золото"</t>
        </is>
      </c>
      <c r="F142" s="7" t="inlineStr">
        <is>
          <t>2708001686</t>
        </is>
      </c>
      <c r="G142" s="7" t="inlineStr">
        <is>
          <t>Успешно</t>
        </is>
      </c>
      <c r="H142" s="6" t="n"/>
      <c r="I142" s="6" t="n"/>
      <c r="J142" s="6" t="inlineStr">
        <is>
          <t>Пользовательский интерфейс</t>
        </is>
      </c>
      <c r="K142" s="7" t="n">
        <v>3</v>
      </c>
      <c r="L142" s="8" t="n"/>
      <c r="M142" s="137" t="inlineStr">
        <is>
          <t>+</t>
        </is>
      </c>
      <c r="N142" s="8" t="n"/>
      <c r="O142" s="8" t="n"/>
      <c r="P142" s="8" t="n"/>
      <c r="Q142" s="8" t="n"/>
      <c r="R142" s="8" t="n"/>
      <c r="S142" s="8" t="n"/>
      <c r="T142" s="8" t="n"/>
      <c r="U142" s="8" t="n"/>
      <c r="V142" s="8" t="n"/>
      <c r="W142" s="8" t="n"/>
      <c r="X142" s="137" t="inlineStr">
        <is>
          <t>+</t>
        </is>
      </c>
      <c r="Y142" s="138" t="inlineStr">
        <is>
          <t>+</t>
        </is>
      </c>
    </row>
    <row r="143">
      <c r="A143" s="6" t="inlineStr">
        <is>
          <t>работник 912</t>
        </is>
      </c>
      <c r="B143" s="6" t="inlineStr">
        <is>
          <t>Делопроизводитель</t>
        </is>
      </c>
      <c r="C143" s="6" t="inlineStr">
        <is>
          <t>ОБЩЕСТВО С ОГРАНИЧЕННОЙ ОТВЕТСТВЕННОСТЬЮ "АМУР ЗОЛОТО"</t>
        </is>
      </c>
      <c r="D143" s="7" t="inlineStr">
        <is>
          <t>2708001686</t>
        </is>
      </c>
      <c r="E143" s="6" t="inlineStr">
        <is>
          <t>ООО "Амур Золото"</t>
        </is>
      </c>
      <c r="F143" s="7" t="inlineStr">
        <is>
          <t>2708001686</t>
        </is>
      </c>
      <c r="G143" s="7" t="inlineStr">
        <is>
          <t>Успешно</t>
        </is>
      </c>
      <c r="H143" s="6" t="n"/>
      <c r="I143" s="6" t="n"/>
      <c r="J143" s="6" t="inlineStr">
        <is>
          <t>Пользовательский интерфейс</t>
        </is>
      </c>
      <c r="K143" s="7" t="n">
        <v>3</v>
      </c>
      <c r="L143" s="138" t="inlineStr">
        <is>
          <t>+</t>
        </is>
      </c>
      <c r="M143" s="139" t="n"/>
      <c r="N143" s="8" t="n"/>
      <c r="O143" s="8" t="n"/>
      <c r="P143" s="8" t="n"/>
      <c r="Q143" s="8" t="n"/>
      <c r="R143" s="8" t="n"/>
      <c r="S143" s="8" t="n"/>
      <c r="T143" s="8" t="n"/>
      <c r="U143" s="8" t="n"/>
      <c r="V143" s="8" t="n"/>
      <c r="W143" s="8" t="n"/>
      <c r="X143" s="140" t="inlineStr">
        <is>
          <t>+</t>
        </is>
      </c>
      <c r="Y143" s="138" t="inlineStr">
        <is>
          <t>+</t>
        </is>
      </c>
    </row>
    <row r="144">
      <c r="A144" s="6" t="inlineStr">
        <is>
          <t>работник 762</t>
        </is>
      </c>
      <c r="B144" s="6" t="inlineStr">
        <is>
          <t>Машинист погрузочно-доставочной машины (занятый на транспортировании горной массы в технологическом процессе)</t>
        </is>
      </c>
      <c r="C144" s="6" t="inlineStr">
        <is>
          <t>ОБЩЕСТВО С ОГРАНИЧЕННОЙ ОТВЕТСТВЕННОСТЬЮ "АМУР ЗОЛОТО"</t>
        </is>
      </c>
      <c r="D144" s="7" t="inlineStr">
        <is>
          <t>2708001686</t>
        </is>
      </c>
      <c r="E144" s="6" t="inlineStr">
        <is>
          <t>ООО "Амур Золото"</t>
        </is>
      </c>
      <c r="F144" s="7" t="inlineStr">
        <is>
          <t>2708001686</t>
        </is>
      </c>
      <c r="G144" s="7" t="inlineStr">
        <is>
          <t>Успешно</t>
        </is>
      </c>
      <c r="H144" s="6" t="n"/>
      <c r="I144" s="6" t="n"/>
      <c r="J144" s="6" t="inlineStr">
        <is>
          <t>Пользовательский интерфейс</t>
        </is>
      </c>
      <c r="K144" s="7" t="n">
        <v>6</v>
      </c>
      <c r="L144" s="8" t="n"/>
      <c r="M144" s="137" t="inlineStr">
        <is>
          <t>+</t>
        </is>
      </c>
      <c r="N144" s="8" t="n"/>
      <c r="O144" s="8" t="n"/>
      <c r="P144" s="8" t="n"/>
      <c r="Q144" s="8" t="n"/>
      <c r="R144" s="8" t="n"/>
      <c r="S144" s="8" t="n"/>
      <c r="T144" s="8" t="n"/>
      <c r="U144" s="8" t="n"/>
      <c r="V144" s="8" t="n"/>
      <c r="W144" s="8" t="n"/>
      <c r="X144" s="137" t="inlineStr">
        <is>
          <t>+</t>
        </is>
      </c>
      <c r="Y144" s="137" t="inlineStr">
        <is>
          <t>+</t>
        </is>
      </c>
    </row>
    <row r="145">
      <c r="A145" s="6" t="inlineStr">
        <is>
          <t>работник 530</t>
        </is>
      </c>
      <c r="B145" s="6" t="inlineStr">
        <is>
          <t>Проходчик (с исполнением обязанностей взрывника) / Крепильщик</t>
        </is>
      </c>
      <c r="C145" s="6" t="inlineStr">
        <is>
          <t>ОБЩЕСТВО С ОГРАНИЧЕННОЙ ОТВЕТСТВЕННОСТЬЮ "АМУР ЗОЛОТО"</t>
        </is>
      </c>
      <c r="D145" s="7" t="inlineStr">
        <is>
          <t>2708001686</t>
        </is>
      </c>
      <c r="E145" s="6" t="inlineStr">
        <is>
          <t>ООО "Амур Золото"</t>
        </is>
      </c>
      <c r="F145" s="7" t="inlineStr">
        <is>
          <t>2708001686</t>
        </is>
      </c>
      <c r="G145" s="7" t="inlineStr">
        <is>
          <t>Успешно</t>
        </is>
      </c>
      <c r="H145" s="6" t="n"/>
      <c r="I145" s="6" t="n"/>
      <c r="J145" s="6" t="inlineStr">
        <is>
          <t>Пользовательский интерфейс</t>
        </is>
      </c>
      <c r="K145" s="7" t="n">
        <v>5</v>
      </c>
      <c r="L145" s="8" t="n"/>
      <c r="M145" s="137" t="inlineStr">
        <is>
          <t>+</t>
        </is>
      </c>
      <c r="N145" s="8" t="n"/>
      <c r="O145" s="8" t="n"/>
      <c r="P145" s="8" t="n"/>
      <c r="Q145" s="8" t="n"/>
      <c r="R145" s="8" t="n"/>
      <c r="S145" s="8" t="n"/>
      <c r="T145" s="8" t="n"/>
      <c r="U145" s="8" t="n"/>
      <c r="V145" s="8" t="n"/>
      <c r="W145" s="8" t="n"/>
      <c r="X145" s="137" t="inlineStr">
        <is>
          <t>+</t>
        </is>
      </c>
      <c r="Y145" s="137" t="inlineStr">
        <is>
          <t>+</t>
        </is>
      </c>
    </row>
    <row r="146">
      <c r="A146" s="6" t="inlineStr">
        <is>
          <t>работник 264</t>
        </is>
      </c>
      <c r="B146" s="6" t="inlineStr">
        <is>
          <t>Машинист крана автомобильного (КМУ)</t>
        </is>
      </c>
      <c r="C146" s="6" t="inlineStr">
        <is>
          <t>ОБЩЕСТВО С ОГРАНИЧЕННОЙ ОТВЕТСТВЕННОСТЬЮ "АМУР ЗОЛОТО"</t>
        </is>
      </c>
      <c r="D146" s="7" t="inlineStr">
        <is>
          <t>2708001686</t>
        </is>
      </c>
      <c r="E146" s="6" t="inlineStr">
        <is>
          <t>ООО "Амур Золото"</t>
        </is>
      </c>
      <c r="F146" s="7" t="inlineStr">
        <is>
          <t>2708001686</t>
        </is>
      </c>
      <c r="G146" s="7" t="inlineStr">
        <is>
          <t>Успешно</t>
        </is>
      </c>
      <c r="H146" s="6" t="n"/>
      <c r="I146" s="6" t="n"/>
      <c r="J146" s="6" t="inlineStr">
        <is>
          <t>Пользовательский интерфейс</t>
        </is>
      </c>
      <c r="K146" s="7" t="n">
        <v>3</v>
      </c>
      <c r="L146" s="8" t="n"/>
      <c r="M146" s="137" t="inlineStr">
        <is>
          <t>+</t>
        </is>
      </c>
      <c r="N146" s="8" t="n"/>
      <c r="O146" s="8" t="n"/>
      <c r="P146" s="8" t="n"/>
      <c r="Q146" s="8" t="n"/>
      <c r="R146" s="8" t="n"/>
      <c r="S146" s="8" t="n"/>
      <c r="T146" s="8" t="n"/>
      <c r="U146" s="8" t="n"/>
      <c r="V146" s="8" t="n"/>
      <c r="W146" s="8" t="n"/>
      <c r="X146" s="137" t="inlineStr">
        <is>
          <t>+</t>
        </is>
      </c>
      <c r="Y146" s="137" t="inlineStr">
        <is>
          <t>+</t>
        </is>
      </c>
    </row>
    <row r="147">
      <c r="A147" s="6" t="inlineStr">
        <is>
          <t>работник 335</t>
        </is>
      </c>
      <c r="B147" s="6" t="inlineStr">
        <is>
          <t>Машинист ДВС с обязанностями компрессорщик / Машинист двигателей внутреннего сгорания (с исполнением обязанностей машиниста компрессорных установок)</t>
        </is>
      </c>
      <c r="C147" s="6" t="inlineStr">
        <is>
          <t>ОБЩЕСТВО С ОГРАНИЧЕННОЙ ОТВЕТСТВЕННОСТЬЮ "АМУР ЗОЛОТО"</t>
        </is>
      </c>
      <c r="D147" s="7" t="inlineStr">
        <is>
          <t>2708001686</t>
        </is>
      </c>
      <c r="E147" s="6" t="inlineStr">
        <is>
          <t>ООО "Амур Золото"</t>
        </is>
      </c>
      <c r="F147" s="7" t="inlineStr">
        <is>
          <t>2708001686</t>
        </is>
      </c>
      <c r="G147" s="7" t="inlineStr">
        <is>
          <t>Успешно</t>
        </is>
      </c>
      <c r="H147" s="6" t="n"/>
      <c r="I147" s="6" t="n"/>
      <c r="J147" s="6" t="inlineStr">
        <is>
          <t>Пользовательский интерфейс</t>
        </is>
      </c>
      <c r="K147" s="7" t="n">
        <v>6</v>
      </c>
      <c r="L147" s="8" t="n"/>
      <c r="M147" s="137" t="inlineStr">
        <is>
          <t>+</t>
        </is>
      </c>
      <c r="N147" s="8" t="n"/>
      <c r="O147" s="8" t="n"/>
      <c r="P147" s="8" t="n"/>
      <c r="Q147" s="8" t="n"/>
      <c r="R147" s="8" t="n"/>
      <c r="S147" s="8" t="n"/>
      <c r="T147" s="8" t="n"/>
      <c r="U147" s="8" t="n"/>
      <c r="V147" s="8" t="n"/>
      <c r="W147" s="8" t="n"/>
      <c r="X147" s="137" t="inlineStr">
        <is>
          <t>+</t>
        </is>
      </c>
      <c r="Y147" s="137" t="inlineStr">
        <is>
          <t>+</t>
        </is>
      </c>
    </row>
    <row r="148">
      <c r="A148" s="6" t="inlineStr">
        <is>
          <t>работник 379</t>
        </is>
      </c>
      <c r="B148" s="6" t="inlineStr">
        <is>
          <t>Машинист двигателей внутреннего сгорания</t>
        </is>
      </c>
      <c r="C148" s="6" t="inlineStr">
        <is>
          <t>ОБЩЕСТВО С ОГРАНИЧЕННОЙ ОТВЕТСТВЕННОСТЬЮ "АМУР ЗОЛОТО"</t>
        </is>
      </c>
      <c r="D148" s="7" t="inlineStr">
        <is>
          <t>2708001686</t>
        </is>
      </c>
      <c r="E148" s="6" t="inlineStr">
        <is>
          <t>ООО "Амур Золото"</t>
        </is>
      </c>
      <c r="F148" s="7" t="inlineStr">
        <is>
          <t>2708001686</t>
        </is>
      </c>
      <c r="G148" s="7" t="inlineStr">
        <is>
          <t>Успешно</t>
        </is>
      </c>
      <c r="H148" s="6" t="n"/>
      <c r="I148" s="6" t="n"/>
      <c r="J148" s="6" t="inlineStr">
        <is>
          <t>Пользовательский интерфейс</t>
        </is>
      </c>
      <c r="K148" s="7" t="n">
        <v>3</v>
      </c>
      <c r="L148" s="8" t="n"/>
      <c r="M148" s="137" t="inlineStr">
        <is>
          <t>+</t>
        </is>
      </c>
      <c r="N148" s="8" t="n"/>
      <c r="O148" s="8" t="n"/>
      <c r="P148" s="8" t="n"/>
      <c r="Q148" s="8" t="n"/>
      <c r="R148" s="8" t="n"/>
      <c r="S148" s="8" t="n"/>
      <c r="T148" s="8" t="n"/>
      <c r="U148" s="8" t="n"/>
      <c r="V148" s="8" t="n"/>
      <c r="W148" s="8" t="n"/>
      <c r="X148" s="137" t="inlineStr">
        <is>
          <t>+</t>
        </is>
      </c>
      <c r="Y148" s="137" t="inlineStr">
        <is>
          <t>+</t>
        </is>
      </c>
    </row>
    <row r="149">
      <c r="A149" s="6" t="inlineStr">
        <is>
          <t>работник 214</t>
        </is>
      </c>
      <c r="B149" s="6" t="inlineStr">
        <is>
          <t>Водитель погрузчика</t>
        </is>
      </c>
      <c r="C149" s="6" t="inlineStr">
        <is>
          <t>ОБЩЕСТВО С ОГРАНИЧЕННОЙ ОТВЕТСТВЕННОСТЬЮ "АМУР ЗОЛОТО"</t>
        </is>
      </c>
      <c r="D149" s="7" t="inlineStr">
        <is>
          <t>2708001686</t>
        </is>
      </c>
      <c r="E149" s="6" t="inlineStr">
        <is>
          <t>ООО "Амур Золото"</t>
        </is>
      </c>
      <c r="F149" s="7" t="inlineStr">
        <is>
          <t>2708001686</t>
        </is>
      </c>
      <c r="G149" s="7" t="inlineStr">
        <is>
          <t>Успешно</t>
        </is>
      </c>
      <c r="H149" s="6" t="n"/>
      <c r="I149" s="6" t="n"/>
      <c r="J149" s="6" t="inlineStr">
        <is>
          <t>Пользовательский интерфейс</t>
        </is>
      </c>
      <c r="K149" s="7" t="n">
        <v>6</v>
      </c>
      <c r="L149" s="8" t="n"/>
      <c r="M149" s="137" t="inlineStr">
        <is>
          <t>+</t>
        </is>
      </c>
      <c r="N149" s="8" t="n"/>
      <c r="O149" s="8" t="n"/>
      <c r="P149" s="8" t="n"/>
      <c r="Q149" s="8" t="n"/>
      <c r="R149" s="8" t="n"/>
      <c r="S149" s="8" t="n"/>
      <c r="T149" s="8" t="n"/>
      <c r="U149" s="8" t="n"/>
      <c r="V149" s="8" t="n"/>
      <c r="W149" s="8" t="n"/>
      <c r="X149" s="137" t="inlineStr">
        <is>
          <t>+</t>
        </is>
      </c>
      <c r="Y149" s="137" t="inlineStr">
        <is>
          <t>+</t>
        </is>
      </c>
    </row>
    <row r="150">
      <c r="A150" s="6" t="inlineStr">
        <is>
          <t>работник 708</t>
        </is>
      </c>
      <c r="B150" s="6" t="inlineStr">
        <is>
          <t>Промывальщик геологических проб</t>
        </is>
      </c>
      <c r="C150" s="6" t="inlineStr">
        <is>
          <t>ОБЩЕСТВО С ОГРАНИЧЕННОЙ ОТВЕТСТВЕННОСТЬЮ "АМУР ЗОЛОТО"</t>
        </is>
      </c>
      <c r="D150" s="7" t="inlineStr">
        <is>
          <t>2708001686</t>
        </is>
      </c>
      <c r="E150" s="6" t="inlineStr">
        <is>
          <t>ООО "Амур Золото"</t>
        </is>
      </c>
      <c r="F150" s="7" t="inlineStr">
        <is>
          <t>2708001686</t>
        </is>
      </c>
      <c r="G150" s="7" t="inlineStr">
        <is>
          <t>Успешно</t>
        </is>
      </c>
      <c r="H150" s="6" t="n"/>
      <c r="I150" s="6" t="n"/>
      <c r="J150" s="6" t="inlineStr">
        <is>
          <t>Пользовательский интерфейс</t>
        </is>
      </c>
      <c r="K150" s="7" t="n">
        <v>2</v>
      </c>
      <c r="L150" s="8" t="n"/>
      <c r="M150" s="137" t="inlineStr">
        <is>
          <t>+</t>
        </is>
      </c>
      <c r="N150" s="8" t="n"/>
      <c r="O150" s="8" t="n"/>
      <c r="P150" s="8" t="n"/>
      <c r="Q150" s="8" t="n"/>
      <c r="R150" s="8" t="n"/>
      <c r="S150" s="8" t="n"/>
      <c r="T150" s="8" t="n"/>
      <c r="U150" s="8" t="n"/>
      <c r="V150" s="8" t="n"/>
      <c r="W150" s="8" t="n"/>
      <c r="X150" s="139" t="n"/>
      <c r="Y150" s="137" t="inlineStr">
        <is>
          <t>+</t>
        </is>
      </c>
    </row>
    <row r="151">
      <c r="A151" s="6" t="inlineStr">
        <is>
          <t>работник 676</t>
        </is>
      </c>
      <c r="B151" s="6" t="inlineStr">
        <is>
          <t>Грузчик</t>
        </is>
      </c>
      <c r="C151" s="6" t="inlineStr">
        <is>
          <t>ОБЩЕСТВО С ОГРАНИЧЕННОЙ ОТВЕТСТВЕННОСТЬЮ "АМУР ЗОЛОТО"</t>
        </is>
      </c>
      <c r="D151" s="7" t="inlineStr">
        <is>
          <t>2708001686</t>
        </is>
      </c>
      <c r="E151" s="6" t="inlineStr">
        <is>
          <t>ООО "Амур Золото"</t>
        </is>
      </c>
      <c r="F151" s="7" t="inlineStr">
        <is>
          <t>2708001686</t>
        </is>
      </c>
      <c r="G151" s="7" t="inlineStr">
        <is>
          <t>Успешно</t>
        </is>
      </c>
      <c r="H151" s="6" t="n"/>
      <c r="I151" s="6" t="n"/>
      <c r="J151" s="6" t="inlineStr">
        <is>
          <t>Пользовательский интерфейс</t>
        </is>
      </c>
      <c r="K151" s="7" t="n">
        <v>2</v>
      </c>
      <c r="L151" s="8" t="n"/>
      <c r="M151" s="137" t="inlineStr">
        <is>
          <t>+</t>
        </is>
      </c>
      <c r="N151" s="8" t="n"/>
      <c r="O151" s="8" t="n"/>
      <c r="P151" s="8" t="n"/>
      <c r="Q151" s="8" t="n"/>
      <c r="R151" s="8" t="n"/>
      <c r="S151" s="8" t="n"/>
      <c r="T151" s="8" t="n"/>
      <c r="U151" s="8" t="n"/>
      <c r="V151" s="8" t="n"/>
      <c r="W151" s="8" t="n"/>
      <c r="X151" s="139" t="n"/>
      <c r="Y151" s="137" t="inlineStr">
        <is>
          <t>+</t>
        </is>
      </c>
    </row>
    <row r="152">
      <c r="A152" s="6" t="inlineStr">
        <is>
          <t>работник 541</t>
        </is>
      </c>
      <c r="B152" s="6" t="inlineStr">
        <is>
          <t>Весовщик</t>
        </is>
      </c>
      <c r="C152" s="6" t="inlineStr">
        <is>
          <t>ОБЩЕСТВО С ОГРАНИЧЕННОЙ ОТВЕТСТВЕННОСТЬЮ "АМУР ЗОЛОТО"</t>
        </is>
      </c>
      <c r="D152" s="7" t="inlineStr">
        <is>
          <t>2708001686</t>
        </is>
      </c>
      <c r="E152" s="6" t="inlineStr">
        <is>
          <t>ООО "Амур Золото"</t>
        </is>
      </c>
      <c r="F152" s="7" t="inlineStr">
        <is>
          <t>2708001686</t>
        </is>
      </c>
      <c r="G152" s="7" t="inlineStr">
        <is>
          <t>Успешно</t>
        </is>
      </c>
      <c r="H152" s="6" t="n"/>
      <c r="I152" s="6" t="n"/>
      <c r="J152" s="6" t="n"/>
      <c r="K152" s="7" t="n">
        <v>2</v>
      </c>
      <c r="L152" s="8" t="n"/>
      <c r="M152" s="137" t="inlineStr">
        <is>
          <t>+</t>
        </is>
      </c>
      <c r="N152" s="8" t="n"/>
      <c r="O152" s="8" t="n"/>
      <c r="P152" s="8" t="n"/>
      <c r="Q152" s="8" t="n"/>
      <c r="R152" s="8" t="n"/>
      <c r="S152" s="8" t="n"/>
      <c r="T152" s="8" t="n"/>
      <c r="U152" s="8" t="n"/>
      <c r="V152" s="8" t="n"/>
      <c r="W152" s="8" t="n"/>
      <c r="X152" s="139" t="n"/>
      <c r="Y152" s="137" t="inlineStr">
        <is>
          <t>+</t>
        </is>
      </c>
    </row>
    <row r="153">
      <c r="A153" s="6" t="inlineStr">
        <is>
          <t>работник 265</t>
        </is>
      </c>
      <c r="B153" s="6" t="inlineStr">
        <is>
          <t>Водитель автомобиля (занятый на транспортировании горной массы в технологическом процессе)</t>
        </is>
      </c>
      <c r="C153" s="6" t="inlineStr">
        <is>
          <t>ОБЩЕСТВО С ОГРАНИЧЕННОЙ ОТВЕТСТВЕННОСТЬЮ "АМУР ЗОЛОТО"</t>
        </is>
      </c>
      <c r="D153" s="7" t="inlineStr">
        <is>
          <t>2708001686</t>
        </is>
      </c>
      <c r="E153" s="6" t="inlineStr">
        <is>
          <t>ООО "Амур Золото"</t>
        </is>
      </c>
      <c r="F153" s="7" t="inlineStr">
        <is>
          <t>2708001686</t>
        </is>
      </c>
      <c r="G153" s="7" t="inlineStr">
        <is>
          <t>Успешно</t>
        </is>
      </c>
      <c r="H153" s="6" t="n"/>
      <c r="I153" s="6" t="n"/>
      <c r="J153" s="6" t="inlineStr">
        <is>
          <t>Пользовательский интерфейс</t>
        </is>
      </c>
      <c r="K153" s="7" t="n">
        <v>3</v>
      </c>
      <c r="L153" s="8" t="n"/>
      <c r="M153" s="137" t="inlineStr">
        <is>
          <t>+</t>
        </is>
      </c>
      <c r="N153" s="8" t="n"/>
      <c r="O153" s="8" t="n"/>
      <c r="P153" s="8" t="n"/>
      <c r="Q153" s="8" t="n"/>
      <c r="R153" s="8" t="n"/>
      <c r="S153" s="8" t="n"/>
      <c r="T153" s="8" t="n"/>
      <c r="U153" s="8" t="n"/>
      <c r="V153" s="8" t="n"/>
      <c r="W153" s="8" t="n"/>
      <c r="X153" s="137" t="inlineStr">
        <is>
          <t>+</t>
        </is>
      </c>
      <c r="Y153" s="137" t="inlineStr">
        <is>
          <t>+</t>
        </is>
      </c>
    </row>
    <row r="154">
      <c r="A154" s="6" t="inlineStr">
        <is>
          <t>работник 901</t>
        </is>
      </c>
      <c r="B154" s="6" t="inlineStr">
        <is>
          <t>Машинист бульдозера</t>
        </is>
      </c>
      <c r="C154" s="6" t="inlineStr">
        <is>
          <t>ОБЩЕСТВО С ОГРАНИЧЕННОЙ ОТВЕТСТВЕННОСТЬЮ "АМУР ЗОЛОТО"</t>
        </is>
      </c>
      <c r="D154" s="7" t="inlineStr">
        <is>
          <t>2708001686</t>
        </is>
      </c>
      <c r="E154" s="6" t="inlineStr">
        <is>
          <t>ООО "Амур Золото"</t>
        </is>
      </c>
      <c r="F154" s="7" t="inlineStr">
        <is>
          <t>2708001686</t>
        </is>
      </c>
      <c r="G154" s="7" t="inlineStr">
        <is>
          <t>Успешно</t>
        </is>
      </c>
      <c r="H154" s="6" t="n"/>
      <c r="I154" s="6" t="n"/>
      <c r="J154" s="6" t="inlineStr">
        <is>
          <t>Пользовательский интерфейс</t>
        </is>
      </c>
      <c r="K154" s="7" t="n">
        <v>3</v>
      </c>
      <c r="L154" s="8" t="n"/>
      <c r="M154" s="137" t="inlineStr">
        <is>
          <t>+</t>
        </is>
      </c>
      <c r="N154" s="8" t="n"/>
      <c r="O154" s="8" t="n"/>
      <c r="P154" s="8" t="n"/>
      <c r="Q154" s="8" t="n"/>
      <c r="R154" s="8" t="n"/>
      <c r="S154" s="8" t="n"/>
      <c r="T154" s="8" t="n"/>
      <c r="U154" s="8" t="n"/>
      <c r="V154" s="8" t="n"/>
      <c r="W154" s="8" t="n"/>
      <c r="X154" s="137" t="inlineStr">
        <is>
          <t>+</t>
        </is>
      </c>
      <c r="Y154" s="137" t="inlineStr">
        <is>
          <t>+</t>
        </is>
      </c>
    </row>
    <row r="155">
      <c r="A155" s="6" t="inlineStr">
        <is>
          <t>работник 242</t>
        </is>
      </c>
      <c r="B155" s="6" t="inlineStr">
        <is>
          <t>Фильтровальщик</t>
        </is>
      </c>
      <c r="C155" s="6" t="inlineStr">
        <is>
          <t>ОБЩЕСТВО С ОГРАНИЧЕННОЙ ОТВЕТСТВЕННОСТЬЮ "АМУР ЗОЛОТО"</t>
        </is>
      </c>
      <c r="D155" s="7" t="inlineStr">
        <is>
          <t>2708001686</t>
        </is>
      </c>
      <c r="E155" s="6" t="inlineStr">
        <is>
          <t>ООО "Амур Золото"</t>
        </is>
      </c>
      <c r="F155" s="7" t="inlineStr">
        <is>
          <t>2708001686</t>
        </is>
      </c>
      <c r="G155" s="7" t="inlineStr">
        <is>
          <t>Успешно</t>
        </is>
      </c>
      <c r="H155" s="6" t="n"/>
      <c r="I155" s="6" t="n"/>
      <c r="J155" s="6" t="inlineStr">
        <is>
          <t>Пользовательский интерфейс</t>
        </is>
      </c>
      <c r="K155" s="7" t="n">
        <v>3</v>
      </c>
      <c r="L155" s="8" t="n"/>
      <c r="M155" s="137" t="inlineStr">
        <is>
          <t>+</t>
        </is>
      </c>
      <c r="N155" s="8" t="n"/>
      <c r="O155" s="8" t="n"/>
      <c r="P155" s="8" t="n"/>
      <c r="Q155" s="8" t="n"/>
      <c r="R155" s="8" t="n"/>
      <c r="S155" s="8" t="n"/>
      <c r="T155" s="8" t="n"/>
      <c r="U155" s="8" t="n"/>
      <c r="V155" s="8" t="n"/>
      <c r="W155" s="8" t="n"/>
      <c r="X155" s="137" t="inlineStr">
        <is>
          <t>+</t>
        </is>
      </c>
      <c r="Y155" s="137" t="inlineStr">
        <is>
          <t>+</t>
        </is>
      </c>
    </row>
    <row r="156">
      <c r="A156" s="6" t="inlineStr">
        <is>
          <t>работник 105</t>
        </is>
      </c>
      <c r="B156" s="6" t="inlineStr">
        <is>
          <t>Повар</t>
        </is>
      </c>
      <c r="C156" s="6" t="inlineStr">
        <is>
          <t>ОБЩЕСТВО С ОГРАНИЧЕННОЙ ОТВЕТСТВЕННОСТЬЮ "АМУР ЗОЛОТО"</t>
        </is>
      </c>
      <c r="D156" s="7" t="inlineStr">
        <is>
          <t>2708001686</t>
        </is>
      </c>
      <c r="E156" s="6" t="inlineStr">
        <is>
          <t>ООО "Амур Золото"</t>
        </is>
      </c>
      <c r="F156" s="7" t="inlineStr">
        <is>
          <t>2708001686</t>
        </is>
      </c>
      <c r="G156" s="7" t="inlineStr">
        <is>
          <t>Успешно</t>
        </is>
      </c>
      <c r="H156" s="6" t="n"/>
      <c r="I156" s="6" t="n"/>
      <c r="J156" s="6" t="inlineStr">
        <is>
          <t>Пользовательский интерфейс</t>
        </is>
      </c>
      <c r="K156" s="7" t="n">
        <v>3</v>
      </c>
      <c r="L156" s="8" t="n"/>
      <c r="M156" s="137" t="inlineStr">
        <is>
          <t>+</t>
        </is>
      </c>
      <c r="N156" s="8" t="n"/>
      <c r="O156" s="8" t="n"/>
      <c r="P156" s="8" t="n"/>
      <c r="Q156" s="8" t="n"/>
      <c r="R156" s="8" t="n"/>
      <c r="S156" s="8" t="n"/>
      <c r="T156" s="8" t="n"/>
      <c r="U156" s="8" t="n"/>
      <c r="V156" s="8" t="n"/>
      <c r="W156" s="8" t="n"/>
      <c r="X156" s="137" t="inlineStr">
        <is>
          <t>+</t>
        </is>
      </c>
      <c r="Y156" s="138" t="inlineStr">
        <is>
          <t>+</t>
        </is>
      </c>
    </row>
    <row r="157">
      <c r="A157" s="6" t="inlineStr">
        <is>
          <t>работник 929</t>
        </is>
      </c>
      <c r="B157" s="6" t="inlineStr">
        <is>
          <t>Фильтровальщик</t>
        </is>
      </c>
      <c r="C157" s="6" t="inlineStr">
        <is>
          <t>ОБЩЕСТВО С ОГРАНИЧЕННОЙ ОТВЕТСТВЕННОСТЬЮ "АМУР ЗОЛОТО"</t>
        </is>
      </c>
      <c r="D157" s="7" t="inlineStr">
        <is>
          <t>2708001686</t>
        </is>
      </c>
      <c r="E157" s="6" t="inlineStr">
        <is>
          <t>ООО "Амур Золото"</t>
        </is>
      </c>
      <c r="F157" s="7" t="inlineStr">
        <is>
          <t>2708001686</t>
        </is>
      </c>
      <c r="G157" s="7" t="inlineStr">
        <is>
          <t>Успешно</t>
        </is>
      </c>
      <c r="H157" s="6" t="n"/>
      <c r="I157" s="6" t="n"/>
      <c r="J157" s="6" t="inlineStr">
        <is>
          <t>Пользовательский интерфейс</t>
        </is>
      </c>
      <c r="K157" s="7" t="n">
        <v>3</v>
      </c>
      <c r="L157" s="8" t="n"/>
      <c r="M157" s="137" t="inlineStr">
        <is>
          <t>+</t>
        </is>
      </c>
      <c r="N157" s="8" t="n"/>
      <c r="O157" s="8" t="n"/>
      <c r="P157" s="8" t="n"/>
      <c r="Q157" s="8" t="n"/>
      <c r="R157" s="8" t="n"/>
      <c r="S157" s="8" t="n"/>
      <c r="T157" s="8" t="n"/>
      <c r="U157" s="8" t="n"/>
      <c r="V157" s="8" t="n"/>
      <c r="W157" s="8" t="n"/>
      <c r="X157" s="137" t="inlineStr">
        <is>
          <t>+</t>
        </is>
      </c>
      <c r="Y157" s="137" t="inlineStr">
        <is>
          <t>+</t>
        </is>
      </c>
    </row>
    <row r="158">
      <c r="A158" s="6" t="inlineStr">
        <is>
          <t>работник 386</t>
        </is>
      </c>
      <c r="B158" s="6" t="inlineStr">
        <is>
          <t>Горнорабочий на геологических работах / Пробоотборщик</t>
        </is>
      </c>
      <c r="C158" s="6" t="inlineStr">
        <is>
          <t>ОБЩЕСТВО С ОГРАНИЧЕННОЙ ОТВЕТСТВЕННОСТЬЮ "АМУР ЗОЛОТО"</t>
        </is>
      </c>
      <c r="D158" s="7" t="inlineStr">
        <is>
          <t>2708001686</t>
        </is>
      </c>
      <c r="E158" s="6" t="inlineStr">
        <is>
          <t>ООО "Амур Золото"</t>
        </is>
      </c>
      <c r="F158" s="7" t="inlineStr">
        <is>
          <t>2708001686</t>
        </is>
      </c>
      <c r="G158" s="7" t="inlineStr">
        <is>
          <t>Успешно</t>
        </is>
      </c>
      <c r="H158" s="6" t="n"/>
      <c r="I158" s="6" t="n"/>
      <c r="J158" s="6" t="inlineStr">
        <is>
          <t>Пользовательский интерфейс</t>
        </is>
      </c>
      <c r="K158" s="7" t="n">
        <v>6</v>
      </c>
      <c r="L158" s="8" t="n"/>
      <c r="M158" s="137" t="inlineStr">
        <is>
          <t>+</t>
        </is>
      </c>
      <c r="N158" s="8" t="n"/>
      <c r="O158" s="8" t="n"/>
      <c r="P158" s="8" t="n"/>
      <c r="Q158" s="8" t="n"/>
      <c r="R158" s="8" t="n"/>
      <c r="S158" s="8" t="n"/>
      <c r="T158" s="8" t="n"/>
      <c r="U158" s="8" t="n"/>
      <c r="V158" s="8" t="n"/>
      <c r="W158" s="8" t="n"/>
      <c r="X158" s="137" t="inlineStr">
        <is>
          <t>+</t>
        </is>
      </c>
      <c r="Y158" s="137" t="inlineStr">
        <is>
          <t>+</t>
        </is>
      </c>
    </row>
    <row r="159">
      <c r="A159" s="6" t="inlineStr">
        <is>
          <t>работник 619</t>
        </is>
      </c>
      <c r="B159" s="6" t="inlineStr">
        <is>
          <t>Электрослесарь (слесарь) дежурный и по ремонту оборудования</t>
        </is>
      </c>
      <c r="C159" s="6" t="inlineStr">
        <is>
          <t>ОБЩЕСТВО С ОГРАНИЧЕННОЙ ОТВЕТСТВЕННОСТЬЮ "АМУР ЗОЛОТО"</t>
        </is>
      </c>
      <c r="D159" s="7" t="inlineStr">
        <is>
          <t>2708001686</t>
        </is>
      </c>
      <c r="E159" s="6" t="inlineStr">
        <is>
          <t>ООО "Амур Золото"</t>
        </is>
      </c>
      <c r="F159" s="7" t="inlineStr">
        <is>
          <t>2708001686</t>
        </is>
      </c>
      <c r="G159" s="7" t="inlineStr">
        <is>
          <t>Успешно</t>
        </is>
      </c>
      <c r="H159" s="6" t="n"/>
      <c r="I159" s="6" t="n"/>
      <c r="J159" s="6" t="inlineStr">
        <is>
          <t>Пользовательский интерфейс</t>
        </is>
      </c>
      <c r="K159" s="7" t="n">
        <v>2</v>
      </c>
      <c r="L159" s="8" t="n"/>
      <c r="M159" s="137" t="inlineStr">
        <is>
          <t>+</t>
        </is>
      </c>
      <c r="N159" s="8" t="n"/>
      <c r="O159" s="8" t="n"/>
      <c r="P159" s="8" t="n"/>
      <c r="Q159" s="8" t="n"/>
      <c r="R159" s="8" t="n"/>
      <c r="S159" s="8" t="n"/>
      <c r="T159" s="8" t="n"/>
      <c r="U159" s="8" t="n"/>
      <c r="V159" s="8" t="n"/>
      <c r="W159" s="8" t="n"/>
      <c r="X159" s="139" t="n"/>
      <c r="Y159" s="137" t="inlineStr">
        <is>
          <t>+</t>
        </is>
      </c>
    </row>
    <row r="160">
      <c r="A160" s="6" t="inlineStr">
        <is>
          <t>работник 709</t>
        </is>
      </c>
      <c r="B160" s="6" t="inlineStr">
        <is>
          <t>Машинист бульдозера</t>
        </is>
      </c>
      <c r="C160" s="6" t="inlineStr">
        <is>
          <t>ОБЩЕСТВО С ОГРАНИЧЕННОЙ ОТВЕТСТВЕННОСТЬЮ "АМУР ЗОЛОТО"</t>
        </is>
      </c>
      <c r="D160" s="7" t="inlineStr">
        <is>
          <t>2708001686</t>
        </is>
      </c>
      <c r="E160" s="6" t="inlineStr">
        <is>
          <t>ООО "Амур Золото"</t>
        </is>
      </c>
      <c r="F160" s="7" t="inlineStr">
        <is>
          <t>2708001686</t>
        </is>
      </c>
      <c r="G160" s="7" t="inlineStr">
        <is>
          <t>Успешно</t>
        </is>
      </c>
      <c r="H160" s="6" t="n"/>
      <c r="I160" s="6" t="n"/>
      <c r="J160" s="6" t="inlineStr">
        <is>
          <t>Пользовательский интерфейс</t>
        </is>
      </c>
      <c r="K160" s="7" t="n">
        <v>2</v>
      </c>
      <c r="L160" s="8" t="n"/>
      <c r="M160" s="137" t="inlineStr">
        <is>
          <t>+</t>
        </is>
      </c>
      <c r="N160" s="8" t="n"/>
      <c r="O160" s="8" t="n"/>
      <c r="P160" s="8" t="n"/>
      <c r="Q160" s="8" t="n"/>
      <c r="R160" s="8" t="n"/>
      <c r="S160" s="8" t="n"/>
      <c r="T160" s="8" t="n"/>
      <c r="U160" s="8" t="n"/>
      <c r="V160" s="8" t="n"/>
      <c r="W160" s="8" t="n"/>
      <c r="X160" s="139" t="n"/>
      <c r="Y160" s="137" t="inlineStr">
        <is>
          <t>+</t>
        </is>
      </c>
    </row>
    <row r="161">
      <c r="A161" s="6" t="inlineStr">
        <is>
          <t>работник 397</t>
        </is>
      </c>
      <c r="B161" s="6" t="inlineStr">
        <is>
          <t>Водитель автомобиля (занятый на транспортировании горной массы в технологическом процессе)</t>
        </is>
      </c>
      <c r="C161" s="6" t="inlineStr">
        <is>
          <t>ОБЩЕСТВО С ОГРАНИЧЕННОЙ ОТВЕТСТВЕННОСТЬЮ "АМУР ЗОЛОТО"</t>
        </is>
      </c>
      <c r="D161" s="7" t="inlineStr">
        <is>
          <t>2708001686</t>
        </is>
      </c>
      <c r="E161" s="6" t="inlineStr">
        <is>
          <t>ООО "Амур Золото"</t>
        </is>
      </c>
      <c r="F161" s="7" t="inlineStr">
        <is>
          <t>2708001686</t>
        </is>
      </c>
      <c r="G161" s="7" t="inlineStr">
        <is>
          <t>Успешно</t>
        </is>
      </c>
      <c r="H161" s="6" t="n"/>
      <c r="I161" s="6" t="n"/>
      <c r="J161" s="6" t="inlineStr">
        <is>
          <t>Пользовательский интерфейс</t>
        </is>
      </c>
      <c r="K161" s="7" t="n">
        <v>2</v>
      </c>
      <c r="L161" s="8" t="n"/>
      <c r="M161" s="137" t="inlineStr">
        <is>
          <t>+</t>
        </is>
      </c>
      <c r="N161" s="8" t="n"/>
      <c r="O161" s="8" t="n"/>
      <c r="P161" s="8" t="n"/>
      <c r="Q161" s="8" t="n"/>
      <c r="R161" s="8" t="n"/>
      <c r="S161" s="8" t="n"/>
      <c r="T161" s="8" t="n"/>
      <c r="U161" s="8" t="n"/>
      <c r="V161" s="8" t="n"/>
      <c r="W161" s="8" t="n"/>
      <c r="X161" s="139" t="n"/>
      <c r="Y161" s="137" t="inlineStr">
        <is>
          <t>+</t>
        </is>
      </c>
    </row>
    <row r="162">
      <c r="A162" s="6" t="inlineStr">
        <is>
          <t>работник 710</t>
        </is>
      </c>
      <c r="B162" s="6" t="inlineStr">
        <is>
          <t>Участковый геолог</t>
        </is>
      </c>
      <c r="C162" s="6" t="inlineStr">
        <is>
          <t>ОБЩЕСТВО С ОГРАНИЧЕННОЙ ОТВЕТСТВЕННОСТЬЮ "АМУР ЗОЛОТО"</t>
        </is>
      </c>
      <c r="D162" s="7" t="inlineStr">
        <is>
          <t>2708001686</t>
        </is>
      </c>
      <c r="E162" s="6" t="inlineStr">
        <is>
          <t>ООО "Амур Золото"</t>
        </is>
      </c>
      <c r="F162" s="7" t="inlineStr">
        <is>
          <t>2708001686</t>
        </is>
      </c>
      <c r="G162" s="7" t="inlineStr">
        <is>
          <t>Успешно</t>
        </is>
      </c>
      <c r="H162" s="6" t="n"/>
      <c r="I162" s="6" t="n"/>
      <c r="J162" s="6" t="inlineStr">
        <is>
          <t>Пользовательский интерфейс</t>
        </is>
      </c>
      <c r="K162" s="7" t="n">
        <v>2</v>
      </c>
      <c r="L162" s="8" t="n"/>
      <c r="M162" s="137" t="inlineStr">
        <is>
          <t>+</t>
        </is>
      </c>
      <c r="N162" s="8" t="n"/>
      <c r="O162" s="8" t="n"/>
      <c r="P162" s="8" t="n"/>
      <c r="Q162" s="8" t="n"/>
      <c r="R162" s="8" t="n"/>
      <c r="S162" s="8" t="n"/>
      <c r="T162" s="8" t="n"/>
      <c r="U162" s="8" t="n"/>
      <c r="V162" s="8" t="n"/>
      <c r="W162" s="8" t="n"/>
      <c r="X162" s="8" t="n"/>
      <c r="Y162" s="137" t="inlineStr">
        <is>
          <t>+</t>
        </is>
      </c>
    </row>
    <row r="163">
      <c r="A163" s="6" t="inlineStr">
        <is>
          <t>работник 610</t>
        </is>
      </c>
      <c r="B163" s="6" t="inlineStr">
        <is>
          <t>Аппаратчик воздухоразделения</t>
        </is>
      </c>
      <c r="C163" s="6" t="inlineStr">
        <is>
          <t>ОБЩЕСТВО С ОГРАНИЧЕННОЙ ОТВЕТСТВЕННОСТЬЮ "АМУР ЗОЛОТО"</t>
        </is>
      </c>
      <c r="D163" s="7" t="inlineStr">
        <is>
          <t>2708001686</t>
        </is>
      </c>
      <c r="E163" s="6" t="inlineStr">
        <is>
          <t>ООО "Амур Золото"</t>
        </is>
      </c>
      <c r="F163" s="7" t="inlineStr">
        <is>
          <t>2708001686</t>
        </is>
      </c>
      <c r="G163" s="7" t="inlineStr">
        <is>
          <t>Успешно</t>
        </is>
      </c>
      <c r="H163" s="6" t="n"/>
      <c r="I163" s="6" t="n"/>
      <c r="J163" s="6" t="inlineStr">
        <is>
          <t>Пользовательский интерфейс</t>
        </is>
      </c>
      <c r="K163" s="7" t="n">
        <v>4</v>
      </c>
      <c r="L163" s="8" t="n"/>
      <c r="M163" s="137" t="inlineStr">
        <is>
          <t>+</t>
        </is>
      </c>
      <c r="N163" s="8" t="n"/>
      <c r="O163" s="8" t="n"/>
      <c r="P163" s="8" t="n"/>
      <c r="Q163" s="8" t="n"/>
      <c r="R163" s="8" t="n"/>
      <c r="S163" s="8" t="n"/>
      <c r="T163" s="8" t="n"/>
      <c r="U163" s="8" t="n"/>
      <c r="V163" s="8" t="n"/>
      <c r="W163" s="8" t="n"/>
      <c r="X163" s="139" t="n"/>
      <c r="Y163" s="137" t="inlineStr">
        <is>
          <t>+</t>
        </is>
      </c>
    </row>
    <row r="164">
      <c r="A164" s="6" t="inlineStr">
        <is>
          <t>работник 711</t>
        </is>
      </c>
      <c r="B164" s="6" t="inlineStr">
        <is>
          <t>Электрогазосварщик (занятый на резке и ручной сварке)</t>
        </is>
      </c>
      <c r="C164" s="6" t="inlineStr">
        <is>
          <t>ОБЩЕСТВО С ОГРАНИЧЕННОЙ ОТВЕТСТВЕННОСТЬЮ "АМУР ЗОЛОТО"</t>
        </is>
      </c>
      <c r="D164" s="7" t="inlineStr">
        <is>
          <t>2708001686</t>
        </is>
      </c>
      <c r="E164" s="6" t="inlineStr">
        <is>
          <t>ООО "Амур Золото"</t>
        </is>
      </c>
      <c r="F164" s="7" t="inlineStr">
        <is>
          <t>2708001686</t>
        </is>
      </c>
      <c r="G164" s="7" t="inlineStr">
        <is>
          <t>Успешно</t>
        </is>
      </c>
      <c r="H164" s="6" t="n"/>
      <c r="I164" s="6" t="n"/>
      <c r="J164" s="6" t="inlineStr">
        <is>
          <t>Пользовательский интерфейс</t>
        </is>
      </c>
      <c r="K164" s="7" t="n">
        <v>3</v>
      </c>
      <c r="L164" s="8" t="n"/>
      <c r="M164" s="137" t="inlineStr">
        <is>
          <t>+</t>
        </is>
      </c>
      <c r="N164" s="8" t="n"/>
      <c r="O164" s="137" t="inlineStr">
        <is>
          <t>+</t>
        </is>
      </c>
      <c r="P164" s="8" t="n"/>
      <c r="Q164" s="8" t="n"/>
      <c r="R164" s="8" t="n"/>
      <c r="S164" s="8" t="n"/>
      <c r="T164" s="8" t="n"/>
      <c r="U164" s="8" t="n"/>
      <c r="V164" s="8" t="n"/>
      <c r="W164" s="8" t="n"/>
      <c r="X164" s="139" t="n"/>
      <c r="Y164" s="137" t="inlineStr">
        <is>
          <t>+</t>
        </is>
      </c>
    </row>
    <row r="165">
      <c r="A165" s="6" t="inlineStr">
        <is>
          <t>работник 59</t>
        </is>
      </c>
      <c r="B165" s="6" t="inlineStr">
        <is>
          <t>Машинист кочегар котельной / Оператор дизельных котлов</t>
        </is>
      </c>
      <c r="C165" s="6" t="inlineStr">
        <is>
          <t>ОБЩЕСТВО С ОГРАНИЧЕННОЙ ОТВЕТСТВЕННОСТЬЮ "АМУР ЗОЛОТО"</t>
        </is>
      </c>
      <c r="D165" s="7" t="inlineStr">
        <is>
          <t>2708001686</t>
        </is>
      </c>
      <c r="E165" s="6" t="inlineStr">
        <is>
          <t>ООО "Амур Золото"</t>
        </is>
      </c>
      <c r="F165" s="7" t="inlineStr">
        <is>
          <t>2708001686</t>
        </is>
      </c>
      <c r="G165" s="7" t="inlineStr">
        <is>
          <t>Успешно</t>
        </is>
      </c>
      <c r="H165" s="6" t="n"/>
      <c r="I165" s="6" t="n"/>
      <c r="J165" s="6" t="inlineStr">
        <is>
          <t>Пользовательский интерфейс</t>
        </is>
      </c>
      <c r="K165" s="7" t="n">
        <v>6</v>
      </c>
      <c r="L165" s="8" t="n"/>
      <c r="M165" s="137" t="inlineStr">
        <is>
          <t>+</t>
        </is>
      </c>
      <c r="N165" s="8" t="n"/>
      <c r="O165" s="8" t="n"/>
      <c r="P165" s="8" t="n"/>
      <c r="Q165" s="8" t="n"/>
      <c r="R165" s="8" t="n"/>
      <c r="S165" s="8" t="n"/>
      <c r="T165" s="8" t="n"/>
      <c r="U165" s="8" t="n"/>
      <c r="V165" s="8" t="n"/>
      <c r="W165" s="8" t="n"/>
      <c r="X165" s="137" t="inlineStr">
        <is>
          <t>+</t>
        </is>
      </c>
      <c r="Y165" s="137" t="inlineStr">
        <is>
          <t>+</t>
        </is>
      </c>
    </row>
    <row r="166">
      <c r="A166" s="6" t="inlineStr">
        <is>
          <t>работник 134</t>
        </is>
      </c>
      <c r="B166" s="6" t="inlineStr">
        <is>
          <t>Электромонтер</t>
        </is>
      </c>
      <c r="C166" s="6" t="inlineStr">
        <is>
          <t>ОБЩЕСТВО С ОГРАНИЧЕННОЙ ОТВЕТСТВЕННОСТЬЮ "АМУР ЗОЛОТО"</t>
        </is>
      </c>
      <c r="D166" s="7" t="inlineStr">
        <is>
          <t>2708001686</t>
        </is>
      </c>
      <c r="E166" s="6" t="inlineStr">
        <is>
          <t>ООО "Амур Золото"</t>
        </is>
      </c>
      <c r="F166" s="7" t="inlineStr">
        <is>
          <t>2708001686</t>
        </is>
      </c>
      <c r="G166" s="7" t="inlineStr">
        <is>
          <t>Успешно</t>
        </is>
      </c>
      <c r="H166" s="6" t="n"/>
      <c r="I166" s="6" t="n"/>
      <c r="J166" s="6" t="inlineStr">
        <is>
          <t>Пользовательский интерфейс</t>
        </is>
      </c>
      <c r="K166" s="7" t="n">
        <v>5</v>
      </c>
      <c r="L166" s="8" t="n"/>
      <c r="M166" s="137" t="inlineStr">
        <is>
          <t>+</t>
        </is>
      </c>
      <c r="N166" s="137" t="inlineStr">
        <is>
          <t>+</t>
        </is>
      </c>
      <c r="O166" s="8" t="n"/>
      <c r="P166" s="8" t="n"/>
      <c r="Q166" s="8" t="n"/>
      <c r="R166" s="8" t="n"/>
      <c r="S166" s="8" t="n"/>
      <c r="T166" s="137" t="inlineStr">
        <is>
          <t>+</t>
        </is>
      </c>
      <c r="U166" s="8" t="n"/>
      <c r="V166" s="8" t="n"/>
      <c r="W166" s="8" t="n"/>
      <c r="X166" s="137" t="inlineStr">
        <is>
          <t>+</t>
        </is>
      </c>
      <c r="Y166" s="137" t="inlineStr">
        <is>
          <t>+</t>
        </is>
      </c>
    </row>
    <row r="167">
      <c r="A167" s="6" t="inlineStr">
        <is>
          <t>работник 590</t>
        </is>
      </c>
      <c r="B167" s="6" t="inlineStr">
        <is>
          <t>Кухонный рабочий</t>
        </is>
      </c>
      <c r="C167" s="6" t="inlineStr">
        <is>
          <t>ОБЩЕСТВО С ОГРАНИЧЕННОЙ ОТВЕТСТВЕННОСТЬЮ "АМУР ЗОЛОТО"</t>
        </is>
      </c>
      <c r="D167" s="7" t="inlineStr">
        <is>
          <t>2708001686</t>
        </is>
      </c>
      <c r="E167" s="6" t="inlineStr">
        <is>
          <t>ООО "Амур Золото"</t>
        </is>
      </c>
      <c r="F167" s="7" t="inlineStr">
        <is>
          <t>2708001686</t>
        </is>
      </c>
      <c r="G167" s="7" t="inlineStr">
        <is>
          <t>Успешно</t>
        </is>
      </c>
      <c r="H167" s="6" t="n"/>
      <c r="I167" s="6" t="n"/>
      <c r="J167" s="6" t="inlineStr">
        <is>
          <t>Пользовательский интерфейс</t>
        </is>
      </c>
      <c r="K167" s="7" t="n">
        <v>2</v>
      </c>
      <c r="L167" s="8" t="n"/>
      <c r="M167" s="137" t="inlineStr">
        <is>
          <t>+</t>
        </is>
      </c>
      <c r="N167" s="8" t="n"/>
      <c r="O167" s="8" t="n"/>
      <c r="P167" s="8" t="n"/>
      <c r="Q167" s="8" t="n"/>
      <c r="R167" s="8" t="n"/>
      <c r="S167" s="8" t="n"/>
      <c r="T167" s="8" t="n"/>
      <c r="U167" s="8" t="n"/>
      <c r="V167" s="8" t="n"/>
      <c r="W167" s="8" t="n"/>
      <c r="X167" s="139" t="n"/>
      <c r="Y167" s="138" t="inlineStr">
        <is>
          <t>+</t>
        </is>
      </c>
    </row>
    <row r="168">
      <c r="A168" s="6" t="inlineStr">
        <is>
          <t>работник 583</t>
        </is>
      </c>
      <c r="B168" s="6" t="inlineStr">
        <is>
          <t>Аппаратчик-гидрометаллург</t>
        </is>
      </c>
      <c r="C168" s="6" t="inlineStr">
        <is>
          <t>ОБЩЕСТВО С ОГРАНИЧЕННОЙ ОТВЕТСТВЕННОСТЬЮ "АМУР ЗОЛОТО"</t>
        </is>
      </c>
      <c r="D168" s="7" t="inlineStr">
        <is>
          <t>2708001686</t>
        </is>
      </c>
      <c r="E168" s="6" t="inlineStr">
        <is>
          <t>ООО "Амур Золото"</t>
        </is>
      </c>
      <c r="F168" s="7" t="inlineStr">
        <is>
          <t>2708001686</t>
        </is>
      </c>
      <c r="G168" s="7" t="inlineStr">
        <is>
          <t>Успешно</t>
        </is>
      </c>
      <c r="H168" s="6" t="n"/>
      <c r="I168" s="6" t="n"/>
      <c r="J168" s="6" t="inlineStr">
        <is>
          <t>Пользовательский интерфейс</t>
        </is>
      </c>
      <c r="K168" s="7" t="n">
        <v>2</v>
      </c>
      <c r="L168" s="8" t="n"/>
      <c r="M168" s="137" t="inlineStr">
        <is>
          <t>+</t>
        </is>
      </c>
      <c r="N168" s="8" t="n"/>
      <c r="O168" s="8" t="n"/>
      <c r="P168" s="8" t="n"/>
      <c r="Q168" s="8" t="n"/>
      <c r="R168" s="8" t="n"/>
      <c r="S168" s="8" t="n"/>
      <c r="T168" s="8" t="n"/>
      <c r="U168" s="8" t="n"/>
      <c r="V168" s="8" t="n"/>
      <c r="W168" s="8" t="n"/>
      <c r="X168" s="139" t="n"/>
      <c r="Y168" s="137" t="inlineStr">
        <is>
          <t>+</t>
        </is>
      </c>
    </row>
    <row r="169">
      <c r="A169" s="6" t="inlineStr">
        <is>
          <t>работник 712</t>
        </is>
      </c>
      <c r="B169" s="6" t="inlineStr">
        <is>
          <t>Машинист буровой установки</t>
        </is>
      </c>
      <c r="C169" s="6" t="inlineStr">
        <is>
          <t>ОБЩЕСТВО С ОГРАНИЧЕННОЙ ОТВЕТСТВЕННОСТЬЮ "АМУР ЗОЛОТО"</t>
        </is>
      </c>
      <c r="D169" s="7" t="inlineStr">
        <is>
          <t>2708001686</t>
        </is>
      </c>
      <c r="E169" s="6" t="inlineStr">
        <is>
          <t>ООО "Амур Золото"</t>
        </is>
      </c>
      <c r="F169" s="7" t="inlineStr">
        <is>
          <t>2708001686</t>
        </is>
      </c>
      <c r="G169" s="7" t="inlineStr">
        <is>
          <t>Успешно</t>
        </is>
      </c>
      <c r="H169" s="6" t="n"/>
      <c r="I169" s="6" t="n"/>
      <c r="J169" s="6" t="inlineStr">
        <is>
          <t>Пользовательский интерфейс</t>
        </is>
      </c>
      <c r="K169" s="7" t="n">
        <v>2</v>
      </c>
      <c r="L169" s="8" t="n"/>
      <c r="M169" s="137" t="inlineStr">
        <is>
          <t>+</t>
        </is>
      </c>
      <c r="N169" s="8" t="n"/>
      <c r="O169" s="8" t="n"/>
      <c r="P169" s="8" t="n"/>
      <c r="Q169" s="8" t="n"/>
      <c r="R169" s="8" t="n"/>
      <c r="S169" s="8" t="n"/>
      <c r="T169" s="8" t="n"/>
      <c r="U169" s="8" t="n"/>
      <c r="V169" s="8" t="n"/>
      <c r="W169" s="8" t="n"/>
      <c r="X169" s="139" t="n"/>
      <c r="Y169" s="137" t="inlineStr">
        <is>
          <t>+</t>
        </is>
      </c>
    </row>
    <row r="170">
      <c r="A170" s="6" t="inlineStr">
        <is>
          <t>работник 623</t>
        </is>
      </c>
      <c r="B170" s="6" t="inlineStr">
        <is>
          <t>Горнорабочий на маркшейдерских работах</t>
        </is>
      </c>
      <c r="C170" s="6" t="inlineStr">
        <is>
          <t>ОБЩЕСТВО С ОГРАНИЧЕННОЙ ОТВЕТСТВЕННОСТЬЮ "АМУР ЗОЛОТО"</t>
        </is>
      </c>
      <c r="D170" s="7" t="inlineStr">
        <is>
          <t>2708001686</t>
        </is>
      </c>
      <c r="E170" s="6" t="inlineStr">
        <is>
          <t>ООО "Амур Золото"</t>
        </is>
      </c>
      <c r="F170" s="7" t="inlineStr">
        <is>
          <t>2708001686</t>
        </is>
      </c>
      <c r="G170" s="7" t="inlineStr">
        <is>
          <t>Успешно</t>
        </is>
      </c>
      <c r="H170" s="6" t="n"/>
      <c r="I170" s="6" t="n"/>
      <c r="J170" s="6" t="inlineStr">
        <is>
          <t>Пользовательский интерфейс</t>
        </is>
      </c>
      <c r="K170" s="7" t="n">
        <v>2</v>
      </c>
      <c r="L170" s="8" t="n"/>
      <c r="M170" s="137" t="inlineStr">
        <is>
          <t>+</t>
        </is>
      </c>
      <c r="N170" s="8" t="n"/>
      <c r="O170" s="8" t="n"/>
      <c r="P170" s="8" t="n"/>
      <c r="Q170" s="8" t="n"/>
      <c r="R170" s="8" t="n"/>
      <c r="S170" s="8" t="n"/>
      <c r="T170" s="8" t="n"/>
      <c r="U170" s="8" t="n"/>
      <c r="V170" s="8" t="n"/>
      <c r="W170" s="8" t="n"/>
      <c r="X170" s="139" t="n"/>
      <c r="Y170" s="137" t="inlineStr">
        <is>
          <t>+</t>
        </is>
      </c>
    </row>
    <row r="171">
      <c r="A171" s="6" t="inlineStr">
        <is>
          <t>работник 913</t>
        </is>
      </c>
      <c r="B171" s="6" t="inlineStr">
        <is>
          <t>Ведущий инженер ППР</t>
        </is>
      </c>
      <c r="C171" s="6" t="inlineStr">
        <is>
          <t>ОБЩЕСТВО С ОГРАНИЧЕННОЙ ОТВЕТСТВЕННОСТЬЮ "АМУР ЗОЛОТО"</t>
        </is>
      </c>
      <c r="D171" s="7" t="inlineStr">
        <is>
          <t>2708001686</t>
        </is>
      </c>
      <c r="E171" s="6" t="inlineStr">
        <is>
          <t>ООО "Амур Золото"</t>
        </is>
      </c>
      <c r="F171" s="7" t="inlineStr">
        <is>
          <t>2708001686</t>
        </is>
      </c>
      <c r="G171" s="7" t="inlineStr">
        <is>
          <t>Успешно</t>
        </is>
      </c>
      <c r="H171" s="6" t="n"/>
      <c r="I171" s="6" t="n"/>
      <c r="J171" s="6" t="inlineStr">
        <is>
          <t>Пользовательский интерфейс</t>
        </is>
      </c>
      <c r="K171" s="7" t="n">
        <v>3</v>
      </c>
      <c r="L171" s="138" t="inlineStr">
        <is>
          <t>+</t>
        </is>
      </c>
      <c r="M171" s="139" t="n"/>
      <c r="N171" s="8" t="n"/>
      <c r="O171" s="8" t="n"/>
      <c r="P171" s="8" t="n"/>
      <c r="Q171" s="8" t="n"/>
      <c r="R171" s="8" t="n"/>
      <c r="S171" s="8" t="n"/>
      <c r="T171" s="8" t="n"/>
      <c r="U171" s="8" t="n"/>
      <c r="V171" s="8" t="n"/>
      <c r="W171" s="8" t="n"/>
      <c r="X171" s="140" t="inlineStr">
        <is>
          <t>+</t>
        </is>
      </c>
      <c r="Y171" s="137" t="inlineStr">
        <is>
          <t>+</t>
        </is>
      </c>
    </row>
    <row r="172">
      <c r="A172" s="6" t="inlineStr">
        <is>
          <t>работник 157</t>
        </is>
      </c>
      <c r="B172" s="6" t="inlineStr">
        <is>
          <t>Проходчик (с исполнением обязанностей взрывника)</t>
        </is>
      </c>
      <c r="C172" s="6" t="inlineStr">
        <is>
          <t>ОБЩЕСТВО С ОГРАНИЧЕННОЙ ОТВЕТСТВЕННОСТЬЮ "АМУР ЗОЛОТО"</t>
        </is>
      </c>
      <c r="D172" s="7" t="inlineStr">
        <is>
          <t>2708001686</t>
        </is>
      </c>
      <c r="E172" s="6" t="inlineStr">
        <is>
          <t>ООО "Амур Золото"</t>
        </is>
      </c>
      <c r="F172" s="7" t="inlineStr">
        <is>
          <t>2708001686</t>
        </is>
      </c>
      <c r="G172" s="7" t="inlineStr">
        <is>
          <t>Успешно</t>
        </is>
      </c>
      <c r="H172" s="6" t="n"/>
      <c r="I172" s="6" t="n"/>
      <c r="J172" s="6" t="inlineStr">
        <is>
          <t>Пользовательский интерфейс</t>
        </is>
      </c>
      <c r="K172" s="7" t="n">
        <v>5</v>
      </c>
      <c r="L172" s="8" t="n"/>
      <c r="M172" s="137" t="inlineStr">
        <is>
          <t>+</t>
        </is>
      </c>
      <c r="N172" s="8" t="n"/>
      <c r="O172" s="8" t="n"/>
      <c r="P172" s="8" t="n"/>
      <c r="Q172" s="8" t="n"/>
      <c r="R172" s="8" t="n"/>
      <c r="S172" s="8" t="n"/>
      <c r="T172" s="8" t="n"/>
      <c r="U172" s="8" t="n"/>
      <c r="V172" s="8" t="n"/>
      <c r="W172" s="8" t="n"/>
      <c r="X172" s="137" t="inlineStr">
        <is>
          <t>+</t>
        </is>
      </c>
      <c r="Y172" s="137" t="inlineStr">
        <is>
          <t>+</t>
        </is>
      </c>
    </row>
    <row r="173">
      <c r="A173" s="6" t="inlineStr">
        <is>
          <t>работник 790</t>
        </is>
      </c>
      <c r="B173" s="6" t="inlineStr">
        <is>
          <t>Машинист экскаватора</t>
        </is>
      </c>
      <c r="C173" s="6" t="inlineStr">
        <is>
          <t>ОБЩЕСТВО С ОГРАНИЧЕННОЙ ОТВЕТСТВЕННОСТЬЮ "АМУР ЗОЛОТО"</t>
        </is>
      </c>
      <c r="D173" s="7" t="inlineStr">
        <is>
          <t>2708001686</t>
        </is>
      </c>
      <c r="E173" s="6" t="inlineStr">
        <is>
          <t>ООО "Амур Золото"</t>
        </is>
      </c>
      <c r="F173" s="7" t="inlineStr">
        <is>
          <t>2708001686</t>
        </is>
      </c>
      <c r="G173" s="7" t="inlineStr">
        <is>
          <t>Успешно</t>
        </is>
      </c>
      <c r="H173" s="6" t="n"/>
      <c r="I173" s="6" t="n"/>
      <c r="J173" s="6" t="inlineStr">
        <is>
          <t>Пользовательский интерфейс</t>
        </is>
      </c>
      <c r="K173" s="7" t="n">
        <v>3</v>
      </c>
      <c r="L173" s="8" t="n"/>
      <c r="M173" s="137" t="inlineStr">
        <is>
          <t>+</t>
        </is>
      </c>
      <c r="N173" s="8" t="n"/>
      <c r="O173" s="8" t="n"/>
      <c r="P173" s="8" t="n"/>
      <c r="Q173" s="8" t="n"/>
      <c r="R173" s="8" t="n"/>
      <c r="S173" s="8" t="n"/>
      <c r="T173" s="8" t="n"/>
      <c r="U173" s="8" t="n"/>
      <c r="V173" s="8" t="n"/>
      <c r="W173" s="8" t="n"/>
      <c r="X173" s="137" t="inlineStr">
        <is>
          <t>+</t>
        </is>
      </c>
      <c r="Y173" s="137" t="inlineStr">
        <is>
          <t>+</t>
        </is>
      </c>
    </row>
    <row r="174">
      <c r="A174" s="6" t="inlineStr">
        <is>
          <t>работник 80</t>
        </is>
      </c>
      <c r="B174" s="6" t="inlineStr">
        <is>
          <t>Плотник</t>
        </is>
      </c>
      <c r="C174" s="6" t="inlineStr">
        <is>
          <t>ОБЩЕСТВО С ОГРАНИЧЕННОЙ ОТВЕТСТВЕННОСТЬЮ "АМУР ЗОЛОТО"</t>
        </is>
      </c>
      <c r="D174" s="7" t="inlineStr">
        <is>
          <t>2708001686</t>
        </is>
      </c>
      <c r="E174" s="6" t="inlineStr">
        <is>
          <t>ООО "Амур Золото"</t>
        </is>
      </c>
      <c r="F174" s="7" t="inlineStr">
        <is>
          <t>2708001686</t>
        </is>
      </c>
      <c r="G174" s="7" t="inlineStr">
        <is>
          <t>Успешно</t>
        </is>
      </c>
      <c r="H174" s="6" t="n"/>
      <c r="I174" s="6" t="n"/>
      <c r="J174" s="6" t="inlineStr">
        <is>
          <t>Пользовательский интерфейс</t>
        </is>
      </c>
      <c r="K174" s="7" t="n">
        <v>6</v>
      </c>
      <c r="L174" s="8" t="n"/>
      <c r="M174" s="137" t="inlineStr">
        <is>
          <t>+</t>
        </is>
      </c>
      <c r="N174" s="137" t="inlineStr">
        <is>
          <t>+</t>
        </is>
      </c>
      <c r="O174" s="8" t="n"/>
      <c r="P174" s="8" t="n"/>
      <c r="Q174" s="8" t="n"/>
      <c r="R174" s="8" t="n"/>
      <c r="S174" s="8" t="n"/>
      <c r="T174" s="8" t="n"/>
      <c r="U174" s="137" t="inlineStr">
        <is>
          <t>+</t>
        </is>
      </c>
      <c r="V174" s="137" t="inlineStr">
        <is>
          <t>+</t>
        </is>
      </c>
      <c r="W174" s="8" t="n"/>
      <c r="X174" s="137" t="inlineStr">
        <is>
          <t>+</t>
        </is>
      </c>
      <c r="Y174" s="137" t="inlineStr">
        <is>
          <t>+</t>
        </is>
      </c>
    </row>
    <row r="175">
      <c r="A175" s="6" t="inlineStr">
        <is>
          <t>работник 860</t>
        </is>
      </c>
      <c r="B175" s="6" t="inlineStr">
        <is>
          <t>Машинист самоходной буровой установки</t>
        </is>
      </c>
      <c r="C175" s="6" t="inlineStr">
        <is>
          <t>ОБЩЕСТВО С ОГРАНИЧЕННОЙ ОТВЕТСТВЕННОСТЬЮ "АМУР ЗОЛОТО"</t>
        </is>
      </c>
      <c r="D175" s="7" t="inlineStr">
        <is>
          <t>2708001686</t>
        </is>
      </c>
      <c r="E175" s="6" t="inlineStr">
        <is>
          <t>ООО "Амур Золото"</t>
        </is>
      </c>
      <c r="F175" s="7" t="inlineStr">
        <is>
          <t>2708001686</t>
        </is>
      </c>
      <c r="G175" s="7" t="inlineStr">
        <is>
          <t>Успешно</t>
        </is>
      </c>
      <c r="H175" s="6" t="n"/>
      <c r="I175" s="6" t="n"/>
      <c r="J175" s="6" t="inlineStr">
        <is>
          <t>Пользовательский интерфейс</t>
        </is>
      </c>
      <c r="K175" s="7" t="n">
        <v>3</v>
      </c>
      <c r="L175" s="8" t="n"/>
      <c r="M175" s="137" t="inlineStr">
        <is>
          <t>+</t>
        </is>
      </c>
      <c r="N175" s="8" t="n"/>
      <c r="O175" s="8" t="n"/>
      <c r="P175" s="8" t="n"/>
      <c r="Q175" s="8" t="n"/>
      <c r="R175" s="8" t="n"/>
      <c r="S175" s="8" t="n"/>
      <c r="T175" s="8" t="n"/>
      <c r="U175" s="8" t="n"/>
      <c r="V175" s="8" t="n"/>
      <c r="W175" s="8" t="n"/>
      <c r="X175" s="137" t="inlineStr">
        <is>
          <t>+</t>
        </is>
      </c>
      <c r="Y175" s="137" t="inlineStr">
        <is>
          <t>+</t>
        </is>
      </c>
    </row>
    <row r="176">
      <c r="A176" s="6" t="inlineStr">
        <is>
          <t>работник 219</t>
        </is>
      </c>
      <c r="B176" s="6" t="inlineStr">
        <is>
          <t>Водитель автомобиля(занятый на траспортировании горной массы в технологическом процессе)</t>
        </is>
      </c>
      <c r="C176" s="6" t="inlineStr">
        <is>
          <t>ОБЩЕСТВО С ОГРАНИЧЕННОЙ ОТВЕТСТВЕННОСТЬЮ "АМУР ЗОЛОТО"</t>
        </is>
      </c>
      <c r="D176" s="7" t="inlineStr">
        <is>
          <t>2708001686</t>
        </is>
      </c>
      <c r="E176" s="6" t="inlineStr">
        <is>
          <t>ООО "Амур Золото"</t>
        </is>
      </c>
      <c r="F176" s="7" t="inlineStr">
        <is>
          <t>2708001686</t>
        </is>
      </c>
      <c r="G176" s="7" t="inlineStr">
        <is>
          <t>Успешно</t>
        </is>
      </c>
      <c r="H176" s="6" t="n"/>
      <c r="I176" s="6" t="n"/>
      <c r="J176" s="6" t="inlineStr">
        <is>
          <t>Пользовательский интерфейс</t>
        </is>
      </c>
      <c r="K176" s="7" t="n">
        <v>3</v>
      </c>
      <c r="L176" s="8" t="n"/>
      <c r="M176" s="137" t="inlineStr">
        <is>
          <t>+</t>
        </is>
      </c>
      <c r="N176" s="8" t="n"/>
      <c r="O176" s="8" t="n"/>
      <c r="P176" s="8" t="n"/>
      <c r="Q176" s="8" t="n"/>
      <c r="R176" s="8" t="n"/>
      <c r="S176" s="8" t="n"/>
      <c r="T176" s="8" t="n"/>
      <c r="U176" s="8" t="n"/>
      <c r="V176" s="8" t="n"/>
      <c r="W176" s="8" t="n"/>
      <c r="X176" s="137" t="inlineStr">
        <is>
          <t>+</t>
        </is>
      </c>
      <c r="Y176" s="137" t="inlineStr">
        <is>
          <t>+</t>
        </is>
      </c>
    </row>
    <row r="177">
      <c r="A177" s="6" t="inlineStr">
        <is>
          <t>работник 266</t>
        </is>
      </c>
      <c r="B177" s="6" t="inlineStr">
        <is>
          <t>Водитель автомобиля (топливозаправщик)</t>
        </is>
      </c>
      <c r="C177" s="6" t="inlineStr">
        <is>
          <t>ОБЩЕСТВО С ОГРАНИЧЕННОЙ ОТВЕТСТВЕННОСТЬЮ "АМУР ЗОЛОТО"</t>
        </is>
      </c>
      <c r="D177" s="7" t="inlineStr">
        <is>
          <t>2708001686</t>
        </is>
      </c>
      <c r="E177" s="6" t="inlineStr">
        <is>
          <t>ООО "Амур Золото"</t>
        </is>
      </c>
      <c r="F177" s="7" t="inlineStr">
        <is>
          <t>2708001686</t>
        </is>
      </c>
      <c r="G177" s="7" t="inlineStr">
        <is>
          <t>Успешно</t>
        </is>
      </c>
      <c r="H177" s="6" t="n"/>
      <c r="I177" s="6" t="n"/>
      <c r="J177" s="6" t="inlineStr">
        <is>
          <t>Пользовательский интерфейс</t>
        </is>
      </c>
      <c r="K177" s="7" t="n">
        <v>3</v>
      </c>
      <c r="L177" s="8" t="n"/>
      <c r="M177" s="137" t="inlineStr">
        <is>
          <t>+</t>
        </is>
      </c>
      <c r="N177" s="8" t="n"/>
      <c r="O177" s="8" t="n"/>
      <c r="P177" s="8" t="n"/>
      <c r="Q177" s="8" t="n"/>
      <c r="R177" s="8" t="n"/>
      <c r="S177" s="8" t="n"/>
      <c r="T177" s="8" t="n"/>
      <c r="U177" s="8" t="n"/>
      <c r="V177" s="8" t="n"/>
      <c r="W177" s="8" t="n"/>
      <c r="X177" s="137" t="inlineStr">
        <is>
          <t>+</t>
        </is>
      </c>
      <c r="Y177" s="137" t="inlineStr">
        <is>
          <t>+</t>
        </is>
      </c>
    </row>
    <row r="178">
      <c r="A178" s="6" t="inlineStr">
        <is>
          <t>работник 527</t>
        </is>
      </c>
      <c r="B178" s="6" t="inlineStr">
        <is>
          <t>Аппаратчик-сгустителей</t>
        </is>
      </c>
      <c r="C178" s="6" t="inlineStr">
        <is>
          <t>ОБЩЕСТВО С ОГРАНИЧЕННОЙ ОТВЕТСТВЕННОСТЬЮ "АМУР ЗОЛОТО"</t>
        </is>
      </c>
      <c r="D178" s="7" t="inlineStr">
        <is>
          <t>2708001686</t>
        </is>
      </c>
      <c r="E178" s="6" t="inlineStr">
        <is>
          <t>ООО "Амур Золото"</t>
        </is>
      </c>
      <c r="F178" s="7" t="inlineStr">
        <is>
          <t>2708001686</t>
        </is>
      </c>
      <c r="G178" s="7" t="inlineStr">
        <is>
          <t>Успешно</t>
        </is>
      </c>
      <c r="H178" s="6" t="n"/>
      <c r="I178" s="6" t="n"/>
      <c r="J178" s="6" t="inlineStr">
        <is>
          <t>Пользовательский интерфейс</t>
        </is>
      </c>
      <c r="K178" s="7" t="n">
        <v>2</v>
      </c>
      <c r="L178" s="8" t="n"/>
      <c r="M178" s="137" t="inlineStr">
        <is>
          <t>+</t>
        </is>
      </c>
      <c r="N178" s="8" t="n"/>
      <c r="O178" s="8" t="n"/>
      <c r="P178" s="8" t="n"/>
      <c r="Q178" s="8" t="n"/>
      <c r="R178" s="8" t="n"/>
      <c r="S178" s="8" t="n"/>
      <c r="T178" s="8" t="n"/>
      <c r="U178" s="8" t="n"/>
      <c r="V178" s="8" t="n"/>
      <c r="W178" s="8" t="n"/>
      <c r="X178" s="139" t="n"/>
      <c r="Y178" s="137" t="inlineStr">
        <is>
          <t>+</t>
        </is>
      </c>
    </row>
    <row r="179">
      <c r="A179" s="6" t="inlineStr">
        <is>
          <t>работник 413</t>
        </is>
      </c>
      <c r="B179" s="6" t="inlineStr">
        <is>
          <t>Слесарь ремонтник самоходной техники / Слесарь-ремонтник (по ремонту самоходной техники)</t>
        </is>
      </c>
      <c r="C179" s="6" t="inlineStr">
        <is>
          <t>ОБЩЕСТВО С ОГРАНИЧЕННОЙ ОТВЕТСТВЕННОСТЬЮ "АМУР ЗОЛОТО"</t>
        </is>
      </c>
      <c r="D179" s="7" t="inlineStr">
        <is>
          <t>2708001686</t>
        </is>
      </c>
      <c r="E179" s="6" t="inlineStr">
        <is>
          <t>ООО "Амур Золото"</t>
        </is>
      </c>
      <c r="F179" s="7" t="inlineStr">
        <is>
          <t>2708001686</t>
        </is>
      </c>
      <c r="G179" s="7" t="inlineStr">
        <is>
          <t>Успешно</t>
        </is>
      </c>
      <c r="H179" s="6" t="n"/>
      <c r="I179" s="6" t="n"/>
      <c r="J179" s="6" t="inlineStr">
        <is>
          <t>Пользовательский интерфейс</t>
        </is>
      </c>
      <c r="K179" s="7" t="n">
        <v>4</v>
      </c>
      <c r="L179" s="8" t="n"/>
      <c r="M179" s="137" t="inlineStr">
        <is>
          <t>+</t>
        </is>
      </c>
      <c r="N179" s="8" t="n"/>
      <c r="O179" s="137" t="inlineStr">
        <is>
          <t>+</t>
        </is>
      </c>
      <c r="P179" s="8" t="n"/>
      <c r="Q179" s="8" t="n"/>
      <c r="R179" s="8" t="n"/>
      <c r="S179" s="8" t="n"/>
      <c r="T179" s="8" t="n"/>
      <c r="U179" s="8" t="n"/>
      <c r="V179" s="8" t="n"/>
      <c r="W179" s="8" t="n"/>
      <c r="X179" s="137" t="inlineStr">
        <is>
          <t>+</t>
        </is>
      </c>
      <c r="Y179" s="137" t="inlineStr">
        <is>
          <t>+</t>
        </is>
      </c>
    </row>
    <row r="180">
      <c r="A180" s="6" t="inlineStr">
        <is>
          <t>работник 917</t>
        </is>
      </c>
      <c r="B180" s="6" t="inlineStr">
        <is>
          <t>Стропальщик</t>
        </is>
      </c>
      <c r="C180" s="6" t="inlineStr">
        <is>
          <t>ОБЩЕСТВО С ОГРАНИЧЕННОЙ ОТВЕТСТВЕННОСТЬЮ "АМУР ЗОЛОТО"</t>
        </is>
      </c>
      <c r="D180" s="7" t="inlineStr">
        <is>
          <t>2708001686</t>
        </is>
      </c>
      <c r="E180" s="6" t="inlineStr">
        <is>
          <t>ООО "Амур Золото"</t>
        </is>
      </c>
      <c r="F180" s="7" t="inlineStr">
        <is>
          <t>2708001686</t>
        </is>
      </c>
      <c r="G180" s="7" t="inlineStr">
        <is>
          <t>Успешно</t>
        </is>
      </c>
      <c r="H180" s="6" t="n"/>
      <c r="I180" s="6" t="n"/>
      <c r="J180" s="6" t="inlineStr">
        <is>
          <t>Пользовательский интерфейс</t>
        </is>
      </c>
      <c r="K180" s="7" t="n">
        <v>3</v>
      </c>
      <c r="L180" s="8" t="n"/>
      <c r="M180" s="137" t="inlineStr">
        <is>
          <t>+</t>
        </is>
      </c>
      <c r="N180" s="8" t="n"/>
      <c r="O180" s="8" t="n"/>
      <c r="P180" s="8" t="n"/>
      <c r="Q180" s="8" t="n"/>
      <c r="R180" s="8" t="n"/>
      <c r="S180" s="8" t="n"/>
      <c r="T180" s="8" t="n"/>
      <c r="U180" s="8" t="n"/>
      <c r="V180" s="8" t="n"/>
      <c r="W180" s="8" t="n"/>
      <c r="X180" s="137" t="inlineStr">
        <is>
          <t>+</t>
        </is>
      </c>
      <c r="Y180" s="137" t="inlineStr">
        <is>
          <t>+</t>
        </is>
      </c>
    </row>
    <row r="181">
      <c r="A181" s="6" t="inlineStr">
        <is>
          <t>работник 158</t>
        </is>
      </c>
      <c r="B181" s="6" t="inlineStr">
        <is>
          <t>Горный диспетчер</t>
        </is>
      </c>
      <c r="C181" s="6" t="inlineStr">
        <is>
          <t>ОБЩЕСТВО С ОГРАНИЧЕННОЙ ОТВЕТСТВЕННОСТЬЮ "АМУР ЗОЛОТО"</t>
        </is>
      </c>
      <c r="D181" s="7" t="inlineStr">
        <is>
          <t>2708001686</t>
        </is>
      </c>
      <c r="E181" s="6" t="inlineStr">
        <is>
          <t>ООО "Амур Золото"</t>
        </is>
      </c>
      <c r="F181" s="7" t="inlineStr">
        <is>
          <t>2708001686</t>
        </is>
      </c>
      <c r="G181" s="7" t="inlineStr">
        <is>
          <t>Успешно</t>
        </is>
      </c>
      <c r="H181" s="6" t="n"/>
      <c r="I181" s="6" t="n"/>
      <c r="J181" s="6" t="inlineStr">
        <is>
          <t>Пользовательский интерфейс</t>
        </is>
      </c>
      <c r="K181" s="7" t="n">
        <v>6</v>
      </c>
      <c r="L181" s="8" t="n"/>
      <c r="M181" s="137" t="inlineStr">
        <is>
          <t>+</t>
        </is>
      </c>
      <c r="N181" s="8" t="n"/>
      <c r="O181" s="8" t="n"/>
      <c r="P181" s="8" t="n"/>
      <c r="Q181" s="8" t="n"/>
      <c r="R181" s="8" t="n"/>
      <c r="S181" s="8" t="n"/>
      <c r="T181" s="8" t="n"/>
      <c r="U181" s="8" t="n"/>
      <c r="V181" s="8" t="n"/>
      <c r="W181" s="8" t="n"/>
      <c r="X181" s="140" t="inlineStr">
        <is>
          <t>+</t>
        </is>
      </c>
      <c r="Y181" s="137" t="inlineStr">
        <is>
          <t>+</t>
        </is>
      </c>
    </row>
    <row r="182">
      <c r="A182" s="6" t="inlineStr">
        <is>
          <t>работник 267</t>
        </is>
      </c>
      <c r="B182" s="6" t="inlineStr">
        <is>
          <t>Водитель автомобиля (категория D)</t>
        </is>
      </c>
      <c r="C182" s="6" t="inlineStr">
        <is>
          <t>ОБЩЕСТВО С ОГРАНИЧЕННОЙ ОТВЕТСТВЕННОСТЬЮ "АМУР ЗОЛОТО"</t>
        </is>
      </c>
      <c r="D182" s="7" t="inlineStr">
        <is>
          <t>2708001686</t>
        </is>
      </c>
      <c r="E182" s="6" t="inlineStr">
        <is>
          <t>ООО "Амур Золото"</t>
        </is>
      </c>
      <c r="F182" s="7" t="inlineStr">
        <is>
          <t>2708001686</t>
        </is>
      </c>
      <c r="G182" s="7" t="inlineStr">
        <is>
          <t>Успешно</t>
        </is>
      </c>
      <c r="H182" s="6" t="n"/>
      <c r="I182" s="6" t="n"/>
      <c r="J182" s="6" t="inlineStr">
        <is>
          <t>Пользовательский интерфейс</t>
        </is>
      </c>
      <c r="K182" s="7" t="n">
        <v>3</v>
      </c>
      <c r="L182" s="8" t="n"/>
      <c r="M182" s="137" t="inlineStr">
        <is>
          <t>+</t>
        </is>
      </c>
      <c r="N182" s="8" t="n"/>
      <c r="O182" s="8" t="n"/>
      <c r="P182" s="8" t="n"/>
      <c r="Q182" s="8" t="n"/>
      <c r="R182" s="8" t="n"/>
      <c r="S182" s="8" t="n"/>
      <c r="T182" s="8" t="n"/>
      <c r="U182" s="8" t="n"/>
      <c r="V182" s="8" t="n"/>
      <c r="W182" s="8" t="n"/>
      <c r="X182" s="137" t="inlineStr">
        <is>
          <t>+</t>
        </is>
      </c>
      <c r="Y182" s="138" t="inlineStr">
        <is>
          <t>+</t>
        </is>
      </c>
    </row>
    <row r="183">
      <c r="A183" s="6" t="inlineStr">
        <is>
          <t>работник 139</t>
        </is>
      </c>
      <c r="B183" s="6" t="inlineStr">
        <is>
          <t>Слесарь-сантехник</t>
        </is>
      </c>
      <c r="C183" s="6" t="inlineStr">
        <is>
          <t>ОБЩЕСТВО С ОГРАНИЧЕННОЙ ОТВЕТСТВЕННОСТЬЮ "АМУР ЗОЛОТО"</t>
        </is>
      </c>
      <c r="D183" s="7" t="inlineStr">
        <is>
          <t>2708001686</t>
        </is>
      </c>
      <c r="E183" s="6" t="inlineStr">
        <is>
          <t>ООО "Амур Золото"</t>
        </is>
      </c>
      <c r="F183" s="7" t="inlineStr">
        <is>
          <t>2708001686</t>
        </is>
      </c>
      <c r="G183" s="7" t="inlineStr">
        <is>
          <t>Успешно</t>
        </is>
      </c>
      <c r="H183" s="6" t="n"/>
      <c r="I183" s="6" t="n"/>
      <c r="J183" s="6" t="inlineStr">
        <is>
          <t>Пользовательский интерфейс</t>
        </is>
      </c>
      <c r="K183" s="7" t="n">
        <v>3</v>
      </c>
      <c r="L183" s="8" t="n"/>
      <c r="M183" s="137" t="inlineStr">
        <is>
          <t>+</t>
        </is>
      </c>
      <c r="N183" s="8" t="n"/>
      <c r="O183" s="8" t="n"/>
      <c r="P183" s="8" t="n"/>
      <c r="Q183" s="8" t="n"/>
      <c r="R183" s="8" t="n"/>
      <c r="S183" s="8" t="n"/>
      <c r="T183" s="8" t="n"/>
      <c r="U183" s="8" t="n"/>
      <c r="V183" s="8" t="n"/>
      <c r="W183" s="8" t="n"/>
      <c r="X183" s="137" t="inlineStr">
        <is>
          <t>+</t>
        </is>
      </c>
      <c r="Y183" s="137" t="inlineStr">
        <is>
          <t>+</t>
        </is>
      </c>
    </row>
    <row r="184">
      <c r="A184" s="6" t="inlineStr">
        <is>
          <t>работник 591</t>
        </is>
      </c>
      <c r="B184" s="6" t="inlineStr">
        <is>
          <t>Кухонный рабочий</t>
        </is>
      </c>
      <c r="C184" s="6" t="inlineStr">
        <is>
          <t>ОБЩЕСТВО С ОГРАНИЧЕННОЙ ОТВЕТСТВЕННОСТЬЮ "АМУР ЗОЛОТО"</t>
        </is>
      </c>
      <c r="D184" s="7" t="inlineStr">
        <is>
          <t>2708001686</t>
        </is>
      </c>
      <c r="E184" s="6" t="inlineStr">
        <is>
          <t>ООО "Амур Золото"</t>
        </is>
      </c>
      <c r="F184" s="7" t="inlineStr">
        <is>
          <t>2708001686</t>
        </is>
      </c>
      <c r="G184" s="7" t="inlineStr">
        <is>
          <t>Успешно</t>
        </is>
      </c>
      <c r="H184" s="6" t="n"/>
      <c r="I184" s="6" t="n"/>
      <c r="J184" s="6" t="inlineStr">
        <is>
          <t>Пользовательский интерфейс</t>
        </is>
      </c>
      <c r="K184" s="7" t="n">
        <v>2</v>
      </c>
      <c r="L184" s="8" t="n"/>
      <c r="M184" s="137" t="inlineStr">
        <is>
          <t>+</t>
        </is>
      </c>
      <c r="N184" s="8" t="n"/>
      <c r="O184" s="8" t="n"/>
      <c r="P184" s="8" t="n"/>
      <c r="Q184" s="8" t="n"/>
      <c r="R184" s="8" t="n"/>
      <c r="S184" s="8" t="n"/>
      <c r="T184" s="8" t="n"/>
      <c r="U184" s="8" t="n"/>
      <c r="V184" s="8" t="n"/>
      <c r="W184" s="8" t="n"/>
      <c r="X184" s="139" t="n"/>
      <c r="Y184" s="138" t="inlineStr">
        <is>
          <t>+</t>
        </is>
      </c>
    </row>
    <row r="185">
      <c r="A185" s="6" t="inlineStr">
        <is>
          <t>работник 887</t>
        </is>
      </c>
      <c r="B185" s="6" t="inlineStr">
        <is>
          <t>Машинист погрузочно-доставочной машины</t>
        </is>
      </c>
      <c r="C185" s="6" t="inlineStr">
        <is>
          <t>ОБЩЕСТВО С ОГРАНИЧЕННОЙ ОТВЕТСТВЕННОСТЬЮ "АМУР ЗОЛОТО"</t>
        </is>
      </c>
      <c r="D185" s="7" t="inlineStr">
        <is>
          <t>2708001686</t>
        </is>
      </c>
      <c r="E185" s="6" t="inlineStr">
        <is>
          <t>ООО "Амур Золото"</t>
        </is>
      </c>
      <c r="F185" s="7" t="inlineStr">
        <is>
          <t>2708001686</t>
        </is>
      </c>
      <c r="G185" s="7" t="inlineStr">
        <is>
          <t>Успешно</t>
        </is>
      </c>
      <c r="H185" s="6" t="n"/>
      <c r="I185" s="6" t="n"/>
      <c r="J185" s="6" t="inlineStr">
        <is>
          <t>Пользовательский интерфейс</t>
        </is>
      </c>
      <c r="K185" s="7" t="n">
        <v>3</v>
      </c>
      <c r="L185" s="8" t="n"/>
      <c r="M185" s="137" t="inlineStr">
        <is>
          <t>+</t>
        </is>
      </c>
      <c r="N185" s="8" t="n"/>
      <c r="O185" s="8" t="n"/>
      <c r="P185" s="8" t="n"/>
      <c r="Q185" s="8" t="n"/>
      <c r="R185" s="8" t="n"/>
      <c r="S185" s="8" t="n"/>
      <c r="T185" s="8" t="n"/>
      <c r="U185" s="8" t="n"/>
      <c r="V185" s="8" t="n"/>
      <c r="W185" s="8" t="n"/>
      <c r="X185" s="137" t="inlineStr">
        <is>
          <t>+</t>
        </is>
      </c>
      <c r="Y185" s="137" t="inlineStr">
        <is>
          <t>+</t>
        </is>
      </c>
    </row>
    <row r="186">
      <c r="A186" s="6" t="inlineStr">
        <is>
          <t>работник 57</t>
        </is>
      </c>
      <c r="B186" s="6" t="inlineStr">
        <is>
          <t>Оператор дизельных котлов</t>
        </is>
      </c>
      <c r="C186" s="6" t="inlineStr">
        <is>
          <t>ОБЩЕСТВО С ОГРАНИЧЕННОЙ ОТВЕТСТВЕННОСТЬЮ "АМУР ЗОЛОТО"</t>
        </is>
      </c>
      <c r="D186" s="7" t="inlineStr">
        <is>
          <t>2708001686</t>
        </is>
      </c>
      <c r="E186" s="6" t="inlineStr">
        <is>
          <t>ООО "Амур Золото"</t>
        </is>
      </c>
      <c r="F186" s="7" t="inlineStr">
        <is>
          <t>2708001686</t>
        </is>
      </c>
      <c r="G186" s="7" t="inlineStr">
        <is>
          <t>Успешно</t>
        </is>
      </c>
      <c r="H186" s="6" t="n"/>
      <c r="I186" s="6" t="n"/>
      <c r="J186" s="6" t="inlineStr">
        <is>
          <t>Пользовательский интерфейс</t>
        </is>
      </c>
      <c r="K186" s="7" t="n">
        <v>3</v>
      </c>
      <c r="L186" s="8" t="n"/>
      <c r="M186" s="137" t="inlineStr">
        <is>
          <t>+</t>
        </is>
      </c>
      <c r="N186" s="8" t="n"/>
      <c r="O186" s="8" t="n"/>
      <c r="P186" s="8" t="n"/>
      <c r="Q186" s="8" t="n"/>
      <c r="R186" s="8" t="n"/>
      <c r="S186" s="8" t="n"/>
      <c r="T186" s="8" t="n"/>
      <c r="U186" s="8" t="n"/>
      <c r="V186" s="8" t="n"/>
      <c r="W186" s="8" t="n"/>
      <c r="X186" s="137" t="inlineStr">
        <is>
          <t>+</t>
        </is>
      </c>
      <c r="Y186" s="137" t="inlineStr">
        <is>
          <t>+</t>
        </is>
      </c>
    </row>
    <row r="187">
      <c r="A187" s="6" t="inlineStr">
        <is>
          <t>работник 679</t>
        </is>
      </c>
      <c r="B187" s="6" t="inlineStr">
        <is>
          <t>Электрослесарь (слесарь) дежурный и по ремонту оборудования</t>
        </is>
      </c>
      <c r="C187" s="6" t="inlineStr">
        <is>
          <t>ОБЩЕСТВО С ОГРАНИЧЕННОЙ ОТВЕТСТВЕННОСТЬЮ "АМУР ЗОЛОТО"</t>
        </is>
      </c>
      <c r="D187" s="7" t="inlineStr">
        <is>
          <t>2708001686</t>
        </is>
      </c>
      <c r="E187" s="6" t="inlineStr">
        <is>
          <t>ООО "Амур Золото"</t>
        </is>
      </c>
      <c r="F187" s="7" t="inlineStr">
        <is>
          <t>2708001686</t>
        </is>
      </c>
      <c r="G187" s="7" t="inlineStr">
        <is>
          <t>Успешно</t>
        </is>
      </c>
      <c r="H187" s="6" t="n"/>
      <c r="I187" s="6" t="n"/>
      <c r="J187" s="6" t="inlineStr">
        <is>
          <t>Пользовательский интерфейс</t>
        </is>
      </c>
      <c r="K187" s="7" t="n">
        <v>5</v>
      </c>
      <c r="L187" s="8" t="n"/>
      <c r="M187" s="137" t="inlineStr">
        <is>
          <t>+</t>
        </is>
      </c>
      <c r="N187" s="8" t="n"/>
      <c r="O187" s="8" t="n"/>
      <c r="P187" s="8" t="n"/>
      <c r="Q187" s="8" t="n"/>
      <c r="R187" s="8" t="n"/>
      <c r="S187" s="8" t="n"/>
      <c r="T187" s="8" t="n"/>
      <c r="U187" s="8" t="n"/>
      <c r="V187" s="8" t="n"/>
      <c r="W187" s="8" t="n"/>
      <c r="X187" s="137" t="inlineStr">
        <is>
          <t>+</t>
        </is>
      </c>
      <c r="Y187" s="137" t="inlineStr">
        <is>
          <t>+</t>
        </is>
      </c>
    </row>
    <row r="188">
      <c r="A188" s="6" t="inlineStr">
        <is>
          <t>работник 268</t>
        </is>
      </c>
      <c r="B188" s="6" t="inlineStr">
        <is>
          <t>Машинист экскаватора</t>
        </is>
      </c>
      <c r="C188" s="6" t="inlineStr">
        <is>
          <t>ОБЩЕСТВО С ОГРАНИЧЕННОЙ ОТВЕТСТВЕННОСТЬЮ "АМУР ЗОЛОТО"</t>
        </is>
      </c>
      <c r="D188" s="7" t="inlineStr">
        <is>
          <t>2708001686</t>
        </is>
      </c>
      <c r="E188" s="6" t="inlineStr">
        <is>
          <t>ООО "Амур Золото"</t>
        </is>
      </c>
      <c r="F188" s="7" t="inlineStr">
        <is>
          <t>2708001686</t>
        </is>
      </c>
      <c r="G188" s="7" t="inlineStr">
        <is>
          <t>Успешно</t>
        </is>
      </c>
      <c r="H188" s="6" t="n"/>
      <c r="I188" s="6" t="n"/>
      <c r="J188" s="6" t="inlineStr">
        <is>
          <t>Пользовательский интерфейс</t>
        </is>
      </c>
      <c r="K188" s="7" t="n">
        <v>6</v>
      </c>
      <c r="L188" s="8" t="n"/>
      <c r="M188" s="137" t="inlineStr">
        <is>
          <t>+</t>
        </is>
      </c>
      <c r="N188" s="8" t="n"/>
      <c r="O188" s="8" t="n"/>
      <c r="P188" s="8" t="n"/>
      <c r="Q188" s="8" t="n"/>
      <c r="R188" s="8" t="n"/>
      <c r="S188" s="8" t="n"/>
      <c r="T188" s="8" t="n"/>
      <c r="U188" s="8" t="n"/>
      <c r="V188" s="8" t="n"/>
      <c r="W188" s="8" t="n"/>
      <c r="X188" s="137" t="inlineStr">
        <is>
          <t>+</t>
        </is>
      </c>
      <c r="Y188" s="137" t="inlineStr">
        <is>
          <t>+</t>
        </is>
      </c>
    </row>
    <row r="189">
      <c r="A189" s="6" t="inlineStr">
        <is>
          <t>работник 663</t>
        </is>
      </c>
      <c r="B189" s="6" t="inlineStr">
        <is>
          <t>Проходчик (с исполнением обязанностей взрывника)</t>
        </is>
      </c>
      <c r="C189" s="6" t="inlineStr">
        <is>
          <t>ОБЩЕСТВО С ОГРАНИЧЕННОЙ ОТВЕТСТВЕННОСТЬЮ "АМУР ЗОЛОТО"</t>
        </is>
      </c>
      <c r="D189" s="7" t="inlineStr">
        <is>
          <t>2708001686</t>
        </is>
      </c>
      <c r="E189" s="6" t="inlineStr">
        <is>
          <t>ООО "Амур Золото"</t>
        </is>
      </c>
      <c r="F189" s="7" t="inlineStr">
        <is>
          <t>2708001686</t>
        </is>
      </c>
      <c r="G189" s="7" t="inlineStr">
        <is>
          <t>Успешно</t>
        </is>
      </c>
      <c r="H189" s="6" t="n"/>
      <c r="I189" s="6" t="n"/>
      <c r="J189" s="6" t="inlineStr">
        <is>
          <t>Пользовательский интерфейс</t>
        </is>
      </c>
      <c r="K189" s="7" t="n">
        <v>9</v>
      </c>
      <c r="L189" s="8" t="n"/>
      <c r="M189" s="137" t="inlineStr">
        <is>
          <t>+</t>
        </is>
      </c>
      <c r="N189" s="8" t="n"/>
      <c r="O189" s="8" t="n"/>
      <c r="P189" s="137" t="inlineStr">
        <is>
          <t>+</t>
        </is>
      </c>
      <c r="Q189" s="8" t="n"/>
      <c r="R189" s="8" t="n"/>
      <c r="S189" s="8" t="n"/>
      <c r="T189" s="8" t="n"/>
      <c r="U189" s="8" t="n"/>
      <c r="V189" s="8" t="n"/>
      <c r="W189" s="8" t="n"/>
      <c r="X189" s="137" t="inlineStr">
        <is>
          <t>+</t>
        </is>
      </c>
      <c r="Y189" s="137" t="inlineStr">
        <is>
          <t>+</t>
        </is>
      </c>
    </row>
    <row r="190">
      <c r="A190" s="6" t="inlineStr">
        <is>
          <t>работник 692</t>
        </is>
      </c>
      <c r="B190" s="6" t="inlineStr">
        <is>
          <t>Начальник участка</t>
        </is>
      </c>
      <c r="C190" s="6" t="inlineStr">
        <is>
          <t>ОБЩЕСТВО С ОГРАНИЧЕННОЙ ОТВЕТСТВЕННОСТЬЮ "АМУР ЗОЛОТО"</t>
        </is>
      </c>
      <c r="D190" s="7" t="inlineStr">
        <is>
          <t>2708001686</t>
        </is>
      </c>
      <c r="E190" s="6" t="inlineStr">
        <is>
          <t>ООО "Амур Золото"</t>
        </is>
      </c>
      <c r="F190" s="7" t="inlineStr">
        <is>
          <t>2708001686</t>
        </is>
      </c>
      <c r="G190" s="7" t="inlineStr">
        <is>
          <t>Успешно</t>
        </is>
      </c>
      <c r="H190" s="6" t="n"/>
      <c r="I190" s="6" t="n"/>
      <c r="J190" s="6" t="inlineStr">
        <is>
          <t>Пользовательский интерфейс</t>
        </is>
      </c>
      <c r="K190" s="7" t="n">
        <v>1</v>
      </c>
      <c r="L190" s="141" t="n"/>
      <c r="M190" s="139" t="n"/>
      <c r="N190" s="8" t="n"/>
      <c r="O190" s="137" t="inlineStr">
        <is>
          <t>+</t>
        </is>
      </c>
      <c r="P190" s="8" t="n"/>
      <c r="Q190" s="8" t="n"/>
      <c r="R190" s="8" t="n"/>
      <c r="S190" s="8" t="n"/>
      <c r="T190" s="8" t="n"/>
      <c r="U190" s="8" t="n"/>
      <c r="V190" s="8" t="n"/>
      <c r="W190" s="8" t="n"/>
      <c r="X190" s="139" t="n"/>
      <c r="Y190" s="8" t="n"/>
    </row>
    <row r="191">
      <c r="A191" s="6" t="inlineStr">
        <is>
          <t>работник 377</t>
        </is>
      </c>
      <c r="B191" s="6" t="inlineStr">
        <is>
          <t>Стропальщик (с исполнением обязанностей грузчика</t>
        </is>
      </c>
      <c r="C191" s="6" t="inlineStr">
        <is>
          <t>ОБЩЕСТВО С ОГРАНИЧЕННОЙ ОТВЕТСТВЕННОСТЬЮ "АМУР ЗОЛОТО"</t>
        </is>
      </c>
      <c r="D191" s="7" t="inlineStr">
        <is>
          <t>2708001686</t>
        </is>
      </c>
      <c r="E191" s="6" t="inlineStr">
        <is>
          <t>ООО "Амур Золото"</t>
        </is>
      </c>
      <c r="F191" s="7" t="inlineStr">
        <is>
          <t>2708001686</t>
        </is>
      </c>
      <c r="G191" s="7" t="inlineStr">
        <is>
          <t>Успешно</t>
        </is>
      </c>
      <c r="H191" s="6" t="n"/>
      <c r="I191" s="6" t="n"/>
      <c r="J191" s="6" t="inlineStr">
        <is>
          <t>Пользовательский интерфейс</t>
        </is>
      </c>
      <c r="K191" s="7" t="n">
        <v>3</v>
      </c>
      <c r="L191" s="8" t="n"/>
      <c r="M191" s="137" t="inlineStr">
        <is>
          <t>+</t>
        </is>
      </c>
      <c r="N191" s="8" t="n"/>
      <c r="O191" s="8" t="n"/>
      <c r="P191" s="8" t="n"/>
      <c r="Q191" s="8" t="n"/>
      <c r="R191" s="8" t="n"/>
      <c r="S191" s="8" t="n"/>
      <c r="T191" s="8" t="n"/>
      <c r="U191" s="8" t="n"/>
      <c r="V191" s="8" t="n"/>
      <c r="W191" s="8" t="n"/>
      <c r="X191" s="137" t="inlineStr">
        <is>
          <t>+</t>
        </is>
      </c>
      <c r="Y191" s="137" t="inlineStr">
        <is>
          <t>+</t>
        </is>
      </c>
    </row>
    <row r="192">
      <c r="A192" s="6" t="inlineStr">
        <is>
          <t>работник 34</t>
        </is>
      </c>
      <c r="B192" s="6" t="inlineStr">
        <is>
          <t>Лаборант пробирного анализа</t>
        </is>
      </c>
      <c r="C192" s="6" t="inlineStr">
        <is>
          <t>ОБЩЕСТВО С ОГРАНИЧЕННОЙ ОТВЕТСТВЕННОСТЬЮ "АМУР ЗОЛОТО"</t>
        </is>
      </c>
      <c r="D192" s="7" t="inlineStr">
        <is>
          <t>2708001686</t>
        </is>
      </c>
      <c r="E192" s="6" t="inlineStr">
        <is>
          <t>ООО "Амур Золото"</t>
        </is>
      </c>
      <c r="F192" s="7" t="inlineStr">
        <is>
          <t>2708001686</t>
        </is>
      </c>
      <c r="G192" s="7" t="inlineStr">
        <is>
          <t>Успешно</t>
        </is>
      </c>
      <c r="H192" s="6" t="n"/>
      <c r="I192" s="6" t="n"/>
      <c r="J192" s="6" t="inlineStr">
        <is>
          <t>Пользовательский интерфейс</t>
        </is>
      </c>
      <c r="K192" s="7" t="n">
        <v>3</v>
      </c>
      <c r="L192" s="8" t="n"/>
      <c r="M192" s="137" t="inlineStr">
        <is>
          <t>+</t>
        </is>
      </c>
      <c r="N192" s="8" t="n"/>
      <c r="O192" s="8" t="n"/>
      <c r="P192" s="8" t="n"/>
      <c r="Q192" s="8" t="n"/>
      <c r="R192" s="8" t="n"/>
      <c r="S192" s="8" t="n"/>
      <c r="T192" s="8" t="n"/>
      <c r="U192" s="8" t="n"/>
      <c r="V192" s="8" t="n"/>
      <c r="W192" s="8" t="n"/>
      <c r="X192" s="137" t="inlineStr">
        <is>
          <t>+</t>
        </is>
      </c>
      <c r="Y192" s="137" t="inlineStr">
        <is>
          <t>+</t>
        </is>
      </c>
    </row>
    <row r="193">
      <c r="A193" s="6" t="inlineStr">
        <is>
          <t>работник 237</t>
        </is>
      </c>
      <c r="B193" s="6" t="inlineStr">
        <is>
          <t>Инженер пробирного анализа</t>
        </is>
      </c>
      <c r="C193" s="6" t="inlineStr">
        <is>
          <t>ОБЩЕСТВО С ОГРАНИЧЕННОЙ ОТВЕТСТВЕННОСТЬЮ "АМУР ЗОЛОТО"</t>
        </is>
      </c>
      <c r="D193" s="7" t="inlineStr">
        <is>
          <t>2708001686</t>
        </is>
      </c>
      <c r="E193" s="6" t="inlineStr">
        <is>
          <t>ООО "Амур Золото"</t>
        </is>
      </c>
      <c r="F193" s="7" t="inlineStr">
        <is>
          <t>2708001686</t>
        </is>
      </c>
      <c r="G193" s="7" t="inlineStr">
        <is>
          <t>Успешно</t>
        </is>
      </c>
      <c r="H193" s="6" t="n"/>
      <c r="I193" s="6" t="n"/>
      <c r="J193" s="6" t="inlineStr">
        <is>
          <t>Пользовательский интерфейс</t>
        </is>
      </c>
      <c r="K193" s="7" t="n">
        <v>3</v>
      </c>
      <c r="L193" s="8" t="n"/>
      <c r="M193" s="137" t="inlineStr">
        <is>
          <t>+</t>
        </is>
      </c>
      <c r="N193" s="8" t="n"/>
      <c r="O193" s="8" t="n"/>
      <c r="P193" s="8" t="n"/>
      <c r="Q193" s="8" t="n"/>
      <c r="R193" s="8" t="n"/>
      <c r="S193" s="8" t="n"/>
      <c r="T193" s="8" t="n"/>
      <c r="U193" s="8" t="n"/>
      <c r="V193" s="8" t="n"/>
      <c r="W193" s="8" t="n"/>
      <c r="X193" s="140" t="inlineStr">
        <is>
          <t>+</t>
        </is>
      </c>
      <c r="Y193" s="137" t="inlineStr">
        <is>
          <t>+</t>
        </is>
      </c>
    </row>
    <row r="194">
      <c r="A194" s="6" t="inlineStr">
        <is>
          <t>работник 159</t>
        </is>
      </c>
      <c r="B194" s="6" t="inlineStr">
        <is>
          <t>Проходчик (с исполнением обязанностей взрывника)</t>
        </is>
      </c>
      <c r="C194" s="6" t="inlineStr">
        <is>
          <t>ОБЩЕСТВО С ОГРАНИЧЕННОЙ ОТВЕТСТВЕННОСТЬЮ "АМУР ЗОЛОТО"</t>
        </is>
      </c>
      <c r="D194" s="7" t="inlineStr">
        <is>
          <t>2708001686</t>
        </is>
      </c>
      <c r="E194" s="6" t="inlineStr">
        <is>
          <t>ООО "Амур Золото"</t>
        </is>
      </c>
      <c r="F194" s="7" t="inlineStr">
        <is>
          <t>2708001686</t>
        </is>
      </c>
      <c r="G194" s="7" t="inlineStr">
        <is>
          <t>Успешно</t>
        </is>
      </c>
      <c r="H194" s="6" t="n"/>
      <c r="I194" s="6" t="n"/>
      <c r="J194" s="6" t="inlineStr">
        <is>
          <t>Пользовательский интерфейс</t>
        </is>
      </c>
      <c r="K194" s="7" t="n">
        <v>5</v>
      </c>
      <c r="L194" s="8" t="n"/>
      <c r="M194" s="137" t="inlineStr">
        <is>
          <t>+</t>
        </is>
      </c>
      <c r="N194" s="8" t="n"/>
      <c r="O194" s="8" t="n"/>
      <c r="P194" s="8" t="n"/>
      <c r="Q194" s="8" t="n"/>
      <c r="R194" s="8" t="n"/>
      <c r="S194" s="8" t="n"/>
      <c r="T194" s="8" t="n"/>
      <c r="U194" s="8" t="n"/>
      <c r="V194" s="8" t="n"/>
      <c r="W194" s="8" t="n"/>
      <c r="X194" s="137" t="inlineStr">
        <is>
          <t>+</t>
        </is>
      </c>
      <c r="Y194" s="137" t="inlineStr">
        <is>
          <t>+</t>
        </is>
      </c>
    </row>
    <row r="195">
      <c r="A195" s="6" t="inlineStr">
        <is>
          <t>работник 114</t>
        </is>
      </c>
      <c r="B195" s="6" t="inlineStr">
        <is>
          <t>Пробоотборщик / Лаборант химического анализа</t>
        </is>
      </c>
      <c r="C195" s="6" t="inlineStr">
        <is>
          <t>ОБЩЕСТВО С ОГРАНИЧЕННОЙ ОТВЕТСТВЕННОСТЬЮ "АМУР ЗОЛОТО"</t>
        </is>
      </c>
      <c r="D195" s="7" t="inlineStr">
        <is>
          <t>2708001686</t>
        </is>
      </c>
      <c r="E195" s="6" t="inlineStr">
        <is>
          <t>ООО "Амур Золото"</t>
        </is>
      </c>
      <c r="F195" s="7" t="inlineStr">
        <is>
          <t>2708001686</t>
        </is>
      </c>
      <c r="G195" s="7" t="inlineStr">
        <is>
          <t>Успешно</t>
        </is>
      </c>
      <c r="H195" s="6" t="n"/>
      <c r="I195" s="6" t="n"/>
      <c r="J195" s="6" t="inlineStr">
        <is>
          <t>Пользовательский интерфейс</t>
        </is>
      </c>
      <c r="K195" s="7" t="n">
        <v>5</v>
      </c>
      <c r="L195" s="8" t="n"/>
      <c r="M195" s="137" t="inlineStr">
        <is>
          <t>+</t>
        </is>
      </c>
      <c r="N195" s="8" t="n"/>
      <c r="O195" s="8" t="n"/>
      <c r="P195" s="8" t="n"/>
      <c r="Q195" s="8" t="n"/>
      <c r="R195" s="8" t="n"/>
      <c r="S195" s="8" t="n"/>
      <c r="T195" s="8" t="n"/>
      <c r="U195" s="8" t="n"/>
      <c r="V195" s="8" t="n"/>
      <c r="W195" s="8" t="n"/>
      <c r="X195" s="137" t="inlineStr">
        <is>
          <t>+</t>
        </is>
      </c>
      <c r="Y195" s="137" t="inlineStr">
        <is>
          <t>+</t>
        </is>
      </c>
    </row>
    <row r="196">
      <c r="A196" s="6" t="inlineStr">
        <is>
          <t>работник 483</t>
        </is>
      </c>
      <c r="B196" s="6" t="inlineStr">
        <is>
          <t>Проходчик (с исполнением обязанностей взрывника)</t>
        </is>
      </c>
      <c r="C196" s="6" t="inlineStr">
        <is>
          <t>ОБЩЕСТВО С ОГРАНИЧЕННОЙ ОТВЕТСТВЕННОСТЬЮ "АМУР ЗОЛОТО"</t>
        </is>
      </c>
      <c r="D196" s="7" t="inlineStr">
        <is>
          <t>2708001686</t>
        </is>
      </c>
      <c r="E196" s="6" t="inlineStr">
        <is>
          <t>ООО "Амур Золото"</t>
        </is>
      </c>
      <c r="F196" s="7" t="inlineStr">
        <is>
          <t>2708001686</t>
        </is>
      </c>
      <c r="G196" s="7" t="inlineStr">
        <is>
          <t>Успешно</t>
        </is>
      </c>
      <c r="H196" s="6" t="n"/>
      <c r="I196" s="6" t="n"/>
      <c r="J196" s="6" t="inlineStr">
        <is>
          <t>Пользовательский интерфейс</t>
        </is>
      </c>
      <c r="K196" s="7" t="n">
        <v>2</v>
      </c>
      <c r="L196" s="8" t="n"/>
      <c r="M196" s="137" t="inlineStr">
        <is>
          <t>+</t>
        </is>
      </c>
      <c r="N196" s="8" t="n"/>
      <c r="O196" s="8" t="n"/>
      <c r="P196" s="8" t="n"/>
      <c r="Q196" s="8" t="n"/>
      <c r="R196" s="8" t="n"/>
      <c r="S196" s="8" t="n"/>
      <c r="T196" s="8" t="n"/>
      <c r="U196" s="8" t="n"/>
      <c r="V196" s="8" t="n"/>
      <c r="W196" s="8" t="n"/>
      <c r="X196" s="139" t="n"/>
      <c r="Y196" s="137" t="inlineStr">
        <is>
          <t>+</t>
        </is>
      </c>
    </row>
    <row r="197">
      <c r="A197" s="6" t="inlineStr">
        <is>
          <t>работник 381</t>
        </is>
      </c>
      <c r="B197" s="6" t="inlineStr">
        <is>
          <t>Фильтровальщик</t>
        </is>
      </c>
      <c r="C197" s="6" t="inlineStr">
        <is>
          <t>ОБЩЕСТВО С ОГРАНИЧЕННОЙ ОТВЕТСТВЕННОСТЬЮ "АМУР ЗОЛОТО"</t>
        </is>
      </c>
      <c r="D197" s="7" t="inlineStr">
        <is>
          <t>2708001686</t>
        </is>
      </c>
      <c r="E197" s="6" t="inlineStr">
        <is>
          <t>ООО "Амур Золото"</t>
        </is>
      </c>
      <c r="F197" s="7" t="inlineStr">
        <is>
          <t>2708001686</t>
        </is>
      </c>
      <c r="G197" s="7" t="inlineStr">
        <is>
          <t>Успешно</t>
        </is>
      </c>
      <c r="H197" s="6" t="n"/>
      <c r="I197" s="6" t="n"/>
      <c r="J197" s="6" t="inlineStr">
        <is>
          <t>Пользовательский интерфейс</t>
        </is>
      </c>
      <c r="K197" s="7" t="n">
        <v>3</v>
      </c>
      <c r="L197" s="8" t="n"/>
      <c r="M197" s="137" t="inlineStr">
        <is>
          <t>+</t>
        </is>
      </c>
      <c r="N197" s="8" t="n"/>
      <c r="O197" s="8" t="n"/>
      <c r="P197" s="8" t="n"/>
      <c r="Q197" s="8" t="n"/>
      <c r="R197" s="8" t="n"/>
      <c r="S197" s="8" t="n"/>
      <c r="T197" s="8" t="n"/>
      <c r="U197" s="8" t="n"/>
      <c r="V197" s="8" t="n"/>
      <c r="W197" s="8" t="n"/>
      <c r="X197" s="137" t="inlineStr">
        <is>
          <t>+</t>
        </is>
      </c>
      <c r="Y197" s="137" t="inlineStr">
        <is>
          <t>+</t>
        </is>
      </c>
    </row>
    <row r="198">
      <c r="A198" s="6" t="inlineStr">
        <is>
          <t>работник 668</t>
        </is>
      </c>
      <c r="B198" s="6" t="inlineStr">
        <is>
          <t>Стропальщик (с исполнением обязанностей грузчика)</t>
        </is>
      </c>
      <c r="C198" s="6" t="inlineStr">
        <is>
          <t>ОБЩЕСТВО С ОГРАНИЧЕННОЙ ОТВЕТСТВЕННОСТЬЮ "АМУР ЗОЛОТО"</t>
        </is>
      </c>
      <c r="D198" s="7" t="inlineStr">
        <is>
          <t>2708001686</t>
        </is>
      </c>
      <c r="E198" s="6" t="inlineStr">
        <is>
          <t>ООО "Амур Золото"</t>
        </is>
      </c>
      <c r="F198" s="7" t="inlineStr">
        <is>
          <t>2708001686</t>
        </is>
      </c>
      <c r="G198" s="7" t="inlineStr">
        <is>
          <t>Успешно</t>
        </is>
      </c>
      <c r="H198" s="6" t="n"/>
      <c r="I198" s="6" t="n"/>
      <c r="J198" s="6" t="inlineStr">
        <is>
          <t>Пользовательский интерфейс</t>
        </is>
      </c>
      <c r="K198" s="7" t="n">
        <v>2</v>
      </c>
      <c r="L198" s="8" t="n"/>
      <c r="M198" s="137" t="inlineStr">
        <is>
          <t>+</t>
        </is>
      </c>
      <c r="N198" s="8" t="n"/>
      <c r="O198" s="8" t="n"/>
      <c r="P198" s="8" t="n"/>
      <c r="Q198" s="8" t="n"/>
      <c r="R198" s="8" t="n"/>
      <c r="S198" s="8" t="n"/>
      <c r="T198" s="8" t="n"/>
      <c r="U198" s="8" t="n"/>
      <c r="V198" s="8" t="n"/>
      <c r="W198" s="8" t="n"/>
      <c r="X198" s="139" t="n"/>
      <c r="Y198" s="137" t="inlineStr">
        <is>
          <t>+</t>
        </is>
      </c>
    </row>
    <row r="199">
      <c r="A199" s="6" t="inlineStr">
        <is>
          <t>работник 304</t>
        </is>
      </c>
      <c r="B199" s="6" t="inlineStr">
        <is>
          <t>Помощник машиниста СБУ (с исполнением обязанностей пробоотборщика)</t>
        </is>
      </c>
      <c r="C199" s="6" t="inlineStr">
        <is>
          <t>ОБЩЕСТВО С ОГРАНИЧЕННОЙ ОТВЕТСТВЕННОСТЬЮ "АМУР ЗОЛОТО"</t>
        </is>
      </c>
      <c r="D199" s="7" t="inlineStr">
        <is>
          <t>2708001686</t>
        </is>
      </c>
      <c r="E199" s="6" t="inlineStr">
        <is>
          <t>ООО "Амур Золото"</t>
        </is>
      </c>
      <c r="F199" s="7" t="inlineStr">
        <is>
          <t>2708001686</t>
        </is>
      </c>
      <c r="G199" s="7" t="inlineStr">
        <is>
          <t>Успешно</t>
        </is>
      </c>
      <c r="H199" s="6" t="n"/>
      <c r="I199" s="6" t="n"/>
      <c r="J199" s="6" t="inlineStr">
        <is>
          <t>Пользовательский интерфейс</t>
        </is>
      </c>
      <c r="K199" s="7" t="n">
        <v>3</v>
      </c>
      <c r="L199" s="8" t="n"/>
      <c r="M199" s="137" t="inlineStr">
        <is>
          <t>+</t>
        </is>
      </c>
      <c r="N199" s="8" t="n"/>
      <c r="O199" s="8" t="n"/>
      <c r="P199" s="8" t="n"/>
      <c r="Q199" s="8" t="n"/>
      <c r="R199" s="8" t="n"/>
      <c r="S199" s="8" t="n"/>
      <c r="T199" s="8" t="n"/>
      <c r="U199" s="8" t="n"/>
      <c r="V199" s="8" t="n"/>
      <c r="W199" s="8" t="n"/>
      <c r="X199" s="137" t="inlineStr">
        <is>
          <t>+</t>
        </is>
      </c>
      <c r="Y199" s="137" t="inlineStr">
        <is>
          <t>+</t>
        </is>
      </c>
    </row>
    <row r="200">
      <c r="A200" s="6" t="inlineStr">
        <is>
          <t>работник 693</t>
        </is>
      </c>
      <c r="B200" s="6" t="inlineStr">
        <is>
          <t>Плотник</t>
        </is>
      </c>
      <c r="C200" s="6" t="inlineStr">
        <is>
          <t>ОБЩЕСТВО С ОГРАНИЧЕННОЙ ОТВЕТСТВЕННОСТЬЮ "АМУР ЗОЛОТО"</t>
        </is>
      </c>
      <c r="D200" s="7" t="inlineStr">
        <is>
          <t>2708001686</t>
        </is>
      </c>
      <c r="E200" s="6" t="inlineStr">
        <is>
          <t>ООО "Амур Золото"</t>
        </is>
      </c>
      <c r="F200" s="7" t="inlineStr">
        <is>
          <t>2708001686</t>
        </is>
      </c>
      <c r="G200" s="7" t="inlineStr">
        <is>
          <t>Успешно</t>
        </is>
      </c>
      <c r="H200" s="6" t="n"/>
      <c r="I200" s="6" t="n"/>
      <c r="J200" s="6" t="inlineStr">
        <is>
          <t>Пользовательский интерфейс</t>
        </is>
      </c>
      <c r="K200" s="7" t="n">
        <v>2</v>
      </c>
      <c r="L200" s="8" t="n"/>
      <c r="M200" s="137" t="inlineStr">
        <is>
          <t>+</t>
        </is>
      </c>
      <c r="N200" s="8" t="n"/>
      <c r="O200" s="8" t="n"/>
      <c r="P200" s="8" t="n"/>
      <c r="Q200" s="8" t="n"/>
      <c r="R200" s="8" t="n"/>
      <c r="S200" s="8" t="n"/>
      <c r="T200" s="8" t="n"/>
      <c r="U200" s="8" t="n"/>
      <c r="V200" s="8" t="n"/>
      <c r="W200" s="8" t="n"/>
      <c r="X200" s="139" t="n"/>
      <c r="Y200" s="137" t="inlineStr">
        <is>
          <t>+</t>
        </is>
      </c>
    </row>
    <row r="201">
      <c r="A201" s="6" t="inlineStr">
        <is>
          <t>работник 789</t>
        </is>
      </c>
      <c r="B201" s="6" t="inlineStr">
        <is>
          <t>Машинист экскаватора</t>
        </is>
      </c>
      <c r="C201" s="6" t="inlineStr">
        <is>
          <t>ОБЩЕСТВО С ОГРАНИЧЕННОЙ ОТВЕТСТВЕННОСТЬЮ "АМУР ЗОЛОТО"</t>
        </is>
      </c>
      <c r="D201" s="7" t="inlineStr">
        <is>
          <t>2708001686</t>
        </is>
      </c>
      <c r="E201" s="6" t="inlineStr">
        <is>
          <t>ООО "Амур Золото"</t>
        </is>
      </c>
      <c r="F201" s="7" t="inlineStr">
        <is>
          <t>2708001686</t>
        </is>
      </c>
      <c r="G201" s="7" t="inlineStr">
        <is>
          <t>Успешно</t>
        </is>
      </c>
      <c r="H201" s="6" t="n"/>
      <c r="I201" s="6" t="n"/>
      <c r="J201" s="6" t="inlineStr">
        <is>
          <t>Пользовательский интерфейс</t>
        </is>
      </c>
      <c r="K201" s="7" t="n">
        <v>3</v>
      </c>
      <c r="L201" s="8" t="n"/>
      <c r="M201" s="137" t="inlineStr">
        <is>
          <t>+</t>
        </is>
      </c>
      <c r="N201" s="8" t="n"/>
      <c r="O201" s="8" t="n"/>
      <c r="P201" s="8" t="n"/>
      <c r="Q201" s="8" t="n"/>
      <c r="R201" s="8" t="n"/>
      <c r="S201" s="8" t="n"/>
      <c r="T201" s="8" t="n"/>
      <c r="U201" s="8" t="n"/>
      <c r="V201" s="8" t="n"/>
      <c r="W201" s="8" t="n"/>
      <c r="X201" s="137" t="inlineStr">
        <is>
          <t>+</t>
        </is>
      </c>
      <c r="Y201" s="137" t="inlineStr">
        <is>
          <t>+</t>
        </is>
      </c>
    </row>
    <row r="202">
      <c r="A202" s="6" t="inlineStr">
        <is>
          <t>работник 453</t>
        </is>
      </c>
      <c r="B202" s="6" t="inlineStr">
        <is>
          <t>Аппаратчик-гидрометаллург</t>
        </is>
      </c>
      <c r="C202" s="6" t="inlineStr">
        <is>
          <t>ОБЩЕСТВО С ОГРАНИЧЕННОЙ ОТВЕТСТВЕННОСТЬЮ "АМУР ЗОЛОТО"</t>
        </is>
      </c>
      <c r="D202" s="7" t="inlineStr">
        <is>
          <t>2708001686</t>
        </is>
      </c>
      <c r="E202" s="6" t="inlineStr">
        <is>
          <t>ООО "Амур Золото"</t>
        </is>
      </c>
      <c r="F202" s="7" t="inlineStr">
        <is>
          <t>2708001686</t>
        </is>
      </c>
      <c r="G202" s="7" t="inlineStr">
        <is>
          <t>Успешно</t>
        </is>
      </c>
      <c r="H202" s="6" t="n"/>
      <c r="I202" s="6" t="n"/>
      <c r="J202" s="6" t="inlineStr">
        <is>
          <t>Пользовательский интерфейс</t>
        </is>
      </c>
      <c r="K202" s="7" t="n">
        <v>2</v>
      </c>
      <c r="L202" s="8" t="n"/>
      <c r="M202" s="137" t="inlineStr">
        <is>
          <t>+</t>
        </is>
      </c>
      <c r="N202" s="8" t="n"/>
      <c r="O202" s="8" t="n"/>
      <c r="P202" s="8" t="n"/>
      <c r="Q202" s="8" t="n"/>
      <c r="R202" s="8" t="n"/>
      <c r="S202" s="8" t="n"/>
      <c r="T202" s="8" t="n"/>
      <c r="U202" s="8" t="n"/>
      <c r="V202" s="8" t="n"/>
      <c r="W202" s="8" t="n"/>
      <c r="X202" s="139" t="n"/>
      <c r="Y202" s="137" t="inlineStr">
        <is>
          <t>+</t>
        </is>
      </c>
    </row>
    <row r="203">
      <c r="A203" s="6" t="inlineStr">
        <is>
          <t>работник 365</t>
        </is>
      </c>
      <c r="B203" s="6" t="inlineStr">
        <is>
          <t>Электрогазосварщик (занятый на резке и ручной сварке)</t>
        </is>
      </c>
      <c r="C203" s="6" t="inlineStr">
        <is>
          <t>ОБЩЕСТВО С ОГРАНИЧЕННОЙ ОТВЕТСТВЕННОСТЬЮ "АМУР ЗОЛОТО"</t>
        </is>
      </c>
      <c r="D203" s="7" t="inlineStr">
        <is>
          <t>2708001686</t>
        </is>
      </c>
      <c r="E203" s="6" t="inlineStr">
        <is>
          <t>ООО "Амур Золото"</t>
        </is>
      </c>
      <c r="F203" s="7" t="inlineStr">
        <is>
          <t>2708001686</t>
        </is>
      </c>
      <c r="G203" s="7" t="inlineStr">
        <is>
          <t>Успешно</t>
        </is>
      </c>
      <c r="H203" s="6" t="n"/>
      <c r="I203" s="6" t="n"/>
      <c r="J203" s="6" t="inlineStr">
        <is>
          <t>Пользовательский интерфейс</t>
        </is>
      </c>
      <c r="K203" s="7" t="n">
        <v>3</v>
      </c>
      <c r="L203" s="8" t="n"/>
      <c r="M203" s="137" t="inlineStr">
        <is>
          <t>+</t>
        </is>
      </c>
      <c r="N203" s="8" t="n"/>
      <c r="O203" s="8" t="n"/>
      <c r="P203" s="8" t="n"/>
      <c r="Q203" s="8" t="n"/>
      <c r="R203" s="8" t="n"/>
      <c r="S203" s="8" t="n"/>
      <c r="T203" s="8" t="n"/>
      <c r="U203" s="8" t="n"/>
      <c r="V203" s="8" t="n"/>
      <c r="W203" s="8" t="n"/>
      <c r="X203" s="137" t="inlineStr">
        <is>
          <t>+</t>
        </is>
      </c>
      <c r="Y203" s="137" t="inlineStr">
        <is>
          <t>+</t>
        </is>
      </c>
    </row>
    <row r="204">
      <c r="A204" s="6" t="inlineStr">
        <is>
          <t>работник 584</t>
        </is>
      </c>
      <c r="B204" s="6" t="inlineStr">
        <is>
          <t>Растворщик реагентов</t>
        </is>
      </c>
      <c r="C204" s="6" t="inlineStr">
        <is>
          <t>ОБЩЕСТВО С ОГРАНИЧЕННОЙ ОТВЕТСТВЕННОСТЬЮ "АМУР ЗОЛОТО"</t>
        </is>
      </c>
      <c r="D204" s="7" t="inlineStr">
        <is>
          <t>2708001686</t>
        </is>
      </c>
      <c r="E204" s="6" t="inlineStr">
        <is>
          <t>ООО "Амур Золото"</t>
        </is>
      </c>
      <c r="F204" s="7" t="inlineStr">
        <is>
          <t>2708001686</t>
        </is>
      </c>
      <c r="G204" s="7" t="inlineStr">
        <is>
          <t>Успешно</t>
        </is>
      </c>
      <c r="H204" s="6" t="n"/>
      <c r="I204" s="6" t="n"/>
      <c r="J204" s="6" t="inlineStr">
        <is>
          <t>Пользовательский интерфейс</t>
        </is>
      </c>
      <c r="K204" s="7" t="n">
        <v>4</v>
      </c>
      <c r="L204" s="8" t="n"/>
      <c r="M204" s="137" t="inlineStr">
        <is>
          <t>+</t>
        </is>
      </c>
      <c r="N204" s="137" t="inlineStr">
        <is>
          <t>+</t>
        </is>
      </c>
      <c r="O204" s="8" t="n"/>
      <c r="P204" s="137" t="inlineStr">
        <is>
          <t>+</t>
        </is>
      </c>
      <c r="Q204" s="8" t="n"/>
      <c r="R204" s="8" t="n"/>
      <c r="S204" s="8" t="n"/>
      <c r="T204" s="8" t="n"/>
      <c r="U204" s="8" t="n"/>
      <c r="V204" s="8" t="n"/>
      <c r="W204" s="8" t="n"/>
      <c r="X204" s="139" t="n"/>
      <c r="Y204" s="137" t="inlineStr">
        <is>
          <t>+</t>
        </is>
      </c>
    </row>
    <row r="205">
      <c r="A205" s="6" t="inlineStr">
        <is>
          <t>работник 160</t>
        </is>
      </c>
      <c r="B205" s="6" t="inlineStr">
        <is>
          <t>Машинист буровой установки (НКР)</t>
        </is>
      </c>
      <c r="C205" s="6" t="inlineStr">
        <is>
          <t>ОБЩЕСТВО С ОГРАНИЧЕННОЙ ОТВЕТСТВЕННОСТЬЮ "АМУР ЗОЛОТО"</t>
        </is>
      </c>
      <c r="D205" s="7" t="inlineStr">
        <is>
          <t>2708001686</t>
        </is>
      </c>
      <c r="E205" s="6" t="inlineStr">
        <is>
          <t>ООО "Амур Золото"</t>
        </is>
      </c>
      <c r="F205" s="7" t="inlineStr">
        <is>
          <t>2708001686</t>
        </is>
      </c>
      <c r="G205" s="7" t="inlineStr">
        <is>
          <t>Успешно</t>
        </is>
      </c>
      <c r="H205" s="6" t="n"/>
      <c r="I205" s="6" t="n"/>
      <c r="J205" s="6" t="inlineStr">
        <is>
          <t>Пользовательский интерфейс</t>
        </is>
      </c>
      <c r="K205" s="7" t="n">
        <v>3</v>
      </c>
      <c r="L205" s="8" t="n"/>
      <c r="M205" s="137" t="inlineStr">
        <is>
          <t>+</t>
        </is>
      </c>
      <c r="N205" s="8" t="n"/>
      <c r="O205" s="8" t="n"/>
      <c r="P205" s="8" t="n"/>
      <c r="Q205" s="8" t="n"/>
      <c r="R205" s="8" t="n"/>
      <c r="S205" s="8" t="n"/>
      <c r="T205" s="8" t="n"/>
      <c r="U205" s="8" t="n"/>
      <c r="V205" s="8" t="n"/>
      <c r="W205" s="8" t="n"/>
      <c r="X205" s="137" t="inlineStr">
        <is>
          <t>+</t>
        </is>
      </c>
      <c r="Y205" s="137" t="inlineStr">
        <is>
          <t>+</t>
        </is>
      </c>
    </row>
    <row r="206">
      <c r="A206" s="6" t="inlineStr">
        <is>
          <t>работник 378</t>
        </is>
      </c>
      <c r="B206" s="6" t="inlineStr">
        <is>
          <t>Стопальщик</t>
        </is>
      </c>
      <c r="C206" s="6" t="inlineStr">
        <is>
          <t>ОБЩЕСТВО С ОГРАНИЧЕННОЙ ОТВЕТСТВЕННОСТЬЮ "АМУР ЗОЛОТО"</t>
        </is>
      </c>
      <c r="D206" s="7" t="inlineStr">
        <is>
          <t>2708001686</t>
        </is>
      </c>
      <c r="E206" s="6" t="inlineStr">
        <is>
          <t>ООО "Амур Золото"</t>
        </is>
      </c>
      <c r="F206" s="7" t="inlineStr">
        <is>
          <t>2708001686</t>
        </is>
      </c>
      <c r="G206" s="7" t="inlineStr">
        <is>
          <t>Успешно</t>
        </is>
      </c>
      <c r="H206" s="6" t="n"/>
      <c r="I206" s="6" t="n"/>
      <c r="J206" s="6" t="inlineStr">
        <is>
          <t>Пользовательский интерфейс</t>
        </is>
      </c>
      <c r="K206" s="7" t="n">
        <v>3</v>
      </c>
      <c r="L206" s="8" t="n"/>
      <c r="M206" s="137" t="inlineStr">
        <is>
          <t>+</t>
        </is>
      </c>
      <c r="N206" s="8" t="n"/>
      <c r="O206" s="8" t="n"/>
      <c r="P206" s="8" t="n"/>
      <c r="Q206" s="8" t="n"/>
      <c r="R206" s="8" t="n"/>
      <c r="S206" s="8" t="n"/>
      <c r="T206" s="8" t="n"/>
      <c r="U206" s="8" t="n"/>
      <c r="V206" s="8" t="n"/>
      <c r="W206" s="8" t="n"/>
      <c r="X206" s="137" t="inlineStr">
        <is>
          <t>+</t>
        </is>
      </c>
      <c r="Y206" s="137" t="inlineStr">
        <is>
          <t>+</t>
        </is>
      </c>
    </row>
    <row r="207">
      <c r="A207" s="6" t="inlineStr">
        <is>
          <t>работник 205</t>
        </is>
      </c>
      <c r="B207" s="6" t="inlineStr">
        <is>
          <t>Водитель автомобиля(занятый на траспортировании горной массы в технологическом процессе)</t>
        </is>
      </c>
      <c r="C207" s="6" t="inlineStr">
        <is>
          <t>ОБЩЕСТВО С ОГРАНИЧЕННОЙ ОТВЕТСТВЕННОСТЬЮ "АМУР ЗОЛОТО"</t>
        </is>
      </c>
      <c r="D207" s="7" t="inlineStr">
        <is>
          <t>2708001686</t>
        </is>
      </c>
      <c r="E207" s="6" t="inlineStr">
        <is>
          <t>ООО "Амур Золото"</t>
        </is>
      </c>
      <c r="F207" s="7" t="inlineStr">
        <is>
          <t>2708001686</t>
        </is>
      </c>
      <c r="G207" s="7" t="inlineStr">
        <is>
          <t>Успешно</t>
        </is>
      </c>
      <c r="H207" s="6" t="n"/>
      <c r="I207" s="6" t="n"/>
      <c r="J207" s="6" t="inlineStr">
        <is>
          <t>Пользовательский интерфейс</t>
        </is>
      </c>
      <c r="K207" s="7" t="n">
        <v>3</v>
      </c>
      <c r="L207" s="8" t="n"/>
      <c r="M207" s="137" t="inlineStr">
        <is>
          <t>+</t>
        </is>
      </c>
      <c r="N207" s="8" t="n"/>
      <c r="O207" s="8" t="n"/>
      <c r="P207" s="8" t="n"/>
      <c r="Q207" s="8" t="n"/>
      <c r="R207" s="8" t="n"/>
      <c r="S207" s="8" t="n"/>
      <c r="T207" s="8" t="n"/>
      <c r="U207" s="8" t="n"/>
      <c r="V207" s="8" t="n"/>
      <c r="W207" s="8" t="n"/>
      <c r="X207" s="137" t="inlineStr">
        <is>
          <t>+</t>
        </is>
      </c>
      <c r="Y207" s="137" t="inlineStr">
        <is>
          <t>+</t>
        </is>
      </c>
    </row>
    <row r="208">
      <c r="A208" s="6" t="inlineStr">
        <is>
          <t>работник 484</t>
        </is>
      </c>
      <c r="B208" s="6" t="inlineStr">
        <is>
          <t>Электрослесарь (слесарь) дежурный и по ремонту оборудования подземного горного участка</t>
        </is>
      </c>
      <c r="C208" s="6" t="inlineStr">
        <is>
          <t>ОБЩЕСТВО С ОГРАНИЧЕННОЙ ОТВЕТСТВЕННОСТЬЮ "АМУР ЗОЛОТО"</t>
        </is>
      </c>
      <c r="D208" s="7" t="inlineStr">
        <is>
          <t>2708001686</t>
        </is>
      </c>
      <c r="E208" s="6" t="inlineStr">
        <is>
          <t>ООО "Амур Золото"</t>
        </is>
      </c>
      <c r="F208" s="7" t="inlineStr">
        <is>
          <t>2708001686</t>
        </is>
      </c>
      <c r="G208" s="7" t="inlineStr">
        <is>
          <t>Успешно</t>
        </is>
      </c>
      <c r="H208" s="6" t="n"/>
      <c r="I208" s="6" t="n"/>
      <c r="J208" s="6" t="inlineStr">
        <is>
          <t>Пользовательский интерфейс</t>
        </is>
      </c>
      <c r="K208" s="7" t="n">
        <v>2</v>
      </c>
      <c r="L208" s="8" t="n"/>
      <c r="M208" s="137" t="inlineStr">
        <is>
          <t>+</t>
        </is>
      </c>
      <c r="N208" s="8" t="n"/>
      <c r="O208" s="8" t="n"/>
      <c r="P208" s="8" t="n"/>
      <c r="Q208" s="8" t="n"/>
      <c r="R208" s="8" t="n"/>
      <c r="S208" s="8" t="n"/>
      <c r="T208" s="8" t="n"/>
      <c r="U208" s="8" t="n"/>
      <c r="V208" s="8" t="n"/>
      <c r="W208" s="8" t="n"/>
      <c r="X208" s="139" t="n"/>
      <c r="Y208" s="137" t="inlineStr">
        <is>
          <t>+</t>
        </is>
      </c>
    </row>
    <row r="209">
      <c r="A209" s="6" t="inlineStr">
        <is>
          <t>работник 847</t>
        </is>
      </c>
      <c r="B209" s="6" t="inlineStr">
        <is>
          <t>Проходчик (с исполнением обязанностей взрывника)</t>
        </is>
      </c>
      <c r="C209" s="6" t="inlineStr">
        <is>
          <t>ОБЩЕСТВО С ОГРАНИЧЕННОЙ ОТВЕТСТВЕННОСТЬЮ "АМУР ЗОЛОТО"</t>
        </is>
      </c>
      <c r="D209" s="7" t="inlineStr">
        <is>
          <t>2708001686</t>
        </is>
      </c>
      <c r="E209" s="6" t="inlineStr">
        <is>
          <t>ООО "Амур Золото"</t>
        </is>
      </c>
      <c r="F209" s="7" t="inlineStr">
        <is>
          <t>2708001686</t>
        </is>
      </c>
      <c r="G209" s="7" t="inlineStr">
        <is>
          <t>Успешно</t>
        </is>
      </c>
      <c r="H209" s="6" t="n"/>
      <c r="I209" s="6" t="n"/>
      <c r="J209" s="6" t="inlineStr">
        <is>
          <t>Пользовательский интерфейс</t>
        </is>
      </c>
      <c r="K209" s="7" t="n">
        <v>3</v>
      </c>
      <c r="L209" s="8" t="n"/>
      <c r="M209" s="137" t="inlineStr">
        <is>
          <t>+</t>
        </is>
      </c>
      <c r="N209" s="8" t="n"/>
      <c r="O209" s="8" t="n"/>
      <c r="P209" s="8" t="n"/>
      <c r="Q209" s="8" t="n"/>
      <c r="R209" s="8" t="n"/>
      <c r="S209" s="8" t="n"/>
      <c r="T209" s="8" t="n"/>
      <c r="U209" s="8" t="n"/>
      <c r="V209" s="8" t="n"/>
      <c r="W209" s="8" t="n"/>
      <c r="X209" s="137" t="inlineStr">
        <is>
          <t>+</t>
        </is>
      </c>
      <c r="Y209" s="137" t="inlineStr">
        <is>
          <t>+</t>
        </is>
      </c>
    </row>
    <row r="210">
      <c r="A210" s="6" t="inlineStr">
        <is>
          <t>работник 516</t>
        </is>
      </c>
      <c r="B210" s="6" t="inlineStr">
        <is>
          <t>Водитель автомобиля (категория D)</t>
        </is>
      </c>
      <c r="C210" s="6" t="inlineStr">
        <is>
          <t>ОБЩЕСТВО С ОГРАНИЧЕННОЙ ОТВЕТСТВЕННОСТЬЮ "АМУР ЗОЛОТО"</t>
        </is>
      </c>
      <c r="D210" s="7" t="inlineStr">
        <is>
          <t>2708001686</t>
        </is>
      </c>
      <c r="E210" s="6" t="inlineStr">
        <is>
          <t>ООО "Амур Золото"</t>
        </is>
      </c>
      <c r="F210" s="7" t="inlineStr">
        <is>
          <t>2708001686</t>
        </is>
      </c>
      <c r="G210" s="7" t="inlineStr">
        <is>
          <t>Успешно</t>
        </is>
      </c>
      <c r="H210" s="6" t="n"/>
      <c r="I210" s="6" t="n"/>
      <c r="J210" s="6" t="inlineStr">
        <is>
          <t>Пользовательский интерфейс</t>
        </is>
      </c>
      <c r="K210" s="7" t="n">
        <v>2</v>
      </c>
      <c r="L210" s="8" t="n"/>
      <c r="M210" s="137" t="inlineStr">
        <is>
          <t>+</t>
        </is>
      </c>
      <c r="N210" s="8" t="n"/>
      <c r="O210" s="8" t="n"/>
      <c r="P210" s="8" t="n"/>
      <c r="Q210" s="8" t="n"/>
      <c r="R210" s="8" t="n"/>
      <c r="S210" s="8" t="n"/>
      <c r="T210" s="8" t="n"/>
      <c r="U210" s="8" t="n"/>
      <c r="V210" s="8" t="n"/>
      <c r="W210" s="8" t="n"/>
      <c r="X210" s="139" t="n"/>
      <c r="Y210" s="138" t="inlineStr">
        <is>
          <t>+</t>
        </is>
      </c>
    </row>
    <row r="211">
      <c r="A211" s="6" t="inlineStr">
        <is>
          <t>работник 100</t>
        </is>
      </c>
      <c r="B211" s="6" t="inlineStr">
        <is>
          <t>Кухонный рабочий</t>
        </is>
      </c>
      <c r="C211" s="6" t="inlineStr">
        <is>
          <t>ОБЩЕСТВО С ОГРАНИЧЕННОЙ ОТВЕТСТВЕННОСТЬЮ "АМУР ЗОЛОТО"</t>
        </is>
      </c>
      <c r="D211" s="7" t="inlineStr">
        <is>
          <t>2708001686</t>
        </is>
      </c>
      <c r="E211" s="6" t="inlineStr">
        <is>
          <t>ООО "Амур Золото"</t>
        </is>
      </c>
      <c r="F211" s="7" t="inlineStr">
        <is>
          <t>2708001686</t>
        </is>
      </c>
      <c r="G211" s="7" t="inlineStr">
        <is>
          <t>Успешно</t>
        </is>
      </c>
      <c r="H211" s="6" t="n"/>
      <c r="I211" s="6" t="n"/>
      <c r="J211" s="6" t="inlineStr">
        <is>
          <t>Пользовательский интерфейс</t>
        </is>
      </c>
      <c r="K211" s="7" t="n">
        <v>3</v>
      </c>
      <c r="L211" s="8" t="n"/>
      <c r="M211" s="137" t="inlineStr">
        <is>
          <t>+</t>
        </is>
      </c>
      <c r="N211" s="8" t="n"/>
      <c r="O211" s="8" t="n"/>
      <c r="P211" s="8" t="n"/>
      <c r="Q211" s="8" t="n"/>
      <c r="R211" s="8" t="n"/>
      <c r="S211" s="8" t="n"/>
      <c r="T211" s="8" t="n"/>
      <c r="U211" s="8" t="n"/>
      <c r="V211" s="8" t="n"/>
      <c r="W211" s="8" t="n"/>
      <c r="X211" s="137" t="inlineStr">
        <is>
          <t>+</t>
        </is>
      </c>
      <c r="Y211" s="138" t="inlineStr">
        <is>
          <t>+</t>
        </is>
      </c>
    </row>
    <row r="212">
      <c r="A212" s="6" t="inlineStr">
        <is>
          <t>работник 208</t>
        </is>
      </c>
      <c r="B212" s="6" t="inlineStr">
        <is>
          <t>Водитель погрузчика / Машинист погрузочно-доставочной машины (ТГМ) / Машинист погрузочно-доставочной машины (занятый на транспортировании горной массы в технологическом процессе)</t>
        </is>
      </c>
      <c r="C212" s="6" t="inlineStr">
        <is>
          <t>ОБЩЕСТВО С ОГРАНИЧЕННОЙ ОТВЕТСТВЕННОСТЬЮ "АМУР ЗОЛОТО"</t>
        </is>
      </c>
      <c r="D212" s="7" t="inlineStr">
        <is>
          <t>2708001686</t>
        </is>
      </c>
      <c r="E212" s="6" t="inlineStr">
        <is>
          <t>ООО "Амур Золото"</t>
        </is>
      </c>
      <c r="F212" s="7" t="inlineStr">
        <is>
          <t>2708001686</t>
        </is>
      </c>
      <c r="G212" s="7" t="inlineStr">
        <is>
          <t>Успешно</t>
        </is>
      </c>
      <c r="H212" s="6" t="n"/>
      <c r="I212" s="6" t="n"/>
      <c r="J212" s="6" t="inlineStr">
        <is>
          <t>Пользовательский интерфейс</t>
        </is>
      </c>
      <c r="K212" s="7" t="n">
        <v>9</v>
      </c>
      <c r="L212" s="8" t="n"/>
      <c r="M212" s="137" t="inlineStr">
        <is>
          <t>+</t>
        </is>
      </c>
      <c r="N212" s="8" t="n"/>
      <c r="O212" s="8" t="n"/>
      <c r="P212" s="8" t="n"/>
      <c r="Q212" s="8" t="n"/>
      <c r="R212" s="8" t="n"/>
      <c r="S212" s="8" t="n"/>
      <c r="T212" s="8" t="n"/>
      <c r="U212" s="8" t="n"/>
      <c r="V212" s="8" t="n"/>
      <c r="W212" s="8" t="n"/>
      <c r="X212" s="137" t="inlineStr">
        <is>
          <t>+</t>
        </is>
      </c>
      <c r="Y212" s="137" t="inlineStr">
        <is>
          <t>+</t>
        </is>
      </c>
    </row>
    <row r="213">
      <c r="A213" s="6" t="inlineStr">
        <is>
          <t>работник 911</t>
        </is>
      </c>
      <c r="B213" s="6" t="inlineStr">
        <is>
          <t>Инженер-исследователь</t>
        </is>
      </c>
      <c r="C213" s="6" t="inlineStr">
        <is>
          <t>ОБЩЕСТВО С ОГРАНИЧЕННОЙ ОТВЕТСТВЕННОСТЬЮ "АМУР ЗОЛОТО"</t>
        </is>
      </c>
      <c r="D213" s="7" t="inlineStr">
        <is>
          <t>2708001686</t>
        </is>
      </c>
      <c r="E213" s="6" t="inlineStr">
        <is>
          <t>ООО "Амур Золото"</t>
        </is>
      </c>
      <c r="F213" s="7" t="inlineStr">
        <is>
          <t>2708001686</t>
        </is>
      </c>
      <c r="G213" s="7" t="inlineStr">
        <is>
          <t>Успешно</t>
        </is>
      </c>
      <c r="H213" s="6" t="n"/>
      <c r="I213" s="6" t="n"/>
      <c r="J213" s="6" t="inlineStr">
        <is>
          <t>Пользовательский интерфейс</t>
        </is>
      </c>
      <c r="K213" s="7" t="n">
        <v>3</v>
      </c>
      <c r="L213" s="8" t="n"/>
      <c r="M213" s="137" t="inlineStr">
        <is>
          <t>+</t>
        </is>
      </c>
      <c r="N213" s="8" t="n"/>
      <c r="O213" s="8" t="n"/>
      <c r="P213" s="8" t="n"/>
      <c r="Q213" s="8" t="n"/>
      <c r="R213" s="8" t="n"/>
      <c r="S213" s="8" t="n"/>
      <c r="T213" s="8" t="n"/>
      <c r="U213" s="8" t="n"/>
      <c r="V213" s="8" t="n"/>
      <c r="W213" s="8" t="n"/>
      <c r="X213" s="140" t="inlineStr">
        <is>
          <t>+</t>
        </is>
      </c>
      <c r="Y213" s="137" t="inlineStr">
        <is>
          <t>+</t>
        </is>
      </c>
    </row>
    <row r="214">
      <c r="A214" s="6" t="inlineStr">
        <is>
          <t>работник 311</t>
        </is>
      </c>
      <c r="B214" s="6" t="inlineStr">
        <is>
          <t>Помощник машиниста  самоходной буровой установки (с исполнением обязанностей пробоотборщика) (Очистное) / Помощник машиниста самоходной буровой установки (с исполнением обязанностей пробоотборщика)</t>
        </is>
      </c>
      <c r="C214" s="6" t="inlineStr">
        <is>
          <t>ОБЩЕСТВО С ОГРАНИЧЕННОЙ ОТВЕТСТВЕННОСТЬЮ "АМУР ЗОЛОТО"</t>
        </is>
      </c>
      <c r="D214" s="7" t="inlineStr">
        <is>
          <t>2708001686</t>
        </is>
      </c>
      <c r="E214" s="6" t="inlineStr">
        <is>
          <t>ООО "Амур Золото"</t>
        </is>
      </c>
      <c r="F214" s="7" t="inlineStr">
        <is>
          <t>2708001686</t>
        </is>
      </c>
      <c r="G214" s="7" t="inlineStr">
        <is>
          <t>Успешно</t>
        </is>
      </c>
      <c r="H214" s="6" t="n"/>
      <c r="I214" s="6" t="n"/>
      <c r="J214" s="6" t="inlineStr">
        <is>
          <t>Пользовательский интерфейс</t>
        </is>
      </c>
      <c r="K214" s="7" t="n">
        <v>6</v>
      </c>
      <c r="L214" s="8" t="n"/>
      <c r="M214" s="137" t="inlineStr">
        <is>
          <t>+</t>
        </is>
      </c>
      <c r="N214" s="8" t="n"/>
      <c r="O214" s="8" t="n"/>
      <c r="P214" s="8" t="n"/>
      <c r="Q214" s="8" t="n"/>
      <c r="R214" s="8" t="n"/>
      <c r="S214" s="8" t="n"/>
      <c r="T214" s="8" t="n"/>
      <c r="U214" s="8" t="n"/>
      <c r="V214" s="8" t="n"/>
      <c r="W214" s="8" t="n"/>
      <c r="X214" s="137" t="inlineStr">
        <is>
          <t>+</t>
        </is>
      </c>
      <c r="Y214" s="137" t="inlineStr">
        <is>
          <t>+</t>
        </is>
      </c>
    </row>
    <row r="215">
      <c r="A215" s="6" t="inlineStr">
        <is>
          <t>работник 142</t>
        </is>
      </c>
      <c r="B215" s="6" t="inlineStr">
        <is>
          <t>Машинист двигателей внутреннего сгорания</t>
        </is>
      </c>
      <c r="C215" s="6" t="inlineStr">
        <is>
          <t>ОБЩЕСТВО С ОГРАНИЧЕННОЙ ОТВЕТСТВЕННОСТЬЮ "АМУР ЗОЛОТО"</t>
        </is>
      </c>
      <c r="D215" s="7" t="inlineStr">
        <is>
          <t>2708001686</t>
        </is>
      </c>
      <c r="E215" s="6" t="inlineStr">
        <is>
          <t>ООО "Амур Золото"</t>
        </is>
      </c>
      <c r="F215" s="7" t="inlineStr">
        <is>
          <t>2708001686</t>
        </is>
      </c>
      <c r="G215" s="7" t="inlineStr">
        <is>
          <t>Успешно</t>
        </is>
      </c>
      <c r="H215" s="6" t="n"/>
      <c r="I215" s="6" t="n"/>
      <c r="J215" s="6" t="inlineStr">
        <is>
          <t>Пользовательский интерфейс</t>
        </is>
      </c>
      <c r="K215" s="7" t="n">
        <v>3</v>
      </c>
      <c r="L215" s="8" t="n"/>
      <c r="M215" s="137" t="inlineStr">
        <is>
          <t>+</t>
        </is>
      </c>
      <c r="N215" s="8" t="n"/>
      <c r="O215" s="8" t="n"/>
      <c r="P215" s="8" t="n"/>
      <c r="Q215" s="8" t="n"/>
      <c r="R215" s="8" t="n"/>
      <c r="S215" s="8" t="n"/>
      <c r="T215" s="8" t="n"/>
      <c r="U215" s="8" t="n"/>
      <c r="V215" s="8" t="n"/>
      <c r="W215" s="8" t="n"/>
      <c r="X215" s="137" t="inlineStr">
        <is>
          <t>+</t>
        </is>
      </c>
      <c r="Y215" s="137" t="inlineStr">
        <is>
          <t>+</t>
        </is>
      </c>
    </row>
    <row r="216">
      <c r="A216" s="6" t="inlineStr">
        <is>
          <t>работник 312</t>
        </is>
      </c>
      <c r="B216" s="6" t="inlineStr">
        <is>
          <t>Проходчик</t>
        </is>
      </c>
      <c r="C216" s="6" t="inlineStr">
        <is>
          <t>ОБЩЕСТВО С ОГРАНИЧЕННОЙ ОТВЕТСТВЕННОСТЬЮ "АМУР ЗОЛОТО"</t>
        </is>
      </c>
      <c r="D216" s="7" t="inlineStr">
        <is>
          <t>2708001686</t>
        </is>
      </c>
      <c r="E216" s="6" t="inlineStr">
        <is>
          <t>ООО "Амур Золото"</t>
        </is>
      </c>
      <c r="F216" s="7" t="inlineStr">
        <is>
          <t>2708001686</t>
        </is>
      </c>
      <c r="G216" s="7" t="inlineStr">
        <is>
          <t>Успешно</t>
        </is>
      </c>
      <c r="H216" s="6" t="n"/>
      <c r="I216" s="6" t="n"/>
      <c r="J216" s="6" t="inlineStr">
        <is>
          <t>Пользовательский интерфейс</t>
        </is>
      </c>
      <c r="K216" s="7" t="n">
        <v>3</v>
      </c>
      <c r="L216" s="8" t="n"/>
      <c r="M216" s="137" t="inlineStr">
        <is>
          <t>+</t>
        </is>
      </c>
      <c r="N216" s="8" t="n"/>
      <c r="O216" s="8" t="n"/>
      <c r="P216" s="8" t="n"/>
      <c r="Q216" s="8" t="n"/>
      <c r="R216" s="8" t="n"/>
      <c r="S216" s="8" t="n"/>
      <c r="T216" s="8" t="n"/>
      <c r="U216" s="8" t="n"/>
      <c r="V216" s="8" t="n"/>
      <c r="W216" s="8" t="n"/>
      <c r="X216" s="137" t="inlineStr">
        <is>
          <t>+</t>
        </is>
      </c>
      <c r="Y216" s="137" t="inlineStr">
        <is>
          <t>+</t>
        </is>
      </c>
    </row>
    <row r="217">
      <c r="A217" s="6" t="inlineStr">
        <is>
          <t>работник 243</t>
        </is>
      </c>
      <c r="B217" s="6" t="inlineStr">
        <is>
          <t>Слесарь по контрольно-измерительным приборам и автоматике / Фильтровальщик</t>
        </is>
      </c>
      <c r="C217" s="6" t="inlineStr">
        <is>
          <t>ОБЩЕСТВО С ОГРАНИЧЕННОЙ ОТВЕТСТВЕННОСТЬЮ "АМУР ЗОЛОТО"</t>
        </is>
      </c>
      <c r="D217" s="7" t="inlineStr">
        <is>
          <t>2708001686</t>
        </is>
      </c>
      <c r="E217" s="6" t="inlineStr">
        <is>
          <t>ООО "Амур Золото"</t>
        </is>
      </c>
      <c r="F217" s="7" t="inlineStr">
        <is>
          <t>2708001686</t>
        </is>
      </c>
      <c r="G217" s="7" t="inlineStr">
        <is>
          <t>Успешно</t>
        </is>
      </c>
      <c r="H217" s="6" t="n"/>
      <c r="I217" s="6" t="n"/>
      <c r="J217" s="6" t="inlineStr">
        <is>
          <t>Пользовательский интерфейс</t>
        </is>
      </c>
      <c r="K217" s="7" t="n">
        <v>10</v>
      </c>
      <c r="L217" s="8" t="n"/>
      <c r="M217" s="137" t="inlineStr">
        <is>
          <t>+</t>
        </is>
      </c>
      <c r="N217" s="8" t="n"/>
      <c r="O217" s="8" t="n"/>
      <c r="P217" s="8" t="n"/>
      <c r="Q217" s="8" t="n"/>
      <c r="R217" s="8" t="n"/>
      <c r="S217" s="8" t="n"/>
      <c r="T217" s="8" t="n"/>
      <c r="U217" s="8" t="n"/>
      <c r="V217" s="8" t="n"/>
      <c r="W217" s="8" t="n"/>
      <c r="X217" s="137" t="inlineStr">
        <is>
          <t>+</t>
        </is>
      </c>
      <c r="Y217" s="137" t="inlineStr">
        <is>
          <t>+</t>
        </is>
      </c>
    </row>
    <row r="218">
      <c r="A218" s="6" t="inlineStr">
        <is>
          <t>работник 640</t>
        </is>
      </c>
      <c r="B218" s="6" t="inlineStr">
        <is>
          <t>Аппаратчик сгустителей / Аппаратчик-сгустителей</t>
        </is>
      </c>
      <c r="C218" s="6" t="inlineStr">
        <is>
          <t>ОБЩЕСТВО С ОГРАНИЧЕННОЙ ОТВЕТСТВЕННОСТЬЮ "АМУР ЗОЛОТО"</t>
        </is>
      </c>
      <c r="D218" s="7" t="inlineStr">
        <is>
          <t>2708001686</t>
        </is>
      </c>
      <c r="E218" s="6" t="inlineStr">
        <is>
          <t>ООО "Амур Золото"</t>
        </is>
      </c>
      <c r="F218" s="7" t="inlineStr">
        <is>
          <t>2708001686</t>
        </is>
      </c>
      <c r="G218" s="7" t="inlineStr">
        <is>
          <t>Успешно</t>
        </is>
      </c>
      <c r="H218" s="6" t="n"/>
      <c r="I218" s="6" t="n"/>
      <c r="J218" s="6" t="inlineStr">
        <is>
          <t>Пользовательский интерфейс</t>
        </is>
      </c>
      <c r="K218" s="7" t="n">
        <v>4</v>
      </c>
      <c r="L218" s="8" t="n"/>
      <c r="M218" s="137" t="inlineStr">
        <is>
          <t>+</t>
        </is>
      </c>
      <c r="N218" s="137" t="inlineStr">
        <is>
          <t>+</t>
        </is>
      </c>
      <c r="O218" s="8" t="n"/>
      <c r="P218" s="137" t="inlineStr">
        <is>
          <t>+</t>
        </is>
      </c>
      <c r="Q218" s="8" t="n"/>
      <c r="R218" s="8" t="n"/>
      <c r="S218" s="8" t="n"/>
      <c r="T218" s="8" t="n"/>
      <c r="U218" s="8" t="n"/>
      <c r="V218" s="8" t="n"/>
      <c r="W218" s="8" t="n"/>
      <c r="X218" s="139" t="n"/>
      <c r="Y218" s="137" t="inlineStr">
        <is>
          <t>+</t>
        </is>
      </c>
    </row>
    <row r="219">
      <c r="A219" s="6" t="inlineStr">
        <is>
          <t>работник 916</t>
        </is>
      </c>
      <c r="B219" s="6" t="inlineStr">
        <is>
          <t>Фильтровальщик</t>
        </is>
      </c>
      <c r="C219" s="6" t="inlineStr">
        <is>
          <t>ОБЩЕСТВО С ОГРАНИЧЕННОЙ ОТВЕТСТВЕННОСТЬЮ "АМУР ЗОЛОТО"</t>
        </is>
      </c>
      <c r="D219" s="7" t="inlineStr">
        <is>
          <t>2708001686</t>
        </is>
      </c>
      <c r="E219" s="6" t="inlineStr">
        <is>
          <t>ООО "Амур Золото"</t>
        </is>
      </c>
      <c r="F219" s="7" t="inlineStr">
        <is>
          <t>2708001686</t>
        </is>
      </c>
      <c r="G219" s="7" t="inlineStr">
        <is>
          <t>Успешно</t>
        </is>
      </c>
      <c r="H219" s="6" t="n"/>
      <c r="I219" s="6" t="n"/>
      <c r="J219" s="6" t="inlineStr">
        <is>
          <t>Пользовательский интерфейс</t>
        </is>
      </c>
      <c r="K219" s="7" t="n">
        <v>3</v>
      </c>
      <c r="L219" s="8" t="n"/>
      <c r="M219" s="137" t="inlineStr">
        <is>
          <t>+</t>
        </is>
      </c>
      <c r="N219" s="8" t="n"/>
      <c r="O219" s="8" t="n"/>
      <c r="P219" s="8" t="n"/>
      <c r="Q219" s="8" t="n"/>
      <c r="R219" s="8" t="n"/>
      <c r="S219" s="8" t="n"/>
      <c r="T219" s="8" t="n"/>
      <c r="U219" s="8" t="n"/>
      <c r="V219" s="8" t="n"/>
      <c r="W219" s="8" t="n"/>
      <c r="X219" s="137" t="inlineStr">
        <is>
          <t>+</t>
        </is>
      </c>
      <c r="Y219" s="137" t="inlineStr">
        <is>
          <t>+</t>
        </is>
      </c>
    </row>
    <row r="220">
      <c r="A220" s="6" t="inlineStr">
        <is>
          <t>работник 209</t>
        </is>
      </c>
      <c r="B220" s="6" t="inlineStr">
        <is>
          <t>Водитель автомобиля(занятый на траспортировании горной массы в технологическом процессе)</t>
        </is>
      </c>
      <c r="C220" s="6" t="inlineStr">
        <is>
          <t>ОБЩЕСТВО С ОГРАНИЧЕННОЙ ОТВЕТСТВЕННОСТЬЮ "АМУР ЗОЛОТО"</t>
        </is>
      </c>
      <c r="D220" s="7" t="inlineStr">
        <is>
          <t>2708001686</t>
        </is>
      </c>
      <c r="E220" s="6" t="inlineStr">
        <is>
          <t>ООО "Амур Золото"</t>
        </is>
      </c>
      <c r="F220" s="7" t="inlineStr">
        <is>
          <t>2708001686</t>
        </is>
      </c>
      <c r="G220" s="7" t="inlineStr">
        <is>
          <t>Успешно</t>
        </is>
      </c>
      <c r="H220" s="6" t="n"/>
      <c r="I220" s="6" t="n"/>
      <c r="J220" s="6" t="inlineStr">
        <is>
          <t>Пользовательский интерфейс</t>
        </is>
      </c>
      <c r="K220" s="7" t="n">
        <v>3</v>
      </c>
      <c r="L220" s="8" t="n"/>
      <c r="M220" s="137" t="inlineStr">
        <is>
          <t>+</t>
        </is>
      </c>
      <c r="N220" s="8" t="n"/>
      <c r="O220" s="8" t="n"/>
      <c r="P220" s="8" t="n"/>
      <c r="Q220" s="8" t="n"/>
      <c r="R220" s="8" t="n"/>
      <c r="S220" s="8" t="n"/>
      <c r="T220" s="8" t="n"/>
      <c r="U220" s="8" t="n"/>
      <c r="V220" s="8" t="n"/>
      <c r="W220" s="8" t="n"/>
      <c r="X220" s="137" t="inlineStr">
        <is>
          <t>+</t>
        </is>
      </c>
      <c r="Y220" s="137" t="inlineStr">
        <is>
          <t>+</t>
        </is>
      </c>
    </row>
    <row r="221">
      <c r="A221" s="6" t="inlineStr">
        <is>
          <t>работник 805</t>
        </is>
      </c>
      <c r="B221" s="6" t="inlineStr">
        <is>
          <t>Машинист экскаватора</t>
        </is>
      </c>
      <c r="C221" s="6" t="inlineStr">
        <is>
          <t>ОБЩЕСТВО С ОГРАНИЧЕННОЙ ОТВЕТСТВЕННОСТЬЮ "АМУР ЗОЛОТО"</t>
        </is>
      </c>
      <c r="D221" s="7" t="inlineStr">
        <is>
          <t>2708001686</t>
        </is>
      </c>
      <c r="E221" s="6" t="inlineStr">
        <is>
          <t>ООО "Амур Золото"</t>
        </is>
      </c>
      <c r="F221" s="7" t="inlineStr">
        <is>
          <t>2708001686</t>
        </is>
      </c>
      <c r="G221" s="7" t="inlineStr">
        <is>
          <t>Успешно</t>
        </is>
      </c>
      <c r="H221" s="6" t="n"/>
      <c r="I221" s="6" t="n"/>
      <c r="J221" s="6" t="inlineStr">
        <is>
          <t>Пользовательский интерфейс</t>
        </is>
      </c>
      <c r="K221" s="7" t="n">
        <v>2</v>
      </c>
      <c r="L221" s="8" t="n"/>
      <c r="M221" s="137" t="inlineStr">
        <is>
          <t>+</t>
        </is>
      </c>
      <c r="N221" s="8" t="n"/>
      <c r="O221" s="8" t="n"/>
      <c r="P221" s="8" t="n"/>
      <c r="Q221" s="8" t="n"/>
      <c r="R221" s="8" t="n"/>
      <c r="S221" s="8" t="n"/>
      <c r="T221" s="8" t="n"/>
      <c r="U221" s="8" t="n"/>
      <c r="V221" s="8" t="n"/>
      <c r="W221" s="8" t="n"/>
      <c r="X221" s="139" t="n"/>
      <c r="Y221" s="137" t="inlineStr">
        <is>
          <t>+</t>
        </is>
      </c>
    </row>
    <row r="222">
      <c r="A222" s="6" t="inlineStr">
        <is>
          <t>работник 928</t>
        </is>
      </c>
      <c r="B222" s="6" t="inlineStr">
        <is>
          <t>Фильтровальщик</t>
        </is>
      </c>
      <c r="C222" s="6" t="inlineStr">
        <is>
          <t>ОБЩЕСТВО С ОГРАНИЧЕННОЙ ОТВЕТСТВЕННОСТЬЮ "АМУР ЗОЛОТО"</t>
        </is>
      </c>
      <c r="D222" s="7" t="inlineStr">
        <is>
          <t>2708001686</t>
        </is>
      </c>
      <c r="E222" s="6" t="inlineStr">
        <is>
          <t>ООО "Амур Золото"</t>
        </is>
      </c>
      <c r="F222" s="7" t="inlineStr">
        <is>
          <t>2708001686</t>
        </is>
      </c>
      <c r="G222" s="7" t="inlineStr">
        <is>
          <t>Успешно</t>
        </is>
      </c>
      <c r="H222" s="6" t="n"/>
      <c r="I222" s="6" t="n"/>
      <c r="J222" s="6" t="inlineStr">
        <is>
          <t>Пользовательский интерфейс</t>
        </is>
      </c>
      <c r="K222" s="7" t="n">
        <v>3</v>
      </c>
      <c r="L222" s="8" t="n"/>
      <c r="M222" s="137" t="inlineStr">
        <is>
          <t>+</t>
        </is>
      </c>
      <c r="N222" s="8" t="n"/>
      <c r="O222" s="8" t="n"/>
      <c r="P222" s="8" t="n"/>
      <c r="Q222" s="8" t="n"/>
      <c r="R222" s="8" t="n"/>
      <c r="S222" s="8" t="n"/>
      <c r="T222" s="8" t="n"/>
      <c r="U222" s="8" t="n"/>
      <c r="V222" s="8" t="n"/>
      <c r="W222" s="8" t="n"/>
      <c r="X222" s="137" t="inlineStr">
        <is>
          <t>+</t>
        </is>
      </c>
      <c r="Y222" s="137" t="inlineStr">
        <is>
          <t>+</t>
        </is>
      </c>
    </row>
    <row r="223">
      <c r="A223" s="6" t="inlineStr">
        <is>
          <t>работник 685</t>
        </is>
      </c>
      <c r="B223" s="6" t="inlineStr">
        <is>
          <t>Подсобный рабочий</t>
        </is>
      </c>
      <c r="C223" s="6" t="inlineStr">
        <is>
          <t>ОБЩЕСТВО С ОГРАНИЧЕННОЙ ОТВЕТСТВЕННОСТЬЮ "АМУР ЗОЛОТО"</t>
        </is>
      </c>
      <c r="D223" s="7" t="inlineStr">
        <is>
          <t>2708001686</t>
        </is>
      </c>
      <c r="E223" s="6" t="inlineStr">
        <is>
          <t>ООО "Амур Золото"</t>
        </is>
      </c>
      <c r="F223" s="7" t="inlineStr">
        <is>
          <t>2708001686</t>
        </is>
      </c>
      <c r="G223" s="7" t="inlineStr">
        <is>
          <t>Успешно</t>
        </is>
      </c>
      <c r="H223" s="6" t="n"/>
      <c r="I223" s="6" t="n"/>
      <c r="J223" s="6" t="inlineStr">
        <is>
          <t>Пользовательский интерфейс</t>
        </is>
      </c>
      <c r="K223" s="7" t="n">
        <v>2</v>
      </c>
      <c r="L223" s="8" t="n"/>
      <c r="M223" s="137" t="inlineStr">
        <is>
          <t>+</t>
        </is>
      </c>
      <c r="N223" s="8" t="n"/>
      <c r="O223" s="8" t="n"/>
      <c r="P223" s="8" t="n"/>
      <c r="Q223" s="8" t="n"/>
      <c r="R223" s="8" t="n"/>
      <c r="S223" s="8" t="n"/>
      <c r="T223" s="8" t="n"/>
      <c r="U223" s="8" t="n"/>
      <c r="V223" s="8" t="n"/>
      <c r="W223" s="8" t="n"/>
      <c r="X223" s="139" t="n"/>
      <c r="Y223" s="137" t="inlineStr">
        <is>
          <t>+</t>
        </is>
      </c>
    </row>
    <row r="224">
      <c r="A224" s="6" t="inlineStr">
        <is>
          <t>работник 419</t>
        </is>
      </c>
      <c r="B224" s="6" t="inlineStr">
        <is>
          <t>Плотник</t>
        </is>
      </c>
      <c r="C224" s="6" t="inlineStr">
        <is>
          <t>ОБЩЕСТВО С ОГРАНИЧЕННОЙ ОТВЕТСТВЕННОСТЬЮ "АМУР ЗОЛОТО"</t>
        </is>
      </c>
      <c r="D224" s="7" t="inlineStr">
        <is>
          <t>2708001686</t>
        </is>
      </c>
      <c r="E224" s="6" t="inlineStr">
        <is>
          <t>ООО "Амур Золото"</t>
        </is>
      </c>
      <c r="F224" s="7" t="inlineStr">
        <is>
          <t>2708001686</t>
        </is>
      </c>
      <c r="G224" s="7" t="inlineStr">
        <is>
          <t>Успешно</t>
        </is>
      </c>
      <c r="H224" s="6" t="n"/>
      <c r="I224" s="6" t="n"/>
      <c r="J224" s="6" t="inlineStr">
        <is>
          <t>Пользовательский интерфейс</t>
        </is>
      </c>
      <c r="K224" s="7" t="n">
        <v>2</v>
      </c>
      <c r="L224" s="8" t="n"/>
      <c r="M224" s="137" t="inlineStr">
        <is>
          <t>+</t>
        </is>
      </c>
      <c r="N224" s="8" t="n"/>
      <c r="O224" s="8" t="n"/>
      <c r="P224" s="8" t="n"/>
      <c r="Q224" s="8" t="n"/>
      <c r="R224" s="8" t="n"/>
      <c r="S224" s="8" t="n"/>
      <c r="T224" s="8" t="n"/>
      <c r="U224" s="8" t="n"/>
      <c r="V224" s="8" t="n"/>
      <c r="W224" s="8" t="n"/>
      <c r="X224" s="139" t="n"/>
      <c r="Y224" s="137" t="inlineStr">
        <is>
          <t>+</t>
        </is>
      </c>
    </row>
    <row r="225">
      <c r="A225" s="6" t="inlineStr">
        <is>
          <t>работник 400</t>
        </is>
      </c>
      <c r="B225" s="6" t="inlineStr">
        <is>
          <t>Водитель погрузчика</t>
        </is>
      </c>
      <c r="C225" s="6" t="inlineStr">
        <is>
          <t>ОБЩЕСТВО С ОГРАНИЧЕННОЙ ОТВЕТСТВЕННОСТЬЮ "АМУР ЗОЛОТО"</t>
        </is>
      </c>
      <c r="D225" s="7" t="inlineStr">
        <is>
          <t>2708001686</t>
        </is>
      </c>
      <c r="E225" s="6" t="inlineStr">
        <is>
          <t>ООО "Амур Золото"</t>
        </is>
      </c>
      <c r="F225" s="7" t="inlineStr">
        <is>
          <t>2708001686</t>
        </is>
      </c>
      <c r="G225" s="7" t="inlineStr">
        <is>
          <t>Успешно</t>
        </is>
      </c>
      <c r="H225" s="6" t="n"/>
      <c r="I225" s="6" t="n"/>
      <c r="J225" s="6" t="inlineStr">
        <is>
          <t>Пользовательский интерфейс</t>
        </is>
      </c>
      <c r="K225" s="7" t="n">
        <v>2</v>
      </c>
      <c r="L225" s="8" t="n"/>
      <c r="M225" s="137" t="inlineStr">
        <is>
          <t>+</t>
        </is>
      </c>
      <c r="N225" s="8" t="n"/>
      <c r="O225" s="8" t="n"/>
      <c r="P225" s="8" t="n"/>
      <c r="Q225" s="8" t="n"/>
      <c r="R225" s="8" t="n"/>
      <c r="S225" s="8" t="n"/>
      <c r="T225" s="8" t="n"/>
      <c r="U225" s="8" t="n"/>
      <c r="V225" s="8" t="n"/>
      <c r="W225" s="8" t="n"/>
      <c r="X225" s="139" t="n"/>
      <c r="Y225" s="137" t="inlineStr">
        <is>
          <t>+</t>
        </is>
      </c>
    </row>
    <row r="226">
      <c r="A226" s="6" t="inlineStr">
        <is>
          <t>работник 904</t>
        </is>
      </c>
      <c r="B226" s="6" t="inlineStr">
        <is>
          <t>Водитель автомобиля для перевозки взрывчатых материалов</t>
        </is>
      </c>
      <c r="C226" s="6" t="inlineStr">
        <is>
          <t>ОБЩЕСТВО С ОГРАНИЧЕННОЙ ОТВЕТСТВЕННОСТЬЮ "АМУР ЗОЛОТО"</t>
        </is>
      </c>
      <c r="D226" s="7" t="inlineStr">
        <is>
          <t>2708001686</t>
        </is>
      </c>
      <c r="E226" s="6" t="inlineStr">
        <is>
          <t>ООО "Амур Золото"</t>
        </is>
      </c>
      <c r="F226" s="7" t="inlineStr">
        <is>
          <t>2708001686</t>
        </is>
      </c>
      <c r="G226" s="7" t="inlineStr">
        <is>
          <t>Успешно</t>
        </is>
      </c>
      <c r="H226" s="6" t="n"/>
      <c r="I226" s="6" t="n"/>
      <c r="J226" s="6" t="inlineStr">
        <is>
          <t>Пользовательский интерфейс</t>
        </is>
      </c>
      <c r="K226" s="7" t="n">
        <v>3</v>
      </c>
      <c r="L226" s="8" t="n"/>
      <c r="M226" s="137" t="inlineStr">
        <is>
          <t>+</t>
        </is>
      </c>
      <c r="N226" s="8" t="n"/>
      <c r="O226" s="8" t="n"/>
      <c r="P226" s="8" t="n"/>
      <c r="Q226" s="8" t="n"/>
      <c r="R226" s="8" t="n"/>
      <c r="S226" s="8" t="n"/>
      <c r="T226" s="8" t="n"/>
      <c r="U226" s="8" t="n"/>
      <c r="V226" s="8" t="n"/>
      <c r="W226" s="8" t="n"/>
      <c r="X226" s="137" t="inlineStr">
        <is>
          <t>+</t>
        </is>
      </c>
      <c r="Y226" s="137" t="inlineStr">
        <is>
          <t>+</t>
        </is>
      </c>
    </row>
    <row r="227">
      <c r="A227" s="6" t="inlineStr">
        <is>
          <t>работник 184</t>
        </is>
      </c>
      <c r="B227" s="6" t="inlineStr">
        <is>
          <t>Водитель погрузчика / Водитель автомобиля (занятый на транспортировании горной массы в технологическом процессе)</t>
        </is>
      </c>
      <c r="C227" s="6" t="inlineStr">
        <is>
          <t>ОБЩЕСТВО С ОГРАНИЧЕННОЙ ОТВЕТСТВЕННОСТЬЮ "АМУР ЗОЛОТО"</t>
        </is>
      </c>
      <c r="D227" s="7" t="inlineStr">
        <is>
          <t>2708001686</t>
        </is>
      </c>
      <c r="E227" s="6" t="inlineStr">
        <is>
          <t>ООО "Амур Золото"</t>
        </is>
      </c>
      <c r="F227" s="7" t="inlineStr">
        <is>
          <t>2708001686</t>
        </is>
      </c>
      <c r="G227" s="7" t="inlineStr">
        <is>
          <t>Успешно</t>
        </is>
      </c>
      <c r="H227" s="6" t="n"/>
      <c r="I227" s="6" t="n"/>
      <c r="J227" s="6" t="inlineStr">
        <is>
          <t>Пользовательский интерфейс</t>
        </is>
      </c>
      <c r="K227" s="7" t="n">
        <v>5</v>
      </c>
      <c r="L227" s="8" t="n"/>
      <c r="M227" s="137" t="inlineStr">
        <is>
          <t>+</t>
        </is>
      </c>
      <c r="N227" s="8" t="n"/>
      <c r="O227" s="8" t="n"/>
      <c r="P227" s="8" t="n"/>
      <c r="Q227" s="8" t="n"/>
      <c r="R227" s="8" t="n"/>
      <c r="S227" s="8" t="n"/>
      <c r="T227" s="8" t="n"/>
      <c r="U227" s="8" t="n"/>
      <c r="V227" s="8" t="n"/>
      <c r="W227" s="8" t="n"/>
      <c r="X227" s="137" t="inlineStr">
        <is>
          <t>+</t>
        </is>
      </c>
      <c r="Y227" s="137" t="inlineStr">
        <is>
          <t>+</t>
        </is>
      </c>
    </row>
    <row r="228">
      <c r="A228" s="6" t="inlineStr">
        <is>
          <t>работник 197</t>
        </is>
      </c>
      <c r="B228" s="6" t="inlineStr">
        <is>
          <t>Водитель автомобиля(занятый на траспортировании горной массы в технологическом процессе) / Водитель автомобиля (занятый на транспортировании горной массы в технологическом процессе</t>
        </is>
      </c>
      <c r="C228" s="6" t="inlineStr">
        <is>
          <t>ОБЩЕСТВО С ОГРАНИЧЕННОЙ ОТВЕТСТВЕННОСТЬЮ "АМУР ЗОЛОТО"</t>
        </is>
      </c>
      <c r="D228" s="7" t="inlineStr">
        <is>
          <t>2708001686</t>
        </is>
      </c>
      <c r="E228" s="6" t="inlineStr">
        <is>
          <t>ООО "Амур Золото"</t>
        </is>
      </c>
      <c r="F228" s="7" t="inlineStr">
        <is>
          <t>2708001686</t>
        </is>
      </c>
      <c r="G228" s="7" t="inlineStr">
        <is>
          <t>Успешно</t>
        </is>
      </c>
      <c r="H228" s="6" t="n"/>
      <c r="I228" s="6" t="n"/>
      <c r="J228" s="6" t="inlineStr">
        <is>
          <t>Пользовательский интерфейс</t>
        </is>
      </c>
      <c r="K228" s="7" t="n">
        <v>5</v>
      </c>
      <c r="L228" s="8" t="n"/>
      <c r="M228" s="137" t="inlineStr">
        <is>
          <t>+</t>
        </is>
      </c>
      <c r="N228" s="8" t="n"/>
      <c r="O228" s="8" t="n"/>
      <c r="P228" s="8" t="n"/>
      <c r="Q228" s="8" t="n"/>
      <c r="R228" s="8" t="n"/>
      <c r="S228" s="8" t="n"/>
      <c r="T228" s="8" t="n"/>
      <c r="U228" s="8" t="n"/>
      <c r="V228" s="8" t="n"/>
      <c r="W228" s="8" t="n"/>
      <c r="X228" s="137" t="inlineStr">
        <is>
          <t>+</t>
        </is>
      </c>
      <c r="Y228" s="137" t="inlineStr">
        <is>
          <t>+</t>
        </is>
      </c>
    </row>
    <row r="229">
      <c r="A229" s="6" t="inlineStr">
        <is>
          <t>работник 515</t>
        </is>
      </c>
      <c r="B229" s="6" t="inlineStr">
        <is>
          <t>Машинист бульдозера</t>
        </is>
      </c>
      <c r="C229" s="6" t="inlineStr">
        <is>
          <t>ОБЩЕСТВО С ОГРАНИЧЕННОЙ ОТВЕТСТВЕННОСТЬЮ "АМУР ЗОЛОТО"</t>
        </is>
      </c>
      <c r="D229" s="7" t="inlineStr">
        <is>
          <t>2708001686</t>
        </is>
      </c>
      <c r="E229" s="6" t="inlineStr">
        <is>
          <t>ООО "Амур Золото"</t>
        </is>
      </c>
      <c r="F229" s="7" t="inlineStr">
        <is>
          <t>2708001686</t>
        </is>
      </c>
      <c r="G229" s="7" t="inlineStr">
        <is>
          <t>Успешно</t>
        </is>
      </c>
      <c r="H229" s="6" t="n"/>
      <c r="I229" s="6" t="n"/>
      <c r="J229" s="6" t="inlineStr">
        <is>
          <t>Пользовательский интерфейс</t>
        </is>
      </c>
      <c r="K229" s="7" t="n">
        <v>2</v>
      </c>
      <c r="L229" s="8" t="n"/>
      <c r="M229" s="137" t="inlineStr">
        <is>
          <t>+</t>
        </is>
      </c>
      <c r="N229" s="8" t="n"/>
      <c r="O229" s="8" t="n"/>
      <c r="P229" s="8" t="n"/>
      <c r="Q229" s="8" t="n"/>
      <c r="R229" s="8" t="n"/>
      <c r="S229" s="8" t="n"/>
      <c r="T229" s="8" t="n"/>
      <c r="U229" s="8" t="n"/>
      <c r="V229" s="8" t="n"/>
      <c r="W229" s="8" t="n"/>
      <c r="X229" s="139" t="n"/>
      <c r="Y229" s="137" t="inlineStr">
        <is>
          <t>+</t>
        </is>
      </c>
    </row>
    <row r="230">
      <c r="A230" s="6" t="inlineStr">
        <is>
          <t>работник 143</t>
        </is>
      </c>
      <c r="B230" s="6" t="inlineStr">
        <is>
          <t>Оператор дизельных котлов</t>
        </is>
      </c>
      <c r="C230" s="6" t="inlineStr">
        <is>
          <t>ОБЩЕСТВО С ОГРАНИЧЕННОЙ ОТВЕТСТВЕННОСТЬЮ "АМУР ЗОЛОТО"</t>
        </is>
      </c>
      <c r="D230" s="7" t="inlineStr">
        <is>
          <t>2708001686</t>
        </is>
      </c>
      <c r="E230" s="6" t="inlineStr">
        <is>
          <t>ООО "Амур Золото"</t>
        </is>
      </c>
      <c r="F230" s="7" t="inlineStr">
        <is>
          <t>2708001686</t>
        </is>
      </c>
      <c r="G230" s="7" t="inlineStr">
        <is>
          <t>Успешно</t>
        </is>
      </c>
      <c r="H230" s="6" t="n"/>
      <c r="I230" s="6" t="n"/>
      <c r="J230" s="6" t="inlineStr">
        <is>
          <t>Пользовательский интерфейс</t>
        </is>
      </c>
      <c r="K230" s="7" t="n">
        <v>3</v>
      </c>
      <c r="L230" s="8" t="n"/>
      <c r="M230" s="137" t="inlineStr">
        <is>
          <t>+</t>
        </is>
      </c>
      <c r="N230" s="8" t="n"/>
      <c r="O230" s="8" t="n"/>
      <c r="P230" s="8" t="n"/>
      <c r="Q230" s="8" t="n"/>
      <c r="R230" s="8" t="n"/>
      <c r="S230" s="8" t="n"/>
      <c r="T230" s="8" t="n"/>
      <c r="U230" s="8" t="n"/>
      <c r="V230" s="8" t="n"/>
      <c r="W230" s="8" t="n"/>
      <c r="X230" s="137" t="inlineStr">
        <is>
          <t>+</t>
        </is>
      </c>
      <c r="Y230" s="137" t="inlineStr">
        <is>
          <t>+</t>
        </is>
      </c>
    </row>
    <row r="231">
      <c r="A231" s="6" t="inlineStr">
        <is>
          <t>работник 250</t>
        </is>
      </c>
      <c r="B231" s="6" t="inlineStr">
        <is>
          <t>Аппаратчик-гидрометаллург / Флотатор</t>
        </is>
      </c>
      <c r="C231" s="6" t="inlineStr">
        <is>
          <t>ОБЩЕСТВО С ОГРАНИЧЕННОЙ ОТВЕТСТВЕННОСТЬЮ "АМУР ЗОЛОТО"</t>
        </is>
      </c>
      <c r="D231" s="7" t="inlineStr">
        <is>
          <t>2708001686</t>
        </is>
      </c>
      <c r="E231" s="6" t="inlineStr">
        <is>
          <t>ООО "Амур Золото"</t>
        </is>
      </c>
      <c r="F231" s="7" t="inlineStr">
        <is>
          <t>2708001686</t>
        </is>
      </c>
      <c r="G231" s="7" t="inlineStr">
        <is>
          <t>Успешно</t>
        </is>
      </c>
      <c r="H231" s="6" t="n"/>
      <c r="I231" s="6" t="n"/>
      <c r="J231" s="6" t="inlineStr">
        <is>
          <t>Пользовательский интерфейс</t>
        </is>
      </c>
      <c r="K231" s="7" t="n">
        <v>6</v>
      </c>
      <c r="L231" s="8" t="n"/>
      <c r="M231" s="137" t="inlineStr">
        <is>
          <t>+</t>
        </is>
      </c>
      <c r="N231" s="8" t="n"/>
      <c r="O231" s="8" t="n"/>
      <c r="P231" s="8" t="n"/>
      <c r="Q231" s="8" t="n"/>
      <c r="R231" s="8" t="n"/>
      <c r="S231" s="8" t="n"/>
      <c r="T231" s="8" t="n"/>
      <c r="U231" s="8" t="n"/>
      <c r="V231" s="8" t="n"/>
      <c r="W231" s="8" t="n"/>
      <c r="X231" s="137" t="inlineStr">
        <is>
          <t>+</t>
        </is>
      </c>
      <c r="Y231" s="137" t="inlineStr">
        <is>
          <t>+</t>
        </is>
      </c>
    </row>
    <row r="232">
      <c r="A232" s="6" t="inlineStr">
        <is>
          <t>работник 639</t>
        </is>
      </c>
      <c r="B232" s="6" t="inlineStr">
        <is>
          <t>Фильтровальщик</t>
        </is>
      </c>
      <c r="C232" s="6" t="inlineStr">
        <is>
          <t>ОБЩЕСТВО С ОГРАНИЧЕННОЙ ОТВЕТСТВЕННОСТЬЮ "АМУР ЗОЛОТО"</t>
        </is>
      </c>
      <c r="D232" s="7" t="inlineStr">
        <is>
          <t>2708001686</t>
        </is>
      </c>
      <c r="E232" s="6" t="inlineStr">
        <is>
          <t>ООО "Амур Золото"</t>
        </is>
      </c>
      <c r="F232" s="7" t="inlineStr">
        <is>
          <t>2708001686</t>
        </is>
      </c>
      <c r="G232" s="7" t="inlineStr">
        <is>
          <t>Успешно</t>
        </is>
      </c>
      <c r="H232" s="6" t="n"/>
      <c r="I232" s="6" t="n"/>
      <c r="J232" s="6" t="inlineStr">
        <is>
          <t>Пользовательский интерфейс</t>
        </is>
      </c>
      <c r="K232" s="7" t="n">
        <v>2</v>
      </c>
      <c r="L232" s="8" t="n"/>
      <c r="M232" s="137" t="inlineStr">
        <is>
          <t>+</t>
        </is>
      </c>
      <c r="N232" s="8" t="n"/>
      <c r="O232" s="8" t="n"/>
      <c r="P232" s="8" t="n"/>
      <c r="Q232" s="8" t="n"/>
      <c r="R232" s="8" t="n"/>
      <c r="S232" s="8" t="n"/>
      <c r="T232" s="8" t="n"/>
      <c r="U232" s="8" t="n"/>
      <c r="V232" s="8" t="n"/>
      <c r="W232" s="8" t="n"/>
      <c r="X232" s="139" t="n"/>
      <c r="Y232" s="137" t="inlineStr">
        <is>
          <t>+</t>
        </is>
      </c>
    </row>
    <row r="233">
      <c r="A233" s="6" t="inlineStr">
        <is>
          <t>работник 636</t>
        </is>
      </c>
      <c r="B233" s="6" t="inlineStr">
        <is>
          <t>Грузчик / Аппаратчик-гидрометаллург</t>
        </is>
      </c>
      <c r="C233" s="6" t="inlineStr">
        <is>
          <t>ОБЩЕСТВО С ОГРАНИЧЕННОЙ ОТВЕТСТВЕННОСТЬЮ "АМУР ЗОЛОТО"</t>
        </is>
      </c>
      <c r="D233" s="7" t="inlineStr">
        <is>
          <t>2708001686</t>
        </is>
      </c>
      <c r="E233" s="6" t="inlineStr">
        <is>
          <t>ООО "Амур Золото"</t>
        </is>
      </c>
      <c r="F233" s="7" t="inlineStr">
        <is>
          <t>2708001686</t>
        </is>
      </c>
      <c r="G233" s="7" t="inlineStr">
        <is>
          <t>Успешно</t>
        </is>
      </c>
      <c r="H233" s="6" t="n"/>
      <c r="I233" s="6" t="n"/>
      <c r="J233" s="6" t="inlineStr">
        <is>
          <t>Пользовательский интерфейс</t>
        </is>
      </c>
      <c r="K233" s="7" t="n">
        <v>8</v>
      </c>
      <c r="L233" s="8" t="n"/>
      <c r="M233" s="137" t="inlineStr">
        <is>
          <t>+</t>
        </is>
      </c>
      <c r="N233" s="8" t="n"/>
      <c r="O233" s="8" t="n"/>
      <c r="P233" s="8" t="n"/>
      <c r="Q233" s="8" t="n"/>
      <c r="R233" s="8" t="n"/>
      <c r="S233" s="8" t="n"/>
      <c r="T233" s="8" t="n"/>
      <c r="U233" s="8" t="n"/>
      <c r="V233" s="8" t="n"/>
      <c r="W233" s="8" t="n"/>
      <c r="X233" s="137" t="inlineStr">
        <is>
          <t>+</t>
        </is>
      </c>
      <c r="Y233" s="137" t="inlineStr">
        <is>
          <t>+</t>
        </is>
      </c>
    </row>
    <row r="234">
      <c r="A234" s="6" t="inlineStr">
        <is>
          <t>работник 791</t>
        </is>
      </c>
      <c r="B234" s="6" t="inlineStr">
        <is>
          <t>Машинист экскаватора</t>
        </is>
      </c>
      <c r="C234" s="6" t="inlineStr">
        <is>
          <t>ОБЩЕСТВО С ОГРАНИЧЕННОЙ ОТВЕТСТВЕННОСТЬЮ "АМУР ЗОЛОТО"</t>
        </is>
      </c>
      <c r="D234" s="7" t="inlineStr">
        <is>
          <t>2708001686</t>
        </is>
      </c>
      <c r="E234" s="6" t="inlineStr">
        <is>
          <t>ООО "Амур Золото"</t>
        </is>
      </c>
      <c r="F234" s="7" t="inlineStr">
        <is>
          <t>2708001686</t>
        </is>
      </c>
      <c r="G234" s="7" t="inlineStr">
        <is>
          <t>Успешно</t>
        </is>
      </c>
      <c r="H234" s="6" t="n"/>
      <c r="I234" s="6" t="n"/>
      <c r="J234" s="6" t="inlineStr">
        <is>
          <t>Пользовательский интерфейс</t>
        </is>
      </c>
      <c r="K234" s="7" t="n">
        <v>3</v>
      </c>
      <c r="L234" s="8" t="n"/>
      <c r="M234" s="137" t="inlineStr">
        <is>
          <t>+</t>
        </is>
      </c>
      <c r="N234" s="8" t="n"/>
      <c r="O234" s="8" t="n"/>
      <c r="P234" s="8" t="n"/>
      <c r="Q234" s="8" t="n"/>
      <c r="R234" s="8" t="n"/>
      <c r="S234" s="8" t="n"/>
      <c r="T234" s="8" t="n"/>
      <c r="U234" s="8" t="n"/>
      <c r="V234" s="8" t="n"/>
      <c r="W234" s="8" t="n"/>
      <c r="X234" s="137" t="inlineStr">
        <is>
          <t>+</t>
        </is>
      </c>
      <c r="Y234" s="137" t="inlineStr">
        <is>
          <t>+</t>
        </is>
      </c>
    </row>
    <row r="235">
      <c r="A235" s="6" t="inlineStr">
        <is>
          <t>работник 446</t>
        </is>
      </c>
      <c r="B235" s="6" t="inlineStr">
        <is>
          <t>Бункеровщик</t>
        </is>
      </c>
      <c r="C235" s="6" t="inlineStr">
        <is>
          <t>ОБЩЕСТВО С ОГРАНИЧЕННОЙ ОТВЕТСТВЕННОСТЬЮ "АМУР ЗОЛОТО"</t>
        </is>
      </c>
      <c r="D235" s="7" t="inlineStr">
        <is>
          <t>2708001686</t>
        </is>
      </c>
      <c r="E235" s="6" t="inlineStr">
        <is>
          <t>ООО "Амур Золото"</t>
        </is>
      </c>
      <c r="F235" s="7" t="inlineStr">
        <is>
          <t>2708001686</t>
        </is>
      </c>
      <c r="G235" s="7" t="inlineStr">
        <is>
          <t>Успешно</t>
        </is>
      </c>
      <c r="H235" s="6" t="n"/>
      <c r="I235" s="6" t="n"/>
      <c r="J235" s="6" t="inlineStr">
        <is>
          <t>Пользовательский интерфейс</t>
        </is>
      </c>
      <c r="K235" s="7" t="n">
        <v>2</v>
      </c>
      <c r="L235" s="8" t="n"/>
      <c r="M235" s="137" t="inlineStr">
        <is>
          <t>+</t>
        </is>
      </c>
      <c r="N235" s="8" t="n"/>
      <c r="O235" s="8" t="n"/>
      <c r="P235" s="8" t="n"/>
      <c r="Q235" s="8" t="n"/>
      <c r="R235" s="8" t="n"/>
      <c r="S235" s="8" t="n"/>
      <c r="T235" s="8" t="n"/>
      <c r="U235" s="8" t="n"/>
      <c r="V235" s="8" t="n"/>
      <c r="W235" s="8" t="n"/>
      <c r="X235" s="139" t="n"/>
      <c r="Y235" s="137" t="inlineStr">
        <is>
          <t>+</t>
        </is>
      </c>
    </row>
    <row r="236">
      <c r="A236" s="6" t="inlineStr">
        <is>
          <t>работник 830</t>
        </is>
      </c>
      <c r="B236" s="6" t="inlineStr">
        <is>
          <t>Дробильщик</t>
        </is>
      </c>
      <c r="C236" s="6" t="inlineStr">
        <is>
          <t>ОБЩЕСТВО С ОГРАНИЧЕННОЙ ОТВЕТСТВЕННОСТЬЮ "АМУР ЗОЛОТО"</t>
        </is>
      </c>
      <c r="D236" s="7" t="inlineStr">
        <is>
          <t>2708001686</t>
        </is>
      </c>
      <c r="E236" s="6" t="inlineStr">
        <is>
          <t>ООО "Амур Золото"</t>
        </is>
      </c>
      <c r="F236" s="7" t="inlineStr">
        <is>
          <t>2708001686</t>
        </is>
      </c>
      <c r="G236" s="7" t="inlineStr">
        <is>
          <t>Успешно</t>
        </is>
      </c>
      <c r="H236" s="6" t="n"/>
      <c r="I236" s="6" t="n"/>
      <c r="J236" s="6" t="inlineStr">
        <is>
          <t>Пользовательский интерфейс</t>
        </is>
      </c>
      <c r="K236" s="7" t="n">
        <v>3</v>
      </c>
      <c r="L236" s="8" t="n"/>
      <c r="M236" s="137" t="inlineStr">
        <is>
          <t>+</t>
        </is>
      </c>
      <c r="N236" s="8" t="n"/>
      <c r="O236" s="8" t="n"/>
      <c r="P236" s="8" t="n"/>
      <c r="Q236" s="8" t="n"/>
      <c r="R236" s="8" t="n"/>
      <c r="S236" s="8" t="n"/>
      <c r="T236" s="8" t="n"/>
      <c r="U236" s="8" t="n"/>
      <c r="V236" s="8" t="n"/>
      <c r="W236" s="8" t="n"/>
      <c r="X236" s="137" t="inlineStr">
        <is>
          <t>+</t>
        </is>
      </c>
      <c r="Y236" s="137" t="inlineStr">
        <is>
          <t>+</t>
        </is>
      </c>
    </row>
    <row r="237">
      <c r="A237" s="6" t="inlineStr">
        <is>
          <t>работник 888</t>
        </is>
      </c>
      <c r="B237" s="6" t="inlineStr">
        <is>
          <t>Машинист погрузочно-доставочной машины</t>
        </is>
      </c>
      <c r="C237" s="6" t="inlineStr">
        <is>
          <t>ОБЩЕСТВО С ОГРАНИЧЕННОЙ ОТВЕТСТВЕННОСТЬЮ "АМУР ЗОЛОТО"</t>
        </is>
      </c>
      <c r="D237" s="7" t="inlineStr">
        <is>
          <t>2708001686</t>
        </is>
      </c>
      <c r="E237" s="6" t="inlineStr">
        <is>
          <t>ООО "Амур Золото"</t>
        </is>
      </c>
      <c r="F237" s="7" t="inlineStr">
        <is>
          <t>2708001686</t>
        </is>
      </c>
      <c r="G237" s="7" t="inlineStr">
        <is>
          <t>Успешно</t>
        </is>
      </c>
      <c r="H237" s="6" t="n"/>
      <c r="I237" s="6" t="n"/>
      <c r="J237" s="6" t="inlineStr">
        <is>
          <t>Пользовательский интерфейс</t>
        </is>
      </c>
      <c r="K237" s="7" t="n">
        <v>3</v>
      </c>
      <c r="L237" s="8" t="n"/>
      <c r="M237" s="137" t="inlineStr">
        <is>
          <t>+</t>
        </is>
      </c>
      <c r="N237" s="8" t="n"/>
      <c r="O237" s="8" t="n"/>
      <c r="P237" s="8" t="n"/>
      <c r="Q237" s="8" t="n"/>
      <c r="R237" s="8" t="n"/>
      <c r="S237" s="8" t="n"/>
      <c r="T237" s="8" t="n"/>
      <c r="U237" s="8" t="n"/>
      <c r="V237" s="8" t="n"/>
      <c r="W237" s="8" t="n"/>
      <c r="X237" s="137" t="inlineStr">
        <is>
          <t>+</t>
        </is>
      </c>
      <c r="Y237" s="137" t="inlineStr">
        <is>
          <t>+</t>
        </is>
      </c>
    </row>
    <row r="238">
      <c r="A238" s="6" t="inlineStr">
        <is>
          <t>работник 434</t>
        </is>
      </c>
      <c r="B238" s="6" t="inlineStr">
        <is>
          <t>Машинист мельниц</t>
        </is>
      </c>
      <c r="C238" s="6" t="inlineStr">
        <is>
          <t>ОБЩЕСТВО С ОГРАНИЧЕННОЙ ОТВЕТСТВЕННОСТЬЮ "АМУР ЗОЛОТО"</t>
        </is>
      </c>
      <c r="D238" s="7" t="inlineStr">
        <is>
          <t>2708001686</t>
        </is>
      </c>
      <c r="E238" s="6" t="inlineStr">
        <is>
          <t>ООО "Амур Золото"</t>
        </is>
      </c>
      <c r="F238" s="7" t="inlineStr">
        <is>
          <t>2708001686</t>
        </is>
      </c>
      <c r="G238" s="7" t="inlineStr">
        <is>
          <t>Успешно</t>
        </is>
      </c>
      <c r="H238" s="6" t="n"/>
      <c r="I238" s="6" t="n"/>
      <c r="J238" s="6" t="inlineStr">
        <is>
          <t>Пользовательский интерфейс</t>
        </is>
      </c>
      <c r="K238" s="7" t="n">
        <v>2</v>
      </c>
      <c r="L238" s="8" t="n"/>
      <c r="M238" s="137" t="inlineStr">
        <is>
          <t>+</t>
        </is>
      </c>
      <c r="N238" s="8" t="n"/>
      <c r="O238" s="8" t="n"/>
      <c r="P238" s="8" t="n"/>
      <c r="Q238" s="8" t="n"/>
      <c r="R238" s="8" t="n"/>
      <c r="S238" s="8" t="n"/>
      <c r="T238" s="8" t="n"/>
      <c r="U238" s="8" t="n"/>
      <c r="V238" s="8" t="n"/>
      <c r="W238" s="8" t="n"/>
      <c r="X238" s="139" t="n"/>
      <c r="Y238" s="137" t="inlineStr">
        <is>
          <t>+</t>
        </is>
      </c>
    </row>
    <row r="239">
      <c r="A239" s="6" t="inlineStr">
        <is>
          <t>работник 136</t>
        </is>
      </c>
      <c r="B239" s="6" t="inlineStr">
        <is>
          <t>Горнорабочий / Крепильщик</t>
        </is>
      </c>
      <c r="C239" s="6" t="inlineStr">
        <is>
          <t>ОБЩЕСТВО С ОГРАНИЧЕННОЙ ОТВЕТСТВЕННОСТЬЮ "АМУР ЗОЛОТО"</t>
        </is>
      </c>
      <c r="D239" s="7" t="inlineStr">
        <is>
          <t>2708001686</t>
        </is>
      </c>
      <c r="E239" s="6" t="inlineStr">
        <is>
          <t>ООО "Амур Золото"</t>
        </is>
      </c>
      <c r="F239" s="7" t="inlineStr">
        <is>
          <t>2708001686</t>
        </is>
      </c>
      <c r="G239" s="7" t="inlineStr">
        <is>
          <t>Успешно</t>
        </is>
      </c>
      <c r="H239" s="6" t="n"/>
      <c r="I239" s="6" t="n"/>
      <c r="J239" s="6" t="inlineStr">
        <is>
          <t>Пользовательский интерфейс</t>
        </is>
      </c>
      <c r="K239" s="7" t="n">
        <v>5</v>
      </c>
      <c r="L239" s="8" t="n"/>
      <c r="M239" s="137" t="inlineStr">
        <is>
          <t>+</t>
        </is>
      </c>
      <c r="N239" s="8" t="n"/>
      <c r="O239" s="8" t="n"/>
      <c r="P239" s="8" t="n"/>
      <c r="Q239" s="8" t="n"/>
      <c r="R239" s="8" t="n"/>
      <c r="S239" s="8" t="n"/>
      <c r="T239" s="8" t="n"/>
      <c r="U239" s="8" t="n"/>
      <c r="V239" s="8" t="n"/>
      <c r="W239" s="8" t="n"/>
      <c r="X239" s="137" t="inlineStr">
        <is>
          <t>+</t>
        </is>
      </c>
      <c r="Y239" s="137" t="inlineStr">
        <is>
          <t>+</t>
        </is>
      </c>
    </row>
    <row r="240">
      <c r="A240" s="6" t="inlineStr">
        <is>
          <t>работник 269</t>
        </is>
      </c>
      <c r="B240" s="6" t="inlineStr">
        <is>
          <t>Водитель автомобиля (топливозаправщик)</t>
        </is>
      </c>
      <c r="C240" s="6" t="inlineStr">
        <is>
          <t>ОБЩЕСТВО С ОГРАНИЧЕННОЙ ОТВЕТСТВЕННОСТЬЮ "АМУР ЗОЛОТО"</t>
        </is>
      </c>
      <c r="D240" s="7" t="inlineStr">
        <is>
          <t>2708001686</t>
        </is>
      </c>
      <c r="E240" s="6" t="inlineStr">
        <is>
          <t>ООО "Амур Золото"</t>
        </is>
      </c>
      <c r="F240" s="7" t="inlineStr">
        <is>
          <t>2708001686</t>
        </is>
      </c>
      <c r="G240" s="7" t="inlineStr">
        <is>
          <t>Успешно</t>
        </is>
      </c>
      <c r="H240" s="6" t="n"/>
      <c r="I240" s="6" t="n"/>
      <c r="J240" s="6" t="inlineStr">
        <is>
          <t>Пользовательский интерфейс</t>
        </is>
      </c>
      <c r="K240" s="7" t="n">
        <v>3</v>
      </c>
      <c r="L240" s="8" t="n"/>
      <c r="M240" s="137" t="inlineStr">
        <is>
          <t>+</t>
        </is>
      </c>
      <c r="N240" s="8" t="n"/>
      <c r="O240" s="8" t="n"/>
      <c r="P240" s="8" t="n"/>
      <c r="Q240" s="8" t="n"/>
      <c r="R240" s="8" t="n"/>
      <c r="S240" s="8" t="n"/>
      <c r="T240" s="8" t="n"/>
      <c r="U240" s="8" t="n"/>
      <c r="V240" s="8" t="n"/>
      <c r="W240" s="8" t="n"/>
      <c r="X240" s="137" t="inlineStr">
        <is>
          <t>+</t>
        </is>
      </c>
      <c r="Y240" s="137" t="inlineStr">
        <is>
          <t>+</t>
        </is>
      </c>
    </row>
    <row r="241">
      <c r="A241" s="6" t="inlineStr">
        <is>
          <t>работник 680</t>
        </is>
      </c>
      <c r="B241" s="6" t="inlineStr">
        <is>
          <t>Слесарь-сантехник</t>
        </is>
      </c>
      <c r="C241" s="6" t="inlineStr">
        <is>
          <t>ОБЩЕСТВО С ОГРАНИЧЕННОЙ ОТВЕТСТВЕННОСТЬЮ "АМУР ЗОЛОТО"</t>
        </is>
      </c>
      <c r="D241" s="7" t="inlineStr">
        <is>
          <t>2708001686</t>
        </is>
      </c>
      <c r="E241" s="6" t="inlineStr">
        <is>
          <t>ООО "Амур Золото"</t>
        </is>
      </c>
      <c r="F241" s="7" t="inlineStr">
        <is>
          <t>2708001686</t>
        </is>
      </c>
      <c r="G241" s="7" t="inlineStr">
        <is>
          <t>Успешно</t>
        </is>
      </c>
      <c r="H241" s="6" t="n"/>
      <c r="I241" s="6" t="n"/>
      <c r="J241" s="6" t="inlineStr">
        <is>
          <t>Пользовательский интерфейс</t>
        </is>
      </c>
      <c r="K241" s="7" t="n">
        <v>5</v>
      </c>
      <c r="L241" s="8" t="n"/>
      <c r="M241" s="137" t="inlineStr">
        <is>
          <t>+</t>
        </is>
      </c>
      <c r="N241" s="8" t="n"/>
      <c r="O241" s="8" t="n"/>
      <c r="P241" s="8" t="n"/>
      <c r="Q241" s="8" t="n"/>
      <c r="R241" s="8" t="n"/>
      <c r="S241" s="8" t="n"/>
      <c r="T241" s="8" t="n"/>
      <c r="U241" s="8" t="n"/>
      <c r="V241" s="8" t="n"/>
      <c r="W241" s="8" t="n"/>
      <c r="X241" s="137" t="inlineStr">
        <is>
          <t>+</t>
        </is>
      </c>
      <c r="Y241" s="137" t="inlineStr">
        <is>
          <t>+</t>
        </is>
      </c>
    </row>
    <row r="242">
      <c r="A242" s="6" t="inlineStr">
        <is>
          <t>работник 536</t>
        </is>
      </c>
      <c r="B242" s="6" t="inlineStr">
        <is>
          <t>Растворщик реагентов</t>
        </is>
      </c>
      <c r="C242" s="6" t="inlineStr">
        <is>
          <t>ОБЩЕСТВО С ОГРАНИЧЕННОЙ ОТВЕТСТВЕННОСТЬЮ "АМУР ЗОЛОТО"</t>
        </is>
      </c>
      <c r="D242" s="7" t="inlineStr">
        <is>
          <t>2708001686</t>
        </is>
      </c>
      <c r="E242" s="6" t="inlineStr">
        <is>
          <t>ООО "Амур Золото"</t>
        </is>
      </c>
      <c r="F242" s="7" t="inlineStr">
        <is>
          <t>2708001686</t>
        </is>
      </c>
      <c r="G242" s="7" t="inlineStr">
        <is>
          <t>Успешно</t>
        </is>
      </c>
      <c r="H242" s="6" t="n"/>
      <c r="I242" s="6" t="n"/>
      <c r="J242" s="6" t="n"/>
      <c r="K242" s="7" t="n">
        <v>2</v>
      </c>
      <c r="L242" s="8" t="n"/>
      <c r="M242" s="137" t="inlineStr">
        <is>
          <t>+</t>
        </is>
      </c>
      <c r="N242" s="8" t="n"/>
      <c r="O242" s="8" t="n"/>
      <c r="P242" s="8" t="n"/>
      <c r="Q242" s="8" t="n"/>
      <c r="R242" s="8" t="n"/>
      <c r="S242" s="8" t="n"/>
      <c r="T242" s="8" t="n"/>
      <c r="U242" s="8" t="n"/>
      <c r="V242" s="8" t="n"/>
      <c r="W242" s="8" t="n"/>
      <c r="X242" s="139" t="n"/>
      <c r="Y242" s="137" t="inlineStr">
        <is>
          <t>+</t>
        </is>
      </c>
    </row>
    <row r="243">
      <c r="A243" s="6" t="inlineStr">
        <is>
          <t>работник 161</t>
        </is>
      </c>
      <c r="B243" s="6" t="inlineStr">
        <is>
          <t>Машинист погрузочно-доставочной машины / Машинист подземно-доставочной машины / Машинист самоходной буровой установки</t>
        </is>
      </c>
      <c r="C243" s="6" t="inlineStr">
        <is>
          <t>ОБЩЕСТВО С ОГРАНИЧЕННОЙ ОТВЕТСТВЕННОСТЬЮ "АМУР ЗОЛОТО"</t>
        </is>
      </c>
      <c r="D243" s="7" t="inlineStr">
        <is>
          <t>2708001686</t>
        </is>
      </c>
      <c r="E243" s="6" t="inlineStr">
        <is>
          <t>ООО "Амур Золото"</t>
        </is>
      </c>
      <c r="F243" s="7" t="inlineStr">
        <is>
          <t>2708001686</t>
        </is>
      </c>
      <c r="G243" s="7" t="inlineStr">
        <is>
          <t>Успешно</t>
        </is>
      </c>
      <c r="H243" s="6" t="n"/>
      <c r="I243" s="6" t="n"/>
      <c r="J243" s="6" t="inlineStr">
        <is>
          <t>Пользовательский интерфейс</t>
        </is>
      </c>
      <c r="K243" s="7" t="n">
        <v>8</v>
      </c>
      <c r="L243" s="8" t="n"/>
      <c r="M243" s="137" t="inlineStr">
        <is>
          <t>+</t>
        </is>
      </c>
      <c r="N243" s="8" t="n"/>
      <c r="O243" s="8" t="n"/>
      <c r="P243" s="8" t="n"/>
      <c r="Q243" s="8" t="n"/>
      <c r="R243" s="8" t="n"/>
      <c r="S243" s="8" t="n"/>
      <c r="T243" s="8" t="n"/>
      <c r="U243" s="8" t="n"/>
      <c r="V243" s="8" t="n"/>
      <c r="W243" s="8" t="n"/>
      <c r="X243" s="137" t="inlineStr">
        <is>
          <t>+</t>
        </is>
      </c>
      <c r="Y243" s="137" t="inlineStr">
        <is>
          <t>+</t>
        </is>
      </c>
    </row>
    <row r="244">
      <c r="A244" s="6" t="inlineStr">
        <is>
          <t>работник 102</t>
        </is>
      </c>
      <c r="B244" s="6" t="inlineStr">
        <is>
          <t>Повар</t>
        </is>
      </c>
      <c r="C244" s="6" t="inlineStr">
        <is>
          <t>ОБЩЕСТВО С ОГРАНИЧЕННОЙ ОТВЕТСТВЕННОСТЬЮ "АМУР ЗОЛОТО"</t>
        </is>
      </c>
      <c r="D244" s="7" t="inlineStr">
        <is>
          <t>2708001686</t>
        </is>
      </c>
      <c r="E244" s="6" t="inlineStr">
        <is>
          <t>ООО "Амур Золото"</t>
        </is>
      </c>
      <c r="F244" s="7" t="inlineStr">
        <is>
          <t>2708001686</t>
        </is>
      </c>
      <c r="G244" s="7" t="inlineStr">
        <is>
          <t>Успешно</t>
        </is>
      </c>
      <c r="H244" s="6" t="n"/>
      <c r="I244" s="6" t="n"/>
      <c r="J244" s="6" t="inlineStr">
        <is>
          <t>Пользовательский интерфейс</t>
        </is>
      </c>
      <c r="K244" s="7" t="n">
        <v>3</v>
      </c>
      <c r="L244" s="8" t="n"/>
      <c r="M244" s="137" t="inlineStr">
        <is>
          <t>+</t>
        </is>
      </c>
      <c r="N244" s="8" t="n"/>
      <c r="O244" s="8" t="n"/>
      <c r="P244" s="8" t="n"/>
      <c r="Q244" s="8" t="n"/>
      <c r="R244" s="8" t="n"/>
      <c r="S244" s="8" t="n"/>
      <c r="T244" s="8" t="n"/>
      <c r="U244" s="8" t="n"/>
      <c r="V244" s="8" t="n"/>
      <c r="W244" s="8" t="n"/>
      <c r="X244" s="137" t="inlineStr">
        <is>
          <t>+</t>
        </is>
      </c>
      <c r="Y244" s="138" t="inlineStr">
        <is>
          <t>+</t>
        </is>
      </c>
    </row>
    <row r="245">
      <c r="A245" s="6" t="inlineStr">
        <is>
          <t>работник 534</t>
        </is>
      </c>
      <c r="B245" s="6" t="inlineStr">
        <is>
          <t>Проходчик (с исполнением обязанностей взрывника)</t>
        </is>
      </c>
      <c r="C245" s="6" t="inlineStr">
        <is>
          <t>ОБЩЕСТВО С ОГРАНИЧЕННОЙ ОТВЕТСТВЕННОСТЬЮ "АМУР ЗОЛОТО"</t>
        </is>
      </c>
      <c r="D245" s="7" t="inlineStr">
        <is>
          <t>2708001686</t>
        </is>
      </c>
      <c r="E245" s="6" t="inlineStr">
        <is>
          <t>ООО "Амур Золото"</t>
        </is>
      </c>
      <c r="F245" s="7" t="inlineStr">
        <is>
          <t>2708001686</t>
        </is>
      </c>
      <c r="G245" s="7" t="inlineStr">
        <is>
          <t>Успешно</t>
        </is>
      </c>
      <c r="H245" s="6" t="n"/>
      <c r="I245" s="6" t="n"/>
      <c r="J245" s="6" t="inlineStr">
        <is>
          <t>Пользовательский интерфейс</t>
        </is>
      </c>
      <c r="K245" s="7" t="n">
        <v>5</v>
      </c>
      <c r="L245" s="8" t="n"/>
      <c r="M245" s="137" t="inlineStr">
        <is>
          <t>+</t>
        </is>
      </c>
      <c r="N245" s="8" t="n"/>
      <c r="O245" s="8" t="n"/>
      <c r="P245" s="8" t="n"/>
      <c r="Q245" s="8" t="n"/>
      <c r="R245" s="8" t="n"/>
      <c r="S245" s="8" t="n"/>
      <c r="T245" s="8" t="n"/>
      <c r="U245" s="8" t="n"/>
      <c r="V245" s="8" t="n"/>
      <c r="W245" s="8" t="n"/>
      <c r="X245" s="137" t="inlineStr">
        <is>
          <t>+</t>
        </is>
      </c>
      <c r="Y245" s="137" t="inlineStr">
        <is>
          <t>+</t>
        </is>
      </c>
    </row>
    <row r="246">
      <c r="A246" s="6" t="inlineStr">
        <is>
          <t>работник 505</t>
        </is>
      </c>
      <c r="B246" s="6" t="inlineStr">
        <is>
          <t>Инженер-исследователь</t>
        </is>
      </c>
      <c r="C246" s="6" t="inlineStr">
        <is>
          <t>ОБЩЕСТВО С ОГРАНИЧЕННОЙ ОТВЕТСТВЕННОСТЬЮ "АМУР ЗОЛОТО"</t>
        </is>
      </c>
      <c r="D246" s="7" t="inlineStr">
        <is>
          <t>2708001686</t>
        </is>
      </c>
      <c r="E246" s="6" t="inlineStr">
        <is>
          <t>ООО "Амур Золото"</t>
        </is>
      </c>
      <c r="F246" s="7" t="inlineStr">
        <is>
          <t>2708001686</t>
        </is>
      </c>
      <c r="G246" s="7" t="inlineStr">
        <is>
          <t>Успешно</t>
        </is>
      </c>
      <c r="H246" s="6" t="n"/>
      <c r="I246" s="6" t="n"/>
      <c r="J246" s="6" t="inlineStr">
        <is>
          <t>Пользовательский интерфейс</t>
        </is>
      </c>
      <c r="K246" s="7" t="n">
        <v>1</v>
      </c>
      <c r="L246" s="8" t="n"/>
      <c r="M246" s="137" t="inlineStr">
        <is>
          <t>+</t>
        </is>
      </c>
      <c r="N246" s="8" t="n"/>
      <c r="O246" s="8" t="n"/>
      <c r="P246" s="8" t="n"/>
      <c r="Q246" s="8" t="n"/>
      <c r="R246" s="8" t="n"/>
      <c r="S246" s="8" t="n"/>
      <c r="T246" s="8" t="n"/>
      <c r="U246" s="8" t="n"/>
      <c r="V246" s="8" t="n"/>
      <c r="W246" s="8" t="n"/>
      <c r="X246" s="8" t="n"/>
      <c r="Y246" s="8" t="n"/>
    </row>
    <row r="247">
      <c r="A247" s="6" t="inlineStr">
        <is>
          <t>работник 395</t>
        </is>
      </c>
      <c r="B247" s="6" t="inlineStr">
        <is>
          <t>Кухонный рабочий</t>
        </is>
      </c>
      <c r="C247" s="6" t="inlineStr">
        <is>
          <t>ОБЩЕСТВО С ОГРАНИЧЕННОЙ ОТВЕТСТВЕННОСТЬЮ "АМУР ЗОЛОТО"</t>
        </is>
      </c>
      <c r="D247" s="7" t="inlineStr">
        <is>
          <t>2708001686</t>
        </is>
      </c>
      <c r="E247" s="6" t="inlineStr">
        <is>
          <t>ООО "Амур Золото"</t>
        </is>
      </c>
      <c r="F247" s="7" t="inlineStr">
        <is>
          <t>2708001686</t>
        </is>
      </c>
      <c r="G247" s="7" t="inlineStr">
        <is>
          <t>Успешно</t>
        </is>
      </c>
      <c r="H247" s="6" t="n"/>
      <c r="I247" s="6" t="n"/>
      <c r="J247" s="6" t="inlineStr">
        <is>
          <t>Пользовательский интерфейс</t>
        </is>
      </c>
      <c r="K247" s="7" t="n">
        <v>3</v>
      </c>
      <c r="L247" s="8" t="n"/>
      <c r="M247" s="137" t="inlineStr">
        <is>
          <t>+</t>
        </is>
      </c>
      <c r="N247" s="8" t="n"/>
      <c r="O247" s="8" t="n"/>
      <c r="P247" s="8" t="n"/>
      <c r="Q247" s="8" t="n"/>
      <c r="R247" s="8" t="n"/>
      <c r="S247" s="8" t="n"/>
      <c r="T247" s="8" t="n"/>
      <c r="U247" s="8" t="n"/>
      <c r="V247" s="8" t="n"/>
      <c r="W247" s="8" t="n"/>
      <c r="X247" s="137" t="inlineStr">
        <is>
          <t>+</t>
        </is>
      </c>
      <c r="Y247" s="138" t="inlineStr">
        <is>
          <t>+</t>
        </is>
      </c>
    </row>
    <row r="248">
      <c r="A248" s="6" t="inlineStr">
        <is>
          <t>работник 346</t>
        </is>
      </c>
      <c r="B248" s="6" t="inlineStr">
        <is>
          <t>Машинист  насосной установки</t>
        </is>
      </c>
      <c r="C248" s="6" t="inlineStr">
        <is>
          <t>ОБЩЕСТВО С ОГРАНИЧЕННОЙ ОТВЕТСТВЕННОСТЬЮ "АМУР ЗОЛОТО"</t>
        </is>
      </c>
      <c r="D248" s="7" t="inlineStr">
        <is>
          <t>2708001686</t>
        </is>
      </c>
      <c r="E248" s="6" t="inlineStr">
        <is>
          <t>ООО "Амур Золото"</t>
        </is>
      </c>
      <c r="F248" s="7" t="inlineStr">
        <is>
          <t>2708001686</t>
        </is>
      </c>
      <c r="G248" s="7" t="inlineStr">
        <is>
          <t>Успешно</t>
        </is>
      </c>
      <c r="H248" s="6" t="n"/>
      <c r="I248" s="6" t="n"/>
      <c r="J248" s="6" t="inlineStr">
        <is>
          <t>Пользовательский интерфейс</t>
        </is>
      </c>
      <c r="K248" s="7" t="n">
        <v>3</v>
      </c>
      <c r="L248" s="8" t="n"/>
      <c r="M248" s="137" t="inlineStr">
        <is>
          <t>+</t>
        </is>
      </c>
      <c r="N248" s="8" t="n"/>
      <c r="O248" s="8" t="n"/>
      <c r="P248" s="8" t="n"/>
      <c r="Q248" s="8" t="n"/>
      <c r="R248" s="8" t="n"/>
      <c r="S248" s="8" t="n"/>
      <c r="T248" s="8" t="n"/>
      <c r="U248" s="8" t="n"/>
      <c r="V248" s="8" t="n"/>
      <c r="W248" s="8" t="n"/>
      <c r="X248" s="137" t="inlineStr">
        <is>
          <t>+</t>
        </is>
      </c>
      <c r="Y248" s="137" t="inlineStr">
        <is>
          <t>+</t>
        </is>
      </c>
    </row>
    <row r="249">
      <c r="A249" s="6" t="inlineStr">
        <is>
          <t>работник 270</t>
        </is>
      </c>
      <c r="B249" s="6" t="inlineStr">
        <is>
          <t>Водитель погрузчика</t>
        </is>
      </c>
      <c r="C249" s="6" t="inlineStr">
        <is>
          <t>ОБЩЕСТВО С ОГРАНИЧЕННОЙ ОТВЕТСТВЕННОСТЬЮ "АМУР ЗОЛОТО"</t>
        </is>
      </c>
      <c r="D249" s="7" t="inlineStr">
        <is>
          <t>2708001686</t>
        </is>
      </c>
      <c r="E249" s="6" t="inlineStr">
        <is>
          <t>ООО "Амур Золото"</t>
        </is>
      </c>
      <c r="F249" s="7" t="inlineStr">
        <is>
          <t>2708001686</t>
        </is>
      </c>
      <c r="G249" s="7" t="inlineStr">
        <is>
          <t>Успешно</t>
        </is>
      </c>
      <c r="H249" s="6" t="n"/>
      <c r="I249" s="6" t="n"/>
      <c r="J249" s="6" t="inlineStr">
        <is>
          <t>Пользовательский интерфейс</t>
        </is>
      </c>
      <c r="K249" s="7" t="n">
        <v>3</v>
      </c>
      <c r="L249" s="8" t="n"/>
      <c r="M249" s="137" t="inlineStr">
        <is>
          <t>+</t>
        </is>
      </c>
      <c r="N249" s="8" t="n"/>
      <c r="O249" s="8" t="n"/>
      <c r="P249" s="8" t="n"/>
      <c r="Q249" s="8" t="n"/>
      <c r="R249" s="8" t="n"/>
      <c r="S249" s="8" t="n"/>
      <c r="T249" s="8" t="n"/>
      <c r="U249" s="8" t="n"/>
      <c r="V249" s="8" t="n"/>
      <c r="W249" s="8" t="n"/>
      <c r="X249" s="137" t="inlineStr">
        <is>
          <t>+</t>
        </is>
      </c>
      <c r="Y249" s="137" t="inlineStr">
        <is>
          <t>+</t>
        </is>
      </c>
    </row>
    <row r="250">
      <c r="A250" s="6" t="inlineStr">
        <is>
          <t>работник 26</t>
        </is>
      </c>
      <c r="B250" s="6" t="inlineStr">
        <is>
          <t>Электрогазосварщик (занятый на резке и ручной сварке) / Электрогазосварщик</t>
        </is>
      </c>
      <c r="C250" s="6" t="inlineStr">
        <is>
          <t>ОБЩЕСТВО С ОГРАНИЧЕННОЙ ОТВЕТСТВЕННОСТЬЮ "АМУР ЗОЛОТО"</t>
        </is>
      </c>
      <c r="D250" s="7" t="inlineStr">
        <is>
          <t>2708001686</t>
        </is>
      </c>
      <c r="E250" s="6" t="inlineStr">
        <is>
          <t>ООО "Амур Золото"</t>
        </is>
      </c>
      <c r="F250" s="7" t="inlineStr">
        <is>
          <t>2708001686</t>
        </is>
      </c>
      <c r="G250" s="7" t="inlineStr">
        <is>
          <t>Успешно</t>
        </is>
      </c>
      <c r="H250" s="6" t="n"/>
      <c r="I250" s="6" t="n"/>
      <c r="J250" s="6" t="inlineStr">
        <is>
          <t>Пользовательский интерфейс</t>
        </is>
      </c>
      <c r="K250" s="7" t="n">
        <v>16</v>
      </c>
      <c r="L250" s="8" t="n"/>
      <c r="M250" s="137" t="inlineStr">
        <is>
          <t>+</t>
        </is>
      </c>
      <c r="N250" s="137" t="inlineStr">
        <is>
          <t>+</t>
        </is>
      </c>
      <c r="O250" s="137" t="inlineStr">
        <is>
          <t>+</t>
        </is>
      </c>
      <c r="P250" s="137" t="inlineStr">
        <is>
          <t>+</t>
        </is>
      </c>
      <c r="Q250" s="137" t="inlineStr">
        <is>
          <t>+</t>
        </is>
      </c>
      <c r="R250" s="137" t="inlineStr">
        <is>
          <t>+</t>
        </is>
      </c>
      <c r="S250" s="137" t="inlineStr">
        <is>
          <t>+</t>
        </is>
      </c>
      <c r="T250" s="8" t="n"/>
      <c r="U250" s="8" t="n"/>
      <c r="V250" s="8" t="n"/>
      <c r="W250" s="8" t="n"/>
      <c r="X250" s="137" t="inlineStr">
        <is>
          <t>+</t>
        </is>
      </c>
      <c r="Y250" s="137" t="inlineStr">
        <is>
          <t>+</t>
        </is>
      </c>
    </row>
    <row r="251">
      <c r="A251" s="6" t="inlineStr">
        <is>
          <t>работник 472</t>
        </is>
      </c>
      <c r="B251" s="6" t="inlineStr">
        <is>
          <t>Контролер (золото-приемной кассы)</t>
        </is>
      </c>
      <c r="C251" s="6" t="inlineStr">
        <is>
          <t>ОБЩЕСТВО С ОГРАНИЧЕННОЙ ОТВЕТСТВЕННОСТЬЮ "АМУР ЗОЛОТО"</t>
        </is>
      </c>
      <c r="D251" s="7" t="inlineStr">
        <is>
          <t>2708001686</t>
        </is>
      </c>
      <c r="E251" s="6" t="inlineStr">
        <is>
          <t>ООО "Амур Золото"</t>
        </is>
      </c>
      <c r="F251" s="7" t="inlineStr">
        <is>
          <t>2708001686</t>
        </is>
      </c>
      <c r="G251" s="7" t="inlineStr">
        <is>
          <t>Успешно</t>
        </is>
      </c>
      <c r="H251" s="6" t="n"/>
      <c r="I251" s="6" t="n"/>
      <c r="J251" s="6" t="inlineStr">
        <is>
          <t>Пользовательский интерфейс</t>
        </is>
      </c>
      <c r="K251" s="7" t="n">
        <v>2</v>
      </c>
      <c r="L251" s="8" t="n"/>
      <c r="M251" s="137" t="inlineStr">
        <is>
          <t>+</t>
        </is>
      </c>
      <c r="N251" s="8" t="n"/>
      <c r="O251" s="8" t="n"/>
      <c r="P251" s="8" t="n"/>
      <c r="Q251" s="8" t="n"/>
      <c r="R251" s="8" t="n"/>
      <c r="S251" s="8" t="n"/>
      <c r="T251" s="8" t="n"/>
      <c r="U251" s="8" t="n"/>
      <c r="V251" s="8" t="n"/>
      <c r="W251" s="8" t="n"/>
      <c r="X251" s="139" t="n"/>
      <c r="Y251" s="137" t="inlineStr">
        <is>
          <t>+</t>
        </is>
      </c>
    </row>
    <row r="252">
      <c r="A252" s="6" t="inlineStr">
        <is>
          <t>работник 455</t>
        </is>
      </c>
      <c r="B252" s="6" t="inlineStr">
        <is>
          <t>Дробильщик / Фильтровальщик</t>
        </is>
      </c>
      <c r="C252" s="6" t="inlineStr">
        <is>
          <t>ОБЩЕСТВО С ОГРАНИЧЕННОЙ ОТВЕТСТВЕННОСТЬЮ "АМУР ЗОЛОТО"</t>
        </is>
      </c>
      <c r="D252" s="7" t="inlineStr">
        <is>
          <t>2708001686</t>
        </is>
      </c>
      <c r="E252" s="6" t="inlineStr">
        <is>
          <t>ООО "Амур Золото"</t>
        </is>
      </c>
      <c r="F252" s="7" t="inlineStr">
        <is>
          <t>2708001686</t>
        </is>
      </c>
      <c r="G252" s="7" t="inlineStr">
        <is>
          <t>Успешно</t>
        </is>
      </c>
      <c r="H252" s="6" t="n"/>
      <c r="I252" s="6" t="n"/>
      <c r="J252" s="6" t="inlineStr">
        <is>
          <t>Пользовательский интерфейс</t>
        </is>
      </c>
      <c r="K252" s="7" t="n">
        <v>4</v>
      </c>
      <c r="L252" s="8" t="n"/>
      <c r="M252" s="137" t="inlineStr">
        <is>
          <t>+</t>
        </is>
      </c>
      <c r="N252" s="8" t="n"/>
      <c r="O252" s="8" t="n"/>
      <c r="P252" s="8" t="n"/>
      <c r="Q252" s="8" t="n"/>
      <c r="R252" s="8" t="n"/>
      <c r="S252" s="8" t="n"/>
      <c r="T252" s="8" t="n"/>
      <c r="U252" s="8" t="n"/>
      <c r="V252" s="8" t="n"/>
      <c r="W252" s="8" t="n"/>
      <c r="X252" s="139" t="n"/>
      <c r="Y252" s="137" t="inlineStr">
        <is>
          <t>+</t>
        </is>
      </c>
    </row>
    <row r="253">
      <c r="A253" s="6" t="inlineStr">
        <is>
          <t>работник 140</t>
        </is>
      </c>
      <c r="B253" s="6" t="inlineStr">
        <is>
          <t>Машинист (кочегар) котельной</t>
        </is>
      </c>
      <c r="C253" s="6" t="inlineStr">
        <is>
          <t>ОБЩЕСТВО С ОГРАНИЧЕННОЙ ОТВЕТСТВЕННОСТЬЮ "АМУР ЗОЛОТО"</t>
        </is>
      </c>
      <c r="D253" s="7" t="inlineStr">
        <is>
          <t>2708001686</t>
        </is>
      </c>
      <c r="E253" s="6" t="inlineStr">
        <is>
          <t>ООО "Амур Золото"</t>
        </is>
      </c>
      <c r="F253" s="7" t="inlineStr">
        <is>
          <t>2708001686</t>
        </is>
      </c>
      <c r="G253" s="7" t="inlineStr">
        <is>
          <t>Успешно</t>
        </is>
      </c>
      <c r="H253" s="6" t="n"/>
      <c r="I253" s="6" t="n"/>
      <c r="J253" s="6" t="inlineStr">
        <is>
          <t>Пользовательский интерфейс</t>
        </is>
      </c>
      <c r="K253" s="7" t="n">
        <v>3</v>
      </c>
      <c r="L253" s="8" t="n"/>
      <c r="M253" s="137" t="inlineStr">
        <is>
          <t>+</t>
        </is>
      </c>
      <c r="N253" s="8" t="n"/>
      <c r="O253" s="8" t="n"/>
      <c r="P253" s="8" t="n"/>
      <c r="Q253" s="8" t="n"/>
      <c r="R253" s="8" t="n"/>
      <c r="S253" s="8" t="n"/>
      <c r="T253" s="8" t="n"/>
      <c r="U253" s="8" t="n"/>
      <c r="V253" s="8" t="n"/>
      <c r="W253" s="8" t="n"/>
      <c r="X253" s="137" t="inlineStr">
        <is>
          <t>+</t>
        </is>
      </c>
      <c r="Y253" s="137" t="inlineStr">
        <is>
          <t>+</t>
        </is>
      </c>
    </row>
    <row r="254">
      <c r="A254" s="6" t="inlineStr">
        <is>
          <t>работник 271</t>
        </is>
      </c>
      <c r="B254" s="6" t="inlineStr">
        <is>
          <t>Машинист бульдозера</t>
        </is>
      </c>
      <c r="C254" s="6" t="inlineStr">
        <is>
          <t>ОБЩЕСТВО С ОГРАНИЧЕННОЙ ОТВЕТСТВЕННОСТЬЮ "АМУР ЗОЛОТО"</t>
        </is>
      </c>
      <c r="D254" s="7" t="inlineStr">
        <is>
          <t>2708001686</t>
        </is>
      </c>
      <c r="E254" s="6" t="inlineStr">
        <is>
          <t>ООО "Амур Золото"</t>
        </is>
      </c>
      <c r="F254" s="7" t="inlineStr">
        <is>
          <t>2708001686</t>
        </is>
      </c>
      <c r="G254" s="7" t="inlineStr">
        <is>
          <t>Успешно</t>
        </is>
      </c>
      <c r="H254" s="6" t="n"/>
      <c r="I254" s="6" t="n"/>
      <c r="J254" s="6" t="inlineStr">
        <is>
          <t>Пользовательский интерфейс</t>
        </is>
      </c>
      <c r="K254" s="7" t="n">
        <v>6</v>
      </c>
      <c r="L254" s="8" t="n"/>
      <c r="M254" s="137" t="inlineStr">
        <is>
          <t>+</t>
        </is>
      </c>
      <c r="N254" s="8" t="n"/>
      <c r="O254" s="8" t="n"/>
      <c r="P254" s="8" t="n"/>
      <c r="Q254" s="8" t="n"/>
      <c r="R254" s="8" t="n"/>
      <c r="S254" s="8" t="n"/>
      <c r="T254" s="8" t="n"/>
      <c r="U254" s="8" t="n"/>
      <c r="V254" s="8" t="n"/>
      <c r="W254" s="8" t="n"/>
      <c r="X254" s="137" t="inlineStr">
        <is>
          <t>+</t>
        </is>
      </c>
      <c r="Y254" s="137" t="inlineStr">
        <is>
          <t>+</t>
        </is>
      </c>
    </row>
    <row r="255">
      <c r="A255" s="6" t="inlineStr">
        <is>
          <t>работник 340</t>
        </is>
      </c>
      <c r="B255" s="6" t="inlineStr">
        <is>
          <t>Фильтровальщик / Аппаратчик сгустителей</t>
        </is>
      </c>
      <c r="C255" s="6" t="inlineStr">
        <is>
          <t>ОБЩЕСТВО С ОГРАНИЧЕННОЙ ОТВЕТСТВЕННОСТЬЮ "АМУР ЗОЛОТО"</t>
        </is>
      </c>
      <c r="D255" s="7" t="inlineStr">
        <is>
          <t>2708001686</t>
        </is>
      </c>
      <c r="E255" s="6" t="inlineStr">
        <is>
          <t>ООО "Амур Золото"</t>
        </is>
      </c>
      <c r="F255" s="7" t="inlineStr">
        <is>
          <t>2708001686</t>
        </is>
      </c>
      <c r="G255" s="7" t="inlineStr">
        <is>
          <t>Успешно</t>
        </is>
      </c>
      <c r="H255" s="6" t="n"/>
      <c r="I255" s="6" t="n"/>
      <c r="J255" s="6" t="inlineStr">
        <is>
          <t>Пользовательский интерфейс</t>
        </is>
      </c>
      <c r="K255" s="7" t="n">
        <v>5</v>
      </c>
      <c r="L255" s="8" t="n"/>
      <c r="M255" s="137" t="inlineStr">
        <is>
          <t>+</t>
        </is>
      </c>
      <c r="N255" s="137" t="inlineStr">
        <is>
          <t>+</t>
        </is>
      </c>
      <c r="O255" s="8" t="n"/>
      <c r="P255" s="137" t="inlineStr">
        <is>
          <t>+</t>
        </is>
      </c>
      <c r="Q255" s="8" t="n"/>
      <c r="R255" s="8" t="n"/>
      <c r="S255" s="8" t="n"/>
      <c r="T255" s="8" t="n"/>
      <c r="U255" s="8" t="n"/>
      <c r="V255" s="8" t="n"/>
      <c r="W255" s="8" t="n"/>
      <c r="X255" s="137" t="inlineStr">
        <is>
          <t>+</t>
        </is>
      </c>
      <c r="Y255" s="137" t="inlineStr">
        <is>
          <t>+</t>
        </is>
      </c>
    </row>
    <row r="256">
      <c r="A256" s="6" t="inlineStr">
        <is>
          <t>работник 8</t>
        </is>
      </c>
      <c r="B256" s="6" t="inlineStr">
        <is>
          <t>Начальник золотоизвлекательной фабрики</t>
        </is>
      </c>
      <c r="C256" s="6" t="inlineStr">
        <is>
          <t>ООО "Амур золото". Подразделение: горно-обогатительный комплекс "Юбилейный"</t>
        </is>
      </c>
      <c r="D256" s="7" t="inlineStr">
        <is>
          <t>2708001686</t>
        </is>
      </c>
      <c r="E256" s="6" t="inlineStr">
        <is>
          <t>Автономная некоммерческая организация дополнительного профессионального образования и сертификации "Перспектива"</t>
        </is>
      </c>
      <c r="F256" s="7" t="inlineStr">
        <is>
          <t>2722126782</t>
        </is>
      </c>
      <c r="G256" s="7" t="inlineStr">
        <is>
          <t>Успешно</t>
        </is>
      </c>
      <c r="H256" s="6" t="n"/>
      <c r="I256" s="6" t="n"/>
      <c r="J256" s="6" t="inlineStr">
        <is>
          <t>Пользовательский интерфейс</t>
        </is>
      </c>
      <c r="K256" s="7" t="n">
        <v>4</v>
      </c>
      <c r="L256" s="137" t="inlineStr">
        <is>
          <t>+</t>
        </is>
      </c>
      <c r="M256" s="137" t="inlineStr">
        <is>
          <t>+</t>
        </is>
      </c>
      <c r="N256" s="8" t="n"/>
      <c r="O256" s="8" t="n"/>
      <c r="P256" s="8" t="n"/>
      <c r="Q256" s="8" t="n"/>
      <c r="R256" s="8" t="n"/>
      <c r="S256" s="8" t="n"/>
      <c r="T256" s="8" t="n"/>
      <c r="U256" s="8" t="n"/>
      <c r="V256" s="8" t="n"/>
      <c r="W256" s="8" t="n"/>
      <c r="X256" s="137" t="inlineStr">
        <is>
          <t>+</t>
        </is>
      </c>
      <c r="Y256" s="137" t="inlineStr">
        <is>
          <t>+</t>
        </is>
      </c>
    </row>
    <row r="257">
      <c r="A257" s="6" t="inlineStr">
        <is>
          <t>работник 115</t>
        </is>
      </c>
      <c r="B257" s="6" t="inlineStr">
        <is>
          <t>Пробоотборщик</t>
        </is>
      </c>
      <c r="C257" s="6" t="inlineStr">
        <is>
          <t>ОБЩЕСТВО С ОГРАНИЧЕННОЙ ОТВЕТСТВЕННОСТЬЮ "АМУР ЗОЛОТО"</t>
        </is>
      </c>
      <c r="D257" s="7" t="inlineStr">
        <is>
          <t>2708001686</t>
        </is>
      </c>
      <c r="E257" s="6" t="inlineStr">
        <is>
          <t>ООО "Амур Золото"</t>
        </is>
      </c>
      <c r="F257" s="7" t="inlineStr">
        <is>
          <t>2708001686</t>
        </is>
      </c>
      <c r="G257" s="7" t="inlineStr">
        <is>
          <t>Успешно</t>
        </is>
      </c>
      <c r="H257" s="6" t="n"/>
      <c r="I257" s="6" t="n"/>
      <c r="J257" s="6" t="inlineStr">
        <is>
          <t>Пользовательский интерфейс</t>
        </is>
      </c>
      <c r="K257" s="7" t="n">
        <v>3</v>
      </c>
      <c r="L257" s="8" t="n"/>
      <c r="M257" s="137" t="inlineStr">
        <is>
          <t>+</t>
        </is>
      </c>
      <c r="N257" s="8" t="n"/>
      <c r="O257" s="8" t="n"/>
      <c r="P257" s="8" t="n"/>
      <c r="Q257" s="8" t="n"/>
      <c r="R257" s="8" t="n"/>
      <c r="S257" s="8" t="n"/>
      <c r="T257" s="8" t="n"/>
      <c r="U257" s="8" t="n"/>
      <c r="V257" s="8" t="n"/>
      <c r="W257" s="8" t="n"/>
      <c r="X257" s="137" t="inlineStr">
        <is>
          <t>+</t>
        </is>
      </c>
      <c r="Y257" s="137" t="inlineStr">
        <is>
          <t>+</t>
        </is>
      </c>
    </row>
    <row r="258">
      <c r="A258" s="6" t="inlineStr">
        <is>
          <t>работник 542</t>
        </is>
      </c>
      <c r="B258" s="6" t="inlineStr">
        <is>
          <t>Пробоотборщик</t>
        </is>
      </c>
      <c r="C258" s="6" t="inlineStr">
        <is>
          <t>ОБЩЕСТВО С ОГРАНИЧЕННОЙ ОТВЕТСТВЕННОСТЬЮ "АМУР ЗОЛОТО"</t>
        </is>
      </c>
      <c r="D258" s="7" t="inlineStr">
        <is>
          <t>2708001686</t>
        </is>
      </c>
      <c r="E258" s="6" t="inlineStr">
        <is>
          <t>ООО "Амур Золото"</t>
        </is>
      </c>
      <c r="F258" s="7" t="inlineStr">
        <is>
          <t>2708001686</t>
        </is>
      </c>
      <c r="G258" s="7" t="inlineStr">
        <is>
          <t>Успешно</t>
        </is>
      </c>
      <c r="H258" s="6" t="n"/>
      <c r="I258" s="6" t="n"/>
      <c r="J258" s="6" t="n"/>
      <c r="K258" s="7" t="n">
        <v>2</v>
      </c>
      <c r="L258" s="8" t="n"/>
      <c r="M258" s="137" t="inlineStr">
        <is>
          <t>+</t>
        </is>
      </c>
      <c r="N258" s="8" t="n"/>
      <c r="O258" s="8" t="n"/>
      <c r="P258" s="8" t="n"/>
      <c r="Q258" s="8" t="n"/>
      <c r="R258" s="8" t="n"/>
      <c r="S258" s="8" t="n"/>
      <c r="T258" s="8" t="n"/>
      <c r="U258" s="8" t="n"/>
      <c r="V258" s="8" t="n"/>
      <c r="W258" s="8" t="n"/>
      <c r="X258" s="139" t="n"/>
      <c r="Y258" s="137" t="inlineStr">
        <is>
          <t>+</t>
        </is>
      </c>
    </row>
    <row r="259">
      <c r="A259" s="6" t="inlineStr">
        <is>
          <t>работник 675</t>
        </is>
      </c>
      <c r="B259" s="6" t="inlineStr">
        <is>
          <t>Аппаратчик-гидрометаллург</t>
        </is>
      </c>
      <c r="C259" s="6" t="inlineStr">
        <is>
          <t>ОБЩЕСТВО С ОГРАНИЧЕННОЙ ОТВЕТСТВЕННОСТЬЮ "АМУР ЗОЛОТО"</t>
        </is>
      </c>
      <c r="D259" s="7" t="inlineStr">
        <is>
          <t>2708001686</t>
        </is>
      </c>
      <c r="E259" s="6" t="inlineStr">
        <is>
          <t>ООО "Амур Золото"</t>
        </is>
      </c>
      <c r="F259" s="7" t="inlineStr">
        <is>
          <t>2708001686</t>
        </is>
      </c>
      <c r="G259" s="7" t="inlineStr">
        <is>
          <t>Успешно</t>
        </is>
      </c>
      <c r="H259" s="6" t="n"/>
      <c r="I259" s="6" t="n"/>
      <c r="J259" s="6" t="inlineStr">
        <is>
          <t>Пользовательский интерфейс</t>
        </is>
      </c>
      <c r="K259" s="7" t="n">
        <v>2</v>
      </c>
      <c r="L259" s="8" t="n"/>
      <c r="M259" s="137" t="inlineStr">
        <is>
          <t>+</t>
        </is>
      </c>
      <c r="N259" s="8" t="n"/>
      <c r="O259" s="8" t="n"/>
      <c r="P259" s="8" t="n"/>
      <c r="Q259" s="8" t="n"/>
      <c r="R259" s="8" t="n"/>
      <c r="S259" s="8" t="n"/>
      <c r="T259" s="8" t="n"/>
      <c r="U259" s="8" t="n"/>
      <c r="V259" s="8" t="n"/>
      <c r="W259" s="8" t="n"/>
      <c r="X259" s="139" t="n"/>
      <c r="Y259" s="137" t="inlineStr">
        <is>
          <t>+</t>
        </is>
      </c>
    </row>
    <row r="260">
      <c r="A260" s="6" t="inlineStr">
        <is>
          <t>работник 879</t>
        </is>
      </c>
      <c r="B260" s="6" t="inlineStr">
        <is>
          <t>Крепильщик</t>
        </is>
      </c>
      <c r="C260" s="6" t="inlineStr">
        <is>
          <t>ОБЩЕСТВО С ОГРАНИЧЕННОЙ ОТВЕТСТВЕННОСТЬЮ "АМУР ЗОЛОТО"</t>
        </is>
      </c>
      <c r="D260" s="7" t="inlineStr">
        <is>
          <t>2708001686</t>
        </is>
      </c>
      <c r="E260" s="6" t="inlineStr">
        <is>
          <t>ООО "Амур Золото"</t>
        </is>
      </c>
      <c r="F260" s="7" t="inlineStr">
        <is>
          <t>2708001686</t>
        </is>
      </c>
      <c r="G260" s="7" t="inlineStr">
        <is>
          <t>Успешно</t>
        </is>
      </c>
      <c r="H260" s="6" t="n"/>
      <c r="I260" s="6" t="n"/>
      <c r="J260" s="6" t="inlineStr">
        <is>
          <t>Пользовательский интерфейс</t>
        </is>
      </c>
      <c r="K260" s="7" t="n">
        <v>3</v>
      </c>
      <c r="L260" s="8" t="n"/>
      <c r="M260" s="137" t="inlineStr">
        <is>
          <t>+</t>
        </is>
      </c>
      <c r="N260" s="8" t="n"/>
      <c r="O260" s="8" t="n"/>
      <c r="P260" s="8" t="n"/>
      <c r="Q260" s="8" t="n"/>
      <c r="R260" s="8" t="n"/>
      <c r="S260" s="8" t="n"/>
      <c r="T260" s="8" t="n"/>
      <c r="U260" s="8" t="n"/>
      <c r="V260" s="8" t="n"/>
      <c r="W260" s="8" t="n"/>
      <c r="X260" s="137" t="inlineStr">
        <is>
          <t>+</t>
        </is>
      </c>
      <c r="Y260" s="137" t="inlineStr">
        <is>
          <t>+</t>
        </is>
      </c>
    </row>
    <row r="261">
      <c r="A261" s="6" t="inlineStr">
        <is>
          <t>работник 313</t>
        </is>
      </c>
      <c r="B261" s="6" t="inlineStr">
        <is>
          <t>Электрослесарь (слесарь) дежурный и по ремонту оборудования подземного горного участка</t>
        </is>
      </c>
      <c r="C261" s="6" t="inlineStr">
        <is>
          <t>ОБЩЕСТВО С ОГРАНИЧЕННОЙ ОТВЕТСТВЕННОСТЬЮ "АМУР ЗОЛОТО"</t>
        </is>
      </c>
      <c r="D261" s="7" t="inlineStr">
        <is>
          <t>2708001686</t>
        </is>
      </c>
      <c r="E261" s="6" t="inlineStr">
        <is>
          <t>ООО "Амур Золото"</t>
        </is>
      </c>
      <c r="F261" s="7" t="inlineStr">
        <is>
          <t>2708001686</t>
        </is>
      </c>
      <c r="G261" s="7" t="inlineStr">
        <is>
          <t>Успешно</t>
        </is>
      </c>
      <c r="H261" s="6" t="n"/>
      <c r="I261" s="6" t="n"/>
      <c r="J261" s="6" t="inlineStr">
        <is>
          <t>Пользовательский интерфейс</t>
        </is>
      </c>
      <c r="K261" s="7" t="n">
        <v>3</v>
      </c>
      <c r="L261" s="8" t="n"/>
      <c r="M261" s="137" t="inlineStr">
        <is>
          <t>+</t>
        </is>
      </c>
      <c r="N261" s="8" t="n"/>
      <c r="O261" s="8" t="n"/>
      <c r="P261" s="8" t="n"/>
      <c r="Q261" s="8" t="n"/>
      <c r="R261" s="8" t="n"/>
      <c r="S261" s="8" t="n"/>
      <c r="T261" s="8" t="n"/>
      <c r="U261" s="8" t="n"/>
      <c r="V261" s="8" t="n"/>
      <c r="W261" s="8" t="n"/>
      <c r="X261" s="137" t="inlineStr">
        <is>
          <t>+</t>
        </is>
      </c>
      <c r="Y261" s="137" t="inlineStr">
        <is>
          <t>+</t>
        </is>
      </c>
    </row>
    <row r="262">
      <c r="A262" s="6" t="inlineStr">
        <is>
          <t>работник 582</t>
        </is>
      </c>
      <c r="B262" s="6" t="inlineStr">
        <is>
          <t>Бункеровщик</t>
        </is>
      </c>
      <c r="C262" s="6" t="inlineStr">
        <is>
          <t>ОБЩЕСТВО С ОГРАНИЧЕННОЙ ОТВЕТСТВЕННОСТЬЮ "АМУР ЗОЛОТО"</t>
        </is>
      </c>
      <c r="D262" s="7" t="inlineStr">
        <is>
          <t>2708001686</t>
        </is>
      </c>
      <c r="E262" s="6" t="inlineStr">
        <is>
          <t>ООО "Амур Золото"</t>
        </is>
      </c>
      <c r="F262" s="7" t="inlineStr">
        <is>
          <t>2708001686</t>
        </is>
      </c>
      <c r="G262" s="7" t="inlineStr">
        <is>
          <t>Успешно</t>
        </is>
      </c>
      <c r="H262" s="6" t="n"/>
      <c r="I262" s="6" t="n"/>
      <c r="J262" s="6" t="inlineStr">
        <is>
          <t>Пользовательский интерфейс</t>
        </is>
      </c>
      <c r="K262" s="7" t="n">
        <v>2</v>
      </c>
      <c r="L262" s="8" t="n"/>
      <c r="M262" s="137" t="inlineStr">
        <is>
          <t>+</t>
        </is>
      </c>
      <c r="N262" s="8" t="n"/>
      <c r="O262" s="8" t="n"/>
      <c r="P262" s="8" t="n"/>
      <c r="Q262" s="8" t="n"/>
      <c r="R262" s="8" t="n"/>
      <c r="S262" s="8" t="n"/>
      <c r="T262" s="8" t="n"/>
      <c r="U262" s="8" t="n"/>
      <c r="V262" s="8" t="n"/>
      <c r="W262" s="8" t="n"/>
      <c r="X262" s="139" t="n"/>
      <c r="Y262" s="137" t="inlineStr">
        <is>
          <t>+</t>
        </is>
      </c>
    </row>
    <row r="263">
      <c r="A263" s="6" t="inlineStr">
        <is>
          <t>работник 897</t>
        </is>
      </c>
      <c r="B263" s="6" t="inlineStr">
        <is>
          <t>машинист автогрейдера</t>
        </is>
      </c>
      <c r="C263" s="6" t="inlineStr">
        <is>
          <t>ОБЩЕСТВО С ОГРАНИЧЕННОЙ ОТВЕТСТВЕННОСТЬЮ "АМУР ЗОЛОТО"</t>
        </is>
      </c>
      <c r="D263" s="7" t="inlineStr">
        <is>
          <t>2708001686</t>
        </is>
      </c>
      <c r="E263" s="6" t="inlineStr">
        <is>
          <t>ООО "Амур Золото"</t>
        </is>
      </c>
      <c r="F263" s="7" t="inlineStr">
        <is>
          <t>2708001686</t>
        </is>
      </c>
      <c r="G263" s="7" t="inlineStr">
        <is>
          <t>Успешно</t>
        </is>
      </c>
      <c r="H263" s="6" t="n"/>
      <c r="I263" s="6" t="n"/>
      <c r="J263" s="6" t="inlineStr">
        <is>
          <t>Пользовательский интерфейс</t>
        </is>
      </c>
      <c r="K263" s="7" t="n">
        <v>2</v>
      </c>
      <c r="L263" s="8" t="n"/>
      <c r="M263" s="137" t="inlineStr">
        <is>
          <t>+</t>
        </is>
      </c>
      <c r="N263" s="8" t="n"/>
      <c r="O263" s="8" t="n"/>
      <c r="P263" s="8" t="n"/>
      <c r="Q263" s="8" t="n"/>
      <c r="R263" s="8" t="n"/>
      <c r="S263" s="8" t="n"/>
      <c r="T263" s="8" t="n"/>
      <c r="U263" s="8" t="n"/>
      <c r="V263" s="8" t="n"/>
      <c r="W263" s="8" t="n"/>
      <c r="X263" s="139" t="n"/>
      <c r="Y263" s="137" t="inlineStr">
        <is>
          <t>+</t>
        </is>
      </c>
    </row>
    <row r="264">
      <c r="A264" s="6" t="inlineStr">
        <is>
          <t>работник 694</t>
        </is>
      </c>
      <c r="B264" s="6" t="inlineStr">
        <is>
          <t>Руководитель строительства группы объектов</t>
        </is>
      </c>
      <c r="C264" s="6" t="inlineStr">
        <is>
          <t>ОБЩЕСТВО С ОГРАНИЧЕННОЙ ОТВЕТСТВЕННОСТЬЮ "АМУР ЗОЛОТО"</t>
        </is>
      </c>
      <c r="D264" s="7" t="inlineStr">
        <is>
          <t>2708001686</t>
        </is>
      </c>
      <c r="E264" s="6" t="inlineStr">
        <is>
          <t>ООО "Амур Золото"</t>
        </is>
      </c>
      <c r="F264" s="7" t="inlineStr">
        <is>
          <t>2708001686</t>
        </is>
      </c>
      <c r="G264" s="7" t="inlineStr">
        <is>
          <t>Успешно</t>
        </is>
      </c>
      <c r="H264" s="6" t="n"/>
      <c r="I264" s="6" t="n"/>
      <c r="J264" s="6" t="inlineStr">
        <is>
          <t>Пользовательский интерфейс</t>
        </is>
      </c>
      <c r="K264" s="7" t="n">
        <v>2</v>
      </c>
      <c r="L264" s="141" t="n"/>
      <c r="M264" s="137" t="inlineStr">
        <is>
          <t>+</t>
        </is>
      </c>
      <c r="N264" s="8" t="n"/>
      <c r="O264" s="8" t="n"/>
      <c r="P264" s="8" t="n"/>
      <c r="Q264" s="8" t="n"/>
      <c r="R264" s="8" t="n"/>
      <c r="S264" s="8" t="n"/>
      <c r="T264" s="8" t="n"/>
      <c r="U264" s="8" t="n"/>
      <c r="V264" s="8" t="n"/>
      <c r="W264" s="8" t="n"/>
      <c r="X264" s="139" t="n"/>
      <c r="Y264" s="137" t="inlineStr">
        <is>
          <t>+</t>
        </is>
      </c>
    </row>
    <row r="265">
      <c r="A265" s="6" t="inlineStr">
        <is>
          <t>работник 646</t>
        </is>
      </c>
      <c r="B265" s="6" t="inlineStr">
        <is>
          <t>Растворщик реагентов</t>
        </is>
      </c>
      <c r="C265" s="6" t="inlineStr">
        <is>
          <t>ОБЩЕСТВО С ОГРАНИЧЕННОЙ ОТВЕТСТВЕННОСТЬЮ "АМУР ЗОЛОТО"</t>
        </is>
      </c>
      <c r="D265" s="7" t="inlineStr">
        <is>
          <t>2708001686</t>
        </is>
      </c>
      <c r="E265" s="6" t="inlineStr">
        <is>
          <t>ООО "Амур Золото"</t>
        </is>
      </c>
      <c r="F265" s="7" t="inlineStr">
        <is>
          <t>2708001686</t>
        </is>
      </c>
      <c r="G265" s="7" t="inlineStr">
        <is>
          <t>Успешно</t>
        </is>
      </c>
      <c r="H265" s="6" t="n"/>
      <c r="I265" s="6" t="n"/>
      <c r="J265" s="6" t="inlineStr">
        <is>
          <t>Пользовательский интерфейс</t>
        </is>
      </c>
      <c r="K265" s="7" t="n">
        <v>4</v>
      </c>
      <c r="L265" s="8" t="n"/>
      <c r="M265" s="137" t="inlineStr">
        <is>
          <t>+</t>
        </is>
      </c>
      <c r="N265" s="137" t="inlineStr">
        <is>
          <t>+</t>
        </is>
      </c>
      <c r="O265" s="8" t="n"/>
      <c r="P265" s="137" t="inlineStr">
        <is>
          <t>+</t>
        </is>
      </c>
      <c r="Q265" s="8" t="n"/>
      <c r="R265" s="8" t="n"/>
      <c r="S265" s="8" t="n"/>
      <c r="T265" s="8" t="n"/>
      <c r="U265" s="8" t="n"/>
      <c r="V265" s="8" t="n"/>
      <c r="W265" s="8" t="n"/>
      <c r="X265" s="139" t="n"/>
      <c r="Y265" s="137" t="inlineStr">
        <is>
          <t>+</t>
        </is>
      </c>
    </row>
    <row r="266">
      <c r="A266" s="6" t="inlineStr">
        <is>
          <t>работник 713</t>
        </is>
      </c>
      <c r="B266" s="6" t="inlineStr">
        <is>
          <t>Слесарь-электрик по ремонту электрооборудования</t>
        </is>
      </c>
      <c r="C266" s="6" t="inlineStr">
        <is>
          <t>ОБЩЕСТВО С ОГРАНИЧЕННОЙ ОТВЕТСТВЕННОСТЬЮ "АМУР ЗОЛОТО"</t>
        </is>
      </c>
      <c r="D266" s="7" t="inlineStr">
        <is>
          <t>2708001686</t>
        </is>
      </c>
      <c r="E266" s="6" t="inlineStr">
        <is>
          <t>ООО "Амур Золото"</t>
        </is>
      </c>
      <c r="F266" s="7" t="inlineStr">
        <is>
          <t>2708001686</t>
        </is>
      </c>
      <c r="G266" s="7" t="inlineStr">
        <is>
          <t>Успешно</t>
        </is>
      </c>
      <c r="H266" s="6" t="n"/>
      <c r="I266" s="6" t="n"/>
      <c r="J266" s="6" t="inlineStr">
        <is>
          <t>Пользовательский интерфейс</t>
        </is>
      </c>
      <c r="K266" s="7" t="n">
        <v>2</v>
      </c>
      <c r="L266" s="8" t="n"/>
      <c r="M266" s="137" t="inlineStr">
        <is>
          <t>+</t>
        </is>
      </c>
      <c r="N266" s="8" t="n"/>
      <c r="O266" s="8" t="n"/>
      <c r="P266" s="8" t="n"/>
      <c r="Q266" s="8" t="n"/>
      <c r="R266" s="8" t="n"/>
      <c r="S266" s="8" t="n"/>
      <c r="T266" s="8" t="n"/>
      <c r="U266" s="8" t="n"/>
      <c r="V266" s="8" t="n"/>
      <c r="W266" s="8" t="n"/>
      <c r="X266" s="139" t="n"/>
      <c r="Y266" s="137" t="inlineStr">
        <is>
          <t>+</t>
        </is>
      </c>
    </row>
    <row r="267">
      <c r="A267" s="6" t="inlineStr">
        <is>
          <t>работник 68</t>
        </is>
      </c>
      <c r="B267" s="6" t="inlineStr">
        <is>
          <t>Подсобный рабочий / Стропальщик (с исполнением обязанностей грузчика)</t>
        </is>
      </c>
      <c r="C267" s="6" t="inlineStr">
        <is>
          <t>ОБЩЕСТВО С ОГРАНИЧЕННОЙ ОТВЕТСТВЕННОСТЬЮ "АМУР ЗОЛОТО"</t>
        </is>
      </c>
      <c r="D267" s="7" t="inlineStr">
        <is>
          <t>2708001686</t>
        </is>
      </c>
      <c r="E267" s="6" t="inlineStr">
        <is>
          <t>ООО "Амур Золото"</t>
        </is>
      </c>
      <c r="F267" s="7" t="inlineStr">
        <is>
          <t>2708001686</t>
        </is>
      </c>
      <c r="G267" s="7" t="inlineStr">
        <is>
          <t>Успешно</t>
        </is>
      </c>
      <c r="H267" s="6" t="n"/>
      <c r="I267" s="6" t="n"/>
      <c r="J267" s="6" t="inlineStr">
        <is>
          <t>Пользовательский интерфейс</t>
        </is>
      </c>
      <c r="K267" s="7" t="n">
        <v>6</v>
      </c>
      <c r="L267" s="8" t="n"/>
      <c r="M267" s="137" t="inlineStr">
        <is>
          <t>+</t>
        </is>
      </c>
      <c r="N267" s="8" t="n"/>
      <c r="O267" s="8" t="n"/>
      <c r="P267" s="8" t="n"/>
      <c r="Q267" s="8" t="n"/>
      <c r="R267" s="8" t="n"/>
      <c r="S267" s="8" t="n"/>
      <c r="T267" s="8" t="n"/>
      <c r="U267" s="8" t="n"/>
      <c r="V267" s="8" t="n"/>
      <c r="W267" s="8" t="n"/>
      <c r="X267" s="137" t="inlineStr">
        <is>
          <t>+</t>
        </is>
      </c>
      <c r="Y267" s="137" t="inlineStr">
        <is>
          <t>+</t>
        </is>
      </c>
    </row>
    <row r="268">
      <c r="A268" s="6" t="inlineStr">
        <is>
          <t>работник 272</t>
        </is>
      </c>
      <c r="B268" s="6" t="inlineStr">
        <is>
          <t>Водитель автомобиля (занятый на транспортировании горной массы в технологическом процессе) / Водитель погрузчика</t>
        </is>
      </c>
      <c r="C268" s="6" t="inlineStr">
        <is>
          <t>ОБЩЕСТВО С ОГРАНИЧЕННОЙ ОТВЕТСТВЕННОСТЬЮ "АМУР ЗОЛОТО"</t>
        </is>
      </c>
      <c r="D268" s="7" t="inlineStr">
        <is>
          <t>2708001686</t>
        </is>
      </c>
      <c r="E268" s="6" t="inlineStr">
        <is>
          <t>ООО "Амур Золото"</t>
        </is>
      </c>
      <c r="F268" s="7" t="inlineStr">
        <is>
          <t>2708001686</t>
        </is>
      </c>
      <c r="G268" s="7" t="inlineStr">
        <is>
          <t>Успешно</t>
        </is>
      </c>
      <c r="H268" s="6" t="n"/>
      <c r="I268" s="6" t="n"/>
      <c r="J268" s="6" t="inlineStr">
        <is>
          <t>Пользовательский интерфейс</t>
        </is>
      </c>
      <c r="K268" s="7" t="n">
        <v>6</v>
      </c>
      <c r="L268" s="8" t="n"/>
      <c r="M268" s="137" t="inlineStr">
        <is>
          <t>+</t>
        </is>
      </c>
      <c r="N268" s="8" t="n"/>
      <c r="O268" s="8" t="n"/>
      <c r="P268" s="8" t="n"/>
      <c r="Q268" s="8" t="n"/>
      <c r="R268" s="8" t="n"/>
      <c r="S268" s="8" t="n"/>
      <c r="T268" s="8" t="n"/>
      <c r="U268" s="8" t="n"/>
      <c r="V268" s="8" t="n"/>
      <c r="W268" s="8" t="n"/>
      <c r="X268" s="137" t="inlineStr">
        <is>
          <t>+</t>
        </is>
      </c>
      <c r="Y268" s="137" t="inlineStr">
        <is>
          <t>+</t>
        </is>
      </c>
    </row>
    <row r="269">
      <c r="A269" s="6" t="inlineStr">
        <is>
          <t>работник 162</t>
        </is>
      </c>
      <c r="B269" s="6" t="inlineStr">
        <is>
          <t>Проходчик (с исполнением обязанностей взрывника)</t>
        </is>
      </c>
      <c r="C269" s="6" t="inlineStr">
        <is>
          <t>ОБЩЕСТВО С ОГРАНИЧЕННОЙ ОТВЕТСТВЕННОСТЬЮ "АМУР ЗОЛОТО"</t>
        </is>
      </c>
      <c r="D269" s="7" t="inlineStr">
        <is>
          <t>2708001686</t>
        </is>
      </c>
      <c r="E269" s="6" t="inlineStr">
        <is>
          <t>ООО "Амур Золото"</t>
        </is>
      </c>
      <c r="F269" s="7" t="inlineStr">
        <is>
          <t>2708001686</t>
        </is>
      </c>
      <c r="G269" s="7" t="inlineStr">
        <is>
          <t>Успешно</t>
        </is>
      </c>
      <c r="H269" s="6" t="n"/>
      <c r="I269" s="6" t="n"/>
      <c r="J269" s="6" t="inlineStr">
        <is>
          <t>Пользовательский интерфейс</t>
        </is>
      </c>
      <c r="K269" s="7" t="n">
        <v>8</v>
      </c>
      <c r="L269" s="8" t="n"/>
      <c r="M269" s="137" t="inlineStr">
        <is>
          <t>+</t>
        </is>
      </c>
      <c r="N269" s="8" t="n"/>
      <c r="O269" s="8" t="n"/>
      <c r="P269" s="8" t="n"/>
      <c r="Q269" s="8" t="n"/>
      <c r="R269" s="8" t="n"/>
      <c r="S269" s="8" t="n"/>
      <c r="T269" s="8" t="n"/>
      <c r="U269" s="8" t="n"/>
      <c r="V269" s="8" t="n"/>
      <c r="W269" s="8" t="n"/>
      <c r="X269" s="137" t="inlineStr">
        <is>
          <t>+</t>
        </is>
      </c>
      <c r="Y269" s="137" t="inlineStr">
        <is>
          <t>+</t>
        </is>
      </c>
    </row>
    <row r="270">
      <c r="A270" s="6" t="inlineStr">
        <is>
          <t>работник 919</t>
        </is>
      </c>
      <c r="B270" s="6" t="inlineStr">
        <is>
          <t>Стропальщик</t>
        </is>
      </c>
      <c r="C270" s="6" t="inlineStr">
        <is>
          <t>ОБЩЕСТВО С ОГРАНИЧЕННОЙ ОТВЕТСТВЕННОСТЬЮ "АМУР ЗОЛОТО"</t>
        </is>
      </c>
      <c r="D270" s="7" t="inlineStr">
        <is>
          <t>2708001686</t>
        </is>
      </c>
      <c r="E270" s="6" t="inlineStr">
        <is>
          <t>ООО "Амур Золото"</t>
        </is>
      </c>
      <c r="F270" s="7" t="inlineStr">
        <is>
          <t>2708001686</t>
        </is>
      </c>
      <c r="G270" s="7" t="inlineStr">
        <is>
          <t>Успешно</t>
        </is>
      </c>
      <c r="H270" s="6" t="n"/>
      <c r="I270" s="6" t="n"/>
      <c r="J270" s="6" t="inlineStr">
        <is>
          <t>Пользовательский интерфейс</t>
        </is>
      </c>
      <c r="K270" s="7" t="n">
        <v>3</v>
      </c>
      <c r="L270" s="8" t="n"/>
      <c r="M270" s="137" t="inlineStr">
        <is>
          <t>+</t>
        </is>
      </c>
      <c r="N270" s="8" t="n"/>
      <c r="O270" s="8" t="n"/>
      <c r="P270" s="8" t="n"/>
      <c r="Q270" s="8" t="n"/>
      <c r="R270" s="8" t="n"/>
      <c r="S270" s="8" t="n"/>
      <c r="T270" s="8" t="n"/>
      <c r="U270" s="8" t="n"/>
      <c r="V270" s="8" t="n"/>
      <c r="W270" s="8" t="n"/>
      <c r="X270" s="137" t="inlineStr">
        <is>
          <t>+</t>
        </is>
      </c>
      <c r="Y270" s="137" t="inlineStr">
        <is>
          <t>+</t>
        </is>
      </c>
    </row>
    <row r="271">
      <c r="A271" s="6" t="inlineStr">
        <is>
          <t>работник 182</t>
        </is>
      </c>
      <c r="B271" s="6" t="inlineStr">
        <is>
          <t>Ламповщик</t>
        </is>
      </c>
      <c r="C271" s="6" t="inlineStr">
        <is>
          <t>ОБЩЕСТВО С ОГРАНИЧЕННОЙ ОТВЕТСТВЕННОСТЬЮ "АМУР ЗОЛОТО"</t>
        </is>
      </c>
      <c r="D271" s="7" t="inlineStr">
        <is>
          <t>2708001686</t>
        </is>
      </c>
      <c r="E271" s="6" t="inlineStr">
        <is>
          <t>ООО "Амур Золото"</t>
        </is>
      </c>
      <c r="F271" s="7" t="inlineStr">
        <is>
          <t>2708001686</t>
        </is>
      </c>
      <c r="G271" s="7" t="inlineStr">
        <is>
          <t>Успешно</t>
        </is>
      </c>
      <c r="H271" s="6" t="n"/>
      <c r="I271" s="6" t="n"/>
      <c r="J271" s="6" t="inlineStr">
        <is>
          <t>Пользовательский интерфейс</t>
        </is>
      </c>
      <c r="K271" s="7" t="n">
        <v>3</v>
      </c>
      <c r="L271" s="8" t="n"/>
      <c r="M271" s="137" t="inlineStr">
        <is>
          <t>+</t>
        </is>
      </c>
      <c r="N271" s="8" t="n"/>
      <c r="O271" s="8" t="n"/>
      <c r="P271" s="8" t="n"/>
      <c r="Q271" s="8" t="n"/>
      <c r="R271" s="8" t="n"/>
      <c r="S271" s="8" t="n"/>
      <c r="T271" s="8" t="n"/>
      <c r="U271" s="8" t="n"/>
      <c r="V271" s="8" t="n"/>
      <c r="W271" s="8" t="n"/>
      <c r="X271" s="137" t="inlineStr">
        <is>
          <t>+</t>
        </is>
      </c>
      <c r="Y271" s="137" t="inlineStr">
        <is>
          <t>+</t>
        </is>
      </c>
    </row>
    <row r="272">
      <c r="A272" s="6" t="inlineStr">
        <is>
          <t>работник 349</t>
        </is>
      </c>
      <c r="B272" s="6" t="inlineStr">
        <is>
          <t>Крепильщик</t>
        </is>
      </c>
      <c r="C272" s="6" t="inlineStr">
        <is>
          <t>ОБЩЕСТВО С ОГРАНИЧЕННОЙ ОТВЕТСТВЕННОСТЬЮ "АМУР ЗОЛОТО"</t>
        </is>
      </c>
      <c r="D272" s="7" t="inlineStr">
        <is>
          <t>2708001686</t>
        </is>
      </c>
      <c r="E272" s="6" t="inlineStr">
        <is>
          <t>ООО "Амур Золото"</t>
        </is>
      </c>
      <c r="F272" s="7" t="inlineStr">
        <is>
          <t>2708001686</t>
        </is>
      </c>
      <c r="G272" s="7" t="inlineStr">
        <is>
          <t>Успешно</t>
        </is>
      </c>
      <c r="H272" s="6" t="n"/>
      <c r="I272" s="6" t="n"/>
      <c r="J272" s="6" t="inlineStr">
        <is>
          <t>Пользовательский интерфейс</t>
        </is>
      </c>
      <c r="K272" s="7" t="n">
        <v>3</v>
      </c>
      <c r="L272" s="8" t="n"/>
      <c r="M272" s="137" t="inlineStr">
        <is>
          <t>+</t>
        </is>
      </c>
      <c r="N272" s="8" t="n"/>
      <c r="O272" s="8" t="n"/>
      <c r="P272" s="8" t="n"/>
      <c r="Q272" s="8" t="n"/>
      <c r="R272" s="8" t="n"/>
      <c r="S272" s="8" t="n"/>
      <c r="T272" s="8" t="n"/>
      <c r="U272" s="8" t="n"/>
      <c r="V272" s="8" t="n"/>
      <c r="W272" s="8" t="n"/>
      <c r="X272" s="137" t="inlineStr">
        <is>
          <t>+</t>
        </is>
      </c>
      <c r="Y272" s="137" t="inlineStr">
        <is>
          <t>+</t>
        </is>
      </c>
    </row>
    <row r="273">
      <c r="A273" s="6" t="inlineStr">
        <is>
          <t>работник 218</t>
        </is>
      </c>
      <c r="B273" s="6" t="inlineStr">
        <is>
          <t>Водитель автомобиля(занятый на траспортировании горной массы в технологическом процессе)</t>
        </is>
      </c>
      <c r="C273" s="6" t="inlineStr">
        <is>
          <t>ОБЩЕСТВО С ОГРАНИЧЕННОЙ ОТВЕТСТВЕННОСТЬЮ "АМУР ЗОЛОТО"</t>
        </is>
      </c>
      <c r="D273" s="7" t="inlineStr">
        <is>
          <t>2708001686</t>
        </is>
      </c>
      <c r="E273" s="6" t="inlineStr">
        <is>
          <t>ООО "Амур Золото"</t>
        </is>
      </c>
      <c r="F273" s="7" t="inlineStr">
        <is>
          <t>2708001686</t>
        </is>
      </c>
      <c r="G273" s="7" t="inlineStr">
        <is>
          <t>Успешно</t>
        </is>
      </c>
      <c r="H273" s="6" t="n"/>
      <c r="I273" s="6" t="n"/>
      <c r="J273" s="6" t="inlineStr">
        <is>
          <t>Пользовательский интерфейс</t>
        </is>
      </c>
      <c r="K273" s="7" t="n">
        <v>3</v>
      </c>
      <c r="L273" s="8" t="n"/>
      <c r="M273" s="137" t="inlineStr">
        <is>
          <t>+</t>
        </is>
      </c>
      <c r="N273" s="8" t="n"/>
      <c r="O273" s="8" t="n"/>
      <c r="P273" s="8" t="n"/>
      <c r="Q273" s="8" t="n"/>
      <c r="R273" s="8" t="n"/>
      <c r="S273" s="8" t="n"/>
      <c r="T273" s="8" t="n"/>
      <c r="U273" s="8" t="n"/>
      <c r="V273" s="8" t="n"/>
      <c r="W273" s="8" t="n"/>
      <c r="X273" s="137" t="inlineStr">
        <is>
          <t>+</t>
        </is>
      </c>
      <c r="Y273" s="137" t="inlineStr">
        <is>
          <t>+</t>
        </is>
      </c>
    </row>
    <row r="274">
      <c r="A274" s="6" t="inlineStr">
        <is>
          <t>работник 715</t>
        </is>
      </c>
      <c r="B274" s="6" t="inlineStr">
        <is>
          <t>Промывальщик геологических проб</t>
        </is>
      </c>
      <c r="C274" s="6" t="inlineStr">
        <is>
          <t>ОБЩЕСТВО С ОГРАНИЧЕННОЙ ОТВЕТСТВЕННОСТЬЮ "АМУР ЗОЛОТО"</t>
        </is>
      </c>
      <c r="D274" s="7" t="inlineStr">
        <is>
          <t>2708001686</t>
        </is>
      </c>
      <c r="E274" s="6" t="inlineStr">
        <is>
          <t>ООО "Амур Золото"</t>
        </is>
      </c>
      <c r="F274" s="7" t="inlineStr">
        <is>
          <t>2708001686</t>
        </is>
      </c>
      <c r="G274" s="7" t="inlineStr">
        <is>
          <t>Успешно</t>
        </is>
      </c>
      <c r="H274" s="6" t="n"/>
      <c r="I274" s="6" t="n"/>
      <c r="J274" s="6" t="inlineStr">
        <is>
          <t>Пользовательский интерфейс</t>
        </is>
      </c>
      <c r="K274" s="7" t="n">
        <v>2</v>
      </c>
      <c r="L274" s="8" t="n"/>
      <c r="M274" s="137" t="inlineStr">
        <is>
          <t>+</t>
        </is>
      </c>
      <c r="N274" s="8" t="n"/>
      <c r="O274" s="8" t="n"/>
      <c r="P274" s="8" t="n"/>
      <c r="Q274" s="8" t="n"/>
      <c r="R274" s="8" t="n"/>
      <c r="S274" s="8" t="n"/>
      <c r="T274" s="8" t="n"/>
      <c r="U274" s="8" t="n"/>
      <c r="V274" s="8" t="n"/>
      <c r="W274" s="8" t="n"/>
      <c r="X274" s="139" t="n"/>
      <c r="Y274" s="137" t="inlineStr">
        <is>
          <t>+</t>
        </is>
      </c>
    </row>
    <row r="275">
      <c r="A275" s="6" t="inlineStr">
        <is>
          <t>работник 337</t>
        </is>
      </c>
      <c r="B275" s="6" t="inlineStr">
        <is>
          <t>Теплотехник</t>
        </is>
      </c>
      <c r="C275" s="6" t="inlineStr">
        <is>
          <t>ОБЩЕСТВО С ОГРАНИЧЕННОЙ ОТВЕТСТВЕННОСТЬЮ "АМУР ЗОЛОТО"</t>
        </is>
      </c>
      <c r="D275" s="7" t="inlineStr">
        <is>
          <t>2708001686</t>
        </is>
      </c>
      <c r="E275" s="6" t="inlineStr">
        <is>
          <t>ООО "Амур Золото"</t>
        </is>
      </c>
      <c r="F275" s="7" t="inlineStr">
        <is>
          <t>2708001686</t>
        </is>
      </c>
      <c r="G275" s="7" t="inlineStr">
        <is>
          <t>Успешно</t>
        </is>
      </c>
      <c r="H275" s="6" t="n"/>
      <c r="I275" s="6" t="n"/>
      <c r="J275" s="6" t="inlineStr">
        <is>
          <t>Пользовательский интерфейс</t>
        </is>
      </c>
      <c r="K275" s="7" t="n">
        <v>3</v>
      </c>
      <c r="L275" s="8" t="n"/>
      <c r="M275" s="137" t="inlineStr">
        <is>
          <t>+</t>
        </is>
      </c>
      <c r="N275" s="8" t="n"/>
      <c r="O275" s="8" t="n"/>
      <c r="P275" s="8" t="n"/>
      <c r="Q275" s="8" t="n"/>
      <c r="R275" s="8" t="n"/>
      <c r="S275" s="8" t="n"/>
      <c r="T275" s="8" t="n"/>
      <c r="U275" s="8" t="n"/>
      <c r="V275" s="8" t="n"/>
      <c r="W275" s="8" t="n"/>
      <c r="X275" s="140" t="inlineStr">
        <is>
          <t>+</t>
        </is>
      </c>
      <c r="Y275" s="137" t="inlineStr">
        <is>
          <t>+</t>
        </is>
      </c>
    </row>
    <row r="276">
      <c r="A276" s="6" t="inlineStr">
        <is>
          <t>работник 783</t>
        </is>
      </c>
      <c r="B276" s="6" t="inlineStr">
        <is>
          <t>Машинист автогрейдера</t>
        </is>
      </c>
      <c r="C276" s="6" t="inlineStr">
        <is>
          <t>ОБЩЕСТВО С ОГРАНИЧЕННОЙ ОТВЕТСТВЕННОСТЬЮ "АМУР ЗОЛОТО"</t>
        </is>
      </c>
      <c r="D276" s="7" t="inlineStr">
        <is>
          <t>2708001686</t>
        </is>
      </c>
      <c r="E276" s="6" t="inlineStr">
        <is>
          <t>ООО "Амур Золото"</t>
        </is>
      </c>
      <c r="F276" s="7" t="inlineStr">
        <is>
          <t>2708001686</t>
        </is>
      </c>
      <c r="G276" s="7" t="inlineStr">
        <is>
          <t>Успешно</t>
        </is>
      </c>
      <c r="H276" s="6" t="n"/>
      <c r="I276" s="6" t="n"/>
      <c r="J276" s="6" t="inlineStr">
        <is>
          <t>Пользовательский интерфейс</t>
        </is>
      </c>
      <c r="K276" s="7" t="n">
        <v>3</v>
      </c>
      <c r="L276" s="8" t="n"/>
      <c r="M276" s="137" t="inlineStr">
        <is>
          <t>+</t>
        </is>
      </c>
      <c r="N276" s="8" t="n"/>
      <c r="O276" s="8" t="n"/>
      <c r="P276" s="8" t="n"/>
      <c r="Q276" s="8" t="n"/>
      <c r="R276" s="8" t="n"/>
      <c r="S276" s="8" t="n"/>
      <c r="T276" s="8" t="n"/>
      <c r="U276" s="8" t="n"/>
      <c r="V276" s="8" t="n"/>
      <c r="W276" s="8" t="n"/>
      <c r="X276" s="137" t="inlineStr">
        <is>
          <t>+</t>
        </is>
      </c>
      <c r="Y276" s="137" t="inlineStr">
        <is>
          <t>+</t>
        </is>
      </c>
    </row>
    <row r="277">
      <c r="A277" s="6" t="inlineStr">
        <is>
          <t>работник 439</t>
        </is>
      </c>
      <c r="B277" s="6" t="inlineStr">
        <is>
          <t>Машинист конвейера</t>
        </is>
      </c>
      <c r="C277" s="6" t="inlineStr">
        <is>
          <t>ОБЩЕСТВО С ОГРАНИЧЕННОЙ ОТВЕТСТВЕННОСТЬЮ "АМУР ЗОЛОТО"</t>
        </is>
      </c>
      <c r="D277" s="7" t="inlineStr">
        <is>
          <t>2708001686</t>
        </is>
      </c>
      <c r="E277" s="6" t="inlineStr">
        <is>
          <t>ООО "Амур Золото"</t>
        </is>
      </c>
      <c r="F277" s="7" t="inlineStr">
        <is>
          <t>2708001686</t>
        </is>
      </c>
      <c r="G277" s="7" t="inlineStr">
        <is>
          <t>Успешно</t>
        </is>
      </c>
      <c r="H277" s="6" t="n"/>
      <c r="I277" s="6" t="n"/>
      <c r="J277" s="6" t="inlineStr">
        <is>
          <t>Пользовательский интерфейс</t>
        </is>
      </c>
      <c r="K277" s="7" t="n">
        <v>5</v>
      </c>
      <c r="L277" s="8" t="n"/>
      <c r="M277" s="137" t="inlineStr">
        <is>
          <t>+</t>
        </is>
      </c>
      <c r="N277" s="8" t="n"/>
      <c r="O277" s="8" t="n"/>
      <c r="P277" s="8" t="n"/>
      <c r="Q277" s="8" t="n"/>
      <c r="R277" s="8" t="n"/>
      <c r="S277" s="8" t="n"/>
      <c r="T277" s="8" t="n"/>
      <c r="U277" s="8" t="n"/>
      <c r="V277" s="8" t="n"/>
      <c r="W277" s="8" t="n"/>
      <c r="X277" s="137" t="inlineStr">
        <is>
          <t>+</t>
        </is>
      </c>
      <c r="Y277" s="137" t="inlineStr">
        <is>
          <t>+</t>
        </is>
      </c>
    </row>
    <row r="278">
      <c r="A278" s="6" t="inlineStr">
        <is>
          <t>работник 628</t>
        </is>
      </c>
      <c r="B278" s="6" t="inlineStr">
        <is>
          <t>Подсобный рабочий</t>
        </is>
      </c>
      <c r="C278" s="6" t="inlineStr">
        <is>
          <t>ОБЩЕСТВО С ОГРАНИЧЕННОЙ ОТВЕТСТВЕННОСТЬЮ "АМУР ЗОЛОТО"</t>
        </is>
      </c>
      <c r="D278" s="7" t="inlineStr">
        <is>
          <t>2708001686</t>
        </is>
      </c>
      <c r="E278" s="6" t="inlineStr">
        <is>
          <t>ООО "Амур Золото"</t>
        </is>
      </c>
      <c r="F278" s="7" t="inlineStr">
        <is>
          <t>2708001686</t>
        </is>
      </c>
      <c r="G278" s="7" t="inlineStr">
        <is>
          <t>Успешно</t>
        </is>
      </c>
      <c r="H278" s="6" t="n"/>
      <c r="I278" s="6" t="n"/>
      <c r="J278" s="6" t="inlineStr">
        <is>
          <t>Пользовательский интерфейс</t>
        </is>
      </c>
      <c r="K278" s="7" t="n">
        <v>2</v>
      </c>
      <c r="L278" s="8" t="n"/>
      <c r="M278" s="137" t="inlineStr">
        <is>
          <t>+</t>
        </is>
      </c>
      <c r="N278" s="8" t="n"/>
      <c r="O278" s="8" t="n"/>
      <c r="P278" s="8" t="n"/>
      <c r="Q278" s="8" t="n"/>
      <c r="R278" s="8" t="n"/>
      <c r="S278" s="8" t="n"/>
      <c r="T278" s="8" t="n"/>
      <c r="U278" s="8" t="n"/>
      <c r="V278" s="8" t="n"/>
      <c r="W278" s="8" t="n"/>
      <c r="X278" s="139" t="n"/>
      <c r="Y278" s="137" t="inlineStr">
        <is>
          <t>+</t>
        </is>
      </c>
    </row>
    <row r="279">
      <c r="A279" s="6" t="inlineStr">
        <is>
          <t>работник 833</t>
        </is>
      </c>
      <c r="B279" s="6" t="inlineStr">
        <is>
          <t>Электромонтер по ремонту и обслуживанию электрооборудования</t>
        </is>
      </c>
      <c r="C279" s="6" t="inlineStr">
        <is>
          <t>ОБЩЕСТВО С ОГРАНИЧЕННОЙ ОТВЕТСТВЕННОСТЬЮ "АМУР ЗОЛОТО"</t>
        </is>
      </c>
      <c r="D279" s="7" t="inlineStr">
        <is>
          <t>2708001686</t>
        </is>
      </c>
      <c r="E279" s="6" t="inlineStr">
        <is>
          <t>ООО "Амур Золото"</t>
        </is>
      </c>
      <c r="F279" s="7" t="inlineStr">
        <is>
          <t>2708001686</t>
        </is>
      </c>
      <c r="G279" s="7" t="inlineStr">
        <is>
          <t>Успешно</t>
        </is>
      </c>
      <c r="H279" s="6" t="n"/>
      <c r="I279" s="6" t="n"/>
      <c r="J279" s="6" t="inlineStr">
        <is>
          <t>Пользовательский интерфейс</t>
        </is>
      </c>
      <c r="K279" s="7" t="n">
        <v>7</v>
      </c>
      <c r="L279" s="8" t="n"/>
      <c r="M279" s="137" t="inlineStr">
        <is>
          <t>+</t>
        </is>
      </c>
      <c r="N279" s="8" t="n"/>
      <c r="O279" s="8" t="n"/>
      <c r="P279" s="8" t="n"/>
      <c r="Q279" s="8" t="n"/>
      <c r="R279" s="8" t="n"/>
      <c r="S279" s="8" t="n"/>
      <c r="T279" s="137" t="inlineStr">
        <is>
          <t>+</t>
        </is>
      </c>
      <c r="U279" s="8" t="n"/>
      <c r="V279" s="8" t="n"/>
      <c r="W279" s="8" t="n"/>
      <c r="X279" s="137" t="inlineStr">
        <is>
          <t>+</t>
        </is>
      </c>
      <c r="Y279" s="137" t="inlineStr">
        <is>
          <t>+</t>
        </is>
      </c>
    </row>
    <row r="280">
      <c r="A280" s="6" t="inlineStr">
        <is>
          <t>работник 314</t>
        </is>
      </c>
      <c r="B280" s="6" t="inlineStr">
        <is>
          <t>Помощник машиниста  самоходной буровой установки (с исполнением обязанностей пробоотборщика) (Очистное)</t>
        </is>
      </c>
      <c r="C280" s="6" t="inlineStr">
        <is>
          <t>ОБЩЕСТВО С ОГРАНИЧЕННОЙ ОТВЕТСТВЕННОСТЬЮ "АМУР ЗОЛОТО"</t>
        </is>
      </c>
      <c r="D280" s="7" t="inlineStr">
        <is>
          <t>2708001686</t>
        </is>
      </c>
      <c r="E280" s="6" t="inlineStr">
        <is>
          <t>ООО "Амур Золото"</t>
        </is>
      </c>
      <c r="F280" s="7" t="inlineStr">
        <is>
          <t>2708001686</t>
        </is>
      </c>
      <c r="G280" s="7" t="inlineStr">
        <is>
          <t>Успешно</t>
        </is>
      </c>
      <c r="H280" s="6" t="n"/>
      <c r="I280" s="6" t="n"/>
      <c r="J280" s="6" t="inlineStr">
        <is>
          <t>Пользовательский интерфейс</t>
        </is>
      </c>
      <c r="K280" s="7" t="n">
        <v>3</v>
      </c>
      <c r="L280" s="8" t="n"/>
      <c r="M280" s="137" t="inlineStr">
        <is>
          <t>+</t>
        </is>
      </c>
      <c r="N280" s="8" t="n"/>
      <c r="O280" s="8" t="n"/>
      <c r="P280" s="8" t="n"/>
      <c r="Q280" s="8" t="n"/>
      <c r="R280" s="8" t="n"/>
      <c r="S280" s="8" t="n"/>
      <c r="T280" s="8" t="n"/>
      <c r="U280" s="8" t="n"/>
      <c r="V280" s="8" t="n"/>
      <c r="W280" s="8" t="n"/>
      <c r="X280" s="137" t="inlineStr">
        <is>
          <t>+</t>
        </is>
      </c>
      <c r="Y280" s="137" t="inlineStr">
        <is>
          <t>+</t>
        </is>
      </c>
    </row>
    <row r="281">
      <c r="A281" s="6" t="inlineStr">
        <is>
          <t>работник 342</t>
        </is>
      </c>
      <c r="B281" s="6" t="inlineStr">
        <is>
          <t>Бункеровщик / Машинист мельниц</t>
        </is>
      </c>
      <c r="C281" s="6" t="inlineStr">
        <is>
          <t>ОБЩЕСТВО С ОГРАНИЧЕННОЙ ОТВЕТСТВЕННОСТЬЮ "АМУР ЗОЛОТО"</t>
        </is>
      </c>
      <c r="D281" s="7" t="inlineStr">
        <is>
          <t>2708001686</t>
        </is>
      </c>
      <c r="E281" s="6" t="inlineStr">
        <is>
          <t>ООО "Амур Золото"</t>
        </is>
      </c>
      <c r="F281" s="7" t="inlineStr">
        <is>
          <t>2708001686</t>
        </is>
      </c>
      <c r="G281" s="7" t="inlineStr">
        <is>
          <t>Успешно</t>
        </is>
      </c>
      <c r="H281" s="6" t="n"/>
      <c r="I281" s="6" t="n"/>
      <c r="J281" s="6" t="inlineStr">
        <is>
          <t>Пользовательский интерфейс</t>
        </is>
      </c>
      <c r="K281" s="7" t="n">
        <v>6</v>
      </c>
      <c r="L281" s="8" t="n"/>
      <c r="M281" s="137" t="inlineStr">
        <is>
          <t>+</t>
        </is>
      </c>
      <c r="N281" s="8" t="n"/>
      <c r="O281" s="8" t="n"/>
      <c r="P281" s="8" t="n"/>
      <c r="Q281" s="8" t="n"/>
      <c r="R281" s="8" t="n"/>
      <c r="S281" s="8" t="n"/>
      <c r="T281" s="8" t="n"/>
      <c r="U281" s="8" t="n"/>
      <c r="V281" s="8" t="n"/>
      <c r="W281" s="8" t="n"/>
      <c r="X281" s="137" t="inlineStr">
        <is>
          <t>+</t>
        </is>
      </c>
      <c r="Y281" s="137" t="inlineStr">
        <is>
          <t>+</t>
        </is>
      </c>
    </row>
    <row r="282">
      <c r="A282" s="6" t="inlineStr">
        <is>
          <t>работник 605</t>
        </is>
      </c>
      <c r="B282" s="6" t="inlineStr">
        <is>
          <t>Раздатчик взрывчатых материалов</t>
        </is>
      </c>
      <c r="C282" s="6" t="inlineStr">
        <is>
          <t>ОБЩЕСТВО С ОГРАНИЧЕННОЙ ОТВЕТСТВЕННОСТЬЮ "АМУР ЗОЛОТО"</t>
        </is>
      </c>
      <c r="D282" s="7" t="inlineStr">
        <is>
          <t>2708001686</t>
        </is>
      </c>
      <c r="E282" s="6" t="inlineStr">
        <is>
          <t>ООО "Амур Золото"</t>
        </is>
      </c>
      <c r="F282" s="7" t="inlineStr">
        <is>
          <t>2708001686</t>
        </is>
      </c>
      <c r="G282" s="7" t="inlineStr">
        <is>
          <t>Успешно</t>
        </is>
      </c>
      <c r="H282" s="6" t="n"/>
      <c r="I282" s="6" t="n"/>
      <c r="J282" s="6" t="inlineStr">
        <is>
          <t>Пользовательский интерфейс</t>
        </is>
      </c>
      <c r="K282" s="7" t="n">
        <v>2</v>
      </c>
      <c r="L282" s="8" t="n"/>
      <c r="M282" s="137" t="inlineStr">
        <is>
          <t>+</t>
        </is>
      </c>
      <c r="N282" s="8" t="n"/>
      <c r="O282" s="8" t="n"/>
      <c r="P282" s="8" t="n"/>
      <c r="Q282" s="8" t="n"/>
      <c r="R282" s="8" t="n"/>
      <c r="S282" s="8" t="n"/>
      <c r="T282" s="8" t="n"/>
      <c r="U282" s="8" t="n"/>
      <c r="V282" s="8" t="n"/>
      <c r="W282" s="8" t="n"/>
      <c r="X282" s="139" t="n"/>
      <c r="Y282" s="137" t="inlineStr">
        <is>
          <t>+</t>
        </is>
      </c>
    </row>
    <row r="283">
      <c r="A283" s="6" t="inlineStr">
        <is>
          <t>работник 163</t>
        </is>
      </c>
      <c r="B283" s="6" t="inlineStr">
        <is>
          <t>Машинист подземно-доставочной машины</t>
        </is>
      </c>
      <c r="C283" s="6" t="inlineStr">
        <is>
          <t>ОБЩЕСТВО С ОГРАНИЧЕННОЙ ОТВЕТСТВЕННОСТЬЮ "АМУР ЗОЛОТО"</t>
        </is>
      </c>
      <c r="D283" s="7" t="inlineStr">
        <is>
          <t>2708001686</t>
        </is>
      </c>
      <c r="E283" s="6" t="inlineStr">
        <is>
          <t>ООО "Амур Золото"</t>
        </is>
      </c>
      <c r="F283" s="7" t="inlineStr">
        <is>
          <t>2708001686</t>
        </is>
      </c>
      <c r="G283" s="7" t="inlineStr">
        <is>
          <t>Успешно</t>
        </is>
      </c>
      <c r="H283" s="6" t="n"/>
      <c r="I283" s="6" t="n"/>
      <c r="J283" s="6" t="inlineStr">
        <is>
          <t>Пользовательский интерфейс</t>
        </is>
      </c>
      <c r="K283" s="7" t="n">
        <v>3</v>
      </c>
      <c r="L283" s="8" t="n"/>
      <c r="M283" s="137" t="inlineStr">
        <is>
          <t>+</t>
        </is>
      </c>
      <c r="N283" s="8" t="n"/>
      <c r="O283" s="8" t="n"/>
      <c r="P283" s="8" t="n"/>
      <c r="Q283" s="8" t="n"/>
      <c r="R283" s="8" t="n"/>
      <c r="S283" s="8" t="n"/>
      <c r="T283" s="8" t="n"/>
      <c r="U283" s="8" t="n"/>
      <c r="V283" s="8" t="n"/>
      <c r="W283" s="8" t="n"/>
      <c r="X283" s="137" t="inlineStr">
        <is>
          <t>+</t>
        </is>
      </c>
      <c r="Y283" s="137" t="inlineStr">
        <is>
          <t>+</t>
        </is>
      </c>
    </row>
    <row r="284">
      <c r="A284" s="6" t="inlineStr">
        <is>
          <t>работник 231</t>
        </is>
      </c>
      <c r="B284" s="6" t="inlineStr">
        <is>
          <t>Стропальщик (с исполнением обязанностей грузчика)</t>
        </is>
      </c>
      <c r="C284" s="6" t="inlineStr">
        <is>
          <t>ОБЩЕСТВО С ОГРАНИЧЕННОЙ ОТВЕТСТВЕННОСТЬЮ "АМУР ЗОЛОТО"</t>
        </is>
      </c>
      <c r="D284" s="7" t="inlineStr">
        <is>
          <t>2708001686</t>
        </is>
      </c>
      <c r="E284" s="6" t="inlineStr">
        <is>
          <t>ООО "Амур Золото"</t>
        </is>
      </c>
      <c r="F284" s="7" t="inlineStr">
        <is>
          <t>2708001686</t>
        </is>
      </c>
      <c r="G284" s="7" t="inlineStr">
        <is>
          <t>Успешно</t>
        </is>
      </c>
      <c r="H284" s="6" t="n"/>
      <c r="I284" s="6" t="n"/>
      <c r="J284" s="6" t="inlineStr">
        <is>
          <t>Пользовательский интерфейс</t>
        </is>
      </c>
      <c r="K284" s="7" t="n">
        <v>3</v>
      </c>
      <c r="L284" s="8" t="n"/>
      <c r="M284" s="137" t="inlineStr">
        <is>
          <t>+</t>
        </is>
      </c>
      <c r="N284" s="8" t="n"/>
      <c r="O284" s="8" t="n"/>
      <c r="P284" s="8" t="n"/>
      <c r="Q284" s="8" t="n"/>
      <c r="R284" s="8" t="n"/>
      <c r="S284" s="8" t="n"/>
      <c r="T284" s="8" t="n"/>
      <c r="U284" s="8" t="n"/>
      <c r="V284" s="8" t="n"/>
      <c r="W284" s="8" t="n"/>
      <c r="X284" s="137" t="inlineStr">
        <is>
          <t>+</t>
        </is>
      </c>
      <c r="Y284" s="137" t="inlineStr">
        <is>
          <t>+</t>
        </is>
      </c>
    </row>
    <row r="285">
      <c r="A285" s="6" t="inlineStr">
        <is>
          <t>работник 543</t>
        </is>
      </c>
      <c r="B285" s="6" t="inlineStr">
        <is>
          <t>Контролер продукции обогащения / Пробоотборщик</t>
        </is>
      </c>
      <c r="C285" s="6" t="inlineStr">
        <is>
          <t>ОБЩЕСТВО С ОГРАНИЧЕННОЙ ОТВЕТСТВЕННОСТЬЮ "АМУР ЗОЛОТО"</t>
        </is>
      </c>
      <c r="D285" s="7" t="inlineStr">
        <is>
          <t>2708001686</t>
        </is>
      </c>
      <c r="E285" s="6" t="inlineStr">
        <is>
          <t>ООО "Амур Золото"</t>
        </is>
      </c>
      <c r="F285" s="7" t="inlineStr">
        <is>
          <t>2708001686</t>
        </is>
      </c>
      <c r="G285" s="7" t="inlineStr">
        <is>
          <t>Успешно</t>
        </is>
      </c>
      <c r="H285" s="6" t="n"/>
      <c r="I285" s="6" t="n"/>
      <c r="J285" s="6" t="inlineStr">
        <is>
          <t>Пользовательский интерфейс</t>
        </is>
      </c>
      <c r="K285" s="7" t="n">
        <v>5</v>
      </c>
      <c r="L285" s="8" t="n"/>
      <c r="M285" s="137" t="inlineStr">
        <is>
          <t>+</t>
        </is>
      </c>
      <c r="N285" s="8" t="n"/>
      <c r="O285" s="8" t="n"/>
      <c r="P285" s="8" t="n"/>
      <c r="Q285" s="8" t="n"/>
      <c r="R285" s="8" t="n"/>
      <c r="S285" s="8" t="n"/>
      <c r="T285" s="8" t="n"/>
      <c r="U285" s="8" t="n"/>
      <c r="V285" s="8" t="n"/>
      <c r="W285" s="8" t="n"/>
      <c r="X285" s="137" t="inlineStr">
        <is>
          <t>+</t>
        </is>
      </c>
      <c r="Y285" s="137" t="inlineStr">
        <is>
          <t>+</t>
        </is>
      </c>
    </row>
    <row r="286">
      <c r="A286" s="6" t="inlineStr">
        <is>
          <t>работник 273</t>
        </is>
      </c>
      <c r="B286" s="6" t="inlineStr">
        <is>
          <t>Водитель автомобиля (занятый на транспортировании горной массы в технологическом процессе)</t>
        </is>
      </c>
      <c r="C286" s="6" t="inlineStr">
        <is>
          <t>ОБЩЕСТВО С ОГРАНИЧЕННОЙ ОТВЕТСТВЕННОСТЬЮ "АМУР ЗОЛОТО"</t>
        </is>
      </c>
      <c r="D286" s="7" t="inlineStr">
        <is>
          <t>2708001686</t>
        </is>
      </c>
      <c r="E286" s="6" t="inlineStr">
        <is>
          <t>ООО "Амур Золото"</t>
        </is>
      </c>
      <c r="F286" s="7" t="inlineStr">
        <is>
          <t>2708001686</t>
        </is>
      </c>
      <c r="G286" s="7" t="inlineStr">
        <is>
          <t>Успешно</t>
        </is>
      </c>
      <c r="H286" s="6" t="n"/>
      <c r="I286" s="6" t="n"/>
      <c r="J286" s="6" t="inlineStr">
        <is>
          <t>Пользовательский интерфейс</t>
        </is>
      </c>
      <c r="K286" s="7" t="n">
        <v>3</v>
      </c>
      <c r="L286" s="8" t="n"/>
      <c r="M286" s="137" t="inlineStr">
        <is>
          <t>+</t>
        </is>
      </c>
      <c r="N286" s="8" t="n"/>
      <c r="O286" s="8" t="n"/>
      <c r="P286" s="8" t="n"/>
      <c r="Q286" s="8" t="n"/>
      <c r="R286" s="8" t="n"/>
      <c r="S286" s="8" t="n"/>
      <c r="T286" s="8" t="n"/>
      <c r="U286" s="8" t="n"/>
      <c r="V286" s="8" t="n"/>
      <c r="W286" s="8" t="n"/>
      <c r="X286" s="137" t="inlineStr">
        <is>
          <t>+</t>
        </is>
      </c>
      <c r="Y286" s="137" t="inlineStr">
        <is>
          <t>+</t>
        </is>
      </c>
    </row>
    <row r="287">
      <c r="A287" s="6" t="inlineStr">
        <is>
          <t>работник 40</t>
        </is>
      </c>
      <c r="B287" s="6" t="inlineStr">
        <is>
          <t>Лаборант химического анализа</t>
        </is>
      </c>
      <c r="C287" s="6" t="inlineStr">
        <is>
          <t>ОБЩЕСТВО С ОГРАНИЧЕННОЙ ОТВЕТСТВЕННОСТЬЮ "АМУР ЗОЛОТО"</t>
        </is>
      </c>
      <c r="D287" s="7" t="inlineStr">
        <is>
          <t>2708001686</t>
        </is>
      </c>
      <c r="E287" s="6" t="inlineStr">
        <is>
          <t>ООО "Амур Золото"</t>
        </is>
      </c>
      <c r="F287" s="7" t="inlineStr">
        <is>
          <t>2708001686</t>
        </is>
      </c>
      <c r="G287" s="7" t="inlineStr">
        <is>
          <t>Успешно</t>
        </is>
      </c>
      <c r="H287" s="6" t="n"/>
      <c r="I287" s="6" t="n"/>
      <c r="J287" s="6" t="inlineStr">
        <is>
          <t>Пользовательский интерфейс</t>
        </is>
      </c>
      <c r="K287" s="7" t="n">
        <v>5</v>
      </c>
      <c r="L287" s="8" t="n"/>
      <c r="M287" s="137" t="inlineStr">
        <is>
          <t>+</t>
        </is>
      </c>
      <c r="N287" s="8" t="n"/>
      <c r="O287" s="8" t="n"/>
      <c r="P287" s="8" t="n"/>
      <c r="Q287" s="8" t="n"/>
      <c r="R287" s="8" t="n"/>
      <c r="S287" s="8" t="n"/>
      <c r="T287" s="8" t="n"/>
      <c r="U287" s="8" t="n"/>
      <c r="V287" s="8" t="n"/>
      <c r="W287" s="8" t="n"/>
      <c r="X287" s="137" t="inlineStr">
        <is>
          <t>+</t>
        </is>
      </c>
      <c r="Y287" s="137" t="inlineStr">
        <is>
          <t>+</t>
        </is>
      </c>
    </row>
    <row r="288">
      <c r="A288" s="6" t="inlineStr">
        <is>
          <t>работник 485</t>
        </is>
      </c>
      <c r="B288" s="6" t="inlineStr">
        <is>
          <t>Машинист подземных самоходных машин</t>
        </is>
      </c>
      <c r="C288" s="6" t="inlineStr">
        <is>
          <t>ОБЩЕСТВО С ОГРАНИЧЕННОЙ ОТВЕТСТВЕННОСТЬЮ "АМУР ЗОЛОТО"</t>
        </is>
      </c>
      <c r="D288" s="7" t="inlineStr">
        <is>
          <t>2708001686</t>
        </is>
      </c>
      <c r="E288" s="6" t="inlineStr">
        <is>
          <t>ООО "Амур Золото"</t>
        </is>
      </c>
      <c r="F288" s="7" t="inlineStr">
        <is>
          <t>2708001686</t>
        </is>
      </c>
      <c r="G288" s="7" t="inlineStr">
        <is>
          <t>Успешно</t>
        </is>
      </c>
      <c r="H288" s="6" t="n"/>
      <c r="I288" s="6" t="n"/>
      <c r="J288" s="6" t="inlineStr">
        <is>
          <t>Пользовательский интерфейс</t>
        </is>
      </c>
      <c r="K288" s="7" t="n">
        <v>2</v>
      </c>
      <c r="L288" s="8" t="n"/>
      <c r="M288" s="137" t="inlineStr">
        <is>
          <t>+</t>
        </is>
      </c>
      <c r="N288" s="8" t="n"/>
      <c r="O288" s="8" t="n"/>
      <c r="P288" s="8" t="n"/>
      <c r="Q288" s="8" t="n"/>
      <c r="R288" s="8" t="n"/>
      <c r="S288" s="8" t="n"/>
      <c r="T288" s="8" t="n"/>
      <c r="U288" s="8" t="n"/>
      <c r="V288" s="8" t="n"/>
      <c r="W288" s="8" t="n"/>
      <c r="X288" s="139" t="n"/>
      <c r="Y288" s="137" t="inlineStr">
        <is>
          <t>+</t>
        </is>
      </c>
    </row>
    <row r="289">
      <c r="A289" s="6" t="inlineStr">
        <is>
          <t>работник 382</t>
        </is>
      </c>
      <c r="B289" s="6" t="inlineStr">
        <is>
          <t>Растворщик реагентов</t>
        </is>
      </c>
      <c r="C289" s="6" t="inlineStr">
        <is>
          <t>ОБЩЕСТВО С ОГРАНИЧЕННОЙ ОТВЕТСТВЕННОСТЬЮ "АМУР ЗОЛОТО"</t>
        </is>
      </c>
      <c r="D289" s="7" t="inlineStr">
        <is>
          <t>2708001686</t>
        </is>
      </c>
      <c r="E289" s="6" t="inlineStr">
        <is>
          <t>ООО "Амур Золото"</t>
        </is>
      </c>
      <c r="F289" s="7" t="inlineStr">
        <is>
          <t>2708001686</t>
        </is>
      </c>
      <c r="G289" s="7" t="inlineStr">
        <is>
          <t>Успешно</t>
        </is>
      </c>
      <c r="H289" s="6" t="n"/>
      <c r="I289" s="6" t="n"/>
      <c r="J289" s="6" t="inlineStr">
        <is>
          <t>Пользовательский интерфейс</t>
        </is>
      </c>
      <c r="K289" s="7" t="n">
        <v>5</v>
      </c>
      <c r="L289" s="8" t="n"/>
      <c r="M289" s="137" t="inlineStr">
        <is>
          <t>+</t>
        </is>
      </c>
      <c r="N289" s="8" t="n"/>
      <c r="O289" s="8" t="n"/>
      <c r="P289" s="8" t="n"/>
      <c r="Q289" s="8" t="n"/>
      <c r="R289" s="8" t="n"/>
      <c r="S289" s="8" t="n"/>
      <c r="T289" s="8" t="n"/>
      <c r="U289" s="8" t="n"/>
      <c r="V289" s="8" t="n"/>
      <c r="W289" s="8" t="n"/>
      <c r="X289" s="137" t="inlineStr">
        <is>
          <t>+</t>
        </is>
      </c>
      <c r="Y289" s="137" t="inlineStr">
        <is>
          <t>+</t>
        </is>
      </c>
    </row>
    <row r="290">
      <c r="A290" s="6" t="inlineStr">
        <is>
          <t>работник 486</t>
        </is>
      </c>
      <c r="B290" s="6" t="inlineStr">
        <is>
          <t>Машинист погрузочно-доставочной машины</t>
        </is>
      </c>
      <c r="C290" s="6" t="inlineStr">
        <is>
          <t>ОБЩЕСТВО С ОГРАНИЧЕННОЙ ОТВЕТСТВЕННОСТЬЮ "АМУР ЗОЛОТО"</t>
        </is>
      </c>
      <c r="D290" s="7" t="inlineStr">
        <is>
          <t>2708001686</t>
        </is>
      </c>
      <c r="E290" s="6" t="inlineStr">
        <is>
          <t>ООО "Амур Золото"</t>
        </is>
      </c>
      <c r="F290" s="7" t="inlineStr">
        <is>
          <t>2708001686</t>
        </is>
      </c>
      <c r="G290" s="7" t="inlineStr">
        <is>
          <t>Успешно</t>
        </is>
      </c>
      <c r="H290" s="6" t="n"/>
      <c r="I290" s="6" t="n"/>
      <c r="J290" s="6" t="inlineStr">
        <is>
          <t>Пользовательский интерфейс</t>
        </is>
      </c>
      <c r="K290" s="7" t="n">
        <v>5</v>
      </c>
      <c r="L290" s="8" t="n"/>
      <c r="M290" s="137" t="inlineStr">
        <is>
          <t>+</t>
        </is>
      </c>
      <c r="N290" s="8" t="n"/>
      <c r="O290" s="8" t="n"/>
      <c r="P290" s="8" t="n"/>
      <c r="Q290" s="8" t="n"/>
      <c r="R290" s="8" t="n"/>
      <c r="S290" s="8" t="n"/>
      <c r="T290" s="8" t="n"/>
      <c r="U290" s="8" t="n"/>
      <c r="V290" s="8" t="n"/>
      <c r="W290" s="8" t="n"/>
      <c r="X290" s="137" t="inlineStr">
        <is>
          <t>+</t>
        </is>
      </c>
      <c r="Y290" s="137" t="inlineStr">
        <is>
          <t>+</t>
        </is>
      </c>
    </row>
    <row r="291">
      <c r="A291" s="6" t="inlineStr">
        <is>
          <t>работник 695</t>
        </is>
      </c>
      <c r="B291" s="6" t="inlineStr">
        <is>
          <t>Монтажник по монтажу стальных и железобетонных конструкций</t>
        </is>
      </c>
      <c r="C291" s="6" t="inlineStr">
        <is>
          <t>ОБЩЕСТВО С ОГРАНИЧЕННОЙ ОТВЕТСТВЕННОСТЬЮ "АМУР ЗОЛОТО"</t>
        </is>
      </c>
      <c r="D291" s="7" t="inlineStr">
        <is>
          <t>2708001686</t>
        </is>
      </c>
      <c r="E291" s="6" t="inlineStr">
        <is>
          <t>ООО "Амур Золото"</t>
        </is>
      </c>
      <c r="F291" s="7" t="inlineStr">
        <is>
          <t>2708001686</t>
        </is>
      </c>
      <c r="G291" s="7" t="inlineStr">
        <is>
          <t>Успешно</t>
        </is>
      </c>
      <c r="H291" s="6" t="n"/>
      <c r="I291" s="6" t="n"/>
      <c r="J291" s="6" t="inlineStr">
        <is>
          <t>Пользовательский интерфейс</t>
        </is>
      </c>
      <c r="K291" s="7" t="n">
        <v>2</v>
      </c>
      <c r="L291" s="8" t="n"/>
      <c r="M291" s="137" t="inlineStr">
        <is>
          <t>+</t>
        </is>
      </c>
      <c r="N291" s="8" t="n"/>
      <c r="O291" s="8" t="n"/>
      <c r="P291" s="8" t="n"/>
      <c r="Q291" s="8" t="n"/>
      <c r="R291" s="8" t="n"/>
      <c r="S291" s="8" t="n"/>
      <c r="T291" s="8" t="n"/>
      <c r="U291" s="8" t="n"/>
      <c r="V291" s="8" t="n"/>
      <c r="W291" s="8" t="n"/>
      <c r="X291" s="139" t="n"/>
      <c r="Y291" s="137" t="inlineStr">
        <is>
          <t>+</t>
        </is>
      </c>
    </row>
    <row r="292">
      <c r="A292" s="6" t="inlineStr">
        <is>
          <t>работник 274</t>
        </is>
      </c>
      <c r="B292" s="6" t="inlineStr">
        <is>
          <t>Механик</t>
        </is>
      </c>
      <c r="C292" s="6" t="inlineStr">
        <is>
          <t>ОБЩЕСТВО С ОГРАНИЧЕННОЙ ОТВЕТСТВЕННОСТЬЮ "АМУР ЗОЛОТО"</t>
        </is>
      </c>
      <c r="D292" s="7" t="inlineStr">
        <is>
          <t>2708001686</t>
        </is>
      </c>
      <c r="E292" s="6" t="inlineStr">
        <is>
          <t>ООО "Амур Золото"</t>
        </is>
      </c>
      <c r="F292" s="7" t="inlineStr">
        <is>
          <t>2708001686</t>
        </is>
      </c>
      <c r="G292" s="7" t="inlineStr">
        <is>
          <t>Успешно</t>
        </is>
      </c>
      <c r="H292" s="6" t="n"/>
      <c r="I292" s="6" t="n"/>
      <c r="J292" s="6" t="inlineStr">
        <is>
          <t>Пользовательский интерфейс</t>
        </is>
      </c>
      <c r="K292" s="7" t="n">
        <v>3</v>
      </c>
      <c r="L292" s="8" t="n"/>
      <c r="M292" s="137" t="inlineStr">
        <is>
          <t>+</t>
        </is>
      </c>
      <c r="N292" s="8" t="n"/>
      <c r="O292" s="8" t="n"/>
      <c r="P292" s="8" t="n"/>
      <c r="Q292" s="8" t="n"/>
      <c r="R292" s="8" t="n"/>
      <c r="S292" s="8" t="n"/>
      <c r="T292" s="8" t="n"/>
      <c r="U292" s="8" t="n"/>
      <c r="V292" s="8" t="n"/>
      <c r="W292" s="8" t="n"/>
      <c r="X292" s="140" t="inlineStr">
        <is>
          <t>+</t>
        </is>
      </c>
      <c r="Y292" s="137" t="inlineStr">
        <is>
          <t>+</t>
        </is>
      </c>
    </row>
    <row r="293">
      <c r="A293" s="6" t="inlineStr">
        <is>
          <t>работник 315</t>
        </is>
      </c>
      <c r="B293" s="6" t="inlineStr">
        <is>
          <t>Крепильщик / Помощник машиниста самоходной буровой установки (с исполнением обязанностей пробоотборщика) (Очистное)</t>
        </is>
      </c>
      <c r="C293" s="6" t="inlineStr">
        <is>
          <t>ОБЩЕСТВО С ОГРАНИЧЕННОЙ ОТВЕТСТВЕННОСТЬЮ "АМУР ЗОЛОТО"</t>
        </is>
      </c>
      <c r="D293" s="7" t="inlineStr">
        <is>
          <t>2708001686</t>
        </is>
      </c>
      <c r="E293" s="6" t="inlineStr">
        <is>
          <t>ООО "Амур Золото"</t>
        </is>
      </c>
      <c r="F293" s="7" t="inlineStr">
        <is>
          <t>2708001686</t>
        </is>
      </c>
      <c r="G293" s="7" t="inlineStr">
        <is>
          <t>Успешно</t>
        </is>
      </c>
      <c r="H293" s="6" t="n"/>
      <c r="I293" s="6" t="n"/>
      <c r="J293" s="6" t="inlineStr">
        <is>
          <t>Пользовательский интерфейс</t>
        </is>
      </c>
      <c r="K293" s="7" t="n">
        <v>5</v>
      </c>
      <c r="L293" s="8" t="n"/>
      <c r="M293" s="137" t="inlineStr">
        <is>
          <t>+</t>
        </is>
      </c>
      <c r="N293" s="8" t="n"/>
      <c r="O293" s="8" t="n"/>
      <c r="P293" s="8" t="n"/>
      <c r="Q293" s="8" t="n"/>
      <c r="R293" s="8" t="n"/>
      <c r="S293" s="8" t="n"/>
      <c r="T293" s="8" t="n"/>
      <c r="U293" s="8" t="n"/>
      <c r="V293" s="8" t="n"/>
      <c r="W293" s="8" t="n"/>
      <c r="X293" s="137" t="inlineStr">
        <is>
          <t>+</t>
        </is>
      </c>
      <c r="Y293" s="137" t="inlineStr">
        <is>
          <t>+</t>
        </is>
      </c>
    </row>
    <row r="294">
      <c r="A294" s="6" t="inlineStr">
        <is>
          <t>работник 316</t>
        </is>
      </c>
      <c r="B294" s="6" t="inlineStr">
        <is>
          <t>Проходчик (с исполнением обязанностей взрывника)</t>
        </is>
      </c>
      <c r="C294" s="6" t="inlineStr">
        <is>
          <t>ОБЩЕСТВО С ОГРАНИЧЕННОЙ ОТВЕТСТВЕННОСТЬЮ "АМУР ЗОЛОТО"</t>
        </is>
      </c>
      <c r="D294" s="7" t="inlineStr">
        <is>
          <t>2708001686</t>
        </is>
      </c>
      <c r="E294" s="6" t="inlineStr">
        <is>
          <t>ООО "Амур Золото"</t>
        </is>
      </c>
      <c r="F294" s="7" t="inlineStr">
        <is>
          <t>2708001686</t>
        </is>
      </c>
      <c r="G294" s="7" t="inlineStr">
        <is>
          <t>Успешно</t>
        </is>
      </c>
      <c r="H294" s="6" t="n"/>
      <c r="I294" s="6" t="n"/>
      <c r="J294" s="6" t="inlineStr">
        <is>
          <t>Пользовательский интерфейс</t>
        </is>
      </c>
      <c r="K294" s="7" t="n">
        <v>3</v>
      </c>
      <c r="L294" s="8" t="n"/>
      <c r="M294" s="137" t="inlineStr">
        <is>
          <t>+</t>
        </is>
      </c>
      <c r="N294" s="8" t="n"/>
      <c r="O294" s="8" t="n"/>
      <c r="P294" s="8" t="n"/>
      <c r="Q294" s="8" t="n"/>
      <c r="R294" s="8" t="n"/>
      <c r="S294" s="8" t="n"/>
      <c r="T294" s="8" t="n"/>
      <c r="U294" s="8" t="n"/>
      <c r="V294" s="8" t="n"/>
      <c r="W294" s="8" t="n"/>
      <c r="X294" s="137" t="inlineStr">
        <is>
          <t>+</t>
        </is>
      </c>
      <c r="Y294" s="137" t="inlineStr">
        <is>
          <t>+</t>
        </is>
      </c>
    </row>
    <row r="295">
      <c r="A295" s="6" t="inlineStr">
        <is>
          <t>работник 201</t>
        </is>
      </c>
      <c r="B295" s="6" t="inlineStr">
        <is>
          <t>Водитель автомобиля (категория С)</t>
        </is>
      </c>
      <c r="C295" s="6" t="inlineStr">
        <is>
          <t>ОБЩЕСТВО С ОГРАНИЧЕННОЙ ОТВЕТСТВЕННОСТЬЮ "АМУР ЗОЛОТО"</t>
        </is>
      </c>
      <c r="D295" s="7" t="inlineStr">
        <is>
          <t>2708001686</t>
        </is>
      </c>
      <c r="E295" s="6" t="inlineStr">
        <is>
          <t>ООО "Амур Золото"</t>
        </is>
      </c>
      <c r="F295" s="7" t="inlineStr">
        <is>
          <t>2708001686</t>
        </is>
      </c>
      <c r="G295" s="7" t="inlineStr">
        <is>
          <t>Успешно</t>
        </is>
      </c>
      <c r="H295" s="6" t="n"/>
      <c r="I295" s="6" t="n"/>
      <c r="J295" s="6" t="inlineStr">
        <is>
          <t>Пользовательский интерфейс</t>
        </is>
      </c>
      <c r="K295" s="7" t="n">
        <v>3</v>
      </c>
      <c r="L295" s="8" t="n"/>
      <c r="M295" s="137" t="inlineStr">
        <is>
          <t>+</t>
        </is>
      </c>
      <c r="N295" s="8" t="n"/>
      <c r="O295" s="8" t="n"/>
      <c r="P295" s="8" t="n"/>
      <c r="Q295" s="8" t="n"/>
      <c r="R295" s="8" t="n"/>
      <c r="S295" s="8" t="n"/>
      <c r="T295" s="8" t="n"/>
      <c r="U295" s="8" t="n"/>
      <c r="V295" s="8" t="n"/>
      <c r="W295" s="8" t="n"/>
      <c r="X295" s="137" t="inlineStr">
        <is>
          <t>+</t>
        </is>
      </c>
      <c r="Y295" s="137" t="inlineStr">
        <is>
          <t>+</t>
        </is>
      </c>
    </row>
    <row r="296">
      <c r="A296" s="6" t="inlineStr">
        <is>
          <t>работник 884</t>
        </is>
      </c>
      <c r="B296" s="6" t="inlineStr">
        <is>
          <t>Помощник машиниста самоходной буровой установки (с исполнением обязанностей пробоотборщика)</t>
        </is>
      </c>
      <c r="C296" s="6" t="inlineStr">
        <is>
          <t>ОБЩЕСТВО С ОГРАНИЧЕННОЙ ОТВЕТСТВЕННОСТЬЮ "АМУР ЗОЛОТО"</t>
        </is>
      </c>
      <c r="D296" s="7" t="inlineStr">
        <is>
          <t>2708001686</t>
        </is>
      </c>
      <c r="E296" s="6" t="inlineStr">
        <is>
          <t>ООО "Амур Золото"</t>
        </is>
      </c>
      <c r="F296" s="7" t="inlineStr">
        <is>
          <t>2708001686</t>
        </is>
      </c>
      <c r="G296" s="7" t="inlineStr">
        <is>
          <t>Успешно</t>
        </is>
      </c>
      <c r="H296" s="6" t="n"/>
      <c r="I296" s="6" t="n"/>
      <c r="J296" s="6" t="inlineStr">
        <is>
          <t>Пользовательский интерфейс</t>
        </is>
      </c>
      <c r="K296" s="7" t="n">
        <v>3</v>
      </c>
      <c r="L296" s="8" t="n"/>
      <c r="M296" s="137" t="inlineStr">
        <is>
          <t>+</t>
        </is>
      </c>
      <c r="N296" s="8" t="n"/>
      <c r="O296" s="8" t="n"/>
      <c r="P296" s="8" t="n"/>
      <c r="Q296" s="8" t="n"/>
      <c r="R296" s="8" t="n"/>
      <c r="S296" s="8" t="n"/>
      <c r="T296" s="8" t="n"/>
      <c r="U296" s="8" t="n"/>
      <c r="V296" s="8" t="n"/>
      <c r="W296" s="8" t="n"/>
      <c r="X296" s="137" t="inlineStr">
        <is>
          <t>+</t>
        </is>
      </c>
      <c r="Y296" s="137" t="inlineStr">
        <is>
          <t>+</t>
        </is>
      </c>
    </row>
    <row r="297">
      <c r="A297" s="6" t="inlineStr">
        <is>
          <t>работник 794</t>
        </is>
      </c>
      <c r="B297" s="6" t="inlineStr">
        <is>
          <t>Водитель погрузчика</t>
        </is>
      </c>
      <c r="C297" s="6" t="inlineStr">
        <is>
          <t>ОБЩЕСТВО С ОГРАНИЧЕННОЙ ОТВЕТСТВЕННОСТЬЮ "АМУР ЗОЛОТО"</t>
        </is>
      </c>
      <c r="D297" s="7" t="inlineStr">
        <is>
          <t>2708001686</t>
        </is>
      </c>
      <c r="E297" s="6" t="inlineStr">
        <is>
          <t>ООО "Амур Золото"</t>
        </is>
      </c>
      <c r="F297" s="7" t="inlineStr">
        <is>
          <t>2708001686</t>
        </is>
      </c>
      <c r="G297" s="7" t="inlineStr">
        <is>
          <t>Успешно</t>
        </is>
      </c>
      <c r="H297" s="6" t="n"/>
      <c r="I297" s="6" t="n"/>
      <c r="J297" s="6" t="inlineStr">
        <is>
          <t>Пользовательский интерфейс</t>
        </is>
      </c>
      <c r="K297" s="7" t="n">
        <v>2</v>
      </c>
      <c r="L297" s="8" t="n"/>
      <c r="M297" s="137" t="inlineStr">
        <is>
          <t>+</t>
        </is>
      </c>
      <c r="N297" s="8" t="n"/>
      <c r="O297" s="8" t="n"/>
      <c r="P297" s="8" t="n"/>
      <c r="Q297" s="8" t="n"/>
      <c r="R297" s="8" t="n"/>
      <c r="S297" s="8" t="n"/>
      <c r="T297" s="8" t="n"/>
      <c r="U297" s="8" t="n"/>
      <c r="V297" s="8" t="n"/>
      <c r="W297" s="8" t="n"/>
      <c r="X297" s="139" t="n"/>
      <c r="Y297" s="137" t="inlineStr">
        <is>
          <t>+</t>
        </is>
      </c>
    </row>
    <row r="298">
      <c r="A298" s="6" t="inlineStr">
        <is>
          <t>работник 416</t>
        </is>
      </c>
      <c r="B298" s="6" t="inlineStr">
        <is>
          <t>Повар</t>
        </is>
      </c>
      <c r="C298" s="6" t="inlineStr">
        <is>
          <t>ОБЩЕСТВО С ОГРАНИЧЕННОЙ ОТВЕТСТВЕННОСТЬЮ "АМУР ЗОЛОТО"</t>
        </is>
      </c>
      <c r="D298" s="7" t="inlineStr">
        <is>
          <t>2708001686</t>
        </is>
      </c>
      <c r="E298" s="6" t="inlineStr">
        <is>
          <t>ООО "Амур Золото"</t>
        </is>
      </c>
      <c r="F298" s="7" t="inlineStr">
        <is>
          <t>2708001686</t>
        </is>
      </c>
      <c r="G298" s="7" t="inlineStr">
        <is>
          <t>Успешно</t>
        </is>
      </c>
      <c r="H298" s="6" t="n"/>
      <c r="I298" s="6" t="n"/>
      <c r="J298" s="6" t="inlineStr">
        <is>
          <t>Пользовательский интерфейс</t>
        </is>
      </c>
      <c r="K298" s="7" t="n">
        <v>2</v>
      </c>
      <c r="L298" s="8" t="n"/>
      <c r="M298" s="137" t="inlineStr">
        <is>
          <t>+</t>
        </is>
      </c>
      <c r="N298" s="8" t="n"/>
      <c r="O298" s="8" t="n"/>
      <c r="P298" s="8" t="n"/>
      <c r="Q298" s="8" t="n"/>
      <c r="R298" s="8" t="n"/>
      <c r="S298" s="8" t="n"/>
      <c r="T298" s="8" t="n"/>
      <c r="U298" s="8" t="n"/>
      <c r="V298" s="8" t="n"/>
      <c r="W298" s="8" t="n"/>
      <c r="X298" s="139" t="n"/>
      <c r="Y298" s="138" t="inlineStr">
        <is>
          <t>+</t>
        </is>
      </c>
    </row>
    <row r="299">
      <c r="A299" s="6" t="inlineStr">
        <is>
          <t>работник 869</t>
        </is>
      </c>
      <c r="B299" s="6" t="inlineStr">
        <is>
          <t>Повар</t>
        </is>
      </c>
      <c r="C299" s="6" t="inlineStr">
        <is>
          <t>ОБЩЕСТВО С ОГРАНИЧЕННОЙ ОТВЕТСТВЕННОСТЬЮ "АМУР ЗОЛОТО"</t>
        </is>
      </c>
      <c r="D299" s="7" t="inlineStr">
        <is>
          <t>2708001686</t>
        </is>
      </c>
      <c r="E299" s="6" t="inlineStr">
        <is>
          <t>ООО "Амур Золото"</t>
        </is>
      </c>
      <c r="F299" s="7" t="inlineStr">
        <is>
          <t>2708001686</t>
        </is>
      </c>
      <c r="G299" s="7" t="inlineStr">
        <is>
          <t>Успешно</t>
        </is>
      </c>
      <c r="H299" s="6" t="n"/>
      <c r="I299" s="6" t="n"/>
      <c r="J299" s="6" t="inlineStr">
        <is>
          <t>Пользовательский интерфейс</t>
        </is>
      </c>
      <c r="K299" s="7" t="n">
        <v>3</v>
      </c>
      <c r="L299" s="8" t="n"/>
      <c r="M299" s="137" t="inlineStr">
        <is>
          <t>+</t>
        </is>
      </c>
      <c r="N299" s="8" t="n"/>
      <c r="O299" s="8" t="n"/>
      <c r="P299" s="8" t="n"/>
      <c r="Q299" s="8" t="n"/>
      <c r="R299" s="8" t="n"/>
      <c r="S299" s="8" t="n"/>
      <c r="T299" s="8" t="n"/>
      <c r="U299" s="8" t="n"/>
      <c r="V299" s="8" t="n"/>
      <c r="W299" s="8" t="n"/>
      <c r="X299" s="137" t="inlineStr">
        <is>
          <t>+</t>
        </is>
      </c>
      <c r="Y299" s="138" t="inlineStr">
        <is>
          <t>+</t>
        </is>
      </c>
    </row>
    <row r="300">
      <c r="A300" s="6" t="inlineStr">
        <is>
          <t>работник 865</t>
        </is>
      </c>
      <c r="B300" s="6" t="inlineStr">
        <is>
          <t>Подсобный рабочий</t>
        </is>
      </c>
      <c r="C300" s="6" t="inlineStr">
        <is>
          <t>ОБЩЕСТВО С ОГРАНИЧЕННОЙ ОТВЕТСТВЕННОСТЬЮ "АМУР ЗОЛОТО"</t>
        </is>
      </c>
      <c r="D300" s="7" t="inlineStr">
        <is>
          <t>2708001686</t>
        </is>
      </c>
      <c r="E300" s="6" t="inlineStr">
        <is>
          <t>ООО "Амур Золото"</t>
        </is>
      </c>
      <c r="F300" s="7" t="inlineStr">
        <is>
          <t>2708001686</t>
        </is>
      </c>
      <c r="G300" s="7" t="inlineStr">
        <is>
          <t>Успешно</t>
        </is>
      </c>
      <c r="H300" s="6" t="n"/>
      <c r="I300" s="6" t="n"/>
      <c r="J300" s="6" t="inlineStr">
        <is>
          <t>Пользовательский интерфейс</t>
        </is>
      </c>
      <c r="K300" s="7" t="n">
        <v>3</v>
      </c>
      <c r="L300" s="8" t="n"/>
      <c r="M300" s="137" t="inlineStr">
        <is>
          <t>+</t>
        </is>
      </c>
      <c r="N300" s="8" t="n"/>
      <c r="O300" s="8" t="n"/>
      <c r="P300" s="8" t="n"/>
      <c r="Q300" s="8" t="n"/>
      <c r="R300" s="8" t="n"/>
      <c r="S300" s="8" t="n"/>
      <c r="T300" s="8" t="n"/>
      <c r="U300" s="8" t="n"/>
      <c r="V300" s="8" t="n"/>
      <c r="W300" s="8" t="n"/>
      <c r="X300" s="137" t="inlineStr">
        <is>
          <t>+</t>
        </is>
      </c>
      <c r="Y300" s="137" t="inlineStr">
        <is>
          <t>+</t>
        </is>
      </c>
    </row>
    <row r="301">
      <c r="A301" s="6" t="inlineStr">
        <is>
          <t>работник 275</t>
        </is>
      </c>
      <c r="B301" s="6" t="inlineStr">
        <is>
          <t>Слесарь-электрик по ремонту электрооборудования</t>
        </is>
      </c>
      <c r="C301" s="6" t="inlineStr">
        <is>
          <t>ОБЩЕСТВО С ОГРАНИЧЕННОЙ ОТВЕТСТВЕННОСТЬЮ "АМУР ЗОЛОТО"</t>
        </is>
      </c>
      <c r="D301" s="7" t="inlineStr">
        <is>
          <t>2708001686</t>
        </is>
      </c>
      <c r="E301" s="6" t="inlineStr">
        <is>
          <t>ООО "Амур Золото"</t>
        </is>
      </c>
      <c r="F301" s="7" t="inlineStr">
        <is>
          <t>2708001686</t>
        </is>
      </c>
      <c r="G301" s="7" t="inlineStr">
        <is>
          <t>Успешно</t>
        </is>
      </c>
      <c r="H301" s="6" t="n"/>
      <c r="I301" s="6" t="n"/>
      <c r="J301" s="6" t="inlineStr">
        <is>
          <t>Пользовательский интерфейс</t>
        </is>
      </c>
      <c r="K301" s="7" t="n">
        <v>3</v>
      </c>
      <c r="L301" s="8" t="n"/>
      <c r="M301" s="137" t="inlineStr">
        <is>
          <t>+</t>
        </is>
      </c>
      <c r="N301" s="8" t="n"/>
      <c r="O301" s="8" t="n"/>
      <c r="P301" s="8" t="n"/>
      <c r="Q301" s="8" t="n"/>
      <c r="R301" s="8" t="n"/>
      <c r="S301" s="8" t="n"/>
      <c r="T301" s="8" t="n"/>
      <c r="U301" s="8" t="n"/>
      <c r="V301" s="8" t="n"/>
      <c r="W301" s="8" t="n"/>
      <c r="X301" s="137" t="inlineStr">
        <is>
          <t>+</t>
        </is>
      </c>
      <c r="Y301" s="137" t="inlineStr">
        <is>
          <t>+</t>
        </is>
      </c>
    </row>
    <row r="302">
      <c r="A302" s="6" t="inlineStr">
        <is>
          <t>работник 837</t>
        </is>
      </c>
      <c r="B302" s="6" t="inlineStr">
        <is>
          <t>Ламповщик</t>
        </is>
      </c>
      <c r="C302" s="6" t="inlineStr">
        <is>
          <t>ОБЩЕСТВО С ОГРАНИЧЕННОЙ ОТВЕТСТВЕННОСТЬЮ "АМУР ЗОЛОТО"</t>
        </is>
      </c>
      <c r="D302" s="7" t="inlineStr">
        <is>
          <t>2708001686</t>
        </is>
      </c>
      <c r="E302" s="6" t="inlineStr">
        <is>
          <t>ООО "Амур Золото"</t>
        </is>
      </c>
      <c r="F302" s="7" t="inlineStr">
        <is>
          <t>2708001686</t>
        </is>
      </c>
      <c r="G302" s="7" t="inlineStr">
        <is>
          <t>Успешно</t>
        </is>
      </c>
      <c r="H302" s="6" t="n"/>
      <c r="I302" s="6" t="n"/>
      <c r="J302" s="6" t="inlineStr">
        <is>
          <t>Пользовательский интерфейс</t>
        </is>
      </c>
      <c r="K302" s="7" t="n">
        <v>3</v>
      </c>
      <c r="L302" s="8" t="n"/>
      <c r="M302" s="137" t="inlineStr">
        <is>
          <t>+</t>
        </is>
      </c>
      <c r="N302" s="8" t="n"/>
      <c r="O302" s="8" t="n"/>
      <c r="P302" s="8" t="n"/>
      <c r="Q302" s="8" t="n"/>
      <c r="R302" s="8" t="n"/>
      <c r="S302" s="8" t="n"/>
      <c r="T302" s="8" t="n"/>
      <c r="U302" s="8" t="n"/>
      <c r="V302" s="8" t="n"/>
      <c r="W302" s="8" t="n"/>
      <c r="X302" s="137" t="inlineStr">
        <is>
          <t>+</t>
        </is>
      </c>
      <c r="Y302" s="137" t="inlineStr">
        <is>
          <t>+</t>
        </is>
      </c>
    </row>
    <row r="303">
      <c r="A303" s="6" t="inlineStr">
        <is>
          <t>работник 575</t>
        </is>
      </c>
      <c r="B303" s="6" t="inlineStr">
        <is>
          <t>Механик холодильных установок</t>
        </is>
      </c>
      <c r="C303" s="6" t="inlineStr">
        <is>
          <t>ОБЩЕСТВО С ОГРАНИЧЕННОЙ ОТВЕТСТВЕННОСТЬЮ "АМУР ЗОЛОТО"</t>
        </is>
      </c>
      <c r="D303" s="7" t="inlineStr">
        <is>
          <t>2708001686</t>
        </is>
      </c>
      <c r="E303" s="6" t="inlineStr">
        <is>
          <t>ООО "Амур Золото"</t>
        </is>
      </c>
      <c r="F303" s="7" t="inlineStr">
        <is>
          <t>2708001686</t>
        </is>
      </c>
      <c r="G303" s="7" t="inlineStr">
        <is>
          <t>Успешно</t>
        </is>
      </c>
      <c r="H303" s="6" t="n"/>
      <c r="I303" s="6" t="n"/>
      <c r="J303" s="6" t="n"/>
      <c r="K303" s="7" t="n">
        <v>2</v>
      </c>
      <c r="L303" s="8" t="n"/>
      <c r="M303" s="137" t="inlineStr">
        <is>
          <t>+</t>
        </is>
      </c>
      <c r="N303" s="8" t="n"/>
      <c r="O303" s="8" t="n"/>
      <c r="P303" s="8" t="n"/>
      <c r="Q303" s="8" t="n"/>
      <c r="R303" s="8" t="n"/>
      <c r="S303" s="8" t="n"/>
      <c r="T303" s="8" t="n"/>
      <c r="U303" s="8" t="n"/>
      <c r="V303" s="8" t="n"/>
      <c r="W303" s="8" t="n"/>
      <c r="X303" s="8" t="n"/>
      <c r="Y303" s="137" t="inlineStr">
        <is>
          <t>+</t>
        </is>
      </c>
    </row>
    <row r="304">
      <c r="A304" s="6" t="inlineStr">
        <is>
          <t>работник 670</t>
        </is>
      </c>
      <c r="B304" s="6" t="inlineStr">
        <is>
          <t>Лаборант пробирного анализа</t>
        </is>
      </c>
      <c r="C304" s="6" t="inlineStr">
        <is>
          <t>ОБЩЕСТВО С ОГРАНИЧЕННОЙ ОТВЕТСТВЕННОСТЬЮ "АМУР ЗОЛОТО"</t>
        </is>
      </c>
      <c r="D304" s="7" t="inlineStr">
        <is>
          <t>2708001686</t>
        </is>
      </c>
      <c r="E304" s="6" t="inlineStr">
        <is>
          <t>ООО "Амур Золото"</t>
        </is>
      </c>
      <c r="F304" s="7" t="inlineStr">
        <is>
          <t>2708001686</t>
        </is>
      </c>
      <c r="G304" s="7" t="inlineStr">
        <is>
          <t>Успешно</t>
        </is>
      </c>
      <c r="H304" s="6" t="n"/>
      <c r="I304" s="6" t="n"/>
      <c r="J304" s="6" t="inlineStr">
        <is>
          <t>Пользовательский интерфейс</t>
        </is>
      </c>
      <c r="K304" s="7" t="n">
        <v>5</v>
      </c>
      <c r="L304" s="8" t="n"/>
      <c r="M304" s="137" t="inlineStr">
        <is>
          <t>+</t>
        </is>
      </c>
      <c r="N304" s="8" t="n"/>
      <c r="O304" s="8" t="n"/>
      <c r="P304" s="8" t="n"/>
      <c r="Q304" s="8" t="n"/>
      <c r="R304" s="8" t="n"/>
      <c r="S304" s="8" t="n"/>
      <c r="T304" s="8" t="n"/>
      <c r="U304" s="8" t="n"/>
      <c r="V304" s="8" t="n"/>
      <c r="W304" s="8" t="n"/>
      <c r="X304" s="137" t="inlineStr">
        <is>
          <t>+</t>
        </is>
      </c>
      <c r="Y304" s="137" t="inlineStr">
        <is>
          <t>+</t>
        </is>
      </c>
    </row>
    <row r="305">
      <c r="A305" s="6" t="inlineStr">
        <is>
          <t>работник 38</t>
        </is>
      </c>
      <c r="B305" s="6" t="inlineStr">
        <is>
          <t>Дробильщик</t>
        </is>
      </c>
      <c r="C305" s="6" t="inlineStr">
        <is>
          <t>ОБЩЕСТВО С ОГРАНИЧЕННОЙ ОТВЕТСТВЕННОСТЬЮ "АМУР ЗОЛОТО"</t>
        </is>
      </c>
      <c r="D305" s="7" t="inlineStr">
        <is>
          <t>2708001686</t>
        </is>
      </c>
      <c r="E305" s="6" t="inlineStr">
        <is>
          <t>ООО "Амур Золото"</t>
        </is>
      </c>
      <c r="F305" s="7" t="inlineStr">
        <is>
          <t>2708001686</t>
        </is>
      </c>
      <c r="G305" s="7" t="inlineStr">
        <is>
          <t>Успешно</t>
        </is>
      </c>
      <c r="H305" s="6" t="n"/>
      <c r="I305" s="6" t="n"/>
      <c r="J305" s="6" t="inlineStr">
        <is>
          <t>Пользовательский интерфейс</t>
        </is>
      </c>
      <c r="K305" s="7" t="n">
        <v>5</v>
      </c>
      <c r="L305" s="8" t="n"/>
      <c r="M305" s="137" t="inlineStr">
        <is>
          <t>+</t>
        </is>
      </c>
      <c r="N305" s="8" t="n"/>
      <c r="O305" s="8" t="n"/>
      <c r="P305" s="8" t="n"/>
      <c r="Q305" s="8" t="n"/>
      <c r="R305" s="8" t="n"/>
      <c r="S305" s="8" t="n"/>
      <c r="T305" s="8" t="n"/>
      <c r="U305" s="8" t="n"/>
      <c r="V305" s="8" t="n"/>
      <c r="W305" s="8" t="n"/>
      <c r="X305" s="137" t="inlineStr">
        <is>
          <t>+</t>
        </is>
      </c>
      <c r="Y305" s="137" t="inlineStr">
        <is>
          <t>+</t>
        </is>
      </c>
    </row>
    <row r="306">
      <c r="A306" s="6" t="inlineStr">
        <is>
          <t>работник 716</t>
        </is>
      </c>
      <c r="B306" s="6" t="inlineStr">
        <is>
          <t>Слесарь-электрик по ремонту электрооборудования</t>
        </is>
      </c>
      <c r="C306" s="6" t="inlineStr">
        <is>
          <t>ОБЩЕСТВО С ОГРАНИЧЕННОЙ ОТВЕТСТВЕННОСТЬЮ "АМУР ЗОЛОТО"</t>
        </is>
      </c>
      <c r="D306" s="7" t="inlineStr">
        <is>
          <t>2708001686</t>
        </is>
      </c>
      <c r="E306" s="6" t="inlineStr">
        <is>
          <t>ООО "Амур Золото"</t>
        </is>
      </c>
      <c r="F306" s="7" t="inlineStr">
        <is>
          <t>2708001686</t>
        </is>
      </c>
      <c r="G306" s="7" t="inlineStr">
        <is>
          <t>Успешно</t>
        </is>
      </c>
      <c r="H306" s="6" t="n"/>
      <c r="I306" s="6" t="n"/>
      <c r="J306" s="6" t="inlineStr">
        <is>
          <t>Пользовательский интерфейс</t>
        </is>
      </c>
      <c r="K306" s="7" t="n">
        <v>2</v>
      </c>
      <c r="L306" s="8" t="n"/>
      <c r="M306" s="137" t="inlineStr">
        <is>
          <t>+</t>
        </is>
      </c>
      <c r="N306" s="8" t="n"/>
      <c r="O306" s="8" t="n"/>
      <c r="P306" s="8" t="n"/>
      <c r="Q306" s="8" t="n"/>
      <c r="R306" s="8" t="n"/>
      <c r="S306" s="8" t="n"/>
      <c r="T306" s="8" t="n"/>
      <c r="U306" s="8" t="n"/>
      <c r="V306" s="8" t="n"/>
      <c r="W306" s="8" t="n"/>
      <c r="X306" s="139" t="n"/>
      <c r="Y306" s="137" t="inlineStr">
        <is>
          <t>+</t>
        </is>
      </c>
    </row>
    <row r="307">
      <c r="A307" s="6" t="inlineStr">
        <is>
          <t>работник 393</t>
        </is>
      </c>
      <c r="B307" s="6" t="inlineStr">
        <is>
          <t>Кухонный рабочий</t>
        </is>
      </c>
      <c r="C307" s="6" t="inlineStr">
        <is>
          <t>ОБЩЕСТВО С ОГРАНИЧЕННОЙ ОТВЕТСТВЕННОСТЬЮ "АМУР ЗОЛОТО"</t>
        </is>
      </c>
      <c r="D307" s="7" t="inlineStr">
        <is>
          <t>2708001686</t>
        </is>
      </c>
      <c r="E307" s="6" t="inlineStr">
        <is>
          <t>ООО "Амур Золото"</t>
        </is>
      </c>
      <c r="F307" s="7" t="inlineStr">
        <is>
          <t>2708001686</t>
        </is>
      </c>
      <c r="G307" s="7" t="inlineStr">
        <is>
          <t>Успешно</t>
        </is>
      </c>
      <c r="H307" s="6" t="n"/>
      <c r="I307" s="6" t="n"/>
      <c r="J307" s="6" t="inlineStr">
        <is>
          <t>Пользовательский интерфейс</t>
        </is>
      </c>
      <c r="K307" s="7" t="n">
        <v>3</v>
      </c>
      <c r="L307" s="8" t="n"/>
      <c r="M307" s="137" t="inlineStr">
        <is>
          <t>+</t>
        </is>
      </c>
      <c r="N307" s="8" t="n"/>
      <c r="O307" s="8" t="n"/>
      <c r="P307" s="8" t="n"/>
      <c r="Q307" s="8" t="n"/>
      <c r="R307" s="8" t="n"/>
      <c r="S307" s="8" t="n"/>
      <c r="T307" s="8" t="n"/>
      <c r="U307" s="8" t="n"/>
      <c r="V307" s="8" t="n"/>
      <c r="W307" s="8" t="n"/>
      <c r="X307" s="137" t="inlineStr">
        <is>
          <t>+</t>
        </is>
      </c>
      <c r="Y307" s="138" t="inlineStr">
        <is>
          <t>+</t>
        </is>
      </c>
    </row>
    <row r="308">
      <c r="A308" s="6" t="inlineStr">
        <is>
          <t>работник 782</t>
        </is>
      </c>
      <c r="B308" s="6" t="inlineStr">
        <is>
          <t>Электрослесарь (слесарь) дежурный и по ремонту оборудования подземного горного участка / Электрослесарь (слесарь) дежурный и по ремонту оборудования</t>
        </is>
      </c>
      <c r="C308" s="6" t="inlineStr">
        <is>
          <t>ОБЩЕСТВО С ОГРАНИЧЕННОЙ ОТВЕТСТВЕННОСТЬЮ "АМУР ЗОЛОТО"</t>
        </is>
      </c>
      <c r="D308" s="7" t="inlineStr">
        <is>
          <t>2708001686</t>
        </is>
      </c>
      <c r="E308" s="6" t="inlineStr">
        <is>
          <t>ООО "Амур Золото"</t>
        </is>
      </c>
      <c r="F308" s="7" t="inlineStr">
        <is>
          <t>2708001686</t>
        </is>
      </c>
      <c r="G308" s="7" t="inlineStr">
        <is>
          <t>Успешно</t>
        </is>
      </c>
      <c r="H308" s="6" t="n"/>
      <c r="I308" s="6" t="n"/>
      <c r="J308" s="6" t="inlineStr">
        <is>
          <t>Пользовательский интерфейс</t>
        </is>
      </c>
      <c r="K308" s="7" t="n">
        <v>7</v>
      </c>
      <c r="L308" s="8" t="n"/>
      <c r="M308" s="137" t="inlineStr">
        <is>
          <t>+</t>
        </is>
      </c>
      <c r="N308" s="8" t="n"/>
      <c r="O308" s="8" t="n"/>
      <c r="P308" s="8" t="n"/>
      <c r="Q308" s="8" t="n"/>
      <c r="R308" s="8" t="n"/>
      <c r="S308" s="8" t="n"/>
      <c r="T308" s="137" t="inlineStr">
        <is>
          <t>+</t>
        </is>
      </c>
      <c r="U308" s="8" t="n"/>
      <c r="V308" s="8" t="n"/>
      <c r="W308" s="8" t="n"/>
      <c r="X308" s="137" t="inlineStr">
        <is>
          <t>+</t>
        </is>
      </c>
      <c r="Y308" s="137" t="inlineStr">
        <is>
          <t>+</t>
        </is>
      </c>
    </row>
    <row r="309">
      <c r="A309" s="6" t="inlineStr">
        <is>
          <t>работник 659</t>
        </is>
      </c>
      <c r="B309" s="6" t="inlineStr">
        <is>
          <t>Электрогазосварщик (занятый на резке и ручной сварке)</t>
        </is>
      </c>
      <c r="C309" s="6" t="inlineStr">
        <is>
          <t>ОБЩЕСТВО С ОГРАНИЧЕННОЙ ОТВЕТСТВЕННОСТЬЮ "АМУР ЗОЛОТО"</t>
        </is>
      </c>
      <c r="D309" s="7" t="inlineStr">
        <is>
          <t>2708001686</t>
        </is>
      </c>
      <c r="E309" s="6" t="inlineStr">
        <is>
          <t>ООО "Амур Золото"</t>
        </is>
      </c>
      <c r="F309" s="7" t="inlineStr">
        <is>
          <t>2708001686</t>
        </is>
      </c>
      <c r="G309" s="7" t="inlineStr">
        <is>
          <t>Успешно</t>
        </is>
      </c>
      <c r="H309" s="6" t="n"/>
      <c r="I309" s="6" t="n"/>
      <c r="J309" s="6" t="inlineStr">
        <is>
          <t>Пользовательский интерфейс</t>
        </is>
      </c>
      <c r="K309" s="7" t="n">
        <v>4</v>
      </c>
      <c r="L309" s="8" t="n"/>
      <c r="M309" s="137" t="inlineStr">
        <is>
          <t>+</t>
        </is>
      </c>
      <c r="N309" s="8" t="n"/>
      <c r="O309" s="8" t="n"/>
      <c r="P309" s="8" t="n"/>
      <c r="Q309" s="8" t="n"/>
      <c r="R309" s="8" t="n"/>
      <c r="S309" s="8" t="n"/>
      <c r="T309" s="8" t="n"/>
      <c r="U309" s="8" t="n"/>
      <c r="V309" s="8" t="n"/>
      <c r="W309" s="8" t="n"/>
      <c r="X309" s="137" t="inlineStr">
        <is>
          <t>+</t>
        </is>
      </c>
      <c r="Y309" s="137" t="inlineStr">
        <is>
          <t>+</t>
        </is>
      </c>
    </row>
    <row r="310">
      <c r="A310" s="6" t="inlineStr">
        <is>
          <t>работник 788</t>
        </is>
      </c>
      <c r="B310" s="6" t="inlineStr">
        <is>
          <t>Машинист экскаватора</t>
        </is>
      </c>
      <c r="C310" s="6" t="inlineStr">
        <is>
          <t>ОБЩЕСТВО С ОГРАНИЧЕННОЙ ОТВЕТСТВЕННОСТЬЮ "АМУР ЗОЛОТО"</t>
        </is>
      </c>
      <c r="D310" s="7" t="inlineStr">
        <is>
          <t>2708001686</t>
        </is>
      </c>
      <c r="E310" s="6" t="inlineStr">
        <is>
          <t>ООО "Амур Золото"</t>
        </is>
      </c>
      <c r="F310" s="7" t="inlineStr">
        <is>
          <t>2708001686</t>
        </is>
      </c>
      <c r="G310" s="7" t="inlineStr">
        <is>
          <t>Успешно</t>
        </is>
      </c>
      <c r="H310" s="6" t="n"/>
      <c r="I310" s="6" t="n"/>
      <c r="J310" s="6" t="inlineStr">
        <is>
          <t>Пользовательский интерфейс</t>
        </is>
      </c>
      <c r="K310" s="7" t="n">
        <v>3</v>
      </c>
      <c r="L310" s="8" t="n"/>
      <c r="M310" s="137" t="inlineStr">
        <is>
          <t>+</t>
        </is>
      </c>
      <c r="N310" s="8" t="n"/>
      <c r="O310" s="8" t="n"/>
      <c r="P310" s="8" t="n"/>
      <c r="Q310" s="8" t="n"/>
      <c r="R310" s="8" t="n"/>
      <c r="S310" s="8" t="n"/>
      <c r="T310" s="8" t="n"/>
      <c r="U310" s="8" t="n"/>
      <c r="V310" s="8" t="n"/>
      <c r="W310" s="8" t="n"/>
      <c r="X310" s="137" t="inlineStr">
        <is>
          <t>+</t>
        </is>
      </c>
      <c r="Y310" s="137" t="inlineStr">
        <is>
          <t>+</t>
        </is>
      </c>
    </row>
    <row r="311">
      <c r="A311" s="6" t="inlineStr">
        <is>
          <t>работник 802</t>
        </is>
      </c>
      <c r="B311" s="6" t="inlineStr">
        <is>
          <t>Слесарь по ремонту автомобилей и тяжелой техники</t>
        </is>
      </c>
      <c r="C311" s="6" t="inlineStr">
        <is>
          <t>ОБЩЕСТВО С ОГРАНИЧЕННОЙ ОТВЕТСТВЕННОСТЬЮ "АМУР ЗОЛОТО"</t>
        </is>
      </c>
      <c r="D311" s="7" t="inlineStr">
        <is>
          <t>2708001686</t>
        </is>
      </c>
      <c r="E311" s="6" t="inlineStr">
        <is>
          <t>ООО "Амур Золото"</t>
        </is>
      </c>
      <c r="F311" s="7" t="inlineStr">
        <is>
          <t>2708001686</t>
        </is>
      </c>
      <c r="G311" s="7" t="inlineStr">
        <is>
          <t>Успешно</t>
        </is>
      </c>
      <c r="H311" s="6" t="n"/>
      <c r="I311" s="6" t="n"/>
      <c r="J311" s="6" t="inlineStr">
        <is>
          <t>Пользовательский интерфейс</t>
        </is>
      </c>
      <c r="K311" s="7" t="n">
        <v>4</v>
      </c>
      <c r="L311" s="8" t="n"/>
      <c r="M311" s="137" t="inlineStr">
        <is>
          <t>+</t>
        </is>
      </c>
      <c r="N311" s="8" t="n"/>
      <c r="O311" s="137" t="inlineStr">
        <is>
          <t>+</t>
        </is>
      </c>
      <c r="P311" s="8" t="n"/>
      <c r="Q311" s="8" t="n"/>
      <c r="R311" s="8" t="n"/>
      <c r="S311" s="8" t="n"/>
      <c r="T311" s="8" t="n"/>
      <c r="U311" s="8" t="n"/>
      <c r="V311" s="8" t="n"/>
      <c r="W311" s="8" t="n"/>
      <c r="X311" s="137" t="inlineStr">
        <is>
          <t>+</t>
        </is>
      </c>
      <c r="Y311" s="137" t="inlineStr">
        <is>
          <t>+</t>
        </is>
      </c>
    </row>
    <row r="312">
      <c r="A312" s="6" t="inlineStr">
        <is>
          <t>работник 918</t>
        </is>
      </c>
      <c r="B312" s="6" t="inlineStr">
        <is>
          <t>Стропальщик</t>
        </is>
      </c>
      <c r="C312" s="6" t="inlineStr">
        <is>
          <t>ОБЩЕСТВО С ОГРАНИЧЕННОЙ ОТВЕТСТВЕННОСТЬЮ "АМУР ЗОЛОТО"</t>
        </is>
      </c>
      <c r="D312" s="7" t="inlineStr">
        <is>
          <t>2708001686</t>
        </is>
      </c>
      <c r="E312" s="6" t="inlineStr">
        <is>
          <t>ООО "Амур Золото"</t>
        </is>
      </c>
      <c r="F312" s="7" t="inlineStr">
        <is>
          <t>2708001686</t>
        </is>
      </c>
      <c r="G312" s="7" t="inlineStr">
        <is>
          <t>Успешно</t>
        </is>
      </c>
      <c r="H312" s="6" t="n"/>
      <c r="I312" s="6" t="n"/>
      <c r="J312" s="6" t="inlineStr">
        <is>
          <t>Пользовательский интерфейс</t>
        </is>
      </c>
      <c r="K312" s="7" t="n">
        <v>3</v>
      </c>
      <c r="L312" s="8" t="n"/>
      <c r="M312" s="137" t="inlineStr">
        <is>
          <t>+</t>
        </is>
      </c>
      <c r="N312" s="8" t="n"/>
      <c r="O312" s="8" t="n"/>
      <c r="P312" s="8" t="n"/>
      <c r="Q312" s="8" t="n"/>
      <c r="R312" s="8" t="n"/>
      <c r="S312" s="8" t="n"/>
      <c r="T312" s="8" t="n"/>
      <c r="U312" s="8" t="n"/>
      <c r="V312" s="8" t="n"/>
      <c r="W312" s="8" t="n"/>
      <c r="X312" s="137" t="inlineStr">
        <is>
          <t>+</t>
        </is>
      </c>
      <c r="Y312" s="137" t="inlineStr">
        <is>
          <t>+</t>
        </is>
      </c>
    </row>
    <row r="313">
      <c r="A313" s="6" t="inlineStr">
        <is>
          <t>работник 818</t>
        </is>
      </c>
      <c r="B313" s="6" t="inlineStr">
        <is>
          <t>Водитель автомобиля (занятый на транспортировании горной массы в технологическом процессе)</t>
        </is>
      </c>
      <c r="C313" s="6" t="inlineStr">
        <is>
          <t>ОБЩЕСТВО С ОГРАНИЧЕННОЙ ОТВЕТСТВЕННОСТЬЮ "АМУР ЗОЛОТО"</t>
        </is>
      </c>
      <c r="D313" s="7" t="inlineStr">
        <is>
          <t>2708001686</t>
        </is>
      </c>
      <c r="E313" s="6" t="inlineStr">
        <is>
          <t>ООО "Амур Золото"</t>
        </is>
      </c>
      <c r="F313" s="7" t="inlineStr">
        <is>
          <t>2708001686</t>
        </is>
      </c>
      <c r="G313" s="7" t="inlineStr">
        <is>
          <t>Успешно</t>
        </is>
      </c>
      <c r="H313" s="6" t="n"/>
      <c r="I313" s="6" t="n"/>
      <c r="J313" s="6" t="inlineStr">
        <is>
          <t>Пользовательский интерфейс</t>
        </is>
      </c>
      <c r="K313" s="7" t="n">
        <v>2</v>
      </c>
      <c r="L313" s="8" t="n"/>
      <c r="M313" s="137" t="inlineStr">
        <is>
          <t>+</t>
        </is>
      </c>
      <c r="N313" s="8" t="n"/>
      <c r="O313" s="8" t="n"/>
      <c r="P313" s="8" t="n"/>
      <c r="Q313" s="8" t="n"/>
      <c r="R313" s="8" t="n"/>
      <c r="S313" s="8" t="n"/>
      <c r="T313" s="8" t="n"/>
      <c r="U313" s="8" t="n"/>
      <c r="V313" s="8" t="n"/>
      <c r="W313" s="8" t="n"/>
      <c r="X313" s="139" t="n"/>
      <c r="Y313" s="137" t="inlineStr">
        <is>
          <t>+</t>
        </is>
      </c>
    </row>
    <row r="314">
      <c r="A314" s="6" t="inlineStr">
        <is>
          <t>работник 908</t>
        </is>
      </c>
      <c r="B314" s="6" t="inlineStr">
        <is>
          <t>Повар</t>
        </is>
      </c>
      <c r="C314" s="6" t="inlineStr">
        <is>
          <t>ОБЩЕСТВО С ОГРАНИЧЕННОЙ ОТВЕТСТВЕННОСТЬЮ "АМУР ЗОЛОТО"</t>
        </is>
      </c>
      <c r="D314" s="7" t="inlineStr">
        <is>
          <t>2708001686</t>
        </is>
      </c>
      <c r="E314" s="6" t="inlineStr">
        <is>
          <t>ООО "Амур Золото"</t>
        </is>
      </c>
      <c r="F314" s="7" t="inlineStr">
        <is>
          <t>2708001686</t>
        </is>
      </c>
      <c r="G314" s="7" t="inlineStr">
        <is>
          <t>Успешно</t>
        </is>
      </c>
      <c r="H314" s="6" t="n"/>
      <c r="I314" s="6" t="n"/>
      <c r="J314" s="6" t="inlineStr">
        <is>
          <t>Пользовательский интерфейс</t>
        </is>
      </c>
      <c r="K314" s="7" t="n">
        <v>3</v>
      </c>
      <c r="L314" s="8" t="n"/>
      <c r="M314" s="137" t="inlineStr">
        <is>
          <t>+</t>
        </is>
      </c>
      <c r="N314" s="8" t="n"/>
      <c r="O314" s="8" t="n"/>
      <c r="P314" s="8" t="n"/>
      <c r="Q314" s="8" t="n"/>
      <c r="R314" s="8" t="n"/>
      <c r="S314" s="8" t="n"/>
      <c r="T314" s="8" t="n"/>
      <c r="U314" s="8" t="n"/>
      <c r="V314" s="8" t="n"/>
      <c r="W314" s="8" t="n"/>
      <c r="X314" s="137" t="inlineStr">
        <is>
          <t>+</t>
        </is>
      </c>
      <c r="Y314" s="138" t="inlineStr">
        <is>
          <t>+</t>
        </is>
      </c>
    </row>
    <row r="315">
      <c r="A315" s="6" t="inlineStr">
        <is>
          <t>работник 593</t>
        </is>
      </c>
      <c r="B315" s="6" t="inlineStr">
        <is>
          <t>Крепильщик / Помощник машиниста самоходной буровой установки (с исполнением обязанностей пробоотборщика) (Очистное)</t>
        </is>
      </c>
      <c r="C315" s="6" t="inlineStr">
        <is>
          <t>ОБЩЕСТВО С ОГРАНИЧЕННОЙ ОТВЕТСТВЕННОСТЬЮ "АМУР ЗОЛОТО"</t>
        </is>
      </c>
      <c r="D315" s="7" t="inlineStr">
        <is>
          <t>2708001686</t>
        </is>
      </c>
      <c r="E315" s="6" t="inlineStr">
        <is>
          <t>ООО "Амур Золото"</t>
        </is>
      </c>
      <c r="F315" s="7" t="inlineStr">
        <is>
          <t>2708001686</t>
        </is>
      </c>
      <c r="G315" s="7" t="inlineStr">
        <is>
          <t>Успешно</t>
        </is>
      </c>
      <c r="H315" s="6" t="n"/>
      <c r="I315" s="6" t="n"/>
      <c r="J315" s="6" t="inlineStr">
        <is>
          <t>Пользовательский интерфейс</t>
        </is>
      </c>
      <c r="K315" s="7" t="n">
        <v>5</v>
      </c>
      <c r="L315" s="8" t="n"/>
      <c r="M315" s="137" t="inlineStr">
        <is>
          <t>+</t>
        </is>
      </c>
      <c r="N315" s="8" t="n"/>
      <c r="O315" s="8" t="n"/>
      <c r="P315" s="8" t="n"/>
      <c r="Q315" s="8" t="n"/>
      <c r="R315" s="8" t="n"/>
      <c r="S315" s="8" t="n"/>
      <c r="T315" s="8" t="n"/>
      <c r="U315" s="8" t="n"/>
      <c r="V315" s="8" t="n"/>
      <c r="W315" s="8" t="n"/>
      <c r="X315" s="137" t="inlineStr">
        <is>
          <t>+</t>
        </is>
      </c>
      <c r="Y315" s="137" t="inlineStr">
        <is>
          <t>+</t>
        </is>
      </c>
    </row>
    <row r="316">
      <c r="A316" s="6" t="inlineStr">
        <is>
          <t>работник 932</t>
        </is>
      </c>
      <c r="B316" s="6" t="inlineStr">
        <is>
          <t>Кладовщик</t>
        </is>
      </c>
      <c r="C316" s="6" t="inlineStr">
        <is>
          <t>ОБЩЕСТВО С ОГРАНИЧЕННОЙ ОТВЕТСТВЕННОСТЬЮ "АМУР ЗОЛОТО"</t>
        </is>
      </c>
      <c r="D316" s="7" t="inlineStr">
        <is>
          <t>2708001686</t>
        </is>
      </c>
      <c r="E316" s="6" t="inlineStr">
        <is>
          <t>ООО "Амур Золото"</t>
        </is>
      </c>
      <c r="F316" s="7" t="inlineStr">
        <is>
          <t>2708001686</t>
        </is>
      </c>
      <c r="G316" s="7" t="inlineStr">
        <is>
          <t>Успешно</t>
        </is>
      </c>
      <c r="H316" s="6" t="n"/>
      <c r="I316" s="6" t="n"/>
      <c r="J316" s="6" t="inlineStr">
        <is>
          <t>Пользовательский интерфейс</t>
        </is>
      </c>
      <c r="K316" s="7" t="n">
        <v>3</v>
      </c>
      <c r="L316" s="8" t="n"/>
      <c r="M316" s="137" t="inlineStr">
        <is>
          <t>+</t>
        </is>
      </c>
      <c r="N316" s="8" t="n"/>
      <c r="O316" s="8" t="n"/>
      <c r="P316" s="8" t="n"/>
      <c r="Q316" s="8" t="n"/>
      <c r="R316" s="8" t="n"/>
      <c r="S316" s="8" t="n"/>
      <c r="T316" s="8" t="n"/>
      <c r="U316" s="8" t="n"/>
      <c r="V316" s="8" t="n"/>
      <c r="W316" s="8" t="n"/>
      <c r="X316" s="137" t="inlineStr">
        <is>
          <t>+</t>
        </is>
      </c>
      <c r="Y316" s="137" t="inlineStr">
        <is>
          <t>+</t>
        </is>
      </c>
    </row>
    <row r="317">
      <c r="A317" s="6" t="inlineStr">
        <is>
          <t>работник 69</t>
        </is>
      </c>
      <c r="B317" s="6" t="inlineStr">
        <is>
          <t>Подсобный рабочий</t>
        </is>
      </c>
      <c r="C317" s="6" t="inlineStr">
        <is>
          <t>ОБЩЕСТВО С ОГРАНИЧЕННОЙ ОТВЕТСТВЕННОСТЬЮ "АМУР ЗОЛОТО"</t>
        </is>
      </c>
      <c r="D317" s="7" t="inlineStr">
        <is>
          <t>2708001686</t>
        </is>
      </c>
      <c r="E317" s="6" t="inlineStr">
        <is>
          <t>ООО "Амур Золото"</t>
        </is>
      </c>
      <c r="F317" s="7" t="inlineStr">
        <is>
          <t>2708001686</t>
        </is>
      </c>
      <c r="G317" s="7" t="inlineStr">
        <is>
          <t>Успешно</t>
        </is>
      </c>
      <c r="H317" s="6" t="n"/>
      <c r="I317" s="6" t="n"/>
      <c r="J317" s="6" t="inlineStr">
        <is>
          <t>Пользовательский интерфейс</t>
        </is>
      </c>
      <c r="K317" s="7" t="n">
        <v>3</v>
      </c>
      <c r="L317" s="8" t="n"/>
      <c r="M317" s="137" t="inlineStr">
        <is>
          <t>+</t>
        </is>
      </c>
      <c r="N317" s="8" t="n"/>
      <c r="O317" s="8" t="n"/>
      <c r="P317" s="8" t="n"/>
      <c r="Q317" s="8" t="n"/>
      <c r="R317" s="8" t="n"/>
      <c r="S317" s="8" t="n"/>
      <c r="T317" s="8" t="n"/>
      <c r="U317" s="8" t="n"/>
      <c r="V317" s="8" t="n"/>
      <c r="W317" s="8" t="n"/>
      <c r="X317" s="137" t="inlineStr">
        <is>
          <t>+</t>
        </is>
      </c>
      <c r="Y317" s="137" t="inlineStr">
        <is>
          <t>+</t>
        </is>
      </c>
    </row>
    <row r="318">
      <c r="A318" s="6" t="inlineStr">
        <is>
          <t>работник 806</t>
        </is>
      </c>
      <c r="B318" s="6" t="inlineStr">
        <is>
          <t>Повар / повар</t>
        </is>
      </c>
      <c r="C318" s="6" t="inlineStr">
        <is>
          <t>ОБЩЕСТВО С ОГРАНИЧЕННОЙ ОТВЕТСТВЕННОСТЬЮ "АМУР ЗОЛОТО"</t>
        </is>
      </c>
      <c r="D318" s="7" t="inlineStr">
        <is>
          <t>2708001686</t>
        </is>
      </c>
      <c r="E318" s="6" t="inlineStr">
        <is>
          <t>ООО "Амур Золото"</t>
        </is>
      </c>
      <c r="F318" s="7" t="inlineStr">
        <is>
          <t>2708001686</t>
        </is>
      </c>
      <c r="G318" s="7" t="inlineStr">
        <is>
          <t>Успешно</t>
        </is>
      </c>
      <c r="H318" s="6" t="n"/>
      <c r="I318" s="6" t="n"/>
      <c r="J318" s="6" t="inlineStr">
        <is>
          <t>Пользовательский интерфейс</t>
        </is>
      </c>
      <c r="K318" s="7" t="n">
        <v>5</v>
      </c>
      <c r="L318" s="8" t="n"/>
      <c r="M318" s="137" t="inlineStr">
        <is>
          <t>+</t>
        </is>
      </c>
      <c r="N318" s="8" t="n"/>
      <c r="O318" s="8" t="n"/>
      <c r="P318" s="8" t="n"/>
      <c r="Q318" s="8" t="n"/>
      <c r="R318" s="8" t="n"/>
      <c r="S318" s="8" t="n"/>
      <c r="T318" s="8" t="n"/>
      <c r="U318" s="8" t="n"/>
      <c r="V318" s="8" t="n"/>
      <c r="W318" s="8" t="n"/>
      <c r="X318" s="137" t="inlineStr">
        <is>
          <t>+</t>
        </is>
      </c>
      <c r="Y318" s="138" t="inlineStr">
        <is>
          <t>+</t>
        </is>
      </c>
    </row>
    <row r="319">
      <c r="A319" s="6" t="inlineStr">
        <is>
          <t>работник 215</t>
        </is>
      </c>
      <c r="B319" s="6" t="inlineStr">
        <is>
          <t>Водитель автомобиля(занятый на траспортировании горной массы в технологическом процессе)</t>
        </is>
      </c>
      <c r="C319" s="6" t="inlineStr">
        <is>
          <t>ОБЩЕСТВО С ОГРАНИЧЕННОЙ ОТВЕТСТВЕННОСТЬЮ "АМУР ЗОЛОТО"</t>
        </is>
      </c>
      <c r="D319" s="7" t="inlineStr">
        <is>
          <t>2708001686</t>
        </is>
      </c>
      <c r="E319" s="6" t="inlineStr">
        <is>
          <t>ООО "Амур Золото"</t>
        </is>
      </c>
      <c r="F319" s="7" t="inlineStr">
        <is>
          <t>2708001686</t>
        </is>
      </c>
      <c r="G319" s="7" t="inlineStr">
        <is>
          <t>Успешно</t>
        </is>
      </c>
      <c r="H319" s="6" t="n"/>
      <c r="I319" s="6" t="n"/>
      <c r="J319" s="6" t="inlineStr">
        <is>
          <t>Пользовательский интерфейс</t>
        </is>
      </c>
      <c r="K319" s="7" t="n">
        <v>3</v>
      </c>
      <c r="L319" s="8" t="n"/>
      <c r="M319" s="137" t="inlineStr">
        <is>
          <t>+</t>
        </is>
      </c>
      <c r="N319" s="8" t="n"/>
      <c r="O319" s="8" t="n"/>
      <c r="P319" s="8" t="n"/>
      <c r="Q319" s="8" t="n"/>
      <c r="R319" s="8" t="n"/>
      <c r="S319" s="8" t="n"/>
      <c r="T319" s="8" t="n"/>
      <c r="U319" s="8" t="n"/>
      <c r="V319" s="8" t="n"/>
      <c r="W319" s="8" t="n"/>
      <c r="X319" s="137" t="inlineStr">
        <is>
          <t>+</t>
        </is>
      </c>
      <c r="Y319" s="137" t="inlineStr">
        <is>
          <t>+</t>
        </is>
      </c>
    </row>
    <row r="320">
      <c r="A320" s="6" t="inlineStr">
        <is>
          <t>работник 81</t>
        </is>
      </c>
      <c r="B320" s="6" t="inlineStr">
        <is>
          <t>Плотник</t>
        </is>
      </c>
      <c r="C320" s="6" t="inlineStr">
        <is>
          <t>ОБЩЕСТВО С ОГРАНИЧЕННОЙ ОТВЕТСТВЕННОСТЬЮ "АМУР ЗОЛОТО"</t>
        </is>
      </c>
      <c r="D320" s="7" t="inlineStr">
        <is>
          <t>2708001686</t>
        </is>
      </c>
      <c r="E320" s="6" t="inlineStr">
        <is>
          <t>ООО "Амур Золото"</t>
        </is>
      </c>
      <c r="F320" s="7" t="inlineStr">
        <is>
          <t>2708001686</t>
        </is>
      </c>
      <c r="G320" s="7" t="inlineStr">
        <is>
          <t>Успешно</t>
        </is>
      </c>
      <c r="H320" s="6" t="n"/>
      <c r="I320" s="6" t="n"/>
      <c r="J320" s="6" t="inlineStr">
        <is>
          <t>Пользовательский интерфейс</t>
        </is>
      </c>
      <c r="K320" s="7" t="n">
        <v>10</v>
      </c>
      <c r="L320" s="8" t="n"/>
      <c r="M320" s="137" t="inlineStr">
        <is>
          <t>+</t>
        </is>
      </c>
      <c r="N320" s="137" t="inlineStr">
        <is>
          <t>+</t>
        </is>
      </c>
      <c r="O320" s="8" t="n"/>
      <c r="P320" s="8" t="n"/>
      <c r="Q320" s="8" t="n"/>
      <c r="R320" s="8" t="n"/>
      <c r="S320" s="8" t="n"/>
      <c r="T320" s="8" t="n"/>
      <c r="U320" s="137" t="inlineStr">
        <is>
          <t>+</t>
        </is>
      </c>
      <c r="V320" s="137" t="inlineStr">
        <is>
          <t>+</t>
        </is>
      </c>
      <c r="W320" s="8" t="n"/>
      <c r="X320" s="137" t="inlineStr">
        <is>
          <t>+</t>
        </is>
      </c>
      <c r="Y320" s="137" t="inlineStr">
        <is>
          <t>+</t>
        </is>
      </c>
    </row>
    <row r="321">
      <c r="A321" s="6" t="inlineStr">
        <is>
          <t>работник 421</t>
        </is>
      </c>
      <c r="B321" s="6" t="inlineStr">
        <is>
          <t>Горнорабочий на маркшейдерских работах / Помощник машиниста самоходной буровой установки (с исполнением обязанностей пробоотборщика) (Очистное)</t>
        </is>
      </c>
      <c r="C321" s="6" t="inlineStr">
        <is>
          <t>ОБЩЕСТВО С ОГРАНИЧЕННОЙ ОТВЕТСТВЕННОСТЬЮ "АМУР ЗОЛОТО"</t>
        </is>
      </c>
      <c r="D321" s="7" t="inlineStr">
        <is>
          <t>2708001686</t>
        </is>
      </c>
      <c r="E321" s="6" t="inlineStr">
        <is>
          <t>ООО "Амур Золото"</t>
        </is>
      </c>
      <c r="F321" s="7" t="inlineStr">
        <is>
          <t>2708001686</t>
        </is>
      </c>
      <c r="G321" s="7" t="inlineStr">
        <is>
          <t>Успешно</t>
        </is>
      </c>
      <c r="H321" s="6" t="n"/>
      <c r="I321" s="6" t="n"/>
      <c r="J321" s="6" t="inlineStr">
        <is>
          <t>Пользовательский интерфейс</t>
        </is>
      </c>
      <c r="K321" s="7" t="n">
        <v>4</v>
      </c>
      <c r="L321" s="8" t="n"/>
      <c r="M321" s="137" t="inlineStr">
        <is>
          <t>+</t>
        </is>
      </c>
      <c r="N321" s="8" t="n"/>
      <c r="O321" s="8" t="n"/>
      <c r="P321" s="8" t="n"/>
      <c r="Q321" s="8" t="n"/>
      <c r="R321" s="8" t="n"/>
      <c r="S321" s="8" t="n"/>
      <c r="T321" s="8" t="n"/>
      <c r="U321" s="8" t="n"/>
      <c r="V321" s="8" t="n"/>
      <c r="W321" s="8" t="n"/>
      <c r="X321" s="139" t="n"/>
      <c r="Y321" s="137" t="inlineStr">
        <is>
          <t>+</t>
        </is>
      </c>
    </row>
    <row r="322">
      <c r="A322" s="6" t="inlineStr">
        <is>
          <t>работник 238</t>
        </is>
      </c>
      <c r="B322" s="6" t="inlineStr">
        <is>
          <t>Лаборант пробирного анализа</t>
        </is>
      </c>
      <c r="C322" s="6" t="inlineStr">
        <is>
          <t>ОБЩЕСТВО С ОГРАНИЧЕННОЙ ОТВЕТСТВЕННОСТЬЮ "АМУР ЗОЛОТО"</t>
        </is>
      </c>
      <c r="D322" s="7" t="inlineStr">
        <is>
          <t>2708001686</t>
        </is>
      </c>
      <c r="E322" s="6" t="inlineStr">
        <is>
          <t>ООО "Амур Золото"</t>
        </is>
      </c>
      <c r="F322" s="7" t="inlineStr">
        <is>
          <t>2708001686</t>
        </is>
      </c>
      <c r="G322" s="7" t="inlineStr">
        <is>
          <t>Успешно</t>
        </is>
      </c>
      <c r="H322" s="6" t="n"/>
      <c r="I322" s="6" t="n"/>
      <c r="J322" s="6" t="inlineStr">
        <is>
          <t>Пользовательский интерфейс</t>
        </is>
      </c>
      <c r="K322" s="7" t="n">
        <v>8</v>
      </c>
      <c r="L322" s="8" t="n"/>
      <c r="M322" s="137" t="inlineStr">
        <is>
          <t>+</t>
        </is>
      </c>
      <c r="N322" s="8" t="n"/>
      <c r="O322" s="8" t="n"/>
      <c r="P322" s="8" t="n"/>
      <c r="Q322" s="8" t="n"/>
      <c r="R322" s="8" t="n"/>
      <c r="S322" s="8" t="n"/>
      <c r="T322" s="8" t="n"/>
      <c r="U322" s="8" t="n"/>
      <c r="V322" s="8" t="n"/>
      <c r="W322" s="8" t="n"/>
      <c r="X322" s="137" t="inlineStr">
        <is>
          <t>+</t>
        </is>
      </c>
      <c r="Y322" s="137" t="inlineStr">
        <is>
          <t>+</t>
        </is>
      </c>
    </row>
    <row r="323">
      <c r="A323" s="6" t="inlineStr">
        <is>
          <t>работник 188</t>
        </is>
      </c>
      <c r="B323" s="6" t="inlineStr">
        <is>
          <t>Водитель автомобиля(занятый на траспортировании горной массы в технологическом процессе)</t>
        </is>
      </c>
      <c r="C323" s="6" t="inlineStr">
        <is>
          <t>ОБЩЕСТВО С ОГРАНИЧЕННОЙ ОТВЕТСТВЕННОСТЬЮ "АМУР ЗОЛОТО"</t>
        </is>
      </c>
      <c r="D323" s="7" t="inlineStr">
        <is>
          <t>2708001686</t>
        </is>
      </c>
      <c r="E323" s="6" t="inlineStr">
        <is>
          <t>ООО "Амур Золото"</t>
        </is>
      </c>
      <c r="F323" s="7" t="inlineStr">
        <is>
          <t>2708001686</t>
        </is>
      </c>
      <c r="G323" s="7" t="inlineStr">
        <is>
          <t>Успешно</t>
        </is>
      </c>
      <c r="H323" s="6" t="n"/>
      <c r="I323" s="6" t="n"/>
      <c r="J323" s="6" t="inlineStr">
        <is>
          <t>Пользовательский интерфейс</t>
        </is>
      </c>
      <c r="K323" s="7" t="n">
        <v>3</v>
      </c>
      <c r="L323" s="8" t="n"/>
      <c r="M323" s="137" t="inlineStr">
        <is>
          <t>+</t>
        </is>
      </c>
      <c r="N323" s="8" t="n"/>
      <c r="O323" s="8" t="n"/>
      <c r="P323" s="8" t="n"/>
      <c r="Q323" s="8" t="n"/>
      <c r="R323" s="8" t="n"/>
      <c r="S323" s="8" t="n"/>
      <c r="T323" s="8" t="n"/>
      <c r="U323" s="8" t="n"/>
      <c r="V323" s="8" t="n"/>
      <c r="W323" s="8" t="n"/>
      <c r="X323" s="137" t="inlineStr">
        <is>
          <t>+</t>
        </is>
      </c>
      <c r="Y323" s="137" t="inlineStr">
        <is>
          <t>+</t>
        </is>
      </c>
    </row>
    <row r="324">
      <c r="A324" s="6" t="inlineStr">
        <is>
          <t>работник 751</t>
        </is>
      </c>
      <c r="B324" s="6" t="inlineStr">
        <is>
          <t>Фильтровальщик</t>
        </is>
      </c>
      <c r="C324" s="6" t="inlineStr">
        <is>
          <t>ОБЩЕСТВО С ОГРАНИЧЕННОЙ ОТВЕТСТВЕННОСТЬЮ "АМУР ЗОЛОТО"</t>
        </is>
      </c>
      <c r="D324" s="7" t="inlineStr">
        <is>
          <t>2708001686</t>
        </is>
      </c>
      <c r="E324" s="6" t="inlineStr">
        <is>
          <t>ООО "Амур Золото"</t>
        </is>
      </c>
      <c r="F324" s="7" t="inlineStr">
        <is>
          <t>2708001686</t>
        </is>
      </c>
      <c r="G324" s="7" t="inlineStr">
        <is>
          <t>Успешно</t>
        </is>
      </c>
      <c r="H324" s="6" t="n"/>
      <c r="I324" s="6" t="n"/>
      <c r="J324" s="6" t="inlineStr">
        <is>
          <t>Пользовательский интерфейс</t>
        </is>
      </c>
      <c r="K324" s="7" t="n">
        <v>5</v>
      </c>
      <c r="L324" s="8" t="n"/>
      <c r="M324" s="137" t="inlineStr">
        <is>
          <t>+</t>
        </is>
      </c>
      <c r="N324" s="137" t="inlineStr">
        <is>
          <t>+</t>
        </is>
      </c>
      <c r="O324" s="8" t="n"/>
      <c r="P324" s="137" t="inlineStr">
        <is>
          <t>+</t>
        </is>
      </c>
      <c r="Q324" s="8" t="n"/>
      <c r="R324" s="8" t="n"/>
      <c r="S324" s="8" t="n"/>
      <c r="T324" s="8" t="n"/>
      <c r="U324" s="8" t="n"/>
      <c r="V324" s="8" t="n"/>
      <c r="W324" s="8" t="n"/>
      <c r="X324" s="137" t="inlineStr">
        <is>
          <t>+</t>
        </is>
      </c>
      <c r="Y324" s="137" t="inlineStr">
        <is>
          <t>+</t>
        </is>
      </c>
    </row>
    <row r="325">
      <c r="A325" s="6" t="inlineStr">
        <is>
          <t>работник 620</t>
        </is>
      </c>
      <c r="B325" s="6" t="inlineStr">
        <is>
          <t>Машинист двигателей внутреннего сгорания</t>
        </is>
      </c>
      <c r="C325" s="6" t="inlineStr">
        <is>
          <t>ОБЩЕСТВО С ОГРАНИЧЕННОЙ ОТВЕТСТВЕННОСТЬЮ "АМУР ЗОЛОТО"</t>
        </is>
      </c>
      <c r="D325" s="7" t="inlineStr">
        <is>
          <t>2708001686</t>
        </is>
      </c>
      <c r="E325" s="6" t="inlineStr">
        <is>
          <t>ООО "Амур Золото"</t>
        </is>
      </c>
      <c r="F325" s="7" t="inlineStr">
        <is>
          <t>2708001686</t>
        </is>
      </c>
      <c r="G325" s="7" t="inlineStr">
        <is>
          <t>Успешно</t>
        </is>
      </c>
      <c r="H325" s="6" t="n"/>
      <c r="I325" s="6" t="n"/>
      <c r="J325" s="6" t="inlineStr">
        <is>
          <t>Пользовательский интерфейс</t>
        </is>
      </c>
      <c r="K325" s="7" t="n">
        <v>5</v>
      </c>
      <c r="L325" s="8" t="n"/>
      <c r="M325" s="137" t="inlineStr">
        <is>
          <t>+</t>
        </is>
      </c>
      <c r="N325" s="8" t="n"/>
      <c r="O325" s="8" t="n"/>
      <c r="P325" s="8" t="n"/>
      <c r="Q325" s="8" t="n"/>
      <c r="R325" s="8" t="n"/>
      <c r="S325" s="8" t="n"/>
      <c r="T325" s="8" t="n"/>
      <c r="U325" s="8" t="n"/>
      <c r="V325" s="8" t="n"/>
      <c r="W325" s="8" t="n"/>
      <c r="X325" s="137" t="inlineStr">
        <is>
          <t>+</t>
        </is>
      </c>
      <c r="Y325" s="137" t="inlineStr">
        <is>
          <t>+</t>
        </is>
      </c>
    </row>
    <row r="326">
      <c r="A326" s="6" t="inlineStr">
        <is>
          <t>работник 717</t>
        </is>
      </c>
      <c r="B326" s="6" t="inlineStr">
        <is>
          <t>Водитель автомобиля (категория С)</t>
        </is>
      </c>
      <c r="C326" s="6" t="inlineStr">
        <is>
          <t>ОБЩЕСТВО С ОГРАНИЧЕННОЙ ОТВЕТСТВЕННОСТЬЮ "АМУР ЗОЛОТО"</t>
        </is>
      </c>
      <c r="D326" s="7" t="inlineStr">
        <is>
          <t>2708001686</t>
        </is>
      </c>
      <c r="E326" s="6" t="inlineStr">
        <is>
          <t>ООО "Амур Золото"</t>
        </is>
      </c>
      <c r="F326" s="7" t="inlineStr">
        <is>
          <t>2708001686</t>
        </is>
      </c>
      <c r="G326" s="7" t="inlineStr">
        <is>
          <t>Успешно</t>
        </is>
      </c>
      <c r="H326" s="6" t="n"/>
      <c r="I326" s="6" t="n"/>
      <c r="J326" s="6" t="inlineStr">
        <is>
          <t>Пользовательский интерфейс</t>
        </is>
      </c>
      <c r="K326" s="7" t="n">
        <v>2</v>
      </c>
      <c r="L326" s="8" t="n"/>
      <c r="M326" s="137" t="inlineStr">
        <is>
          <t>+</t>
        </is>
      </c>
      <c r="N326" s="8" t="n"/>
      <c r="O326" s="8" t="n"/>
      <c r="P326" s="8" t="n"/>
      <c r="Q326" s="8" t="n"/>
      <c r="R326" s="8" t="n"/>
      <c r="S326" s="8" t="n"/>
      <c r="T326" s="8" t="n"/>
      <c r="U326" s="8" t="n"/>
      <c r="V326" s="8" t="n"/>
      <c r="W326" s="8" t="n"/>
      <c r="X326" s="139" t="n"/>
      <c r="Y326" s="137" t="inlineStr">
        <is>
          <t>+</t>
        </is>
      </c>
    </row>
    <row r="327">
      <c r="A327" s="6" t="inlineStr">
        <is>
          <t>работник 578</t>
        </is>
      </c>
      <c r="B327" s="6" t="inlineStr">
        <is>
          <t>Пробоотборщик</t>
        </is>
      </c>
      <c r="C327" s="6" t="inlineStr">
        <is>
          <t>ОБЩЕСТВО С ОГРАНИЧЕННОЙ ОТВЕТСТВЕННОСТЬЮ "АМУР ЗОЛОТО"</t>
        </is>
      </c>
      <c r="D327" s="7" t="inlineStr">
        <is>
          <t>2708001686</t>
        </is>
      </c>
      <c r="E327" s="6" t="inlineStr">
        <is>
          <t>ООО "Амур Золото"</t>
        </is>
      </c>
      <c r="F327" s="7" t="inlineStr">
        <is>
          <t>2708001686</t>
        </is>
      </c>
      <c r="G327" s="7" t="inlineStr">
        <is>
          <t>Успешно</t>
        </is>
      </c>
      <c r="H327" s="6" t="n"/>
      <c r="I327" s="6" t="n"/>
      <c r="J327" s="6" t="inlineStr">
        <is>
          <t>Пользовательский интерфейс</t>
        </is>
      </c>
      <c r="K327" s="7" t="n">
        <v>2</v>
      </c>
      <c r="L327" s="8" t="n"/>
      <c r="M327" s="137" t="inlineStr">
        <is>
          <t>+</t>
        </is>
      </c>
      <c r="N327" s="8" t="n"/>
      <c r="O327" s="8" t="n"/>
      <c r="P327" s="8" t="n"/>
      <c r="Q327" s="8" t="n"/>
      <c r="R327" s="8" t="n"/>
      <c r="S327" s="8" t="n"/>
      <c r="T327" s="8" t="n"/>
      <c r="U327" s="8" t="n"/>
      <c r="V327" s="8" t="n"/>
      <c r="W327" s="8" t="n"/>
      <c r="X327" s="139" t="n"/>
      <c r="Y327" s="137" t="inlineStr">
        <is>
          <t>+</t>
        </is>
      </c>
    </row>
    <row r="328">
      <c r="A328" s="6" t="inlineStr">
        <is>
          <t>работник 592</t>
        </is>
      </c>
      <c r="B328" s="6" t="inlineStr">
        <is>
          <t>Горничная</t>
        </is>
      </c>
      <c r="C328" s="6" t="inlineStr">
        <is>
          <t>ОБЩЕСТВО С ОГРАНИЧЕННОЙ ОТВЕТСТВЕННОСТЬЮ "АМУР ЗОЛОТО"</t>
        </is>
      </c>
      <c r="D328" s="7" t="inlineStr">
        <is>
          <t>2708001686</t>
        </is>
      </c>
      <c r="E328" s="6" t="inlineStr">
        <is>
          <t>ООО "Амур Золото"</t>
        </is>
      </c>
      <c r="F328" s="7" t="inlineStr">
        <is>
          <t>2708001686</t>
        </is>
      </c>
      <c r="G328" s="7" t="inlineStr">
        <is>
          <t>Успешно</t>
        </is>
      </c>
      <c r="H328" s="6" t="n"/>
      <c r="I328" s="6" t="n"/>
      <c r="J328" s="6" t="inlineStr">
        <is>
          <t>Пользовательский интерфейс</t>
        </is>
      </c>
      <c r="K328" s="7" t="n">
        <v>2</v>
      </c>
      <c r="L328" s="8" t="n"/>
      <c r="M328" s="137" t="inlineStr">
        <is>
          <t>+</t>
        </is>
      </c>
      <c r="N328" s="8" t="n"/>
      <c r="O328" s="8" t="n"/>
      <c r="P328" s="8" t="n"/>
      <c r="Q328" s="8" t="n"/>
      <c r="R328" s="8" t="n"/>
      <c r="S328" s="8" t="n"/>
      <c r="T328" s="8" t="n"/>
      <c r="U328" s="8" t="n"/>
      <c r="V328" s="8" t="n"/>
      <c r="W328" s="8" t="n"/>
      <c r="X328" s="139" t="n"/>
      <c r="Y328" s="138" t="inlineStr">
        <is>
          <t>+</t>
        </is>
      </c>
    </row>
    <row r="329">
      <c r="A329" s="6" t="inlineStr">
        <is>
          <t>работник 127</t>
        </is>
      </c>
      <c r="B329" s="6" t="inlineStr">
        <is>
          <t>Машинист мельниц</t>
        </is>
      </c>
      <c r="C329" s="6" t="inlineStr">
        <is>
          <t>ОБЩЕСТВО С ОГРАНИЧЕННОЙ ОТВЕТСТВЕННОСТЬЮ "АМУР ЗОЛОТО"</t>
        </is>
      </c>
      <c r="D329" s="7" t="inlineStr">
        <is>
          <t>2708001686</t>
        </is>
      </c>
      <c r="E329" s="6" t="inlineStr">
        <is>
          <t>ООО "Амур Золото"</t>
        </is>
      </c>
      <c r="F329" s="7" t="inlineStr">
        <is>
          <t>2708001686</t>
        </is>
      </c>
      <c r="G329" s="7" t="inlineStr">
        <is>
          <t>Успешно</t>
        </is>
      </c>
      <c r="H329" s="6" t="n"/>
      <c r="I329" s="6" t="n"/>
      <c r="J329" s="6" t="inlineStr">
        <is>
          <t>Пользовательский интерфейс</t>
        </is>
      </c>
      <c r="K329" s="7" t="n">
        <v>6</v>
      </c>
      <c r="L329" s="8" t="n"/>
      <c r="M329" s="137" t="inlineStr">
        <is>
          <t>+</t>
        </is>
      </c>
      <c r="N329" s="8" t="n"/>
      <c r="O329" s="8" t="n"/>
      <c r="P329" s="8" t="n"/>
      <c r="Q329" s="8" t="n"/>
      <c r="R329" s="8" t="n"/>
      <c r="S329" s="8" t="n"/>
      <c r="T329" s="8" t="n"/>
      <c r="U329" s="8" t="n"/>
      <c r="V329" s="8" t="n"/>
      <c r="W329" s="8" t="n"/>
      <c r="X329" s="137" t="inlineStr">
        <is>
          <t>+</t>
        </is>
      </c>
      <c r="Y329" s="137" t="inlineStr">
        <is>
          <t>+</t>
        </is>
      </c>
    </row>
    <row r="330">
      <c r="A330" s="6" t="inlineStr">
        <is>
          <t>работник 336</t>
        </is>
      </c>
      <c r="B330" s="6" t="inlineStr">
        <is>
          <t>Машинист ДВС с обязанностями компрессорщик</t>
        </is>
      </c>
      <c r="C330" s="6" t="inlineStr">
        <is>
          <t>ОБЩЕСТВО С ОГРАНИЧЕННОЙ ОТВЕТСТВЕННОСТЬЮ "АМУР ЗОЛОТО"</t>
        </is>
      </c>
      <c r="D330" s="7" t="inlineStr">
        <is>
          <t>2708001686</t>
        </is>
      </c>
      <c r="E330" s="6" t="inlineStr">
        <is>
          <t>ООО "Амур Золото"</t>
        </is>
      </c>
      <c r="F330" s="7" t="inlineStr">
        <is>
          <t>2708001686</t>
        </is>
      </c>
      <c r="G330" s="7" t="inlineStr">
        <is>
          <t>Успешно</t>
        </is>
      </c>
      <c r="H330" s="6" t="n"/>
      <c r="I330" s="6" t="n"/>
      <c r="J330" s="6" t="inlineStr">
        <is>
          <t>Пользовательский интерфейс</t>
        </is>
      </c>
      <c r="K330" s="7" t="n">
        <v>3</v>
      </c>
      <c r="L330" s="8" t="n"/>
      <c r="M330" s="137" t="inlineStr">
        <is>
          <t>+</t>
        </is>
      </c>
      <c r="N330" s="8" t="n"/>
      <c r="O330" s="8" t="n"/>
      <c r="P330" s="8" t="n"/>
      <c r="Q330" s="8" t="n"/>
      <c r="R330" s="8" t="n"/>
      <c r="S330" s="8" t="n"/>
      <c r="T330" s="8" t="n"/>
      <c r="U330" s="8" t="n"/>
      <c r="V330" s="8" t="n"/>
      <c r="W330" s="8" t="n"/>
      <c r="X330" s="137" t="inlineStr">
        <is>
          <t>+</t>
        </is>
      </c>
      <c r="Y330" s="137" t="inlineStr">
        <is>
          <t>+</t>
        </is>
      </c>
    </row>
    <row r="331">
      <c r="A331" s="6" t="inlineStr">
        <is>
          <t>работник 277</t>
        </is>
      </c>
      <c r="B331" s="6" t="inlineStr">
        <is>
          <t>Машинист крана автомобильного</t>
        </is>
      </c>
      <c r="C331" s="6" t="inlineStr">
        <is>
          <t>ОБЩЕСТВО С ОГРАНИЧЕННОЙ ОТВЕТСТВЕННОСТЬЮ "АМУР ЗОЛОТО"</t>
        </is>
      </c>
      <c r="D331" s="7" t="inlineStr">
        <is>
          <t>2708001686</t>
        </is>
      </c>
      <c r="E331" s="6" t="inlineStr">
        <is>
          <t>ООО "Амур Золото"</t>
        </is>
      </c>
      <c r="F331" s="7" t="inlineStr">
        <is>
          <t>2708001686</t>
        </is>
      </c>
      <c r="G331" s="7" t="inlineStr">
        <is>
          <t>Успешно</t>
        </is>
      </c>
      <c r="H331" s="6" t="n"/>
      <c r="I331" s="6" t="n"/>
      <c r="J331" s="6" t="inlineStr">
        <is>
          <t>Пользовательский интерфейс</t>
        </is>
      </c>
      <c r="K331" s="7" t="n">
        <v>3</v>
      </c>
      <c r="L331" s="8" t="n"/>
      <c r="M331" s="137" t="inlineStr">
        <is>
          <t>+</t>
        </is>
      </c>
      <c r="N331" s="8" t="n"/>
      <c r="O331" s="8" t="n"/>
      <c r="P331" s="8" t="n"/>
      <c r="Q331" s="8" t="n"/>
      <c r="R331" s="8" t="n"/>
      <c r="S331" s="8" t="n"/>
      <c r="T331" s="8" t="n"/>
      <c r="U331" s="8" t="n"/>
      <c r="V331" s="8" t="n"/>
      <c r="W331" s="8" t="n"/>
      <c r="X331" s="137" t="inlineStr">
        <is>
          <t>+</t>
        </is>
      </c>
      <c r="Y331" s="137" t="inlineStr">
        <is>
          <t>+</t>
        </is>
      </c>
    </row>
    <row r="332">
      <c r="A332" s="6" t="inlineStr">
        <is>
          <t>работник 662</t>
        </is>
      </c>
      <c r="B332" s="6" t="inlineStr">
        <is>
          <t>Фильтровальщик</t>
        </is>
      </c>
      <c r="C332" s="6" t="inlineStr">
        <is>
          <t>ОБЩЕСТВО С ОГРАНИЧЕННОЙ ОТВЕТСТВЕННОСТЬЮ "АМУР ЗОЛОТО"</t>
        </is>
      </c>
      <c r="D332" s="7" t="inlineStr">
        <is>
          <t>2708001686</t>
        </is>
      </c>
      <c r="E332" s="6" t="inlineStr">
        <is>
          <t>ООО "Амур Золото"</t>
        </is>
      </c>
      <c r="F332" s="7" t="inlineStr">
        <is>
          <t>2708001686</t>
        </is>
      </c>
      <c r="G332" s="7" t="inlineStr">
        <is>
          <t>Успешно</t>
        </is>
      </c>
      <c r="H332" s="6" t="n"/>
      <c r="I332" s="6" t="n"/>
      <c r="J332" s="6" t="inlineStr">
        <is>
          <t>Пользовательский интерфейс</t>
        </is>
      </c>
      <c r="K332" s="7" t="n">
        <v>2</v>
      </c>
      <c r="L332" s="8" t="n"/>
      <c r="M332" s="137" t="inlineStr">
        <is>
          <t>+</t>
        </is>
      </c>
      <c r="N332" s="8" t="n"/>
      <c r="O332" s="8" t="n"/>
      <c r="P332" s="8" t="n"/>
      <c r="Q332" s="8" t="n"/>
      <c r="R332" s="8" t="n"/>
      <c r="S332" s="8" t="n"/>
      <c r="T332" s="8" t="n"/>
      <c r="U332" s="8" t="n"/>
      <c r="V332" s="8" t="n"/>
      <c r="W332" s="8" t="n"/>
      <c r="X332" s="139" t="n"/>
      <c r="Y332" s="137" t="inlineStr">
        <is>
          <t>+</t>
        </is>
      </c>
    </row>
    <row r="333">
      <c r="A333" s="6" t="inlineStr">
        <is>
          <t>работник 240</t>
        </is>
      </c>
      <c r="B333" s="6" t="inlineStr">
        <is>
          <t>Дробильщик</t>
        </is>
      </c>
      <c r="C333" s="6" t="inlineStr">
        <is>
          <t>ОБЩЕСТВО С ОГРАНИЧЕННОЙ ОТВЕТСТВЕННОСТЬЮ "АМУР ЗОЛОТО"</t>
        </is>
      </c>
      <c r="D333" s="7" t="inlineStr">
        <is>
          <t>2708001686</t>
        </is>
      </c>
      <c r="E333" s="6" t="inlineStr">
        <is>
          <t>ООО "Амур Золото"</t>
        </is>
      </c>
      <c r="F333" s="7" t="inlineStr">
        <is>
          <t>2708001686</t>
        </is>
      </c>
      <c r="G333" s="7" t="inlineStr">
        <is>
          <t>Успешно</t>
        </is>
      </c>
      <c r="H333" s="6" t="n"/>
      <c r="I333" s="6" t="n"/>
      <c r="J333" s="6" t="inlineStr">
        <is>
          <t>Пользовательский интерфейс</t>
        </is>
      </c>
      <c r="K333" s="7" t="n">
        <v>3</v>
      </c>
      <c r="L333" s="8" t="n"/>
      <c r="M333" s="137" t="inlineStr">
        <is>
          <t>+</t>
        </is>
      </c>
      <c r="N333" s="8" t="n"/>
      <c r="O333" s="8" t="n"/>
      <c r="P333" s="8" t="n"/>
      <c r="Q333" s="8" t="n"/>
      <c r="R333" s="8" t="n"/>
      <c r="S333" s="8" t="n"/>
      <c r="T333" s="8" t="n"/>
      <c r="U333" s="8" t="n"/>
      <c r="V333" s="8" t="n"/>
      <c r="W333" s="8" t="n"/>
      <c r="X333" s="137" t="inlineStr">
        <is>
          <t>+</t>
        </is>
      </c>
      <c r="Y333" s="137" t="inlineStr">
        <is>
          <t>+</t>
        </is>
      </c>
    </row>
    <row r="334">
      <c r="A334" s="6" t="inlineStr">
        <is>
          <t>работник 227</t>
        </is>
      </c>
      <c r="B334" s="6" t="inlineStr">
        <is>
          <t>Кладовщик</t>
        </is>
      </c>
      <c r="C334" s="6" t="inlineStr">
        <is>
          <t>ОБЩЕСТВО С ОГРАНИЧЕННОЙ ОТВЕТСТВЕННОСТЬЮ "АМУР ЗОЛОТО"</t>
        </is>
      </c>
      <c r="D334" s="7" t="inlineStr">
        <is>
          <t>2708001686</t>
        </is>
      </c>
      <c r="E334" s="6" t="inlineStr">
        <is>
          <t>ООО "Амур Золото"</t>
        </is>
      </c>
      <c r="F334" s="7" t="inlineStr">
        <is>
          <t>2708001686</t>
        </is>
      </c>
      <c r="G334" s="7" t="inlineStr">
        <is>
          <t>Успешно</t>
        </is>
      </c>
      <c r="H334" s="6" t="n"/>
      <c r="I334" s="6" t="n"/>
      <c r="J334" s="6" t="inlineStr">
        <is>
          <t>Пользовательский интерфейс</t>
        </is>
      </c>
      <c r="K334" s="7" t="n">
        <v>6</v>
      </c>
      <c r="L334" s="8" t="n"/>
      <c r="M334" s="137" t="inlineStr">
        <is>
          <t>+</t>
        </is>
      </c>
      <c r="N334" s="8" t="n"/>
      <c r="O334" s="8" t="n"/>
      <c r="P334" s="8" t="n"/>
      <c r="Q334" s="8" t="n"/>
      <c r="R334" s="8" t="n"/>
      <c r="S334" s="8" t="n"/>
      <c r="T334" s="8" t="n"/>
      <c r="U334" s="8" t="n"/>
      <c r="V334" s="8" t="n"/>
      <c r="W334" s="8" t="n"/>
      <c r="X334" s="137" t="inlineStr">
        <is>
          <t>+</t>
        </is>
      </c>
      <c r="Y334" s="137" t="inlineStr">
        <is>
          <t>+</t>
        </is>
      </c>
    </row>
    <row r="335">
      <c r="A335" s="6" t="inlineStr">
        <is>
          <t>работник 74</t>
        </is>
      </c>
      <c r="B335" s="6" t="inlineStr">
        <is>
          <t>Подсобный рабочий</t>
        </is>
      </c>
      <c r="C335" s="6" t="inlineStr">
        <is>
          <t>ОБЩЕСТВО С ОГРАНИЧЕННОЙ ОТВЕТСТВЕННОСТЬЮ "АМУР ЗОЛОТО"</t>
        </is>
      </c>
      <c r="D335" s="7" t="inlineStr">
        <is>
          <t>2708001686</t>
        </is>
      </c>
      <c r="E335" s="6" t="inlineStr">
        <is>
          <t>ООО "Амур Золото"</t>
        </is>
      </c>
      <c r="F335" s="7" t="inlineStr">
        <is>
          <t>2708001686</t>
        </is>
      </c>
      <c r="G335" s="7" t="inlineStr">
        <is>
          <t>Успешно</t>
        </is>
      </c>
      <c r="H335" s="6" t="n"/>
      <c r="I335" s="6" t="n"/>
      <c r="J335" s="6" t="inlineStr">
        <is>
          <t>Пользовательский интерфейс</t>
        </is>
      </c>
      <c r="K335" s="7" t="n">
        <v>3</v>
      </c>
      <c r="L335" s="8" t="n"/>
      <c r="M335" s="137" t="inlineStr">
        <is>
          <t>+</t>
        </is>
      </c>
      <c r="N335" s="8" t="n"/>
      <c r="O335" s="8" t="n"/>
      <c r="P335" s="8" t="n"/>
      <c r="Q335" s="8" t="n"/>
      <c r="R335" s="8" t="n"/>
      <c r="S335" s="8" t="n"/>
      <c r="T335" s="8" t="n"/>
      <c r="U335" s="8" t="n"/>
      <c r="V335" s="8" t="n"/>
      <c r="W335" s="8" t="n"/>
      <c r="X335" s="137" t="inlineStr">
        <is>
          <t>+</t>
        </is>
      </c>
      <c r="Y335" s="137" t="inlineStr">
        <is>
          <t>+</t>
        </is>
      </c>
    </row>
    <row r="336">
      <c r="A336" s="6" t="inlineStr">
        <is>
          <t>работник 165</t>
        </is>
      </c>
      <c r="B336" s="6" t="inlineStr">
        <is>
          <t>Крепильщик / Крепильщик (пылевентиляционная служба)</t>
        </is>
      </c>
      <c r="C336" s="6" t="inlineStr">
        <is>
          <t>ОБЩЕСТВО С ОГРАНИЧЕННОЙ ОТВЕТСТВЕННОСТЬЮ "АМУР ЗОЛОТО"</t>
        </is>
      </c>
      <c r="D336" s="7" t="inlineStr">
        <is>
          <t>2708001686</t>
        </is>
      </c>
      <c r="E336" s="6" t="inlineStr">
        <is>
          <t>ООО "Амур Золото"</t>
        </is>
      </c>
      <c r="F336" s="7" t="inlineStr">
        <is>
          <t>2708001686</t>
        </is>
      </c>
      <c r="G336" s="7" t="inlineStr">
        <is>
          <t>Успешно</t>
        </is>
      </c>
      <c r="H336" s="6" t="n"/>
      <c r="I336" s="6" t="n"/>
      <c r="J336" s="6" t="inlineStr">
        <is>
          <t>Пользовательский интерфейс</t>
        </is>
      </c>
      <c r="K336" s="7" t="n">
        <v>5</v>
      </c>
      <c r="L336" s="8" t="n"/>
      <c r="M336" s="137" t="inlineStr">
        <is>
          <t>+</t>
        </is>
      </c>
      <c r="N336" s="8" t="n"/>
      <c r="O336" s="8" t="n"/>
      <c r="P336" s="8" t="n"/>
      <c r="Q336" s="8" t="n"/>
      <c r="R336" s="8" t="n"/>
      <c r="S336" s="8" t="n"/>
      <c r="T336" s="8" t="n"/>
      <c r="U336" s="8" t="n"/>
      <c r="V336" s="8" t="n"/>
      <c r="W336" s="8" t="n"/>
      <c r="X336" s="137" t="inlineStr">
        <is>
          <t>+</t>
        </is>
      </c>
      <c r="Y336" s="137" t="inlineStr">
        <is>
          <t>+</t>
        </is>
      </c>
    </row>
    <row r="337">
      <c r="A337" s="6" t="inlineStr">
        <is>
          <t>работник 317</t>
        </is>
      </c>
      <c r="B337" s="6" t="inlineStr">
        <is>
          <t>Машинист  самоходной буровой установки (Очистное)</t>
        </is>
      </c>
      <c r="C337" s="6" t="inlineStr">
        <is>
          <t>ОБЩЕСТВО С ОГРАНИЧЕННОЙ ОТВЕТСТВЕННОСТЬЮ "АМУР ЗОЛОТО"</t>
        </is>
      </c>
      <c r="D337" s="7" t="inlineStr">
        <is>
          <t>2708001686</t>
        </is>
      </c>
      <c r="E337" s="6" t="inlineStr">
        <is>
          <t>ООО "Амур Золото"</t>
        </is>
      </c>
      <c r="F337" s="7" t="inlineStr">
        <is>
          <t>2708001686</t>
        </is>
      </c>
      <c r="G337" s="7" t="inlineStr">
        <is>
          <t>Успешно</t>
        </is>
      </c>
      <c r="H337" s="6" t="n"/>
      <c r="I337" s="6" t="n"/>
      <c r="J337" s="6" t="inlineStr">
        <is>
          <t>Пользовательский интерфейс</t>
        </is>
      </c>
      <c r="K337" s="7" t="n">
        <v>3</v>
      </c>
      <c r="L337" s="8" t="n"/>
      <c r="M337" s="137" t="inlineStr">
        <is>
          <t>+</t>
        </is>
      </c>
      <c r="N337" s="8" t="n"/>
      <c r="O337" s="8" t="n"/>
      <c r="P337" s="8" t="n"/>
      <c r="Q337" s="8" t="n"/>
      <c r="R337" s="8" t="n"/>
      <c r="S337" s="8" t="n"/>
      <c r="T337" s="8" t="n"/>
      <c r="U337" s="8" t="n"/>
      <c r="V337" s="8" t="n"/>
      <c r="W337" s="8" t="n"/>
      <c r="X337" s="137" t="inlineStr">
        <is>
          <t>+</t>
        </is>
      </c>
      <c r="Y337" s="137" t="inlineStr">
        <is>
          <t>+</t>
        </is>
      </c>
    </row>
    <row r="338">
      <c r="A338" s="6" t="inlineStr">
        <is>
          <t>работник 600</t>
        </is>
      </c>
      <c r="B338" s="6" t="inlineStr">
        <is>
          <t>Слесарь-ремонтник (по ремонту самоходной техники)</t>
        </is>
      </c>
      <c r="C338" s="6" t="inlineStr">
        <is>
          <t>ОБЩЕСТВО С ОГРАНИЧЕННОЙ ОТВЕТСТВЕННОСТЬЮ "АМУР ЗОЛОТО"</t>
        </is>
      </c>
      <c r="D338" s="7" t="inlineStr">
        <is>
          <t>2708001686</t>
        </is>
      </c>
      <c r="E338" s="6" t="inlineStr">
        <is>
          <t>ООО "Амур Золото"</t>
        </is>
      </c>
      <c r="F338" s="7" t="inlineStr">
        <is>
          <t>2708001686</t>
        </is>
      </c>
      <c r="G338" s="7" t="inlineStr">
        <is>
          <t>Успешно</t>
        </is>
      </c>
      <c r="H338" s="6" t="n"/>
      <c r="I338" s="6" t="n"/>
      <c r="J338" s="6" t="inlineStr">
        <is>
          <t>Пользовательский интерфейс</t>
        </is>
      </c>
      <c r="K338" s="7" t="n">
        <v>5</v>
      </c>
      <c r="L338" s="8" t="n"/>
      <c r="M338" s="137" t="inlineStr">
        <is>
          <t>+</t>
        </is>
      </c>
      <c r="N338" s="8" t="n"/>
      <c r="O338" s="8" t="n"/>
      <c r="P338" s="8" t="n"/>
      <c r="Q338" s="8" t="n"/>
      <c r="R338" s="8" t="n"/>
      <c r="S338" s="8" t="n"/>
      <c r="T338" s="8" t="n"/>
      <c r="U338" s="8" t="n"/>
      <c r="V338" s="8" t="n"/>
      <c r="W338" s="8" t="n"/>
      <c r="X338" s="137" t="inlineStr">
        <is>
          <t>+</t>
        </is>
      </c>
      <c r="Y338" s="137" t="inlineStr">
        <is>
          <t>+</t>
        </is>
      </c>
    </row>
    <row r="339">
      <c r="A339" s="6" t="inlineStr">
        <is>
          <t>работник 318</t>
        </is>
      </c>
      <c r="B339" s="6" t="inlineStr">
        <is>
          <t>Помощник машиниста  самоходной буровой установки (с исполнением обязанностей пробоотборщика)</t>
        </is>
      </c>
      <c r="C339" s="6" t="inlineStr">
        <is>
          <t>ОБЩЕСТВО С ОГРАНИЧЕННОЙ ОТВЕТСТВЕННОСТЬЮ "АМУР ЗОЛОТО"</t>
        </is>
      </c>
      <c r="D339" s="7" t="inlineStr">
        <is>
          <t>2708001686</t>
        </is>
      </c>
      <c r="E339" s="6" t="inlineStr">
        <is>
          <t>ООО "Амур Золото"</t>
        </is>
      </c>
      <c r="F339" s="7" t="inlineStr">
        <is>
          <t>2708001686</t>
        </is>
      </c>
      <c r="G339" s="7" t="inlineStr">
        <is>
          <t>Успешно</t>
        </is>
      </c>
      <c r="H339" s="6" t="n"/>
      <c r="I339" s="6" t="n"/>
      <c r="J339" s="6" t="inlineStr">
        <is>
          <t>Пользовательский интерфейс</t>
        </is>
      </c>
      <c r="K339" s="7" t="n">
        <v>3</v>
      </c>
      <c r="L339" s="8" t="n"/>
      <c r="M339" s="137" t="inlineStr">
        <is>
          <t>+</t>
        </is>
      </c>
      <c r="N339" s="8" t="n"/>
      <c r="O339" s="8" t="n"/>
      <c r="P339" s="8" t="n"/>
      <c r="Q339" s="8" t="n"/>
      <c r="R339" s="8" t="n"/>
      <c r="S339" s="8" t="n"/>
      <c r="T339" s="8" t="n"/>
      <c r="U339" s="8" t="n"/>
      <c r="V339" s="8" t="n"/>
      <c r="W339" s="8" t="n"/>
      <c r="X339" s="137" t="inlineStr">
        <is>
          <t>+</t>
        </is>
      </c>
      <c r="Y339" s="137" t="inlineStr">
        <is>
          <t>+</t>
        </is>
      </c>
    </row>
    <row r="340">
      <c r="A340" s="6" t="inlineStr">
        <is>
          <t>работник 645</t>
        </is>
      </c>
      <c r="B340" s="6" t="inlineStr">
        <is>
          <t>Фильтровальщик</t>
        </is>
      </c>
      <c r="C340" s="6" t="inlineStr">
        <is>
          <t>ОБЩЕСТВО С ОГРАНИЧЕННОЙ ОТВЕТСТВЕННОСТЬЮ "АМУР ЗОЛОТО"</t>
        </is>
      </c>
      <c r="D340" s="7" t="inlineStr">
        <is>
          <t>2708001686</t>
        </is>
      </c>
      <c r="E340" s="6" t="inlineStr">
        <is>
          <t>ООО "Амур Золото"</t>
        </is>
      </c>
      <c r="F340" s="7" t="inlineStr">
        <is>
          <t>2708001686</t>
        </is>
      </c>
      <c r="G340" s="7" t="inlineStr">
        <is>
          <t>Успешно</t>
        </is>
      </c>
      <c r="H340" s="6" t="n"/>
      <c r="I340" s="6" t="n"/>
      <c r="J340" s="6" t="inlineStr">
        <is>
          <t>Пользовательский интерфейс</t>
        </is>
      </c>
      <c r="K340" s="7" t="n">
        <v>2</v>
      </c>
      <c r="L340" s="8" t="n"/>
      <c r="M340" s="137" t="inlineStr">
        <is>
          <t>+</t>
        </is>
      </c>
      <c r="N340" s="8" t="n"/>
      <c r="O340" s="8" t="n"/>
      <c r="P340" s="8" t="n"/>
      <c r="Q340" s="8" t="n"/>
      <c r="R340" s="8" t="n"/>
      <c r="S340" s="8" t="n"/>
      <c r="T340" s="8" t="n"/>
      <c r="U340" s="8" t="n"/>
      <c r="V340" s="8" t="n"/>
      <c r="W340" s="8" t="n"/>
      <c r="X340" s="139" t="n"/>
      <c r="Y340" s="137" t="inlineStr">
        <is>
          <t>+</t>
        </is>
      </c>
    </row>
    <row r="341">
      <c r="A341" s="6" t="inlineStr">
        <is>
          <t>работник 641</t>
        </is>
      </c>
      <c r="B341" s="6" t="inlineStr">
        <is>
          <t>Аппаратчик-гидрометаллург / Аппаратчик-гидрометалург</t>
        </is>
      </c>
      <c r="C341" s="6" t="inlineStr">
        <is>
          <t>ОБЩЕСТВО С ОГРАНИЧЕННОЙ ОТВЕТСТВЕННОСТЬЮ "АМУР ЗОЛОТО"</t>
        </is>
      </c>
      <c r="D341" s="7" t="inlineStr">
        <is>
          <t>2708001686</t>
        </is>
      </c>
      <c r="E341" s="6" t="inlineStr">
        <is>
          <t>ООО "Амур Золото"</t>
        </is>
      </c>
      <c r="F341" s="7" t="inlineStr">
        <is>
          <t>2708001686</t>
        </is>
      </c>
      <c r="G341" s="7" t="inlineStr">
        <is>
          <t>Успешно</t>
        </is>
      </c>
      <c r="H341" s="6" t="n"/>
      <c r="I341" s="6" t="n"/>
      <c r="J341" s="6" t="inlineStr">
        <is>
          <t>Пользовательский интерфейс</t>
        </is>
      </c>
      <c r="K341" s="7" t="n">
        <v>5</v>
      </c>
      <c r="L341" s="8" t="n"/>
      <c r="M341" s="137" t="inlineStr">
        <is>
          <t>+</t>
        </is>
      </c>
      <c r="N341" s="8" t="n"/>
      <c r="O341" s="8" t="n"/>
      <c r="P341" s="8" t="n"/>
      <c r="Q341" s="8" t="n"/>
      <c r="R341" s="8" t="n"/>
      <c r="S341" s="8" t="n"/>
      <c r="T341" s="8" t="n"/>
      <c r="U341" s="8" t="n"/>
      <c r="V341" s="8" t="n"/>
      <c r="W341" s="8" t="n"/>
      <c r="X341" s="137" t="inlineStr">
        <is>
          <t>+</t>
        </is>
      </c>
      <c r="Y341" s="137" t="inlineStr">
        <is>
          <t>+</t>
        </is>
      </c>
    </row>
    <row r="342">
      <c r="A342" s="6" t="inlineStr">
        <is>
          <t>работник 278</t>
        </is>
      </c>
      <c r="B342" s="6" t="inlineStr">
        <is>
          <t>Машинист экскаватора</t>
        </is>
      </c>
      <c r="C342" s="6" t="inlineStr">
        <is>
          <t>ОБЩЕСТВО С ОГРАНИЧЕННОЙ ОТВЕТСТВЕННОСТЬЮ "АМУР ЗОЛОТО"</t>
        </is>
      </c>
      <c r="D342" s="7" t="inlineStr">
        <is>
          <t>2708001686</t>
        </is>
      </c>
      <c r="E342" s="6" t="inlineStr">
        <is>
          <t>ООО "Амур Золото"</t>
        </is>
      </c>
      <c r="F342" s="7" t="inlineStr">
        <is>
          <t>2708001686</t>
        </is>
      </c>
      <c r="G342" s="7" t="inlineStr">
        <is>
          <t>Успешно</t>
        </is>
      </c>
      <c r="H342" s="6" t="n"/>
      <c r="I342" s="6" t="n"/>
      <c r="J342" s="6" t="inlineStr">
        <is>
          <t>Пользовательский интерфейс</t>
        </is>
      </c>
      <c r="K342" s="7" t="n">
        <v>3</v>
      </c>
      <c r="L342" s="8" t="n"/>
      <c r="M342" s="137" t="inlineStr">
        <is>
          <t>+</t>
        </is>
      </c>
      <c r="N342" s="8" t="n"/>
      <c r="O342" s="8" t="n"/>
      <c r="P342" s="8" t="n"/>
      <c r="Q342" s="8" t="n"/>
      <c r="R342" s="8" t="n"/>
      <c r="S342" s="8" t="n"/>
      <c r="T342" s="8" t="n"/>
      <c r="U342" s="8" t="n"/>
      <c r="V342" s="8" t="n"/>
      <c r="W342" s="8" t="n"/>
      <c r="X342" s="137" t="inlineStr">
        <is>
          <t>+</t>
        </is>
      </c>
      <c r="Y342" s="137" t="inlineStr">
        <is>
          <t>+</t>
        </is>
      </c>
    </row>
    <row r="343">
      <c r="A343" s="6" t="inlineStr">
        <is>
          <t>работник 319</t>
        </is>
      </c>
      <c r="B343" s="6" t="inlineStr">
        <is>
          <t>Машинист погрузочно-доставочной машины (занятый на транспортировании горной массы в технологическом процессе)</t>
        </is>
      </c>
      <c r="C343" s="6" t="inlineStr">
        <is>
          <t>ОБЩЕСТВО С ОГРАНИЧЕННОЙ ОТВЕТСТВЕННОСТЬЮ "АМУР ЗОЛОТО"</t>
        </is>
      </c>
      <c r="D343" s="7" t="inlineStr">
        <is>
          <t>2708001686</t>
        </is>
      </c>
      <c r="E343" s="6" t="inlineStr">
        <is>
          <t>ООО "Амур Золото"</t>
        </is>
      </c>
      <c r="F343" s="7" t="inlineStr">
        <is>
          <t>2708001686</t>
        </is>
      </c>
      <c r="G343" s="7" t="inlineStr">
        <is>
          <t>Успешно</t>
        </is>
      </c>
      <c r="H343" s="6" t="n"/>
      <c r="I343" s="6" t="n"/>
      <c r="J343" s="6" t="inlineStr">
        <is>
          <t>Пользовательский интерфейс</t>
        </is>
      </c>
      <c r="K343" s="7" t="n">
        <v>6</v>
      </c>
      <c r="L343" s="8" t="n"/>
      <c r="M343" s="137" t="inlineStr">
        <is>
          <t>+</t>
        </is>
      </c>
      <c r="N343" s="8" t="n"/>
      <c r="O343" s="8" t="n"/>
      <c r="P343" s="8" t="n"/>
      <c r="Q343" s="8" t="n"/>
      <c r="R343" s="8" t="n"/>
      <c r="S343" s="8" t="n"/>
      <c r="T343" s="8" t="n"/>
      <c r="U343" s="8" t="n"/>
      <c r="V343" s="8" t="n"/>
      <c r="W343" s="8" t="n"/>
      <c r="X343" s="137" t="inlineStr">
        <is>
          <t>+</t>
        </is>
      </c>
      <c r="Y343" s="137" t="inlineStr">
        <is>
          <t>+</t>
        </is>
      </c>
    </row>
    <row r="344">
      <c r="A344" s="6" t="inlineStr">
        <is>
          <t>работник 819</t>
        </is>
      </c>
      <c r="B344" s="6" t="inlineStr">
        <is>
          <t>Водитель погрузчика</t>
        </is>
      </c>
      <c r="C344" s="6" t="inlineStr">
        <is>
          <t>ОБЩЕСТВО С ОГРАНИЧЕННОЙ ОТВЕТСТВЕННОСТЬЮ "АМУР ЗОЛОТО"</t>
        </is>
      </c>
      <c r="D344" s="7" t="inlineStr">
        <is>
          <t>2708001686</t>
        </is>
      </c>
      <c r="E344" s="6" t="inlineStr">
        <is>
          <t>ООО "Амур Золото"</t>
        </is>
      </c>
      <c r="F344" s="7" t="inlineStr">
        <is>
          <t>2708001686</t>
        </is>
      </c>
      <c r="G344" s="7" t="inlineStr">
        <is>
          <t>Успешно</t>
        </is>
      </c>
      <c r="H344" s="6" t="n"/>
      <c r="I344" s="6" t="n"/>
      <c r="J344" s="6" t="inlineStr">
        <is>
          <t>Пользовательский интерфейс</t>
        </is>
      </c>
      <c r="K344" s="7" t="n">
        <v>2</v>
      </c>
      <c r="L344" s="8" t="n"/>
      <c r="M344" s="137" t="inlineStr">
        <is>
          <t>+</t>
        </is>
      </c>
      <c r="N344" s="8" t="n"/>
      <c r="O344" s="8" t="n"/>
      <c r="P344" s="8" t="n"/>
      <c r="Q344" s="8" t="n"/>
      <c r="R344" s="8" t="n"/>
      <c r="S344" s="8" t="n"/>
      <c r="T344" s="8" t="n"/>
      <c r="U344" s="8" t="n"/>
      <c r="V344" s="8" t="n"/>
      <c r="W344" s="8" t="n"/>
      <c r="X344" s="139" t="n"/>
      <c r="Y344" s="137" t="inlineStr">
        <is>
          <t>+</t>
        </is>
      </c>
    </row>
    <row r="345">
      <c r="A345" s="6" t="inlineStr">
        <is>
          <t>работник 637</t>
        </is>
      </c>
      <c r="B345" s="6" t="inlineStr">
        <is>
          <t>Дробильщик</t>
        </is>
      </c>
      <c r="C345" s="6" t="inlineStr">
        <is>
          <t>ОБЩЕСТВО С ОГРАНИЧЕННОЙ ОТВЕТСТВЕННОСТЬЮ "АМУР ЗОЛОТО"</t>
        </is>
      </c>
      <c r="D345" s="7" t="inlineStr">
        <is>
          <t>2708001686</t>
        </is>
      </c>
      <c r="E345" s="6" t="inlineStr">
        <is>
          <t>ООО "Амур Золото"</t>
        </is>
      </c>
      <c r="F345" s="7" t="inlineStr">
        <is>
          <t>2708001686</t>
        </is>
      </c>
      <c r="G345" s="7" t="inlineStr">
        <is>
          <t>Успешно</t>
        </is>
      </c>
      <c r="H345" s="6" t="n"/>
      <c r="I345" s="6" t="n"/>
      <c r="J345" s="6" t="inlineStr">
        <is>
          <t>Пользовательский интерфейс</t>
        </is>
      </c>
      <c r="K345" s="7" t="n">
        <v>5</v>
      </c>
      <c r="L345" s="8" t="n"/>
      <c r="M345" s="137" t="inlineStr">
        <is>
          <t>+</t>
        </is>
      </c>
      <c r="N345" s="8" t="n"/>
      <c r="O345" s="8" t="n"/>
      <c r="P345" s="8" t="n"/>
      <c r="Q345" s="8" t="n"/>
      <c r="R345" s="8" t="n"/>
      <c r="S345" s="8" t="n"/>
      <c r="T345" s="8" t="n"/>
      <c r="U345" s="8" t="n"/>
      <c r="V345" s="8" t="n"/>
      <c r="W345" s="8" t="n"/>
      <c r="X345" s="137" t="inlineStr">
        <is>
          <t>+</t>
        </is>
      </c>
      <c r="Y345" s="137" t="inlineStr">
        <is>
          <t>+</t>
        </is>
      </c>
    </row>
    <row r="346">
      <c r="A346" s="6" t="inlineStr">
        <is>
          <t>работник 487</t>
        </is>
      </c>
      <c r="B346" s="6" t="inlineStr">
        <is>
          <t>Машинист самоходной буровой установки (Проходка) / Машинист  самоходной буровой установки (Проходка</t>
        </is>
      </c>
      <c r="C346" s="6" t="inlineStr">
        <is>
          <t>ОБЩЕСТВО С ОГРАНИЧЕННОЙ ОТВЕТСТВЕННОСТЬЮ "АМУР ЗОЛОТО"</t>
        </is>
      </c>
      <c r="D346" s="7" t="inlineStr">
        <is>
          <t>2708001686</t>
        </is>
      </c>
      <c r="E346" s="6" t="inlineStr">
        <is>
          <t>ООО "Амур Золото"</t>
        </is>
      </c>
      <c r="F346" s="7" t="inlineStr">
        <is>
          <t>2708001686</t>
        </is>
      </c>
      <c r="G346" s="7" t="inlineStr">
        <is>
          <t>Успешно</t>
        </is>
      </c>
      <c r="H346" s="6" t="n"/>
      <c r="I346" s="6" t="n"/>
      <c r="J346" s="6" t="inlineStr">
        <is>
          <t>Пользовательский интерфейс</t>
        </is>
      </c>
      <c r="K346" s="7" t="n">
        <v>5</v>
      </c>
      <c r="L346" s="8" t="n"/>
      <c r="M346" s="137" t="inlineStr">
        <is>
          <t>+</t>
        </is>
      </c>
      <c r="N346" s="8" t="n"/>
      <c r="O346" s="8" t="n"/>
      <c r="P346" s="8" t="n"/>
      <c r="Q346" s="8" t="n"/>
      <c r="R346" s="8" t="n"/>
      <c r="S346" s="8" t="n"/>
      <c r="T346" s="8" t="n"/>
      <c r="U346" s="8" t="n"/>
      <c r="V346" s="8" t="n"/>
      <c r="W346" s="8" t="n"/>
      <c r="X346" s="137" t="inlineStr">
        <is>
          <t>+</t>
        </is>
      </c>
      <c r="Y346" s="137" t="inlineStr">
        <is>
          <t>+</t>
        </is>
      </c>
    </row>
    <row r="347">
      <c r="A347" s="6" t="inlineStr">
        <is>
          <t>работник 643</t>
        </is>
      </c>
      <c r="B347" s="6" t="inlineStr">
        <is>
          <t>Начальник смены</t>
        </is>
      </c>
      <c r="C347" s="6" t="inlineStr">
        <is>
          <t>ОБЩЕСТВО С ОГРАНИЧЕННОЙ ОТВЕТСТВЕННОСТЬЮ "АМУР ЗОЛОТО"</t>
        </is>
      </c>
      <c r="D347" s="7" t="inlineStr">
        <is>
          <t>2708001686</t>
        </is>
      </c>
      <c r="E347" s="6" t="inlineStr">
        <is>
          <t>ООО "Амур Золото"</t>
        </is>
      </c>
      <c r="F347" s="7" t="inlineStr">
        <is>
          <t>2708001686</t>
        </is>
      </c>
      <c r="G347" s="7" t="inlineStr">
        <is>
          <t>Успешно</t>
        </is>
      </c>
      <c r="H347" s="6" t="n"/>
      <c r="I347" s="6" t="n"/>
      <c r="J347" s="6" t="inlineStr">
        <is>
          <t>Пользовательский интерфейс</t>
        </is>
      </c>
      <c r="K347" s="7" t="n">
        <v>2</v>
      </c>
      <c r="L347" s="141" t="n"/>
      <c r="M347" s="137" t="inlineStr">
        <is>
          <t>+</t>
        </is>
      </c>
      <c r="N347" s="8" t="n"/>
      <c r="O347" s="8" t="n"/>
      <c r="P347" s="8" t="n"/>
      <c r="Q347" s="8" t="n"/>
      <c r="R347" s="8" t="n"/>
      <c r="S347" s="8" t="n"/>
      <c r="T347" s="8" t="n"/>
      <c r="U347" s="8" t="n"/>
      <c r="V347" s="8" t="n"/>
      <c r="W347" s="8" t="n"/>
      <c r="X347" s="139" t="n"/>
      <c r="Y347" s="137" t="inlineStr">
        <is>
          <t>+</t>
        </is>
      </c>
    </row>
    <row r="348">
      <c r="A348" s="6" t="inlineStr">
        <is>
          <t>работник 35</t>
        </is>
      </c>
      <c r="B348" s="6" t="inlineStr">
        <is>
          <t>Лаборант пробирного анализа / Водитель погрузчика</t>
        </is>
      </c>
      <c r="C348" s="6" t="inlineStr">
        <is>
          <t>ОБЩЕСТВО С ОГРАНИЧЕННОЙ ОТВЕТСТВЕННОСТЬЮ "АМУР ЗОЛОТО"</t>
        </is>
      </c>
      <c r="D348" s="7" t="inlineStr">
        <is>
          <t>2708001686</t>
        </is>
      </c>
      <c r="E348" s="6" t="inlineStr">
        <is>
          <t>ООО "Амур Золото"</t>
        </is>
      </c>
      <c r="F348" s="7" t="inlineStr">
        <is>
          <t>2708001686</t>
        </is>
      </c>
      <c r="G348" s="7" t="inlineStr">
        <is>
          <t>Успешно</t>
        </is>
      </c>
      <c r="H348" s="6" t="n"/>
      <c r="I348" s="6" t="n"/>
      <c r="J348" s="6" t="inlineStr">
        <is>
          <t>Пользовательский интерфейс</t>
        </is>
      </c>
      <c r="K348" s="7" t="n">
        <v>5</v>
      </c>
      <c r="L348" s="8" t="n"/>
      <c r="M348" s="137" t="inlineStr">
        <is>
          <t>+</t>
        </is>
      </c>
      <c r="N348" s="8" t="n"/>
      <c r="O348" s="8" t="n"/>
      <c r="P348" s="8" t="n"/>
      <c r="Q348" s="8" t="n"/>
      <c r="R348" s="8" t="n"/>
      <c r="S348" s="8" t="n"/>
      <c r="T348" s="8" t="n"/>
      <c r="U348" s="8" t="n"/>
      <c r="V348" s="8" t="n"/>
      <c r="W348" s="8" t="n"/>
      <c r="X348" s="137" t="inlineStr">
        <is>
          <t>+</t>
        </is>
      </c>
      <c r="Y348" s="137" t="inlineStr">
        <is>
          <t>+</t>
        </is>
      </c>
    </row>
    <row r="349">
      <c r="A349" s="6" t="inlineStr">
        <is>
          <t>работник 333</t>
        </is>
      </c>
      <c r="B349" s="6" t="inlineStr">
        <is>
          <t>Дробильщик</t>
        </is>
      </c>
      <c r="C349" s="6" t="inlineStr">
        <is>
          <t>ОБЩЕСТВО С ОГРАНИЧЕННОЙ ОТВЕТСТВЕННОСТЬЮ "АМУР ЗОЛОТО"</t>
        </is>
      </c>
      <c r="D349" s="7" t="inlineStr">
        <is>
          <t>2708001686</t>
        </is>
      </c>
      <c r="E349" s="6" t="inlineStr">
        <is>
          <t>ООО "Амур Золото"</t>
        </is>
      </c>
      <c r="F349" s="7" t="inlineStr">
        <is>
          <t>2708001686</t>
        </is>
      </c>
      <c r="G349" s="7" t="inlineStr">
        <is>
          <t>Успешно</t>
        </is>
      </c>
      <c r="H349" s="6" t="n"/>
      <c r="I349" s="6" t="n"/>
      <c r="J349" s="6" t="inlineStr">
        <is>
          <t>Пользовательский интерфейс</t>
        </is>
      </c>
      <c r="K349" s="7" t="n">
        <v>3</v>
      </c>
      <c r="L349" s="8" t="n"/>
      <c r="M349" s="137" t="inlineStr">
        <is>
          <t>+</t>
        </is>
      </c>
      <c r="N349" s="8" t="n"/>
      <c r="O349" s="8" t="n"/>
      <c r="P349" s="8" t="n"/>
      <c r="Q349" s="8" t="n"/>
      <c r="R349" s="8" t="n"/>
      <c r="S349" s="8" t="n"/>
      <c r="T349" s="8" t="n"/>
      <c r="U349" s="8" t="n"/>
      <c r="V349" s="8" t="n"/>
      <c r="W349" s="8" t="n"/>
      <c r="X349" s="137" t="inlineStr">
        <is>
          <t>+</t>
        </is>
      </c>
      <c r="Y349" s="137" t="inlineStr">
        <is>
          <t>+</t>
        </is>
      </c>
    </row>
    <row r="350">
      <c r="A350" s="6" t="inlineStr">
        <is>
          <t>работник 21</t>
        </is>
      </c>
      <c r="B350" s="6" t="inlineStr">
        <is>
          <t>Машинист бульдозера</t>
        </is>
      </c>
      <c r="C350" s="6" t="inlineStr">
        <is>
          <t>ОБЩЕСТВО С ОГРАНИЧЕННОЙ ОТВЕТСТВЕННОСТЬЮ "АМУР ЗОЛОТО"</t>
        </is>
      </c>
      <c r="D350" s="7" t="inlineStr">
        <is>
          <t>2708001686</t>
        </is>
      </c>
      <c r="E350" s="6" t="inlineStr">
        <is>
          <t>ООО "Амур Золото"</t>
        </is>
      </c>
      <c r="F350" s="7" t="inlineStr">
        <is>
          <t>2708001686</t>
        </is>
      </c>
      <c r="G350" s="7" t="inlineStr">
        <is>
          <t>Успешно</t>
        </is>
      </c>
      <c r="H350" s="6" t="n"/>
      <c r="I350" s="6" t="n"/>
      <c r="J350" s="6" t="inlineStr">
        <is>
          <t>Пользовательский интерфейс</t>
        </is>
      </c>
      <c r="K350" s="7" t="n">
        <v>6</v>
      </c>
      <c r="L350" s="8" t="n"/>
      <c r="M350" s="137" t="inlineStr">
        <is>
          <t>+</t>
        </is>
      </c>
      <c r="N350" s="8" t="n"/>
      <c r="O350" s="8" t="n"/>
      <c r="P350" s="8" t="n"/>
      <c r="Q350" s="8" t="n"/>
      <c r="R350" s="8" t="n"/>
      <c r="S350" s="8" t="n"/>
      <c r="T350" s="8" t="n"/>
      <c r="U350" s="8" t="n"/>
      <c r="V350" s="8" t="n"/>
      <c r="W350" s="8" t="n"/>
      <c r="X350" s="137" t="inlineStr">
        <is>
          <t>+</t>
        </is>
      </c>
      <c r="Y350" s="137" t="inlineStr">
        <is>
          <t>+</t>
        </is>
      </c>
    </row>
    <row r="351">
      <c r="A351" s="6" t="inlineStr">
        <is>
          <t>работник 22</t>
        </is>
      </c>
      <c r="B351" s="6" t="inlineStr">
        <is>
          <t>Электрогазосварщик (занятый на резке и ручной сварке) / Электрогазосварщик(занятый на резке и ручной сварке)</t>
        </is>
      </c>
      <c r="C351" s="6" t="inlineStr">
        <is>
          <t>ОБЩЕСТВО С ОГРАНИЧЕННОЙ ОТВЕТСТВЕННОСТЬЮ "АМУР ЗОЛОТО"</t>
        </is>
      </c>
      <c r="D351" s="7" t="inlineStr">
        <is>
          <t>2708001686</t>
        </is>
      </c>
      <c r="E351" s="6" t="inlineStr">
        <is>
          <t>ООО "Амур Золото"</t>
        </is>
      </c>
      <c r="F351" s="7" t="inlineStr">
        <is>
          <t>2708001686</t>
        </is>
      </c>
      <c r="G351" s="7" t="inlineStr">
        <is>
          <t>Успешно</t>
        </is>
      </c>
      <c r="H351" s="6" t="n"/>
      <c r="I351" s="6" t="n"/>
      <c r="J351" s="6" t="inlineStr">
        <is>
          <t>Пользовательский интерфейс</t>
        </is>
      </c>
      <c r="K351" s="7" t="n">
        <v>13</v>
      </c>
      <c r="L351" s="8" t="n"/>
      <c r="M351" s="137" t="inlineStr">
        <is>
          <t>+</t>
        </is>
      </c>
      <c r="N351" s="8" t="n"/>
      <c r="O351" s="137" t="inlineStr">
        <is>
          <t>+</t>
        </is>
      </c>
      <c r="P351" s="8" t="n"/>
      <c r="Q351" s="8" t="n"/>
      <c r="R351" s="8" t="n"/>
      <c r="S351" s="8" t="n"/>
      <c r="T351" s="8" t="n"/>
      <c r="U351" s="8" t="n"/>
      <c r="V351" s="8" t="n"/>
      <c r="W351" s="8" t="n"/>
      <c r="X351" s="137" t="inlineStr">
        <is>
          <t>+</t>
        </is>
      </c>
      <c r="Y351" s="137" t="inlineStr">
        <is>
          <t>+</t>
        </is>
      </c>
    </row>
    <row r="352">
      <c r="A352" s="6" t="inlineStr">
        <is>
          <t>работник 46</t>
        </is>
      </c>
      <c r="B352" s="6" t="inlineStr">
        <is>
          <t>Механик холодильных установок / Машинист двигателей внутреннего сгорания</t>
        </is>
      </c>
      <c r="C352" s="6" t="inlineStr">
        <is>
          <t>ОБЩЕСТВО С ОГРАНИЧЕННОЙ ОТВЕТСТВЕННОСТЬЮ "АМУР ЗОЛОТО"</t>
        </is>
      </c>
      <c r="D352" s="7" t="inlineStr">
        <is>
          <t>2708001686</t>
        </is>
      </c>
      <c r="E352" s="6" t="inlineStr">
        <is>
          <t>ООО "Амур Золото"</t>
        </is>
      </c>
      <c r="F352" s="7" t="inlineStr">
        <is>
          <t>2708001686</t>
        </is>
      </c>
      <c r="G352" s="7" t="inlineStr">
        <is>
          <t>Успешно</t>
        </is>
      </c>
      <c r="H352" s="6" t="n"/>
      <c r="I352" s="6" t="n"/>
      <c r="J352" s="6" t="inlineStr">
        <is>
          <t>Пользовательский интерфейс</t>
        </is>
      </c>
      <c r="K352" s="7" t="n">
        <v>8</v>
      </c>
      <c r="L352" s="8" t="n"/>
      <c r="M352" s="137" t="inlineStr">
        <is>
          <t>+</t>
        </is>
      </c>
      <c r="N352" s="8" t="n"/>
      <c r="O352" s="8" t="n"/>
      <c r="P352" s="8" t="n"/>
      <c r="Q352" s="8" t="n"/>
      <c r="R352" s="8" t="n"/>
      <c r="S352" s="8" t="n"/>
      <c r="T352" s="8" t="n"/>
      <c r="U352" s="8" t="n"/>
      <c r="V352" s="8" t="n"/>
      <c r="W352" s="8" t="n"/>
      <c r="X352" s="137" t="inlineStr">
        <is>
          <t>+</t>
        </is>
      </c>
      <c r="Y352" s="137" t="inlineStr">
        <is>
          <t>+</t>
        </is>
      </c>
    </row>
    <row r="353">
      <c r="A353" s="6" t="inlineStr">
        <is>
          <t>работник 17</t>
        </is>
      </c>
      <c r="B353" s="6" t="inlineStr">
        <is>
          <t>Проходчик (с исполнением обязанностей взрывника)</t>
        </is>
      </c>
      <c r="C353" s="6" t="inlineStr">
        <is>
          <t>ОБЩЕСТВО С ОГРАНИЧЕННОЙ ОТВЕТСТВЕННОСТЬЮ "АМУР ЗОЛОТО"</t>
        </is>
      </c>
      <c r="D353" s="7" t="inlineStr">
        <is>
          <t>2708001686</t>
        </is>
      </c>
      <c r="E353" s="6" t="inlineStr">
        <is>
          <t>ООО "Амур Золото"</t>
        </is>
      </c>
      <c r="F353" s="7" t="inlineStr">
        <is>
          <t>2708001686</t>
        </is>
      </c>
      <c r="G353" s="7" t="inlineStr">
        <is>
          <t>Успешно</t>
        </is>
      </c>
      <c r="H353" s="6" t="n"/>
      <c r="I353" s="6" t="n"/>
      <c r="J353" s="6" t="inlineStr">
        <is>
          <t>Пользовательский интерфейс</t>
        </is>
      </c>
      <c r="K353" s="7" t="n">
        <v>3</v>
      </c>
      <c r="L353" s="8" t="n"/>
      <c r="M353" s="137" t="inlineStr">
        <is>
          <t>+</t>
        </is>
      </c>
      <c r="N353" s="8" t="n"/>
      <c r="O353" s="8" t="n"/>
      <c r="P353" s="8" t="n"/>
      <c r="Q353" s="8" t="n"/>
      <c r="R353" s="8" t="n"/>
      <c r="S353" s="8" t="n"/>
      <c r="T353" s="8" t="n"/>
      <c r="U353" s="8" t="n"/>
      <c r="V353" s="8" t="n"/>
      <c r="W353" s="8" t="n"/>
      <c r="X353" s="137" t="inlineStr">
        <is>
          <t>+</t>
        </is>
      </c>
      <c r="Y353" s="137" t="inlineStr">
        <is>
          <t>+</t>
        </is>
      </c>
    </row>
    <row r="354">
      <c r="A354" s="6" t="inlineStr">
        <is>
          <t>работник 28</t>
        </is>
      </c>
      <c r="B354" s="6" t="inlineStr">
        <is>
          <t>Электрогазосварщик / Электрогазосварщик (занятый на резке и ручной сварке)</t>
        </is>
      </c>
      <c r="C354" s="6" t="inlineStr">
        <is>
          <t>ОБЩЕСТВО С ОГРАНИЧЕННОЙ ОТВЕТСТВЕННОСТЬЮ "АМУР ЗОЛОТО"</t>
        </is>
      </c>
      <c r="D354" s="7" t="inlineStr">
        <is>
          <t>2708001686</t>
        </is>
      </c>
      <c r="E354" s="6" t="inlineStr">
        <is>
          <t>ООО "Амур Золото"</t>
        </is>
      </c>
      <c r="F354" s="7" t="inlineStr">
        <is>
          <t>2708001686</t>
        </is>
      </c>
      <c r="G354" s="7" t="inlineStr">
        <is>
          <t>Успешно</t>
        </is>
      </c>
      <c r="H354" s="6" t="n"/>
      <c r="I354" s="6" t="n"/>
      <c r="J354" s="6" t="inlineStr">
        <is>
          <t>Пользовательский интерфейс</t>
        </is>
      </c>
      <c r="K354" s="7" t="n">
        <v>12</v>
      </c>
      <c r="L354" s="8" t="n"/>
      <c r="M354" s="139" t="n"/>
      <c r="N354" s="137" t="inlineStr">
        <is>
          <t>+</t>
        </is>
      </c>
      <c r="O354" s="137" t="inlineStr">
        <is>
          <t>+</t>
        </is>
      </c>
      <c r="P354" s="137" t="inlineStr">
        <is>
          <t>+</t>
        </is>
      </c>
      <c r="Q354" s="137" t="inlineStr">
        <is>
          <t>+</t>
        </is>
      </c>
      <c r="R354" s="137" t="inlineStr">
        <is>
          <t>+</t>
        </is>
      </c>
      <c r="S354" s="137" t="inlineStr">
        <is>
          <t>+</t>
        </is>
      </c>
      <c r="T354" s="8" t="n"/>
      <c r="U354" s="8" t="n"/>
      <c r="V354" s="8" t="n"/>
      <c r="W354" s="8" t="n"/>
      <c r="X354" s="139" t="n"/>
      <c r="Y354" s="141" t="n"/>
    </row>
    <row r="355">
      <c r="A355" s="6" t="inlineStr">
        <is>
          <t>работник 752</t>
        </is>
      </c>
      <c r="B355" s="6" t="inlineStr">
        <is>
          <t>Фильтровальщик</t>
        </is>
      </c>
      <c r="C355" s="6" t="inlineStr">
        <is>
          <t>ОБЩЕСТВО С ОГРАНИЧЕННОЙ ОТВЕТСТВЕННОСТЬЮ "АМУР ЗОЛОТО"</t>
        </is>
      </c>
      <c r="D355" s="7" t="inlineStr">
        <is>
          <t>2708001686</t>
        </is>
      </c>
      <c r="E355" s="6" t="inlineStr">
        <is>
          <t>ООО "Амур Золото"</t>
        </is>
      </c>
      <c r="F355" s="7" t="inlineStr">
        <is>
          <t>2708001686</t>
        </is>
      </c>
      <c r="G355" s="7" t="inlineStr">
        <is>
          <t>Успешно</t>
        </is>
      </c>
      <c r="H355" s="6" t="n"/>
      <c r="I355" s="6" t="n"/>
      <c r="J355" s="6" t="inlineStr">
        <is>
          <t>Пользовательский интерфейс</t>
        </is>
      </c>
      <c r="K355" s="7" t="n">
        <v>8</v>
      </c>
      <c r="L355" s="8" t="n"/>
      <c r="M355" s="137" t="inlineStr">
        <is>
          <t>+</t>
        </is>
      </c>
      <c r="N355" s="137" t="inlineStr">
        <is>
          <t>+</t>
        </is>
      </c>
      <c r="O355" s="8" t="n"/>
      <c r="P355" s="137" t="inlineStr">
        <is>
          <t>+</t>
        </is>
      </c>
      <c r="Q355" s="8" t="n"/>
      <c r="R355" s="8" t="n"/>
      <c r="S355" s="8" t="n"/>
      <c r="T355" s="8" t="n"/>
      <c r="U355" s="8" t="n"/>
      <c r="V355" s="8" t="n"/>
      <c r="W355" s="8" t="n"/>
      <c r="X355" s="137" t="inlineStr">
        <is>
          <t>+</t>
        </is>
      </c>
      <c r="Y355" s="137" t="inlineStr">
        <is>
          <t>+</t>
        </is>
      </c>
    </row>
    <row r="356">
      <c r="A356" s="6" t="inlineStr">
        <is>
          <t>работник 247</t>
        </is>
      </c>
      <c r="B356" s="6" t="inlineStr">
        <is>
          <t>Электрогазосварщик</t>
        </is>
      </c>
      <c r="C356" s="6" t="inlineStr">
        <is>
          <t>ОБЩЕСТВО С ОГРАНИЧЕННОЙ ОТВЕТСТВЕННОСТЬЮ "АМУР ЗОЛОТО"</t>
        </is>
      </c>
      <c r="D356" s="7" t="inlineStr">
        <is>
          <t>2708001686</t>
        </is>
      </c>
      <c r="E356" s="6" t="inlineStr">
        <is>
          <t>ООО "Амур Золото"</t>
        </is>
      </c>
      <c r="F356" s="7" t="inlineStr">
        <is>
          <t>2708001686</t>
        </is>
      </c>
      <c r="G356" s="7" t="inlineStr">
        <is>
          <t>Успешно</t>
        </is>
      </c>
      <c r="H356" s="6" t="n"/>
      <c r="I356" s="6" t="n"/>
      <c r="J356" s="6" t="inlineStr">
        <is>
          <t>Пользовательский интерфейс</t>
        </is>
      </c>
      <c r="K356" s="7" t="n">
        <v>6</v>
      </c>
      <c r="L356" s="8" t="n"/>
      <c r="M356" s="139" t="n"/>
      <c r="N356" s="137" t="inlineStr">
        <is>
          <t>+</t>
        </is>
      </c>
      <c r="O356" s="137" t="inlineStr">
        <is>
          <t>+</t>
        </is>
      </c>
      <c r="P356" s="137" t="inlineStr">
        <is>
          <t>+</t>
        </is>
      </c>
      <c r="Q356" s="137" t="inlineStr">
        <is>
          <t>+</t>
        </is>
      </c>
      <c r="R356" s="137" t="inlineStr">
        <is>
          <t>+</t>
        </is>
      </c>
      <c r="S356" s="137" t="inlineStr">
        <is>
          <t>+</t>
        </is>
      </c>
      <c r="T356" s="8" t="n"/>
      <c r="U356" s="8" t="n"/>
      <c r="V356" s="8" t="n"/>
      <c r="W356" s="8" t="n"/>
      <c r="X356" s="139" t="n"/>
      <c r="Y356" s="141" t="n"/>
    </row>
    <row r="357">
      <c r="A357" s="6" t="inlineStr">
        <is>
          <t>работник 510</t>
        </is>
      </c>
      <c r="B357" s="6" t="inlineStr">
        <is>
          <t>Слесарь КИПиА</t>
        </is>
      </c>
      <c r="C357" s="6" t="inlineStr">
        <is>
          <t>ОБЩЕСТВО С ОГРАНИЧЕННОЙ ОТВЕТСТВЕННОСТЬЮ "АМУР ЗОЛОТО"</t>
        </is>
      </c>
      <c r="D357" s="7" t="inlineStr">
        <is>
          <t>2708001686</t>
        </is>
      </c>
      <c r="E357" s="6" t="inlineStr">
        <is>
          <t>ООО "Амур Золото"</t>
        </is>
      </c>
      <c r="F357" s="7" t="inlineStr">
        <is>
          <t>2708001686</t>
        </is>
      </c>
      <c r="G357" s="7" t="inlineStr">
        <is>
          <t>Успешно</t>
        </is>
      </c>
      <c r="H357" s="6" t="n"/>
      <c r="I357" s="6" t="n"/>
      <c r="J357" s="6" t="n"/>
      <c r="K357" s="7" t="n">
        <v>2</v>
      </c>
      <c r="L357" s="8" t="n"/>
      <c r="M357" s="137" t="inlineStr">
        <is>
          <t>+</t>
        </is>
      </c>
      <c r="N357" s="8" t="n"/>
      <c r="O357" s="8" t="n"/>
      <c r="P357" s="8" t="n"/>
      <c r="Q357" s="8" t="n"/>
      <c r="R357" s="8" t="n"/>
      <c r="S357" s="8" t="n"/>
      <c r="T357" s="8" t="n"/>
      <c r="U357" s="8" t="n"/>
      <c r="V357" s="8" t="n"/>
      <c r="W357" s="8" t="n"/>
      <c r="X357" s="139" t="n"/>
      <c r="Y357" s="137" t="inlineStr">
        <is>
          <t>+</t>
        </is>
      </c>
    </row>
    <row r="358">
      <c r="A358" s="6" t="inlineStr">
        <is>
          <t>работник 408</t>
        </is>
      </c>
      <c r="B358" s="6" t="inlineStr">
        <is>
          <t>Машинист бульдозера</t>
        </is>
      </c>
      <c r="C358" s="6" t="inlineStr">
        <is>
          <t>ОБЩЕСТВО С ОГРАНИЧЕННОЙ ОТВЕТСТВЕННОСТЬЮ "АМУР ЗОЛОТО"</t>
        </is>
      </c>
      <c r="D358" s="7" t="inlineStr">
        <is>
          <t>2708001686</t>
        </is>
      </c>
      <c r="E358" s="6" t="inlineStr">
        <is>
          <t>ООО "Амур Золото"</t>
        </is>
      </c>
      <c r="F358" s="7" t="inlineStr">
        <is>
          <t>2708001686</t>
        </is>
      </c>
      <c r="G358" s="7" t="inlineStr">
        <is>
          <t>Успешно</t>
        </is>
      </c>
      <c r="H358" s="6" t="n"/>
      <c r="I358" s="6" t="n"/>
      <c r="J358" s="6" t="inlineStr">
        <is>
          <t>Пользовательский интерфейс</t>
        </is>
      </c>
      <c r="K358" s="7" t="n">
        <v>2</v>
      </c>
      <c r="L358" s="8" t="n"/>
      <c r="M358" s="137" t="inlineStr">
        <is>
          <t>+</t>
        </is>
      </c>
      <c r="N358" s="8" t="n"/>
      <c r="O358" s="8" t="n"/>
      <c r="P358" s="8" t="n"/>
      <c r="Q358" s="8" t="n"/>
      <c r="R358" s="8" t="n"/>
      <c r="S358" s="8" t="n"/>
      <c r="T358" s="8" t="n"/>
      <c r="U358" s="8" t="n"/>
      <c r="V358" s="8" t="n"/>
      <c r="W358" s="8" t="n"/>
      <c r="X358" s="139" t="n"/>
      <c r="Y358" s="137" t="inlineStr">
        <is>
          <t>+</t>
        </is>
      </c>
    </row>
    <row r="359">
      <c r="A359" s="6" t="inlineStr">
        <is>
          <t>работник 828</t>
        </is>
      </c>
      <c r="B359" s="6" t="inlineStr">
        <is>
          <t>Дробильщик</t>
        </is>
      </c>
      <c r="C359" s="6" t="inlineStr">
        <is>
          <t>ОБЩЕСТВО С ОГРАНИЧЕННОЙ ОТВЕТСТВЕННОСТЬЮ "АМУР ЗОЛОТО"</t>
        </is>
      </c>
      <c r="D359" s="7" t="inlineStr">
        <is>
          <t>2708001686</t>
        </is>
      </c>
      <c r="E359" s="6" t="inlineStr">
        <is>
          <t>ООО "Амур Золото"</t>
        </is>
      </c>
      <c r="F359" s="7" t="inlineStr">
        <is>
          <t>2708001686</t>
        </is>
      </c>
      <c r="G359" s="7" t="inlineStr">
        <is>
          <t>Успешно</t>
        </is>
      </c>
      <c r="H359" s="6" t="n"/>
      <c r="I359" s="6" t="n"/>
      <c r="J359" s="6" t="inlineStr">
        <is>
          <t>Пользовательский интерфейс</t>
        </is>
      </c>
      <c r="K359" s="7" t="n">
        <v>3</v>
      </c>
      <c r="L359" s="8" t="n"/>
      <c r="M359" s="137" t="inlineStr">
        <is>
          <t>+</t>
        </is>
      </c>
      <c r="N359" s="8" t="n"/>
      <c r="O359" s="8" t="n"/>
      <c r="P359" s="8" t="n"/>
      <c r="Q359" s="8" t="n"/>
      <c r="R359" s="8" t="n"/>
      <c r="S359" s="8" t="n"/>
      <c r="T359" s="8" t="n"/>
      <c r="U359" s="8" t="n"/>
      <c r="V359" s="8" t="n"/>
      <c r="W359" s="8" t="n"/>
      <c r="X359" s="137" t="inlineStr">
        <is>
          <t>+</t>
        </is>
      </c>
      <c r="Y359" s="137" t="inlineStr">
        <is>
          <t>+</t>
        </is>
      </c>
    </row>
    <row r="360">
      <c r="A360" s="6" t="inlineStr">
        <is>
          <t>работник 528</t>
        </is>
      </c>
      <c r="B360" s="6" t="inlineStr">
        <is>
          <t>Дробильщик</t>
        </is>
      </c>
      <c r="C360" s="6" t="inlineStr">
        <is>
          <t>ОБЩЕСТВО С ОГРАНИЧЕННОЙ ОТВЕТСТВЕННОСТЬЮ "АМУР ЗОЛОТО"</t>
        </is>
      </c>
      <c r="D360" s="7" t="inlineStr">
        <is>
          <t>2708001686</t>
        </is>
      </c>
      <c r="E360" s="6" t="inlineStr">
        <is>
          <t>ООО "Амур Золото"</t>
        </is>
      </c>
      <c r="F360" s="7" t="inlineStr">
        <is>
          <t>2708001686</t>
        </is>
      </c>
      <c r="G360" s="7" t="inlineStr">
        <is>
          <t>Успешно</t>
        </is>
      </c>
      <c r="H360" s="6" t="n"/>
      <c r="I360" s="6" t="n"/>
      <c r="J360" s="6" t="inlineStr">
        <is>
          <t>Пользовательский интерфейс</t>
        </is>
      </c>
      <c r="K360" s="7" t="n">
        <v>2</v>
      </c>
      <c r="L360" s="8" t="n"/>
      <c r="M360" s="137" t="inlineStr">
        <is>
          <t>+</t>
        </is>
      </c>
      <c r="N360" s="8" t="n"/>
      <c r="O360" s="8" t="n"/>
      <c r="P360" s="8" t="n"/>
      <c r="Q360" s="8" t="n"/>
      <c r="R360" s="8" t="n"/>
      <c r="S360" s="8" t="n"/>
      <c r="T360" s="8" t="n"/>
      <c r="U360" s="8" t="n"/>
      <c r="V360" s="8" t="n"/>
      <c r="W360" s="8" t="n"/>
      <c r="X360" s="139" t="n"/>
      <c r="Y360" s="137" t="inlineStr">
        <is>
          <t>+</t>
        </is>
      </c>
    </row>
    <row r="361">
      <c r="A361" s="6" t="inlineStr">
        <is>
          <t>работник 232</t>
        </is>
      </c>
      <c r="B361" s="6" t="inlineStr">
        <is>
          <t>Лаборант пробирного анализа</t>
        </is>
      </c>
      <c r="C361" s="6" t="inlineStr">
        <is>
          <t>ОБЩЕСТВО С ОГРАНИЧЕННОЙ ОТВЕТСТВЕННОСТЬЮ "АМУР ЗОЛОТО"</t>
        </is>
      </c>
      <c r="D361" s="7" t="inlineStr">
        <is>
          <t>2708001686</t>
        </is>
      </c>
      <c r="E361" s="6" t="inlineStr">
        <is>
          <t>ООО "Амур Золото"</t>
        </is>
      </c>
      <c r="F361" s="7" t="inlineStr">
        <is>
          <t>2708001686</t>
        </is>
      </c>
      <c r="G361" s="7" t="inlineStr">
        <is>
          <t>Успешно</t>
        </is>
      </c>
      <c r="H361" s="6" t="n"/>
      <c r="I361" s="6" t="n"/>
      <c r="J361" s="6" t="inlineStr">
        <is>
          <t>Пользовательский интерфейс</t>
        </is>
      </c>
      <c r="K361" s="7" t="n">
        <v>3</v>
      </c>
      <c r="L361" s="8" t="n"/>
      <c r="M361" s="137" t="inlineStr">
        <is>
          <t>+</t>
        </is>
      </c>
      <c r="N361" s="8" t="n"/>
      <c r="O361" s="8" t="n"/>
      <c r="P361" s="8" t="n"/>
      <c r="Q361" s="8" t="n"/>
      <c r="R361" s="8" t="n"/>
      <c r="S361" s="8" t="n"/>
      <c r="T361" s="8" t="n"/>
      <c r="U361" s="8" t="n"/>
      <c r="V361" s="8" t="n"/>
      <c r="W361" s="8" t="n"/>
      <c r="X361" s="137" t="inlineStr">
        <is>
          <t>+</t>
        </is>
      </c>
      <c r="Y361" s="137" t="inlineStr">
        <is>
          <t>+</t>
        </is>
      </c>
    </row>
    <row r="362">
      <c r="A362" s="6" t="inlineStr">
        <is>
          <t>работник 279</t>
        </is>
      </c>
      <c r="B362" s="6" t="inlineStr">
        <is>
          <t>Водитель погрузчика</t>
        </is>
      </c>
      <c r="C362" s="6" t="inlineStr">
        <is>
          <t>ОБЩЕСТВО С ОГРАНИЧЕННОЙ ОТВЕТСТВЕННОСТЬЮ "АМУР ЗОЛОТО"</t>
        </is>
      </c>
      <c r="D362" s="7" t="inlineStr">
        <is>
          <t>2708001686</t>
        </is>
      </c>
      <c r="E362" s="6" t="inlineStr">
        <is>
          <t>ООО "Амур Золото"</t>
        </is>
      </c>
      <c r="F362" s="7" t="inlineStr">
        <is>
          <t>2708001686</t>
        </is>
      </c>
      <c r="G362" s="7" t="inlineStr">
        <is>
          <t>Успешно</t>
        </is>
      </c>
      <c r="H362" s="6" t="n"/>
      <c r="I362" s="6" t="n"/>
      <c r="J362" s="6" t="inlineStr">
        <is>
          <t>Пользовательский интерфейс</t>
        </is>
      </c>
      <c r="K362" s="7" t="n">
        <v>3</v>
      </c>
      <c r="L362" s="8" t="n"/>
      <c r="M362" s="137" t="inlineStr">
        <is>
          <t>+</t>
        </is>
      </c>
      <c r="N362" s="8" t="n"/>
      <c r="O362" s="8" t="n"/>
      <c r="P362" s="8" t="n"/>
      <c r="Q362" s="8" t="n"/>
      <c r="R362" s="8" t="n"/>
      <c r="S362" s="8" t="n"/>
      <c r="T362" s="8" t="n"/>
      <c r="U362" s="8" t="n"/>
      <c r="V362" s="8" t="n"/>
      <c r="W362" s="8" t="n"/>
      <c r="X362" s="137" t="inlineStr">
        <is>
          <t>+</t>
        </is>
      </c>
      <c r="Y362" s="137" t="inlineStr">
        <is>
          <t>+</t>
        </is>
      </c>
    </row>
    <row r="363">
      <c r="A363" s="6" t="inlineStr">
        <is>
          <t>работник 718</t>
        </is>
      </c>
      <c r="B363" s="6" t="inlineStr">
        <is>
          <t>Горнорабочий</t>
        </is>
      </c>
      <c r="C363" s="6" t="inlineStr">
        <is>
          <t>ОБЩЕСТВО С ОГРАНИЧЕННОЙ ОТВЕТСТВЕННОСТЬЮ "АМУР ЗОЛОТО"</t>
        </is>
      </c>
      <c r="D363" s="7" t="inlineStr">
        <is>
          <t>2708001686</t>
        </is>
      </c>
      <c r="E363" s="6" t="inlineStr">
        <is>
          <t>ООО "Амур Золото"</t>
        </is>
      </c>
      <c r="F363" s="7" t="inlineStr">
        <is>
          <t>2708001686</t>
        </is>
      </c>
      <c r="G363" s="7" t="inlineStr">
        <is>
          <t>Успешно</t>
        </is>
      </c>
      <c r="H363" s="6" t="n"/>
      <c r="I363" s="6" t="n"/>
      <c r="J363" s="6" t="inlineStr">
        <is>
          <t>Пользовательский интерфейс</t>
        </is>
      </c>
      <c r="K363" s="7" t="n">
        <v>2</v>
      </c>
      <c r="L363" s="8" t="n"/>
      <c r="M363" s="137" t="inlineStr">
        <is>
          <t>+</t>
        </is>
      </c>
      <c r="N363" s="8" t="n"/>
      <c r="O363" s="8" t="n"/>
      <c r="P363" s="8" t="n"/>
      <c r="Q363" s="8" t="n"/>
      <c r="R363" s="8" t="n"/>
      <c r="S363" s="8" t="n"/>
      <c r="T363" s="8" t="n"/>
      <c r="U363" s="8" t="n"/>
      <c r="V363" s="8" t="n"/>
      <c r="W363" s="8" t="n"/>
      <c r="X363" s="139" t="n"/>
      <c r="Y363" s="137" t="inlineStr">
        <is>
          <t>+</t>
        </is>
      </c>
    </row>
    <row r="364">
      <c r="A364" s="6" t="inlineStr">
        <is>
          <t>работник 508</t>
        </is>
      </c>
      <c r="B364" s="6" t="inlineStr">
        <is>
          <t>Помощник машиниста самоходной буровой установки (с исполнением обязанностей пробоотборщика) / Горнорабочиий на маркшейдерских работах / Горнорабочий на геологических работах / Помощник машиниста самоходной буровой установки (с исполнением обязанностей пробоотборщика) (Очистное)</t>
        </is>
      </c>
      <c r="C364" s="6" t="inlineStr">
        <is>
          <t>ОБЩЕСТВО С ОГРАНИЧЕННОЙ ОТВЕТСТВЕННОСТЬЮ "АМУР ЗОЛОТО"</t>
        </is>
      </c>
      <c r="D364" s="7" t="inlineStr">
        <is>
          <t>2708001686</t>
        </is>
      </c>
      <c r="E364" s="6" t="inlineStr">
        <is>
          <t>ООО "Амур Золото"</t>
        </is>
      </c>
      <c r="F364" s="7" t="inlineStr">
        <is>
          <t>2708001686</t>
        </is>
      </c>
      <c r="G364" s="7" t="inlineStr">
        <is>
          <t>Успешно</t>
        </is>
      </c>
      <c r="H364" s="6" t="n"/>
      <c r="I364" s="6" t="n"/>
      <c r="J364" s="6" t="inlineStr">
        <is>
          <t>Пользовательский интерфейс</t>
        </is>
      </c>
      <c r="K364" s="7" t="n">
        <v>9</v>
      </c>
      <c r="L364" s="8" t="n"/>
      <c r="M364" s="137" t="inlineStr">
        <is>
          <t>+</t>
        </is>
      </c>
      <c r="N364" s="8" t="n"/>
      <c r="O364" s="8" t="n"/>
      <c r="P364" s="8" t="n"/>
      <c r="Q364" s="8" t="n"/>
      <c r="R364" s="8" t="n"/>
      <c r="S364" s="8" t="n"/>
      <c r="T364" s="8" t="n"/>
      <c r="U364" s="8" t="n"/>
      <c r="V364" s="8" t="n"/>
      <c r="W364" s="8" t="n"/>
      <c r="X364" s="137" t="inlineStr">
        <is>
          <t>+</t>
        </is>
      </c>
      <c r="Y364" s="137" t="inlineStr">
        <is>
          <t>+</t>
        </is>
      </c>
    </row>
    <row r="365">
      <c r="A365" s="6" t="inlineStr">
        <is>
          <t>работник 777</t>
        </is>
      </c>
      <c r="B365" s="6" t="inlineStr">
        <is>
          <t>Машинист самоходной буровой установки</t>
        </is>
      </c>
      <c r="C365" s="6" t="inlineStr">
        <is>
          <t>ОБЩЕСТВО С ОГРАНИЧЕННОЙ ОТВЕТСТВЕННОСТЬЮ "АМУР ЗОЛОТО"</t>
        </is>
      </c>
      <c r="D365" s="7" t="inlineStr">
        <is>
          <t>2708001686</t>
        </is>
      </c>
      <c r="E365" s="6" t="inlineStr">
        <is>
          <t>ООО "Амур Золото"</t>
        </is>
      </c>
      <c r="F365" s="7" t="inlineStr">
        <is>
          <t>2708001686</t>
        </is>
      </c>
      <c r="G365" s="7" t="inlineStr">
        <is>
          <t>Успешно</t>
        </is>
      </c>
      <c r="H365" s="6" t="n"/>
      <c r="I365" s="6" t="n"/>
      <c r="J365" s="6" t="inlineStr">
        <is>
          <t>Пользовательский интерфейс</t>
        </is>
      </c>
      <c r="K365" s="7" t="n">
        <v>2</v>
      </c>
      <c r="L365" s="8" t="n"/>
      <c r="M365" s="137" t="inlineStr">
        <is>
          <t>+</t>
        </is>
      </c>
      <c r="N365" s="8" t="n"/>
      <c r="O365" s="8" t="n"/>
      <c r="P365" s="8" t="n"/>
      <c r="Q365" s="8" t="n"/>
      <c r="R365" s="8" t="n"/>
      <c r="S365" s="8" t="n"/>
      <c r="T365" s="8" t="n"/>
      <c r="U365" s="8" t="n"/>
      <c r="V365" s="8" t="n"/>
      <c r="W365" s="8" t="n"/>
      <c r="X365" s="139" t="n"/>
      <c r="Y365" s="137" t="inlineStr">
        <is>
          <t>+</t>
        </is>
      </c>
    </row>
    <row r="366">
      <c r="A366" s="6" t="inlineStr">
        <is>
          <t>работник 391</t>
        </is>
      </c>
      <c r="B366" s="6" t="inlineStr">
        <is>
          <t>Машинист насосных установок</t>
        </is>
      </c>
      <c r="C366" s="6" t="inlineStr">
        <is>
          <t>ОБЩЕСТВО С ОГРАНИЧЕННОЙ ОТВЕТСТВЕННОСТЬЮ "АМУР ЗОЛОТО"</t>
        </is>
      </c>
      <c r="D366" s="7" t="inlineStr">
        <is>
          <t>2708001686</t>
        </is>
      </c>
      <c r="E366" s="6" t="inlineStr">
        <is>
          <t>ООО "Амур Золото"</t>
        </is>
      </c>
      <c r="F366" s="7" t="inlineStr">
        <is>
          <t>2708001686</t>
        </is>
      </c>
      <c r="G366" s="7" t="inlineStr">
        <is>
          <t>Успешно</t>
        </is>
      </c>
      <c r="H366" s="6" t="n"/>
      <c r="I366" s="6" t="n"/>
      <c r="J366" s="6" t="inlineStr">
        <is>
          <t>Пользовательский интерфейс</t>
        </is>
      </c>
      <c r="K366" s="7" t="n">
        <v>3</v>
      </c>
      <c r="L366" s="8" t="n"/>
      <c r="M366" s="137" t="inlineStr">
        <is>
          <t>+</t>
        </is>
      </c>
      <c r="N366" s="8" t="n"/>
      <c r="O366" s="8" t="n"/>
      <c r="P366" s="8" t="n"/>
      <c r="Q366" s="8" t="n"/>
      <c r="R366" s="8" t="n"/>
      <c r="S366" s="8" t="n"/>
      <c r="T366" s="8" t="n"/>
      <c r="U366" s="8" t="n"/>
      <c r="V366" s="8" t="n"/>
      <c r="W366" s="8" t="n"/>
      <c r="X366" s="137" t="inlineStr">
        <is>
          <t>+</t>
        </is>
      </c>
      <c r="Y366" s="137" t="inlineStr">
        <is>
          <t>+</t>
        </is>
      </c>
    </row>
    <row r="367">
      <c r="A367" s="6" t="inlineStr">
        <is>
          <t>работник 838</t>
        </is>
      </c>
      <c r="B367" s="6" t="inlineStr">
        <is>
          <t>Машинист погрузочно-доставочной машины (занятый на транспортировании горной массы в технологическом процессе)</t>
        </is>
      </c>
      <c r="C367" s="6" t="inlineStr">
        <is>
          <t>ОБЩЕСТВО С ОГРАНИЧЕННОЙ ОТВЕТСТВЕННОСТЬЮ "АМУР ЗОЛОТО"</t>
        </is>
      </c>
      <c r="D367" s="7" t="inlineStr">
        <is>
          <t>2708001686</t>
        </is>
      </c>
      <c r="E367" s="6" t="inlineStr">
        <is>
          <t>ООО "Амур Золото"</t>
        </is>
      </c>
      <c r="F367" s="7" t="inlineStr">
        <is>
          <t>2708001686</t>
        </is>
      </c>
      <c r="G367" s="7" t="inlineStr">
        <is>
          <t>Успешно</t>
        </is>
      </c>
      <c r="H367" s="6" t="n"/>
      <c r="I367" s="6" t="n"/>
      <c r="J367" s="6" t="inlineStr">
        <is>
          <t>Пользовательский интерфейс</t>
        </is>
      </c>
      <c r="K367" s="7" t="n">
        <v>3</v>
      </c>
      <c r="L367" s="8" t="n"/>
      <c r="M367" s="137" t="inlineStr">
        <is>
          <t>+</t>
        </is>
      </c>
      <c r="N367" s="8" t="n"/>
      <c r="O367" s="8" t="n"/>
      <c r="P367" s="8" t="n"/>
      <c r="Q367" s="8" t="n"/>
      <c r="R367" s="8" t="n"/>
      <c r="S367" s="8" t="n"/>
      <c r="T367" s="8" t="n"/>
      <c r="U367" s="8" t="n"/>
      <c r="V367" s="8" t="n"/>
      <c r="W367" s="8" t="n"/>
      <c r="X367" s="137" t="inlineStr">
        <is>
          <t>+</t>
        </is>
      </c>
      <c r="Y367" s="137" t="inlineStr">
        <is>
          <t>+</t>
        </is>
      </c>
    </row>
    <row r="368">
      <c r="A368" s="6" t="inlineStr">
        <is>
          <t>работник 857</t>
        </is>
      </c>
      <c r="B368" s="6" t="inlineStr">
        <is>
          <t>Уборщик производственных и служебных помещений</t>
        </is>
      </c>
      <c r="C368" s="6" t="inlineStr">
        <is>
          <t>ОБЩЕСТВО С ОГРАНИЧЕННОЙ ОТВЕТСТВЕННОСТЬЮ "АМУР ЗОЛОТО"</t>
        </is>
      </c>
      <c r="D368" s="7" t="inlineStr">
        <is>
          <t>2708001686</t>
        </is>
      </c>
      <c r="E368" s="6" t="inlineStr">
        <is>
          <t>ООО "Амур Золото"</t>
        </is>
      </c>
      <c r="F368" s="7" t="inlineStr">
        <is>
          <t>2708001686</t>
        </is>
      </c>
      <c r="G368" s="7" t="inlineStr">
        <is>
          <t>Успешно</t>
        </is>
      </c>
      <c r="H368" s="6" t="n"/>
      <c r="I368" s="6" t="n"/>
      <c r="J368" s="6" t="inlineStr">
        <is>
          <t>Пользовательский интерфейс</t>
        </is>
      </c>
      <c r="K368" s="7" t="n">
        <v>3</v>
      </c>
      <c r="L368" s="8" t="n"/>
      <c r="M368" s="137" t="inlineStr">
        <is>
          <t>+</t>
        </is>
      </c>
      <c r="N368" s="8" t="n"/>
      <c r="O368" s="8" t="n"/>
      <c r="P368" s="8" t="n"/>
      <c r="Q368" s="8" t="n"/>
      <c r="R368" s="8" t="n"/>
      <c r="S368" s="8" t="n"/>
      <c r="T368" s="8" t="n"/>
      <c r="U368" s="8" t="n"/>
      <c r="V368" s="8" t="n"/>
      <c r="W368" s="8" t="n"/>
      <c r="X368" s="137" t="inlineStr">
        <is>
          <t>+</t>
        </is>
      </c>
      <c r="Y368" s="137" t="inlineStr">
        <is>
          <t>+</t>
        </is>
      </c>
    </row>
    <row r="369">
      <c r="A369" s="6" t="inlineStr">
        <is>
          <t>работник 195</t>
        </is>
      </c>
      <c r="B369" s="6" t="inlineStr">
        <is>
          <t>Водитель автомобиля (категория Д)</t>
        </is>
      </c>
      <c r="C369" s="6" t="inlineStr">
        <is>
          <t>ОБЩЕСТВО С ОГРАНИЧЕННОЙ ОТВЕТСТВЕННОСТЬЮ "АМУР ЗОЛОТО"</t>
        </is>
      </c>
      <c r="D369" s="7" t="inlineStr">
        <is>
          <t>2708001686</t>
        </is>
      </c>
      <c r="E369" s="6" t="inlineStr">
        <is>
          <t>ООО "Амур Золото"</t>
        </is>
      </c>
      <c r="F369" s="7" t="inlineStr">
        <is>
          <t>2708001686</t>
        </is>
      </c>
      <c r="G369" s="7" t="inlineStr">
        <is>
          <t>Успешно</t>
        </is>
      </c>
      <c r="H369" s="6" t="n"/>
      <c r="I369" s="6" t="n"/>
      <c r="J369" s="6" t="inlineStr">
        <is>
          <t>Пользовательский интерфейс</t>
        </is>
      </c>
      <c r="K369" s="7" t="n">
        <v>3</v>
      </c>
      <c r="L369" s="8" t="n"/>
      <c r="M369" s="137" t="inlineStr">
        <is>
          <t>+</t>
        </is>
      </c>
      <c r="N369" s="8" t="n"/>
      <c r="O369" s="8" t="n"/>
      <c r="P369" s="8" t="n"/>
      <c r="Q369" s="8" t="n"/>
      <c r="R369" s="8" t="n"/>
      <c r="S369" s="8" t="n"/>
      <c r="T369" s="8" t="n"/>
      <c r="U369" s="8" t="n"/>
      <c r="V369" s="8" t="n"/>
      <c r="W369" s="8" t="n"/>
      <c r="X369" s="137" t="inlineStr">
        <is>
          <t>+</t>
        </is>
      </c>
      <c r="Y369" s="138" t="inlineStr">
        <is>
          <t>+</t>
        </is>
      </c>
    </row>
    <row r="370">
      <c r="A370" s="6" t="inlineStr">
        <is>
          <t>работник 809</t>
        </is>
      </c>
      <c r="B370" s="6" t="inlineStr">
        <is>
          <t>повар</t>
        </is>
      </c>
      <c r="C370" s="6" t="inlineStr">
        <is>
          <t>ОБЩЕСТВО С ОГРАНИЧЕННОЙ ОТВЕТСТВЕННОСТЬЮ "АМУР ЗОЛОТО"</t>
        </is>
      </c>
      <c r="D370" s="7" t="inlineStr">
        <is>
          <t>2708001686</t>
        </is>
      </c>
      <c r="E370" s="6" t="inlineStr">
        <is>
          <t>ООО "Амур Золото"</t>
        </is>
      </c>
      <c r="F370" s="7" t="inlineStr">
        <is>
          <t>2708001686</t>
        </is>
      </c>
      <c r="G370" s="7" t="inlineStr">
        <is>
          <t>Успешно</t>
        </is>
      </c>
      <c r="H370" s="6" t="n"/>
      <c r="I370" s="6" t="n"/>
      <c r="J370" s="6" t="inlineStr">
        <is>
          <t>Пользовательский интерфейс</t>
        </is>
      </c>
      <c r="K370" s="7" t="n">
        <v>2</v>
      </c>
      <c r="L370" s="8" t="n"/>
      <c r="M370" s="137" t="inlineStr">
        <is>
          <t>+</t>
        </is>
      </c>
      <c r="N370" s="8" t="n"/>
      <c r="O370" s="8" t="n"/>
      <c r="P370" s="8" t="n"/>
      <c r="Q370" s="8" t="n"/>
      <c r="R370" s="8" t="n"/>
      <c r="S370" s="8" t="n"/>
      <c r="T370" s="8" t="n"/>
      <c r="U370" s="8" t="n"/>
      <c r="V370" s="8" t="n"/>
      <c r="W370" s="8" t="n"/>
      <c r="X370" s="139" t="n"/>
      <c r="Y370" s="138" t="inlineStr">
        <is>
          <t>+</t>
        </is>
      </c>
    </row>
    <row r="371">
      <c r="A371" s="6" t="inlineStr">
        <is>
          <t>работник 108</t>
        </is>
      </c>
      <c r="B371" s="6" t="inlineStr">
        <is>
          <t>Повар</t>
        </is>
      </c>
      <c r="C371" s="6" t="inlineStr">
        <is>
          <t>ОБЩЕСТВО С ОГРАНИЧЕННОЙ ОТВЕТСТВЕННОСТЬЮ "АМУР ЗОЛОТО"</t>
        </is>
      </c>
      <c r="D371" s="7" t="inlineStr">
        <is>
          <t>2708001686</t>
        </is>
      </c>
      <c r="E371" s="6" t="inlineStr">
        <is>
          <t>ООО "Амур Золото"</t>
        </is>
      </c>
      <c r="F371" s="7" t="inlineStr">
        <is>
          <t>2708001686</t>
        </is>
      </c>
      <c r="G371" s="7" t="inlineStr">
        <is>
          <t>Успешно</t>
        </is>
      </c>
      <c r="H371" s="6" t="n"/>
      <c r="I371" s="6" t="n"/>
      <c r="J371" s="6" t="inlineStr">
        <is>
          <t>Пользовательский интерфейс</t>
        </is>
      </c>
      <c r="K371" s="7" t="n">
        <v>3</v>
      </c>
      <c r="L371" s="8" t="n"/>
      <c r="M371" s="137" t="inlineStr">
        <is>
          <t>+</t>
        </is>
      </c>
      <c r="N371" s="8" t="n"/>
      <c r="O371" s="8" t="n"/>
      <c r="P371" s="8" t="n"/>
      <c r="Q371" s="8" t="n"/>
      <c r="R371" s="8" t="n"/>
      <c r="S371" s="8" t="n"/>
      <c r="T371" s="8" t="n"/>
      <c r="U371" s="8" t="n"/>
      <c r="V371" s="8" t="n"/>
      <c r="W371" s="8" t="n"/>
      <c r="X371" s="137" t="inlineStr">
        <is>
          <t>+</t>
        </is>
      </c>
      <c r="Y371" s="138" t="inlineStr">
        <is>
          <t>+</t>
        </is>
      </c>
    </row>
    <row r="372">
      <c r="A372" s="6" t="inlineStr">
        <is>
          <t>работник 926</t>
        </is>
      </c>
      <c r="B372" s="6" t="inlineStr">
        <is>
          <t>Плавильщик</t>
        </is>
      </c>
      <c r="C372" s="6" t="inlineStr">
        <is>
          <t>ОБЩЕСТВО С ОГРАНИЧЕННОЙ ОТВЕТСТВЕННОСТЬЮ "АМУР ЗОЛОТО"</t>
        </is>
      </c>
      <c r="D372" s="7" t="inlineStr">
        <is>
          <t>2708001686</t>
        </is>
      </c>
      <c r="E372" s="6" t="inlineStr">
        <is>
          <t>ООО "Амур Золото"</t>
        </is>
      </c>
      <c r="F372" s="7" t="inlineStr">
        <is>
          <t>2708001686</t>
        </is>
      </c>
      <c r="G372" s="7" t="inlineStr">
        <is>
          <t>Успешно</t>
        </is>
      </c>
      <c r="H372" s="6" t="n"/>
      <c r="I372" s="6" t="n"/>
      <c r="J372" s="6" t="inlineStr">
        <is>
          <t>Пользовательский интерфейс</t>
        </is>
      </c>
      <c r="K372" s="7" t="n">
        <v>3</v>
      </c>
      <c r="L372" s="8" t="n"/>
      <c r="M372" s="137" t="inlineStr">
        <is>
          <t>+</t>
        </is>
      </c>
      <c r="N372" s="8" t="n"/>
      <c r="O372" s="8" t="n"/>
      <c r="P372" s="8" t="n"/>
      <c r="Q372" s="8" t="n"/>
      <c r="R372" s="8" t="n"/>
      <c r="S372" s="8" t="n"/>
      <c r="T372" s="8" t="n"/>
      <c r="U372" s="8" t="n"/>
      <c r="V372" s="8" t="n"/>
      <c r="W372" s="8" t="n"/>
      <c r="X372" s="137" t="inlineStr">
        <is>
          <t>+</t>
        </is>
      </c>
      <c r="Y372" s="137" t="inlineStr">
        <is>
          <t>+</t>
        </is>
      </c>
    </row>
    <row r="373">
      <c r="A373" s="6" t="inlineStr">
        <is>
          <t>работник 451</t>
        </is>
      </c>
      <c r="B373" s="6" t="inlineStr">
        <is>
          <t>Аппаратчик-гидрометаллург / Монтажник по монтажу стальных и железобетонных конструкций / Фильтровальщик</t>
        </is>
      </c>
      <c r="C373" s="6" t="inlineStr">
        <is>
          <t>ОБЩЕСТВО С ОГРАНИЧЕННОЙ ОТВЕТСТВЕННОСТЬЮ "АМУР ЗОЛОТО"</t>
        </is>
      </c>
      <c r="D373" s="7" t="inlineStr">
        <is>
          <t>2708001686</t>
        </is>
      </c>
      <c r="E373" s="6" t="inlineStr">
        <is>
          <t>ООО "Амур Золото"</t>
        </is>
      </c>
      <c r="F373" s="7" t="inlineStr">
        <is>
          <t>2708001686</t>
        </is>
      </c>
      <c r="G373" s="7" t="inlineStr">
        <is>
          <t>Успешно</t>
        </is>
      </c>
      <c r="H373" s="6" t="n"/>
      <c r="I373" s="6" t="n"/>
      <c r="J373" s="6" t="inlineStr">
        <is>
          <t>Пользовательский интерфейс</t>
        </is>
      </c>
      <c r="K373" s="7" t="n">
        <v>7</v>
      </c>
      <c r="L373" s="8" t="n"/>
      <c r="M373" s="137" t="inlineStr">
        <is>
          <t>+</t>
        </is>
      </c>
      <c r="N373" s="8" t="n"/>
      <c r="O373" s="8" t="n"/>
      <c r="P373" s="8" t="n"/>
      <c r="Q373" s="8" t="n"/>
      <c r="R373" s="8" t="n"/>
      <c r="S373" s="8" t="n"/>
      <c r="T373" s="8" t="n"/>
      <c r="U373" s="8" t="n"/>
      <c r="V373" s="8" t="n"/>
      <c r="W373" s="8" t="n"/>
      <c r="X373" s="137" t="inlineStr">
        <is>
          <t>+</t>
        </is>
      </c>
      <c r="Y373" s="137" t="inlineStr">
        <is>
          <t>+</t>
        </is>
      </c>
    </row>
    <row r="374">
      <c r="A374" s="6" t="inlineStr">
        <is>
          <t>работник 207</t>
        </is>
      </c>
      <c r="B374" s="6" t="inlineStr">
        <is>
          <t>Водитель автомобиля(занятый на траспортировании горной массы в технологическом процессе)</t>
        </is>
      </c>
      <c r="C374" s="6" t="inlineStr">
        <is>
          <t>ОБЩЕСТВО С ОГРАНИЧЕННОЙ ОТВЕТСТВЕННОСТЬЮ "АМУР ЗОЛОТО"</t>
        </is>
      </c>
      <c r="D374" s="7" t="inlineStr">
        <is>
          <t>2708001686</t>
        </is>
      </c>
      <c r="E374" s="6" t="inlineStr">
        <is>
          <t>ООО "Амур Золото"</t>
        </is>
      </c>
      <c r="F374" s="7" t="inlineStr">
        <is>
          <t>2708001686</t>
        </is>
      </c>
      <c r="G374" s="7" t="inlineStr">
        <is>
          <t>Успешно</t>
        </is>
      </c>
      <c r="H374" s="6" t="n"/>
      <c r="I374" s="6" t="n"/>
      <c r="J374" s="6" t="inlineStr">
        <is>
          <t>Пользовательский интерфейс</t>
        </is>
      </c>
      <c r="K374" s="7" t="n">
        <v>3</v>
      </c>
      <c r="L374" s="8" t="n"/>
      <c r="M374" s="137" t="inlineStr">
        <is>
          <t>+</t>
        </is>
      </c>
      <c r="N374" s="8" t="n"/>
      <c r="O374" s="8" t="n"/>
      <c r="P374" s="8" t="n"/>
      <c r="Q374" s="8" t="n"/>
      <c r="R374" s="8" t="n"/>
      <c r="S374" s="8" t="n"/>
      <c r="T374" s="8" t="n"/>
      <c r="U374" s="8" t="n"/>
      <c r="V374" s="8" t="n"/>
      <c r="W374" s="8" t="n"/>
      <c r="X374" s="137" t="inlineStr">
        <is>
          <t>+</t>
        </is>
      </c>
      <c r="Y374" s="137" t="inlineStr">
        <is>
          <t>+</t>
        </is>
      </c>
    </row>
    <row r="375">
      <c r="A375" s="6" t="inlineStr">
        <is>
          <t>работник 212</t>
        </is>
      </c>
      <c r="B375" s="6" t="inlineStr">
        <is>
          <t>Водитель автомобиля(занятый на траспортировании горной массы в технологическом процессе)</t>
        </is>
      </c>
      <c r="C375" s="6" t="inlineStr">
        <is>
          <t>ОБЩЕСТВО С ОГРАНИЧЕННОЙ ОТВЕТСТВЕННОСТЬЮ "АМУР ЗОЛОТО"</t>
        </is>
      </c>
      <c r="D375" s="7" t="inlineStr">
        <is>
          <t>2708001686</t>
        </is>
      </c>
      <c r="E375" s="6" t="inlineStr">
        <is>
          <t>ООО "Амур Золото"</t>
        </is>
      </c>
      <c r="F375" s="7" t="inlineStr">
        <is>
          <t>2708001686</t>
        </is>
      </c>
      <c r="G375" s="7" t="inlineStr">
        <is>
          <t>Успешно</t>
        </is>
      </c>
      <c r="H375" s="6" t="n"/>
      <c r="I375" s="6" t="n"/>
      <c r="J375" s="6" t="inlineStr">
        <is>
          <t>Пользовательский интерфейс</t>
        </is>
      </c>
      <c r="K375" s="7" t="n">
        <v>3</v>
      </c>
      <c r="L375" s="8" t="n"/>
      <c r="M375" s="137" t="inlineStr">
        <is>
          <t>+</t>
        </is>
      </c>
      <c r="N375" s="8" t="n"/>
      <c r="O375" s="8" t="n"/>
      <c r="P375" s="8" t="n"/>
      <c r="Q375" s="8" t="n"/>
      <c r="R375" s="8" t="n"/>
      <c r="S375" s="8" t="n"/>
      <c r="T375" s="8" t="n"/>
      <c r="U375" s="8" t="n"/>
      <c r="V375" s="8" t="n"/>
      <c r="W375" s="8" t="n"/>
      <c r="X375" s="137" t="inlineStr">
        <is>
          <t>+</t>
        </is>
      </c>
      <c r="Y375" s="137" t="inlineStr">
        <is>
          <t>+</t>
        </is>
      </c>
    </row>
    <row r="376">
      <c r="A376" s="6" t="inlineStr">
        <is>
          <t>работник 185</t>
        </is>
      </c>
      <c r="B376" s="6" t="inlineStr">
        <is>
          <t>Водитель автомобиля(занятый на траспортировании горной массы в технологическом процессе)</t>
        </is>
      </c>
      <c r="C376" s="6" t="inlineStr">
        <is>
          <t>ОБЩЕСТВО С ОГРАНИЧЕННОЙ ОТВЕТСТВЕННОСТЬЮ "АМУР ЗОЛОТО"</t>
        </is>
      </c>
      <c r="D376" s="7" t="inlineStr">
        <is>
          <t>2708001686</t>
        </is>
      </c>
      <c r="E376" s="6" t="inlineStr">
        <is>
          <t>ООО "Амур Золото"</t>
        </is>
      </c>
      <c r="F376" s="7" t="inlineStr">
        <is>
          <t>2708001686</t>
        </is>
      </c>
      <c r="G376" s="7" t="inlineStr">
        <is>
          <t>Успешно</t>
        </is>
      </c>
      <c r="H376" s="6" t="n"/>
      <c r="I376" s="6" t="n"/>
      <c r="J376" s="6" t="inlineStr">
        <is>
          <t>Пользовательский интерфейс</t>
        </is>
      </c>
      <c r="K376" s="7" t="n">
        <v>3</v>
      </c>
      <c r="L376" s="8" t="n"/>
      <c r="M376" s="137" t="inlineStr">
        <is>
          <t>+</t>
        </is>
      </c>
      <c r="N376" s="8" t="n"/>
      <c r="O376" s="8" t="n"/>
      <c r="P376" s="8" t="n"/>
      <c r="Q376" s="8" t="n"/>
      <c r="R376" s="8" t="n"/>
      <c r="S376" s="8" t="n"/>
      <c r="T376" s="8" t="n"/>
      <c r="U376" s="8" t="n"/>
      <c r="V376" s="8" t="n"/>
      <c r="W376" s="8" t="n"/>
      <c r="X376" s="137" t="inlineStr">
        <is>
          <t>+</t>
        </is>
      </c>
      <c r="Y376" s="137" t="inlineStr">
        <is>
          <t>+</t>
        </is>
      </c>
    </row>
    <row r="377">
      <c r="A377" s="6" t="inlineStr">
        <is>
          <t>работник 851</t>
        </is>
      </c>
      <c r="B377" s="6" t="inlineStr">
        <is>
          <t>Электрогазосварщик (занятый на резке и ручной сварке)</t>
        </is>
      </c>
      <c r="C377" s="6" t="inlineStr">
        <is>
          <t>ОБЩЕСТВО С ОГРАНИЧЕННОЙ ОТВЕТСТВЕННОСТЬЮ "АМУР ЗОЛОТО"</t>
        </is>
      </c>
      <c r="D377" s="7" t="inlineStr">
        <is>
          <t>2708001686</t>
        </is>
      </c>
      <c r="E377" s="6" t="inlineStr">
        <is>
          <t>ООО "Амур Золото"</t>
        </is>
      </c>
      <c r="F377" s="7" t="inlineStr">
        <is>
          <t>2708001686</t>
        </is>
      </c>
      <c r="G377" s="7" t="inlineStr">
        <is>
          <t>Успешно</t>
        </is>
      </c>
      <c r="H377" s="6" t="n"/>
      <c r="I377" s="6" t="n"/>
      <c r="J377" s="6" t="inlineStr">
        <is>
          <t>Пользовательский интерфейс</t>
        </is>
      </c>
      <c r="K377" s="7" t="n">
        <v>4</v>
      </c>
      <c r="L377" s="8" t="n"/>
      <c r="M377" s="137" t="inlineStr">
        <is>
          <t>+</t>
        </is>
      </c>
      <c r="N377" s="8" t="n"/>
      <c r="O377" s="137" t="inlineStr">
        <is>
          <t>+</t>
        </is>
      </c>
      <c r="P377" s="8" t="n"/>
      <c r="Q377" s="8" t="n"/>
      <c r="R377" s="8" t="n"/>
      <c r="S377" s="8" t="n"/>
      <c r="T377" s="8" t="n"/>
      <c r="U377" s="8" t="n"/>
      <c r="V377" s="8" t="n"/>
      <c r="W377" s="8" t="n"/>
      <c r="X377" s="137" t="inlineStr">
        <is>
          <t>+</t>
        </is>
      </c>
      <c r="Y377" s="137" t="inlineStr">
        <is>
          <t>+</t>
        </is>
      </c>
    </row>
    <row r="378">
      <c r="A378" s="6" t="inlineStr">
        <is>
          <t>работник 652</t>
        </is>
      </c>
      <c r="B378" s="6" t="inlineStr">
        <is>
          <t>Электрогазосварщик (занятый на резке и ручной сварке) / Электрогазосварщик</t>
        </is>
      </c>
      <c r="C378" s="6" t="inlineStr">
        <is>
          <t>ОБЩЕСТВО С ОГРАНИЧЕННОЙ ОТВЕТСТВЕННОСТЬЮ "АМУР ЗОЛОТО"</t>
        </is>
      </c>
      <c r="D378" s="7" t="inlineStr">
        <is>
          <t>2708001686</t>
        </is>
      </c>
      <c r="E378" s="6" t="inlineStr">
        <is>
          <t>ООО "Амур Золото"</t>
        </is>
      </c>
      <c r="F378" s="7" t="inlineStr">
        <is>
          <t>2708001686</t>
        </is>
      </c>
      <c r="G378" s="7" t="inlineStr">
        <is>
          <t>Успешно</t>
        </is>
      </c>
      <c r="H378" s="6" t="n"/>
      <c r="I378" s="6" t="n"/>
      <c r="J378" s="6" t="inlineStr">
        <is>
          <t>Пользовательский интерфейс</t>
        </is>
      </c>
      <c r="K378" s="7" t="n">
        <v>6</v>
      </c>
      <c r="L378" s="8" t="n"/>
      <c r="M378" s="137" t="inlineStr">
        <is>
          <t>+</t>
        </is>
      </c>
      <c r="N378" s="8" t="n"/>
      <c r="O378" s="137" t="inlineStr">
        <is>
          <t>+</t>
        </is>
      </c>
      <c r="P378" s="8" t="n"/>
      <c r="Q378" s="8" t="n"/>
      <c r="R378" s="8" t="n"/>
      <c r="S378" s="8" t="n"/>
      <c r="T378" s="8" t="n"/>
      <c r="U378" s="8" t="n"/>
      <c r="V378" s="8" t="n"/>
      <c r="W378" s="8" t="n"/>
      <c r="X378" s="137" t="inlineStr">
        <is>
          <t>+</t>
        </is>
      </c>
      <c r="Y378" s="137" t="inlineStr">
        <is>
          <t>+</t>
        </is>
      </c>
    </row>
    <row r="379">
      <c r="A379" s="6" t="inlineStr">
        <is>
          <t>работник 579</t>
        </is>
      </c>
      <c r="B379" s="6" t="inlineStr">
        <is>
          <t>Помощник машиниста самоходной буровой установки (с исполнением обязанностей пробоотборщика) (Очистное)</t>
        </is>
      </c>
      <c r="C379" s="6" t="inlineStr">
        <is>
          <t>ОБЩЕСТВО С ОГРАНИЧЕННОЙ ОТВЕТСТВЕННОСТЬЮ "АМУР ЗОЛОТО"</t>
        </is>
      </c>
      <c r="D379" s="7" t="inlineStr">
        <is>
          <t>2708001686</t>
        </is>
      </c>
      <c r="E379" s="6" t="inlineStr">
        <is>
          <t>ООО "Амур Золото"</t>
        </is>
      </c>
      <c r="F379" s="7" t="inlineStr">
        <is>
          <t>2708001686</t>
        </is>
      </c>
      <c r="G379" s="7" t="inlineStr">
        <is>
          <t>Успешно</t>
        </is>
      </c>
      <c r="H379" s="6" t="n"/>
      <c r="I379" s="6" t="n"/>
      <c r="J379" s="6" t="inlineStr">
        <is>
          <t>Пользовательский интерфейс</t>
        </is>
      </c>
      <c r="K379" s="7" t="n">
        <v>2</v>
      </c>
      <c r="L379" s="8" t="n"/>
      <c r="M379" s="137" t="inlineStr">
        <is>
          <t>+</t>
        </is>
      </c>
      <c r="N379" s="8" t="n"/>
      <c r="O379" s="8" t="n"/>
      <c r="P379" s="8" t="n"/>
      <c r="Q379" s="8" t="n"/>
      <c r="R379" s="8" t="n"/>
      <c r="S379" s="8" t="n"/>
      <c r="T379" s="8" t="n"/>
      <c r="U379" s="8" t="n"/>
      <c r="V379" s="8" t="n"/>
      <c r="W379" s="8" t="n"/>
      <c r="X379" s="139" t="n"/>
      <c r="Y379" s="137" t="inlineStr">
        <is>
          <t>+</t>
        </is>
      </c>
    </row>
    <row r="380">
      <c r="A380" s="6" t="inlineStr">
        <is>
          <t>работник 125</t>
        </is>
      </c>
      <c r="B380" s="6" t="inlineStr">
        <is>
          <t>Дробильщик</t>
        </is>
      </c>
      <c r="C380" s="6" t="inlineStr">
        <is>
          <t>ОБЩЕСТВО С ОГРАНИЧЕННОЙ ОТВЕТСТВЕННОСТЬЮ "АМУР ЗОЛОТО"</t>
        </is>
      </c>
      <c r="D380" s="7" t="inlineStr">
        <is>
          <t>2708001686</t>
        </is>
      </c>
      <c r="E380" s="6" t="inlineStr">
        <is>
          <t>ООО "Амур Золото"</t>
        </is>
      </c>
      <c r="F380" s="7" t="inlineStr">
        <is>
          <t>2708001686</t>
        </is>
      </c>
      <c r="G380" s="7" t="inlineStr">
        <is>
          <t>Успешно</t>
        </is>
      </c>
      <c r="H380" s="6" t="n"/>
      <c r="I380" s="6" t="n"/>
      <c r="J380" s="6" t="inlineStr">
        <is>
          <t>Пользовательский интерфейс</t>
        </is>
      </c>
      <c r="K380" s="7" t="n">
        <v>3</v>
      </c>
      <c r="L380" s="8" t="n"/>
      <c r="M380" s="137" t="inlineStr">
        <is>
          <t>+</t>
        </is>
      </c>
      <c r="N380" s="8" t="n"/>
      <c r="O380" s="8" t="n"/>
      <c r="P380" s="8" t="n"/>
      <c r="Q380" s="8" t="n"/>
      <c r="R380" s="8" t="n"/>
      <c r="S380" s="8" t="n"/>
      <c r="T380" s="8" t="n"/>
      <c r="U380" s="8" t="n"/>
      <c r="V380" s="8" t="n"/>
      <c r="W380" s="8" t="n"/>
      <c r="X380" s="137" t="inlineStr">
        <is>
          <t>+</t>
        </is>
      </c>
      <c r="Y380" s="137" t="inlineStr">
        <is>
          <t>+</t>
        </is>
      </c>
    </row>
    <row r="381">
      <c r="A381" s="6" t="inlineStr">
        <is>
          <t>работник 353</t>
        </is>
      </c>
      <c r="B381" s="6" t="inlineStr">
        <is>
          <t>Машинист двигателей внутреннего сгорания</t>
        </is>
      </c>
      <c r="C381" s="6" t="inlineStr">
        <is>
          <t>ОБЩЕСТВО С ОГРАНИЧЕННОЙ ОТВЕТСТВЕННОСТЬЮ "АМУР ЗОЛОТО"</t>
        </is>
      </c>
      <c r="D381" s="7" t="inlineStr">
        <is>
          <t>2708001686</t>
        </is>
      </c>
      <c r="E381" s="6" t="inlineStr">
        <is>
          <t>ООО "Амур Золото"</t>
        </is>
      </c>
      <c r="F381" s="7" t="inlineStr">
        <is>
          <t>2708001686</t>
        </is>
      </c>
      <c r="G381" s="7" t="inlineStr">
        <is>
          <t>Успешно</t>
        </is>
      </c>
      <c r="H381" s="6" t="n"/>
      <c r="I381" s="6" t="n"/>
      <c r="J381" s="6" t="inlineStr">
        <is>
          <t>Пользовательский интерфейс</t>
        </is>
      </c>
      <c r="K381" s="7" t="n">
        <v>6</v>
      </c>
      <c r="L381" s="8" t="n"/>
      <c r="M381" s="137" t="inlineStr">
        <is>
          <t>+</t>
        </is>
      </c>
      <c r="N381" s="8" t="n"/>
      <c r="O381" s="8" t="n"/>
      <c r="P381" s="8" t="n"/>
      <c r="Q381" s="8" t="n"/>
      <c r="R381" s="8" t="n"/>
      <c r="S381" s="8" t="n"/>
      <c r="T381" s="8" t="n"/>
      <c r="U381" s="8" t="n"/>
      <c r="V381" s="8" t="n"/>
      <c r="W381" s="8" t="n"/>
      <c r="X381" s="137" t="inlineStr">
        <is>
          <t>+</t>
        </is>
      </c>
      <c r="Y381" s="137" t="inlineStr">
        <is>
          <t>+</t>
        </is>
      </c>
    </row>
    <row r="382">
      <c r="A382" s="6" t="inlineStr">
        <is>
          <t>работник 923</t>
        </is>
      </c>
      <c r="B382" s="6" t="inlineStr">
        <is>
          <t>Машинист двигателей внутреннего сгорания</t>
        </is>
      </c>
      <c r="C382" s="6" t="inlineStr">
        <is>
          <t>ОБЩЕСТВО С ОГРАНИЧЕННОЙ ОТВЕТСТВЕННОСТЬЮ "АМУР ЗОЛОТО"</t>
        </is>
      </c>
      <c r="D382" s="7" t="inlineStr">
        <is>
          <t>2708001686</t>
        </is>
      </c>
      <c r="E382" s="6" t="inlineStr">
        <is>
          <t>ООО "Амур Золото"</t>
        </is>
      </c>
      <c r="F382" s="7" t="inlineStr">
        <is>
          <t>2708001686</t>
        </is>
      </c>
      <c r="G382" s="7" t="inlineStr">
        <is>
          <t>Успешно</t>
        </is>
      </c>
      <c r="H382" s="6" t="n"/>
      <c r="I382" s="6" t="n"/>
      <c r="J382" s="6" t="inlineStr">
        <is>
          <t>Пользовательский интерфейс</t>
        </is>
      </c>
      <c r="K382" s="7" t="n">
        <v>3</v>
      </c>
      <c r="L382" s="8" t="n"/>
      <c r="M382" s="137" t="inlineStr">
        <is>
          <t>+</t>
        </is>
      </c>
      <c r="N382" s="8" t="n"/>
      <c r="O382" s="8" t="n"/>
      <c r="P382" s="8" t="n"/>
      <c r="Q382" s="8" t="n"/>
      <c r="R382" s="8" t="n"/>
      <c r="S382" s="8" t="n"/>
      <c r="T382" s="8" t="n"/>
      <c r="U382" s="8" t="n"/>
      <c r="V382" s="8" t="n"/>
      <c r="W382" s="8" t="n"/>
      <c r="X382" s="137" t="inlineStr">
        <is>
          <t>+</t>
        </is>
      </c>
      <c r="Y382" s="137" t="inlineStr">
        <is>
          <t>+</t>
        </is>
      </c>
    </row>
    <row r="383">
      <c r="A383" s="6" t="inlineStr">
        <is>
          <t>работник 467</t>
        </is>
      </c>
      <c r="B383" s="6" t="inlineStr">
        <is>
          <t>Водитель автомобиля (занятый на транспортировании горной массы в технологическом процессе)</t>
        </is>
      </c>
      <c r="C383" s="6" t="inlineStr">
        <is>
          <t>ОБЩЕСТВО С ОГРАНИЧЕННОЙ ОТВЕТСТВЕННОСТЬЮ "АМУР ЗОЛОТО"</t>
        </is>
      </c>
      <c r="D383" s="7" t="inlineStr">
        <is>
          <t>2708001686</t>
        </is>
      </c>
      <c r="E383" s="6" t="inlineStr">
        <is>
          <t>ООО "Амур Золото"</t>
        </is>
      </c>
      <c r="F383" s="7" t="inlineStr">
        <is>
          <t>2708001686</t>
        </is>
      </c>
      <c r="G383" s="7" t="inlineStr">
        <is>
          <t>Успешно</t>
        </is>
      </c>
      <c r="H383" s="6" t="n"/>
      <c r="I383" s="6" t="n"/>
      <c r="J383" s="6" t="inlineStr">
        <is>
          <t>Пользовательский интерфейс</t>
        </is>
      </c>
      <c r="K383" s="7" t="n">
        <v>2</v>
      </c>
      <c r="L383" s="8" t="n"/>
      <c r="M383" s="137" t="inlineStr">
        <is>
          <t>+</t>
        </is>
      </c>
      <c r="N383" s="8" t="n"/>
      <c r="O383" s="8" t="n"/>
      <c r="P383" s="8" t="n"/>
      <c r="Q383" s="8" t="n"/>
      <c r="R383" s="8" t="n"/>
      <c r="S383" s="8" t="n"/>
      <c r="T383" s="8" t="n"/>
      <c r="U383" s="8" t="n"/>
      <c r="V383" s="8" t="n"/>
      <c r="W383" s="8" t="n"/>
      <c r="X383" s="139" t="n"/>
      <c r="Y383" s="137" t="inlineStr">
        <is>
          <t>+</t>
        </is>
      </c>
    </row>
    <row r="384">
      <c r="A384" s="6" t="inlineStr">
        <is>
          <t>работник 436</t>
        </is>
      </c>
      <c r="B384" s="6" t="inlineStr">
        <is>
          <t>Дробильщик</t>
        </is>
      </c>
      <c r="C384" s="6" t="inlineStr">
        <is>
          <t>ОБЩЕСТВО С ОГРАНИЧЕННОЙ ОТВЕТСТВЕННОСТЬЮ "АМУР ЗОЛОТО"</t>
        </is>
      </c>
      <c r="D384" s="7" t="inlineStr">
        <is>
          <t>2708001686</t>
        </is>
      </c>
      <c r="E384" s="6" t="inlineStr">
        <is>
          <t>ООО "Амур Золото"</t>
        </is>
      </c>
      <c r="F384" s="7" t="inlineStr">
        <is>
          <t>2708001686</t>
        </is>
      </c>
      <c r="G384" s="7" t="inlineStr">
        <is>
          <t>Успешно</t>
        </is>
      </c>
      <c r="H384" s="6" t="n"/>
      <c r="I384" s="6" t="n"/>
      <c r="J384" s="6" t="inlineStr">
        <is>
          <t>Пользовательский интерфейс</t>
        </is>
      </c>
      <c r="K384" s="7" t="n">
        <v>6</v>
      </c>
      <c r="L384" s="8" t="n"/>
      <c r="M384" s="137" t="inlineStr">
        <is>
          <t>+</t>
        </is>
      </c>
      <c r="N384" s="8" t="n"/>
      <c r="O384" s="8" t="n"/>
      <c r="P384" s="8" t="n"/>
      <c r="Q384" s="8" t="n"/>
      <c r="R384" s="8" t="n"/>
      <c r="S384" s="8" t="n"/>
      <c r="T384" s="8" t="n"/>
      <c r="U384" s="8" t="n"/>
      <c r="V384" s="8" t="n"/>
      <c r="W384" s="8" t="n"/>
      <c r="X384" s="137" t="inlineStr">
        <is>
          <t>+</t>
        </is>
      </c>
      <c r="Y384" s="137" t="inlineStr">
        <is>
          <t>+</t>
        </is>
      </c>
    </row>
    <row r="385">
      <c r="A385" s="6" t="inlineStr">
        <is>
          <t>работник 770</t>
        </is>
      </c>
      <c r="B385" s="6" t="inlineStr">
        <is>
          <t>Машинист погрузочно-доставочной машины</t>
        </is>
      </c>
      <c r="C385" s="6" t="inlineStr">
        <is>
          <t>ОБЩЕСТВО С ОГРАНИЧЕННОЙ ОТВЕТСТВЕННОСТЬЮ "АМУР ЗОЛОТО"</t>
        </is>
      </c>
      <c r="D385" s="7" t="inlineStr">
        <is>
          <t>2708001686</t>
        </is>
      </c>
      <c r="E385" s="6" t="inlineStr">
        <is>
          <t>ООО "Амур Золото"</t>
        </is>
      </c>
      <c r="F385" s="7" t="inlineStr">
        <is>
          <t>2708001686</t>
        </is>
      </c>
      <c r="G385" s="7" t="inlineStr">
        <is>
          <t>Успешно</t>
        </is>
      </c>
      <c r="H385" s="6" t="n"/>
      <c r="I385" s="6" t="n"/>
      <c r="J385" s="6" t="inlineStr">
        <is>
          <t>Пользовательский интерфейс</t>
        </is>
      </c>
      <c r="K385" s="7" t="n">
        <v>6</v>
      </c>
      <c r="L385" s="8" t="n"/>
      <c r="M385" s="137" t="inlineStr">
        <is>
          <t>+</t>
        </is>
      </c>
      <c r="N385" s="8" t="n"/>
      <c r="O385" s="8" t="n"/>
      <c r="P385" s="8" t="n"/>
      <c r="Q385" s="8" t="n"/>
      <c r="R385" s="8" t="n"/>
      <c r="S385" s="8" t="n"/>
      <c r="T385" s="8" t="n"/>
      <c r="U385" s="8" t="n"/>
      <c r="V385" s="8" t="n"/>
      <c r="W385" s="8" t="n"/>
      <c r="X385" s="137" t="inlineStr">
        <is>
          <t>+</t>
        </is>
      </c>
      <c r="Y385" s="137" t="inlineStr">
        <is>
          <t>+</t>
        </is>
      </c>
    </row>
    <row r="386">
      <c r="A386" s="6" t="inlineStr">
        <is>
          <t>работник 748</t>
        </is>
      </c>
      <c r="B386" s="6" t="inlineStr">
        <is>
          <t>Аппаратчик сгустителей</t>
        </is>
      </c>
      <c r="C386" s="6" t="inlineStr">
        <is>
          <t>ОБЩЕСТВО С ОГРАНИЧЕННОЙ ОТВЕТСТВЕННОСТЬЮ "АМУР ЗОЛОТО"</t>
        </is>
      </c>
      <c r="D386" s="7" t="inlineStr">
        <is>
          <t>2708001686</t>
        </is>
      </c>
      <c r="E386" s="6" t="inlineStr">
        <is>
          <t>ООО "Амур Золото"</t>
        </is>
      </c>
      <c r="F386" s="7" t="inlineStr">
        <is>
          <t>2708001686</t>
        </is>
      </c>
      <c r="G386" s="7" t="inlineStr">
        <is>
          <t>Успешно</t>
        </is>
      </c>
      <c r="H386" s="6" t="n"/>
      <c r="I386" s="6" t="n"/>
      <c r="J386" s="6" t="inlineStr">
        <is>
          <t>Пользовательский интерфейс</t>
        </is>
      </c>
      <c r="K386" s="7" t="n">
        <v>5</v>
      </c>
      <c r="L386" s="8" t="n"/>
      <c r="M386" s="137" t="inlineStr">
        <is>
          <t>+</t>
        </is>
      </c>
      <c r="N386" s="137" t="inlineStr">
        <is>
          <t>+</t>
        </is>
      </c>
      <c r="O386" s="8" t="n"/>
      <c r="P386" s="137" t="inlineStr">
        <is>
          <t>+</t>
        </is>
      </c>
      <c r="Q386" s="8" t="n"/>
      <c r="R386" s="8" t="n"/>
      <c r="S386" s="8" t="n"/>
      <c r="T386" s="8" t="n"/>
      <c r="U386" s="8" t="n"/>
      <c r="V386" s="8" t="n"/>
      <c r="W386" s="8" t="n"/>
      <c r="X386" s="137" t="inlineStr">
        <is>
          <t>+</t>
        </is>
      </c>
      <c r="Y386" s="137" t="inlineStr">
        <is>
          <t>+</t>
        </is>
      </c>
    </row>
    <row r="387">
      <c r="A387" s="6" t="inlineStr">
        <is>
          <t>работник 320</t>
        </is>
      </c>
      <c r="B387" s="6" t="inlineStr">
        <is>
          <t>Машинист погрузочно-доставочной машины</t>
        </is>
      </c>
      <c r="C387" s="6" t="inlineStr">
        <is>
          <t>ОБЩЕСТВО С ОГРАНИЧЕННОЙ ОТВЕТСТВЕННОСТЬЮ "АМУР ЗОЛОТО"</t>
        </is>
      </c>
      <c r="D387" s="7" t="inlineStr">
        <is>
          <t>2708001686</t>
        </is>
      </c>
      <c r="E387" s="6" t="inlineStr">
        <is>
          <t>ООО "Амур Золото"</t>
        </is>
      </c>
      <c r="F387" s="7" t="inlineStr">
        <is>
          <t>2708001686</t>
        </is>
      </c>
      <c r="G387" s="7" t="inlineStr">
        <is>
          <t>Успешно</t>
        </is>
      </c>
      <c r="H387" s="6" t="n"/>
      <c r="I387" s="6" t="n"/>
      <c r="J387" s="6" t="inlineStr">
        <is>
          <t>Пользовательский интерфейс</t>
        </is>
      </c>
      <c r="K387" s="7" t="n">
        <v>3</v>
      </c>
      <c r="L387" s="8" t="n"/>
      <c r="M387" s="137" t="inlineStr">
        <is>
          <t>+</t>
        </is>
      </c>
      <c r="N387" s="8" t="n"/>
      <c r="O387" s="8" t="n"/>
      <c r="P387" s="8" t="n"/>
      <c r="Q387" s="8" t="n"/>
      <c r="R387" s="8" t="n"/>
      <c r="S387" s="8" t="n"/>
      <c r="T387" s="8" t="n"/>
      <c r="U387" s="8" t="n"/>
      <c r="V387" s="8" t="n"/>
      <c r="W387" s="8" t="n"/>
      <c r="X387" s="137" t="inlineStr">
        <is>
          <t>+</t>
        </is>
      </c>
      <c r="Y387" s="137" t="inlineStr">
        <is>
          <t>+</t>
        </is>
      </c>
    </row>
    <row r="388">
      <c r="A388" s="6" t="inlineStr">
        <is>
          <t>работник 498</t>
        </is>
      </c>
      <c r="B388" s="6" t="inlineStr">
        <is>
          <t>Кухонный рабочий</t>
        </is>
      </c>
      <c r="C388" s="6" t="inlineStr">
        <is>
          <t>ОБЩЕСТВО С ОГРАНИЧЕННОЙ ОТВЕТСТВЕННОСТЬЮ "АМУР ЗОЛОТО"</t>
        </is>
      </c>
      <c r="D388" s="7" t="inlineStr">
        <is>
          <t>2708001686</t>
        </is>
      </c>
      <c r="E388" s="6" t="inlineStr">
        <is>
          <t>ООО "Амур Золото"</t>
        </is>
      </c>
      <c r="F388" s="7" t="inlineStr">
        <is>
          <t>2708001686</t>
        </is>
      </c>
      <c r="G388" s="7" t="inlineStr">
        <is>
          <t>Успешно</t>
        </is>
      </c>
      <c r="H388" s="6" t="n"/>
      <c r="I388" s="6" t="n"/>
      <c r="J388" s="6" t="inlineStr">
        <is>
          <t>Пользовательский интерфейс</t>
        </is>
      </c>
      <c r="K388" s="7" t="n">
        <v>2</v>
      </c>
      <c r="L388" s="8" t="n"/>
      <c r="M388" s="137" t="inlineStr">
        <is>
          <t>+</t>
        </is>
      </c>
      <c r="N388" s="8" t="n"/>
      <c r="O388" s="8" t="n"/>
      <c r="P388" s="8" t="n"/>
      <c r="Q388" s="8" t="n"/>
      <c r="R388" s="8" t="n"/>
      <c r="S388" s="8" t="n"/>
      <c r="T388" s="8" t="n"/>
      <c r="U388" s="8" t="n"/>
      <c r="V388" s="8" t="n"/>
      <c r="W388" s="8" t="n"/>
      <c r="X388" s="139" t="n"/>
      <c r="Y388" s="138" t="inlineStr">
        <is>
          <t>+</t>
        </is>
      </c>
    </row>
    <row r="389">
      <c r="A389" s="6" t="inlineStr">
        <is>
          <t>работник 517</t>
        </is>
      </c>
      <c r="B389" s="6" t="inlineStr">
        <is>
          <t>Водитель автомобиля (категория D)</t>
        </is>
      </c>
      <c r="C389" s="6" t="inlineStr">
        <is>
          <t>ОБЩЕСТВО С ОГРАНИЧЕННОЙ ОТВЕТСТВЕННОСТЬЮ "АМУР ЗОЛОТО"</t>
        </is>
      </c>
      <c r="D389" s="7" t="inlineStr">
        <is>
          <t>2708001686</t>
        </is>
      </c>
      <c r="E389" s="6" t="inlineStr">
        <is>
          <t>ООО "Амур Золото"</t>
        </is>
      </c>
      <c r="F389" s="7" t="inlineStr">
        <is>
          <t>2708001686</t>
        </is>
      </c>
      <c r="G389" s="7" t="inlineStr">
        <is>
          <t>Успешно</t>
        </is>
      </c>
      <c r="H389" s="6" t="n"/>
      <c r="I389" s="6" t="n"/>
      <c r="J389" s="6" t="inlineStr">
        <is>
          <t>Пользовательский интерфейс</t>
        </is>
      </c>
      <c r="K389" s="7" t="n">
        <v>5</v>
      </c>
      <c r="L389" s="8" t="n"/>
      <c r="M389" s="137" t="inlineStr">
        <is>
          <t>+</t>
        </is>
      </c>
      <c r="N389" s="8" t="n"/>
      <c r="O389" s="8" t="n"/>
      <c r="P389" s="8" t="n"/>
      <c r="Q389" s="8" t="n"/>
      <c r="R389" s="8" t="n"/>
      <c r="S389" s="8" t="n"/>
      <c r="T389" s="8" t="n"/>
      <c r="U389" s="8" t="n"/>
      <c r="V389" s="8" t="n"/>
      <c r="W389" s="8" t="n"/>
      <c r="X389" s="137" t="inlineStr">
        <is>
          <t>+</t>
        </is>
      </c>
      <c r="Y389" s="138" t="inlineStr">
        <is>
          <t>+</t>
        </is>
      </c>
    </row>
    <row r="390">
      <c r="A390" s="6" t="inlineStr">
        <is>
          <t>работник 280</t>
        </is>
      </c>
      <c r="B390" s="6" t="inlineStr">
        <is>
          <t>Водитель автомобиля (занятый на транспортировании горной массы в технологическом процессе)</t>
        </is>
      </c>
      <c r="C390" s="6" t="inlineStr">
        <is>
          <t>ОБЩЕСТВО С ОГРАНИЧЕННОЙ ОТВЕТСТВЕННОСТЬЮ "АМУР ЗОЛОТО"</t>
        </is>
      </c>
      <c r="D390" s="7" t="inlineStr">
        <is>
          <t>2708001686</t>
        </is>
      </c>
      <c r="E390" s="6" t="inlineStr">
        <is>
          <t>ООО "Амур Золото"</t>
        </is>
      </c>
      <c r="F390" s="7" t="inlineStr">
        <is>
          <t>2708001686</t>
        </is>
      </c>
      <c r="G390" s="7" t="inlineStr">
        <is>
          <t>Успешно</t>
        </is>
      </c>
      <c r="H390" s="6" t="n"/>
      <c r="I390" s="6" t="n"/>
      <c r="J390" s="6" t="inlineStr">
        <is>
          <t>Пользовательский интерфейс</t>
        </is>
      </c>
      <c r="K390" s="7" t="n">
        <v>3</v>
      </c>
      <c r="L390" s="8" t="n"/>
      <c r="M390" s="137" t="inlineStr">
        <is>
          <t>+</t>
        </is>
      </c>
      <c r="N390" s="8" t="n"/>
      <c r="O390" s="8" t="n"/>
      <c r="P390" s="8" t="n"/>
      <c r="Q390" s="8" t="n"/>
      <c r="R390" s="8" t="n"/>
      <c r="S390" s="8" t="n"/>
      <c r="T390" s="8" t="n"/>
      <c r="U390" s="8" t="n"/>
      <c r="V390" s="8" t="n"/>
      <c r="W390" s="8" t="n"/>
      <c r="X390" s="137" t="inlineStr">
        <is>
          <t>+</t>
        </is>
      </c>
      <c r="Y390" s="137" t="inlineStr">
        <is>
          <t>+</t>
        </is>
      </c>
    </row>
    <row r="391">
      <c r="A391" s="6" t="inlineStr">
        <is>
          <t>работник 361</t>
        </is>
      </c>
      <c r="B391" s="6" t="inlineStr">
        <is>
          <t>Кухонный рабочий</t>
        </is>
      </c>
      <c r="C391" s="6" t="inlineStr">
        <is>
          <t>ОБЩЕСТВО С ОГРАНИЧЕННОЙ ОТВЕТСТВЕННОСТЬЮ "АМУР ЗОЛОТО"</t>
        </is>
      </c>
      <c r="D391" s="7" t="inlineStr">
        <is>
          <t>2708001686</t>
        </is>
      </c>
      <c r="E391" s="6" t="inlineStr">
        <is>
          <t>ООО "Амур Золото"</t>
        </is>
      </c>
      <c r="F391" s="7" t="inlineStr">
        <is>
          <t>2708001686</t>
        </is>
      </c>
      <c r="G391" s="7" t="inlineStr">
        <is>
          <t>Успешно</t>
        </is>
      </c>
      <c r="H391" s="6" t="n"/>
      <c r="I391" s="6" t="n"/>
      <c r="J391" s="6" t="inlineStr">
        <is>
          <t>Пользовательский интерфейс</t>
        </is>
      </c>
      <c r="K391" s="7" t="n">
        <v>3</v>
      </c>
      <c r="L391" s="8" t="n"/>
      <c r="M391" s="137" t="inlineStr">
        <is>
          <t>+</t>
        </is>
      </c>
      <c r="N391" s="8" t="n"/>
      <c r="O391" s="8" t="n"/>
      <c r="P391" s="8" t="n"/>
      <c r="Q391" s="8" t="n"/>
      <c r="R391" s="8" t="n"/>
      <c r="S391" s="8" t="n"/>
      <c r="T391" s="8" t="n"/>
      <c r="U391" s="8" t="n"/>
      <c r="V391" s="8" t="n"/>
      <c r="W391" s="8" t="n"/>
      <c r="X391" s="137" t="inlineStr">
        <is>
          <t>+</t>
        </is>
      </c>
      <c r="Y391" s="138" t="inlineStr">
        <is>
          <t>+</t>
        </is>
      </c>
    </row>
    <row r="392">
      <c r="A392" s="6" t="inlineStr">
        <is>
          <t>работник 281</t>
        </is>
      </c>
      <c r="B392" s="6" t="inlineStr">
        <is>
          <t>Водитель автомобиля (категория D)</t>
        </is>
      </c>
      <c r="C392" s="6" t="inlineStr">
        <is>
          <t>ОБЩЕСТВО С ОГРАНИЧЕННОЙ ОТВЕТСТВЕННОСТЬЮ "АМУР ЗОЛОТО"</t>
        </is>
      </c>
      <c r="D392" s="7" t="inlineStr">
        <is>
          <t>2708001686</t>
        </is>
      </c>
      <c r="E392" s="6" t="inlineStr">
        <is>
          <t>ООО "Амур Золото"</t>
        </is>
      </c>
      <c r="F392" s="7" t="inlineStr">
        <is>
          <t>2708001686</t>
        </is>
      </c>
      <c r="G392" s="7" t="inlineStr">
        <is>
          <t>Успешно</t>
        </is>
      </c>
      <c r="H392" s="6" t="n"/>
      <c r="I392" s="6" t="n"/>
      <c r="J392" s="6" t="inlineStr">
        <is>
          <t>Пользовательский интерфейс</t>
        </is>
      </c>
      <c r="K392" s="7" t="n">
        <v>3</v>
      </c>
      <c r="L392" s="8" t="n"/>
      <c r="M392" s="137" t="inlineStr">
        <is>
          <t>+</t>
        </is>
      </c>
      <c r="N392" s="8" t="n"/>
      <c r="O392" s="8" t="n"/>
      <c r="P392" s="8" t="n"/>
      <c r="Q392" s="8" t="n"/>
      <c r="R392" s="8" t="n"/>
      <c r="S392" s="8" t="n"/>
      <c r="T392" s="8" t="n"/>
      <c r="U392" s="8" t="n"/>
      <c r="V392" s="8" t="n"/>
      <c r="W392" s="8" t="n"/>
      <c r="X392" s="137" t="inlineStr">
        <is>
          <t>+</t>
        </is>
      </c>
      <c r="Y392" s="138" t="inlineStr">
        <is>
          <t>+</t>
        </is>
      </c>
    </row>
    <row r="393">
      <c r="A393" s="6" t="inlineStr">
        <is>
          <t>работник 321</t>
        </is>
      </c>
      <c r="B393" s="6" t="inlineStr">
        <is>
          <t>Помощник машиниста  самоходной буровой установки (с исполнением обязанностей пробоотборщика)</t>
        </is>
      </c>
      <c r="C393" s="6" t="inlineStr">
        <is>
          <t>ОБЩЕСТВО С ОГРАНИЧЕННОЙ ОТВЕТСТВЕННОСТЬЮ "АМУР ЗОЛОТО"</t>
        </is>
      </c>
      <c r="D393" s="7" t="inlineStr">
        <is>
          <t>2708001686</t>
        </is>
      </c>
      <c r="E393" s="6" t="inlineStr">
        <is>
          <t>ООО "Амур Золото"</t>
        </is>
      </c>
      <c r="F393" s="7" t="inlineStr">
        <is>
          <t>2708001686</t>
        </is>
      </c>
      <c r="G393" s="7" t="inlineStr">
        <is>
          <t>Успешно</t>
        </is>
      </c>
      <c r="H393" s="6" t="n"/>
      <c r="I393" s="6" t="n"/>
      <c r="J393" s="6" t="inlineStr">
        <is>
          <t>Пользовательский интерфейс</t>
        </is>
      </c>
      <c r="K393" s="7" t="n">
        <v>3</v>
      </c>
      <c r="L393" s="8" t="n"/>
      <c r="M393" s="137" t="inlineStr">
        <is>
          <t>+</t>
        </is>
      </c>
      <c r="N393" s="8" t="n"/>
      <c r="O393" s="8" t="n"/>
      <c r="P393" s="8" t="n"/>
      <c r="Q393" s="8" t="n"/>
      <c r="R393" s="8" t="n"/>
      <c r="S393" s="8" t="n"/>
      <c r="T393" s="8" t="n"/>
      <c r="U393" s="8" t="n"/>
      <c r="V393" s="8" t="n"/>
      <c r="W393" s="8" t="n"/>
      <c r="X393" s="137" t="inlineStr">
        <is>
          <t>+</t>
        </is>
      </c>
      <c r="Y393" s="137" t="inlineStr">
        <is>
          <t>+</t>
        </is>
      </c>
    </row>
    <row r="394">
      <c r="A394" s="6" t="inlineStr">
        <is>
          <t>работник 463</t>
        </is>
      </c>
      <c r="B394" s="6" t="inlineStr">
        <is>
          <t>Машинист крана автомобильного</t>
        </is>
      </c>
      <c r="C394" s="6" t="inlineStr">
        <is>
          <t>ОБЩЕСТВО С ОГРАНИЧЕННОЙ ОТВЕТСТВЕННОСТЬЮ "АМУР ЗОЛОТО"</t>
        </is>
      </c>
      <c r="D394" s="7" t="inlineStr">
        <is>
          <t>2708001686</t>
        </is>
      </c>
      <c r="E394" s="6" t="inlineStr">
        <is>
          <t>ООО "Амур Золото"</t>
        </is>
      </c>
      <c r="F394" s="7" t="inlineStr">
        <is>
          <t>2708001686</t>
        </is>
      </c>
      <c r="G394" s="7" t="inlineStr">
        <is>
          <t>Успешно</t>
        </is>
      </c>
      <c r="H394" s="6" t="n"/>
      <c r="I394" s="6" t="n"/>
      <c r="J394" s="6" t="inlineStr">
        <is>
          <t>Пользовательский интерфейс</t>
        </is>
      </c>
      <c r="K394" s="7" t="n">
        <v>2</v>
      </c>
      <c r="L394" s="8" t="n"/>
      <c r="M394" s="137" t="inlineStr">
        <is>
          <t>+</t>
        </is>
      </c>
      <c r="N394" s="8" t="n"/>
      <c r="O394" s="8" t="n"/>
      <c r="P394" s="8" t="n"/>
      <c r="Q394" s="8" t="n"/>
      <c r="R394" s="8" t="n"/>
      <c r="S394" s="8" t="n"/>
      <c r="T394" s="8" t="n"/>
      <c r="U394" s="8" t="n"/>
      <c r="V394" s="8" t="n"/>
      <c r="W394" s="8" t="n"/>
      <c r="X394" s="139" t="n"/>
      <c r="Y394" s="137" t="inlineStr">
        <is>
          <t>+</t>
        </is>
      </c>
    </row>
    <row r="395">
      <c r="A395" s="6" t="inlineStr">
        <is>
          <t>работник 554</t>
        </is>
      </c>
      <c r="B395" s="6" t="inlineStr">
        <is>
          <t>Плотник</t>
        </is>
      </c>
      <c r="C395" s="6" t="inlineStr">
        <is>
          <t>ОБЩЕСТВО С ОГРАНИЧЕННОЙ ОТВЕТСТВЕННОСТЬЮ "АМУР ЗОЛОТО"</t>
        </is>
      </c>
      <c r="D395" s="7" t="inlineStr">
        <is>
          <t>2708001686</t>
        </is>
      </c>
      <c r="E395" s="6" t="inlineStr">
        <is>
          <t>ООО "Амур Золото"</t>
        </is>
      </c>
      <c r="F395" s="7" t="inlineStr">
        <is>
          <t>2708001686</t>
        </is>
      </c>
      <c r="G395" s="7" t="inlineStr">
        <is>
          <t>Успешно</t>
        </is>
      </c>
      <c r="H395" s="6" t="n"/>
      <c r="I395" s="6" t="n"/>
      <c r="J395" s="6" t="n"/>
      <c r="K395" s="7" t="n">
        <v>2</v>
      </c>
      <c r="L395" s="8" t="n"/>
      <c r="M395" s="137" t="inlineStr">
        <is>
          <t>+</t>
        </is>
      </c>
      <c r="N395" s="8" t="n"/>
      <c r="O395" s="8" t="n"/>
      <c r="P395" s="8" t="n"/>
      <c r="Q395" s="8" t="n"/>
      <c r="R395" s="8" t="n"/>
      <c r="S395" s="8" t="n"/>
      <c r="T395" s="8" t="n"/>
      <c r="U395" s="8" t="n"/>
      <c r="V395" s="8" t="n"/>
      <c r="W395" s="8" t="n"/>
      <c r="X395" s="139" t="n"/>
      <c r="Y395" s="137" t="inlineStr">
        <is>
          <t>+</t>
        </is>
      </c>
    </row>
    <row r="396">
      <c r="A396" s="6" t="inlineStr">
        <is>
          <t>работник 282</t>
        </is>
      </c>
      <c r="B396" s="6" t="inlineStr">
        <is>
          <t>Машинист бульдозера</t>
        </is>
      </c>
      <c r="C396" s="6" t="inlineStr">
        <is>
          <t>ОБЩЕСТВО С ОГРАНИЧЕННОЙ ОТВЕТСТВЕННОСТЬЮ "АМУР ЗОЛОТО"</t>
        </is>
      </c>
      <c r="D396" s="7" t="inlineStr">
        <is>
          <t>2708001686</t>
        </is>
      </c>
      <c r="E396" s="6" t="inlineStr">
        <is>
          <t>ООО "Амур Золото"</t>
        </is>
      </c>
      <c r="F396" s="7" t="inlineStr">
        <is>
          <t>2708001686</t>
        </is>
      </c>
      <c r="G396" s="7" t="inlineStr">
        <is>
          <t>Успешно</t>
        </is>
      </c>
      <c r="H396" s="6" t="n"/>
      <c r="I396" s="6" t="n"/>
      <c r="J396" s="6" t="inlineStr">
        <is>
          <t>Пользовательский интерфейс</t>
        </is>
      </c>
      <c r="K396" s="7" t="n">
        <v>3</v>
      </c>
      <c r="L396" s="8" t="n"/>
      <c r="M396" s="137" t="inlineStr">
        <is>
          <t>+</t>
        </is>
      </c>
      <c r="N396" s="8" t="n"/>
      <c r="O396" s="8" t="n"/>
      <c r="P396" s="8" t="n"/>
      <c r="Q396" s="8" t="n"/>
      <c r="R396" s="8" t="n"/>
      <c r="S396" s="8" t="n"/>
      <c r="T396" s="8" t="n"/>
      <c r="U396" s="8" t="n"/>
      <c r="V396" s="8" t="n"/>
      <c r="W396" s="8" t="n"/>
      <c r="X396" s="137" t="inlineStr">
        <is>
          <t>+</t>
        </is>
      </c>
      <c r="Y396" s="137" t="inlineStr">
        <is>
          <t>+</t>
        </is>
      </c>
    </row>
    <row r="397">
      <c r="A397" s="6" t="inlineStr">
        <is>
          <t>работник 166</t>
        </is>
      </c>
      <c r="B397" s="6" t="inlineStr">
        <is>
          <t>Машинист подземно-доставочной машины</t>
        </is>
      </c>
      <c r="C397" s="6" t="inlineStr">
        <is>
          <t>ОБЩЕСТВО С ОГРАНИЧЕННОЙ ОТВЕТСТВЕННОСТЬЮ "АМУР ЗОЛОТО"</t>
        </is>
      </c>
      <c r="D397" s="7" t="inlineStr">
        <is>
          <t>2708001686</t>
        </is>
      </c>
      <c r="E397" s="6" t="inlineStr">
        <is>
          <t>ООО "Амур Золото"</t>
        </is>
      </c>
      <c r="F397" s="7" t="inlineStr">
        <is>
          <t>2708001686</t>
        </is>
      </c>
      <c r="G397" s="7" t="inlineStr">
        <is>
          <t>Успешно</t>
        </is>
      </c>
      <c r="H397" s="6" t="n"/>
      <c r="I397" s="6" t="n"/>
      <c r="J397" s="6" t="inlineStr">
        <is>
          <t>Пользовательский интерфейс</t>
        </is>
      </c>
      <c r="K397" s="7" t="n">
        <v>3</v>
      </c>
      <c r="L397" s="8" t="n"/>
      <c r="M397" s="137" t="inlineStr">
        <is>
          <t>+</t>
        </is>
      </c>
      <c r="N397" s="8" t="n"/>
      <c r="O397" s="8" t="n"/>
      <c r="P397" s="8" t="n"/>
      <c r="Q397" s="8" t="n"/>
      <c r="R397" s="8" t="n"/>
      <c r="S397" s="8" t="n"/>
      <c r="T397" s="8" t="n"/>
      <c r="U397" s="8" t="n"/>
      <c r="V397" s="8" t="n"/>
      <c r="W397" s="8" t="n"/>
      <c r="X397" s="137" t="inlineStr">
        <is>
          <t>+</t>
        </is>
      </c>
      <c r="Y397" s="137" t="inlineStr">
        <is>
          <t>+</t>
        </is>
      </c>
    </row>
    <row r="398">
      <c r="A398" s="6" t="inlineStr">
        <is>
          <t>работник 488</t>
        </is>
      </c>
      <c r="B398" s="6" t="inlineStr">
        <is>
          <t>Машинист погрузочно-доставочной машины (занятый на транспортировании горной массы в технологическом процессе)</t>
        </is>
      </c>
      <c r="C398" s="6" t="inlineStr">
        <is>
          <t>ОБЩЕСТВО С ОГРАНИЧЕННОЙ ОТВЕТСТВЕННОСТЬЮ "АМУР ЗОЛОТО"</t>
        </is>
      </c>
      <c r="D398" s="7" t="inlineStr">
        <is>
          <t>2708001686</t>
        </is>
      </c>
      <c r="E398" s="6" t="inlineStr">
        <is>
          <t>ООО "Амур Золото"</t>
        </is>
      </c>
      <c r="F398" s="7" t="inlineStr">
        <is>
          <t>2708001686</t>
        </is>
      </c>
      <c r="G398" s="7" t="inlineStr">
        <is>
          <t>Успешно</t>
        </is>
      </c>
      <c r="H398" s="6" t="n"/>
      <c r="I398" s="6" t="n"/>
      <c r="J398" s="6" t="inlineStr">
        <is>
          <t>Пользовательский интерфейс</t>
        </is>
      </c>
      <c r="K398" s="7" t="n">
        <v>2</v>
      </c>
      <c r="L398" s="8" t="n"/>
      <c r="M398" s="137" t="inlineStr">
        <is>
          <t>+</t>
        </is>
      </c>
      <c r="N398" s="8" t="n"/>
      <c r="O398" s="8" t="n"/>
      <c r="P398" s="8" t="n"/>
      <c r="Q398" s="8" t="n"/>
      <c r="R398" s="8" t="n"/>
      <c r="S398" s="8" t="n"/>
      <c r="T398" s="8" t="n"/>
      <c r="U398" s="8" t="n"/>
      <c r="V398" s="8" t="n"/>
      <c r="W398" s="8" t="n"/>
      <c r="X398" s="139" t="n"/>
      <c r="Y398" s="137" t="inlineStr">
        <is>
          <t>+</t>
        </is>
      </c>
    </row>
    <row r="399">
      <c r="A399" s="6" t="inlineStr">
        <is>
          <t>работник 863</t>
        </is>
      </c>
      <c r="B399" s="6" t="inlineStr">
        <is>
          <t>Подсобный рабочий</t>
        </is>
      </c>
      <c r="C399" s="6" t="inlineStr">
        <is>
          <t>ОБЩЕСТВО С ОГРАНИЧЕННОЙ ОТВЕТСТВЕННОСТЬЮ "АМУР ЗОЛОТО"</t>
        </is>
      </c>
      <c r="D399" s="7" t="inlineStr">
        <is>
          <t>2708001686</t>
        </is>
      </c>
      <c r="E399" s="6" t="inlineStr">
        <is>
          <t>ООО "Амур Золото"</t>
        </is>
      </c>
      <c r="F399" s="7" t="inlineStr">
        <is>
          <t>2708001686</t>
        </is>
      </c>
      <c r="G399" s="7" t="inlineStr">
        <is>
          <t>Успешно</t>
        </is>
      </c>
      <c r="H399" s="6" t="n"/>
      <c r="I399" s="6" t="n"/>
      <c r="J399" s="6" t="inlineStr">
        <is>
          <t>Пользовательский интерфейс</t>
        </is>
      </c>
      <c r="K399" s="7" t="n">
        <v>3</v>
      </c>
      <c r="L399" s="8" t="n"/>
      <c r="M399" s="137" t="inlineStr">
        <is>
          <t>+</t>
        </is>
      </c>
      <c r="N399" s="8" t="n"/>
      <c r="O399" s="8" t="n"/>
      <c r="P399" s="8" t="n"/>
      <c r="Q399" s="8" t="n"/>
      <c r="R399" s="8" t="n"/>
      <c r="S399" s="8" t="n"/>
      <c r="T399" s="8" t="n"/>
      <c r="U399" s="8" t="n"/>
      <c r="V399" s="8" t="n"/>
      <c r="W399" s="8" t="n"/>
      <c r="X399" s="137" t="inlineStr">
        <is>
          <t>+</t>
        </is>
      </c>
      <c r="Y399" s="137" t="inlineStr">
        <is>
          <t>+</t>
        </is>
      </c>
    </row>
    <row r="400">
      <c r="A400" s="6" t="inlineStr">
        <is>
          <t>работник 444</t>
        </is>
      </c>
      <c r="B400" s="6" t="inlineStr">
        <is>
          <t>Слесарь-ремонтник / Слесарь-ремонтник (по ремонту обогатительного оборудования)</t>
        </is>
      </c>
      <c r="C400" s="6" t="inlineStr">
        <is>
          <t>ОБЩЕСТВО С ОГРАНИЧЕННОЙ ОТВЕТСТВЕННОСТЬЮ "АМУР ЗОЛОТО"</t>
        </is>
      </c>
      <c r="D400" s="7" t="inlineStr">
        <is>
          <t>2708001686</t>
        </is>
      </c>
      <c r="E400" s="6" t="inlineStr">
        <is>
          <t>ООО "Амур Золото"</t>
        </is>
      </c>
      <c r="F400" s="7" t="inlineStr">
        <is>
          <t>2708001686</t>
        </is>
      </c>
      <c r="G400" s="7" t="inlineStr">
        <is>
          <t>Успешно</t>
        </is>
      </c>
      <c r="H400" s="6" t="n"/>
      <c r="I400" s="6" t="n"/>
      <c r="J400" s="6" t="inlineStr">
        <is>
          <t>Пользовательский интерфейс</t>
        </is>
      </c>
      <c r="K400" s="7" t="n">
        <v>8</v>
      </c>
      <c r="L400" s="8" t="n"/>
      <c r="M400" s="137" t="inlineStr">
        <is>
          <t>+</t>
        </is>
      </c>
      <c r="N400" s="137" t="inlineStr">
        <is>
          <t>+</t>
        </is>
      </c>
      <c r="O400" s="137" t="inlineStr">
        <is>
          <t>+</t>
        </is>
      </c>
      <c r="P400" s="137" t="inlineStr">
        <is>
          <t>+</t>
        </is>
      </c>
      <c r="Q400" s="137" t="inlineStr">
        <is>
          <t>+</t>
        </is>
      </c>
      <c r="R400" s="137" t="inlineStr">
        <is>
          <t>+</t>
        </is>
      </c>
      <c r="S400" s="137" t="inlineStr">
        <is>
          <t>+</t>
        </is>
      </c>
      <c r="T400" s="8" t="n"/>
      <c r="U400" s="8" t="n"/>
      <c r="V400" s="8" t="n"/>
      <c r="W400" s="8" t="n"/>
      <c r="X400" s="139" t="n"/>
      <c r="Y400" s="137" t="inlineStr">
        <is>
          <t>+</t>
        </is>
      </c>
    </row>
    <row r="401">
      <c r="A401" s="6" t="inlineStr">
        <is>
          <t>работник 322</t>
        </is>
      </c>
      <c r="B401" s="6" t="inlineStr">
        <is>
          <t>Машинист  самоходной буровой установки</t>
        </is>
      </c>
      <c r="C401" s="6" t="inlineStr">
        <is>
          <t>ОБЩЕСТВО С ОГРАНИЧЕННОЙ ОТВЕТСТВЕННОСТЬЮ "АМУР ЗОЛОТО"</t>
        </is>
      </c>
      <c r="D401" s="7" t="inlineStr">
        <is>
          <t>2708001686</t>
        </is>
      </c>
      <c r="E401" s="6" t="inlineStr">
        <is>
          <t>ООО "Амур Золото"</t>
        </is>
      </c>
      <c r="F401" s="7" t="inlineStr">
        <is>
          <t>2708001686</t>
        </is>
      </c>
      <c r="G401" s="7" t="inlineStr">
        <is>
          <t>Успешно</t>
        </is>
      </c>
      <c r="H401" s="6" t="n"/>
      <c r="I401" s="6" t="n"/>
      <c r="J401" s="6" t="inlineStr">
        <is>
          <t>Пользовательский интерфейс</t>
        </is>
      </c>
      <c r="K401" s="7" t="n">
        <v>3</v>
      </c>
      <c r="L401" s="8" t="n"/>
      <c r="M401" s="137" t="inlineStr">
        <is>
          <t>+</t>
        </is>
      </c>
      <c r="N401" s="8" t="n"/>
      <c r="O401" s="8" t="n"/>
      <c r="P401" s="8" t="n"/>
      <c r="Q401" s="8" t="n"/>
      <c r="R401" s="8" t="n"/>
      <c r="S401" s="8" t="n"/>
      <c r="T401" s="8" t="n"/>
      <c r="U401" s="8" t="n"/>
      <c r="V401" s="8" t="n"/>
      <c r="W401" s="8" t="n"/>
      <c r="X401" s="137" t="inlineStr">
        <is>
          <t>+</t>
        </is>
      </c>
      <c r="Y401" s="137" t="inlineStr">
        <is>
          <t>+</t>
        </is>
      </c>
    </row>
    <row r="402">
      <c r="A402" s="6" t="inlineStr">
        <is>
          <t>работник 563</t>
        </is>
      </c>
      <c r="B402" s="6" t="inlineStr">
        <is>
          <t>Слесарь по ремонту автомобилей  (ДВС)</t>
        </is>
      </c>
      <c r="C402" s="6" t="inlineStr">
        <is>
          <t>ОБЩЕСТВО С ОГРАНИЧЕННОЙ ОТВЕТСТВЕННОСТЬЮ "АМУР ЗОЛОТО"</t>
        </is>
      </c>
      <c r="D402" s="7" t="inlineStr">
        <is>
          <t>2708001686</t>
        </is>
      </c>
      <c r="E402" s="6" t="inlineStr">
        <is>
          <t>ООО "Амур Золото"</t>
        </is>
      </c>
      <c r="F402" s="7" t="inlineStr">
        <is>
          <t>2708001686</t>
        </is>
      </c>
      <c r="G402" s="7" t="inlineStr">
        <is>
          <t>Успешно</t>
        </is>
      </c>
      <c r="H402" s="6" t="n"/>
      <c r="I402" s="6" t="n"/>
      <c r="J402" s="6" t="n"/>
      <c r="K402" s="7" t="n">
        <v>2</v>
      </c>
      <c r="L402" s="8" t="n"/>
      <c r="M402" s="137" t="inlineStr">
        <is>
          <t>+</t>
        </is>
      </c>
      <c r="N402" s="8" t="n"/>
      <c r="O402" s="8" t="n"/>
      <c r="P402" s="8" t="n"/>
      <c r="Q402" s="8" t="n"/>
      <c r="R402" s="8" t="n"/>
      <c r="S402" s="8" t="n"/>
      <c r="T402" s="8" t="n"/>
      <c r="U402" s="8" t="n"/>
      <c r="V402" s="8" t="n"/>
      <c r="W402" s="8" t="n"/>
      <c r="X402" s="139" t="n"/>
      <c r="Y402" s="137" t="inlineStr">
        <is>
          <t>+</t>
        </is>
      </c>
    </row>
    <row r="403">
      <c r="A403" s="6" t="inlineStr">
        <is>
          <t>работник 553</t>
        </is>
      </c>
      <c r="B403" s="6" t="inlineStr">
        <is>
          <t>Проходчик (с исполнением обязанностей взрывника)</t>
        </is>
      </c>
      <c r="C403" s="6" t="inlineStr">
        <is>
          <t>ОБЩЕСТВО С ОГРАНИЧЕННОЙ ОТВЕТСТВЕННОСТЬЮ "АМУР ЗОЛОТО"</t>
        </is>
      </c>
      <c r="D403" s="7" t="inlineStr">
        <is>
          <t>2708001686</t>
        </is>
      </c>
      <c r="E403" s="6" t="inlineStr">
        <is>
          <t>ООО "Амур Золото"</t>
        </is>
      </c>
      <c r="F403" s="7" t="inlineStr">
        <is>
          <t>2708001686</t>
        </is>
      </c>
      <c r="G403" s="7" t="inlineStr">
        <is>
          <t>Успешно</t>
        </is>
      </c>
      <c r="H403" s="6" t="n"/>
      <c r="I403" s="6" t="n"/>
      <c r="J403" s="6" t="n"/>
      <c r="K403" s="7" t="n">
        <v>2</v>
      </c>
      <c r="L403" s="8" t="n"/>
      <c r="M403" s="137" t="inlineStr">
        <is>
          <t>+</t>
        </is>
      </c>
      <c r="N403" s="8" t="n"/>
      <c r="O403" s="8" t="n"/>
      <c r="P403" s="8" t="n"/>
      <c r="Q403" s="8" t="n"/>
      <c r="R403" s="8" t="n"/>
      <c r="S403" s="8" t="n"/>
      <c r="T403" s="8" t="n"/>
      <c r="U403" s="8" t="n"/>
      <c r="V403" s="8" t="n"/>
      <c r="W403" s="8" t="n"/>
      <c r="X403" s="139" t="n"/>
      <c r="Y403" s="137" t="inlineStr">
        <is>
          <t>+</t>
        </is>
      </c>
    </row>
    <row r="404">
      <c r="A404" s="6" t="inlineStr">
        <is>
          <t>работник 719</t>
        </is>
      </c>
      <c r="B404" s="6" t="inlineStr">
        <is>
          <t>Водитель автомобиля (с правом управления КМУ)</t>
        </is>
      </c>
      <c r="C404" s="6" t="inlineStr">
        <is>
          <t>ОБЩЕСТВО С ОГРАНИЧЕННОЙ ОТВЕТСТВЕННОСТЬЮ "АМУР ЗОЛОТО"</t>
        </is>
      </c>
      <c r="D404" s="7" t="inlineStr">
        <is>
          <t>2708001686</t>
        </is>
      </c>
      <c r="E404" s="6" t="inlineStr">
        <is>
          <t>ООО "Амур Золото"</t>
        </is>
      </c>
      <c r="F404" s="7" t="inlineStr">
        <is>
          <t>2708001686</t>
        </is>
      </c>
      <c r="G404" s="7" t="inlineStr">
        <is>
          <t>Успешно</t>
        </is>
      </c>
      <c r="H404" s="6" t="n"/>
      <c r="I404" s="6" t="n"/>
      <c r="J404" s="6" t="inlineStr">
        <is>
          <t>Пользовательский интерфейс</t>
        </is>
      </c>
      <c r="K404" s="7" t="n">
        <v>2</v>
      </c>
      <c r="L404" s="8" t="n"/>
      <c r="M404" s="137" t="inlineStr">
        <is>
          <t>+</t>
        </is>
      </c>
      <c r="N404" s="8" t="n"/>
      <c r="O404" s="8" t="n"/>
      <c r="P404" s="8" t="n"/>
      <c r="Q404" s="8" t="n"/>
      <c r="R404" s="8" t="n"/>
      <c r="S404" s="8" t="n"/>
      <c r="T404" s="8" t="n"/>
      <c r="U404" s="8" t="n"/>
      <c r="V404" s="8" t="n"/>
      <c r="W404" s="8" t="n"/>
      <c r="X404" s="139" t="n"/>
      <c r="Y404" s="137" t="inlineStr">
        <is>
          <t>+</t>
        </is>
      </c>
    </row>
    <row r="405">
      <c r="A405" s="6" t="inlineStr">
        <is>
          <t>работник 696</t>
        </is>
      </c>
      <c r="B405" s="6" t="inlineStr">
        <is>
          <t>Инженер строительного контроля</t>
        </is>
      </c>
      <c r="C405" s="6" t="inlineStr">
        <is>
          <t>ОБЩЕСТВО С ОГРАНИЧЕННОЙ ОТВЕТСТВЕННОСТЬЮ "АМУР ЗОЛОТО"</t>
        </is>
      </c>
      <c r="D405" s="7" t="inlineStr">
        <is>
          <t>2708001686</t>
        </is>
      </c>
      <c r="E405" s="6" t="inlineStr">
        <is>
          <t>ООО "Амур Золото"</t>
        </is>
      </c>
      <c r="F405" s="7" t="inlineStr">
        <is>
          <t>2708001686</t>
        </is>
      </c>
      <c r="G405" s="7" t="inlineStr">
        <is>
          <t>Успешно</t>
        </is>
      </c>
      <c r="H405" s="6" t="n"/>
      <c r="I405" s="6" t="n"/>
      <c r="J405" s="6" t="inlineStr">
        <is>
          <t>Пользовательский интерфейс</t>
        </is>
      </c>
      <c r="K405" s="7" t="n">
        <v>2</v>
      </c>
      <c r="L405" s="8" t="n"/>
      <c r="M405" s="137" t="inlineStr">
        <is>
          <t>+</t>
        </is>
      </c>
      <c r="N405" s="8" t="n"/>
      <c r="O405" s="8" t="n"/>
      <c r="P405" s="8" t="n"/>
      <c r="Q405" s="8" t="n"/>
      <c r="R405" s="8" t="n"/>
      <c r="S405" s="8" t="n"/>
      <c r="T405" s="8" t="n"/>
      <c r="U405" s="8" t="n"/>
      <c r="V405" s="8" t="n"/>
      <c r="W405" s="8" t="n"/>
      <c r="X405" s="8" t="n"/>
      <c r="Y405" s="137" t="inlineStr">
        <is>
          <t>+</t>
        </is>
      </c>
    </row>
    <row r="406">
      <c r="A406" s="6" t="inlineStr">
        <is>
          <t>работник 482</t>
        </is>
      </c>
      <c r="B406" s="6" t="inlineStr">
        <is>
          <t>Машинист погрузочно-доставочной машины (занятый на транспортировании горной массы в технологическом процессе)</t>
        </is>
      </c>
      <c r="C406" s="6" t="inlineStr">
        <is>
          <t>ОБЩЕСТВО С ОГРАНИЧЕННОЙ ОТВЕТСТВЕННОСТЬЮ "АМУР ЗОЛОТО"</t>
        </is>
      </c>
      <c r="D406" s="7" t="inlineStr">
        <is>
          <t>2708001686</t>
        </is>
      </c>
      <c r="E406" s="6" t="inlineStr">
        <is>
          <t>ООО "Амур Золото"</t>
        </is>
      </c>
      <c r="F406" s="7" t="inlineStr">
        <is>
          <t>2708001686</t>
        </is>
      </c>
      <c r="G406" s="7" t="inlineStr">
        <is>
          <t>Успешно</t>
        </is>
      </c>
      <c r="H406" s="6" t="n"/>
      <c r="I406" s="6" t="n"/>
      <c r="J406" s="6" t="inlineStr">
        <is>
          <t>Пользовательский интерфейс</t>
        </is>
      </c>
      <c r="K406" s="7" t="n">
        <v>2</v>
      </c>
      <c r="L406" s="8" t="n"/>
      <c r="M406" s="137" t="inlineStr">
        <is>
          <t>+</t>
        </is>
      </c>
      <c r="N406" s="8" t="n"/>
      <c r="O406" s="8" t="n"/>
      <c r="P406" s="8" t="n"/>
      <c r="Q406" s="8" t="n"/>
      <c r="R406" s="8" t="n"/>
      <c r="S406" s="8" t="n"/>
      <c r="T406" s="8" t="n"/>
      <c r="U406" s="8" t="n"/>
      <c r="V406" s="8" t="n"/>
      <c r="W406" s="8" t="n"/>
      <c r="X406" s="139" t="n"/>
      <c r="Y406" s="137" t="inlineStr">
        <is>
          <t>+</t>
        </is>
      </c>
    </row>
    <row r="407">
      <c r="A407" s="6" t="inlineStr">
        <is>
          <t>работник 420</t>
        </is>
      </c>
      <c r="B407" s="6" t="inlineStr">
        <is>
          <t>Машинист двигателей внутреннего сгорания</t>
        </is>
      </c>
      <c r="C407" s="6" t="inlineStr">
        <is>
          <t>ОБЩЕСТВО С ОГРАНИЧЕННОЙ ОТВЕТСТВЕННОСТЬЮ "АМУР ЗОЛОТО"</t>
        </is>
      </c>
      <c r="D407" s="7" t="inlineStr">
        <is>
          <t>2708001686</t>
        </is>
      </c>
      <c r="E407" s="6" t="inlineStr">
        <is>
          <t>ООО "Амур Золото"</t>
        </is>
      </c>
      <c r="F407" s="7" t="inlineStr">
        <is>
          <t>2708001686</t>
        </is>
      </c>
      <c r="G407" s="7" t="inlineStr">
        <is>
          <t>Успешно</t>
        </is>
      </c>
      <c r="H407" s="6" t="n"/>
      <c r="I407" s="6" t="n"/>
      <c r="J407" s="6" t="inlineStr">
        <is>
          <t>Пользовательский интерфейс</t>
        </is>
      </c>
      <c r="K407" s="7" t="n">
        <v>2</v>
      </c>
      <c r="L407" s="8" t="n"/>
      <c r="M407" s="137" t="inlineStr">
        <is>
          <t>+</t>
        </is>
      </c>
      <c r="N407" s="8" t="n"/>
      <c r="O407" s="8" t="n"/>
      <c r="P407" s="8" t="n"/>
      <c r="Q407" s="8" t="n"/>
      <c r="R407" s="8" t="n"/>
      <c r="S407" s="8" t="n"/>
      <c r="T407" s="8" t="n"/>
      <c r="U407" s="8" t="n"/>
      <c r="V407" s="8" t="n"/>
      <c r="W407" s="8" t="n"/>
      <c r="X407" s="139" t="n"/>
      <c r="Y407" s="137" t="inlineStr">
        <is>
          <t>+</t>
        </is>
      </c>
    </row>
    <row r="408">
      <c r="A408" s="6" t="inlineStr">
        <is>
          <t>работник 167</t>
        </is>
      </c>
      <c r="B408" s="6" t="inlineStr">
        <is>
          <t>Машинист подземно-доставочной машины / Машинист погрузочно-доставочной машины (занятый на транспортировании горной массы в технологическом процессе)</t>
        </is>
      </c>
      <c r="C408" s="6" t="inlineStr">
        <is>
          <t>ОБЩЕСТВО С ОГРАНИЧЕННОЙ ОТВЕТСТВЕННОСТЬЮ "АМУР ЗОЛОТО"</t>
        </is>
      </c>
      <c r="D408" s="7" t="inlineStr">
        <is>
          <t>2708001686</t>
        </is>
      </c>
      <c r="E408" s="6" t="inlineStr">
        <is>
          <t>ООО "Амур Золото"</t>
        </is>
      </c>
      <c r="F408" s="7" t="inlineStr">
        <is>
          <t>2708001686</t>
        </is>
      </c>
      <c r="G408" s="7" t="inlineStr">
        <is>
          <t>Успешно</t>
        </is>
      </c>
      <c r="H408" s="6" t="n"/>
      <c r="I408" s="6" t="n"/>
      <c r="J408" s="6" t="inlineStr">
        <is>
          <t>Пользовательский интерфейс</t>
        </is>
      </c>
      <c r="K408" s="7" t="n">
        <v>5</v>
      </c>
      <c r="L408" s="8" t="n"/>
      <c r="M408" s="137" t="inlineStr">
        <is>
          <t>+</t>
        </is>
      </c>
      <c r="N408" s="8" t="n"/>
      <c r="O408" s="8" t="n"/>
      <c r="P408" s="8" t="n"/>
      <c r="Q408" s="8" t="n"/>
      <c r="R408" s="8" t="n"/>
      <c r="S408" s="8" t="n"/>
      <c r="T408" s="8" t="n"/>
      <c r="U408" s="8" t="n"/>
      <c r="V408" s="8" t="n"/>
      <c r="W408" s="8" t="n"/>
      <c r="X408" s="137" t="inlineStr">
        <is>
          <t>+</t>
        </is>
      </c>
      <c r="Y408" s="137" t="inlineStr">
        <is>
          <t>+</t>
        </is>
      </c>
    </row>
    <row r="409">
      <c r="A409" s="6" t="inlineStr">
        <is>
          <t>работник 644</t>
        </is>
      </c>
      <c r="B409" s="6" t="inlineStr">
        <is>
          <t>Дробильщик</t>
        </is>
      </c>
      <c r="C409" s="6" t="inlineStr">
        <is>
          <t>ОБЩЕСТВО С ОГРАНИЧЕННОЙ ОТВЕТСТВЕННОСТЬЮ "АМУР ЗОЛОТО"</t>
        </is>
      </c>
      <c r="D409" s="7" t="inlineStr">
        <is>
          <t>2708001686</t>
        </is>
      </c>
      <c r="E409" s="6" t="inlineStr">
        <is>
          <t>ООО "Амур Золото"</t>
        </is>
      </c>
      <c r="F409" s="7" t="inlineStr">
        <is>
          <t>2708001686</t>
        </is>
      </c>
      <c r="G409" s="7" t="inlineStr">
        <is>
          <t>Успешно</t>
        </is>
      </c>
      <c r="H409" s="6" t="n"/>
      <c r="I409" s="6" t="n"/>
      <c r="J409" s="6" t="inlineStr">
        <is>
          <t>Пользовательский интерфейс</t>
        </is>
      </c>
      <c r="K409" s="7" t="n">
        <v>2</v>
      </c>
      <c r="L409" s="8" t="n"/>
      <c r="M409" s="137" t="inlineStr">
        <is>
          <t>+</t>
        </is>
      </c>
      <c r="N409" s="8" t="n"/>
      <c r="O409" s="8" t="n"/>
      <c r="P409" s="8" t="n"/>
      <c r="Q409" s="8" t="n"/>
      <c r="R409" s="8" t="n"/>
      <c r="S409" s="8" t="n"/>
      <c r="T409" s="8" t="n"/>
      <c r="U409" s="8" t="n"/>
      <c r="V409" s="8" t="n"/>
      <c r="W409" s="8" t="n"/>
      <c r="X409" s="139" t="n"/>
      <c r="Y409" s="137" t="inlineStr">
        <is>
          <t>+</t>
        </is>
      </c>
    </row>
    <row r="410">
      <c r="A410" s="6" t="inlineStr">
        <is>
          <t>работник 720</t>
        </is>
      </c>
      <c r="B410" s="6" t="inlineStr">
        <is>
          <t>Помощник машиниста буровой установки</t>
        </is>
      </c>
      <c r="C410" s="6" t="inlineStr">
        <is>
          <t>ОБЩЕСТВО С ОГРАНИЧЕННОЙ ОТВЕТСТВЕННОСТЬЮ "АМУР ЗОЛОТО"</t>
        </is>
      </c>
      <c r="D410" s="7" t="inlineStr">
        <is>
          <t>2708001686</t>
        </is>
      </c>
      <c r="E410" s="6" t="inlineStr">
        <is>
          <t>ООО "Амур Золото"</t>
        </is>
      </c>
      <c r="F410" s="7" t="inlineStr">
        <is>
          <t>2708001686</t>
        </is>
      </c>
      <c r="G410" s="7" t="inlineStr">
        <is>
          <t>Успешно</t>
        </is>
      </c>
      <c r="H410" s="6" t="n"/>
      <c r="I410" s="6" t="n"/>
      <c r="J410" s="6" t="inlineStr">
        <is>
          <t>Пользовательский интерфейс</t>
        </is>
      </c>
      <c r="K410" s="7" t="n">
        <v>2</v>
      </c>
      <c r="L410" s="8" t="n"/>
      <c r="M410" s="137" t="inlineStr">
        <is>
          <t>+</t>
        </is>
      </c>
      <c r="N410" s="8" t="n"/>
      <c r="O410" s="8" t="n"/>
      <c r="P410" s="8" t="n"/>
      <c r="Q410" s="8" t="n"/>
      <c r="R410" s="8" t="n"/>
      <c r="S410" s="8" t="n"/>
      <c r="T410" s="8" t="n"/>
      <c r="U410" s="8" t="n"/>
      <c r="V410" s="8" t="n"/>
      <c r="W410" s="8" t="n"/>
      <c r="X410" s="139" t="n"/>
      <c r="Y410" s="137" t="inlineStr">
        <is>
          <t>+</t>
        </is>
      </c>
    </row>
    <row r="411">
      <c r="A411" s="6" t="inlineStr">
        <is>
          <t>работник 86</t>
        </is>
      </c>
      <c r="B411" s="6" t="inlineStr">
        <is>
          <t>Пробоотборщик</t>
        </is>
      </c>
      <c r="C411" s="6" t="inlineStr">
        <is>
          <t>ОБЩЕСТВО С ОГРАНИЧЕННОЙ ОТВЕТСТВЕННОСТЬЮ "АМУР ЗОЛОТО"</t>
        </is>
      </c>
      <c r="D411" s="7" t="inlineStr">
        <is>
          <t>2708001686</t>
        </is>
      </c>
      <c r="E411" s="6" t="inlineStr">
        <is>
          <t>ООО "Амур Золото"</t>
        </is>
      </c>
      <c r="F411" s="7" t="inlineStr">
        <is>
          <t>2708001686</t>
        </is>
      </c>
      <c r="G411" s="7" t="inlineStr">
        <is>
          <t>Успешно</t>
        </is>
      </c>
      <c r="H411" s="6" t="n"/>
      <c r="I411" s="6" t="n"/>
      <c r="J411" s="6" t="inlineStr">
        <is>
          <t>Пользовательский интерфейс</t>
        </is>
      </c>
      <c r="K411" s="7" t="n">
        <v>3</v>
      </c>
      <c r="L411" s="8" t="n"/>
      <c r="M411" s="137" t="inlineStr">
        <is>
          <t>+</t>
        </is>
      </c>
      <c r="N411" s="8" t="n"/>
      <c r="O411" s="8" t="n"/>
      <c r="P411" s="8" t="n"/>
      <c r="Q411" s="8" t="n"/>
      <c r="R411" s="8" t="n"/>
      <c r="S411" s="8" t="n"/>
      <c r="T411" s="8" t="n"/>
      <c r="U411" s="8" t="n"/>
      <c r="V411" s="8" t="n"/>
      <c r="W411" s="8" t="n"/>
      <c r="X411" s="137" t="inlineStr">
        <is>
          <t>+</t>
        </is>
      </c>
      <c r="Y411" s="137" t="inlineStr">
        <is>
          <t>+</t>
        </is>
      </c>
    </row>
    <row r="412">
      <c r="A412" s="6" t="inlineStr">
        <is>
          <t>работник 792</t>
        </is>
      </c>
      <c r="B412" s="6" t="inlineStr">
        <is>
          <t>Машинист экскаватора</t>
        </is>
      </c>
      <c r="C412" s="6" t="inlineStr">
        <is>
          <t>ОБЩЕСТВО С ОГРАНИЧЕННОЙ ОТВЕТСТВЕННОСТЬЮ "АМУР ЗОЛОТО"</t>
        </is>
      </c>
      <c r="D412" s="7" t="inlineStr">
        <is>
          <t>2708001686</t>
        </is>
      </c>
      <c r="E412" s="6" t="inlineStr">
        <is>
          <t>ООО "Амур Золото"</t>
        </is>
      </c>
      <c r="F412" s="7" t="inlineStr">
        <is>
          <t>2708001686</t>
        </is>
      </c>
      <c r="G412" s="7" t="inlineStr">
        <is>
          <t>Успешно</t>
        </is>
      </c>
      <c r="H412" s="6" t="n"/>
      <c r="I412" s="6" t="n"/>
      <c r="J412" s="6" t="inlineStr">
        <is>
          <t>Пользовательский интерфейс</t>
        </is>
      </c>
      <c r="K412" s="7" t="n">
        <v>3</v>
      </c>
      <c r="L412" s="8" t="n"/>
      <c r="M412" s="137" t="inlineStr">
        <is>
          <t>+</t>
        </is>
      </c>
      <c r="N412" s="8" t="n"/>
      <c r="O412" s="8" t="n"/>
      <c r="P412" s="8" t="n"/>
      <c r="Q412" s="8" t="n"/>
      <c r="R412" s="8" t="n"/>
      <c r="S412" s="8" t="n"/>
      <c r="T412" s="8" t="n"/>
      <c r="U412" s="8" t="n"/>
      <c r="V412" s="8" t="n"/>
      <c r="W412" s="8" t="n"/>
      <c r="X412" s="137" t="inlineStr">
        <is>
          <t>+</t>
        </is>
      </c>
      <c r="Y412" s="137" t="inlineStr">
        <is>
          <t>+</t>
        </is>
      </c>
    </row>
    <row r="413">
      <c r="A413" s="6" t="inlineStr">
        <is>
          <t>работник 70</t>
        </is>
      </c>
      <c r="B413" s="6" t="inlineStr">
        <is>
          <t>Оператор дизельных котлов / Подсобный рабочий</t>
        </is>
      </c>
      <c r="C413" s="6" t="inlineStr">
        <is>
          <t>ОБЩЕСТВО С ОГРАНИЧЕННОЙ ОТВЕТСТВЕННОСТЬЮ "АМУР ЗОЛОТО"</t>
        </is>
      </c>
      <c r="D413" s="7" t="inlineStr">
        <is>
          <t>2708001686</t>
        </is>
      </c>
      <c r="E413" s="6" t="inlineStr">
        <is>
          <t>ООО "Амур Золото"</t>
        </is>
      </c>
      <c r="F413" s="7" t="inlineStr">
        <is>
          <t>2708001686</t>
        </is>
      </c>
      <c r="G413" s="7" t="inlineStr">
        <is>
          <t>Успешно</t>
        </is>
      </c>
      <c r="H413" s="6" t="n"/>
      <c r="I413" s="6" t="n"/>
      <c r="J413" s="6" t="inlineStr">
        <is>
          <t>Пользовательский интерфейс</t>
        </is>
      </c>
      <c r="K413" s="7" t="n">
        <v>8</v>
      </c>
      <c r="L413" s="8" t="n"/>
      <c r="M413" s="137" t="inlineStr">
        <is>
          <t>+</t>
        </is>
      </c>
      <c r="N413" s="8" t="n"/>
      <c r="O413" s="8" t="n"/>
      <c r="P413" s="8" t="n"/>
      <c r="Q413" s="8" t="n"/>
      <c r="R413" s="8" t="n"/>
      <c r="S413" s="8" t="n"/>
      <c r="T413" s="8" t="n"/>
      <c r="U413" s="8" t="n"/>
      <c r="V413" s="8" t="n"/>
      <c r="W413" s="8" t="n"/>
      <c r="X413" s="137" t="inlineStr">
        <is>
          <t>+</t>
        </is>
      </c>
      <c r="Y413" s="137" t="inlineStr">
        <is>
          <t>+</t>
        </is>
      </c>
    </row>
    <row r="414">
      <c r="A414" s="6" t="inlineStr">
        <is>
          <t>работник 456</t>
        </is>
      </c>
      <c r="B414" s="6" t="inlineStr">
        <is>
          <t>Подсобный рабочий</t>
        </is>
      </c>
      <c r="C414" s="6" t="inlineStr">
        <is>
          <t>ОБЩЕСТВО С ОГРАНИЧЕННОЙ ОТВЕТСТВЕННОСТЬЮ "АМУР ЗОЛОТО"</t>
        </is>
      </c>
      <c r="D414" s="7" t="inlineStr">
        <is>
          <t>2708001686</t>
        </is>
      </c>
      <c r="E414" s="6" t="inlineStr">
        <is>
          <t>ООО "Амур Золото"</t>
        </is>
      </c>
      <c r="F414" s="7" t="inlineStr">
        <is>
          <t>2708001686</t>
        </is>
      </c>
      <c r="G414" s="7" t="inlineStr">
        <is>
          <t>Успешно</t>
        </is>
      </c>
      <c r="H414" s="6" t="n"/>
      <c r="I414" s="6" t="n"/>
      <c r="J414" s="6" t="inlineStr">
        <is>
          <t>Пользовательский интерфейс</t>
        </is>
      </c>
      <c r="K414" s="7" t="n">
        <v>2</v>
      </c>
      <c r="L414" s="8" t="n"/>
      <c r="M414" s="137" t="inlineStr">
        <is>
          <t>+</t>
        </is>
      </c>
      <c r="N414" s="8" t="n"/>
      <c r="O414" s="8" t="n"/>
      <c r="P414" s="8" t="n"/>
      <c r="Q414" s="8" t="n"/>
      <c r="R414" s="8" t="n"/>
      <c r="S414" s="8" t="n"/>
      <c r="T414" s="8" t="n"/>
      <c r="U414" s="8" t="n"/>
      <c r="V414" s="8" t="n"/>
      <c r="W414" s="8" t="n"/>
      <c r="X414" s="139" t="n"/>
      <c r="Y414" s="137" t="inlineStr">
        <is>
          <t>+</t>
        </is>
      </c>
    </row>
    <row r="415">
      <c r="A415" s="6" t="inlineStr">
        <is>
          <t>работник 797</t>
        </is>
      </c>
      <c r="B415" s="6" t="inlineStr">
        <is>
          <t>Водитель автомобиля (категория D)</t>
        </is>
      </c>
      <c r="C415" s="6" t="inlineStr">
        <is>
          <t>ОБЩЕСТВО С ОГРАНИЧЕННОЙ ОТВЕТСТВЕННОСТЬЮ "АМУР ЗОЛОТО"</t>
        </is>
      </c>
      <c r="D415" s="7" t="inlineStr">
        <is>
          <t>2708001686</t>
        </is>
      </c>
      <c r="E415" s="6" t="inlineStr">
        <is>
          <t>ООО "Амур Золото"</t>
        </is>
      </c>
      <c r="F415" s="7" t="inlineStr">
        <is>
          <t>2708001686</t>
        </is>
      </c>
      <c r="G415" s="7" t="inlineStr">
        <is>
          <t>Успешно</t>
        </is>
      </c>
      <c r="H415" s="6" t="n"/>
      <c r="I415" s="6" t="n"/>
      <c r="J415" s="6" t="inlineStr">
        <is>
          <t>Пользовательский интерфейс</t>
        </is>
      </c>
      <c r="K415" s="7" t="n">
        <v>3</v>
      </c>
      <c r="L415" s="8" t="n"/>
      <c r="M415" s="137" t="inlineStr">
        <is>
          <t>+</t>
        </is>
      </c>
      <c r="N415" s="8" t="n"/>
      <c r="O415" s="8" t="n"/>
      <c r="P415" s="8" t="n"/>
      <c r="Q415" s="8" t="n"/>
      <c r="R415" s="8" t="n"/>
      <c r="S415" s="8" t="n"/>
      <c r="T415" s="8" t="n"/>
      <c r="U415" s="8" t="n"/>
      <c r="V415" s="8" t="n"/>
      <c r="W415" s="8" t="n"/>
      <c r="X415" s="137" t="inlineStr">
        <is>
          <t>+</t>
        </is>
      </c>
      <c r="Y415" s="138" t="inlineStr">
        <is>
          <t>+</t>
        </is>
      </c>
    </row>
    <row r="416">
      <c r="A416" s="6" t="inlineStr">
        <is>
          <t>работник 559</t>
        </is>
      </c>
      <c r="B416" s="6" t="inlineStr">
        <is>
          <t>Весовщик</t>
        </is>
      </c>
      <c r="C416" s="6" t="inlineStr">
        <is>
          <t>ОБЩЕСТВО С ОГРАНИЧЕННОЙ ОТВЕТСТВЕННОСТЬЮ "АМУР ЗОЛОТО"</t>
        </is>
      </c>
      <c r="D416" s="7" t="inlineStr">
        <is>
          <t>2708001686</t>
        </is>
      </c>
      <c r="E416" s="6" t="inlineStr">
        <is>
          <t>ООО "Амур Золото"</t>
        </is>
      </c>
      <c r="F416" s="7" t="inlineStr">
        <is>
          <t>2708001686</t>
        </is>
      </c>
      <c r="G416" s="7" t="inlineStr">
        <is>
          <t>Успешно</t>
        </is>
      </c>
      <c r="H416" s="6" t="n"/>
      <c r="I416" s="6" t="n"/>
      <c r="J416" s="6" t="n"/>
      <c r="K416" s="7" t="n">
        <v>2</v>
      </c>
      <c r="L416" s="8" t="n"/>
      <c r="M416" s="137" t="inlineStr">
        <is>
          <t>+</t>
        </is>
      </c>
      <c r="N416" s="8" t="n"/>
      <c r="O416" s="8" t="n"/>
      <c r="P416" s="8" t="n"/>
      <c r="Q416" s="8" t="n"/>
      <c r="R416" s="8" t="n"/>
      <c r="S416" s="8" t="n"/>
      <c r="T416" s="8" t="n"/>
      <c r="U416" s="8" t="n"/>
      <c r="V416" s="8" t="n"/>
      <c r="W416" s="8" t="n"/>
      <c r="X416" s="139" t="n"/>
      <c r="Y416" s="137" t="inlineStr">
        <is>
          <t>+</t>
        </is>
      </c>
    </row>
    <row r="417">
      <c r="A417" s="6" t="inlineStr">
        <is>
          <t>работник 499</t>
        </is>
      </c>
      <c r="B417" s="6" t="inlineStr">
        <is>
          <t>Повар</t>
        </is>
      </c>
      <c r="C417" s="6" t="inlineStr">
        <is>
          <t>ОБЩЕСТВО С ОГРАНИЧЕННОЙ ОТВЕТСТВЕННОСТЬЮ "АМУР ЗОЛОТО"</t>
        </is>
      </c>
      <c r="D417" s="7" t="inlineStr">
        <is>
          <t>2708001686</t>
        </is>
      </c>
      <c r="E417" s="6" t="inlineStr">
        <is>
          <t>ООО "Амур Золото"</t>
        </is>
      </c>
      <c r="F417" s="7" t="inlineStr">
        <is>
          <t>2708001686</t>
        </is>
      </c>
      <c r="G417" s="7" t="inlineStr">
        <is>
          <t>Успешно</t>
        </is>
      </c>
      <c r="H417" s="6" t="n"/>
      <c r="I417" s="6" t="n"/>
      <c r="J417" s="6" t="inlineStr">
        <is>
          <t>Пользовательский интерфейс</t>
        </is>
      </c>
      <c r="K417" s="7" t="n">
        <v>2</v>
      </c>
      <c r="L417" s="8" t="n"/>
      <c r="M417" s="137" t="inlineStr">
        <is>
          <t>+</t>
        </is>
      </c>
      <c r="N417" s="8" t="n"/>
      <c r="O417" s="8" t="n"/>
      <c r="P417" s="8" t="n"/>
      <c r="Q417" s="8" t="n"/>
      <c r="R417" s="8" t="n"/>
      <c r="S417" s="8" t="n"/>
      <c r="T417" s="8" t="n"/>
      <c r="U417" s="8" t="n"/>
      <c r="V417" s="8" t="n"/>
      <c r="W417" s="8" t="n"/>
      <c r="X417" s="139" t="n"/>
      <c r="Y417" s="138" t="inlineStr">
        <is>
          <t>+</t>
        </is>
      </c>
    </row>
    <row r="418">
      <c r="A418" s="6" t="inlineStr">
        <is>
          <t>работник 500</t>
        </is>
      </c>
      <c r="B418" s="6" t="inlineStr">
        <is>
          <t>Кухонный рабочий</t>
        </is>
      </c>
      <c r="C418" s="6" t="inlineStr">
        <is>
          <t>ОБЩЕСТВО С ОГРАНИЧЕННОЙ ОТВЕТСТВЕННОСТЬЮ "АМУР ЗОЛОТО"</t>
        </is>
      </c>
      <c r="D418" s="7" t="inlineStr">
        <is>
          <t>2708001686</t>
        </is>
      </c>
      <c r="E418" s="6" t="inlineStr">
        <is>
          <t>ООО "Амур Золото"</t>
        </is>
      </c>
      <c r="F418" s="7" t="inlineStr">
        <is>
          <t>2708001686</t>
        </is>
      </c>
      <c r="G418" s="7" t="inlineStr">
        <is>
          <t>Успешно</t>
        </is>
      </c>
      <c r="H418" s="6" t="n"/>
      <c r="I418" s="6" t="n"/>
      <c r="J418" s="6" t="inlineStr">
        <is>
          <t>Пользовательский интерфейс</t>
        </is>
      </c>
      <c r="K418" s="7" t="n">
        <v>2</v>
      </c>
      <c r="L418" s="8" t="n"/>
      <c r="M418" s="137" t="inlineStr">
        <is>
          <t>+</t>
        </is>
      </c>
      <c r="N418" s="8" t="n"/>
      <c r="O418" s="8" t="n"/>
      <c r="P418" s="8" t="n"/>
      <c r="Q418" s="8" t="n"/>
      <c r="R418" s="8" t="n"/>
      <c r="S418" s="8" t="n"/>
      <c r="T418" s="8" t="n"/>
      <c r="U418" s="8" t="n"/>
      <c r="V418" s="8" t="n"/>
      <c r="W418" s="8" t="n"/>
      <c r="X418" s="139" t="n"/>
      <c r="Y418" s="138" t="inlineStr">
        <is>
          <t>+</t>
        </is>
      </c>
    </row>
    <row r="419">
      <c r="A419" s="6" t="inlineStr">
        <is>
          <t>работник 101</t>
        </is>
      </c>
      <c r="B419" s="6" t="inlineStr">
        <is>
          <t>Повар</t>
        </is>
      </c>
      <c r="C419" s="6" t="inlineStr">
        <is>
          <t>ОБЩЕСТВО С ОГРАНИЧЕННОЙ ОТВЕТСТВЕННОСТЬЮ "АМУР ЗОЛОТО"</t>
        </is>
      </c>
      <c r="D419" s="7" t="inlineStr">
        <is>
          <t>2708001686</t>
        </is>
      </c>
      <c r="E419" s="6" t="inlineStr">
        <is>
          <t>ООО "Амур Золото"</t>
        </is>
      </c>
      <c r="F419" s="7" t="inlineStr">
        <is>
          <t>2708001686</t>
        </is>
      </c>
      <c r="G419" s="7" t="inlineStr">
        <is>
          <t>Успешно</t>
        </is>
      </c>
      <c r="H419" s="6" t="n"/>
      <c r="I419" s="6" t="n"/>
      <c r="J419" s="6" t="inlineStr">
        <is>
          <t>Пользовательский интерфейс</t>
        </is>
      </c>
      <c r="K419" s="7" t="n">
        <v>3</v>
      </c>
      <c r="L419" s="8" t="n"/>
      <c r="M419" s="137" t="inlineStr">
        <is>
          <t>+</t>
        </is>
      </c>
      <c r="N419" s="8" t="n"/>
      <c r="O419" s="8" t="n"/>
      <c r="P419" s="8" t="n"/>
      <c r="Q419" s="8" t="n"/>
      <c r="R419" s="8" t="n"/>
      <c r="S419" s="8" t="n"/>
      <c r="T419" s="8" t="n"/>
      <c r="U419" s="8" t="n"/>
      <c r="V419" s="8" t="n"/>
      <c r="W419" s="8" t="n"/>
      <c r="X419" s="137" t="inlineStr">
        <is>
          <t>+</t>
        </is>
      </c>
      <c r="Y419" s="138" t="inlineStr">
        <is>
          <t>+</t>
        </is>
      </c>
    </row>
    <row r="420">
      <c r="A420" s="6" t="inlineStr">
        <is>
          <t>работник 697</t>
        </is>
      </c>
      <c r="B420" s="6" t="inlineStr">
        <is>
          <t>Бетонщик</t>
        </is>
      </c>
      <c r="C420" s="6" t="inlineStr">
        <is>
          <t>ОБЩЕСТВО С ОГРАНИЧЕННОЙ ОТВЕТСТВЕННОСТЬЮ "АМУР ЗОЛОТО"</t>
        </is>
      </c>
      <c r="D420" s="7" t="inlineStr">
        <is>
          <t>2708001686</t>
        </is>
      </c>
      <c r="E420" s="6" t="inlineStr">
        <is>
          <t>ООО "Амур Золото"</t>
        </is>
      </c>
      <c r="F420" s="7" t="inlineStr">
        <is>
          <t>2708001686</t>
        </is>
      </c>
      <c r="G420" s="7" t="inlineStr">
        <is>
          <t>Успешно</t>
        </is>
      </c>
      <c r="H420" s="6" t="n"/>
      <c r="I420" s="6" t="n"/>
      <c r="J420" s="6" t="inlineStr">
        <is>
          <t>Пользовательский интерфейс</t>
        </is>
      </c>
      <c r="K420" s="7" t="n">
        <v>2</v>
      </c>
      <c r="L420" s="8" t="n"/>
      <c r="M420" s="137" t="inlineStr">
        <is>
          <t>+</t>
        </is>
      </c>
      <c r="N420" s="8" t="n"/>
      <c r="O420" s="8" t="n"/>
      <c r="P420" s="8" t="n"/>
      <c r="Q420" s="8" t="n"/>
      <c r="R420" s="8" t="n"/>
      <c r="S420" s="8" t="n"/>
      <c r="T420" s="8" t="n"/>
      <c r="U420" s="8" t="n"/>
      <c r="V420" s="8" t="n"/>
      <c r="W420" s="8" t="n"/>
      <c r="X420" s="139" t="n"/>
      <c r="Y420" s="137" t="inlineStr">
        <is>
          <t>+</t>
        </is>
      </c>
    </row>
    <row r="421">
      <c r="A421" s="6" t="inlineStr">
        <is>
          <t>работник 698</t>
        </is>
      </c>
      <c r="B421" s="6" t="inlineStr">
        <is>
          <t>Бетонщик</t>
        </is>
      </c>
      <c r="C421" s="6" t="inlineStr">
        <is>
          <t>ОБЩЕСТВО С ОГРАНИЧЕННОЙ ОТВЕТСТВЕННОСТЬЮ "АМУР ЗОЛОТО"</t>
        </is>
      </c>
      <c r="D421" s="7" t="inlineStr">
        <is>
          <t>2708001686</t>
        </is>
      </c>
      <c r="E421" s="6" t="inlineStr">
        <is>
          <t>ООО "Амур Золото"</t>
        </is>
      </c>
      <c r="F421" s="7" t="inlineStr">
        <is>
          <t>2708001686</t>
        </is>
      </c>
      <c r="G421" s="7" t="inlineStr">
        <is>
          <t>Успешно</t>
        </is>
      </c>
      <c r="H421" s="6" t="n"/>
      <c r="I421" s="6" t="n"/>
      <c r="J421" s="6" t="inlineStr">
        <is>
          <t>Пользовательский интерфейс</t>
        </is>
      </c>
      <c r="K421" s="7" t="n">
        <v>2</v>
      </c>
      <c r="L421" s="8" t="n"/>
      <c r="M421" s="137" t="inlineStr">
        <is>
          <t>+</t>
        </is>
      </c>
      <c r="N421" s="8" t="n"/>
      <c r="O421" s="8" t="n"/>
      <c r="P421" s="8" t="n"/>
      <c r="Q421" s="8" t="n"/>
      <c r="R421" s="8" t="n"/>
      <c r="S421" s="8" t="n"/>
      <c r="T421" s="8" t="n"/>
      <c r="U421" s="8" t="n"/>
      <c r="V421" s="8" t="n"/>
      <c r="W421" s="8" t="n"/>
      <c r="X421" s="139" t="n"/>
      <c r="Y421" s="137" t="inlineStr">
        <is>
          <t>+</t>
        </is>
      </c>
    </row>
    <row r="422">
      <c r="A422" s="6" t="inlineStr">
        <is>
          <t>работник 31</t>
        </is>
      </c>
      <c r="B422" s="6" t="inlineStr">
        <is>
          <t>Электромонтер по ремонту и обслуживанию электрооборудованию / Электромонтер по ремонту и обслуживанию электрооборудования / Электромантер</t>
        </is>
      </c>
      <c r="C422" s="6" t="inlineStr">
        <is>
          <t>ОБЩЕСТВО С ОГРАНИЧЕННОЙ ОТВЕТСТВЕННОСТЬЮ "АМУР ЗОЛОТО"</t>
        </is>
      </c>
      <c r="D422" s="7" t="inlineStr">
        <is>
          <t>2708001686</t>
        </is>
      </c>
      <c r="E422" s="6" t="inlineStr">
        <is>
          <t>ООО "Амур Золото"</t>
        </is>
      </c>
      <c r="F422" s="7" t="inlineStr">
        <is>
          <t>2708001686</t>
        </is>
      </c>
      <c r="G422" s="7" t="inlineStr">
        <is>
          <t>Успешно</t>
        </is>
      </c>
      <c r="H422" s="6" t="n"/>
      <c r="I422" s="6" t="n"/>
      <c r="J422" s="6" t="inlineStr">
        <is>
          <t>Пользовательский интерфейс</t>
        </is>
      </c>
      <c r="K422" s="7" t="n">
        <v>14</v>
      </c>
      <c r="L422" s="8" t="n"/>
      <c r="M422" s="137" t="inlineStr">
        <is>
          <t>+</t>
        </is>
      </c>
      <c r="N422" s="137" t="inlineStr">
        <is>
          <t>+</t>
        </is>
      </c>
      <c r="O422" s="137" t="inlineStr">
        <is>
          <t>+</t>
        </is>
      </c>
      <c r="P422" s="137" t="inlineStr">
        <is>
          <t>+</t>
        </is>
      </c>
      <c r="Q422" s="137" t="inlineStr">
        <is>
          <t>+</t>
        </is>
      </c>
      <c r="R422" s="137" t="inlineStr">
        <is>
          <t>+</t>
        </is>
      </c>
      <c r="S422" s="137" t="inlineStr">
        <is>
          <t>+</t>
        </is>
      </c>
      <c r="T422" s="137" t="inlineStr">
        <is>
          <t>+</t>
        </is>
      </c>
      <c r="U422" s="8" t="n"/>
      <c r="V422" s="8" t="n"/>
      <c r="W422" s="8" t="n"/>
      <c r="X422" s="137" t="inlineStr">
        <is>
          <t>+</t>
        </is>
      </c>
      <c r="Y422" s="137" t="inlineStr">
        <is>
          <t>+</t>
        </is>
      </c>
    </row>
    <row r="423">
      <c r="A423" s="6" t="inlineStr">
        <is>
          <t>работник 398</t>
        </is>
      </c>
      <c r="B423" s="6" t="inlineStr">
        <is>
          <t>Водитель автомобиля (занятый на транспортировании горной массы в технологическом процессе) / Машинист крана автомобильного</t>
        </is>
      </c>
      <c r="C423" s="6" t="inlineStr">
        <is>
          <t>ОБЩЕСТВО С ОГРАНИЧЕННОЙ ОТВЕТСТВЕННОСТЬЮ "АМУР ЗОЛОТО"</t>
        </is>
      </c>
      <c r="D423" s="7" t="inlineStr">
        <is>
          <t>2708001686</t>
        </is>
      </c>
      <c r="E423" s="6" t="inlineStr">
        <is>
          <t>ООО "Амур Золото"</t>
        </is>
      </c>
      <c r="F423" s="7" t="inlineStr">
        <is>
          <t>2708001686</t>
        </is>
      </c>
      <c r="G423" s="7" t="inlineStr">
        <is>
          <t>Успешно</t>
        </is>
      </c>
      <c r="H423" s="6" t="n"/>
      <c r="I423" s="6" t="n"/>
      <c r="J423" s="6" t="inlineStr">
        <is>
          <t>Пользовательский интерфейс</t>
        </is>
      </c>
      <c r="K423" s="7" t="n">
        <v>3</v>
      </c>
      <c r="L423" s="8" t="n"/>
      <c r="M423" s="137" t="inlineStr">
        <is>
          <t>+</t>
        </is>
      </c>
      <c r="N423" s="8" t="n"/>
      <c r="O423" s="8" t="n"/>
      <c r="P423" s="8" t="n"/>
      <c r="Q423" s="8" t="n"/>
      <c r="R423" s="8" t="n"/>
      <c r="S423" s="8" t="n"/>
      <c r="T423" s="8" t="n"/>
      <c r="U423" s="8" t="n"/>
      <c r="V423" s="8" t="n"/>
      <c r="W423" s="8" t="n"/>
      <c r="X423" s="137" t="inlineStr">
        <is>
          <t>+</t>
        </is>
      </c>
      <c r="Y423" s="137" t="inlineStr">
        <is>
          <t>+</t>
        </is>
      </c>
    </row>
    <row r="424">
      <c r="A424" s="6" t="inlineStr">
        <is>
          <t>работник 458</t>
        </is>
      </c>
      <c r="B424" s="6" t="inlineStr">
        <is>
          <t>Подсобный рабочий</t>
        </is>
      </c>
      <c r="C424" s="6" t="inlineStr">
        <is>
          <t>ОБЩЕСТВО С ОГРАНИЧЕННОЙ ОТВЕТСТВЕННОСТЬЮ "АМУР ЗОЛОТО"</t>
        </is>
      </c>
      <c r="D424" s="7" t="inlineStr">
        <is>
          <t>2708001686</t>
        </is>
      </c>
      <c r="E424" s="6" t="inlineStr">
        <is>
          <t>ООО "Амур Золото"</t>
        </is>
      </c>
      <c r="F424" s="7" t="inlineStr">
        <is>
          <t>2708001686</t>
        </is>
      </c>
      <c r="G424" s="7" t="inlineStr">
        <is>
          <t>Успешно</t>
        </is>
      </c>
      <c r="H424" s="6" t="n"/>
      <c r="I424" s="6" t="n"/>
      <c r="J424" s="6" t="inlineStr">
        <is>
          <t>Пользовательский интерфейс</t>
        </is>
      </c>
      <c r="K424" s="7" t="n">
        <v>2</v>
      </c>
      <c r="L424" s="8" t="n"/>
      <c r="M424" s="137" t="inlineStr">
        <is>
          <t>+</t>
        </is>
      </c>
      <c r="N424" s="8" t="n"/>
      <c r="O424" s="8" t="n"/>
      <c r="P424" s="8" t="n"/>
      <c r="Q424" s="8" t="n"/>
      <c r="R424" s="8" t="n"/>
      <c r="S424" s="8" t="n"/>
      <c r="T424" s="8" t="n"/>
      <c r="U424" s="8" t="n"/>
      <c r="V424" s="8" t="n"/>
      <c r="W424" s="8" t="n"/>
      <c r="X424" s="139" t="n"/>
      <c r="Y424" s="137" t="inlineStr">
        <is>
          <t>+</t>
        </is>
      </c>
    </row>
    <row r="425">
      <c r="A425" s="6" t="inlineStr">
        <is>
          <t>работник 132</t>
        </is>
      </c>
      <c r="B425" s="6" t="inlineStr">
        <is>
          <t>Электрогазосварщик / Электрогазосварщик (занятый на резке и ручной сварке) / Электрогазосварщик, занятый на резке и ручной сварке</t>
        </is>
      </c>
      <c r="C425" s="6" t="inlineStr">
        <is>
          <t>ОБЩЕСТВО С ОГРАНИЧЕННОЙ ОТВЕТСТВЕННОСТЬЮ "АМУР ЗОЛОТО"</t>
        </is>
      </c>
      <c r="D425" s="7" t="inlineStr">
        <is>
          <t>2708001686</t>
        </is>
      </c>
      <c r="E425" s="6" t="inlineStr">
        <is>
          <t>ООО "Амур Золото"</t>
        </is>
      </c>
      <c r="F425" s="7" t="inlineStr">
        <is>
          <t>2708001686</t>
        </is>
      </c>
      <c r="G425" s="7" t="inlineStr">
        <is>
          <t>Успешно</t>
        </is>
      </c>
      <c r="H425" s="6" t="n"/>
      <c r="I425" s="6" t="n"/>
      <c r="J425" s="6" t="inlineStr">
        <is>
          <t>Пользовательский интерфейс</t>
        </is>
      </c>
      <c r="K425" s="7" t="n">
        <v>18</v>
      </c>
      <c r="L425" s="8" t="n"/>
      <c r="M425" s="137" t="inlineStr">
        <is>
          <t>+</t>
        </is>
      </c>
      <c r="N425" s="137" t="inlineStr">
        <is>
          <t>+</t>
        </is>
      </c>
      <c r="O425" s="137" t="inlineStr">
        <is>
          <t>+</t>
        </is>
      </c>
      <c r="P425" s="137" t="inlineStr">
        <is>
          <t>+</t>
        </is>
      </c>
      <c r="Q425" s="137" t="inlineStr">
        <is>
          <t>+</t>
        </is>
      </c>
      <c r="R425" s="137" t="inlineStr">
        <is>
          <t>+</t>
        </is>
      </c>
      <c r="S425" s="137" t="inlineStr">
        <is>
          <t>+</t>
        </is>
      </c>
      <c r="T425" s="8" t="n"/>
      <c r="U425" s="8" t="n"/>
      <c r="V425" s="8" t="n"/>
      <c r="W425" s="8" t="n"/>
      <c r="X425" s="137" t="inlineStr">
        <is>
          <t>+</t>
        </is>
      </c>
      <c r="Y425" s="137" t="inlineStr">
        <is>
          <t>+</t>
        </is>
      </c>
    </row>
    <row r="426">
      <c r="A426" s="6" t="inlineStr">
        <is>
          <t>работник 133</t>
        </is>
      </c>
      <c r="B426" s="6" t="inlineStr">
        <is>
          <t>Электрогазосварщик (занятый на резке и ручной сварке) / Электрогазосварщик</t>
        </is>
      </c>
      <c r="C426" s="6" t="inlineStr">
        <is>
          <t>ОБЩЕСТВО С ОГРАНИЧЕННОЙ ОТВЕТСТВЕННОСТЬЮ "АМУР ЗОЛОТО"</t>
        </is>
      </c>
      <c r="D426" s="7" t="inlineStr">
        <is>
          <t>2708001686</t>
        </is>
      </c>
      <c r="E426" s="6" t="inlineStr">
        <is>
          <t>ООО "Амур Золото"</t>
        </is>
      </c>
      <c r="F426" s="7" t="inlineStr">
        <is>
          <t>2708001686</t>
        </is>
      </c>
      <c r="G426" s="7" t="inlineStr">
        <is>
          <t>Успешно</t>
        </is>
      </c>
      <c r="H426" s="6" t="n"/>
      <c r="I426" s="6" t="n"/>
      <c r="J426" s="6" t="inlineStr">
        <is>
          <t>Пользовательский интерфейс</t>
        </is>
      </c>
      <c r="K426" s="7" t="n">
        <v>20</v>
      </c>
      <c r="L426" s="8" t="n"/>
      <c r="M426" s="137" t="inlineStr">
        <is>
          <t>+</t>
        </is>
      </c>
      <c r="N426" s="137" t="inlineStr">
        <is>
          <t>+</t>
        </is>
      </c>
      <c r="O426" s="137" t="inlineStr">
        <is>
          <t>+</t>
        </is>
      </c>
      <c r="P426" s="137" t="inlineStr">
        <is>
          <t>+</t>
        </is>
      </c>
      <c r="Q426" s="137" t="inlineStr">
        <is>
          <t>+</t>
        </is>
      </c>
      <c r="R426" s="137" t="inlineStr">
        <is>
          <t>+</t>
        </is>
      </c>
      <c r="S426" s="137" t="inlineStr">
        <is>
          <t>+</t>
        </is>
      </c>
      <c r="T426" s="8" t="n"/>
      <c r="U426" s="8" t="n"/>
      <c r="V426" s="8" t="n"/>
      <c r="W426" s="8" t="n"/>
      <c r="X426" s="137" t="inlineStr">
        <is>
          <t>+</t>
        </is>
      </c>
      <c r="Y426" s="137" t="inlineStr">
        <is>
          <t>+</t>
        </is>
      </c>
    </row>
    <row r="427">
      <c r="A427" s="6" t="inlineStr">
        <is>
          <t>работник 678</t>
        </is>
      </c>
      <c r="B427" s="6" t="inlineStr">
        <is>
          <t>Контролёр продукции обогащения</t>
        </is>
      </c>
      <c r="C427" s="6" t="inlineStr">
        <is>
          <t>ОБЩЕСТВО С ОГРАНИЧЕННОЙ ОТВЕТСТВЕННОСТЬЮ "АМУР ЗОЛОТО"</t>
        </is>
      </c>
      <c r="D427" s="7" t="inlineStr">
        <is>
          <t>2708001686</t>
        </is>
      </c>
      <c r="E427" s="6" t="inlineStr">
        <is>
          <t>ООО "Амур Золото"</t>
        </is>
      </c>
      <c r="F427" s="7" t="inlineStr">
        <is>
          <t>2708001686</t>
        </is>
      </c>
      <c r="G427" s="7" t="inlineStr">
        <is>
          <t>Успешно</t>
        </is>
      </c>
      <c r="H427" s="6" t="n"/>
      <c r="I427" s="6" t="n"/>
      <c r="J427" s="6" t="inlineStr">
        <is>
          <t>Пользовательский интерфейс</t>
        </is>
      </c>
      <c r="K427" s="7" t="n">
        <v>2</v>
      </c>
      <c r="L427" s="8" t="n"/>
      <c r="M427" s="137" t="inlineStr">
        <is>
          <t>+</t>
        </is>
      </c>
      <c r="N427" s="8" t="n"/>
      <c r="O427" s="8" t="n"/>
      <c r="P427" s="8" t="n"/>
      <c r="Q427" s="8" t="n"/>
      <c r="R427" s="8" t="n"/>
      <c r="S427" s="8" t="n"/>
      <c r="T427" s="8" t="n"/>
      <c r="U427" s="8" t="n"/>
      <c r="V427" s="8" t="n"/>
      <c r="W427" s="8" t="n"/>
      <c r="X427" s="139" t="n"/>
      <c r="Y427" s="137" t="inlineStr">
        <is>
          <t>+</t>
        </is>
      </c>
    </row>
    <row r="428">
      <c r="A428" s="6" t="inlineStr">
        <is>
          <t>работник 489</t>
        </is>
      </c>
      <c r="B428" s="6" t="inlineStr">
        <is>
          <t>Электрогазосварщик (занятый на резке и ручной сварке)</t>
        </is>
      </c>
      <c r="C428" s="6" t="inlineStr">
        <is>
          <t>ОБЩЕСТВО С ОГРАНИЧЕННОЙ ОТВЕТСТВЕННОСТЬЮ "АМУР ЗОЛОТО"</t>
        </is>
      </c>
      <c r="D428" s="7" t="inlineStr">
        <is>
          <t>2708001686</t>
        </is>
      </c>
      <c r="E428" s="6" t="inlineStr">
        <is>
          <t>ООО "Амур Золото"</t>
        </is>
      </c>
      <c r="F428" s="7" t="inlineStr">
        <is>
          <t>2708001686</t>
        </is>
      </c>
      <c r="G428" s="7" t="inlineStr">
        <is>
          <t>Успешно</t>
        </is>
      </c>
      <c r="H428" s="6" t="n"/>
      <c r="I428" s="6" t="n"/>
      <c r="J428" s="6" t="inlineStr">
        <is>
          <t>Пользовательский интерфейс</t>
        </is>
      </c>
      <c r="K428" s="7" t="n">
        <v>2</v>
      </c>
      <c r="L428" s="8" t="n"/>
      <c r="M428" s="137" t="inlineStr">
        <is>
          <t>+</t>
        </is>
      </c>
      <c r="N428" s="8" t="n"/>
      <c r="O428" s="8" t="n"/>
      <c r="P428" s="8" t="n"/>
      <c r="Q428" s="8" t="n"/>
      <c r="R428" s="8" t="n"/>
      <c r="S428" s="8" t="n"/>
      <c r="T428" s="8" t="n"/>
      <c r="U428" s="8" t="n"/>
      <c r="V428" s="8" t="n"/>
      <c r="W428" s="8" t="n"/>
      <c r="X428" s="139" t="n"/>
      <c r="Y428" s="137" t="inlineStr">
        <is>
          <t>+</t>
        </is>
      </c>
    </row>
    <row r="429">
      <c r="A429" s="6" t="inlineStr">
        <is>
          <t>работник 45</t>
        </is>
      </c>
      <c r="B429" s="6" t="inlineStr">
        <is>
          <t>Электромонтер по ремонту и обслуживанию электрооборудования / Электрогазосварщик (занятый на резке и ручной сварке)</t>
        </is>
      </c>
      <c r="C429" s="6" t="inlineStr">
        <is>
          <t>ОБЩЕСТВО С ОГРАНИЧЕННОЙ ОТВЕТСТВЕННОСТЬЮ "АМУР ЗОЛОТО"</t>
        </is>
      </c>
      <c r="D429" s="7" t="inlineStr">
        <is>
          <t>2708001686</t>
        </is>
      </c>
      <c r="E429" s="6" t="inlineStr">
        <is>
          <t>ООО "Амур Золото"</t>
        </is>
      </c>
      <c r="F429" s="7" t="inlineStr">
        <is>
          <t>2708001686</t>
        </is>
      </c>
      <c r="G429" s="7" t="inlineStr">
        <is>
          <t>Успешно</t>
        </is>
      </c>
      <c r="H429" s="6" t="n"/>
      <c r="I429" s="6" t="n"/>
      <c r="J429" s="6" t="inlineStr">
        <is>
          <t>Пользовательский интерфейс</t>
        </is>
      </c>
      <c r="K429" s="7" t="n">
        <v>11</v>
      </c>
      <c r="L429" s="8" t="n"/>
      <c r="M429" s="137" t="inlineStr">
        <is>
          <t>+</t>
        </is>
      </c>
      <c r="N429" s="137" t="inlineStr">
        <is>
          <t>+</t>
        </is>
      </c>
      <c r="O429" s="8" t="n"/>
      <c r="P429" s="8" t="n"/>
      <c r="Q429" s="8" t="n"/>
      <c r="R429" s="8" t="n"/>
      <c r="S429" s="8" t="n"/>
      <c r="T429" s="137" t="inlineStr">
        <is>
          <t>+</t>
        </is>
      </c>
      <c r="U429" s="8" t="n"/>
      <c r="V429" s="8" t="n"/>
      <c r="W429" s="8" t="n"/>
      <c r="X429" s="137" t="inlineStr">
        <is>
          <t>+</t>
        </is>
      </c>
      <c r="Y429" s="137" t="inlineStr">
        <is>
          <t>+</t>
        </is>
      </c>
    </row>
    <row r="430">
      <c r="A430" s="6" t="inlineStr">
        <is>
          <t>работник 303</t>
        </is>
      </c>
      <c r="B430" s="6" t="inlineStr">
        <is>
          <t>Машинист погрузочно-доставочной машины</t>
        </is>
      </c>
      <c r="C430" s="6" t="inlineStr">
        <is>
          <t>ОБЩЕСТВО С ОГРАНИЧЕННОЙ ОТВЕТСТВЕННОСТЬЮ "АМУР ЗОЛОТО"</t>
        </is>
      </c>
      <c r="D430" s="7" t="inlineStr">
        <is>
          <t>2708001686</t>
        </is>
      </c>
      <c r="E430" s="6" t="inlineStr">
        <is>
          <t>ООО "Амур Золото"</t>
        </is>
      </c>
      <c r="F430" s="7" t="inlineStr">
        <is>
          <t>2708001686</t>
        </is>
      </c>
      <c r="G430" s="7" t="inlineStr">
        <is>
          <t>Успешно</t>
        </is>
      </c>
      <c r="H430" s="6" t="n"/>
      <c r="I430" s="6" t="n"/>
      <c r="J430" s="6" t="inlineStr">
        <is>
          <t>Пользовательский интерфейс</t>
        </is>
      </c>
      <c r="K430" s="7" t="n">
        <v>3</v>
      </c>
      <c r="L430" s="8" t="n"/>
      <c r="M430" s="137" t="inlineStr">
        <is>
          <t>+</t>
        </is>
      </c>
      <c r="N430" s="8" t="n"/>
      <c r="O430" s="8" t="n"/>
      <c r="P430" s="8" t="n"/>
      <c r="Q430" s="8" t="n"/>
      <c r="R430" s="8" t="n"/>
      <c r="S430" s="8" t="n"/>
      <c r="T430" s="8" t="n"/>
      <c r="U430" s="8" t="n"/>
      <c r="V430" s="8" t="n"/>
      <c r="W430" s="8" t="n"/>
      <c r="X430" s="137" t="inlineStr">
        <is>
          <t>+</t>
        </is>
      </c>
      <c r="Y430" s="137" t="inlineStr">
        <is>
          <t>+</t>
        </is>
      </c>
    </row>
    <row r="431">
      <c r="A431" s="6" t="inlineStr">
        <is>
          <t>работник 3</t>
        </is>
      </c>
      <c r="B431" s="6" t="inlineStr">
        <is>
          <t>Инженер по промышленной безопасности и охране труда</t>
        </is>
      </c>
      <c r="C431" s="6" t="inlineStr">
        <is>
          <t>ООО "Амур золото". Подразделение: горно-обогатительный комплекс "Юбилейный"</t>
        </is>
      </c>
      <c r="D431" s="7" t="inlineStr">
        <is>
          <t>2708001686</t>
        </is>
      </c>
      <c r="E431" s="6" t="inlineStr">
        <is>
          <t>Автономная некоммерческая организация дополнительного профессионального образования и сертификации "Перспектива"</t>
        </is>
      </c>
      <c r="F431" s="7" t="inlineStr">
        <is>
          <t>2722126782</t>
        </is>
      </c>
      <c r="G431" s="7" t="inlineStr">
        <is>
          <t>Успешно</t>
        </is>
      </c>
      <c r="H431" s="6" t="n"/>
      <c r="I431" s="6" t="n"/>
      <c r="J431" s="6" t="inlineStr">
        <is>
          <t>Пользовательский интерфейс</t>
        </is>
      </c>
      <c r="K431" s="7" t="n">
        <v>4</v>
      </c>
      <c r="L431" s="137" t="inlineStr">
        <is>
          <t>+</t>
        </is>
      </c>
      <c r="M431" s="137" t="inlineStr">
        <is>
          <t>+</t>
        </is>
      </c>
      <c r="N431" s="8" t="n"/>
      <c r="O431" s="8" t="n"/>
      <c r="P431" s="8" t="n"/>
      <c r="Q431" s="8" t="n"/>
      <c r="R431" s="8" t="n"/>
      <c r="S431" s="8" t="n"/>
      <c r="T431" s="8" t="n"/>
      <c r="U431" s="8" t="n"/>
      <c r="V431" s="8" t="n"/>
      <c r="W431" s="8" t="n"/>
      <c r="X431" s="137" t="inlineStr">
        <is>
          <t>+</t>
        </is>
      </c>
      <c r="Y431" s="137" t="inlineStr">
        <is>
          <t>+</t>
        </is>
      </c>
    </row>
    <row r="432">
      <c r="A432" s="6" t="inlineStr">
        <is>
          <t>работник 90</t>
        </is>
      </c>
      <c r="B432" s="6" t="inlineStr">
        <is>
          <t>Электромонтер по ремонту и обслуживанию электрооборудования</t>
        </is>
      </c>
      <c r="C432" s="6" t="inlineStr">
        <is>
          <t>ОБЩЕСТВО С ОГРАНИЧЕННОЙ ОТВЕТСТВЕННОСТЬЮ "АМУР ЗОЛОТО"</t>
        </is>
      </c>
      <c r="D432" s="7" t="inlineStr">
        <is>
          <t>2708001686</t>
        </is>
      </c>
      <c r="E432" s="6" t="inlineStr">
        <is>
          <t>ООО "Амур Золото"</t>
        </is>
      </c>
      <c r="F432" s="7" t="inlineStr">
        <is>
          <t>2708001686</t>
        </is>
      </c>
      <c r="G432" s="7" t="inlineStr">
        <is>
          <t>Успешно</t>
        </is>
      </c>
      <c r="H432" s="6" t="n"/>
      <c r="I432" s="6" t="n"/>
      <c r="J432" s="6" t="inlineStr">
        <is>
          <t>Пользовательский интерфейс</t>
        </is>
      </c>
      <c r="K432" s="7" t="n">
        <v>5</v>
      </c>
      <c r="L432" s="8" t="n"/>
      <c r="M432" s="137" t="inlineStr">
        <is>
          <t>+</t>
        </is>
      </c>
      <c r="N432" s="137" t="inlineStr">
        <is>
          <t>+</t>
        </is>
      </c>
      <c r="O432" s="8" t="n"/>
      <c r="P432" s="8" t="n"/>
      <c r="Q432" s="8" t="n"/>
      <c r="R432" s="8" t="n"/>
      <c r="S432" s="8" t="n"/>
      <c r="T432" s="137" t="inlineStr">
        <is>
          <t>+</t>
        </is>
      </c>
      <c r="U432" s="8" t="n"/>
      <c r="V432" s="8" t="n"/>
      <c r="W432" s="8" t="n"/>
      <c r="X432" s="137" t="inlineStr">
        <is>
          <t>+</t>
        </is>
      </c>
      <c r="Y432" s="137" t="inlineStr">
        <is>
          <t>+</t>
        </is>
      </c>
    </row>
    <row r="433">
      <c r="A433" s="6" t="inlineStr">
        <is>
          <t>работник 539</t>
        </is>
      </c>
      <c r="B433" s="6" t="inlineStr">
        <is>
          <t>Электромонтер по ремонту и обслуживанию электрооборудования</t>
        </is>
      </c>
      <c r="C433" s="6" t="inlineStr">
        <is>
          <t>ОБЩЕСТВО С ОГРАНИЧЕННОЙ ОТВЕТСТВЕННОСТЬЮ "АМУР ЗОЛОТО"</t>
        </is>
      </c>
      <c r="D433" s="7" t="inlineStr">
        <is>
          <t>2708001686</t>
        </is>
      </c>
      <c r="E433" s="6" t="inlineStr">
        <is>
          <t>ООО "Амур Золото"</t>
        </is>
      </c>
      <c r="F433" s="7" t="inlineStr">
        <is>
          <t>2708001686</t>
        </is>
      </c>
      <c r="G433" s="7" t="inlineStr">
        <is>
          <t>Успешно</t>
        </is>
      </c>
      <c r="H433" s="6" t="n"/>
      <c r="I433" s="6" t="n"/>
      <c r="J433" s="6" t="n"/>
      <c r="K433" s="7" t="n">
        <v>2</v>
      </c>
      <c r="L433" s="8" t="n"/>
      <c r="M433" s="137" t="inlineStr">
        <is>
          <t>+</t>
        </is>
      </c>
      <c r="N433" s="8" t="n"/>
      <c r="O433" s="8" t="n"/>
      <c r="P433" s="8" t="n"/>
      <c r="Q433" s="8" t="n"/>
      <c r="R433" s="8" t="n"/>
      <c r="S433" s="8" t="n"/>
      <c r="T433" s="8" t="n"/>
      <c r="U433" s="8" t="n"/>
      <c r="V433" s="8" t="n"/>
      <c r="W433" s="8" t="n"/>
      <c r="X433" s="139" t="n"/>
      <c r="Y433" s="137" t="inlineStr">
        <is>
          <t>+</t>
        </is>
      </c>
    </row>
    <row r="434">
      <c r="A434" s="6" t="inlineStr">
        <is>
          <t>работник 699</t>
        </is>
      </c>
      <c r="B434" s="6" t="inlineStr">
        <is>
          <t>Электрогазосварщик</t>
        </is>
      </c>
      <c r="C434" s="6" t="inlineStr">
        <is>
          <t>ОБЩЕСТВО С ОГРАНИЧЕННОЙ ОТВЕТСТВЕННОСТЬЮ "АМУР ЗОЛОТО"</t>
        </is>
      </c>
      <c r="D434" s="7" t="inlineStr">
        <is>
          <t>2708001686</t>
        </is>
      </c>
      <c r="E434" s="6" t="inlineStr">
        <is>
          <t>ООО "Амур Золото"</t>
        </is>
      </c>
      <c r="F434" s="7" t="inlineStr">
        <is>
          <t>2708001686</t>
        </is>
      </c>
      <c r="G434" s="7" t="inlineStr">
        <is>
          <t>Успешно</t>
        </is>
      </c>
      <c r="H434" s="6" t="n"/>
      <c r="I434" s="6" t="n"/>
      <c r="J434" s="6" t="inlineStr">
        <is>
          <t>Пользовательский интерфейс</t>
        </is>
      </c>
      <c r="K434" s="7" t="n">
        <v>3</v>
      </c>
      <c r="L434" s="8" t="n"/>
      <c r="M434" s="137" t="inlineStr">
        <is>
          <t>+</t>
        </is>
      </c>
      <c r="N434" s="8" t="n"/>
      <c r="O434" s="137" t="inlineStr">
        <is>
          <t>+</t>
        </is>
      </c>
      <c r="P434" s="8" t="n"/>
      <c r="Q434" s="8" t="n"/>
      <c r="R434" s="8" t="n"/>
      <c r="S434" s="8" t="n"/>
      <c r="T434" s="8" t="n"/>
      <c r="U434" s="8" t="n"/>
      <c r="V434" s="8" t="n"/>
      <c r="W434" s="8" t="n"/>
      <c r="X434" s="139" t="n"/>
      <c r="Y434" s="137" t="inlineStr">
        <is>
          <t>+</t>
        </is>
      </c>
    </row>
    <row r="435">
      <c r="A435" s="6" t="inlineStr">
        <is>
          <t>работник 283</t>
        </is>
      </c>
      <c r="B435" s="6" t="inlineStr">
        <is>
          <t>Водитель автомобиля (занятый на транспортировании горной массы в технологическом процессе)</t>
        </is>
      </c>
      <c r="C435" s="6" t="inlineStr">
        <is>
          <t>ОБЩЕСТВО С ОГРАНИЧЕННОЙ ОТВЕТСТВЕННОСТЬЮ "АМУР ЗОЛОТО"</t>
        </is>
      </c>
      <c r="D435" s="7" t="inlineStr">
        <is>
          <t>2708001686</t>
        </is>
      </c>
      <c r="E435" s="6" t="inlineStr">
        <is>
          <t>ООО "Амур Золото"</t>
        </is>
      </c>
      <c r="F435" s="7" t="inlineStr">
        <is>
          <t>2708001686</t>
        </is>
      </c>
      <c r="G435" s="7" t="inlineStr">
        <is>
          <t>Успешно</t>
        </is>
      </c>
      <c r="H435" s="6" t="n"/>
      <c r="I435" s="6" t="n"/>
      <c r="J435" s="6" t="inlineStr">
        <is>
          <t>Пользовательский интерфейс</t>
        </is>
      </c>
      <c r="K435" s="7" t="n">
        <v>3</v>
      </c>
      <c r="L435" s="8" t="n"/>
      <c r="M435" s="137" t="inlineStr">
        <is>
          <t>+</t>
        </is>
      </c>
      <c r="N435" s="8" t="n"/>
      <c r="O435" s="8" t="n"/>
      <c r="P435" s="8" t="n"/>
      <c r="Q435" s="8" t="n"/>
      <c r="R435" s="8" t="n"/>
      <c r="S435" s="8" t="n"/>
      <c r="T435" s="8" t="n"/>
      <c r="U435" s="8" t="n"/>
      <c r="V435" s="8" t="n"/>
      <c r="W435" s="8" t="n"/>
      <c r="X435" s="137" t="inlineStr">
        <is>
          <t>+</t>
        </is>
      </c>
      <c r="Y435" s="137" t="inlineStr">
        <is>
          <t>+</t>
        </is>
      </c>
    </row>
    <row r="436">
      <c r="A436" s="6" t="inlineStr">
        <is>
          <t>работник 700</t>
        </is>
      </c>
      <c r="B436" s="6" t="inlineStr">
        <is>
          <t>Плотник</t>
        </is>
      </c>
      <c r="C436" s="6" t="inlineStr">
        <is>
          <t>ОБЩЕСТВО С ОГРАНИЧЕННОЙ ОТВЕТСТВЕННОСТЬЮ "АМУР ЗОЛОТО"</t>
        </is>
      </c>
      <c r="D436" s="7" t="inlineStr">
        <is>
          <t>2708001686</t>
        </is>
      </c>
      <c r="E436" s="6" t="inlineStr">
        <is>
          <t>ООО "Амур Золото"</t>
        </is>
      </c>
      <c r="F436" s="7" t="inlineStr">
        <is>
          <t>2708001686</t>
        </is>
      </c>
      <c r="G436" s="7" t="inlineStr">
        <is>
          <t>Успешно</t>
        </is>
      </c>
      <c r="H436" s="6" t="n"/>
      <c r="I436" s="6" t="n"/>
      <c r="J436" s="6" t="inlineStr">
        <is>
          <t>Пользовательский интерфейс</t>
        </is>
      </c>
      <c r="K436" s="7" t="n">
        <v>2</v>
      </c>
      <c r="L436" s="8" t="n"/>
      <c r="M436" s="137" t="inlineStr">
        <is>
          <t>+</t>
        </is>
      </c>
      <c r="N436" s="8" t="n"/>
      <c r="O436" s="8" t="n"/>
      <c r="P436" s="8" t="n"/>
      <c r="Q436" s="8" t="n"/>
      <c r="R436" s="8" t="n"/>
      <c r="S436" s="8" t="n"/>
      <c r="T436" s="8" t="n"/>
      <c r="U436" s="8" t="n"/>
      <c r="V436" s="8" t="n"/>
      <c r="W436" s="8" t="n"/>
      <c r="X436" s="139" t="n"/>
      <c r="Y436" s="137" t="inlineStr">
        <is>
          <t>+</t>
        </is>
      </c>
    </row>
    <row r="437">
      <c r="A437" s="6" t="inlineStr">
        <is>
          <t>работник 387</t>
        </is>
      </c>
      <c r="B437" s="6" t="inlineStr">
        <is>
          <t>Дробильщик</t>
        </is>
      </c>
      <c r="C437" s="6" t="inlineStr">
        <is>
          <t>ОБЩЕСТВО С ОГРАНИЧЕННОЙ ОТВЕТСТВЕННОСТЬЮ "АМУР ЗОЛОТО"</t>
        </is>
      </c>
      <c r="D437" s="7" t="inlineStr">
        <is>
          <t>2708001686</t>
        </is>
      </c>
      <c r="E437" s="6" t="inlineStr">
        <is>
          <t>ООО "Амур Золото"</t>
        </is>
      </c>
      <c r="F437" s="7" t="inlineStr">
        <is>
          <t>2708001686</t>
        </is>
      </c>
      <c r="G437" s="7" t="inlineStr">
        <is>
          <t>Успешно</t>
        </is>
      </c>
      <c r="H437" s="6" t="n"/>
      <c r="I437" s="6" t="n"/>
      <c r="J437" s="6" t="inlineStr">
        <is>
          <t>Пользовательский интерфейс</t>
        </is>
      </c>
      <c r="K437" s="7" t="n">
        <v>6</v>
      </c>
      <c r="L437" s="8" t="n"/>
      <c r="M437" s="137" t="inlineStr">
        <is>
          <t>+</t>
        </is>
      </c>
      <c r="N437" s="8" t="n"/>
      <c r="O437" s="8" t="n"/>
      <c r="P437" s="8" t="n"/>
      <c r="Q437" s="8" t="n"/>
      <c r="R437" s="8" t="n"/>
      <c r="S437" s="8" t="n"/>
      <c r="T437" s="8" t="n"/>
      <c r="U437" s="8" t="n"/>
      <c r="V437" s="8" t="n"/>
      <c r="W437" s="8" t="n"/>
      <c r="X437" s="137" t="inlineStr">
        <is>
          <t>+</t>
        </is>
      </c>
      <c r="Y437" s="137" t="inlineStr">
        <is>
          <t>+</t>
        </is>
      </c>
    </row>
    <row r="438">
      <c r="A438" s="6" t="inlineStr">
        <is>
          <t>работник 721</t>
        </is>
      </c>
      <c r="B438" s="6" t="inlineStr">
        <is>
          <t>Топограф</t>
        </is>
      </c>
      <c r="C438" s="6" t="inlineStr">
        <is>
          <t>ОБЩЕСТВО С ОГРАНИЧЕННОЙ ОТВЕТСТВЕННОСТЬЮ "АМУР ЗОЛОТО"</t>
        </is>
      </c>
      <c r="D438" s="7" t="inlineStr">
        <is>
          <t>2708001686</t>
        </is>
      </c>
      <c r="E438" s="6" t="inlineStr">
        <is>
          <t>ООО "Амур Золото"</t>
        </is>
      </c>
      <c r="F438" s="7" t="inlineStr">
        <is>
          <t>2708001686</t>
        </is>
      </c>
      <c r="G438" s="7" t="inlineStr">
        <is>
          <t>Успешно</t>
        </is>
      </c>
      <c r="H438" s="6" t="n"/>
      <c r="I438" s="6" t="n"/>
      <c r="J438" s="6" t="inlineStr">
        <is>
          <t>Пользовательский интерфейс</t>
        </is>
      </c>
      <c r="K438" s="7" t="n">
        <v>2</v>
      </c>
      <c r="L438" s="8" t="n"/>
      <c r="M438" s="137" t="inlineStr">
        <is>
          <t>+</t>
        </is>
      </c>
      <c r="N438" s="8" t="n"/>
      <c r="O438" s="8" t="n"/>
      <c r="P438" s="8" t="n"/>
      <c r="Q438" s="8" t="n"/>
      <c r="R438" s="8" t="n"/>
      <c r="S438" s="8" t="n"/>
      <c r="T438" s="8" t="n"/>
      <c r="U438" s="8" t="n"/>
      <c r="V438" s="8" t="n"/>
      <c r="W438" s="8" t="n"/>
      <c r="X438" s="8" t="n"/>
      <c r="Y438" s="137" t="inlineStr">
        <is>
          <t>+</t>
        </is>
      </c>
    </row>
    <row r="439">
      <c r="A439" s="6" t="inlineStr">
        <is>
          <t>работник 255</t>
        </is>
      </c>
      <c r="B439" s="6" t="inlineStr">
        <is>
          <t>Фильтровальщик</t>
        </is>
      </c>
      <c r="C439" s="6" t="inlineStr">
        <is>
          <t>ОБЩЕСТВО С ОГРАНИЧЕННОЙ ОТВЕТСТВЕННОСТЬЮ "АМУР ЗОЛОТО"</t>
        </is>
      </c>
      <c r="D439" s="7" t="inlineStr">
        <is>
          <t>2708001686</t>
        </is>
      </c>
      <c r="E439" s="6" t="inlineStr">
        <is>
          <t>ООО "Амур Золото"</t>
        </is>
      </c>
      <c r="F439" s="7" t="inlineStr">
        <is>
          <t>2708001686</t>
        </is>
      </c>
      <c r="G439" s="7" t="inlineStr">
        <is>
          <t>Успешно</t>
        </is>
      </c>
      <c r="H439" s="6" t="n"/>
      <c r="I439" s="6" t="n"/>
      <c r="J439" s="6" t="inlineStr">
        <is>
          <t>Пользовательский интерфейс</t>
        </is>
      </c>
      <c r="K439" s="7" t="n">
        <v>3</v>
      </c>
      <c r="L439" s="8" t="n"/>
      <c r="M439" s="137" t="inlineStr">
        <is>
          <t>+</t>
        </is>
      </c>
      <c r="N439" s="8" t="n"/>
      <c r="O439" s="8" t="n"/>
      <c r="P439" s="8" t="n"/>
      <c r="Q439" s="8" t="n"/>
      <c r="R439" s="8" t="n"/>
      <c r="S439" s="8" t="n"/>
      <c r="T439" s="8" t="n"/>
      <c r="U439" s="8" t="n"/>
      <c r="V439" s="8" t="n"/>
      <c r="W439" s="8" t="n"/>
      <c r="X439" s="137" t="inlineStr">
        <is>
          <t>+</t>
        </is>
      </c>
      <c r="Y439" s="137" t="inlineStr">
        <is>
          <t>+</t>
        </is>
      </c>
    </row>
    <row r="440">
      <c r="A440" s="6" t="inlineStr">
        <is>
          <t>работник 576</t>
        </is>
      </c>
      <c r="B440" s="6" t="inlineStr">
        <is>
          <t>Фильтровальщик</t>
        </is>
      </c>
      <c r="C440" s="6" t="inlineStr">
        <is>
          <t>ОБЩЕСТВО С ОГРАНИЧЕННОЙ ОТВЕТСТВЕННОСТЬЮ "АМУР ЗОЛОТО"</t>
        </is>
      </c>
      <c r="D440" s="7" t="inlineStr">
        <is>
          <t>2708001686</t>
        </is>
      </c>
      <c r="E440" s="6" t="inlineStr">
        <is>
          <t>ООО "Амур Золото"</t>
        </is>
      </c>
      <c r="F440" s="7" t="inlineStr">
        <is>
          <t>2708001686</t>
        </is>
      </c>
      <c r="G440" s="7" t="inlineStr">
        <is>
          <t>Успешно</t>
        </is>
      </c>
      <c r="H440" s="6" t="n"/>
      <c r="I440" s="6" t="n"/>
      <c r="J440" s="6" t="inlineStr">
        <is>
          <t>Пользовательский интерфейс</t>
        </is>
      </c>
      <c r="K440" s="7" t="n">
        <v>2</v>
      </c>
      <c r="L440" s="8" t="n"/>
      <c r="M440" s="137" t="inlineStr">
        <is>
          <t>+</t>
        </is>
      </c>
      <c r="N440" s="8" t="n"/>
      <c r="O440" s="8" t="n"/>
      <c r="P440" s="8" t="n"/>
      <c r="Q440" s="8" t="n"/>
      <c r="R440" s="8" t="n"/>
      <c r="S440" s="8" t="n"/>
      <c r="T440" s="8" t="n"/>
      <c r="U440" s="8" t="n"/>
      <c r="V440" s="8" t="n"/>
      <c r="W440" s="8" t="n"/>
      <c r="X440" s="139" t="n"/>
      <c r="Y440" s="137" t="inlineStr">
        <is>
          <t>+</t>
        </is>
      </c>
    </row>
    <row r="441">
      <c r="A441" s="6" t="inlineStr">
        <is>
          <t>работник 503</t>
        </is>
      </c>
      <c r="B441" s="6" t="inlineStr">
        <is>
          <t>Слесарь-ремонтник (по ремонту обогатительного оборудования) / Аппаратчик-гидрометаллург</t>
        </is>
      </c>
      <c r="C441" s="6" t="inlineStr">
        <is>
          <t>ОБЩЕСТВО С ОГРАНИЧЕННОЙ ОТВЕТСТВЕННОСТЬЮ "АМУР ЗОЛОТО"</t>
        </is>
      </c>
      <c r="D441" s="7" t="inlineStr">
        <is>
          <t>2708001686</t>
        </is>
      </c>
      <c r="E441" s="6" t="inlineStr">
        <is>
          <t>ООО "Амур Золото"</t>
        </is>
      </c>
      <c r="F441" s="7" t="inlineStr">
        <is>
          <t>2708001686</t>
        </is>
      </c>
      <c r="G441" s="7" t="inlineStr">
        <is>
          <t>Успешно</t>
        </is>
      </c>
      <c r="H441" s="6" t="n"/>
      <c r="I441" s="6" t="n"/>
      <c r="J441" s="6" t="inlineStr">
        <is>
          <t>Пользовательский интерфейс</t>
        </is>
      </c>
      <c r="K441" s="7" t="n">
        <v>5</v>
      </c>
      <c r="L441" s="8" t="n"/>
      <c r="M441" s="137" t="inlineStr">
        <is>
          <t>+</t>
        </is>
      </c>
      <c r="N441" s="8" t="n"/>
      <c r="O441" s="8" t="n"/>
      <c r="P441" s="8" t="n"/>
      <c r="Q441" s="8" t="n"/>
      <c r="R441" s="8" t="n"/>
      <c r="S441" s="8" t="n"/>
      <c r="T441" s="8" t="n"/>
      <c r="U441" s="8" t="n"/>
      <c r="V441" s="8" t="n"/>
      <c r="W441" s="8" t="n"/>
      <c r="X441" s="137" t="inlineStr">
        <is>
          <t>+</t>
        </is>
      </c>
      <c r="Y441" s="137" t="inlineStr">
        <is>
          <t>+</t>
        </is>
      </c>
    </row>
    <row r="442">
      <c r="A442" s="6" t="inlineStr">
        <is>
          <t>работник 722</t>
        </is>
      </c>
      <c r="B442" s="6" t="inlineStr">
        <is>
          <t>Помощник машиниста буровой установки</t>
        </is>
      </c>
      <c r="C442" s="6" t="inlineStr">
        <is>
          <t>ОБЩЕСТВО С ОГРАНИЧЕННОЙ ОТВЕТСТВЕННОСТЬЮ "АМУР ЗОЛОТО"</t>
        </is>
      </c>
      <c r="D442" s="7" t="inlineStr">
        <is>
          <t>2708001686</t>
        </is>
      </c>
      <c r="E442" s="6" t="inlineStr">
        <is>
          <t>ООО "Амур Золото"</t>
        </is>
      </c>
      <c r="F442" s="7" t="inlineStr">
        <is>
          <t>2708001686</t>
        </is>
      </c>
      <c r="G442" s="7" t="inlineStr">
        <is>
          <t>Успешно</t>
        </is>
      </c>
      <c r="H442" s="6" t="n"/>
      <c r="I442" s="6" t="n"/>
      <c r="J442" s="6" t="inlineStr">
        <is>
          <t>Пользовательский интерфейс</t>
        </is>
      </c>
      <c r="K442" s="7" t="n">
        <v>2</v>
      </c>
      <c r="L442" s="8" t="n"/>
      <c r="M442" s="137" t="inlineStr">
        <is>
          <t>+</t>
        </is>
      </c>
      <c r="N442" s="8" t="n"/>
      <c r="O442" s="8" t="n"/>
      <c r="P442" s="8" t="n"/>
      <c r="Q442" s="8" t="n"/>
      <c r="R442" s="8" t="n"/>
      <c r="S442" s="8" t="n"/>
      <c r="T442" s="8" t="n"/>
      <c r="U442" s="8" t="n"/>
      <c r="V442" s="8" t="n"/>
      <c r="W442" s="8" t="n"/>
      <c r="X442" s="139" t="n"/>
      <c r="Y442" s="137" t="inlineStr">
        <is>
          <t>+</t>
        </is>
      </c>
    </row>
    <row r="443">
      <c r="A443" s="6" t="inlineStr">
        <is>
          <t>работник 723</t>
        </is>
      </c>
      <c r="B443" s="6" t="inlineStr">
        <is>
          <t>Участковый геолог</t>
        </is>
      </c>
      <c r="C443" s="6" t="inlineStr">
        <is>
          <t>ОБЩЕСТВО С ОГРАНИЧЕННОЙ ОТВЕТСТВЕННОСТЬЮ "АМУР ЗОЛОТО"</t>
        </is>
      </c>
      <c r="D443" s="7" t="inlineStr">
        <is>
          <t>2708001686</t>
        </is>
      </c>
      <c r="E443" s="6" t="inlineStr">
        <is>
          <t>ООО "Амур Золото"</t>
        </is>
      </c>
      <c r="F443" s="7" t="inlineStr">
        <is>
          <t>2708001686</t>
        </is>
      </c>
      <c r="G443" s="7" t="inlineStr">
        <is>
          <t>Успешно</t>
        </is>
      </c>
      <c r="H443" s="6" t="n"/>
      <c r="I443" s="6" t="n"/>
      <c r="J443" s="6" t="inlineStr">
        <is>
          <t>Пользовательский интерфейс</t>
        </is>
      </c>
      <c r="K443" s="7" t="n">
        <v>2</v>
      </c>
      <c r="L443" s="8" t="n"/>
      <c r="M443" s="137" t="inlineStr">
        <is>
          <t>+</t>
        </is>
      </c>
      <c r="N443" s="8" t="n"/>
      <c r="O443" s="8" t="n"/>
      <c r="P443" s="8" t="n"/>
      <c r="Q443" s="8" t="n"/>
      <c r="R443" s="8" t="n"/>
      <c r="S443" s="8" t="n"/>
      <c r="T443" s="8" t="n"/>
      <c r="U443" s="8" t="n"/>
      <c r="V443" s="8" t="n"/>
      <c r="W443" s="8" t="n"/>
      <c r="X443" s="8" t="n"/>
      <c r="Y443" s="137" t="inlineStr">
        <is>
          <t>+</t>
        </is>
      </c>
    </row>
    <row r="444">
      <c r="A444" s="6" t="inlineStr">
        <is>
          <t>работник 665</t>
        </is>
      </c>
      <c r="B444" s="6" t="inlineStr">
        <is>
          <t>Механик по ремонту самоходного транспорта (с правом выпуска на линию)</t>
        </is>
      </c>
      <c r="C444" s="6" t="inlineStr">
        <is>
          <t>ОБЩЕСТВО С ОГРАНИЧЕННОЙ ОТВЕТСТВЕННОСТЬЮ "АМУР ЗОЛОТО"</t>
        </is>
      </c>
      <c r="D444" s="7" t="inlineStr">
        <is>
          <t>2708001686</t>
        </is>
      </c>
      <c r="E444" s="6" t="inlineStr">
        <is>
          <t>ООО "Амур Золото"</t>
        </is>
      </c>
      <c r="F444" s="7" t="inlineStr">
        <is>
          <t>2708001686</t>
        </is>
      </c>
      <c r="G444" s="7" t="inlineStr">
        <is>
          <t>Успешно</t>
        </is>
      </c>
      <c r="H444" s="6" t="n"/>
      <c r="I444" s="6" t="n"/>
      <c r="J444" s="6" t="inlineStr">
        <is>
          <t>Пользовательский интерфейс</t>
        </is>
      </c>
      <c r="K444" s="7" t="n">
        <v>2</v>
      </c>
      <c r="L444" s="8" t="n"/>
      <c r="M444" s="137" t="inlineStr">
        <is>
          <t>+</t>
        </is>
      </c>
      <c r="N444" s="8" t="n"/>
      <c r="O444" s="8" t="n"/>
      <c r="P444" s="8" t="n"/>
      <c r="Q444" s="8" t="n"/>
      <c r="R444" s="8" t="n"/>
      <c r="S444" s="8" t="n"/>
      <c r="T444" s="8" t="n"/>
      <c r="U444" s="8" t="n"/>
      <c r="V444" s="8" t="n"/>
      <c r="W444" s="8" t="n"/>
      <c r="X444" s="8" t="n"/>
      <c r="Y444" s="137" t="inlineStr">
        <is>
          <t>+</t>
        </is>
      </c>
    </row>
    <row r="445">
      <c r="A445" s="6" t="inlineStr">
        <is>
          <t>работник 323</t>
        </is>
      </c>
      <c r="B445" s="6" t="inlineStr">
        <is>
          <t>Проходчик (с исполнением обязанностей взрывника)</t>
        </is>
      </c>
      <c r="C445" s="6" t="inlineStr">
        <is>
          <t>ОБЩЕСТВО С ОГРАНИЧЕННОЙ ОТВЕТСТВЕННОСТЬЮ "АМУР ЗОЛОТО"</t>
        </is>
      </c>
      <c r="D445" s="7" t="inlineStr">
        <is>
          <t>2708001686</t>
        </is>
      </c>
      <c r="E445" s="6" t="inlineStr">
        <is>
          <t>ООО "Амур Золото"</t>
        </is>
      </c>
      <c r="F445" s="7" t="inlineStr">
        <is>
          <t>2708001686</t>
        </is>
      </c>
      <c r="G445" s="7" t="inlineStr">
        <is>
          <t>Успешно</t>
        </is>
      </c>
      <c r="H445" s="6" t="n"/>
      <c r="I445" s="6" t="n"/>
      <c r="J445" s="6" t="inlineStr">
        <is>
          <t>Пользовательский интерфейс</t>
        </is>
      </c>
      <c r="K445" s="7" t="n">
        <v>3</v>
      </c>
      <c r="L445" s="8" t="n"/>
      <c r="M445" s="137" t="inlineStr">
        <is>
          <t>+</t>
        </is>
      </c>
      <c r="N445" s="8" t="n"/>
      <c r="O445" s="8" t="n"/>
      <c r="P445" s="8" t="n"/>
      <c r="Q445" s="8" t="n"/>
      <c r="R445" s="8" t="n"/>
      <c r="S445" s="8" t="n"/>
      <c r="T445" s="8" t="n"/>
      <c r="U445" s="8" t="n"/>
      <c r="V445" s="8" t="n"/>
      <c r="W445" s="8" t="n"/>
      <c r="X445" s="137" t="inlineStr">
        <is>
          <t>+</t>
        </is>
      </c>
      <c r="Y445" s="137" t="inlineStr">
        <is>
          <t>+</t>
        </is>
      </c>
    </row>
    <row r="446">
      <c r="A446" s="6" t="inlineStr">
        <is>
          <t>работник 111</t>
        </is>
      </c>
      <c r="B446" s="6" t="inlineStr">
        <is>
          <t>Весовщик / Машинист конвейера</t>
        </is>
      </c>
      <c r="C446" s="6" t="inlineStr">
        <is>
          <t>ОБЩЕСТВО С ОГРАНИЧЕННОЙ ОТВЕТСТВЕННОСТЬЮ "АМУР ЗОЛОТО"</t>
        </is>
      </c>
      <c r="D446" s="7" t="inlineStr">
        <is>
          <t>2708001686</t>
        </is>
      </c>
      <c r="E446" s="6" t="inlineStr">
        <is>
          <t>ООО "Амур Золото"</t>
        </is>
      </c>
      <c r="F446" s="7" t="inlineStr">
        <is>
          <t>2708001686</t>
        </is>
      </c>
      <c r="G446" s="7" t="inlineStr">
        <is>
          <t>Успешно</t>
        </is>
      </c>
      <c r="H446" s="6" t="n"/>
      <c r="I446" s="6" t="n"/>
      <c r="J446" s="6" t="inlineStr">
        <is>
          <t>Пользовательский интерфейс</t>
        </is>
      </c>
      <c r="K446" s="7" t="n">
        <v>5</v>
      </c>
      <c r="L446" s="8" t="n"/>
      <c r="M446" s="137" t="inlineStr">
        <is>
          <t>+</t>
        </is>
      </c>
      <c r="N446" s="8" t="n"/>
      <c r="O446" s="8" t="n"/>
      <c r="P446" s="8" t="n"/>
      <c r="Q446" s="8" t="n"/>
      <c r="R446" s="8" t="n"/>
      <c r="S446" s="8" t="n"/>
      <c r="T446" s="8" t="n"/>
      <c r="U446" s="8" t="n"/>
      <c r="V446" s="8" t="n"/>
      <c r="W446" s="8" t="n"/>
      <c r="X446" s="137" t="inlineStr">
        <is>
          <t>+</t>
        </is>
      </c>
      <c r="Y446" s="137" t="inlineStr">
        <is>
          <t>+</t>
        </is>
      </c>
    </row>
    <row r="447">
      <c r="A447" s="6" t="inlineStr">
        <is>
          <t>работник 256</t>
        </is>
      </c>
      <c r="B447" s="6" t="inlineStr">
        <is>
          <t>Аппаратчик-гидрометаллург / аппаратчик-гидрометаллург</t>
        </is>
      </c>
      <c r="C447" s="6" t="inlineStr">
        <is>
          <t>ОБЩЕСТВО С ОГРАНИЧЕННОЙ ОТВЕТСТВЕННОСТЬЮ "АМУР ЗОЛОТО"</t>
        </is>
      </c>
      <c r="D447" s="7" t="inlineStr">
        <is>
          <t>2708001686</t>
        </is>
      </c>
      <c r="E447" s="6" t="inlineStr">
        <is>
          <t>ООО "Амур Золото"</t>
        </is>
      </c>
      <c r="F447" s="7" t="inlineStr">
        <is>
          <t>2708001686</t>
        </is>
      </c>
      <c r="G447" s="7" t="inlineStr">
        <is>
          <t>Успешно</t>
        </is>
      </c>
      <c r="H447" s="6" t="n"/>
      <c r="I447" s="6" t="n"/>
      <c r="J447" s="6" t="inlineStr">
        <is>
          <t>Пользовательский интерфейс</t>
        </is>
      </c>
      <c r="K447" s="7" t="n">
        <v>3</v>
      </c>
      <c r="L447" s="8" t="n"/>
      <c r="M447" s="137" t="inlineStr">
        <is>
          <t>+</t>
        </is>
      </c>
      <c r="N447" s="8" t="n"/>
      <c r="O447" s="8" t="n"/>
      <c r="P447" s="8" t="n"/>
      <c r="Q447" s="8" t="n"/>
      <c r="R447" s="8" t="n"/>
      <c r="S447" s="8" t="n"/>
      <c r="T447" s="8" t="n"/>
      <c r="U447" s="8" t="n"/>
      <c r="V447" s="8" t="n"/>
      <c r="W447" s="8" t="n"/>
      <c r="X447" s="137" t="inlineStr">
        <is>
          <t>+</t>
        </is>
      </c>
      <c r="Y447" s="137" t="inlineStr">
        <is>
          <t>+</t>
        </is>
      </c>
    </row>
    <row r="448">
      <c r="A448" s="6" t="inlineStr">
        <is>
          <t>работник 763</t>
        </is>
      </c>
      <c r="B448" s="6" t="inlineStr">
        <is>
          <t>Машинист погрузочно-доставочной машины (занятый на транспортировании горной массы в технологическом процессе)</t>
        </is>
      </c>
      <c r="C448" s="6" t="inlineStr">
        <is>
          <t>ОБЩЕСТВО С ОГРАНИЧЕННОЙ ОТВЕТСТВЕННОСТЬЮ "АМУР ЗОЛОТО"</t>
        </is>
      </c>
      <c r="D448" s="7" t="inlineStr">
        <is>
          <t>2708001686</t>
        </is>
      </c>
      <c r="E448" s="6" t="inlineStr">
        <is>
          <t>ООО "Амур Золото"</t>
        </is>
      </c>
      <c r="F448" s="7" t="inlineStr">
        <is>
          <t>2708001686</t>
        </is>
      </c>
      <c r="G448" s="7" t="inlineStr">
        <is>
          <t>Успешно</t>
        </is>
      </c>
      <c r="H448" s="6" t="n"/>
      <c r="I448" s="6" t="n"/>
      <c r="J448" s="6" t="inlineStr">
        <is>
          <t>Пользовательский интерфейс</t>
        </is>
      </c>
      <c r="K448" s="7" t="n">
        <v>6</v>
      </c>
      <c r="L448" s="8" t="n"/>
      <c r="M448" s="137" t="inlineStr">
        <is>
          <t>+</t>
        </is>
      </c>
      <c r="N448" s="8" t="n"/>
      <c r="O448" s="8" t="n"/>
      <c r="P448" s="8" t="n"/>
      <c r="Q448" s="8" t="n"/>
      <c r="R448" s="8" t="n"/>
      <c r="S448" s="8" t="n"/>
      <c r="T448" s="8" t="n"/>
      <c r="U448" s="8" t="n"/>
      <c r="V448" s="8" t="n"/>
      <c r="W448" s="8" t="n"/>
      <c r="X448" s="137" t="inlineStr">
        <is>
          <t>+</t>
        </is>
      </c>
      <c r="Y448" s="137" t="inlineStr">
        <is>
          <t>+</t>
        </is>
      </c>
    </row>
    <row r="449">
      <c r="A449" s="6" t="inlineStr">
        <is>
          <t>работник 557</t>
        </is>
      </c>
      <c r="B449" s="6" t="inlineStr">
        <is>
          <t>Аппаратчик сгустителей / Аппаратчик-гидрометаллург</t>
        </is>
      </c>
      <c r="C449" s="6" t="inlineStr">
        <is>
          <t>ОБЩЕСТВО С ОГРАНИЧЕННОЙ ОТВЕТСТВЕННОСТЬЮ "АМУР ЗОЛОТО"</t>
        </is>
      </c>
      <c r="D449" s="7" t="inlineStr">
        <is>
          <t>2708001686</t>
        </is>
      </c>
      <c r="E449" s="6" t="inlineStr">
        <is>
          <t>ООО "Амур Золото"</t>
        </is>
      </c>
      <c r="F449" s="7" t="inlineStr">
        <is>
          <t>2708001686</t>
        </is>
      </c>
      <c r="G449" s="7" t="inlineStr">
        <is>
          <t>Успешно</t>
        </is>
      </c>
      <c r="H449" s="6" t="n"/>
      <c r="I449" s="6" t="n"/>
      <c r="J449" s="6" t="inlineStr">
        <is>
          <t>Пользовательский интерфейс</t>
        </is>
      </c>
      <c r="K449" s="7" t="n">
        <v>5</v>
      </c>
      <c r="L449" s="8" t="n"/>
      <c r="M449" s="137" t="inlineStr">
        <is>
          <t>+</t>
        </is>
      </c>
      <c r="N449" s="137" t="inlineStr">
        <is>
          <t>+</t>
        </is>
      </c>
      <c r="O449" s="8" t="n"/>
      <c r="P449" s="137" t="inlineStr">
        <is>
          <t>+</t>
        </is>
      </c>
      <c r="Q449" s="8" t="n"/>
      <c r="R449" s="8" t="n"/>
      <c r="S449" s="8" t="n"/>
      <c r="T449" s="8" t="n"/>
      <c r="U449" s="8" t="n"/>
      <c r="V449" s="8" t="n"/>
      <c r="W449" s="8" t="n"/>
      <c r="X449" s="137" t="inlineStr">
        <is>
          <t>+</t>
        </is>
      </c>
      <c r="Y449" s="137" t="inlineStr">
        <is>
          <t>+</t>
        </is>
      </c>
    </row>
    <row r="450">
      <c r="A450" s="6" t="inlineStr">
        <is>
          <t>работник 533</t>
        </is>
      </c>
      <c r="B450" s="6" t="inlineStr">
        <is>
          <t>Машинист погрузочно-доставочной машины (занятый на транспортировании горной массы в технологическом процессе)</t>
        </is>
      </c>
      <c r="C450" s="6" t="inlineStr">
        <is>
          <t>ОБЩЕСТВО С ОГРАНИЧЕННОЙ ОТВЕТСТВЕННОСТЬЮ "АМУР ЗОЛОТО"</t>
        </is>
      </c>
      <c r="D450" s="7" t="inlineStr">
        <is>
          <t>2708001686</t>
        </is>
      </c>
      <c r="E450" s="6" t="inlineStr">
        <is>
          <t>ООО "Амур Золото"</t>
        </is>
      </c>
      <c r="F450" s="7" t="inlineStr">
        <is>
          <t>2708001686</t>
        </is>
      </c>
      <c r="G450" s="7" t="inlineStr">
        <is>
          <t>Успешно</t>
        </is>
      </c>
      <c r="H450" s="6" t="n"/>
      <c r="I450" s="6" t="n"/>
      <c r="J450" s="6" t="inlineStr">
        <is>
          <t>Пользовательский интерфейс</t>
        </is>
      </c>
      <c r="K450" s="7" t="n">
        <v>2</v>
      </c>
      <c r="L450" s="8" t="n"/>
      <c r="M450" s="137" t="inlineStr">
        <is>
          <t>+</t>
        </is>
      </c>
      <c r="N450" s="8" t="n"/>
      <c r="O450" s="8" t="n"/>
      <c r="P450" s="8" t="n"/>
      <c r="Q450" s="8" t="n"/>
      <c r="R450" s="8" t="n"/>
      <c r="S450" s="8" t="n"/>
      <c r="T450" s="8" t="n"/>
      <c r="U450" s="8" t="n"/>
      <c r="V450" s="8" t="n"/>
      <c r="W450" s="8" t="n"/>
      <c r="X450" s="139" t="n"/>
      <c r="Y450" s="137" t="inlineStr">
        <is>
          <t>+</t>
        </is>
      </c>
    </row>
    <row r="451">
      <c r="A451" s="6" t="inlineStr">
        <is>
          <t>работник 877</t>
        </is>
      </c>
      <c r="B451" s="6" t="inlineStr">
        <is>
          <t>Машинист мельниц</t>
        </is>
      </c>
      <c r="C451" s="6" t="inlineStr">
        <is>
          <t>ОБЩЕСТВО С ОГРАНИЧЕННОЙ ОТВЕТСТВЕННОСТЬЮ "АМУР ЗОЛОТО"</t>
        </is>
      </c>
      <c r="D451" s="7" t="inlineStr">
        <is>
          <t>2708001686</t>
        </is>
      </c>
      <c r="E451" s="6" t="inlineStr">
        <is>
          <t>ООО "Амур Золото"</t>
        </is>
      </c>
      <c r="F451" s="7" t="inlineStr">
        <is>
          <t>2708001686</t>
        </is>
      </c>
      <c r="G451" s="7" t="inlineStr">
        <is>
          <t>Успешно</t>
        </is>
      </c>
      <c r="H451" s="6" t="n"/>
      <c r="I451" s="6" t="n"/>
      <c r="J451" s="6" t="inlineStr">
        <is>
          <t>Пользовательский интерфейс</t>
        </is>
      </c>
      <c r="K451" s="7" t="n">
        <v>3</v>
      </c>
      <c r="L451" s="8" t="n"/>
      <c r="M451" s="137" t="inlineStr">
        <is>
          <t>+</t>
        </is>
      </c>
      <c r="N451" s="8" t="n"/>
      <c r="O451" s="8" t="n"/>
      <c r="P451" s="8" t="n"/>
      <c r="Q451" s="8" t="n"/>
      <c r="R451" s="8" t="n"/>
      <c r="S451" s="8" t="n"/>
      <c r="T451" s="8" t="n"/>
      <c r="U451" s="8" t="n"/>
      <c r="V451" s="8" t="n"/>
      <c r="W451" s="8" t="n"/>
      <c r="X451" s="137" t="inlineStr">
        <is>
          <t>+</t>
        </is>
      </c>
      <c r="Y451" s="137" t="inlineStr">
        <is>
          <t>+</t>
        </is>
      </c>
    </row>
    <row r="452">
      <c r="A452" s="6" t="inlineStr">
        <is>
          <t>работник 910</t>
        </is>
      </c>
      <c r="B452" s="6" t="inlineStr">
        <is>
          <t>Инженер по планированию</t>
        </is>
      </c>
      <c r="C452" s="6" t="inlineStr">
        <is>
          <t>ОБЩЕСТВО С ОГРАНИЧЕННОЙ ОТВЕТСТВЕННОСТЬЮ "АМУР ЗОЛОТО"</t>
        </is>
      </c>
      <c r="D452" s="7" t="inlineStr">
        <is>
          <t>2708001686</t>
        </is>
      </c>
      <c r="E452" s="6" t="inlineStr">
        <is>
          <t>ООО "Амур Золото"</t>
        </is>
      </c>
      <c r="F452" s="7" t="inlineStr">
        <is>
          <t>2708001686</t>
        </is>
      </c>
      <c r="G452" s="7" t="inlineStr">
        <is>
          <t>Успешно</t>
        </is>
      </c>
      <c r="H452" s="6" t="n"/>
      <c r="I452" s="6" t="n"/>
      <c r="J452" s="6" t="inlineStr">
        <is>
          <t>Пользовательский интерфейс</t>
        </is>
      </c>
      <c r="K452" s="7" t="n">
        <v>3</v>
      </c>
      <c r="L452" s="8" t="n"/>
      <c r="M452" s="137" t="inlineStr">
        <is>
          <t>+</t>
        </is>
      </c>
      <c r="N452" s="8" t="n"/>
      <c r="O452" s="8" t="n"/>
      <c r="P452" s="8" t="n"/>
      <c r="Q452" s="8" t="n"/>
      <c r="R452" s="8" t="n"/>
      <c r="S452" s="8" t="n"/>
      <c r="T452" s="8" t="n"/>
      <c r="U452" s="8" t="n"/>
      <c r="V452" s="8" t="n"/>
      <c r="W452" s="8" t="n"/>
      <c r="X452" s="140" t="inlineStr">
        <is>
          <t>+</t>
        </is>
      </c>
      <c r="Y452" s="137" t="inlineStr">
        <is>
          <t>+</t>
        </is>
      </c>
    </row>
    <row r="453">
      <c r="A453" s="6" t="inlineStr">
        <is>
          <t>работник 415</t>
        </is>
      </c>
      <c r="B453" s="6" t="inlineStr">
        <is>
          <t>Машинист самоходной буровой установки</t>
        </is>
      </c>
      <c r="C453" s="6" t="inlineStr">
        <is>
          <t>ОБЩЕСТВО С ОГРАНИЧЕННОЙ ОТВЕТСТВЕННОСТЬЮ "АМУР ЗОЛОТО"</t>
        </is>
      </c>
      <c r="D453" s="7" t="inlineStr">
        <is>
          <t>2708001686</t>
        </is>
      </c>
      <c r="E453" s="6" t="inlineStr">
        <is>
          <t>ООО "Амур Золото"</t>
        </is>
      </c>
      <c r="F453" s="7" t="inlineStr">
        <is>
          <t>2708001686</t>
        </is>
      </c>
      <c r="G453" s="7" t="inlineStr">
        <is>
          <t>Успешно</t>
        </is>
      </c>
      <c r="H453" s="6" t="n"/>
      <c r="I453" s="6" t="n"/>
      <c r="J453" s="6" t="inlineStr">
        <is>
          <t>Пользовательский интерфейс</t>
        </is>
      </c>
      <c r="K453" s="7" t="n">
        <v>2</v>
      </c>
      <c r="L453" s="8" t="n"/>
      <c r="M453" s="137" t="inlineStr">
        <is>
          <t>+</t>
        </is>
      </c>
      <c r="N453" s="8" t="n"/>
      <c r="O453" s="8" t="n"/>
      <c r="P453" s="8" t="n"/>
      <c r="Q453" s="8" t="n"/>
      <c r="R453" s="8" t="n"/>
      <c r="S453" s="8" t="n"/>
      <c r="T453" s="8" t="n"/>
      <c r="U453" s="8" t="n"/>
      <c r="V453" s="8" t="n"/>
      <c r="W453" s="8" t="n"/>
      <c r="X453" s="139" t="n"/>
      <c r="Y453" s="137" t="inlineStr">
        <is>
          <t>+</t>
        </is>
      </c>
    </row>
    <row r="454">
      <c r="A454" s="6" t="inlineStr">
        <is>
          <t>работник 883</t>
        </is>
      </c>
      <c r="B454" s="6" t="inlineStr">
        <is>
          <t>Помощник машиниста самоходной буровой установки (с исполнением обязанностей пробоотборщика)</t>
        </is>
      </c>
      <c r="C454" s="6" t="inlineStr">
        <is>
          <t>ОБЩЕСТВО С ОГРАНИЧЕННОЙ ОТВЕТСТВЕННОСТЬЮ "АМУР ЗОЛОТО"</t>
        </is>
      </c>
      <c r="D454" s="7" t="inlineStr">
        <is>
          <t>2708001686</t>
        </is>
      </c>
      <c r="E454" s="6" t="inlineStr">
        <is>
          <t>ООО "Амур Золото"</t>
        </is>
      </c>
      <c r="F454" s="7" t="inlineStr">
        <is>
          <t>2708001686</t>
        </is>
      </c>
      <c r="G454" s="7" t="inlineStr">
        <is>
          <t>Успешно</t>
        </is>
      </c>
      <c r="H454" s="6" t="n"/>
      <c r="I454" s="6" t="n"/>
      <c r="J454" s="6" t="inlineStr">
        <is>
          <t>Пользовательский интерфейс</t>
        </is>
      </c>
      <c r="K454" s="7" t="n">
        <v>3</v>
      </c>
      <c r="L454" s="8" t="n"/>
      <c r="M454" s="137" t="inlineStr">
        <is>
          <t>+</t>
        </is>
      </c>
      <c r="N454" s="8" t="n"/>
      <c r="O454" s="8" t="n"/>
      <c r="P454" s="8" t="n"/>
      <c r="Q454" s="8" t="n"/>
      <c r="R454" s="8" t="n"/>
      <c r="S454" s="8" t="n"/>
      <c r="T454" s="8" t="n"/>
      <c r="U454" s="8" t="n"/>
      <c r="V454" s="8" t="n"/>
      <c r="W454" s="8" t="n"/>
      <c r="X454" s="137" t="inlineStr">
        <is>
          <t>+</t>
        </is>
      </c>
      <c r="Y454" s="137" t="inlineStr">
        <is>
          <t>+</t>
        </is>
      </c>
    </row>
    <row r="455">
      <c r="A455" s="6" t="inlineStr">
        <is>
          <t>работник 411</t>
        </is>
      </c>
      <c r="B455" s="6" t="inlineStr">
        <is>
          <t>Водитель погрузчика</t>
        </is>
      </c>
      <c r="C455" s="6" t="inlineStr">
        <is>
          <t>ОБЩЕСТВО С ОГРАНИЧЕННОЙ ОТВЕТСТВЕННОСТЬЮ "АМУР ЗОЛОТО"</t>
        </is>
      </c>
      <c r="D455" s="7" t="inlineStr">
        <is>
          <t>2708001686</t>
        </is>
      </c>
      <c r="E455" s="6" t="inlineStr">
        <is>
          <t>ООО "Амур Золото"</t>
        </is>
      </c>
      <c r="F455" s="7" t="inlineStr">
        <is>
          <t>2708001686</t>
        </is>
      </c>
      <c r="G455" s="7" t="inlineStr">
        <is>
          <t>Успешно</t>
        </is>
      </c>
      <c r="H455" s="6" t="n"/>
      <c r="I455" s="6" t="n"/>
      <c r="J455" s="6" t="inlineStr">
        <is>
          <t>Пользовательский интерфейс</t>
        </is>
      </c>
      <c r="K455" s="7" t="n">
        <v>2</v>
      </c>
      <c r="L455" s="8" t="n"/>
      <c r="M455" s="137" t="inlineStr">
        <is>
          <t>+</t>
        </is>
      </c>
      <c r="N455" s="8" t="n"/>
      <c r="O455" s="8" t="n"/>
      <c r="P455" s="8" t="n"/>
      <c r="Q455" s="8" t="n"/>
      <c r="R455" s="8" t="n"/>
      <c r="S455" s="8" t="n"/>
      <c r="T455" s="8" t="n"/>
      <c r="U455" s="8" t="n"/>
      <c r="V455" s="8" t="n"/>
      <c r="W455" s="8" t="n"/>
      <c r="X455" s="139" t="n"/>
      <c r="Y455" s="137" t="inlineStr">
        <is>
          <t>+</t>
        </is>
      </c>
    </row>
    <row r="456">
      <c r="A456" s="6" t="inlineStr">
        <is>
          <t>работник 358</t>
        </is>
      </c>
      <c r="B456" s="6" t="inlineStr">
        <is>
          <t>Водитель погрузчика</t>
        </is>
      </c>
      <c r="C456" s="6" t="inlineStr">
        <is>
          <t>ОБЩЕСТВО С ОГРАНИЧЕННОЙ ОТВЕТСТВЕННОСТЬЮ "АМУР ЗОЛОТО"</t>
        </is>
      </c>
      <c r="D456" s="7" t="inlineStr">
        <is>
          <t>2708001686</t>
        </is>
      </c>
      <c r="E456" s="6" t="inlineStr">
        <is>
          <t>ООО "Амур Золото"</t>
        </is>
      </c>
      <c r="F456" s="7" t="inlineStr">
        <is>
          <t>2708001686</t>
        </is>
      </c>
      <c r="G456" s="7" t="inlineStr">
        <is>
          <t>Успешно</t>
        </is>
      </c>
      <c r="H456" s="6" t="n"/>
      <c r="I456" s="6" t="n"/>
      <c r="J456" s="6" t="inlineStr">
        <is>
          <t>Пользовательский интерфейс</t>
        </is>
      </c>
      <c r="K456" s="7" t="n">
        <v>3</v>
      </c>
      <c r="L456" s="8" t="n"/>
      <c r="M456" s="137" t="inlineStr">
        <is>
          <t>+</t>
        </is>
      </c>
      <c r="N456" s="8" t="n"/>
      <c r="O456" s="8" t="n"/>
      <c r="P456" s="8" t="n"/>
      <c r="Q456" s="8" t="n"/>
      <c r="R456" s="8" t="n"/>
      <c r="S456" s="8" t="n"/>
      <c r="T456" s="8" t="n"/>
      <c r="U456" s="8" t="n"/>
      <c r="V456" s="8" t="n"/>
      <c r="W456" s="8" t="n"/>
      <c r="X456" s="137" t="inlineStr">
        <is>
          <t>+</t>
        </is>
      </c>
      <c r="Y456" s="137" t="inlineStr">
        <is>
          <t>+</t>
        </is>
      </c>
    </row>
    <row r="457">
      <c r="A457" s="6" t="inlineStr">
        <is>
          <t>работник 520</t>
        </is>
      </c>
      <c r="B457" s="6" t="inlineStr">
        <is>
          <t>Водитель автомобиля (занятый на транспортировании горной массы в технологическом процессе)</t>
        </is>
      </c>
      <c r="C457" s="6" t="inlineStr">
        <is>
          <t>ОБЩЕСТВО С ОГРАНИЧЕННОЙ ОТВЕТСТВЕННОСТЬЮ "АМУР ЗОЛОТО"</t>
        </is>
      </c>
      <c r="D457" s="7" t="inlineStr">
        <is>
          <t>2708001686</t>
        </is>
      </c>
      <c r="E457" s="6" t="inlineStr">
        <is>
          <t>ООО "Амур Золото"</t>
        </is>
      </c>
      <c r="F457" s="7" t="inlineStr">
        <is>
          <t>2708001686</t>
        </is>
      </c>
      <c r="G457" s="7" t="inlineStr">
        <is>
          <t>Успешно</t>
        </is>
      </c>
      <c r="H457" s="6" t="n"/>
      <c r="I457" s="6" t="n"/>
      <c r="J457" s="6" t="inlineStr">
        <is>
          <t>Пользовательский интерфейс</t>
        </is>
      </c>
      <c r="K457" s="7" t="n">
        <v>2</v>
      </c>
      <c r="L457" s="8" t="n"/>
      <c r="M457" s="137" t="inlineStr">
        <is>
          <t>+</t>
        </is>
      </c>
      <c r="N457" s="8" t="n"/>
      <c r="O457" s="8" t="n"/>
      <c r="P457" s="8" t="n"/>
      <c r="Q457" s="8" t="n"/>
      <c r="R457" s="8" t="n"/>
      <c r="S457" s="8" t="n"/>
      <c r="T457" s="8" t="n"/>
      <c r="U457" s="8" t="n"/>
      <c r="V457" s="8" t="n"/>
      <c r="W457" s="8" t="n"/>
      <c r="X457" s="139" t="n"/>
      <c r="Y457" s="137" t="inlineStr">
        <is>
          <t>+</t>
        </is>
      </c>
    </row>
    <row r="458">
      <c r="A458" s="6" t="inlineStr">
        <is>
          <t>работник 324</t>
        </is>
      </c>
      <c r="B458" s="6" t="inlineStr">
        <is>
          <t>Машинист  самоходной буровой установки</t>
        </is>
      </c>
      <c r="C458" s="6" t="inlineStr">
        <is>
          <t>ОБЩЕСТВО С ОГРАНИЧЕННОЙ ОТВЕТСТВЕННОСТЬЮ "АМУР ЗОЛОТО"</t>
        </is>
      </c>
      <c r="D458" s="7" t="inlineStr">
        <is>
          <t>2708001686</t>
        </is>
      </c>
      <c r="E458" s="6" t="inlineStr">
        <is>
          <t>ООО "Амур Золото"</t>
        </is>
      </c>
      <c r="F458" s="7" t="inlineStr">
        <is>
          <t>2708001686</t>
        </is>
      </c>
      <c r="G458" s="7" t="inlineStr">
        <is>
          <t>Успешно</t>
        </is>
      </c>
      <c r="H458" s="6" t="n"/>
      <c r="I458" s="6" t="n"/>
      <c r="J458" s="6" t="inlineStr">
        <is>
          <t>Пользовательский интерфейс</t>
        </is>
      </c>
      <c r="K458" s="7" t="n">
        <v>3</v>
      </c>
      <c r="L458" s="8" t="n"/>
      <c r="M458" s="137" t="inlineStr">
        <is>
          <t>+</t>
        </is>
      </c>
      <c r="N458" s="8" t="n"/>
      <c r="O458" s="8" t="n"/>
      <c r="P458" s="8" t="n"/>
      <c r="Q458" s="8" t="n"/>
      <c r="R458" s="8" t="n"/>
      <c r="S458" s="8" t="n"/>
      <c r="T458" s="8" t="n"/>
      <c r="U458" s="8" t="n"/>
      <c r="V458" s="8" t="n"/>
      <c r="W458" s="8" t="n"/>
      <c r="X458" s="137" t="inlineStr">
        <is>
          <t>+</t>
        </is>
      </c>
      <c r="Y458" s="137" t="inlineStr">
        <is>
          <t>+</t>
        </is>
      </c>
    </row>
    <row r="459">
      <c r="A459" s="6" t="inlineStr">
        <is>
          <t>работник 549</t>
        </is>
      </c>
      <c r="B459" s="6" t="inlineStr">
        <is>
          <t>Машинист самоходной буровой установки (Проходка)</t>
        </is>
      </c>
      <c r="C459" s="6" t="inlineStr">
        <is>
          <t>ОБЩЕСТВО С ОГРАНИЧЕННОЙ ОТВЕТСТВЕННОСТЬЮ "АМУР ЗОЛОТО"</t>
        </is>
      </c>
      <c r="D459" s="7" t="inlineStr">
        <is>
          <t>2708001686</t>
        </is>
      </c>
      <c r="E459" s="6" t="inlineStr">
        <is>
          <t>ООО "Амур Золото"</t>
        </is>
      </c>
      <c r="F459" s="7" t="inlineStr">
        <is>
          <t>2708001686</t>
        </is>
      </c>
      <c r="G459" s="7" t="inlineStr">
        <is>
          <t>Успешно</t>
        </is>
      </c>
      <c r="H459" s="6" t="n"/>
      <c r="I459" s="6" t="n"/>
      <c r="J459" s="6" t="n"/>
      <c r="K459" s="7" t="n">
        <v>2</v>
      </c>
      <c r="L459" s="8" t="n"/>
      <c r="M459" s="137" t="inlineStr">
        <is>
          <t>+</t>
        </is>
      </c>
      <c r="N459" s="8" t="n"/>
      <c r="O459" s="8" t="n"/>
      <c r="P459" s="8" t="n"/>
      <c r="Q459" s="8" t="n"/>
      <c r="R459" s="8" t="n"/>
      <c r="S459" s="8" t="n"/>
      <c r="T459" s="8" t="n"/>
      <c r="U459" s="8" t="n"/>
      <c r="V459" s="8" t="n"/>
      <c r="W459" s="8" t="n"/>
      <c r="X459" s="139" t="n"/>
      <c r="Y459" s="137" t="inlineStr">
        <is>
          <t>+</t>
        </is>
      </c>
    </row>
    <row r="460">
      <c r="A460" s="6" t="inlineStr">
        <is>
          <t>работник 1</t>
        </is>
      </c>
      <c r="B460" s="6" t="inlineStr">
        <is>
          <t>Директор</t>
        </is>
      </c>
      <c r="C460" s="6" t="inlineStr">
        <is>
          <t>ООО "Амур золото". Подразделение: горно-обогатительный комплекс "Юбилейный"</t>
        </is>
      </c>
      <c r="D460" s="7" t="inlineStr">
        <is>
          <t>2708001686</t>
        </is>
      </c>
      <c r="E460" s="6" t="inlineStr">
        <is>
          <t>Автономная некоммерческая организация дополнительного профессионального образования и сертификации "Перспектива"</t>
        </is>
      </c>
      <c r="F460" s="7" t="inlineStr">
        <is>
          <t>2722126782</t>
        </is>
      </c>
      <c r="G460" s="7" t="inlineStr">
        <is>
          <t>Успешно</t>
        </is>
      </c>
      <c r="H460" s="6" t="n"/>
      <c r="I460" s="6" t="n"/>
      <c r="J460" s="6" t="inlineStr">
        <is>
          <t>Пользовательский интерфейс</t>
        </is>
      </c>
      <c r="K460" s="7" t="n">
        <v>4</v>
      </c>
      <c r="L460" s="137" t="inlineStr">
        <is>
          <t>+</t>
        </is>
      </c>
      <c r="M460" s="137" t="inlineStr">
        <is>
          <t>+</t>
        </is>
      </c>
      <c r="N460" s="8" t="n"/>
      <c r="O460" s="8" t="n"/>
      <c r="P460" s="8" t="n"/>
      <c r="Q460" s="8" t="n"/>
      <c r="R460" s="8" t="n"/>
      <c r="S460" s="8" t="n"/>
      <c r="T460" s="8" t="n"/>
      <c r="U460" s="8" t="n"/>
      <c r="V460" s="8" t="n"/>
      <c r="W460" s="8" t="n"/>
      <c r="X460" s="137" t="inlineStr">
        <is>
          <t>+</t>
        </is>
      </c>
      <c r="Y460" s="137" t="inlineStr">
        <is>
          <t>+</t>
        </is>
      </c>
    </row>
    <row r="461">
      <c r="A461" s="6" t="inlineStr">
        <is>
          <t>работник 284</t>
        </is>
      </c>
      <c r="B461" s="6" t="inlineStr">
        <is>
          <t>Водитель погрузчика</t>
        </is>
      </c>
      <c r="C461" s="6" t="inlineStr">
        <is>
          <t>ОБЩЕСТВО С ОГРАНИЧЕННОЙ ОТВЕТСТВЕННОСТЬЮ "АМУР ЗОЛОТО"</t>
        </is>
      </c>
      <c r="D461" s="7" t="inlineStr">
        <is>
          <t>2708001686</t>
        </is>
      </c>
      <c r="E461" s="6" t="inlineStr">
        <is>
          <t>ООО "Амур Золото"</t>
        </is>
      </c>
      <c r="F461" s="7" t="inlineStr">
        <is>
          <t>2708001686</t>
        </is>
      </c>
      <c r="G461" s="7" t="inlineStr">
        <is>
          <t>Успешно</t>
        </is>
      </c>
      <c r="H461" s="6" t="n"/>
      <c r="I461" s="6" t="n"/>
      <c r="J461" s="6" t="inlineStr">
        <is>
          <t>Пользовательский интерфейс</t>
        </is>
      </c>
      <c r="K461" s="7" t="n">
        <v>3</v>
      </c>
      <c r="L461" s="8" t="n"/>
      <c r="M461" s="137" t="inlineStr">
        <is>
          <t>+</t>
        </is>
      </c>
      <c r="N461" s="8" t="n"/>
      <c r="O461" s="8" t="n"/>
      <c r="P461" s="8" t="n"/>
      <c r="Q461" s="8" t="n"/>
      <c r="R461" s="8" t="n"/>
      <c r="S461" s="8" t="n"/>
      <c r="T461" s="8" t="n"/>
      <c r="U461" s="8" t="n"/>
      <c r="V461" s="8" t="n"/>
      <c r="W461" s="8" t="n"/>
      <c r="X461" s="137" t="inlineStr">
        <is>
          <t>+</t>
        </is>
      </c>
      <c r="Y461" s="137" t="inlineStr">
        <is>
          <t>+</t>
        </is>
      </c>
    </row>
    <row r="462">
      <c r="A462" s="6" t="inlineStr">
        <is>
          <t>работник 429</t>
        </is>
      </c>
      <c r="B462" s="6" t="inlineStr">
        <is>
          <t>Бункеровщик</t>
        </is>
      </c>
      <c r="C462" s="6" t="inlineStr">
        <is>
          <t>ОБЩЕСТВО С ОГРАНИЧЕННОЙ ОТВЕТСТВЕННОСТЬЮ "АМУР ЗОЛОТО"</t>
        </is>
      </c>
      <c r="D462" s="7" t="inlineStr">
        <is>
          <t>2708001686</t>
        </is>
      </c>
      <c r="E462" s="6" t="inlineStr">
        <is>
          <t>ООО "Амур Золото"</t>
        </is>
      </c>
      <c r="F462" s="7" t="inlineStr">
        <is>
          <t>2708001686</t>
        </is>
      </c>
      <c r="G462" s="7" t="inlineStr">
        <is>
          <t>Успешно</t>
        </is>
      </c>
      <c r="H462" s="6" t="n"/>
      <c r="I462" s="6" t="n"/>
      <c r="J462" s="6" t="inlineStr">
        <is>
          <t>Пользовательский интерфейс</t>
        </is>
      </c>
      <c r="K462" s="7" t="n">
        <v>2</v>
      </c>
      <c r="L462" s="8" t="n"/>
      <c r="M462" s="137" t="inlineStr">
        <is>
          <t>+</t>
        </is>
      </c>
      <c r="N462" s="8" t="n"/>
      <c r="O462" s="8" t="n"/>
      <c r="P462" s="8" t="n"/>
      <c r="Q462" s="8" t="n"/>
      <c r="R462" s="8" t="n"/>
      <c r="S462" s="8" t="n"/>
      <c r="T462" s="8" t="n"/>
      <c r="U462" s="8" t="n"/>
      <c r="V462" s="8" t="n"/>
      <c r="W462" s="8" t="n"/>
      <c r="X462" s="139" t="n"/>
      <c r="Y462" s="137" t="inlineStr">
        <is>
          <t>+</t>
        </is>
      </c>
    </row>
    <row r="463">
      <c r="A463" s="6" t="inlineStr">
        <is>
          <t>работник 774</t>
        </is>
      </c>
      <c r="B463" s="6" t="inlineStr">
        <is>
          <t>Машинист подземных самоходных машин</t>
        </is>
      </c>
      <c r="C463" s="6" t="inlineStr">
        <is>
          <t>ОБЩЕСТВО С ОГРАНИЧЕННОЙ ОТВЕТСТВЕННОСТЬЮ "АМУР ЗОЛОТО"</t>
        </is>
      </c>
      <c r="D463" s="7" t="inlineStr">
        <is>
          <t>2708001686</t>
        </is>
      </c>
      <c r="E463" s="6" t="inlineStr">
        <is>
          <t>ООО "Амур Золото"</t>
        </is>
      </c>
      <c r="F463" s="7" t="inlineStr">
        <is>
          <t>2708001686</t>
        </is>
      </c>
      <c r="G463" s="7" t="inlineStr">
        <is>
          <t>Успешно</t>
        </is>
      </c>
      <c r="H463" s="6" t="n"/>
      <c r="I463" s="6" t="n"/>
      <c r="J463" s="6" t="inlineStr">
        <is>
          <t>Пользовательский интерфейс</t>
        </is>
      </c>
      <c r="K463" s="7" t="n">
        <v>3</v>
      </c>
      <c r="L463" s="8" t="n"/>
      <c r="M463" s="137" t="inlineStr">
        <is>
          <t>+</t>
        </is>
      </c>
      <c r="N463" s="8" t="n"/>
      <c r="O463" s="8" t="n"/>
      <c r="P463" s="8" t="n"/>
      <c r="Q463" s="8" t="n"/>
      <c r="R463" s="8" t="n"/>
      <c r="S463" s="8" t="n"/>
      <c r="T463" s="8" t="n"/>
      <c r="U463" s="8" t="n"/>
      <c r="V463" s="8" t="n"/>
      <c r="W463" s="8" t="n"/>
      <c r="X463" s="137" t="inlineStr">
        <is>
          <t>+</t>
        </is>
      </c>
      <c r="Y463" s="137" t="inlineStr">
        <is>
          <t>+</t>
        </is>
      </c>
    </row>
    <row r="464">
      <c r="A464" s="6" t="inlineStr">
        <is>
          <t>работник 30</t>
        </is>
      </c>
      <c r="B464" s="6" t="inlineStr">
        <is>
          <t>Электромантер</t>
        </is>
      </c>
      <c r="C464" s="6" t="inlineStr">
        <is>
          <t>ОБЩЕСТВО С ОГРАНИЧЕННОЙ ОТВЕТСТВЕННОСТЬЮ "АМУР ЗОЛОТО"</t>
        </is>
      </c>
      <c r="D464" s="7" t="inlineStr">
        <is>
          <t>2708001686</t>
        </is>
      </c>
      <c r="E464" s="6" t="inlineStr">
        <is>
          <t>ООО "Амур Золото"</t>
        </is>
      </c>
      <c r="F464" s="7" t="inlineStr">
        <is>
          <t>2708001686</t>
        </is>
      </c>
      <c r="G464" s="7" t="inlineStr">
        <is>
          <t>Успешно</t>
        </is>
      </c>
      <c r="H464" s="6" t="n"/>
      <c r="I464" s="6" t="n"/>
      <c r="J464" s="6" t="inlineStr">
        <is>
          <t>Пользовательский интерфейс</t>
        </is>
      </c>
      <c r="K464" s="7" t="n">
        <v>2</v>
      </c>
      <c r="L464" s="8" t="n"/>
      <c r="M464" s="139" t="n"/>
      <c r="N464" s="137" t="inlineStr">
        <is>
          <t>+</t>
        </is>
      </c>
      <c r="O464" s="8" t="n"/>
      <c r="P464" s="8" t="n"/>
      <c r="Q464" s="8" t="n"/>
      <c r="R464" s="8" t="n"/>
      <c r="S464" s="8" t="n"/>
      <c r="T464" s="137" t="inlineStr">
        <is>
          <t>+</t>
        </is>
      </c>
      <c r="U464" s="8" t="n"/>
      <c r="V464" s="8" t="n"/>
      <c r="W464" s="8" t="n"/>
      <c r="X464" s="139" t="n"/>
      <c r="Y464" s="141" t="n"/>
    </row>
    <row r="465">
      <c r="A465" s="6" t="inlineStr">
        <is>
          <t>работник 330</t>
        </is>
      </c>
      <c r="B465" s="6" t="inlineStr">
        <is>
          <t>Дробильщик</t>
        </is>
      </c>
      <c r="C465" s="6" t="inlineStr">
        <is>
          <t>ОБЩЕСТВО С ОГРАНИЧЕННОЙ ОТВЕТСТВЕННОСТЬЮ "АМУР ЗОЛОТО"</t>
        </is>
      </c>
      <c r="D465" s="7" t="inlineStr">
        <is>
          <t>2708001686</t>
        </is>
      </c>
      <c r="E465" s="6" t="inlineStr">
        <is>
          <t>ООО "Амур Золото"</t>
        </is>
      </c>
      <c r="F465" s="7" t="inlineStr">
        <is>
          <t>2708001686</t>
        </is>
      </c>
      <c r="G465" s="7" t="inlineStr">
        <is>
          <t>Успешно</t>
        </is>
      </c>
      <c r="H465" s="6" t="n"/>
      <c r="I465" s="6" t="n"/>
      <c r="J465" s="6" t="inlineStr">
        <is>
          <t>Пользовательский интерфейс</t>
        </is>
      </c>
      <c r="K465" s="7" t="n">
        <v>3</v>
      </c>
      <c r="L465" s="8" t="n"/>
      <c r="M465" s="137" t="inlineStr">
        <is>
          <t>+</t>
        </is>
      </c>
      <c r="N465" s="8" t="n"/>
      <c r="O465" s="8" t="n"/>
      <c r="P465" s="8" t="n"/>
      <c r="Q465" s="8" t="n"/>
      <c r="R465" s="8" t="n"/>
      <c r="S465" s="8" t="n"/>
      <c r="T465" s="8" t="n"/>
      <c r="U465" s="8" t="n"/>
      <c r="V465" s="8" t="n"/>
      <c r="W465" s="8" t="n"/>
      <c r="X465" s="137" t="inlineStr">
        <is>
          <t>+</t>
        </is>
      </c>
      <c r="Y465" s="137" t="inlineStr">
        <is>
          <t>+</t>
        </is>
      </c>
    </row>
    <row r="466">
      <c r="A466" s="6" t="inlineStr">
        <is>
          <t>работник 701</t>
        </is>
      </c>
      <c r="B466" s="6" t="inlineStr">
        <is>
          <t>Электрогазосварщик</t>
        </is>
      </c>
      <c r="C466" s="6" t="inlineStr">
        <is>
          <t>ОБЩЕСТВО С ОГРАНИЧЕННОЙ ОТВЕТСТВЕННОСТЬЮ "АМУР ЗОЛОТО"</t>
        </is>
      </c>
      <c r="D466" s="7" t="inlineStr">
        <is>
          <t>2708001686</t>
        </is>
      </c>
      <c r="E466" s="6" t="inlineStr">
        <is>
          <t>ООО "Амур Золото"</t>
        </is>
      </c>
      <c r="F466" s="7" t="inlineStr">
        <is>
          <t>2708001686</t>
        </is>
      </c>
      <c r="G466" s="7" t="inlineStr">
        <is>
          <t>Успешно</t>
        </is>
      </c>
      <c r="H466" s="6" t="n"/>
      <c r="I466" s="6" t="n"/>
      <c r="J466" s="6" t="inlineStr">
        <is>
          <t>Пользовательский интерфейс</t>
        </is>
      </c>
      <c r="K466" s="7" t="n">
        <v>3</v>
      </c>
      <c r="L466" s="8" t="n"/>
      <c r="M466" s="137" t="inlineStr">
        <is>
          <t>+</t>
        </is>
      </c>
      <c r="N466" s="8" t="n"/>
      <c r="O466" s="137" t="inlineStr">
        <is>
          <t>+</t>
        </is>
      </c>
      <c r="P466" s="8" t="n"/>
      <c r="Q466" s="8" t="n"/>
      <c r="R466" s="8" t="n"/>
      <c r="S466" s="8" t="n"/>
      <c r="T466" s="8" t="n"/>
      <c r="U466" s="8" t="n"/>
      <c r="V466" s="8" t="n"/>
      <c r="W466" s="8" t="n"/>
      <c r="X466" s="139" t="n"/>
      <c r="Y466" s="137" t="inlineStr">
        <is>
          <t>+</t>
        </is>
      </c>
    </row>
    <row r="467">
      <c r="A467" s="6" t="inlineStr">
        <is>
          <t>работник 826</t>
        </is>
      </c>
      <c r="B467" s="6" t="inlineStr">
        <is>
          <t>Лаборант пробирного анализа</t>
        </is>
      </c>
      <c r="C467" s="6" t="inlineStr">
        <is>
          <t>ОБЩЕСТВО С ОГРАНИЧЕННОЙ ОТВЕТСТВЕННОСТЬЮ "АМУР ЗОЛОТО"</t>
        </is>
      </c>
      <c r="D467" s="7" t="inlineStr">
        <is>
          <t>2708001686</t>
        </is>
      </c>
      <c r="E467" s="6" t="inlineStr">
        <is>
          <t>ООО "Амур Золото"</t>
        </is>
      </c>
      <c r="F467" s="7" t="inlineStr">
        <is>
          <t>2708001686</t>
        </is>
      </c>
      <c r="G467" s="7" t="inlineStr">
        <is>
          <t>Успешно</t>
        </is>
      </c>
      <c r="H467" s="6" t="n"/>
      <c r="I467" s="6" t="n"/>
      <c r="J467" s="6" t="inlineStr">
        <is>
          <t>Пользовательский интерфейс</t>
        </is>
      </c>
      <c r="K467" s="7" t="n">
        <v>2</v>
      </c>
      <c r="L467" s="8" t="n"/>
      <c r="M467" s="137" t="inlineStr">
        <is>
          <t>+</t>
        </is>
      </c>
      <c r="N467" s="8" t="n"/>
      <c r="O467" s="8" t="n"/>
      <c r="P467" s="8" t="n"/>
      <c r="Q467" s="8" t="n"/>
      <c r="R467" s="8" t="n"/>
      <c r="S467" s="8" t="n"/>
      <c r="T467" s="8" t="n"/>
      <c r="U467" s="8" t="n"/>
      <c r="V467" s="8" t="n"/>
      <c r="W467" s="8" t="n"/>
      <c r="X467" s="139" t="n"/>
      <c r="Y467" s="137" t="inlineStr">
        <is>
          <t>+</t>
        </is>
      </c>
    </row>
    <row r="468">
      <c r="A468" s="6" t="inlineStr">
        <is>
          <t>работник 845</t>
        </is>
      </c>
      <c r="B468" s="6" t="inlineStr">
        <is>
          <t>Проходчик (с исполнением обязанностей взрывника)</t>
        </is>
      </c>
      <c r="C468" s="6" t="inlineStr">
        <is>
          <t>ОБЩЕСТВО С ОГРАНИЧЕННОЙ ОТВЕТСТВЕННОСТЬЮ "АМУР ЗОЛОТО"</t>
        </is>
      </c>
      <c r="D468" s="7" t="inlineStr">
        <is>
          <t>2708001686</t>
        </is>
      </c>
      <c r="E468" s="6" t="inlineStr">
        <is>
          <t>ООО "Амур Золото"</t>
        </is>
      </c>
      <c r="F468" s="7" t="inlineStr">
        <is>
          <t>2708001686</t>
        </is>
      </c>
      <c r="G468" s="7" t="inlineStr">
        <is>
          <t>Успешно</t>
        </is>
      </c>
      <c r="H468" s="6" t="n"/>
      <c r="I468" s="6" t="n"/>
      <c r="J468" s="6" t="inlineStr">
        <is>
          <t>Пользовательский интерфейс</t>
        </is>
      </c>
      <c r="K468" s="7" t="n">
        <v>3</v>
      </c>
      <c r="L468" s="8" t="n"/>
      <c r="M468" s="137" t="inlineStr">
        <is>
          <t>+</t>
        </is>
      </c>
      <c r="N468" s="8" t="n"/>
      <c r="O468" s="8" t="n"/>
      <c r="P468" s="8" t="n"/>
      <c r="Q468" s="8" t="n"/>
      <c r="R468" s="8" t="n"/>
      <c r="S468" s="8" t="n"/>
      <c r="T468" s="8" t="n"/>
      <c r="U468" s="8" t="n"/>
      <c r="V468" s="8" t="n"/>
      <c r="W468" s="8" t="n"/>
      <c r="X468" s="137" t="inlineStr">
        <is>
          <t>+</t>
        </is>
      </c>
      <c r="Y468" s="137" t="inlineStr">
        <is>
          <t>+</t>
        </is>
      </c>
    </row>
    <row r="469">
      <c r="A469" s="6" t="inlineStr">
        <is>
          <t>работник 914</t>
        </is>
      </c>
      <c r="B469" s="6" t="inlineStr">
        <is>
          <t>Слесарь-ремонтник (по ремонту обогатительного оборудования)</t>
        </is>
      </c>
      <c r="C469" s="6" t="inlineStr">
        <is>
          <t>ОБЩЕСТВО С ОГРАНИЧЕННОЙ ОТВЕТСТВЕННОСТЬЮ "АМУР ЗОЛОТО"</t>
        </is>
      </c>
      <c r="D469" s="7" t="inlineStr">
        <is>
          <t>2708001686</t>
        </is>
      </c>
      <c r="E469" s="6" t="inlineStr">
        <is>
          <t>ООО "Амур Золото"</t>
        </is>
      </c>
      <c r="F469" s="7" t="inlineStr">
        <is>
          <t>2708001686</t>
        </is>
      </c>
      <c r="G469" s="7" t="inlineStr">
        <is>
          <t>Успешно</t>
        </is>
      </c>
      <c r="H469" s="6" t="n"/>
      <c r="I469" s="6" t="n"/>
      <c r="J469" s="6" t="inlineStr">
        <is>
          <t>Пользовательский интерфейс</t>
        </is>
      </c>
      <c r="K469" s="7" t="n">
        <v>3</v>
      </c>
      <c r="L469" s="8" t="n"/>
      <c r="M469" s="137" t="inlineStr">
        <is>
          <t>+</t>
        </is>
      </c>
      <c r="N469" s="8" t="n"/>
      <c r="O469" s="8" t="n"/>
      <c r="P469" s="8" t="n"/>
      <c r="Q469" s="8" t="n"/>
      <c r="R469" s="8" t="n"/>
      <c r="S469" s="8" t="n"/>
      <c r="T469" s="8" t="n"/>
      <c r="U469" s="8" t="n"/>
      <c r="V469" s="8" t="n"/>
      <c r="W469" s="8" t="n"/>
      <c r="X469" s="137" t="inlineStr">
        <is>
          <t>+</t>
        </is>
      </c>
      <c r="Y469" s="137" t="inlineStr">
        <is>
          <t>+</t>
        </is>
      </c>
    </row>
    <row r="470">
      <c r="A470" s="6" t="inlineStr">
        <is>
          <t>работник 760</t>
        </is>
      </c>
      <c r="B470" s="6" t="inlineStr">
        <is>
          <t>Раздатчик взрывчатых материалов (с исполнением обязанностей аппаратчика по изготовлению взрывчатых материалов)</t>
        </is>
      </c>
      <c r="C470" s="6" t="inlineStr">
        <is>
          <t>ОБЩЕСТВО С ОГРАНИЧЕННОЙ ОТВЕТСТВЕННОСТЬЮ "АМУР ЗОЛОТО"</t>
        </is>
      </c>
      <c r="D470" s="7" t="inlineStr">
        <is>
          <t>2708001686</t>
        </is>
      </c>
      <c r="E470" s="6" t="inlineStr">
        <is>
          <t>ООО "Амур Золото"</t>
        </is>
      </c>
      <c r="F470" s="7" t="inlineStr">
        <is>
          <t>2708001686</t>
        </is>
      </c>
      <c r="G470" s="7" t="inlineStr">
        <is>
          <t>Успешно</t>
        </is>
      </c>
      <c r="H470" s="6" t="n"/>
      <c r="I470" s="6" t="n"/>
      <c r="J470" s="6" t="inlineStr">
        <is>
          <t>Пользовательский интерфейс</t>
        </is>
      </c>
      <c r="K470" s="7" t="n">
        <v>3</v>
      </c>
      <c r="L470" s="8" t="n"/>
      <c r="M470" s="137" t="inlineStr">
        <is>
          <t>+</t>
        </is>
      </c>
      <c r="N470" s="8" t="n"/>
      <c r="O470" s="8" t="n"/>
      <c r="P470" s="8" t="n"/>
      <c r="Q470" s="8" t="n"/>
      <c r="R470" s="8" t="n"/>
      <c r="S470" s="8" t="n"/>
      <c r="T470" s="8" t="n"/>
      <c r="U470" s="8" t="n"/>
      <c r="V470" s="8" t="n"/>
      <c r="W470" s="8" t="n"/>
      <c r="X470" s="137" t="inlineStr">
        <is>
          <t>+</t>
        </is>
      </c>
      <c r="Y470" s="137" t="inlineStr">
        <is>
          <t>+</t>
        </is>
      </c>
    </row>
    <row r="471">
      <c r="A471" s="6" t="inlineStr">
        <is>
          <t>работник 724</t>
        </is>
      </c>
      <c r="B471" s="6" t="inlineStr">
        <is>
          <t>Машинист бульдозера</t>
        </is>
      </c>
      <c r="C471" s="6" t="inlineStr">
        <is>
          <t>ОБЩЕСТВО С ОГРАНИЧЕННОЙ ОТВЕТСТВЕННОСТЬЮ "АМУР ЗОЛОТО"</t>
        </is>
      </c>
      <c r="D471" s="7" t="inlineStr">
        <is>
          <t>2708001686</t>
        </is>
      </c>
      <c r="E471" s="6" t="inlineStr">
        <is>
          <t>ООО "Амур Золото"</t>
        </is>
      </c>
      <c r="F471" s="7" t="inlineStr">
        <is>
          <t>2708001686</t>
        </is>
      </c>
      <c r="G471" s="7" t="inlineStr">
        <is>
          <t>Успешно</t>
        </is>
      </c>
      <c r="H471" s="6" t="n"/>
      <c r="I471" s="6" t="n"/>
      <c r="J471" s="6" t="inlineStr">
        <is>
          <t>Пользовательский интерфейс</t>
        </is>
      </c>
      <c r="K471" s="7" t="n">
        <v>2</v>
      </c>
      <c r="L471" s="8" t="n"/>
      <c r="M471" s="137" t="inlineStr">
        <is>
          <t>+</t>
        </is>
      </c>
      <c r="N471" s="8" t="n"/>
      <c r="O471" s="8" t="n"/>
      <c r="P471" s="8" t="n"/>
      <c r="Q471" s="8" t="n"/>
      <c r="R471" s="8" t="n"/>
      <c r="S471" s="8" t="n"/>
      <c r="T471" s="8" t="n"/>
      <c r="U471" s="8" t="n"/>
      <c r="V471" s="8" t="n"/>
      <c r="W471" s="8" t="n"/>
      <c r="X471" s="139" t="n"/>
      <c r="Y471" s="137" t="inlineStr">
        <is>
          <t>+</t>
        </is>
      </c>
    </row>
    <row r="472">
      <c r="A472" s="6" t="inlineStr">
        <is>
          <t>работник 25</t>
        </is>
      </c>
      <c r="B472" s="6" t="inlineStr">
        <is>
          <t>Слесарь-ремонтник</t>
        </is>
      </c>
      <c r="C472" s="6" t="inlineStr">
        <is>
          <t>ОБЩЕСТВО С ОГРАНИЧЕННОЙ ОТВЕТСТВЕННОСТЬЮ "АМУР ЗОЛОТО"</t>
        </is>
      </c>
      <c r="D472" s="7" t="inlineStr">
        <is>
          <t>2708001686</t>
        </is>
      </c>
      <c r="E472" s="6" t="inlineStr">
        <is>
          <t>ООО "Амур Золото"</t>
        </is>
      </c>
      <c r="F472" s="7" t="inlineStr">
        <is>
          <t>2708001686</t>
        </is>
      </c>
      <c r="G472" s="7" t="inlineStr">
        <is>
          <t>Успешно</t>
        </is>
      </c>
      <c r="H472" s="6" t="n"/>
      <c r="I472" s="6" t="n"/>
      <c r="J472" s="6" t="inlineStr">
        <is>
          <t>Пользовательский интерфейс</t>
        </is>
      </c>
      <c r="K472" s="7" t="n">
        <v>6</v>
      </c>
      <c r="L472" s="8" t="n"/>
      <c r="M472" s="139" t="n"/>
      <c r="N472" s="137" t="inlineStr">
        <is>
          <t>+</t>
        </is>
      </c>
      <c r="O472" s="137" t="inlineStr">
        <is>
          <t>+</t>
        </is>
      </c>
      <c r="P472" s="137" t="inlineStr">
        <is>
          <t>+</t>
        </is>
      </c>
      <c r="Q472" s="137" t="inlineStr">
        <is>
          <t>+</t>
        </is>
      </c>
      <c r="R472" s="137" t="inlineStr">
        <is>
          <t>+</t>
        </is>
      </c>
      <c r="S472" s="137" t="inlineStr">
        <is>
          <t>+</t>
        </is>
      </c>
      <c r="T472" s="8" t="n"/>
      <c r="U472" s="8" t="n"/>
      <c r="V472" s="8" t="n"/>
      <c r="W472" s="8" t="n"/>
      <c r="X472" s="139" t="n"/>
      <c r="Y472" s="141" t="n"/>
    </row>
    <row r="473">
      <c r="A473" s="6" t="inlineStr">
        <is>
          <t>работник 67</t>
        </is>
      </c>
      <c r="B473" s="6" t="inlineStr">
        <is>
          <t>Электрогазосварщик (занятый на резке и ручной сварке</t>
        </is>
      </c>
      <c r="C473" s="6" t="inlineStr">
        <is>
          <t>ОБЩЕСТВО С ОГРАНИЧЕННОЙ ОТВЕТСТВЕННОСТЬЮ "АМУР ЗОЛОТО"</t>
        </is>
      </c>
      <c r="D473" s="7" t="inlineStr">
        <is>
          <t>2708001686</t>
        </is>
      </c>
      <c r="E473" s="6" t="inlineStr">
        <is>
          <t>ООО "Амур Золото"</t>
        </is>
      </c>
      <c r="F473" s="7" t="inlineStr">
        <is>
          <t>2708001686</t>
        </is>
      </c>
      <c r="G473" s="7" t="inlineStr">
        <is>
          <t>Успешно</t>
        </is>
      </c>
      <c r="H473" s="6" t="n"/>
      <c r="I473" s="6" t="n"/>
      <c r="J473" s="6" t="inlineStr">
        <is>
          <t>Пользовательский интерфейс</t>
        </is>
      </c>
      <c r="K473" s="7" t="n">
        <v>6</v>
      </c>
      <c r="L473" s="8" t="n"/>
      <c r="M473" s="137" t="inlineStr">
        <is>
          <t>+</t>
        </is>
      </c>
      <c r="N473" s="8" t="n"/>
      <c r="O473" s="137" t="inlineStr">
        <is>
          <t>+</t>
        </is>
      </c>
      <c r="P473" s="137" t="inlineStr">
        <is>
          <t>+</t>
        </is>
      </c>
      <c r="Q473" s="8" t="n"/>
      <c r="R473" s="8" t="n"/>
      <c r="S473" s="8" t="n"/>
      <c r="T473" s="8" t="n"/>
      <c r="U473" s="137" t="inlineStr">
        <is>
          <t>+</t>
        </is>
      </c>
      <c r="V473" s="8" t="n"/>
      <c r="W473" s="8" t="n"/>
      <c r="X473" s="137" t="inlineStr">
        <is>
          <t>+</t>
        </is>
      </c>
      <c r="Y473" s="137" t="inlineStr">
        <is>
          <t>+</t>
        </is>
      </c>
    </row>
    <row r="474">
      <c r="A474" s="6" t="inlineStr">
        <is>
          <t>работник 808</t>
        </is>
      </c>
      <c r="B474" s="6" t="inlineStr">
        <is>
          <t>повар</t>
        </is>
      </c>
      <c r="C474" s="6" t="inlineStr">
        <is>
          <t>ОБЩЕСТВО С ОГРАНИЧЕННОЙ ОТВЕТСТВЕННОСТЬЮ "АМУР ЗОЛОТО"</t>
        </is>
      </c>
      <c r="D474" s="7" t="inlineStr">
        <is>
          <t>2708001686</t>
        </is>
      </c>
      <c r="E474" s="6" t="inlineStr">
        <is>
          <t>ООО "Амур Золото"</t>
        </is>
      </c>
      <c r="F474" s="7" t="inlineStr">
        <is>
          <t>2708001686</t>
        </is>
      </c>
      <c r="G474" s="7" t="inlineStr">
        <is>
          <t>Успешно</t>
        </is>
      </c>
      <c r="H474" s="6" t="n"/>
      <c r="I474" s="6" t="n"/>
      <c r="J474" s="6" t="inlineStr">
        <is>
          <t>Пользовательский интерфейс</t>
        </is>
      </c>
      <c r="K474" s="7" t="n">
        <v>2</v>
      </c>
      <c r="L474" s="8" t="n"/>
      <c r="M474" s="137" t="inlineStr">
        <is>
          <t>+</t>
        </is>
      </c>
      <c r="N474" s="8" t="n"/>
      <c r="O474" s="8" t="n"/>
      <c r="P474" s="8" t="n"/>
      <c r="Q474" s="8" t="n"/>
      <c r="R474" s="8" t="n"/>
      <c r="S474" s="8" t="n"/>
      <c r="T474" s="8" t="n"/>
      <c r="U474" s="8" t="n"/>
      <c r="V474" s="8" t="n"/>
      <c r="W474" s="8" t="n"/>
      <c r="X474" s="139" t="n"/>
      <c r="Y474" s="138" t="inlineStr">
        <is>
          <t>+</t>
        </is>
      </c>
    </row>
    <row r="475">
      <c r="A475" s="6" t="inlineStr">
        <is>
          <t>работник 470</t>
        </is>
      </c>
      <c r="B475" s="6" t="inlineStr">
        <is>
          <t>Водитель погрузчика</t>
        </is>
      </c>
      <c r="C475" s="6" t="inlineStr">
        <is>
          <t>ОБЩЕСТВО С ОГРАНИЧЕННОЙ ОТВЕТСТВЕННОСТЬЮ "АМУР ЗОЛОТО"</t>
        </is>
      </c>
      <c r="D475" s="7" t="inlineStr">
        <is>
          <t>2708001686</t>
        </is>
      </c>
      <c r="E475" s="6" t="inlineStr">
        <is>
          <t>ООО "Амур Золото"</t>
        </is>
      </c>
      <c r="F475" s="7" t="inlineStr">
        <is>
          <t>2708001686</t>
        </is>
      </c>
      <c r="G475" s="7" t="inlineStr">
        <is>
          <t>Успешно</t>
        </is>
      </c>
      <c r="H475" s="6" t="n"/>
      <c r="I475" s="6" t="n"/>
      <c r="J475" s="6" t="inlineStr">
        <is>
          <t>Пользовательский интерфейс</t>
        </is>
      </c>
      <c r="K475" s="7" t="n">
        <v>2</v>
      </c>
      <c r="L475" s="8" t="n"/>
      <c r="M475" s="137" t="inlineStr">
        <is>
          <t>+</t>
        </is>
      </c>
      <c r="N475" s="8" t="n"/>
      <c r="O475" s="8" t="n"/>
      <c r="P475" s="8" t="n"/>
      <c r="Q475" s="8" t="n"/>
      <c r="R475" s="8" t="n"/>
      <c r="S475" s="8" t="n"/>
      <c r="T475" s="8" t="n"/>
      <c r="U475" s="8" t="n"/>
      <c r="V475" s="8" t="n"/>
      <c r="W475" s="8" t="n"/>
      <c r="X475" s="139" t="n"/>
      <c r="Y475" s="137" t="inlineStr">
        <is>
          <t>+</t>
        </is>
      </c>
    </row>
    <row r="476">
      <c r="A476" s="6" t="inlineStr">
        <is>
          <t>работник 73</t>
        </is>
      </c>
      <c r="B476" s="6" t="inlineStr">
        <is>
          <t>Подсобный рабочий</t>
        </is>
      </c>
      <c r="C476" s="6" t="inlineStr">
        <is>
          <t>ОБЩЕСТВО С ОГРАНИЧЕННОЙ ОТВЕТСТВЕННОСТЬЮ "АМУР ЗОЛОТО"</t>
        </is>
      </c>
      <c r="D476" s="7" t="inlineStr">
        <is>
          <t>2708001686</t>
        </is>
      </c>
      <c r="E476" s="6" t="inlineStr">
        <is>
          <t>ООО "Амур Золото"</t>
        </is>
      </c>
      <c r="F476" s="7" t="inlineStr">
        <is>
          <t>2708001686</t>
        </is>
      </c>
      <c r="G476" s="7" t="inlineStr">
        <is>
          <t>Успешно</t>
        </is>
      </c>
      <c r="H476" s="6" t="n"/>
      <c r="I476" s="6" t="n"/>
      <c r="J476" s="6" t="inlineStr">
        <is>
          <t>Пользовательский интерфейс</t>
        </is>
      </c>
      <c r="K476" s="7" t="n">
        <v>3</v>
      </c>
      <c r="L476" s="8" t="n"/>
      <c r="M476" s="137" t="inlineStr">
        <is>
          <t>+</t>
        </is>
      </c>
      <c r="N476" s="8" t="n"/>
      <c r="O476" s="8" t="n"/>
      <c r="P476" s="8" t="n"/>
      <c r="Q476" s="8" t="n"/>
      <c r="R476" s="8" t="n"/>
      <c r="S476" s="8" t="n"/>
      <c r="T476" s="8" t="n"/>
      <c r="U476" s="8" t="n"/>
      <c r="V476" s="8" t="n"/>
      <c r="W476" s="8" t="n"/>
      <c r="X476" s="137" t="inlineStr">
        <is>
          <t>+</t>
        </is>
      </c>
      <c r="Y476" s="137" t="inlineStr">
        <is>
          <t>+</t>
        </is>
      </c>
    </row>
    <row r="477">
      <c r="A477" s="6" t="inlineStr">
        <is>
          <t>работник 192</t>
        </is>
      </c>
      <c r="B477" s="6" t="inlineStr">
        <is>
          <t>Водитель погрузчика</t>
        </is>
      </c>
      <c r="C477" s="6" t="inlineStr">
        <is>
          <t>ОБЩЕСТВО С ОГРАНИЧЕННОЙ ОТВЕТСТВЕННОСТЬЮ "АМУР ЗОЛОТО"</t>
        </is>
      </c>
      <c r="D477" s="7" t="inlineStr">
        <is>
          <t>2708001686</t>
        </is>
      </c>
      <c r="E477" s="6" t="inlineStr">
        <is>
          <t>ООО "Амур Золото"</t>
        </is>
      </c>
      <c r="F477" s="7" t="inlineStr">
        <is>
          <t>2708001686</t>
        </is>
      </c>
      <c r="G477" s="7" t="inlineStr">
        <is>
          <t>Успешно</t>
        </is>
      </c>
      <c r="H477" s="6" t="n"/>
      <c r="I477" s="6" t="n"/>
      <c r="J477" s="6" t="inlineStr">
        <is>
          <t>Пользовательский интерфейс</t>
        </is>
      </c>
      <c r="K477" s="7" t="n">
        <v>3</v>
      </c>
      <c r="L477" s="8" t="n"/>
      <c r="M477" s="137" t="inlineStr">
        <is>
          <t>+</t>
        </is>
      </c>
      <c r="N477" s="8" t="n"/>
      <c r="O477" s="8" t="n"/>
      <c r="P477" s="8" t="n"/>
      <c r="Q477" s="8" t="n"/>
      <c r="R477" s="8" t="n"/>
      <c r="S477" s="8" t="n"/>
      <c r="T477" s="8" t="n"/>
      <c r="U477" s="8" t="n"/>
      <c r="V477" s="8" t="n"/>
      <c r="W477" s="8" t="n"/>
      <c r="X477" s="137" t="inlineStr">
        <is>
          <t>+</t>
        </is>
      </c>
      <c r="Y477" s="137" t="inlineStr">
        <is>
          <t>+</t>
        </is>
      </c>
    </row>
    <row r="478">
      <c r="A478" s="6" t="inlineStr">
        <is>
          <t>работник 181</t>
        </is>
      </c>
      <c r="B478" s="6" t="inlineStr">
        <is>
          <t>Машинист самоходный буровой установки / Машинист самоходной буровой установки</t>
        </is>
      </c>
      <c r="C478" s="6" t="inlineStr">
        <is>
          <t>ОБЩЕСТВО С ОГРАНИЧЕННОЙ ОТВЕТСТВЕННОСТЬЮ "АМУР ЗОЛОТО"</t>
        </is>
      </c>
      <c r="D478" s="7" t="inlineStr">
        <is>
          <t>2708001686</t>
        </is>
      </c>
      <c r="E478" s="6" t="inlineStr">
        <is>
          <t>ООО "Амур Золото"</t>
        </is>
      </c>
      <c r="F478" s="7" t="inlineStr">
        <is>
          <t>2708001686</t>
        </is>
      </c>
      <c r="G478" s="7" t="inlineStr">
        <is>
          <t>Успешно</t>
        </is>
      </c>
      <c r="H478" s="6" t="n"/>
      <c r="I478" s="6" t="n"/>
      <c r="J478" s="6" t="inlineStr">
        <is>
          <t>Пользовательский интерфейс</t>
        </is>
      </c>
      <c r="K478" s="7" t="n">
        <v>5</v>
      </c>
      <c r="L478" s="8" t="n"/>
      <c r="M478" s="137" t="inlineStr">
        <is>
          <t>+</t>
        </is>
      </c>
      <c r="N478" s="8" t="n"/>
      <c r="O478" s="8" t="n"/>
      <c r="P478" s="8" t="n"/>
      <c r="Q478" s="8" t="n"/>
      <c r="R478" s="8" t="n"/>
      <c r="S478" s="8" t="n"/>
      <c r="T478" s="8" t="n"/>
      <c r="U478" s="8" t="n"/>
      <c r="V478" s="8" t="n"/>
      <c r="W478" s="8" t="n"/>
      <c r="X478" s="137" t="inlineStr">
        <is>
          <t>+</t>
        </is>
      </c>
      <c r="Y478" s="137" t="inlineStr">
        <is>
          <t>+</t>
        </is>
      </c>
    </row>
    <row r="479">
      <c r="A479" s="6" t="inlineStr">
        <is>
          <t>работник 390</t>
        </is>
      </c>
      <c r="B479" s="6" t="inlineStr">
        <is>
          <t>Пробоотборщик</t>
        </is>
      </c>
      <c r="C479" s="6" t="inlineStr">
        <is>
          <t>ОБЩЕСТВО С ОГРАНИЧЕННОЙ ОТВЕТСТВЕННОСТЬЮ "АМУР ЗОЛОТО"</t>
        </is>
      </c>
      <c r="D479" s="7" t="inlineStr">
        <is>
          <t>2708001686</t>
        </is>
      </c>
      <c r="E479" s="6" t="inlineStr">
        <is>
          <t>ООО "Амур Золото"</t>
        </is>
      </c>
      <c r="F479" s="7" t="inlineStr">
        <is>
          <t>2708001686</t>
        </is>
      </c>
      <c r="G479" s="7" t="inlineStr">
        <is>
          <t>Успешно</t>
        </is>
      </c>
      <c r="H479" s="6" t="n"/>
      <c r="I479" s="6" t="n"/>
      <c r="J479" s="6" t="inlineStr">
        <is>
          <t>Пользовательский интерфейс</t>
        </is>
      </c>
      <c r="K479" s="7" t="n">
        <v>3</v>
      </c>
      <c r="L479" s="8" t="n"/>
      <c r="M479" s="137" t="inlineStr">
        <is>
          <t>+</t>
        </is>
      </c>
      <c r="N479" s="8" t="n"/>
      <c r="O479" s="8" t="n"/>
      <c r="P479" s="8" t="n"/>
      <c r="Q479" s="8" t="n"/>
      <c r="R479" s="8" t="n"/>
      <c r="S479" s="8" t="n"/>
      <c r="T479" s="8" t="n"/>
      <c r="U479" s="8" t="n"/>
      <c r="V479" s="8" t="n"/>
      <c r="W479" s="8" t="n"/>
      <c r="X479" s="137" t="inlineStr">
        <is>
          <t>+</t>
        </is>
      </c>
      <c r="Y479" s="137" t="inlineStr">
        <is>
          <t>+</t>
        </is>
      </c>
    </row>
    <row r="480">
      <c r="A480" s="6" t="inlineStr">
        <is>
          <t>работник 512</t>
        </is>
      </c>
      <c r="B480" s="6" t="inlineStr">
        <is>
          <t>Оператор дизельных котлов</t>
        </is>
      </c>
      <c r="C480" s="6" t="inlineStr">
        <is>
          <t>ОБЩЕСТВО С ОГРАНИЧЕННОЙ ОТВЕТСТВЕННОСТЬЮ "АМУР ЗОЛОТО"</t>
        </is>
      </c>
      <c r="D480" s="7" t="inlineStr">
        <is>
          <t>2708001686</t>
        </is>
      </c>
      <c r="E480" s="6" t="inlineStr">
        <is>
          <t>ООО "Амур Золото"</t>
        </is>
      </c>
      <c r="F480" s="7" t="inlineStr">
        <is>
          <t>2708001686</t>
        </is>
      </c>
      <c r="G480" s="7" t="inlineStr">
        <is>
          <t>Успешно</t>
        </is>
      </c>
      <c r="H480" s="6" t="n"/>
      <c r="I480" s="6" t="n"/>
      <c r="J480" s="6" t="n"/>
      <c r="K480" s="7" t="n">
        <v>2</v>
      </c>
      <c r="L480" s="8" t="n"/>
      <c r="M480" s="137" t="inlineStr">
        <is>
          <t>+</t>
        </is>
      </c>
      <c r="N480" s="8" t="n"/>
      <c r="O480" s="8" t="n"/>
      <c r="P480" s="8" t="n"/>
      <c r="Q480" s="8" t="n"/>
      <c r="R480" s="8" t="n"/>
      <c r="S480" s="8" t="n"/>
      <c r="T480" s="8" t="n"/>
      <c r="U480" s="8" t="n"/>
      <c r="V480" s="8" t="n"/>
      <c r="W480" s="8" t="n"/>
      <c r="X480" s="139" t="n"/>
      <c r="Y480" s="137" t="inlineStr">
        <is>
          <t>+</t>
        </is>
      </c>
    </row>
    <row r="481">
      <c r="A481" s="6" t="inlineStr">
        <is>
          <t>работник 490</t>
        </is>
      </c>
      <c r="B481" s="6" t="inlineStr">
        <is>
          <t>Машинист  самоходной буровой установки (Очистное</t>
        </is>
      </c>
      <c r="C481" s="6" t="inlineStr">
        <is>
          <t>ОБЩЕСТВО С ОГРАНИЧЕННОЙ ОТВЕТСТВЕННОСТЬЮ "АМУР ЗОЛОТО"</t>
        </is>
      </c>
      <c r="D481" s="7" t="inlineStr">
        <is>
          <t>2708001686</t>
        </is>
      </c>
      <c r="E481" s="6" t="inlineStr">
        <is>
          <t>ООО "Амур Золото"</t>
        </is>
      </c>
      <c r="F481" s="7" t="inlineStr">
        <is>
          <t>2708001686</t>
        </is>
      </c>
      <c r="G481" s="7" t="inlineStr">
        <is>
          <t>Успешно</t>
        </is>
      </c>
      <c r="H481" s="6" t="n"/>
      <c r="I481" s="6" t="n"/>
      <c r="J481" s="6" t="inlineStr">
        <is>
          <t>Пользовательский интерфейс</t>
        </is>
      </c>
      <c r="K481" s="7" t="n">
        <v>2</v>
      </c>
      <c r="L481" s="8" t="n"/>
      <c r="M481" s="137" t="inlineStr">
        <is>
          <t>+</t>
        </is>
      </c>
      <c r="N481" s="8" t="n"/>
      <c r="O481" s="8" t="n"/>
      <c r="P481" s="8" t="n"/>
      <c r="Q481" s="8" t="n"/>
      <c r="R481" s="8" t="n"/>
      <c r="S481" s="8" t="n"/>
      <c r="T481" s="8" t="n"/>
      <c r="U481" s="8" t="n"/>
      <c r="V481" s="8" t="n"/>
      <c r="W481" s="8" t="n"/>
      <c r="X481" s="139" t="n"/>
      <c r="Y481" s="137" t="inlineStr">
        <is>
          <t>+</t>
        </is>
      </c>
    </row>
    <row r="482">
      <c r="A482" s="6" t="inlineStr">
        <is>
          <t>работник 852</t>
        </is>
      </c>
      <c r="B482" s="6" t="inlineStr">
        <is>
          <t>Машинист самоходной буровой установки</t>
        </is>
      </c>
      <c r="C482" s="6" t="inlineStr">
        <is>
          <t>ОБЩЕСТВО С ОГРАНИЧЕННОЙ ОТВЕТСТВЕННОСТЬЮ "АМУР ЗОЛОТО"</t>
        </is>
      </c>
      <c r="D482" s="7" t="inlineStr">
        <is>
          <t>2708001686</t>
        </is>
      </c>
      <c r="E482" s="6" t="inlineStr">
        <is>
          <t>ООО "Амур Золото"</t>
        </is>
      </c>
      <c r="F482" s="7" t="inlineStr">
        <is>
          <t>2708001686</t>
        </is>
      </c>
      <c r="G482" s="7" t="inlineStr">
        <is>
          <t>Успешно</t>
        </is>
      </c>
      <c r="H482" s="6" t="n"/>
      <c r="I482" s="6" t="n"/>
      <c r="J482" s="6" t="inlineStr">
        <is>
          <t>Пользовательский интерфейс</t>
        </is>
      </c>
      <c r="K482" s="7" t="n">
        <v>3</v>
      </c>
      <c r="L482" s="8" t="n"/>
      <c r="M482" s="137" t="inlineStr">
        <is>
          <t>+</t>
        </is>
      </c>
      <c r="N482" s="8" t="n"/>
      <c r="O482" s="8" t="n"/>
      <c r="P482" s="8" t="n"/>
      <c r="Q482" s="8" t="n"/>
      <c r="R482" s="8" t="n"/>
      <c r="S482" s="8" t="n"/>
      <c r="T482" s="8" t="n"/>
      <c r="U482" s="8" t="n"/>
      <c r="V482" s="8" t="n"/>
      <c r="W482" s="8" t="n"/>
      <c r="X482" s="137" t="inlineStr">
        <is>
          <t>+</t>
        </is>
      </c>
      <c r="Y482" s="137" t="inlineStr">
        <is>
          <t>+</t>
        </is>
      </c>
    </row>
    <row r="483">
      <c r="A483" s="6" t="inlineStr">
        <is>
          <t>работник 608</t>
        </is>
      </c>
      <c r="B483" s="6" t="inlineStr">
        <is>
          <t>Стропальщик / Стропальщик (с исполнением обязанностей грузчика)</t>
        </is>
      </c>
      <c r="C483" s="6" t="inlineStr">
        <is>
          <t>ОБЩЕСТВО С ОГРАНИЧЕННОЙ ОТВЕТСТВЕННОСТЬЮ "АМУР ЗОЛОТО"</t>
        </is>
      </c>
      <c r="D483" s="7" t="inlineStr">
        <is>
          <t>2708001686</t>
        </is>
      </c>
      <c r="E483" s="6" t="inlineStr">
        <is>
          <t>ООО "Амур Золото"</t>
        </is>
      </c>
      <c r="F483" s="7" t="inlineStr">
        <is>
          <t>2708001686</t>
        </is>
      </c>
      <c r="G483" s="7" t="inlineStr">
        <is>
          <t>Успешно</t>
        </is>
      </c>
      <c r="H483" s="6" t="n"/>
      <c r="I483" s="6" t="n"/>
      <c r="J483" s="6" t="inlineStr">
        <is>
          <t>Пользовательский интерфейс</t>
        </is>
      </c>
      <c r="K483" s="7" t="n">
        <v>5</v>
      </c>
      <c r="L483" s="8" t="n"/>
      <c r="M483" s="137" t="inlineStr">
        <is>
          <t>+</t>
        </is>
      </c>
      <c r="N483" s="8" t="n"/>
      <c r="O483" s="8" t="n"/>
      <c r="P483" s="8" t="n"/>
      <c r="Q483" s="8" t="n"/>
      <c r="R483" s="8" t="n"/>
      <c r="S483" s="8" t="n"/>
      <c r="T483" s="8" t="n"/>
      <c r="U483" s="8" t="n"/>
      <c r="V483" s="8" t="n"/>
      <c r="W483" s="8" t="n"/>
      <c r="X483" s="137" t="inlineStr">
        <is>
          <t>+</t>
        </is>
      </c>
      <c r="Y483" s="137" t="inlineStr">
        <is>
          <t>+</t>
        </is>
      </c>
    </row>
    <row r="484">
      <c r="A484" s="6" t="inlineStr">
        <is>
          <t>работник 432</t>
        </is>
      </c>
      <c r="B484" s="6" t="inlineStr">
        <is>
          <t>Слесарь-ремонтник / Слесарь-ремонтник (по ремонту обогатительного оборудования)</t>
        </is>
      </c>
      <c r="C484" s="6" t="inlineStr">
        <is>
          <t>ОБЩЕСТВО С ОГРАНИЧЕННОЙ ОТВЕТСТВЕННОСТЬЮ "АМУР ЗОЛОТО"</t>
        </is>
      </c>
      <c r="D484" s="7" t="inlineStr">
        <is>
          <t>2708001686</t>
        </is>
      </c>
      <c r="E484" s="6" t="inlineStr">
        <is>
          <t>ООО "Амур Золото"</t>
        </is>
      </c>
      <c r="F484" s="7" t="inlineStr">
        <is>
          <t>2708001686</t>
        </is>
      </c>
      <c r="G484" s="7" t="inlineStr">
        <is>
          <t>Успешно</t>
        </is>
      </c>
      <c r="H484" s="6" t="n"/>
      <c r="I484" s="6" t="n"/>
      <c r="J484" s="6" t="inlineStr">
        <is>
          <t>Пользовательский интерфейс</t>
        </is>
      </c>
      <c r="K484" s="7" t="n">
        <v>11</v>
      </c>
      <c r="L484" s="8" t="n"/>
      <c r="M484" s="137" t="inlineStr">
        <is>
          <t>+</t>
        </is>
      </c>
      <c r="N484" s="137" t="inlineStr">
        <is>
          <t>+</t>
        </is>
      </c>
      <c r="O484" s="137" t="inlineStr">
        <is>
          <t>+</t>
        </is>
      </c>
      <c r="P484" s="137" t="inlineStr">
        <is>
          <t>+</t>
        </is>
      </c>
      <c r="Q484" s="137" t="inlineStr">
        <is>
          <t>+</t>
        </is>
      </c>
      <c r="R484" s="137" t="inlineStr">
        <is>
          <t>+</t>
        </is>
      </c>
      <c r="S484" s="137" t="inlineStr">
        <is>
          <t>+</t>
        </is>
      </c>
      <c r="T484" s="8" t="n"/>
      <c r="U484" s="8" t="n"/>
      <c r="V484" s="8" t="n"/>
      <c r="W484" s="8" t="n"/>
      <c r="X484" s="137" t="inlineStr">
        <is>
          <t>+</t>
        </is>
      </c>
      <c r="Y484" s="137" t="inlineStr">
        <is>
          <t>+</t>
        </is>
      </c>
    </row>
    <row r="485">
      <c r="A485" s="6" t="inlineStr">
        <is>
          <t>работник 430</t>
        </is>
      </c>
      <c r="B485" s="6" t="inlineStr">
        <is>
          <t>Машинист мельниц / Машинист мельницы</t>
        </is>
      </c>
      <c r="C485" s="6" t="inlineStr">
        <is>
          <t>ОБЩЕСТВО С ОГРАНИЧЕННОЙ ОТВЕТСТВЕННОСТЬЮ "АМУР ЗОЛОТО"</t>
        </is>
      </c>
      <c r="D485" s="7" t="inlineStr">
        <is>
          <t>2708001686</t>
        </is>
      </c>
      <c r="E485" s="6" t="inlineStr">
        <is>
          <t>ООО "Амур Золото"</t>
        </is>
      </c>
      <c r="F485" s="7" t="inlineStr">
        <is>
          <t>2708001686</t>
        </is>
      </c>
      <c r="G485" s="7" t="inlineStr">
        <is>
          <t>Успешно</t>
        </is>
      </c>
      <c r="H485" s="6" t="n"/>
      <c r="I485" s="6" t="n"/>
      <c r="J485" s="6" t="inlineStr">
        <is>
          <t>Пользовательский интерфейс</t>
        </is>
      </c>
      <c r="K485" s="7" t="n">
        <v>3</v>
      </c>
      <c r="L485" s="8" t="n"/>
      <c r="M485" s="137" t="inlineStr">
        <is>
          <t>+</t>
        </is>
      </c>
      <c r="N485" s="8" t="n"/>
      <c r="O485" s="8" t="n"/>
      <c r="P485" s="8" t="n"/>
      <c r="Q485" s="8" t="n"/>
      <c r="R485" s="8" t="n"/>
      <c r="S485" s="8" t="n"/>
      <c r="T485" s="8" t="n"/>
      <c r="U485" s="8" t="n"/>
      <c r="V485" s="8" t="n"/>
      <c r="W485" s="8" t="n"/>
      <c r="X485" s="139" t="n"/>
      <c r="Y485" s="137" t="inlineStr">
        <is>
          <t>+</t>
        </is>
      </c>
    </row>
    <row r="486">
      <c r="A486" s="6" t="inlineStr">
        <is>
          <t>работник 558</t>
        </is>
      </c>
      <c r="B486" s="6" t="inlineStr">
        <is>
          <t>Растворщик реагентов</t>
        </is>
      </c>
      <c r="C486" s="6" t="inlineStr">
        <is>
          <t>ОБЩЕСТВО С ОГРАНИЧЕННОЙ ОТВЕТСТВЕННОСТЬЮ "АМУР ЗОЛОТО"</t>
        </is>
      </c>
      <c r="D486" s="7" t="inlineStr">
        <is>
          <t>2708001686</t>
        </is>
      </c>
      <c r="E486" s="6" t="inlineStr">
        <is>
          <t>ООО "Амур Золото"</t>
        </is>
      </c>
      <c r="F486" s="7" t="inlineStr">
        <is>
          <t>2708001686</t>
        </is>
      </c>
      <c r="G486" s="7" t="inlineStr">
        <is>
          <t>Успешно</t>
        </is>
      </c>
      <c r="H486" s="6" t="n"/>
      <c r="I486" s="6" t="n"/>
      <c r="J486" s="6" t="n"/>
      <c r="K486" s="7" t="n">
        <v>2</v>
      </c>
      <c r="L486" s="8" t="n"/>
      <c r="M486" s="137" t="inlineStr">
        <is>
          <t>+</t>
        </is>
      </c>
      <c r="N486" s="8" t="n"/>
      <c r="O486" s="8" t="n"/>
      <c r="P486" s="8" t="n"/>
      <c r="Q486" s="8" t="n"/>
      <c r="R486" s="8" t="n"/>
      <c r="S486" s="8" t="n"/>
      <c r="T486" s="8" t="n"/>
      <c r="U486" s="8" t="n"/>
      <c r="V486" s="8" t="n"/>
      <c r="W486" s="8" t="n"/>
      <c r="X486" s="139" t="n"/>
      <c r="Y486" s="137" t="inlineStr">
        <is>
          <t>+</t>
        </is>
      </c>
    </row>
    <row r="487">
      <c r="A487" s="6" t="inlineStr">
        <is>
          <t>работник 650</t>
        </is>
      </c>
      <c r="B487" s="6" t="inlineStr">
        <is>
          <t>Слесарь-ремонтник (по ремонту обогатительного оборудования)</t>
        </is>
      </c>
      <c r="C487" s="6" t="inlineStr">
        <is>
          <t>ОБЩЕСТВО С ОГРАНИЧЕННОЙ ОТВЕТСТВЕННОСТЬЮ "АМУР ЗОЛОТО"</t>
        </is>
      </c>
      <c r="D487" s="7" t="inlineStr">
        <is>
          <t>2708001686</t>
        </is>
      </c>
      <c r="E487" s="6" t="inlineStr">
        <is>
          <t>ООО "Амур Золото"</t>
        </is>
      </c>
      <c r="F487" s="7" t="inlineStr">
        <is>
          <t>2708001686</t>
        </is>
      </c>
      <c r="G487" s="7" t="inlineStr">
        <is>
          <t>Успешно</t>
        </is>
      </c>
      <c r="H487" s="6" t="n"/>
      <c r="I487" s="6" t="n"/>
      <c r="J487" s="6" t="inlineStr">
        <is>
          <t>Пользовательский интерфейс</t>
        </is>
      </c>
      <c r="K487" s="7" t="n">
        <v>2</v>
      </c>
      <c r="L487" s="8" t="n"/>
      <c r="M487" s="137" t="inlineStr">
        <is>
          <t>+</t>
        </is>
      </c>
      <c r="N487" s="8" t="n"/>
      <c r="O487" s="8" t="n"/>
      <c r="P487" s="8" t="n"/>
      <c r="Q487" s="8" t="n"/>
      <c r="R487" s="8" t="n"/>
      <c r="S487" s="8" t="n"/>
      <c r="T487" s="8" t="n"/>
      <c r="U487" s="8" t="n"/>
      <c r="V487" s="8" t="n"/>
      <c r="W487" s="8" t="n"/>
      <c r="X487" s="139" t="n"/>
      <c r="Y487" s="137" t="inlineStr">
        <is>
          <t>+</t>
        </is>
      </c>
    </row>
    <row r="488">
      <c r="A488" s="6" t="inlineStr">
        <is>
          <t>работник 137</t>
        </is>
      </c>
      <c r="B488" s="6" t="inlineStr">
        <is>
          <t>Горнорабочий на геологических работах / Пробоотборщик</t>
        </is>
      </c>
      <c r="C488" s="6" t="inlineStr">
        <is>
          <t>ОБЩЕСТВО С ОГРАНИЧЕННОЙ ОТВЕТСТВЕННОСТЬЮ "АМУР ЗОЛОТО"</t>
        </is>
      </c>
      <c r="D488" s="7" t="inlineStr">
        <is>
          <t>2708001686</t>
        </is>
      </c>
      <c r="E488" s="6" t="inlineStr">
        <is>
          <t>ООО "Амур Золото"</t>
        </is>
      </c>
      <c r="F488" s="7" t="inlineStr">
        <is>
          <t>2708001686</t>
        </is>
      </c>
      <c r="G488" s="7" t="inlineStr">
        <is>
          <t>Успешно</t>
        </is>
      </c>
      <c r="H488" s="6" t="n"/>
      <c r="I488" s="6" t="n"/>
      <c r="J488" s="6" t="inlineStr">
        <is>
          <t>Пользовательский интерфейс</t>
        </is>
      </c>
      <c r="K488" s="7" t="n">
        <v>6</v>
      </c>
      <c r="L488" s="8" t="n"/>
      <c r="M488" s="137" t="inlineStr">
        <is>
          <t>+</t>
        </is>
      </c>
      <c r="N488" s="8" t="n"/>
      <c r="O488" s="8" t="n"/>
      <c r="P488" s="8" t="n"/>
      <c r="Q488" s="8" t="n"/>
      <c r="R488" s="8" t="n"/>
      <c r="S488" s="8" t="n"/>
      <c r="T488" s="8" t="n"/>
      <c r="U488" s="8" t="n"/>
      <c r="V488" s="8" t="n"/>
      <c r="W488" s="8" t="n"/>
      <c r="X488" s="137" t="inlineStr">
        <is>
          <t>+</t>
        </is>
      </c>
      <c r="Y488" s="137" t="inlineStr">
        <is>
          <t>+</t>
        </is>
      </c>
    </row>
    <row r="489">
      <c r="A489" s="6" t="inlineStr">
        <is>
          <t>работник 771</t>
        </is>
      </c>
      <c r="B489" s="6" t="inlineStr">
        <is>
          <t>Машинист погрузочно-доставочной машины</t>
        </is>
      </c>
      <c r="C489" s="6" t="inlineStr">
        <is>
          <t>ОБЩЕСТВО С ОГРАНИЧЕННОЙ ОТВЕТСТВЕННОСТЬЮ "АМУР ЗОЛОТО"</t>
        </is>
      </c>
      <c r="D489" s="7" t="inlineStr">
        <is>
          <t>2708001686</t>
        </is>
      </c>
      <c r="E489" s="6" t="inlineStr">
        <is>
          <t>ООО "Амур Золото"</t>
        </is>
      </c>
      <c r="F489" s="7" t="inlineStr">
        <is>
          <t>2708001686</t>
        </is>
      </c>
      <c r="G489" s="7" t="inlineStr">
        <is>
          <t>Успешно</t>
        </is>
      </c>
      <c r="H489" s="6" t="n"/>
      <c r="I489" s="6" t="n"/>
      <c r="J489" s="6" t="inlineStr">
        <is>
          <t>Пользовательский интерфейс</t>
        </is>
      </c>
      <c r="K489" s="7" t="n">
        <v>6</v>
      </c>
      <c r="L489" s="8" t="n"/>
      <c r="M489" s="137" t="inlineStr">
        <is>
          <t>+</t>
        </is>
      </c>
      <c r="N489" s="8" t="n"/>
      <c r="O489" s="8" t="n"/>
      <c r="P489" s="8" t="n"/>
      <c r="Q489" s="8" t="n"/>
      <c r="R489" s="8" t="n"/>
      <c r="S489" s="8" t="n"/>
      <c r="T489" s="8" t="n"/>
      <c r="U489" s="8" t="n"/>
      <c r="V489" s="8" t="n"/>
      <c r="W489" s="8" t="n"/>
      <c r="X489" s="137" t="inlineStr">
        <is>
          <t>+</t>
        </is>
      </c>
      <c r="Y489" s="137" t="inlineStr">
        <is>
          <t>+</t>
        </is>
      </c>
    </row>
    <row r="490">
      <c r="A490" s="6" t="inlineStr">
        <is>
          <t>работник 803</t>
        </is>
      </c>
      <c r="B490" s="6" t="inlineStr">
        <is>
          <t>Слесарь по ремонту автомобилей и тяжелой техники</t>
        </is>
      </c>
      <c r="C490" s="6" t="inlineStr">
        <is>
          <t>ОБЩЕСТВО С ОГРАНИЧЕННОЙ ОТВЕТСТВЕННОСТЬЮ "АМУР ЗОЛОТО"</t>
        </is>
      </c>
      <c r="D490" s="7" t="inlineStr">
        <is>
          <t>2708001686</t>
        </is>
      </c>
      <c r="E490" s="6" t="inlineStr">
        <is>
          <t>ООО "Амур Золото"</t>
        </is>
      </c>
      <c r="F490" s="7" t="inlineStr">
        <is>
          <t>2708001686</t>
        </is>
      </c>
      <c r="G490" s="7" t="inlineStr">
        <is>
          <t>Успешно</t>
        </is>
      </c>
      <c r="H490" s="6" t="n"/>
      <c r="I490" s="6" t="n"/>
      <c r="J490" s="6" t="inlineStr">
        <is>
          <t>Пользовательский интерфейс</t>
        </is>
      </c>
      <c r="K490" s="7" t="n">
        <v>4</v>
      </c>
      <c r="L490" s="8" t="n"/>
      <c r="M490" s="137" t="inlineStr">
        <is>
          <t>+</t>
        </is>
      </c>
      <c r="N490" s="8" t="n"/>
      <c r="O490" s="137" t="inlineStr">
        <is>
          <t>+</t>
        </is>
      </c>
      <c r="P490" s="8" t="n"/>
      <c r="Q490" s="8" t="n"/>
      <c r="R490" s="8" t="n"/>
      <c r="S490" s="8" t="n"/>
      <c r="T490" s="8" t="n"/>
      <c r="U490" s="8" t="n"/>
      <c r="V490" s="8" t="n"/>
      <c r="W490" s="8" t="n"/>
      <c r="X490" s="137" t="inlineStr">
        <is>
          <t>+</t>
        </is>
      </c>
      <c r="Y490" s="137" t="inlineStr">
        <is>
          <t>+</t>
        </is>
      </c>
    </row>
    <row r="491">
      <c r="A491" s="6" t="inlineStr">
        <is>
          <t>работник 890</t>
        </is>
      </c>
      <c r="B491" s="6" t="inlineStr">
        <is>
          <t>Машинист погрузочно-доставочной машины (занятый на транспортировании горной массы в технологическом процессе)</t>
        </is>
      </c>
      <c r="C491" s="6" t="inlineStr">
        <is>
          <t>ОБЩЕСТВО С ОГРАНИЧЕННОЙ ОТВЕТСТВЕННОСТЬЮ "АМУР ЗОЛОТО"</t>
        </is>
      </c>
      <c r="D491" s="7" t="inlineStr">
        <is>
          <t>2708001686</t>
        </is>
      </c>
      <c r="E491" s="6" t="inlineStr">
        <is>
          <t>ООО "Амур Золото"</t>
        </is>
      </c>
      <c r="F491" s="7" t="inlineStr">
        <is>
          <t>2708001686</t>
        </is>
      </c>
      <c r="G491" s="7" t="inlineStr">
        <is>
          <t>Успешно</t>
        </is>
      </c>
      <c r="H491" s="6" t="n"/>
      <c r="I491" s="6" t="n"/>
      <c r="J491" s="6" t="inlineStr">
        <is>
          <t>Пользовательский интерфейс</t>
        </is>
      </c>
      <c r="K491" s="7" t="n">
        <v>3</v>
      </c>
      <c r="L491" s="8" t="n"/>
      <c r="M491" s="137" t="inlineStr">
        <is>
          <t>+</t>
        </is>
      </c>
      <c r="N491" s="8" t="n"/>
      <c r="O491" s="8" t="n"/>
      <c r="P491" s="8" t="n"/>
      <c r="Q491" s="8" t="n"/>
      <c r="R491" s="8" t="n"/>
      <c r="S491" s="8" t="n"/>
      <c r="T491" s="8" t="n"/>
      <c r="U491" s="8" t="n"/>
      <c r="V491" s="8" t="n"/>
      <c r="W491" s="8" t="n"/>
      <c r="X491" s="137" t="inlineStr">
        <is>
          <t>+</t>
        </is>
      </c>
      <c r="Y491" s="137" t="inlineStr">
        <is>
          <t>+</t>
        </is>
      </c>
    </row>
    <row r="492">
      <c r="A492" s="6" t="inlineStr">
        <is>
          <t>работник 384</t>
        </is>
      </c>
      <c r="B492" s="6" t="inlineStr">
        <is>
          <t>Геолог</t>
        </is>
      </c>
      <c r="C492" s="6" t="inlineStr">
        <is>
          <t>ОБЩЕСТВО С ОГРАНИЧЕННОЙ ОТВЕТСТВЕННОСТЬЮ "АМУР ЗОЛОТО"</t>
        </is>
      </c>
      <c r="D492" s="7" t="inlineStr">
        <is>
          <t>2708001686</t>
        </is>
      </c>
      <c r="E492" s="6" t="inlineStr">
        <is>
          <t>ООО "Амур Золото"</t>
        </is>
      </c>
      <c r="F492" s="7" t="inlineStr">
        <is>
          <t>2708001686</t>
        </is>
      </c>
      <c r="G492" s="7" t="inlineStr">
        <is>
          <t>Успешно</t>
        </is>
      </c>
      <c r="H492" s="6" t="n"/>
      <c r="I492" s="6" t="n"/>
      <c r="J492" s="6" t="inlineStr">
        <is>
          <t>Пользовательский интерфейс</t>
        </is>
      </c>
      <c r="K492" s="7" t="n">
        <v>2</v>
      </c>
      <c r="L492" s="8" t="n"/>
      <c r="M492" s="139" t="n"/>
      <c r="N492" s="8" t="n"/>
      <c r="O492" s="8" t="n"/>
      <c r="P492" s="8" t="n"/>
      <c r="Q492" s="8" t="n"/>
      <c r="R492" s="8" t="n"/>
      <c r="S492" s="8" t="n"/>
      <c r="T492" s="8" t="n"/>
      <c r="U492" s="8" t="n"/>
      <c r="V492" s="8" t="n"/>
      <c r="W492" s="8" t="n"/>
      <c r="X492" s="140" t="inlineStr">
        <is>
          <t>+</t>
        </is>
      </c>
      <c r="Y492" s="137" t="inlineStr">
        <is>
          <t>+</t>
        </is>
      </c>
    </row>
    <row r="493">
      <c r="A493" s="6" t="inlineStr">
        <is>
          <t>работник 325</t>
        </is>
      </c>
      <c r="B493" s="6" t="inlineStr">
        <is>
          <t>Электрогазосварщик (занятый на резке и ручной сварке)</t>
        </is>
      </c>
      <c r="C493" s="6" t="inlineStr">
        <is>
          <t>ОБЩЕСТВО С ОГРАНИЧЕННОЙ ОТВЕТСТВЕННОСТЬЮ "АМУР ЗОЛОТО"</t>
        </is>
      </c>
      <c r="D493" s="7" t="inlineStr">
        <is>
          <t>2708001686</t>
        </is>
      </c>
      <c r="E493" s="6" t="inlineStr">
        <is>
          <t>ООО "Амур Золото"</t>
        </is>
      </c>
      <c r="F493" s="7" t="inlineStr">
        <is>
          <t>2708001686</t>
        </is>
      </c>
      <c r="G493" s="7" t="inlineStr">
        <is>
          <t>Успешно</t>
        </is>
      </c>
      <c r="H493" s="6" t="n"/>
      <c r="I493" s="6" t="n"/>
      <c r="J493" s="6" t="inlineStr">
        <is>
          <t>Пользовательский интерфейс</t>
        </is>
      </c>
      <c r="K493" s="7" t="n">
        <v>3</v>
      </c>
      <c r="L493" s="8" t="n"/>
      <c r="M493" s="137" t="inlineStr">
        <is>
          <t>+</t>
        </is>
      </c>
      <c r="N493" s="8" t="n"/>
      <c r="O493" s="8" t="n"/>
      <c r="P493" s="8" t="n"/>
      <c r="Q493" s="8" t="n"/>
      <c r="R493" s="8" t="n"/>
      <c r="S493" s="8" t="n"/>
      <c r="T493" s="8" t="n"/>
      <c r="U493" s="8" t="n"/>
      <c r="V493" s="8" t="n"/>
      <c r="W493" s="8" t="n"/>
      <c r="X493" s="137" t="inlineStr">
        <is>
          <t>+</t>
        </is>
      </c>
      <c r="Y493" s="137" t="inlineStr">
        <is>
          <t>+</t>
        </is>
      </c>
    </row>
    <row r="494">
      <c r="A494" s="6" t="inlineStr">
        <is>
          <t>работник 362</t>
        </is>
      </c>
      <c r="B494" s="6" t="inlineStr">
        <is>
          <t>Кухонный рабочий</t>
        </is>
      </c>
      <c r="C494" s="6" t="inlineStr">
        <is>
          <t>ОБЩЕСТВО С ОГРАНИЧЕННОЙ ОТВЕТСТВЕННОСТЬЮ "АМУР ЗОЛОТО"</t>
        </is>
      </c>
      <c r="D494" s="7" t="inlineStr">
        <is>
          <t>2708001686</t>
        </is>
      </c>
      <c r="E494" s="6" t="inlineStr">
        <is>
          <t>ООО "Амур Золото"</t>
        </is>
      </c>
      <c r="F494" s="7" t="inlineStr">
        <is>
          <t>2708001686</t>
        </is>
      </c>
      <c r="G494" s="7" t="inlineStr">
        <is>
          <t>Успешно</t>
        </is>
      </c>
      <c r="H494" s="6" t="n"/>
      <c r="I494" s="6" t="n"/>
      <c r="J494" s="6" t="inlineStr">
        <is>
          <t>Пользовательский интерфейс</t>
        </is>
      </c>
      <c r="K494" s="7" t="n">
        <v>3</v>
      </c>
      <c r="L494" s="8" t="n"/>
      <c r="M494" s="137" t="inlineStr">
        <is>
          <t>+</t>
        </is>
      </c>
      <c r="N494" s="8" t="n"/>
      <c r="O494" s="8" t="n"/>
      <c r="P494" s="8" t="n"/>
      <c r="Q494" s="8" t="n"/>
      <c r="R494" s="8" t="n"/>
      <c r="S494" s="8" t="n"/>
      <c r="T494" s="8" t="n"/>
      <c r="U494" s="8" t="n"/>
      <c r="V494" s="8" t="n"/>
      <c r="W494" s="8" t="n"/>
      <c r="X494" s="137" t="inlineStr">
        <is>
          <t>+</t>
        </is>
      </c>
      <c r="Y494" s="138" t="inlineStr">
        <is>
          <t>+</t>
        </is>
      </c>
    </row>
    <row r="495">
      <c r="A495" s="6" t="inlineStr">
        <is>
          <t>работник 258</t>
        </is>
      </c>
      <c r="B495" s="6" t="inlineStr">
        <is>
          <t>Подсобный рабочий</t>
        </is>
      </c>
      <c r="C495" s="6" t="inlineStr">
        <is>
          <t>ОБЩЕСТВО С ОГРАНИЧЕННОЙ ОТВЕТСТВЕННОСТЬЮ "АМУР ЗОЛОТО"</t>
        </is>
      </c>
      <c r="D495" s="7" t="inlineStr">
        <is>
          <t>2708001686</t>
        </is>
      </c>
      <c r="E495" s="6" t="inlineStr">
        <is>
          <t>ООО "Амур Золото"</t>
        </is>
      </c>
      <c r="F495" s="7" t="inlineStr">
        <is>
          <t>2708001686</t>
        </is>
      </c>
      <c r="G495" s="7" t="inlineStr">
        <is>
          <t>Успешно</t>
        </is>
      </c>
      <c r="H495" s="6" t="n"/>
      <c r="I495" s="6" t="n"/>
      <c r="J495" s="6" t="inlineStr">
        <is>
          <t>Пользовательский интерфейс</t>
        </is>
      </c>
      <c r="K495" s="7" t="n">
        <v>3</v>
      </c>
      <c r="L495" s="8" t="n"/>
      <c r="M495" s="137" t="inlineStr">
        <is>
          <t>+</t>
        </is>
      </c>
      <c r="N495" s="8" t="n"/>
      <c r="O495" s="8" t="n"/>
      <c r="P495" s="8" t="n"/>
      <c r="Q495" s="8" t="n"/>
      <c r="R495" s="8" t="n"/>
      <c r="S495" s="8" t="n"/>
      <c r="T495" s="8" t="n"/>
      <c r="U495" s="8" t="n"/>
      <c r="V495" s="8" t="n"/>
      <c r="W495" s="8" t="n"/>
      <c r="X495" s="137" t="inlineStr">
        <is>
          <t>+</t>
        </is>
      </c>
      <c r="Y495" s="137" t="inlineStr">
        <is>
          <t>+</t>
        </is>
      </c>
    </row>
    <row r="496">
      <c r="A496" s="6" t="inlineStr">
        <is>
          <t>работник 435</t>
        </is>
      </c>
      <c r="B496" s="6" t="inlineStr">
        <is>
          <t>Дробильщик</t>
        </is>
      </c>
      <c r="C496" s="6" t="inlineStr">
        <is>
          <t>ОБЩЕСТВО С ОГРАНИЧЕННОЙ ОТВЕТСТВЕННОСТЬЮ "АМУР ЗОЛОТО"</t>
        </is>
      </c>
      <c r="D496" s="7" t="inlineStr">
        <is>
          <t>2708001686</t>
        </is>
      </c>
      <c r="E496" s="6" t="inlineStr">
        <is>
          <t>ООО "Амур Золото"</t>
        </is>
      </c>
      <c r="F496" s="7" t="inlineStr">
        <is>
          <t>2708001686</t>
        </is>
      </c>
      <c r="G496" s="7" t="inlineStr">
        <is>
          <t>Успешно</t>
        </is>
      </c>
      <c r="H496" s="6" t="n"/>
      <c r="I496" s="6" t="n"/>
      <c r="J496" s="6" t="inlineStr">
        <is>
          <t>Пользовательский интерфейс</t>
        </is>
      </c>
      <c r="K496" s="7" t="n">
        <v>3</v>
      </c>
      <c r="L496" s="8" t="n"/>
      <c r="M496" s="137" t="inlineStr">
        <is>
          <t>+</t>
        </is>
      </c>
      <c r="N496" s="8" t="n"/>
      <c r="O496" s="8" t="n"/>
      <c r="P496" s="8" t="n"/>
      <c r="Q496" s="8" t="n"/>
      <c r="R496" s="8" t="n"/>
      <c r="S496" s="8" t="n"/>
      <c r="T496" s="8" t="n"/>
      <c r="U496" s="8" t="n"/>
      <c r="V496" s="8" t="n"/>
      <c r="W496" s="8" t="n"/>
      <c r="X496" s="139" t="n"/>
      <c r="Y496" s="137" t="inlineStr">
        <is>
          <t>+</t>
        </is>
      </c>
    </row>
    <row r="497">
      <c r="A497" s="6" t="inlineStr">
        <is>
          <t>работник 221</t>
        </is>
      </c>
      <c r="B497" s="6" t="inlineStr">
        <is>
          <t>Водитель автомобиля для перевозки взрывчатых материалов / Водитель автомобиля(занятый на траспортировании горной массы в технологическом процессе)</t>
        </is>
      </c>
      <c r="C497" s="6" t="inlineStr">
        <is>
          <t>ОБЩЕСТВО С ОГРАНИЧЕННОЙ ОТВЕТСТВЕННОСТЬЮ "АМУР ЗОЛОТО"</t>
        </is>
      </c>
      <c r="D497" s="7" t="inlineStr">
        <is>
          <t>2708001686</t>
        </is>
      </c>
      <c r="E497" s="6" t="inlineStr">
        <is>
          <t>ООО "Амур Золото"</t>
        </is>
      </c>
      <c r="F497" s="7" t="inlineStr">
        <is>
          <t>2708001686</t>
        </is>
      </c>
      <c r="G497" s="7" t="inlineStr">
        <is>
          <t>Успешно</t>
        </is>
      </c>
      <c r="H497" s="6" t="n"/>
      <c r="I497" s="6" t="n"/>
      <c r="J497" s="6" t="inlineStr">
        <is>
          <t>Пользовательский интерфейс</t>
        </is>
      </c>
      <c r="K497" s="7" t="n">
        <v>6</v>
      </c>
      <c r="L497" s="8" t="n"/>
      <c r="M497" s="137" t="inlineStr">
        <is>
          <t>+</t>
        </is>
      </c>
      <c r="N497" s="8" t="n"/>
      <c r="O497" s="8" t="n"/>
      <c r="P497" s="8" t="n"/>
      <c r="Q497" s="8" t="n"/>
      <c r="R497" s="8" t="n"/>
      <c r="S497" s="8" t="n"/>
      <c r="T497" s="8" t="n"/>
      <c r="U497" s="8" t="n"/>
      <c r="V497" s="8" t="n"/>
      <c r="W497" s="8" t="n"/>
      <c r="X497" s="137" t="inlineStr">
        <is>
          <t>+</t>
        </is>
      </c>
      <c r="Y497" s="137" t="inlineStr">
        <is>
          <t>+</t>
        </is>
      </c>
    </row>
    <row r="498">
      <c r="A498" s="6" t="inlineStr">
        <is>
          <t>работник 522</t>
        </is>
      </c>
      <c r="B498" s="6" t="inlineStr">
        <is>
          <t>Аппаратчик сгустителей / Фильтровальщик</t>
        </is>
      </c>
      <c r="C498" s="6" t="inlineStr">
        <is>
          <t>ОБЩЕСТВО С ОГРАНИЧЕННОЙ ОТВЕТСТВЕННОСТЬЮ "АМУР ЗОЛОТО"</t>
        </is>
      </c>
      <c r="D498" s="7" t="inlineStr">
        <is>
          <t>2708001686</t>
        </is>
      </c>
      <c r="E498" s="6" t="inlineStr">
        <is>
          <t>ООО "Амур Золото"</t>
        </is>
      </c>
      <c r="F498" s="7" t="inlineStr">
        <is>
          <t>2708001686</t>
        </is>
      </c>
      <c r="G498" s="7" t="inlineStr">
        <is>
          <t>Успешно</t>
        </is>
      </c>
      <c r="H498" s="6" t="n"/>
      <c r="I498" s="6" t="n"/>
      <c r="J498" s="6" t="inlineStr">
        <is>
          <t>Пользовательский интерфейс</t>
        </is>
      </c>
      <c r="K498" s="7" t="n">
        <v>5</v>
      </c>
      <c r="L498" s="8" t="n"/>
      <c r="M498" s="137" t="inlineStr">
        <is>
          <t>+</t>
        </is>
      </c>
      <c r="N498" s="8" t="n"/>
      <c r="O498" s="8" t="n"/>
      <c r="P498" s="8" t="n"/>
      <c r="Q498" s="8" t="n"/>
      <c r="R498" s="8" t="n"/>
      <c r="S498" s="8" t="n"/>
      <c r="T498" s="8" t="n"/>
      <c r="U498" s="8" t="n"/>
      <c r="V498" s="8" t="n"/>
      <c r="W498" s="8" t="n"/>
      <c r="X498" s="137" t="inlineStr">
        <is>
          <t>+</t>
        </is>
      </c>
      <c r="Y498" s="137" t="inlineStr">
        <is>
          <t>+</t>
        </is>
      </c>
    </row>
    <row r="499">
      <c r="A499" s="6" t="inlineStr">
        <is>
          <t>работник 89</t>
        </is>
      </c>
      <c r="B499" s="6" t="inlineStr">
        <is>
          <t>Повар</t>
        </is>
      </c>
      <c r="C499" s="6" t="inlineStr">
        <is>
          <t>ОБЩЕСТВО С ОГРАНИЧЕННОЙ ОТВЕТСТВЕННОСТЬЮ "АМУР ЗОЛОТО"</t>
        </is>
      </c>
      <c r="D499" s="7" t="inlineStr">
        <is>
          <t>2708001686</t>
        </is>
      </c>
      <c r="E499" s="6" t="inlineStr">
        <is>
          <t>ООО "Амур Золото"</t>
        </is>
      </c>
      <c r="F499" s="7" t="inlineStr">
        <is>
          <t>2708001686</t>
        </is>
      </c>
      <c r="G499" s="7" t="inlineStr">
        <is>
          <t>Успешно</t>
        </is>
      </c>
      <c r="H499" s="6" t="n"/>
      <c r="I499" s="6" t="n"/>
      <c r="J499" s="6" t="inlineStr">
        <is>
          <t>Пользовательский интерфейс</t>
        </is>
      </c>
      <c r="K499" s="7" t="n">
        <v>3</v>
      </c>
      <c r="L499" s="8" t="n"/>
      <c r="M499" s="137" t="inlineStr">
        <is>
          <t>+</t>
        </is>
      </c>
      <c r="N499" s="8" t="n"/>
      <c r="O499" s="8" t="n"/>
      <c r="P499" s="8" t="n"/>
      <c r="Q499" s="8" t="n"/>
      <c r="R499" s="8" t="n"/>
      <c r="S499" s="8" t="n"/>
      <c r="T499" s="8" t="n"/>
      <c r="U499" s="8" t="n"/>
      <c r="V499" s="8" t="n"/>
      <c r="W499" s="8" t="n"/>
      <c r="X499" s="137" t="inlineStr">
        <is>
          <t>+</t>
        </is>
      </c>
      <c r="Y499" s="138" t="inlineStr">
        <is>
          <t>+</t>
        </is>
      </c>
    </row>
    <row r="500">
      <c r="A500" s="6" t="inlineStr">
        <is>
          <t>работник 686</t>
        </is>
      </c>
      <c r="B500" s="6" t="inlineStr">
        <is>
          <t>Участковый маркшейдер</t>
        </is>
      </c>
      <c r="C500" s="6" t="inlineStr">
        <is>
          <t>ОБЩЕСТВО С ОГРАНИЧЕННОЙ ОТВЕТСТВЕННОСТЬЮ "АМУР ЗОЛОТО"</t>
        </is>
      </c>
      <c r="D500" s="7" t="inlineStr">
        <is>
          <t>2708001686</t>
        </is>
      </c>
      <c r="E500" s="6" t="inlineStr">
        <is>
          <t>ООО "Амур Золото"</t>
        </is>
      </c>
      <c r="F500" s="7" t="inlineStr">
        <is>
          <t>2708001686</t>
        </is>
      </c>
      <c r="G500" s="7" t="inlineStr">
        <is>
          <t>Успешно</t>
        </is>
      </c>
      <c r="H500" s="6" t="n"/>
      <c r="I500" s="6" t="n"/>
      <c r="J500" s="6" t="inlineStr">
        <is>
          <t>Пользовательский интерфейс</t>
        </is>
      </c>
      <c r="K500" s="7" t="n">
        <v>2</v>
      </c>
      <c r="L500" s="8" t="n"/>
      <c r="M500" s="137" t="inlineStr">
        <is>
          <t>+</t>
        </is>
      </c>
      <c r="N500" s="8" t="n"/>
      <c r="O500" s="8" t="n"/>
      <c r="P500" s="8" t="n"/>
      <c r="Q500" s="8" t="n"/>
      <c r="R500" s="8" t="n"/>
      <c r="S500" s="8" t="n"/>
      <c r="T500" s="8" t="n"/>
      <c r="U500" s="8" t="n"/>
      <c r="V500" s="8" t="n"/>
      <c r="W500" s="8" t="n"/>
      <c r="X500" s="8" t="n"/>
      <c r="Y500" s="137" t="inlineStr">
        <is>
          <t>+</t>
        </is>
      </c>
    </row>
    <row r="501">
      <c r="A501" s="6" t="inlineStr">
        <is>
          <t>работник 473</t>
        </is>
      </c>
      <c r="B501" s="6" t="inlineStr">
        <is>
          <t>Контролер</t>
        </is>
      </c>
      <c r="C501" s="6" t="inlineStr">
        <is>
          <t>ОБЩЕСТВО С ОГРАНИЧЕННОЙ ОТВЕТСТВЕННОСТЬЮ "АМУР ЗОЛОТО"</t>
        </is>
      </c>
      <c r="D501" s="7" t="inlineStr">
        <is>
          <t>2708001686</t>
        </is>
      </c>
      <c r="E501" s="6" t="inlineStr">
        <is>
          <t>ООО "Амур Золото"</t>
        </is>
      </c>
      <c r="F501" s="7" t="inlineStr">
        <is>
          <t>2708001686</t>
        </is>
      </c>
      <c r="G501" s="7" t="inlineStr">
        <is>
          <t>Успешно</t>
        </is>
      </c>
      <c r="H501" s="6" t="n"/>
      <c r="I501" s="6" t="n"/>
      <c r="J501" s="6" t="inlineStr">
        <is>
          <t>Пользовательский интерфейс</t>
        </is>
      </c>
      <c r="K501" s="7" t="n">
        <v>2</v>
      </c>
      <c r="L501" s="8" t="n"/>
      <c r="M501" s="137" t="inlineStr">
        <is>
          <t>+</t>
        </is>
      </c>
      <c r="N501" s="8" t="n"/>
      <c r="O501" s="8" t="n"/>
      <c r="P501" s="8" t="n"/>
      <c r="Q501" s="8" t="n"/>
      <c r="R501" s="8" t="n"/>
      <c r="S501" s="8" t="n"/>
      <c r="T501" s="8" t="n"/>
      <c r="U501" s="8" t="n"/>
      <c r="V501" s="8" t="n"/>
      <c r="W501" s="8" t="n"/>
      <c r="X501" s="139" t="n"/>
      <c r="Y501" s="137" t="inlineStr">
        <is>
          <t>+</t>
        </is>
      </c>
    </row>
    <row r="502">
      <c r="A502" s="6" t="inlineStr">
        <is>
          <t>работник 445</t>
        </is>
      </c>
      <c r="B502" s="6" t="inlineStr">
        <is>
          <t>Дробильщик / Дробильщики</t>
        </is>
      </c>
      <c r="C502" s="6" t="inlineStr">
        <is>
          <t>ОБЩЕСТВО С ОГРАНИЧЕННОЙ ОТВЕТСТВЕННОСТЬЮ "АМУР ЗОЛОТО"</t>
        </is>
      </c>
      <c r="D502" s="7" t="inlineStr">
        <is>
          <t>2708001686</t>
        </is>
      </c>
      <c r="E502" s="6" t="inlineStr">
        <is>
          <t>ООО "Амур Золото"</t>
        </is>
      </c>
      <c r="F502" s="7" t="inlineStr">
        <is>
          <t>2708001686</t>
        </is>
      </c>
      <c r="G502" s="7" t="inlineStr">
        <is>
          <t>Успешно</t>
        </is>
      </c>
      <c r="H502" s="6" t="n"/>
      <c r="I502" s="6" t="n"/>
      <c r="J502" s="6" t="inlineStr">
        <is>
          <t>Пользовательский интерфейс</t>
        </is>
      </c>
      <c r="K502" s="7" t="n">
        <v>6</v>
      </c>
      <c r="L502" s="8" t="n"/>
      <c r="M502" s="137" t="inlineStr">
        <is>
          <t>+</t>
        </is>
      </c>
      <c r="N502" s="8" t="n"/>
      <c r="O502" s="8" t="n"/>
      <c r="P502" s="8" t="n"/>
      <c r="Q502" s="8" t="n"/>
      <c r="R502" s="8" t="n"/>
      <c r="S502" s="8" t="n"/>
      <c r="T502" s="8" t="n"/>
      <c r="U502" s="8" t="n"/>
      <c r="V502" s="8" t="n"/>
      <c r="W502" s="8" t="n"/>
      <c r="X502" s="137" t="inlineStr">
        <is>
          <t>+</t>
        </is>
      </c>
      <c r="Y502" s="137" t="inlineStr">
        <is>
          <t>+</t>
        </is>
      </c>
    </row>
    <row r="503">
      <c r="A503" s="6" t="inlineStr">
        <is>
          <t>работник 4</t>
        </is>
      </c>
      <c r="B503" s="6" t="inlineStr">
        <is>
          <t>Инженер по промышленной безопасности и охране труда</t>
        </is>
      </c>
      <c r="C503" s="6" t="inlineStr">
        <is>
          <t>ООО "Амур золото". Подразделение: горно-обогатительный комплекс "Юбилейный"</t>
        </is>
      </c>
      <c r="D503" s="7" t="inlineStr">
        <is>
          <t>2708001686</t>
        </is>
      </c>
      <c r="E503" s="6" t="inlineStr">
        <is>
          <t>Автономная некоммерческая организация дополнительного профессионального образования и сертификации "Перспектива"</t>
        </is>
      </c>
      <c r="F503" s="7" t="inlineStr">
        <is>
          <t>2722126782</t>
        </is>
      </c>
      <c r="G503" s="7" t="inlineStr">
        <is>
          <t>Успешно</t>
        </is>
      </c>
      <c r="H503" s="6" t="n"/>
      <c r="I503" s="6" t="n"/>
      <c r="J503" s="6" t="inlineStr">
        <is>
          <t>Пользовательский интерфейс</t>
        </is>
      </c>
      <c r="K503" s="7" t="n">
        <v>4</v>
      </c>
      <c r="L503" s="137" t="inlineStr">
        <is>
          <t>+</t>
        </is>
      </c>
      <c r="M503" s="137" t="inlineStr">
        <is>
          <t>+</t>
        </is>
      </c>
      <c r="N503" s="8" t="n"/>
      <c r="O503" s="8" t="n"/>
      <c r="P503" s="8" t="n"/>
      <c r="Q503" s="8" t="n"/>
      <c r="R503" s="8" t="n"/>
      <c r="S503" s="8" t="n"/>
      <c r="T503" s="8" t="n"/>
      <c r="U503" s="8" t="n"/>
      <c r="V503" s="8" t="n"/>
      <c r="W503" s="8" t="n"/>
      <c r="X503" s="137" t="inlineStr">
        <is>
          <t>+</t>
        </is>
      </c>
      <c r="Y503" s="137" t="inlineStr">
        <is>
          <t>+</t>
        </is>
      </c>
    </row>
    <row r="504">
      <c r="A504" s="6" t="inlineStr">
        <is>
          <t>работник 820</t>
        </is>
      </c>
      <c r="B504" s="6" t="inlineStr">
        <is>
          <t>Токарь (с исполнением обязанностей фрезеровщика)</t>
        </is>
      </c>
      <c r="C504" s="6" t="inlineStr">
        <is>
          <t>ОБЩЕСТВО С ОГРАНИЧЕННОЙ ОТВЕТСТВЕННОСТЬЮ "АМУР ЗОЛОТО"</t>
        </is>
      </c>
      <c r="D504" s="7" t="inlineStr">
        <is>
          <t>2708001686</t>
        </is>
      </c>
      <c r="E504" s="6" t="inlineStr">
        <is>
          <t>ООО "Амур Золото"</t>
        </is>
      </c>
      <c r="F504" s="7" t="inlineStr">
        <is>
          <t>2708001686</t>
        </is>
      </c>
      <c r="G504" s="7" t="inlineStr">
        <is>
          <t>Успешно</t>
        </is>
      </c>
      <c r="H504" s="6" t="n"/>
      <c r="I504" s="6" t="n"/>
      <c r="J504" s="6" t="inlineStr">
        <is>
          <t>Пользовательский интерфейс</t>
        </is>
      </c>
      <c r="K504" s="7" t="n">
        <v>2</v>
      </c>
      <c r="L504" s="8" t="n"/>
      <c r="M504" s="137" t="inlineStr">
        <is>
          <t>+</t>
        </is>
      </c>
      <c r="N504" s="8" t="n"/>
      <c r="O504" s="8" t="n"/>
      <c r="P504" s="8" t="n"/>
      <c r="Q504" s="8" t="n"/>
      <c r="R504" s="8" t="n"/>
      <c r="S504" s="8" t="n"/>
      <c r="T504" s="8" t="n"/>
      <c r="U504" s="8" t="n"/>
      <c r="V504" s="8" t="n"/>
      <c r="W504" s="8" t="n"/>
      <c r="X504" s="139" t="n"/>
      <c r="Y504" s="137" t="inlineStr">
        <is>
          <t>+</t>
        </is>
      </c>
    </row>
    <row r="505">
      <c r="A505" s="6" t="inlineStr">
        <is>
          <t>работник 190</t>
        </is>
      </c>
      <c r="B505" s="6" t="inlineStr">
        <is>
          <t>Машинист крана автомобильного</t>
        </is>
      </c>
      <c r="C505" s="6" t="inlineStr">
        <is>
          <t>ОБЩЕСТВО С ОГРАНИЧЕННОЙ ОТВЕТСТВЕННОСТЬЮ "АМУР ЗОЛОТО"</t>
        </is>
      </c>
      <c r="D505" s="7" t="inlineStr">
        <is>
          <t>2708001686</t>
        </is>
      </c>
      <c r="E505" s="6" t="inlineStr">
        <is>
          <t>ООО "Амур Золото"</t>
        </is>
      </c>
      <c r="F505" s="7" t="inlineStr">
        <is>
          <t>2708001686</t>
        </is>
      </c>
      <c r="G505" s="7" t="inlineStr">
        <is>
          <t>Успешно</t>
        </is>
      </c>
      <c r="H505" s="6" t="n"/>
      <c r="I505" s="6" t="n"/>
      <c r="J505" s="6" t="inlineStr">
        <is>
          <t>Пользовательский интерфейс</t>
        </is>
      </c>
      <c r="K505" s="7" t="n">
        <v>3</v>
      </c>
      <c r="L505" s="8" t="n"/>
      <c r="M505" s="137" t="inlineStr">
        <is>
          <t>+</t>
        </is>
      </c>
      <c r="N505" s="8" t="n"/>
      <c r="O505" s="8" t="n"/>
      <c r="P505" s="8" t="n"/>
      <c r="Q505" s="8" t="n"/>
      <c r="R505" s="8" t="n"/>
      <c r="S505" s="8" t="n"/>
      <c r="T505" s="8" t="n"/>
      <c r="U505" s="8" t="n"/>
      <c r="V505" s="8" t="n"/>
      <c r="W505" s="8" t="n"/>
      <c r="X505" s="137" t="inlineStr">
        <is>
          <t>+</t>
        </is>
      </c>
      <c r="Y505" s="137" t="inlineStr">
        <is>
          <t>+</t>
        </is>
      </c>
    </row>
    <row r="506">
      <c r="A506" s="6" t="inlineStr">
        <is>
          <t>работник 326</t>
        </is>
      </c>
      <c r="B506" s="6" t="inlineStr">
        <is>
          <t>Машинист погрузочно-доставочной машины</t>
        </is>
      </c>
      <c r="C506" s="6" t="inlineStr">
        <is>
          <t>ОБЩЕСТВО С ОГРАНИЧЕННОЙ ОТВЕТСТВЕННОСТЬЮ "АМУР ЗОЛОТО"</t>
        </is>
      </c>
      <c r="D506" s="7" t="inlineStr">
        <is>
          <t>2708001686</t>
        </is>
      </c>
      <c r="E506" s="6" t="inlineStr">
        <is>
          <t>ООО "Амур Золото"</t>
        </is>
      </c>
      <c r="F506" s="7" t="inlineStr">
        <is>
          <t>2708001686</t>
        </is>
      </c>
      <c r="G506" s="7" t="inlineStr">
        <is>
          <t>Успешно</t>
        </is>
      </c>
      <c r="H506" s="6" t="n"/>
      <c r="I506" s="6" t="n"/>
      <c r="J506" s="6" t="inlineStr">
        <is>
          <t>Пользовательский интерфейс</t>
        </is>
      </c>
      <c r="K506" s="7" t="n">
        <v>6</v>
      </c>
      <c r="L506" s="8" t="n"/>
      <c r="M506" s="137" t="inlineStr">
        <is>
          <t>+</t>
        </is>
      </c>
      <c r="N506" s="8" t="n"/>
      <c r="O506" s="8" t="n"/>
      <c r="P506" s="8" t="n"/>
      <c r="Q506" s="8" t="n"/>
      <c r="R506" s="8" t="n"/>
      <c r="S506" s="8" t="n"/>
      <c r="T506" s="8" t="n"/>
      <c r="U506" s="8" t="n"/>
      <c r="V506" s="8" t="n"/>
      <c r="W506" s="8" t="n"/>
      <c r="X506" s="137" t="inlineStr">
        <is>
          <t>+</t>
        </is>
      </c>
      <c r="Y506" s="137" t="inlineStr">
        <is>
          <t>+</t>
        </is>
      </c>
    </row>
    <row r="507">
      <c r="A507" s="6" t="inlineStr">
        <is>
          <t>работник 649</t>
        </is>
      </c>
      <c r="B507" s="6" t="inlineStr">
        <is>
          <t>Слесарь-ремонтник (по ремонту обогатительного оборудования)</t>
        </is>
      </c>
      <c r="C507" s="6" t="inlineStr">
        <is>
          <t>ОБЩЕСТВО С ОГРАНИЧЕННОЙ ОТВЕТСТВЕННОСТЬЮ "АМУР ЗОЛОТО"</t>
        </is>
      </c>
      <c r="D507" s="7" t="inlineStr">
        <is>
          <t>2708001686</t>
        </is>
      </c>
      <c r="E507" s="6" t="inlineStr">
        <is>
          <t>ООО "Амур Золото"</t>
        </is>
      </c>
      <c r="F507" s="7" t="inlineStr">
        <is>
          <t>2708001686</t>
        </is>
      </c>
      <c r="G507" s="7" t="inlineStr">
        <is>
          <t>Успешно</t>
        </is>
      </c>
      <c r="H507" s="6" t="n"/>
      <c r="I507" s="6" t="n"/>
      <c r="J507" s="6" t="inlineStr">
        <is>
          <t>Пользовательский интерфейс</t>
        </is>
      </c>
      <c r="K507" s="7" t="n">
        <v>2</v>
      </c>
      <c r="L507" s="8" t="n"/>
      <c r="M507" s="137" t="inlineStr">
        <is>
          <t>+</t>
        </is>
      </c>
      <c r="N507" s="8" t="n"/>
      <c r="O507" s="8" t="n"/>
      <c r="P507" s="8" t="n"/>
      <c r="Q507" s="8" t="n"/>
      <c r="R507" s="8" t="n"/>
      <c r="S507" s="8" t="n"/>
      <c r="T507" s="8" t="n"/>
      <c r="U507" s="8" t="n"/>
      <c r="V507" s="8" t="n"/>
      <c r="W507" s="8" t="n"/>
      <c r="X507" s="139" t="n"/>
      <c r="Y507" s="137" t="inlineStr">
        <is>
          <t>+</t>
        </is>
      </c>
    </row>
    <row r="508">
      <c r="A508" s="6" t="inlineStr">
        <is>
          <t>работник 383</t>
        </is>
      </c>
      <c r="B508" s="6" t="inlineStr">
        <is>
          <t>Машинист бульдозера</t>
        </is>
      </c>
      <c r="C508" s="6" t="inlineStr">
        <is>
          <t>ОБЩЕСТВО С ОГРАНИЧЕННОЙ ОТВЕТСТВЕННОСТЬЮ "АМУР ЗОЛОТО"</t>
        </is>
      </c>
      <c r="D508" s="7" t="inlineStr">
        <is>
          <t>2708001686</t>
        </is>
      </c>
      <c r="E508" s="6" t="inlineStr">
        <is>
          <t>ООО "Амур Золото"</t>
        </is>
      </c>
      <c r="F508" s="7" t="inlineStr">
        <is>
          <t>2708001686</t>
        </is>
      </c>
      <c r="G508" s="7" t="inlineStr">
        <is>
          <t>Успешно</t>
        </is>
      </c>
      <c r="H508" s="6" t="n"/>
      <c r="I508" s="6" t="n"/>
      <c r="J508" s="6" t="inlineStr">
        <is>
          <t>Пользовательский интерфейс</t>
        </is>
      </c>
      <c r="K508" s="7" t="n">
        <v>3</v>
      </c>
      <c r="L508" s="8" t="n"/>
      <c r="M508" s="137" t="inlineStr">
        <is>
          <t>+</t>
        </is>
      </c>
      <c r="N508" s="8" t="n"/>
      <c r="O508" s="8" t="n"/>
      <c r="P508" s="8" t="n"/>
      <c r="Q508" s="8" t="n"/>
      <c r="R508" s="8" t="n"/>
      <c r="S508" s="8" t="n"/>
      <c r="T508" s="8" t="n"/>
      <c r="U508" s="8" t="n"/>
      <c r="V508" s="8" t="n"/>
      <c r="W508" s="8" t="n"/>
      <c r="X508" s="137" t="inlineStr">
        <is>
          <t>+</t>
        </is>
      </c>
      <c r="Y508" s="137" t="inlineStr">
        <is>
          <t>+</t>
        </is>
      </c>
    </row>
    <row r="509">
      <c r="A509" s="6" t="inlineStr">
        <is>
          <t>работник 285</t>
        </is>
      </c>
      <c r="B509" s="6" t="inlineStr">
        <is>
          <t>Водитель погрузчика</t>
        </is>
      </c>
      <c r="C509" s="6" t="inlineStr">
        <is>
          <t>ОБЩЕСТВО С ОГРАНИЧЕННОЙ ОТВЕТСТВЕННОСТЬЮ "АМУР ЗОЛОТО"</t>
        </is>
      </c>
      <c r="D509" s="7" t="inlineStr">
        <is>
          <t>2708001686</t>
        </is>
      </c>
      <c r="E509" s="6" t="inlineStr">
        <is>
          <t>ООО "Амур Золото"</t>
        </is>
      </c>
      <c r="F509" s="7" t="inlineStr">
        <is>
          <t>2708001686</t>
        </is>
      </c>
      <c r="G509" s="7" t="inlineStr">
        <is>
          <t>Успешно</t>
        </is>
      </c>
      <c r="H509" s="6" t="n"/>
      <c r="I509" s="6" t="n"/>
      <c r="J509" s="6" t="inlineStr">
        <is>
          <t>Пользовательский интерфейс</t>
        </is>
      </c>
      <c r="K509" s="7" t="n">
        <v>3</v>
      </c>
      <c r="L509" s="8" t="n"/>
      <c r="M509" s="137" t="inlineStr">
        <is>
          <t>+</t>
        </is>
      </c>
      <c r="N509" s="8" t="n"/>
      <c r="O509" s="8" t="n"/>
      <c r="P509" s="8" t="n"/>
      <c r="Q509" s="8" t="n"/>
      <c r="R509" s="8" t="n"/>
      <c r="S509" s="8" t="n"/>
      <c r="T509" s="8" t="n"/>
      <c r="U509" s="8" t="n"/>
      <c r="V509" s="8" t="n"/>
      <c r="W509" s="8" t="n"/>
      <c r="X509" s="137" t="inlineStr">
        <is>
          <t>+</t>
        </is>
      </c>
      <c r="Y509" s="137" t="inlineStr">
        <is>
          <t>+</t>
        </is>
      </c>
    </row>
    <row r="510">
      <c r="A510" s="6" t="inlineStr">
        <is>
          <t>работник 587</t>
        </is>
      </c>
      <c r="B510" s="6" t="inlineStr">
        <is>
          <t>Повар</t>
        </is>
      </c>
      <c r="C510" s="6" t="inlineStr">
        <is>
          <t>ОБЩЕСТВО С ОГРАНИЧЕННОЙ ОТВЕТСТВЕННОСТЬЮ "АМУР ЗОЛОТО"</t>
        </is>
      </c>
      <c r="D510" s="7" t="inlineStr">
        <is>
          <t>2708001686</t>
        </is>
      </c>
      <c r="E510" s="6" t="inlineStr">
        <is>
          <t>ООО "Амур Золото"</t>
        </is>
      </c>
      <c r="F510" s="7" t="inlineStr">
        <is>
          <t>2708001686</t>
        </is>
      </c>
      <c r="G510" s="7" t="inlineStr">
        <is>
          <t>Успешно</t>
        </is>
      </c>
      <c r="H510" s="6" t="n"/>
      <c r="I510" s="6" t="n"/>
      <c r="J510" s="6" t="inlineStr">
        <is>
          <t>Пользовательский интерфейс</t>
        </is>
      </c>
      <c r="K510" s="7" t="n">
        <v>2</v>
      </c>
      <c r="L510" s="8" t="n"/>
      <c r="M510" s="137" t="inlineStr">
        <is>
          <t>+</t>
        </is>
      </c>
      <c r="N510" s="8" t="n"/>
      <c r="O510" s="8" t="n"/>
      <c r="P510" s="8" t="n"/>
      <c r="Q510" s="8" t="n"/>
      <c r="R510" s="8" t="n"/>
      <c r="S510" s="8" t="n"/>
      <c r="T510" s="8" t="n"/>
      <c r="U510" s="8" t="n"/>
      <c r="V510" s="8" t="n"/>
      <c r="W510" s="8" t="n"/>
      <c r="X510" s="139" t="n"/>
      <c r="Y510" s="138" t="inlineStr">
        <is>
          <t>+</t>
        </is>
      </c>
    </row>
    <row r="511">
      <c r="A511" s="6" t="inlineStr">
        <is>
          <t>работник 867</t>
        </is>
      </c>
      <c r="B511" s="6" t="inlineStr">
        <is>
          <t>Оператор стиральных машин (с исполнением обязанностей рабочего по ремонту спецодежды)</t>
        </is>
      </c>
      <c r="C511" s="6" t="inlineStr">
        <is>
          <t>ОБЩЕСТВО С ОГРАНИЧЕННОЙ ОТВЕТСТВЕННОСТЬЮ "АМУР ЗОЛОТО"</t>
        </is>
      </c>
      <c r="D511" s="7" t="inlineStr">
        <is>
          <t>2708001686</t>
        </is>
      </c>
      <c r="E511" s="6" t="inlineStr">
        <is>
          <t>ООО "Амур Золото"</t>
        </is>
      </c>
      <c r="F511" s="7" t="inlineStr">
        <is>
          <t>2708001686</t>
        </is>
      </c>
      <c r="G511" s="7" t="inlineStr">
        <is>
          <t>Успешно</t>
        </is>
      </c>
      <c r="H511" s="6" t="n"/>
      <c r="I511" s="6" t="n"/>
      <c r="J511" s="6" t="inlineStr">
        <is>
          <t>Пользовательский интерфейс</t>
        </is>
      </c>
      <c r="K511" s="7" t="n">
        <v>3</v>
      </c>
      <c r="L511" s="8" t="n"/>
      <c r="M511" s="137" t="inlineStr">
        <is>
          <t>+</t>
        </is>
      </c>
      <c r="N511" s="8" t="n"/>
      <c r="O511" s="8" t="n"/>
      <c r="P511" s="8" t="n"/>
      <c r="Q511" s="8" t="n"/>
      <c r="R511" s="8" t="n"/>
      <c r="S511" s="8" t="n"/>
      <c r="T511" s="8" t="n"/>
      <c r="U511" s="8" t="n"/>
      <c r="V511" s="8" t="n"/>
      <c r="W511" s="8" t="n"/>
      <c r="X511" s="137" t="inlineStr">
        <is>
          <t>+</t>
        </is>
      </c>
      <c r="Y511" s="138" t="inlineStr">
        <is>
          <t>+</t>
        </is>
      </c>
    </row>
    <row r="512">
      <c r="A512" s="6" t="inlineStr">
        <is>
          <t>работник 394</t>
        </is>
      </c>
      <c r="B512" s="6" t="inlineStr">
        <is>
          <t>Кухонный рабочий</t>
        </is>
      </c>
      <c r="C512" s="6" t="inlineStr">
        <is>
          <t>ОБЩЕСТВО С ОГРАНИЧЕННОЙ ОТВЕТСТВЕННОСТЬЮ "АМУР ЗОЛОТО"</t>
        </is>
      </c>
      <c r="D512" s="7" t="inlineStr">
        <is>
          <t>2708001686</t>
        </is>
      </c>
      <c r="E512" s="6" t="inlineStr">
        <is>
          <t>ООО "Амур Золото"</t>
        </is>
      </c>
      <c r="F512" s="7" t="inlineStr">
        <is>
          <t>2708001686</t>
        </is>
      </c>
      <c r="G512" s="7" t="inlineStr">
        <is>
          <t>Успешно</t>
        </is>
      </c>
      <c r="H512" s="6" t="n"/>
      <c r="I512" s="6" t="n"/>
      <c r="J512" s="6" t="inlineStr">
        <is>
          <t>Пользовательский интерфейс</t>
        </is>
      </c>
      <c r="K512" s="7" t="n">
        <v>3</v>
      </c>
      <c r="L512" s="8" t="n"/>
      <c r="M512" s="137" t="inlineStr">
        <is>
          <t>+</t>
        </is>
      </c>
      <c r="N512" s="8" t="n"/>
      <c r="O512" s="8" t="n"/>
      <c r="P512" s="8" t="n"/>
      <c r="Q512" s="8" t="n"/>
      <c r="R512" s="8" t="n"/>
      <c r="S512" s="8" t="n"/>
      <c r="T512" s="8" t="n"/>
      <c r="U512" s="8" t="n"/>
      <c r="V512" s="8" t="n"/>
      <c r="W512" s="8" t="n"/>
      <c r="X512" s="137" t="inlineStr">
        <is>
          <t>+</t>
        </is>
      </c>
      <c r="Y512" s="138" t="inlineStr">
        <is>
          <t>+</t>
        </is>
      </c>
    </row>
    <row r="513">
      <c r="A513" s="6" t="inlineStr">
        <is>
          <t>работник 168</t>
        </is>
      </c>
      <c r="B513" s="6" t="inlineStr">
        <is>
          <t>Проходчик (с исполнением обязанностей взрывника)</t>
        </is>
      </c>
      <c r="C513" s="6" t="inlineStr">
        <is>
          <t>ОБЩЕСТВО С ОГРАНИЧЕННОЙ ОТВЕТСТВЕННОСТЬЮ "АМУР ЗОЛОТО"</t>
        </is>
      </c>
      <c r="D513" s="7" t="inlineStr">
        <is>
          <t>2708001686</t>
        </is>
      </c>
      <c r="E513" s="6" t="inlineStr">
        <is>
          <t>ООО "Амур Золото"</t>
        </is>
      </c>
      <c r="F513" s="7" t="inlineStr">
        <is>
          <t>2708001686</t>
        </is>
      </c>
      <c r="G513" s="7" t="inlineStr">
        <is>
          <t>Успешно</t>
        </is>
      </c>
      <c r="H513" s="6" t="n"/>
      <c r="I513" s="6" t="n"/>
      <c r="J513" s="6" t="inlineStr">
        <is>
          <t>Пользовательский интерфейс</t>
        </is>
      </c>
      <c r="K513" s="7" t="n">
        <v>5</v>
      </c>
      <c r="L513" s="8" t="n"/>
      <c r="M513" s="137" t="inlineStr">
        <is>
          <t>+</t>
        </is>
      </c>
      <c r="N513" s="8" t="n"/>
      <c r="O513" s="8" t="n"/>
      <c r="P513" s="8" t="n"/>
      <c r="Q513" s="8" t="n"/>
      <c r="R513" s="8" t="n"/>
      <c r="S513" s="8" t="n"/>
      <c r="T513" s="8" t="n"/>
      <c r="U513" s="8" t="n"/>
      <c r="V513" s="8" t="n"/>
      <c r="W513" s="8" t="n"/>
      <c r="X513" s="137" t="inlineStr">
        <is>
          <t>+</t>
        </is>
      </c>
      <c r="Y513" s="137" t="inlineStr">
        <is>
          <t>+</t>
        </is>
      </c>
    </row>
    <row r="514">
      <c r="A514" s="6" t="inlineStr">
        <is>
          <t>работник 332</t>
        </is>
      </c>
      <c r="B514" s="6" t="inlineStr">
        <is>
          <t>Дробильщик</t>
        </is>
      </c>
      <c r="C514" s="6" t="inlineStr">
        <is>
          <t>ОБЩЕСТВО С ОГРАНИЧЕННОЙ ОТВЕТСТВЕННОСТЬЮ "АМУР ЗОЛОТО"</t>
        </is>
      </c>
      <c r="D514" s="7" t="inlineStr">
        <is>
          <t>2708001686</t>
        </is>
      </c>
      <c r="E514" s="6" t="inlineStr">
        <is>
          <t>ООО "Амур Золото"</t>
        </is>
      </c>
      <c r="F514" s="7" t="inlineStr">
        <is>
          <t>2708001686</t>
        </is>
      </c>
      <c r="G514" s="7" t="inlineStr">
        <is>
          <t>Успешно</t>
        </is>
      </c>
      <c r="H514" s="6" t="n"/>
      <c r="I514" s="6" t="n"/>
      <c r="J514" s="6" t="inlineStr">
        <is>
          <t>Пользовательский интерфейс</t>
        </is>
      </c>
      <c r="K514" s="7" t="n">
        <v>6</v>
      </c>
      <c r="L514" s="8" t="n"/>
      <c r="M514" s="137" t="inlineStr">
        <is>
          <t>+</t>
        </is>
      </c>
      <c r="N514" s="8" t="n"/>
      <c r="O514" s="8" t="n"/>
      <c r="P514" s="8" t="n"/>
      <c r="Q514" s="8" t="n"/>
      <c r="R514" s="8" t="n"/>
      <c r="S514" s="8" t="n"/>
      <c r="T514" s="8" t="n"/>
      <c r="U514" s="8" t="n"/>
      <c r="V514" s="8" t="n"/>
      <c r="W514" s="8" t="n"/>
      <c r="X514" s="137" t="inlineStr">
        <is>
          <t>+</t>
        </is>
      </c>
      <c r="Y514" s="137" t="inlineStr">
        <is>
          <t>+</t>
        </is>
      </c>
    </row>
    <row r="515">
      <c r="A515" s="6" t="inlineStr">
        <is>
          <t>работник 832</t>
        </is>
      </c>
      <c r="B515" s="6" t="inlineStr">
        <is>
          <t>Растворщик реагентов</t>
        </is>
      </c>
      <c r="C515" s="6" t="inlineStr">
        <is>
          <t>ОБЩЕСТВО С ОГРАНИЧЕННОЙ ОТВЕТСТВЕННОСТЬЮ "АМУР ЗОЛОТО"</t>
        </is>
      </c>
      <c r="D515" s="7" t="inlineStr">
        <is>
          <t>2708001686</t>
        </is>
      </c>
      <c r="E515" s="6" t="inlineStr">
        <is>
          <t>ООО "Амур Золото"</t>
        </is>
      </c>
      <c r="F515" s="7" t="inlineStr">
        <is>
          <t>2708001686</t>
        </is>
      </c>
      <c r="G515" s="7" t="inlineStr">
        <is>
          <t>Успешно</t>
        </is>
      </c>
      <c r="H515" s="6" t="n"/>
      <c r="I515" s="6" t="n"/>
      <c r="J515" s="6" t="inlineStr">
        <is>
          <t>Пользовательский интерфейс</t>
        </is>
      </c>
      <c r="K515" s="7" t="n">
        <v>3</v>
      </c>
      <c r="L515" s="8" t="n"/>
      <c r="M515" s="137" t="inlineStr">
        <is>
          <t>+</t>
        </is>
      </c>
      <c r="N515" s="8" t="n"/>
      <c r="O515" s="8" t="n"/>
      <c r="P515" s="8" t="n"/>
      <c r="Q515" s="8" t="n"/>
      <c r="R515" s="8" t="n"/>
      <c r="S515" s="8" t="n"/>
      <c r="T515" s="8" t="n"/>
      <c r="U515" s="8" t="n"/>
      <c r="V515" s="8" t="n"/>
      <c r="W515" s="8" t="n"/>
      <c r="X515" s="137" t="inlineStr">
        <is>
          <t>+</t>
        </is>
      </c>
      <c r="Y515" s="137" t="inlineStr">
        <is>
          <t>+</t>
        </is>
      </c>
    </row>
    <row r="516">
      <c r="A516" s="6" t="inlineStr">
        <is>
          <t>работник 491</t>
        </is>
      </c>
      <c r="B516" s="6" t="inlineStr">
        <is>
          <t>Машинист погрузочно-доставочной машины</t>
        </is>
      </c>
      <c r="C516" s="6" t="inlineStr">
        <is>
          <t>ОБЩЕСТВО С ОГРАНИЧЕННОЙ ОТВЕТСТВЕННОСТЬЮ "АМУР ЗОЛОТО"</t>
        </is>
      </c>
      <c r="D516" s="7" t="inlineStr">
        <is>
          <t>2708001686</t>
        </is>
      </c>
      <c r="E516" s="6" t="inlineStr">
        <is>
          <t>ООО "Амур Золото"</t>
        </is>
      </c>
      <c r="F516" s="7" t="inlineStr">
        <is>
          <t>2708001686</t>
        </is>
      </c>
      <c r="G516" s="7" t="inlineStr">
        <is>
          <t>Успешно</t>
        </is>
      </c>
      <c r="H516" s="6" t="n"/>
      <c r="I516" s="6" t="n"/>
      <c r="J516" s="6" t="inlineStr">
        <is>
          <t>Пользовательский интерфейс</t>
        </is>
      </c>
      <c r="K516" s="7" t="n">
        <v>3</v>
      </c>
      <c r="L516" s="8" t="n"/>
      <c r="M516" s="137" t="inlineStr">
        <is>
          <t>+</t>
        </is>
      </c>
      <c r="N516" s="8" t="n"/>
      <c r="O516" s="8" t="n"/>
      <c r="P516" s="8" t="n"/>
      <c r="Q516" s="8" t="n"/>
      <c r="R516" s="8" t="n"/>
      <c r="S516" s="8" t="n"/>
      <c r="T516" s="8" t="n"/>
      <c r="U516" s="8" t="n"/>
      <c r="V516" s="8" t="n"/>
      <c r="W516" s="8" t="n"/>
      <c r="X516" s="137" t="inlineStr">
        <is>
          <t>+</t>
        </is>
      </c>
      <c r="Y516" s="137" t="inlineStr">
        <is>
          <t>+</t>
        </is>
      </c>
    </row>
    <row r="517">
      <c r="A517" s="6" t="inlineStr">
        <is>
          <t>работник 725</t>
        </is>
      </c>
      <c r="B517" s="6" t="inlineStr">
        <is>
          <t>Участковый геолог</t>
        </is>
      </c>
      <c r="C517" s="6" t="inlineStr">
        <is>
          <t>ОБЩЕСТВО С ОГРАНИЧЕННОЙ ОТВЕТСТВЕННОСТЬЮ "АМУР ЗОЛОТО"</t>
        </is>
      </c>
      <c r="D517" s="7" t="inlineStr">
        <is>
          <t>2708001686</t>
        </is>
      </c>
      <c r="E517" s="6" t="inlineStr">
        <is>
          <t>ООО "Амур Золото"</t>
        </is>
      </c>
      <c r="F517" s="7" t="inlineStr">
        <is>
          <t>2708001686</t>
        </is>
      </c>
      <c r="G517" s="7" t="inlineStr">
        <is>
          <t>Успешно</t>
        </is>
      </c>
      <c r="H517" s="6" t="n"/>
      <c r="I517" s="6" t="n"/>
      <c r="J517" s="6" t="inlineStr">
        <is>
          <t>Пользовательский интерфейс</t>
        </is>
      </c>
      <c r="K517" s="7" t="n">
        <v>2</v>
      </c>
      <c r="L517" s="8" t="n"/>
      <c r="M517" s="137" t="inlineStr">
        <is>
          <t>+</t>
        </is>
      </c>
      <c r="N517" s="8" t="n"/>
      <c r="O517" s="8" t="n"/>
      <c r="P517" s="8" t="n"/>
      <c r="Q517" s="8" t="n"/>
      <c r="R517" s="8" t="n"/>
      <c r="S517" s="8" t="n"/>
      <c r="T517" s="8" t="n"/>
      <c r="U517" s="8" t="n"/>
      <c r="V517" s="8" t="n"/>
      <c r="W517" s="8" t="n"/>
      <c r="X517" s="8" t="n"/>
      <c r="Y517" s="137" t="inlineStr">
        <is>
          <t>+</t>
        </is>
      </c>
    </row>
    <row r="518">
      <c r="A518" s="6" t="inlineStr">
        <is>
          <t>работник 807</t>
        </is>
      </c>
      <c r="B518" s="6" t="inlineStr">
        <is>
          <t>повар</t>
        </is>
      </c>
      <c r="C518" s="6" t="inlineStr">
        <is>
          <t>ОБЩЕСТВО С ОГРАНИЧЕННОЙ ОТВЕТСТВЕННОСТЬЮ "АМУР ЗОЛОТО"</t>
        </is>
      </c>
      <c r="D518" s="7" t="inlineStr">
        <is>
          <t>2708001686</t>
        </is>
      </c>
      <c r="E518" s="6" t="inlineStr">
        <is>
          <t>ООО "Амур Золото"</t>
        </is>
      </c>
      <c r="F518" s="7" t="inlineStr">
        <is>
          <t>2708001686</t>
        </is>
      </c>
      <c r="G518" s="7" t="inlineStr">
        <is>
          <t>Успешно</t>
        </is>
      </c>
      <c r="H518" s="6" t="n"/>
      <c r="I518" s="6" t="n"/>
      <c r="J518" s="6" t="inlineStr">
        <is>
          <t>Пользовательский интерфейс</t>
        </is>
      </c>
      <c r="K518" s="7" t="n">
        <v>2</v>
      </c>
      <c r="L518" s="8" t="n"/>
      <c r="M518" s="137" t="inlineStr">
        <is>
          <t>+</t>
        </is>
      </c>
      <c r="N518" s="8" t="n"/>
      <c r="O518" s="8" t="n"/>
      <c r="P518" s="8" t="n"/>
      <c r="Q518" s="8" t="n"/>
      <c r="R518" s="8" t="n"/>
      <c r="S518" s="8" t="n"/>
      <c r="T518" s="8" t="n"/>
      <c r="U518" s="8" t="n"/>
      <c r="V518" s="8" t="n"/>
      <c r="W518" s="8" t="n"/>
      <c r="X518" s="139" t="n"/>
      <c r="Y518" s="138" t="inlineStr">
        <is>
          <t>+</t>
        </is>
      </c>
    </row>
    <row r="519">
      <c r="A519" s="6" t="inlineStr">
        <is>
          <t>работник 843</t>
        </is>
      </c>
      <c r="B519" s="6" t="inlineStr">
        <is>
          <t>Машинист самоходной буровой установки</t>
        </is>
      </c>
      <c r="C519" s="6" t="inlineStr">
        <is>
          <t>ОБЩЕСТВО С ОГРАНИЧЕННОЙ ОТВЕТСТВЕННОСТЬЮ "АМУР ЗОЛОТО"</t>
        </is>
      </c>
      <c r="D519" s="7" t="inlineStr">
        <is>
          <t>2708001686</t>
        </is>
      </c>
      <c r="E519" s="6" t="inlineStr">
        <is>
          <t>ООО "Амур Золото"</t>
        </is>
      </c>
      <c r="F519" s="7" t="inlineStr">
        <is>
          <t>2708001686</t>
        </is>
      </c>
      <c r="G519" s="7" t="inlineStr">
        <is>
          <t>Успешно</t>
        </is>
      </c>
      <c r="H519" s="6" t="n"/>
      <c r="I519" s="6" t="n"/>
      <c r="J519" s="6" t="inlineStr">
        <is>
          <t>Пользовательский интерфейс</t>
        </is>
      </c>
      <c r="K519" s="7" t="n">
        <v>3</v>
      </c>
      <c r="L519" s="8" t="n"/>
      <c r="M519" s="137" t="inlineStr">
        <is>
          <t>+</t>
        </is>
      </c>
      <c r="N519" s="8" t="n"/>
      <c r="O519" s="8" t="n"/>
      <c r="P519" s="8" t="n"/>
      <c r="Q519" s="8" t="n"/>
      <c r="R519" s="8" t="n"/>
      <c r="S519" s="8" t="n"/>
      <c r="T519" s="8" t="n"/>
      <c r="U519" s="8" t="n"/>
      <c r="V519" s="8" t="n"/>
      <c r="W519" s="8" t="n"/>
      <c r="X519" s="137" t="inlineStr">
        <is>
          <t>+</t>
        </is>
      </c>
      <c r="Y519" s="137" t="inlineStr">
        <is>
          <t>+</t>
        </is>
      </c>
    </row>
    <row r="520">
      <c r="A520" s="6" t="inlineStr">
        <is>
          <t>работник 702</t>
        </is>
      </c>
      <c r="B520" s="6" t="inlineStr">
        <is>
          <t>Ведущий инженер-геодезист</t>
        </is>
      </c>
      <c r="C520" s="6" t="inlineStr">
        <is>
          <t>ОБЩЕСТВО С ОГРАНИЧЕННОЙ ОТВЕТСТВЕННОСТЬЮ "АМУР ЗОЛОТО"</t>
        </is>
      </c>
      <c r="D520" s="7" t="inlineStr">
        <is>
          <t>2708001686</t>
        </is>
      </c>
      <c r="E520" s="6" t="inlineStr">
        <is>
          <t>ООО "Амур Золото"</t>
        </is>
      </c>
      <c r="F520" s="7" t="inlineStr">
        <is>
          <t>2708001686</t>
        </is>
      </c>
      <c r="G520" s="7" t="inlineStr">
        <is>
          <t>Успешно</t>
        </is>
      </c>
      <c r="H520" s="6" t="n"/>
      <c r="I520" s="6" t="n"/>
      <c r="J520" s="6" t="inlineStr">
        <is>
          <t>Пользовательский интерфейс</t>
        </is>
      </c>
      <c r="K520" s="7" t="n">
        <v>2</v>
      </c>
      <c r="L520" s="8" t="n"/>
      <c r="M520" s="137" t="inlineStr">
        <is>
          <t>+</t>
        </is>
      </c>
      <c r="N520" s="8" t="n"/>
      <c r="O520" s="8" t="n"/>
      <c r="P520" s="8" t="n"/>
      <c r="Q520" s="8" t="n"/>
      <c r="R520" s="8" t="n"/>
      <c r="S520" s="8" t="n"/>
      <c r="T520" s="8" t="n"/>
      <c r="U520" s="8" t="n"/>
      <c r="V520" s="8" t="n"/>
      <c r="W520" s="8" t="n"/>
      <c r="X520" s="8" t="n"/>
      <c r="Y520" s="137" t="inlineStr">
        <is>
          <t>+</t>
        </is>
      </c>
    </row>
    <row r="521">
      <c r="A521" s="6" t="inlineStr">
        <is>
          <t>работник 343</t>
        </is>
      </c>
      <c r="B521" s="6" t="inlineStr">
        <is>
          <t>Дробильщик / Дробильщики</t>
        </is>
      </c>
      <c r="C521" s="6" t="inlineStr">
        <is>
          <t>ОБЩЕСТВО С ОГРАНИЧЕННОЙ ОТВЕТСТВЕННОСТЬЮ "АМУР ЗОЛОТО"</t>
        </is>
      </c>
      <c r="D521" s="7" t="inlineStr">
        <is>
          <t>2708001686</t>
        </is>
      </c>
      <c r="E521" s="6" t="inlineStr">
        <is>
          <t>ООО "Амур Золото"</t>
        </is>
      </c>
      <c r="F521" s="7" t="inlineStr">
        <is>
          <t>2708001686</t>
        </is>
      </c>
      <c r="G521" s="7" t="inlineStr">
        <is>
          <t>Успешно</t>
        </is>
      </c>
      <c r="H521" s="6" t="n"/>
      <c r="I521" s="6" t="n"/>
      <c r="J521" s="6" t="inlineStr">
        <is>
          <t>Пользовательский интерфейс</t>
        </is>
      </c>
      <c r="K521" s="7" t="n">
        <v>6</v>
      </c>
      <c r="L521" s="8" t="n"/>
      <c r="M521" s="137" t="inlineStr">
        <is>
          <t>+</t>
        </is>
      </c>
      <c r="N521" s="8" t="n"/>
      <c r="O521" s="8" t="n"/>
      <c r="P521" s="8" t="n"/>
      <c r="Q521" s="8" t="n"/>
      <c r="R521" s="8" t="n"/>
      <c r="S521" s="8" t="n"/>
      <c r="T521" s="8" t="n"/>
      <c r="U521" s="8" t="n"/>
      <c r="V521" s="8" t="n"/>
      <c r="W521" s="8" t="n"/>
      <c r="X521" s="137" t="inlineStr">
        <is>
          <t>+</t>
        </is>
      </c>
      <c r="Y521" s="137" t="inlineStr">
        <is>
          <t>+</t>
        </is>
      </c>
    </row>
    <row r="522">
      <c r="A522" s="6" t="inlineStr">
        <is>
          <t>работник 661</t>
        </is>
      </c>
      <c r="B522" s="6" t="inlineStr">
        <is>
          <t>Подсобный рабочий</t>
        </is>
      </c>
      <c r="C522" s="6" t="inlineStr">
        <is>
          <t>ОБЩЕСТВО С ОГРАНИЧЕННОЙ ОТВЕТСТВЕННОСТЬЮ "АМУР ЗОЛОТО"</t>
        </is>
      </c>
      <c r="D522" s="7" t="inlineStr">
        <is>
          <t>2708001686</t>
        </is>
      </c>
      <c r="E522" s="6" t="inlineStr">
        <is>
          <t>ООО "Амур Золото"</t>
        </is>
      </c>
      <c r="F522" s="7" t="inlineStr">
        <is>
          <t>2708001686</t>
        </is>
      </c>
      <c r="G522" s="7" t="inlineStr">
        <is>
          <t>Успешно</t>
        </is>
      </c>
      <c r="H522" s="6" t="n"/>
      <c r="I522" s="6" t="n"/>
      <c r="J522" s="6" t="inlineStr">
        <is>
          <t>Пользовательский интерфейс</t>
        </is>
      </c>
      <c r="K522" s="7" t="n">
        <v>2</v>
      </c>
      <c r="L522" s="8" t="n"/>
      <c r="M522" s="137" t="inlineStr">
        <is>
          <t>+</t>
        </is>
      </c>
      <c r="N522" s="8" t="n"/>
      <c r="O522" s="8" t="n"/>
      <c r="P522" s="8" t="n"/>
      <c r="Q522" s="8" t="n"/>
      <c r="R522" s="8" t="n"/>
      <c r="S522" s="8" t="n"/>
      <c r="T522" s="8" t="n"/>
      <c r="U522" s="8" t="n"/>
      <c r="V522" s="8" t="n"/>
      <c r="W522" s="8" t="n"/>
      <c r="X522" s="139" t="n"/>
      <c r="Y522" s="137" t="inlineStr">
        <is>
          <t>+</t>
        </is>
      </c>
    </row>
    <row r="523">
      <c r="A523" s="6" t="inlineStr">
        <is>
          <t>работник 410</t>
        </is>
      </c>
      <c r="B523" s="6" t="inlineStr">
        <is>
          <t>Токарь( с исполнением  обязаности фрейзеровщика)</t>
        </is>
      </c>
      <c r="C523" s="6" t="inlineStr">
        <is>
          <t>ОБЩЕСТВО С ОГРАНИЧЕННОЙ ОТВЕТСТВЕННОСТЬЮ "АМУР ЗОЛОТО"</t>
        </is>
      </c>
      <c r="D523" s="7" t="inlineStr">
        <is>
          <t>2708001686</t>
        </is>
      </c>
      <c r="E523" s="6" t="inlineStr">
        <is>
          <t>ООО "Амур Золото"</t>
        </is>
      </c>
      <c r="F523" s="7" t="inlineStr">
        <is>
          <t>2708001686</t>
        </is>
      </c>
      <c r="G523" s="7" t="inlineStr">
        <is>
          <t>Успешно</t>
        </is>
      </c>
      <c r="H523" s="6" t="n"/>
      <c r="I523" s="6" t="n"/>
      <c r="J523" s="6" t="inlineStr">
        <is>
          <t>Пользовательский интерфейс</t>
        </is>
      </c>
      <c r="K523" s="7" t="n">
        <v>2</v>
      </c>
      <c r="L523" s="8" t="n"/>
      <c r="M523" s="137" t="inlineStr">
        <is>
          <t>+</t>
        </is>
      </c>
      <c r="N523" s="8" t="n"/>
      <c r="O523" s="8" t="n"/>
      <c r="P523" s="8" t="n"/>
      <c r="Q523" s="8" t="n"/>
      <c r="R523" s="8" t="n"/>
      <c r="S523" s="8" t="n"/>
      <c r="T523" s="8" t="n"/>
      <c r="U523" s="8" t="n"/>
      <c r="V523" s="8" t="n"/>
      <c r="W523" s="8" t="n"/>
      <c r="X523" s="139" t="n"/>
      <c r="Y523" s="137" t="inlineStr">
        <is>
          <t>+</t>
        </is>
      </c>
    </row>
    <row r="524">
      <c r="A524" s="6" t="inlineStr">
        <is>
          <t>работник 58</t>
        </is>
      </c>
      <c r="B524" s="6" t="inlineStr">
        <is>
          <t>Оператор дизельных котлов / Машинист насосных установок</t>
        </is>
      </c>
      <c r="C524" s="6" t="inlineStr">
        <is>
          <t>ОБЩЕСТВО С ОГРАНИЧЕННОЙ ОТВЕТСТВЕННОСТЬЮ "АМУР ЗОЛОТО"</t>
        </is>
      </c>
      <c r="D524" s="7" t="inlineStr">
        <is>
          <t>2708001686</t>
        </is>
      </c>
      <c r="E524" s="6" t="inlineStr">
        <is>
          <t>ООО "Амур Золото"</t>
        </is>
      </c>
      <c r="F524" s="7" t="inlineStr">
        <is>
          <t>2708001686</t>
        </is>
      </c>
      <c r="G524" s="7" t="inlineStr">
        <is>
          <t>Успешно</t>
        </is>
      </c>
      <c r="H524" s="6" t="n"/>
      <c r="I524" s="6" t="n"/>
      <c r="J524" s="6" t="inlineStr">
        <is>
          <t>Пользовательский интерфейс</t>
        </is>
      </c>
      <c r="K524" s="7" t="n">
        <v>5</v>
      </c>
      <c r="L524" s="8" t="n"/>
      <c r="M524" s="137" t="inlineStr">
        <is>
          <t>+</t>
        </is>
      </c>
      <c r="N524" s="8" t="n"/>
      <c r="O524" s="8" t="n"/>
      <c r="P524" s="8" t="n"/>
      <c r="Q524" s="8" t="n"/>
      <c r="R524" s="8" t="n"/>
      <c r="S524" s="8" t="n"/>
      <c r="T524" s="8" t="n"/>
      <c r="U524" s="8" t="n"/>
      <c r="V524" s="8" t="n"/>
      <c r="W524" s="8" t="n"/>
      <c r="X524" s="137" t="inlineStr">
        <is>
          <t>+</t>
        </is>
      </c>
      <c r="Y524" s="137" t="inlineStr">
        <is>
          <t>+</t>
        </is>
      </c>
    </row>
    <row r="525">
      <c r="A525" s="6" t="inlineStr">
        <is>
          <t>работник 856</t>
        </is>
      </c>
      <c r="B525" s="6" t="inlineStr">
        <is>
          <t>Подсобный рабочий</t>
        </is>
      </c>
      <c r="C525" s="6" t="inlineStr">
        <is>
          <t>ОБЩЕСТВО С ОГРАНИЧЕННОЙ ОТВЕТСТВЕННОСТЬЮ "АМУР ЗОЛОТО"</t>
        </is>
      </c>
      <c r="D525" s="7" t="inlineStr">
        <is>
          <t>2708001686</t>
        </is>
      </c>
      <c r="E525" s="6" t="inlineStr">
        <is>
          <t>ООО "Амур Золото"</t>
        </is>
      </c>
      <c r="F525" s="7" t="inlineStr">
        <is>
          <t>2708001686</t>
        </is>
      </c>
      <c r="G525" s="7" t="inlineStr">
        <is>
          <t>Успешно</t>
        </is>
      </c>
      <c r="H525" s="6" t="n"/>
      <c r="I525" s="6" t="n"/>
      <c r="J525" s="6" t="inlineStr">
        <is>
          <t>Пользовательский интерфейс</t>
        </is>
      </c>
      <c r="K525" s="7" t="n">
        <v>3</v>
      </c>
      <c r="L525" s="8" t="n"/>
      <c r="M525" s="137" t="inlineStr">
        <is>
          <t>+</t>
        </is>
      </c>
      <c r="N525" s="8" t="n"/>
      <c r="O525" s="8" t="n"/>
      <c r="P525" s="8" t="n"/>
      <c r="Q525" s="8" t="n"/>
      <c r="R525" s="8" t="n"/>
      <c r="S525" s="8" t="n"/>
      <c r="T525" s="8" t="n"/>
      <c r="U525" s="8" t="n"/>
      <c r="V525" s="8" t="n"/>
      <c r="W525" s="8" t="n"/>
      <c r="X525" s="137" t="inlineStr">
        <is>
          <t>+</t>
        </is>
      </c>
      <c r="Y525" s="137" t="inlineStr">
        <is>
          <t>+</t>
        </is>
      </c>
    </row>
    <row r="526">
      <c r="A526" s="6" t="inlineStr">
        <is>
          <t>работник 233</t>
        </is>
      </c>
      <c r="B526" s="6" t="inlineStr">
        <is>
          <t>Лаборант химического анализа</t>
        </is>
      </c>
      <c r="C526" s="6" t="inlineStr">
        <is>
          <t>ОБЩЕСТВО С ОГРАНИЧЕННОЙ ОТВЕТСТВЕННОСТЬЮ "АМУР ЗОЛОТО"</t>
        </is>
      </c>
      <c r="D526" s="7" t="inlineStr">
        <is>
          <t>2708001686</t>
        </is>
      </c>
      <c r="E526" s="6" t="inlineStr">
        <is>
          <t>ООО "Амур Золото"</t>
        </is>
      </c>
      <c r="F526" s="7" t="inlineStr">
        <is>
          <t>2708001686</t>
        </is>
      </c>
      <c r="G526" s="7" t="inlineStr">
        <is>
          <t>Успешно</t>
        </is>
      </c>
      <c r="H526" s="6" t="n"/>
      <c r="I526" s="6" t="n"/>
      <c r="J526" s="6" t="inlineStr">
        <is>
          <t>Пользовательский интерфейс</t>
        </is>
      </c>
      <c r="K526" s="7" t="n">
        <v>3</v>
      </c>
      <c r="L526" s="8" t="n"/>
      <c r="M526" s="137" t="inlineStr">
        <is>
          <t>+</t>
        </is>
      </c>
      <c r="N526" s="8" t="n"/>
      <c r="O526" s="8" t="n"/>
      <c r="P526" s="8" t="n"/>
      <c r="Q526" s="8" t="n"/>
      <c r="R526" s="8" t="n"/>
      <c r="S526" s="8" t="n"/>
      <c r="T526" s="8" t="n"/>
      <c r="U526" s="8" t="n"/>
      <c r="V526" s="8" t="n"/>
      <c r="W526" s="8" t="n"/>
      <c r="X526" s="137" t="inlineStr">
        <is>
          <t>+</t>
        </is>
      </c>
      <c r="Y526" s="137" t="inlineStr">
        <is>
          <t>+</t>
        </is>
      </c>
    </row>
    <row r="527">
      <c r="A527" s="6" t="inlineStr">
        <is>
          <t>работник 726</t>
        </is>
      </c>
      <c r="B527" s="6" t="inlineStr">
        <is>
          <t>Машинист буровой установки</t>
        </is>
      </c>
      <c r="C527" s="6" t="inlineStr">
        <is>
          <t>ОБЩЕСТВО С ОГРАНИЧЕННОЙ ОТВЕТСТВЕННОСТЬЮ "АМУР ЗОЛОТО"</t>
        </is>
      </c>
      <c r="D527" s="7" t="inlineStr">
        <is>
          <t>2708001686</t>
        </is>
      </c>
      <c r="E527" s="6" t="inlineStr">
        <is>
          <t>ООО "Амур Золото"</t>
        </is>
      </c>
      <c r="F527" s="7" t="inlineStr">
        <is>
          <t>2708001686</t>
        </is>
      </c>
      <c r="G527" s="7" t="inlineStr">
        <is>
          <t>Успешно</t>
        </is>
      </c>
      <c r="H527" s="6" t="n"/>
      <c r="I527" s="6" t="n"/>
      <c r="J527" s="6" t="inlineStr">
        <is>
          <t>Пользовательский интерфейс</t>
        </is>
      </c>
      <c r="K527" s="7" t="n">
        <v>2</v>
      </c>
      <c r="L527" s="8" t="n"/>
      <c r="M527" s="137" t="inlineStr">
        <is>
          <t>+</t>
        </is>
      </c>
      <c r="N527" s="8" t="n"/>
      <c r="O527" s="8" t="n"/>
      <c r="P527" s="8" t="n"/>
      <c r="Q527" s="8" t="n"/>
      <c r="R527" s="8" t="n"/>
      <c r="S527" s="8" t="n"/>
      <c r="T527" s="8" t="n"/>
      <c r="U527" s="8" t="n"/>
      <c r="V527" s="8" t="n"/>
      <c r="W527" s="8" t="n"/>
      <c r="X527" s="139" t="n"/>
      <c r="Y527" s="137" t="inlineStr">
        <is>
          <t>+</t>
        </is>
      </c>
    </row>
    <row r="528">
      <c r="A528" s="6" t="inlineStr">
        <is>
          <t>работник 523</t>
        </is>
      </c>
      <c r="B528" s="6" t="inlineStr">
        <is>
          <t>Фильтровальщик</t>
        </is>
      </c>
      <c r="C528" s="6" t="inlineStr">
        <is>
          <t>ОБЩЕСТВО С ОГРАНИЧЕННОЙ ОТВЕТСТВЕННОСТЬЮ "АМУР ЗОЛОТО"</t>
        </is>
      </c>
      <c r="D528" s="7" t="inlineStr">
        <is>
          <t>2708001686</t>
        </is>
      </c>
      <c r="E528" s="6" t="inlineStr">
        <is>
          <t>ООО "Амур Золото"</t>
        </is>
      </c>
      <c r="F528" s="7" t="inlineStr">
        <is>
          <t>2708001686</t>
        </is>
      </c>
      <c r="G528" s="7" t="inlineStr">
        <is>
          <t>Успешно</t>
        </is>
      </c>
      <c r="H528" s="6" t="n"/>
      <c r="I528" s="6" t="n"/>
      <c r="J528" s="6" t="inlineStr">
        <is>
          <t>Пользовательский интерфейс</t>
        </is>
      </c>
      <c r="K528" s="7" t="n">
        <v>2</v>
      </c>
      <c r="L528" s="8" t="n"/>
      <c r="M528" s="137" t="inlineStr">
        <is>
          <t>+</t>
        </is>
      </c>
      <c r="N528" s="8" t="n"/>
      <c r="O528" s="8" t="n"/>
      <c r="P528" s="8" t="n"/>
      <c r="Q528" s="8" t="n"/>
      <c r="R528" s="8" t="n"/>
      <c r="S528" s="8" t="n"/>
      <c r="T528" s="8" t="n"/>
      <c r="U528" s="8" t="n"/>
      <c r="V528" s="8" t="n"/>
      <c r="W528" s="8" t="n"/>
      <c r="X528" s="139" t="n"/>
      <c r="Y528" s="137" t="inlineStr">
        <is>
          <t>+</t>
        </is>
      </c>
    </row>
    <row r="529">
      <c r="A529" s="6" t="inlineStr">
        <is>
          <t>работник 85</t>
        </is>
      </c>
      <c r="B529" s="6" t="inlineStr">
        <is>
          <t>Водитель автомобиля (занятый на транспортировании горной массы в технологическом процессе) / Водитель автомобиля (категория С) / Горнорабочий</t>
        </is>
      </c>
      <c r="C529" s="6" t="inlineStr">
        <is>
          <t>ОБЩЕСТВО С ОГРАНИЧЕННОЙ ОТВЕТСТВЕННОСТЬЮ "АМУР ЗОЛОТО"</t>
        </is>
      </c>
      <c r="D529" s="7" t="inlineStr">
        <is>
          <t>2708001686</t>
        </is>
      </c>
      <c r="E529" s="6" t="inlineStr">
        <is>
          <t>ООО "Амур Золото"</t>
        </is>
      </c>
      <c r="F529" s="7" t="inlineStr">
        <is>
          <t>2708001686</t>
        </is>
      </c>
      <c r="G529" s="7" t="inlineStr">
        <is>
          <t>Успешно</t>
        </is>
      </c>
      <c r="H529" s="6" t="n"/>
      <c r="I529" s="6" t="n"/>
      <c r="J529" s="6" t="inlineStr">
        <is>
          <t>Пользовательский интерфейс</t>
        </is>
      </c>
      <c r="K529" s="7" t="n">
        <v>9</v>
      </c>
      <c r="L529" s="8" t="n"/>
      <c r="M529" s="137" t="inlineStr">
        <is>
          <t>+</t>
        </is>
      </c>
      <c r="N529" s="8" t="n"/>
      <c r="O529" s="8" t="n"/>
      <c r="P529" s="8" t="n"/>
      <c r="Q529" s="8" t="n"/>
      <c r="R529" s="8" t="n"/>
      <c r="S529" s="8" t="n"/>
      <c r="T529" s="8" t="n"/>
      <c r="U529" s="8" t="n"/>
      <c r="V529" s="8" t="n"/>
      <c r="W529" s="8" t="n"/>
      <c r="X529" s="137" t="inlineStr">
        <is>
          <t>+</t>
        </is>
      </c>
      <c r="Y529" s="137" t="inlineStr">
        <is>
          <t>+</t>
        </is>
      </c>
    </row>
    <row r="530">
      <c r="A530" s="6" t="inlineStr">
        <is>
          <t>работник 525</t>
        </is>
      </c>
      <c r="B530" s="6" t="inlineStr">
        <is>
          <t>Аппаратчик-гидрометаллург</t>
        </is>
      </c>
      <c r="C530" s="6" t="inlineStr">
        <is>
          <t>ОБЩЕСТВО С ОГРАНИЧЕННОЙ ОТВЕТСТВЕННОСТЬЮ "АМУР ЗОЛОТО"</t>
        </is>
      </c>
      <c r="D530" s="7" t="inlineStr">
        <is>
          <t>2708001686</t>
        </is>
      </c>
      <c r="E530" s="6" t="inlineStr">
        <is>
          <t>ООО "Амур Золото"</t>
        </is>
      </c>
      <c r="F530" s="7" t="inlineStr">
        <is>
          <t>2708001686</t>
        </is>
      </c>
      <c r="G530" s="7" t="inlineStr">
        <is>
          <t>Успешно</t>
        </is>
      </c>
      <c r="H530" s="6" t="n"/>
      <c r="I530" s="6" t="n"/>
      <c r="J530" s="6" t="inlineStr">
        <is>
          <t>Пользовательский интерфейс</t>
        </is>
      </c>
      <c r="K530" s="7" t="n">
        <v>2</v>
      </c>
      <c r="L530" s="8" t="n"/>
      <c r="M530" s="137" t="inlineStr">
        <is>
          <t>+</t>
        </is>
      </c>
      <c r="N530" s="8" t="n"/>
      <c r="O530" s="8" t="n"/>
      <c r="P530" s="8" t="n"/>
      <c r="Q530" s="8" t="n"/>
      <c r="R530" s="8" t="n"/>
      <c r="S530" s="8" t="n"/>
      <c r="T530" s="8" t="n"/>
      <c r="U530" s="8" t="n"/>
      <c r="V530" s="8" t="n"/>
      <c r="W530" s="8" t="n"/>
      <c r="X530" s="139" t="n"/>
      <c r="Y530" s="137" t="inlineStr">
        <is>
          <t>+</t>
        </is>
      </c>
    </row>
    <row r="531">
      <c r="A531" s="6" t="inlineStr">
        <is>
          <t>работник 373</t>
        </is>
      </c>
      <c r="B531" s="6" t="inlineStr">
        <is>
          <t>Инженр хемического анариза</t>
        </is>
      </c>
      <c r="C531" s="6" t="inlineStr">
        <is>
          <t>ОБЩЕСТВО С ОГРАНИЧЕННОЙ ОТВЕТСТВЕННОСТЬЮ "АМУР ЗОЛОТО"</t>
        </is>
      </c>
      <c r="D531" s="7" t="inlineStr">
        <is>
          <t>2708001686</t>
        </is>
      </c>
      <c r="E531" s="6" t="inlineStr">
        <is>
          <t>ООО "Амур Золото"</t>
        </is>
      </c>
      <c r="F531" s="7" t="inlineStr">
        <is>
          <t>2708001686</t>
        </is>
      </c>
      <c r="G531" s="7" t="inlineStr">
        <is>
          <t>Успешно</t>
        </is>
      </c>
      <c r="H531" s="6" t="n"/>
      <c r="I531" s="6" t="n"/>
      <c r="J531" s="6" t="inlineStr">
        <is>
          <t>Пользовательский интерфейс</t>
        </is>
      </c>
      <c r="K531" s="7" t="n">
        <v>3</v>
      </c>
      <c r="L531" s="8" t="n"/>
      <c r="M531" s="137" t="inlineStr">
        <is>
          <t>+</t>
        </is>
      </c>
      <c r="N531" s="8" t="n"/>
      <c r="O531" s="8" t="n"/>
      <c r="P531" s="8" t="n"/>
      <c r="Q531" s="8" t="n"/>
      <c r="R531" s="8" t="n"/>
      <c r="S531" s="8" t="n"/>
      <c r="T531" s="8" t="n"/>
      <c r="U531" s="8" t="n"/>
      <c r="V531" s="8" t="n"/>
      <c r="W531" s="8" t="n"/>
      <c r="X531" s="140" t="inlineStr">
        <is>
          <t>+</t>
        </is>
      </c>
      <c r="Y531" s="137" t="inlineStr">
        <is>
          <t>+</t>
        </is>
      </c>
    </row>
    <row r="532">
      <c r="A532" s="6" t="inlineStr">
        <is>
          <t>работник 853</t>
        </is>
      </c>
      <c r="B532" s="6" t="inlineStr">
        <is>
          <t>Машинист насосных установок</t>
        </is>
      </c>
      <c r="C532" s="6" t="inlineStr">
        <is>
          <t>ОБЩЕСТВО С ОГРАНИЧЕННОЙ ОТВЕТСТВЕННОСТЬЮ "АМУР ЗОЛОТО"</t>
        </is>
      </c>
      <c r="D532" s="7" t="inlineStr">
        <is>
          <t>2708001686</t>
        </is>
      </c>
      <c r="E532" s="6" t="inlineStr">
        <is>
          <t>ООО "Амур Золото"</t>
        </is>
      </c>
      <c r="F532" s="7" t="inlineStr">
        <is>
          <t>2708001686</t>
        </is>
      </c>
      <c r="G532" s="7" t="inlineStr">
        <is>
          <t>Успешно</t>
        </is>
      </c>
      <c r="H532" s="6" t="n"/>
      <c r="I532" s="6" t="n"/>
      <c r="J532" s="6" t="inlineStr">
        <is>
          <t>Пользовательский интерфейс</t>
        </is>
      </c>
      <c r="K532" s="7" t="n">
        <v>3</v>
      </c>
      <c r="L532" s="8" t="n"/>
      <c r="M532" s="137" t="inlineStr">
        <is>
          <t>+</t>
        </is>
      </c>
      <c r="N532" s="8" t="n"/>
      <c r="O532" s="8" t="n"/>
      <c r="P532" s="8" t="n"/>
      <c r="Q532" s="8" t="n"/>
      <c r="R532" s="8" t="n"/>
      <c r="S532" s="8" t="n"/>
      <c r="T532" s="8" t="n"/>
      <c r="U532" s="8" t="n"/>
      <c r="V532" s="8" t="n"/>
      <c r="W532" s="8" t="n"/>
      <c r="X532" s="137" t="inlineStr">
        <is>
          <t>+</t>
        </is>
      </c>
      <c r="Y532" s="137" t="inlineStr">
        <is>
          <t>+</t>
        </is>
      </c>
    </row>
    <row r="533">
      <c r="A533" s="6" t="inlineStr">
        <is>
          <t>работник 537</t>
        </is>
      </c>
      <c r="B533" s="6" t="inlineStr">
        <is>
          <t>Фильтровальщик</t>
        </is>
      </c>
      <c r="C533" s="6" t="inlineStr">
        <is>
          <t>ОБЩЕСТВО С ОГРАНИЧЕННОЙ ОТВЕТСТВЕННОСТЬЮ "АМУР ЗОЛОТО"</t>
        </is>
      </c>
      <c r="D533" s="7" t="inlineStr">
        <is>
          <t>2708001686</t>
        </is>
      </c>
      <c r="E533" s="6" t="inlineStr">
        <is>
          <t>ООО "Амур Золото"</t>
        </is>
      </c>
      <c r="F533" s="7" t="inlineStr">
        <is>
          <t>2708001686</t>
        </is>
      </c>
      <c r="G533" s="7" t="inlineStr">
        <is>
          <t>Успешно</t>
        </is>
      </c>
      <c r="H533" s="6" t="n"/>
      <c r="I533" s="6" t="n"/>
      <c r="J533" s="6" t="n"/>
      <c r="K533" s="7" t="n">
        <v>2</v>
      </c>
      <c r="L533" s="8" t="n"/>
      <c r="M533" s="137" t="inlineStr">
        <is>
          <t>+</t>
        </is>
      </c>
      <c r="N533" s="8" t="n"/>
      <c r="O533" s="8" t="n"/>
      <c r="P533" s="8" t="n"/>
      <c r="Q533" s="8" t="n"/>
      <c r="R533" s="8" t="n"/>
      <c r="S533" s="8" t="n"/>
      <c r="T533" s="8" t="n"/>
      <c r="U533" s="8" t="n"/>
      <c r="V533" s="8" t="n"/>
      <c r="W533" s="8" t="n"/>
      <c r="X533" s="139" t="n"/>
      <c r="Y533" s="137" t="inlineStr">
        <is>
          <t>+</t>
        </is>
      </c>
    </row>
    <row r="534">
      <c r="A534" s="6" t="inlineStr">
        <is>
          <t>работник 892</t>
        </is>
      </c>
      <c r="B534" s="6" t="inlineStr">
        <is>
          <t>Машинист погрузочно-доставочной машины (занятый на транспортировании горной массы в технологическом процессе)</t>
        </is>
      </c>
      <c r="C534" s="6" t="inlineStr">
        <is>
          <t>ОБЩЕСТВО С ОГРАНИЧЕННОЙ ОТВЕТСТВЕННОСТЬЮ "АМУР ЗОЛОТО"</t>
        </is>
      </c>
      <c r="D534" s="7" t="inlineStr">
        <is>
          <t>2708001686</t>
        </is>
      </c>
      <c r="E534" s="6" t="inlineStr">
        <is>
          <t>ООО "Амур Золото"</t>
        </is>
      </c>
      <c r="F534" s="7" t="inlineStr">
        <is>
          <t>2708001686</t>
        </is>
      </c>
      <c r="G534" s="7" t="inlineStr">
        <is>
          <t>Успешно</t>
        </is>
      </c>
      <c r="H534" s="6" t="n"/>
      <c r="I534" s="6" t="n"/>
      <c r="J534" s="6" t="inlineStr">
        <is>
          <t>Пользовательский интерфейс</t>
        </is>
      </c>
      <c r="K534" s="7" t="n">
        <v>3</v>
      </c>
      <c r="L534" s="8" t="n"/>
      <c r="M534" s="137" t="inlineStr">
        <is>
          <t>+</t>
        </is>
      </c>
      <c r="N534" s="8" t="n"/>
      <c r="O534" s="8" t="n"/>
      <c r="P534" s="8" t="n"/>
      <c r="Q534" s="8" t="n"/>
      <c r="R534" s="8" t="n"/>
      <c r="S534" s="8" t="n"/>
      <c r="T534" s="8" t="n"/>
      <c r="U534" s="8" t="n"/>
      <c r="V534" s="8" t="n"/>
      <c r="W534" s="8" t="n"/>
      <c r="X534" s="137" t="inlineStr">
        <is>
          <t>+</t>
        </is>
      </c>
      <c r="Y534" s="137" t="inlineStr">
        <is>
          <t>+</t>
        </is>
      </c>
    </row>
    <row r="535">
      <c r="A535" s="6" t="inlineStr">
        <is>
          <t>работник 611</t>
        </is>
      </c>
      <c r="B535" s="6" t="inlineStr">
        <is>
          <t>Машинист двигателей внутреннего сгорания</t>
        </is>
      </c>
      <c r="C535" s="6" t="inlineStr">
        <is>
          <t>ОБЩЕСТВО С ОГРАНИЧЕННОЙ ОТВЕТСТВЕННОСТЬЮ "АМУР ЗОЛОТО"</t>
        </is>
      </c>
      <c r="D535" s="7" t="inlineStr">
        <is>
          <t>2708001686</t>
        </is>
      </c>
      <c r="E535" s="6" t="inlineStr">
        <is>
          <t>ООО "Амур Золото"</t>
        </is>
      </c>
      <c r="F535" s="7" t="inlineStr">
        <is>
          <t>2708001686</t>
        </is>
      </c>
      <c r="G535" s="7" t="inlineStr">
        <is>
          <t>Успешно</t>
        </is>
      </c>
      <c r="H535" s="6" t="n"/>
      <c r="I535" s="6" t="n"/>
      <c r="J535" s="6" t="n"/>
      <c r="K535" s="7" t="n">
        <v>2</v>
      </c>
      <c r="L535" s="8" t="n"/>
      <c r="M535" s="137" t="inlineStr">
        <is>
          <t>+</t>
        </is>
      </c>
      <c r="N535" s="8" t="n"/>
      <c r="O535" s="8" t="n"/>
      <c r="P535" s="8" t="n"/>
      <c r="Q535" s="8" t="n"/>
      <c r="R535" s="8" t="n"/>
      <c r="S535" s="8" t="n"/>
      <c r="T535" s="8" t="n"/>
      <c r="U535" s="8" t="n"/>
      <c r="V535" s="8" t="n"/>
      <c r="W535" s="8" t="n"/>
      <c r="X535" s="139" t="n"/>
      <c r="Y535" s="137" t="inlineStr">
        <is>
          <t>+</t>
        </is>
      </c>
    </row>
    <row r="536">
      <c r="A536" s="6" t="inlineStr">
        <is>
          <t>работник 29</t>
        </is>
      </c>
      <c r="B536" s="6" t="inlineStr">
        <is>
          <t>Электрогазосварщик</t>
        </is>
      </c>
      <c r="C536" s="6" t="inlineStr">
        <is>
          <t>ОБЩЕСТВО С ОГРАНИЧЕННОЙ ОТВЕТСТВЕННОСТЬЮ "АМУР ЗОЛОТО"</t>
        </is>
      </c>
      <c r="D536" s="7" t="inlineStr">
        <is>
          <t>2708001686</t>
        </is>
      </c>
      <c r="E536" s="6" t="inlineStr">
        <is>
          <t>ООО "Амур Золото"</t>
        </is>
      </c>
      <c r="F536" s="7" t="inlineStr">
        <is>
          <t>2708001686</t>
        </is>
      </c>
      <c r="G536" s="7" t="inlineStr">
        <is>
          <t>Успешно</t>
        </is>
      </c>
      <c r="H536" s="6" t="n"/>
      <c r="I536" s="6" t="n"/>
      <c r="J536" s="6" t="inlineStr">
        <is>
          <t>Пользовательский интерфейс</t>
        </is>
      </c>
      <c r="K536" s="7" t="n">
        <v>6</v>
      </c>
      <c r="L536" s="8" t="n"/>
      <c r="M536" s="139" t="n"/>
      <c r="N536" s="137" t="inlineStr">
        <is>
          <t>+</t>
        </is>
      </c>
      <c r="O536" s="137" t="inlineStr">
        <is>
          <t>+</t>
        </is>
      </c>
      <c r="P536" s="137" t="inlineStr">
        <is>
          <t>+</t>
        </is>
      </c>
      <c r="Q536" s="137" t="inlineStr">
        <is>
          <t>+</t>
        </is>
      </c>
      <c r="R536" s="137" t="inlineStr">
        <is>
          <t>+</t>
        </is>
      </c>
      <c r="S536" s="137" t="inlineStr">
        <is>
          <t>+</t>
        </is>
      </c>
      <c r="T536" s="8" t="n"/>
      <c r="U536" s="8" t="n"/>
      <c r="V536" s="8" t="n"/>
      <c r="W536" s="8" t="n"/>
      <c r="X536" s="139" t="n"/>
      <c r="Y536" s="141" t="n"/>
    </row>
    <row r="537">
      <c r="A537" s="6" t="inlineStr">
        <is>
          <t>работник 544</t>
        </is>
      </c>
      <c r="B537" s="6" t="inlineStr">
        <is>
          <t>Дробильщик</t>
        </is>
      </c>
      <c r="C537" s="6" t="inlineStr">
        <is>
          <t>ОБЩЕСТВО С ОГРАНИЧЕННОЙ ОТВЕТСТВЕННОСТЬЮ "АМУР ЗОЛОТО"</t>
        </is>
      </c>
      <c r="D537" s="7" t="inlineStr">
        <is>
          <t>2708001686</t>
        </is>
      </c>
      <c r="E537" s="6" t="inlineStr">
        <is>
          <t>ООО "Амур Золото"</t>
        </is>
      </c>
      <c r="F537" s="7" t="inlineStr">
        <is>
          <t>2708001686</t>
        </is>
      </c>
      <c r="G537" s="7" t="inlineStr">
        <is>
          <t>Успешно</t>
        </is>
      </c>
      <c r="H537" s="6" t="n"/>
      <c r="I537" s="6" t="n"/>
      <c r="J537" s="6" t="inlineStr">
        <is>
          <t>Пользовательский интерфейс</t>
        </is>
      </c>
      <c r="K537" s="7" t="n">
        <v>5</v>
      </c>
      <c r="L537" s="8" t="n"/>
      <c r="M537" s="137" t="inlineStr">
        <is>
          <t>+</t>
        </is>
      </c>
      <c r="N537" s="8" t="n"/>
      <c r="O537" s="8" t="n"/>
      <c r="P537" s="8" t="n"/>
      <c r="Q537" s="8" t="n"/>
      <c r="R537" s="8" t="n"/>
      <c r="S537" s="8" t="n"/>
      <c r="T537" s="8" t="n"/>
      <c r="U537" s="8" t="n"/>
      <c r="V537" s="8" t="n"/>
      <c r="W537" s="8" t="n"/>
      <c r="X537" s="137" t="inlineStr">
        <is>
          <t>+</t>
        </is>
      </c>
      <c r="Y537" s="137" t="inlineStr">
        <is>
          <t>+</t>
        </is>
      </c>
    </row>
    <row r="538">
      <c r="A538" s="6" t="inlineStr">
        <is>
          <t>работник 810</t>
        </is>
      </c>
      <c r="B538" s="6" t="inlineStr">
        <is>
          <t>Раздатчик взрывчатых материалов (с исполнением обязанностей аппаратчика по изготовлению взрывчатых материалов)</t>
        </is>
      </c>
      <c r="C538" s="6" t="inlineStr">
        <is>
          <t>ОБЩЕСТВО С ОГРАНИЧЕННОЙ ОТВЕТСТВЕННОСТЬЮ "АМУР ЗОЛОТО"</t>
        </is>
      </c>
      <c r="D538" s="7" t="inlineStr">
        <is>
          <t>2708001686</t>
        </is>
      </c>
      <c r="E538" s="6" t="inlineStr">
        <is>
          <t>ООО "Амур Золото"</t>
        </is>
      </c>
      <c r="F538" s="7" t="inlineStr">
        <is>
          <t>2708001686</t>
        </is>
      </c>
      <c r="G538" s="7" t="inlineStr">
        <is>
          <t>Успешно</t>
        </is>
      </c>
      <c r="H538" s="6" t="n"/>
      <c r="I538" s="6" t="n"/>
      <c r="J538" s="6" t="inlineStr">
        <is>
          <t>Пользовательский интерфейс</t>
        </is>
      </c>
      <c r="K538" s="7" t="n">
        <v>2</v>
      </c>
      <c r="L538" s="8" t="n"/>
      <c r="M538" s="137" t="inlineStr">
        <is>
          <t>+</t>
        </is>
      </c>
      <c r="N538" s="8" t="n"/>
      <c r="O538" s="8" t="n"/>
      <c r="P538" s="8" t="n"/>
      <c r="Q538" s="8" t="n"/>
      <c r="R538" s="8" t="n"/>
      <c r="S538" s="8" t="n"/>
      <c r="T538" s="8" t="n"/>
      <c r="U538" s="8" t="n"/>
      <c r="V538" s="8" t="n"/>
      <c r="W538" s="8" t="n"/>
      <c r="X538" s="139" t="n"/>
      <c r="Y538" s="137" t="inlineStr">
        <is>
          <t>+</t>
        </is>
      </c>
    </row>
    <row r="539">
      <c r="A539" s="6" t="inlineStr">
        <is>
          <t>работник 749</t>
        </is>
      </c>
      <c r="B539" s="6" t="inlineStr">
        <is>
          <t>Бункеровщик</t>
        </is>
      </c>
      <c r="C539" s="6" t="inlineStr">
        <is>
          <t>ОБЩЕСТВО С ОГРАНИЧЕННОЙ ОТВЕТСТВЕННОСТЬЮ "АМУР ЗОЛОТО"</t>
        </is>
      </c>
      <c r="D539" s="7" t="inlineStr">
        <is>
          <t>2708001686</t>
        </is>
      </c>
      <c r="E539" s="6" t="inlineStr">
        <is>
          <t>ООО "Амур Золото"</t>
        </is>
      </c>
      <c r="F539" s="7" t="inlineStr">
        <is>
          <t>2708001686</t>
        </is>
      </c>
      <c r="G539" s="7" t="inlineStr">
        <is>
          <t>Успешно</t>
        </is>
      </c>
      <c r="H539" s="6" t="n"/>
      <c r="I539" s="6" t="n"/>
      <c r="J539" s="6" t="inlineStr">
        <is>
          <t>Пользовательский интерфейс</t>
        </is>
      </c>
      <c r="K539" s="7" t="n">
        <v>5</v>
      </c>
      <c r="L539" s="8" t="n"/>
      <c r="M539" s="137" t="inlineStr">
        <is>
          <t>+</t>
        </is>
      </c>
      <c r="N539" s="137" t="inlineStr">
        <is>
          <t>+</t>
        </is>
      </c>
      <c r="O539" s="8" t="n"/>
      <c r="P539" s="137" t="inlineStr">
        <is>
          <t>+</t>
        </is>
      </c>
      <c r="Q539" s="8" t="n"/>
      <c r="R539" s="8" t="n"/>
      <c r="S539" s="8" t="n"/>
      <c r="T539" s="8" t="n"/>
      <c r="U539" s="8" t="n"/>
      <c r="V539" s="8" t="n"/>
      <c r="W539" s="8" t="n"/>
      <c r="X539" s="137" t="inlineStr">
        <is>
          <t>+</t>
        </is>
      </c>
      <c r="Y539" s="137" t="inlineStr">
        <is>
          <t>+</t>
        </is>
      </c>
    </row>
    <row r="540">
      <c r="A540" s="6" t="inlineStr">
        <is>
          <t>работник 210</t>
        </is>
      </c>
      <c r="B540" s="6" t="inlineStr">
        <is>
          <t>Слесарь по ремонту автомобилей</t>
        </is>
      </c>
      <c r="C540" s="6" t="inlineStr">
        <is>
          <t>ОБЩЕСТВО С ОГРАНИЧЕННОЙ ОТВЕТСТВЕННОСТЬЮ "АМУР ЗОЛОТО"</t>
        </is>
      </c>
      <c r="D540" s="7" t="inlineStr">
        <is>
          <t>2708001686</t>
        </is>
      </c>
      <c r="E540" s="6" t="inlineStr">
        <is>
          <t>ООО "Амур Золото"</t>
        </is>
      </c>
      <c r="F540" s="7" t="inlineStr">
        <is>
          <t>2708001686</t>
        </is>
      </c>
      <c r="G540" s="7" t="inlineStr">
        <is>
          <t>Успешно</t>
        </is>
      </c>
      <c r="H540" s="6" t="n"/>
      <c r="I540" s="6" t="n"/>
      <c r="J540" s="6" t="inlineStr">
        <is>
          <t>Пользовательский интерфейс</t>
        </is>
      </c>
      <c r="K540" s="7" t="n">
        <v>3</v>
      </c>
      <c r="L540" s="8" t="n"/>
      <c r="M540" s="137" t="inlineStr">
        <is>
          <t>+</t>
        </is>
      </c>
      <c r="N540" s="8" t="n"/>
      <c r="O540" s="8" t="n"/>
      <c r="P540" s="8" t="n"/>
      <c r="Q540" s="8" t="n"/>
      <c r="R540" s="8" t="n"/>
      <c r="S540" s="8" t="n"/>
      <c r="T540" s="8" t="n"/>
      <c r="U540" s="8" t="n"/>
      <c r="V540" s="8" t="n"/>
      <c r="W540" s="8" t="n"/>
      <c r="X540" s="137" t="inlineStr">
        <is>
          <t>+</t>
        </is>
      </c>
      <c r="Y540" s="137" t="inlineStr">
        <is>
          <t>+</t>
        </is>
      </c>
    </row>
    <row r="541">
      <c r="A541" s="6" t="inlineStr">
        <is>
          <t>работник 538</t>
        </is>
      </c>
      <c r="B541" s="6" t="inlineStr">
        <is>
          <t>Электромонтер по ремонту и обслуживанию электрооборудования</t>
        </is>
      </c>
      <c r="C541" s="6" t="inlineStr">
        <is>
          <t>ОБЩЕСТВО С ОГРАНИЧЕННОЙ ОТВЕТСТВЕННОСТЬЮ "АМУР ЗОЛОТО"</t>
        </is>
      </c>
      <c r="D541" s="7" t="inlineStr">
        <is>
          <t>2708001686</t>
        </is>
      </c>
      <c r="E541" s="6" t="inlineStr">
        <is>
          <t>ООО "Амур Золото"</t>
        </is>
      </c>
      <c r="F541" s="7" t="inlineStr">
        <is>
          <t>2708001686</t>
        </is>
      </c>
      <c r="G541" s="7" t="inlineStr">
        <is>
          <t>Успешно</t>
        </is>
      </c>
      <c r="H541" s="6" t="n"/>
      <c r="I541" s="6" t="n"/>
      <c r="J541" s="6" t="n"/>
      <c r="K541" s="7" t="n">
        <v>2</v>
      </c>
      <c r="L541" s="8" t="n"/>
      <c r="M541" s="137" t="inlineStr">
        <is>
          <t>+</t>
        </is>
      </c>
      <c r="N541" s="8" t="n"/>
      <c r="O541" s="8" t="n"/>
      <c r="P541" s="8" t="n"/>
      <c r="Q541" s="8" t="n"/>
      <c r="R541" s="8" t="n"/>
      <c r="S541" s="8" t="n"/>
      <c r="T541" s="8" t="n"/>
      <c r="U541" s="8" t="n"/>
      <c r="V541" s="8" t="n"/>
      <c r="W541" s="8" t="n"/>
      <c r="X541" s="139" t="n"/>
      <c r="Y541" s="137" t="inlineStr">
        <is>
          <t>+</t>
        </is>
      </c>
    </row>
    <row r="542">
      <c r="A542" s="6" t="inlineStr">
        <is>
          <t>работник 677</t>
        </is>
      </c>
      <c r="B542" s="6" t="inlineStr">
        <is>
          <t>Фильтровальщик</t>
        </is>
      </c>
      <c r="C542" s="6" t="inlineStr">
        <is>
          <t>ОБЩЕСТВО С ОГРАНИЧЕННОЙ ОТВЕТСТВЕННОСТЬЮ "АМУР ЗОЛОТО"</t>
        </is>
      </c>
      <c r="D542" s="7" t="inlineStr">
        <is>
          <t>2708001686</t>
        </is>
      </c>
      <c r="E542" s="6" t="inlineStr">
        <is>
          <t>ООО "Амур Золото"</t>
        </is>
      </c>
      <c r="F542" s="7" t="inlineStr">
        <is>
          <t>2708001686</t>
        </is>
      </c>
      <c r="G542" s="7" t="inlineStr">
        <is>
          <t>Успешно</t>
        </is>
      </c>
      <c r="H542" s="6" t="n"/>
      <c r="I542" s="6" t="n"/>
      <c r="J542" s="6" t="inlineStr">
        <is>
          <t>Пользовательский интерфейс</t>
        </is>
      </c>
      <c r="K542" s="7" t="n">
        <v>2</v>
      </c>
      <c r="L542" s="8" t="n"/>
      <c r="M542" s="137" t="inlineStr">
        <is>
          <t>+</t>
        </is>
      </c>
      <c r="N542" s="8" t="n"/>
      <c r="O542" s="8" t="n"/>
      <c r="P542" s="8" t="n"/>
      <c r="Q542" s="8" t="n"/>
      <c r="R542" s="8" t="n"/>
      <c r="S542" s="8" t="n"/>
      <c r="T542" s="8" t="n"/>
      <c r="U542" s="8" t="n"/>
      <c r="V542" s="8" t="n"/>
      <c r="W542" s="8" t="n"/>
      <c r="X542" s="139" t="n"/>
      <c r="Y542" s="137" t="inlineStr">
        <is>
          <t>+</t>
        </is>
      </c>
    </row>
    <row r="543">
      <c r="A543" s="6" t="inlineStr">
        <is>
          <t>работник 780</t>
        </is>
      </c>
      <c r="B543" s="6" t="inlineStr">
        <is>
          <t>Горный диспетчер</t>
        </is>
      </c>
      <c r="C543" s="6" t="inlineStr">
        <is>
          <t>ОБЩЕСТВО С ОГРАНИЧЕННОЙ ОТВЕТСТВЕННОСТЬЮ "АМУР ЗОЛОТО"</t>
        </is>
      </c>
      <c r="D543" s="7" t="inlineStr">
        <is>
          <t>2708001686</t>
        </is>
      </c>
      <c r="E543" s="6" t="inlineStr">
        <is>
          <t>ООО "Амур Золото"</t>
        </is>
      </c>
      <c r="F543" s="7" t="inlineStr">
        <is>
          <t>2708001686</t>
        </is>
      </c>
      <c r="G543" s="7" t="inlineStr">
        <is>
          <t>Успешно</t>
        </is>
      </c>
      <c r="H543" s="6" t="n"/>
      <c r="I543" s="6" t="n"/>
      <c r="J543" s="6" t="inlineStr">
        <is>
          <t>Пользовательский интерфейс</t>
        </is>
      </c>
      <c r="K543" s="7" t="n">
        <v>6</v>
      </c>
      <c r="L543" s="138" t="inlineStr">
        <is>
          <t>+</t>
        </is>
      </c>
      <c r="M543" s="137" t="inlineStr">
        <is>
          <t>+</t>
        </is>
      </c>
      <c r="N543" s="8" t="n"/>
      <c r="O543" s="8" t="n"/>
      <c r="P543" s="8" t="n"/>
      <c r="Q543" s="8" t="n"/>
      <c r="R543" s="8" t="n"/>
      <c r="S543" s="8" t="n"/>
      <c r="T543" s="8" t="n"/>
      <c r="U543" s="8" t="n"/>
      <c r="V543" s="8" t="n"/>
      <c r="W543" s="8" t="n"/>
      <c r="X543" s="140" t="inlineStr">
        <is>
          <t>+</t>
        </is>
      </c>
      <c r="Y543" s="137" t="inlineStr">
        <is>
          <t>+</t>
        </is>
      </c>
    </row>
    <row r="544">
      <c r="A544" s="6" t="inlineStr">
        <is>
          <t>работник 617</t>
        </is>
      </c>
      <c r="B544" s="6" t="inlineStr">
        <is>
          <t>Фильтровальщик</t>
        </is>
      </c>
      <c r="C544" s="6" t="inlineStr">
        <is>
          <t>ОБЩЕСТВО С ОГРАНИЧЕННОЙ ОТВЕТСТВЕННОСТЬЮ "АМУР ЗОЛОТО"</t>
        </is>
      </c>
      <c r="D544" s="7" t="inlineStr">
        <is>
          <t>2708001686</t>
        </is>
      </c>
      <c r="E544" s="6" t="inlineStr">
        <is>
          <t>ООО "Амур Золото"</t>
        </is>
      </c>
      <c r="F544" s="7" t="inlineStr">
        <is>
          <t>2708001686</t>
        </is>
      </c>
      <c r="G544" s="7" t="inlineStr">
        <is>
          <t>Успешно</t>
        </is>
      </c>
      <c r="H544" s="6" t="n"/>
      <c r="I544" s="6" t="n"/>
      <c r="J544" s="6" t="inlineStr">
        <is>
          <t>Пользовательский интерфейс</t>
        </is>
      </c>
      <c r="K544" s="7" t="n">
        <v>5</v>
      </c>
      <c r="L544" s="8" t="n"/>
      <c r="M544" s="137" t="inlineStr">
        <is>
          <t>+</t>
        </is>
      </c>
      <c r="N544" s="137" t="inlineStr">
        <is>
          <t>+</t>
        </is>
      </c>
      <c r="O544" s="8" t="n"/>
      <c r="P544" s="137" t="inlineStr">
        <is>
          <t>+</t>
        </is>
      </c>
      <c r="Q544" s="8" t="n"/>
      <c r="R544" s="8" t="n"/>
      <c r="S544" s="8" t="n"/>
      <c r="T544" s="8" t="n"/>
      <c r="U544" s="8" t="n"/>
      <c r="V544" s="8" t="n"/>
      <c r="W544" s="8" t="n"/>
      <c r="X544" s="137" t="inlineStr">
        <is>
          <t>+</t>
        </is>
      </c>
      <c r="Y544" s="137" t="inlineStr">
        <is>
          <t>+</t>
        </is>
      </c>
    </row>
    <row r="545">
      <c r="A545" s="6" t="inlineStr">
        <is>
          <t>работник 357</t>
        </is>
      </c>
      <c r="B545" s="6" t="inlineStr">
        <is>
          <t>Водитель автомобиля (занятый на транспортировании горной массы в технологическом процессе)</t>
        </is>
      </c>
      <c r="C545" s="6" t="inlineStr">
        <is>
          <t>ОБЩЕСТВО С ОГРАНИЧЕННОЙ ОТВЕТСТВЕННОСТЬЮ "АМУР ЗОЛОТО"</t>
        </is>
      </c>
      <c r="D545" s="7" t="inlineStr">
        <is>
          <t>2708001686</t>
        </is>
      </c>
      <c r="E545" s="6" t="inlineStr">
        <is>
          <t>ООО "Амур Золото"</t>
        </is>
      </c>
      <c r="F545" s="7" t="inlineStr">
        <is>
          <t>2708001686</t>
        </is>
      </c>
      <c r="G545" s="7" t="inlineStr">
        <is>
          <t>Успешно</t>
        </is>
      </c>
      <c r="H545" s="6" t="n"/>
      <c r="I545" s="6" t="n"/>
      <c r="J545" s="6" t="inlineStr">
        <is>
          <t>Пользовательский интерфейс</t>
        </is>
      </c>
      <c r="K545" s="7" t="n">
        <v>3</v>
      </c>
      <c r="L545" s="8" t="n"/>
      <c r="M545" s="137" t="inlineStr">
        <is>
          <t>+</t>
        </is>
      </c>
      <c r="N545" s="8" t="n"/>
      <c r="O545" s="8" t="n"/>
      <c r="P545" s="8" t="n"/>
      <c r="Q545" s="8" t="n"/>
      <c r="R545" s="8" t="n"/>
      <c r="S545" s="8" t="n"/>
      <c r="T545" s="8" t="n"/>
      <c r="U545" s="8" t="n"/>
      <c r="V545" s="8" t="n"/>
      <c r="W545" s="8" t="n"/>
      <c r="X545" s="137" t="inlineStr">
        <is>
          <t>+</t>
        </is>
      </c>
      <c r="Y545" s="137" t="inlineStr">
        <is>
          <t>+</t>
        </is>
      </c>
    </row>
    <row r="546">
      <c r="A546" s="6" t="inlineStr">
        <is>
          <t>работник 842</t>
        </is>
      </c>
      <c r="B546" s="6" t="inlineStr">
        <is>
          <t>Машинист самоходной буровой установки</t>
        </is>
      </c>
      <c r="C546" s="6" t="inlineStr">
        <is>
          <t>ОБЩЕСТВО С ОГРАНИЧЕННОЙ ОТВЕТСТВЕННОСТЬЮ "АМУР ЗОЛОТО"</t>
        </is>
      </c>
      <c r="D546" s="7" t="inlineStr">
        <is>
          <t>2708001686</t>
        </is>
      </c>
      <c r="E546" s="6" t="inlineStr">
        <is>
          <t>ООО "Амур Золото"</t>
        </is>
      </c>
      <c r="F546" s="7" t="inlineStr">
        <is>
          <t>2708001686</t>
        </is>
      </c>
      <c r="G546" s="7" t="inlineStr">
        <is>
          <t>Успешно</t>
        </is>
      </c>
      <c r="H546" s="6" t="n"/>
      <c r="I546" s="6" t="n"/>
      <c r="J546" s="6" t="inlineStr">
        <is>
          <t>Пользовательский интерфейс</t>
        </is>
      </c>
      <c r="K546" s="7" t="n">
        <v>3</v>
      </c>
      <c r="L546" s="8" t="n"/>
      <c r="M546" s="137" t="inlineStr">
        <is>
          <t>+</t>
        </is>
      </c>
      <c r="N546" s="8" t="n"/>
      <c r="O546" s="8" t="n"/>
      <c r="P546" s="8" t="n"/>
      <c r="Q546" s="8" t="n"/>
      <c r="R546" s="8" t="n"/>
      <c r="S546" s="8" t="n"/>
      <c r="T546" s="8" t="n"/>
      <c r="U546" s="8" t="n"/>
      <c r="V546" s="8" t="n"/>
      <c r="W546" s="8" t="n"/>
      <c r="X546" s="137" t="inlineStr">
        <is>
          <t>+</t>
        </is>
      </c>
      <c r="Y546" s="137" t="inlineStr">
        <is>
          <t>+</t>
        </is>
      </c>
    </row>
    <row r="547">
      <c r="A547" s="6" t="inlineStr">
        <is>
          <t>работник 164</t>
        </is>
      </c>
      <c r="B547" s="6" t="inlineStr">
        <is>
          <t>Машинист самоходной буровой установки / Машинист  самоходной буровой установки (Проходка)</t>
        </is>
      </c>
      <c r="C547" s="6" t="inlineStr">
        <is>
          <t>ОБЩЕСТВО С ОГРАНИЧЕННОЙ ОТВЕТСТВЕННОСТЬЮ "АМУР ЗОЛОТО"</t>
        </is>
      </c>
      <c r="D547" s="7" t="inlineStr">
        <is>
          <t>2708001686</t>
        </is>
      </c>
      <c r="E547" s="6" t="inlineStr">
        <is>
          <t>ООО "Амур Золото"</t>
        </is>
      </c>
      <c r="F547" s="7" t="inlineStr">
        <is>
          <t>2708001686</t>
        </is>
      </c>
      <c r="G547" s="7" t="inlineStr">
        <is>
          <t>Успешно</t>
        </is>
      </c>
      <c r="H547" s="6" t="n"/>
      <c r="I547" s="6" t="n"/>
      <c r="J547" s="6" t="inlineStr">
        <is>
          <t>Пользовательский интерфейс</t>
        </is>
      </c>
      <c r="K547" s="7" t="n">
        <v>8</v>
      </c>
      <c r="L547" s="8" t="n"/>
      <c r="M547" s="137" t="inlineStr">
        <is>
          <t>+</t>
        </is>
      </c>
      <c r="N547" s="8" t="n"/>
      <c r="O547" s="8" t="n"/>
      <c r="P547" s="8" t="n"/>
      <c r="Q547" s="8" t="n"/>
      <c r="R547" s="8" t="n"/>
      <c r="S547" s="8" t="n"/>
      <c r="T547" s="8" t="n"/>
      <c r="U547" s="8" t="n"/>
      <c r="V547" s="8" t="n"/>
      <c r="W547" s="8" t="n"/>
      <c r="X547" s="137" t="inlineStr">
        <is>
          <t>+</t>
        </is>
      </c>
      <c r="Y547" s="137" t="inlineStr">
        <is>
          <t>+</t>
        </is>
      </c>
    </row>
    <row r="548">
      <c r="A548" s="6" t="inlineStr">
        <is>
          <t>работник 514</t>
        </is>
      </c>
      <c r="B548" s="6" t="inlineStr">
        <is>
          <t>Горнорабочиий на маркшейдерских работах</t>
        </is>
      </c>
      <c r="C548" s="6" t="inlineStr">
        <is>
          <t>ОБЩЕСТВО С ОГРАНИЧЕННОЙ ОТВЕТСТВЕННОСТЬЮ "АМУР ЗОЛОТО"</t>
        </is>
      </c>
      <c r="D548" s="7" t="inlineStr">
        <is>
          <t>2708001686</t>
        </is>
      </c>
      <c r="E548" s="6" t="inlineStr">
        <is>
          <t>ООО "Амур Золото"</t>
        </is>
      </c>
      <c r="F548" s="7" t="inlineStr">
        <is>
          <t>2708001686</t>
        </is>
      </c>
      <c r="G548" s="7" t="inlineStr">
        <is>
          <t>Успешно</t>
        </is>
      </c>
      <c r="H548" s="6" t="n"/>
      <c r="I548" s="6" t="n"/>
      <c r="J548" s="6" t="n"/>
      <c r="K548" s="7" t="n">
        <v>2</v>
      </c>
      <c r="L548" s="8" t="n"/>
      <c r="M548" s="137" t="inlineStr">
        <is>
          <t>+</t>
        </is>
      </c>
      <c r="N548" s="8" t="n"/>
      <c r="O548" s="8" t="n"/>
      <c r="P548" s="8" t="n"/>
      <c r="Q548" s="8" t="n"/>
      <c r="R548" s="8" t="n"/>
      <c r="S548" s="8" t="n"/>
      <c r="T548" s="8" t="n"/>
      <c r="U548" s="8" t="n"/>
      <c r="V548" s="8" t="n"/>
      <c r="W548" s="8" t="n"/>
      <c r="X548" s="139" t="n"/>
      <c r="Y548" s="137" t="inlineStr">
        <is>
          <t>+</t>
        </is>
      </c>
    </row>
    <row r="549">
      <c r="A549" s="6" t="inlineStr">
        <is>
          <t>работник 98</t>
        </is>
      </c>
      <c r="B549" s="6" t="inlineStr">
        <is>
          <t>Кухонный рабочий</t>
        </is>
      </c>
      <c r="C549" s="6" t="inlineStr">
        <is>
          <t>ОБЩЕСТВО С ОГРАНИЧЕННОЙ ОТВЕТСТВЕННОСТЬЮ "АМУР ЗОЛОТО"</t>
        </is>
      </c>
      <c r="D549" s="7" t="inlineStr">
        <is>
          <t>2708001686</t>
        </is>
      </c>
      <c r="E549" s="6" t="inlineStr">
        <is>
          <t>ООО "Амур Золото"</t>
        </is>
      </c>
      <c r="F549" s="7" t="inlineStr">
        <is>
          <t>2708001686</t>
        </is>
      </c>
      <c r="G549" s="7" t="inlineStr">
        <is>
          <t>Успешно</t>
        </is>
      </c>
      <c r="H549" s="6" t="n"/>
      <c r="I549" s="6" t="n"/>
      <c r="J549" s="6" t="inlineStr">
        <is>
          <t>Пользовательский интерфейс</t>
        </is>
      </c>
      <c r="K549" s="7" t="n">
        <v>3</v>
      </c>
      <c r="L549" s="8" t="n"/>
      <c r="M549" s="137" t="inlineStr">
        <is>
          <t>+</t>
        </is>
      </c>
      <c r="N549" s="8" t="n"/>
      <c r="O549" s="8" t="n"/>
      <c r="P549" s="8" t="n"/>
      <c r="Q549" s="8" t="n"/>
      <c r="R549" s="8" t="n"/>
      <c r="S549" s="8" t="n"/>
      <c r="T549" s="8" t="n"/>
      <c r="U549" s="8" t="n"/>
      <c r="V549" s="8" t="n"/>
      <c r="W549" s="8" t="n"/>
      <c r="X549" s="137" t="inlineStr">
        <is>
          <t>+</t>
        </is>
      </c>
      <c r="Y549" s="138" t="inlineStr">
        <is>
          <t>+</t>
        </is>
      </c>
    </row>
    <row r="550">
      <c r="A550" s="6" t="inlineStr">
        <is>
          <t>работник 594</t>
        </is>
      </c>
      <c r="B550" s="6" t="inlineStr">
        <is>
          <t>Помощник машиниста самоходной буровой установки (с исполнением обязанностей пробоотборщика) / Машинист насосных установок</t>
        </is>
      </c>
      <c r="C550" s="6" t="inlineStr">
        <is>
          <t>ОБЩЕСТВО С ОГРАНИЧЕННОЙ ОТВЕТСТВЕННОСТЬЮ "АМУР ЗОЛОТО"</t>
        </is>
      </c>
      <c r="D550" s="7" t="inlineStr">
        <is>
          <t>2708001686</t>
        </is>
      </c>
      <c r="E550" s="6" t="inlineStr">
        <is>
          <t>ООО "Амур Золото"</t>
        </is>
      </c>
      <c r="F550" s="7" t="inlineStr">
        <is>
          <t>2708001686</t>
        </is>
      </c>
      <c r="G550" s="7" t="inlineStr">
        <is>
          <t>Успешно</t>
        </is>
      </c>
      <c r="H550" s="6" t="n"/>
      <c r="I550" s="6" t="n"/>
      <c r="J550" s="6" t="inlineStr">
        <is>
          <t>Пользовательский интерфейс</t>
        </is>
      </c>
      <c r="K550" s="7" t="n">
        <v>5</v>
      </c>
      <c r="L550" s="8" t="n"/>
      <c r="M550" s="137" t="inlineStr">
        <is>
          <t>+</t>
        </is>
      </c>
      <c r="N550" s="8" t="n"/>
      <c r="O550" s="8" t="n"/>
      <c r="P550" s="8" t="n"/>
      <c r="Q550" s="8" t="n"/>
      <c r="R550" s="8" t="n"/>
      <c r="S550" s="8" t="n"/>
      <c r="T550" s="8" t="n"/>
      <c r="U550" s="8" t="n"/>
      <c r="V550" s="8" t="n"/>
      <c r="W550" s="8" t="n"/>
      <c r="X550" s="137" t="inlineStr">
        <is>
          <t>+</t>
        </is>
      </c>
      <c r="Y550" s="137" t="inlineStr">
        <is>
          <t>+</t>
        </is>
      </c>
    </row>
    <row r="551">
      <c r="A551" s="6" t="inlineStr">
        <is>
          <t>работник 204</t>
        </is>
      </c>
      <c r="B551" s="6" t="inlineStr">
        <is>
          <t>Машинист бульдозера</t>
        </is>
      </c>
      <c r="C551" s="6" t="inlineStr">
        <is>
          <t>ОБЩЕСТВО С ОГРАНИЧЕННОЙ ОТВЕТСТВЕННОСТЬЮ "АМУР ЗОЛОТО"</t>
        </is>
      </c>
      <c r="D551" s="7" t="inlineStr">
        <is>
          <t>2708001686</t>
        </is>
      </c>
      <c r="E551" s="6" t="inlineStr">
        <is>
          <t>ООО "Амур Золото"</t>
        </is>
      </c>
      <c r="F551" s="7" t="inlineStr">
        <is>
          <t>2708001686</t>
        </is>
      </c>
      <c r="G551" s="7" t="inlineStr">
        <is>
          <t>Успешно</t>
        </is>
      </c>
      <c r="H551" s="6" t="n"/>
      <c r="I551" s="6" t="n"/>
      <c r="J551" s="6" t="inlineStr">
        <is>
          <t>Пользовательский интерфейс</t>
        </is>
      </c>
      <c r="K551" s="7" t="n">
        <v>6</v>
      </c>
      <c r="L551" s="8" t="n"/>
      <c r="M551" s="137" t="inlineStr">
        <is>
          <t>+</t>
        </is>
      </c>
      <c r="N551" s="8" t="n"/>
      <c r="O551" s="8" t="n"/>
      <c r="P551" s="8" t="n"/>
      <c r="Q551" s="8" t="n"/>
      <c r="R551" s="8" t="n"/>
      <c r="S551" s="8" t="n"/>
      <c r="T551" s="8" t="n"/>
      <c r="U551" s="8" t="n"/>
      <c r="V551" s="8" t="n"/>
      <c r="W551" s="8" t="n"/>
      <c r="X551" s="137" t="inlineStr">
        <is>
          <t>+</t>
        </is>
      </c>
      <c r="Y551" s="137" t="inlineStr">
        <is>
          <t>+</t>
        </is>
      </c>
    </row>
    <row r="552">
      <c r="A552" s="6" t="inlineStr">
        <is>
          <t>работник 895</t>
        </is>
      </c>
      <c r="B552" s="6" t="inlineStr">
        <is>
          <t>Электрослесарь (слесарь) дежурный и по ремонту оборудования подземного горного участка</t>
        </is>
      </c>
      <c r="C552" s="6" t="inlineStr">
        <is>
          <t>ОБЩЕСТВО С ОГРАНИЧЕННОЙ ОТВЕТСТВЕННОСТЬЮ "АМУР ЗОЛОТО"</t>
        </is>
      </c>
      <c r="D552" s="7" t="inlineStr">
        <is>
          <t>2708001686</t>
        </is>
      </c>
      <c r="E552" s="6" t="inlineStr">
        <is>
          <t>ООО "Амур Золото"</t>
        </is>
      </c>
      <c r="F552" s="7" t="inlineStr">
        <is>
          <t>2708001686</t>
        </is>
      </c>
      <c r="G552" s="7" t="inlineStr">
        <is>
          <t>Успешно</t>
        </is>
      </c>
      <c r="H552" s="6" t="n"/>
      <c r="I552" s="6" t="n"/>
      <c r="J552" s="6" t="inlineStr">
        <is>
          <t>Пользовательский интерфейс</t>
        </is>
      </c>
      <c r="K552" s="7" t="n">
        <v>3</v>
      </c>
      <c r="L552" s="8" t="n"/>
      <c r="M552" s="137" t="inlineStr">
        <is>
          <t>+</t>
        </is>
      </c>
      <c r="N552" s="8" t="n"/>
      <c r="O552" s="8" t="n"/>
      <c r="P552" s="8" t="n"/>
      <c r="Q552" s="8" t="n"/>
      <c r="R552" s="8" t="n"/>
      <c r="S552" s="8" t="n"/>
      <c r="T552" s="8" t="n"/>
      <c r="U552" s="8" t="n"/>
      <c r="V552" s="8" t="n"/>
      <c r="W552" s="8" t="n"/>
      <c r="X552" s="137" t="inlineStr">
        <is>
          <t>+</t>
        </is>
      </c>
      <c r="Y552" s="137" t="inlineStr">
        <is>
          <t>+</t>
        </is>
      </c>
    </row>
    <row r="553">
      <c r="A553" s="6" t="inlineStr">
        <is>
          <t>работник 478</t>
        </is>
      </c>
      <c r="B553" s="6" t="inlineStr">
        <is>
          <t>Весовщик</t>
        </is>
      </c>
      <c r="C553" s="6" t="inlineStr">
        <is>
          <t>ОБЩЕСТВО С ОГРАНИЧЕННОЙ ОТВЕТСТВЕННОСТЬЮ "АМУР ЗОЛОТО"</t>
        </is>
      </c>
      <c r="D553" s="7" t="inlineStr">
        <is>
          <t>2708001686</t>
        </is>
      </c>
      <c r="E553" s="6" t="inlineStr">
        <is>
          <t>ООО "Амур Золото"</t>
        </is>
      </c>
      <c r="F553" s="7" t="inlineStr">
        <is>
          <t>2708001686</t>
        </is>
      </c>
      <c r="G553" s="7" t="inlineStr">
        <is>
          <t>Успешно</t>
        </is>
      </c>
      <c r="H553" s="6" t="n"/>
      <c r="I553" s="6" t="n"/>
      <c r="J553" s="6" t="inlineStr">
        <is>
          <t>Пользовательский интерфейс</t>
        </is>
      </c>
      <c r="K553" s="7" t="n">
        <v>2</v>
      </c>
      <c r="L553" s="8" t="n"/>
      <c r="M553" s="137" t="inlineStr">
        <is>
          <t>+</t>
        </is>
      </c>
      <c r="N553" s="8" t="n"/>
      <c r="O553" s="8" t="n"/>
      <c r="P553" s="8" t="n"/>
      <c r="Q553" s="8" t="n"/>
      <c r="R553" s="8" t="n"/>
      <c r="S553" s="8" t="n"/>
      <c r="T553" s="8" t="n"/>
      <c r="U553" s="8" t="n"/>
      <c r="V553" s="8" t="n"/>
      <c r="W553" s="8" t="n"/>
      <c r="X553" s="139" t="n"/>
      <c r="Y553" s="137" t="inlineStr">
        <is>
          <t>+</t>
        </is>
      </c>
    </row>
    <row r="554">
      <c r="A554" s="6" t="inlineStr">
        <is>
          <t>работник 632</t>
        </is>
      </c>
      <c r="B554" s="6" t="inlineStr">
        <is>
          <t>Горный диспетчер</t>
        </is>
      </c>
      <c r="C554" s="6" t="inlineStr">
        <is>
          <t>ОБЩЕСТВО С ОГРАНИЧЕННОЙ ОТВЕТСТВЕННОСТЬЮ "АМУР ЗОЛОТО"</t>
        </is>
      </c>
      <c r="D554" s="7" t="inlineStr">
        <is>
          <t>2708001686</t>
        </is>
      </c>
      <c r="E554" s="6" t="inlineStr">
        <is>
          <t>ООО "Амур Золото"</t>
        </is>
      </c>
      <c r="F554" s="7" t="inlineStr">
        <is>
          <t>2708001686</t>
        </is>
      </c>
      <c r="G554" s="7" t="inlineStr">
        <is>
          <t>Успешно</t>
        </is>
      </c>
      <c r="H554" s="6" t="n"/>
      <c r="I554" s="6" t="n"/>
      <c r="J554" s="6" t="inlineStr">
        <is>
          <t>Пользовательский интерфейс</t>
        </is>
      </c>
      <c r="K554" s="7" t="n">
        <v>2</v>
      </c>
      <c r="L554" s="8" t="n"/>
      <c r="M554" s="137" t="inlineStr">
        <is>
          <t>+</t>
        </is>
      </c>
      <c r="N554" s="8" t="n"/>
      <c r="O554" s="8" t="n"/>
      <c r="P554" s="8" t="n"/>
      <c r="Q554" s="8" t="n"/>
      <c r="R554" s="8" t="n"/>
      <c r="S554" s="8" t="n"/>
      <c r="T554" s="8" t="n"/>
      <c r="U554" s="8" t="n"/>
      <c r="V554" s="8" t="n"/>
      <c r="W554" s="8" t="n"/>
      <c r="X554" s="8" t="n"/>
      <c r="Y554" s="137" t="inlineStr">
        <is>
          <t>+</t>
        </is>
      </c>
    </row>
    <row r="555">
      <c r="A555" s="6" t="inlineStr">
        <is>
          <t>работник 418</t>
        </is>
      </c>
      <c r="B555" s="6" t="inlineStr">
        <is>
          <t>Машинист ТГМ</t>
        </is>
      </c>
      <c r="C555" s="6" t="inlineStr">
        <is>
          <t>ОБЩЕСТВО С ОГРАНИЧЕННОЙ ОТВЕТСТВЕННОСТЬЮ "АМУР ЗОЛОТО"</t>
        </is>
      </c>
      <c r="D555" s="7" t="inlineStr">
        <is>
          <t>2708001686</t>
        </is>
      </c>
      <c r="E555" s="6" t="inlineStr">
        <is>
          <t>ООО "Амур Золото"</t>
        </is>
      </c>
      <c r="F555" s="7" t="inlineStr">
        <is>
          <t>2708001686</t>
        </is>
      </c>
      <c r="G555" s="7" t="inlineStr">
        <is>
          <t>Успешно</t>
        </is>
      </c>
      <c r="H555" s="6" t="n"/>
      <c r="I555" s="6" t="n"/>
      <c r="J555" s="6" t="inlineStr">
        <is>
          <t>Пользовательский интерфейс</t>
        </is>
      </c>
      <c r="K555" s="7" t="n">
        <v>2</v>
      </c>
      <c r="L555" s="8" t="n"/>
      <c r="M555" s="137" t="inlineStr">
        <is>
          <t>+</t>
        </is>
      </c>
      <c r="N555" s="8" t="n"/>
      <c r="O555" s="8" t="n"/>
      <c r="P555" s="8" t="n"/>
      <c r="Q555" s="8" t="n"/>
      <c r="R555" s="8" t="n"/>
      <c r="S555" s="8" t="n"/>
      <c r="T555" s="8" t="n"/>
      <c r="U555" s="8" t="n"/>
      <c r="V555" s="8" t="n"/>
      <c r="W555" s="8" t="n"/>
      <c r="X555" s="139" t="n"/>
      <c r="Y555" s="137" t="inlineStr">
        <is>
          <t>+</t>
        </is>
      </c>
    </row>
    <row r="556">
      <c r="A556" s="6" t="inlineStr">
        <is>
          <t>работник 727</t>
        </is>
      </c>
      <c r="B556" s="6" t="inlineStr">
        <is>
          <t>Машинист бульдозера</t>
        </is>
      </c>
      <c r="C556" s="6" t="inlineStr">
        <is>
          <t>ОБЩЕСТВО С ОГРАНИЧЕННОЙ ОТВЕТСТВЕННОСТЬЮ "АМУР ЗОЛОТО"</t>
        </is>
      </c>
      <c r="D556" s="7" t="inlineStr">
        <is>
          <t>2708001686</t>
        </is>
      </c>
      <c r="E556" s="6" t="inlineStr">
        <is>
          <t>ООО "Амур Золото"</t>
        </is>
      </c>
      <c r="F556" s="7" t="inlineStr">
        <is>
          <t>2708001686</t>
        </is>
      </c>
      <c r="G556" s="7" t="inlineStr">
        <is>
          <t>Успешно</t>
        </is>
      </c>
      <c r="H556" s="6" t="n"/>
      <c r="I556" s="6" t="n"/>
      <c r="J556" s="6" t="inlineStr">
        <is>
          <t>Пользовательский интерфейс</t>
        </is>
      </c>
      <c r="K556" s="7" t="n">
        <v>2</v>
      </c>
      <c r="L556" s="8" t="n"/>
      <c r="M556" s="137" t="inlineStr">
        <is>
          <t>+</t>
        </is>
      </c>
      <c r="N556" s="8" t="n"/>
      <c r="O556" s="8" t="n"/>
      <c r="P556" s="8" t="n"/>
      <c r="Q556" s="8" t="n"/>
      <c r="R556" s="8" t="n"/>
      <c r="S556" s="8" t="n"/>
      <c r="T556" s="8" t="n"/>
      <c r="U556" s="8" t="n"/>
      <c r="V556" s="8" t="n"/>
      <c r="W556" s="8" t="n"/>
      <c r="X556" s="139" t="n"/>
      <c r="Y556" s="137" t="inlineStr">
        <is>
          <t>+</t>
        </is>
      </c>
    </row>
    <row r="557">
      <c r="A557" s="6" t="inlineStr">
        <is>
          <t>работник 447</t>
        </is>
      </c>
      <c r="B557" s="6" t="inlineStr">
        <is>
          <t>Фильтровальщик</t>
        </is>
      </c>
      <c r="C557" s="6" t="inlineStr">
        <is>
          <t>ОБЩЕСТВО С ОГРАНИЧЕННОЙ ОТВЕТСТВЕННОСТЬЮ "АМУР ЗОЛОТО"</t>
        </is>
      </c>
      <c r="D557" s="7" t="inlineStr">
        <is>
          <t>2708001686</t>
        </is>
      </c>
      <c r="E557" s="6" t="inlineStr">
        <is>
          <t>ООО "Амур Золото"</t>
        </is>
      </c>
      <c r="F557" s="7" t="inlineStr">
        <is>
          <t>2708001686</t>
        </is>
      </c>
      <c r="G557" s="7" t="inlineStr">
        <is>
          <t>Успешно</t>
        </is>
      </c>
      <c r="H557" s="6" t="n"/>
      <c r="I557" s="6" t="n"/>
      <c r="J557" s="6" t="inlineStr">
        <is>
          <t>Пользовательский интерфейс</t>
        </is>
      </c>
      <c r="K557" s="7" t="n">
        <v>2</v>
      </c>
      <c r="L557" s="8" t="n"/>
      <c r="M557" s="137" t="inlineStr">
        <is>
          <t>+</t>
        </is>
      </c>
      <c r="N557" s="8" t="n"/>
      <c r="O557" s="8" t="n"/>
      <c r="P557" s="8" t="n"/>
      <c r="Q557" s="8" t="n"/>
      <c r="R557" s="8" t="n"/>
      <c r="S557" s="8" t="n"/>
      <c r="T557" s="8" t="n"/>
      <c r="U557" s="8" t="n"/>
      <c r="V557" s="8" t="n"/>
      <c r="W557" s="8" t="n"/>
      <c r="X557" s="139" t="n"/>
      <c r="Y557" s="137" t="inlineStr">
        <is>
          <t>+</t>
        </is>
      </c>
    </row>
    <row r="558">
      <c r="A558" s="6" t="inlineStr">
        <is>
          <t>работник 753</t>
        </is>
      </c>
      <c r="B558" s="6" t="inlineStr">
        <is>
          <t>Фильтровальщик</t>
        </is>
      </c>
      <c r="C558" s="6" t="inlineStr">
        <is>
          <t>ОБЩЕСТВО С ОГРАНИЧЕННОЙ ОТВЕТСТВЕННОСТЬЮ "АМУР ЗОЛОТО"</t>
        </is>
      </c>
      <c r="D558" s="7" t="inlineStr">
        <is>
          <t>2708001686</t>
        </is>
      </c>
      <c r="E558" s="6" t="inlineStr">
        <is>
          <t>ООО "Амур Золото"</t>
        </is>
      </c>
      <c r="F558" s="7" t="inlineStr">
        <is>
          <t>2708001686</t>
        </is>
      </c>
      <c r="G558" s="7" t="inlineStr">
        <is>
          <t>Успешно</t>
        </is>
      </c>
      <c r="H558" s="6" t="n"/>
      <c r="I558" s="6" t="n"/>
      <c r="J558" s="6" t="inlineStr">
        <is>
          <t>Пользовательский интерфейс</t>
        </is>
      </c>
      <c r="K558" s="7" t="n">
        <v>5</v>
      </c>
      <c r="L558" s="8" t="n"/>
      <c r="M558" s="137" t="inlineStr">
        <is>
          <t>+</t>
        </is>
      </c>
      <c r="N558" s="137" t="inlineStr">
        <is>
          <t>+</t>
        </is>
      </c>
      <c r="O558" s="8" t="n"/>
      <c r="P558" s="137" t="inlineStr">
        <is>
          <t>+</t>
        </is>
      </c>
      <c r="Q558" s="8" t="n"/>
      <c r="R558" s="8" t="n"/>
      <c r="S558" s="8" t="n"/>
      <c r="T558" s="8" t="n"/>
      <c r="U558" s="8" t="n"/>
      <c r="V558" s="8" t="n"/>
      <c r="W558" s="8" t="n"/>
      <c r="X558" s="137" t="inlineStr">
        <is>
          <t>+</t>
        </is>
      </c>
      <c r="Y558" s="137" t="inlineStr">
        <is>
          <t>+</t>
        </is>
      </c>
    </row>
    <row r="559">
      <c r="A559" s="6" t="inlineStr">
        <is>
          <t>работник 259</t>
        </is>
      </c>
      <c r="B559" s="6" t="inlineStr">
        <is>
          <t>Подсобный рабочий</t>
        </is>
      </c>
      <c r="C559" s="6" t="inlineStr">
        <is>
          <t>ОБЩЕСТВО С ОГРАНИЧЕННОЙ ОТВЕТСТВЕННОСТЬЮ "АМУР ЗОЛОТО"</t>
        </is>
      </c>
      <c r="D559" s="7" t="inlineStr">
        <is>
          <t>2708001686</t>
        </is>
      </c>
      <c r="E559" s="6" t="inlineStr">
        <is>
          <t>ООО "Амур Золото"</t>
        </is>
      </c>
      <c r="F559" s="7" t="inlineStr">
        <is>
          <t>2708001686</t>
        </is>
      </c>
      <c r="G559" s="7" t="inlineStr">
        <is>
          <t>Успешно</t>
        </is>
      </c>
      <c r="H559" s="6" t="n"/>
      <c r="I559" s="6" t="n"/>
      <c r="J559" s="6" t="inlineStr">
        <is>
          <t>Пользовательский интерфейс</t>
        </is>
      </c>
      <c r="K559" s="7" t="n">
        <v>3</v>
      </c>
      <c r="L559" s="8" t="n"/>
      <c r="M559" s="137" t="inlineStr">
        <is>
          <t>+</t>
        </is>
      </c>
      <c r="N559" s="8" t="n"/>
      <c r="O559" s="8" t="n"/>
      <c r="P559" s="8" t="n"/>
      <c r="Q559" s="8" t="n"/>
      <c r="R559" s="8" t="n"/>
      <c r="S559" s="8" t="n"/>
      <c r="T559" s="8" t="n"/>
      <c r="U559" s="8" t="n"/>
      <c r="V559" s="8" t="n"/>
      <c r="W559" s="8" t="n"/>
      <c r="X559" s="137" t="inlineStr">
        <is>
          <t>+</t>
        </is>
      </c>
      <c r="Y559" s="137" t="inlineStr">
        <is>
          <t>+</t>
        </is>
      </c>
    </row>
    <row r="560">
      <c r="A560" s="6" t="inlineStr">
        <is>
          <t>работник 474</t>
        </is>
      </c>
      <c r="B560" s="6" t="inlineStr">
        <is>
          <t>Контролер</t>
        </is>
      </c>
      <c r="C560" s="6" t="inlineStr">
        <is>
          <t>ОБЩЕСТВО С ОГРАНИЧЕННОЙ ОТВЕТСТВЕННОСТЬЮ "АМУР ЗОЛОТО"</t>
        </is>
      </c>
      <c r="D560" s="7" t="inlineStr">
        <is>
          <t>2708001686</t>
        </is>
      </c>
      <c r="E560" s="6" t="inlineStr">
        <is>
          <t>ООО "Амур Золото"</t>
        </is>
      </c>
      <c r="F560" s="7" t="inlineStr">
        <is>
          <t>2708001686</t>
        </is>
      </c>
      <c r="G560" s="7" t="inlineStr">
        <is>
          <t>Успешно</t>
        </is>
      </c>
      <c r="H560" s="6" t="n"/>
      <c r="I560" s="6" t="n"/>
      <c r="J560" s="6" t="inlineStr">
        <is>
          <t>Пользовательский интерфейс</t>
        </is>
      </c>
      <c r="K560" s="7" t="n">
        <v>2</v>
      </c>
      <c r="L560" s="8" t="n"/>
      <c r="M560" s="137" t="inlineStr">
        <is>
          <t>+</t>
        </is>
      </c>
      <c r="N560" s="8" t="n"/>
      <c r="O560" s="8" t="n"/>
      <c r="P560" s="8" t="n"/>
      <c r="Q560" s="8" t="n"/>
      <c r="R560" s="8" t="n"/>
      <c r="S560" s="8" t="n"/>
      <c r="T560" s="8" t="n"/>
      <c r="U560" s="8" t="n"/>
      <c r="V560" s="8" t="n"/>
      <c r="W560" s="8" t="n"/>
      <c r="X560" s="139" t="n"/>
      <c r="Y560" s="137" t="inlineStr">
        <is>
          <t>+</t>
        </is>
      </c>
    </row>
    <row r="561">
      <c r="A561" s="6" t="inlineStr">
        <is>
          <t>работник 745</t>
        </is>
      </c>
      <c r="B561" s="6" t="inlineStr">
        <is>
          <t>Водитель автомобиля (категория С)</t>
        </is>
      </c>
      <c r="C561" s="6" t="inlineStr">
        <is>
          <t>ОБЩЕСТВО С ОГРАНИЧЕННОЙ ОТВЕТСТВЕННОСТЬЮ "АМУР ЗОЛОТО"</t>
        </is>
      </c>
      <c r="D561" s="7" t="inlineStr">
        <is>
          <t>2708001686</t>
        </is>
      </c>
      <c r="E561" s="6" t="inlineStr">
        <is>
          <t>ООО "Амур Золото"</t>
        </is>
      </c>
      <c r="F561" s="7" t="inlineStr">
        <is>
          <t>2708001686</t>
        </is>
      </c>
      <c r="G561" s="7" t="inlineStr">
        <is>
          <t>Успешно</t>
        </is>
      </c>
      <c r="H561" s="6" t="n"/>
      <c r="I561" s="6" t="n"/>
      <c r="J561" s="6" t="inlineStr">
        <is>
          <t>Пользовательский интерфейс</t>
        </is>
      </c>
      <c r="K561" s="7" t="n">
        <v>2</v>
      </c>
      <c r="L561" s="8" t="n"/>
      <c r="M561" s="137" t="inlineStr">
        <is>
          <t>+</t>
        </is>
      </c>
      <c r="N561" s="8" t="n"/>
      <c r="O561" s="8" t="n"/>
      <c r="P561" s="8" t="n"/>
      <c r="Q561" s="8" t="n"/>
      <c r="R561" s="8" t="n"/>
      <c r="S561" s="8" t="n"/>
      <c r="T561" s="8" t="n"/>
      <c r="U561" s="8" t="n"/>
      <c r="V561" s="8" t="n"/>
      <c r="W561" s="8" t="n"/>
      <c r="X561" s="139" t="n"/>
      <c r="Y561" s="137" t="inlineStr">
        <is>
          <t>+</t>
        </is>
      </c>
    </row>
    <row r="562">
      <c r="A562" s="6" t="inlineStr">
        <is>
          <t>работник 372</t>
        </is>
      </c>
      <c r="B562" s="6" t="inlineStr">
        <is>
          <t>Токарь (с исполнением   фрезеровщика)</t>
        </is>
      </c>
      <c r="C562" s="6" t="inlineStr">
        <is>
          <t>ОБЩЕСТВО С ОГРАНИЧЕННОЙ ОТВЕТСТВЕННОСТЬЮ "АМУР ЗОЛОТО"</t>
        </is>
      </c>
      <c r="D562" s="7" t="inlineStr">
        <is>
          <t>2708001686</t>
        </is>
      </c>
      <c r="E562" s="6" t="inlineStr">
        <is>
          <t>ООО "Амур Золото"</t>
        </is>
      </c>
      <c r="F562" s="7" t="inlineStr">
        <is>
          <t>2708001686</t>
        </is>
      </c>
      <c r="G562" s="7" t="inlineStr">
        <is>
          <t>Успешно</t>
        </is>
      </c>
      <c r="H562" s="6" t="n"/>
      <c r="I562" s="6" t="n"/>
      <c r="J562" s="6" t="inlineStr">
        <is>
          <t>Пользовательский интерфейс</t>
        </is>
      </c>
      <c r="K562" s="7" t="n">
        <v>3</v>
      </c>
      <c r="L562" s="8" t="n"/>
      <c r="M562" s="137" t="inlineStr">
        <is>
          <t>+</t>
        </is>
      </c>
      <c r="N562" s="8" t="n"/>
      <c r="O562" s="8" t="n"/>
      <c r="P562" s="8" t="n"/>
      <c r="Q562" s="8" t="n"/>
      <c r="R562" s="8" t="n"/>
      <c r="S562" s="8" t="n"/>
      <c r="T562" s="8" t="n"/>
      <c r="U562" s="8" t="n"/>
      <c r="V562" s="8" t="n"/>
      <c r="W562" s="8" t="n"/>
      <c r="X562" s="137" t="inlineStr">
        <is>
          <t>+</t>
        </is>
      </c>
      <c r="Y562" s="137" t="inlineStr">
        <is>
          <t>+</t>
        </is>
      </c>
    </row>
    <row r="563">
      <c r="A563" s="6" t="inlineStr">
        <is>
          <t>работник 622</t>
        </is>
      </c>
      <c r="B563" s="6" t="inlineStr">
        <is>
          <t>Повар</t>
        </is>
      </c>
      <c r="C563" s="6" t="inlineStr">
        <is>
          <t>ОБЩЕСТВО С ОГРАНИЧЕННОЙ ОТВЕТСТВЕННОСТЬЮ "АМУР ЗОЛОТО"</t>
        </is>
      </c>
      <c r="D563" s="7" t="inlineStr">
        <is>
          <t>2708001686</t>
        </is>
      </c>
      <c r="E563" s="6" t="inlineStr">
        <is>
          <t>ООО "Амур Золото"</t>
        </is>
      </c>
      <c r="F563" s="7" t="inlineStr">
        <is>
          <t>2708001686</t>
        </is>
      </c>
      <c r="G563" s="7" t="inlineStr">
        <is>
          <t>Успешно</t>
        </is>
      </c>
      <c r="H563" s="6" t="n"/>
      <c r="I563" s="6" t="n"/>
      <c r="J563" s="6" t="inlineStr">
        <is>
          <t>Пользовательский интерфейс</t>
        </is>
      </c>
      <c r="K563" s="7" t="n">
        <v>2</v>
      </c>
      <c r="L563" s="8" t="n"/>
      <c r="M563" s="137" t="inlineStr">
        <is>
          <t>+</t>
        </is>
      </c>
      <c r="N563" s="8" t="n"/>
      <c r="O563" s="8" t="n"/>
      <c r="P563" s="8" t="n"/>
      <c r="Q563" s="8" t="n"/>
      <c r="R563" s="8" t="n"/>
      <c r="S563" s="8" t="n"/>
      <c r="T563" s="8" t="n"/>
      <c r="U563" s="8" t="n"/>
      <c r="V563" s="8" t="n"/>
      <c r="W563" s="8" t="n"/>
      <c r="X563" s="139" t="n"/>
      <c r="Y563" s="138" t="inlineStr">
        <is>
          <t>+</t>
        </is>
      </c>
    </row>
    <row r="564">
      <c r="A564" s="6" t="inlineStr">
        <is>
          <t>работник 141</t>
        </is>
      </c>
      <c r="B564" s="6" t="inlineStr">
        <is>
          <t>Машинист (кочегар) котельной</t>
        </is>
      </c>
      <c r="C564" s="6" t="inlineStr">
        <is>
          <t>ОБЩЕСТВО С ОГРАНИЧЕННОЙ ОТВЕТСТВЕННОСТЬЮ "АМУР ЗОЛОТО"</t>
        </is>
      </c>
      <c r="D564" s="7" t="inlineStr">
        <is>
          <t>2708001686</t>
        </is>
      </c>
      <c r="E564" s="6" t="inlineStr">
        <is>
          <t>ООО "Амур Золото"</t>
        </is>
      </c>
      <c r="F564" s="7" t="inlineStr">
        <is>
          <t>2708001686</t>
        </is>
      </c>
      <c r="G564" s="7" t="inlineStr">
        <is>
          <t>Успешно</t>
        </is>
      </c>
      <c r="H564" s="6" t="n"/>
      <c r="I564" s="6" t="n"/>
      <c r="J564" s="6" t="inlineStr">
        <is>
          <t>Пользовательский интерфейс</t>
        </is>
      </c>
      <c r="K564" s="7" t="n">
        <v>3</v>
      </c>
      <c r="L564" s="8" t="n"/>
      <c r="M564" s="137" t="inlineStr">
        <is>
          <t>+</t>
        </is>
      </c>
      <c r="N564" s="8" t="n"/>
      <c r="O564" s="8" t="n"/>
      <c r="P564" s="8" t="n"/>
      <c r="Q564" s="8" t="n"/>
      <c r="R564" s="8" t="n"/>
      <c r="S564" s="8" t="n"/>
      <c r="T564" s="8" t="n"/>
      <c r="U564" s="8" t="n"/>
      <c r="V564" s="8" t="n"/>
      <c r="W564" s="8" t="n"/>
      <c r="X564" s="137" t="inlineStr">
        <is>
          <t>+</t>
        </is>
      </c>
      <c r="Y564" s="137" t="inlineStr">
        <is>
          <t>+</t>
        </is>
      </c>
    </row>
    <row r="565">
      <c r="A565" s="6" t="inlineStr">
        <is>
          <t>работник 909</t>
        </is>
      </c>
      <c r="B565" s="6" t="inlineStr">
        <is>
          <t>Кухонный рабочий</t>
        </is>
      </c>
      <c r="C565" s="6" t="inlineStr">
        <is>
          <t>ОБЩЕСТВО С ОГРАНИЧЕННОЙ ОТВЕТСТВЕННОСТЬЮ "АМУР ЗОЛОТО"</t>
        </is>
      </c>
      <c r="D565" s="7" t="inlineStr">
        <is>
          <t>2708001686</t>
        </is>
      </c>
      <c r="E565" s="6" t="inlineStr">
        <is>
          <t>ООО "Амур Золото"</t>
        </is>
      </c>
      <c r="F565" s="7" t="inlineStr">
        <is>
          <t>2708001686</t>
        </is>
      </c>
      <c r="G565" s="7" t="inlineStr">
        <is>
          <t>Успешно</t>
        </is>
      </c>
      <c r="H565" s="6" t="n"/>
      <c r="I565" s="6" t="n"/>
      <c r="J565" s="6" t="inlineStr">
        <is>
          <t>Пользовательский интерфейс</t>
        </is>
      </c>
      <c r="K565" s="7" t="n">
        <v>3</v>
      </c>
      <c r="L565" s="8" t="n"/>
      <c r="M565" s="137" t="inlineStr">
        <is>
          <t>+</t>
        </is>
      </c>
      <c r="N565" s="8" t="n"/>
      <c r="O565" s="8" t="n"/>
      <c r="P565" s="8" t="n"/>
      <c r="Q565" s="8" t="n"/>
      <c r="R565" s="8" t="n"/>
      <c r="S565" s="8" t="n"/>
      <c r="T565" s="8" t="n"/>
      <c r="U565" s="8" t="n"/>
      <c r="V565" s="8" t="n"/>
      <c r="W565" s="8" t="n"/>
      <c r="X565" s="137" t="inlineStr">
        <is>
          <t>+</t>
        </is>
      </c>
      <c r="Y565" s="138" t="inlineStr">
        <is>
          <t>+</t>
        </is>
      </c>
    </row>
    <row r="566">
      <c r="A566" s="6" t="inlineStr">
        <is>
          <t>работник 461</t>
        </is>
      </c>
      <c r="B566" s="6" t="inlineStr">
        <is>
          <t>Электромонтер по ремонту и обслуживанию электрооборудования</t>
        </is>
      </c>
      <c r="C566" s="6" t="inlineStr">
        <is>
          <t>ОБЩЕСТВО С ОГРАНИЧЕННОЙ ОТВЕТСТВЕННОСТЬЮ "АМУР ЗОЛОТО"</t>
        </is>
      </c>
      <c r="D566" s="7" t="inlineStr">
        <is>
          <t>2708001686</t>
        </is>
      </c>
      <c r="E566" s="6" t="inlineStr">
        <is>
          <t>ООО "Амур Золото"</t>
        </is>
      </c>
      <c r="F566" s="7" t="inlineStr">
        <is>
          <t>2708001686</t>
        </is>
      </c>
      <c r="G566" s="7" t="inlineStr">
        <is>
          <t>Успешно</t>
        </is>
      </c>
      <c r="H566" s="6" t="n"/>
      <c r="I566" s="6" t="n"/>
      <c r="J566" s="6" t="inlineStr">
        <is>
          <t>Пользовательский интерфейс</t>
        </is>
      </c>
      <c r="K566" s="7" t="n">
        <v>2</v>
      </c>
      <c r="L566" s="8" t="n"/>
      <c r="M566" s="137" t="inlineStr">
        <is>
          <t>+</t>
        </is>
      </c>
      <c r="N566" s="8" t="n"/>
      <c r="O566" s="8" t="n"/>
      <c r="P566" s="8" t="n"/>
      <c r="Q566" s="8" t="n"/>
      <c r="R566" s="8" t="n"/>
      <c r="S566" s="8" t="n"/>
      <c r="T566" s="8" t="n"/>
      <c r="U566" s="8" t="n"/>
      <c r="V566" s="8" t="n"/>
      <c r="W566" s="8" t="n"/>
      <c r="X566" s="139" t="n"/>
      <c r="Y566" s="137" t="inlineStr">
        <is>
          <t>+</t>
        </is>
      </c>
    </row>
    <row r="567">
      <c r="A567" s="6" t="inlineStr">
        <is>
          <t>работник 191</t>
        </is>
      </c>
      <c r="B567" s="6" t="inlineStr">
        <is>
          <t>Водитель погрузчика / Машинист катка</t>
        </is>
      </c>
      <c r="C567" s="6" t="inlineStr">
        <is>
          <t>ОБЩЕСТВО С ОГРАНИЧЕННОЙ ОТВЕТСТВЕННОСТЬЮ "АМУР ЗОЛОТО"</t>
        </is>
      </c>
      <c r="D567" s="7" t="inlineStr">
        <is>
          <t>2708001686</t>
        </is>
      </c>
      <c r="E567" s="6" t="inlineStr">
        <is>
          <t>ООО "Амур Золото"</t>
        </is>
      </c>
      <c r="F567" s="7" t="inlineStr">
        <is>
          <t>2708001686</t>
        </is>
      </c>
      <c r="G567" s="7" t="inlineStr">
        <is>
          <t>Успешно</t>
        </is>
      </c>
      <c r="H567" s="6" t="n"/>
      <c r="I567" s="6" t="n"/>
      <c r="J567" s="6" t="inlineStr">
        <is>
          <t>Пользовательский интерфейс</t>
        </is>
      </c>
      <c r="K567" s="7" t="n">
        <v>6</v>
      </c>
      <c r="L567" s="8" t="n"/>
      <c r="M567" s="137" t="inlineStr">
        <is>
          <t>+</t>
        </is>
      </c>
      <c r="N567" s="8" t="n"/>
      <c r="O567" s="8" t="n"/>
      <c r="P567" s="8" t="n"/>
      <c r="Q567" s="8" t="n"/>
      <c r="R567" s="8" t="n"/>
      <c r="S567" s="8" t="n"/>
      <c r="T567" s="8" t="n"/>
      <c r="U567" s="8" t="n"/>
      <c r="V567" s="8" t="n"/>
      <c r="W567" s="8" t="n"/>
      <c r="X567" s="137" t="inlineStr">
        <is>
          <t>+</t>
        </is>
      </c>
      <c r="Y567" s="137" t="inlineStr">
        <is>
          <t>+</t>
        </is>
      </c>
    </row>
    <row r="568">
      <c r="A568" s="6" t="inlineStr">
        <is>
          <t>работник 835</t>
        </is>
      </c>
      <c r="B568" s="6" t="inlineStr">
        <is>
          <t>подсобный рабочий</t>
        </is>
      </c>
      <c r="C568" s="6" t="inlineStr">
        <is>
          <t>ОБЩЕСТВО С ОГРАНИЧЕННОЙ ОТВЕТСТВЕННОСТЬЮ "АМУР ЗОЛОТО"</t>
        </is>
      </c>
      <c r="D568" s="7" t="inlineStr">
        <is>
          <t>2708001686</t>
        </is>
      </c>
      <c r="E568" s="6" t="inlineStr">
        <is>
          <t>ООО "Амур Золото"</t>
        </is>
      </c>
      <c r="F568" s="7" t="inlineStr">
        <is>
          <t>2708001686</t>
        </is>
      </c>
      <c r="G568" s="7" t="inlineStr">
        <is>
          <t>Успешно</t>
        </is>
      </c>
      <c r="H568" s="6" t="n"/>
      <c r="I568" s="6" t="n"/>
      <c r="J568" s="6" t="inlineStr">
        <is>
          <t>Пользовательский интерфейс</t>
        </is>
      </c>
      <c r="K568" s="7" t="n">
        <v>3</v>
      </c>
      <c r="L568" s="8" t="n"/>
      <c r="M568" s="137" t="inlineStr">
        <is>
          <t>+</t>
        </is>
      </c>
      <c r="N568" s="8" t="n"/>
      <c r="O568" s="8" t="n"/>
      <c r="P568" s="8" t="n"/>
      <c r="Q568" s="8" t="n"/>
      <c r="R568" s="8" t="n"/>
      <c r="S568" s="8" t="n"/>
      <c r="T568" s="8" t="n"/>
      <c r="U568" s="8" t="n"/>
      <c r="V568" s="8" t="n"/>
      <c r="W568" s="8" t="n"/>
      <c r="X568" s="137" t="inlineStr">
        <is>
          <t>+</t>
        </is>
      </c>
      <c r="Y568" s="137" t="inlineStr">
        <is>
          <t>+</t>
        </is>
      </c>
    </row>
    <row r="569">
      <c r="A569" s="6" t="inlineStr">
        <is>
          <t>работник 861</t>
        </is>
      </c>
      <c r="B569" s="6" t="inlineStr">
        <is>
          <t>Уборщик производственных и служебных помещений</t>
        </is>
      </c>
      <c r="C569" s="6" t="inlineStr">
        <is>
          <t>ОБЩЕСТВО С ОГРАНИЧЕННОЙ ОТВЕТСТВЕННОСТЬЮ "АМУР ЗОЛОТО"</t>
        </is>
      </c>
      <c r="D569" s="7" t="inlineStr">
        <is>
          <t>2708001686</t>
        </is>
      </c>
      <c r="E569" s="6" t="inlineStr">
        <is>
          <t>ООО "Амур Золото"</t>
        </is>
      </c>
      <c r="F569" s="7" t="inlineStr">
        <is>
          <t>2708001686</t>
        </is>
      </c>
      <c r="G569" s="7" t="inlineStr">
        <is>
          <t>Успешно</t>
        </is>
      </c>
      <c r="H569" s="6" t="n"/>
      <c r="I569" s="6" t="n"/>
      <c r="J569" s="6" t="inlineStr">
        <is>
          <t>Пользовательский интерфейс</t>
        </is>
      </c>
      <c r="K569" s="7" t="n">
        <v>3</v>
      </c>
      <c r="L569" s="8" t="n"/>
      <c r="M569" s="137" t="inlineStr">
        <is>
          <t>+</t>
        </is>
      </c>
      <c r="N569" s="8" t="n"/>
      <c r="O569" s="8" t="n"/>
      <c r="P569" s="8" t="n"/>
      <c r="Q569" s="8" t="n"/>
      <c r="R569" s="8" t="n"/>
      <c r="S569" s="8" t="n"/>
      <c r="T569" s="8" t="n"/>
      <c r="U569" s="8" t="n"/>
      <c r="V569" s="8" t="n"/>
      <c r="W569" s="8" t="n"/>
      <c r="X569" s="137" t="inlineStr">
        <is>
          <t>+</t>
        </is>
      </c>
      <c r="Y569" s="137" t="inlineStr">
        <is>
          <t>+</t>
        </is>
      </c>
    </row>
    <row r="570">
      <c r="A570" s="6" t="inlineStr">
        <is>
          <t>работник 864</t>
        </is>
      </c>
      <c r="B570" s="6" t="inlineStr">
        <is>
          <t>Подсобный рабочий</t>
        </is>
      </c>
      <c r="C570" s="6" t="inlineStr">
        <is>
          <t>ОБЩЕСТВО С ОГРАНИЧЕННОЙ ОТВЕТСТВЕННОСТЬЮ "АМУР ЗОЛОТО"</t>
        </is>
      </c>
      <c r="D570" s="7" t="inlineStr">
        <is>
          <t>2708001686</t>
        </is>
      </c>
      <c r="E570" s="6" t="inlineStr">
        <is>
          <t>ООО "Амур Золото"</t>
        </is>
      </c>
      <c r="F570" s="7" t="inlineStr">
        <is>
          <t>2708001686</t>
        </is>
      </c>
      <c r="G570" s="7" t="inlineStr">
        <is>
          <t>Успешно</t>
        </is>
      </c>
      <c r="H570" s="6" t="n"/>
      <c r="I570" s="6" t="n"/>
      <c r="J570" s="6" t="inlineStr">
        <is>
          <t>Пользовательский интерфейс</t>
        </is>
      </c>
      <c r="K570" s="7" t="n">
        <v>3</v>
      </c>
      <c r="L570" s="8" t="n"/>
      <c r="M570" s="137" t="inlineStr">
        <is>
          <t>+</t>
        </is>
      </c>
      <c r="N570" s="8" t="n"/>
      <c r="O570" s="8" t="n"/>
      <c r="P570" s="8" t="n"/>
      <c r="Q570" s="8" t="n"/>
      <c r="R570" s="8" t="n"/>
      <c r="S570" s="8" t="n"/>
      <c r="T570" s="8" t="n"/>
      <c r="U570" s="8" t="n"/>
      <c r="V570" s="8" t="n"/>
      <c r="W570" s="8" t="n"/>
      <c r="X570" s="137" t="inlineStr">
        <is>
          <t>+</t>
        </is>
      </c>
      <c r="Y570" s="137" t="inlineStr">
        <is>
          <t>+</t>
        </is>
      </c>
    </row>
    <row r="571">
      <c r="A571" s="6" t="inlineStr">
        <is>
          <t>работник 800</t>
        </is>
      </c>
      <c r="B571" s="6" t="inlineStr">
        <is>
          <t>Слесарь по ремонту автомобилей (ДВС)</t>
        </is>
      </c>
      <c r="C571" s="6" t="inlineStr">
        <is>
          <t>ОБЩЕСТВО С ОГРАНИЧЕННОЙ ОТВЕТСТВЕННОСТЬЮ "АМУР ЗОЛОТО"</t>
        </is>
      </c>
      <c r="D571" s="7" t="inlineStr">
        <is>
          <t>2708001686</t>
        </is>
      </c>
      <c r="E571" s="6" t="inlineStr">
        <is>
          <t>ООО "Амур Золото"</t>
        </is>
      </c>
      <c r="F571" s="7" t="inlineStr">
        <is>
          <t>2708001686</t>
        </is>
      </c>
      <c r="G571" s="7" t="inlineStr">
        <is>
          <t>Успешно</t>
        </is>
      </c>
      <c r="H571" s="6" t="n"/>
      <c r="I571" s="6" t="n"/>
      <c r="J571" s="6" t="inlineStr">
        <is>
          <t>Пользовательский интерфейс</t>
        </is>
      </c>
      <c r="K571" s="7" t="n">
        <v>2</v>
      </c>
      <c r="L571" s="8" t="n"/>
      <c r="M571" s="137" t="inlineStr">
        <is>
          <t>+</t>
        </is>
      </c>
      <c r="N571" s="8" t="n"/>
      <c r="O571" s="8" t="n"/>
      <c r="P571" s="8" t="n"/>
      <c r="Q571" s="8" t="n"/>
      <c r="R571" s="8" t="n"/>
      <c r="S571" s="8" t="n"/>
      <c r="T571" s="8" t="n"/>
      <c r="U571" s="8" t="n"/>
      <c r="V571" s="8" t="n"/>
      <c r="W571" s="8" t="n"/>
      <c r="X571" s="139" t="n"/>
      <c r="Y571" s="137" t="inlineStr">
        <is>
          <t>+</t>
        </is>
      </c>
    </row>
    <row r="572">
      <c r="A572" s="6" t="inlineStr">
        <is>
          <t>работник 9</t>
        </is>
      </c>
      <c r="B572" s="6" t="inlineStr">
        <is>
          <t>Заместитель начальника золотоизвлекательной фабрики</t>
        </is>
      </c>
      <c r="C572" s="6" t="inlineStr">
        <is>
          <t>ООО "Амур золото". Подразделение: горно-обогатительный комплекс "Юбилейный"</t>
        </is>
      </c>
      <c r="D572" s="7" t="inlineStr">
        <is>
          <t>2708001686</t>
        </is>
      </c>
      <c r="E572" s="6" t="inlineStr">
        <is>
          <t>Автономная некоммерческая организация дополнительного профессионального образования и сертификации "Перспектива"</t>
        </is>
      </c>
      <c r="F572" s="7" t="inlineStr">
        <is>
          <t>2722126782</t>
        </is>
      </c>
      <c r="G572" s="7" t="inlineStr">
        <is>
          <t>Успешно</t>
        </is>
      </c>
      <c r="H572" s="6" t="n"/>
      <c r="I572" s="6" t="n"/>
      <c r="J572" s="6" t="inlineStr">
        <is>
          <t>Пользовательский интерфейс</t>
        </is>
      </c>
      <c r="K572" s="7" t="n">
        <v>4</v>
      </c>
      <c r="L572" s="137" t="inlineStr">
        <is>
          <t>+</t>
        </is>
      </c>
      <c r="M572" s="137" t="inlineStr">
        <is>
          <t>+</t>
        </is>
      </c>
      <c r="N572" s="8" t="n"/>
      <c r="O572" s="8" t="n"/>
      <c r="P572" s="8" t="n"/>
      <c r="Q572" s="8" t="n"/>
      <c r="R572" s="8" t="n"/>
      <c r="S572" s="8" t="n"/>
      <c r="T572" s="8" t="n"/>
      <c r="U572" s="8" t="n"/>
      <c r="V572" s="8" t="n"/>
      <c r="W572" s="8" t="n"/>
      <c r="X572" s="137" t="inlineStr">
        <is>
          <t>+</t>
        </is>
      </c>
      <c r="Y572" s="137" t="inlineStr">
        <is>
          <t>+</t>
        </is>
      </c>
    </row>
    <row r="573">
      <c r="A573" s="6" t="inlineStr">
        <is>
          <t>работник 407</t>
        </is>
      </c>
      <c r="B573" s="6" t="inlineStr">
        <is>
          <t>Водитель автомобиля (занятый на транспортировании горной массы в технологическом процессе)</t>
        </is>
      </c>
      <c r="C573" s="6" t="inlineStr">
        <is>
          <t>ОБЩЕСТВО С ОГРАНИЧЕННОЙ ОТВЕТСТВЕННОСТЬЮ "АМУР ЗОЛОТО"</t>
        </is>
      </c>
      <c r="D573" s="7" t="inlineStr">
        <is>
          <t>2708001686</t>
        </is>
      </c>
      <c r="E573" s="6" t="inlineStr">
        <is>
          <t>ООО "Амур Золото"</t>
        </is>
      </c>
      <c r="F573" s="7" t="inlineStr">
        <is>
          <t>2708001686</t>
        </is>
      </c>
      <c r="G573" s="7" t="inlineStr">
        <is>
          <t>Успешно</t>
        </is>
      </c>
      <c r="H573" s="6" t="n"/>
      <c r="I573" s="6" t="n"/>
      <c r="J573" s="6" t="inlineStr">
        <is>
          <t>Пользовательский интерфейс</t>
        </is>
      </c>
      <c r="K573" s="7" t="n">
        <v>2</v>
      </c>
      <c r="L573" s="8" t="n"/>
      <c r="M573" s="137" t="inlineStr">
        <is>
          <t>+</t>
        </is>
      </c>
      <c r="N573" s="8" t="n"/>
      <c r="O573" s="8" t="n"/>
      <c r="P573" s="8" t="n"/>
      <c r="Q573" s="8" t="n"/>
      <c r="R573" s="8" t="n"/>
      <c r="S573" s="8" t="n"/>
      <c r="T573" s="8" t="n"/>
      <c r="U573" s="8" t="n"/>
      <c r="V573" s="8" t="n"/>
      <c r="W573" s="8" t="n"/>
      <c r="X573" s="139" t="n"/>
      <c r="Y573" s="137" t="inlineStr">
        <is>
          <t>+</t>
        </is>
      </c>
    </row>
    <row r="574">
      <c r="A574" s="6" t="inlineStr">
        <is>
          <t>работник 246</t>
        </is>
      </c>
      <c r="B574" s="6" t="inlineStr">
        <is>
          <t>Слесарь-ремонтник</t>
        </is>
      </c>
      <c r="C574" s="6" t="inlineStr">
        <is>
          <t>ОБЩЕСТВО С ОГРАНИЧЕННОЙ ОТВЕТСТВЕННОСТЬЮ "АМУР ЗОЛОТО"</t>
        </is>
      </c>
      <c r="D574" s="7" t="inlineStr">
        <is>
          <t>2708001686</t>
        </is>
      </c>
      <c r="E574" s="6" t="inlineStr">
        <is>
          <t>ООО "Амур Золото"</t>
        </is>
      </c>
      <c r="F574" s="7" t="inlineStr">
        <is>
          <t>2708001686</t>
        </is>
      </c>
      <c r="G574" s="7" t="inlineStr">
        <is>
          <t>Успешно</t>
        </is>
      </c>
      <c r="H574" s="6" t="n"/>
      <c r="I574" s="6" t="n"/>
      <c r="J574" s="6" t="inlineStr">
        <is>
          <t>Пользовательский интерфейс</t>
        </is>
      </c>
      <c r="K574" s="7" t="n">
        <v>6</v>
      </c>
      <c r="L574" s="8" t="n"/>
      <c r="M574" s="139" t="n"/>
      <c r="N574" s="137" t="inlineStr">
        <is>
          <t>+</t>
        </is>
      </c>
      <c r="O574" s="137" t="inlineStr">
        <is>
          <t>+</t>
        </is>
      </c>
      <c r="P574" s="137" t="inlineStr">
        <is>
          <t>+</t>
        </is>
      </c>
      <c r="Q574" s="137" t="inlineStr">
        <is>
          <t>+</t>
        </is>
      </c>
      <c r="R574" s="137" t="inlineStr">
        <is>
          <t>+</t>
        </is>
      </c>
      <c r="S574" s="137" t="inlineStr">
        <is>
          <t>+</t>
        </is>
      </c>
      <c r="T574" s="8" t="n"/>
      <c r="U574" s="8" t="n"/>
      <c r="V574" s="8" t="n"/>
      <c r="W574" s="8" t="n"/>
      <c r="X574" s="139" t="n"/>
      <c r="Y574" s="141" t="n"/>
    </row>
    <row r="575">
      <c r="A575" s="6" t="inlineStr">
        <is>
          <t>работник 728</t>
        </is>
      </c>
      <c r="B575" s="6" t="inlineStr">
        <is>
          <t>Машинист буровой установки</t>
        </is>
      </c>
      <c r="C575" s="6" t="inlineStr">
        <is>
          <t>ОБЩЕСТВО С ОГРАНИЧЕННОЙ ОТВЕТСТВЕННОСТЬЮ "АМУР ЗОЛОТО"</t>
        </is>
      </c>
      <c r="D575" s="7" t="inlineStr">
        <is>
          <t>2708001686</t>
        </is>
      </c>
      <c r="E575" s="6" t="inlineStr">
        <is>
          <t>ООО "Амур Золото"</t>
        </is>
      </c>
      <c r="F575" s="7" t="inlineStr">
        <is>
          <t>2708001686</t>
        </is>
      </c>
      <c r="G575" s="7" t="inlineStr">
        <is>
          <t>Успешно</t>
        </is>
      </c>
      <c r="H575" s="6" t="n"/>
      <c r="I575" s="6" t="n"/>
      <c r="J575" s="6" t="inlineStr">
        <is>
          <t>Пользовательский интерфейс</t>
        </is>
      </c>
      <c r="K575" s="7" t="n">
        <v>2</v>
      </c>
      <c r="L575" s="8" t="n"/>
      <c r="M575" s="137" t="inlineStr">
        <is>
          <t>+</t>
        </is>
      </c>
      <c r="N575" s="8" t="n"/>
      <c r="O575" s="8" t="n"/>
      <c r="P575" s="8" t="n"/>
      <c r="Q575" s="8" t="n"/>
      <c r="R575" s="8" t="n"/>
      <c r="S575" s="8" t="n"/>
      <c r="T575" s="8" t="n"/>
      <c r="U575" s="8" t="n"/>
      <c r="V575" s="8" t="n"/>
      <c r="W575" s="8" t="n"/>
      <c r="X575" s="139" t="n"/>
      <c r="Y575" s="137" t="inlineStr">
        <is>
          <t>+</t>
        </is>
      </c>
    </row>
    <row r="576">
      <c r="A576" s="6" t="inlineStr">
        <is>
          <t>работник 41</t>
        </is>
      </c>
      <c r="B576" s="6" t="inlineStr">
        <is>
          <t>Стропальщик</t>
        </is>
      </c>
      <c r="C576" s="6" t="inlineStr">
        <is>
          <t>ОБЩЕСТВО С ОГРАНИЧЕННОЙ ОТВЕТСТВЕННОСТЬЮ "АМУР ЗОЛОТО"</t>
        </is>
      </c>
      <c r="D576" s="7" t="inlineStr">
        <is>
          <t>2708001686</t>
        </is>
      </c>
      <c r="E576" s="6" t="inlineStr">
        <is>
          <t>ООО "Амур Золото"</t>
        </is>
      </c>
      <c r="F576" s="7" t="inlineStr">
        <is>
          <t>2708001686</t>
        </is>
      </c>
      <c r="G576" s="7" t="inlineStr">
        <is>
          <t>Успешно</t>
        </is>
      </c>
      <c r="H576" s="6" t="n"/>
      <c r="I576" s="6" t="n"/>
      <c r="J576" s="6" t="inlineStr">
        <is>
          <t>Пользовательский интерфейс</t>
        </is>
      </c>
      <c r="K576" s="7" t="n">
        <v>3</v>
      </c>
      <c r="L576" s="8" t="n"/>
      <c r="M576" s="137" t="inlineStr">
        <is>
          <t>+</t>
        </is>
      </c>
      <c r="N576" s="8" t="n"/>
      <c r="O576" s="8" t="n"/>
      <c r="P576" s="8" t="n"/>
      <c r="Q576" s="8" t="n"/>
      <c r="R576" s="8" t="n"/>
      <c r="S576" s="8" t="n"/>
      <c r="T576" s="8" t="n"/>
      <c r="U576" s="8" t="n"/>
      <c r="V576" s="8" t="n"/>
      <c r="W576" s="8" t="n"/>
      <c r="X576" s="137" t="inlineStr">
        <is>
          <t>+</t>
        </is>
      </c>
      <c r="Y576" s="137" t="inlineStr">
        <is>
          <t>+</t>
        </is>
      </c>
    </row>
    <row r="577">
      <c r="A577" s="6" t="inlineStr">
        <is>
          <t>работник 466</t>
        </is>
      </c>
      <c r="B577" s="6" t="inlineStr">
        <is>
          <t>Водитель автомобиля (занятый на транспортировании горной массы в технологическом процессе)</t>
        </is>
      </c>
      <c r="C577" s="6" t="inlineStr">
        <is>
          <t>ОБЩЕСТВО С ОГРАНИЧЕННОЙ ОТВЕТСТВЕННОСТЬЮ "АМУР ЗОЛОТО"</t>
        </is>
      </c>
      <c r="D577" s="7" t="inlineStr">
        <is>
          <t>2708001686</t>
        </is>
      </c>
      <c r="E577" s="6" t="inlineStr">
        <is>
          <t>ООО "Амур Золото"</t>
        </is>
      </c>
      <c r="F577" s="7" t="inlineStr">
        <is>
          <t>2708001686</t>
        </is>
      </c>
      <c r="G577" s="7" t="inlineStr">
        <is>
          <t>Успешно</t>
        </is>
      </c>
      <c r="H577" s="6" t="n"/>
      <c r="I577" s="6" t="n"/>
      <c r="J577" s="6" t="inlineStr">
        <is>
          <t>Пользовательский интерфейс</t>
        </is>
      </c>
      <c r="K577" s="7" t="n">
        <v>5</v>
      </c>
      <c r="L577" s="8" t="n"/>
      <c r="M577" s="137" t="inlineStr">
        <is>
          <t>+</t>
        </is>
      </c>
      <c r="N577" s="8" t="n"/>
      <c r="O577" s="8" t="n"/>
      <c r="P577" s="8" t="n"/>
      <c r="Q577" s="8" t="n"/>
      <c r="R577" s="8" t="n"/>
      <c r="S577" s="8" t="n"/>
      <c r="T577" s="8" t="n"/>
      <c r="U577" s="8" t="n"/>
      <c r="V577" s="8" t="n"/>
      <c r="W577" s="8" t="n"/>
      <c r="X577" s="137" t="inlineStr">
        <is>
          <t>+</t>
        </is>
      </c>
      <c r="Y577" s="137" t="inlineStr">
        <is>
          <t>+</t>
        </is>
      </c>
    </row>
    <row r="578">
      <c r="A578" s="6" t="inlineStr">
        <is>
          <t>работник 758</t>
        </is>
      </c>
      <c r="B578" s="6" t="inlineStr">
        <is>
          <t>Слесарь-ремонтник (по ремонту обогатительного оборудования)</t>
        </is>
      </c>
      <c r="C578" s="6" t="inlineStr">
        <is>
          <t>ОБЩЕСТВО С ОГРАНИЧЕННОЙ ОТВЕТСТВЕННОСТЬЮ "АМУР ЗОЛОТО"</t>
        </is>
      </c>
      <c r="D578" s="7" t="inlineStr">
        <is>
          <t>2708001686</t>
        </is>
      </c>
      <c r="E578" s="6" t="inlineStr">
        <is>
          <t>ООО "Амур Золото"</t>
        </is>
      </c>
      <c r="F578" s="7" t="inlineStr">
        <is>
          <t>2708001686</t>
        </is>
      </c>
      <c r="G578" s="7" t="inlineStr">
        <is>
          <t>Успешно</t>
        </is>
      </c>
      <c r="H578" s="6" t="n"/>
      <c r="I578" s="6" t="n"/>
      <c r="J578" s="6" t="inlineStr">
        <is>
          <t>Пользовательский интерфейс</t>
        </is>
      </c>
      <c r="K578" s="7" t="n">
        <v>9</v>
      </c>
      <c r="L578" s="8" t="n"/>
      <c r="M578" s="137" t="inlineStr">
        <is>
          <t>+</t>
        </is>
      </c>
      <c r="N578" s="137" t="inlineStr">
        <is>
          <t>+</t>
        </is>
      </c>
      <c r="O578" s="137" t="inlineStr">
        <is>
          <t>+</t>
        </is>
      </c>
      <c r="P578" s="137" t="inlineStr">
        <is>
          <t>+</t>
        </is>
      </c>
      <c r="Q578" s="8" t="n"/>
      <c r="R578" s="8" t="n"/>
      <c r="S578" s="8" t="n"/>
      <c r="T578" s="8" t="n"/>
      <c r="U578" s="8" t="n"/>
      <c r="V578" s="8" t="n"/>
      <c r="W578" s="8" t="n"/>
      <c r="X578" s="137" t="inlineStr">
        <is>
          <t>+</t>
        </is>
      </c>
      <c r="Y578" s="137" t="inlineStr">
        <is>
          <t>+</t>
        </is>
      </c>
    </row>
    <row r="579">
      <c r="A579" s="6" t="inlineStr">
        <is>
          <t>работник 193</t>
        </is>
      </c>
      <c r="B579" s="6" t="inlineStr">
        <is>
          <t>Водитель автомобиля (категория D) / Водитель автомобиля (категория Д)</t>
        </is>
      </c>
      <c r="C579" s="6" t="inlineStr">
        <is>
          <t>ОБЩЕСТВО С ОГРАНИЧЕННОЙ ОТВЕТСТВЕННОСТЬЮ "АМУР ЗОЛОТО"</t>
        </is>
      </c>
      <c r="D579" s="7" t="inlineStr">
        <is>
          <t>2708001686</t>
        </is>
      </c>
      <c r="E579" s="6" t="inlineStr">
        <is>
          <t>ООО "Амур Золото"</t>
        </is>
      </c>
      <c r="F579" s="7" t="inlineStr">
        <is>
          <t>2708001686</t>
        </is>
      </c>
      <c r="G579" s="7" t="inlineStr">
        <is>
          <t>Успешно</t>
        </is>
      </c>
      <c r="H579" s="6" t="n"/>
      <c r="I579" s="6" t="n"/>
      <c r="J579" s="6" t="inlineStr">
        <is>
          <t>Пользовательский интерфейс</t>
        </is>
      </c>
      <c r="K579" s="7" t="n">
        <v>6</v>
      </c>
      <c r="L579" s="8" t="n"/>
      <c r="M579" s="137" t="inlineStr">
        <is>
          <t>+</t>
        </is>
      </c>
      <c r="N579" s="8" t="n"/>
      <c r="O579" s="8" t="n"/>
      <c r="P579" s="8" t="n"/>
      <c r="Q579" s="8" t="n"/>
      <c r="R579" s="8" t="n"/>
      <c r="S579" s="8" t="n"/>
      <c r="T579" s="8" t="n"/>
      <c r="U579" s="8" t="n"/>
      <c r="V579" s="8" t="n"/>
      <c r="W579" s="8" t="n"/>
      <c r="X579" s="137" t="inlineStr">
        <is>
          <t>+</t>
        </is>
      </c>
      <c r="Y579" s="138" t="inlineStr">
        <is>
          <t>+</t>
        </is>
      </c>
    </row>
    <row r="580">
      <c r="A580" s="6" t="inlineStr">
        <is>
          <t>работник 755</t>
        </is>
      </c>
      <c r="B580" s="6" t="inlineStr">
        <is>
          <t>Фильтровальщик</t>
        </is>
      </c>
      <c r="C580" s="6" t="inlineStr">
        <is>
          <t>ОБЩЕСТВО С ОГРАНИЧЕННОЙ ОТВЕТСТВЕННОСТЬЮ "АМУР ЗОЛОТО"</t>
        </is>
      </c>
      <c r="D580" s="7" t="inlineStr">
        <is>
          <t>2708001686</t>
        </is>
      </c>
      <c r="E580" s="6" t="inlineStr">
        <is>
          <t>ООО "Амур Золото"</t>
        </is>
      </c>
      <c r="F580" s="7" t="inlineStr">
        <is>
          <t>2708001686</t>
        </is>
      </c>
      <c r="G580" s="7" t="inlineStr">
        <is>
          <t>Успешно</t>
        </is>
      </c>
      <c r="H580" s="6" t="n"/>
      <c r="I580" s="6" t="n"/>
      <c r="J580" s="6" t="inlineStr">
        <is>
          <t>Пользовательский интерфейс</t>
        </is>
      </c>
      <c r="K580" s="7" t="n">
        <v>8</v>
      </c>
      <c r="L580" s="8" t="n"/>
      <c r="M580" s="137" t="inlineStr">
        <is>
          <t>+</t>
        </is>
      </c>
      <c r="N580" s="137" t="inlineStr">
        <is>
          <t>+</t>
        </is>
      </c>
      <c r="O580" s="8" t="n"/>
      <c r="P580" s="137" t="inlineStr">
        <is>
          <t>+</t>
        </is>
      </c>
      <c r="Q580" s="8" t="n"/>
      <c r="R580" s="8" t="n"/>
      <c r="S580" s="8" t="n"/>
      <c r="T580" s="8" t="n"/>
      <c r="U580" s="8" t="n"/>
      <c r="V580" s="8" t="n"/>
      <c r="W580" s="8" t="n"/>
      <c r="X580" s="137" t="inlineStr">
        <is>
          <t>+</t>
        </is>
      </c>
      <c r="Y580" s="137" t="inlineStr">
        <is>
          <t>+</t>
        </is>
      </c>
    </row>
    <row r="581">
      <c r="A581" s="6" t="inlineStr">
        <is>
          <t>работник 71</t>
        </is>
      </c>
      <c r="B581" s="6" t="inlineStr">
        <is>
          <t>Оператор дизельных котлов / Подсобный рабочий</t>
        </is>
      </c>
      <c r="C581" s="6" t="inlineStr">
        <is>
          <t>ОБЩЕСТВО С ОГРАНИЧЕННОЙ ОТВЕТСТВЕННОСТЬЮ "АМУР ЗОЛОТО"</t>
        </is>
      </c>
      <c r="D581" s="7" t="inlineStr">
        <is>
          <t>2708001686</t>
        </is>
      </c>
      <c r="E581" s="6" t="inlineStr">
        <is>
          <t>ООО "Амур Золото"</t>
        </is>
      </c>
      <c r="F581" s="7" t="inlineStr">
        <is>
          <t>2708001686</t>
        </is>
      </c>
      <c r="G581" s="7" t="inlineStr">
        <is>
          <t>Успешно</t>
        </is>
      </c>
      <c r="H581" s="6" t="n"/>
      <c r="I581" s="6" t="n"/>
      <c r="J581" s="6" t="inlineStr">
        <is>
          <t>Пользовательский интерфейс</t>
        </is>
      </c>
      <c r="K581" s="7" t="n">
        <v>8</v>
      </c>
      <c r="L581" s="8" t="n"/>
      <c r="M581" s="137" t="inlineStr">
        <is>
          <t>+</t>
        </is>
      </c>
      <c r="N581" s="8" t="n"/>
      <c r="O581" s="8" t="n"/>
      <c r="P581" s="8" t="n"/>
      <c r="Q581" s="8" t="n"/>
      <c r="R581" s="8" t="n"/>
      <c r="S581" s="8" t="n"/>
      <c r="T581" s="8" t="n"/>
      <c r="U581" s="8" t="n"/>
      <c r="V581" s="8" t="n"/>
      <c r="W581" s="8" t="n"/>
      <c r="X581" s="137" t="inlineStr">
        <is>
          <t>+</t>
        </is>
      </c>
      <c r="Y581" s="137" t="inlineStr">
        <is>
          <t>+</t>
        </is>
      </c>
    </row>
    <row r="582">
      <c r="A582" s="6" t="inlineStr">
        <is>
          <t>работник 786</t>
        </is>
      </c>
      <c r="B582" s="6" t="inlineStr">
        <is>
          <t>Водитель автомобиля (занятый на транспортировании горной массы в технологическом процессе) / Машинист двигателей внутреннего сгорания (с исполнением обязанностей машиниста компрессорных установок)</t>
        </is>
      </c>
      <c r="C582" s="6" t="inlineStr">
        <is>
          <t>ОБЩЕСТВО С ОГРАНИЧЕННОЙ ОТВЕТСТВЕННОСТЬЮ "АМУР ЗОЛОТО"</t>
        </is>
      </c>
      <c r="D582" s="7" t="inlineStr">
        <is>
          <t>2708001686</t>
        </is>
      </c>
      <c r="E582" s="6" t="inlineStr">
        <is>
          <t>ООО "Амур Золото"</t>
        </is>
      </c>
      <c r="F582" s="7" t="inlineStr">
        <is>
          <t>2708001686</t>
        </is>
      </c>
      <c r="G582" s="7" t="inlineStr">
        <is>
          <t>Успешно</t>
        </is>
      </c>
      <c r="H582" s="6" t="n"/>
      <c r="I582" s="6" t="n"/>
      <c r="J582" s="6" t="inlineStr">
        <is>
          <t>Пользовательский интерфейс</t>
        </is>
      </c>
      <c r="K582" s="7" t="n">
        <v>6</v>
      </c>
      <c r="L582" s="8" t="n"/>
      <c r="M582" s="137" t="inlineStr">
        <is>
          <t>+</t>
        </is>
      </c>
      <c r="N582" s="8" t="n"/>
      <c r="O582" s="8" t="n"/>
      <c r="P582" s="8" t="n"/>
      <c r="Q582" s="8" t="n"/>
      <c r="R582" s="8" t="n"/>
      <c r="S582" s="8" t="n"/>
      <c r="T582" s="8" t="n"/>
      <c r="U582" s="8" t="n"/>
      <c r="V582" s="8" t="n"/>
      <c r="W582" s="8" t="n"/>
      <c r="X582" s="137" t="inlineStr">
        <is>
          <t>+</t>
        </is>
      </c>
      <c r="Y582" s="137" t="inlineStr">
        <is>
          <t>+</t>
        </is>
      </c>
    </row>
    <row r="583">
      <c r="A583" s="6" t="inlineStr">
        <is>
          <t>работник 380</t>
        </is>
      </c>
      <c r="B583" s="6" t="inlineStr">
        <is>
          <t>Машинист двигателей внутреннего сгорания c обязанностями компрессорщика</t>
        </is>
      </c>
      <c r="C583" s="6" t="inlineStr">
        <is>
          <t>ОБЩЕСТВО С ОГРАНИЧЕННОЙ ОТВЕТСТВЕННОСТЬЮ "АМУР ЗОЛОТО"</t>
        </is>
      </c>
      <c r="D583" s="7" t="inlineStr">
        <is>
          <t>2708001686</t>
        </is>
      </c>
      <c r="E583" s="6" t="inlineStr">
        <is>
          <t>ООО "Амур Золото"</t>
        </is>
      </c>
      <c r="F583" s="7" t="inlineStr">
        <is>
          <t>2708001686</t>
        </is>
      </c>
      <c r="G583" s="7" t="inlineStr">
        <is>
          <t>Успешно</t>
        </is>
      </c>
      <c r="H583" s="6" t="n"/>
      <c r="I583" s="6" t="n"/>
      <c r="J583" s="6" t="inlineStr">
        <is>
          <t>Пользовательский интерфейс</t>
        </is>
      </c>
      <c r="K583" s="7" t="n">
        <v>3</v>
      </c>
      <c r="L583" s="8" t="n"/>
      <c r="M583" s="137" t="inlineStr">
        <is>
          <t>+</t>
        </is>
      </c>
      <c r="N583" s="8" t="n"/>
      <c r="O583" s="8" t="n"/>
      <c r="P583" s="8" t="n"/>
      <c r="Q583" s="8" t="n"/>
      <c r="R583" s="8" t="n"/>
      <c r="S583" s="8" t="n"/>
      <c r="T583" s="8" t="n"/>
      <c r="U583" s="8" t="n"/>
      <c r="V583" s="8" t="n"/>
      <c r="W583" s="8" t="n"/>
      <c r="X583" s="137" t="inlineStr">
        <is>
          <t>+</t>
        </is>
      </c>
      <c r="Y583" s="137" t="inlineStr">
        <is>
          <t>+</t>
        </is>
      </c>
    </row>
    <row r="584">
      <c r="A584" s="6" t="inlineStr">
        <is>
          <t>работник 567</t>
        </is>
      </c>
      <c r="B584" s="6" t="inlineStr">
        <is>
          <t>Слесарь-ремонтник (по ремонту обогатительного оборудования)</t>
        </is>
      </c>
      <c r="C584" s="6" t="inlineStr">
        <is>
          <t>ОБЩЕСТВО С ОГРАНИЧЕННОЙ ОТВЕТСТВЕННОСТЬЮ "АМУР ЗОЛОТО"</t>
        </is>
      </c>
      <c r="D584" s="7" t="inlineStr">
        <is>
          <t>2708001686</t>
        </is>
      </c>
      <c r="E584" s="6" t="inlineStr">
        <is>
          <t>ООО "Амур Золото"</t>
        </is>
      </c>
      <c r="F584" s="7" t="inlineStr">
        <is>
          <t>2708001686</t>
        </is>
      </c>
      <c r="G584" s="7" t="inlineStr">
        <is>
          <t>Успешно</t>
        </is>
      </c>
      <c r="H584" s="6" t="n"/>
      <c r="I584" s="6" t="n"/>
      <c r="J584" s="6" t="inlineStr">
        <is>
          <t>Пользовательский интерфейс</t>
        </is>
      </c>
      <c r="K584" s="7" t="n">
        <v>5</v>
      </c>
      <c r="L584" s="8" t="n"/>
      <c r="M584" s="137" t="inlineStr">
        <is>
          <t>+</t>
        </is>
      </c>
      <c r="N584" s="8" t="n"/>
      <c r="O584" s="8" t="n"/>
      <c r="P584" s="8" t="n"/>
      <c r="Q584" s="8" t="n"/>
      <c r="R584" s="8" t="n"/>
      <c r="S584" s="8" t="n"/>
      <c r="T584" s="8" t="n"/>
      <c r="U584" s="8" t="n"/>
      <c r="V584" s="8" t="n"/>
      <c r="W584" s="8" t="n"/>
      <c r="X584" s="137" t="inlineStr">
        <is>
          <t>+</t>
        </is>
      </c>
      <c r="Y584" s="137" t="inlineStr">
        <is>
          <t>+</t>
        </is>
      </c>
    </row>
    <row r="585">
      <c r="A585" s="6" t="inlineStr">
        <is>
          <t>работник 551</t>
        </is>
      </c>
      <c r="B585" s="6" t="inlineStr">
        <is>
          <t>Ламповщик / Кладовщик (с исполнением обязанностей ламповщика)</t>
        </is>
      </c>
      <c r="C585" s="6" t="inlineStr">
        <is>
          <t>ОБЩЕСТВО С ОГРАНИЧЕННОЙ ОТВЕТСТВЕННОСТЬЮ "АМУР ЗОЛОТО"</t>
        </is>
      </c>
      <c r="D585" s="7" t="inlineStr">
        <is>
          <t>2708001686</t>
        </is>
      </c>
      <c r="E585" s="6" t="inlineStr">
        <is>
          <t>ООО "Амур Золото"</t>
        </is>
      </c>
      <c r="F585" s="7" t="inlineStr">
        <is>
          <t>2708001686</t>
        </is>
      </c>
      <c r="G585" s="7" t="inlineStr">
        <is>
          <t>Успешно</t>
        </is>
      </c>
      <c r="H585" s="6" t="n"/>
      <c r="I585" s="6" t="n"/>
      <c r="J585" s="6" t="inlineStr">
        <is>
          <t>Пользовательский интерфейс</t>
        </is>
      </c>
      <c r="K585" s="7" t="n">
        <v>5</v>
      </c>
      <c r="L585" s="8" t="n"/>
      <c r="M585" s="137" t="inlineStr">
        <is>
          <t>+</t>
        </is>
      </c>
      <c r="N585" s="8" t="n"/>
      <c r="O585" s="8" t="n"/>
      <c r="P585" s="8" t="n"/>
      <c r="Q585" s="8" t="n"/>
      <c r="R585" s="8" t="n"/>
      <c r="S585" s="8" t="n"/>
      <c r="T585" s="8" t="n"/>
      <c r="U585" s="8" t="n"/>
      <c r="V585" s="8" t="n"/>
      <c r="W585" s="8" t="n"/>
      <c r="X585" s="137" t="inlineStr">
        <is>
          <t>+</t>
        </is>
      </c>
      <c r="Y585" s="137" t="inlineStr">
        <is>
          <t>+</t>
        </is>
      </c>
    </row>
    <row r="586">
      <c r="A586" s="6" t="inlineStr">
        <is>
          <t>работник 19</t>
        </is>
      </c>
      <c r="B586" s="6" t="inlineStr">
        <is>
          <t>Водитель автомобиля (категория D) / Водитель автомобиля (категория Д)</t>
        </is>
      </c>
      <c r="C586" s="6" t="inlineStr">
        <is>
          <t>ОБЩЕСТВО С ОГРАНИЧЕННОЙ ОТВЕТСТВЕННОСТЬЮ "АМУР ЗОЛОТО"</t>
        </is>
      </c>
      <c r="D586" s="7" t="inlineStr">
        <is>
          <t>2708001686</t>
        </is>
      </c>
      <c r="E586" s="6" t="inlineStr">
        <is>
          <t>ООО "Амур Золото"</t>
        </is>
      </c>
      <c r="F586" s="7" t="inlineStr">
        <is>
          <t>2708001686</t>
        </is>
      </c>
      <c r="G586" s="7" t="inlineStr">
        <is>
          <t>Успешно</t>
        </is>
      </c>
      <c r="H586" s="6" t="n"/>
      <c r="I586" s="6" t="n"/>
      <c r="J586" s="6" t="inlineStr">
        <is>
          <t>Пользовательский интерфейс</t>
        </is>
      </c>
      <c r="K586" s="7" t="n">
        <v>6</v>
      </c>
      <c r="L586" s="8" t="n"/>
      <c r="M586" s="137" t="inlineStr">
        <is>
          <t>+</t>
        </is>
      </c>
      <c r="N586" s="8" t="n"/>
      <c r="O586" s="8" t="n"/>
      <c r="P586" s="8" t="n"/>
      <c r="Q586" s="8" t="n"/>
      <c r="R586" s="8" t="n"/>
      <c r="S586" s="8" t="n"/>
      <c r="T586" s="8" t="n"/>
      <c r="U586" s="8" t="n"/>
      <c r="V586" s="8" t="n"/>
      <c r="W586" s="8" t="n"/>
      <c r="X586" s="137" t="inlineStr">
        <is>
          <t>+</t>
        </is>
      </c>
      <c r="Y586" s="138" t="inlineStr">
        <is>
          <t>+</t>
        </is>
      </c>
    </row>
    <row r="587">
      <c r="A587" s="6" t="inlineStr">
        <is>
          <t>работник 729</t>
        </is>
      </c>
      <c r="B587" s="6" t="inlineStr">
        <is>
          <t>Промывальщик геологических проб</t>
        </is>
      </c>
      <c r="C587" s="6" t="inlineStr">
        <is>
          <t>ОБЩЕСТВО С ОГРАНИЧЕННОЙ ОТВЕТСТВЕННОСТЬЮ "АМУР ЗОЛОТО"</t>
        </is>
      </c>
      <c r="D587" s="7" t="inlineStr">
        <is>
          <t>2708001686</t>
        </is>
      </c>
      <c r="E587" s="6" t="inlineStr">
        <is>
          <t>ООО "Амур Золото"</t>
        </is>
      </c>
      <c r="F587" s="7" t="inlineStr">
        <is>
          <t>2708001686</t>
        </is>
      </c>
      <c r="G587" s="7" t="inlineStr">
        <is>
          <t>Успешно</t>
        </is>
      </c>
      <c r="H587" s="6" t="n"/>
      <c r="I587" s="6" t="n"/>
      <c r="J587" s="6" t="inlineStr">
        <is>
          <t>Пользовательский интерфейс</t>
        </is>
      </c>
      <c r="K587" s="7" t="n">
        <v>2</v>
      </c>
      <c r="L587" s="8" t="n"/>
      <c r="M587" s="137" t="inlineStr">
        <is>
          <t>+</t>
        </is>
      </c>
      <c r="N587" s="8" t="n"/>
      <c r="O587" s="8" t="n"/>
      <c r="P587" s="8" t="n"/>
      <c r="Q587" s="8" t="n"/>
      <c r="R587" s="8" t="n"/>
      <c r="S587" s="8" t="n"/>
      <c r="T587" s="8" t="n"/>
      <c r="U587" s="8" t="n"/>
      <c r="V587" s="8" t="n"/>
      <c r="W587" s="8" t="n"/>
      <c r="X587" s="139" t="n"/>
      <c r="Y587" s="137" t="inlineStr">
        <is>
          <t>+</t>
        </is>
      </c>
    </row>
    <row r="588">
      <c r="A588" s="6" t="inlineStr">
        <is>
          <t>работник 428</t>
        </is>
      </c>
      <c r="B588" s="6" t="inlineStr">
        <is>
          <t>Плавильщик</t>
        </is>
      </c>
      <c r="C588" s="6" t="inlineStr">
        <is>
          <t>ОБЩЕСТВО С ОГРАНИЧЕННОЙ ОТВЕТСТВЕННОСТЬЮ "АМУР ЗОЛОТО"</t>
        </is>
      </c>
      <c r="D588" s="7" t="inlineStr">
        <is>
          <t>2708001686</t>
        </is>
      </c>
      <c r="E588" s="6" t="inlineStr">
        <is>
          <t>ООО "Амур Золото"</t>
        </is>
      </c>
      <c r="F588" s="7" t="inlineStr">
        <is>
          <t>2708001686</t>
        </is>
      </c>
      <c r="G588" s="7" t="inlineStr">
        <is>
          <t>Успешно</t>
        </is>
      </c>
      <c r="H588" s="6" t="n"/>
      <c r="I588" s="6" t="n"/>
      <c r="J588" s="6" t="inlineStr">
        <is>
          <t>Пользовательский интерфейс</t>
        </is>
      </c>
      <c r="K588" s="7" t="n">
        <v>2</v>
      </c>
      <c r="L588" s="8" t="n"/>
      <c r="M588" s="137" t="inlineStr">
        <is>
          <t>+</t>
        </is>
      </c>
      <c r="N588" s="8" t="n"/>
      <c r="O588" s="8" t="n"/>
      <c r="P588" s="8" t="n"/>
      <c r="Q588" s="8" t="n"/>
      <c r="R588" s="8" t="n"/>
      <c r="S588" s="8" t="n"/>
      <c r="T588" s="8" t="n"/>
      <c r="U588" s="8" t="n"/>
      <c r="V588" s="8" t="n"/>
      <c r="W588" s="8" t="n"/>
      <c r="X588" s="139" t="n"/>
      <c r="Y588" s="137" t="inlineStr">
        <is>
          <t>+</t>
        </is>
      </c>
    </row>
    <row r="589">
      <c r="A589" s="6" t="inlineStr">
        <is>
          <t>работник 754</t>
        </is>
      </c>
      <c r="B589" s="6" t="inlineStr">
        <is>
          <t>Фильтровальщик</t>
        </is>
      </c>
      <c r="C589" s="6" t="inlineStr">
        <is>
          <t>ОБЩЕСТВО С ОГРАНИЧЕННОЙ ОТВЕТСТВЕННОСТЬЮ "АМУР ЗОЛОТО"</t>
        </is>
      </c>
      <c r="D589" s="7" t="inlineStr">
        <is>
          <t>2708001686</t>
        </is>
      </c>
      <c r="E589" s="6" t="inlineStr">
        <is>
          <t>ООО "Амур Золото"</t>
        </is>
      </c>
      <c r="F589" s="7" t="inlineStr">
        <is>
          <t>2708001686</t>
        </is>
      </c>
      <c r="G589" s="7" t="inlineStr">
        <is>
          <t>Успешно</t>
        </is>
      </c>
      <c r="H589" s="6" t="n"/>
      <c r="I589" s="6" t="n"/>
      <c r="J589" s="6" t="inlineStr">
        <is>
          <t>Пользовательский интерфейс</t>
        </is>
      </c>
      <c r="K589" s="7" t="n">
        <v>5</v>
      </c>
      <c r="L589" s="8" t="n"/>
      <c r="M589" s="137" t="inlineStr">
        <is>
          <t>+</t>
        </is>
      </c>
      <c r="N589" s="137" t="inlineStr">
        <is>
          <t>+</t>
        </is>
      </c>
      <c r="O589" s="8" t="n"/>
      <c r="P589" s="137" t="inlineStr">
        <is>
          <t>+</t>
        </is>
      </c>
      <c r="Q589" s="8" t="n"/>
      <c r="R589" s="8" t="n"/>
      <c r="S589" s="8" t="n"/>
      <c r="T589" s="8" t="n"/>
      <c r="U589" s="8" t="n"/>
      <c r="V589" s="8" t="n"/>
      <c r="W589" s="8" t="n"/>
      <c r="X589" s="137" t="inlineStr">
        <is>
          <t>+</t>
        </is>
      </c>
      <c r="Y589" s="137" t="inlineStr">
        <is>
          <t>+</t>
        </is>
      </c>
    </row>
    <row r="590">
      <c r="A590" s="6" t="inlineStr">
        <is>
          <t>работник 448</t>
        </is>
      </c>
      <c r="B590" s="6" t="inlineStr">
        <is>
          <t>Слесарь по контрольно-измерительным приборам и автоматике</t>
        </is>
      </c>
      <c r="C590" s="6" t="inlineStr">
        <is>
          <t>ОБЩЕСТВО С ОГРАНИЧЕННОЙ ОТВЕТСТВЕННОСТЬЮ "АМУР ЗОЛОТО"</t>
        </is>
      </c>
      <c r="D590" s="7" t="inlineStr">
        <is>
          <t>2708001686</t>
        </is>
      </c>
      <c r="E590" s="6" t="inlineStr">
        <is>
          <t>ООО "Амур Золото"</t>
        </is>
      </c>
      <c r="F590" s="7" t="inlineStr">
        <is>
          <t>2708001686</t>
        </is>
      </c>
      <c r="G590" s="7" t="inlineStr">
        <is>
          <t>Успешно</t>
        </is>
      </c>
      <c r="H590" s="6" t="n"/>
      <c r="I590" s="6" t="n"/>
      <c r="J590" s="6" t="inlineStr">
        <is>
          <t>Пользовательский интерфейс</t>
        </is>
      </c>
      <c r="K590" s="7" t="n">
        <v>9</v>
      </c>
      <c r="L590" s="8" t="n"/>
      <c r="M590" s="137" t="inlineStr">
        <is>
          <t>+</t>
        </is>
      </c>
      <c r="N590" s="137" t="inlineStr">
        <is>
          <t>+</t>
        </is>
      </c>
      <c r="O590" s="137" t="inlineStr">
        <is>
          <t>+</t>
        </is>
      </c>
      <c r="P590" s="137" t="inlineStr">
        <is>
          <t>+</t>
        </is>
      </c>
      <c r="Q590" s="137" t="inlineStr">
        <is>
          <t>+</t>
        </is>
      </c>
      <c r="R590" s="137" t="inlineStr">
        <is>
          <t>+</t>
        </is>
      </c>
      <c r="S590" s="137" t="inlineStr">
        <is>
          <t>+</t>
        </is>
      </c>
      <c r="T590" s="137" t="inlineStr">
        <is>
          <t>+</t>
        </is>
      </c>
      <c r="U590" s="8" t="n"/>
      <c r="V590" s="8" t="n"/>
      <c r="W590" s="8" t="n"/>
      <c r="X590" s="139" t="n"/>
      <c r="Y590" s="137" t="inlineStr">
        <is>
          <t>+</t>
        </is>
      </c>
    </row>
    <row r="591">
      <c r="A591" s="6" t="inlineStr">
        <is>
          <t>работник 866</t>
        </is>
      </c>
      <c r="B591" s="6" t="inlineStr">
        <is>
          <t>Продавец</t>
        </is>
      </c>
      <c r="C591" s="6" t="inlineStr">
        <is>
          <t>ОБЩЕСТВО С ОГРАНИЧЕННОЙ ОТВЕТСТВЕННОСТЬЮ "АМУР ЗОЛОТО"</t>
        </is>
      </c>
      <c r="D591" s="7" t="inlineStr">
        <is>
          <t>2708001686</t>
        </is>
      </c>
      <c r="E591" s="6" t="inlineStr">
        <is>
          <t>ООО "Амур Золото"</t>
        </is>
      </c>
      <c r="F591" s="7" t="inlineStr">
        <is>
          <t>2708001686</t>
        </is>
      </c>
      <c r="G591" s="7" t="inlineStr">
        <is>
          <t>Успешно</t>
        </is>
      </c>
      <c r="H591" s="6" t="n"/>
      <c r="I591" s="6" t="n"/>
      <c r="J591" s="6" t="inlineStr">
        <is>
          <t>Пользовательский интерфейс</t>
        </is>
      </c>
      <c r="K591" s="7" t="n">
        <v>3</v>
      </c>
      <c r="L591" s="8" t="n"/>
      <c r="M591" s="137" t="inlineStr">
        <is>
          <t>+</t>
        </is>
      </c>
      <c r="N591" s="8" t="n"/>
      <c r="O591" s="8" t="n"/>
      <c r="P591" s="8" t="n"/>
      <c r="Q591" s="8" t="n"/>
      <c r="R591" s="8" t="n"/>
      <c r="S591" s="8" t="n"/>
      <c r="T591" s="8" t="n"/>
      <c r="U591" s="8" t="n"/>
      <c r="V591" s="8" t="n"/>
      <c r="W591" s="8" t="n"/>
      <c r="X591" s="137" t="inlineStr">
        <is>
          <t>+</t>
        </is>
      </c>
      <c r="Y591" s="138" t="inlineStr">
        <is>
          <t>+</t>
        </is>
      </c>
    </row>
    <row r="592">
      <c r="A592" s="6" t="inlineStr">
        <is>
          <t>работник 6</t>
        </is>
      </c>
      <c r="B592" s="6" t="inlineStr">
        <is>
          <t>Заместитель начальника участка по буровзрывным работам</t>
        </is>
      </c>
      <c r="C592" s="6" t="inlineStr">
        <is>
          <t>ООО "Амур золото". Подразделение: горно-обогатительный комплекс "Юбилейный"</t>
        </is>
      </c>
      <c r="D592" s="7" t="inlineStr">
        <is>
          <t>2708001686</t>
        </is>
      </c>
      <c r="E592" s="6" t="inlineStr">
        <is>
          <t>Автономная некоммерческая организация дополнительного профессионального образования и сертификации "Перспектива"</t>
        </is>
      </c>
      <c r="F592" s="7" t="inlineStr">
        <is>
          <t>2722126782</t>
        </is>
      </c>
      <c r="G592" s="7" t="inlineStr">
        <is>
          <t>Успешно</t>
        </is>
      </c>
      <c r="H592" s="6" t="n"/>
      <c r="I592" s="6" t="n"/>
      <c r="J592" s="6" t="inlineStr">
        <is>
          <t>Пользовательский интерфейс</t>
        </is>
      </c>
      <c r="K592" s="7" t="n">
        <v>4</v>
      </c>
      <c r="L592" s="137" t="inlineStr">
        <is>
          <t>+</t>
        </is>
      </c>
      <c r="M592" s="137" t="inlineStr">
        <is>
          <t>+</t>
        </is>
      </c>
      <c r="N592" s="8" t="n"/>
      <c r="O592" s="8" t="n"/>
      <c r="P592" s="8" t="n"/>
      <c r="Q592" s="8" t="n"/>
      <c r="R592" s="8" t="n"/>
      <c r="S592" s="8" t="n"/>
      <c r="T592" s="8" t="n"/>
      <c r="U592" s="8" t="n"/>
      <c r="V592" s="8" t="n"/>
      <c r="W592" s="8" t="n"/>
      <c r="X592" s="137" t="inlineStr">
        <is>
          <t>+</t>
        </is>
      </c>
      <c r="Y592" s="137" t="inlineStr">
        <is>
          <t>+</t>
        </is>
      </c>
    </row>
    <row r="593">
      <c r="A593" s="6" t="inlineStr">
        <is>
          <t>работник 300</t>
        </is>
      </c>
      <c r="B593" s="6" t="inlineStr">
        <is>
          <t>Бункеровщик</t>
        </is>
      </c>
      <c r="C593" s="6" t="inlineStr">
        <is>
          <t>ОБЩЕСТВО С ОГРАНИЧЕННОЙ ОТВЕТСТВЕННОСТЬЮ "АМУР ЗОЛОТО"</t>
        </is>
      </c>
      <c r="D593" s="7" t="inlineStr">
        <is>
          <t>2708001686</t>
        </is>
      </c>
      <c r="E593" s="6" t="inlineStr">
        <is>
          <t>ООО "Амур Золото"</t>
        </is>
      </c>
      <c r="F593" s="7" t="inlineStr">
        <is>
          <t>2708001686</t>
        </is>
      </c>
      <c r="G593" s="7" t="inlineStr">
        <is>
          <t>Успешно</t>
        </is>
      </c>
      <c r="H593" s="6" t="n"/>
      <c r="I593" s="6" t="n"/>
      <c r="J593" s="6" t="inlineStr">
        <is>
          <t>Пользовательский интерфейс</t>
        </is>
      </c>
      <c r="K593" s="7" t="n">
        <v>3</v>
      </c>
      <c r="L593" s="8" t="n"/>
      <c r="M593" s="137" t="inlineStr">
        <is>
          <t>+</t>
        </is>
      </c>
      <c r="N593" s="8" t="n"/>
      <c r="O593" s="8" t="n"/>
      <c r="P593" s="8" t="n"/>
      <c r="Q593" s="8" t="n"/>
      <c r="R593" s="8" t="n"/>
      <c r="S593" s="8" t="n"/>
      <c r="T593" s="8" t="n"/>
      <c r="U593" s="8" t="n"/>
      <c r="V593" s="8" t="n"/>
      <c r="W593" s="8" t="n"/>
      <c r="X593" s="137" t="inlineStr">
        <is>
          <t>+</t>
        </is>
      </c>
      <c r="Y593" s="137" t="inlineStr">
        <is>
          <t>+</t>
        </is>
      </c>
    </row>
    <row r="594">
      <c r="A594" s="6" t="inlineStr">
        <is>
          <t>работник 302</t>
        </is>
      </c>
      <c r="B594" s="6" t="inlineStr">
        <is>
          <t>Машинист погрузочно-доставочной машины / Машинист погрузочно-доставочной машины (ТГМ)</t>
        </is>
      </c>
      <c r="C594" s="6" t="inlineStr">
        <is>
          <t>ОБЩЕСТВО С ОГРАНИЧЕННОЙ ОТВЕТСТВЕННОСТЬЮ "АМУР ЗОЛОТО"</t>
        </is>
      </c>
      <c r="D594" s="7" t="inlineStr">
        <is>
          <t>2708001686</t>
        </is>
      </c>
      <c r="E594" s="6" t="inlineStr">
        <is>
          <t>ООО "Амур Золото"</t>
        </is>
      </c>
      <c r="F594" s="7" t="inlineStr">
        <is>
          <t>2708001686</t>
        </is>
      </c>
      <c r="G594" s="7" t="inlineStr">
        <is>
          <t>Успешно</t>
        </is>
      </c>
      <c r="H594" s="6" t="n"/>
      <c r="I594" s="6" t="n"/>
      <c r="J594" s="6" t="inlineStr">
        <is>
          <t>Пользовательский интерфейс</t>
        </is>
      </c>
      <c r="K594" s="7" t="n">
        <v>9</v>
      </c>
      <c r="L594" s="8" t="n"/>
      <c r="M594" s="137" t="inlineStr">
        <is>
          <t>+</t>
        </is>
      </c>
      <c r="N594" s="8" t="n"/>
      <c r="O594" s="8" t="n"/>
      <c r="P594" s="8" t="n"/>
      <c r="Q594" s="8" t="n"/>
      <c r="R594" s="8" t="n"/>
      <c r="S594" s="8" t="n"/>
      <c r="T594" s="8" t="n"/>
      <c r="U594" s="8" t="n"/>
      <c r="V594" s="8" t="n"/>
      <c r="W594" s="8" t="n"/>
      <c r="X594" s="137" t="inlineStr">
        <is>
          <t>+</t>
        </is>
      </c>
      <c r="Y594" s="137" t="inlineStr">
        <is>
          <t>+</t>
        </is>
      </c>
    </row>
    <row r="595">
      <c r="A595" s="6" t="inlineStr">
        <is>
          <t>работник 42</t>
        </is>
      </c>
      <c r="B595" s="6" t="inlineStr">
        <is>
          <t>Стропальщик</t>
        </is>
      </c>
      <c r="C595" s="6" t="inlineStr">
        <is>
          <t>ОБЩЕСТВО С ОГРАНИЧЕННОЙ ОТВЕТСТВЕННОСТЬЮ "АМУР ЗОЛОТО"</t>
        </is>
      </c>
      <c r="D595" s="7" t="inlineStr">
        <is>
          <t>2708001686</t>
        </is>
      </c>
      <c r="E595" s="6" t="inlineStr">
        <is>
          <t>ООО "Амур Золото"</t>
        </is>
      </c>
      <c r="F595" s="7" t="inlineStr">
        <is>
          <t>2708001686</t>
        </is>
      </c>
      <c r="G595" s="7" t="inlineStr">
        <is>
          <t>Успешно</t>
        </is>
      </c>
      <c r="H595" s="6" t="n"/>
      <c r="I595" s="6" t="n"/>
      <c r="J595" s="6" t="inlineStr">
        <is>
          <t>Пользовательский интерфейс</t>
        </is>
      </c>
      <c r="K595" s="7" t="n">
        <v>3</v>
      </c>
      <c r="L595" s="8" t="n"/>
      <c r="M595" s="137" t="inlineStr">
        <is>
          <t>+</t>
        </is>
      </c>
      <c r="N595" s="8" t="n"/>
      <c r="O595" s="8" t="n"/>
      <c r="P595" s="8" t="n"/>
      <c r="Q595" s="8" t="n"/>
      <c r="R595" s="8" t="n"/>
      <c r="S595" s="8" t="n"/>
      <c r="T595" s="8" t="n"/>
      <c r="U595" s="8" t="n"/>
      <c r="V595" s="8" t="n"/>
      <c r="W595" s="8" t="n"/>
      <c r="X595" s="137" t="inlineStr">
        <is>
          <t>+</t>
        </is>
      </c>
      <c r="Y595" s="137" t="inlineStr">
        <is>
          <t>+</t>
        </is>
      </c>
    </row>
    <row r="596">
      <c r="A596" s="6" t="inlineStr">
        <is>
          <t>работник 449</t>
        </is>
      </c>
      <c r="B596" s="6" t="inlineStr">
        <is>
          <t>Слесарь-ремонтник / Аппаратчик-гидрометаллург / Слесарь-ремонтник (по ремонту обогатительного оборудования)</t>
        </is>
      </c>
      <c r="C596" s="6" t="inlineStr">
        <is>
          <t>ОБЩЕСТВО С ОГРАНИЧЕННОЙ ОТВЕТСТВЕННОСТЬЮ "АМУР ЗОЛОТО"</t>
        </is>
      </c>
      <c r="D596" s="7" t="inlineStr">
        <is>
          <t>2708001686</t>
        </is>
      </c>
      <c r="E596" s="6" t="inlineStr">
        <is>
          <t>ООО "Амур Золото"</t>
        </is>
      </c>
      <c r="F596" s="7" t="inlineStr">
        <is>
          <t>2708001686</t>
        </is>
      </c>
      <c r="G596" s="7" t="inlineStr">
        <is>
          <t>Успешно</t>
        </is>
      </c>
      <c r="H596" s="6" t="n"/>
      <c r="I596" s="6" t="n"/>
      <c r="J596" s="6" t="inlineStr">
        <is>
          <t>Пользовательский интерфейс</t>
        </is>
      </c>
      <c r="K596" s="7" t="n">
        <v>10</v>
      </c>
      <c r="L596" s="8" t="n"/>
      <c r="M596" s="137" t="inlineStr">
        <is>
          <t>+</t>
        </is>
      </c>
      <c r="N596" s="137" t="inlineStr">
        <is>
          <t>+</t>
        </is>
      </c>
      <c r="O596" s="137" t="inlineStr">
        <is>
          <t>+</t>
        </is>
      </c>
      <c r="P596" s="137" t="inlineStr">
        <is>
          <t>+</t>
        </is>
      </c>
      <c r="Q596" s="137" t="inlineStr">
        <is>
          <t>+</t>
        </is>
      </c>
      <c r="R596" s="137" t="inlineStr">
        <is>
          <t>+</t>
        </is>
      </c>
      <c r="S596" s="137" t="inlineStr">
        <is>
          <t>+</t>
        </is>
      </c>
      <c r="T596" s="8" t="n"/>
      <c r="U596" s="8" t="n"/>
      <c r="V596" s="8" t="n"/>
      <c r="W596" s="8" t="n"/>
      <c r="X596" s="139" t="n"/>
      <c r="Y596" s="137" t="inlineStr">
        <is>
          <t>+</t>
        </is>
      </c>
    </row>
    <row r="597">
      <c r="A597" s="6" t="inlineStr">
        <is>
          <t>работник 574</t>
        </is>
      </c>
      <c r="B597" s="6" t="inlineStr">
        <is>
          <t>Оператор дизельных котлов</t>
        </is>
      </c>
      <c r="C597" s="6" t="inlineStr">
        <is>
          <t>ОБЩЕСТВО С ОГРАНИЧЕННОЙ ОТВЕТСТВЕННОСТЬЮ "АМУР ЗОЛОТО"</t>
        </is>
      </c>
      <c r="D597" s="7" t="inlineStr">
        <is>
          <t>2708001686</t>
        </is>
      </c>
      <c r="E597" s="6" t="inlineStr">
        <is>
          <t>ООО "Амур Золото"</t>
        </is>
      </c>
      <c r="F597" s="7" t="inlineStr">
        <is>
          <t>2708001686</t>
        </is>
      </c>
      <c r="G597" s="7" t="inlineStr">
        <is>
          <t>Успешно</t>
        </is>
      </c>
      <c r="H597" s="6" t="n"/>
      <c r="I597" s="6" t="n"/>
      <c r="J597" s="6" t="n"/>
      <c r="K597" s="7" t="n">
        <v>2</v>
      </c>
      <c r="L597" s="8" t="n"/>
      <c r="M597" s="137" t="inlineStr">
        <is>
          <t>+</t>
        </is>
      </c>
      <c r="N597" s="8" t="n"/>
      <c r="O597" s="8" t="n"/>
      <c r="P597" s="8" t="n"/>
      <c r="Q597" s="8" t="n"/>
      <c r="R597" s="8" t="n"/>
      <c r="S597" s="8" t="n"/>
      <c r="T597" s="8" t="n"/>
      <c r="U597" s="8" t="n"/>
      <c r="V597" s="8" t="n"/>
      <c r="W597" s="8" t="n"/>
      <c r="X597" s="139" t="n"/>
      <c r="Y597" s="137" t="inlineStr">
        <is>
          <t>+</t>
        </is>
      </c>
    </row>
    <row r="598">
      <c r="A598" s="6" t="inlineStr">
        <is>
          <t>работник 653</t>
        </is>
      </c>
      <c r="B598" s="6" t="inlineStr">
        <is>
          <t>Машинист погрузочно-доставочной машины (занятый на транспортировании горной массы в технологическом процессе) / Машинист подземных самоходных машин</t>
        </is>
      </c>
      <c r="C598" s="6" t="inlineStr">
        <is>
          <t>ОБЩЕСТВО С ОГРАНИЧЕННОЙ ОТВЕТСТВЕННОСТЬЮ "АМУР ЗОЛОТО"</t>
        </is>
      </c>
      <c r="D598" s="7" t="inlineStr">
        <is>
          <t>2708001686</t>
        </is>
      </c>
      <c r="E598" s="6" t="inlineStr">
        <is>
          <t>ООО "Амур Золото"</t>
        </is>
      </c>
      <c r="F598" s="7" t="inlineStr">
        <is>
          <t>2708001686</t>
        </is>
      </c>
      <c r="G598" s="7" t="inlineStr">
        <is>
          <t>Успешно</t>
        </is>
      </c>
      <c r="H598" s="6" t="n"/>
      <c r="I598" s="6" t="n"/>
      <c r="J598" s="6" t="inlineStr">
        <is>
          <t>Пользовательский интерфейс</t>
        </is>
      </c>
      <c r="K598" s="7" t="n">
        <v>5</v>
      </c>
      <c r="L598" s="8" t="n"/>
      <c r="M598" s="137" t="inlineStr">
        <is>
          <t>+</t>
        </is>
      </c>
      <c r="N598" s="8" t="n"/>
      <c r="O598" s="8" t="n"/>
      <c r="P598" s="8" t="n"/>
      <c r="Q598" s="8" t="n"/>
      <c r="R598" s="8" t="n"/>
      <c r="S598" s="8" t="n"/>
      <c r="T598" s="8" t="n"/>
      <c r="U598" s="8" t="n"/>
      <c r="V598" s="8" t="n"/>
      <c r="W598" s="8" t="n"/>
      <c r="X598" s="137" t="inlineStr">
        <is>
          <t>+</t>
        </is>
      </c>
      <c r="Y598" s="137" t="inlineStr">
        <is>
          <t>+</t>
        </is>
      </c>
    </row>
    <row r="599">
      <c r="A599" s="6" t="inlineStr">
        <is>
          <t>работник 647</t>
        </is>
      </c>
      <c r="B599" s="6" t="inlineStr">
        <is>
          <t>Подсобный рабочий</t>
        </is>
      </c>
      <c r="C599" s="6" t="inlineStr">
        <is>
          <t>ОБЩЕСТВО С ОГРАНИЧЕННОЙ ОТВЕТСТВЕННОСТЬЮ "АМУР ЗОЛОТО"</t>
        </is>
      </c>
      <c r="D599" s="7" t="inlineStr">
        <is>
          <t>2708001686</t>
        </is>
      </c>
      <c r="E599" s="6" t="inlineStr">
        <is>
          <t>ООО "Амур Золото"</t>
        </is>
      </c>
      <c r="F599" s="7" t="inlineStr">
        <is>
          <t>2708001686</t>
        </is>
      </c>
      <c r="G599" s="7" t="inlineStr">
        <is>
          <t>Успешно</t>
        </is>
      </c>
      <c r="H599" s="6" t="n"/>
      <c r="I599" s="6" t="n"/>
      <c r="J599" s="6" t="inlineStr">
        <is>
          <t>Пользовательский интерфейс</t>
        </is>
      </c>
      <c r="K599" s="7" t="n">
        <v>2</v>
      </c>
      <c r="L599" s="8" t="n"/>
      <c r="M599" s="137" t="inlineStr">
        <is>
          <t>+</t>
        </is>
      </c>
      <c r="N599" s="8" t="n"/>
      <c r="O599" s="8" t="n"/>
      <c r="P599" s="8" t="n"/>
      <c r="Q599" s="8" t="n"/>
      <c r="R599" s="8" t="n"/>
      <c r="S599" s="8" t="n"/>
      <c r="T599" s="8" t="n"/>
      <c r="U599" s="8" t="n"/>
      <c r="V599" s="8" t="n"/>
      <c r="W599" s="8" t="n"/>
      <c r="X599" s="139" t="n"/>
      <c r="Y599" s="137" t="inlineStr">
        <is>
          <t>+</t>
        </is>
      </c>
    </row>
    <row r="600">
      <c r="A600" s="6" t="inlineStr">
        <is>
          <t>работник 778</t>
        </is>
      </c>
      <c r="B600" s="6" t="inlineStr">
        <is>
          <t>Машинист самоходной буровой установки</t>
        </is>
      </c>
      <c r="C600" s="6" t="inlineStr">
        <is>
          <t>ОБЩЕСТВО С ОГРАНИЧЕННОЙ ОТВЕТСТВЕННОСТЬЮ "АМУР ЗОЛОТО"</t>
        </is>
      </c>
      <c r="D600" s="7" t="inlineStr">
        <is>
          <t>2708001686</t>
        </is>
      </c>
      <c r="E600" s="6" t="inlineStr">
        <is>
          <t>ООО "Амур Золото"</t>
        </is>
      </c>
      <c r="F600" s="7" t="inlineStr">
        <is>
          <t>2708001686</t>
        </is>
      </c>
      <c r="G600" s="7" t="inlineStr">
        <is>
          <t>Успешно</t>
        </is>
      </c>
      <c r="H600" s="6" t="n"/>
      <c r="I600" s="6" t="n"/>
      <c r="J600" s="6" t="inlineStr">
        <is>
          <t>Пользовательский интерфейс</t>
        </is>
      </c>
      <c r="K600" s="7" t="n">
        <v>2</v>
      </c>
      <c r="L600" s="8" t="n"/>
      <c r="M600" s="137" t="inlineStr">
        <is>
          <t>+</t>
        </is>
      </c>
      <c r="N600" s="8" t="n"/>
      <c r="O600" s="8" t="n"/>
      <c r="P600" s="8" t="n"/>
      <c r="Q600" s="8" t="n"/>
      <c r="R600" s="8" t="n"/>
      <c r="S600" s="8" t="n"/>
      <c r="T600" s="8" t="n"/>
      <c r="U600" s="8" t="n"/>
      <c r="V600" s="8" t="n"/>
      <c r="W600" s="8" t="n"/>
      <c r="X600" s="139" t="n"/>
      <c r="Y600" s="137" t="inlineStr">
        <is>
          <t>+</t>
        </is>
      </c>
    </row>
    <row r="601">
      <c r="A601" s="6" t="inlineStr">
        <is>
          <t>работник 99</t>
        </is>
      </c>
      <c r="B601" s="6" t="inlineStr">
        <is>
          <t>Кухонный рабочий</t>
        </is>
      </c>
      <c r="C601" s="6" t="inlineStr">
        <is>
          <t>ОБЩЕСТВО С ОГРАНИЧЕННОЙ ОТВЕТСТВЕННОСТЬЮ "АМУР ЗОЛОТО"</t>
        </is>
      </c>
      <c r="D601" s="7" t="inlineStr">
        <is>
          <t>2708001686</t>
        </is>
      </c>
      <c r="E601" s="6" t="inlineStr">
        <is>
          <t>ООО "Амур Золото"</t>
        </is>
      </c>
      <c r="F601" s="7" t="inlineStr">
        <is>
          <t>2708001686</t>
        </is>
      </c>
      <c r="G601" s="7" t="inlineStr">
        <is>
          <t>Успешно</t>
        </is>
      </c>
      <c r="H601" s="6" t="n"/>
      <c r="I601" s="6" t="n"/>
      <c r="J601" s="6" t="inlineStr">
        <is>
          <t>Пользовательский интерфейс</t>
        </is>
      </c>
      <c r="K601" s="7" t="n">
        <v>3</v>
      </c>
      <c r="L601" s="8" t="n"/>
      <c r="M601" s="137" t="inlineStr">
        <is>
          <t>+</t>
        </is>
      </c>
      <c r="N601" s="8" t="n"/>
      <c r="O601" s="8" t="n"/>
      <c r="P601" s="8" t="n"/>
      <c r="Q601" s="8" t="n"/>
      <c r="R601" s="8" t="n"/>
      <c r="S601" s="8" t="n"/>
      <c r="T601" s="8" t="n"/>
      <c r="U601" s="8" t="n"/>
      <c r="V601" s="8" t="n"/>
      <c r="W601" s="8" t="n"/>
      <c r="X601" s="137" t="inlineStr">
        <is>
          <t>+</t>
        </is>
      </c>
      <c r="Y601" s="138" t="inlineStr">
        <is>
          <t>+</t>
        </is>
      </c>
    </row>
    <row r="602">
      <c r="A602" s="6" t="inlineStr">
        <is>
          <t>работник 599</t>
        </is>
      </c>
      <c r="B602" s="6" t="inlineStr">
        <is>
          <t>Мастер горный</t>
        </is>
      </c>
      <c r="C602" s="6" t="inlineStr">
        <is>
          <t>ОБЩЕСТВО С ОГРАНИЧЕННОЙ ОТВЕТСТВЕННОСТЬЮ "АМУР ЗОЛОТО"</t>
        </is>
      </c>
      <c r="D602" s="7" t="inlineStr">
        <is>
          <t>2708001686</t>
        </is>
      </c>
      <c r="E602" s="6" t="inlineStr">
        <is>
          <t>ООО "Амур Золото"</t>
        </is>
      </c>
      <c r="F602" s="7" t="inlineStr">
        <is>
          <t>2708001686</t>
        </is>
      </c>
      <c r="G602" s="7" t="inlineStr">
        <is>
          <t>Успешно</t>
        </is>
      </c>
      <c r="H602" s="6" t="n"/>
      <c r="I602" s="6" t="n"/>
      <c r="J602" s="6" t="inlineStr">
        <is>
          <t>Пользовательский интерфейс</t>
        </is>
      </c>
      <c r="K602" s="7" t="n">
        <v>2</v>
      </c>
      <c r="L602" s="8" t="n"/>
      <c r="M602" s="137" t="inlineStr">
        <is>
          <t>+</t>
        </is>
      </c>
      <c r="N602" s="8" t="n"/>
      <c r="O602" s="8" t="n"/>
      <c r="P602" s="8" t="n"/>
      <c r="Q602" s="8" t="n"/>
      <c r="R602" s="8" t="n"/>
      <c r="S602" s="8" t="n"/>
      <c r="T602" s="8" t="n"/>
      <c r="U602" s="8" t="n"/>
      <c r="V602" s="8" t="n"/>
      <c r="W602" s="8" t="n"/>
      <c r="X602" s="139" t="n"/>
      <c r="Y602" s="137" t="inlineStr">
        <is>
          <t>+</t>
        </is>
      </c>
    </row>
    <row r="603">
      <c r="A603" s="6" t="inlineStr">
        <is>
          <t>работник 601</t>
        </is>
      </c>
      <c r="B603" s="6" t="inlineStr">
        <is>
          <t>Проходчик (с исполнением обязанностей взрывника)</t>
        </is>
      </c>
      <c r="C603" s="6" t="inlineStr">
        <is>
          <t>ОБЩЕСТВО С ОГРАНИЧЕННОЙ ОТВЕТСТВЕННОСТЬЮ "АМУР ЗОЛОТО"</t>
        </is>
      </c>
      <c r="D603" s="7" t="inlineStr">
        <is>
          <t>2708001686</t>
        </is>
      </c>
      <c r="E603" s="6" t="inlineStr">
        <is>
          <t>ООО "Амур Золото"</t>
        </is>
      </c>
      <c r="F603" s="7" t="inlineStr">
        <is>
          <t>2708001686</t>
        </is>
      </c>
      <c r="G603" s="7" t="inlineStr">
        <is>
          <t>Успешно</t>
        </is>
      </c>
      <c r="H603" s="6" t="n"/>
      <c r="I603" s="6" t="n"/>
      <c r="J603" s="6" t="inlineStr">
        <is>
          <t>Пользовательский интерфейс</t>
        </is>
      </c>
      <c r="K603" s="7" t="n">
        <v>2</v>
      </c>
      <c r="L603" s="8" t="n"/>
      <c r="M603" s="137" t="inlineStr">
        <is>
          <t>+</t>
        </is>
      </c>
      <c r="N603" s="8" t="n"/>
      <c r="O603" s="8" t="n"/>
      <c r="P603" s="8" t="n"/>
      <c r="Q603" s="8" t="n"/>
      <c r="R603" s="8" t="n"/>
      <c r="S603" s="8" t="n"/>
      <c r="T603" s="8" t="n"/>
      <c r="U603" s="8" t="n"/>
      <c r="V603" s="8" t="n"/>
      <c r="W603" s="8" t="n"/>
      <c r="X603" s="139" t="n"/>
      <c r="Y603" s="137" t="inlineStr">
        <is>
          <t>+</t>
        </is>
      </c>
    </row>
    <row r="604">
      <c r="A604" s="6" t="inlineStr">
        <is>
          <t>работник 469</t>
        </is>
      </c>
      <c r="B604" s="6" t="inlineStr">
        <is>
          <t>Слесарь-электрик по ремонту электрооборудования</t>
        </is>
      </c>
      <c r="C604" s="6" t="inlineStr">
        <is>
          <t>ОБЩЕСТВО С ОГРАНИЧЕННОЙ ОТВЕТСТВЕННОСТЬЮ "АМУР ЗОЛОТО"</t>
        </is>
      </c>
      <c r="D604" s="7" t="inlineStr">
        <is>
          <t>2708001686</t>
        </is>
      </c>
      <c r="E604" s="6" t="inlineStr">
        <is>
          <t>ООО "Амур Золото"</t>
        </is>
      </c>
      <c r="F604" s="7" t="inlineStr">
        <is>
          <t>2708001686</t>
        </is>
      </c>
      <c r="G604" s="7" t="inlineStr">
        <is>
          <t>Успешно</t>
        </is>
      </c>
      <c r="H604" s="6" t="n"/>
      <c r="I604" s="6" t="n"/>
      <c r="J604" s="6" t="inlineStr">
        <is>
          <t>Пользовательский интерфейс</t>
        </is>
      </c>
      <c r="K604" s="7" t="n">
        <v>2</v>
      </c>
      <c r="L604" s="8" t="n"/>
      <c r="M604" s="137" t="inlineStr">
        <is>
          <t>+</t>
        </is>
      </c>
      <c r="N604" s="8" t="n"/>
      <c r="O604" s="8" t="n"/>
      <c r="P604" s="8" t="n"/>
      <c r="Q604" s="8" t="n"/>
      <c r="R604" s="8" t="n"/>
      <c r="S604" s="8" t="n"/>
      <c r="T604" s="8" t="n"/>
      <c r="U604" s="8" t="n"/>
      <c r="V604" s="8" t="n"/>
      <c r="W604" s="8" t="n"/>
      <c r="X604" s="139" t="n"/>
      <c r="Y604" s="137" t="inlineStr">
        <is>
          <t>+</t>
        </is>
      </c>
    </row>
    <row r="605">
      <c r="A605" s="6" t="inlineStr">
        <is>
          <t>работник 638</t>
        </is>
      </c>
      <c r="B605" s="6" t="inlineStr">
        <is>
          <t>Грузчик</t>
        </is>
      </c>
      <c r="C605" s="6" t="inlineStr">
        <is>
          <t>ОБЩЕСТВО С ОГРАНИЧЕННОЙ ОТВЕТСТВЕННОСТЬЮ "АМУР ЗОЛОТО"</t>
        </is>
      </c>
      <c r="D605" s="7" t="inlineStr">
        <is>
          <t>2708001686</t>
        </is>
      </c>
      <c r="E605" s="6" t="inlineStr">
        <is>
          <t>ООО "Амур Золото"</t>
        </is>
      </c>
      <c r="F605" s="7" t="inlineStr">
        <is>
          <t>2708001686</t>
        </is>
      </c>
      <c r="G605" s="7" t="inlineStr">
        <is>
          <t>Успешно</t>
        </is>
      </c>
      <c r="H605" s="6" t="n"/>
      <c r="I605" s="6" t="n"/>
      <c r="J605" s="6" t="inlineStr">
        <is>
          <t>Пользовательский интерфейс</t>
        </is>
      </c>
      <c r="K605" s="7" t="n">
        <v>5</v>
      </c>
      <c r="L605" s="8" t="n"/>
      <c r="M605" s="137" t="inlineStr">
        <is>
          <t>+</t>
        </is>
      </c>
      <c r="N605" s="8" t="n"/>
      <c r="O605" s="8" t="n"/>
      <c r="P605" s="8" t="n"/>
      <c r="Q605" s="8" t="n"/>
      <c r="R605" s="8" t="n"/>
      <c r="S605" s="8" t="n"/>
      <c r="T605" s="8" t="n"/>
      <c r="U605" s="8" t="n"/>
      <c r="V605" s="8" t="n"/>
      <c r="W605" s="8" t="n"/>
      <c r="X605" s="137" t="inlineStr">
        <is>
          <t>+</t>
        </is>
      </c>
      <c r="Y605" s="137" t="inlineStr">
        <is>
          <t>+</t>
        </is>
      </c>
    </row>
    <row r="606">
      <c r="A606" s="6" t="inlineStr">
        <is>
          <t>работник 613</t>
        </is>
      </c>
      <c r="B606" s="6" t="inlineStr">
        <is>
          <t>Дробильщик</t>
        </is>
      </c>
      <c r="C606" s="6" t="inlineStr">
        <is>
          <t>ОБЩЕСТВО С ОГРАНИЧЕННОЙ ОТВЕТСТВЕННОСТЬЮ "АМУР ЗОЛОТО"</t>
        </is>
      </c>
      <c r="D606" s="7" t="inlineStr">
        <is>
          <t>2708001686</t>
        </is>
      </c>
      <c r="E606" s="6" t="inlineStr">
        <is>
          <t>ООО "Амур Золото"</t>
        </is>
      </c>
      <c r="F606" s="7" t="inlineStr">
        <is>
          <t>2708001686</t>
        </is>
      </c>
      <c r="G606" s="7" t="inlineStr">
        <is>
          <t>Успешно</t>
        </is>
      </c>
      <c r="H606" s="6" t="n"/>
      <c r="I606" s="6" t="n"/>
      <c r="J606" s="6" t="inlineStr">
        <is>
          <t>Пользовательский интерфейс</t>
        </is>
      </c>
      <c r="K606" s="7" t="n">
        <v>5</v>
      </c>
      <c r="L606" s="8" t="n"/>
      <c r="M606" s="137" t="inlineStr">
        <is>
          <t>+</t>
        </is>
      </c>
      <c r="N606" s="8" t="n"/>
      <c r="O606" s="8" t="n"/>
      <c r="P606" s="8" t="n"/>
      <c r="Q606" s="8" t="n"/>
      <c r="R606" s="8" t="n"/>
      <c r="S606" s="8" t="n"/>
      <c r="T606" s="8" t="n"/>
      <c r="U606" s="8" t="n"/>
      <c r="V606" s="8" t="n"/>
      <c r="W606" s="8" t="n"/>
      <c r="X606" s="137" t="inlineStr">
        <is>
          <t>+</t>
        </is>
      </c>
      <c r="Y606" s="137" t="inlineStr">
        <is>
          <t>+</t>
        </is>
      </c>
    </row>
    <row r="607">
      <c r="A607" s="6" t="inlineStr">
        <is>
          <t>работник 169</t>
        </is>
      </c>
      <c r="B607" s="6" t="inlineStr">
        <is>
          <t>Машинист подземно-доставочной машины / Машинист погрузочно-доставочной машины (занятый на транспортировании горной массы в технологическом процессе)</t>
        </is>
      </c>
      <c r="C607" s="6" t="inlineStr">
        <is>
          <t>ОБЩЕСТВО С ОГРАНИЧЕННОЙ ОТВЕТСТВЕННОСТЬЮ "АМУР ЗОЛОТО"</t>
        </is>
      </c>
      <c r="D607" s="7" t="inlineStr">
        <is>
          <t>2708001686</t>
        </is>
      </c>
      <c r="E607" s="6" t="inlineStr">
        <is>
          <t>ООО "Амур Золото"</t>
        </is>
      </c>
      <c r="F607" s="7" t="inlineStr">
        <is>
          <t>2708001686</t>
        </is>
      </c>
      <c r="G607" s="7" t="inlineStr">
        <is>
          <t>Успешно</t>
        </is>
      </c>
      <c r="H607" s="6" t="n"/>
      <c r="I607" s="6" t="n"/>
      <c r="J607" s="6" t="inlineStr">
        <is>
          <t>Пользовательский интерфейс</t>
        </is>
      </c>
      <c r="K607" s="7" t="n">
        <v>5</v>
      </c>
      <c r="L607" s="8" t="n"/>
      <c r="M607" s="137" t="inlineStr">
        <is>
          <t>+</t>
        </is>
      </c>
      <c r="N607" s="8" t="n"/>
      <c r="O607" s="8" t="n"/>
      <c r="P607" s="8" t="n"/>
      <c r="Q607" s="8" t="n"/>
      <c r="R607" s="8" t="n"/>
      <c r="S607" s="8" t="n"/>
      <c r="T607" s="8" t="n"/>
      <c r="U607" s="8" t="n"/>
      <c r="V607" s="8" t="n"/>
      <c r="W607" s="8" t="n"/>
      <c r="X607" s="137" t="inlineStr">
        <is>
          <t>+</t>
        </is>
      </c>
      <c r="Y607" s="137" t="inlineStr">
        <is>
          <t>+</t>
        </is>
      </c>
    </row>
    <row r="608">
      <c r="A608" s="6" t="inlineStr">
        <is>
          <t>работник 730</t>
        </is>
      </c>
      <c r="B608" s="6" t="inlineStr">
        <is>
          <t>Вальщик леса</t>
        </is>
      </c>
      <c r="C608" s="6" t="inlineStr">
        <is>
          <t>ОБЩЕСТВО С ОГРАНИЧЕННОЙ ОТВЕТСТВЕННОСТЬЮ "АМУР ЗОЛОТО"</t>
        </is>
      </c>
      <c r="D608" s="7" t="inlineStr">
        <is>
          <t>2708001686</t>
        </is>
      </c>
      <c r="E608" s="6" t="inlineStr">
        <is>
          <t>ООО "Амур Золото"</t>
        </is>
      </c>
      <c r="F608" s="7" t="inlineStr">
        <is>
          <t>2708001686</t>
        </is>
      </c>
      <c r="G608" s="7" t="inlineStr">
        <is>
          <t>Успешно</t>
        </is>
      </c>
      <c r="H608" s="6" t="n"/>
      <c r="I608" s="6" t="n"/>
      <c r="J608" s="6" t="inlineStr">
        <is>
          <t>Пользовательский интерфейс</t>
        </is>
      </c>
      <c r="K608" s="7" t="n">
        <v>2</v>
      </c>
      <c r="L608" s="8" t="n"/>
      <c r="M608" s="137" t="inlineStr">
        <is>
          <t>+</t>
        </is>
      </c>
      <c r="N608" s="8" t="n"/>
      <c r="O608" s="8" t="n"/>
      <c r="P608" s="8" t="n"/>
      <c r="Q608" s="8" t="n"/>
      <c r="R608" s="8" t="n"/>
      <c r="S608" s="8" t="n"/>
      <c r="T608" s="8" t="n"/>
      <c r="U608" s="8" t="n"/>
      <c r="V608" s="8" t="n"/>
      <c r="W608" s="8" t="n"/>
      <c r="X608" s="139" t="n"/>
      <c r="Y608" s="137" t="inlineStr">
        <is>
          <t>+</t>
        </is>
      </c>
    </row>
    <row r="609">
      <c r="A609" s="6" t="inlineStr">
        <is>
          <t>работник 475</t>
        </is>
      </c>
      <c r="B609" s="6" t="inlineStr">
        <is>
          <t>Контролер</t>
        </is>
      </c>
      <c r="C609" s="6" t="inlineStr">
        <is>
          <t>ОБЩЕСТВО С ОГРАНИЧЕННОЙ ОТВЕТСТВЕННОСТЬЮ "АМУР ЗОЛОТО"</t>
        </is>
      </c>
      <c r="D609" s="7" t="inlineStr">
        <is>
          <t>2708001686</t>
        </is>
      </c>
      <c r="E609" s="6" t="inlineStr">
        <is>
          <t>ООО "Амур Золото"</t>
        </is>
      </c>
      <c r="F609" s="7" t="inlineStr">
        <is>
          <t>2708001686</t>
        </is>
      </c>
      <c r="G609" s="7" t="inlineStr">
        <is>
          <t>Успешно</t>
        </is>
      </c>
      <c r="H609" s="6" t="n"/>
      <c r="I609" s="6" t="n"/>
      <c r="J609" s="6" t="inlineStr">
        <is>
          <t>Пользовательский интерфейс</t>
        </is>
      </c>
      <c r="K609" s="7" t="n">
        <v>2</v>
      </c>
      <c r="L609" s="8" t="n"/>
      <c r="M609" s="137" t="inlineStr">
        <is>
          <t>+</t>
        </is>
      </c>
      <c r="N609" s="8" t="n"/>
      <c r="O609" s="8" t="n"/>
      <c r="P609" s="8" t="n"/>
      <c r="Q609" s="8" t="n"/>
      <c r="R609" s="8" t="n"/>
      <c r="S609" s="8" t="n"/>
      <c r="T609" s="8" t="n"/>
      <c r="U609" s="8" t="n"/>
      <c r="V609" s="8" t="n"/>
      <c r="W609" s="8" t="n"/>
      <c r="X609" s="139" t="n"/>
      <c r="Y609" s="137" t="inlineStr">
        <is>
          <t>+</t>
        </is>
      </c>
    </row>
    <row r="610">
      <c r="A610" s="6" t="inlineStr">
        <is>
          <t>работник 744</t>
        </is>
      </c>
      <c r="B610" s="6" t="inlineStr">
        <is>
          <t>Механик</t>
        </is>
      </c>
      <c r="C610" s="6" t="inlineStr">
        <is>
          <t>ОБЩЕСТВО С ОГРАНИЧЕННОЙ ОТВЕТСТВЕННОСТЬЮ "АМУР ЗОЛОТО"</t>
        </is>
      </c>
      <c r="D610" s="7" t="inlineStr">
        <is>
          <t>2708001686</t>
        </is>
      </c>
      <c r="E610" s="6" t="inlineStr">
        <is>
          <t>ООО "Амур Золото"</t>
        </is>
      </c>
      <c r="F610" s="7" t="inlineStr">
        <is>
          <t>2708001686</t>
        </is>
      </c>
      <c r="G610" s="7" t="inlineStr">
        <is>
          <t>Успешно</t>
        </is>
      </c>
      <c r="H610" s="6" t="n"/>
      <c r="I610" s="6" t="n"/>
      <c r="J610" s="6" t="inlineStr">
        <is>
          <t>Пользовательский интерфейс</t>
        </is>
      </c>
      <c r="K610" s="7" t="n">
        <v>3</v>
      </c>
      <c r="L610" s="8" t="n"/>
      <c r="M610" s="137" t="inlineStr">
        <is>
          <t>+</t>
        </is>
      </c>
      <c r="N610" s="8" t="n"/>
      <c r="O610" s="137" t="inlineStr">
        <is>
          <t>+</t>
        </is>
      </c>
      <c r="P610" s="8" t="n"/>
      <c r="Q610" s="8" t="n"/>
      <c r="R610" s="8" t="n"/>
      <c r="S610" s="8" t="n"/>
      <c r="T610" s="8" t="n"/>
      <c r="U610" s="8" t="n"/>
      <c r="V610" s="8" t="n"/>
      <c r="W610" s="8" t="n"/>
      <c r="X610" s="8" t="n"/>
      <c r="Y610" s="137" t="inlineStr">
        <is>
          <t>+</t>
        </is>
      </c>
    </row>
    <row r="611">
      <c r="A611" s="6" t="inlineStr">
        <is>
          <t>работник 731</t>
        </is>
      </c>
      <c r="B611" s="6" t="inlineStr">
        <is>
          <t>Машинист бульдозера</t>
        </is>
      </c>
      <c r="C611" s="6" t="inlineStr">
        <is>
          <t>ОБЩЕСТВО С ОГРАНИЧЕННОЙ ОТВЕТСТВЕННОСТЬЮ "АМУР ЗОЛОТО"</t>
        </is>
      </c>
      <c r="D611" s="7" t="inlineStr">
        <is>
          <t>2708001686</t>
        </is>
      </c>
      <c r="E611" s="6" t="inlineStr">
        <is>
          <t>ООО "Амур Золото"</t>
        </is>
      </c>
      <c r="F611" s="7" t="inlineStr">
        <is>
          <t>2708001686</t>
        </is>
      </c>
      <c r="G611" s="7" t="inlineStr">
        <is>
          <t>Успешно</t>
        </is>
      </c>
      <c r="H611" s="6" t="n"/>
      <c r="I611" s="6" t="n"/>
      <c r="J611" s="6" t="inlineStr">
        <is>
          <t>Пользовательский интерфейс</t>
        </is>
      </c>
      <c r="K611" s="7" t="n">
        <v>2</v>
      </c>
      <c r="L611" s="8" t="n"/>
      <c r="M611" s="137" t="inlineStr">
        <is>
          <t>+</t>
        </is>
      </c>
      <c r="N611" s="8" t="n"/>
      <c r="O611" s="8" t="n"/>
      <c r="P611" s="8" t="n"/>
      <c r="Q611" s="8" t="n"/>
      <c r="R611" s="8" t="n"/>
      <c r="S611" s="8" t="n"/>
      <c r="T611" s="8" t="n"/>
      <c r="U611" s="8" t="n"/>
      <c r="V611" s="8" t="n"/>
      <c r="W611" s="8" t="n"/>
      <c r="X611" s="139" t="n"/>
      <c r="Y611" s="137" t="inlineStr">
        <is>
          <t>+</t>
        </is>
      </c>
    </row>
    <row r="612">
      <c r="A612" s="6" t="inlineStr">
        <is>
          <t>работник 82</t>
        </is>
      </c>
      <c r="B612" s="6" t="inlineStr">
        <is>
          <t>Электрогазосварщик (занятый на резке и ручной сварке) / Газоэлектросварщик</t>
        </is>
      </c>
      <c r="C612" s="6" t="inlineStr">
        <is>
          <t>ОБЩЕСТВО С ОГРАНИЧЕННОЙ ОТВЕТСТВЕННОСТЬЮ "АМУР ЗОЛОТО"</t>
        </is>
      </c>
      <c r="D612" s="7" t="inlineStr">
        <is>
          <t>2708001686</t>
        </is>
      </c>
      <c r="E612" s="6" t="inlineStr">
        <is>
          <t>ООО "Амур Золото"</t>
        </is>
      </c>
      <c r="F612" s="7" t="inlineStr">
        <is>
          <t>2708001686</t>
        </is>
      </c>
      <c r="G612" s="7" t="inlineStr">
        <is>
          <t>Успешно</t>
        </is>
      </c>
      <c r="H612" s="6" t="n"/>
      <c r="I612" s="6" t="n"/>
      <c r="J612" s="6" t="inlineStr">
        <is>
          <t>Пользовательский интерфейс</t>
        </is>
      </c>
      <c r="K612" s="7" t="n">
        <v>8</v>
      </c>
      <c r="L612" s="8" t="n"/>
      <c r="M612" s="137" t="inlineStr">
        <is>
          <t>+</t>
        </is>
      </c>
      <c r="N612" s="137" t="inlineStr">
        <is>
          <t>+</t>
        </is>
      </c>
      <c r="O612" s="8" t="n"/>
      <c r="P612" s="8" t="n"/>
      <c r="Q612" s="8" t="n"/>
      <c r="R612" s="8" t="n"/>
      <c r="S612" s="8" t="n"/>
      <c r="T612" s="8" t="n"/>
      <c r="U612" s="137" t="inlineStr">
        <is>
          <t>+</t>
        </is>
      </c>
      <c r="V612" s="137" t="inlineStr">
        <is>
          <t>+</t>
        </is>
      </c>
      <c r="W612" s="8" t="n"/>
      <c r="X612" s="137" t="inlineStr">
        <is>
          <t>+</t>
        </is>
      </c>
      <c r="Y612" s="137" t="inlineStr">
        <is>
          <t>+</t>
        </is>
      </c>
    </row>
    <row r="613">
      <c r="A613" s="6" t="inlineStr">
        <is>
          <t>работник 399</t>
        </is>
      </c>
      <c r="B613" s="6" t="inlineStr">
        <is>
          <t>Водитель автомобиля (занятый на транспортировании горной массы в технологическом процессе)</t>
        </is>
      </c>
      <c r="C613" s="6" t="inlineStr">
        <is>
          <t>ОБЩЕСТВО С ОГРАНИЧЕННОЙ ОТВЕТСТВЕННОСТЬЮ "АМУР ЗОЛОТО"</t>
        </is>
      </c>
      <c r="D613" s="7" t="inlineStr">
        <is>
          <t>2708001686</t>
        </is>
      </c>
      <c r="E613" s="6" t="inlineStr">
        <is>
          <t>ООО "Амур Золото"</t>
        </is>
      </c>
      <c r="F613" s="7" t="inlineStr">
        <is>
          <t>2708001686</t>
        </is>
      </c>
      <c r="G613" s="7" t="inlineStr">
        <is>
          <t>Успешно</t>
        </is>
      </c>
      <c r="H613" s="6" t="n"/>
      <c r="I613" s="6" t="n"/>
      <c r="J613" s="6" t="inlineStr">
        <is>
          <t>Пользовательский интерфейс</t>
        </is>
      </c>
      <c r="K613" s="7" t="n">
        <v>2</v>
      </c>
      <c r="L613" s="8" t="n"/>
      <c r="M613" s="137" t="inlineStr">
        <is>
          <t>+</t>
        </is>
      </c>
      <c r="N613" s="8" t="n"/>
      <c r="O613" s="8" t="n"/>
      <c r="P613" s="8" t="n"/>
      <c r="Q613" s="8" t="n"/>
      <c r="R613" s="8" t="n"/>
      <c r="S613" s="8" t="n"/>
      <c r="T613" s="8" t="n"/>
      <c r="U613" s="8" t="n"/>
      <c r="V613" s="8" t="n"/>
      <c r="W613" s="8" t="n"/>
      <c r="X613" s="139" t="n"/>
      <c r="Y613" s="137" t="inlineStr">
        <is>
          <t>+</t>
        </is>
      </c>
    </row>
    <row r="614">
      <c r="A614" s="6" t="inlineStr">
        <is>
          <t>работник 244</t>
        </is>
      </c>
      <c r="B614" s="6" t="inlineStr">
        <is>
          <t>Регулировщик хвостового хозяйства</t>
        </is>
      </c>
      <c r="C614" s="6" t="inlineStr">
        <is>
          <t>ОБЩЕСТВО С ОГРАНИЧЕННОЙ ОТВЕТСТВЕННОСТЬЮ "АМУР ЗОЛОТО"</t>
        </is>
      </c>
      <c r="D614" s="7" t="inlineStr">
        <is>
          <t>2708001686</t>
        </is>
      </c>
      <c r="E614" s="6" t="inlineStr">
        <is>
          <t>ООО "Амур Золото"</t>
        </is>
      </c>
      <c r="F614" s="7" t="inlineStr">
        <is>
          <t>2708001686</t>
        </is>
      </c>
      <c r="G614" s="7" t="inlineStr">
        <is>
          <t>Успешно</t>
        </is>
      </c>
      <c r="H614" s="6" t="n"/>
      <c r="I614" s="6" t="n"/>
      <c r="J614" s="6" t="inlineStr">
        <is>
          <t>Пользовательский интерфейс</t>
        </is>
      </c>
      <c r="K614" s="7" t="n">
        <v>3</v>
      </c>
      <c r="L614" s="8" t="n"/>
      <c r="M614" s="137" t="inlineStr">
        <is>
          <t>+</t>
        </is>
      </c>
      <c r="N614" s="8" t="n"/>
      <c r="O614" s="8" t="n"/>
      <c r="P614" s="8" t="n"/>
      <c r="Q614" s="8" t="n"/>
      <c r="R614" s="8" t="n"/>
      <c r="S614" s="8" t="n"/>
      <c r="T614" s="8" t="n"/>
      <c r="U614" s="8" t="n"/>
      <c r="V614" s="8" t="n"/>
      <c r="W614" s="8" t="n"/>
      <c r="X614" s="137" t="inlineStr">
        <is>
          <t>+</t>
        </is>
      </c>
      <c r="Y614" s="137" t="inlineStr">
        <is>
          <t>+</t>
        </is>
      </c>
    </row>
    <row r="615">
      <c r="A615" s="6" t="inlineStr">
        <is>
          <t>работник 170</t>
        </is>
      </c>
      <c r="B615" s="6" t="inlineStr">
        <is>
          <t>Горный диспетчер</t>
        </is>
      </c>
      <c r="C615" s="6" t="inlineStr">
        <is>
          <t>ОБЩЕСТВО С ОГРАНИЧЕННОЙ ОТВЕТСТВЕННОСТЬЮ "АМУР ЗОЛОТО"</t>
        </is>
      </c>
      <c r="D615" s="7" t="inlineStr">
        <is>
          <t>2708001686</t>
        </is>
      </c>
      <c r="E615" s="6" t="inlineStr">
        <is>
          <t>ООО "Амур Золото"</t>
        </is>
      </c>
      <c r="F615" s="7" t="inlineStr">
        <is>
          <t>2708001686</t>
        </is>
      </c>
      <c r="G615" s="7" t="inlineStr">
        <is>
          <t>Успешно</t>
        </is>
      </c>
      <c r="H615" s="6" t="n"/>
      <c r="I615" s="6" t="n"/>
      <c r="J615" s="6" t="inlineStr">
        <is>
          <t>Пользовательский интерфейс</t>
        </is>
      </c>
      <c r="K615" s="7" t="n">
        <v>8</v>
      </c>
      <c r="L615" s="8" t="n"/>
      <c r="M615" s="137" t="inlineStr">
        <is>
          <t>+</t>
        </is>
      </c>
      <c r="N615" s="8" t="n"/>
      <c r="O615" s="8" t="n"/>
      <c r="P615" s="8" t="n"/>
      <c r="Q615" s="8" t="n"/>
      <c r="R615" s="8" t="n"/>
      <c r="S615" s="8" t="n"/>
      <c r="T615" s="8" t="n"/>
      <c r="U615" s="8" t="n"/>
      <c r="V615" s="8" t="n"/>
      <c r="W615" s="8" t="n"/>
      <c r="X615" s="140" t="inlineStr">
        <is>
          <t>+</t>
        </is>
      </c>
      <c r="Y615" s="137" t="inlineStr">
        <is>
          <t>+</t>
        </is>
      </c>
    </row>
    <row r="616">
      <c r="A616" s="6" t="inlineStr">
        <is>
          <t>работник 327</t>
        </is>
      </c>
      <c r="B616" s="6" t="inlineStr">
        <is>
          <t>Крепильщик (пылевентиляционная служба)</t>
        </is>
      </c>
      <c r="C616" s="6" t="inlineStr">
        <is>
          <t>ОБЩЕСТВО С ОГРАНИЧЕННОЙ ОТВЕТСТВЕННОСТЬЮ "АМУР ЗОЛОТО"</t>
        </is>
      </c>
      <c r="D616" s="7" t="inlineStr">
        <is>
          <t>2708001686</t>
        </is>
      </c>
      <c r="E616" s="6" t="inlineStr">
        <is>
          <t>ООО "Амур Золото"</t>
        </is>
      </c>
      <c r="F616" s="7" t="inlineStr">
        <is>
          <t>2708001686</t>
        </is>
      </c>
      <c r="G616" s="7" t="inlineStr">
        <is>
          <t>Успешно</t>
        </is>
      </c>
      <c r="H616" s="6" t="n"/>
      <c r="I616" s="6" t="n"/>
      <c r="J616" s="6" t="inlineStr">
        <is>
          <t>Пользовательский интерфейс</t>
        </is>
      </c>
      <c r="K616" s="7" t="n">
        <v>3</v>
      </c>
      <c r="L616" s="8" t="n"/>
      <c r="M616" s="137" t="inlineStr">
        <is>
          <t>+</t>
        </is>
      </c>
      <c r="N616" s="8" t="n"/>
      <c r="O616" s="8" t="n"/>
      <c r="P616" s="8" t="n"/>
      <c r="Q616" s="8" t="n"/>
      <c r="R616" s="8" t="n"/>
      <c r="S616" s="8" t="n"/>
      <c r="T616" s="8" t="n"/>
      <c r="U616" s="8" t="n"/>
      <c r="V616" s="8" t="n"/>
      <c r="W616" s="8" t="n"/>
      <c r="X616" s="137" t="inlineStr">
        <is>
          <t>+</t>
        </is>
      </c>
      <c r="Y616" s="137" t="inlineStr">
        <is>
          <t>+</t>
        </is>
      </c>
    </row>
    <row r="617">
      <c r="A617" s="6" t="inlineStr">
        <is>
          <t>работник 124</t>
        </is>
      </c>
      <c r="B617" s="6" t="inlineStr">
        <is>
          <t>Дробильщик</t>
        </is>
      </c>
      <c r="C617" s="6" t="inlineStr">
        <is>
          <t>ОБЩЕСТВО С ОГРАНИЧЕННОЙ ОТВЕТСТВЕННОСТЬЮ "АМУР ЗОЛОТО"</t>
        </is>
      </c>
      <c r="D617" s="7" t="inlineStr">
        <is>
          <t>2708001686</t>
        </is>
      </c>
      <c r="E617" s="6" t="inlineStr">
        <is>
          <t>ООО "Амур Золото"</t>
        </is>
      </c>
      <c r="F617" s="7" t="inlineStr">
        <is>
          <t>2708001686</t>
        </is>
      </c>
      <c r="G617" s="7" t="inlineStr">
        <is>
          <t>Успешно</t>
        </is>
      </c>
      <c r="H617" s="6" t="n"/>
      <c r="I617" s="6" t="n"/>
      <c r="J617" s="6" t="inlineStr">
        <is>
          <t>Пользовательский интерфейс</t>
        </is>
      </c>
      <c r="K617" s="7" t="n">
        <v>3</v>
      </c>
      <c r="L617" s="8" t="n"/>
      <c r="M617" s="137" t="inlineStr">
        <is>
          <t>+</t>
        </is>
      </c>
      <c r="N617" s="8" t="n"/>
      <c r="O617" s="8" t="n"/>
      <c r="P617" s="8" t="n"/>
      <c r="Q617" s="8" t="n"/>
      <c r="R617" s="8" t="n"/>
      <c r="S617" s="8" t="n"/>
      <c r="T617" s="8" t="n"/>
      <c r="U617" s="8" t="n"/>
      <c r="V617" s="8" t="n"/>
      <c r="W617" s="8" t="n"/>
      <c r="X617" s="137" t="inlineStr">
        <is>
          <t>+</t>
        </is>
      </c>
      <c r="Y617" s="137" t="inlineStr">
        <is>
          <t>+</t>
        </is>
      </c>
    </row>
    <row r="618">
      <c r="A618" s="6" t="inlineStr">
        <is>
          <t>работник 878</t>
        </is>
      </c>
      <c r="B618" s="6" t="inlineStr">
        <is>
          <t>Аппаратчик-гидрометаллург</t>
        </is>
      </c>
      <c r="C618" s="6" t="inlineStr">
        <is>
          <t>ОБЩЕСТВО С ОГРАНИЧЕННОЙ ОТВЕТСТВЕННОСТЬЮ "АМУР ЗОЛОТО"</t>
        </is>
      </c>
      <c r="D618" s="7" t="inlineStr">
        <is>
          <t>2708001686</t>
        </is>
      </c>
      <c r="E618" s="6" t="inlineStr">
        <is>
          <t>ООО "Амур Золото"</t>
        </is>
      </c>
      <c r="F618" s="7" t="inlineStr">
        <is>
          <t>2708001686</t>
        </is>
      </c>
      <c r="G618" s="7" t="inlineStr">
        <is>
          <t>Успешно</t>
        </is>
      </c>
      <c r="H618" s="6" t="n"/>
      <c r="I618" s="6" t="n"/>
      <c r="J618" s="6" t="inlineStr">
        <is>
          <t>Пользовательский интерфейс</t>
        </is>
      </c>
      <c r="K618" s="7" t="n">
        <v>3</v>
      </c>
      <c r="L618" s="8" t="n"/>
      <c r="M618" s="137" t="inlineStr">
        <is>
          <t>+</t>
        </is>
      </c>
      <c r="N618" s="8" t="n"/>
      <c r="O618" s="8" t="n"/>
      <c r="P618" s="8" t="n"/>
      <c r="Q618" s="8" t="n"/>
      <c r="R618" s="8" t="n"/>
      <c r="S618" s="8" t="n"/>
      <c r="T618" s="8" t="n"/>
      <c r="U618" s="8" t="n"/>
      <c r="V618" s="8" t="n"/>
      <c r="W618" s="8" t="n"/>
      <c r="X618" s="137" t="inlineStr">
        <is>
          <t>+</t>
        </is>
      </c>
      <c r="Y618" s="137" t="inlineStr">
        <is>
          <t>+</t>
        </is>
      </c>
    </row>
    <row r="619">
      <c r="A619" s="6" t="inlineStr">
        <is>
          <t>работник 171</t>
        </is>
      </c>
      <c r="B619" s="6" t="inlineStr">
        <is>
          <t>Машинист подземно-доставочной машины</t>
        </is>
      </c>
      <c r="C619" s="6" t="inlineStr">
        <is>
          <t>ОБЩЕСТВО С ОГРАНИЧЕННОЙ ОТВЕТСТВЕННОСТЬЮ "АМУР ЗОЛОТО"</t>
        </is>
      </c>
      <c r="D619" s="7" t="inlineStr">
        <is>
          <t>2708001686</t>
        </is>
      </c>
      <c r="E619" s="6" t="inlineStr">
        <is>
          <t>ООО "Амур Золото"</t>
        </is>
      </c>
      <c r="F619" s="7" t="inlineStr">
        <is>
          <t>2708001686</t>
        </is>
      </c>
      <c r="G619" s="7" t="inlineStr">
        <is>
          <t>Успешно</t>
        </is>
      </c>
      <c r="H619" s="6" t="n"/>
      <c r="I619" s="6" t="n"/>
      <c r="J619" s="6" t="inlineStr">
        <is>
          <t>Пользовательский интерфейс</t>
        </is>
      </c>
      <c r="K619" s="7" t="n">
        <v>3</v>
      </c>
      <c r="L619" s="8" t="n"/>
      <c r="M619" s="137" t="inlineStr">
        <is>
          <t>+</t>
        </is>
      </c>
      <c r="N619" s="8" t="n"/>
      <c r="O619" s="8" t="n"/>
      <c r="P619" s="8" t="n"/>
      <c r="Q619" s="8" t="n"/>
      <c r="R619" s="8" t="n"/>
      <c r="S619" s="8" t="n"/>
      <c r="T619" s="8" t="n"/>
      <c r="U619" s="8" t="n"/>
      <c r="V619" s="8" t="n"/>
      <c r="W619" s="8" t="n"/>
      <c r="X619" s="137" t="inlineStr">
        <is>
          <t>+</t>
        </is>
      </c>
      <c r="Y619" s="137" t="inlineStr">
        <is>
          <t>+</t>
        </is>
      </c>
    </row>
    <row r="620">
      <c r="A620" s="6" t="inlineStr">
        <is>
          <t>работник 603</t>
        </is>
      </c>
      <c r="B620" s="6" t="inlineStr">
        <is>
          <t>Помощник машиниста самоходной буровой установки (с исполнением обязанностей пробоотборщика) / Машинист насосных установок</t>
        </is>
      </c>
      <c r="C620" s="6" t="inlineStr">
        <is>
          <t>ОБЩЕСТВО С ОГРАНИЧЕННОЙ ОТВЕТСТВЕННОСТЬЮ "АМУР ЗОЛОТО"</t>
        </is>
      </c>
      <c r="D620" s="7" t="inlineStr">
        <is>
          <t>2708001686</t>
        </is>
      </c>
      <c r="E620" s="6" t="inlineStr">
        <is>
          <t>ООО "Амур Золото"</t>
        </is>
      </c>
      <c r="F620" s="7" t="inlineStr">
        <is>
          <t>2708001686</t>
        </is>
      </c>
      <c r="G620" s="7" t="inlineStr">
        <is>
          <t>Успешно</t>
        </is>
      </c>
      <c r="H620" s="6" t="n"/>
      <c r="I620" s="6" t="n"/>
      <c r="J620" s="6" t="inlineStr">
        <is>
          <t>Пользовательский интерфейс</t>
        </is>
      </c>
      <c r="K620" s="7" t="n">
        <v>5</v>
      </c>
      <c r="L620" s="8" t="n"/>
      <c r="M620" s="137" t="inlineStr">
        <is>
          <t>+</t>
        </is>
      </c>
      <c r="N620" s="8" t="n"/>
      <c r="O620" s="8" t="n"/>
      <c r="P620" s="8" t="n"/>
      <c r="Q620" s="8" t="n"/>
      <c r="R620" s="8" t="n"/>
      <c r="S620" s="8" t="n"/>
      <c r="T620" s="8" t="n"/>
      <c r="U620" s="8" t="n"/>
      <c r="V620" s="8" t="n"/>
      <c r="W620" s="8" t="n"/>
      <c r="X620" s="137" t="inlineStr">
        <is>
          <t>+</t>
        </is>
      </c>
      <c r="Y620" s="137" t="inlineStr">
        <is>
          <t>+</t>
        </is>
      </c>
    </row>
    <row r="621">
      <c r="A621" s="6" t="inlineStr">
        <is>
          <t>работник 14</t>
        </is>
      </c>
      <c r="B621" s="6" t="inlineStr">
        <is>
          <t>Начальник автотранспортного цеха</t>
        </is>
      </c>
      <c r="C621" s="6" t="inlineStr">
        <is>
          <t>ООО "Амур золото". Подразделение: горно-обогатительный комплекс "Юбилейный"</t>
        </is>
      </c>
      <c r="D621" s="7" t="inlineStr">
        <is>
          <t>2708001686</t>
        </is>
      </c>
      <c r="E621" s="6" t="inlineStr">
        <is>
          <t>Автономная некоммерческая организация дополнительного профессионального образования и сертификации "Перспектива"</t>
        </is>
      </c>
      <c r="F621" s="7" t="inlineStr">
        <is>
          <t>2722126782</t>
        </is>
      </c>
      <c r="G621" s="7" t="inlineStr">
        <is>
          <t>Успешно</t>
        </is>
      </c>
      <c r="H621" s="6" t="n"/>
      <c r="I621" s="6" t="n"/>
      <c r="J621" s="6" t="inlineStr">
        <is>
          <t>Пользовательский интерфейс</t>
        </is>
      </c>
      <c r="K621" s="7" t="n">
        <v>4</v>
      </c>
      <c r="L621" s="137" t="inlineStr">
        <is>
          <t>+</t>
        </is>
      </c>
      <c r="M621" s="137" t="inlineStr">
        <is>
          <t>+</t>
        </is>
      </c>
      <c r="N621" s="8" t="n"/>
      <c r="O621" s="8" t="n"/>
      <c r="P621" s="8" t="n"/>
      <c r="Q621" s="8" t="n"/>
      <c r="R621" s="8" t="n"/>
      <c r="S621" s="8" t="n"/>
      <c r="T621" s="8" t="n"/>
      <c r="U621" s="8" t="n"/>
      <c r="V621" s="8" t="n"/>
      <c r="W621" s="8" t="n"/>
      <c r="X621" s="137" t="inlineStr">
        <is>
          <t>+</t>
        </is>
      </c>
      <c r="Y621" s="137" t="inlineStr">
        <is>
          <t>+</t>
        </is>
      </c>
    </row>
    <row r="622">
      <c r="A622" s="6" t="inlineStr">
        <is>
          <t>работник 112</t>
        </is>
      </c>
      <c r="B622" s="6" t="inlineStr">
        <is>
          <t>Весовщик</t>
        </is>
      </c>
      <c r="C622" s="6" t="inlineStr">
        <is>
          <t>ОБЩЕСТВО С ОГРАНИЧЕННОЙ ОТВЕТСТВЕННОСТЬЮ "АМУР ЗОЛОТО"</t>
        </is>
      </c>
      <c r="D622" s="7" t="inlineStr">
        <is>
          <t>2708001686</t>
        </is>
      </c>
      <c r="E622" s="6" t="inlineStr">
        <is>
          <t>ООО "Амур Золото"</t>
        </is>
      </c>
      <c r="F622" s="7" t="inlineStr">
        <is>
          <t>2708001686</t>
        </is>
      </c>
      <c r="G622" s="7" t="inlineStr">
        <is>
          <t>Успешно</t>
        </is>
      </c>
      <c r="H622" s="6" t="n"/>
      <c r="I622" s="6" t="n"/>
      <c r="J622" s="6" t="inlineStr">
        <is>
          <t>Пользовательский интерфейс</t>
        </is>
      </c>
      <c r="K622" s="7" t="n">
        <v>3</v>
      </c>
      <c r="L622" s="8" t="n"/>
      <c r="M622" s="137" t="inlineStr">
        <is>
          <t>+</t>
        </is>
      </c>
      <c r="N622" s="8" t="n"/>
      <c r="O622" s="8" t="n"/>
      <c r="P622" s="8" t="n"/>
      <c r="Q622" s="8" t="n"/>
      <c r="R622" s="8" t="n"/>
      <c r="S622" s="8" t="n"/>
      <c r="T622" s="8" t="n"/>
      <c r="U622" s="8" t="n"/>
      <c r="V622" s="8" t="n"/>
      <c r="W622" s="8" t="n"/>
      <c r="X622" s="137" t="inlineStr">
        <is>
          <t>+</t>
        </is>
      </c>
      <c r="Y622" s="137" t="inlineStr">
        <is>
          <t>+</t>
        </is>
      </c>
    </row>
    <row r="623">
      <c r="A623" s="6" t="inlineStr">
        <is>
          <t>работник 172</t>
        </is>
      </c>
      <c r="B623" s="6" t="inlineStr">
        <is>
          <t>Машинист погрузочно-доставочной машины (занятый на транспортировании горной массы в технологическом процессе) / Машинист подземно-доставочной машины</t>
        </is>
      </c>
      <c r="C623" s="6" t="inlineStr">
        <is>
          <t>ОБЩЕСТВО С ОГРАНИЧЕННОЙ ОТВЕТСТВЕННОСТЬЮ "АМУР ЗОЛОТО"</t>
        </is>
      </c>
      <c r="D623" s="7" t="inlineStr">
        <is>
          <t>2708001686</t>
        </is>
      </c>
      <c r="E623" s="6" t="inlineStr">
        <is>
          <t>ООО "Амур Золото"</t>
        </is>
      </c>
      <c r="F623" s="7" t="inlineStr">
        <is>
          <t>2708001686</t>
        </is>
      </c>
      <c r="G623" s="7" t="inlineStr">
        <is>
          <t>Успешно</t>
        </is>
      </c>
      <c r="H623" s="6" t="n"/>
      <c r="I623" s="6" t="n"/>
      <c r="J623" s="6" t="inlineStr">
        <is>
          <t>Пользовательский интерфейс</t>
        </is>
      </c>
      <c r="K623" s="7" t="n">
        <v>8</v>
      </c>
      <c r="L623" s="8" t="n"/>
      <c r="M623" s="137" t="inlineStr">
        <is>
          <t>+</t>
        </is>
      </c>
      <c r="N623" s="8" t="n"/>
      <c r="O623" s="8" t="n"/>
      <c r="P623" s="8" t="n"/>
      <c r="Q623" s="8" t="n"/>
      <c r="R623" s="8" t="n"/>
      <c r="S623" s="8" t="n"/>
      <c r="T623" s="8" t="n"/>
      <c r="U623" s="8" t="n"/>
      <c r="V623" s="8" t="n"/>
      <c r="W623" s="8" t="n"/>
      <c r="X623" s="137" t="inlineStr">
        <is>
          <t>+</t>
        </is>
      </c>
      <c r="Y623" s="137" t="inlineStr">
        <is>
          <t>+</t>
        </is>
      </c>
    </row>
    <row r="624">
      <c r="A624" s="6" t="inlineStr">
        <is>
          <t>работник 427</t>
        </is>
      </c>
      <c r="B624" s="6" t="inlineStr">
        <is>
          <t>Аппаратчик-гидрометаллург</t>
        </is>
      </c>
      <c r="C624" s="6" t="inlineStr">
        <is>
          <t>ОБЩЕСТВО С ОГРАНИЧЕННОЙ ОТВЕТСТВЕННОСТЬЮ "АМУР ЗОЛОТО"</t>
        </is>
      </c>
      <c r="D624" s="7" t="inlineStr">
        <is>
          <t>2708001686</t>
        </is>
      </c>
      <c r="E624" s="6" t="inlineStr">
        <is>
          <t>ООО "Амур Золото"</t>
        </is>
      </c>
      <c r="F624" s="7" t="inlineStr">
        <is>
          <t>2708001686</t>
        </is>
      </c>
      <c r="G624" s="7" t="inlineStr">
        <is>
          <t>Успешно</t>
        </is>
      </c>
      <c r="H624" s="6" t="n"/>
      <c r="I624" s="6" t="n"/>
      <c r="J624" s="6" t="inlineStr">
        <is>
          <t>Пользовательский интерфейс</t>
        </is>
      </c>
      <c r="K624" s="7" t="n">
        <v>5</v>
      </c>
      <c r="L624" s="8" t="n"/>
      <c r="M624" s="137" t="inlineStr">
        <is>
          <t>+</t>
        </is>
      </c>
      <c r="N624" s="8" t="n"/>
      <c r="O624" s="8" t="n"/>
      <c r="P624" s="8" t="n"/>
      <c r="Q624" s="8" t="n"/>
      <c r="R624" s="8" t="n"/>
      <c r="S624" s="8" t="n"/>
      <c r="T624" s="8" t="n"/>
      <c r="U624" s="8" t="n"/>
      <c r="V624" s="8" t="n"/>
      <c r="W624" s="8" t="n"/>
      <c r="X624" s="139" t="n"/>
      <c r="Y624" s="137" t="inlineStr">
        <is>
          <t>+</t>
        </is>
      </c>
    </row>
    <row r="625">
      <c r="A625" s="6" t="inlineStr">
        <is>
          <t>работник 52</t>
        </is>
      </c>
      <c r="B625" s="6" t="inlineStr">
        <is>
          <t>Машинист ДВС / Машинист двигателей внутреннего сгорания</t>
        </is>
      </c>
      <c r="C625" s="6" t="inlineStr">
        <is>
          <t>ОБЩЕСТВО С ОГРАНИЧЕННОЙ ОТВЕТСТВЕННОСТЬЮ "АМУР ЗОЛОТО"</t>
        </is>
      </c>
      <c r="D625" s="7" t="inlineStr">
        <is>
          <t>2708001686</t>
        </is>
      </c>
      <c r="E625" s="6" t="inlineStr">
        <is>
          <t>ООО "Амур Золото"</t>
        </is>
      </c>
      <c r="F625" s="7" t="inlineStr">
        <is>
          <t>2708001686</t>
        </is>
      </c>
      <c r="G625" s="7" t="inlineStr">
        <is>
          <t>Успешно</t>
        </is>
      </c>
      <c r="H625" s="6" t="n"/>
      <c r="I625" s="6" t="n"/>
      <c r="J625" s="6" t="inlineStr">
        <is>
          <t>Пользовательский интерфейс</t>
        </is>
      </c>
      <c r="K625" s="7" t="n">
        <v>6</v>
      </c>
      <c r="L625" s="8" t="n"/>
      <c r="M625" s="137" t="inlineStr">
        <is>
          <t>+</t>
        </is>
      </c>
      <c r="N625" s="8" t="n"/>
      <c r="O625" s="8" t="n"/>
      <c r="P625" s="8" t="n"/>
      <c r="Q625" s="8" t="n"/>
      <c r="R625" s="8" t="n"/>
      <c r="S625" s="8" t="n"/>
      <c r="T625" s="8" t="n"/>
      <c r="U625" s="8" t="n"/>
      <c r="V625" s="8" t="n"/>
      <c r="W625" s="8" t="n"/>
      <c r="X625" s="137" t="inlineStr">
        <is>
          <t>+</t>
        </is>
      </c>
      <c r="Y625" s="137" t="inlineStr">
        <is>
          <t>+</t>
        </is>
      </c>
    </row>
    <row r="626">
      <c r="A626" s="6" t="inlineStr">
        <is>
          <t>работник 91</t>
        </is>
      </c>
      <c r="B626" s="6" t="inlineStr">
        <is>
          <t>Машинист насосных установок / Стропальщик / Стропальщик (с исполнением обязанностей грузчика)</t>
        </is>
      </c>
      <c r="C626" s="6" t="inlineStr">
        <is>
          <t>ОБЩЕСТВО С ОГРАНИЧЕННОЙ ОТВЕТСТВЕННОСТЬЮ "АМУР ЗОЛОТО"</t>
        </is>
      </c>
      <c r="D626" s="7" t="inlineStr">
        <is>
          <t>2708001686</t>
        </is>
      </c>
      <c r="E626" s="6" t="inlineStr">
        <is>
          <t>ООО "Амур Золото"</t>
        </is>
      </c>
      <c r="F626" s="7" t="inlineStr">
        <is>
          <t>2708001686</t>
        </is>
      </c>
      <c r="G626" s="7" t="inlineStr">
        <is>
          <t>Успешно</t>
        </is>
      </c>
      <c r="H626" s="6" t="n"/>
      <c r="I626" s="6" t="n"/>
      <c r="J626" s="6" t="inlineStr">
        <is>
          <t>Пользовательский интерфейс</t>
        </is>
      </c>
      <c r="K626" s="7" t="n">
        <v>11</v>
      </c>
      <c r="L626" s="8" t="n"/>
      <c r="M626" s="137" t="inlineStr">
        <is>
          <t>+</t>
        </is>
      </c>
      <c r="N626" s="8" t="n"/>
      <c r="O626" s="8" t="n"/>
      <c r="P626" s="8" t="n"/>
      <c r="Q626" s="8" t="n"/>
      <c r="R626" s="8" t="n"/>
      <c r="S626" s="8" t="n"/>
      <c r="T626" s="8" t="n"/>
      <c r="U626" s="8" t="n"/>
      <c r="V626" s="8" t="n"/>
      <c r="W626" s="8" t="n"/>
      <c r="X626" s="137" t="inlineStr">
        <is>
          <t>+</t>
        </is>
      </c>
      <c r="Y626" s="137" t="inlineStr">
        <is>
          <t>+</t>
        </is>
      </c>
    </row>
    <row r="627">
      <c r="A627" s="6" t="inlineStr">
        <is>
          <t>работник 775</t>
        </is>
      </c>
      <c r="B627" s="6" t="inlineStr">
        <is>
          <t>Машинист самоходной буровой установки</t>
        </is>
      </c>
      <c r="C627" s="6" t="inlineStr">
        <is>
          <t>ОБЩЕСТВО С ОГРАНИЧЕННОЙ ОТВЕТСТВЕННОСТЬЮ "АМУР ЗОЛОТО"</t>
        </is>
      </c>
      <c r="D627" s="7" t="inlineStr">
        <is>
          <t>2708001686</t>
        </is>
      </c>
      <c r="E627" s="6" t="inlineStr">
        <is>
          <t>ООО "Амур Золото"</t>
        </is>
      </c>
      <c r="F627" s="7" t="inlineStr">
        <is>
          <t>2708001686</t>
        </is>
      </c>
      <c r="G627" s="7" t="inlineStr">
        <is>
          <t>Успешно</t>
        </is>
      </c>
      <c r="H627" s="6" t="n"/>
      <c r="I627" s="6" t="n"/>
      <c r="J627" s="6" t="inlineStr">
        <is>
          <t>Пользовательский интерфейс</t>
        </is>
      </c>
      <c r="K627" s="7" t="n">
        <v>2</v>
      </c>
      <c r="L627" s="8" t="n"/>
      <c r="M627" s="137" t="inlineStr">
        <is>
          <t>+</t>
        </is>
      </c>
      <c r="N627" s="8" t="n"/>
      <c r="O627" s="8" t="n"/>
      <c r="P627" s="8" t="n"/>
      <c r="Q627" s="8" t="n"/>
      <c r="R627" s="8" t="n"/>
      <c r="S627" s="8" t="n"/>
      <c r="T627" s="8" t="n"/>
      <c r="U627" s="8" t="n"/>
      <c r="V627" s="8" t="n"/>
      <c r="W627" s="8" t="n"/>
      <c r="X627" s="139" t="n"/>
      <c r="Y627" s="137" t="inlineStr">
        <is>
          <t>+</t>
        </is>
      </c>
    </row>
    <row r="628">
      <c r="A628" s="6" t="inlineStr">
        <is>
          <t>работник 131</t>
        </is>
      </c>
      <c r="B628" s="6" t="inlineStr">
        <is>
          <t>Электрогазосварщик / Электрогазосварщик (занятый на резке и ручной сварке) / Электрогазосварщик, занятый на резке и ручной сварке</t>
        </is>
      </c>
      <c r="C628" s="6" t="inlineStr">
        <is>
          <t>ОБЩЕСТВО С ОГРАНИЧЕННОЙ ОТВЕТСТВЕННОСТЬЮ "АМУР ЗОЛОТО"</t>
        </is>
      </c>
      <c r="D628" s="7" t="inlineStr">
        <is>
          <t>2708001686</t>
        </is>
      </c>
      <c r="E628" s="6" t="inlineStr">
        <is>
          <t>ООО "Амур Золото"</t>
        </is>
      </c>
      <c r="F628" s="7" t="inlineStr">
        <is>
          <t>2708001686</t>
        </is>
      </c>
      <c r="G628" s="7" t="inlineStr">
        <is>
          <t>Успешно</t>
        </is>
      </c>
      <c r="H628" s="6" t="n"/>
      <c r="I628" s="6" t="n"/>
      <c r="J628" s="6" t="inlineStr">
        <is>
          <t>Пользовательский интерфейс</t>
        </is>
      </c>
      <c r="K628" s="7" t="n">
        <v>18</v>
      </c>
      <c r="L628" s="8" t="n"/>
      <c r="M628" s="137" t="inlineStr">
        <is>
          <t>+</t>
        </is>
      </c>
      <c r="N628" s="137" t="inlineStr">
        <is>
          <t>+</t>
        </is>
      </c>
      <c r="O628" s="137" t="inlineStr">
        <is>
          <t>+</t>
        </is>
      </c>
      <c r="P628" s="137" t="inlineStr">
        <is>
          <t>+</t>
        </is>
      </c>
      <c r="Q628" s="137" t="inlineStr">
        <is>
          <t>+</t>
        </is>
      </c>
      <c r="R628" s="137" t="inlineStr">
        <is>
          <t>+</t>
        </is>
      </c>
      <c r="S628" s="137" t="inlineStr">
        <is>
          <t>+</t>
        </is>
      </c>
      <c r="T628" s="8" t="n"/>
      <c r="U628" s="8" t="n"/>
      <c r="V628" s="8" t="n"/>
      <c r="W628" s="8" t="n"/>
      <c r="X628" s="137" t="inlineStr">
        <is>
          <t>+</t>
        </is>
      </c>
      <c r="Y628" s="137" t="inlineStr">
        <is>
          <t>+</t>
        </is>
      </c>
    </row>
    <row r="629">
      <c r="A629" s="6" t="inlineStr">
        <is>
          <t>работник 113</t>
        </is>
      </c>
      <c r="B629" s="6" t="inlineStr">
        <is>
          <t>Весовщик</t>
        </is>
      </c>
      <c r="C629" s="6" t="inlineStr">
        <is>
          <t>ОБЩЕСТВО С ОГРАНИЧЕННОЙ ОТВЕТСТВЕННОСТЬЮ "АМУР ЗОЛОТО"</t>
        </is>
      </c>
      <c r="D629" s="7" t="inlineStr">
        <is>
          <t>2708001686</t>
        </is>
      </c>
      <c r="E629" s="6" t="inlineStr">
        <is>
          <t>ООО "Амур Золото"</t>
        </is>
      </c>
      <c r="F629" s="7" t="inlineStr">
        <is>
          <t>2708001686</t>
        </is>
      </c>
      <c r="G629" s="7" t="inlineStr">
        <is>
          <t>Успешно</t>
        </is>
      </c>
      <c r="H629" s="6" t="n"/>
      <c r="I629" s="6" t="n"/>
      <c r="J629" s="6" t="inlineStr">
        <is>
          <t>Пользовательский интерфейс</t>
        </is>
      </c>
      <c r="K629" s="7" t="n">
        <v>3</v>
      </c>
      <c r="L629" s="8" t="n"/>
      <c r="M629" s="137" t="inlineStr">
        <is>
          <t>+</t>
        </is>
      </c>
      <c r="N629" s="8" t="n"/>
      <c r="O629" s="8" t="n"/>
      <c r="P629" s="8" t="n"/>
      <c r="Q629" s="8" t="n"/>
      <c r="R629" s="8" t="n"/>
      <c r="S629" s="8" t="n"/>
      <c r="T629" s="8" t="n"/>
      <c r="U629" s="8" t="n"/>
      <c r="V629" s="8" t="n"/>
      <c r="W629" s="8" t="n"/>
      <c r="X629" s="137" t="inlineStr">
        <is>
          <t>+</t>
        </is>
      </c>
      <c r="Y629" s="137" t="inlineStr">
        <is>
          <t>+</t>
        </is>
      </c>
    </row>
    <row r="630">
      <c r="A630" s="6" t="inlineStr">
        <is>
          <t>работник 589</t>
        </is>
      </c>
      <c r="B630" s="6" t="inlineStr">
        <is>
          <t>Повар</t>
        </is>
      </c>
      <c r="C630" s="6" t="inlineStr">
        <is>
          <t>ОБЩЕСТВО С ОГРАНИЧЕННОЙ ОТВЕТСТВЕННОСТЬЮ "АМУР ЗОЛОТО"</t>
        </is>
      </c>
      <c r="D630" s="7" t="inlineStr">
        <is>
          <t>2708001686</t>
        </is>
      </c>
      <c r="E630" s="6" t="inlineStr">
        <is>
          <t>ООО "Амур Золото"</t>
        </is>
      </c>
      <c r="F630" s="7" t="inlineStr">
        <is>
          <t>2708001686</t>
        </is>
      </c>
      <c r="G630" s="7" t="inlineStr">
        <is>
          <t>Успешно</t>
        </is>
      </c>
      <c r="H630" s="6" t="n"/>
      <c r="I630" s="6" t="n"/>
      <c r="J630" s="6" t="inlineStr">
        <is>
          <t>Пользовательский интерфейс</t>
        </is>
      </c>
      <c r="K630" s="7" t="n">
        <v>2</v>
      </c>
      <c r="L630" s="8" t="n"/>
      <c r="M630" s="137" t="inlineStr">
        <is>
          <t>+</t>
        </is>
      </c>
      <c r="N630" s="8" t="n"/>
      <c r="O630" s="8" t="n"/>
      <c r="P630" s="8" t="n"/>
      <c r="Q630" s="8" t="n"/>
      <c r="R630" s="8" t="n"/>
      <c r="S630" s="8" t="n"/>
      <c r="T630" s="8" t="n"/>
      <c r="U630" s="8" t="n"/>
      <c r="V630" s="8" t="n"/>
      <c r="W630" s="8" t="n"/>
      <c r="X630" s="139" t="n"/>
      <c r="Y630" s="138" t="inlineStr">
        <is>
          <t>+</t>
        </is>
      </c>
    </row>
    <row r="631">
      <c r="A631" s="6" t="inlineStr">
        <is>
          <t>работник 501</t>
        </is>
      </c>
      <c r="B631" s="6" t="inlineStr">
        <is>
          <t>Повар</t>
        </is>
      </c>
      <c r="C631" s="6" t="inlineStr">
        <is>
          <t>ОБЩЕСТВО С ОГРАНИЧЕННОЙ ОТВЕТСТВЕННОСТЬЮ "АМУР ЗОЛОТО"</t>
        </is>
      </c>
      <c r="D631" s="7" t="inlineStr">
        <is>
          <t>2708001686</t>
        </is>
      </c>
      <c r="E631" s="6" t="inlineStr">
        <is>
          <t>ООО "Амур Золото"</t>
        </is>
      </c>
      <c r="F631" s="7" t="inlineStr">
        <is>
          <t>2708001686</t>
        </is>
      </c>
      <c r="G631" s="7" t="inlineStr">
        <is>
          <t>Успешно</t>
        </is>
      </c>
      <c r="H631" s="6" t="n"/>
      <c r="I631" s="6" t="n"/>
      <c r="J631" s="6" t="inlineStr">
        <is>
          <t>Пользовательский интерфейс</t>
        </is>
      </c>
      <c r="K631" s="7" t="n">
        <v>2</v>
      </c>
      <c r="L631" s="8" t="n"/>
      <c r="M631" s="137" t="inlineStr">
        <is>
          <t>+</t>
        </is>
      </c>
      <c r="N631" s="8" t="n"/>
      <c r="O631" s="8" t="n"/>
      <c r="P631" s="8" t="n"/>
      <c r="Q631" s="8" t="n"/>
      <c r="R631" s="8" t="n"/>
      <c r="S631" s="8" t="n"/>
      <c r="T631" s="8" t="n"/>
      <c r="U631" s="8" t="n"/>
      <c r="V631" s="8" t="n"/>
      <c r="W631" s="8" t="n"/>
      <c r="X631" s="139" t="n"/>
      <c r="Y631" s="138" t="inlineStr">
        <is>
          <t>+</t>
        </is>
      </c>
    </row>
    <row r="632">
      <c r="A632" s="6" t="inlineStr">
        <is>
          <t>работник 804</t>
        </is>
      </c>
      <c r="B632" s="6" t="inlineStr">
        <is>
          <t>Слесарь по ремонту автомобилей и тяжелой техники</t>
        </is>
      </c>
      <c r="C632" s="6" t="inlineStr">
        <is>
          <t>ОБЩЕСТВО С ОГРАНИЧЕННОЙ ОТВЕТСТВЕННОСТЬЮ "АМУР ЗОЛОТО"</t>
        </is>
      </c>
      <c r="D632" s="7" t="inlineStr">
        <is>
          <t>2708001686</t>
        </is>
      </c>
      <c r="E632" s="6" t="inlineStr">
        <is>
          <t>ООО "Амур Золото"</t>
        </is>
      </c>
      <c r="F632" s="7" t="inlineStr">
        <is>
          <t>2708001686</t>
        </is>
      </c>
      <c r="G632" s="7" t="inlineStr">
        <is>
          <t>Успешно</t>
        </is>
      </c>
      <c r="H632" s="6" t="n"/>
      <c r="I632" s="6" t="n"/>
      <c r="J632" s="6" t="inlineStr">
        <is>
          <t>Пользовательский интерфейс</t>
        </is>
      </c>
      <c r="K632" s="7" t="n">
        <v>4</v>
      </c>
      <c r="L632" s="8" t="n"/>
      <c r="M632" s="137" t="inlineStr">
        <is>
          <t>+</t>
        </is>
      </c>
      <c r="N632" s="8" t="n"/>
      <c r="O632" s="137" t="inlineStr">
        <is>
          <t>+</t>
        </is>
      </c>
      <c r="P632" s="8" t="n"/>
      <c r="Q632" s="8" t="n"/>
      <c r="R632" s="8" t="n"/>
      <c r="S632" s="8" t="n"/>
      <c r="T632" s="8" t="n"/>
      <c r="U632" s="8" t="n"/>
      <c r="V632" s="8" t="n"/>
      <c r="W632" s="8" t="n"/>
      <c r="X632" s="137" t="inlineStr">
        <is>
          <t>+</t>
        </is>
      </c>
      <c r="Y632" s="137" t="inlineStr">
        <is>
          <t>+</t>
        </is>
      </c>
    </row>
    <row r="633">
      <c r="A633" s="6" t="inlineStr">
        <is>
          <t>работник 443</t>
        </is>
      </c>
      <c r="B633" s="6" t="inlineStr">
        <is>
          <t>Аппаратчик-гидрометаллург</t>
        </is>
      </c>
      <c r="C633" s="6" t="inlineStr">
        <is>
          <t>ОБЩЕСТВО С ОГРАНИЧЕННОЙ ОТВЕТСТВЕННОСТЬЮ "АМУР ЗОЛОТО"</t>
        </is>
      </c>
      <c r="D633" s="7" t="inlineStr">
        <is>
          <t>2708001686</t>
        </is>
      </c>
      <c r="E633" s="6" t="inlineStr">
        <is>
          <t>ООО "Амур Золото"</t>
        </is>
      </c>
      <c r="F633" s="7" t="inlineStr">
        <is>
          <t>2708001686</t>
        </is>
      </c>
      <c r="G633" s="7" t="inlineStr">
        <is>
          <t>Успешно</t>
        </is>
      </c>
      <c r="H633" s="6" t="n"/>
      <c r="I633" s="6" t="n"/>
      <c r="J633" s="6" t="inlineStr">
        <is>
          <t>Пользовательский интерфейс</t>
        </is>
      </c>
      <c r="K633" s="7" t="n">
        <v>2</v>
      </c>
      <c r="L633" s="8" t="n"/>
      <c r="M633" s="137" t="inlineStr">
        <is>
          <t>+</t>
        </is>
      </c>
      <c r="N633" s="8" t="n"/>
      <c r="O633" s="8" t="n"/>
      <c r="P633" s="8" t="n"/>
      <c r="Q633" s="8" t="n"/>
      <c r="R633" s="8" t="n"/>
      <c r="S633" s="8" t="n"/>
      <c r="T633" s="8" t="n"/>
      <c r="U633" s="8" t="n"/>
      <c r="V633" s="8" t="n"/>
      <c r="W633" s="8" t="n"/>
      <c r="X633" s="139" t="n"/>
      <c r="Y633" s="137" t="inlineStr">
        <is>
          <t>+</t>
        </is>
      </c>
    </row>
    <row r="634">
      <c r="A634" s="6" t="inlineStr">
        <is>
          <t>работник 502</t>
        </is>
      </c>
      <c r="B634" s="6" t="inlineStr">
        <is>
          <t>Контролер продукции обогащения / Контролёр продукции обогащения / Кухонный рабочий / Подсобный рабочий</t>
        </is>
      </c>
      <c r="C634" s="6" t="inlineStr">
        <is>
          <t>ОБЩЕСТВО С ОГРАНИЧЕННОЙ ОТВЕТСТВЕННОСТЬЮ "АМУР ЗОЛОТО"</t>
        </is>
      </c>
      <c r="D634" s="7" t="inlineStr">
        <is>
          <t>2708001686</t>
        </is>
      </c>
      <c r="E634" s="6" t="inlineStr">
        <is>
          <t>ООО "Амур Золото"</t>
        </is>
      </c>
      <c r="F634" s="7" t="inlineStr">
        <is>
          <t>2708001686</t>
        </is>
      </c>
      <c r="G634" s="7" t="inlineStr">
        <is>
          <t>Успешно</t>
        </is>
      </c>
      <c r="H634" s="6" t="n"/>
      <c r="I634" s="6" t="n"/>
      <c r="J634" s="6" t="inlineStr">
        <is>
          <t>Пользовательский интерфейс</t>
        </is>
      </c>
      <c r="K634" s="7" t="n">
        <v>9</v>
      </c>
      <c r="L634" s="8" t="n"/>
      <c r="M634" s="137" t="inlineStr">
        <is>
          <t>+</t>
        </is>
      </c>
      <c r="N634" s="8" t="n"/>
      <c r="O634" s="8" t="n"/>
      <c r="P634" s="8" t="n"/>
      <c r="Q634" s="8" t="n"/>
      <c r="R634" s="8" t="n"/>
      <c r="S634" s="8" t="n"/>
      <c r="T634" s="8" t="n"/>
      <c r="U634" s="8" t="n"/>
      <c r="V634" s="8" t="n"/>
      <c r="W634" s="8" t="n"/>
      <c r="X634" s="137" t="inlineStr">
        <is>
          <t>+</t>
        </is>
      </c>
      <c r="Y634" s="137" t="inlineStr">
        <is>
          <t>+</t>
        </is>
      </c>
    </row>
    <row r="635">
      <c r="A635" s="6" t="inlineStr">
        <is>
          <t>работник 189</t>
        </is>
      </c>
      <c r="B635" s="6" t="inlineStr">
        <is>
          <t>Водитель погрузчика</t>
        </is>
      </c>
      <c r="C635" s="6" t="inlineStr">
        <is>
          <t>ОБЩЕСТВО С ОГРАНИЧЕННОЙ ОТВЕТСТВЕННОСТЬЮ "АМУР ЗОЛОТО"</t>
        </is>
      </c>
      <c r="D635" s="7" t="inlineStr">
        <is>
          <t>2708001686</t>
        </is>
      </c>
      <c r="E635" s="6" t="inlineStr">
        <is>
          <t>ООО "Амур Золото"</t>
        </is>
      </c>
      <c r="F635" s="7" t="inlineStr">
        <is>
          <t>2708001686</t>
        </is>
      </c>
      <c r="G635" s="7" t="inlineStr">
        <is>
          <t>Успешно</t>
        </is>
      </c>
      <c r="H635" s="6" t="n"/>
      <c r="I635" s="6" t="n"/>
      <c r="J635" s="6" t="inlineStr">
        <is>
          <t>Пользовательский интерфейс</t>
        </is>
      </c>
      <c r="K635" s="7" t="n">
        <v>6</v>
      </c>
      <c r="L635" s="8" t="n"/>
      <c r="M635" s="137" t="inlineStr">
        <is>
          <t>+</t>
        </is>
      </c>
      <c r="N635" s="8" t="n"/>
      <c r="O635" s="8" t="n"/>
      <c r="P635" s="8" t="n"/>
      <c r="Q635" s="8" t="n"/>
      <c r="R635" s="8" t="n"/>
      <c r="S635" s="8" t="n"/>
      <c r="T635" s="8" t="n"/>
      <c r="U635" s="8" t="n"/>
      <c r="V635" s="8" t="n"/>
      <c r="W635" s="8" t="n"/>
      <c r="X635" s="137" t="inlineStr">
        <is>
          <t>+</t>
        </is>
      </c>
      <c r="Y635" s="137" t="inlineStr">
        <is>
          <t>+</t>
        </is>
      </c>
    </row>
    <row r="636">
      <c r="A636" s="6" t="inlineStr">
        <is>
          <t>работник 129</t>
        </is>
      </c>
      <c r="B636" s="6" t="inlineStr">
        <is>
          <t>Слесарь-ремонтник</t>
        </is>
      </c>
      <c r="C636" s="6" t="inlineStr">
        <is>
          <t>ОБЩЕСТВО С ОГРАНИЧЕННОЙ ОТВЕТСТВЕННОСТЬЮ "АМУР ЗОЛОТО"</t>
        </is>
      </c>
      <c r="D636" s="7" t="inlineStr">
        <is>
          <t>2708001686</t>
        </is>
      </c>
      <c r="E636" s="6" t="inlineStr">
        <is>
          <t>ООО "Амур Золото"</t>
        </is>
      </c>
      <c r="F636" s="7" t="inlineStr">
        <is>
          <t>2708001686</t>
        </is>
      </c>
      <c r="G636" s="7" t="inlineStr">
        <is>
          <t>Успешно</t>
        </is>
      </c>
      <c r="H636" s="6" t="n"/>
      <c r="I636" s="6" t="n"/>
      <c r="J636" s="6" t="inlineStr">
        <is>
          <t>Пользовательский интерфейс</t>
        </is>
      </c>
      <c r="K636" s="7" t="n">
        <v>8</v>
      </c>
      <c r="L636" s="8" t="n"/>
      <c r="M636" s="137" t="inlineStr">
        <is>
          <t>+</t>
        </is>
      </c>
      <c r="N636" s="137" t="inlineStr">
        <is>
          <t>+</t>
        </is>
      </c>
      <c r="O636" s="137" t="inlineStr">
        <is>
          <t>+</t>
        </is>
      </c>
      <c r="P636" s="137" t="inlineStr">
        <is>
          <t>+</t>
        </is>
      </c>
      <c r="Q636" s="137" t="inlineStr">
        <is>
          <t>+</t>
        </is>
      </c>
      <c r="R636" s="137" t="inlineStr">
        <is>
          <t>+</t>
        </is>
      </c>
      <c r="S636" s="137" t="inlineStr">
        <is>
          <t>+</t>
        </is>
      </c>
      <c r="T636" s="8" t="n"/>
      <c r="U636" s="8" t="n"/>
      <c r="V636" s="8" t="n"/>
      <c r="W636" s="8" t="n"/>
      <c r="X636" s="139" t="n"/>
      <c r="Y636" s="137" t="inlineStr">
        <is>
          <t>+</t>
        </is>
      </c>
    </row>
    <row r="637">
      <c r="A637" s="6" t="inlineStr">
        <is>
          <t>работник 492</t>
        </is>
      </c>
      <c r="B637" s="6" t="inlineStr">
        <is>
          <t>Горный диспетчер</t>
        </is>
      </c>
      <c r="C637" s="6" t="inlineStr">
        <is>
          <t>ОБЩЕСТВО С ОГРАНИЧЕННОЙ ОТВЕТСТВЕННОСТЬЮ "АМУР ЗОЛОТО"</t>
        </is>
      </c>
      <c r="D637" s="7" t="inlineStr">
        <is>
          <t>2708001686</t>
        </is>
      </c>
      <c r="E637" s="6" t="inlineStr">
        <is>
          <t>ООО "Амур Золото"</t>
        </is>
      </c>
      <c r="F637" s="7" t="inlineStr">
        <is>
          <t>2708001686</t>
        </is>
      </c>
      <c r="G637" s="7" t="inlineStr">
        <is>
          <t>Успешно</t>
        </is>
      </c>
      <c r="H637" s="6" t="n"/>
      <c r="I637" s="6" t="n"/>
      <c r="J637" s="6" t="inlineStr">
        <is>
          <t>Пользовательский интерфейс</t>
        </is>
      </c>
      <c r="K637" s="7" t="n">
        <v>2</v>
      </c>
      <c r="L637" s="8" t="n"/>
      <c r="M637" s="137" t="inlineStr">
        <is>
          <t>+</t>
        </is>
      </c>
      <c r="N637" s="8" t="n"/>
      <c r="O637" s="8" t="n"/>
      <c r="P637" s="8" t="n"/>
      <c r="Q637" s="8" t="n"/>
      <c r="R637" s="8" t="n"/>
      <c r="S637" s="8" t="n"/>
      <c r="T637" s="8" t="n"/>
      <c r="U637" s="8" t="n"/>
      <c r="V637" s="8" t="n"/>
      <c r="W637" s="8" t="n"/>
      <c r="X637" s="8" t="n"/>
      <c r="Y637" s="137" t="inlineStr">
        <is>
          <t>+</t>
        </is>
      </c>
    </row>
    <row r="638">
      <c r="A638" s="6" t="inlineStr">
        <is>
          <t>работник 615</t>
        </is>
      </c>
      <c r="B638" s="6" t="inlineStr">
        <is>
          <t>Бункеровщик</t>
        </is>
      </c>
      <c r="C638" s="6" t="inlineStr">
        <is>
          <t>ОБЩЕСТВО С ОГРАНИЧЕННОЙ ОТВЕТСТВЕННОСТЬЮ "АМУР ЗОЛОТО"</t>
        </is>
      </c>
      <c r="D638" s="7" t="inlineStr">
        <is>
          <t>2708001686</t>
        </is>
      </c>
      <c r="E638" s="6" t="inlineStr">
        <is>
          <t>ООО "Амур Золото"</t>
        </is>
      </c>
      <c r="F638" s="7" t="inlineStr">
        <is>
          <t>2708001686</t>
        </is>
      </c>
      <c r="G638" s="7" t="inlineStr">
        <is>
          <t>Успешно</t>
        </is>
      </c>
      <c r="H638" s="6" t="n"/>
      <c r="I638" s="6" t="n"/>
      <c r="J638" s="6" t="n"/>
      <c r="K638" s="7" t="n">
        <v>2</v>
      </c>
      <c r="L638" s="8" t="n"/>
      <c r="M638" s="137" t="inlineStr">
        <is>
          <t>+</t>
        </is>
      </c>
      <c r="N638" s="8" t="n"/>
      <c r="O638" s="8" t="n"/>
      <c r="P638" s="8" t="n"/>
      <c r="Q638" s="8" t="n"/>
      <c r="R638" s="8" t="n"/>
      <c r="S638" s="8" t="n"/>
      <c r="T638" s="8" t="n"/>
      <c r="U638" s="8" t="n"/>
      <c r="V638" s="8" t="n"/>
      <c r="W638" s="8" t="n"/>
      <c r="X638" s="139" t="n"/>
      <c r="Y638" s="137" t="inlineStr">
        <is>
          <t>+</t>
        </is>
      </c>
    </row>
    <row r="639">
      <c r="A639" s="6" t="inlineStr">
        <is>
          <t>работник 226</t>
        </is>
      </c>
      <c r="B639" s="6" t="inlineStr">
        <is>
          <t>Кладовщик / Пробоотборщик</t>
        </is>
      </c>
      <c r="C639" s="6" t="inlineStr">
        <is>
          <t>ОБЩЕСТВО С ОГРАНИЧЕННОЙ ОТВЕТСТВЕННОСТЬЮ "АМУР ЗОЛОТО"</t>
        </is>
      </c>
      <c r="D639" s="7" t="inlineStr">
        <is>
          <t>2708001686</t>
        </is>
      </c>
      <c r="E639" s="6" t="inlineStr">
        <is>
          <t>ООО "Амур Золото"</t>
        </is>
      </c>
      <c r="F639" s="7" t="inlineStr">
        <is>
          <t>2708001686</t>
        </is>
      </c>
      <c r="G639" s="7" t="inlineStr">
        <is>
          <t>Успешно</t>
        </is>
      </c>
      <c r="H639" s="6" t="n"/>
      <c r="I639" s="6" t="n"/>
      <c r="J639" s="6" t="inlineStr">
        <is>
          <t>Пользовательский интерфейс</t>
        </is>
      </c>
      <c r="K639" s="7" t="n">
        <v>8</v>
      </c>
      <c r="L639" s="8" t="n"/>
      <c r="M639" s="137" t="inlineStr">
        <is>
          <t>+</t>
        </is>
      </c>
      <c r="N639" s="8" t="n"/>
      <c r="O639" s="8" t="n"/>
      <c r="P639" s="8" t="n"/>
      <c r="Q639" s="8" t="n"/>
      <c r="R639" s="8" t="n"/>
      <c r="S639" s="8" t="n"/>
      <c r="T639" s="8" t="n"/>
      <c r="U639" s="8" t="n"/>
      <c r="V639" s="8" t="n"/>
      <c r="W639" s="8" t="n"/>
      <c r="X639" s="137" t="inlineStr">
        <is>
          <t>+</t>
        </is>
      </c>
      <c r="Y639" s="137" t="inlineStr">
        <is>
          <t>+</t>
        </is>
      </c>
    </row>
    <row r="640">
      <c r="A640" s="6" t="inlineStr">
        <is>
          <t>работник 526</t>
        </is>
      </c>
      <c r="B640" s="6" t="inlineStr">
        <is>
          <t>Фильтровальщик</t>
        </is>
      </c>
      <c r="C640" s="6" t="inlineStr">
        <is>
          <t>ОБЩЕСТВО С ОГРАНИЧЕННОЙ ОТВЕТСТВЕННОСТЬЮ "АМУР ЗОЛОТО"</t>
        </is>
      </c>
      <c r="D640" s="7" t="inlineStr">
        <is>
          <t>2708001686</t>
        </is>
      </c>
      <c r="E640" s="6" t="inlineStr">
        <is>
          <t>ООО "Амур Золото"</t>
        </is>
      </c>
      <c r="F640" s="7" t="inlineStr">
        <is>
          <t>2708001686</t>
        </is>
      </c>
      <c r="G640" s="7" t="inlineStr">
        <is>
          <t>Успешно</t>
        </is>
      </c>
      <c r="H640" s="6" t="n"/>
      <c r="I640" s="6" t="n"/>
      <c r="J640" s="6" t="inlineStr">
        <is>
          <t>Пользовательский интерфейс</t>
        </is>
      </c>
      <c r="K640" s="7" t="n">
        <v>2</v>
      </c>
      <c r="L640" s="8" t="n"/>
      <c r="M640" s="137" t="inlineStr">
        <is>
          <t>+</t>
        </is>
      </c>
      <c r="N640" s="8" t="n"/>
      <c r="O640" s="8" t="n"/>
      <c r="P640" s="8" t="n"/>
      <c r="Q640" s="8" t="n"/>
      <c r="R640" s="8" t="n"/>
      <c r="S640" s="8" t="n"/>
      <c r="T640" s="8" t="n"/>
      <c r="U640" s="8" t="n"/>
      <c r="V640" s="8" t="n"/>
      <c r="W640" s="8" t="n"/>
      <c r="X640" s="139" t="n"/>
      <c r="Y640" s="137" t="inlineStr">
        <is>
          <t>+</t>
        </is>
      </c>
    </row>
    <row r="641">
      <c r="A641" s="6" t="inlineStr">
        <is>
          <t>работник 286</t>
        </is>
      </c>
      <c r="B641" s="6" t="inlineStr">
        <is>
          <t>Водитель автомобиля (занятый на транспортировании горной массы в технологическом процессе)</t>
        </is>
      </c>
      <c r="C641" s="6" t="inlineStr">
        <is>
          <t>ОБЩЕСТВО С ОГРАНИЧЕННОЙ ОТВЕТСТВЕННОСТЬЮ "АМУР ЗОЛОТО"</t>
        </is>
      </c>
      <c r="D641" s="7" t="inlineStr">
        <is>
          <t>2708001686</t>
        </is>
      </c>
      <c r="E641" s="6" t="inlineStr">
        <is>
          <t>ООО "Амур Золото"</t>
        </is>
      </c>
      <c r="F641" s="7" t="inlineStr">
        <is>
          <t>2708001686</t>
        </is>
      </c>
      <c r="G641" s="7" t="inlineStr">
        <is>
          <t>Успешно</t>
        </is>
      </c>
      <c r="H641" s="6" t="n"/>
      <c r="I641" s="6" t="n"/>
      <c r="J641" s="6" t="inlineStr">
        <is>
          <t>Пользовательский интерфейс</t>
        </is>
      </c>
      <c r="K641" s="7" t="n">
        <v>3</v>
      </c>
      <c r="L641" s="8" t="n"/>
      <c r="M641" s="137" t="inlineStr">
        <is>
          <t>+</t>
        </is>
      </c>
      <c r="N641" s="8" t="n"/>
      <c r="O641" s="8" t="n"/>
      <c r="P641" s="8" t="n"/>
      <c r="Q641" s="8" t="n"/>
      <c r="R641" s="8" t="n"/>
      <c r="S641" s="8" t="n"/>
      <c r="T641" s="8" t="n"/>
      <c r="U641" s="8" t="n"/>
      <c r="V641" s="8" t="n"/>
      <c r="W641" s="8" t="n"/>
      <c r="X641" s="137" t="inlineStr">
        <is>
          <t>+</t>
        </is>
      </c>
      <c r="Y641" s="137" t="inlineStr">
        <is>
          <t>+</t>
        </is>
      </c>
    </row>
    <row r="642">
      <c r="A642" s="6" t="inlineStr">
        <is>
          <t>работник 36</t>
        </is>
      </c>
      <c r="B642" s="6" t="inlineStr">
        <is>
          <t>Дробильщик</t>
        </is>
      </c>
      <c r="C642" s="6" t="inlineStr">
        <is>
          <t>ОБЩЕСТВО С ОГРАНИЧЕННОЙ ОТВЕТСТВЕННОСТЬЮ "АМУР ЗОЛОТО"</t>
        </is>
      </c>
      <c r="D642" s="7" t="inlineStr">
        <is>
          <t>2708001686</t>
        </is>
      </c>
      <c r="E642" s="6" t="inlineStr">
        <is>
          <t>ООО "Амур Золото"</t>
        </is>
      </c>
      <c r="F642" s="7" t="inlineStr">
        <is>
          <t>2708001686</t>
        </is>
      </c>
      <c r="G642" s="7" t="inlineStr">
        <is>
          <t>Успешно</t>
        </is>
      </c>
      <c r="H642" s="6" t="n"/>
      <c r="I642" s="6" t="n"/>
      <c r="J642" s="6" t="inlineStr">
        <is>
          <t>Пользовательский интерфейс</t>
        </is>
      </c>
      <c r="K642" s="7" t="n">
        <v>3</v>
      </c>
      <c r="L642" s="8" t="n"/>
      <c r="M642" s="137" t="inlineStr">
        <is>
          <t>+</t>
        </is>
      </c>
      <c r="N642" s="8" t="n"/>
      <c r="O642" s="8" t="n"/>
      <c r="P642" s="8" t="n"/>
      <c r="Q642" s="8" t="n"/>
      <c r="R642" s="8" t="n"/>
      <c r="S642" s="8" t="n"/>
      <c r="T642" s="8" t="n"/>
      <c r="U642" s="8" t="n"/>
      <c r="V642" s="8" t="n"/>
      <c r="W642" s="8" t="n"/>
      <c r="X642" s="137" t="inlineStr">
        <is>
          <t>+</t>
        </is>
      </c>
      <c r="Y642" s="137" t="inlineStr">
        <is>
          <t>+</t>
        </is>
      </c>
    </row>
    <row r="643">
      <c r="A643" s="6" t="inlineStr">
        <is>
          <t>работник 907</t>
        </is>
      </c>
      <c r="B643" s="6" t="inlineStr">
        <is>
          <t>Слесарь по ремонту автомобилей (ДВС)</t>
        </is>
      </c>
      <c r="C643" s="6" t="inlineStr">
        <is>
          <t>ОБЩЕСТВО С ОГРАНИЧЕННОЙ ОТВЕТСТВЕННОСТЬЮ "АМУР ЗОЛОТО"</t>
        </is>
      </c>
      <c r="D643" s="7" t="inlineStr">
        <is>
          <t>2708001686</t>
        </is>
      </c>
      <c r="E643" s="6" t="inlineStr">
        <is>
          <t>ООО "Амур Золото"</t>
        </is>
      </c>
      <c r="F643" s="7" t="inlineStr">
        <is>
          <t>2708001686</t>
        </is>
      </c>
      <c r="G643" s="7" t="inlineStr">
        <is>
          <t>Успешно</t>
        </is>
      </c>
      <c r="H643" s="6" t="n"/>
      <c r="I643" s="6" t="n"/>
      <c r="J643" s="6" t="inlineStr">
        <is>
          <t>Пользовательский интерфейс</t>
        </is>
      </c>
      <c r="K643" s="7" t="n">
        <v>3</v>
      </c>
      <c r="L643" s="8" t="n"/>
      <c r="M643" s="137" t="inlineStr">
        <is>
          <t>+</t>
        </is>
      </c>
      <c r="N643" s="8" t="n"/>
      <c r="O643" s="8" t="n"/>
      <c r="P643" s="8" t="n"/>
      <c r="Q643" s="8" t="n"/>
      <c r="R643" s="8" t="n"/>
      <c r="S643" s="8" t="n"/>
      <c r="T643" s="8" t="n"/>
      <c r="U643" s="8" t="n"/>
      <c r="V643" s="8" t="n"/>
      <c r="W643" s="8" t="n"/>
      <c r="X643" s="137" t="inlineStr">
        <is>
          <t>+</t>
        </is>
      </c>
      <c r="Y643" s="137" t="inlineStr">
        <is>
          <t>+</t>
        </is>
      </c>
    </row>
    <row r="644">
      <c r="A644" s="6" t="inlineStr">
        <is>
          <t>работник 732</t>
        </is>
      </c>
      <c r="B644" s="6" t="inlineStr">
        <is>
          <t>Машинист бульдозера</t>
        </is>
      </c>
      <c r="C644" s="6" t="inlineStr">
        <is>
          <t>ОБЩЕСТВО С ОГРАНИЧЕННОЙ ОТВЕТСТВЕННОСТЬЮ "АМУР ЗОЛОТО"</t>
        </is>
      </c>
      <c r="D644" s="7" t="inlineStr">
        <is>
          <t>2708001686</t>
        </is>
      </c>
      <c r="E644" s="6" t="inlineStr">
        <is>
          <t>ООО "Амур Золото"</t>
        </is>
      </c>
      <c r="F644" s="7" t="inlineStr">
        <is>
          <t>2708001686</t>
        </is>
      </c>
      <c r="G644" s="7" t="inlineStr">
        <is>
          <t>Успешно</t>
        </is>
      </c>
      <c r="H644" s="6" t="n"/>
      <c r="I644" s="6" t="n"/>
      <c r="J644" s="6" t="inlineStr">
        <is>
          <t>Пользовательский интерфейс</t>
        </is>
      </c>
      <c r="K644" s="7" t="n">
        <v>2</v>
      </c>
      <c r="L644" s="8" t="n"/>
      <c r="M644" s="137" t="inlineStr">
        <is>
          <t>+</t>
        </is>
      </c>
      <c r="N644" s="8" t="n"/>
      <c r="O644" s="8" t="n"/>
      <c r="P644" s="8" t="n"/>
      <c r="Q644" s="8" t="n"/>
      <c r="R644" s="8" t="n"/>
      <c r="S644" s="8" t="n"/>
      <c r="T644" s="8" t="n"/>
      <c r="U644" s="8" t="n"/>
      <c r="V644" s="8" t="n"/>
      <c r="W644" s="8" t="n"/>
      <c r="X644" s="139" t="n"/>
      <c r="Y644" s="137" t="inlineStr">
        <is>
          <t>+</t>
        </is>
      </c>
    </row>
    <row r="645">
      <c r="A645" s="6" t="inlineStr">
        <is>
          <t>работник 442</t>
        </is>
      </c>
      <c r="B645" s="6" t="inlineStr">
        <is>
          <t>Аппаратчик-гидрометаллург</t>
        </is>
      </c>
      <c r="C645" s="6" t="inlineStr">
        <is>
          <t>ОБЩЕСТВО С ОГРАНИЧЕННОЙ ОТВЕТСТВЕННОСТЬЮ "АМУР ЗОЛОТО"</t>
        </is>
      </c>
      <c r="D645" s="7" t="inlineStr">
        <is>
          <t>2708001686</t>
        </is>
      </c>
      <c r="E645" s="6" t="inlineStr">
        <is>
          <t>ООО "Амур Золото"</t>
        </is>
      </c>
      <c r="F645" s="7" t="inlineStr">
        <is>
          <t>2708001686</t>
        </is>
      </c>
      <c r="G645" s="7" t="inlineStr">
        <is>
          <t>Успешно</t>
        </is>
      </c>
      <c r="H645" s="6" t="n"/>
      <c r="I645" s="6" t="n"/>
      <c r="J645" s="6" t="inlineStr">
        <is>
          <t>Пользовательский интерфейс</t>
        </is>
      </c>
      <c r="K645" s="7" t="n">
        <v>2</v>
      </c>
      <c r="L645" s="8" t="n"/>
      <c r="M645" s="137" t="inlineStr">
        <is>
          <t>+</t>
        </is>
      </c>
      <c r="N645" s="8" t="n"/>
      <c r="O645" s="8" t="n"/>
      <c r="P645" s="8" t="n"/>
      <c r="Q645" s="8" t="n"/>
      <c r="R645" s="8" t="n"/>
      <c r="S645" s="8" t="n"/>
      <c r="T645" s="8" t="n"/>
      <c r="U645" s="8" t="n"/>
      <c r="V645" s="8" t="n"/>
      <c r="W645" s="8" t="n"/>
      <c r="X645" s="139" t="n"/>
      <c r="Y645" s="137" t="inlineStr">
        <is>
          <t>+</t>
        </is>
      </c>
    </row>
    <row r="646">
      <c r="A646" s="6" t="inlineStr">
        <is>
          <t>работник 588</t>
        </is>
      </c>
      <c r="B646" s="6" t="inlineStr">
        <is>
          <t>Горничная</t>
        </is>
      </c>
      <c r="C646" s="6" t="inlineStr">
        <is>
          <t>ОБЩЕСТВО С ОГРАНИЧЕННОЙ ОТВЕТСТВЕННОСТЬЮ "АМУР ЗОЛОТО"</t>
        </is>
      </c>
      <c r="D646" s="7" t="inlineStr">
        <is>
          <t>2708001686</t>
        </is>
      </c>
      <c r="E646" s="6" t="inlineStr">
        <is>
          <t>ООО "Амур Золото"</t>
        </is>
      </c>
      <c r="F646" s="7" t="inlineStr">
        <is>
          <t>2708001686</t>
        </is>
      </c>
      <c r="G646" s="7" t="inlineStr">
        <is>
          <t>Успешно</t>
        </is>
      </c>
      <c r="H646" s="6" t="n"/>
      <c r="I646" s="6" t="n"/>
      <c r="J646" s="6" t="inlineStr">
        <is>
          <t>Пользовательский интерфейс</t>
        </is>
      </c>
      <c r="K646" s="7" t="n">
        <v>2</v>
      </c>
      <c r="L646" s="8" t="n"/>
      <c r="M646" s="137" t="inlineStr">
        <is>
          <t>+</t>
        </is>
      </c>
      <c r="N646" s="8" t="n"/>
      <c r="O646" s="8" t="n"/>
      <c r="P646" s="8" t="n"/>
      <c r="Q646" s="8" t="n"/>
      <c r="R646" s="8" t="n"/>
      <c r="S646" s="8" t="n"/>
      <c r="T646" s="8" t="n"/>
      <c r="U646" s="8" t="n"/>
      <c r="V646" s="8" t="n"/>
      <c r="W646" s="8" t="n"/>
      <c r="X646" s="139" t="n"/>
      <c r="Y646" s="138" t="inlineStr">
        <is>
          <t>+</t>
        </is>
      </c>
    </row>
    <row r="647">
      <c r="A647" s="6" t="inlineStr">
        <is>
          <t>работник 848</t>
        </is>
      </c>
      <c r="B647" s="6" t="inlineStr">
        <is>
          <t>Проходчик (с исполнением обязанностей взрывника)</t>
        </is>
      </c>
      <c r="C647" s="6" t="inlineStr">
        <is>
          <t>ОБЩЕСТВО С ОГРАНИЧЕННОЙ ОТВЕТСТВЕННОСТЬЮ "АМУР ЗОЛОТО"</t>
        </is>
      </c>
      <c r="D647" s="7" t="inlineStr">
        <is>
          <t>2708001686</t>
        </is>
      </c>
      <c r="E647" s="6" t="inlineStr">
        <is>
          <t>ООО "Амур Золото"</t>
        </is>
      </c>
      <c r="F647" s="7" t="inlineStr">
        <is>
          <t>2708001686</t>
        </is>
      </c>
      <c r="G647" s="7" t="inlineStr">
        <is>
          <t>Успешно</t>
        </is>
      </c>
      <c r="H647" s="6" t="n"/>
      <c r="I647" s="6" t="n"/>
      <c r="J647" s="6" t="inlineStr">
        <is>
          <t>Пользовательский интерфейс</t>
        </is>
      </c>
      <c r="K647" s="7" t="n">
        <v>3</v>
      </c>
      <c r="L647" s="8" t="n"/>
      <c r="M647" s="137" t="inlineStr">
        <is>
          <t>+</t>
        </is>
      </c>
      <c r="N647" s="8" t="n"/>
      <c r="O647" s="8" t="n"/>
      <c r="P647" s="8" t="n"/>
      <c r="Q647" s="8" t="n"/>
      <c r="R647" s="8" t="n"/>
      <c r="S647" s="8" t="n"/>
      <c r="T647" s="8" t="n"/>
      <c r="U647" s="8" t="n"/>
      <c r="V647" s="8" t="n"/>
      <c r="W647" s="8" t="n"/>
      <c r="X647" s="137" t="inlineStr">
        <is>
          <t>+</t>
        </is>
      </c>
      <c r="Y647" s="137" t="inlineStr">
        <is>
          <t>+</t>
        </is>
      </c>
    </row>
    <row r="648">
      <c r="A648" s="6" t="inlineStr">
        <is>
          <t>работник 669</t>
        </is>
      </c>
      <c r="B648" s="6" t="inlineStr">
        <is>
          <t>Участковый маркшейдер</t>
        </is>
      </c>
      <c r="C648" s="6" t="inlineStr">
        <is>
          <t>ОБЩЕСТВО С ОГРАНИЧЕННОЙ ОТВЕТСТВЕННОСТЬЮ "АМУР ЗОЛОТО"</t>
        </is>
      </c>
      <c r="D648" s="7" t="inlineStr">
        <is>
          <t>2708001686</t>
        </is>
      </c>
      <c r="E648" s="6" t="inlineStr">
        <is>
          <t>ООО "Амур Золото"</t>
        </is>
      </c>
      <c r="F648" s="7" t="inlineStr">
        <is>
          <t>2708001686</t>
        </is>
      </c>
      <c r="G648" s="7" t="inlineStr">
        <is>
          <t>Успешно</t>
        </is>
      </c>
      <c r="H648" s="6" t="n"/>
      <c r="I648" s="6" t="n"/>
      <c r="J648" s="6" t="inlineStr">
        <is>
          <t>Пользовательский интерфейс</t>
        </is>
      </c>
      <c r="K648" s="7" t="n">
        <v>2</v>
      </c>
      <c r="L648" s="8" t="n"/>
      <c r="M648" s="137" t="inlineStr">
        <is>
          <t>+</t>
        </is>
      </c>
      <c r="N648" s="8" t="n"/>
      <c r="O648" s="8" t="n"/>
      <c r="P648" s="8" t="n"/>
      <c r="Q648" s="8" t="n"/>
      <c r="R648" s="8" t="n"/>
      <c r="S648" s="8" t="n"/>
      <c r="T648" s="8" t="n"/>
      <c r="U648" s="8" t="n"/>
      <c r="V648" s="8" t="n"/>
      <c r="W648" s="8" t="n"/>
      <c r="X648" s="8" t="n"/>
      <c r="Y648" s="137" t="inlineStr">
        <is>
          <t>+</t>
        </is>
      </c>
    </row>
    <row r="649">
      <c r="A649" s="6" t="inlineStr">
        <is>
          <t>работник 138</t>
        </is>
      </c>
      <c r="B649" s="6" t="inlineStr">
        <is>
          <t>Пробоотборщик</t>
        </is>
      </c>
      <c r="C649" s="6" t="inlineStr">
        <is>
          <t>ОБЩЕСТВО С ОГРАНИЧЕННОЙ ОТВЕТСТВЕННОСТЬЮ "АМУР ЗОЛОТО"</t>
        </is>
      </c>
      <c r="D649" s="7" t="inlineStr">
        <is>
          <t>2708001686</t>
        </is>
      </c>
      <c r="E649" s="6" t="inlineStr">
        <is>
          <t>ООО "Амур Золото"</t>
        </is>
      </c>
      <c r="F649" s="7" t="inlineStr">
        <is>
          <t>2708001686</t>
        </is>
      </c>
      <c r="G649" s="7" t="inlineStr">
        <is>
          <t>Успешно</t>
        </is>
      </c>
      <c r="H649" s="6" t="n"/>
      <c r="I649" s="6" t="n"/>
      <c r="J649" s="6" t="inlineStr">
        <is>
          <t>Пользовательский интерфейс</t>
        </is>
      </c>
      <c r="K649" s="7" t="n">
        <v>3</v>
      </c>
      <c r="L649" s="8" t="n"/>
      <c r="M649" s="137" t="inlineStr">
        <is>
          <t>+</t>
        </is>
      </c>
      <c r="N649" s="8" t="n"/>
      <c r="O649" s="8" t="n"/>
      <c r="P649" s="8" t="n"/>
      <c r="Q649" s="8" t="n"/>
      <c r="R649" s="8" t="n"/>
      <c r="S649" s="8" t="n"/>
      <c r="T649" s="8" t="n"/>
      <c r="U649" s="8" t="n"/>
      <c r="V649" s="8" t="n"/>
      <c r="W649" s="8" t="n"/>
      <c r="X649" s="137" t="inlineStr">
        <is>
          <t>+</t>
        </is>
      </c>
      <c r="Y649" s="137" t="inlineStr">
        <is>
          <t>+</t>
        </is>
      </c>
    </row>
    <row r="650">
      <c r="A650" s="6" t="inlineStr">
        <is>
          <t>работник 329</t>
        </is>
      </c>
      <c r="B650" s="6" t="inlineStr">
        <is>
          <t>Машинист мельниц</t>
        </is>
      </c>
      <c r="C650" s="6" t="inlineStr">
        <is>
          <t>ОБЩЕСТВО С ОГРАНИЧЕННОЙ ОТВЕТСТВЕННОСТЬЮ "АМУР ЗОЛОТО"</t>
        </is>
      </c>
      <c r="D650" s="7" t="inlineStr">
        <is>
          <t>2708001686</t>
        </is>
      </c>
      <c r="E650" s="6" t="inlineStr">
        <is>
          <t>ООО "Амур Золото"</t>
        </is>
      </c>
      <c r="F650" s="7" t="inlineStr">
        <is>
          <t>2708001686</t>
        </is>
      </c>
      <c r="G650" s="7" t="inlineStr">
        <is>
          <t>Успешно</t>
        </is>
      </c>
      <c r="H650" s="6" t="n"/>
      <c r="I650" s="6" t="n"/>
      <c r="J650" s="6" t="inlineStr">
        <is>
          <t>Пользовательский интерфейс</t>
        </is>
      </c>
      <c r="K650" s="7" t="n">
        <v>5</v>
      </c>
      <c r="L650" s="8" t="n"/>
      <c r="M650" s="137" t="inlineStr">
        <is>
          <t>+</t>
        </is>
      </c>
      <c r="N650" s="8" t="n"/>
      <c r="O650" s="8" t="n"/>
      <c r="P650" s="8" t="n"/>
      <c r="Q650" s="8" t="n"/>
      <c r="R650" s="8" t="n"/>
      <c r="S650" s="8" t="n"/>
      <c r="T650" s="8" t="n"/>
      <c r="U650" s="8" t="n"/>
      <c r="V650" s="8" t="n"/>
      <c r="W650" s="8" t="n"/>
      <c r="X650" s="137" t="inlineStr">
        <is>
          <t>+</t>
        </is>
      </c>
      <c r="Y650" s="137" t="inlineStr">
        <is>
          <t>+</t>
        </is>
      </c>
    </row>
    <row r="651">
      <c r="A651" s="6" t="inlineStr">
        <is>
          <t>работник 350</t>
        </is>
      </c>
      <c r="B651" s="6" t="inlineStr">
        <is>
          <t>Ламповщик / Уборщик производственных и служебных помещений</t>
        </is>
      </c>
      <c r="C651" s="6" t="inlineStr">
        <is>
          <t>ОБЩЕСТВО С ОГРАНИЧЕННОЙ ОТВЕТСТВЕННОСТЬЮ "АМУР ЗОЛОТО"</t>
        </is>
      </c>
      <c r="D651" s="7" t="inlineStr">
        <is>
          <t>2708001686</t>
        </is>
      </c>
      <c r="E651" s="6" t="inlineStr">
        <is>
          <t>ООО "Амур Золото"</t>
        </is>
      </c>
      <c r="F651" s="7" t="inlineStr">
        <is>
          <t>2708001686</t>
        </is>
      </c>
      <c r="G651" s="7" t="inlineStr">
        <is>
          <t>Успешно</t>
        </is>
      </c>
      <c r="H651" s="6" t="n"/>
      <c r="I651" s="6" t="n"/>
      <c r="J651" s="6" t="inlineStr">
        <is>
          <t>Пользовательский интерфейс</t>
        </is>
      </c>
      <c r="K651" s="7" t="n">
        <v>6</v>
      </c>
      <c r="L651" s="8" t="n"/>
      <c r="M651" s="137" t="inlineStr">
        <is>
          <t>+</t>
        </is>
      </c>
      <c r="N651" s="8" t="n"/>
      <c r="O651" s="8" t="n"/>
      <c r="P651" s="8" t="n"/>
      <c r="Q651" s="8" t="n"/>
      <c r="R651" s="8" t="n"/>
      <c r="S651" s="8" t="n"/>
      <c r="T651" s="8" t="n"/>
      <c r="U651" s="8" t="n"/>
      <c r="V651" s="8" t="n"/>
      <c r="W651" s="8" t="n"/>
      <c r="X651" s="137" t="inlineStr">
        <is>
          <t>+</t>
        </is>
      </c>
      <c r="Y651" s="137" t="inlineStr">
        <is>
          <t>+</t>
        </is>
      </c>
    </row>
    <row r="652">
      <c r="A652" s="6" t="inlineStr">
        <is>
          <t>работник 573</t>
        </is>
      </c>
      <c r="B652" s="6" t="inlineStr">
        <is>
          <t>Машинист двигателей внутреннего сгорания</t>
        </is>
      </c>
      <c r="C652" s="6" t="inlineStr">
        <is>
          <t>ОБЩЕСТВО С ОГРАНИЧЕННОЙ ОТВЕТСТВЕННОСТЬЮ "АМУР ЗОЛОТО"</t>
        </is>
      </c>
      <c r="D652" s="7" t="inlineStr">
        <is>
          <t>2708001686</t>
        </is>
      </c>
      <c r="E652" s="6" t="inlineStr">
        <is>
          <t>ООО "Амур Золото"</t>
        </is>
      </c>
      <c r="F652" s="7" t="inlineStr">
        <is>
          <t>2708001686</t>
        </is>
      </c>
      <c r="G652" s="7" t="inlineStr">
        <is>
          <t>Успешно</t>
        </is>
      </c>
      <c r="H652" s="6" t="n"/>
      <c r="I652" s="6" t="n"/>
      <c r="J652" s="6" t="n"/>
      <c r="K652" s="7" t="n">
        <v>2</v>
      </c>
      <c r="L652" s="8" t="n"/>
      <c r="M652" s="137" t="inlineStr">
        <is>
          <t>+</t>
        </is>
      </c>
      <c r="N652" s="8" t="n"/>
      <c r="O652" s="8" t="n"/>
      <c r="P652" s="8" t="n"/>
      <c r="Q652" s="8" t="n"/>
      <c r="R652" s="8" t="n"/>
      <c r="S652" s="8" t="n"/>
      <c r="T652" s="8" t="n"/>
      <c r="U652" s="8" t="n"/>
      <c r="V652" s="8" t="n"/>
      <c r="W652" s="8" t="n"/>
      <c r="X652" s="139" t="n"/>
      <c r="Y652" s="137" t="inlineStr">
        <is>
          <t>+</t>
        </is>
      </c>
    </row>
    <row r="653">
      <c r="A653" s="6" t="inlineStr">
        <is>
          <t>работник 396</t>
        </is>
      </c>
      <c r="B653" s="6" t="inlineStr">
        <is>
          <t>Кухонный рабочий</t>
        </is>
      </c>
      <c r="C653" s="6" t="inlineStr">
        <is>
          <t>ОБЩЕСТВО С ОГРАНИЧЕННОЙ ОТВЕТСТВЕННОСТЬЮ "АМУР ЗОЛОТО"</t>
        </is>
      </c>
      <c r="D653" s="7" t="inlineStr">
        <is>
          <t>2708001686</t>
        </is>
      </c>
      <c r="E653" s="6" t="inlineStr">
        <is>
          <t>ООО "Амур Золото"</t>
        </is>
      </c>
      <c r="F653" s="7" t="inlineStr">
        <is>
          <t>2708001686</t>
        </is>
      </c>
      <c r="G653" s="7" t="inlineStr">
        <is>
          <t>Успешно</t>
        </is>
      </c>
      <c r="H653" s="6" t="n"/>
      <c r="I653" s="6" t="n"/>
      <c r="J653" s="6" t="inlineStr">
        <is>
          <t>Пользовательский интерфейс</t>
        </is>
      </c>
      <c r="K653" s="7" t="n">
        <v>3</v>
      </c>
      <c r="L653" s="8" t="n"/>
      <c r="M653" s="137" t="inlineStr">
        <is>
          <t>+</t>
        </is>
      </c>
      <c r="N653" s="8" t="n"/>
      <c r="O653" s="8" t="n"/>
      <c r="P653" s="8" t="n"/>
      <c r="Q653" s="8" t="n"/>
      <c r="R653" s="8" t="n"/>
      <c r="S653" s="8" t="n"/>
      <c r="T653" s="8" t="n"/>
      <c r="U653" s="8" t="n"/>
      <c r="V653" s="8" t="n"/>
      <c r="W653" s="8" t="n"/>
      <c r="X653" s="137" t="inlineStr">
        <is>
          <t>+</t>
        </is>
      </c>
      <c r="Y653" s="138" t="inlineStr">
        <is>
          <t>+</t>
        </is>
      </c>
    </row>
    <row r="654">
      <c r="A654" s="6" t="inlineStr">
        <is>
          <t>работник 194</t>
        </is>
      </c>
      <c r="B654" s="6" t="inlineStr">
        <is>
          <t>Машинист экскаватора</t>
        </is>
      </c>
      <c r="C654" s="6" t="inlineStr">
        <is>
          <t>ОБЩЕСТВО С ОГРАНИЧЕННОЙ ОТВЕТСТВЕННОСТЬЮ "АМУР ЗОЛОТО"</t>
        </is>
      </c>
      <c r="D654" s="7" t="inlineStr">
        <is>
          <t>2708001686</t>
        </is>
      </c>
      <c r="E654" s="6" t="inlineStr">
        <is>
          <t>ООО "Амур Золото"</t>
        </is>
      </c>
      <c r="F654" s="7" t="inlineStr">
        <is>
          <t>2708001686</t>
        </is>
      </c>
      <c r="G654" s="7" t="inlineStr">
        <is>
          <t>Успешно</t>
        </is>
      </c>
      <c r="H654" s="6" t="n"/>
      <c r="I654" s="6" t="n"/>
      <c r="J654" s="6" t="inlineStr">
        <is>
          <t>Пользовательский интерфейс</t>
        </is>
      </c>
      <c r="K654" s="7" t="n">
        <v>6</v>
      </c>
      <c r="L654" s="8" t="n"/>
      <c r="M654" s="137" t="inlineStr">
        <is>
          <t>+</t>
        </is>
      </c>
      <c r="N654" s="8" t="n"/>
      <c r="O654" s="8" t="n"/>
      <c r="P654" s="8" t="n"/>
      <c r="Q654" s="8" t="n"/>
      <c r="R654" s="8" t="n"/>
      <c r="S654" s="8" t="n"/>
      <c r="T654" s="8" t="n"/>
      <c r="U654" s="8" t="n"/>
      <c r="V654" s="8" t="n"/>
      <c r="W654" s="8" t="n"/>
      <c r="X654" s="137" t="inlineStr">
        <is>
          <t>+</t>
        </is>
      </c>
      <c r="Y654" s="137" t="inlineStr">
        <is>
          <t>+</t>
        </is>
      </c>
    </row>
    <row r="655">
      <c r="A655" s="6" t="inlineStr">
        <is>
          <t>работник 388</t>
        </is>
      </c>
      <c r="B655" s="6" t="inlineStr">
        <is>
          <t>Дробильщик</t>
        </is>
      </c>
      <c r="C655" s="6" t="inlineStr">
        <is>
          <t>ОБЩЕСТВО С ОГРАНИЧЕННОЙ ОТВЕТСТВЕННОСТЬЮ "АМУР ЗОЛОТО"</t>
        </is>
      </c>
      <c r="D655" s="7" t="inlineStr">
        <is>
          <t>2708001686</t>
        </is>
      </c>
      <c r="E655" s="6" t="inlineStr">
        <is>
          <t>ООО "Амур Золото"</t>
        </is>
      </c>
      <c r="F655" s="7" t="inlineStr">
        <is>
          <t>2708001686</t>
        </is>
      </c>
      <c r="G655" s="7" t="inlineStr">
        <is>
          <t>Успешно</t>
        </is>
      </c>
      <c r="H655" s="6" t="n"/>
      <c r="I655" s="6" t="n"/>
      <c r="J655" s="6" t="inlineStr">
        <is>
          <t>Пользовательский интерфейс</t>
        </is>
      </c>
      <c r="K655" s="7" t="n">
        <v>6</v>
      </c>
      <c r="L655" s="8" t="n"/>
      <c r="M655" s="137" t="inlineStr">
        <is>
          <t>+</t>
        </is>
      </c>
      <c r="N655" s="8" t="n"/>
      <c r="O655" s="8" t="n"/>
      <c r="P655" s="8" t="n"/>
      <c r="Q655" s="8" t="n"/>
      <c r="R655" s="8" t="n"/>
      <c r="S655" s="8" t="n"/>
      <c r="T655" s="8" t="n"/>
      <c r="U655" s="8" t="n"/>
      <c r="V655" s="8" t="n"/>
      <c r="W655" s="8" t="n"/>
      <c r="X655" s="137" t="inlineStr">
        <is>
          <t>+</t>
        </is>
      </c>
      <c r="Y655" s="137" t="inlineStr">
        <is>
          <t>+</t>
        </is>
      </c>
    </row>
    <row r="656">
      <c r="A656" s="6" t="inlineStr">
        <is>
          <t>работник 577</t>
        </is>
      </c>
      <c r="B656" s="6" t="inlineStr">
        <is>
          <t>Аппаратчик-гидрометаллург</t>
        </is>
      </c>
      <c r="C656" s="6" t="inlineStr">
        <is>
          <t>ОБЩЕСТВО С ОГРАНИЧЕННОЙ ОТВЕТСТВЕННОСТЬЮ "АМУР ЗОЛОТО"</t>
        </is>
      </c>
      <c r="D656" s="7" t="inlineStr">
        <is>
          <t>2708001686</t>
        </is>
      </c>
      <c r="E656" s="6" t="inlineStr">
        <is>
          <t>ООО "Амур Золото"</t>
        </is>
      </c>
      <c r="F656" s="7" t="inlineStr">
        <is>
          <t>2708001686</t>
        </is>
      </c>
      <c r="G656" s="7" t="inlineStr">
        <is>
          <t>Успешно</t>
        </is>
      </c>
      <c r="H656" s="6" t="n"/>
      <c r="I656" s="6" t="n"/>
      <c r="J656" s="6" t="inlineStr">
        <is>
          <t>Пользовательский интерфейс</t>
        </is>
      </c>
      <c r="K656" s="7" t="n">
        <v>2</v>
      </c>
      <c r="L656" s="8" t="n"/>
      <c r="M656" s="137" t="inlineStr">
        <is>
          <t>+</t>
        </is>
      </c>
      <c r="N656" s="8" t="n"/>
      <c r="O656" s="8" t="n"/>
      <c r="P656" s="8" t="n"/>
      <c r="Q656" s="8" t="n"/>
      <c r="R656" s="8" t="n"/>
      <c r="S656" s="8" t="n"/>
      <c r="T656" s="8" t="n"/>
      <c r="U656" s="8" t="n"/>
      <c r="V656" s="8" t="n"/>
      <c r="W656" s="8" t="n"/>
      <c r="X656" s="139" t="n"/>
      <c r="Y656" s="137" t="inlineStr">
        <is>
          <t>+</t>
        </is>
      </c>
    </row>
    <row r="657">
      <c r="A657" s="6" t="inlineStr">
        <is>
          <t>работник 598</t>
        </is>
      </c>
      <c r="B657" s="6" t="inlineStr">
        <is>
          <t>Мастер горный</t>
        </is>
      </c>
      <c r="C657" s="6" t="inlineStr">
        <is>
          <t>ОБЩЕСТВО С ОГРАНИЧЕННОЙ ОТВЕТСТВЕННОСТЬЮ "АМУР ЗОЛОТО"</t>
        </is>
      </c>
      <c r="D657" s="7" t="inlineStr">
        <is>
          <t>2708001686</t>
        </is>
      </c>
      <c r="E657" s="6" t="inlineStr">
        <is>
          <t>ООО "Амур Золото"</t>
        </is>
      </c>
      <c r="F657" s="7" t="inlineStr">
        <is>
          <t>2708001686</t>
        </is>
      </c>
      <c r="G657" s="7" t="inlineStr">
        <is>
          <t>Успешно</t>
        </is>
      </c>
      <c r="H657" s="6" t="n"/>
      <c r="I657" s="6" t="n"/>
      <c r="J657" s="6" t="inlineStr">
        <is>
          <t>Пользовательский интерфейс</t>
        </is>
      </c>
      <c r="K657" s="7" t="n">
        <v>2</v>
      </c>
      <c r="L657" s="8" t="n"/>
      <c r="M657" s="137" t="inlineStr">
        <is>
          <t>+</t>
        </is>
      </c>
      <c r="N657" s="8" t="n"/>
      <c r="O657" s="8" t="n"/>
      <c r="P657" s="8" t="n"/>
      <c r="Q657" s="8" t="n"/>
      <c r="R657" s="8" t="n"/>
      <c r="S657" s="8" t="n"/>
      <c r="T657" s="8" t="n"/>
      <c r="U657" s="8" t="n"/>
      <c r="V657" s="8" t="n"/>
      <c r="W657" s="8" t="n"/>
      <c r="X657" s="139" t="n"/>
      <c r="Y657" s="137" t="inlineStr">
        <is>
          <t>+</t>
        </is>
      </c>
    </row>
    <row r="658">
      <c r="A658" s="6" t="inlineStr">
        <is>
          <t>работник 96</t>
        </is>
      </c>
      <c r="B658" s="6" t="inlineStr">
        <is>
          <t>Кухонный рабочий</t>
        </is>
      </c>
      <c r="C658" s="6" t="inlineStr">
        <is>
          <t>ОБЩЕСТВО С ОГРАНИЧЕННОЙ ОТВЕТСТВЕННОСТЬЮ "АМУР ЗОЛОТО"</t>
        </is>
      </c>
      <c r="D658" s="7" t="inlineStr">
        <is>
          <t>2708001686</t>
        </is>
      </c>
      <c r="E658" s="6" t="inlineStr">
        <is>
          <t>ООО "Амур Золото"</t>
        </is>
      </c>
      <c r="F658" s="7" t="inlineStr">
        <is>
          <t>2708001686</t>
        </is>
      </c>
      <c r="G658" s="7" t="inlineStr">
        <is>
          <t>Успешно</t>
        </is>
      </c>
      <c r="H658" s="6" t="n"/>
      <c r="I658" s="6" t="n"/>
      <c r="J658" s="6" t="inlineStr">
        <is>
          <t>Пользовательский интерфейс</t>
        </is>
      </c>
      <c r="K658" s="7" t="n">
        <v>3</v>
      </c>
      <c r="L658" s="8" t="n"/>
      <c r="M658" s="137" t="inlineStr">
        <is>
          <t>+</t>
        </is>
      </c>
      <c r="N658" s="8" t="n"/>
      <c r="O658" s="8" t="n"/>
      <c r="P658" s="8" t="n"/>
      <c r="Q658" s="8" t="n"/>
      <c r="R658" s="8" t="n"/>
      <c r="S658" s="8" t="n"/>
      <c r="T658" s="8" t="n"/>
      <c r="U658" s="8" t="n"/>
      <c r="V658" s="8" t="n"/>
      <c r="W658" s="8" t="n"/>
      <c r="X658" s="137" t="inlineStr">
        <is>
          <t>+</t>
        </is>
      </c>
      <c r="Y658" s="138" t="inlineStr">
        <is>
          <t>+</t>
        </is>
      </c>
    </row>
    <row r="659">
      <c r="A659" s="6" t="inlineStr">
        <is>
          <t>работник 92</t>
        </is>
      </c>
      <c r="B659" s="6" t="inlineStr">
        <is>
          <t>Машинист насосных установок</t>
        </is>
      </c>
      <c r="C659" s="6" t="inlineStr">
        <is>
          <t>ОБЩЕСТВО С ОГРАНИЧЕННОЙ ОТВЕТСТВЕННОСТЬЮ "АМУР ЗОЛОТО"</t>
        </is>
      </c>
      <c r="D659" s="7" t="inlineStr">
        <is>
          <t>2708001686</t>
        </is>
      </c>
      <c r="E659" s="6" t="inlineStr">
        <is>
          <t>ООО "Амур Золото"</t>
        </is>
      </c>
      <c r="F659" s="7" t="inlineStr">
        <is>
          <t>2708001686</t>
        </is>
      </c>
      <c r="G659" s="7" t="inlineStr">
        <is>
          <t>Успешно</t>
        </is>
      </c>
      <c r="H659" s="6" t="n"/>
      <c r="I659" s="6" t="n"/>
      <c r="J659" s="6" t="inlineStr">
        <is>
          <t>Пользовательский интерфейс</t>
        </is>
      </c>
      <c r="K659" s="7" t="n">
        <v>6</v>
      </c>
      <c r="L659" s="8" t="n"/>
      <c r="M659" s="137" t="inlineStr">
        <is>
          <t>+</t>
        </is>
      </c>
      <c r="N659" s="8" t="n"/>
      <c r="O659" s="8" t="n"/>
      <c r="P659" s="8" t="n"/>
      <c r="Q659" s="8" t="n"/>
      <c r="R659" s="8" t="n"/>
      <c r="S659" s="8" t="n"/>
      <c r="T659" s="8" t="n"/>
      <c r="U659" s="8" t="n"/>
      <c r="V659" s="8" t="n"/>
      <c r="W659" s="8" t="n"/>
      <c r="X659" s="137" t="inlineStr">
        <is>
          <t>+</t>
        </is>
      </c>
      <c r="Y659" s="137" t="inlineStr">
        <is>
          <t>+</t>
        </is>
      </c>
    </row>
    <row r="660">
      <c r="A660" s="6" t="inlineStr">
        <is>
          <t>работник 906</t>
        </is>
      </c>
      <c r="B660" s="6" t="inlineStr">
        <is>
          <t>Слесарь-электрик по ремонту электрооборудования</t>
        </is>
      </c>
      <c r="C660" s="6" t="inlineStr">
        <is>
          <t>ОБЩЕСТВО С ОГРАНИЧЕННОЙ ОТВЕТСТВЕННОСТЬЮ "АМУР ЗОЛОТО"</t>
        </is>
      </c>
      <c r="D660" s="7" t="inlineStr">
        <is>
          <t>2708001686</t>
        </is>
      </c>
      <c r="E660" s="6" t="inlineStr">
        <is>
          <t>ООО "Амур Золото"</t>
        </is>
      </c>
      <c r="F660" s="7" t="inlineStr">
        <is>
          <t>2708001686</t>
        </is>
      </c>
      <c r="G660" s="7" t="inlineStr">
        <is>
          <t>Успешно</t>
        </is>
      </c>
      <c r="H660" s="6" t="n"/>
      <c r="I660" s="6" t="n"/>
      <c r="J660" s="6" t="inlineStr">
        <is>
          <t>Пользовательский интерфейс</t>
        </is>
      </c>
      <c r="K660" s="7" t="n">
        <v>3</v>
      </c>
      <c r="L660" s="8" t="n"/>
      <c r="M660" s="137" t="inlineStr">
        <is>
          <t>+</t>
        </is>
      </c>
      <c r="N660" s="8" t="n"/>
      <c r="O660" s="8" t="n"/>
      <c r="P660" s="8" t="n"/>
      <c r="Q660" s="8" t="n"/>
      <c r="R660" s="8" t="n"/>
      <c r="S660" s="8" t="n"/>
      <c r="T660" s="8" t="n"/>
      <c r="U660" s="8" t="n"/>
      <c r="V660" s="8" t="n"/>
      <c r="W660" s="8" t="n"/>
      <c r="X660" s="137" t="inlineStr">
        <is>
          <t>+</t>
        </is>
      </c>
      <c r="Y660" s="137" t="inlineStr">
        <is>
          <t>+</t>
        </is>
      </c>
    </row>
    <row r="661">
      <c r="A661" s="6" t="inlineStr">
        <is>
          <t>работник 206</t>
        </is>
      </c>
      <c r="B661" s="6" t="inlineStr">
        <is>
          <t>Машинист бульдозера</t>
        </is>
      </c>
      <c r="C661" s="6" t="inlineStr">
        <is>
          <t>ОБЩЕСТВО С ОГРАНИЧЕННОЙ ОТВЕТСТВЕННОСТЬЮ "АМУР ЗОЛОТО"</t>
        </is>
      </c>
      <c r="D661" s="7" t="inlineStr">
        <is>
          <t>2708001686</t>
        </is>
      </c>
      <c r="E661" s="6" t="inlineStr">
        <is>
          <t>ООО "Амур Золото"</t>
        </is>
      </c>
      <c r="F661" s="7" t="inlineStr">
        <is>
          <t>2708001686</t>
        </is>
      </c>
      <c r="G661" s="7" t="inlineStr">
        <is>
          <t>Успешно</t>
        </is>
      </c>
      <c r="H661" s="6" t="n"/>
      <c r="I661" s="6" t="n"/>
      <c r="J661" s="6" t="inlineStr">
        <is>
          <t>Пользовательский интерфейс</t>
        </is>
      </c>
      <c r="K661" s="7" t="n">
        <v>3</v>
      </c>
      <c r="L661" s="8" t="n"/>
      <c r="M661" s="137" t="inlineStr">
        <is>
          <t>+</t>
        </is>
      </c>
      <c r="N661" s="8" t="n"/>
      <c r="O661" s="8" t="n"/>
      <c r="P661" s="8" t="n"/>
      <c r="Q661" s="8" t="n"/>
      <c r="R661" s="8" t="n"/>
      <c r="S661" s="8" t="n"/>
      <c r="T661" s="8" t="n"/>
      <c r="U661" s="8" t="n"/>
      <c r="V661" s="8" t="n"/>
      <c r="W661" s="8" t="n"/>
      <c r="X661" s="137" t="inlineStr">
        <is>
          <t>+</t>
        </is>
      </c>
      <c r="Y661" s="137" t="inlineStr">
        <is>
          <t>+</t>
        </is>
      </c>
    </row>
    <row r="662">
      <c r="A662" s="6" t="inlineStr">
        <is>
          <t>работник 287</t>
        </is>
      </c>
      <c r="B662" s="6" t="inlineStr">
        <is>
          <t>Машинист бульдозера</t>
        </is>
      </c>
      <c r="C662" s="6" t="inlineStr">
        <is>
          <t>ОБЩЕСТВО С ОГРАНИЧЕННОЙ ОТВЕТСТВЕННОСТЬЮ "АМУР ЗОЛОТО"</t>
        </is>
      </c>
      <c r="D662" s="7" t="inlineStr">
        <is>
          <t>2708001686</t>
        </is>
      </c>
      <c r="E662" s="6" t="inlineStr">
        <is>
          <t>ООО "Амур Золото"</t>
        </is>
      </c>
      <c r="F662" s="7" t="inlineStr">
        <is>
          <t>2708001686</t>
        </is>
      </c>
      <c r="G662" s="7" t="inlineStr">
        <is>
          <t>Успешно</t>
        </is>
      </c>
      <c r="H662" s="6" t="n"/>
      <c r="I662" s="6" t="n"/>
      <c r="J662" s="6" t="inlineStr">
        <is>
          <t>Пользовательский интерфейс</t>
        </is>
      </c>
      <c r="K662" s="7" t="n">
        <v>3</v>
      </c>
      <c r="L662" s="8" t="n"/>
      <c r="M662" s="137" t="inlineStr">
        <is>
          <t>+</t>
        </is>
      </c>
      <c r="N662" s="8" t="n"/>
      <c r="O662" s="8" t="n"/>
      <c r="P662" s="8" t="n"/>
      <c r="Q662" s="8" t="n"/>
      <c r="R662" s="8" t="n"/>
      <c r="S662" s="8" t="n"/>
      <c r="T662" s="8" t="n"/>
      <c r="U662" s="8" t="n"/>
      <c r="V662" s="8" t="n"/>
      <c r="W662" s="8" t="n"/>
      <c r="X662" s="137" t="inlineStr">
        <is>
          <t>+</t>
        </is>
      </c>
      <c r="Y662" s="137" t="inlineStr">
        <is>
          <t>+</t>
        </is>
      </c>
    </row>
    <row r="663">
      <c r="A663" s="6" t="inlineStr">
        <is>
          <t>работник 750</t>
        </is>
      </c>
      <c r="B663" s="6" t="inlineStr">
        <is>
          <t>Машинист мельниц</t>
        </is>
      </c>
      <c r="C663" s="6" t="inlineStr">
        <is>
          <t>ОБЩЕСТВО С ОГРАНИЧЕННОЙ ОТВЕТСТВЕННОСТЬЮ "АМУР ЗОЛОТО"</t>
        </is>
      </c>
      <c r="D663" s="7" t="inlineStr">
        <is>
          <t>2708001686</t>
        </is>
      </c>
      <c r="E663" s="6" t="inlineStr">
        <is>
          <t>ООО "Амур Золото"</t>
        </is>
      </c>
      <c r="F663" s="7" t="inlineStr">
        <is>
          <t>2708001686</t>
        </is>
      </c>
      <c r="G663" s="7" t="inlineStr">
        <is>
          <t>Успешно</t>
        </is>
      </c>
      <c r="H663" s="6" t="n"/>
      <c r="I663" s="6" t="n"/>
      <c r="J663" s="6" t="inlineStr">
        <is>
          <t>Пользовательский интерфейс</t>
        </is>
      </c>
      <c r="K663" s="7" t="n">
        <v>5</v>
      </c>
      <c r="L663" s="8" t="n"/>
      <c r="M663" s="137" t="inlineStr">
        <is>
          <t>+</t>
        </is>
      </c>
      <c r="N663" s="137" t="inlineStr">
        <is>
          <t>+</t>
        </is>
      </c>
      <c r="O663" s="8" t="n"/>
      <c r="P663" s="137" t="inlineStr">
        <is>
          <t>+</t>
        </is>
      </c>
      <c r="Q663" s="8" t="n"/>
      <c r="R663" s="8" t="n"/>
      <c r="S663" s="8" t="n"/>
      <c r="T663" s="8" t="n"/>
      <c r="U663" s="8" t="n"/>
      <c r="V663" s="8" t="n"/>
      <c r="W663" s="8" t="n"/>
      <c r="X663" s="137" t="inlineStr">
        <is>
          <t>+</t>
        </is>
      </c>
      <c r="Y663" s="137" t="inlineStr">
        <is>
          <t>+</t>
        </is>
      </c>
    </row>
    <row r="664">
      <c r="A664" s="6" t="inlineStr">
        <is>
          <t>работник 120</t>
        </is>
      </c>
      <c r="B664" s="6" t="inlineStr">
        <is>
          <t>Дробильщик / Фильтровальщик</t>
        </is>
      </c>
      <c r="C664" s="6" t="inlineStr">
        <is>
          <t>ОБЩЕСТВО С ОГРАНИЧЕННОЙ ОТВЕТСТВЕННОСТЬЮ "АМУР ЗОЛОТО"</t>
        </is>
      </c>
      <c r="D664" s="7" t="inlineStr">
        <is>
          <t>2708001686</t>
        </is>
      </c>
      <c r="E664" s="6" t="inlineStr">
        <is>
          <t>ООО "Амур Золото"</t>
        </is>
      </c>
      <c r="F664" s="7" t="inlineStr">
        <is>
          <t>2708001686</t>
        </is>
      </c>
      <c r="G664" s="7" t="inlineStr">
        <is>
          <t>Успешно</t>
        </is>
      </c>
      <c r="H664" s="6" t="n"/>
      <c r="I664" s="6" t="n"/>
      <c r="J664" s="6" t="inlineStr">
        <is>
          <t>Пользовательский интерфейс</t>
        </is>
      </c>
      <c r="K664" s="7" t="n">
        <v>6</v>
      </c>
      <c r="L664" s="8" t="n"/>
      <c r="M664" s="137" t="inlineStr">
        <is>
          <t>+</t>
        </is>
      </c>
      <c r="N664" s="8" t="n"/>
      <c r="O664" s="8" t="n"/>
      <c r="P664" s="8" t="n"/>
      <c r="Q664" s="8" t="n"/>
      <c r="R664" s="8" t="n"/>
      <c r="S664" s="8" t="n"/>
      <c r="T664" s="8" t="n"/>
      <c r="U664" s="8" t="n"/>
      <c r="V664" s="8" t="n"/>
      <c r="W664" s="8" t="n"/>
      <c r="X664" s="137" t="inlineStr">
        <is>
          <t>+</t>
        </is>
      </c>
      <c r="Y664" s="137" t="inlineStr">
        <is>
          <t>+</t>
        </is>
      </c>
    </row>
    <row r="665">
      <c r="A665" s="6" t="inlineStr">
        <is>
          <t>работник 930</t>
        </is>
      </c>
      <c r="B665" s="6" t="inlineStr">
        <is>
          <t>Бункеровщик</t>
        </is>
      </c>
      <c r="C665" s="6" t="inlineStr">
        <is>
          <t>ОБЩЕСТВО С ОГРАНИЧЕННОЙ ОТВЕТСТВЕННОСТЬЮ "АМУР ЗОЛОТО"</t>
        </is>
      </c>
      <c r="D665" s="7" t="inlineStr">
        <is>
          <t>2708001686</t>
        </is>
      </c>
      <c r="E665" s="6" t="inlineStr">
        <is>
          <t>ООО "Амур Золото"</t>
        </is>
      </c>
      <c r="F665" s="7" t="inlineStr">
        <is>
          <t>2708001686</t>
        </is>
      </c>
      <c r="G665" s="7" t="inlineStr">
        <is>
          <t>Успешно</t>
        </is>
      </c>
      <c r="H665" s="6" t="n"/>
      <c r="I665" s="6" t="n"/>
      <c r="J665" s="6" t="inlineStr">
        <is>
          <t>Пользовательский интерфейс</t>
        </is>
      </c>
      <c r="K665" s="7" t="n">
        <v>3</v>
      </c>
      <c r="L665" s="8" t="n"/>
      <c r="M665" s="137" t="inlineStr">
        <is>
          <t>+</t>
        </is>
      </c>
      <c r="N665" s="8" t="n"/>
      <c r="O665" s="8" t="n"/>
      <c r="P665" s="8" t="n"/>
      <c r="Q665" s="8" t="n"/>
      <c r="R665" s="8" t="n"/>
      <c r="S665" s="8" t="n"/>
      <c r="T665" s="8" t="n"/>
      <c r="U665" s="8" t="n"/>
      <c r="V665" s="8" t="n"/>
      <c r="W665" s="8" t="n"/>
      <c r="X665" s="137" t="inlineStr">
        <is>
          <t>+</t>
        </is>
      </c>
      <c r="Y665" s="137" t="inlineStr">
        <is>
          <t>+</t>
        </is>
      </c>
    </row>
    <row r="666">
      <c r="A666" s="6" t="inlineStr">
        <is>
          <t>работник 555</t>
        </is>
      </c>
      <c r="B666" s="6" t="inlineStr">
        <is>
          <t>Электромонтер по ремонту и обслуживанию электрооборудования</t>
        </is>
      </c>
      <c r="C666" s="6" t="inlineStr">
        <is>
          <t>ОБЩЕСТВО С ОГРАНИЧЕННОЙ ОТВЕТСТВЕННОСТЬЮ "АМУР ЗОЛОТО"</t>
        </is>
      </c>
      <c r="D666" s="7" t="inlineStr">
        <is>
          <t>2708001686</t>
        </is>
      </c>
      <c r="E666" s="6" t="inlineStr">
        <is>
          <t>ООО "Амур Золото"</t>
        </is>
      </c>
      <c r="F666" s="7" t="inlineStr">
        <is>
          <t>2708001686</t>
        </is>
      </c>
      <c r="G666" s="7" t="inlineStr">
        <is>
          <t>Успешно</t>
        </is>
      </c>
      <c r="H666" s="6" t="n"/>
      <c r="I666" s="6" t="n"/>
      <c r="J666" s="6" t="n"/>
      <c r="K666" s="7" t="n">
        <v>2</v>
      </c>
      <c r="L666" s="8" t="n"/>
      <c r="M666" s="137" t="inlineStr">
        <is>
          <t>+</t>
        </is>
      </c>
      <c r="N666" s="8" t="n"/>
      <c r="O666" s="8" t="n"/>
      <c r="P666" s="8" t="n"/>
      <c r="Q666" s="8" t="n"/>
      <c r="R666" s="8" t="n"/>
      <c r="S666" s="8" t="n"/>
      <c r="T666" s="8" t="n"/>
      <c r="U666" s="8" t="n"/>
      <c r="V666" s="8" t="n"/>
      <c r="W666" s="8" t="n"/>
      <c r="X666" s="139" t="n"/>
      <c r="Y666" s="137" t="inlineStr">
        <is>
          <t>+</t>
        </is>
      </c>
    </row>
    <row r="667">
      <c r="A667" s="6" t="inlineStr">
        <is>
          <t>работник 733</t>
        </is>
      </c>
      <c r="B667" s="6" t="inlineStr">
        <is>
          <t>Машинист бульдозера</t>
        </is>
      </c>
      <c r="C667" s="6" t="inlineStr">
        <is>
          <t>ОБЩЕСТВО С ОГРАНИЧЕННОЙ ОТВЕТСТВЕННОСТЬЮ "АМУР ЗОЛОТО"</t>
        </is>
      </c>
      <c r="D667" s="7" t="inlineStr">
        <is>
          <t>2708001686</t>
        </is>
      </c>
      <c r="E667" s="6" t="inlineStr">
        <is>
          <t>ООО "Амур Золото"</t>
        </is>
      </c>
      <c r="F667" s="7" t="inlineStr">
        <is>
          <t>2708001686</t>
        </is>
      </c>
      <c r="G667" s="7" t="inlineStr">
        <is>
          <t>Успешно</t>
        </is>
      </c>
      <c r="H667" s="6" t="n"/>
      <c r="I667" s="6" t="n"/>
      <c r="J667" s="6" t="inlineStr">
        <is>
          <t>Пользовательский интерфейс</t>
        </is>
      </c>
      <c r="K667" s="7" t="n">
        <v>2</v>
      </c>
      <c r="L667" s="8" t="n"/>
      <c r="M667" s="137" t="inlineStr">
        <is>
          <t>+</t>
        </is>
      </c>
      <c r="N667" s="8" t="n"/>
      <c r="O667" s="8" t="n"/>
      <c r="P667" s="8" t="n"/>
      <c r="Q667" s="8" t="n"/>
      <c r="R667" s="8" t="n"/>
      <c r="S667" s="8" t="n"/>
      <c r="T667" s="8" t="n"/>
      <c r="U667" s="8" t="n"/>
      <c r="V667" s="8" t="n"/>
      <c r="W667" s="8" t="n"/>
      <c r="X667" s="139" t="n"/>
      <c r="Y667" s="137" t="inlineStr">
        <is>
          <t>+</t>
        </is>
      </c>
    </row>
    <row r="668">
      <c r="A668" s="6" t="inlineStr">
        <is>
          <t>работник 364</t>
        </is>
      </c>
      <c r="B668" s="6" t="inlineStr">
        <is>
          <t>Подсобный рабочий</t>
        </is>
      </c>
      <c r="C668" s="6" t="inlineStr">
        <is>
          <t>ОБЩЕСТВО С ОГРАНИЧЕННОЙ ОТВЕТСТВЕННОСТЬЮ "АМУР ЗОЛОТО"</t>
        </is>
      </c>
      <c r="D668" s="7" t="inlineStr">
        <is>
          <t>2708001686</t>
        </is>
      </c>
      <c r="E668" s="6" t="inlineStr">
        <is>
          <t>ООО "Амур Золото"</t>
        </is>
      </c>
      <c r="F668" s="7" t="inlineStr">
        <is>
          <t>2708001686</t>
        </is>
      </c>
      <c r="G668" s="7" t="inlineStr">
        <is>
          <t>Успешно</t>
        </is>
      </c>
      <c r="H668" s="6" t="n"/>
      <c r="I668" s="6" t="n"/>
      <c r="J668" s="6" t="inlineStr">
        <is>
          <t>Пользовательский интерфейс</t>
        </is>
      </c>
      <c r="K668" s="7" t="n">
        <v>3</v>
      </c>
      <c r="L668" s="8" t="n"/>
      <c r="M668" s="137" t="inlineStr">
        <is>
          <t>+</t>
        </is>
      </c>
      <c r="N668" s="8" t="n"/>
      <c r="O668" s="8" t="n"/>
      <c r="P668" s="8" t="n"/>
      <c r="Q668" s="8" t="n"/>
      <c r="R668" s="8" t="n"/>
      <c r="S668" s="8" t="n"/>
      <c r="T668" s="8" t="n"/>
      <c r="U668" s="8" t="n"/>
      <c r="V668" s="8" t="n"/>
      <c r="W668" s="8" t="n"/>
      <c r="X668" s="137" t="inlineStr">
        <is>
          <t>+</t>
        </is>
      </c>
      <c r="Y668" s="137" t="inlineStr">
        <is>
          <t>+</t>
        </is>
      </c>
    </row>
    <row r="669">
      <c r="A669" s="6" t="inlineStr">
        <is>
          <t>работник 660</t>
        </is>
      </c>
      <c r="B669" s="6" t="inlineStr">
        <is>
          <t>Аппаратчик-гидрометаллург</t>
        </is>
      </c>
      <c r="C669" s="6" t="inlineStr">
        <is>
          <t>ОБЩЕСТВО С ОГРАНИЧЕННОЙ ОТВЕТСТВЕННОСТЬЮ "АМУР ЗОЛОТО"</t>
        </is>
      </c>
      <c r="D669" s="7" t="inlineStr">
        <is>
          <t>2708001686</t>
        </is>
      </c>
      <c r="E669" s="6" t="inlineStr">
        <is>
          <t>ООО "Амур Золото"</t>
        </is>
      </c>
      <c r="F669" s="7" t="inlineStr">
        <is>
          <t>2708001686</t>
        </is>
      </c>
      <c r="G669" s="7" t="inlineStr">
        <is>
          <t>Успешно</t>
        </is>
      </c>
      <c r="H669" s="6" t="n"/>
      <c r="I669" s="6" t="n"/>
      <c r="J669" s="6" t="inlineStr">
        <is>
          <t>Пользовательский интерфейс</t>
        </is>
      </c>
      <c r="K669" s="7" t="n">
        <v>2</v>
      </c>
      <c r="L669" s="8" t="n"/>
      <c r="M669" s="137" t="inlineStr">
        <is>
          <t>+</t>
        </is>
      </c>
      <c r="N669" s="8" t="n"/>
      <c r="O669" s="8" t="n"/>
      <c r="P669" s="8" t="n"/>
      <c r="Q669" s="8" t="n"/>
      <c r="R669" s="8" t="n"/>
      <c r="S669" s="8" t="n"/>
      <c r="T669" s="8" t="n"/>
      <c r="U669" s="8" t="n"/>
      <c r="V669" s="8" t="n"/>
      <c r="W669" s="8" t="n"/>
      <c r="X669" s="139" t="n"/>
      <c r="Y669" s="137" t="inlineStr">
        <is>
          <t>+</t>
        </is>
      </c>
    </row>
    <row r="670">
      <c r="A670" s="6" t="inlineStr">
        <is>
          <t>работник 658</t>
        </is>
      </c>
      <c r="B670" s="6" t="inlineStr">
        <is>
          <t>Уборщик производственных и служебных помещений</t>
        </is>
      </c>
      <c r="C670" s="6" t="inlineStr">
        <is>
          <t>ОБЩЕСТВО С ОГРАНИЧЕННОЙ ОТВЕТСТВЕННОСТЬЮ "АМУР ЗОЛОТО"</t>
        </is>
      </c>
      <c r="D670" s="7" t="inlineStr">
        <is>
          <t>2708001686</t>
        </is>
      </c>
      <c r="E670" s="6" t="inlineStr">
        <is>
          <t>ООО "Амур Золото"</t>
        </is>
      </c>
      <c r="F670" s="7" t="inlineStr">
        <is>
          <t>2708001686</t>
        </is>
      </c>
      <c r="G670" s="7" t="inlineStr">
        <is>
          <t>Успешно</t>
        </is>
      </c>
      <c r="H670" s="6" t="n"/>
      <c r="I670" s="6" t="n"/>
      <c r="J670" s="6" t="inlineStr">
        <is>
          <t>Пользовательский интерфейс</t>
        </is>
      </c>
      <c r="K670" s="7" t="n">
        <v>2</v>
      </c>
      <c r="L670" s="8" t="n"/>
      <c r="M670" s="137" t="inlineStr">
        <is>
          <t>+</t>
        </is>
      </c>
      <c r="N670" s="8" t="n"/>
      <c r="O670" s="8" t="n"/>
      <c r="P670" s="8" t="n"/>
      <c r="Q670" s="8" t="n"/>
      <c r="R670" s="8" t="n"/>
      <c r="S670" s="8" t="n"/>
      <c r="T670" s="8" t="n"/>
      <c r="U670" s="8" t="n"/>
      <c r="V670" s="8" t="n"/>
      <c r="W670" s="8" t="n"/>
      <c r="X670" s="139" t="n"/>
      <c r="Y670" s="137" t="inlineStr">
        <is>
          <t>+</t>
        </is>
      </c>
    </row>
    <row r="671">
      <c r="A671" s="6" t="inlineStr">
        <is>
          <t>работник 83</t>
        </is>
      </c>
      <c r="B671" s="6" t="inlineStr">
        <is>
          <t>Плотник</t>
        </is>
      </c>
      <c r="C671" s="6" t="inlineStr">
        <is>
          <t>ОБЩЕСТВО С ОГРАНИЧЕННОЙ ОТВЕТСТВЕННОСТЬЮ "АМУР ЗОЛОТО"</t>
        </is>
      </c>
      <c r="D671" s="7" t="inlineStr">
        <is>
          <t>2708001686</t>
        </is>
      </c>
      <c r="E671" s="6" t="inlineStr">
        <is>
          <t>ООО "Амур Золото"</t>
        </is>
      </c>
      <c r="F671" s="7" t="inlineStr">
        <is>
          <t>2708001686</t>
        </is>
      </c>
      <c r="G671" s="7" t="inlineStr">
        <is>
          <t>Успешно</t>
        </is>
      </c>
      <c r="H671" s="6" t="n"/>
      <c r="I671" s="6" t="n"/>
      <c r="J671" s="6" t="inlineStr">
        <is>
          <t>Пользовательский интерфейс</t>
        </is>
      </c>
      <c r="K671" s="7" t="n">
        <v>8</v>
      </c>
      <c r="L671" s="8" t="n"/>
      <c r="M671" s="137" t="inlineStr">
        <is>
          <t>+</t>
        </is>
      </c>
      <c r="N671" s="137" t="inlineStr">
        <is>
          <t>+</t>
        </is>
      </c>
      <c r="O671" s="8" t="n"/>
      <c r="P671" s="8" t="n"/>
      <c r="Q671" s="8" t="n"/>
      <c r="R671" s="8" t="n"/>
      <c r="S671" s="8" t="n"/>
      <c r="T671" s="8" t="n"/>
      <c r="U671" s="137" t="inlineStr">
        <is>
          <t>+</t>
        </is>
      </c>
      <c r="V671" s="137" t="inlineStr">
        <is>
          <t>+</t>
        </is>
      </c>
      <c r="W671" s="8" t="n"/>
      <c r="X671" s="137" t="inlineStr">
        <is>
          <t>+</t>
        </is>
      </c>
      <c r="Y671" s="137" t="inlineStr">
        <is>
          <t>+</t>
        </is>
      </c>
    </row>
    <row r="672">
      <c r="A672" s="6" t="inlineStr">
        <is>
          <t>работник 703</t>
        </is>
      </c>
      <c r="B672" s="6" t="inlineStr">
        <is>
          <t>Бетонщик</t>
        </is>
      </c>
      <c r="C672" s="6" t="inlineStr">
        <is>
          <t>ОБЩЕСТВО С ОГРАНИЧЕННОЙ ОТВЕТСТВЕННОСТЬЮ "АМУР ЗОЛОТО"</t>
        </is>
      </c>
      <c r="D672" s="7" t="inlineStr">
        <is>
          <t>2708001686</t>
        </is>
      </c>
      <c r="E672" s="6" t="inlineStr">
        <is>
          <t>ООО "Амур Золото"</t>
        </is>
      </c>
      <c r="F672" s="7" t="inlineStr">
        <is>
          <t>2708001686</t>
        </is>
      </c>
      <c r="G672" s="7" t="inlineStr">
        <is>
          <t>Успешно</t>
        </is>
      </c>
      <c r="H672" s="6" t="n"/>
      <c r="I672" s="6" t="n"/>
      <c r="J672" s="6" t="inlineStr">
        <is>
          <t>Пользовательский интерфейс</t>
        </is>
      </c>
      <c r="K672" s="7" t="n">
        <v>2</v>
      </c>
      <c r="L672" s="8" t="n"/>
      <c r="M672" s="137" t="inlineStr">
        <is>
          <t>+</t>
        </is>
      </c>
      <c r="N672" s="8" t="n"/>
      <c r="O672" s="8" t="n"/>
      <c r="P672" s="8" t="n"/>
      <c r="Q672" s="8" t="n"/>
      <c r="R672" s="8" t="n"/>
      <c r="S672" s="8" t="n"/>
      <c r="T672" s="8" t="n"/>
      <c r="U672" s="8" t="n"/>
      <c r="V672" s="8" t="n"/>
      <c r="W672" s="8" t="n"/>
      <c r="X672" s="139" t="n"/>
      <c r="Y672" s="137" t="inlineStr">
        <is>
          <t>+</t>
        </is>
      </c>
    </row>
    <row r="673">
      <c r="A673" s="6" t="inlineStr">
        <is>
          <t>работник 450</t>
        </is>
      </c>
      <c r="B673" s="6" t="inlineStr">
        <is>
          <t>Аппаратчик-гидрометаллург / Бункеровщик</t>
        </is>
      </c>
      <c r="C673" s="6" t="inlineStr">
        <is>
          <t>ОБЩЕСТВО С ОГРАНИЧЕННОЙ ОТВЕТСТВЕННОСТЬЮ "АМУР ЗОЛОТО"</t>
        </is>
      </c>
      <c r="D673" s="7" t="inlineStr">
        <is>
          <t>2708001686</t>
        </is>
      </c>
      <c r="E673" s="6" t="inlineStr">
        <is>
          <t>ООО "Амур Золото"</t>
        </is>
      </c>
      <c r="F673" s="7" t="inlineStr">
        <is>
          <t>2708001686</t>
        </is>
      </c>
      <c r="G673" s="7" t="inlineStr">
        <is>
          <t>Успешно</t>
        </is>
      </c>
      <c r="H673" s="6" t="n"/>
      <c r="I673" s="6" t="n"/>
      <c r="J673" s="6" t="inlineStr">
        <is>
          <t>Пользовательский интерфейс</t>
        </is>
      </c>
      <c r="K673" s="7" t="n">
        <v>4</v>
      </c>
      <c r="L673" s="8" t="n"/>
      <c r="M673" s="137" t="inlineStr">
        <is>
          <t>+</t>
        </is>
      </c>
      <c r="N673" s="8" t="n"/>
      <c r="O673" s="8" t="n"/>
      <c r="P673" s="8" t="n"/>
      <c r="Q673" s="8" t="n"/>
      <c r="R673" s="8" t="n"/>
      <c r="S673" s="8" t="n"/>
      <c r="T673" s="8" t="n"/>
      <c r="U673" s="8" t="n"/>
      <c r="V673" s="8" t="n"/>
      <c r="W673" s="8" t="n"/>
      <c r="X673" s="139" t="n"/>
      <c r="Y673" s="137" t="inlineStr">
        <is>
          <t>+</t>
        </is>
      </c>
    </row>
    <row r="674">
      <c r="A674" s="6" t="inlineStr">
        <is>
          <t>работник 347</t>
        </is>
      </c>
      <c r="B674" s="6" t="inlineStr">
        <is>
          <t>Горный мастер</t>
        </is>
      </c>
      <c r="C674" s="6" t="inlineStr">
        <is>
          <t>ОБЩЕСТВО С ОГРАНИЧЕННОЙ ОТВЕТСТВЕННОСТЬЮ "АМУР ЗОЛОТО"</t>
        </is>
      </c>
      <c r="D674" s="7" t="inlineStr">
        <is>
          <t>2708001686</t>
        </is>
      </c>
      <c r="E674" s="6" t="inlineStr">
        <is>
          <t>ООО "Амур Золото"</t>
        </is>
      </c>
      <c r="F674" s="7" t="inlineStr">
        <is>
          <t>2708001686</t>
        </is>
      </c>
      <c r="G674" s="7" t="inlineStr">
        <is>
          <t>Успешно</t>
        </is>
      </c>
      <c r="H674" s="6" t="n"/>
      <c r="I674" s="6" t="n"/>
      <c r="J674" s="6" t="inlineStr">
        <is>
          <t>Пользовательский интерфейс</t>
        </is>
      </c>
      <c r="K674" s="7" t="n">
        <v>3</v>
      </c>
      <c r="L674" s="8" t="n"/>
      <c r="M674" s="137" t="inlineStr">
        <is>
          <t>+</t>
        </is>
      </c>
      <c r="N674" s="8" t="n"/>
      <c r="O674" s="8" t="n"/>
      <c r="P674" s="8" t="n"/>
      <c r="Q674" s="8" t="n"/>
      <c r="R674" s="8" t="n"/>
      <c r="S674" s="8" t="n"/>
      <c r="T674" s="8" t="n"/>
      <c r="U674" s="8" t="n"/>
      <c r="V674" s="8" t="n"/>
      <c r="W674" s="8" t="n"/>
      <c r="X674" s="137" t="inlineStr">
        <is>
          <t>+</t>
        </is>
      </c>
      <c r="Y674" s="137" t="inlineStr">
        <is>
          <t>+</t>
        </is>
      </c>
    </row>
    <row r="675">
      <c r="A675" s="6" t="inlineStr">
        <is>
          <t>работник 245</t>
        </is>
      </c>
      <c r="B675" s="6" t="inlineStr">
        <is>
          <t>Растворщик реагентов / Промывальщик геологических проб</t>
        </is>
      </c>
      <c r="C675" s="6" t="inlineStr">
        <is>
          <t>ОБЩЕСТВО С ОГРАНИЧЕННОЙ ОТВЕТСТВЕННОСТЬЮ "АМУР ЗОЛОТО"</t>
        </is>
      </c>
      <c r="D675" s="7" t="inlineStr">
        <is>
          <t>2708001686</t>
        </is>
      </c>
      <c r="E675" s="6" t="inlineStr">
        <is>
          <t>ООО "Амур Золото"</t>
        </is>
      </c>
      <c r="F675" s="7" t="inlineStr">
        <is>
          <t>2708001686</t>
        </is>
      </c>
      <c r="G675" s="7" t="inlineStr">
        <is>
          <t>Успешно</t>
        </is>
      </c>
      <c r="H675" s="6" t="n"/>
      <c r="I675" s="6" t="n"/>
      <c r="J675" s="6" t="inlineStr">
        <is>
          <t>Пользовательский интерфейс</t>
        </is>
      </c>
      <c r="K675" s="7" t="n">
        <v>5</v>
      </c>
      <c r="L675" s="8" t="n"/>
      <c r="M675" s="137" t="inlineStr">
        <is>
          <t>+</t>
        </is>
      </c>
      <c r="N675" s="8" t="n"/>
      <c r="O675" s="8" t="n"/>
      <c r="P675" s="8" t="n"/>
      <c r="Q675" s="8" t="n"/>
      <c r="R675" s="8" t="n"/>
      <c r="S675" s="8" t="n"/>
      <c r="T675" s="8" t="n"/>
      <c r="U675" s="8" t="n"/>
      <c r="V675" s="8" t="n"/>
      <c r="W675" s="8" t="n"/>
      <c r="X675" s="137" t="inlineStr">
        <is>
          <t>+</t>
        </is>
      </c>
      <c r="Y675" s="137" t="inlineStr">
        <is>
          <t>+</t>
        </is>
      </c>
    </row>
    <row r="676">
      <c r="A676" s="6" t="inlineStr">
        <is>
          <t>работник 757</t>
        </is>
      </c>
      <c r="B676" s="6" t="inlineStr">
        <is>
          <t>Фильтровальщик</t>
        </is>
      </c>
      <c r="C676" s="6" t="inlineStr">
        <is>
          <t>ОБЩЕСТВО С ОГРАНИЧЕННОЙ ОТВЕТСТВЕННОСТЬЮ "АМУР ЗОЛОТО"</t>
        </is>
      </c>
      <c r="D676" s="7" t="inlineStr">
        <is>
          <t>2708001686</t>
        </is>
      </c>
      <c r="E676" s="6" t="inlineStr">
        <is>
          <t>ООО "Амур Золото"</t>
        </is>
      </c>
      <c r="F676" s="7" t="inlineStr">
        <is>
          <t>2708001686</t>
        </is>
      </c>
      <c r="G676" s="7" t="inlineStr">
        <is>
          <t>Успешно</t>
        </is>
      </c>
      <c r="H676" s="6" t="n"/>
      <c r="I676" s="6" t="n"/>
      <c r="J676" s="6" t="inlineStr">
        <is>
          <t>Пользовательский интерфейс</t>
        </is>
      </c>
      <c r="K676" s="7" t="n">
        <v>5</v>
      </c>
      <c r="L676" s="8" t="n"/>
      <c r="M676" s="137" t="inlineStr">
        <is>
          <t>+</t>
        </is>
      </c>
      <c r="N676" s="137" t="inlineStr">
        <is>
          <t>+</t>
        </is>
      </c>
      <c r="O676" s="8" t="n"/>
      <c r="P676" s="137" t="inlineStr">
        <is>
          <t>+</t>
        </is>
      </c>
      <c r="Q676" s="8" t="n"/>
      <c r="R676" s="8" t="n"/>
      <c r="S676" s="8" t="n"/>
      <c r="T676" s="8" t="n"/>
      <c r="U676" s="8" t="n"/>
      <c r="V676" s="8" t="n"/>
      <c r="W676" s="8" t="n"/>
      <c r="X676" s="137" t="inlineStr">
        <is>
          <t>+</t>
        </is>
      </c>
      <c r="Y676" s="137" t="inlineStr">
        <is>
          <t>+</t>
        </is>
      </c>
    </row>
    <row r="677">
      <c r="A677" s="6" t="inlineStr">
        <is>
          <t>работник 822</t>
        </is>
      </c>
      <c r="B677" s="6" t="inlineStr">
        <is>
          <t>Водитель автомобиля (занятый на транспортировании горной массы в технологическом процессе)</t>
        </is>
      </c>
      <c r="C677" s="6" t="inlineStr">
        <is>
          <t>ОБЩЕСТВО С ОГРАНИЧЕННОЙ ОТВЕТСТВЕННОСТЬЮ "АМУР ЗОЛОТО"</t>
        </is>
      </c>
      <c r="D677" s="7" t="inlineStr">
        <is>
          <t>2708001686</t>
        </is>
      </c>
      <c r="E677" s="6" t="inlineStr">
        <is>
          <t>ООО "Амур Золото"</t>
        </is>
      </c>
      <c r="F677" s="7" t="inlineStr">
        <is>
          <t>2708001686</t>
        </is>
      </c>
      <c r="G677" s="7" t="inlineStr">
        <is>
          <t>Успешно</t>
        </is>
      </c>
      <c r="H677" s="6" t="n"/>
      <c r="I677" s="6" t="n"/>
      <c r="J677" s="6" t="inlineStr">
        <is>
          <t>Пользовательский интерфейс</t>
        </is>
      </c>
      <c r="K677" s="7" t="n">
        <v>3</v>
      </c>
      <c r="L677" s="8" t="n"/>
      <c r="M677" s="137" t="inlineStr">
        <is>
          <t>+</t>
        </is>
      </c>
      <c r="N677" s="8" t="n"/>
      <c r="O677" s="8" t="n"/>
      <c r="P677" s="8" t="n"/>
      <c r="Q677" s="8" t="n"/>
      <c r="R677" s="8" t="n"/>
      <c r="S677" s="8" t="n"/>
      <c r="T677" s="8" t="n"/>
      <c r="U677" s="8" t="n"/>
      <c r="V677" s="8" t="n"/>
      <c r="W677" s="8" t="n"/>
      <c r="X677" s="137" t="inlineStr">
        <is>
          <t>+</t>
        </is>
      </c>
      <c r="Y677" s="137" t="inlineStr">
        <is>
          <t>+</t>
        </is>
      </c>
    </row>
    <row r="678">
      <c r="A678" s="6" t="inlineStr">
        <is>
          <t>работник 562</t>
        </is>
      </c>
      <c r="B678" s="6" t="inlineStr">
        <is>
          <t>Машинист погрузочно-доставочной машины</t>
        </is>
      </c>
      <c r="C678" s="6" t="inlineStr">
        <is>
          <t>ОБЩЕСТВО С ОГРАНИЧЕННОЙ ОТВЕТСТВЕННОСТЬЮ "АМУР ЗОЛОТО"</t>
        </is>
      </c>
      <c r="D678" s="7" t="inlineStr">
        <is>
          <t>2708001686</t>
        </is>
      </c>
      <c r="E678" s="6" t="inlineStr">
        <is>
          <t>ООО "Амур Золото"</t>
        </is>
      </c>
      <c r="F678" s="7" t="inlineStr">
        <is>
          <t>2708001686</t>
        </is>
      </c>
      <c r="G678" s="7" t="inlineStr">
        <is>
          <t>Успешно</t>
        </is>
      </c>
      <c r="H678" s="6" t="n"/>
      <c r="I678" s="6" t="n"/>
      <c r="J678" s="6" t="n"/>
      <c r="K678" s="7" t="n">
        <v>2</v>
      </c>
      <c r="L678" s="8" t="n"/>
      <c r="M678" s="137" t="inlineStr">
        <is>
          <t>+</t>
        </is>
      </c>
      <c r="N678" s="8" t="n"/>
      <c r="O678" s="8" t="n"/>
      <c r="P678" s="8" t="n"/>
      <c r="Q678" s="8" t="n"/>
      <c r="R678" s="8" t="n"/>
      <c r="S678" s="8" t="n"/>
      <c r="T678" s="8" t="n"/>
      <c r="U678" s="8" t="n"/>
      <c r="V678" s="8" t="n"/>
      <c r="W678" s="8" t="n"/>
      <c r="X678" s="139" t="n"/>
      <c r="Y678" s="137" t="inlineStr">
        <is>
          <t>+</t>
        </is>
      </c>
    </row>
    <row r="679">
      <c r="A679" s="6" t="inlineStr">
        <is>
          <t>работник 561</t>
        </is>
      </c>
      <c r="B679" s="6" t="inlineStr">
        <is>
          <t>Помощник машиниста самоходной буровой установки (с исполнением обязанностей пробоотборщика) (Очистное)</t>
        </is>
      </c>
      <c r="C679" s="6" t="inlineStr">
        <is>
          <t>ОБЩЕСТВО С ОГРАНИЧЕННОЙ ОТВЕТСТВЕННОСТЬЮ "АМУР ЗОЛОТО"</t>
        </is>
      </c>
      <c r="D679" s="7" t="inlineStr">
        <is>
          <t>2708001686</t>
        </is>
      </c>
      <c r="E679" s="6" t="inlineStr">
        <is>
          <t>ООО "Амур Золото"</t>
        </is>
      </c>
      <c r="F679" s="7" t="inlineStr">
        <is>
          <t>2708001686</t>
        </is>
      </c>
      <c r="G679" s="7" t="inlineStr">
        <is>
          <t>Успешно</t>
        </is>
      </c>
      <c r="H679" s="6" t="n"/>
      <c r="I679" s="6" t="n"/>
      <c r="J679" s="6" t="n"/>
      <c r="K679" s="7" t="n">
        <v>4</v>
      </c>
      <c r="L679" s="8" t="n"/>
      <c r="M679" s="137" t="inlineStr">
        <is>
          <t>+</t>
        </is>
      </c>
      <c r="N679" s="8" t="n"/>
      <c r="O679" s="8" t="n"/>
      <c r="P679" s="8" t="n"/>
      <c r="Q679" s="8" t="n"/>
      <c r="R679" s="8" t="n"/>
      <c r="S679" s="8" t="n"/>
      <c r="T679" s="8" t="n"/>
      <c r="U679" s="8" t="n"/>
      <c r="V679" s="8" t="n"/>
      <c r="W679" s="8" t="n"/>
      <c r="X679" s="139" t="n"/>
      <c r="Y679" s="137" t="inlineStr">
        <is>
          <t>+</t>
        </is>
      </c>
    </row>
    <row r="680">
      <c r="A680" s="6" t="inlineStr">
        <is>
          <t>работник 493</t>
        </is>
      </c>
      <c r="B680" s="6" t="inlineStr">
        <is>
          <t>Машинист погрузочно-доставочной машины</t>
        </is>
      </c>
      <c r="C680" s="6" t="inlineStr">
        <is>
          <t>ОБЩЕСТВО С ОГРАНИЧЕННОЙ ОТВЕТСТВЕННОСТЬЮ "АМУР ЗОЛОТО"</t>
        </is>
      </c>
      <c r="D680" s="7" t="inlineStr">
        <is>
          <t>2708001686</t>
        </is>
      </c>
      <c r="E680" s="6" t="inlineStr">
        <is>
          <t>ООО "Амур Золото"</t>
        </is>
      </c>
      <c r="F680" s="7" t="inlineStr">
        <is>
          <t>2708001686</t>
        </is>
      </c>
      <c r="G680" s="7" t="inlineStr">
        <is>
          <t>Успешно</t>
        </is>
      </c>
      <c r="H680" s="6" t="n"/>
      <c r="I680" s="6" t="n"/>
      <c r="J680" s="6" t="inlineStr">
        <is>
          <t>Пользовательский интерфейс</t>
        </is>
      </c>
      <c r="K680" s="7" t="n">
        <v>6</v>
      </c>
      <c r="L680" s="8" t="n"/>
      <c r="M680" s="137" t="inlineStr">
        <is>
          <t>+</t>
        </is>
      </c>
      <c r="N680" s="8" t="n"/>
      <c r="O680" s="8" t="n"/>
      <c r="P680" s="8" t="n"/>
      <c r="Q680" s="8" t="n"/>
      <c r="R680" s="8" t="n"/>
      <c r="S680" s="8" t="n"/>
      <c r="T680" s="8" t="n"/>
      <c r="U680" s="8" t="n"/>
      <c r="V680" s="8" t="n"/>
      <c r="W680" s="8" t="n"/>
      <c r="X680" s="137" t="inlineStr">
        <is>
          <t>+</t>
        </is>
      </c>
      <c r="Y680" s="137" t="inlineStr">
        <is>
          <t>+</t>
        </is>
      </c>
    </row>
    <row r="681">
      <c r="A681" s="6" t="inlineStr">
        <is>
          <t>работник 547</t>
        </is>
      </c>
      <c r="B681" s="6" t="inlineStr">
        <is>
          <t>Слесарь-ремонтник (по ремонту самоходной техники)</t>
        </is>
      </c>
      <c r="C681" s="6" t="inlineStr">
        <is>
          <t>ОБЩЕСТВО С ОГРАНИЧЕННОЙ ОТВЕТСТВЕННОСТЬЮ "АМУР ЗОЛОТО"</t>
        </is>
      </c>
      <c r="D681" s="7" t="inlineStr">
        <is>
          <t>2708001686</t>
        </is>
      </c>
      <c r="E681" s="6" t="inlineStr">
        <is>
          <t>ООО "Амур Золото"</t>
        </is>
      </c>
      <c r="F681" s="7" t="inlineStr">
        <is>
          <t>2708001686</t>
        </is>
      </c>
      <c r="G681" s="7" t="inlineStr">
        <is>
          <t>Успешно</t>
        </is>
      </c>
      <c r="H681" s="6" t="n"/>
      <c r="I681" s="6" t="n"/>
      <c r="J681" s="6" t="n"/>
      <c r="K681" s="7" t="n">
        <v>2</v>
      </c>
      <c r="L681" s="8" t="n"/>
      <c r="M681" s="137" t="inlineStr">
        <is>
          <t>+</t>
        </is>
      </c>
      <c r="N681" s="8" t="n"/>
      <c r="O681" s="8" t="n"/>
      <c r="P681" s="8" t="n"/>
      <c r="Q681" s="8" t="n"/>
      <c r="R681" s="8" t="n"/>
      <c r="S681" s="8" t="n"/>
      <c r="T681" s="8" t="n"/>
      <c r="U681" s="8" t="n"/>
      <c r="V681" s="8" t="n"/>
      <c r="W681" s="8" t="n"/>
      <c r="X681" s="139" t="n"/>
      <c r="Y681" s="137" t="inlineStr">
        <is>
          <t>+</t>
        </is>
      </c>
    </row>
    <row r="682">
      <c r="A682" s="6" t="inlineStr">
        <is>
          <t>работник 12</t>
        </is>
      </c>
      <c r="B682" s="6" t="inlineStr">
        <is>
          <t>Электромеханик подземного горного участка</t>
        </is>
      </c>
      <c r="C682" s="6" t="inlineStr">
        <is>
          <t>ООО "Амур золото". Подразделение: горно-обогатительный комплекс "Юбилейный"</t>
        </is>
      </c>
      <c r="D682" s="7" t="inlineStr">
        <is>
          <t>2708001686</t>
        </is>
      </c>
      <c r="E682" s="6" t="inlineStr">
        <is>
          <t>Автономная некоммерческая организация дополнительного профессионального образования и сертификации "Перспектива"</t>
        </is>
      </c>
      <c r="F682" s="7" t="inlineStr">
        <is>
          <t>2722126782</t>
        </is>
      </c>
      <c r="G682" s="7" t="inlineStr">
        <is>
          <t>Успешно</t>
        </is>
      </c>
      <c r="H682" s="6" t="n"/>
      <c r="I682" s="6" t="n"/>
      <c r="J682" s="6" t="inlineStr">
        <is>
          <t>Пользовательский интерфейс</t>
        </is>
      </c>
      <c r="K682" s="7" t="n">
        <v>4</v>
      </c>
      <c r="L682" s="138" t="inlineStr">
        <is>
          <t>+</t>
        </is>
      </c>
      <c r="M682" s="137" t="inlineStr">
        <is>
          <t>+</t>
        </is>
      </c>
      <c r="N682" s="8" t="n"/>
      <c r="O682" s="8" t="n"/>
      <c r="P682" s="8" t="n"/>
      <c r="Q682" s="8" t="n"/>
      <c r="R682" s="8" t="n"/>
      <c r="S682" s="8" t="n"/>
      <c r="T682" s="8" t="n"/>
      <c r="U682" s="8" t="n"/>
      <c r="V682" s="8" t="n"/>
      <c r="W682" s="8" t="n"/>
      <c r="X682" s="140" t="inlineStr">
        <is>
          <t>+</t>
        </is>
      </c>
      <c r="Y682" s="137" t="inlineStr">
        <is>
          <t>+</t>
        </is>
      </c>
    </row>
    <row r="683">
      <c r="A683" s="6" t="inlineStr">
        <is>
          <t>работник 27</t>
        </is>
      </c>
      <c r="B683" s="6" t="inlineStr">
        <is>
          <t>Электрогазосварщик</t>
        </is>
      </c>
      <c r="C683" s="6" t="inlineStr">
        <is>
          <t>ОБЩЕСТВО С ОГРАНИЧЕННОЙ ОТВЕТСТВЕННОСТЬЮ "АМУР ЗОЛОТО"</t>
        </is>
      </c>
      <c r="D683" s="7" t="inlineStr">
        <is>
          <t>2708001686</t>
        </is>
      </c>
      <c r="E683" s="6" t="inlineStr">
        <is>
          <t>ООО "Амур Золото"</t>
        </is>
      </c>
      <c r="F683" s="7" t="inlineStr">
        <is>
          <t>2708001686</t>
        </is>
      </c>
      <c r="G683" s="7" t="inlineStr">
        <is>
          <t>Успешно</t>
        </is>
      </c>
      <c r="H683" s="6" t="n"/>
      <c r="I683" s="6" t="n"/>
      <c r="J683" s="6" t="inlineStr">
        <is>
          <t>Пользовательский интерфейс</t>
        </is>
      </c>
      <c r="K683" s="7" t="n">
        <v>5</v>
      </c>
      <c r="L683" s="8" t="n"/>
      <c r="M683" s="139" t="n"/>
      <c r="N683" s="137" t="inlineStr">
        <is>
          <t>+</t>
        </is>
      </c>
      <c r="O683" s="137" t="inlineStr">
        <is>
          <t>+</t>
        </is>
      </c>
      <c r="P683" s="137" t="inlineStr">
        <is>
          <t>+</t>
        </is>
      </c>
      <c r="Q683" s="137" t="inlineStr">
        <is>
          <t>+</t>
        </is>
      </c>
      <c r="R683" s="137" t="inlineStr">
        <is>
          <t>+</t>
        </is>
      </c>
      <c r="S683" s="8" t="n"/>
      <c r="T683" s="8" t="n"/>
      <c r="U683" s="8" t="n"/>
      <c r="V683" s="8" t="n"/>
      <c r="W683" s="8" t="n"/>
      <c r="X683" s="139" t="n"/>
      <c r="Y683" s="141" t="n"/>
    </row>
    <row r="684">
      <c r="A684" s="6" t="inlineStr">
        <is>
          <t>работник 609</t>
        </is>
      </c>
      <c r="B684" s="6" t="inlineStr">
        <is>
          <t>Слесарь-сантехник</t>
        </is>
      </c>
      <c r="C684" s="6" t="inlineStr">
        <is>
          <t>ОБЩЕСТВО С ОГРАНИЧЕННОЙ ОТВЕТСТВЕННОСТЬЮ "АМУР ЗОЛОТО"</t>
        </is>
      </c>
      <c r="D684" s="7" t="inlineStr">
        <is>
          <t>2708001686</t>
        </is>
      </c>
      <c r="E684" s="6" t="inlineStr">
        <is>
          <t>ООО "Амур Золото"</t>
        </is>
      </c>
      <c r="F684" s="7" t="inlineStr">
        <is>
          <t>2708001686</t>
        </is>
      </c>
      <c r="G684" s="7" t="inlineStr">
        <is>
          <t>Успешно</t>
        </is>
      </c>
      <c r="H684" s="6" t="n"/>
      <c r="I684" s="6" t="n"/>
      <c r="J684" s="6" t="n"/>
      <c r="K684" s="7" t="n">
        <v>2</v>
      </c>
      <c r="L684" s="8" t="n"/>
      <c r="M684" s="137" t="inlineStr">
        <is>
          <t>+</t>
        </is>
      </c>
      <c r="N684" s="8" t="n"/>
      <c r="O684" s="8" t="n"/>
      <c r="P684" s="8" t="n"/>
      <c r="Q684" s="8" t="n"/>
      <c r="R684" s="8" t="n"/>
      <c r="S684" s="8" t="n"/>
      <c r="T684" s="8" t="n"/>
      <c r="U684" s="8" t="n"/>
      <c r="V684" s="8" t="n"/>
      <c r="W684" s="8" t="n"/>
      <c r="X684" s="139" t="n"/>
      <c r="Y684" s="137" t="inlineStr">
        <is>
          <t>+</t>
        </is>
      </c>
    </row>
    <row r="685">
      <c r="A685" s="6" t="inlineStr">
        <is>
          <t>работник 581</t>
        </is>
      </c>
      <c r="B685" s="6" t="inlineStr">
        <is>
          <t>Электромонтер по ремонту и обслуживанию электрооборудования</t>
        </is>
      </c>
      <c r="C685" s="6" t="inlineStr">
        <is>
          <t>ОБЩЕСТВО С ОГРАНИЧЕННОЙ ОТВЕТСТВЕННОСТЬЮ "АМУР ЗОЛОТО"</t>
        </is>
      </c>
      <c r="D685" s="7" t="inlineStr">
        <is>
          <t>2708001686</t>
        </is>
      </c>
      <c r="E685" s="6" t="inlineStr">
        <is>
          <t>ООО "Амур Золото"</t>
        </is>
      </c>
      <c r="F685" s="7" t="inlineStr">
        <is>
          <t>2708001686</t>
        </is>
      </c>
      <c r="G685" s="7" t="inlineStr">
        <is>
          <t>Успешно</t>
        </is>
      </c>
      <c r="H685" s="6" t="n"/>
      <c r="I685" s="6" t="n"/>
      <c r="J685" s="6" t="inlineStr">
        <is>
          <t>Пользовательский интерфейс</t>
        </is>
      </c>
      <c r="K685" s="7" t="n">
        <v>3</v>
      </c>
      <c r="L685" s="8" t="n"/>
      <c r="M685" s="137" t="inlineStr">
        <is>
          <t>+</t>
        </is>
      </c>
      <c r="N685" s="8" t="n"/>
      <c r="O685" s="8" t="n"/>
      <c r="P685" s="8" t="n"/>
      <c r="Q685" s="8" t="n"/>
      <c r="R685" s="8" t="n"/>
      <c r="S685" s="8" t="n"/>
      <c r="T685" s="137" t="inlineStr">
        <is>
          <t>+</t>
        </is>
      </c>
      <c r="U685" s="8" t="n"/>
      <c r="V685" s="8" t="n"/>
      <c r="W685" s="8" t="n"/>
      <c r="X685" s="139" t="n"/>
      <c r="Y685" s="137" t="inlineStr">
        <is>
          <t>+</t>
        </is>
      </c>
    </row>
    <row r="686">
      <c r="A686" s="6" t="inlineStr">
        <is>
          <t>работник 793</t>
        </is>
      </c>
      <c r="B686" s="6" t="inlineStr">
        <is>
          <t>Водитель погрузчика</t>
        </is>
      </c>
      <c r="C686" s="6" t="inlineStr">
        <is>
          <t>ОБЩЕСТВО С ОГРАНИЧЕННОЙ ОТВЕТСТВЕННОСТЬЮ "АМУР ЗОЛОТО"</t>
        </is>
      </c>
      <c r="D686" s="7" t="inlineStr">
        <is>
          <t>2708001686</t>
        </is>
      </c>
      <c r="E686" s="6" t="inlineStr">
        <is>
          <t>ООО "Амур Золото"</t>
        </is>
      </c>
      <c r="F686" s="7" t="inlineStr">
        <is>
          <t>2708001686</t>
        </is>
      </c>
      <c r="G686" s="7" t="inlineStr">
        <is>
          <t>Успешно</t>
        </is>
      </c>
      <c r="H686" s="6" t="n"/>
      <c r="I686" s="6" t="n"/>
      <c r="J686" s="6" t="inlineStr">
        <is>
          <t>Пользовательский интерфейс</t>
        </is>
      </c>
      <c r="K686" s="7" t="n">
        <v>3</v>
      </c>
      <c r="L686" s="8" t="n"/>
      <c r="M686" s="137" t="inlineStr">
        <is>
          <t>+</t>
        </is>
      </c>
      <c r="N686" s="8" t="n"/>
      <c r="O686" s="8" t="n"/>
      <c r="P686" s="8" t="n"/>
      <c r="Q686" s="8" t="n"/>
      <c r="R686" s="8" t="n"/>
      <c r="S686" s="8" t="n"/>
      <c r="T686" s="8" t="n"/>
      <c r="U686" s="8" t="n"/>
      <c r="V686" s="8" t="n"/>
      <c r="W686" s="8" t="n"/>
      <c r="X686" s="137" t="inlineStr">
        <is>
          <t>+</t>
        </is>
      </c>
      <c r="Y686" s="137" t="inlineStr">
        <is>
          <t>+</t>
        </is>
      </c>
    </row>
    <row r="687">
      <c r="A687" s="6" t="inlineStr">
        <is>
          <t>работник 876</t>
        </is>
      </c>
      <c r="B687" s="6" t="inlineStr">
        <is>
          <t>Фильтровальщик</t>
        </is>
      </c>
      <c r="C687" s="6" t="inlineStr">
        <is>
          <t>ОБЩЕСТВО С ОГРАНИЧЕННОЙ ОТВЕТСТВЕННОСТЬЮ "АМУР ЗОЛОТО"</t>
        </is>
      </c>
      <c r="D687" s="7" t="inlineStr">
        <is>
          <t>2708001686</t>
        </is>
      </c>
      <c r="E687" s="6" t="inlineStr">
        <is>
          <t>ООО "Амур Золото"</t>
        </is>
      </c>
      <c r="F687" s="7" t="inlineStr">
        <is>
          <t>2708001686</t>
        </is>
      </c>
      <c r="G687" s="7" t="inlineStr">
        <is>
          <t>Успешно</t>
        </is>
      </c>
      <c r="H687" s="6" t="n"/>
      <c r="I687" s="6" t="n"/>
      <c r="J687" s="6" t="inlineStr">
        <is>
          <t>Пользовательский интерфейс</t>
        </is>
      </c>
      <c r="K687" s="7" t="n">
        <v>3</v>
      </c>
      <c r="L687" s="8" t="n"/>
      <c r="M687" s="137" t="inlineStr">
        <is>
          <t>+</t>
        </is>
      </c>
      <c r="N687" s="8" t="n"/>
      <c r="O687" s="8" t="n"/>
      <c r="P687" s="8" t="n"/>
      <c r="Q687" s="8" t="n"/>
      <c r="R687" s="8" t="n"/>
      <c r="S687" s="8" t="n"/>
      <c r="T687" s="8" t="n"/>
      <c r="U687" s="8" t="n"/>
      <c r="V687" s="8" t="n"/>
      <c r="W687" s="8" t="n"/>
      <c r="X687" s="137" t="inlineStr">
        <is>
          <t>+</t>
        </is>
      </c>
      <c r="Y687" s="137" t="inlineStr">
        <is>
          <t>+</t>
        </is>
      </c>
    </row>
    <row r="688">
      <c r="A688" s="6" t="inlineStr">
        <is>
          <t>работник 673</t>
        </is>
      </c>
      <c r="B688" s="6" t="inlineStr">
        <is>
          <t>Слесарь-ремонтник (по ремонту обогатительного оборудования) / Слесарь-ремонтник по ремонту обогатительного оборудования</t>
        </is>
      </c>
      <c r="C688" s="6" t="inlineStr">
        <is>
          <t>ОБЩЕСТВО С ОГРАНИЧЕННОЙ ОТВЕТСТВЕННОСТЬЮ "АМУР ЗОЛОТО"</t>
        </is>
      </c>
      <c r="D688" s="7" t="inlineStr">
        <is>
          <t>2708001686</t>
        </is>
      </c>
      <c r="E688" s="6" t="inlineStr">
        <is>
          <t>ООО "Амур Золото"</t>
        </is>
      </c>
      <c r="F688" s="7" t="inlineStr">
        <is>
          <t>2708001686</t>
        </is>
      </c>
      <c r="G688" s="7" t="inlineStr">
        <is>
          <t>Успешно</t>
        </is>
      </c>
      <c r="H688" s="6" t="n"/>
      <c r="I688" s="6" t="n"/>
      <c r="J688" s="6" t="inlineStr">
        <is>
          <t>Пользовательский интерфейс</t>
        </is>
      </c>
      <c r="K688" s="7" t="n">
        <v>5</v>
      </c>
      <c r="L688" s="8" t="n"/>
      <c r="M688" s="137" t="inlineStr">
        <is>
          <t>+</t>
        </is>
      </c>
      <c r="N688" s="8" t="n"/>
      <c r="O688" s="8" t="n"/>
      <c r="P688" s="8" t="n"/>
      <c r="Q688" s="8" t="n"/>
      <c r="R688" s="8" t="n"/>
      <c r="S688" s="8" t="n"/>
      <c r="T688" s="8" t="n"/>
      <c r="U688" s="8" t="n"/>
      <c r="V688" s="8" t="n"/>
      <c r="W688" s="8" t="n"/>
      <c r="X688" s="137" t="inlineStr">
        <is>
          <t>+</t>
        </is>
      </c>
      <c r="Y688" s="137" t="inlineStr">
        <is>
          <t>+</t>
        </is>
      </c>
    </row>
    <row r="689">
      <c r="A689" s="6" t="inlineStr">
        <is>
          <t>работник 585</t>
        </is>
      </c>
      <c r="B689" s="6" t="inlineStr">
        <is>
          <t>Фильтровальщик / Аппаратчик-гидрометаллург</t>
        </is>
      </c>
      <c r="C689" s="6" t="inlineStr">
        <is>
          <t>ОБЩЕСТВО С ОГРАНИЧЕННОЙ ОТВЕТСТВЕННОСТЬЮ "АМУР ЗОЛОТО"</t>
        </is>
      </c>
      <c r="D689" s="7" t="inlineStr">
        <is>
          <t>2708001686</t>
        </is>
      </c>
      <c r="E689" s="6" t="inlineStr">
        <is>
          <t>ООО "Амур Золото"</t>
        </is>
      </c>
      <c r="F689" s="7" t="inlineStr">
        <is>
          <t>2708001686</t>
        </is>
      </c>
      <c r="G689" s="7" t="inlineStr">
        <is>
          <t>Успешно</t>
        </is>
      </c>
      <c r="H689" s="6" t="n"/>
      <c r="I689" s="6" t="n"/>
      <c r="J689" s="6" t="inlineStr">
        <is>
          <t>Пользовательский интерфейс</t>
        </is>
      </c>
      <c r="K689" s="7" t="n">
        <v>7</v>
      </c>
      <c r="L689" s="8" t="n"/>
      <c r="M689" s="137" t="inlineStr">
        <is>
          <t>+</t>
        </is>
      </c>
      <c r="N689" s="137" t="inlineStr">
        <is>
          <t>+</t>
        </is>
      </c>
      <c r="O689" s="8" t="n"/>
      <c r="P689" s="137" t="inlineStr">
        <is>
          <t>+</t>
        </is>
      </c>
      <c r="Q689" s="8" t="n"/>
      <c r="R689" s="8" t="n"/>
      <c r="S689" s="8" t="n"/>
      <c r="T689" s="8" t="n"/>
      <c r="U689" s="8" t="n"/>
      <c r="V689" s="8" t="n"/>
      <c r="W689" s="8" t="n"/>
      <c r="X689" s="137" t="inlineStr">
        <is>
          <t>+</t>
        </is>
      </c>
      <c r="Y689" s="137" t="inlineStr">
        <is>
          <t>+</t>
        </is>
      </c>
    </row>
    <row r="690">
      <c r="A690" s="6" t="inlineStr">
        <is>
          <t>работник 116</t>
        </is>
      </c>
      <c r="B690" s="6" t="inlineStr">
        <is>
          <t>Фильтровальщик</t>
        </is>
      </c>
      <c r="C690" s="6" t="inlineStr">
        <is>
          <t>ОБЩЕСТВО С ОГРАНИЧЕННОЙ ОТВЕТСТВЕННОСТЬЮ "АМУР ЗОЛОТО"</t>
        </is>
      </c>
      <c r="D690" s="7" t="inlineStr">
        <is>
          <t>2708001686</t>
        </is>
      </c>
      <c r="E690" s="6" t="inlineStr">
        <is>
          <t>ООО "Амур Золото"</t>
        </is>
      </c>
      <c r="F690" s="7" t="inlineStr">
        <is>
          <t>2708001686</t>
        </is>
      </c>
      <c r="G690" s="7" t="inlineStr">
        <is>
          <t>Успешно</t>
        </is>
      </c>
      <c r="H690" s="6" t="n"/>
      <c r="I690" s="6" t="n"/>
      <c r="J690" s="6" t="inlineStr">
        <is>
          <t>Пользовательский интерфейс</t>
        </is>
      </c>
      <c r="K690" s="7" t="n">
        <v>3</v>
      </c>
      <c r="L690" s="8" t="n"/>
      <c r="M690" s="137" t="inlineStr">
        <is>
          <t>+</t>
        </is>
      </c>
      <c r="N690" s="8" t="n"/>
      <c r="O690" s="8" t="n"/>
      <c r="P690" s="8" t="n"/>
      <c r="Q690" s="8" t="n"/>
      <c r="R690" s="8" t="n"/>
      <c r="S690" s="8" t="n"/>
      <c r="T690" s="8" t="n"/>
      <c r="U690" s="8" t="n"/>
      <c r="V690" s="8" t="n"/>
      <c r="W690" s="8" t="n"/>
      <c r="X690" s="137" t="inlineStr">
        <is>
          <t>+</t>
        </is>
      </c>
      <c r="Y690" s="137" t="inlineStr">
        <is>
          <t>+</t>
        </is>
      </c>
    </row>
    <row r="691">
      <c r="A691" s="6" t="inlineStr">
        <is>
          <t>работник 506</t>
        </is>
      </c>
      <c r="B691" s="6" t="inlineStr">
        <is>
          <t>Филтровальщик</t>
        </is>
      </c>
      <c r="C691" s="6" t="inlineStr">
        <is>
          <t>ОБЩЕСТВО С ОГРАНИЧЕННОЙ ОТВЕТСТВЕННОСТЬЮ "АМУР ЗОЛОТО"</t>
        </is>
      </c>
      <c r="D691" s="7" t="inlineStr">
        <is>
          <t>2708001686</t>
        </is>
      </c>
      <c r="E691" s="6" t="inlineStr">
        <is>
          <t>ООО "Амур Золото"</t>
        </is>
      </c>
      <c r="F691" s="7" t="inlineStr">
        <is>
          <t>2708001686</t>
        </is>
      </c>
      <c r="G691" s="7" t="inlineStr">
        <is>
          <t>Успешно</t>
        </is>
      </c>
      <c r="H691" s="6" t="n"/>
      <c r="I691" s="6" t="n"/>
      <c r="J691" s="6" t="n"/>
      <c r="K691" s="7" t="n">
        <v>2</v>
      </c>
      <c r="L691" s="8" t="n"/>
      <c r="M691" s="137" t="inlineStr">
        <is>
          <t>+</t>
        </is>
      </c>
      <c r="N691" s="8" t="n"/>
      <c r="O691" s="8" t="n"/>
      <c r="P691" s="8" t="n"/>
      <c r="Q691" s="8" t="n"/>
      <c r="R691" s="8" t="n"/>
      <c r="S691" s="8" t="n"/>
      <c r="T691" s="8" t="n"/>
      <c r="U691" s="8" t="n"/>
      <c r="V691" s="8" t="n"/>
      <c r="W691" s="8" t="n"/>
      <c r="X691" s="139" t="n"/>
      <c r="Y691" s="137" t="inlineStr">
        <is>
          <t>+</t>
        </is>
      </c>
    </row>
    <row r="692">
      <c r="A692" s="6" t="inlineStr">
        <is>
          <t>работник 414</t>
        </is>
      </c>
      <c r="B692" s="6" t="inlineStr">
        <is>
          <t>Машинист самоходной буровой установки</t>
        </is>
      </c>
      <c r="C692" s="6" t="inlineStr">
        <is>
          <t>ОБЩЕСТВО С ОГРАНИЧЕННОЙ ОТВЕТСТВЕННОСТЬЮ "АМУР ЗОЛОТО"</t>
        </is>
      </c>
      <c r="D692" s="7" t="inlineStr">
        <is>
          <t>2708001686</t>
        </is>
      </c>
      <c r="E692" s="6" t="inlineStr">
        <is>
          <t>ООО "Амур Золото"</t>
        </is>
      </c>
      <c r="F692" s="7" t="inlineStr">
        <is>
          <t>2708001686</t>
        </is>
      </c>
      <c r="G692" s="7" t="inlineStr">
        <is>
          <t>Успешно</t>
        </is>
      </c>
      <c r="H692" s="6" t="n"/>
      <c r="I692" s="6" t="n"/>
      <c r="J692" s="6" t="inlineStr">
        <is>
          <t>Пользовательский интерфейс</t>
        </is>
      </c>
      <c r="K692" s="7" t="n">
        <v>2</v>
      </c>
      <c r="L692" s="8" t="n"/>
      <c r="M692" s="137" t="inlineStr">
        <is>
          <t>+</t>
        </is>
      </c>
      <c r="N692" s="8" t="n"/>
      <c r="O692" s="8" t="n"/>
      <c r="P692" s="8" t="n"/>
      <c r="Q692" s="8" t="n"/>
      <c r="R692" s="8" t="n"/>
      <c r="S692" s="8" t="n"/>
      <c r="T692" s="8" t="n"/>
      <c r="U692" s="8" t="n"/>
      <c r="V692" s="8" t="n"/>
      <c r="W692" s="8" t="n"/>
      <c r="X692" s="139" t="n"/>
      <c r="Y692" s="137" t="inlineStr">
        <is>
          <t>+</t>
        </is>
      </c>
    </row>
    <row r="693">
      <c r="A693" s="6" t="inlineStr">
        <is>
          <t>работник 734</t>
        </is>
      </c>
      <c r="B693" s="6" t="inlineStr">
        <is>
          <t>Горнорабочий</t>
        </is>
      </c>
      <c r="C693" s="6" t="inlineStr">
        <is>
          <t>ОБЩЕСТВО С ОГРАНИЧЕННОЙ ОТВЕТСТВЕННОСТЬЮ "АМУР ЗОЛОТО"</t>
        </is>
      </c>
      <c r="D693" s="7" t="inlineStr">
        <is>
          <t>2708001686</t>
        </is>
      </c>
      <c r="E693" s="6" t="inlineStr">
        <is>
          <t>ООО "Амур Золото"</t>
        </is>
      </c>
      <c r="F693" s="7" t="inlineStr">
        <is>
          <t>2708001686</t>
        </is>
      </c>
      <c r="G693" s="7" t="inlineStr">
        <is>
          <t>Успешно</t>
        </is>
      </c>
      <c r="H693" s="6" t="n"/>
      <c r="I693" s="6" t="n"/>
      <c r="J693" s="6" t="inlineStr">
        <is>
          <t>Пользовательский интерфейс</t>
        </is>
      </c>
      <c r="K693" s="7" t="n">
        <v>2</v>
      </c>
      <c r="L693" s="8" t="n"/>
      <c r="M693" s="137" t="inlineStr">
        <is>
          <t>+</t>
        </is>
      </c>
      <c r="N693" s="8" t="n"/>
      <c r="O693" s="8" t="n"/>
      <c r="P693" s="8" t="n"/>
      <c r="Q693" s="8" t="n"/>
      <c r="R693" s="8" t="n"/>
      <c r="S693" s="8" t="n"/>
      <c r="T693" s="8" t="n"/>
      <c r="U693" s="8" t="n"/>
      <c r="V693" s="8" t="n"/>
      <c r="W693" s="8" t="n"/>
      <c r="X693" s="139" t="n"/>
      <c r="Y693" s="137" t="inlineStr">
        <is>
          <t>+</t>
        </is>
      </c>
    </row>
    <row r="694">
      <c r="A694" s="6" t="inlineStr">
        <is>
          <t>работник 203</t>
        </is>
      </c>
      <c r="B694" s="6" t="inlineStr">
        <is>
          <t>Водитель автомобиля(занятый на траспортировании горной массы в технологическом процессе)</t>
        </is>
      </c>
      <c r="C694" s="6" t="inlineStr">
        <is>
          <t>ОБЩЕСТВО С ОГРАНИЧЕННОЙ ОТВЕТСТВЕННОСТЬЮ "АМУР ЗОЛОТО"</t>
        </is>
      </c>
      <c r="D694" s="7" t="inlineStr">
        <is>
          <t>2708001686</t>
        </is>
      </c>
      <c r="E694" s="6" t="inlineStr">
        <is>
          <t>ООО "Амур Золото"</t>
        </is>
      </c>
      <c r="F694" s="7" t="inlineStr">
        <is>
          <t>2708001686</t>
        </is>
      </c>
      <c r="G694" s="7" t="inlineStr">
        <is>
          <t>Успешно</t>
        </is>
      </c>
      <c r="H694" s="6" t="n"/>
      <c r="I694" s="6" t="n"/>
      <c r="J694" s="6" t="inlineStr">
        <is>
          <t>Пользовательский интерфейс</t>
        </is>
      </c>
      <c r="K694" s="7" t="n">
        <v>3</v>
      </c>
      <c r="L694" s="8" t="n"/>
      <c r="M694" s="137" t="inlineStr">
        <is>
          <t>+</t>
        </is>
      </c>
      <c r="N694" s="8" t="n"/>
      <c r="O694" s="8" t="n"/>
      <c r="P694" s="8" t="n"/>
      <c r="Q694" s="8" t="n"/>
      <c r="R694" s="8" t="n"/>
      <c r="S694" s="8" t="n"/>
      <c r="T694" s="8" t="n"/>
      <c r="U694" s="8" t="n"/>
      <c r="V694" s="8" t="n"/>
      <c r="W694" s="8" t="n"/>
      <c r="X694" s="137" t="inlineStr">
        <is>
          <t>+</t>
        </is>
      </c>
      <c r="Y694" s="137" t="inlineStr">
        <is>
          <t>+</t>
        </is>
      </c>
    </row>
    <row r="695">
      <c r="A695" s="6" t="inlineStr">
        <is>
          <t>работник 173</t>
        </is>
      </c>
      <c r="B695" s="6" t="inlineStr">
        <is>
          <t>Проходчик (с исполнением обязанностей взрывника)</t>
        </is>
      </c>
      <c r="C695" s="6" t="inlineStr">
        <is>
          <t>ОБЩЕСТВО С ОГРАНИЧЕННОЙ ОТВЕТСТВЕННОСТЬЮ "АМУР ЗОЛОТО"</t>
        </is>
      </c>
      <c r="D695" s="7" t="inlineStr">
        <is>
          <t>2708001686</t>
        </is>
      </c>
      <c r="E695" s="6" t="inlineStr">
        <is>
          <t>ООО "Амур Золото"</t>
        </is>
      </c>
      <c r="F695" s="7" t="inlineStr">
        <is>
          <t>2708001686</t>
        </is>
      </c>
      <c r="G695" s="7" t="inlineStr">
        <is>
          <t>Успешно</t>
        </is>
      </c>
      <c r="H695" s="6" t="n"/>
      <c r="I695" s="6" t="n"/>
      <c r="J695" s="6" t="inlineStr">
        <is>
          <t>Пользовательский интерфейс</t>
        </is>
      </c>
      <c r="K695" s="7" t="n">
        <v>3</v>
      </c>
      <c r="L695" s="8" t="n"/>
      <c r="M695" s="137" t="inlineStr">
        <is>
          <t>+</t>
        </is>
      </c>
      <c r="N695" s="8" t="n"/>
      <c r="O695" s="8" t="n"/>
      <c r="P695" s="8" t="n"/>
      <c r="Q695" s="8" t="n"/>
      <c r="R695" s="8" t="n"/>
      <c r="S695" s="8" t="n"/>
      <c r="T695" s="8" t="n"/>
      <c r="U695" s="8" t="n"/>
      <c r="V695" s="8" t="n"/>
      <c r="W695" s="8" t="n"/>
      <c r="X695" s="137" t="inlineStr">
        <is>
          <t>+</t>
        </is>
      </c>
      <c r="Y695" s="137" t="inlineStr">
        <is>
          <t>+</t>
        </is>
      </c>
    </row>
    <row r="696">
      <c r="A696" s="6" t="inlineStr">
        <is>
          <t>работник 51</t>
        </is>
      </c>
      <c r="B696" s="6" t="inlineStr">
        <is>
          <t>Машинист ДВС</t>
        </is>
      </c>
      <c r="C696" s="6" t="inlineStr">
        <is>
          <t>ОБЩЕСТВО С ОГРАНИЧЕННОЙ ОТВЕТСТВЕННОСТЬЮ "АМУР ЗОЛОТО"</t>
        </is>
      </c>
      <c r="D696" s="7" t="inlineStr">
        <is>
          <t>2708001686</t>
        </is>
      </c>
      <c r="E696" s="6" t="inlineStr">
        <is>
          <t>ООО "Амур Золото"</t>
        </is>
      </c>
      <c r="F696" s="7" t="inlineStr">
        <is>
          <t>2708001686</t>
        </is>
      </c>
      <c r="G696" s="7" t="inlineStr">
        <is>
          <t>Успешно</t>
        </is>
      </c>
      <c r="H696" s="6" t="n"/>
      <c r="I696" s="6" t="n"/>
      <c r="J696" s="6" t="inlineStr">
        <is>
          <t>Пользовательский интерфейс</t>
        </is>
      </c>
      <c r="K696" s="7" t="n">
        <v>3</v>
      </c>
      <c r="L696" s="8" t="n"/>
      <c r="M696" s="137" t="inlineStr">
        <is>
          <t>+</t>
        </is>
      </c>
      <c r="N696" s="8" t="n"/>
      <c r="O696" s="8" t="n"/>
      <c r="P696" s="8" t="n"/>
      <c r="Q696" s="8" t="n"/>
      <c r="R696" s="8" t="n"/>
      <c r="S696" s="8" t="n"/>
      <c r="T696" s="8" t="n"/>
      <c r="U696" s="8" t="n"/>
      <c r="V696" s="8" t="n"/>
      <c r="W696" s="8" t="n"/>
      <c r="X696" s="137" t="inlineStr">
        <is>
          <t>+</t>
        </is>
      </c>
      <c r="Y696" s="137" t="inlineStr">
        <is>
          <t>+</t>
        </is>
      </c>
    </row>
    <row r="697">
      <c r="A697" s="6" t="inlineStr">
        <is>
          <t>работник 375</t>
        </is>
      </c>
      <c r="B697" s="6" t="inlineStr">
        <is>
          <t>Крепильщик</t>
        </is>
      </c>
      <c r="C697" s="6" t="inlineStr">
        <is>
          <t>ОБЩЕСТВО С ОГРАНИЧЕННОЙ ОТВЕТСТВЕННОСТЬЮ "АМУР ЗОЛОТО"</t>
        </is>
      </c>
      <c r="D697" s="7" t="inlineStr">
        <is>
          <t>2708001686</t>
        </is>
      </c>
      <c r="E697" s="6" t="inlineStr">
        <is>
          <t>ООО "Амур Золото"</t>
        </is>
      </c>
      <c r="F697" s="7" t="inlineStr">
        <is>
          <t>2708001686</t>
        </is>
      </c>
      <c r="G697" s="7" t="inlineStr">
        <is>
          <t>Успешно</t>
        </is>
      </c>
      <c r="H697" s="6" t="n"/>
      <c r="I697" s="6" t="n"/>
      <c r="J697" s="6" t="inlineStr">
        <is>
          <t>Пользовательский интерфейс</t>
        </is>
      </c>
      <c r="K697" s="7" t="n">
        <v>6</v>
      </c>
      <c r="L697" s="8" t="n"/>
      <c r="M697" s="137" t="inlineStr">
        <is>
          <t>+</t>
        </is>
      </c>
      <c r="N697" s="8" t="n"/>
      <c r="O697" s="8" t="n"/>
      <c r="P697" s="8" t="n"/>
      <c r="Q697" s="8" t="n"/>
      <c r="R697" s="8" t="n"/>
      <c r="S697" s="8" t="n"/>
      <c r="T697" s="8" t="n"/>
      <c r="U697" s="8" t="n"/>
      <c r="V697" s="8" t="n"/>
      <c r="W697" s="8" t="n"/>
      <c r="X697" s="137" t="inlineStr">
        <is>
          <t>+</t>
        </is>
      </c>
      <c r="Y697" s="137" t="inlineStr">
        <is>
          <t>+</t>
        </is>
      </c>
    </row>
    <row r="698">
      <c r="A698" s="6" t="inlineStr">
        <is>
          <t>работник 10</t>
        </is>
      </c>
      <c r="B698" s="6" t="inlineStr">
        <is>
          <t>Главный энергетик</t>
        </is>
      </c>
      <c r="C698" s="6" t="inlineStr">
        <is>
          <t>ООО "Амур золото". Подразделение: горно-обогатительный комплекс "Юбилейный"</t>
        </is>
      </c>
      <c r="D698" s="7" t="inlineStr">
        <is>
          <t>2708001686</t>
        </is>
      </c>
      <c r="E698" s="6" t="inlineStr">
        <is>
          <t>Автономная некоммерческая организация дополнительного профессионального образования и сертификации "Перспектива"</t>
        </is>
      </c>
      <c r="F698" s="7" t="inlineStr">
        <is>
          <t>2722126782</t>
        </is>
      </c>
      <c r="G698" s="7" t="inlineStr">
        <is>
          <t>Успешно</t>
        </is>
      </c>
      <c r="H698" s="6" t="n"/>
      <c r="I698" s="6" t="n"/>
      <c r="J698" s="6" t="inlineStr">
        <is>
          <t>Пользовательский интерфейс</t>
        </is>
      </c>
      <c r="K698" s="7" t="n">
        <v>4</v>
      </c>
      <c r="L698" s="138" t="inlineStr">
        <is>
          <t>+</t>
        </is>
      </c>
      <c r="M698" s="137" t="inlineStr">
        <is>
          <t>+</t>
        </is>
      </c>
      <c r="N698" s="8" t="n"/>
      <c r="O698" s="8" t="n"/>
      <c r="P698" s="8" t="n"/>
      <c r="Q698" s="8" t="n"/>
      <c r="R698" s="8" t="n"/>
      <c r="S698" s="8" t="n"/>
      <c r="T698" s="8" t="n"/>
      <c r="U698" s="8" t="n"/>
      <c r="V698" s="8" t="n"/>
      <c r="W698" s="8" t="n"/>
      <c r="X698" s="142" t="inlineStr">
        <is>
          <t>+</t>
        </is>
      </c>
      <c r="Y698" s="137" t="inlineStr">
        <is>
          <t>+</t>
        </is>
      </c>
    </row>
    <row r="699">
      <c r="A699" s="6" t="inlineStr">
        <is>
          <t>работник 880</t>
        </is>
      </c>
      <c r="B699" s="6" t="inlineStr">
        <is>
          <t>Ламповщик</t>
        </is>
      </c>
      <c r="C699" s="6" t="inlineStr">
        <is>
          <t>ОБЩЕСТВО С ОГРАНИЧЕННОЙ ОТВЕТСТВЕННОСТЬЮ "АМУР ЗОЛОТО"</t>
        </is>
      </c>
      <c r="D699" s="7" t="inlineStr">
        <is>
          <t>2708001686</t>
        </is>
      </c>
      <c r="E699" s="6" t="inlineStr">
        <is>
          <t>ООО "Амур Золото"</t>
        </is>
      </c>
      <c r="F699" s="7" t="inlineStr">
        <is>
          <t>2708001686</t>
        </is>
      </c>
      <c r="G699" s="7" t="inlineStr">
        <is>
          <t>Успешно</t>
        </is>
      </c>
      <c r="H699" s="6" t="n"/>
      <c r="I699" s="6" t="n"/>
      <c r="J699" s="6" t="inlineStr">
        <is>
          <t>Пользовательский интерфейс</t>
        </is>
      </c>
      <c r="K699" s="7" t="n">
        <v>3</v>
      </c>
      <c r="L699" s="8" t="n"/>
      <c r="M699" s="137" t="inlineStr">
        <is>
          <t>+</t>
        </is>
      </c>
      <c r="N699" s="8" t="n"/>
      <c r="O699" s="8" t="n"/>
      <c r="P699" s="8" t="n"/>
      <c r="Q699" s="8" t="n"/>
      <c r="R699" s="8" t="n"/>
      <c r="S699" s="8" t="n"/>
      <c r="T699" s="8" t="n"/>
      <c r="U699" s="8" t="n"/>
      <c r="V699" s="8" t="n"/>
      <c r="W699" s="8" t="n"/>
      <c r="X699" s="137" t="inlineStr">
        <is>
          <t>+</t>
        </is>
      </c>
      <c r="Y699" s="137" t="inlineStr">
        <is>
          <t>+</t>
        </is>
      </c>
    </row>
    <row r="700">
      <c r="A700" s="6" t="inlineStr">
        <is>
          <t>работник 33</t>
        </is>
      </c>
      <c r="B700" s="6" t="inlineStr">
        <is>
          <t>Лаборант пробирного анализа</t>
        </is>
      </c>
      <c r="C700" s="6" t="inlineStr">
        <is>
          <t>ОБЩЕСТВО С ОГРАНИЧЕННОЙ ОТВЕТСТВЕННОСТЬЮ "АМУР ЗОЛОТО"</t>
        </is>
      </c>
      <c r="D700" s="7" t="inlineStr">
        <is>
          <t>2708001686</t>
        </is>
      </c>
      <c r="E700" s="6" t="inlineStr">
        <is>
          <t>ООО "Амур Золото"</t>
        </is>
      </c>
      <c r="F700" s="7" t="inlineStr">
        <is>
          <t>2708001686</t>
        </is>
      </c>
      <c r="G700" s="7" t="inlineStr">
        <is>
          <t>Успешно</t>
        </is>
      </c>
      <c r="H700" s="6" t="n"/>
      <c r="I700" s="6" t="n"/>
      <c r="J700" s="6" t="inlineStr">
        <is>
          <t>Пользовательский интерфейс</t>
        </is>
      </c>
      <c r="K700" s="7" t="n">
        <v>3</v>
      </c>
      <c r="L700" s="8" t="n"/>
      <c r="M700" s="137" t="inlineStr">
        <is>
          <t>+</t>
        </is>
      </c>
      <c r="N700" s="8" t="n"/>
      <c r="O700" s="8" t="n"/>
      <c r="P700" s="8" t="n"/>
      <c r="Q700" s="8" t="n"/>
      <c r="R700" s="8" t="n"/>
      <c r="S700" s="8" t="n"/>
      <c r="T700" s="8" t="n"/>
      <c r="U700" s="8" t="n"/>
      <c r="V700" s="8" t="n"/>
      <c r="W700" s="8" t="n"/>
      <c r="X700" s="137" t="inlineStr">
        <is>
          <t>+</t>
        </is>
      </c>
      <c r="Y700" s="137" t="inlineStr">
        <is>
          <t>+</t>
        </is>
      </c>
    </row>
    <row r="701">
      <c r="A701" s="6" t="inlineStr">
        <is>
          <t>работник 392</t>
        </is>
      </c>
      <c r="B701" s="6" t="inlineStr">
        <is>
          <t>Повар</t>
        </is>
      </c>
      <c r="C701" s="6" t="inlineStr">
        <is>
          <t>ОБЩЕСТВО С ОГРАНИЧЕННОЙ ОТВЕТСТВЕННОСТЬЮ "АМУР ЗОЛОТО"</t>
        </is>
      </c>
      <c r="D701" s="7" t="inlineStr">
        <is>
          <t>2708001686</t>
        </is>
      </c>
      <c r="E701" s="6" t="inlineStr">
        <is>
          <t>ООО "Амур Золото"</t>
        </is>
      </c>
      <c r="F701" s="7" t="inlineStr">
        <is>
          <t>2708001686</t>
        </is>
      </c>
      <c r="G701" s="7" t="inlineStr">
        <is>
          <t>Успешно</t>
        </is>
      </c>
      <c r="H701" s="6" t="n"/>
      <c r="I701" s="6" t="n"/>
      <c r="J701" s="6" t="inlineStr">
        <is>
          <t>Пользовательский интерфейс</t>
        </is>
      </c>
      <c r="K701" s="7" t="n">
        <v>3</v>
      </c>
      <c r="L701" s="8" t="n"/>
      <c r="M701" s="137" t="inlineStr">
        <is>
          <t>+</t>
        </is>
      </c>
      <c r="N701" s="8" t="n"/>
      <c r="O701" s="8" t="n"/>
      <c r="P701" s="8" t="n"/>
      <c r="Q701" s="8" t="n"/>
      <c r="R701" s="8" t="n"/>
      <c r="S701" s="8" t="n"/>
      <c r="T701" s="8" t="n"/>
      <c r="U701" s="8" t="n"/>
      <c r="V701" s="8" t="n"/>
      <c r="W701" s="8" t="n"/>
      <c r="X701" s="137" t="inlineStr">
        <is>
          <t>+</t>
        </is>
      </c>
      <c r="Y701" s="138" t="inlineStr">
        <is>
          <t>+</t>
        </is>
      </c>
    </row>
    <row r="702">
      <c r="A702" s="6" t="inlineStr">
        <is>
          <t>работник 123</t>
        </is>
      </c>
      <c r="B702" s="6" t="inlineStr">
        <is>
          <t>Дробильщик</t>
        </is>
      </c>
      <c r="C702" s="6" t="inlineStr">
        <is>
          <t>ОБЩЕСТВО С ОГРАНИЧЕННОЙ ОТВЕТСТВЕННОСТЬЮ "АМУР ЗОЛОТО"</t>
        </is>
      </c>
      <c r="D702" s="7" t="inlineStr">
        <is>
          <t>2708001686</t>
        </is>
      </c>
      <c r="E702" s="6" t="inlineStr">
        <is>
          <t>ООО "Амур Золото"</t>
        </is>
      </c>
      <c r="F702" s="7" t="inlineStr">
        <is>
          <t>2708001686</t>
        </is>
      </c>
      <c r="G702" s="7" t="inlineStr">
        <is>
          <t>Успешно</t>
        </is>
      </c>
      <c r="H702" s="6" t="n"/>
      <c r="I702" s="6" t="n"/>
      <c r="J702" s="6" t="inlineStr">
        <is>
          <t>Пользовательский интерфейс</t>
        </is>
      </c>
      <c r="K702" s="7" t="n">
        <v>3</v>
      </c>
      <c r="L702" s="8" t="n"/>
      <c r="M702" s="137" t="inlineStr">
        <is>
          <t>+</t>
        </is>
      </c>
      <c r="N702" s="8" t="n"/>
      <c r="O702" s="8" t="n"/>
      <c r="P702" s="8" t="n"/>
      <c r="Q702" s="8" t="n"/>
      <c r="R702" s="8" t="n"/>
      <c r="S702" s="8" t="n"/>
      <c r="T702" s="8" t="n"/>
      <c r="U702" s="8" t="n"/>
      <c r="V702" s="8" t="n"/>
      <c r="W702" s="8" t="n"/>
      <c r="X702" s="137" t="inlineStr">
        <is>
          <t>+</t>
        </is>
      </c>
      <c r="Y702" s="137" t="inlineStr">
        <is>
          <t>+</t>
        </is>
      </c>
    </row>
    <row r="703">
      <c r="A703" s="6" t="inlineStr">
        <is>
          <t>работник 459</t>
        </is>
      </c>
      <c r="B703" s="6" t="inlineStr">
        <is>
          <t>Машинист двигателей внутреннего сгорания</t>
        </is>
      </c>
      <c r="C703" s="6" t="inlineStr">
        <is>
          <t>ОБЩЕСТВО С ОГРАНИЧЕННОЙ ОТВЕТСТВЕННОСТЬЮ "АМУР ЗОЛОТО"</t>
        </is>
      </c>
      <c r="D703" s="7" t="inlineStr">
        <is>
          <t>2708001686</t>
        </is>
      </c>
      <c r="E703" s="6" t="inlineStr">
        <is>
          <t>ООО "Амур Золото"</t>
        </is>
      </c>
      <c r="F703" s="7" t="inlineStr">
        <is>
          <t>2708001686</t>
        </is>
      </c>
      <c r="G703" s="7" t="inlineStr">
        <is>
          <t>Успешно</t>
        </is>
      </c>
      <c r="H703" s="6" t="n"/>
      <c r="I703" s="6" t="n"/>
      <c r="J703" s="6" t="inlineStr">
        <is>
          <t>Пользовательский интерфейс</t>
        </is>
      </c>
      <c r="K703" s="7" t="n">
        <v>2</v>
      </c>
      <c r="L703" s="8" t="n"/>
      <c r="M703" s="137" t="inlineStr">
        <is>
          <t>+</t>
        </is>
      </c>
      <c r="N703" s="8" t="n"/>
      <c r="O703" s="8" t="n"/>
      <c r="P703" s="8" t="n"/>
      <c r="Q703" s="8" t="n"/>
      <c r="R703" s="8" t="n"/>
      <c r="S703" s="8" t="n"/>
      <c r="T703" s="8" t="n"/>
      <c r="U703" s="8" t="n"/>
      <c r="V703" s="8" t="n"/>
      <c r="W703" s="8" t="n"/>
      <c r="X703" s="139" t="n"/>
      <c r="Y703" s="137" t="inlineStr">
        <is>
          <t>+</t>
        </is>
      </c>
    </row>
    <row r="704">
      <c r="A704" s="6" t="inlineStr">
        <is>
          <t>работник 850</t>
        </is>
      </c>
      <c r="B704" s="6" t="inlineStr">
        <is>
          <t>Электрогазосварщик (занятый на резке и ручной сварке)</t>
        </is>
      </c>
      <c r="C704" s="6" t="inlineStr">
        <is>
          <t>ОБЩЕСТВО С ОГРАНИЧЕННОЙ ОТВЕТСТВЕННОСТЬЮ "АМУР ЗОЛОТО"</t>
        </is>
      </c>
      <c r="D704" s="7" t="inlineStr">
        <is>
          <t>2708001686</t>
        </is>
      </c>
      <c r="E704" s="6" t="inlineStr">
        <is>
          <t>ООО "Амур Золото"</t>
        </is>
      </c>
      <c r="F704" s="7" t="inlineStr">
        <is>
          <t>2708001686</t>
        </is>
      </c>
      <c r="G704" s="7" t="inlineStr">
        <is>
          <t>Успешно</t>
        </is>
      </c>
      <c r="H704" s="6" t="n"/>
      <c r="I704" s="6" t="n"/>
      <c r="J704" s="6" t="inlineStr">
        <is>
          <t>Пользовательский интерфейс</t>
        </is>
      </c>
      <c r="K704" s="7" t="n">
        <v>4</v>
      </c>
      <c r="L704" s="8" t="n"/>
      <c r="M704" s="137" t="inlineStr">
        <is>
          <t>+</t>
        </is>
      </c>
      <c r="N704" s="8" t="n"/>
      <c r="O704" s="137" t="inlineStr">
        <is>
          <t>+</t>
        </is>
      </c>
      <c r="P704" s="8" t="n"/>
      <c r="Q704" s="8" t="n"/>
      <c r="R704" s="8" t="n"/>
      <c r="S704" s="8" t="n"/>
      <c r="T704" s="8" t="n"/>
      <c r="U704" s="8" t="n"/>
      <c r="V704" s="8" t="n"/>
      <c r="W704" s="8" t="n"/>
      <c r="X704" s="137" t="inlineStr">
        <is>
          <t>+</t>
        </is>
      </c>
      <c r="Y704" s="137" t="inlineStr">
        <is>
          <t>+</t>
        </is>
      </c>
    </row>
    <row r="705">
      <c r="A705" s="6" t="inlineStr">
        <is>
          <t>работник 355</t>
        </is>
      </c>
      <c r="B705" s="6" t="inlineStr">
        <is>
          <t>Водитель автомобиля (категория D)</t>
        </is>
      </c>
      <c r="C705" s="6" t="inlineStr">
        <is>
          <t>ОБЩЕСТВО С ОГРАНИЧЕННОЙ ОТВЕТСТВЕННОСТЬЮ "АМУР ЗОЛОТО"</t>
        </is>
      </c>
      <c r="D705" s="7" t="inlineStr">
        <is>
          <t>2708001686</t>
        </is>
      </c>
      <c r="E705" s="6" t="inlineStr">
        <is>
          <t>ООО "Амур Золото"</t>
        </is>
      </c>
      <c r="F705" s="7" t="inlineStr">
        <is>
          <t>2708001686</t>
        </is>
      </c>
      <c r="G705" s="7" t="inlineStr">
        <is>
          <t>Успешно</t>
        </is>
      </c>
      <c r="H705" s="6" t="n"/>
      <c r="I705" s="6" t="n"/>
      <c r="J705" s="6" t="inlineStr">
        <is>
          <t>Пользовательский интерфейс</t>
        </is>
      </c>
      <c r="K705" s="7" t="n">
        <v>3</v>
      </c>
      <c r="L705" s="8" t="n"/>
      <c r="M705" s="137" t="inlineStr">
        <is>
          <t>+</t>
        </is>
      </c>
      <c r="N705" s="8" t="n"/>
      <c r="O705" s="8" t="n"/>
      <c r="P705" s="8" t="n"/>
      <c r="Q705" s="8" t="n"/>
      <c r="R705" s="8" t="n"/>
      <c r="S705" s="8" t="n"/>
      <c r="T705" s="8" t="n"/>
      <c r="U705" s="8" t="n"/>
      <c r="V705" s="8" t="n"/>
      <c r="W705" s="8" t="n"/>
      <c r="X705" s="137" t="inlineStr">
        <is>
          <t>+</t>
        </is>
      </c>
      <c r="Y705" s="138" t="inlineStr">
        <is>
          <t>+</t>
        </is>
      </c>
    </row>
    <row r="706">
      <c r="A706" s="6" t="inlineStr">
        <is>
          <t>работник 799</t>
        </is>
      </c>
      <c r="B706" s="6" t="inlineStr">
        <is>
          <t>Слесарь-электрик по ремонту электрооборудования</t>
        </is>
      </c>
      <c r="C706" s="6" t="inlineStr">
        <is>
          <t>ОБЩЕСТВО С ОГРАНИЧЕННОЙ ОТВЕТСТВЕННОСТЬЮ "АМУР ЗОЛОТО"</t>
        </is>
      </c>
      <c r="D706" s="7" t="inlineStr">
        <is>
          <t>2708001686</t>
        </is>
      </c>
      <c r="E706" s="6" t="inlineStr">
        <is>
          <t>ООО "Амур Золото"</t>
        </is>
      </c>
      <c r="F706" s="7" t="inlineStr">
        <is>
          <t>2708001686</t>
        </is>
      </c>
      <c r="G706" s="7" t="inlineStr">
        <is>
          <t>Успешно</t>
        </is>
      </c>
      <c r="H706" s="6" t="n"/>
      <c r="I706" s="6" t="n"/>
      <c r="J706" s="6" t="inlineStr">
        <is>
          <t>Пользовательский интерфейс</t>
        </is>
      </c>
      <c r="K706" s="7" t="n">
        <v>3</v>
      </c>
      <c r="L706" s="8" t="n"/>
      <c r="M706" s="137" t="inlineStr">
        <is>
          <t>+</t>
        </is>
      </c>
      <c r="N706" s="8" t="n"/>
      <c r="O706" s="8" t="n"/>
      <c r="P706" s="8" t="n"/>
      <c r="Q706" s="8" t="n"/>
      <c r="R706" s="8" t="n"/>
      <c r="S706" s="8" t="n"/>
      <c r="T706" s="8" t="n"/>
      <c r="U706" s="8" t="n"/>
      <c r="V706" s="8" t="n"/>
      <c r="W706" s="8" t="n"/>
      <c r="X706" s="137" t="inlineStr">
        <is>
          <t>+</t>
        </is>
      </c>
      <c r="Y706" s="137" t="inlineStr">
        <is>
          <t>+</t>
        </is>
      </c>
    </row>
    <row r="707">
      <c r="A707" s="6" t="inlineStr">
        <is>
          <t>работник 743</t>
        </is>
      </c>
      <c r="B707" s="6" t="inlineStr">
        <is>
          <t>Водитель автомобиля (категория С)</t>
        </is>
      </c>
      <c r="C707" s="6" t="inlineStr">
        <is>
          <t>ОБЩЕСТВО С ОГРАНИЧЕННОЙ ОТВЕТСТВЕННОСТЬЮ "АМУР ЗОЛОТО"</t>
        </is>
      </c>
      <c r="D707" s="7" t="inlineStr">
        <is>
          <t>2708001686</t>
        </is>
      </c>
      <c r="E707" s="6" t="inlineStr">
        <is>
          <t>ООО "Амур Золото"</t>
        </is>
      </c>
      <c r="F707" s="7" t="inlineStr">
        <is>
          <t>2708001686</t>
        </is>
      </c>
      <c r="G707" s="7" t="inlineStr">
        <is>
          <t>Успешно</t>
        </is>
      </c>
      <c r="H707" s="6" t="n"/>
      <c r="I707" s="6" t="n"/>
      <c r="J707" s="6" t="inlineStr">
        <is>
          <t>Пользовательский интерфейс</t>
        </is>
      </c>
      <c r="K707" s="7" t="n">
        <v>2</v>
      </c>
      <c r="L707" s="8" t="n"/>
      <c r="M707" s="137" t="inlineStr">
        <is>
          <t>+</t>
        </is>
      </c>
      <c r="N707" s="8" t="n"/>
      <c r="O707" s="8" t="n"/>
      <c r="P707" s="8" t="n"/>
      <c r="Q707" s="8" t="n"/>
      <c r="R707" s="8" t="n"/>
      <c r="S707" s="8" t="n"/>
      <c r="T707" s="8" t="n"/>
      <c r="U707" s="8" t="n"/>
      <c r="V707" s="8" t="n"/>
      <c r="W707" s="8" t="n"/>
      <c r="X707" s="139" t="n"/>
      <c r="Y707" s="137" t="inlineStr">
        <is>
          <t>+</t>
        </is>
      </c>
    </row>
    <row r="708">
      <c r="A708" s="6" t="inlineStr">
        <is>
          <t>работник 602</t>
        </is>
      </c>
      <c r="B708" s="6" t="inlineStr">
        <is>
          <t>Слесарь-ремонтник (по ремонту самоходной техники)</t>
        </is>
      </c>
      <c r="C708" s="6" t="inlineStr">
        <is>
          <t>ОБЩЕСТВО С ОГРАНИЧЕННОЙ ОТВЕТСТВЕННОСТЬЮ "АМУР ЗОЛОТО"</t>
        </is>
      </c>
      <c r="D708" s="7" t="inlineStr">
        <is>
          <t>2708001686</t>
        </is>
      </c>
      <c r="E708" s="6" t="inlineStr">
        <is>
          <t>ООО "Амур Золото"</t>
        </is>
      </c>
      <c r="F708" s="7" t="inlineStr">
        <is>
          <t>2708001686</t>
        </is>
      </c>
      <c r="G708" s="7" t="inlineStr">
        <is>
          <t>Успешно</t>
        </is>
      </c>
      <c r="H708" s="6" t="n"/>
      <c r="I708" s="6" t="n"/>
      <c r="J708" s="6" t="inlineStr">
        <is>
          <t>Пользовательский интерфейс</t>
        </is>
      </c>
      <c r="K708" s="7" t="n">
        <v>2</v>
      </c>
      <c r="L708" s="8" t="n"/>
      <c r="M708" s="137" t="inlineStr">
        <is>
          <t>+</t>
        </is>
      </c>
      <c r="N708" s="8" t="n"/>
      <c r="O708" s="8" t="n"/>
      <c r="P708" s="8" t="n"/>
      <c r="Q708" s="8" t="n"/>
      <c r="R708" s="8" t="n"/>
      <c r="S708" s="8" t="n"/>
      <c r="T708" s="8" t="n"/>
      <c r="U708" s="8" t="n"/>
      <c r="V708" s="8" t="n"/>
      <c r="W708" s="8" t="n"/>
      <c r="X708" s="139" t="n"/>
      <c r="Y708" s="137" t="inlineStr">
        <is>
          <t>+</t>
        </is>
      </c>
    </row>
    <row r="709">
      <c r="A709" s="6" t="inlineStr">
        <is>
          <t>работник 849</t>
        </is>
      </c>
      <c r="B709" s="6" t="inlineStr">
        <is>
          <t>Крепильщик</t>
        </is>
      </c>
      <c r="C709" s="6" t="inlineStr">
        <is>
          <t>ОБЩЕСТВО С ОГРАНИЧЕННОЙ ОТВЕТСТВЕННОСТЬЮ "АМУР ЗОЛОТО"</t>
        </is>
      </c>
      <c r="D709" s="7" t="inlineStr">
        <is>
          <t>2708001686</t>
        </is>
      </c>
      <c r="E709" s="6" t="inlineStr">
        <is>
          <t>ООО "Амур Золото"</t>
        </is>
      </c>
      <c r="F709" s="7" t="inlineStr">
        <is>
          <t>2708001686</t>
        </is>
      </c>
      <c r="G709" s="7" t="inlineStr">
        <is>
          <t>Успешно</t>
        </is>
      </c>
      <c r="H709" s="6" t="n"/>
      <c r="I709" s="6" t="n"/>
      <c r="J709" s="6" t="inlineStr">
        <is>
          <t>Пользовательский интерфейс</t>
        </is>
      </c>
      <c r="K709" s="7" t="n">
        <v>3</v>
      </c>
      <c r="L709" s="8" t="n"/>
      <c r="M709" s="137" t="inlineStr">
        <is>
          <t>+</t>
        </is>
      </c>
      <c r="N709" s="8" t="n"/>
      <c r="O709" s="8" t="n"/>
      <c r="P709" s="8" t="n"/>
      <c r="Q709" s="8" t="n"/>
      <c r="R709" s="8" t="n"/>
      <c r="S709" s="8" t="n"/>
      <c r="T709" s="8" t="n"/>
      <c r="U709" s="8" t="n"/>
      <c r="V709" s="8" t="n"/>
      <c r="W709" s="8" t="n"/>
      <c r="X709" s="137" t="inlineStr">
        <is>
          <t>+</t>
        </is>
      </c>
      <c r="Y709" s="137" t="inlineStr">
        <is>
          <t>+</t>
        </is>
      </c>
    </row>
    <row r="710">
      <c r="A710" s="6" t="inlineStr">
        <is>
          <t>работник 389</t>
        </is>
      </c>
      <c r="B710" s="6" t="inlineStr">
        <is>
          <t>Контролер продукции обогащения / Пробоотборщик</t>
        </is>
      </c>
      <c r="C710" s="6" t="inlineStr">
        <is>
          <t>ОБЩЕСТВО С ОГРАНИЧЕННОЙ ОТВЕТСТВЕННОСТЬЮ "АМУР ЗОЛОТО"</t>
        </is>
      </c>
      <c r="D710" s="7" t="inlineStr">
        <is>
          <t>2708001686</t>
        </is>
      </c>
      <c r="E710" s="6" t="inlineStr">
        <is>
          <t>ООО "Амур Золото"</t>
        </is>
      </c>
      <c r="F710" s="7" t="inlineStr">
        <is>
          <t>2708001686</t>
        </is>
      </c>
      <c r="G710" s="7" t="inlineStr">
        <is>
          <t>Успешно</t>
        </is>
      </c>
      <c r="H710" s="6" t="n"/>
      <c r="I710" s="6" t="n"/>
      <c r="J710" s="6" t="inlineStr">
        <is>
          <t>Пользовательский интерфейс</t>
        </is>
      </c>
      <c r="K710" s="7" t="n">
        <v>6</v>
      </c>
      <c r="L710" s="8" t="n"/>
      <c r="M710" s="137" t="inlineStr">
        <is>
          <t>+</t>
        </is>
      </c>
      <c r="N710" s="8" t="n"/>
      <c r="O710" s="8" t="n"/>
      <c r="P710" s="8" t="n"/>
      <c r="Q710" s="8" t="n"/>
      <c r="R710" s="8" t="n"/>
      <c r="S710" s="8" t="n"/>
      <c r="T710" s="8" t="n"/>
      <c r="U710" s="8" t="n"/>
      <c r="V710" s="8" t="n"/>
      <c r="W710" s="8" t="n"/>
      <c r="X710" s="137" t="inlineStr">
        <is>
          <t>+</t>
        </is>
      </c>
      <c r="Y710" s="137" t="inlineStr">
        <is>
          <t>+</t>
        </is>
      </c>
    </row>
    <row r="711">
      <c r="A711" s="6" t="inlineStr">
        <is>
          <t>работник 288</t>
        </is>
      </c>
      <c r="B711" s="6" t="inlineStr">
        <is>
          <t>Водитель автомобиля (занятый на транспортировании горной массы в технологическом процессе)</t>
        </is>
      </c>
      <c r="C711" s="6" t="inlineStr">
        <is>
          <t>ОБЩЕСТВО С ОГРАНИЧЕННОЙ ОТВЕТСТВЕННОСТЬЮ "АМУР ЗОЛОТО"</t>
        </is>
      </c>
      <c r="D711" s="7" t="inlineStr">
        <is>
          <t>2708001686</t>
        </is>
      </c>
      <c r="E711" s="6" t="inlineStr">
        <is>
          <t>ООО "Амур Золото"</t>
        </is>
      </c>
      <c r="F711" s="7" t="inlineStr">
        <is>
          <t>2708001686</t>
        </is>
      </c>
      <c r="G711" s="7" t="inlineStr">
        <is>
          <t>Успешно</t>
        </is>
      </c>
      <c r="H711" s="6" t="n"/>
      <c r="I711" s="6" t="n"/>
      <c r="J711" s="6" t="inlineStr">
        <is>
          <t>Пользовательский интерфейс</t>
        </is>
      </c>
      <c r="K711" s="7" t="n">
        <v>3</v>
      </c>
      <c r="L711" s="8" t="n"/>
      <c r="M711" s="137" t="inlineStr">
        <is>
          <t>+</t>
        </is>
      </c>
      <c r="N711" s="8" t="n"/>
      <c r="O711" s="8" t="n"/>
      <c r="P711" s="8" t="n"/>
      <c r="Q711" s="8" t="n"/>
      <c r="R711" s="8" t="n"/>
      <c r="S711" s="8" t="n"/>
      <c r="T711" s="8" t="n"/>
      <c r="U711" s="8" t="n"/>
      <c r="V711" s="8" t="n"/>
      <c r="W711" s="8" t="n"/>
      <c r="X711" s="137" t="inlineStr">
        <is>
          <t>+</t>
        </is>
      </c>
      <c r="Y711" s="137" t="inlineStr">
        <is>
          <t>+</t>
        </is>
      </c>
    </row>
    <row r="712">
      <c r="A712" s="6" t="inlineStr">
        <is>
          <t>работник 814</t>
        </is>
      </c>
      <c r="B712" s="6" t="inlineStr">
        <is>
          <t>Машинист самоходной буровой установки (Проходка)</t>
        </is>
      </c>
      <c r="C712" s="6" t="inlineStr">
        <is>
          <t>ОБЩЕСТВО С ОГРАНИЧЕННОЙ ОТВЕТСТВЕННОСТЬЮ "АМУР ЗОЛОТО"</t>
        </is>
      </c>
      <c r="D712" s="7" t="inlineStr">
        <is>
          <t>2708001686</t>
        </is>
      </c>
      <c r="E712" s="6" t="inlineStr">
        <is>
          <t>ООО "Амур Золото"</t>
        </is>
      </c>
      <c r="F712" s="7" t="inlineStr">
        <is>
          <t>2708001686</t>
        </is>
      </c>
      <c r="G712" s="7" t="inlineStr">
        <is>
          <t>Успешно</t>
        </is>
      </c>
      <c r="H712" s="6" t="n"/>
      <c r="I712" s="6" t="n"/>
      <c r="J712" s="6" t="inlineStr">
        <is>
          <t>Пользовательский интерфейс</t>
        </is>
      </c>
      <c r="K712" s="7" t="n">
        <v>2</v>
      </c>
      <c r="L712" s="8" t="n"/>
      <c r="M712" s="137" t="inlineStr">
        <is>
          <t>+</t>
        </is>
      </c>
      <c r="N712" s="8" t="n"/>
      <c r="O712" s="8" t="n"/>
      <c r="P712" s="8" t="n"/>
      <c r="Q712" s="8" t="n"/>
      <c r="R712" s="8" t="n"/>
      <c r="S712" s="8" t="n"/>
      <c r="T712" s="8" t="n"/>
      <c r="U712" s="8" t="n"/>
      <c r="V712" s="8" t="n"/>
      <c r="W712" s="8" t="n"/>
      <c r="X712" s="139" t="n"/>
      <c r="Y712" s="137" t="inlineStr">
        <is>
          <t>+</t>
        </is>
      </c>
    </row>
    <row r="713">
      <c r="A713" s="6" t="inlineStr">
        <is>
          <t>работник 289</t>
        </is>
      </c>
      <c r="B713" s="6" t="inlineStr">
        <is>
          <t>Водитель автомобиля (топливозаправщик)</t>
        </is>
      </c>
      <c r="C713" s="6" t="inlineStr">
        <is>
          <t>ОБЩЕСТВО С ОГРАНИЧЕННОЙ ОТВЕТСТВЕННОСТЬЮ "АМУР ЗОЛОТО"</t>
        </is>
      </c>
      <c r="D713" s="7" t="inlineStr">
        <is>
          <t>2708001686</t>
        </is>
      </c>
      <c r="E713" s="6" t="inlineStr">
        <is>
          <t>ООО "Амур Золото"</t>
        </is>
      </c>
      <c r="F713" s="7" t="inlineStr">
        <is>
          <t>2708001686</t>
        </is>
      </c>
      <c r="G713" s="7" t="inlineStr">
        <is>
          <t>Успешно</t>
        </is>
      </c>
      <c r="H713" s="6" t="n"/>
      <c r="I713" s="6" t="n"/>
      <c r="J713" s="6" t="inlineStr">
        <is>
          <t>Пользовательский интерфейс</t>
        </is>
      </c>
      <c r="K713" s="7" t="n">
        <v>3</v>
      </c>
      <c r="L713" s="8" t="n"/>
      <c r="M713" s="137" t="inlineStr">
        <is>
          <t>+</t>
        </is>
      </c>
      <c r="N713" s="8" t="n"/>
      <c r="O713" s="8" t="n"/>
      <c r="P713" s="8" t="n"/>
      <c r="Q713" s="8" t="n"/>
      <c r="R713" s="8" t="n"/>
      <c r="S713" s="8" t="n"/>
      <c r="T713" s="8" t="n"/>
      <c r="U713" s="8" t="n"/>
      <c r="V713" s="8" t="n"/>
      <c r="W713" s="8" t="n"/>
      <c r="X713" s="137" t="inlineStr">
        <is>
          <t>+</t>
        </is>
      </c>
      <c r="Y713" s="137" t="inlineStr">
        <is>
          <t>+</t>
        </is>
      </c>
    </row>
    <row r="714">
      <c r="A714" s="6" t="inlineStr">
        <is>
          <t>работник 596</t>
        </is>
      </c>
      <c r="B714" s="6" t="inlineStr">
        <is>
          <t>Слесарь-ремонтник (по ремонту самоходной техники)</t>
        </is>
      </c>
      <c r="C714" s="6" t="inlineStr">
        <is>
          <t>ОБЩЕСТВО С ОГРАНИЧЕННОЙ ОТВЕТСТВЕННОСТЬЮ "АМУР ЗОЛОТО"</t>
        </is>
      </c>
      <c r="D714" s="7" t="inlineStr">
        <is>
          <t>2708001686</t>
        </is>
      </c>
      <c r="E714" s="6" t="inlineStr">
        <is>
          <t>ООО "Амур Золото"</t>
        </is>
      </c>
      <c r="F714" s="7" t="inlineStr">
        <is>
          <t>2708001686</t>
        </is>
      </c>
      <c r="G714" s="7" t="inlineStr">
        <is>
          <t>Успешно</t>
        </is>
      </c>
      <c r="H714" s="6" t="n"/>
      <c r="I714" s="6" t="n"/>
      <c r="J714" s="6" t="inlineStr">
        <is>
          <t>Пользовательский интерфейс</t>
        </is>
      </c>
      <c r="K714" s="7" t="n">
        <v>5</v>
      </c>
      <c r="L714" s="8" t="n"/>
      <c r="M714" s="137" t="inlineStr">
        <is>
          <t>+</t>
        </is>
      </c>
      <c r="N714" s="8" t="n"/>
      <c r="O714" s="8" t="n"/>
      <c r="P714" s="8" t="n"/>
      <c r="Q714" s="8" t="n"/>
      <c r="R714" s="8" t="n"/>
      <c r="S714" s="8" t="n"/>
      <c r="T714" s="8" t="n"/>
      <c r="U714" s="8" t="n"/>
      <c r="V714" s="8" t="n"/>
      <c r="W714" s="8" t="n"/>
      <c r="X714" s="137" t="inlineStr">
        <is>
          <t>+</t>
        </is>
      </c>
      <c r="Y714" s="137" t="inlineStr">
        <is>
          <t>+</t>
        </is>
      </c>
    </row>
    <row r="715">
      <c r="A715" s="6" t="inlineStr">
        <is>
          <t>работник 2</t>
        </is>
      </c>
      <c r="B715" s="6" t="inlineStr">
        <is>
          <t>Заместитель директора горно-обогатительного комплекса по производству</t>
        </is>
      </c>
      <c r="C715" s="6" t="inlineStr">
        <is>
          <t>ООО "Амур золото". Подразделение: горно-обогатительный комплекс "Юбилейный"</t>
        </is>
      </c>
      <c r="D715" s="7" t="inlineStr">
        <is>
          <t>2708001686</t>
        </is>
      </c>
      <c r="E715" s="6" t="inlineStr">
        <is>
          <t>Автономная некоммерческая организация дополнительного профессионального образования и сертификации "Перспектива"</t>
        </is>
      </c>
      <c r="F715" s="7" t="inlineStr">
        <is>
          <t>2722126782</t>
        </is>
      </c>
      <c r="G715" s="7" t="inlineStr">
        <is>
          <t>Успешно</t>
        </is>
      </c>
      <c r="H715" s="6" t="n"/>
      <c r="I715" s="6" t="n"/>
      <c r="J715" s="6" t="inlineStr">
        <is>
          <t>Пользовательский интерфейс</t>
        </is>
      </c>
      <c r="K715" s="7" t="n">
        <v>4</v>
      </c>
      <c r="L715" s="137" t="inlineStr">
        <is>
          <t>+</t>
        </is>
      </c>
      <c r="M715" s="137" t="inlineStr">
        <is>
          <t>+</t>
        </is>
      </c>
      <c r="N715" s="8" t="n"/>
      <c r="O715" s="8" t="n"/>
      <c r="P715" s="8" t="n"/>
      <c r="Q715" s="8" t="n"/>
      <c r="R715" s="8" t="n"/>
      <c r="S715" s="8" t="n"/>
      <c r="T715" s="8" t="n"/>
      <c r="U715" s="8" t="n"/>
      <c r="V715" s="8" t="n"/>
      <c r="W715" s="8" t="n"/>
      <c r="X715" s="137" t="inlineStr">
        <is>
          <t>+</t>
        </is>
      </c>
      <c r="Y715" s="137" t="inlineStr">
        <is>
          <t>+</t>
        </is>
      </c>
    </row>
    <row r="716">
      <c r="A716" s="6" t="inlineStr">
        <is>
          <t>работник 704</t>
        </is>
      </c>
      <c r="B716" s="6" t="inlineStr">
        <is>
          <t>Плотник</t>
        </is>
      </c>
      <c r="C716" s="6" t="inlineStr">
        <is>
          <t>ОБЩЕСТВО С ОГРАНИЧЕННОЙ ОТВЕТСТВЕННОСТЬЮ "АМУР ЗОЛОТО"</t>
        </is>
      </c>
      <c r="D716" s="7" t="inlineStr">
        <is>
          <t>2708001686</t>
        </is>
      </c>
      <c r="E716" s="6" t="inlineStr">
        <is>
          <t>ООО "Амур Золото"</t>
        </is>
      </c>
      <c r="F716" s="7" t="inlineStr">
        <is>
          <t>2708001686</t>
        </is>
      </c>
      <c r="G716" s="7" t="inlineStr">
        <is>
          <t>Успешно</t>
        </is>
      </c>
      <c r="H716" s="6" t="n"/>
      <c r="I716" s="6" t="n"/>
      <c r="J716" s="6" t="inlineStr">
        <is>
          <t>Пользовательский интерфейс</t>
        </is>
      </c>
      <c r="K716" s="7" t="n">
        <v>2</v>
      </c>
      <c r="L716" s="8" t="n"/>
      <c r="M716" s="137" t="inlineStr">
        <is>
          <t>+</t>
        </is>
      </c>
      <c r="N716" s="8" t="n"/>
      <c r="O716" s="8" t="n"/>
      <c r="P716" s="8" t="n"/>
      <c r="Q716" s="8" t="n"/>
      <c r="R716" s="8" t="n"/>
      <c r="S716" s="8" t="n"/>
      <c r="T716" s="8" t="n"/>
      <c r="U716" s="8" t="n"/>
      <c r="V716" s="8" t="n"/>
      <c r="W716" s="8" t="n"/>
      <c r="X716" s="139" t="n"/>
      <c r="Y716" s="137" t="inlineStr">
        <is>
          <t>+</t>
        </is>
      </c>
    </row>
    <row r="717">
      <c r="A717" s="6" t="inlineStr">
        <is>
          <t>работник 625</t>
        </is>
      </c>
      <c r="B717" s="6" t="inlineStr">
        <is>
          <t>Повар (кондитер)</t>
        </is>
      </c>
      <c r="C717" s="6" t="inlineStr">
        <is>
          <t>ОБЩЕСТВО С ОГРАНИЧЕННОЙ ОТВЕТСТВЕННОСТЬЮ "АМУР ЗОЛОТО"</t>
        </is>
      </c>
      <c r="D717" s="7" t="inlineStr">
        <is>
          <t>2708001686</t>
        </is>
      </c>
      <c r="E717" s="6" t="inlineStr">
        <is>
          <t>ООО "Амур Золото"</t>
        </is>
      </c>
      <c r="F717" s="7" t="inlineStr">
        <is>
          <t>2708001686</t>
        </is>
      </c>
      <c r="G717" s="7" t="inlineStr">
        <is>
          <t>Успешно</t>
        </is>
      </c>
      <c r="H717" s="6" t="n"/>
      <c r="I717" s="6" t="n"/>
      <c r="J717" s="6" t="inlineStr">
        <is>
          <t>Пользовательский интерфейс</t>
        </is>
      </c>
      <c r="K717" s="7" t="n">
        <v>2</v>
      </c>
      <c r="L717" s="8" t="n"/>
      <c r="M717" s="137" t="inlineStr">
        <is>
          <t>+</t>
        </is>
      </c>
      <c r="N717" s="8" t="n"/>
      <c r="O717" s="8" t="n"/>
      <c r="P717" s="8" t="n"/>
      <c r="Q717" s="8" t="n"/>
      <c r="R717" s="8" t="n"/>
      <c r="S717" s="8" t="n"/>
      <c r="T717" s="8" t="n"/>
      <c r="U717" s="8" t="n"/>
      <c r="V717" s="8" t="n"/>
      <c r="W717" s="8" t="n"/>
      <c r="X717" s="139" t="n"/>
      <c r="Y717" s="138" t="inlineStr">
        <is>
          <t>+</t>
        </is>
      </c>
    </row>
    <row r="718">
      <c r="A718" s="6" t="inlineStr">
        <is>
          <t>работник 812</t>
        </is>
      </c>
      <c r="B718" s="6" t="inlineStr">
        <is>
          <t>Дробильщик / дробильщик</t>
        </is>
      </c>
      <c r="C718" s="6" t="inlineStr">
        <is>
          <t>ОБЩЕСТВО С ОГРАНИЧЕННОЙ ОТВЕТСТВЕННОСТЬЮ "АМУР ЗОЛОТО"</t>
        </is>
      </c>
      <c r="D718" s="7" t="inlineStr">
        <is>
          <t>2708001686</t>
        </is>
      </c>
      <c r="E718" s="6" t="inlineStr">
        <is>
          <t>ООО "Амур Золото"</t>
        </is>
      </c>
      <c r="F718" s="7" t="inlineStr">
        <is>
          <t>2708001686</t>
        </is>
      </c>
      <c r="G718" s="7" t="inlineStr">
        <is>
          <t>Успешно</t>
        </is>
      </c>
      <c r="H718" s="6" t="n"/>
      <c r="I718" s="6" t="n"/>
      <c r="J718" s="6" t="inlineStr">
        <is>
          <t>Пользовательский интерфейс</t>
        </is>
      </c>
      <c r="K718" s="7" t="n">
        <v>5</v>
      </c>
      <c r="L718" s="8" t="n"/>
      <c r="M718" s="137" t="inlineStr">
        <is>
          <t>+</t>
        </is>
      </c>
      <c r="N718" s="8" t="n"/>
      <c r="O718" s="8" t="n"/>
      <c r="P718" s="8" t="n"/>
      <c r="Q718" s="8" t="n"/>
      <c r="R718" s="8" t="n"/>
      <c r="S718" s="8" t="n"/>
      <c r="T718" s="8" t="n"/>
      <c r="U718" s="8" t="n"/>
      <c r="V718" s="8" t="n"/>
      <c r="W718" s="8" t="n"/>
      <c r="X718" s="137" t="inlineStr">
        <is>
          <t>+</t>
        </is>
      </c>
      <c r="Y718" s="137" t="inlineStr">
        <is>
          <t>+</t>
        </is>
      </c>
    </row>
    <row r="719">
      <c r="A719" s="6" t="inlineStr">
        <is>
          <t>работник 566</t>
        </is>
      </c>
      <c r="B719" s="6" t="inlineStr">
        <is>
          <t>Слесарь-ремонтник (по ремонту обогатительного оборудования)</t>
        </is>
      </c>
      <c r="C719" s="6" t="inlineStr">
        <is>
          <t>ОБЩЕСТВО С ОГРАНИЧЕННОЙ ОТВЕТСТВЕННОСТЬЮ "АМУР ЗОЛОТО"</t>
        </is>
      </c>
      <c r="D719" s="7" t="inlineStr">
        <is>
          <t>2708001686</t>
        </is>
      </c>
      <c r="E719" s="6" t="inlineStr">
        <is>
          <t>ООО "Амур Золото"</t>
        </is>
      </c>
      <c r="F719" s="7" t="inlineStr">
        <is>
          <t>2708001686</t>
        </is>
      </c>
      <c r="G719" s="7" t="inlineStr">
        <is>
          <t>Успешно</t>
        </is>
      </c>
      <c r="H719" s="6" t="n"/>
      <c r="I719" s="6" t="n"/>
      <c r="J719" s="6" t="n"/>
      <c r="K719" s="7" t="n">
        <v>2</v>
      </c>
      <c r="L719" s="8" t="n"/>
      <c r="M719" s="137" t="inlineStr">
        <is>
          <t>+</t>
        </is>
      </c>
      <c r="N719" s="8" t="n"/>
      <c r="O719" s="8" t="n"/>
      <c r="P719" s="8" t="n"/>
      <c r="Q719" s="8" t="n"/>
      <c r="R719" s="8" t="n"/>
      <c r="S719" s="8" t="n"/>
      <c r="T719" s="8" t="n"/>
      <c r="U719" s="8" t="n"/>
      <c r="V719" s="8" t="n"/>
      <c r="W719" s="8" t="n"/>
      <c r="X719" s="139" t="n"/>
      <c r="Y719" s="137" t="inlineStr">
        <is>
          <t>+</t>
        </is>
      </c>
    </row>
    <row r="720">
      <c r="A720" s="6" t="inlineStr">
        <is>
          <t>работник 813</t>
        </is>
      </c>
      <c r="B720" s="6" t="inlineStr">
        <is>
          <t>Электрогазосварщик</t>
        </is>
      </c>
      <c r="C720" s="6" t="inlineStr">
        <is>
          <t>ОБЩЕСТВО С ОГРАНИЧЕННОЙ ОТВЕТСТВЕННОСТЬЮ "АМУР ЗОЛОТО"</t>
        </is>
      </c>
      <c r="D720" s="7" t="inlineStr">
        <is>
          <t>2708001686</t>
        </is>
      </c>
      <c r="E720" s="6" t="inlineStr">
        <is>
          <t>ООО "Амур Золото"</t>
        </is>
      </c>
      <c r="F720" s="7" t="inlineStr">
        <is>
          <t>2708001686</t>
        </is>
      </c>
      <c r="G720" s="7" t="inlineStr">
        <is>
          <t>Успешно</t>
        </is>
      </c>
      <c r="H720" s="6" t="n"/>
      <c r="I720" s="6" t="n"/>
      <c r="J720" s="6" t="inlineStr">
        <is>
          <t>Пользовательский интерфейс</t>
        </is>
      </c>
      <c r="K720" s="7" t="n">
        <v>3</v>
      </c>
      <c r="L720" s="8" t="n"/>
      <c r="M720" s="137" t="inlineStr">
        <is>
          <t>+</t>
        </is>
      </c>
      <c r="N720" s="8" t="n"/>
      <c r="O720" s="137" t="inlineStr">
        <is>
          <t>+</t>
        </is>
      </c>
      <c r="P720" s="8" t="n"/>
      <c r="Q720" s="8" t="n"/>
      <c r="R720" s="8" t="n"/>
      <c r="S720" s="8" t="n"/>
      <c r="T720" s="8" t="n"/>
      <c r="U720" s="8" t="n"/>
      <c r="V720" s="8" t="n"/>
      <c r="W720" s="8" t="n"/>
      <c r="X720" s="139" t="n"/>
      <c r="Y720" s="137" t="inlineStr">
        <is>
          <t>+</t>
        </is>
      </c>
    </row>
    <row r="721">
      <c r="A721" s="6" t="inlineStr">
        <is>
          <t>работник 681</t>
        </is>
      </c>
      <c r="B721" s="6" t="inlineStr">
        <is>
          <t>Грузчик</t>
        </is>
      </c>
      <c r="C721" s="6" t="inlineStr">
        <is>
          <t>ОБЩЕСТВО С ОГРАНИЧЕННОЙ ОТВЕТСТВЕННОСТЬЮ "АМУР ЗОЛОТО"</t>
        </is>
      </c>
      <c r="D721" s="7" t="inlineStr">
        <is>
          <t>2708001686</t>
        </is>
      </c>
      <c r="E721" s="6" t="inlineStr">
        <is>
          <t>ООО "Амур Золото"</t>
        </is>
      </c>
      <c r="F721" s="7" t="inlineStr">
        <is>
          <t>2708001686</t>
        </is>
      </c>
      <c r="G721" s="7" t="inlineStr">
        <is>
          <t>Успешно</t>
        </is>
      </c>
      <c r="H721" s="6" t="n"/>
      <c r="I721" s="6" t="n"/>
      <c r="J721" s="6" t="inlineStr">
        <is>
          <t>Пользовательский интерфейс</t>
        </is>
      </c>
      <c r="K721" s="7" t="n">
        <v>2</v>
      </c>
      <c r="L721" s="8" t="n"/>
      <c r="M721" s="137" t="inlineStr">
        <is>
          <t>+</t>
        </is>
      </c>
      <c r="N721" s="8" t="n"/>
      <c r="O721" s="8" t="n"/>
      <c r="P721" s="8" t="n"/>
      <c r="Q721" s="8" t="n"/>
      <c r="R721" s="8" t="n"/>
      <c r="S721" s="8" t="n"/>
      <c r="T721" s="8" t="n"/>
      <c r="U721" s="8" t="n"/>
      <c r="V721" s="8" t="n"/>
      <c r="W721" s="8" t="n"/>
      <c r="X721" s="139" t="n"/>
      <c r="Y721" s="137" t="inlineStr">
        <is>
          <t>+</t>
        </is>
      </c>
    </row>
    <row r="722">
      <c r="A722" s="6" t="inlineStr">
        <is>
          <t>работник 476</t>
        </is>
      </c>
      <c r="B722" s="6" t="inlineStr">
        <is>
          <t>Контролер</t>
        </is>
      </c>
      <c r="C722" s="6" t="inlineStr">
        <is>
          <t>ОБЩЕСТВО С ОГРАНИЧЕННОЙ ОТВЕТСТВЕННОСТЬЮ "АМУР ЗОЛОТО"</t>
        </is>
      </c>
      <c r="D722" s="7" t="inlineStr">
        <is>
          <t>2708001686</t>
        </is>
      </c>
      <c r="E722" s="6" t="inlineStr">
        <is>
          <t>ООО "Амур Золото"</t>
        </is>
      </c>
      <c r="F722" s="7" t="inlineStr">
        <is>
          <t>2708001686</t>
        </is>
      </c>
      <c r="G722" s="7" t="inlineStr">
        <is>
          <t>Успешно</t>
        </is>
      </c>
      <c r="H722" s="6" t="n"/>
      <c r="I722" s="6" t="n"/>
      <c r="J722" s="6" t="inlineStr">
        <is>
          <t>Пользовательский интерфейс</t>
        </is>
      </c>
      <c r="K722" s="7" t="n">
        <v>2</v>
      </c>
      <c r="L722" s="8" t="n"/>
      <c r="M722" s="137" t="inlineStr">
        <is>
          <t>+</t>
        </is>
      </c>
      <c r="N722" s="8" t="n"/>
      <c r="O722" s="8" t="n"/>
      <c r="P722" s="8" t="n"/>
      <c r="Q722" s="8" t="n"/>
      <c r="R722" s="8" t="n"/>
      <c r="S722" s="8" t="n"/>
      <c r="T722" s="8" t="n"/>
      <c r="U722" s="8" t="n"/>
      <c r="V722" s="8" t="n"/>
      <c r="W722" s="8" t="n"/>
      <c r="X722" s="139" t="n"/>
      <c r="Y722" s="137" t="inlineStr">
        <is>
          <t>+</t>
        </is>
      </c>
    </row>
    <row r="723">
      <c r="A723" s="6" t="inlineStr">
        <is>
          <t>работник 667</t>
        </is>
      </c>
      <c r="B723" s="6" t="inlineStr">
        <is>
          <t>Стропальщик (с исполнением обязанностей грузчика)</t>
        </is>
      </c>
      <c r="C723" s="6" t="inlineStr">
        <is>
          <t>ОБЩЕСТВО С ОГРАНИЧЕННОЙ ОТВЕТСТВЕННОСТЬЮ "АМУР ЗОЛОТО"</t>
        </is>
      </c>
      <c r="D723" s="7" t="inlineStr">
        <is>
          <t>2708001686</t>
        </is>
      </c>
      <c r="E723" s="6" t="inlineStr">
        <is>
          <t>ООО "Амур Золото"</t>
        </is>
      </c>
      <c r="F723" s="7" t="inlineStr">
        <is>
          <t>2708001686</t>
        </is>
      </c>
      <c r="G723" s="7" t="inlineStr">
        <is>
          <t>Успешно</t>
        </is>
      </c>
      <c r="H723" s="6" t="n"/>
      <c r="I723" s="6" t="n"/>
      <c r="J723" s="6" t="inlineStr">
        <is>
          <t>Пользовательский интерфейс</t>
        </is>
      </c>
      <c r="K723" s="7" t="n">
        <v>2</v>
      </c>
      <c r="L723" s="8" t="n"/>
      <c r="M723" s="137" t="inlineStr">
        <is>
          <t>+</t>
        </is>
      </c>
      <c r="N723" s="8" t="n"/>
      <c r="O723" s="8" t="n"/>
      <c r="P723" s="8" t="n"/>
      <c r="Q723" s="8" t="n"/>
      <c r="R723" s="8" t="n"/>
      <c r="S723" s="8" t="n"/>
      <c r="T723" s="8" t="n"/>
      <c r="U723" s="8" t="n"/>
      <c r="V723" s="8" t="n"/>
      <c r="W723" s="8" t="n"/>
      <c r="X723" s="139" t="n"/>
      <c r="Y723" s="137" t="inlineStr">
        <is>
          <t>+</t>
        </is>
      </c>
    </row>
    <row r="724">
      <c r="A724" s="6" t="inlineStr">
        <is>
          <t>работник 621</t>
        </is>
      </c>
      <c r="B724" s="6" t="inlineStr">
        <is>
          <t>Повар</t>
        </is>
      </c>
      <c r="C724" s="6" t="inlineStr">
        <is>
          <t>ОБЩЕСТВО С ОГРАНИЧЕННОЙ ОТВЕТСТВЕННОСТЬЮ "АМУР ЗОЛОТО"</t>
        </is>
      </c>
      <c r="D724" s="7" t="inlineStr">
        <is>
          <t>2708001686</t>
        </is>
      </c>
      <c r="E724" s="6" t="inlineStr">
        <is>
          <t>ООО "Амур Золото"</t>
        </is>
      </c>
      <c r="F724" s="7" t="inlineStr">
        <is>
          <t>2708001686</t>
        </is>
      </c>
      <c r="G724" s="7" t="inlineStr">
        <is>
          <t>Успешно</t>
        </is>
      </c>
      <c r="H724" s="6" t="n"/>
      <c r="I724" s="6" t="n"/>
      <c r="J724" s="6" t="inlineStr">
        <is>
          <t>Пользовательский интерфейс</t>
        </is>
      </c>
      <c r="K724" s="7" t="n">
        <v>2</v>
      </c>
      <c r="L724" s="8" t="n"/>
      <c r="M724" s="137" t="inlineStr">
        <is>
          <t>+</t>
        </is>
      </c>
      <c r="N724" s="8" t="n"/>
      <c r="O724" s="8" t="n"/>
      <c r="P724" s="8" t="n"/>
      <c r="Q724" s="8" t="n"/>
      <c r="R724" s="8" t="n"/>
      <c r="S724" s="8" t="n"/>
      <c r="T724" s="8" t="n"/>
      <c r="U724" s="8" t="n"/>
      <c r="V724" s="8" t="n"/>
      <c r="W724" s="8" t="n"/>
      <c r="X724" s="139" t="n"/>
      <c r="Y724" s="138" t="inlineStr">
        <is>
          <t>+</t>
        </is>
      </c>
    </row>
    <row r="725">
      <c r="A725" s="6" t="inlineStr">
        <is>
          <t>работник 174</t>
        </is>
      </c>
      <c r="B725" s="6" t="inlineStr">
        <is>
          <t>Машинист погрузочно-доставочной машины (занятый на транспортировании горной массы в технологическом процессе) / Машинист подземно-доставочной машины</t>
        </is>
      </c>
      <c r="C725" s="6" t="inlineStr">
        <is>
          <t>ОБЩЕСТВО С ОГРАНИЧЕННОЙ ОТВЕТСТВЕННОСТЬЮ "АМУР ЗОЛОТО"</t>
        </is>
      </c>
      <c r="D725" s="7" t="inlineStr">
        <is>
          <t>2708001686</t>
        </is>
      </c>
      <c r="E725" s="6" t="inlineStr">
        <is>
          <t>ООО "Амур Золото"</t>
        </is>
      </c>
      <c r="F725" s="7" t="inlineStr">
        <is>
          <t>2708001686</t>
        </is>
      </c>
      <c r="G725" s="7" t="inlineStr">
        <is>
          <t>Успешно</t>
        </is>
      </c>
      <c r="H725" s="6" t="n"/>
      <c r="I725" s="6" t="n"/>
      <c r="J725" s="6" t="inlineStr">
        <is>
          <t>Пользовательский интерфейс</t>
        </is>
      </c>
      <c r="K725" s="7" t="n">
        <v>8</v>
      </c>
      <c r="L725" s="8" t="n"/>
      <c r="M725" s="137" t="inlineStr">
        <is>
          <t>+</t>
        </is>
      </c>
      <c r="N725" s="8" t="n"/>
      <c r="O725" s="8" t="n"/>
      <c r="P725" s="8" t="n"/>
      <c r="Q725" s="8" t="n"/>
      <c r="R725" s="8" t="n"/>
      <c r="S725" s="8" t="n"/>
      <c r="T725" s="8" t="n"/>
      <c r="U725" s="8" t="n"/>
      <c r="V725" s="8" t="n"/>
      <c r="W725" s="8" t="n"/>
      <c r="X725" s="137" t="inlineStr">
        <is>
          <t>+</t>
        </is>
      </c>
      <c r="Y725" s="137" t="inlineStr">
        <is>
          <t>+</t>
        </is>
      </c>
    </row>
    <row r="726">
      <c r="A726" s="6" t="inlineStr">
        <is>
          <t>работник 50</t>
        </is>
      </c>
      <c r="B726" s="6" t="inlineStr">
        <is>
          <t>Машинист ДВС</t>
        </is>
      </c>
      <c r="C726" s="6" t="inlineStr">
        <is>
          <t>ОБЩЕСТВО С ОГРАНИЧЕННОЙ ОТВЕТСТВЕННОСТЬЮ "АМУР ЗОЛОТО"</t>
        </is>
      </c>
      <c r="D726" s="7" t="inlineStr">
        <is>
          <t>2708001686</t>
        </is>
      </c>
      <c r="E726" s="6" t="inlineStr">
        <is>
          <t>ООО "Амур Золото"</t>
        </is>
      </c>
      <c r="F726" s="7" t="inlineStr">
        <is>
          <t>2708001686</t>
        </is>
      </c>
      <c r="G726" s="7" t="inlineStr">
        <is>
          <t>Успешно</t>
        </is>
      </c>
      <c r="H726" s="6" t="n"/>
      <c r="I726" s="6" t="n"/>
      <c r="J726" s="6" t="inlineStr">
        <is>
          <t>Пользовательский интерфейс</t>
        </is>
      </c>
      <c r="K726" s="7" t="n">
        <v>3</v>
      </c>
      <c r="L726" s="8" t="n"/>
      <c r="M726" s="137" t="inlineStr">
        <is>
          <t>+</t>
        </is>
      </c>
      <c r="N726" s="8" t="n"/>
      <c r="O726" s="8" t="n"/>
      <c r="P726" s="8" t="n"/>
      <c r="Q726" s="8" t="n"/>
      <c r="R726" s="8" t="n"/>
      <c r="S726" s="8" t="n"/>
      <c r="T726" s="8" t="n"/>
      <c r="U726" s="8" t="n"/>
      <c r="V726" s="8" t="n"/>
      <c r="W726" s="8" t="n"/>
      <c r="X726" s="137" t="inlineStr">
        <is>
          <t>+</t>
        </is>
      </c>
      <c r="Y726" s="137" t="inlineStr">
        <is>
          <t>+</t>
        </is>
      </c>
    </row>
    <row r="727">
      <c r="A727" s="6" t="inlineStr">
        <is>
          <t>работник 290</t>
        </is>
      </c>
      <c r="B727" s="6" t="inlineStr">
        <is>
          <t>Водитель погрузчика</t>
        </is>
      </c>
      <c r="C727" s="6" t="inlineStr">
        <is>
          <t>ОБЩЕСТВО С ОГРАНИЧЕННОЙ ОТВЕТСТВЕННОСТЬЮ "АМУР ЗОЛОТО"</t>
        </is>
      </c>
      <c r="D727" s="7" t="inlineStr">
        <is>
          <t>2708001686</t>
        </is>
      </c>
      <c r="E727" s="6" t="inlineStr">
        <is>
          <t>ООО "Амур Золото"</t>
        </is>
      </c>
      <c r="F727" s="7" t="inlineStr">
        <is>
          <t>2708001686</t>
        </is>
      </c>
      <c r="G727" s="7" t="inlineStr">
        <is>
          <t>Успешно</t>
        </is>
      </c>
      <c r="H727" s="6" t="n"/>
      <c r="I727" s="6" t="n"/>
      <c r="J727" s="6" t="inlineStr">
        <is>
          <t>Пользовательский интерфейс</t>
        </is>
      </c>
      <c r="K727" s="7" t="n">
        <v>6</v>
      </c>
      <c r="L727" s="8" t="n"/>
      <c r="M727" s="137" t="inlineStr">
        <is>
          <t>+</t>
        </is>
      </c>
      <c r="N727" s="8" t="n"/>
      <c r="O727" s="8" t="n"/>
      <c r="P727" s="8" t="n"/>
      <c r="Q727" s="8" t="n"/>
      <c r="R727" s="8" t="n"/>
      <c r="S727" s="8" t="n"/>
      <c r="T727" s="8" t="n"/>
      <c r="U727" s="8" t="n"/>
      <c r="V727" s="8" t="n"/>
      <c r="W727" s="8" t="n"/>
      <c r="X727" s="137" t="inlineStr">
        <is>
          <t>+</t>
        </is>
      </c>
      <c r="Y727" s="137" t="inlineStr">
        <is>
          <t>+</t>
        </is>
      </c>
    </row>
    <row r="728">
      <c r="A728" s="6" t="inlineStr">
        <is>
          <t>работник 291</t>
        </is>
      </c>
      <c r="B728" s="6" t="inlineStr">
        <is>
          <t>Водитель автомобиля для перевозки взрывчатых материалов</t>
        </is>
      </c>
      <c r="C728" s="6" t="inlineStr">
        <is>
          <t>ОБЩЕСТВО С ОГРАНИЧЕННОЙ ОТВЕТСТВЕННОСТЬЮ "АМУР ЗОЛОТО"</t>
        </is>
      </c>
      <c r="D728" s="7" t="inlineStr">
        <is>
          <t>2708001686</t>
        </is>
      </c>
      <c r="E728" s="6" t="inlineStr">
        <is>
          <t>ООО "Амур Золото"</t>
        </is>
      </c>
      <c r="F728" s="7" t="inlineStr">
        <is>
          <t>2708001686</t>
        </is>
      </c>
      <c r="G728" s="7" t="inlineStr">
        <is>
          <t>Успешно</t>
        </is>
      </c>
      <c r="H728" s="6" t="n"/>
      <c r="I728" s="6" t="n"/>
      <c r="J728" s="6" t="inlineStr">
        <is>
          <t>Пользовательский интерфейс</t>
        </is>
      </c>
      <c r="K728" s="7" t="n">
        <v>3</v>
      </c>
      <c r="L728" s="8" t="n"/>
      <c r="M728" s="137" t="inlineStr">
        <is>
          <t>+</t>
        </is>
      </c>
      <c r="N728" s="8" t="n"/>
      <c r="O728" s="8" t="n"/>
      <c r="P728" s="8" t="n"/>
      <c r="Q728" s="8" t="n"/>
      <c r="R728" s="8" t="n"/>
      <c r="S728" s="8" t="n"/>
      <c r="T728" s="8" t="n"/>
      <c r="U728" s="8" t="n"/>
      <c r="V728" s="8" t="n"/>
      <c r="W728" s="8" t="n"/>
      <c r="X728" s="137" t="inlineStr">
        <is>
          <t>+</t>
        </is>
      </c>
      <c r="Y728" s="137" t="inlineStr">
        <is>
          <t>+</t>
        </is>
      </c>
    </row>
    <row r="729">
      <c r="A729" s="6" t="inlineStr">
        <is>
          <t>работник 900</t>
        </is>
      </c>
      <c r="B729" s="6" t="inlineStr">
        <is>
          <t>Водитель погрузчика</t>
        </is>
      </c>
      <c r="C729" s="6" t="inlineStr">
        <is>
          <t>ОБЩЕСТВО С ОГРАНИЧЕННОЙ ОТВЕТСТВЕННОСТЬЮ "АМУР ЗОЛОТО"</t>
        </is>
      </c>
      <c r="D729" s="7" t="inlineStr">
        <is>
          <t>2708001686</t>
        </is>
      </c>
      <c r="E729" s="6" t="inlineStr">
        <is>
          <t>ООО "Амур Золото"</t>
        </is>
      </c>
      <c r="F729" s="7" t="inlineStr">
        <is>
          <t>2708001686</t>
        </is>
      </c>
      <c r="G729" s="7" t="inlineStr">
        <is>
          <t>Успешно</t>
        </is>
      </c>
      <c r="H729" s="6" t="n"/>
      <c r="I729" s="6" t="n"/>
      <c r="J729" s="6" t="inlineStr">
        <is>
          <t>Пользовательский интерфейс</t>
        </is>
      </c>
      <c r="K729" s="7" t="n">
        <v>3</v>
      </c>
      <c r="L729" s="8" t="n"/>
      <c r="M729" s="137" t="inlineStr">
        <is>
          <t>+</t>
        </is>
      </c>
      <c r="N729" s="8" t="n"/>
      <c r="O729" s="8" t="n"/>
      <c r="P729" s="8" t="n"/>
      <c r="Q729" s="8" t="n"/>
      <c r="R729" s="8" t="n"/>
      <c r="S729" s="8" t="n"/>
      <c r="T729" s="8" t="n"/>
      <c r="U729" s="8" t="n"/>
      <c r="V729" s="8" t="n"/>
      <c r="W729" s="8" t="n"/>
      <c r="X729" s="137" t="inlineStr">
        <is>
          <t>+</t>
        </is>
      </c>
      <c r="Y729" s="137" t="inlineStr">
        <is>
          <t>+</t>
        </is>
      </c>
    </row>
    <row r="730">
      <c r="A730" s="6" t="inlineStr">
        <is>
          <t>работник 801</t>
        </is>
      </c>
      <c r="B730" s="6" t="inlineStr">
        <is>
          <t>Слесарь по ремонту автомобилей и тяжелой техники</t>
        </is>
      </c>
      <c r="C730" s="6" t="inlineStr">
        <is>
          <t>ОБЩЕСТВО С ОГРАНИЧЕННОЙ ОТВЕТСТВЕННОСТЬЮ "АМУР ЗОЛОТО"</t>
        </is>
      </c>
      <c r="D730" s="7" t="inlineStr">
        <is>
          <t>2708001686</t>
        </is>
      </c>
      <c r="E730" s="6" t="inlineStr">
        <is>
          <t>ООО "Амур Золото"</t>
        </is>
      </c>
      <c r="F730" s="7" t="inlineStr">
        <is>
          <t>2708001686</t>
        </is>
      </c>
      <c r="G730" s="7" t="inlineStr">
        <is>
          <t>Успешно</t>
        </is>
      </c>
      <c r="H730" s="6" t="n"/>
      <c r="I730" s="6" t="n"/>
      <c r="J730" s="6" t="inlineStr">
        <is>
          <t>Пользовательский интерфейс</t>
        </is>
      </c>
      <c r="K730" s="7" t="n">
        <v>4</v>
      </c>
      <c r="L730" s="8" t="n"/>
      <c r="M730" s="137" t="inlineStr">
        <is>
          <t>+</t>
        </is>
      </c>
      <c r="N730" s="8" t="n"/>
      <c r="O730" s="137" t="inlineStr">
        <is>
          <t>+</t>
        </is>
      </c>
      <c r="P730" s="8" t="n"/>
      <c r="Q730" s="8" t="n"/>
      <c r="R730" s="8" t="n"/>
      <c r="S730" s="8" t="n"/>
      <c r="T730" s="8" t="n"/>
      <c r="U730" s="8" t="n"/>
      <c r="V730" s="8" t="n"/>
      <c r="W730" s="8" t="n"/>
      <c r="X730" s="137" t="inlineStr">
        <is>
          <t>+</t>
        </is>
      </c>
      <c r="Y730" s="137" t="inlineStr">
        <is>
          <t>+</t>
        </is>
      </c>
    </row>
    <row r="731">
      <c r="A731" s="6" t="inlineStr">
        <is>
          <t>работник 862</t>
        </is>
      </c>
      <c r="B731" s="6" t="inlineStr">
        <is>
          <t>Уборщик производственных и служебных помещений</t>
        </is>
      </c>
      <c r="C731" s="6" t="inlineStr">
        <is>
          <t>ОБЩЕСТВО С ОГРАНИЧЕННОЙ ОТВЕТСТВЕННОСТЬЮ "АМУР ЗОЛОТО"</t>
        </is>
      </c>
      <c r="D731" s="7" t="inlineStr">
        <is>
          <t>2708001686</t>
        </is>
      </c>
      <c r="E731" s="6" t="inlineStr">
        <is>
          <t>ООО "Амур Золото"</t>
        </is>
      </c>
      <c r="F731" s="7" t="inlineStr">
        <is>
          <t>2708001686</t>
        </is>
      </c>
      <c r="G731" s="7" t="inlineStr">
        <is>
          <t>Успешно</t>
        </is>
      </c>
      <c r="H731" s="6" t="n"/>
      <c r="I731" s="6" t="n"/>
      <c r="J731" s="6" t="inlineStr">
        <is>
          <t>Пользовательский интерфейс</t>
        </is>
      </c>
      <c r="K731" s="7" t="n">
        <v>3</v>
      </c>
      <c r="L731" s="8" t="n"/>
      <c r="M731" s="137" t="inlineStr">
        <is>
          <t>+</t>
        </is>
      </c>
      <c r="N731" s="8" t="n"/>
      <c r="O731" s="8" t="n"/>
      <c r="P731" s="8" t="n"/>
      <c r="Q731" s="8" t="n"/>
      <c r="R731" s="8" t="n"/>
      <c r="S731" s="8" t="n"/>
      <c r="T731" s="8" t="n"/>
      <c r="U731" s="8" t="n"/>
      <c r="V731" s="8" t="n"/>
      <c r="W731" s="8" t="n"/>
      <c r="X731" s="137" t="inlineStr">
        <is>
          <t>+</t>
        </is>
      </c>
      <c r="Y731" s="137" t="inlineStr">
        <is>
          <t>+</t>
        </is>
      </c>
    </row>
    <row r="732">
      <c r="A732" s="6" t="inlineStr">
        <is>
          <t>работник 829</t>
        </is>
      </c>
      <c r="B732" s="6" t="inlineStr">
        <is>
          <t>Дробильщик</t>
        </is>
      </c>
      <c r="C732" s="6" t="inlineStr">
        <is>
          <t>ОБЩЕСТВО С ОГРАНИЧЕННОЙ ОТВЕТСТВЕННОСТЬЮ "АМУР ЗОЛОТО"</t>
        </is>
      </c>
      <c r="D732" s="7" t="inlineStr">
        <is>
          <t>2708001686</t>
        </is>
      </c>
      <c r="E732" s="6" t="inlineStr">
        <is>
          <t>ООО "Амур Золото"</t>
        </is>
      </c>
      <c r="F732" s="7" t="inlineStr">
        <is>
          <t>2708001686</t>
        </is>
      </c>
      <c r="G732" s="7" t="inlineStr">
        <is>
          <t>Успешно</t>
        </is>
      </c>
      <c r="H732" s="6" t="n"/>
      <c r="I732" s="6" t="n"/>
      <c r="J732" s="6" t="inlineStr">
        <is>
          <t>Пользовательский интерфейс</t>
        </is>
      </c>
      <c r="K732" s="7" t="n">
        <v>3</v>
      </c>
      <c r="L732" s="8" t="n"/>
      <c r="M732" s="137" t="inlineStr">
        <is>
          <t>+</t>
        </is>
      </c>
      <c r="N732" s="8" t="n"/>
      <c r="O732" s="8" t="n"/>
      <c r="P732" s="8" t="n"/>
      <c r="Q732" s="8" t="n"/>
      <c r="R732" s="8" t="n"/>
      <c r="S732" s="8" t="n"/>
      <c r="T732" s="8" t="n"/>
      <c r="U732" s="8" t="n"/>
      <c r="V732" s="8" t="n"/>
      <c r="W732" s="8" t="n"/>
      <c r="X732" s="137" t="inlineStr">
        <is>
          <t>+</t>
        </is>
      </c>
      <c r="Y732" s="137" t="inlineStr">
        <is>
          <t>+</t>
        </is>
      </c>
    </row>
    <row r="733">
      <c r="A733" s="6" t="inlineStr">
        <is>
          <t>работник 889</t>
        </is>
      </c>
      <c r="B733" s="6" t="inlineStr">
        <is>
          <t>Машинист самоходной буровой установки (Проходка)</t>
        </is>
      </c>
      <c r="C733" s="6" t="inlineStr">
        <is>
          <t>ОБЩЕСТВО С ОГРАНИЧЕННОЙ ОТВЕТСТВЕННОСТЬЮ "АМУР ЗОЛОТО"</t>
        </is>
      </c>
      <c r="D733" s="7" t="inlineStr">
        <is>
          <t>2708001686</t>
        </is>
      </c>
      <c r="E733" s="6" t="inlineStr">
        <is>
          <t>ООО "Амур Золото"</t>
        </is>
      </c>
      <c r="F733" s="7" t="inlineStr">
        <is>
          <t>2708001686</t>
        </is>
      </c>
      <c r="G733" s="7" t="inlineStr">
        <is>
          <t>Успешно</t>
        </is>
      </c>
      <c r="H733" s="6" t="n"/>
      <c r="I733" s="6" t="n"/>
      <c r="J733" s="6" t="inlineStr">
        <is>
          <t>Пользовательский интерфейс</t>
        </is>
      </c>
      <c r="K733" s="7" t="n">
        <v>3</v>
      </c>
      <c r="L733" s="8" t="n"/>
      <c r="M733" s="137" t="inlineStr">
        <is>
          <t>+</t>
        </is>
      </c>
      <c r="N733" s="8" t="n"/>
      <c r="O733" s="8" t="n"/>
      <c r="P733" s="8" t="n"/>
      <c r="Q733" s="8" t="n"/>
      <c r="R733" s="8" t="n"/>
      <c r="S733" s="8" t="n"/>
      <c r="T733" s="8" t="n"/>
      <c r="U733" s="8" t="n"/>
      <c r="V733" s="8" t="n"/>
      <c r="W733" s="8" t="n"/>
      <c r="X733" s="137" t="inlineStr">
        <is>
          <t>+</t>
        </is>
      </c>
      <c r="Y733" s="137" t="inlineStr">
        <is>
          <t>+</t>
        </is>
      </c>
    </row>
    <row r="734">
      <c r="A734" s="6" t="inlineStr">
        <is>
          <t>работник 886</t>
        </is>
      </c>
      <c r="B734" s="6" t="inlineStr">
        <is>
          <t>Машинист погрузочно-доставочной машины</t>
        </is>
      </c>
      <c r="C734" s="6" t="inlineStr">
        <is>
          <t>ОБЩЕСТВО С ОГРАНИЧЕННОЙ ОТВЕТСТВЕННОСТЬЮ "АМУР ЗОЛОТО"</t>
        </is>
      </c>
      <c r="D734" s="7" t="inlineStr">
        <is>
          <t>2708001686</t>
        </is>
      </c>
      <c r="E734" s="6" t="inlineStr">
        <is>
          <t>ООО "Амур Золото"</t>
        </is>
      </c>
      <c r="F734" s="7" t="inlineStr">
        <is>
          <t>2708001686</t>
        </is>
      </c>
      <c r="G734" s="7" t="inlineStr">
        <is>
          <t>Успешно</t>
        </is>
      </c>
      <c r="H734" s="6" t="n"/>
      <c r="I734" s="6" t="n"/>
      <c r="J734" s="6" t="inlineStr">
        <is>
          <t>Пользовательский интерфейс</t>
        </is>
      </c>
      <c r="K734" s="7" t="n">
        <v>3</v>
      </c>
      <c r="L734" s="8" t="n"/>
      <c r="M734" s="137" t="inlineStr">
        <is>
          <t>+</t>
        </is>
      </c>
      <c r="N734" s="8" t="n"/>
      <c r="O734" s="8" t="n"/>
      <c r="P734" s="8" t="n"/>
      <c r="Q734" s="8" t="n"/>
      <c r="R734" s="8" t="n"/>
      <c r="S734" s="8" t="n"/>
      <c r="T734" s="8" t="n"/>
      <c r="U734" s="8" t="n"/>
      <c r="V734" s="8" t="n"/>
      <c r="W734" s="8" t="n"/>
      <c r="X734" s="137" t="inlineStr">
        <is>
          <t>+</t>
        </is>
      </c>
      <c r="Y734" s="137" t="inlineStr">
        <is>
          <t>+</t>
        </is>
      </c>
    </row>
    <row r="735">
      <c r="A735" s="6" t="inlineStr">
        <is>
          <t>работник 735</t>
        </is>
      </c>
      <c r="B735" s="6" t="inlineStr">
        <is>
          <t>Машинист бульдозера</t>
        </is>
      </c>
      <c r="C735" s="6" t="inlineStr">
        <is>
          <t>ОБЩЕСТВО С ОГРАНИЧЕННОЙ ОТВЕТСТВЕННОСТЬЮ "АМУР ЗОЛОТО"</t>
        </is>
      </c>
      <c r="D735" s="7" t="inlineStr">
        <is>
          <t>2708001686</t>
        </is>
      </c>
      <c r="E735" s="6" t="inlineStr">
        <is>
          <t>ООО "Амур Золото"</t>
        </is>
      </c>
      <c r="F735" s="7" t="inlineStr">
        <is>
          <t>2708001686</t>
        </is>
      </c>
      <c r="G735" s="7" t="inlineStr">
        <is>
          <t>Успешно</t>
        </is>
      </c>
      <c r="H735" s="6" t="n"/>
      <c r="I735" s="6" t="n"/>
      <c r="J735" s="6" t="inlineStr">
        <is>
          <t>Пользовательский интерфейс</t>
        </is>
      </c>
      <c r="K735" s="7" t="n">
        <v>2</v>
      </c>
      <c r="L735" s="8" t="n"/>
      <c r="M735" s="137" t="inlineStr">
        <is>
          <t>+</t>
        </is>
      </c>
      <c r="N735" s="8" t="n"/>
      <c r="O735" s="8" t="n"/>
      <c r="P735" s="8" t="n"/>
      <c r="Q735" s="8" t="n"/>
      <c r="R735" s="8" t="n"/>
      <c r="S735" s="8" t="n"/>
      <c r="T735" s="8" t="n"/>
      <c r="U735" s="8" t="n"/>
      <c r="V735" s="8" t="n"/>
      <c r="W735" s="8" t="n"/>
      <c r="X735" s="139" t="n"/>
      <c r="Y735" s="137" t="inlineStr">
        <is>
          <t>+</t>
        </is>
      </c>
    </row>
    <row r="736">
      <c r="A736" s="6" t="inlineStr">
        <is>
          <t>работник 781</t>
        </is>
      </c>
      <c r="B736" s="6" t="inlineStr">
        <is>
          <t>Слесарь-ремонтник (по ремонту самоходной техники)</t>
        </is>
      </c>
      <c r="C736" s="6" t="inlineStr">
        <is>
          <t>ОБЩЕСТВО С ОГРАНИЧЕННОЙ ОТВЕТСТВЕННОСТЬЮ "АМУР ЗОЛОТО"</t>
        </is>
      </c>
      <c r="D736" s="7" t="inlineStr">
        <is>
          <t>2708001686</t>
        </is>
      </c>
      <c r="E736" s="6" t="inlineStr">
        <is>
          <t>ООО "Амур Золото"</t>
        </is>
      </c>
      <c r="F736" s="7" t="inlineStr">
        <is>
          <t>2708001686</t>
        </is>
      </c>
      <c r="G736" s="7" t="inlineStr">
        <is>
          <t>Успешно</t>
        </is>
      </c>
      <c r="H736" s="6" t="n"/>
      <c r="I736" s="6" t="n"/>
      <c r="J736" s="6" t="inlineStr">
        <is>
          <t>Пользовательский интерфейс</t>
        </is>
      </c>
      <c r="K736" s="7" t="n">
        <v>3</v>
      </c>
      <c r="L736" s="8" t="n"/>
      <c r="M736" s="137" t="inlineStr">
        <is>
          <t>+</t>
        </is>
      </c>
      <c r="N736" s="8" t="n"/>
      <c r="O736" s="137" t="inlineStr">
        <is>
          <t>+</t>
        </is>
      </c>
      <c r="P736" s="8" t="n"/>
      <c r="Q736" s="8" t="n"/>
      <c r="R736" s="8" t="n"/>
      <c r="S736" s="8" t="n"/>
      <c r="T736" s="8" t="n"/>
      <c r="U736" s="8" t="n"/>
      <c r="V736" s="8" t="n"/>
      <c r="W736" s="8" t="n"/>
      <c r="X736" s="139" t="n"/>
      <c r="Y736" s="137" t="inlineStr">
        <is>
          <t>+</t>
        </is>
      </c>
    </row>
    <row r="737">
      <c r="A737" s="6" t="inlineStr">
        <is>
          <t>работник 564</t>
        </is>
      </c>
      <c r="B737" s="6" t="inlineStr">
        <is>
          <t>Слесарь ремонтник</t>
        </is>
      </c>
      <c r="C737" s="6" t="inlineStr">
        <is>
          <t>ОБЩЕСТВО С ОГРАНИЧЕННОЙ ОТВЕТСТВЕННОСТЬЮ "АМУР ЗОЛОТО"</t>
        </is>
      </c>
      <c r="D737" s="7" t="inlineStr">
        <is>
          <t>2708001686</t>
        </is>
      </c>
      <c r="E737" s="6" t="inlineStr">
        <is>
          <t>ООО "Амур Золото"</t>
        </is>
      </c>
      <c r="F737" s="7" t="inlineStr">
        <is>
          <t>2708001686</t>
        </is>
      </c>
      <c r="G737" s="7" t="inlineStr">
        <is>
          <t>Успешно</t>
        </is>
      </c>
      <c r="H737" s="6" t="n"/>
      <c r="I737" s="6" t="n"/>
      <c r="J737" s="6" t="n"/>
      <c r="K737" s="7" t="n">
        <v>2</v>
      </c>
      <c r="L737" s="8" t="n"/>
      <c r="M737" s="137" t="inlineStr">
        <is>
          <t>+</t>
        </is>
      </c>
      <c r="N737" s="8" t="n"/>
      <c r="O737" s="8" t="n"/>
      <c r="P737" s="8" t="n"/>
      <c r="Q737" s="8" t="n"/>
      <c r="R737" s="8" t="n"/>
      <c r="S737" s="8" t="n"/>
      <c r="T737" s="8" t="n"/>
      <c r="U737" s="8" t="n"/>
      <c r="V737" s="8" t="n"/>
      <c r="W737" s="8" t="n"/>
      <c r="X737" s="139" t="n"/>
      <c r="Y737" s="137" t="inlineStr">
        <is>
          <t>+</t>
        </is>
      </c>
    </row>
    <row r="738">
      <c r="A738" s="6" t="inlineStr">
        <is>
          <t>работник 924</t>
        </is>
      </c>
      <c r="B738" s="6" t="inlineStr">
        <is>
          <t>Повар</t>
        </is>
      </c>
      <c r="C738" s="6" t="inlineStr">
        <is>
          <t>ОБЩЕСТВО С ОГРАНИЧЕННОЙ ОТВЕТСТВЕННОСТЬЮ "АМУР ЗОЛОТО"</t>
        </is>
      </c>
      <c r="D738" s="7" t="inlineStr">
        <is>
          <t>2708001686</t>
        </is>
      </c>
      <c r="E738" s="6" t="inlineStr">
        <is>
          <t>ООО "Амур Золото"</t>
        </is>
      </c>
      <c r="F738" s="7" t="inlineStr">
        <is>
          <t>2708001686</t>
        </is>
      </c>
      <c r="G738" s="7" t="inlineStr">
        <is>
          <t>Успешно</t>
        </is>
      </c>
      <c r="H738" s="6" t="n"/>
      <c r="I738" s="6" t="n"/>
      <c r="J738" s="6" t="inlineStr">
        <is>
          <t>Пользовательский интерфейс</t>
        </is>
      </c>
      <c r="K738" s="7" t="n">
        <v>2</v>
      </c>
      <c r="L738" s="8" t="n"/>
      <c r="M738" s="137" t="inlineStr">
        <is>
          <t>+</t>
        </is>
      </c>
      <c r="N738" s="8" t="n"/>
      <c r="O738" s="8" t="n"/>
      <c r="P738" s="8" t="n"/>
      <c r="Q738" s="8" t="n"/>
      <c r="R738" s="8" t="n"/>
      <c r="S738" s="8" t="n"/>
      <c r="T738" s="8" t="n"/>
      <c r="U738" s="8" t="n"/>
      <c r="V738" s="8" t="n"/>
      <c r="W738" s="8" t="n"/>
      <c r="X738" s="139" t="n"/>
      <c r="Y738" s="138" t="inlineStr">
        <is>
          <t>+</t>
        </is>
      </c>
    </row>
    <row r="739">
      <c r="A739" s="6" t="inlineStr">
        <is>
          <t>работник 772</t>
        </is>
      </c>
      <c r="B739" s="6" t="inlineStr">
        <is>
          <t>Машинист погрузочно-доставочной машины</t>
        </is>
      </c>
      <c r="C739" s="6" t="inlineStr">
        <is>
          <t>ОБЩЕСТВО С ОГРАНИЧЕННОЙ ОТВЕТСТВЕННОСТЬЮ "АМУР ЗОЛОТО"</t>
        </is>
      </c>
      <c r="D739" s="7" t="inlineStr">
        <is>
          <t>2708001686</t>
        </is>
      </c>
      <c r="E739" s="6" t="inlineStr">
        <is>
          <t>ООО "Амур Золото"</t>
        </is>
      </c>
      <c r="F739" s="7" t="inlineStr">
        <is>
          <t>2708001686</t>
        </is>
      </c>
      <c r="G739" s="7" t="inlineStr">
        <is>
          <t>Успешно</t>
        </is>
      </c>
      <c r="H739" s="6" t="n"/>
      <c r="I739" s="6" t="n"/>
      <c r="J739" s="6" t="inlineStr">
        <is>
          <t>Пользовательский интерфейс</t>
        </is>
      </c>
      <c r="K739" s="7" t="n">
        <v>6</v>
      </c>
      <c r="L739" s="8" t="n"/>
      <c r="M739" s="137" t="inlineStr">
        <is>
          <t>+</t>
        </is>
      </c>
      <c r="N739" s="8" t="n"/>
      <c r="O739" s="8" t="n"/>
      <c r="P739" s="8" t="n"/>
      <c r="Q739" s="8" t="n"/>
      <c r="R739" s="8" t="n"/>
      <c r="S739" s="8" t="n"/>
      <c r="T739" s="8" t="n"/>
      <c r="U739" s="8" t="n"/>
      <c r="V739" s="8" t="n"/>
      <c r="W739" s="8" t="n"/>
      <c r="X739" s="137" t="inlineStr">
        <is>
          <t>+</t>
        </is>
      </c>
      <c r="Y739" s="137" t="inlineStr">
        <is>
          <t>+</t>
        </is>
      </c>
    </row>
    <row r="740">
      <c r="A740" s="6" t="inlineStr">
        <is>
          <t>работник 65</t>
        </is>
      </c>
      <c r="B740" s="6" t="inlineStr">
        <is>
          <t>Помошник машиниста самоходной буровой установки / Электрослесарь (слесарь) / Электрослесарь (слесарь) дежурный и по ремонту оборудования подземного горного участка</t>
        </is>
      </c>
      <c r="C740" s="6" t="inlineStr">
        <is>
          <t>ОБЩЕСТВО С ОГРАНИЧЕННОЙ ОТВЕТСТВЕННОСТЬЮ "АМУР ЗОЛОТО"</t>
        </is>
      </c>
      <c r="D740" s="7" t="inlineStr">
        <is>
          <t>2708001686</t>
        </is>
      </c>
      <c r="E740" s="6" t="inlineStr">
        <is>
          <t>ООО "Амур Золото"</t>
        </is>
      </c>
      <c r="F740" s="7" t="inlineStr">
        <is>
          <t>2708001686</t>
        </is>
      </c>
      <c r="G740" s="7" t="inlineStr">
        <is>
          <t>Успешно</t>
        </is>
      </c>
      <c r="H740" s="6" t="n"/>
      <c r="I740" s="6" t="n"/>
      <c r="J740" s="6" t="inlineStr">
        <is>
          <t>Пользовательский интерфейс</t>
        </is>
      </c>
      <c r="K740" s="7" t="n">
        <v>9</v>
      </c>
      <c r="L740" s="8" t="n"/>
      <c r="M740" s="137" t="inlineStr">
        <is>
          <t>+</t>
        </is>
      </c>
      <c r="N740" s="8" t="n"/>
      <c r="O740" s="8" t="n"/>
      <c r="P740" s="8" t="n"/>
      <c r="Q740" s="8" t="n"/>
      <c r="R740" s="8" t="n"/>
      <c r="S740" s="8" t="n"/>
      <c r="T740" s="8" t="n"/>
      <c r="U740" s="8" t="n"/>
      <c r="V740" s="8" t="n"/>
      <c r="W740" s="8" t="n"/>
      <c r="X740" s="137" t="inlineStr">
        <is>
          <t>+</t>
        </is>
      </c>
      <c r="Y740" s="137" t="inlineStr">
        <is>
          <t>+</t>
        </is>
      </c>
    </row>
    <row r="741">
      <c r="A741" s="6" t="inlineStr">
        <is>
          <t>работник 175</t>
        </is>
      </c>
      <c r="B741" s="6" t="inlineStr">
        <is>
          <t>Машинист подземно-доставочной машины</t>
        </is>
      </c>
      <c r="C741" s="6" t="inlineStr">
        <is>
          <t>ОБЩЕСТВО С ОГРАНИЧЕННОЙ ОТВЕТСТВЕННОСТЬЮ "АМУР ЗОЛОТО"</t>
        </is>
      </c>
      <c r="D741" s="7" t="inlineStr">
        <is>
          <t>2708001686</t>
        </is>
      </c>
      <c r="E741" s="6" t="inlineStr">
        <is>
          <t>ООО "Амур Золото"</t>
        </is>
      </c>
      <c r="F741" s="7" t="inlineStr">
        <is>
          <t>2708001686</t>
        </is>
      </c>
      <c r="G741" s="7" t="inlineStr">
        <is>
          <t>Успешно</t>
        </is>
      </c>
      <c r="H741" s="6" t="n"/>
      <c r="I741" s="6" t="n"/>
      <c r="J741" s="6" t="inlineStr">
        <is>
          <t>Пользовательский интерфейс</t>
        </is>
      </c>
      <c r="K741" s="7" t="n">
        <v>3</v>
      </c>
      <c r="L741" s="8" t="n"/>
      <c r="M741" s="137" t="inlineStr">
        <is>
          <t>+</t>
        </is>
      </c>
      <c r="N741" s="8" t="n"/>
      <c r="O741" s="8" t="n"/>
      <c r="P741" s="8" t="n"/>
      <c r="Q741" s="8" t="n"/>
      <c r="R741" s="8" t="n"/>
      <c r="S741" s="8" t="n"/>
      <c r="T741" s="8" t="n"/>
      <c r="U741" s="8" t="n"/>
      <c r="V741" s="8" t="n"/>
      <c r="W741" s="8" t="n"/>
      <c r="X741" s="137" t="inlineStr">
        <is>
          <t>+</t>
        </is>
      </c>
      <c r="Y741" s="137" t="inlineStr">
        <is>
          <t>+</t>
        </is>
      </c>
    </row>
    <row r="742">
      <c r="A742" s="6" t="inlineStr">
        <is>
          <t>работник 117</t>
        </is>
      </c>
      <c r="B742" s="6" t="inlineStr">
        <is>
          <t>Пробоотборщик</t>
        </is>
      </c>
      <c r="C742" s="6" t="inlineStr">
        <is>
          <t>ОБЩЕСТВО С ОГРАНИЧЕННОЙ ОТВЕТСТВЕННОСТЬЮ "АМУР ЗОЛОТО"</t>
        </is>
      </c>
      <c r="D742" s="7" t="inlineStr">
        <is>
          <t>2708001686</t>
        </is>
      </c>
      <c r="E742" s="6" t="inlineStr">
        <is>
          <t>ООО "Амур Золото"</t>
        </is>
      </c>
      <c r="F742" s="7" t="inlineStr">
        <is>
          <t>2708001686</t>
        </is>
      </c>
      <c r="G742" s="7" t="inlineStr">
        <is>
          <t>Успешно</t>
        </is>
      </c>
      <c r="H742" s="6" t="n"/>
      <c r="I742" s="6" t="n"/>
      <c r="J742" s="6" t="inlineStr">
        <is>
          <t>Пользовательский интерфейс</t>
        </is>
      </c>
      <c r="K742" s="7" t="n">
        <v>3</v>
      </c>
      <c r="L742" s="8" t="n"/>
      <c r="M742" s="137" t="inlineStr">
        <is>
          <t>+</t>
        </is>
      </c>
      <c r="N742" s="8" t="n"/>
      <c r="O742" s="8" t="n"/>
      <c r="P742" s="8" t="n"/>
      <c r="Q742" s="8" t="n"/>
      <c r="R742" s="8" t="n"/>
      <c r="S742" s="8" t="n"/>
      <c r="T742" s="8" t="n"/>
      <c r="U742" s="8" t="n"/>
      <c r="V742" s="8" t="n"/>
      <c r="W742" s="8" t="n"/>
      <c r="X742" s="137" t="inlineStr">
        <is>
          <t>+</t>
        </is>
      </c>
      <c r="Y742" s="137" t="inlineStr">
        <is>
          <t>+</t>
        </is>
      </c>
    </row>
    <row r="743">
      <c r="A743" s="6" t="inlineStr">
        <is>
          <t>работник 345</t>
        </is>
      </c>
      <c r="B743" s="6" t="inlineStr">
        <is>
          <t>Растворщик реагентов</t>
        </is>
      </c>
      <c r="C743" s="6" t="inlineStr">
        <is>
          <t>ОБЩЕСТВО С ОГРАНИЧЕННОЙ ОТВЕТСТВЕННОСТЬЮ "АМУР ЗОЛОТО"</t>
        </is>
      </c>
      <c r="D743" s="7" t="inlineStr">
        <is>
          <t>2708001686</t>
        </is>
      </c>
      <c r="E743" s="6" t="inlineStr">
        <is>
          <t>ООО "Амур Золото"</t>
        </is>
      </c>
      <c r="F743" s="7" t="inlineStr">
        <is>
          <t>2708001686</t>
        </is>
      </c>
      <c r="G743" s="7" t="inlineStr">
        <is>
          <t>Успешно</t>
        </is>
      </c>
      <c r="H743" s="6" t="n"/>
      <c r="I743" s="6" t="n"/>
      <c r="J743" s="6" t="inlineStr">
        <is>
          <t>Пользовательский интерфейс</t>
        </is>
      </c>
      <c r="K743" s="7" t="n">
        <v>3</v>
      </c>
      <c r="L743" s="8" t="n"/>
      <c r="M743" s="137" t="inlineStr">
        <is>
          <t>+</t>
        </is>
      </c>
      <c r="N743" s="8" t="n"/>
      <c r="O743" s="8" t="n"/>
      <c r="P743" s="8" t="n"/>
      <c r="Q743" s="8" t="n"/>
      <c r="R743" s="8" t="n"/>
      <c r="S743" s="8" t="n"/>
      <c r="T743" s="8" t="n"/>
      <c r="U743" s="8" t="n"/>
      <c r="V743" s="8" t="n"/>
      <c r="W743" s="8" t="n"/>
      <c r="X743" s="137" t="inlineStr">
        <is>
          <t>+</t>
        </is>
      </c>
      <c r="Y743" s="137" t="inlineStr">
        <is>
          <t>+</t>
        </is>
      </c>
    </row>
    <row r="744">
      <c r="A744" s="6" t="inlineStr">
        <is>
          <t>работник 674</t>
        </is>
      </c>
      <c r="B744" s="6" t="inlineStr">
        <is>
          <t>Растворщик реагентов / Растворщик-реагентов</t>
        </is>
      </c>
      <c r="C744" s="6" t="inlineStr">
        <is>
          <t>ОБЩЕСТВО С ОГРАНИЧЕННОЙ ОТВЕТСТВЕННОСТЬЮ "АМУР ЗОЛОТО"</t>
        </is>
      </c>
      <c r="D744" s="7" t="inlineStr">
        <is>
          <t>2708001686</t>
        </is>
      </c>
      <c r="E744" s="6" t="inlineStr">
        <is>
          <t>ООО "Амур Золото"</t>
        </is>
      </c>
      <c r="F744" s="7" t="inlineStr">
        <is>
          <t>2708001686</t>
        </is>
      </c>
      <c r="G744" s="7" t="inlineStr">
        <is>
          <t>Успешно</t>
        </is>
      </c>
      <c r="H744" s="6" t="n"/>
      <c r="I744" s="6" t="n"/>
      <c r="J744" s="6" t="inlineStr">
        <is>
          <t>Пользовательский интерфейс</t>
        </is>
      </c>
      <c r="K744" s="7" t="n">
        <v>5</v>
      </c>
      <c r="L744" s="8" t="n"/>
      <c r="M744" s="137" t="inlineStr">
        <is>
          <t>+</t>
        </is>
      </c>
      <c r="N744" s="8" t="n"/>
      <c r="O744" s="8" t="n"/>
      <c r="P744" s="8" t="n"/>
      <c r="Q744" s="8" t="n"/>
      <c r="R744" s="8" t="n"/>
      <c r="S744" s="8" t="n"/>
      <c r="T744" s="8" t="n"/>
      <c r="U744" s="8" t="n"/>
      <c r="V744" s="8" t="n"/>
      <c r="W744" s="8" t="n"/>
      <c r="X744" s="137" t="inlineStr">
        <is>
          <t>+</t>
        </is>
      </c>
      <c r="Y744" s="137" t="inlineStr">
        <is>
          <t>+</t>
        </is>
      </c>
    </row>
    <row r="745">
      <c r="A745" s="6" t="inlineStr">
        <is>
          <t>работник 642</t>
        </is>
      </c>
      <c r="B745" s="6" t="inlineStr">
        <is>
          <t>Растворщик реагентов</t>
        </is>
      </c>
      <c r="C745" s="6" t="inlineStr">
        <is>
          <t>ОБЩЕСТВО С ОГРАНИЧЕННОЙ ОТВЕТСТВЕННОСТЬЮ "АМУР ЗОЛОТО"</t>
        </is>
      </c>
      <c r="D745" s="7" t="inlineStr">
        <is>
          <t>2708001686</t>
        </is>
      </c>
      <c r="E745" s="6" t="inlineStr">
        <is>
          <t>ООО "Амур Золото"</t>
        </is>
      </c>
      <c r="F745" s="7" t="inlineStr">
        <is>
          <t>2708001686</t>
        </is>
      </c>
      <c r="G745" s="7" t="inlineStr">
        <is>
          <t>Успешно</t>
        </is>
      </c>
      <c r="H745" s="6" t="n"/>
      <c r="I745" s="6" t="n"/>
      <c r="J745" s="6" t="inlineStr">
        <is>
          <t>Пользовательский интерфейс</t>
        </is>
      </c>
      <c r="K745" s="7" t="n">
        <v>4</v>
      </c>
      <c r="L745" s="8" t="n"/>
      <c r="M745" s="137" t="inlineStr">
        <is>
          <t>+</t>
        </is>
      </c>
      <c r="N745" s="137" t="inlineStr">
        <is>
          <t>+</t>
        </is>
      </c>
      <c r="O745" s="8" t="n"/>
      <c r="P745" s="137" t="inlineStr">
        <is>
          <t>+</t>
        </is>
      </c>
      <c r="Q745" s="8" t="n"/>
      <c r="R745" s="8" t="n"/>
      <c r="S745" s="8" t="n"/>
      <c r="T745" s="8" t="n"/>
      <c r="U745" s="8" t="n"/>
      <c r="V745" s="8" t="n"/>
      <c r="W745" s="8" t="n"/>
      <c r="X745" s="139" t="n"/>
      <c r="Y745" s="137" t="inlineStr">
        <is>
          <t>+</t>
        </is>
      </c>
    </row>
    <row r="746">
      <c r="A746" s="6" t="inlineStr">
        <is>
          <t>работник 764</t>
        </is>
      </c>
      <c r="B746" s="6" t="inlineStr">
        <is>
          <t>Машинист погрузочно-доставочной машины (занятый на транспортировании горной массы в технологическом процессе)</t>
        </is>
      </c>
      <c r="C746" s="6" t="inlineStr">
        <is>
          <t>ОБЩЕСТВО С ОГРАНИЧЕННОЙ ОТВЕТСТВЕННОСТЬЮ "АМУР ЗОЛОТО"</t>
        </is>
      </c>
      <c r="D746" s="7" t="inlineStr">
        <is>
          <t>2708001686</t>
        </is>
      </c>
      <c r="E746" s="6" t="inlineStr">
        <is>
          <t>ООО "Амур Золото"</t>
        </is>
      </c>
      <c r="F746" s="7" t="inlineStr">
        <is>
          <t>2708001686</t>
        </is>
      </c>
      <c r="G746" s="7" t="inlineStr">
        <is>
          <t>Успешно</t>
        </is>
      </c>
      <c r="H746" s="6" t="n"/>
      <c r="I746" s="6" t="n"/>
      <c r="J746" s="6" t="inlineStr">
        <is>
          <t>Пользовательский интерфейс</t>
        </is>
      </c>
      <c r="K746" s="7" t="n">
        <v>6</v>
      </c>
      <c r="L746" s="8" t="n"/>
      <c r="M746" s="137" t="inlineStr">
        <is>
          <t>+</t>
        </is>
      </c>
      <c r="N746" s="8" t="n"/>
      <c r="O746" s="8" t="n"/>
      <c r="P746" s="8" t="n"/>
      <c r="Q746" s="8" t="n"/>
      <c r="R746" s="8" t="n"/>
      <c r="S746" s="8" t="n"/>
      <c r="T746" s="8" t="n"/>
      <c r="U746" s="8" t="n"/>
      <c r="V746" s="8" t="n"/>
      <c r="W746" s="8" t="n"/>
      <c r="X746" s="137" t="inlineStr">
        <is>
          <t>+</t>
        </is>
      </c>
      <c r="Y746" s="137" t="inlineStr">
        <is>
          <t>+</t>
        </is>
      </c>
    </row>
    <row r="747">
      <c r="A747" s="6" t="inlineStr">
        <is>
          <t>работник 366</t>
        </is>
      </c>
      <c r="B747" s="6" t="inlineStr">
        <is>
          <t>Ламповщик</t>
        </is>
      </c>
      <c r="C747" s="6" t="inlineStr">
        <is>
          <t>ОБЩЕСТВО С ОГРАНИЧЕННОЙ ОТВЕТСТВЕННОСТЬЮ "АМУР ЗОЛОТО"</t>
        </is>
      </c>
      <c r="D747" s="7" t="inlineStr">
        <is>
          <t>2708001686</t>
        </is>
      </c>
      <c r="E747" s="6" t="inlineStr">
        <is>
          <t>ООО "Амур Золото"</t>
        </is>
      </c>
      <c r="F747" s="7" t="inlineStr">
        <is>
          <t>2708001686</t>
        </is>
      </c>
      <c r="G747" s="7" t="inlineStr">
        <is>
          <t>Успешно</t>
        </is>
      </c>
      <c r="H747" s="6" t="n"/>
      <c r="I747" s="6" t="n"/>
      <c r="J747" s="6" t="inlineStr">
        <is>
          <t>Пользовательский интерфейс</t>
        </is>
      </c>
      <c r="K747" s="7" t="n">
        <v>6</v>
      </c>
      <c r="L747" s="8" t="n"/>
      <c r="M747" s="137" t="inlineStr">
        <is>
          <t>+</t>
        </is>
      </c>
      <c r="N747" s="8" t="n"/>
      <c r="O747" s="8" t="n"/>
      <c r="P747" s="8" t="n"/>
      <c r="Q747" s="8" t="n"/>
      <c r="R747" s="8" t="n"/>
      <c r="S747" s="8" t="n"/>
      <c r="T747" s="8" t="n"/>
      <c r="U747" s="8" t="n"/>
      <c r="V747" s="8" t="n"/>
      <c r="W747" s="8" t="n"/>
      <c r="X747" s="137" t="inlineStr">
        <is>
          <t>+</t>
        </is>
      </c>
      <c r="Y747" s="137" t="inlineStr">
        <is>
          <t>+</t>
        </is>
      </c>
    </row>
    <row r="748">
      <c r="A748" s="6" t="inlineStr">
        <is>
          <t>работник 651</t>
        </is>
      </c>
      <c r="B748" s="6" t="inlineStr">
        <is>
          <t>Машинист погрузочно-доставочной машины / Машинист самоходной буровой установки (Проходка)</t>
        </is>
      </c>
      <c r="C748" s="6" t="inlineStr">
        <is>
          <t>ОБЩЕСТВО С ОГРАНИЧЕННОЙ ОТВЕТСТВЕННОСТЬЮ "АМУР ЗОЛОТО"</t>
        </is>
      </c>
      <c r="D748" s="7" t="inlineStr">
        <is>
          <t>2708001686</t>
        </is>
      </c>
      <c r="E748" s="6" t="inlineStr">
        <is>
          <t>ООО "Амур Золото"</t>
        </is>
      </c>
      <c r="F748" s="7" t="inlineStr">
        <is>
          <t>2708001686</t>
        </is>
      </c>
      <c r="G748" s="7" t="inlineStr">
        <is>
          <t>Успешно</t>
        </is>
      </c>
      <c r="H748" s="6" t="n"/>
      <c r="I748" s="6" t="n"/>
      <c r="J748" s="6" t="inlineStr">
        <is>
          <t>Пользовательский интерфейс</t>
        </is>
      </c>
      <c r="K748" s="7" t="n">
        <v>5</v>
      </c>
      <c r="L748" s="8" t="n"/>
      <c r="M748" s="137" t="inlineStr">
        <is>
          <t>+</t>
        </is>
      </c>
      <c r="N748" s="8" t="n"/>
      <c r="O748" s="8" t="n"/>
      <c r="P748" s="8" t="n"/>
      <c r="Q748" s="8" t="n"/>
      <c r="R748" s="8" t="n"/>
      <c r="S748" s="8" t="n"/>
      <c r="T748" s="8" t="n"/>
      <c r="U748" s="8" t="n"/>
      <c r="V748" s="8" t="n"/>
      <c r="W748" s="8" t="n"/>
      <c r="X748" s="137" t="inlineStr">
        <is>
          <t>+</t>
        </is>
      </c>
      <c r="Y748" s="137" t="inlineStr">
        <is>
          <t>+</t>
        </is>
      </c>
    </row>
    <row r="749">
      <c r="A749" s="6" t="inlineStr">
        <is>
          <t>работник 736</t>
        </is>
      </c>
      <c r="B749" s="6" t="inlineStr">
        <is>
          <t>Машинист буровой установки</t>
        </is>
      </c>
      <c r="C749" s="6" t="inlineStr">
        <is>
          <t>ОБЩЕСТВО С ОГРАНИЧЕННОЙ ОТВЕТСТВЕННОСТЬЮ "АМУР ЗОЛОТО"</t>
        </is>
      </c>
      <c r="D749" s="7" t="inlineStr">
        <is>
          <t>2708001686</t>
        </is>
      </c>
      <c r="E749" s="6" t="inlineStr">
        <is>
          <t>ООО "Амур Золото"</t>
        </is>
      </c>
      <c r="F749" s="7" t="inlineStr">
        <is>
          <t>2708001686</t>
        </is>
      </c>
      <c r="G749" s="7" t="inlineStr">
        <is>
          <t>Успешно</t>
        </is>
      </c>
      <c r="H749" s="6" t="n"/>
      <c r="I749" s="6" t="n"/>
      <c r="J749" s="6" t="inlineStr">
        <is>
          <t>Пользовательский интерфейс</t>
        </is>
      </c>
      <c r="K749" s="7" t="n">
        <v>2</v>
      </c>
      <c r="L749" s="8" t="n"/>
      <c r="M749" s="137" t="inlineStr">
        <is>
          <t>+</t>
        </is>
      </c>
      <c r="N749" s="8" t="n"/>
      <c r="O749" s="8" t="n"/>
      <c r="P749" s="8" t="n"/>
      <c r="Q749" s="8" t="n"/>
      <c r="R749" s="8" t="n"/>
      <c r="S749" s="8" t="n"/>
      <c r="T749" s="8" t="n"/>
      <c r="U749" s="8" t="n"/>
      <c r="V749" s="8" t="n"/>
      <c r="W749" s="8" t="n"/>
      <c r="X749" s="139" t="n"/>
      <c r="Y749" s="137" t="inlineStr">
        <is>
          <t>+</t>
        </is>
      </c>
    </row>
    <row r="750">
      <c r="A750" s="6" t="inlineStr">
        <is>
          <t>работник 765</t>
        </is>
      </c>
      <c r="B750" s="6" t="inlineStr">
        <is>
          <t>Машинист погрузочно-доставочной машины (занятый на транспортировании горной массы в технологическом процессе)</t>
        </is>
      </c>
      <c r="C750" s="6" t="inlineStr">
        <is>
          <t>ОБЩЕСТВО С ОГРАНИЧЕННОЙ ОТВЕТСТВЕННОСТЬЮ "АМУР ЗОЛОТО"</t>
        </is>
      </c>
      <c r="D750" s="7" t="inlineStr">
        <is>
          <t>2708001686</t>
        </is>
      </c>
      <c r="E750" s="6" t="inlineStr">
        <is>
          <t>ООО "Амур Золото"</t>
        </is>
      </c>
      <c r="F750" s="7" t="inlineStr">
        <is>
          <t>2708001686</t>
        </is>
      </c>
      <c r="G750" s="7" t="inlineStr">
        <is>
          <t>Успешно</t>
        </is>
      </c>
      <c r="H750" s="6" t="n"/>
      <c r="I750" s="6" t="n"/>
      <c r="J750" s="6" t="inlineStr">
        <is>
          <t>Пользовательский интерфейс</t>
        </is>
      </c>
      <c r="K750" s="7" t="n">
        <v>6</v>
      </c>
      <c r="L750" s="8" t="n"/>
      <c r="M750" s="137" t="inlineStr">
        <is>
          <t>+</t>
        </is>
      </c>
      <c r="N750" s="8" t="n"/>
      <c r="O750" s="8" t="n"/>
      <c r="P750" s="8" t="n"/>
      <c r="Q750" s="8" t="n"/>
      <c r="R750" s="8" t="n"/>
      <c r="S750" s="8" t="n"/>
      <c r="T750" s="8" t="n"/>
      <c r="U750" s="8" t="n"/>
      <c r="V750" s="8" t="n"/>
      <c r="W750" s="8" t="n"/>
      <c r="X750" s="137" t="inlineStr">
        <is>
          <t>+</t>
        </is>
      </c>
      <c r="Y750" s="137" t="inlineStr">
        <is>
          <t>+</t>
        </is>
      </c>
    </row>
    <row r="751">
      <c r="A751" s="6" t="inlineStr">
        <is>
          <t>работник 624</t>
        </is>
      </c>
      <c r="B751" s="6" t="inlineStr">
        <is>
          <t>Повар</t>
        </is>
      </c>
      <c r="C751" s="6" t="inlineStr">
        <is>
          <t>ОБЩЕСТВО С ОГРАНИЧЕННОЙ ОТВЕТСТВЕННОСТЬЮ "АМУР ЗОЛОТО"</t>
        </is>
      </c>
      <c r="D751" s="7" t="inlineStr">
        <is>
          <t>2708001686</t>
        </is>
      </c>
      <c r="E751" s="6" t="inlineStr">
        <is>
          <t>ООО "Амур Золото"</t>
        </is>
      </c>
      <c r="F751" s="7" t="inlineStr">
        <is>
          <t>2708001686</t>
        </is>
      </c>
      <c r="G751" s="7" t="inlineStr">
        <is>
          <t>Успешно</t>
        </is>
      </c>
      <c r="H751" s="6" t="n"/>
      <c r="I751" s="6" t="n"/>
      <c r="J751" s="6" t="inlineStr">
        <is>
          <t>Пользовательский интерфейс</t>
        </is>
      </c>
      <c r="K751" s="7" t="n">
        <v>2</v>
      </c>
      <c r="L751" s="8" t="n"/>
      <c r="M751" s="137" t="inlineStr">
        <is>
          <t>+</t>
        </is>
      </c>
      <c r="N751" s="8" t="n"/>
      <c r="O751" s="8" t="n"/>
      <c r="P751" s="8" t="n"/>
      <c r="Q751" s="8" t="n"/>
      <c r="R751" s="8" t="n"/>
      <c r="S751" s="8" t="n"/>
      <c r="T751" s="8" t="n"/>
      <c r="U751" s="8" t="n"/>
      <c r="V751" s="8" t="n"/>
      <c r="W751" s="8" t="n"/>
      <c r="X751" s="139" t="n"/>
      <c r="Y751" s="138" t="inlineStr">
        <is>
          <t>+</t>
        </is>
      </c>
    </row>
    <row r="752">
      <c r="A752" s="6" t="inlineStr">
        <is>
          <t>работник 248</t>
        </is>
      </c>
      <c r="B752" s="6" t="inlineStr">
        <is>
          <t>Аппаратчик-гидрометаллург</t>
        </is>
      </c>
      <c r="C752" s="6" t="inlineStr">
        <is>
          <t>ОБЩЕСТВО С ОГРАНИЧЕННОЙ ОТВЕТСТВЕННОСТЬЮ "АМУР ЗОЛОТО"</t>
        </is>
      </c>
      <c r="D752" s="7" t="inlineStr">
        <is>
          <t>2708001686</t>
        </is>
      </c>
      <c r="E752" s="6" t="inlineStr">
        <is>
          <t>ООО "Амур Золото"</t>
        </is>
      </c>
      <c r="F752" s="7" t="inlineStr">
        <is>
          <t>2708001686</t>
        </is>
      </c>
      <c r="G752" s="7" t="inlineStr">
        <is>
          <t>Успешно</t>
        </is>
      </c>
      <c r="H752" s="6" t="n"/>
      <c r="I752" s="6" t="n"/>
      <c r="J752" s="6" t="inlineStr">
        <is>
          <t>Пользовательский интерфейс</t>
        </is>
      </c>
      <c r="K752" s="7" t="n">
        <v>3</v>
      </c>
      <c r="L752" s="8" t="n"/>
      <c r="M752" s="137" t="inlineStr">
        <is>
          <t>+</t>
        </is>
      </c>
      <c r="N752" s="8" t="n"/>
      <c r="O752" s="8" t="n"/>
      <c r="P752" s="8" t="n"/>
      <c r="Q752" s="8" t="n"/>
      <c r="R752" s="8" t="n"/>
      <c r="S752" s="8" t="n"/>
      <c r="T752" s="8" t="n"/>
      <c r="U752" s="8" t="n"/>
      <c r="V752" s="8" t="n"/>
      <c r="W752" s="8" t="n"/>
      <c r="X752" s="137" t="inlineStr">
        <is>
          <t>+</t>
        </is>
      </c>
      <c r="Y752" s="137" t="inlineStr">
        <is>
          <t>+</t>
        </is>
      </c>
    </row>
    <row r="753">
      <c r="A753" s="6" t="inlineStr">
        <is>
          <t>работник 130</t>
        </is>
      </c>
      <c r="B753" s="6" t="inlineStr">
        <is>
          <t>Слесарь-ремонтник</t>
        </is>
      </c>
      <c r="C753" s="6" t="inlineStr">
        <is>
          <t>ОБЩЕСТВО С ОГРАНИЧЕННОЙ ОТВЕТСТВЕННОСТЬЮ "АМУР ЗОЛОТО"</t>
        </is>
      </c>
      <c r="D753" s="7" t="inlineStr">
        <is>
          <t>2708001686</t>
        </is>
      </c>
      <c r="E753" s="6" t="inlineStr">
        <is>
          <t>ООО "Амур Золото"</t>
        </is>
      </c>
      <c r="F753" s="7" t="inlineStr">
        <is>
          <t>2708001686</t>
        </is>
      </c>
      <c r="G753" s="7" t="inlineStr">
        <is>
          <t>Успешно</t>
        </is>
      </c>
      <c r="H753" s="6" t="n"/>
      <c r="I753" s="6" t="n"/>
      <c r="J753" s="6" t="inlineStr">
        <is>
          <t>Пользовательский интерфейс</t>
        </is>
      </c>
      <c r="K753" s="7" t="n">
        <v>9</v>
      </c>
      <c r="L753" s="8" t="n"/>
      <c r="M753" s="137" t="inlineStr">
        <is>
          <t>+</t>
        </is>
      </c>
      <c r="N753" s="137" t="inlineStr">
        <is>
          <t>+</t>
        </is>
      </c>
      <c r="O753" s="137" t="inlineStr">
        <is>
          <t>+</t>
        </is>
      </c>
      <c r="P753" s="137" t="inlineStr">
        <is>
          <t>+</t>
        </is>
      </c>
      <c r="Q753" s="137" t="inlineStr">
        <is>
          <t>+</t>
        </is>
      </c>
      <c r="R753" s="137" t="inlineStr">
        <is>
          <t>+</t>
        </is>
      </c>
      <c r="S753" s="137" t="inlineStr">
        <is>
          <t>+</t>
        </is>
      </c>
      <c r="T753" s="8" t="n"/>
      <c r="U753" s="8" t="n"/>
      <c r="V753" s="8" t="n"/>
      <c r="W753" s="8" t="n"/>
      <c r="X753" s="137" t="inlineStr">
        <is>
          <t>+</t>
        </is>
      </c>
      <c r="Y753" s="137" t="inlineStr">
        <is>
          <t>+</t>
        </is>
      </c>
    </row>
    <row r="754">
      <c r="A754" s="6" t="inlineStr">
        <is>
          <t>работник 454</t>
        </is>
      </c>
      <c r="B754" s="6" t="inlineStr">
        <is>
          <t>Бункеровщик</t>
        </is>
      </c>
      <c r="C754" s="6" t="inlineStr">
        <is>
          <t>ОБЩЕСТВО С ОГРАНИЧЕННОЙ ОТВЕТСТВЕННОСТЬЮ "АМУР ЗОЛОТО"</t>
        </is>
      </c>
      <c r="D754" s="7" t="inlineStr">
        <is>
          <t>2708001686</t>
        </is>
      </c>
      <c r="E754" s="6" t="inlineStr">
        <is>
          <t>ООО "Амур Золото"</t>
        </is>
      </c>
      <c r="F754" s="7" t="inlineStr">
        <is>
          <t>2708001686</t>
        </is>
      </c>
      <c r="G754" s="7" t="inlineStr">
        <is>
          <t>Успешно</t>
        </is>
      </c>
      <c r="H754" s="6" t="n"/>
      <c r="I754" s="6" t="n"/>
      <c r="J754" s="6" t="inlineStr">
        <is>
          <t>Пользовательский интерфейс</t>
        </is>
      </c>
      <c r="K754" s="7" t="n">
        <v>2</v>
      </c>
      <c r="L754" s="8" t="n"/>
      <c r="M754" s="137" t="inlineStr">
        <is>
          <t>+</t>
        </is>
      </c>
      <c r="N754" s="8" t="n"/>
      <c r="O754" s="8" t="n"/>
      <c r="P754" s="8" t="n"/>
      <c r="Q754" s="8" t="n"/>
      <c r="R754" s="8" t="n"/>
      <c r="S754" s="8" t="n"/>
      <c r="T754" s="8" t="n"/>
      <c r="U754" s="8" t="n"/>
      <c r="V754" s="8" t="n"/>
      <c r="W754" s="8" t="n"/>
      <c r="X754" s="139" t="n"/>
      <c r="Y754" s="137" t="inlineStr">
        <is>
          <t>+</t>
        </is>
      </c>
    </row>
    <row r="755">
      <c r="A755" s="6" t="inlineStr">
        <is>
          <t>работник 292</t>
        </is>
      </c>
      <c r="B755" s="6" t="inlineStr">
        <is>
          <t>Водитель автомобиля (занятый на транспортировании горной массы в технологическом процессе)</t>
        </is>
      </c>
      <c r="C755" s="6" t="inlineStr">
        <is>
          <t>ОБЩЕСТВО С ОГРАНИЧЕННОЙ ОТВЕТСТВЕННОСТЬЮ "АМУР ЗОЛОТО"</t>
        </is>
      </c>
      <c r="D755" s="7" t="inlineStr">
        <is>
          <t>2708001686</t>
        </is>
      </c>
      <c r="E755" s="6" t="inlineStr">
        <is>
          <t>ООО "Амур Золото"</t>
        </is>
      </c>
      <c r="F755" s="7" t="inlineStr">
        <is>
          <t>2708001686</t>
        </is>
      </c>
      <c r="G755" s="7" t="inlineStr">
        <is>
          <t>Успешно</t>
        </is>
      </c>
      <c r="H755" s="6" t="n"/>
      <c r="I755" s="6" t="n"/>
      <c r="J755" s="6" t="inlineStr">
        <is>
          <t>Пользовательский интерфейс</t>
        </is>
      </c>
      <c r="K755" s="7" t="n">
        <v>3</v>
      </c>
      <c r="L755" s="8" t="n"/>
      <c r="M755" s="137" t="inlineStr">
        <is>
          <t>+</t>
        </is>
      </c>
      <c r="N755" s="8" t="n"/>
      <c r="O755" s="8" t="n"/>
      <c r="P755" s="8" t="n"/>
      <c r="Q755" s="8" t="n"/>
      <c r="R755" s="8" t="n"/>
      <c r="S755" s="8" t="n"/>
      <c r="T755" s="8" t="n"/>
      <c r="U755" s="8" t="n"/>
      <c r="V755" s="8" t="n"/>
      <c r="W755" s="8" t="n"/>
      <c r="X755" s="137" t="inlineStr">
        <is>
          <t>+</t>
        </is>
      </c>
      <c r="Y755" s="137" t="inlineStr">
        <is>
          <t>+</t>
        </is>
      </c>
    </row>
    <row r="756">
      <c r="A756" s="6" t="inlineStr">
        <is>
          <t>работник 604</t>
        </is>
      </c>
      <c r="B756" s="6" t="inlineStr">
        <is>
          <t>Машинист насосных установок</t>
        </is>
      </c>
      <c r="C756" s="6" t="inlineStr">
        <is>
          <t>ОБЩЕСТВО С ОГРАНИЧЕННОЙ ОТВЕТСТВЕННОСТЬЮ "АМУР ЗОЛОТО"</t>
        </is>
      </c>
      <c r="D756" s="7" t="inlineStr">
        <is>
          <t>2708001686</t>
        </is>
      </c>
      <c r="E756" s="6" t="inlineStr">
        <is>
          <t>ООО "Амур Золото"</t>
        </is>
      </c>
      <c r="F756" s="7" t="inlineStr">
        <is>
          <t>2708001686</t>
        </is>
      </c>
      <c r="G756" s="7" t="inlineStr">
        <is>
          <t>Успешно</t>
        </is>
      </c>
      <c r="H756" s="6" t="n"/>
      <c r="I756" s="6" t="n"/>
      <c r="J756" s="6" t="inlineStr">
        <is>
          <t>Пользовательский интерфейс</t>
        </is>
      </c>
      <c r="K756" s="7" t="n">
        <v>2</v>
      </c>
      <c r="L756" s="8" t="n"/>
      <c r="M756" s="137" t="inlineStr">
        <is>
          <t>+</t>
        </is>
      </c>
      <c r="N756" s="8" t="n"/>
      <c r="O756" s="8" t="n"/>
      <c r="P756" s="8" t="n"/>
      <c r="Q756" s="8" t="n"/>
      <c r="R756" s="8" t="n"/>
      <c r="S756" s="8" t="n"/>
      <c r="T756" s="8" t="n"/>
      <c r="U756" s="8" t="n"/>
      <c r="V756" s="8" t="n"/>
      <c r="W756" s="8" t="n"/>
      <c r="X756" s="139" t="n"/>
      <c r="Y756" s="137" t="inlineStr">
        <is>
          <t>+</t>
        </is>
      </c>
    </row>
    <row r="757">
      <c r="A757" s="6" t="inlineStr">
        <is>
          <t>работник 20</t>
        </is>
      </c>
      <c r="B757" s="6" t="inlineStr">
        <is>
          <t>Водитель погрузчика</t>
        </is>
      </c>
      <c r="C757" s="6" t="inlineStr">
        <is>
          <t>ОБЩЕСТВО С ОГРАНИЧЕННОЙ ОТВЕТСТВЕННОСТЬЮ "АМУР ЗОЛОТО"</t>
        </is>
      </c>
      <c r="D757" s="7" t="inlineStr">
        <is>
          <t>2708001686</t>
        </is>
      </c>
      <c r="E757" s="6" t="inlineStr">
        <is>
          <t>ООО "Амур Золото"</t>
        </is>
      </c>
      <c r="F757" s="7" t="inlineStr">
        <is>
          <t>2708001686</t>
        </is>
      </c>
      <c r="G757" s="7" t="inlineStr">
        <is>
          <t>Успешно</t>
        </is>
      </c>
      <c r="H757" s="6" t="n"/>
      <c r="I757" s="6" t="n"/>
      <c r="J757" s="6" t="inlineStr">
        <is>
          <t>Пользовательский интерфейс</t>
        </is>
      </c>
      <c r="K757" s="7" t="n">
        <v>6</v>
      </c>
      <c r="L757" s="8" t="n"/>
      <c r="M757" s="137" t="inlineStr">
        <is>
          <t>+</t>
        </is>
      </c>
      <c r="N757" s="8" t="n"/>
      <c r="O757" s="8" t="n"/>
      <c r="P757" s="8" t="n"/>
      <c r="Q757" s="8" t="n"/>
      <c r="R757" s="8" t="n"/>
      <c r="S757" s="8" t="n"/>
      <c r="T757" s="8" t="n"/>
      <c r="U757" s="8" t="n"/>
      <c r="V757" s="8" t="n"/>
      <c r="W757" s="8" t="n"/>
      <c r="X757" s="137" t="inlineStr">
        <is>
          <t>+</t>
        </is>
      </c>
      <c r="Y757" s="137" t="inlineStr">
        <is>
          <t>+</t>
        </is>
      </c>
    </row>
    <row r="758">
      <c r="A758" s="6" t="inlineStr">
        <is>
          <t>работник 532</t>
        </is>
      </c>
      <c r="B758" s="6" t="inlineStr">
        <is>
          <t>Машинист самоходной буровой установки / Машинист самоходной буровой установки (Очистное)</t>
        </is>
      </c>
      <c r="C758" s="6" t="inlineStr">
        <is>
          <t>ОБЩЕСТВО С ОГРАНИЧЕННОЙ ОТВЕТСТВЕННОСТЬЮ "АМУР ЗОЛОТО"</t>
        </is>
      </c>
      <c r="D758" s="7" t="inlineStr">
        <is>
          <t>2708001686</t>
        </is>
      </c>
      <c r="E758" s="6" t="inlineStr">
        <is>
          <t>ООО "Амур Золото"</t>
        </is>
      </c>
      <c r="F758" s="7" t="inlineStr">
        <is>
          <t>2708001686</t>
        </is>
      </c>
      <c r="G758" s="7" t="inlineStr">
        <is>
          <t>Успешно</t>
        </is>
      </c>
      <c r="H758" s="6" t="n"/>
      <c r="I758" s="6" t="n"/>
      <c r="J758" s="6" t="inlineStr">
        <is>
          <t>Пользовательский интерфейс</t>
        </is>
      </c>
      <c r="K758" s="7" t="n">
        <v>5</v>
      </c>
      <c r="L758" s="8" t="n"/>
      <c r="M758" s="137" t="inlineStr">
        <is>
          <t>+</t>
        </is>
      </c>
      <c r="N758" s="8" t="n"/>
      <c r="O758" s="8" t="n"/>
      <c r="P758" s="8" t="n"/>
      <c r="Q758" s="8" t="n"/>
      <c r="R758" s="8" t="n"/>
      <c r="S758" s="8" t="n"/>
      <c r="T758" s="8" t="n"/>
      <c r="U758" s="8" t="n"/>
      <c r="V758" s="8" t="n"/>
      <c r="W758" s="8" t="n"/>
      <c r="X758" s="137" t="inlineStr">
        <is>
          <t>+</t>
        </is>
      </c>
      <c r="Y758" s="137" t="inlineStr">
        <is>
          <t>+</t>
        </is>
      </c>
    </row>
    <row r="759">
      <c r="A759" s="6" t="inlineStr">
        <is>
          <t>работник 49</t>
        </is>
      </c>
      <c r="B759" s="6" t="inlineStr">
        <is>
          <t>Машинист ДВС</t>
        </is>
      </c>
      <c r="C759" s="6" t="inlineStr">
        <is>
          <t>ОБЩЕСТВО С ОГРАНИЧЕННОЙ ОТВЕТСТВЕННОСТЬЮ "АМУР ЗОЛОТО"</t>
        </is>
      </c>
      <c r="D759" s="7" t="inlineStr">
        <is>
          <t>2708001686</t>
        </is>
      </c>
      <c r="E759" s="6" t="inlineStr">
        <is>
          <t>ООО "Амур Золото"</t>
        </is>
      </c>
      <c r="F759" s="7" t="inlineStr">
        <is>
          <t>2708001686</t>
        </is>
      </c>
      <c r="G759" s="7" t="inlineStr">
        <is>
          <t>Успешно</t>
        </is>
      </c>
      <c r="H759" s="6" t="n"/>
      <c r="I759" s="6" t="n"/>
      <c r="J759" s="6" t="inlineStr">
        <is>
          <t>Пользовательский интерфейс</t>
        </is>
      </c>
      <c r="K759" s="7" t="n">
        <v>3</v>
      </c>
      <c r="L759" s="8" t="n"/>
      <c r="M759" s="137" t="inlineStr">
        <is>
          <t>+</t>
        </is>
      </c>
      <c r="N759" s="8" t="n"/>
      <c r="O759" s="8" t="n"/>
      <c r="P759" s="8" t="n"/>
      <c r="Q759" s="8" t="n"/>
      <c r="R759" s="8" t="n"/>
      <c r="S759" s="8" t="n"/>
      <c r="T759" s="8" t="n"/>
      <c r="U759" s="8" t="n"/>
      <c r="V759" s="8" t="n"/>
      <c r="W759" s="8" t="n"/>
      <c r="X759" s="137" t="inlineStr">
        <is>
          <t>+</t>
        </is>
      </c>
      <c r="Y759" s="137" t="inlineStr">
        <is>
          <t>+</t>
        </is>
      </c>
    </row>
    <row r="760">
      <c r="A760" s="6" t="inlineStr">
        <is>
          <t>работник 198</t>
        </is>
      </c>
      <c r="B760" s="6" t="inlineStr">
        <is>
          <t>Водитель автомобиля(занятый на траспортировании горной массы в технологическом процессе)</t>
        </is>
      </c>
      <c r="C760" s="6" t="inlineStr">
        <is>
          <t>ОБЩЕСТВО С ОГРАНИЧЕННОЙ ОТВЕТСТВЕННОСТЬЮ "АМУР ЗОЛОТО"</t>
        </is>
      </c>
      <c r="D760" s="7" t="inlineStr">
        <is>
          <t>2708001686</t>
        </is>
      </c>
      <c r="E760" s="6" t="inlineStr">
        <is>
          <t>ООО "Амур Золото"</t>
        </is>
      </c>
      <c r="F760" s="7" t="inlineStr">
        <is>
          <t>2708001686</t>
        </is>
      </c>
      <c r="G760" s="7" t="inlineStr">
        <is>
          <t>Успешно</t>
        </is>
      </c>
      <c r="H760" s="6" t="n"/>
      <c r="I760" s="6" t="n"/>
      <c r="J760" s="6" t="inlineStr">
        <is>
          <t>Пользовательский интерфейс</t>
        </is>
      </c>
      <c r="K760" s="7" t="n">
        <v>3</v>
      </c>
      <c r="L760" s="8" t="n"/>
      <c r="M760" s="137" t="inlineStr">
        <is>
          <t>+</t>
        </is>
      </c>
      <c r="N760" s="8" t="n"/>
      <c r="O760" s="8" t="n"/>
      <c r="P760" s="8" t="n"/>
      <c r="Q760" s="8" t="n"/>
      <c r="R760" s="8" t="n"/>
      <c r="S760" s="8" t="n"/>
      <c r="T760" s="8" t="n"/>
      <c r="U760" s="8" t="n"/>
      <c r="V760" s="8" t="n"/>
      <c r="W760" s="8" t="n"/>
      <c r="X760" s="137" t="inlineStr">
        <is>
          <t>+</t>
        </is>
      </c>
      <c r="Y760" s="137" t="inlineStr">
        <is>
          <t>+</t>
        </is>
      </c>
    </row>
    <row r="761">
      <c r="A761" s="6" t="inlineStr">
        <is>
          <t>работник 128</t>
        </is>
      </c>
      <c r="B761" s="6" t="inlineStr">
        <is>
          <t>машинист конвейра / Машинист конвейера</t>
        </is>
      </c>
      <c r="C761" s="6" t="inlineStr">
        <is>
          <t>ОБЩЕСТВО С ОГРАНИЧЕННОЙ ОТВЕТСТВЕННОСТЬЮ "АМУР ЗОЛОТО"</t>
        </is>
      </c>
      <c r="D761" s="7" t="inlineStr">
        <is>
          <t>2708001686</t>
        </is>
      </c>
      <c r="E761" s="6" t="inlineStr">
        <is>
          <t>ООО "Амур Золото"</t>
        </is>
      </c>
      <c r="F761" s="7" t="inlineStr">
        <is>
          <t>2708001686</t>
        </is>
      </c>
      <c r="G761" s="7" t="inlineStr">
        <is>
          <t>Успешно</t>
        </is>
      </c>
      <c r="H761" s="6" t="n"/>
      <c r="I761" s="6" t="n"/>
      <c r="J761" s="6" t="inlineStr">
        <is>
          <t>Пользовательский интерфейс</t>
        </is>
      </c>
      <c r="K761" s="7" t="n">
        <v>5</v>
      </c>
      <c r="L761" s="8" t="n"/>
      <c r="M761" s="137" t="inlineStr">
        <is>
          <t>+</t>
        </is>
      </c>
      <c r="N761" s="8" t="n"/>
      <c r="O761" s="8" t="n"/>
      <c r="P761" s="8" t="n"/>
      <c r="Q761" s="8" t="n"/>
      <c r="R761" s="8" t="n"/>
      <c r="S761" s="8" t="n"/>
      <c r="T761" s="8" t="n"/>
      <c r="U761" s="8" t="n"/>
      <c r="V761" s="8" t="n"/>
      <c r="W761" s="8" t="n"/>
      <c r="X761" s="137" t="inlineStr">
        <is>
          <t>+</t>
        </is>
      </c>
      <c r="Y761" s="137" t="inlineStr">
        <is>
          <t>+</t>
        </is>
      </c>
    </row>
    <row r="762">
      <c r="A762" s="6" t="inlineStr">
        <is>
          <t>работник 683</t>
        </is>
      </c>
      <c r="B762" s="6" t="inlineStr">
        <is>
          <t>Оператор дизельных котлов</t>
        </is>
      </c>
      <c r="C762" s="6" t="inlineStr">
        <is>
          <t>ОБЩЕСТВО С ОГРАНИЧЕННОЙ ОТВЕТСТВЕННОСТЬЮ "АМУР ЗОЛОТО"</t>
        </is>
      </c>
      <c r="D762" s="7" t="inlineStr">
        <is>
          <t>2708001686</t>
        </is>
      </c>
      <c r="E762" s="6" t="inlineStr">
        <is>
          <t>ООО "Амур Золото"</t>
        </is>
      </c>
      <c r="F762" s="7" t="inlineStr">
        <is>
          <t>2708001686</t>
        </is>
      </c>
      <c r="G762" s="7" t="inlineStr">
        <is>
          <t>Успешно</t>
        </is>
      </c>
      <c r="H762" s="6" t="n"/>
      <c r="I762" s="6" t="n"/>
      <c r="J762" s="6" t="inlineStr">
        <is>
          <t>Пользовательский интерфейс</t>
        </is>
      </c>
      <c r="K762" s="7" t="n">
        <v>5</v>
      </c>
      <c r="L762" s="8" t="n"/>
      <c r="M762" s="137" t="inlineStr">
        <is>
          <t>+</t>
        </is>
      </c>
      <c r="N762" s="8" t="n"/>
      <c r="O762" s="8" t="n"/>
      <c r="P762" s="8" t="n"/>
      <c r="Q762" s="8" t="n"/>
      <c r="R762" s="8" t="n"/>
      <c r="S762" s="8" t="n"/>
      <c r="T762" s="8" t="n"/>
      <c r="U762" s="8" t="n"/>
      <c r="V762" s="8" t="n"/>
      <c r="W762" s="8" t="n"/>
      <c r="X762" s="137" t="inlineStr">
        <is>
          <t>+</t>
        </is>
      </c>
      <c r="Y762" s="137" t="inlineStr">
        <is>
          <t>+</t>
        </is>
      </c>
    </row>
    <row r="763">
      <c r="A763" s="6" t="inlineStr">
        <is>
          <t>работник 176</t>
        </is>
      </c>
      <c r="B763" s="6" t="inlineStr">
        <is>
          <t>Машинист самоходной буровой установки / Проходчик (с исполнением обязанностей взрывника)</t>
        </is>
      </c>
      <c r="C763" s="6" t="inlineStr">
        <is>
          <t>ОБЩЕСТВО С ОГРАНИЧЕННОЙ ОТВЕТСТВЕННОСТЬЮ "АМУР ЗОЛОТО"</t>
        </is>
      </c>
      <c r="D763" s="7" t="inlineStr">
        <is>
          <t>2708001686</t>
        </is>
      </c>
      <c r="E763" s="6" t="inlineStr">
        <is>
          <t>ООО "Амур Золото"</t>
        </is>
      </c>
      <c r="F763" s="7" t="inlineStr">
        <is>
          <t>2708001686</t>
        </is>
      </c>
      <c r="G763" s="7" t="inlineStr">
        <is>
          <t>Успешно</t>
        </is>
      </c>
      <c r="H763" s="6" t="n"/>
      <c r="I763" s="6" t="n"/>
      <c r="J763" s="6" t="inlineStr">
        <is>
          <t>Пользовательский интерфейс</t>
        </is>
      </c>
      <c r="K763" s="7" t="n">
        <v>5</v>
      </c>
      <c r="L763" s="8" t="n"/>
      <c r="M763" s="137" t="inlineStr">
        <is>
          <t>+</t>
        </is>
      </c>
      <c r="N763" s="8" t="n"/>
      <c r="O763" s="8" t="n"/>
      <c r="P763" s="8" t="n"/>
      <c r="Q763" s="8" t="n"/>
      <c r="R763" s="8" t="n"/>
      <c r="S763" s="8" t="n"/>
      <c r="T763" s="8" t="n"/>
      <c r="U763" s="8" t="n"/>
      <c r="V763" s="8" t="n"/>
      <c r="W763" s="8" t="n"/>
      <c r="X763" s="137" t="inlineStr">
        <is>
          <t>+</t>
        </is>
      </c>
      <c r="Y763" s="137" t="inlineStr">
        <is>
          <t>+</t>
        </is>
      </c>
    </row>
    <row r="764">
      <c r="A764" s="6" t="inlineStr">
        <is>
          <t>работник 254</t>
        </is>
      </c>
      <c r="B764" s="6" t="inlineStr">
        <is>
          <t>Фильтровальщик</t>
        </is>
      </c>
      <c r="C764" s="6" t="inlineStr">
        <is>
          <t>ОБЩЕСТВО С ОГРАНИЧЕННОЙ ОТВЕТСТВЕННОСТЬЮ "АМУР ЗОЛОТО"</t>
        </is>
      </c>
      <c r="D764" s="7" t="inlineStr">
        <is>
          <t>2708001686</t>
        </is>
      </c>
      <c r="E764" s="6" t="inlineStr">
        <is>
          <t>ООО "Амур Золото"</t>
        </is>
      </c>
      <c r="F764" s="7" t="inlineStr">
        <is>
          <t>2708001686</t>
        </is>
      </c>
      <c r="G764" s="7" t="inlineStr">
        <is>
          <t>Успешно</t>
        </is>
      </c>
      <c r="H764" s="6" t="n"/>
      <c r="I764" s="6" t="n"/>
      <c r="J764" s="6" t="inlineStr">
        <is>
          <t>Пользовательский интерфейс</t>
        </is>
      </c>
      <c r="K764" s="7" t="n">
        <v>3</v>
      </c>
      <c r="L764" s="8" t="n"/>
      <c r="M764" s="137" t="inlineStr">
        <is>
          <t>+</t>
        </is>
      </c>
      <c r="N764" s="8" t="n"/>
      <c r="O764" s="8" t="n"/>
      <c r="P764" s="8" t="n"/>
      <c r="Q764" s="8" t="n"/>
      <c r="R764" s="8" t="n"/>
      <c r="S764" s="8" t="n"/>
      <c r="T764" s="8" t="n"/>
      <c r="U764" s="8" t="n"/>
      <c r="V764" s="8" t="n"/>
      <c r="W764" s="8" t="n"/>
      <c r="X764" s="137" t="inlineStr">
        <is>
          <t>+</t>
        </is>
      </c>
      <c r="Y764" s="137" t="inlineStr">
        <is>
          <t>+</t>
        </is>
      </c>
    </row>
    <row r="765">
      <c r="A765" s="6" t="inlineStr">
        <is>
          <t>работник 224</t>
        </is>
      </c>
      <c r="B765" s="6" t="inlineStr">
        <is>
          <t>Электрогазосварщик(занятый на резке и ручной сварке)</t>
        </is>
      </c>
      <c r="C765" s="6" t="inlineStr">
        <is>
          <t>ОБЩЕСТВО С ОГРАНИЧЕННОЙ ОТВЕТСТВЕННОСТЬЮ "АМУР ЗОЛОТО"</t>
        </is>
      </c>
      <c r="D765" s="7" t="inlineStr">
        <is>
          <t>2708001686</t>
        </is>
      </c>
      <c r="E765" s="6" t="inlineStr">
        <is>
          <t>ООО "Амур Золото"</t>
        </is>
      </c>
      <c r="F765" s="7" t="inlineStr">
        <is>
          <t>2708001686</t>
        </is>
      </c>
      <c r="G765" s="7" t="inlineStr">
        <is>
          <t>Успешно</t>
        </is>
      </c>
      <c r="H765" s="6" t="n"/>
      <c r="I765" s="6" t="n"/>
      <c r="J765" s="6" t="inlineStr">
        <is>
          <t>Пользовательский интерфейс</t>
        </is>
      </c>
      <c r="K765" s="7" t="n">
        <v>3</v>
      </c>
      <c r="L765" s="8" t="n"/>
      <c r="M765" s="137" t="inlineStr">
        <is>
          <t>+</t>
        </is>
      </c>
      <c r="N765" s="8" t="n"/>
      <c r="O765" s="8" t="n"/>
      <c r="P765" s="8" t="n"/>
      <c r="Q765" s="8" t="n"/>
      <c r="R765" s="8" t="n"/>
      <c r="S765" s="8" t="n"/>
      <c r="T765" s="8" t="n"/>
      <c r="U765" s="8" t="n"/>
      <c r="V765" s="8" t="n"/>
      <c r="W765" s="8" t="n"/>
      <c r="X765" s="137" t="inlineStr">
        <is>
          <t>+</t>
        </is>
      </c>
      <c r="Y765" s="137" t="inlineStr">
        <is>
          <t>+</t>
        </is>
      </c>
    </row>
    <row r="766">
      <c r="A766" s="6" t="inlineStr">
        <is>
          <t>работник 145</t>
        </is>
      </c>
      <c r="B766" s="6" t="inlineStr">
        <is>
          <t>Фильтровальщик / Машинист мельницы</t>
        </is>
      </c>
      <c r="C766" s="6" t="inlineStr">
        <is>
          <t>ОБЩЕСТВО С ОГРАНИЧЕННОЙ ОТВЕТСТВЕННОСТЬЮ "АМУР ЗОЛОТО"</t>
        </is>
      </c>
      <c r="D766" s="7" t="inlineStr">
        <is>
          <t>2708001686</t>
        </is>
      </c>
      <c r="E766" s="6" t="inlineStr">
        <is>
          <t>ООО "Амур Золото"</t>
        </is>
      </c>
      <c r="F766" s="7" t="inlineStr">
        <is>
          <t>2708001686</t>
        </is>
      </c>
      <c r="G766" s="7" t="inlineStr">
        <is>
          <t>Успешно</t>
        </is>
      </c>
      <c r="H766" s="6" t="n"/>
      <c r="I766" s="6" t="n"/>
      <c r="J766" s="6" t="inlineStr">
        <is>
          <t>Пользовательский интерфейс</t>
        </is>
      </c>
      <c r="K766" s="7" t="n">
        <v>8</v>
      </c>
      <c r="L766" s="8" t="n"/>
      <c r="M766" s="137" t="inlineStr">
        <is>
          <t>+</t>
        </is>
      </c>
      <c r="N766" s="8" t="n"/>
      <c r="O766" s="8" t="n"/>
      <c r="P766" s="8" t="n"/>
      <c r="Q766" s="8" t="n"/>
      <c r="R766" s="8" t="n"/>
      <c r="S766" s="8" t="n"/>
      <c r="T766" s="8" t="n"/>
      <c r="U766" s="8" t="n"/>
      <c r="V766" s="8" t="n"/>
      <c r="W766" s="8" t="n"/>
      <c r="X766" s="137" t="inlineStr">
        <is>
          <t>+</t>
        </is>
      </c>
      <c r="Y766" s="137" t="inlineStr">
        <is>
          <t>+</t>
        </is>
      </c>
    </row>
    <row r="767">
      <c r="A767" s="6" t="inlineStr">
        <is>
          <t>работник 626</t>
        </is>
      </c>
      <c r="B767" s="6" t="inlineStr">
        <is>
          <t>Кухонный рабочий</t>
        </is>
      </c>
      <c r="C767" s="6" t="inlineStr">
        <is>
          <t>ОБЩЕСТВО С ОГРАНИЧЕННОЙ ОТВЕТСТВЕННОСТЬЮ "АМУР ЗОЛОТО"</t>
        </is>
      </c>
      <c r="D767" s="7" t="inlineStr">
        <is>
          <t>2708001686</t>
        </is>
      </c>
      <c r="E767" s="6" t="inlineStr">
        <is>
          <t>ООО "Амур Золото"</t>
        </is>
      </c>
      <c r="F767" s="7" t="inlineStr">
        <is>
          <t>2708001686</t>
        </is>
      </c>
      <c r="G767" s="7" t="inlineStr">
        <is>
          <t>Успешно</t>
        </is>
      </c>
      <c r="H767" s="6" t="n"/>
      <c r="I767" s="6" t="n"/>
      <c r="J767" s="6" t="inlineStr">
        <is>
          <t>Пользовательский интерфейс</t>
        </is>
      </c>
      <c r="K767" s="7" t="n">
        <v>2</v>
      </c>
      <c r="L767" s="8" t="n"/>
      <c r="M767" s="137" t="inlineStr">
        <is>
          <t>+</t>
        </is>
      </c>
      <c r="N767" s="8" t="n"/>
      <c r="O767" s="8" t="n"/>
      <c r="P767" s="8" t="n"/>
      <c r="Q767" s="8" t="n"/>
      <c r="R767" s="8" t="n"/>
      <c r="S767" s="8" t="n"/>
      <c r="T767" s="8" t="n"/>
      <c r="U767" s="8" t="n"/>
      <c r="V767" s="8" t="n"/>
      <c r="W767" s="8" t="n"/>
      <c r="X767" s="139" t="n"/>
      <c r="Y767" s="138" t="inlineStr">
        <is>
          <t>+</t>
        </is>
      </c>
    </row>
    <row r="768">
      <c r="A768" s="6" t="inlineStr">
        <is>
          <t>работник 882</t>
        </is>
      </c>
      <c r="B768" s="6" t="inlineStr">
        <is>
          <t>Помощник машиниста самоходной буровой установки (с исполнением обязанностей пробоотборщика)</t>
        </is>
      </c>
      <c r="C768" s="6" t="inlineStr">
        <is>
          <t>ОБЩЕСТВО С ОГРАНИЧЕННОЙ ОТВЕТСТВЕННОСТЬЮ "АМУР ЗОЛОТО"</t>
        </is>
      </c>
      <c r="D768" s="7" t="inlineStr">
        <is>
          <t>2708001686</t>
        </is>
      </c>
      <c r="E768" s="6" t="inlineStr">
        <is>
          <t>ООО "Амур Золото"</t>
        </is>
      </c>
      <c r="F768" s="7" t="inlineStr">
        <is>
          <t>2708001686</t>
        </is>
      </c>
      <c r="G768" s="7" t="inlineStr">
        <is>
          <t>Успешно</t>
        </is>
      </c>
      <c r="H768" s="6" t="n"/>
      <c r="I768" s="6" t="n"/>
      <c r="J768" s="6" t="inlineStr">
        <is>
          <t>Пользовательский интерфейс</t>
        </is>
      </c>
      <c r="K768" s="7" t="n">
        <v>3</v>
      </c>
      <c r="L768" s="8" t="n"/>
      <c r="M768" s="137" t="inlineStr">
        <is>
          <t>+</t>
        </is>
      </c>
      <c r="N768" s="8" t="n"/>
      <c r="O768" s="8" t="n"/>
      <c r="P768" s="8" t="n"/>
      <c r="Q768" s="8" t="n"/>
      <c r="R768" s="8" t="n"/>
      <c r="S768" s="8" t="n"/>
      <c r="T768" s="8" t="n"/>
      <c r="U768" s="8" t="n"/>
      <c r="V768" s="8" t="n"/>
      <c r="W768" s="8" t="n"/>
      <c r="X768" s="137" t="inlineStr">
        <is>
          <t>+</t>
        </is>
      </c>
      <c r="Y768" s="137" t="inlineStr">
        <is>
          <t>+</t>
        </is>
      </c>
    </row>
    <row r="769">
      <c r="A769" s="6" t="inlineStr">
        <is>
          <t>работник 18</t>
        </is>
      </c>
      <c r="B769" s="6" t="inlineStr">
        <is>
          <t>Машинист буровой установки (НКР)</t>
        </is>
      </c>
      <c r="C769" s="6" t="inlineStr">
        <is>
          <t>ОБЩЕСТВО С ОГРАНИЧЕННОЙ ОТВЕТСТВЕННОСТЬЮ "АМУР ЗОЛОТО"</t>
        </is>
      </c>
      <c r="D769" s="7" t="inlineStr">
        <is>
          <t>2708001686</t>
        </is>
      </c>
      <c r="E769" s="6" t="inlineStr">
        <is>
          <t>ООО "Амур Золото"</t>
        </is>
      </c>
      <c r="F769" s="7" t="inlineStr">
        <is>
          <t>2708001686</t>
        </is>
      </c>
      <c r="G769" s="7" t="inlineStr">
        <is>
          <t>Успешно</t>
        </is>
      </c>
      <c r="H769" s="6" t="n"/>
      <c r="I769" s="6" t="n"/>
      <c r="J769" s="6" t="inlineStr">
        <is>
          <t>Пользовательский интерфейс</t>
        </is>
      </c>
      <c r="K769" s="7" t="n">
        <v>3</v>
      </c>
      <c r="L769" s="8" t="n"/>
      <c r="M769" s="137" t="inlineStr">
        <is>
          <t>+</t>
        </is>
      </c>
      <c r="N769" s="8" t="n"/>
      <c r="O769" s="8" t="n"/>
      <c r="P769" s="8" t="n"/>
      <c r="Q769" s="8" t="n"/>
      <c r="R769" s="8" t="n"/>
      <c r="S769" s="8" t="n"/>
      <c r="T769" s="8" t="n"/>
      <c r="U769" s="8" t="n"/>
      <c r="V769" s="8" t="n"/>
      <c r="W769" s="8" t="n"/>
      <c r="X769" s="137" t="inlineStr">
        <is>
          <t>+</t>
        </is>
      </c>
      <c r="Y769" s="137" t="inlineStr">
        <is>
          <t>+</t>
        </is>
      </c>
    </row>
    <row r="770">
      <c r="A770" s="6" t="inlineStr">
        <is>
          <t>работник 827</t>
        </is>
      </c>
      <c r="B770" s="6" t="inlineStr">
        <is>
          <t>Фильтровальщик</t>
        </is>
      </c>
      <c r="C770" s="6" t="inlineStr">
        <is>
          <t>ОБЩЕСТВО С ОГРАНИЧЕННОЙ ОТВЕТСТВЕННОСТЬЮ "АМУР ЗОЛОТО"</t>
        </is>
      </c>
      <c r="D770" s="7" t="inlineStr">
        <is>
          <t>2708001686</t>
        </is>
      </c>
      <c r="E770" s="6" t="inlineStr">
        <is>
          <t>ООО "Амур Золото"</t>
        </is>
      </c>
      <c r="F770" s="7" t="inlineStr">
        <is>
          <t>2708001686</t>
        </is>
      </c>
      <c r="G770" s="7" t="inlineStr">
        <is>
          <t>Успешно</t>
        </is>
      </c>
      <c r="H770" s="6" t="n"/>
      <c r="I770" s="6" t="n"/>
      <c r="J770" s="6" t="inlineStr">
        <is>
          <t>Пользовательский интерфейс</t>
        </is>
      </c>
      <c r="K770" s="7" t="n">
        <v>6</v>
      </c>
      <c r="L770" s="8" t="n"/>
      <c r="M770" s="137" t="inlineStr">
        <is>
          <t>+</t>
        </is>
      </c>
      <c r="N770" s="8" t="n"/>
      <c r="O770" s="8" t="n"/>
      <c r="P770" s="8" t="n"/>
      <c r="Q770" s="8" t="n"/>
      <c r="R770" s="8" t="n"/>
      <c r="S770" s="8" t="n"/>
      <c r="T770" s="8" t="n"/>
      <c r="U770" s="8" t="n"/>
      <c r="V770" s="8" t="n"/>
      <c r="W770" s="8" t="n"/>
      <c r="X770" s="137" t="inlineStr">
        <is>
          <t>+</t>
        </is>
      </c>
      <c r="Y770" s="137" t="inlineStr">
        <is>
          <t>+</t>
        </is>
      </c>
    </row>
    <row r="771">
      <c r="A771" s="6" t="inlineStr">
        <is>
          <t>работник 903</t>
        </is>
      </c>
      <c r="B771" s="6" t="inlineStr">
        <is>
          <t>Слесарь по ремонту автомобилей</t>
        </is>
      </c>
      <c r="C771" s="6" t="inlineStr">
        <is>
          <t>ОБЩЕСТВО С ОГРАНИЧЕННОЙ ОТВЕТСТВЕННОСТЬЮ "АМУР ЗОЛОТО"</t>
        </is>
      </c>
      <c r="D771" s="7" t="inlineStr">
        <is>
          <t>2708001686</t>
        </is>
      </c>
      <c r="E771" s="6" t="inlineStr">
        <is>
          <t>ООО "Амур Золото"</t>
        </is>
      </c>
      <c r="F771" s="7" t="inlineStr">
        <is>
          <t>2708001686</t>
        </is>
      </c>
      <c r="G771" s="7" t="inlineStr">
        <is>
          <t>Успешно</t>
        </is>
      </c>
      <c r="H771" s="6" t="n"/>
      <c r="I771" s="6" t="n"/>
      <c r="J771" s="6" t="inlineStr">
        <is>
          <t>Пользовательский интерфейс</t>
        </is>
      </c>
      <c r="K771" s="7" t="n">
        <v>3</v>
      </c>
      <c r="L771" s="8" t="n"/>
      <c r="M771" s="137" t="inlineStr">
        <is>
          <t>+</t>
        </is>
      </c>
      <c r="N771" s="8" t="n"/>
      <c r="O771" s="8" t="n"/>
      <c r="P771" s="8" t="n"/>
      <c r="Q771" s="8" t="n"/>
      <c r="R771" s="8" t="n"/>
      <c r="S771" s="8" t="n"/>
      <c r="T771" s="8" t="n"/>
      <c r="U771" s="8" t="n"/>
      <c r="V771" s="8" t="n"/>
      <c r="W771" s="8" t="n"/>
      <c r="X771" s="137" t="inlineStr">
        <is>
          <t>+</t>
        </is>
      </c>
      <c r="Y771" s="137" t="inlineStr">
        <is>
          <t>+</t>
        </is>
      </c>
    </row>
    <row r="772">
      <c r="A772" s="6" t="inlineStr">
        <is>
          <t>работник 664</t>
        </is>
      </c>
      <c r="B772" s="6" t="inlineStr">
        <is>
          <t>Заместитель начальника пылевентиляционной службы</t>
        </is>
      </c>
      <c r="C772" s="6" t="inlineStr">
        <is>
          <t>ОБЩЕСТВО С ОГРАНИЧЕННОЙ ОТВЕТСТВЕННОСТЬЮ "АМУР ЗОЛОТО"</t>
        </is>
      </c>
      <c r="D772" s="7" t="inlineStr">
        <is>
          <t>2708001686</t>
        </is>
      </c>
      <c r="E772" s="6" t="inlineStr">
        <is>
          <t>ООО "Амур Золото"</t>
        </is>
      </c>
      <c r="F772" s="7" t="inlineStr">
        <is>
          <t>2708001686</t>
        </is>
      </c>
      <c r="G772" s="7" t="inlineStr">
        <is>
          <t>Успешно</t>
        </is>
      </c>
      <c r="H772" s="6" t="n"/>
      <c r="I772" s="6" t="n"/>
      <c r="J772" s="6" t="inlineStr">
        <is>
          <t>Пользовательский интерфейс</t>
        </is>
      </c>
      <c r="K772" s="7" t="n">
        <v>2</v>
      </c>
      <c r="L772" s="141" t="n"/>
      <c r="M772" s="137" t="inlineStr">
        <is>
          <t>+</t>
        </is>
      </c>
      <c r="N772" s="8" t="n"/>
      <c r="O772" s="8" t="n"/>
      <c r="P772" s="8" t="n"/>
      <c r="Q772" s="8" t="n"/>
      <c r="R772" s="8" t="n"/>
      <c r="S772" s="8" t="n"/>
      <c r="T772" s="8" t="n"/>
      <c r="U772" s="8" t="n"/>
      <c r="V772" s="8" t="n"/>
      <c r="W772" s="8" t="n"/>
      <c r="X772" s="139" t="n"/>
      <c r="Y772" s="137" t="inlineStr">
        <is>
          <t>+</t>
        </is>
      </c>
    </row>
    <row r="773">
      <c r="A773" s="6" t="inlineStr">
        <is>
          <t>работник 635</t>
        </is>
      </c>
      <c r="B773" s="6" t="inlineStr">
        <is>
          <t>Раздатчик взрывчатых материалов</t>
        </is>
      </c>
      <c r="C773" s="6" t="inlineStr">
        <is>
          <t>ОБЩЕСТВО С ОГРАНИЧЕННОЙ ОТВЕТСТВЕННОСТЬЮ "АМУР ЗОЛОТО"</t>
        </is>
      </c>
      <c r="D773" s="7" t="inlineStr">
        <is>
          <t>2708001686</t>
        </is>
      </c>
      <c r="E773" s="6" t="inlineStr">
        <is>
          <t>ООО "Амур Золото"</t>
        </is>
      </c>
      <c r="F773" s="7" t="inlineStr">
        <is>
          <t>2708001686</t>
        </is>
      </c>
      <c r="G773" s="7" t="inlineStr">
        <is>
          <t>Успешно</t>
        </is>
      </c>
      <c r="H773" s="6" t="n"/>
      <c r="I773" s="6" t="n"/>
      <c r="J773" s="6" t="inlineStr">
        <is>
          <t>Пользовательский интерфейс</t>
        </is>
      </c>
      <c r="K773" s="7" t="n">
        <v>2</v>
      </c>
      <c r="L773" s="8" t="n"/>
      <c r="M773" s="137" t="inlineStr">
        <is>
          <t>+</t>
        </is>
      </c>
      <c r="N773" s="8" t="n"/>
      <c r="O773" s="8" t="n"/>
      <c r="P773" s="8" t="n"/>
      <c r="Q773" s="8" t="n"/>
      <c r="R773" s="8" t="n"/>
      <c r="S773" s="8" t="n"/>
      <c r="T773" s="8" t="n"/>
      <c r="U773" s="8" t="n"/>
      <c r="V773" s="8" t="n"/>
      <c r="W773" s="8" t="n"/>
      <c r="X773" s="139" t="n"/>
      <c r="Y773" s="137" t="inlineStr">
        <is>
          <t>+</t>
        </is>
      </c>
    </row>
    <row r="774">
      <c r="A774" s="6" t="inlineStr">
        <is>
          <t>работник 787</t>
        </is>
      </c>
      <c r="B774" s="6" t="inlineStr">
        <is>
          <t>Машинист бульдозера</t>
        </is>
      </c>
      <c r="C774" s="6" t="inlineStr">
        <is>
          <t>ОБЩЕСТВО С ОГРАНИЧЕННОЙ ОТВЕТСТВЕННОСТЬЮ "АМУР ЗОЛОТО"</t>
        </is>
      </c>
      <c r="D774" s="7" t="inlineStr">
        <is>
          <t>2708001686</t>
        </is>
      </c>
      <c r="E774" s="6" t="inlineStr">
        <is>
          <t>ООО "Амур Золото"</t>
        </is>
      </c>
      <c r="F774" s="7" t="inlineStr">
        <is>
          <t>2708001686</t>
        </is>
      </c>
      <c r="G774" s="7" t="inlineStr">
        <is>
          <t>Успешно</t>
        </is>
      </c>
      <c r="H774" s="6" t="n"/>
      <c r="I774" s="6" t="n"/>
      <c r="J774" s="6" t="inlineStr">
        <is>
          <t>Пользовательский интерфейс</t>
        </is>
      </c>
      <c r="K774" s="7" t="n">
        <v>3</v>
      </c>
      <c r="L774" s="8" t="n"/>
      <c r="M774" s="137" t="inlineStr">
        <is>
          <t>+</t>
        </is>
      </c>
      <c r="N774" s="8" t="n"/>
      <c r="O774" s="8" t="n"/>
      <c r="P774" s="8" t="n"/>
      <c r="Q774" s="8" t="n"/>
      <c r="R774" s="8" t="n"/>
      <c r="S774" s="8" t="n"/>
      <c r="T774" s="8" t="n"/>
      <c r="U774" s="8" t="n"/>
      <c r="V774" s="8" t="n"/>
      <c r="W774" s="8" t="n"/>
      <c r="X774" s="137" t="inlineStr">
        <is>
          <t>+</t>
        </is>
      </c>
      <c r="Y774" s="137" t="inlineStr">
        <is>
          <t>+</t>
        </is>
      </c>
    </row>
    <row r="775">
      <c r="A775" s="6" t="inlineStr">
        <is>
          <t>работник 236</t>
        </is>
      </c>
      <c r="B775" s="6" t="inlineStr">
        <is>
          <t>Дробильщик</t>
        </is>
      </c>
      <c r="C775" s="6" t="inlineStr">
        <is>
          <t>ОБЩЕСТВО С ОГРАНИЧЕННОЙ ОТВЕТСТВЕННОСТЬЮ "АМУР ЗОЛОТО"</t>
        </is>
      </c>
      <c r="D775" s="7" t="inlineStr">
        <is>
          <t>2708001686</t>
        </is>
      </c>
      <c r="E775" s="6" t="inlineStr">
        <is>
          <t>ООО "Амур Золото"</t>
        </is>
      </c>
      <c r="F775" s="7" t="inlineStr">
        <is>
          <t>2708001686</t>
        </is>
      </c>
      <c r="G775" s="7" t="inlineStr">
        <is>
          <t>Успешно</t>
        </is>
      </c>
      <c r="H775" s="6" t="n"/>
      <c r="I775" s="6" t="n"/>
      <c r="J775" s="6" t="inlineStr">
        <is>
          <t>Пользовательский интерфейс</t>
        </is>
      </c>
      <c r="K775" s="7" t="n">
        <v>5</v>
      </c>
      <c r="L775" s="8" t="n"/>
      <c r="M775" s="137" t="inlineStr">
        <is>
          <t>+</t>
        </is>
      </c>
      <c r="N775" s="8" t="n"/>
      <c r="O775" s="8" t="n"/>
      <c r="P775" s="8" t="n"/>
      <c r="Q775" s="8" t="n"/>
      <c r="R775" s="8" t="n"/>
      <c r="S775" s="8" t="n"/>
      <c r="T775" s="8" t="n"/>
      <c r="U775" s="8" t="n"/>
      <c r="V775" s="8" t="n"/>
      <c r="W775" s="8" t="n"/>
      <c r="X775" s="137" t="inlineStr">
        <is>
          <t>+</t>
        </is>
      </c>
      <c r="Y775" s="137" t="inlineStr">
        <is>
          <t>+</t>
        </is>
      </c>
    </row>
    <row r="776">
      <c r="A776" s="6" t="inlineStr">
        <is>
          <t>работник 477</t>
        </is>
      </c>
      <c r="B776" s="6" t="inlineStr">
        <is>
          <t>Слесарь-ремонтник / Слесарь-ремонтник (по ремонту обогатительного оборудования) / Слесарь ремонтник по ремонту обоготительного оборудования</t>
        </is>
      </c>
      <c r="C776" s="6" t="inlineStr">
        <is>
          <t>ОБЩЕСТВО С ОГРАНИЧЕННОЙ ОТВЕТСТВЕННОСТЬЮ "АМУР ЗОЛОТО"</t>
        </is>
      </c>
      <c r="D776" s="7" t="inlineStr">
        <is>
          <t>2708001686</t>
        </is>
      </c>
      <c r="E776" s="6" t="inlineStr">
        <is>
          <t>ООО "Амур Золото"</t>
        </is>
      </c>
      <c r="F776" s="7" t="inlineStr">
        <is>
          <t>2708001686</t>
        </is>
      </c>
      <c r="G776" s="7" t="inlineStr">
        <is>
          <t>Успешно</t>
        </is>
      </c>
      <c r="H776" s="6" t="n"/>
      <c r="I776" s="6" t="n"/>
      <c r="J776" s="6" t="inlineStr">
        <is>
          <t>Пользовательский интерфейс</t>
        </is>
      </c>
      <c r="K776" s="7" t="n">
        <v>11</v>
      </c>
      <c r="L776" s="8" t="n"/>
      <c r="M776" s="137" t="inlineStr">
        <is>
          <t>+</t>
        </is>
      </c>
      <c r="N776" s="137" t="inlineStr">
        <is>
          <t>+</t>
        </is>
      </c>
      <c r="O776" s="137" t="inlineStr">
        <is>
          <t>+</t>
        </is>
      </c>
      <c r="P776" s="137" t="inlineStr">
        <is>
          <t>+</t>
        </is>
      </c>
      <c r="Q776" s="137" t="inlineStr">
        <is>
          <t>+</t>
        </is>
      </c>
      <c r="R776" s="137" t="inlineStr">
        <is>
          <t>+</t>
        </is>
      </c>
      <c r="S776" s="137" t="inlineStr">
        <is>
          <t>+</t>
        </is>
      </c>
      <c r="T776" s="8" t="n"/>
      <c r="U776" s="8" t="n"/>
      <c r="V776" s="8" t="n"/>
      <c r="W776" s="8" t="n"/>
      <c r="X776" s="139" t="n"/>
      <c r="Y776" s="137" t="inlineStr">
        <is>
          <t>+</t>
        </is>
      </c>
    </row>
    <row r="777">
      <c r="A777" s="6" t="inlineStr">
        <is>
          <t>работник 37</t>
        </is>
      </c>
      <c r="B777" s="6" t="inlineStr">
        <is>
          <t>Дробильщик</t>
        </is>
      </c>
      <c r="C777" s="6" t="inlineStr">
        <is>
          <t>ОБЩЕСТВО С ОГРАНИЧЕННОЙ ОТВЕТСТВЕННОСТЬЮ "АМУР ЗОЛОТО"</t>
        </is>
      </c>
      <c r="D777" s="7" t="inlineStr">
        <is>
          <t>2708001686</t>
        </is>
      </c>
      <c r="E777" s="6" t="inlineStr">
        <is>
          <t>ООО "Амур Золото"</t>
        </is>
      </c>
      <c r="F777" s="7" t="inlineStr">
        <is>
          <t>2708001686</t>
        </is>
      </c>
      <c r="G777" s="7" t="inlineStr">
        <is>
          <t>Успешно</t>
        </is>
      </c>
      <c r="H777" s="6" t="n"/>
      <c r="I777" s="6" t="n"/>
      <c r="J777" s="6" t="inlineStr">
        <is>
          <t>Пользовательский интерфейс</t>
        </is>
      </c>
      <c r="K777" s="7" t="n">
        <v>8</v>
      </c>
      <c r="L777" s="8" t="n"/>
      <c r="M777" s="137" t="inlineStr">
        <is>
          <t>+</t>
        </is>
      </c>
      <c r="N777" s="8" t="n"/>
      <c r="O777" s="8" t="n"/>
      <c r="P777" s="8" t="n"/>
      <c r="Q777" s="8" t="n"/>
      <c r="R777" s="8" t="n"/>
      <c r="S777" s="8" t="n"/>
      <c r="T777" s="8" t="n"/>
      <c r="U777" s="8" t="n"/>
      <c r="V777" s="8" t="n"/>
      <c r="W777" s="8" t="n"/>
      <c r="X777" s="137" t="inlineStr">
        <is>
          <t>+</t>
        </is>
      </c>
      <c r="Y777" s="137" t="inlineStr">
        <is>
          <t>+</t>
        </is>
      </c>
    </row>
    <row r="778">
      <c r="A778" s="6" t="inlineStr">
        <is>
          <t>работник 798</t>
        </is>
      </c>
      <c r="B778" s="6" t="inlineStr">
        <is>
          <t>Водитель автомобиля (категория D)</t>
        </is>
      </c>
      <c r="C778" s="6" t="inlineStr">
        <is>
          <t>ОБЩЕСТВО С ОГРАНИЧЕННОЙ ОТВЕТСТВЕННОСТЬЮ "АМУР ЗОЛОТО"</t>
        </is>
      </c>
      <c r="D778" s="7" t="inlineStr">
        <is>
          <t>2708001686</t>
        </is>
      </c>
      <c r="E778" s="6" t="inlineStr">
        <is>
          <t>ООО "Амур Золото"</t>
        </is>
      </c>
      <c r="F778" s="7" t="inlineStr">
        <is>
          <t>2708001686</t>
        </is>
      </c>
      <c r="G778" s="7" t="inlineStr">
        <is>
          <t>Успешно</t>
        </is>
      </c>
      <c r="H778" s="6" t="n"/>
      <c r="I778" s="6" t="n"/>
      <c r="J778" s="6" t="inlineStr">
        <is>
          <t>Пользовательский интерфейс</t>
        </is>
      </c>
      <c r="K778" s="7" t="n">
        <v>3</v>
      </c>
      <c r="L778" s="8" t="n"/>
      <c r="M778" s="137" t="inlineStr">
        <is>
          <t>+</t>
        </is>
      </c>
      <c r="N778" s="8" t="n"/>
      <c r="O778" s="8" t="n"/>
      <c r="P778" s="8" t="n"/>
      <c r="Q778" s="8" t="n"/>
      <c r="R778" s="8" t="n"/>
      <c r="S778" s="8" t="n"/>
      <c r="T778" s="8" t="n"/>
      <c r="U778" s="8" t="n"/>
      <c r="V778" s="8" t="n"/>
      <c r="W778" s="8" t="n"/>
      <c r="X778" s="137" t="inlineStr">
        <is>
          <t>+</t>
        </is>
      </c>
      <c r="Y778" s="138" t="inlineStr">
        <is>
          <t>+</t>
        </is>
      </c>
    </row>
    <row r="779">
      <c r="A779" s="6" t="inlineStr">
        <is>
          <t>работник 921</t>
        </is>
      </c>
      <c r="B779" s="6" t="inlineStr">
        <is>
          <t>Оператор дизельных котлов</t>
        </is>
      </c>
      <c r="C779" s="6" t="inlineStr">
        <is>
          <t>ОБЩЕСТВО С ОГРАНИЧЕННОЙ ОТВЕТСТВЕННОСТЬЮ "АМУР ЗОЛОТО"</t>
        </is>
      </c>
      <c r="D779" s="7" t="inlineStr">
        <is>
          <t>2708001686</t>
        </is>
      </c>
      <c r="E779" s="6" t="inlineStr">
        <is>
          <t>ООО "Амур Золото"</t>
        </is>
      </c>
      <c r="F779" s="7" t="inlineStr">
        <is>
          <t>2708001686</t>
        </is>
      </c>
      <c r="G779" s="7" t="inlineStr">
        <is>
          <t>Успешно</t>
        </is>
      </c>
      <c r="H779" s="6" t="n"/>
      <c r="I779" s="6" t="n"/>
      <c r="J779" s="6" t="inlineStr">
        <is>
          <t>Пользовательский интерфейс</t>
        </is>
      </c>
      <c r="K779" s="7" t="n">
        <v>2</v>
      </c>
      <c r="L779" s="8" t="n"/>
      <c r="M779" s="137" t="inlineStr">
        <is>
          <t>+</t>
        </is>
      </c>
      <c r="N779" s="8" t="n"/>
      <c r="O779" s="8" t="n"/>
      <c r="P779" s="8" t="n"/>
      <c r="Q779" s="8" t="n"/>
      <c r="R779" s="8" t="n"/>
      <c r="S779" s="8" t="n"/>
      <c r="T779" s="8" t="n"/>
      <c r="U779" s="8" t="n"/>
      <c r="V779" s="8" t="n"/>
      <c r="W779" s="8" t="n"/>
      <c r="X779" s="139" t="n"/>
      <c r="Y779" s="137" t="inlineStr">
        <is>
          <t>+</t>
        </is>
      </c>
    </row>
    <row r="780">
      <c r="A780" s="6" t="inlineStr">
        <is>
          <t>работник 824</t>
        </is>
      </c>
      <c r="B780" s="6" t="inlineStr">
        <is>
          <t>Уборщик производственных и служебных помещений</t>
        </is>
      </c>
      <c r="C780" s="6" t="inlineStr">
        <is>
          <t>ОБЩЕСТВО С ОГРАНИЧЕННОЙ ОТВЕТСТВЕННОСТЬЮ "АМУР ЗОЛОТО"</t>
        </is>
      </c>
      <c r="D780" s="7" t="inlineStr">
        <is>
          <t>2708001686</t>
        </is>
      </c>
      <c r="E780" s="6" t="inlineStr">
        <is>
          <t>ООО "Амур Золото"</t>
        </is>
      </c>
      <c r="F780" s="7" t="inlineStr">
        <is>
          <t>2708001686</t>
        </is>
      </c>
      <c r="G780" s="7" t="inlineStr">
        <is>
          <t>Успешно</t>
        </is>
      </c>
      <c r="H780" s="6" t="n"/>
      <c r="I780" s="6" t="n"/>
      <c r="J780" s="6" t="inlineStr">
        <is>
          <t>Пользовательский интерфейс</t>
        </is>
      </c>
      <c r="K780" s="7" t="n">
        <v>2</v>
      </c>
      <c r="L780" s="8" t="n"/>
      <c r="M780" s="137" t="inlineStr">
        <is>
          <t>+</t>
        </is>
      </c>
      <c r="N780" s="8" t="n"/>
      <c r="O780" s="8" t="n"/>
      <c r="P780" s="8" t="n"/>
      <c r="Q780" s="8" t="n"/>
      <c r="R780" s="8" t="n"/>
      <c r="S780" s="8" t="n"/>
      <c r="T780" s="8" t="n"/>
      <c r="U780" s="8" t="n"/>
      <c r="V780" s="8" t="n"/>
      <c r="W780" s="8" t="n"/>
      <c r="X780" s="139" t="n"/>
      <c r="Y780" s="137" t="inlineStr">
        <is>
          <t>+</t>
        </is>
      </c>
    </row>
    <row r="781">
      <c r="A781" s="6" t="inlineStr">
        <is>
          <t>работник 580</t>
        </is>
      </c>
      <c r="B781" s="6" t="inlineStr">
        <is>
          <t>Контролер</t>
        </is>
      </c>
      <c r="C781" s="6" t="inlineStr">
        <is>
          <t>ОБЩЕСТВО С ОГРАНИЧЕННОЙ ОТВЕТСТВЕННОСТЬЮ "АМУР ЗОЛОТО"</t>
        </is>
      </c>
      <c r="D781" s="7" t="inlineStr">
        <is>
          <t>2708001686</t>
        </is>
      </c>
      <c r="E781" s="6" t="inlineStr">
        <is>
          <t>ООО "Амур Золото"</t>
        </is>
      </c>
      <c r="F781" s="7" t="inlineStr">
        <is>
          <t>2708001686</t>
        </is>
      </c>
      <c r="G781" s="7" t="inlineStr">
        <is>
          <t>Успешно</t>
        </is>
      </c>
      <c r="H781" s="6" t="n"/>
      <c r="I781" s="6" t="n"/>
      <c r="J781" s="6" t="inlineStr">
        <is>
          <t>Пользовательский интерфейс</t>
        </is>
      </c>
      <c r="K781" s="7" t="n">
        <v>2</v>
      </c>
      <c r="L781" s="8" t="n"/>
      <c r="M781" s="137" t="inlineStr">
        <is>
          <t>+</t>
        </is>
      </c>
      <c r="N781" s="8" t="n"/>
      <c r="O781" s="8" t="n"/>
      <c r="P781" s="8" t="n"/>
      <c r="Q781" s="8" t="n"/>
      <c r="R781" s="8" t="n"/>
      <c r="S781" s="8" t="n"/>
      <c r="T781" s="8" t="n"/>
      <c r="U781" s="8" t="n"/>
      <c r="V781" s="8" t="n"/>
      <c r="W781" s="8" t="n"/>
      <c r="X781" s="139" t="n"/>
      <c r="Y781" s="137" t="inlineStr">
        <is>
          <t>+</t>
        </is>
      </c>
    </row>
    <row r="782">
      <c r="A782" s="6" t="inlineStr">
        <is>
          <t>работник 338</t>
        </is>
      </c>
      <c r="B782" s="6" t="inlineStr">
        <is>
          <t>Бункеровщик</t>
        </is>
      </c>
      <c r="C782" s="6" t="inlineStr">
        <is>
          <t>ОБЩЕСТВО С ОГРАНИЧЕННОЙ ОТВЕТСТВЕННОСТЬЮ "АМУР ЗОЛОТО"</t>
        </is>
      </c>
      <c r="D782" s="7" t="inlineStr">
        <is>
          <t>2708001686</t>
        </is>
      </c>
      <c r="E782" s="6" t="inlineStr">
        <is>
          <t>ООО "Амур Золото"</t>
        </is>
      </c>
      <c r="F782" s="7" t="inlineStr">
        <is>
          <t>2708001686</t>
        </is>
      </c>
      <c r="G782" s="7" t="inlineStr">
        <is>
          <t>Успешно</t>
        </is>
      </c>
      <c r="H782" s="6" t="n"/>
      <c r="I782" s="6" t="n"/>
      <c r="J782" s="6" t="inlineStr">
        <is>
          <t>Пользовательский интерфейс</t>
        </is>
      </c>
      <c r="K782" s="7" t="n">
        <v>3</v>
      </c>
      <c r="L782" s="8" t="n"/>
      <c r="M782" s="137" t="inlineStr">
        <is>
          <t>+</t>
        </is>
      </c>
      <c r="N782" s="8" t="n"/>
      <c r="O782" s="8" t="n"/>
      <c r="P782" s="8" t="n"/>
      <c r="Q782" s="8" t="n"/>
      <c r="R782" s="8" t="n"/>
      <c r="S782" s="8" t="n"/>
      <c r="T782" s="8" t="n"/>
      <c r="U782" s="8" t="n"/>
      <c r="V782" s="8" t="n"/>
      <c r="W782" s="8" t="n"/>
      <c r="X782" s="137" t="inlineStr">
        <is>
          <t>+</t>
        </is>
      </c>
      <c r="Y782" s="137" t="inlineStr">
        <is>
          <t>+</t>
        </is>
      </c>
    </row>
    <row r="783">
      <c r="A783" s="6" t="inlineStr">
        <is>
          <t>работник 7</t>
        </is>
      </c>
      <c r="B783" s="6" t="inlineStr">
        <is>
          <t>Главный технолог</t>
        </is>
      </c>
      <c r="C783" s="6" t="inlineStr">
        <is>
          <t>ООО "Амур золото". Подразделение: горно-обогатительный комплекс "Юбилейный"</t>
        </is>
      </c>
      <c r="D783" s="7" t="inlineStr">
        <is>
          <t>2708001686</t>
        </is>
      </c>
      <c r="E783" s="6" t="inlineStr">
        <is>
          <t>Автономная некоммерческая организация дополнительного профессионального образования и сертификации "Перспектива"</t>
        </is>
      </c>
      <c r="F783" s="7" t="inlineStr">
        <is>
          <t>2722126782</t>
        </is>
      </c>
      <c r="G783" s="7" t="inlineStr">
        <is>
          <t>Успешно</t>
        </is>
      </c>
      <c r="H783" s="6" t="n"/>
      <c r="I783" s="6" t="n"/>
      <c r="J783" s="6" t="inlineStr">
        <is>
          <t>Пользовательский интерфейс</t>
        </is>
      </c>
      <c r="K783" s="7" t="n">
        <v>4</v>
      </c>
      <c r="L783" s="138" t="inlineStr">
        <is>
          <t>+</t>
        </is>
      </c>
      <c r="M783" s="137" t="inlineStr">
        <is>
          <t>+</t>
        </is>
      </c>
      <c r="N783" s="8" t="n"/>
      <c r="O783" s="8" t="n"/>
      <c r="P783" s="8" t="n"/>
      <c r="Q783" s="8" t="n"/>
      <c r="R783" s="8" t="n"/>
      <c r="S783" s="8" t="n"/>
      <c r="T783" s="8" t="n"/>
      <c r="U783" s="8" t="n"/>
      <c r="V783" s="8" t="n"/>
      <c r="W783" s="8" t="n"/>
      <c r="X783" s="142" t="inlineStr">
        <is>
          <t>+</t>
        </is>
      </c>
      <c r="Y783" s="137" t="inlineStr">
        <is>
          <t>+</t>
        </is>
      </c>
    </row>
    <row r="784">
      <c r="A784" s="6" t="inlineStr">
        <is>
          <t>работник 858</t>
        </is>
      </c>
      <c r="B784" s="6" t="inlineStr">
        <is>
          <t>Раздатчик взрывчатых материалов</t>
        </is>
      </c>
      <c r="C784" s="6" t="inlineStr">
        <is>
          <t>ОБЩЕСТВО С ОГРАНИЧЕННОЙ ОТВЕТСТВЕННОСТЬЮ "АМУР ЗОЛОТО"</t>
        </is>
      </c>
      <c r="D784" s="7" t="inlineStr">
        <is>
          <t>2708001686</t>
        </is>
      </c>
      <c r="E784" s="6" t="inlineStr">
        <is>
          <t>ООО "Амур Золото"</t>
        </is>
      </c>
      <c r="F784" s="7" t="inlineStr">
        <is>
          <t>2708001686</t>
        </is>
      </c>
      <c r="G784" s="7" t="inlineStr">
        <is>
          <t>Успешно</t>
        </is>
      </c>
      <c r="H784" s="6" t="n"/>
      <c r="I784" s="6" t="n"/>
      <c r="J784" s="6" t="inlineStr">
        <is>
          <t>Пользовательский интерфейс</t>
        </is>
      </c>
      <c r="K784" s="7" t="n">
        <v>3</v>
      </c>
      <c r="L784" s="8" t="n"/>
      <c r="M784" s="137" t="inlineStr">
        <is>
          <t>+</t>
        </is>
      </c>
      <c r="N784" s="8" t="n"/>
      <c r="O784" s="8" t="n"/>
      <c r="P784" s="8" t="n"/>
      <c r="Q784" s="8" t="n"/>
      <c r="R784" s="8" t="n"/>
      <c r="S784" s="8" t="n"/>
      <c r="T784" s="8" t="n"/>
      <c r="U784" s="8" t="n"/>
      <c r="V784" s="8" t="n"/>
      <c r="W784" s="8" t="n"/>
      <c r="X784" s="137" t="inlineStr">
        <is>
          <t>+</t>
        </is>
      </c>
      <c r="Y784" s="137" t="inlineStr">
        <is>
          <t>+</t>
        </is>
      </c>
    </row>
    <row r="785">
      <c r="A785" s="6" t="inlineStr">
        <is>
          <t>работник 422</t>
        </is>
      </c>
      <c r="B785" s="6" t="inlineStr">
        <is>
          <t>Горнорабочий на геологических работах</t>
        </is>
      </c>
      <c r="C785" s="6" t="inlineStr">
        <is>
          <t>ОБЩЕСТВО С ОГРАНИЧЕННОЙ ОТВЕТСТВЕННОСТЬЮ "АМУР ЗОЛОТО"</t>
        </is>
      </c>
      <c r="D785" s="7" t="inlineStr">
        <is>
          <t>2708001686</t>
        </is>
      </c>
      <c r="E785" s="6" t="inlineStr">
        <is>
          <t>ООО "Амур Золото"</t>
        </is>
      </c>
      <c r="F785" s="7" t="inlineStr">
        <is>
          <t>2708001686</t>
        </is>
      </c>
      <c r="G785" s="7" t="inlineStr">
        <is>
          <t>Успешно</t>
        </is>
      </c>
      <c r="H785" s="6" t="n"/>
      <c r="I785" s="6" t="n"/>
      <c r="J785" s="6" t="inlineStr">
        <is>
          <t>Пользовательский интерфейс</t>
        </is>
      </c>
      <c r="K785" s="7" t="n">
        <v>2</v>
      </c>
      <c r="L785" s="8" t="n"/>
      <c r="M785" s="137" t="inlineStr">
        <is>
          <t>+</t>
        </is>
      </c>
      <c r="N785" s="8" t="n"/>
      <c r="O785" s="8" t="n"/>
      <c r="P785" s="8" t="n"/>
      <c r="Q785" s="8" t="n"/>
      <c r="R785" s="8" t="n"/>
      <c r="S785" s="8" t="n"/>
      <c r="T785" s="8" t="n"/>
      <c r="U785" s="8" t="n"/>
      <c r="V785" s="8" t="n"/>
      <c r="W785" s="8" t="n"/>
      <c r="X785" s="139" t="n"/>
      <c r="Y785" s="137" t="inlineStr">
        <is>
          <t>+</t>
        </is>
      </c>
    </row>
    <row r="786">
      <c r="A786" s="6" t="inlineStr">
        <is>
          <t>работник 560</t>
        </is>
      </c>
      <c r="B786" s="6" t="inlineStr">
        <is>
          <t>Электрослесарь (слесарь) дежурный и по ремонту оборудования подземного горного участка / Электрослесарь (слесарь) дежурный и по ремонту оборудования</t>
        </is>
      </c>
      <c r="C786" s="6" t="inlineStr">
        <is>
          <t>ОБЩЕСТВО С ОГРАНИЧЕННОЙ ОТВЕТСТВЕННОСТЬЮ "АМУР ЗОЛОТО"</t>
        </is>
      </c>
      <c r="D786" s="7" t="inlineStr">
        <is>
          <t>2708001686</t>
        </is>
      </c>
      <c r="E786" s="6" t="inlineStr">
        <is>
          <t>ООО "Амур Золото"</t>
        </is>
      </c>
      <c r="F786" s="7" t="inlineStr">
        <is>
          <t>2708001686</t>
        </is>
      </c>
      <c r="G786" s="7" t="inlineStr">
        <is>
          <t>Успешно</t>
        </is>
      </c>
      <c r="H786" s="6" t="n"/>
      <c r="I786" s="6" t="n"/>
      <c r="J786" s="6" t="inlineStr">
        <is>
          <t>Пользовательский интерфейс</t>
        </is>
      </c>
      <c r="K786" s="7" t="n">
        <v>7</v>
      </c>
      <c r="L786" s="8" t="n"/>
      <c r="M786" s="137" t="inlineStr">
        <is>
          <t>+</t>
        </is>
      </c>
      <c r="N786" s="8" t="n"/>
      <c r="O786" s="8" t="n"/>
      <c r="P786" s="8" t="n"/>
      <c r="Q786" s="8" t="n"/>
      <c r="R786" s="8" t="n"/>
      <c r="S786" s="8" t="n"/>
      <c r="T786" s="8" t="n"/>
      <c r="U786" s="8" t="n"/>
      <c r="V786" s="8" t="n"/>
      <c r="W786" s="8" t="n"/>
      <c r="X786" s="137" t="inlineStr">
        <is>
          <t>+</t>
        </is>
      </c>
      <c r="Y786" s="137" t="inlineStr">
        <is>
          <t>+</t>
        </is>
      </c>
    </row>
    <row r="787">
      <c r="A787" s="6" t="inlineStr">
        <is>
          <t>работник 385</t>
        </is>
      </c>
      <c r="B787" s="6" t="inlineStr">
        <is>
          <t>Геолог</t>
        </is>
      </c>
      <c r="C787" s="6" t="inlineStr">
        <is>
          <t>ОБЩЕСТВО С ОГРАНИЧЕННОЙ ОТВЕТСТВЕННОСТЬЮ "АМУР ЗОЛОТО"</t>
        </is>
      </c>
      <c r="D787" s="7" t="inlineStr">
        <is>
          <t>2708001686</t>
        </is>
      </c>
      <c r="E787" s="6" t="inlineStr">
        <is>
          <t>ООО "Амур Золото"</t>
        </is>
      </c>
      <c r="F787" s="7" t="inlineStr">
        <is>
          <t>2708001686</t>
        </is>
      </c>
      <c r="G787" s="7" t="inlineStr">
        <is>
          <t>Успешно</t>
        </is>
      </c>
      <c r="H787" s="6" t="n"/>
      <c r="I787" s="6" t="n"/>
      <c r="J787" s="6" t="inlineStr">
        <is>
          <t>Пользовательский интерфейс</t>
        </is>
      </c>
      <c r="K787" s="7" t="n">
        <v>2</v>
      </c>
      <c r="L787" s="8" t="n"/>
      <c r="M787" s="139" t="n"/>
      <c r="N787" s="8" t="n"/>
      <c r="O787" s="8" t="n"/>
      <c r="P787" s="8" t="n"/>
      <c r="Q787" s="8" t="n"/>
      <c r="R787" s="8" t="n"/>
      <c r="S787" s="8" t="n"/>
      <c r="T787" s="8" t="n"/>
      <c r="U787" s="8" t="n"/>
      <c r="V787" s="8" t="n"/>
      <c r="W787" s="8" t="n"/>
      <c r="X787" s="140" t="inlineStr">
        <is>
          <t>+</t>
        </is>
      </c>
      <c r="Y787" s="137" t="inlineStr">
        <is>
          <t>+</t>
        </is>
      </c>
    </row>
    <row r="788">
      <c r="A788" s="6" t="inlineStr">
        <is>
          <t>работник 438</t>
        </is>
      </c>
      <c r="B788" s="6" t="inlineStr">
        <is>
          <t>Аппаратчик сгустителей / Аппаратчик-гидрометаллург</t>
        </is>
      </c>
      <c r="C788" s="6" t="inlineStr">
        <is>
          <t>ОБЩЕСТВО С ОГРАНИЧЕННОЙ ОТВЕТСТВЕННОСТЬЮ "АМУР ЗОЛОТО"</t>
        </is>
      </c>
      <c r="D788" s="7" t="inlineStr">
        <is>
          <t>2708001686</t>
        </is>
      </c>
      <c r="E788" s="6" t="inlineStr">
        <is>
          <t>ООО "Амур Золото"</t>
        </is>
      </c>
      <c r="F788" s="7" t="inlineStr">
        <is>
          <t>2708001686</t>
        </is>
      </c>
      <c r="G788" s="7" t="inlineStr">
        <is>
          <t>Успешно</t>
        </is>
      </c>
      <c r="H788" s="6" t="n"/>
      <c r="I788" s="6" t="n"/>
      <c r="J788" s="6" t="inlineStr">
        <is>
          <t>Пользовательский интерфейс</t>
        </is>
      </c>
      <c r="K788" s="7" t="n">
        <v>7</v>
      </c>
      <c r="L788" s="8" t="n"/>
      <c r="M788" s="137" t="inlineStr">
        <is>
          <t>+</t>
        </is>
      </c>
      <c r="N788" s="8" t="n"/>
      <c r="O788" s="8" t="n"/>
      <c r="P788" s="8" t="n"/>
      <c r="Q788" s="8" t="n"/>
      <c r="R788" s="8" t="n"/>
      <c r="S788" s="8" t="n"/>
      <c r="T788" s="8" t="n"/>
      <c r="U788" s="8" t="n"/>
      <c r="V788" s="8" t="n"/>
      <c r="W788" s="8" t="n"/>
      <c r="X788" s="137" t="inlineStr">
        <is>
          <t>+</t>
        </is>
      </c>
      <c r="Y788" s="137" t="inlineStr">
        <is>
          <t>+</t>
        </is>
      </c>
    </row>
    <row r="789">
      <c r="A789" s="6" t="inlineStr">
        <is>
          <t>работник 253</t>
        </is>
      </c>
      <c r="B789" s="6" t="inlineStr">
        <is>
          <t>Аппаратчик-гидрометаллург</t>
        </is>
      </c>
      <c r="C789" s="6" t="inlineStr">
        <is>
          <t>ОБЩЕСТВО С ОГРАНИЧЕННОЙ ОТВЕТСТВЕННОСТЬЮ "АМУР ЗОЛОТО"</t>
        </is>
      </c>
      <c r="D789" s="7" t="inlineStr">
        <is>
          <t>2708001686</t>
        </is>
      </c>
      <c r="E789" s="6" t="inlineStr">
        <is>
          <t>ООО "Амур Золото"</t>
        </is>
      </c>
      <c r="F789" s="7" t="inlineStr">
        <is>
          <t>2708001686</t>
        </is>
      </c>
      <c r="G789" s="7" t="inlineStr">
        <is>
          <t>Успешно</t>
        </is>
      </c>
      <c r="H789" s="6" t="n"/>
      <c r="I789" s="6" t="n"/>
      <c r="J789" s="6" t="inlineStr">
        <is>
          <t>Пользовательский интерфейс</t>
        </is>
      </c>
      <c r="K789" s="7" t="n">
        <v>3</v>
      </c>
      <c r="L789" s="8" t="n"/>
      <c r="M789" s="137" t="inlineStr">
        <is>
          <t>+</t>
        </is>
      </c>
      <c r="N789" s="8" t="n"/>
      <c r="O789" s="8" t="n"/>
      <c r="P789" s="8" t="n"/>
      <c r="Q789" s="8" t="n"/>
      <c r="R789" s="8" t="n"/>
      <c r="S789" s="8" t="n"/>
      <c r="T789" s="8" t="n"/>
      <c r="U789" s="8" t="n"/>
      <c r="V789" s="8" t="n"/>
      <c r="W789" s="8" t="n"/>
      <c r="X789" s="137" t="inlineStr">
        <is>
          <t>+</t>
        </is>
      </c>
      <c r="Y789" s="137" t="inlineStr">
        <is>
          <t>+</t>
        </is>
      </c>
    </row>
    <row r="790">
      <c r="A790" s="6" t="inlineStr">
        <is>
          <t>работник 565</t>
        </is>
      </c>
      <c r="B790" s="6" t="inlineStr">
        <is>
          <t>Аппаратчик-гидрометаллург</t>
        </is>
      </c>
      <c r="C790" s="6" t="inlineStr">
        <is>
          <t>ОБЩЕСТВО С ОГРАНИЧЕННОЙ ОТВЕТСТВЕННОСТЬЮ "АМУР ЗОЛОТО"</t>
        </is>
      </c>
      <c r="D790" s="7" t="inlineStr">
        <is>
          <t>2708001686</t>
        </is>
      </c>
      <c r="E790" s="6" t="inlineStr">
        <is>
          <t>ООО "Амур Золото"</t>
        </is>
      </c>
      <c r="F790" s="7" t="inlineStr">
        <is>
          <t>2708001686</t>
        </is>
      </c>
      <c r="G790" s="7" t="inlineStr">
        <is>
          <t>Успешно</t>
        </is>
      </c>
      <c r="H790" s="6" t="n"/>
      <c r="I790" s="6" t="n"/>
      <c r="J790" s="6" t="n"/>
      <c r="K790" s="7" t="n">
        <v>2</v>
      </c>
      <c r="L790" s="8" t="n"/>
      <c r="M790" s="137" t="inlineStr">
        <is>
          <t>+</t>
        </is>
      </c>
      <c r="N790" s="8" t="n"/>
      <c r="O790" s="8" t="n"/>
      <c r="P790" s="8" t="n"/>
      <c r="Q790" s="8" t="n"/>
      <c r="R790" s="8" t="n"/>
      <c r="S790" s="8" t="n"/>
      <c r="T790" s="8" t="n"/>
      <c r="U790" s="8" t="n"/>
      <c r="V790" s="8" t="n"/>
      <c r="W790" s="8" t="n"/>
      <c r="X790" s="139" t="n"/>
      <c r="Y790" s="137" t="inlineStr">
        <is>
          <t>+</t>
        </is>
      </c>
    </row>
    <row r="791">
      <c r="A791" s="6" t="inlineStr">
        <is>
          <t>работник 468</t>
        </is>
      </c>
      <c r="B791" s="6" t="inlineStr">
        <is>
          <t>Слесарь по ремонту автомобилей. ДВС</t>
        </is>
      </c>
      <c r="C791" s="6" t="inlineStr">
        <is>
          <t>ОБЩЕСТВО С ОГРАНИЧЕННОЙ ОТВЕТСТВЕННОСТЬЮ "АМУР ЗОЛОТО"</t>
        </is>
      </c>
      <c r="D791" s="7" t="inlineStr">
        <is>
          <t>2708001686</t>
        </is>
      </c>
      <c r="E791" s="6" t="inlineStr">
        <is>
          <t>ООО "Амур Золото"</t>
        </is>
      </c>
      <c r="F791" s="7" t="inlineStr">
        <is>
          <t>2708001686</t>
        </is>
      </c>
      <c r="G791" s="7" t="inlineStr">
        <is>
          <t>Успешно</t>
        </is>
      </c>
      <c r="H791" s="6" t="n"/>
      <c r="I791" s="6" t="n"/>
      <c r="J791" s="6" t="inlineStr">
        <is>
          <t>Пользовательский интерфейс</t>
        </is>
      </c>
      <c r="K791" s="7" t="n">
        <v>2</v>
      </c>
      <c r="L791" s="8" t="n"/>
      <c r="M791" s="137" t="inlineStr">
        <is>
          <t>+</t>
        </is>
      </c>
      <c r="N791" s="8" t="n"/>
      <c r="O791" s="8" t="n"/>
      <c r="P791" s="8" t="n"/>
      <c r="Q791" s="8" t="n"/>
      <c r="R791" s="8" t="n"/>
      <c r="S791" s="8" t="n"/>
      <c r="T791" s="8" t="n"/>
      <c r="U791" s="8" t="n"/>
      <c r="V791" s="8" t="n"/>
      <c r="W791" s="8" t="n"/>
      <c r="X791" s="139" t="n"/>
      <c r="Y791" s="137" t="inlineStr">
        <is>
          <t>+</t>
        </is>
      </c>
    </row>
    <row r="792">
      <c r="A792" s="6" t="inlineStr">
        <is>
          <t>работник 211</t>
        </is>
      </c>
      <c r="B792" s="6" t="inlineStr">
        <is>
          <t>Машинист автогрейдера</t>
        </is>
      </c>
      <c r="C792" s="6" t="inlineStr">
        <is>
          <t>ОБЩЕСТВО С ОГРАНИЧЕННОЙ ОТВЕТСТВЕННОСТЬЮ "АМУР ЗОЛОТО"</t>
        </is>
      </c>
      <c r="D792" s="7" t="inlineStr">
        <is>
          <t>2708001686</t>
        </is>
      </c>
      <c r="E792" s="6" t="inlineStr">
        <is>
          <t>ООО "Амур Золото"</t>
        </is>
      </c>
      <c r="F792" s="7" t="inlineStr">
        <is>
          <t>2708001686</t>
        </is>
      </c>
      <c r="G792" s="7" t="inlineStr">
        <is>
          <t>Успешно</t>
        </is>
      </c>
      <c r="H792" s="6" t="n"/>
      <c r="I792" s="6" t="n"/>
      <c r="J792" s="6" t="inlineStr">
        <is>
          <t>Пользовательский интерфейс</t>
        </is>
      </c>
      <c r="K792" s="7" t="n">
        <v>3</v>
      </c>
      <c r="L792" s="8" t="n"/>
      <c r="M792" s="137" t="inlineStr">
        <is>
          <t>+</t>
        </is>
      </c>
      <c r="N792" s="8" t="n"/>
      <c r="O792" s="8" t="n"/>
      <c r="P792" s="8" t="n"/>
      <c r="Q792" s="8" t="n"/>
      <c r="R792" s="8" t="n"/>
      <c r="S792" s="8" t="n"/>
      <c r="T792" s="8" t="n"/>
      <c r="U792" s="8" t="n"/>
      <c r="V792" s="8" t="n"/>
      <c r="W792" s="8" t="n"/>
      <c r="X792" s="137" t="inlineStr">
        <is>
          <t>+</t>
        </is>
      </c>
      <c r="Y792" s="137" t="inlineStr">
        <is>
          <t>+</t>
        </is>
      </c>
    </row>
    <row r="793">
      <c r="A793" s="6" t="inlineStr">
        <is>
          <t>работник 546</t>
        </is>
      </c>
      <c r="B793" s="6" t="inlineStr">
        <is>
          <t>Машинист погрузочно-доставочной машины</t>
        </is>
      </c>
      <c r="C793" s="6" t="inlineStr">
        <is>
          <t>ОБЩЕСТВО С ОГРАНИЧЕННОЙ ОТВЕТСТВЕННОСТЬЮ "АМУР ЗОЛОТО"</t>
        </is>
      </c>
      <c r="D793" s="7" t="inlineStr">
        <is>
          <t>2708001686</t>
        </is>
      </c>
      <c r="E793" s="6" t="inlineStr">
        <is>
          <t>ООО "Амур Золото"</t>
        </is>
      </c>
      <c r="F793" s="7" t="inlineStr">
        <is>
          <t>2708001686</t>
        </is>
      </c>
      <c r="G793" s="7" t="inlineStr">
        <is>
          <t>Успешно</t>
        </is>
      </c>
      <c r="H793" s="6" t="n"/>
      <c r="I793" s="6" t="n"/>
      <c r="J793" s="6" t="inlineStr">
        <is>
          <t>Пользовательский интерфейс</t>
        </is>
      </c>
      <c r="K793" s="7" t="n">
        <v>7</v>
      </c>
      <c r="L793" s="8" t="n"/>
      <c r="M793" s="137" t="inlineStr">
        <is>
          <t>+</t>
        </is>
      </c>
      <c r="N793" s="8" t="n"/>
      <c r="O793" s="8" t="n"/>
      <c r="P793" s="8" t="n"/>
      <c r="Q793" s="8" t="n"/>
      <c r="R793" s="8" t="n"/>
      <c r="S793" s="8" t="n"/>
      <c r="T793" s="8" t="n"/>
      <c r="U793" s="8" t="n"/>
      <c r="V793" s="8" t="n"/>
      <c r="W793" s="8" t="n"/>
      <c r="X793" s="137" t="inlineStr">
        <is>
          <t>+</t>
        </is>
      </c>
      <c r="Y793" s="137" t="inlineStr">
        <is>
          <t>+</t>
        </is>
      </c>
    </row>
    <row r="794">
      <c r="A794" s="6" t="inlineStr">
        <is>
          <t>работник 13</t>
        </is>
      </c>
      <c r="B794" s="6" t="inlineStr">
        <is>
          <t>Старший геолог</t>
        </is>
      </c>
      <c r="C794" s="6" t="inlineStr">
        <is>
          <t>ООО "Амур золото". Подразделение: горно-обогатительный комплекс "Юбилейный"</t>
        </is>
      </c>
      <c r="D794" s="7" t="inlineStr">
        <is>
          <t>2708001686</t>
        </is>
      </c>
      <c r="E794" s="6" t="inlineStr">
        <is>
          <t>Автономная некоммерческая организация дополнительного профессионального образования и сертификации "Перспектива"</t>
        </is>
      </c>
      <c r="F794" s="7" t="inlineStr">
        <is>
          <t>2722126782</t>
        </is>
      </c>
      <c r="G794" s="7" t="inlineStr">
        <is>
          <t>Успешно</t>
        </is>
      </c>
      <c r="H794" s="6" t="n"/>
      <c r="I794" s="6" t="n"/>
      <c r="J794" s="6" t="inlineStr">
        <is>
          <t>Пользовательский интерфейс</t>
        </is>
      </c>
      <c r="K794" s="7" t="n">
        <v>4</v>
      </c>
      <c r="L794" s="138" t="inlineStr">
        <is>
          <t>+</t>
        </is>
      </c>
      <c r="M794" s="137" t="inlineStr">
        <is>
          <t>+</t>
        </is>
      </c>
      <c r="N794" s="8" t="n"/>
      <c r="O794" s="8" t="n"/>
      <c r="P794" s="8" t="n"/>
      <c r="Q794" s="8" t="n"/>
      <c r="R794" s="8" t="n"/>
      <c r="S794" s="8" t="n"/>
      <c r="T794" s="8" t="n"/>
      <c r="U794" s="8" t="n"/>
      <c r="V794" s="8" t="n"/>
      <c r="W794" s="8" t="n"/>
      <c r="X794" s="140" t="inlineStr">
        <is>
          <t>+</t>
        </is>
      </c>
      <c r="Y794" s="137" t="inlineStr">
        <is>
          <t>+</t>
        </is>
      </c>
    </row>
    <row r="795">
      <c r="A795" s="6" t="inlineStr">
        <is>
          <t>работник 63</t>
        </is>
      </c>
      <c r="B795" s="6" t="inlineStr">
        <is>
          <t>Горнорабочий / Горнорабочий на геологических работах</t>
        </is>
      </c>
      <c r="C795" s="6" t="inlineStr">
        <is>
          <t>ОБЩЕСТВО С ОГРАНИЧЕННОЙ ОТВЕТСТВЕННОСТЬЮ "АМУР ЗОЛОТО"</t>
        </is>
      </c>
      <c r="D795" s="7" t="inlineStr">
        <is>
          <t>2708001686</t>
        </is>
      </c>
      <c r="E795" s="6" t="inlineStr">
        <is>
          <t>ООО "Амур Золото"</t>
        </is>
      </c>
      <c r="F795" s="7" t="inlineStr">
        <is>
          <t>2708001686</t>
        </is>
      </c>
      <c r="G795" s="7" t="inlineStr">
        <is>
          <t>Успешно</t>
        </is>
      </c>
      <c r="H795" s="6" t="n"/>
      <c r="I795" s="6" t="n"/>
      <c r="J795" s="6" t="inlineStr">
        <is>
          <t>Пользовательский интерфейс</t>
        </is>
      </c>
      <c r="K795" s="7" t="n">
        <v>5</v>
      </c>
      <c r="L795" s="8" t="n"/>
      <c r="M795" s="137" t="inlineStr">
        <is>
          <t>+</t>
        </is>
      </c>
      <c r="N795" s="8" t="n"/>
      <c r="O795" s="8" t="n"/>
      <c r="P795" s="8" t="n"/>
      <c r="Q795" s="8" t="n"/>
      <c r="R795" s="8" t="n"/>
      <c r="S795" s="8" t="n"/>
      <c r="T795" s="8" t="n"/>
      <c r="U795" s="8" t="n"/>
      <c r="V795" s="8" t="n"/>
      <c r="W795" s="8" t="n"/>
      <c r="X795" s="137" t="inlineStr">
        <is>
          <t>+</t>
        </is>
      </c>
      <c r="Y795" s="137" t="inlineStr">
        <is>
          <t>+</t>
        </is>
      </c>
    </row>
    <row r="796">
      <c r="A796" s="6" t="inlineStr">
        <is>
          <t>работник 571</t>
        </is>
      </c>
      <c r="B796" s="6" t="inlineStr">
        <is>
          <t>Слесарь-ремонтник (по ремонту горно-шахтного оборудования)</t>
        </is>
      </c>
      <c r="C796" s="6" t="inlineStr">
        <is>
          <t>ОБЩЕСТВО С ОГРАНИЧЕННОЙ ОТВЕТСТВЕННОСТЬЮ "АМУР ЗОЛОТО"</t>
        </is>
      </c>
      <c r="D796" s="7" t="inlineStr">
        <is>
          <t>2708001686</t>
        </is>
      </c>
      <c r="E796" s="6" t="inlineStr">
        <is>
          <t>ООО "Амур Золото"</t>
        </is>
      </c>
      <c r="F796" s="7" t="inlineStr">
        <is>
          <t>2708001686</t>
        </is>
      </c>
      <c r="G796" s="7" t="inlineStr">
        <is>
          <t>Успешно</t>
        </is>
      </c>
      <c r="H796" s="6" t="n"/>
      <c r="I796" s="6" t="n"/>
      <c r="J796" s="6" t="inlineStr">
        <is>
          <t>Пользовательский интерфейс</t>
        </is>
      </c>
      <c r="K796" s="7" t="n">
        <v>5</v>
      </c>
      <c r="L796" s="8" t="n"/>
      <c r="M796" s="137" t="inlineStr">
        <is>
          <t>+</t>
        </is>
      </c>
      <c r="N796" s="8" t="n"/>
      <c r="O796" s="8" t="n"/>
      <c r="P796" s="8" t="n"/>
      <c r="Q796" s="8" t="n"/>
      <c r="R796" s="8" t="n"/>
      <c r="S796" s="8" t="n"/>
      <c r="T796" s="8" t="n"/>
      <c r="U796" s="8" t="n"/>
      <c r="V796" s="8" t="n"/>
      <c r="W796" s="8" t="n"/>
      <c r="X796" s="137" t="inlineStr">
        <is>
          <t>+</t>
        </is>
      </c>
      <c r="Y796" s="137" t="inlineStr">
        <is>
          <t>+</t>
        </is>
      </c>
    </row>
    <row r="797">
      <c r="A797" s="6" t="inlineStr">
        <is>
          <t>работник 376</t>
        </is>
      </c>
      <c r="B797" s="6" t="inlineStr">
        <is>
          <t>Кладовщик</t>
        </is>
      </c>
      <c r="C797" s="6" t="inlineStr">
        <is>
          <t>ОБЩЕСТВО С ОГРАНИЧЕННОЙ ОТВЕТСТВЕННОСТЬЮ "АМУР ЗОЛОТО"</t>
        </is>
      </c>
      <c r="D797" s="7" t="inlineStr">
        <is>
          <t>2708001686</t>
        </is>
      </c>
      <c r="E797" s="6" t="inlineStr">
        <is>
          <t>ООО "Амур Золото"</t>
        </is>
      </c>
      <c r="F797" s="7" t="inlineStr">
        <is>
          <t>2708001686</t>
        </is>
      </c>
      <c r="G797" s="7" t="inlineStr">
        <is>
          <t>Успешно</t>
        </is>
      </c>
      <c r="H797" s="6" t="n"/>
      <c r="I797" s="6" t="n"/>
      <c r="J797" s="6" t="inlineStr">
        <is>
          <t>Пользовательский интерфейс</t>
        </is>
      </c>
      <c r="K797" s="7" t="n">
        <v>3</v>
      </c>
      <c r="L797" s="8" t="n"/>
      <c r="M797" s="137" t="inlineStr">
        <is>
          <t>+</t>
        </is>
      </c>
      <c r="N797" s="8" t="n"/>
      <c r="O797" s="8" t="n"/>
      <c r="P797" s="8" t="n"/>
      <c r="Q797" s="8" t="n"/>
      <c r="R797" s="8" t="n"/>
      <c r="S797" s="8" t="n"/>
      <c r="T797" s="8" t="n"/>
      <c r="U797" s="8" t="n"/>
      <c r="V797" s="8" t="n"/>
      <c r="W797" s="8" t="n"/>
      <c r="X797" s="137" t="inlineStr">
        <is>
          <t>+</t>
        </is>
      </c>
      <c r="Y797" s="137" t="inlineStr">
        <is>
          <t>+</t>
        </is>
      </c>
    </row>
    <row r="798">
      <c r="A798" s="6" t="inlineStr">
        <is>
          <t>работник 540</t>
        </is>
      </c>
      <c r="B798" s="6" t="inlineStr">
        <is>
          <t>Бункеровщик</t>
        </is>
      </c>
      <c r="C798" s="6" t="inlineStr">
        <is>
          <t>ОБЩЕСТВО С ОГРАНИЧЕННОЙ ОТВЕТСТВЕННОСТЬЮ "АМУР ЗОЛОТО"</t>
        </is>
      </c>
      <c r="D798" s="7" t="inlineStr">
        <is>
          <t>2708001686</t>
        </is>
      </c>
      <c r="E798" s="6" t="inlineStr">
        <is>
          <t>ООО "Амур Золото"</t>
        </is>
      </c>
      <c r="F798" s="7" t="inlineStr">
        <is>
          <t>2708001686</t>
        </is>
      </c>
      <c r="G798" s="7" t="inlineStr">
        <is>
          <t>Успешно</t>
        </is>
      </c>
      <c r="H798" s="6" t="n"/>
      <c r="I798" s="6" t="n"/>
      <c r="J798" s="6" t="inlineStr">
        <is>
          <t>Пользовательский интерфейс</t>
        </is>
      </c>
      <c r="K798" s="7" t="n">
        <v>5</v>
      </c>
      <c r="L798" s="8" t="n"/>
      <c r="M798" s="137" t="inlineStr">
        <is>
          <t>+</t>
        </is>
      </c>
      <c r="N798" s="8" t="n"/>
      <c r="O798" s="8" t="n"/>
      <c r="P798" s="8" t="n"/>
      <c r="Q798" s="8" t="n"/>
      <c r="R798" s="8" t="n"/>
      <c r="S798" s="8" t="n"/>
      <c r="T798" s="8" t="n"/>
      <c r="U798" s="8" t="n"/>
      <c r="V798" s="8" t="n"/>
      <c r="W798" s="8" t="n"/>
      <c r="X798" s="137" t="inlineStr">
        <is>
          <t>+</t>
        </is>
      </c>
      <c r="Y798" s="137" t="inlineStr">
        <is>
          <t>+</t>
        </is>
      </c>
    </row>
    <row r="799">
      <c r="A799" s="6" t="inlineStr">
        <is>
          <t>работник 186</t>
        </is>
      </c>
      <c r="B799" s="6" t="inlineStr">
        <is>
          <t>Водитель погрузчика</t>
        </is>
      </c>
      <c r="C799" s="6" t="inlineStr">
        <is>
          <t>ОБЩЕСТВО С ОГРАНИЧЕННОЙ ОТВЕТСТВЕННОСТЬЮ "АМУР ЗОЛОТО"</t>
        </is>
      </c>
      <c r="D799" s="7" t="inlineStr">
        <is>
          <t>2708001686</t>
        </is>
      </c>
      <c r="E799" s="6" t="inlineStr">
        <is>
          <t>ООО "Амур Золото"</t>
        </is>
      </c>
      <c r="F799" s="7" t="inlineStr">
        <is>
          <t>2708001686</t>
        </is>
      </c>
      <c r="G799" s="7" t="inlineStr">
        <is>
          <t>Успешно</t>
        </is>
      </c>
      <c r="H799" s="6" t="n"/>
      <c r="I799" s="6" t="n"/>
      <c r="J799" s="6" t="inlineStr">
        <is>
          <t>Пользовательский интерфейс</t>
        </is>
      </c>
      <c r="K799" s="7" t="n">
        <v>3</v>
      </c>
      <c r="L799" s="8" t="n"/>
      <c r="M799" s="137" t="inlineStr">
        <is>
          <t>+</t>
        </is>
      </c>
      <c r="N799" s="8" t="n"/>
      <c r="O799" s="8" t="n"/>
      <c r="P799" s="8" t="n"/>
      <c r="Q799" s="8" t="n"/>
      <c r="R799" s="8" t="n"/>
      <c r="S799" s="8" t="n"/>
      <c r="T799" s="8" t="n"/>
      <c r="U799" s="8" t="n"/>
      <c r="V799" s="8" t="n"/>
      <c r="W799" s="8" t="n"/>
      <c r="X799" s="137" t="inlineStr">
        <is>
          <t>+</t>
        </is>
      </c>
      <c r="Y799" s="137" t="inlineStr">
        <is>
          <t>+</t>
        </is>
      </c>
    </row>
    <row r="800">
      <c r="A800" s="6" t="inlineStr">
        <is>
          <t>работник 931</t>
        </is>
      </c>
      <c r="B800" s="6" t="inlineStr">
        <is>
          <t>Подсобный рабочий</t>
        </is>
      </c>
      <c r="C800" s="6" t="inlineStr">
        <is>
          <t>ОБЩЕСТВО С ОГРАНИЧЕННОЙ ОТВЕТСТВЕННОСТЬЮ "АМУР ЗОЛОТО"</t>
        </is>
      </c>
      <c r="D800" s="7" t="inlineStr">
        <is>
          <t>2708001686</t>
        </is>
      </c>
      <c r="E800" s="6" t="inlineStr">
        <is>
          <t>ООО "Амур Золото"</t>
        </is>
      </c>
      <c r="F800" s="7" t="inlineStr">
        <is>
          <t>2708001686</t>
        </is>
      </c>
      <c r="G800" s="7" t="inlineStr">
        <is>
          <t>Успешно</t>
        </is>
      </c>
      <c r="H800" s="6" t="n"/>
      <c r="I800" s="6" t="n"/>
      <c r="J800" s="6" t="inlineStr">
        <is>
          <t>Пользовательский интерфейс</t>
        </is>
      </c>
      <c r="K800" s="7" t="n">
        <v>3</v>
      </c>
      <c r="L800" s="8" t="n"/>
      <c r="M800" s="137" t="inlineStr">
        <is>
          <t>+</t>
        </is>
      </c>
      <c r="N800" s="8" t="n"/>
      <c r="O800" s="8" t="n"/>
      <c r="P800" s="8" t="n"/>
      <c r="Q800" s="8" t="n"/>
      <c r="R800" s="8" t="n"/>
      <c r="S800" s="8" t="n"/>
      <c r="T800" s="8" t="n"/>
      <c r="U800" s="8" t="n"/>
      <c r="V800" s="8" t="n"/>
      <c r="W800" s="8" t="n"/>
      <c r="X800" s="137" t="inlineStr">
        <is>
          <t>+</t>
        </is>
      </c>
      <c r="Y800" s="137" t="inlineStr">
        <is>
          <t>+</t>
        </is>
      </c>
    </row>
    <row r="801">
      <c r="A801" s="6" t="inlineStr">
        <is>
          <t>работник 97</t>
        </is>
      </c>
      <c r="B801" s="6" t="inlineStr">
        <is>
          <t>Кухонный рабочий</t>
        </is>
      </c>
      <c r="C801" s="6" t="inlineStr">
        <is>
          <t>ОБЩЕСТВО С ОГРАНИЧЕННОЙ ОТВЕТСТВЕННОСТЬЮ "АМУР ЗОЛОТО"</t>
        </is>
      </c>
      <c r="D801" s="7" t="inlineStr">
        <is>
          <t>2708001686</t>
        </is>
      </c>
      <c r="E801" s="6" t="inlineStr">
        <is>
          <t>ООО "Амур Золото"</t>
        </is>
      </c>
      <c r="F801" s="7" t="inlineStr">
        <is>
          <t>2708001686</t>
        </is>
      </c>
      <c r="G801" s="7" t="inlineStr">
        <is>
          <t>Успешно</t>
        </is>
      </c>
      <c r="H801" s="6" t="n"/>
      <c r="I801" s="6" t="n"/>
      <c r="J801" s="6" t="inlineStr">
        <is>
          <t>Пользовательский интерфейс</t>
        </is>
      </c>
      <c r="K801" s="7" t="n">
        <v>3</v>
      </c>
      <c r="L801" s="8" t="n"/>
      <c r="M801" s="137" t="inlineStr">
        <is>
          <t>+</t>
        </is>
      </c>
      <c r="N801" s="8" t="n"/>
      <c r="O801" s="8" t="n"/>
      <c r="P801" s="8" t="n"/>
      <c r="Q801" s="8" t="n"/>
      <c r="R801" s="8" t="n"/>
      <c r="S801" s="8" t="n"/>
      <c r="T801" s="8" t="n"/>
      <c r="U801" s="8" t="n"/>
      <c r="V801" s="8" t="n"/>
      <c r="W801" s="8" t="n"/>
      <c r="X801" s="137" t="inlineStr">
        <is>
          <t>+</t>
        </is>
      </c>
      <c r="Y801" s="138" t="inlineStr">
        <is>
          <t>+</t>
        </is>
      </c>
    </row>
    <row r="802">
      <c r="A802" s="6" t="inlineStr">
        <is>
          <t>работник 494</t>
        </is>
      </c>
      <c r="B802" s="6" t="inlineStr">
        <is>
          <t>Машинист самоходной буровой установки / Машинист  самоходной буровой установки (Проходка)</t>
        </is>
      </c>
      <c r="C802" s="6" t="inlineStr">
        <is>
          <t>ОБЩЕСТВО С ОГРАНИЧЕННОЙ ОТВЕТСТВЕННОСТЬЮ "АМУР ЗОЛОТО"</t>
        </is>
      </c>
      <c r="D802" s="7" t="inlineStr">
        <is>
          <t>2708001686</t>
        </is>
      </c>
      <c r="E802" s="6" t="inlineStr">
        <is>
          <t>ООО "Амур Золото"</t>
        </is>
      </c>
      <c r="F802" s="7" t="inlineStr">
        <is>
          <t>2708001686</t>
        </is>
      </c>
      <c r="G802" s="7" t="inlineStr">
        <is>
          <t>Успешно</t>
        </is>
      </c>
      <c r="H802" s="6" t="n"/>
      <c r="I802" s="6" t="n"/>
      <c r="J802" s="6" t="inlineStr">
        <is>
          <t>Пользовательский интерфейс</t>
        </is>
      </c>
      <c r="K802" s="7" t="n">
        <v>5</v>
      </c>
      <c r="L802" s="8" t="n"/>
      <c r="M802" s="137" t="inlineStr">
        <is>
          <t>+</t>
        </is>
      </c>
      <c r="N802" s="8" t="n"/>
      <c r="O802" s="8" t="n"/>
      <c r="P802" s="8" t="n"/>
      <c r="Q802" s="8" t="n"/>
      <c r="R802" s="8" t="n"/>
      <c r="S802" s="8" t="n"/>
      <c r="T802" s="8" t="n"/>
      <c r="U802" s="8" t="n"/>
      <c r="V802" s="8" t="n"/>
      <c r="W802" s="8" t="n"/>
      <c r="X802" s="137" t="inlineStr">
        <is>
          <t>+</t>
        </is>
      </c>
      <c r="Y802" s="137" t="inlineStr">
        <is>
          <t>+</t>
        </is>
      </c>
    </row>
    <row r="803">
      <c r="A803" s="6" t="inlineStr">
        <is>
          <t>работник 875</t>
        </is>
      </c>
      <c r="B803" s="6" t="inlineStr">
        <is>
          <t>Кухонный рабочий</t>
        </is>
      </c>
      <c r="C803" s="6" t="inlineStr">
        <is>
          <t>ОБЩЕСТВО С ОГРАНИЧЕННОЙ ОТВЕТСТВЕННОСТЬЮ "АМУР ЗОЛОТО"</t>
        </is>
      </c>
      <c r="D803" s="7" t="inlineStr">
        <is>
          <t>2708001686</t>
        </is>
      </c>
      <c r="E803" s="6" t="inlineStr">
        <is>
          <t>ООО "Амур Золото"</t>
        </is>
      </c>
      <c r="F803" s="7" t="inlineStr">
        <is>
          <t>2708001686</t>
        </is>
      </c>
      <c r="G803" s="7" t="inlineStr">
        <is>
          <t>Успешно</t>
        </is>
      </c>
      <c r="H803" s="6" t="n"/>
      <c r="I803" s="6" t="n"/>
      <c r="J803" s="6" t="inlineStr">
        <is>
          <t>Пользовательский интерфейс</t>
        </is>
      </c>
      <c r="K803" s="7" t="n">
        <v>3</v>
      </c>
      <c r="L803" s="8" t="n"/>
      <c r="M803" s="137" t="inlineStr">
        <is>
          <t>+</t>
        </is>
      </c>
      <c r="N803" s="8" t="n"/>
      <c r="O803" s="8" t="n"/>
      <c r="P803" s="8" t="n"/>
      <c r="Q803" s="8" t="n"/>
      <c r="R803" s="8" t="n"/>
      <c r="S803" s="8" t="n"/>
      <c r="T803" s="8" t="n"/>
      <c r="U803" s="8" t="n"/>
      <c r="V803" s="8" t="n"/>
      <c r="W803" s="8" t="n"/>
      <c r="X803" s="137" t="inlineStr">
        <is>
          <t>+</t>
        </is>
      </c>
      <c r="Y803" s="138" t="inlineStr">
        <is>
          <t>+</t>
        </is>
      </c>
    </row>
    <row r="804">
      <c r="A804" s="6" t="inlineStr">
        <is>
          <t>работник 431</t>
        </is>
      </c>
      <c r="B804" s="6" t="inlineStr">
        <is>
          <t>Аппаратчик-гидрометаллург</t>
        </is>
      </c>
      <c r="C804" s="6" t="inlineStr">
        <is>
          <t>ОБЩЕСТВО С ОГРАНИЧЕННОЙ ОТВЕТСТВЕННОСТЬЮ "АМУР ЗОЛОТО"</t>
        </is>
      </c>
      <c r="D804" s="7" t="inlineStr">
        <is>
          <t>2708001686</t>
        </is>
      </c>
      <c r="E804" s="6" t="inlineStr">
        <is>
          <t>ООО "Амур Золото"</t>
        </is>
      </c>
      <c r="F804" s="7" t="inlineStr">
        <is>
          <t>2708001686</t>
        </is>
      </c>
      <c r="G804" s="7" t="inlineStr">
        <is>
          <t>Успешно</t>
        </is>
      </c>
      <c r="H804" s="6" t="n"/>
      <c r="I804" s="6" t="n"/>
      <c r="J804" s="6" t="inlineStr">
        <is>
          <t>Пользовательский интерфейс</t>
        </is>
      </c>
      <c r="K804" s="7" t="n">
        <v>3</v>
      </c>
      <c r="L804" s="8" t="n"/>
      <c r="M804" s="137" t="inlineStr">
        <is>
          <t>+</t>
        </is>
      </c>
      <c r="N804" s="8" t="n"/>
      <c r="O804" s="8" t="n"/>
      <c r="P804" s="8" t="n"/>
      <c r="Q804" s="8" t="n"/>
      <c r="R804" s="8" t="n"/>
      <c r="S804" s="8" t="n"/>
      <c r="T804" s="8" t="n"/>
      <c r="U804" s="8" t="n"/>
      <c r="V804" s="8" t="n"/>
      <c r="W804" s="8" t="n"/>
      <c r="X804" s="139" t="n"/>
      <c r="Y804" s="137" t="inlineStr">
        <is>
          <t>+</t>
        </is>
      </c>
    </row>
    <row r="805">
      <c r="A805" s="6" t="inlineStr">
        <is>
          <t>работник 548</t>
        </is>
      </c>
      <c r="B805" s="6" t="inlineStr">
        <is>
          <t>Помощник машиниста самоходной буровой установки (с исполнением обязанностей пробоотборщика) (Очистное)</t>
        </is>
      </c>
      <c r="C805" s="6" t="inlineStr">
        <is>
          <t>ОБЩЕСТВО С ОГРАНИЧЕННОЙ ОТВЕТСТВЕННОСТЬЮ "АМУР ЗОЛОТО"</t>
        </is>
      </c>
      <c r="D805" s="7" t="inlineStr">
        <is>
          <t>2708001686</t>
        </is>
      </c>
      <c r="E805" s="6" t="inlineStr">
        <is>
          <t>ООО "Амур Золото"</t>
        </is>
      </c>
      <c r="F805" s="7" t="inlineStr">
        <is>
          <t>2708001686</t>
        </is>
      </c>
      <c r="G805" s="7" t="inlineStr">
        <is>
          <t>Успешно</t>
        </is>
      </c>
      <c r="H805" s="6" t="n"/>
      <c r="I805" s="6" t="n"/>
      <c r="J805" s="6" t="n"/>
      <c r="K805" s="7" t="n">
        <v>2</v>
      </c>
      <c r="L805" s="8" t="n"/>
      <c r="M805" s="137" t="inlineStr">
        <is>
          <t>+</t>
        </is>
      </c>
      <c r="N805" s="8" t="n"/>
      <c r="O805" s="8" t="n"/>
      <c r="P805" s="8" t="n"/>
      <c r="Q805" s="8" t="n"/>
      <c r="R805" s="8" t="n"/>
      <c r="S805" s="8" t="n"/>
      <c r="T805" s="8" t="n"/>
      <c r="U805" s="8" t="n"/>
      <c r="V805" s="8" t="n"/>
      <c r="W805" s="8" t="n"/>
      <c r="X805" s="139" t="n"/>
      <c r="Y805" s="137" t="inlineStr">
        <is>
          <t>+</t>
        </is>
      </c>
    </row>
    <row r="806">
      <c r="A806" s="6" t="inlineStr">
        <is>
          <t>работник 595</t>
        </is>
      </c>
      <c r="B806" s="6" t="inlineStr">
        <is>
          <t>Машинист погрузочно-доставочной машины</t>
        </is>
      </c>
      <c r="C806" s="6" t="inlineStr">
        <is>
          <t>ОБЩЕСТВО С ОГРАНИЧЕННОЙ ОТВЕТСТВЕННОСТЬЮ "АМУР ЗОЛОТО"</t>
        </is>
      </c>
      <c r="D806" s="7" t="inlineStr">
        <is>
          <t>2708001686</t>
        </is>
      </c>
      <c r="E806" s="6" t="inlineStr">
        <is>
          <t>ООО "Амур Золото"</t>
        </is>
      </c>
      <c r="F806" s="7" t="inlineStr">
        <is>
          <t>2708001686</t>
        </is>
      </c>
      <c r="G806" s="7" t="inlineStr">
        <is>
          <t>Успешно</t>
        </is>
      </c>
      <c r="H806" s="6" t="n"/>
      <c r="I806" s="6" t="n"/>
      <c r="J806" s="6" t="inlineStr">
        <is>
          <t>Пользовательский интерфейс</t>
        </is>
      </c>
      <c r="K806" s="7" t="n">
        <v>2</v>
      </c>
      <c r="L806" s="8" t="n"/>
      <c r="M806" s="137" t="inlineStr">
        <is>
          <t>+</t>
        </is>
      </c>
      <c r="N806" s="8" t="n"/>
      <c r="O806" s="8" t="n"/>
      <c r="P806" s="8" t="n"/>
      <c r="Q806" s="8" t="n"/>
      <c r="R806" s="8" t="n"/>
      <c r="S806" s="8" t="n"/>
      <c r="T806" s="8" t="n"/>
      <c r="U806" s="8" t="n"/>
      <c r="V806" s="8" t="n"/>
      <c r="W806" s="8" t="n"/>
      <c r="X806" s="139" t="n"/>
      <c r="Y806" s="137" t="inlineStr">
        <is>
          <t>+</t>
        </is>
      </c>
    </row>
    <row r="807">
      <c r="A807" s="6" t="inlineStr">
        <is>
          <t>работник 881</t>
        </is>
      </c>
      <c r="B807" s="6" t="inlineStr">
        <is>
          <t>Помощник машиниста самоходной буровой установки (с исполнением обязанностей пробоотборщика)</t>
        </is>
      </c>
      <c r="C807" s="6" t="inlineStr">
        <is>
          <t>ОБЩЕСТВО С ОГРАНИЧЕННОЙ ОТВЕТСТВЕННОСТЬЮ "АМУР ЗОЛОТО"</t>
        </is>
      </c>
      <c r="D807" s="7" t="inlineStr">
        <is>
          <t>2708001686</t>
        </is>
      </c>
      <c r="E807" s="6" t="inlineStr">
        <is>
          <t>ООО "Амур Золото"</t>
        </is>
      </c>
      <c r="F807" s="7" t="inlineStr">
        <is>
          <t>2708001686</t>
        </is>
      </c>
      <c r="G807" s="7" t="inlineStr">
        <is>
          <t>Успешно</t>
        </is>
      </c>
      <c r="H807" s="6" t="n"/>
      <c r="I807" s="6" t="n"/>
      <c r="J807" s="6" t="inlineStr">
        <is>
          <t>Пользовательский интерфейс</t>
        </is>
      </c>
      <c r="K807" s="7" t="n">
        <v>3</v>
      </c>
      <c r="L807" s="8" t="n"/>
      <c r="M807" s="137" t="inlineStr">
        <is>
          <t>+</t>
        </is>
      </c>
      <c r="N807" s="8" t="n"/>
      <c r="O807" s="8" t="n"/>
      <c r="P807" s="8" t="n"/>
      <c r="Q807" s="8" t="n"/>
      <c r="R807" s="8" t="n"/>
      <c r="S807" s="8" t="n"/>
      <c r="T807" s="8" t="n"/>
      <c r="U807" s="8" t="n"/>
      <c r="V807" s="8" t="n"/>
      <c r="W807" s="8" t="n"/>
      <c r="X807" s="137" t="inlineStr">
        <is>
          <t>+</t>
        </is>
      </c>
      <c r="Y807" s="137" t="inlineStr">
        <is>
          <t>+</t>
        </is>
      </c>
    </row>
    <row r="808">
      <c r="A808" s="6" t="inlineStr">
        <is>
          <t>работник 425</t>
        </is>
      </c>
      <c r="B808" s="6" t="inlineStr">
        <is>
          <t>Слесарь-ремонтник / Аппаратчик-гидрометаллург / Аппаратчик сгустителей / Слесарь по ремонту обогатительного оборудования</t>
        </is>
      </c>
      <c r="C808" s="6" t="inlineStr">
        <is>
          <t>ОБЩЕСТВО С ОГРАНИЧЕННОЙ ОТВЕТСТВЕННОСТЬЮ "АМУР ЗОЛОТО"</t>
        </is>
      </c>
      <c r="D808" s="7" t="inlineStr">
        <is>
          <t>2708001686</t>
        </is>
      </c>
      <c r="E808" s="6" t="inlineStr">
        <is>
          <t>ООО "Амур Золото"</t>
        </is>
      </c>
      <c r="F808" s="7" t="inlineStr">
        <is>
          <t>2708001686</t>
        </is>
      </c>
      <c r="G808" s="7" t="inlineStr">
        <is>
          <t>Успешно</t>
        </is>
      </c>
      <c r="H808" s="6" t="n"/>
      <c r="I808" s="6" t="n"/>
      <c r="J808" s="6" t="inlineStr">
        <is>
          <t>Пользовательский интерфейс</t>
        </is>
      </c>
      <c r="K808" s="7" t="n">
        <v>15</v>
      </c>
      <c r="L808" s="8" t="n"/>
      <c r="M808" s="137" t="inlineStr">
        <is>
          <t>+</t>
        </is>
      </c>
      <c r="N808" s="137" t="inlineStr">
        <is>
          <t>+</t>
        </is>
      </c>
      <c r="O808" s="137" t="inlineStr">
        <is>
          <t>+</t>
        </is>
      </c>
      <c r="P808" s="137" t="inlineStr">
        <is>
          <t>+</t>
        </is>
      </c>
      <c r="Q808" s="137" t="inlineStr">
        <is>
          <t>+</t>
        </is>
      </c>
      <c r="R808" s="137" t="inlineStr">
        <is>
          <t>+</t>
        </is>
      </c>
      <c r="S808" s="137" t="inlineStr">
        <is>
          <t>+</t>
        </is>
      </c>
      <c r="T808" s="8" t="n"/>
      <c r="U808" s="8" t="n"/>
      <c r="V808" s="8" t="n"/>
      <c r="W808" s="8" t="n"/>
      <c r="X808" s="137" t="inlineStr">
        <is>
          <t>+</t>
        </is>
      </c>
      <c r="Y808" s="137" t="inlineStr">
        <is>
          <t>+</t>
        </is>
      </c>
    </row>
    <row r="809">
      <c r="A809" s="6" t="inlineStr">
        <is>
          <t>работник 705</t>
        </is>
      </c>
      <c r="B809" s="6" t="inlineStr">
        <is>
          <t>Плотник</t>
        </is>
      </c>
      <c r="C809" s="6" t="inlineStr">
        <is>
          <t>ОБЩЕСТВО С ОГРАНИЧЕННОЙ ОТВЕТСТВЕННОСТЬЮ "АМУР ЗОЛОТО"</t>
        </is>
      </c>
      <c r="D809" s="7" t="inlineStr">
        <is>
          <t>2708001686</t>
        </is>
      </c>
      <c r="E809" s="6" t="inlineStr">
        <is>
          <t>ООО "Амур Золото"</t>
        </is>
      </c>
      <c r="F809" s="7" t="inlineStr">
        <is>
          <t>2708001686</t>
        </is>
      </c>
      <c r="G809" s="7" t="inlineStr">
        <is>
          <t>Успешно</t>
        </is>
      </c>
      <c r="H809" s="6" t="n"/>
      <c r="I809" s="6" t="n"/>
      <c r="J809" s="6" t="inlineStr">
        <is>
          <t>Пользовательский интерфейс</t>
        </is>
      </c>
      <c r="K809" s="7" t="n">
        <v>2</v>
      </c>
      <c r="L809" s="8" t="n"/>
      <c r="M809" s="137" t="inlineStr">
        <is>
          <t>+</t>
        </is>
      </c>
      <c r="N809" s="8" t="n"/>
      <c r="O809" s="8" t="n"/>
      <c r="P809" s="8" t="n"/>
      <c r="Q809" s="8" t="n"/>
      <c r="R809" s="8" t="n"/>
      <c r="S809" s="8" t="n"/>
      <c r="T809" s="8" t="n"/>
      <c r="U809" s="8" t="n"/>
      <c r="V809" s="8" t="n"/>
      <c r="W809" s="8" t="n"/>
      <c r="X809" s="139" t="n"/>
      <c r="Y809" s="137" t="inlineStr">
        <is>
          <t>+</t>
        </is>
      </c>
    </row>
    <row r="810">
      <c r="A810" s="6" t="inlineStr">
        <is>
          <t>работник 417</t>
        </is>
      </c>
      <c r="B810" s="6" t="inlineStr">
        <is>
          <t>Машинист подземных самоходных машин</t>
        </is>
      </c>
      <c r="C810" s="6" t="inlineStr">
        <is>
          <t>ОБЩЕСТВО С ОГРАНИЧЕННОЙ ОТВЕТСТВЕННОСТЬЮ "АМУР ЗОЛОТО"</t>
        </is>
      </c>
      <c r="D810" s="7" t="inlineStr">
        <is>
          <t>2708001686</t>
        </is>
      </c>
      <c r="E810" s="6" t="inlineStr">
        <is>
          <t>ООО "Амур Золото"</t>
        </is>
      </c>
      <c r="F810" s="7" t="inlineStr">
        <is>
          <t>2708001686</t>
        </is>
      </c>
      <c r="G810" s="7" t="inlineStr">
        <is>
          <t>Успешно</t>
        </is>
      </c>
      <c r="H810" s="6" t="n"/>
      <c r="I810" s="6" t="n"/>
      <c r="J810" s="6" t="inlineStr">
        <is>
          <t>Пользовательский интерфейс</t>
        </is>
      </c>
      <c r="K810" s="7" t="n">
        <v>2</v>
      </c>
      <c r="L810" s="8" t="n"/>
      <c r="M810" s="137" t="inlineStr">
        <is>
          <t>+</t>
        </is>
      </c>
      <c r="N810" s="8" t="n"/>
      <c r="O810" s="8" t="n"/>
      <c r="P810" s="8" t="n"/>
      <c r="Q810" s="8" t="n"/>
      <c r="R810" s="8" t="n"/>
      <c r="S810" s="8" t="n"/>
      <c r="T810" s="8" t="n"/>
      <c r="U810" s="8" t="n"/>
      <c r="V810" s="8" t="n"/>
      <c r="W810" s="8" t="n"/>
      <c r="X810" s="139" t="n"/>
      <c r="Y810" s="137" t="inlineStr">
        <is>
          <t>+</t>
        </is>
      </c>
    </row>
    <row r="811">
      <c r="A811" s="6" t="inlineStr">
        <is>
          <t>работник 54</t>
        </is>
      </c>
      <c r="B811" s="6" t="inlineStr">
        <is>
          <t>Оператор дизельных котлов</t>
        </is>
      </c>
      <c r="C811" s="6" t="inlineStr">
        <is>
          <t>ОБЩЕСТВО С ОГРАНИЧЕННОЙ ОТВЕТСТВЕННОСТЬЮ "АМУР ЗОЛОТО"</t>
        </is>
      </c>
      <c r="D811" s="7" t="inlineStr">
        <is>
          <t>2708001686</t>
        </is>
      </c>
      <c r="E811" s="6" t="inlineStr">
        <is>
          <t>ООО "Амур Золото"</t>
        </is>
      </c>
      <c r="F811" s="7" t="inlineStr">
        <is>
          <t>2708001686</t>
        </is>
      </c>
      <c r="G811" s="7" t="inlineStr">
        <is>
          <t>Успешно</t>
        </is>
      </c>
      <c r="H811" s="6" t="n"/>
      <c r="I811" s="6" t="n"/>
      <c r="J811" s="6" t="inlineStr">
        <is>
          <t>Пользовательский интерфейс</t>
        </is>
      </c>
      <c r="K811" s="7" t="n">
        <v>3</v>
      </c>
      <c r="L811" s="8" t="n"/>
      <c r="M811" s="137" t="inlineStr">
        <is>
          <t>+</t>
        </is>
      </c>
      <c r="N811" s="8" t="n"/>
      <c r="O811" s="8" t="n"/>
      <c r="P811" s="8" t="n"/>
      <c r="Q811" s="8" t="n"/>
      <c r="R811" s="8" t="n"/>
      <c r="S811" s="8" t="n"/>
      <c r="T811" s="8" t="n"/>
      <c r="U811" s="8" t="n"/>
      <c r="V811" s="8" t="n"/>
      <c r="W811" s="8" t="n"/>
      <c r="X811" s="137" t="inlineStr">
        <is>
          <t>+</t>
        </is>
      </c>
      <c r="Y811" s="137" t="inlineStr">
        <is>
          <t>+</t>
        </is>
      </c>
    </row>
    <row r="812">
      <c r="A812" s="6" t="inlineStr">
        <is>
          <t>работник 737</t>
        </is>
      </c>
      <c r="B812" s="6" t="inlineStr">
        <is>
          <t>Помощник машиниста буровой установки</t>
        </is>
      </c>
      <c r="C812" s="6" t="inlineStr">
        <is>
          <t>ОБЩЕСТВО С ОГРАНИЧЕННОЙ ОТВЕТСТВЕННОСТЬЮ "АМУР ЗОЛОТО"</t>
        </is>
      </c>
      <c r="D812" s="7" t="inlineStr">
        <is>
          <t>2708001686</t>
        </is>
      </c>
      <c r="E812" s="6" t="inlineStr">
        <is>
          <t>ООО "Амур Золото"</t>
        </is>
      </c>
      <c r="F812" s="7" t="inlineStr">
        <is>
          <t>2708001686</t>
        </is>
      </c>
      <c r="G812" s="7" t="inlineStr">
        <is>
          <t>Успешно</t>
        </is>
      </c>
      <c r="H812" s="6" t="n"/>
      <c r="I812" s="6" t="n"/>
      <c r="J812" s="6" t="inlineStr">
        <is>
          <t>Пользовательский интерфейс</t>
        </is>
      </c>
      <c r="K812" s="7" t="n">
        <v>2</v>
      </c>
      <c r="L812" s="8" t="n"/>
      <c r="M812" s="137" t="inlineStr">
        <is>
          <t>+</t>
        </is>
      </c>
      <c r="N812" s="8" t="n"/>
      <c r="O812" s="8" t="n"/>
      <c r="P812" s="8" t="n"/>
      <c r="Q812" s="8" t="n"/>
      <c r="R812" s="8" t="n"/>
      <c r="S812" s="8" t="n"/>
      <c r="T812" s="8" t="n"/>
      <c r="U812" s="8" t="n"/>
      <c r="V812" s="8" t="n"/>
      <c r="W812" s="8" t="n"/>
      <c r="X812" s="139" t="n"/>
      <c r="Y812" s="137" t="inlineStr">
        <is>
          <t>+</t>
        </is>
      </c>
    </row>
    <row r="813">
      <c r="A813" s="6" t="inlineStr">
        <is>
          <t>работник 239</t>
        </is>
      </c>
      <c r="B813" s="6" t="inlineStr">
        <is>
          <t>Инженер химического анализа</t>
        </is>
      </c>
      <c r="C813" s="6" t="inlineStr">
        <is>
          <t>ОБЩЕСТВО С ОГРАНИЧЕННОЙ ОТВЕТСТВЕННОСТЬЮ "АМУР ЗОЛОТО"</t>
        </is>
      </c>
      <c r="D813" s="7" t="inlineStr">
        <is>
          <t>2708001686</t>
        </is>
      </c>
      <c r="E813" s="6" t="inlineStr">
        <is>
          <t>ООО "Амур Золото"</t>
        </is>
      </c>
      <c r="F813" s="7" t="inlineStr">
        <is>
          <t>2708001686</t>
        </is>
      </c>
      <c r="G813" s="7" t="inlineStr">
        <is>
          <t>Успешно</t>
        </is>
      </c>
      <c r="H813" s="6" t="n"/>
      <c r="I813" s="6" t="n"/>
      <c r="J813" s="6" t="inlineStr">
        <is>
          <t>Пользовательский интерфейс</t>
        </is>
      </c>
      <c r="K813" s="7" t="n">
        <v>3</v>
      </c>
      <c r="L813" s="8" t="n"/>
      <c r="M813" s="137" t="inlineStr">
        <is>
          <t>+</t>
        </is>
      </c>
      <c r="N813" s="8" t="n"/>
      <c r="O813" s="8" t="n"/>
      <c r="P813" s="8" t="n"/>
      <c r="Q813" s="8" t="n"/>
      <c r="R813" s="8" t="n"/>
      <c r="S813" s="8" t="n"/>
      <c r="T813" s="8" t="n"/>
      <c r="U813" s="8" t="n"/>
      <c r="V813" s="8" t="n"/>
      <c r="W813" s="8" t="n"/>
      <c r="X813" s="140" t="inlineStr">
        <is>
          <t>+</t>
        </is>
      </c>
      <c r="Y813" s="137" t="inlineStr">
        <is>
          <t>+</t>
        </is>
      </c>
    </row>
    <row r="814">
      <c r="A814" s="6" t="inlineStr">
        <is>
          <t>работник 118</t>
        </is>
      </c>
      <c r="B814" s="6" t="inlineStr">
        <is>
          <t>Пробоотборщик</t>
        </is>
      </c>
      <c r="C814" s="6" t="inlineStr">
        <is>
          <t>ОБЩЕСТВО С ОГРАНИЧЕННОЙ ОТВЕТСТВЕННОСТЬЮ "АМУР ЗОЛОТО"</t>
        </is>
      </c>
      <c r="D814" s="7" t="inlineStr">
        <is>
          <t>2708001686</t>
        </is>
      </c>
      <c r="E814" s="6" t="inlineStr">
        <is>
          <t>ООО "Амур Золото"</t>
        </is>
      </c>
      <c r="F814" s="7" t="inlineStr">
        <is>
          <t>2708001686</t>
        </is>
      </c>
      <c r="G814" s="7" t="inlineStr">
        <is>
          <t>Успешно</t>
        </is>
      </c>
      <c r="H814" s="6" t="n"/>
      <c r="I814" s="6" t="n"/>
      <c r="J814" s="6" t="inlineStr">
        <is>
          <t>Пользовательский интерфейс</t>
        </is>
      </c>
      <c r="K814" s="7" t="n">
        <v>3</v>
      </c>
      <c r="L814" s="8" t="n"/>
      <c r="M814" s="137" t="inlineStr">
        <is>
          <t>+</t>
        </is>
      </c>
      <c r="N814" s="8" t="n"/>
      <c r="O814" s="8" t="n"/>
      <c r="P814" s="8" t="n"/>
      <c r="Q814" s="8" t="n"/>
      <c r="R814" s="8" t="n"/>
      <c r="S814" s="8" t="n"/>
      <c r="T814" s="8" t="n"/>
      <c r="U814" s="8" t="n"/>
      <c r="V814" s="8" t="n"/>
      <c r="W814" s="8" t="n"/>
      <c r="X814" s="137" t="inlineStr">
        <is>
          <t>+</t>
        </is>
      </c>
      <c r="Y814" s="137" t="inlineStr">
        <is>
          <t>+</t>
        </is>
      </c>
    </row>
    <row r="815">
      <c r="A815" s="6" t="inlineStr">
        <is>
          <t>работник 630</t>
        </is>
      </c>
      <c r="B815" s="6" t="inlineStr">
        <is>
          <t>Горнорабочий на маркшейдерских работах</t>
        </is>
      </c>
      <c r="C815" s="6" t="inlineStr">
        <is>
          <t>ОБЩЕСТВО С ОГРАНИЧЕННОЙ ОТВЕТСТВЕННОСТЬЮ "АМУР ЗОЛОТО"</t>
        </is>
      </c>
      <c r="D815" s="7" t="inlineStr">
        <is>
          <t>2708001686</t>
        </is>
      </c>
      <c r="E815" s="6" t="inlineStr">
        <is>
          <t>ООО "Амур Золото"</t>
        </is>
      </c>
      <c r="F815" s="7" t="inlineStr">
        <is>
          <t>2708001686</t>
        </is>
      </c>
      <c r="G815" s="7" t="inlineStr">
        <is>
          <t>Успешно</t>
        </is>
      </c>
      <c r="H815" s="6" t="n"/>
      <c r="I815" s="6" t="n"/>
      <c r="J815" s="6" t="inlineStr">
        <is>
          <t>Пользовательский интерфейс</t>
        </is>
      </c>
      <c r="K815" s="7" t="n">
        <v>6</v>
      </c>
      <c r="L815" s="8" t="n"/>
      <c r="M815" s="137" t="inlineStr">
        <is>
          <t>+</t>
        </is>
      </c>
      <c r="N815" s="8" t="n"/>
      <c r="O815" s="8" t="n"/>
      <c r="P815" s="8" t="n"/>
      <c r="Q815" s="8" t="n"/>
      <c r="R815" s="8" t="n"/>
      <c r="S815" s="8" t="n"/>
      <c r="T815" s="8" t="n"/>
      <c r="U815" s="8" t="n"/>
      <c r="V815" s="8" t="n"/>
      <c r="W815" s="137" t="inlineStr">
        <is>
          <t>+</t>
        </is>
      </c>
      <c r="X815" s="137" t="inlineStr">
        <is>
          <t>+</t>
        </is>
      </c>
      <c r="Y815" s="137" t="inlineStr">
        <is>
          <t>+</t>
        </is>
      </c>
    </row>
    <row r="816">
      <c r="A816" s="6" t="inlineStr">
        <is>
          <t>работник 597</t>
        </is>
      </c>
      <c r="B816" s="6" t="inlineStr">
        <is>
          <t>Слесарь-ремонтник (по ремонту самоходной техники) / Слесарь-ремонтник (по ремонту горно-шахтного оборудования)</t>
        </is>
      </c>
      <c r="C816" s="6" t="inlineStr">
        <is>
          <t>ОБЩЕСТВО С ОГРАНИЧЕННОЙ ОТВЕТСТВЕННОСТЬЮ "АМУР ЗОЛОТО"</t>
        </is>
      </c>
      <c r="D816" s="7" t="inlineStr">
        <is>
          <t>2708001686</t>
        </is>
      </c>
      <c r="E816" s="6" t="inlineStr">
        <is>
          <t>ООО "Амур Золото"</t>
        </is>
      </c>
      <c r="F816" s="7" t="inlineStr">
        <is>
          <t>2708001686</t>
        </is>
      </c>
      <c r="G816" s="7" t="inlineStr">
        <is>
          <t>Успешно</t>
        </is>
      </c>
      <c r="H816" s="6" t="n"/>
      <c r="I816" s="6" t="n"/>
      <c r="J816" s="6" t="inlineStr">
        <is>
          <t>Пользовательский интерфейс</t>
        </is>
      </c>
      <c r="K816" s="7" t="n">
        <v>5</v>
      </c>
      <c r="L816" s="8" t="n"/>
      <c r="M816" s="137" t="inlineStr">
        <is>
          <t>+</t>
        </is>
      </c>
      <c r="N816" s="8" t="n"/>
      <c r="O816" s="8" t="n"/>
      <c r="P816" s="8" t="n"/>
      <c r="Q816" s="8" t="n"/>
      <c r="R816" s="8" t="n"/>
      <c r="S816" s="8" t="n"/>
      <c r="T816" s="8" t="n"/>
      <c r="U816" s="8" t="n"/>
      <c r="V816" s="8" t="n"/>
      <c r="W816" s="8" t="n"/>
      <c r="X816" s="137" t="inlineStr">
        <is>
          <t>+</t>
        </is>
      </c>
      <c r="Y816" s="137" t="inlineStr">
        <is>
          <t>+</t>
        </is>
      </c>
    </row>
    <row r="817">
      <c r="A817" s="6" t="inlineStr">
        <is>
          <t>работник 738</t>
        </is>
      </c>
      <c r="B817" s="6" t="inlineStr">
        <is>
          <t>Помощник машиниста буровой установки</t>
        </is>
      </c>
      <c r="C817" s="6" t="inlineStr">
        <is>
          <t>ОБЩЕСТВО С ОГРАНИЧЕННОЙ ОТВЕТСТВЕННОСТЬЮ "АМУР ЗОЛОТО"</t>
        </is>
      </c>
      <c r="D817" s="7" t="inlineStr">
        <is>
          <t>2708001686</t>
        </is>
      </c>
      <c r="E817" s="6" t="inlineStr">
        <is>
          <t>ООО "Амур Золото"</t>
        </is>
      </c>
      <c r="F817" s="7" t="inlineStr">
        <is>
          <t>2708001686</t>
        </is>
      </c>
      <c r="G817" s="7" t="inlineStr">
        <is>
          <t>Успешно</t>
        </is>
      </c>
      <c r="H817" s="6" t="n"/>
      <c r="I817" s="6" t="n"/>
      <c r="J817" s="6" t="inlineStr">
        <is>
          <t>Пользовательский интерфейс</t>
        </is>
      </c>
      <c r="K817" s="7" t="n">
        <v>2</v>
      </c>
      <c r="L817" s="8" t="n"/>
      <c r="M817" s="137" t="inlineStr">
        <is>
          <t>+</t>
        </is>
      </c>
      <c r="N817" s="8" t="n"/>
      <c r="O817" s="8" t="n"/>
      <c r="P817" s="8" t="n"/>
      <c r="Q817" s="8" t="n"/>
      <c r="R817" s="8" t="n"/>
      <c r="S817" s="8" t="n"/>
      <c r="T817" s="8" t="n"/>
      <c r="U817" s="8" t="n"/>
      <c r="V817" s="8" t="n"/>
      <c r="W817" s="8" t="n"/>
      <c r="X817" s="139" t="n"/>
      <c r="Y817" s="137" t="inlineStr">
        <is>
          <t>+</t>
        </is>
      </c>
    </row>
    <row r="818">
      <c r="A818" s="6" t="inlineStr">
        <is>
          <t>работник 569</t>
        </is>
      </c>
      <c r="B818" s="6" t="inlineStr">
        <is>
          <t>Лаборант пробирного анализа</t>
        </is>
      </c>
      <c r="C818" s="6" t="inlineStr">
        <is>
          <t>ОБЩЕСТВО С ОГРАНИЧЕННОЙ ОТВЕТСТВЕННОСТЬЮ "АМУР ЗОЛОТО"</t>
        </is>
      </c>
      <c r="D818" s="7" t="inlineStr">
        <is>
          <t>2708001686</t>
        </is>
      </c>
      <c r="E818" s="6" t="inlineStr">
        <is>
          <t>ООО "Амур Золото"</t>
        </is>
      </c>
      <c r="F818" s="7" t="inlineStr">
        <is>
          <t>2708001686</t>
        </is>
      </c>
      <c r="G818" s="7" t="inlineStr">
        <is>
          <t>Успешно</t>
        </is>
      </c>
      <c r="H818" s="6" t="n"/>
      <c r="I818" s="6" t="n"/>
      <c r="J818" s="6" t="n"/>
      <c r="K818" s="7" t="n">
        <v>2</v>
      </c>
      <c r="L818" s="8" t="n"/>
      <c r="M818" s="137" t="inlineStr">
        <is>
          <t>+</t>
        </is>
      </c>
      <c r="N818" s="8" t="n"/>
      <c r="O818" s="8" t="n"/>
      <c r="P818" s="8" t="n"/>
      <c r="Q818" s="8" t="n"/>
      <c r="R818" s="8" t="n"/>
      <c r="S818" s="8" t="n"/>
      <c r="T818" s="8" t="n"/>
      <c r="U818" s="8" t="n"/>
      <c r="V818" s="8" t="n"/>
      <c r="W818" s="8" t="n"/>
      <c r="X818" s="139" t="n"/>
      <c r="Y818" s="137" t="inlineStr">
        <is>
          <t>+</t>
        </is>
      </c>
    </row>
    <row r="819">
      <c r="A819" s="6" t="inlineStr">
        <is>
          <t>работник 403</t>
        </is>
      </c>
      <c r="B819" s="6" t="inlineStr">
        <is>
          <t>Лаборант пробирного анализа</t>
        </is>
      </c>
      <c r="C819" s="6" t="inlineStr">
        <is>
          <t>ОБЩЕСТВО С ОГРАНИЧЕННОЙ ОТВЕТСТВЕННОСТЬЮ "АМУР ЗОЛОТО"</t>
        </is>
      </c>
      <c r="D819" s="7" t="inlineStr">
        <is>
          <t>2708001686</t>
        </is>
      </c>
      <c r="E819" s="6" t="inlineStr">
        <is>
          <t>ООО "Амур Золото"</t>
        </is>
      </c>
      <c r="F819" s="7" t="inlineStr">
        <is>
          <t>2708001686</t>
        </is>
      </c>
      <c r="G819" s="7" t="inlineStr">
        <is>
          <t>Успешно</t>
        </is>
      </c>
      <c r="H819" s="6" t="n"/>
      <c r="I819" s="6" t="n"/>
      <c r="J819" s="6" t="inlineStr">
        <is>
          <t>Пользовательский интерфейс</t>
        </is>
      </c>
      <c r="K819" s="7" t="n">
        <v>7</v>
      </c>
      <c r="L819" s="8" t="n"/>
      <c r="M819" s="137" t="inlineStr">
        <is>
          <t>+</t>
        </is>
      </c>
      <c r="N819" s="8" t="n"/>
      <c r="O819" s="8" t="n"/>
      <c r="P819" s="8" t="n"/>
      <c r="Q819" s="8" t="n"/>
      <c r="R819" s="8" t="n"/>
      <c r="S819" s="8" t="n"/>
      <c r="T819" s="8" t="n"/>
      <c r="U819" s="8" t="n"/>
      <c r="V819" s="8" t="n"/>
      <c r="W819" s="8" t="n"/>
      <c r="X819" s="137" t="inlineStr">
        <is>
          <t>+</t>
        </is>
      </c>
      <c r="Y819" s="137" t="inlineStr">
        <is>
          <t>+</t>
        </is>
      </c>
    </row>
    <row r="820">
      <c r="A820" s="6" t="inlineStr">
        <is>
          <t>работник 359</t>
        </is>
      </c>
      <c r="B820" s="6" t="inlineStr">
        <is>
          <t>Дробильщик</t>
        </is>
      </c>
      <c r="C820" s="6" t="inlineStr">
        <is>
          <t>ОБЩЕСТВО С ОГРАНИЧЕННОЙ ОТВЕТСТВЕННОСТЬЮ "АМУР ЗОЛОТО"</t>
        </is>
      </c>
      <c r="D820" s="7" t="inlineStr">
        <is>
          <t>2708001686</t>
        </is>
      </c>
      <c r="E820" s="6" t="inlineStr">
        <is>
          <t>ООО "Амур Золото"</t>
        </is>
      </c>
      <c r="F820" s="7" t="inlineStr">
        <is>
          <t>2708001686</t>
        </is>
      </c>
      <c r="G820" s="7" t="inlineStr">
        <is>
          <t>Успешно</t>
        </is>
      </c>
      <c r="H820" s="6" t="n"/>
      <c r="I820" s="6" t="n"/>
      <c r="J820" s="6" t="inlineStr">
        <is>
          <t>Пользовательский интерфейс</t>
        </is>
      </c>
      <c r="K820" s="7" t="n">
        <v>5</v>
      </c>
      <c r="L820" s="8" t="n"/>
      <c r="M820" s="137" t="inlineStr">
        <is>
          <t>+</t>
        </is>
      </c>
      <c r="N820" s="8" t="n"/>
      <c r="O820" s="8" t="n"/>
      <c r="P820" s="8" t="n"/>
      <c r="Q820" s="8" t="n"/>
      <c r="R820" s="8" t="n"/>
      <c r="S820" s="8" t="n"/>
      <c r="T820" s="8" t="n"/>
      <c r="U820" s="8" t="n"/>
      <c r="V820" s="8" t="n"/>
      <c r="W820" s="8" t="n"/>
      <c r="X820" s="137" t="inlineStr">
        <is>
          <t>+</t>
        </is>
      </c>
      <c r="Y820" s="137" t="inlineStr">
        <is>
          <t>+</t>
        </is>
      </c>
    </row>
    <row r="821">
      <c r="A821" s="6" t="inlineStr">
        <is>
          <t>работник 925</t>
        </is>
      </c>
      <c r="B821" s="6" t="inlineStr">
        <is>
          <t>Повар</t>
        </is>
      </c>
      <c r="C821" s="6" t="inlineStr">
        <is>
          <t>ОБЩЕСТВО С ОГРАНИЧЕННОЙ ОТВЕТСТВЕННОСТЬЮ "АМУР ЗОЛОТО"</t>
        </is>
      </c>
      <c r="D821" s="7" t="inlineStr">
        <is>
          <t>2708001686</t>
        </is>
      </c>
      <c r="E821" s="6" t="inlineStr">
        <is>
          <t>ООО "Амур Золото"</t>
        </is>
      </c>
      <c r="F821" s="7" t="inlineStr">
        <is>
          <t>2708001686</t>
        </is>
      </c>
      <c r="G821" s="7" t="inlineStr">
        <is>
          <t>Успешно</t>
        </is>
      </c>
      <c r="H821" s="6" t="n"/>
      <c r="I821" s="6" t="n"/>
      <c r="J821" s="6" t="inlineStr">
        <is>
          <t>Пользовательский интерфейс</t>
        </is>
      </c>
      <c r="K821" s="7" t="n">
        <v>2</v>
      </c>
      <c r="L821" s="8" t="n"/>
      <c r="M821" s="137" t="inlineStr">
        <is>
          <t>+</t>
        </is>
      </c>
      <c r="N821" s="8" t="n"/>
      <c r="O821" s="8" t="n"/>
      <c r="P821" s="8" t="n"/>
      <c r="Q821" s="8" t="n"/>
      <c r="R821" s="8" t="n"/>
      <c r="S821" s="8" t="n"/>
      <c r="T821" s="8" t="n"/>
      <c r="U821" s="8" t="n"/>
      <c r="V821" s="8" t="n"/>
      <c r="W821" s="8" t="n"/>
      <c r="X821" s="139" t="n"/>
      <c r="Y821" s="138" t="inlineStr">
        <is>
          <t>+</t>
        </is>
      </c>
    </row>
    <row r="822">
      <c r="A822" s="6" t="inlineStr">
        <is>
          <t>работник 23</t>
        </is>
      </c>
      <c r="B822" s="6" t="inlineStr">
        <is>
          <t>Слесарь-ремонтник / Слесарь-ремонтник (по ремонту обогатительного оборудования) / Слесарь-ремонтник ( по ремонту обогатительного оборудования)</t>
        </is>
      </c>
      <c r="C822" s="6" t="inlineStr">
        <is>
          <t>ОБЩЕСТВО С ОГРАНИЧЕННОЙ ОТВЕТСТВЕННОСТЬЮ "АМУР ЗОЛОТО"</t>
        </is>
      </c>
      <c r="D822" s="7" t="inlineStr">
        <is>
          <t>2708001686</t>
        </is>
      </c>
      <c r="E822" s="6" t="inlineStr">
        <is>
          <t>ООО "Амур Золото"</t>
        </is>
      </c>
      <c r="F822" s="7" t="inlineStr">
        <is>
          <t>2708001686</t>
        </is>
      </c>
      <c r="G822" s="7" t="inlineStr">
        <is>
          <t>Успешно</t>
        </is>
      </c>
      <c r="H822" s="6" t="n"/>
      <c r="I822" s="6" t="n"/>
      <c r="J822" s="6" t="inlineStr">
        <is>
          <t>Пользовательский интерфейс</t>
        </is>
      </c>
      <c r="K822" s="7" t="n">
        <v>20</v>
      </c>
      <c r="L822" s="8" t="n"/>
      <c r="M822" s="137" t="inlineStr">
        <is>
          <t>+</t>
        </is>
      </c>
      <c r="N822" s="137" t="inlineStr">
        <is>
          <t>+</t>
        </is>
      </c>
      <c r="O822" s="137" t="inlineStr">
        <is>
          <t>+</t>
        </is>
      </c>
      <c r="P822" s="137" t="inlineStr">
        <is>
          <t>+</t>
        </is>
      </c>
      <c r="Q822" s="137" t="inlineStr">
        <is>
          <t>+</t>
        </is>
      </c>
      <c r="R822" s="137" t="inlineStr">
        <is>
          <t>+</t>
        </is>
      </c>
      <c r="S822" s="137" t="inlineStr">
        <is>
          <t>+</t>
        </is>
      </c>
      <c r="T822" s="8" t="n"/>
      <c r="U822" s="8" t="n"/>
      <c r="V822" s="8" t="n"/>
      <c r="W822" s="8" t="n"/>
      <c r="X822" s="137" t="inlineStr">
        <is>
          <t>+</t>
        </is>
      </c>
      <c r="Y822" s="137" t="inlineStr">
        <is>
          <t>+</t>
        </is>
      </c>
    </row>
    <row r="823">
      <c r="A823" s="6" t="inlineStr">
        <is>
          <t>работник 898</t>
        </is>
      </c>
      <c r="B823" s="6" t="inlineStr">
        <is>
          <t>Водитель автомобиля (занятый на транспортировании горной массы в технологическом процессе)</t>
        </is>
      </c>
      <c r="C823" s="6" t="inlineStr">
        <is>
          <t>ОБЩЕСТВО С ОГРАНИЧЕННОЙ ОТВЕТСТВЕННОСТЬЮ "АМУР ЗОЛОТО"</t>
        </is>
      </c>
      <c r="D823" s="7" t="inlineStr">
        <is>
          <t>2708001686</t>
        </is>
      </c>
      <c r="E823" s="6" t="inlineStr">
        <is>
          <t>ООО "Амур Золото"</t>
        </is>
      </c>
      <c r="F823" s="7" t="inlineStr">
        <is>
          <t>2708001686</t>
        </is>
      </c>
      <c r="G823" s="7" t="inlineStr">
        <is>
          <t>Успешно</t>
        </is>
      </c>
      <c r="H823" s="6" t="n"/>
      <c r="I823" s="6" t="n"/>
      <c r="J823" s="6" t="inlineStr">
        <is>
          <t>Пользовательский интерфейс</t>
        </is>
      </c>
      <c r="K823" s="7" t="n">
        <v>3</v>
      </c>
      <c r="L823" s="8" t="n"/>
      <c r="M823" s="137" t="inlineStr">
        <is>
          <t>+</t>
        </is>
      </c>
      <c r="N823" s="8" t="n"/>
      <c r="O823" s="8" t="n"/>
      <c r="P823" s="8" t="n"/>
      <c r="Q823" s="8" t="n"/>
      <c r="R823" s="8" t="n"/>
      <c r="S823" s="8" t="n"/>
      <c r="T823" s="8" t="n"/>
      <c r="U823" s="8" t="n"/>
      <c r="V823" s="8" t="n"/>
      <c r="W823" s="8" t="n"/>
      <c r="X823" s="137" t="inlineStr">
        <is>
          <t>+</t>
        </is>
      </c>
      <c r="Y823" s="137" t="inlineStr">
        <is>
          <t>+</t>
        </is>
      </c>
    </row>
    <row r="824">
      <c r="A824" s="6" t="inlineStr">
        <is>
          <t>работник 402</t>
        </is>
      </c>
      <c r="B824" s="6" t="inlineStr">
        <is>
          <t>Лаборант пробирного анализа</t>
        </is>
      </c>
      <c r="C824" s="6" t="inlineStr">
        <is>
          <t>ОБЩЕСТВО С ОГРАНИЧЕННОЙ ОТВЕТСТВЕННОСТЬЮ "АМУР ЗОЛОТО"</t>
        </is>
      </c>
      <c r="D824" s="7" t="inlineStr">
        <is>
          <t>2708001686</t>
        </is>
      </c>
      <c r="E824" s="6" t="inlineStr">
        <is>
          <t>ООО "Амур Золото"</t>
        </is>
      </c>
      <c r="F824" s="7" t="inlineStr">
        <is>
          <t>2708001686</t>
        </is>
      </c>
      <c r="G824" s="7" t="inlineStr">
        <is>
          <t>Успешно</t>
        </is>
      </c>
      <c r="H824" s="6" t="n"/>
      <c r="I824" s="6" t="n"/>
      <c r="J824" s="6" t="inlineStr">
        <is>
          <t>Пользовательский интерфейс</t>
        </is>
      </c>
      <c r="K824" s="7" t="n">
        <v>9</v>
      </c>
      <c r="L824" s="8" t="n"/>
      <c r="M824" s="137" t="inlineStr">
        <is>
          <t>+</t>
        </is>
      </c>
      <c r="N824" s="8" t="n"/>
      <c r="O824" s="8" t="n"/>
      <c r="P824" s="8" t="n"/>
      <c r="Q824" s="8" t="n"/>
      <c r="R824" s="8" t="n"/>
      <c r="S824" s="8" t="n"/>
      <c r="T824" s="8" t="n"/>
      <c r="U824" s="8" t="n"/>
      <c r="V824" s="8" t="n"/>
      <c r="W824" s="8" t="n"/>
      <c r="X824" s="137" t="inlineStr">
        <is>
          <t>+</t>
        </is>
      </c>
      <c r="Y824" s="137" t="inlineStr">
        <is>
          <t>+</t>
        </is>
      </c>
    </row>
    <row r="825">
      <c r="A825" s="6" t="inlineStr">
        <is>
          <t>работник 614</t>
        </is>
      </c>
      <c r="B825" s="6" t="inlineStr">
        <is>
          <t>Фильтровальщик</t>
        </is>
      </c>
      <c r="C825" s="6" t="inlineStr">
        <is>
          <t>ОБЩЕСТВО С ОГРАНИЧЕННОЙ ОТВЕТСТВЕННОСТЬЮ "АМУР ЗОЛОТО"</t>
        </is>
      </c>
      <c r="D825" s="7" t="inlineStr">
        <is>
          <t>2708001686</t>
        </is>
      </c>
      <c r="E825" s="6" t="inlineStr">
        <is>
          <t>ООО "Амур Золото"</t>
        </is>
      </c>
      <c r="F825" s="7" t="inlineStr">
        <is>
          <t>2708001686</t>
        </is>
      </c>
      <c r="G825" s="7" t="inlineStr">
        <is>
          <t>Успешно</t>
        </is>
      </c>
      <c r="H825" s="6" t="n"/>
      <c r="I825" s="6" t="n"/>
      <c r="J825" s="6" t="inlineStr">
        <is>
          <t>Пользовательский интерфейс</t>
        </is>
      </c>
      <c r="K825" s="7" t="n">
        <v>5</v>
      </c>
      <c r="L825" s="8" t="n"/>
      <c r="M825" s="137" t="inlineStr">
        <is>
          <t>+</t>
        </is>
      </c>
      <c r="N825" s="8" t="n"/>
      <c r="O825" s="8" t="n"/>
      <c r="P825" s="8" t="n"/>
      <c r="Q825" s="8" t="n"/>
      <c r="R825" s="8" t="n"/>
      <c r="S825" s="8" t="n"/>
      <c r="T825" s="8" t="n"/>
      <c r="U825" s="8" t="n"/>
      <c r="V825" s="8" t="n"/>
      <c r="W825" s="8" t="n"/>
      <c r="X825" s="137" t="inlineStr">
        <is>
          <t>+</t>
        </is>
      </c>
      <c r="Y825" s="137" t="inlineStr">
        <is>
          <t>+</t>
        </is>
      </c>
    </row>
    <row r="826">
      <c r="A826" s="6" t="inlineStr">
        <is>
          <t>работник 121</t>
        </is>
      </c>
      <c r="B826" s="6" t="inlineStr">
        <is>
          <t>Фильтровальщик</t>
        </is>
      </c>
      <c r="C826" s="6" t="inlineStr">
        <is>
          <t>ОБЩЕСТВО С ОГРАНИЧЕННОЙ ОТВЕТСТВЕННОСТЬЮ "АМУР ЗОЛОТО"</t>
        </is>
      </c>
      <c r="D826" s="7" t="inlineStr">
        <is>
          <t>2708001686</t>
        </is>
      </c>
      <c r="E826" s="6" t="inlineStr">
        <is>
          <t>ООО "Амур Золото"</t>
        </is>
      </c>
      <c r="F826" s="7" t="inlineStr">
        <is>
          <t>2708001686</t>
        </is>
      </c>
      <c r="G826" s="7" t="inlineStr">
        <is>
          <t>Успешно</t>
        </is>
      </c>
      <c r="H826" s="6" t="n"/>
      <c r="I826" s="6" t="n"/>
      <c r="J826" s="6" t="inlineStr">
        <is>
          <t>Пользовательский интерфейс</t>
        </is>
      </c>
      <c r="K826" s="7" t="n">
        <v>3</v>
      </c>
      <c r="L826" s="8" t="n"/>
      <c r="M826" s="137" t="inlineStr">
        <is>
          <t>+</t>
        </is>
      </c>
      <c r="N826" s="8" t="n"/>
      <c r="O826" s="8" t="n"/>
      <c r="P826" s="8" t="n"/>
      <c r="Q826" s="8" t="n"/>
      <c r="R826" s="8" t="n"/>
      <c r="S826" s="8" t="n"/>
      <c r="T826" s="8" t="n"/>
      <c r="U826" s="8" t="n"/>
      <c r="V826" s="8" t="n"/>
      <c r="W826" s="8" t="n"/>
      <c r="X826" s="137" t="inlineStr">
        <is>
          <t>+</t>
        </is>
      </c>
      <c r="Y826" s="137" t="inlineStr">
        <is>
          <t>+</t>
        </is>
      </c>
    </row>
    <row r="827">
      <c r="A827" s="6" t="inlineStr">
        <is>
          <t>работник 618</t>
        </is>
      </c>
      <c r="B827" s="6" t="inlineStr">
        <is>
          <t>Бункеровщик</t>
        </is>
      </c>
      <c r="C827" s="6" t="inlineStr">
        <is>
          <t>ОБЩЕСТВО С ОГРАНИЧЕННОЙ ОТВЕТСТВЕННОСТЬЮ "АМУР ЗОЛОТО"</t>
        </is>
      </c>
      <c r="D827" s="7" t="inlineStr">
        <is>
          <t>2708001686</t>
        </is>
      </c>
      <c r="E827" s="6" t="inlineStr">
        <is>
          <t>ООО "Амур Золото"</t>
        </is>
      </c>
      <c r="F827" s="7" t="inlineStr">
        <is>
          <t>2708001686</t>
        </is>
      </c>
      <c r="G827" s="7" t="inlineStr">
        <is>
          <t>Успешно</t>
        </is>
      </c>
      <c r="H827" s="6" t="n"/>
      <c r="I827" s="6" t="n"/>
      <c r="J827" s="6" t="inlineStr">
        <is>
          <t>Пользовательский интерфейс</t>
        </is>
      </c>
      <c r="K827" s="7" t="n">
        <v>2</v>
      </c>
      <c r="L827" s="8" t="n"/>
      <c r="M827" s="137" t="inlineStr">
        <is>
          <t>+</t>
        </is>
      </c>
      <c r="N827" s="8" t="n"/>
      <c r="O827" s="8" t="n"/>
      <c r="P827" s="8" t="n"/>
      <c r="Q827" s="8" t="n"/>
      <c r="R827" s="8" t="n"/>
      <c r="S827" s="8" t="n"/>
      <c r="T827" s="8" t="n"/>
      <c r="U827" s="8" t="n"/>
      <c r="V827" s="8" t="n"/>
      <c r="W827" s="8" t="n"/>
      <c r="X827" s="139" t="n"/>
      <c r="Y827" s="137" t="inlineStr">
        <is>
          <t>+</t>
        </is>
      </c>
    </row>
    <row r="828">
      <c r="A828" s="6" t="inlineStr">
        <is>
          <t>работник 187</t>
        </is>
      </c>
      <c r="B828" s="6" t="inlineStr">
        <is>
          <t>Водитель автомобиля(занятый на траспортировании горной массы в технологическом процессе)</t>
        </is>
      </c>
      <c r="C828" s="6" t="inlineStr">
        <is>
          <t>ОБЩЕСТВО С ОГРАНИЧЕННОЙ ОТВЕТСТВЕННОСТЬЮ "АМУР ЗОЛОТО"</t>
        </is>
      </c>
      <c r="D828" s="7" t="inlineStr">
        <is>
          <t>2708001686</t>
        </is>
      </c>
      <c r="E828" s="6" t="inlineStr">
        <is>
          <t>ООО "Амур Золото"</t>
        </is>
      </c>
      <c r="F828" s="7" t="inlineStr">
        <is>
          <t>2708001686</t>
        </is>
      </c>
      <c r="G828" s="7" t="inlineStr">
        <is>
          <t>Успешно</t>
        </is>
      </c>
      <c r="H828" s="6" t="n"/>
      <c r="I828" s="6" t="n"/>
      <c r="J828" s="6" t="inlineStr">
        <is>
          <t>Пользовательский интерфейс</t>
        </is>
      </c>
      <c r="K828" s="7" t="n">
        <v>3</v>
      </c>
      <c r="L828" s="8" t="n"/>
      <c r="M828" s="137" t="inlineStr">
        <is>
          <t>+</t>
        </is>
      </c>
      <c r="N828" s="8" t="n"/>
      <c r="O828" s="8" t="n"/>
      <c r="P828" s="8" t="n"/>
      <c r="Q828" s="8" t="n"/>
      <c r="R828" s="8" t="n"/>
      <c r="S828" s="8" t="n"/>
      <c r="T828" s="8" t="n"/>
      <c r="U828" s="8" t="n"/>
      <c r="V828" s="8" t="n"/>
      <c r="W828" s="8" t="n"/>
      <c r="X828" s="137" t="inlineStr">
        <is>
          <t>+</t>
        </is>
      </c>
      <c r="Y828" s="137" t="inlineStr">
        <is>
          <t>+</t>
        </is>
      </c>
    </row>
    <row r="829">
      <c r="A829" s="6" t="inlineStr">
        <is>
          <t>работник 894</t>
        </is>
      </c>
      <c r="B829" s="6" t="inlineStr">
        <is>
          <t>Горный диспетчер</t>
        </is>
      </c>
      <c r="C829" s="6" t="inlineStr">
        <is>
          <t>ОБЩЕСТВО С ОГРАНИЧЕННОЙ ОТВЕТСТВЕННОСТЬЮ "АМУР ЗОЛОТО"</t>
        </is>
      </c>
      <c r="D829" s="7" t="inlineStr">
        <is>
          <t>2708001686</t>
        </is>
      </c>
      <c r="E829" s="6" t="inlineStr">
        <is>
          <t>ООО "Амур Золото"</t>
        </is>
      </c>
      <c r="F829" s="7" t="inlineStr">
        <is>
          <t>2708001686</t>
        </is>
      </c>
      <c r="G829" s="7" t="inlineStr">
        <is>
          <t>Успешно</t>
        </is>
      </c>
      <c r="H829" s="6" t="n"/>
      <c r="I829" s="6" t="n"/>
      <c r="J829" s="6" t="inlineStr">
        <is>
          <t>Пользовательский интерфейс</t>
        </is>
      </c>
      <c r="K829" s="7" t="n">
        <v>3</v>
      </c>
      <c r="L829" s="8" t="n"/>
      <c r="M829" s="137" t="inlineStr">
        <is>
          <t>+</t>
        </is>
      </c>
      <c r="N829" s="8" t="n"/>
      <c r="O829" s="8" t="n"/>
      <c r="P829" s="8" t="n"/>
      <c r="Q829" s="8" t="n"/>
      <c r="R829" s="8" t="n"/>
      <c r="S829" s="8" t="n"/>
      <c r="T829" s="8" t="n"/>
      <c r="U829" s="8" t="n"/>
      <c r="V829" s="8" t="n"/>
      <c r="W829" s="8" t="n"/>
      <c r="X829" s="140" t="inlineStr">
        <is>
          <t>+</t>
        </is>
      </c>
      <c r="Y829" s="137" t="inlineStr">
        <is>
          <t>+</t>
        </is>
      </c>
    </row>
    <row r="830">
      <c r="A830" s="6" t="inlineStr">
        <is>
          <t>работник 854</t>
        </is>
      </c>
      <c r="B830" s="6" t="inlineStr">
        <is>
          <t>Уборщик производственных и служебных помещений</t>
        </is>
      </c>
      <c r="C830" s="6" t="inlineStr">
        <is>
          <t>ОБЩЕСТВО С ОГРАНИЧЕННОЙ ОТВЕТСТВЕННОСТЬЮ "АМУР ЗОЛОТО"</t>
        </is>
      </c>
      <c r="D830" s="7" t="inlineStr">
        <is>
          <t>2708001686</t>
        </is>
      </c>
      <c r="E830" s="6" t="inlineStr">
        <is>
          <t>ООО "Амур Золото"</t>
        </is>
      </c>
      <c r="F830" s="7" t="inlineStr">
        <is>
          <t>2708001686</t>
        </is>
      </c>
      <c r="G830" s="7" t="inlineStr">
        <is>
          <t>Успешно</t>
        </is>
      </c>
      <c r="H830" s="6" t="n"/>
      <c r="I830" s="6" t="n"/>
      <c r="J830" s="6" t="inlineStr">
        <is>
          <t>Пользовательский интерфейс</t>
        </is>
      </c>
      <c r="K830" s="7" t="n">
        <v>3</v>
      </c>
      <c r="L830" s="8" t="n"/>
      <c r="M830" s="137" t="inlineStr">
        <is>
          <t>+</t>
        </is>
      </c>
      <c r="N830" s="8" t="n"/>
      <c r="O830" s="8" t="n"/>
      <c r="P830" s="8" t="n"/>
      <c r="Q830" s="8" t="n"/>
      <c r="R830" s="8" t="n"/>
      <c r="S830" s="8" t="n"/>
      <c r="T830" s="8" t="n"/>
      <c r="U830" s="8" t="n"/>
      <c r="V830" s="8" t="n"/>
      <c r="W830" s="8" t="n"/>
      <c r="X830" s="137" t="inlineStr">
        <is>
          <t>+</t>
        </is>
      </c>
      <c r="Y830" s="137" t="inlineStr">
        <is>
          <t>+</t>
        </is>
      </c>
    </row>
    <row r="831">
      <c r="A831" s="6" t="inlineStr">
        <is>
          <t>работник 294</t>
        </is>
      </c>
      <c r="B831" s="6" t="inlineStr">
        <is>
          <t>Машинист экскаватора</t>
        </is>
      </c>
      <c r="C831" s="6" t="inlineStr">
        <is>
          <t>ОБЩЕСТВО С ОГРАНИЧЕННОЙ ОТВЕТСТВЕННОСТЬЮ "АМУР ЗОЛОТО"</t>
        </is>
      </c>
      <c r="D831" s="7" t="inlineStr">
        <is>
          <t>2708001686</t>
        </is>
      </c>
      <c r="E831" s="6" t="inlineStr">
        <is>
          <t>ООО "Амур Золото"</t>
        </is>
      </c>
      <c r="F831" s="7" t="inlineStr">
        <is>
          <t>2708001686</t>
        </is>
      </c>
      <c r="G831" s="7" t="inlineStr">
        <is>
          <t>Успешно</t>
        </is>
      </c>
      <c r="H831" s="6" t="n"/>
      <c r="I831" s="6" t="n"/>
      <c r="J831" s="6" t="inlineStr">
        <is>
          <t>Пользовательский интерфейс</t>
        </is>
      </c>
      <c r="K831" s="7" t="n">
        <v>6</v>
      </c>
      <c r="L831" s="8" t="n"/>
      <c r="M831" s="137" t="inlineStr">
        <is>
          <t>+</t>
        </is>
      </c>
      <c r="N831" s="8" t="n"/>
      <c r="O831" s="8" t="n"/>
      <c r="P831" s="8" t="n"/>
      <c r="Q831" s="8" t="n"/>
      <c r="R831" s="8" t="n"/>
      <c r="S831" s="8" t="n"/>
      <c r="T831" s="8" t="n"/>
      <c r="U831" s="8" t="n"/>
      <c r="V831" s="8" t="n"/>
      <c r="W831" s="8" t="n"/>
      <c r="X831" s="137" t="inlineStr">
        <is>
          <t>+</t>
        </is>
      </c>
      <c r="Y831" s="137" t="inlineStr">
        <is>
          <t>+</t>
        </is>
      </c>
    </row>
    <row r="832">
      <c r="A832" s="6" t="inlineStr">
        <is>
          <t>работник 225</t>
        </is>
      </c>
      <c r="B832" s="6" t="inlineStr">
        <is>
          <t>Машинист бульдозера</t>
        </is>
      </c>
      <c r="C832" s="6" t="inlineStr">
        <is>
          <t>ОБЩЕСТВО С ОГРАНИЧЕННОЙ ОТВЕТСТВЕННОСТЬЮ "АМУР ЗОЛОТО"</t>
        </is>
      </c>
      <c r="D832" s="7" t="inlineStr">
        <is>
          <t>2708001686</t>
        </is>
      </c>
      <c r="E832" s="6" t="inlineStr">
        <is>
          <t>ООО "Амур Золото"</t>
        </is>
      </c>
      <c r="F832" s="7" t="inlineStr">
        <is>
          <t>2708001686</t>
        </is>
      </c>
      <c r="G832" s="7" t="inlineStr">
        <is>
          <t>Успешно</t>
        </is>
      </c>
      <c r="H832" s="6" t="n"/>
      <c r="I832" s="6" t="n"/>
      <c r="J832" s="6" t="inlineStr">
        <is>
          <t>Пользовательский интерфейс</t>
        </is>
      </c>
      <c r="K832" s="7" t="n">
        <v>6</v>
      </c>
      <c r="L832" s="8" t="n"/>
      <c r="M832" s="137" t="inlineStr">
        <is>
          <t>+</t>
        </is>
      </c>
      <c r="N832" s="8" t="n"/>
      <c r="O832" s="8" t="n"/>
      <c r="P832" s="8" t="n"/>
      <c r="Q832" s="8" t="n"/>
      <c r="R832" s="8" t="n"/>
      <c r="S832" s="8" t="n"/>
      <c r="T832" s="8" t="n"/>
      <c r="U832" s="8" t="n"/>
      <c r="V832" s="8" t="n"/>
      <c r="W832" s="8" t="n"/>
      <c r="X832" s="137" t="inlineStr">
        <is>
          <t>+</t>
        </is>
      </c>
      <c r="Y832" s="137" t="inlineStr">
        <is>
          <t>+</t>
        </is>
      </c>
    </row>
    <row r="833">
      <c r="A833" s="6" t="inlineStr">
        <is>
          <t>работник 217</t>
        </is>
      </c>
      <c r="B833" s="6" t="inlineStr">
        <is>
          <t>Водитель автомобиля(занятый на траспортировании горной массы в технологическом процессе)</t>
        </is>
      </c>
      <c r="C833" s="6" t="inlineStr">
        <is>
          <t>ОБЩЕСТВО С ОГРАНИЧЕННОЙ ОТВЕТСТВЕННОСТЬЮ "АМУР ЗОЛОТО"</t>
        </is>
      </c>
      <c r="D833" s="7" t="inlineStr">
        <is>
          <t>2708001686</t>
        </is>
      </c>
      <c r="E833" s="6" t="inlineStr">
        <is>
          <t>ООО "Амур Золото"</t>
        </is>
      </c>
      <c r="F833" s="7" t="inlineStr">
        <is>
          <t>2708001686</t>
        </is>
      </c>
      <c r="G833" s="7" t="inlineStr">
        <is>
          <t>Успешно</t>
        </is>
      </c>
      <c r="H833" s="6" t="n"/>
      <c r="I833" s="6" t="n"/>
      <c r="J833" s="6" t="inlineStr">
        <is>
          <t>Пользовательский интерфейс</t>
        </is>
      </c>
      <c r="K833" s="7" t="n">
        <v>3</v>
      </c>
      <c r="L833" s="8" t="n"/>
      <c r="M833" s="137" t="inlineStr">
        <is>
          <t>+</t>
        </is>
      </c>
      <c r="N833" s="8" t="n"/>
      <c r="O833" s="8" t="n"/>
      <c r="P833" s="8" t="n"/>
      <c r="Q833" s="8" t="n"/>
      <c r="R833" s="8" t="n"/>
      <c r="S833" s="8" t="n"/>
      <c r="T833" s="8" t="n"/>
      <c r="U833" s="8" t="n"/>
      <c r="V833" s="8" t="n"/>
      <c r="W833" s="8" t="n"/>
      <c r="X833" s="137" t="inlineStr">
        <is>
          <t>+</t>
        </is>
      </c>
      <c r="Y833" s="137" t="inlineStr">
        <is>
          <t>+</t>
        </is>
      </c>
    </row>
    <row r="834">
      <c r="A834" s="6" t="inlineStr">
        <is>
          <t>работник 363</t>
        </is>
      </c>
      <c r="B834" s="6" t="inlineStr">
        <is>
          <t>Подсобный рабочий / Уборщик производственных и служебных помещений</t>
        </is>
      </c>
      <c r="C834" s="6" t="inlineStr">
        <is>
          <t>ОБЩЕСТВО С ОГРАНИЧЕННОЙ ОТВЕТСТВЕННОСТЬЮ "АМУР ЗОЛОТО"</t>
        </is>
      </c>
      <c r="D834" s="7" t="inlineStr">
        <is>
          <t>2708001686</t>
        </is>
      </c>
      <c r="E834" s="6" t="inlineStr">
        <is>
          <t>ООО "Амур Золото"</t>
        </is>
      </c>
      <c r="F834" s="7" t="inlineStr">
        <is>
          <t>2708001686</t>
        </is>
      </c>
      <c r="G834" s="7" t="inlineStr">
        <is>
          <t>Успешно</t>
        </is>
      </c>
      <c r="H834" s="6" t="n"/>
      <c r="I834" s="6" t="n"/>
      <c r="J834" s="6" t="inlineStr">
        <is>
          <t>Пользовательский интерфейс</t>
        </is>
      </c>
      <c r="K834" s="7" t="n">
        <v>6</v>
      </c>
      <c r="L834" s="8" t="n"/>
      <c r="M834" s="137" t="inlineStr">
        <is>
          <t>+</t>
        </is>
      </c>
      <c r="N834" s="8" t="n"/>
      <c r="O834" s="8" t="n"/>
      <c r="P834" s="8" t="n"/>
      <c r="Q834" s="8" t="n"/>
      <c r="R834" s="8" t="n"/>
      <c r="S834" s="8" t="n"/>
      <c r="T834" s="8" t="n"/>
      <c r="U834" s="8" t="n"/>
      <c r="V834" s="8" t="n"/>
      <c r="W834" s="8" t="n"/>
      <c r="X834" s="137" t="inlineStr">
        <is>
          <t>+</t>
        </is>
      </c>
      <c r="Y834" s="137" t="inlineStr">
        <is>
          <t>+</t>
        </is>
      </c>
    </row>
    <row r="835">
      <c r="A835" s="6" t="inlineStr">
        <is>
          <t>работник 295</t>
        </is>
      </c>
      <c r="B835" s="6" t="inlineStr">
        <is>
          <t>Механик</t>
        </is>
      </c>
      <c r="C835" s="6" t="inlineStr">
        <is>
          <t>ОБЩЕСТВО С ОГРАНИЧЕННОЙ ОТВЕТСТВЕННОСТЬЮ "АМУР ЗОЛОТО"</t>
        </is>
      </c>
      <c r="D835" s="7" t="inlineStr">
        <is>
          <t>2708001686</t>
        </is>
      </c>
      <c r="E835" s="6" t="inlineStr">
        <is>
          <t>ООО "Амур Золото"</t>
        </is>
      </c>
      <c r="F835" s="7" t="inlineStr">
        <is>
          <t>2708001686</t>
        </is>
      </c>
      <c r="G835" s="7" t="inlineStr">
        <is>
          <t>Успешно</t>
        </is>
      </c>
      <c r="H835" s="6" t="n"/>
      <c r="I835" s="6" t="n"/>
      <c r="J835" s="6" t="inlineStr">
        <is>
          <t>Пользовательский интерфейс</t>
        </is>
      </c>
      <c r="K835" s="7" t="n">
        <v>3</v>
      </c>
      <c r="L835" s="8" t="n"/>
      <c r="M835" s="137" t="inlineStr">
        <is>
          <t>+</t>
        </is>
      </c>
      <c r="N835" s="8" t="n"/>
      <c r="O835" s="8" t="n"/>
      <c r="P835" s="8" t="n"/>
      <c r="Q835" s="8" t="n"/>
      <c r="R835" s="8" t="n"/>
      <c r="S835" s="8" t="n"/>
      <c r="T835" s="8" t="n"/>
      <c r="U835" s="8" t="n"/>
      <c r="V835" s="8" t="n"/>
      <c r="W835" s="8" t="n"/>
      <c r="X835" s="140" t="inlineStr">
        <is>
          <t>+</t>
        </is>
      </c>
      <c r="Y835" s="137" t="inlineStr">
        <is>
          <t>+</t>
        </is>
      </c>
    </row>
    <row r="836">
      <c r="A836" s="6" t="inlineStr">
        <is>
          <t>работник 859</t>
        </is>
      </c>
      <c r="B836" s="6" t="inlineStr">
        <is>
          <t>Лаборант пробирного анализа</t>
        </is>
      </c>
      <c r="C836" s="6" t="inlineStr">
        <is>
          <t>ОБЩЕСТВО С ОГРАНИЧЕННОЙ ОТВЕТСТВЕННОСТЬЮ "АМУР ЗОЛОТО"</t>
        </is>
      </c>
      <c r="D836" s="7" t="inlineStr">
        <is>
          <t>2708001686</t>
        </is>
      </c>
      <c r="E836" s="6" t="inlineStr">
        <is>
          <t>ООО "Амур Золото"</t>
        </is>
      </c>
      <c r="F836" s="7" t="inlineStr">
        <is>
          <t>2708001686</t>
        </is>
      </c>
      <c r="G836" s="7" t="inlineStr">
        <is>
          <t>Успешно</t>
        </is>
      </c>
      <c r="H836" s="6" t="n"/>
      <c r="I836" s="6" t="n"/>
      <c r="J836" s="6" t="inlineStr">
        <is>
          <t>Пользовательский интерфейс</t>
        </is>
      </c>
      <c r="K836" s="7" t="n">
        <v>3</v>
      </c>
      <c r="L836" s="8" t="n"/>
      <c r="M836" s="137" t="inlineStr">
        <is>
          <t>+</t>
        </is>
      </c>
      <c r="N836" s="8" t="n"/>
      <c r="O836" s="8" t="n"/>
      <c r="P836" s="8" t="n"/>
      <c r="Q836" s="8" t="n"/>
      <c r="R836" s="8" t="n"/>
      <c r="S836" s="8" t="n"/>
      <c r="T836" s="8" t="n"/>
      <c r="U836" s="8" t="n"/>
      <c r="V836" s="8" t="n"/>
      <c r="W836" s="8" t="n"/>
      <c r="X836" s="137" t="inlineStr">
        <is>
          <t>+</t>
        </is>
      </c>
      <c r="Y836" s="137" t="inlineStr">
        <is>
          <t>+</t>
        </is>
      </c>
    </row>
    <row r="837">
      <c r="A837" s="6" t="inlineStr">
        <is>
          <t>работник 87</t>
        </is>
      </c>
      <c r="B837" s="6" t="inlineStr">
        <is>
          <t>оператор дизельных котлов</t>
        </is>
      </c>
      <c r="C837" s="6" t="inlineStr">
        <is>
          <t>ОБЩЕСТВО С ОГРАНИЧЕННОЙ ОТВЕТСТВЕННОСТЬЮ "АМУР ЗОЛОТО"</t>
        </is>
      </c>
      <c r="D837" s="7" t="inlineStr">
        <is>
          <t>2708001686</t>
        </is>
      </c>
      <c r="E837" s="6" t="inlineStr">
        <is>
          <t>ООО "Амур Золото"</t>
        </is>
      </c>
      <c r="F837" s="7" t="inlineStr">
        <is>
          <t>2708001686</t>
        </is>
      </c>
      <c r="G837" s="7" t="inlineStr">
        <is>
          <t>Успешно</t>
        </is>
      </c>
      <c r="H837" s="6" t="n"/>
      <c r="I837" s="6" t="n"/>
      <c r="J837" s="6" t="inlineStr">
        <is>
          <t>Пользовательский интерфейс</t>
        </is>
      </c>
      <c r="K837" s="7" t="n">
        <v>3</v>
      </c>
      <c r="L837" s="8" t="n"/>
      <c r="M837" s="137" t="inlineStr">
        <is>
          <t>+</t>
        </is>
      </c>
      <c r="N837" s="8" t="n"/>
      <c r="O837" s="8" t="n"/>
      <c r="P837" s="8" t="n"/>
      <c r="Q837" s="8" t="n"/>
      <c r="R837" s="8" t="n"/>
      <c r="S837" s="8" t="n"/>
      <c r="T837" s="8" t="n"/>
      <c r="U837" s="8" t="n"/>
      <c r="V837" s="8" t="n"/>
      <c r="W837" s="8" t="n"/>
      <c r="X837" s="137" t="inlineStr">
        <is>
          <t>+</t>
        </is>
      </c>
      <c r="Y837" s="137" t="inlineStr">
        <is>
          <t>+</t>
        </is>
      </c>
    </row>
    <row r="838">
      <c r="A838" s="6" t="inlineStr">
        <is>
          <t>работник 440</t>
        </is>
      </c>
      <c r="B838" s="6" t="inlineStr">
        <is>
          <t>Растворщик реагентов</t>
        </is>
      </c>
      <c r="C838" s="6" t="inlineStr">
        <is>
          <t>ОБЩЕСТВО С ОГРАНИЧЕННОЙ ОТВЕТСТВЕННОСТЬЮ "АМУР ЗОЛОТО"</t>
        </is>
      </c>
      <c r="D838" s="7" t="inlineStr">
        <is>
          <t>2708001686</t>
        </is>
      </c>
      <c r="E838" s="6" t="inlineStr">
        <is>
          <t>ООО "Амур Золото"</t>
        </is>
      </c>
      <c r="F838" s="7" t="inlineStr">
        <is>
          <t>2708001686</t>
        </is>
      </c>
      <c r="G838" s="7" t="inlineStr">
        <is>
          <t>Успешно</t>
        </is>
      </c>
      <c r="H838" s="6" t="n"/>
      <c r="I838" s="6" t="n"/>
      <c r="J838" s="6" t="inlineStr">
        <is>
          <t>Пользовательский интерфейс</t>
        </is>
      </c>
      <c r="K838" s="7" t="n">
        <v>2</v>
      </c>
      <c r="L838" s="8" t="n"/>
      <c r="M838" s="137" t="inlineStr">
        <is>
          <t>+</t>
        </is>
      </c>
      <c r="N838" s="8" t="n"/>
      <c r="O838" s="8" t="n"/>
      <c r="P838" s="8" t="n"/>
      <c r="Q838" s="8" t="n"/>
      <c r="R838" s="8" t="n"/>
      <c r="S838" s="8" t="n"/>
      <c r="T838" s="8" t="n"/>
      <c r="U838" s="8" t="n"/>
      <c r="V838" s="8" t="n"/>
      <c r="W838" s="8" t="n"/>
      <c r="X838" s="139" t="n"/>
      <c r="Y838" s="137" t="inlineStr">
        <is>
          <t>+</t>
        </is>
      </c>
    </row>
    <row r="839">
      <c r="A839" s="6" t="inlineStr">
        <is>
          <t>работник 821</t>
        </is>
      </c>
      <c r="B839" s="6" t="inlineStr">
        <is>
          <t>Водитель автомобиля (занятый на транспортировании горной массы в технологическом процессе)</t>
        </is>
      </c>
      <c r="C839" s="6" t="inlineStr">
        <is>
          <t>ОБЩЕСТВО С ОГРАНИЧЕННОЙ ОТВЕТСТВЕННОСТЬЮ "АМУР ЗОЛОТО"</t>
        </is>
      </c>
      <c r="D839" s="7" t="inlineStr">
        <is>
          <t>2708001686</t>
        </is>
      </c>
      <c r="E839" s="6" t="inlineStr">
        <is>
          <t>ООО "Амур Золото"</t>
        </is>
      </c>
      <c r="F839" s="7" t="inlineStr">
        <is>
          <t>2708001686</t>
        </is>
      </c>
      <c r="G839" s="7" t="inlineStr">
        <is>
          <t>Успешно</t>
        </is>
      </c>
      <c r="H839" s="6" t="n"/>
      <c r="I839" s="6" t="n"/>
      <c r="J839" s="6" t="inlineStr">
        <is>
          <t>Пользовательский интерфейс</t>
        </is>
      </c>
      <c r="K839" s="7" t="n">
        <v>2</v>
      </c>
      <c r="L839" s="8" t="n"/>
      <c r="M839" s="137" t="inlineStr">
        <is>
          <t>+</t>
        </is>
      </c>
      <c r="N839" s="8" t="n"/>
      <c r="O839" s="8" t="n"/>
      <c r="P839" s="8" t="n"/>
      <c r="Q839" s="8" t="n"/>
      <c r="R839" s="8" t="n"/>
      <c r="S839" s="8" t="n"/>
      <c r="T839" s="8" t="n"/>
      <c r="U839" s="8" t="n"/>
      <c r="V839" s="8" t="n"/>
      <c r="W839" s="8" t="n"/>
      <c r="X839" s="139" t="n"/>
      <c r="Y839" s="137" t="inlineStr">
        <is>
          <t>+</t>
        </is>
      </c>
    </row>
    <row r="840">
      <c r="A840" s="6" t="inlineStr">
        <is>
          <t>работник 529</t>
        </is>
      </c>
      <c r="B840" s="6" t="inlineStr">
        <is>
          <t>Растворщик реагентов</t>
        </is>
      </c>
      <c r="C840" s="6" t="inlineStr">
        <is>
          <t>ОБЩЕСТВО С ОГРАНИЧЕННОЙ ОТВЕТСТВЕННОСТЬЮ "АМУР ЗОЛОТО"</t>
        </is>
      </c>
      <c r="D840" s="7" t="inlineStr">
        <is>
          <t>2708001686</t>
        </is>
      </c>
      <c r="E840" s="6" t="inlineStr">
        <is>
          <t>ООО "Амур Золото"</t>
        </is>
      </c>
      <c r="F840" s="7" t="inlineStr">
        <is>
          <t>2708001686</t>
        </is>
      </c>
      <c r="G840" s="7" t="inlineStr">
        <is>
          <t>Успешно</t>
        </is>
      </c>
      <c r="H840" s="6" t="n"/>
      <c r="I840" s="6" t="n"/>
      <c r="J840" s="6" t="inlineStr">
        <is>
          <t>Пользовательский интерфейс</t>
        </is>
      </c>
      <c r="K840" s="7" t="n">
        <v>2</v>
      </c>
      <c r="L840" s="8" t="n"/>
      <c r="M840" s="137" t="inlineStr">
        <is>
          <t>+</t>
        </is>
      </c>
      <c r="N840" s="8" t="n"/>
      <c r="O840" s="8" t="n"/>
      <c r="P840" s="8" t="n"/>
      <c r="Q840" s="8" t="n"/>
      <c r="R840" s="8" t="n"/>
      <c r="S840" s="8" t="n"/>
      <c r="T840" s="8" t="n"/>
      <c r="U840" s="8" t="n"/>
      <c r="V840" s="8" t="n"/>
      <c r="W840" s="8" t="n"/>
      <c r="X840" s="139" t="n"/>
      <c r="Y840" s="137" t="inlineStr">
        <is>
          <t>+</t>
        </is>
      </c>
    </row>
    <row r="841">
      <c r="A841" s="6" t="inlineStr">
        <is>
          <t>работник 276</t>
        </is>
      </c>
      <c r="B841" s="6" t="inlineStr">
        <is>
          <t>Машинист бульдозера</t>
        </is>
      </c>
      <c r="C841" s="6" t="inlineStr">
        <is>
          <t>ОБЩЕСТВО С ОГРАНИЧЕННОЙ ОТВЕТСТВЕННОСТЬЮ "АМУР ЗОЛОТО"</t>
        </is>
      </c>
      <c r="D841" s="7" t="inlineStr">
        <is>
          <t>2708001686</t>
        </is>
      </c>
      <c r="E841" s="6" t="inlineStr">
        <is>
          <t>ООО "Амур Золото"</t>
        </is>
      </c>
      <c r="F841" s="7" t="inlineStr">
        <is>
          <t>2708001686</t>
        </is>
      </c>
      <c r="G841" s="7" t="inlineStr">
        <is>
          <t>Успешно</t>
        </is>
      </c>
      <c r="H841" s="6" t="n"/>
      <c r="I841" s="6" t="n"/>
      <c r="J841" s="6" t="inlineStr">
        <is>
          <t>Пользовательский интерфейс</t>
        </is>
      </c>
      <c r="K841" s="7" t="n">
        <v>3</v>
      </c>
      <c r="L841" s="8" t="n"/>
      <c r="M841" s="137" t="inlineStr">
        <is>
          <t>+</t>
        </is>
      </c>
      <c r="N841" s="8" t="n"/>
      <c r="O841" s="8" t="n"/>
      <c r="P841" s="8" t="n"/>
      <c r="Q841" s="8" t="n"/>
      <c r="R841" s="8" t="n"/>
      <c r="S841" s="8" t="n"/>
      <c r="T841" s="8" t="n"/>
      <c r="U841" s="8" t="n"/>
      <c r="V841" s="8" t="n"/>
      <c r="W841" s="8" t="n"/>
      <c r="X841" s="137" t="inlineStr">
        <is>
          <t>+</t>
        </is>
      </c>
      <c r="Y841" s="137" t="inlineStr">
        <is>
          <t>+</t>
        </is>
      </c>
    </row>
    <row r="842">
      <c r="A842" s="6" t="inlineStr">
        <is>
          <t>работник 296</t>
        </is>
      </c>
      <c r="B842" s="6" t="inlineStr">
        <is>
          <t>Водитель автомобиля (занятый на транспортировании горной массы в технологическом процессе)</t>
        </is>
      </c>
      <c r="C842" s="6" t="inlineStr">
        <is>
          <t>ОБЩЕСТВО С ОГРАНИЧЕННОЙ ОТВЕТСТВЕННОСТЬЮ "АМУР ЗОЛОТО"</t>
        </is>
      </c>
      <c r="D842" s="7" t="inlineStr">
        <is>
          <t>2708001686</t>
        </is>
      </c>
      <c r="E842" s="6" t="inlineStr">
        <is>
          <t>ООО "Амур Золото"</t>
        </is>
      </c>
      <c r="F842" s="7" t="inlineStr">
        <is>
          <t>2708001686</t>
        </is>
      </c>
      <c r="G842" s="7" t="inlineStr">
        <is>
          <t>Успешно</t>
        </is>
      </c>
      <c r="H842" s="6" t="n"/>
      <c r="I842" s="6" t="n"/>
      <c r="J842" s="6" t="inlineStr">
        <is>
          <t>Пользовательский интерфейс</t>
        </is>
      </c>
      <c r="K842" s="7" t="n">
        <v>3</v>
      </c>
      <c r="L842" s="8" t="n"/>
      <c r="M842" s="137" t="inlineStr">
        <is>
          <t>+</t>
        </is>
      </c>
      <c r="N842" s="8" t="n"/>
      <c r="O842" s="8" t="n"/>
      <c r="P842" s="8" t="n"/>
      <c r="Q842" s="8" t="n"/>
      <c r="R842" s="8" t="n"/>
      <c r="S842" s="8" t="n"/>
      <c r="T842" s="8" t="n"/>
      <c r="U842" s="8" t="n"/>
      <c r="V842" s="8" t="n"/>
      <c r="W842" s="8" t="n"/>
      <c r="X842" s="137" t="inlineStr">
        <is>
          <t>+</t>
        </is>
      </c>
      <c r="Y842" s="137" t="inlineStr">
        <is>
          <t>+</t>
        </is>
      </c>
    </row>
    <row r="843">
      <c r="A843" s="6" t="inlineStr">
        <is>
          <t>работник 796</t>
        </is>
      </c>
      <c r="B843" s="6" t="inlineStr">
        <is>
          <t>Водитель автомобиля (топливозаправщик)</t>
        </is>
      </c>
      <c r="C843" s="6" t="inlineStr">
        <is>
          <t>ОБЩЕСТВО С ОГРАНИЧЕННОЙ ОТВЕТСТВЕННОСТЬЮ "АМУР ЗОЛОТО"</t>
        </is>
      </c>
      <c r="D843" s="7" t="inlineStr">
        <is>
          <t>2708001686</t>
        </is>
      </c>
      <c r="E843" s="6" t="inlineStr">
        <is>
          <t>ООО "Амур Золото"</t>
        </is>
      </c>
      <c r="F843" s="7" t="inlineStr">
        <is>
          <t>2708001686</t>
        </is>
      </c>
      <c r="G843" s="7" t="inlineStr">
        <is>
          <t>Успешно</t>
        </is>
      </c>
      <c r="H843" s="6" t="n"/>
      <c r="I843" s="6" t="n"/>
      <c r="J843" s="6" t="inlineStr">
        <is>
          <t>Пользовательский интерфейс</t>
        </is>
      </c>
      <c r="K843" s="7" t="n">
        <v>3</v>
      </c>
      <c r="L843" s="8" t="n"/>
      <c r="M843" s="137" t="inlineStr">
        <is>
          <t>+</t>
        </is>
      </c>
      <c r="N843" s="8" t="n"/>
      <c r="O843" s="8" t="n"/>
      <c r="P843" s="8" t="n"/>
      <c r="Q843" s="8" t="n"/>
      <c r="R843" s="8" t="n"/>
      <c r="S843" s="8" t="n"/>
      <c r="T843" s="8" t="n"/>
      <c r="U843" s="8" t="n"/>
      <c r="V843" s="8" t="n"/>
      <c r="W843" s="8" t="n"/>
      <c r="X843" s="137" t="inlineStr">
        <is>
          <t>+</t>
        </is>
      </c>
      <c r="Y843" s="137" t="inlineStr">
        <is>
          <t>+</t>
        </is>
      </c>
    </row>
    <row r="844">
      <c r="A844" s="6" t="inlineStr">
        <is>
          <t>работник 495</t>
        </is>
      </c>
      <c r="B844" s="6" t="inlineStr">
        <is>
          <t>Машинист погрузочно-доставочной машины (занятый на транспортировании горной массы в технологическом процессе) / Машинист подземных самоходных машин</t>
        </is>
      </c>
      <c r="C844" s="6" t="inlineStr">
        <is>
          <t>ОБЩЕСТВО С ОГРАНИЧЕННОЙ ОТВЕТСТВЕННОСТЬЮ "АМУР ЗОЛОТО"</t>
        </is>
      </c>
      <c r="D844" s="7" t="inlineStr">
        <is>
          <t>2708001686</t>
        </is>
      </c>
      <c r="E844" s="6" t="inlineStr">
        <is>
          <t>ООО "Амур Золото"</t>
        </is>
      </c>
      <c r="F844" s="7" t="inlineStr">
        <is>
          <t>2708001686</t>
        </is>
      </c>
      <c r="G844" s="7" t="inlineStr">
        <is>
          <t>Успешно</t>
        </is>
      </c>
      <c r="H844" s="6" t="n"/>
      <c r="I844" s="6" t="n"/>
      <c r="J844" s="6" t="inlineStr">
        <is>
          <t>Пользовательский интерфейс</t>
        </is>
      </c>
      <c r="K844" s="7" t="n">
        <v>5</v>
      </c>
      <c r="L844" s="8" t="n"/>
      <c r="M844" s="137" t="inlineStr">
        <is>
          <t>+</t>
        </is>
      </c>
      <c r="N844" s="8" t="n"/>
      <c r="O844" s="8" t="n"/>
      <c r="P844" s="8" t="n"/>
      <c r="Q844" s="8" t="n"/>
      <c r="R844" s="8" t="n"/>
      <c r="S844" s="8" t="n"/>
      <c r="T844" s="8" t="n"/>
      <c r="U844" s="8" t="n"/>
      <c r="V844" s="8" t="n"/>
      <c r="W844" s="8" t="n"/>
      <c r="X844" s="137" t="inlineStr">
        <is>
          <t>+</t>
        </is>
      </c>
      <c r="Y844" s="137" t="inlineStr">
        <is>
          <t>+</t>
        </is>
      </c>
    </row>
    <row r="845">
      <c r="A845" s="6" t="inlineStr">
        <is>
          <t>работник 437</t>
        </is>
      </c>
      <c r="B845" s="6" t="inlineStr">
        <is>
          <t>Растворщик реагентов</t>
        </is>
      </c>
      <c r="C845" s="6" t="inlineStr">
        <is>
          <t>ОБЩЕСТВО С ОГРАНИЧЕННОЙ ОТВЕТСТВЕННОСТЬЮ "АМУР ЗОЛОТО"</t>
        </is>
      </c>
      <c r="D845" s="7" t="inlineStr">
        <is>
          <t>2708001686</t>
        </is>
      </c>
      <c r="E845" s="6" t="inlineStr">
        <is>
          <t>ООО "Амур Золото"</t>
        </is>
      </c>
      <c r="F845" s="7" t="inlineStr">
        <is>
          <t>2708001686</t>
        </is>
      </c>
      <c r="G845" s="7" t="inlineStr">
        <is>
          <t>Успешно</t>
        </is>
      </c>
      <c r="H845" s="6" t="n"/>
      <c r="I845" s="6" t="n"/>
      <c r="J845" s="6" t="inlineStr">
        <is>
          <t>Пользовательский интерфейс</t>
        </is>
      </c>
      <c r="K845" s="7" t="n">
        <v>3</v>
      </c>
      <c r="L845" s="8" t="n"/>
      <c r="M845" s="137" t="inlineStr">
        <is>
          <t>+</t>
        </is>
      </c>
      <c r="N845" s="8" t="n"/>
      <c r="O845" s="8" t="n"/>
      <c r="P845" s="8" t="n"/>
      <c r="Q845" s="8" t="n"/>
      <c r="R845" s="8" t="n"/>
      <c r="S845" s="8" t="n"/>
      <c r="T845" s="8" t="n"/>
      <c r="U845" s="8" t="n"/>
      <c r="V845" s="8" t="n"/>
      <c r="W845" s="8" t="n"/>
      <c r="X845" s="139" t="n"/>
      <c r="Y845" s="137" t="inlineStr">
        <is>
          <t>+</t>
        </is>
      </c>
    </row>
    <row r="846">
      <c r="A846" s="6" t="inlineStr">
        <is>
          <t>работник 452</t>
        </is>
      </c>
      <c r="B846" s="6" t="inlineStr">
        <is>
          <t>Фильтровальщик</t>
        </is>
      </c>
      <c r="C846" s="6" t="inlineStr">
        <is>
          <t>ОБЩЕСТВО С ОГРАНИЧЕННОЙ ОТВЕТСТВЕННОСТЬЮ "АМУР ЗОЛОТО"</t>
        </is>
      </c>
      <c r="D846" s="7" t="inlineStr">
        <is>
          <t>2708001686</t>
        </is>
      </c>
      <c r="E846" s="6" t="inlineStr">
        <is>
          <t>ООО "Амур Золото"</t>
        </is>
      </c>
      <c r="F846" s="7" t="inlineStr">
        <is>
          <t>2708001686</t>
        </is>
      </c>
      <c r="G846" s="7" t="inlineStr">
        <is>
          <t>Успешно</t>
        </is>
      </c>
      <c r="H846" s="6" t="n"/>
      <c r="I846" s="6" t="n"/>
      <c r="J846" s="6" t="inlineStr">
        <is>
          <t>Пользовательский интерфейс</t>
        </is>
      </c>
      <c r="K846" s="7" t="n">
        <v>4</v>
      </c>
      <c r="L846" s="8" t="n"/>
      <c r="M846" s="137" t="inlineStr">
        <is>
          <t>+</t>
        </is>
      </c>
      <c r="N846" s="137" t="inlineStr">
        <is>
          <t>+</t>
        </is>
      </c>
      <c r="O846" s="8" t="n"/>
      <c r="P846" s="137" t="inlineStr">
        <is>
          <t>+</t>
        </is>
      </c>
      <c r="Q846" s="8" t="n"/>
      <c r="R846" s="8" t="n"/>
      <c r="S846" s="8" t="n"/>
      <c r="T846" s="8" t="n"/>
      <c r="U846" s="8" t="n"/>
      <c r="V846" s="8" t="n"/>
      <c r="W846" s="8" t="n"/>
      <c r="X846" s="139" t="n"/>
      <c r="Y846" s="137" t="inlineStr">
        <is>
          <t>+</t>
        </is>
      </c>
    </row>
    <row r="847">
      <c r="A847" s="6" t="inlineStr">
        <is>
          <t>работник 767</t>
        </is>
      </c>
      <c r="B847" s="6" t="inlineStr">
        <is>
          <t>Проходчик (с исполнением обязанностей взрывника)</t>
        </is>
      </c>
      <c r="C847" s="6" t="inlineStr">
        <is>
          <t>ОБЩЕСТВО С ОГРАНИЧЕННОЙ ОТВЕТСТВЕННОСТЬЮ "АМУР ЗОЛОТО"</t>
        </is>
      </c>
      <c r="D847" s="7" t="inlineStr">
        <is>
          <t>2708001686</t>
        </is>
      </c>
      <c r="E847" s="6" t="inlineStr">
        <is>
          <t>ООО "Амур Золото"</t>
        </is>
      </c>
      <c r="F847" s="7" t="inlineStr">
        <is>
          <t>2708001686</t>
        </is>
      </c>
      <c r="G847" s="7" t="inlineStr">
        <is>
          <t>Успешно</t>
        </is>
      </c>
      <c r="H847" s="6" t="n"/>
      <c r="I847" s="6" t="n"/>
      <c r="J847" s="6" t="inlineStr">
        <is>
          <t>Пользовательский интерфейс</t>
        </is>
      </c>
      <c r="K847" s="7" t="n">
        <v>1</v>
      </c>
      <c r="L847" s="8" t="n"/>
      <c r="M847" s="139" t="n"/>
      <c r="N847" s="8" t="n"/>
      <c r="O847" s="8" t="n"/>
      <c r="P847" s="8" t="n"/>
      <c r="Q847" s="8" t="n"/>
      <c r="R847" s="8" t="n"/>
      <c r="S847" s="8" t="n"/>
      <c r="T847" s="8" t="n"/>
      <c r="U847" s="8" t="n"/>
      <c r="V847" s="8" t="n"/>
      <c r="W847" s="8" t="n"/>
      <c r="X847" s="137" t="inlineStr">
        <is>
          <t>+</t>
        </is>
      </c>
      <c r="Y847" s="8" t="n"/>
    </row>
    <row r="848">
      <c r="A848" s="6" t="inlineStr">
        <is>
          <t>работник 405</t>
        </is>
      </c>
      <c r="B848" s="6" t="inlineStr">
        <is>
          <t>Машинист погрузочно-доставочной машины</t>
        </is>
      </c>
      <c r="C848" s="6" t="inlineStr">
        <is>
          <t>ОБЩЕСТВО С ОГРАНИЧЕННОЙ ОТВЕТСТВЕННОСТЬЮ "АМУР ЗОЛОТО"</t>
        </is>
      </c>
      <c r="D848" s="7" t="inlineStr">
        <is>
          <t>2708001686</t>
        </is>
      </c>
      <c r="E848" s="6" t="inlineStr">
        <is>
          <t>ООО "Амур Золото"</t>
        </is>
      </c>
      <c r="F848" s="7" t="inlineStr">
        <is>
          <t>2708001686</t>
        </is>
      </c>
      <c r="G848" s="7" t="inlineStr">
        <is>
          <t>Успешно</t>
        </is>
      </c>
      <c r="H848" s="6" t="n"/>
      <c r="I848" s="6" t="n"/>
      <c r="J848" s="6" t="inlineStr">
        <is>
          <t>Пользовательский интерфейс</t>
        </is>
      </c>
      <c r="K848" s="7" t="n">
        <v>2</v>
      </c>
      <c r="L848" s="8" t="n"/>
      <c r="M848" s="137" t="inlineStr">
        <is>
          <t>+</t>
        </is>
      </c>
      <c r="N848" s="8" t="n"/>
      <c r="O848" s="8" t="n"/>
      <c r="P848" s="8" t="n"/>
      <c r="Q848" s="8" t="n"/>
      <c r="R848" s="8" t="n"/>
      <c r="S848" s="8" t="n"/>
      <c r="T848" s="8" t="n"/>
      <c r="U848" s="8" t="n"/>
      <c r="V848" s="8" t="n"/>
      <c r="W848" s="8" t="n"/>
      <c r="X848" s="139" t="n"/>
      <c r="Y848" s="137" t="inlineStr">
        <is>
          <t>+</t>
        </is>
      </c>
    </row>
    <row r="849">
      <c r="A849" s="6" t="inlineStr">
        <is>
          <t>работник 462</t>
        </is>
      </c>
      <c r="B849" s="6" t="inlineStr">
        <is>
          <t>Электрогазосварщик (занятый на резке и ручной сварке)</t>
        </is>
      </c>
      <c r="C849" s="6" t="inlineStr">
        <is>
          <t>ОБЩЕСТВО С ОГРАНИЧЕННОЙ ОТВЕТСТВЕННОСТЬЮ "АМУР ЗОЛОТО"</t>
        </is>
      </c>
      <c r="D849" s="7" t="inlineStr">
        <is>
          <t>2708001686</t>
        </is>
      </c>
      <c r="E849" s="6" t="inlineStr">
        <is>
          <t>ООО "Амур Золото"</t>
        </is>
      </c>
      <c r="F849" s="7" t="inlineStr">
        <is>
          <t>2708001686</t>
        </is>
      </c>
      <c r="G849" s="7" t="inlineStr">
        <is>
          <t>Успешно</t>
        </is>
      </c>
      <c r="H849" s="6" t="n"/>
      <c r="I849" s="6" t="n"/>
      <c r="J849" s="6" t="inlineStr">
        <is>
          <t>Пользовательский интерфейс</t>
        </is>
      </c>
      <c r="K849" s="7" t="n">
        <v>6</v>
      </c>
      <c r="L849" s="8" t="n"/>
      <c r="M849" s="137" t="inlineStr">
        <is>
          <t>+</t>
        </is>
      </c>
      <c r="N849" s="8" t="n"/>
      <c r="O849" s="137" t="inlineStr">
        <is>
          <t>+</t>
        </is>
      </c>
      <c r="P849" s="8" t="n"/>
      <c r="Q849" s="8" t="n"/>
      <c r="R849" s="8" t="n"/>
      <c r="S849" s="8" t="n"/>
      <c r="T849" s="8" t="n"/>
      <c r="U849" s="8" t="n"/>
      <c r="V849" s="8" t="n"/>
      <c r="W849" s="8" t="n"/>
      <c r="X849" s="137" t="inlineStr">
        <is>
          <t>+</t>
        </is>
      </c>
      <c r="Y849" s="137" t="inlineStr">
        <is>
          <t>+</t>
        </is>
      </c>
    </row>
    <row r="850">
      <c r="A850" s="6" t="inlineStr">
        <is>
          <t>работник 66</t>
        </is>
      </c>
      <c r="B850" s="6" t="inlineStr">
        <is>
          <t>Электрослесарь (слесарь) дежурный и по ремонту оборудования подземного горного участка / Электрослесарь (слесарь)</t>
        </is>
      </c>
      <c r="C850" s="6" t="inlineStr">
        <is>
          <t>ОБЩЕСТВО С ОГРАНИЧЕННОЙ ОТВЕТСТВЕННОСТЬЮ "АМУР ЗОЛОТО"</t>
        </is>
      </c>
      <c r="D850" s="7" t="inlineStr">
        <is>
          <t>2708001686</t>
        </is>
      </c>
      <c r="E850" s="6" t="inlineStr">
        <is>
          <t>ООО "Амур Золото"</t>
        </is>
      </c>
      <c r="F850" s="7" t="inlineStr">
        <is>
          <t>2708001686</t>
        </is>
      </c>
      <c r="G850" s="7" t="inlineStr">
        <is>
          <t>Успешно</t>
        </is>
      </c>
      <c r="H850" s="6" t="n"/>
      <c r="I850" s="6" t="n"/>
      <c r="J850" s="6" t="inlineStr">
        <is>
          <t>Пользовательский интерфейс</t>
        </is>
      </c>
      <c r="K850" s="7" t="n">
        <v>9</v>
      </c>
      <c r="L850" s="8" t="n"/>
      <c r="M850" s="137" t="inlineStr">
        <is>
          <t>+</t>
        </is>
      </c>
      <c r="N850" s="8" t="n"/>
      <c r="O850" s="8" t="n"/>
      <c r="P850" s="8" t="n"/>
      <c r="Q850" s="8" t="n"/>
      <c r="R850" s="8" t="n"/>
      <c r="S850" s="8" t="n"/>
      <c r="T850" s="8" t="n"/>
      <c r="U850" s="8" t="n"/>
      <c r="V850" s="8" t="n"/>
      <c r="W850" s="8" t="n"/>
      <c r="X850" s="137" t="inlineStr">
        <is>
          <t>+</t>
        </is>
      </c>
      <c r="Y850" s="137" t="inlineStr">
        <is>
          <t>+</t>
        </is>
      </c>
    </row>
    <row r="851">
      <c r="A851" s="6" t="inlineStr">
        <is>
          <t>работник 870</t>
        </is>
      </c>
      <c r="B851" s="6" t="inlineStr">
        <is>
          <t>Повар</t>
        </is>
      </c>
      <c r="C851" s="6" t="inlineStr">
        <is>
          <t>ОБЩЕСТВО С ОГРАНИЧЕННОЙ ОТВЕТСТВЕННОСТЬЮ "АМУР ЗОЛОТО"</t>
        </is>
      </c>
      <c r="D851" s="7" t="inlineStr">
        <is>
          <t>2708001686</t>
        </is>
      </c>
      <c r="E851" s="6" t="inlineStr">
        <is>
          <t>ООО "Амур Золото"</t>
        </is>
      </c>
      <c r="F851" s="7" t="inlineStr">
        <is>
          <t>2708001686</t>
        </is>
      </c>
      <c r="G851" s="7" t="inlineStr">
        <is>
          <t>Успешно</t>
        </is>
      </c>
      <c r="H851" s="6" t="n"/>
      <c r="I851" s="6" t="n"/>
      <c r="J851" s="6" t="inlineStr">
        <is>
          <t>Пользовательский интерфейс</t>
        </is>
      </c>
      <c r="K851" s="7" t="n">
        <v>3</v>
      </c>
      <c r="L851" s="8" t="n"/>
      <c r="M851" s="137" t="inlineStr">
        <is>
          <t>+</t>
        </is>
      </c>
      <c r="N851" s="8" t="n"/>
      <c r="O851" s="8" t="n"/>
      <c r="P851" s="8" t="n"/>
      <c r="Q851" s="8" t="n"/>
      <c r="R851" s="8" t="n"/>
      <c r="S851" s="8" t="n"/>
      <c r="T851" s="8" t="n"/>
      <c r="U851" s="8" t="n"/>
      <c r="V851" s="8" t="n"/>
      <c r="W851" s="8" t="n"/>
      <c r="X851" s="137" t="inlineStr">
        <is>
          <t>+</t>
        </is>
      </c>
      <c r="Y851" s="138" t="inlineStr">
        <is>
          <t>+</t>
        </is>
      </c>
    </row>
    <row r="852">
      <c r="A852" s="6" t="inlineStr">
        <is>
          <t>работник 550</t>
        </is>
      </c>
      <c r="B852" s="6" t="inlineStr">
        <is>
          <t>Проходчик (с исполнением обязанностей взрывника)</t>
        </is>
      </c>
      <c r="C852" s="6" t="inlineStr">
        <is>
          <t>ОБЩЕСТВО С ОГРАНИЧЕННОЙ ОТВЕТСТВЕННОСТЬЮ "АМУР ЗОЛОТО"</t>
        </is>
      </c>
      <c r="D852" s="7" t="inlineStr">
        <is>
          <t>2708001686</t>
        </is>
      </c>
      <c r="E852" s="6" t="inlineStr">
        <is>
          <t>ООО "Амур Золото"</t>
        </is>
      </c>
      <c r="F852" s="7" t="inlineStr">
        <is>
          <t>2708001686</t>
        </is>
      </c>
      <c r="G852" s="7" t="inlineStr">
        <is>
          <t>Успешно</t>
        </is>
      </c>
      <c r="H852" s="6" t="n"/>
      <c r="I852" s="6" t="n"/>
      <c r="J852" s="6" t="n"/>
      <c r="K852" s="7" t="n">
        <v>2</v>
      </c>
      <c r="L852" s="8" t="n"/>
      <c r="M852" s="137" t="inlineStr">
        <is>
          <t>+</t>
        </is>
      </c>
      <c r="N852" s="8" t="n"/>
      <c r="O852" s="8" t="n"/>
      <c r="P852" s="8" t="n"/>
      <c r="Q852" s="8" t="n"/>
      <c r="R852" s="8" t="n"/>
      <c r="S852" s="8" t="n"/>
      <c r="T852" s="8" t="n"/>
      <c r="U852" s="8" t="n"/>
      <c r="V852" s="8" t="n"/>
      <c r="W852" s="8" t="n"/>
      <c r="X852" s="139" t="n"/>
      <c r="Y852" s="137" t="inlineStr">
        <is>
          <t>+</t>
        </is>
      </c>
    </row>
    <row r="853">
      <c r="A853" s="6" t="inlineStr">
        <is>
          <t>работник 739</t>
        </is>
      </c>
      <c r="B853" s="6" t="inlineStr">
        <is>
          <t>Вальщик леса</t>
        </is>
      </c>
      <c r="C853" s="6" t="inlineStr">
        <is>
          <t>ОБЩЕСТВО С ОГРАНИЧЕННОЙ ОТВЕТСТВЕННОСТЬЮ "АМУР ЗОЛОТО"</t>
        </is>
      </c>
      <c r="D853" s="7" t="inlineStr">
        <is>
          <t>2708001686</t>
        </is>
      </c>
      <c r="E853" s="6" t="inlineStr">
        <is>
          <t>ООО "Амур Золото"</t>
        </is>
      </c>
      <c r="F853" s="7" t="inlineStr">
        <is>
          <t>2708001686</t>
        </is>
      </c>
      <c r="G853" s="7" t="inlineStr">
        <is>
          <t>Успешно</t>
        </is>
      </c>
      <c r="H853" s="6" t="n"/>
      <c r="I853" s="6" t="n"/>
      <c r="J853" s="6" t="inlineStr">
        <is>
          <t>Пользовательский интерфейс</t>
        </is>
      </c>
      <c r="K853" s="7" t="n">
        <v>2</v>
      </c>
      <c r="L853" s="8" t="n"/>
      <c r="M853" s="137" t="inlineStr">
        <is>
          <t>+</t>
        </is>
      </c>
      <c r="N853" s="8" t="n"/>
      <c r="O853" s="8" t="n"/>
      <c r="P853" s="8" t="n"/>
      <c r="Q853" s="8" t="n"/>
      <c r="R853" s="8" t="n"/>
      <c r="S853" s="8" t="n"/>
      <c r="T853" s="8" t="n"/>
      <c r="U853" s="8" t="n"/>
      <c r="V853" s="8" t="n"/>
      <c r="W853" s="8" t="n"/>
      <c r="X853" s="139" t="n"/>
      <c r="Y853" s="137" t="inlineStr">
        <is>
          <t>+</t>
        </is>
      </c>
    </row>
    <row r="854">
      <c r="A854" s="6" t="inlineStr">
        <is>
          <t>работник 545</t>
        </is>
      </c>
      <c r="B854" s="6" t="inlineStr">
        <is>
          <t>Помощник машиниста самоходной буровой установки (с исполнением обязанностей пробоотборщика) (Очистное)</t>
        </is>
      </c>
      <c r="C854" s="6" t="inlineStr">
        <is>
          <t>ОБЩЕСТВО С ОГРАНИЧЕННОЙ ОТВЕТСТВЕННОСТЬЮ "АМУР ЗОЛОТО"</t>
        </is>
      </c>
      <c r="D854" s="7" t="inlineStr">
        <is>
          <t>2708001686</t>
        </is>
      </c>
      <c r="E854" s="6" t="inlineStr">
        <is>
          <t>ООО "Амур Золото"</t>
        </is>
      </c>
      <c r="F854" s="7" t="inlineStr">
        <is>
          <t>2708001686</t>
        </is>
      </c>
      <c r="G854" s="7" t="inlineStr">
        <is>
          <t>Успешно</t>
        </is>
      </c>
      <c r="H854" s="6" t="n"/>
      <c r="I854" s="6" t="n"/>
      <c r="J854" s="6" t="n"/>
      <c r="K854" s="7" t="n">
        <v>2</v>
      </c>
      <c r="L854" s="8" t="n"/>
      <c r="M854" s="137" t="inlineStr">
        <is>
          <t>+</t>
        </is>
      </c>
      <c r="N854" s="8" t="n"/>
      <c r="O854" s="8" t="n"/>
      <c r="P854" s="8" t="n"/>
      <c r="Q854" s="8" t="n"/>
      <c r="R854" s="8" t="n"/>
      <c r="S854" s="8" t="n"/>
      <c r="T854" s="8" t="n"/>
      <c r="U854" s="8" t="n"/>
      <c r="V854" s="8" t="n"/>
      <c r="W854" s="8" t="n"/>
      <c r="X854" s="139" t="n"/>
      <c r="Y854" s="137" t="inlineStr">
        <is>
          <t>+</t>
        </is>
      </c>
    </row>
    <row r="855">
      <c r="A855" s="6" t="inlineStr">
        <is>
          <t>работник 768</t>
        </is>
      </c>
      <c r="B855" s="6" t="inlineStr">
        <is>
          <t>Проходчик (с исполнением обязанностей взрывника)</t>
        </is>
      </c>
      <c r="C855" s="6" t="inlineStr">
        <is>
          <t>ОБЩЕСТВО С ОГРАНИЧЕННОЙ ОТВЕТСТВЕННОСТЬЮ "АМУР ЗОЛОТО"</t>
        </is>
      </c>
      <c r="D855" s="7" t="inlineStr">
        <is>
          <t>2708001686</t>
        </is>
      </c>
      <c r="E855" s="6" t="inlineStr">
        <is>
          <t>ООО "Амур Золото"</t>
        </is>
      </c>
      <c r="F855" s="7" t="inlineStr">
        <is>
          <t>2708001686</t>
        </is>
      </c>
      <c r="G855" s="7" t="inlineStr">
        <is>
          <t>Успешно</t>
        </is>
      </c>
      <c r="H855" s="6" t="n"/>
      <c r="I855" s="6" t="n"/>
      <c r="J855" s="6" t="inlineStr">
        <is>
          <t>Пользовательский интерфейс</t>
        </is>
      </c>
      <c r="K855" s="7" t="n">
        <v>1</v>
      </c>
      <c r="L855" s="8" t="n"/>
      <c r="M855" s="139" t="n"/>
      <c r="N855" s="8" t="n"/>
      <c r="O855" s="8" t="n"/>
      <c r="P855" s="8" t="n"/>
      <c r="Q855" s="8" t="n"/>
      <c r="R855" s="8" t="n"/>
      <c r="S855" s="8" t="n"/>
      <c r="T855" s="8" t="n"/>
      <c r="U855" s="8" t="n"/>
      <c r="V855" s="8" t="n"/>
      <c r="W855" s="8" t="n"/>
      <c r="X855" s="137" t="inlineStr">
        <is>
          <t>+</t>
        </is>
      </c>
      <c r="Y855" s="8" t="n"/>
    </row>
    <row r="856">
      <c r="A856" s="6" t="inlineStr">
        <is>
          <t>работник 369</t>
        </is>
      </c>
      <c r="B856" s="6" t="inlineStr">
        <is>
          <t>Машинист крана автомобильного</t>
        </is>
      </c>
      <c r="C856" s="6" t="inlineStr">
        <is>
          <t>ОБЩЕСТВО С ОГРАНИЧЕННОЙ ОТВЕТСТВЕННОСТЬЮ "АМУР ЗОЛОТО"</t>
        </is>
      </c>
      <c r="D856" s="7" t="inlineStr">
        <is>
          <t>2708001686</t>
        </is>
      </c>
      <c r="E856" s="6" t="inlineStr">
        <is>
          <t>ООО "Амур Золото"</t>
        </is>
      </c>
      <c r="F856" s="7" t="inlineStr">
        <is>
          <t>2708001686</t>
        </is>
      </c>
      <c r="G856" s="7" t="inlineStr">
        <is>
          <t>Успешно</t>
        </is>
      </c>
      <c r="H856" s="6" t="n"/>
      <c r="I856" s="6" t="n"/>
      <c r="J856" s="6" t="inlineStr">
        <is>
          <t>Пользовательский интерфейс</t>
        </is>
      </c>
      <c r="K856" s="7" t="n">
        <v>3</v>
      </c>
      <c r="L856" s="8" t="n"/>
      <c r="M856" s="137" t="inlineStr">
        <is>
          <t>+</t>
        </is>
      </c>
      <c r="N856" s="8" t="n"/>
      <c r="O856" s="8" t="n"/>
      <c r="P856" s="8" t="n"/>
      <c r="Q856" s="8" t="n"/>
      <c r="R856" s="8" t="n"/>
      <c r="S856" s="8" t="n"/>
      <c r="T856" s="8" t="n"/>
      <c r="U856" s="8" t="n"/>
      <c r="V856" s="8" t="n"/>
      <c r="W856" s="8" t="n"/>
      <c r="X856" s="137" t="inlineStr">
        <is>
          <t>+</t>
        </is>
      </c>
      <c r="Y856" s="137" t="inlineStr">
        <is>
          <t>+</t>
        </is>
      </c>
    </row>
    <row r="857">
      <c r="A857" s="6" t="inlineStr">
        <is>
          <t>работник 370</t>
        </is>
      </c>
      <c r="B857" s="6" t="inlineStr">
        <is>
          <t>Водитель погрузчика / Машинист бульдозера</t>
        </is>
      </c>
      <c r="C857" s="6" t="inlineStr">
        <is>
          <t>ОБЩЕСТВО С ОГРАНИЧЕННОЙ ОТВЕТСТВЕННОСТЬЮ "АМУР ЗОЛОТО"</t>
        </is>
      </c>
      <c r="D857" s="7" t="inlineStr">
        <is>
          <t>2708001686</t>
        </is>
      </c>
      <c r="E857" s="6" t="inlineStr">
        <is>
          <t>ООО "Амур Золото"</t>
        </is>
      </c>
      <c r="F857" s="7" t="inlineStr">
        <is>
          <t>2708001686</t>
        </is>
      </c>
      <c r="G857" s="7" t="inlineStr">
        <is>
          <t>Успешно</t>
        </is>
      </c>
      <c r="H857" s="6" t="n"/>
      <c r="I857" s="6" t="n"/>
      <c r="J857" s="6" t="inlineStr">
        <is>
          <t>Пользовательский интерфейс</t>
        </is>
      </c>
      <c r="K857" s="7" t="n">
        <v>6</v>
      </c>
      <c r="L857" s="8" t="n"/>
      <c r="M857" s="137" t="inlineStr">
        <is>
          <t>+</t>
        </is>
      </c>
      <c r="N857" s="8" t="n"/>
      <c r="O857" s="8" t="n"/>
      <c r="P857" s="8" t="n"/>
      <c r="Q857" s="8" t="n"/>
      <c r="R857" s="8" t="n"/>
      <c r="S857" s="8" t="n"/>
      <c r="T857" s="8" t="n"/>
      <c r="U857" s="8" t="n"/>
      <c r="V857" s="8" t="n"/>
      <c r="W857" s="8" t="n"/>
      <c r="X857" s="137" t="inlineStr">
        <is>
          <t>+</t>
        </is>
      </c>
      <c r="Y857" s="137" t="inlineStr">
        <is>
          <t>+</t>
        </is>
      </c>
    </row>
    <row r="858">
      <c r="A858" s="6" t="inlineStr">
        <is>
          <t>работник 920</t>
        </is>
      </c>
      <c r="B858" s="6" t="inlineStr">
        <is>
          <t>Мастер погрузочно-разгрузочных работ</t>
        </is>
      </c>
      <c r="C858" s="6" t="inlineStr">
        <is>
          <t>ОБЩЕСТВО С ОГРАНИЧЕННОЙ ОТВЕТСТВЕННОСТЬЮ "АМУР ЗОЛОТО"</t>
        </is>
      </c>
      <c r="D858" s="7" t="inlineStr">
        <is>
          <t>2708001686</t>
        </is>
      </c>
      <c r="E858" s="6" t="inlineStr">
        <is>
          <t>ООО "Амур Золото"</t>
        </is>
      </c>
      <c r="F858" s="7" t="inlineStr">
        <is>
          <t>2708001686</t>
        </is>
      </c>
      <c r="G858" s="7" t="inlineStr">
        <is>
          <t>Успешно</t>
        </is>
      </c>
      <c r="H858" s="6" t="n"/>
      <c r="I858" s="6" t="n"/>
      <c r="J858" s="6" t="inlineStr">
        <is>
          <t>Пользовательский интерфейс</t>
        </is>
      </c>
      <c r="K858" s="7" t="n">
        <v>3</v>
      </c>
      <c r="L858" s="8" t="n"/>
      <c r="M858" s="137" t="inlineStr">
        <is>
          <t>+</t>
        </is>
      </c>
      <c r="N858" s="8" t="n"/>
      <c r="O858" s="8" t="n"/>
      <c r="P858" s="8" t="n"/>
      <c r="Q858" s="8" t="n"/>
      <c r="R858" s="8" t="n"/>
      <c r="S858" s="8" t="n"/>
      <c r="T858" s="8" t="n"/>
      <c r="U858" s="8" t="n"/>
      <c r="V858" s="8" t="n"/>
      <c r="W858" s="8" t="n"/>
      <c r="X858" s="137" t="inlineStr">
        <is>
          <t>+</t>
        </is>
      </c>
      <c r="Y858" s="137" t="inlineStr">
        <is>
          <t>+</t>
        </is>
      </c>
    </row>
    <row r="859">
      <c r="A859" s="6" t="inlineStr">
        <is>
          <t>работник 682</t>
        </is>
      </c>
      <c r="B859" s="6" t="inlineStr">
        <is>
          <t>Оператор дизельных котлов</t>
        </is>
      </c>
      <c r="C859" s="6" t="inlineStr">
        <is>
          <t>ОБЩЕСТВО С ОГРАНИЧЕННОЙ ОТВЕТСТВЕННОСТЬЮ "АМУР ЗОЛОТО"</t>
        </is>
      </c>
      <c r="D859" s="7" t="inlineStr">
        <is>
          <t>2708001686</t>
        </is>
      </c>
      <c r="E859" s="6" t="inlineStr">
        <is>
          <t>ООО "Амур Золото"</t>
        </is>
      </c>
      <c r="F859" s="7" t="inlineStr">
        <is>
          <t>2708001686</t>
        </is>
      </c>
      <c r="G859" s="7" t="inlineStr">
        <is>
          <t>Успешно</t>
        </is>
      </c>
      <c r="H859" s="6" t="n"/>
      <c r="I859" s="6" t="n"/>
      <c r="J859" s="6" t="inlineStr">
        <is>
          <t>Пользовательский интерфейс</t>
        </is>
      </c>
      <c r="K859" s="7" t="n">
        <v>2</v>
      </c>
      <c r="L859" s="8" t="n"/>
      <c r="M859" s="137" t="inlineStr">
        <is>
          <t>+</t>
        </is>
      </c>
      <c r="N859" s="8" t="n"/>
      <c r="O859" s="8" t="n"/>
      <c r="P859" s="8" t="n"/>
      <c r="Q859" s="8" t="n"/>
      <c r="R859" s="8" t="n"/>
      <c r="S859" s="8" t="n"/>
      <c r="T859" s="8" t="n"/>
      <c r="U859" s="8" t="n"/>
      <c r="V859" s="8" t="n"/>
      <c r="W859" s="8" t="n"/>
      <c r="X859" s="139" t="n"/>
      <c r="Y859" s="137" t="inlineStr">
        <is>
          <t>+</t>
        </is>
      </c>
    </row>
    <row r="860">
      <c r="A860" s="6" t="inlineStr">
        <is>
          <t>работник 568</t>
        </is>
      </c>
      <c r="B860" s="6" t="inlineStr">
        <is>
          <t>Пробоотборщик</t>
        </is>
      </c>
      <c r="C860" s="6" t="inlineStr">
        <is>
          <t>ОБЩЕСТВО С ОГРАНИЧЕННОЙ ОТВЕТСТВЕННОСТЬЮ "АМУР ЗОЛОТО"</t>
        </is>
      </c>
      <c r="D860" s="7" t="inlineStr">
        <is>
          <t>2708001686</t>
        </is>
      </c>
      <c r="E860" s="6" t="inlineStr">
        <is>
          <t>ООО "Амур Золото"</t>
        </is>
      </c>
      <c r="F860" s="7" t="inlineStr">
        <is>
          <t>2708001686</t>
        </is>
      </c>
      <c r="G860" s="7" t="inlineStr">
        <is>
          <t>Успешно</t>
        </is>
      </c>
      <c r="H860" s="6" t="n"/>
      <c r="I860" s="6" t="n"/>
      <c r="J860" s="6" t="n"/>
      <c r="K860" s="7" t="n">
        <v>2</v>
      </c>
      <c r="L860" s="8" t="n"/>
      <c r="M860" s="137" t="inlineStr">
        <is>
          <t>+</t>
        </is>
      </c>
      <c r="N860" s="8" t="n"/>
      <c r="O860" s="8" t="n"/>
      <c r="P860" s="8" t="n"/>
      <c r="Q860" s="8" t="n"/>
      <c r="R860" s="8" t="n"/>
      <c r="S860" s="8" t="n"/>
      <c r="T860" s="8" t="n"/>
      <c r="U860" s="8" t="n"/>
      <c r="V860" s="8" t="n"/>
      <c r="W860" s="8" t="n"/>
      <c r="X860" s="139" t="n"/>
      <c r="Y860" s="137" t="inlineStr">
        <is>
          <t>+</t>
        </is>
      </c>
    </row>
    <row r="861">
      <c r="A861" s="6" t="inlineStr">
        <is>
          <t>работник 297</t>
        </is>
      </c>
      <c r="B861" s="6" t="inlineStr">
        <is>
          <t>Машинист крана автомобильного</t>
        </is>
      </c>
      <c r="C861" s="6" t="inlineStr">
        <is>
          <t>ОБЩЕСТВО С ОГРАНИЧЕННОЙ ОТВЕТСТВЕННОСТЬЮ "АМУР ЗОЛОТО"</t>
        </is>
      </c>
      <c r="D861" s="7" t="inlineStr">
        <is>
          <t>2708001686</t>
        </is>
      </c>
      <c r="E861" s="6" t="inlineStr">
        <is>
          <t>ООО "Амур Золото"</t>
        </is>
      </c>
      <c r="F861" s="7" t="inlineStr">
        <is>
          <t>2708001686</t>
        </is>
      </c>
      <c r="G861" s="7" t="inlineStr">
        <is>
          <t>Успешно</t>
        </is>
      </c>
      <c r="H861" s="6" t="n"/>
      <c r="I861" s="6" t="n"/>
      <c r="J861" s="6" t="inlineStr">
        <is>
          <t>Пользовательский интерфейс</t>
        </is>
      </c>
      <c r="K861" s="7" t="n">
        <v>6</v>
      </c>
      <c r="L861" s="8" t="n"/>
      <c r="M861" s="137" t="inlineStr">
        <is>
          <t>+</t>
        </is>
      </c>
      <c r="N861" s="8" t="n"/>
      <c r="O861" s="8" t="n"/>
      <c r="P861" s="8" t="n"/>
      <c r="Q861" s="8" t="n"/>
      <c r="R861" s="8" t="n"/>
      <c r="S861" s="8" t="n"/>
      <c r="T861" s="8" t="n"/>
      <c r="U861" s="8" t="n"/>
      <c r="V861" s="8" t="n"/>
      <c r="W861" s="8" t="n"/>
      <c r="X861" s="137" t="inlineStr">
        <is>
          <t>+</t>
        </is>
      </c>
      <c r="Y861" s="137" t="inlineStr">
        <is>
          <t>+</t>
        </is>
      </c>
    </row>
    <row r="862">
      <c r="A862" s="6" t="inlineStr">
        <is>
          <t>работник 521</t>
        </is>
      </c>
      <c r="B862" s="6" t="inlineStr">
        <is>
          <t>Дробильщик</t>
        </is>
      </c>
      <c r="C862" s="6" t="inlineStr">
        <is>
          <t>ОБЩЕСТВО С ОГРАНИЧЕННОЙ ОТВЕТСТВЕННОСТЬЮ "АМУР ЗОЛОТО"</t>
        </is>
      </c>
      <c r="D862" s="7" t="inlineStr">
        <is>
          <t>2708001686</t>
        </is>
      </c>
      <c r="E862" s="6" t="inlineStr">
        <is>
          <t>ООО "Амур Золото"</t>
        </is>
      </c>
      <c r="F862" s="7" t="inlineStr">
        <is>
          <t>2708001686</t>
        </is>
      </c>
      <c r="G862" s="7" t="inlineStr">
        <is>
          <t>Успешно</t>
        </is>
      </c>
      <c r="H862" s="6" t="n"/>
      <c r="I862" s="6" t="n"/>
      <c r="J862" s="6" t="inlineStr">
        <is>
          <t>Пользовательский интерфейс</t>
        </is>
      </c>
      <c r="K862" s="7" t="n">
        <v>2</v>
      </c>
      <c r="L862" s="8" t="n"/>
      <c r="M862" s="137" t="inlineStr">
        <is>
          <t>+</t>
        </is>
      </c>
      <c r="N862" s="8" t="n"/>
      <c r="O862" s="8" t="n"/>
      <c r="P862" s="8" t="n"/>
      <c r="Q862" s="8" t="n"/>
      <c r="R862" s="8" t="n"/>
      <c r="S862" s="8" t="n"/>
      <c r="T862" s="8" t="n"/>
      <c r="U862" s="8" t="n"/>
      <c r="V862" s="8" t="n"/>
      <c r="W862" s="8" t="n"/>
      <c r="X862" s="139" t="n"/>
      <c r="Y862" s="137" t="inlineStr">
        <is>
          <t>+</t>
        </is>
      </c>
    </row>
    <row r="863">
      <c r="A863" s="6" t="inlineStr">
        <is>
          <t>работник 298</t>
        </is>
      </c>
      <c r="B863" s="6" t="inlineStr">
        <is>
          <t>Водитель автомобиля (занятый на транспортировании горной массы в технологическом процессе)</t>
        </is>
      </c>
      <c r="C863" s="6" t="inlineStr">
        <is>
          <t>ОБЩЕСТВО С ОГРАНИЧЕННОЙ ОТВЕТСТВЕННОСТЬЮ "АМУР ЗОЛОТО"</t>
        </is>
      </c>
      <c r="D863" s="7" t="inlineStr">
        <is>
          <t>2708001686</t>
        </is>
      </c>
      <c r="E863" s="6" t="inlineStr">
        <is>
          <t>ООО "Амур Золото"</t>
        </is>
      </c>
      <c r="F863" s="7" t="inlineStr">
        <is>
          <t>2708001686</t>
        </is>
      </c>
      <c r="G863" s="7" t="inlineStr">
        <is>
          <t>Успешно</t>
        </is>
      </c>
      <c r="H863" s="6" t="n"/>
      <c r="I863" s="6" t="n"/>
      <c r="J863" s="6" t="inlineStr">
        <is>
          <t>Пользовательский интерфейс</t>
        </is>
      </c>
      <c r="K863" s="7" t="n">
        <v>3</v>
      </c>
      <c r="L863" s="8" t="n"/>
      <c r="M863" s="137" t="inlineStr">
        <is>
          <t>+</t>
        </is>
      </c>
      <c r="N863" s="8" t="n"/>
      <c r="O863" s="8" t="n"/>
      <c r="P863" s="8" t="n"/>
      <c r="Q863" s="8" t="n"/>
      <c r="R863" s="8" t="n"/>
      <c r="S863" s="8" t="n"/>
      <c r="T863" s="8" t="n"/>
      <c r="U863" s="8" t="n"/>
      <c r="V863" s="8" t="n"/>
      <c r="W863" s="8" t="n"/>
      <c r="X863" s="137" t="inlineStr">
        <is>
          <t>+</t>
        </is>
      </c>
      <c r="Y863" s="137" t="inlineStr">
        <is>
          <t>+</t>
        </is>
      </c>
    </row>
    <row r="864">
      <c r="A864" s="6" t="inlineStr">
        <is>
          <t>работник 518</t>
        </is>
      </c>
      <c r="B864" s="6" t="inlineStr">
        <is>
          <t>Водитель автомобиля (категория D)</t>
        </is>
      </c>
      <c r="C864" s="6" t="inlineStr">
        <is>
          <t>ОБЩЕСТВО С ОГРАНИЧЕННОЙ ОТВЕТСТВЕННОСТЬЮ "АМУР ЗОЛОТО"</t>
        </is>
      </c>
      <c r="D864" s="7" t="inlineStr">
        <is>
          <t>2708001686</t>
        </is>
      </c>
      <c r="E864" s="6" t="inlineStr">
        <is>
          <t>ООО "Амур Золото"</t>
        </is>
      </c>
      <c r="F864" s="7" t="inlineStr">
        <is>
          <t>2708001686</t>
        </is>
      </c>
      <c r="G864" s="7" t="inlineStr">
        <is>
          <t>Успешно</t>
        </is>
      </c>
      <c r="H864" s="6" t="n"/>
      <c r="I864" s="6" t="n"/>
      <c r="J864" s="6" t="inlineStr">
        <is>
          <t>Пользовательский интерфейс</t>
        </is>
      </c>
      <c r="K864" s="7" t="n">
        <v>5</v>
      </c>
      <c r="L864" s="8" t="n"/>
      <c r="M864" s="137" t="inlineStr">
        <is>
          <t>+</t>
        </is>
      </c>
      <c r="N864" s="8" t="n"/>
      <c r="O864" s="8" t="n"/>
      <c r="P864" s="8" t="n"/>
      <c r="Q864" s="8" t="n"/>
      <c r="R864" s="8" t="n"/>
      <c r="S864" s="8" t="n"/>
      <c r="T864" s="8" t="n"/>
      <c r="U864" s="8" t="n"/>
      <c r="V864" s="8" t="n"/>
      <c r="W864" s="8" t="n"/>
      <c r="X864" s="137" t="inlineStr">
        <is>
          <t>+</t>
        </is>
      </c>
      <c r="Y864" s="138" t="inlineStr">
        <is>
          <t>+</t>
        </is>
      </c>
    </row>
    <row r="865">
      <c r="A865" s="6" t="inlineStr">
        <is>
          <t>работник 371</t>
        </is>
      </c>
      <c r="B865" s="6" t="inlineStr">
        <is>
          <t>Водитель автомобиля (занятый на транспортировании горной массы в технологическом процессе)</t>
        </is>
      </c>
      <c r="C865" s="6" t="inlineStr">
        <is>
          <t>ОБЩЕСТВО С ОГРАНИЧЕННОЙ ОТВЕТСТВЕННОСТЬЮ "АМУР ЗОЛОТО"</t>
        </is>
      </c>
      <c r="D865" s="7" t="inlineStr">
        <is>
          <t>2708001686</t>
        </is>
      </c>
      <c r="E865" s="6" t="inlineStr">
        <is>
          <t>ООО "Амур Золото"</t>
        </is>
      </c>
      <c r="F865" s="7" t="inlineStr">
        <is>
          <t>2708001686</t>
        </is>
      </c>
      <c r="G865" s="7" t="inlineStr">
        <is>
          <t>Успешно</t>
        </is>
      </c>
      <c r="H865" s="6" t="n"/>
      <c r="I865" s="6" t="n"/>
      <c r="J865" s="6" t="inlineStr">
        <is>
          <t>Пользовательский интерфейс</t>
        </is>
      </c>
      <c r="K865" s="7" t="n">
        <v>6</v>
      </c>
      <c r="L865" s="8" t="n"/>
      <c r="M865" s="137" t="inlineStr">
        <is>
          <t>+</t>
        </is>
      </c>
      <c r="N865" s="8" t="n"/>
      <c r="O865" s="8" t="n"/>
      <c r="P865" s="8" t="n"/>
      <c r="Q865" s="8" t="n"/>
      <c r="R865" s="8" t="n"/>
      <c r="S865" s="8" t="n"/>
      <c r="T865" s="8" t="n"/>
      <c r="U865" s="8" t="n"/>
      <c r="V865" s="8" t="n"/>
      <c r="W865" s="8" t="n"/>
      <c r="X865" s="137" t="inlineStr">
        <is>
          <t>+</t>
        </is>
      </c>
      <c r="Y865" s="137" t="inlineStr">
        <is>
          <t>+</t>
        </is>
      </c>
    </row>
    <row r="866">
      <c r="A866" s="6" t="inlineStr">
        <is>
          <t>работник 759</t>
        </is>
      </c>
      <c r="B866" s="6" t="inlineStr">
        <is>
          <t>Геолог по рудоконтролю</t>
        </is>
      </c>
      <c r="C866" s="6" t="inlineStr">
        <is>
          <t>ОБЩЕСТВО С ОГРАНИЧЕННОЙ ОТВЕТСТВЕННОСТЬЮ "АМУР ЗОЛОТО"</t>
        </is>
      </c>
      <c r="D866" s="7" t="inlineStr">
        <is>
          <t>2708001686</t>
        </is>
      </c>
      <c r="E866" s="6" t="inlineStr">
        <is>
          <t>ООО "Амур Золото"</t>
        </is>
      </c>
      <c r="F866" s="7" t="inlineStr">
        <is>
          <t>2708001686</t>
        </is>
      </c>
      <c r="G866" s="7" t="inlineStr">
        <is>
          <t>Успешно</t>
        </is>
      </c>
      <c r="H866" s="6" t="n"/>
      <c r="I866" s="6" t="n"/>
      <c r="J866" s="6" t="inlineStr">
        <is>
          <t>Пользовательский интерфейс</t>
        </is>
      </c>
      <c r="K866" s="7" t="n">
        <v>3</v>
      </c>
      <c r="L866" s="8" t="n"/>
      <c r="M866" s="137" t="inlineStr">
        <is>
          <t>+</t>
        </is>
      </c>
      <c r="N866" s="8" t="n"/>
      <c r="O866" s="8" t="n"/>
      <c r="P866" s="8" t="n"/>
      <c r="Q866" s="8" t="n"/>
      <c r="R866" s="8" t="n"/>
      <c r="S866" s="8" t="n"/>
      <c r="T866" s="8" t="n"/>
      <c r="U866" s="8" t="n"/>
      <c r="V866" s="8" t="n"/>
      <c r="W866" s="8" t="n"/>
      <c r="X866" s="140" t="inlineStr">
        <is>
          <t>+</t>
        </is>
      </c>
      <c r="Y866" s="137" t="inlineStr">
        <is>
          <t>+</t>
        </is>
      </c>
    </row>
    <row r="867">
      <c r="A867" s="6" t="inlineStr">
        <is>
          <t>работник 106</t>
        </is>
      </c>
      <c r="B867" s="6" t="inlineStr">
        <is>
          <t>Повар</t>
        </is>
      </c>
      <c r="C867" s="6" t="inlineStr">
        <is>
          <t>ОБЩЕСТВО С ОГРАНИЧЕННОЙ ОТВЕТСТВЕННОСТЬЮ "АМУР ЗОЛОТО"</t>
        </is>
      </c>
      <c r="D867" s="7" t="inlineStr">
        <is>
          <t>2708001686</t>
        </is>
      </c>
      <c r="E867" s="6" t="inlineStr">
        <is>
          <t>ООО "Амур Золото"</t>
        </is>
      </c>
      <c r="F867" s="7" t="inlineStr">
        <is>
          <t>2708001686</t>
        </is>
      </c>
      <c r="G867" s="7" t="inlineStr">
        <is>
          <t>Успешно</t>
        </is>
      </c>
      <c r="H867" s="6" t="n"/>
      <c r="I867" s="6" t="n"/>
      <c r="J867" s="6" t="inlineStr">
        <is>
          <t>Пользовательский интерфейс</t>
        </is>
      </c>
      <c r="K867" s="7" t="n">
        <v>3</v>
      </c>
      <c r="L867" s="8" t="n"/>
      <c r="M867" s="137" t="inlineStr">
        <is>
          <t>+</t>
        </is>
      </c>
      <c r="N867" s="8" t="n"/>
      <c r="O867" s="8" t="n"/>
      <c r="P867" s="8" t="n"/>
      <c r="Q867" s="8" t="n"/>
      <c r="R867" s="8" t="n"/>
      <c r="S867" s="8" t="n"/>
      <c r="T867" s="8" t="n"/>
      <c r="U867" s="8" t="n"/>
      <c r="V867" s="8" t="n"/>
      <c r="W867" s="8" t="n"/>
      <c r="X867" s="137" t="inlineStr">
        <is>
          <t>+</t>
        </is>
      </c>
      <c r="Y867" s="138" t="inlineStr">
        <is>
          <t>+</t>
        </is>
      </c>
    </row>
    <row r="868">
      <c r="A868" s="6" t="inlineStr">
        <is>
          <t>работник 423</t>
        </is>
      </c>
      <c r="B868" s="6" t="inlineStr">
        <is>
          <t>Горнорабочий на маркшейдерских работах</t>
        </is>
      </c>
      <c r="C868" s="6" t="inlineStr">
        <is>
          <t>ОБЩЕСТВО С ОГРАНИЧЕННОЙ ОТВЕТСТВЕННОСТЬЮ "АМУР ЗОЛОТО"</t>
        </is>
      </c>
      <c r="D868" s="7" t="inlineStr">
        <is>
          <t>2708001686</t>
        </is>
      </c>
      <c r="E868" s="6" t="inlineStr">
        <is>
          <t>ООО "Амур Золото"</t>
        </is>
      </c>
      <c r="F868" s="7" t="inlineStr">
        <is>
          <t>2708001686</t>
        </is>
      </c>
      <c r="G868" s="7" t="inlineStr">
        <is>
          <t>Успешно</t>
        </is>
      </c>
      <c r="H868" s="6" t="n"/>
      <c r="I868" s="6" t="n"/>
      <c r="J868" s="6" t="inlineStr">
        <is>
          <t>Пользовательский интерфейс</t>
        </is>
      </c>
      <c r="K868" s="7" t="n">
        <v>2</v>
      </c>
      <c r="L868" s="8" t="n"/>
      <c r="M868" s="137" t="inlineStr">
        <is>
          <t>+</t>
        </is>
      </c>
      <c r="N868" s="8" t="n"/>
      <c r="O868" s="8" t="n"/>
      <c r="P868" s="8" t="n"/>
      <c r="Q868" s="8" t="n"/>
      <c r="R868" s="8" t="n"/>
      <c r="S868" s="8" t="n"/>
      <c r="T868" s="8" t="n"/>
      <c r="U868" s="8" t="n"/>
      <c r="V868" s="8" t="n"/>
      <c r="W868" s="8" t="n"/>
      <c r="X868" s="139" t="n"/>
      <c r="Y868" s="137" t="inlineStr">
        <is>
          <t>+</t>
        </is>
      </c>
    </row>
    <row r="869">
      <c r="A869" s="6" t="inlineStr">
        <is>
          <t>работник 756</t>
        </is>
      </c>
      <c r="B869" s="6" t="inlineStr">
        <is>
          <t>Фильтровальщик</t>
        </is>
      </c>
      <c r="C869" s="6" t="inlineStr">
        <is>
          <t>ОБЩЕСТВО С ОГРАНИЧЕННОЙ ОТВЕТСТВЕННОСТЬЮ "АМУР ЗОЛОТО"</t>
        </is>
      </c>
      <c r="D869" s="7" t="inlineStr">
        <is>
          <t>2708001686</t>
        </is>
      </c>
      <c r="E869" s="6" t="inlineStr">
        <is>
          <t>ООО "Амур Золото"</t>
        </is>
      </c>
      <c r="F869" s="7" t="inlineStr">
        <is>
          <t>2708001686</t>
        </is>
      </c>
      <c r="G869" s="7" t="inlineStr">
        <is>
          <t>Успешно</t>
        </is>
      </c>
      <c r="H869" s="6" t="n"/>
      <c r="I869" s="6" t="n"/>
      <c r="J869" s="6" t="inlineStr">
        <is>
          <t>Пользовательский интерфейс</t>
        </is>
      </c>
      <c r="K869" s="7" t="n">
        <v>5</v>
      </c>
      <c r="L869" s="8" t="n"/>
      <c r="M869" s="137" t="inlineStr">
        <is>
          <t>+</t>
        </is>
      </c>
      <c r="N869" s="137" t="inlineStr">
        <is>
          <t>+</t>
        </is>
      </c>
      <c r="O869" s="8" t="n"/>
      <c r="P869" s="137" t="inlineStr">
        <is>
          <t>+</t>
        </is>
      </c>
      <c r="Q869" s="8" t="n"/>
      <c r="R869" s="8" t="n"/>
      <c r="S869" s="8" t="n"/>
      <c r="T869" s="8" t="n"/>
      <c r="U869" s="8" t="n"/>
      <c r="V869" s="8" t="n"/>
      <c r="W869" s="8" t="n"/>
      <c r="X869" s="137" t="inlineStr">
        <is>
          <t>+</t>
        </is>
      </c>
      <c r="Y869" s="137" t="inlineStr">
        <is>
          <t>+</t>
        </is>
      </c>
    </row>
    <row r="870">
      <c r="A870" s="6" t="inlineStr">
        <is>
          <t>работник 570</t>
        </is>
      </c>
      <c r="B870" s="6" t="inlineStr">
        <is>
          <t>Электрослесарь (слесарь) дежурный и по ремонту оборудования подземного горного участка</t>
        </is>
      </c>
      <c r="C870" s="6" t="inlineStr">
        <is>
          <t>ОБЩЕСТВО С ОГРАНИЧЕННОЙ ОТВЕТСТВЕННОСТЬЮ "АМУР ЗОЛОТО"</t>
        </is>
      </c>
      <c r="D870" s="7" t="inlineStr">
        <is>
          <t>2708001686</t>
        </is>
      </c>
      <c r="E870" s="6" t="inlineStr">
        <is>
          <t>ООО "Амур Золото"</t>
        </is>
      </c>
      <c r="F870" s="7" t="inlineStr">
        <is>
          <t>2708001686</t>
        </is>
      </c>
      <c r="G870" s="7" t="inlineStr">
        <is>
          <t>Успешно</t>
        </is>
      </c>
      <c r="H870" s="6" t="n"/>
      <c r="I870" s="6" t="n"/>
      <c r="J870" s="6" t="inlineStr">
        <is>
          <t>Пользовательский интерфейс</t>
        </is>
      </c>
      <c r="K870" s="7" t="n">
        <v>2</v>
      </c>
      <c r="L870" s="8" t="n"/>
      <c r="M870" s="137" t="inlineStr">
        <is>
          <t>+</t>
        </is>
      </c>
      <c r="N870" s="8" t="n"/>
      <c r="O870" s="8" t="n"/>
      <c r="P870" s="8" t="n"/>
      <c r="Q870" s="8" t="n"/>
      <c r="R870" s="8" t="n"/>
      <c r="S870" s="8" t="n"/>
      <c r="T870" s="8" t="n"/>
      <c r="U870" s="8" t="n"/>
      <c r="V870" s="8" t="n"/>
      <c r="W870" s="8" t="n"/>
      <c r="X870" s="139" t="n"/>
      <c r="Y870" s="137" t="inlineStr">
        <is>
          <t>+</t>
        </is>
      </c>
    </row>
    <row r="871">
      <c r="A871" s="6" t="inlineStr">
        <is>
          <t>работник 334</t>
        </is>
      </c>
      <c r="B871" s="6" t="inlineStr">
        <is>
          <t>Электромонтер по ремонту и обслуживанию электрооборудования</t>
        </is>
      </c>
      <c r="C871" s="6" t="inlineStr">
        <is>
          <t>ОБЩЕСТВО С ОГРАНИЧЕННОЙ ОТВЕТСТВЕННОСТЬЮ "АМУР ЗОЛОТО"</t>
        </is>
      </c>
      <c r="D871" s="7" t="inlineStr">
        <is>
          <t>2708001686</t>
        </is>
      </c>
      <c r="E871" s="6" t="inlineStr">
        <is>
          <t>ООО "Амур Золото"</t>
        </is>
      </c>
      <c r="F871" s="7" t="inlineStr">
        <is>
          <t>2708001686</t>
        </is>
      </c>
      <c r="G871" s="7" t="inlineStr">
        <is>
          <t>Успешно</t>
        </is>
      </c>
      <c r="H871" s="6" t="n"/>
      <c r="I871" s="6" t="n"/>
      <c r="J871" s="6" t="inlineStr">
        <is>
          <t>Пользовательский интерфейс</t>
        </is>
      </c>
      <c r="K871" s="7" t="n">
        <v>5</v>
      </c>
      <c r="L871" s="8" t="n"/>
      <c r="M871" s="137" t="inlineStr">
        <is>
          <t>+</t>
        </is>
      </c>
      <c r="N871" s="8" t="n"/>
      <c r="O871" s="8" t="n"/>
      <c r="P871" s="8" t="n"/>
      <c r="Q871" s="8" t="n"/>
      <c r="R871" s="8" t="n"/>
      <c r="S871" s="8" t="n"/>
      <c r="T871" s="8" t="n"/>
      <c r="U871" s="8" t="n"/>
      <c r="V871" s="8" t="n"/>
      <c r="W871" s="8" t="n"/>
      <c r="X871" s="137" t="inlineStr">
        <is>
          <t>+</t>
        </is>
      </c>
      <c r="Y871" s="137" t="inlineStr">
        <is>
          <t>+</t>
        </is>
      </c>
    </row>
    <row r="872">
      <c r="A872" s="6" t="inlineStr">
        <is>
          <t>работник 465</t>
        </is>
      </c>
      <c r="B872" s="6" t="inlineStr">
        <is>
          <t>Машинист крана автомобильного (КМУ) / Машинист крана автомобильного</t>
        </is>
      </c>
      <c r="C872" s="6" t="inlineStr">
        <is>
          <t>ОБЩЕСТВО С ОГРАНИЧЕННОЙ ОТВЕТСТВЕННОСТЬЮ "АМУР ЗОЛОТО"</t>
        </is>
      </c>
      <c r="D872" s="7" t="inlineStr">
        <is>
          <t>2708001686</t>
        </is>
      </c>
      <c r="E872" s="6" t="inlineStr">
        <is>
          <t>ООО "Амур Золото"</t>
        </is>
      </c>
      <c r="F872" s="7" t="inlineStr">
        <is>
          <t>2708001686</t>
        </is>
      </c>
      <c r="G872" s="7" t="inlineStr">
        <is>
          <t>Успешно</t>
        </is>
      </c>
      <c r="H872" s="6" t="n"/>
      <c r="I872" s="6" t="n"/>
      <c r="J872" s="6" t="inlineStr">
        <is>
          <t>Пользовательский интерфейс</t>
        </is>
      </c>
      <c r="K872" s="7" t="n">
        <v>3</v>
      </c>
      <c r="L872" s="8" t="n"/>
      <c r="M872" s="137" t="inlineStr">
        <is>
          <t>+</t>
        </is>
      </c>
      <c r="N872" s="8" t="n"/>
      <c r="O872" s="8" t="n"/>
      <c r="P872" s="8" t="n"/>
      <c r="Q872" s="8" t="n"/>
      <c r="R872" s="8" t="n"/>
      <c r="S872" s="8" t="n"/>
      <c r="T872" s="8" t="n"/>
      <c r="U872" s="8" t="n"/>
      <c r="V872" s="8" t="n"/>
      <c r="W872" s="8" t="n"/>
      <c r="X872" s="137" t="inlineStr">
        <is>
          <t>+</t>
        </is>
      </c>
      <c r="Y872" s="137" t="inlineStr">
        <is>
          <t>+</t>
        </is>
      </c>
    </row>
    <row r="873">
      <c r="A873" s="6" t="inlineStr">
        <is>
          <t>работник 39</t>
        </is>
      </c>
      <c r="B873" s="6" t="inlineStr">
        <is>
          <t>Дробильщик</t>
        </is>
      </c>
      <c r="C873" s="6" t="inlineStr">
        <is>
          <t>ОБЩЕСТВО С ОГРАНИЧЕННОЙ ОТВЕТСТВЕННОСТЬЮ "АМУР ЗОЛОТО"</t>
        </is>
      </c>
      <c r="D873" s="7" t="inlineStr">
        <is>
          <t>2708001686</t>
        </is>
      </c>
      <c r="E873" s="6" t="inlineStr">
        <is>
          <t>ООО "Амур Золото"</t>
        </is>
      </c>
      <c r="F873" s="7" t="inlineStr">
        <is>
          <t>2708001686</t>
        </is>
      </c>
      <c r="G873" s="7" t="inlineStr">
        <is>
          <t>Успешно</t>
        </is>
      </c>
      <c r="H873" s="6" t="n"/>
      <c r="I873" s="6" t="n"/>
      <c r="J873" s="6" t="inlineStr">
        <is>
          <t>Пользовательский интерфейс</t>
        </is>
      </c>
      <c r="K873" s="7" t="n">
        <v>3</v>
      </c>
      <c r="L873" s="8" t="n"/>
      <c r="M873" s="137" t="inlineStr">
        <is>
          <t>+</t>
        </is>
      </c>
      <c r="N873" s="8" t="n"/>
      <c r="O873" s="8" t="n"/>
      <c r="P873" s="8" t="n"/>
      <c r="Q873" s="8" t="n"/>
      <c r="R873" s="8" t="n"/>
      <c r="S873" s="8" t="n"/>
      <c r="T873" s="8" t="n"/>
      <c r="U873" s="8" t="n"/>
      <c r="V873" s="8" t="n"/>
      <c r="W873" s="8" t="n"/>
      <c r="X873" s="137" t="inlineStr">
        <is>
          <t>+</t>
        </is>
      </c>
      <c r="Y873" s="137" t="inlineStr">
        <is>
          <t>+</t>
        </is>
      </c>
    </row>
    <row r="874">
      <c r="A874" s="6" t="inlineStr">
        <is>
          <t>работник 607</t>
        </is>
      </c>
      <c r="B874" s="6" t="inlineStr">
        <is>
          <t>Весовщик</t>
        </is>
      </c>
      <c r="C874" s="6" t="inlineStr">
        <is>
          <t>ОБЩЕСТВО С ОГРАНИЧЕННОЙ ОТВЕТСТВЕННОСТЬЮ "АМУР ЗОЛОТО"</t>
        </is>
      </c>
      <c r="D874" s="7" t="inlineStr">
        <is>
          <t>2708001686</t>
        </is>
      </c>
      <c r="E874" s="6" t="inlineStr">
        <is>
          <t>ООО "Амур Золото"</t>
        </is>
      </c>
      <c r="F874" s="7" t="inlineStr">
        <is>
          <t>2708001686</t>
        </is>
      </c>
      <c r="G874" s="7" t="inlineStr">
        <is>
          <t>Успешно</t>
        </is>
      </c>
      <c r="H874" s="6" t="n"/>
      <c r="I874" s="6" t="n"/>
      <c r="J874" s="6" t="n"/>
      <c r="K874" s="7" t="n">
        <v>2</v>
      </c>
      <c r="L874" s="8" t="n"/>
      <c r="M874" s="137" t="inlineStr">
        <is>
          <t>+</t>
        </is>
      </c>
      <c r="N874" s="8" t="n"/>
      <c r="O874" s="8" t="n"/>
      <c r="P874" s="8" t="n"/>
      <c r="Q874" s="8" t="n"/>
      <c r="R874" s="8" t="n"/>
      <c r="S874" s="8" t="n"/>
      <c r="T874" s="8" t="n"/>
      <c r="U874" s="8" t="n"/>
      <c r="V874" s="8" t="n"/>
      <c r="W874" s="8" t="n"/>
      <c r="X874" s="139" t="n"/>
      <c r="Y874" s="137" t="inlineStr">
        <is>
          <t>+</t>
        </is>
      </c>
    </row>
    <row r="875">
      <c r="A875" s="6" t="inlineStr">
        <is>
          <t>работник 412</t>
        </is>
      </c>
      <c r="B875" s="6" t="inlineStr">
        <is>
          <t>Весовщик</t>
        </is>
      </c>
      <c r="C875" s="6" t="inlineStr">
        <is>
          <t>ОБЩЕСТВО С ОГРАНИЧЕННОЙ ОТВЕТСТВЕННОСТЬЮ "АМУР ЗОЛОТО"</t>
        </is>
      </c>
      <c r="D875" s="7" t="inlineStr">
        <is>
          <t>2708001686</t>
        </is>
      </c>
      <c r="E875" s="6" t="inlineStr">
        <is>
          <t>ООО "Амур Золото"</t>
        </is>
      </c>
      <c r="F875" s="7" t="inlineStr">
        <is>
          <t>2708001686</t>
        </is>
      </c>
      <c r="G875" s="7" t="inlineStr">
        <is>
          <t>Успешно</t>
        </is>
      </c>
      <c r="H875" s="6" t="n"/>
      <c r="I875" s="6" t="n"/>
      <c r="J875" s="6" t="inlineStr">
        <is>
          <t>Пользовательский интерфейс</t>
        </is>
      </c>
      <c r="K875" s="7" t="n">
        <v>2</v>
      </c>
      <c r="L875" s="8" t="n"/>
      <c r="M875" s="137" t="inlineStr">
        <is>
          <t>+</t>
        </is>
      </c>
      <c r="N875" s="8" t="n"/>
      <c r="O875" s="8" t="n"/>
      <c r="P875" s="8" t="n"/>
      <c r="Q875" s="8" t="n"/>
      <c r="R875" s="8" t="n"/>
      <c r="S875" s="8" t="n"/>
      <c r="T875" s="8" t="n"/>
      <c r="U875" s="8" t="n"/>
      <c r="V875" s="8" t="n"/>
      <c r="W875" s="8" t="n"/>
      <c r="X875" s="139" t="n"/>
      <c r="Y875" s="137" t="inlineStr">
        <is>
          <t>+</t>
        </is>
      </c>
    </row>
    <row r="876">
      <c r="A876" s="6" t="inlineStr">
        <is>
          <t>работник 766</t>
        </is>
      </c>
      <c r="B876" s="6" t="inlineStr">
        <is>
          <t>Машинист погрузочно-доставочной машины (занятый на транспортировании горной массы в технологическом процессе)</t>
        </is>
      </c>
      <c r="C876" s="6" t="inlineStr">
        <is>
          <t>ОБЩЕСТВО С ОГРАНИЧЕННОЙ ОТВЕТСТВЕННОСТЬЮ "АМУР ЗОЛОТО"</t>
        </is>
      </c>
      <c r="D876" s="7" t="inlineStr">
        <is>
          <t>2708001686</t>
        </is>
      </c>
      <c r="E876" s="6" t="inlineStr">
        <is>
          <t>ООО "Амур Золото"</t>
        </is>
      </c>
      <c r="F876" s="7" t="inlineStr">
        <is>
          <t>2708001686</t>
        </is>
      </c>
      <c r="G876" s="7" t="inlineStr">
        <is>
          <t>Успешно</t>
        </is>
      </c>
      <c r="H876" s="6" t="n"/>
      <c r="I876" s="6" t="n"/>
      <c r="J876" s="6" t="inlineStr">
        <is>
          <t>Пользовательский интерфейс</t>
        </is>
      </c>
      <c r="K876" s="7" t="n">
        <v>6</v>
      </c>
      <c r="L876" s="8" t="n"/>
      <c r="M876" s="137" t="inlineStr">
        <is>
          <t>+</t>
        </is>
      </c>
      <c r="N876" s="8" t="n"/>
      <c r="O876" s="8" t="n"/>
      <c r="P876" s="8" t="n"/>
      <c r="Q876" s="8" t="n"/>
      <c r="R876" s="8" t="n"/>
      <c r="S876" s="8" t="n"/>
      <c r="T876" s="8" t="n"/>
      <c r="U876" s="8" t="n"/>
      <c r="V876" s="8" t="n"/>
      <c r="W876" s="8" t="n"/>
      <c r="X876" s="137" t="inlineStr">
        <is>
          <t>+</t>
        </is>
      </c>
      <c r="Y876" s="137" t="inlineStr">
        <is>
          <t>+</t>
        </is>
      </c>
    </row>
    <row r="877">
      <c r="A877" s="6" t="inlineStr">
        <is>
          <t>работник 740</t>
        </is>
      </c>
      <c r="B877" s="6" t="inlineStr">
        <is>
          <t>Участковый геолог</t>
        </is>
      </c>
      <c r="C877" s="6" t="inlineStr">
        <is>
          <t>ОБЩЕСТВО С ОГРАНИЧЕННОЙ ОТВЕТСТВЕННОСТЬЮ "АМУР ЗОЛОТО"</t>
        </is>
      </c>
      <c r="D877" s="7" t="inlineStr">
        <is>
          <t>2708001686</t>
        </is>
      </c>
      <c r="E877" s="6" t="inlineStr">
        <is>
          <t>ООО "Амур Золото"</t>
        </is>
      </c>
      <c r="F877" s="7" t="inlineStr">
        <is>
          <t>2708001686</t>
        </is>
      </c>
      <c r="G877" s="7" t="inlineStr">
        <is>
          <t>Успешно</t>
        </is>
      </c>
      <c r="H877" s="6" t="n"/>
      <c r="I877" s="6" t="n"/>
      <c r="J877" s="6" t="inlineStr">
        <is>
          <t>Пользовательский интерфейс</t>
        </is>
      </c>
      <c r="K877" s="7" t="n">
        <v>2</v>
      </c>
      <c r="L877" s="8" t="n"/>
      <c r="M877" s="137" t="inlineStr">
        <is>
          <t>+</t>
        </is>
      </c>
      <c r="N877" s="8" t="n"/>
      <c r="O877" s="8" t="n"/>
      <c r="P877" s="8" t="n"/>
      <c r="Q877" s="8" t="n"/>
      <c r="R877" s="8" t="n"/>
      <c r="S877" s="8" t="n"/>
      <c r="T877" s="8" t="n"/>
      <c r="U877" s="8" t="n"/>
      <c r="V877" s="8" t="n"/>
      <c r="W877" s="8" t="n"/>
      <c r="X877" s="8" t="n"/>
      <c r="Y877" s="137" t="inlineStr">
        <is>
          <t>+</t>
        </is>
      </c>
    </row>
    <row r="878">
      <c r="A878" s="6" t="inlineStr">
        <is>
          <t>работник 706</t>
        </is>
      </c>
      <c r="B878" s="6" t="inlineStr">
        <is>
          <t>Монтажник по монтажу стальных и железобетонных конструкций</t>
        </is>
      </c>
      <c r="C878" s="6" t="inlineStr">
        <is>
          <t>ОБЩЕСТВО С ОГРАНИЧЕННОЙ ОТВЕТСТВЕННОСТЬЮ "АМУР ЗОЛОТО"</t>
        </is>
      </c>
      <c r="D878" s="7" t="inlineStr">
        <is>
          <t>2708001686</t>
        </is>
      </c>
      <c r="E878" s="6" t="inlineStr">
        <is>
          <t>ООО "Амур Золото"</t>
        </is>
      </c>
      <c r="F878" s="7" t="inlineStr">
        <is>
          <t>2708001686</t>
        </is>
      </c>
      <c r="G878" s="7" t="inlineStr">
        <is>
          <t>Успешно</t>
        </is>
      </c>
      <c r="H878" s="6" t="n"/>
      <c r="I878" s="6" t="n"/>
      <c r="J878" s="6" t="inlineStr">
        <is>
          <t>Пользовательский интерфейс</t>
        </is>
      </c>
      <c r="K878" s="7" t="n">
        <v>2</v>
      </c>
      <c r="L878" s="8" t="n"/>
      <c r="M878" s="137" t="inlineStr">
        <is>
          <t>+</t>
        </is>
      </c>
      <c r="N878" s="8" t="n"/>
      <c r="O878" s="8" t="n"/>
      <c r="P878" s="8" t="n"/>
      <c r="Q878" s="8" t="n"/>
      <c r="R878" s="8" t="n"/>
      <c r="S878" s="8" t="n"/>
      <c r="T878" s="8" t="n"/>
      <c r="U878" s="8" t="n"/>
      <c r="V878" s="8" t="n"/>
      <c r="W878" s="8" t="n"/>
      <c r="X878" s="139" t="n"/>
      <c r="Y878" s="137" t="inlineStr">
        <is>
          <t>+</t>
        </is>
      </c>
    </row>
    <row r="879">
      <c r="A879" s="6" t="inlineStr">
        <is>
          <t>работник 103</t>
        </is>
      </c>
      <c r="B879" s="6" t="inlineStr">
        <is>
          <t>Повар</t>
        </is>
      </c>
      <c r="C879" s="6" t="inlineStr">
        <is>
          <t>ОБЩЕСТВО С ОГРАНИЧЕННОЙ ОТВЕТСТВЕННОСТЬЮ "АМУР ЗОЛОТО"</t>
        </is>
      </c>
      <c r="D879" s="7" t="inlineStr">
        <is>
          <t>2708001686</t>
        </is>
      </c>
      <c r="E879" s="6" t="inlineStr">
        <is>
          <t>ООО "Амур Золото"</t>
        </is>
      </c>
      <c r="F879" s="7" t="inlineStr">
        <is>
          <t>2708001686</t>
        </is>
      </c>
      <c r="G879" s="7" t="inlineStr">
        <is>
          <t>Успешно</t>
        </is>
      </c>
      <c r="H879" s="6" t="n"/>
      <c r="I879" s="6" t="n"/>
      <c r="J879" s="6" t="inlineStr">
        <is>
          <t>Пользовательский интерфейс</t>
        </is>
      </c>
      <c r="K879" s="7" t="n">
        <v>5</v>
      </c>
      <c r="L879" s="8" t="n"/>
      <c r="M879" s="137" t="inlineStr">
        <is>
          <t>+</t>
        </is>
      </c>
      <c r="N879" s="8" t="n"/>
      <c r="O879" s="8" t="n"/>
      <c r="P879" s="8" t="n"/>
      <c r="Q879" s="8" t="n"/>
      <c r="R879" s="8" t="n"/>
      <c r="S879" s="8" t="n"/>
      <c r="T879" s="8" t="n"/>
      <c r="U879" s="8" t="n"/>
      <c r="V879" s="8" t="n"/>
      <c r="W879" s="8" t="n"/>
      <c r="X879" s="137" t="inlineStr">
        <is>
          <t>+</t>
        </is>
      </c>
      <c r="Y879" s="138" t="inlineStr">
        <is>
          <t>+</t>
        </is>
      </c>
    </row>
    <row r="880">
      <c r="A880" s="6" t="inlineStr">
        <is>
          <t>работник 823</t>
        </is>
      </c>
      <c r="B880" s="6" t="inlineStr">
        <is>
          <t>Слесарь по ремонту автомобилей и тяжелой техники / Слесарь по ремонту автомобилей</t>
        </is>
      </c>
      <c r="C880" s="6" t="inlineStr">
        <is>
          <t>ОБЩЕСТВО С ОГРАНИЧЕННОЙ ОТВЕТСТВЕННОСТЬЮ "АМУР ЗОЛОТО"</t>
        </is>
      </c>
      <c r="D880" s="7" t="inlineStr">
        <is>
          <t>2708001686</t>
        </is>
      </c>
      <c r="E880" s="6" t="inlineStr">
        <is>
          <t>ООО "Амур Золото"</t>
        </is>
      </c>
      <c r="F880" s="7" t="inlineStr">
        <is>
          <t>2708001686</t>
        </is>
      </c>
      <c r="G880" s="7" t="inlineStr">
        <is>
          <t>Успешно</t>
        </is>
      </c>
      <c r="H880" s="6" t="n"/>
      <c r="I880" s="6" t="n"/>
      <c r="J880" s="6" t="inlineStr">
        <is>
          <t>Пользовательский интерфейс</t>
        </is>
      </c>
      <c r="K880" s="7" t="n">
        <v>7</v>
      </c>
      <c r="L880" s="8" t="n"/>
      <c r="M880" s="137" t="inlineStr">
        <is>
          <t>+</t>
        </is>
      </c>
      <c r="N880" s="8" t="n"/>
      <c r="O880" s="137" t="inlineStr">
        <is>
          <t>+</t>
        </is>
      </c>
      <c r="P880" s="8" t="n"/>
      <c r="Q880" s="8" t="n"/>
      <c r="R880" s="8" t="n"/>
      <c r="S880" s="8" t="n"/>
      <c r="T880" s="8" t="n"/>
      <c r="U880" s="8" t="n"/>
      <c r="V880" s="8" t="n"/>
      <c r="W880" s="8" t="n"/>
      <c r="X880" s="137" t="inlineStr">
        <is>
          <t>+</t>
        </is>
      </c>
      <c r="Y880" s="137" t="inlineStr">
        <is>
          <t>+</t>
        </is>
      </c>
    </row>
    <row r="881">
      <c r="A881" s="6" t="inlineStr">
        <is>
          <t>работник 122</t>
        </is>
      </c>
      <c r="B881" s="6" t="inlineStr">
        <is>
          <t>Дробильщик / Дробильщики</t>
        </is>
      </c>
      <c r="C881" s="6" t="inlineStr">
        <is>
          <t>ОБЩЕСТВО С ОГРАНИЧЕННОЙ ОТВЕТСТВЕННОСТЬЮ "АМУР ЗОЛОТО"</t>
        </is>
      </c>
      <c r="D881" s="7" t="inlineStr">
        <is>
          <t>2708001686</t>
        </is>
      </c>
      <c r="E881" s="6" t="inlineStr">
        <is>
          <t>ООО "Амур Золото"</t>
        </is>
      </c>
      <c r="F881" s="7" t="inlineStr">
        <is>
          <t>2708001686</t>
        </is>
      </c>
      <c r="G881" s="7" t="inlineStr">
        <is>
          <t>Успешно</t>
        </is>
      </c>
      <c r="H881" s="6" t="n"/>
      <c r="I881" s="6" t="n"/>
      <c r="J881" s="6" t="inlineStr">
        <is>
          <t>Пользовательский интерфейс</t>
        </is>
      </c>
      <c r="K881" s="7" t="n">
        <v>6</v>
      </c>
      <c r="L881" s="8" t="n"/>
      <c r="M881" s="137" t="inlineStr">
        <is>
          <t>+</t>
        </is>
      </c>
      <c r="N881" s="8" t="n"/>
      <c r="O881" s="8" t="n"/>
      <c r="P881" s="8" t="n"/>
      <c r="Q881" s="8" t="n"/>
      <c r="R881" s="8" t="n"/>
      <c r="S881" s="8" t="n"/>
      <c r="T881" s="8" t="n"/>
      <c r="U881" s="8" t="n"/>
      <c r="V881" s="8" t="n"/>
      <c r="W881" s="8" t="n"/>
      <c r="X881" s="137" t="inlineStr">
        <is>
          <t>+</t>
        </is>
      </c>
      <c r="Y881" s="137" t="inlineStr">
        <is>
          <t>+</t>
        </is>
      </c>
    </row>
    <row r="882">
      <c r="A882" s="6" t="inlineStr">
        <is>
          <t>работник 707</t>
        </is>
      </c>
      <c r="B882" s="6" t="inlineStr">
        <is>
          <t>Монтажник по монтажу стальных и железобетонных конструкций</t>
        </is>
      </c>
      <c r="C882" s="6" t="inlineStr">
        <is>
          <t>ОБЩЕСТВО С ОГРАНИЧЕННОЙ ОТВЕТСТВЕННОСТЬЮ "АМУР ЗОЛОТО"</t>
        </is>
      </c>
      <c r="D882" s="7" t="inlineStr">
        <is>
          <t>2708001686</t>
        </is>
      </c>
      <c r="E882" s="6" t="inlineStr">
        <is>
          <t>ООО "Амур Золото"</t>
        </is>
      </c>
      <c r="F882" s="7" t="inlineStr">
        <is>
          <t>2708001686</t>
        </is>
      </c>
      <c r="G882" s="7" t="inlineStr">
        <is>
          <t>Успешно</t>
        </is>
      </c>
      <c r="H882" s="6" t="n"/>
      <c r="I882" s="6" t="n"/>
      <c r="J882" s="6" t="inlineStr">
        <is>
          <t>Пользовательский интерфейс</t>
        </is>
      </c>
      <c r="K882" s="7" t="n">
        <v>2</v>
      </c>
      <c r="L882" s="8" t="n"/>
      <c r="M882" s="137" t="inlineStr">
        <is>
          <t>+</t>
        </is>
      </c>
      <c r="N882" s="8" t="n"/>
      <c r="O882" s="8" t="n"/>
      <c r="P882" s="8" t="n"/>
      <c r="Q882" s="8" t="n"/>
      <c r="R882" s="8" t="n"/>
      <c r="S882" s="8" t="n"/>
      <c r="T882" s="8" t="n"/>
      <c r="U882" s="8" t="n"/>
      <c r="V882" s="8" t="n"/>
      <c r="W882" s="8" t="n"/>
      <c r="X882" s="139" t="n"/>
      <c r="Y882" s="137" t="inlineStr">
        <is>
          <t>+</t>
        </is>
      </c>
    </row>
    <row r="883">
      <c r="A883" s="6" t="inlineStr">
        <is>
          <t>работник 24</t>
        </is>
      </c>
      <c r="B883" s="6" t="inlineStr">
        <is>
          <t>Слесарь-ремонтник / Слесарь-ремонтник (по ремонту обогатительного оборудования) / Слесарь-ремонтник ( по ремонту обогатительного оборудования)</t>
        </is>
      </c>
      <c r="C883" s="6" t="inlineStr">
        <is>
          <t>ОБЩЕСТВО С ОГРАНИЧЕННОЙ ОТВЕТСТВЕННОСТЬЮ "АМУР ЗОЛОТО"</t>
        </is>
      </c>
      <c r="D883" s="7" t="inlineStr">
        <is>
          <t>2708001686</t>
        </is>
      </c>
      <c r="E883" s="6" t="inlineStr">
        <is>
          <t>ООО "Амур Золото"</t>
        </is>
      </c>
      <c r="F883" s="7" t="inlineStr">
        <is>
          <t>2708001686</t>
        </is>
      </c>
      <c r="G883" s="7" t="inlineStr">
        <is>
          <t>Успешно</t>
        </is>
      </c>
      <c r="H883" s="6" t="n"/>
      <c r="I883" s="6" t="n"/>
      <c r="J883" s="6" t="inlineStr">
        <is>
          <t>Пользовательский интерфейс</t>
        </is>
      </c>
      <c r="K883" s="7" t="n">
        <v>20</v>
      </c>
      <c r="L883" s="8" t="n"/>
      <c r="M883" s="137" t="inlineStr">
        <is>
          <t>+</t>
        </is>
      </c>
      <c r="N883" s="137" t="inlineStr">
        <is>
          <t>+</t>
        </is>
      </c>
      <c r="O883" s="137" t="inlineStr">
        <is>
          <t>+</t>
        </is>
      </c>
      <c r="P883" s="137" t="inlineStr">
        <is>
          <t>+</t>
        </is>
      </c>
      <c r="Q883" s="137" t="inlineStr">
        <is>
          <t>+</t>
        </is>
      </c>
      <c r="R883" s="137" t="inlineStr">
        <is>
          <t>+</t>
        </is>
      </c>
      <c r="S883" s="137" t="inlineStr">
        <is>
          <t>+</t>
        </is>
      </c>
      <c r="T883" s="8" t="n"/>
      <c r="U883" s="8" t="n"/>
      <c r="V883" s="8" t="n"/>
      <c r="W883" s="8" t="n"/>
      <c r="X883" s="137" t="inlineStr">
        <is>
          <t>+</t>
        </is>
      </c>
      <c r="Y883" s="137" t="inlineStr">
        <is>
          <t>+</t>
        </is>
      </c>
    </row>
    <row r="884">
      <c r="A884" s="6" t="inlineStr">
        <is>
          <t>работник 183</t>
        </is>
      </c>
      <c r="B884" s="6" t="inlineStr">
        <is>
          <t>Машинист экскаватора / Слесарь по ремонту самоходной техники</t>
        </is>
      </c>
      <c r="C884" s="6" t="inlineStr">
        <is>
          <t>ОБЩЕСТВО С ОГРАНИЧЕННОЙ ОТВЕТСТВЕННОСТЬЮ "АМУР ЗОЛОТО"</t>
        </is>
      </c>
      <c r="D884" s="7" t="inlineStr">
        <is>
          <t>2708001686</t>
        </is>
      </c>
      <c r="E884" s="6" t="inlineStr">
        <is>
          <t>ООО "Амур Золото"</t>
        </is>
      </c>
      <c r="F884" s="7" t="inlineStr">
        <is>
          <t>2708001686</t>
        </is>
      </c>
      <c r="G884" s="7" t="inlineStr">
        <is>
          <t>Успешно</t>
        </is>
      </c>
      <c r="H884" s="6" t="n"/>
      <c r="I884" s="6" t="n"/>
      <c r="J884" s="6" t="inlineStr">
        <is>
          <t>Пользовательский интерфейс</t>
        </is>
      </c>
      <c r="K884" s="7" t="n">
        <v>6</v>
      </c>
      <c r="L884" s="8" t="n"/>
      <c r="M884" s="137" t="inlineStr">
        <is>
          <t>+</t>
        </is>
      </c>
      <c r="N884" s="8" t="n"/>
      <c r="O884" s="8" t="n"/>
      <c r="P884" s="8" t="n"/>
      <c r="Q884" s="8" t="n"/>
      <c r="R884" s="8" t="n"/>
      <c r="S884" s="8" t="n"/>
      <c r="T884" s="8" t="n"/>
      <c r="U884" s="8" t="n"/>
      <c r="V884" s="8" t="n"/>
      <c r="W884" s="8" t="n"/>
      <c r="X884" s="137" t="inlineStr">
        <is>
          <t>+</t>
        </is>
      </c>
      <c r="Y884" s="137" t="inlineStr">
        <is>
          <t>+</t>
        </is>
      </c>
    </row>
    <row r="885">
      <c r="A885" s="6" t="inlineStr">
        <is>
          <t>работник 228</t>
        </is>
      </c>
      <c r="B885" s="6" t="inlineStr">
        <is>
          <t>Стропальщик (с исполнением обязанностей грузчика)</t>
        </is>
      </c>
      <c r="C885" s="6" t="inlineStr">
        <is>
          <t>ОБЩЕСТВО С ОГРАНИЧЕННОЙ ОТВЕТСТВЕННОСТЬЮ "АМУР ЗОЛОТО"</t>
        </is>
      </c>
      <c r="D885" s="7" t="inlineStr">
        <is>
          <t>2708001686</t>
        </is>
      </c>
      <c r="E885" s="6" t="inlineStr">
        <is>
          <t>ООО "Амур Золото"</t>
        </is>
      </c>
      <c r="F885" s="7" t="inlineStr">
        <is>
          <t>2708001686</t>
        </is>
      </c>
      <c r="G885" s="7" t="inlineStr">
        <is>
          <t>Успешно</t>
        </is>
      </c>
      <c r="H885" s="6" t="n"/>
      <c r="I885" s="6" t="n"/>
      <c r="J885" s="6" t="inlineStr">
        <is>
          <t>Пользовательский интерфейс</t>
        </is>
      </c>
      <c r="K885" s="7" t="n">
        <v>3</v>
      </c>
      <c r="L885" s="8" t="n"/>
      <c r="M885" s="137" t="inlineStr">
        <is>
          <t>+</t>
        </is>
      </c>
      <c r="N885" s="8" t="n"/>
      <c r="O885" s="8" t="n"/>
      <c r="P885" s="8" t="n"/>
      <c r="Q885" s="8" t="n"/>
      <c r="R885" s="8" t="n"/>
      <c r="S885" s="8" t="n"/>
      <c r="T885" s="8" t="n"/>
      <c r="U885" s="8" t="n"/>
      <c r="V885" s="8" t="n"/>
      <c r="W885" s="8" t="n"/>
      <c r="X885" s="137" t="inlineStr">
        <is>
          <t>+</t>
        </is>
      </c>
      <c r="Y885" s="137" t="inlineStr">
        <is>
          <t>+</t>
        </is>
      </c>
    </row>
    <row r="886">
      <c r="A886" s="6" t="inlineStr">
        <is>
          <t>работник 776</t>
        </is>
      </c>
      <c r="B886" s="6" t="inlineStr">
        <is>
          <t>Машинист самоходной буровой установки</t>
        </is>
      </c>
      <c r="C886" s="6" t="inlineStr">
        <is>
          <t>ОБЩЕСТВО С ОГРАНИЧЕННОЙ ОТВЕТСТВЕННОСТЬЮ "АМУР ЗОЛОТО"</t>
        </is>
      </c>
      <c r="D886" s="7" t="inlineStr">
        <is>
          <t>2708001686</t>
        </is>
      </c>
      <c r="E886" s="6" t="inlineStr">
        <is>
          <t>ООО "Амур Золото"</t>
        </is>
      </c>
      <c r="F886" s="7" t="inlineStr">
        <is>
          <t>2708001686</t>
        </is>
      </c>
      <c r="G886" s="7" t="inlineStr">
        <is>
          <t>Успешно</t>
        </is>
      </c>
      <c r="H886" s="6" t="n"/>
      <c r="I886" s="6" t="n"/>
      <c r="J886" s="6" t="inlineStr">
        <is>
          <t>Пользовательский интерфейс</t>
        </is>
      </c>
      <c r="K886" s="7" t="n">
        <v>3</v>
      </c>
      <c r="L886" s="8" t="n"/>
      <c r="M886" s="137" t="inlineStr">
        <is>
          <t>+</t>
        </is>
      </c>
      <c r="N886" s="8" t="n"/>
      <c r="O886" s="8" t="n"/>
      <c r="P886" s="8" t="n"/>
      <c r="Q886" s="8" t="n"/>
      <c r="R886" s="8" t="n"/>
      <c r="S886" s="8" t="n"/>
      <c r="T886" s="8" t="n"/>
      <c r="U886" s="8" t="n"/>
      <c r="V886" s="8" t="n"/>
      <c r="W886" s="8" t="n"/>
      <c r="X886" s="137" t="inlineStr">
        <is>
          <t>+</t>
        </is>
      </c>
      <c r="Y886" s="137" t="inlineStr">
        <is>
          <t>+</t>
        </is>
      </c>
    </row>
    <row r="887">
      <c r="A887" s="6" t="inlineStr">
        <is>
          <t>работник 251</t>
        </is>
      </c>
      <c r="B887" s="6" t="inlineStr">
        <is>
          <t>Машинист конвейра</t>
        </is>
      </c>
      <c r="C887" s="6" t="inlineStr">
        <is>
          <t>ОБЩЕСТВО С ОГРАНИЧЕННОЙ ОТВЕТСТВЕННОСТЬЮ "АМУР ЗОЛОТО"</t>
        </is>
      </c>
      <c r="D887" s="7" t="inlineStr">
        <is>
          <t>2708001686</t>
        </is>
      </c>
      <c r="E887" s="6" t="inlineStr">
        <is>
          <t>ООО "Амур Золото"</t>
        </is>
      </c>
      <c r="F887" s="7" t="inlineStr">
        <is>
          <t>2708001686</t>
        </is>
      </c>
      <c r="G887" s="7" t="inlineStr">
        <is>
          <t>Успешно</t>
        </is>
      </c>
      <c r="H887" s="6" t="n"/>
      <c r="I887" s="6" t="n"/>
      <c r="J887" s="6" t="inlineStr">
        <is>
          <t>Пользовательский интерфейс</t>
        </is>
      </c>
      <c r="K887" s="7" t="n">
        <v>3</v>
      </c>
      <c r="L887" s="8" t="n"/>
      <c r="M887" s="137" t="inlineStr">
        <is>
          <t>+</t>
        </is>
      </c>
      <c r="N887" s="8" t="n"/>
      <c r="O887" s="8" t="n"/>
      <c r="P887" s="8" t="n"/>
      <c r="Q887" s="8" t="n"/>
      <c r="R887" s="8" t="n"/>
      <c r="S887" s="8" t="n"/>
      <c r="T887" s="8" t="n"/>
      <c r="U887" s="8" t="n"/>
      <c r="V887" s="8" t="n"/>
      <c r="W887" s="8" t="n"/>
      <c r="X887" s="137" t="inlineStr">
        <is>
          <t>+</t>
        </is>
      </c>
      <c r="Y887" s="137" t="inlineStr">
        <is>
          <t>+</t>
        </is>
      </c>
    </row>
    <row r="888">
      <c r="A888" s="6" t="inlineStr">
        <is>
          <t>работник 222</t>
        </is>
      </c>
      <c r="B888" s="6" t="inlineStr">
        <is>
          <t>Водитель автомобиля (категория Д)</t>
        </is>
      </c>
      <c r="C888" s="6" t="inlineStr">
        <is>
          <t>ОБЩЕСТВО С ОГРАНИЧЕННОЙ ОТВЕТСТВЕННОСТЬЮ "АМУР ЗОЛОТО"</t>
        </is>
      </c>
      <c r="D888" s="7" t="inlineStr">
        <is>
          <t>2708001686</t>
        </is>
      </c>
      <c r="E888" s="6" t="inlineStr">
        <is>
          <t>ООО "Амур Золото"</t>
        </is>
      </c>
      <c r="F888" s="7" t="inlineStr">
        <is>
          <t>2708001686</t>
        </is>
      </c>
      <c r="G888" s="7" t="inlineStr">
        <is>
          <t>Успешно</t>
        </is>
      </c>
      <c r="H888" s="6" t="n"/>
      <c r="I888" s="6" t="n"/>
      <c r="J888" s="6" t="inlineStr">
        <is>
          <t>Пользовательский интерфейс</t>
        </is>
      </c>
      <c r="K888" s="7" t="n">
        <v>3</v>
      </c>
      <c r="L888" s="8" t="n"/>
      <c r="M888" s="137" t="inlineStr">
        <is>
          <t>+</t>
        </is>
      </c>
      <c r="N888" s="8" t="n"/>
      <c r="O888" s="8" t="n"/>
      <c r="P888" s="8" t="n"/>
      <c r="Q888" s="8" t="n"/>
      <c r="R888" s="8" t="n"/>
      <c r="S888" s="8" t="n"/>
      <c r="T888" s="8" t="n"/>
      <c r="U888" s="8" t="n"/>
      <c r="V888" s="8" t="n"/>
      <c r="W888" s="8" t="n"/>
      <c r="X888" s="137" t="inlineStr">
        <is>
          <t>+</t>
        </is>
      </c>
      <c r="Y888" s="138" t="inlineStr">
        <is>
          <t>+</t>
        </is>
      </c>
    </row>
    <row r="889">
      <c r="A889" s="6" t="inlineStr">
        <is>
          <t>работник 612</t>
        </is>
      </c>
      <c r="B889" s="6" t="inlineStr">
        <is>
          <t>Электромонтер</t>
        </is>
      </c>
      <c r="C889" s="6" t="inlineStr">
        <is>
          <t>ОБЩЕСТВО С ОГРАНИЧЕННОЙ ОТВЕТСТВЕННОСТЬЮ "АМУР ЗОЛОТО"</t>
        </is>
      </c>
      <c r="D889" s="7" t="inlineStr">
        <is>
          <t>2708001686</t>
        </is>
      </c>
      <c r="E889" s="6" t="inlineStr">
        <is>
          <t>ООО "Амур Золото"</t>
        </is>
      </c>
      <c r="F889" s="7" t="inlineStr">
        <is>
          <t>2708001686</t>
        </is>
      </c>
      <c r="G889" s="7" t="inlineStr">
        <is>
          <t>Успешно</t>
        </is>
      </c>
      <c r="H889" s="6" t="n"/>
      <c r="I889" s="6" t="n"/>
      <c r="J889" s="6" t="n"/>
      <c r="K889" s="7" t="n">
        <v>2</v>
      </c>
      <c r="L889" s="8" t="n"/>
      <c r="M889" s="137" t="inlineStr">
        <is>
          <t>+</t>
        </is>
      </c>
      <c r="N889" s="8" t="n"/>
      <c r="O889" s="8" t="n"/>
      <c r="P889" s="8" t="n"/>
      <c r="Q889" s="8" t="n"/>
      <c r="R889" s="8" t="n"/>
      <c r="S889" s="8" t="n"/>
      <c r="T889" s="8" t="n"/>
      <c r="U889" s="8" t="n"/>
      <c r="V889" s="8" t="n"/>
      <c r="W889" s="8" t="n"/>
      <c r="X889" s="139" t="n"/>
      <c r="Y889" s="137" t="inlineStr">
        <is>
          <t>+</t>
        </is>
      </c>
    </row>
    <row r="890">
      <c r="A890" s="6" t="inlineStr">
        <is>
          <t>работник 922</t>
        </is>
      </c>
      <c r="B890" s="6" t="inlineStr">
        <is>
          <t>Электромонтер по ремонту и обслуживанию электрооборудования</t>
        </is>
      </c>
      <c r="C890" s="6" t="inlineStr">
        <is>
          <t>ОБЩЕСТВО С ОГРАНИЧЕННОЙ ОТВЕТСТВЕННОСТЬЮ "АМУР ЗОЛОТО"</t>
        </is>
      </c>
      <c r="D890" s="7" t="inlineStr">
        <is>
          <t>2708001686</t>
        </is>
      </c>
      <c r="E890" s="6" t="inlineStr">
        <is>
          <t>ООО "Амур Золото"</t>
        </is>
      </c>
      <c r="F890" s="7" t="inlineStr">
        <is>
          <t>2708001686</t>
        </is>
      </c>
      <c r="G890" s="7" t="inlineStr">
        <is>
          <t>Успешно</t>
        </is>
      </c>
      <c r="H890" s="6" t="n"/>
      <c r="I890" s="6" t="n"/>
      <c r="J890" s="6" t="inlineStr">
        <is>
          <t>Пользовательский интерфейс</t>
        </is>
      </c>
      <c r="K890" s="7" t="n">
        <v>2</v>
      </c>
      <c r="L890" s="8" t="n"/>
      <c r="M890" s="137" t="inlineStr">
        <is>
          <t>+</t>
        </is>
      </c>
      <c r="N890" s="8" t="n"/>
      <c r="O890" s="8" t="n"/>
      <c r="P890" s="8" t="n"/>
      <c r="Q890" s="8" t="n"/>
      <c r="R890" s="8" t="n"/>
      <c r="S890" s="8" t="n"/>
      <c r="T890" s="8" t="n"/>
      <c r="U890" s="8" t="n"/>
      <c r="V890" s="8" t="n"/>
      <c r="W890" s="8" t="n"/>
      <c r="X890" s="139" t="n"/>
      <c r="Y890" s="137" t="inlineStr">
        <is>
          <t>+</t>
        </is>
      </c>
    </row>
    <row r="891">
      <c r="A891" s="6" t="inlineStr">
        <is>
          <t>работник 616</t>
        </is>
      </c>
      <c r="B891" s="6" t="inlineStr">
        <is>
          <t>Электромонтер по ремонту и обслуживанию электрооборудования</t>
        </is>
      </c>
      <c r="C891" s="6" t="inlineStr">
        <is>
          <t>ОБЩЕСТВО С ОГРАНИЧЕННОЙ ОТВЕТСТВЕННОСТЬЮ "АМУР ЗОЛОТО"</t>
        </is>
      </c>
      <c r="D891" s="7" t="inlineStr">
        <is>
          <t>2708001686</t>
        </is>
      </c>
      <c r="E891" s="6" t="inlineStr">
        <is>
          <t>ООО "Амур Золото"</t>
        </is>
      </c>
      <c r="F891" s="7" t="inlineStr">
        <is>
          <t>2708001686</t>
        </is>
      </c>
      <c r="G891" s="7" t="inlineStr">
        <is>
          <t>Успешно</t>
        </is>
      </c>
      <c r="H891" s="6" t="n"/>
      <c r="I891" s="6" t="n"/>
      <c r="J891" s="6" t="n"/>
      <c r="K891" s="7" t="n">
        <v>2</v>
      </c>
      <c r="L891" s="8" t="n"/>
      <c r="M891" s="137" t="inlineStr">
        <is>
          <t>+</t>
        </is>
      </c>
      <c r="N891" s="8" t="n"/>
      <c r="O891" s="8" t="n"/>
      <c r="P891" s="8" t="n"/>
      <c r="Q891" s="8" t="n"/>
      <c r="R891" s="8" t="n"/>
      <c r="S891" s="8" t="n"/>
      <c r="T891" s="8" t="n"/>
      <c r="U891" s="8" t="n"/>
      <c r="V891" s="8" t="n"/>
      <c r="W891" s="8" t="n"/>
      <c r="X891" s="139" t="n"/>
      <c r="Y891" s="137" t="inlineStr">
        <is>
          <t>+</t>
        </is>
      </c>
    </row>
    <row r="892">
      <c r="A892" s="6" t="inlineStr">
        <is>
          <t>работник 84</t>
        </is>
      </c>
      <c r="B892" s="6" t="inlineStr">
        <is>
          <t>Плотник</t>
        </is>
      </c>
      <c r="C892" s="6" t="inlineStr">
        <is>
          <t>ОБЩЕСТВО С ОГРАНИЧЕННОЙ ОТВЕТСТВЕННОСТЬЮ "АМУР ЗОЛОТО"</t>
        </is>
      </c>
      <c r="D892" s="7" t="inlineStr">
        <is>
          <t>2708001686</t>
        </is>
      </c>
      <c r="E892" s="6" t="inlineStr">
        <is>
          <t>ООО "Амур Золото"</t>
        </is>
      </c>
      <c r="F892" s="7" t="inlineStr">
        <is>
          <t>2708001686</t>
        </is>
      </c>
      <c r="G892" s="7" t="inlineStr">
        <is>
          <t>Успешно</t>
        </is>
      </c>
      <c r="H892" s="6" t="n"/>
      <c r="I892" s="6" t="n"/>
      <c r="J892" s="6" t="inlineStr">
        <is>
          <t>Пользовательский интерфейс</t>
        </is>
      </c>
      <c r="K892" s="7" t="n">
        <v>6</v>
      </c>
      <c r="L892" s="8" t="n"/>
      <c r="M892" s="137" t="inlineStr">
        <is>
          <t>+</t>
        </is>
      </c>
      <c r="N892" s="137" t="inlineStr">
        <is>
          <t>+</t>
        </is>
      </c>
      <c r="O892" s="8" t="n"/>
      <c r="P892" s="8" t="n"/>
      <c r="Q892" s="8" t="n"/>
      <c r="R892" s="8" t="n"/>
      <c r="S892" s="8" t="n"/>
      <c r="T892" s="8" t="n"/>
      <c r="U892" s="137" t="inlineStr">
        <is>
          <t>+</t>
        </is>
      </c>
      <c r="V892" s="137" t="inlineStr">
        <is>
          <t>+</t>
        </is>
      </c>
      <c r="W892" s="8" t="n"/>
      <c r="X892" s="137" t="inlineStr">
        <is>
          <t>+</t>
        </is>
      </c>
      <c r="Y892" s="137" t="inlineStr">
        <is>
          <t>+</t>
        </is>
      </c>
    </row>
    <row r="893">
      <c r="A893" s="6" t="inlineStr">
        <is>
          <t>работник 107</t>
        </is>
      </c>
      <c r="B893" s="6" t="inlineStr">
        <is>
          <t>Повар</t>
        </is>
      </c>
      <c r="C893" s="6" t="inlineStr">
        <is>
          <t>ОБЩЕСТВО С ОГРАНИЧЕННОЙ ОТВЕТСТВЕННОСТЬЮ "АМУР ЗОЛОТО"</t>
        </is>
      </c>
      <c r="D893" s="7" t="inlineStr">
        <is>
          <t>2708001686</t>
        </is>
      </c>
      <c r="E893" s="6" t="inlineStr">
        <is>
          <t>ООО "Амур Золото"</t>
        </is>
      </c>
      <c r="F893" s="7" t="inlineStr">
        <is>
          <t>2708001686</t>
        </is>
      </c>
      <c r="G893" s="7" t="inlineStr">
        <is>
          <t>Успешно</t>
        </is>
      </c>
      <c r="H893" s="6" t="n"/>
      <c r="I893" s="6" t="n"/>
      <c r="J893" s="6" t="inlineStr">
        <is>
          <t>Пользовательский интерфейс</t>
        </is>
      </c>
      <c r="K893" s="7" t="n">
        <v>3</v>
      </c>
      <c r="L893" s="8" t="n"/>
      <c r="M893" s="137" t="inlineStr">
        <is>
          <t>+</t>
        </is>
      </c>
      <c r="N893" s="8" t="n"/>
      <c r="O893" s="8" t="n"/>
      <c r="P893" s="8" t="n"/>
      <c r="Q893" s="8" t="n"/>
      <c r="R893" s="8" t="n"/>
      <c r="S893" s="8" t="n"/>
      <c r="T893" s="8" t="n"/>
      <c r="U893" s="8" t="n"/>
      <c r="V893" s="8" t="n"/>
      <c r="W893" s="8" t="n"/>
      <c r="X893" s="137" t="inlineStr">
        <is>
          <t>+</t>
        </is>
      </c>
      <c r="Y893" s="138" t="inlineStr">
        <is>
          <t>+</t>
        </is>
      </c>
    </row>
    <row r="894">
      <c r="A894" s="6" t="inlineStr">
        <is>
          <t>работник 213</t>
        </is>
      </c>
      <c r="B894" s="6" t="inlineStr">
        <is>
          <t>Электрогазосварщик(занятый на резке и ручной сварке)</t>
        </is>
      </c>
      <c r="C894" s="6" t="inlineStr">
        <is>
          <t>ОБЩЕСТВО С ОГРАНИЧЕННОЙ ОТВЕТСТВЕННОСТЬЮ "АМУР ЗОЛОТО"</t>
        </is>
      </c>
      <c r="D894" s="7" t="inlineStr">
        <is>
          <t>2708001686</t>
        </is>
      </c>
      <c r="E894" s="6" t="inlineStr">
        <is>
          <t>ООО "Амур Золото"</t>
        </is>
      </c>
      <c r="F894" s="7" t="inlineStr">
        <is>
          <t>2708001686</t>
        </is>
      </c>
      <c r="G894" s="7" t="inlineStr">
        <is>
          <t>Успешно</t>
        </is>
      </c>
      <c r="H894" s="6" t="n"/>
      <c r="I894" s="6" t="n"/>
      <c r="J894" s="6" t="inlineStr">
        <is>
          <t>Пользовательский интерфейс</t>
        </is>
      </c>
      <c r="K894" s="7" t="n">
        <v>3</v>
      </c>
      <c r="L894" s="8" t="n"/>
      <c r="M894" s="137" t="inlineStr">
        <is>
          <t>+</t>
        </is>
      </c>
      <c r="N894" s="8" t="n"/>
      <c r="O894" s="8" t="n"/>
      <c r="P894" s="8" t="n"/>
      <c r="Q894" s="8" t="n"/>
      <c r="R894" s="8" t="n"/>
      <c r="S894" s="8" t="n"/>
      <c r="T894" s="8" t="n"/>
      <c r="U894" s="8" t="n"/>
      <c r="V894" s="8" t="n"/>
      <c r="W894" s="8" t="n"/>
      <c r="X894" s="137" t="inlineStr">
        <is>
          <t>+</t>
        </is>
      </c>
      <c r="Y894" s="137" t="inlineStr">
        <is>
          <t>+</t>
        </is>
      </c>
    </row>
    <row r="895">
      <c r="A895" s="6" t="inlineStr">
        <is>
          <t>работник 915</t>
        </is>
      </c>
      <c r="B895" s="6" t="inlineStr">
        <is>
          <t>Слесарь-ремонтник (по ремонту обогатительного оборудования)</t>
        </is>
      </c>
      <c r="C895" s="6" t="inlineStr">
        <is>
          <t>ОБЩЕСТВО С ОГРАНИЧЕННОЙ ОТВЕТСТВЕННОСТЬЮ "АМУР ЗОЛОТО"</t>
        </is>
      </c>
      <c r="D895" s="7" t="inlineStr">
        <is>
          <t>2708001686</t>
        </is>
      </c>
      <c r="E895" s="6" t="inlineStr">
        <is>
          <t>ООО "Амур Золото"</t>
        </is>
      </c>
      <c r="F895" s="7" t="inlineStr">
        <is>
          <t>2708001686</t>
        </is>
      </c>
      <c r="G895" s="7" t="inlineStr">
        <is>
          <t>Успешно</t>
        </is>
      </c>
      <c r="H895" s="6" t="n"/>
      <c r="I895" s="6" t="n"/>
      <c r="J895" s="6" t="inlineStr">
        <is>
          <t>Пользовательский интерфейс</t>
        </is>
      </c>
      <c r="K895" s="7" t="n">
        <v>3</v>
      </c>
      <c r="L895" s="8" t="n"/>
      <c r="M895" s="137" t="inlineStr">
        <is>
          <t>+</t>
        </is>
      </c>
      <c r="N895" s="8" t="n"/>
      <c r="O895" s="8" t="n"/>
      <c r="P895" s="8" t="n"/>
      <c r="Q895" s="8" t="n"/>
      <c r="R895" s="8" t="n"/>
      <c r="S895" s="8" t="n"/>
      <c r="T895" s="8" t="n"/>
      <c r="U895" s="8" t="n"/>
      <c r="V895" s="8" t="n"/>
      <c r="W895" s="8" t="n"/>
      <c r="X895" s="137" t="inlineStr">
        <is>
          <t>+</t>
        </is>
      </c>
      <c r="Y895" s="137" t="inlineStr">
        <is>
          <t>+</t>
        </is>
      </c>
    </row>
    <row r="896">
      <c r="A896" s="6" t="inlineStr">
        <is>
          <t>работник 855</t>
        </is>
      </c>
      <c r="B896" s="6" t="inlineStr">
        <is>
          <t>Уборщик производственных и служебных помещений</t>
        </is>
      </c>
      <c r="C896" s="6" t="inlineStr">
        <is>
          <t>ОБЩЕСТВО С ОГРАНИЧЕННОЙ ОТВЕТСТВЕННОСТЬЮ "АМУР ЗОЛОТО"</t>
        </is>
      </c>
      <c r="D896" s="7" t="inlineStr">
        <is>
          <t>2708001686</t>
        </is>
      </c>
      <c r="E896" s="6" t="inlineStr">
        <is>
          <t>ООО "Амур Золото"</t>
        </is>
      </c>
      <c r="F896" s="7" t="inlineStr">
        <is>
          <t>2708001686</t>
        </is>
      </c>
      <c r="G896" s="7" t="inlineStr">
        <is>
          <t>Успешно</t>
        </is>
      </c>
      <c r="H896" s="6" t="n"/>
      <c r="I896" s="6" t="n"/>
      <c r="J896" s="6" t="inlineStr">
        <is>
          <t>Пользовательский интерфейс</t>
        </is>
      </c>
      <c r="K896" s="7" t="n">
        <v>3</v>
      </c>
      <c r="L896" s="8" t="n"/>
      <c r="M896" s="137" t="inlineStr">
        <is>
          <t>+</t>
        </is>
      </c>
      <c r="N896" s="8" t="n"/>
      <c r="O896" s="8" t="n"/>
      <c r="P896" s="8" t="n"/>
      <c r="Q896" s="8" t="n"/>
      <c r="R896" s="8" t="n"/>
      <c r="S896" s="8" t="n"/>
      <c r="T896" s="8" t="n"/>
      <c r="U896" s="8" t="n"/>
      <c r="V896" s="8" t="n"/>
      <c r="W896" s="8" t="n"/>
      <c r="X896" s="137" t="inlineStr">
        <is>
          <t>+</t>
        </is>
      </c>
      <c r="Y896" s="137" t="inlineStr">
        <is>
          <t>+</t>
        </is>
      </c>
    </row>
    <row r="897">
      <c r="A897" s="6" t="inlineStr">
        <is>
          <t>работник 11</t>
        </is>
      </c>
      <c r="B897" s="6" t="inlineStr">
        <is>
          <t>Теплотехник</t>
        </is>
      </c>
      <c r="C897" s="6" t="inlineStr">
        <is>
          <t>ООО "Амур золото". Подразделение: горно-обогатительный комплекс "Юбилейный"</t>
        </is>
      </c>
      <c r="D897" s="7" t="inlineStr">
        <is>
          <t>2708001686</t>
        </is>
      </c>
      <c r="E897" s="6" t="inlineStr">
        <is>
          <t>Автономная некоммерческая организация дополнительного профессионального образования и сертификации "Перспектива"</t>
        </is>
      </c>
      <c r="F897" s="7" t="inlineStr">
        <is>
          <t>2722126782</t>
        </is>
      </c>
      <c r="G897" s="7" t="inlineStr">
        <is>
          <t>Успешно</t>
        </is>
      </c>
      <c r="H897" s="6" t="n"/>
      <c r="I897" s="6" t="n"/>
      <c r="J897" s="6" t="inlineStr">
        <is>
          <t>Пользовательский интерфейс</t>
        </is>
      </c>
      <c r="K897" s="7" t="n">
        <v>4</v>
      </c>
      <c r="L897" s="138" t="inlineStr">
        <is>
          <t>+</t>
        </is>
      </c>
      <c r="M897" s="137" t="inlineStr">
        <is>
          <t>+</t>
        </is>
      </c>
      <c r="N897" s="8" t="n"/>
      <c r="O897" s="8" t="n"/>
      <c r="P897" s="8" t="n"/>
      <c r="Q897" s="8" t="n"/>
      <c r="R897" s="8" t="n"/>
      <c r="S897" s="8" t="n"/>
      <c r="T897" s="8" t="n"/>
      <c r="U897" s="8" t="n"/>
      <c r="V897" s="8" t="n"/>
      <c r="W897" s="8" t="n"/>
      <c r="X897" s="140" t="inlineStr">
        <is>
          <t>+</t>
        </is>
      </c>
      <c r="Y897" s="137" t="inlineStr">
        <is>
          <t>+</t>
        </is>
      </c>
    </row>
    <row r="898">
      <c r="A898" s="6" t="inlineStr">
        <is>
          <t>работник 656</t>
        </is>
      </c>
      <c r="B898" s="6" t="inlineStr">
        <is>
          <t>Слесарь по ремонту автомобилей / Слесарь по ремонту автомобилей и тяжелой техники</t>
        </is>
      </c>
      <c r="C898" s="6" t="inlineStr">
        <is>
          <t>ОБЩЕСТВО С ОГРАНИЧЕННОЙ ОТВЕТСТВЕННОСТЬЮ "АМУР ЗОЛОТО"</t>
        </is>
      </c>
      <c r="D898" s="7" t="inlineStr">
        <is>
          <t>2708001686</t>
        </is>
      </c>
      <c r="E898" s="6" t="inlineStr">
        <is>
          <t>ООО "Амур Золото"</t>
        </is>
      </c>
      <c r="F898" s="7" t="inlineStr">
        <is>
          <t>2708001686</t>
        </is>
      </c>
      <c r="G898" s="7" t="inlineStr">
        <is>
          <t>Успешно</t>
        </is>
      </c>
      <c r="H898" s="6" t="n"/>
      <c r="I898" s="6" t="n"/>
      <c r="J898" s="6" t="inlineStr">
        <is>
          <t>Пользовательский интерфейс</t>
        </is>
      </c>
      <c r="K898" s="7" t="n">
        <v>5</v>
      </c>
      <c r="L898" s="8" t="n"/>
      <c r="M898" s="137" t="inlineStr">
        <is>
          <t>+</t>
        </is>
      </c>
      <c r="N898" s="8" t="n"/>
      <c r="O898" s="8" t="n"/>
      <c r="P898" s="8" t="n"/>
      <c r="Q898" s="8" t="n"/>
      <c r="R898" s="8" t="n"/>
      <c r="S898" s="8" t="n"/>
      <c r="T898" s="8" t="n"/>
      <c r="U898" s="8" t="n"/>
      <c r="V898" s="8" t="n"/>
      <c r="W898" s="8" t="n"/>
      <c r="X898" s="137" t="inlineStr">
        <is>
          <t>+</t>
        </is>
      </c>
      <c r="Y898" s="137" t="inlineStr">
        <is>
          <t>+</t>
        </is>
      </c>
    </row>
    <row r="899">
      <c r="A899" s="6" t="inlineStr">
        <is>
          <t>работник 741</t>
        </is>
      </c>
      <c r="B899" s="6" t="inlineStr">
        <is>
          <t>Электрогазосварщик (занятый на резке и ручной сварке)</t>
        </is>
      </c>
      <c r="C899" s="6" t="inlineStr">
        <is>
          <t>ОБЩЕСТВО С ОГРАНИЧЕННОЙ ОТВЕТСТВЕННОСТЬЮ "АМУР ЗОЛОТО"</t>
        </is>
      </c>
      <c r="D899" s="7" t="inlineStr">
        <is>
          <t>2708001686</t>
        </is>
      </c>
      <c r="E899" s="6" t="inlineStr">
        <is>
          <t>ООО "Амур Золото"</t>
        </is>
      </c>
      <c r="F899" s="7" t="inlineStr">
        <is>
          <t>2708001686</t>
        </is>
      </c>
      <c r="G899" s="7" t="inlineStr">
        <is>
          <t>Успешно</t>
        </is>
      </c>
      <c r="H899" s="6" t="n"/>
      <c r="I899" s="6" t="n"/>
      <c r="J899" s="6" t="inlineStr">
        <is>
          <t>Пользовательский интерфейс</t>
        </is>
      </c>
      <c r="K899" s="7" t="n">
        <v>3</v>
      </c>
      <c r="L899" s="8" t="n"/>
      <c r="M899" s="137" t="inlineStr">
        <is>
          <t>+</t>
        </is>
      </c>
      <c r="N899" s="8" t="n"/>
      <c r="O899" s="137" t="inlineStr">
        <is>
          <t>+</t>
        </is>
      </c>
      <c r="P899" s="8" t="n"/>
      <c r="Q899" s="8" t="n"/>
      <c r="R899" s="8" t="n"/>
      <c r="S899" s="8" t="n"/>
      <c r="T899" s="8" t="n"/>
      <c r="U899" s="8" t="n"/>
      <c r="V899" s="8" t="n"/>
      <c r="W899" s="8" t="n"/>
      <c r="X899" s="139" t="n"/>
      <c r="Y899" s="137" t="inlineStr">
        <is>
          <t>+</t>
        </is>
      </c>
    </row>
    <row r="900">
      <c r="A900" s="6" t="inlineStr">
        <is>
          <t>работник 95</t>
        </is>
      </c>
      <c r="B900" s="6" t="inlineStr">
        <is>
          <t>Кухонный рабочий</t>
        </is>
      </c>
      <c r="C900" s="6" t="inlineStr">
        <is>
          <t>ОБЩЕСТВО С ОГРАНИЧЕННОЙ ОТВЕТСТВЕННОСТЬЮ "АМУР ЗОЛОТО"</t>
        </is>
      </c>
      <c r="D900" s="7" t="inlineStr">
        <is>
          <t>2708001686</t>
        </is>
      </c>
      <c r="E900" s="6" t="inlineStr">
        <is>
          <t>ООО "Амур Золото"</t>
        </is>
      </c>
      <c r="F900" s="7" t="inlineStr">
        <is>
          <t>2708001686</t>
        </is>
      </c>
      <c r="G900" s="7" t="inlineStr">
        <is>
          <t>Успешно</t>
        </is>
      </c>
      <c r="H900" s="6" t="n"/>
      <c r="I900" s="6" t="n"/>
      <c r="J900" s="6" t="inlineStr">
        <is>
          <t>Пользовательский интерфейс</t>
        </is>
      </c>
      <c r="K900" s="7" t="n">
        <v>3</v>
      </c>
      <c r="L900" s="8" t="n"/>
      <c r="M900" s="137" t="inlineStr">
        <is>
          <t>+</t>
        </is>
      </c>
      <c r="N900" s="8" t="n"/>
      <c r="O900" s="8" t="n"/>
      <c r="P900" s="8" t="n"/>
      <c r="Q900" s="8" t="n"/>
      <c r="R900" s="8" t="n"/>
      <c r="S900" s="8" t="n"/>
      <c r="T900" s="8" t="n"/>
      <c r="U900" s="8" t="n"/>
      <c r="V900" s="8" t="n"/>
      <c r="W900" s="8" t="n"/>
      <c r="X900" s="137" t="inlineStr">
        <is>
          <t>+</t>
        </is>
      </c>
      <c r="Y900" s="138" t="inlineStr">
        <is>
          <t>+</t>
        </is>
      </c>
    </row>
    <row r="901">
      <c r="A901" s="6" t="inlineStr">
        <is>
          <t>работник 769</t>
        </is>
      </c>
      <c r="B901" s="6" t="inlineStr">
        <is>
          <t>Проходчик (с исполнением обязанностей взрывника)</t>
        </is>
      </c>
      <c r="C901" s="6" t="inlineStr">
        <is>
          <t>ОБЩЕСТВО С ОГРАНИЧЕННОЙ ОТВЕТСТВЕННОСТЬЮ "АМУР ЗОЛОТО"</t>
        </is>
      </c>
      <c r="D901" s="7" t="inlineStr">
        <is>
          <t>2708001686</t>
        </is>
      </c>
      <c r="E901" s="6" t="inlineStr">
        <is>
          <t>ООО "Амур Золото"</t>
        </is>
      </c>
      <c r="F901" s="7" t="inlineStr">
        <is>
          <t>2708001686</t>
        </is>
      </c>
      <c r="G901" s="7" t="inlineStr">
        <is>
          <t>Успешно</t>
        </is>
      </c>
      <c r="H901" s="6" t="n"/>
      <c r="I901" s="6" t="n"/>
      <c r="J901" s="6" t="inlineStr">
        <is>
          <t>Пользовательский интерфейс</t>
        </is>
      </c>
      <c r="K901" s="7" t="n">
        <v>1</v>
      </c>
      <c r="L901" s="8" t="n"/>
      <c r="M901" s="139" t="n"/>
      <c r="N901" s="8" t="n"/>
      <c r="O901" s="8" t="n"/>
      <c r="P901" s="8" t="n"/>
      <c r="Q901" s="8" t="n"/>
      <c r="R901" s="8" t="n"/>
      <c r="S901" s="8" t="n"/>
      <c r="T901" s="8" t="n"/>
      <c r="U901" s="8" t="n"/>
      <c r="V901" s="8" t="n"/>
      <c r="W901" s="8" t="n"/>
      <c r="X901" s="137" t="inlineStr">
        <is>
          <t>+</t>
        </is>
      </c>
      <c r="Y901" s="8" t="n"/>
    </row>
    <row r="902">
      <c r="A902" s="6" t="inlineStr">
        <is>
          <t>работник 72</t>
        </is>
      </c>
      <c r="B902" s="6" t="inlineStr">
        <is>
          <t>Бункеровщик / Подсобный рабочий</t>
        </is>
      </c>
      <c r="C902" s="6" t="inlineStr">
        <is>
          <t>ОБЩЕСТВО С ОГРАНИЧЕННОЙ ОТВЕТСТВЕННОСТЬЮ "АМУР ЗОЛОТО"</t>
        </is>
      </c>
      <c r="D902" s="7" t="inlineStr">
        <is>
          <t>2708001686</t>
        </is>
      </c>
      <c r="E902" s="6" t="inlineStr">
        <is>
          <t>ООО "Амур Золото"</t>
        </is>
      </c>
      <c r="F902" s="7" t="inlineStr">
        <is>
          <t>2708001686</t>
        </is>
      </c>
      <c r="G902" s="7" t="inlineStr">
        <is>
          <t>Успешно</t>
        </is>
      </c>
      <c r="H902" s="6" t="n"/>
      <c r="I902" s="6" t="n"/>
      <c r="J902" s="6" t="inlineStr">
        <is>
          <t>Пользовательский интерфейс</t>
        </is>
      </c>
      <c r="K902" s="7" t="n">
        <v>6</v>
      </c>
      <c r="L902" s="8" t="n"/>
      <c r="M902" s="137" t="inlineStr">
        <is>
          <t>+</t>
        </is>
      </c>
      <c r="N902" s="8" t="n"/>
      <c r="O902" s="8" t="n"/>
      <c r="P902" s="8" t="n"/>
      <c r="Q902" s="8" t="n"/>
      <c r="R902" s="8" t="n"/>
      <c r="S902" s="8" t="n"/>
      <c r="T902" s="8" t="n"/>
      <c r="U902" s="8" t="n"/>
      <c r="V902" s="8" t="n"/>
      <c r="W902" s="8" t="n"/>
      <c r="X902" s="137" t="inlineStr">
        <is>
          <t>+</t>
        </is>
      </c>
      <c r="Y902" s="137" t="inlineStr">
        <is>
          <t>+</t>
        </is>
      </c>
    </row>
    <row r="903">
      <c r="A903" s="6" t="inlineStr">
        <is>
          <t>работник 834</t>
        </is>
      </c>
      <c r="B903" s="6" t="inlineStr">
        <is>
          <t>подсобный рабочий</t>
        </is>
      </c>
      <c r="C903" s="6" t="inlineStr">
        <is>
          <t>ОБЩЕСТВО С ОГРАНИЧЕННОЙ ОТВЕТСТВЕННОСТЬЮ "АМУР ЗОЛОТО"</t>
        </is>
      </c>
      <c r="D903" s="7" t="inlineStr">
        <is>
          <t>2708001686</t>
        </is>
      </c>
      <c r="E903" s="6" t="inlineStr">
        <is>
          <t>ООО "Амур Золото"</t>
        </is>
      </c>
      <c r="F903" s="7" t="inlineStr">
        <is>
          <t>2708001686</t>
        </is>
      </c>
      <c r="G903" s="7" t="inlineStr">
        <is>
          <t>Успешно</t>
        </is>
      </c>
      <c r="H903" s="6" t="n"/>
      <c r="I903" s="6" t="n"/>
      <c r="J903" s="6" t="inlineStr">
        <is>
          <t>Пользовательский интерфейс</t>
        </is>
      </c>
      <c r="K903" s="7" t="n">
        <v>3</v>
      </c>
      <c r="L903" s="8" t="n"/>
      <c r="M903" s="137" t="inlineStr">
        <is>
          <t>+</t>
        </is>
      </c>
      <c r="N903" s="8" t="n"/>
      <c r="O903" s="8" t="n"/>
      <c r="P903" s="8" t="n"/>
      <c r="Q903" s="8" t="n"/>
      <c r="R903" s="8" t="n"/>
      <c r="S903" s="8" t="n"/>
      <c r="T903" s="8" t="n"/>
      <c r="U903" s="8" t="n"/>
      <c r="V903" s="8" t="n"/>
      <c r="W903" s="8" t="n"/>
      <c r="X903" s="137" t="inlineStr">
        <is>
          <t>+</t>
        </is>
      </c>
      <c r="Y903" s="137" t="inlineStr">
        <is>
          <t>+</t>
        </is>
      </c>
    </row>
    <row r="904">
      <c r="A904" s="6" t="inlineStr">
        <is>
          <t>работник 496</t>
        </is>
      </c>
      <c r="B904" s="6" t="inlineStr">
        <is>
          <t>Машинист  самоходной буровой установки (Очистное)</t>
        </is>
      </c>
      <c r="C904" s="6" t="inlineStr">
        <is>
          <t>ОБЩЕСТВО С ОГРАНИЧЕННОЙ ОТВЕТСТВЕННОСТЬЮ "АМУР ЗОЛОТО"</t>
        </is>
      </c>
      <c r="D904" s="7" t="inlineStr">
        <is>
          <t>2708001686</t>
        </is>
      </c>
      <c r="E904" s="6" t="inlineStr">
        <is>
          <t>ООО "Амур Золото"</t>
        </is>
      </c>
      <c r="F904" s="7" t="inlineStr">
        <is>
          <t>2708001686</t>
        </is>
      </c>
      <c r="G904" s="7" t="inlineStr">
        <is>
          <t>Успешно</t>
        </is>
      </c>
      <c r="H904" s="6" t="n"/>
      <c r="I904" s="6" t="n"/>
      <c r="J904" s="6" t="inlineStr">
        <is>
          <t>Пользовательский интерфейс</t>
        </is>
      </c>
      <c r="K904" s="7" t="n">
        <v>2</v>
      </c>
      <c r="L904" s="8" t="n"/>
      <c r="M904" s="137" t="inlineStr">
        <is>
          <t>+</t>
        </is>
      </c>
      <c r="N904" s="8" t="n"/>
      <c r="O904" s="8" t="n"/>
      <c r="P904" s="8" t="n"/>
      <c r="Q904" s="8" t="n"/>
      <c r="R904" s="8" t="n"/>
      <c r="S904" s="8" t="n"/>
      <c r="T904" s="8" t="n"/>
      <c r="U904" s="8" t="n"/>
      <c r="V904" s="8" t="n"/>
      <c r="W904" s="8" t="n"/>
      <c r="X904" s="139" t="n"/>
      <c r="Y904" s="137" t="inlineStr">
        <is>
          <t>+</t>
        </is>
      </c>
    </row>
    <row r="905">
      <c r="A905" s="6" t="inlineStr">
        <is>
          <t>работник 299</t>
        </is>
      </c>
      <c r="B905" s="6" t="inlineStr">
        <is>
          <t>Машинист экскаватора</t>
        </is>
      </c>
      <c r="C905" s="6" t="inlineStr">
        <is>
          <t>ОБЩЕСТВО С ОГРАНИЧЕННОЙ ОТВЕТСТВЕННОСТЬЮ "АМУР ЗОЛОТО"</t>
        </is>
      </c>
      <c r="D905" s="7" t="inlineStr">
        <is>
          <t>2708001686</t>
        </is>
      </c>
      <c r="E905" s="6" t="inlineStr">
        <is>
          <t>ООО "Амур Золото"</t>
        </is>
      </c>
      <c r="F905" s="7" t="inlineStr">
        <is>
          <t>2708001686</t>
        </is>
      </c>
      <c r="G905" s="7" t="inlineStr">
        <is>
          <t>Успешно</t>
        </is>
      </c>
      <c r="H905" s="6" t="n"/>
      <c r="I905" s="6" t="n"/>
      <c r="J905" s="6" t="inlineStr">
        <is>
          <t>Пользовательский интерфейс</t>
        </is>
      </c>
      <c r="K905" s="7" t="n">
        <v>3</v>
      </c>
      <c r="L905" s="8" t="n"/>
      <c r="M905" s="137" t="inlineStr">
        <is>
          <t>+</t>
        </is>
      </c>
      <c r="N905" s="8" t="n"/>
      <c r="O905" s="8" t="n"/>
      <c r="P905" s="8" t="n"/>
      <c r="Q905" s="8" t="n"/>
      <c r="R905" s="8" t="n"/>
      <c r="S905" s="8" t="n"/>
      <c r="T905" s="8" t="n"/>
      <c r="U905" s="8" t="n"/>
      <c r="V905" s="8" t="n"/>
      <c r="W905" s="8" t="n"/>
      <c r="X905" s="137" t="inlineStr">
        <is>
          <t>+</t>
        </is>
      </c>
      <c r="Y905" s="137" t="inlineStr">
        <is>
          <t>+</t>
        </is>
      </c>
    </row>
    <row r="906">
      <c r="A906" s="6" t="inlineStr">
        <is>
          <t>работник 846</t>
        </is>
      </c>
      <c r="B906" s="6" t="inlineStr">
        <is>
          <t>Проходчик (с исполнением обязанностей взрывника)</t>
        </is>
      </c>
      <c r="C906" s="6" t="inlineStr">
        <is>
          <t>ОБЩЕСТВО С ОГРАНИЧЕННОЙ ОТВЕТСТВЕННОСТЬЮ "АМУР ЗОЛОТО"</t>
        </is>
      </c>
      <c r="D906" s="7" t="inlineStr">
        <is>
          <t>2708001686</t>
        </is>
      </c>
      <c r="E906" s="6" t="inlineStr">
        <is>
          <t>ООО "Амур Золото"</t>
        </is>
      </c>
      <c r="F906" s="7" t="inlineStr">
        <is>
          <t>2708001686</t>
        </is>
      </c>
      <c r="G906" s="7" t="inlineStr">
        <is>
          <t>Успешно</t>
        </is>
      </c>
      <c r="H906" s="6" t="n"/>
      <c r="I906" s="6" t="n"/>
      <c r="J906" s="6" t="inlineStr">
        <is>
          <t>Пользовательский интерфейс</t>
        </is>
      </c>
      <c r="K906" s="7" t="n">
        <v>3</v>
      </c>
      <c r="L906" s="8" t="n"/>
      <c r="M906" s="137" t="inlineStr">
        <is>
          <t>+</t>
        </is>
      </c>
      <c r="N906" s="8" t="n"/>
      <c r="O906" s="8" t="n"/>
      <c r="P906" s="8" t="n"/>
      <c r="Q906" s="8" t="n"/>
      <c r="R906" s="8" t="n"/>
      <c r="S906" s="8" t="n"/>
      <c r="T906" s="8" t="n"/>
      <c r="U906" s="8" t="n"/>
      <c r="V906" s="8" t="n"/>
      <c r="W906" s="8" t="n"/>
      <c r="X906" s="137" t="inlineStr">
        <is>
          <t>+</t>
        </is>
      </c>
      <c r="Y906" s="137" t="inlineStr">
        <is>
          <t>+</t>
        </is>
      </c>
    </row>
    <row r="907">
      <c r="A907" s="6" t="inlineStr">
        <is>
          <t>работник 234</t>
        </is>
      </c>
      <c r="B907" s="6" t="inlineStr">
        <is>
          <t>Лаборант пробирного анализа</t>
        </is>
      </c>
      <c r="C907" s="6" t="inlineStr">
        <is>
          <t>ОБЩЕСТВО С ОГРАНИЧЕННОЙ ОТВЕТСТВЕННОСТЬЮ "АМУР ЗОЛОТО"</t>
        </is>
      </c>
      <c r="D907" s="7" t="inlineStr">
        <is>
          <t>2708001686</t>
        </is>
      </c>
      <c r="E907" s="6" t="inlineStr">
        <is>
          <t>ООО "Амур Золото"</t>
        </is>
      </c>
      <c r="F907" s="7" t="inlineStr">
        <is>
          <t>2708001686</t>
        </is>
      </c>
      <c r="G907" s="7" t="inlineStr">
        <is>
          <t>Успешно</t>
        </is>
      </c>
      <c r="H907" s="6" t="n"/>
      <c r="I907" s="6" t="n"/>
      <c r="J907" s="6" t="inlineStr">
        <is>
          <t>Пользовательский интерфейс</t>
        </is>
      </c>
      <c r="K907" s="7" t="n">
        <v>5</v>
      </c>
      <c r="L907" s="8" t="n"/>
      <c r="M907" s="137" t="inlineStr">
        <is>
          <t>+</t>
        </is>
      </c>
      <c r="N907" s="8" t="n"/>
      <c r="O907" s="8" t="n"/>
      <c r="P907" s="8" t="n"/>
      <c r="Q907" s="8" t="n"/>
      <c r="R907" s="8" t="n"/>
      <c r="S907" s="8" t="n"/>
      <c r="T907" s="8" t="n"/>
      <c r="U907" s="8" t="n"/>
      <c r="V907" s="8" t="n"/>
      <c r="W907" s="8" t="n"/>
      <c r="X907" s="137" t="inlineStr">
        <is>
          <t>+</t>
        </is>
      </c>
      <c r="Y907" s="137" t="inlineStr">
        <is>
          <t>+</t>
        </is>
      </c>
    </row>
    <row r="908">
      <c r="A908" s="6" t="inlineStr">
        <is>
          <t>работник 199</t>
        </is>
      </c>
      <c r="B908" s="6" t="inlineStr">
        <is>
          <t>Машинист бульдозера</t>
        </is>
      </c>
      <c r="C908" s="6" t="inlineStr">
        <is>
          <t>ОБЩЕСТВО С ОГРАНИЧЕННОЙ ОТВЕТСТВЕННОСТЬЮ "АМУР ЗОЛОТО"</t>
        </is>
      </c>
      <c r="D908" s="7" t="inlineStr">
        <is>
          <t>2708001686</t>
        </is>
      </c>
      <c r="E908" s="6" t="inlineStr">
        <is>
          <t>ООО "Амур Золото"</t>
        </is>
      </c>
      <c r="F908" s="7" t="inlineStr">
        <is>
          <t>2708001686</t>
        </is>
      </c>
      <c r="G908" s="7" t="inlineStr">
        <is>
          <t>Успешно</t>
        </is>
      </c>
      <c r="H908" s="6" t="n"/>
      <c r="I908" s="6" t="n"/>
      <c r="J908" s="6" t="inlineStr">
        <is>
          <t>Пользовательский интерфейс</t>
        </is>
      </c>
      <c r="K908" s="7" t="n">
        <v>5</v>
      </c>
      <c r="L908" s="8" t="n"/>
      <c r="M908" s="137" t="inlineStr">
        <is>
          <t>+</t>
        </is>
      </c>
      <c r="N908" s="8" t="n"/>
      <c r="O908" s="8" t="n"/>
      <c r="P908" s="8" t="n"/>
      <c r="Q908" s="8" t="n"/>
      <c r="R908" s="8" t="n"/>
      <c r="S908" s="8" t="n"/>
      <c r="T908" s="8" t="n"/>
      <c r="U908" s="8" t="n"/>
      <c r="V908" s="8" t="n"/>
      <c r="W908" s="8" t="n"/>
      <c r="X908" s="137" t="inlineStr">
        <is>
          <t>+</t>
        </is>
      </c>
      <c r="Y908" s="137" t="inlineStr">
        <is>
          <t>+</t>
        </is>
      </c>
    </row>
    <row r="909">
      <c r="A909" s="6" t="inlineStr">
        <is>
          <t>работник 293</t>
        </is>
      </c>
      <c r="B909" s="6" t="inlineStr">
        <is>
          <t>Водитель погрузчика</t>
        </is>
      </c>
      <c r="C909" s="6" t="inlineStr">
        <is>
          <t>ОБЩЕСТВО С ОГРАНИЧЕННОЙ ОТВЕТСТВЕННОСТЬЮ "АМУР ЗОЛОТО"</t>
        </is>
      </c>
      <c r="D909" s="7" t="inlineStr">
        <is>
          <t>2708001686</t>
        </is>
      </c>
      <c r="E909" s="6" t="inlineStr">
        <is>
          <t>ООО "Амур Золото"</t>
        </is>
      </c>
      <c r="F909" s="7" t="inlineStr">
        <is>
          <t>2708001686</t>
        </is>
      </c>
      <c r="G909" s="7" t="inlineStr">
        <is>
          <t>Успешно</t>
        </is>
      </c>
      <c r="H909" s="6" t="n"/>
      <c r="I909" s="6" t="n"/>
      <c r="J909" s="6" t="inlineStr">
        <is>
          <t>Пользовательский интерфейс</t>
        </is>
      </c>
      <c r="K909" s="7" t="n">
        <v>3</v>
      </c>
      <c r="L909" s="8" t="n"/>
      <c r="M909" s="137" t="inlineStr">
        <is>
          <t>+</t>
        </is>
      </c>
      <c r="N909" s="8" t="n"/>
      <c r="O909" s="8" t="n"/>
      <c r="P909" s="8" t="n"/>
      <c r="Q909" s="8" t="n"/>
      <c r="R909" s="8" t="n"/>
      <c r="S909" s="8" t="n"/>
      <c r="T909" s="8" t="n"/>
      <c r="U909" s="8" t="n"/>
      <c r="V909" s="8" t="n"/>
      <c r="W909" s="8" t="n"/>
      <c r="X909" s="137" t="inlineStr">
        <is>
          <t>+</t>
        </is>
      </c>
      <c r="Y909" s="137" t="inlineStr">
        <is>
          <t>+</t>
        </is>
      </c>
    </row>
    <row r="910">
      <c r="A910" s="6" t="inlineStr">
        <is>
          <t>работник 257</t>
        </is>
      </c>
      <c r="B910" s="6" t="inlineStr">
        <is>
          <t>Аппаратчик-гидрометаллург</t>
        </is>
      </c>
      <c r="C910" s="6" t="inlineStr">
        <is>
          <t>ОБЩЕСТВО С ОГРАНИЧЕННОЙ ОТВЕТСТВЕННОСТЬЮ "АМУР ЗОЛОТО"</t>
        </is>
      </c>
      <c r="D910" s="7" t="inlineStr">
        <is>
          <t>2708001686</t>
        </is>
      </c>
      <c r="E910" s="6" t="inlineStr">
        <is>
          <t>ООО "Амур Золото"</t>
        </is>
      </c>
      <c r="F910" s="7" t="inlineStr">
        <is>
          <t>2708001686</t>
        </is>
      </c>
      <c r="G910" s="7" t="inlineStr">
        <is>
          <t>Успешно</t>
        </is>
      </c>
      <c r="H910" s="6" t="n"/>
      <c r="I910" s="6" t="n"/>
      <c r="J910" s="6" t="inlineStr">
        <is>
          <t>Пользовательский интерфейс</t>
        </is>
      </c>
      <c r="K910" s="7" t="n">
        <v>3</v>
      </c>
      <c r="L910" s="8" t="n"/>
      <c r="M910" s="137" t="inlineStr">
        <is>
          <t>+</t>
        </is>
      </c>
      <c r="N910" s="8" t="n"/>
      <c r="O910" s="8" t="n"/>
      <c r="P910" s="8" t="n"/>
      <c r="Q910" s="8" t="n"/>
      <c r="R910" s="8" t="n"/>
      <c r="S910" s="8" t="n"/>
      <c r="T910" s="8" t="n"/>
      <c r="U910" s="8" t="n"/>
      <c r="V910" s="8" t="n"/>
      <c r="W910" s="8" t="n"/>
      <c r="X910" s="137" t="inlineStr">
        <is>
          <t>+</t>
        </is>
      </c>
      <c r="Y910" s="137" t="inlineStr">
        <is>
          <t>+</t>
        </is>
      </c>
    </row>
    <row r="911">
      <c r="A911" s="6" t="inlineStr">
        <is>
          <t>работник 497</t>
        </is>
      </c>
      <c r="B911" s="6" t="inlineStr">
        <is>
          <t>Машинист погрузочно-доставочной машины (занятый на транспортировании горной массы в технологическом процессе)</t>
        </is>
      </c>
      <c r="C911" s="6" t="inlineStr">
        <is>
          <t>ОБЩЕСТВО С ОГРАНИЧЕННОЙ ОТВЕТСТВЕННОСТЬЮ "АМУР ЗОЛОТО"</t>
        </is>
      </c>
      <c r="D911" s="7" t="inlineStr">
        <is>
          <t>2708001686</t>
        </is>
      </c>
      <c r="E911" s="6" t="inlineStr">
        <is>
          <t>ООО "Амур Золото"</t>
        </is>
      </c>
      <c r="F911" s="7" t="inlineStr">
        <is>
          <t>2708001686</t>
        </is>
      </c>
      <c r="G911" s="7" t="inlineStr">
        <is>
          <t>Успешно</t>
        </is>
      </c>
      <c r="H911" s="6" t="n"/>
      <c r="I911" s="6" t="n"/>
      <c r="J911" s="6" t="inlineStr">
        <is>
          <t>Пользовательский интерфейс</t>
        </is>
      </c>
      <c r="K911" s="7" t="n">
        <v>2</v>
      </c>
      <c r="L911" s="8" t="n"/>
      <c r="M911" s="137" t="inlineStr">
        <is>
          <t>+</t>
        </is>
      </c>
      <c r="N911" s="8" t="n"/>
      <c r="O911" s="8" t="n"/>
      <c r="P911" s="8" t="n"/>
      <c r="Q911" s="8" t="n"/>
      <c r="R911" s="8" t="n"/>
      <c r="S911" s="8" t="n"/>
      <c r="T911" s="8" t="n"/>
      <c r="U911" s="8" t="n"/>
      <c r="V911" s="8" t="n"/>
      <c r="W911" s="8" t="n"/>
      <c r="X911" s="139" t="n"/>
      <c r="Y911" s="137" t="inlineStr">
        <is>
          <t>+</t>
        </is>
      </c>
    </row>
    <row r="912">
      <c r="A912" s="6" t="inlineStr">
        <is>
          <t>работник 927</t>
        </is>
      </c>
      <c r="B912" s="6" t="inlineStr">
        <is>
          <t>Слесарь-ремонтник (по ремонту обогатительного оборудования)</t>
        </is>
      </c>
      <c r="C912" s="6" t="inlineStr">
        <is>
          <t>ОБЩЕСТВО С ОГРАНИЧЕННОЙ ОТВЕТСТВЕННОСТЬЮ "АМУР ЗОЛОТО"</t>
        </is>
      </c>
      <c r="D912" s="7" t="inlineStr">
        <is>
          <t>2708001686</t>
        </is>
      </c>
      <c r="E912" s="6" t="inlineStr">
        <is>
          <t>ООО "Амур Золото"</t>
        </is>
      </c>
      <c r="F912" s="7" t="inlineStr">
        <is>
          <t>2708001686</t>
        </is>
      </c>
      <c r="G912" s="7" t="inlineStr">
        <is>
          <t>Успешно</t>
        </is>
      </c>
      <c r="H912" s="6" t="n"/>
      <c r="I912" s="6" t="n"/>
      <c r="J912" s="6" t="inlineStr">
        <is>
          <t>Пользовательский интерфейс</t>
        </is>
      </c>
      <c r="K912" s="7" t="n">
        <v>3</v>
      </c>
      <c r="L912" s="8" t="n"/>
      <c r="M912" s="137" t="inlineStr">
        <is>
          <t>+</t>
        </is>
      </c>
      <c r="N912" s="8" t="n"/>
      <c r="O912" s="8" t="n"/>
      <c r="P912" s="8" t="n"/>
      <c r="Q912" s="8" t="n"/>
      <c r="R912" s="8" t="n"/>
      <c r="S912" s="8" t="n"/>
      <c r="T912" s="8" t="n"/>
      <c r="U912" s="8" t="n"/>
      <c r="V912" s="8" t="n"/>
      <c r="W912" s="8" t="n"/>
      <c r="X912" s="137" t="inlineStr">
        <is>
          <t>+</t>
        </is>
      </c>
      <c r="Y912" s="137" t="inlineStr">
        <is>
          <t>+</t>
        </is>
      </c>
    </row>
    <row r="913">
      <c r="A913" s="6" t="inlineStr">
        <is>
          <t>работник 426</t>
        </is>
      </c>
      <c r="B913" s="6" t="inlineStr">
        <is>
          <t>Дробильщик</t>
        </is>
      </c>
      <c r="C913" s="6" t="inlineStr">
        <is>
          <t>ОБЩЕСТВО С ОГРАНИЧЕННОЙ ОТВЕТСТВЕННОСТЬЮ "АМУР ЗОЛОТО"</t>
        </is>
      </c>
      <c r="D913" s="7" t="inlineStr">
        <is>
          <t>2708001686</t>
        </is>
      </c>
      <c r="E913" s="6" t="inlineStr">
        <is>
          <t>ООО "Амур Золото"</t>
        </is>
      </c>
      <c r="F913" s="7" t="inlineStr">
        <is>
          <t>2708001686</t>
        </is>
      </c>
      <c r="G913" s="7" t="inlineStr">
        <is>
          <t>Успешно</t>
        </is>
      </c>
      <c r="H913" s="6" t="n"/>
      <c r="I913" s="6" t="n"/>
      <c r="J913" s="6" t="inlineStr">
        <is>
          <t>Пользовательский интерфейс</t>
        </is>
      </c>
      <c r="K913" s="7" t="n">
        <v>2</v>
      </c>
      <c r="L913" s="8" t="n"/>
      <c r="M913" s="137" t="inlineStr">
        <is>
          <t>+</t>
        </is>
      </c>
      <c r="N913" s="8" t="n"/>
      <c r="O913" s="8" t="n"/>
      <c r="P913" s="8" t="n"/>
      <c r="Q913" s="8" t="n"/>
      <c r="R913" s="8" t="n"/>
      <c r="S913" s="8" t="n"/>
      <c r="T913" s="8" t="n"/>
      <c r="U913" s="8" t="n"/>
      <c r="V913" s="8" t="n"/>
      <c r="W913" s="8" t="n"/>
      <c r="X913" s="139" t="n"/>
      <c r="Y913" s="137" t="inlineStr">
        <is>
          <t>+</t>
        </is>
      </c>
    </row>
    <row r="914">
      <c r="A914" s="6" t="inlineStr">
        <is>
          <t>работник 552</t>
        </is>
      </c>
      <c r="B914" s="6" t="inlineStr">
        <is>
          <t>Проходчик (с исполнением обязанностей взрывника)</t>
        </is>
      </c>
      <c r="C914" s="6" t="inlineStr">
        <is>
          <t>ОБЩЕСТВО С ОГРАНИЧЕННОЙ ОТВЕТСТВЕННОСТЬЮ "АМУР ЗОЛОТО"</t>
        </is>
      </c>
      <c r="D914" s="7" t="inlineStr">
        <is>
          <t>2708001686</t>
        </is>
      </c>
      <c r="E914" s="6" t="inlineStr">
        <is>
          <t>ООО "Амур Золото"</t>
        </is>
      </c>
      <c r="F914" s="7" t="inlineStr">
        <is>
          <t>2708001686</t>
        </is>
      </c>
      <c r="G914" s="7" t="inlineStr">
        <is>
          <t>Успешно</t>
        </is>
      </c>
      <c r="H914" s="6" t="n"/>
      <c r="I914" s="6" t="n"/>
      <c r="J914" s="6" t="inlineStr">
        <is>
          <t>Пользовательский интерфейс</t>
        </is>
      </c>
      <c r="K914" s="7" t="n">
        <v>5</v>
      </c>
      <c r="L914" s="8" t="n"/>
      <c r="M914" s="137" t="inlineStr">
        <is>
          <t>+</t>
        </is>
      </c>
      <c r="N914" s="8" t="n"/>
      <c r="O914" s="8" t="n"/>
      <c r="P914" s="8" t="n"/>
      <c r="Q914" s="8" t="n"/>
      <c r="R914" s="8" t="n"/>
      <c r="S914" s="8" t="n"/>
      <c r="T914" s="8" t="n"/>
      <c r="U914" s="8" t="n"/>
      <c r="V914" s="8" t="n"/>
      <c r="W914" s="8" t="n"/>
      <c r="X914" s="137" t="inlineStr">
        <is>
          <t>+</t>
        </is>
      </c>
      <c r="Y914" s="137" t="inlineStr">
        <is>
          <t>+</t>
        </is>
      </c>
    </row>
    <row r="915">
      <c r="A915" s="6" t="inlineStr">
        <is>
          <t>работник 360</t>
        </is>
      </c>
      <c r="B915" s="6" t="inlineStr">
        <is>
          <t>Стропальщик (с исполнением обязанностей грузчика)</t>
        </is>
      </c>
      <c r="C915" s="6" t="inlineStr">
        <is>
          <t>ОБЩЕСТВО С ОГРАНИЧЕННОЙ ОТВЕТСТВЕННОСТЬЮ "АМУР ЗОЛОТО"</t>
        </is>
      </c>
      <c r="D915" s="7" t="inlineStr">
        <is>
          <t>2708001686</t>
        </is>
      </c>
      <c r="E915" s="6" t="inlineStr">
        <is>
          <t>ООО "Амур Золото"</t>
        </is>
      </c>
      <c r="F915" s="7" t="inlineStr">
        <is>
          <t>2708001686</t>
        </is>
      </c>
      <c r="G915" s="7" t="inlineStr">
        <is>
          <t>Успешно</t>
        </is>
      </c>
      <c r="H915" s="6" t="n"/>
      <c r="I915" s="6" t="n"/>
      <c r="J915" s="6" t="inlineStr">
        <is>
          <t>Пользовательский интерфейс</t>
        </is>
      </c>
      <c r="K915" s="7" t="n">
        <v>3</v>
      </c>
      <c r="L915" s="8" t="n"/>
      <c r="M915" s="137" t="inlineStr">
        <is>
          <t>+</t>
        </is>
      </c>
      <c r="N915" s="8" t="n"/>
      <c r="O915" s="8" t="n"/>
      <c r="P915" s="8" t="n"/>
      <c r="Q915" s="8" t="n"/>
      <c r="R915" s="8" t="n"/>
      <c r="S915" s="8" t="n"/>
      <c r="T915" s="8" t="n"/>
      <c r="U915" s="8" t="n"/>
      <c r="V915" s="8" t="n"/>
      <c r="W915" s="8" t="n"/>
      <c r="X915" s="137" t="inlineStr">
        <is>
          <t>+</t>
        </is>
      </c>
      <c r="Y915" s="137" t="inlineStr">
        <is>
          <t>+</t>
        </is>
      </c>
    </row>
    <row r="916">
      <c r="A916" s="6" t="inlineStr">
        <is>
          <t>работник 519</t>
        </is>
      </c>
      <c r="B916" s="6" t="inlineStr">
        <is>
          <t>Водитель автомобиля (категория D)</t>
        </is>
      </c>
      <c r="C916" s="6" t="inlineStr">
        <is>
          <t>ОБЩЕСТВО С ОГРАНИЧЕННОЙ ОТВЕТСТВЕННОСТЬЮ "АМУР ЗОЛОТО"</t>
        </is>
      </c>
      <c r="D916" s="7" t="inlineStr">
        <is>
          <t>2708001686</t>
        </is>
      </c>
      <c r="E916" s="6" t="inlineStr">
        <is>
          <t>ООО "Амур Золото"</t>
        </is>
      </c>
      <c r="F916" s="7" t="inlineStr">
        <is>
          <t>2708001686</t>
        </is>
      </c>
      <c r="G916" s="7" t="inlineStr">
        <is>
          <t>Успешно</t>
        </is>
      </c>
      <c r="H916" s="6" t="n"/>
      <c r="I916" s="6" t="n"/>
      <c r="J916" s="6" t="inlineStr">
        <is>
          <t>Пользовательский интерфейс</t>
        </is>
      </c>
      <c r="K916" s="7" t="n">
        <v>2</v>
      </c>
      <c r="L916" s="8" t="n"/>
      <c r="M916" s="137" t="inlineStr">
        <is>
          <t>+</t>
        </is>
      </c>
      <c r="N916" s="8" t="n"/>
      <c r="O916" s="8" t="n"/>
      <c r="P916" s="8" t="n"/>
      <c r="Q916" s="8" t="n"/>
      <c r="R916" s="8" t="n"/>
      <c r="S916" s="8" t="n"/>
      <c r="T916" s="8" t="n"/>
      <c r="U916" s="8" t="n"/>
      <c r="V916" s="8" t="n"/>
      <c r="W916" s="8" t="n"/>
      <c r="X916" s="139" t="n"/>
      <c r="Y916" s="138" t="inlineStr">
        <is>
          <t>+</t>
        </is>
      </c>
    </row>
    <row r="917">
      <c r="A917" s="6" t="inlineStr">
        <is>
          <t>работник 348</t>
        </is>
      </c>
      <c r="B917" s="6" t="inlineStr">
        <is>
          <t>Электромеханик</t>
        </is>
      </c>
      <c r="C917" s="6" t="inlineStr">
        <is>
          <t>ОБЩЕСТВО С ОГРАНИЧЕННОЙ ОТВЕТСТВЕННОСТЬЮ "АМУР ЗОЛОТО"</t>
        </is>
      </c>
      <c r="D917" s="7" t="inlineStr">
        <is>
          <t>2708001686</t>
        </is>
      </c>
      <c r="E917" s="6" t="inlineStr">
        <is>
          <t>ООО "Амур Золото"</t>
        </is>
      </c>
      <c r="F917" s="7" t="inlineStr">
        <is>
          <t>2708001686</t>
        </is>
      </c>
      <c r="G917" s="7" t="inlineStr">
        <is>
          <t>Успешно</t>
        </is>
      </c>
      <c r="H917" s="6" t="n"/>
      <c r="I917" s="6" t="n"/>
      <c r="J917" s="6" t="inlineStr">
        <is>
          <t>Пользовательский интерфейс</t>
        </is>
      </c>
      <c r="K917" s="7" t="n">
        <v>3</v>
      </c>
      <c r="L917" s="8" t="n"/>
      <c r="M917" s="137" t="inlineStr">
        <is>
          <t>+</t>
        </is>
      </c>
      <c r="N917" s="8" t="n"/>
      <c r="O917" s="8" t="n"/>
      <c r="P917" s="8" t="n"/>
      <c r="Q917" s="8" t="n"/>
      <c r="R917" s="8" t="n"/>
      <c r="S917" s="8" t="n"/>
      <c r="T917" s="8" t="n"/>
      <c r="U917" s="8" t="n"/>
      <c r="V917" s="8" t="n"/>
      <c r="W917" s="8" t="n"/>
      <c r="X917" s="140" t="inlineStr">
        <is>
          <t>+</t>
        </is>
      </c>
      <c r="Y917" s="137" t="inlineStr">
        <is>
          <t>+</t>
        </is>
      </c>
    </row>
    <row r="918">
      <c r="A918" s="6" t="inlineStr">
        <is>
          <t>работник 374</t>
        </is>
      </c>
      <c r="B918" s="6" t="inlineStr">
        <is>
          <t>Помощник машиниста  самоходной буровой установки</t>
        </is>
      </c>
      <c r="C918" s="6" t="inlineStr">
        <is>
          <t>ОБЩЕСТВО С ОГРАНИЧЕННОЙ ОТВЕТСТВЕННОСТЬЮ "АМУР ЗОЛОТО"</t>
        </is>
      </c>
      <c r="D918" s="7" t="inlineStr">
        <is>
          <t>2708001686</t>
        </is>
      </c>
      <c r="E918" s="6" t="inlineStr">
        <is>
          <t>ООО "Амур Золото"</t>
        </is>
      </c>
      <c r="F918" s="7" t="inlineStr">
        <is>
          <t>2708001686</t>
        </is>
      </c>
      <c r="G918" s="7" t="inlineStr">
        <is>
          <t>Успешно</t>
        </is>
      </c>
      <c r="H918" s="6" t="n"/>
      <c r="I918" s="6" t="n"/>
      <c r="J918" s="6" t="inlineStr">
        <is>
          <t>Пользовательский интерфейс</t>
        </is>
      </c>
      <c r="K918" s="7" t="n">
        <v>3</v>
      </c>
      <c r="L918" s="8" t="n"/>
      <c r="M918" s="137" t="inlineStr">
        <is>
          <t>+</t>
        </is>
      </c>
      <c r="N918" s="8" t="n"/>
      <c r="O918" s="8" t="n"/>
      <c r="P918" s="8" t="n"/>
      <c r="Q918" s="8" t="n"/>
      <c r="R918" s="8" t="n"/>
      <c r="S918" s="8" t="n"/>
      <c r="T918" s="8" t="n"/>
      <c r="U918" s="8" t="n"/>
      <c r="V918" s="8" t="n"/>
      <c r="W918" s="8" t="n"/>
      <c r="X918" s="137" t="inlineStr">
        <is>
          <t>+</t>
        </is>
      </c>
      <c r="Y918" s="137" t="inlineStr">
        <is>
          <t>+</t>
        </is>
      </c>
    </row>
    <row r="919">
      <c r="A919" s="6" t="inlineStr">
        <is>
          <t>работник 811</t>
        </is>
      </c>
      <c r="B919" s="6" t="inlineStr">
        <is>
          <t>Машинист конвейера</t>
        </is>
      </c>
      <c r="C919" s="6" t="inlineStr">
        <is>
          <t>ОБЩЕСТВО С ОГРАНИЧЕННОЙ ОТВЕТСТВЕННОСТЬЮ "АМУР ЗОЛОТО"</t>
        </is>
      </c>
      <c r="D919" s="7" t="inlineStr">
        <is>
          <t>2708001686</t>
        </is>
      </c>
      <c r="E919" s="6" t="inlineStr">
        <is>
          <t>ООО "Амур Золото"</t>
        </is>
      </c>
      <c r="F919" s="7" t="inlineStr">
        <is>
          <t>2708001686</t>
        </is>
      </c>
      <c r="G919" s="7" t="inlineStr">
        <is>
          <t>Успешно</t>
        </is>
      </c>
      <c r="H919" s="6" t="n"/>
      <c r="I919" s="6" t="n"/>
      <c r="J919" s="6" t="inlineStr">
        <is>
          <t>Пользовательский интерфейс</t>
        </is>
      </c>
      <c r="K919" s="7" t="n">
        <v>5</v>
      </c>
      <c r="L919" s="8" t="n"/>
      <c r="M919" s="137" t="inlineStr">
        <is>
          <t>+</t>
        </is>
      </c>
      <c r="N919" s="8" t="n"/>
      <c r="O919" s="8" t="n"/>
      <c r="P919" s="8" t="n"/>
      <c r="Q919" s="8" t="n"/>
      <c r="R919" s="8" t="n"/>
      <c r="S919" s="8" t="n"/>
      <c r="T919" s="8" t="n"/>
      <c r="U919" s="8" t="n"/>
      <c r="V919" s="8" t="n"/>
      <c r="W919" s="8" t="n"/>
      <c r="X919" s="137" t="inlineStr">
        <is>
          <t>+</t>
        </is>
      </c>
      <c r="Y919" s="137" t="inlineStr">
        <is>
          <t>+</t>
        </is>
      </c>
    </row>
    <row r="920">
      <c r="A920" s="6" t="inlineStr">
        <is>
          <t>работник 714</t>
        </is>
      </c>
      <c r="B920" s="6" t="inlineStr">
        <is>
          <t>Повар</t>
        </is>
      </c>
      <c r="C920" s="6" t="inlineStr">
        <is>
          <t>ОБЩЕСТВО С ОГРАНИЧЕННОЙ ОТВЕТСТВЕННОСТЬЮ "АМУР ЗОЛОТО"</t>
        </is>
      </c>
      <c r="D920" s="7" t="inlineStr">
        <is>
          <t>2708001686</t>
        </is>
      </c>
      <c r="E920" s="6" t="inlineStr">
        <is>
          <t>ООО "Амур Золото"</t>
        </is>
      </c>
      <c r="F920" s="7" t="inlineStr">
        <is>
          <t>2708001686</t>
        </is>
      </c>
      <c r="G920" s="7" t="inlineStr">
        <is>
          <t>Успешно</t>
        </is>
      </c>
      <c r="H920" s="6" t="n"/>
      <c r="I920" s="6" t="n"/>
      <c r="J920" s="6" t="inlineStr">
        <is>
          <t>Пользовательский интерфейс</t>
        </is>
      </c>
      <c r="K920" s="7" t="n">
        <v>2</v>
      </c>
      <c r="L920" s="8" t="n"/>
      <c r="M920" s="137" t="inlineStr">
        <is>
          <t>+</t>
        </is>
      </c>
      <c r="N920" s="8" t="n"/>
      <c r="O920" s="8" t="n"/>
      <c r="P920" s="8" t="n"/>
      <c r="Q920" s="8" t="n"/>
      <c r="R920" s="8" t="n"/>
      <c r="S920" s="8" t="n"/>
      <c r="T920" s="8" t="n"/>
      <c r="U920" s="8" t="n"/>
      <c r="V920" s="8" t="n"/>
      <c r="W920" s="8" t="n"/>
      <c r="X920" s="139" t="n"/>
      <c r="Y920" s="138" t="inlineStr">
        <is>
          <t>+</t>
        </is>
      </c>
    </row>
    <row r="921">
      <c r="A921" s="6" t="inlineStr">
        <is>
          <t>работник 742</t>
        </is>
      </c>
      <c r="B921" s="6" t="inlineStr">
        <is>
          <t>Повар</t>
        </is>
      </c>
      <c r="C921" s="6" t="inlineStr">
        <is>
          <t>ОБЩЕСТВО С ОГРАНИЧЕННОЙ ОТВЕТСТВЕННОСТЬЮ "АМУР ЗОЛОТО"</t>
        </is>
      </c>
      <c r="D921" s="7" t="inlineStr">
        <is>
          <t>2708001686</t>
        </is>
      </c>
      <c r="E921" s="6" t="inlineStr">
        <is>
          <t>ООО "Амур Золото"</t>
        </is>
      </c>
      <c r="F921" s="7" t="inlineStr">
        <is>
          <t>2708001686</t>
        </is>
      </c>
      <c r="G921" s="7" t="inlineStr">
        <is>
          <t>Успешно</t>
        </is>
      </c>
      <c r="H921" s="6" t="n"/>
      <c r="I921" s="6" t="n"/>
      <c r="J921" s="6" t="inlineStr">
        <is>
          <t>Пользовательский интерфейс</t>
        </is>
      </c>
      <c r="K921" s="7" t="n">
        <v>2</v>
      </c>
      <c r="L921" s="8" t="n"/>
      <c r="M921" s="137" t="inlineStr">
        <is>
          <t>+</t>
        </is>
      </c>
      <c r="N921" s="8" t="n"/>
      <c r="O921" s="8" t="n"/>
      <c r="P921" s="8" t="n"/>
      <c r="Q921" s="8" t="n"/>
      <c r="R921" s="8" t="n"/>
      <c r="S921" s="8" t="n"/>
      <c r="T921" s="8" t="n"/>
      <c r="U921" s="8" t="n"/>
      <c r="V921" s="8" t="n"/>
      <c r="W921" s="8" t="n"/>
      <c r="X921" s="139" t="n"/>
      <c r="Y921" s="138" t="inlineStr">
        <is>
          <t>+</t>
        </is>
      </c>
    </row>
    <row r="922">
      <c r="A922" s="6" t="inlineStr">
        <is>
          <t>работник 657</t>
        </is>
      </c>
      <c r="B922" s="6" t="inlineStr">
        <is>
          <t>Заместитель главного механика</t>
        </is>
      </c>
      <c r="C922" s="6" t="inlineStr">
        <is>
          <t>ОБЩЕСТВО С ОГРАНИЧЕННОЙ ОТВЕТСТВЕННОСТЬЮ "АМУР ЗОЛОТО"</t>
        </is>
      </c>
      <c r="D922" s="7" t="inlineStr">
        <is>
          <t>2708001686</t>
        </is>
      </c>
      <c r="E922" s="6" t="inlineStr">
        <is>
          <t>ООО "Амур Золото"</t>
        </is>
      </c>
      <c r="F922" s="7" t="inlineStr">
        <is>
          <t>2708001686</t>
        </is>
      </c>
      <c r="G922" s="7" t="inlineStr">
        <is>
          <t>Успешно</t>
        </is>
      </c>
      <c r="H922" s="6" t="n"/>
      <c r="I922" s="6" t="n"/>
      <c r="J922" s="6" t="inlineStr">
        <is>
          <t>Пользовательский интерфейс</t>
        </is>
      </c>
      <c r="K922" s="7" t="n">
        <v>2</v>
      </c>
      <c r="L922" s="8" t="n"/>
      <c r="M922" s="137" t="inlineStr">
        <is>
          <t>+</t>
        </is>
      </c>
      <c r="N922" s="8" t="n"/>
      <c r="O922" s="8" t="n"/>
      <c r="P922" s="8" t="n"/>
      <c r="Q922" s="8" t="n"/>
      <c r="R922" s="8" t="n"/>
      <c r="S922" s="8" t="n"/>
      <c r="T922" s="8" t="n"/>
      <c r="U922" s="8" t="n"/>
      <c r="V922" s="8" t="n"/>
      <c r="W922" s="8" t="n"/>
      <c r="X922" s="139" t="n"/>
      <c r="Y922" s="137" t="inlineStr">
        <is>
          <t>+</t>
        </is>
      </c>
    </row>
    <row r="923">
      <c r="A923" s="6" t="inlineStr">
        <is>
          <t>работник 535</t>
        </is>
      </c>
      <c r="B923" s="6" t="inlineStr">
        <is>
          <t>Водитель автомобиля (категория D)</t>
        </is>
      </c>
      <c r="C923" s="6" t="inlineStr">
        <is>
          <t>ОБЩЕСТВО С ОГРАНИЧЕННОЙ ОТВЕТСТВЕННОСТЬЮ "АМУР ЗОЛОТО"</t>
        </is>
      </c>
      <c r="D923" s="7" t="inlineStr">
        <is>
          <t>2708001686</t>
        </is>
      </c>
      <c r="E923" s="6" t="inlineStr">
        <is>
          <t>ООО "Амур Золото"</t>
        </is>
      </c>
      <c r="F923" s="7" t="inlineStr">
        <is>
          <t>2708001686</t>
        </is>
      </c>
      <c r="G923" s="7" t="inlineStr">
        <is>
          <t>Успешно</t>
        </is>
      </c>
      <c r="H923" s="6" t="n"/>
      <c r="I923" s="6" t="n"/>
      <c r="J923" s="6" t="inlineStr">
        <is>
          <t>Пользовательский интерфейс</t>
        </is>
      </c>
      <c r="K923" s="7" t="n">
        <v>5</v>
      </c>
      <c r="L923" s="8" t="n"/>
      <c r="M923" s="137" t="inlineStr">
        <is>
          <t>+</t>
        </is>
      </c>
      <c r="N923" s="8" t="n"/>
      <c r="O923" s="8" t="n"/>
      <c r="P923" s="8" t="n"/>
      <c r="Q923" s="8" t="n"/>
      <c r="R923" s="8" t="n"/>
      <c r="S923" s="8" t="n"/>
      <c r="T923" s="8" t="n"/>
      <c r="U923" s="8" t="n"/>
      <c r="V923" s="8" t="n"/>
      <c r="W923" s="8" t="n"/>
      <c r="X923" s="137" t="inlineStr">
        <is>
          <t>+</t>
        </is>
      </c>
      <c r="Y923" s="138" t="inlineStr">
        <is>
          <t>+</t>
        </is>
      </c>
    </row>
    <row r="924">
      <c r="A924" s="6" t="inlineStr">
        <is>
          <t>работник 177</t>
        </is>
      </c>
      <c r="B924" s="6" t="inlineStr">
        <is>
          <t>Cлесарь-сантехник / Слесарь по ремонту горно-шахтного оборудования</t>
        </is>
      </c>
      <c r="C924" s="6" t="inlineStr">
        <is>
          <t>ОБЩЕСТВО С ОГРАНИЧЕННОЙ ОТВЕТСТВЕННОСТЬЮ "АМУР ЗОЛОТО"</t>
        </is>
      </c>
      <c r="D924" s="7" t="inlineStr">
        <is>
          <t>2708001686</t>
        </is>
      </c>
      <c r="E924" s="6" t="inlineStr">
        <is>
          <t>ООО "Амур Золото"</t>
        </is>
      </c>
      <c r="F924" s="7" t="inlineStr">
        <is>
          <t>2708001686</t>
        </is>
      </c>
      <c r="G924" s="7" t="inlineStr">
        <is>
          <t>Успешно</t>
        </is>
      </c>
      <c r="H924" s="6" t="n"/>
      <c r="I924" s="6" t="n"/>
      <c r="J924" s="6" t="inlineStr">
        <is>
          <t>Пользовательский интерфейс</t>
        </is>
      </c>
      <c r="K924" s="7" t="n">
        <v>6</v>
      </c>
      <c r="L924" s="8" t="n"/>
      <c r="M924" s="137" t="inlineStr">
        <is>
          <t>+</t>
        </is>
      </c>
      <c r="N924" s="8" t="n"/>
      <c r="O924" s="8" t="n"/>
      <c r="P924" s="8" t="n"/>
      <c r="Q924" s="8" t="n"/>
      <c r="R924" s="8" t="n"/>
      <c r="S924" s="8" t="n"/>
      <c r="T924" s="8" t="n"/>
      <c r="U924" s="8" t="n"/>
      <c r="V924" s="8" t="n"/>
      <c r="W924" s="8" t="n"/>
      <c r="X924" s="137" t="inlineStr">
        <is>
          <t>+</t>
        </is>
      </c>
      <c r="Y924" s="137" t="inlineStr">
        <is>
          <t>+</t>
        </is>
      </c>
    </row>
    <row r="925">
      <c r="A925" s="6" t="inlineStr">
        <is>
          <t>работник 178</t>
        </is>
      </c>
      <c r="B925" s="6" t="inlineStr">
        <is>
          <t>Машинист погрузочно-доставочной машины (занятый на транспортировании горной массы в технологическом процессе) / Машинист подземно-доставочной машины</t>
        </is>
      </c>
      <c r="C925" s="6" t="inlineStr">
        <is>
          <t>ОБЩЕСТВО С ОГРАНИЧЕННОЙ ОТВЕТСТВЕННОСТЬЮ "АМУР ЗОЛОТО"</t>
        </is>
      </c>
      <c r="D925" s="7" t="inlineStr">
        <is>
          <t>2708001686</t>
        </is>
      </c>
      <c r="E925" s="6" t="inlineStr">
        <is>
          <t>ООО "Амур Золото"</t>
        </is>
      </c>
      <c r="F925" s="7" t="inlineStr">
        <is>
          <t>2708001686</t>
        </is>
      </c>
      <c r="G925" s="7" t="inlineStr">
        <is>
          <t>Успешно</t>
        </is>
      </c>
      <c r="H925" s="6" t="n"/>
      <c r="I925" s="6" t="n"/>
      <c r="J925" s="6" t="inlineStr">
        <is>
          <t>Пользовательский интерфейс</t>
        </is>
      </c>
      <c r="K925" s="7" t="n">
        <v>6</v>
      </c>
      <c r="L925" s="8" t="n"/>
      <c r="M925" s="137" t="inlineStr">
        <is>
          <t>+</t>
        </is>
      </c>
      <c r="N925" s="8" t="n"/>
      <c r="O925" s="8" t="n"/>
      <c r="P925" s="8" t="n"/>
      <c r="Q925" s="8" t="n"/>
      <c r="R925" s="8" t="n"/>
      <c r="S925" s="8" t="n"/>
      <c r="T925" s="8" t="n"/>
      <c r="U925" s="8" t="n"/>
      <c r="V925" s="8" t="n"/>
      <c r="W925" s="8" t="n"/>
      <c r="X925" s="137" t="inlineStr">
        <is>
          <t>+</t>
        </is>
      </c>
      <c r="Y925" s="137" t="inlineStr">
        <is>
          <t>+</t>
        </is>
      </c>
    </row>
    <row r="926">
      <c r="A926" s="6" t="inlineStr">
        <is>
          <t>работник 235</t>
        </is>
      </c>
      <c r="B926" s="6" t="inlineStr">
        <is>
          <t>Лаборант химического анализа</t>
        </is>
      </c>
      <c r="C926" s="6" t="inlineStr">
        <is>
          <t>ОБЩЕСТВО С ОГРАНИЧЕННОЙ ОТВЕТСТВЕННОСТЬЮ "АМУР ЗОЛОТО"</t>
        </is>
      </c>
      <c r="D926" s="7" t="inlineStr">
        <is>
          <t>2708001686</t>
        </is>
      </c>
      <c r="E926" s="6" t="inlineStr">
        <is>
          <t>ООО "Амур Золото"</t>
        </is>
      </c>
      <c r="F926" s="7" t="inlineStr">
        <is>
          <t>2708001686</t>
        </is>
      </c>
      <c r="G926" s="7" t="inlineStr">
        <is>
          <t>Успешно</t>
        </is>
      </c>
      <c r="H926" s="6" t="n"/>
      <c r="I926" s="6" t="n"/>
      <c r="J926" s="6" t="inlineStr">
        <is>
          <t>Пользовательский интерфейс</t>
        </is>
      </c>
      <c r="K926" s="7" t="n">
        <v>3</v>
      </c>
      <c r="L926" s="8" t="n"/>
      <c r="M926" s="137" t="inlineStr">
        <is>
          <t>+</t>
        </is>
      </c>
      <c r="N926" s="8" t="n"/>
      <c r="O926" s="8" t="n"/>
      <c r="P926" s="8" t="n"/>
      <c r="Q926" s="8" t="n"/>
      <c r="R926" s="8" t="n"/>
      <c r="S926" s="8" t="n"/>
      <c r="T926" s="8" t="n"/>
      <c r="U926" s="8" t="n"/>
      <c r="V926" s="8" t="n"/>
      <c r="W926" s="8" t="n"/>
      <c r="X926" s="137" t="inlineStr">
        <is>
          <t>+</t>
        </is>
      </c>
      <c r="Y926" s="137" t="inlineStr">
        <is>
          <t>+</t>
        </is>
      </c>
    </row>
    <row r="927">
      <c r="A927" s="6" t="inlineStr">
        <is>
          <t>работник 556</t>
        </is>
      </c>
      <c r="B927" s="6" t="inlineStr">
        <is>
          <t>Электромонтер по ремонту и обслуживанию электрооборудования</t>
        </is>
      </c>
      <c r="C927" s="6" t="inlineStr">
        <is>
          <t>ОБЩЕСТВО С ОГРАНИЧЕННОЙ ОТВЕТСТВЕННОСТЬЮ "АМУР ЗОЛОТО"</t>
        </is>
      </c>
      <c r="D927" s="7" t="inlineStr">
        <is>
          <t>2708001686</t>
        </is>
      </c>
      <c r="E927" s="6" t="inlineStr">
        <is>
          <t>ООО "Амур Золото"</t>
        </is>
      </c>
      <c r="F927" s="7" t="inlineStr">
        <is>
          <t>2708001686</t>
        </is>
      </c>
      <c r="G927" s="7" t="inlineStr">
        <is>
          <t>Успешно</t>
        </is>
      </c>
      <c r="H927" s="6" t="n"/>
      <c r="I927" s="6" t="n"/>
      <c r="J927" s="6" t="inlineStr">
        <is>
          <t>Пользовательский интерфейс</t>
        </is>
      </c>
      <c r="K927" s="7" t="n">
        <v>4</v>
      </c>
      <c r="L927" s="8" t="n"/>
      <c r="M927" s="137" t="inlineStr">
        <is>
          <t>+</t>
        </is>
      </c>
      <c r="N927" s="8" t="n"/>
      <c r="O927" s="8" t="n"/>
      <c r="P927" s="8" t="n"/>
      <c r="Q927" s="8" t="n"/>
      <c r="R927" s="8" t="n"/>
      <c r="S927" s="8" t="n"/>
      <c r="T927" s="8" t="n"/>
      <c r="U927" s="8" t="n"/>
      <c r="V927" s="8" t="n"/>
      <c r="W927" s="8" t="n"/>
      <c r="X927" s="139" t="n"/>
      <c r="Y927" s="137" t="inlineStr">
        <is>
          <t>+</t>
        </is>
      </c>
    </row>
    <row r="928">
      <c r="A928" s="6" t="inlineStr">
        <is>
          <t>работник 328</t>
        </is>
      </c>
      <c r="B928" s="6" t="inlineStr">
        <is>
          <t>Крепильщик</t>
        </is>
      </c>
      <c r="C928" s="6" t="inlineStr">
        <is>
          <t>ОБЩЕСТВО С ОГРАНИЧЕННОЙ ОТВЕТСТВЕННОСТЬЮ "АМУР ЗОЛОТО"</t>
        </is>
      </c>
      <c r="D928" s="7" t="inlineStr">
        <is>
          <t>2708001686</t>
        </is>
      </c>
      <c r="E928" s="6" t="inlineStr">
        <is>
          <t>ООО "Амур Золото"</t>
        </is>
      </c>
      <c r="F928" s="7" t="inlineStr">
        <is>
          <t>2708001686</t>
        </is>
      </c>
      <c r="G928" s="7" t="inlineStr">
        <is>
          <t>Успешно</t>
        </is>
      </c>
      <c r="H928" s="6" t="n"/>
      <c r="I928" s="6" t="n"/>
      <c r="J928" s="6" t="inlineStr">
        <is>
          <t>Пользовательский интерфейс</t>
        </is>
      </c>
      <c r="K928" s="7" t="n">
        <v>3</v>
      </c>
      <c r="L928" s="8" t="n"/>
      <c r="M928" s="137" t="inlineStr">
        <is>
          <t>+</t>
        </is>
      </c>
      <c r="N928" s="8" t="n"/>
      <c r="O928" s="8" t="n"/>
      <c r="P928" s="8" t="n"/>
      <c r="Q928" s="8" t="n"/>
      <c r="R928" s="8" t="n"/>
      <c r="S928" s="8" t="n"/>
      <c r="T928" s="8" t="n"/>
      <c r="U928" s="8" t="n"/>
      <c r="V928" s="8" t="n"/>
      <c r="W928" s="8" t="n"/>
      <c r="X928" s="137" t="inlineStr">
        <is>
          <t>+</t>
        </is>
      </c>
      <c r="Y928" s="137" t="inlineStr">
        <is>
          <t>+</t>
        </is>
      </c>
    </row>
    <row r="929">
      <c r="A929" s="6" t="inlineStr">
        <is>
          <t>работник 179</t>
        </is>
      </c>
      <c r="B929" s="6" t="inlineStr">
        <is>
          <t>Проходчик (с исполнением обязанностей взрывника)</t>
        </is>
      </c>
      <c r="C929" s="6" t="inlineStr">
        <is>
          <t>ОБЩЕСТВО С ОГРАНИЧЕННОЙ ОТВЕТСТВЕННОСТЬЮ "АМУР ЗОЛОТО"</t>
        </is>
      </c>
      <c r="D929" s="7" t="inlineStr">
        <is>
          <t>2708001686</t>
        </is>
      </c>
      <c r="E929" s="6" t="inlineStr">
        <is>
          <t>ООО "Амур Золото"</t>
        </is>
      </c>
      <c r="F929" s="7" t="inlineStr">
        <is>
          <t>2708001686</t>
        </is>
      </c>
      <c r="G929" s="7" t="inlineStr">
        <is>
          <t>Успешно</t>
        </is>
      </c>
      <c r="H929" s="6" t="n"/>
      <c r="I929" s="6" t="n"/>
      <c r="J929" s="6" t="inlineStr">
        <is>
          <t>Пользовательский интерфейс</t>
        </is>
      </c>
      <c r="K929" s="7" t="n">
        <v>3</v>
      </c>
      <c r="L929" s="8" t="n"/>
      <c r="M929" s="137" t="inlineStr">
        <is>
          <t>+</t>
        </is>
      </c>
      <c r="N929" s="8" t="n"/>
      <c r="O929" s="8" t="n"/>
      <c r="P929" s="8" t="n"/>
      <c r="Q929" s="8" t="n"/>
      <c r="R929" s="8" t="n"/>
      <c r="S929" s="8" t="n"/>
      <c r="T929" s="8" t="n"/>
      <c r="U929" s="8" t="n"/>
      <c r="V929" s="8" t="n"/>
      <c r="W929" s="8" t="n"/>
      <c r="X929" s="137" t="inlineStr">
        <is>
          <t>+</t>
        </is>
      </c>
      <c r="Y929" s="137" t="inlineStr">
        <is>
          <t>+</t>
        </is>
      </c>
    </row>
    <row r="930">
      <c r="A930" s="6" t="inlineStr">
        <is>
          <t>работник 180</t>
        </is>
      </c>
      <c r="B930" s="6" t="inlineStr">
        <is>
          <t>Электрогазосварщик (занятый на резке и ручной сварке) / Электрогазосварщик</t>
        </is>
      </c>
      <c r="C930" s="6" t="inlineStr">
        <is>
          <t>ОБЩЕСТВО С ОГРАНИЧЕННОЙ ОТВЕТСТВЕННОСТЬЮ "АМУР ЗОЛОТО"</t>
        </is>
      </c>
      <c r="D930" s="7" t="inlineStr">
        <is>
          <t>2708001686</t>
        </is>
      </c>
      <c r="E930" s="6" t="inlineStr">
        <is>
          <t>ООО "Амур Золото"</t>
        </is>
      </c>
      <c r="F930" s="7" t="inlineStr">
        <is>
          <t>2708001686</t>
        </is>
      </c>
      <c r="G930" s="7" t="inlineStr">
        <is>
          <t>Успешно</t>
        </is>
      </c>
      <c r="H930" s="6" t="n"/>
      <c r="I930" s="6" t="n"/>
      <c r="J930" s="6" t="inlineStr">
        <is>
          <t>Пользовательский интерфейс</t>
        </is>
      </c>
      <c r="K930" s="7" t="n">
        <v>9</v>
      </c>
      <c r="L930" s="8" t="n"/>
      <c r="M930" s="137" t="inlineStr">
        <is>
          <t>+</t>
        </is>
      </c>
      <c r="N930" s="8" t="n"/>
      <c r="O930" s="137" t="inlineStr">
        <is>
          <t>+</t>
        </is>
      </c>
      <c r="P930" s="8" t="n"/>
      <c r="Q930" s="8" t="n"/>
      <c r="R930" s="8" t="n"/>
      <c r="S930" s="8" t="n"/>
      <c r="T930" s="8" t="n"/>
      <c r="U930" s="8" t="n"/>
      <c r="V930" s="8" t="n"/>
      <c r="W930" s="8" t="n"/>
      <c r="X930" s="137" t="inlineStr">
        <is>
          <t>+</t>
        </is>
      </c>
      <c r="Y930" s="137" t="inlineStr">
        <is>
          <t>+</t>
        </is>
      </c>
    </row>
    <row r="931">
      <c r="A931" s="6" t="inlineStr">
        <is>
          <t>работник 885</t>
        </is>
      </c>
      <c r="B931" s="6" t="inlineStr">
        <is>
          <t>Машинист погрузочно-доставочной машины</t>
        </is>
      </c>
      <c r="C931" s="6" t="inlineStr">
        <is>
          <t>ОБЩЕСТВО С ОГРАНИЧЕННОЙ ОТВЕТСТВЕННОСТЬЮ "АМУР ЗОЛОТО"</t>
        </is>
      </c>
      <c r="D931" s="7" t="inlineStr">
        <is>
          <t>2708001686</t>
        </is>
      </c>
      <c r="E931" s="6" t="inlineStr">
        <is>
          <t>ООО "Амур Золото"</t>
        </is>
      </c>
      <c r="F931" s="7" t="inlineStr">
        <is>
          <t>2708001686</t>
        </is>
      </c>
      <c r="G931" s="7" t="inlineStr">
        <is>
          <t>Успешно</t>
        </is>
      </c>
      <c r="H931" s="6" t="n"/>
      <c r="I931" s="6" t="n"/>
      <c r="J931" s="6" t="inlineStr">
        <is>
          <t>Пользовательский интерфейс</t>
        </is>
      </c>
      <c r="K931" s="7" t="n">
        <v>3</v>
      </c>
      <c r="L931" s="8" t="n"/>
      <c r="M931" s="137" t="inlineStr">
        <is>
          <t>+</t>
        </is>
      </c>
      <c r="N931" s="8" t="n"/>
      <c r="O931" s="8" t="n"/>
      <c r="P931" s="8" t="n"/>
      <c r="Q931" s="8" t="n"/>
      <c r="R931" s="8" t="n"/>
      <c r="S931" s="8" t="n"/>
      <c r="T931" s="8" t="n"/>
      <c r="U931" s="8" t="n"/>
      <c r="V931" s="8" t="n"/>
      <c r="W931" s="8" t="n"/>
      <c r="X931" s="137" t="inlineStr">
        <is>
          <t>+</t>
        </is>
      </c>
      <c r="Y931" s="137" t="inlineStr">
        <is>
          <t>+</t>
        </is>
      </c>
    </row>
    <row r="932">
      <c r="A932" s="6" t="inlineStr">
        <is>
          <t>работник 88</t>
        </is>
      </c>
      <c r="B932" s="6" t="inlineStr">
        <is>
          <t>Машинист двигателей внутрениго сгорания</t>
        </is>
      </c>
      <c r="C932" s="6" t="inlineStr">
        <is>
          <t>ОБЩЕСТВО С ОГРАНИЧЕННОЙ ОТВЕТСТВЕННОСТЬЮ "АМУР ЗОЛОТО"</t>
        </is>
      </c>
      <c r="D932" s="7" t="inlineStr">
        <is>
          <t>2708001686</t>
        </is>
      </c>
      <c r="E932" s="6" t="inlineStr">
        <is>
          <t>ООО "Амур Золото"</t>
        </is>
      </c>
      <c r="F932" s="7" t="inlineStr">
        <is>
          <t>2708001686</t>
        </is>
      </c>
      <c r="G932" s="7" t="inlineStr">
        <is>
          <t>Успешно</t>
        </is>
      </c>
      <c r="H932" s="6" t="n"/>
      <c r="I932" s="6" t="n"/>
      <c r="J932" s="6" t="inlineStr">
        <is>
          <t>Пользовательский интерфейс</t>
        </is>
      </c>
      <c r="K932" s="7" t="n">
        <v>3</v>
      </c>
      <c r="L932" s="8" t="n"/>
      <c r="M932" s="137" t="inlineStr">
        <is>
          <t>+</t>
        </is>
      </c>
      <c r="N932" s="8" t="n"/>
      <c r="O932" s="8" t="n"/>
      <c r="P932" s="8" t="n"/>
      <c r="Q932" s="8" t="n"/>
      <c r="R932" s="8" t="n"/>
      <c r="S932" s="8" t="n"/>
      <c r="T932" s="8" t="n"/>
      <c r="U932" s="8" t="n"/>
      <c r="V932" s="8" t="n"/>
      <c r="W932" s="8" t="n"/>
      <c r="X932" s="137" t="inlineStr">
        <is>
          <t>+</t>
        </is>
      </c>
      <c r="Y932" s="137" t="inlineStr">
        <is>
          <t>+</t>
        </is>
      </c>
    </row>
    <row r="933">
      <c r="A933" s="6" t="inlineStr">
        <is>
          <t>работник 119</t>
        </is>
      </c>
      <c r="B933" s="6" t="inlineStr">
        <is>
          <t>Контролер продукции обогащения / Пробоотборщик</t>
        </is>
      </c>
      <c r="C933" s="6" t="inlineStr">
        <is>
          <t>ОБЩЕСТВО С ОГРАНИЧЕННОЙ ОТВЕТСТВЕННОСТЬЮ "АМУР ЗОЛОТО"</t>
        </is>
      </c>
      <c r="D933" s="7" t="inlineStr">
        <is>
          <t>2708001686</t>
        </is>
      </c>
      <c r="E933" s="6" t="inlineStr">
        <is>
          <t>ООО "Амур Золото"</t>
        </is>
      </c>
      <c r="F933" s="7" t="inlineStr">
        <is>
          <t>2708001686</t>
        </is>
      </c>
      <c r="G933" s="7" t="inlineStr">
        <is>
          <t>Успешно</t>
        </is>
      </c>
      <c r="H933" s="6" t="n"/>
      <c r="I933" s="6" t="n"/>
      <c r="J933" s="6" t="inlineStr">
        <is>
          <t>Пользовательский интерфейс</t>
        </is>
      </c>
      <c r="K933" s="7" t="n">
        <v>6</v>
      </c>
      <c r="L933" s="8" t="n"/>
      <c r="M933" s="137" t="inlineStr">
        <is>
          <t>+</t>
        </is>
      </c>
      <c r="N933" s="8" t="n"/>
      <c r="O933" s="8" t="n"/>
      <c r="P933" s="8" t="n"/>
      <c r="Q933" s="8" t="n"/>
      <c r="R933" s="8" t="n"/>
      <c r="S933" s="8" t="n"/>
      <c r="T933" s="8" t="n"/>
      <c r="U933" s="8" t="n"/>
      <c r="V933" s="8" t="n"/>
      <c r="W933" s="8" t="n"/>
      <c r="X933" s="137" t="inlineStr">
        <is>
          <t>+</t>
        </is>
      </c>
      <c r="Y933" s="137" t="inlineStr">
        <is>
          <t>+</t>
        </is>
      </c>
    </row>
    <row r="934" ht="22" customHeight="1">
      <c r="A934" s="143" t="inlineStr">
        <is>
          <t>Итого назначений</t>
        </is>
      </c>
      <c r="B934" s="143" t="n"/>
      <c r="C934" s="143" t="n"/>
      <c r="D934" s="143" t="n"/>
      <c r="E934" s="143" t="n"/>
      <c r="F934" s="143" t="n"/>
      <c r="G934" s="143" t="n"/>
      <c r="H934" s="143" t="n"/>
      <c r="I934" s="143" t="n"/>
      <c r="J934" s="143" t="n"/>
      <c r="K934" s="144">
        <f>SUM(K2:K933)</f>
        <v/>
      </c>
      <c r="L934" s="144">
        <f>COUNTIF(L2:L933,"+")</f>
        <v/>
      </c>
      <c r="M934" s="144">
        <f>COUNTIF(M2:M933,"+")</f>
        <v/>
      </c>
      <c r="N934" s="144">
        <f>COUNTIF(N2:N933,"+")</f>
        <v/>
      </c>
      <c r="O934" s="144">
        <f>COUNTIF(O2:O933,"+")</f>
        <v/>
      </c>
      <c r="P934" s="144">
        <f>COUNTIF(P2:P933,"+")</f>
        <v/>
      </c>
      <c r="Q934" s="144">
        <f>COUNTIF(Q2:Q933,"+")</f>
        <v/>
      </c>
      <c r="R934" s="144">
        <f>COUNTIF(R2:R933,"+")</f>
        <v/>
      </c>
      <c r="S934" s="144">
        <f>COUNTIF(S2:S933,"+")</f>
        <v/>
      </c>
      <c r="T934" s="144">
        <f>COUNTIF(T2:T933,"+")</f>
        <v/>
      </c>
      <c r="U934" s="144">
        <f>COUNTIF(U2:U933,"+")</f>
        <v/>
      </c>
      <c r="V934" s="144">
        <f>COUNTIF(V2:V933,"+")</f>
        <v/>
      </c>
      <c r="W934" s="144">
        <f>COUNTIF(W2:W933,"+")</f>
        <v/>
      </c>
      <c r="X934" s="144">
        <f>COUNTIF(X2:X933,"+")</f>
        <v/>
      </c>
      <c r="Y934" s="144">
        <f>COUNTIF(Y2:Y933,"+")</f>
        <v/>
      </c>
    </row>
    <row r="936" ht="24" customHeight="1">
      <c r="A936" s="145" t="inlineStr">
        <is>
          <t>Недостаток обучения в связи с некорректным назначением</t>
        </is>
      </c>
      <c r="H936" s="51" t="n"/>
    </row>
    <row r="937" ht="64" customHeight="1">
      <c r="A937" s="146" t="inlineStr">
        <is>
          <t>В таблице только недостаток. Столбцы названы программами. 46а и 46б: программа уже назначена части работников профессии, остальные её не проходили. Первая помощь: работники профессии, которым она нужна по пункту 33 постановления 2464, но записи нет. СИЗ: есть работы на высоте или в замкнутом пространстве, а обучения по применению СИЗ нет. Если работник числится в двух профессиях, он входит в строку каждой.</t>
        </is>
      </c>
      <c r="H937" s="51" t="n"/>
    </row>
    <row r="938" ht="30" customHeight="1">
      <c r="A938" s="194" t="inlineStr">
        <is>
          <t>Профессия</t>
        </is>
      </c>
      <c r="B938" s="194" t="inlineStr">
        <is>
          <t>Работников</t>
        </is>
      </c>
      <c r="C938" s="194" t="inlineStr">
        <is>
          <t>46а</t>
        </is>
      </c>
      <c r="D938" s="194" t="inlineStr">
        <is>
          <t>46б</t>
        </is>
      </c>
      <c r="E938" s="194" t="inlineStr">
        <is>
          <t>Первая помощь</t>
        </is>
      </c>
      <c r="F938" s="194" t="inlineStr">
        <is>
          <t>СИЗ</t>
        </is>
      </c>
      <c r="G938" s="194" t="inlineStr">
        <is>
          <t>Итого</t>
        </is>
      </c>
      <c r="H938" s="51" t="n"/>
    </row>
    <row r="939" ht="18" customHeight="1">
      <c r="A939" s="45" t="inlineStr">
        <is>
          <t>Электрогазосварщик</t>
        </is>
      </c>
      <c r="B939" s="195" t="n">
        <v>35</v>
      </c>
      <c r="C939" s="196" t="n"/>
      <c r="D939" s="196" t="n">
        <v>4</v>
      </c>
      <c r="E939" s="196" t="n">
        <v>11</v>
      </c>
      <c r="F939" s="196" t="n">
        <v>4</v>
      </c>
      <c r="G939" s="196" t="n">
        <v>19</v>
      </c>
      <c r="H939" s="51" t="n"/>
    </row>
    <row r="940" ht="18" customHeight="1">
      <c r="A940" s="45" t="inlineStr">
        <is>
          <t>Слесарь-ремонтник</t>
        </is>
      </c>
      <c r="B940" s="195" t="n">
        <v>12</v>
      </c>
      <c r="C940" s="196" t="n"/>
      <c r="D940" s="196" t="n">
        <v>9</v>
      </c>
      <c r="E940" s="196" t="n">
        <v>7</v>
      </c>
      <c r="F940" s="196" t="n">
        <v>2</v>
      </c>
      <c r="G940" s="196" t="n">
        <v>18</v>
      </c>
      <c r="H940" s="51" t="n"/>
    </row>
    <row r="941" ht="18" customHeight="1">
      <c r="A941" s="45" t="inlineStr">
        <is>
          <t>Повар</t>
        </is>
      </c>
      <c r="B941" s="195" t="n">
        <v>31</v>
      </c>
      <c r="C941" s="196" t="n"/>
      <c r="D941" s="196" t="n"/>
      <c r="E941" s="196" t="n">
        <v>15</v>
      </c>
      <c r="F941" s="196" t="n"/>
      <c r="G941" s="196" t="n">
        <v>15</v>
      </c>
      <c r="H941" s="51" t="n"/>
    </row>
    <row r="942" ht="18" customHeight="1">
      <c r="A942" s="45" t="inlineStr">
        <is>
          <t>Аппаратчик-гидрометаллург</t>
        </is>
      </c>
      <c r="B942" s="195" t="n">
        <v>30</v>
      </c>
      <c r="C942" s="196" t="n"/>
      <c r="D942" s="196" t="n"/>
      <c r="E942" s="196" t="n">
        <v>13</v>
      </c>
      <c r="F942" s="196" t="n"/>
      <c r="G942" s="196" t="n">
        <v>13</v>
      </c>
      <c r="H942" s="51" t="n"/>
    </row>
    <row r="943" ht="18" customHeight="1">
      <c r="A943" s="45" t="inlineStr">
        <is>
          <t>Фильтровальщик</t>
        </is>
      </c>
      <c r="B943" s="195" t="n">
        <v>41</v>
      </c>
      <c r="C943" s="196" t="n"/>
      <c r="D943" s="196" t="n"/>
      <c r="E943" s="196" t="n">
        <v>13</v>
      </c>
      <c r="F943" s="196" t="n"/>
      <c r="G943" s="196" t="n">
        <v>13</v>
      </c>
      <c r="H943" s="51" t="n"/>
    </row>
    <row r="944" ht="18" customHeight="1">
      <c r="A944" s="45" t="inlineStr">
        <is>
          <t>Электромонтер по ремонту и обслуживанию электрооборудования</t>
        </is>
      </c>
      <c r="B944" s="195" t="n">
        <v>17</v>
      </c>
      <c r="C944" s="196" t="n"/>
      <c r="D944" s="196" t="n"/>
      <c r="E944" s="196" t="n">
        <v>11</v>
      </c>
      <c r="F944" s="196" t="n"/>
      <c r="G944" s="196" t="n">
        <v>11</v>
      </c>
      <c r="H944" s="51" t="n"/>
    </row>
    <row r="945" ht="18" customHeight="1">
      <c r="A945" s="45" t="inlineStr">
        <is>
          <t>Машинист бульдозера</t>
        </is>
      </c>
      <c r="B945" s="195" t="n">
        <v>24</v>
      </c>
      <c r="C945" s="196" t="n"/>
      <c r="D945" s="196" t="n"/>
      <c r="E945" s="196" t="n">
        <v>9</v>
      </c>
      <c r="F945" s="196" t="n"/>
      <c r="G945" s="196" t="n">
        <v>9</v>
      </c>
      <c r="H945" s="51" t="n"/>
    </row>
    <row r="946" ht="18" customHeight="1">
      <c r="A946" s="45" t="inlineStr">
        <is>
          <t>Электромонтер</t>
        </is>
      </c>
      <c r="B946" s="195" t="n">
        <v>6</v>
      </c>
      <c r="C946" s="196" t="n"/>
      <c r="D946" s="196" t="n">
        <v>4</v>
      </c>
      <c r="E946" s="196" t="n">
        <v>4</v>
      </c>
      <c r="F946" s="196" t="n">
        <v>1</v>
      </c>
      <c r="G946" s="196" t="n">
        <v>9</v>
      </c>
      <c r="H946" s="51" t="n"/>
    </row>
    <row r="947" ht="18" customHeight="1">
      <c r="A947" s="45" t="inlineStr">
        <is>
          <t>Водитель автомобиля (занятый на транспортировании горной массы в технологическом процессе)</t>
        </is>
      </c>
      <c r="B947" s="195" t="n">
        <v>50</v>
      </c>
      <c r="C947" s="196" t="n"/>
      <c r="D947" s="196" t="n"/>
      <c r="E947" s="196" t="n">
        <v>8</v>
      </c>
      <c r="F947" s="196" t="n"/>
      <c r="G947" s="196" t="n">
        <v>8</v>
      </c>
      <c r="H947" s="51" t="n"/>
    </row>
    <row r="948" ht="18" customHeight="1">
      <c r="A948" s="45" t="inlineStr">
        <is>
          <t>Проходчик (с исполнением обязанностей взрывника)</t>
        </is>
      </c>
      <c r="B948" s="195" t="n">
        <v>30</v>
      </c>
      <c r="C948" s="196" t="n"/>
      <c r="D948" s="196" t="n">
        <v>3</v>
      </c>
      <c r="E948" s="196" t="n">
        <v>5</v>
      </c>
      <c r="F948" s="196" t="n"/>
      <c r="G948" s="196" t="n">
        <v>8</v>
      </c>
      <c r="H948" s="51" t="n"/>
    </row>
    <row r="949" ht="18" customHeight="1">
      <c r="A949" s="45" t="inlineStr">
        <is>
          <t>Растворщик реагентов</t>
        </is>
      </c>
      <c r="B949" s="195" t="n">
        <v>15</v>
      </c>
      <c r="C949" s="196" t="n"/>
      <c r="D949" s="196" t="n"/>
      <c r="E949" s="196" t="n">
        <v>8</v>
      </c>
      <c r="F949" s="196" t="n"/>
      <c r="G949" s="196" t="n">
        <v>8</v>
      </c>
      <c r="H949" s="51" t="n"/>
    </row>
    <row r="950" ht="18" customHeight="1">
      <c r="A950" s="45" t="inlineStr">
        <is>
          <t>Бункеровщик</t>
        </is>
      </c>
      <c r="B950" s="195" t="n">
        <v>17</v>
      </c>
      <c r="C950" s="196" t="n"/>
      <c r="D950" s="196" t="n"/>
      <c r="E950" s="196" t="n">
        <v>7</v>
      </c>
      <c r="F950" s="196" t="n"/>
      <c r="G950" s="196" t="n">
        <v>7</v>
      </c>
      <c r="H950" s="51" t="n"/>
    </row>
    <row r="951" ht="18" customHeight="1">
      <c r="A951" s="45" t="inlineStr">
        <is>
          <t>Плотник</t>
        </is>
      </c>
      <c r="B951" s="195" t="n">
        <v>14</v>
      </c>
      <c r="C951" s="196" t="n"/>
      <c r="D951" s="196" t="n"/>
      <c r="E951" s="196" t="n">
        <v>7</v>
      </c>
      <c r="F951" s="196" t="n"/>
      <c r="G951" s="196" t="n">
        <v>7</v>
      </c>
      <c r="H951" s="51" t="n"/>
    </row>
    <row r="952" ht="18" customHeight="1">
      <c r="A952" s="45" t="inlineStr">
        <is>
          <t>Подсобный рабочий</t>
        </is>
      </c>
      <c r="B952" s="195" t="n">
        <v>28</v>
      </c>
      <c r="C952" s="196" t="n"/>
      <c r="D952" s="196" t="n"/>
      <c r="E952" s="196" t="n">
        <v>7</v>
      </c>
      <c r="F952" s="196" t="n"/>
      <c r="G952" s="196" t="n">
        <v>7</v>
      </c>
      <c r="H952" s="51" t="n"/>
    </row>
    <row r="953" ht="18" customHeight="1">
      <c r="A953" s="45" t="inlineStr">
        <is>
          <t>Помощник машиниста самоходной буровой установки (с исполнением обязанностей пробоотборщика) (Очистное)</t>
        </is>
      </c>
      <c r="B953" s="195" t="n">
        <v>15</v>
      </c>
      <c r="C953" s="196" t="n"/>
      <c r="D953" s="196" t="n"/>
      <c r="E953" s="196" t="n">
        <v>7</v>
      </c>
      <c r="F953" s="196" t="n"/>
      <c r="G953" s="196" t="n">
        <v>7</v>
      </c>
      <c r="H953" s="51" t="n"/>
    </row>
    <row r="954" ht="18" customHeight="1">
      <c r="A954" s="45" t="inlineStr">
        <is>
          <t>Весовщик</t>
        </is>
      </c>
      <c r="B954" s="195" t="n">
        <v>12</v>
      </c>
      <c r="C954" s="196" t="n"/>
      <c r="D954" s="196" t="n"/>
      <c r="E954" s="196" t="n">
        <v>6</v>
      </c>
      <c r="F954" s="196" t="n"/>
      <c r="G954" s="196" t="n">
        <v>6</v>
      </c>
      <c r="H954" s="51" t="n"/>
    </row>
    <row r="955" ht="18" customHeight="1">
      <c r="A955" s="45" t="inlineStr">
        <is>
          <t>Горнорабочий на маркшейдерских работах</t>
        </is>
      </c>
      <c r="B955" s="195" t="n">
        <v>9</v>
      </c>
      <c r="C955" s="196" t="n"/>
      <c r="D955" s="196" t="n"/>
      <c r="E955" s="196" t="n">
        <v>6</v>
      </c>
      <c r="F955" s="196" t="n"/>
      <c r="G955" s="196" t="n">
        <v>6</v>
      </c>
      <c r="H955" s="51" t="n"/>
    </row>
    <row r="956" ht="18" customHeight="1">
      <c r="A956" s="45" t="inlineStr">
        <is>
          <t>Дробильщик</t>
        </is>
      </c>
      <c r="B956" s="195" t="n">
        <v>34</v>
      </c>
      <c r="C956" s="196" t="n"/>
      <c r="D956" s="196" t="n"/>
      <c r="E956" s="196" t="n">
        <v>6</v>
      </c>
      <c r="F956" s="196" t="n"/>
      <c r="G956" s="196" t="n">
        <v>6</v>
      </c>
      <c r="H956" s="51" t="n"/>
    </row>
    <row r="957" ht="18" customHeight="1">
      <c r="A957" s="45" t="inlineStr">
        <is>
          <t>Контролер</t>
        </is>
      </c>
      <c r="B957" s="195" t="n">
        <v>6</v>
      </c>
      <c r="C957" s="196" t="n"/>
      <c r="D957" s="196" t="n"/>
      <c r="E957" s="196" t="n">
        <v>6</v>
      </c>
      <c r="F957" s="196" t="n"/>
      <c r="G957" s="196" t="n">
        <v>6</v>
      </c>
      <c r="H957" s="51" t="n"/>
    </row>
    <row r="958" ht="18" customHeight="1">
      <c r="A958" s="45" t="inlineStr">
        <is>
          <t>Слесарь-ремонтник (по ремонту обогатительного оборудования)</t>
        </is>
      </c>
      <c r="B958" s="195" t="n">
        <v>17</v>
      </c>
      <c r="C958" s="196" t="n"/>
      <c r="D958" s="196" t="n"/>
      <c r="E958" s="196" t="n">
        <v>6</v>
      </c>
      <c r="F958" s="196" t="n"/>
      <c r="G958" s="196" t="n">
        <v>6</v>
      </c>
      <c r="H958" s="51" t="n"/>
    </row>
    <row r="959" ht="18" customHeight="1">
      <c r="A959" s="45" t="inlineStr">
        <is>
          <t>Аппаратчик сгустителей</t>
        </is>
      </c>
      <c r="B959" s="195" t="n">
        <v>8</v>
      </c>
      <c r="C959" s="196" t="n"/>
      <c r="D959" s="196" t="n">
        <v>3</v>
      </c>
      <c r="E959" s="196" t="n">
        <v>2</v>
      </c>
      <c r="F959" s="196" t="n"/>
      <c r="G959" s="196" t="n">
        <v>5</v>
      </c>
      <c r="H959" s="51" t="n"/>
    </row>
    <row r="960" ht="18" customHeight="1">
      <c r="A960" s="45" t="inlineStr">
        <is>
          <t>Водитель погрузчика</t>
        </is>
      </c>
      <c r="B960" s="195" t="n">
        <v>28</v>
      </c>
      <c r="C960" s="196" t="n"/>
      <c r="D960" s="196" t="n"/>
      <c r="E960" s="196" t="n">
        <v>5</v>
      </c>
      <c r="F960" s="196" t="n"/>
      <c r="G960" s="196" t="n">
        <v>5</v>
      </c>
      <c r="H960" s="51" t="n"/>
    </row>
    <row r="961" ht="18" customHeight="1">
      <c r="A961" s="45" t="inlineStr">
        <is>
          <t>Горный диспетчер</t>
        </is>
      </c>
      <c r="B961" s="195" t="n">
        <v>6</v>
      </c>
      <c r="C961" s="196" t="n">
        <v>5</v>
      </c>
      <c r="D961" s="196" t="n"/>
      <c r="E961" s="196" t="n"/>
      <c r="F961" s="196" t="n"/>
      <c r="G961" s="196" t="n">
        <v>5</v>
      </c>
      <c r="H961" s="51" t="n"/>
    </row>
    <row r="962" ht="18" customHeight="1">
      <c r="A962" s="45" t="inlineStr">
        <is>
          <t>Кухонный рабочий</t>
        </is>
      </c>
      <c r="B962" s="195" t="n">
        <v>26</v>
      </c>
      <c r="C962" s="196" t="n"/>
      <c r="D962" s="196" t="n"/>
      <c r="E962" s="196" t="n">
        <v>5</v>
      </c>
      <c r="F962" s="196" t="n"/>
      <c r="G962" s="196" t="n">
        <v>5</v>
      </c>
      <c r="H962" s="51" t="n"/>
    </row>
    <row r="963" ht="18" customHeight="1">
      <c r="A963" s="45" t="inlineStr">
        <is>
          <t>Машинист двигателей внутреннего сгорания</t>
        </is>
      </c>
      <c r="B963" s="195" t="n">
        <v>18</v>
      </c>
      <c r="C963" s="196" t="n"/>
      <c r="D963" s="196" t="n"/>
      <c r="E963" s="196" t="n">
        <v>5</v>
      </c>
      <c r="F963" s="196" t="n"/>
      <c r="G963" s="196" t="n">
        <v>5</v>
      </c>
      <c r="H963" s="51" t="n"/>
    </row>
    <row r="964" ht="18" customHeight="1">
      <c r="A964" s="45" t="inlineStr">
        <is>
          <t>Машинист самоходной буровой установки</t>
        </is>
      </c>
      <c r="B964" s="195" t="n">
        <v>21</v>
      </c>
      <c r="C964" s="196" t="n"/>
      <c r="D964" s="196" t="n"/>
      <c r="E964" s="196" t="n">
        <v>5</v>
      </c>
      <c r="F964" s="196" t="n"/>
      <c r="G964" s="196" t="n">
        <v>5</v>
      </c>
      <c r="H964" s="51" t="n"/>
    </row>
    <row r="965" ht="18" customHeight="1">
      <c r="A965" s="45" t="inlineStr">
        <is>
          <t>Монтажник по монтажу стальных и железобетонных конструкций</t>
        </is>
      </c>
      <c r="B965" s="195" t="n">
        <v>7</v>
      </c>
      <c r="C965" s="196" t="n"/>
      <c r="D965" s="196" t="n"/>
      <c r="E965" s="196" t="n">
        <v>5</v>
      </c>
      <c r="F965" s="196" t="n"/>
      <c r="G965" s="196" t="n">
        <v>5</v>
      </c>
      <c r="H965" s="51" t="n"/>
    </row>
    <row r="966" ht="18" customHeight="1">
      <c r="A966" s="45" t="inlineStr">
        <is>
          <t>Водитель автомобиля (категория Д)</t>
        </is>
      </c>
      <c r="B966" s="195" t="n">
        <v>19</v>
      </c>
      <c r="C966" s="196" t="n"/>
      <c r="D966" s="196" t="n"/>
      <c r="E966" s="196" t="n">
        <v>4</v>
      </c>
      <c r="F966" s="196" t="n"/>
      <c r="G966" s="196" t="n">
        <v>4</v>
      </c>
      <c r="H966" s="51" t="n"/>
    </row>
    <row r="967" ht="18" customHeight="1">
      <c r="A967" s="45" t="inlineStr">
        <is>
          <t>Машинист буровой установки</t>
        </is>
      </c>
      <c r="B967" s="195" t="n">
        <v>4</v>
      </c>
      <c r="C967" s="196" t="n"/>
      <c r="D967" s="196" t="n"/>
      <c r="E967" s="196" t="n">
        <v>4</v>
      </c>
      <c r="F967" s="196" t="n"/>
      <c r="G967" s="196" t="n">
        <v>4</v>
      </c>
      <c r="H967" s="51" t="n"/>
    </row>
    <row r="968" ht="18" customHeight="1">
      <c r="A968" s="45" t="inlineStr">
        <is>
          <t>Машинист крана автомобильного</t>
        </is>
      </c>
      <c r="B968" s="195" t="n">
        <v>8</v>
      </c>
      <c r="C968" s="196" t="n"/>
      <c r="D968" s="196" t="n">
        <v>2</v>
      </c>
      <c r="E968" s="196" t="n">
        <v>2</v>
      </c>
      <c r="F968" s="196" t="n"/>
      <c r="G968" s="196" t="n">
        <v>4</v>
      </c>
      <c r="H968" s="51" t="n"/>
    </row>
    <row r="969" ht="18" customHeight="1">
      <c r="A969" s="45" t="inlineStr">
        <is>
          <t>Машинист погрузочно-доставочной машины (занятый на транспортировании горной массы в технологическом процессе)</t>
        </is>
      </c>
      <c r="B969" s="195" t="n">
        <v>29</v>
      </c>
      <c r="C969" s="196" t="n"/>
      <c r="D969" s="196" t="n"/>
      <c r="E969" s="196" t="n">
        <v>4</v>
      </c>
      <c r="F969" s="196" t="n"/>
      <c r="G969" s="196" t="n">
        <v>4</v>
      </c>
      <c r="H969" s="51" t="n"/>
    </row>
    <row r="970" ht="18" customHeight="1">
      <c r="A970" s="45" t="inlineStr">
        <is>
          <t>Оператор дизельных котлов</t>
        </is>
      </c>
      <c r="B970" s="195" t="n">
        <v>14</v>
      </c>
      <c r="C970" s="196" t="n"/>
      <c r="D970" s="196" t="n"/>
      <c r="E970" s="196" t="n">
        <v>4</v>
      </c>
      <c r="F970" s="196" t="n"/>
      <c r="G970" s="196" t="n">
        <v>4</v>
      </c>
      <c r="H970" s="51" t="n"/>
    </row>
    <row r="971" ht="18" customHeight="1">
      <c r="A971" s="45" t="inlineStr">
        <is>
          <t>Помощник машиниста буровой установки</t>
        </is>
      </c>
      <c r="B971" s="195" t="n">
        <v>4</v>
      </c>
      <c r="C971" s="196" t="n"/>
      <c r="D971" s="196" t="n"/>
      <c r="E971" s="196" t="n">
        <v>4</v>
      </c>
      <c r="F971" s="196" t="n"/>
      <c r="G971" s="196" t="n">
        <v>4</v>
      </c>
      <c r="H971" s="51" t="n"/>
    </row>
    <row r="972" ht="18" customHeight="1">
      <c r="A972" s="45" t="inlineStr">
        <is>
          <t>Бетонщик</t>
        </is>
      </c>
      <c r="B972" s="195" t="n">
        <v>3</v>
      </c>
      <c r="C972" s="196" t="n"/>
      <c r="D972" s="196" t="n"/>
      <c r="E972" s="196" t="n">
        <v>3</v>
      </c>
      <c r="F972" s="196" t="n"/>
      <c r="G972" s="196" t="n">
        <v>3</v>
      </c>
      <c r="H972" s="51" t="n"/>
    </row>
    <row r="973" ht="18" customHeight="1">
      <c r="A973" s="45" t="inlineStr">
        <is>
          <t>Водитель автомобиля (категория С)</t>
        </is>
      </c>
      <c r="B973" s="195" t="n">
        <v>7</v>
      </c>
      <c r="C973" s="196" t="n"/>
      <c r="D973" s="196" t="n"/>
      <c r="E973" s="196" t="n">
        <v>3</v>
      </c>
      <c r="F973" s="196" t="n"/>
      <c r="G973" s="196" t="n">
        <v>3</v>
      </c>
      <c r="H973" s="51" t="n"/>
    </row>
    <row r="974" ht="18" customHeight="1">
      <c r="A974" s="45" t="inlineStr">
        <is>
          <t>Машинист погрузочно-доставочной машины</t>
        </is>
      </c>
      <c r="B974" s="195" t="n">
        <v>22</v>
      </c>
      <c r="C974" s="196" t="n"/>
      <c r="D974" s="196" t="n"/>
      <c r="E974" s="196" t="n">
        <v>3</v>
      </c>
      <c r="F974" s="196" t="n"/>
      <c r="G974" s="196" t="n">
        <v>3</v>
      </c>
      <c r="H974" s="51" t="n"/>
    </row>
    <row r="975" ht="18" customHeight="1">
      <c r="A975" s="45" t="inlineStr">
        <is>
          <t>Машинист подземных самоходных машин</t>
        </is>
      </c>
      <c r="B975" s="195" t="n">
        <v>7</v>
      </c>
      <c r="C975" s="196" t="n"/>
      <c r="D975" s="196" t="n"/>
      <c r="E975" s="196" t="n">
        <v>3</v>
      </c>
      <c r="F975" s="196" t="n"/>
      <c r="G975" s="196" t="n">
        <v>3</v>
      </c>
      <c r="H975" s="51" t="n"/>
    </row>
    <row r="976" ht="18" customHeight="1">
      <c r="A976" s="45" t="inlineStr">
        <is>
          <t>Пробоотборщик</t>
        </is>
      </c>
      <c r="B976" s="195" t="n">
        <v>18</v>
      </c>
      <c r="C976" s="196" t="n"/>
      <c r="D976" s="196" t="n"/>
      <c r="E976" s="196" t="n">
        <v>3</v>
      </c>
      <c r="F976" s="196" t="n"/>
      <c r="G976" s="196" t="n">
        <v>3</v>
      </c>
      <c r="H976" s="51" t="n"/>
    </row>
    <row r="977" ht="18" customHeight="1">
      <c r="A977" s="45" t="inlineStr">
        <is>
          <t>Промывальщик геологических проб</t>
        </is>
      </c>
      <c r="B977" s="195" t="n">
        <v>4</v>
      </c>
      <c r="C977" s="196" t="n"/>
      <c r="D977" s="196" t="n"/>
      <c r="E977" s="196" t="n">
        <v>3</v>
      </c>
      <c r="F977" s="196" t="n"/>
      <c r="G977" s="196" t="n">
        <v>3</v>
      </c>
      <c r="H977" s="51" t="n"/>
    </row>
    <row r="978" ht="18" customHeight="1">
      <c r="A978" s="45" t="inlineStr">
        <is>
          <t>Слесарь по ремонту автомобилей (ДВС)</t>
        </is>
      </c>
      <c r="B978" s="195" t="n">
        <v>4</v>
      </c>
      <c r="C978" s="196" t="n"/>
      <c r="D978" s="196" t="n"/>
      <c r="E978" s="196" t="n">
        <v>3</v>
      </c>
      <c r="F978" s="196" t="n"/>
      <c r="G978" s="196" t="n">
        <v>3</v>
      </c>
      <c r="H978" s="51" t="n"/>
    </row>
    <row r="979" ht="18" customHeight="1">
      <c r="A979" s="45" t="inlineStr">
        <is>
          <t>Слесарь-ремонтник (по ремонту самоходной техники)</t>
        </is>
      </c>
      <c r="B979" s="195" t="n">
        <v>9</v>
      </c>
      <c r="C979" s="196" t="n"/>
      <c r="D979" s="196" t="n"/>
      <c r="E979" s="196" t="n">
        <v>3</v>
      </c>
      <c r="F979" s="196" t="n"/>
      <c r="G979" s="196" t="n">
        <v>3</v>
      </c>
      <c r="H979" s="51" t="n"/>
    </row>
    <row r="980" ht="18" customHeight="1">
      <c r="A980" s="45" t="inlineStr">
        <is>
          <t>Слесарь-электрик по ремонту электрооборудования</t>
        </is>
      </c>
      <c r="B980" s="195" t="n">
        <v>6</v>
      </c>
      <c r="C980" s="196" t="n"/>
      <c r="D980" s="196" t="n"/>
      <c r="E980" s="196" t="n">
        <v>3</v>
      </c>
      <c r="F980" s="196" t="n"/>
      <c r="G980" s="196" t="n">
        <v>3</v>
      </c>
      <c r="H980" s="51" t="n"/>
    </row>
    <row r="981" ht="18" customHeight="1">
      <c r="A981" s="45" t="inlineStr">
        <is>
          <t>Уборщик производственных и служебных помещений</t>
        </is>
      </c>
      <c r="B981" s="195" t="n">
        <v>10</v>
      </c>
      <c r="C981" s="196" t="n"/>
      <c r="D981" s="196" t="n"/>
      <c r="E981" s="196" t="n">
        <v>3</v>
      </c>
      <c r="F981" s="196" t="n"/>
      <c r="G981" s="196" t="n">
        <v>3</v>
      </c>
      <c r="H981" s="51" t="n"/>
    </row>
    <row r="982" ht="18" customHeight="1">
      <c r="A982" s="45" t="inlineStr">
        <is>
          <t>Вальщик леса</t>
        </is>
      </c>
      <c r="B982" s="195" t="n">
        <v>2</v>
      </c>
      <c r="C982" s="196" t="n"/>
      <c r="D982" s="196" t="n"/>
      <c r="E982" s="196" t="n">
        <v>2</v>
      </c>
      <c r="F982" s="196" t="n"/>
      <c r="G982" s="196" t="n">
        <v>2</v>
      </c>
      <c r="H982" s="51" t="n"/>
    </row>
    <row r="983" ht="18" customHeight="1">
      <c r="A983" s="45" t="inlineStr">
        <is>
          <t>Водитель автомобиля (с правом управления КМУ)</t>
        </is>
      </c>
      <c r="B983" s="195" t="n">
        <v>2</v>
      </c>
      <c r="C983" s="196" t="n"/>
      <c r="D983" s="196" t="n"/>
      <c r="E983" s="196" t="n">
        <v>2</v>
      </c>
      <c r="F983" s="196" t="n"/>
      <c r="G983" s="196" t="n">
        <v>2</v>
      </c>
      <c r="H983" s="51" t="n"/>
    </row>
    <row r="984" ht="18" customHeight="1">
      <c r="A984" s="45" t="inlineStr">
        <is>
          <t>Горничная</t>
        </is>
      </c>
      <c r="B984" s="195" t="n">
        <v>2</v>
      </c>
      <c r="C984" s="196" t="n"/>
      <c r="D984" s="196" t="n"/>
      <c r="E984" s="196" t="n">
        <v>2</v>
      </c>
      <c r="F984" s="196" t="n"/>
      <c r="G984" s="196" t="n">
        <v>2</v>
      </c>
      <c r="H984" s="51" t="n"/>
    </row>
    <row r="985" ht="18" customHeight="1">
      <c r="A985" s="45" t="inlineStr">
        <is>
          <t>Горнорабочий</t>
        </is>
      </c>
      <c r="B985" s="195" t="n">
        <v>6</v>
      </c>
      <c r="C985" s="196" t="n"/>
      <c r="D985" s="196" t="n"/>
      <c r="E985" s="196" t="n">
        <v>2</v>
      </c>
      <c r="F985" s="196" t="n"/>
      <c r="G985" s="196" t="n">
        <v>2</v>
      </c>
      <c r="H985" s="51" t="n"/>
    </row>
    <row r="986" ht="18" customHeight="1">
      <c r="A986" s="45" t="inlineStr">
        <is>
          <t>Горный мастер</t>
        </is>
      </c>
      <c r="B986" s="195" t="n">
        <v>3</v>
      </c>
      <c r="C986" s="196" t="n"/>
      <c r="D986" s="196" t="n"/>
      <c r="E986" s="196" t="n">
        <v>2</v>
      </c>
      <c r="F986" s="196" t="n"/>
      <c r="G986" s="196" t="n">
        <v>2</v>
      </c>
      <c r="H986" s="51" t="n"/>
    </row>
    <row r="987" ht="18" customHeight="1">
      <c r="A987" s="45" t="inlineStr">
        <is>
          <t>Грузчик</t>
        </is>
      </c>
      <c r="B987" s="195" t="n">
        <v>4</v>
      </c>
      <c r="C987" s="196" t="n"/>
      <c r="D987" s="196" t="n"/>
      <c r="E987" s="196" t="n">
        <v>2</v>
      </c>
      <c r="F987" s="196" t="n"/>
      <c r="G987" s="196" t="n">
        <v>2</v>
      </c>
      <c r="H987" s="51" t="n"/>
    </row>
    <row r="988" ht="18" customHeight="1">
      <c r="A988" s="45" t="inlineStr">
        <is>
          <t>Лаборант пробирного анализа</t>
        </is>
      </c>
      <c r="B988" s="195" t="n">
        <v>13</v>
      </c>
      <c r="C988" s="196" t="n"/>
      <c r="D988" s="196" t="n"/>
      <c r="E988" s="196" t="n">
        <v>2</v>
      </c>
      <c r="F988" s="196" t="n"/>
      <c r="G988" s="196" t="n">
        <v>2</v>
      </c>
      <c r="H988" s="51" t="n"/>
    </row>
    <row r="989" ht="18" customHeight="1">
      <c r="A989" s="45" t="inlineStr">
        <is>
          <t>Машинист мельниц</t>
        </is>
      </c>
      <c r="B989" s="195" t="n">
        <v>10</v>
      </c>
      <c r="C989" s="196" t="n"/>
      <c r="D989" s="196" t="n"/>
      <c r="E989" s="196" t="n">
        <v>2</v>
      </c>
      <c r="F989" s="196" t="n"/>
      <c r="G989" s="196" t="n">
        <v>2</v>
      </c>
      <c r="H989" s="51" t="n"/>
    </row>
    <row r="990" ht="18" customHeight="1">
      <c r="A990" s="45" t="inlineStr">
        <is>
          <t>Машинист самоходной буровой установки (Очистное)</t>
        </is>
      </c>
      <c r="B990" s="195" t="n">
        <v>4</v>
      </c>
      <c r="C990" s="196" t="n"/>
      <c r="D990" s="196" t="n"/>
      <c r="E990" s="196" t="n">
        <v>2</v>
      </c>
      <c r="F990" s="196" t="n"/>
      <c r="G990" s="196" t="n">
        <v>2</v>
      </c>
      <c r="H990" s="51" t="n"/>
    </row>
    <row r="991" ht="18" customHeight="1">
      <c r="A991" s="45" t="inlineStr">
        <is>
          <t>Машинист самоходной буровой установки (Проходка)</t>
        </is>
      </c>
      <c r="B991" s="195" t="n">
        <v>8</v>
      </c>
      <c r="C991" s="196" t="n"/>
      <c r="D991" s="196" t="n"/>
      <c r="E991" s="196" t="n">
        <v>2</v>
      </c>
      <c r="F991" s="196" t="n"/>
      <c r="G991" s="196" t="n">
        <v>2</v>
      </c>
      <c r="H991" s="51" t="n"/>
    </row>
    <row r="992" ht="18" customHeight="1">
      <c r="A992" s="45" t="inlineStr">
        <is>
          <t>Раздатчик взрывчатых материалов</t>
        </is>
      </c>
      <c r="B992" s="195" t="n">
        <v>3</v>
      </c>
      <c r="C992" s="196" t="n"/>
      <c r="D992" s="196" t="n"/>
      <c r="E992" s="196" t="n">
        <v>2</v>
      </c>
      <c r="F992" s="196" t="n"/>
      <c r="G992" s="196" t="n">
        <v>2</v>
      </c>
      <c r="H992" s="51" t="n"/>
    </row>
    <row r="993" ht="18" customHeight="1">
      <c r="A993" s="45" t="inlineStr">
        <is>
          <t>Слесарь по контрольно-измерительным приборам и автоматике</t>
        </is>
      </c>
      <c r="B993" s="195" t="n">
        <v>3</v>
      </c>
      <c r="C993" s="196" t="n"/>
      <c r="D993" s="196" t="n"/>
      <c r="E993" s="196" t="n">
        <v>2</v>
      </c>
      <c r="F993" s="196" t="n"/>
      <c r="G993" s="196" t="n">
        <v>2</v>
      </c>
      <c r="H993" s="51" t="n"/>
    </row>
    <row r="994" ht="18" customHeight="1">
      <c r="A994" s="45" t="inlineStr">
        <is>
          <t>Стропальщик (с исполнением обязанностей грузчика)</t>
        </is>
      </c>
      <c r="B994" s="195" t="n">
        <v>10</v>
      </c>
      <c r="C994" s="196" t="n"/>
      <c r="D994" s="196" t="n"/>
      <c r="E994" s="196" t="n">
        <v>2</v>
      </c>
      <c r="F994" s="196" t="n"/>
      <c r="G994" s="196" t="n">
        <v>2</v>
      </c>
      <c r="H994" s="51" t="n"/>
    </row>
    <row r="995" ht="18" customHeight="1">
      <c r="A995" s="45" t="inlineStr">
        <is>
          <t>Электрослесарь (слесарь) дежурный и по ремонту оборудования подземного горного участка</t>
        </is>
      </c>
      <c r="B995" s="195" t="n">
        <v>10</v>
      </c>
      <c r="C995" s="196" t="n"/>
      <c r="D995" s="196" t="n"/>
      <c r="E995" s="196" t="n">
        <v>2</v>
      </c>
      <c r="F995" s="196" t="n"/>
      <c r="G995" s="196" t="n">
        <v>2</v>
      </c>
      <c r="H995" s="51" t="n"/>
    </row>
    <row r="996" ht="18" customHeight="1">
      <c r="A996" s="45" t="inlineStr">
        <is>
          <t>Аппаратчик воздухоразделения</t>
        </is>
      </c>
      <c r="B996" s="195" t="n">
        <v>1</v>
      </c>
      <c r="C996" s="196" t="n"/>
      <c r="D996" s="196" t="n"/>
      <c r="E996" s="196" t="n">
        <v>1</v>
      </c>
      <c r="F996" s="196" t="n"/>
      <c r="G996" s="196" t="n">
        <v>1</v>
      </c>
      <c r="H996" s="51" t="n"/>
    </row>
    <row r="997" ht="18" customHeight="1">
      <c r="A997" s="45" t="inlineStr">
        <is>
          <t>Горнорабочий на геологических работах</t>
        </is>
      </c>
      <c r="B997" s="195" t="n">
        <v>6</v>
      </c>
      <c r="C997" s="196" t="n"/>
      <c r="D997" s="196" t="n"/>
      <c r="E997" s="196" t="n">
        <v>1</v>
      </c>
      <c r="F997" s="196" t="n"/>
      <c r="G997" s="196" t="n">
        <v>1</v>
      </c>
      <c r="H997" s="51" t="n"/>
    </row>
    <row r="998" ht="18" customHeight="1">
      <c r="A998" s="45" t="inlineStr">
        <is>
          <t>Заведующий складом аварийно химически опасных веществ</t>
        </is>
      </c>
      <c r="B998" s="195" t="n">
        <v>1</v>
      </c>
      <c r="C998" s="196" t="n"/>
      <c r="D998" s="196" t="n"/>
      <c r="E998" s="196" t="n">
        <v>1</v>
      </c>
      <c r="F998" s="196" t="n"/>
      <c r="G998" s="196" t="n">
        <v>1</v>
      </c>
      <c r="H998" s="51" t="n"/>
    </row>
    <row r="999" ht="18" customHeight="1">
      <c r="A999" s="45" t="inlineStr">
        <is>
          <t>Заместитель главного механика</t>
        </is>
      </c>
      <c r="B999" s="195" t="n">
        <v>1</v>
      </c>
      <c r="C999" s="196" t="n"/>
      <c r="D999" s="196" t="n"/>
      <c r="E999" s="196" t="n">
        <v>1</v>
      </c>
      <c r="F999" s="196" t="n"/>
      <c r="G999" s="196" t="n">
        <v>1</v>
      </c>
      <c r="H999" s="51" t="n"/>
    </row>
    <row r="1000" ht="18" customHeight="1">
      <c r="A1000" s="45" t="inlineStr">
        <is>
          <t>Заместитель начальника пылевентиляционной службы</t>
        </is>
      </c>
      <c r="B1000" s="195" t="n">
        <v>1</v>
      </c>
      <c r="C1000" s="196" t="n"/>
      <c r="D1000" s="196" t="n"/>
      <c r="E1000" s="196" t="n">
        <v>1</v>
      </c>
      <c r="F1000" s="196" t="n"/>
      <c r="G1000" s="196" t="n">
        <v>1</v>
      </c>
      <c r="H1000" s="51" t="n"/>
    </row>
    <row r="1001" ht="18" customHeight="1">
      <c r="A1001" s="45" t="inlineStr">
        <is>
          <t>Заместитель начальника участка</t>
        </is>
      </c>
      <c r="B1001" s="195" t="n">
        <v>1</v>
      </c>
      <c r="C1001" s="196" t="n"/>
      <c r="D1001" s="196" t="n"/>
      <c r="E1001" s="196" t="n">
        <v>1</v>
      </c>
      <c r="F1001" s="196" t="n"/>
      <c r="G1001" s="196" t="n">
        <v>1</v>
      </c>
      <c r="H1001" s="51" t="n"/>
    </row>
    <row r="1002" ht="18" customHeight="1">
      <c r="A1002" s="45" t="inlineStr">
        <is>
          <t>Кладовщик</t>
        </is>
      </c>
      <c r="B1002" s="195" t="n">
        <v>8</v>
      </c>
      <c r="C1002" s="196" t="n"/>
      <c r="D1002" s="196" t="n"/>
      <c r="E1002" s="196" t="n">
        <v>1</v>
      </c>
      <c r="F1002" s="196" t="n"/>
      <c r="G1002" s="196" t="n">
        <v>1</v>
      </c>
      <c r="H1002" s="51" t="n"/>
    </row>
    <row r="1003" ht="18" customHeight="1">
      <c r="A1003" s="45" t="inlineStr">
        <is>
          <t>Контролер (золото-приемной кассы)</t>
        </is>
      </c>
      <c r="B1003" s="195" t="n">
        <v>1</v>
      </c>
      <c r="C1003" s="196" t="n"/>
      <c r="D1003" s="196" t="n"/>
      <c r="E1003" s="196" t="n">
        <v>1</v>
      </c>
      <c r="F1003" s="196" t="n"/>
      <c r="G1003" s="196" t="n">
        <v>1</v>
      </c>
      <c r="H1003" s="51" t="n"/>
    </row>
    <row r="1004" ht="18" customHeight="1">
      <c r="A1004" s="45" t="inlineStr">
        <is>
          <t>Контролер продукции обогащения</t>
        </is>
      </c>
      <c r="B1004" s="195" t="n">
        <v>6</v>
      </c>
      <c r="C1004" s="196" t="n"/>
      <c r="D1004" s="196" t="n"/>
      <c r="E1004" s="196" t="n">
        <v>1</v>
      </c>
      <c r="F1004" s="196" t="n"/>
      <c r="G1004" s="196" t="n">
        <v>1</v>
      </c>
      <c r="H1004" s="51" t="n"/>
    </row>
    <row r="1005" ht="18" customHeight="1">
      <c r="A1005" s="45" t="inlineStr">
        <is>
          <t>Крепильщик</t>
        </is>
      </c>
      <c r="B1005" s="195" t="n">
        <v>14</v>
      </c>
      <c r="C1005" s="196" t="n"/>
      <c r="D1005" s="196" t="n"/>
      <c r="E1005" s="196" t="n">
        <v>1</v>
      </c>
      <c r="F1005" s="196" t="n"/>
      <c r="G1005" s="196" t="n">
        <v>1</v>
      </c>
      <c r="H1005" s="51" t="n"/>
    </row>
    <row r="1006" ht="18" customHeight="1">
      <c r="A1006" s="45" t="inlineStr">
        <is>
          <t>Лаборант химического анализа</t>
        </is>
      </c>
      <c r="B1006" s="195" t="n">
        <v>7</v>
      </c>
      <c r="C1006" s="196" t="n"/>
      <c r="D1006" s="196" t="n"/>
      <c r="E1006" s="196" t="n">
        <v>1</v>
      </c>
      <c r="F1006" s="196" t="n"/>
      <c r="G1006" s="196" t="n">
        <v>1</v>
      </c>
      <c r="H1006" s="51" t="n"/>
    </row>
    <row r="1007" ht="18" customHeight="1">
      <c r="A1007" s="45" t="inlineStr">
        <is>
          <t>Машинист автогрейдера</t>
        </is>
      </c>
      <c r="B1007" s="195" t="n">
        <v>3</v>
      </c>
      <c r="C1007" s="196" t="n"/>
      <c r="D1007" s="196" t="n"/>
      <c r="E1007" s="196" t="n">
        <v>1</v>
      </c>
      <c r="F1007" s="196" t="n"/>
      <c r="G1007" s="196" t="n">
        <v>1</v>
      </c>
      <c r="H1007" s="51" t="n"/>
    </row>
    <row r="1008" ht="18" customHeight="1">
      <c r="A1008" s="45" t="inlineStr">
        <is>
          <t>Машинист крана автомобильного (КМУ)</t>
        </is>
      </c>
      <c r="B1008" s="195" t="n">
        <v>3</v>
      </c>
      <c r="C1008" s="196" t="n"/>
      <c r="D1008" s="196" t="n"/>
      <c r="E1008" s="196" t="n">
        <v>1</v>
      </c>
      <c r="F1008" s="196" t="n"/>
      <c r="G1008" s="196" t="n">
        <v>1</v>
      </c>
      <c r="H1008" s="51" t="n"/>
    </row>
    <row r="1009" ht="18" customHeight="1">
      <c r="A1009" s="45" t="inlineStr">
        <is>
          <t>Машинист насосных установок</t>
        </is>
      </c>
      <c r="B1009" s="195" t="n">
        <v>11</v>
      </c>
      <c r="C1009" s="196" t="n"/>
      <c r="D1009" s="196" t="n"/>
      <c r="E1009" s="196" t="n">
        <v>1</v>
      </c>
      <c r="F1009" s="196" t="n"/>
      <c r="G1009" s="196" t="n">
        <v>1</v>
      </c>
      <c r="H1009" s="51" t="n"/>
    </row>
    <row r="1010" ht="18" customHeight="1">
      <c r="A1010" s="45" t="inlineStr">
        <is>
          <t>Машинист погрузочно-доставочной машины (ТГМ)</t>
        </is>
      </c>
      <c r="B1010" s="195" t="n">
        <v>3</v>
      </c>
      <c r="C1010" s="196" t="n"/>
      <c r="D1010" s="196" t="n"/>
      <c r="E1010" s="196" t="n">
        <v>1</v>
      </c>
      <c r="F1010" s="196" t="n"/>
      <c r="G1010" s="196" t="n">
        <v>1</v>
      </c>
      <c r="H1010" s="51" t="n"/>
    </row>
    <row r="1011" ht="18" customHeight="1">
      <c r="A1011" s="45" t="inlineStr">
        <is>
          <t>Машинист экскаватора</t>
        </is>
      </c>
      <c r="B1011" s="195" t="n">
        <v>12</v>
      </c>
      <c r="C1011" s="196" t="n"/>
      <c r="D1011" s="196" t="n"/>
      <c r="E1011" s="196" t="n">
        <v>1</v>
      </c>
      <c r="F1011" s="196" t="n"/>
      <c r="G1011" s="196" t="n">
        <v>1</v>
      </c>
      <c r="H1011" s="51" t="n"/>
    </row>
    <row r="1012" ht="18" customHeight="1">
      <c r="A1012" s="45" t="inlineStr">
        <is>
          <t>Начальник по рудному направлению</t>
        </is>
      </c>
      <c r="B1012" s="195" t="n">
        <v>1</v>
      </c>
      <c r="C1012" s="196" t="n"/>
      <c r="D1012" s="196" t="n"/>
      <c r="E1012" s="196" t="n">
        <v>1</v>
      </c>
      <c r="F1012" s="196" t="n"/>
      <c r="G1012" s="196" t="n">
        <v>1</v>
      </c>
      <c r="H1012" s="51" t="n"/>
    </row>
    <row r="1013" ht="18" customHeight="1">
      <c r="A1013" s="45" t="inlineStr">
        <is>
          <t>Начальник смены</t>
        </is>
      </c>
      <c r="B1013" s="195" t="n">
        <v>1</v>
      </c>
      <c r="C1013" s="196" t="n"/>
      <c r="D1013" s="196" t="n"/>
      <c r="E1013" s="196" t="n">
        <v>1</v>
      </c>
      <c r="F1013" s="196" t="n"/>
      <c r="G1013" s="196" t="n">
        <v>1</v>
      </c>
      <c r="H1013" s="51" t="n"/>
    </row>
    <row r="1014" ht="18" customHeight="1">
      <c r="A1014" s="45" t="inlineStr">
        <is>
          <t>Начальник участка</t>
        </is>
      </c>
      <c r="B1014" s="195" t="n">
        <v>1</v>
      </c>
      <c r="C1014" s="196" t="n"/>
      <c r="D1014" s="196" t="n"/>
      <c r="E1014" s="196" t="n">
        <v>1</v>
      </c>
      <c r="F1014" s="196" t="n"/>
      <c r="G1014" s="196" t="n">
        <v>1</v>
      </c>
      <c r="H1014" s="51" t="n"/>
    </row>
    <row r="1015" ht="18" customHeight="1">
      <c r="A1015" s="45" t="inlineStr">
        <is>
          <t>Плавильщик</t>
        </is>
      </c>
      <c r="B1015" s="195" t="n">
        <v>3</v>
      </c>
      <c r="C1015" s="196" t="n"/>
      <c r="D1015" s="196" t="n"/>
      <c r="E1015" s="196" t="n">
        <v>1</v>
      </c>
      <c r="F1015" s="196" t="n"/>
      <c r="G1015" s="196" t="n">
        <v>1</v>
      </c>
      <c r="H1015" s="51" t="n"/>
    </row>
    <row r="1016" ht="18" customHeight="1">
      <c r="A1016" s="45" t="inlineStr">
        <is>
          <t>Повар (кондитер)</t>
        </is>
      </c>
      <c r="B1016" s="195" t="n">
        <v>2</v>
      </c>
      <c r="C1016" s="196" t="n"/>
      <c r="D1016" s="196" t="n"/>
      <c r="E1016" s="196" t="n">
        <v>1</v>
      </c>
      <c r="F1016" s="196" t="n"/>
      <c r="G1016" s="196" t="n">
        <v>1</v>
      </c>
      <c r="H1016" s="51" t="n"/>
    </row>
    <row r="1017" ht="18" customHeight="1">
      <c r="A1017" s="45" t="inlineStr">
        <is>
          <t>Раздатчик взрывчатых материалов (с исполнением обязанностей аппаратчика по изготовлению взрывчатых материалов)</t>
        </is>
      </c>
      <c r="B1017" s="195" t="n">
        <v>2</v>
      </c>
      <c r="C1017" s="196" t="n"/>
      <c r="D1017" s="196" t="n"/>
      <c r="E1017" s="196" t="n">
        <v>1</v>
      </c>
      <c r="F1017" s="196" t="n"/>
      <c r="G1017" s="196" t="n">
        <v>1</v>
      </c>
      <c r="H1017" s="51" t="n"/>
    </row>
    <row r="1018" ht="18" customHeight="1">
      <c r="A1018" s="45" t="inlineStr">
        <is>
          <t>Руководитель строительства группы объектов</t>
        </is>
      </c>
      <c r="B1018" s="195" t="n">
        <v>1</v>
      </c>
      <c r="C1018" s="196" t="n"/>
      <c r="D1018" s="196" t="n"/>
      <c r="E1018" s="196" t="n">
        <v>1</v>
      </c>
      <c r="F1018" s="196" t="n"/>
      <c r="G1018" s="196" t="n">
        <v>1</v>
      </c>
      <c r="H1018" s="51" t="n"/>
    </row>
    <row r="1019" ht="18" customHeight="1">
      <c r="A1019" s="45" t="inlineStr">
        <is>
          <t>Слесарь-сантехник</t>
        </is>
      </c>
      <c r="B1019" s="195" t="n">
        <v>5</v>
      </c>
      <c r="C1019" s="196" t="n"/>
      <c r="D1019" s="196" t="n"/>
      <c r="E1019" s="196" t="n">
        <v>1</v>
      </c>
      <c r="F1019" s="196" t="n"/>
      <c r="G1019" s="196" t="n">
        <v>1</v>
      </c>
      <c r="H1019" s="51" t="n"/>
    </row>
    <row r="1020" ht="18" customHeight="1">
      <c r="A1020" s="45" t="inlineStr">
        <is>
          <t>Теплотехник</t>
        </is>
      </c>
      <c r="B1020" s="195" t="n">
        <v>2</v>
      </c>
      <c r="C1020" s="196" t="n">
        <v>1</v>
      </c>
      <c r="D1020" s="196" t="n"/>
      <c r="E1020" s="196" t="n"/>
      <c r="F1020" s="196" t="n"/>
      <c r="G1020" s="196" t="n">
        <v>1</v>
      </c>
      <c r="H1020" s="51" t="n"/>
    </row>
    <row r="1021" ht="18" customHeight="1">
      <c r="A1021" s="45" t="inlineStr">
        <is>
          <t>Токарь (с исполнением обязанностей фрезеровщика)</t>
        </is>
      </c>
      <c r="B1021" s="195" t="n">
        <v>1</v>
      </c>
      <c r="C1021" s="196" t="n"/>
      <c r="D1021" s="196" t="n"/>
      <c r="E1021" s="196" t="n">
        <v>1</v>
      </c>
      <c r="F1021" s="196" t="n"/>
      <c r="G1021" s="196" t="n">
        <v>1</v>
      </c>
      <c r="H1021" s="51" t="n"/>
    </row>
    <row r="1022" ht="18" customHeight="1">
      <c r="A1022" s="45" t="inlineStr">
        <is>
          <t>Токарь( с исполнением обязаности фрейзеровщика)</t>
        </is>
      </c>
      <c r="B1022" s="195" t="n">
        <v>1</v>
      </c>
      <c r="C1022" s="196" t="n"/>
      <c r="D1022" s="196" t="n"/>
      <c r="E1022" s="196" t="n">
        <v>1</v>
      </c>
      <c r="F1022" s="196" t="n"/>
      <c r="G1022" s="196" t="n">
        <v>1</v>
      </c>
      <c r="H1022" s="51" t="n"/>
    </row>
    <row r="1023" ht="18" customHeight="1">
      <c r="A1023" s="45" t="inlineStr">
        <is>
          <t>Электрослесарь (слесарь) дежурный и по ремонту оборудования</t>
        </is>
      </c>
      <c r="B1023" s="195" t="n">
        <v>5</v>
      </c>
      <c r="C1023" s="196" t="n"/>
      <c r="D1023" s="196" t="n"/>
      <c r="E1023" s="196" t="n">
        <v>1</v>
      </c>
      <c r="F1023" s="196" t="n"/>
      <c r="G1023" s="196" t="n">
        <v>1</v>
      </c>
      <c r="H1023" s="51" t="n"/>
    </row>
    <row r="1024" ht="22" customHeight="1">
      <c r="A1024" s="173" t="inlineStr">
        <is>
          <t>Итого</t>
        </is>
      </c>
      <c r="B1024" s="197" t="n"/>
      <c r="C1024" s="198">
        <f>SUM(C939:C1023)</f>
        <v/>
      </c>
      <c r="D1024" s="198">
        <f>SUM(D939:D1023)</f>
        <v/>
      </c>
      <c r="E1024" s="198">
        <f>SUM(E939:E1023)</f>
        <v/>
      </c>
      <c r="F1024" s="198">
        <f>SUM(F939:F1023)</f>
        <v/>
      </c>
      <c r="G1024" s="198">
        <f>SUM(G939:G1023)</f>
        <v/>
      </c>
      <c r="H1024" s="51" t="n"/>
    </row>
    <row r="1025" ht="18" customHeight="1">
      <c r="A1025" s="154" t="n"/>
      <c r="B1025" s="154" t="n"/>
      <c r="C1025" s="154" t="n"/>
      <c r="D1025" s="154" t="n"/>
      <c r="E1025" s="154" t="n"/>
      <c r="F1025" s="154" t="n"/>
      <c r="G1025" s="154" t="n"/>
      <c r="H1025" s="51" t="n"/>
    </row>
    <row r="1026" ht="24" customHeight="1">
      <c r="A1026" s="145" t="inlineStr">
        <is>
          <t>Избыток обучения в связи с некорректным назначением</t>
        </is>
      </c>
      <c r="H1026" s="51" t="n"/>
    </row>
    <row r="1027" ht="84" customHeight="1">
      <c r="A1027" s="146" t="inlineStr">
        <is>
          <t>В таблице только избыток. Столбцы названы программами. 46а: программа назначена специалисту, которому по пункту 53 подпункта «в» постановления 2464 она не требуется. Первая помощь: программу прошёл специалист, которому пункт 33 её не устанавливает. Главный технолог и главный энергетик в таблицу не включены: они могут быть руководителями, членами комиссии или лицами, проводящими инструктаж, и первая помощь им нужна. СИЗ: обучение есть у работника, который в шахту не спускается и у которого нет работ на высоте и в ОЗП. Это кухня, водитель категории Д, горничная, продавец, делопроизводитель и оператор стиральных машин. Шахтным и фабричным профессиям противогаз может понадобиться, их СИЗ избытком не считается.</t>
        </is>
      </c>
      <c r="H1027" s="51" t="n"/>
    </row>
    <row r="1028" ht="30" customHeight="1">
      <c r="A1028" s="194" t="inlineStr">
        <is>
          <t>Профессия</t>
        </is>
      </c>
      <c r="B1028" s="194" t="inlineStr">
        <is>
          <t>Работников</t>
        </is>
      </c>
      <c r="C1028" s="194" t="inlineStr">
        <is>
          <t>46а</t>
        </is>
      </c>
      <c r="D1028" s="194" t="inlineStr">
        <is>
          <t>46б</t>
        </is>
      </c>
      <c r="E1028" s="194" t="inlineStr">
        <is>
          <t>Первая помощь</t>
        </is>
      </c>
      <c r="F1028" s="194" t="inlineStr">
        <is>
          <t>СИЗ</t>
        </is>
      </c>
      <c r="G1028" s="194" t="inlineStr">
        <is>
          <t>Итого</t>
        </is>
      </c>
      <c r="H1028" s="51" t="n"/>
    </row>
    <row r="1029" ht="18" customHeight="1">
      <c r="A1029" s="45" t="inlineStr">
        <is>
          <t>Повар</t>
        </is>
      </c>
      <c r="B1029" s="195" t="n">
        <v>31</v>
      </c>
      <c r="C1029" s="196" t="n"/>
      <c r="D1029" s="196" t="n"/>
      <c r="E1029" s="196" t="n"/>
      <c r="F1029" s="196" t="n">
        <v>31</v>
      </c>
      <c r="G1029" s="196" t="n">
        <v>31</v>
      </c>
      <c r="H1029" s="51" t="n"/>
    </row>
    <row r="1030" ht="18" customHeight="1">
      <c r="A1030" s="45" t="inlineStr">
        <is>
          <t>Кухонный рабочий</t>
        </is>
      </c>
      <c r="B1030" s="195" t="n">
        <v>26</v>
      </c>
      <c r="C1030" s="196" t="n"/>
      <c r="D1030" s="196" t="n"/>
      <c r="E1030" s="196" t="n"/>
      <c r="F1030" s="196" t="n">
        <v>23</v>
      </c>
      <c r="G1030" s="196" t="n">
        <v>23</v>
      </c>
      <c r="H1030" s="51" t="n"/>
    </row>
    <row r="1031" ht="18" customHeight="1">
      <c r="A1031" s="45" t="inlineStr">
        <is>
          <t>Водитель автомобиля (категория Д)</t>
        </is>
      </c>
      <c r="B1031" s="195" t="n">
        <v>19</v>
      </c>
      <c r="C1031" s="196" t="n"/>
      <c r="D1031" s="196" t="n"/>
      <c r="E1031" s="196" t="n"/>
      <c r="F1031" s="196" t="n">
        <v>19</v>
      </c>
      <c r="G1031" s="196" t="n">
        <v>19</v>
      </c>
      <c r="H1031" s="51" t="n"/>
    </row>
    <row r="1032" ht="18" customHeight="1">
      <c r="A1032" s="45" t="inlineStr">
        <is>
          <t>Горный диспетчер</t>
        </is>
      </c>
      <c r="B1032" s="195" t="n">
        <v>6</v>
      </c>
      <c r="C1032" s="196" t="n">
        <v>1</v>
      </c>
      <c r="D1032" s="196" t="n"/>
      <c r="E1032" s="196" t="n">
        <v>4</v>
      </c>
      <c r="F1032" s="196" t="n"/>
      <c r="G1032" s="196" t="n">
        <v>5</v>
      </c>
      <c r="H1032" s="51" t="n"/>
    </row>
    <row r="1033" ht="18" customHeight="1">
      <c r="A1033" s="45" t="inlineStr">
        <is>
          <t>Делопроизводитель</t>
        </is>
      </c>
      <c r="B1033" s="195" t="n">
        <v>1</v>
      </c>
      <c r="C1033" s="196" t="n">
        <v>1</v>
      </c>
      <c r="D1033" s="196" t="n"/>
      <c r="E1033" s="196" t="n">
        <v>1</v>
      </c>
      <c r="F1033" s="196" t="n">
        <v>1</v>
      </c>
      <c r="G1033" s="196" t="n">
        <v>3</v>
      </c>
      <c r="H1033" s="51" t="n"/>
    </row>
    <row r="1034" ht="18" customHeight="1">
      <c r="A1034" s="45" t="inlineStr">
        <is>
          <t>Теплотехник</t>
        </is>
      </c>
      <c r="B1034" s="195" t="n">
        <v>2</v>
      </c>
      <c r="C1034" s="196" t="n">
        <v>1</v>
      </c>
      <c r="D1034" s="196" t="n"/>
      <c r="E1034" s="196" t="n">
        <v>2</v>
      </c>
      <c r="F1034" s="196" t="n"/>
      <c r="G1034" s="196" t="n">
        <v>3</v>
      </c>
      <c r="H1034" s="51" t="n"/>
    </row>
    <row r="1035" ht="18" customHeight="1">
      <c r="A1035" s="45" t="inlineStr">
        <is>
          <t>Ведущий инженер ППР</t>
        </is>
      </c>
      <c r="B1035" s="195" t="n">
        <v>1</v>
      </c>
      <c r="C1035" s="196" t="n">
        <v>1</v>
      </c>
      <c r="D1035" s="196" t="n"/>
      <c r="E1035" s="196" t="n">
        <v>1</v>
      </c>
      <c r="F1035" s="196" t="n"/>
      <c r="G1035" s="196" t="n">
        <v>2</v>
      </c>
      <c r="H1035" s="51" t="n"/>
    </row>
    <row r="1036" ht="18" customHeight="1">
      <c r="A1036" s="45" t="inlineStr">
        <is>
          <t>Геолог</t>
        </is>
      </c>
      <c r="B1036" s="195" t="n">
        <v>2</v>
      </c>
      <c r="C1036" s="196" t="n"/>
      <c r="D1036" s="196" t="n"/>
      <c r="E1036" s="196" t="n">
        <v>2</v>
      </c>
      <c r="F1036" s="196" t="n"/>
      <c r="G1036" s="196" t="n">
        <v>2</v>
      </c>
      <c r="H1036" s="51" t="n"/>
    </row>
    <row r="1037" ht="18" customHeight="1">
      <c r="A1037" s="45" t="inlineStr">
        <is>
          <t>Горничная</t>
        </is>
      </c>
      <c r="B1037" s="195" t="n">
        <v>2</v>
      </c>
      <c r="C1037" s="196" t="n"/>
      <c r="D1037" s="196" t="n"/>
      <c r="E1037" s="196" t="n"/>
      <c r="F1037" s="196" t="n">
        <v>2</v>
      </c>
      <c r="G1037" s="196" t="n">
        <v>2</v>
      </c>
      <c r="H1037" s="51" t="n"/>
    </row>
    <row r="1038" ht="18" customHeight="1">
      <c r="A1038" s="45" t="inlineStr">
        <is>
          <t>Инженер химического анализа</t>
        </is>
      </c>
      <c r="B1038" s="195" t="n">
        <v>2</v>
      </c>
      <c r="C1038" s="196" t="n"/>
      <c r="D1038" s="196" t="n"/>
      <c r="E1038" s="196" t="n">
        <v>2</v>
      </c>
      <c r="F1038" s="196" t="n"/>
      <c r="G1038" s="196" t="n">
        <v>2</v>
      </c>
      <c r="H1038" s="51" t="n"/>
    </row>
    <row r="1039" ht="18" customHeight="1">
      <c r="A1039" s="45" t="inlineStr">
        <is>
          <t>Механик</t>
        </is>
      </c>
      <c r="B1039" s="195" t="n">
        <v>4</v>
      </c>
      <c r="C1039" s="196" t="n"/>
      <c r="D1039" s="196" t="n"/>
      <c r="E1039" s="196" t="n">
        <v>2</v>
      </c>
      <c r="F1039" s="196" t="n"/>
      <c r="G1039" s="196" t="n">
        <v>2</v>
      </c>
      <c r="H1039" s="51" t="n"/>
    </row>
    <row r="1040" ht="18" customHeight="1">
      <c r="A1040" s="45" t="inlineStr">
        <is>
          <t>Механик по ремонту самоходного транспорта</t>
        </is>
      </c>
      <c r="B1040" s="195" t="n">
        <v>1</v>
      </c>
      <c r="C1040" s="196" t="n">
        <v>1</v>
      </c>
      <c r="D1040" s="196" t="n"/>
      <c r="E1040" s="196" t="n">
        <v>1</v>
      </c>
      <c r="F1040" s="196" t="n"/>
      <c r="G1040" s="196" t="n">
        <v>2</v>
      </c>
      <c r="H1040" s="51" t="n"/>
    </row>
    <row r="1041" ht="18" customHeight="1">
      <c r="A1041" s="45" t="inlineStr">
        <is>
          <t>Повар (кондитер)</t>
        </is>
      </c>
      <c r="B1041" s="195" t="n">
        <v>2</v>
      </c>
      <c r="C1041" s="196" t="n"/>
      <c r="D1041" s="196" t="n"/>
      <c r="E1041" s="196" t="n"/>
      <c r="F1041" s="196" t="n">
        <v>2</v>
      </c>
      <c r="G1041" s="196" t="n">
        <v>2</v>
      </c>
      <c r="H1041" s="51" t="n"/>
    </row>
    <row r="1042" ht="18" customHeight="1">
      <c r="A1042" s="45" t="inlineStr">
        <is>
          <t>Старший геолог</t>
        </is>
      </c>
      <c r="B1042" s="195" t="n">
        <v>1</v>
      </c>
      <c r="C1042" s="196" t="n">
        <v>1</v>
      </c>
      <c r="D1042" s="196" t="n"/>
      <c r="E1042" s="196" t="n">
        <v>1</v>
      </c>
      <c r="F1042" s="196" t="n"/>
      <c r="G1042" s="196" t="n">
        <v>2</v>
      </c>
      <c r="H1042" s="51" t="n"/>
    </row>
    <row r="1043" ht="18" customHeight="1">
      <c r="A1043" s="45" t="inlineStr">
        <is>
          <t>Электромеханик подземного горного участка</t>
        </is>
      </c>
      <c r="B1043" s="195" t="n">
        <v>1</v>
      </c>
      <c r="C1043" s="196" t="n">
        <v>1</v>
      </c>
      <c r="D1043" s="196" t="n"/>
      <c r="E1043" s="196" t="n">
        <v>1</v>
      </c>
      <c r="F1043" s="196" t="n"/>
      <c r="G1043" s="196" t="n">
        <v>2</v>
      </c>
      <c r="H1043" s="51" t="n"/>
    </row>
    <row r="1044" ht="18" customHeight="1">
      <c r="A1044" s="45" t="inlineStr">
        <is>
          <t>Геолог по рудоконтролю</t>
        </is>
      </c>
      <c r="B1044" s="195" t="n">
        <v>1</v>
      </c>
      <c r="C1044" s="196" t="n"/>
      <c r="D1044" s="196" t="n"/>
      <c r="E1044" s="196" t="n">
        <v>1</v>
      </c>
      <c r="F1044" s="196" t="n"/>
      <c r="G1044" s="196" t="n">
        <v>1</v>
      </c>
      <c r="H1044" s="51" t="n"/>
    </row>
    <row r="1045" ht="18" customHeight="1">
      <c r="A1045" s="45" t="inlineStr">
        <is>
          <t>Инженер по планированию</t>
        </is>
      </c>
      <c r="B1045" s="195" t="n">
        <v>1</v>
      </c>
      <c r="C1045" s="196" t="n"/>
      <c r="D1045" s="196" t="n"/>
      <c r="E1045" s="196" t="n">
        <v>1</v>
      </c>
      <c r="F1045" s="196" t="n"/>
      <c r="G1045" s="196" t="n">
        <v>1</v>
      </c>
      <c r="H1045" s="51" t="n"/>
    </row>
    <row r="1046" ht="18" customHeight="1">
      <c r="A1046" s="45" t="inlineStr">
        <is>
          <t>Инженер пробирного анализа</t>
        </is>
      </c>
      <c r="B1046" s="195" t="n">
        <v>1</v>
      </c>
      <c r="C1046" s="196" t="n"/>
      <c r="D1046" s="196" t="n"/>
      <c r="E1046" s="196" t="n">
        <v>1</v>
      </c>
      <c r="F1046" s="196" t="n"/>
      <c r="G1046" s="196" t="n">
        <v>1</v>
      </c>
      <c r="H1046" s="51" t="n"/>
    </row>
    <row r="1047" ht="18" customHeight="1">
      <c r="A1047" s="45" t="inlineStr">
        <is>
          <t>Инженер-исследователь</t>
        </is>
      </c>
      <c r="B1047" s="195" t="n">
        <v>2</v>
      </c>
      <c r="C1047" s="196" t="n"/>
      <c r="D1047" s="196" t="n"/>
      <c r="E1047" s="196" t="n">
        <v>1</v>
      </c>
      <c r="F1047" s="196" t="n"/>
      <c r="G1047" s="196" t="n">
        <v>1</v>
      </c>
      <c r="H1047" s="51" t="n"/>
    </row>
    <row r="1048" ht="18" customHeight="1">
      <c r="A1048" s="45" t="inlineStr">
        <is>
          <t>Механик холодильных установок</t>
        </is>
      </c>
      <c r="B1048" s="195" t="n">
        <v>3</v>
      </c>
      <c r="C1048" s="196" t="n"/>
      <c r="D1048" s="196" t="n"/>
      <c r="E1048" s="196" t="n">
        <v>1</v>
      </c>
      <c r="F1048" s="196" t="n"/>
      <c r="G1048" s="196" t="n">
        <v>1</v>
      </c>
      <c r="H1048" s="51" t="n"/>
    </row>
    <row r="1049" ht="18" customHeight="1">
      <c r="A1049" s="45" t="inlineStr">
        <is>
          <t>Оператор стиральных машин (с исполнением обязанностей рабочего по ремонту спецодежды)</t>
        </is>
      </c>
      <c r="B1049" s="195" t="n">
        <v>1</v>
      </c>
      <c r="C1049" s="196" t="n"/>
      <c r="D1049" s="196" t="n"/>
      <c r="E1049" s="196" t="n"/>
      <c r="F1049" s="196" t="n">
        <v>1</v>
      </c>
      <c r="G1049" s="196" t="n">
        <v>1</v>
      </c>
      <c r="H1049" s="51" t="n"/>
    </row>
    <row r="1050" ht="18" customHeight="1">
      <c r="A1050" s="45" t="inlineStr">
        <is>
          <t>Продавец</t>
        </is>
      </c>
      <c r="B1050" s="195" t="n">
        <v>1</v>
      </c>
      <c r="C1050" s="196" t="n"/>
      <c r="D1050" s="196" t="n"/>
      <c r="E1050" s="196" t="n"/>
      <c r="F1050" s="196" t="n">
        <v>1</v>
      </c>
      <c r="G1050" s="196" t="n">
        <v>1</v>
      </c>
      <c r="H1050" s="51" t="n"/>
    </row>
    <row r="1051" ht="18" customHeight="1">
      <c r="A1051" s="45" t="inlineStr">
        <is>
          <t>Электромеханик</t>
        </is>
      </c>
      <c r="B1051" s="195" t="n">
        <v>1</v>
      </c>
      <c r="C1051" s="196" t="n"/>
      <c r="D1051" s="196" t="n"/>
      <c r="E1051" s="196" t="n">
        <v>1</v>
      </c>
      <c r="F1051" s="196" t="n"/>
      <c r="G1051" s="196" t="n">
        <v>1</v>
      </c>
      <c r="H1051" s="51" t="n"/>
    </row>
    <row r="1052" ht="22" customHeight="1">
      <c r="A1052" s="173" t="inlineStr">
        <is>
          <t>Итого</t>
        </is>
      </c>
      <c r="B1052" s="197" t="n"/>
      <c r="C1052" s="198">
        <f>SUM(C1029:C1051)</f>
        <v/>
      </c>
      <c r="D1052" s="198">
        <f>SUM(D1029:D1051)</f>
        <v/>
      </c>
      <c r="E1052" s="198">
        <f>SUM(E1029:E1051)</f>
        <v/>
      </c>
      <c r="F1052" s="198">
        <f>SUM(F1029:F1051)</f>
        <v/>
      </c>
      <c r="G1052" s="198">
        <f>SUM(G1029:G1051)</f>
        <v/>
      </c>
      <c r="H1052" s="51" t="n"/>
    </row>
    <row r="1053" ht="18" customHeight="1">
      <c r="A1053" s="154" t="n"/>
      <c r="B1053" s="154" t="n"/>
      <c r="C1053" s="154" t="n"/>
      <c r="D1053" s="154" t="n"/>
      <c r="E1053" s="154" t="n"/>
      <c r="F1053" s="154" t="n"/>
      <c r="G1053" s="154" t="n"/>
      <c r="H1053" s="51" t="n"/>
    </row>
    <row r="1054" ht="18" customHeight="1">
      <c r="A1054" s="154" t="n"/>
      <c r="B1054" s="154" t="n"/>
      <c r="C1054" s="154" t="n"/>
      <c r="D1054" s="154" t="n"/>
      <c r="E1054" s="154" t="n"/>
      <c r="F1054" s="154" t="n"/>
      <c r="G1054" s="154" t="n"/>
      <c r="H1054" s="51" t="n"/>
    </row>
    <row r="1055" ht="18" customHeight="1">
      <c r="A1055" s="154" t="n"/>
      <c r="B1055" s="154" t="n"/>
      <c r="C1055" s="154" t="n"/>
      <c r="D1055" s="154" t="n"/>
      <c r="E1055" s="154" t="n"/>
      <c r="F1055" s="154" t="n"/>
      <c r="G1055" s="154" t="n"/>
      <c r="H1055" s="51" t="n"/>
    </row>
    <row r="1056" ht="18" customHeight="1">
      <c r="A1056" s="154" t="n"/>
      <c r="B1056" s="154" t="n"/>
      <c r="C1056" s="154" t="n"/>
      <c r="D1056" s="154" t="n"/>
      <c r="E1056" s="154" t="n"/>
      <c r="F1056" s="154" t="n"/>
      <c r="G1056" s="154" t="n"/>
      <c r="H1056" s="51" t="n"/>
    </row>
    <row r="1057" ht="18" customHeight="1">
      <c r="A1057" s="154" t="n"/>
      <c r="B1057" s="154" t="n"/>
      <c r="C1057" s="154" t="n"/>
      <c r="D1057" s="154" t="n"/>
      <c r="E1057" s="154" t="n"/>
      <c r="F1057" s="154" t="n"/>
      <c r="G1057" s="154" t="n"/>
      <c r="H1057" s="51" t="n"/>
    </row>
    <row r="1058" ht="18" customHeight="1">
      <c r="A1058" s="154" t="n"/>
      <c r="B1058" s="154" t="n"/>
      <c r="C1058" s="154" t="n"/>
      <c r="D1058" s="154" t="n"/>
      <c r="E1058" s="154" t="n"/>
      <c r="F1058" s="154" t="n"/>
      <c r="G1058" s="154" t="n"/>
      <c r="H1058" s="51" t="n"/>
    </row>
    <row r="1059" ht="18" customHeight="1">
      <c r="A1059" s="154" t="n"/>
      <c r="B1059" s="154" t="n"/>
      <c r="C1059" s="154" t="n"/>
      <c r="D1059" s="154" t="n"/>
      <c r="E1059" s="154" t="n"/>
      <c r="F1059" s="154" t="n"/>
      <c r="G1059" s="154" t="n"/>
      <c r="H1059" s="51" t="n"/>
    </row>
    <row r="1060" ht="18" customHeight="1">
      <c r="A1060" s="154" t="n"/>
      <c r="B1060" s="154" t="n"/>
      <c r="C1060" s="154" t="n"/>
      <c r="D1060" s="154" t="n"/>
      <c r="E1060" s="154" t="n"/>
      <c r="F1060" s="154" t="n"/>
      <c r="G1060" s="154" t="n"/>
      <c r="H1060" s="51" t="n"/>
    </row>
    <row r="1061" ht="18" customHeight="1">
      <c r="A1061" s="154" t="n"/>
      <c r="B1061" s="154" t="n"/>
      <c r="C1061" s="154" t="n"/>
      <c r="D1061" s="154" t="n"/>
      <c r="E1061" s="154" t="n"/>
      <c r="F1061" s="154" t="n"/>
      <c r="G1061" s="154" t="n"/>
      <c r="H1061" s="51" t="n"/>
    </row>
    <row r="1062" ht="18" customHeight="1">
      <c r="A1062" s="154" t="n"/>
      <c r="B1062" s="154" t="n"/>
      <c r="C1062" s="154" t="n"/>
      <c r="D1062" s="154" t="n"/>
      <c r="E1062" s="154" t="n"/>
      <c r="F1062" s="154" t="n"/>
      <c r="G1062" s="154" t="n"/>
      <c r="H1062" s="51" t="n"/>
    </row>
    <row r="1063" ht="18" customHeight="1">
      <c r="A1063" s="154" t="n"/>
      <c r="B1063" s="154" t="n"/>
      <c r="C1063" s="154" t="n"/>
      <c r="D1063" s="154" t="n"/>
      <c r="E1063" s="154" t="n"/>
      <c r="F1063" s="154" t="n"/>
      <c r="G1063" s="154" t="n"/>
      <c r="H1063" s="51" t="n"/>
    </row>
    <row r="1064" ht="18" customHeight="1">
      <c r="A1064" s="154" t="n"/>
      <c r="B1064" s="154" t="n"/>
      <c r="C1064" s="154" t="n"/>
      <c r="D1064" s="154" t="n"/>
      <c r="E1064" s="154" t="n"/>
      <c r="F1064" s="154" t="n"/>
      <c r="G1064" s="154" t="n"/>
      <c r="H1064" s="51" t="n"/>
    </row>
    <row r="1065" ht="18" customHeight="1">
      <c r="A1065" s="154" t="n"/>
      <c r="B1065" s="154" t="n"/>
      <c r="C1065" s="154" t="n"/>
      <c r="D1065" s="154" t="n"/>
      <c r="E1065" s="154" t="n"/>
      <c r="F1065" s="154" t="n"/>
      <c r="G1065" s="154" t="n"/>
      <c r="H1065" s="51" t="n"/>
    </row>
    <row r="1066" ht="18" customHeight="1">
      <c r="A1066" s="154" t="n"/>
      <c r="B1066" s="154" t="n"/>
      <c r="C1066" s="154" t="n"/>
      <c r="D1066" s="154" t="n"/>
      <c r="E1066" s="154" t="n"/>
      <c r="F1066" s="154" t="n"/>
      <c r="G1066" s="154" t="n"/>
      <c r="H1066" s="51" t="n"/>
    </row>
    <row r="1067" ht="18" customHeight="1">
      <c r="A1067" s="154" t="n"/>
      <c r="B1067" s="154" t="n"/>
      <c r="C1067" s="154" t="n"/>
      <c r="D1067" s="154" t="n"/>
      <c r="E1067" s="154" t="n"/>
      <c r="F1067" s="154" t="n"/>
      <c r="G1067" s="154" t="n"/>
      <c r="H1067" s="51" t="n"/>
    </row>
    <row r="1068" ht="18" customHeight="1">
      <c r="A1068" s="154" t="n"/>
      <c r="B1068" s="154" t="n"/>
      <c r="C1068" s="154" t="n"/>
      <c r="D1068" s="154" t="n"/>
      <c r="E1068" s="154" t="n"/>
      <c r="F1068" s="154" t="n"/>
      <c r="G1068" s="154" t="n"/>
      <c r="H1068" s="51" t="n"/>
    </row>
    <row r="1069" ht="18" customHeight="1">
      <c r="A1069" s="154" t="n"/>
      <c r="B1069" s="154" t="n"/>
      <c r="C1069" s="154" t="n"/>
      <c r="D1069" s="154" t="n"/>
      <c r="E1069" s="154" t="n"/>
      <c r="F1069" s="154" t="n"/>
      <c r="G1069" s="154" t="n"/>
      <c r="H1069" s="51" t="n"/>
    </row>
    <row r="1070" ht="18" customHeight="1">
      <c r="A1070" s="154" t="n"/>
      <c r="B1070" s="154" t="n"/>
      <c r="C1070" s="154" t="n"/>
      <c r="D1070" s="154" t="n"/>
      <c r="E1070" s="154" t="n"/>
      <c r="F1070" s="154" t="n"/>
      <c r="G1070" s="154" t="n"/>
      <c r="H1070" s="51" t="n"/>
    </row>
    <row r="1071" ht="18" customHeight="1">
      <c r="A1071" s="154" t="n"/>
      <c r="B1071" s="154" t="n"/>
      <c r="C1071" s="154" t="n"/>
      <c r="D1071" s="154" t="n"/>
      <c r="E1071" s="154" t="n"/>
      <c r="F1071" s="154" t="n"/>
      <c r="G1071" s="154" t="n"/>
      <c r="H1071" s="51" t="n"/>
    </row>
    <row r="1072" ht="18" customHeight="1">
      <c r="A1072" s="154" t="n"/>
      <c r="B1072" s="154" t="n"/>
      <c r="C1072" s="154" t="n"/>
      <c r="D1072" s="154" t="n"/>
      <c r="E1072" s="154" t="n"/>
      <c r="F1072" s="154" t="n"/>
      <c r="G1072" s="154" t="n"/>
      <c r="H1072" s="51" t="n"/>
    </row>
    <row r="1073" ht="18" customHeight="1">
      <c r="A1073" s="154" t="n"/>
      <c r="B1073" s="154" t="n"/>
      <c r="C1073" s="154" t="n"/>
      <c r="D1073" s="154" t="n"/>
      <c r="E1073" s="154" t="n"/>
      <c r="F1073" s="154" t="n"/>
      <c r="G1073" s="154" t="n"/>
      <c r="H1073" s="51" t="n"/>
    </row>
    <row r="1074" ht="18" customHeight="1">
      <c r="A1074" s="154" t="n"/>
      <c r="B1074" s="154" t="n"/>
      <c r="C1074" s="154" t="n"/>
      <c r="D1074" s="154" t="n"/>
      <c r="E1074" s="154" t="n"/>
      <c r="F1074" s="154" t="n"/>
      <c r="G1074" s="154" t="n"/>
      <c r="H1074" s="51" t="n"/>
    </row>
    <row r="1075" ht="18" customHeight="1">
      <c r="A1075" s="154" t="n"/>
      <c r="B1075" s="154" t="n"/>
      <c r="C1075" s="154" t="n"/>
      <c r="D1075" s="154" t="n"/>
      <c r="E1075" s="154" t="n"/>
      <c r="F1075" s="154" t="n"/>
      <c r="G1075" s="154" t="n"/>
      <c r="H1075" s="51" t="n"/>
    </row>
    <row r="1076" ht="18" customHeight="1">
      <c r="A1076" s="154" t="n"/>
      <c r="B1076" s="154" t="n"/>
      <c r="C1076" s="154" t="n"/>
      <c r="D1076" s="154" t="n"/>
      <c r="E1076" s="154" t="n"/>
      <c r="F1076" s="154" t="n"/>
      <c r="G1076" s="154" t="n"/>
      <c r="H1076" s="51" t="n"/>
    </row>
    <row r="1077" ht="18" customHeight="1">
      <c r="A1077" s="154" t="n"/>
      <c r="B1077" s="154" t="n"/>
      <c r="C1077" s="154" t="n"/>
      <c r="D1077" s="154" t="n"/>
      <c r="E1077" s="154" t="n"/>
      <c r="F1077" s="154" t="n"/>
      <c r="G1077" s="154" t="n"/>
      <c r="H1077" s="51" t="n"/>
    </row>
    <row r="1078" ht="18" customHeight="1">
      <c r="A1078" s="154" t="n"/>
      <c r="B1078" s="154" t="n"/>
      <c r="C1078" s="154" t="n"/>
      <c r="D1078" s="154" t="n"/>
      <c r="E1078" s="154" t="n"/>
      <c r="F1078" s="154" t="n"/>
      <c r="G1078" s="154" t="n"/>
      <c r="H1078" s="51" t="n"/>
    </row>
    <row r="1079" ht="18" customHeight="1">
      <c r="A1079" s="154" t="n"/>
      <c r="B1079" s="154" t="n"/>
      <c r="C1079" s="154" t="n"/>
      <c r="D1079" s="154" t="n"/>
      <c r="E1079" s="154" t="n"/>
      <c r="F1079" s="154" t="n"/>
      <c r="G1079" s="154" t="n"/>
      <c r="H1079" s="51" t="n"/>
    </row>
    <row r="1080" ht="18" customHeight="1">
      <c r="A1080" s="154" t="n"/>
      <c r="B1080" s="154" t="n"/>
      <c r="C1080" s="154" t="n"/>
      <c r="D1080" s="154" t="n"/>
      <c r="E1080" s="154" t="n"/>
      <c r="F1080" s="154" t="n"/>
      <c r="G1080" s="154" t="n"/>
      <c r="H1080" s="51" t="n"/>
    </row>
    <row r="1081" ht="18" customHeight="1">
      <c r="A1081" s="154" t="n"/>
      <c r="B1081" s="154" t="n"/>
      <c r="C1081" s="154" t="n"/>
      <c r="D1081" s="154" t="n"/>
      <c r="E1081" s="154" t="n"/>
      <c r="F1081" s="154" t="n"/>
      <c r="G1081" s="154" t="n"/>
      <c r="H1081" s="51" t="n"/>
    </row>
    <row r="1082" ht="18" customHeight="1">
      <c r="A1082" s="154" t="n"/>
      <c r="B1082" s="154" t="n"/>
      <c r="C1082" s="154" t="n"/>
      <c r="D1082" s="154" t="n"/>
      <c r="E1082" s="154" t="n"/>
      <c r="F1082" s="154" t="n"/>
      <c r="G1082" s="154" t="n"/>
      <c r="H1082" s="51" t="n"/>
    </row>
    <row r="1083" ht="18" customHeight="1">
      <c r="A1083" s="154" t="n"/>
      <c r="B1083" s="154" t="n"/>
      <c r="C1083" s="154" t="n"/>
      <c r="D1083" s="154" t="n"/>
      <c r="E1083" s="154" t="n"/>
      <c r="F1083" s="154" t="n"/>
      <c r="G1083" s="154" t="n"/>
      <c r="H1083" s="51" t="n"/>
    </row>
    <row r="1084" ht="18" customHeight="1">
      <c r="A1084" s="154" t="n"/>
      <c r="B1084" s="154" t="n"/>
      <c r="C1084" s="154" t="n"/>
      <c r="D1084" s="154" t="n"/>
      <c r="E1084" s="154" t="n"/>
      <c r="F1084" s="154" t="n"/>
      <c r="G1084" s="154" t="n"/>
      <c r="H1084" s="51" t="n"/>
    </row>
    <row r="1085" ht="18" customHeight="1">
      <c r="A1085" s="154" t="n"/>
      <c r="B1085" s="154" t="n"/>
      <c r="C1085" s="154" t="n"/>
      <c r="D1085" s="154" t="n"/>
      <c r="E1085" s="154" t="n"/>
      <c r="F1085" s="154" t="n"/>
      <c r="G1085" s="154" t="n"/>
      <c r="H1085" s="51" t="n"/>
    </row>
    <row r="1086" ht="18" customHeight="1">
      <c r="A1086" s="154" t="n"/>
      <c r="B1086" s="154" t="n"/>
      <c r="C1086" s="154" t="n"/>
      <c r="D1086" s="154" t="n"/>
      <c r="E1086" s="154" t="n"/>
      <c r="F1086" s="154" t="n"/>
      <c r="G1086" s="154" t="n"/>
      <c r="H1086" s="51" t="n"/>
    </row>
    <row r="1087" ht="18" customHeight="1">
      <c r="A1087" s="154" t="n"/>
      <c r="B1087" s="154" t="n"/>
      <c r="C1087" s="154" t="n"/>
      <c r="D1087" s="154" t="n"/>
      <c r="E1087" s="154" t="n"/>
      <c r="F1087" s="154" t="n"/>
      <c r="G1087" s="154" t="n"/>
      <c r="H1087" s="51" t="n"/>
    </row>
    <row r="1088" ht="18" customHeight="1">
      <c r="A1088" s="154" t="n"/>
      <c r="B1088" s="154" t="n"/>
      <c r="C1088" s="154" t="n"/>
      <c r="D1088" s="154" t="n"/>
      <c r="E1088" s="154" t="n"/>
      <c r="F1088" s="154" t="n"/>
      <c r="G1088" s="154" t="n"/>
      <c r="H1088" s="51" t="n"/>
    </row>
    <row r="1089" ht="18" customHeight="1">
      <c r="A1089" s="154" t="n"/>
      <c r="B1089" s="154" t="n"/>
      <c r="C1089" s="154" t="n"/>
      <c r="D1089" s="154" t="n"/>
      <c r="E1089" s="154" t="n"/>
      <c r="F1089" s="154" t="n"/>
      <c r="G1089" s="154" t="n"/>
      <c r="H1089" s="51" t="n"/>
    </row>
    <row r="1090" ht="18" customHeight="1">
      <c r="A1090" s="154" t="n"/>
      <c r="B1090" s="154" t="n"/>
      <c r="C1090" s="154" t="n"/>
      <c r="D1090" s="154" t="n"/>
      <c r="E1090" s="154" t="n"/>
      <c r="F1090" s="154" t="n"/>
      <c r="G1090" s="154" t="n"/>
      <c r="H1090" s="51" t="n"/>
    </row>
    <row r="1091" ht="18" customHeight="1">
      <c r="A1091" s="154" t="n"/>
      <c r="B1091" s="154" t="n"/>
      <c r="C1091" s="154" t="n"/>
      <c r="D1091" s="154" t="n"/>
      <c r="E1091" s="154" t="n"/>
      <c r="F1091" s="154" t="n"/>
      <c r="G1091" s="154" t="n"/>
      <c r="H1091" s="51" t="n"/>
    </row>
    <row r="1092" ht="18" customHeight="1">
      <c r="A1092" s="154" t="n"/>
      <c r="B1092" s="154" t="n"/>
      <c r="C1092" s="154" t="n"/>
      <c r="D1092" s="154" t="n"/>
      <c r="E1092" s="154" t="n"/>
      <c r="F1092" s="154" t="n"/>
      <c r="G1092" s="154" t="n"/>
      <c r="H1092" s="51" t="n"/>
    </row>
    <row r="1093" ht="18" customHeight="1">
      <c r="A1093" s="154" t="n"/>
      <c r="B1093" s="154" t="n"/>
      <c r="C1093" s="154" t="n"/>
      <c r="D1093" s="154" t="n"/>
      <c r="E1093" s="154" t="n"/>
      <c r="F1093" s="154" t="n"/>
      <c r="G1093" s="154" t="n"/>
      <c r="H1093" s="51" t="n"/>
    </row>
    <row r="1094" ht="18" customHeight="1">
      <c r="A1094" s="154" t="n"/>
      <c r="B1094" s="154" t="n"/>
      <c r="C1094" s="154" t="n"/>
      <c r="D1094" s="154" t="n"/>
      <c r="E1094" s="154" t="n"/>
      <c r="F1094" s="154" t="n"/>
      <c r="G1094" s="154" t="n"/>
      <c r="H1094" s="51" t="n"/>
    </row>
    <row r="1095" ht="18" customHeight="1">
      <c r="A1095" s="154" t="n"/>
      <c r="B1095" s="154" t="n"/>
      <c r="C1095" s="154" t="n"/>
      <c r="D1095" s="154" t="n"/>
      <c r="E1095" s="154" t="n"/>
      <c r="F1095" s="154" t="n"/>
      <c r="G1095" s="154" t="n"/>
      <c r="H1095" s="51" t="n"/>
    </row>
    <row r="1096" ht="18" customHeight="1">
      <c r="A1096" s="154" t="n"/>
      <c r="B1096" s="154" t="n"/>
      <c r="C1096" s="154" t="n"/>
      <c r="D1096" s="154" t="n"/>
      <c r="E1096" s="154" t="n"/>
      <c r="F1096" s="154" t="n"/>
      <c r="G1096" s="154" t="n"/>
      <c r="H1096" s="51" t="n"/>
    </row>
    <row r="1097" ht="18" customHeight="1">
      <c r="A1097" s="154" t="n"/>
      <c r="B1097" s="154" t="n"/>
      <c r="C1097" s="154" t="n"/>
      <c r="D1097" s="154" t="n"/>
      <c r="E1097" s="154" t="n"/>
      <c r="F1097" s="154" t="n"/>
      <c r="G1097" s="154" t="n"/>
      <c r="H1097" s="51" t="n"/>
    </row>
    <row r="1098" ht="18" customHeight="1">
      <c r="A1098" s="154" t="n"/>
      <c r="B1098" s="154" t="n"/>
      <c r="C1098" s="154" t="n"/>
      <c r="D1098" s="154" t="n"/>
      <c r="E1098" s="154" t="n"/>
      <c r="F1098" s="154" t="n"/>
      <c r="G1098" s="154" t="n"/>
      <c r="H1098" s="51" t="n"/>
    </row>
    <row r="1099" ht="18" customHeight="1">
      <c r="A1099" s="154" t="n"/>
      <c r="B1099" s="154" t="n"/>
      <c r="C1099" s="154" t="n"/>
      <c r="D1099" s="154" t="n"/>
      <c r="E1099" s="154" t="n"/>
      <c r="F1099" s="154" t="n"/>
      <c r="G1099" s="154" t="n"/>
      <c r="H1099" s="51" t="n"/>
    </row>
    <row r="1100" ht="18" customHeight="1">
      <c r="A1100" s="51" t="n"/>
      <c r="B1100" s="51" t="n"/>
      <c r="C1100" s="51" t="n"/>
      <c r="D1100" s="51" t="n"/>
      <c r="E1100" s="51" t="n"/>
      <c r="F1100" s="51" t="n"/>
      <c r="G1100" s="51" t="n"/>
      <c r="H1100" s="51" t="n"/>
    </row>
    <row r="1101" ht="18" customHeight="1">
      <c r="A1101" s="51" t="n"/>
      <c r="B1101" s="51" t="n"/>
      <c r="C1101" s="51" t="n"/>
      <c r="D1101" s="51" t="n"/>
      <c r="E1101" s="51" t="n"/>
      <c r="F1101" s="51" t="n"/>
      <c r="G1101" s="51" t="n"/>
      <c r="H1101" s="51" t="n"/>
    </row>
    <row r="1102" ht="18" customHeight="1">
      <c r="A1102" s="51" t="n"/>
      <c r="B1102" s="51" t="n"/>
      <c r="C1102" s="51" t="n"/>
      <c r="D1102" s="51" t="n"/>
      <c r="E1102" s="51" t="n"/>
      <c r="F1102" s="51" t="n"/>
      <c r="G1102" s="51" t="n"/>
      <c r="H1102" s="51" t="n"/>
    </row>
    <row r="1103" ht="18" customHeight="1">
      <c r="A1103" s="51" t="n"/>
      <c r="B1103" s="51" t="n"/>
      <c r="C1103" s="51" t="n"/>
      <c r="D1103" s="51" t="n"/>
      <c r="E1103" s="51" t="n"/>
      <c r="F1103" s="51" t="n"/>
      <c r="G1103" s="51" t="n"/>
      <c r="H1103" s="51" t="n"/>
    </row>
    <row r="1104" ht="18" customHeight="1">
      <c r="A1104" s="51" t="n"/>
      <c r="B1104" s="51" t="n"/>
      <c r="C1104" s="51" t="n"/>
      <c r="D1104" s="51" t="n"/>
      <c r="E1104" s="51" t="n"/>
      <c r="F1104" s="51" t="n"/>
      <c r="G1104" s="51" t="n"/>
      <c r="H1104" s="51" t="n"/>
    </row>
    <row r="1105" ht="18" customHeight="1">
      <c r="A1105" s="51" t="n"/>
      <c r="B1105" s="51" t="n"/>
      <c r="C1105" s="51" t="n"/>
      <c r="D1105" s="51" t="n"/>
      <c r="E1105" s="51" t="n"/>
      <c r="F1105" s="51" t="n"/>
      <c r="G1105" s="51" t="n"/>
      <c r="H1105" s="51" t="n"/>
    </row>
    <row r="1106" ht="18" customHeight="1">
      <c r="A1106" s="51" t="n"/>
      <c r="B1106" s="51" t="n"/>
      <c r="C1106" s="51" t="n"/>
      <c r="D1106" s="51" t="n"/>
      <c r="E1106" s="51" t="n"/>
      <c r="F1106" s="51" t="n"/>
      <c r="G1106" s="51" t="n"/>
      <c r="H1106" s="51" t="n"/>
    </row>
    <row r="1107" ht="18" customHeight="1">
      <c r="A1107" s="51" t="n"/>
      <c r="B1107" s="51" t="n"/>
      <c r="C1107" s="51" t="n"/>
      <c r="D1107" s="51" t="n"/>
      <c r="E1107" s="51" t="n"/>
      <c r="F1107" s="51" t="n"/>
      <c r="G1107" s="51" t="n"/>
      <c r="H1107" s="51" t="n"/>
    </row>
    <row r="1108" ht="18" customHeight="1">
      <c r="A1108" s="51" t="n"/>
      <c r="B1108" s="51" t="n"/>
      <c r="C1108" s="51" t="n"/>
      <c r="D1108" s="51" t="n"/>
      <c r="E1108" s="51" t="n"/>
      <c r="F1108" s="51" t="n"/>
      <c r="G1108" s="51" t="n"/>
      <c r="H1108" s="51" t="n"/>
    </row>
    <row r="1109" ht="18" customHeight="1">
      <c r="A1109" s="51" t="n"/>
      <c r="B1109" s="51" t="n"/>
      <c r="C1109" s="51" t="n"/>
      <c r="D1109" s="51" t="n"/>
      <c r="E1109" s="51" t="n"/>
      <c r="F1109" s="51" t="n"/>
      <c r="G1109" s="51" t="n"/>
      <c r="H1109" s="51" t="n"/>
    </row>
    <row r="1110" ht="18" customHeight="1">
      <c r="A1110" s="51" t="n"/>
      <c r="B1110" s="51" t="n"/>
      <c r="C1110" s="51" t="n"/>
      <c r="D1110" s="51" t="n"/>
      <c r="E1110" s="51" t="n"/>
      <c r="F1110" s="51" t="n"/>
      <c r="G1110" s="51" t="n"/>
      <c r="H1110" s="51" t="n"/>
    </row>
    <row r="1111" ht="18" customHeight="1">
      <c r="A1111" s="51" t="n"/>
      <c r="B1111" s="51" t="n"/>
      <c r="C1111" s="51" t="n"/>
      <c r="D1111" s="51" t="n"/>
      <c r="E1111" s="51" t="n"/>
      <c r="F1111" s="51" t="n"/>
      <c r="G1111" s="51" t="n"/>
      <c r="H1111" s="51" t="n"/>
    </row>
    <row r="1112" ht="18" customHeight="1">
      <c r="A1112" s="51" t="n"/>
      <c r="B1112" s="51" t="n"/>
      <c r="C1112" s="51" t="n"/>
      <c r="D1112" s="51" t="n"/>
      <c r="E1112" s="51" t="n"/>
      <c r="F1112" s="51" t="n"/>
      <c r="G1112" s="51" t="n"/>
      <c r="H1112" s="51" t="n"/>
    </row>
    <row r="1113" ht="18" customHeight="1">
      <c r="A1113" s="51" t="n"/>
      <c r="B1113" s="51" t="n"/>
      <c r="C1113" s="51" t="n"/>
      <c r="D1113" s="51" t="n"/>
      <c r="E1113" s="51" t="n"/>
      <c r="F1113" s="51" t="n"/>
      <c r="G1113" s="51" t="n"/>
      <c r="H1113" s="51" t="n"/>
    </row>
    <row r="1114" ht="18" customHeight="1">
      <c r="A1114" s="51" t="n"/>
      <c r="B1114" s="51" t="n"/>
      <c r="C1114" s="51" t="n"/>
      <c r="D1114" s="51" t="n"/>
      <c r="E1114" s="51" t="n"/>
      <c r="F1114" s="51" t="n"/>
      <c r="G1114" s="51" t="n"/>
      <c r="H1114" s="51" t="n"/>
    </row>
    <row r="1115" ht="18" customHeight="1">
      <c r="A1115" s="51" t="n"/>
      <c r="B1115" s="51" t="n"/>
      <c r="C1115" s="51" t="n"/>
      <c r="D1115" s="51" t="n"/>
      <c r="E1115" s="51" t="n"/>
      <c r="F1115" s="51" t="n"/>
      <c r="G1115" s="51" t="n"/>
      <c r="H1115" s="51" t="n"/>
    </row>
    <row r="1116" ht="18" customHeight="1">
      <c r="A1116" s="51" t="n"/>
      <c r="B1116" s="51" t="n"/>
      <c r="C1116" s="51" t="n"/>
      <c r="D1116" s="51" t="n"/>
      <c r="E1116" s="51" t="n"/>
      <c r="F1116" s="51" t="n"/>
      <c r="G1116" s="51" t="n"/>
      <c r="H1116" s="51" t="n"/>
    </row>
    <row r="1117" ht="18" customHeight="1">
      <c r="A1117" s="51" t="n"/>
      <c r="B1117" s="51" t="n"/>
      <c r="C1117" s="51" t="n"/>
      <c r="D1117" s="51" t="n"/>
      <c r="E1117" s="51" t="n"/>
      <c r="F1117" s="51" t="n"/>
      <c r="G1117" s="51" t="n"/>
      <c r="H1117" s="51" t="n"/>
    </row>
    <row r="1118" ht="18" customHeight="1">
      <c r="A1118" s="51" t="n"/>
      <c r="B1118" s="51" t="n"/>
      <c r="C1118" s="51" t="n"/>
      <c r="D1118" s="51" t="n"/>
      <c r="E1118" s="51" t="n"/>
      <c r="F1118" s="51" t="n"/>
      <c r="G1118" s="51" t="n"/>
      <c r="H1118" s="51" t="n"/>
    </row>
    <row r="1119" ht="18" customHeight="1">
      <c r="A1119" s="51" t="n"/>
      <c r="B1119" s="51" t="n"/>
      <c r="C1119" s="51" t="n"/>
      <c r="D1119" s="51" t="n"/>
      <c r="E1119" s="51" t="n"/>
      <c r="F1119" s="51" t="n"/>
      <c r="G1119" s="51" t="n"/>
      <c r="H1119" s="51" t="n"/>
    </row>
    <row r="1120" ht="18" customHeight="1">
      <c r="A1120" s="51" t="n"/>
      <c r="B1120" s="51" t="n"/>
      <c r="C1120" s="51" t="n"/>
      <c r="D1120" s="51" t="n"/>
      <c r="E1120" s="51" t="n"/>
      <c r="F1120" s="51" t="n"/>
      <c r="G1120" s="51" t="n"/>
      <c r="H1120" s="51" t="n"/>
    </row>
    <row r="1121" ht="18" customHeight="1">
      <c r="A1121" s="51" t="n"/>
      <c r="B1121" s="51" t="n"/>
      <c r="C1121" s="51" t="n"/>
      <c r="D1121" s="51" t="n"/>
      <c r="E1121" s="51" t="n"/>
      <c r="F1121" s="51" t="n"/>
      <c r="G1121" s="51" t="n"/>
      <c r="H1121" s="51" t="n"/>
    </row>
    <row r="1122" ht="18" customHeight="1">
      <c r="A1122" s="51" t="n"/>
      <c r="B1122" s="51" t="n"/>
      <c r="C1122" s="51" t="n"/>
      <c r="D1122" s="51" t="n"/>
      <c r="E1122" s="51" t="n"/>
      <c r="F1122" s="51" t="n"/>
      <c r="G1122" s="51" t="n"/>
      <c r="H1122" s="51" t="n"/>
    </row>
    <row r="1123" ht="18" customHeight="1">
      <c r="A1123" s="51" t="n"/>
      <c r="B1123" s="51" t="n"/>
      <c r="C1123" s="51" t="n"/>
      <c r="D1123" s="51" t="n"/>
      <c r="E1123" s="51" t="n"/>
      <c r="F1123" s="51" t="n"/>
      <c r="G1123" s="51" t="n"/>
      <c r="H1123" s="51" t="n"/>
    </row>
    <row r="1124" ht="18" customHeight="1">
      <c r="A1124" s="51" t="n"/>
      <c r="B1124" s="51" t="n"/>
      <c r="C1124" s="51" t="n"/>
      <c r="D1124" s="51" t="n"/>
      <c r="E1124" s="51" t="n"/>
      <c r="F1124" s="51" t="n"/>
      <c r="G1124" s="51" t="n"/>
      <c r="H1124" s="51" t="n"/>
    </row>
    <row r="1125" ht="18" customHeight="1">
      <c r="A1125" s="51" t="n"/>
      <c r="B1125" s="51" t="n"/>
      <c r="C1125" s="51" t="n"/>
      <c r="D1125" s="51" t="n"/>
      <c r="E1125" s="51" t="n"/>
      <c r="F1125" s="51" t="n"/>
      <c r="G1125" s="51" t="n"/>
      <c r="H1125" s="51" t="n"/>
    </row>
    <row r="1126" ht="18" customHeight="1">
      <c r="A1126" s="51" t="n"/>
      <c r="B1126" s="51" t="n"/>
      <c r="C1126" s="51" t="n"/>
      <c r="D1126" s="51" t="n"/>
      <c r="E1126" s="51" t="n"/>
      <c r="F1126" s="51" t="n"/>
      <c r="G1126" s="51" t="n"/>
      <c r="H1126" s="51" t="n"/>
    </row>
    <row r="1127" ht="18" customHeight="1">
      <c r="A1127" s="51" t="n"/>
      <c r="B1127" s="51" t="n"/>
      <c r="C1127" s="51" t="n"/>
      <c r="D1127" s="51" t="n"/>
      <c r="E1127" s="51" t="n"/>
      <c r="F1127" s="51" t="n"/>
      <c r="G1127" s="51" t="n"/>
      <c r="H1127" s="51" t="n"/>
    </row>
    <row r="1128" ht="18" customHeight="1">
      <c r="A1128" s="51" t="n"/>
      <c r="B1128" s="51" t="n"/>
      <c r="C1128" s="51" t="n"/>
      <c r="D1128" s="51" t="n"/>
      <c r="E1128" s="51" t="n"/>
      <c r="F1128" s="51" t="n"/>
      <c r="G1128" s="51" t="n"/>
      <c r="H1128" s="51" t="n"/>
    </row>
    <row r="1129" ht="18" customHeight="1">
      <c r="A1129" s="51" t="n"/>
      <c r="B1129" s="51" t="n"/>
      <c r="C1129" s="51" t="n"/>
      <c r="D1129" s="51" t="n"/>
      <c r="E1129" s="51" t="n"/>
      <c r="F1129" s="51" t="n"/>
      <c r="G1129" s="51" t="n"/>
      <c r="H1129" s="51" t="n"/>
    </row>
    <row r="1130" ht="18" customHeight="1">
      <c r="A1130" s="51" t="n"/>
      <c r="B1130" s="51" t="n"/>
      <c r="C1130" s="51" t="n"/>
      <c r="D1130" s="51" t="n"/>
      <c r="E1130" s="51" t="n"/>
      <c r="F1130" s="51" t="n"/>
      <c r="G1130" s="51" t="n"/>
      <c r="H1130" s="51" t="n"/>
    </row>
    <row r="1131" ht="18" customHeight="1">
      <c r="A1131" s="51" t="n"/>
      <c r="B1131" s="51" t="n"/>
      <c r="C1131" s="51" t="n"/>
      <c r="D1131" s="51" t="n"/>
      <c r="E1131" s="51" t="n"/>
      <c r="F1131" s="51" t="n"/>
      <c r="G1131" s="51" t="n"/>
      <c r="H1131" s="51" t="n"/>
    </row>
    <row r="1132" ht="18" customHeight="1">
      <c r="A1132" s="51" t="n"/>
      <c r="B1132" s="51" t="n"/>
      <c r="C1132" s="51" t="n"/>
      <c r="D1132" s="51" t="n"/>
      <c r="E1132" s="51" t="n"/>
      <c r="F1132" s="51" t="n"/>
      <c r="G1132" s="51" t="n"/>
      <c r="H1132" s="51" t="n"/>
    </row>
    <row r="1133" ht="18" customHeight="1">
      <c r="A1133" s="51" t="n"/>
      <c r="B1133" s="51" t="n"/>
      <c r="C1133" s="51" t="n"/>
      <c r="D1133" s="51" t="n"/>
      <c r="E1133" s="51" t="n"/>
      <c r="F1133" s="51" t="n"/>
      <c r="G1133" s="51" t="n"/>
      <c r="H1133" s="51" t="n"/>
    </row>
    <row r="1134" ht="18" customHeight="1">
      <c r="A1134" s="51" t="n"/>
      <c r="B1134" s="51" t="n"/>
      <c r="C1134" s="51" t="n"/>
      <c r="D1134" s="51" t="n"/>
      <c r="E1134" s="51" t="n"/>
      <c r="F1134" s="51" t="n"/>
      <c r="G1134" s="51" t="n"/>
      <c r="H1134" s="51" t="n"/>
    </row>
    <row r="1135" ht="18" customHeight="1">
      <c r="A1135" s="51" t="n"/>
      <c r="B1135" s="51" t="n"/>
      <c r="C1135" s="51" t="n"/>
      <c r="D1135" s="51" t="n"/>
      <c r="E1135" s="51" t="n"/>
      <c r="F1135" s="51" t="n"/>
      <c r="G1135" s="51" t="n"/>
      <c r="H1135" s="51" t="n"/>
    </row>
    <row r="1136" ht="18" customHeight="1">
      <c r="A1136" s="51" t="n"/>
      <c r="B1136" s="51" t="n"/>
      <c r="C1136" s="51" t="n"/>
      <c r="D1136" s="51" t="n"/>
      <c r="E1136" s="51" t="n"/>
      <c r="F1136" s="51" t="n"/>
      <c r="G1136" s="51" t="n"/>
      <c r="H1136" s="51" t="n"/>
    </row>
    <row r="1137" ht="18" customHeight="1">
      <c r="A1137" s="51" t="n"/>
      <c r="B1137" s="51" t="n"/>
      <c r="C1137" s="51" t="n"/>
      <c r="D1137" s="51" t="n"/>
      <c r="E1137" s="51" t="n"/>
      <c r="F1137" s="51" t="n"/>
      <c r="G1137" s="51" t="n"/>
      <c r="H1137" s="51" t="n"/>
    </row>
    <row r="1138" ht="18" customHeight="1">
      <c r="A1138" s="51" t="n"/>
      <c r="B1138" s="51" t="n"/>
      <c r="C1138" s="51" t="n"/>
      <c r="D1138" s="51" t="n"/>
      <c r="E1138" s="51" t="n"/>
      <c r="F1138" s="51" t="n"/>
      <c r="G1138" s="51" t="n"/>
      <c r="H1138" s="51" t="n"/>
    </row>
    <row r="1139" ht="18" customHeight="1">
      <c r="A1139" s="51" t="n"/>
      <c r="B1139" s="51" t="n"/>
      <c r="C1139" s="51" t="n"/>
      <c r="D1139" s="51" t="n"/>
      <c r="E1139" s="51" t="n"/>
      <c r="F1139" s="51" t="n"/>
      <c r="G1139" s="51" t="n"/>
      <c r="H1139" s="51" t="n"/>
    </row>
    <row r="1140" ht="18" customHeight="1">
      <c r="A1140" s="51" t="n"/>
      <c r="B1140" s="51" t="n"/>
      <c r="C1140" s="51" t="n"/>
      <c r="D1140" s="51" t="n"/>
      <c r="E1140" s="51" t="n"/>
      <c r="F1140" s="51" t="n"/>
      <c r="G1140" s="51" t="n"/>
      <c r="H1140" s="51" t="n"/>
    </row>
    <row r="1141" ht="18" customHeight="1">
      <c r="A1141" s="51" t="n"/>
      <c r="B1141" s="51" t="n"/>
      <c r="C1141" s="51" t="n"/>
      <c r="D1141" s="51" t="n"/>
      <c r="E1141" s="51" t="n"/>
      <c r="F1141" s="51" t="n"/>
      <c r="G1141" s="51" t="n"/>
      <c r="H1141" s="51" t="n"/>
    </row>
    <row r="1142" ht="18" customHeight="1">
      <c r="A1142" s="51" t="n"/>
      <c r="B1142" s="51" t="n"/>
      <c r="C1142" s="51" t="n"/>
      <c r="D1142" s="51" t="n"/>
      <c r="E1142" s="51" t="n"/>
      <c r="F1142" s="51" t="n"/>
      <c r="G1142" s="51" t="n"/>
      <c r="H1142" s="51" t="n"/>
    </row>
    <row r="1143" ht="18" customHeight="1">
      <c r="A1143" s="51" t="n"/>
      <c r="B1143" s="51" t="n"/>
      <c r="C1143" s="51" t="n"/>
      <c r="D1143" s="51" t="n"/>
      <c r="E1143" s="51" t="n"/>
      <c r="F1143" s="51" t="n"/>
      <c r="G1143" s="51" t="n"/>
      <c r="H1143" s="51" t="n"/>
    </row>
    <row r="1144" ht="18" customHeight="1">
      <c r="A1144" s="51" t="n"/>
      <c r="B1144" s="51" t="n"/>
      <c r="C1144" s="51" t="n"/>
      <c r="D1144" s="51" t="n"/>
      <c r="E1144" s="51" t="n"/>
      <c r="F1144" s="51" t="n"/>
      <c r="G1144" s="51" t="n"/>
      <c r="H1144" s="51" t="n"/>
    </row>
    <row r="1145" ht="18" customHeight="1">
      <c r="A1145" s="51" t="n"/>
      <c r="B1145" s="51" t="n"/>
      <c r="C1145" s="51" t="n"/>
      <c r="D1145" s="51" t="n"/>
      <c r="E1145" s="51" t="n"/>
      <c r="F1145" s="51" t="n"/>
      <c r="G1145" s="51" t="n"/>
      <c r="H1145" s="51" t="n"/>
    </row>
    <row r="1146" ht="18" customHeight="1">
      <c r="A1146" s="51" t="n"/>
      <c r="B1146" s="51" t="n"/>
      <c r="C1146" s="51" t="n"/>
      <c r="D1146" s="51" t="n"/>
      <c r="E1146" s="51" t="n"/>
      <c r="F1146" s="51" t="n"/>
      <c r="G1146" s="51" t="n"/>
      <c r="H1146" s="51" t="n"/>
    </row>
    <row r="1147" ht="18" customHeight="1">
      <c r="A1147" s="51" t="n"/>
      <c r="B1147" s="51" t="n"/>
      <c r="C1147" s="51" t="n"/>
      <c r="D1147" s="51" t="n"/>
      <c r="E1147" s="51" t="n"/>
      <c r="F1147" s="51" t="n"/>
      <c r="G1147" s="51" t="n"/>
      <c r="H1147" s="51" t="n"/>
    </row>
    <row r="1148" ht="18" customHeight="1">
      <c r="A1148" s="51" t="n"/>
      <c r="B1148" s="51" t="n"/>
      <c r="C1148" s="51" t="n"/>
      <c r="D1148" s="51" t="n"/>
      <c r="E1148" s="51" t="n"/>
      <c r="F1148" s="51" t="n"/>
      <c r="G1148" s="51" t="n"/>
      <c r="H1148" s="51" t="n"/>
    </row>
    <row r="1149" ht="18" customHeight="1">
      <c r="A1149" s="51" t="n"/>
      <c r="B1149" s="51" t="n"/>
      <c r="C1149" s="51" t="n"/>
      <c r="D1149" s="51" t="n"/>
      <c r="E1149" s="51" t="n"/>
      <c r="F1149" s="51" t="n"/>
      <c r="G1149" s="51" t="n"/>
      <c r="H1149" s="51" t="n"/>
    </row>
    <row r="1150" ht="18" customHeight="1">
      <c r="A1150" s="51" t="n"/>
      <c r="B1150" s="51" t="n"/>
      <c r="C1150" s="51" t="n"/>
      <c r="D1150" s="51" t="n"/>
      <c r="E1150" s="51" t="n"/>
      <c r="F1150" s="51" t="n"/>
      <c r="G1150" s="51" t="n"/>
      <c r="H1150" s="51" t="n"/>
    </row>
    <row r="1151" ht="18" customHeight="1">
      <c r="A1151" s="51" t="n"/>
      <c r="B1151" s="51" t="n"/>
      <c r="C1151" s="51" t="n"/>
      <c r="D1151" s="51" t="n"/>
      <c r="E1151" s="51" t="n"/>
      <c r="F1151" s="51" t="n"/>
      <c r="G1151" s="51" t="n"/>
      <c r="H1151" s="51" t="n"/>
    </row>
    <row r="1152" ht="18" customHeight="1">
      <c r="A1152" s="51" t="n"/>
      <c r="B1152" s="51" t="n"/>
      <c r="C1152" s="51" t="n"/>
      <c r="D1152" s="51" t="n"/>
      <c r="E1152" s="51" t="n"/>
      <c r="F1152" s="51" t="n"/>
      <c r="G1152" s="51" t="n"/>
      <c r="H1152" s="51" t="n"/>
    </row>
    <row r="1153" ht="18" customHeight="1">
      <c r="A1153" s="51" t="n"/>
      <c r="B1153" s="51" t="n"/>
      <c r="C1153" s="51" t="n"/>
      <c r="D1153" s="51" t="n"/>
      <c r="E1153" s="51" t="n"/>
      <c r="F1153" s="51" t="n"/>
      <c r="G1153" s="51" t="n"/>
      <c r="H1153" s="51" t="n"/>
    </row>
    <row r="1154" ht="18" customHeight="1">
      <c r="A1154" s="51" t="n"/>
      <c r="B1154" s="51" t="n"/>
      <c r="C1154" s="51" t="n"/>
      <c r="D1154" s="51" t="n"/>
      <c r="E1154" s="51" t="n"/>
      <c r="F1154" s="51" t="n"/>
      <c r="G1154" s="51" t="n"/>
      <c r="H1154" s="51" t="n"/>
    </row>
    <row r="1155" ht="18" customHeight="1">
      <c r="A1155" s="51" t="n"/>
      <c r="B1155" s="51" t="n"/>
      <c r="C1155" s="51" t="n"/>
      <c r="D1155" s="51" t="n"/>
      <c r="E1155" s="51" t="n"/>
      <c r="F1155" s="51" t="n"/>
      <c r="G1155" s="51" t="n"/>
      <c r="H1155" s="51" t="n"/>
    </row>
    <row r="1156" ht="18" customHeight="1">
      <c r="A1156" s="51" t="n"/>
      <c r="B1156" s="51" t="n"/>
      <c r="C1156" s="51" t="n"/>
      <c r="D1156" s="51" t="n"/>
      <c r="E1156" s="51" t="n"/>
      <c r="F1156" s="51" t="n"/>
      <c r="G1156" s="51" t="n"/>
      <c r="H1156" s="51" t="n"/>
    </row>
    <row r="1157" ht="18" customHeight="1">
      <c r="A1157" s="51" t="n"/>
      <c r="B1157" s="51" t="n"/>
      <c r="C1157" s="51" t="n"/>
      <c r="D1157" s="51" t="n"/>
      <c r="E1157" s="51" t="n"/>
      <c r="F1157" s="51" t="n"/>
      <c r="G1157" s="51" t="n"/>
      <c r="H1157" s="51" t="n"/>
    </row>
    <row r="1158" ht="18" customHeight="1">
      <c r="A1158" s="51" t="n"/>
      <c r="B1158" s="51" t="n"/>
      <c r="C1158" s="51" t="n"/>
      <c r="D1158" s="51" t="n"/>
      <c r="E1158" s="51" t="n"/>
      <c r="F1158" s="51" t="n"/>
      <c r="G1158" s="51" t="n"/>
      <c r="H1158" s="51" t="n"/>
    </row>
    <row r="1159" ht="18" customHeight="1">
      <c r="A1159" s="51" t="n"/>
      <c r="B1159" s="51" t="n"/>
      <c r="C1159" s="51" t="n"/>
      <c r="D1159" s="51" t="n"/>
      <c r="E1159" s="51" t="n"/>
      <c r="F1159" s="51" t="n"/>
      <c r="G1159" s="51" t="n"/>
      <c r="H1159" s="51" t="n"/>
    </row>
    <row r="1160" ht="18" customHeight="1">
      <c r="A1160" s="51" t="n"/>
      <c r="B1160" s="51" t="n"/>
      <c r="C1160" s="51" t="n"/>
      <c r="D1160" s="51" t="n"/>
      <c r="E1160" s="51" t="n"/>
      <c r="F1160" s="51" t="n"/>
      <c r="G1160" s="51" t="n"/>
      <c r="H1160" s="51" t="n"/>
    </row>
    <row r="1161" ht="18" customHeight="1">
      <c r="A1161" s="51" t="n"/>
      <c r="B1161" s="51" t="n"/>
      <c r="C1161" s="51" t="n"/>
      <c r="D1161" s="51" t="n"/>
      <c r="E1161" s="51" t="n"/>
      <c r="F1161" s="51" t="n"/>
      <c r="G1161" s="51" t="n"/>
      <c r="H1161" s="51" t="n"/>
    </row>
    <row r="1162" ht="18" customHeight="1">
      <c r="A1162" s="51" t="n"/>
      <c r="B1162" s="51" t="n"/>
      <c r="C1162" s="51" t="n"/>
      <c r="D1162" s="51" t="n"/>
      <c r="E1162" s="51" t="n"/>
      <c r="F1162" s="51" t="n"/>
      <c r="G1162" s="51" t="n"/>
      <c r="H1162" s="51" t="n"/>
    </row>
    <row r="1163" ht="18" customHeight="1">
      <c r="A1163" s="51" t="n"/>
      <c r="B1163" s="51" t="n"/>
      <c r="C1163" s="51" t="n"/>
      <c r="D1163" s="51" t="n"/>
      <c r="E1163" s="51" t="n"/>
      <c r="F1163" s="51" t="n"/>
      <c r="G1163" s="51" t="n"/>
      <c r="H1163" s="51" t="n"/>
    </row>
    <row r="1164" ht="18" customHeight="1">
      <c r="A1164" s="51" t="n"/>
      <c r="B1164" s="51" t="n"/>
      <c r="C1164" s="51" t="n"/>
      <c r="D1164" s="51" t="n"/>
      <c r="E1164" s="51" t="n"/>
      <c r="F1164" s="51" t="n"/>
      <c r="G1164" s="51" t="n"/>
      <c r="H1164" s="51" t="n"/>
    </row>
    <row r="1165" ht="18" customHeight="1">
      <c r="A1165" s="51" t="n"/>
      <c r="B1165" s="51" t="n"/>
      <c r="C1165" s="51" t="n"/>
      <c r="D1165" s="51" t="n"/>
      <c r="E1165" s="51" t="n"/>
      <c r="F1165" s="51" t="n"/>
      <c r="G1165" s="51" t="n"/>
      <c r="H1165" s="51" t="n"/>
    </row>
    <row r="1166" ht="18" customHeight="1">
      <c r="A1166" s="51" t="n"/>
      <c r="B1166" s="51" t="n"/>
      <c r="C1166" s="51" t="n"/>
      <c r="D1166" s="51" t="n"/>
      <c r="E1166" s="51" t="n"/>
      <c r="F1166" s="51" t="n"/>
      <c r="G1166" s="51" t="n"/>
      <c r="H1166" s="51" t="n"/>
    </row>
    <row r="1167" ht="18" customHeight="1">
      <c r="A1167" s="51" t="n"/>
      <c r="B1167" s="51" t="n"/>
      <c r="C1167" s="51" t="n"/>
      <c r="D1167" s="51" t="n"/>
      <c r="E1167" s="51" t="n"/>
      <c r="F1167" s="51" t="n"/>
      <c r="G1167" s="51" t="n"/>
      <c r="H1167" s="51" t="n"/>
    </row>
    <row r="1168" ht="18" customHeight="1">
      <c r="A1168" s="51" t="n"/>
      <c r="B1168" s="51" t="n"/>
      <c r="C1168" s="51" t="n"/>
      <c r="D1168" s="51" t="n"/>
      <c r="E1168" s="51" t="n"/>
      <c r="F1168" s="51" t="n"/>
      <c r="G1168" s="51" t="n"/>
      <c r="H1168" s="51" t="n"/>
    </row>
    <row r="1169" ht="18" customHeight="1">
      <c r="A1169" s="51" t="n"/>
      <c r="B1169" s="51" t="n"/>
      <c r="C1169" s="51" t="n"/>
      <c r="D1169" s="51" t="n"/>
      <c r="E1169" s="51" t="n"/>
      <c r="F1169" s="51" t="n"/>
      <c r="G1169" s="51" t="n"/>
      <c r="H1169" s="51" t="n"/>
    </row>
    <row r="1170" ht="18" customHeight="1">
      <c r="A1170" s="51" t="n"/>
      <c r="B1170" s="51" t="n"/>
      <c r="C1170" s="51" t="n"/>
      <c r="D1170" s="51" t="n"/>
      <c r="E1170" s="51" t="n"/>
      <c r="F1170" s="51" t="n"/>
      <c r="G1170" s="51" t="n"/>
      <c r="H1170" s="51" t="n"/>
    </row>
    <row r="1171" ht="18" customHeight="1">
      <c r="A1171" s="51" t="n"/>
      <c r="B1171" s="51" t="n"/>
      <c r="C1171" s="51" t="n"/>
      <c r="D1171" s="51" t="n"/>
      <c r="E1171" s="51" t="n"/>
      <c r="F1171" s="51" t="n"/>
      <c r="G1171" s="51" t="n"/>
      <c r="H1171" s="51" t="n"/>
    </row>
    <row r="1172" ht="18" customHeight="1">
      <c r="A1172" s="51" t="n"/>
      <c r="B1172" s="51" t="n"/>
      <c r="C1172" s="51" t="n"/>
      <c r="D1172" s="51" t="n"/>
      <c r="E1172" s="51" t="n"/>
      <c r="F1172" s="51" t="n"/>
      <c r="G1172" s="51" t="n"/>
      <c r="H1172" s="51" t="n"/>
    </row>
    <row r="1173" ht="18" customHeight="1">
      <c r="A1173" s="51" t="n"/>
      <c r="B1173" s="51" t="n"/>
      <c r="C1173" s="51" t="n"/>
      <c r="D1173" s="51" t="n"/>
      <c r="E1173" s="51" t="n"/>
      <c r="F1173" s="51" t="n"/>
      <c r="G1173" s="51" t="n"/>
      <c r="H1173" s="51" t="n"/>
    </row>
    <row r="1174" ht="18" customHeight="1">
      <c r="A1174" s="51" t="n"/>
      <c r="B1174" s="51" t="n"/>
      <c r="C1174" s="51" t="n"/>
      <c r="D1174" s="51" t="n"/>
      <c r="E1174" s="51" t="n"/>
      <c r="F1174" s="51" t="n"/>
      <c r="G1174" s="51" t="n"/>
      <c r="H1174" s="51" t="n"/>
    </row>
    <row r="1175" ht="18" customHeight="1">
      <c r="A1175" s="51" t="n"/>
      <c r="B1175" s="51" t="n"/>
      <c r="C1175" s="51" t="n"/>
      <c r="D1175" s="51" t="n"/>
      <c r="E1175" s="51" t="n"/>
      <c r="F1175" s="51" t="n"/>
      <c r="G1175" s="51" t="n"/>
      <c r="H1175" s="51" t="n"/>
    </row>
    <row r="1176" ht="18" customHeight="1">
      <c r="A1176" s="51" t="n"/>
      <c r="B1176" s="51" t="n"/>
      <c r="C1176" s="51" t="n"/>
      <c r="D1176" s="51" t="n"/>
      <c r="E1176" s="51" t="n"/>
      <c r="F1176" s="51" t="n"/>
      <c r="G1176" s="51" t="n"/>
      <c r="H1176" s="51" t="n"/>
    </row>
    <row r="1177" ht="18" customHeight="1">
      <c r="A1177" s="51" t="n"/>
      <c r="B1177" s="51" t="n"/>
      <c r="C1177" s="51" t="n"/>
      <c r="D1177" s="51" t="n"/>
      <c r="E1177" s="51" t="n"/>
      <c r="F1177" s="51" t="n"/>
      <c r="G1177" s="51" t="n"/>
      <c r="H1177" s="51" t="n"/>
    </row>
    <row r="1178" ht="18" customHeight="1">
      <c r="A1178" s="51" t="n"/>
      <c r="B1178" s="51" t="n"/>
      <c r="C1178" s="51" t="n"/>
      <c r="D1178" s="51" t="n"/>
      <c r="E1178" s="51" t="n"/>
      <c r="F1178" s="51" t="n"/>
      <c r="G1178" s="51" t="n"/>
      <c r="H1178" s="51" t="n"/>
    </row>
    <row r="1179" ht="18" customHeight="1">
      <c r="A1179" s="51" t="n"/>
      <c r="B1179" s="51" t="n"/>
      <c r="C1179" s="51" t="n"/>
      <c r="D1179" s="51" t="n"/>
      <c r="E1179" s="51" t="n"/>
      <c r="F1179" s="51" t="n"/>
      <c r="G1179" s="51" t="n"/>
      <c r="H1179" s="51" t="n"/>
    </row>
    <row r="1180" ht="18" customHeight="1">
      <c r="A1180" s="51" t="n"/>
      <c r="B1180" s="51" t="n"/>
      <c r="C1180" s="51" t="n"/>
      <c r="D1180" s="51" t="n"/>
      <c r="E1180" s="51" t="n"/>
      <c r="F1180" s="51" t="n"/>
      <c r="G1180" s="51" t="n"/>
      <c r="H1180" s="51" t="n"/>
    </row>
    <row r="1181" ht="18" customHeight="1">
      <c r="A1181" s="51" t="n"/>
      <c r="B1181" s="51" t="n"/>
      <c r="C1181" s="51" t="n"/>
      <c r="D1181" s="51" t="n"/>
      <c r="E1181" s="51" t="n"/>
      <c r="F1181" s="51" t="n"/>
      <c r="G1181" s="51" t="n"/>
      <c r="H1181" s="51" t="n"/>
    </row>
    <row r="1182" ht="18" customHeight="1">
      <c r="A1182" s="51" t="n"/>
      <c r="B1182" s="51" t="n"/>
      <c r="C1182" s="51" t="n"/>
      <c r="D1182" s="51" t="n"/>
      <c r="E1182" s="51" t="n"/>
      <c r="F1182" s="51" t="n"/>
      <c r="G1182" s="51" t="n"/>
      <c r="H1182" s="51" t="n"/>
    </row>
    <row r="1183" ht="18" customHeight="1">
      <c r="A1183" s="51" t="n"/>
      <c r="B1183" s="51" t="n"/>
      <c r="C1183" s="51" t="n"/>
      <c r="D1183" s="51" t="n"/>
      <c r="E1183" s="51" t="n"/>
      <c r="F1183" s="51" t="n"/>
      <c r="G1183" s="51" t="n"/>
      <c r="H1183" s="51" t="n"/>
    </row>
    <row r="1184" ht="18" customHeight="1">
      <c r="A1184" s="51" t="n"/>
      <c r="B1184" s="51" t="n"/>
      <c r="C1184" s="51" t="n"/>
      <c r="D1184" s="51" t="n"/>
      <c r="E1184" s="51" t="n"/>
      <c r="F1184" s="51" t="n"/>
      <c r="G1184" s="51" t="n"/>
      <c r="H1184" s="51" t="n"/>
    </row>
    <row r="1185" ht="18" customHeight="1">
      <c r="A1185" s="51" t="n"/>
      <c r="B1185" s="51" t="n"/>
      <c r="C1185" s="51" t="n"/>
      <c r="D1185" s="51" t="n"/>
      <c r="E1185" s="51" t="n"/>
      <c r="F1185" s="51" t="n"/>
      <c r="G1185" s="51" t="n"/>
      <c r="H1185" s="51" t="n"/>
    </row>
    <row r="1186" ht="18" customHeight="1">
      <c r="A1186" s="51" t="n"/>
      <c r="B1186" s="51" t="n"/>
      <c r="C1186" s="51" t="n"/>
      <c r="D1186" s="51" t="n"/>
      <c r="E1186" s="51" t="n"/>
      <c r="F1186" s="51" t="n"/>
      <c r="G1186" s="51" t="n"/>
      <c r="H1186" s="51" t="n"/>
    </row>
    <row r="1187" ht="18" customHeight="1">
      <c r="A1187" s="51" t="n"/>
      <c r="B1187" s="51" t="n"/>
      <c r="C1187" s="51" t="n"/>
      <c r="D1187" s="51" t="n"/>
      <c r="E1187" s="51" t="n"/>
      <c r="F1187" s="51" t="n"/>
      <c r="G1187" s="51" t="n"/>
      <c r="H1187" s="51" t="n"/>
    </row>
    <row r="1188" ht="18" customHeight="1">
      <c r="A1188" s="51" t="n"/>
      <c r="B1188" s="51" t="n"/>
      <c r="C1188" s="51" t="n"/>
      <c r="D1188" s="51" t="n"/>
      <c r="E1188" s="51" t="n"/>
      <c r="F1188" s="51" t="n"/>
      <c r="G1188" s="51" t="n"/>
      <c r="H1188" s="51" t="n"/>
    </row>
    <row r="1189" ht="18" customHeight="1">
      <c r="A1189" s="51" t="n"/>
      <c r="B1189" s="51" t="n"/>
      <c r="C1189" s="51" t="n"/>
      <c r="D1189" s="51" t="n"/>
      <c r="E1189" s="51" t="n"/>
      <c r="F1189" s="51" t="n"/>
      <c r="G1189" s="51" t="n"/>
      <c r="H1189" s="51" t="n"/>
    </row>
    <row r="1190" ht="18" customHeight="1">
      <c r="A1190" s="51" t="n"/>
      <c r="B1190" s="51" t="n"/>
      <c r="C1190" s="51" t="n"/>
      <c r="D1190" s="51" t="n"/>
      <c r="E1190" s="51" t="n"/>
      <c r="F1190" s="51" t="n"/>
      <c r="G1190" s="51" t="n"/>
      <c r="H1190" s="51" t="n"/>
    </row>
    <row r="1191" ht="18" customHeight="1">
      <c r="A1191" s="51" t="n"/>
      <c r="B1191" s="51" t="n"/>
      <c r="C1191" s="51" t="n"/>
      <c r="D1191" s="51" t="n"/>
      <c r="E1191" s="51" t="n"/>
      <c r="F1191" s="51" t="n"/>
      <c r="G1191" s="51" t="n"/>
      <c r="H1191" s="51" t="n"/>
    </row>
    <row r="1192" ht="18" customHeight="1">
      <c r="A1192" s="51" t="n"/>
      <c r="B1192" s="51" t="n"/>
      <c r="C1192" s="51" t="n"/>
      <c r="D1192" s="51" t="n"/>
      <c r="E1192" s="51" t="n"/>
      <c r="F1192" s="51" t="n"/>
      <c r="G1192" s="51" t="n"/>
      <c r="H1192" s="51" t="n"/>
    </row>
    <row r="1193" ht="18" customHeight="1">
      <c r="A1193" s="51" t="n"/>
      <c r="B1193" s="51" t="n"/>
      <c r="C1193" s="51" t="n"/>
      <c r="D1193" s="51" t="n"/>
      <c r="E1193" s="51" t="n"/>
      <c r="F1193" s="51" t="n"/>
      <c r="G1193" s="51" t="n"/>
      <c r="H1193" s="51" t="n"/>
    </row>
    <row r="1194" ht="18" customHeight="1">
      <c r="A1194" s="51" t="n"/>
      <c r="B1194" s="51" t="n"/>
      <c r="C1194" s="51" t="n"/>
      <c r="D1194" s="51" t="n"/>
      <c r="E1194" s="51" t="n"/>
      <c r="F1194" s="51" t="n"/>
      <c r="G1194" s="51" t="n"/>
      <c r="H1194" s="51" t="n"/>
    </row>
    <row r="1195" ht="18" customHeight="1">
      <c r="A1195" s="51" t="n"/>
      <c r="B1195" s="51" t="n"/>
      <c r="C1195" s="51" t="n"/>
      <c r="D1195" s="51" t="n"/>
      <c r="E1195" s="51" t="n"/>
      <c r="F1195" s="51" t="n"/>
      <c r="G1195" s="51" t="n"/>
      <c r="H1195" s="51" t="n"/>
    </row>
    <row r="1196" ht="18" customHeight="1">
      <c r="A1196" s="51" t="n"/>
      <c r="B1196" s="51" t="n"/>
      <c r="C1196" s="51" t="n"/>
      <c r="D1196" s="51" t="n"/>
      <c r="E1196" s="51" t="n"/>
      <c r="F1196" s="51" t="n"/>
      <c r="G1196" s="51" t="n"/>
      <c r="H1196" s="51" t="n"/>
    </row>
    <row r="1197" ht="18" customHeight="1">
      <c r="A1197" s="51" t="n"/>
      <c r="B1197" s="51" t="n"/>
      <c r="C1197" s="51" t="n"/>
      <c r="D1197" s="51" t="n"/>
      <c r="E1197" s="51" t="n"/>
      <c r="F1197" s="51" t="n"/>
      <c r="G1197" s="51" t="n"/>
      <c r="H1197" s="51" t="n"/>
    </row>
    <row r="1198" ht="18" customHeight="1"/>
    <row r="1199" ht="18" customHeight="1"/>
  </sheetData>
  <autoFilter ref="A1:Y933"/>
  <mergeCells count="4">
    <mergeCell ref="A936:G936"/>
    <mergeCell ref="A937:G937"/>
    <mergeCell ref="A1026:G1026"/>
    <mergeCell ref="A1027:G1027"/>
  </mergeCells>
  <pageMargins left="0.4" right="0.4" top="0.7" bottom="0.6" header="0.5" footer="0.5"/>
  <pageSetup orientation="landscape" paperSize="8" fitToHeight="0" fitToWidth="1"/>
  <headerFooter>
    <oddHeader>&amp;LСводная по работникам · программы отмечены «+»</oddHeader>
    <oddFooter>&amp;RСтраница &amp;P из &amp;N</oddFooter>
    <evenHeader/>
    <evenFooter/>
    <firstHeader/>
    <firstFooter/>
  </headerFooter>
</worksheet>
</file>

<file path=xl/worksheets/sheet3.xml><?xml version="1.0" encoding="utf-8"?>
<worksheet xmlns="http://schemas.openxmlformats.org/spreadsheetml/2006/main">
  <sheetPr>
    <tabColor rgb="001F4E79"/>
    <outlinePr summaryBelow="1" summaryRight="1"/>
    <pageSetUpPr fitToPage="1"/>
  </sheetPr>
  <dimension ref="A1:S319"/>
  <sheetViews>
    <sheetView showGridLines="0" zoomScale="110" workbookViewId="0">
      <pane xSplit="2" ySplit="2" topLeftCell="C3" activePane="bottomRight" state="frozen"/>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52" customWidth="1" min="1" max="1"/>
    <col width="62" customWidth="1" min="2" max="2"/>
    <col width="14" customWidth="1" min="3" max="3"/>
    <col width="12"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13" customWidth="1" min="18" max="18"/>
    <col width="14" customWidth="1" min="19" max="19"/>
  </cols>
  <sheetData>
    <row r="1" ht="64" customHeight="1">
      <c r="A1" s="155" t="inlineStr">
        <is>
          <t>В ячейке верхней таблицы — число работников, которые прошли программу, без повторных обучений. Синим выделены профессии и программы, где обучение есть не у всех работников. Жёлтым во второй таблице выделен потенциальный недостаток только по программам 46в. По первой помощи и СИЗ во второй таблице стоит разница с числом работников, и только если программа уже кому-то назначена.</t>
        </is>
      </c>
    </row>
    <row r="2" ht="150" customHeight="1">
      <c r="A2" s="135" t="inlineStr">
        <is>
          <t>Профессия</t>
        </is>
      </c>
      <c r="B2" s="135" t="inlineStr">
        <is>
          <t>Исходные формулировки</t>
        </is>
      </c>
      <c r="C2" s="135" t="inlineStr">
        <is>
          <t>Работников</t>
        </is>
      </c>
      <c r="D2" s="135" t="inlineStr">
        <is>
          <t>Записей</t>
        </is>
      </c>
      <c r="E2" s="156" t="inlineStr">
        <is>
          <t>46а. Общие вопросы охраны труда</t>
        </is>
      </c>
      <c r="F2" s="156" t="inlineStr">
        <is>
          <t>46б. Безопасные методы при вредных и опасных факторах</t>
        </is>
      </c>
      <c r="G2" s="156" t="inlineStr">
        <is>
          <t>46в. Работы на высоте</t>
        </is>
      </c>
      <c r="H2" s="156" t="inlineStr">
        <is>
          <t>46в. Огневые работы</t>
        </is>
      </c>
      <c r="I2" s="156" t="inlineStr">
        <is>
          <t>46в. Работы в ОЗП</t>
        </is>
      </c>
      <c r="J2" s="156" t="inlineStr">
        <is>
          <t>46в. Подъемные сооружения</t>
        </is>
      </c>
      <c r="K2" s="156" t="inlineStr">
        <is>
          <t>46в. Сосуды под давлением</t>
        </is>
      </c>
      <c r="L2" s="156" t="inlineStr">
        <is>
          <t>46в. Технологическое оборудование</t>
        </is>
      </c>
      <c r="M2" s="156" t="inlineStr">
        <is>
          <t>46в. Электроустановки</t>
        </is>
      </c>
      <c r="N2" s="156" t="inlineStr">
        <is>
          <t>46в. Строительные работы</t>
        </is>
      </c>
      <c r="O2" s="156" t="inlineStr">
        <is>
          <t>46в. Ремонт, монтаж и демонтаж зданий</t>
        </is>
      </c>
      <c r="P2" s="156" t="inlineStr">
        <is>
          <t>46в. Земляные работы</t>
        </is>
      </c>
      <c r="Q2" s="156" t="inlineStr">
        <is>
          <t>Первая помощь пострадавшим</t>
        </is>
      </c>
      <c r="R2" s="156" t="inlineStr">
        <is>
          <t>Применение СИЗ</t>
        </is>
      </c>
    </row>
    <row r="3">
      <c r="A3" s="24" t="inlineStr">
        <is>
          <t>Аппаратчик воздухоразделения</t>
        </is>
      </c>
      <c r="B3" s="6" t="n"/>
      <c r="C3" s="7" t="n">
        <v>1</v>
      </c>
      <c r="D3" s="7" t="n">
        <v>4</v>
      </c>
      <c r="E3" s="7" t="n"/>
      <c r="F3" s="29" t="n">
        <v>1</v>
      </c>
      <c r="G3" s="7" t="n"/>
      <c r="H3" s="7" t="n"/>
      <c r="I3" s="7" t="n"/>
      <c r="J3" s="7" t="n"/>
      <c r="K3" s="7" t="n"/>
      <c r="L3" s="7" t="n"/>
      <c r="M3" s="7" t="n"/>
      <c r="N3" s="7" t="n"/>
      <c r="O3" s="7" t="n"/>
      <c r="P3" s="7" t="n"/>
      <c r="Q3" s="7" t="n"/>
      <c r="R3" s="29" t="n">
        <v>1</v>
      </c>
    </row>
    <row r="4">
      <c r="A4" s="157" t="inlineStr">
        <is>
          <t>Аппаратчик сгустителей</t>
        </is>
      </c>
      <c r="B4" s="6" t="inlineStr">
        <is>
          <t>Аппаратчик сгустителей | Аппаратчик-сгустителей</t>
        </is>
      </c>
      <c r="C4" s="7" t="n">
        <v>8</v>
      </c>
      <c r="D4" s="7" t="n">
        <v>26</v>
      </c>
      <c r="E4" s="7" t="n"/>
      <c r="F4" s="158" t="n">
        <v>5</v>
      </c>
      <c r="G4" s="159" t="n">
        <v>5</v>
      </c>
      <c r="H4" s="7" t="n"/>
      <c r="I4" s="159" t="n">
        <v>5</v>
      </c>
      <c r="J4" s="7" t="n"/>
      <c r="K4" s="7" t="n"/>
      <c r="L4" s="7" t="n"/>
      <c r="M4" s="7" t="n"/>
      <c r="N4" s="7" t="n"/>
      <c r="O4" s="7" t="n"/>
      <c r="P4" s="7" t="n"/>
      <c r="Q4" s="158" t="n">
        <v>4</v>
      </c>
      <c r="R4" s="158" t="n">
        <v>5</v>
      </c>
    </row>
    <row r="5">
      <c r="A5" s="157" t="inlineStr">
        <is>
          <t>Аппаратчик-гидрометаллург</t>
        </is>
      </c>
      <c r="B5" s="6" t="inlineStr">
        <is>
          <t>Аппаратчик-гидрометаллург | Аппаратчик-гидрометалург | аппаратчик-гидрометаллург</t>
        </is>
      </c>
      <c r="C5" s="7" t="n">
        <v>30</v>
      </c>
      <c r="D5" s="7" t="n">
        <v>84</v>
      </c>
      <c r="E5" s="7" t="n"/>
      <c r="F5" s="29" t="n">
        <v>30</v>
      </c>
      <c r="G5" s="7" t="n"/>
      <c r="H5" s="7" t="n"/>
      <c r="I5" s="7" t="n"/>
      <c r="J5" s="7" t="n"/>
      <c r="K5" s="7" t="n"/>
      <c r="L5" s="7" t="n"/>
      <c r="M5" s="7" t="n"/>
      <c r="N5" s="7" t="n"/>
      <c r="O5" s="7" t="n"/>
      <c r="P5" s="7" t="n"/>
      <c r="Q5" s="158" t="n">
        <v>14</v>
      </c>
      <c r="R5" s="29" t="n">
        <v>30</v>
      </c>
    </row>
    <row r="6">
      <c r="A6" s="24" t="inlineStr">
        <is>
          <t>Бетонщик</t>
        </is>
      </c>
      <c r="B6" s="6" t="n"/>
      <c r="C6" s="7" t="n">
        <v>3</v>
      </c>
      <c r="D6" s="7" t="n">
        <v>6</v>
      </c>
      <c r="E6" s="7" t="n"/>
      <c r="F6" s="29" t="n">
        <v>3</v>
      </c>
      <c r="G6" s="7" t="n"/>
      <c r="H6" s="7" t="n"/>
      <c r="I6" s="7" t="n"/>
      <c r="J6" s="7" t="n"/>
      <c r="K6" s="7" t="n"/>
      <c r="L6" s="7" t="n"/>
      <c r="M6" s="7" t="n"/>
      <c r="N6" s="7" t="n"/>
      <c r="O6" s="7" t="n"/>
      <c r="P6" s="7" t="n"/>
      <c r="Q6" s="7" t="n"/>
      <c r="R6" s="29" t="n">
        <v>3</v>
      </c>
    </row>
    <row r="7">
      <c r="A7" s="157" t="inlineStr">
        <is>
          <t>Бункеровщик</t>
        </is>
      </c>
      <c r="B7" s="6" t="n"/>
      <c r="C7" s="7" t="n">
        <v>17</v>
      </c>
      <c r="D7" s="7" t="n">
        <v>51</v>
      </c>
      <c r="E7" s="7" t="n"/>
      <c r="F7" s="29" t="n">
        <v>17</v>
      </c>
      <c r="G7" s="159" t="n">
        <v>1</v>
      </c>
      <c r="H7" s="7" t="n"/>
      <c r="I7" s="159" t="n">
        <v>1</v>
      </c>
      <c r="J7" s="7" t="n"/>
      <c r="K7" s="7" t="n"/>
      <c r="L7" s="7" t="n"/>
      <c r="M7" s="7" t="n"/>
      <c r="N7" s="7" t="n"/>
      <c r="O7" s="7" t="n"/>
      <c r="P7" s="7" t="n"/>
      <c r="Q7" s="158" t="n">
        <v>10</v>
      </c>
      <c r="R7" s="29" t="n">
        <v>17</v>
      </c>
    </row>
    <row r="8">
      <c r="A8" s="24" t="inlineStr">
        <is>
          <t>Вальщик леса</t>
        </is>
      </c>
      <c r="B8" s="6" t="n"/>
      <c r="C8" s="7" t="n">
        <v>2</v>
      </c>
      <c r="D8" s="7" t="n">
        <v>4</v>
      </c>
      <c r="E8" s="7" t="n"/>
      <c r="F8" s="29" t="n">
        <v>2</v>
      </c>
      <c r="G8" s="7" t="n"/>
      <c r="H8" s="7" t="n"/>
      <c r="I8" s="7" t="n"/>
      <c r="J8" s="7" t="n"/>
      <c r="K8" s="7" t="n"/>
      <c r="L8" s="7" t="n"/>
      <c r="M8" s="7" t="n"/>
      <c r="N8" s="7" t="n"/>
      <c r="O8" s="7" t="n"/>
      <c r="P8" s="7" t="n"/>
      <c r="Q8" s="7" t="n"/>
      <c r="R8" s="29" t="n">
        <v>2</v>
      </c>
    </row>
    <row r="9">
      <c r="A9" s="24" t="inlineStr">
        <is>
          <t>Ведущий инженер ППР</t>
        </is>
      </c>
      <c r="B9" s="6" t="n"/>
      <c r="C9" s="7" t="n">
        <v>1</v>
      </c>
      <c r="D9" s="7" t="n">
        <v>3</v>
      </c>
      <c r="E9" s="29" t="n">
        <v>1</v>
      </c>
      <c r="F9" s="7" t="n"/>
      <c r="G9" s="7" t="n"/>
      <c r="H9" s="7" t="n"/>
      <c r="I9" s="7" t="n"/>
      <c r="J9" s="7" t="n"/>
      <c r="K9" s="7" t="n"/>
      <c r="L9" s="7" t="n"/>
      <c r="M9" s="7" t="n"/>
      <c r="N9" s="7" t="n"/>
      <c r="O9" s="7" t="n"/>
      <c r="P9" s="7" t="n"/>
      <c r="Q9" s="29" t="n">
        <v>1</v>
      </c>
      <c r="R9" s="29" t="n">
        <v>1</v>
      </c>
    </row>
    <row r="10">
      <c r="A10" s="24" t="inlineStr">
        <is>
          <t>Ведущий инженер-геодезист</t>
        </is>
      </c>
      <c r="B10" s="6" t="n"/>
      <c r="C10" s="7" t="n">
        <v>2</v>
      </c>
      <c r="D10" s="7" t="n">
        <v>4</v>
      </c>
      <c r="E10" s="7" t="n"/>
      <c r="F10" s="29" t="n">
        <v>2</v>
      </c>
      <c r="G10" s="7" t="n"/>
      <c r="H10" s="7" t="n"/>
      <c r="I10" s="7" t="n"/>
      <c r="J10" s="7" t="n"/>
      <c r="K10" s="7" t="n"/>
      <c r="L10" s="7" t="n"/>
      <c r="M10" s="7" t="n"/>
      <c r="N10" s="7" t="n"/>
      <c r="O10" s="7" t="n"/>
      <c r="P10" s="7" t="n"/>
      <c r="Q10" s="7" t="n"/>
      <c r="R10" s="29" t="n">
        <v>2</v>
      </c>
    </row>
    <row r="11">
      <c r="A11" s="157" t="inlineStr">
        <is>
          <t>Весовщик</t>
        </is>
      </c>
      <c r="B11" s="6" t="n"/>
      <c r="C11" s="7" t="n">
        <v>12</v>
      </c>
      <c r="D11" s="7" t="n">
        <v>28</v>
      </c>
      <c r="E11" s="7" t="n"/>
      <c r="F11" s="29" t="n">
        <v>12</v>
      </c>
      <c r="G11" s="7" t="n"/>
      <c r="H11" s="7" t="n"/>
      <c r="I11" s="7" t="n"/>
      <c r="J11" s="7" t="n"/>
      <c r="K11" s="7" t="n"/>
      <c r="L11" s="7" t="n"/>
      <c r="M11" s="7" t="n"/>
      <c r="N11" s="7" t="n"/>
      <c r="O11" s="7" t="n"/>
      <c r="P11" s="7" t="n"/>
      <c r="Q11" s="158" t="n">
        <v>4</v>
      </c>
      <c r="R11" s="29" t="n">
        <v>12</v>
      </c>
    </row>
    <row r="12">
      <c r="A12" s="157" t="inlineStr">
        <is>
          <t>Водитель автомобиля (занятый на транспортировании горной массы в технологическом процессе)</t>
        </is>
      </c>
      <c r="B12" s="6" t="inlineStr">
        <is>
          <t>Водитель автомобиля (занятый на транспортировании горной массы в технологическом процессе) | Водитель автомобиля(занятый на траспортировании горной массы в технологическом процессе)</t>
        </is>
      </c>
      <c r="C12" s="7" t="n">
        <v>50</v>
      </c>
      <c r="D12" s="7" t="n">
        <v>161</v>
      </c>
      <c r="E12" s="7" t="n"/>
      <c r="F12" s="29" t="n">
        <v>50</v>
      </c>
      <c r="G12" s="7" t="n"/>
      <c r="H12" s="7" t="n"/>
      <c r="I12" s="7" t="n"/>
      <c r="J12" s="7" t="n"/>
      <c r="K12" s="7" t="n"/>
      <c r="L12" s="7" t="n"/>
      <c r="M12" s="7" t="n"/>
      <c r="N12" s="7" t="n"/>
      <c r="O12" s="7" t="n"/>
      <c r="P12" s="7" t="n"/>
      <c r="Q12" s="158" t="n">
        <v>40</v>
      </c>
      <c r="R12" s="29" t="n">
        <v>50</v>
      </c>
    </row>
    <row r="13">
      <c r="A13" s="157" t="inlineStr">
        <is>
          <t>Водитель автомобиля (категория Д)</t>
        </is>
      </c>
      <c r="B13" s="6" t="inlineStr">
        <is>
          <t>Водитель автомобиля (категория D) | Водитель автомобиля (категория Д)</t>
        </is>
      </c>
      <c r="C13" s="7" t="n">
        <v>19</v>
      </c>
      <c r="D13" s="7" t="n">
        <v>65</v>
      </c>
      <c r="E13" s="7" t="n"/>
      <c r="F13" s="29" t="n">
        <v>19</v>
      </c>
      <c r="G13" s="7" t="n"/>
      <c r="H13" s="7" t="n"/>
      <c r="I13" s="7" t="n"/>
      <c r="J13" s="7" t="n"/>
      <c r="K13" s="7" t="n"/>
      <c r="L13" s="7" t="n"/>
      <c r="M13" s="7" t="n"/>
      <c r="N13" s="7" t="n"/>
      <c r="O13" s="7" t="n"/>
      <c r="P13" s="7" t="n"/>
      <c r="Q13" s="158" t="n">
        <v>15</v>
      </c>
      <c r="R13" s="29" t="n">
        <v>19</v>
      </c>
    </row>
    <row r="14">
      <c r="A14" s="157" t="inlineStr">
        <is>
          <t>Водитель автомобиля (категория С)</t>
        </is>
      </c>
      <c r="B14" s="6" t="inlineStr">
        <is>
          <t>Водитель автомобиля (категория С) | Водитель автомобиля кат. С</t>
        </is>
      </c>
      <c r="C14" s="7" t="n">
        <v>7</v>
      </c>
      <c r="D14" s="7" t="n">
        <v>20</v>
      </c>
      <c r="E14" s="7" t="n"/>
      <c r="F14" s="29" t="n">
        <v>7</v>
      </c>
      <c r="G14" s="7" t="n"/>
      <c r="H14" s="7" t="n"/>
      <c r="I14" s="7" t="n"/>
      <c r="J14" s="7" t="n"/>
      <c r="K14" s="7" t="n"/>
      <c r="L14" s="7" t="n"/>
      <c r="M14" s="7" t="n"/>
      <c r="N14" s="7" t="n"/>
      <c r="O14" s="7" t="n"/>
      <c r="P14" s="7" t="n"/>
      <c r="Q14" s="158" t="n">
        <v>4</v>
      </c>
      <c r="R14" s="29" t="n">
        <v>7</v>
      </c>
    </row>
    <row r="15">
      <c r="A15" s="24" t="inlineStr">
        <is>
          <t>Водитель автомобиля (с правом управления КМУ)</t>
        </is>
      </c>
      <c r="B15" s="6" t="n"/>
      <c r="C15" s="7" t="n">
        <v>2</v>
      </c>
      <c r="D15" s="7" t="n">
        <v>4</v>
      </c>
      <c r="E15" s="7" t="n"/>
      <c r="F15" s="29" t="n">
        <v>2</v>
      </c>
      <c r="G15" s="7" t="n"/>
      <c r="H15" s="7" t="n"/>
      <c r="I15" s="7" t="n"/>
      <c r="J15" s="7" t="n"/>
      <c r="K15" s="7" t="n"/>
      <c r="L15" s="7" t="n"/>
      <c r="M15" s="7" t="n"/>
      <c r="N15" s="7" t="n"/>
      <c r="O15" s="7" t="n"/>
      <c r="P15" s="7" t="n"/>
      <c r="Q15" s="7" t="n"/>
      <c r="R15" s="29" t="n">
        <v>2</v>
      </c>
    </row>
    <row r="16">
      <c r="A16" s="24" t="inlineStr">
        <is>
          <t>Водитель автомобиля (топливозаправщик)</t>
        </is>
      </c>
      <c r="B16" s="6" t="n"/>
      <c r="C16" s="7" t="n">
        <v>5</v>
      </c>
      <c r="D16" s="7" t="n">
        <v>15</v>
      </c>
      <c r="E16" s="7" t="n"/>
      <c r="F16" s="29" t="n">
        <v>5</v>
      </c>
      <c r="G16" s="7" t="n"/>
      <c r="H16" s="7" t="n"/>
      <c r="I16" s="7" t="n"/>
      <c r="J16" s="7" t="n"/>
      <c r="K16" s="7" t="n"/>
      <c r="L16" s="7" t="n"/>
      <c r="M16" s="7" t="n"/>
      <c r="N16" s="7" t="n"/>
      <c r="O16" s="7" t="n"/>
      <c r="P16" s="7" t="n"/>
      <c r="Q16" s="29" t="n">
        <v>5</v>
      </c>
      <c r="R16" s="29" t="n">
        <v>5</v>
      </c>
    </row>
    <row r="17">
      <c r="A17" s="24" t="inlineStr">
        <is>
          <t>Водитель автомобиля для перевозки взрывчатых материалов</t>
        </is>
      </c>
      <c r="B17" s="6" t="n"/>
      <c r="C17" s="7" t="n">
        <v>4</v>
      </c>
      <c r="D17" s="7" t="n">
        <v>12</v>
      </c>
      <c r="E17" s="7" t="n"/>
      <c r="F17" s="29" t="n">
        <v>4</v>
      </c>
      <c r="G17" s="7" t="n"/>
      <c r="H17" s="7" t="n"/>
      <c r="I17" s="7" t="n"/>
      <c r="J17" s="7" t="n"/>
      <c r="K17" s="7" t="n"/>
      <c r="L17" s="7" t="n"/>
      <c r="M17" s="7" t="n"/>
      <c r="N17" s="7" t="n"/>
      <c r="O17" s="7" t="n"/>
      <c r="P17" s="7" t="n"/>
      <c r="Q17" s="29" t="n">
        <v>4</v>
      </c>
      <c r="R17" s="29" t="n">
        <v>4</v>
      </c>
    </row>
    <row r="18">
      <c r="A18" s="157" t="inlineStr">
        <is>
          <t>Водитель погрузчика</t>
        </is>
      </c>
      <c r="B18" s="6" t="n"/>
      <c r="C18" s="7" t="n">
        <v>28</v>
      </c>
      <c r="D18" s="7" t="n">
        <v>90</v>
      </c>
      <c r="E18" s="7" t="n"/>
      <c r="F18" s="29" t="n">
        <v>28</v>
      </c>
      <c r="G18" s="7" t="n"/>
      <c r="H18" s="7" t="n"/>
      <c r="I18" s="7" t="n"/>
      <c r="J18" s="7" t="n"/>
      <c r="K18" s="7" t="n"/>
      <c r="L18" s="7" t="n"/>
      <c r="M18" s="7" t="n"/>
      <c r="N18" s="7" t="n"/>
      <c r="O18" s="7" t="n"/>
      <c r="P18" s="7" t="n"/>
      <c r="Q18" s="158" t="n">
        <v>22</v>
      </c>
      <c r="R18" s="29" t="n">
        <v>28</v>
      </c>
    </row>
    <row r="19">
      <c r="A19" s="24" t="inlineStr">
        <is>
          <t>Геолог</t>
        </is>
      </c>
      <c r="B19" s="6" t="n"/>
      <c r="C19" s="7" t="n">
        <v>2</v>
      </c>
      <c r="D19" s="7" t="n">
        <v>4</v>
      </c>
      <c r="E19" s="7" t="n"/>
      <c r="F19" s="7" t="n"/>
      <c r="G19" s="7" t="n"/>
      <c r="H19" s="7" t="n"/>
      <c r="I19" s="7" t="n"/>
      <c r="J19" s="7" t="n"/>
      <c r="K19" s="7" t="n"/>
      <c r="L19" s="7" t="n"/>
      <c r="M19" s="7" t="n"/>
      <c r="N19" s="7" t="n"/>
      <c r="O19" s="7" t="n"/>
      <c r="P19" s="7" t="n"/>
      <c r="Q19" s="29" t="n">
        <v>2</v>
      </c>
      <c r="R19" s="29" t="n">
        <v>2</v>
      </c>
    </row>
    <row r="20">
      <c r="A20" s="24" t="inlineStr">
        <is>
          <t>Геолог по рудоконтролю</t>
        </is>
      </c>
      <c r="B20" s="6" t="n"/>
      <c r="C20" s="7" t="n">
        <v>1</v>
      </c>
      <c r="D20" s="7" t="n">
        <v>3</v>
      </c>
      <c r="E20" s="7" t="n"/>
      <c r="F20" s="29" t="n">
        <v>1</v>
      </c>
      <c r="G20" s="7" t="n"/>
      <c r="H20" s="7" t="n"/>
      <c r="I20" s="7" t="n"/>
      <c r="J20" s="7" t="n"/>
      <c r="K20" s="7" t="n"/>
      <c r="L20" s="7" t="n"/>
      <c r="M20" s="7" t="n"/>
      <c r="N20" s="7" t="n"/>
      <c r="O20" s="7" t="n"/>
      <c r="P20" s="7" t="n"/>
      <c r="Q20" s="29" t="n">
        <v>1</v>
      </c>
      <c r="R20" s="29" t="n">
        <v>1</v>
      </c>
    </row>
    <row r="21">
      <c r="A21" s="24" t="inlineStr">
        <is>
          <t>Главный технолог</t>
        </is>
      </c>
      <c r="B21" s="6" t="n"/>
      <c r="C21" s="7" t="n">
        <v>1</v>
      </c>
      <c r="D21" s="7" t="n">
        <v>4</v>
      </c>
      <c r="E21" s="29" t="n">
        <v>1</v>
      </c>
      <c r="F21" s="29" t="n">
        <v>1</v>
      </c>
      <c r="G21" s="7" t="n"/>
      <c r="H21" s="7" t="n"/>
      <c r="I21" s="7" t="n"/>
      <c r="J21" s="7" t="n"/>
      <c r="K21" s="7" t="n"/>
      <c r="L21" s="7" t="n"/>
      <c r="M21" s="7" t="n"/>
      <c r="N21" s="7" t="n"/>
      <c r="O21" s="7" t="n"/>
      <c r="P21" s="7" t="n"/>
      <c r="Q21" s="29" t="n">
        <v>1</v>
      </c>
      <c r="R21" s="29" t="n">
        <v>1</v>
      </c>
    </row>
    <row r="22">
      <c r="A22" s="24" t="inlineStr">
        <is>
          <t>Главный энергетик</t>
        </is>
      </c>
      <c r="B22" s="6" t="n"/>
      <c r="C22" s="7" t="n">
        <v>1</v>
      </c>
      <c r="D22" s="7" t="n">
        <v>4</v>
      </c>
      <c r="E22" s="29" t="n">
        <v>1</v>
      </c>
      <c r="F22" s="29" t="n">
        <v>1</v>
      </c>
      <c r="G22" s="7" t="n"/>
      <c r="H22" s="7" t="n"/>
      <c r="I22" s="7" t="n"/>
      <c r="J22" s="7" t="n"/>
      <c r="K22" s="7" t="n"/>
      <c r="L22" s="7" t="n"/>
      <c r="M22" s="7" t="n"/>
      <c r="N22" s="7" t="n"/>
      <c r="O22" s="7" t="n"/>
      <c r="P22" s="7" t="n"/>
      <c r="Q22" s="29" t="n">
        <v>1</v>
      </c>
      <c r="R22" s="29" t="n">
        <v>1</v>
      </c>
    </row>
    <row r="23">
      <c r="A23" s="24" t="inlineStr">
        <is>
          <t>Горничная</t>
        </is>
      </c>
      <c r="B23" s="6" t="n"/>
      <c r="C23" s="7" t="n">
        <v>2</v>
      </c>
      <c r="D23" s="7" t="n">
        <v>4</v>
      </c>
      <c r="E23" s="7" t="n"/>
      <c r="F23" s="29" t="n">
        <v>2</v>
      </c>
      <c r="G23" s="7" t="n"/>
      <c r="H23" s="7" t="n"/>
      <c r="I23" s="7" t="n"/>
      <c r="J23" s="7" t="n"/>
      <c r="K23" s="7" t="n"/>
      <c r="L23" s="7" t="n"/>
      <c r="M23" s="7" t="n"/>
      <c r="N23" s="7" t="n"/>
      <c r="O23" s="7" t="n"/>
      <c r="P23" s="7" t="n"/>
      <c r="Q23" s="7" t="n"/>
      <c r="R23" s="29" t="n">
        <v>2</v>
      </c>
    </row>
    <row r="24">
      <c r="A24" s="157" t="inlineStr">
        <is>
          <t>Горнорабочий</t>
        </is>
      </c>
      <c r="B24" s="6" t="n"/>
      <c r="C24" s="7" t="n">
        <v>6</v>
      </c>
      <c r="D24" s="7" t="n">
        <v>16</v>
      </c>
      <c r="E24" s="7" t="n"/>
      <c r="F24" s="29" t="n">
        <v>6</v>
      </c>
      <c r="G24" s="7" t="n"/>
      <c r="H24" s="7" t="n"/>
      <c r="I24" s="7" t="n"/>
      <c r="J24" s="7" t="n"/>
      <c r="K24" s="7" t="n"/>
      <c r="L24" s="7" t="n"/>
      <c r="M24" s="7" t="n"/>
      <c r="N24" s="7" t="n"/>
      <c r="O24" s="7" t="n"/>
      <c r="P24" s="7" t="n"/>
      <c r="Q24" s="158" t="n">
        <v>4</v>
      </c>
      <c r="R24" s="29" t="n">
        <v>6</v>
      </c>
    </row>
    <row r="25">
      <c r="A25" s="157" t="inlineStr">
        <is>
          <t>Горнорабочий на геологических работах</t>
        </is>
      </c>
      <c r="B25" s="6" t="n"/>
      <c r="C25" s="7" t="n">
        <v>6</v>
      </c>
      <c r="D25" s="7" t="n">
        <v>17</v>
      </c>
      <c r="E25" s="7" t="n"/>
      <c r="F25" s="29" t="n">
        <v>6</v>
      </c>
      <c r="G25" s="7" t="n"/>
      <c r="H25" s="7" t="n"/>
      <c r="I25" s="7" t="n"/>
      <c r="J25" s="7" t="n"/>
      <c r="K25" s="7" t="n"/>
      <c r="L25" s="7" t="n"/>
      <c r="M25" s="7" t="n"/>
      <c r="N25" s="7" t="n"/>
      <c r="O25" s="7" t="n"/>
      <c r="P25" s="7" t="n"/>
      <c r="Q25" s="158" t="n">
        <v>3</v>
      </c>
      <c r="R25" s="29" t="n">
        <v>6</v>
      </c>
    </row>
    <row r="26">
      <c r="A26" s="157" t="inlineStr">
        <is>
          <t>Горнорабочий на маркшейдерских работах</t>
        </is>
      </c>
      <c r="B26" s="6" t="inlineStr">
        <is>
          <t>Горнорабочий на маркшейдерских работах | Горнорабочиий на маркшейдерских работах</t>
        </is>
      </c>
      <c r="C26" s="7" t="n">
        <v>9</v>
      </c>
      <c r="D26" s="7" t="n">
        <v>26</v>
      </c>
      <c r="E26" s="7" t="n"/>
      <c r="F26" s="29" t="n">
        <v>9</v>
      </c>
      <c r="G26" s="7" t="n"/>
      <c r="H26" s="7" t="n"/>
      <c r="I26" s="7" t="n"/>
      <c r="J26" s="7" t="n"/>
      <c r="K26" s="7" t="n"/>
      <c r="L26" s="7" t="n"/>
      <c r="M26" s="7" t="n"/>
      <c r="N26" s="7" t="n"/>
      <c r="O26" s="7" t="n"/>
      <c r="P26" s="159" t="n">
        <v>2</v>
      </c>
      <c r="Q26" s="158" t="n">
        <v>2</v>
      </c>
      <c r="R26" s="29" t="n">
        <v>9</v>
      </c>
    </row>
    <row r="27">
      <c r="A27" s="157" t="inlineStr">
        <is>
          <t>Горный диспетчер</t>
        </is>
      </c>
      <c r="B27" s="6" t="n"/>
      <c r="C27" s="7" t="n">
        <v>6</v>
      </c>
      <c r="D27" s="7" t="n">
        <v>27</v>
      </c>
      <c r="E27" s="158" t="n">
        <v>1</v>
      </c>
      <c r="F27" s="29" t="n">
        <v>6</v>
      </c>
      <c r="G27" s="7" t="n"/>
      <c r="H27" s="7" t="n"/>
      <c r="I27" s="7" t="n"/>
      <c r="J27" s="7" t="n"/>
      <c r="K27" s="7" t="n"/>
      <c r="L27" s="7" t="n"/>
      <c r="M27" s="7" t="n"/>
      <c r="N27" s="7" t="n"/>
      <c r="O27" s="7" t="n"/>
      <c r="P27" s="7" t="n"/>
      <c r="Q27" s="158" t="n">
        <v>4</v>
      </c>
      <c r="R27" s="29" t="n">
        <v>6</v>
      </c>
    </row>
    <row r="28">
      <c r="A28" s="157" t="inlineStr">
        <is>
          <t>Горный мастер</t>
        </is>
      </c>
      <c r="B28" s="6" t="inlineStr">
        <is>
          <t>Мастер горный | Горный мастер</t>
        </is>
      </c>
      <c r="C28" s="7" t="n">
        <v>3</v>
      </c>
      <c r="D28" s="7" t="n">
        <v>7</v>
      </c>
      <c r="E28" s="7" t="n"/>
      <c r="F28" s="29" t="n">
        <v>3</v>
      </c>
      <c r="G28" s="7" t="n"/>
      <c r="H28" s="7" t="n"/>
      <c r="I28" s="7" t="n"/>
      <c r="J28" s="7" t="n"/>
      <c r="K28" s="7" t="n"/>
      <c r="L28" s="7" t="n"/>
      <c r="M28" s="7" t="n"/>
      <c r="N28" s="7" t="n"/>
      <c r="O28" s="7" t="n"/>
      <c r="P28" s="7" t="n"/>
      <c r="Q28" s="158" t="n">
        <v>1</v>
      </c>
      <c r="R28" s="29" t="n">
        <v>3</v>
      </c>
    </row>
    <row r="29">
      <c r="A29" s="157" t="inlineStr">
        <is>
          <t>Грузчик</t>
        </is>
      </c>
      <c r="B29" s="6" t="n"/>
      <c r="C29" s="7" t="n">
        <v>4</v>
      </c>
      <c r="D29" s="7" t="n">
        <v>14</v>
      </c>
      <c r="E29" s="7" t="n"/>
      <c r="F29" s="29" t="n">
        <v>4</v>
      </c>
      <c r="G29" s="7" t="n"/>
      <c r="H29" s="7" t="n"/>
      <c r="I29" s="7" t="n"/>
      <c r="J29" s="7" t="n"/>
      <c r="K29" s="7" t="n"/>
      <c r="L29" s="7" t="n"/>
      <c r="M29" s="7" t="n"/>
      <c r="N29" s="7" t="n"/>
      <c r="O29" s="7" t="n"/>
      <c r="P29" s="7" t="n"/>
      <c r="Q29" s="158" t="n">
        <v>2</v>
      </c>
      <c r="R29" s="29" t="n">
        <v>4</v>
      </c>
    </row>
    <row r="30">
      <c r="A30" s="24" t="inlineStr">
        <is>
          <t>Делопроизводитель</t>
        </is>
      </c>
      <c r="B30" s="6" t="n"/>
      <c r="C30" s="7" t="n">
        <v>1</v>
      </c>
      <c r="D30" s="7" t="n">
        <v>3</v>
      </c>
      <c r="E30" s="29" t="n">
        <v>1</v>
      </c>
      <c r="F30" s="7" t="n"/>
      <c r="G30" s="7" t="n"/>
      <c r="H30" s="7" t="n"/>
      <c r="I30" s="7" t="n"/>
      <c r="J30" s="7" t="n"/>
      <c r="K30" s="7" t="n"/>
      <c r="L30" s="7" t="n"/>
      <c r="M30" s="7" t="n"/>
      <c r="N30" s="7" t="n"/>
      <c r="O30" s="7" t="n"/>
      <c r="P30" s="7" t="n"/>
      <c r="Q30" s="29" t="n">
        <v>1</v>
      </c>
      <c r="R30" s="29" t="n">
        <v>1</v>
      </c>
    </row>
    <row r="31">
      <c r="A31" s="24" t="inlineStr">
        <is>
          <t>Директор</t>
        </is>
      </c>
      <c r="B31" s="6" t="n"/>
      <c r="C31" s="7" t="n">
        <v>1</v>
      </c>
      <c r="D31" s="7" t="n">
        <v>4</v>
      </c>
      <c r="E31" s="29" t="n">
        <v>1</v>
      </c>
      <c r="F31" s="29" t="n">
        <v>1</v>
      </c>
      <c r="G31" s="7" t="n"/>
      <c r="H31" s="7" t="n"/>
      <c r="I31" s="7" t="n"/>
      <c r="J31" s="7" t="n"/>
      <c r="K31" s="7" t="n"/>
      <c r="L31" s="7" t="n"/>
      <c r="M31" s="7" t="n"/>
      <c r="N31" s="7" t="n"/>
      <c r="O31" s="7" t="n"/>
      <c r="P31" s="7" t="n"/>
      <c r="Q31" s="29" t="n">
        <v>1</v>
      </c>
      <c r="R31" s="29" t="n">
        <v>1</v>
      </c>
    </row>
    <row r="32">
      <c r="A32" s="157" t="inlineStr">
        <is>
          <t>Дробильщик</t>
        </is>
      </c>
      <c r="B32" s="6" t="inlineStr">
        <is>
          <t>Дробильщик | Дробильщики | дробильщик</t>
        </is>
      </c>
      <c r="C32" s="7" t="n">
        <v>34</v>
      </c>
      <c r="D32" s="7" t="n">
        <v>140</v>
      </c>
      <c r="E32" s="7" t="n"/>
      <c r="F32" s="29" t="n">
        <v>34</v>
      </c>
      <c r="G32" s="7" t="n"/>
      <c r="H32" s="7" t="n"/>
      <c r="I32" s="7" t="n"/>
      <c r="J32" s="7" t="n"/>
      <c r="K32" s="7" t="n"/>
      <c r="L32" s="7" t="n"/>
      <c r="M32" s="7" t="n"/>
      <c r="N32" s="7" t="n"/>
      <c r="O32" s="7" t="n"/>
      <c r="P32" s="7" t="n"/>
      <c r="Q32" s="158" t="n">
        <v>28</v>
      </c>
      <c r="R32" s="29" t="n">
        <v>34</v>
      </c>
    </row>
    <row r="33">
      <c r="A33" s="24" t="inlineStr">
        <is>
          <t>Заведующий складом аварийно химически опасных веществ</t>
        </is>
      </c>
      <c r="B33" s="6" t="n"/>
      <c r="C33" s="7" t="n">
        <v>1</v>
      </c>
      <c r="D33" s="7" t="n">
        <v>2</v>
      </c>
      <c r="E33" s="7" t="n"/>
      <c r="F33" s="29" t="n">
        <v>1</v>
      </c>
      <c r="G33" s="7" t="n"/>
      <c r="H33" s="7" t="n"/>
      <c r="I33" s="7" t="n"/>
      <c r="J33" s="7" t="n"/>
      <c r="K33" s="7" t="n"/>
      <c r="L33" s="7" t="n"/>
      <c r="M33" s="7" t="n"/>
      <c r="N33" s="7" t="n"/>
      <c r="O33" s="7" t="n"/>
      <c r="P33" s="7" t="n"/>
      <c r="Q33" s="7" t="n"/>
      <c r="R33" s="29" t="n">
        <v>1</v>
      </c>
    </row>
    <row r="34">
      <c r="A34" s="24" t="inlineStr">
        <is>
          <t>Заместитель главного механика</t>
        </is>
      </c>
      <c r="B34" s="6" t="n"/>
      <c r="C34" s="7" t="n">
        <v>1</v>
      </c>
      <c r="D34" s="7" t="n">
        <v>2</v>
      </c>
      <c r="E34" s="7" t="n"/>
      <c r="F34" s="29" t="n">
        <v>1</v>
      </c>
      <c r="G34" s="7" t="n"/>
      <c r="H34" s="7" t="n"/>
      <c r="I34" s="7" t="n"/>
      <c r="J34" s="7" t="n"/>
      <c r="K34" s="7" t="n"/>
      <c r="L34" s="7" t="n"/>
      <c r="M34" s="7" t="n"/>
      <c r="N34" s="7" t="n"/>
      <c r="O34" s="7" t="n"/>
      <c r="P34" s="7" t="n"/>
      <c r="Q34" s="7" t="n"/>
      <c r="R34" s="29" t="n">
        <v>1</v>
      </c>
    </row>
    <row r="35">
      <c r="A35" s="24" t="inlineStr">
        <is>
          <t>Заместитель директора горно-обогатительного комплекса по производству</t>
        </is>
      </c>
      <c r="B35" s="6" t="n"/>
      <c r="C35" s="7" t="n">
        <v>1</v>
      </c>
      <c r="D35" s="7" t="n">
        <v>4</v>
      </c>
      <c r="E35" s="29" t="n">
        <v>1</v>
      </c>
      <c r="F35" s="29" t="n">
        <v>1</v>
      </c>
      <c r="G35" s="7" t="n"/>
      <c r="H35" s="7" t="n"/>
      <c r="I35" s="7" t="n"/>
      <c r="J35" s="7" t="n"/>
      <c r="K35" s="7" t="n"/>
      <c r="L35" s="7" t="n"/>
      <c r="M35" s="7" t="n"/>
      <c r="N35" s="7" t="n"/>
      <c r="O35" s="7" t="n"/>
      <c r="P35" s="7" t="n"/>
      <c r="Q35" s="29" t="n">
        <v>1</v>
      </c>
      <c r="R35" s="29" t="n">
        <v>1</v>
      </c>
    </row>
    <row r="36">
      <c r="A36" s="24" t="inlineStr">
        <is>
          <t>Заместитель начальника золотоизвлекательной фабрики</t>
        </is>
      </c>
      <c r="B36" s="6" t="n"/>
      <c r="C36" s="7" t="n">
        <v>1</v>
      </c>
      <c r="D36" s="7" t="n">
        <v>4</v>
      </c>
      <c r="E36" s="29" t="n">
        <v>1</v>
      </c>
      <c r="F36" s="29" t="n">
        <v>1</v>
      </c>
      <c r="G36" s="7" t="n"/>
      <c r="H36" s="7" t="n"/>
      <c r="I36" s="7" t="n"/>
      <c r="J36" s="7" t="n"/>
      <c r="K36" s="7" t="n"/>
      <c r="L36" s="7" t="n"/>
      <c r="M36" s="7" t="n"/>
      <c r="N36" s="7" t="n"/>
      <c r="O36" s="7" t="n"/>
      <c r="P36" s="7" t="n"/>
      <c r="Q36" s="29" t="n">
        <v>1</v>
      </c>
      <c r="R36" s="29" t="n">
        <v>1</v>
      </c>
    </row>
    <row r="37">
      <c r="A37" s="24" t="inlineStr">
        <is>
          <t>Заместитель начальника пылевентиляционной службы</t>
        </is>
      </c>
      <c r="B37" s="6" t="n"/>
      <c r="C37" s="7" t="n">
        <v>1</v>
      </c>
      <c r="D37" s="7" t="n">
        <v>2</v>
      </c>
      <c r="E37" s="7" t="n"/>
      <c r="F37" s="29" t="n">
        <v>1</v>
      </c>
      <c r="G37" s="7" t="n"/>
      <c r="H37" s="7" t="n"/>
      <c r="I37" s="7" t="n"/>
      <c r="J37" s="7" t="n"/>
      <c r="K37" s="7" t="n"/>
      <c r="L37" s="7" t="n"/>
      <c r="M37" s="7" t="n"/>
      <c r="N37" s="7" t="n"/>
      <c r="O37" s="7" t="n"/>
      <c r="P37" s="7" t="n"/>
      <c r="Q37" s="7" t="n"/>
      <c r="R37" s="29" t="n">
        <v>1</v>
      </c>
    </row>
    <row r="38">
      <c r="A38" s="24" t="inlineStr">
        <is>
          <t>Заместитель начальника участка</t>
        </is>
      </c>
      <c r="B38" s="6" t="n"/>
      <c r="C38" s="7" t="n">
        <v>1</v>
      </c>
      <c r="D38" s="7" t="n">
        <v>1</v>
      </c>
      <c r="E38" s="7" t="n"/>
      <c r="F38" s="7" t="n"/>
      <c r="G38" s="7" t="n"/>
      <c r="H38" s="29" t="n">
        <v>1</v>
      </c>
      <c r="I38" s="7" t="n"/>
      <c r="J38" s="7" t="n"/>
      <c r="K38" s="7" t="n"/>
      <c r="L38" s="7" t="n"/>
      <c r="M38" s="7" t="n"/>
      <c r="N38" s="7" t="n"/>
      <c r="O38" s="7" t="n"/>
      <c r="P38" s="7" t="n"/>
      <c r="Q38" s="7" t="n"/>
      <c r="R38" s="7" t="n"/>
    </row>
    <row r="39">
      <c r="A39" s="24" t="inlineStr">
        <is>
          <t>Заместитель начальника участка по буровзрывным работам</t>
        </is>
      </c>
      <c r="B39" s="6" t="n"/>
      <c r="C39" s="7" t="n">
        <v>1</v>
      </c>
      <c r="D39" s="7" t="n">
        <v>4</v>
      </c>
      <c r="E39" s="29" t="n">
        <v>1</v>
      </c>
      <c r="F39" s="29" t="n">
        <v>1</v>
      </c>
      <c r="G39" s="7" t="n"/>
      <c r="H39" s="7" t="n"/>
      <c r="I39" s="7" t="n"/>
      <c r="J39" s="7" t="n"/>
      <c r="K39" s="7" t="n"/>
      <c r="L39" s="7" t="n"/>
      <c r="M39" s="7" t="n"/>
      <c r="N39" s="7" t="n"/>
      <c r="O39" s="7" t="n"/>
      <c r="P39" s="7" t="n"/>
      <c r="Q39" s="29" t="n">
        <v>1</v>
      </c>
      <c r="R39" s="29" t="n">
        <v>1</v>
      </c>
    </row>
    <row r="40">
      <c r="A40" s="24" t="inlineStr">
        <is>
          <t>Инженер по планированию</t>
        </is>
      </c>
      <c r="B40" s="6" t="n"/>
      <c r="C40" s="7" t="n">
        <v>1</v>
      </c>
      <c r="D40" s="7" t="n">
        <v>3</v>
      </c>
      <c r="E40" s="7" t="n"/>
      <c r="F40" s="29" t="n">
        <v>1</v>
      </c>
      <c r="G40" s="7" t="n"/>
      <c r="H40" s="7" t="n"/>
      <c r="I40" s="7" t="n"/>
      <c r="J40" s="7" t="n"/>
      <c r="K40" s="7" t="n"/>
      <c r="L40" s="7" t="n"/>
      <c r="M40" s="7" t="n"/>
      <c r="N40" s="7" t="n"/>
      <c r="O40" s="7" t="n"/>
      <c r="P40" s="7" t="n"/>
      <c r="Q40" s="29" t="n">
        <v>1</v>
      </c>
      <c r="R40" s="29" t="n">
        <v>1</v>
      </c>
    </row>
    <row r="41">
      <c r="A41" s="24" t="inlineStr">
        <is>
          <t>Инженер по промышленной безопасности и охране труда</t>
        </is>
      </c>
      <c r="B41" s="6" t="n"/>
      <c r="C41" s="7" t="n">
        <v>2</v>
      </c>
      <c r="D41" s="7" t="n">
        <v>8</v>
      </c>
      <c r="E41" s="29" t="n">
        <v>2</v>
      </c>
      <c r="F41" s="29" t="n">
        <v>2</v>
      </c>
      <c r="G41" s="7" t="n"/>
      <c r="H41" s="7" t="n"/>
      <c r="I41" s="7" t="n"/>
      <c r="J41" s="7" t="n"/>
      <c r="K41" s="7" t="n"/>
      <c r="L41" s="7" t="n"/>
      <c r="M41" s="7" t="n"/>
      <c r="N41" s="7" t="n"/>
      <c r="O41" s="7" t="n"/>
      <c r="P41" s="7" t="n"/>
      <c r="Q41" s="29" t="n">
        <v>2</v>
      </c>
      <c r="R41" s="29" t="n">
        <v>2</v>
      </c>
    </row>
    <row r="42">
      <c r="A42" s="24" t="inlineStr">
        <is>
          <t>Инженер пробирного анализа</t>
        </is>
      </c>
      <c r="B42" s="6" t="n"/>
      <c r="C42" s="7" t="n">
        <v>1</v>
      </c>
      <c r="D42" s="7" t="n">
        <v>3</v>
      </c>
      <c r="E42" s="7" t="n"/>
      <c r="F42" s="29" t="n">
        <v>1</v>
      </c>
      <c r="G42" s="7" t="n"/>
      <c r="H42" s="7" t="n"/>
      <c r="I42" s="7" t="n"/>
      <c r="J42" s="7" t="n"/>
      <c r="K42" s="7" t="n"/>
      <c r="L42" s="7" t="n"/>
      <c r="M42" s="7" t="n"/>
      <c r="N42" s="7" t="n"/>
      <c r="O42" s="7" t="n"/>
      <c r="P42" s="7" t="n"/>
      <c r="Q42" s="29" t="n">
        <v>1</v>
      </c>
      <c r="R42" s="29" t="n">
        <v>1</v>
      </c>
    </row>
    <row r="43">
      <c r="A43" s="24" t="inlineStr">
        <is>
          <t>Инженер строительного контроля</t>
        </is>
      </c>
      <c r="B43" s="6" t="n"/>
      <c r="C43" s="7" t="n">
        <v>1</v>
      </c>
      <c r="D43" s="7" t="n">
        <v>2</v>
      </c>
      <c r="E43" s="7" t="n"/>
      <c r="F43" s="29" t="n">
        <v>1</v>
      </c>
      <c r="G43" s="7" t="n"/>
      <c r="H43" s="7" t="n"/>
      <c r="I43" s="7" t="n"/>
      <c r="J43" s="7" t="n"/>
      <c r="K43" s="7" t="n"/>
      <c r="L43" s="7" t="n"/>
      <c r="M43" s="7" t="n"/>
      <c r="N43" s="7" t="n"/>
      <c r="O43" s="7" t="n"/>
      <c r="P43" s="7" t="n"/>
      <c r="Q43" s="7" t="n"/>
      <c r="R43" s="29" t="n">
        <v>1</v>
      </c>
    </row>
    <row r="44">
      <c r="A44" s="24" t="inlineStr">
        <is>
          <t>Инженер химического анализа</t>
        </is>
      </c>
      <c r="B44" s="6" t="inlineStr">
        <is>
          <t>Инженер химического анализа | Инженр хемического анариза</t>
        </is>
      </c>
      <c r="C44" s="7" t="n">
        <v>2</v>
      </c>
      <c r="D44" s="7" t="n">
        <v>6</v>
      </c>
      <c r="E44" s="7" t="n"/>
      <c r="F44" s="29" t="n">
        <v>2</v>
      </c>
      <c r="G44" s="7" t="n"/>
      <c r="H44" s="7" t="n"/>
      <c r="I44" s="7" t="n"/>
      <c r="J44" s="7" t="n"/>
      <c r="K44" s="7" t="n"/>
      <c r="L44" s="7" t="n"/>
      <c r="M44" s="7" t="n"/>
      <c r="N44" s="7" t="n"/>
      <c r="O44" s="7" t="n"/>
      <c r="P44" s="7" t="n"/>
      <c r="Q44" s="29" t="n">
        <v>2</v>
      </c>
      <c r="R44" s="29" t="n">
        <v>2</v>
      </c>
    </row>
    <row r="45">
      <c r="A45" s="157" t="inlineStr">
        <is>
          <t>Инженер-исследователь</t>
        </is>
      </c>
      <c r="B45" s="6" t="n"/>
      <c r="C45" s="7" t="n">
        <v>2</v>
      </c>
      <c r="D45" s="7" t="n">
        <v>4</v>
      </c>
      <c r="E45" s="7" t="n"/>
      <c r="F45" s="29" t="n">
        <v>2</v>
      </c>
      <c r="G45" s="7" t="n"/>
      <c r="H45" s="7" t="n"/>
      <c r="I45" s="7" t="n"/>
      <c r="J45" s="7" t="n"/>
      <c r="K45" s="7" t="n"/>
      <c r="L45" s="7" t="n"/>
      <c r="M45" s="7" t="n"/>
      <c r="N45" s="7" t="n"/>
      <c r="O45" s="7" t="n"/>
      <c r="P45" s="7" t="n"/>
      <c r="Q45" s="158" t="n">
        <v>1</v>
      </c>
      <c r="R45" s="158" t="n">
        <v>1</v>
      </c>
    </row>
    <row r="46">
      <c r="A46" s="157" t="inlineStr">
        <is>
          <t>Кладовщик</t>
        </is>
      </c>
      <c r="B46" s="6" t="n"/>
      <c r="C46" s="7" t="n">
        <v>8</v>
      </c>
      <c r="D46" s="7" t="n">
        <v>28</v>
      </c>
      <c r="E46" s="7" t="n"/>
      <c r="F46" s="29" t="n">
        <v>8</v>
      </c>
      <c r="G46" s="7" t="n"/>
      <c r="H46" s="7" t="n"/>
      <c r="I46" s="7" t="n"/>
      <c r="J46" s="7" t="n"/>
      <c r="K46" s="7" t="n"/>
      <c r="L46" s="7" t="n"/>
      <c r="M46" s="7" t="n"/>
      <c r="N46" s="7" t="n"/>
      <c r="O46" s="7" t="n"/>
      <c r="P46" s="7" t="n"/>
      <c r="Q46" s="158" t="n">
        <v>6</v>
      </c>
      <c r="R46" s="29" t="n">
        <v>8</v>
      </c>
    </row>
    <row r="47">
      <c r="A47" s="24" t="inlineStr">
        <is>
          <t>Кладовщик (с исполнением обязанностей ламповщика)</t>
        </is>
      </c>
      <c r="B47" s="6" t="n"/>
      <c r="C47" s="7" t="n">
        <v>1</v>
      </c>
      <c r="D47" s="7" t="n">
        <v>2</v>
      </c>
      <c r="E47" s="7" t="n"/>
      <c r="F47" s="29" t="n">
        <v>1</v>
      </c>
      <c r="G47" s="7" t="n"/>
      <c r="H47" s="7" t="n"/>
      <c r="I47" s="7" t="n"/>
      <c r="J47" s="7" t="n"/>
      <c r="K47" s="7" t="n"/>
      <c r="L47" s="7" t="n"/>
      <c r="M47" s="7" t="n"/>
      <c r="N47" s="7" t="n"/>
      <c r="O47" s="7" t="n"/>
      <c r="P47" s="7" t="n"/>
      <c r="Q47" s="7" t="n"/>
      <c r="R47" s="29" t="n">
        <v>1</v>
      </c>
    </row>
    <row r="48">
      <c r="A48" s="24" t="inlineStr">
        <is>
          <t>Контролер</t>
        </is>
      </c>
      <c r="B48" s="6" t="n"/>
      <c r="C48" s="7" t="n">
        <v>6</v>
      </c>
      <c r="D48" s="7" t="n">
        <v>12</v>
      </c>
      <c r="E48" s="7" t="n"/>
      <c r="F48" s="29" t="n">
        <v>6</v>
      </c>
      <c r="G48" s="7" t="n"/>
      <c r="H48" s="7" t="n"/>
      <c r="I48" s="7" t="n"/>
      <c r="J48" s="7" t="n"/>
      <c r="K48" s="7" t="n"/>
      <c r="L48" s="7" t="n"/>
      <c r="M48" s="7" t="n"/>
      <c r="N48" s="7" t="n"/>
      <c r="O48" s="7" t="n"/>
      <c r="P48" s="7" t="n"/>
      <c r="Q48" s="7" t="n"/>
      <c r="R48" s="29" t="n">
        <v>6</v>
      </c>
    </row>
    <row r="49">
      <c r="A49" s="24" t="inlineStr">
        <is>
          <t>Контролер (золото-приемной кассы)</t>
        </is>
      </c>
      <c r="B49" s="6" t="n"/>
      <c r="C49" s="7" t="n">
        <v>1</v>
      </c>
      <c r="D49" s="7" t="n">
        <v>2</v>
      </c>
      <c r="E49" s="7" t="n"/>
      <c r="F49" s="29" t="n">
        <v>1</v>
      </c>
      <c r="G49" s="7" t="n"/>
      <c r="H49" s="7" t="n"/>
      <c r="I49" s="7" t="n"/>
      <c r="J49" s="7" t="n"/>
      <c r="K49" s="7" t="n"/>
      <c r="L49" s="7" t="n"/>
      <c r="M49" s="7" t="n"/>
      <c r="N49" s="7" t="n"/>
      <c r="O49" s="7" t="n"/>
      <c r="P49" s="7" t="n"/>
      <c r="Q49" s="7" t="n"/>
      <c r="R49" s="29" t="n">
        <v>1</v>
      </c>
    </row>
    <row r="50">
      <c r="A50" s="157" t="inlineStr">
        <is>
          <t>Контролер продукции обогащения</t>
        </is>
      </c>
      <c r="B50" s="6" t="inlineStr">
        <is>
          <t>Контролер продукции обогащения | Контролёр продукции обогащения</t>
        </is>
      </c>
      <c r="C50" s="7" t="n">
        <v>6</v>
      </c>
      <c r="D50" s="7" t="n">
        <v>19</v>
      </c>
      <c r="E50" s="7" t="n"/>
      <c r="F50" s="29" t="n">
        <v>6</v>
      </c>
      <c r="G50" s="7" t="n"/>
      <c r="H50" s="7" t="n"/>
      <c r="I50" s="7" t="n"/>
      <c r="J50" s="7" t="n"/>
      <c r="K50" s="7" t="n"/>
      <c r="L50" s="7" t="n"/>
      <c r="M50" s="7" t="n"/>
      <c r="N50" s="7" t="n"/>
      <c r="O50" s="7" t="n"/>
      <c r="P50" s="7" t="n"/>
      <c r="Q50" s="158" t="n">
        <v>5</v>
      </c>
      <c r="R50" s="29" t="n">
        <v>6</v>
      </c>
    </row>
    <row r="51">
      <c r="A51" s="157" t="inlineStr">
        <is>
          <t>Крепильщик</t>
        </is>
      </c>
      <c r="B51" s="6" t="n"/>
      <c r="C51" s="7" t="n">
        <v>14</v>
      </c>
      <c r="D51" s="7" t="n">
        <v>47</v>
      </c>
      <c r="E51" s="7" t="n"/>
      <c r="F51" s="29" t="n">
        <v>14</v>
      </c>
      <c r="G51" s="7" t="n"/>
      <c r="H51" s="7" t="n"/>
      <c r="I51" s="7" t="n"/>
      <c r="J51" s="7" t="n"/>
      <c r="K51" s="7" t="n"/>
      <c r="L51" s="7" t="n"/>
      <c r="M51" s="7" t="n"/>
      <c r="N51" s="7" t="n"/>
      <c r="O51" s="7" t="n"/>
      <c r="P51" s="7" t="n"/>
      <c r="Q51" s="158" t="n">
        <v>11</v>
      </c>
      <c r="R51" s="29" t="n">
        <v>14</v>
      </c>
    </row>
    <row r="52">
      <c r="A52" s="157" t="inlineStr">
        <is>
          <t>Крепильщик (пылевентиляционная служба)</t>
        </is>
      </c>
      <c r="B52" s="6" t="n"/>
      <c r="C52" s="7" t="n">
        <v>2</v>
      </c>
      <c r="D52" s="7" t="n">
        <v>5</v>
      </c>
      <c r="E52" s="7" t="n"/>
      <c r="F52" s="29" t="n">
        <v>2</v>
      </c>
      <c r="G52" s="7" t="n"/>
      <c r="H52" s="7" t="n"/>
      <c r="I52" s="7" t="n"/>
      <c r="J52" s="7" t="n"/>
      <c r="K52" s="7" t="n"/>
      <c r="L52" s="7" t="n"/>
      <c r="M52" s="7" t="n"/>
      <c r="N52" s="7" t="n"/>
      <c r="O52" s="7" t="n"/>
      <c r="P52" s="7" t="n"/>
      <c r="Q52" s="158" t="n">
        <v>1</v>
      </c>
      <c r="R52" s="29" t="n">
        <v>2</v>
      </c>
    </row>
    <row r="53">
      <c r="A53" s="157" t="inlineStr">
        <is>
          <t>Кухонный рабочий</t>
        </is>
      </c>
      <c r="B53" s="6" t="n"/>
      <c r="C53" s="7" t="n">
        <v>26</v>
      </c>
      <c r="D53" s="7" t="n">
        <v>71</v>
      </c>
      <c r="E53" s="7" t="n"/>
      <c r="F53" s="29" t="n">
        <v>26</v>
      </c>
      <c r="G53" s="7" t="n"/>
      <c r="H53" s="7" t="n"/>
      <c r="I53" s="7" t="n"/>
      <c r="J53" s="7" t="n"/>
      <c r="K53" s="7" t="n"/>
      <c r="L53" s="7" t="n"/>
      <c r="M53" s="7" t="n"/>
      <c r="N53" s="7" t="n"/>
      <c r="O53" s="7" t="n"/>
      <c r="P53" s="7" t="n"/>
      <c r="Q53" s="158" t="n">
        <v>19</v>
      </c>
      <c r="R53" s="29" t="n">
        <v>26</v>
      </c>
    </row>
    <row r="54">
      <c r="A54" s="157" t="inlineStr">
        <is>
          <t>Лаборант пробирного анализа</t>
        </is>
      </c>
      <c r="B54" s="6" t="n"/>
      <c r="C54" s="7" t="n">
        <v>13</v>
      </c>
      <c r="D54" s="7" t="n">
        <v>56</v>
      </c>
      <c r="E54" s="7" t="n"/>
      <c r="F54" s="29" t="n">
        <v>13</v>
      </c>
      <c r="G54" s="7" t="n"/>
      <c r="H54" s="7" t="n"/>
      <c r="I54" s="7" t="n"/>
      <c r="J54" s="7" t="n"/>
      <c r="K54" s="7" t="n"/>
      <c r="L54" s="7" t="n"/>
      <c r="M54" s="7" t="n"/>
      <c r="N54" s="7" t="n"/>
      <c r="O54" s="7" t="n"/>
      <c r="P54" s="7" t="n"/>
      <c r="Q54" s="158" t="n">
        <v>11</v>
      </c>
      <c r="R54" s="29" t="n">
        <v>13</v>
      </c>
    </row>
    <row r="55">
      <c r="A55" s="157" t="inlineStr">
        <is>
          <t>Лаборант химического анализа</t>
        </is>
      </c>
      <c r="B55" s="6" t="n"/>
      <c r="C55" s="7" t="n">
        <v>7</v>
      </c>
      <c r="D55" s="7" t="n">
        <v>20</v>
      </c>
      <c r="E55" s="7" t="n"/>
      <c r="F55" s="29" t="n">
        <v>7</v>
      </c>
      <c r="G55" s="7" t="n"/>
      <c r="H55" s="7" t="n"/>
      <c r="I55" s="7" t="n"/>
      <c r="J55" s="7" t="n"/>
      <c r="K55" s="7" t="n"/>
      <c r="L55" s="7" t="n"/>
      <c r="M55" s="7" t="n"/>
      <c r="N55" s="7" t="n"/>
      <c r="O55" s="7" t="n"/>
      <c r="P55" s="7" t="n"/>
      <c r="Q55" s="158" t="n">
        <v>4</v>
      </c>
      <c r="R55" s="29" t="n">
        <v>7</v>
      </c>
    </row>
    <row r="56">
      <c r="A56" s="24" t="inlineStr">
        <is>
          <t>Ламповщик</t>
        </is>
      </c>
      <c r="B56" s="6" t="n"/>
      <c r="C56" s="7" t="n">
        <v>6</v>
      </c>
      <c r="D56" s="7" t="n">
        <v>21</v>
      </c>
      <c r="E56" s="7" t="n"/>
      <c r="F56" s="29" t="n">
        <v>6</v>
      </c>
      <c r="G56" s="7" t="n"/>
      <c r="H56" s="7" t="n"/>
      <c r="I56" s="7" t="n"/>
      <c r="J56" s="7" t="n"/>
      <c r="K56" s="7" t="n"/>
      <c r="L56" s="7" t="n"/>
      <c r="M56" s="7" t="n"/>
      <c r="N56" s="7" t="n"/>
      <c r="O56" s="7" t="n"/>
      <c r="P56" s="7" t="n"/>
      <c r="Q56" s="29" t="n">
        <v>6</v>
      </c>
      <c r="R56" s="29" t="n">
        <v>6</v>
      </c>
    </row>
    <row r="57">
      <c r="A57" s="24" t="inlineStr">
        <is>
          <t>Мастер погрузочно-разгрузочных работ</t>
        </is>
      </c>
      <c r="B57" s="6" t="n"/>
      <c r="C57" s="7" t="n">
        <v>1</v>
      </c>
      <c r="D57" s="7" t="n">
        <v>3</v>
      </c>
      <c r="E57" s="7" t="n"/>
      <c r="F57" s="29" t="n">
        <v>1</v>
      </c>
      <c r="G57" s="7" t="n"/>
      <c r="H57" s="7" t="n"/>
      <c r="I57" s="7" t="n"/>
      <c r="J57" s="7" t="n"/>
      <c r="K57" s="7" t="n"/>
      <c r="L57" s="7" t="n"/>
      <c r="M57" s="7" t="n"/>
      <c r="N57" s="7" t="n"/>
      <c r="O57" s="7" t="n"/>
      <c r="P57" s="7" t="n"/>
      <c r="Q57" s="29" t="n">
        <v>1</v>
      </c>
      <c r="R57" s="29" t="n">
        <v>1</v>
      </c>
    </row>
    <row r="58">
      <c r="A58" s="24" t="inlineStr">
        <is>
          <t>Машинист (кочегар) котельной</t>
        </is>
      </c>
      <c r="B58" s="6" t="inlineStr">
        <is>
          <t>Машинист (кочегар) котельной | Машинист кочегар котельной</t>
        </is>
      </c>
      <c r="C58" s="7" t="n">
        <v>3</v>
      </c>
      <c r="D58" s="7" t="n">
        <v>9</v>
      </c>
      <c r="E58" s="7" t="n"/>
      <c r="F58" s="29" t="n">
        <v>3</v>
      </c>
      <c r="G58" s="7" t="n"/>
      <c r="H58" s="7" t="n"/>
      <c r="I58" s="7" t="n"/>
      <c r="J58" s="7" t="n"/>
      <c r="K58" s="7" t="n"/>
      <c r="L58" s="7" t="n"/>
      <c r="M58" s="7" t="n"/>
      <c r="N58" s="7" t="n"/>
      <c r="O58" s="7" t="n"/>
      <c r="P58" s="7" t="n"/>
      <c r="Q58" s="29" t="n">
        <v>3</v>
      </c>
      <c r="R58" s="29" t="n">
        <v>3</v>
      </c>
    </row>
    <row r="59">
      <c r="A59" s="157" t="inlineStr">
        <is>
          <t>Машинист автогрейдера</t>
        </is>
      </c>
      <c r="B59" s="6" t="inlineStr">
        <is>
          <t>Машинист автогрейдера | машинист автогрейдера</t>
        </is>
      </c>
      <c r="C59" s="7" t="n">
        <v>3</v>
      </c>
      <c r="D59" s="7" t="n">
        <v>8</v>
      </c>
      <c r="E59" s="7" t="n"/>
      <c r="F59" s="29" t="n">
        <v>3</v>
      </c>
      <c r="G59" s="7" t="n"/>
      <c r="H59" s="7" t="n"/>
      <c r="I59" s="7" t="n"/>
      <c r="J59" s="7" t="n"/>
      <c r="K59" s="7" t="n"/>
      <c r="L59" s="7" t="n"/>
      <c r="M59" s="7" t="n"/>
      <c r="N59" s="7" t="n"/>
      <c r="O59" s="7" t="n"/>
      <c r="P59" s="7" t="n"/>
      <c r="Q59" s="158" t="n">
        <v>2</v>
      </c>
      <c r="R59" s="29" t="n">
        <v>3</v>
      </c>
    </row>
    <row r="60">
      <c r="A60" s="157" t="inlineStr">
        <is>
          <t>Машинист бульдозера</t>
        </is>
      </c>
      <c r="B60" s="6" t="n"/>
      <c r="C60" s="7" t="n">
        <v>24</v>
      </c>
      <c r="D60" s="7" t="n">
        <v>82</v>
      </c>
      <c r="E60" s="7" t="n"/>
      <c r="F60" s="29" t="n">
        <v>24</v>
      </c>
      <c r="G60" s="7" t="n"/>
      <c r="H60" s="7" t="n"/>
      <c r="I60" s="7" t="n"/>
      <c r="J60" s="7" t="n"/>
      <c r="K60" s="7" t="n"/>
      <c r="L60" s="7" t="n"/>
      <c r="M60" s="7" t="n"/>
      <c r="N60" s="7" t="n"/>
      <c r="O60" s="7" t="n"/>
      <c r="P60" s="7" t="n"/>
      <c r="Q60" s="158" t="n">
        <v>15</v>
      </c>
      <c r="R60" s="29" t="n">
        <v>24</v>
      </c>
    </row>
    <row r="61">
      <c r="A61" s="24" t="inlineStr">
        <is>
          <t>Машинист буровой установки</t>
        </is>
      </c>
      <c r="B61" s="6" t="n"/>
      <c r="C61" s="7" t="n">
        <v>4</v>
      </c>
      <c r="D61" s="7" t="n">
        <v>8</v>
      </c>
      <c r="E61" s="7" t="n"/>
      <c r="F61" s="29" t="n">
        <v>4</v>
      </c>
      <c r="G61" s="7" t="n"/>
      <c r="H61" s="7" t="n"/>
      <c r="I61" s="7" t="n"/>
      <c r="J61" s="7" t="n"/>
      <c r="K61" s="7" t="n"/>
      <c r="L61" s="7" t="n"/>
      <c r="M61" s="7" t="n"/>
      <c r="N61" s="7" t="n"/>
      <c r="O61" s="7" t="n"/>
      <c r="P61" s="7" t="n"/>
      <c r="Q61" s="7" t="n"/>
      <c r="R61" s="29" t="n">
        <v>4</v>
      </c>
    </row>
    <row r="62">
      <c r="A62" s="24" t="inlineStr">
        <is>
          <t>Машинист буровой установки (НКР)</t>
        </is>
      </c>
      <c r="B62" s="6" t="n"/>
      <c r="C62" s="7" t="n">
        <v>3</v>
      </c>
      <c r="D62" s="7" t="n">
        <v>9</v>
      </c>
      <c r="E62" s="7" t="n"/>
      <c r="F62" s="29" t="n">
        <v>3</v>
      </c>
      <c r="G62" s="7" t="n"/>
      <c r="H62" s="7" t="n"/>
      <c r="I62" s="7" t="n"/>
      <c r="J62" s="7" t="n"/>
      <c r="K62" s="7" t="n"/>
      <c r="L62" s="7" t="n"/>
      <c r="M62" s="7" t="n"/>
      <c r="N62" s="7" t="n"/>
      <c r="O62" s="7" t="n"/>
      <c r="P62" s="7" t="n"/>
      <c r="Q62" s="29" t="n">
        <v>3</v>
      </c>
      <c r="R62" s="29" t="n">
        <v>3</v>
      </c>
    </row>
    <row r="63">
      <c r="A63" s="157" t="inlineStr">
        <is>
          <t>Машинист двигателей внутреннего сгорания</t>
        </is>
      </c>
      <c r="B63" s="6" t="inlineStr">
        <is>
          <t>Машинист двигателей внутреннего сгорания | Машинист ДВС | Машинист двигателей внутрениго сгорания</t>
        </is>
      </c>
      <c r="C63" s="7" t="n">
        <v>18</v>
      </c>
      <c r="D63" s="7" t="n">
        <v>57</v>
      </c>
      <c r="E63" s="7" t="n"/>
      <c r="F63" s="29" t="n">
        <v>18</v>
      </c>
      <c r="G63" s="7" t="n"/>
      <c r="H63" s="7" t="n"/>
      <c r="I63" s="7" t="n"/>
      <c r="J63" s="7" t="n"/>
      <c r="K63" s="7" t="n"/>
      <c r="L63" s="7" t="n"/>
      <c r="M63" s="7" t="n"/>
      <c r="N63" s="7" t="n"/>
      <c r="O63" s="7" t="n"/>
      <c r="P63" s="7" t="n"/>
      <c r="Q63" s="158" t="n">
        <v>13</v>
      </c>
      <c r="R63" s="29" t="n">
        <v>18</v>
      </c>
    </row>
    <row r="64">
      <c r="A64" s="24" t="inlineStr">
        <is>
          <t>Машинист двигателей внутреннего сгорания (с исполнением обязанностей машиниста компрессорных установок)</t>
        </is>
      </c>
      <c r="B64" s="6" t="inlineStr">
        <is>
          <t>Машинист ДВС с обязанностями компрессорщик | Машинист двигателей внутреннего сгорания (с исполнением обязанностей машиниста компрессорных установок) | Машинист двигателей внутреннего сгорания c обязанностями компрессорщика</t>
        </is>
      </c>
      <c r="C64" s="7" t="n">
        <v>6</v>
      </c>
      <c r="D64" s="7" t="n">
        <v>24</v>
      </c>
      <c r="E64" s="7" t="n"/>
      <c r="F64" s="29" t="n">
        <v>6</v>
      </c>
      <c r="G64" s="7" t="n"/>
      <c r="H64" s="7" t="n"/>
      <c r="I64" s="7" t="n"/>
      <c r="J64" s="7" t="n"/>
      <c r="K64" s="7" t="n"/>
      <c r="L64" s="7" t="n"/>
      <c r="M64" s="7" t="n"/>
      <c r="N64" s="7" t="n"/>
      <c r="O64" s="7" t="n"/>
      <c r="P64" s="7" t="n"/>
      <c r="Q64" s="29" t="n">
        <v>6</v>
      </c>
      <c r="R64" s="29" t="n">
        <v>6</v>
      </c>
    </row>
    <row r="65">
      <c r="A65" s="24" t="inlineStr">
        <is>
          <t>Машинист катка</t>
        </is>
      </c>
      <c r="B65" s="6" t="n"/>
      <c r="C65" s="7" t="n">
        <v>1</v>
      </c>
      <c r="D65" s="7" t="n">
        <v>3</v>
      </c>
      <c r="E65" s="7" t="n"/>
      <c r="F65" s="29" t="n">
        <v>1</v>
      </c>
      <c r="G65" s="7" t="n"/>
      <c r="H65" s="7" t="n"/>
      <c r="I65" s="7" t="n"/>
      <c r="J65" s="7" t="n"/>
      <c r="K65" s="7" t="n"/>
      <c r="L65" s="7" t="n"/>
      <c r="M65" s="7" t="n"/>
      <c r="N65" s="7" t="n"/>
      <c r="O65" s="7" t="n"/>
      <c r="P65" s="7" t="n"/>
      <c r="Q65" s="29" t="n">
        <v>1</v>
      </c>
      <c r="R65" s="29" t="n">
        <v>1</v>
      </c>
    </row>
    <row r="66">
      <c r="A66" s="157" t="inlineStr">
        <is>
          <t>Машинист конвейера</t>
        </is>
      </c>
      <c r="B66" s="6" t="inlineStr">
        <is>
          <t>Машинист конвейера | машинист конвейра | Машинист конвейра</t>
        </is>
      </c>
      <c r="C66" s="7" t="n">
        <v>6</v>
      </c>
      <c r="D66" s="7" t="n">
        <v>22</v>
      </c>
      <c r="E66" s="7" t="n"/>
      <c r="F66" s="29" t="n">
        <v>6</v>
      </c>
      <c r="G66" s="7" t="n"/>
      <c r="H66" s="7" t="n"/>
      <c r="I66" s="7" t="n"/>
      <c r="J66" s="7" t="n"/>
      <c r="K66" s="7" t="n"/>
      <c r="L66" s="7" t="n"/>
      <c r="M66" s="7" t="n"/>
      <c r="N66" s="7" t="n"/>
      <c r="O66" s="7" t="n"/>
      <c r="P66" s="7" t="n"/>
      <c r="Q66" s="158" t="n">
        <v>4</v>
      </c>
      <c r="R66" s="29" t="n">
        <v>6</v>
      </c>
    </row>
    <row r="67">
      <c r="A67" s="157" t="inlineStr">
        <is>
          <t>Машинист крана автомобильного</t>
        </is>
      </c>
      <c r="B67" s="6" t="n"/>
      <c r="C67" s="7" t="n">
        <v>8</v>
      </c>
      <c r="D67" s="7" t="n">
        <v>21</v>
      </c>
      <c r="E67" s="7" t="n"/>
      <c r="F67" s="158" t="n">
        <v>6</v>
      </c>
      <c r="G67" s="7" t="n"/>
      <c r="H67" s="7" t="n"/>
      <c r="I67" s="7" t="n"/>
      <c r="J67" s="7" t="n"/>
      <c r="K67" s="7" t="n"/>
      <c r="L67" s="7" t="n"/>
      <c r="M67" s="7" t="n"/>
      <c r="N67" s="7" t="n"/>
      <c r="O67" s="7" t="n"/>
      <c r="P67" s="7" t="n"/>
      <c r="Q67" s="158" t="n">
        <v>6</v>
      </c>
      <c r="R67" s="158" t="n">
        <v>6</v>
      </c>
    </row>
    <row r="68">
      <c r="A68" s="157" t="inlineStr">
        <is>
          <t>Машинист крана автомобильного (КМУ)</t>
        </is>
      </c>
      <c r="B68" s="6" t="n"/>
      <c r="C68" s="7" t="n">
        <v>3</v>
      </c>
      <c r="D68" s="7" t="n">
        <v>7</v>
      </c>
      <c r="E68" s="7" t="n"/>
      <c r="F68" s="29" t="n">
        <v>3</v>
      </c>
      <c r="G68" s="7" t="n"/>
      <c r="H68" s="7" t="n"/>
      <c r="I68" s="7" t="n"/>
      <c r="J68" s="7" t="n"/>
      <c r="K68" s="7" t="n"/>
      <c r="L68" s="7" t="n"/>
      <c r="M68" s="7" t="n"/>
      <c r="N68" s="7" t="n"/>
      <c r="O68" s="7" t="n"/>
      <c r="P68" s="7" t="n"/>
      <c r="Q68" s="158" t="n">
        <v>1</v>
      </c>
      <c r="R68" s="29" t="n">
        <v>3</v>
      </c>
    </row>
    <row r="69">
      <c r="A69" s="157" t="inlineStr">
        <is>
          <t>Машинист мельниц</t>
        </is>
      </c>
      <c r="B69" s="6" t="inlineStr">
        <is>
          <t>Машинист мельниц | Машинист мельницы</t>
        </is>
      </c>
      <c r="C69" s="7" t="n">
        <v>10</v>
      </c>
      <c r="D69" s="7" t="n">
        <v>36</v>
      </c>
      <c r="E69" s="7" t="n"/>
      <c r="F69" s="29" t="n">
        <v>10</v>
      </c>
      <c r="G69" s="159" t="n">
        <v>1</v>
      </c>
      <c r="H69" s="7" t="n"/>
      <c r="I69" s="159" t="n">
        <v>1</v>
      </c>
      <c r="J69" s="7" t="n"/>
      <c r="K69" s="7" t="n"/>
      <c r="L69" s="7" t="n"/>
      <c r="M69" s="7" t="n"/>
      <c r="N69" s="7" t="n"/>
      <c r="O69" s="7" t="n"/>
      <c r="P69" s="7" t="n"/>
      <c r="Q69" s="158" t="n">
        <v>8</v>
      </c>
      <c r="R69" s="29" t="n">
        <v>10</v>
      </c>
    </row>
    <row r="70">
      <c r="A70" s="157" t="inlineStr">
        <is>
          <t>Машинист насосных установок</t>
        </is>
      </c>
      <c r="B70" s="6" t="inlineStr">
        <is>
          <t>Машинист насосных установок | Машинист насосной установки</t>
        </is>
      </c>
      <c r="C70" s="7" t="n">
        <v>11</v>
      </c>
      <c r="D70" s="7" t="n">
        <v>35</v>
      </c>
      <c r="E70" s="7" t="n"/>
      <c r="F70" s="29" t="n">
        <v>11</v>
      </c>
      <c r="G70" s="7" t="n"/>
      <c r="H70" s="7" t="n"/>
      <c r="I70" s="7" t="n"/>
      <c r="J70" s="7" t="n"/>
      <c r="K70" s="7" t="n"/>
      <c r="L70" s="7" t="n"/>
      <c r="M70" s="7" t="n"/>
      <c r="N70" s="7" t="n"/>
      <c r="O70" s="7" t="n"/>
      <c r="P70" s="7" t="n"/>
      <c r="Q70" s="158" t="n">
        <v>7</v>
      </c>
      <c r="R70" s="29" t="n">
        <v>11</v>
      </c>
    </row>
    <row r="71">
      <c r="A71" s="157" t="inlineStr">
        <is>
          <t>Машинист погрузочно-доставочной машины</t>
        </is>
      </c>
      <c r="B71" s="6" t="n"/>
      <c r="C71" s="7" t="n">
        <v>22</v>
      </c>
      <c r="D71" s="7" t="n">
        <v>91</v>
      </c>
      <c r="E71" s="7" t="n"/>
      <c r="F71" s="29" t="n">
        <v>22</v>
      </c>
      <c r="G71" s="7" t="n"/>
      <c r="H71" s="7" t="n"/>
      <c r="I71" s="7" t="n"/>
      <c r="J71" s="7" t="n"/>
      <c r="K71" s="7" t="n"/>
      <c r="L71" s="7" t="n"/>
      <c r="M71" s="7" t="n"/>
      <c r="N71" s="7" t="n"/>
      <c r="O71" s="7" t="n"/>
      <c r="P71" s="7" t="n"/>
      <c r="Q71" s="158" t="n">
        <v>19</v>
      </c>
      <c r="R71" s="29" t="n">
        <v>22</v>
      </c>
    </row>
    <row r="72">
      <c r="A72" s="157" t="inlineStr">
        <is>
          <t>Машинист погрузочно-доставочной машины (занятый на транспортировании горной массы в технологическом процессе)</t>
        </is>
      </c>
      <c r="B72" s="6" t="n"/>
      <c r="C72" s="7" t="n">
        <v>29</v>
      </c>
      <c r="D72" s="7" t="n">
        <v>106</v>
      </c>
      <c r="E72" s="7" t="n"/>
      <c r="F72" s="29" t="n">
        <v>29</v>
      </c>
      <c r="G72" s="7" t="n"/>
      <c r="H72" s="7" t="n"/>
      <c r="I72" s="7" t="n"/>
      <c r="J72" s="7" t="n"/>
      <c r="K72" s="7" t="n"/>
      <c r="L72" s="7" t="n"/>
      <c r="M72" s="7" t="n"/>
      <c r="N72" s="7" t="n"/>
      <c r="O72" s="7" t="n"/>
      <c r="P72" s="7" t="n"/>
      <c r="Q72" s="158" t="n">
        <v>21</v>
      </c>
      <c r="R72" s="29" t="n">
        <v>29</v>
      </c>
    </row>
    <row r="73">
      <c r="A73" s="157" t="inlineStr">
        <is>
          <t>Машинист погрузочно-доставочной машины (ТГМ)</t>
        </is>
      </c>
      <c r="B73" s="6" t="inlineStr">
        <is>
          <t>Машинист погрузочно-доставочной машины (ТГМ) | Машинист ТГМ</t>
        </is>
      </c>
      <c r="C73" s="7" t="n">
        <v>3</v>
      </c>
      <c r="D73" s="7" t="n">
        <v>8</v>
      </c>
      <c r="E73" s="7" t="n"/>
      <c r="F73" s="29" t="n">
        <v>3</v>
      </c>
      <c r="G73" s="7" t="n"/>
      <c r="H73" s="7" t="n"/>
      <c r="I73" s="7" t="n"/>
      <c r="J73" s="7" t="n"/>
      <c r="K73" s="7" t="n"/>
      <c r="L73" s="7" t="n"/>
      <c r="M73" s="7" t="n"/>
      <c r="N73" s="7" t="n"/>
      <c r="O73" s="7" t="n"/>
      <c r="P73" s="7" t="n"/>
      <c r="Q73" s="158" t="n">
        <v>2</v>
      </c>
      <c r="R73" s="29" t="n">
        <v>3</v>
      </c>
    </row>
    <row r="74">
      <c r="A74" s="24" t="inlineStr">
        <is>
          <t>Машинист подземно-доставочной машины</t>
        </is>
      </c>
      <c r="B74" s="6" t="n"/>
      <c r="C74" s="7" t="n">
        <v>16</v>
      </c>
      <c r="D74" s="7" t="n">
        <v>48</v>
      </c>
      <c r="E74" s="7" t="n"/>
      <c r="F74" s="29" t="n">
        <v>16</v>
      </c>
      <c r="G74" s="7" t="n"/>
      <c r="H74" s="7" t="n"/>
      <c r="I74" s="7" t="n"/>
      <c r="J74" s="7" t="n"/>
      <c r="K74" s="7" t="n"/>
      <c r="L74" s="7" t="n"/>
      <c r="M74" s="7" t="n"/>
      <c r="N74" s="7" t="n"/>
      <c r="O74" s="7" t="n"/>
      <c r="P74" s="7" t="n"/>
      <c r="Q74" s="29" t="n">
        <v>16</v>
      </c>
      <c r="R74" s="29" t="n">
        <v>16</v>
      </c>
    </row>
    <row r="75">
      <c r="A75" s="157" t="inlineStr">
        <is>
          <t>Машинист подземных самоходных машин</t>
        </is>
      </c>
      <c r="B75" s="6" t="n"/>
      <c r="C75" s="7" t="n">
        <v>7</v>
      </c>
      <c r="D75" s="7" t="n">
        <v>21</v>
      </c>
      <c r="E75" s="7" t="n"/>
      <c r="F75" s="29" t="n">
        <v>7</v>
      </c>
      <c r="G75" s="7" t="n"/>
      <c r="H75" s="7" t="n"/>
      <c r="I75" s="7" t="n"/>
      <c r="J75" s="7" t="n"/>
      <c r="K75" s="7" t="n"/>
      <c r="L75" s="7" t="n"/>
      <c r="M75" s="7" t="n"/>
      <c r="N75" s="7" t="n"/>
      <c r="O75" s="7" t="n"/>
      <c r="P75" s="7" t="n"/>
      <c r="Q75" s="158" t="n">
        <v>2</v>
      </c>
      <c r="R75" s="29" t="n">
        <v>7</v>
      </c>
    </row>
    <row r="76">
      <c r="A76" s="157" t="inlineStr">
        <is>
          <t>Машинист самоходной буровой установки</t>
        </is>
      </c>
      <c r="B76" s="6" t="inlineStr">
        <is>
          <t>Машинист самоходной буровой установки | Машинист самоходный буровой установки</t>
        </is>
      </c>
      <c r="C76" s="7" t="n">
        <v>21</v>
      </c>
      <c r="D76" s="7" t="n">
        <v>62</v>
      </c>
      <c r="E76" s="7" t="n"/>
      <c r="F76" s="29" t="n">
        <v>21</v>
      </c>
      <c r="G76" s="7" t="n"/>
      <c r="H76" s="7" t="n"/>
      <c r="I76" s="7" t="n"/>
      <c r="J76" s="7" t="n"/>
      <c r="K76" s="7" t="n"/>
      <c r="L76" s="7" t="n"/>
      <c r="M76" s="7" t="n"/>
      <c r="N76" s="7" t="n"/>
      <c r="O76" s="7" t="n"/>
      <c r="P76" s="7" t="n"/>
      <c r="Q76" s="158" t="n">
        <v>15</v>
      </c>
      <c r="R76" s="29" t="n">
        <v>21</v>
      </c>
    </row>
    <row r="77">
      <c r="A77" s="157" t="inlineStr">
        <is>
          <t>Машинист самоходной буровой установки (Очистное)</t>
        </is>
      </c>
      <c r="B77" s="6" t="n"/>
      <c r="C77" s="7" t="n">
        <v>4</v>
      </c>
      <c r="D77" s="7" t="n">
        <v>9</v>
      </c>
      <c r="E77" s="7" t="n"/>
      <c r="F77" s="29" t="n">
        <v>4</v>
      </c>
      <c r="G77" s="7" t="n"/>
      <c r="H77" s="7" t="n"/>
      <c r="I77" s="7" t="n"/>
      <c r="J77" s="7" t="n"/>
      <c r="K77" s="7" t="n"/>
      <c r="L77" s="7" t="n"/>
      <c r="M77" s="7" t="n"/>
      <c r="N77" s="7" t="n"/>
      <c r="O77" s="7" t="n"/>
      <c r="P77" s="7" t="n"/>
      <c r="Q77" s="158" t="n">
        <v>1</v>
      </c>
      <c r="R77" s="29" t="n">
        <v>4</v>
      </c>
    </row>
    <row r="78">
      <c r="A78" s="157" t="inlineStr">
        <is>
          <t>Машинист самоходной буровой установки (Проходка)</t>
        </is>
      </c>
      <c r="B78" s="6" t="n"/>
      <c r="C78" s="7" t="n">
        <v>8</v>
      </c>
      <c r="D78" s="7" t="n">
        <v>20</v>
      </c>
      <c r="E78" s="7" t="n"/>
      <c r="F78" s="29" t="n">
        <v>8</v>
      </c>
      <c r="G78" s="7" t="n"/>
      <c r="H78" s="7" t="n"/>
      <c r="I78" s="7" t="n"/>
      <c r="J78" s="7" t="n"/>
      <c r="K78" s="7" t="n"/>
      <c r="L78" s="7" t="n"/>
      <c r="M78" s="7" t="n"/>
      <c r="N78" s="7" t="n"/>
      <c r="O78" s="7" t="n"/>
      <c r="P78" s="7" t="n"/>
      <c r="Q78" s="158" t="n">
        <v>2</v>
      </c>
      <c r="R78" s="29" t="n">
        <v>8</v>
      </c>
    </row>
    <row r="79">
      <c r="A79" s="157" t="inlineStr">
        <is>
          <t>Машинист экскаватора</t>
        </is>
      </c>
      <c r="B79" s="6" t="n"/>
      <c r="C79" s="7" t="n">
        <v>12</v>
      </c>
      <c r="D79" s="7" t="n">
        <v>44</v>
      </c>
      <c r="E79" s="7" t="n"/>
      <c r="F79" s="29" t="n">
        <v>12</v>
      </c>
      <c r="G79" s="7" t="n"/>
      <c r="H79" s="7" t="n"/>
      <c r="I79" s="7" t="n"/>
      <c r="J79" s="7" t="n"/>
      <c r="K79" s="7" t="n"/>
      <c r="L79" s="7" t="n"/>
      <c r="M79" s="7" t="n"/>
      <c r="N79" s="7" t="n"/>
      <c r="O79" s="7" t="n"/>
      <c r="P79" s="7" t="n"/>
      <c r="Q79" s="158" t="n">
        <v>11</v>
      </c>
      <c r="R79" s="29" t="n">
        <v>12</v>
      </c>
    </row>
    <row r="80">
      <c r="A80" s="157" t="inlineStr">
        <is>
          <t>Механик</t>
        </is>
      </c>
      <c r="B80" s="6" t="n"/>
      <c r="C80" s="7" t="n">
        <v>4</v>
      </c>
      <c r="D80" s="7" t="n">
        <v>11</v>
      </c>
      <c r="E80" s="7" t="n"/>
      <c r="F80" s="29" t="n">
        <v>4</v>
      </c>
      <c r="G80" s="7" t="n"/>
      <c r="H80" s="159" t="n">
        <v>1</v>
      </c>
      <c r="I80" s="7" t="n"/>
      <c r="J80" s="7" t="n"/>
      <c r="K80" s="7" t="n"/>
      <c r="L80" s="7" t="n"/>
      <c r="M80" s="7" t="n"/>
      <c r="N80" s="7" t="n"/>
      <c r="O80" s="7" t="n"/>
      <c r="P80" s="7" t="n"/>
      <c r="Q80" s="158" t="n">
        <v>2</v>
      </c>
      <c r="R80" s="29" t="n">
        <v>4</v>
      </c>
    </row>
    <row r="81">
      <c r="A81" s="24" t="inlineStr">
        <is>
          <t>Механик по ремонту самоходного транспорта</t>
        </is>
      </c>
      <c r="B81" s="6" t="n"/>
      <c r="C81" s="7" t="n">
        <v>1</v>
      </c>
      <c r="D81" s="7" t="n">
        <v>4</v>
      </c>
      <c r="E81" s="29" t="n">
        <v>1</v>
      </c>
      <c r="F81" s="29" t="n">
        <v>1</v>
      </c>
      <c r="G81" s="7" t="n"/>
      <c r="H81" s="7" t="n"/>
      <c r="I81" s="7" t="n"/>
      <c r="J81" s="7" t="n"/>
      <c r="K81" s="7" t="n"/>
      <c r="L81" s="7" t="n"/>
      <c r="M81" s="7" t="n"/>
      <c r="N81" s="7" t="n"/>
      <c r="O81" s="7" t="n"/>
      <c r="P81" s="7" t="n"/>
      <c r="Q81" s="29" t="n">
        <v>1</v>
      </c>
      <c r="R81" s="29" t="n">
        <v>1</v>
      </c>
    </row>
    <row r="82">
      <c r="A82" s="24" t="inlineStr">
        <is>
          <t>Механик по ремонту самоходного транспорта (с правом выпуска на линию)</t>
        </is>
      </c>
      <c r="B82" s="6" t="n"/>
      <c r="C82" s="7" t="n">
        <v>1</v>
      </c>
      <c r="D82" s="7" t="n">
        <v>2</v>
      </c>
      <c r="E82" s="7" t="n"/>
      <c r="F82" s="29" t="n">
        <v>1</v>
      </c>
      <c r="G82" s="7" t="n"/>
      <c r="H82" s="7" t="n"/>
      <c r="I82" s="7" t="n"/>
      <c r="J82" s="7" t="n"/>
      <c r="K82" s="7" t="n"/>
      <c r="L82" s="7" t="n"/>
      <c r="M82" s="7" t="n"/>
      <c r="N82" s="7" t="n"/>
      <c r="O82" s="7" t="n"/>
      <c r="P82" s="7" t="n"/>
      <c r="Q82" s="7" t="n"/>
      <c r="R82" s="29" t="n">
        <v>1</v>
      </c>
    </row>
    <row r="83">
      <c r="A83" s="157" t="inlineStr">
        <is>
          <t>Механик холодильных установок</t>
        </is>
      </c>
      <c r="B83" s="6" t="n"/>
      <c r="C83" s="7" t="n">
        <v>3</v>
      </c>
      <c r="D83" s="7" t="n">
        <v>10</v>
      </c>
      <c r="E83" s="7" t="n"/>
      <c r="F83" s="29" t="n">
        <v>3</v>
      </c>
      <c r="G83" s="7" t="n"/>
      <c r="H83" s="7" t="n"/>
      <c r="I83" s="7" t="n"/>
      <c r="J83" s="7" t="n"/>
      <c r="K83" s="7" t="n"/>
      <c r="L83" s="7" t="n"/>
      <c r="M83" s="7" t="n"/>
      <c r="N83" s="7" t="n"/>
      <c r="O83" s="7" t="n"/>
      <c r="P83" s="7" t="n"/>
      <c r="Q83" s="158" t="n">
        <v>2</v>
      </c>
      <c r="R83" s="29" t="n">
        <v>3</v>
      </c>
    </row>
    <row r="84">
      <c r="A84" s="157" t="inlineStr">
        <is>
          <t>Монтажник по монтажу стальных и железобетонных конструкций</t>
        </is>
      </c>
      <c r="B84" s="6" t="inlineStr">
        <is>
          <t>Монтажник по монтажу стальных и железобетонных конструкций | Монтажник ж/б и м/к</t>
        </is>
      </c>
      <c r="C84" s="7" t="n">
        <v>7</v>
      </c>
      <c r="D84" s="7" t="n">
        <v>22</v>
      </c>
      <c r="E84" s="7" t="n"/>
      <c r="F84" s="29" t="n">
        <v>7</v>
      </c>
      <c r="G84" s="159" t="n">
        <v>1</v>
      </c>
      <c r="H84" s="7" t="n"/>
      <c r="I84" s="7" t="n"/>
      <c r="J84" s="7" t="n"/>
      <c r="K84" s="7" t="n"/>
      <c r="L84" s="7" t="n"/>
      <c r="M84" s="7" t="n"/>
      <c r="N84" s="159" t="n">
        <v>1</v>
      </c>
      <c r="O84" s="159" t="n">
        <v>1</v>
      </c>
      <c r="P84" s="7" t="n"/>
      <c r="Q84" s="158" t="n">
        <v>1</v>
      </c>
      <c r="R84" s="29" t="n">
        <v>7</v>
      </c>
    </row>
    <row r="85">
      <c r="A85" s="24" t="inlineStr">
        <is>
          <t>Начальник автотранспортного цеха</t>
        </is>
      </c>
      <c r="B85" s="6" t="n"/>
      <c r="C85" s="7" t="n">
        <v>1</v>
      </c>
      <c r="D85" s="7" t="n">
        <v>4</v>
      </c>
      <c r="E85" s="29" t="n">
        <v>1</v>
      </c>
      <c r="F85" s="29" t="n">
        <v>1</v>
      </c>
      <c r="G85" s="7" t="n"/>
      <c r="H85" s="7" t="n"/>
      <c r="I85" s="7" t="n"/>
      <c r="J85" s="7" t="n"/>
      <c r="K85" s="7" t="n"/>
      <c r="L85" s="7" t="n"/>
      <c r="M85" s="7" t="n"/>
      <c r="N85" s="7" t="n"/>
      <c r="O85" s="7" t="n"/>
      <c r="P85" s="7" t="n"/>
      <c r="Q85" s="29" t="n">
        <v>1</v>
      </c>
      <c r="R85" s="29" t="n">
        <v>1</v>
      </c>
    </row>
    <row r="86">
      <c r="A86" s="24" t="inlineStr">
        <is>
          <t>Начальник золотоизвлекательной фабрики</t>
        </is>
      </c>
      <c r="B86" s="6" t="n"/>
      <c r="C86" s="7" t="n">
        <v>1</v>
      </c>
      <c r="D86" s="7" t="n">
        <v>4</v>
      </c>
      <c r="E86" s="29" t="n">
        <v>1</v>
      </c>
      <c r="F86" s="29" t="n">
        <v>1</v>
      </c>
      <c r="G86" s="7" t="n"/>
      <c r="H86" s="7" t="n"/>
      <c r="I86" s="7" t="n"/>
      <c r="J86" s="7" t="n"/>
      <c r="K86" s="7" t="n"/>
      <c r="L86" s="7" t="n"/>
      <c r="M86" s="7" t="n"/>
      <c r="N86" s="7" t="n"/>
      <c r="O86" s="7" t="n"/>
      <c r="P86" s="7" t="n"/>
      <c r="Q86" s="29" t="n">
        <v>1</v>
      </c>
      <c r="R86" s="29" t="n">
        <v>1</v>
      </c>
    </row>
    <row r="87">
      <c r="A87" s="24" t="inlineStr">
        <is>
          <t>Начальник по рудному направлению</t>
        </is>
      </c>
      <c r="B87" s="6" t="n"/>
      <c r="C87" s="7" t="n">
        <v>1</v>
      </c>
      <c r="D87" s="7" t="n">
        <v>3</v>
      </c>
      <c r="E87" s="29" t="n">
        <v>1</v>
      </c>
      <c r="F87" s="29" t="n">
        <v>1</v>
      </c>
      <c r="G87" s="7" t="n"/>
      <c r="H87" s="7" t="n"/>
      <c r="I87" s="7" t="n"/>
      <c r="J87" s="7" t="n"/>
      <c r="K87" s="7" t="n"/>
      <c r="L87" s="7" t="n"/>
      <c r="M87" s="7" t="n"/>
      <c r="N87" s="7" t="n"/>
      <c r="O87" s="7" t="n"/>
      <c r="P87" s="7" t="n"/>
      <c r="Q87" s="7" t="n"/>
      <c r="R87" s="29" t="n">
        <v>1</v>
      </c>
    </row>
    <row r="88">
      <c r="A88" s="24" t="inlineStr">
        <is>
          <t>Начальник смены</t>
        </is>
      </c>
      <c r="B88" s="6" t="n"/>
      <c r="C88" s="7" t="n">
        <v>1</v>
      </c>
      <c r="D88" s="7" t="n">
        <v>2</v>
      </c>
      <c r="E88" s="7" t="n"/>
      <c r="F88" s="29" t="n">
        <v>1</v>
      </c>
      <c r="G88" s="7" t="n"/>
      <c r="H88" s="7" t="n"/>
      <c r="I88" s="7" t="n"/>
      <c r="J88" s="7" t="n"/>
      <c r="K88" s="7" t="n"/>
      <c r="L88" s="7" t="n"/>
      <c r="M88" s="7" t="n"/>
      <c r="N88" s="7" t="n"/>
      <c r="O88" s="7" t="n"/>
      <c r="P88" s="7" t="n"/>
      <c r="Q88" s="7" t="n"/>
      <c r="R88" s="29" t="n">
        <v>1</v>
      </c>
    </row>
    <row r="89">
      <c r="A89" s="24" t="inlineStr">
        <is>
          <t>Начальник участка</t>
        </is>
      </c>
      <c r="B89" s="6" t="n"/>
      <c r="C89" s="7" t="n">
        <v>1</v>
      </c>
      <c r="D89" s="7" t="n">
        <v>1</v>
      </c>
      <c r="E89" s="7" t="n"/>
      <c r="F89" s="7" t="n"/>
      <c r="G89" s="7" t="n"/>
      <c r="H89" s="29" t="n">
        <v>1</v>
      </c>
      <c r="I89" s="7" t="n"/>
      <c r="J89" s="7" t="n"/>
      <c r="K89" s="7" t="n"/>
      <c r="L89" s="7" t="n"/>
      <c r="M89" s="7" t="n"/>
      <c r="N89" s="7" t="n"/>
      <c r="O89" s="7" t="n"/>
      <c r="P89" s="7" t="n"/>
      <c r="Q89" s="7" t="n"/>
      <c r="R89" s="7" t="n"/>
    </row>
    <row r="90">
      <c r="A90" s="157" t="inlineStr">
        <is>
          <t>Оператор дизельных котлов</t>
        </is>
      </c>
      <c r="B90" s="6" t="inlineStr">
        <is>
          <t>Оператор дизельных котлов | оператор дизельных котлов</t>
        </is>
      </c>
      <c r="C90" s="7" t="n">
        <v>14</v>
      </c>
      <c r="D90" s="7" t="n">
        <v>44</v>
      </c>
      <c r="E90" s="7" t="n"/>
      <c r="F90" s="29" t="n">
        <v>14</v>
      </c>
      <c r="G90" s="7" t="n"/>
      <c r="H90" s="7" t="n"/>
      <c r="I90" s="7" t="n"/>
      <c r="J90" s="7" t="n"/>
      <c r="K90" s="7" t="n"/>
      <c r="L90" s="7" t="n"/>
      <c r="M90" s="7" t="n"/>
      <c r="N90" s="7" t="n"/>
      <c r="O90" s="7" t="n"/>
      <c r="P90" s="7" t="n"/>
      <c r="Q90" s="158" t="n">
        <v>10</v>
      </c>
      <c r="R90" s="29" t="n">
        <v>14</v>
      </c>
    </row>
    <row r="91">
      <c r="A91" s="24" t="inlineStr">
        <is>
          <t>Оператор стиральных машин (с исполнением обязанностей рабочего по ремонту спецодежды)</t>
        </is>
      </c>
      <c r="B91" s="6" t="n"/>
      <c r="C91" s="7" t="n">
        <v>1</v>
      </c>
      <c r="D91" s="7" t="n">
        <v>3</v>
      </c>
      <c r="E91" s="7" t="n"/>
      <c r="F91" s="29" t="n">
        <v>1</v>
      </c>
      <c r="G91" s="7" t="n"/>
      <c r="H91" s="7" t="n"/>
      <c r="I91" s="7" t="n"/>
      <c r="J91" s="7" t="n"/>
      <c r="K91" s="7" t="n"/>
      <c r="L91" s="7" t="n"/>
      <c r="M91" s="7" t="n"/>
      <c r="N91" s="7" t="n"/>
      <c r="O91" s="7" t="n"/>
      <c r="P91" s="7" t="n"/>
      <c r="Q91" s="29" t="n">
        <v>1</v>
      </c>
      <c r="R91" s="29" t="n">
        <v>1</v>
      </c>
    </row>
    <row r="92">
      <c r="A92" s="157" t="inlineStr">
        <is>
          <t>Плавильщик</t>
        </is>
      </c>
      <c r="B92" s="6" t="n"/>
      <c r="C92" s="7" t="n">
        <v>3</v>
      </c>
      <c r="D92" s="7" t="n">
        <v>11</v>
      </c>
      <c r="E92" s="7" t="n"/>
      <c r="F92" s="29" t="n">
        <v>3</v>
      </c>
      <c r="G92" s="7" t="n"/>
      <c r="H92" s="7" t="n"/>
      <c r="I92" s="7" t="n"/>
      <c r="J92" s="7" t="n"/>
      <c r="K92" s="7" t="n"/>
      <c r="L92" s="7" t="n"/>
      <c r="M92" s="7" t="n"/>
      <c r="N92" s="7" t="n"/>
      <c r="O92" s="7" t="n"/>
      <c r="P92" s="7" t="n"/>
      <c r="Q92" s="158" t="n">
        <v>2</v>
      </c>
      <c r="R92" s="29" t="n">
        <v>3</v>
      </c>
    </row>
    <row r="93">
      <c r="A93" s="157" t="inlineStr">
        <is>
          <t>Плотник</t>
        </is>
      </c>
      <c r="B93" s="6" t="n"/>
      <c r="C93" s="7" t="n">
        <v>14</v>
      </c>
      <c r="D93" s="7" t="n">
        <v>66</v>
      </c>
      <c r="E93" s="7" t="n"/>
      <c r="F93" s="29" t="n">
        <v>14</v>
      </c>
      <c r="G93" s="159" t="n">
        <v>7</v>
      </c>
      <c r="H93" s="7" t="n"/>
      <c r="I93" s="7" t="n"/>
      <c r="J93" s="7" t="n"/>
      <c r="K93" s="7" t="n"/>
      <c r="L93" s="7" t="n"/>
      <c r="M93" s="7" t="n"/>
      <c r="N93" s="159" t="n">
        <v>7</v>
      </c>
      <c r="O93" s="159" t="n">
        <v>7</v>
      </c>
      <c r="P93" s="7" t="n"/>
      <c r="Q93" s="158" t="n">
        <v>7</v>
      </c>
      <c r="R93" s="29" t="n">
        <v>14</v>
      </c>
    </row>
    <row r="94">
      <c r="A94" s="157" t="inlineStr">
        <is>
          <t>Повар</t>
        </is>
      </c>
      <c r="B94" s="6" t="inlineStr">
        <is>
          <t>Повар | повар</t>
        </is>
      </c>
      <c r="C94" s="7" t="n">
        <v>31</v>
      </c>
      <c r="D94" s="7" t="n">
        <v>82</v>
      </c>
      <c r="E94" s="7" t="n"/>
      <c r="F94" s="29" t="n">
        <v>31</v>
      </c>
      <c r="G94" s="7" t="n"/>
      <c r="H94" s="7" t="n"/>
      <c r="I94" s="7" t="n"/>
      <c r="J94" s="7" t="n"/>
      <c r="K94" s="7" t="n"/>
      <c r="L94" s="7" t="n"/>
      <c r="M94" s="7" t="n"/>
      <c r="N94" s="7" t="n"/>
      <c r="O94" s="7" t="n"/>
      <c r="P94" s="7" t="n"/>
      <c r="Q94" s="158" t="n">
        <v>16</v>
      </c>
      <c r="R94" s="29" t="n">
        <v>31</v>
      </c>
    </row>
    <row r="95">
      <c r="A95" s="157" t="inlineStr">
        <is>
          <t>Повар (кондитер)</t>
        </is>
      </c>
      <c r="B95" s="6" t="n"/>
      <c r="C95" s="7" t="n">
        <v>2</v>
      </c>
      <c r="D95" s="7" t="n">
        <v>5</v>
      </c>
      <c r="E95" s="7" t="n"/>
      <c r="F95" s="29" t="n">
        <v>2</v>
      </c>
      <c r="G95" s="7" t="n"/>
      <c r="H95" s="7" t="n"/>
      <c r="I95" s="7" t="n"/>
      <c r="J95" s="7" t="n"/>
      <c r="K95" s="7" t="n"/>
      <c r="L95" s="7" t="n"/>
      <c r="M95" s="7" t="n"/>
      <c r="N95" s="7" t="n"/>
      <c r="O95" s="7" t="n"/>
      <c r="P95" s="7" t="n"/>
      <c r="Q95" s="158" t="n">
        <v>1</v>
      </c>
      <c r="R95" s="29" t="n">
        <v>2</v>
      </c>
    </row>
    <row r="96">
      <c r="A96" s="157" t="inlineStr">
        <is>
          <t>Подсобный рабочий</t>
        </is>
      </c>
      <c r="B96" s="6" t="inlineStr">
        <is>
          <t>Подсобный рабочий | подсобный рабочий</t>
        </is>
      </c>
      <c r="C96" s="7" t="n">
        <v>28</v>
      </c>
      <c r="D96" s="7" t="n">
        <v>78</v>
      </c>
      <c r="E96" s="7" t="n"/>
      <c r="F96" s="29" t="n">
        <v>28</v>
      </c>
      <c r="G96" s="7" t="n"/>
      <c r="H96" s="7" t="n"/>
      <c r="I96" s="7" t="n"/>
      <c r="J96" s="7" t="n"/>
      <c r="K96" s="7" t="n"/>
      <c r="L96" s="7" t="n"/>
      <c r="M96" s="7" t="n"/>
      <c r="N96" s="7" t="n"/>
      <c r="O96" s="7" t="n"/>
      <c r="P96" s="7" t="n"/>
      <c r="Q96" s="158" t="n">
        <v>20</v>
      </c>
      <c r="R96" s="29" t="n">
        <v>28</v>
      </c>
    </row>
    <row r="97">
      <c r="A97" s="24" t="inlineStr">
        <is>
          <t>Помощник машиниста буровой установки</t>
        </is>
      </c>
      <c r="B97" s="6" t="n"/>
      <c r="C97" s="7" t="n">
        <v>4</v>
      </c>
      <c r="D97" s="7" t="n">
        <v>8</v>
      </c>
      <c r="E97" s="7" t="n"/>
      <c r="F97" s="29" t="n">
        <v>4</v>
      </c>
      <c r="G97" s="7" t="n"/>
      <c r="H97" s="7" t="n"/>
      <c r="I97" s="7" t="n"/>
      <c r="J97" s="7" t="n"/>
      <c r="K97" s="7" t="n"/>
      <c r="L97" s="7" t="n"/>
      <c r="M97" s="7" t="n"/>
      <c r="N97" s="7" t="n"/>
      <c r="O97" s="7" t="n"/>
      <c r="P97" s="7" t="n"/>
      <c r="Q97" s="7" t="n"/>
      <c r="R97" s="29" t="n">
        <v>4</v>
      </c>
    </row>
    <row r="98">
      <c r="A98" s="24" t="inlineStr">
        <is>
          <t>Помощник машиниста самоходной буровой установки</t>
        </is>
      </c>
      <c r="B98" s="6" t="inlineStr">
        <is>
          <t>Помощник машиниста самоходной буровой установки | Помошник машиниста самоходной буровой установки</t>
        </is>
      </c>
      <c r="C98" s="7" t="n">
        <v>3</v>
      </c>
      <c r="D98" s="7" t="n">
        <v>9</v>
      </c>
      <c r="E98" s="7" t="n"/>
      <c r="F98" s="29" t="n">
        <v>3</v>
      </c>
      <c r="G98" s="7" t="n"/>
      <c r="H98" s="7" t="n"/>
      <c r="I98" s="7" t="n"/>
      <c r="J98" s="7" t="n"/>
      <c r="K98" s="7" t="n"/>
      <c r="L98" s="7" t="n"/>
      <c r="M98" s="7" t="n"/>
      <c r="N98" s="7" t="n"/>
      <c r="O98" s="7" t="n"/>
      <c r="P98" s="7" t="n"/>
      <c r="Q98" s="29" t="n">
        <v>3</v>
      </c>
      <c r="R98" s="29" t="n">
        <v>3</v>
      </c>
    </row>
    <row r="99">
      <c r="A99" s="24" t="inlineStr">
        <is>
          <t>Помощник машиниста самоходной буровой установки (с исполнением обязанностей пробоотборщика)</t>
        </is>
      </c>
      <c r="B99" s="6" t="inlineStr">
        <is>
          <t>Помощник машиниста самоходной буровой установки (с исполнением обязанностей пробоотборщика) | Помощник машиниста СБУ (с исполнением обязанностей пробоотборщика)</t>
        </is>
      </c>
      <c r="C99" s="7" t="n">
        <v>15</v>
      </c>
      <c r="D99" s="7" t="n">
        <v>45</v>
      </c>
      <c r="E99" s="7" t="n"/>
      <c r="F99" s="29" t="n">
        <v>15</v>
      </c>
      <c r="G99" s="7" t="n"/>
      <c r="H99" s="7" t="n"/>
      <c r="I99" s="7" t="n"/>
      <c r="J99" s="7" t="n"/>
      <c r="K99" s="7" t="n"/>
      <c r="L99" s="7" t="n"/>
      <c r="M99" s="7" t="n"/>
      <c r="N99" s="7" t="n"/>
      <c r="O99" s="7" t="n"/>
      <c r="P99" s="7" t="n"/>
      <c r="Q99" s="29" t="n">
        <v>15</v>
      </c>
      <c r="R99" s="29" t="n">
        <v>15</v>
      </c>
    </row>
    <row r="100">
      <c r="A100" s="157" t="inlineStr">
        <is>
          <t>Помощник машиниста самоходной буровой установки (с исполнением обязанностей пробоотборщика) (Очистное)</t>
        </is>
      </c>
      <c r="B100" s="6" t="n"/>
      <c r="C100" s="7" t="n">
        <v>15</v>
      </c>
      <c r="D100" s="7" t="n">
        <v>36</v>
      </c>
      <c r="E100" s="7" t="n"/>
      <c r="F100" s="29" t="n">
        <v>15</v>
      </c>
      <c r="G100" s="7" t="n"/>
      <c r="H100" s="7" t="n"/>
      <c r="I100" s="159" t="n">
        <v>2</v>
      </c>
      <c r="J100" s="7" t="n"/>
      <c r="K100" s="7" t="n"/>
      <c r="L100" s="7" t="n"/>
      <c r="M100" s="7" t="n"/>
      <c r="N100" s="7" t="n"/>
      <c r="O100" s="7" t="n"/>
      <c r="P100" s="7" t="n"/>
      <c r="Q100" s="158" t="n">
        <v>2</v>
      </c>
      <c r="R100" s="29" t="n">
        <v>15</v>
      </c>
    </row>
    <row r="101">
      <c r="A101" s="157" t="inlineStr">
        <is>
          <t>Пробоотборщик</t>
        </is>
      </c>
      <c r="B101" s="6" t="n"/>
      <c r="C101" s="7" t="n">
        <v>18</v>
      </c>
      <c r="D101" s="7" t="n">
        <v>48</v>
      </c>
      <c r="E101" s="7" t="n"/>
      <c r="F101" s="29" t="n">
        <v>18</v>
      </c>
      <c r="G101" s="7" t="n"/>
      <c r="H101" s="7" t="n"/>
      <c r="I101" s="7" t="n"/>
      <c r="J101" s="7" t="n"/>
      <c r="K101" s="7" t="n"/>
      <c r="L101" s="7" t="n"/>
      <c r="M101" s="7" t="n"/>
      <c r="N101" s="7" t="n"/>
      <c r="O101" s="7" t="n"/>
      <c r="P101" s="7" t="n"/>
      <c r="Q101" s="158" t="n">
        <v>12</v>
      </c>
      <c r="R101" s="29" t="n">
        <v>18</v>
      </c>
    </row>
    <row r="102">
      <c r="A102" s="24" t="inlineStr">
        <is>
          <t>Продавец</t>
        </is>
      </c>
      <c r="B102" s="6" t="n"/>
      <c r="C102" s="7" t="n">
        <v>1</v>
      </c>
      <c r="D102" s="7" t="n">
        <v>3</v>
      </c>
      <c r="E102" s="7" t="n"/>
      <c r="F102" s="29" t="n">
        <v>1</v>
      </c>
      <c r="G102" s="7" t="n"/>
      <c r="H102" s="7" t="n"/>
      <c r="I102" s="7" t="n"/>
      <c r="J102" s="7" t="n"/>
      <c r="K102" s="7" t="n"/>
      <c r="L102" s="7" t="n"/>
      <c r="M102" s="7" t="n"/>
      <c r="N102" s="7" t="n"/>
      <c r="O102" s="7" t="n"/>
      <c r="P102" s="7" t="n"/>
      <c r="Q102" s="29" t="n">
        <v>1</v>
      </c>
      <c r="R102" s="29" t="n">
        <v>1</v>
      </c>
    </row>
    <row r="103">
      <c r="A103" s="24" t="inlineStr">
        <is>
          <t>Промывальщик геологических проб</t>
        </is>
      </c>
      <c r="B103" s="6" t="n"/>
      <c r="C103" s="7" t="n">
        <v>4</v>
      </c>
      <c r="D103" s="7" t="n">
        <v>8</v>
      </c>
      <c r="E103" s="7" t="n"/>
      <c r="F103" s="29" t="n">
        <v>4</v>
      </c>
      <c r="G103" s="7" t="n"/>
      <c r="H103" s="7" t="n"/>
      <c r="I103" s="7" t="n"/>
      <c r="J103" s="7" t="n"/>
      <c r="K103" s="7" t="n"/>
      <c r="L103" s="7" t="n"/>
      <c r="M103" s="7" t="n"/>
      <c r="N103" s="7" t="n"/>
      <c r="O103" s="7" t="n"/>
      <c r="P103" s="7" t="n"/>
      <c r="Q103" s="7" t="n"/>
      <c r="R103" s="29" t="n">
        <v>4</v>
      </c>
    </row>
    <row r="104">
      <c r="A104" s="24" t="inlineStr">
        <is>
          <t>Проходчик</t>
        </is>
      </c>
      <c r="B104" s="6" t="n"/>
      <c r="C104" s="7" t="n">
        <v>1</v>
      </c>
      <c r="D104" s="7" t="n">
        <v>3</v>
      </c>
      <c r="E104" s="7" t="n"/>
      <c r="F104" s="29" t="n">
        <v>1</v>
      </c>
      <c r="G104" s="7" t="n"/>
      <c r="H104" s="7" t="n"/>
      <c r="I104" s="7" t="n"/>
      <c r="J104" s="7" t="n"/>
      <c r="K104" s="7" t="n"/>
      <c r="L104" s="7" t="n"/>
      <c r="M104" s="7" t="n"/>
      <c r="N104" s="7" t="n"/>
      <c r="O104" s="7" t="n"/>
      <c r="P104" s="7" t="n"/>
      <c r="Q104" s="29" t="n">
        <v>1</v>
      </c>
      <c r="R104" s="29" t="n">
        <v>1</v>
      </c>
    </row>
    <row r="105">
      <c r="A105" s="157" t="inlineStr">
        <is>
          <t>Проходчик (с исполнением обязанностей взрывника)</t>
        </is>
      </c>
      <c r="B105" s="6" t="n"/>
      <c r="C105" s="7" t="n">
        <v>30</v>
      </c>
      <c r="D105" s="7" t="n">
        <v>101</v>
      </c>
      <c r="E105" s="7" t="n"/>
      <c r="F105" s="158" t="n">
        <v>27</v>
      </c>
      <c r="G105" s="7" t="n"/>
      <c r="H105" s="7" t="n"/>
      <c r="I105" s="159" t="n">
        <v>1</v>
      </c>
      <c r="J105" s="7" t="n"/>
      <c r="K105" s="7" t="n"/>
      <c r="L105" s="7" t="n"/>
      <c r="M105" s="7" t="n"/>
      <c r="N105" s="7" t="n"/>
      <c r="O105" s="7" t="n"/>
      <c r="P105" s="7" t="n"/>
      <c r="Q105" s="158" t="n">
        <v>24</v>
      </c>
      <c r="R105" s="158" t="n">
        <v>27</v>
      </c>
    </row>
    <row r="106">
      <c r="A106" s="157" t="inlineStr">
        <is>
          <t>Раздатчик взрывчатых материалов</t>
        </is>
      </c>
      <c r="B106" s="6" t="n"/>
      <c r="C106" s="7" t="n">
        <v>3</v>
      </c>
      <c r="D106" s="7" t="n">
        <v>7</v>
      </c>
      <c r="E106" s="7" t="n"/>
      <c r="F106" s="29" t="n">
        <v>3</v>
      </c>
      <c r="G106" s="7" t="n"/>
      <c r="H106" s="7" t="n"/>
      <c r="I106" s="7" t="n"/>
      <c r="J106" s="7" t="n"/>
      <c r="K106" s="7" t="n"/>
      <c r="L106" s="7" t="n"/>
      <c r="M106" s="7" t="n"/>
      <c r="N106" s="7" t="n"/>
      <c r="O106" s="7" t="n"/>
      <c r="P106" s="7" t="n"/>
      <c r="Q106" s="158" t="n">
        <v>1</v>
      </c>
      <c r="R106" s="29" t="n">
        <v>3</v>
      </c>
    </row>
    <row r="107">
      <c r="A107" s="157" t="inlineStr">
        <is>
          <t>Раздатчик взрывчатых материалов (с исполнением обязанностей аппаратчика по изготовлению взрывчатых материалов)</t>
        </is>
      </c>
      <c r="B107" s="6" t="n"/>
      <c r="C107" s="7" t="n">
        <v>2</v>
      </c>
      <c r="D107" s="7" t="n">
        <v>5</v>
      </c>
      <c r="E107" s="7" t="n"/>
      <c r="F107" s="29" t="n">
        <v>2</v>
      </c>
      <c r="G107" s="7" t="n"/>
      <c r="H107" s="7" t="n"/>
      <c r="I107" s="7" t="n"/>
      <c r="J107" s="7" t="n"/>
      <c r="K107" s="7" t="n"/>
      <c r="L107" s="7" t="n"/>
      <c r="M107" s="7" t="n"/>
      <c r="N107" s="7" t="n"/>
      <c r="O107" s="7" t="n"/>
      <c r="P107" s="7" t="n"/>
      <c r="Q107" s="158" t="n">
        <v>1</v>
      </c>
      <c r="R107" s="29" t="n">
        <v>2</v>
      </c>
    </row>
    <row r="108">
      <c r="A108" s="157" t="inlineStr">
        <is>
          <t>Растворщик реагентов</t>
        </is>
      </c>
      <c r="B108" s="6" t="inlineStr">
        <is>
          <t>Растворщик реагентов | Растворщик-реагентов</t>
        </is>
      </c>
      <c r="C108" s="7" t="n">
        <v>15</v>
      </c>
      <c r="D108" s="7" t="n">
        <v>48</v>
      </c>
      <c r="E108" s="7" t="n"/>
      <c r="F108" s="29" t="n">
        <v>15</v>
      </c>
      <c r="G108" s="159" t="n">
        <v>3</v>
      </c>
      <c r="H108" s="7" t="n"/>
      <c r="I108" s="159" t="n">
        <v>3</v>
      </c>
      <c r="J108" s="7" t="n"/>
      <c r="K108" s="7" t="n"/>
      <c r="L108" s="7" t="n"/>
      <c r="M108" s="7" t="n"/>
      <c r="N108" s="7" t="n"/>
      <c r="O108" s="7" t="n"/>
      <c r="P108" s="7" t="n"/>
      <c r="Q108" s="158" t="n">
        <v>7</v>
      </c>
      <c r="R108" s="29" t="n">
        <v>15</v>
      </c>
    </row>
    <row r="109">
      <c r="A109" s="24" t="inlineStr">
        <is>
          <t>Регулировщик хвостового хозяйства</t>
        </is>
      </c>
      <c r="B109" s="6" t="n"/>
      <c r="C109" s="7" t="n">
        <v>1</v>
      </c>
      <c r="D109" s="7" t="n">
        <v>3</v>
      </c>
      <c r="E109" s="7" t="n"/>
      <c r="F109" s="29" t="n">
        <v>1</v>
      </c>
      <c r="G109" s="7" t="n"/>
      <c r="H109" s="7" t="n"/>
      <c r="I109" s="7" t="n"/>
      <c r="J109" s="7" t="n"/>
      <c r="K109" s="7" t="n"/>
      <c r="L109" s="7" t="n"/>
      <c r="M109" s="7" t="n"/>
      <c r="N109" s="7" t="n"/>
      <c r="O109" s="7" t="n"/>
      <c r="P109" s="7" t="n"/>
      <c r="Q109" s="29" t="n">
        <v>1</v>
      </c>
      <c r="R109" s="29" t="n">
        <v>1</v>
      </c>
    </row>
    <row r="110">
      <c r="A110" s="24" t="inlineStr">
        <is>
          <t>Руководитель строительства группы объектов</t>
        </is>
      </c>
      <c r="B110" s="6" t="n"/>
      <c r="C110" s="7" t="n">
        <v>1</v>
      </c>
      <c r="D110" s="7" t="n">
        <v>2</v>
      </c>
      <c r="E110" s="7" t="n"/>
      <c r="F110" s="29" t="n">
        <v>1</v>
      </c>
      <c r="G110" s="7" t="n"/>
      <c r="H110" s="7" t="n"/>
      <c r="I110" s="7" t="n"/>
      <c r="J110" s="7" t="n"/>
      <c r="K110" s="7" t="n"/>
      <c r="L110" s="7" t="n"/>
      <c r="M110" s="7" t="n"/>
      <c r="N110" s="7" t="n"/>
      <c r="O110" s="7" t="n"/>
      <c r="P110" s="7" t="n"/>
      <c r="Q110" s="7" t="n"/>
      <c r="R110" s="29" t="n">
        <v>1</v>
      </c>
    </row>
    <row r="111">
      <c r="A111" s="24" t="inlineStr">
        <is>
          <t>Сварщик</t>
        </is>
      </c>
      <c r="B111" s="6" t="n"/>
      <c r="C111" s="7" t="n">
        <v>1</v>
      </c>
      <c r="D111" s="7" t="n">
        <v>2</v>
      </c>
      <c r="E111" s="7" t="n"/>
      <c r="F111" s="29" t="n">
        <v>1</v>
      </c>
      <c r="G111" s="7" t="n"/>
      <c r="H111" s="7" t="n"/>
      <c r="I111" s="7" t="n"/>
      <c r="J111" s="7" t="n"/>
      <c r="K111" s="7" t="n"/>
      <c r="L111" s="7" t="n"/>
      <c r="M111" s="7" t="n"/>
      <c r="N111" s="7" t="n"/>
      <c r="O111" s="7" t="n"/>
      <c r="P111" s="7" t="n"/>
      <c r="Q111" s="7" t="n"/>
      <c r="R111" s="29" t="n">
        <v>1</v>
      </c>
    </row>
    <row r="112">
      <c r="A112" s="157" t="inlineStr">
        <is>
          <t>Слесарь по контрольно-измерительным приборам и автоматике</t>
        </is>
      </c>
      <c r="B112" s="6" t="inlineStr">
        <is>
          <t>Слесарь по контрольно-измерительным приборам и автоматике | Слесарь КИПиА</t>
        </is>
      </c>
      <c r="C112" s="7" t="n">
        <v>3</v>
      </c>
      <c r="D112" s="7" t="n">
        <v>16</v>
      </c>
      <c r="E112" s="7" t="n"/>
      <c r="F112" s="29" t="n">
        <v>3</v>
      </c>
      <c r="G112" s="159" t="n">
        <v>1</v>
      </c>
      <c r="H112" s="159" t="n">
        <v>1</v>
      </c>
      <c r="I112" s="159" t="n">
        <v>1</v>
      </c>
      <c r="J112" s="159" t="n">
        <v>1</v>
      </c>
      <c r="K112" s="159" t="n">
        <v>1</v>
      </c>
      <c r="L112" s="159" t="n">
        <v>1</v>
      </c>
      <c r="M112" s="159" t="n">
        <v>1</v>
      </c>
      <c r="N112" s="7" t="n"/>
      <c r="O112" s="7" t="n"/>
      <c r="P112" s="7" t="n"/>
      <c r="Q112" s="158" t="n">
        <v>1</v>
      </c>
      <c r="R112" s="29" t="n">
        <v>3</v>
      </c>
    </row>
    <row r="113">
      <c r="A113" s="24" t="inlineStr">
        <is>
          <t>Слесарь по ремонту автомобилей</t>
        </is>
      </c>
      <c r="B113" s="6" t="n"/>
      <c r="C113" s="7" t="n">
        <v>5</v>
      </c>
      <c r="D113" s="7" t="n">
        <v>15</v>
      </c>
      <c r="E113" s="7" t="n"/>
      <c r="F113" s="29" t="n">
        <v>5</v>
      </c>
      <c r="G113" s="7" t="n"/>
      <c r="H113" s="7" t="n"/>
      <c r="I113" s="7" t="n"/>
      <c r="J113" s="7" t="n"/>
      <c r="K113" s="7" t="n"/>
      <c r="L113" s="7" t="n"/>
      <c r="M113" s="7" t="n"/>
      <c r="N113" s="7" t="n"/>
      <c r="O113" s="7" t="n"/>
      <c r="P113" s="7" t="n"/>
      <c r="Q113" s="29" t="n">
        <v>5</v>
      </c>
      <c r="R113" s="29" t="n">
        <v>5</v>
      </c>
    </row>
    <row r="114">
      <c r="A114" s="157" t="inlineStr">
        <is>
          <t>Слесарь по ремонту автомобилей (ДВС)</t>
        </is>
      </c>
      <c r="B114" s="6" t="inlineStr">
        <is>
          <t>Слесарь по ремонту автомобилей (ДВС) | Слесарь по ремонту автомобилей. ДВС</t>
        </is>
      </c>
      <c r="C114" s="7" t="n">
        <v>4</v>
      </c>
      <c r="D114" s="7" t="n">
        <v>9</v>
      </c>
      <c r="E114" s="7" t="n"/>
      <c r="F114" s="29" t="n">
        <v>4</v>
      </c>
      <c r="G114" s="7" t="n"/>
      <c r="H114" s="7" t="n"/>
      <c r="I114" s="7" t="n"/>
      <c r="J114" s="7" t="n"/>
      <c r="K114" s="7" t="n"/>
      <c r="L114" s="7" t="n"/>
      <c r="M114" s="7" t="n"/>
      <c r="N114" s="7" t="n"/>
      <c r="O114" s="7" t="n"/>
      <c r="P114" s="7" t="n"/>
      <c r="Q114" s="158" t="n">
        <v>1</v>
      </c>
      <c r="R114" s="29" t="n">
        <v>4</v>
      </c>
    </row>
    <row r="115">
      <c r="A115" s="157" t="inlineStr">
        <is>
          <t>Слесарь по ремонту автомобилей и тяжелой техники</t>
        </is>
      </c>
      <c r="B115" s="6" t="n"/>
      <c r="C115" s="7" t="n">
        <v>7</v>
      </c>
      <c r="D115" s="7" t="n">
        <v>24</v>
      </c>
      <c r="E115" s="7" t="n"/>
      <c r="F115" s="29" t="n">
        <v>7</v>
      </c>
      <c r="G115" s="7" t="n"/>
      <c r="H115" s="159" t="n">
        <v>5</v>
      </c>
      <c r="I115" s="7" t="n"/>
      <c r="J115" s="7" t="n"/>
      <c r="K115" s="7" t="n"/>
      <c r="L115" s="7" t="n"/>
      <c r="M115" s="7" t="n"/>
      <c r="N115" s="7" t="n"/>
      <c r="O115" s="7" t="n"/>
      <c r="P115" s="7" t="n"/>
      <c r="Q115" s="158" t="n">
        <v>5</v>
      </c>
      <c r="R115" s="29" t="n">
        <v>7</v>
      </c>
    </row>
    <row r="116">
      <c r="A116" s="157" t="inlineStr">
        <is>
          <t>Слесарь-ремонтник</t>
        </is>
      </c>
      <c r="B116" s="6" t="inlineStr">
        <is>
          <t>Слесарь-ремонтник | Слесарь ремонтник</t>
        </is>
      </c>
      <c r="C116" s="7" t="n">
        <v>12</v>
      </c>
      <c r="D116" s="7" t="n">
        <v>85</v>
      </c>
      <c r="E116" s="7" t="n"/>
      <c r="F116" s="158" t="n">
        <v>3</v>
      </c>
      <c r="G116" s="159" t="n">
        <v>11</v>
      </c>
      <c r="H116" s="159" t="n">
        <v>11</v>
      </c>
      <c r="I116" s="159" t="n">
        <v>11</v>
      </c>
      <c r="J116" s="159" t="n">
        <v>11</v>
      </c>
      <c r="K116" s="159" t="n">
        <v>11</v>
      </c>
      <c r="L116" s="159" t="n">
        <v>11</v>
      </c>
      <c r="M116" s="7" t="n"/>
      <c r="N116" s="7" t="n"/>
      <c r="O116" s="7" t="n"/>
      <c r="P116" s="7" t="n"/>
      <c r="Q116" s="158" t="n">
        <v>1</v>
      </c>
      <c r="R116" s="158" t="n">
        <v>3</v>
      </c>
    </row>
    <row r="117">
      <c r="A117" s="157" t="inlineStr">
        <is>
          <t>Слесарь-ремонтник (по ремонту горно-шахтного оборудования)</t>
        </is>
      </c>
      <c r="B117" s="6" t="inlineStr">
        <is>
          <t>Слесарь-ремонтник (по ремонту горно-шахтного оборудования) | Слесарь по ремонту горно-шахтного оборудования</t>
        </is>
      </c>
      <c r="C117" s="7" t="n">
        <v>4</v>
      </c>
      <c r="D117" s="7" t="n">
        <v>17</v>
      </c>
      <c r="E117" s="7" t="n"/>
      <c r="F117" s="29" t="n">
        <v>4</v>
      </c>
      <c r="G117" s="7" t="n"/>
      <c r="H117" s="159" t="n">
        <v>1</v>
      </c>
      <c r="I117" s="7" t="n"/>
      <c r="J117" s="7" t="n"/>
      <c r="K117" s="7" t="n"/>
      <c r="L117" s="7" t="n"/>
      <c r="M117" s="7" t="n"/>
      <c r="N117" s="7" t="n"/>
      <c r="O117" s="7" t="n"/>
      <c r="P117" s="7" t="n"/>
      <c r="Q117" s="158" t="n">
        <v>3</v>
      </c>
      <c r="R117" s="29" t="n">
        <v>4</v>
      </c>
    </row>
    <row r="118">
      <c r="A118" s="157" t="inlineStr">
        <is>
          <t>Слесарь-ремонтник (по ремонту обогатительного оборудования)</t>
        </is>
      </c>
      <c r="B118" s="6" t="inlineStr">
        <is>
          <t>Слесарь-ремонтник (по ремонту обогатительного оборудования) | Слесарь по ремонту обогатительного оборудования | Слесарь ремонтник по ремонту обоготительного оборудования | Слесарь-ремонтник ( по ремонту обогатительного оборудования) | Слесарь-ремонтник по ремонту обогатительного оборудования</t>
        </is>
      </c>
      <c r="C118" s="7" t="n">
        <v>17</v>
      </c>
      <c r="D118" s="7" t="n">
        <v>69</v>
      </c>
      <c r="E118" s="7" t="n"/>
      <c r="F118" s="29" t="n">
        <v>17</v>
      </c>
      <c r="G118" s="159" t="n">
        <v>4</v>
      </c>
      <c r="H118" s="159" t="n">
        <v>4</v>
      </c>
      <c r="I118" s="159" t="n">
        <v>4</v>
      </c>
      <c r="J118" s="7" t="n"/>
      <c r="K118" s="7" t="n"/>
      <c r="L118" s="7" t="n"/>
      <c r="M118" s="7" t="n"/>
      <c r="N118" s="7" t="n"/>
      <c r="O118" s="7" t="n"/>
      <c r="P118" s="7" t="n"/>
      <c r="Q118" s="158" t="n">
        <v>10</v>
      </c>
      <c r="R118" s="29" t="n">
        <v>17</v>
      </c>
    </row>
    <row r="119">
      <c r="A119" s="157" t="inlineStr">
        <is>
          <t>Слесарь-ремонтник (по ремонту самоходной техники)</t>
        </is>
      </c>
      <c r="B119" s="6" t="inlineStr">
        <is>
          <t>Слесарь-ремонтник (по ремонту самоходной техники) | Слесарь по ремонту самоходной техники | Слесарь ремонтник самоходной техники</t>
        </is>
      </c>
      <c r="C119" s="7" t="n">
        <v>9</v>
      </c>
      <c r="D119" s="7" t="n">
        <v>30</v>
      </c>
      <c r="E119" s="7" t="n"/>
      <c r="F119" s="29" t="n">
        <v>9</v>
      </c>
      <c r="G119" s="7" t="n"/>
      <c r="H119" s="159" t="n">
        <v>2</v>
      </c>
      <c r="I119" s="7" t="n"/>
      <c r="J119" s="7" t="n"/>
      <c r="K119" s="7" t="n"/>
      <c r="L119" s="7" t="n"/>
      <c r="M119" s="7" t="n"/>
      <c r="N119" s="7" t="n"/>
      <c r="O119" s="7" t="n"/>
      <c r="P119" s="7" t="n"/>
      <c r="Q119" s="158" t="n">
        <v>6</v>
      </c>
      <c r="R119" s="29" t="n">
        <v>9</v>
      </c>
    </row>
    <row r="120">
      <c r="A120" s="157" t="inlineStr">
        <is>
          <t>Слесарь-сантехник</t>
        </is>
      </c>
      <c r="B120" s="6" t="inlineStr">
        <is>
          <t>Слесарь-сантехник | Cлесарь-сантехник</t>
        </is>
      </c>
      <c r="C120" s="7" t="n">
        <v>5</v>
      </c>
      <c r="D120" s="7" t="n">
        <v>16</v>
      </c>
      <c r="E120" s="7" t="n"/>
      <c r="F120" s="29" t="n">
        <v>5</v>
      </c>
      <c r="G120" s="7" t="n"/>
      <c r="H120" s="7" t="n"/>
      <c r="I120" s="7" t="n"/>
      <c r="J120" s="7" t="n"/>
      <c r="K120" s="7" t="n"/>
      <c r="L120" s="7" t="n"/>
      <c r="M120" s="7" t="n"/>
      <c r="N120" s="7" t="n"/>
      <c r="O120" s="7" t="n"/>
      <c r="P120" s="7" t="n"/>
      <c r="Q120" s="158" t="n">
        <v>4</v>
      </c>
      <c r="R120" s="29" t="n">
        <v>5</v>
      </c>
    </row>
    <row r="121">
      <c r="A121" s="157" t="inlineStr">
        <is>
          <t>Слесарь-электрик по ремонту электрооборудования</t>
        </is>
      </c>
      <c r="B121" s="6" t="n"/>
      <c r="C121" s="7" t="n">
        <v>6</v>
      </c>
      <c r="D121" s="7" t="n">
        <v>15</v>
      </c>
      <c r="E121" s="7" t="n"/>
      <c r="F121" s="29" t="n">
        <v>6</v>
      </c>
      <c r="G121" s="7" t="n"/>
      <c r="H121" s="7" t="n"/>
      <c r="I121" s="7" t="n"/>
      <c r="J121" s="7" t="n"/>
      <c r="K121" s="7" t="n"/>
      <c r="L121" s="7" t="n"/>
      <c r="M121" s="7" t="n"/>
      <c r="N121" s="7" t="n"/>
      <c r="O121" s="7" t="n"/>
      <c r="P121" s="7" t="n"/>
      <c r="Q121" s="158" t="n">
        <v>3</v>
      </c>
      <c r="R121" s="29" t="n">
        <v>6</v>
      </c>
    </row>
    <row r="122">
      <c r="A122" s="24" t="inlineStr">
        <is>
          <t>Старший геолог</t>
        </is>
      </c>
      <c r="B122" s="6" t="n"/>
      <c r="C122" s="7" t="n">
        <v>1</v>
      </c>
      <c r="D122" s="7" t="n">
        <v>4</v>
      </c>
      <c r="E122" s="29" t="n">
        <v>1</v>
      </c>
      <c r="F122" s="29" t="n">
        <v>1</v>
      </c>
      <c r="G122" s="7" t="n"/>
      <c r="H122" s="7" t="n"/>
      <c r="I122" s="7" t="n"/>
      <c r="J122" s="7" t="n"/>
      <c r="K122" s="7" t="n"/>
      <c r="L122" s="7" t="n"/>
      <c r="M122" s="7" t="n"/>
      <c r="N122" s="7" t="n"/>
      <c r="O122" s="7" t="n"/>
      <c r="P122" s="7" t="n"/>
      <c r="Q122" s="29" t="n">
        <v>1</v>
      </c>
      <c r="R122" s="29" t="n">
        <v>1</v>
      </c>
    </row>
    <row r="123">
      <c r="A123" s="24" t="inlineStr">
        <is>
          <t>Стропальщик</t>
        </is>
      </c>
      <c r="B123" s="6" t="inlineStr">
        <is>
          <t>Стропальщик | Стопальщик</t>
        </is>
      </c>
      <c r="C123" s="7" t="n">
        <v>9</v>
      </c>
      <c r="D123" s="7" t="n">
        <v>27</v>
      </c>
      <c r="E123" s="7" t="n"/>
      <c r="F123" s="29" t="n">
        <v>9</v>
      </c>
      <c r="G123" s="7" t="n"/>
      <c r="H123" s="7" t="n"/>
      <c r="I123" s="7" t="n"/>
      <c r="J123" s="7" t="n"/>
      <c r="K123" s="7" t="n"/>
      <c r="L123" s="7" t="n"/>
      <c r="M123" s="7" t="n"/>
      <c r="N123" s="7" t="n"/>
      <c r="O123" s="7" t="n"/>
      <c r="P123" s="7" t="n"/>
      <c r="Q123" s="29" t="n">
        <v>9</v>
      </c>
      <c r="R123" s="29" t="n">
        <v>9</v>
      </c>
    </row>
    <row r="124">
      <c r="A124" s="157" t="inlineStr">
        <is>
          <t>Стропальщик (с исполнением обязанностей грузчика)</t>
        </is>
      </c>
      <c r="B124" s="6" t="n"/>
      <c r="C124" s="7" t="n">
        <v>10</v>
      </c>
      <c r="D124" s="7" t="n">
        <v>26</v>
      </c>
      <c r="E124" s="7" t="n"/>
      <c r="F124" s="29" t="n">
        <v>10</v>
      </c>
      <c r="G124" s="7" t="n"/>
      <c r="H124" s="7" t="n"/>
      <c r="I124" s="7" t="n"/>
      <c r="J124" s="7" t="n"/>
      <c r="K124" s="7" t="n"/>
      <c r="L124" s="7" t="n"/>
      <c r="M124" s="7" t="n"/>
      <c r="N124" s="7" t="n"/>
      <c r="O124" s="7" t="n"/>
      <c r="P124" s="7" t="n"/>
      <c r="Q124" s="158" t="n">
        <v>6</v>
      </c>
      <c r="R124" s="29" t="n">
        <v>10</v>
      </c>
    </row>
    <row r="125">
      <c r="A125" s="157" t="inlineStr">
        <is>
          <t>Теплотехник</t>
        </is>
      </c>
      <c r="B125" s="6" t="n"/>
      <c r="C125" s="7" t="n">
        <v>2</v>
      </c>
      <c r="D125" s="7" t="n">
        <v>7</v>
      </c>
      <c r="E125" s="158" t="n">
        <v>1</v>
      </c>
      <c r="F125" s="29" t="n">
        <v>2</v>
      </c>
      <c r="G125" s="7" t="n"/>
      <c r="H125" s="7" t="n"/>
      <c r="I125" s="7" t="n"/>
      <c r="J125" s="7" t="n"/>
      <c r="K125" s="7" t="n"/>
      <c r="L125" s="7" t="n"/>
      <c r="M125" s="7" t="n"/>
      <c r="N125" s="7" t="n"/>
      <c r="O125" s="7" t="n"/>
      <c r="P125" s="7" t="n"/>
      <c r="Q125" s="29" t="n">
        <v>2</v>
      </c>
      <c r="R125" s="29" t="n">
        <v>2</v>
      </c>
    </row>
    <row r="126">
      <c r="A126" s="24" t="inlineStr">
        <is>
          <t>Токарь (с исполнением обязанностей фрезеровщика)</t>
        </is>
      </c>
      <c r="B126" s="6" t="n"/>
      <c r="C126" s="7" t="n">
        <v>1</v>
      </c>
      <c r="D126" s="7" t="n">
        <v>2</v>
      </c>
      <c r="E126" s="7" t="n"/>
      <c r="F126" s="29" t="n">
        <v>1</v>
      </c>
      <c r="G126" s="7" t="n"/>
      <c r="H126" s="7" t="n"/>
      <c r="I126" s="7" t="n"/>
      <c r="J126" s="7" t="n"/>
      <c r="K126" s="7" t="n"/>
      <c r="L126" s="7" t="n"/>
      <c r="M126" s="7" t="n"/>
      <c r="N126" s="7" t="n"/>
      <c r="O126" s="7" t="n"/>
      <c r="P126" s="7" t="n"/>
      <c r="Q126" s="7" t="n"/>
      <c r="R126" s="29" t="n">
        <v>1</v>
      </c>
    </row>
    <row r="127">
      <c r="A127" s="24" t="inlineStr">
        <is>
          <t>Токарь (с исполнением фрезеровщика)</t>
        </is>
      </c>
      <c r="B127" s="6" t="n"/>
      <c r="C127" s="7" t="n">
        <v>1</v>
      </c>
      <c r="D127" s="7" t="n">
        <v>3</v>
      </c>
      <c r="E127" s="7" t="n"/>
      <c r="F127" s="29" t="n">
        <v>1</v>
      </c>
      <c r="G127" s="7" t="n"/>
      <c r="H127" s="7" t="n"/>
      <c r="I127" s="7" t="n"/>
      <c r="J127" s="7" t="n"/>
      <c r="K127" s="7" t="n"/>
      <c r="L127" s="7" t="n"/>
      <c r="M127" s="7" t="n"/>
      <c r="N127" s="7" t="n"/>
      <c r="O127" s="7" t="n"/>
      <c r="P127" s="7" t="n"/>
      <c r="Q127" s="29" t="n">
        <v>1</v>
      </c>
      <c r="R127" s="29" t="n">
        <v>1</v>
      </c>
    </row>
    <row r="128">
      <c r="A128" s="24" t="inlineStr">
        <is>
          <t>Токарь( с исполнением обязаности фрейзеровщика)</t>
        </is>
      </c>
      <c r="B128" s="6" t="n"/>
      <c r="C128" s="7" t="n">
        <v>1</v>
      </c>
      <c r="D128" s="7" t="n">
        <v>2</v>
      </c>
      <c r="E128" s="7" t="n"/>
      <c r="F128" s="29" t="n">
        <v>1</v>
      </c>
      <c r="G128" s="7" t="n"/>
      <c r="H128" s="7" t="n"/>
      <c r="I128" s="7" t="n"/>
      <c r="J128" s="7" t="n"/>
      <c r="K128" s="7" t="n"/>
      <c r="L128" s="7" t="n"/>
      <c r="M128" s="7" t="n"/>
      <c r="N128" s="7" t="n"/>
      <c r="O128" s="7" t="n"/>
      <c r="P128" s="7" t="n"/>
      <c r="Q128" s="7" t="n"/>
      <c r="R128" s="29" t="n">
        <v>1</v>
      </c>
    </row>
    <row r="129">
      <c r="A129" s="24" t="inlineStr">
        <is>
          <t>Топограф</t>
        </is>
      </c>
      <c r="B129" s="6" t="n"/>
      <c r="C129" s="7" t="n">
        <v>1</v>
      </c>
      <c r="D129" s="7" t="n">
        <v>2</v>
      </c>
      <c r="E129" s="7" t="n"/>
      <c r="F129" s="29" t="n">
        <v>1</v>
      </c>
      <c r="G129" s="7" t="n"/>
      <c r="H129" s="7" t="n"/>
      <c r="I129" s="7" t="n"/>
      <c r="J129" s="7" t="n"/>
      <c r="K129" s="7" t="n"/>
      <c r="L129" s="7" t="n"/>
      <c r="M129" s="7" t="n"/>
      <c r="N129" s="7" t="n"/>
      <c r="O129" s="7" t="n"/>
      <c r="P129" s="7" t="n"/>
      <c r="Q129" s="7" t="n"/>
      <c r="R129" s="29" t="n">
        <v>1</v>
      </c>
    </row>
    <row r="130">
      <c r="A130" s="157" t="inlineStr">
        <is>
          <t>Уборщик производственных и служебных помещений</t>
        </is>
      </c>
      <c r="B130" s="6" t="n"/>
      <c r="C130" s="7" t="n">
        <v>10</v>
      </c>
      <c r="D130" s="7" t="n">
        <v>27</v>
      </c>
      <c r="E130" s="7" t="n"/>
      <c r="F130" s="29" t="n">
        <v>10</v>
      </c>
      <c r="G130" s="7" t="n"/>
      <c r="H130" s="7" t="n"/>
      <c r="I130" s="7" t="n"/>
      <c r="J130" s="7" t="n"/>
      <c r="K130" s="7" t="n"/>
      <c r="L130" s="7" t="n"/>
      <c r="M130" s="7" t="n"/>
      <c r="N130" s="7" t="n"/>
      <c r="O130" s="7" t="n"/>
      <c r="P130" s="7" t="n"/>
      <c r="Q130" s="158" t="n">
        <v>7</v>
      </c>
      <c r="R130" s="29" t="n">
        <v>10</v>
      </c>
    </row>
    <row r="131">
      <c r="A131" s="24" t="inlineStr">
        <is>
          <t>Участковый геолог</t>
        </is>
      </c>
      <c r="B131" s="6" t="n"/>
      <c r="C131" s="7" t="n">
        <v>4</v>
      </c>
      <c r="D131" s="7" t="n">
        <v>8</v>
      </c>
      <c r="E131" s="7" t="n"/>
      <c r="F131" s="29" t="n">
        <v>4</v>
      </c>
      <c r="G131" s="7" t="n"/>
      <c r="H131" s="7" t="n"/>
      <c r="I131" s="7" t="n"/>
      <c r="J131" s="7" t="n"/>
      <c r="K131" s="7" t="n"/>
      <c r="L131" s="7" t="n"/>
      <c r="M131" s="7" t="n"/>
      <c r="N131" s="7" t="n"/>
      <c r="O131" s="7" t="n"/>
      <c r="P131" s="7" t="n"/>
      <c r="Q131" s="7" t="n"/>
      <c r="R131" s="29" t="n">
        <v>4</v>
      </c>
    </row>
    <row r="132">
      <c r="A132" s="24" t="inlineStr">
        <is>
          <t>Участковый маркшейдер</t>
        </is>
      </c>
      <c r="B132" s="6" t="n"/>
      <c r="C132" s="7" t="n">
        <v>2</v>
      </c>
      <c r="D132" s="7" t="n">
        <v>4</v>
      </c>
      <c r="E132" s="7" t="n"/>
      <c r="F132" s="29" t="n">
        <v>2</v>
      </c>
      <c r="G132" s="7" t="n"/>
      <c r="H132" s="7" t="n"/>
      <c r="I132" s="7" t="n"/>
      <c r="J132" s="7" t="n"/>
      <c r="K132" s="7" t="n"/>
      <c r="L132" s="7" t="n"/>
      <c r="M132" s="7" t="n"/>
      <c r="N132" s="7" t="n"/>
      <c r="O132" s="7" t="n"/>
      <c r="P132" s="7" t="n"/>
      <c r="Q132" s="7" t="n"/>
      <c r="R132" s="29" t="n">
        <v>2</v>
      </c>
    </row>
    <row r="133">
      <c r="A133" s="157" t="inlineStr">
        <is>
          <t>Фильтровальщик</t>
        </is>
      </c>
      <c r="B133" s="6" t="inlineStr">
        <is>
          <t>Фильтровальщик | Филтровальщик</t>
        </is>
      </c>
      <c r="C133" s="7" t="n">
        <v>41</v>
      </c>
      <c r="D133" s="7" t="n">
        <v>142</v>
      </c>
      <c r="E133" s="7" t="n"/>
      <c r="F133" s="29" t="n">
        <v>41</v>
      </c>
      <c r="G133" s="159" t="n">
        <v>10</v>
      </c>
      <c r="H133" s="7" t="n"/>
      <c r="I133" s="159" t="n">
        <v>10</v>
      </c>
      <c r="J133" s="7" t="n"/>
      <c r="K133" s="7" t="n"/>
      <c r="L133" s="7" t="n"/>
      <c r="M133" s="7" t="n"/>
      <c r="N133" s="7" t="n"/>
      <c r="O133" s="7" t="n"/>
      <c r="P133" s="7" t="n"/>
      <c r="Q133" s="158" t="n">
        <v>25</v>
      </c>
      <c r="R133" s="29" t="n">
        <v>41</v>
      </c>
    </row>
    <row r="134">
      <c r="A134" s="24" t="inlineStr">
        <is>
          <t>Флотатор</t>
        </is>
      </c>
      <c r="B134" s="6" t="n"/>
      <c r="C134" s="7" t="n">
        <v>3</v>
      </c>
      <c r="D134" s="7" t="n">
        <v>9</v>
      </c>
      <c r="E134" s="7" t="n"/>
      <c r="F134" s="29" t="n">
        <v>3</v>
      </c>
      <c r="G134" s="7" t="n"/>
      <c r="H134" s="7" t="n"/>
      <c r="I134" s="7" t="n"/>
      <c r="J134" s="7" t="n"/>
      <c r="K134" s="7" t="n"/>
      <c r="L134" s="7" t="n"/>
      <c r="M134" s="7" t="n"/>
      <c r="N134" s="7" t="n"/>
      <c r="O134" s="7" t="n"/>
      <c r="P134" s="7" t="n"/>
      <c r="Q134" s="29" t="n">
        <v>3</v>
      </c>
      <c r="R134" s="29" t="n">
        <v>3</v>
      </c>
    </row>
    <row r="135">
      <c r="A135" s="157" t="inlineStr">
        <is>
          <t>Электрогазосварщик</t>
        </is>
      </c>
      <c r="B135" s="6" t="inlineStr">
        <is>
          <t>Электрогазосварщик (занятый на резке и ручной сварке) | Электрогазосварщик | Электрогазосварщик(занятый на резке и ручной сварке) | Электрогазосварщик, занятый на резке и ручной сварке | Газоэлектросварщик</t>
        </is>
      </c>
      <c r="C135" s="7" t="n">
        <v>35</v>
      </c>
      <c r="D135" s="7" t="n">
        <v>246</v>
      </c>
      <c r="E135" s="7" t="n"/>
      <c r="F135" s="158" t="n">
        <v>31</v>
      </c>
      <c r="G135" s="159" t="n">
        <v>13</v>
      </c>
      <c r="H135" s="159" t="n">
        <v>24</v>
      </c>
      <c r="I135" s="159" t="n">
        <v>11</v>
      </c>
      <c r="J135" s="159" t="n">
        <v>10</v>
      </c>
      <c r="K135" s="159" t="n">
        <v>10</v>
      </c>
      <c r="L135" s="159" t="n">
        <v>9</v>
      </c>
      <c r="M135" s="7" t="n"/>
      <c r="N135" s="159" t="n">
        <v>3</v>
      </c>
      <c r="O135" s="159" t="n">
        <v>2</v>
      </c>
      <c r="P135" s="7" t="n"/>
      <c r="Q135" s="158" t="n">
        <v>22</v>
      </c>
      <c r="R135" s="158" t="n">
        <v>31</v>
      </c>
    </row>
    <row r="136">
      <c r="A136" s="24" t="inlineStr">
        <is>
          <t>Электромеханик</t>
        </is>
      </c>
      <c r="B136" s="6" t="n"/>
      <c r="C136" s="7" t="n">
        <v>1</v>
      </c>
      <c r="D136" s="7" t="n">
        <v>3</v>
      </c>
      <c r="E136" s="7" t="n"/>
      <c r="F136" s="29" t="n">
        <v>1</v>
      </c>
      <c r="G136" s="7" t="n"/>
      <c r="H136" s="7" t="n"/>
      <c r="I136" s="7" t="n"/>
      <c r="J136" s="7" t="n"/>
      <c r="K136" s="7" t="n"/>
      <c r="L136" s="7" t="n"/>
      <c r="M136" s="7" t="n"/>
      <c r="N136" s="7" t="n"/>
      <c r="O136" s="7" t="n"/>
      <c r="P136" s="7" t="n"/>
      <c r="Q136" s="29" t="n">
        <v>1</v>
      </c>
      <c r="R136" s="29" t="n">
        <v>1</v>
      </c>
    </row>
    <row r="137">
      <c r="A137" s="24" t="inlineStr">
        <is>
          <t>Электромеханик подземного горного участка</t>
        </is>
      </c>
      <c r="B137" s="6" t="n"/>
      <c r="C137" s="7" t="n">
        <v>1</v>
      </c>
      <c r="D137" s="7" t="n">
        <v>4</v>
      </c>
      <c r="E137" s="29" t="n">
        <v>1</v>
      </c>
      <c r="F137" s="29" t="n">
        <v>1</v>
      </c>
      <c r="G137" s="7" t="n"/>
      <c r="H137" s="7" t="n"/>
      <c r="I137" s="7" t="n"/>
      <c r="J137" s="7" t="n"/>
      <c r="K137" s="7" t="n"/>
      <c r="L137" s="7" t="n"/>
      <c r="M137" s="7" t="n"/>
      <c r="N137" s="7" t="n"/>
      <c r="O137" s="7" t="n"/>
      <c r="P137" s="7" t="n"/>
      <c r="Q137" s="29" t="n">
        <v>1</v>
      </c>
      <c r="R137" s="29" t="n">
        <v>1</v>
      </c>
    </row>
    <row r="138">
      <c r="A138" s="157" t="inlineStr">
        <is>
          <t>Электромонтер</t>
        </is>
      </c>
      <c r="B138" s="6" t="inlineStr">
        <is>
          <t>Электромонтер | Электромантер</t>
        </is>
      </c>
      <c r="C138" s="7" t="n">
        <v>6</v>
      </c>
      <c r="D138" s="7" t="n">
        <v>15</v>
      </c>
      <c r="E138" s="7" t="n"/>
      <c r="F138" s="158" t="n">
        <v>2</v>
      </c>
      <c r="G138" s="159" t="n">
        <v>5</v>
      </c>
      <c r="H138" s="7" t="n"/>
      <c r="I138" s="7" t="n"/>
      <c r="J138" s="7" t="n"/>
      <c r="K138" s="7" t="n"/>
      <c r="L138" s="7" t="n"/>
      <c r="M138" s="159" t="n">
        <v>5</v>
      </c>
      <c r="N138" s="7" t="n"/>
      <c r="O138" s="7" t="n"/>
      <c r="P138" s="7" t="n"/>
      <c r="Q138" s="158" t="n">
        <v>1</v>
      </c>
      <c r="R138" s="158" t="n">
        <v>2</v>
      </c>
    </row>
    <row r="139">
      <c r="A139" s="157" t="inlineStr">
        <is>
          <t>Электромонтер по ремонту и обслуживанию электрооборудования</t>
        </is>
      </c>
      <c r="B139" s="6" t="inlineStr">
        <is>
          <t>Электромонтер по ремонту и обслуживанию электрооборудования | Электромонтер по ремонту и обслуживанию электрооборудованию</t>
        </is>
      </c>
      <c r="C139" s="7" t="n">
        <v>17</v>
      </c>
      <c r="D139" s="7" t="n">
        <v>84</v>
      </c>
      <c r="E139" s="7" t="n"/>
      <c r="F139" s="29" t="n">
        <v>17</v>
      </c>
      <c r="G139" s="159" t="n">
        <v>6</v>
      </c>
      <c r="H139" s="159" t="n">
        <v>3</v>
      </c>
      <c r="I139" s="159" t="n">
        <v>3</v>
      </c>
      <c r="J139" s="159" t="n">
        <v>3</v>
      </c>
      <c r="K139" s="159" t="n">
        <v>3</v>
      </c>
      <c r="L139" s="159" t="n">
        <v>3</v>
      </c>
      <c r="M139" s="159" t="n">
        <v>6</v>
      </c>
      <c r="N139" s="7" t="n"/>
      <c r="O139" s="7" t="n"/>
      <c r="P139" s="7" t="n"/>
      <c r="Q139" s="158" t="n">
        <v>6</v>
      </c>
      <c r="R139" s="29" t="n">
        <v>17</v>
      </c>
    </row>
    <row r="140">
      <c r="A140" s="24" t="inlineStr">
        <is>
          <t>Электрослесарь (слесарь)</t>
        </is>
      </c>
      <c r="B140" s="6" t="n"/>
      <c r="C140" s="7" t="n">
        <v>3</v>
      </c>
      <c r="D140" s="7" t="n">
        <v>9</v>
      </c>
      <c r="E140" s="7" t="n"/>
      <c r="F140" s="29" t="n">
        <v>3</v>
      </c>
      <c r="G140" s="7" t="n"/>
      <c r="H140" s="7" t="n"/>
      <c r="I140" s="7" t="n"/>
      <c r="J140" s="7" t="n"/>
      <c r="K140" s="7" t="n"/>
      <c r="L140" s="7" t="n"/>
      <c r="M140" s="7" t="n"/>
      <c r="N140" s="7" t="n"/>
      <c r="O140" s="7" t="n"/>
      <c r="P140" s="7" t="n"/>
      <c r="Q140" s="29" t="n">
        <v>3</v>
      </c>
      <c r="R140" s="29" t="n">
        <v>3</v>
      </c>
    </row>
    <row r="141">
      <c r="A141" s="157" t="inlineStr">
        <is>
          <t>Электрослесарь (слесарь) дежурный и по ремонту оборудования</t>
        </is>
      </c>
      <c r="B141" s="6" t="n"/>
      <c r="C141" s="7" t="n">
        <v>5</v>
      </c>
      <c r="D141" s="7" t="n">
        <v>18</v>
      </c>
      <c r="E141" s="7" t="n"/>
      <c r="F141" s="29" t="n">
        <v>5</v>
      </c>
      <c r="G141" s="7" t="n"/>
      <c r="H141" s="7" t="n"/>
      <c r="I141" s="7" t="n"/>
      <c r="J141" s="7" t="n"/>
      <c r="K141" s="7" t="n"/>
      <c r="L141" s="7" t="n"/>
      <c r="M141" s="7" t="n"/>
      <c r="N141" s="7" t="n"/>
      <c r="O141" s="7" t="n"/>
      <c r="P141" s="7" t="n"/>
      <c r="Q141" s="158" t="n">
        <v>4</v>
      </c>
      <c r="R141" s="29" t="n">
        <v>5</v>
      </c>
    </row>
    <row r="142">
      <c r="A142" s="157" t="inlineStr">
        <is>
          <t>Электрослесарь (слесарь) дежурный и по ремонту оборудования подземного горного участка</t>
        </is>
      </c>
      <c r="B142" s="6" t="n"/>
      <c r="C142" s="7" t="n">
        <v>10</v>
      </c>
      <c r="D142" s="7" t="n">
        <v>35</v>
      </c>
      <c r="E142" s="7" t="n"/>
      <c r="F142" s="29" t="n">
        <v>10</v>
      </c>
      <c r="G142" s="7" t="n"/>
      <c r="H142" s="7" t="n"/>
      <c r="I142" s="7" t="n"/>
      <c r="J142" s="7" t="n"/>
      <c r="K142" s="7" t="n"/>
      <c r="L142" s="7" t="n"/>
      <c r="M142" s="159" t="n">
        <v>1</v>
      </c>
      <c r="N142" s="7" t="n"/>
      <c r="O142" s="7" t="n"/>
      <c r="P142" s="7" t="n"/>
      <c r="Q142" s="158" t="n">
        <v>7</v>
      </c>
      <c r="R142" s="29" t="n">
        <v>10</v>
      </c>
    </row>
    <row r="143" ht="22" customHeight="1">
      <c r="A143" s="160" t="inlineStr">
        <is>
          <t>Итого назначений</t>
        </is>
      </c>
      <c r="B143" s="160" t="n"/>
      <c r="C143" s="161">
        <f>SUM(C3:C142)</f>
        <v/>
      </c>
      <c r="D143" s="161">
        <f>SUM(D3:D142)</f>
        <v/>
      </c>
      <c r="E143" s="161">
        <f>SUM(E3:E142)</f>
        <v/>
      </c>
      <c r="F143" s="161">
        <f>SUM(F3:F142)</f>
        <v/>
      </c>
      <c r="G143" s="161">
        <f>SUM(G3:G142)</f>
        <v/>
      </c>
      <c r="H143" s="161">
        <f>SUM(H3:H142)</f>
        <v/>
      </c>
      <c r="I143" s="161">
        <f>SUM(I3:I142)</f>
        <v/>
      </c>
      <c r="J143" s="161">
        <f>SUM(J3:J142)</f>
        <v/>
      </c>
      <c r="K143" s="161">
        <f>SUM(K3:K142)</f>
        <v/>
      </c>
      <c r="L143" s="161">
        <f>SUM(L3:L142)</f>
        <v/>
      </c>
      <c r="M143" s="161">
        <f>SUM(M3:M142)</f>
        <v/>
      </c>
      <c r="N143" s="161">
        <f>SUM(N3:N142)</f>
        <v/>
      </c>
      <c r="O143" s="161">
        <f>SUM(O3:O142)</f>
        <v/>
      </c>
      <c r="P143" s="161">
        <f>SUM(P3:P142)</f>
        <v/>
      </c>
      <c r="Q143" s="161">
        <f>SUM(Q3:Q142)</f>
        <v/>
      </c>
      <c r="R143" s="161">
        <f>SUM(R3:R142)</f>
        <v/>
      </c>
    </row>
    <row r="145" ht="36" customHeight="1">
      <c r="A145" s="162" t="inlineStr">
        <is>
          <t>Правило. Если программа требуется работникам данной профессии, её должны пройти все работники этой профессии. Синим выделены профессия и ячейки, где программу прошла только часть работников: остальные работники той же профессии эту программу не проходили.</t>
        </is>
      </c>
    </row>
    <row r="146" ht="36" customHeight="1">
      <c r="A146" s="162" t="inlineStr">
        <is>
          <t>Пустая ячейка означает, что по программе нет записей. Сама по себе пустая ячейка не показывает пробел: программа может профессии не требоваться. Сомнение возникает там, где обучение уже есть у части работников и отсутствует у других.</t>
        </is>
      </c>
    </row>
    <row r="147" ht="48" customHeight="1">
      <c r="A147" s="162" t="inlineStr">
        <is>
          <t>Краткий итог. Профессий, где работников двое и больше, — 99. Из них у 72 хотя бы одна программа пройдена не всеми. Чаще всего это первая помощь: 71 профессий. Программу 46б прошли не все работники в 6 профессиях; самый большой пробел — слесарь-ремонтник, программу прошли 3 из 12. Программы 46в часто пройдены только частью работников: нужно проверить, все ли работники этой профессии выполняют такую работу.</t>
        </is>
      </c>
    </row>
    <row r="148" ht="36" customHeight="1">
      <c r="A148" s="162" t="inlineStr">
        <is>
          <t>Число в ячейке программы — количество работников, которые прошли эту программу, без повторных обучений. Повторные прохождения смотрите на вкладке «Повторные обучения».</t>
        </is>
      </c>
    </row>
    <row r="149" ht="32" customHeight="1">
      <c r="A149" s="163" t="inlineStr">
        <is>
          <t>Жёлтые числа стоят только во второй таблице и только по программам 46в: это потенциальный недостаток, потому что внутри профессии могут отличаться выполняемые виды работ.</t>
        </is>
      </c>
    </row>
    <row r="150" ht="32" customHeight="1">
      <c r="A150" s="163" t="inlineStr">
        <is>
          <t>Проверка выполнена: ни одно значение в столбцах G–P не превышает число работников в столбце C.</t>
        </is>
      </c>
    </row>
    <row r="151" ht="12" customHeight="1"/>
    <row r="152" ht="24" customHeight="1">
      <c r="A152" s="44" t="inlineStr">
        <is>
          <t>Недостаток по обучению в разрезе профессий</t>
        </is>
      </c>
    </row>
    <row r="153" ht="78" customHeight="1">
      <c r="A153" s="163" t="inlineStr">
        <is>
          <t>Разницу считаем только там, где программа уже кому-то назначена. Если по 46а, 46б, первой помощи или СИЗ нет ни одного прохождения, ячейка пустая: программа могла не требоваться, разницу не считаем. Если прохождение есть и прошедших меньше, чем работников профессии, в столбце стоит разница с этим числом работников. По программам 46в жёлтым показан потенциальный недостаток: до максимума строки дополняются только программы, где обучение уже было. Жёлтая заливка есть только в этой таблице и только у значений 46в. Первая помощь и СИЗ жёлтым не выделяются.</t>
        </is>
      </c>
    </row>
    <row r="154" ht="150" customHeight="1">
      <c r="A154" s="135" t="inlineStr">
        <is>
          <t>Профессия</t>
        </is>
      </c>
      <c r="B154" s="135" t="inlineStr">
        <is>
          <t>Максимум по 46в</t>
        </is>
      </c>
      <c r="C154" s="135" t="inlineStr">
        <is>
          <t>Работников</t>
        </is>
      </c>
      <c r="D154" s="199" t="n"/>
      <c r="E154" s="135" t="inlineStr">
        <is>
          <t>46а. Общие вопросы охраны труда</t>
        </is>
      </c>
      <c r="F154" s="135" t="inlineStr">
        <is>
          <t>46б. Безопасные методы при вредных и опасных факторах</t>
        </is>
      </c>
      <c r="G154" s="135" t="inlineStr">
        <is>
          <t>46в. Работы на высоте</t>
        </is>
      </c>
      <c r="H154" s="135" t="inlineStr">
        <is>
          <t>46в. Огневые работы</t>
        </is>
      </c>
      <c r="I154" s="135" t="inlineStr">
        <is>
          <t>46в. Работы в ОЗП</t>
        </is>
      </c>
      <c r="J154" s="135" t="inlineStr">
        <is>
          <t>46в. Подъемные сооружения</t>
        </is>
      </c>
      <c r="K154" s="135" t="inlineStr">
        <is>
          <t>46в. Сосуды под давлением</t>
        </is>
      </c>
      <c r="L154" s="135" t="inlineStr">
        <is>
          <t>46в. Технологическое оборудование</t>
        </is>
      </c>
      <c r="M154" s="135" t="inlineStr">
        <is>
          <t>46в. Электроустановки</t>
        </is>
      </c>
      <c r="N154" s="135" t="inlineStr">
        <is>
          <t>46в. Строительные работы</t>
        </is>
      </c>
      <c r="O154" s="135" t="inlineStr">
        <is>
          <t>46в. Ремонт, монтаж и демонтаж зданий</t>
        </is>
      </c>
      <c r="P154" s="135" t="inlineStr">
        <is>
          <t>46в. Земляные работы</t>
        </is>
      </c>
      <c r="Q154" s="135" t="inlineStr">
        <is>
          <t>Первая помощь пострадавшим</t>
        </is>
      </c>
      <c r="R154" s="135" t="inlineStr">
        <is>
          <t>Применение СИЗ</t>
        </is>
      </c>
      <c r="S154" s="135" t="inlineStr">
        <is>
          <t>Итого</t>
        </is>
      </c>
    </row>
    <row r="155" ht="18" customHeight="1">
      <c r="A155" s="45" t="inlineStr">
        <is>
          <t>Электрогазосварщик</t>
        </is>
      </c>
      <c r="B155" s="200" t="n">
        <v>24</v>
      </c>
      <c r="C155" s="200" t="n">
        <v>35</v>
      </c>
      <c r="D155" s="199" t="n"/>
      <c r="E155" s="199" t="n"/>
      <c r="F155" s="196" t="n">
        <v>4</v>
      </c>
      <c r="G155" s="201" t="n">
        <v>11</v>
      </c>
      <c r="H155" s="202" t="n"/>
      <c r="I155" s="201" t="n">
        <v>13</v>
      </c>
      <c r="J155" s="201" t="n">
        <v>14</v>
      </c>
      <c r="K155" s="201" t="n">
        <v>14</v>
      </c>
      <c r="L155" s="201" t="n">
        <v>15</v>
      </c>
      <c r="M155" s="202" t="n"/>
      <c r="N155" s="201" t="n">
        <v>21</v>
      </c>
      <c r="O155" s="201" t="n">
        <v>22</v>
      </c>
      <c r="P155" s="202" t="n"/>
      <c r="Q155" s="196" t="n">
        <v>13</v>
      </c>
      <c r="R155" s="203" t="n">
        <v>4</v>
      </c>
      <c r="S155" s="196" t="n">
        <v>131</v>
      </c>
    </row>
    <row r="156" ht="18" customHeight="1">
      <c r="A156" s="45" t="inlineStr">
        <is>
          <t>Слесарь-ремонтник</t>
        </is>
      </c>
      <c r="B156" s="202" t="n"/>
      <c r="C156" s="200" t="n">
        <v>12</v>
      </c>
      <c r="D156" s="199" t="n"/>
      <c r="E156" s="199" t="n"/>
      <c r="F156" s="196" t="n">
        <v>9</v>
      </c>
      <c r="G156" s="202" t="n"/>
      <c r="H156" s="202" t="n"/>
      <c r="I156" s="202" t="n"/>
      <c r="J156" s="202" t="n"/>
      <c r="K156" s="202" t="n"/>
      <c r="L156" s="202" t="n"/>
      <c r="M156" s="202" t="n"/>
      <c r="N156" s="202" t="n"/>
      <c r="O156" s="202" t="n"/>
      <c r="P156" s="202" t="n"/>
      <c r="Q156" s="196" t="n">
        <v>11</v>
      </c>
      <c r="R156" s="203" t="n">
        <v>9</v>
      </c>
      <c r="S156" s="196" t="n">
        <v>29</v>
      </c>
    </row>
    <row r="157" ht="18" customHeight="1">
      <c r="A157" s="45" t="inlineStr">
        <is>
          <t>Электромонтер по ремонту и обслуживанию электрооборудования</t>
        </is>
      </c>
      <c r="B157" s="200" t="n">
        <v>6</v>
      </c>
      <c r="C157" s="200" t="n">
        <v>17</v>
      </c>
      <c r="D157" s="199" t="n"/>
      <c r="E157" s="199" t="n"/>
      <c r="F157" s="199" t="n"/>
      <c r="G157" s="202" t="n"/>
      <c r="H157" s="201" t="n">
        <v>3</v>
      </c>
      <c r="I157" s="201" t="n">
        <v>3</v>
      </c>
      <c r="J157" s="201" t="n">
        <v>3</v>
      </c>
      <c r="K157" s="201" t="n">
        <v>3</v>
      </c>
      <c r="L157" s="201" t="n">
        <v>3</v>
      </c>
      <c r="M157" s="202" t="n"/>
      <c r="N157" s="202" t="n"/>
      <c r="O157" s="202" t="n"/>
      <c r="P157" s="202" t="n"/>
      <c r="Q157" s="196" t="n">
        <v>11</v>
      </c>
      <c r="R157" s="202" t="n"/>
      <c r="S157" s="196" t="n">
        <v>26</v>
      </c>
    </row>
    <row r="158" ht="18" customHeight="1">
      <c r="A158" s="45" t="inlineStr">
        <is>
          <t>Аппаратчик-гидрометаллург</t>
        </is>
      </c>
      <c r="B158" s="202" t="n"/>
      <c r="C158" s="200" t="n">
        <v>30</v>
      </c>
      <c r="D158" s="199" t="n"/>
      <c r="E158" s="199" t="n"/>
      <c r="F158" s="199" t="n"/>
      <c r="G158" s="202" t="n"/>
      <c r="H158" s="202" t="n"/>
      <c r="I158" s="202" t="n"/>
      <c r="J158" s="202" t="n"/>
      <c r="K158" s="202" t="n"/>
      <c r="L158" s="202" t="n"/>
      <c r="M158" s="202" t="n"/>
      <c r="N158" s="202" t="n"/>
      <c r="O158" s="202" t="n"/>
      <c r="P158" s="202" t="n"/>
      <c r="Q158" s="196" t="n">
        <v>16</v>
      </c>
      <c r="R158" s="202" t="n"/>
      <c r="S158" s="196" t="n">
        <v>16</v>
      </c>
    </row>
    <row r="159" ht="18" customHeight="1">
      <c r="A159" s="45" t="inlineStr">
        <is>
          <t>Фильтровальщик</t>
        </is>
      </c>
      <c r="B159" s="202" t="n"/>
      <c r="C159" s="200" t="n">
        <v>41</v>
      </c>
      <c r="D159" s="199" t="n"/>
      <c r="E159" s="199" t="n"/>
      <c r="F159" s="199" t="n"/>
      <c r="G159" s="202" t="n"/>
      <c r="H159" s="202" t="n"/>
      <c r="I159" s="202" t="n"/>
      <c r="J159" s="202" t="n"/>
      <c r="K159" s="202" t="n"/>
      <c r="L159" s="202" t="n"/>
      <c r="M159" s="202" t="n"/>
      <c r="N159" s="202" t="n"/>
      <c r="O159" s="202" t="n"/>
      <c r="P159" s="202" t="n"/>
      <c r="Q159" s="196" t="n">
        <v>16</v>
      </c>
      <c r="R159" s="202" t="n"/>
      <c r="S159" s="196" t="n">
        <v>16</v>
      </c>
    </row>
    <row r="160" ht="18" customHeight="1">
      <c r="A160" s="45" t="inlineStr">
        <is>
          <t>Повар</t>
        </is>
      </c>
      <c r="B160" s="202" t="n"/>
      <c r="C160" s="200" t="n">
        <v>31</v>
      </c>
      <c r="D160" s="199" t="n"/>
      <c r="E160" s="199" t="n"/>
      <c r="F160" s="199" t="n"/>
      <c r="G160" s="202" t="n"/>
      <c r="H160" s="202" t="n"/>
      <c r="I160" s="202" t="n"/>
      <c r="J160" s="202" t="n"/>
      <c r="K160" s="202" t="n"/>
      <c r="L160" s="202" t="n"/>
      <c r="M160" s="202" t="n"/>
      <c r="N160" s="202" t="n"/>
      <c r="O160" s="202" t="n"/>
      <c r="P160" s="202" t="n"/>
      <c r="Q160" s="196" t="n">
        <v>15</v>
      </c>
      <c r="R160" s="202" t="n"/>
      <c r="S160" s="196" t="n">
        <v>15</v>
      </c>
    </row>
    <row r="161" ht="18" customHeight="1">
      <c r="A161" s="45" t="inlineStr">
        <is>
          <t>Помощник машиниста самоходной буровой установки (с исполнением обязанностей пробоотборщика) (Очистное)</t>
        </is>
      </c>
      <c r="B161" s="202" t="n"/>
      <c r="C161" s="200" t="n">
        <v>15</v>
      </c>
      <c r="D161" s="199" t="n"/>
      <c r="E161" s="199" t="n"/>
      <c r="F161" s="199" t="n"/>
      <c r="G161" s="202" t="n"/>
      <c r="H161" s="202" t="n"/>
      <c r="I161" s="202" t="n"/>
      <c r="J161" s="202" t="n"/>
      <c r="K161" s="202" t="n"/>
      <c r="L161" s="202" t="n"/>
      <c r="M161" s="202" t="n"/>
      <c r="N161" s="202" t="n"/>
      <c r="O161" s="202" t="n"/>
      <c r="P161" s="202" t="n"/>
      <c r="Q161" s="196" t="n">
        <v>13</v>
      </c>
      <c r="R161" s="202" t="n"/>
      <c r="S161" s="196" t="n">
        <v>13</v>
      </c>
    </row>
    <row r="162" ht="18" customHeight="1">
      <c r="A162" s="45" t="inlineStr">
        <is>
          <t>Электромонтер</t>
        </is>
      </c>
      <c r="B162" s="202" t="n"/>
      <c r="C162" s="200" t="n">
        <v>6</v>
      </c>
      <c r="D162" s="199" t="n"/>
      <c r="E162" s="199" t="n"/>
      <c r="F162" s="196" t="n">
        <v>4</v>
      </c>
      <c r="G162" s="202" t="n"/>
      <c r="H162" s="202" t="n"/>
      <c r="I162" s="202" t="n"/>
      <c r="J162" s="202" t="n"/>
      <c r="K162" s="202" t="n"/>
      <c r="L162" s="202" t="n"/>
      <c r="M162" s="202" t="n"/>
      <c r="N162" s="202" t="n"/>
      <c r="O162" s="202" t="n"/>
      <c r="P162" s="202" t="n"/>
      <c r="Q162" s="196" t="n">
        <v>5</v>
      </c>
      <c r="R162" s="203" t="n">
        <v>4</v>
      </c>
      <c r="S162" s="196" t="n">
        <v>13</v>
      </c>
    </row>
    <row r="163" ht="18" customHeight="1">
      <c r="A163" s="45" t="inlineStr">
        <is>
          <t>Проходчик (с исполнением обязанностей взрывника)</t>
        </is>
      </c>
      <c r="B163" s="202" t="n"/>
      <c r="C163" s="200" t="n">
        <v>30</v>
      </c>
      <c r="D163" s="199" t="n"/>
      <c r="E163" s="199" t="n"/>
      <c r="F163" s="196" t="n">
        <v>3</v>
      </c>
      <c r="G163" s="202" t="n"/>
      <c r="H163" s="202" t="n"/>
      <c r="I163" s="202" t="n"/>
      <c r="J163" s="202" t="n"/>
      <c r="K163" s="202" t="n"/>
      <c r="L163" s="202" t="n"/>
      <c r="M163" s="202" t="n"/>
      <c r="N163" s="202" t="n"/>
      <c r="O163" s="202" t="n"/>
      <c r="P163" s="202" t="n"/>
      <c r="Q163" s="196" t="n">
        <v>6</v>
      </c>
      <c r="R163" s="203" t="n">
        <v>3</v>
      </c>
      <c r="S163" s="196" t="n">
        <v>12</v>
      </c>
    </row>
    <row r="164" ht="18" customHeight="1">
      <c r="A164" s="45" t="inlineStr">
        <is>
          <t>Аппаратчик сгустителей</t>
        </is>
      </c>
      <c r="B164" s="202" t="n"/>
      <c r="C164" s="200" t="n">
        <v>8</v>
      </c>
      <c r="D164" s="199" t="n"/>
      <c r="E164" s="199" t="n"/>
      <c r="F164" s="196" t="n">
        <v>3</v>
      </c>
      <c r="G164" s="202" t="n"/>
      <c r="H164" s="202" t="n"/>
      <c r="I164" s="202" t="n"/>
      <c r="J164" s="202" t="n"/>
      <c r="K164" s="202" t="n"/>
      <c r="L164" s="202" t="n"/>
      <c r="M164" s="202" t="n"/>
      <c r="N164" s="202" t="n"/>
      <c r="O164" s="202" t="n"/>
      <c r="P164" s="202" t="n"/>
      <c r="Q164" s="196" t="n">
        <v>4</v>
      </c>
      <c r="R164" s="203" t="n">
        <v>3</v>
      </c>
      <c r="S164" s="196" t="n">
        <v>10</v>
      </c>
    </row>
    <row r="165" ht="18" customHeight="1">
      <c r="A165" s="45" t="inlineStr">
        <is>
          <t>Водитель автомобиля (занятый на транспортировании горной массы в технологическом процессе)</t>
        </is>
      </c>
      <c r="B165" s="202" t="n"/>
      <c r="C165" s="200" t="n">
        <v>50</v>
      </c>
      <c r="D165" s="199" t="n"/>
      <c r="E165" s="199" t="n"/>
      <c r="F165" s="199" t="n"/>
      <c r="G165" s="202" t="n"/>
      <c r="H165" s="202" t="n"/>
      <c r="I165" s="202" t="n"/>
      <c r="J165" s="202" t="n"/>
      <c r="K165" s="202" t="n"/>
      <c r="L165" s="202" t="n"/>
      <c r="M165" s="202" t="n"/>
      <c r="N165" s="202" t="n"/>
      <c r="O165" s="202" t="n"/>
      <c r="P165" s="202" t="n"/>
      <c r="Q165" s="196" t="n">
        <v>10</v>
      </c>
      <c r="R165" s="202" t="n"/>
      <c r="S165" s="196" t="n">
        <v>10</v>
      </c>
    </row>
    <row r="166" ht="18" customHeight="1">
      <c r="A166" s="45" t="inlineStr">
        <is>
          <t>Машинист бульдозера</t>
        </is>
      </c>
      <c r="B166" s="202" t="n"/>
      <c r="C166" s="200" t="n">
        <v>24</v>
      </c>
      <c r="D166" s="199" t="n"/>
      <c r="E166" s="199" t="n"/>
      <c r="F166" s="199" t="n"/>
      <c r="G166" s="202" t="n"/>
      <c r="H166" s="202" t="n"/>
      <c r="I166" s="202" t="n"/>
      <c r="J166" s="202" t="n"/>
      <c r="K166" s="202" t="n"/>
      <c r="L166" s="202" t="n"/>
      <c r="M166" s="202" t="n"/>
      <c r="N166" s="202" t="n"/>
      <c r="O166" s="202" t="n"/>
      <c r="P166" s="202" t="n"/>
      <c r="Q166" s="196" t="n">
        <v>9</v>
      </c>
      <c r="R166" s="202" t="n"/>
      <c r="S166" s="196" t="n">
        <v>9</v>
      </c>
    </row>
    <row r="167" ht="18" customHeight="1">
      <c r="A167" s="45" t="inlineStr">
        <is>
          <t>Весовщик</t>
        </is>
      </c>
      <c r="B167" s="202" t="n"/>
      <c r="C167" s="200" t="n">
        <v>12</v>
      </c>
      <c r="D167" s="199" t="n"/>
      <c r="E167" s="199" t="n"/>
      <c r="F167" s="199" t="n"/>
      <c r="G167" s="202" t="n"/>
      <c r="H167" s="202" t="n"/>
      <c r="I167" s="202" t="n"/>
      <c r="J167" s="202" t="n"/>
      <c r="K167" s="202" t="n"/>
      <c r="L167" s="202" t="n"/>
      <c r="M167" s="202" t="n"/>
      <c r="N167" s="202" t="n"/>
      <c r="O167" s="202" t="n"/>
      <c r="P167" s="202" t="n"/>
      <c r="Q167" s="196" t="n">
        <v>8</v>
      </c>
      <c r="R167" s="202" t="n"/>
      <c r="S167" s="196" t="n">
        <v>8</v>
      </c>
    </row>
    <row r="168" ht="18" customHeight="1">
      <c r="A168" s="45" t="inlineStr">
        <is>
          <t>Машинист погрузочно-доставочной машины (занятый на транспортировании горной массы в технологическом процессе)</t>
        </is>
      </c>
      <c r="B168" s="202" t="n"/>
      <c r="C168" s="200" t="n">
        <v>29</v>
      </c>
      <c r="D168" s="199" t="n"/>
      <c r="E168" s="199" t="n"/>
      <c r="F168" s="199" t="n"/>
      <c r="G168" s="202" t="n"/>
      <c r="H168" s="202" t="n"/>
      <c r="I168" s="202" t="n"/>
      <c r="J168" s="202" t="n"/>
      <c r="K168" s="202" t="n"/>
      <c r="L168" s="202" t="n"/>
      <c r="M168" s="202" t="n"/>
      <c r="N168" s="202" t="n"/>
      <c r="O168" s="202" t="n"/>
      <c r="P168" s="202" t="n"/>
      <c r="Q168" s="196" t="n">
        <v>8</v>
      </c>
      <c r="R168" s="202" t="n"/>
      <c r="S168" s="196" t="n">
        <v>8</v>
      </c>
    </row>
    <row r="169" ht="18" customHeight="1">
      <c r="A169" s="45" t="inlineStr">
        <is>
          <t>Подсобный рабочий</t>
        </is>
      </c>
      <c r="B169" s="202" t="n"/>
      <c r="C169" s="200" t="n">
        <v>28</v>
      </c>
      <c r="D169" s="199" t="n"/>
      <c r="E169" s="199" t="n"/>
      <c r="F169" s="199" t="n"/>
      <c r="G169" s="202" t="n"/>
      <c r="H169" s="202" t="n"/>
      <c r="I169" s="202" t="n"/>
      <c r="J169" s="202" t="n"/>
      <c r="K169" s="202" t="n"/>
      <c r="L169" s="202" t="n"/>
      <c r="M169" s="202" t="n"/>
      <c r="N169" s="202" t="n"/>
      <c r="O169" s="202" t="n"/>
      <c r="P169" s="202" t="n"/>
      <c r="Q169" s="196" t="n">
        <v>8</v>
      </c>
      <c r="R169" s="202" t="n"/>
      <c r="S169" s="196" t="n">
        <v>8</v>
      </c>
    </row>
    <row r="170" ht="18" customHeight="1">
      <c r="A170" s="45" t="inlineStr">
        <is>
          <t>Растворщик реагентов</t>
        </is>
      </c>
      <c r="B170" s="202" t="n"/>
      <c r="C170" s="200" t="n">
        <v>15</v>
      </c>
      <c r="D170" s="199" t="n"/>
      <c r="E170" s="199" t="n"/>
      <c r="F170" s="199" t="n"/>
      <c r="G170" s="202" t="n"/>
      <c r="H170" s="202" t="n"/>
      <c r="I170" s="202" t="n"/>
      <c r="J170" s="202" t="n"/>
      <c r="K170" s="202" t="n"/>
      <c r="L170" s="202" t="n"/>
      <c r="M170" s="202" t="n"/>
      <c r="N170" s="202" t="n"/>
      <c r="O170" s="202" t="n"/>
      <c r="P170" s="202" t="n"/>
      <c r="Q170" s="196" t="n">
        <v>8</v>
      </c>
      <c r="R170" s="202" t="n"/>
      <c r="S170" s="196" t="n">
        <v>8</v>
      </c>
    </row>
    <row r="171" ht="18" customHeight="1">
      <c r="A171" s="45" t="inlineStr">
        <is>
          <t>Бункеровщик</t>
        </is>
      </c>
      <c r="B171" s="202" t="n"/>
      <c r="C171" s="200" t="n">
        <v>17</v>
      </c>
      <c r="D171" s="199" t="n"/>
      <c r="E171" s="199" t="n"/>
      <c r="F171" s="199" t="n"/>
      <c r="G171" s="202" t="n"/>
      <c r="H171" s="202" t="n"/>
      <c r="I171" s="202" t="n"/>
      <c r="J171" s="202" t="n"/>
      <c r="K171" s="202" t="n"/>
      <c r="L171" s="202" t="n"/>
      <c r="M171" s="202" t="n"/>
      <c r="N171" s="202" t="n"/>
      <c r="O171" s="202" t="n"/>
      <c r="P171" s="202" t="n"/>
      <c r="Q171" s="196" t="n">
        <v>7</v>
      </c>
      <c r="R171" s="202" t="n"/>
      <c r="S171" s="196" t="n">
        <v>7</v>
      </c>
    </row>
    <row r="172" ht="18" customHeight="1">
      <c r="A172" s="45" t="inlineStr">
        <is>
          <t>Горнорабочий на маркшейдерских работах</t>
        </is>
      </c>
      <c r="B172" s="202" t="n"/>
      <c r="C172" s="200" t="n">
        <v>9</v>
      </c>
      <c r="D172" s="199" t="n"/>
      <c r="E172" s="199" t="n"/>
      <c r="F172" s="199" t="n"/>
      <c r="G172" s="202" t="n"/>
      <c r="H172" s="202" t="n"/>
      <c r="I172" s="202" t="n"/>
      <c r="J172" s="202" t="n"/>
      <c r="K172" s="202" t="n"/>
      <c r="L172" s="202" t="n"/>
      <c r="M172" s="202" t="n"/>
      <c r="N172" s="202" t="n"/>
      <c r="O172" s="202" t="n"/>
      <c r="P172" s="202" t="n"/>
      <c r="Q172" s="196" t="n">
        <v>7</v>
      </c>
      <c r="R172" s="202" t="n"/>
      <c r="S172" s="196" t="n">
        <v>7</v>
      </c>
    </row>
    <row r="173" ht="18" customHeight="1">
      <c r="A173" s="45" t="inlineStr">
        <is>
          <t>Горный диспетчер</t>
        </is>
      </c>
      <c r="B173" s="202" t="n"/>
      <c r="C173" s="200" t="n">
        <v>6</v>
      </c>
      <c r="D173" s="199" t="n"/>
      <c r="E173" s="196" t="n">
        <v>5</v>
      </c>
      <c r="F173" s="199" t="n"/>
      <c r="G173" s="202" t="n"/>
      <c r="H173" s="202" t="n"/>
      <c r="I173" s="202" t="n"/>
      <c r="J173" s="202" t="n"/>
      <c r="K173" s="202" t="n"/>
      <c r="L173" s="202" t="n"/>
      <c r="M173" s="202" t="n"/>
      <c r="N173" s="202" t="n"/>
      <c r="O173" s="202" t="n"/>
      <c r="P173" s="202" t="n"/>
      <c r="Q173" s="196" t="n">
        <v>2</v>
      </c>
      <c r="R173" s="202" t="n"/>
      <c r="S173" s="196" t="n">
        <v>7</v>
      </c>
    </row>
    <row r="174" ht="18" customHeight="1">
      <c r="A174" s="45" t="inlineStr">
        <is>
          <t>Кухонный рабочий</t>
        </is>
      </c>
      <c r="B174" s="202" t="n"/>
      <c r="C174" s="200" t="n">
        <v>26</v>
      </c>
      <c r="D174" s="199" t="n"/>
      <c r="E174" s="199" t="n"/>
      <c r="F174" s="199" t="n"/>
      <c r="G174" s="202" t="n"/>
      <c r="H174" s="202" t="n"/>
      <c r="I174" s="202" t="n"/>
      <c r="J174" s="202" t="n"/>
      <c r="K174" s="202" t="n"/>
      <c r="L174" s="202" t="n"/>
      <c r="M174" s="202" t="n"/>
      <c r="N174" s="202" t="n"/>
      <c r="O174" s="202" t="n"/>
      <c r="P174" s="202" t="n"/>
      <c r="Q174" s="196" t="n">
        <v>7</v>
      </c>
      <c r="R174" s="202" t="n"/>
      <c r="S174" s="196" t="n">
        <v>7</v>
      </c>
    </row>
    <row r="175" ht="18" customHeight="1">
      <c r="A175" s="45" t="inlineStr">
        <is>
          <t>Плотник</t>
        </is>
      </c>
      <c r="B175" s="202" t="n"/>
      <c r="C175" s="200" t="n">
        <v>14</v>
      </c>
      <c r="D175" s="199" t="n"/>
      <c r="E175" s="199" t="n"/>
      <c r="F175" s="199" t="n"/>
      <c r="G175" s="202" t="n"/>
      <c r="H175" s="202" t="n"/>
      <c r="I175" s="202" t="n"/>
      <c r="J175" s="202" t="n"/>
      <c r="K175" s="202" t="n"/>
      <c r="L175" s="202" t="n"/>
      <c r="M175" s="202" t="n"/>
      <c r="N175" s="202" t="n"/>
      <c r="O175" s="202" t="n"/>
      <c r="P175" s="202" t="n"/>
      <c r="Q175" s="196" t="n">
        <v>7</v>
      </c>
      <c r="R175" s="202" t="n"/>
      <c r="S175" s="196" t="n">
        <v>7</v>
      </c>
    </row>
    <row r="176" ht="18" customHeight="1">
      <c r="A176" s="45" t="inlineStr">
        <is>
          <t>Слесарь-ремонтник (по ремонту обогатительного оборудования)</t>
        </is>
      </c>
      <c r="B176" s="202" t="n"/>
      <c r="C176" s="200" t="n">
        <v>17</v>
      </c>
      <c r="D176" s="199" t="n"/>
      <c r="E176" s="199" t="n"/>
      <c r="F176" s="199" t="n"/>
      <c r="G176" s="202" t="n"/>
      <c r="H176" s="202" t="n"/>
      <c r="I176" s="202" t="n"/>
      <c r="J176" s="202" t="n"/>
      <c r="K176" s="202" t="n"/>
      <c r="L176" s="202" t="n"/>
      <c r="M176" s="202" t="n"/>
      <c r="N176" s="202" t="n"/>
      <c r="O176" s="202" t="n"/>
      <c r="P176" s="202" t="n"/>
      <c r="Q176" s="196" t="n">
        <v>7</v>
      </c>
      <c r="R176" s="202" t="n"/>
      <c r="S176" s="196" t="n">
        <v>7</v>
      </c>
    </row>
    <row r="177" ht="18" customHeight="1">
      <c r="A177" s="45" t="inlineStr">
        <is>
          <t>Водитель погрузчика</t>
        </is>
      </c>
      <c r="B177" s="202" t="n"/>
      <c r="C177" s="200" t="n">
        <v>28</v>
      </c>
      <c r="D177" s="199" t="n"/>
      <c r="E177" s="199" t="n"/>
      <c r="F177" s="199" t="n"/>
      <c r="G177" s="202" t="n"/>
      <c r="H177" s="202" t="n"/>
      <c r="I177" s="202" t="n"/>
      <c r="J177" s="202" t="n"/>
      <c r="K177" s="202" t="n"/>
      <c r="L177" s="202" t="n"/>
      <c r="M177" s="202" t="n"/>
      <c r="N177" s="202" t="n"/>
      <c r="O177" s="202" t="n"/>
      <c r="P177" s="202" t="n"/>
      <c r="Q177" s="196" t="n">
        <v>6</v>
      </c>
      <c r="R177" s="202" t="n"/>
      <c r="S177" s="196" t="n">
        <v>6</v>
      </c>
    </row>
    <row r="178" ht="18" customHeight="1">
      <c r="A178" s="45" t="inlineStr">
        <is>
          <t>Дробильщик</t>
        </is>
      </c>
      <c r="B178" s="199" t="n"/>
      <c r="C178" s="195" t="n">
        <v>34</v>
      </c>
      <c r="D178" s="199" t="n"/>
      <c r="E178" s="199" t="n"/>
      <c r="F178" s="199" t="n"/>
      <c r="G178" s="202" t="n"/>
      <c r="H178" s="202" t="n"/>
      <c r="I178" s="202" t="n"/>
      <c r="J178" s="202" t="n"/>
      <c r="K178" s="202" t="n"/>
      <c r="L178" s="202" t="n"/>
      <c r="M178" s="202" t="n"/>
      <c r="N178" s="202" t="n"/>
      <c r="O178" s="202" t="n"/>
      <c r="P178" s="202" t="n"/>
      <c r="Q178" s="196" t="n">
        <v>6</v>
      </c>
      <c r="R178" s="202" t="n"/>
      <c r="S178" s="196" t="n">
        <v>6</v>
      </c>
    </row>
    <row r="179" ht="18" customHeight="1">
      <c r="A179" s="45" t="inlineStr">
        <is>
          <t>Машинист крана автомобильного</t>
        </is>
      </c>
      <c r="B179" s="199" t="n"/>
      <c r="C179" s="195" t="n">
        <v>8</v>
      </c>
      <c r="D179" s="199" t="n"/>
      <c r="E179" s="199" t="n"/>
      <c r="F179" s="196" t="n">
        <v>2</v>
      </c>
      <c r="G179" s="199" t="n"/>
      <c r="H179" s="199" t="n"/>
      <c r="I179" s="199" t="n"/>
      <c r="J179" s="199" t="n"/>
      <c r="K179" s="199" t="n"/>
      <c r="L179" s="199" t="n"/>
      <c r="M179" s="199" t="n"/>
      <c r="N179" s="199" t="n"/>
      <c r="O179" s="199" t="n"/>
      <c r="P179" s="199" t="n"/>
      <c r="Q179" s="196" t="n">
        <v>2</v>
      </c>
      <c r="R179" s="196" t="n">
        <v>2</v>
      </c>
      <c r="S179" s="196" t="n">
        <v>6</v>
      </c>
    </row>
    <row r="180" ht="18" customHeight="1">
      <c r="A180" s="45" t="inlineStr">
        <is>
          <t>Машинист самоходной буровой установки</t>
        </is>
      </c>
      <c r="B180" s="199" t="n"/>
      <c r="C180" s="195" t="n">
        <v>21</v>
      </c>
      <c r="D180" s="199" t="n"/>
      <c r="E180" s="199" t="n"/>
      <c r="F180" s="199" t="n"/>
      <c r="G180" s="199" t="n"/>
      <c r="H180" s="199" t="n"/>
      <c r="I180" s="199" t="n"/>
      <c r="J180" s="199" t="n"/>
      <c r="K180" s="199" t="n"/>
      <c r="L180" s="199" t="n"/>
      <c r="M180" s="199" t="n"/>
      <c r="N180" s="199" t="n"/>
      <c r="O180" s="199" t="n"/>
      <c r="P180" s="199" t="n"/>
      <c r="Q180" s="196" t="n">
        <v>6</v>
      </c>
      <c r="R180" s="199" t="n"/>
      <c r="S180" s="196" t="n">
        <v>6</v>
      </c>
    </row>
    <row r="181" ht="18" customHeight="1">
      <c r="A181" s="45" t="inlineStr">
        <is>
          <t>Машинист самоходной буровой установки (Проходка)</t>
        </is>
      </c>
      <c r="B181" s="199" t="n"/>
      <c r="C181" s="195" t="n">
        <v>8</v>
      </c>
      <c r="D181" s="199" t="n"/>
      <c r="E181" s="199" t="n"/>
      <c r="F181" s="199" t="n"/>
      <c r="G181" s="199" t="n"/>
      <c r="H181" s="199" t="n"/>
      <c r="I181" s="199" t="n"/>
      <c r="J181" s="199" t="n"/>
      <c r="K181" s="199" t="n"/>
      <c r="L181" s="199" t="n"/>
      <c r="M181" s="199" t="n"/>
      <c r="N181" s="199" t="n"/>
      <c r="O181" s="199" t="n"/>
      <c r="P181" s="199" t="n"/>
      <c r="Q181" s="196" t="n">
        <v>6</v>
      </c>
      <c r="R181" s="199" t="n"/>
      <c r="S181" s="196" t="n">
        <v>6</v>
      </c>
    </row>
    <row r="182" ht="18" customHeight="1">
      <c r="A182" s="45" t="inlineStr">
        <is>
          <t>Монтажник по монтажу стальных и железобетонных конструкций</t>
        </is>
      </c>
      <c r="B182" s="199" t="n"/>
      <c r="C182" s="195" t="n">
        <v>7</v>
      </c>
      <c r="D182" s="199" t="n"/>
      <c r="E182" s="199" t="n"/>
      <c r="F182" s="199" t="n"/>
      <c r="G182" s="199" t="n"/>
      <c r="H182" s="199" t="n"/>
      <c r="I182" s="199" t="n"/>
      <c r="J182" s="199" t="n"/>
      <c r="K182" s="199" t="n"/>
      <c r="L182" s="199" t="n"/>
      <c r="M182" s="199" t="n"/>
      <c r="N182" s="199" t="n"/>
      <c r="O182" s="199" t="n"/>
      <c r="P182" s="199" t="n"/>
      <c r="Q182" s="196" t="n">
        <v>6</v>
      </c>
      <c r="R182" s="199" t="n"/>
      <c r="S182" s="196" t="n">
        <v>6</v>
      </c>
    </row>
    <row r="183" ht="18" customHeight="1">
      <c r="A183" s="45" t="inlineStr">
        <is>
          <t>Пробоотборщик</t>
        </is>
      </c>
      <c r="B183" s="199" t="n"/>
      <c r="C183" s="195" t="n">
        <v>18</v>
      </c>
      <c r="D183" s="199" t="n"/>
      <c r="E183" s="199" t="n"/>
      <c r="F183" s="199" t="n"/>
      <c r="G183" s="199" t="n"/>
      <c r="H183" s="199" t="n"/>
      <c r="I183" s="199" t="n"/>
      <c r="J183" s="199" t="n"/>
      <c r="K183" s="199" t="n"/>
      <c r="L183" s="199" t="n"/>
      <c r="M183" s="199" t="n"/>
      <c r="N183" s="199" t="n"/>
      <c r="O183" s="199" t="n"/>
      <c r="P183" s="199" t="n"/>
      <c r="Q183" s="196" t="n">
        <v>6</v>
      </c>
      <c r="R183" s="199" t="n"/>
      <c r="S183" s="196" t="n">
        <v>6</v>
      </c>
    </row>
    <row r="184" ht="18" customHeight="1">
      <c r="A184" s="45" t="inlineStr">
        <is>
          <t>Машинист двигателей внутреннего сгорания</t>
        </is>
      </c>
      <c r="B184" s="199" t="n"/>
      <c r="C184" s="195" t="n">
        <v>18</v>
      </c>
      <c r="D184" s="199" t="n"/>
      <c r="E184" s="199" t="n"/>
      <c r="F184" s="199" t="n"/>
      <c r="G184" s="199" t="n"/>
      <c r="H184" s="199" t="n"/>
      <c r="I184" s="199" t="n"/>
      <c r="J184" s="199" t="n"/>
      <c r="K184" s="199" t="n"/>
      <c r="L184" s="199" t="n"/>
      <c r="M184" s="199" t="n"/>
      <c r="N184" s="199" t="n"/>
      <c r="O184" s="199" t="n"/>
      <c r="P184" s="199" t="n"/>
      <c r="Q184" s="196" t="n">
        <v>5</v>
      </c>
      <c r="R184" s="199" t="n"/>
      <c r="S184" s="196" t="n">
        <v>5</v>
      </c>
    </row>
    <row r="185" ht="18" customHeight="1">
      <c r="A185" s="45" t="inlineStr">
        <is>
          <t>Машинист подземных самоходных машин</t>
        </is>
      </c>
      <c r="B185" s="199" t="n"/>
      <c r="C185" s="195" t="n">
        <v>7</v>
      </c>
      <c r="D185" s="199" t="n"/>
      <c r="E185" s="199" t="n"/>
      <c r="F185" s="199" t="n"/>
      <c r="G185" s="199" t="n"/>
      <c r="H185" s="199" t="n"/>
      <c r="I185" s="199" t="n"/>
      <c r="J185" s="199" t="n"/>
      <c r="K185" s="199" t="n"/>
      <c r="L185" s="199" t="n"/>
      <c r="M185" s="199" t="n"/>
      <c r="N185" s="199" t="n"/>
      <c r="O185" s="199" t="n"/>
      <c r="P185" s="199" t="n"/>
      <c r="Q185" s="196" t="n">
        <v>5</v>
      </c>
      <c r="R185" s="199" t="n"/>
      <c r="S185" s="196" t="n">
        <v>5</v>
      </c>
    </row>
    <row r="186" ht="18" customHeight="1">
      <c r="A186" s="45" t="inlineStr">
        <is>
          <t>Водитель автомобиля (категория Д)</t>
        </is>
      </c>
      <c r="B186" s="199" t="n"/>
      <c r="C186" s="195" t="n">
        <v>19</v>
      </c>
      <c r="D186" s="199" t="n"/>
      <c r="E186" s="199" t="n"/>
      <c r="F186" s="199" t="n"/>
      <c r="G186" s="199" t="n"/>
      <c r="H186" s="199" t="n"/>
      <c r="I186" s="199" t="n"/>
      <c r="J186" s="199" t="n"/>
      <c r="K186" s="199" t="n"/>
      <c r="L186" s="199" t="n"/>
      <c r="M186" s="199" t="n"/>
      <c r="N186" s="199" t="n"/>
      <c r="O186" s="199" t="n"/>
      <c r="P186" s="199" t="n"/>
      <c r="Q186" s="196" t="n">
        <v>4</v>
      </c>
      <c r="R186" s="199" t="n"/>
      <c r="S186" s="196" t="n">
        <v>4</v>
      </c>
    </row>
    <row r="187" ht="18" customHeight="1">
      <c r="A187" s="45" t="inlineStr">
        <is>
          <t>Машинист насосных установок</t>
        </is>
      </c>
      <c r="B187" s="199" t="n"/>
      <c r="C187" s="195" t="n">
        <v>11</v>
      </c>
      <c r="D187" s="199" t="n"/>
      <c r="E187" s="199" t="n"/>
      <c r="F187" s="199" t="n"/>
      <c r="G187" s="199" t="n"/>
      <c r="H187" s="199" t="n"/>
      <c r="I187" s="199" t="n"/>
      <c r="J187" s="199" t="n"/>
      <c r="K187" s="199" t="n"/>
      <c r="L187" s="199" t="n"/>
      <c r="M187" s="199" t="n"/>
      <c r="N187" s="199" t="n"/>
      <c r="O187" s="199" t="n"/>
      <c r="P187" s="199" t="n"/>
      <c r="Q187" s="196" t="n">
        <v>4</v>
      </c>
      <c r="R187" s="199" t="n"/>
      <c r="S187" s="196" t="n">
        <v>4</v>
      </c>
    </row>
    <row r="188" ht="18" customHeight="1">
      <c r="A188" s="45" t="inlineStr">
        <is>
          <t>Оператор дизельных котлов</t>
        </is>
      </c>
      <c r="B188" s="199" t="n"/>
      <c r="C188" s="195" t="n">
        <v>14</v>
      </c>
      <c r="D188" s="199" t="n"/>
      <c r="E188" s="199" t="n"/>
      <c r="F188" s="199" t="n"/>
      <c r="G188" s="199" t="n"/>
      <c r="H188" s="199" t="n"/>
      <c r="I188" s="199" t="n"/>
      <c r="J188" s="199" t="n"/>
      <c r="K188" s="199" t="n"/>
      <c r="L188" s="199" t="n"/>
      <c r="M188" s="199" t="n"/>
      <c r="N188" s="199" t="n"/>
      <c r="O188" s="199" t="n"/>
      <c r="P188" s="199" t="n"/>
      <c r="Q188" s="196" t="n">
        <v>4</v>
      </c>
      <c r="R188" s="199" t="n"/>
      <c r="S188" s="196" t="n">
        <v>4</v>
      </c>
    </row>
    <row r="189" ht="18" customHeight="1">
      <c r="A189" s="45" t="inlineStr">
        <is>
          <t>Стропальщик (с исполнением обязанностей грузчика)</t>
        </is>
      </c>
      <c r="B189" s="199" t="n"/>
      <c r="C189" s="195" t="n">
        <v>10</v>
      </c>
      <c r="D189" s="199" t="n"/>
      <c r="E189" s="199" t="n"/>
      <c r="F189" s="199" t="n"/>
      <c r="G189" s="199" t="n"/>
      <c r="H189" s="199" t="n"/>
      <c r="I189" s="199" t="n"/>
      <c r="J189" s="199" t="n"/>
      <c r="K189" s="199" t="n"/>
      <c r="L189" s="199" t="n"/>
      <c r="M189" s="199" t="n"/>
      <c r="N189" s="199" t="n"/>
      <c r="O189" s="199" t="n"/>
      <c r="P189" s="199" t="n"/>
      <c r="Q189" s="196" t="n">
        <v>4</v>
      </c>
      <c r="R189" s="199" t="n"/>
      <c r="S189" s="196" t="n">
        <v>4</v>
      </c>
    </row>
    <row r="190" ht="18" customHeight="1">
      <c r="A190" s="45" t="inlineStr">
        <is>
          <t>Водитель автомобиля (категория С)</t>
        </is>
      </c>
      <c r="B190" s="199" t="n"/>
      <c r="C190" s="195" t="n">
        <v>7</v>
      </c>
      <c r="D190" s="199" t="n"/>
      <c r="E190" s="199" t="n"/>
      <c r="F190" s="199" t="n"/>
      <c r="G190" s="199" t="n"/>
      <c r="H190" s="199" t="n"/>
      <c r="I190" s="199" t="n"/>
      <c r="J190" s="199" t="n"/>
      <c r="K190" s="199" t="n"/>
      <c r="L190" s="199" t="n"/>
      <c r="M190" s="199" t="n"/>
      <c r="N190" s="199" t="n"/>
      <c r="O190" s="199" t="n"/>
      <c r="P190" s="199" t="n"/>
      <c r="Q190" s="196" t="n">
        <v>3</v>
      </c>
      <c r="R190" s="199" t="n"/>
      <c r="S190" s="196" t="n">
        <v>3</v>
      </c>
    </row>
    <row r="191" ht="18" customHeight="1">
      <c r="A191" s="45" t="inlineStr">
        <is>
          <t>Горнорабочий на геологических работах</t>
        </is>
      </c>
      <c r="B191" s="199" t="n"/>
      <c r="C191" s="195" t="n">
        <v>6</v>
      </c>
      <c r="D191" s="199" t="n"/>
      <c r="E191" s="199" t="n"/>
      <c r="F191" s="199" t="n"/>
      <c r="G191" s="199" t="n"/>
      <c r="H191" s="199" t="n"/>
      <c r="I191" s="199" t="n"/>
      <c r="J191" s="199" t="n"/>
      <c r="K191" s="199" t="n"/>
      <c r="L191" s="199" t="n"/>
      <c r="M191" s="199" t="n"/>
      <c r="N191" s="199" t="n"/>
      <c r="O191" s="199" t="n"/>
      <c r="P191" s="199" t="n"/>
      <c r="Q191" s="196" t="n">
        <v>3</v>
      </c>
      <c r="R191" s="199" t="n"/>
      <c r="S191" s="196" t="n">
        <v>3</v>
      </c>
    </row>
    <row r="192" ht="18" customHeight="1">
      <c r="A192" s="45" t="inlineStr">
        <is>
          <t>Крепильщик</t>
        </is>
      </c>
      <c r="B192" s="199" t="n"/>
      <c r="C192" s="195" t="n">
        <v>14</v>
      </c>
      <c r="D192" s="199" t="n"/>
      <c r="E192" s="199" t="n"/>
      <c r="F192" s="199" t="n"/>
      <c r="G192" s="199" t="n"/>
      <c r="H192" s="199" t="n"/>
      <c r="I192" s="199" t="n"/>
      <c r="J192" s="199" t="n"/>
      <c r="K192" s="199" t="n"/>
      <c r="L192" s="199" t="n"/>
      <c r="M192" s="199" t="n"/>
      <c r="N192" s="199" t="n"/>
      <c r="O192" s="199" t="n"/>
      <c r="P192" s="199" t="n"/>
      <c r="Q192" s="196" t="n">
        <v>3</v>
      </c>
      <c r="R192" s="199" t="n"/>
      <c r="S192" s="196" t="n">
        <v>3</v>
      </c>
    </row>
    <row r="193" ht="18" customHeight="1">
      <c r="A193" s="45" t="inlineStr">
        <is>
          <t>Лаборант химического анализа</t>
        </is>
      </c>
      <c r="B193" s="199" t="n"/>
      <c r="C193" s="195" t="n">
        <v>7</v>
      </c>
      <c r="D193" s="199" t="n"/>
      <c r="E193" s="199" t="n"/>
      <c r="F193" s="199" t="n"/>
      <c r="G193" s="199" t="n"/>
      <c r="H193" s="199" t="n"/>
      <c r="I193" s="199" t="n"/>
      <c r="J193" s="199" t="n"/>
      <c r="K193" s="199" t="n"/>
      <c r="L193" s="199" t="n"/>
      <c r="M193" s="199" t="n"/>
      <c r="N193" s="199" t="n"/>
      <c r="O193" s="199" t="n"/>
      <c r="P193" s="199" t="n"/>
      <c r="Q193" s="196" t="n">
        <v>3</v>
      </c>
      <c r="R193" s="199" t="n"/>
      <c r="S193" s="196" t="n">
        <v>3</v>
      </c>
    </row>
    <row r="194" ht="18" customHeight="1">
      <c r="A194" s="45" t="inlineStr">
        <is>
          <t>Машинист погрузочно-доставочной машины</t>
        </is>
      </c>
      <c r="B194" s="199" t="n"/>
      <c r="C194" s="195" t="n">
        <v>22</v>
      </c>
      <c r="D194" s="199" t="n"/>
      <c r="E194" s="199" t="n"/>
      <c r="F194" s="199" t="n"/>
      <c r="G194" s="199" t="n"/>
      <c r="H194" s="199" t="n"/>
      <c r="I194" s="199" t="n"/>
      <c r="J194" s="199" t="n"/>
      <c r="K194" s="199" t="n"/>
      <c r="L194" s="199" t="n"/>
      <c r="M194" s="199" t="n"/>
      <c r="N194" s="199" t="n"/>
      <c r="O194" s="199" t="n"/>
      <c r="P194" s="199" t="n"/>
      <c r="Q194" s="196" t="n">
        <v>3</v>
      </c>
      <c r="R194" s="199" t="n"/>
      <c r="S194" s="196" t="n">
        <v>3</v>
      </c>
    </row>
    <row r="195" ht="18" customHeight="1">
      <c r="A195" s="45" t="inlineStr">
        <is>
          <t>Машинист самоходной буровой установки (Очистное)</t>
        </is>
      </c>
      <c r="B195" s="199" t="n"/>
      <c r="C195" s="195" t="n">
        <v>4</v>
      </c>
      <c r="D195" s="199" t="n"/>
      <c r="E195" s="199" t="n"/>
      <c r="F195" s="199" t="n"/>
      <c r="G195" s="199" t="n"/>
      <c r="H195" s="199" t="n"/>
      <c r="I195" s="199" t="n"/>
      <c r="J195" s="199" t="n"/>
      <c r="K195" s="199" t="n"/>
      <c r="L195" s="199" t="n"/>
      <c r="M195" s="199" t="n"/>
      <c r="N195" s="199" t="n"/>
      <c r="O195" s="199" t="n"/>
      <c r="P195" s="199" t="n"/>
      <c r="Q195" s="196" t="n">
        <v>3</v>
      </c>
      <c r="R195" s="199" t="n"/>
      <c r="S195" s="196" t="n">
        <v>3</v>
      </c>
    </row>
    <row r="196" ht="18" customHeight="1">
      <c r="A196" s="45" t="inlineStr">
        <is>
          <t>Слесарь по ремонту автомобилей (ДВС)</t>
        </is>
      </c>
      <c r="B196" s="199" t="n"/>
      <c r="C196" s="195" t="n">
        <v>4</v>
      </c>
      <c r="D196" s="199" t="n"/>
      <c r="E196" s="199" t="n"/>
      <c r="F196" s="199" t="n"/>
      <c r="G196" s="199" t="n"/>
      <c r="H196" s="199" t="n"/>
      <c r="I196" s="199" t="n"/>
      <c r="J196" s="199" t="n"/>
      <c r="K196" s="199" t="n"/>
      <c r="L196" s="199" t="n"/>
      <c r="M196" s="199" t="n"/>
      <c r="N196" s="199" t="n"/>
      <c r="O196" s="199" t="n"/>
      <c r="P196" s="199" t="n"/>
      <c r="Q196" s="196" t="n">
        <v>3</v>
      </c>
      <c r="R196" s="199" t="n"/>
      <c r="S196" s="196" t="n">
        <v>3</v>
      </c>
    </row>
    <row r="197" ht="18" customHeight="1">
      <c r="A197" s="45" t="inlineStr">
        <is>
          <t>Слесарь-ремонтник (по ремонту самоходной техники)</t>
        </is>
      </c>
      <c r="B197" s="199" t="n"/>
      <c r="C197" s="195" t="n">
        <v>9</v>
      </c>
      <c r="D197" s="199" t="n"/>
      <c r="E197" s="199" t="n"/>
      <c r="F197" s="199" t="n"/>
      <c r="G197" s="199" t="n"/>
      <c r="H197" s="199" t="n"/>
      <c r="I197" s="199" t="n"/>
      <c r="J197" s="199" t="n"/>
      <c r="K197" s="199" t="n"/>
      <c r="L197" s="199" t="n"/>
      <c r="M197" s="199" t="n"/>
      <c r="N197" s="199" t="n"/>
      <c r="O197" s="199" t="n"/>
      <c r="P197" s="199" t="n"/>
      <c r="Q197" s="196" t="n">
        <v>3</v>
      </c>
      <c r="R197" s="199" t="n"/>
      <c r="S197" s="196" t="n">
        <v>3</v>
      </c>
    </row>
    <row r="198" ht="18" customHeight="1">
      <c r="A198" s="45" t="inlineStr">
        <is>
          <t>Слесарь-электрик по ремонту электрооборудования</t>
        </is>
      </c>
      <c r="B198" s="199" t="n"/>
      <c r="C198" s="195" t="n">
        <v>6</v>
      </c>
      <c r="D198" s="199" t="n"/>
      <c r="E198" s="199" t="n"/>
      <c r="F198" s="199" t="n"/>
      <c r="G198" s="199" t="n"/>
      <c r="H198" s="199" t="n"/>
      <c r="I198" s="199" t="n"/>
      <c r="J198" s="199" t="n"/>
      <c r="K198" s="199" t="n"/>
      <c r="L198" s="199" t="n"/>
      <c r="M198" s="199" t="n"/>
      <c r="N198" s="199" t="n"/>
      <c r="O198" s="199" t="n"/>
      <c r="P198" s="199" t="n"/>
      <c r="Q198" s="196" t="n">
        <v>3</v>
      </c>
      <c r="R198" s="199" t="n"/>
      <c r="S198" s="196" t="n">
        <v>3</v>
      </c>
    </row>
    <row r="199" ht="18" customHeight="1">
      <c r="A199" s="45" t="inlineStr">
        <is>
          <t>Уборщик производственных и служебных помещений</t>
        </is>
      </c>
      <c r="B199" s="199" t="n"/>
      <c r="C199" s="195" t="n">
        <v>10</v>
      </c>
      <c r="D199" s="199" t="n"/>
      <c r="E199" s="199" t="n"/>
      <c r="F199" s="199" t="n"/>
      <c r="G199" s="199" t="n"/>
      <c r="H199" s="199" t="n"/>
      <c r="I199" s="199" t="n"/>
      <c r="J199" s="199" t="n"/>
      <c r="K199" s="199" t="n"/>
      <c r="L199" s="199" t="n"/>
      <c r="M199" s="199" t="n"/>
      <c r="N199" s="199" t="n"/>
      <c r="O199" s="199" t="n"/>
      <c r="P199" s="199" t="n"/>
      <c r="Q199" s="196" t="n">
        <v>3</v>
      </c>
      <c r="R199" s="199" t="n"/>
      <c r="S199" s="196" t="n">
        <v>3</v>
      </c>
    </row>
    <row r="200" ht="18" customHeight="1">
      <c r="A200" s="45" t="inlineStr">
        <is>
          <t>Электрослесарь (слесарь) дежурный и по ремонту оборудования подземного горного участка</t>
        </is>
      </c>
      <c r="B200" s="199" t="n"/>
      <c r="C200" s="195" t="n">
        <v>10</v>
      </c>
      <c r="D200" s="199" t="n"/>
      <c r="E200" s="199" t="n"/>
      <c r="F200" s="199" t="n"/>
      <c r="G200" s="199" t="n"/>
      <c r="H200" s="199" t="n"/>
      <c r="I200" s="199" t="n"/>
      <c r="J200" s="199" t="n"/>
      <c r="K200" s="199" t="n"/>
      <c r="L200" s="199" t="n"/>
      <c r="M200" s="199" t="n"/>
      <c r="N200" s="199" t="n"/>
      <c r="O200" s="199" t="n"/>
      <c r="P200" s="199" t="n"/>
      <c r="Q200" s="196" t="n">
        <v>3</v>
      </c>
      <c r="R200" s="199" t="n"/>
      <c r="S200" s="196" t="n">
        <v>3</v>
      </c>
    </row>
    <row r="201" ht="18" customHeight="1">
      <c r="A201" s="45" t="inlineStr">
        <is>
          <t>Горнорабочий</t>
        </is>
      </c>
      <c r="B201" s="199" t="n"/>
      <c r="C201" s="195" t="n">
        <v>6</v>
      </c>
      <c r="D201" s="199" t="n"/>
      <c r="E201" s="199" t="n"/>
      <c r="F201" s="199" t="n"/>
      <c r="G201" s="199" t="n"/>
      <c r="H201" s="199" t="n"/>
      <c r="I201" s="199" t="n"/>
      <c r="J201" s="199" t="n"/>
      <c r="K201" s="199" t="n"/>
      <c r="L201" s="199" t="n"/>
      <c r="M201" s="199" t="n"/>
      <c r="N201" s="199" t="n"/>
      <c r="O201" s="199" t="n"/>
      <c r="P201" s="199" t="n"/>
      <c r="Q201" s="196" t="n">
        <v>2</v>
      </c>
      <c r="R201" s="199" t="n"/>
      <c r="S201" s="196" t="n">
        <v>2</v>
      </c>
    </row>
    <row r="202" ht="18" customHeight="1">
      <c r="A202" s="45" t="inlineStr">
        <is>
          <t>Горный мастер</t>
        </is>
      </c>
      <c r="B202" s="199" t="n"/>
      <c r="C202" s="195" t="n">
        <v>3</v>
      </c>
      <c r="D202" s="199" t="n"/>
      <c r="E202" s="199" t="n"/>
      <c r="F202" s="199" t="n"/>
      <c r="G202" s="199" t="n"/>
      <c r="H202" s="199" t="n"/>
      <c r="I202" s="199" t="n"/>
      <c r="J202" s="199" t="n"/>
      <c r="K202" s="199" t="n"/>
      <c r="L202" s="199" t="n"/>
      <c r="M202" s="199" t="n"/>
      <c r="N202" s="199" t="n"/>
      <c r="O202" s="199" t="n"/>
      <c r="P202" s="199" t="n"/>
      <c r="Q202" s="196" t="n">
        <v>2</v>
      </c>
      <c r="R202" s="199" t="n"/>
      <c r="S202" s="196" t="n">
        <v>2</v>
      </c>
    </row>
    <row r="203" ht="18" customHeight="1">
      <c r="A203" s="45" t="inlineStr">
        <is>
          <t>Грузчик</t>
        </is>
      </c>
      <c r="B203" s="199" t="n"/>
      <c r="C203" s="195" t="n">
        <v>4</v>
      </c>
      <c r="D203" s="199" t="n"/>
      <c r="E203" s="199" t="n"/>
      <c r="F203" s="199" t="n"/>
      <c r="G203" s="199" t="n"/>
      <c r="H203" s="199" t="n"/>
      <c r="I203" s="199" t="n"/>
      <c r="J203" s="199" t="n"/>
      <c r="K203" s="199" t="n"/>
      <c r="L203" s="199" t="n"/>
      <c r="M203" s="199" t="n"/>
      <c r="N203" s="199" t="n"/>
      <c r="O203" s="199" t="n"/>
      <c r="P203" s="199" t="n"/>
      <c r="Q203" s="196" t="n">
        <v>2</v>
      </c>
      <c r="R203" s="199" t="n"/>
      <c r="S203" s="196" t="n">
        <v>2</v>
      </c>
    </row>
    <row r="204" ht="18" customHeight="1">
      <c r="A204" s="45" t="inlineStr">
        <is>
          <t>Инженер-исследователь</t>
        </is>
      </c>
      <c r="B204" s="199" t="n"/>
      <c r="C204" s="195" t="n">
        <v>2</v>
      </c>
      <c r="D204" s="199" t="n"/>
      <c r="E204" s="199" t="n"/>
      <c r="F204" s="199" t="n"/>
      <c r="G204" s="199" t="n"/>
      <c r="H204" s="199" t="n"/>
      <c r="I204" s="199" t="n"/>
      <c r="J204" s="199" t="n"/>
      <c r="K204" s="199" t="n"/>
      <c r="L204" s="199" t="n"/>
      <c r="M204" s="199" t="n"/>
      <c r="N204" s="199" t="n"/>
      <c r="O204" s="199" t="n"/>
      <c r="P204" s="199" t="n"/>
      <c r="Q204" s="196" t="n">
        <v>1</v>
      </c>
      <c r="R204" s="196" t="n">
        <v>1</v>
      </c>
      <c r="S204" s="196" t="n">
        <v>2</v>
      </c>
    </row>
    <row r="205" ht="18" customHeight="1">
      <c r="A205" s="45" t="inlineStr">
        <is>
          <t>Кладовщик</t>
        </is>
      </c>
      <c r="B205" s="199" t="n"/>
      <c r="C205" s="195" t="n">
        <v>8</v>
      </c>
      <c r="D205" s="199" t="n"/>
      <c r="E205" s="199" t="n"/>
      <c r="F205" s="199" t="n"/>
      <c r="G205" s="199" t="n"/>
      <c r="H205" s="199" t="n"/>
      <c r="I205" s="199" t="n"/>
      <c r="J205" s="199" t="n"/>
      <c r="K205" s="199" t="n"/>
      <c r="L205" s="199" t="n"/>
      <c r="M205" s="199" t="n"/>
      <c r="N205" s="199" t="n"/>
      <c r="O205" s="199" t="n"/>
      <c r="P205" s="199" t="n"/>
      <c r="Q205" s="196" t="n">
        <v>2</v>
      </c>
      <c r="R205" s="199" t="n"/>
      <c r="S205" s="196" t="n">
        <v>2</v>
      </c>
    </row>
    <row r="206" ht="18" customHeight="1">
      <c r="A206" s="45" t="inlineStr">
        <is>
          <t>Лаборант пробирного анализа</t>
        </is>
      </c>
      <c r="B206" s="199" t="n"/>
      <c r="C206" s="195" t="n">
        <v>13</v>
      </c>
      <c r="D206" s="199" t="n"/>
      <c r="E206" s="199" t="n"/>
      <c r="F206" s="199" t="n"/>
      <c r="G206" s="199" t="n"/>
      <c r="H206" s="199" t="n"/>
      <c r="I206" s="199" t="n"/>
      <c r="J206" s="199" t="n"/>
      <c r="K206" s="199" t="n"/>
      <c r="L206" s="199" t="n"/>
      <c r="M206" s="199" t="n"/>
      <c r="N206" s="199" t="n"/>
      <c r="O206" s="199" t="n"/>
      <c r="P206" s="199" t="n"/>
      <c r="Q206" s="196" t="n">
        <v>2</v>
      </c>
      <c r="R206" s="199" t="n"/>
      <c r="S206" s="196" t="n">
        <v>2</v>
      </c>
    </row>
    <row r="207" ht="18" customHeight="1">
      <c r="A207" s="45" t="inlineStr">
        <is>
          <t>Машинист конвейера</t>
        </is>
      </c>
      <c r="B207" s="199" t="n"/>
      <c r="C207" s="195" t="n">
        <v>6</v>
      </c>
      <c r="D207" s="199" t="n"/>
      <c r="E207" s="199" t="n"/>
      <c r="F207" s="199" t="n"/>
      <c r="G207" s="199" t="n"/>
      <c r="H207" s="199" t="n"/>
      <c r="I207" s="199" t="n"/>
      <c r="J207" s="199" t="n"/>
      <c r="K207" s="199" t="n"/>
      <c r="L207" s="199" t="n"/>
      <c r="M207" s="199" t="n"/>
      <c r="N207" s="199" t="n"/>
      <c r="O207" s="199" t="n"/>
      <c r="P207" s="199" t="n"/>
      <c r="Q207" s="196" t="n">
        <v>2</v>
      </c>
      <c r="R207" s="199" t="n"/>
      <c r="S207" s="196" t="n">
        <v>2</v>
      </c>
    </row>
    <row r="208" ht="18" customHeight="1">
      <c r="A208" s="45" t="inlineStr">
        <is>
          <t>Машинист крана автомобильного (КМУ)</t>
        </is>
      </c>
      <c r="B208" s="199" t="n"/>
      <c r="C208" s="195" t="n">
        <v>3</v>
      </c>
      <c r="D208" s="199" t="n"/>
      <c r="E208" s="199" t="n"/>
      <c r="F208" s="199" t="n"/>
      <c r="G208" s="199" t="n"/>
      <c r="H208" s="199" t="n"/>
      <c r="I208" s="199" t="n"/>
      <c r="J208" s="199" t="n"/>
      <c r="K208" s="199" t="n"/>
      <c r="L208" s="199" t="n"/>
      <c r="M208" s="199" t="n"/>
      <c r="N208" s="199" t="n"/>
      <c r="O208" s="199" t="n"/>
      <c r="P208" s="199" t="n"/>
      <c r="Q208" s="196" t="n">
        <v>2</v>
      </c>
      <c r="R208" s="199" t="n"/>
      <c r="S208" s="196" t="n">
        <v>2</v>
      </c>
    </row>
    <row r="209" ht="18" customHeight="1">
      <c r="A209" s="45" t="inlineStr">
        <is>
          <t>Машинист мельниц</t>
        </is>
      </c>
      <c r="B209" s="199" t="n"/>
      <c r="C209" s="195" t="n">
        <v>10</v>
      </c>
      <c r="D209" s="199" t="n"/>
      <c r="E209" s="199" t="n"/>
      <c r="F209" s="199" t="n"/>
      <c r="G209" s="199" t="n"/>
      <c r="H209" s="199" t="n"/>
      <c r="I209" s="199" t="n"/>
      <c r="J209" s="199" t="n"/>
      <c r="K209" s="199" t="n"/>
      <c r="L209" s="199" t="n"/>
      <c r="M209" s="199" t="n"/>
      <c r="N209" s="199" t="n"/>
      <c r="O209" s="199" t="n"/>
      <c r="P209" s="199" t="n"/>
      <c r="Q209" s="196" t="n">
        <v>2</v>
      </c>
      <c r="R209" s="199" t="n"/>
      <c r="S209" s="196" t="n">
        <v>2</v>
      </c>
    </row>
    <row r="210" ht="18" customHeight="1">
      <c r="A210" s="45" t="inlineStr">
        <is>
          <t>Механик</t>
        </is>
      </c>
      <c r="B210" s="199" t="n"/>
      <c r="C210" s="195" t="n">
        <v>4</v>
      </c>
      <c r="D210" s="199" t="n"/>
      <c r="E210" s="199" t="n"/>
      <c r="F210" s="199" t="n"/>
      <c r="G210" s="199" t="n"/>
      <c r="H210" s="199" t="n"/>
      <c r="I210" s="199" t="n"/>
      <c r="J210" s="199" t="n"/>
      <c r="K210" s="199" t="n"/>
      <c r="L210" s="199" t="n"/>
      <c r="M210" s="199" t="n"/>
      <c r="N210" s="199" t="n"/>
      <c r="O210" s="199" t="n"/>
      <c r="P210" s="199" t="n"/>
      <c r="Q210" s="196" t="n">
        <v>2</v>
      </c>
      <c r="R210" s="199" t="n"/>
      <c r="S210" s="196" t="n">
        <v>2</v>
      </c>
    </row>
    <row r="211" ht="18" customHeight="1">
      <c r="A211" s="45" t="inlineStr">
        <is>
          <t>Раздатчик взрывчатых материалов</t>
        </is>
      </c>
      <c r="B211" s="199" t="n"/>
      <c r="C211" s="195" t="n">
        <v>3</v>
      </c>
      <c r="D211" s="199" t="n"/>
      <c r="E211" s="199" t="n"/>
      <c r="F211" s="199" t="n"/>
      <c r="G211" s="199" t="n"/>
      <c r="H211" s="199" t="n"/>
      <c r="I211" s="199" t="n"/>
      <c r="J211" s="199" t="n"/>
      <c r="K211" s="199" t="n"/>
      <c r="L211" s="199" t="n"/>
      <c r="M211" s="199" t="n"/>
      <c r="N211" s="199" t="n"/>
      <c r="O211" s="199" t="n"/>
      <c r="P211" s="199" t="n"/>
      <c r="Q211" s="196" t="n">
        <v>2</v>
      </c>
      <c r="R211" s="199" t="n"/>
      <c r="S211" s="196" t="n">
        <v>2</v>
      </c>
    </row>
    <row r="212" ht="18" customHeight="1">
      <c r="A212" s="45" t="inlineStr">
        <is>
          <t>Слесарь по контрольно-измерительным приборам и автоматике</t>
        </is>
      </c>
      <c r="B212" s="199" t="n"/>
      <c r="C212" s="195" t="n">
        <v>3</v>
      </c>
      <c r="D212" s="199" t="n"/>
      <c r="E212" s="199" t="n"/>
      <c r="F212" s="199" t="n"/>
      <c r="G212" s="199" t="n"/>
      <c r="H212" s="199" t="n"/>
      <c r="I212" s="199" t="n"/>
      <c r="J212" s="199" t="n"/>
      <c r="K212" s="199" t="n"/>
      <c r="L212" s="199" t="n"/>
      <c r="M212" s="199" t="n"/>
      <c r="N212" s="199" t="n"/>
      <c r="O212" s="199" t="n"/>
      <c r="P212" s="199" t="n"/>
      <c r="Q212" s="196" t="n">
        <v>2</v>
      </c>
      <c r="R212" s="199" t="n"/>
      <c r="S212" s="196" t="n">
        <v>2</v>
      </c>
    </row>
    <row r="213" ht="18" customHeight="1">
      <c r="A213" s="45" t="inlineStr">
        <is>
          <t>Слесарь по ремонту автомобилей и тяжелой техники</t>
        </is>
      </c>
      <c r="B213" s="199" t="n"/>
      <c r="C213" s="195" t="n">
        <v>7</v>
      </c>
      <c r="D213" s="199" t="n"/>
      <c r="E213" s="199" t="n"/>
      <c r="F213" s="199" t="n"/>
      <c r="G213" s="199" t="n"/>
      <c r="H213" s="199" t="n"/>
      <c r="I213" s="199" t="n"/>
      <c r="J213" s="199" t="n"/>
      <c r="K213" s="199" t="n"/>
      <c r="L213" s="199" t="n"/>
      <c r="M213" s="199" t="n"/>
      <c r="N213" s="199" t="n"/>
      <c r="O213" s="199" t="n"/>
      <c r="P213" s="199" t="n"/>
      <c r="Q213" s="196" t="n">
        <v>2</v>
      </c>
      <c r="R213" s="199" t="n"/>
      <c r="S213" s="196" t="n">
        <v>2</v>
      </c>
    </row>
    <row r="214" ht="18" customHeight="1">
      <c r="A214" s="45" t="inlineStr">
        <is>
          <t>Контролер продукции обогащения</t>
        </is>
      </c>
      <c r="B214" s="199" t="n"/>
      <c r="C214" s="195" t="n">
        <v>6</v>
      </c>
      <c r="D214" s="199" t="n"/>
      <c r="E214" s="199" t="n"/>
      <c r="F214" s="199" t="n"/>
      <c r="G214" s="199" t="n"/>
      <c r="H214" s="199" t="n"/>
      <c r="I214" s="199" t="n"/>
      <c r="J214" s="199" t="n"/>
      <c r="K214" s="199" t="n"/>
      <c r="L214" s="199" t="n"/>
      <c r="M214" s="199" t="n"/>
      <c r="N214" s="199" t="n"/>
      <c r="O214" s="199" t="n"/>
      <c r="P214" s="199" t="n"/>
      <c r="Q214" s="196" t="n">
        <v>1</v>
      </c>
      <c r="R214" s="199" t="n"/>
      <c r="S214" s="196" t="n">
        <v>1</v>
      </c>
    </row>
    <row r="215" ht="18" customHeight="1">
      <c r="A215" s="45" t="inlineStr">
        <is>
          <t>Крепильщик (пылевентиляционная служба)</t>
        </is>
      </c>
      <c r="B215" s="199" t="n"/>
      <c r="C215" s="195" t="n">
        <v>2</v>
      </c>
      <c r="D215" s="199" t="n"/>
      <c r="E215" s="199" t="n"/>
      <c r="F215" s="199" t="n"/>
      <c r="G215" s="199" t="n"/>
      <c r="H215" s="199" t="n"/>
      <c r="I215" s="199" t="n"/>
      <c r="J215" s="199" t="n"/>
      <c r="K215" s="199" t="n"/>
      <c r="L215" s="199" t="n"/>
      <c r="M215" s="199" t="n"/>
      <c r="N215" s="199" t="n"/>
      <c r="O215" s="199" t="n"/>
      <c r="P215" s="199" t="n"/>
      <c r="Q215" s="196" t="n">
        <v>1</v>
      </c>
      <c r="R215" s="199" t="n"/>
      <c r="S215" s="196" t="n">
        <v>1</v>
      </c>
    </row>
    <row r="216" ht="18" customHeight="1">
      <c r="A216" s="45" t="inlineStr">
        <is>
          <t>Машинист автогрейдера</t>
        </is>
      </c>
      <c r="B216" s="199" t="n"/>
      <c r="C216" s="195" t="n">
        <v>3</v>
      </c>
      <c r="D216" s="199" t="n"/>
      <c r="E216" s="199" t="n"/>
      <c r="F216" s="199" t="n"/>
      <c r="G216" s="199" t="n"/>
      <c r="H216" s="199" t="n"/>
      <c r="I216" s="199" t="n"/>
      <c r="J216" s="199" t="n"/>
      <c r="K216" s="199" t="n"/>
      <c r="L216" s="199" t="n"/>
      <c r="M216" s="199" t="n"/>
      <c r="N216" s="199" t="n"/>
      <c r="O216" s="199" t="n"/>
      <c r="P216" s="199" t="n"/>
      <c r="Q216" s="196" t="n">
        <v>1</v>
      </c>
      <c r="R216" s="199" t="n"/>
      <c r="S216" s="196" t="n">
        <v>1</v>
      </c>
    </row>
    <row r="217" ht="18" customHeight="1">
      <c r="A217" s="45" t="inlineStr">
        <is>
          <t>Машинист погрузочно-доставочной машины (ТГМ)</t>
        </is>
      </c>
      <c r="B217" s="199" t="n"/>
      <c r="C217" s="195" t="n">
        <v>3</v>
      </c>
      <c r="D217" s="199" t="n"/>
      <c r="E217" s="199" t="n"/>
      <c r="F217" s="199" t="n"/>
      <c r="G217" s="199" t="n"/>
      <c r="H217" s="199" t="n"/>
      <c r="I217" s="199" t="n"/>
      <c r="J217" s="199" t="n"/>
      <c r="K217" s="199" t="n"/>
      <c r="L217" s="199" t="n"/>
      <c r="M217" s="199" t="n"/>
      <c r="N217" s="199" t="n"/>
      <c r="O217" s="199" t="n"/>
      <c r="P217" s="199" t="n"/>
      <c r="Q217" s="196" t="n">
        <v>1</v>
      </c>
      <c r="R217" s="199" t="n"/>
      <c r="S217" s="196" t="n">
        <v>1</v>
      </c>
    </row>
    <row r="218" ht="18" customHeight="1">
      <c r="A218" s="45" t="inlineStr">
        <is>
          <t>Машинист экскаватора</t>
        </is>
      </c>
      <c r="B218" s="199" t="n"/>
      <c r="C218" s="195" t="n">
        <v>12</v>
      </c>
      <c r="D218" s="199" t="n"/>
      <c r="E218" s="199" t="n"/>
      <c r="F218" s="199" t="n"/>
      <c r="G218" s="199" t="n"/>
      <c r="H218" s="199" t="n"/>
      <c r="I218" s="199" t="n"/>
      <c r="J218" s="199" t="n"/>
      <c r="K218" s="199" t="n"/>
      <c r="L218" s="199" t="n"/>
      <c r="M218" s="199" t="n"/>
      <c r="N218" s="199" t="n"/>
      <c r="O218" s="199" t="n"/>
      <c r="P218" s="199" t="n"/>
      <c r="Q218" s="196" t="n">
        <v>1</v>
      </c>
      <c r="R218" s="199" t="n"/>
      <c r="S218" s="196" t="n">
        <v>1</v>
      </c>
    </row>
    <row r="219" ht="18" customHeight="1">
      <c r="A219" s="45" t="inlineStr">
        <is>
          <t>Механик холодильных установок</t>
        </is>
      </c>
      <c r="B219" s="199" t="n"/>
      <c r="C219" s="195" t="n">
        <v>3</v>
      </c>
      <c r="D219" s="199" t="n"/>
      <c r="E219" s="199" t="n"/>
      <c r="F219" s="199" t="n"/>
      <c r="G219" s="199" t="n"/>
      <c r="H219" s="199" t="n"/>
      <c r="I219" s="199" t="n"/>
      <c r="J219" s="199" t="n"/>
      <c r="K219" s="199" t="n"/>
      <c r="L219" s="199" t="n"/>
      <c r="M219" s="199" t="n"/>
      <c r="N219" s="199" t="n"/>
      <c r="O219" s="199" t="n"/>
      <c r="P219" s="199" t="n"/>
      <c r="Q219" s="196" t="n">
        <v>1</v>
      </c>
      <c r="R219" s="199" t="n"/>
      <c r="S219" s="196" t="n">
        <v>1</v>
      </c>
    </row>
    <row r="220" ht="18" customHeight="1">
      <c r="A220" s="45" t="inlineStr">
        <is>
          <t>Плавильщик</t>
        </is>
      </c>
      <c r="B220" s="199" t="n"/>
      <c r="C220" s="195" t="n">
        <v>3</v>
      </c>
      <c r="D220" s="199" t="n"/>
      <c r="E220" s="199" t="n"/>
      <c r="F220" s="199" t="n"/>
      <c r="G220" s="199" t="n"/>
      <c r="H220" s="199" t="n"/>
      <c r="I220" s="199" t="n"/>
      <c r="J220" s="199" t="n"/>
      <c r="K220" s="199" t="n"/>
      <c r="L220" s="199" t="n"/>
      <c r="M220" s="199" t="n"/>
      <c r="N220" s="199" t="n"/>
      <c r="O220" s="199" t="n"/>
      <c r="P220" s="199" t="n"/>
      <c r="Q220" s="196" t="n">
        <v>1</v>
      </c>
      <c r="R220" s="199" t="n"/>
      <c r="S220" s="196" t="n">
        <v>1</v>
      </c>
    </row>
    <row r="221" ht="18" customHeight="1">
      <c r="A221" s="45" t="inlineStr">
        <is>
          <t>Повар (кондитер)</t>
        </is>
      </c>
      <c r="B221" s="199" t="n"/>
      <c r="C221" s="195" t="n">
        <v>2</v>
      </c>
      <c r="D221" s="199" t="n"/>
      <c r="E221" s="199" t="n"/>
      <c r="F221" s="199" t="n"/>
      <c r="G221" s="199" t="n"/>
      <c r="H221" s="199" t="n"/>
      <c r="I221" s="199" t="n"/>
      <c r="J221" s="199" t="n"/>
      <c r="K221" s="199" t="n"/>
      <c r="L221" s="199" t="n"/>
      <c r="M221" s="199" t="n"/>
      <c r="N221" s="199" t="n"/>
      <c r="O221" s="199" t="n"/>
      <c r="P221" s="199" t="n"/>
      <c r="Q221" s="196" t="n">
        <v>1</v>
      </c>
      <c r="R221" s="199" t="n"/>
      <c r="S221" s="196" t="n">
        <v>1</v>
      </c>
    </row>
    <row r="222" ht="18" customHeight="1">
      <c r="A222" s="45" t="inlineStr">
        <is>
          <t>Раздатчик взрывчатых материалов (с исполнением обязанностей аппаратчика по изготовлению взрывчатых материалов)</t>
        </is>
      </c>
      <c r="B222" s="199" t="n"/>
      <c r="C222" s="195" t="n">
        <v>2</v>
      </c>
      <c r="D222" s="199" t="n"/>
      <c r="E222" s="199" t="n"/>
      <c r="F222" s="199" t="n"/>
      <c r="G222" s="199" t="n"/>
      <c r="H222" s="199" t="n"/>
      <c r="I222" s="199" t="n"/>
      <c r="J222" s="199" t="n"/>
      <c r="K222" s="199" t="n"/>
      <c r="L222" s="199" t="n"/>
      <c r="M222" s="199" t="n"/>
      <c r="N222" s="199" t="n"/>
      <c r="O222" s="199" t="n"/>
      <c r="P222" s="199" t="n"/>
      <c r="Q222" s="196" t="n">
        <v>1</v>
      </c>
      <c r="R222" s="199" t="n"/>
      <c r="S222" s="196" t="n">
        <v>1</v>
      </c>
    </row>
    <row r="223" ht="18" customHeight="1">
      <c r="A223" s="45" t="inlineStr">
        <is>
          <t>Слесарь-ремонтник (по ремонту горно-шахтного оборудования)</t>
        </is>
      </c>
      <c r="B223" s="199" t="n"/>
      <c r="C223" s="195" t="n">
        <v>4</v>
      </c>
      <c r="D223" s="199" t="n"/>
      <c r="E223" s="199" t="n"/>
      <c r="F223" s="199" t="n"/>
      <c r="G223" s="199" t="n"/>
      <c r="H223" s="199" t="n"/>
      <c r="I223" s="199" t="n"/>
      <c r="J223" s="199" t="n"/>
      <c r="K223" s="199" t="n"/>
      <c r="L223" s="199" t="n"/>
      <c r="M223" s="199" t="n"/>
      <c r="N223" s="199" t="n"/>
      <c r="O223" s="199" t="n"/>
      <c r="P223" s="199" t="n"/>
      <c r="Q223" s="196" t="n">
        <v>1</v>
      </c>
      <c r="R223" s="199" t="n"/>
      <c r="S223" s="196" t="n">
        <v>1</v>
      </c>
    </row>
    <row r="224" ht="18" customHeight="1">
      <c r="A224" s="45" t="inlineStr">
        <is>
          <t>Слесарь-сантехник</t>
        </is>
      </c>
      <c r="B224" s="199" t="n"/>
      <c r="C224" s="195" t="n">
        <v>5</v>
      </c>
      <c r="D224" s="199" t="n"/>
      <c r="E224" s="199" t="n"/>
      <c r="F224" s="199" t="n"/>
      <c r="G224" s="199" t="n"/>
      <c r="H224" s="199" t="n"/>
      <c r="I224" s="199" t="n"/>
      <c r="J224" s="199" t="n"/>
      <c r="K224" s="199" t="n"/>
      <c r="L224" s="199" t="n"/>
      <c r="M224" s="199" t="n"/>
      <c r="N224" s="199" t="n"/>
      <c r="O224" s="199" t="n"/>
      <c r="P224" s="199" t="n"/>
      <c r="Q224" s="196" t="n">
        <v>1</v>
      </c>
      <c r="R224" s="199" t="n"/>
      <c r="S224" s="196" t="n">
        <v>1</v>
      </c>
    </row>
    <row r="225" ht="18" customHeight="1">
      <c r="A225" s="45" t="inlineStr">
        <is>
          <t>Теплотехник</t>
        </is>
      </c>
      <c r="B225" s="199" t="n"/>
      <c r="C225" s="195" t="n">
        <v>2</v>
      </c>
      <c r="D225" s="199" t="n"/>
      <c r="E225" s="196" t="n">
        <v>1</v>
      </c>
      <c r="F225" s="199" t="n"/>
      <c r="G225" s="199" t="n"/>
      <c r="H225" s="199" t="n"/>
      <c r="I225" s="199" t="n"/>
      <c r="J225" s="199" t="n"/>
      <c r="K225" s="199" t="n"/>
      <c r="L225" s="199" t="n"/>
      <c r="M225" s="199" t="n"/>
      <c r="N225" s="199" t="n"/>
      <c r="O225" s="199" t="n"/>
      <c r="P225" s="199" t="n"/>
      <c r="Q225" s="199" t="n"/>
      <c r="R225" s="199" t="n"/>
      <c r="S225" s="196" t="n">
        <v>1</v>
      </c>
    </row>
    <row r="226" ht="18" customHeight="1">
      <c r="A226" s="45" t="inlineStr">
        <is>
          <t>Электрослесарь (слесарь) дежурный и по ремонту оборудования</t>
        </is>
      </c>
      <c r="B226" s="199" t="n"/>
      <c r="C226" s="195" t="n">
        <v>5</v>
      </c>
      <c r="D226" s="199" t="n"/>
      <c r="E226" s="199" t="n"/>
      <c r="F226" s="199" t="n"/>
      <c r="G226" s="199" t="n"/>
      <c r="H226" s="199" t="n"/>
      <c r="I226" s="199" t="n"/>
      <c r="J226" s="199" t="n"/>
      <c r="K226" s="199" t="n"/>
      <c r="L226" s="199" t="n"/>
      <c r="M226" s="199" t="n"/>
      <c r="N226" s="199" t="n"/>
      <c r="O226" s="199" t="n"/>
      <c r="P226" s="199" t="n"/>
      <c r="Q226" s="196" t="n">
        <v>1</v>
      </c>
      <c r="R226" s="199" t="n"/>
      <c r="S226" s="196" t="n">
        <v>1</v>
      </c>
    </row>
    <row r="227" ht="24" customHeight="1">
      <c r="A227" s="204" t="inlineStr">
        <is>
          <t>Итого недостаток по обучению в разрезе профессий</t>
        </is>
      </c>
      <c r="B227" s="198" t="n"/>
      <c r="C227" s="198" t="n"/>
      <c r="D227" s="198" t="n"/>
      <c r="E227" s="198">
        <f>SUM(E155:E226)</f>
        <v/>
      </c>
      <c r="F227" s="198">
        <f>SUM(F155:F226)</f>
        <v/>
      </c>
      <c r="G227" s="198">
        <f>SUM(G155:G226)</f>
        <v/>
      </c>
      <c r="H227" s="198">
        <f>SUM(H155:H226)</f>
        <v/>
      </c>
      <c r="I227" s="198">
        <f>SUM(I155:I226)</f>
        <v/>
      </c>
      <c r="J227" s="198">
        <f>SUM(J155:J226)</f>
        <v/>
      </c>
      <c r="K227" s="198">
        <f>SUM(K155:K226)</f>
        <v/>
      </c>
      <c r="L227" s="198">
        <f>SUM(L155:L226)</f>
        <v/>
      </c>
      <c r="M227" s="198">
        <f>SUM(M155:M226)</f>
        <v/>
      </c>
      <c r="N227" s="198">
        <f>SUM(N155:N226)</f>
        <v/>
      </c>
      <c r="O227" s="198">
        <f>SUM(O155:O226)</f>
        <v/>
      </c>
      <c r="P227" s="198">
        <f>SUM(P155:P226)</f>
        <v/>
      </c>
      <c r="Q227" s="198">
        <f>SUM(Q155:Q226)</f>
        <v/>
      </c>
      <c r="R227" s="198">
        <f>SUM(R155:R226)</f>
        <v/>
      </c>
      <c r="S227" s="198">
        <f>SUM(S155:S226)</f>
        <v/>
      </c>
    </row>
    <row r="228" ht="18" customHeight="1">
      <c r="A228" s="51" t="n"/>
      <c r="B228" s="51" t="n"/>
      <c r="C228" s="51" t="n"/>
      <c r="D228" s="51" t="n"/>
      <c r="E228" s="51" t="n"/>
      <c r="F228" s="51" t="n"/>
      <c r="G228" s="51" t="n"/>
      <c r="H228" s="51" t="n"/>
      <c r="I228" s="51" t="n"/>
      <c r="J228" s="51" t="n"/>
      <c r="K228" s="51" t="n"/>
      <c r="L228" s="51" t="n"/>
      <c r="M228" s="51" t="n"/>
      <c r="N228" s="51" t="n"/>
      <c r="O228" s="51" t="n"/>
      <c r="P228" s="51" t="n"/>
      <c r="Q228" s="51" t="n"/>
      <c r="R228" s="51" t="n"/>
      <c r="S228" s="51" t="n"/>
    </row>
    <row r="229" ht="18" customHeight="1">
      <c r="A229" s="51" t="n"/>
      <c r="B229" s="51" t="n"/>
      <c r="C229" s="51" t="n"/>
      <c r="D229" s="51" t="n"/>
      <c r="E229" s="51" t="n"/>
      <c r="F229" s="51" t="n"/>
      <c r="G229" s="51" t="n"/>
      <c r="H229" s="51" t="n"/>
      <c r="I229" s="51" t="n"/>
      <c r="J229" s="51" t="n"/>
      <c r="K229" s="51" t="n"/>
      <c r="L229" s="51" t="n"/>
      <c r="M229" s="51" t="n"/>
      <c r="N229" s="51" t="n"/>
      <c r="O229" s="51" t="n"/>
      <c r="P229" s="51" t="n"/>
      <c r="Q229" s="51" t="n"/>
      <c r="R229" s="51" t="n"/>
      <c r="S229" s="51" t="n"/>
    </row>
    <row r="230" ht="18" customHeight="1">
      <c r="A230" s="51" t="n"/>
      <c r="B230" s="51" t="n"/>
      <c r="C230" s="51" t="n"/>
      <c r="D230" s="51" t="n"/>
      <c r="E230" s="51" t="n"/>
      <c r="F230" s="51" t="n"/>
      <c r="G230" s="51" t="n"/>
      <c r="H230" s="51" t="n"/>
      <c r="I230" s="51" t="n"/>
      <c r="J230" s="51" t="n"/>
      <c r="K230" s="51" t="n"/>
      <c r="L230" s="51" t="n"/>
      <c r="M230" s="51" t="n"/>
      <c r="N230" s="51" t="n"/>
      <c r="O230" s="51" t="n"/>
      <c r="P230" s="51" t="n"/>
      <c r="Q230" s="51" t="n"/>
      <c r="R230" s="51" t="n"/>
      <c r="S230" s="51" t="n"/>
    </row>
    <row r="231" ht="18" customHeight="1">
      <c r="A231" s="51" t="n"/>
      <c r="B231" s="51" t="n"/>
      <c r="C231" s="51" t="n"/>
      <c r="D231" s="51" t="n"/>
      <c r="E231" s="51" t="n"/>
      <c r="F231" s="51" t="n"/>
      <c r="G231" s="51" t="n"/>
      <c r="H231" s="51" t="n"/>
      <c r="I231" s="51" t="n"/>
      <c r="J231" s="51" t="n"/>
      <c r="K231" s="51" t="n"/>
      <c r="L231" s="51" t="n"/>
      <c r="M231" s="51" t="n"/>
      <c r="N231" s="51" t="n"/>
      <c r="O231" s="51" t="n"/>
      <c r="P231" s="51" t="n"/>
      <c r="Q231" s="51" t="n"/>
      <c r="R231" s="51" t="n"/>
      <c r="S231" s="51" t="n"/>
    </row>
    <row r="232" ht="18" customHeight="1">
      <c r="A232" s="51" t="n"/>
      <c r="B232" s="51" t="n"/>
      <c r="C232" s="51" t="n"/>
      <c r="D232" s="51" t="n"/>
      <c r="E232" s="51" t="n"/>
      <c r="F232" s="51" t="n"/>
      <c r="G232" s="51" t="n"/>
      <c r="H232" s="51" t="n"/>
      <c r="I232" s="51" t="n"/>
      <c r="J232" s="51" t="n"/>
      <c r="K232" s="51" t="n"/>
      <c r="L232" s="51" t="n"/>
      <c r="M232" s="51" t="n"/>
      <c r="N232" s="51" t="n"/>
      <c r="O232" s="51" t="n"/>
      <c r="P232" s="51" t="n"/>
      <c r="Q232" s="51" t="n"/>
      <c r="R232" s="51" t="n"/>
      <c r="S232" s="51" t="n"/>
    </row>
    <row r="233" ht="18" customHeight="1">
      <c r="A233" s="51" t="n"/>
      <c r="B233" s="51" t="n"/>
      <c r="C233" s="51" t="n"/>
      <c r="D233" s="51" t="n"/>
      <c r="E233" s="51" t="n"/>
      <c r="F233" s="51" t="n"/>
      <c r="G233" s="51" t="n"/>
      <c r="H233" s="51" t="n"/>
      <c r="I233" s="51" t="n"/>
      <c r="J233" s="51" t="n"/>
      <c r="K233" s="51" t="n"/>
      <c r="L233" s="51" t="n"/>
      <c r="M233" s="51" t="n"/>
      <c r="N233" s="51" t="n"/>
      <c r="O233" s="51" t="n"/>
      <c r="P233" s="51" t="n"/>
      <c r="Q233" s="51" t="n"/>
      <c r="R233" s="51" t="n"/>
      <c r="S233" s="51" t="n"/>
    </row>
    <row r="234" ht="18" customHeight="1">
      <c r="A234" s="51" t="n"/>
      <c r="B234" s="51" t="n"/>
      <c r="C234" s="51" t="n"/>
      <c r="D234" s="51" t="n"/>
      <c r="E234" s="51" t="n"/>
      <c r="F234" s="51" t="n"/>
      <c r="G234" s="51" t="n"/>
      <c r="H234" s="51" t="n"/>
      <c r="I234" s="51" t="n"/>
      <c r="J234" s="51" t="n"/>
      <c r="K234" s="51" t="n"/>
      <c r="L234" s="51" t="n"/>
      <c r="M234" s="51" t="n"/>
      <c r="N234" s="51" t="n"/>
      <c r="O234" s="51" t="n"/>
      <c r="P234" s="51" t="n"/>
      <c r="Q234" s="51" t="n"/>
      <c r="R234" s="51" t="n"/>
      <c r="S234" s="51" t="n"/>
    </row>
    <row r="235" ht="18" customHeight="1">
      <c r="A235" s="51" t="n"/>
      <c r="B235" s="51" t="n"/>
      <c r="C235" s="51" t="n"/>
      <c r="D235" s="51" t="n"/>
      <c r="E235" s="51" t="n"/>
      <c r="F235" s="51" t="n"/>
      <c r="G235" s="51" t="n"/>
      <c r="H235" s="51" t="n"/>
      <c r="I235" s="51" t="n"/>
      <c r="J235" s="51" t="n"/>
      <c r="K235" s="51" t="n"/>
      <c r="L235" s="51" t="n"/>
      <c r="M235" s="51" t="n"/>
      <c r="N235" s="51" t="n"/>
      <c r="O235" s="51" t="n"/>
      <c r="P235" s="51" t="n"/>
      <c r="Q235" s="51" t="n"/>
      <c r="R235" s="51" t="n"/>
      <c r="S235" s="51" t="n"/>
    </row>
    <row r="236" ht="18" customHeight="1">
      <c r="A236" s="51" t="n"/>
      <c r="B236" s="51" t="n"/>
      <c r="C236" s="51" t="n"/>
      <c r="D236" s="51" t="n"/>
      <c r="E236" s="51" t="n"/>
      <c r="F236" s="51" t="n"/>
      <c r="G236" s="51" t="n"/>
      <c r="H236" s="51" t="n"/>
      <c r="I236" s="51" t="n"/>
      <c r="J236" s="51" t="n"/>
      <c r="K236" s="51" t="n"/>
      <c r="L236" s="51" t="n"/>
      <c r="M236" s="51" t="n"/>
      <c r="N236" s="51" t="n"/>
      <c r="O236" s="51" t="n"/>
      <c r="P236" s="51" t="n"/>
      <c r="Q236" s="51" t="n"/>
      <c r="R236" s="51" t="n"/>
      <c r="S236" s="51" t="n"/>
    </row>
    <row r="237" ht="18" customHeight="1">
      <c r="A237" s="51" t="n"/>
      <c r="B237" s="51" t="n"/>
      <c r="C237" s="51" t="n"/>
      <c r="D237" s="51" t="n"/>
      <c r="E237" s="51" t="n"/>
      <c r="F237" s="51" t="n"/>
      <c r="G237" s="51" t="n"/>
      <c r="H237" s="51" t="n"/>
      <c r="I237" s="51" t="n"/>
      <c r="J237" s="51" t="n"/>
      <c r="K237" s="51" t="n"/>
      <c r="L237" s="51" t="n"/>
      <c r="M237" s="51" t="n"/>
      <c r="N237" s="51" t="n"/>
      <c r="O237" s="51" t="n"/>
      <c r="P237" s="51" t="n"/>
      <c r="Q237" s="51" t="n"/>
      <c r="R237" s="51" t="n"/>
      <c r="S237" s="51" t="n"/>
    </row>
    <row r="238" ht="18" customHeight="1">
      <c r="A238" s="51" t="n"/>
      <c r="B238" s="51" t="n"/>
      <c r="C238" s="51" t="n"/>
      <c r="D238" s="51" t="n"/>
      <c r="E238" s="51" t="n"/>
      <c r="F238" s="51" t="n"/>
      <c r="G238" s="51" t="n"/>
      <c r="H238" s="51" t="n"/>
      <c r="I238" s="51" t="n"/>
      <c r="J238" s="51" t="n"/>
      <c r="K238" s="51" t="n"/>
      <c r="L238" s="51" t="n"/>
      <c r="M238" s="51" t="n"/>
      <c r="N238" s="51" t="n"/>
      <c r="O238" s="51" t="n"/>
      <c r="P238" s="51" t="n"/>
      <c r="Q238" s="51" t="n"/>
      <c r="R238" s="51" t="n"/>
      <c r="S238" s="51" t="n"/>
    </row>
    <row r="239" ht="18" customHeight="1">
      <c r="A239" s="51" t="n"/>
      <c r="B239" s="51" t="n"/>
      <c r="C239" s="51" t="n"/>
      <c r="D239" s="51" t="n"/>
      <c r="E239" s="51" t="n"/>
      <c r="F239" s="51" t="n"/>
      <c r="G239" s="51" t="n"/>
      <c r="H239" s="51" t="n"/>
      <c r="I239" s="51" t="n"/>
      <c r="J239" s="51" t="n"/>
      <c r="K239" s="51" t="n"/>
      <c r="L239" s="51" t="n"/>
      <c r="M239" s="51" t="n"/>
      <c r="N239" s="51" t="n"/>
      <c r="O239" s="51" t="n"/>
      <c r="P239" s="51" t="n"/>
      <c r="Q239" s="51" t="n"/>
      <c r="R239" s="51" t="n"/>
      <c r="S239" s="51" t="n"/>
    </row>
    <row r="240" ht="18" customHeight="1">
      <c r="A240" s="51" t="n"/>
      <c r="B240" s="51" t="n"/>
      <c r="C240" s="51" t="n"/>
      <c r="D240" s="51" t="n"/>
      <c r="E240" s="51" t="n"/>
      <c r="F240" s="51" t="n"/>
      <c r="G240" s="51" t="n"/>
      <c r="H240" s="51" t="n"/>
      <c r="I240" s="51" t="n"/>
      <c r="J240" s="51" t="n"/>
      <c r="K240" s="51" t="n"/>
      <c r="L240" s="51" t="n"/>
      <c r="M240" s="51" t="n"/>
      <c r="N240" s="51" t="n"/>
      <c r="O240" s="51" t="n"/>
      <c r="P240" s="51" t="n"/>
      <c r="Q240" s="51" t="n"/>
      <c r="R240" s="51" t="n"/>
      <c r="S240" s="51" t="n"/>
    </row>
    <row r="241" ht="18" customHeight="1">
      <c r="A241" s="51" t="n"/>
      <c r="B241" s="51" t="n"/>
      <c r="C241" s="51" t="n"/>
      <c r="D241" s="51" t="n"/>
      <c r="E241" s="51" t="n"/>
      <c r="F241" s="51" t="n"/>
      <c r="G241" s="51" t="n"/>
      <c r="H241" s="51" t="n"/>
      <c r="I241" s="51" t="n"/>
      <c r="J241" s="51" t="n"/>
      <c r="K241" s="51" t="n"/>
      <c r="L241" s="51" t="n"/>
      <c r="M241" s="51" t="n"/>
      <c r="N241" s="51" t="n"/>
      <c r="O241" s="51" t="n"/>
      <c r="P241" s="51" t="n"/>
      <c r="Q241" s="51" t="n"/>
      <c r="R241" s="51" t="n"/>
      <c r="S241" s="51" t="n"/>
    </row>
    <row r="242" ht="18" customHeight="1">
      <c r="A242" s="51" t="n"/>
      <c r="B242" s="51" t="n"/>
      <c r="C242" s="51" t="n"/>
      <c r="D242" s="51" t="n"/>
      <c r="E242" s="51" t="n"/>
      <c r="F242" s="51" t="n"/>
      <c r="G242" s="51" t="n"/>
      <c r="H242" s="51" t="n"/>
      <c r="I242" s="51" t="n"/>
      <c r="J242" s="51" t="n"/>
      <c r="K242" s="51" t="n"/>
      <c r="L242" s="51" t="n"/>
      <c r="M242" s="51" t="n"/>
      <c r="N242" s="51" t="n"/>
      <c r="O242" s="51" t="n"/>
      <c r="P242" s="51" t="n"/>
      <c r="Q242" s="51" t="n"/>
      <c r="R242" s="51" t="n"/>
      <c r="S242" s="51" t="n"/>
    </row>
    <row r="243" ht="18" customHeight="1">
      <c r="A243" s="51" t="n"/>
      <c r="B243" s="51" t="n"/>
      <c r="C243" s="51" t="n"/>
      <c r="D243" s="51" t="n"/>
      <c r="E243" s="51" t="n"/>
      <c r="F243" s="51" t="n"/>
      <c r="G243" s="51" t="n"/>
      <c r="H243" s="51" t="n"/>
      <c r="I243" s="51" t="n"/>
      <c r="J243" s="51" t="n"/>
      <c r="K243" s="51" t="n"/>
      <c r="L243" s="51" t="n"/>
      <c r="M243" s="51" t="n"/>
      <c r="N243" s="51" t="n"/>
      <c r="O243" s="51" t="n"/>
      <c r="P243" s="51" t="n"/>
      <c r="Q243" s="51" t="n"/>
      <c r="R243" s="51" t="n"/>
      <c r="S243" s="51" t="n"/>
    </row>
    <row r="244" ht="18" customHeight="1">
      <c r="A244" s="51" t="n"/>
      <c r="B244" s="51" t="n"/>
      <c r="C244" s="51" t="n"/>
      <c r="D244" s="51" t="n"/>
      <c r="E244" s="51" t="n"/>
      <c r="F244" s="51" t="n"/>
      <c r="G244" s="51" t="n"/>
      <c r="H244" s="51" t="n"/>
      <c r="I244" s="51" t="n"/>
      <c r="J244" s="51" t="n"/>
      <c r="K244" s="51" t="n"/>
      <c r="L244" s="51" t="n"/>
      <c r="M244" s="51" t="n"/>
      <c r="N244" s="51" t="n"/>
      <c r="O244" s="51" t="n"/>
      <c r="P244" s="51" t="n"/>
      <c r="Q244" s="51" t="n"/>
      <c r="R244" s="51" t="n"/>
      <c r="S244" s="51" t="n"/>
    </row>
    <row r="245" ht="18" customHeight="1">
      <c r="A245" s="51" t="n"/>
      <c r="B245" s="51" t="n"/>
      <c r="C245" s="51" t="n"/>
      <c r="D245" s="51" t="n"/>
      <c r="E245" s="51" t="n"/>
      <c r="F245" s="51" t="n"/>
      <c r="G245" s="51" t="n"/>
      <c r="H245" s="51" t="n"/>
      <c r="I245" s="51" t="n"/>
      <c r="J245" s="51" t="n"/>
      <c r="K245" s="51" t="n"/>
      <c r="L245" s="51" t="n"/>
      <c r="M245" s="51" t="n"/>
      <c r="N245" s="51" t="n"/>
      <c r="O245" s="51" t="n"/>
      <c r="P245" s="51" t="n"/>
      <c r="Q245" s="51" t="n"/>
      <c r="R245" s="51" t="n"/>
      <c r="S245" s="51" t="n"/>
    </row>
    <row r="246" ht="18" customHeight="1">
      <c r="A246" s="51" t="n"/>
      <c r="B246" s="51" t="n"/>
      <c r="C246" s="51" t="n"/>
      <c r="D246" s="51" t="n"/>
      <c r="E246" s="51" t="n"/>
      <c r="F246" s="51" t="n"/>
      <c r="G246" s="51" t="n"/>
      <c r="H246" s="51" t="n"/>
      <c r="I246" s="51" t="n"/>
      <c r="J246" s="51" t="n"/>
      <c r="K246" s="51" t="n"/>
      <c r="L246" s="51" t="n"/>
      <c r="M246" s="51" t="n"/>
      <c r="N246" s="51" t="n"/>
      <c r="O246" s="51" t="n"/>
      <c r="P246" s="51" t="n"/>
      <c r="Q246" s="51" t="n"/>
      <c r="R246" s="51" t="n"/>
      <c r="S246" s="51" t="n"/>
    </row>
    <row r="247" ht="18" customHeight="1">
      <c r="A247" s="51" t="n"/>
      <c r="B247" s="51" t="n"/>
      <c r="C247" s="51" t="n"/>
      <c r="D247" s="51" t="n"/>
      <c r="E247" s="51" t="n"/>
      <c r="F247" s="51" t="n"/>
      <c r="G247" s="51" t="n"/>
      <c r="H247" s="51" t="n"/>
      <c r="I247" s="51" t="n"/>
      <c r="J247" s="51" t="n"/>
      <c r="K247" s="51" t="n"/>
      <c r="L247" s="51" t="n"/>
      <c r="M247" s="51" t="n"/>
      <c r="N247" s="51" t="n"/>
      <c r="O247" s="51" t="n"/>
      <c r="P247" s="51" t="n"/>
      <c r="Q247" s="51" t="n"/>
      <c r="R247" s="51" t="n"/>
      <c r="S247" s="51" t="n"/>
    </row>
    <row r="248" ht="18" customHeight="1">
      <c r="A248" s="51" t="n"/>
      <c r="B248" s="51" t="n"/>
      <c r="C248" s="51" t="n"/>
      <c r="D248" s="51" t="n"/>
      <c r="E248" s="51" t="n"/>
      <c r="F248" s="51" t="n"/>
      <c r="G248" s="51" t="n"/>
      <c r="H248" s="51" t="n"/>
      <c r="I248" s="51" t="n"/>
      <c r="J248" s="51" t="n"/>
      <c r="K248" s="51" t="n"/>
      <c r="L248" s="51" t="n"/>
      <c r="M248" s="51" t="n"/>
      <c r="N248" s="51" t="n"/>
      <c r="O248" s="51" t="n"/>
      <c r="P248" s="51" t="n"/>
      <c r="Q248" s="51" t="n"/>
      <c r="R248" s="51" t="n"/>
      <c r="S248" s="51" t="n"/>
    </row>
    <row r="249" ht="18" customHeight="1">
      <c r="A249" s="51" t="n"/>
      <c r="B249" s="51" t="n"/>
      <c r="C249" s="51" t="n"/>
      <c r="D249" s="51" t="n"/>
      <c r="E249" s="51" t="n"/>
      <c r="F249" s="51" t="n"/>
      <c r="G249" s="51" t="n"/>
      <c r="H249" s="51" t="n"/>
      <c r="I249" s="51" t="n"/>
      <c r="J249" s="51" t="n"/>
      <c r="K249" s="51" t="n"/>
      <c r="L249" s="51" t="n"/>
      <c r="M249" s="51" t="n"/>
      <c r="N249" s="51" t="n"/>
      <c r="O249" s="51" t="n"/>
      <c r="P249" s="51" t="n"/>
      <c r="Q249" s="51" t="n"/>
      <c r="R249" s="51" t="n"/>
      <c r="S249" s="51" t="n"/>
    </row>
    <row r="250" ht="18" customHeight="1">
      <c r="A250" s="51" t="n"/>
      <c r="B250" s="51" t="n"/>
      <c r="C250" s="51" t="n"/>
      <c r="D250" s="51" t="n"/>
      <c r="E250" s="51" t="n"/>
      <c r="F250" s="51" t="n"/>
      <c r="G250" s="51" t="n"/>
      <c r="H250" s="51" t="n"/>
      <c r="I250" s="51" t="n"/>
      <c r="J250" s="51" t="n"/>
      <c r="K250" s="51" t="n"/>
      <c r="L250" s="51" t="n"/>
      <c r="M250" s="51" t="n"/>
      <c r="N250" s="51" t="n"/>
      <c r="O250" s="51" t="n"/>
      <c r="P250" s="51" t="n"/>
      <c r="Q250" s="51" t="n"/>
      <c r="R250" s="51" t="n"/>
    </row>
    <row r="251" ht="18" customHeight="1">
      <c r="A251" s="51" t="n"/>
      <c r="B251" s="51" t="n"/>
      <c r="C251" s="51" t="n"/>
      <c r="D251" s="51" t="n"/>
      <c r="E251" s="51" t="n"/>
      <c r="F251" s="51" t="n"/>
      <c r="G251" s="51" t="n"/>
      <c r="H251" s="51" t="n"/>
      <c r="I251" s="51" t="n"/>
      <c r="J251" s="51" t="n"/>
      <c r="K251" s="51" t="n"/>
      <c r="L251" s="51" t="n"/>
      <c r="M251" s="51" t="n"/>
      <c r="N251" s="51" t="n"/>
      <c r="O251" s="51" t="n"/>
      <c r="P251" s="51" t="n"/>
      <c r="Q251" s="51" t="n"/>
      <c r="R251" s="51" t="n"/>
    </row>
    <row r="252" ht="18" customHeight="1">
      <c r="A252" s="51" t="n"/>
      <c r="B252" s="51" t="n"/>
      <c r="C252" s="51" t="n"/>
      <c r="D252" s="51" t="n"/>
      <c r="E252" s="51" t="n"/>
      <c r="F252" s="51" t="n"/>
      <c r="G252" s="51" t="n"/>
      <c r="H252" s="51" t="n"/>
      <c r="I252" s="51" t="n"/>
      <c r="J252" s="51" t="n"/>
      <c r="K252" s="51" t="n"/>
      <c r="L252" s="51" t="n"/>
      <c r="M252" s="51" t="n"/>
      <c r="N252" s="51" t="n"/>
      <c r="O252" s="51" t="n"/>
      <c r="P252" s="51" t="n"/>
      <c r="Q252" s="51" t="n"/>
      <c r="R252" s="51" t="n"/>
    </row>
    <row r="253" ht="18" customHeight="1">
      <c r="A253" s="51" t="n"/>
      <c r="B253" s="51" t="n"/>
      <c r="C253" s="51" t="n"/>
      <c r="D253" s="51" t="n"/>
      <c r="E253" s="51" t="n"/>
      <c r="F253" s="51" t="n"/>
      <c r="G253" s="51" t="n"/>
      <c r="H253" s="51" t="n"/>
      <c r="I253" s="51" t="n"/>
      <c r="J253" s="51" t="n"/>
      <c r="K253" s="51" t="n"/>
      <c r="L253" s="51" t="n"/>
      <c r="M253" s="51" t="n"/>
      <c r="N253" s="51" t="n"/>
      <c r="O253" s="51" t="n"/>
      <c r="P253" s="51" t="n"/>
      <c r="Q253" s="51" t="n"/>
      <c r="R253" s="51" t="n"/>
    </row>
    <row r="254" ht="18" customHeight="1">
      <c r="A254" s="51" t="n"/>
      <c r="B254" s="51" t="n"/>
      <c r="C254" s="51" t="n"/>
      <c r="D254" s="51" t="n"/>
      <c r="E254" s="51" t="n"/>
      <c r="F254" s="51" t="n"/>
      <c r="G254" s="51" t="n"/>
      <c r="H254" s="51" t="n"/>
      <c r="I254" s="51" t="n"/>
      <c r="J254" s="51" t="n"/>
      <c r="K254" s="51" t="n"/>
      <c r="L254" s="51" t="n"/>
      <c r="M254" s="51" t="n"/>
      <c r="N254" s="51" t="n"/>
      <c r="O254" s="51" t="n"/>
      <c r="P254" s="51" t="n"/>
      <c r="Q254" s="51" t="n"/>
      <c r="R254" s="51" t="n"/>
    </row>
    <row r="255" ht="18" customHeight="1">
      <c r="A255" s="51" t="n"/>
      <c r="B255" s="51" t="n"/>
      <c r="C255" s="51" t="n"/>
      <c r="D255" s="51" t="n"/>
      <c r="E255" s="51" t="n"/>
      <c r="F255" s="51" t="n"/>
      <c r="G255" s="51" t="n"/>
      <c r="H255" s="51" t="n"/>
      <c r="I255" s="51" t="n"/>
      <c r="J255" s="51" t="n"/>
      <c r="K255" s="51" t="n"/>
      <c r="L255" s="51" t="n"/>
      <c r="M255" s="51" t="n"/>
      <c r="N255" s="51" t="n"/>
      <c r="O255" s="51" t="n"/>
      <c r="P255" s="51" t="n"/>
      <c r="Q255" s="51" t="n"/>
      <c r="R255" s="51" t="n"/>
    </row>
    <row r="256" ht="18" customHeight="1">
      <c r="A256" s="51" t="n"/>
      <c r="B256" s="51" t="n"/>
      <c r="C256" s="51" t="n"/>
      <c r="D256" s="51" t="n"/>
      <c r="E256" s="51" t="n"/>
      <c r="F256" s="51" t="n"/>
      <c r="G256" s="51" t="n"/>
      <c r="H256" s="51" t="n"/>
      <c r="I256" s="51" t="n"/>
      <c r="J256" s="51" t="n"/>
      <c r="K256" s="51" t="n"/>
      <c r="L256" s="51" t="n"/>
      <c r="M256" s="51" t="n"/>
      <c r="N256" s="51" t="n"/>
      <c r="O256" s="51" t="n"/>
      <c r="P256" s="51" t="n"/>
      <c r="Q256" s="51" t="n"/>
      <c r="R256" s="51" t="n"/>
    </row>
    <row r="257" ht="18" customHeight="1">
      <c r="A257" s="51" t="n"/>
      <c r="B257" s="51" t="n"/>
      <c r="C257" s="51" t="n"/>
      <c r="D257" s="51" t="n"/>
      <c r="E257" s="51" t="n"/>
      <c r="F257" s="51" t="n"/>
      <c r="G257" s="51" t="n"/>
      <c r="H257" s="51" t="n"/>
      <c r="I257" s="51" t="n"/>
      <c r="J257" s="51" t="n"/>
      <c r="K257" s="51" t="n"/>
      <c r="L257" s="51" t="n"/>
      <c r="M257" s="51" t="n"/>
      <c r="N257" s="51" t="n"/>
      <c r="O257" s="51" t="n"/>
      <c r="P257" s="51" t="n"/>
      <c r="Q257" s="51" t="n"/>
      <c r="R257" s="51" t="n"/>
    </row>
    <row r="258" ht="18" customHeight="1">
      <c r="A258" s="51" t="n"/>
      <c r="B258" s="51" t="n"/>
      <c r="C258" s="51" t="n"/>
      <c r="D258" s="51" t="n"/>
      <c r="E258" s="51" t="n"/>
      <c r="F258" s="51" t="n"/>
      <c r="G258" s="51" t="n"/>
      <c r="H258" s="51" t="n"/>
      <c r="I258" s="51" t="n"/>
      <c r="J258" s="51" t="n"/>
      <c r="K258" s="51" t="n"/>
      <c r="L258" s="51" t="n"/>
      <c r="M258" s="51" t="n"/>
      <c r="N258" s="51" t="n"/>
      <c r="O258" s="51" t="n"/>
      <c r="P258" s="51" t="n"/>
      <c r="Q258" s="51" t="n"/>
      <c r="R258" s="51" t="n"/>
    </row>
    <row r="259" ht="18" customHeight="1">
      <c r="A259" s="51" t="n"/>
      <c r="B259" s="51" t="n"/>
      <c r="C259" s="51" t="n"/>
      <c r="D259" s="51" t="n"/>
      <c r="E259" s="51" t="n"/>
      <c r="F259" s="51" t="n"/>
      <c r="G259" s="51" t="n"/>
      <c r="H259" s="51" t="n"/>
      <c r="I259" s="51" t="n"/>
      <c r="J259" s="51" t="n"/>
      <c r="K259" s="51" t="n"/>
      <c r="L259" s="51" t="n"/>
      <c r="M259" s="51" t="n"/>
      <c r="N259" s="51" t="n"/>
      <c r="O259" s="51" t="n"/>
      <c r="P259" s="51" t="n"/>
      <c r="Q259" s="51" t="n"/>
      <c r="R259" s="51" t="n"/>
    </row>
    <row r="260" ht="18" customHeight="1">
      <c r="A260" s="51" t="n"/>
      <c r="B260" s="51" t="n"/>
      <c r="C260" s="51" t="n"/>
      <c r="D260" s="51" t="n"/>
      <c r="E260" s="51" t="n"/>
      <c r="F260" s="51" t="n"/>
      <c r="G260" s="51" t="n"/>
      <c r="H260" s="51" t="n"/>
      <c r="I260" s="51" t="n"/>
      <c r="J260" s="51" t="n"/>
      <c r="K260" s="51" t="n"/>
      <c r="L260" s="51" t="n"/>
      <c r="M260" s="51" t="n"/>
      <c r="N260" s="51" t="n"/>
      <c r="O260" s="51" t="n"/>
      <c r="P260" s="51" t="n"/>
      <c r="Q260" s="51" t="n"/>
      <c r="R260" s="51" t="n"/>
    </row>
    <row r="261" ht="18" customHeight="1">
      <c r="A261" s="51" t="n"/>
      <c r="B261" s="51" t="n"/>
      <c r="C261" s="51" t="n"/>
      <c r="D261" s="51" t="n"/>
      <c r="E261" s="51" t="n"/>
      <c r="F261" s="51" t="n"/>
      <c r="G261" s="51" t="n"/>
      <c r="H261" s="51" t="n"/>
      <c r="I261" s="51" t="n"/>
      <c r="J261" s="51" t="n"/>
      <c r="K261" s="51" t="n"/>
      <c r="L261" s="51" t="n"/>
      <c r="M261" s="51" t="n"/>
      <c r="N261" s="51" t="n"/>
      <c r="O261" s="51" t="n"/>
      <c r="P261" s="51" t="n"/>
      <c r="Q261" s="51" t="n"/>
      <c r="R261" s="51" t="n"/>
    </row>
    <row r="262" ht="18" customHeight="1">
      <c r="A262" s="51" t="n"/>
      <c r="B262" s="51" t="n"/>
      <c r="C262" s="51" t="n"/>
      <c r="D262" s="51" t="n"/>
      <c r="E262" s="51" t="n"/>
      <c r="F262" s="51" t="n"/>
      <c r="G262" s="51" t="n"/>
      <c r="H262" s="51" t="n"/>
      <c r="I262" s="51" t="n"/>
      <c r="J262" s="51" t="n"/>
      <c r="K262" s="51" t="n"/>
      <c r="L262" s="51" t="n"/>
      <c r="M262" s="51" t="n"/>
      <c r="N262" s="51" t="n"/>
      <c r="O262" s="51" t="n"/>
      <c r="P262" s="51" t="n"/>
      <c r="Q262" s="51" t="n"/>
      <c r="R262" s="51" t="n"/>
    </row>
    <row r="263" ht="18" customHeight="1">
      <c r="A263" s="51" t="n"/>
      <c r="B263" s="51" t="n"/>
      <c r="C263" s="51" t="n"/>
      <c r="D263" s="51" t="n"/>
      <c r="E263" s="51" t="n"/>
      <c r="F263" s="51" t="n"/>
      <c r="G263" s="51" t="n"/>
      <c r="H263" s="51" t="n"/>
      <c r="I263" s="51" t="n"/>
      <c r="J263" s="51" t="n"/>
      <c r="K263" s="51" t="n"/>
      <c r="L263" s="51" t="n"/>
      <c r="M263" s="51" t="n"/>
      <c r="N263" s="51" t="n"/>
      <c r="O263" s="51" t="n"/>
      <c r="P263" s="51" t="n"/>
      <c r="Q263" s="51" t="n"/>
      <c r="R263" s="51" t="n"/>
    </row>
    <row r="264" ht="18" customHeight="1">
      <c r="A264" s="51" t="n"/>
      <c r="B264" s="51" t="n"/>
      <c r="C264" s="51" t="n"/>
      <c r="D264" s="51" t="n"/>
      <c r="E264" s="51" t="n"/>
      <c r="F264" s="51" t="n"/>
      <c r="G264" s="51" t="n"/>
      <c r="H264" s="51" t="n"/>
      <c r="I264" s="51" t="n"/>
      <c r="J264" s="51" t="n"/>
      <c r="K264" s="51" t="n"/>
      <c r="L264" s="51" t="n"/>
      <c r="M264" s="51" t="n"/>
      <c r="N264" s="51" t="n"/>
      <c r="O264" s="51" t="n"/>
      <c r="P264" s="51" t="n"/>
      <c r="Q264" s="51" t="n"/>
      <c r="R264" s="51" t="n"/>
    </row>
    <row r="265" ht="18" customHeight="1">
      <c r="A265" s="51" t="n"/>
      <c r="B265" s="51" t="n"/>
      <c r="C265" s="51" t="n"/>
      <c r="D265" s="51" t="n"/>
      <c r="E265" s="51" t="n"/>
      <c r="F265" s="51" t="n"/>
      <c r="G265" s="51" t="n"/>
      <c r="H265" s="51" t="n"/>
      <c r="I265" s="51" t="n"/>
      <c r="J265" s="51" t="n"/>
      <c r="K265" s="51" t="n"/>
      <c r="L265" s="51" t="n"/>
      <c r="M265" s="51" t="n"/>
      <c r="N265" s="51" t="n"/>
      <c r="O265" s="51" t="n"/>
      <c r="P265" s="51" t="n"/>
      <c r="Q265" s="51" t="n"/>
      <c r="R265" s="51" t="n"/>
    </row>
    <row r="266" ht="18" customHeight="1">
      <c r="A266" s="51" t="n"/>
      <c r="B266" s="51" t="n"/>
      <c r="C266" s="51" t="n"/>
      <c r="D266" s="51" t="n"/>
      <c r="E266" s="51" t="n"/>
      <c r="F266" s="51" t="n"/>
      <c r="G266" s="51" t="n"/>
      <c r="H266" s="51" t="n"/>
      <c r="I266" s="51" t="n"/>
      <c r="J266" s="51" t="n"/>
      <c r="K266" s="51" t="n"/>
      <c r="L266" s="51" t="n"/>
      <c r="M266" s="51" t="n"/>
      <c r="N266" s="51" t="n"/>
      <c r="O266" s="51" t="n"/>
      <c r="P266" s="51" t="n"/>
      <c r="Q266" s="51" t="n"/>
      <c r="R266" s="51" t="n"/>
    </row>
    <row r="267" ht="18" customHeight="1">
      <c r="A267" s="51" t="n"/>
      <c r="B267" s="51" t="n"/>
      <c r="C267" s="51" t="n"/>
      <c r="D267" s="51" t="n"/>
      <c r="E267" s="51" t="n"/>
      <c r="F267" s="51" t="n"/>
      <c r="G267" s="51" t="n"/>
      <c r="H267" s="51" t="n"/>
      <c r="I267" s="51" t="n"/>
      <c r="J267" s="51" t="n"/>
      <c r="K267" s="51" t="n"/>
      <c r="L267" s="51" t="n"/>
      <c r="M267" s="51" t="n"/>
      <c r="N267" s="51" t="n"/>
      <c r="O267" s="51" t="n"/>
      <c r="P267" s="51" t="n"/>
      <c r="Q267" s="51" t="n"/>
      <c r="R267" s="51" t="n"/>
    </row>
    <row r="268" ht="18" customHeight="1">
      <c r="A268" s="51" t="n"/>
      <c r="B268" s="51" t="n"/>
      <c r="C268" s="51" t="n"/>
      <c r="D268" s="51" t="n"/>
      <c r="E268" s="51" t="n"/>
      <c r="F268" s="51" t="n"/>
      <c r="G268" s="51" t="n"/>
      <c r="H268" s="51" t="n"/>
      <c r="I268" s="51" t="n"/>
      <c r="J268" s="51" t="n"/>
      <c r="K268" s="51" t="n"/>
      <c r="L268" s="51" t="n"/>
      <c r="M268" s="51" t="n"/>
      <c r="N268" s="51" t="n"/>
      <c r="O268" s="51" t="n"/>
      <c r="P268" s="51" t="n"/>
      <c r="Q268" s="51" t="n"/>
      <c r="R268" s="51" t="n"/>
    </row>
    <row r="269" ht="18" customHeight="1">
      <c r="A269" s="51" t="n"/>
      <c r="B269" s="51" t="n"/>
      <c r="C269" s="51" t="n"/>
      <c r="D269" s="51" t="n"/>
      <c r="E269" s="51" t="n"/>
      <c r="F269" s="51" t="n"/>
      <c r="G269" s="51" t="n"/>
      <c r="H269" s="51" t="n"/>
      <c r="I269" s="51" t="n"/>
      <c r="J269" s="51" t="n"/>
      <c r="K269" s="51" t="n"/>
      <c r="L269" s="51" t="n"/>
      <c r="M269" s="51" t="n"/>
      <c r="N269" s="51" t="n"/>
      <c r="O269" s="51" t="n"/>
      <c r="P269" s="51" t="n"/>
      <c r="Q269" s="51" t="n"/>
      <c r="R269" s="51" t="n"/>
    </row>
    <row r="270" ht="18" customHeight="1">
      <c r="A270" s="51" t="n"/>
      <c r="B270" s="51" t="n"/>
      <c r="C270" s="51" t="n"/>
      <c r="D270" s="51" t="n"/>
      <c r="E270" s="51" t="n"/>
      <c r="F270" s="51" t="n"/>
      <c r="G270" s="51" t="n"/>
      <c r="H270" s="51" t="n"/>
      <c r="I270" s="51" t="n"/>
      <c r="J270" s="51" t="n"/>
      <c r="K270" s="51" t="n"/>
      <c r="L270" s="51" t="n"/>
      <c r="M270" s="51" t="n"/>
      <c r="N270" s="51" t="n"/>
      <c r="O270" s="51" t="n"/>
      <c r="P270" s="51" t="n"/>
      <c r="Q270" s="51" t="n"/>
      <c r="R270" s="51" t="n"/>
    </row>
    <row r="271" ht="18" customHeight="1">
      <c r="A271" s="51" t="n"/>
      <c r="B271" s="51" t="n"/>
      <c r="C271" s="51" t="n"/>
      <c r="D271" s="51" t="n"/>
      <c r="E271" s="51" t="n"/>
      <c r="F271" s="51" t="n"/>
      <c r="G271" s="51" t="n"/>
      <c r="H271" s="51" t="n"/>
      <c r="I271" s="51" t="n"/>
      <c r="J271" s="51" t="n"/>
      <c r="K271" s="51" t="n"/>
      <c r="L271" s="51" t="n"/>
      <c r="M271" s="51" t="n"/>
      <c r="N271" s="51" t="n"/>
      <c r="O271" s="51" t="n"/>
      <c r="P271" s="51" t="n"/>
      <c r="Q271" s="51" t="n"/>
      <c r="R271" s="51" t="n"/>
    </row>
    <row r="272" ht="18" customHeight="1">
      <c r="A272" s="51" t="n"/>
      <c r="B272" s="51" t="n"/>
      <c r="C272" s="51" t="n"/>
      <c r="D272" s="51" t="n"/>
      <c r="E272" s="51" t="n"/>
      <c r="F272" s="51" t="n"/>
      <c r="G272" s="51" t="n"/>
      <c r="H272" s="51" t="n"/>
      <c r="I272" s="51" t="n"/>
      <c r="J272" s="51" t="n"/>
      <c r="K272" s="51" t="n"/>
      <c r="L272" s="51" t="n"/>
      <c r="M272" s="51" t="n"/>
      <c r="N272" s="51" t="n"/>
      <c r="O272" s="51" t="n"/>
      <c r="P272" s="51" t="n"/>
      <c r="Q272" s="51" t="n"/>
      <c r="R272" s="51" t="n"/>
    </row>
    <row r="273" ht="18" customHeight="1">
      <c r="A273" s="51" t="n"/>
      <c r="B273" s="51" t="n"/>
      <c r="C273" s="51" t="n"/>
      <c r="D273" s="51" t="n"/>
      <c r="E273" s="51" t="n"/>
      <c r="F273" s="51" t="n"/>
      <c r="G273" s="51" t="n"/>
      <c r="H273" s="51" t="n"/>
      <c r="I273" s="51" t="n"/>
      <c r="J273" s="51" t="n"/>
      <c r="K273" s="51" t="n"/>
      <c r="L273" s="51" t="n"/>
      <c r="M273" s="51" t="n"/>
      <c r="N273" s="51" t="n"/>
      <c r="O273" s="51" t="n"/>
      <c r="P273" s="51" t="n"/>
      <c r="Q273" s="51" t="n"/>
      <c r="R273" s="51" t="n"/>
    </row>
    <row r="274" ht="18" customHeight="1">
      <c r="A274" s="51" t="n"/>
      <c r="B274" s="51" t="n"/>
      <c r="C274" s="51" t="n"/>
      <c r="D274" s="51" t="n"/>
      <c r="E274" s="51" t="n"/>
      <c r="F274" s="51" t="n"/>
      <c r="G274" s="51" t="n"/>
      <c r="H274" s="51" t="n"/>
      <c r="I274" s="51" t="n"/>
      <c r="J274" s="51" t="n"/>
      <c r="K274" s="51" t="n"/>
      <c r="L274" s="51" t="n"/>
      <c r="M274" s="51" t="n"/>
      <c r="N274" s="51" t="n"/>
      <c r="O274" s="51" t="n"/>
      <c r="P274" s="51" t="n"/>
      <c r="Q274" s="51" t="n"/>
      <c r="R274" s="51" t="n"/>
    </row>
    <row r="275" ht="18" customHeight="1">
      <c r="A275" s="51" t="n"/>
      <c r="B275" s="51" t="n"/>
      <c r="C275" s="51" t="n"/>
      <c r="D275" s="51" t="n"/>
      <c r="E275" s="51" t="n"/>
      <c r="F275" s="51" t="n"/>
      <c r="G275" s="51" t="n"/>
      <c r="H275" s="51" t="n"/>
      <c r="I275" s="51" t="n"/>
      <c r="J275" s="51" t="n"/>
      <c r="K275" s="51" t="n"/>
      <c r="L275" s="51" t="n"/>
      <c r="M275" s="51" t="n"/>
      <c r="N275" s="51" t="n"/>
      <c r="O275" s="51" t="n"/>
      <c r="P275" s="51" t="n"/>
      <c r="Q275" s="51" t="n"/>
      <c r="R275" s="51" t="n"/>
    </row>
    <row r="276" ht="18" customHeight="1">
      <c r="A276" s="51" t="n"/>
      <c r="B276" s="51" t="n"/>
      <c r="C276" s="51" t="n"/>
      <c r="D276" s="51" t="n"/>
      <c r="E276" s="51" t="n"/>
      <c r="F276" s="51" t="n"/>
      <c r="G276" s="51" t="n"/>
      <c r="H276" s="51" t="n"/>
      <c r="I276" s="51" t="n"/>
      <c r="J276" s="51" t="n"/>
      <c r="K276" s="51" t="n"/>
      <c r="L276" s="51" t="n"/>
      <c r="M276" s="51" t="n"/>
      <c r="N276" s="51" t="n"/>
      <c r="O276" s="51" t="n"/>
      <c r="P276" s="51" t="n"/>
      <c r="Q276" s="51" t="n"/>
      <c r="R276" s="51" t="n"/>
    </row>
    <row r="277" ht="18" customHeight="1">
      <c r="A277" s="51" t="n"/>
      <c r="B277" s="51" t="n"/>
      <c r="C277" s="51" t="n"/>
      <c r="D277" s="51" t="n"/>
      <c r="E277" s="51" t="n"/>
      <c r="F277" s="51" t="n"/>
      <c r="G277" s="51" t="n"/>
      <c r="H277" s="51" t="n"/>
      <c r="I277" s="51" t="n"/>
      <c r="J277" s="51" t="n"/>
      <c r="K277" s="51" t="n"/>
      <c r="L277" s="51" t="n"/>
      <c r="M277" s="51" t="n"/>
      <c r="N277" s="51" t="n"/>
      <c r="O277" s="51" t="n"/>
      <c r="P277" s="51" t="n"/>
      <c r="Q277" s="51" t="n"/>
      <c r="R277" s="51" t="n"/>
    </row>
    <row r="278" ht="18" customHeight="1">
      <c r="A278" s="51" t="n"/>
      <c r="B278" s="51" t="n"/>
      <c r="C278" s="51" t="n"/>
      <c r="D278" s="51" t="n"/>
      <c r="E278" s="51" t="n"/>
      <c r="F278" s="51" t="n"/>
      <c r="G278" s="51" t="n"/>
      <c r="H278" s="51" t="n"/>
      <c r="I278" s="51" t="n"/>
      <c r="J278" s="51" t="n"/>
      <c r="K278" s="51" t="n"/>
      <c r="L278" s="51" t="n"/>
      <c r="M278" s="51" t="n"/>
      <c r="N278" s="51" t="n"/>
      <c r="O278" s="51" t="n"/>
      <c r="P278" s="51" t="n"/>
      <c r="Q278" s="51" t="n"/>
      <c r="R278" s="51" t="n"/>
    </row>
    <row r="279" ht="18" customHeight="1">
      <c r="A279" s="51" t="n"/>
      <c r="B279" s="51" t="n"/>
      <c r="C279" s="51" t="n"/>
      <c r="D279" s="51" t="n"/>
      <c r="E279" s="51" t="n"/>
      <c r="F279" s="51" t="n"/>
      <c r="G279" s="51" t="n"/>
      <c r="H279" s="51" t="n"/>
      <c r="I279" s="51" t="n"/>
      <c r="J279" s="51" t="n"/>
      <c r="K279" s="51" t="n"/>
      <c r="L279" s="51" t="n"/>
      <c r="M279" s="51" t="n"/>
      <c r="N279" s="51" t="n"/>
      <c r="O279" s="51" t="n"/>
      <c r="P279" s="51" t="n"/>
      <c r="Q279" s="51" t="n"/>
      <c r="R279" s="51" t="n"/>
    </row>
    <row r="280" ht="18" customHeight="1">
      <c r="A280" s="51" t="n"/>
      <c r="B280" s="51" t="n"/>
      <c r="C280" s="51" t="n"/>
      <c r="D280" s="51" t="n"/>
      <c r="E280" s="51" t="n"/>
      <c r="F280" s="51" t="n"/>
      <c r="G280" s="51" t="n"/>
      <c r="H280" s="51" t="n"/>
      <c r="I280" s="51" t="n"/>
      <c r="J280" s="51" t="n"/>
      <c r="K280" s="51" t="n"/>
      <c r="L280" s="51" t="n"/>
      <c r="M280" s="51" t="n"/>
      <c r="N280" s="51" t="n"/>
      <c r="O280" s="51" t="n"/>
      <c r="P280" s="51" t="n"/>
      <c r="Q280" s="51" t="n"/>
      <c r="R280" s="51" t="n"/>
    </row>
    <row r="281" ht="18" customHeight="1">
      <c r="A281" s="51" t="n"/>
      <c r="B281" s="51" t="n"/>
      <c r="C281" s="51" t="n"/>
      <c r="D281" s="51" t="n"/>
      <c r="E281" s="51" t="n"/>
      <c r="F281" s="51" t="n"/>
      <c r="G281" s="51" t="n"/>
      <c r="H281" s="51" t="n"/>
      <c r="I281" s="51" t="n"/>
      <c r="J281" s="51" t="n"/>
      <c r="K281" s="51" t="n"/>
      <c r="L281" s="51" t="n"/>
      <c r="M281" s="51" t="n"/>
      <c r="N281" s="51" t="n"/>
      <c r="O281" s="51" t="n"/>
      <c r="P281" s="51" t="n"/>
      <c r="Q281" s="51" t="n"/>
      <c r="R281" s="51" t="n"/>
    </row>
    <row r="282" ht="18" customHeight="1">
      <c r="A282" s="51" t="n"/>
      <c r="B282" s="51" t="n"/>
      <c r="C282" s="51" t="n"/>
      <c r="D282" s="51" t="n"/>
      <c r="E282" s="51" t="n"/>
      <c r="F282" s="51" t="n"/>
      <c r="G282" s="51" t="n"/>
      <c r="H282" s="51" t="n"/>
      <c r="I282" s="51" t="n"/>
      <c r="J282" s="51" t="n"/>
      <c r="K282" s="51" t="n"/>
      <c r="L282" s="51" t="n"/>
      <c r="M282" s="51" t="n"/>
      <c r="N282" s="51" t="n"/>
      <c r="O282" s="51" t="n"/>
      <c r="P282" s="51" t="n"/>
      <c r="Q282" s="51" t="n"/>
      <c r="R282" s="51" t="n"/>
    </row>
    <row r="283" ht="18" customHeight="1">
      <c r="A283" s="51" t="n"/>
      <c r="B283" s="51" t="n"/>
      <c r="C283" s="51" t="n"/>
      <c r="D283" s="51" t="n"/>
      <c r="E283" s="51" t="n"/>
      <c r="F283" s="51" t="n"/>
      <c r="G283" s="51" t="n"/>
      <c r="H283" s="51" t="n"/>
      <c r="I283" s="51" t="n"/>
      <c r="J283" s="51" t="n"/>
      <c r="K283" s="51" t="n"/>
      <c r="L283" s="51" t="n"/>
      <c r="M283" s="51" t="n"/>
      <c r="N283" s="51" t="n"/>
      <c r="O283" s="51" t="n"/>
      <c r="P283" s="51" t="n"/>
      <c r="Q283" s="51" t="n"/>
      <c r="R283" s="51" t="n"/>
    </row>
    <row r="284" ht="18" customHeight="1">
      <c r="A284" s="51" t="n"/>
      <c r="B284" s="51" t="n"/>
      <c r="C284" s="51" t="n"/>
      <c r="D284" s="51" t="n"/>
      <c r="E284" s="51" t="n"/>
      <c r="F284" s="51" t="n"/>
      <c r="G284" s="51" t="n"/>
      <c r="H284" s="51" t="n"/>
      <c r="I284" s="51" t="n"/>
      <c r="J284" s="51" t="n"/>
      <c r="K284" s="51" t="n"/>
      <c r="L284" s="51" t="n"/>
      <c r="M284" s="51" t="n"/>
      <c r="N284" s="51" t="n"/>
      <c r="O284" s="51" t="n"/>
      <c r="P284" s="51" t="n"/>
      <c r="Q284" s="51" t="n"/>
      <c r="R284" s="51" t="n"/>
    </row>
    <row r="285" ht="18" customHeight="1">
      <c r="A285" s="51" t="n"/>
      <c r="B285" s="51" t="n"/>
      <c r="C285" s="51" t="n"/>
      <c r="D285" s="51" t="n"/>
      <c r="E285" s="51" t="n"/>
      <c r="F285" s="51" t="n"/>
      <c r="G285" s="51" t="n"/>
      <c r="H285" s="51" t="n"/>
      <c r="I285" s="51" t="n"/>
      <c r="J285" s="51" t="n"/>
      <c r="K285" s="51" t="n"/>
      <c r="L285" s="51" t="n"/>
      <c r="M285" s="51" t="n"/>
      <c r="N285" s="51" t="n"/>
      <c r="O285" s="51" t="n"/>
      <c r="P285" s="51" t="n"/>
      <c r="Q285" s="51" t="n"/>
      <c r="R285" s="51" t="n"/>
    </row>
    <row r="286" ht="18" customHeight="1">
      <c r="A286" s="51" t="n"/>
      <c r="B286" s="51" t="n"/>
      <c r="C286" s="51" t="n"/>
      <c r="D286" s="51" t="n"/>
      <c r="E286" s="51" t="n"/>
      <c r="F286" s="51" t="n"/>
      <c r="G286" s="51" t="n"/>
      <c r="H286" s="51" t="n"/>
      <c r="I286" s="51" t="n"/>
      <c r="J286" s="51" t="n"/>
      <c r="K286" s="51" t="n"/>
      <c r="L286" s="51" t="n"/>
      <c r="M286" s="51" t="n"/>
      <c r="N286" s="51" t="n"/>
      <c r="O286" s="51" t="n"/>
      <c r="P286" s="51" t="n"/>
      <c r="Q286" s="51" t="n"/>
      <c r="R286" s="51" t="n"/>
    </row>
    <row r="287" ht="18" customHeight="1">
      <c r="A287" s="51" t="n"/>
      <c r="B287" s="51" t="n"/>
      <c r="C287" s="51" t="n"/>
      <c r="D287" s="51" t="n"/>
      <c r="E287" s="51" t="n"/>
      <c r="F287" s="51" t="n"/>
      <c r="G287" s="51" t="n"/>
      <c r="H287" s="51" t="n"/>
      <c r="I287" s="51" t="n"/>
      <c r="J287" s="51" t="n"/>
      <c r="K287" s="51" t="n"/>
      <c r="L287" s="51" t="n"/>
      <c r="M287" s="51" t="n"/>
      <c r="N287" s="51" t="n"/>
      <c r="O287" s="51" t="n"/>
      <c r="P287" s="51" t="n"/>
      <c r="Q287" s="51" t="n"/>
      <c r="R287" s="51" t="n"/>
    </row>
    <row r="288" ht="18" customHeight="1">
      <c r="A288" s="51" t="n"/>
      <c r="B288" s="51" t="n"/>
      <c r="C288" s="51" t="n"/>
      <c r="D288" s="51" t="n"/>
      <c r="E288" s="51" t="n"/>
      <c r="F288" s="51" t="n"/>
      <c r="G288" s="51" t="n"/>
      <c r="H288" s="51" t="n"/>
      <c r="I288" s="51" t="n"/>
      <c r="J288" s="51" t="n"/>
      <c r="K288" s="51" t="n"/>
      <c r="L288" s="51" t="n"/>
      <c r="M288" s="51" t="n"/>
      <c r="N288" s="51" t="n"/>
      <c r="O288" s="51" t="n"/>
      <c r="P288" s="51" t="n"/>
      <c r="Q288" s="51" t="n"/>
      <c r="R288" s="51" t="n"/>
    </row>
    <row r="289" ht="18" customHeight="1">
      <c r="A289" s="51" t="n"/>
      <c r="B289" s="51" t="n"/>
      <c r="C289" s="51" t="n"/>
      <c r="D289" s="51" t="n"/>
      <c r="E289" s="51" t="n"/>
      <c r="F289" s="51" t="n"/>
      <c r="G289" s="51" t="n"/>
      <c r="H289" s="51" t="n"/>
      <c r="I289" s="51" t="n"/>
      <c r="J289" s="51" t="n"/>
      <c r="K289" s="51" t="n"/>
      <c r="L289" s="51" t="n"/>
      <c r="M289" s="51" t="n"/>
      <c r="N289" s="51" t="n"/>
      <c r="O289" s="51" t="n"/>
      <c r="P289" s="51" t="n"/>
      <c r="Q289" s="51" t="n"/>
      <c r="R289" s="51" t="n"/>
    </row>
    <row r="290" ht="18" customHeight="1">
      <c r="A290" s="51" t="n"/>
      <c r="B290" s="51" t="n"/>
      <c r="C290" s="51" t="n"/>
      <c r="D290" s="51" t="n"/>
      <c r="E290" s="51" t="n"/>
      <c r="F290" s="51" t="n"/>
      <c r="G290" s="51" t="n"/>
      <c r="H290" s="51" t="n"/>
      <c r="I290" s="51" t="n"/>
      <c r="J290" s="51" t="n"/>
      <c r="K290" s="51" t="n"/>
      <c r="L290" s="51" t="n"/>
      <c r="M290" s="51" t="n"/>
      <c r="N290" s="51" t="n"/>
      <c r="O290" s="51" t="n"/>
      <c r="P290" s="51" t="n"/>
      <c r="Q290" s="51" t="n"/>
      <c r="R290" s="51" t="n"/>
    </row>
    <row r="291" ht="18" customHeight="1">
      <c r="A291" s="51" t="n"/>
      <c r="B291" s="51" t="n"/>
      <c r="C291" s="51" t="n"/>
      <c r="D291" s="51" t="n"/>
      <c r="E291" s="51" t="n"/>
      <c r="F291" s="51" t="n"/>
      <c r="G291" s="51" t="n"/>
      <c r="H291" s="51" t="n"/>
      <c r="I291" s="51" t="n"/>
      <c r="J291" s="51" t="n"/>
      <c r="K291" s="51" t="n"/>
      <c r="L291" s="51" t="n"/>
      <c r="M291" s="51" t="n"/>
      <c r="N291" s="51" t="n"/>
      <c r="O291" s="51" t="n"/>
      <c r="P291" s="51" t="n"/>
      <c r="Q291" s="51" t="n"/>
      <c r="R291" s="51" t="n"/>
    </row>
    <row r="292" ht="18" customHeight="1">
      <c r="A292" s="51" t="n"/>
      <c r="B292" s="51" t="n"/>
      <c r="C292" s="51" t="n"/>
      <c r="D292" s="51" t="n"/>
      <c r="E292" s="51" t="n"/>
      <c r="F292" s="51" t="n"/>
      <c r="G292" s="51" t="n"/>
      <c r="H292" s="51" t="n"/>
      <c r="I292" s="51" t="n"/>
      <c r="J292" s="51" t="n"/>
      <c r="K292" s="51" t="n"/>
      <c r="L292" s="51" t="n"/>
      <c r="M292" s="51" t="n"/>
      <c r="N292" s="51" t="n"/>
      <c r="O292" s="51" t="n"/>
      <c r="P292" s="51" t="n"/>
      <c r="Q292" s="51" t="n"/>
      <c r="R292" s="51" t="n"/>
    </row>
    <row r="293" ht="18" customHeight="1">
      <c r="A293" s="51" t="n"/>
      <c r="B293" s="51" t="n"/>
      <c r="C293" s="51" t="n"/>
      <c r="D293" s="51" t="n"/>
      <c r="E293" s="51" t="n"/>
      <c r="F293" s="51" t="n"/>
      <c r="G293" s="51" t="n"/>
      <c r="H293" s="51" t="n"/>
      <c r="I293" s="51" t="n"/>
      <c r="J293" s="51" t="n"/>
      <c r="K293" s="51" t="n"/>
      <c r="L293" s="51" t="n"/>
      <c r="M293" s="51" t="n"/>
      <c r="N293" s="51" t="n"/>
      <c r="O293" s="51" t="n"/>
      <c r="P293" s="51" t="n"/>
      <c r="Q293" s="51" t="n"/>
      <c r="R293" s="51" t="n"/>
    </row>
    <row r="294" ht="18" customHeight="1">
      <c r="A294" s="51" t="n"/>
      <c r="B294" s="51" t="n"/>
      <c r="C294" s="51" t="n"/>
      <c r="D294" s="51" t="n"/>
      <c r="E294" s="51" t="n"/>
      <c r="F294" s="51" t="n"/>
      <c r="G294" s="51" t="n"/>
      <c r="H294" s="51" t="n"/>
      <c r="I294" s="51" t="n"/>
      <c r="J294" s="51" t="n"/>
      <c r="K294" s="51" t="n"/>
      <c r="L294" s="51" t="n"/>
      <c r="M294" s="51" t="n"/>
      <c r="N294" s="51" t="n"/>
      <c r="O294" s="51" t="n"/>
      <c r="P294" s="51" t="n"/>
      <c r="Q294" s="51" t="n"/>
      <c r="R294" s="51" t="n"/>
    </row>
    <row r="295" ht="18" customHeight="1">
      <c r="A295" s="51" t="n"/>
      <c r="B295" s="51" t="n"/>
      <c r="C295" s="51" t="n"/>
      <c r="D295" s="51" t="n"/>
      <c r="E295" s="51" t="n"/>
      <c r="F295" s="51" t="n"/>
      <c r="G295" s="51" t="n"/>
      <c r="H295" s="51" t="n"/>
      <c r="I295" s="51" t="n"/>
      <c r="J295" s="51" t="n"/>
      <c r="K295" s="51" t="n"/>
      <c r="L295" s="51" t="n"/>
      <c r="M295" s="51" t="n"/>
      <c r="N295" s="51" t="n"/>
      <c r="O295" s="51" t="n"/>
      <c r="P295" s="51" t="n"/>
      <c r="Q295" s="51" t="n"/>
      <c r="R295" s="51" t="n"/>
    </row>
    <row r="296" ht="18" customHeight="1">
      <c r="A296" s="51" t="n"/>
      <c r="B296" s="51" t="n"/>
      <c r="C296" s="51" t="n"/>
      <c r="D296" s="51" t="n"/>
      <c r="E296" s="51" t="n"/>
      <c r="F296" s="51" t="n"/>
      <c r="G296" s="51" t="n"/>
      <c r="H296" s="51" t="n"/>
      <c r="I296" s="51" t="n"/>
      <c r="J296" s="51" t="n"/>
      <c r="K296" s="51" t="n"/>
      <c r="L296" s="51" t="n"/>
      <c r="M296" s="51" t="n"/>
      <c r="N296" s="51" t="n"/>
      <c r="O296" s="51" t="n"/>
      <c r="P296" s="51" t="n"/>
      <c r="Q296" s="51" t="n"/>
      <c r="R296" s="51" t="n"/>
    </row>
    <row r="297" ht="18" customHeight="1">
      <c r="A297" s="51" t="n"/>
      <c r="B297" s="51" t="n"/>
      <c r="C297" s="51" t="n"/>
      <c r="D297" s="51" t="n"/>
      <c r="E297" s="51" t="n"/>
      <c r="F297" s="51" t="n"/>
      <c r="G297" s="51" t="n"/>
      <c r="H297" s="51" t="n"/>
      <c r="I297" s="51" t="n"/>
      <c r="J297" s="51" t="n"/>
      <c r="K297" s="51" t="n"/>
      <c r="L297" s="51" t="n"/>
      <c r="M297" s="51" t="n"/>
      <c r="N297" s="51" t="n"/>
      <c r="O297" s="51" t="n"/>
      <c r="P297" s="51" t="n"/>
      <c r="Q297" s="51" t="n"/>
      <c r="R297" s="51" t="n"/>
    </row>
    <row r="298" ht="18" customHeight="1">
      <c r="A298" s="51" t="n"/>
      <c r="B298" s="51" t="n"/>
      <c r="C298" s="51" t="n"/>
      <c r="D298" s="51" t="n"/>
      <c r="E298" s="51" t="n"/>
      <c r="F298" s="51" t="n"/>
      <c r="G298" s="51" t="n"/>
      <c r="H298" s="51" t="n"/>
      <c r="I298" s="51" t="n"/>
      <c r="J298" s="51" t="n"/>
      <c r="K298" s="51" t="n"/>
      <c r="L298" s="51" t="n"/>
      <c r="M298" s="51" t="n"/>
      <c r="N298" s="51" t="n"/>
      <c r="O298" s="51" t="n"/>
      <c r="P298" s="51" t="n"/>
      <c r="Q298" s="51" t="n"/>
      <c r="R298" s="51" t="n"/>
    </row>
    <row r="299" ht="18" customHeight="1">
      <c r="A299" s="51" t="n"/>
      <c r="B299" s="51" t="n"/>
      <c r="C299" s="51" t="n"/>
      <c r="D299" s="51" t="n"/>
      <c r="E299" s="51" t="n"/>
      <c r="F299" s="51" t="n"/>
      <c r="G299" s="51" t="n"/>
      <c r="H299" s="51" t="n"/>
      <c r="I299" s="51" t="n"/>
      <c r="J299" s="51" t="n"/>
      <c r="K299" s="51" t="n"/>
      <c r="L299" s="51" t="n"/>
      <c r="M299" s="51" t="n"/>
      <c r="N299" s="51" t="n"/>
      <c r="O299" s="51" t="n"/>
      <c r="P299" s="51" t="n"/>
      <c r="Q299" s="51" t="n"/>
      <c r="R299" s="51" t="n"/>
    </row>
    <row r="300" ht="18" customHeight="1">
      <c r="A300" s="51" t="n"/>
      <c r="B300" s="51" t="n"/>
      <c r="C300" s="51" t="n"/>
      <c r="D300" s="51" t="n"/>
      <c r="E300" s="51" t="n"/>
      <c r="F300" s="51" t="n"/>
      <c r="G300" s="51" t="n"/>
      <c r="H300" s="51" t="n"/>
      <c r="I300" s="51" t="n"/>
      <c r="J300" s="51" t="n"/>
      <c r="K300" s="51" t="n"/>
      <c r="L300" s="51" t="n"/>
      <c r="M300" s="51" t="n"/>
      <c r="N300" s="51" t="n"/>
      <c r="O300" s="51" t="n"/>
      <c r="P300" s="51" t="n"/>
      <c r="Q300" s="51" t="n"/>
      <c r="R300" s="51" t="n"/>
    </row>
    <row r="301" ht="18" customHeight="1">
      <c r="A301" s="51" t="n"/>
      <c r="B301" s="51" t="n"/>
      <c r="C301" s="51" t="n"/>
      <c r="D301" s="51" t="n"/>
      <c r="E301" s="51" t="n"/>
      <c r="F301" s="51" t="n"/>
      <c r="G301" s="51" t="n"/>
      <c r="H301" s="51" t="n"/>
      <c r="I301" s="51" t="n"/>
      <c r="J301" s="51" t="n"/>
      <c r="K301" s="51" t="n"/>
      <c r="L301" s="51" t="n"/>
      <c r="M301" s="51" t="n"/>
      <c r="N301" s="51" t="n"/>
      <c r="O301" s="51" t="n"/>
      <c r="P301" s="51" t="n"/>
      <c r="Q301" s="51" t="n"/>
      <c r="R301" s="51" t="n"/>
    </row>
    <row r="302" ht="18" customHeight="1">
      <c r="A302" s="51" t="n"/>
      <c r="B302" s="51" t="n"/>
      <c r="C302" s="51" t="n"/>
      <c r="D302" s="51" t="n"/>
      <c r="E302" s="51" t="n"/>
      <c r="F302" s="51" t="n"/>
      <c r="G302" s="51" t="n"/>
      <c r="H302" s="51" t="n"/>
      <c r="I302" s="51" t="n"/>
      <c r="J302" s="51" t="n"/>
      <c r="K302" s="51" t="n"/>
      <c r="L302" s="51" t="n"/>
      <c r="M302" s="51" t="n"/>
      <c r="N302" s="51" t="n"/>
      <c r="O302" s="51" t="n"/>
      <c r="P302" s="51" t="n"/>
      <c r="Q302" s="51" t="n"/>
      <c r="R302" s="51" t="n"/>
    </row>
    <row r="303" ht="18" customHeight="1">
      <c r="A303" s="51" t="n"/>
      <c r="B303" s="51" t="n"/>
      <c r="C303" s="51" t="n"/>
      <c r="D303" s="51" t="n"/>
      <c r="E303" s="51" t="n"/>
      <c r="F303" s="51" t="n"/>
      <c r="G303" s="51" t="n"/>
      <c r="H303" s="51" t="n"/>
      <c r="I303" s="51" t="n"/>
      <c r="J303" s="51" t="n"/>
      <c r="K303" s="51" t="n"/>
      <c r="L303" s="51" t="n"/>
      <c r="M303" s="51" t="n"/>
      <c r="N303" s="51" t="n"/>
      <c r="O303" s="51" t="n"/>
      <c r="P303" s="51" t="n"/>
      <c r="Q303" s="51" t="n"/>
      <c r="R303" s="51" t="n"/>
    </row>
    <row r="304" ht="18" customHeight="1">
      <c r="A304" s="51" t="n"/>
      <c r="B304" s="51" t="n"/>
      <c r="C304" s="51" t="n"/>
      <c r="D304" s="51" t="n"/>
      <c r="E304" s="51" t="n"/>
      <c r="F304" s="51" t="n"/>
      <c r="G304" s="51" t="n"/>
      <c r="H304" s="51" t="n"/>
      <c r="I304" s="51" t="n"/>
      <c r="J304" s="51" t="n"/>
      <c r="K304" s="51" t="n"/>
      <c r="L304" s="51" t="n"/>
      <c r="M304" s="51" t="n"/>
      <c r="N304" s="51" t="n"/>
      <c r="O304" s="51" t="n"/>
      <c r="P304" s="51" t="n"/>
      <c r="Q304" s="51" t="n"/>
      <c r="R304" s="51" t="n"/>
    </row>
    <row r="305" ht="18" customHeight="1">
      <c r="A305" s="51" t="n"/>
      <c r="B305" s="51" t="n"/>
      <c r="C305" s="51" t="n"/>
      <c r="D305" s="51" t="n"/>
      <c r="E305" s="51" t="n"/>
      <c r="F305" s="51" t="n"/>
      <c r="G305" s="51" t="n"/>
      <c r="H305" s="51" t="n"/>
      <c r="I305" s="51" t="n"/>
      <c r="J305" s="51" t="n"/>
      <c r="K305" s="51" t="n"/>
      <c r="L305" s="51" t="n"/>
      <c r="M305" s="51" t="n"/>
      <c r="N305" s="51" t="n"/>
      <c r="O305" s="51" t="n"/>
      <c r="P305" s="51" t="n"/>
      <c r="Q305" s="51" t="n"/>
      <c r="R305" s="51" t="n"/>
    </row>
    <row r="306" ht="18" customHeight="1">
      <c r="A306" s="51" t="n"/>
      <c r="B306" s="51" t="n"/>
      <c r="C306" s="51" t="n"/>
      <c r="D306" s="51" t="n"/>
      <c r="E306" s="51" t="n"/>
      <c r="F306" s="51" t="n"/>
      <c r="G306" s="51" t="n"/>
      <c r="H306" s="51" t="n"/>
      <c r="I306" s="51" t="n"/>
      <c r="J306" s="51" t="n"/>
      <c r="K306" s="51" t="n"/>
      <c r="L306" s="51" t="n"/>
      <c r="M306" s="51" t="n"/>
      <c r="N306" s="51" t="n"/>
      <c r="O306" s="51" t="n"/>
      <c r="P306" s="51" t="n"/>
      <c r="Q306" s="51" t="n"/>
      <c r="R306" s="51" t="n"/>
    </row>
    <row r="307" ht="18" customHeight="1">
      <c r="A307" s="51" t="n"/>
      <c r="B307" s="51" t="n"/>
      <c r="C307" s="51" t="n"/>
      <c r="D307" s="51" t="n"/>
      <c r="E307" s="51" t="n"/>
      <c r="F307" s="51" t="n"/>
      <c r="G307" s="51" t="n"/>
      <c r="H307" s="51" t="n"/>
      <c r="I307" s="51" t="n"/>
      <c r="J307" s="51" t="n"/>
      <c r="K307" s="51" t="n"/>
      <c r="L307" s="51" t="n"/>
      <c r="M307" s="51" t="n"/>
      <c r="N307" s="51" t="n"/>
      <c r="O307" s="51" t="n"/>
      <c r="P307" s="51" t="n"/>
      <c r="Q307" s="51" t="n"/>
      <c r="R307" s="51" t="n"/>
    </row>
    <row r="308" ht="18" customHeight="1">
      <c r="A308" s="51" t="n"/>
      <c r="B308" s="51" t="n"/>
      <c r="C308" s="51" t="n"/>
      <c r="D308" s="51" t="n"/>
      <c r="E308" s="51" t="n"/>
      <c r="F308" s="51" t="n"/>
      <c r="G308" s="51" t="n"/>
      <c r="H308" s="51" t="n"/>
      <c r="I308" s="51" t="n"/>
      <c r="J308" s="51" t="n"/>
      <c r="K308" s="51" t="n"/>
      <c r="L308" s="51" t="n"/>
      <c r="M308" s="51" t="n"/>
      <c r="N308" s="51" t="n"/>
      <c r="O308" s="51" t="n"/>
      <c r="P308" s="51" t="n"/>
      <c r="Q308" s="51" t="n"/>
      <c r="R308" s="51" t="n"/>
    </row>
    <row r="309" ht="18" customHeight="1">
      <c r="A309" s="51" t="n"/>
      <c r="B309" s="51" t="n"/>
      <c r="C309" s="51" t="n"/>
      <c r="D309" s="51" t="n"/>
      <c r="E309" s="51" t="n"/>
      <c r="F309" s="51" t="n"/>
      <c r="G309" s="51" t="n"/>
      <c r="H309" s="51" t="n"/>
      <c r="I309" s="51" t="n"/>
      <c r="J309" s="51" t="n"/>
      <c r="K309" s="51" t="n"/>
      <c r="L309" s="51" t="n"/>
      <c r="M309" s="51" t="n"/>
      <c r="N309" s="51" t="n"/>
      <c r="O309" s="51" t="n"/>
      <c r="P309" s="51" t="n"/>
      <c r="Q309" s="51" t="n"/>
      <c r="R309" s="51" t="n"/>
    </row>
    <row r="310" ht="18" customHeight="1">
      <c r="A310" s="51" t="n"/>
      <c r="B310" s="51" t="n"/>
      <c r="C310" s="51" t="n"/>
      <c r="D310" s="51" t="n"/>
      <c r="E310" s="51" t="n"/>
      <c r="F310" s="51" t="n"/>
      <c r="G310" s="51" t="n"/>
      <c r="H310" s="51" t="n"/>
      <c r="I310" s="51" t="n"/>
      <c r="J310" s="51" t="n"/>
      <c r="K310" s="51" t="n"/>
      <c r="L310" s="51" t="n"/>
      <c r="M310" s="51" t="n"/>
      <c r="N310" s="51" t="n"/>
      <c r="O310" s="51" t="n"/>
      <c r="P310" s="51" t="n"/>
      <c r="Q310" s="51" t="n"/>
      <c r="R310" s="51" t="n"/>
    </row>
    <row r="311" ht="18" customHeight="1">
      <c r="A311" s="51" t="n"/>
      <c r="B311" s="51" t="n"/>
      <c r="C311" s="51" t="n"/>
      <c r="D311" s="51" t="n"/>
      <c r="E311" s="51" t="n"/>
      <c r="F311" s="51" t="n"/>
      <c r="G311" s="51" t="n"/>
      <c r="H311" s="51" t="n"/>
      <c r="I311" s="51" t="n"/>
      <c r="J311" s="51" t="n"/>
      <c r="K311" s="51" t="n"/>
      <c r="L311" s="51" t="n"/>
      <c r="M311" s="51" t="n"/>
      <c r="N311" s="51" t="n"/>
      <c r="O311" s="51" t="n"/>
      <c r="P311" s="51" t="n"/>
      <c r="Q311" s="51" t="n"/>
      <c r="R311" s="51" t="n"/>
    </row>
    <row r="312" ht="18" customHeight="1">
      <c r="A312" s="51" t="n"/>
      <c r="B312" s="51" t="n"/>
      <c r="C312" s="51" t="n"/>
      <c r="D312" s="51" t="n"/>
      <c r="E312" s="51" t="n"/>
      <c r="F312" s="51" t="n"/>
      <c r="G312" s="51" t="n"/>
      <c r="H312" s="51" t="n"/>
      <c r="I312" s="51" t="n"/>
      <c r="J312" s="51" t="n"/>
      <c r="K312" s="51" t="n"/>
      <c r="L312" s="51" t="n"/>
      <c r="M312" s="51" t="n"/>
      <c r="N312" s="51" t="n"/>
      <c r="O312" s="51" t="n"/>
      <c r="P312" s="51" t="n"/>
      <c r="Q312" s="51" t="n"/>
      <c r="R312" s="51" t="n"/>
    </row>
    <row r="313" ht="18" customHeight="1">
      <c r="A313" s="51" t="n"/>
      <c r="B313" s="51" t="n"/>
      <c r="C313" s="51" t="n"/>
      <c r="D313" s="51" t="n"/>
      <c r="E313" s="51" t="n"/>
      <c r="F313" s="51" t="n"/>
      <c r="G313" s="51" t="n"/>
      <c r="H313" s="51" t="n"/>
      <c r="I313" s="51" t="n"/>
      <c r="J313" s="51" t="n"/>
      <c r="K313" s="51" t="n"/>
      <c r="L313" s="51" t="n"/>
      <c r="M313" s="51" t="n"/>
      <c r="N313" s="51" t="n"/>
      <c r="O313" s="51" t="n"/>
      <c r="P313" s="51" t="n"/>
      <c r="Q313" s="51" t="n"/>
      <c r="R313" s="51" t="n"/>
    </row>
    <row r="314" ht="18" customHeight="1">
      <c r="A314" s="51" t="n"/>
      <c r="B314" s="51" t="n"/>
      <c r="C314" s="51" t="n"/>
      <c r="D314" s="51" t="n"/>
      <c r="E314" s="51" t="n"/>
      <c r="F314" s="51" t="n"/>
      <c r="G314" s="51" t="n"/>
      <c r="H314" s="51" t="n"/>
      <c r="I314" s="51" t="n"/>
      <c r="J314" s="51" t="n"/>
      <c r="K314" s="51" t="n"/>
      <c r="L314" s="51" t="n"/>
      <c r="M314" s="51" t="n"/>
      <c r="N314" s="51" t="n"/>
      <c r="O314" s="51" t="n"/>
      <c r="P314" s="51" t="n"/>
      <c r="Q314" s="51" t="n"/>
      <c r="R314" s="51" t="n"/>
    </row>
    <row r="315" ht="18" customHeight="1">
      <c r="A315" s="51" t="n"/>
      <c r="B315" s="51" t="n"/>
      <c r="C315" s="51" t="n"/>
      <c r="D315" s="51" t="n"/>
      <c r="E315" s="51" t="n"/>
      <c r="F315" s="51" t="n"/>
      <c r="G315" s="51" t="n"/>
      <c r="H315" s="51" t="n"/>
      <c r="I315" s="51" t="n"/>
      <c r="J315" s="51" t="n"/>
      <c r="K315" s="51" t="n"/>
      <c r="L315" s="51" t="n"/>
      <c r="M315" s="51" t="n"/>
      <c r="N315" s="51" t="n"/>
      <c r="O315" s="51" t="n"/>
      <c r="P315" s="51" t="n"/>
      <c r="Q315" s="51" t="n"/>
      <c r="R315" s="51" t="n"/>
    </row>
    <row r="316" ht="18" customHeight="1">
      <c r="A316" s="51" t="n"/>
      <c r="B316" s="51" t="n"/>
      <c r="C316" s="51" t="n"/>
      <c r="D316" s="51" t="n"/>
      <c r="E316" s="51" t="n"/>
      <c r="F316" s="51" t="n"/>
      <c r="G316" s="51" t="n"/>
      <c r="H316" s="51" t="n"/>
      <c r="I316" s="51" t="n"/>
      <c r="J316" s="51" t="n"/>
      <c r="K316" s="51" t="n"/>
      <c r="L316" s="51" t="n"/>
      <c r="M316" s="51" t="n"/>
      <c r="N316" s="51" t="n"/>
      <c r="O316" s="51" t="n"/>
      <c r="P316" s="51" t="n"/>
      <c r="Q316" s="51" t="n"/>
      <c r="R316" s="51" t="n"/>
    </row>
    <row r="317" ht="18" customHeight="1">
      <c r="A317" s="51" t="n"/>
      <c r="B317" s="51" t="n"/>
      <c r="C317" s="51" t="n"/>
      <c r="D317" s="51" t="n"/>
      <c r="E317" s="51" t="n"/>
      <c r="F317" s="51" t="n"/>
      <c r="G317" s="51" t="n"/>
      <c r="H317" s="51" t="n"/>
      <c r="I317" s="51" t="n"/>
      <c r="J317" s="51" t="n"/>
      <c r="K317" s="51" t="n"/>
      <c r="L317" s="51" t="n"/>
      <c r="M317" s="51" t="n"/>
      <c r="N317" s="51" t="n"/>
      <c r="O317" s="51" t="n"/>
      <c r="P317" s="51" t="n"/>
      <c r="Q317" s="51" t="n"/>
      <c r="R317" s="51" t="n"/>
    </row>
    <row r="318" ht="18" customHeight="1">
      <c r="A318" s="51" t="n"/>
      <c r="B318" s="51" t="n"/>
      <c r="C318" s="51" t="n"/>
      <c r="D318" s="51" t="n"/>
      <c r="E318" s="51" t="n"/>
      <c r="F318" s="51" t="n"/>
      <c r="G318" s="51" t="n"/>
      <c r="H318" s="51" t="n"/>
      <c r="I318" s="51" t="n"/>
      <c r="J318" s="51" t="n"/>
      <c r="K318" s="51" t="n"/>
      <c r="L318" s="51" t="n"/>
      <c r="M318" s="51" t="n"/>
      <c r="N318" s="51" t="n"/>
      <c r="O318" s="51" t="n"/>
      <c r="P318" s="51" t="n"/>
      <c r="Q318" s="51" t="n"/>
      <c r="R318" s="51" t="n"/>
    </row>
    <row r="319" ht="18" customHeight="1">
      <c r="A319" s="51" t="n"/>
      <c r="B319" s="51" t="n"/>
      <c r="C319" s="51" t="n"/>
      <c r="D319" s="51" t="n"/>
      <c r="E319" s="51" t="n"/>
      <c r="F319" s="51" t="n"/>
      <c r="G319" s="51" t="n"/>
      <c r="H319" s="51" t="n"/>
      <c r="I319" s="51" t="n"/>
      <c r="J319" s="51" t="n"/>
      <c r="K319" s="51" t="n"/>
      <c r="L319" s="51" t="n"/>
      <c r="M319" s="51" t="n"/>
      <c r="N319" s="51" t="n"/>
      <c r="O319" s="51" t="n"/>
      <c r="P319" s="51" t="n"/>
      <c r="Q319" s="51" t="n"/>
      <c r="R319" s="51" t="n"/>
    </row>
  </sheetData>
  <autoFilter ref="A2:R142"/>
  <mergeCells count="9">
    <mergeCell ref="A152:S152"/>
    <mergeCell ref="A1:S1"/>
    <mergeCell ref="A150:S150"/>
    <mergeCell ref="A149:S149"/>
    <mergeCell ref="A146:S146"/>
    <mergeCell ref="A145:S145"/>
    <mergeCell ref="A148:S148"/>
    <mergeCell ref="A153:S153"/>
    <mergeCell ref="A147:S147"/>
  </mergeCells>
  <pageMargins left="0.4" right="0.4" top="0.7" bottom="0.5" header="0.5" footer="0.5"/>
  <pageSetup orientation="landscape" paperSize="8" fitToHeight="0" fitToWidth="1"/>
  <headerFooter>
    <oddHeader>&amp;LСводная по профессиям · работники / записи</oddHeader>
    <oddFooter>&amp;LСиним выделены профессии с неполным прохождением программы&amp;RСтраница &amp;P из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Q124"/>
  <sheetViews>
    <sheetView zoomScale="110"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62" customWidth="1" min="1" max="1"/>
    <col width="14"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24" customHeight="1">
      <c r="A1" s="169" t="inlineStr">
        <is>
          <t>Недостаток обучения</t>
        </is>
      </c>
    </row>
    <row r="2" ht="78" customHeight="1">
      <c r="A2" s="163" t="inlineStr">
        <is>
          <t>Пересечение профессий и программ. Число — сколько работников профессии не прошли программу. Если этот же недостаток уже был и на вкладке «Сводная», и на вкладке «Профессии», он учтён один раз. 46а и 46б: программа уже назначена части работников профессии. Жёлтые числа по 46в — потенциальный недостаток: разница с максимумом строки только у программ, где обучение уже было. Первая помощь собрана из обеих вкладок: и те, кому она нужна по пункту 33 постановления 2464, но записи нет, и те профессии, где её прошла только часть работников. СИЗ собран так же: и высота или замкнутое пространство без СИЗ, и профессии, где СИЗ прошла только часть работников. Строка «Итого» — сумма по профессиям, столбец «Итого» — сумма по программам.</t>
        </is>
      </c>
    </row>
    <row r="3" ht="36" customHeight="1">
      <c r="A3" s="135" t="inlineStr">
        <is>
          <t>Профессия</t>
        </is>
      </c>
      <c r="B3" s="135" t="inlineStr">
        <is>
          <t>Работников</t>
        </is>
      </c>
      <c r="C3" s="135" t="inlineStr">
        <is>
          <t>46а</t>
        </is>
      </c>
      <c r="D3" s="135" t="inlineStr">
        <is>
          <t>46б</t>
        </is>
      </c>
      <c r="E3" s="135" t="inlineStr">
        <is>
          <t>Высота</t>
        </is>
      </c>
      <c r="F3" s="135" t="inlineStr">
        <is>
          <t>Огневые</t>
        </is>
      </c>
      <c r="G3" s="135" t="inlineStr">
        <is>
          <t>ОЗП</t>
        </is>
      </c>
      <c r="H3" s="135" t="inlineStr">
        <is>
          <t>Подъемные сооружения</t>
        </is>
      </c>
      <c r="I3" s="135" t="inlineStr">
        <is>
          <t>Сосуды</t>
        </is>
      </c>
      <c r="J3" s="135" t="inlineStr">
        <is>
          <t>Оборудование</t>
        </is>
      </c>
      <c r="K3" s="135" t="inlineStr">
        <is>
          <t>Электроустановки</t>
        </is>
      </c>
      <c r="L3" s="135" t="inlineStr">
        <is>
          <t>Стройка</t>
        </is>
      </c>
      <c r="M3" s="135" t="inlineStr">
        <is>
          <t>Здания</t>
        </is>
      </c>
      <c r="N3" s="135" t="inlineStr">
        <is>
          <t>Земля</t>
        </is>
      </c>
      <c r="O3" s="135" t="inlineStr">
        <is>
          <t>Первая помощь</t>
        </is>
      </c>
      <c r="P3" s="135" t="inlineStr">
        <is>
          <t>СИЗ</t>
        </is>
      </c>
      <c r="Q3" s="135" t="inlineStr">
        <is>
          <t>Итого</t>
        </is>
      </c>
    </row>
    <row r="4" ht="18" customHeight="1">
      <c r="A4" s="45" t="inlineStr">
        <is>
          <t>Электрогазосварщик</t>
        </is>
      </c>
      <c r="B4" s="170" t="n">
        <v>35</v>
      </c>
      <c r="C4" s="170" t="n"/>
      <c r="D4" s="171" t="n">
        <v>4</v>
      </c>
      <c r="E4" s="172" t="n">
        <v>11</v>
      </c>
      <c r="F4" s="170" t="n"/>
      <c r="G4" s="172" t="n">
        <v>13</v>
      </c>
      <c r="H4" s="172" t="n">
        <v>14</v>
      </c>
      <c r="I4" s="172" t="n">
        <v>14</v>
      </c>
      <c r="J4" s="172" t="n">
        <v>15</v>
      </c>
      <c r="K4" s="170" t="n"/>
      <c r="L4" s="172" t="n">
        <v>21</v>
      </c>
      <c r="M4" s="172" t="n">
        <v>22</v>
      </c>
      <c r="N4" s="170" t="n"/>
      <c r="O4" s="171" t="n">
        <v>13</v>
      </c>
      <c r="P4" s="171" t="n">
        <v>4</v>
      </c>
      <c r="Q4" s="171" t="n">
        <v>131</v>
      </c>
    </row>
    <row r="5" ht="18" customHeight="1">
      <c r="A5" s="45" t="inlineStr">
        <is>
          <t>Слесарь-ремонтник</t>
        </is>
      </c>
      <c r="B5" s="170" t="n">
        <v>12</v>
      </c>
      <c r="C5" s="170" t="n"/>
      <c r="D5" s="171" t="n">
        <v>9</v>
      </c>
      <c r="E5" s="170" t="n"/>
      <c r="F5" s="170" t="n"/>
      <c r="G5" s="170" t="n"/>
      <c r="H5" s="170" t="n"/>
      <c r="I5" s="170" t="n"/>
      <c r="J5" s="170" t="n"/>
      <c r="K5" s="170" t="n"/>
      <c r="L5" s="170" t="n"/>
      <c r="M5" s="170" t="n"/>
      <c r="N5" s="170" t="n"/>
      <c r="O5" s="171" t="n">
        <v>11</v>
      </c>
      <c r="P5" s="171" t="n">
        <v>9</v>
      </c>
      <c r="Q5" s="171" t="n">
        <v>29</v>
      </c>
    </row>
    <row r="6" ht="18" customHeight="1">
      <c r="A6" s="45" t="inlineStr">
        <is>
          <t>Электромонтер по ремонту и обслуживанию электрооборудования</t>
        </is>
      </c>
      <c r="B6" s="170" t="n">
        <v>17</v>
      </c>
      <c r="C6" s="170" t="n"/>
      <c r="D6" s="170" t="n"/>
      <c r="E6" s="170" t="n"/>
      <c r="F6" s="172" t="n">
        <v>3</v>
      </c>
      <c r="G6" s="172" t="n">
        <v>3</v>
      </c>
      <c r="H6" s="172" t="n">
        <v>3</v>
      </c>
      <c r="I6" s="172" t="n">
        <v>3</v>
      </c>
      <c r="J6" s="172" t="n">
        <v>3</v>
      </c>
      <c r="K6" s="170" t="n"/>
      <c r="L6" s="170" t="n"/>
      <c r="M6" s="170" t="n"/>
      <c r="N6" s="170" t="n"/>
      <c r="O6" s="171" t="n">
        <v>11</v>
      </c>
      <c r="P6" s="170" t="n"/>
      <c r="Q6" s="171" t="n">
        <v>26</v>
      </c>
    </row>
    <row r="7" ht="18" customHeight="1">
      <c r="A7" s="45" t="inlineStr">
        <is>
          <t>Аппаратчик-гидрометаллург</t>
        </is>
      </c>
      <c r="B7" s="170" t="n">
        <v>30</v>
      </c>
      <c r="C7" s="170" t="n"/>
      <c r="D7" s="170" t="n"/>
      <c r="E7" s="170" t="n"/>
      <c r="F7" s="170" t="n"/>
      <c r="G7" s="170" t="n"/>
      <c r="H7" s="170" t="n"/>
      <c r="I7" s="170" t="n"/>
      <c r="J7" s="170" t="n"/>
      <c r="K7" s="170" t="n"/>
      <c r="L7" s="170" t="n"/>
      <c r="M7" s="170" t="n"/>
      <c r="N7" s="170" t="n"/>
      <c r="O7" s="171" t="n">
        <v>16</v>
      </c>
      <c r="P7" s="170" t="n"/>
      <c r="Q7" s="171" t="n">
        <v>16</v>
      </c>
    </row>
    <row r="8" ht="18" customHeight="1">
      <c r="A8" s="45" t="inlineStr">
        <is>
          <t>Фильтровальщик</t>
        </is>
      </c>
      <c r="B8" s="170" t="n">
        <v>41</v>
      </c>
      <c r="C8" s="170" t="n"/>
      <c r="D8" s="170" t="n"/>
      <c r="E8" s="170" t="n"/>
      <c r="F8" s="170" t="n"/>
      <c r="G8" s="170" t="n"/>
      <c r="H8" s="170" t="n"/>
      <c r="I8" s="170" t="n"/>
      <c r="J8" s="170" t="n"/>
      <c r="K8" s="170" t="n"/>
      <c r="L8" s="170" t="n"/>
      <c r="M8" s="170" t="n"/>
      <c r="N8" s="170" t="n"/>
      <c r="O8" s="171" t="n">
        <v>16</v>
      </c>
      <c r="P8" s="170" t="n"/>
      <c r="Q8" s="171" t="n">
        <v>16</v>
      </c>
    </row>
    <row r="9" ht="18" customHeight="1">
      <c r="A9" s="45" t="inlineStr">
        <is>
          <t>Повар</t>
        </is>
      </c>
      <c r="B9" s="170" t="n">
        <v>31</v>
      </c>
      <c r="C9" s="170" t="n"/>
      <c r="D9" s="170" t="n"/>
      <c r="E9" s="170" t="n"/>
      <c r="F9" s="170" t="n"/>
      <c r="G9" s="170" t="n"/>
      <c r="H9" s="170" t="n"/>
      <c r="I9" s="170" t="n"/>
      <c r="J9" s="170" t="n"/>
      <c r="K9" s="170" t="n"/>
      <c r="L9" s="170" t="n"/>
      <c r="M9" s="170" t="n"/>
      <c r="N9" s="170" t="n"/>
      <c r="O9" s="171" t="n">
        <v>15</v>
      </c>
      <c r="P9" s="170" t="n"/>
      <c r="Q9" s="171" t="n">
        <v>15</v>
      </c>
    </row>
    <row r="10" ht="18" customHeight="1">
      <c r="A10" s="45" t="inlineStr">
        <is>
          <t>Помощник машиниста самоходной буровой установки (с исполнением обязанностей пробоотборщика) (Очистное)</t>
        </is>
      </c>
      <c r="B10" s="170" t="n">
        <v>15</v>
      </c>
      <c r="C10" s="170" t="n"/>
      <c r="D10" s="170" t="n"/>
      <c r="E10" s="170" t="n"/>
      <c r="F10" s="170" t="n"/>
      <c r="G10" s="170" t="n"/>
      <c r="H10" s="170" t="n"/>
      <c r="I10" s="170" t="n"/>
      <c r="J10" s="170" t="n"/>
      <c r="K10" s="170" t="n"/>
      <c r="L10" s="170" t="n"/>
      <c r="M10" s="170" t="n"/>
      <c r="N10" s="170" t="n"/>
      <c r="O10" s="171" t="n">
        <v>13</v>
      </c>
      <c r="P10" s="170" t="n"/>
      <c r="Q10" s="171" t="n">
        <v>13</v>
      </c>
    </row>
    <row r="11" ht="18" customHeight="1">
      <c r="A11" s="45" t="inlineStr">
        <is>
          <t>Электромонтер</t>
        </is>
      </c>
      <c r="B11" s="170" t="n">
        <v>6</v>
      </c>
      <c r="C11" s="170" t="n"/>
      <c r="D11" s="171" t="n">
        <v>4</v>
      </c>
      <c r="E11" s="170" t="n"/>
      <c r="F11" s="170" t="n"/>
      <c r="G11" s="170" t="n"/>
      <c r="H11" s="170" t="n"/>
      <c r="I11" s="170" t="n"/>
      <c r="J11" s="170" t="n"/>
      <c r="K11" s="170" t="n"/>
      <c r="L11" s="170" t="n"/>
      <c r="M11" s="170" t="n"/>
      <c r="N11" s="170" t="n"/>
      <c r="O11" s="171" t="n">
        <v>5</v>
      </c>
      <c r="P11" s="171" t="n">
        <v>4</v>
      </c>
      <c r="Q11" s="171" t="n">
        <v>13</v>
      </c>
    </row>
    <row r="12" ht="18" customHeight="1">
      <c r="A12" s="45" t="inlineStr">
        <is>
          <t>Проходчик (с исполнением обязанностей взрывника)</t>
        </is>
      </c>
      <c r="B12" s="170" t="n">
        <v>30</v>
      </c>
      <c r="C12" s="170" t="n"/>
      <c r="D12" s="171" t="n">
        <v>3</v>
      </c>
      <c r="E12" s="170" t="n"/>
      <c r="F12" s="170" t="n"/>
      <c r="G12" s="170" t="n"/>
      <c r="H12" s="170" t="n"/>
      <c r="I12" s="170" t="n"/>
      <c r="J12" s="170" t="n"/>
      <c r="K12" s="170" t="n"/>
      <c r="L12" s="170" t="n"/>
      <c r="M12" s="170" t="n"/>
      <c r="N12" s="170" t="n"/>
      <c r="O12" s="171" t="n">
        <v>6</v>
      </c>
      <c r="P12" s="171" t="n">
        <v>3</v>
      </c>
      <c r="Q12" s="171" t="n">
        <v>12</v>
      </c>
    </row>
    <row r="13" ht="18" customHeight="1">
      <c r="A13" s="45" t="inlineStr">
        <is>
          <t>Аппаратчик сгустителей</t>
        </is>
      </c>
      <c r="B13" s="170" t="n">
        <v>8</v>
      </c>
      <c r="C13" s="170" t="n"/>
      <c r="D13" s="171" t="n">
        <v>3</v>
      </c>
      <c r="E13" s="170" t="n"/>
      <c r="F13" s="170" t="n"/>
      <c r="G13" s="170" t="n"/>
      <c r="H13" s="170" t="n"/>
      <c r="I13" s="170" t="n"/>
      <c r="J13" s="170" t="n"/>
      <c r="K13" s="170" t="n"/>
      <c r="L13" s="170" t="n"/>
      <c r="M13" s="170" t="n"/>
      <c r="N13" s="170" t="n"/>
      <c r="O13" s="171" t="n">
        <v>4</v>
      </c>
      <c r="P13" s="171" t="n">
        <v>3</v>
      </c>
      <c r="Q13" s="171" t="n">
        <v>10</v>
      </c>
    </row>
    <row r="14" ht="18" customHeight="1">
      <c r="A14" s="45" t="inlineStr">
        <is>
          <t>Водитель автомобиля (занятый на транспортировании горной массы в технологическом процессе)</t>
        </is>
      </c>
      <c r="B14" s="170" t="n">
        <v>50</v>
      </c>
      <c r="C14" s="170" t="n"/>
      <c r="D14" s="170" t="n"/>
      <c r="E14" s="170" t="n"/>
      <c r="F14" s="170" t="n"/>
      <c r="G14" s="170" t="n"/>
      <c r="H14" s="170" t="n"/>
      <c r="I14" s="170" t="n"/>
      <c r="J14" s="170" t="n"/>
      <c r="K14" s="170" t="n"/>
      <c r="L14" s="170" t="n"/>
      <c r="M14" s="170" t="n"/>
      <c r="N14" s="170" t="n"/>
      <c r="O14" s="171" t="n">
        <v>10</v>
      </c>
      <c r="P14" s="170" t="n"/>
      <c r="Q14" s="171" t="n">
        <v>10</v>
      </c>
    </row>
    <row r="15" ht="18" customHeight="1">
      <c r="A15" s="45" t="inlineStr">
        <is>
          <t>Машинист бульдозера</t>
        </is>
      </c>
      <c r="B15" s="170" t="n">
        <v>24</v>
      </c>
      <c r="C15" s="170" t="n"/>
      <c r="D15" s="170" t="n"/>
      <c r="E15" s="170" t="n"/>
      <c r="F15" s="170" t="n"/>
      <c r="G15" s="170" t="n"/>
      <c r="H15" s="170" t="n"/>
      <c r="I15" s="170" t="n"/>
      <c r="J15" s="170" t="n"/>
      <c r="K15" s="170" t="n"/>
      <c r="L15" s="170" t="n"/>
      <c r="M15" s="170" t="n"/>
      <c r="N15" s="170" t="n"/>
      <c r="O15" s="171" t="n">
        <v>9</v>
      </c>
      <c r="P15" s="170" t="n"/>
      <c r="Q15" s="171" t="n">
        <v>9</v>
      </c>
    </row>
    <row r="16" ht="18" customHeight="1">
      <c r="A16" s="45" t="inlineStr">
        <is>
          <t>Весовщик</t>
        </is>
      </c>
      <c r="B16" s="170" t="n">
        <v>12</v>
      </c>
      <c r="C16" s="170" t="n"/>
      <c r="D16" s="170" t="n"/>
      <c r="E16" s="170" t="n"/>
      <c r="F16" s="170" t="n"/>
      <c r="G16" s="170" t="n"/>
      <c r="H16" s="170" t="n"/>
      <c r="I16" s="170" t="n"/>
      <c r="J16" s="170" t="n"/>
      <c r="K16" s="170" t="n"/>
      <c r="L16" s="170" t="n"/>
      <c r="M16" s="170" t="n"/>
      <c r="N16" s="170" t="n"/>
      <c r="O16" s="171" t="n">
        <v>8</v>
      </c>
      <c r="P16" s="170" t="n"/>
      <c r="Q16" s="171" t="n">
        <v>8</v>
      </c>
    </row>
    <row r="17" ht="18" customHeight="1">
      <c r="A17" s="45" t="inlineStr">
        <is>
          <t>Машинист погрузочно-доставочной машины (занятый на транспортировании горной массы в технологическом процессе)</t>
        </is>
      </c>
      <c r="B17" s="170" t="n">
        <v>29</v>
      </c>
      <c r="C17" s="170" t="n"/>
      <c r="D17" s="170" t="n"/>
      <c r="E17" s="170" t="n"/>
      <c r="F17" s="170" t="n"/>
      <c r="G17" s="170" t="n"/>
      <c r="H17" s="170" t="n"/>
      <c r="I17" s="170" t="n"/>
      <c r="J17" s="170" t="n"/>
      <c r="K17" s="170" t="n"/>
      <c r="L17" s="170" t="n"/>
      <c r="M17" s="170" t="n"/>
      <c r="N17" s="170" t="n"/>
      <c r="O17" s="171" t="n">
        <v>8</v>
      </c>
      <c r="P17" s="170" t="n"/>
      <c r="Q17" s="171" t="n">
        <v>8</v>
      </c>
    </row>
    <row r="18" ht="18" customHeight="1">
      <c r="A18" s="45" t="inlineStr">
        <is>
          <t>Подсобный рабочий</t>
        </is>
      </c>
      <c r="B18" s="170" t="n">
        <v>28</v>
      </c>
      <c r="C18" s="170" t="n"/>
      <c r="D18" s="170" t="n"/>
      <c r="E18" s="170" t="n"/>
      <c r="F18" s="170" t="n"/>
      <c r="G18" s="170" t="n"/>
      <c r="H18" s="170" t="n"/>
      <c r="I18" s="170" t="n"/>
      <c r="J18" s="170" t="n"/>
      <c r="K18" s="170" t="n"/>
      <c r="L18" s="170" t="n"/>
      <c r="M18" s="170" t="n"/>
      <c r="N18" s="170" t="n"/>
      <c r="O18" s="171" t="n">
        <v>8</v>
      </c>
      <c r="P18" s="170" t="n"/>
      <c r="Q18" s="171" t="n">
        <v>8</v>
      </c>
    </row>
    <row r="19" ht="18" customHeight="1">
      <c r="A19" s="45" t="inlineStr">
        <is>
          <t>Растворщик реагентов</t>
        </is>
      </c>
      <c r="B19" s="170" t="n">
        <v>15</v>
      </c>
      <c r="C19" s="170" t="n"/>
      <c r="D19" s="170" t="n"/>
      <c r="E19" s="170" t="n"/>
      <c r="F19" s="170" t="n"/>
      <c r="G19" s="170" t="n"/>
      <c r="H19" s="170" t="n"/>
      <c r="I19" s="170" t="n"/>
      <c r="J19" s="170" t="n"/>
      <c r="K19" s="170" t="n"/>
      <c r="L19" s="170" t="n"/>
      <c r="M19" s="170" t="n"/>
      <c r="N19" s="170" t="n"/>
      <c r="O19" s="171" t="n">
        <v>8</v>
      </c>
      <c r="P19" s="170" t="n"/>
      <c r="Q19" s="171" t="n">
        <v>8</v>
      </c>
    </row>
    <row r="20" ht="18" customHeight="1">
      <c r="A20" s="45" t="inlineStr">
        <is>
          <t>Бункеровщик</t>
        </is>
      </c>
      <c r="B20" s="170" t="n">
        <v>17</v>
      </c>
      <c r="C20" s="170" t="n"/>
      <c r="D20" s="170" t="n"/>
      <c r="E20" s="170" t="n"/>
      <c r="F20" s="170" t="n"/>
      <c r="G20" s="170" t="n"/>
      <c r="H20" s="170" t="n"/>
      <c r="I20" s="170" t="n"/>
      <c r="J20" s="170" t="n"/>
      <c r="K20" s="170" t="n"/>
      <c r="L20" s="170" t="n"/>
      <c r="M20" s="170" t="n"/>
      <c r="N20" s="170" t="n"/>
      <c r="O20" s="171" t="n">
        <v>7</v>
      </c>
      <c r="P20" s="170" t="n"/>
      <c r="Q20" s="171" t="n">
        <v>7</v>
      </c>
    </row>
    <row r="21" ht="18" customHeight="1">
      <c r="A21" s="45" t="inlineStr">
        <is>
          <t>Горнорабочий на маркшейдерских работах</t>
        </is>
      </c>
      <c r="B21" s="170" t="n">
        <v>9</v>
      </c>
      <c r="C21" s="170" t="n"/>
      <c r="D21" s="170" t="n"/>
      <c r="E21" s="170" t="n"/>
      <c r="F21" s="170" t="n"/>
      <c r="G21" s="170" t="n"/>
      <c r="H21" s="170" t="n"/>
      <c r="I21" s="170" t="n"/>
      <c r="J21" s="170" t="n"/>
      <c r="K21" s="170" t="n"/>
      <c r="L21" s="170" t="n"/>
      <c r="M21" s="170" t="n"/>
      <c r="N21" s="170" t="n"/>
      <c r="O21" s="171" t="n">
        <v>7</v>
      </c>
      <c r="P21" s="170" t="n"/>
      <c r="Q21" s="171" t="n">
        <v>7</v>
      </c>
    </row>
    <row r="22" ht="18" customHeight="1">
      <c r="A22" s="45" t="inlineStr">
        <is>
          <t>Горный диспетчер</t>
        </is>
      </c>
      <c r="B22" s="170" t="n">
        <v>6</v>
      </c>
      <c r="C22" s="171" t="n">
        <v>5</v>
      </c>
      <c r="D22" s="170" t="n"/>
      <c r="E22" s="170" t="n"/>
      <c r="F22" s="170" t="n"/>
      <c r="G22" s="170" t="n"/>
      <c r="H22" s="170" t="n"/>
      <c r="I22" s="170" t="n"/>
      <c r="J22" s="170" t="n"/>
      <c r="K22" s="170" t="n"/>
      <c r="L22" s="170" t="n"/>
      <c r="M22" s="170" t="n"/>
      <c r="N22" s="170" t="n"/>
      <c r="O22" s="171" t="n">
        <v>2</v>
      </c>
      <c r="P22" s="170" t="n"/>
      <c r="Q22" s="171" t="n">
        <v>7</v>
      </c>
    </row>
    <row r="23" ht="18" customHeight="1">
      <c r="A23" s="45" t="inlineStr">
        <is>
          <t>Кухонный рабочий</t>
        </is>
      </c>
      <c r="B23" s="170" t="n">
        <v>26</v>
      </c>
      <c r="C23" s="170" t="n"/>
      <c r="D23" s="170" t="n"/>
      <c r="E23" s="170" t="n"/>
      <c r="F23" s="170" t="n"/>
      <c r="G23" s="170" t="n"/>
      <c r="H23" s="170" t="n"/>
      <c r="I23" s="170" t="n"/>
      <c r="J23" s="170" t="n"/>
      <c r="K23" s="170" t="n"/>
      <c r="L23" s="170" t="n"/>
      <c r="M23" s="170" t="n"/>
      <c r="N23" s="170" t="n"/>
      <c r="O23" s="171" t="n">
        <v>7</v>
      </c>
      <c r="P23" s="170" t="n"/>
      <c r="Q23" s="171" t="n">
        <v>7</v>
      </c>
    </row>
    <row r="24" ht="18" customHeight="1">
      <c r="A24" s="45" t="inlineStr">
        <is>
          <t>Плотник</t>
        </is>
      </c>
      <c r="B24" s="170" t="n">
        <v>14</v>
      </c>
      <c r="C24" s="170" t="n"/>
      <c r="D24" s="170" t="n"/>
      <c r="E24" s="170" t="n"/>
      <c r="F24" s="170" t="n"/>
      <c r="G24" s="170" t="n"/>
      <c r="H24" s="170" t="n"/>
      <c r="I24" s="170" t="n"/>
      <c r="J24" s="170" t="n"/>
      <c r="K24" s="170" t="n"/>
      <c r="L24" s="170" t="n"/>
      <c r="M24" s="170" t="n"/>
      <c r="N24" s="170" t="n"/>
      <c r="O24" s="171" t="n">
        <v>7</v>
      </c>
      <c r="P24" s="170" t="n"/>
      <c r="Q24" s="171" t="n">
        <v>7</v>
      </c>
    </row>
    <row r="25" ht="18" customHeight="1">
      <c r="A25" s="45" t="inlineStr">
        <is>
          <t>Слесарь-ремонтник (по ремонту обогатительного оборудования)</t>
        </is>
      </c>
      <c r="B25" s="170" t="n">
        <v>17</v>
      </c>
      <c r="C25" s="170" t="n"/>
      <c r="D25" s="170" t="n"/>
      <c r="E25" s="170" t="n"/>
      <c r="F25" s="170" t="n"/>
      <c r="G25" s="170" t="n"/>
      <c r="H25" s="170" t="n"/>
      <c r="I25" s="170" t="n"/>
      <c r="J25" s="170" t="n"/>
      <c r="K25" s="170" t="n"/>
      <c r="L25" s="170" t="n"/>
      <c r="M25" s="170" t="n"/>
      <c r="N25" s="170" t="n"/>
      <c r="O25" s="171" t="n">
        <v>7</v>
      </c>
      <c r="P25" s="170" t="n"/>
      <c r="Q25" s="171" t="n">
        <v>7</v>
      </c>
    </row>
    <row r="26" ht="18" customHeight="1">
      <c r="A26" s="45" t="inlineStr">
        <is>
          <t>Водитель погрузчика</t>
        </is>
      </c>
      <c r="B26" s="170" t="n">
        <v>28</v>
      </c>
      <c r="C26" s="170" t="n"/>
      <c r="D26" s="170" t="n"/>
      <c r="E26" s="170" t="n"/>
      <c r="F26" s="170" t="n"/>
      <c r="G26" s="170" t="n"/>
      <c r="H26" s="170" t="n"/>
      <c r="I26" s="170" t="n"/>
      <c r="J26" s="170" t="n"/>
      <c r="K26" s="170" t="n"/>
      <c r="L26" s="170" t="n"/>
      <c r="M26" s="170" t="n"/>
      <c r="N26" s="170" t="n"/>
      <c r="O26" s="171" t="n">
        <v>6</v>
      </c>
      <c r="P26" s="170" t="n"/>
      <c r="Q26" s="171" t="n">
        <v>6</v>
      </c>
    </row>
    <row r="27" ht="18" customHeight="1">
      <c r="A27" s="45" t="inlineStr">
        <is>
          <t>Дробильщик</t>
        </is>
      </c>
      <c r="B27" s="170" t="n">
        <v>34</v>
      </c>
      <c r="C27" s="170" t="n"/>
      <c r="D27" s="170" t="n"/>
      <c r="E27" s="170" t="n"/>
      <c r="F27" s="170" t="n"/>
      <c r="G27" s="170" t="n"/>
      <c r="H27" s="170" t="n"/>
      <c r="I27" s="170" t="n"/>
      <c r="J27" s="170" t="n"/>
      <c r="K27" s="170" t="n"/>
      <c r="L27" s="170" t="n"/>
      <c r="M27" s="170" t="n"/>
      <c r="N27" s="170" t="n"/>
      <c r="O27" s="171" t="n">
        <v>6</v>
      </c>
      <c r="P27" s="170" t="n"/>
      <c r="Q27" s="171" t="n">
        <v>6</v>
      </c>
    </row>
    <row r="28" ht="18" customHeight="1">
      <c r="A28" s="45" t="inlineStr">
        <is>
          <t>Контролер</t>
        </is>
      </c>
      <c r="B28" s="170" t="n">
        <v>6</v>
      </c>
      <c r="C28" s="170" t="n"/>
      <c r="D28" s="170" t="n"/>
      <c r="E28" s="170" t="n"/>
      <c r="F28" s="170" t="n"/>
      <c r="G28" s="170" t="n"/>
      <c r="H28" s="170" t="n"/>
      <c r="I28" s="170" t="n"/>
      <c r="J28" s="170" t="n"/>
      <c r="K28" s="170" t="n"/>
      <c r="L28" s="170" t="n"/>
      <c r="M28" s="170" t="n"/>
      <c r="N28" s="170" t="n"/>
      <c r="O28" s="171" t="n">
        <v>6</v>
      </c>
      <c r="P28" s="170" t="n"/>
      <c r="Q28" s="171" t="n">
        <v>6</v>
      </c>
    </row>
    <row r="29" ht="18" customHeight="1">
      <c r="A29" s="45" t="inlineStr">
        <is>
          <t>Машинист крана автомобильного</t>
        </is>
      </c>
      <c r="B29" s="170" t="n">
        <v>8</v>
      </c>
      <c r="C29" s="170" t="n"/>
      <c r="D29" s="171" t="n">
        <v>2</v>
      </c>
      <c r="E29" s="170" t="n"/>
      <c r="F29" s="170" t="n"/>
      <c r="G29" s="170" t="n"/>
      <c r="H29" s="170" t="n"/>
      <c r="I29" s="170" t="n"/>
      <c r="J29" s="170" t="n"/>
      <c r="K29" s="170" t="n"/>
      <c r="L29" s="170" t="n"/>
      <c r="M29" s="170" t="n"/>
      <c r="N29" s="170" t="n"/>
      <c r="O29" s="171" t="n">
        <v>2</v>
      </c>
      <c r="P29" s="171" t="n">
        <v>2</v>
      </c>
      <c r="Q29" s="171" t="n">
        <v>6</v>
      </c>
    </row>
    <row r="30" ht="18" customHeight="1">
      <c r="A30" s="45" t="inlineStr">
        <is>
          <t>Машинист самоходной буровой установки</t>
        </is>
      </c>
      <c r="B30" s="170" t="n">
        <v>21</v>
      </c>
      <c r="C30" s="170" t="n"/>
      <c r="D30" s="170" t="n"/>
      <c r="E30" s="170" t="n"/>
      <c r="F30" s="170" t="n"/>
      <c r="G30" s="170" t="n"/>
      <c r="H30" s="170" t="n"/>
      <c r="I30" s="170" t="n"/>
      <c r="J30" s="170" t="n"/>
      <c r="K30" s="170" t="n"/>
      <c r="L30" s="170" t="n"/>
      <c r="M30" s="170" t="n"/>
      <c r="N30" s="170" t="n"/>
      <c r="O30" s="171" t="n">
        <v>6</v>
      </c>
      <c r="P30" s="170" t="n"/>
      <c r="Q30" s="171" t="n">
        <v>6</v>
      </c>
    </row>
    <row r="31" ht="18" customHeight="1">
      <c r="A31" s="45" t="inlineStr">
        <is>
          <t>Машинист самоходной буровой установки (Проходка)</t>
        </is>
      </c>
      <c r="B31" s="170" t="n">
        <v>8</v>
      </c>
      <c r="C31" s="170" t="n"/>
      <c r="D31" s="170" t="n"/>
      <c r="E31" s="170" t="n"/>
      <c r="F31" s="170" t="n"/>
      <c r="G31" s="170" t="n"/>
      <c r="H31" s="170" t="n"/>
      <c r="I31" s="170" t="n"/>
      <c r="J31" s="170" t="n"/>
      <c r="K31" s="170" t="n"/>
      <c r="L31" s="170" t="n"/>
      <c r="M31" s="170" t="n"/>
      <c r="N31" s="170" t="n"/>
      <c r="O31" s="171" t="n">
        <v>6</v>
      </c>
      <c r="P31" s="170" t="n"/>
      <c r="Q31" s="171" t="n">
        <v>6</v>
      </c>
    </row>
    <row r="32" ht="18" customHeight="1">
      <c r="A32" s="45" t="inlineStr">
        <is>
          <t>Монтажник по монтажу стальных и железобетонных конструкций</t>
        </is>
      </c>
      <c r="B32" s="170" t="n">
        <v>7</v>
      </c>
      <c r="C32" s="170" t="n"/>
      <c r="D32" s="170" t="n"/>
      <c r="E32" s="170" t="n"/>
      <c r="F32" s="170" t="n"/>
      <c r="G32" s="170" t="n"/>
      <c r="H32" s="170" t="n"/>
      <c r="I32" s="170" t="n"/>
      <c r="J32" s="170" t="n"/>
      <c r="K32" s="170" t="n"/>
      <c r="L32" s="170" t="n"/>
      <c r="M32" s="170" t="n"/>
      <c r="N32" s="170" t="n"/>
      <c r="O32" s="171" t="n">
        <v>6</v>
      </c>
      <c r="P32" s="170" t="n"/>
      <c r="Q32" s="171" t="n">
        <v>6</v>
      </c>
    </row>
    <row r="33" ht="18" customHeight="1">
      <c r="A33" s="45" t="inlineStr">
        <is>
          <t>Пробоотборщик</t>
        </is>
      </c>
      <c r="B33" s="170" t="n">
        <v>18</v>
      </c>
      <c r="C33" s="170" t="n"/>
      <c r="D33" s="170" t="n"/>
      <c r="E33" s="170" t="n"/>
      <c r="F33" s="170" t="n"/>
      <c r="G33" s="170" t="n"/>
      <c r="H33" s="170" t="n"/>
      <c r="I33" s="170" t="n"/>
      <c r="J33" s="170" t="n"/>
      <c r="K33" s="170" t="n"/>
      <c r="L33" s="170" t="n"/>
      <c r="M33" s="170" t="n"/>
      <c r="N33" s="170" t="n"/>
      <c r="O33" s="171" t="n">
        <v>6</v>
      </c>
      <c r="P33" s="170" t="n"/>
      <c r="Q33" s="171" t="n">
        <v>6</v>
      </c>
    </row>
    <row r="34" ht="18" customHeight="1">
      <c r="A34" s="45" t="inlineStr">
        <is>
          <t>Машинист двигателей внутреннего сгорания</t>
        </is>
      </c>
      <c r="B34" s="170" t="n">
        <v>18</v>
      </c>
      <c r="C34" s="170" t="n"/>
      <c r="D34" s="170" t="n"/>
      <c r="E34" s="170" t="n"/>
      <c r="F34" s="170" t="n"/>
      <c r="G34" s="170" t="n"/>
      <c r="H34" s="170" t="n"/>
      <c r="I34" s="170" t="n"/>
      <c r="J34" s="170" t="n"/>
      <c r="K34" s="170" t="n"/>
      <c r="L34" s="170" t="n"/>
      <c r="M34" s="170" t="n"/>
      <c r="N34" s="170" t="n"/>
      <c r="O34" s="171" t="n">
        <v>5</v>
      </c>
      <c r="P34" s="170" t="n"/>
      <c r="Q34" s="171" t="n">
        <v>5</v>
      </c>
    </row>
    <row r="35" ht="18" customHeight="1">
      <c r="A35" s="45" t="inlineStr">
        <is>
          <t>Машинист подземных самоходных машин</t>
        </is>
      </c>
      <c r="B35" s="170" t="n">
        <v>7</v>
      </c>
      <c r="C35" s="170" t="n"/>
      <c r="D35" s="170" t="n"/>
      <c r="E35" s="170" t="n"/>
      <c r="F35" s="170" t="n"/>
      <c r="G35" s="170" t="n"/>
      <c r="H35" s="170" t="n"/>
      <c r="I35" s="170" t="n"/>
      <c r="J35" s="170" t="n"/>
      <c r="K35" s="170" t="n"/>
      <c r="L35" s="170" t="n"/>
      <c r="M35" s="170" t="n"/>
      <c r="N35" s="170" t="n"/>
      <c r="O35" s="171" t="n">
        <v>5</v>
      </c>
      <c r="P35" s="170" t="n"/>
      <c r="Q35" s="171" t="n">
        <v>5</v>
      </c>
    </row>
    <row r="36" ht="18" customHeight="1">
      <c r="A36" s="45" t="inlineStr">
        <is>
          <t>Водитель автомобиля (категория Д)</t>
        </is>
      </c>
      <c r="B36" s="170" t="n">
        <v>19</v>
      </c>
      <c r="C36" s="170" t="n"/>
      <c r="D36" s="170" t="n"/>
      <c r="E36" s="170" t="n"/>
      <c r="F36" s="170" t="n"/>
      <c r="G36" s="170" t="n"/>
      <c r="H36" s="170" t="n"/>
      <c r="I36" s="170" t="n"/>
      <c r="J36" s="170" t="n"/>
      <c r="K36" s="170" t="n"/>
      <c r="L36" s="170" t="n"/>
      <c r="M36" s="170" t="n"/>
      <c r="N36" s="170" t="n"/>
      <c r="O36" s="171" t="n">
        <v>4</v>
      </c>
      <c r="P36" s="170" t="n"/>
      <c r="Q36" s="171" t="n">
        <v>4</v>
      </c>
    </row>
    <row r="37" ht="18" customHeight="1">
      <c r="A37" s="45" t="inlineStr">
        <is>
          <t>Машинист буровой установки</t>
        </is>
      </c>
      <c r="B37" s="170" t="n">
        <v>4</v>
      </c>
      <c r="C37" s="170" t="n"/>
      <c r="D37" s="170" t="n"/>
      <c r="E37" s="170" t="n"/>
      <c r="F37" s="170" t="n"/>
      <c r="G37" s="170" t="n"/>
      <c r="H37" s="170" t="n"/>
      <c r="I37" s="170" t="n"/>
      <c r="J37" s="170" t="n"/>
      <c r="K37" s="170" t="n"/>
      <c r="L37" s="170" t="n"/>
      <c r="M37" s="170" t="n"/>
      <c r="N37" s="170" t="n"/>
      <c r="O37" s="171" t="n">
        <v>4</v>
      </c>
      <c r="P37" s="170" t="n"/>
      <c r="Q37" s="171" t="n">
        <v>4</v>
      </c>
    </row>
    <row r="38" ht="18" customHeight="1">
      <c r="A38" s="45" t="inlineStr">
        <is>
          <t>Машинист насосных установок</t>
        </is>
      </c>
      <c r="B38" s="170" t="n">
        <v>11</v>
      </c>
      <c r="C38" s="170" t="n"/>
      <c r="D38" s="170" t="n"/>
      <c r="E38" s="170" t="n"/>
      <c r="F38" s="170" t="n"/>
      <c r="G38" s="170" t="n"/>
      <c r="H38" s="170" t="n"/>
      <c r="I38" s="170" t="n"/>
      <c r="J38" s="170" t="n"/>
      <c r="K38" s="170" t="n"/>
      <c r="L38" s="170" t="n"/>
      <c r="M38" s="170" t="n"/>
      <c r="N38" s="170" t="n"/>
      <c r="O38" s="171" t="n">
        <v>4</v>
      </c>
      <c r="P38" s="170" t="n"/>
      <c r="Q38" s="171" t="n">
        <v>4</v>
      </c>
    </row>
    <row r="39" ht="18" customHeight="1">
      <c r="A39" s="45" t="inlineStr">
        <is>
          <t>Оператор дизельных котлов</t>
        </is>
      </c>
      <c r="B39" s="170" t="n">
        <v>14</v>
      </c>
      <c r="C39" s="170" t="n"/>
      <c r="D39" s="170" t="n"/>
      <c r="E39" s="170" t="n"/>
      <c r="F39" s="170" t="n"/>
      <c r="G39" s="170" t="n"/>
      <c r="H39" s="170" t="n"/>
      <c r="I39" s="170" t="n"/>
      <c r="J39" s="170" t="n"/>
      <c r="K39" s="170" t="n"/>
      <c r="L39" s="170" t="n"/>
      <c r="M39" s="170" t="n"/>
      <c r="N39" s="170" t="n"/>
      <c r="O39" s="171" t="n">
        <v>4</v>
      </c>
      <c r="P39" s="170" t="n"/>
      <c r="Q39" s="171" t="n">
        <v>4</v>
      </c>
    </row>
    <row r="40" ht="18" customHeight="1">
      <c r="A40" s="45" t="inlineStr">
        <is>
          <t>Помощник машиниста буровой установки</t>
        </is>
      </c>
      <c r="B40" s="170" t="n">
        <v>4</v>
      </c>
      <c r="C40" s="170" t="n"/>
      <c r="D40" s="170" t="n"/>
      <c r="E40" s="170" t="n"/>
      <c r="F40" s="170" t="n"/>
      <c r="G40" s="170" t="n"/>
      <c r="H40" s="170" t="n"/>
      <c r="I40" s="170" t="n"/>
      <c r="J40" s="170" t="n"/>
      <c r="K40" s="170" t="n"/>
      <c r="L40" s="170" t="n"/>
      <c r="M40" s="170" t="n"/>
      <c r="N40" s="170" t="n"/>
      <c r="O40" s="171" t="n">
        <v>4</v>
      </c>
      <c r="P40" s="170" t="n"/>
      <c r="Q40" s="171" t="n">
        <v>4</v>
      </c>
    </row>
    <row r="41" ht="18" customHeight="1">
      <c r="A41" s="45" t="inlineStr">
        <is>
          <t>Стропальщик (с исполнением обязанностей грузчика)</t>
        </is>
      </c>
      <c r="B41" s="170" t="n">
        <v>10</v>
      </c>
      <c r="C41" s="170" t="n"/>
      <c r="D41" s="170" t="n"/>
      <c r="E41" s="170" t="n"/>
      <c r="F41" s="170" t="n"/>
      <c r="G41" s="170" t="n"/>
      <c r="H41" s="170" t="n"/>
      <c r="I41" s="170" t="n"/>
      <c r="J41" s="170" t="n"/>
      <c r="K41" s="170" t="n"/>
      <c r="L41" s="170" t="n"/>
      <c r="M41" s="170" t="n"/>
      <c r="N41" s="170" t="n"/>
      <c r="O41" s="171" t="n">
        <v>4</v>
      </c>
      <c r="P41" s="170" t="n"/>
      <c r="Q41" s="171" t="n">
        <v>4</v>
      </c>
    </row>
    <row r="42" ht="18" customHeight="1">
      <c r="A42" s="45" t="inlineStr">
        <is>
          <t>Бетонщик</t>
        </is>
      </c>
      <c r="B42" s="170" t="n">
        <v>3</v>
      </c>
      <c r="C42" s="170" t="n"/>
      <c r="D42" s="170" t="n"/>
      <c r="E42" s="170" t="n"/>
      <c r="F42" s="170" t="n"/>
      <c r="G42" s="170" t="n"/>
      <c r="H42" s="170" t="n"/>
      <c r="I42" s="170" t="n"/>
      <c r="J42" s="170" t="n"/>
      <c r="K42" s="170" t="n"/>
      <c r="L42" s="170" t="n"/>
      <c r="M42" s="170" t="n"/>
      <c r="N42" s="170" t="n"/>
      <c r="O42" s="171" t="n">
        <v>3</v>
      </c>
      <c r="P42" s="170" t="n"/>
      <c r="Q42" s="171" t="n">
        <v>3</v>
      </c>
    </row>
    <row r="43" ht="18" customHeight="1">
      <c r="A43" s="45" t="inlineStr">
        <is>
          <t>Водитель автомобиля (категория С)</t>
        </is>
      </c>
      <c r="B43" s="170" t="n">
        <v>7</v>
      </c>
      <c r="C43" s="170" t="n"/>
      <c r="D43" s="170" t="n"/>
      <c r="E43" s="170" t="n"/>
      <c r="F43" s="170" t="n"/>
      <c r="G43" s="170" t="n"/>
      <c r="H43" s="170" t="n"/>
      <c r="I43" s="170" t="n"/>
      <c r="J43" s="170" t="n"/>
      <c r="K43" s="170" t="n"/>
      <c r="L43" s="170" t="n"/>
      <c r="M43" s="170" t="n"/>
      <c r="N43" s="170" t="n"/>
      <c r="O43" s="171" t="n">
        <v>3</v>
      </c>
      <c r="P43" s="170" t="n"/>
      <c r="Q43" s="171" t="n">
        <v>3</v>
      </c>
    </row>
    <row r="44" ht="18" customHeight="1">
      <c r="A44" s="45" t="inlineStr">
        <is>
          <t>Горнорабочий на геологических работах</t>
        </is>
      </c>
      <c r="B44" s="170" t="n">
        <v>6</v>
      </c>
      <c r="C44" s="170" t="n"/>
      <c r="D44" s="170" t="n"/>
      <c r="E44" s="170" t="n"/>
      <c r="F44" s="170" t="n"/>
      <c r="G44" s="170" t="n"/>
      <c r="H44" s="170" t="n"/>
      <c r="I44" s="170" t="n"/>
      <c r="J44" s="170" t="n"/>
      <c r="K44" s="170" t="n"/>
      <c r="L44" s="170" t="n"/>
      <c r="M44" s="170" t="n"/>
      <c r="N44" s="170" t="n"/>
      <c r="O44" s="171" t="n">
        <v>3</v>
      </c>
      <c r="P44" s="170" t="n"/>
      <c r="Q44" s="171" t="n">
        <v>3</v>
      </c>
    </row>
    <row r="45" ht="18" customHeight="1">
      <c r="A45" s="45" t="inlineStr">
        <is>
          <t>Крепильщик</t>
        </is>
      </c>
      <c r="B45" s="170" t="n">
        <v>14</v>
      </c>
      <c r="C45" s="170" t="n"/>
      <c r="D45" s="170" t="n"/>
      <c r="E45" s="170" t="n"/>
      <c r="F45" s="170" t="n"/>
      <c r="G45" s="170" t="n"/>
      <c r="H45" s="170" t="n"/>
      <c r="I45" s="170" t="n"/>
      <c r="J45" s="170" t="n"/>
      <c r="K45" s="170" t="n"/>
      <c r="L45" s="170" t="n"/>
      <c r="M45" s="170" t="n"/>
      <c r="N45" s="170" t="n"/>
      <c r="O45" s="171" t="n">
        <v>3</v>
      </c>
      <c r="P45" s="170" t="n"/>
      <c r="Q45" s="171" t="n">
        <v>3</v>
      </c>
    </row>
    <row r="46" ht="18" customHeight="1">
      <c r="A46" s="45" t="inlineStr">
        <is>
          <t>Лаборант химического анализа</t>
        </is>
      </c>
      <c r="B46" s="170" t="n">
        <v>7</v>
      </c>
      <c r="C46" s="170" t="n"/>
      <c r="D46" s="170" t="n"/>
      <c r="E46" s="170" t="n"/>
      <c r="F46" s="170" t="n"/>
      <c r="G46" s="170" t="n"/>
      <c r="H46" s="170" t="n"/>
      <c r="I46" s="170" t="n"/>
      <c r="J46" s="170" t="n"/>
      <c r="K46" s="170" t="n"/>
      <c r="L46" s="170" t="n"/>
      <c r="M46" s="170" t="n"/>
      <c r="N46" s="170" t="n"/>
      <c r="O46" s="171" t="n">
        <v>3</v>
      </c>
      <c r="P46" s="170" t="n"/>
      <c r="Q46" s="171" t="n">
        <v>3</v>
      </c>
    </row>
    <row r="47" ht="18" customHeight="1">
      <c r="A47" s="45" t="inlineStr">
        <is>
          <t>Машинист погрузочно-доставочной машины</t>
        </is>
      </c>
      <c r="B47" s="170" t="n">
        <v>22</v>
      </c>
      <c r="C47" s="170" t="n"/>
      <c r="D47" s="170" t="n"/>
      <c r="E47" s="170" t="n"/>
      <c r="F47" s="170" t="n"/>
      <c r="G47" s="170" t="n"/>
      <c r="H47" s="170" t="n"/>
      <c r="I47" s="170" t="n"/>
      <c r="J47" s="170" t="n"/>
      <c r="K47" s="170" t="n"/>
      <c r="L47" s="170" t="n"/>
      <c r="M47" s="170" t="n"/>
      <c r="N47" s="170" t="n"/>
      <c r="O47" s="171" t="n">
        <v>3</v>
      </c>
      <c r="P47" s="170" t="n"/>
      <c r="Q47" s="171" t="n">
        <v>3</v>
      </c>
    </row>
    <row r="48" ht="18" customHeight="1">
      <c r="A48" s="45" t="inlineStr">
        <is>
          <t>Машинист самоходной буровой установки (Очистное)</t>
        </is>
      </c>
      <c r="B48" s="170" t="n">
        <v>4</v>
      </c>
      <c r="C48" s="170" t="n"/>
      <c r="D48" s="170" t="n"/>
      <c r="E48" s="170" t="n"/>
      <c r="F48" s="170" t="n"/>
      <c r="G48" s="170" t="n"/>
      <c r="H48" s="170" t="n"/>
      <c r="I48" s="170" t="n"/>
      <c r="J48" s="170" t="n"/>
      <c r="K48" s="170" t="n"/>
      <c r="L48" s="170" t="n"/>
      <c r="M48" s="170" t="n"/>
      <c r="N48" s="170" t="n"/>
      <c r="O48" s="171" t="n">
        <v>3</v>
      </c>
      <c r="P48" s="170" t="n"/>
      <c r="Q48" s="171" t="n">
        <v>3</v>
      </c>
    </row>
    <row r="49" ht="18" customHeight="1">
      <c r="A49" s="45" t="inlineStr">
        <is>
          <t>Промывальщик геологических проб</t>
        </is>
      </c>
      <c r="B49" s="170" t="n">
        <v>4</v>
      </c>
      <c r="C49" s="170" t="n"/>
      <c r="D49" s="170" t="n"/>
      <c r="E49" s="170" t="n"/>
      <c r="F49" s="170" t="n"/>
      <c r="G49" s="170" t="n"/>
      <c r="H49" s="170" t="n"/>
      <c r="I49" s="170" t="n"/>
      <c r="J49" s="170" t="n"/>
      <c r="K49" s="170" t="n"/>
      <c r="L49" s="170" t="n"/>
      <c r="M49" s="170" t="n"/>
      <c r="N49" s="170" t="n"/>
      <c r="O49" s="171" t="n">
        <v>3</v>
      </c>
      <c r="P49" s="170" t="n"/>
      <c r="Q49" s="171" t="n">
        <v>3</v>
      </c>
    </row>
    <row r="50" ht="18" customHeight="1">
      <c r="A50" s="45" t="inlineStr">
        <is>
          <t>Слесарь по ремонту автомобилей (ДВС)</t>
        </is>
      </c>
      <c r="B50" s="170" t="n">
        <v>4</v>
      </c>
      <c r="C50" s="170" t="n"/>
      <c r="D50" s="170" t="n"/>
      <c r="E50" s="170" t="n"/>
      <c r="F50" s="170" t="n"/>
      <c r="G50" s="170" t="n"/>
      <c r="H50" s="170" t="n"/>
      <c r="I50" s="170" t="n"/>
      <c r="J50" s="170" t="n"/>
      <c r="K50" s="170" t="n"/>
      <c r="L50" s="170" t="n"/>
      <c r="M50" s="170" t="n"/>
      <c r="N50" s="170" t="n"/>
      <c r="O50" s="171" t="n">
        <v>3</v>
      </c>
      <c r="P50" s="170" t="n"/>
      <c r="Q50" s="171" t="n">
        <v>3</v>
      </c>
    </row>
    <row r="51" ht="18" customHeight="1">
      <c r="A51" s="45" t="inlineStr">
        <is>
          <t>Слесарь-ремонтник (по ремонту самоходной техники)</t>
        </is>
      </c>
      <c r="B51" s="170" t="n">
        <v>9</v>
      </c>
      <c r="C51" s="170" t="n"/>
      <c r="D51" s="170" t="n"/>
      <c r="E51" s="170" t="n"/>
      <c r="F51" s="170" t="n"/>
      <c r="G51" s="170" t="n"/>
      <c r="H51" s="170" t="n"/>
      <c r="I51" s="170" t="n"/>
      <c r="J51" s="170" t="n"/>
      <c r="K51" s="170" t="n"/>
      <c r="L51" s="170" t="n"/>
      <c r="M51" s="170" t="n"/>
      <c r="N51" s="170" t="n"/>
      <c r="O51" s="171" t="n">
        <v>3</v>
      </c>
      <c r="P51" s="170" t="n"/>
      <c r="Q51" s="171" t="n">
        <v>3</v>
      </c>
    </row>
    <row r="52" ht="18" customHeight="1">
      <c r="A52" s="45" t="inlineStr">
        <is>
          <t>Слесарь-электрик по ремонту электрооборудования</t>
        </is>
      </c>
      <c r="B52" s="170" t="n">
        <v>6</v>
      </c>
      <c r="C52" s="170" t="n"/>
      <c r="D52" s="170" t="n"/>
      <c r="E52" s="170" t="n"/>
      <c r="F52" s="170" t="n"/>
      <c r="G52" s="170" t="n"/>
      <c r="H52" s="170" t="n"/>
      <c r="I52" s="170" t="n"/>
      <c r="J52" s="170" t="n"/>
      <c r="K52" s="170" t="n"/>
      <c r="L52" s="170" t="n"/>
      <c r="M52" s="170" t="n"/>
      <c r="N52" s="170" t="n"/>
      <c r="O52" s="171" t="n">
        <v>3</v>
      </c>
      <c r="P52" s="170" t="n"/>
      <c r="Q52" s="171" t="n">
        <v>3</v>
      </c>
    </row>
    <row r="53" ht="18" customHeight="1">
      <c r="A53" s="45" t="inlineStr">
        <is>
          <t>Уборщик производственных и служебных помещений</t>
        </is>
      </c>
      <c r="B53" s="170" t="n">
        <v>10</v>
      </c>
      <c r="C53" s="170" t="n"/>
      <c r="D53" s="170" t="n"/>
      <c r="E53" s="170" t="n"/>
      <c r="F53" s="170" t="n"/>
      <c r="G53" s="170" t="n"/>
      <c r="H53" s="170" t="n"/>
      <c r="I53" s="170" t="n"/>
      <c r="J53" s="170" t="n"/>
      <c r="K53" s="170" t="n"/>
      <c r="L53" s="170" t="n"/>
      <c r="M53" s="170" t="n"/>
      <c r="N53" s="170" t="n"/>
      <c r="O53" s="171" t="n">
        <v>3</v>
      </c>
      <c r="P53" s="170" t="n"/>
      <c r="Q53" s="171" t="n">
        <v>3</v>
      </c>
    </row>
    <row r="54" ht="18" customHeight="1">
      <c r="A54" s="45" t="inlineStr">
        <is>
          <t>Электрослесарь (слесарь) дежурный и по ремонту оборудования подземного горного участка</t>
        </is>
      </c>
      <c r="B54" s="170" t="n">
        <v>10</v>
      </c>
      <c r="C54" s="170" t="n"/>
      <c r="D54" s="170" t="n"/>
      <c r="E54" s="170" t="n"/>
      <c r="F54" s="170" t="n"/>
      <c r="G54" s="170" t="n"/>
      <c r="H54" s="170" t="n"/>
      <c r="I54" s="170" t="n"/>
      <c r="J54" s="170" t="n"/>
      <c r="K54" s="170" t="n"/>
      <c r="L54" s="170" t="n"/>
      <c r="M54" s="170" t="n"/>
      <c r="N54" s="170" t="n"/>
      <c r="O54" s="171" t="n">
        <v>3</v>
      </c>
      <c r="P54" s="170" t="n"/>
      <c r="Q54" s="171" t="n">
        <v>3</v>
      </c>
    </row>
    <row r="55" ht="18" customHeight="1">
      <c r="A55" s="45" t="inlineStr">
        <is>
          <t>Вальщик леса</t>
        </is>
      </c>
      <c r="B55" s="170" t="n">
        <v>2</v>
      </c>
      <c r="C55" s="170" t="n"/>
      <c r="D55" s="170" t="n"/>
      <c r="E55" s="170" t="n"/>
      <c r="F55" s="170" t="n"/>
      <c r="G55" s="170" t="n"/>
      <c r="H55" s="170" t="n"/>
      <c r="I55" s="170" t="n"/>
      <c r="J55" s="170" t="n"/>
      <c r="K55" s="170" t="n"/>
      <c r="L55" s="170" t="n"/>
      <c r="M55" s="170" t="n"/>
      <c r="N55" s="170" t="n"/>
      <c r="O55" s="171" t="n">
        <v>2</v>
      </c>
      <c r="P55" s="170" t="n"/>
      <c r="Q55" s="171" t="n">
        <v>2</v>
      </c>
    </row>
    <row r="56" ht="18" customHeight="1">
      <c r="A56" s="45" t="inlineStr">
        <is>
          <t>Водитель автомобиля (с правом управления КМУ)</t>
        </is>
      </c>
      <c r="B56" s="170" t="n">
        <v>2</v>
      </c>
      <c r="C56" s="170" t="n"/>
      <c r="D56" s="170" t="n"/>
      <c r="E56" s="170" t="n"/>
      <c r="F56" s="170" t="n"/>
      <c r="G56" s="170" t="n"/>
      <c r="H56" s="170" t="n"/>
      <c r="I56" s="170" t="n"/>
      <c r="J56" s="170" t="n"/>
      <c r="K56" s="170" t="n"/>
      <c r="L56" s="170" t="n"/>
      <c r="M56" s="170" t="n"/>
      <c r="N56" s="170" t="n"/>
      <c r="O56" s="171" t="n">
        <v>2</v>
      </c>
      <c r="P56" s="170" t="n"/>
      <c r="Q56" s="171" t="n">
        <v>2</v>
      </c>
    </row>
    <row r="57" ht="18" customHeight="1">
      <c r="A57" s="45" t="inlineStr">
        <is>
          <t>Горничная</t>
        </is>
      </c>
      <c r="B57" s="170" t="n">
        <v>2</v>
      </c>
      <c r="C57" s="170" t="n"/>
      <c r="D57" s="170" t="n"/>
      <c r="E57" s="170" t="n"/>
      <c r="F57" s="170" t="n"/>
      <c r="G57" s="170" t="n"/>
      <c r="H57" s="170" t="n"/>
      <c r="I57" s="170" t="n"/>
      <c r="J57" s="170" t="n"/>
      <c r="K57" s="170" t="n"/>
      <c r="L57" s="170" t="n"/>
      <c r="M57" s="170" t="n"/>
      <c r="N57" s="170" t="n"/>
      <c r="O57" s="171" t="n">
        <v>2</v>
      </c>
      <c r="P57" s="170" t="n"/>
      <c r="Q57" s="171" t="n">
        <v>2</v>
      </c>
    </row>
    <row r="58" ht="18" customHeight="1">
      <c r="A58" s="45" t="inlineStr">
        <is>
          <t>Горнорабочий</t>
        </is>
      </c>
      <c r="B58" s="170" t="n">
        <v>6</v>
      </c>
      <c r="C58" s="170" t="n"/>
      <c r="D58" s="170" t="n"/>
      <c r="E58" s="170" t="n"/>
      <c r="F58" s="170" t="n"/>
      <c r="G58" s="170" t="n"/>
      <c r="H58" s="170" t="n"/>
      <c r="I58" s="170" t="n"/>
      <c r="J58" s="170" t="n"/>
      <c r="K58" s="170" t="n"/>
      <c r="L58" s="170" t="n"/>
      <c r="M58" s="170" t="n"/>
      <c r="N58" s="170" t="n"/>
      <c r="O58" s="171" t="n">
        <v>2</v>
      </c>
      <c r="P58" s="170" t="n"/>
      <c r="Q58" s="171" t="n">
        <v>2</v>
      </c>
    </row>
    <row r="59" ht="18" customHeight="1">
      <c r="A59" s="45" t="inlineStr">
        <is>
          <t>Горный мастер</t>
        </is>
      </c>
      <c r="B59" s="170" t="n">
        <v>3</v>
      </c>
      <c r="C59" s="170" t="n"/>
      <c r="D59" s="170" t="n"/>
      <c r="E59" s="170" t="n"/>
      <c r="F59" s="170" t="n"/>
      <c r="G59" s="170" t="n"/>
      <c r="H59" s="170" t="n"/>
      <c r="I59" s="170" t="n"/>
      <c r="J59" s="170" t="n"/>
      <c r="K59" s="170" t="n"/>
      <c r="L59" s="170" t="n"/>
      <c r="M59" s="170" t="n"/>
      <c r="N59" s="170" t="n"/>
      <c r="O59" s="171" t="n">
        <v>2</v>
      </c>
      <c r="P59" s="170" t="n"/>
      <c r="Q59" s="171" t="n">
        <v>2</v>
      </c>
    </row>
    <row r="60" ht="18" customHeight="1">
      <c r="A60" s="45" t="inlineStr">
        <is>
          <t>Грузчик</t>
        </is>
      </c>
      <c r="B60" s="170" t="n">
        <v>4</v>
      </c>
      <c r="C60" s="170" t="n"/>
      <c r="D60" s="170" t="n"/>
      <c r="E60" s="170" t="n"/>
      <c r="F60" s="170" t="n"/>
      <c r="G60" s="170" t="n"/>
      <c r="H60" s="170" t="n"/>
      <c r="I60" s="170" t="n"/>
      <c r="J60" s="170" t="n"/>
      <c r="K60" s="170" t="n"/>
      <c r="L60" s="170" t="n"/>
      <c r="M60" s="170" t="n"/>
      <c r="N60" s="170" t="n"/>
      <c r="O60" s="171" t="n">
        <v>2</v>
      </c>
      <c r="P60" s="170" t="n"/>
      <c r="Q60" s="171" t="n">
        <v>2</v>
      </c>
    </row>
    <row r="61" ht="18" customHeight="1">
      <c r="A61" s="45" t="inlineStr">
        <is>
          <t>Инженер-исследователь</t>
        </is>
      </c>
      <c r="B61" s="170" t="n">
        <v>2</v>
      </c>
      <c r="C61" s="170" t="n"/>
      <c r="D61" s="170" t="n"/>
      <c r="E61" s="170" t="n"/>
      <c r="F61" s="170" t="n"/>
      <c r="G61" s="170" t="n"/>
      <c r="H61" s="170" t="n"/>
      <c r="I61" s="170" t="n"/>
      <c r="J61" s="170" t="n"/>
      <c r="K61" s="170" t="n"/>
      <c r="L61" s="170" t="n"/>
      <c r="M61" s="170" t="n"/>
      <c r="N61" s="170" t="n"/>
      <c r="O61" s="171" t="n">
        <v>1</v>
      </c>
      <c r="P61" s="171" t="n">
        <v>1</v>
      </c>
      <c r="Q61" s="171" t="n">
        <v>2</v>
      </c>
    </row>
    <row r="62" ht="18" customHeight="1">
      <c r="A62" s="45" t="inlineStr">
        <is>
          <t>Кладовщик</t>
        </is>
      </c>
      <c r="B62" s="170" t="n">
        <v>8</v>
      </c>
      <c r="C62" s="170" t="n"/>
      <c r="D62" s="170" t="n"/>
      <c r="E62" s="170" t="n"/>
      <c r="F62" s="170" t="n"/>
      <c r="G62" s="170" t="n"/>
      <c r="H62" s="170" t="n"/>
      <c r="I62" s="170" t="n"/>
      <c r="J62" s="170" t="n"/>
      <c r="K62" s="170" t="n"/>
      <c r="L62" s="170" t="n"/>
      <c r="M62" s="170" t="n"/>
      <c r="N62" s="170" t="n"/>
      <c r="O62" s="171" t="n">
        <v>2</v>
      </c>
      <c r="P62" s="170" t="n"/>
      <c r="Q62" s="171" t="n">
        <v>2</v>
      </c>
    </row>
    <row r="63" ht="18" customHeight="1">
      <c r="A63" s="45" t="inlineStr">
        <is>
          <t>Лаборант пробирного анализа</t>
        </is>
      </c>
      <c r="B63" s="170" t="n">
        <v>13</v>
      </c>
      <c r="C63" s="170" t="n"/>
      <c r="D63" s="170" t="n"/>
      <c r="E63" s="170" t="n"/>
      <c r="F63" s="170" t="n"/>
      <c r="G63" s="170" t="n"/>
      <c r="H63" s="170" t="n"/>
      <c r="I63" s="170" t="n"/>
      <c r="J63" s="170" t="n"/>
      <c r="K63" s="170" t="n"/>
      <c r="L63" s="170" t="n"/>
      <c r="M63" s="170" t="n"/>
      <c r="N63" s="170" t="n"/>
      <c r="O63" s="171" t="n">
        <v>2</v>
      </c>
      <c r="P63" s="170" t="n"/>
      <c r="Q63" s="171" t="n">
        <v>2</v>
      </c>
    </row>
    <row r="64" ht="18" customHeight="1">
      <c r="A64" s="45" t="inlineStr">
        <is>
          <t>Машинист конвейера</t>
        </is>
      </c>
      <c r="B64" s="170" t="n">
        <v>6</v>
      </c>
      <c r="C64" s="170" t="n"/>
      <c r="D64" s="170" t="n"/>
      <c r="E64" s="170" t="n"/>
      <c r="F64" s="170" t="n"/>
      <c r="G64" s="170" t="n"/>
      <c r="H64" s="170" t="n"/>
      <c r="I64" s="170" t="n"/>
      <c r="J64" s="170" t="n"/>
      <c r="K64" s="170" t="n"/>
      <c r="L64" s="170" t="n"/>
      <c r="M64" s="170" t="n"/>
      <c r="N64" s="170" t="n"/>
      <c r="O64" s="171" t="n">
        <v>2</v>
      </c>
      <c r="P64" s="170" t="n"/>
      <c r="Q64" s="171" t="n">
        <v>2</v>
      </c>
    </row>
    <row r="65" ht="18" customHeight="1">
      <c r="A65" s="45" t="inlineStr">
        <is>
          <t>Машинист крана автомобильного (КМУ)</t>
        </is>
      </c>
      <c r="B65" s="170" t="n">
        <v>3</v>
      </c>
      <c r="C65" s="170" t="n"/>
      <c r="D65" s="170" t="n"/>
      <c r="E65" s="170" t="n"/>
      <c r="F65" s="170" t="n"/>
      <c r="G65" s="170" t="n"/>
      <c r="H65" s="170" t="n"/>
      <c r="I65" s="170" t="n"/>
      <c r="J65" s="170" t="n"/>
      <c r="K65" s="170" t="n"/>
      <c r="L65" s="170" t="n"/>
      <c r="M65" s="170" t="n"/>
      <c r="N65" s="170" t="n"/>
      <c r="O65" s="171" t="n">
        <v>2</v>
      </c>
      <c r="P65" s="170" t="n"/>
      <c r="Q65" s="171" t="n">
        <v>2</v>
      </c>
    </row>
    <row r="66" ht="18" customHeight="1">
      <c r="A66" s="45" t="inlineStr">
        <is>
          <t>Машинист мельниц</t>
        </is>
      </c>
      <c r="B66" s="170" t="n">
        <v>10</v>
      </c>
      <c r="C66" s="170" t="n"/>
      <c r="D66" s="170" t="n"/>
      <c r="E66" s="170" t="n"/>
      <c r="F66" s="170" t="n"/>
      <c r="G66" s="170" t="n"/>
      <c r="H66" s="170" t="n"/>
      <c r="I66" s="170" t="n"/>
      <c r="J66" s="170" t="n"/>
      <c r="K66" s="170" t="n"/>
      <c r="L66" s="170" t="n"/>
      <c r="M66" s="170" t="n"/>
      <c r="N66" s="170" t="n"/>
      <c r="O66" s="171" t="n">
        <v>2</v>
      </c>
      <c r="P66" s="170" t="n"/>
      <c r="Q66" s="171" t="n">
        <v>2</v>
      </c>
    </row>
    <row r="67" ht="18" customHeight="1">
      <c r="A67" s="45" t="inlineStr">
        <is>
          <t>Механик</t>
        </is>
      </c>
      <c r="B67" s="170" t="n">
        <v>4</v>
      </c>
      <c r="C67" s="170" t="n"/>
      <c r="D67" s="170" t="n"/>
      <c r="E67" s="170" t="n"/>
      <c r="F67" s="170" t="n"/>
      <c r="G67" s="170" t="n"/>
      <c r="H67" s="170" t="n"/>
      <c r="I67" s="170" t="n"/>
      <c r="J67" s="170" t="n"/>
      <c r="K67" s="170" t="n"/>
      <c r="L67" s="170" t="n"/>
      <c r="M67" s="170" t="n"/>
      <c r="N67" s="170" t="n"/>
      <c r="O67" s="171" t="n">
        <v>2</v>
      </c>
      <c r="P67" s="170" t="n"/>
      <c r="Q67" s="171" t="n">
        <v>2</v>
      </c>
    </row>
    <row r="68" ht="18" customHeight="1">
      <c r="A68" s="45" t="inlineStr">
        <is>
          <t>Раздатчик взрывчатых материалов</t>
        </is>
      </c>
      <c r="B68" s="170" t="n">
        <v>3</v>
      </c>
      <c r="C68" s="170" t="n"/>
      <c r="D68" s="170" t="n"/>
      <c r="E68" s="170" t="n"/>
      <c r="F68" s="170" t="n"/>
      <c r="G68" s="170" t="n"/>
      <c r="H68" s="170" t="n"/>
      <c r="I68" s="170" t="n"/>
      <c r="J68" s="170" t="n"/>
      <c r="K68" s="170" t="n"/>
      <c r="L68" s="170" t="n"/>
      <c r="M68" s="170" t="n"/>
      <c r="N68" s="170" t="n"/>
      <c r="O68" s="171" t="n">
        <v>2</v>
      </c>
      <c r="P68" s="170" t="n"/>
      <c r="Q68" s="171" t="n">
        <v>2</v>
      </c>
    </row>
    <row r="69" ht="18" customHeight="1">
      <c r="A69" s="45" t="inlineStr">
        <is>
          <t>Слесарь по контрольно-измерительным приборам и автоматике</t>
        </is>
      </c>
      <c r="B69" s="170" t="n">
        <v>3</v>
      </c>
      <c r="C69" s="170" t="n"/>
      <c r="D69" s="170" t="n"/>
      <c r="E69" s="170" t="n"/>
      <c r="F69" s="170" t="n"/>
      <c r="G69" s="170" t="n"/>
      <c r="H69" s="170" t="n"/>
      <c r="I69" s="170" t="n"/>
      <c r="J69" s="170" t="n"/>
      <c r="K69" s="170" t="n"/>
      <c r="L69" s="170" t="n"/>
      <c r="M69" s="170" t="n"/>
      <c r="N69" s="170" t="n"/>
      <c r="O69" s="171" t="n">
        <v>2</v>
      </c>
      <c r="P69" s="170" t="n"/>
      <c r="Q69" s="171" t="n">
        <v>2</v>
      </c>
    </row>
    <row r="70" ht="18" customHeight="1">
      <c r="A70" s="45" t="inlineStr">
        <is>
          <t>Слесарь по ремонту автомобилей и тяжелой техники</t>
        </is>
      </c>
      <c r="B70" s="170" t="n">
        <v>7</v>
      </c>
      <c r="C70" s="170" t="n"/>
      <c r="D70" s="170" t="n"/>
      <c r="E70" s="170" t="n"/>
      <c r="F70" s="170" t="n"/>
      <c r="G70" s="170" t="n"/>
      <c r="H70" s="170" t="n"/>
      <c r="I70" s="170" t="n"/>
      <c r="J70" s="170" t="n"/>
      <c r="K70" s="170" t="n"/>
      <c r="L70" s="170" t="n"/>
      <c r="M70" s="170" t="n"/>
      <c r="N70" s="170" t="n"/>
      <c r="O70" s="171" t="n">
        <v>2</v>
      </c>
      <c r="P70" s="170" t="n"/>
      <c r="Q70" s="171" t="n">
        <v>2</v>
      </c>
    </row>
    <row r="71" ht="18" customHeight="1">
      <c r="A71" s="45" t="inlineStr">
        <is>
          <t>Аппаратчик воздухоразделения</t>
        </is>
      </c>
      <c r="B71" s="170" t="n">
        <v>1</v>
      </c>
      <c r="C71" s="170" t="n"/>
      <c r="D71" s="170" t="n"/>
      <c r="E71" s="170" t="n"/>
      <c r="F71" s="170" t="n"/>
      <c r="G71" s="170" t="n"/>
      <c r="H71" s="170" t="n"/>
      <c r="I71" s="170" t="n"/>
      <c r="J71" s="170" t="n"/>
      <c r="K71" s="170" t="n"/>
      <c r="L71" s="170" t="n"/>
      <c r="M71" s="170" t="n"/>
      <c r="N71" s="170" t="n"/>
      <c r="O71" s="171" t="n">
        <v>1</v>
      </c>
      <c r="P71" s="170" t="n"/>
      <c r="Q71" s="171" t="n">
        <v>1</v>
      </c>
    </row>
    <row r="72" ht="18" customHeight="1">
      <c r="A72" s="45" t="inlineStr">
        <is>
          <t>Заведующий складом аварийно химически опасных веществ</t>
        </is>
      </c>
      <c r="B72" s="170" t="n">
        <v>1</v>
      </c>
      <c r="C72" s="170" t="n"/>
      <c r="D72" s="170" t="n"/>
      <c r="E72" s="170" t="n"/>
      <c r="F72" s="170" t="n"/>
      <c r="G72" s="170" t="n"/>
      <c r="H72" s="170" t="n"/>
      <c r="I72" s="170" t="n"/>
      <c r="J72" s="170" t="n"/>
      <c r="K72" s="170" t="n"/>
      <c r="L72" s="170" t="n"/>
      <c r="M72" s="170" t="n"/>
      <c r="N72" s="170" t="n"/>
      <c r="O72" s="171" t="n">
        <v>1</v>
      </c>
      <c r="P72" s="170" t="n"/>
      <c r="Q72" s="171" t="n">
        <v>1</v>
      </c>
    </row>
    <row r="73" ht="18" customHeight="1">
      <c r="A73" s="45" t="inlineStr">
        <is>
          <t>Заместитель главного механика</t>
        </is>
      </c>
      <c r="B73" s="170" t="n">
        <v>1</v>
      </c>
      <c r="C73" s="170" t="n"/>
      <c r="D73" s="170" t="n"/>
      <c r="E73" s="170" t="n"/>
      <c r="F73" s="170" t="n"/>
      <c r="G73" s="170" t="n"/>
      <c r="H73" s="170" t="n"/>
      <c r="I73" s="170" t="n"/>
      <c r="J73" s="170" t="n"/>
      <c r="K73" s="170" t="n"/>
      <c r="L73" s="170" t="n"/>
      <c r="M73" s="170" t="n"/>
      <c r="N73" s="170" t="n"/>
      <c r="O73" s="171" t="n">
        <v>1</v>
      </c>
      <c r="P73" s="170" t="n"/>
      <c r="Q73" s="171" t="n">
        <v>1</v>
      </c>
    </row>
    <row r="74" ht="18" customHeight="1">
      <c r="A74" s="45" t="inlineStr">
        <is>
          <t>Заместитель начальника пылевентиляционной службы</t>
        </is>
      </c>
      <c r="B74" s="170" t="n">
        <v>1</v>
      </c>
      <c r="C74" s="170" t="n"/>
      <c r="D74" s="170" t="n"/>
      <c r="E74" s="170" t="n"/>
      <c r="F74" s="170" t="n"/>
      <c r="G74" s="170" t="n"/>
      <c r="H74" s="170" t="n"/>
      <c r="I74" s="170" t="n"/>
      <c r="J74" s="170" t="n"/>
      <c r="K74" s="170" t="n"/>
      <c r="L74" s="170" t="n"/>
      <c r="M74" s="170" t="n"/>
      <c r="N74" s="170" t="n"/>
      <c r="O74" s="171" t="n">
        <v>1</v>
      </c>
      <c r="P74" s="170" t="n"/>
      <c r="Q74" s="171" t="n">
        <v>1</v>
      </c>
    </row>
    <row r="75" ht="18" customHeight="1">
      <c r="A75" s="45" t="inlineStr">
        <is>
          <t>Заместитель начальника участка</t>
        </is>
      </c>
      <c r="B75" s="170" t="n">
        <v>1</v>
      </c>
      <c r="C75" s="170" t="n"/>
      <c r="D75" s="170" t="n"/>
      <c r="E75" s="170" t="n"/>
      <c r="F75" s="170" t="n"/>
      <c r="G75" s="170" t="n"/>
      <c r="H75" s="170" t="n"/>
      <c r="I75" s="170" t="n"/>
      <c r="J75" s="170" t="n"/>
      <c r="K75" s="170" t="n"/>
      <c r="L75" s="170" t="n"/>
      <c r="M75" s="170" t="n"/>
      <c r="N75" s="170" t="n"/>
      <c r="O75" s="171" t="n">
        <v>1</v>
      </c>
      <c r="P75" s="170" t="n"/>
      <c r="Q75" s="171" t="n">
        <v>1</v>
      </c>
    </row>
    <row r="76" ht="18" customHeight="1">
      <c r="A76" s="45" t="inlineStr">
        <is>
          <t>Контролер (золото-приемной кассы)</t>
        </is>
      </c>
      <c r="B76" s="170" t="n">
        <v>1</v>
      </c>
      <c r="C76" s="170" t="n"/>
      <c r="D76" s="170" t="n"/>
      <c r="E76" s="170" t="n"/>
      <c r="F76" s="170" t="n"/>
      <c r="G76" s="170" t="n"/>
      <c r="H76" s="170" t="n"/>
      <c r="I76" s="170" t="n"/>
      <c r="J76" s="170" t="n"/>
      <c r="K76" s="170" t="n"/>
      <c r="L76" s="170" t="n"/>
      <c r="M76" s="170" t="n"/>
      <c r="N76" s="170" t="n"/>
      <c r="O76" s="171" t="n">
        <v>1</v>
      </c>
      <c r="P76" s="170" t="n"/>
      <c r="Q76" s="171" t="n">
        <v>1</v>
      </c>
    </row>
    <row r="77" ht="18" customHeight="1">
      <c r="A77" s="45" t="inlineStr">
        <is>
          <t>Контролер продукции обогащения</t>
        </is>
      </c>
      <c r="B77" s="170" t="n">
        <v>6</v>
      </c>
      <c r="C77" s="170" t="n"/>
      <c r="D77" s="170" t="n"/>
      <c r="E77" s="170" t="n"/>
      <c r="F77" s="170" t="n"/>
      <c r="G77" s="170" t="n"/>
      <c r="H77" s="170" t="n"/>
      <c r="I77" s="170" t="n"/>
      <c r="J77" s="170" t="n"/>
      <c r="K77" s="170" t="n"/>
      <c r="L77" s="170" t="n"/>
      <c r="M77" s="170" t="n"/>
      <c r="N77" s="170" t="n"/>
      <c r="O77" s="171" t="n">
        <v>1</v>
      </c>
      <c r="P77" s="170" t="n"/>
      <c r="Q77" s="171" t="n">
        <v>1</v>
      </c>
    </row>
    <row r="78" ht="18" customHeight="1">
      <c r="A78" s="45" t="inlineStr">
        <is>
          <t>Крепильщик (пылевентиляционная служба)</t>
        </is>
      </c>
      <c r="B78" s="170" t="n">
        <v>2</v>
      </c>
      <c r="C78" s="170" t="n"/>
      <c r="D78" s="170" t="n"/>
      <c r="E78" s="170" t="n"/>
      <c r="F78" s="170" t="n"/>
      <c r="G78" s="170" t="n"/>
      <c r="H78" s="170" t="n"/>
      <c r="I78" s="170" t="n"/>
      <c r="J78" s="170" t="n"/>
      <c r="K78" s="170" t="n"/>
      <c r="L78" s="170" t="n"/>
      <c r="M78" s="170" t="n"/>
      <c r="N78" s="170" t="n"/>
      <c r="O78" s="171" t="n">
        <v>1</v>
      </c>
      <c r="P78" s="170" t="n"/>
      <c r="Q78" s="171" t="n">
        <v>1</v>
      </c>
    </row>
    <row r="79" ht="18" customHeight="1">
      <c r="A79" s="45" t="inlineStr">
        <is>
          <t>Машинист автогрейдера</t>
        </is>
      </c>
      <c r="B79" s="170" t="n">
        <v>3</v>
      </c>
      <c r="C79" s="170" t="n"/>
      <c r="D79" s="170" t="n"/>
      <c r="E79" s="170" t="n"/>
      <c r="F79" s="170" t="n"/>
      <c r="G79" s="170" t="n"/>
      <c r="H79" s="170" t="n"/>
      <c r="I79" s="170" t="n"/>
      <c r="J79" s="170" t="n"/>
      <c r="K79" s="170" t="n"/>
      <c r="L79" s="170" t="n"/>
      <c r="M79" s="170" t="n"/>
      <c r="N79" s="170" t="n"/>
      <c r="O79" s="171" t="n">
        <v>1</v>
      </c>
      <c r="P79" s="170" t="n"/>
      <c r="Q79" s="171" t="n">
        <v>1</v>
      </c>
    </row>
    <row r="80" ht="18" customHeight="1">
      <c r="A80" s="45" t="inlineStr">
        <is>
          <t>Машинист погрузочно-доставочной машины (ТГМ)</t>
        </is>
      </c>
      <c r="B80" s="170" t="n">
        <v>3</v>
      </c>
      <c r="C80" s="170" t="n"/>
      <c r="D80" s="170" t="n"/>
      <c r="E80" s="170" t="n"/>
      <c r="F80" s="170" t="n"/>
      <c r="G80" s="170" t="n"/>
      <c r="H80" s="170" t="n"/>
      <c r="I80" s="170" t="n"/>
      <c r="J80" s="170" t="n"/>
      <c r="K80" s="170" t="n"/>
      <c r="L80" s="170" t="n"/>
      <c r="M80" s="170" t="n"/>
      <c r="N80" s="170" t="n"/>
      <c r="O80" s="171" t="n">
        <v>1</v>
      </c>
      <c r="P80" s="170" t="n"/>
      <c r="Q80" s="171" t="n">
        <v>1</v>
      </c>
    </row>
    <row r="81" ht="18" customHeight="1">
      <c r="A81" s="45" t="inlineStr">
        <is>
          <t>Машинист экскаватора</t>
        </is>
      </c>
      <c r="B81" s="170" t="n">
        <v>12</v>
      </c>
      <c r="C81" s="170" t="n"/>
      <c r="D81" s="170" t="n"/>
      <c r="E81" s="170" t="n"/>
      <c r="F81" s="170" t="n"/>
      <c r="G81" s="170" t="n"/>
      <c r="H81" s="170" t="n"/>
      <c r="I81" s="170" t="n"/>
      <c r="J81" s="170" t="n"/>
      <c r="K81" s="170" t="n"/>
      <c r="L81" s="170" t="n"/>
      <c r="M81" s="170" t="n"/>
      <c r="N81" s="170" t="n"/>
      <c r="O81" s="171" t="n">
        <v>1</v>
      </c>
      <c r="P81" s="170" t="n"/>
      <c r="Q81" s="171" t="n">
        <v>1</v>
      </c>
    </row>
    <row r="82" ht="18" customHeight="1">
      <c r="A82" s="45" t="inlineStr">
        <is>
          <t>Механик холодильных установок</t>
        </is>
      </c>
      <c r="B82" s="170" t="n">
        <v>3</v>
      </c>
      <c r="C82" s="170" t="n"/>
      <c r="D82" s="170" t="n"/>
      <c r="E82" s="170" t="n"/>
      <c r="F82" s="170" t="n"/>
      <c r="G82" s="170" t="n"/>
      <c r="H82" s="170" t="n"/>
      <c r="I82" s="170" t="n"/>
      <c r="J82" s="170" t="n"/>
      <c r="K82" s="170" t="n"/>
      <c r="L82" s="170" t="n"/>
      <c r="M82" s="170" t="n"/>
      <c r="N82" s="170" t="n"/>
      <c r="O82" s="171" t="n">
        <v>1</v>
      </c>
      <c r="P82" s="170" t="n"/>
      <c r="Q82" s="171" t="n">
        <v>1</v>
      </c>
    </row>
    <row r="83" ht="18" customHeight="1">
      <c r="A83" s="45" t="inlineStr">
        <is>
          <t>Начальник по рудному направлению</t>
        </is>
      </c>
      <c r="B83" s="170" t="n">
        <v>1</v>
      </c>
      <c r="C83" s="170" t="n"/>
      <c r="D83" s="170" t="n"/>
      <c r="E83" s="170" t="n"/>
      <c r="F83" s="170" t="n"/>
      <c r="G83" s="170" t="n"/>
      <c r="H83" s="170" t="n"/>
      <c r="I83" s="170" t="n"/>
      <c r="J83" s="170" t="n"/>
      <c r="K83" s="170" t="n"/>
      <c r="L83" s="170" t="n"/>
      <c r="M83" s="170" t="n"/>
      <c r="N83" s="170" t="n"/>
      <c r="O83" s="171" t="n">
        <v>1</v>
      </c>
      <c r="P83" s="170" t="n"/>
      <c r="Q83" s="171" t="n">
        <v>1</v>
      </c>
    </row>
    <row r="84" ht="18" customHeight="1">
      <c r="A84" s="45" t="inlineStr">
        <is>
          <t>Начальник смены</t>
        </is>
      </c>
      <c r="B84" s="170" t="n">
        <v>1</v>
      </c>
      <c r="C84" s="170" t="n"/>
      <c r="D84" s="170" t="n"/>
      <c r="E84" s="170" t="n"/>
      <c r="F84" s="170" t="n"/>
      <c r="G84" s="170" t="n"/>
      <c r="H84" s="170" t="n"/>
      <c r="I84" s="170" t="n"/>
      <c r="J84" s="170" t="n"/>
      <c r="K84" s="170" t="n"/>
      <c r="L84" s="170" t="n"/>
      <c r="M84" s="170" t="n"/>
      <c r="N84" s="170" t="n"/>
      <c r="O84" s="171" t="n">
        <v>1</v>
      </c>
      <c r="P84" s="170" t="n"/>
      <c r="Q84" s="171" t="n">
        <v>1</v>
      </c>
    </row>
    <row r="85" ht="18" customHeight="1">
      <c r="A85" s="45" t="inlineStr">
        <is>
          <t>Начальник участка</t>
        </is>
      </c>
      <c r="B85" s="170" t="n">
        <v>1</v>
      </c>
      <c r="C85" s="170" t="n"/>
      <c r="D85" s="170" t="n"/>
      <c r="E85" s="170" t="n"/>
      <c r="F85" s="170" t="n"/>
      <c r="G85" s="170" t="n"/>
      <c r="H85" s="170" t="n"/>
      <c r="I85" s="170" t="n"/>
      <c r="J85" s="170" t="n"/>
      <c r="K85" s="170" t="n"/>
      <c r="L85" s="170" t="n"/>
      <c r="M85" s="170" t="n"/>
      <c r="N85" s="170" t="n"/>
      <c r="O85" s="171" t="n">
        <v>1</v>
      </c>
      <c r="P85" s="170" t="n"/>
      <c r="Q85" s="171" t="n">
        <v>1</v>
      </c>
    </row>
    <row r="86" ht="18" customHeight="1">
      <c r="A86" s="45" t="inlineStr">
        <is>
          <t>Плавильщик</t>
        </is>
      </c>
      <c r="B86" s="170" t="n">
        <v>3</v>
      </c>
      <c r="C86" s="170" t="n"/>
      <c r="D86" s="170" t="n"/>
      <c r="E86" s="170" t="n"/>
      <c r="F86" s="170" t="n"/>
      <c r="G86" s="170" t="n"/>
      <c r="H86" s="170" t="n"/>
      <c r="I86" s="170" t="n"/>
      <c r="J86" s="170" t="n"/>
      <c r="K86" s="170" t="n"/>
      <c r="L86" s="170" t="n"/>
      <c r="M86" s="170" t="n"/>
      <c r="N86" s="170" t="n"/>
      <c r="O86" s="171" t="n">
        <v>1</v>
      </c>
      <c r="P86" s="170" t="n"/>
      <c r="Q86" s="171" t="n">
        <v>1</v>
      </c>
    </row>
    <row r="87" ht="18" customHeight="1">
      <c r="A87" s="45" t="inlineStr">
        <is>
          <t>Повар (кондитер)</t>
        </is>
      </c>
      <c r="B87" s="170" t="n">
        <v>2</v>
      </c>
      <c r="C87" s="170" t="n"/>
      <c r="D87" s="170" t="n"/>
      <c r="E87" s="170" t="n"/>
      <c r="F87" s="170" t="n"/>
      <c r="G87" s="170" t="n"/>
      <c r="H87" s="170" t="n"/>
      <c r="I87" s="170" t="n"/>
      <c r="J87" s="170" t="n"/>
      <c r="K87" s="170" t="n"/>
      <c r="L87" s="170" t="n"/>
      <c r="M87" s="170" t="n"/>
      <c r="N87" s="170" t="n"/>
      <c r="O87" s="171" t="n">
        <v>1</v>
      </c>
      <c r="P87" s="170" t="n"/>
      <c r="Q87" s="171" t="n">
        <v>1</v>
      </c>
    </row>
    <row r="88" ht="18" customHeight="1">
      <c r="A88" s="45" t="inlineStr">
        <is>
          <t>Раздатчик взрывчатых материалов (с исполнением обязанностей аппаратчика по изготовлению взрывчатых материалов)</t>
        </is>
      </c>
      <c r="B88" s="170" t="n">
        <v>2</v>
      </c>
      <c r="C88" s="170" t="n"/>
      <c r="D88" s="170" t="n"/>
      <c r="E88" s="170" t="n"/>
      <c r="F88" s="170" t="n"/>
      <c r="G88" s="170" t="n"/>
      <c r="H88" s="170" t="n"/>
      <c r="I88" s="170" t="n"/>
      <c r="J88" s="170" t="n"/>
      <c r="K88" s="170" t="n"/>
      <c r="L88" s="170" t="n"/>
      <c r="M88" s="170" t="n"/>
      <c r="N88" s="170" t="n"/>
      <c r="O88" s="171" t="n">
        <v>1</v>
      </c>
      <c r="P88" s="170" t="n"/>
      <c r="Q88" s="171" t="n">
        <v>1</v>
      </c>
    </row>
    <row r="89" ht="18" customHeight="1">
      <c r="A89" s="45" t="inlineStr">
        <is>
          <t>Руководитель строительства группы объектов</t>
        </is>
      </c>
      <c r="B89" s="170" t="n">
        <v>1</v>
      </c>
      <c r="C89" s="170" t="n"/>
      <c r="D89" s="170" t="n"/>
      <c r="E89" s="170" t="n"/>
      <c r="F89" s="170" t="n"/>
      <c r="G89" s="170" t="n"/>
      <c r="H89" s="170" t="n"/>
      <c r="I89" s="170" t="n"/>
      <c r="J89" s="170" t="n"/>
      <c r="K89" s="170" t="n"/>
      <c r="L89" s="170" t="n"/>
      <c r="M89" s="170" t="n"/>
      <c r="N89" s="170" t="n"/>
      <c r="O89" s="171" t="n">
        <v>1</v>
      </c>
      <c r="P89" s="170" t="n"/>
      <c r="Q89" s="171" t="n">
        <v>1</v>
      </c>
    </row>
    <row r="90" ht="18" customHeight="1">
      <c r="A90" s="45" t="inlineStr">
        <is>
          <t>Слесарь-ремонтник (по ремонту горно-шахтного оборудования)</t>
        </is>
      </c>
      <c r="B90" s="170" t="n">
        <v>4</v>
      </c>
      <c r="C90" s="170" t="n"/>
      <c r="D90" s="170" t="n"/>
      <c r="E90" s="170" t="n"/>
      <c r="F90" s="170" t="n"/>
      <c r="G90" s="170" t="n"/>
      <c r="H90" s="170" t="n"/>
      <c r="I90" s="170" t="n"/>
      <c r="J90" s="170" t="n"/>
      <c r="K90" s="170" t="n"/>
      <c r="L90" s="170" t="n"/>
      <c r="M90" s="170" t="n"/>
      <c r="N90" s="170" t="n"/>
      <c r="O90" s="171" t="n">
        <v>1</v>
      </c>
      <c r="P90" s="170" t="n"/>
      <c r="Q90" s="171" t="n">
        <v>1</v>
      </c>
    </row>
    <row r="91" ht="18" customHeight="1">
      <c r="A91" s="45" t="inlineStr">
        <is>
          <t>Слесарь-сантехник</t>
        </is>
      </c>
      <c r="B91" s="170" t="n">
        <v>5</v>
      </c>
      <c r="C91" s="170" t="n"/>
      <c r="D91" s="170" t="n"/>
      <c r="E91" s="170" t="n"/>
      <c r="F91" s="170" t="n"/>
      <c r="G91" s="170" t="n"/>
      <c r="H91" s="170" t="n"/>
      <c r="I91" s="170" t="n"/>
      <c r="J91" s="170" t="n"/>
      <c r="K91" s="170" t="n"/>
      <c r="L91" s="170" t="n"/>
      <c r="M91" s="170" t="n"/>
      <c r="N91" s="170" t="n"/>
      <c r="O91" s="171" t="n">
        <v>1</v>
      </c>
      <c r="P91" s="170" t="n"/>
      <c r="Q91" s="171" t="n">
        <v>1</v>
      </c>
    </row>
    <row r="92" ht="18" customHeight="1">
      <c r="A92" s="45" t="inlineStr">
        <is>
          <t>Теплотехник</t>
        </is>
      </c>
      <c r="B92" s="170" t="n">
        <v>2</v>
      </c>
      <c r="C92" s="171" t="n">
        <v>1</v>
      </c>
      <c r="D92" s="170" t="n"/>
      <c r="E92" s="170" t="n"/>
      <c r="F92" s="170" t="n"/>
      <c r="G92" s="170" t="n"/>
      <c r="H92" s="170" t="n"/>
      <c r="I92" s="170" t="n"/>
      <c r="J92" s="170" t="n"/>
      <c r="K92" s="170" t="n"/>
      <c r="L92" s="170" t="n"/>
      <c r="M92" s="170" t="n"/>
      <c r="N92" s="170" t="n"/>
      <c r="O92" s="170" t="n"/>
      <c r="P92" s="170" t="n"/>
      <c r="Q92" s="171" t="n">
        <v>1</v>
      </c>
    </row>
    <row r="93" ht="18" customHeight="1">
      <c r="A93" s="45" t="inlineStr">
        <is>
          <t>Токарь (с исполнением обязанностей фрезеровщика)</t>
        </is>
      </c>
      <c r="B93" s="170" t="n">
        <v>1</v>
      </c>
      <c r="C93" s="170" t="n"/>
      <c r="D93" s="170" t="n"/>
      <c r="E93" s="170" t="n"/>
      <c r="F93" s="170" t="n"/>
      <c r="G93" s="170" t="n"/>
      <c r="H93" s="170" t="n"/>
      <c r="I93" s="170" t="n"/>
      <c r="J93" s="170" t="n"/>
      <c r="K93" s="170" t="n"/>
      <c r="L93" s="170" t="n"/>
      <c r="M93" s="170" t="n"/>
      <c r="N93" s="170" t="n"/>
      <c r="O93" s="171" t="n">
        <v>1</v>
      </c>
      <c r="P93" s="170" t="n"/>
      <c r="Q93" s="171" t="n">
        <v>1</v>
      </c>
    </row>
    <row r="94" ht="18" customHeight="1">
      <c r="A94" s="45" t="inlineStr">
        <is>
          <t>Токарь( с исполнением обязаности фрейзеровщика)</t>
        </is>
      </c>
      <c r="B94" s="170" t="n">
        <v>1</v>
      </c>
      <c r="C94" s="170" t="n"/>
      <c r="D94" s="170" t="n"/>
      <c r="E94" s="170" t="n"/>
      <c r="F94" s="170" t="n"/>
      <c r="G94" s="170" t="n"/>
      <c r="H94" s="170" t="n"/>
      <c r="I94" s="170" t="n"/>
      <c r="J94" s="170" t="n"/>
      <c r="K94" s="170" t="n"/>
      <c r="L94" s="170" t="n"/>
      <c r="M94" s="170" t="n"/>
      <c r="N94" s="170" t="n"/>
      <c r="O94" s="171" t="n">
        <v>1</v>
      </c>
      <c r="P94" s="170" t="n"/>
      <c r="Q94" s="171" t="n">
        <v>1</v>
      </c>
    </row>
    <row r="95" ht="18" customHeight="1">
      <c r="A95" s="45" t="inlineStr">
        <is>
          <t>Электрослесарь (слесарь) дежурный и по ремонту оборудования</t>
        </is>
      </c>
      <c r="B95" s="170" t="n">
        <v>5</v>
      </c>
      <c r="C95" s="170" t="n"/>
      <c r="D95" s="170" t="n"/>
      <c r="E95" s="170" t="n"/>
      <c r="F95" s="170" t="n"/>
      <c r="G95" s="170" t="n"/>
      <c r="H95" s="170" t="n"/>
      <c r="I95" s="170" t="n"/>
      <c r="J95" s="170" t="n"/>
      <c r="K95" s="170" t="n"/>
      <c r="L95" s="170" t="n"/>
      <c r="M95" s="170" t="n"/>
      <c r="N95" s="170" t="n"/>
      <c r="O95" s="171" t="n">
        <v>1</v>
      </c>
      <c r="P95" s="170" t="n"/>
      <c r="Q95" s="171" t="n">
        <v>1</v>
      </c>
    </row>
    <row r="96" ht="22" customHeight="1">
      <c r="A96" s="173" t="inlineStr">
        <is>
          <t>Итого</t>
        </is>
      </c>
      <c r="B96" s="160" t="n"/>
      <c r="C96" s="160">
        <f>SUM(C4:C95)</f>
        <v/>
      </c>
      <c r="D96" s="160">
        <f>SUM(D4:D95)</f>
        <v/>
      </c>
      <c r="E96" s="160">
        <f>SUM(E4:E95)</f>
        <v/>
      </c>
      <c r="F96" s="160">
        <f>SUM(F4:F95)</f>
        <v/>
      </c>
      <c r="G96" s="160">
        <f>SUM(G4:G95)</f>
        <v/>
      </c>
      <c r="H96" s="160">
        <f>SUM(H4:H95)</f>
        <v/>
      </c>
      <c r="I96" s="160">
        <f>SUM(I4:I95)</f>
        <v/>
      </c>
      <c r="J96" s="160">
        <f>SUM(J4:J95)</f>
        <v/>
      </c>
      <c r="K96" s="160">
        <f>SUM(K4:K95)</f>
        <v/>
      </c>
      <c r="L96" s="160">
        <f>SUM(L4:L95)</f>
        <v/>
      </c>
      <c r="M96" s="160">
        <f>SUM(M4:M95)</f>
        <v/>
      </c>
      <c r="N96" s="160">
        <f>SUM(N4:N95)</f>
        <v/>
      </c>
      <c r="O96" s="160">
        <f>SUM(O4:O95)</f>
        <v/>
      </c>
      <c r="P96" s="160">
        <f>SUM(P4:P95)</f>
        <v/>
      </c>
      <c r="Q96" s="160">
        <f>SUM(Q4:Q95)</f>
        <v/>
      </c>
    </row>
    <row r="98" ht="24" customHeight="1">
      <c r="A98" s="169" t="inlineStr">
        <is>
          <t>Избыток обучения</t>
        </is>
      </c>
    </row>
    <row r="99" ht="72" customHeight="1">
      <c r="A99" s="163" t="inlineStr">
        <is>
          <t>Пересечение профессий и программ. В таблице только избыток со вкладки «Сводная». 46а: программа назначена специалисту, которому по пункту 53 подпункта «в» постановления 2464 она не требуется. Первая помощь: программу прошёл специалист, которому пункт 33 её не устанавливает. Главный технолог и главный энергетик не включены: первая помощь им нужна. СИЗ: обучение есть у работника, который в шахту не спускается и у которого нет работ на высоте и в замкнутом пространстве. Это кухня, водитель категории Д, горничная, продавец, делопроизводитель и оператор стиральных машин. Строка «Итого» — сумма по профессиям, столбец «Итого» — сумма по программам.</t>
        </is>
      </c>
    </row>
    <row r="100" ht="30" customHeight="1">
      <c r="A100" s="135" t="inlineStr">
        <is>
          <t>Профессия</t>
        </is>
      </c>
      <c r="B100" s="135" t="inlineStr">
        <is>
          <t>Работников</t>
        </is>
      </c>
      <c r="C100" s="135" t="inlineStr">
        <is>
          <t>46а</t>
        </is>
      </c>
      <c r="D100" s="135" t="inlineStr">
        <is>
          <t>46б</t>
        </is>
      </c>
      <c r="E100" s="135" t="inlineStr">
        <is>
          <t>Первая помощь</t>
        </is>
      </c>
      <c r="F100" s="135" t="inlineStr">
        <is>
          <t>СИЗ</t>
        </is>
      </c>
      <c r="G100" s="135" t="inlineStr">
        <is>
          <t>Итого</t>
        </is>
      </c>
    </row>
    <row r="101" ht="18" customHeight="1">
      <c r="A101" s="45" t="inlineStr">
        <is>
          <t>Повар</t>
        </is>
      </c>
      <c r="B101" s="170" t="n">
        <v>31</v>
      </c>
      <c r="C101" s="171" t="n"/>
      <c r="D101" s="171" t="n"/>
      <c r="E101" s="171" t="n"/>
      <c r="F101" s="171" t="n">
        <v>31</v>
      </c>
      <c r="G101" s="171" t="n">
        <v>31</v>
      </c>
    </row>
    <row r="102" ht="18" customHeight="1">
      <c r="A102" s="45" t="inlineStr">
        <is>
          <t>Кухонный рабочий</t>
        </is>
      </c>
      <c r="B102" s="170" t="n">
        <v>26</v>
      </c>
      <c r="C102" s="171" t="n"/>
      <c r="D102" s="171" t="n"/>
      <c r="E102" s="171" t="n"/>
      <c r="F102" s="171" t="n">
        <v>23</v>
      </c>
      <c r="G102" s="171" t="n">
        <v>23</v>
      </c>
    </row>
    <row r="103" ht="18" customHeight="1">
      <c r="A103" s="45" t="inlineStr">
        <is>
          <t>Водитель автомобиля (категория Д)</t>
        </is>
      </c>
      <c r="B103" s="170" t="n">
        <v>19</v>
      </c>
      <c r="C103" s="171" t="n"/>
      <c r="D103" s="171" t="n"/>
      <c r="E103" s="171" t="n"/>
      <c r="F103" s="171" t="n">
        <v>19</v>
      </c>
      <c r="G103" s="171" t="n">
        <v>19</v>
      </c>
    </row>
    <row r="104" ht="18" customHeight="1">
      <c r="A104" s="45" t="inlineStr">
        <is>
          <t>Горный диспетчер</t>
        </is>
      </c>
      <c r="B104" s="170" t="n">
        <v>6</v>
      </c>
      <c r="C104" s="171" t="n">
        <v>1</v>
      </c>
      <c r="D104" s="171" t="n"/>
      <c r="E104" s="171" t="n">
        <v>4</v>
      </c>
      <c r="F104" s="171" t="n"/>
      <c r="G104" s="171" t="n">
        <v>5</v>
      </c>
    </row>
    <row r="105" ht="18" customHeight="1">
      <c r="A105" s="45" t="inlineStr">
        <is>
          <t>Делопроизводитель</t>
        </is>
      </c>
      <c r="B105" s="170" t="n">
        <v>1</v>
      </c>
      <c r="C105" s="171" t="n">
        <v>1</v>
      </c>
      <c r="D105" s="171" t="n"/>
      <c r="E105" s="171" t="n">
        <v>1</v>
      </c>
      <c r="F105" s="171" t="n">
        <v>1</v>
      </c>
      <c r="G105" s="171" t="n">
        <v>3</v>
      </c>
    </row>
    <row r="106" ht="18" customHeight="1">
      <c r="A106" s="45" t="inlineStr">
        <is>
          <t>Теплотехник</t>
        </is>
      </c>
      <c r="B106" s="170" t="n">
        <v>2</v>
      </c>
      <c r="C106" s="171" t="n">
        <v>1</v>
      </c>
      <c r="D106" s="171" t="n"/>
      <c r="E106" s="171" t="n">
        <v>2</v>
      </c>
      <c r="F106" s="171" t="n"/>
      <c r="G106" s="171" t="n">
        <v>3</v>
      </c>
    </row>
    <row r="107" ht="18" customHeight="1">
      <c r="A107" s="45" t="inlineStr">
        <is>
          <t>Ведущий инженер ППР</t>
        </is>
      </c>
      <c r="B107" s="170" t="n">
        <v>1</v>
      </c>
      <c r="C107" s="171" t="n">
        <v>1</v>
      </c>
      <c r="D107" s="171" t="n"/>
      <c r="E107" s="171" t="n">
        <v>1</v>
      </c>
      <c r="F107" s="171" t="n"/>
      <c r="G107" s="171" t="n">
        <v>2</v>
      </c>
    </row>
    <row r="108" ht="18" customHeight="1">
      <c r="A108" s="45" t="inlineStr">
        <is>
          <t>Геолог</t>
        </is>
      </c>
      <c r="B108" s="170" t="n">
        <v>2</v>
      </c>
      <c r="C108" s="171" t="n"/>
      <c r="D108" s="171" t="n"/>
      <c r="E108" s="171" t="n">
        <v>2</v>
      </c>
      <c r="F108" s="171" t="n"/>
      <c r="G108" s="171" t="n">
        <v>2</v>
      </c>
    </row>
    <row r="109" ht="18" customHeight="1">
      <c r="A109" s="45" t="inlineStr">
        <is>
          <t>Горничная</t>
        </is>
      </c>
      <c r="B109" s="170" t="n">
        <v>2</v>
      </c>
      <c r="C109" s="171" t="n"/>
      <c r="D109" s="171" t="n"/>
      <c r="E109" s="171" t="n"/>
      <c r="F109" s="171" t="n">
        <v>2</v>
      </c>
      <c r="G109" s="171" t="n">
        <v>2</v>
      </c>
    </row>
    <row r="110" ht="18" customHeight="1">
      <c r="A110" s="45" t="inlineStr">
        <is>
          <t>Инженер химического анализа</t>
        </is>
      </c>
      <c r="B110" s="170" t="n">
        <v>2</v>
      </c>
      <c r="C110" s="171" t="n"/>
      <c r="D110" s="171" t="n"/>
      <c r="E110" s="171" t="n">
        <v>2</v>
      </c>
      <c r="F110" s="171" t="n"/>
      <c r="G110" s="171" t="n">
        <v>2</v>
      </c>
    </row>
    <row r="111" ht="18" customHeight="1">
      <c r="A111" s="45" t="inlineStr">
        <is>
          <t>Механик</t>
        </is>
      </c>
      <c r="B111" s="170" t="n">
        <v>4</v>
      </c>
      <c r="C111" s="171" t="n"/>
      <c r="D111" s="171" t="n"/>
      <c r="E111" s="171" t="n">
        <v>2</v>
      </c>
      <c r="F111" s="171" t="n"/>
      <c r="G111" s="171" t="n">
        <v>2</v>
      </c>
    </row>
    <row r="112" ht="18" customHeight="1">
      <c r="A112" s="45" t="inlineStr">
        <is>
          <t>Механик по ремонту самоходного транспорта</t>
        </is>
      </c>
      <c r="B112" s="170" t="n">
        <v>1</v>
      </c>
      <c r="C112" s="171" t="n">
        <v>1</v>
      </c>
      <c r="D112" s="171" t="n"/>
      <c r="E112" s="171" t="n">
        <v>1</v>
      </c>
      <c r="F112" s="171" t="n"/>
      <c r="G112" s="171" t="n">
        <v>2</v>
      </c>
    </row>
    <row r="113" ht="18" customHeight="1">
      <c r="A113" s="45" t="inlineStr">
        <is>
          <t>Повар (кондитер)</t>
        </is>
      </c>
      <c r="B113" s="170" t="n">
        <v>2</v>
      </c>
      <c r="C113" s="171" t="n"/>
      <c r="D113" s="171" t="n"/>
      <c r="E113" s="171" t="n"/>
      <c r="F113" s="171" t="n">
        <v>2</v>
      </c>
      <c r="G113" s="171" t="n">
        <v>2</v>
      </c>
    </row>
    <row r="114" ht="18" customHeight="1">
      <c r="A114" s="45" t="inlineStr">
        <is>
          <t>Старший геолог</t>
        </is>
      </c>
      <c r="B114" s="170" t="n">
        <v>1</v>
      </c>
      <c r="C114" s="171" t="n">
        <v>1</v>
      </c>
      <c r="D114" s="171" t="n"/>
      <c r="E114" s="171" t="n">
        <v>1</v>
      </c>
      <c r="F114" s="171" t="n"/>
      <c r="G114" s="171" t="n">
        <v>2</v>
      </c>
    </row>
    <row r="115" ht="18" customHeight="1">
      <c r="A115" s="45" t="inlineStr">
        <is>
          <t>Электромеханик подземного горного участка</t>
        </is>
      </c>
      <c r="B115" s="170" t="n">
        <v>1</v>
      </c>
      <c r="C115" s="171" t="n">
        <v>1</v>
      </c>
      <c r="D115" s="171" t="n"/>
      <c r="E115" s="171" t="n">
        <v>1</v>
      </c>
      <c r="F115" s="171" t="n"/>
      <c r="G115" s="171" t="n">
        <v>2</v>
      </c>
    </row>
    <row r="116" ht="18" customHeight="1">
      <c r="A116" s="45" t="inlineStr">
        <is>
          <t>Геолог по рудоконтролю</t>
        </is>
      </c>
      <c r="B116" s="170" t="n">
        <v>1</v>
      </c>
      <c r="C116" s="171" t="n"/>
      <c r="D116" s="171" t="n"/>
      <c r="E116" s="171" t="n">
        <v>1</v>
      </c>
      <c r="F116" s="171" t="n"/>
      <c r="G116" s="171" t="n">
        <v>1</v>
      </c>
    </row>
    <row r="117" ht="18" customHeight="1">
      <c r="A117" s="45" t="inlineStr">
        <is>
          <t>Инженер по планированию</t>
        </is>
      </c>
      <c r="B117" s="170" t="n">
        <v>1</v>
      </c>
      <c r="C117" s="171" t="n"/>
      <c r="D117" s="171" t="n"/>
      <c r="E117" s="171" t="n">
        <v>1</v>
      </c>
      <c r="F117" s="171" t="n"/>
      <c r="G117" s="171" t="n">
        <v>1</v>
      </c>
    </row>
    <row r="118" ht="18" customHeight="1">
      <c r="A118" s="45" t="inlineStr">
        <is>
          <t>Инженер пробирного анализа</t>
        </is>
      </c>
      <c r="B118" s="170" t="n">
        <v>1</v>
      </c>
      <c r="C118" s="171" t="n"/>
      <c r="D118" s="171" t="n"/>
      <c r="E118" s="171" t="n">
        <v>1</v>
      </c>
      <c r="F118" s="171" t="n"/>
      <c r="G118" s="171" t="n">
        <v>1</v>
      </c>
    </row>
    <row r="119" ht="18" customHeight="1">
      <c r="A119" s="45" t="inlineStr">
        <is>
          <t>Инженер-исследователь</t>
        </is>
      </c>
      <c r="B119" s="170" t="n">
        <v>2</v>
      </c>
      <c r="C119" s="171" t="n"/>
      <c r="D119" s="171" t="n"/>
      <c r="E119" s="171" t="n">
        <v>1</v>
      </c>
      <c r="F119" s="171" t="n"/>
      <c r="G119" s="171" t="n">
        <v>1</v>
      </c>
    </row>
    <row r="120" ht="18" customHeight="1">
      <c r="A120" s="45" t="inlineStr">
        <is>
          <t>Механик холодильных установок</t>
        </is>
      </c>
      <c r="B120" s="170" t="n">
        <v>3</v>
      </c>
      <c r="C120" s="171" t="n"/>
      <c r="D120" s="171" t="n"/>
      <c r="E120" s="171" t="n">
        <v>1</v>
      </c>
      <c r="F120" s="171" t="n"/>
      <c r="G120" s="171" t="n">
        <v>1</v>
      </c>
    </row>
    <row r="121" ht="18" customHeight="1">
      <c r="A121" s="45" t="inlineStr">
        <is>
          <t>Оператор стиральных машин (с исполнением обязанностей рабочего по ремонту спецодежды)</t>
        </is>
      </c>
      <c r="B121" s="170" t="n">
        <v>1</v>
      </c>
      <c r="C121" s="171" t="n"/>
      <c r="D121" s="171" t="n"/>
      <c r="E121" s="171" t="n"/>
      <c r="F121" s="171" t="n">
        <v>1</v>
      </c>
      <c r="G121" s="171" t="n">
        <v>1</v>
      </c>
    </row>
    <row r="122" ht="18" customHeight="1">
      <c r="A122" s="45" t="inlineStr">
        <is>
          <t>Продавец</t>
        </is>
      </c>
      <c r="B122" s="170" t="n">
        <v>1</v>
      </c>
      <c r="C122" s="171" t="n"/>
      <c r="D122" s="171" t="n"/>
      <c r="E122" s="171" t="n"/>
      <c r="F122" s="171" t="n">
        <v>1</v>
      </c>
      <c r="G122" s="171" t="n">
        <v>1</v>
      </c>
    </row>
    <row r="123" ht="18" customHeight="1">
      <c r="A123" s="45" t="inlineStr">
        <is>
          <t>Электромеханик</t>
        </is>
      </c>
      <c r="B123" s="170" t="n">
        <v>1</v>
      </c>
      <c r="C123" s="171" t="n"/>
      <c r="D123" s="171" t="n"/>
      <c r="E123" s="171" t="n">
        <v>1</v>
      </c>
      <c r="F123" s="171" t="n"/>
      <c r="G123" s="171" t="n">
        <v>1</v>
      </c>
    </row>
    <row r="124" ht="22" customHeight="1">
      <c r="A124" s="173" t="inlineStr">
        <is>
          <t>Итого</t>
        </is>
      </c>
      <c r="B124" s="160" t="n"/>
      <c r="C124" s="160">
        <f>SUM(C101:C123)</f>
        <v/>
      </c>
      <c r="D124" s="160">
        <f>SUM(D101:D123)</f>
        <v/>
      </c>
      <c r="E124" s="160">
        <f>SUM(E101:E123)</f>
        <v/>
      </c>
      <c r="F124" s="160">
        <f>SUM(F101:F123)</f>
        <v/>
      </c>
      <c r="G124" s="160">
        <f>SUM(G101:G123)</f>
        <v/>
      </c>
      <c r="H124" s="51" t="n"/>
      <c r="I124" s="51" t="n"/>
      <c r="J124" s="51" t="n"/>
      <c r="K124" s="51" t="n"/>
      <c r="L124" s="51" t="n"/>
      <c r="M124" s="51" t="n"/>
      <c r="N124" s="51" t="n"/>
      <c r="O124" s="51" t="n"/>
      <c r="P124" s="51" t="n"/>
      <c r="Q124" s="51" t="n"/>
    </row>
  </sheetData>
  <mergeCells count="4">
    <mergeCell ref="A2:Q2"/>
    <mergeCell ref="A99:Q99"/>
    <mergeCell ref="A1:Q1"/>
    <mergeCell ref="A98:Q98"/>
  </mergeCells>
  <pageMargins left="0.75" right="0.75" top="1" bottom="1" header="0.5" footer="0.5"/>
  <pageSetup orientation="landscape" paperSize="9" fitToHeight="0" fitToWidth="1"/>
</worksheet>
</file>

<file path=xl/worksheets/sheet5.xml><?xml version="1.0" encoding="utf-8"?>
<worksheet xmlns="http://schemas.openxmlformats.org/spreadsheetml/2006/main">
  <sheetPr>
    <tabColor rgb="00B45309"/>
    <outlinePr summaryBelow="1" summaryRight="1"/>
    <pageSetUpPr fitToPage="1"/>
  </sheetPr>
  <dimension ref="A1:AC981"/>
  <sheetViews>
    <sheetView showGridLines="0" zoomScale="110" workbookViewId="0">
      <pane xSplit="2" ySplit="2" topLeftCell="C3" activePane="bottomRight" state="frozen"/>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28" customWidth="1" min="1" max="1"/>
    <col width="42" customWidth="1" min="2" max="2"/>
    <col width="46" customWidth="1" min="3" max="3"/>
    <col width="36" customWidth="1" min="4" max="4"/>
    <col width="16" customWidth="1" min="5" max="5"/>
    <col width="36" customWidth="1" min="6" max="6"/>
    <col width="16" customWidth="1" min="7" max="7"/>
    <col width="55" customWidth="1" min="8" max="8"/>
    <col width="24" customWidth="1" min="9" max="9"/>
    <col width="28" customWidth="1" min="10" max="10"/>
    <col width="24" customWidth="1" min="11" max="11"/>
    <col width="14" customWidth="1" min="12" max="12"/>
    <col width="22" customWidth="1" min="13" max="13"/>
    <col width="14" customWidth="1" min="14" max="14"/>
    <col width="16"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 width="8" customWidth="1" min="27" max="27"/>
    <col width="8" customWidth="1" min="28" max="28"/>
    <col width="8" customWidth="1" min="29" max="29"/>
  </cols>
  <sheetData>
    <row r="1" ht="32" customHeight="1">
      <c r="A1" s="174" t="inlineStr">
        <is>
          <t>Работники, которые хотя бы одну программу проходили больше одного раза. В ячейке программы — сколько раз она пройдена. Жёлтым отмечен повтор.</t>
        </is>
      </c>
    </row>
    <row r="2" ht="150" customHeight="1">
      <c r="A2" s="135" t="inlineStr">
        <is>
          <t>FIO</t>
        </is>
      </c>
      <c r="B2" s="135" t="inlineStr">
        <is>
          <t>Профессия</t>
        </is>
      </c>
      <c r="C2" s="135" t="inlineStr">
        <is>
          <t>Должность в реестре</t>
        </is>
      </c>
      <c r="D2" s="135" t="inlineStr">
        <is>
          <t>Наименование работодателя</t>
        </is>
      </c>
      <c r="E2" s="135" t="inlineStr">
        <is>
          <t>ИНН работодателя</t>
        </is>
      </c>
      <c r="F2" s="135" t="inlineStr">
        <is>
          <t>Наименование организации проводившей обучение</t>
        </is>
      </c>
      <c r="G2" s="135" t="inlineStr">
        <is>
          <t>ИНН организации проводившей обучение</t>
        </is>
      </c>
      <c r="H2" s="135" t="inlineStr">
        <is>
          <t>Номера в реестре</t>
        </is>
      </c>
      <c r="I2" s="135" t="inlineStr">
        <is>
          <t>Id пакета</t>
        </is>
      </c>
      <c r="J2" s="135" t="inlineStr">
        <is>
          <t>Номера протоколов</t>
        </is>
      </c>
      <c r="K2" s="135" t="inlineStr">
        <is>
          <t>Даты проверки знаний</t>
        </is>
      </c>
      <c r="L2" s="135" t="inlineStr">
        <is>
          <t>Результат</t>
        </is>
      </c>
      <c r="M2" s="135" t="inlineStr">
        <is>
          <t>Источник отправки</t>
        </is>
      </c>
      <c r="N2" s="135" t="inlineStr">
        <is>
          <t>Всего записей</t>
        </is>
      </c>
      <c r="O2" s="135" t="inlineStr">
        <is>
          <t>Программ с повтором</t>
        </is>
      </c>
      <c r="P2" s="156" t="inlineStr">
        <is>
          <t>46а. Общие вопросы охраны труда</t>
        </is>
      </c>
      <c r="Q2" s="156" t="inlineStr">
        <is>
          <t>46б. Безопасные методы при вредных и опасных факторах</t>
        </is>
      </c>
      <c r="R2" s="156" t="inlineStr">
        <is>
          <t>46в. Работы на высоте</t>
        </is>
      </c>
      <c r="S2" s="156" t="inlineStr">
        <is>
          <t>46в. Огневые работы</t>
        </is>
      </c>
      <c r="T2" s="156" t="inlineStr">
        <is>
          <t>46в. Работы в ОЗП</t>
        </is>
      </c>
      <c r="U2" s="156" t="inlineStr">
        <is>
          <t>46в. Подъемные сооружения</t>
        </is>
      </c>
      <c r="V2" s="156" t="inlineStr">
        <is>
          <t>46в. Сосуды под давлением</t>
        </is>
      </c>
      <c r="W2" s="156" t="inlineStr">
        <is>
          <t>46в. Технологическое оборудование</t>
        </is>
      </c>
      <c r="X2" s="156" t="inlineStr">
        <is>
          <t>46в. Электроустановки</t>
        </is>
      </c>
      <c r="Y2" s="156" t="inlineStr">
        <is>
          <t>46в. Строительные работы</t>
        </is>
      </c>
      <c r="Z2" s="156" t="inlineStr">
        <is>
          <t>46в. Ремонт, монтаж и демонтаж зданий</t>
        </is>
      </c>
      <c r="AA2" s="156" t="inlineStr">
        <is>
          <t>46в. Земляные работы</t>
        </is>
      </c>
      <c r="AB2" s="156" t="inlineStr">
        <is>
          <t>Первая помощь пострадавшим</t>
        </is>
      </c>
      <c r="AC2" s="156" t="inlineStr">
        <is>
          <t>Применение СИЗ</t>
        </is>
      </c>
    </row>
    <row r="3">
      <c r="A3" s="6" t="inlineStr">
        <is>
          <t>работник 406</t>
        </is>
      </c>
      <c r="B3" s="6" t="inlineStr">
        <is>
          <t>Водитель автомобиля (категория С)</t>
        </is>
      </c>
      <c r="C3" s="6" t="inlineStr">
        <is>
          <t>Водитель автомобиля кат. С | Водитель автомобиля (категория С)</t>
        </is>
      </c>
      <c r="D3" s="6" t="inlineStr">
        <is>
          <t>ОБЩЕСТВО С ОГРАНИЧЕННОЙ ОТВЕТСТВЕННОСТЬЮ "АМУР ЗОЛОТО"</t>
        </is>
      </c>
      <c r="E3" s="6" t="inlineStr">
        <is>
          <t>2708001686</t>
        </is>
      </c>
      <c r="F3" s="6" t="inlineStr">
        <is>
          <t>ООО "Амур Золото"</t>
        </is>
      </c>
      <c r="G3" s="6" t="inlineStr">
        <is>
          <t>2708001686</t>
        </is>
      </c>
      <c r="H3" s="6" t="inlineStr">
        <is>
          <t>82311967; 82311968; 222717230; 222717231; 222717232</t>
        </is>
      </c>
      <c r="I3" s="6" t="inlineStr">
        <is>
          <t>6330469; 15953442</t>
        </is>
      </c>
      <c r="J3" s="6" t="inlineStr">
        <is>
          <t>ОТ №ЮГОК АТЦ 24-07; ЮГОК АТЦ 26-25</t>
        </is>
      </c>
      <c r="K3" s="6" t="inlineStr">
        <is>
          <t>08.09.2024; 19.08.2026</t>
        </is>
      </c>
      <c r="L3" s="6" t="inlineStr">
        <is>
          <t>Успешно</t>
        </is>
      </c>
      <c r="M3" s="6" t="inlineStr">
        <is>
          <t>Пользовательский интерфейс</t>
        </is>
      </c>
      <c r="N3" s="7" t="n">
        <v>5</v>
      </c>
      <c r="O3" s="7" t="n">
        <v>2</v>
      </c>
      <c r="P3" s="7" t="n"/>
      <c r="Q3" s="175" t="n">
        <v>2</v>
      </c>
      <c r="R3" s="7" t="n"/>
      <c r="S3" s="7" t="n"/>
      <c r="T3" s="7" t="n"/>
      <c r="U3" s="7" t="n"/>
      <c r="V3" s="7" t="n"/>
      <c r="W3" s="7" t="n"/>
      <c r="X3" s="7" t="n"/>
      <c r="Y3" s="7" t="n"/>
      <c r="Z3" s="7" t="n"/>
      <c r="AA3" s="7" t="n"/>
      <c r="AB3" s="7" t="n">
        <v>1</v>
      </c>
      <c r="AC3" s="175" t="n">
        <v>2</v>
      </c>
    </row>
    <row r="4">
      <c r="A4" s="6" t="inlineStr">
        <is>
          <t>работник 146</t>
        </is>
      </c>
      <c r="B4" s="6" t="inlineStr">
        <is>
          <t>Проходчик (с исполнением обязанностей взрывника)</t>
        </is>
      </c>
      <c r="C4" s="6" t="inlineStr">
        <is>
          <t>Проходчик (с исполнением обязанностей взрывника)</t>
        </is>
      </c>
      <c r="D4" s="6" t="inlineStr">
        <is>
          <t>ОБЩЕСТВО С ОГРАНИЧЕННОЙ ОТВЕТСТВЕННОСТЬЮ "АМУР ЗОЛОТО"</t>
        </is>
      </c>
      <c r="E4" s="6" t="inlineStr">
        <is>
          <t>2708001686</t>
        </is>
      </c>
      <c r="F4" s="6" t="inlineStr">
        <is>
          <t>ООО "Амур Золото"</t>
        </is>
      </c>
      <c r="G4" s="6" t="inlineStr">
        <is>
          <t>2708001686</t>
        </is>
      </c>
      <c r="H4" s="6" t="inlineStr">
        <is>
          <t>37117737; 37117738; 37117739; 87544924; 87544925</t>
        </is>
      </c>
      <c r="I4" s="6" t="inlineStr">
        <is>
          <t>2978778; 6719954</t>
        </is>
      </c>
      <c r="J4" s="6" t="inlineStr">
        <is>
          <t>ОТ № ЮГОК ПГУ 24-01; ОТ № ЮГОК ПГУ 24-23</t>
        </is>
      </c>
      <c r="K4" s="6" t="inlineStr">
        <is>
          <t>19.01.2024; 12.11.2024</t>
        </is>
      </c>
      <c r="L4" s="6" t="inlineStr">
        <is>
          <t>Успешно</t>
        </is>
      </c>
      <c r="M4" s="6" t="inlineStr">
        <is>
          <t>Пользовательский интерфейс</t>
        </is>
      </c>
      <c r="N4" s="7" t="n">
        <v>5</v>
      </c>
      <c r="O4" s="7" t="n">
        <v>2</v>
      </c>
      <c r="P4" s="7" t="n"/>
      <c r="Q4" s="175" t="n">
        <v>2</v>
      </c>
      <c r="R4" s="7" t="n"/>
      <c r="S4" s="7" t="n"/>
      <c r="T4" s="7" t="n"/>
      <c r="U4" s="7" t="n"/>
      <c r="V4" s="7" t="n"/>
      <c r="W4" s="7" t="n"/>
      <c r="X4" s="7" t="n"/>
      <c r="Y4" s="7" t="n"/>
      <c r="Z4" s="7" t="n"/>
      <c r="AA4" s="7" t="n"/>
      <c r="AB4" s="7" t="n">
        <v>1</v>
      </c>
      <c r="AC4" s="175" t="n">
        <v>2</v>
      </c>
    </row>
    <row r="5">
      <c r="A5" s="6" t="inlineStr">
        <is>
          <t>работник 606</t>
        </is>
      </c>
      <c r="B5" s="6" t="inlineStr">
        <is>
          <t>Кухонный рабочий | Лаборант химического анализа</t>
        </is>
      </c>
      <c r="C5" s="6" t="inlineStr">
        <is>
          <t>Кухонный рабочий | Лаборант химического анализа</t>
        </is>
      </c>
      <c r="D5" s="6" t="inlineStr">
        <is>
          <t>ОБЩЕСТВО С ОГРАНИЧЕННОЙ ОТВЕТСТВЕННОСТЬЮ "АМУР ЗОЛОТО"</t>
        </is>
      </c>
      <c r="E5" s="6" t="inlineStr">
        <is>
          <t>2708001686</t>
        </is>
      </c>
      <c r="F5" s="6" t="inlineStr">
        <is>
          <t>ООО "Амур Золото"</t>
        </is>
      </c>
      <c r="G5" s="6" t="inlineStr">
        <is>
          <t>2708001686</t>
        </is>
      </c>
      <c r="H5" s="6" t="inlineStr">
        <is>
          <t>148627023; 148627024; 223283056; 223283057; 223283058</t>
        </is>
      </c>
      <c r="I5" s="6" t="inlineStr">
        <is>
          <t>11125717; 15995643</t>
        </is>
      </c>
      <c r="J5" s="6" t="inlineStr">
        <is>
          <t>ОТ № ЮГОК УОП 25-10; ЮГОК ПАЛ 26-12</t>
        </is>
      </c>
      <c r="K5" s="6" t="inlineStr">
        <is>
          <t>25.09.2025; 09.09.2026</t>
        </is>
      </c>
      <c r="L5" s="6" t="inlineStr">
        <is>
          <t>Успешно</t>
        </is>
      </c>
      <c r="M5" s="6" t="inlineStr">
        <is>
          <t>Пользовательский интерфейс</t>
        </is>
      </c>
      <c r="N5" s="7" t="n">
        <v>5</v>
      </c>
      <c r="O5" s="7" t="n">
        <v>2</v>
      </c>
      <c r="P5" s="7" t="n"/>
      <c r="Q5" s="175" t="n">
        <v>2</v>
      </c>
      <c r="R5" s="7" t="n"/>
      <c r="S5" s="7" t="n"/>
      <c r="T5" s="7" t="n"/>
      <c r="U5" s="7" t="n"/>
      <c r="V5" s="7" t="n"/>
      <c r="W5" s="7" t="n"/>
      <c r="X5" s="7" t="n"/>
      <c r="Y5" s="7" t="n"/>
      <c r="Z5" s="7" t="n"/>
      <c r="AA5" s="7" t="n"/>
      <c r="AB5" s="7" t="n">
        <v>1</v>
      </c>
      <c r="AC5" s="175" t="n">
        <v>2</v>
      </c>
    </row>
    <row r="6">
      <c r="A6" s="6" t="inlineStr">
        <is>
          <t>работник 32</t>
        </is>
      </c>
      <c r="B6" s="6" t="inlineStr">
        <is>
          <t>Электромонтер | Электромонтер по ремонту и обслуживанию электрооборудования | Проходчик (с исполнением обязанностей взрывника)</t>
        </is>
      </c>
      <c r="C6" s="6" t="inlineStr">
        <is>
          <t>Электромантер | Электромонтер по ремонту и обслуживанию электрооборудования | Электромонтер по ремонту и обслуживанию электрооборудованию | Проходчик (с исполнением обязанностей взрывника)</t>
        </is>
      </c>
      <c r="D6" s="6" t="inlineStr">
        <is>
          <t>ОБЩЕСТВО С ОГРАНИЧЕННОЙ ОТВЕТСТВЕННОСТЬЮ "АМУР ЗОЛОТО"</t>
        </is>
      </c>
      <c r="E6" s="6" t="inlineStr">
        <is>
          <t>2708001686</t>
        </is>
      </c>
      <c r="F6" s="6" t="inlineStr">
        <is>
          <t>ООО "Амур Золото"</t>
        </is>
      </c>
      <c r="G6" s="6" t="inlineStr">
        <is>
          <t>2708001686</t>
        </is>
      </c>
      <c r="H6" s="6" t="inlineStr">
        <is>
          <t>37117323; 37117324; 85344268; 85344269; 90580099; 96539148; 96539149; 96539150; 96539151; 96539152; 96539153; 148627008; 148627009; 200897027</t>
        </is>
      </c>
      <c r="I6" s="6" t="inlineStr">
        <is>
          <t>2978778; 6554154; 6934388; 7135797; 11125717; 14513218</t>
        </is>
      </c>
      <c r="J6" s="6" t="inlineStr">
        <is>
          <t>ОТ № ЮГОК ЗИОФ 23-03; ОТ № ЮГОК ЗИОФ 24-33; ОТ № ЮГОК ЗИОФ 24-38; ОТ № ЮГОК ЗИОФ 24-42; ОТ № ЮГОК ПГУ 34-25; ЮГОК ЗИОФ 26-01</t>
        </is>
      </c>
      <c r="K6" s="6" t="inlineStr">
        <is>
          <t>24.11.2023; 25.10.2024; 25.11.2024; 10.12.2024; 21.09.2025; 05.06.2026</t>
        </is>
      </c>
      <c r="L6" s="6" t="inlineStr">
        <is>
          <t>Успешно</t>
        </is>
      </c>
      <c r="M6" s="6" t="inlineStr">
        <is>
          <t>Пользовательский интерфейс</t>
        </is>
      </c>
      <c r="N6" s="7" t="n">
        <v>14</v>
      </c>
      <c r="O6" s="7" t="n">
        <v>4</v>
      </c>
      <c r="P6" s="7" t="n"/>
      <c r="Q6" s="175" t="n">
        <v>3</v>
      </c>
      <c r="R6" s="175" t="n">
        <v>2</v>
      </c>
      <c r="S6" s="7" t="n">
        <v>1</v>
      </c>
      <c r="T6" s="7" t="n">
        <v>1</v>
      </c>
      <c r="U6" s="7" t="n">
        <v>1</v>
      </c>
      <c r="V6" s="7" t="n">
        <v>1</v>
      </c>
      <c r="W6" s="7" t="n">
        <v>1</v>
      </c>
      <c r="X6" s="175" t="n">
        <v>2</v>
      </c>
      <c r="Y6" s="7" t="n"/>
      <c r="Z6" s="7" t="n"/>
      <c r="AA6" s="7" t="n"/>
      <c r="AB6" s="7" t="n"/>
      <c r="AC6" s="175" t="n">
        <v>2</v>
      </c>
    </row>
    <row r="7">
      <c r="A7" s="6" t="inlineStr">
        <is>
          <t>работник 126</t>
        </is>
      </c>
      <c r="B7" s="6" t="inlineStr">
        <is>
          <t>Дробильщик</t>
        </is>
      </c>
      <c r="C7" s="6" t="inlineStr">
        <is>
          <t>Дробильщик | Дробильщики</t>
        </is>
      </c>
      <c r="D7" s="6" t="inlineStr">
        <is>
          <t>ОБЩЕСТВО С ОГРАНИЧЕННОЙ ОТВЕТСТВЕННОСТЬЮ "АМУР ЗОЛОТО"</t>
        </is>
      </c>
      <c r="E7" s="6" t="inlineStr">
        <is>
          <t>2708001686</t>
        </is>
      </c>
      <c r="F7" s="6" t="inlineStr">
        <is>
          <t>ООО "Амур Золото"</t>
        </is>
      </c>
      <c r="G7" s="6" t="inlineStr">
        <is>
          <t>2708001686</t>
        </is>
      </c>
      <c r="H7" s="6" t="inlineStr">
        <is>
          <t>37117643; 37117644; 37117645; 223283012; 223283013; 223283014</t>
        </is>
      </c>
      <c r="I7" s="6" t="inlineStr">
        <is>
          <t>2978778; 15995643</t>
        </is>
      </c>
      <c r="J7" s="6" t="inlineStr">
        <is>
          <t>ОТ ЮГОК ЗИОФ 23-04; ЮГОК ЗИОФ 26-51</t>
        </is>
      </c>
      <c r="K7" s="6" t="inlineStr">
        <is>
          <t>11.12.2023; 26.08.2026</t>
        </is>
      </c>
      <c r="L7" s="6" t="inlineStr">
        <is>
          <t>Успешно</t>
        </is>
      </c>
      <c r="M7" s="6" t="inlineStr">
        <is>
          <t>Пользовательский интерфейс</t>
        </is>
      </c>
      <c r="N7" s="7" t="n">
        <v>6</v>
      </c>
      <c r="O7" s="7" t="n">
        <v>3</v>
      </c>
      <c r="P7" s="7" t="n"/>
      <c r="Q7" s="175" t="n">
        <v>2</v>
      </c>
      <c r="R7" s="7" t="n"/>
      <c r="S7" s="7" t="n"/>
      <c r="T7" s="7" t="n"/>
      <c r="U7" s="7" t="n"/>
      <c r="V7" s="7" t="n"/>
      <c r="W7" s="7" t="n"/>
      <c r="X7" s="7" t="n"/>
      <c r="Y7" s="7" t="n"/>
      <c r="Z7" s="7" t="n"/>
      <c r="AA7" s="7" t="n"/>
      <c r="AB7" s="175" t="n">
        <v>2</v>
      </c>
      <c r="AC7" s="175" t="n">
        <v>2</v>
      </c>
    </row>
    <row r="8">
      <c r="A8" s="6" t="inlineStr">
        <is>
          <t>работник 78</t>
        </is>
      </c>
      <c r="B8" s="6" t="inlineStr">
        <is>
          <t>Электрогазосварщик | Сварщик</t>
        </is>
      </c>
      <c r="C8" s="6" t="inlineStr">
        <is>
          <t>Электрогазосварщик (занятый на резке и ручной сварке) | Сварщик | Электрогазосварщик</t>
        </is>
      </c>
      <c r="D8" s="6" t="inlineStr">
        <is>
          <t>ОБЩЕСТВО С ОГРАНИЧЕННОЙ ОТВЕТСТВЕННОСТЬЮ "АМУР ЗОЛОТО"</t>
        </is>
      </c>
      <c r="E8" s="6" t="inlineStr">
        <is>
          <t>2708001686</t>
        </is>
      </c>
      <c r="F8" s="6" t="inlineStr">
        <is>
          <t>ООО "Амур Золото"</t>
        </is>
      </c>
      <c r="G8" s="6" t="inlineStr">
        <is>
          <t>2708001686</t>
        </is>
      </c>
      <c r="H8" s="6" t="inlineStr">
        <is>
          <t>37117465; 37117466; 37117467; 37117495; 37117496; 37117497; 110446307; 110446308; 144713861; 144713862; 148626998; 148627022; 197822300; 197822301; 197822302</t>
        </is>
      </c>
      <c r="I8" s="6" t="inlineStr">
        <is>
          <t>2978778; 8371772; 10845617; 11125717; 14313480</t>
        </is>
      </c>
      <c r="J8" s="6" t="inlineStr">
        <is>
          <t>ОТ № ЮГОК РСУ 23-01; ОТ № ЮГОК РСУ 23-02; ОТ № ЮГОК РСУ 25-01; ОТ № ЮГОК РСУ 25-04; ЮГОК ОКС (РСУ) 26-01</t>
        </is>
      </c>
      <c r="K8" s="6" t="inlineStr">
        <is>
          <t>23.11.2023; 24.11.2023; 29.01.2025; 23.08.2025; 23.05.2026</t>
        </is>
      </c>
      <c r="L8" s="6" t="inlineStr">
        <is>
          <t>Успешно</t>
        </is>
      </c>
      <c r="M8" s="6" t="inlineStr">
        <is>
          <t>Пользовательский интерфейс</t>
        </is>
      </c>
      <c r="N8" s="7" t="n">
        <v>15</v>
      </c>
      <c r="O8" s="7" t="n">
        <v>2</v>
      </c>
      <c r="P8" s="7" t="n"/>
      <c r="Q8" s="175" t="n">
        <v>5</v>
      </c>
      <c r="R8" s="7" t="n">
        <v>1</v>
      </c>
      <c r="S8" s="7" t="n">
        <v>1</v>
      </c>
      <c r="T8" s="7" t="n"/>
      <c r="U8" s="7" t="n"/>
      <c r="V8" s="7" t="n"/>
      <c r="W8" s="7" t="n"/>
      <c r="X8" s="7" t="n"/>
      <c r="Y8" s="7" t="n">
        <v>1</v>
      </c>
      <c r="Z8" s="7" t="n">
        <v>1</v>
      </c>
      <c r="AA8" s="7" t="n"/>
      <c r="AB8" s="7" t="n">
        <v>1</v>
      </c>
      <c r="AC8" s="175" t="n">
        <v>5</v>
      </c>
    </row>
    <row r="9">
      <c r="A9" s="6" t="inlineStr">
        <is>
          <t>работник 666</t>
        </is>
      </c>
      <c r="B9" s="6" t="inlineStr">
        <is>
          <t>Электрослесарь (слесарь) дежурный и по ремонту оборудования</t>
        </is>
      </c>
      <c r="C9" s="6" t="inlineStr">
        <is>
          <t>Электрослесарь (слесарь) дежурный и по ремонту оборудования</t>
        </is>
      </c>
      <c r="D9" s="6" t="inlineStr">
        <is>
          <t>ОБЩЕСТВО С ОГРАНИЧЕННОЙ ОТВЕТСТВЕННОСТЬЮ "АМУР ЗОЛОТО"</t>
        </is>
      </c>
      <c r="E9" s="6" t="inlineStr">
        <is>
          <t>2708001686</t>
        </is>
      </c>
      <c r="F9" s="6" t="inlineStr">
        <is>
          <t>ООО "Амур Золото"</t>
        </is>
      </c>
      <c r="G9" s="6" t="inlineStr">
        <is>
          <t>2708001686</t>
        </is>
      </c>
      <c r="H9" s="6" t="inlineStr">
        <is>
          <t>180849754; 180849755; 214421465; 214421466; 214421467</t>
        </is>
      </c>
      <c r="I9" s="6" t="inlineStr">
        <is>
          <t>13246997; 15411209</t>
        </is>
      </c>
      <c r="J9" s="6" t="inlineStr">
        <is>
          <t>ОТ № ЮГОК ПГУ 26-22; ЮГОК ПГУ 26-32</t>
        </is>
      </c>
      <c r="K9" s="6" t="inlineStr">
        <is>
          <t>09.03.2026; 28.07.2026</t>
        </is>
      </c>
      <c r="L9" s="6" t="inlineStr">
        <is>
          <t>Успешно</t>
        </is>
      </c>
      <c r="M9" s="6" t="inlineStr">
        <is>
          <t>Пользовательский интерфейс</t>
        </is>
      </c>
      <c r="N9" s="7" t="n">
        <v>5</v>
      </c>
      <c r="O9" s="7" t="n">
        <v>2</v>
      </c>
      <c r="P9" s="7" t="n"/>
      <c r="Q9" s="175" t="n">
        <v>2</v>
      </c>
      <c r="R9" s="7" t="n"/>
      <c r="S9" s="7" t="n"/>
      <c r="T9" s="7" t="n"/>
      <c r="U9" s="7" t="n"/>
      <c r="V9" s="7" t="n"/>
      <c r="W9" s="7" t="n"/>
      <c r="X9" s="7" t="n"/>
      <c r="Y9" s="7" t="n"/>
      <c r="Z9" s="7" t="n"/>
      <c r="AA9" s="7" t="n"/>
      <c r="AB9" s="7" t="n">
        <v>1</v>
      </c>
      <c r="AC9" s="175" t="n">
        <v>2</v>
      </c>
    </row>
    <row r="10">
      <c r="A10" s="6" t="inlineStr">
        <is>
          <t>работник 147</t>
        </is>
      </c>
      <c r="B10" s="6" t="inlineStr">
        <is>
          <t>Крепильщик</t>
        </is>
      </c>
      <c r="C10" s="6" t="inlineStr">
        <is>
          <t>Крепильщик</t>
        </is>
      </c>
      <c r="D10" s="6" t="inlineStr">
        <is>
          <t>ОБЩЕСТВО С ОГРАНИЧЕННОЙ ОТВЕТСТВЕННОСТЬЮ "АМУР ЗОЛОТО"</t>
        </is>
      </c>
      <c r="E10" s="6" t="inlineStr">
        <is>
          <t>2708001686</t>
        </is>
      </c>
      <c r="F10" s="6" t="inlineStr">
        <is>
          <t>ООО "Амур Золото"</t>
        </is>
      </c>
      <c r="G10" s="6" t="inlineStr">
        <is>
          <t>2708001686</t>
        </is>
      </c>
      <c r="H10" s="6" t="inlineStr">
        <is>
          <t>37117740; 37117741; 37117742; 87544926; 87544927; 214421468; 214421469; 214421470</t>
        </is>
      </c>
      <c r="I10" s="6" t="inlineStr">
        <is>
          <t>2978778; 6719954; 15411209</t>
        </is>
      </c>
      <c r="J10" s="6" t="inlineStr">
        <is>
          <t>ОТ № ЮГОК ПГУ 24-01; ОТ № ЮГОК ПГУ 24-23; ЮГОК ПГУ 26-33</t>
        </is>
      </c>
      <c r="K10" s="6" t="inlineStr">
        <is>
          <t>19.01.2024; 12.11.2024; 24.07.2026</t>
        </is>
      </c>
      <c r="L10" s="6" t="inlineStr">
        <is>
          <t>Успешно</t>
        </is>
      </c>
      <c r="M10" s="6" t="inlineStr">
        <is>
          <t>Пользовательский интерфейс</t>
        </is>
      </c>
      <c r="N10" s="7" t="n">
        <v>8</v>
      </c>
      <c r="O10" s="7" t="n">
        <v>3</v>
      </c>
      <c r="P10" s="7" t="n"/>
      <c r="Q10" s="175" t="n">
        <v>3</v>
      </c>
      <c r="R10" s="7" t="n"/>
      <c r="S10" s="7" t="n"/>
      <c r="T10" s="7" t="n"/>
      <c r="U10" s="7" t="n"/>
      <c r="V10" s="7" t="n"/>
      <c r="W10" s="7" t="n"/>
      <c r="X10" s="7" t="n"/>
      <c r="Y10" s="7" t="n"/>
      <c r="Z10" s="7" t="n"/>
      <c r="AA10" s="7" t="n"/>
      <c r="AB10" s="175" t="n">
        <v>2</v>
      </c>
      <c r="AC10" s="175" t="n">
        <v>3</v>
      </c>
    </row>
    <row r="11">
      <c r="A11" s="6" t="inlineStr">
        <is>
          <t>работник 507</t>
        </is>
      </c>
      <c r="B11" s="6" t="inlineStr">
        <is>
          <t>Электрогазосварщик</t>
        </is>
      </c>
      <c r="C11" s="6" t="inlineStr">
        <is>
          <t>Электрогазосварщик (занятый на резке и ручной сварке)</t>
        </is>
      </c>
      <c r="D11" s="6" t="inlineStr">
        <is>
          <t>ОБЩЕСТВО С ОГРАНИЧЕННОЙ ОТВЕТСТВЕННОСТЬЮ "АМУР ЗОЛОТО"</t>
        </is>
      </c>
      <c r="E11" s="6" t="inlineStr">
        <is>
          <t>2708001686</t>
        </is>
      </c>
      <c r="F11" s="6" t="inlineStr">
        <is>
          <t>ООО "Амур Золото"</t>
        </is>
      </c>
      <c r="G11" s="6" t="inlineStr">
        <is>
          <t>2708001686</t>
        </is>
      </c>
      <c r="H11" s="6" t="inlineStr">
        <is>
          <t>96539106; 96539107; 96539108; 96539109; 96539110; 96539111; 148627004; 148627005; 214421480; 214421481; 214421482; 214421483</t>
        </is>
      </c>
      <c r="I11" s="6" t="inlineStr">
        <is>
          <t>7135797; 11125717; 15411209</t>
        </is>
      </c>
      <c r="J11" s="6" t="inlineStr">
        <is>
          <t>ОТ № ЮГОК ЗИОФ 24-41; ОТ № ЮГОК ПГУ 32-25; ЮГОК ПГУ 26-34</t>
        </is>
      </c>
      <c r="K11" s="6" t="inlineStr">
        <is>
          <t>10.12.2024; 17.09.2025; 23.07.2026</t>
        </is>
      </c>
      <c r="L11" s="6" t="inlineStr">
        <is>
          <t>Успешно</t>
        </is>
      </c>
      <c r="M11" s="6" t="inlineStr">
        <is>
          <t>Пользовательский интерфейс</t>
        </is>
      </c>
      <c r="N11" s="7" t="n">
        <v>12</v>
      </c>
      <c r="O11" s="7" t="n">
        <v>3</v>
      </c>
      <c r="P11" s="7" t="n"/>
      <c r="Q11" s="175" t="n">
        <v>2</v>
      </c>
      <c r="R11" s="7" t="n">
        <v>1</v>
      </c>
      <c r="S11" s="175" t="n">
        <v>2</v>
      </c>
      <c r="T11" s="7" t="n">
        <v>1</v>
      </c>
      <c r="U11" s="7" t="n">
        <v>1</v>
      </c>
      <c r="V11" s="7" t="n">
        <v>1</v>
      </c>
      <c r="W11" s="7" t="n">
        <v>1</v>
      </c>
      <c r="X11" s="7" t="n"/>
      <c r="Y11" s="7" t="n"/>
      <c r="Z11" s="7" t="n"/>
      <c r="AA11" s="7" t="n"/>
      <c r="AB11" s="7" t="n">
        <v>1</v>
      </c>
      <c r="AC11" s="175" t="n">
        <v>2</v>
      </c>
    </row>
    <row r="12">
      <c r="A12" s="6" t="inlineStr">
        <is>
          <t>работник 351</t>
        </is>
      </c>
      <c r="B12" s="6" t="inlineStr">
        <is>
          <t>Стропальщик (с исполнением обязанностей грузчика) | Кладовщик</t>
        </is>
      </c>
      <c r="C12" s="6" t="inlineStr">
        <is>
          <t>Стропальщик (с исполнением обязанностей грузчика) | Кладовщик</t>
        </is>
      </c>
      <c r="D12" s="6" t="inlineStr">
        <is>
          <t>ОБЩЕСТВО С ОГРАНИЧЕННОЙ ОТВЕТСТВЕННОСТЬЮ "АМУР ЗОЛОТО"</t>
        </is>
      </c>
      <c r="E12" s="6" t="inlineStr">
        <is>
          <t>2708001686</t>
        </is>
      </c>
      <c r="F12" s="6" t="inlineStr">
        <is>
          <t>ООО "Амур Золото"</t>
        </is>
      </c>
      <c r="G12" s="6" t="inlineStr">
        <is>
          <t>2708001686</t>
        </is>
      </c>
      <c r="H12" s="6" t="inlineStr">
        <is>
          <t>58069261; 58069262; 58069263; 82312010; 82312011</t>
        </is>
      </c>
      <c r="I12" s="6" t="inlineStr">
        <is>
          <t>4506532; 6330469</t>
        </is>
      </c>
      <c r="J12" s="6" t="inlineStr">
        <is>
          <t>ОТ № ЮГОК СК 24-03; ОТ №ЮГОК СК 24-09</t>
        </is>
      </c>
      <c r="K12" s="6" t="inlineStr">
        <is>
          <t>15.04.2024; 16.09.2024</t>
        </is>
      </c>
      <c r="L12" s="6" t="inlineStr">
        <is>
          <t>Успешно</t>
        </is>
      </c>
      <c r="M12" s="6" t="inlineStr">
        <is>
          <t>Пользовательский интерфейс</t>
        </is>
      </c>
      <c r="N12" s="7" t="n">
        <v>5</v>
      </c>
      <c r="O12" s="7" t="n">
        <v>2</v>
      </c>
      <c r="P12" s="7" t="n"/>
      <c r="Q12" s="175" t="n">
        <v>2</v>
      </c>
      <c r="R12" s="7" t="n"/>
      <c r="S12" s="7" t="n"/>
      <c r="T12" s="7" t="n"/>
      <c r="U12" s="7" t="n"/>
      <c r="V12" s="7" t="n"/>
      <c r="W12" s="7" t="n"/>
      <c r="X12" s="7" t="n"/>
      <c r="Y12" s="7" t="n"/>
      <c r="Z12" s="7" t="n"/>
      <c r="AA12" s="7" t="n"/>
      <c r="AB12" s="7" t="n">
        <v>1</v>
      </c>
      <c r="AC12" s="175" t="n">
        <v>2</v>
      </c>
    </row>
    <row r="13">
      <c r="A13" s="6" t="inlineStr">
        <is>
          <t>работник 524</t>
        </is>
      </c>
      <c r="B13" s="6" t="inlineStr">
        <is>
          <t>Машинист конвейера | Машинист мельниц</t>
        </is>
      </c>
      <c r="C13" s="6" t="inlineStr">
        <is>
          <t>Машинист конвейера | Машинист мельниц</t>
        </is>
      </c>
      <c r="D13" s="6" t="inlineStr">
        <is>
          <t>ОБЩЕСТВО С ОГРАНИЧЕННОЙ ОТВЕТСТВЕННОСТЬЮ "АМУР ЗОЛОТО"</t>
        </is>
      </c>
      <c r="E13" s="6" t="inlineStr">
        <is>
          <t>2708001686</t>
        </is>
      </c>
      <c r="F13" s="6" t="inlineStr">
        <is>
          <t>ООО "Амур Золото"</t>
        </is>
      </c>
      <c r="G13" s="6" t="inlineStr">
        <is>
          <t>2708001686</t>
        </is>
      </c>
      <c r="H13" s="6" t="inlineStr">
        <is>
          <t>110446277; 110446278; 214421229; 214421230; 214421231</t>
        </is>
      </c>
      <c r="I13" s="6" t="inlineStr">
        <is>
          <t>8371772; 15411209</t>
        </is>
      </c>
      <c r="J13" s="6" t="inlineStr">
        <is>
          <t>ОТ № ЮГОК ЗИОФ 25-03; ЮГОК ЗИОФ 26-29</t>
        </is>
      </c>
      <c r="K13" s="6" t="inlineStr">
        <is>
          <t>01.02.2025; 29.07.2026</t>
        </is>
      </c>
      <c r="L13" s="6" t="inlineStr">
        <is>
          <t>Успешно</t>
        </is>
      </c>
      <c r="M13" s="6" t="inlineStr">
        <is>
          <t>Пользовательский интерфейс</t>
        </is>
      </c>
      <c r="N13" s="7" t="n">
        <v>5</v>
      </c>
      <c r="O13" s="7" t="n">
        <v>2</v>
      </c>
      <c r="P13" s="7" t="n"/>
      <c r="Q13" s="175" t="n">
        <v>2</v>
      </c>
      <c r="R13" s="7" t="n"/>
      <c r="S13" s="7" t="n"/>
      <c r="T13" s="7" t="n"/>
      <c r="U13" s="7" t="n"/>
      <c r="V13" s="7" t="n"/>
      <c r="W13" s="7" t="n"/>
      <c r="X13" s="7" t="n"/>
      <c r="Y13" s="7" t="n"/>
      <c r="Z13" s="7" t="n"/>
      <c r="AA13" s="7" t="n"/>
      <c r="AB13" s="7" t="n">
        <v>1</v>
      </c>
      <c r="AC13" s="175" t="n">
        <v>2</v>
      </c>
    </row>
    <row r="14">
      <c r="A14" s="6" t="inlineStr">
        <is>
          <t>работник 76</t>
        </is>
      </c>
      <c r="B14" s="6" t="inlineStr">
        <is>
          <t>Монтажник по монтажу стальных и железобетонных конструкций</t>
        </is>
      </c>
      <c r="C14" s="6" t="inlineStr">
        <is>
          <t>Монтажник по монтажу стальных и железобетонных конструкций | Монтажник ж/б и м/к</t>
        </is>
      </c>
      <c r="D14" s="6" t="inlineStr">
        <is>
          <t>ОБЩЕСТВО С ОГРАНИЧЕННОЙ ОТВЕТСТВЕННОСТЬЮ "АМУР ЗОЛОТО"</t>
        </is>
      </c>
      <c r="E14" s="6" t="inlineStr">
        <is>
          <t>2708001686</t>
        </is>
      </c>
      <c r="F14" s="6" t="inlineStr">
        <is>
          <t>ООО "Амур Золото"</t>
        </is>
      </c>
      <c r="G14" s="6" t="inlineStr">
        <is>
          <t>2708001686</t>
        </is>
      </c>
      <c r="H14" s="6" t="inlineStr">
        <is>
          <t>37117459; 37117460; 37117461; 37117489; 37117490; 37117491; 82312006; 82312007; 197822303; 197822304</t>
        </is>
      </c>
      <c r="I14" s="6" t="inlineStr">
        <is>
          <t>2978778; 6330469; 14313480</t>
        </is>
      </c>
      <c r="J14" s="6" t="inlineStr">
        <is>
          <t>ОТ № ЮГОК РСУ 23-01; ОТ № ЮГОК РСУ 23-02; ОТ №ЮГОК РСУ 24-03; ЮГОК ОКС (РСУ) 26-01</t>
        </is>
      </c>
      <c r="K14" s="6" t="inlineStr">
        <is>
          <t>23.11.2023; 24.11.2023; 05.10.2024; 23.05.2026</t>
        </is>
      </c>
      <c r="L14" s="6" t="inlineStr">
        <is>
          <t>Успешно</t>
        </is>
      </c>
      <c r="M14" s="6" t="inlineStr">
        <is>
          <t>Пользовательский интерфейс</t>
        </is>
      </c>
      <c r="N14" s="7" t="n">
        <v>10</v>
      </c>
      <c r="O14" s="7" t="n">
        <v>2</v>
      </c>
      <c r="P14" s="7" t="n"/>
      <c r="Q14" s="175" t="n">
        <v>3</v>
      </c>
      <c r="R14" s="7" t="n">
        <v>1</v>
      </c>
      <c r="S14" s="7" t="n"/>
      <c r="T14" s="7" t="n"/>
      <c r="U14" s="7" t="n"/>
      <c r="V14" s="7" t="n"/>
      <c r="W14" s="7" t="n"/>
      <c r="X14" s="7" t="n"/>
      <c r="Y14" s="7" t="n">
        <v>1</v>
      </c>
      <c r="Z14" s="7" t="n">
        <v>1</v>
      </c>
      <c r="AA14" s="7" t="n"/>
      <c r="AB14" s="7" t="n">
        <v>1</v>
      </c>
      <c r="AC14" s="175" t="n">
        <v>3</v>
      </c>
    </row>
    <row r="15">
      <c r="A15" s="6" t="inlineStr">
        <is>
          <t>работник 424</t>
        </is>
      </c>
      <c r="B15" s="6" t="inlineStr">
        <is>
          <t>Аппаратчик-гидрометаллург | Фильтровальщик</t>
        </is>
      </c>
      <c r="C15" s="6" t="inlineStr">
        <is>
          <t>Аппаратчик-гидрометаллург | Фильтровальщик</t>
        </is>
      </c>
      <c r="D15" s="6" t="inlineStr">
        <is>
          <t>ОБЩЕСТВО С ОГРАНИЧЕННОЙ ОТВЕТСТВЕННОСТЬЮ "АМУР ЗОЛОТО"</t>
        </is>
      </c>
      <c r="E15" s="6" t="inlineStr">
        <is>
          <t>2708001686</t>
        </is>
      </c>
      <c r="F15" s="6" t="inlineStr">
        <is>
          <t>ООО "Амур Золото"</t>
        </is>
      </c>
      <c r="G15" s="6" t="inlineStr">
        <is>
          <t>2708001686</t>
        </is>
      </c>
      <c r="H15" s="6" t="inlineStr">
        <is>
          <t>85344264; 85344265; 223282981; 223282982; 223282983; 223283023; 223283024; 223283025</t>
        </is>
      </c>
      <c r="I15" s="6" t="inlineStr">
        <is>
          <t>6554154; 15995643</t>
        </is>
      </c>
      <c r="J15" s="6" t="inlineStr">
        <is>
          <t>ОТ № ЮГОК ЗИОФ 24-31; ЮГОК ЗИОФ 26-48; ЮГОК ЗИОФ 26-55</t>
        </is>
      </c>
      <c r="K15" s="6" t="inlineStr">
        <is>
          <t>20.10.2024; 26.08.2026; 07.09.2026</t>
        </is>
      </c>
      <c r="L15" s="6" t="inlineStr">
        <is>
          <t>Успешно</t>
        </is>
      </c>
      <c r="M15" s="6" t="inlineStr">
        <is>
          <t>Пользовательский интерфейс</t>
        </is>
      </c>
      <c r="N15" s="7" t="n">
        <v>8</v>
      </c>
      <c r="O15" s="7" t="n">
        <v>3</v>
      </c>
      <c r="P15" s="7" t="n"/>
      <c r="Q15" s="175" t="n">
        <v>3</v>
      </c>
      <c r="R15" s="7" t="n"/>
      <c r="S15" s="7" t="n"/>
      <c r="T15" s="7" t="n"/>
      <c r="U15" s="7" t="n"/>
      <c r="V15" s="7" t="n"/>
      <c r="W15" s="7" t="n"/>
      <c r="X15" s="7" t="n"/>
      <c r="Y15" s="7" t="n"/>
      <c r="Z15" s="7" t="n"/>
      <c r="AA15" s="7" t="n"/>
      <c r="AB15" s="175" t="n">
        <v>2</v>
      </c>
      <c r="AC15" s="175" t="n">
        <v>3</v>
      </c>
    </row>
    <row r="16">
      <c r="A16" s="6" t="inlineStr">
        <is>
          <t>работник 75</t>
        </is>
      </c>
      <c r="B16" s="6" t="inlineStr">
        <is>
          <t>Плотник</t>
        </is>
      </c>
      <c r="C16" s="6" t="inlineStr">
        <is>
          <t>Плотник</t>
        </is>
      </c>
      <c r="D16" s="6" t="inlineStr">
        <is>
          <t>ОБЩЕСТВО С ОГРАНИЧЕННОЙ ОТВЕТСТВЕННОСТЬЮ "АМУР ЗОЛОТО"</t>
        </is>
      </c>
      <c r="E16" s="6" t="inlineStr">
        <is>
          <t>2708001686</t>
        </is>
      </c>
      <c r="F16" s="6" t="inlineStr">
        <is>
          <t>ООО "Амур Золото"</t>
        </is>
      </c>
      <c r="G16" s="6" t="inlineStr">
        <is>
          <t>2708001686</t>
        </is>
      </c>
      <c r="H16" s="6" t="inlineStr">
        <is>
          <t>37117456; 37117457; 37117458; 37117473; 37117487; 37117488; 131313254; 131313255; 197822305; 197822306</t>
        </is>
      </c>
      <c r="I16" s="6" t="inlineStr">
        <is>
          <t>2978778; 9873379; 14313480</t>
        </is>
      </c>
      <c r="J16" s="6" t="inlineStr">
        <is>
          <t>ОТ № ЮГОК РСУ 23-01; ОТ № ЮГОК РСУ 23-02; ОТ № ЮГОК РСУ 25-03; ЮГОК ОКС (РСУ) 26-01</t>
        </is>
      </c>
      <c r="K16" s="6" t="inlineStr">
        <is>
          <t>23.11.2023; 24.11.2023; 27.06.2025; 23.05.2026</t>
        </is>
      </c>
      <c r="L16" s="6" t="inlineStr">
        <is>
          <t>Успешно</t>
        </is>
      </c>
      <c r="M16" s="6" t="inlineStr">
        <is>
          <t>Пользовательский интерфейс</t>
        </is>
      </c>
      <c r="N16" s="7" t="n">
        <v>10</v>
      </c>
      <c r="O16" s="7" t="n">
        <v>2</v>
      </c>
      <c r="P16" s="7" t="n"/>
      <c r="Q16" s="175" t="n">
        <v>3</v>
      </c>
      <c r="R16" s="7" t="n">
        <v>1</v>
      </c>
      <c r="S16" s="7" t="n"/>
      <c r="T16" s="7" t="n"/>
      <c r="U16" s="7" t="n"/>
      <c r="V16" s="7" t="n"/>
      <c r="W16" s="7" t="n"/>
      <c r="X16" s="7" t="n"/>
      <c r="Y16" s="7" t="n">
        <v>1</v>
      </c>
      <c r="Z16" s="7" t="n">
        <v>1</v>
      </c>
      <c r="AA16" s="7" t="n"/>
      <c r="AB16" s="7" t="n">
        <v>1</v>
      </c>
      <c r="AC16" s="175" t="n">
        <v>3</v>
      </c>
    </row>
    <row r="17">
      <c r="A17" s="6" t="inlineStr">
        <is>
          <t>работник 62</t>
        </is>
      </c>
      <c r="B17" s="6" t="inlineStr">
        <is>
          <t>Машинист двигателей внутреннего сгорания (с исполнением обязанностей машиниста компрессорных установок)</t>
        </is>
      </c>
      <c r="C17" s="6" t="inlineStr">
        <is>
          <t>Машинист ДВС с обязанностями компрессорщик | Машинист двигателей внутреннего сгорания (с исполнением обязанностей машиниста компрессорных установок)</t>
        </is>
      </c>
      <c r="D17" s="6" t="inlineStr">
        <is>
          <t>ОБЩЕСТВО С ОГРАНИЧЕННОЙ ОТВЕТСТВЕННОСТЬЮ "АМУР ЗОЛОТО"</t>
        </is>
      </c>
      <c r="E17" s="6" t="inlineStr">
        <is>
          <t>2708001686</t>
        </is>
      </c>
      <c r="F17" s="6" t="inlineStr">
        <is>
          <t>ООО "Амур Золото"</t>
        </is>
      </c>
      <c r="G17" s="6" t="inlineStr">
        <is>
          <t>2708001686</t>
        </is>
      </c>
      <c r="H17" s="6" t="inlineStr">
        <is>
          <t>37117416; 37117417; 37117419; 222717346; 222717347; 222717348</t>
        </is>
      </c>
      <c r="I17" s="6" t="inlineStr">
        <is>
          <t>2978778; 15953442</t>
        </is>
      </c>
      <c r="J17" s="6" t="inlineStr">
        <is>
          <t>ОТ № ЮГОК ЭУ 23-01; ЮГОК ЭУ 26-23</t>
        </is>
      </c>
      <c r="K17" s="6" t="inlineStr">
        <is>
          <t>23.11.2023; 24.08.2026</t>
        </is>
      </c>
      <c r="L17" s="6" t="inlineStr">
        <is>
          <t>Успешно</t>
        </is>
      </c>
      <c r="M17" s="6" t="inlineStr">
        <is>
          <t>Пользовательский интерфейс</t>
        </is>
      </c>
      <c r="N17" s="7" t="n">
        <v>6</v>
      </c>
      <c r="O17" s="7" t="n">
        <v>3</v>
      </c>
      <c r="P17" s="7" t="n"/>
      <c r="Q17" s="175" t="n">
        <v>2</v>
      </c>
      <c r="R17" s="7" t="n"/>
      <c r="S17" s="7" t="n"/>
      <c r="T17" s="7" t="n"/>
      <c r="U17" s="7" t="n"/>
      <c r="V17" s="7" t="n"/>
      <c r="W17" s="7" t="n"/>
      <c r="X17" s="7" t="n"/>
      <c r="Y17" s="7" t="n"/>
      <c r="Z17" s="7" t="n"/>
      <c r="AA17" s="7" t="n"/>
      <c r="AB17" s="175" t="n">
        <v>2</v>
      </c>
      <c r="AC17" s="175" t="n">
        <v>2</v>
      </c>
    </row>
    <row r="18">
      <c r="A18" s="6" t="inlineStr">
        <is>
          <t>работник 305</t>
        </is>
      </c>
      <c r="B18" s="6" t="inlineStr">
        <is>
          <t>Электромонтер | Электромонтер по ремонту и обслуживанию электрооборудования</t>
        </is>
      </c>
      <c r="C18" s="6" t="inlineStr">
        <is>
          <t>Электромонтер | Электромонтер по ремонту и обслуживанию электрооборудования | Электромонтер по ремонту и обслуживанию электрооборудованию</t>
        </is>
      </c>
      <c r="D18" s="6" t="inlineStr">
        <is>
          <t>ОБЩЕСТВО С ОГРАНИЧЕННОЙ ОТВЕТСТВЕННОСТЬЮ "АМУР ЗОЛОТО"</t>
        </is>
      </c>
      <c r="E18" s="6" t="inlineStr">
        <is>
          <t>2708001686</t>
        </is>
      </c>
      <c r="F18" s="6" t="inlineStr">
        <is>
          <t>ООО "Амур Золото"</t>
        </is>
      </c>
      <c r="G18" s="6" t="inlineStr">
        <is>
          <t>2708001686</t>
        </is>
      </c>
      <c r="H18" s="6" t="inlineStr">
        <is>
          <t>43299692; 43299693; 85344280; 85344281; 96539160; 96539161; 96539162; 96539163; 96539164; 96539165</t>
        </is>
      </c>
      <c r="I18" s="6" t="inlineStr">
        <is>
          <t>3474285; 6554154; 7135797</t>
        </is>
      </c>
      <c r="J18" s="6" t="inlineStr">
        <is>
          <t>ОТ ЮГОК ЗИОФ 24-18; ОТ № ЮГОК ЗИОФ 24-33; ОТ № ЮГОК ЗИОФ 24-42</t>
        </is>
      </c>
      <c r="K18" s="6" t="inlineStr">
        <is>
          <t>06.03.2024; 25.10.2024; 10.12.2024</t>
        </is>
      </c>
      <c r="L18" s="6" t="inlineStr">
        <is>
          <t>Успешно</t>
        </is>
      </c>
      <c r="M18" s="6" t="inlineStr">
        <is>
          <t>Пользовательский интерфейс</t>
        </is>
      </c>
      <c r="N18" s="7" t="n">
        <v>10</v>
      </c>
      <c r="O18" s="7" t="n">
        <v>1</v>
      </c>
      <c r="P18" s="7" t="n"/>
      <c r="Q18" s="7" t="n">
        <v>1</v>
      </c>
      <c r="R18" s="175" t="n">
        <v>2</v>
      </c>
      <c r="S18" s="7" t="n">
        <v>1</v>
      </c>
      <c r="T18" s="7" t="n">
        <v>1</v>
      </c>
      <c r="U18" s="7" t="n">
        <v>1</v>
      </c>
      <c r="V18" s="7" t="n">
        <v>1</v>
      </c>
      <c r="W18" s="7" t="n">
        <v>1</v>
      </c>
      <c r="X18" s="7" t="n">
        <v>1</v>
      </c>
      <c r="Y18" s="7" t="n"/>
      <c r="Z18" s="7" t="n"/>
      <c r="AA18" s="7" t="n"/>
      <c r="AB18" s="7" t="n"/>
      <c r="AC18" s="7" t="n">
        <v>1</v>
      </c>
    </row>
    <row r="19">
      <c r="A19" s="6" t="inlineStr">
        <is>
          <t>работник 672</t>
        </is>
      </c>
      <c r="B19" s="6" t="inlineStr">
        <is>
          <t>Горнорабочий на маркшейдерских работах</t>
        </is>
      </c>
      <c r="C19" s="6" t="inlineStr">
        <is>
          <t>Горнорабочий на маркшейдерских работах</t>
        </is>
      </c>
      <c r="D19" s="6" t="inlineStr">
        <is>
          <t>ОБЩЕСТВО С ОГРАНИЧЕННОЙ ОТВЕТСТВЕННОСТЬЮ "АМУР ЗОЛОТО"</t>
        </is>
      </c>
      <c r="E19" s="6" t="inlineStr">
        <is>
          <t>2708001686</t>
        </is>
      </c>
      <c r="F19" s="6" t="inlineStr">
        <is>
          <t>ООО "Амур Золото"</t>
        </is>
      </c>
      <c r="G19" s="6" t="inlineStr">
        <is>
          <t>2708001686</t>
        </is>
      </c>
      <c r="H19" s="6" t="inlineStr">
        <is>
          <t>189084979; 189084980; 222717308; 222717309; 222717310</t>
        </is>
      </c>
      <c r="I19" s="6" t="inlineStr">
        <is>
          <t>13661981; 15953442</t>
        </is>
      </c>
      <c r="J19" s="6" t="inlineStr">
        <is>
          <t>ОТ № ЮГОК ГМО 26-05; ЮГОК ОГМ 26-05</t>
        </is>
      </c>
      <c r="K19" s="6" t="inlineStr">
        <is>
          <t>06.04.2026; 25.08.2026</t>
        </is>
      </c>
      <c r="L19" s="6" t="inlineStr">
        <is>
          <t>Успешно</t>
        </is>
      </c>
      <c r="M19" s="6" t="inlineStr">
        <is>
          <t>Пользовательский интерфейс</t>
        </is>
      </c>
      <c r="N19" s="7" t="n">
        <v>5</v>
      </c>
      <c r="O19" s="7" t="n">
        <v>2</v>
      </c>
      <c r="P19" s="7" t="n"/>
      <c r="Q19" s="175" t="n">
        <v>2</v>
      </c>
      <c r="R19" s="7" t="n"/>
      <c r="S19" s="7" t="n"/>
      <c r="T19" s="7" t="n"/>
      <c r="U19" s="7" t="n"/>
      <c r="V19" s="7" t="n"/>
      <c r="W19" s="7" t="n"/>
      <c r="X19" s="7" t="n"/>
      <c r="Y19" s="7" t="n"/>
      <c r="Z19" s="7" t="n"/>
      <c r="AA19" s="7" t="n"/>
      <c r="AB19" s="7" t="n">
        <v>1</v>
      </c>
      <c r="AC19" s="175" t="n">
        <v>2</v>
      </c>
    </row>
    <row r="20">
      <c r="A20" s="6" t="inlineStr">
        <is>
          <t>работник 655</t>
        </is>
      </c>
      <c r="B20" s="6" t="inlineStr">
        <is>
          <t>Слесарь по ремонту автомобилей и тяжелой техники | Слесарь по ремонту автомобилей</t>
        </is>
      </c>
      <c r="C20" s="6" t="inlineStr">
        <is>
          <t>Слесарь по ремонту автомобилей и тяжелой техники | Слесарь по ремонту автомобилей</t>
        </is>
      </c>
      <c r="D20" s="6" t="inlineStr">
        <is>
          <t>ОБЩЕСТВО С ОГРАНИЧЕННОЙ ОТВЕТСТВЕННОСТЬЮ "АМУР ЗОЛОТО"</t>
        </is>
      </c>
      <c r="E20" s="6" t="inlineStr">
        <is>
          <t>2708001686</t>
        </is>
      </c>
      <c r="F20" s="6" t="inlineStr">
        <is>
          <t>ООО "Амур Золото"</t>
        </is>
      </c>
      <c r="G20" s="6" t="inlineStr">
        <is>
          <t>2708001686</t>
        </is>
      </c>
      <c r="H20" s="6" t="inlineStr">
        <is>
          <t>180849729; 180849730; 222717218; 222717219; 222717220</t>
        </is>
      </c>
      <c r="I20" s="6" t="inlineStr">
        <is>
          <t>13246997; 15953442</t>
        </is>
      </c>
      <c r="J20" s="6" t="inlineStr">
        <is>
          <t>ОТ № ЮГОК АТЦ 26-02; ЮГОК АТЦ 26-21</t>
        </is>
      </c>
      <c r="K20" s="6" t="inlineStr">
        <is>
          <t>07.03.2026; 18.08.2026</t>
        </is>
      </c>
      <c r="L20" s="6" t="inlineStr">
        <is>
          <t>Успешно</t>
        </is>
      </c>
      <c r="M20" s="6" t="inlineStr">
        <is>
          <t>Пользовательский интерфейс</t>
        </is>
      </c>
      <c r="N20" s="7" t="n">
        <v>5</v>
      </c>
      <c r="O20" s="7" t="n">
        <v>2</v>
      </c>
      <c r="P20" s="7" t="n"/>
      <c r="Q20" s="175" t="n">
        <v>2</v>
      </c>
      <c r="R20" s="7" t="n"/>
      <c r="S20" s="7" t="n"/>
      <c r="T20" s="7" t="n"/>
      <c r="U20" s="7" t="n"/>
      <c r="V20" s="7" t="n"/>
      <c r="W20" s="7" t="n"/>
      <c r="X20" s="7" t="n"/>
      <c r="Y20" s="7" t="n"/>
      <c r="Z20" s="7" t="n"/>
      <c r="AA20" s="7" t="n"/>
      <c r="AB20" s="7" t="n">
        <v>1</v>
      </c>
      <c r="AC20" s="175" t="n">
        <v>2</v>
      </c>
    </row>
    <row r="21">
      <c r="A21" s="6" t="inlineStr">
        <is>
          <t>работник 354</t>
        </is>
      </c>
      <c r="B21" s="6" t="inlineStr">
        <is>
          <t>Водитель автомобиля (занятый на транспортировании горной массы в технологическом процессе)</t>
        </is>
      </c>
      <c r="C21" s="6" t="inlineStr">
        <is>
          <t>Водитель автомобиля (занятый на транспортировании горной массы в технологическом процессе)</t>
        </is>
      </c>
      <c r="D21" s="6" t="inlineStr">
        <is>
          <t>ОБЩЕСТВО С ОГРАНИЧЕННОЙ ОТВЕТСТВЕННОСТЬЮ "АМУР ЗОЛОТО"</t>
        </is>
      </c>
      <c r="E21" s="6" t="inlineStr">
        <is>
          <t>2708001686</t>
        </is>
      </c>
      <c r="F21" s="6" t="inlineStr">
        <is>
          <t>ООО "Амур Золото"</t>
        </is>
      </c>
      <c r="G21" s="6" t="inlineStr">
        <is>
          <t>2708001686</t>
        </is>
      </c>
      <c r="H21" s="6" t="inlineStr">
        <is>
          <t>66544953; 66544954; 66544955; 82311979; 82311980</t>
        </is>
      </c>
      <c r="I21" s="6" t="inlineStr">
        <is>
          <t>5129076; 6330469</t>
        </is>
      </c>
      <c r="J21" s="6" t="inlineStr">
        <is>
          <t>ОТ № ЮГОК АТЦ 24-05; ОТ №ЮГОК АТЦ 24-13</t>
        </is>
      </c>
      <c r="K21" s="6" t="inlineStr">
        <is>
          <t>30.06.2024; 05.10.2024</t>
        </is>
      </c>
      <c r="L21" s="6" t="inlineStr">
        <is>
          <t>Успешно</t>
        </is>
      </c>
      <c r="M21" s="6" t="inlineStr">
        <is>
          <t>Пользовательский интерфейс</t>
        </is>
      </c>
      <c r="N21" s="7" t="n">
        <v>5</v>
      </c>
      <c r="O21" s="7" t="n">
        <v>2</v>
      </c>
      <c r="P21" s="7" t="n"/>
      <c r="Q21" s="175" t="n">
        <v>2</v>
      </c>
      <c r="R21" s="7" t="n"/>
      <c r="S21" s="7" t="n"/>
      <c r="T21" s="7" t="n"/>
      <c r="U21" s="7" t="n"/>
      <c r="V21" s="7" t="n"/>
      <c r="W21" s="7" t="n"/>
      <c r="X21" s="7" t="n"/>
      <c r="Y21" s="7" t="n"/>
      <c r="Z21" s="7" t="n"/>
      <c r="AA21" s="7" t="n"/>
      <c r="AB21" s="7" t="n">
        <v>1</v>
      </c>
      <c r="AC21" s="175" t="n">
        <v>2</v>
      </c>
    </row>
    <row r="22">
      <c r="A22" s="6" t="inlineStr">
        <is>
          <t>работник 773</t>
        </is>
      </c>
      <c r="B22" s="6" t="inlineStr">
        <is>
          <t>Слесарь-ремонтник (по ремонту горно-шахтного оборудования)</t>
        </is>
      </c>
      <c r="C22" s="6" t="inlineStr">
        <is>
          <t>Слесарь-ремонтник (по ремонту горно-шахтного оборудования)</t>
        </is>
      </c>
      <c r="D22" s="6" t="inlineStr">
        <is>
          <t>ОБЩЕСТВО С ОГРАНИЧЕННОЙ ОТВЕТСТВЕННОСТЬЮ "АМУР ЗОЛОТО"</t>
        </is>
      </c>
      <c r="E22" s="6" t="inlineStr">
        <is>
          <t>2708001686</t>
        </is>
      </c>
      <c r="F22" s="6" t="inlineStr">
        <is>
          <t>ООО "Амур Золото"</t>
        </is>
      </c>
      <c r="G22" s="6" t="inlineStr">
        <is>
          <t>2708001686</t>
        </is>
      </c>
      <c r="H22" s="6" t="inlineStr">
        <is>
          <t>200897092; 200897093; 200897094; 200897095; 216771198; 216771199; 216771200</t>
        </is>
      </c>
      <c r="I22" s="6" t="inlineStr">
        <is>
          <t>14513218; 15571832</t>
        </is>
      </c>
      <c r="J22" s="6" t="inlineStr">
        <is>
          <t>ЮГОК ПГУ 26-01; ЮГОК ПГУ 26-51</t>
        </is>
      </c>
      <c r="K22" s="6" t="inlineStr">
        <is>
          <t>04.06.2026; 17.08.2026</t>
        </is>
      </c>
      <c r="L22" s="6" t="inlineStr">
        <is>
          <t>Успешно</t>
        </is>
      </c>
      <c r="M22" s="6" t="inlineStr">
        <is>
          <t>Пользовательский интерфейс</t>
        </is>
      </c>
      <c r="N22" s="7" t="n">
        <v>7</v>
      </c>
      <c r="O22" s="7" t="n">
        <v>3</v>
      </c>
      <c r="P22" s="7" t="n"/>
      <c r="Q22" s="175" t="n">
        <v>2</v>
      </c>
      <c r="R22" s="7" t="n"/>
      <c r="S22" s="7" t="n">
        <v>1</v>
      </c>
      <c r="T22" s="7" t="n"/>
      <c r="U22" s="7" t="n"/>
      <c r="V22" s="7" t="n"/>
      <c r="W22" s="7" t="n"/>
      <c r="X22" s="7" t="n"/>
      <c r="Y22" s="7" t="n"/>
      <c r="Z22" s="7" t="n"/>
      <c r="AA22" s="7" t="n"/>
      <c r="AB22" s="175" t="n">
        <v>2</v>
      </c>
      <c r="AC22" s="175" t="n">
        <v>2</v>
      </c>
    </row>
    <row r="23">
      <c r="A23" s="6" t="inlineStr">
        <is>
          <t>работник 148</t>
        </is>
      </c>
      <c r="B23" s="6" t="inlineStr">
        <is>
          <t>Машинист подземно-доставочной машины | Машинист погрузочно-доставочной машины (занятый на транспортировании горной массы в технологическом процессе)</t>
        </is>
      </c>
      <c r="C23" s="6" t="inlineStr">
        <is>
          <t>Машинист подземно-доставочной машины | Машинист погрузочно-доставочной машины (занятый на транспортировании горной массы в технологическом процессе)</t>
        </is>
      </c>
      <c r="D23" s="6" t="inlineStr">
        <is>
          <t>ОБЩЕСТВО С ОГРАНИЧЕННОЙ ОТВЕТСТВЕННОСТЬЮ "АМУР ЗОЛОТО"</t>
        </is>
      </c>
      <c r="E23" s="6" t="inlineStr">
        <is>
          <t>2708001686</t>
        </is>
      </c>
      <c r="F23" s="6" t="inlineStr">
        <is>
          <t>ООО "Амур Золото"</t>
        </is>
      </c>
      <c r="G23" s="6" t="inlineStr">
        <is>
          <t>2708001686</t>
        </is>
      </c>
      <c r="H23" s="6" t="inlineStr">
        <is>
          <t>37117743; 37117744; 37117745; 87544928; 87544930</t>
        </is>
      </c>
      <c r="I23" s="6" t="inlineStr">
        <is>
          <t>2978778; 6719954</t>
        </is>
      </c>
      <c r="J23" s="6" t="inlineStr">
        <is>
          <t>ОТ № ЮГОК ПГУ 24-01; ОТ № ЮГОК ПГУ 24-23</t>
        </is>
      </c>
      <c r="K23" s="6" t="inlineStr">
        <is>
          <t>19.01.2024; 12.11.2024</t>
        </is>
      </c>
      <c r="L23" s="6" t="inlineStr">
        <is>
          <t>Успешно</t>
        </is>
      </c>
      <c r="M23" s="6" t="inlineStr">
        <is>
          <t>Пользовательский интерфейс</t>
        </is>
      </c>
      <c r="N23" s="7" t="n">
        <v>5</v>
      </c>
      <c r="O23" s="7" t="n">
        <v>2</v>
      </c>
      <c r="P23" s="7" t="n"/>
      <c r="Q23" s="175" t="n">
        <v>2</v>
      </c>
      <c r="R23" s="7" t="n"/>
      <c r="S23" s="7" t="n"/>
      <c r="T23" s="7" t="n"/>
      <c r="U23" s="7" t="n"/>
      <c r="V23" s="7" t="n"/>
      <c r="W23" s="7" t="n"/>
      <c r="X23" s="7" t="n"/>
      <c r="Y23" s="7" t="n"/>
      <c r="Z23" s="7" t="n"/>
      <c r="AA23" s="7" t="n"/>
      <c r="AB23" s="7" t="n">
        <v>1</v>
      </c>
      <c r="AC23" s="175" t="n">
        <v>2</v>
      </c>
    </row>
    <row r="24">
      <c r="A24" s="6" t="inlineStr">
        <is>
          <t>работник 504</t>
        </is>
      </c>
      <c r="B24" s="6" t="inlineStr">
        <is>
          <t>Электрогазосварщик</t>
        </is>
      </c>
      <c r="C24" s="6" t="inlineStr">
        <is>
          <t>Электрогазосварщик | Электрогазосварщик (занятый на резке и ручной сварке)</t>
        </is>
      </c>
      <c r="D24" s="6" t="inlineStr">
        <is>
          <t>ОБЩЕСТВО С ОГРАНИЧЕННОЙ ОТВЕТСТВЕННОСТЬЮ "АМУР ЗОЛОТО"</t>
        </is>
      </c>
      <c r="E24" s="6" t="inlineStr">
        <is>
          <t>2708001686</t>
        </is>
      </c>
      <c r="F24" s="6" t="inlineStr">
        <is>
          <t>ООО "Амур Золото"</t>
        </is>
      </c>
      <c r="G24" s="6" t="inlineStr">
        <is>
          <t>2708001686</t>
        </is>
      </c>
      <c r="H24" s="6" t="inlineStr">
        <is>
          <t>90580085; 90580086; 96539112; 96539113; 96539114; 96539115; 96539116; 96539117; 200897021; 200897022; 200897023; 214421304; 214421305; 214421306</t>
        </is>
      </c>
      <c r="I24" s="6" t="inlineStr">
        <is>
          <t>6934388; 7135797; 14513218; 15411209</t>
        </is>
      </c>
      <c r="J24" s="6" t="inlineStr">
        <is>
          <t>ОТ № ЮГОК ЗИОФ 24-36; ОТ № ЮГОК ЗИОФ 24-41; ЮГОК ЗИОФ 26-01; ЮГОК ЗИОФ 26-37</t>
        </is>
      </c>
      <c r="K24" s="6" t="inlineStr">
        <is>
          <t>25.11.2024; 10.12.2024; 05.06.2026; 29.07.2026</t>
        </is>
      </c>
      <c r="L24" s="6" t="inlineStr">
        <is>
          <t>Успешно</t>
        </is>
      </c>
      <c r="M24" s="6" t="inlineStr">
        <is>
          <t>Пользовательский интерфейс</t>
        </is>
      </c>
      <c r="N24" s="7" t="n">
        <v>14</v>
      </c>
      <c r="O24" s="7" t="n">
        <v>5</v>
      </c>
      <c r="P24" s="7" t="n"/>
      <c r="Q24" s="175" t="n">
        <v>2</v>
      </c>
      <c r="R24" s="175" t="n">
        <v>2</v>
      </c>
      <c r="S24" s="175" t="n">
        <v>2</v>
      </c>
      <c r="T24" s="175" t="n">
        <v>2</v>
      </c>
      <c r="U24" s="7" t="n">
        <v>1</v>
      </c>
      <c r="V24" s="7" t="n">
        <v>1</v>
      </c>
      <c r="W24" s="7" t="n">
        <v>1</v>
      </c>
      <c r="X24" s="7" t="n"/>
      <c r="Y24" s="7" t="n"/>
      <c r="Z24" s="7" t="n"/>
      <c r="AA24" s="7" t="n"/>
      <c r="AB24" s="7" t="n">
        <v>1</v>
      </c>
      <c r="AC24" s="175" t="n">
        <v>2</v>
      </c>
    </row>
    <row r="25">
      <c r="A25" s="6" t="inlineStr">
        <is>
          <t>работник 149</t>
        </is>
      </c>
      <c r="B25" s="6" t="inlineStr">
        <is>
          <t>Машинист подземно-доставочной машины | Машинист погрузочно-доставочной машины</t>
        </is>
      </c>
      <c r="C25" s="6" t="inlineStr">
        <is>
          <t>Машинист подземно-доставочной машины | Машинист погрузочно-доставочной машины</t>
        </is>
      </c>
      <c r="D25" s="6" t="inlineStr">
        <is>
          <t>ОБЩЕСТВО С ОГРАНИЧЕННОЙ ОТВЕТСТВЕННОСТЬЮ "АМУР ЗОЛОТО"</t>
        </is>
      </c>
      <c r="E25" s="6" t="inlineStr">
        <is>
          <t>2708001686</t>
        </is>
      </c>
      <c r="F25" s="6" t="inlineStr">
        <is>
          <t>ООО "Амур Золото"</t>
        </is>
      </c>
      <c r="G25" s="6" t="inlineStr">
        <is>
          <t>2708001686</t>
        </is>
      </c>
      <c r="H25" s="6" t="inlineStr">
        <is>
          <t>37117746; 37117747; 37117748; 87544931; 87544932; 216771143; 216771144; 216771145</t>
        </is>
      </c>
      <c r="I25" s="6" t="inlineStr">
        <is>
          <t>2978778; 6719954; 15571832</t>
        </is>
      </c>
      <c r="J25" s="6" t="inlineStr">
        <is>
          <t>ОТ № ЮГОК ПГУ 24-01; ОТ № ЮГОК ПГУ 24-23; ЮГОК ПГУ 26-47</t>
        </is>
      </c>
      <c r="K25" s="6" t="inlineStr">
        <is>
          <t>19.01.2024; 12.11.2024; 15.08.2026</t>
        </is>
      </c>
      <c r="L25" s="6" t="inlineStr">
        <is>
          <t>Успешно</t>
        </is>
      </c>
      <c r="M25" s="6" t="inlineStr">
        <is>
          <t>Пользовательский интерфейс</t>
        </is>
      </c>
      <c r="N25" s="7" t="n">
        <v>8</v>
      </c>
      <c r="O25" s="7" t="n">
        <v>3</v>
      </c>
      <c r="P25" s="7" t="n"/>
      <c r="Q25" s="175" t="n">
        <v>3</v>
      </c>
      <c r="R25" s="7" t="n"/>
      <c r="S25" s="7" t="n"/>
      <c r="T25" s="7" t="n"/>
      <c r="U25" s="7" t="n"/>
      <c r="V25" s="7" t="n"/>
      <c r="W25" s="7" t="n"/>
      <c r="X25" s="7" t="n"/>
      <c r="Y25" s="7" t="n"/>
      <c r="Z25" s="7" t="n"/>
      <c r="AA25" s="7" t="n"/>
      <c r="AB25" s="175" t="n">
        <v>2</v>
      </c>
      <c r="AC25" s="175" t="n">
        <v>3</v>
      </c>
    </row>
    <row r="26">
      <c r="A26" s="6" t="inlineStr">
        <is>
          <t>работник 150</t>
        </is>
      </c>
      <c r="B26" s="6" t="inlineStr">
        <is>
          <t>Помощник машиниста самоходной буровой установки | Помощник машиниста самоходной буровой установки (с исполнением обязанностей пробоотборщика) (Очистное)</t>
        </is>
      </c>
      <c r="C26" s="6" t="inlineStr">
        <is>
          <t>Помощник машиниста самоходной буровой установки | Помощник машиниста самоходной буровой установки (с исполнением обязанностей пробоотборщика) (Очистное)</t>
        </is>
      </c>
      <c r="D26" s="6" t="inlineStr">
        <is>
          <t>ОБЩЕСТВО С ОГРАНИЧЕННОЙ ОТВЕТСТВЕННОСТЬЮ "АМУР ЗОЛОТО"</t>
        </is>
      </c>
      <c r="E26" s="6" t="inlineStr">
        <is>
          <t>2708001686</t>
        </is>
      </c>
      <c r="F26" s="6" t="inlineStr">
        <is>
          <t>ООО "Амур Золото"</t>
        </is>
      </c>
      <c r="G26" s="6" t="inlineStr">
        <is>
          <t>2708001686</t>
        </is>
      </c>
      <c r="H26" s="6" t="inlineStr">
        <is>
          <t>37117749; 37117750; 37117751; 87544933; 87544934</t>
        </is>
      </c>
      <c r="I26" s="6" t="inlineStr">
        <is>
          <t>2978778; 6719954</t>
        </is>
      </c>
      <c r="J26" s="6" t="inlineStr">
        <is>
          <t>ОТ № ЮГОК ПГУ 24-01; ОТ № ЮГОК ПГУ 24-23</t>
        </is>
      </c>
      <c r="K26" s="6" t="inlineStr">
        <is>
          <t>19.01.2024; 12.11.2024</t>
        </is>
      </c>
      <c r="L26" s="6" t="inlineStr">
        <is>
          <t>Успешно</t>
        </is>
      </c>
      <c r="M26" s="6" t="inlineStr">
        <is>
          <t>Пользовательский интерфейс</t>
        </is>
      </c>
      <c r="N26" s="7" t="n">
        <v>5</v>
      </c>
      <c r="O26" s="7" t="n">
        <v>2</v>
      </c>
      <c r="P26" s="7" t="n"/>
      <c r="Q26" s="175" t="n">
        <v>2</v>
      </c>
      <c r="R26" s="7" t="n"/>
      <c r="S26" s="7" t="n"/>
      <c r="T26" s="7" t="n"/>
      <c r="U26" s="7" t="n"/>
      <c r="V26" s="7" t="n"/>
      <c r="W26" s="7" t="n"/>
      <c r="X26" s="7" t="n"/>
      <c r="Y26" s="7" t="n"/>
      <c r="Z26" s="7" t="n"/>
      <c r="AA26" s="7" t="n"/>
      <c r="AB26" s="7" t="n">
        <v>1</v>
      </c>
      <c r="AC26" s="175" t="n">
        <v>2</v>
      </c>
    </row>
    <row r="27">
      <c r="A27" s="6" t="inlineStr">
        <is>
          <t>работник 151</t>
        </is>
      </c>
      <c r="B27" s="6" t="inlineStr">
        <is>
          <t>Машинист подземно-доставочной машины | Машинист погрузочно-доставочной машины (занятый на транспортировании горной массы в технологическом процессе)</t>
        </is>
      </c>
      <c r="C27" s="6" t="inlineStr">
        <is>
          <t>Машинист подземно-доставочной машины | Машинист погрузочно-доставочной машины (занятый на транспортировании горной массы в технологическом процессе)</t>
        </is>
      </c>
      <c r="D27" s="6" t="inlineStr">
        <is>
          <t>ОБЩЕСТВО С ОГРАНИЧЕННОЙ ОТВЕТСТВЕННОСТЬЮ "АМУР ЗОЛОТО"</t>
        </is>
      </c>
      <c r="E27" s="6" t="inlineStr">
        <is>
          <t>2708001686</t>
        </is>
      </c>
      <c r="F27" s="6" t="inlineStr">
        <is>
          <t>ООО "Амур Золото"</t>
        </is>
      </c>
      <c r="G27" s="6" t="inlineStr">
        <is>
          <t>2708001686</t>
        </is>
      </c>
      <c r="H27" s="6" t="inlineStr">
        <is>
          <t>37117752; 37117753; 37117754; 87544935; 87544936; 216771189; 216771190; 216771191</t>
        </is>
      </c>
      <c r="I27" s="6" t="inlineStr">
        <is>
          <t>2978778; 6719954; 15571832</t>
        </is>
      </c>
      <c r="J27" s="6" t="inlineStr">
        <is>
          <t>ОТ № ЮГОК ПГУ 24-01; ОТ № ЮГОК ПГУ 24-23; ЮГОК ПГУ 26-50</t>
        </is>
      </c>
      <c r="K27" s="6" t="inlineStr">
        <is>
          <t>19.01.2024; 12.11.2024; 16.08.2026</t>
        </is>
      </c>
      <c r="L27" s="6" t="inlineStr">
        <is>
          <t>Успешно</t>
        </is>
      </c>
      <c r="M27" s="6" t="inlineStr">
        <is>
          <t>Пользовательский интерфейс</t>
        </is>
      </c>
      <c r="N27" s="7" t="n">
        <v>8</v>
      </c>
      <c r="O27" s="7" t="n">
        <v>3</v>
      </c>
      <c r="P27" s="7" t="n"/>
      <c r="Q27" s="175" t="n">
        <v>3</v>
      </c>
      <c r="R27" s="7" t="n"/>
      <c r="S27" s="7" t="n"/>
      <c r="T27" s="7" t="n"/>
      <c r="U27" s="7" t="n"/>
      <c r="V27" s="7" t="n"/>
      <c r="W27" s="7" t="n"/>
      <c r="X27" s="7" t="n"/>
      <c r="Y27" s="7" t="n"/>
      <c r="Z27" s="7" t="n"/>
      <c r="AA27" s="7" t="n"/>
      <c r="AB27" s="175" t="n">
        <v>2</v>
      </c>
      <c r="AC27" s="175" t="n">
        <v>3</v>
      </c>
    </row>
    <row r="28">
      <c r="A28" s="6" t="inlineStr">
        <is>
          <t>работник 94</t>
        </is>
      </c>
      <c r="B28" s="6" t="inlineStr">
        <is>
          <t>Кухонный рабочий | Горнорабочий на геологических работах</t>
        </is>
      </c>
      <c r="C28" s="6" t="inlineStr">
        <is>
          <t>Кухонный рабочий | Горнорабочий на геологических работах</t>
        </is>
      </c>
      <c r="D28" s="6" t="inlineStr">
        <is>
          <t>ОБЩЕСТВО С ОГРАНИЧЕННОЙ ОТВЕТСТВЕННОСТЬЮ "АМУР ЗОЛОТО"</t>
        </is>
      </c>
      <c r="E28" s="6" t="inlineStr">
        <is>
          <t>2708001686</t>
        </is>
      </c>
      <c r="F28" s="6" t="inlineStr">
        <is>
          <t>ООО "Амур Золото"</t>
        </is>
      </c>
      <c r="G28" s="6" t="inlineStr">
        <is>
          <t>2708001686</t>
        </is>
      </c>
      <c r="H28" s="6" t="inlineStr">
        <is>
          <t>37117547; 37117548; 37117549; 96539060; 96539061; 222717302; 222717303; 222717304</t>
        </is>
      </c>
      <c r="I28" s="6" t="inlineStr">
        <is>
          <t>2978778; 7135797; 15953442</t>
        </is>
      </c>
      <c r="J28" s="6" t="inlineStr">
        <is>
          <t>ОТ № ЮГОК Столовая 23-01; ОТ № ЮГОК ГМО 24-05; ЮГОК ОГГ 26-08</t>
        </is>
      </c>
      <c r="K28" s="6" t="inlineStr">
        <is>
          <t>09.12.2023; 10.12.2024; 25.08.2026</t>
        </is>
      </c>
      <c r="L28" s="6" t="inlineStr">
        <is>
          <t>Успешно</t>
        </is>
      </c>
      <c r="M28" s="6" t="inlineStr">
        <is>
          <t>Пользовательский интерфейс</t>
        </is>
      </c>
      <c r="N28" s="7" t="n">
        <v>8</v>
      </c>
      <c r="O28" s="7" t="n">
        <v>3</v>
      </c>
      <c r="P28" s="7" t="n"/>
      <c r="Q28" s="175" t="n">
        <v>3</v>
      </c>
      <c r="R28" s="7" t="n"/>
      <c r="S28" s="7" t="n"/>
      <c r="T28" s="7" t="n"/>
      <c r="U28" s="7" t="n"/>
      <c r="V28" s="7" t="n"/>
      <c r="W28" s="7" t="n"/>
      <c r="X28" s="7" t="n"/>
      <c r="Y28" s="7" t="n"/>
      <c r="Z28" s="7" t="n"/>
      <c r="AA28" s="7" t="n"/>
      <c r="AB28" s="175" t="n">
        <v>2</v>
      </c>
      <c r="AC28" s="175" t="n">
        <v>3</v>
      </c>
    </row>
    <row r="29">
      <c r="A29" s="6" t="inlineStr">
        <is>
          <t>работник 627</t>
        </is>
      </c>
      <c r="B29" s="6" t="inlineStr">
        <is>
          <t>Подсобный рабочий</t>
        </is>
      </c>
      <c r="C29" s="6" t="inlineStr">
        <is>
          <t>Подсобный рабочий</t>
        </is>
      </c>
      <c r="D29" s="6" t="inlineStr">
        <is>
          <t>ОБЩЕСТВО С ОГРАНИЧЕННОЙ ОТВЕТСТВЕННОСТЬЮ "АМУР ЗОЛОТО"</t>
        </is>
      </c>
      <c r="E29" s="6" t="inlineStr">
        <is>
          <t>2708001686</t>
        </is>
      </c>
      <c r="F29" s="6" t="inlineStr">
        <is>
          <t>ООО "Амур Золото"</t>
        </is>
      </c>
      <c r="G29" s="6" t="inlineStr">
        <is>
          <t>2708001686</t>
        </is>
      </c>
      <c r="H29" s="6" t="inlineStr">
        <is>
          <t>173160784; 173160785; 216771052; 216771053; 216771054</t>
        </is>
      </c>
      <c r="I29" s="6" t="inlineStr">
        <is>
          <t>12768377; 15571832</t>
        </is>
      </c>
      <c r="J29" s="6" t="inlineStr">
        <is>
          <t>ОТ № ЮГОК АХЧ 25-04; ЮГОК АХЧ 26-47</t>
        </is>
      </c>
      <c r="K29" s="6" t="inlineStr">
        <is>
          <t>01.02.2026; 16.08.2026</t>
        </is>
      </c>
      <c r="L29" s="6" t="inlineStr">
        <is>
          <t>Успешно</t>
        </is>
      </c>
      <c r="M29" s="6" t="inlineStr">
        <is>
          <t>Пользовательский интерфейс</t>
        </is>
      </c>
      <c r="N29" s="7" t="n">
        <v>5</v>
      </c>
      <c r="O29" s="7" t="n">
        <v>2</v>
      </c>
      <c r="P29" s="7" t="n"/>
      <c r="Q29" s="175" t="n">
        <v>2</v>
      </c>
      <c r="R29" s="7" t="n"/>
      <c r="S29" s="7" t="n"/>
      <c r="T29" s="7" t="n"/>
      <c r="U29" s="7" t="n"/>
      <c r="V29" s="7" t="n"/>
      <c r="W29" s="7" t="n"/>
      <c r="X29" s="7" t="n"/>
      <c r="Y29" s="7" t="n"/>
      <c r="Z29" s="7" t="n"/>
      <c r="AA29" s="7" t="n"/>
      <c r="AB29" s="7" t="n">
        <v>1</v>
      </c>
      <c r="AC29" s="175" t="n">
        <v>2</v>
      </c>
    </row>
    <row r="30">
      <c r="A30" s="6" t="inlineStr">
        <is>
          <t>работник 260</t>
        </is>
      </c>
      <c r="B30" s="6" t="inlineStr">
        <is>
          <t>Водитель автомобиля (занятый на транспортировании горной массы в технологическом процессе)</t>
        </is>
      </c>
      <c r="C30" s="6" t="inlineStr">
        <is>
          <t>Водитель автомобиля (занятый на транспортировании горной массы в технологическом процессе)</t>
        </is>
      </c>
      <c r="D30" s="6" t="inlineStr">
        <is>
          <t>ОБЩЕСТВО С ОГРАНИЧЕННОЙ ОТВЕТСТВЕННОСТЬЮ "АМУР ЗОЛОТО"</t>
        </is>
      </c>
      <c r="E30" s="6" t="inlineStr">
        <is>
          <t>2708001686</t>
        </is>
      </c>
      <c r="F30" s="6" t="inlineStr">
        <is>
          <t>ООО "Амур Золото"</t>
        </is>
      </c>
      <c r="G30" s="6" t="inlineStr">
        <is>
          <t>2708001686</t>
        </is>
      </c>
      <c r="H30" s="6" t="inlineStr">
        <is>
          <t>42252320; 42252321; 42252322; 222717131; 222717132; 222717133</t>
        </is>
      </c>
      <c r="I30" s="6" t="inlineStr">
        <is>
          <t>3404353; 15953442</t>
        </is>
      </c>
      <c r="J30" s="6" t="inlineStr">
        <is>
          <t>ОТ № ЮГОК АТЦ 24-04; ЮГОК АТЦ 26-15</t>
        </is>
      </c>
      <c r="K30" s="6" t="inlineStr">
        <is>
          <t>23.02.2024; 17.08.2026</t>
        </is>
      </c>
      <c r="L30" s="6" t="inlineStr">
        <is>
          <t>Успешно</t>
        </is>
      </c>
      <c r="M30" s="6" t="inlineStr">
        <is>
          <t>Пользовательский интерфейс</t>
        </is>
      </c>
      <c r="N30" s="7" t="n">
        <v>6</v>
      </c>
      <c r="O30" s="7" t="n">
        <v>3</v>
      </c>
      <c r="P30" s="7" t="n"/>
      <c r="Q30" s="175" t="n">
        <v>2</v>
      </c>
      <c r="R30" s="7" t="n"/>
      <c r="S30" s="7" t="n"/>
      <c r="T30" s="7" t="n"/>
      <c r="U30" s="7" t="n"/>
      <c r="V30" s="7" t="n"/>
      <c r="W30" s="7" t="n"/>
      <c r="X30" s="7" t="n"/>
      <c r="Y30" s="7" t="n"/>
      <c r="Z30" s="7" t="n"/>
      <c r="AA30" s="7" t="n"/>
      <c r="AB30" s="175" t="n">
        <v>2</v>
      </c>
      <c r="AC30" s="175" t="n">
        <v>2</v>
      </c>
    </row>
    <row r="31">
      <c r="A31" s="6" t="inlineStr">
        <is>
          <t>работник 152</t>
        </is>
      </c>
      <c r="B31" s="6" t="inlineStr">
        <is>
          <t>Машинист подземно-доставочной машины | Машинист погрузочно-доставочной машины (занятый на транспортировании горной массы в технологическом процессе)</t>
        </is>
      </c>
      <c r="C31" s="6" t="inlineStr">
        <is>
          <t>Машинист подземно-доставочной машины | Машинист погрузочно-доставочной машины (занятый на транспортировании горной массы в технологическом процессе)</t>
        </is>
      </c>
      <c r="D31" s="6" t="inlineStr">
        <is>
          <t>ОБЩЕСТВО С ОГРАНИЧЕННОЙ ОТВЕТСТВЕННОСТЬЮ "АМУР ЗОЛОТО"</t>
        </is>
      </c>
      <c r="E31" s="6" t="inlineStr">
        <is>
          <t>2708001686</t>
        </is>
      </c>
      <c r="F31" s="6" t="inlineStr">
        <is>
          <t>ООО "Амур Золото"</t>
        </is>
      </c>
      <c r="G31" s="6" t="inlineStr">
        <is>
          <t>2708001686</t>
        </is>
      </c>
      <c r="H31" s="6" t="inlineStr">
        <is>
          <t>37117755; 37117756; 37117757; 87544937; 87544938</t>
        </is>
      </c>
      <c r="I31" s="6" t="inlineStr">
        <is>
          <t>2978778; 6719954</t>
        </is>
      </c>
      <c r="J31" s="6" t="inlineStr">
        <is>
          <t>ОТ № ЮГОК ПГУ 24-01; ОТ № ЮГОК ПГУ 24-23</t>
        </is>
      </c>
      <c r="K31" s="6" t="inlineStr">
        <is>
          <t>19.01.2024; 12.11.2024</t>
        </is>
      </c>
      <c r="L31" s="6" t="inlineStr">
        <is>
          <t>Успешно</t>
        </is>
      </c>
      <c r="M31" s="6" t="inlineStr">
        <is>
          <t>Пользовательский интерфейс</t>
        </is>
      </c>
      <c r="N31" s="7" t="n">
        <v>5</v>
      </c>
      <c r="O31" s="7" t="n">
        <v>2</v>
      </c>
      <c r="P31" s="7" t="n"/>
      <c r="Q31" s="175" t="n">
        <v>2</v>
      </c>
      <c r="R31" s="7" t="n"/>
      <c r="S31" s="7" t="n"/>
      <c r="T31" s="7" t="n"/>
      <c r="U31" s="7" t="n"/>
      <c r="V31" s="7" t="n"/>
      <c r="W31" s="7" t="n"/>
      <c r="X31" s="7" t="n"/>
      <c r="Y31" s="7" t="n"/>
      <c r="Z31" s="7" t="n"/>
      <c r="AA31" s="7" t="n"/>
      <c r="AB31" s="7" t="n">
        <v>1</v>
      </c>
      <c r="AC31" s="175" t="n">
        <v>2</v>
      </c>
    </row>
    <row r="32">
      <c r="A32" s="6" t="inlineStr">
        <is>
          <t>работник 308</t>
        </is>
      </c>
      <c r="B32" s="6" t="inlineStr">
        <is>
          <t>Электрослесарь (слесарь) дежурный и по ремонту оборудования подземного горного участка</t>
        </is>
      </c>
      <c r="C32" s="6" t="inlineStr">
        <is>
          <t>Электрослесарь (слесарь) дежурный и по ремонту оборудования подземного горного участка</t>
        </is>
      </c>
      <c r="D32" s="6" t="inlineStr">
        <is>
          <t>ОБЩЕСТВО С ОГРАНИЧЕННОЙ ОТВЕТСТВЕННОСТЬЮ "АМУР ЗОЛОТО"</t>
        </is>
      </c>
      <c r="E32" s="6" t="inlineStr">
        <is>
          <t>2708001686</t>
        </is>
      </c>
      <c r="F32" s="6" t="inlineStr">
        <is>
          <t>ООО "Амур Золото"</t>
        </is>
      </c>
      <c r="G32" s="6" t="inlineStr">
        <is>
          <t>2708001686</t>
        </is>
      </c>
      <c r="H32" s="6" t="inlineStr">
        <is>
          <t>43299700; 43299701; 43299702; 87544939; 87544940</t>
        </is>
      </c>
      <c r="I32" s="6" t="inlineStr">
        <is>
          <t>3474285; 6719954</t>
        </is>
      </c>
      <c r="J32" s="6" t="inlineStr">
        <is>
          <t>ОТ № ЮГОК ПГУ 24-05; ОТ № ЮГОК ПГУ 24-23</t>
        </is>
      </c>
      <c r="K32" s="6" t="inlineStr">
        <is>
          <t>05.03.2024; 12.11.2024</t>
        </is>
      </c>
      <c r="L32" s="6" t="inlineStr">
        <is>
          <t>Успешно</t>
        </is>
      </c>
      <c r="M32" s="6" t="inlineStr">
        <is>
          <t>Пользовательский интерфейс</t>
        </is>
      </c>
      <c r="N32" s="7" t="n">
        <v>5</v>
      </c>
      <c r="O32" s="7" t="n">
        <v>2</v>
      </c>
      <c r="P32" s="7" t="n"/>
      <c r="Q32" s="175" t="n">
        <v>2</v>
      </c>
      <c r="R32" s="7" t="n"/>
      <c r="S32" s="7" t="n"/>
      <c r="T32" s="7" t="n"/>
      <c r="U32" s="7" t="n"/>
      <c r="V32" s="7" t="n"/>
      <c r="W32" s="7" t="n"/>
      <c r="X32" s="7" t="n"/>
      <c r="Y32" s="7" t="n"/>
      <c r="Z32" s="7" t="n"/>
      <c r="AA32" s="7" t="n"/>
      <c r="AB32" s="7" t="n">
        <v>1</v>
      </c>
      <c r="AC32" s="175" t="n">
        <v>2</v>
      </c>
    </row>
    <row r="33">
      <c r="A33" s="6" t="inlineStr">
        <is>
          <t>работник 479</t>
        </is>
      </c>
      <c r="B33" s="6" t="inlineStr">
        <is>
          <t>Машинист подземных самоходных машин</t>
        </is>
      </c>
      <c r="C33" s="6" t="inlineStr">
        <is>
          <t>Машинист подземных самоходных машин</t>
        </is>
      </c>
      <c r="D33" s="6" t="inlineStr">
        <is>
          <t>ОБЩЕСТВО С ОГРАНИЧЕННОЙ ОТВЕТСТВЕННОСТЬЮ "АМУР ЗОЛОТО"</t>
        </is>
      </c>
      <c r="E33" s="6" t="inlineStr">
        <is>
          <t>2708001686</t>
        </is>
      </c>
      <c r="F33" s="6" t="inlineStr">
        <is>
          <t>ООО "Амур Золото"</t>
        </is>
      </c>
      <c r="G33" s="6" t="inlineStr">
        <is>
          <t>2708001686</t>
        </is>
      </c>
      <c r="H33" s="6" t="inlineStr">
        <is>
          <t>87544941; 87544942; 173160800; 173160801</t>
        </is>
      </c>
      <c r="I33" s="6" t="inlineStr">
        <is>
          <t>6719954; 12768377</t>
        </is>
      </c>
      <c r="J33" s="6" t="inlineStr">
        <is>
          <t>ОТ № ЮГОК ПГУ 24-23; ОТ № ЮГОК ПГУ 25-28</t>
        </is>
      </c>
      <c r="K33" s="6" t="inlineStr">
        <is>
          <t>12.11.2024; 05.02.2026</t>
        </is>
      </c>
      <c r="L33" s="6" t="inlineStr">
        <is>
          <t>Успешно</t>
        </is>
      </c>
      <c r="M33" s="6" t="inlineStr">
        <is>
          <t>Пользовательский интерфейс</t>
        </is>
      </c>
      <c r="N33" s="7" t="n">
        <v>4</v>
      </c>
      <c r="O33" s="7" t="n">
        <v>2</v>
      </c>
      <c r="P33" s="7" t="n"/>
      <c r="Q33" s="175" t="n">
        <v>2</v>
      </c>
      <c r="R33" s="7" t="n"/>
      <c r="S33" s="7" t="n"/>
      <c r="T33" s="7" t="n"/>
      <c r="U33" s="7" t="n"/>
      <c r="V33" s="7" t="n"/>
      <c r="W33" s="7" t="n"/>
      <c r="X33" s="7" t="n"/>
      <c r="Y33" s="7" t="n"/>
      <c r="Z33" s="7" t="n"/>
      <c r="AA33" s="7" t="n"/>
      <c r="AB33" s="7" t="n"/>
      <c r="AC33" s="175" t="n">
        <v>2</v>
      </c>
    </row>
    <row r="34">
      <c r="A34" s="6" t="inlineStr">
        <is>
          <t>работник 261</t>
        </is>
      </c>
      <c r="B34" s="6" t="inlineStr">
        <is>
          <t>Машинист бульдозера</t>
        </is>
      </c>
      <c r="C34" s="6" t="inlineStr">
        <is>
          <t>Машинист бульдозера</t>
        </is>
      </c>
      <c r="D34" s="6" t="inlineStr">
        <is>
          <t>ОБЩЕСТВО С ОГРАНИЧЕННОЙ ОТВЕТСТВЕННОСТЬЮ "АМУР ЗОЛОТО"</t>
        </is>
      </c>
      <c r="E34" s="6" t="inlineStr">
        <is>
          <t>2708001686</t>
        </is>
      </c>
      <c r="F34" s="6" t="inlineStr">
        <is>
          <t>ООО "Амур Золото"</t>
        </is>
      </c>
      <c r="G34" s="6" t="inlineStr">
        <is>
          <t>2708001686</t>
        </is>
      </c>
      <c r="H34" s="6" t="inlineStr">
        <is>
          <t>42252323; 42252324; 42252325; 222717189; 222717190; 222717191</t>
        </is>
      </c>
      <c r="I34" s="6" t="inlineStr">
        <is>
          <t>3404353; 15953442</t>
        </is>
      </c>
      <c r="J34" s="6" t="inlineStr">
        <is>
          <t>ОТ № ЮГОК АТЦ 24-04; ЮГОК АТЦ 26-19</t>
        </is>
      </c>
      <c r="K34" s="6" t="inlineStr">
        <is>
          <t>23.02.2024; 18.08.2026</t>
        </is>
      </c>
      <c r="L34" s="6" t="inlineStr">
        <is>
          <t>Успешно</t>
        </is>
      </c>
      <c r="M34" s="6" t="inlineStr">
        <is>
          <t>Пользовательский интерфейс</t>
        </is>
      </c>
      <c r="N34" s="7" t="n">
        <v>6</v>
      </c>
      <c r="O34" s="7" t="n">
        <v>3</v>
      </c>
      <c r="P34" s="7" t="n"/>
      <c r="Q34" s="175" t="n">
        <v>2</v>
      </c>
      <c r="R34" s="7" t="n"/>
      <c r="S34" s="7" t="n"/>
      <c r="T34" s="7" t="n"/>
      <c r="U34" s="7" t="n"/>
      <c r="V34" s="7" t="n"/>
      <c r="W34" s="7" t="n"/>
      <c r="X34" s="7" t="n"/>
      <c r="Y34" s="7" t="n"/>
      <c r="Z34" s="7" t="n"/>
      <c r="AA34" s="7" t="n"/>
      <c r="AB34" s="175" t="n">
        <v>2</v>
      </c>
      <c r="AC34" s="175" t="n">
        <v>2</v>
      </c>
    </row>
    <row r="35">
      <c r="A35" s="6" t="inlineStr">
        <is>
          <t>работник 262</t>
        </is>
      </c>
      <c r="B35" s="6" t="inlineStr">
        <is>
          <t>Электрогазосварщик</t>
        </is>
      </c>
      <c r="C35" s="6" t="inlineStr">
        <is>
          <t>Электрогазосварщик (занятый на резке и ручной сварке)</t>
        </is>
      </c>
      <c r="D35" s="6" t="inlineStr">
        <is>
          <t>ОБЩЕСТВО С ОГРАНИЧЕННОЙ ОТВЕТСТВЕННОСТЬЮ "АМУР ЗОЛОТО"</t>
        </is>
      </c>
      <c r="E35" s="6" t="inlineStr">
        <is>
          <t>2708001686</t>
        </is>
      </c>
      <c r="F35" s="6" t="inlineStr">
        <is>
          <t>ООО "Амур Золото"</t>
        </is>
      </c>
      <c r="G35" s="6" t="inlineStr">
        <is>
          <t>2708001686</t>
        </is>
      </c>
      <c r="H35" s="6" t="inlineStr">
        <is>
          <t>42252326; 42252327; 42252328; 200982859; 200982860; 200982861; 200982862; 200982863</t>
        </is>
      </c>
      <c r="I35" s="6" t="inlineStr">
        <is>
          <t>3404353; 14518357</t>
        </is>
      </c>
      <c r="J35" s="6" t="inlineStr">
        <is>
          <t>ОТ № ЮГОК АТЦ 24-04; ЮГОК АТЦ 26-01</t>
        </is>
      </c>
      <c r="K35" s="6" t="inlineStr">
        <is>
          <t>23.02.2024; 06.06.2026</t>
        </is>
      </c>
      <c r="L35" s="6" t="inlineStr">
        <is>
          <t>Успешно</t>
        </is>
      </c>
      <c r="M35" s="6" t="inlineStr">
        <is>
          <t>Пользовательский интерфейс</t>
        </is>
      </c>
      <c r="N35" s="7" t="n">
        <v>8</v>
      </c>
      <c r="O35" s="7" t="n">
        <v>3</v>
      </c>
      <c r="P35" s="7" t="n"/>
      <c r="Q35" s="175" t="n">
        <v>2</v>
      </c>
      <c r="R35" s="7" t="n">
        <v>1</v>
      </c>
      <c r="S35" s="7" t="n">
        <v>1</v>
      </c>
      <c r="T35" s="7" t="n"/>
      <c r="U35" s="7" t="n"/>
      <c r="V35" s="7" t="n"/>
      <c r="W35" s="7" t="n"/>
      <c r="X35" s="7" t="n"/>
      <c r="Y35" s="7" t="n"/>
      <c r="Z35" s="7" t="n"/>
      <c r="AA35" s="7" t="n"/>
      <c r="AB35" s="175" t="n">
        <v>2</v>
      </c>
      <c r="AC35" s="175" t="n">
        <v>2</v>
      </c>
    </row>
    <row r="36">
      <c r="A36" s="6" t="inlineStr">
        <is>
          <t>работник 154</t>
        </is>
      </c>
      <c r="B36" s="6" t="inlineStr">
        <is>
          <t>Машинист подземно-доставочной машины | Машинист погрузочно-доставочной машины</t>
        </is>
      </c>
      <c r="C36" s="6" t="inlineStr">
        <is>
          <t>Машинист подземно-доставочной машины | Машинист погрузочно-доставочной машины</t>
        </is>
      </c>
      <c r="D36" s="6" t="inlineStr">
        <is>
          <t>ОБЩЕСТВО С ОГРАНИЧЕННОЙ ОТВЕТСТВЕННОСТЬЮ "АМУР ЗОЛОТО"</t>
        </is>
      </c>
      <c r="E36" s="6" t="inlineStr">
        <is>
          <t>2708001686</t>
        </is>
      </c>
      <c r="F36" s="6" t="inlineStr">
        <is>
          <t>ООО "Амур Золото"</t>
        </is>
      </c>
      <c r="G36" s="6" t="inlineStr">
        <is>
          <t>2708001686</t>
        </is>
      </c>
      <c r="H36" s="6" t="inlineStr">
        <is>
          <t>37117761; 37117762; 37117763; 87544943; 87544944; 214421386; 214421387; 214421388</t>
        </is>
      </c>
      <c r="I36" s="6" t="inlineStr">
        <is>
          <t>2978778; 6719954; 15411209</t>
        </is>
      </c>
      <c r="J36" s="6" t="inlineStr">
        <is>
          <t>ОТ № ЮГОК ПГУ 24-01; ОТ № ЮГОК ПГУ 24-23; ЮГОК ПГУ 26-28</t>
        </is>
      </c>
      <c r="K36" s="6" t="inlineStr">
        <is>
          <t>19.01.2024; 12.11.2024; 23.07.2026</t>
        </is>
      </c>
      <c r="L36" s="6" t="inlineStr">
        <is>
          <t>Успешно</t>
        </is>
      </c>
      <c r="M36" s="6" t="inlineStr">
        <is>
          <t>Пользовательский интерфейс</t>
        </is>
      </c>
      <c r="N36" s="7" t="n">
        <v>8</v>
      </c>
      <c r="O36" s="7" t="n">
        <v>3</v>
      </c>
      <c r="P36" s="7" t="n"/>
      <c r="Q36" s="175" t="n">
        <v>3</v>
      </c>
      <c r="R36" s="7" t="n"/>
      <c r="S36" s="7" t="n"/>
      <c r="T36" s="7" t="n"/>
      <c r="U36" s="7" t="n"/>
      <c r="V36" s="7" t="n"/>
      <c r="W36" s="7" t="n"/>
      <c r="X36" s="7" t="n"/>
      <c r="Y36" s="7" t="n"/>
      <c r="Z36" s="7" t="n"/>
      <c r="AA36" s="7" t="n"/>
      <c r="AB36" s="175" t="n">
        <v>2</v>
      </c>
      <c r="AC36" s="175" t="n">
        <v>3</v>
      </c>
    </row>
    <row r="37">
      <c r="A37" s="6" t="inlineStr">
        <is>
          <t>работник 155</t>
        </is>
      </c>
      <c r="B37" s="6" t="inlineStr">
        <is>
          <t>Машинист самоходной буровой установки | Машинист самоходной буровой установки (Проходка)</t>
        </is>
      </c>
      <c r="C37" s="6" t="inlineStr">
        <is>
          <t>Машинист самоходной буровой установки | Машинист самоходной буровой установки (Проходка)</t>
        </is>
      </c>
      <c r="D37" s="6" t="inlineStr">
        <is>
          <t>ОБЩЕСТВО С ОГРАНИЧЕННОЙ ОТВЕТСТВЕННОСТЬЮ "АМУР ЗОЛОТО"</t>
        </is>
      </c>
      <c r="E37" s="6" t="inlineStr">
        <is>
          <t>2708001686</t>
        </is>
      </c>
      <c r="F37" s="6" t="inlineStr">
        <is>
          <t>ООО "Амур Золото"</t>
        </is>
      </c>
      <c r="G37" s="6" t="inlineStr">
        <is>
          <t>2708001686</t>
        </is>
      </c>
      <c r="H37" s="6" t="inlineStr">
        <is>
          <t>37117764; 37117765; 37117766; 87544945; 87544946</t>
        </is>
      </c>
      <c r="I37" s="6" t="inlineStr">
        <is>
          <t>2978778; 6719954</t>
        </is>
      </c>
      <c r="J37" s="6" t="inlineStr">
        <is>
          <t>ОТ № ЮГОК ПГУ 24-01; ОТ № ЮГОК ПГУ 24-23</t>
        </is>
      </c>
      <c r="K37" s="6" t="inlineStr">
        <is>
          <t>19.01.2024; 12.11.2024</t>
        </is>
      </c>
      <c r="L37" s="6" t="inlineStr">
        <is>
          <t>Успешно</t>
        </is>
      </c>
      <c r="M37" s="6" t="inlineStr">
        <is>
          <t>Пользовательский интерфейс</t>
        </is>
      </c>
      <c r="N37" s="7" t="n">
        <v>5</v>
      </c>
      <c r="O37" s="7" t="n">
        <v>2</v>
      </c>
      <c r="P37" s="7" t="n"/>
      <c r="Q37" s="175" t="n">
        <v>2</v>
      </c>
      <c r="R37" s="7" t="n"/>
      <c r="S37" s="7" t="n"/>
      <c r="T37" s="7" t="n"/>
      <c r="U37" s="7" t="n"/>
      <c r="V37" s="7" t="n"/>
      <c r="W37" s="7" t="n"/>
      <c r="X37" s="7" t="n"/>
      <c r="Y37" s="7" t="n"/>
      <c r="Z37" s="7" t="n"/>
      <c r="AA37" s="7" t="n"/>
      <c r="AB37" s="7" t="n">
        <v>1</v>
      </c>
      <c r="AC37" s="175" t="n">
        <v>2</v>
      </c>
    </row>
    <row r="38">
      <c r="A38" s="6" t="inlineStr">
        <is>
          <t>работник 110</t>
        </is>
      </c>
      <c r="B38" s="6" t="inlineStr">
        <is>
          <t>Весовщик | Пробоотборщик</t>
        </is>
      </c>
      <c r="C38" s="6" t="inlineStr">
        <is>
          <t>Весовщик | Пробоотборщик</t>
        </is>
      </c>
      <c r="D38" s="6" t="inlineStr">
        <is>
          <t>ОБЩЕСТВО С ОГРАНИЧЕННОЙ ОТВЕТСТВЕННОСТЬЮ "АМУР ЗОЛОТО"</t>
        </is>
      </c>
      <c r="E38" s="6" t="inlineStr">
        <is>
          <t>2708001686</t>
        </is>
      </c>
      <c r="F38" s="6" t="inlineStr">
        <is>
          <t>ООО "Амур Золото"</t>
        </is>
      </c>
      <c r="G38" s="6" t="inlineStr">
        <is>
          <t>2708001686</t>
        </is>
      </c>
      <c r="H38" s="6" t="inlineStr">
        <is>
          <t>37117595; 37117596; 37117597; 96539172; 96539173</t>
        </is>
      </c>
      <c r="I38" s="6" t="inlineStr">
        <is>
          <t>2978778; 7135797</t>
        </is>
      </c>
      <c r="J38" s="6" t="inlineStr">
        <is>
          <t>ОТ № ЮГОК ОТК 23-01; ОТ № ЮГОК ОТК 24-05</t>
        </is>
      </c>
      <c r="K38" s="6" t="inlineStr">
        <is>
          <t>11.12.2023; 10.12.2024</t>
        </is>
      </c>
      <c r="L38" s="6" t="inlineStr">
        <is>
          <t>Успешно</t>
        </is>
      </c>
      <c r="M38" s="6" t="inlineStr">
        <is>
          <t>Пользовательский интерфейс</t>
        </is>
      </c>
      <c r="N38" s="7" t="n">
        <v>5</v>
      </c>
      <c r="O38" s="7" t="n">
        <v>2</v>
      </c>
      <c r="P38" s="7" t="n"/>
      <c r="Q38" s="175" t="n">
        <v>2</v>
      </c>
      <c r="R38" s="7" t="n"/>
      <c r="S38" s="7" t="n"/>
      <c r="T38" s="7" t="n"/>
      <c r="U38" s="7" t="n"/>
      <c r="V38" s="7" t="n"/>
      <c r="W38" s="7" t="n"/>
      <c r="X38" s="7" t="n"/>
      <c r="Y38" s="7" t="n"/>
      <c r="Z38" s="7" t="n"/>
      <c r="AA38" s="7" t="n"/>
      <c r="AB38" s="7" t="n">
        <v>1</v>
      </c>
      <c r="AC38" s="175" t="n">
        <v>2</v>
      </c>
    </row>
    <row r="39">
      <c r="A39" s="6" t="inlineStr">
        <is>
          <t>работник 761</t>
        </is>
      </c>
      <c r="B39" s="6" t="inlineStr">
        <is>
          <t>Машинист погрузочно-доставочной машины (занятый на транспортировании горной массы в технологическом процессе)</t>
        </is>
      </c>
      <c r="C39" s="6" t="inlineStr">
        <is>
          <t>Машинист погрузочно-доставочной машины (занятый на транспортировании горной массы в технологическом процессе)</t>
        </is>
      </c>
      <c r="D39" s="6" t="inlineStr">
        <is>
          <t>ОБЩЕСТВО С ОГРАНИЧЕННОЙ ОТВЕТСТВЕННОСТЬЮ "АМУР ЗОЛОТО"</t>
        </is>
      </c>
      <c r="E39" s="6" t="inlineStr">
        <is>
          <t>2708001686</t>
        </is>
      </c>
      <c r="F39" s="6" t="inlineStr">
        <is>
          <t>ООО "Амур Золото"</t>
        </is>
      </c>
      <c r="G39" s="6" t="inlineStr">
        <is>
          <t>2708001686</t>
        </is>
      </c>
      <c r="H39" s="6" t="inlineStr">
        <is>
          <t>200897059; 200897060; 200897061; 214421364; 214421375; 214421376</t>
        </is>
      </c>
      <c r="I39" s="6" t="inlineStr">
        <is>
          <t>14513218; 15411209</t>
        </is>
      </c>
      <c r="J39" s="6" t="inlineStr">
        <is>
          <t>ЮГОК ПГУ 26-01; ЮГОК ПГУ 26-27</t>
        </is>
      </c>
      <c r="K39" s="6" t="inlineStr">
        <is>
          <t>04.06.2026; 23.07.2026</t>
        </is>
      </c>
      <c r="L39" s="6" t="inlineStr">
        <is>
          <t>Успешно</t>
        </is>
      </c>
      <c r="M39" s="6" t="inlineStr">
        <is>
          <t>Пользовательский интерфейс</t>
        </is>
      </c>
      <c r="N39" s="7" t="n">
        <v>6</v>
      </c>
      <c r="O39" s="7" t="n">
        <v>3</v>
      </c>
      <c r="P39" s="7" t="n"/>
      <c r="Q39" s="175" t="n">
        <v>2</v>
      </c>
      <c r="R39" s="7" t="n"/>
      <c r="S39" s="7" t="n"/>
      <c r="T39" s="7" t="n"/>
      <c r="U39" s="7" t="n"/>
      <c r="V39" s="7" t="n"/>
      <c r="W39" s="7" t="n"/>
      <c r="X39" s="7" t="n"/>
      <c r="Y39" s="7" t="n"/>
      <c r="Z39" s="7" t="n"/>
      <c r="AA39" s="7" t="n"/>
      <c r="AB39" s="175" t="n">
        <v>2</v>
      </c>
      <c r="AC39" s="175" t="n">
        <v>2</v>
      </c>
    </row>
    <row r="40">
      <c r="A40" s="6" t="inlineStr">
        <is>
          <t>работник 144</t>
        </is>
      </c>
      <c r="B40" s="6" t="inlineStr">
        <is>
          <t>Бункеровщик | Машинист мельниц</t>
        </is>
      </c>
      <c r="C40" s="6" t="inlineStr">
        <is>
          <t>Бункеровщик | Машинист мельниц</t>
        </is>
      </c>
      <c r="D40" s="6" t="inlineStr">
        <is>
          <t>ОБЩЕСТВО С ОГРАНИЧЕННОЙ ОТВЕТСТВЕННОСТЬЮ "АМУР ЗОЛОТО"</t>
        </is>
      </c>
      <c r="E40" s="6" t="inlineStr">
        <is>
          <t>2708001686</t>
        </is>
      </c>
      <c r="F40" s="6" t="inlineStr">
        <is>
          <t>ООО "Амур Золото"</t>
        </is>
      </c>
      <c r="G40" s="6" t="inlineStr">
        <is>
          <t>2708001686</t>
        </is>
      </c>
      <c r="H40" s="6" t="inlineStr">
        <is>
          <t>37117731; 37117732; 37117733; 41372212; 41372213; 41372214; 214421226; 214421227; 214421228</t>
        </is>
      </c>
      <c r="I40" s="6" t="inlineStr">
        <is>
          <t>2978778; 3335316; 15411209</t>
        </is>
      </c>
      <c r="J40" s="6" t="inlineStr">
        <is>
          <t>ОТ № ЮГОК ЗИОФ 23-07; ОТ ЮГОК ЗИОФ 24-15; ОТ ЮГОК ЗИОФ 24-16; ЮГОК ЗИОФ 26-29</t>
        </is>
      </c>
      <c r="K40" s="6" t="inlineStr">
        <is>
          <t>25.12.2023; 23.02.2024; 29.07.2026</t>
        </is>
      </c>
      <c r="L40" s="6" t="inlineStr">
        <is>
          <t>Успешно</t>
        </is>
      </c>
      <c r="M40" s="6" t="inlineStr">
        <is>
          <t>Пользовательский интерфейс</t>
        </is>
      </c>
      <c r="N40" s="7" t="n">
        <v>9</v>
      </c>
      <c r="O40" s="7" t="n">
        <v>3</v>
      </c>
      <c r="P40" s="7" t="n"/>
      <c r="Q40" s="175" t="n">
        <v>3</v>
      </c>
      <c r="R40" s="7" t="n"/>
      <c r="S40" s="7" t="n"/>
      <c r="T40" s="7" t="n"/>
      <c r="U40" s="7" t="n"/>
      <c r="V40" s="7" t="n"/>
      <c r="W40" s="7" t="n"/>
      <c r="X40" s="7" t="n"/>
      <c r="Y40" s="7" t="n"/>
      <c r="Z40" s="7" t="n"/>
      <c r="AA40" s="7" t="n"/>
      <c r="AB40" s="175" t="n">
        <v>3</v>
      </c>
      <c r="AC40" s="175" t="n">
        <v>3</v>
      </c>
    </row>
    <row r="41">
      <c r="A41" s="6" t="inlineStr">
        <is>
          <t>работник 43</t>
        </is>
      </c>
      <c r="B41" s="6" t="inlineStr">
        <is>
          <t>Стропальщик | Весовщик</t>
        </is>
      </c>
      <c r="C41" s="6" t="inlineStr">
        <is>
          <t>Стропальщик | Весовщик</t>
        </is>
      </c>
      <c r="D41" s="6" t="inlineStr">
        <is>
          <t>ОБЩЕСТВО С ОГРАНИЧЕННОЙ ОТВЕТСТВЕННОСТЬЮ "АМУР ЗОЛОТО"</t>
        </is>
      </c>
      <c r="E41" s="6" t="inlineStr">
        <is>
          <t>2708001686</t>
        </is>
      </c>
      <c r="F41" s="6" t="inlineStr">
        <is>
          <t>ООО "Амур Золото"</t>
        </is>
      </c>
      <c r="G41" s="6" t="inlineStr">
        <is>
          <t>2708001686</t>
        </is>
      </c>
      <c r="H41" s="6" t="inlineStr">
        <is>
          <t>37117355; 37117356; 37117357; 157028428; 157028429</t>
        </is>
      </c>
      <c r="I41" s="6" t="inlineStr">
        <is>
          <t>2978778; 11703555</t>
        </is>
      </c>
      <c r="J41" s="6" t="inlineStr">
        <is>
          <t>ОТ № ЮГОК СК 23-01; ОТ № ЮГОК ОТК 25-02</t>
        </is>
      </c>
      <c r="K41" s="6" t="inlineStr">
        <is>
          <t>24.11.2023; 22.10.2025</t>
        </is>
      </c>
      <c r="L41" s="6" t="inlineStr">
        <is>
          <t>Успешно</t>
        </is>
      </c>
      <c r="M41" s="6" t="inlineStr">
        <is>
          <t>Пользовательский интерфейс</t>
        </is>
      </c>
      <c r="N41" s="7" t="n">
        <v>5</v>
      </c>
      <c r="O41" s="7" t="n">
        <v>2</v>
      </c>
      <c r="P41" s="7" t="n"/>
      <c r="Q41" s="175" t="n">
        <v>2</v>
      </c>
      <c r="R41" s="7" t="n"/>
      <c r="S41" s="7" t="n"/>
      <c r="T41" s="7" t="n"/>
      <c r="U41" s="7" t="n"/>
      <c r="V41" s="7" t="n"/>
      <c r="W41" s="7" t="n"/>
      <c r="X41" s="7" t="n"/>
      <c r="Y41" s="7" t="n"/>
      <c r="Z41" s="7" t="n"/>
      <c r="AA41" s="7" t="n"/>
      <c r="AB41" s="7" t="n">
        <v>1</v>
      </c>
      <c r="AC41" s="175" t="n">
        <v>2</v>
      </c>
    </row>
    <row r="42">
      <c r="A42" s="6" t="inlineStr">
        <is>
          <t>работник 633</t>
        </is>
      </c>
      <c r="B42" s="6" t="inlineStr">
        <is>
          <t>Помощник машиниста самоходной буровой установки (с исполнением обязанностей пробоотборщика) (Очистное) | Помощник машиниста самоходной буровой установки (с исполнением обязанностей пробоотборщика)</t>
        </is>
      </c>
      <c r="C42" s="6" t="inlineStr">
        <is>
          <t>Помощник машиниста самоходной буровой установки (с исполнением обязанностей пробоотборщика) (Очистное) | Помощник машиниста самоходной буровой установки (с исполнением обязанностей пробоотборщика)</t>
        </is>
      </c>
      <c r="D42" s="6" t="inlineStr">
        <is>
          <t>ОБЩЕСТВО С ОГРАНИЧЕННОЙ ОТВЕТСТВЕННОСТЬЮ "АМУР ЗОЛОТО"</t>
        </is>
      </c>
      <c r="E42" s="6" t="inlineStr">
        <is>
          <t>2708001686</t>
        </is>
      </c>
      <c r="F42" s="6" t="inlineStr">
        <is>
          <t>ООО "Амур Золото"</t>
        </is>
      </c>
      <c r="G42" s="6" t="inlineStr">
        <is>
          <t>2708001686</t>
        </is>
      </c>
      <c r="H42" s="6" t="inlineStr">
        <is>
          <t>173160804; 173160805; 173160806; 214421420; 214421421; 214421422</t>
        </is>
      </c>
      <c r="I42" s="6" t="inlineStr">
        <is>
          <t>12768377; 15411209</t>
        </is>
      </c>
      <c r="J42" s="6" t="inlineStr">
        <is>
          <t>ОТ № ЮГОК ПГУ 25-28; ЮГОК ПГУ 26-30</t>
        </is>
      </c>
      <c r="K42" s="6" t="inlineStr">
        <is>
          <t>05.02.2026; 26.07.2026</t>
        </is>
      </c>
      <c r="L42" s="6" t="inlineStr">
        <is>
          <t>Успешно</t>
        </is>
      </c>
      <c r="M42" s="6" t="inlineStr">
        <is>
          <t>Пользовательский интерфейс</t>
        </is>
      </c>
      <c r="N42" s="7" t="n">
        <v>6</v>
      </c>
      <c r="O42" s="7" t="n">
        <v>2</v>
      </c>
      <c r="P42" s="7" t="n"/>
      <c r="Q42" s="175" t="n">
        <v>2</v>
      </c>
      <c r="R42" s="7" t="n"/>
      <c r="S42" s="7" t="n"/>
      <c r="T42" s="7" t="n">
        <v>1</v>
      </c>
      <c r="U42" s="7" t="n"/>
      <c r="V42" s="7" t="n"/>
      <c r="W42" s="7" t="n"/>
      <c r="X42" s="7" t="n"/>
      <c r="Y42" s="7" t="n"/>
      <c r="Z42" s="7" t="n"/>
      <c r="AA42" s="7" t="n"/>
      <c r="AB42" s="7" t="n">
        <v>1</v>
      </c>
      <c r="AC42" s="175" t="n">
        <v>2</v>
      </c>
    </row>
    <row r="43">
      <c r="A43" s="6" t="inlineStr">
        <is>
          <t>работник 44</t>
        </is>
      </c>
      <c r="B43" s="6" t="inlineStr">
        <is>
          <t>Электромонтер по ремонту и обслуживанию электрооборудования</t>
        </is>
      </c>
      <c r="C43" s="6" t="inlineStr">
        <is>
          <t>Электромонтер по ремонту и обслуживанию электрооборудования</t>
        </is>
      </c>
      <c r="D43" s="6" t="inlineStr">
        <is>
          <t>ОБЩЕСТВО С ОГРАНИЧЕННОЙ ОТВЕТСТВЕННОСТЬЮ "АМУР ЗОЛОТО"</t>
        </is>
      </c>
      <c r="E43" s="6" t="inlineStr">
        <is>
          <t>2708001686</t>
        </is>
      </c>
      <c r="F43" s="6" t="inlineStr">
        <is>
          <t>ООО "Амур Золото"</t>
        </is>
      </c>
      <c r="G43" s="6" t="inlineStr">
        <is>
          <t>2708001686</t>
        </is>
      </c>
      <c r="H43" s="6" t="inlineStr">
        <is>
          <t>37117358; 37117359; 37117360; 37117361; 37117362; 40476938; 40476939</t>
        </is>
      </c>
      <c r="I43" s="6" t="inlineStr">
        <is>
          <t>2978778; 3264049</t>
        </is>
      </c>
      <c r="J43" s="6" t="inlineStr">
        <is>
          <t>ОТ № ЮГОК ЭУ 23-01; ОТ № ЮГОК ЭУ 23-04; ОТ № ЮГОК ЭУ 23-02</t>
        </is>
      </c>
      <c r="K43" s="6" t="inlineStr">
        <is>
          <t>23.11.2023; 30.11.2023; 29.11.2023</t>
        </is>
      </c>
      <c r="L43" s="6" t="inlineStr">
        <is>
          <t>Успешно</t>
        </is>
      </c>
      <c r="M43" s="6" t="inlineStr">
        <is>
          <t>Пользовательский интерфейс</t>
        </is>
      </c>
      <c r="N43" s="7" t="n">
        <v>7</v>
      </c>
      <c r="O43" s="7" t="n">
        <v>2</v>
      </c>
      <c r="P43" s="7" t="n"/>
      <c r="Q43" s="7" t="n">
        <v>1</v>
      </c>
      <c r="R43" s="175" t="n">
        <v>2</v>
      </c>
      <c r="S43" s="7" t="n"/>
      <c r="T43" s="7" t="n"/>
      <c r="U43" s="7" t="n"/>
      <c r="V43" s="7" t="n"/>
      <c r="W43" s="7" t="n"/>
      <c r="X43" s="175" t="n">
        <v>2</v>
      </c>
      <c r="Y43" s="7" t="n"/>
      <c r="Z43" s="7" t="n"/>
      <c r="AA43" s="7" t="n"/>
      <c r="AB43" s="7" t="n">
        <v>1</v>
      </c>
      <c r="AC43" s="7" t="n">
        <v>1</v>
      </c>
    </row>
    <row r="44">
      <c r="A44" s="6" t="inlineStr">
        <is>
          <t>работник 331</t>
        </is>
      </c>
      <c r="B44" s="6" t="inlineStr">
        <is>
          <t>Флотатор | Пробоотборщик</t>
        </is>
      </c>
      <c r="C44" s="6" t="inlineStr">
        <is>
          <t>Флотатор | Пробоотборщик</t>
        </is>
      </c>
      <c r="D44" s="6" t="inlineStr">
        <is>
          <t>ОБЩЕСТВО С ОГРАНИЧЕННОЙ ОТВЕТСТВЕННОСТЬЮ "АМУР ЗОЛОТО"</t>
        </is>
      </c>
      <c r="E44" s="6" t="inlineStr">
        <is>
          <t>2708001686</t>
        </is>
      </c>
      <c r="F44" s="6" t="inlineStr">
        <is>
          <t>ООО "Амур Золото"</t>
        </is>
      </c>
      <c r="G44" s="6" t="inlineStr">
        <is>
          <t>2708001686</t>
        </is>
      </c>
      <c r="H44" s="6" t="inlineStr">
        <is>
          <t>47664826; 47664827; 47664828; 71599968; 71599969; 71599970</t>
        </is>
      </c>
      <c r="I44" s="6" t="inlineStr">
        <is>
          <t>3785399; 5518427</t>
        </is>
      </c>
      <c r="J44" s="6" t="inlineStr">
        <is>
          <t>ОТ ЮГОК ЗИОФ 24-21; ОТ №ЮГОК ОТК 24-03</t>
        </is>
      </c>
      <c r="K44" s="6" t="inlineStr">
        <is>
          <t>18.03.2024; 12.08.2024</t>
        </is>
      </c>
      <c r="L44" s="6" t="inlineStr">
        <is>
          <t>Успешно</t>
        </is>
      </c>
      <c r="M44" s="6" t="inlineStr">
        <is>
          <t>Пользовательский интерфейс</t>
        </is>
      </c>
      <c r="N44" s="7" t="n">
        <v>6</v>
      </c>
      <c r="O44" s="7" t="n">
        <v>3</v>
      </c>
      <c r="P44" s="7" t="n"/>
      <c r="Q44" s="175" t="n">
        <v>2</v>
      </c>
      <c r="R44" s="7" t="n"/>
      <c r="S44" s="7" t="n"/>
      <c r="T44" s="7" t="n"/>
      <c r="U44" s="7" t="n"/>
      <c r="V44" s="7" t="n"/>
      <c r="W44" s="7" t="n"/>
      <c r="X44" s="7" t="n"/>
      <c r="Y44" s="7" t="n"/>
      <c r="Z44" s="7" t="n"/>
      <c r="AA44" s="7" t="n"/>
      <c r="AB44" s="175" t="n">
        <v>2</v>
      </c>
      <c r="AC44" s="175" t="n">
        <v>2</v>
      </c>
    </row>
    <row r="45">
      <c r="A45" s="6" t="inlineStr">
        <is>
          <t>работник 202</t>
        </is>
      </c>
      <c r="B45" s="6" t="inlineStr">
        <is>
          <t>Водитель автомобиля (занятый на транспортировании горной массы в технологическом процессе)</t>
        </is>
      </c>
      <c r="C45" s="6" t="inlineStr">
        <is>
          <t>Водитель автомобиля(занятый на траспортировании горной массы в технологическом процессе) | Водитель автомобиля (занятый на транспортировании горной массы в технологическом процессе)</t>
        </is>
      </c>
      <c r="D45" s="6" t="inlineStr">
        <is>
          <t>ОБЩЕСТВО С ОГРАНИЧЕННОЙ ОТВЕТСТВЕННОСТЬЮ "АМУР ЗОЛОТО"</t>
        </is>
      </c>
      <c r="E45" s="6" t="inlineStr">
        <is>
          <t>2708001686</t>
        </is>
      </c>
      <c r="F45" s="6" t="inlineStr">
        <is>
          <t>ООО "Амур Золото"</t>
        </is>
      </c>
      <c r="G45" s="6" t="inlineStr">
        <is>
          <t>2708001686</t>
        </is>
      </c>
      <c r="H45" s="6" t="inlineStr">
        <is>
          <t>41372044; 41372045; 41372046; 200982814; 200982815; 200982816</t>
        </is>
      </c>
      <c r="I45" s="6" t="inlineStr">
        <is>
          <t>3335316; 14518357</t>
        </is>
      </c>
      <c r="J45" s="6" t="inlineStr">
        <is>
          <t>ОТ № ЮГОК АТЦ 23-03; ЮГОК АТЦ 26-01</t>
        </is>
      </c>
      <c r="K45" s="6" t="inlineStr">
        <is>
          <t>03.12.2023; 06.06.2026</t>
        </is>
      </c>
      <c r="L45" s="6" t="inlineStr">
        <is>
          <t>Успешно</t>
        </is>
      </c>
      <c r="M45" s="6" t="inlineStr">
        <is>
          <t>Пользовательский интерфейс</t>
        </is>
      </c>
      <c r="N45" s="7" t="n">
        <v>6</v>
      </c>
      <c r="O45" s="7" t="n">
        <v>3</v>
      </c>
      <c r="P45" s="7" t="n"/>
      <c r="Q45" s="175" t="n">
        <v>2</v>
      </c>
      <c r="R45" s="7" t="n"/>
      <c r="S45" s="7" t="n"/>
      <c r="T45" s="7" t="n"/>
      <c r="U45" s="7" t="n"/>
      <c r="V45" s="7" t="n"/>
      <c r="W45" s="7" t="n"/>
      <c r="X45" s="7" t="n"/>
      <c r="Y45" s="7" t="n"/>
      <c r="Z45" s="7" t="n"/>
      <c r="AA45" s="7" t="n"/>
      <c r="AB45" s="175" t="n">
        <v>2</v>
      </c>
      <c r="AC45" s="175" t="n">
        <v>2</v>
      </c>
    </row>
    <row r="46">
      <c r="A46" s="6" t="inlineStr">
        <is>
          <t>работник 368</t>
        </is>
      </c>
      <c r="B46" s="6" t="inlineStr">
        <is>
          <t>Машинист бульдозера</t>
        </is>
      </c>
      <c r="C46" s="6" t="inlineStr">
        <is>
          <t>Машинист бульдозера</t>
        </is>
      </c>
      <c r="D46" s="6" t="inlineStr">
        <is>
          <t>ОБЩЕСТВО С ОГРАНИЧЕННОЙ ОТВЕТСТВЕННОСТЬЮ "АМУР ЗОЛОТО"</t>
        </is>
      </c>
      <c r="E46" s="6" t="inlineStr">
        <is>
          <t>2708001686</t>
        </is>
      </c>
      <c r="F46" s="6" t="inlineStr">
        <is>
          <t>ООО "Амур Золото"</t>
        </is>
      </c>
      <c r="G46" s="6" t="inlineStr">
        <is>
          <t>2708001686</t>
        </is>
      </c>
      <c r="H46" s="6" t="inlineStr">
        <is>
          <t>68090111; 68090112; 68090113; 82311983; 82311984</t>
        </is>
      </c>
      <c r="I46" s="6" t="inlineStr">
        <is>
          <t>5245589; 6330469</t>
        </is>
      </c>
      <c r="J46" s="6" t="inlineStr">
        <is>
          <t>ОТ № ЮГОК АТЦ 24-06; ОТ №ЮГОК АТЦ 24-15</t>
        </is>
      </c>
      <c r="K46" s="6" t="inlineStr">
        <is>
          <t>18.07.2024; 08.10.2024</t>
        </is>
      </c>
      <c r="L46" s="6" t="inlineStr">
        <is>
          <t>Успешно</t>
        </is>
      </c>
      <c r="M46" s="6" t="inlineStr">
        <is>
          <t>Пользовательский интерфейс</t>
        </is>
      </c>
      <c r="N46" s="7" t="n">
        <v>5</v>
      </c>
      <c r="O46" s="7" t="n">
        <v>2</v>
      </c>
      <c r="P46" s="7" t="n"/>
      <c r="Q46" s="175" t="n">
        <v>2</v>
      </c>
      <c r="R46" s="7" t="n"/>
      <c r="S46" s="7" t="n"/>
      <c r="T46" s="7" t="n"/>
      <c r="U46" s="7" t="n"/>
      <c r="V46" s="7" t="n"/>
      <c r="W46" s="7" t="n"/>
      <c r="X46" s="7" t="n"/>
      <c r="Y46" s="7" t="n"/>
      <c r="Z46" s="7" t="n"/>
      <c r="AA46" s="7" t="n"/>
      <c r="AB46" s="7" t="n">
        <v>1</v>
      </c>
      <c r="AC46" s="175" t="n">
        <v>2</v>
      </c>
    </row>
    <row r="47">
      <c r="A47" s="6" t="inlineStr">
        <is>
          <t>работник 671</t>
        </is>
      </c>
      <c r="B47" s="6" t="inlineStr">
        <is>
          <t>Лаборант химического анализа | Лаборант пробирного анализа</t>
        </is>
      </c>
      <c r="C47" s="6" t="inlineStr">
        <is>
          <t>Лаборант химического анализа | Лаборант пробирного анализа</t>
        </is>
      </c>
      <c r="D47" s="6" t="inlineStr">
        <is>
          <t>ОБЩЕСТВО С ОГРАНИЧЕННОЙ ОТВЕТСТВЕННОСТЬЮ "АМУР ЗОЛОТО"</t>
        </is>
      </c>
      <c r="E47" s="6" t="inlineStr">
        <is>
          <t>2708001686</t>
        </is>
      </c>
      <c r="F47" s="6" t="inlineStr">
        <is>
          <t>ООО "Амур Золото"</t>
        </is>
      </c>
      <c r="G47" s="6" t="inlineStr">
        <is>
          <t>2708001686</t>
        </is>
      </c>
      <c r="H47" s="6" t="inlineStr">
        <is>
          <t>186715552; 186715553; 214421751; 214421765; 214421766</t>
        </is>
      </c>
      <c r="I47" s="6" t="inlineStr">
        <is>
          <t>13603635; 15411233</t>
        </is>
      </c>
      <c r="J47" s="6" t="inlineStr">
        <is>
          <t>ОТ № ЮГОК ПАЛ 26-04; ЮГОК ПАЛ 26-08</t>
        </is>
      </c>
      <c r="K47" s="6" t="inlineStr">
        <is>
          <t>02.03.2026; 02.08.2026</t>
        </is>
      </c>
      <c r="L47" s="6" t="inlineStr">
        <is>
          <t>Успешно</t>
        </is>
      </c>
      <c r="M47" s="6" t="inlineStr">
        <is>
          <t>Пользовательский интерфейс</t>
        </is>
      </c>
      <c r="N47" s="7" t="n">
        <v>5</v>
      </c>
      <c r="O47" s="7" t="n">
        <v>2</v>
      </c>
      <c r="P47" s="7" t="n"/>
      <c r="Q47" s="175" t="n">
        <v>2</v>
      </c>
      <c r="R47" s="7" t="n"/>
      <c r="S47" s="7" t="n"/>
      <c r="T47" s="7" t="n"/>
      <c r="U47" s="7" t="n"/>
      <c r="V47" s="7" t="n"/>
      <c r="W47" s="7" t="n"/>
      <c r="X47" s="7" t="n"/>
      <c r="Y47" s="7" t="n"/>
      <c r="Z47" s="7" t="n"/>
      <c r="AA47" s="7" t="n"/>
      <c r="AB47" s="7" t="n">
        <v>1</v>
      </c>
      <c r="AC47" s="175" t="n">
        <v>2</v>
      </c>
    </row>
    <row r="48">
      <c r="A48" s="6" t="inlineStr">
        <is>
          <t>работник 404</t>
        </is>
      </c>
      <c r="B48" s="6" t="inlineStr">
        <is>
          <t>Машинист подземных самоходных машин</t>
        </is>
      </c>
      <c r="C48" s="6" t="inlineStr">
        <is>
          <t>Машинист подземных самоходных машин</t>
        </is>
      </c>
      <c r="D48" s="6" t="inlineStr">
        <is>
          <t>ОБЩЕСТВО С ОГРАНИЧЕННОЙ ОТВЕТСТВЕННОСТЬЮ "АМУР ЗОЛОТО"</t>
        </is>
      </c>
      <c r="E48" s="6" t="inlineStr">
        <is>
          <t>2708001686</t>
        </is>
      </c>
      <c r="F48" s="6" t="inlineStr">
        <is>
          <t>ООО "Амур Золото"</t>
        </is>
      </c>
      <c r="G48" s="6" t="inlineStr">
        <is>
          <t>2708001686</t>
        </is>
      </c>
      <c r="H48" s="6" t="inlineStr">
        <is>
          <t>76186441; 76186442; 200897070; 214421501; 214421502; 214421503</t>
        </is>
      </c>
      <c r="I48" s="6" t="inlineStr">
        <is>
          <t>5868791; 14513218; 15411209</t>
        </is>
      </c>
      <c r="J48" s="6" t="inlineStr">
        <is>
          <t>ОТ №ЮГОК ПГУ 24-12; ЮГОК ПГУ 26-01; ЮГОК ПГУ 26-36</t>
        </is>
      </c>
      <c r="K48" s="6" t="inlineStr">
        <is>
          <t>18.08.2024; 04.06.2026; 24.07.2026</t>
        </is>
      </c>
      <c r="L48" s="6" t="inlineStr">
        <is>
          <t>Успешно</t>
        </is>
      </c>
      <c r="M48" s="6" t="inlineStr">
        <is>
          <t>Пользовательский интерфейс</t>
        </is>
      </c>
      <c r="N48" s="7" t="n">
        <v>6</v>
      </c>
      <c r="O48" s="7" t="n">
        <v>3</v>
      </c>
      <c r="P48" s="7" t="n"/>
      <c r="Q48" s="175" t="n">
        <v>2</v>
      </c>
      <c r="R48" s="7" t="n"/>
      <c r="S48" s="7" t="n"/>
      <c r="T48" s="7" t="n"/>
      <c r="U48" s="7" t="n"/>
      <c r="V48" s="7" t="n"/>
      <c r="W48" s="7" t="n"/>
      <c r="X48" s="7" t="n"/>
      <c r="Y48" s="7" t="n"/>
      <c r="Z48" s="7" t="n"/>
      <c r="AA48" s="7" t="n"/>
      <c r="AB48" s="175" t="n">
        <v>2</v>
      </c>
      <c r="AC48" s="175" t="n">
        <v>2</v>
      </c>
    </row>
    <row r="49">
      <c r="A49" s="6" t="inlineStr">
        <is>
          <t>работник 433</t>
        </is>
      </c>
      <c r="B49" s="6" t="inlineStr">
        <is>
          <t>Плавильщик</t>
        </is>
      </c>
      <c r="C49" s="6" t="inlineStr">
        <is>
          <t>Плавильщик</t>
        </is>
      </c>
      <c r="D49" s="6" t="inlineStr">
        <is>
          <t>ОБЩЕСТВО С ОГРАНИЧЕННОЙ ОТВЕТСТВЕННОСТЬЮ "АМУР ЗОЛОТО"</t>
        </is>
      </c>
      <c r="E49" s="6" t="inlineStr">
        <is>
          <t>2708001686</t>
        </is>
      </c>
      <c r="F49" s="6" t="inlineStr">
        <is>
          <t>ООО "Амур Золото"</t>
        </is>
      </c>
      <c r="G49" s="6" t="inlineStr">
        <is>
          <t>2708001686</t>
        </is>
      </c>
      <c r="H49" s="6" t="inlineStr">
        <is>
          <t>85344288; 85344289; 90580094; 214421292; 214421293; 214421294</t>
        </is>
      </c>
      <c r="I49" s="6" t="inlineStr">
        <is>
          <t>6554154; 6934388; 15411209</t>
        </is>
      </c>
      <c r="J49" s="6" t="inlineStr">
        <is>
          <t>ОТ № ЮГОК ЗИОФ 24-33; ОТ № ЮГОК ЗИОФ 24-38; ЮГОК ЗИОФ 26-35</t>
        </is>
      </c>
      <c r="K49" s="6" t="inlineStr">
        <is>
          <t>25.10.2024; 25.11.2024; 29.07.2026</t>
        </is>
      </c>
      <c r="L49" s="6" t="inlineStr">
        <is>
          <t>Успешно</t>
        </is>
      </c>
      <c r="M49" s="6" t="inlineStr">
        <is>
          <t>Пользовательский интерфейс</t>
        </is>
      </c>
      <c r="N49" s="7" t="n">
        <v>6</v>
      </c>
      <c r="O49" s="7" t="n">
        <v>2</v>
      </c>
      <c r="P49" s="7" t="n"/>
      <c r="Q49" s="175" t="n">
        <v>3</v>
      </c>
      <c r="R49" s="7" t="n"/>
      <c r="S49" s="7" t="n"/>
      <c r="T49" s="7" t="n"/>
      <c r="U49" s="7" t="n"/>
      <c r="V49" s="7" t="n"/>
      <c r="W49" s="7" t="n"/>
      <c r="X49" s="7" t="n"/>
      <c r="Y49" s="7" t="n"/>
      <c r="Z49" s="7" t="n"/>
      <c r="AA49" s="7" t="n"/>
      <c r="AB49" s="7" t="n">
        <v>1</v>
      </c>
      <c r="AC49" s="175" t="n">
        <v>2</v>
      </c>
    </row>
    <row r="50">
      <c r="A50" s="6" t="inlineStr">
        <is>
          <t>работник 156</t>
        </is>
      </c>
      <c r="B50" s="6" t="inlineStr">
        <is>
          <t>Проходчик (с исполнением обязанностей взрывника) | Электрогазосварщик</t>
        </is>
      </c>
      <c r="C50" s="6" t="inlineStr">
        <is>
          <t>Проходчик (с исполнением обязанностей взрывника) | Электрогазосварщик (занятый на резке и ручной сварке)</t>
        </is>
      </c>
      <c r="D50" s="6" t="inlineStr">
        <is>
          <t>ОБЩЕСТВО С ОГРАНИЧЕННОЙ ОТВЕТСТВЕННОСТЬЮ "АМУР ЗОЛОТО"</t>
        </is>
      </c>
      <c r="E50" s="6" t="inlineStr">
        <is>
          <t>2708001686</t>
        </is>
      </c>
      <c r="F50" s="6" t="inlineStr">
        <is>
          <t>ООО "Амур Золото"</t>
        </is>
      </c>
      <c r="G50" s="6" t="inlineStr">
        <is>
          <t>2708001686</t>
        </is>
      </c>
      <c r="H50" s="6" t="inlineStr">
        <is>
          <t>37117767; 37117768; 37117769; 82312000; 82312001</t>
        </is>
      </c>
      <c r="I50" s="6" t="inlineStr">
        <is>
          <t>2978778; 6330469</t>
        </is>
      </c>
      <c r="J50" s="6" t="inlineStr">
        <is>
          <t>ОТ № ЮГОК ПГУ 24-01; ОТ №ЮГОК ПГУ 24-20</t>
        </is>
      </c>
      <c r="K50" s="6" t="inlineStr">
        <is>
          <t>19.01.2024; 22.09.2024</t>
        </is>
      </c>
      <c r="L50" s="6" t="inlineStr">
        <is>
          <t>Успешно</t>
        </is>
      </c>
      <c r="M50" s="6" t="inlineStr">
        <is>
          <t>Пользовательский интерфейс</t>
        </is>
      </c>
      <c r="N50" s="7" t="n">
        <v>5</v>
      </c>
      <c r="O50" s="7" t="n">
        <v>2</v>
      </c>
      <c r="P50" s="7" t="n"/>
      <c r="Q50" s="175" t="n">
        <v>2</v>
      </c>
      <c r="R50" s="7" t="n"/>
      <c r="S50" s="7" t="n"/>
      <c r="T50" s="7" t="n"/>
      <c r="U50" s="7" t="n"/>
      <c r="V50" s="7" t="n"/>
      <c r="W50" s="7" t="n"/>
      <c r="X50" s="7" t="n"/>
      <c r="Y50" s="7" t="n"/>
      <c r="Z50" s="7" t="n"/>
      <c r="AA50" s="7" t="n"/>
      <c r="AB50" s="7" t="n">
        <v>1</v>
      </c>
      <c r="AC50" s="175" t="n">
        <v>2</v>
      </c>
    </row>
    <row r="51">
      <c r="A51" s="6" t="inlineStr">
        <is>
          <t>работник 220</t>
        </is>
      </c>
      <c r="B51" s="6" t="inlineStr">
        <is>
          <t>Водитель автомобиля (занятый на транспортировании горной массы в технологическом процессе)</t>
        </is>
      </c>
      <c r="C51" s="6" t="inlineStr">
        <is>
          <t>Водитель автомобиля(занятый на траспортировании горной массы в технологическом процессе) | Водитель автомобиля (занятый на транспортировании горной массы в технологическом процессе)</t>
        </is>
      </c>
      <c r="D51" s="6" t="inlineStr">
        <is>
          <t>ОБЩЕСТВО С ОГРАНИЧЕННОЙ ОТВЕТСТВЕННОСТЬЮ "АМУР ЗОЛОТО"</t>
        </is>
      </c>
      <c r="E51" s="6" t="inlineStr">
        <is>
          <t>2708001686</t>
        </is>
      </c>
      <c r="F51" s="6" t="inlineStr">
        <is>
          <t>ООО "Амур Золото"</t>
        </is>
      </c>
      <c r="G51" s="6" t="inlineStr">
        <is>
          <t>2708001686</t>
        </is>
      </c>
      <c r="H51" s="6" t="inlineStr">
        <is>
          <t>41372101; 41372102; 41372103; 126971087; 126971088; 126971089; 222717137; 222717138; 222717139</t>
        </is>
      </c>
      <c r="I51" s="6" t="inlineStr">
        <is>
          <t>3335316; 9556872; 15953442</t>
        </is>
      </c>
      <c r="J51" s="6" t="inlineStr">
        <is>
          <t>ОТ № ЮГОК АТЦ 23-03; ОТ № ЮГОК АТЦ 24-16; ЮГОК АТЦ 26-15</t>
        </is>
      </c>
      <c r="K51" s="6" t="inlineStr">
        <is>
          <t>03.12.2023; 25.11.2024; 17.08.2026</t>
        </is>
      </c>
      <c r="L51" s="6" t="inlineStr">
        <is>
          <t>Успешно</t>
        </is>
      </c>
      <c r="M51" s="6" t="inlineStr">
        <is>
          <t>Пользовательский интерфейс</t>
        </is>
      </c>
      <c r="N51" s="7" t="n">
        <v>9</v>
      </c>
      <c r="O51" s="7" t="n">
        <v>3</v>
      </c>
      <c r="P51" s="7" t="n"/>
      <c r="Q51" s="175" t="n">
        <v>3</v>
      </c>
      <c r="R51" s="7" t="n"/>
      <c r="S51" s="7" t="n"/>
      <c r="T51" s="7" t="n"/>
      <c r="U51" s="7" t="n"/>
      <c r="V51" s="7" t="n"/>
      <c r="W51" s="7" t="n"/>
      <c r="X51" s="7" t="n"/>
      <c r="Y51" s="7" t="n"/>
      <c r="Z51" s="7" t="n"/>
      <c r="AA51" s="7" t="n"/>
      <c r="AB51" s="175" t="n">
        <v>3</v>
      </c>
      <c r="AC51" s="175" t="n">
        <v>3</v>
      </c>
    </row>
    <row r="52">
      <c r="A52" s="6" t="inlineStr">
        <is>
          <t>работник 401</t>
        </is>
      </c>
      <c r="B52" s="6" t="inlineStr">
        <is>
          <t>Весовщик | Контролер продукции обогащения</t>
        </is>
      </c>
      <c r="C52" s="6" t="inlineStr">
        <is>
          <t>Весовщик | Контролер продукции обогащения</t>
        </is>
      </c>
      <c r="D52" s="6" t="inlineStr">
        <is>
          <t>ОБЩЕСТВО С ОГРАНИЧЕННОЙ ОТВЕТСТВЕННОСТЬЮ "АМУР ЗОЛОТО"</t>
        </is>
      </c>
      <c r="E52" s="6" t="inlineStr">
        <is>
          <t>2708001686</t>
        </is>
      </c>
      <c r="F52" s="6" t="inlineStr">
        <is>
          <t>ООО "Амур Золото"</t>
        </is>
      </c>
      <c r="G52" s="6" t="inlineStr">
        <is>
          <t>2708001686</t>
        </is>
      </c>
      <c r="H52" s="6" t="inlineStr">
        <is>
          <t>76186435; 76186436; 223283050; 223283051; 223283052</t>
        </is>
      </c>
      <c r="I52" s="6" t="inlineStr">
        <is>
          <t>5868791; 15995643</t>
        </is>
      </c>
      <c r="J52" s="6" t="inlineStr">
        <is>
          <t>ОТ №ЮГОК ОТК 24-04; ЮГОК ОТК 26-09</t>
        </is>
      </c>
      <c r="K52" s="6" t="inlineStr">
        <is>
          <t>23.08.2024; 27.08.2026</t>
        </is>
      </c>
      <c r="L52" s="6" t="inlineStr">
        <is>
          <t>Успешно</t>
        </is>
      </c>
      <c r="M52" s="6" t="inlineStr">
        <is>
          <t>Пользовательский интерфейс</t>
        </is>
      </c>
      <c r="N52" s="7" t="n">
        <v>5</v>
      </c>
      <c r="O52" s="7" t="n">
        <v>2</v>
      </c>
      <c r="P52" s="7" t="n"/>
      <c r="Q52" s="175" t="n">
        <v>2</v>
      </c>
      <c r="R52" s="7" t="n"/>
      <c r="S52" s="7" t="n"/>
      <c r="T52" s="7" t="n"/>
      <c r="U52" s="7" t="n"/>
      <c r="V52" s="7" t="n"/>
      <c r="W52" s="7" t="n"/>
      <c r="X52" s="7" t="n"/>
      <c r="Y52" s="7" t="n"/>
      <c r="Z52" s="7" t="n"/>
      <c r="AA52" s="7" t="n"/>
      <c r="AB52" s="7" t="n">
        <v>1</v>
      </c>
      <c r="AC52" s="175" t="n">
        <v>2</v>
      </c>
    </row>
    <row r="53">
      <c r="A53" s="6" t="inlineStr">
        <is>
          <t>работник 634</t>
        </is>
      </c>
      <c r="B53" s="6" t="inlineStr">
        <is>
          <t>Помощник машиниста самоходной буровой установки (с исполнением обязанностей пробоотборщика) (Очистное) | Помощник машиниста самоходной буровой установки (с исполнением обязанностей пробоотборщика)</t>
        </is>
      </c>
      <c r="C53" s="6" t="inlineStr">
        <is>
          <t>Помощник машиниста самоходной буровой установки (с исполнением обязанностей пробоотборщика) (Очистное) | Помощник машиниста самоходной буровой установки (с исполнением обязанностей пробоотборщика)</t>
        </is>
      </c>
      <c r="D53" s="6" t="inlineStr">
        <is>
          <t>ОБЩЕСТВО С ОГРАНИЧЕННОЙ ОТВЕТСТВЕННОСТЬЮ "АМУР ЗОЛОТО"</t>
        </is>
      </c>
      <c r="E53" s="6" t="inlineStr">
        <is>
          <t>2708001686</t>
        </is>
      </c>
      <c r="F53" s="6" t="inlineStr">
        <is>
          <t>ООО "Амур Золото"</t>
        </is>
      </c>
      <c r="G53" s="6" t="inlineStr">
        <is>
          <t>2708001686</t>
        </is>
      </c>
      <c r="H53" s="6" t="inlineStr">
        <is>
          <t>173160807; 173160808; 173160809; 214421432; 214421433; 214421434</t>
        </is>
      </c>
      <c r="I53" s="6" t="inlineStr">
        <is>
          <t>12768377; 15411209</t>
        </is>
      </c>
      <c r="J53" s="6" t="inlineStr">
        <is>
          <t>ОТ № ЮГОК ПГУ 25-28; ЮГОК ПГУ 26-30</t>
        </is>
      </c>
      <c r="K53" s="6" t="inlineStr">
        <is>
          <t>05.02.2026; 26.07.2026</t>
        </is>
      </c>
      <c r="L53" s="6" t="inlineStr">
        <is>
          <t>Успешно</t>
        </is>
      </c>
      <c r="M53" s="6" t="inlineStr">
        <is>
          <t>Пользовательский интерфейс</t>
        </is>
      </c>
      <c r="N53" s="7" t="n">
        <v>6</v>
      </c>
      <c r="O53" s="7" t="n">
        <v>2</v>
      </c>
      <c r="P53" s="7" t="n"/>
      <c r="Q53" s="175" t="n">
        <v>2</v>
      </c>
      <c r="R53" s="7" t="n"/>
      <c r="S53" s="7" t="n"/>
      <c r="T53" s="7" t="n">
        <v>1</v>
      </c>
      <c r="U53" s="7" t="n"/>
      <c r="V53" s="7" t="n"/>
      <c r="W53" s="7" t="n"/>
      <c r="X53" s="7" t="n"/>
      <c r="Y53" s="7" t="n"/>
      <c r="Z53" s="7" t="n"/>
      <c r="AA53" s="7" t="n"/>
      <c r="AB53" s="7" t="n">
        <v>1</v>
      </c>
      <c r="AC53" s="175" t="n">
        <v>2</v>
      </c>
    </row>
    <row r="54">
      <c r="A54" s="6" t="inlineStr">
        <is>
          <t>работник 762</t>
        </is>
      </c>
      <c r="B54" s="6" t="inlineStr">
        <is>
          <t>Машинист погрузочно-доставочной машины (занятый на транспортировании горной массы в технологическом процессе)</t>
        </is>
      </c>
      <c r="C54" s="6" t="inlineStr">
        <is>
          <t>Машинист погрузочно-доставочной машины (занятый на транспортировании горной массы в технологическом процессе)</t>
        </is>
      </c>
      <c r="D54" s="6" t="inlineStr">
        <is>
          <t>ОБЩЕСТВО С ОГРАНИЧЕННОЙ ОТВЕТСТВЕННОСТЬЮ "АМУР ЗОЛОТО"</t>
        </is>
      </c>
      <c r="E54" s="6" t="inlineStr">
        <is>
          <t>2708001686</t>
        </is>
      </c>
      <c r="F54" s="6" t="inlineStr">
        <is>
          <t>ООО "Амур Золото"</t>
        </is>
      </c>
      <c r="G54" s="6" t="inlineStr">
        <is>
          <t>2708001686</t>
        </is>
      </c>
      <c r="H54" s="6" t="inlineStr">
        <is>
          <t>200897062; 200897063; 200897064; 214421366; 214421367; 214421368</t>
        </is>
      </c>
      <c r="I54" s="6" t="inlineStr">
        <is>
          <t>14513218; 15411209</t>
        </is>
      </c>
      <c r="J54" s="6" t="inlineStr">
        <is>
          <t>ЮГОК ПГУ 26-01; ЮГОК ПГУ 26-27</t>
        </is>
      </c>
      <c r="K54" s="6" t="inlineStr">
        <is>
          <t>04.06.2026; 23.07.2026</t>
        </is>
      </c>
      <c r="L54" s="6" t="inlineStr">
        <is>
          <t>Успешно</t>
        </is>
      </c>
      <c r="M54" s="6" t="inlineStr">
        <is>
          <t>Пользовательский интерфейс</t>
        </is>
      </c>
      <c r="N54" s="7" t="n">
        <v>6</v>
      </c>
      <c r="O54" s="7" t="n">
        <v>3</v>
      </c>
      <c r="P54" s="7" t="n"/>
      <c r="Q54" s="175" t="n">
        <v>2</v>
      </c>
      <c r="R54" s="7" t="n"/>
      <c r="S54" s="7" t="n"/>
      <c r="T54" s="7" t="n"/>
      <c r="U54" s="7" t="n"/>
      <c r="V54" s="7" t="n"/>
      <c r="W54" s="7" t="n"/>
      <c r="X54" s="7" t="n"/>
      <c r="Y54" s="7" t="n"/>
      <c r="Z54" s="7" t="n"/>
      <c r="AA54" s="7" t="n"/>
      <c r="AB54" s="175" t="n">
        <v>2</v>
      </c>
      <c r="AC54" s="175" t="n">
        <v>2</v>
      </c>
    </row>
    <row r="55">
      <c r="A55" s="6" t="inlineStr">
        <is>
          <t>работник 530</t>
        </is>
      </c>
      <c r="B55" s="6" t="inlineStr">
        <is>
          <t>Крепильщик | Проходчик (с исполнением обязанностей взрывника)</t>
        </is>
      </c>
      <c r="C55" s="6" t="inlineStr">
        <is>
          <t>Крепильщик | Проходчик (с исполнением обязанностей взрывника)</t>
        </is>
      </c>
      <c r="D55" s="6" t="inlineStr">
        <is>
          <t>ОБЩЕСТВО С ОГРАНИЧЕННОЙ ОТВЕТСТВЕННОСТЬЮ "АМУР ЗОЛОТО"</t>
        </is>
      </c>
      <c r="E55" s="6" t="inlineStr">
        <is>
          <t>2708001686</t>
        </is>
      </c>
      <c r="F55" s="6" t="inlineStr">
        <is>
          <t>ООО "Амур Золото"</t>
        </is>
      </c>
      <c r="G55" s="6" t="inlineStr">
        <is>
          <t>2708001686</t>
        </is>
      </c>
      <c r="H55" s="6" t="inlineStr">
        <is>
          <t>110446297; 110446298; 214421450; 214421451; 214421452</t>
        </is>
      </c>
      <c r="I55" s="6" t="inlineStr">
        <is>
          <t>8371772; 15411209</t>
        </is>
      </c>
      <c r="J55" s="6" t="inlineStr">
        <is>
          <t>ОТ № ЮГОК ПГУ 01-25; ЮГОК ПГУ 26-31</t>
        </is>
      </c>
      <c r="K55" s="6" t="inlineStr">
        <is>
          <t>25.01.2025; 22.07.2026</t>
        </is>
      </c>
      <c r="L55" s="6" t="inlineStr">
        <is>
          <t>Успешно</t>
        </is>
      </c>
      <c r="M55" s="6" t="inlineStr">
        <is>
          <t>Пользовательский интерфейс</t>
        </is>
      </c>
      <c r="N55" s="7" t="n">
        <v>5</v>
      </c>
      <c r="O55" s="7" t="n">
        <v>2</v>
      </c>
      <c r="P55" s="7" t="n"/>
      <c r="Q55" s="175" t="n">
        <v>2</v>
      </c>
      <c r="R55" s="7" t="n"/>
      <c r="S55" s="7" t="n"/>
      <c r="T55" s="7" t="n"/>
      <c r="U55" s="7" t="n"/>
      <c r="V55" s="7" t="n"/>
      <c r="W55" s="7" t="n"/>
      <c r="X55" s="7" t="n"/>
      <c r="Y55" s="7" t="n"/>
      <c r="Z55" s="7" t="n"/>
      <c r="AA55" s="7" t="n"/>
      <c r="AB55" s="7" t="n">
        <v>1</v>
      </c>
      <c r="AC55" s="175" t="n">
        <v>2</v>
      </c>
    </row>
    <row r="56">
      <c r="A56" s="6" t="inlineStr">
        <is>
          <t>работник 335</t>
        </is>
      </c>
      <c r="B56" s="6" t="inlineStr">
        <is>
          <t>Машинист двигателей внутреннего сгорания (с исполнением обязанностей машиниста компрессорных установок)</t>
        </is>
      </c>
      <c r="C56" s="6" t="inlineStr">
        <is>
          <t>Машинист ДВС с обязанностями компрессорщик | Машинист двигателей внутреннего сгорания (с исполнением обязанностей машиниста компрессорных установок)</t>
        </is>
      </c>
      <c r="D56" s="6" t="inlineStr">
        <is>
          <t>ОБЩЕСТВО С ОГРАНИЧЕННОЙ ОТВЕТСТВЕННОСТЬЮ "АМУР ЗОЛОТО"</t>
        </is>
      </c>
      <c r="E56" s="6" t="inlineStr">
        <is>
          <t>2708001686</t>
        </is>
      </c>
      <c r="F56" s="6" t="inlineStr">
        <is>
          <t>ООО "Амур Золото"</t>
        </is>
      </c>
      <c r="G56" s="6" t="inlineStr">
        <is>
          <t>2708001686</t>
        </is>
      </c>
      <c r="H56" s="6" t="inlineStr">
        <is>
          <t>47664838; 47664839; 47664840; 222717355; 222717356; 222717357</t>
        </is>
      </c>
      <c r="I56" s="6" t="inlineStr">
        <is>
          <t>3785399; 15953442</t>
        </is>
      </c>
      <c r="J56" s="6" t="inlineStr">
        <is>
          <t>ОТ № ЮГОК ЭУ 23-08; ЮГОК ЭУ 26-25</t>
        </is>
      </c>
      <c r="K56" s="6" t="inlineStr">
        <is>
          <t>15.12.2023; 25.08.2026</t>
        </is>
      </c>
      <c r="L56" s="6" t="inlineStr">
        <is>
          <t>Успешно</t>
        </is>
      </c>
      <c r="M56" s="6" t="inlineStr">
        <is>
          <t>Пользовательский интерфейс</t>
        </is>
      </c>
      <c r="N56" s="7" t="n">
        <v>6</v>
      </c>
      <c r="O56" s="7" t="n">
        <v>3</v>
      </c>
      <c r="P56" s="7" t="n"/>
      <c r="Q56" s="175" t="n">
        <v>2</v>
      </c>
      <c r="R56" s="7" t="n"/>
      <c r="S56" s="7" t="n"/>
      <c r="T56" s="7" t="n"/>
      <c r="U56" s="7" t="n"/>
      <c r="V56" s="7" t="n"/>
      <c r="W56" s="7" t="n"/>
      <c r="X56" s="7" t="n"/>
      <c r="Y56" s="7" t="n"/>
      <c r="Z56" s="7" t="n"/>
      <c r="AA56" s="7" t="n"/>
      <c r="AB56" s="175" t="n">
        <v>2</v>
      </c>
      <c r="AC56" s="175" t="n">
        <v>2</v>
      </c>
    </row>
    <row r="57">
      <c r="A57" s="6" t="inlineStr">
        <is>
          <t>работник 214</t>
        </is>
      </c>
      <c r="B57" s="6" t="inlineStr">
        <is>
          <t>Водитель погрузчика</t>
        </is>
      </c>
      <c r="C57" s="6" t="inlineStr">
        <is>
          <t>Водитель погрузчика</t>
        </is>
      </c>
      <c r="D57" s="6" t="inlineStr">
        <is>
          <t>ОБЩЕСТВО С ОГРАНИЧЕННОЙ ОТВЕТСТВЕННОСТЬЮ "АМУР ЗОЛОТО"</t>
        </is>
      </c>
      <c r="E57" s="6" t="inlineStr">
        <is>
          <t>2708001686</t>
        </is>
      </c>
      <c r="F57" s="6" t="inlineStr">
        <is>
          <t>ООО "Амур Золото"</t>
        </is>
      </c>
      <c r="G57" s="6" t="inlineStr">
        <is>
          <t>2708001686</t>
        </is>
      </c>
      <c r="H57" s="6" t="inlineStr">
        <is>
          <t>41372083; 41372084; 41372085; 222717209; 222717210; 222717211</t>
        </is>
      </c>
      <c r="I57" s="6" t="inlineStr">
        <is>
          <t>3335316; 15953442</t>
        </is>
      </c>
      <c r="J57" s="6" t="inlineStr">
        <is>
          <t>ОТ № ЮГОК АТЦ 23-03; ЮГОК АТЦ 26-20</t>
        </is>
      </c>
      <c r="K57" s="6" t="inlineStr">
        <is>
          <t>03.12.2023; 18.08.2026</t>
        </is>
      </c>
      <c r="L57" s="6" t="inlineStr">
        <is>
          <t>Успешно</t>
        </is>
      </c>
      <c r="M57" s="6" t="inlineStr">
        <is>
          <t>Пользовательский интерфейс</t>
        </is>
      </c>
      <c r="N57" s="7" t="n">
        <v>6</v>
      </c>
      <c r="O57" s="7" t="n">
        <v>3</v>
      </c>
      <c r="P57" s="7" t="n"/>
      <c r="Q57" s="175" t="n">
        <v>2</v>
      </c>
      <c r="R57" s="7" t="n"/>
      <c r="S57" s="7" t="n"/>
      <c r="T57" s="7" t="n"/>
      <c r="U57" s="7" t="n"/>
      <c r="V57" s="7" t="n"/>
      <c r="W57" s="7" t="n"/>
      <c r="X57" s="7" t="n"/>
      <c r="Y57" s="7" t="n"/>
      <c r="Z57" s="7" t="n"/>
      <c r="AA57" s="7" t="n"/>
      <c r="AB57" s="175" t="n">
        <v>2</v>
      </c>
      <c r="AC57" s="175" t="n">
        <v>2</v>
      </c>
    </row>
    <row r="58">
      <c r="A58" s="6" t="inlineStr">
        <is>
          <t>работник 386</t>
        </is>
      </c>
      <c r="B58" s="6" t="inlineStr">
        <is>
          <t>Пробоотборщик | Горнорабочий на геологических работах</t>
        </is>
      </c>
      <c r="C58" s="6" t="inlineStr">
        <is>
          <t>Пробоотборщик | Горнорабочий на геологических работах</t>
        </is>
      </c>
      <c r="D58" s="6" t="inlineStr">
        <is>
          <t>ОБЩЕСТВО С ОГРАНИЧЕННОЙ ОТВЕТСТВЕННОСТЬЮ "АМУР ЗОЛОТО"</t>
        </is>
      </c>
      <c r="E58" s="6" t="inlineStr">
        <is>
          <t>2708001686</t>
        </is>
      </c>
      <c r="F58" s="6" t="inlineStr">
        <is>
          <t>ООО "Амур Золото"</t>
        </is>
      </c>
      <c r="G58" s="6" t="inlineStr">
        <is>
          <t>2708001686</t>
        </is>
      </c>
      <c r="H58" s="6" t="inlineStr">
        <is>
          <t>71599953; 71599954; 71599955; 222717299; 222717300; 222717301</t>
        </is>
      </c>
      <c r="I58" s="6" t="inlineStr">
        <is>
          <t>5518427; 15953442</t>
        </is>
      </c>
      <c r="J58" s="6" t="inlineStr">
        <is>
          <t>ОТ №ЮГОК ГМО 24-01; ЮГОК ОГГ 26-08</t>
        </is>
      </c>
      <c r="K58" s="6" t="inlineStr">
        <is>
          <t>08.08.2024; 25.08.2026</t>
        </is>
      </c>
      <c r="L58" s="6" t="inlineStr">
        <is>
          <t>Успешно</t>
        </is>
      </c>
      <c r="M58" s="6" t="inlineStr">
        <is>
          <t>Пользовательский интерфейс</t>
        </is>
      </c>
      <c r="N58" s="7" t="n">
        <v>6</v>
      </c>
      <c r="O58" s="7" t="n">
        <v>3</v>
      </c>
      <c r="P58" s="7" t="n"/>
      <c r="Q58" s="175" t="n">
        <v>2</v>
      </c>
      <c r="R58" s="7" t="n"/>
      <c r="S58" s="7" t="n"/>
      <c r="T58" s="7" t="n"/>
      <c r="U58" s="7" t="n"/>
      <c r="V58" s="7" t="n"/>
      <c r="W58" s="7" t="n"/>
      <c r="X58" s="7" t="n"/>
      <c r="Y58" s="7" t="n"/>
      <c r="Z58" s="7" t="n"/>
      <c r="AA58" s="7" t="n"/>
      <c r="AB58" s="175" t="n">
        <v>2</v>
      </c>
      <c r="AC58" s="175" t="n">
        <v>2</v>
      </c>
    </row>
    <row r="59">
      <c r="A59" s="6" t="inlineStr">
        <is>
          <t>работник 610</t>
        </is>
      </c>
      <c r="B59" s="6" t="inlineStr">
        <is>
          <t>Аппаратчик воздухоразделения</t>
        </is>
      </c>
      <c r="C59" s="6" t="inlineStr">
        <is>
          <t>Аппаратчик воздухоразделения</t>
        </is>
      </c>
      <c r="D59" s="6" t="inlineStr">
        <is>
          <t>ОБЩЕСТВО С ОГРАНИЧЕННОЙ ОТВЕТСТВЕННОСТЬЮ "АМУР ЗОЛОТО"</t>
        </is>
      </c>
      <c r="E59" s="6" t="inlineStr">
        <is>
          <t>2708001686</t>
        </is>
      </c>
      <c r="F59" s="6" t="inlineStr">
        <is>
          <t>ООО "Амур Золото"</t>
        </is>
      </c>
      <c r="G59" s="6" t="inlineStr">
        <is>
          <t>2708001686</t>
        </is>
      </c>
      <c r="H59" s="6" t="inlineStr">
        <is>
          <t>163550867; 163550868; 222717313; 222717314</t>
        </is>
      </c>
      <c r="I59" s="6" t="inlineStr">
        <is>
          <t>12120704; 15953442</t>
        </is>
      </c>
      <c r="J59" s="6" t="inlineStr">
        <is>
          <t>ОТ № ЮГОК ПГУ 25-24; ЮГОК ЭУ 13-26</t>
        </is>
      </c>
      <c r="K59" s="6" t="inlineStr">
        <is>
          <t>14.12.2025; 21.08.2026</t>
        </is>
      </c>
      <c r="L59" s="6" t="inlineStr">
        <is>
          <t>Успешно</t>
        </is>
      </c>
      <c r="M59" s="6" t="inlineStr">
        <is>
          <t>Пользовательский интерфейс</t>
        </is>
      </c>
      <c r="N59" s="7" t="n">
        <v>4</v>
      </c>
      <c r="O59" s="7" t="n">
        <v>2</v>
      </c>
      <c r="P59" s="7" t="n"/>
      <c r="Q59" s="175" t="n">
        <v>2</v>
      </c>
      <c r="R59" s="7" t="n"/>
      <c r="S59" s="7" t="n"/>
      <c r="T59" s="7" t="n"/>
      <c r="U59" s="7" t="n"/>
      <c r="V59" s="7" t="n"/>
      <c r="W59" s="7" t="n"/>
      <c r="X59" s="7" t="n"/>
      <c r="Y59" s="7" t="n"/>
      <c r="Z59" s="7" t="n"/>
      <c r="AA59" s="7" t="n"/>
      <c r="AB59" s="7" t="n"/>
      <c r="AC59" s="175" t="n">
        <v>2</v>
      </c>
    </row>
    <row r="60">
      <c r="A60" s="6" t="inlineStr">
        <is>
          <t>работник 59</t>
        </is>
      </c>
      <c r="B60" s="6" t="inlineStr">
        <is>
          <t>Машинист (кочегар) котельной | Оператор дизельных котлов</t>
        </is>
      </c>
      <c r="C60" s="6" t="inlineStr">
        <is>
          <t>Машинист кочегар котельной | Оператор дизельных котлов</t>
        </is>
      </c>
      <c r="D60" s="6" t="inlineStr">
        <is>
          <t>ОБЩЕСТВО С ОГРАНИЧЕННОЙ ОТВЕТСТВЕННОСТЬЮ "АМУР ЗОЛОТО"</t>
        </is>
      </c>
      <c r="E60" s="6" t="inlineStr">
        <is>
          <t>2708001686</t>
        </is>
      </c>
      <c r="F60" s="6" t="inlineStr">
        <is>
          <t>ООО "Амур Золото"</t>
        </is>
      </c>
      <c r="G60" s="6" t="inlineStr">
        <is>
          <t>2708001686</t>
        </is>
      </c>
      <c r="H60" s="6" t="inlineStr">
        <is>
          <t>37117407; 37117408; 37117409; 222717320; 222717321; 222717322</t>
        </is>
      </c>
      <c r="I60" s="6" t="inlineStr">
        <is>
          <t>2978778; 15953442</t>
        </is>
      </c>
      <c r="J60" s="6" t="inlineStr">
        <is>
          <t>ОТ № ЮГОК ЭУ 23-01; ЮГОК ЭУ 26-19</t>
        </is>
      </c>
      <c r="K60" s="6" t="inlineStr">
        <is>
          <t>23.11.2023; 23.08.2026</t>
        </is>
      </c>
      <c r="L60" s="6" t="inlineStr">
        <is>
          <t>Успешно</t>
        </is>
      </c>
      <c r="M60" s="6" t="inlineStr">
        <is>
          <t>Пользовательский интерфейс</t>
        </is>
      </c>
      <c r="N60" s="7" t="n">
        <v>6</v>
      </c>
      <c r="O60" s="7" t="n">
        <v>3</v>
      </c>
      <c r="P60" s="7" t="n"/>
      <c r="Q60" s="175" t="n">
        <v>2</v>
      </c>
      <c r="R60" s="7" t="n"/>
      <c r="S60" s="7" t="n"/>
      <c r="T60" s="7" t="n"/>
      <c r="U60" s="7" t="n"/>
      <c r="V60" s="7" t="n"/>
      <c r="W60" s="7" t="n"/>
      <c r="X60" s="7" t="n"/>
      <c r="Y60" s="7" t="n"/>
      <c r="Z60" s="7" t="n"/>
      <c r="AA60" s="7" t="n"/>
      <c r="AB60" s="175" t="n">
        <v>2</v>
      </c>
      <c r="AC60" s="175" t="n">
        <v>2</v>
      </c>
    </row>
    <row r="61">
      <c r="A61" s="6" t="inlineStr">
        <is>
          <t>работник 157</t>
        </is>
      </c>
      <c r="B61" s="6" t="inlineStr">
        <is>
          <t>Проходчик (с исполнением обязанностей взрывника)</t>
        </is>
      </c>
      <c r="C61" s="6" t="inlineStr">
        <is>
          <t>Проходчик (с исполнением обязанностей взрывника)</t>
        </is>
      </c>
      <c r="D61" s="6" t="inlineStr">
        <is>
          <t>ОБЩЕСТВО С ОГРАНИЧЕННОЙ ОТВЕТСТВЕННОСТЬЮ "АМУР ЗОЛОТО"</t>
        </is>
      </c>
      <c r="E61" s="6" t="inlineStr">
        <is>
          <t>2708001686</t>
        </is>
      </c>
      <c r="F61" s="6" t="inlineStr">
        <is>
          <t>ООО "Амур Золото"</t>
        </is>
      </c>
      <c r="G61" s="6" t="inlineStr">
        <is>
          <t>2708001686</t>
        </is>
      </c>
      <c r="H61" s="6" t="inlineStr">
        <is>
          <t>37117770; 37117771; 37117772; 87544952; 87544953</t>
        </is>
      </c>
      <c r="I61" s="6" t="inlineStr">
        <is>
          <t>2978778; 6719954</t>
        </is>
      </c>
      <c r="J61" s="6" t="inlineStr">
        <is>
          <t>ОТ № ЮГОК ПГУ 24-01; ОТ № ЮГОК ПГУ 24-23</t>
        </is>
      </c>
      <c r="K61" s="6" t="inlineStr">
        <is>
          <t>19.01.2024; 12.11.2024</t>
        </is>
      </c>
      <c r="L61" s="6" t="inlineStr">
        <is>
          <t>Успешно</t>
        </is>
      </c>
      <c r="M61" s="6" t="inlineStr">
        <is>
          <t>Пользовательский интерфейс</t>
        </is>
      </c>
      <c r="N61" s="7" t="n">
        <v>5</v>
      </c>
      <c r="O61" s="7" t="n">
        <v>2</v>
      </c>
      <c r="P61" s="7" t="n"/>
      <c r="Q61" s="175" t="n">
        <v>2</v>
      </c>
      <c r="R61" s="7" t="n"/>
      <c r="S61" s="7" t="n"/>
      <c r="T61" s="7" t="n"/>
      <c r="U61" s="7" t="n"/>
      <c r="V61" s="7" t="n"/>
      <c r="W61" s="7" t="n"/>
      <c r="X61" s="7" t="n"/>
      <c r="Y61" s="7" t="n"/>
      <c r="Z61" s="7" t="n"/>
      <c r="AA61" s="7" t="n"/>
      <c r="AB61" s="7" t="n">
        <v>1</v>
      </c>
      <c r="AC61" s="175" t="n">
        <v>2</v>
      </c>
    </row>
    <row r="62">
      <c r="A62" s="6" t="inlineStr">
        <is>
          <t>работник 158</t>
        </is>
      </c>
      <c r="B62" s="6" t="inlineStr">
        <is>
          <t>Горный диспетчер</t>
        </is>
      </c>
      <c r="C62" s="6" t="inlineStr">
        <is>
          <t>Горный диспетчер</t>
        </is>
      </c>
      <c r="D62" s="6" t="inlineStr">
        <is>
          <t>ОБЩЕСТВО С ОГРАНИЧЕННОЙ ОТВЕТСТВЕННОСТЬЮ "АМУР ЗОЛОТО"</t>
        </is>
      </c>
      <c r="E62" s="6" t="inlineStr">
        <is>
          <t>2708001686</t>
        </is>
      </c>
      <c r="F62" s="6" t="inlineStr">
        <is>
          <t>ООО "Амур Золото"</t>
        </is>
      </c>
      <c r="G62" s="6" t="inlineStr">
        <is>
          <t>2708001686</t>
        </is>
      </c>
      <c r="H62" s="6" t="inlineStr">
        <is>
          <t>37117773; 37117774; 37117775; 214421518; 214421519; 214421520</t>
        </is>
      </c>
      <c r="I62" s="6" t="inlineStr">
        <is>
          <t>2978778; 15411209</t>
        </is>
      </c>
      <c r="J62" s="6" t="inlineStr">
        <is>
          <t>ОТ № ЮГОК ПГУ 24-01; ЮГОК ПГУ 26-41</t>
        </is>
      </c>
      <c r="K62" s="6" t="inlineStr">
        <is>
          <t>19.01.2024; 28.07.2026</t>
        </is>
      </c>
      <c r="L62" s="6" t="inlineStr">
        <is>
          <t>Успешно</t>
        </is>
      </c>
      <c r="M62" s="6" t="inlineStr">
        <is>
          <t>Пользовательский интерфейс</t>
        </is>
      </c>
      <c r="N62" s="7" t="n">
        <v>6</v>
      </c>
      <c r="O62" s="7" t="n">
        <v>3</v>
      </c>
      <c r="P62" s="7" t="n"/>
      <c r="Q62" s="175" t="n">
        <v>2</v>
      </c>
      <c r="R62" s="7" t="n"/>
      <c r="S62" s="7" t="n"/>
      <c r="T62" s="7" t="n"/>
      <c r="U62" s="7" t="n"/>
      <c r="V62" s="7" t="n"/>
      <c r="W62" s="7" t="n"/>
      <c r="X62" s="7" t="n"/>
      <c r="Y62" s="7" t="n"/>
      <c r="Z62" s="7" t="n"/>
      <c r="AA62" s="7" t="n"/>
      <c r="AB62" s="175" t="n">
        <v>2</v>
      </c>
      <c r="AC62" s="175" t="n">
        <v>2</v>
      </c>
    </row>
    <row r="63">
      <c r="A63" s="6" t="inlineStr">
        <is>
          <t>работник 679</t>
        </is>
      </c>
      <c r="B63" s="6" t="inlineStr">
        <is>
          <t>Электрослесарь (слесарь) дежурный и по ремонту оборудования</t>
        </is>
      </c>
      <c r="C63" s="6" t="inlineStr">
        <is>
          <t>Электрослесарь (слесарь) дежурный и по ремонту оборудования</t>
        </is>
      </c>
      <c r="D63" s="6" t="inlineStr">
        <is>
          <t>ОБЩЕСТВО С ОГРАНИЧЕННОЙ ОТВЕТСТВЕННОСТЬЮ "АМУР ЗОЛОТО"</t>
        </is>
      </c>
      <c r="E63" s="6" t="inlineStr">
        <is>
          <t>2708001686</t>
        </is>
      </c>
      <c r="F63" s="6" t="inlineStr">
        <is>
          <t>ООО "Амур Золото"</t>
        </is>
      </c>
      <c r="G63" s="6" t="inlineStr">
        <is>
          <t>2708001686</t>
        </is>
      </c>
      <c r="H63" s="6" t="inlineStr">
        <is>
          <t>189085511; 189085512; 222717343; 222717344; 222717345</t>
        </is>
      </c>
      <c r="I63" s="6" t="inlineStr">
        <is>
          <t>13752947; 15953442</t>
        </is>
      </c>
      <c r="J63" s="6" t="inlineStr">
        <is>
          <t>ОТ № ЮГОК ЭУ 04-26; ЮГОК ЭУ 26-22</t>
        </is>
      </c>
      <c r="K63" s="6" t="inlineStr">
        <is>
          <t>13.04.2026; 24.08.2026</t>
        </is>
      </c>
      <c r="L63" s="6" t="inlineStr">
        <is>
          <t>Успешно</t>
        </is>
      </c>
      <c r="M63" s="6" t="inlineStr">
        <is>
          <t>Пользовательский интерфейс</t>
        </is>
      </c>
      <c r="N63" s="7" t="n">
        <v>5</v>
      </c>
      <c r="O63" s="7" t="n">
        <v>2</v>
      </c>
      <c r="P63" s="7" t="n"/>
      <c r="Q63" s="175" t="n">
        <v>2</v>
      </c>
      <c r="R63" s="7" t="n"/>
      <c r="S63" s="7" t="n"/>
      <c r="T63" s="7" t="n"/>
      <c r="U63" s="7" t="n"/>
      <c r="V63" s="7" t="n"/>
      <c r="W63" s="7" t="n"/>
      <c r="X63" s="7" t="n"/>
      <c r="Y63" s="7" t="n"/>
      <c r="Z63" s="7" t="n"/>
      <c r="AA63" s="7" t="n"/>
      <c r="AB63" s="7" t="n">
        <v>1</v>
      </c>
      <c r="AC63" s="175" t="n">
        <v>2</v>
      </c>
    </row>
    <row r="64">
      <c r="A64" s="6" t="inlineStr">
        <is>
          <t>работник 268</t>
        </is>
      </c>
      <c r="B64" s="6" t="inlineStr">
        <is>
          <t>Машинист экскаватора</t>
        </is>
      </c>
      <c r="C64" s="6" t="inlineStr">
        <is>
          <t>Машинист экскаватора</t>
        </is>
      </c>
      <c r="D64" s="6" t="inlineStr">
        <is>
          <t>ОБЩЕСТВО С ОГРАНИЧЕННОЙ ОТВЕТСТВЕННОСТЬЮ "АМУР ЗОЛОТО"</t>
        </is>
      </c>
      <c r="E64" s="6" t="inlineStr">
        <is>
          <t>2708001686</t>
        </is>
      </c>
      <c r="F64" s="6" t="inlineStr">
        <is>
          <t>ООО "Амур Золото"</t>
        </is>
      </c>
      <c r="G64" s="6" t="inlineStr">
        <is>
          <t>2708001686</t>
        </is>
      </c>
      <c r="H64" s="6" t="inlineStr">
        <is>
          <t>42252344; 42252345; 42252346; 222717173; 222717174; 222717175</t>
        </is>
      </c>
      <c r="I64" s="6" t="inlineStr">
        <is>
          <t>3404353; 15953442</t>
        </is>
      </c>
      <c r="J64" s="6" t="inlineStr">
        <is>
          <t>ОТ № ЮГОК АТЦ 24-04; ЮГОК АТЦ 26-17</t>
        </is>
      </c>
      <c r="K64" s="6" t="inlineStr">
        <is>
          <t>23.02.2024; 17.08.2026</t>
        </is>
      </c>
      <c r="L64" s="6" t="inlineStr">
        <is>
          <t>Успешно</t>
        </is>
      </c>
      <c r="M64" s="6" t="inlineStr">
        <is>
          <t>Пользовательский интерфейс</t>
        </is>
      </c>
      <c r="N64" s="7" t="n">
        <v>6</v>
      </c>
      <c r="O64" s="7" t="n">
        <v>3</v>
      </c>
      <c r="P64" s="7" t="n"/>
      <c r="Q64" s="175" t="n">
        <v>2</v>
      </c>
      <c r="R64" s="7" t="n"/>
      <c r="S64" s="7" t="n"/>
      <c r="T64" s="7" t="n"/>
      <c r="U64" s="7" t="n"/>
      <c r="V64" s="7" t="n"/>
      <c r="W64" s="7" t="n"/>
      <c r="X64" s="7" t="n"/>
      <c r="Y64" s="7" t="n"/>
      <c r="Z64" s="7" t="n"/>
      <c r="AA64" s="7" t="n"/>
      <c r="AB64" s="175" t="n">
        <v>2</v>
      </c>
      <c r="AC64" s="175" t="n">
        <v>2</v>
      </c>
    </row>
    <row r="65">
      <c r="A65" s="6" t="inlineStr">
        <is>
          <t>работник 663</t>
        </is>
      </c>
      <c r="B65" s="6" t="inlineStr">
        <is>
          <t>Проходчик (с исполнением обязанностей взрывника)</t>
        </is>
      </c>
      <c r="C65" s="6" t="inlineStr">
        <is>
          <t>Проходчик (с исполнением обязанностей взрывника)</t>
        </is>
      </c>
      <c r="D65" s="6" t="inlineStr">
        <is>
          <t>ОБЩЕСТВО С ОГРАНИЧЕННОЙ ОТВЕТСТВЕННОСТЬЮ "АМУР ЗОЛОТО"</t>
        </is>
      </c>
      <c r="E65" s="6" t="inlineStr">
        <is>
          <t>2708001686</t>
        </is>
      </c>
      <c r="F65" s="6" t="inlineStr">
        <is>
          <t>ООО "Амур Золото"</t>
        </is>
      </c>
      <c r="G65" s="6" t="inlineStr">
        <is>
          <t>2708001686</t>
        </is>
      </c>
      <c r="H65" s="6" t="inlineStr">
        <is>
          <t>180849747; 180849748; 180849749; 214421521; 214421522; 214421523; 216771158; 216771159; 216771160</t>
        </is>
      </c>
      <c r="I65" s="6" t="inlineStr">
        <is>
          <t>13246997; 15411209; 15571832</t>
        </is>
      </c>
      <c r="J65" s="6" t="inlineStr">
        <is>
          <t>ОТ № ЮГОК ПГУ 26-20; ЮГОК ПГУ 26-42; ЮГОК ПГУ 26-48</t>
        </is>
      </c>
      <c r="K65" s="6" t="inlineStr">
        <is>
          <t>26.02.2026; 28.07.2026; 16.08.2026</t>
        </is>
      </c>
      <c r="L65" s="6" t="inlineStr">
        <is>
          <t>Успешно</t>
        </is>
      </c>
      <c r="M65" s="6" t="inlineStr">
        <is>
          <t>Пользовательский интерфейс</t>
        </is>
      </c>
      <c r="N65" s="7" t="n">
        <v>9</v>
      </c>
      <c r="O65" s="7" t="n">
        <v>3</v>
      </c>
      <c r="P65" s="7" t="n"/>
      <c r="Q65" s="175" t="n">
        <v>3</v>
      </c>
      <c r="R65" s="7" t="n"/>
      <c r="S65" s="7" t="n"/>
      <c r="T65" s="7" t="n">
        <v>1</v>
      </c>
      <c r="U65" s="7" t="n"/>
      <c r="V65" s="7" t="n"/>
      <c r="W65" s="7" t="n"/>
      <c r="X65" s="7" t="n"/>
      <c r="Y65" s="7" t="n"/>
      <c r="Z65" s="7" t="n"/>
      <c r="AA65" s="7" t="n"/>
      <c r="AB65" s="175" t="n">
        <v>2</v>
      </c>
      <c r="AC65" s="175" t="n">
        <v>3</v>
      </c>
    </row>
    <row r="66">
      <c r="A66" s="6" t="inlineStr">
        <is>
          <t>работник 159</t>
        </is>
      </c>
      <c r="B66" s="6" t="inlineStr">
        <is>
          <t>Проходчик (с исполнением обязанностей взрывника)</t>
        </is>
      </c>
      <c r="C66" s="6" t="inlineStr">
        <is>
          <t>Проходчик (с исполнением обязанностей взрывника)</t>
        </is>
      </c>
      <c r="D66" s="6" t="inlineStr">
        <is>
          <t>ОБЩЕСТВО С ОГРАНИЧЕННОЙ ОТВЕТСТВЕННОСТЬЮ "АМУР ЗОЛОТО"</t>
        </is>
      </c>
      <c r="E66" s="6" t="inlineStr">
        <is>
          <t>2708001686</t>
        </is>
      </c>
      <c r="F66" s="6" t="inlineStr">
        <is>
          <t>ООО "Амур Золото"</t>
        </is>
      </c>
      <c r="G66" s="6" t="inlineStr">
        <is>
          <t>2708001686</t>
        </is>
      </c>
      <c r="H66" s="6" t="inlineStr">
        <is>
          <t>37117776; 37117777; 37117778; 87544954; 87544955</t>
        </is>
      </c>
      <c r="I66" s="6" t="inlineStr">
        <is>
          <t>2978778; 6719954</t>
        </is>
      </c>
      <c r="J66" s="6" t="inlineStr">
        <is>
          <t>ОТ № ЮГОК ПГУ 24-01; ОТ № ЮГОК ПГУ 24-23</t>
        </is>
      </c>
      <c r="K66" s="6" t="inlineStr">
        <is>
          <t>19.01.2024; 12.11.2024</t>
        </is>
      </c>
      <c r="L66" s="6" t="inlineStr">
        <is>
          <t>Успешно</t>
        </is>
      </c>
      <c r="M66" s="6" t="inlineStr">
        <is>
          <t>Пользовательский интерфейс</t>
        </is>
      </c>
      <c r="N66" s="7" t="n">
        <v>5</v>
      </c>
      <c r="O66" s="7" t="n">
        <v>2</v>
      </c>
      <c r="P66" s="7" t="n"/>
      <c r="Q66" s="175" t="n">
        <v>2</v>
      </c>
      <c r="R66" s="7" t="n"/>
      <c r="S66" s="7" t="n"/>
      <c r="T66" s="7" t="n"/>
      <c r="U66" s="7" t="n"/>
      <c r="V66" s="7" t="n"/>
      <c r="W66" s="7" t="n"/>
      <c r="X66" s="7" t="n"/>
      <c r="Y66" s="7" t="n"/>
      <c r="Z66" s="7" t="n"/>
      <c r="AA66" s="7" t="n"/>
      <c r="AB66" s="7" t="n">
        <v>1</v>
      </c>
      <c r="AC66" s="175" t="n">
        <v>2</v>
      </c>
    </row>
    <row r="67">
      <c r="A67" s="6" t="inlineStr">
        <is>
          <t>работник 114</t>
        </is>
      </c>
      <c r="B67" s="6" t="inlineStr">
        <is>
          <t>Пробоотборщик | Лаборант химического анализа</t>
        </is>
      </c>
      <c r="C67" s="6" t="inlineStr">
        <is>
          <t>Пробоотборщик | Лаборант химического анализа</t>
        </is>
      </c>
      <c r="D67" s="6" t="inlineStr">
        <is>
          <t>ОБЩЕСТВО С ОГРАНИЧЕННОЙ ОТВЕТСТВЕННОСТЬЮ "АМУР ЗОЛОТО"</t>
        </is>
      </c>
      <c r="E67" s="6" t="inlineStr">
        <is>
          <t>2708001686</t>
        </is>
      </c>
      <c r="F67" s="6" t="inlineStr">
        <is>
          <t>ООО "Амур Золото"</t>
        </is>
      </c>
      <c r="G67" s="6" t="inlineStr">
        <is>
          <t>2708001686</t>
        </is>
      </c>
      <c r="H67" s="6" t="inlineStr">
        <is>
          <t>37117607; 37117608; 37117609; 173160798; 173160799</t>
        </is>
      </c>
      <c r="I67" s="6" t="inlineStr">
        <is>
          <t>2978778; 12768377</t>
        </is>
      </c>
      <c r="J67" s="6" t="inlineStr">
        <is>
          <t>ОТ № ЮГОК ОТК 23-01; ОТ № ЮГОК ПАЛ 26-01</t>
        </is>
      </c>
      <c r="K67" s="6" t="inlineStr">
        <is>
          <t>11.12.2023; 02.02.2026</t>
        </is>
      </c>
      <c r="L67" s="6" t="inlineStr">
        <is>
          <t>Успешно</t>
        </is>
      </c>
      <c r="M67" s="6" t="inlineStr">
        <is>
          <t>Пользовательский интерфейс</t>
        </is>
      </c>
      <c r="N67" s="7" t="n">
        <v>5</v>
      </c>
      <c r="O67" s="7" t="n">
        <v>2</v>
      </c>
      <c r="P67" s="7" t="n"/>
      <c r="Q67" s="175" t="n">
        <v>2</v>
      </c>
      <c r="R67" s="7" t="n"/>
      <c r="S67" s="7" t="n"/>
      <c r="T67" s="7" t="n"/>
      <c r="U67" s="7" t="n"/>
      <c r="V67" s="7" t="n"/>
      <c r="W67" s="7" t="n"/>
      <c r="X67" s="7" t="n"/>
      <c r="Y67" s="7" t="n"/>
      <c r="Z67" s="7" t="n"/>
      <c r="AA67" s="7" t="n"/>
      <c r="AB67" s="7" t="n">
        <v>1</v>
      </c>
      <c r="AC67" s="175" t="n">
        <v>2</v>
      </c>
    </row>
    <row r="68">
      <c r="A68" s="6" t="inlineStr">
        <is>
          <t>работник 208</t>
        </is>
      </c>
      <c r="B68" s="6" t="inlineStr">
        <is>
          <t>Водитель погрузчика | Машинист погрузочно-доставочной машины (ТГМ) | Машинист погрузочно-доставочной машины (занятый на транспортировании горной массы в технологическом процессе)</t>
        </is>
      </c>
      <c r="C68" s="6" t="inlineStr">
        <is>
          <t>Водитель погрузчика | Машинист погрузочно-доставочной машины (ТГМ) | Машинист погрузочно-доставочной машины (занятый на транспортировании горной массы в технологическом процессе)</t>
        </is>
      </c>
      <c r="D68" s="6" t="inlineStr">
        <is>
          <t>ОБЩЕСТВО С ОГРАНИЧЕННОЙ ОТВЕТСТВЕННОСТЬЮ "АМУР ЗОЛОТО"</t>
        </is>
      </c>
      <c r="E68" s="6" t="inlineStr">
        <is>
          <t>2708001686</t>
        </is>
      </c>
      <c r="F68" s="6" t="inlineStr">
        <is>
          <t>ООО "Амур Золото"</t>
        </is>
      </c>
      <c r="G68" s="6" t="inlineStr">
        <is>
          <t>2708001686</t>
        </is>
      </c>
      <c r="H68" s="6" t="inlineStr">
        <is>
          <t>41372062; 41372063; 41372064; 43295369; 43295370; 43295371; 214421362; 214421363; 214421365</t>
        </is>
      </c>
      <c r="I68" s="6" t="inlineStr">
        <is>
          <t>3335316; 3473988; 15411209</t>
        </is>
      </c>
      <c r="J68" s="6" t="inlineStr">
        <is>
          <t>ОТ № ЮГОК АТЦ 23-03; ОТ № ЮГОК ПГР 24-04; ЮГОК ПГУ 26-27</t>
        </is>
      </c>
      <c r="K68" s="6" t="inlineStr">
        <is>
          <t>03.12.2023; 25.02.2024; 23.07.2026</t>
        </is>
      </c>
      <c r="L68" s="6" t="inlineStr">
        <is>
          <t>Успешно</t>
        </is>
      </c>
      <c r="M68" s="6" t="inlineStr">
        <is>
          <t>Пользовательский интерфейс</t>
        </is>
      </c>
      <c r="N68" s="7" t="n">
        <v>9</v>
      </c>
      <c r="O68" s="7" t="n">
        <v>3</v>
      </c>
      <c r="P68" s="7" t="n"/>
      <c r="Q68" s="175" t="n">
        <v>3</v>
      </c>
      <c r="R68" s="7" t="n"/>
      <c r="S68" s="7" t="n"/>
      <c r="T68" s="7" t="n"/>
      <c r="U68" s="7" t="n"/>
      <c r="V68" s="7" t="n"/>
      <c r="W68" s="7" t="n"/>
      <c r="X68" s="7" t="n"/>
      <c r="Y68" s="7" t="n"/>
      <c r="Z68" s="7" t="n"/>
      <c r="AA68" s="7" t="n"/>
      <c r="AB68" s="175" t="n">
        <v>3</v>
      </c>
      <c r="AC68" s="175" t="n">
        <v>3</v>
      </c>
    </row>
    <row r="69">
      <c r="A69" s="6" t="inlineStr">
        <is>
          <t>работник 311</t>
        </is>
      </c>
      <c r="B69" s="6" t="inlineStr">
        <is>
          <t>Помощник машиниста самоходной буровой установки (с исполнением обязанностей пробоотборщика) (Очистное) | Помощник машиниста самоходной буровой установки (с исполнением обязанностей пробоотборщика)</t>
        </is>
      </c>
      <c r="C69" s="6" t="inlineStr">
        <is>
          <t>Помощник машиниста самоходной буровой установки (с исполнением обязанностей пробоотборщика) (Очистное) | Помощник машиниста самоходной буровой установки (с исполнением обязанностей пробоотборщика)</t>
        </is>
      </c>
      <c r="D69" s="6" t="inlineStr">
        <is>
          <t>ОБЩЕСТВО С ОГРАНИЧЕННОЙ ОТВЕТСТВЕННОСТЬЮ "АМУР ЗОЛОТО"</t>
        </is>
      </c>
      <c r="E69" s="6" t="inlineStr">
        <is>
          <t>2708001686</t>
        </is>
      </c>
      <c r="F69" s="6" t="inlineStr">
        <is>
          <t>ООО "Амур Золото"</t>
        </is>
      </c>
      <c r="G69" s="6" t="inlineStr">
        <is>
          <t>2708001686</t>
        </is>
      </c>
      <c r="H69" s="6" t="inlineStr">
        <is>
          <t>43299709; 43299710; 43299711; 216771125; 216771126; 216771127</t>
        </is>
      </c>
      <c r="I69" s="6" t="inlineStr">
        <is>
          <t>3474285; 15571832</t>
        </is>
      </c>
      <c r="J69" s="6" t="inlineStr">
        <is>
          <t>ОТ № ЮГОК ПГУ 24-05; ЮГОК ПГУ 26-46</t>
        </is>
      </c>
      <c r="K69" s="6" t="inlineStr">
        <is>
          <t>05.03.2024; 14.08.2026</t>
        </is>
      </c>
      <c r="L69" s="6" t="inlineStr">
        <is>
          <t>Успешно</t>
        </is>
      </c>
      <c r="M69" s="6" t="inlineStr">
        <is>
          <t>Пользовательский интерфейс</t>
        </is>
      </c>
      <c r="N69" s="7" t="n">
        <v>6</v>
      </c>
      <c r="O69" s="7" t="n">
        <v>3</v>
      </c>
      <c r="P69" s="7" t="n"/>
      <c r="Q69" s="175" t="n">
        <v>2</v>
      </c>
      <c r="R69" s="7" t="n"/>
      <c r="S69" s="7" t="n"/>
      <c r="T69" s="7" t="n"/>
      <c r="U69" s="7" t="n"/>
      <c r="V69" s="7" t="n"/>
      <c r="W69" s="7" t="n"/>
      <c r="X69" s="7" t="n"/>
      <c r="Y69" s="7" t="n"/>
      <c r="Z69" s="7" t="n"/>
      <c r="AA69" s="7" t="n"/>
      <c r="AB69" s="175" t="n">
        <v>2</v>
      </c>
      <c r="AC69" s="175" t="n">
        <v>2</v>
      </c>
    </row>
    <row r="70">
      <c r="A70" s="6" t="inlineStr">
        <is>
          <t>работник 243</t>
        </is>
      </c>
      <c r="B70" s="6" t="inlineStr">
        <is>
          <t>Фильтровальщик | Слесарь по контрольно-измерительным приборам и автоматике</t>
        </is>
      </c>
      <c r="C70" s="6" t="inlineStr">
        <is>
          <t>Фильтровальщик | Слесарь по контрольно-измерительным приборам и автоматике</t>
        </is>
      </c>
      <c r="D70" s="6" t="inlineStr">
        <is>
          <t>ОБЩЕСТВО С ОГРАНИЧЕННОЙ ОТВЕТСТВЕННОСТЬЮ "АМУР ЗОЛОТО"</t>
        </is>
      </c>
      <c r="E70" s="6" t="inlineStr">
        <is>
          <t>2708001686</t>
        </is>
      </c>
      <c r="F70" s="6" t="inlineStr">
        <is>
          <t>ООО "Амур Золото"</t>
        </is>
      </c>
      <c r="G70" s="6" t="inlineStr">
        <is>
          <t>2708001686</t>
        </is>
      </c>
      <c r="H70" s="6" t="inlineStr">
        <is>
          <t>41372173; 41372174; 41372175; 121097085; 121097086; 189085505; 189085506; 214421319; 214421320; 214421321</t>
        </is>
      </c>
      <c r="I70" s="6" t="inlineStr">
        <is>
          <t>3335316; 9114030; 13752947; 15411209</t>
        </is>
      </c>
      <c r="J70" s="6" t="inlineStr">
        <is>
          <t>ОТ ЮГОК ЗИОФ 24-04; ОТ № ЮГОК ЗИОФ 25-15; ОТ № ЮГОК ЗИОФ 26-14; ЮГОК ЗИОФ 26-39</t>
        </is>
      </c>
      <c r="K70" s="6" t="inlineStr">
        <is>
          <t>28.01.2024; 12.04.2025; 08.04.2026; 29.07.2026</t>
        </is>
      </c>
      <c r="L70" s="6" t="inlineStr">
        <is>
          <t>Успешно</t>
        </is>
      </c>
      <c r="M70" s="6" t="inlineStr">
        <is>
          <t>Пользовательский интерфейс</t>
        </is>
      </c>
      <c r="N70" s="7" t="n">
        <v>10</v>
      </c>
      <c r="O70" s="7" t="n">
        <v>3</v>
      </c>
      <c r="P70" s="7" t="n"/>
      <c r="Q70" s="175" t="n">
        <v>4</v>
      </c>
      <c r="R70" s="7" t="n"/>
      <c r="S70" s="7" t="n"/>
      <c r="T70" s="7" t="n"/>
      <c r="U70" s="7" t="n"/>
      <c r="V70" s="7" t="n"/>
      <c r="W70" s="7" t="n"/>
      <c r="X70" s="7" t="n"/>
      <c r="Y70" s="7" t="n"/>
      <c r="Z70" s="7" t="n"/>
      <c r="AA70" s="7" t="n"/>
      <c r="AB70" s="175" t="n">
        <v>2</v>
      </c>
      <c r="AC70" s="175" t="n">
        <v>4</v>
      </c>
    </row>
    <row r="71">
      <c r="A71" s="6" t="inlineStr">
        <is>
          <t>работник 184</t>
        </is>
      </c>
      <c r="B71" s="6" t="inlineStr">
        <is>
          <t>Водитель погрузчика | Водитель автомобиля (занятый на транспортировании горной массы в технологическом процессе)</t>
        </is>
      </c>
      <c r="C71" s="6" t="inlineStr">
        <is>
          <t>Водитель погрузчика | Водитель автомобиля (занятый на транспортировании горной массы в технологическом процессе)</t>
        </is>
      </c>
      <c r="D71" s="6" t="inlineStr">
        <is>
          <t>ОБЩЕСТВО С ОГРАНИЧЕННОЙ ОТВЕТСТВЕННОСТЬЮ "АМУР ЗОЛОТО"</t>
        </is>
      </c>
      <c r="E71" s="6" t="inlineStr">
        <is>
          <t>2708001686</t>
        </is>
      </c>
      <c r="F71" s="6" t="inlineStr">
        <is>
          <t>ООО "Амур Золото"</t>
        </is>
      </c>
      <c r="G71" s="6" t="inlineStr">
        <is>
          <t>2708001686</t>
        </is>
      </c>
      <c r="H71" s="6" t="inlineStr">
        <is>
          <t>41371987; 41371988; 41371989; 82311965; 82311966</t>
        </is>
      </c>
      <c r="I71" s="6" t="inlineStr">
        <is>
          <t>3335316; 6330469</t>
        </is>
      </c>
      <c r="J71" s="6" t="inlineStr">
        <is>
          <t>ОТ № ЮГОК АТЦ 23-03; ОТ №ЮГОК АТЦ 24-06</t>
        </is>
      </c>
      <c r="K71" s="6" t="inlineStr">
        <is>
          <t>03.12.2023; 05.09.2024</t>
        </is>
      </c>
      <c r="L71" s="6" t="inlineStr">
        <is>
          <t>Успешно</t>
        </is>
      </c>
      <c r="M71" s="6" t="inlineStr">
        <is>
          <t>Пользовательский интерфейс</t>
        </is>
      </c>
      <c r="N71" s="7" t="n">
        <v>5</v>
      </c>
      <c r="O71" s="7" t="n">
        <v>2</v>
      </c>
      <c r="P71" s="7" t="n"/>
      <c r="Q71" s="175" t="n">
        <v>2</v>
      </c>
      <c r="R71" s="7" t="n"/>
      <c r="S71" s="7" t="n"/>
      <c r="T71" s="7" t="n"/>
      <c r="U71" s="7" t="n"/>
      <c r="V71" s="7" t="n"/>
      <c r="W71" s="7" t="n"/>
      <c r="X71" s="7" t="n"/>
      <c r="Y71" s="7" t="n"/>
      <c r="Z71" s="7" t="n"/>
      <c r="AA71" s="7" t="n"/>
      <c r="AB71" s="7" t="n">
        <v>1</v>
      </c>
      <c r="AC71" s="175" t="n">
        <v>2</v>
      </c>
    </row>
    <row r="72">
      <c r="A72" s="6" t="inlineStr">
        <is>
          <t>работник 197</t>
        </is>
      </c>
      <c r="B72" s="6" t="inlineStr">
        <is>
          <t>Водитель автомобиля (занятый на транспортировании горной массы в технологическом процессе)</t>
        </is>
      </c>
      <c r="C72" s="6" t="inlineStr">
        <is>
          <t>Водитель автомобиля(занятый на траспортировании горной массы в технологическом процессе) | Водитель автомобиля (занятый на транспортировании горной массы в технологическом процессе)</t>
        </is>
      </c>
      <c r="D72" s="6" t="inlineStr">
        <is>
          <t>ОБЩЕСТВО С ОГРАНИЧЕННОЙ ОТВЕТСТВЕННОСТЬЮ "АМУР ЗОЛОТО"</t>
        </is>
      </c>
      <c r="E72" s="6" t="inlineStr">
        <is>
          <t>2708001686</t>
        </is>
      </c>
      <c r="F72" s="6" t="inlineStr">
        <is>
          <t>ООО "Амур Золото"</t>
        </is>
      </c>
      <c r="G72" s="6" t="inlineStr">
        <is>
          <t>2708001686</t>
        </is>
      </c>
      <c r="H72" s="6" t="inlineStr">
        <is>
          <t>41372029; 41372030; 41372031; 99714066; 99714067</t>
        </is>
      </c>
      <c r="I72" s="6" t="inlineStr">
        <is>
          <t>3335316; 7576385</t>
        </is>
      </c>
      <c r="J72" s="6" t="inlineStr">
        <is>
          <t>ОТ № ЮГОК АТЦ 23-03; ОТ № ЮГОК АТЦ 25-01</t>
        </is>
      </c>
      <c r="K72" s="6" t="inlineStr">
        <is>
          <t>03.12.2023; 19.01.2025</t>
        </is>
      </c>
      <c r="L72" s="6" t="inlineStr">
        <is>
          <t>Успешно</t>
        </is>
      </c>
      <c r="M72" s="6" t="inlineStr">
        <is>
          <t>Пользовательский интерфейс</t>
        </is>
      </c>
      <c r="N72" s="7" t="n">
        <v>5</v>
      </c>
      <c r="O72" s="7" t="n">
        <v>2</v>
      </c>
      <c r="P72" s="7" t="n"/>
      <c r="Q72" s="175" t="n">
        <v>2</v>
      </c>
      <c r="R72" s="7" t="n"/>
      <c r="S72" s="7" t="n"/>
      <c r="T72" s="7" t="n"/>
      <c r="U72" s="7" t="n"/>
      <c r="V72" s="7" t="n"/>
      <c r="W72" s="7" t="n"/>
      <c r="X72" s="7" t="n"/>
      <c r="Y72" s="7" t="n"/>
      <c r="Z72" s="7" t="n"/>
      <c r="AA72" s="7" t="n"/>
      <c r="AB72" s="7" t="n">
        <v>1</v>
      </c>
      <c r="AC72" s="175" t="n">
        <v>2</v>
      </c>
    </row>
    <row r="73">
      <c r="A73" s="6" t="inlineStr">
        <is>
          <t>работник 250</t>
        </is>
      </c>
      <c r="B73" s="6" t="inlineStr">
        <is>
          <t>Флотатор | Аппаратчик-гидрометаллург</t>
        </is>
      </c>
      <c r="C73" s="6" t="inlineStr">
        <is>
          <t>Флотатор | Аппаратчик-гидрометаллург</t>
        </is>
      </c>
      <c r="D73" s="6" t="inlineStr">
        <is>
          <t>ОБЩЕСТВО С ОГРАНИЧЕННОЙ ОТВЕТСТВЕННОСТЬЮ "АМУР ЗОЛОТО"</t>
        </is>
      </c>
      <c r="E73" s="6" t="inlineStr">
        <is>
          <t>2708001686</t>
        </is>
      </c>
      <c r="F73" s="6" t="inlineStr">
        <is>
          <t>ООО "Амур Золото"</t>
        </is>
      </c>
      <c r="G73" s="6" t="inlineStr">
        <is>
          <t>2708001686</t>
        </is>
      </c>
      <c r="H73" s="6" t="inlineStr">
        <is>
          <t>41372200; 41372201; 41372202; 214421277; 214421278; 214421279</t>
        </is>
      </c>
      <c r="I73" s="6" t="inlineStr">
        <is>
          <t>3335316; 15411209</t>
        </is>
      </c>
      <c r="J73" s="6" t="inlineStr">
        <is>
          <t>ОТ ЮГОК ЗИОФ 24-13; ОТ ЮГОК ЗИОФ 24-14; ЮГОК ЗИОФ 26-34</t>
        </is>
      </c>
      <c r="K73" s="6" t="inlineStr">
        <is>
          <t>12.02.2024; 22.02.2024; 29.07.2026</t>
        </is>
      </c>
      <c r="L73" s="6" t="inlineStr">
        <is>
          <t>Успешно</t>
        </is>
      </c>
      <c r="M73" s="6" t="inlineStr">
        <is>
          <t>Пользовательский интерфейс</t>
        </is>
      </c>
      <c r="N73" s="7" t="n">
        <v>6</v>
      </c>
      <c r="O73" s="7" t="n">
        <v>3</v>
      </c>
      <c r="P73" s="7" t="n"/>
      <c r="Q73" s="175" t="n">
        <v>2</v>
      </c>
      <c r="R73" s="7" t="n"/>
      <c r="S73" s="7" t="n"/>
      <c r="T73" s="7" t="n"/>
      <c r="U73" s="7" t="n"/>
      <c r="V73" s="7" t="n"/>
      <c r="W73" s="7" t="n"/>
      <c r="X73" s="7" t="n"/>
      <c r="Y73" s="7" t="n"/>
      <c r="Z73" s="7" t="n"/>
      <c r="AA73" s="7" t="n"/>
      <c r="AB73" s="175" t="n">
        <v>2</v>
      </c>
      <c r="AC73" s="175" t="n">
        <v>2</v>
      </c>
    </row>
    <row r="74">
      <c r="A74" s="6" t="inlineStr">
        <is>
          <t>работник 636</t>
        </is>
      </c>
      <c r="B74" s="6" t="inlineStr">
        <is>
          <t>Грузчик | Аппаратчик-гидрометаллург</t>
        </is>
      </c>
      <c r="C74" s="6" t="inlineStr">
        <is>
          <t>Грузчик | Аппаратчик-гидрометаллург</t>
        </is>
      </c>
      <c r="D74" s="6" t="inlineStr">
        <is>
          <t>ОБЩЕСТВО С ОГРАНИЧЕННОЙ ОТВЕТСТВЕННОСТЬЮ "АМУР ЗОЛОТО"</t>
        </is>
      </c>
      <c r="E74" s="6" t="inlineStr">
        <is>
          <t>2708001686</t>
        </is>
      </c>
      <c r="F74" s="6" t="inlineStr">
        <is>
          <t>ООО "Амур Золото"</t>
        </is>
      </c>
      <c r="G74" s="6" t="inlineStr">
        <is>
          <t>2708001686</t>
        </is>
      </c>
      <c r="H74" s="6" t="inlineStr">
        <is>
          <t>175826200; 175826201; 214421335; 214421336; 214421337; 223283026; 223283027; 223283029</t>
        </is>
      </c>
      <c r="I74" s="6" t="inlineStr">
        <is>
          <t>12935952; 15411209; 15995643</t>
        </is>
      </c>
      <c r="J74" s="6" t="inlineStr">
        <is>
          <t>ОТ № ЮГОК ЗИОФ 26-01; ЮГОК ЗИОФ 26-42; ЮГОК ЗИОФ 26-56</t>
        </is>
      </c>
      <c r="K74" s="6" t="inlineStr">
        <is>
          <t>19.02.2026; 29.07.2026; 10.09.2026</t>
        </is>
      </c>
      <c r="L74" s="6" t="inlineStr">
        <is>
          <t>Успешно</t>
        </is>
      </c>
      <c r="M74" s="6" t="inlineStr">
        <is>
          <t>Пользовательский интерфейс</t>
        </is>
      </c>
      <c r="N74" s="7" t="n">
        <v>8</v>
      </c>
      <c r="O74" s="7" t="n">
        <v>3</v>
      </c>
      <c r="P74" s="7" t="n"/>
      <c r="Q74" s="175" t="n">
        <v>3</v>
      </c>
      <c r="R74" s="7" t="n"/>
      <c r="S74" s="7" t="n"/>
      <c r="T74" s="7" t="n"/>
      <c r="U74" s="7" t="n"/>
      <c r="V74" s="7" t="n"/>
      <c r="W74" s="7" t="n"/>
      <c r="X74" s="7" t="n"/>
      <c r="Y74" s="7" t="n"/>
      <c r="Z74" s="7" t="n"/>
      <c r="AA74" s="7" t="n"/>
      <c r="AB74" s="175" t="n">
        <v>2</v>
      </c>
      <c r="AC74" s="175" t="n">
        <v>3</v>
      </c>
    </row>
    <row r="75">
      <c r="A75" s="6" t="inlineStr">
        <is>
          <t>работник 136</t>
        </is>
      </c>
      <c r="B75" s="6" t="inlineStr">
        <is>
          <t>Горнорабочий | Крепильщик</t>
        </is>
      </c>
      <c r="C75" s="6" t="inlineStr">
        <is>
          <t>Горнорабочий | Крепильщик</t>
        </is>
      </c>
      <c r="D75" s="6" t="inlineStr">
        <is>
          <t>ОБЩЕСТВО С ОГРАНИЧЕННОЙ ОТВЕТСТВЕННОСТЬЮ "АМУР ЗОЛОТО"</t>
        </is>
      </c>
      <c r="E75" s="6" t="inlineStr">
        <is>
          <t>2708001686</t>
        </is>
      </c>
      <c r="F75" s="6" t="inlineStr">
        <is>
          <t>ООО "Амур Золото"</t>
        </is>
      </c>
      <c r="G75" s="6" t="inlineStr">
        <is>
          <t>2708001686</t>
        </is>
      </c>
      <c r="H75" s="6" t="inlineStr">
        <is>
          <t>37117704; 37117705; 37117706; 87544960; 87544961</t>
        </is>
      </c>
      <c r="I75" s="6" t="inlineStr">
        <is>
          <t>2978778; 6719954</t>
        </is>
      </c>
      <c r="J75" s="6" t="inlineStr">
        <is>
          <t>ОТ № ЮГОК ГМО 23-02; ОТ № ЮГОК ПГУ 24-23</t>
        </is>
      </c>
      <c r="K75" s="6" t="inlineStr">
        <is>
          <t>11.12.2023; 12.11.2024</t>
        </is>
      </c>
      <c r="L75" s="6" t="inlineStr">
        <is>
          <t>Успешно</t>
        </is>
      </c>
      <c r="M75" s="6" t="inlineStr">
        <is>
          <t>Пользовательский интерфейс</t>
        </is>
      </c>
      <c r="N75" s="7" t="n">
        <v>5</v>
      </c>
      <c r="O75" s="7" t="n">
        <v>2</v>
      </c>
      <c r="P75" s="7" t="n"/>
      <c r="Q75" s="175" t="n">
        <v>2</v>
      </c>
      <c r="R75" s="7" t="n"/>
      <c r="S75" s="7" t="n"/>
      <c r="T75" s="7" t="n"/>
      <c r="U75" s="7" t="n"/>
      <c r="V75" s="7" t="n"/>
      <c r="W75" s="7" t="n"/>
      <c r="X75" s="7" t="n"/>
      <c r="Y75" s="7" t="n"/>
      <c r="Z75" s="7" t="n"/>
      <c r="AA75" s="7" t="n"/>
      <c r="AB75" s="7" t="n">
        <v>1</v>
      </c>
      <c r="AC75" s="175" t="n">
        <v>2</v>
      </c>
    </row>
    <row r="76">
      <c r="A76" s="6" t="inlineStr">
        <is>
          <t>работник 680</t>
        </is>
      </c>
      <c r="B76" s="6" t="inlineStr">
        <is>
          <t>Слесарь-сантехник</t>
        </is>
      </c>
      <c r="C76" s="6" t="inlineStr">
        <is>
          <t>Слесарь-сантехник</t>
        </is>
      </c>
      <c r="D76" s="6" t="inlineStr">
        <is>
          <t>ОБЩЕСТВО С ОГРАНИЧЕННОЙ ОТВЕТСТВЕННОСТЬЮ "АМУР ЗОЛОТО"</t>
        </is>
      </c>
      <c r="E76" s="6" t="inlineStr">
        <is>
          <t>2708001686</t>
        </is>
      </c>
      <c r="F76" s="6" t="inlineStr">
        <is>
          <t>ООО "Амур Золото"</t>
        </is>
      </c>
      <c r="G76" s="6" t="inlineStr">
        <is>
          <t>2708001686</t>
        </is>
      </c>
      <c r="H76" s="6" t="inlineStr">
        <is>
          <t>189085513; 189085514; 222717352; 222717353; 222717354</t>
        </is>
      </c>
      <c r="I76" s="6" t="inlineStr">
        <is>
          <t>13752947; 15953442</t>
        </is>
      </c>
      <c r="J76" s="6" t="inlineStr">
        <is>
          <t>ОТ № ЮГОК ЭУ 05-26; ЮГОК ЭУ 26-24</t>
        </is>
      </c>
      <c r="K76" s="6" t="inlineStr">
        <is>
          <t>13.04.2026; 25.08.2026</t>
        </is>
      </c>
      <c r="L76" s="6" t="inlineStr">
        <is>
          <t>Успешно</t>
        </is>
      </c>
      <c r="M76" s="6" t="inlineStr">
        <is>
          <t>Пользовательский интерфейс</t>
        </is>
      </c>
      <c r="N76" s="7" t="n">
        <v>5</v>
      </c>
      <c r="O76" s="7" t="n">
        <v>2</v>
      </c>
      <c r="P76" s="7" t="n"/>
      <c r="Q76" s="175" t="n">
        <v>2</v>
      </c>
      <c r="R76" s="7" t="n"/>
      <c r="S76" s="7" t="n"/>
      <c r="T76" s="7" t="n"/>
      <c r="U76" s="7" t="n"/>
      <c r="V76" s="7" t="n"/>
      <c r="W76" s="7" t="n"/>
      <c r="X76" s="7" t="n"/>
      <c r="Y76" s="7" t="n"/>
      <c r="Z76" s="7" t="n"/>
      <c r="AA76" s="7" t="n"/>
      <c r="AB76" s="7" t="n">
        <v>1</v>
      </c>
      <c r="AC76" s="175" t="n">
        <v>2</v>
      </c>
    </row>
    <row r="77">
      <c r="A77" s="6" t="inlineStr">
        <is>
          <t>работник 161</t>
        </is>
      </c>
      <c r="B77" s="6" t="inlineStr">
        <is>
          <t>Машинист подземно-доставочной машины | Машинист самоходной буровой установки | Машинист погрузочно-доставочной машины</t>
        </is>
      </c>
      <c r="C77" s="6" t="inlineStr">
        <is>
          <t>Машинист подземно-доставочной машины | Машинист самоходной буровой установки | Машинист погрузочно-доставочной машины</t>
        </is>
      </c>
      <c r="D77" s="6" t="inlineStr">
        <is>
          <t>ОБЩЕСТВО С ОГРАНИЧЕННОЙ ОТВЕТСТВЕННОСТЬЮ "АМУР ЗОЛОТО"</t>
        </is>
      </c>
      <c r="E77" s="6" t="inlineStr">
        <is>
          <t>2708001686</t>
        </is>
      </c>
      <c r="F77" s="6" t="inlineStr">
        <is>
          <t>ООО "Амур Золото"</t>
        </is>
      </c>
      <c r="G77" s="6" t="inlineStr">
        <is>
          <t>2708001686</t>
        </is>
      </c>
      <c r="H77" s="6" t="inlineStr">
        <is>
          <t>37117782; 37117783; 37117784; 82311995; 82311996; 214421392; 214421393; 214421394</t>
        </is>
      </c>
      <c r="I77" s="6" t="inlineStr">
        <is>
          <t>2978778; 6330469; 15411209</t>
        </is>
      </c>
      <c r="J77" s="6" t="inlineStr">
        <is>
          <t>ОТ № ЮГОК ПГУ 24-01; ОТ №ЮГОК ПГУ 24-18; ЮГОК ПГУ 26-28</t>
        </is>
      </c>
      <c r="K77" s="6" t="inlineStr">
        <is>
          <t>19.01.2024; 20.09.2024; 23.07.2026</t>
        </is>
      </c>
      <c r="L77" s="6" t="inlineStr">
        <is>
          <t>Успешно</t>
        </is>
      </c>
      <c r="M77" s="6" t="inlineStr">
        <is>
          <t>Пользовательский интерфейс</t>
        </is>
      </c>
      <c r="N77" s="7" t="n">
        <v>8</v>
      </c>
      <c r="O77" s="7" t="n">
        <v>3</v>
      </c>
      <c r="P77" s="7" t="n"/>
      <c r="Q77" s="175" t="n">
        <v>3</v>
      </c>
      <c r="R77" s="7" t="n"/>
      <c r="S77" s="7" t="n"/>
      <c r="T77" s="7" t="n"/>
      <c r="U77" s="7" t="n"/>
      <c r="V77" s="7" t="n"/>
      <c r="W77" s="7" t="n"/>
      <c r="X77" s="7" t="n"/>
      <c r="Y77" s="7" t="n"/>
      <c r="Z77" s="7" t="n"/>
      <c r="AA77" s="7" t="n"/>
      <c r="AB77" s="175" t="n">
        <v>2</v>
      </c>
      <c r="AC77" s="175" t="n">
        <v>3</v>
      </c>
    </row>
    <row r="78">
      <c r="A78" s="6" t="inlineStr">
        <is>
          <t>работник 534</t>
        </is>
      </c>
      <c r="B78" s="6" t="inlineStr">
        <is>
          <t>Проходчик (с исполнением обязанностей взрывника)</t>
        </is>
      </c>
      <c r="C78" s="6" t="inlineStr">
        <is>
          <t>Проходчик (с исполнением обязанностей взрывника)</t>
        </is>
      </c>
      <c r="D78" s="6" t="inlineStr">
        <is>
          <t>ОБЩЕСТВО С ОГРАНИЧЕННОЙ ОТВЕТСТВЕННОСТЬЮ "АМУР ЗОЛОТО"</t>
        </is>
      </c>
      <c r="E78" s="6" t="inlineStr">
        <is>
          <t>2708001686</t>
        </is>
      </c>
      <c r="F78" s="6" t="inlineStr">
        <is>
          <t>ООО "Амур Золото"</t>
        </is>
      </c>
      <c r="G78" s="6" t="inlineStr">
        <is>
          <t>2708001686</t>
        </is>
      </c>
      <c r="H78" s="6" t="inlineStr">
        <is>
          <t>110446305; 110446306; 216771161; 216771162; 216771163</t>
        </is>
      </c>
      <c r="I78" s="6" t="inlineStr">
        <is>
          <t>8371772; 15571832</t>
        </is>
      </c>
      <c r="J78" s="6" t="inlineStr">
        <is>
          <t>ОТ № ЮГОК ПГУ 05-25; ЮГОК ПГУ 26-48</t>
        </is>
      </c>
      <c r="K78" s="6" t="inlineStr">
        <is>
          <t>19.02.2025; 16.08.2026</t>
        </is>
      </c>
      <c r="L78" s="6" t="inlineStr">
        <is>
          <t>Успешно</t>
        </is>
      </c>
      <c r="M78" s="6" t="inlineStr">
        <is>
          <t>Пользовательский интерфейс</t>
        </is>
      </c>
      <c r="N78" s="7" t="n">
        <v>5</v>
      </c>
      <c r="O78" s="7" t="n">
        <v>2</v>
      </c>
      <c r="P78" s="7" t="n"/>
      <c r="Q78" s="175" t="n">
        <v>2</v>
      </c>
      <c r="R78" s="7" t="n"/>
      <c r="S78" s="7" t="n"/>
      <c r="T78" s="7" t="n"/>
      <c r="U78" s="7" t="n"/>
      <c r="V78" s="7" t="n"/>
      <c r="W78" s="7" t="n"/>
      <c r="X78" s="7" t="n"/>
      <c r="Y78" s="7" t="n"/>
      <c r="Z78" s="7" t="n"/>
      <c r="AA78" s="7" t="n"/>
      <c r="AB78" s="7" t="n">
        <v>1</v>
      </c>
      <c r="AC78" s="175" t="n">
        <v>2</v>
      </c>
    </row>
    <row r="79">
      <c r="A79" s="6" t="inlineStr">
        <is>
          <t>работник 26</t>
        </is>
      </c>
      <c r="B79" s="6" t="inlineStr">
        <is>
          <t>Электрогазосварщик</t>
        </is>
      </c>
      <c r="C79" s="6" t="inlineStr">
        <is>
          <t>Электрогазосварщик | Электрогазосварщик (занятый на резке и ручной сварке)</t>
        </is>
      </c>
      <c r="D79" s="6" t="inlineStr">
        <is>
          <t>ОБЩЕСТВО С ОГРАНИЧЕННОЙ ОТВЕТСТВЕННОСТЬЮ "АМУР ЗОЛОТО"</t>
        </is>
      </c>
      <c r="E79" s="6" t="inlineStr">
        <is>
          <t>2708001686</t>
        </is>
      </c>
      <c r="F79" s="6" t="inlineStr">
        <is>
          <t>ООО "Амур Золото"</t>
        </is>
      </c>
      <c r="G79" s="6" t="inlineStr">
        <is>
          <t>2708001686</t>
        </is>
      </c>
      <c r="H79" s="6" t="inlineStr">
        <is>
          <t>37117296; 37117297; 37117298; 37117299; 37117300; 37117301; 90580097; 96539118; 96539119; 96539120; 96539121; 96539122; 96539123; 214421301; 214421302; 214421303</t>
        </is>
      </c>
      <c r="I79" s="6" t="inlineStr">
        <is>
          <t>2978778; 6934388; 7135797; 15411209</t>
        </is>
      </c>
      <c r="J79" s="6" t="inlineStr">
        <is>
          <t>ОТ № ЮГОК ЗИОФ 23-02; ОТ № ЮГОК ЗИОФ 24-38; ОТ № ЮГОК ЗИОФ 24-41; ЮГОК ЗИОФ 26-37</t>
        </is>
      </c>
      <c r="K79" s="6" t="inlineStr">
        <is>
          <t>24.11.2023; 25.11.2024; 10.12.2024; 29.07.2026</t>
        </is>
      </c>
      <c r="L79" s="6" t="inlineStr">
        <is>
          <t>Успешно</t>
        </is>
      </c>
      <c r="M79" s="6" t="inlineStr">
        <is>
          <t>Пользовательский интерфейс</t>
        </is>
      </c>
      <c r="N79" s="7" t="n">
        <v>16</v>
      </c>
      <c r="O79" s="7" t="n">
        <v>7</v>
      </c>
      <c r="P79" s="7" t="n"/>
      <c r="Q79" s="175" t="n">
        <v>2</v>
      </c>
      <c r="R79" s="175" t="n">
        <v>2</v>
      </c>
      <c r="S79" s="175" t="n">
        <v>2</v>
      </c>
      <c r="T79" s="175" t="n">
        <v>2</v>
      </c>
      <c r="U79" s="175" t="n">
        <v>2</v>
      </c>
      <c r="V79" s="175" t="n">
        <v>2</v>
      </c>
      <c r="W79" s="175" t="n">
        <v>2</v>
      </c>
      <c r="X79" s="7" t="n"/>
      <c r="Y79" s="7" t="n"/>
      <c r="Z79" s="7" t="n"/>
      <c r="AA79" s="7" t="n"/>
      <c r="AB79" s="7" t="n">
        <v>1</v>
      </c>
      <c r="AC79" s="7" t="n">
        <v>1</v>
      </c>
    </row>
    <row r="80">
      <c r="A80" s="6" t="inlineStr">
        <is>
          <t>работник 455</t>
        </is>
      </c>
      <c r="B80" s="6" t="inlineStr">
        <is>
          <t>Дробильщик | Фильтровальщик</t>
        </is>
      </c>
      <c r="C80" s="6" t="inlineStr">
        <is>
          <t>Дробильщик | Фильтровальщик</t>
        </is>
      </c>
      <c r="D80" s="6" t="inlineStr">
        <is>
          <t>ОБЩЕСТВО С ОГРАНИЧЕННОЙ ОТВЕТСТВЕННОСТЬЮ "АМУР ЗОЛОТО"</t>
        </is>
      </c>
      <c r="E80" s="6" t="inlineStr">
        <is>
          <t>2708001686</t>
        </is>
      </c>
      <c r="F80" s="6" t="inlineStr">
        <is>
          <t>ООО "Амур Золото"</t>
        </is>
      </c>
      <c r="G80" s="6" t="inlineStr">
        <is>
          <t>2708001686</t>
        </is>
      </c>
      <c r="H80" s="6" t="inlineStr">
        <is>
          <t>85344332; 85344333; 180849745; 180849746</t>
        </is>
      </c>
      <c r="I80" s="6" t="inlineStr">
        <is>
          <t>6554154; 13246997</t>
        </is>
      </c>
      <c r="J80" s="6" t="inlineStr">
        <is>
          <t>ОТ № ЮГОК ЗИОФ 24-35; ОТ № ЮГОК ЗИОФ 26-05</t>
        </is>
      </c>
      <c r="K80" s="6" t="inlineStr">
        <is>
          <t>25.10.2024; 09.03.2026</t>
        </is>
      </c>
      <c r="L80" s="6" t="inlineStr">
        <is>
          <t>Успешно</t>
        </is>
      </c>
      <c r="M80" s="6" t="inlineStr">
        <is>
          <t>Пользовательский интерфейс</t>
        </is>
      </c>
      <c r="N80" s="7" t="n">
        <v>4</v>
      </c>
      <c r="O80" s="7" t="n">
        <v>2</v>
      </c>
      <c r="P80" s="7" t="n"/>
      <c r="Q80" s="175" t="n">
        <v>2</v>
      </c>
      <c r="R80" s="7" t="n"/>
      <c r="S80" s="7" t="n"/>
      <c r="T80" s="7" t="n"/>
      <c r="U80" s="7" t="n"/>
      <c r="V80" s="7" t="n"/>
      <c r="W80" s="7" t="n"/>
      <c r="X80" s="7" t="n"/>
      <c r="Y80" s="7" t="n"/>
      <c r="Z80" s="7" t="n"/>
      <c r="AA80" s="7" t="n"/>
      <c r="AB80" s="7" t="n"/>
      <c r="AC80" s="175" t="n">
        <v>2</v>
      </c>
    </row>
    <row r="81">
      <c r="A81" s="6" t="inlineStr">
        <is>
          <t>работник 271</t>
        </is>
      </c>
      <c r="B81" s="6" t="inlineStr">
        <is>
          <t>Машинист бульдозера</t>
        </is>
      </c>
      <c r="C81" s="6" t="inlineStr">
        <is>
          <t>Машинист бульдозера</t>
        </is>
      </c>
      <c r="D81" s="6" t="inlineStr">
        <is>
          <t>ОБЩЕСТВО С ОГРАНИЧЕННОЙ ОТВЕТСТВЕННОСТЬЮ "АМУР ЗОЛОТО"</t>
        </is>
      </c>
      <c r="E81" s="6" t="inlineStr">
        <is>
          <t>2708001686</t>
        </is>
      </c>
      <c r="F81" s="6" t="inlineStr">
        <is>
          <t>ООО "Амур Золото"</t>
        </is>
      </c>
      <c r="G81" s="6" t="inlineStr">
        <is>
          <t>2708001686</t>
        </is>
      </c>
      <c r="H81" s="6" t="inlineStr">
        <is>
          <t>42252353; 42252354; 42252355; 222717192; 222717193; 222717194</t>
        </is>
      </c>
      <c r="I81" s="6" t="inlineStr">
        <is>
          <t>3404353; 15953442</t>
        </is>
      </c>
      <c r="J81" s="6" t="inlineStr">
        <is>
          <t>ОТ № ЮГОК АТЦ 24-04; ЮГОК АТЦ 26-19</t>
        </is>
      </c>
      <c r="K81" s="6" t="inlineStr">
        <is>
          <t>23.02.2024; 18.08.2026</t>
        </is>
      </c>
      <c r="L81" s="6" t="inlineStr">
        <is>
          <t>Успешно</t>
        </is>
      </c>
      <c r="M81" s="6" t="inlineStr">
        <is>
          <t>Пользовательский интерфейс</t>
        </is>
      </c>
      <c r="N81" s="7" t="n">
        <v>6</v>
      </c>
      <c r="O81" s="7" t="n">
        <v>3</v>
      </c>
      <c r="P81" s="7" t="n"/>
      <c r="Q81" s="175" t="n">
        <v>2</v>
      </c>
      <c r="R81" s="7" t="n"/>
      <c r="S81" s="7" t="n"/>
      <c r="T81" s="7" t="n"/>
      <c r="U81" s="7" t="n"/>
      <c r="V81" s="7" t="n"/>
      <c r="W81" s="7" t="n"/>
      <c r="X81" s="7" t="n"/>
      <c r="Y81" s="7" t="n"/>
      <c r="Z81" s="7" t="n"/>
      <c r="AA81" s="7" t="n"/>
      <c r="AB81" s="175" t="n">
        <v>2</v>
      </c>
      <c r="AC81" s="175" t="n">
        <v>2</v>
      </c>
    </row>
    <row r="82">
      <c r="A82" s="6" t="inlineStr">
        <is>
          <t>работник 68</t>
        </is>
      </c>
      <c r="B82" s="6" t="inlineStr">
        <is>
          <t>Подсобный рабочий | Стропальщик (с исполнением обязанностей грузчика)</t>
        </is>
      </c>
      <c r="C82" s="6" t="inlineStr">
        <is>
          <t>Подсобный рабочий | Стропальщик (с исполнением обязанностей грузчика)</t>
        </is>
      </c>
      <c r="D82" s="6" t="inlineStr">
        <is>
          <t>ОБЩЕСТВО С ОГРАНИЧЕННОЙ ОТВЕТСТВЕННОСТЬЮ "АМУР ЗОЛОТО"</t>
        </is>
      </c>
      <c r="E82" s="6" t="inlineStr">
        <is>
          <t>2708001686</t>
        </is>
      </c>
      <c r="F82" s="6" t="inlineStr">
        <is>
          <t>ООО "Амур Золото"</t>
        </is>
      </c>
      <c r="G82" s="6" t="inlineStr">
        <is>
          <t>2708001686</t>
        </is>
      </c>
      <c r="H82" s="6" t="inlineStr">
        <is>
          <t>37117435; 37117436; 37117437; 41372132; 41372133; 41372134</t>
        </is>
      </c>
      <c r="I82" s="6" t="inlineStr">
        <is>
          <t>2978778; 3335316</t>
        </is>
      </c>
      <c r="J82" s="6" t="inlineStr">
        <is>
          <t>ОТ № ЮГОК УОП 23-01; ОТ № ЮГОК СК 24-02</t>
        </is>
      </c>
      <c r="K82" s="6" t="inlineStr">
        <is>
          <t>30.11.2023; 23.02.2024</t>
        </is>
      </c>
      <c r="L82" s="6" t="inlineStr">
        <is>
          <t>Успешно</t>
        </is>
      </c>
      <c r="M82" s="6" t="inlineStr">
        <is>
          <t>Пользовательский интерфейс</t>
        </is>
      </c>
      <c r="N82" s="7" t="n">
        <v>6</v>
      </c>
      <c r="O82" s="7" t="n">
        <v>3</v>
      </c>
      <c r="P82" s="7" t="n"/>
      <c r="Q82" s="175" t="n">
        <v>2</v>
      </c>
      <c r="R82" s="7" t="n"/>
      <c r="S82" s="7" t="n"/>
      <c r="T82" s="7" t="n"/>
      <c r="U82" s="7" t="n"/>
      <c r="V82" s="7" t="n"/>
      <c r="W82" s="7" t="n"/>
      <c r="X82" s="7" t="n"/>
      <c r="Y82" s="7" t="n"/>
      <c r="Z82" s="7" t="n"/>
      <c r="AA82" s="7" t="n"/>
      <c r="AB82" s="175" t="n">
        <v>2</v>
      </c>
      <c r="AC82" s="175" t="n">
        <v>2</v>
      </c>
    </row>
    <row r="83">
      <c r="A83" s="6" t="inlineStr">
        <is>
          <t>работник 272</t>
        </is>
      </c>
      <c r="B83" s="6" t="inlineStr">
        <is>
          <t>Водитель погрузчика | Водитель автомобиля (занятый на транспортировании горной массы в технологическом процессе)</t>
        </is>
      </c>
      <c r="C83" s="6" t="inlineStr">
        <is>
          <t>Водитель погрузчика | Водитель автомобиля (занятый на транспортировании горной массы в технологическом процессе)</t>
        </is>
      </c>
      <c r="D83" s="6" t="inlineStr">
        <is>
          <t>ОБЩЕСТВО С ОГРАНИЧЕННОЙ ОТВЕТСТВЕННОСТЬЮ "АМУР ЗОЛОТО"</t>
        </is>
      </c>
      <c r="E83" s="6" t="inlineStr">
        <is>
          <t>2708001686</t>
        </is>
      </c>
      <c r="F83" s="6" t="inlineStr">
        <is>
          <t>ООО "Амур Золото"</t>
        </is>
      </c>
      <c r="G83" s="6" t="inlineStr">
        <is>
          <t>2708001686</t>
        </is>
      </c>
      <c r="H83" s="6" t="inlineStr">
        <is>
          <t>42252356; 42252357; 42252358; 222717147; 222717148; 222717149</t>
        </is>
      </c>
      <c r="I83" s="6" t="inlineStr">
        <is>
          <t>3404353; 15953442</t>
        </is>
      </c>
      <c r="J83" s="6" t="inlineStr">
        <is>
          <t>ОТ № ЮГОК АТЦ 24-04; ЮГОК АТЦ 26-15</t>
        </is>
      </c>
      <c r="K83" s="6" t="inlineStr">
        <is>
          <t>23.02.2024; 17.08.2026</t>
        </is>
      </c>
      <c r="L83" s="6" t="inlineStr">
        <is>
          <t>Успешно</t>
        </is>
      </c>
      <c r="M83" s="6" t="inlineStr">
        <is>
          <t>Пользовательский интерфейс</t>
        </is>
      </c>
      <c r="N83" s="7" t="n">
        <v>6</v>
      </c>
      <c r="O83" s="7" t="n">
        <v>3</v>
      </c>
      <c r="P83" s="7" t="n"/>
      <c r="Q83" s="175" t="n">
        <v>2</v>
      </c>
      <c r="R83" s="7" t="n"/>
      <c r="S83" s="7" t="n"/>
      <c r="T83" s="7" t="n"/>
      <c r="U83" s="7" t="n"/>
      <c r="V83" s="7" t="n"/>
      <c r="W83" s="7" t="n"/>
      <c r="X83" s="7" t="n"/>
      <c r="Y83" s="7" t="n"/>
      <c r="Z83" s="7" t="n"/>
      <c r="AA83" s="7" t="n"/>
      <c r="AB83" s="175" t="n">
        <v>2</v>
      </c>
      <c r="AC83" s="175" t="n">
        <v>2</v>
      </c>
    </row>
    <row r="84">
      <c r="A84" s="6" t="inlineStr">
        <is>
          <t>работник 162</t>
        </is>
      </c>
      <c r="B84" s="6" t="inlineStr">
        <is>
          <t>Проходчик (с исполнением обязанностей взрывника)</t>
        </is>
      </c>
      <c r="C84" s="6" t="inlineStr">
        <is>
          <t>Проходчик (с исполнением обязанностей взрывника)</t>
        </is>
      </c>
      <c r="D84" s="6" t="inlineStr">
        <is>
          <t>ОБЩЕСТВО С ОГРАНИЧЕННОЙ ОТВЕТСТВЕННОСТЬЮ "АМУР ЗОЛОТО"</t>
        </is>
      </c>
      <c r="E84" s="6" t="inlineStr">
        <is>
          <t>2708001686</t>
        </is>
      </c>
      <c r="F84" s="6" t="inlineStr">
        <is>
          <t>ООО "Амур Золото"</t>
        </is>
      </c>
      <c r="G84" s="6" t="inlineStr">
        <is>
          <t>2708001686</t>
        </is>
      </c>
      <c r="H84" s="6" t="inlineStr">
        <is>
          <t>37117785; 37117786; 37117787; 87544929; 87544962; 214421444; 214421445; 214421446</t>
        </is>
      </c>
      <c r="I84" s="6" t="inlineStr">
        <is>
          <t>2978778; 6719954; 15411209</t>
        </is>
      </c>
      <c r="J84" s="6" t="inlineStr">
        <is>
          <t>ОТ № ЮГОК ПГУ 24-01; ОТ № ЮГОК ПГУ 24-23; ЮГОК ПГУ 26-31</t>
        </is>
      </c>
      <c r="K84" s="6" t="inlineStr">
        <is>
          <t>19.01.2024; 12.11.2024; 22.07.2026</t>
        </is>
      </c>
      <c r="L84" s="6" t="inlineStr">
        <is>
          <t>Успешно</t>
        </is>
      </c>
      <c r="M84" s="6" t="inlineStr">
        <is>
          <t>Пользовательский интерфейс</t>
        </is>
      </c>
      <c r="N84" s="7" t="n">
        <v>8</v>
      </c>
      <c r="O84" s="7" t="n">
        <v>3</v>
      </c>
      <c r="P84" s="7" t="n"/>
      <c r="Q84" s="175" t="n">
        <v>3</v>
      </c>
      <c r="R84" s="7" t="n"/>
      <c r="S84" s="7" t="n"/>
      <c r="T84" s="7" t="n"/>
      <c r="U84" s="7" t="n"/>
      <c r="V84" s="7" t="n"/>
      <c r="W84" s="7" t="n"/>
      <c r="X84" s="7" t="n"/>
      <c r="Y84" s="7" t="n"/>
      <c r="Z84" s="7" t="n"/>
      <c r="AA84" s="7" t="n"/>
      <c r="AB84" s="175" t="n">
        <v>2</v>
      </c>
      <c r="AC84" s="175" t="n">
        <v>3</v>
      </c>
    </row>
    <row r="85">
      <c r="A85" s="6" t="inlineStr">
        <is>
          <t>работник 439</t>
        </is>
      </c>
      <c r="B85" s="6" t="inlineStr">
        <is>
          <t>Машинист конвейера</t>
        </is>
      </c>
      <c r="C85" s="6" t="inlineStr">
        <is>
          <t>Машинист конвейера</t>
        </is>
      </c>
      <c r="D85" s="6" t="inlineStr">
        <is>
          <t>ОБЩЕСТВО С ОГРАНИЧЕННОЙ ОТВЕТСТВЕННОСТЬЮ "АМУР ЗОЛОТО"</t>
        </is>
      </c>
      <c r="E85" s="6" t="inlineStr">
        <is>
          <t>2708001686</t>
        </is>
      </c>
      <c r="F85" s="6" t="inlineStr">
        <is>
          <t>ООО "Амур Золото"</t>
        </is>
      </c>
      <c r="G85" s="6" t="inlineStr">
        <is>
          <t>2708001686</t>
        </is>
      </c>
      <c r="H85" s="6" t="inlineStr">
        <is>
          <t>85344300; 85344301; 214421234; 214421235; 214421236</t>
        </is>
      </c>
      <c r="I85" s="6" t="inlineStr">
        <is>
          <t>6554154; 15411209</t>
        </is>
      </c>
      <c r="J85" s="6" t="inlineStr">
        <is>
          <t>ОТ № ЮГОК ЗИОФ 24-34; ЮГОК ЗИОФ 26-30</t>
        </is>
      </c>
      <c r="K85" s="6" t="inlineStr">
        <is>
          <t>25.10.2024; 29.07.2026</t>
        </is>
      </c>
      <c r="L85" s="6" t="inlineStr">
        <is>
          <t>Успешно</t>
        </is>
      </c>
      <c r="M85" s="6" t="inlineStr">
        <is>
          <t>Пользовательский интерфейс</t>
        </is>
      </c>
      <c r="N85" s="7" t="n">
        <v>5</v>
      </c>
      <c r="O85" s="7" t="n">
        <v>2</v>
      </c>
      <c r="P85" s="7" t="n"/>
      <c r="Q85" s="175" t="n">
        <v>2</v>
      </c>
      <c r="R85" s="7" t="n"/>
      <c r="S85" s="7" t="n"/>
      <c r="T85" s="7" t="n"/>
      <c r="U85" s="7" t="n"/>
      <c r="V85" s="7" t="n"/>
      <c r="W85" s="7" t="n"/>
      <c r="X85" s="7" t="n"/>
      <c r="Y85" s="7" t="n"/>
      <c r="Z85" s="7" t="n"/>
      <c r="AA85" s="7" t="n"/>
      <c r="AB85" s="7" t="n">
        <v>1</v>
      </c>
      <c r="AC85" s="175" t="n">
        <v>2</v>
      </c>
    </row>
    <row r="86">
      <c r="A86" s="6" t="inlineStr">
        <is>
          <t>работник 833</t>
        </is>
      </c>
      <c r="B86" s="6" t="inlineStr">
        <is>
          <t>Электромонтер по ремонту и обслуживанию электрооборудования</t>
        </is>
      </c>
      <c r="C86" s="6" t="inlineStr">
        <is>
          <t>Электромонтер по ремонту и обслуживанию электрооборудования</t>
        </is>
      </c>
      <c r="D86" s="6" t="inlineStr">
        <is>
          <t>ОБЩЕСТВО С ОГРАНИЧЕННОЙ ОТВЕТСТВЕННОСТЬЮ "АМУР ЗОЛОТО"</t>
        </is>
      </c>
      <c r="E86" s="6" t="inlineStr">
        <is>
          <t>2708001686</t>
        </is>
      </c>
      <c r="F86" s="6" t="inlineStr">
        <is>
          <t>ООО "Амур Золото"</t>
        </is>
      </c>
      <c r="G86" s="6" t="inlineStr">
        <is>
          <t>2708001686</t>
        </is>
      </c>
      <c r="H86" s="6" t="inlineStr">
        <is>
          <t>214421298; 214421299; 214421300; 222717268; 222717269; 222717270; 222717271</t>
        </is>
      </c>
      <c r="I86" s="6" t="inlineStr">
        <is>
          <t>15411209; 15953442</t>
        </is>
      </c>
      <c r="J86" s="6" t="inlineStr">
        <is>
          <t>ЮГОК ЗИОФ 26-36; ЮГОК ЗИОФ 26-15</t>
        </is>
      </c>
      <c r="K86" s="6" t="inlineStr">
        <is>
          <t>29.07.2026; 01.07.2026</t>
        </is>
      </c>
      <c r="L86" s="6" t="inlineStr">
        <is>
          <t>Успешно</t>
        </is>
      </c>
      <c r="M86" s="6" t="inlineStr">
        <is>
          <t>Пользовательский интерфейс</t>
        </is>
      </c>
      <c r="N86" s="7" t="n">
        <v>7</v>
      </c>
      <c r="O86" s="7" t="n">
        <v>3</v>
      </c>
      <c r="P86" s="7" t="n"/>
      <c r="Q86" s="175" t="n">
        <v>2</v>
      </c>
      <c r="R86" s="7" t="n"/>
      <c r="S86" s="7" t="n"/>
      <c r="T86" s="7" t="n"/>
      <c r="U86" s="7" t="n"/>
      <c r="V86" s="7" t="n"/>
      <c r="W86" s="7" t="n"/>
      <c r="X86" s="7" t="n">
        <v>1</v>
      </c>
      <c r="Y86" s="7" t="n"/>
      <c r="Z86" s="7" t="n"/>
      <c r="AA86" s="7" t="n"/>
      <c r="AB86" s="175" t="n">
        <v>2</v>
      </c>
      <c r="AC86" s="175" t="n">
        <v>2</v>
      </c>
    </row>
    <row r="87">
      <c r="A87" s="6" t="inlineStr">
        <is>
          <t>работник 342</t>
        </is>
      </c>
      <c r="B87" s="6" t="inlineStr">
        <is>
          <t>Бункеровщик | Машинист мельниц</t>
        </is>
      </c>
      <c r="C87" s="6" t="inlineStr">
        <is>
          <t>Бункеровщик | Машинист мельниц</t>
        </is>
      </c>
      <c r="D87" s="6" t="inlineStr">
        <is>
          <t>ОБЩЕСТВО С ОГРАНИЧЕННОЙ ОТВЕТСТВЕННОСТЬЮ "АМУР ЗОЛОТО"</t>
        </is>
      </c>
      <c r="E87" s="6" t="inlineStr">
        <is>
          <t>2708001686</t>
        </is>
      </c>
      <c r="F87" s="6" t="inlineStr">
        <is>
          <t>ООО "Амур Золото"</t>
        </is>
      </c>
      <c r="G87" s="6" t="inlineStr">
        <is>
          <t>2708001686</t>
        </is>
      </c>
      <c r="H87" s="6" t="inlineStr">
        <is>
          <t>58069234; 58069235; 58069236; 214421220; 214421221; 214421222</t>
        </is>
      </c>
      <c r="I87" s="6" t="inlineStr">
        <is>
          <t>4506532; 15411209</t>
        </is>
      </c>
      <c r="J87" s="6" t="inlineStr">
        <is>
          <t>ОТ № ЮГОК ЗИОФ 24-26; ЮГОК ЗИОФ 26-29</t>
        </is>
      </c>
      <c r="K87" s="6" t="inlineStr">
        <is>
          <t>19.04.2024; 29.07.2026</t>
        </is>
      </c>
      <c r="L87" s="6" t="inlineStr">
        <is>
          <t>Успешно</t>
        </is>
      </c>
      <c r="M87" s="6" t="inlineStr">
        <is>
          <t>Пользовательский интерфейс</t>
        </is>
      </c>
      <c r="N87" s="7" t="n">
        <v>6</v>
      </c>
      <c r="O87" s="7" t="n">
        <v>3</v>
      </c>
      <c r="P87" s="7" t="n"/>
      <c r="Q87" s="175" t="n">
        <v>2</v>
      </c>
      <c r="R87" s="7" t="n"/>
      <c r="S87" s="7" t="n"/>
      <c r="T87" s="7" t="n"/>
      <c r="U87" s="7" t="n"/>
      <c r="V87" s="7" t="n"/>
      <c r="W87" s="7" t="n"/>
      <c r="X87" s="7" t="n"/>
      <c r="Y87" s="7" t="n"/>
      <c r="Z87" s="7" t="n"/>
      <c r="AA87" s="7" t="n"/>
      <c r="AB87" s="175" t="n">
        <v>2</v>
      </c>
      <c r="AC87" s="175" t="n">
        <v>2</v>
      </c>
    </row>
    <row r="88">
      <c r="A88" s="6" t="inlineStr">
        <is>
          <t>работник 543</t>
        </is>
      </c>
      <c r="B88" s="6" t="inlineStr">
        <is>
          <t>Пробоотборщик | Контролер продукции обогащения</t>
        </is>
      </c>
      <c r="C88" s="6" t="inlineStr">
        <is>
          <t>Пробоотборщик | Контролер продукции обогащения</t>
        </is>
      </c>
      <c r="D88" s="6" t="inlineStr">
        <is>
          <t>ОБЩЕСТВО С ОГРАНИЧЕННОЙ ОТВЕТСТВЕННОСТЬЮ "АМУР ЗОЛОТО"</t>
        </is>
      </c>
      <c r="E88" s="6" t="inlineStr">
        <is>
          <t>2708001686</t>
        </is>
      </c>
      <c r="F88" s="6" t="inlineStr">
        <is>
          <t>ООО "Амур Золото"</t>
        </is>
      </c>
      <c r="G88" s="6" t="inlineStr">
        <is>
          <t>2708001686</t>
        </is>
      </c>
      <c r="H88" s="6" t="inlineStr">
        <is>
          <t>121097093; 121097094; 223283047; 223283048; 223283049</t>
        </is>
      </c>
      <c r="I88" s="6" t="inlineStr">
        <is>
          <t>9114030; 15995643</t>
        </is>
      </c>
      <c r="J88" s="6" t="inlineStr">
        <is>
          <t>ОТ № ЮГОК ОТК 25-04; ЮГОК ОТК 26-08</t>
        </is>
      </c>
      <c r="K88" s="6" t="inlineStr">
        <is>
          <t>20.04.2025; 21.08.2026</t>
        </is>
      </c>
      <c r="L88" s="6" t="inlineStr">
        <is>
          <t>Успешно</t>
        </is>
      </c>
      <c r="M88" s="6" t="inlineStr">
        <is>
          <t>Пользовательский интерфейс</t>
        </is>
      </c>
      <c r="N88" s="7" t="n">
        <v>5</v>
      </c>
      <c r="O88" s="7" t="n">
        <v>2</v>
      </c>
      <c r="P88" s="7" t="n"/>
      <c r="Q88" s="175" t="n">
        <v>2</v>
      </c>
      <c r="R88" s="7" t="n"/>
      <c r="S88" s="7" t="n"/>
      <c r="T88" s="7" t="n"/>
      <c r="U88" s="7" t="n"/>
      <c r="V88" s="7" t="n"/>
      <c r="W88" s="7" t="n"/>
      <c r="X88" s="7" t="n"/>
      <c r="Y88" s="7" t="n"/>
      <c r="Z88" s="7" t="n"/>
      <c r="AA88" s="7" t="n"/>
      <c r="AB88" s="7" t="n">
        <v>1</v>
      </c>
      <c r="AC88" s="175" t="n">
        <v>2</v>
      </c>
    </row>
    <row r="89">
      <c r="A89" s="6" t="inlineStr">
        <is>
          <t>работник 40</t>
        </is>
      </c>
      <c r="B89" s="6" t="inlineStr">
        <is>
          <t>Лаборант химического анализа</t>
        </is>
      </c>
      <c r="C89" s="6" t="inlineStr">
        <is>
          <t>Лаборант химического анализа</t>
        </is>
      </c>
      <c r="D89" s="6" t="inlineStr">
        <is>
          <t>ОБЩЕСТВО С ОГРАНИЧЕННОЙ ОТВЕТСТВЕННОСТЬЮ "АМУР ЗОЛОТО"</t>
        </is>
      </c>
      <c r="E89" s="6" t="inlineStr">
        <is>
          <t>2708001686</t>
        </is>
      </c>
      <c r="F89" s="6" t="inlineStr">
        <is>
          <t>ООО "Амур Золото"</t>
        </is>
      </c>
      <c r="G89" s="6" t="inlineStr">
        <is>
          <t>2708001686</t>
        </is>
      </c>
      <c r="H89" s="6" t="inlineStr">
        <is>
          <t>37117346; 37117347; 37117348; 121097095; 121097096</t>
        </is>
      </c>
      <c r="I89" s="6" t="inlineStr">
        <is>
          <t>2978778; 9114030</t>
        </is>
      </c>
      <c r="J89" s="6" t="inlineStr">
        <is>
          <t>ОТ № ЮГОК ПАЛ 23-01; ОТ № ЮГОК ПАЛ 25-03</t>
        </is>
      </c>
      <c r="K89" s="6" t="inlineStr">
        <is>
          <t>24.11.2023; 28.03.2025</t>
        </is>
      </c>
      <c r="L89" s="6" t="inlineStr">
        <is>
          <t>Успешно</t>
        </is>
      </c>
      <c r="M89" s="6" t="inlineStr">
        <is>
          <t>Пользовательский интерфейс</t>
        </is>
      </c>
      <c r="N89" s="7" t="n">
        <v>5</v>
      </c>
      <c r="O89" s="7" t="n">
        <v>2</v>
      </c>
      <c r="P89" s="7" t="n"/>
      <c r="Q89" s="175" t="n">
        <v>2</v>
      </c>
      <c r="R89" s="7" t="n"/>
      <c r="S89" s="7" t="n"/>
      <c r="T89" s="7" t="n"/>
      <c r="U89" s="7" t="n"/>
      <c r="V89" s="7" t="n"/>
      <c r="W89" s="7" t="n"/>
      <c r="X89" s="7" t="n"/>
      <c r="Y89" s="7" t="n"/>
      <c r="Z89" s="7" t="n"/>
      <c r="AA89" s="7" t="n"/>
      <c r="AB89" s="7" t="n">
        <v>1</v>
      </c>
      <c r="AC89" s="175" t="n">
        <v>2</v>
      </c>
    </row>
    <row r="90">
      <c r="A90" s="6" t="inlineStr">
        <is>
          <t>работник 382</t>
        </is>
      </c>
      <c r="B90" s="6" t="inlineStr">
        <is>
          <t>Растворщик реагентов</t>
        </is>
      </c>
      <c r="C90" s="6" t="inlineStr">
        <is>
          <t>Растворщик реагентов</t>
        </is>
      </c>
      <c r="D90" s="6" t="inlineStr">
        <is>
          <t>ОБЩЕСТВО С ОГРАНИЧЕННОЙ ОТВЕТСТВЕННОСТЬЮ "АМУР ЗОЛОТО"</t>
        </is>
      </c>
      <c r="E90" s="6" t="inlineStr">
        <is>
          <t>2708001686</t>
        </is>
      </c>
      <c r="F90" s="6" t="inlineStr">
        <is>
          <t>ООО "Амур Золото"</t>
        </is>
      </c>
      <c r="G90" s="6" t="inlineStr">
        <is>
          <t>2708001686</t>
        </is>
      </c>
      <c r="H90" s="6" t="inlineStr">
        <is>
          <t>69620882; 69620883; 69620884; 110446287; 110446288</t>
        </is>
      </c>
      <c r="I90" s="6" t="inlineStr">
        <is>
          <t>5369346; 8371772</t>
        </is>
      </c>
      <c r="J90" s="6" t="inlineStr">
        <is>
          <t>ОТ № ЮГОК ЗИОФ 24-30; ОТ № ЮГОК ЗИОФ 25-06</t>
        </is>
      </c>
      <c r="K90" s="6" t="inlineStr">
        <is>
          <t>20.06.2024; 18.02.2025</t>
        </is>
      </c>
      <c r="L90" s="6" t="inlineStr">
        <is>
          <t>Успешно</t>
        </is>
      </c>
      <c r="M90" s="6" t="inlineStr">
        <is>
          <t>Пользовательский интерфейс</t>
        </is>
      </c>
      <c r="N90" s="7" t="n">
        <v>5</v>
      </c>
      <c r="O90" s="7" t="n">
        <v>2</v>
      </c>
      <c r="P90" s="7" t="n"/>
      <c r="Q90" s="175" t="n">
        <v>2</v>
      </c>
      <c r="R90" s="7" t="n"/>
      <c r="S90" s="7" t="n"/>
      <c r="T90" s="7" t="n"/>
      <c r="U90" s="7" t="n"/>
      <c r="V90" s="7" t="n"/>
      <c r="W90" s="7" t="n"/>
      <c r="X90" s="7" t="n"/>
      <c r="Y90" s="7" t="n"/>
      <c r="Z90" s="7" t="n"/>
      <c r="AA90" s="7" t="n"/>
      <c r="AB90" s="7" t="n">
        <v>1</v>
      </c>
      <c r="AC90" s="175" t="n">
        <v>2</v>
      </c>
    </row>
    <row r="91">
      <c r="A91" s="6" t="inlineStr">
        <is>
          <t>работник 486</t>
        </is>
      </c>
      <c r="B91" s="6" t="inlineStr">
        <is>
          <t>Машинист погрузочно-доставочной машины</t>
        </is>
      </c>
      <c r="C91" s="6" t="inlineStr">
        <is>
          <t>Машинист погрузочно-доставочной машины</t>
        </is>
      </c>
      <c r="D91" s="6" t="inlineStr">
        <is>
          <t>ОБЩЕСТВО С ОГРАНИЧЕННОЙ ОТВЕТСТВЕННОСТЬЮ "АМУР ЗОЛОТО"</t>
        </is>
      </c>
      <c r="E91" s="6" t="inlineStr">
        <is>
          <t>2708001686</t>
        </is>
      </c>
      <c r="F91" s="6" t="inlineStr">
        <is>
          <t>ООО "Амур Золото"</t>
        </is>
      </c>
      <c r="G91" s="6" t="inlineStr">
        <is>
          <t>2708001686</t>
        </is>
      </c>
      <c r="H91" s="6" t="inlineStr">
        <is>
          <t>87544965; 87544966; 216771137; 216771138; 216771139</t>
        </is>
      </c>
      <c r="I91" s="6" t="inlineStr">
        <is>
          <t>6719954; 15571832</t>
        </is>
      </c>
      <c r="J91" s="6" t="inlineStr">
        <is>
          <t>ОТ № ЮГОК ПГУ 24-23; ЮГОК ПГУ 26-47</t>
        </is>
      </c>
      <c r="K91" s="6" t="inlineStr">
        <is>
          <t>12.11.2024; 15.08.2026</t>
        </is>
      </c>
      <c r="L91" s="6" t="inlineStr">
        <is>
          <t>Успешно</t>
        </is>
      </c>
      <c r="M91" s="6" t="inlineStr">
        <is>
          <t>Пользовательский интерфейс</t>
        </is>
      </c>
      <c r="N91" s="7" t="n">
        <v>5</v>
      </c>
      <c r="O91" s="7" t="n">
        <v>2</v>
      </c>
      <c r="P91" s="7" t="n"/>
      <c r="Q91" s="175" t="n">
        <v>2</v>
      </c>
      <c r="R91" s="7" t="n"/>
      <c r="S91" s="7" t="n"/>
      <c r="T91" s="7" t="n"/>
      <c r="U91" s="7" t="n"/>
      <c r="V91" s="7" t="n"/>
      <c r="W91" s="7" t="n"/>
      <c r="X91" s="7" t="n"/>
      <c r="Y91" s="7" t="n"/>
      <c r="Z91" s="7" t="n"/>
      <c r="AA91" s="7" t="n"/>
      <c r="AB91" s="7" t="n">
        <v>1</v>
      </c>
      <c r="AC91" s="175" t="n">
        <v>2</v>
      </c>
    </row>
    <row r="92">
      <c r="A92" s="6" t="inlineStr">
        <is>
          <t>работник 315</t>
        </is>
      </c>
      <c r="B92" s="6" t="inlineStr">
        <is>
          <t>Крепильщик | Помощник машиниста самоходной буровой установки (с исполнением обязанностей пробоотборщика) (Очистное)</t>
        </is>
      </c>
      <c r="C92" s="6" t="inlineStr">
        <is>
          <t>Крепильщик | Помощник машиниста самоходной буровой установки (с исполнением обязанностей пробоотборщика) (Очистное)</t>
        </is>
      </c>
      <c r="D92" s="6" t="inlineStr">
        <is>
          <t>ОБЩЕСТВО С ОГРАНИЧЕННОЙ ОТВЕТСТВЕННОСТЬЮ "АМУР ЗОЛОТО"</t>
        </is>
      </c>
      <c r="E92" s="6" t="inlineStr">
        <is>
          <t>2708001686</t>
        </is>
      </c>
      <c r="F92" s="6" t="inlineStr">
        <is>
          <t>ООО "Амур Золото"</t>
        </is>
      </c>
      <c r="G92" s="6" t="inlineStr">
        <is>
          <t>2708001686</t>
        </is>
      </c>
      <c r="H92" s="6" t="inlineStr">
        <is>
          <t>43299721; 43299722; 43299723; 131313237; 131313249</t>
        </is>
      </c>
      <c r="I92" s="6" t="inlineStr">
        <is>
          <t>3474285; 9873379</t>
        </is>
      </c>
      <c r="J92" s="6" t="inlineStr">
        <is>
          <t>ОТ № ЮГОК ПГУ 24-05; ОТ № ЮГОК ПГУ 20-25</t>
        </is>
      </c>
      <c r="K92" s="6" t="inlineStr">
        <is>
          <t>05.03.2024; 10.06.2025</t>
        </is>
      </c>
      <c r="L92" s="6" t="inlineStr">
        <is>
          <t>Успешно</t>
        </is>
      </c>
      <c r="M92" s="6" t="inlineStr">
        <is>
          <t>Пользовательский интерфейс</t>
        </is>
      </c>
      <c r="N92" s="7" t="n">
        <v>5</v>
      </c>
      <c r="O92" s="7" t="n">
        <v>2</v>
      </c>
      <c r="P92" s="7" t="n"/>
      <c r="Q92" s="175" t="n">
        <v>2</v>
      </c>
      <c r="R92" s="7" t="n"/>
      <c r="S92" s="7" t="n"/>
      <c r="T92" s="7" t="n"/>
      <c r="U92" s="7" t="n"/>
      <c r="V92" s="7" t="n"/>
      <c r="W92" s="7" t="n"/>
      <c r="X92" s="7" t="n"/>
      <c r="Y92" s="7" t="n"/>
      <c r="Z92" s="7" t="n"/>
      <c r="AA92" s="7" t="n"/>
      <c r="AB92" s="7" t="n">
        <v>1</v>
      </c>
      <c r="AC92" s="175" t="n">
        <v>2</v>
      </c>
    </row>
    <row r="93">
      <c r="A93" s="6" t="inlineStr">
        <is>
          <t>работник 670</t>
        </is>
      </c>
      <c r="B93" s="6" t="inlineStr">
        <is>
          <t>Лаборант пробирного анализа</t>
        </is>
      </c>
      <c r="C93" s="6" t="inlineStr">
        <is>
          <t>Лаборант пробирного анализа</t>
        </is>
      </c>
      <c r="D93" s="6" t="inlineStr">
        <is>
          <t>ОБЩЕСТВО С ОГРАНИЧЕННОЙ ОТВЕТСТВЕННОСТЬЮ "АМУР ЗОЛОТО"</t>
        </is>
      </c>
      <c r="E93" s="6" t="inlineStr">
        <is>
          <t>2708001686</t>
        </is>
      </c>
      <c r="F93" s="6" t="inlineStr">
        <is>
          <t>ООО "Амур Золото"</t>
        </is>
      </c>
      <c r="G93" s="6" t="inlineStr">
        <is>
          <t>2708001686</t>
        </is>
      </c>
      <c r="H93" s="6" t="inlineStr">
        <is>
          <t>186715550; 186715551; 214421762; 214421763; 214421764</t>
        </is>
      </c>
      <c r="I93" s="6" t="inlineStr">
        <is>
          <t>13603635; 15411233</t>
        </is>
      </c>
      <c r="J93" s="6" t="inlineStr">
        <is>
          <t>ОТ № ЮГОК ПАЛ 26-03; ЮГОК ПАЛ 26-08</t>
        </is>
      </c>
      <c r="K93" s="6" t="inlineStr">
        <is>
          <t>20.03.2026; 02.08.2026</t>
        </is>
      </c>
      <c r="L93" s="6" t="inlineStr">
        <is>
          <t>Успешно</t>
        </is>
      </c>
      <c r="M93" s="6" t="inlineStr">
        <is>
          <t>Пользовательский интерфейс</t>
        </is>
      </c>
      <c r="N93" s="7" t="n">
        <v>5</v>
      </c>
      <c r="O93" s="7" t="n">
        <v>2</v>
      </c>
      <c r="P93" s="7" t="n"/>
      <c r="Q93" s="175" t="n">
        <v>2</v>
      </c>
      <c r="R93" s="7" t="n"/>
      <c r="S93" s="7" t="n"/>
      <c r="T93" s="7" t="n"/>
      <c r="U93" s="7" t="n"/>
      <c r="V93" s="7" t="n"/>
      <c r="W93" s="7" t="n"/>
      <c r="X93" s="7" t="n"/>
      <c r="Y93" s="7" t="n"/>
      <c r="Z93" s="7" t="n"/>
      <c r="AA93" s="7" t="n"/>
      <c r="AB93" s="7" t="n">
        <v>1</v>
      </c>
      <c r="AC93" s="175" t="n">
        <v>2</v>
      </c>
    </row>
    <row r="94">
      <c r="A94" s="6" t="inlineStr">
        <is>
          <t>работник 38</t>
        </is>
      </c>
      <c r="B94" s="6" t="inlineStr">
        <is>
          <t>Дробильщик</t>
        </is>
      </c>
      <c r="C94" s="6" t="inlineStr">
        <is>
          <t>Дробильщик</t>
        </is>
      </c>
      <c r="D94" s="6" t="inlineStr">
        <is>
          <t>ОБЩЕСТВО С ОГРАНИЧЕННОЙ ОТВЕТСТВЕННОСТЬЮ "АМУР ЗОЛОТО"</t>
        </is>
      </c>
      <c r="E94" s="6" t="inlineStr">
        <is>
          <t>2708001686</t>
        </is>
      </c>
      <c r="F94" s="6" t="inlineStr">
        <is>
          <t>ООО "Амур Золото"</t>
        </is>
      </c>
      <c r="G94" s="6" t="inlineStr">
        <is>
          <t>2708001686</t>
        </is>
      </c>
      <c r="H94" s="6" t="inlineStr">
        <is>
          <t>37117340; 37117341; 37117342; 173160796; 173160797</t>
        </is>
      </c>
      <c r="I94" s="6" t="inlineStr">
        <is>
          <t>2978778; 12768377</t>
        </is>
      </c>
      <c r="J94" s="6" t="inlineStr">
        <is>
          <t>ОТ № ЮГОК ПАЛ 23-01; ОТ № ЮГОК ПАЛ 26-01</t>
        </is>
      </c>
      <c r="K94" s="6" t="inlineStr">
        <is>
          <t>24.11.2023; 02.02.2026</t>
        </is>
      </c>
      <c r="L94" s="6" t="inlineStr">
        <is>
          <t>Успешно</t>
        </is>
      </c>
      <c r="M94" s="6" t="inlineStr">
        <is>
          <t>Пользовательский интерфейс</t>
        </is>
      </c>
      <c r="N94" s="7" t="n">
        <v>5</v>
      </c>
      <c r="O94" s="7" t="n">
        <v>2</v>
      </c>
      <c r="P94" s="7" t="n"/>
      <c r="Q94" s="175" t="n">
        <v>2</v>
      </c>
      <c r="R94" s="7" t="n"/>
      <c r="S94" s="7" t="n"/>
      <c r="T94" s="7" t="n"/>
      <c r="U94" s="7" t="n"/>
      <c r="V94" s="7" t="n"/>
      <c r="W94" s="7" t="n"/>
      <c r="X94" s="7" t="n"/>
      <c r="Y94" s="7" t="n"/>
      <c r="Z94" s="7" t="n"/>
      <c r="AA94" s="7" t="n"/>
      <c r="AB94" s="7" t="n">
        <v>1</v>
      </c>
      <c r="AC94" s="175" t="n">
        <v>2</v>
      </c>
    </row>
    <row r="95">
      <c r="A95" s="6" t="inlineStr">
        <is>
          <t>работник 782</t>
        </is>
      </c>
      <c r="B95" s="6" t="inlineStr">
        <is>
          <t>Электрослесарь (слесарь) дежурный и по ремонту оборудования подземного горного участка | Электрослесарь (слесарь) дежурный и по ремонту оборудования</t>
        </is>
      </c>
      <c r="C95" s="6" t="inlineStr">
        <is>
          <t>Электрослесарь (слесарь) дежурный и по ремонту оборудования подземного горного участка | Электрослесарь (слесарь) дежурный и по ремонту оборудования</t>
        </is>
      </c>
      <c r="D95" s="6" t="inlineStr">
        <is>
          <t>ОБЩЕСТВО С ОГРАНИЧЕННОЙ ОТВЕТСТВЕННОСТЬЮ "АМУР ЗОЛОТО"</t>
        </is>
      </c>
      <c r="E95" s="6" t="inlineStr">
        <is>
          <t>2708001686</t>
        </is>
      </c>
      <c r="F95" s="6" t="inlineStr">
        <is>
          <t>ООО "Амур Золото"</t>
        </is>
      </c>
      <c r="G95" s="6" t="inlineStr">
        <is>
          <t>2708001686</t>
        </is>
      </c>
      <c r="H95" s="6" t="inlineStr">
        <is>
          <t>200897119; 200897120; 200897121; 200897122; 214421462; 214421463; 214421464</t>
        </is>
      </c>
      <c r="I95" s="6" t="inlineStr">
        <is>
          <t>14513218; 15411209</t>
        </is>
      </c>
      <c r="J95" s="6" t="inlineStr">
        <is>
          <t>ЮГОК ПГУ 26-01; ЮГОК ПГУ 26-32</t>
        </is>
      </c>
      <c r="K95" s="6" t="inlineStr">
        <is>
          <t>04.06.2026; 28.07.2026</t>
        </is>
      </c>
      <c r="L95" s="6" t="inlineStr">
        <is>
          <t>Успешно</t>
        </is>
      </c>
      <c r="M95" s="6" t="inlineStr">
        <is>
          <t>Пользовательский интерфейс</t>
        </is>
      </c>
      <c r="N95" s="7" t="n">
        <v>7</v>
      </c>
      <c r="O95" s="7" t="n">
        <v>3</v>
      </c>
      <c r="P95" s="7" t="n"/>
      <c r="Q95" s="175" t="n">
        <v>2</v>
      </c>
      <c r="R95" s="7" t="n"/>
      <c r="S95" s="7" t="n"/>
      <c r="T95" s="7" t="n"/>
      <c r="U95" s="7" t="n"/>
      <c r="V95" s="7" t="n"/>
      <c r="W95" s="7" t="n"/>
      <c r="X95" s="7" t="n">
        <v>1</v>
      </c>
      <c r="Y95" s="7" t="n"/>
      <c r="Z95" s="7" t="n"/>
      <c r="AA95" s="7" t="n"/>
      <c r="AB95" s="175" t="n">
        <v>2</v>
      </c>
      <c r="AC95" s="175" t="n">
        <v>2</v>
      </c>
    </row>
    <row r="96">
      <c r="A96" s="6" t="inlineStr">
        <is>
          <t>работник 659</t>
        </is>
      </c>
      <c r="B96" s="6" t="inlineStr">
        <is>
          <t>Электрогазосварщик</t>
        </is>
      </c>
      <c r="C96" s="6" t="inlineStr">
        <is>
          <t>Электрогазосварщик (занятый на резке и ручной сварке)</t>
        </is>
      </c>
      <c r="D96" s="6" t="inlineStr">
        <is>
          <t>ОБЩЕСТВО С ОГРАНИЧЕННОЙ ОТВЕТСТВЕННОСТЬЮ "АМУР ЗОЛОТО"</t>
        </is>
      </c>
      <c r="E96" s="6" t="inlineStr">
        <is>
          <t>2708001686</t>
        </is>
      </c>
      <c r="F96" s="6" t="inlineStr">
        <is>
          <t>ООО "Амур Золото"</t>
        </is>
      </c>
      <c r="G96" s="6" t="inlineStr">
        <is>
          <t>2708001686</t>
        </is>
      </c>
      <c r="H96" s="6" t="inlineStr">
        <is>
          <t>180849737; 180849738; 214421307; 214421308</t>
        </is>
      </c>
      <c r="I96" s="6" t="inlineStr">
        <is>
          <t>13246997; 15411209</t>
        </is>
      </c>
      <c r="J96" s="6" t="inlineStr">
        <is>
          <t>ОТ № ЮГОК ЗИОФ 26-03; ЮГОК ЗИОФ 26-37</t>
        </is>
      </c>
      <c r="K96" s="6" t="inlineStr">
        <is>
          <t>27.02.2026; 29.07.2026</t>
        </is>
      </c>
      <c r="L96" s="6" t="inlineStr">
        <is>
          <t>Успешно</t>
        </is>
      </c>
      <c r="M96" s="6" t="inlineStr">
        <is>
          <t>Пользовательский интерфейс</t>
        </is>
      </c>
      <c r="N96" s="7" t="n">
        <v>4</v>
      </c>
      <c r="O96" s="7" t="n">
        <v>1</v>
      </c>
      <c r="P96" s="7" t="n"/>
      <c r="Q96" s="175" t="n">
        <v>2</v>
      </c>
      <c r="R96" s="7" t="n"/>
      <c r="S96" s="7" t="n"/>
      <c r="T96" s="7" t="n"/>
      <c r="U96" s="7" t="n"/>
      <c r="V96" s="7" t="n"/>
      <c r="W96" s="7" t="n"/>
      <c r="X96" s="7" t="n"/>
      <c r="Y96" s="7" t="n"/>
      <c r="Z96" s="7" t="n"/>
      <c r="AA96" s="7" t="n"/>
      <c r="AB96" s="7" t="n">
        <v>1</v>
      </c>
      <c r="AC96" s="7" t="n">
        <v>1</v>
      </c>
    </row>
    <row r="97">
      <c r="A97" s="6" t="inlineStr">
        <is>
          <t>работник 593</t>
        </is>
      </c>
      <c r="B97" s="6" t="inlineStr">
        <is>
          <t>Помощник машиниста самоходной буровой установки (с исполнением обязанностей пробоотборщика) (Очистное) | Крепильщик</t>
        </is>
      </c>
      <c r="C97" s="6" t="inlineStr">
        <is>
          <t>Помощник машиниста самоходной буровой установки (с исполнением обязанностей пробоотборщика) (Очистное) | Крепильщик</t>
        </is>
      </c>
      <c r="D97" s="6" t="inlineStr">
        <is>
          <t>ОБЩЕСТВО С ОГРАНИЧЕННОЙ ОТВЕТСТВЕННОСТЬЮ "АМУР ЗОЛОТО"</t>
        </is>
      </c>
      <c r="E97" s="6" t="inlineStr">
        <is>
          <t>2708001686</t>
        </is>
      </c>
      <c r="F97" s="6" t="inlineStr">
        <is>
          <t>ООО "Амур Золото"</t>
        </is>
      </c>
      <c r="G97" s="6" t="inlineStr">
        <is>
          <t>2708001686</t>
        </is>
      </c>
      <c r="H97" s="6" t="inlineStr">
        <is>
          <t>148626989; 148626990; 216771215; 216771216; 216771217</t>
        </is>
      </c>
      <c r="I97" s="6" t="inlineStr">
        <is>
          <t>11125717; 15571832</t>
        </is>
      </c>
      <c r="J97" s="6" t="inlineStr">
        <is>
          <t>ОТ № ЮГОК ПГУ 25-25; ЮГОК ПГУ 26-54</t>
        </is>
      </c>
      <c r="K97" s="6" t="inlineStr">
        <is>
          <t>22.07.2025; 18.08.2026</t>
        </is>
      </c>
      <c r="L97" s="6" t="inlineStr">
        <is>
          <t>Успешно</t>
        </is>
      </c>
      <c r="M97" s="6" t="inlineStr">
        <is>
          <t>Пользовательский интерфейс</t>
        </is>
      </c>
      <c r="N97" s="7" t="n">
        <v>5</v>
      </c>
      <c r="O97" s="7" t="n">
        <v>2</v>
      </c>
      <c r="P97" s="7" t="n"/>
      <c r="Q97" s="175" t="n">
        <v>2</v>
      </c>
      <c r="R97" s="7" t="n"/>
      <c r="S97" s="7" t="n"/>
      <c r="T97" s="7" t="n"/>
      <c r="U97" s="7" t="n"/>
      <c r="V97" s="7" t="n"/>
      <c r="W97" s="7" t="n"/>
      <c r="X97" s="7" t="n"/>
      <c r="Y97" s="7" t="n"/>
      <c r="Z97" s="7" t="n"/>
      <c r="AA97" s="7" t="n"/>
      <c r="AB97" s="7" t="n">
        <v>1</v>
      </c>
      <c r="AC97" s="175" t="n">
        <v>2</v>
      </c>
    </row>
    <row r="98">
      <c r="A98" s="6" t="inlineStr">
        <is>
          <t>работник 806</t>
        </is>
      </c>
      <c r="B98" s="6" t="inlineStr">
        <is>
          <t>Повар</t>
        </is>
      </c>
      <c r="C98" s="6" t="inlineStr">
        <is>
          <t>повар | Повар</t>
        </is>
      </c>
      <c r="D98" s="6" t="inlineStr">
        <is>
          <t>ОБЩЕСТВО С ОГРАНИЧЕННОЙ ОТВЕТСТВЕННОСТЬЮ "АМУР ЗОЛОТО"</t>
        </is>
      </c>
      <c r="E98" s="6" t="inlineStr">
        <is>
          <t>2708001686</t>
        </is>
      </c>
      <c r="F98" s="6" t="inlineStr">
        <is>
          <t>ООО "Амур Золото"</t>
        </is>
      </c>
      <c r="G98" s="6" t="inlineStr">
        <is>
          <t>2708001686</t>
        </is>
      </c>
      <c r="H98" s="6" t="inlineStr">
        <is>
          <t>207616904; 207616905; 222717221; 222717248; 222717249</t>
        </is>
      </c>
      <c r="I98" s="6" t="inlineStr">
        <is>
          <t>14965340; 15953442</t>
        </is>
      </c>
      <c r="J98" s="6" t="inlineStr">
        <is>
          <t>ЮГОК АХЧ- 23; ЮГОК АХЧ 26-54</t>
        </is>
      </c>
      <c r="K98" s="6" t="inlineStr">
        <is>
          <t>03.07.2026; 20.08.2026</t>
        </is>
      </c>
      <c r="L98" s="6" t="inlineStr">
        <is>
          <t>Успешно</t>
        </is>
      </c>
      <c r="M98" s="6" t="inlineStr">
        <is>
          <t>Пользовательский интерфейс</t>
        </is>
      </c>
      <c r="N98" s="7" t="n">
        <v>5</v>
      </c>
      <c r="O98" s="7" t="n">
        <v>2</v>
      </c>
      <c r="P98" s="7" t="n"/>
      <c r="Q98" s="175" t="n">
        <v>2</v>
      </c>
      <c r="R98" s="7" t="n"/>
      <c r="S98" s="7" t="n"/>
      <c r="T98" s="7" t="n"/>
      <c r="U98" s="7" t="n"/>
      <c r="V98" s="7" t="n"/>
      <c r="W98" s="7" t="n"/>
      <c r="X98" s="7" t="n"/>
      <c r="Y98" s="7" t="n"/>
      <c r="Z98" s="7" t="n"/>
      <c r="AA98" s="7" t="n"/>
      <c r="AB98" s="7" t="n">
        <v>1</v>
      </c>
      <c r="AC98" s="175" t="n">
        <v>2</v>
      </c>
    </row>
    <row r="99">
      <c r="A99" s="6" t="inlineStr">
        <is>
          <t>работник 81</t>
        </is>
      </c>
      <c r="B99" s="6" t="inlineStr">
        <is>
          <t>Плотник</t>
        </is>
      </c>
      <c r="C99" s="6" t="inlineStr">
        <is>
          <t>Плотник</t>
        </is>
      </c>
      <c r="D99" s="6" t="inlineStr">
        <is>
          <t>ОБЩЕСТВО С ОГРАНИЧЕННОЙ ОТВЕТСТВЕННОСТЬЮ "АМУР ЗОЛОТО"</t>
        </is>
      </c>
      <c r="E99" s="6" t="inlineStr">
        <is>
          <t>2708001686</t>
        </is>
      </c>
      <c r="F99" s="6" t="inlineStr">
        <is>
          <t>ООО "Амур Золото"</t>
        </is>
      </c>
      <c r="G99" s="6" t="inlineStr">
        <is>
          <t>2708001686</t>
        </is>
      </c>
      <c r="H99" s="6" t="inlineStr">
        <is>
          <t>37117475; 37117476; 37117477; 37117504; 37117505; 37117506; 85344256; 85344257; 197822322; 197822323</t>
        </is>
      </c>
      <c r="I99" s="6" t="inlineStr">
        <is>
          <t>2978778; 6554154; 14313480</t>
        </is>
      </c>
      <c r="J99" s="6" t="inlineStr">
        <is>
          <t>ОТ № ЮГОК РСУ 23-01; ОТ № ЮГОК РСУ 23-02; ОТ ЮГОК РСУ 24-04; ЮГОК ОКС (РСУ) 26-01</t>
        </is>
      </c>
      <c r="K99" s="6" t="inlineStr">
        <is>
          <t>23.11.2023; 24.11.2023; 26.10.2024; 23.05.2026</t>
        </is>
      </c>
      <c r="L99" s="6" t="inlineStr">
        <is>
          <t>Успешно</t>
        </is>
      </c>
      <c r="M99" s="6" t="inlineStr">
        <is>
          <t>Пользовательский интерфейс</t>
        </is>
      </c>
      <c r="N99" s="7" t="n">
        <v>10</v>
      </c>
      <c r="O99" s="7" t="n">
        <v>2</v>
      </c>
      <c r="P99" s="7" t="n"/>
      <c r="Q99" s="175" t="n">
        <v>3</v>
      </c>
      <c r="R99" s="7" t="n">
        <v>1</v>
      </c>
      <c r="S99" s="7" t="n"/>
      <c r="T99" s="7" t="n"/>
      <c r="U99" s="7" t="n"/>
      <c r="V99" s="7" t="n"/>
      <c r="W99" s="7" t="n"/>
      <c r="X99" s="7" t="n"/>
      <c r="Y99" s="7" t="n">
        <v>1</v>
      </c>
      <c r="Z99" s="7" t="n">
        <v>1</v>
      </c>
      <c r="AA99" s="7" t="n"/>
      <c r="AB99" s="7" t="n">
        <v>1</v>
      </c>
      <c r="AC99" s="175" t="n">
        <v>3</v>
      </c>
    </row>
    <row r="100">
      <c r="A100" s="6" t="inlineStr">
        <is>
          <t>работник 421</t>
        </is>
      </c>
      <c r="B100" s="6" t="inlineStr">
        <is>
          <t>Горнорабочий на маркшейдерских работах | Помощник машиниста самоходной буровой установки (с исполнением обязанностей пробоотборщика) (Очистное)</t>
        </is>
      </c>
      <c r="C100" s="6" t="inlineStr">
        <is>
          <t>Горнорабочий на маркшейдерских работах | Помощник машиниста самоходной буровой установки (с исполнением обязанностей пробоотборщика) (Очистное)</t>
        </is>
      </c>
      <c r="D100" s="6" t="inlineStr">
        <is>
          <t>ОБЩЕСТВО С ОГРАНИЧЕННОЙ ОТВЕТСТВЕННОСТЬЮ "АМУР ЗОЛОТО"</t>
        </is>
      </c>
      <c r="E100" s="6" t="inlineStr">
        <is>
          <t>2708001686</t>
        </is>
      </c>
      <c r="F100" s="6" t="inlineStr">
        <is>
          <t>ООО "Амур Золото"</t>
        </is>
      </c>
      <c r="G100" s="6" t="inlineStr">
        <is>
          <t>2708001686</t>
        </is>
      </c>
      <c r="H100" s="6" t="inlineStr">
        <is>
          <t>85344258; 85344259; 131313252; 131313253</t>
        </is>
      </c>
      <c r="I100" s="6" t="inlineStr">
        <is>
          <t>6554154; 9873379</t>
        </is>
      </c>
      <c r="J100" s="6" t="inlineStr">
        <is>
          <t>ОТ № ЮГОК ГМО 24-02; ОТ № ЮГОК ПГУ 22-25</t>
        </is>
      </c>
      <c r="K100" s="6" t="inlineStr">
        <is>
          <t>14.10.2024; 11.06.2025</t>
        </is>
      </c>
      <c r="L100" s="6" t="inlineStr">
        <is>
          <t>Успешно</t>
        </is>
      </c>
      <c r="M100" s="6" t="inlineStr">
        <is>
          <t>Пользовательский интерфейс</t>
        </is>
      </c>
      <c r="N100" s="7" t="n">
        <v>4</v>
      </c>
      <c r="O100" s="7" t="n">
        <v>2</v>
      </c>
      <c r="P100" s="7" t="n"/>
      <c r="Q100" s="175" t="n">
        <v>2</v>
      </c>
      <c r="R100" s="7" t="n"/>
      <c r="S100" s="7" t="n"/>
      <c r="T100" s="7" t="n"/>
      <c r="U100" s="7" t="n"/>
      <c r="V100" s="7" t="n"/>
      <c r="W100" s="7" t="n"/>
      <c r="X100" s="7" t="n"/>
      <c r="Y100" s="7" t="n"/>
      <c r="Z100" s="7" t="n"/>
      <c r="AA100" s="7" t="n"/>
      <c r="AB100" s="7" t="n"/>
      <c r="AC100" s="175" t="n">
        <v>2</v>
      </c>
    </row>
    <row r="101">
      <c r="A101" s="6" t="inlineStr">
        <is>
          <t>работник 238</t>
        </is>
      </c>
      <c r="B101" s="6" t="inlineStr">
        <is>
          <t>Лаборант пробирного анализа</t>
        </is>
      </c>
      <c r="C101" s="6" t="inlineStr">
        <is>
          <t>Лаборант пробирного анализа</t>
        </is>
      </c>
      <c r="D101" s="6" t="inlineStr">
        <is>
          <t>ОБЩЕСТВО С ОГРАНИЧЕННОЙ ОТВЕТСТВЕННОСТЬЮ "АМУР ЗОЛОТО"</t>
        </is>
      </c>
      <c r="E101" s="6" t="inlineStr">
        <is>
          <t>2708001686</t>
        </is>
      </c>
      <c r="F101" s="6" t="inlineStr">
        <is>
          <t>ООО "Амур Золото"</t>
        </is>
      </c>
      <c r="G101" s="6" t="inlineStr">
        <is>
          <t>2708001686</t>
        </is>
      </c>
      <c r="H101" s="6" t="inlineStr">
        <is>
          <t>41372158; 41372159; 41372160; 136189674; 136189675; 223283062; 223283063; 223283064</t>
        </is>
      </c>
      <c r="I101" s="6" t="inlineStr">
        <is>
          <t>3335316; 10216156; 15995643</t>
        </is>
      </c>
      <c r="J101" s="6" t="inlineStr">
        <is>
          <t>ОТ № ЮГОК ПАЛ 24-02; ОТ № ЮГОК ПАЛ 25-05; ЮГОК ПАЛ 26-14</t>
        </is>
      </c>
      <c r="K101" s="6" t="inlineStr">
        <is>
          <t>23.02.2024; 08.07.2025; 17.09.2026</t>
        </is>
      </c>
      <c r="L101" s="6" t="inlineStr">
        <is>
          <t>Успешно</t>
        </is>
      </c>
      <c r="M101" s="6" t="inlineStr">
        <is>
          <t>Пользовательский интерфейс</t>
        </is>
      </c>
      <c r="N101" s="7" t="n">
        <v>8</v>
      </c>
      <c r="O101" s="7" t="n">
        <v>3</v>
      </c>
      <c r="P101" s="7" t="n"/>
      <c r="Q101" s="175" t="n">
        <v>3</v>
      </c>
      <c r="R101" s="7" t="n"/>
      <c r="S101" s="7" t="n"/>
      <c r="T101" s="7" t="n"/>
      <c r="U101" s="7" t="n"/>
      <c r="V101" s="7" t="n"/>
      <c r="W101" s="7" t="n"/>
      <c r="X101" s="7" t="n"/>
      <c r="Y101" s="7" t="n"/>
      <c r="Z101" s="7" t="n"/>
      <c r="AA101" s="7" t="n"/>
      <c r="AB101" s="175" t="n">
        <v>2</v>
      </c>
      <c r="AC101" s="175" t="n">
        <v>3</v>
      </c>
    </row>
    <row r="102">
      <c r="A102" s="6" t="inlineStr">
        <is>
          <t>работник 620</t>
        </is>
      </c>
      <c r="B102" s="6" t="inlineStr">
        <is>
          <t>Машинист двигателей внутреннего сгорания</t>
        </is>
      </c>
      <c r="C102" s="6" t="inlineStr">
        <is>
          <t>Машинист двигателей внутреннего сгорания</t>
        </is>
      </c>
      <c r="D102" s="6" t="inlineStr">
        <is>
          <t>ОБЩЕСТВО С ОГРАНИЧЕННОЙ ОТВЕТСТВЕННОСТЬЮ "АМУР ЗОЛОТО"</t>
        </is>
      </c>
      <c r="E102" s="6" t="inlineStr">
        <is>
          <t>2708001686</t>
        </is>
      </c>
      <c r="F102" s="6" t="inlineStr">
        <is>
          <t>ООО "Амур Золото"</t>
        </is>
      </c>
      <c r="G102" s="6" t="inlineStr">
        <is>
          <t>2708001686</t>
        </is>
      </c>
      <c r="H102" s="6" t="inlineStr">
        <is>
          <t>164868627; 164868628; 223283065; 223283066; 223283067</t>
        </is>
      </c>
      <c r="I102" s="6" t="inlineStr">
        <is>
          <t>12210086; 15995643</t>
        </is>
      </c>
      <c r="J102" s="6" t="inlineStr">
        <is>
          <t>ОТ № ЮГОК ЭУ 25-45; ЮГОК ЭУ 26-26</t>
        </is>
      </c>
      <c r="K102" s="6" t="inlineStr">
        <is>
          <t>25.12.2025; 26.08.2026</t>
        </is>
      </c>
      <c r="L102" s="6" t="inlineStr">
        <is>
          <t>Успешно</t>
        </is>
      </c>
      <c r="M102" s="6" t="inlineStr">
        <is>
          <t>Пользовательский интерфейс</t>
        </is>
      </c>
      <c r="N102" s="7" t="n">
        <v>5</v>
      </c>
      <c r="O102" s="7" t="n">
        <v>2</v>
      </c>
      <c r="P102" s="7" t="n"/>
      <c r="Q102" s="175" t="n">
        <v>2</v>
      </c>
      <c r="R102" s="7" t="n"/>
      <c r="S102" s="7" t="n"/>
      <c r="T102" s="7" t="n"/>
      <c r="U102" s="7" t="n"/>
      <c r="V102" s="7" t="n"/>
      <c r="W102" s="7" t="n"/>
      <c r="X102" s="7" t="n"/>
      <c r="Y102" s="7" t="n"/>
      <c r="Z102" s="7" t="n"/>
      <c r="AA102" s="7" t="n"/>
      <c r="AB102" s="7" t="n">
        <v>1</v>
      </c>
      <c r="AC102" s="175" t="n">
        <v>2</v>
      </c>
    </row>
    <row r="103">
      <c r="A103" s="6" t="inlineStr">
        <is>
          <t>работник 127</t>
        </is>
      </c>
      <c r="B103" s="6" t="inlineStr">
        <is>
          <t>Машинист мельниц</t>
        </is>
      </c>
      <c r="C103" s="6" t="inlineStr">
        <is>
          <t>Машинист мельниц</t>
        </is>
      </c>
      <c r="D103" s="6" t="inlineStr">
        <is>
          <t>ОБЩЕСТВО С ОГРАНИЧЕННОЙ ОТВЕТСТВЕННОСТЬЮ "АМУР ЗОЛОТО"</t>
        </is>
      </c>
      <c r="E103" s="6" t="inlineStr">
        <is>
          <t>2708001686</t>
        </is>
      </c>
      <c r="F103" s="6" t="inlineStr">
        <is>
          <t>ООО "Амур Золото"</t>
        </is>
      </c>
      <c r="G103" s="6" t="inlineStr">
        <is>
          <t>2708001686</t>
        </is>
      </c>
      <c r="H103" s="6" t="inlineStr">
        <is>
          <t>37117646; 37117647; 37117648; 214421223; 214421224; 214421225</t>
        </is>
      </c>
      <c r="I103" s="6" t="inlineStr">
        <is>
          <t>2978778; 15411209</t>
        </is>
      </c>
      <c r="J103" s="6" t="inlineStr">
        <is>
          <t>ОТ ЮГОК ЗИОФ 23-04; ЮГОК ЗИОФ 26-29</t>
        </is>
      </c>
      <c r="K103" s="6" t="inlineStr">
        <is>
          <t>11.12.2023; 29.07.2026</t>
        </is>
      </c>
      <c r="L103" s="6" t="inlineStr">
        <is>
          <t>Успешно</t>
        </is>
      </c>
      <c r="M103" s="6" t="inlineStr">
        <is>
          <t>Пользовательский интерфейс</t>
        </is>
      </c>
      <c r="N103" s="7" t="n">
        <v>6</v>
      </c>
      <c r="O103" s="7" t="n">
        <v>3</v>
      </c>
      <c r="P103" s="7" t="n"/>
      <c r="Q103" s="175" t="n">
        <v>2</v>
      </c>
      <c r="R103" s="7" t="n"/>
      <c r="S103" s="7" t="n"/>
      <c r="T103" s="7" t="n"/>
      <c r="U103" s="7" t="n"/>
      <c r="V103" s="7" t="n"/>
      <c r="W103" s="7" t="n"/>
      <c r="X103" s="7" t="n"/>
      <c r="Y103" s="7" t="n"/>
      <c r="Z103" s="7" t="n"/>
      <c r="AA103" s="7" t="n"/>
      <c r="AB103" s="175" t="n">
        <v>2</v>
      </c>
      <c r="AC103" s="175" t="n">
        <v>2</v>
      </c>
    </row>
    <row r="104">
      <c r="A104" s="6" t="inlineStr">
        <is>
          <t>работник 227</t>
        </is>
      </c>
      <c r="B104" s="6" t="inlineStr">
        <is>
          <t>Кладовщик</t>
        </is>
      </c>
      <c r="C104" s="6" t="inlineStr">
        <is>
          <t>Кладовщик</t>
        </is>
      </c>
      <c r="D104" s="6" t="inlineStr">
        <is>
          <t>ОБЩЕСТВО С ОГРАНИЧЕННОЙ ОТВЕТСТВЕННОСТЬЮ "АМУР ЗОЛОТО"</t>
        </is>
      </c>
      <c r="E104" s="6" t="inlineStr">
        <is>
          <t>2708001686</t>
        </is>
      </c>
      <c r="F104" s="6" t="inlineStr">
        <is>
          <t>ООО "Амур Золото"</t>
        </is>
      </c>
      <c r="G104" s="6" t="inlineStr">
        <is>
          <t>2708001686</t>
        </is>
      </c>
      <c r="H104" s="6" t="inlineStr">
        <is>
          <t>41372122; 41372123; 41372125; 223283039; 223283040; 223283041</t>
        </is>
      </c>
      <c r="I104" s="6" t="inlineStr">
        <is>
          <t>3335316; 15995643</t>
        </is>
      </c>
      <c r="J104" s="6" t="inlineStr">
        <is>
          <t>ОТ № ЮГОК СК 24-02; ЮГОК МТО 26-11</t>
        </is>
      </c>
      <c r="K104" s="6" t="inlineStr">
        <is>
          <t>23.02.2024; 26.08.2026</t>
        </is>
      </c>
      <c r="L104" s="6" t="inlineStr">
        <is>
          <t>Успешно</t>
        </is>
      </c>
      <c r="M104" s="6" t="inlineStr">
        <is>
          <t>Пользовательский интерфейс</t>
        </is>
      </c>
      <c r="N104" s="7" t="n">
        <v>6</v>
      </c>
      <c r="O104" s="7" t="n">
        <v>3</v>
      </c>
      <c r="P104" s="7" t="n"/>
      <c r="Q104" s="175" t="n">
        <v>2</v>
      </c>
      <c r="R104" s="7" t="n"/>
      <c r="S104" s="7" t="n"/>
      <c r="T104" s="7" t="n"/>
      <c r="U104" s="7" t="n"/>
      <c r="V104" s="7" t="n"/>
      <c r="W104" s="7" t="n"/>
      <c r="X104" s="7" t="n"/>
      <c r="Y104" s="7" t="n"/>
      <c r="Z104" s="7" t="n"/>
      <c r="AA104" s="7" t="n"/>
      <c r="AB104" s="175" t="n">
        <v>2</v>
      </c>
      <c r="AC104" s="175" t="n">
        <v>2</v>
      </c>
    </row>
    <row r="105">
      <c r="A105" s="6" t="inlineStr">
        <is>
          <t>работник 165</t>
        </is>
      </c>
      <c r="B105" s="6" t="inlineStr">
        <is>
          <t>Крепильщик | Крепильщик (пылевентиляционная служба)</t>
        </is>
      </c>
      <c r="C105" s="6" t="inlineStr">
        <is>
          <t>Крепильщик | Крепильщик (пылевентиляционная служба)</t>
        </is>
      </c>
      <c r="D105" s="6" t="inlineStr">
        <is>
          <t>ОБЩЕСТВО С ОГРАНИЧЕННОЙ ОТВЕТСТВЕННОСТЬЮ "АМУР ЗОЛОТО"</t>
        </is>
      </c>
      <c r="E105" s="6" t="inlineStr">
        <is>
          <t>2708001686</t>
        </is>
      </c>
      <c r="F105" s="6" t="inlineStr">
        <is>
          <t>ООО "Амур Золото"</t>
        </is>
      </c>
      <c r="G105" s="6" t="inlineStr">
        <is>
          <t>2708001686</t>
        </is>
      </c>
      <c r="H105" s="6" t="inlineStr">
        <is>
          <t>37117792; 37117793; 37117794; 87544967; 87544968</t>
        </is>
      </c>
      <c r="I105" s="6" t="inlineStr">
        <is>
          <t>2978778; 6719954</t>
        </is>
      </c>
      <c r="J105" s="6" t="inlineStr">
        <is>
          <t>ОТ № ЮГОК ПГУ 24-01; ОТ № ЮГОК ПГУ 24-23</t>
        </is>
      </c>
      <c r="K105" s="6" t="inlineStr">
        <is>
          <t>19.01.2024; 12.11.2024</t>
        </is>
      </c>
      <c r="L105" s="6" t="inlineStr">
        <is>
          <t>Успешно</t>
        </is>
      </c>
      <c r="M105" s="6" t="inlineStr">
        <is>
          <t>Пользовательский интерфейс</t>
        </is>
      </c>
      <c r="N105" s="7" t="n">
        <v>5</v>
      </c>
      <c r="O105" s="7" t="n">
        <v>2</v>
      </c>
      <c r="P105" s="7" t="n"/>
      <c r="Q105" s="175" t="n">
        <v>2</v>
      </c>
      <c r="R105" s="7" t="n"/>
      <c r="S105" s="7" t="n"/>
      <c r="T105" s="7" t="n"/>
      <c r="U105" s="7" t="n"/>
      <c r="V105" s="7" t="n"/>
      <c r="W105" s="7" t="n"/>
      <c r="X105" s="7" t="n"/>
      <c r="Y105" s="7" t="n"/>
      <c r="Z105" s="7" t="n"/>
      <c r="AA105" s="7" t="n"/>
      <c r="AB105" s="7" t="n">
        <v>1</v>
      </c>
      <c r="AC105" s="175" t="n">
        <v>2</v>
      </c>
    </row>
    <row r="106">
      <c r="A106" s="6" t="inlineStr">
        <is>
          <t>работник 600</t>
        </is>
      </c>
      <c r="B106" s="6" t="inlineStr">
        <is>
          <t>Слесарь-ремонтник (по ремонту самоходной техники)</t>
        </is>
      </c>
      <c r="C106" s="6" t="inlineStr">
        <is>
          <t>Слесарь-ремонтник (по ремонту самоходной техники)</t>
        </is>
      </c>
      <c r="D106" s="6" t="inlineStr">
        <is>
          <t>ОБЩЕСТВО С ОГРАНИЧЕННОЙ ОТВЕТСТВЕННОСТЬЮ "АМУР ЗОЛОТО"</t>
        </is>
      </c>
      <c r="E106" s="6" t="inlineStr">
        <is>
          <t>2708001686</t>
        </is>
      </c>
      <c r="F106" s="6" t="inlineStr">
        <is>
          <t>ООО "Амур Золото"</t>
        </is>
      </c>
      <c r="G106" s="6" t="inlineStr">
        <is>
          <t>2708001686</t>
        </is>
      </c>
      <c r="H106" s="6" t="inlineStr">
        <is>
          <t>148627006; 148627007; 214421495; 214421496; 214421497</t>
        </is>
      </c>
      <c r="I106" s="6" t="inlineStr">
        <is>
          <t>11125717; 15411209</t>
        </is>
      </c>
      <c r="J106" s="6" t="inlineStr">
        <is>
          <t>ОТ № ЮГОК ПГУ 33-25; ЮГОК ПГУ 26-35</t>
        </is>
      </c>
      <c r="K106" s="6" t="inlineStr">
        <is>
          <t>19.09.2025; 25.07.2026</t>
        </is>
      </c>
      <c r="L106" s="6" t="inlineStr">
        <is>
          <t>Успешно</t>
        </is>
      </c>
      <c r="M106" s="6" t="inlineStr">
        <is>
          <t>Пользовательский интерфейс</t>
        </is>
      </c>
      <c r="N106" s="7" t="n">
        <v>5</v>
      </c>
      <c r="O106" s="7" t="n">
        <v>2</v>
      </c>
      <c r="P106" s="7" t="n"/>
      <c r="Q106" s="175" t="n">
        <v>2</v>
      </c>
      <c r="R106" s="7" t="n"/>
      <c r="S106" s="7" t="n"/>
      <c r="T106" s="7" t="n"/>
      <c r="U106" s="7" t="n"/>
      <c r="V106" s="7" t="n"/>
      <c r="W106" s="7" t="n"/>
      <c r="X106" s="7" t="n"/>
      <c r="Y106" s="7" t="n"/>
      <c r="Z106" s="7" t="n"/>
      <c r="AA106" s="7" t="n"/>
      <c r="AB106" s="7" t="n">
        <v>1</v>
      </c>
      <c r="AC106" s="175" t="n">
        <v>2</v>
      </c>
    </row>
    <row r="107">
      <c r="A107" s="6" t="inlineStr">
        <is>
          <t>работник 641</t>
        </is>
      </c>
      <c r="B107" s="6" t="inlineStr">
        <is>
          <t>Аппаратчик-гидрометаллург</t>
        </is>
      </c>
      <c r="C107" s="6" t="inlineStr">
        <is>
          <t>Аппаратчик-гидрометалург | Аппаратчик-гидрометаллург</t>
        </is>
      </c>
      <c r="D107" s="6" t="inlineStr">
        <is>
          <t>ОБЩЕСТВО С ОГРАНИЧЕННОЙ ОТВЕТСТВЕННОСТЬЮ "АМУР ЗОЛОТО"</t>
        </is>
      </c>
      <c r="E107" s="6" t="inlineStr">
        <is>
          <t>2708001686</t>
        </is>
      </c>
      <c r="F107" s="6" t="inlineStr">
        <is>
          <t>ООО "Амур Золото"</t>
        </is>
      </c>
      <c r="G107" s="6" t="inlineStr">
        <is>
          <t>2708001686</t>
        </is>
      </c>
      <c r="H107" s="6" t="inlineStr">
        <is>
          <t>175826210; 175826211; 214421289; 214421290; 214421291</t>
        </is>
      </c>
      <c r="I107" s="6" t="inlineStr">
        <is>
          <t>12935952; 15411209</t>
        </is>
      </c>
      <c r="J107" s="6" t="inlineStr">
        <is>
          <t>ОТ № ЮГОК ЗИОФ 26-01; ЮГОК ЗИОФ 26-34</t>
        </is>
      </c>
      <c r="K107" s="6" t="inlineStr">
        <is>
          <t>19.02.2026; 29.07.2026</t>
        </is>
      </c>
      <c r="L107" s="6" t="inlineStr">
        <is>
          <t>Успешно</t>
        </is>
      </c>
      <c r="M107" s="6" t="inlineStr">
        <is>
          <t>Пользовательский интерфейс</t>
        </is>
      </c>
      <c r="N107" s="7" t="n">
        <v>5</v>
      </c>
      <c r="O107" s="7" t="n">
        <v>2</v>
      </c>
      <c r="P107" s="7" t="n"/>
      <c r="Q107" s="175" t="n">
        <v>2</v>
      </c>
      <c r="R107" s="7" t="n"/>
      <c r="S107" s="7" t="n"/>
      <c r="T107" s="7" t="n"/>
      <c r="U107" s="7" t="n"/>
      <c r="V107" s="7" t="n"/>
      <c r="W107" s="7" t="n"/>
      <c r="X107" s="7" t="n"/>
      <c r="Y107" s="7" t="n"/>
      <c r="Z107" s="7" t="n"/>
      <c r="AA107" s="7" t="n"/>
      <c r="AB107" s="7" t="n">
        <v>1</v>
      </c>
      <c r="AC107" s="175" t="n">
        <v>2</v>
      </c>
    </row>
    <row r="108">
      <c r="A108" s="6" t="inlineStr">
        <is>
          <t>работник 319</t>
        </is>
      </c>
      <c r="B108" s="6" t="inlineStr">
        <is>
          <t>Машинист погрузочно-доставочной машины (занятый на транспортировании горной массы в технологическом процессе)</t>
        </is>
      </c>
      <c r="C108" s="6" t="inlineStr">
        <is>
          <t>Машинист погрузочно-доставочной машины (занятый на транспортировании горной массы в технологическом процессе)</t>
        </is>
      </c>
      <c r="D108" s="6" t="inlineStr">
        <is>
          <t>ОБЩЕСТВО С ОГРАНИЧЕННОЙ ОТВЕТСТВЕННОСТЬЮ "АМУР ЗОЛОТО"</t>
        </is>
      </c>
      <c r="E108" s="6" t="inlineStr">
        <is>
          <t>2708001686</t>
        </is>
      </c>
      <c r="F108" s="6" t="inlineStr">
        <is>
          <t>ООО "Амур Золото"</t>
        </is>
      </c>
      <c r="G108" s="6" t="inlineStr">
        <is>
          <t>2708001686</t>
        </is>
      </c>
      <c r="H108" s="6" t="inlineStr">
        <is>
          <t>43299733; 43299734; 43299735; 216771176; 216771177; 216771178</t>
        </is>
      </c>
      <c r="I108" s="6" t="inlineStr">
        <is>
          <t>3474285; 15571832</t>
        </is>
      </c>
      <c r="J108" s="6" t="inlineStr">
        <is>
          <t>ОТ № ЮГОК ПГУ 24-05; ЮГОК ПГУ 26-50</t>
        </is>
      </c>
      <c r="K108" s="6" t="inlineStr">
        <is>
          <t>05.03.2024; 16.08.2026</t>
        </is>
      </c>
      <c r="L108" s="6" t="inlineStr">
        <is>
          <t>Успешно</t>
        </is>
      </c>
      <c r="M108" s="6" t="inlineStr">
        <is>
          <t>Пользовательский интерфейс</t>
        </is>
      </c>
      <c r="N108" s="7" t="n">
        <v>6</v>
      </c>
      <c r="O108" s="7" t="n">
        <v>3</v>
      </c>
      <c r="P108" s="7" t="n"/>
      <c r="Q108" s="175" t="n">
        <v>2</v>
      </c>
      <c r="R108" s="7" t="n"/>
      <c r="S108" s="7" t="n"/>
      <c r="T108" s="7" t="n"/>
      <c r="U108" s="7" t="n"/>
      <c r="V108" s="7" t="n"/>
      <c r="W108" s="7" t="n"/>
      <c r="X108" s="7" t="n"/>
      <c r="Y108" s="7" t="n"/>
      <c r="Z108" s="7" t="n"/>
      <c r="AA108" s="7" t="n"/>
      <c r="AB108" s="175" t="n">
        <v>2</v>
      </c>
      <c r="AC108" s="175" t="n">
        <v>2</v>
      </c>
    </row>
    <row r="109">
      <c r="A109" s="6" t="inlineStr">
        <is>
          <t>работник 637</t>
        </is>
      </c>
      <c r="B109" s="6" t="inlineStr">
        <is>
          <t>Дробильщик</t>
        </is>
      </c>
      <c r="C109" s="6" t="inlineStr">
        <is>
          <t>Дробильщик</t>
        </is>
      </c>
      <c r="D109" s="6" t="inlineStr">
        <is>
          <t>ОБЩЕСТВО С ОГРАНИЧЕННОЙ ОТВЕТСТВЕННОСТЬЮ "АМУР ЗОЛОТО"</t>
        </is>
      </c>
      <c r="E109" s="6" t="inlineStr">
        <is>
          <t>2708001686</t>
        </is>
      </c>
      <c r="F109" s="6" t="inlineStr">
        <is>
          <t>ООО "Амур Золото"</t>
        </is>
      </c>
      <c r="G109" s="6" t="inlineStr">
        <is>
          <t>2708001686</t>
        </is>
      </c>
      <c r="H109" s="6" t="inlineStr">
        <is>
          <t>175826202; 175826203; 214421240; 214421241; 214421242</t>
        </is>
      </c>
      <c r="I109" s="6" t="inlineStr">
        <is>
          <t>12935952; 15411209</t>
        </is>
      </c>
      <c r="J109" s="6" t="inlineStr">
        <is>
          <t>ОТ № ЮГОК ЗИОФ 26-01; ЮГОК ЗИОФ 26-31</t>
        </is>
      </c>
      <c r="K109" s="6" t="inlineStr">
        <is>
          <t>19.02.2026; 29.07.2026</t>
        </is>
      </c>
      <c r="L109" s="6" t="inlineStr">
        <is>
          <t>Успешно</t>
        </is>
      </c>
      <c r="M109" s="6" t="inlineStr">
        <is>
          <t>Пользовательский интерфейс</t>
        </is>
      </c>
      <c r="N109" s="7" t="n">
        <v>5</v>
      </c>
      <c r="O109" s="7" t="n">
        <v>2</v>
      </c>
      <c r="P109" s="7" t="n"/>
      <c r="Q109" s="175" t="n">
        <v>2</v>
      </c>
      <c r="R109" s="7" t="n"/>
      <c r="S109" s="7" t="n"/>
      <c r="T109" s="7" t="n"/>
      <c r="U109" s="7" t="n"/>
      <c r="V109" s="7" t="n"/>
      <c r="W109" s="7" t="n"/>
      <c r="X109" s="7" t="n"/>
      <c r="Y109" s="7" t="n"/>
      <c r="Z109" s="7" t="n"/>
      <c r="AA109" s="7" t="n"/>
      <c r="AB109" s="7" t="n">
        <v>1</v>
      </c>
      <c r="AC109" s="175" t="n">
        <v>2</v>
      </c>
    </row>
    <row r="110">
      <c r="A110" s="6" t="inlineStr">
        <is>
          <t>работник 487</t>
        </is>
      </c>
      <c r="B110" s="6" t="inlineStr">
        <is>
          <t>Машинист самоходной буровой установки (Проходка)</t>
        </is>
      </c>
      <c r="C110" s="6" t="inlineStr">
        <is>
          <t>Машинист самоходной буровой установки (Проходка)</t>
        </is>
      </c>
      <c r="D110" s="6" t="inlineStr">
        <is>
          <t>ОБЩЕСТВО С ОГРАНИЧЕННОЙ ОТВЕТСТВЕННОСТЬЮ "АМУР ЗОЛОТО"</t>
        </is>
      </c>
      <c r="E110" s="6" t="inlineStr">
        <is>
          <t>2708001686</t>
        </is>
      </c>
      <c r="F110" s="6" t="inlineStr">
        <is>
          <t>ООО "Амур Золото"</t>
        </is>
      </c>
      <c r="G110" s="6" t="inlineStr">
        <is>
          <t>2708001686</t>
        </is>
      </c>
      <c r="H110" s="6" t="inlineStr">
        <is>
          <t>87544969; 87544970; 216771164; 216771165; 216771166</t>
        </is>
      </c>
      <c r="I110" s="6" t="inlineStr">
        <is>
          <t>6719954; 15571832</t>
        </is>
      </c>
      <c r="J110" s="6" t="inlineStr">
        <is>
          <t>ОТ № ЮГОК ПГУ 24-23; ЮГОК ПГУ 26-49</t>
        </is>
      </c>
      <c r="K110" s="6" t="inlineStr">
        <is>
          <t>12.11.2024; 16.08.2026</t>
        </is>
      </c>
      <c r="L110" s="6" t="inlineStr">
        <is>
          <t>Успешно</t>
        </is>
      </c>
      <c r="M110" s="6" t="inlineStr">
        <is>
          <t>Пользовательский интерфейс</t>
        </is>
      </c>
      <c r="N110" s="7" t="n">
        <v>5</v>
      </c>
      <c r="O110" s="7" t="n">
        <v>2</v>
      </c>
      <c r="P110" s="7" t="n"/>
      <c r="Q110" s="175" t="n">
        <v>2</v>
      </c>
      <c r="R110" s="7" t="n"/>
      <c r="S110" s="7" t="n"/>
      <c r="T110" s="7" t="n"/>
      <c r="U110" s="7" t="n"/>
      <c r="V110" s="7" t="n"/>
      <c r="W110" s="7" t="n"/>
      <c r="X110" s="7" t="n"/>
      <c r="Y110" s="7" t="n"/>
      <c r="Z110" s="7" t="n"/>
      <c r="AA110" s="7" t="n"/>
      <c r="AB110" s="7" t="n">
        <v>1</v>
      </c>
      <c r="AC110" s="175" t="n">
        <v>2</v>
      </c>
    </row>
    <row r="111">
      <c r="A111" s="6" t="inlineStr">
        <is>
          <t>работник 35</t>
        </is>
      </c>
      <c r="B111" s="6" t="inlineStr">
        <is>
          <t>Лаборант пробирного анализа | Водитель погрузчика</t>
        </is>
      </c>
      <c r="C111" s="6" t="inlineStr">
        <is>
          <t>Лаборант пробирного анализа | Водитель погрузчика</t>
        </is>
      </c>
      <c r="D111" s="6" t="inlineStr">
        <is>
          <t>ОБЩЕСТВО С ОГРАНИЧЕННОЙ ОТВЕТСТВЕННОСТЬЮ "АМУР ЗОЛОТО"</t>
        </is>
      </c>
      <c r="E111" s="6" t="inlineStr">
        <is>
          <t>2708001686</t>
        </is>
      </c>
      <c r="F111" s="6" t="inlineStr">
        <is>
          <t>ООО "Амур Золото"</t>
        </is>
      </c>
      <c r="G111" s="6" t="inlineStr">
        <is>
          <t>2708001686</t>
        </is>
      </c>
      <c r="H111" s="6" t="inlineStr">
        <is>
          <t>37117331; 37117332; 37117333; 82311981; 82311982</t>
        </is>
      </c>
      <c r="I111" s="6" t="inlineStr">
        <is>
          <t>2978778; 6330469</t>
        </is>
      </c>
      <c r="J111" s="6" t="inlineStr">
        <is>
          <t>ОТ № ЮГОК ПАЛ 23-01; ОТ №ЮГОК АТЦ 24-14</t>
        </is>
      </c>
      <c r="K111" s="6" t="inlineStr">
        <is>
          <t>24.11.2023; 08.10.2024</t>
        </is>
      </c>
      <c r="L111" s="6" t="inlineStr">
        <is>
          <t>Успешно</t>
        </is>
      </c>
      <c r="M111" s="6" t="inlineStr">
        <is>
          <t>Пользовательский интерфейс</t>
        </is>
      </c>
      <c r="N111" s="7" t="n">
        <v>5</v>
      </c>
      <c r="O111" s="7" t="n">
        <v>2</v>
      </c>
      <c r="P111" s="7" t="n"/>
      <c r="Q111" s="175" t="n">
        <v>2</v>
      </c>
      <c r="R111" s="7" t="n"/>
      <c r="S111" s="7" t="n"/>
      <c r="T111" s="7" t="n"/>
      <c r="U111" s="7" t="n"/>
      <c r="V111" s="7" t="n"/>
      <c r="W111" s="7" t="n"/>
      <c r="X111" s="7" t="n"/>
      <c r="Y111" s="7" t="n"/>
      <c r="Z111" s="7" t="n"/>
      <c r="AA111" s="7" t="n"/>
      <c r="AB111" s="7" t="n">
        <v>1</v>
      </c>
      <c r="AC111" s="175" t="n">
        <v>2</v>
      </c>
    </row>
    <row r="112">
      <c r="A112" s="6" t="inlineStr">
        <is>
          <t>работник 21</t>
        </is>
      </c>
      <c r="B112" s="6" t="inlineStr">
        <is>
          <t>Машинист бульдозера</t>
        </is>
      </c>
      <c r="C112" s="6" t="inlineStr">
        <is>
          <t>Машинист бульдозера</t>
        </is>
      </c>
      <c r="D112" s="6" t="inlineStr">
        <is>
          <t>ОБЩЕСТВО С ОГРАНИЧЕННОЙ ОТВЕТСТВЕННОСТЬЮ "АМУР ЗОЛОТО"</t>
        </is>
      </c>
      <c r="E112" s="6" t="inlineStr">
        <is>
          <t>2708001686</t>
        </is>
      </c>
      <c r="F112" s="6" t="inlineStr">
        <is>
          <t>ООО "Амур Золото"</t>
        </is>
      </c>
      <c r="G112" s="6" t="inlineStr">
        <is>
          <t>2708001686</t>
        </is>
      </c>
      <c r="H112" s="6" t="inlineStr">
        <is>
          <t>37117272; 37117273; 37117274; 42252375; 42252376; 42252377</t>
        </is>
      </c>
      <c r="I112" s="6" t="inlineStr">
        <is>
          <t>2978778; 3404353</t>
        </is>
      </c>
      <c r="J112" s="6" t="inlineStr">
        <is>
          <t>ОТ № ЮГОК АТЦ 23-01; ОТ № ЮГОК АТЦ 24-04</t>
        </is>
      </c>
      <c r="K112" s="6" t="inlineStr">
        <is>
          <t>02.10.2023; 23.02.2024</t>
        </is>
      </c>
      <c r="L112" s="6" t="inlineStr">
        <is>
          <t>Успешно</t>
        </is>
      </c>
      <c r="M112" s="6" t="inlineStr">
        <is>
          <t>Пользовательский интерфейс</t>
        </is>
      </c>
      <c r="N112" s="7" t="n">
        <v>6</v>
      </c>
      <c r="O112" s="7" t="n">
        <v>3</v>
      </c>
      <c r="P112" s="7" t="n"/>
      <c r="Q112" s="175" t="n">
        <v>2</v>
      </c>
      <c r="R112" s="7" t="n"/>
      <c r="S112" s="7" t="n"/>
      <c r="T112" s="7" t="n"/>
      <c r="U112" s="7" t="n"/>
      <c r="V112" s="7" t="n"/>
      <c r="W112" s="7" t="n"/>
      <c r="X112" s="7" t="n"/>
      <c r="Y112" s="7" t="n"/>
      <c r="Z112" s="7" t="n"/>
      <c r="AA112" s="7" t="n"/>
      <c r="AB112" s="175" t="n">
        <v>2</v>
      </c>
      <c r="AC112" s="175" t="n">
        <v>2</v>
      </c>
    </row>
    <row r="113">
      <c r="A113" s="6" t="inlineStr">
        <is>
          <t>работник 22</t>
        </is>
      </c>
      <c r="B113" s="6" t="inlineStr">
        <is>
          <t>Электрогазосварщик</t>
        </is>
      </c>
      <c r="C113" s="6" t="inlineStr">
        <is>
          <t>Электрогазосварщик (занятый на резке и ручной сварке) | Электрогазосварщик(занятый на резке и ручной сварке)</t>
        </is>
      </c>
      <c r="D113" s="6" t="inlineStr">
        <is>
          <t>ОБЩЕСТВО С ОГРАНИЧЕННОЙ ОТВЕТСТВЕННОСТЬЮ "АМУР ЗОЛОТО"</t>
        </is>
      </c>
      <c r="E113" s="6" t="inlineStr">
        <is>
          <t>2708001686</t>
        </is>
      </c>
      <c r="F113" s="6" t="inlineStr">
        <is>
          <t>ООО "Амур Золото"</t>
        </is>
      </c>
      <c r="G113" s="6" t="inlineStr">
        <is>
          <t>2708001686</t>
        </is>
      </c>
      <c r="H113" s="6" t="inlineStr">
        <is>
          <t>37117275; 37117276; 37117277; 41371993; 41371994; 41371995; 42252378; 42252379; 42252380; 222717152; 222717165; 222717180; 222717181</t>
        </is>
      </c>
      <c r="I113" s="6" t="inlineStr">
        <is>
          <t>2978778; 3335316; 3404353; 15953442</t>
        </is>
      </c>
      <c r="J113" s="6" t="inlineStr">
        <is>
          <t>ОТ № ЮГОК АТЦ 23-01; ОТ № ЮГОК АТЦ 23-03; ОТ № ЮГОК АТЦ 24-04; ЮГОК АТЦ 26-18</t>
        </is>
      </c>
      <c r="K113" s="6" t="inlineStr">
        <is>
          <t>02.10.2023; 03.12.2023; 23.02.2024; 18.08.2026</t>
        </is>
      </c>
      <c r="L113" s="6" t="inlineStr">
        <is>
          <t>Успешно</t>
        </is>
      </c>
      <c r="M113" s="6" t="inlineStr">
        <is>
          <t>Пользовательский интерфейс</t>
        </is>
      </c>
      <c r="N113" s="7" t="n">
        <v>13</v>
      </c>
      <c r="O113" s="7" t="n">
        <v>3</v>
      </c>
      <c r="P113" s="7" t="n"/>
      <c r="Q113" s="175" t="n">
        <v>4</v>
      </c>
      <c r="R113" s="7" t="n"/>
      <c r="S113" s="7" t="n">
        <v>1</v>
      </c>
      <c r="T113" s="7" t="n"/>
      <c r="U113" s="7" t="n"/>
      <c r="V113" s="7" t="n"/>
      <c r="W113" s="7" t="n"/>
      <c r="X113" s="7" t="n"/>
      <c r="Y113" s="7" t="n"/>
      <c r="Z113" s="7" t="n"/>
      <c r="AA113" s="7" t="n"/>
      <c r="AB113" s="175" t="n">
        <v>4</v>
      </c>
      <c r="AC113" s="175" t="n">
        <v>4</v>
      </c>
    </row>
    <row r="114">
      <c r="A114" s="6" t="inlineStr">
        <is>
          <t>работник 46</t>
        </is>
      </c>
      <c r="B114" s="6" t="inlineStr">
        <is>
          <t>Механик холодильных установок | Машинист двигателей внутреннего сгорания</t>
        </is>
      </c>
      <c r="C114" s="6" t="inlineStr">
        <is>
          <t>Механик холодильных установок | Машинист двигателей внутреннего сгорания</t>
        </is>
      </c>
      <c r="D114" s="6" t="inlineStr">
        <is>
          <t>ОБЩЕСТВО С ОГРАНИЧЕННОЙ ОТВЕТСТВЕННОСТЬЮ "АМУР ЗОЛОТО"</t>
        </is>
      </c>
      <c r="E114" s="6" t="inlineStr">
        <is>
          <t>2708001686</t>
        </is>
      </c>
      <c r="F114" s="6" t="inlineStr">
        <is>
          <t>ООО "Амур Золото"</t>
        </is>
      </c>
      <c r="G114" s="6" t="inlineStr">
        <is>
          <t>2708001686</t>
        </is>
      </c>
      <c r="H114" s="6" t="inlineStr">
        <is>
          <t>37117368; 37117369; 37117370; 58069270; 58069271; 58069272; 124493955; 124493956</t>
        </is>
      </c>
      <c r="I114" s="6" t="inlineStr">
        <is>
          <t>2978778; 4506532; 9387075</t>
        </is>
      </c>
      <c r="J114" s="6" t="inlineStr">
        <is>
          <t>ОТ № ЮГОК ЭУ 23-01; ОТ № ЮГОК ЭУ 24-17; ОТ № ЮГОК ЭУ 25-01</t>
        </is>
      </c>
      <c r="K114" s="6" t="inlineStr">
        <is>
          <t>23.11.2023; 18.05.2024; 30.05.2025</t>
        </is>
      </c>
      <c r="L114" s="6" t="inlineStr">
        <is>
          <t>Успешно</t>
        </is>
      </c>
      <c r="M114" s="6" t="inlineStr">
        <is>
          <t>Пользовательский интерфейс</t>
        </is>
      </c>
      <c r="N114" s="7" t="n">
        <v>8</v>
      </c>
      <c r="O114" s="7" t="n">
        <v>3</v>
      </c>
      <c r="P114" s="7" t="n"/>
      <c r="Q114" s="175" t="n">
        <v>3</v>
      </c>
      <c r="R114" s="7" t="n"/>
      <c r="S114" s="7" t="n"/>
      <c r="T114" s="7" t="n"/>
      <c r="U114" s="7" t="n"/>
      <c r="V114" s="7" t="n"/>
      <c r="W114" s="7" t="n"/>
      <c r="X114" s="7" t="n"/>
      <c r="Y114" s="7" t="n"/>
      <c r="Z114" s="7" t="n"/>
      <c r="AA114" s="7" t="n"/>
      <c r="AB114" s="175" t="n">
        <v>2</v>
      </c>
      <c r="AC114" s="175" t="n">
        <v>3</v>
      </c>
    </row>
    <row r="115">
      <c r="A115" s="6" t="inlineStr">
        <is>
          <t>работник 28</t>
        </is>
      </c>
      <c r="B115" s="6" t="inlineStr">
        <is>
          <t>Электрогазосварщик</t>
        </is>
      </c>
      <c r="C115" s="6" t="inlineStr">
        <is>
          <t>Электрогазосварщик | Электрогазосварщик (занятый на резке и ручной сварке)</t>
        </is>
      </c>
      <c r="D115" s="6" t="inlineStr">
        <is>
          <t>ОБЩЕСТВО С ОГРАНИЧЕННОЙ ОТВЕТСТВЕННОСТЬЮ "АМУР ЗОЛОТО"</t>
        </is>
      </c>
      <c r="E115" s="6" t="inlineStr">
        <is>
          <t>2708001686</t>
        </is>
      </c>
      <c r="F115" s="6" t="inlineStr">
        <is>
          <t>ООО "Амур Золото"</t>
        </is>
      </c>
      <c r="G115" s="6" t="inlineStr">
        <is>
          <t>2708001686</t>
        </is>
      </c>
      <c r="H115" s="6" t="inlineStr">
        <is>
          <t>37117307; 37117308; 37117309; 37117310; 37117311; 37117312; 96539124; 96539125; 96539126; 96539127; 96539128; 96539129</t>
        </is>
      </c>
      <c r="I115" s="6" t="inlineStr">
        <is>
          <t>2978778; 7135797</t>
        </is>
      </c>
      <c r="J115" s="6" t="inlineStr">
        <is>
          <t>ОТ № ЮГОК ЗИОФ 23-02; ОТ № ЮГОК ЗИОФ 24-41</t>
        </is>
      </c>
      <c r="K115" s="6" t="inlineStr">
        <is>
          <t>24.11.2023; 10.12.2024</t>
        </is>
      </c>
      <c r="L115" s="6" t="inlineStr">
        <is>
          <t>Успешно</t>
        </is>
      </c>
      <c r="M115" s="6" t="inlineStr">
        <is>
          <t>Пользовательский интерфейс</t>
        </is>
      </c>
      <c r="N115" s="7" t="n">
        <v>12</v>
      </c>
      <c r="O115" s="7" t="n">
        <v>6</v>
      </c>
      <c r="P115" s="7" t="n"/>
      <c r="Q115" s="7" t="n"/>
      <c r="R115" s="175" t="n">
        <v>2</v>
      </c>
      <c r="S115" s="175" t="n">
        <v>2</v>
      </c>
      <c r="T115" s="175" t="n">
        <v>2</v>
      </c>
      <c r="U115" s="175" t="n">
        <v>2</v>
      </c>
      <c r="V115" s="175" t="n">
        <v>2</v>
      </c>
      <c r="W115" s="175" t="n">
        <v>2</v>
      </c>
      <c r="X115" s="7" t="n"/>
      <c r="Y115" s="7" t="n"/>
      <c r="Z115" s="7" t="n"/>
      <c r="AA115" s="7" t="n"/>
      <c r="AB115" s="7" t="n"/>
      <c r="AC115" s="7" t="n"/>
    </row>
    <row r="116">
      <c r="A116" s="6" t="inlineStr">
        <is>
          <t>работник 752</t>
        </is>
      </c>
      <c r="B116" s="6" t="inlineStr">
        <is>
          <t>Фильтровальщик</t>
        </is>
      </c>
      <c r="C116" s="6" t="inlineStr">
        <is>
          <t>Фильтровальщик</t>
        </is>
      </c>
      <c r="D116" s="6" t="inlineStr">
        <is>
          <t>ОБЩЕСТВО С ОГРАНИЧЕННОЙ ОТВЕТСТВЕННОСТЬЮ "АМУР ЗОЛОТО"</t>
        </is>
      </c>
      <c r="E116" s="6" t="inlineStr">
        <is>
          <t>2708001686</t>
        </is>
      </c>
      <c r="F116" s="6" t="inlineStr">
        <is>
          <t>ООО "Амур Золото"</t>
        </is>
      </c>
      <c r="G116" s="6" t="inlineStr">
        <is>
          <t>2708001686</t>
        </is>
      </c>
      <c r="H116" s="6" t="inlineStr">
        <is>
          <t>200896980; 200896981; 200896982; 200896983; 200896984; 214421213; 214421214; 214421215</t>
        </is>
      </c>
      <c r="I116" s="6" t="inlineStr">
        <is>
          <t>14513218; 15411209</t>
        </is>
      </c>
      <c r="J116" s="6" t="inlineStr">
        <is>
          <t>ЮГОК ЗИОФ 26-01; ЮГОК ЗИОФ 26-28</t>
        </is>
      </c>
      <c r="K116" s="6" t="inlineStr">
        <is>
          <t>05.06.2026; 29.07.2026</t>
        </is>
      </c>
      <c r="L116" s="6" t="inlineStr">
        <is>
          <t>Успешно</t>
        </is>
      </c>
      <c r="M116" s="6" t="inlineStr">
        <is>
          <t>Пользовательский интерфейс</t>
        </is>
      </c>
      <c r="N116" s="7" t="n">
        <v>8</v>
      </c>
      <c r="O116" s="7" t="n">
        <v>3</v>
      </c>
      <c r="P116" s="7" t="n"/>
      <c r="Q116" s="175" t="n">
        <v>2</v>
      </c>
      <c r="R116" s="7" t="n">
        <v>1</v>
      </c>
      <c r="S116" s="7" t="n"/>
      <c r="T116" s="7" t="n">
        <v>1</v>
      </c>
      <c r="U116" s="7" t="n"/>
      <c r="V116" s="7" t="n"/>
      <c r="W116" s="7" t="n"/>
      <c r="X116" s="7" t="n"/>
      <c r="Y116" s="7" t="n"/>
      <c r="Z116" s="7" t="n"/>
      <c r="AA116" s="7" t="n"/>
      <c r="AB116" s="175" t="n">
        <v>2</v>
      </c>
      <c r="AC116" s="175" t="n">
        <v>2</v>
      </c>
    </row>
    <row r="117">
      <c r="A117" s="6" t="inlineStr">
        <is>
          <t>работник 508</t>
        </is>
      </c>
      <c r="B117" s="6" t="inlineStr">
        <is>
          <t>Горнорабочий на маркшейдерских работах | Горнорабочий на геологических работах | Помощник машиниста самоходной буровой установки (с исполнением обязанностей пробоотборщика) (Очистное) | Помощник машиниста самоходной буровой установки (с исполнением обязанностей пробоотборщика)</t>
        </is>
      </c>
      <c r="C117" s="6" t="inlineStr">
        <is>
          <t>Горнорабочиий на маркшейдерских работах | Горнорабочий на геологических работах | Помощник машиниста самоходной буровой установки (с исполнением обязанностей пробоотборщика) (Очистное) | Помощник машиниста самоходной буровой установки (с исполнением обязанностей пробоотборщика)</t>
        </is>
      </c>
      <c r="D117" s="6" t="inlineStr">
        <is>
          <t>ОБЩЕСТВО С ОГРАНИЧЕННОЙ ОТВЕТСТВЕННОСТЬЮ "АМУР ЗОЛОТО"</t>
        </is>
      </c>
      <c r="E117" s="6" t="inlineStr">
        <is>
          <t>2708001686</t>
        </is>
      </c>
      <c r="F117" s="6" t="inlineStr">
        <is>
          <t>ООО "Амур Золото"</t>
        </is>
      </c>
      <c r="G117" s="6" t="inlineStr">
        <is>
          <t>2708001686</t>
        </is>
      </c>
      <c r="H117" s="6" t="inlineStr">
        <is>
          <t>99714068; 99714082; 144713845; 144713846; 148627014; 148627015; 214421426; 214421427; 214421428</t>
        </is>
      </c>
      <c r="I117" s="6" t="inlineStr">
        <is>
          <t>7576385; 10845617; 11125717; 15411209</t>
        </is>
      </c>
      <c r="J117" s="6" t="inlineStr">
        <is>
          <t>ОТ № ЮГОК ГМО 24-04; ОТ №ЮГОК ГМО 24-04; ОТ № ЮГОК ГМО 25-05; ОТ № ЮГОК ПГУ 37-25; ЮГОК ПГУ 26-30</t>
        </is>
      </c>
      <c r="K117" s="6" t="inlineStr">
        <is>
          <t>25.12.2024; 08.09.2025; 02.10.2025; 26.07.2026</t>
        </is>
      </c>
      <c r="L117" s="6" t="inlineStr">
        <is>
          <t>Успешно</t>
        </is>
      </c>
      <c r="M117" s="6" t="inlineStr">
        <is>
          <t>Пользовательский интерфейс</t>
        </is>
      </c>
      <c r="N117" s="7" t="n">
        <v>9</v>
      </c>
      <c r="O117" s="7" t="n">
        <v>2</v>
      </c>
      <c r="P117" s="7" t="n"/>
      <c r="Q117" s="175" t="n">
        <v>4</v>
      </c>
      <c r="R117" s="7" t="n"/>
      <c r="S117" s="7" t="n"/>
      <c r="T117" s="7" t="n"/>
      <c r="U117" s="7" t="n"/>
      <c r="V117" s="7" t="n"/>
      <c r="W117" s="7" t="n"/>
      <c r="X117" s="7" t="n"/>
      <c r="Y117" s="7" t="n"/>
      <c r="Z117" s="7" t="n"/>
      <c r="AA117" s="7" t="n"/>
      <c r="AB117" s="7" t="n">
        <v>1</v>
      </c>
      <c r="AC117" s="175" t="n">
        <v>4</v>
      </c>
    </row>
    <row r="118">
      <c r="A118" s="6" t="inlineStr">
        <is>
          <t>работник 451</t>
        </is>
      </c>
      <c r="B118" s="6" t="inlineStr">
        <is>
          <t>Фильтровальщик | Монтажник по монтажу стальных и железобетонных конструкций | Аппаратчик-гидрометаллург</t>
        </is>
      </c>
      <c r="C118" s="6" t="inlineStr">
        <is>
          <t>Фильтровальщик | Монтажник по монтажу стальных и железобетонных конструкций | Аппаратчик-гидрометаллург</t>
        </is>
      </c>
      <c r="D118" s="6" t="inlineStr">
        <is>
          <t>ОБЩЕСТВО С ОГРАНИЧЕННОЙ ОТВЕТСТВЕННОСТЬЮ "АМУР ЗОЛОТО"</t>
        </is>
      </c>
      <c r="E118" s="6" t="inlineStr">
        <is>
          <t>2708001686</t>
        </is>
      </c>
      <c r="F118" s="6" t="inlineStr">
        <is>
          <t>ООО "Амур Золото"</t>
        </is>
      </c>
      <c r="G118" s="6" t="inlineStr">
        <is>
          <t>2708001686</t>
        </is>
      </c>
      <c r="H118" s="6" t="inlineStr">
        <is>
          <t>85344324; 85344325; 197822324; 197822325; 214421280; 214421281; 214421282</t>
        </is>
      </c>
      <c r="I118" s="6" t="inlineStr">
        <is>
          <t>6554154; 14313480; 15411209</t>
        </is>
      </c>
      <c r="J118" s="6" t="inlineStr">
        <is>
          <t>ОТ № ЮГОК ЗИОФ 24-34; ЮГОК ОКС (РСУ) 26-01; ЮГОК ЗИОФ 26-34</t>
        </is>
      </c>
      <c r="K118" s="6" t="inlineStr">
        <is>
          <t>25.10.2024; 23.05.2026; 29.07.2026</t>
        </is>
      </c>
      <c r="L118" s="6" t="inlineStr">
        <is>
          <t>Успешно</t>
        </is>
      </c>
      <c r="M118" s="6" t="inlineStr">
        <is>
          <t>Пользовательский интерфейс</t>
        </is>
      </c>
      <c r="N118" s="7" t="n">
        <v>7</v>
      </c>
      <c r="O118" s="7" t="n">
        <v>2</v>
      </c>
      <c r="P118" s="7" t="n"/>
      <c r="Q118" s="175" t="n">
        <v>3</v>
      </c>
      <c r="R118" s="7" t="n"/>
      <c r="S118" s="7" t="n"/>
      <c r="T118" s="7" t="n"/>
      <c r="U118" s="7" t="n"/>
      <c r="V118" s="7" t="n"/>
      <c r="W118" s="7" t="n"/>
      <c r="X118" s="7" t="n"/>
      <c r="Y118" s="7" t="n"/>
      <c r="Z118" s="7" t="n"/>
      <c r="AA118" s="7" t="n"/>
      <c r="AB118" s="7" t="n">
        <v>1</v>
      </c>
      <c r="AC118" s="175" t="n">
        <v>3</v>
      </c>
    </row>
    <row r="119">
      <c r="A119" s="6" t="inlineStr">
        <is>
          <t>работник 652</t>
        </is>
      </c>
      <c r="B119" s="6" t="inlineStr">
        <is>
          <t>Электрогазосварщик</t>
        </is>
      </c>
      <c r="C119" s="6" t="inlineStr">
        <is>
          <t>Электрогазосварщик | Электрогазосварщик (занятый на резке и ручной сварке)</t>
        </is>
      </c>
      <c r="D119" s="6" t="inlineStr">
        <is>
          <t>ОБЩЕСТВО С ОГРАНИЧЕННОЙ ОТВЕТСТВЕННОСТЬЮ "АМУР ЗОЛОТО"</t>
        </is>
      </c>
      <c r="E119" s="6" t="inlineStr">
        <is>
          <t>2708001686</t>
        </is>
      </c>
      <c r="F119" s="6" t="inlineStr">
        <is>
          <t>ООО "Амур Золото"</t>
        </is>
      </c>
      <c r="G119" s="6" t="inlineStr">
        <is>
          <t>2708001686</t>
        </is>
      </c>
      <c r="H119" s="6" t="inlineStr">
        <is>
          <t>175826232; 175826233; 200897055; 200897056; 200897057; 200897058</t>
        </is>
      </c>
      <c r="I119" s="6" t="inlineStr">
        <is>
          <t>12935952; 14513218</t>
        </is>
      </c>
      <c r="J119" s="6" t="inlineStr">
        <is>
          <t>ОТ № ЮГОК ПГУ 26-19; ЮГОК ПГУ 26-01</t>
        </is>
      </c>
      <c r="K119" s="6" t="inlineStr">
        <is>
          <t>19.02.2026; 04.06.2026</t>
        </is>
      </c>
      <c r="L119" s="6" t="inlineStr">
        <is>
          <t>Успешно</t>
        </is>
      </c>
      <c r="M119" s="6" t="inlineStr">
        <is>
          <t>Пользовательский интерфейс</t>
        </is>
      </c>
      <c r="N119" s="7" t="n">
        <v>6</v>
      </c>
      <c r="O119" s="7" t="n">
        <v>2</v>
      </c>
      <c r="P119" s="7" t="n"/>
      <c r="Q119" s="175" t="n">
        <v>2</v>
      </c>
      <c r="R119" s="7" t="n"/>
      <c r="S119" s="7" t="n">
        <v>1</v>
      </c>
      <c r="T119" s="7" t="n"/>
      <c r="U119" s="7" t="n"/>
      <c r="V119" s="7" t="n"/>
      <c r="W119" s="7" t="n"/>
      <c r="X119" s="7" t="n"/>
      <c r="Y119" s="7" t="n"/>
      <c r="Z119" s="7" t="n"/>
      <c r="AA119" s="7" t="n"/>
      <c r="AB119" s="7" t="n">
        <v>1</v>
      </c>
      <c r="AC119" s="175" t="n">
        <v>2</v>
      </c>
    </row>
    <row r="120">
      <c r="A120" s="6" t="inlineStr">
        <is>
          <t>работник 353</t>
        </is>
      </c>
      <c r="B120" s="6" t="inlineStr">
        <is>
          <t>Машинист двигателей внутреннего сгорания</t>
        </is>
      </c>
      <c r="C120" s="6" t="inlineStr">
        <is>
          <t>Машинист двигателей внутреннего сгорания</t>
        </is>
      </c>
      <c r="D120" s="6" t="inlineStr">
        <is>
          <t>ОБЩЕСТВО С ОГРАНИЧЕННОЙ ОТВЕТСТВЕННОСТЬЮ "АМУР ЗОЛОТО"</t>
        </is>
      </c>
      <c r="E120" s="6" t="inlineStr">
        <is>
          <t>2708001686</t>
        </is>
      </c>
      <c r="F120" s="6" t="inlineStr">
        <is>
          <t>ООО "Амур Золото"</t>
        </is>
      </c>
      <c r="G120" s="6" t="inlineStr">
        <is>
          <t>2708001686</t>
        </is>
      </c>
      <c r="H120" s="6" t="inlineStr">
        <is>
          <t>58069267; 58069268; 58069269; 222717331; 222717332; 222717333</t>
        </is>
      </c>
      <c r="I120" s="6" t="inlineStr">
        <is>
          <t>4506532; 15953442</t>
        </is>
      </c>
      <c r="J120" s="6" t="inlineStr">
        <is>
          <t>ОТ № ЮГОК ЭУ 24-16; ЮГОК ЭУ 26-20</t>
        </is>
      </c>
      <c r="K120" s="6" t="inlineStr">
        <is>
          <t>12.04.2024; 23.08.2026</t>
        </is>
      </c>
      <c r="L120" s="6" t="inlineStr">
        <is>
          <t>Успешно</t>
        </is>
      </c>
      <c r="M120" s="6" t="inlineStr">
        <is>
          <t>Пользовательский интерфейс</t>
        </is>
      </c>
      <c r="N120" s="7" t="n">
        <v>6</v>
      </c>
      <c r="O120" s="7" t="n">
        <v>3</v>
      </c>
      <c r="P120" s="7" t="n"/>
      <c r="Q120" s="175" t="n">
        <v>2</v>
      </c>
      <c r="R120" s="7" t="n"/>
      <c r="S120" s="7" t="n"/>
      <c r="T120" s="7" t="n"/>
      <c r="U120" s="7" t="n"/>
      <c r="V120" s="7" t="n"/>
      <c r="W120" s="7" t="n"/>
      <c r="X120" s="7" t="n"/>
      <c r="Y120" s="7" t="n"/>
      <c r="Z120" s="7" t="n"/>
      <c r="AA120" s="7" t="n"/>
      <c r="AB120" s="175" t="n">
        <v>2</v>
      </c>
      <c r="AC120" s="175" t="n">
        <v>2</v>
      </c>
    </row>
    <row r="121">
      <c r="A121" s="6" t="inlineStr">
        <is>
          <t>работник 436</t>
        </is>
      </c>
      <c r="B121" s="6" t="inlineStr">
        <is>
          <t>Дробильщик</t>
        </is>
      </c>
      <c r="C121" s="6" t="inlineStr">
        <is>
          <t>Дробильщик</t>
        </is>
      </c>
      <c r="D121" s="6" t="inlineStr">
        <is>
          <t>ОБЩЕСТВО С ОГРАНИЧЕННОЙ ОТВЕТСТВЕННОСТЬЮ "АМУР ЗОЛОТО"</t>
        </is>
      </c>
      <c r="E121" s="6" t="inlineStr">
        <is>
          <t>2708001686</t>
        </is>
      </c>
      <c r="F121" s="6" t="inlineStr">
        <is>
          <t>ООО "Амур Золото"</t>
        </is>
      </c>
      <c r="G121" s="6" t="inlineStr">
        <is>
          <t>2708001686</t>
        </is>
      </c>
      <c r="H121" s="6" t="inlineStr">
        <is>
          <t>85344294; 85344295; 90580088; 214421258; 214421259; 214421260</t>
        </is>
      </c>
      <c r="I121" s="6" t="inlineStr">
        <is>
          <t>6554154; 6934388; 15411209</t>
        </is>
      </c>
      <c r="J121" s="6" t="inlineStr">
        <is>
          <t>ОТ № ЮГОК ЗИОФ 24-33; ОТ № ЮГОК ЗИОФ 24-38; ЮГОК ЗИОФ 26-31</t>
        </is>
      </c>
      <c r="K121" s="6" t="inlineStr">
        <is>
          <t>25.10.2024; 25.11.2024; 29.07.2026</t>
        </is>
      </c>
      <c r="L121" s="6" t="inlineStr">
        <is>
          <t>Успешно</t>
        </is>
      </c>
      <c r="M121" s="6" t="inlineStr">
        <is>
          <t>Пользовательский интерфейс</t>
        </is>
      </c>
      <c r="N121" s="7" t="n">
        <v>6</v>
      </c>
      <c r="O121" s="7" t="n">
        <v>2</v>
      </c>
      <c r="P121" s="7" t="n"/>
      <c r="Q121" s="175" t="n">
        <v>3</v>
      </c>
      <c r="R121" s="7" t="n"/>
      <c r="S121" s="7" t="n"/>
      <c r="T121" s="7" t="n"/>
      <c r="U121" s="7" t="n"/>
      <c r="V121" s="7" t="n"/>
      <c r="W121" s="7" t="n"/>
      <c r="X121" s="7" t="n"/>
      <c r="Y121" s="7" t="n"/>
      <c r="Z121" s="7" t="n"/>
      <c r="AA121" s="7" t="n"/>
      <c r="AB121" s="7" t="n">
        <v>1</v>
      </c>
      <c r="AC121" s="175" t="n">
        <v>2</v>
      </c>
    </row>
    <row r="122">
      <c r="A122" s="6" t="inlineStr">
        <is>
          <t>работник 770</t>
        </is>
      </c>
      <c r="B122" s="6" t="inlineStr">
        <is>
          <t>Машинист погрузочно-доставочной машины</t>
        </is>
      </c>
      <c r="C122" s="6" t="inlineStr">
        <is>
          <t>Машинист погрузочно-доставочной машины</t>
        </is>
      </c>
      <c r="D122" s="6" t="inlineStr">
        <is>
          <t>ОБЩЕСТВО С ОГРАНИЧЕННОЙ ОТВЕТСТВЕННОСТЬЮ "АМУР ЗОЛОТО"</t>
        </is>
      </c>
      <c r="E122" s="6" t="inlineStr">
        <is>
          <t>2708001686</t>
        </is>
      </c>
      <c r="F122" s="6" t="inlineStr">
        <is>
          <t>ООО "Амур Золото"</t>
        </is>
      </c>
      <c r="G122" s="6" t="inlineStr">
        <is>
          <t>2708001686</t>
        </is>
      </c>
      <c r="H122" s="6" t="inlineStr">
        <is>
          <t>200897081; 200897082; 200897083; 214421395; 214421396; 214421397</t>
        </is>
      </c>
      <c r="I122" s="6" t="inlineStr">
        <is>
          <t>14513218; 15411209</t>
        </is>
      </c>
      <c r="J122" s="6" t="inlineStr">
        <is>
          <t>ЮГОК ПГУ 26-01; ЮГОК ПГУ 26-28</t>
        </is>
      </c>
      <c r="K122" s="6" t="inlineStr">
        <is>
          <t>04.06.2026; 23.07.2026</t>
        </is>
      </c>
      <c r="L122" s="6" t="inlineStr">
        <is>
          <t>Успешно</t>
        </is>
      </c>
      <c r="M122" s="6" t="inlineStr">
        <is>
          <t>Пользовательский интерфейс</t>
        </is>
      </c>
      <c r="N122" s="7" t="n">
        <v>6</v>
      </c>
      <c r="O122" s="7" t="n">
        <v>3</v>
      </c>
      <c r="P122" s="7" t="n"/>
      <c r="Q122" s="175" t="n">
        <v>2</v>
      </c>
      <c r="R122" s="7" t="n"/>
      <c r="S122" s="7" t="n"/>
      <c r="T122" s="7" t="n"/>
      <c r="U122" s="7" t="n"/>
      <c r="V122" s="7" t="n"/>
      <c r="W122" s="7" t="n"/>
      <c r="X122" s="7" t="n"/>
      <c r="Y122" s="7" t="n"/>
      <c r="Z122" s="7" t="n"/>
      <c r="AA122" s="7" t="n"/>
      <c r="AB122" s="175" t="n">
        <v>2</v>
      </c>
      <c r="AC122" s="175" t="n">
        <v>2</v>
      </c>
    </row>
    <row r="123">
      <c r="A123" s="6" t="inlineStr">
        <is>
          <t>работник 517</t>
        </is>
      </c>
      <c r="B123" s="6" t="inlineStr">
        <is>
          <t>Водитель автомобиля (категория Д)</t>
        </is>
      </c>
      <c r="C123" s="6" t="inlineStr">
        <is>
          <t>Водитель автомобиля (категория D)</t>
        </is>
      </c>
      <c r="D123" s="6" t="inlineStr">
        <is>
          <t>ОБЩЕСТВО С ОГРАНИЧЕННОЙ ОТВЕТСТВЕННОСТЬЮ "АМУР ЗОЛОТО"</t>
        </is>
      </c>
      <c r="E123" s="6" t="inlineStr">
        <is>
          <t>2708001686</t>
        </is>
      </c>
      <c r="F123" s="6" t="inlineStr">
        <is>
          <t>ООО "Амур Золото"</t>
        </is>
      </c>
      <c r="G123" s="6" t="inlineStr">
        <is>
          <t>2708001686</t>
        </is>
      </c>
      <c r="H123" s="6" t="inlineStr">
        <is>
          <t>110446261; 110446262; 222717157; 222717158; 222717159</t>
        </is>
      </c>
      <c r="I123" s="6" t="inlineStr">
        <is>
          <t>8371772; 15953442</t>
        </is>
      </c>
      <c r="J123" s="6" t="inlineStr">
        <is>
          <t>ОТ № ЮГОК АТЦ 25-04; ЮГОК АТЦ 26-16</t>
        </is>
      </c>
      <c r="K123" s="6" t="inlineStr">
        <is>
          <t>23.02.2025; 17.08.2026</t>
        </is>
      </c>
      <c r="L123" s="6" t="inlineStr">
        <is>
          <t>Успешно</t>
        </is>
      </c>
      <c r="M123" s="6" t="inlineStr">
        <is>
          <t>Пользовательский интерфейс</t>
        </is>
      </c>
      <c r="N123" s="7" t="n">
        <v>5</v>
      </c>
      <c r="O123" s="7" t="n">
        <v>2</v>
      </c>
      <c r="P123" s="7" t="n"/>
      <c r="Q123" s="175" t="n">
        <v>2</v>
      </c>
      <c r="R123" s="7" t="n"/>
      <c r="S123" s="7" t="n"/>
      <c r="T123" s="7" t="n"/>
      <c r="U123" s="7" t="n"/>
      <c r="V123" s="7" t="n"/>
      <c r="W123" s="7" t="n"/>
      <c r="X123" s="7" t="n"/>
      <c r="Y123" s="7" t="n"/>
      <c r="Z123" s="7" t="n"/>
      <c r="AA123" s="7" t="n"/>
      <c r="AB123" s="7" t="n">
        <v>1</v>
      </c>
      <c r="AC123" s="175" t="n">
        <v>2</v>
      </c>
    </row>
    <row r="124">
      <c r="A124" s="6" t="inlineStr">
        <is>
          <t>работник 167</t>
        </is>
      </c>
      <c r="B124" s="6" t="inlineStr">
        <is>
          <t>Машинист подземно-доставочной машины | Машинист погрузочно-доставочной машины (занятый на транспортировании горной массы в технологическом процессе)</t>
        </is>
      </c>
      <c r="C124" s="6" t="inlineStr">
        <is>
          <t>Машинист подземно-доставочной машины | Машинист погрузочно-доставочной машины (занятый на транспортировании горной массы в технологическом процессе)</t>
        </is>
      </c>
      <c r="D124" s="6" t="inlineStr">
        <is>
          <t>ОБЩЕСТВО С ОГРАНИЧЕННОЙ ОТВЕТСТВЕННОСТЬЮ "АМУР ЗОЛОТО"</t>
        </is>
      </c>
      <c r="E124" s="6" t="inlineStr">
        <is>
          <t>2708001686</t>
        </is>
      </c>
      <c r="F124" s="6" t="inlineStr">
        <is>
          <t>ООО "Амур Золото"</t>
        </is>
      </c>
      <c r="G124" s="6" t="inlineStr">
        <is>
          <t>2708001686</t>
        </is>
      </c>
      <c r="H124" s="6" t="inlineStr">
        <is>
          <t>37117798; 37117799; 37117800; 87544974; 87544975</t>
        </is>
      </c>
      <c r="I124" s="6" t="inlineStr">
        <is>
          <t>2978778; 6719954</t>
        </is>
      </c>
      <c r="J124" s="6" t="inlineStr">
        <is>
          <t>ОТ № ЮГОК ПГУ 24-01; ОТ № ЮГОК ПГУ 24-23</t>
        </is>
      </c>
      <c r="K124" s="6" t="inlineStr">
        <is>
          <t>19.01.2024; 12.11.2024</t>
        </is>
      </c>
      <c r="L124" s="6" t="inlineStr">
        <is>
          <t>Успешно</t>
        </is>
      </c>
      <c r="M124" s="6" t="inlineStr">
        <is>
          <t>Пользовательский интерфейс</t>
        </is>
      </c>
      <c r="N124" s="7" t="n">
        <v>5</v>
      </c>
      <c r="O124" s="7" t="n">
        <v>2</v>
      </c>
      <c r="P124" s="7" t="n"/>
      <c r="Q124" s="175" t="n">
        <v>2</v>
      </c>
      <c r="R124" s="7" t="n"/>
      <c r="S124" s="7" t="n"/>
      <c r="T124" s="7" t="n"/>
      <c r="U124" s="7" t="n"/>
      <c r="V124" s="7" t="n"/>
      <c r="W124" s="7" t="n"/>
      <c r="X124" s="7" t="n"/>
      <c r="Y124" s="7" t="n"/>
      <c r="Z124" s="7" t="n"/>
      <c r="AA124" s="7" t="n"/>
      <c r="AB124" s="7" t="n">
        <v>1</v>
      </c>
      <c r="AC124" s="175" t="n">
        <v>2</v>
      </c>
    </row>
    <row r="125">
      <c r="A125" s="6" t="inlineStr">
        <is>
          <t>работник 70</t>
        </is>
      </c>
      <c r="B125" s="6" t="inlineStr">
        <is>
          <t>Подсобный рабочий | Оператор дизельных котлов</t>
        </is>
      </c>
      <c r="C125" s="6" t="inlineStr">
        <is>
          <t>Подсобный рабочий | Оператор дизельных котлов</t>
        </is>
      </c>
      <c r="D125" s="6" t="inlineStr">
        <is>
          <t>ОБЩЕСТВО С ОГРАНИЧЕННОЙ ОТВЕТСТВЕННОСТЬЮ "АМУР ЗОЛОТО"</t>
        </is>
      </c>
      <c r="E125" s="6" t="inlineStr">
        <is>
          <t>2708001686</t>
        </is>
      </c>
      <c r="F125" s="6" t="inlineStr">
        <is>
          <t>ООО "Амур Золото"</t>
        </is>
      </c>
      <c r="G125" s="6" t="inlineStr">
        <is>
          <t>2708001686</t>
        </is>
      </c>
      <c r="H125" s="6" t="inlineStr">
        <is>
          <t>37117441; 37117442; 37117443; 85344344; 85344345; 222717323; 222717324; 222717325</t>
        </is>
      </c>
      <c r="I125" s="6" t="inlineStr">
        <is>
          <t>2978778; 6554154; 15953442</t>
        </is>
      </c>
      <c r="J125" s="6" t="inlineStr">
        <is>
          <t>ОТ № ЮГОК УОП 23-01; ОТ № ЮГОК ЭУ 24-26; ЮГОК ЭУ 26-19</t>
        </is>
      </c>
      <c r="K125" s="6" t="inlineStr">
        <is>
          <t>30.11.2023; 20.10.2024; 23.08.2026</t>
        </is>
      </c>
      <c r="L125" s="6" t="inlineStr">
        <is>
          <t>Успешно</t>
        </is>
      </c>
      <c r="M125" s="6" t="inlineStr">
        <is>
          <t>Пользовательский интерфейс</t>
        </is>
      </c>
      <c r="N125" s="7" t="n">
        <v>8</v>
      </c>
      <c r="O125" s="7" t="n">
        <v>3</v>
      </c>
      <c r="P125" s="7" t="n"/>
      <c r="Q125" s="175" t="n">
        <v>3</v>
      </c>
      <c r="R125" s="7" t="n"/>
      <c r="S125" s="7" t="n"/>
      <c r="T125" s="7" t="n"/>
      <c r="U125" s="7" t="n"/>
      <c r="V125" s="7" t="n"/>
      <c r="W125" s="7" t="n"/>
      <c r="X125" s="7" t="n"/>
      <c r="Y125" s="7" t="n"/>
      <c r="Z125" s="7" t="n"/>
      <c r="AA125" s="7" t="n"/>
      <c r="AB125" s="175" t="n">
        <v>2</v>
      </c>
      <c r="AC125" s="175" t="n">
        <v>3</v>
      </c>
    </row>
    <row r="126">
      <c r="A126" s="6" t="inlineStr">
        <is>
          <t>работник 31</t>
        </is>
      </c>
      <c r="B126" s="6" t="inlineStr">
        <is>
          <t>Электромонтер | Электромонтер по ремонту и обслуживанию электрооборудования</t>
        </is>
      </c>
      <c r="C126" s="6" t="inlineStr">
        <is>
          <t>Электромантер | Электромонтер по ремонту и обслуживанию электрооборудования | Электромонтер по ремонту и обслуживанию электрооборудованию</t>
        </is>
      </c>
      <c r="D126" s="6" t="inlineStr">
        <is>
          <t>ОБЩЕСТВО С ОГРАНИЧЕННОЙ ОТВЕТСТВЕННОСТЬЮ "АМУР ЗОЛОТО"</t>
        </is>
      </c>
      <c r="E126" s="6" t="inlineStr">
        <is>
          <t>2708001686</t>
        </is>
      </c>
      <c r="F126" s="6" t="inlineStr">
        <is>
          <t>ООО "Амур Золото"</t>
        </is>
      </c>
      <c r="G126" s="6" t="inlineStr">
        <is>
          <t>2708001686</t>
        </is>
      </c>
      <c r="H126" s="6" t="inlineStr">
        <is>
          <t>37117321; 37117322; 85344282; 85344283; 90580098; 96539154; 96539155; 96539156; 96539157; 96539158; 96539159; 214421295; 214421296; 214421297</t>
        </is>
      </c>
      <c r="I126" s="6" t="inlineStr">
        <is>
          <t>2978778; 6554154; 6934388; 7135797; 15411209</t>
        </is>
      </c>
      <c r="J126" s="6" t="inlineStr">
        <is>
          <t>ОТ № ЮГОК ЗИОФ 23-03; ОТ № ЮГОК ЗИОФ 24-33; ОТ № ЮГОК ЗИОФ 24-38; ОТ № ЮГОК ЗИОФ 24-42; ЮГОК ЗИОФ 26-36</t>
        </is>
      </c>
      <c r="K126" s="6" t="inlineStr">
        <is>
          <t>24.11.2023; 25.10.2024; 25.11.2024; 10.12.2024; 29.07.2026</t>
        </is>
      </c>
      <c r="L126" s="6" t="inlineStr">
        <is>
          <t>Успешно</t>
        </is>
      </c>
      <c r="M126" s="6" t="inlineStr">
        <is>
          <t>Пользовательский интерфейс</t>
        </is>
      </c>
      <c r="N126" s="7" t="n">
        <v>14</v>
      </c>
      <c r="O126" s="7" t="n">
        <v>3</v>
      </c>
      <c r="P126" s="7" t="n"/>
      <c r="Q126" s="175" t="n">
        <v>3</v>
      </c>
      <c r="R126" s="175" t="n">
        <v>2</v>
      </c>
      <c r="S126" s="7" t="n">
        <v>1</v>
      </c>
      <c r="T126" s="7" t="n">
        <v>1</v>
      </c>
      <c r="U126" s="7" t="n">
        <v>1</v>
      </c>
      <c r="V126" s="7" t="n">
        <v>1</v>
      </c>
      <c r="W126" s="7" t="n">
        <v>1</v>
      </c>
      <c r="X126" s="7" t="n">
        <v>1</v>
      </c>
      <c r="Y126" s="7" t="n"/>
      <c r="Z126" s="7" t="n"/>
      <c r="AA126" s="7" t="n"/>
      <c r="AB126" s="7" t="n">
        <v>1</v>
      </c>
      <c r="AC126" s="175" t="n">
        <v>2</v>
      </c>
    </row>
    <row r="127">
      <c r="A127" s="6" t="inlineStr">
        <is>
          <t>работник 132</t>
        </is>
      </c>
      <c r="B127" s="6" t="inlineStr">
        <is>
          <t>Электрогазосварщик</t>
        </is>
      </c>
      <c r="C127" s="6" t="inlineStr">
        <is>
          <t>Электрогазосварщик | Электрогазосварщик (занятый на резке и ручной сварке) | Электрогазосварщик, занятый на резке и ручной сварке</t>
        </is>
      </c>
      <c r="D127" s="6" t="inlineStr">
        <is>
          <t>ОБЩЕСТВО С ОГРАНИЧЕННОЙ ОТВЕТСТВЕННОСТЬЮ "АМУР ЗОЛОТО"</t>
        </is>
      </c>
      <c r="E127" s="6" t="inlineStr">
        <is>
          <t>2708001686</t>
        </is>
      </c>
      <c r="F127" s="6" t="inlineStr">
        <is>
          <t>ООО "Амур Золото"</t>
        </is>
      </c>
      <c r="G127" s="6" t="inlineStr">
        <is>
          <t>2708001686</t>
        </is>
      </c>
      <c r="H127" s="6" t="inlineStr">
        <is>
          <t>37117660; 37117661; 37117662; 37117687; 37117688; 37117689; 37117690; 37117691; 37117692; 96539130; 96539131; 96539132; 96539133; 96539134; 96539135; 223282987; 223282988; 223282989</t>
        </is>
      </c>
      <c r="I127" s="6" t="inlineStr">
        <is>
          <t>2978778; 7135797; 15995643</t>
        </is>
      </c>
      <c r="J127" s="6" t="inlineStr">
        <is>
          <t>ОТ ЮГОК ЗИОФ 23-04; ОТ ЮГОК ЗИОФ 23-05; ОТ № ЮГОК ЗИОФ 24-41; ЮГОК ЗИОФ 26-49</t>
        </is>
      </c>
      <c r="K127" s="6" t="inlineStr">
        <is>
          <t>11.12.2023; 10.12.2024; 26.08.2026</t>
        </is>
      </c>
      <c r="L127" s="6" t="inlineStr">
        <is>
          <t>Успешно</t>
        </is>
      </c>
      <c r="M127" s="6" t="inlineStr">
        <is>
          <t>Пользовательский интерфейс</t>
        </is>
      </c>
      <c r="N127" s="7" t="n">
        <v>18</v>
      </c>
      <c r="O127" s="7" t="n">
        <v>9</v>
      </c>
      <c r="P127" s="7" t="n"/>
      <c r="Q127" s="175" t="n">
        <v>2</v>
      </c>
      <c r="R127" s="175" t="n">
        <v>2</v>
      </c>
      <c r="S127" s="175" t="n">
        <v>2</v>
      </c>
      <c r="T127" s="175" t="n">
        <v>2</v>
      </c>
      <c r="U127" s="175" t="n">
        <v>2</v>
      </c>
      <c r="V127" s="175" t="n">
        <v>2</v>
      </c>
      <c r="W127" s="175" t="n">
        <v>2</v>
      </c>
      <c r="X127" s="7" t="n"/>
      <c r="Y127" s="7" t="n"/>
      <c r="Z127" s="7" t="n"/>
      <c r="AA127" s="7" t="n"/>
      <c r="AB127" s="175" t="n">
        <v>2</v>
      </c>
      <c r="AC127" s="175" t="n">
        <v>2</v>
      </c>
    </row>
    <row r="128">
      <c r="A128" s="6" t="inlineStr">
        <is>
          <t>работник 133</t>
        </is>
      </c>
      <c r="B128" s="6" t="inlineStr">
        <is>
          <t>Электрогазосварщик</t>
        </is>
      </c>
      <c r="C128" s="6" t="inlineStr">
        <is>
          <t>Электрогазосварщик | Электрогазосварщик (занятый на резке и ручной сварке)</t>
        </is>
      </c>
      <c r="D128" s="6" t="inlineStr">
        <is>
          <t>ОБЩЕСТВО С ОГРАНИЧЕННОЙ ОТВЕТСТВЕННОСТЬЮ "АМУР ЗОЛОТО"</t>
        </is>
      </c>
      <c r="E128" s="6" t="inlineStr">
        <is>
          <t>2708001686</t>
        </is>
      </c>
      <c r="F128" s="6" t="inlineStr">
        <is>
          <t>ООО "Амур Золото"</t>
        </is>
      </c>
      <c r="G128" s="6" t="inlineStr">
        <is>
          <t>2708001686</t>
        </is>
      </c>
      <c r="H128" s="6" t="inlineStr">
        <is>
          <t>37117663; 37117664; 37117665; 37117693; 37117694; 37117695; 37117696; 37117697; 37117698; 96539136; 96539137; 96539138; 96539139; 96539140; 96539141; 193670789; 193670790; 200897024; 200897025; 200897026</t>
        </is>
      </c>
      <c r="I128" s="6" t="inlineStr">
        <is>
          <t>2978778; 7135797; 14012155; 14513218</t>
        </is>
      </c>
      <c r="J128" s="6" t="inlineStr">
        <is>
          <t>ОТ ЮГОК ЗИОФ 23-04; ОТ ЮГОК ЗИОФ 23-05; ОТ № ЮГОК ЗИОФ 24-41; ОТ № ЮГОК ЗИОФ 26-19; ЮГОК ЗИОФ 26-01</t>
        </is>
      </c>
      <c r="K128" s="6" t="inlineStr">
        <is>
          <t>11.12.2023; 10.12.2024; 02.05.2026; 05.06.2026</t>
        </is>
      </c>
      <c r="L128" s="6" t="inlineStr">
        <is>
          <t>Успешно</t>
        </is>
      </c>
      <c r="M128" s="6" t="inlineStr">
        <is>
          <t>Пользовательский интерфейс</t>
        </is>
      </c>
      <c r="N128" s="7" t="n">
        <v>20</v>
      </c>
      <c r="O128" s="7" t="n">
        <v>8</v>
      </c>
      <c r="P128" s="7" t="n"/>
      <c r="Q128" s="175" t="n">
        <v>2</v>
      </c>
      <c r="R128" s="175" t="n">
        <v>3</v>
      </c>
      <c r="S128" s="175" t="n">
        <v>3</v>
      </c>
      <c r="T128" s="175" t="n">
        <v>3</v>
      </c>
      <c r="U128" s="175" t="n">
        <v>2</v>
      </c>
      <c r="V128" s="175" t="n">
        <v>2</v>
      </c>
      <c r="W128" s="175" t="n">
        <v>2</v>
      </c>
      <c r="X128" s="7" t="n"/>
      <c r="Y128" s="7" t="n"/>
      <c r="Z128" s="7" t="n"/>
      <c r="AA128" s="7" t="n"/>
      <c r="AB128" s="7" t="n">
        <v>1</v>
      </c>
      <c r="AC128" s="175" t="n">
        <v>2</v>
      </c>
    </row>
    <row r="129">
      <c r="A129" s="6" t="inlineStr">
        <is>
          <t>работник 45</t>
        </is>
      </c>
      <c r="B129" s="6" t="inlineStr">
        <is>
          <t>Электромонтер по ремонту и обслуживанию электрооборудования | Электрогазосварщик</t>
        </is>
      </c>
      <c r="C129" s="6" t="inlineStr">
        <is>
          <t>Электромонтер по ремонту и обслуживанию электрооборудования | Электрогазосварщик (занятый на резке и ручной сварке)</t>
        </is>
      </c>
      <c r="D129" s="6" t="inlineStr">
        <is>
          <t>ОБЩЕСТВО С ОГРАНИЧЕННОЙ ОТВЕТСТВЕННОСТЬЮ "АМУР ЗОЛОТО"</t>
        </is>
      </c>
      <c r="E129" s="6" t="inlineStr">
        <is>
          <t>2708001686</t>
        </is>
      </c>
      <c r="F129" s="6" t="inlineStr">
        <is>
          <t>ООО "Амур Золото"</t>
        </is>
      </c>
      <c r="G129" s="6" t="inlineStr">
        <is>
          <t>2708001686</t>
        </is>
      </c>
      <c r="H129" s="6" t="inlineStr">
        <is>
          <t>37117363; 37117364; 37117365; 37117366; 37117367; 40476940; 40476941; 82311997; 82311998; 222717315; 222717317</t>
        </is>
      </c>
      <c r="I129" s="6" t="inlineStr">
        <is>
          <t>2978778; 3264049; 6330469; 15953442</t>
        </is>
      </c>
      <c r="J129" s="6" t="inlineStr">
        <is>
          <t>ОТ № ЮГОК ЭУ 23-01; ОТ № ЮГОК ЭУ 23-04; ОТ № ЮГОК ЭУ 23-02; ОТ №ЮГОК ПГУ 24-19; ЮГОК ЭУ 16-26</t>
        </is>
      </c>
      <c r="K129" s="6" t="inlineStr">
        <is>
          <t>23.11.2023; 30.11.2023; 29.11.2023; 22.09.2024; 22.08.2026</t>
        </is>
      </c>
      <c r="L129" s="6" t="inlineStr">
        <is>
          <t>Успешно</t>
        </is>
      </c>
      <c r="M129" s="6" t="inlineStr">
        <is>
          <t>Пользовательский интерфейс</t>
        </is>
      </c>
      <c r="N129" s="7" t="n">
        <v>11</v>
      </c>
      <c r="O129" s="7" t="n">
        <v>4</v>
      </c>
      <c r="P129" s="7" t="n"/>
      <c r="Q129" s="175" t="n">
        <v>3</v>
      </c>
      <c r="R129" s="175" t="n">
        <v>2</v>
      </c>
      <c r="S129" s="7" t="n"/>
      <c r="T129" s="7" t="n"/>
      <c r="U129" s="7" t="n"/>
      <c r="V129" s="7" t="n"/>
      <c r="W129" s="7" t="n"/>
      <c r="X129" s="175" t="n">
        <v>2</v>
      </c>
      <c r="Y129" s="7" t="n"/>
      <c r="Z129" s="7" t="n"/>
      <c r="AA129" s="7" t="n"/>
      <c r="AB129" s="7" t="n">
        <v>1</v>
      </c>
      <c r="AC129" s="175" t="n">
        <v>3</v>
      </c>
    </row>
    <row r="130">
      <c r="A130" s="6" t="inlineStr">
        <is>
          <t>работник 387</t>
        </is>
      </c>
      <c r="B130" s="6" t="inlineStr">
        <is>
          <t>Дробильщик</t>
        </is>
      </c>
      <c r="C130" s="6" t="inlineStr">
        <is>
          <t>Дробильщик</t>
        </is>
      </c>
      <c r="D130" s="6" t="inlineStr">
        <is>
          <t>ОБЩЕСТВО С ОГРАНИЧЕННОЙ ОТВЕТСТВЕННОСТЬЮ "АМУР ЗОЛОТО"</t>
        </is>
      </c>
      <c r="E130" s="6" t="inlineStr">
        <is>
          <t>2708001686</t>
        </is>
      </c>
      <c r="F130" s="6" t="inlineStr">
        <is>
          <t>ООО "Амур Золото"</t>
        </is>
      </c>
      <c r="G130" s="6" t="inlineStr">
        <is>
          <t>2708001686</t>
        </is>
      </c>
      <c r="H130" s="6" t="inlineStr">
        <is>
          <t>71599956; 71599957; 71599958; 214421249; 214421250; 214421251</t>
        </is>
      </c>
      <c r="I130" s="6" t="inlineStr">
        <is>
          <t>5518427; 15411209</t>
        </is>
      </c>
      <c r="J130" s="6" t="inlineStr">
        <is>
          <t>ОТ №ЮГОК ЗИОФ 24-35; ЮГОК ЗИОФ 26-31</t>
        </is>
      </c>
      <c r="K130" s="6" t="inlineStr">
        <is>
          <t>05.08.2024; 29.07.2026</t>
        </is>
      </c>
      <c r="L130" s="6" t="inlineStr">
        <is>
          <t>Успешно</t>
        </is>
      </c>
      <c r="M130" s="6" t="inlineStr">
        <is>
          <t>Пользовательский интерфейс</t>
        </is>
      </c>
      <c r="N130" s="7" t="n">
        <v>6</v>
      </c>
      <c r="O130" s="7" t="n">
        <v>3</v>
      </c>
      <c r="P130" s="7" t="n"/>
      <c r="Q130" s="175" t="n">
        <v>2</v>
      </c>
      <c r="R130" s="7" t="n"/>
      <c r="S130" s="7" t="n"/>
      <c r="T130" s="7" t="n"/>
      <c r="U130" s="7" t="n"/>
      <c r="V130" s="7" t="n"/>
      <c r="W130" s="7" t="n"/>
      <c r="X130" s="7" t="n"/>
      <c r="Y130" s="7" t="n"/>
      <c r="Z130" s="7" t="n"/>
      <c r="AA130" s="7" t="n"/>
      <c r="AB130" s="175" t="n">
        <v>2</v>
      </c>
      <c r="AC130" s="175" t="n">
        <v>2</v>
      </c>
    </row>
    <row r="131">
      <c r="A131" s="6" t="inlineStr">
        <is>
          <t>работник 503</t>
        </is>
      </c>
      <c r="B131" s="6" t="inlineStr">
        <is>
          <t>Аппаратчик-гидрометаллург | Слесарь-ремонтник (по ремонту обогатительного оборудования)</t>
        </is>
      </c>
      <c r="C131" s="6" t="inlineStr">
        <is>
          <t>Аппаратчик-гидрометаллург | Слесарь-ремонтник (по ремонту обогатительного оборудования)</t>
        </is>
      </c>
      <c r="D131" s="6" t="inlineStr">
        <is>
          <t>ОБЩЕСТВО С ОГРАНИЧЕННОЙ ОТВЕТСТВЕННОСТЬЮ "АМУР ЗОЛОТО"</t>
        </is>
      </c>
      <c r="E131" s="6" t="inlineStr">
        <is>
          <t>2708001686</t>
        </is>
      </c>
      <c r="F131" s="6" t="inlineStr">
        <is>
          <t>ООО "Амур Золото"</t>
        </is>
      </c>
      <c r="G131" s="6" t="inlineStr">
        <is>
          <t>2708001686</t>
        </is>
      </c>
      <c r="H131" s="6" t="inlineStr">
        <is>
          <t>90580083; 90580084; 223282993; 223282994; 223282995</t>
        </is>
      </c>
      <c r="I131" s="6" t="inlineStr">
        <is>
          <t>6934388; 15995643</t>
        </is>
      </c>
      <c r="J131" s="6" t="inlineStr">
        <is>
          <t>ОТ № ЮГОК ЗИОФ 24-36; ЮГОК ЗИОФ 26-50</t>
        </is>
      </c>
      <c r="K131" s="6" t="inlineStr">
        <is>
          <t>25.11.2024; 26.08.2026</t>
        </is>
      </c>
      <c r="L131" s="6" t="inlineStr">
        <is>
          <t>Успешно</t>
        </is>
      </c>
      <c r="M131" s="6" t="inlineStr">
        <is>
          <t>Пользовательский интерфейс</t>
        </is>
      </c>
      <c r="N131" s="7" t="n">
        <v>5</v>
      </c>
      <c r="O131" s="7" t="n">
        <v>2</v>
      </c>
      <c r="P131" s="7" t="n"/>
      <c r="Q131" s="175" t="n">
        <v>2</v>
      </c>
      <c r="R131" s="7" t="n"/>
      <c r="S131" s="7" t="n"/>
      <c r="T131" s="7" t="n"/>
      <c r="U131" s="7" t="n"/>
      <c r="V131" s="7" t="n"/>
      <c r="W131" s="7" t="n"/>
      <c r="X131" s="7" t="n"/>
      <c r="Y131" s="7" t="n"/>
      <c r="Z131" s="7" t="n"/>
      <c r="AA131" s="7" t="n"/>
      <c r="AB131" s="7" t="n">
        <v>1</v>
      </c>
      <c r="AC131" s="175" t="n">
        <v>2</v>
      </c>
    </row>
    <row r="132">
      <c r="A132" s="6" t="inlineStr">
        <is>
          <t>работник 111</t>
        </is>
      </c>
      <c r="B132" s="6" t="inlineStr">
        <is>
          <t>Весовщик | Машинист конвейера</t>
        </is>
      </c>
      <c r="C132" s="6" t="inlineStr">
        <is>
          <t>Весовщик | Машинист конвейера</t>
        </is>
      </c>
      <c r="D132" s="6" t="inlineStr">
        <is>
          <t>ОБЩЕСТВО С ОГРАНИЧЕННОЙ ОТВЕТСТВЕННОСТЬЮ "АМУР ЗОЛОТО"</t>
        </is>
      </c>
      <c r="E132" s="6" t="inlineStr">
        <is>
          <t>2708001686</t>
        </is>
      </c>
      <c r="F132" s="6" t="inlineStr">
        <is>
          <t>ООО "Амур Золото"</t>
        </is>
      </c>
      <c r="G132" s="6" t="inlineStr">
        <is>
          <t>2708001686</t>
        </is>
      </c>
      <c r="H132" s="6" t="inlineStr">
        <is>
          <t>37117598; 37117599; 37117600; 87544920; 87544921</t>
        </is>
      </c>
      <c r="I132" s="6" t="inlineStr">
        <is>
          <t>2978778; 6719954</t>
        </is>
      </c>
      <c r="J132" s="6" t="inlineStr">
        <is>
          <t>ОТ № ЮГОК ОТК 23-01; ОТ № ЮГОК ЗИОФ 24-37</t>
        </is>
      </c>
      <c r="K132" s="6" t="inlineStr">
        <is>
          <t>11.12.2023; 13.11.2024</t>
        </is>
      </c>
      <c r="L132" s="6" t="inlineStr">
        <is>
          <t>Успешно</t>
        </is>
      </c>
      <c r="M132" s="6" t="inlineStr">
        <is>
          <t>Пользовательский интерфейс</t>
        </is>
      </c>
      <c r="N132" s="7" t="n">
        <v>5</v>
      </c>
      <c r="O132" s="7" t="n">
        <v>2</v>
      </c>
      <c r="P132" s="7" t="n"/>
      <c r="Q132" s="175" t="n">
        <v>2</v>
      </c>
      <c r="R132" s="7" t="n"/>
      <c r="S132" s="7" t="n"/>
      <c r="T132" s="7" t="n"/>
      <c r="U132" s="7" t="n"/>
      <c r="V132" s="7" t="n"/>
      <c r="W132" s="7" t="n"/>
      <c r="X132" s="7" t="n"/>
      <c r="Y132" s="7" t="n"/>
      <c r="Z132" s="7" t="n"/>
      <c r="AA132" s="7" t="n"/>
      <c r="AB132" s="7" t="n">
        <v>1</v>
      </c>
      <c r="AC132" s="175" t="n">
        <v>2</v>
      </c>
    </row>
    <row r="133">
      <c r="A133" s="6" t="inlineStr">
        <is>
          <t>работник 763</t>
        </is>
      </c>
      <c r="B133" s="6" t="inlineStr">
        <is>
          <t>Машинист погрузочно-доставочной машины (занятый на транспортировании горной массы в технологическом процессе)</t>
        </is>
      </c>
      <c r="C133" s="6" t="inlineStr">
        <is>
          <t>Машинист погрузочно-доставочной машины (занятый на транспортировании горной массы в технологическом процессе)</t>
        </is>
      </c>
      <c r="D133" s="6" t="inlineStr">
        <is>
          <t>ОБЩЕСТВО С ОГРАНИЧЕННОЙ ОТВЕТСТВЕННОСТЬЮ "АМУР ЗОЛОТО"</t>
        </is>
      </c>
      <c r="E133" s="6" t="inlineStr">
        <is>
          <t>2708001686</t>
        </is>
      </c>
      <c r="F133" s="6" t="inlineStr">
        <is>
          <t>ООО "Амур Золото"</t>
        </is>
      </c>
      <c r="G133" s="6" t="inlineStr">
        <is>
          <t>2708001686</t>
        </is>
      </c>
      <c r="H133" s="6" t="inlineStr">
        <is>
          <t>200897065; 200897066; 200897067; 214421372; 214421373; 214421374</t>
        </is>
      </c>
      <c r="I133" s="6" t="inlineStr">
        <is>
          <t>14513218; 15411209</t>
        </is>
      </c>
      <c r="J133" s="6" t="inlineStr">
        <is>
          <t>ЮГОК ПГУ 26-01; ЮГОК ПГУ 26-27</t>
        </is>
      </c>
      <c r="K133" s="6" t="inlineStr">
        <is>
          <t>04.06.2026; 23.07.2026</t>
        </is>
      </c>
      <c r="L133" s="6" t="inlineStr">
        <is>
          <t>Успешно</t>
        </is>
      </c>
      <c r="M133" s="6" t="inlineStr">
        <is>
          <t>Пользовательский интерфейс</t>
        </is>
      </c>
      <c r="N133" s="7" t="n">
        <v>6</v>
      </c>
      <c r="O133" s="7" t="n">
        <v>3</v>
      </c>
      <c r="P133" s="7" t="n"/>
      <c r="Q133" s="175" t="n">
        <v>2</v>
      </c>
      <c r="R133" s="7" t="n"/>
      <c r="S133" s="7" t="n"/>
      <c r="T133" s="7" t="n"/>
      <c r="U133" s="7" t="n"/>
      <c r="V133" s="7" t="n"/>
      <c r="W133" s="7" t="n"/>
      <c r="X133" s="7" t="n"/>
      <c r="Y133" s="7" t="n"/>
      <c r="Z133" s="7" t="n"/>
      <c r="AA133" s="7" t="n"/>
      <c r="AB133" s="175" t="n">
        <v>2</v>
      </c>
      <c r="AC133" s="175" t="n">
        <v>2</v>
      </c>
    </row>
    <row r="134">
      <c r="A134" s="6" t="inlineStr">
        <is>
          <t>работник 181</t>
        </is>
      </c>
      <c r="B134" s="6" t="inlineStr">
        <is>
          <t>Машинист самоходной буровой установки</t>
        </is>
      </c>
      <c r="C134" s="6" t="inlineStr">
        <is>
          <t>Машинист самоходный буровой установки | Машинист самоходной буровой установки</t>
        </is>
      </c>
      <c r="D134" s="6" t="inlineStr">
        <is>
          <t>ОБЩЕСТВО С ОГРАНИЧЕННОЙ ОТВЕТСТВЕННОСТЬЮ "АМУР ЗОЛОТО"</t>
        </is>
      </c>
      <c r="E134" s="6" t="inlineStr">
        <is>
          <t>2708001686</t>
        </is>
      </c>
      <c r="F134" s="6" t="inlineStr">
        <is>
          <t>ООО "Амур Золото"</t>
        </is>
      </c>
      <c r="G134" s="6" t="inlineStr">
        <is>
          <t>2708001686</t>
        </is>
      </c>
      <c r="H134" s="6" t="inlineStr">
        <is>
          <t>40476929; 40476930; 40476931; 82311993; 82311994</t>
        </is>
      </c>
      <c r="I134" s="6" t="inlineStr">
        <is>
          <t>3264049; 6330469</t>
        </is>
      </c>
      <c r="J134" s="6" t="inlineStr">
        <is>
          <t>ОТ № ЮГОК ПГР 23-04; ОТ №ЮГОК ПГУ 24-17</t>
        </is>
      </c>
      <c r="K134" s="6" t="inlineStr">
        <is>
          <t>25.11.2023; 19.09.2024</t>
        </is>
      </c>
      <c r="L134" s="6" t="inlineStr">
        <is>
          <t>Успешно</t>
        </is>
      </c>
      <c r="M134" s="6" t="inlineStr">
        <is>
          <t>Пользовательский интерфейс</t>
        </is>
      </c>
      <c r="N134" s="7" t="n">
        <v>5</v>
      </c>
      <c r="O134" s="7" t="n">
        <v>2</v>
      </c>
      <c r="P134" s="7" t="n"/>
      <c r="Q134" s="175" t="n">
        <v>2</v>
      </c>
      <c r="R134" s="7" t="n"/>
      <c r="S134" s="7" t="n"/>
      <c r="T134" s="7" t="n"/>
      <c r="U134" s="7" t="n"/>
      <c r="V134" s="7" t="n"/>
      <c r="W134" s="7" t="n"/>
      <c r="X134" s="7" t="n"/>
      <c r="Y134" s="7" t="n"/>
      <c r="Z134" s="7" t="n"/>
      <c r="AA134" s="7" t="n"/>
      <c r="AB134" s="7" t="n">
        <v>1</v>
      </c>
      <c r="AC134" s="175" t="n">
        <v>2</v>
      </c>
    </row>
    <row r="135">
      <c r="A135" s="6" t="inlineStr">
        <is>
          <t>работник 608</t>
        </is>
      </c>
      <c r="B135" s="6" t="inlineStr">
        <is>
          <t>Стропальщик (с исполнением обязанностей грузчика) | Стропальщик</t>
        </is>
      </c>
      <c r="C135" s="6" t="inlineStr">
        <is>
          <t>Стропальщик (с исполнением обязанностей грузчика) | Стропальщик</t>
        </is>
      </c>
      <c r="D135" s="6" t="inlineStr">
        <is>
          <t>ОБЩЕСТВО С ОГРАНИЧЕННОЙ ОТВЕТСТВЕННОСТЬЮ "АМУР ЗОЛОТО"</t>
        </is>
      </c>
      <c r="E135" s="6" t="inlineStr">
        <is>
          <t>2708001686</t>
        </is>
      </c>
      <c r="F135" s="6" t="inlineStr">
        <is>
          <t>ООО "Амур Золото"</t>
        </is>
      </c>
      <c r="G135" s="6" t="inlineStr">
        <is>
          <t>2708001686</t>
        </is>
      </c>
      <c r="H135" s="6" t="inlineStr">
        <is>
          <t>163550861; 163550862; 222717287; 222717288; 222717289</t>
        </is>
      </c>
      <c r="I135" s="6" t="inlineStr">
        <is>
          <t>12120704; 15953442</t>
        </is>
      </c>
      <c r="J135" s="6" t="inlineStr">
        <is>
          <t>ОТ № ЮГОК ПГУ 25-21; ЮГОК МТО 26-14</t>
        </is>
      </c>
      <c r="K135" s="6" t="inlineStr">
        <is>
          <t>13.12.2025; 25.08.2026</t>
        </is>
      </c>
      <c r="L135" s="6" t="inlineStr">
        <is>
          <t>Успешно</t>
        </is>
      </c>
      <c r="M135" s="6" t="inlineStr">
        <is>
          <t>Пользовательский интерфейс</t>
        </is>
      </c>
      <c r="N135" s="7" t="n">
        <v>5</v>
      </c>
      <c r="O135" s="7" t="n">
        <v>2</v>
      </c>
      <c r="P135" s="7" t="n"/>
      <c r="Q135" s="175" t="n">
        <v>2</v>
      </c>
      <c r="R135" s="7" t="n"/>
      <c r="S135" s="7" t="n"/>
      <c r="T135" s="7" t="n"/>
      <c r="U135" s="7" t="n"/>
      <c r="V135" s="7" t="n"/>
      <c r="W135" s="7" t="n"/>
      <c r="X135" s="7" t="n"/>
      <c r="Y135" s="7" t="n"/>
      <c r="Z135" s="7" t="n"/>
      <c r="AA135" s="7" t="n"/>
      <c r="AB135" s="7" t="n">
        <v>1</v>
      </c>
      <c r="AC135" s="175" t="n">
        <v>2</v>
      </c>
    </row>
    <row r="136">
      <c r="A136" s="6" t="inlineStr">
        <is>
          <t>работник 432</t>
        </is>
      </c>
      <c r="B136" s="6" t="inlineStr">
        <is>
          <t>Слесарь-ремонтник (по ремонту обогатительного оборудования) | Слесарь-ремонтник</t>
        </is>
      </c>
      <c r="C136" s="6" t="inlineStr">
        <is>
          <t>Слесарь-ремонтник (по ремонту обогатительного оборудования) | Слесарь-ремонтник</t>
        </is>
      </c>
      <c r="D136" s="6" t="inlineStr">
        <is>
          <t>ОБЩЕСТВО С ОГРАНИЧЕННОЙ ОТВЕТСТВЕННОСТЬЮ "АМУР ЗОЛОТО"</t>
        </is>
      </c>
      <c r="E136" s="6" t="inlineStr">
        <is>
          <t>2708001686</t>
        </is>
      </c>
      <c r="F136" s="6" t="inlineStr">
        <is>
          <t>ООО "Амур Золото"</t>
        </is>
      </c>
      <c r="G136" s="6" t="inlineStr">
        <is>
          <t>2708001686</t>
        </is>
      </c>
      <c r="H136" s="6" t="inlineStr">
        <is>
          <t>85344286; 85344287; 96539082; 96539083; 96539084; 96539085; 96539086; 96539087; 223282990; 223282991; 223282992</t>
        </is>
      </c>
      <c r="I136" s="6" t="inlineStr">
        <is>
          <t>6554154; 7135797; 15995643</t>
        </is>
      </c>
      <c r="J136" s="6" t="inlineStr">
        <is>
          <t>ОТ № ЮГОК ЗИОФ 24-33; ОТ № ЮГОК ЗИОФ 24-40; ЮГОК ЗИОФ 26-50</t>
        </is>
      </c>
      <c r="K136" s="6" t="inlineStr">
        <is>
          <t>25.10.2024; 10.12.2024; 26.08.2026</t>
        </is>
      </c>
      <c r="L136" s="6" t="inlineStr">
        <is>
          <t>Успешно</t>
        </is>
      </c>
      <c r="M136" s="6" t="inlineStr">
        <is>
          <t>Пользовательский интерфейс</t>
        </is>
      </c>
      <c r="N136" s="7" t="n">
        <v>11</v>
      </c>
      <c r="O136" s="7" t="n">
        <v>2</v>
      </c>
      <c r="P136" s="7" t="n"/>
      <c r="Q136" s="175" t="n">
        <v>2</v>
      </c>
      <c r="R136" s="7" t="n">
        <v>1</v>
      </c>
      <c r="S136" s="7" t="n">
        <v>1</v>
      </c>
      <c r="T136" s="7" t="n">
        <v>1</v>
      </c>
      <c r="U136" s="7" t="n">
        <v>1</v>
      </c>
      <c r="V136" s="7" t="n">
        <v>1</v>
      </c>
      <c r="W136" s="7" t="n">
        <v>1</v>
      </c>
      <c r="X136" s="7" t="n"/>
      <c r="Y136" s="7" t="n"/>
      <c r="Z136" s="7" t="n"/>
      <c r="AA136" s="7" t="n"/>
      <c r="AB136" s="7" t="n">
        <v>1</v>
      </c>
      <c r="AC136" s="175" t="n">
        <v>2</v>
      </c>
    </row>
    <row r="137">
      <c r="A137" s="6" t="inlineStr">
        <is>
          <t>работник 430</t>
        </is>
      </c>
      <c r="B137" s="6" t="inlineStr">
        <is>
          <t>Машинист мельниц</t>
        </is>
      </c>
      <c r="C137" s="6" t="inlineStr">
        <is>
          <t>Машинист мельниц | Машинист мельницы</t>
        </is>
      </c>
      <c r="D137" s="6" t="inlineStr">
        <is>
          <t>ОБЩЕСТВО С ОГРАНИЧЕННОЙ ОТВЕТСТВЕННОСТЬЮ "АМУР ЗОЛОТО"</t>
        </is>
      </c>
      <c r="E137" s="6" t="inlineStr">
        <is>
          <t>2708001686</t>
        </is>
      </c>
      <c r="F137" s="6" t="inlineStr">
        <is>
          <t>ООО "Амур Золото"</t>
        </is>
      </c>
      <c r="G137" s="6" t="inlineStr">
        <is>
          <t>2708001686</t>
        </is>
      </c>
      <c r="H137" s="6" t="inlineStr">
        <is>
          <t>85344278; 85344279; 90580092</t>
        </is>
      </c>
      <c r="I137" s="6" t="inlineStr">
        <is>
          <t>6554154; 6934388</t>
        </is>
      </c>
      <c r="J137" s="6" t="inlineStr">
        <is>
          <t>ОТ № ЮГОК ЗИОФ 24-33; ОТ № ЮГОК ЗИОФ 24-38</t>
        </is>
      </c>
      <c r="K137" s="6" t="inlineStr">
        <is>
          <t>25.10.2024; 25.11.2024</t>
        </is>
      </c>
      <c r="L137" s="6" t="inlineStr">
        <is>
          <t>Успешно</t>
        </is>
      </c>
      <c r="M137" s="6" t="inlineStr">
        <is>
          <t>Пользовательский интерфейс</t>
        </is>
      </c>
      <c r="N137" s="7" t="n">
        <v>3</v>
      </c>
      <c r="O137" s="7" t="n">
        <v>1</v>
      </c>
      <c r="P137" s="7" t="n"/>
      <c r="Q137" s="175" t="n">
        <v>2</v>
      </c>
      <c r="R137" s="7" t="n"/>
      <c r="S137" s="7" t="n"/>
      <c r="T137" s="7" t="n"/>
      <c r="U137" s="7" t="n"/>
      <c r="V137" s="7" t="n"/>
      <c r="W137" s="7" t="n"/>
      <c r="X137" s="7" t="n"/>
      <c r="Y137" s="7" t="n"/>
      <c r="Z137" s="7" t="n"/>
      <c r="AA137" s="7" t="n"/>
      <c r="AB137" s="7" t="n"/>
      <c r="AC137" s="7" t="n">
        <v>1</v>
      </c>
    </row>
    <row r="138">
      <c r="A138" s="6" t="inlineStr">
        <is>
          <t>работник 137</t>
        </is>
      </c>
      <c r="B138" s="6" t="inlineStr">
        <is>
          <t>Пробоотборщик | Горнорабочий на геологических работах</t>
        </is>
      </c>
      <c r="C138" s="6" t="inlineStr">
        <is>
          <t>Пробоотборщик | Горнорабочий на геологических работах</t>
        </is>
      </c>
      <c r="D138" s="6" t="inlineStr">
        <is>
          <t>ОБЩЕСТВО С ОГРАНИЧЕННОЙ ОТВЕТСТВЕННОСТЬЮ "АМУР ЗОЛОТО"</t>
        </is>
      </c>
      <c r="E138" s="6" t="inlineStr">
        <is>
          <t>2708001686</t>
        </is>
      </c>
      <c r="F138" s="6" t="inlineStr">
        <is>
          <t>ООО "Амур Золото"</t>
        </is>
      </c>
      <c r="G138" s="6" t="inlineStr">
        <is>
          <t>2708001686</t>
        </is>
      </c>
      <c r="H138" s="6" t="inlineStr">
        <is>
          <t>37117707; 37117708; 37117709; 200897046; 200897047; 200897048</t>
        </is>
      </c>
      <c r="I138" s="6" t="inlineStr">
        <is>
          <t>2978778; 14513218</t>
        </is>
      </c>
      <c r="J138" s="6" t="inlineStr">
        <is>
          <t>ОТ № ЮГОК ГМО 23-02; ЮГОК ПГУ 26-01</t>
        </is>
      </c>
      <c r="K138" s="6" t="inlineStr">
        <is>
          <t>11.12.2023; 04.06.2026</t>
        </is>
      </c>
      <c r="L138" s="6" t="inlineStr">
        <is>
          <t>Успешно</t>
        </is>
      </c>
      <c r="M138" s="6" t="inlineStr">
        <is>
          <t>Пользовательский интерфейс</t>
        </is>
      </c>
      <c r="N138" s="7" t="n">
        <v>6</v>
      </c>
      <c r="O138" s="7" t="n">
        <v>3</v>
      </c>
      <c r="P138" s="7" t="n"/>
      <c r="Q138" s="175" t="n">
        <v>2</v>
      </c>
      <c r="R138" s="7" t="n"/>
      <c r="S138" s="7" t="n"/>
      <c r="T138" s="7" t="n"/>
      <c r="U138" s="7" t="n"/>
      <c r="V138" s="7" t="n"/>
      <c r="W138" s="7" t="n"/>
      <c r="X138" s="7" t="n"/>
      <c r="Y138" s="7" t="n"/>
      <c r="Z138" s="7" t="n"/>
      <c r="AA138" s="7" t="n"/>
      <c r="AB138" s="175" t="n">
        <v>2</v>
      </c>
      <c r="AC138" s="175" t="n">
        <v>2</v>
      </c>
    </row>
    <row r="139">
      <c r="A139" s="6" t="inlineStr">
        <is>
          <t>работник 771</t>
        </is>
      </c>
      <c r="B139" s="6" t="inlineStr">
        <is>
          <t>Машинист погрузочно-доставочной машины</t>
        </is>
      </c>
      <c r="C139" s="6" t="inlineStr">
        <is>
          <t>Машинист погрузочно-доставочной машины</t>
        </is>
      </c>
      <c r="D139" s="6" t="inlineStr">
        <is>
          <t>ОБЩЕСТВО С ОГРАНИЧЕННОЙ ОТВЕТСТВЕННОСТЬЮ "АМУР ЗОЛОТО"</t>
        </is>
      </c>
      <c r="E139" s="6" t="inlineStr">
        <is>
          <t>2708001686</t>
        </is>
      </c>
      <c r="F139" s="6" t="inlineStr">
        <is>
          <t>ООО "Амур Золото"</t>
        </is>
      </c>
      <c r="G139" s="6" t="inlineStr">
        <is>
          <t>2708001686</t>
        </is>
      </c>
      <c r="H139" s="6" t="inlineStr">
        <is>
          <t>200897084; 200897085; 200897086; 214421383; 214421384; 214421385</t>
        </is>
      </c>
      <c r="I139" s="6" t="inlineStr">
        <is>
          <t>14513218; 15411209</t>
        </is>
      </c>
      <c r="J139" s="6" t="inlineStr">
        <is>
          <t>ЮГОК ПГУ 26-01; ЮГОК ПГУ 26-28</t>
        </is>
      </c>
      <c r="K139" s="6" t="inlineStr">
        <is>
          <t>04.06.2026; 23.07.2026</t>
        </is>
      </c>
      <c r="L139" s="6" t="inlineStr">
        <is>
          <t>Успешно</t>
        </is>
      </c>
      <c r="M139" s="6" t="inlineStr">
        <is>
          <t>Пользовательский интерфейс</t>
        </is>
      </c>
      <c r="N139" s="7" t="n">
        <v>6</v>
      </c>
      <c r="O139" s="7" t="n">
        <v>3</v>
      </c>
      <c r="P139" s="7" t="n"/>
      <c r="Q139" s="175" t="n">
        <v>2</v>
      </c>
      <c r="R139" s="7" t="n"/>
      <c r="S139" s="7" t="n"/>
      <c r="T139" s="7" t="n"/>
      <c r="U139" s="7" t="n"/>
      <c r="V139" s="7" t="n"/>
      <c r="W139" s="7" t="n"/>
      <c r="X139" s="7" t="n"/>
      <c r="Y139" s="7" t="n"/>
      <c r="Z139" s="7" t="n"/>
      <c r="AA139" s="7" t="n"/>
      <c r="AB139" s="175" t="n">
        <v>2</v>
      </c>
      <c r="AC139" s="175" t="n">
        <v>2</v>
      </c>
    </row>
    <row r="140">
      <c r="A140" s="6" t="inlineStr">
        <is>
          <t>работник 435</t>
        </is>
      </c>
      <c r="B140" s="6" t="inlineStr">
        <is>
          <t>Дробильщик</t>
        </is>
      </c>
      <c r="C140" s="6" t="inlineStr">
        <is>
          <t>Дробильщик</t>
        </is>
      </c>
      <c r="D140" s="6" t="inlineStr">
        <is>
          <t>ОБЩЕСТВО С ОГРАНИЧЕННОЙ ОТВЕТСТВЕННОСТЬЮ "АМУР ЗОЛОТО"</t>
        </is>
      </c>
      <c r="E140" s="6" t="inlineStr">
        <is>
          <t>2708001686</t>
        </is>
      </c>
      <c r="F140" s="6" t="inlineStr">
        <is>
          <t>ООО "Амур Золото"</t>
        </is>
      </c>
      <c r="G140" s="6" t="inlineStr">
        <is>
          <t>2708001686</t>
        </is>
      </c>
      <c r="H140" s="6" t="inlineStr">
        <is>
          <t>85344292; 85344293; 90580087</t>
        </is>
      </c>
      <c r="I140" s="6" t="inlineStr">
        <is>
          <t>6554154; 6934388</t>
        </is>
      </c>
      <c r="J140" s="6" t="inlineStr">
        <is>
          <t>ОТ № ЮГОК ЗИОФ 24-33; ОТ № ЮГОК ЗИОФ 24-38</t>
        </is>
      </c>
      <c r="K140" s="6" t="inlineStr">
        <is>
          <t>25.10.2024; 25.11.2024</t>
        </is>
      </c>
      <c r="L140" s="6" t="inlineStr">
        <is>
          <t>Успешно</t>
        </is>
      </c>
      <c r="M140" s="6" t="inlineStr">
        <is>
          <t>Пользовательский интерфейс</t>
        </is>
      </c>
      <c r="N140" s="7" t="n">
        <v>3</v>
      </c>
      <c r="O140" s="7" t="n">
        <v>1</v>
      </c>
      <c r="P140" s="7" t="n"/>
      <c r="Q140" s="175" t="n">
        <v>2</v>
      </c>
      <c r="R140" s="7" t="n"/>
      <c r="S140" s="7" t="n"/>
      <c r="T140" s="7" t="n"/>
      <c r="U140" s="7" t="n"/>
      <c r="V140" s="7" t="n"/>
      <c r="W140" s="7" t="n"/>
      <c r="X140" s="7" t="n"/>
      <c r="Y140" s="7" t="n"/>
      <c r="Z140" s="7" t="n"/>
      <c r="AA140" s="7" t="n"/>
      <c r="AB140" s="7" t="n"/>
      <c r="AC140" s="7" t="n">
        <v>1</v>
      </c>
    </row>
    <row r="141">
      <c r="A141" s="6" t="inlineStr">
        <is>
          <t>работник 221</t>
        </is>
      </c>
      <c r="B141" s="6" t="inlineStr">
        <is>
          <t>Водитель автомобиля (занятый на транспортировании горной массы в технологическом процессе) | Водитель автомобиля для перевозки взрывчатых материалов</t>
        </is>
      </c>
      <c r="C141" s="6" t="inlineStr">
        <is>
          <t>Водитель автомобиля(занятый на траспортировании горной массы в технологическом процессе) | Водитель автомобиля для перевозки взрывчатых материалов</t>
        </is>
      </c>
      <c r="D141" s="6" t="inlineStr">
        <is>
          <t>ОБЩЕСТВО С ОГРАНИЧЕННОЙ ОТВЕТСТВЕННОСТЬЮ "АМУР ЗОЛОТО"</t>
        </is>
      </c>
      <c r="E141" s="6" t="inlineStr">
        <is>
          <t>2708001686</t>
        </is>
      </c>
      <c r="F141" s="6" t="inlineStr">
        <is>
          <t>ООО "Амур Золото"</t>
        </is>
      </c>
      <c r="G141" s="6" t="inlineStr">
        <is>
          <t>2708001686</t>
        </is>
      </c>
      <c r="H141" s="6" t="inlineStr">
        <is>
          <t>41372104; 41372105; 41372106; 211159400; 211159401; 211159402</t>
        </is>
      </c>
      <c r="I141" s="6" t="inlineStr">
        <is>
          <t>3335316; 15197910</t>
        </is>
      </c>
      <c r="J141" s="6" t="inlineStr">
        <is>
          <t>ОТ № ЮГОК АТЦ 23-03; ЮГОК АТЦ 26-05</t>
        </is>
      </c>
      <c r="K141" s="6" t="inlineStr">
        <is>
          <t>03.12.2023; 30.06.2026</t>
        </is>
      </c>
      <c r="L141" s="6" t="inlineStr">
        <is>
          <t>Успешно</t>
        </is>
      </c>
      <c r="M141" s="6" t="inlineStr">
        <is>
          <t>Пользовательский интерфейс</t>
        </is>
      </c>
      <c r="N141" s="7" t="n">
        <v>6</v>
      </c>
      <c r="O141" s="7" t="n">
        <v>3</v>
      </c>
      <c r="P141" s="7" t="n"/>
      <c r="Q141" s="175" t="n">
        <v>2</v>
      </c>
      <c r="R141" s="7" t="n"/>
      <c r="S141" s="7" t="n"/>
      <c r="T141" s="7" t="n"/>
      <c r="U141" s="7" t="n"/>
      <c r="V141" s="7" t="n"/>
      <c r="W141" s="7" t="n"/>
      <c r="X141" s="7" t="n"/>
      <c r="Y141" s="7" t="n"/>
      <c r="Z141" s="7" t="n"/>
      <c r="AA141" s="7" t="n"/>
      <c r="AB141" s="175" t="n">
        <v>2</v>
      </c>
      <c r="AC141" s="175" t="n">
        <v>2</v>
      </c>
    </row>
    <row r="142">
      <c r="A142" s="6" t="inlineStr">
        <is>
          <t>работник 522</t>
        </is>
      </c>
      <c r="B142" s="6" t="inlineStr">
        <is>
          <t>Фильтровальщик | Аппаратчик сгустителей</t>
        </is>
      </c>
      <c r="C142" s="6" t="inlineStr">
        <is>
          <t>Фильтровальщик | Аппаратчик сгустителей</t>
        </is>
      </c>
      <c r="D142" s="6" t="inlineStr">
        <is>
          <t>ОБЩЕСТВО С ОГРАНИЧЕННОЙ ОТВЕТСТВЕННОСТЬЮ "АМУР ЗОЛОТО"</t>
        </is>
      </c>
      <c r="E142" s="6" t="inlineStr">
        <is>
          <t>2708001686</t>
        </is>
      </c>
      <c r="F142" s="6" t="inlineStr">
        <is>
          <t>ООО "Амур Золото"</t>
        </is>
      </c>
      <c r="G142" s="6" t="inlineStr">
        <is>
          <t>2708001686</t>
        </is>
      </c>
      <c r="H142" s="6" t="inlineStr">
        <is>
          <t>110446271; 110446272; 214421270; 214421271; 214421272</t>
        </is>
      </c>
      <c r="I142" s="6" t="inlineStr">
        <is>
          <t>8371772; 15411209</t>
        </is>
      </c>
      <c r="J142" s="6" t="inlineStr">
        <is>
          <t>ОТ № ЮГОК ЗИОФ 25-01; ЮГОК ЗИОФ 26-33</t>
        </is>
      </c>
      <c r="K142" s="6" t="inlineStr">
        <is>
          <t>16.01.2025; 29.07.2026</t>
        </is>
      </c>
      <c r="L142" s="6" t="inlineStr">
        <is>
          <t>Успешно</t>
        </is>
      </c>
      <c r="M142" s="6" t="inlineStr">
        <is>
          <t>Пользовательский интерфейс</t>
        </is>
      </c>
      <c r="N142" s="7" t="n">
        <v>5</v>
      </c>
      <c r="O142" s="7" t="n">
        <v>2</v>
      </c>
      <c r="P142" s="7" t="n"/>
      <c r="Q142" s="175" t="n">
        <v>2</v>
      </c>
      <c r="R142" s="7" t="n"/>
      <c r="S142" s="7" t="n"/>
      <c r="T142" s="7" t="n"/>
      <c r="U142" s="7" t="n"/>
      <c r="V142" s="7" t="n"/>
      <c r="W142" s="7" t="n"/>
      <c r="X142" s="7" t="n"/>
      <c r="Y142" s="7" t="n"/>
      <c r="Z142" s="7" t="n"/>
      <c r="AA142" s="7" t="n"/>
      <c r="AB142" s="7" t="n">
        <v>1</v>
      </c>
      <c r="AC142" s="175" t="n">
        <v>2</v>
      </c>
    </row>
    <row r="143">
      <c r="A143" s="6" t="inlineStr">
        <is>
          <t>работник 445</t>
        </is>
      </c>
      <c r="B143" s="6" t="inlineStr">
        <is>
          <t>Дробильщик</t>
        </is>
      </c>
      <c r="C143" s="6" t="inlineStr">
        <is>
          <t>Дробильщик | Дробильщики</t>
        </is>
      </c>
      <c r="D143" s="6" t="inlineStr">
        <is>
          <t>ОБЩЕСТВО С ОГРАНИЧЕННОЙ ОТВЕТСТВЕННОСТЬЮ "АМУР ЗОЛОТО"</t>
        </is>
      </c>
      <c r="E143" s="6" t="inlineStr">
        <is>
          <t>2708001686</t>
        </is>
      </c>
      <c r="F143" s="6" t="inlineStr">
        <is>
          <t>ООО "Амур Золото"</t>
        </is>
      </c>
      <c r="G143" s="6" t="inlineStr">
        <is>
          <t>2708001686</t>
        </is>
      </c>
      <c r="H143" s="6" t="inlineStr">
        <is>
          <t>85344312; 85344313; 200896967; 223283003; 223283004; 223283005</t>
        </is>
      </c>
      <c r="I143" s="6" t="inlineStr">
        <is>
          <t>6554154; 14513218; 15995643</t>
        </is>
      </c>
      <c r="J143" s="6" t="inlineStr">
        <is>
          <t>ОТ № ЮГОК ЗИОФ 24-34; ЮГОК ЗИОФ 26-01; ЮГОК ЗИОФ 26-51</t>
        </is>
      </c>
      <c r="K143" s="6" t="inlineStr">
        <is>
          <t>25.10.2024; 05.06.2026; 26.08.2026</t>
        </is>
      </c>
      <c r="L143" s="6" t="inlineStr">
        <is>
          <t>Успешно</t>
        </is>
      </c>
      <c r="M143" s="6" t="inlineStr">
        <is>
          <t>Пользовательский интерфейс</t>
        </is>
      </c>
      <c r="N143" s="7" t="n">
        <v>6</v>
      </c>
      <c r="O143" s="7" t="n">
        <v>3</v>
      </c>
      <c r="P143" s="7" t="n"/>
      <c r="Q143" s="175" t="n">
        <v>2</v>
      </c>
      <c r="R143" s="7" t="n"/>
      <c r="S143" s="7" t="n"/>
      <c r="T143" s="7" t="n"/>
      <c r="U143" s="7" t="n"/>
      <c r="V143" s="7" t="n"/>
      <c r="W143" s="7" t="n"/>
      <c r="X143" s="7" t="n"/>
      <c r="Y143" s="7" t="n"/>
      <c r="Z143" s="7" t="n"/>
      <c r="AA143" s="7" t="n"/>
      <c r="AB143" s="175" t="n">
        <v>2</v>
      </c>
      <c r="AC143" s="175" t="n">
        <v>2</v>
      </c>
    </row>
    <row r="144">
      <c r="A144" s="6" t="inlineStr">
        <is>
          <t>работник 326</t>
        </is>
      </c>
      <c r="B144" s="6" t="inlineStr">
        <is>
          <t>Машинист погрузочно-доставочной машины</t>
        </is>
      </c>
      <c r="C144" s="6" t="inlineStr">
        <is>
          <t>Машинист погрузочно-доставочной машины</t>
        </is>
      </c>
      <c r="D144" s="6" t="inlineStr">
        <is>
          <t>ОБЩЕСТВО С ОГРАНИЧЕННОЙ ОТВЕТСТВЕННОСТЬЮ "АМУР ЗОЛОТО"</t>
        </is>
      </c>
      <c r="E144" s="6" t="inlineStr">
        <is>
          <t>2708001686</t>
        </is>
      </c>
      <c r="F144" s="6" t="inlineStr">
        <is>
          <t>ООО "Амур Золото"</t>
        </is>
      </c>
      <c r="G144" s="6" t="inlineStr">
        <is>
          <t>2708001686</t>
        </is>
      </c>
      <c r="H144" s="6" t="inlineStr">
        <is>
          <t>43299754; 43299755; 43299756; 214421389; 214421390; 214421391</t>
        </is>
      </c>
      <c r="I144" s="6" t="inlineStr">
        <is>
          <t>3474285; 15411209</t>
        </is>
      </c>
      <c r="J144" s="6" t="inlineStr">
        <is>
          <t>ОТ № ЮГОК ПГУ 24-05; ЮГОК ПГУ 26-28</t>
        </is>
      </c>
      <c r="K144" s="6" t="inlineStr">
        <is>
          <t>05.03.2024; 23.07.2026</t>
        </is>
      </c>
      <c r="L144" s="6" t="inlineStr">
        <is>
          <t>Успешно</t>
        </is>
      </c>
      <c r="M144" s="6" t="inlineStr">
        <is>
          <t>Пользовательский интерфейс</t>
        </is>
      </c>
      <c r="N144" s="7" t="n">
        <v>6</v>
      </c>
      <c r="O144" s="7" t="n">
        <v>3</v>
      </c>
      <c r="P144" s="7" t="n"/>
      <c r="Q144" s="175" t="n">
        <v>2</v>
      </c>
      <c r="R144" s="7" t="n"/>
      <c r="S144" s="7" t="n"/>
      <c r="T144" s="7" t="n"/>
      <c r="U144" s="7" t="n"/>
      <c r="V144" s="7" t="n"/>
      <c r="W144" s="7" t="n"/>
      <c r="X144" s="7" t="n"/>
      <c r="Y144" s="7" t="n"/>
      <c r="Z144" s="7" t="n"/>
      <c r="AA144" s="7" t="n"/>
      <c r="AB144" s="175" t="n">
        <v>2</v>
      </c>
      <c r="AC144" s="175" t="n">
        <v>2</v>
      </c>
    </row>
    <row r="145">
      <c r="A145" s="6" t="inlineStr">
        <is>
          <t>работник 168</t>
        </is>
      </c>
      <c r="B145" s="6" t="inlineStr">
        <is>
          <t>Проходчик (с исполнением обязанностей взрывника)</t>
        </is>
      </c>
      <c r="C145" s="6" t="inlineStr">
        <is>
          <t>Проходчик (с исполнением обязанностей взрывника)</t>
        </is>
      </c>
      <c r="D145" s="6" t="inlineStr">
        <is>
          <t>ОБЩЕСТВО С ОГРАНИЧЕННОЙ ОТВЕТСТВЕННОСТЬЮ "АМУР ЗОЛОТО"</t>
        </is>
      </c>
      <c r="E145" s="6" t="inlineStr">
        <is>
          <t>2708001686</t>
        </is>
      </c>
      <c r="F145" s="6" t="inlineStr">
        <is>
          <t>ООО "Амур Золото"</t>
        </is>
      </c>
      <c r="G145" s="6" t="inlineStr">
        <is>
          <t>2708001686</t>
        </is>
      </c>
      <c r="H145" s="6" t="inlineStr">
        <is>
          <t>37117801; 37117802; 37117803; 87544980; 87544981</t>
        </is>
      </c>
      <c r="I145" s="6" t="inlineStr">
        <is>
          <t>2978778; 6719954</t>
        </is>
      </c>
      <c r="J145" s="6" t="inlineStr">
        <is>
          <t>ОТ № ЮГОК ПГУ 24-01; ОТ № ЮГОК ПГУ 24-23</t>
        </is>
      </c>
      <c r="K145" s="6" t="inlineStr">
        <is>
          <t>19.01.2024; 12.11.2024</t>
        </is>
      </c>
      <c r="L145" s="6" t="inlineStr">
        <is>
          <t>Успешно</t>
        </is>
      </c>
      <c r="M145" s="6" t="inlineStr">
        <is>
          <t>Пользовательский интерфейс</t>
        </is>
      </c>
      <c r="N145" s="7" t="n">
        <v>5</v>
      </c>
      <c r="O145" s="7" t="n">
        <v>2</v>
      </c>
      <c r="P145" s="7" t="n"/>
      <c r="Q145" s="175" t="n">
        <v>2</v>
      </c>
      <c r="R145" s="7" t="n"/>
      <c r="S145" s="7" t="n"/>
      <c r="T145" s="7" t="n"/>
      <c r="U145" s="7" t="n"/>
      <c r="V145" s="7" t="n"/>
      <c r="W145" s="7" t="n"/>
      <c r="X145" s="7" t="n"/>
      <c r="Y145" s="7" t="n"/>
      <c r="Z145" s="7" t="n"/>
      <c r="AA145" s="7" t="n"/>
      <c r="AB145" s="7" t="n">
        <v>1</v>
      </c>
      <c r="AC145" s="175" t="n">
        <v>2</v>
      </c>
    </row>
    <row r="146">
      <c r="A146" s="6" t="inlineStr">
        <is>
          <t>работник 332</t>
        </is>
      </c>
      <c r="B146" s="6" t="inlineStr">
        <is>
          <t>Дробильщик</t>
        </is>
      </c>
      <c r="C146" s="6" t="inlineStr">
        <is>
          <t>Дробильщик</t>
        </is>
      </c>
      <c r="D146" s="6" t="inlineStr">
        <is>
          <t>ОБЩЕСТВО С ОГРАНИЧЕННОЙ ОТВЕТСТВЕННОСТЬЮ "АМУР ЗОЛОТО"</t>
        </is>
      </c>
      <c r="E146" s="6" t="inlineStr">
        <is>
          <t>2708001686</t>
        </is>
      </c>
      <c r="F146" s="6" t="inlineStr">
        <is>
          <t>ООО "Амур Золото"</t>
        </is>
      </c>
      <c r="G146" s="6" t="inlineStr">
        <is>
          <t>2708001686</t>
        </is>
      </c>
      <c r="H146" s="6" t="inlineStr">
        <is>
          <t>47664829; 47664830; 47664831; 214421237; 214421238; 214421239</t>
        </is>
      </c>
      <c r="I146" s="6" t="inlineStr">
        <is>
          <t>3785399; 15411209</t>
        </is>
      </c>
      <c r="J146" s="6" t="inlineStr">
        <is>
          <t>ОТ ЮГОК ЗИОФ 24-22; ЮГОК ЗИОФ 26-31</t>
        </is>
      </c>
      <c r="K146" s="6" t="inlineStr">
        <is>
          <t>21.03.2024; 29.07.2026</t>
        </is>
      </c>
      <c r="L146" s="6" t="inlineStr">
        <is>
          <t>Успешно</t>
        </is>
      </c>
      <c r="M146" s="6" t="inlineStr">
        <is>
          <t>Пользовательский интерфейс</t>
        </is>
      </c>
      <c r="N146" s="7" t="n">
        <v>6</v>
      </c>
      <c r="O146" s="7" t="n">
        <v>3</v>
      </c>
      <c r="P146" s="7" t="n"/>
      <c r="Q146" s="175" t="n">
        <v>2</v>
      </c>
      <c r="R146" s="7" t="n"/>
      <c r="S146" s="7" t="n"/>
      <c r="T146" s="7" t="n"/>
      <c r="U146" s="7" t="n"/>
      <c r="V146" s="7" t="n"/>
      <c r="W146" s="7" t="n"/>
      <c r="X146" s="7" t="n"/>
      <c r="Y146" s="7" t="n"/>
      <c r="Z146" s="7" t="n"/>
      <c r="AA146" s="7" t="n"/>
      <c r="AB146" s="175" t="n">
        <v>2</v>
      </c>
      <c r="AC146" s="175" t="n">
        <v>2</v>
      </c>
    </row>
    <row r="147">
      <c r="A147" s="6" t="inlineStr">
        <is>
          <t>работник 343</t>
        </is>
      </c>
      <c r="B147" s="6" t="inlineStr">
        <is>
          <t>Дробильщик</t>
        </is>
      </c>
      <c r="C147" s="6" t="inlineStr">
        <is>
          <t>Дробильщик | Дробильщики</t>
        </is>
      </c>
      <c r="D147" s="6" t="inlineStr">
        <is>
          <t>ОБЩЕСТВО С ОГРАНИЧЕННОЙ ОТВЕТСТВЕННОСТЬЮ "АМУР ЗОЛОТО"</t>
        </is>
      </c>
      <c r="E147" s="6" t="inlineStr">
        <is>
          <t>2708001686</t>
        </is>
      </c>
      <c r="F147" s="6" t="inlineStr">
        <is>
          <t>ООО "Амур Золото"</t>
        </is>
      </c>
      <c r="G147" s="6" t="inlineStr">
        <is>
          <t>2708001686</t>
        </is>
      </c>
      <c r="H147" s="6" t="inlineStr">
        <is>
          <t>58069237; 58069238; 58069239; 223283006; 223283007; 223283008</t>
        </is>
      </c>
      <c r="I147" s="6" t="inlineStr">
        <is>
          <t>4506532; 15995643</t>
        </is>
      </c>
      <c r="J147" s="6" t="inlineStr">
        <is>
          <t>ОТ № ЮГОК ЗИОФ 24-27; ЮГОК ЗИОФ 26-51</t>
        </is>
      </c>
      <c r="K147" s="6" t="inlineStr">
        <is>
          <t>28.04.2024; 26.08.2026</t>
        </is>
      </c>
      <c r="L147" s="6" t="inlineStr">
        <is>
          <t>Успешно</t>
        </is>
      </c>
      <c r="M147" s="6" t="inlineStr">
        <is>
          <t>Пользовательский интерфейс</t>
        </is>
      </c>
      <c r="N147" s="7" t="n">
        <v>6</v>
      </c>
      <c r="O147" s="7" t="n">
        <v>3</v>
      </c>
      <c r="P147" s="7" t="n"/>
      <c r="Q147" s="175" t="n">
        <v>2</v>
      </c>
      <c r="R147" s="7" t="n"/>
      <c r="S147" s="7" t="n"/>
      <c r="T147" s="7" t="n"/>
      <c r="U147" s="7" t="n"/>
      <c r="V147" s="7" t="n"/>
      <c r="W147" s="7" t="n"/>
      <c r="X147" s="7" t="n"/>
      <c r="Y147" s="7" t="n"/>
      <c r="Z147" s="7" t="n"/>
      <c r="AA147" s="7" t="n"/>
      <c r="AB147" s="175" t="n">
        <v>2</v>
      </c>
      <c r="AC147" s="175" t="n">
        <v>2</v>
      </c>
    </row>
    <row r="148">
      <c r="A148" s="6" t="inlineStr">
        <is>
          <t>работник 58</t>
        </is>
      </c>
      <c r="B148" s="6" t="inlineStr">
        <is>
          <t>Оператор дизельных котлов | Машинист насосных установок</t>
        </is>
      </c>
      <c r="C148" s="6" t="inlineStr">
        <is>
          <t>Оператор дизельных котлов | Машинист насосных установок</t>
        </is>
      </c>
      <c r="D148" s="6" t="inlineStr">
        <is>
          <t>ОБЩЕСТВО С ОГРАНИЧЕННОЙ ОТВЕТСТВЕННОСТЬЮ "АМУР ЗОЛОТО"</t>
        </is>
      </c>
      <c r="E148" s="6" t="inlineStr">
        <is>
          <t>2708001686</t>
        </is>
      </c>
      <c r="F148" s="6" t="inlineStr">
        <is>
          <t>ООО "Амур Золото"</t>
        </is>
      </c>
      <c r="G148" s="6" t="inlineStr">
        <is>
          <t>2708001686</t>
        </is>
      </c>
      <c r="H148" s="6" t="inlineStr">
        <is>
          <t>37117402; 37117403; 37117404; 131313248; 131313260</t>
        </is>
      </c>
      <c r="I148" s="6" t="inlineStr">
        <is>
          <t>2978778; 9873379</t>
        </is>
      </c>
      <c r="J148" s="6" t="inlineStr">
        <is>
          <t>ОТ № ЮГОК ЭУ 23-01; ОТ № ЮГОК ЭУ 25-04</t>
        </is>
      </c>
      <c r="K148" s="6" t="inlineStr">
        <is>
          <t>23.11.2023; 03.06.2025</t>
        </is>
      </c>
      <c r="L148" s="6" t="inlineStr">
        <is>
          <t>Успешно</t>
        </is>
      </c>
      <c r="M148" s="6" t="inlineStr">
        <is>
          <t>Пользовательский интерфейс</t>
        </is>
      </c>
      <c r="N148" s="7" t="n">
        <v>5</v>
      </c>
      <c r="O148" s="7" t="n">
        <v>2</v>
      </c>
      <c r="P148" s="7" t="n"/>
      <c r="Q148" s="175" t="n">
        <v>2</v>
      </c>
      <c r="R148" s="7" t="n"/>
      <c r="S148" s="7" t="n"/>
      <c r="T148" s="7" t="n"/>
      <c r="U148" s="7" t="n"/>
      <c r="V148" s="7" t="n"/>
      <c r="W148" s="7" t="n"/>
      <c r="X148" s="7" t="n"/>
      <c r="Y148" s="7" t="n"/>
      <c r="Z148" s="7" t="n"/>
      <c r="AA148" s="7" t="n"/>
      <c r="AB148" s="7" t="n">
        <v>1</v>
      </c>
      <c r="AC148" s="175" t="n">
        <v>2</v>
      </c>
    </row>
    <row r="149">
      <c r="A149" s="6" t="inlineStr">
        <is>
          <t>работник 85</t>
        </is>
      </c>
      <c r="B149" s="6" t="inlineStr">
        <is>
          <t>Горнорабочий | Водитель автомобиля (категория С) | Водитель автомобиля (занятый на транспортировании горной массы в технологическом процессе)</t>
        </is>
      </c>
      <c r="C149" s="6" t="inlineStr">
        <is>
          <t>Горнорабочий | Водитель автомобиля (категория С) | Водитель автомобиля (занятый на транспортировании горной массы в технологическом процессе)</t>
        </is>
      </c>
      <c r="D149" s="6" t="inlineStr">
        <is>
          <t>ОБЩЕСТВО С ОГРАНИЧЕННОЙ ОТВЕТСТВЕННОСТЬЮ "АМУР ЗОЛОТО"</t>
        </is>
      </c>
      <c r="E149" s="6" t="inlineStr">
        <is>
          <t>2708001686</t>
        </is>
      </c>
      <c r="F149" s="6" t="inlineStr">
        <is>
          <t>ООО "Амур Золото"</t>
        </is>
      </c>
      <c r="G149" s="6" t="inlineStr">
        <is>
          <t>2708001686</t>
        </is>
      </c>
      <c r="H149" s="6" t="inlineStr">
        <is>
          <t>37117518; 37117519; 37117520; 42252403; 42252404; 42252405; 222717154; 222717155; 222717156</t>
        </is>
      </c>
      <c r="I149" s="6" t="inlineStr">
        <is>
          <t>2978778; 3404353; 15953442</t>
        </is>
      </c>
      <c r="J149" s="6" t="inlineStr">
        <is>
          <t>ОТ № ЮГОК ГМО 23-01; ОТ № ЮГОК АТЦ 24-04; ЮГОК АТЦ 26-15</t>
        </is>
      </c>
      <c r="K149" s="6" t="inlineStr">
        <is>
          <t>03.12.2023; 23.02.2024; 17.08.2026</t>
        </is>
      </c>
      <c r="L149" s="6" t="inlineStr">
        <is>
          <t>Успешно</t>
        </is>
      </c>
      <c r="M149" s="6" t="inlineStr">
        <is>
          <t>Пользовательский интерфейс</t>
        </is>
      </c>
      <c r="N149" s="7" t="n">
        <v>9</v>
      </c>
      <c r="O149" s="7" t="n">
        <v>3</v>
      </c>
      <c r="P149" s="7" t="n"/>
      <c r="Q149" s="175" t="n">
        <v>3</v>
      </c>
      <c r="R149" s="7" t="n"/>
      <c r="S149" s="7" t="n"/>
      <c r="T149" s="7" t="n"/>
      <c r="U149" s="7" t="n"/>
      <c r="V149" s="7" t="n"/>
      <c r="W149" s="7" t="n"/>
      <c r="X149" s="7" t="n"/>
      <c r="Y149" s="7" t="n"/>
      <c r="Z149" s="7" t="n"/>
      <c r="AA149" s="7" t="n"/>
      <c r="AB149" s="175" t="n">
        <v>3</v>
      </c>
      <c r="AC149" s="175" t="n">
        <v>3</v>
      </c>
    </row>
    <row r="150">
      <c r="A150" s="6" t="inlineStr">
        <is>
          <t>работник 544</t>
        </is>
      </c>
      <c r="B150" s="6" t="inlineStr">
        <is>
          <t>Дробильщик</t>
        </is>
      </c>
      <c r="C150" s="6" t="inlineStr">
        <is>
          <t>Дробильщик</t>
        </is>
      </c>
      <c r="D150" s="6" t="inlineStr">
        <is>
          <t>ОБЩЕСТВО С ОГРАНИЧЕННОЙ ОТВЕТСТВЕННОСТЬЮ "АМУР ЗОЛОТО"</t>
        </is>
      </c>
      <c r="E150" s="6" t="inlineStr">
        <is>
          <t>2708001686</t>
        </is>
      </c>
      <c r="F150" s="6" t="inlineStr">
        <is>
          <t>ООО "Амур Золото"</t>
        </is>
      </c>
      <c r="G150" s="6" t="inlineStr">
        <is>
          <t>2708001686</t>
        </is>
      </c>
      <c r="H150" s="6" t="inlineStr">
        <is>
          <t>121097099; 121097100; 223283059; 223283060; 223283061</t>
        </is>
      </c>
      <c r="I150" s="6" t="inlineStr">
        <is>
          <t>9114030; 15995643</t>
        </is>
      </c>
      <c r="J150" s="6" t="inlineStr">
        <is>
          <t>ОТ № ЮГОК ПАЛ 25-03; ЮГОК ПАЛ 26-13</t>
        </is>
      </c>
      <c r="K150" s="6" t="inlineStr">
        <is>
          <t>28.03.2025; 09.09.2026</t>
        </is>
      </c>
      <c r="L150" s="6" t="inlineStr">
        <is>
          <t>Успешно</t>
        </is>
      </c>
      <c r="M150" s="6" t="inlineStr">
        <is>
          <t>Пользовательский интерфейс</t>
        </is>
      </c>
      <c r="N150" s="7" t="n">
        <v>5</v>
      </c>
      <c r="O150" s="7" t="n">
        <v>2</v>
      </c>
      <c r="P150" s="7" t="n"/>
      <c r="Q150" s="175" t="n">
        <v>2</v>
      </c>
      <c r="R150" s="7" t="n"/>
      <c r="S150" s="7" t="n"/>
      <c r="T150" s="7" t="n"/>
      <c r="U150" s="7" t="n"/>
      <c r="V150" s="7" t="n"/>
      <c r="W150" s="7" t="n"/>
      <c r="X150" s="7" t="n"/>
      <c r="Y150" s="7" t="n"/>
      <c r="Z150" s="7" t="n"/>
      <c r="AA150" s="7" t="n"/>
      <c r="AB150" s="7" t="n">
        <v>1</v>
      </c>
      <c r="AC150" s="175" t="n">
        <v>2</v>
      </c>
    </row>
    <row r="151">
      <c r="A151" s="6" t="inlineStr">
        <is>
          <t>работник 780</t>
        </is>
      </c>
      <c r="B151" s="6" t="inlineStr">
        <is>
          <t>Горный диспетчер</t>
        </is>
      </c>
      <c r="C151" s="6" t="inlineStr">
        <is>
          <t>Горный диспетчер</t>
        </is>
      </c>
      <c r="D151" s="6" t="inlineStr">
        <is>
          <t>ОБЩЕСТВО С ОГРАНИЧЕННОЙ ОТВЕТСТВЕННОСТЬЮ "АМУР ЗОЛОТО"</t>
        </is>
      </c>
      <c r="E151" s="6" t="inlineStr">
        <is>
          <t>2708001686</t>
        </is>
      </c>
      <c r="F151" s="6" t="inlineStr">
        <is>
          <t>ООО "Амур Золото"</t>
        </is>
      </c>
      <c r="G151" s="6" t="inlineStr">
        <is>
          <t>2708001686</t>
        </is>
      </c>
      <c r="H151" s="6" t="inlineStr">
        <is>
          <t>200897111; 200897112; 200897113; 214421515; 214421516; 214421517</t>
        </is>
      </c>
      <c r="I151" s="6" t="inlineStr">
        <is>
          <t>14513218; 15411209</t>
        </is>
      </c>
      <c r="J151" s="6" t="inlineStr">
        <is>
          <t>ЮГОК ПГУ 26-01; ЮГОК ПГУ 26-41</t>
        </is>
      </c>
      <c r="K151" s="6" t="inlineStr">
        <is>
          <t>04.06.2026; 28.07.2026</t>
        </is>
      </c>
      <c r="L151" s="6" t="inlineStr">
        <is>
          <t>Успешно</t>
        </is>
      </c>
      <c r="M151" s="6" t="inlineStr">
        <is>
          <t>Пользовательский интерфейс</t>
        </is>
      </c>
      <c r="N151" s="7" t="n">
        <v>6</v>
      </c>
      <c r="O151" s="7" t="n">
        <v>2</v>
      </c>
      <c r="P151" s="7" t="n">
        <v>1</v>
      </c>
      <c r="Q151" s="175" t="n">
        <v>2</v>
      </c>
      <c r="R151" s="7" t="n"/>
      <c r="S151" s="7" t="n"/>
      <c r="T151" s="7" t="n"/>
      <c r="U151" s="7" t="n"/>
      <c r="V151" s="7" t="n"/>
      <c r="W151" s="7" t="n"/>
      <c r="X151" s="7" t="n"/>
      <c r="Y151" s="7" t="n"/>
      <c r="Z151" s="7" t="n"/>
      <c r="AA151" s="7" t="n"/>
      <c r="AB151" s="7" t="n">
        <v>1</v>
      </c>
      <c r="AC151" s="175" t="n">
        <v>2</v>
      </c>
    </row>
    <row r="152">
      <c r="A152" s="6" t="inlineStr">
        <is>
          <t>работник 164</t>
        </is>
      </c>
      <c r="B152" s="6" t="inlineStr">
        <is>
          <t>Машинист самоходной буровой установки | Машинист самоходной буровой установки (Проходка)</t>
        </is>
      </c>
      <c r="C152" s="6" t="inlineStr">
        <is>
          <t>Машинист самоходной буровой установки | Машинист самоходной буровой установки (Проходка)</t>
        </is>
      </c>
      <c r="D152" s="6" t="inlineStr">
        <is>
          <t>ОБЩЕСТВО С ОГРАНИЧЕННОЙ ОТВЕТСТВЕННОСТЬЮ "АМУР ЗОЛОТО"</t>
        </is>
      </c>
      <c r="E152" s="6" t="inlineStr">
        <is>
          <t>2708001686</t>
        </is>
      </c>
      <c r="F152" s="6" t="inlineStr">
        <is>
          <t>ООО "Амур Золото"</t>
        </is>
      </c>
      <c r="G152" s="6" t="inlineStr">
        <is>
          <t>2708001686</t>
        </is>
      </c>
      <c r="H152" s="6" t="inlineStr">
        <is>
          <t>37117790; 37117804; 37117805; 87544986; 87544987; 214421414; 214421415; 214421416</t>
        </is>
      </c>
      <c r="I152" s="6" t="inlineStr">
        <is>
          <t>2978778; 6719954; 15411209</t>
        </is>
      </c>
      <c r="J152" s="6" t="inlineStr">
        <is>
          <t>ОТ № ЮГОК ПГУ 24-01; ОТ № ЮГОК ПГУ 24-23; ЮГОК ПГУ 26-29</t>
        </is>
      </c>
      <c r="K152" s="6" t="inlineStr">
        <is>
          <t>19.01.2024; 12.11.2024; 25.07.2026</t>
        </is>
      </c>
      <c r="L152" s="6" t="inlineStr">
        <is>
          <t>Успешно</t>
        </is>
      </c>
      <c r="M152" s="6" t="inlineStr">
        <is>
          <t>Пользовательский интерфейс</t>
        </is>
      </c>
      <c r="N152" s="7" t="n">
        <v>8</v>
      </c>
      <c r="O152" s="7" t="n">
        <v>3</v>
      </c>
      <c r="P152" s="7" t="n"/>
      <c r="Q152" s="175" t="n">
        <v>3</v>
      </c>
      <c r="R152" s="7" t="n"/>
      <c r="S152" s="7" t="n"/>
      <c r="T152" s="7" t="n"/>
      <c r="U152" s="7" t="n"/>
      <c r="V152" s="7" t="n"/>
      <c r="W152" s="7" t="n"/>
      <c r="X152" s="7" t="n"/>
      <c r="Y152" s="7" t="n"/>
      <c r="Z152" s="7" t="n"/>
      <c r="AA152" s="7" t="n"/>
      <c r="AB152" s="175" t="n">
        <v>2</v>
      </c>
      <c r="AC152" s="175" t="n">
        <v>3</v>
      </c>
    </row>
    <row r="153">
      <c r="A153" s="6" t="inlineStr">
        <is>
          <t>работник 594</t>
        </is>
      </c>
      <c r="B153" s="6" t="inlineStr">
        <is>
          <t>Машинист насосных установок | Помощник машиниста самоходной буровой установки (с исполнением обязанностей пробоотборщика)</t>
        </is>
      </c>
      <c r="C153" s="6" t="inlineStr">
        <is>
          <t>Машинист насосных установок | Помощник машиниста самоходной буровой установки (с исполнением обязанностей пробоотборщика)</t>
        </is>
      </c>
      <c r="D153" s="6" t="inlineStr">
        <is>
          <t>ОБЩЕСТВО С ОГРАНИЧЕННОЙ ОТВЕТСТВЕННОСТЬЮ "АМУР ЗОЛОТО"</t>
        </is>
      </c>
      <c r="E153" s="6" t="inlineStr">
        <is>
          <t>2708001686</t>
        </is>
      </c>
      <c r="F153" s="6" t="inlineStr">
        <is>
          <t>ООО "Амур Золото"</t>
        </is>
      </c>
      <c r="G153" s="6" t="inlineStr">
        <is>
          <t>2708001686</t>
        </is>
      </c>
      <c r="H153" s="6" t="inlineStr">
        <is>
          <t>148626991; 148626992; 214421423; 214421424; 214421425</t>
        </is>
      </c>
      <c r="I153" s="6" t="inlineStr">
        <is>
          <t>11125717; 15411209</t>
        </is>
      </c>
      <c r="J153" s="6" t="inlineStr">
        <is>
          <t>ОТ № ЮГОК ПГУ 26-25; ЮГОК ПГУ 26-30</t>
        </is>
      </c>
      <c r="K153" s="6" t="inlineStr">
        <is>
          <t>22.07.2025; 26.07.2026</t>
        </is>
      </c>
      <c r="L153" s="6" t="inlineStr">
        <is>
          <t>Успешно</t>
        </is>
      </c>
      <c r="M153" s="6" t="inlineStr">
        <is>
          <t>Пользовательский интерфейс</t>
        </is>
      </c>
      <c r="N153" s="7" t="n">
        <v>5</v>
      </c>
      <c r="O153" s="7" t="n">
        <v>2</v>
      </c>
      <c r="P153" s="7" t="n"/>
      <c r="Q153" s="175" t="n">
        <v>2</v>
      </c>
      <c r="R153" s="7" t="n"/>
      <c r="S153" s="7" t="n"/>
      <c r="T153" s="7" t="n"/>
      <c r="U153" s="7" t="n"/>
      <c r="V153" s="7" t="n"/>
      <c r="W153" s="7" t="n"/>
      <c r="X153" s="7" t="n"/>
      <c r="Y153" s="7" t="n"/>
      <c r="Z153" s="7" t="n"/>
      <c r="AA153" s="7" t="n"/>
      <c r="AB153" s="7" t="n">
        <v>1</v>
      </c>
      <c r="AC153" s="175" t="n">
        <v>2</v>
      </c>
    </row>
    <row r="154">
      <c r="A154" s="6" t="inlineStr">
        <is>
          <t>работник 204</t>
        </is>
      </c>
      <c r="B154" s="6" t="inlineStr">
        <is>
          <t>Машинист бульдозера</t>
        </is>
      </c>
      <c r="C154" s="6" t="inlineStr">
        <is>
          <t>Машинист бульдозера</t>
        </is>
      </c>
      <c r="D154" s="6" t="inlineStr">
        <is>
          <t>ОБЩЕСТВО С ОГРАНИЧЕННОЙ ОТВЕТСТВЕННОСТЬЮ "АМУР ЗОЛОТО"</t>
        </is>
      </c>
      <c r="E154" s="6" t="inlineStr">
        <is>
          <t>2708001686</t>
        </is>
      </c>
      <c r="F154" s="6" t="inlineStr">
        <is>
          <t>ООО "Амур Золото"</t>
        </is>
      </c>
      <c r="G154" s="6" t="inlineStr">
        <is>
          <t>2708001686</t>
        </is>
      </c>
      <c r="H154" s="6" t="inlineStr">
        <is>
          <t>41372050; 41372051; 41372052; 222717198; 222717199; 222717200</t>
        </is>
      </c>
      <c r="I154" s="6" t="inlineStr">
        <is>
          <t>3335316; 15953442</t>
        </is>
      </c>
      <c r="J154" s="6" t="inlineStr">
        <is>
          <t>ОТ № ЮГОК АТЦ 23-03; ЮГОК АТЦ 26-19; ЮГОК АТЦ 26-20</t>
        </is>
      </c>
      <c r="K154" s="6" t="inlineStr">
        <is>
          <t>03.12.2023; 18.08.2026</t>
        </is>
      </c>
      <c r="L154" s="6" t="inlineStr">
        <is>
          <t>Успешно</t>
        </is>
      </c>
      <c r="M154" s="6" t="inlineStr">
        <is>
          <t>Пользовательский интерфейс</t>
        </is>
      </c>
      <c r="N154" s="7" t="n">
        <v>6</v>
      </c>
      <c r="O154" s="7" t="n">
        <v>3</v>
      </c>
      <c r="P154" s="7" t="n"/>
      <c r="Q154" s="175" t="n">
        <v>2</v>
      </c>
      <c r="R154" s="7" t="n"/>
      <c r="S154" s="7" t="n"/>
      <c r="T154" s="7" t="n"/>
      <c r="U154" s="7" t="n"/>
      <c r="V154" s="7" t="n"/>
      <c r="W154" s="7" t="n"/>
      <c r="X154" s="7" t="n"/>
      <c r="Y154" s="7" t="n"/>
      <c r="Z154" s="7" t="n"/>
      <c r="AA154" s="7" t="n"/>
      <c r="AB154" s="175" t="n">
        <v>2</v>
      </c>
      <c r="AC154" s="175" t="n">
        <v>2</v>
      </c>
    </row>
    <row r="155">
      <c r="A155" s="6" t="inlineStr">
        <is>
          <t>работник 191</t>
        </is>
      </c>
      <c r="B155" s="6" t="inlineStr">
        <is>
          <t>Машинист катка | Водитель погрузчика</t>
        </is>
      </c>
      <c r="C155" s="6" t="inlineStr">
        <is>
          <t>Машинист катка | Водитель погрузчика</t>
        </is>
      </c>
      <c r="D155" s="6" t="inlineStr">
        <is>
          <t>ОБЩЕСТВО С ОГРАНИЧЕННОЙ ОТВЕТСТВЕННОСТЬЮ "АМУР ЗОЛОТО"</t>
        </is>
      </c>
      <c r="E155" s="6" t="inlineStr">
        <is>
          <t>2708001686</t>
        </is>
      </c>
      <c r="F155" s="6" t="inlineStr">
        <is>
          <t>ООО "Амур Золото"</t>
        </is>
      </c>
      <c r="G155" s="6" t="inlineStr">
        <is>
          <t>2708001686</t>
        </is>
      </c>
      <c r="H155" s="6" t="inlineStr">
        <is>
          <t>41372011; 41372012; 41372013; 66544956; 66544957; 66544958</t>
        </is>
      </c>
      <c r="I155" s="6" t="inlineStr">
        <is>
          <t>3335316; 5129076</t>
        </is>
      </c>
      <c r="J155" s="6" t="inlineStr">
        <is>
          <t>ОТ № ЮГОК АТЦ 23-03; ОТ № ЮГОК АТЦ 24-05</t>
        </is>
      </c>
      <c r="K155" s="6" t="inlineStr">
        <is>
          <t>03.12.2023; 30.06.2024</t>
        </is>
      </c>
      <c r="L155" s="6" t="inlineStr">
        <is>
          <t>Успешно</t>
        </is>
      </c>
      <c r="M155" s="6" t="inlineStr">
        <is>
          <t>Пользовательский интерфейс</t>
        </is>
      </c>
      <c r="N155" s="7" t="n">
        <v>6</v>
      </c>
      <c r="O155" s="7" t="n">
        <v>3</v>
      </c>
      <c r="P155" s="7" t="n"/>
      <c r="Q155" s="175" t="n">
        <v>2</v>
      </c>
      <c r="R155" s="7" t="n"/>
      <c r="S155" s="7" t="n"/>
      <c r="T155" s="7" t="n"/>
      <c r="U155" s="7" t="n"/>
      <c r="V155" s="7" t="n"/>
      <c r="W155" s="7" t="n"/>
      <c r="X155" s="7" t="n"/>
      <c r="Y155" s="7" t="n"/>
      <c r="Z155" s="7" t="n"/>
      <c r="AA155" s="7" t="n"/>
      <c r="AB155" s="175" t="n">
        <v>2</v>
      </c>
      <c r="AC155" s="175" t="n">
        <v>2</v>
      </c>
    </row>
    <row r="156">
      <c r="A156" s="6" t="inlineStr">
        <is>
          <t>работник 466</t>
        </is>
      </c>
      <c r="B156" s="6" t="inlineStr">
        <is>
          <t>Водитель автомобиля (занятый на транспортировании горной массы в технологическом процессе)</t>
        </is>
      </c>
      <c r="C156" s="6" t="inlineStr">
        <is>
          <t>Водитель автомобиля (занятый на транспортировании горной массы в технологическом процессе)</t>
        </is>
      </c>
      <c r="D156" s="6" t="inlineStr">
        <is>
          <t>ОБЩЕСТВО С ОГРАНИЧЕННОЙ ОТВЕТСТВЕННОСТЬЮ "АМУР ЗОЛОТО"</t>
        </is>
      </c>
      <c r="E156" s="6" t="inlineStr">
        <is>
          <t>2708001686</t>
        </is>
      </c>
      <c r="F156" s="6" t="inlineStr">
        <is>
          <t>ООО "Амур Золото"</t>
        </is>
      </c>
      <c r="G156" s="6" t="inlineStr">
        <is>
          <t>2708001686</t>
        </is>
      </c>
      <c r="H156" s="6" t="inlineStr">
        <is>
          <t>86265119; 86265120; 222717134; 222717135; 222717136</t>
        </is>
      </c>
      <c r="I156" s="6" t="inlineStr">
        <is>
          <t>6621561; 15953442</t>
        </is>
      </c>
      <c r="J156" s="6" t="inlineStr">
        <is>
          <t>ОТ № ЮГОК АТЦ 24-15; ЮГОК АТЦ 26-15</t>
        </is>
      </c>
      <c r="K156" s="6" t="inlineStr">
        <is>
          <t>04.11.2024; 17.08.2026</t>
        </is>
      </c>
      <c r="L156" s="6" t="inlineStr">
        <is>
          <t>Успешно</t>
        </is>
      </c>
      <c r="M156" s="6" t="inlineStr">
        <is>
          <t>Пользовательский интерфейс</t>
        </is>
      </c>
      <c r="N156" s="7" t="n">
        <v>5</v>
      </c>
      <c r="O156" s="7" t="n">
        <v>2</v>
      </c>
      <c r="P156" s="7" t="n"/>
      <c r="Q156" s="175" t="n">
        <v>2</v>
      </c>
      <c r="R156" s="7" t="n"/>
      <c r="S156" s="7" t="n"/>
      <c r="T156" s="7" t="n"/>
      <c r="U156" s="7" t="n"/>
      <c r="V156" s="7" t="n"/>
      <c r="W156" s="7" t="n"/>
      <c r="X156" s="7" t="n"/>
      <c r="Y156" s="7" t="n"/>
      <c r="Z156" s="7" t="n"/>
      <c r="AA156" s="7" t="n"/>
      <c r="AB156" s="7" t="n">
        <v>1</v>
      </c>
      <c r="AC156" s="175" t="n">
        <v>2</v>
      </c>
    </row>
    <row r="157">
      <c r="A157" s="6" t="inlineStr">
        <is>
          <t>работник 758</t>
        </is>
      </c>
      <c r="B157" s="6" t="inlineStr">
        <is>
          <t>Слесарь-ремонтник (по ремонту обогатительного оборудования)</t>
        </is>
      </c>
      <c r="C157" s="6" t="inlineStr">
        <is>
          <t>Слесарь-ремонтник (по ремонту обогатительного оборудования)</t>
        </is>
      </c>
      <c r="D157" s="6" t="inlineStr">
        <is>
          <t>ОБЩЕСТВО С ОГРАНИЧЕННОЙ ОТВЕТСТВЕННОСТЬЮ "АМУР ЗОЛОТО"</t>
        </is>
      </c>
      <c r="E157" s="6" t="inlineStr">
        <is>
          <t>2708001686</t>
        </is>
      </c>
      <c r="F157" s="6" t="inlineStr">
        <is>
          <t>ООО "Амур Золото"</t>
        </is>
      </c>
      <c r="G157" s="6" t="inlineStr">
        <is>
          <t>2708001686</t>
        </is>
      </c>
      <c r="H157" s="6" t="inlineStr">
        <is>
          <t>200897029; 200897030; 200897031; 200897032; 200897033; 200897034; 214421309; 214421310; 214421311</t>
        </is>
      </c>
      <c r="I157" s="6" t="inlineStr">
        <is>
          <t>14513218; 15411209</t>
        </is>
      </c>
      <c r="J157" s="6" t="inlineStr">
        <is>
          <t>ЮГОК ЗИОФ 26-01; ЮГОК ЗИОФ 26-38</t>
        </is>
      </c>
      <c r="K157" s="6" t="inlineStr">
        <is>
          <t>05.06.2026; 29.07.2026</t>
        </is>
      </c>
      <c r="L157" s="6" t="inlineStr">
        <is>
          <t>Успешно</t>
        </is>
      </c>
      <c r="M157" s="6" t="inlineStr">
        <is>
          <t>Пользовательский интерфейс</t>
        </is>
      </c>
      <c r="N157" s="7" t="n">
        <v>9</v>
      </c>
      <c r="O157" s="7" t="n">
        <v>3</v>
      </c>
      <c r="P157" s="7" t="n"/>
      <c r="Q157" s="175" t="n">
        <v>2</v>
      </c>
      <c r="R157" s="7" t="n">
        <v>1</v>
      </c>
      <c r="S157" s="7" t="n">
        <v>1</v>
      </c>
      <c r="T157" s="7" t="n">
        <v>1</v>
      </c>
      <c r="U157" s="7" t="n"/>
      <c r="V157" s="7" t="n"/>
      <c r="W157" s="7" t="n"/>
      <c r="X157" s="7" t="n"/>
      <c r="Y157" s="7" t="n"/>
      <c r="Z157" s="7" t="n"/>
      <c r="AA157" s="7" t="n"/>
      <c r="AB157" s="175" t="n">
        <v>2</v>
      </c>
      <c r="AC157" s="175" t="n">
        <v>2</v>
      </c>
    </row>
    <row r="158">
      <c r="A158" s="6" t="inlineStr">
        <is>
          <t>работник 193</t>
        </is>
      </c>
      <c r="B158" s="6" t="inlineStr">
        <is>
          <t>Водитель автомобиля (категория Д)</t>
        </is>
      </c>
      <c r="C158" s="6" t="inlineStr">
        <is>
          <t>Водитель автомобиля (категория Д) | Водитель автомобиля (категория D)</t>
        </is>
      </c>
      <c r="D158" s="6" t="inlineStr">
        <is>
          <t>ОБЩЕСТВО С ОГРАНИЧЕННОЙ ОТВЕТСТВЕННОСТЬЮ "АМУР ЗОЛОТО"</t>
        </is>
      </c>
      <c r="E158" s="6" t="inlineStr">
        <is>
          <t>2708001686</t>
        </is>
      </c>
      <c r="F158" s="6" t="inlineStr">
        <is>
          <t>ООО "Амур Золото"</t>
        </is>
      </c>
      <c r="G158" s="6" t="inlineStr">
        <is>
          <t>2708001686</t>
        </is>
      </c>
      <c r="H158" s="6" t="inlineStr">
        <is>
          <t>41372017; 41372018; 41372019; 42252406; 42252407; 42252408</t>
        </is>
      </c>
      <c r="I158" s="6" t="inlineStr">
        <is>
          <t>3335316; 3404353</t>
        </is>
      </c>
      <c r="J158" s="6" t="inlineStr">
        <is>
          <t>ОТ № ЮГОК АТЦ 23-03; ОТ № ЮГОК АТЦ 24-04</t>
        </is>
      </c>
      <c r="K158" s="6" t="inlineStr">
        <is>
          <t>03.12.2023; 23.02.2024</t>
        </is>
      </c>
      <c r="L158" s="6" t="inlineStr">
        <is>
          <t>Успешно</t>
        </is>
      </c>
      <c r="M158" s="6" t="inlineStr">
        <is>
          <t>Пользовательский интерфейс</t>
        </is>
      </c>
      <c r="N158" s="7" t="n">
        <v>6</v>
      </c>
      <c r="O158" s="7" t="n">
        <v>3</v>
      </c>
      <c r="P158" s="7" t="n"/>
      <c r="Q158" s="175" t="n">
        <v>2</v>
      </c>
      <c r="R158" s="7" t="n"/>
      <c r="S158" s="7" t="n"/>
      <c r="T158" s="7" t="n"/>
      <c r="U158" s="7" t="n"/>
      <c r="V158" s="7" t="n"/>
      <c r="W158" s="7" t="n"/>
      <c r="X158" s="7" t="n"/>
      <c r="Y158" s="7" t="n"/>
      <c r="Z158" s="7" t="n"/>
      <c r="AA158" s="7" t="n"/>
      <c r="AB158" s="175" t="n">
        <v>2</v>
      </c>
      <c r="AC158" s="175" t="n">
        <v>2</v>
      </c>
    </row>
    <row r="159">
      <c r="A159" s="6" t="inlineStr">
        <is>
          <t>работник 755</t>
        </is>
      </c>
      <c r="B159" s="6" t="inlineStr">
        <is>
          <t>Фильтровальщик</t>
        </is>
      </c>
      <c r="C159" s="6" t="inlineStr">
        <is>
          <t>Фильтровальщик</t>
        </is>
      </c>
      <c r="D159" s="6" t="inlineStr">
        <is>
          <t>ОБЩЕСТВО С ОГРАНИЧЕННОЙ ОТВЕТСТВЕННОСТЬЮ "АМУР ЗОЛОТО"</t>
        </is>
      </c>
      <c r="E159" s="6" t="inlineStr">
        <is>
          <t>2708001686</t>
        </is>
      </c>
      <c r="F159" s="6" t="inlineStr">
        <is>
          <t>ООО "Амур Золото"</t>
        </is>
      </c>
      <c r="G159" s="6" t="inlineStr">
        <is>
          <t>2708001686</t>
        </is>
      </c>
      <c r="H159" s="6" t="inlineStr">
        <is>
          <t>200896995; 200896996; 200896997; 200896998; 200896999; 214421204; 214421205; 214421206</t>
        </is>
      </c>
      <c r="I159" s="6" t="inlineStr">
        <is>
          <t>14513218; 15411209</t>
        </is>
      </c>
      <c r="J159" s="6" t="inlineStr">
        <is>
          <t>ЮГОК ЗИОФ 26-01; ЮГОК ЗИОФ 26-28</t>
        </is>
      </c>
      <c r="K159" s="6" t="inlineStr">
        <is>
          <t>05.06.2026; 29.07.2026</t>
        </is>
      </c>
      <c r="L159" s="6" t="inlineStr">
        <is>
          <t>Успешно</t>
        </is>
      </c>
      <c r="M159" s="6" t="inlineStr">
        <is>
          <t>Пользовательский интерфейс</t>
        </is>
      </c>
      <c r="N159" s="7" t="n">
        <v>8</v>
      </c>
      <c r="O159" s="7" t="n">
        <v>3</v>
      </c>
      <c r="P159" s="7" t="n"/>
      <c r="Q159" s="175" t="n">
        <v>2</v>
      </c>
      <c r="R159" s="7" t="n">
        <v>1</v>
      </c>
      <c r="S159" s="7" t="n"/>
      <c r="T159" s="7" t="n">
        <v>1</v>
      </c>
      <c r="U159" s="7" t="n"/>
      <c r="V159" s="7" t="n"/>
      <c r="W159" s="7" t="n"/>
      <c r="X159" s="7" t="n"/>
      <c r="Y159" s="7" t="n"/>
      <c r="Z159" s="7" t="n"/>
      <c r="AA159" s="7" t="n"/>
      <c r="AB159" s="175" t="n">
        <v>2</v>
      </c>
      <c r="AC159" s="175" t="n">
        <v>2</v>
      </c>
    </row>
    <row r="160">
      <c r="A160" s="6" t="inlineStr">
        <is>
          <t>работник 71</t>
        </is>
      </c>
      <c r="B160" s="6" t="inlineStr">
        <is>
          <t>Подсобный рабочий | Оператор дизельных котлов</t>
        </is>
      </c>
      <c r="C160" s="6" t="inlineStr">
        <is>
          <t>Подсобный рабочий | Оператор дизельных котлов</t>
        </is>
      </c>
      <c r="D160" s="6" t="inlineStr">
        <is>
          <t>ОБЩЕСТВО С ОГРАНИЧЕННОЙ ОТВЕТСТВЕННОСТЬЮ "АМУР ЗОЛОТО"</t>
        </is>
      </c>
      <c r="E160" s="6" t="inlineStr">
        <is>
          <t>2708001686</t>
        </is>
      </c>
      <c r="F160" s="6" t="inlineStr">
        <is>
          <t>ООО "Амур Золото"</t>
        </is>
      </c>
      <c r="G160" s="6" t="inlineStr">
        <is>
          <t>2708001686</t>
        </is>
      </c>
      <c r="H160" s="6" t="inlineStr">
        <is>
          <t>37117444; 37117445; 37117446; 76186445; 76186446; 223283068; 223283069; 223283070</t>
        </is>
      </c>
      <c r="I160" s="6" t="inlineStr">
        <is>
          <t>2978778; 5868791; 15995643</t>
        </is>
      </c>
      <c r="J160" s="6" t="inlineStr">
        <is>
          <t>ОТ № ЮГОК УОП 23-01; ОТ №ЮГОК ЭК 24-22; ЮГОК ЭУ 26-27</t>
        </is>
      </c>
      <c r="K160" s="6" t="inlineStr">
        <is>
          <t>30.11.2023; 22.08.2024; 26.08.2026</t>
        </is>
      </c>
      <c r="L160" s="6" t="inlineStr">
        <is>
          <t>Успешно</t>
        </is>
      </c>
      <c r="M160" s="6" t="inlineStr">
        <is>
          <t>Пользовательский интерфейс</t>
        </is>
      </c>
      <c r="N160" s="7" t="n">
        <v>8</v>
      </c>
      <c r="O160" s="7" t="n">
        <v>3</v>
      </c>
      <c r="P160" s="7" t="n"/>
      <c r="Q160" s="175" t="n">
        <v>3</v>
      </c>
      <c r="R160" s="7" t="n"/>
      <c r="S160" s="7" t="n"/>
      <c r="T160" s="7" t="n"/>
      <c r="U160" s="7" t="n"/>
      <c r="V160" s="7" t="n"/>
      <c r="W160" s="7" t="n"/>
      <c r="X160" s="7" t="n"/>
      <c r="Y160" s="7" t="n"/>
      <c r="Z160" s="7" t="n"/>
      <c r="AA160" s="7" t="n"/>
      <c r="AB160" s="175" t="n">
        <v>2</v>
      </c>
      <c r="AC160" s="175" t="n">
        <v>3</v>
      </c>
    </row>
    <row r="161">
      <c r="A161" s="6" t="inlineStr">
        <is>
          <t>работник 786</t>
        </is>
      </c>
      <c r="B161" s="6" t="inlineStr">
        <is>
          <t>Водитель автомобиля (занятый на транспортировании горной массы в технологическом процессе) | Машинист двигателей внутреннего сгорания (с исполнением обязанностей машиниста компрессорных установок)</t>
        </is>
      </c>
      <c r="C161" s="6" t="inlineStr">
        <is>
          <t>Водитель автомобиля (занятый на транспортировании горной массы в технологическом процессе) | Машинист двигателей внутреннего сгорания (с исполнением обязанностей машиниста компрессорных установок)</t>
        </is>
      </c>
      <c r="D161" s="6" t="inlineStr">
        <is>
          <t>ОБЩЕСТВО С ОГРАНИЧЕННОЙ ОТВЕТСТВЕННОСТЬЮ "АМУР ЗОЛОТО"</t>
        </is>
      </c>
      <c r="E161" s="6" t="inlineStr">
        <is>
          <t>2708001686</t>
        </is>
      </c>
      <c r="F161" s="6" t="inlineStr">
        <is>
          <t>ООО "Амур Золото"</t>
        </is>
      </c>
      <c r="G161" s="6" t="inlineStr">
        <is>
          <t>2708001686</t>
        </is>
      </c>
      <c r="H161" s="6" t="inlineStr">
        <is>
          <t>200982817; 200982818; 200982819; 222717349; 222717350; 222717351</t>
        </is>
      </c>
      <c r="I161" s="6" t="inlineStr">
        <is>
          <t>14518357; 15953442</t>
        </is>
      </c>
      <c r="J161" s="6" t="inlineStr">
        <is>
          <t>ЮГОК АТЦ 26-01; ЮГОК ЭУ 26-23</t>
        </is>
      </c>
      <c r="K161" s="6" t="inlineStr">
        <is>
          <t>06.06.2026; 24.08.2026</t>
        </is>
      </c>
      <c r="L161" s="6" t="inlineStr">
        <is>
          <t>Успешно</t>
        </is>
      </c>
      <c r="M161" s="6" t="inlineStr">
        <is>
          <t>Пользовательский интерфейс</t>
        </is>
      </c>
      <c r="N161" s="7" t="n">
        <v>6</v>
      </c>
      <c r="O161" s="7" t="n">
        <v>3</v>
      </c>
      <c r="P161" s="7" t="n"/>
      <c r="Q161" s="175" t="n">
        <v>2</v>
      </c>
      <c r="R161" s="7" t="n"/>
      <c r="S161" s="7" t="n"/>
      <c r="T161" s="7" t="n"/>
      <c r="U161" s="7" t="n"/>
      <c r="V161" s="7" t="n"/>
      <c r="W161" s="7" t="n"/>
      <c r="X161" s="7" t="n"/>
      <c r="Y161" s="7" t="n"/>
      <c r="Z161" s="7" t="n"/>
      <c r="AA161" s="7" t="n"/>
      <c r="AB161" s="175" t="n">
        <v>2</v>
      </c>
      <c r="AC161" s="175" t="n">
        <v>2</v>
      </c>
    </row>
    <row r="162">
      <c r="A162" s="6" t="inlineStr">
        <is>
          <t>работник 567</t>
        </is>
      </c>
      <c r="B162" s="6" t="inlineStr">
        <is>
          <t>Слесарь-ремонтник (по ремонту обогатительного оборудования)</t>
        </is>
      </c>
      <c r="C162" s="6" t="inlineStr">
        <is>
          <t>Слесарь-ремонтник (по ремонту обогатительного оборудования)</t>
        </is>
      </c>
      <c r="D162" s="6" t="inlineStr">
        <is>
          <t>ОБЩЕСТВО С ОГРАНИЧЕННОЙ ОТВЕТСТВЕННОСТЬЮ "АМУР ЗОЛОТО"</t>
        </is>
      </c>
      <c r="E162" s="6" t="inlineStr">
        <is>
          <t>2708001686</t>
        </is>
      </c>
      <c r="F162" s="6" t="inlineStr">
        <is>
          <t>ООО "Амур Золото"</t>
        </is>
      </c>
      <c r="G162" s="6" t="inlineStr">
        <is>
          <t>2708001686</t>
        </is>
      </c>
      <c r="H162" s="6" t="inlineStr">
        <is>
          <t>131313236; 131313238; 223282996; 223282997; 223282998</t>
        </is>
      </c>
      <c r="I162" s="6" t="inlineStr">
        <is>
          <t>9873379; 15995643</t>
        </is>
      </c>
      <c r="J162" s="6" t="inlineStr">
        <is>
          <t>ОТ № ЮГОК ЗИОФ 25-22; ЮГОК ЗИОФ 26-50</t>
        </is>
      </c>
      <c r="K162" s="6" t="inlineStr">
        <is>
          <t>04.07.2025; 26.08.2026</t>
        </is>
      </c>
      <c r="L162" s="6" t="inlineStr">
        <is>
          <t>Успешно</t>
        </is>
      </c>
      <c r="M162" s="6" t="inlineStr">
        <is>
          <t>Пользовательский интерфейс</t>
        </is>
      </c>
      <c r="N162" s="7" t="n">
        <v>5</v>
      </c>
      <c r="O162" s="7" t="n">
        <v>2</v>
      </c>
      <c r="P162" s="7" t="n"/>
      <c r="Q162" s="175" t="n">
        <v>2</v>
      </c>
      <c r="R162" s="7" t="n"/>
      <c r="S162" s="7" t="n"/>
      <c r="T162" s="7" t="n"/>
      <c r="U162" s="7" t="n"/>
      <c r="V162" s="7" t="n"/>
      <c r="W162" s="7" t="n"/>
      <c r="X162" s="7" t="n"/>
      <c r="Y162" s="7" t="n"/>
      <c r="Z162" s="7" t="n"/>
      <c r="AA162" s="7" t="n"/>
      <c r="AB162" s="7" t="n">
        <v>1</v>
      </c>
      <c r="AC162" s="175" t="n">
        <v>2</v>
      </c>
    </row>
    <row r="163">
      <c r="A163" s="6" t="inlineStr">
        <is>
          <t>работник 551</t>
        </is>
      </c>
      <c r="B163" s="6" t="inlineStr">
        <is>
          <t>Кладовщик (с исполнением обязанностей ламповщика) | Ламповщик</t>
        </is>
      </c>
      <c r="C163" s="6" t="inlineStr">
        <is>
          <t>Кладовщик (с исполнением обязанностей ламповщика) | Ламповщик</t>
        </is>
      </c>
      <c r="D163" s="6" t="inlineStr">
        <is>
          <t>ОБЩЕСТВО С ОГРАНИЧЕННОЙ ОТВЕТСТВЕННОСТЬЮ "АМУР ЗОЛОТО"</t>
        </is>
      </c>
      <c r="E163" s="6" t="inlineStr">
        <is>
          <t>2708001686</t>
        </is>
      </c>
      <c r="F163" s="6" t="inlineStr">
        <is>
          <t>ООО "Амур Золото"</t>
        </is>
      </c>
      <c r="G163" s="6" t="inlineStr">
        <is>
          <t>2708001686</t>
        </is>
      </c>
      <c r="H163" s="6" t="inlineStr">
        <is>
          <t>121097113; 121097114; 216771110; 216771111; 216771112</t>
        </is>
      </c>
      <c r="I163" s="6" t="inlineStr">
        <is>
          <t>9114030; 15571832</t>
        </is>
      </c>
      <c r="J163" s="6" t="inlineStr">
        <is>
          <t>ОТ № ЮГОК ПГУ 13-25; ЮГОК ПГУ 26-45</t>
        </is>
      </c>
      <c r="K163" s="6" t="inlineStr">
        <is>
          <t>15.04.2025; 14.08.2026</t>
        </is>
      </c>
      <c r="L163" s="6" t="inlineStr">
        <is>
          <t>Успешно</t>
        </is>
      </c>
      <c r="M163" s="6" t="inlineStr">
        <is>
          <t>Пользовательский интерфейс</t>
        </is>
      </c>
      <c r="N163" s="7" t="n">
        <v>5</v>
      </c>
      <c r="O163" s="7" t="n">
        <v>2</v>
      </c>
      <c r="P163" s="7" t="n"/>
      <c r="Q163" s="175" t="n">
        <v>2</v>
      </c>
      <c r="R163" s="7" t="n"/>
      <c r="S163" s="7" t="n"/>
      <c r="T163" s="7" t="n"/>
      <c r="U163" s="7" t="n"/>
      <c r="V163" s="7" t="n"/>
      <c r="W163" s="7" t="n"/>
      <c r="X163" s="7" t="n"/>
      <c r="Y163" s="7" t="n"/>
      <c r="Z163" s="7" t="n"/>
      <c r="AA163" s="7" t="n"/>
      <c r="AB163" s="7" t="n">
        <v>1</v>
      </c>
      <c r="AC163" s="175" t="n">
        <v>2</v>
      </c>
    </row>
    <row r="164">
      <c r="A164" s="6" t="inlineStr">
        <is>
          <t>работник 19</t>
        </is>
      </c>
      <c r="B164" s="6" t="inlineStr">
        <is>
          <t>Водитель автомобиля (категория Д)</t>
        </is>
      </c>
      <c r="C164" s="6" t="inlineStr">
        <is>
          <t>Водитель автомобиля (категория D) | Водитель автомобиля (категория Д)</t>
        </is>
      </c>
      <c r="D164" s="6" t="inlineStr">
        <is>
          <t>ОБЩЕСТВО С ОГРАНИЧЕННОЙ ОТВЕТСТВЕННОСТЬЮ "АМУР ЗОЛОТО"</t>
        </is>
      </c>
      <c r="E164" s="6" t="inlineStr">
        <is>
          <t>2708001686</t>
        </is>
      </c>
      <c r="F164" s="6" t="inlineStr">
        <is>
          <t>ООО "Амур Золото"</t>
        </is>
      </c>
      <c r="G164" s="6" t="inlineStr">
        <is>
          <t>2708001686</t>
        </is>
      </c>
      <c r="H164" s="6" t="inlineStr">
        <is>
          <t>37117266; 37117267; 37117268; 41372077; 41372078; 41372079</t>
        </is>
      </c>
      <c r="I164" s="6" t="inlineStr">
        <is>
          <t>2978778; 3335316</t>
        </is>
      </c>
      <c r="J164" s="6" t="inlineStr">
        <is>
          <t>ОТ № ЮГОК АТЦ 23-01; ОТ № ЮГОК АТЦ 23-03</t>
        </is>
      </c>
      <c r="K164" s="6" t="inlineStr">
        <is>
          <t>05.07.2023; 03.12.2023</t>
        </is>
      </c>
      <c r="L164" s="6" t="inlineStr">
        <is>
          <t>Успешно</t>
        </is>
      </c>
      <c r="M164" s="6" t="inlineStr">
        <is>
          <t>Пользовательский интерфейс</t>
        </is>
      </c>
      <c r="N164" s="7" t="n">
        <v>6</v>
      </c>
      <c r="O164" s="7" t="n">
        <v>3</v>
      </c>
      <c r="P164" s="7" t="n"/>
      <c r="Q164" s="175" t="n">
        <v>2</v>
      </c>
      <c r="R164" s="7" t="n"/>
      <c r="S164" s="7" t="n"/>
      <c r="T164" s="7" t="n"/>
      <c r="U164" s="7" t="n"/>
      <c r="V164" s="7" t="n"/>
      <c r="W164" s="7" t="n"/>
      <c r="X164" s="7" t="n"/>
      <c r="Y164" s="7" t="n"/>
      <c r="Z164" s="7" t="n"/>
      <c r="AA164" s="7" t="n"/>
      <c r="AB164" s="175" t="n">
        <v>2</v>
      </c>
      <c r="AC164" s="175" t="n">
        <v>2</v>
      </c>
    </row>
    <row r="165">
      <c r="A165" s="6" t="inlineStr">
        <is>
          <t>работник 302</t>
        </is>
      </c>
      <c r="B165" s="6" t="inlineStr">
        <is>
          <t>Машинист погрузочно-доставочной машины (ТГМ) | Машинист погрузочно-доставочной машины</t>
        </is>
      </c>
      <c r="C165" s="6" t="inlineStr">
        <is>
          <t>Машинист погрузочно-доставочной машины (ТГМ) | Машинист погрузочно-доставочной машины</t>
        </is>
      </c>
      <c r="D165" s="6" t="inlineStr">
        <is>
          <t>ОБЩЕСТВО С ОГРАНИЧЕННОЙ ОТВЕТСТВЕННОСТЬЮ "АМУР ЗОЛОТО"</t>
        </is>
      </c>
      <c r="E165" s="6" t="inlineStr">
        <is>
          <t>2708001686</t>
        </is>
      </c>
      <c r="F165" s="6" t="inlineStr">
        <is>
          <t>ООО "Амур Золото"</t>
        </is>
      </c>
      <c r="G165" s="6" t="inlineStr">
        <is>
          <t>2708001686</t>
        </is>
      </c>
      <c r="H165" s="6" t="inlineStr">
        <is>
          <t>43295360; 43295361; 43295362; 214421398; 214421399; 214421400; 214421510; 214421511; 214421512</t>
        </is>
      </c>
      <c r="I165" s="6" t="inlineStr">
        <is>
          <t>3473988; 15411209</t>
        </is>
      </c>
      <c r="J165" s="6" t="inlineStr">
        <is>
          <t>ОТ № ЮГОК ПГР 24-03; ЮГОК ПГУ 26-28; ЮГОК ПГУ 26-39</t>
        </is>
      </c>
      <c r="K165" s="6" t="inlineStr">
        <is>
          <t>12.02.2024; 23.07.2026; 26.07.2026</t>
        </is>
      </c>
      <c r="L165" s="6" t="inlineStr">
        <is>
          <t>Успешно</t>
        </is>
      </c>
      <c r="M165" s="6" t="inlineStr">
        <is>
          <t>Пользовательский интерфейс</t>
        </is>
      </c>
      <c r="N165" s="7" t="n">
        <v>9</v>
      </c>
      <c r="O165" s="7" t="n">
        <v>3</v>
      </c>
      <c r="P165" s="7" t="n"/>
      <c r="Q165" s="175" t="n">
        <v>3</v>
      </c>
      <c r="R165" s="7" t="n"/>
      <c r="S165" s="7" t="n"/>
      <c r="T165" s="7" t="n"/>
      <c r="U165" s="7" t="n"/>
      <c r="V165" s="7" t="n"/>
      <c r="W165" s="7" t="n"/>
      <c r="X165" s="7" t="n"/>
      <c r="Y165" s="7" t="n"/>
      <c r="Z165" s="7" t="n"/>
      <c r="AA165" s="7" t="n"/>
      <c r="AB165" s="175" t="n">
        <v>3</v>
      </c>
      <c r="AC165" s="175" t="n">
        <v>3</v>
      </c>
    </row>
    <row r="166">
      <c r="A166" s="6" t="inlineStr">
        <is>
          <t>работник 449</t>
        </is>
      </c>
      <c r="B166" s="6" t="inlineStr">
        <is>
          <t>Слесарь-ремонтник (по ремонту обогатительного оборудования) | Слесарь-ремонтник | Аппаратчик-гидрометаллург</t>
        </is>
      </c>
      <c r="C166" s="6" t="inlineStr">
        <is>
          <t>Слесарь-ремонтник (по ремонту обогатительного оборудования) | Слесарь-ремонтник | Аппаратчик-гидрометаллург</t>
        </is>
      </c>
      <c r="D166" s="6" t="inlineStr">
        <is>
          <t>ОБЩЕСТВО С ОГРАНИЧЕННОЙ ОТВЕТСТВЕННОСТЬЮ "АМУР ЗОЛОТО"</t>
        </is>
      </c>
      <c r="E166" s="6" t="inlineStr">
        <is>
          <t>2708001686</t>
        </is>
      </c>
      <c r="F166" s="6" t="inlineStr">
        <is>
          <t>ООО "Амур Золото"</t>
        </is>
      </c>
      <c r="G166" s="6" t="inlineStr">
        <is>
          <t>2708001686</t>
        </is>
      </c>
      <c r="H166" s="6" t="inlineStr">
        <is>
          <t>85344320; 85344321; 96539088; 96539089; 96539090; 96539091; 96539092; 96539093; 121097075; 121097076</t>
        </is>
      </c>
      <c r="I166" s="6" t="inlineStr">
        <is>
          <t>6554154; 7135797; 9114030</t>
        </is>
      </c>
      <c r="J166" s="6" t="inlineStr">
        <is>
          <t>ОТ № ЮГОК ЗИОФ 24-34; ОТ № ЮГОК ЗИОФ 24-40; ОТ № ЮГОК ЗИОФ 25-10</t>
        </is>
      </c>
      <c r="K166" s="6" t="inlineStr">
        <is>
          <t>25.10.2024; 10.12.2024; 01.04.2025</t>
        </is>
      </c>
      <c r="L166" s="6" t="inlineStr">
        <is>
          <t>Успешно</t>
        </is>
      </c>
      <c r="M166" s="6" t="inlineStr">
        <is>
          <t>Пользовательский интерфейс</t>
        </is>
      </c>
      <c r="N166" s="7" t="n">
        <v>10</v>
      </c>
      <c r="O166" s="7" t="n">
        <v>2</v>
      </c>
      <c r="P166" s="7" t="n"/>
      <c r="Q166" s="175" t="n">
        <v>2</v>
      </c>
      <c r="R166" s="7" t="n">
        <v>1</v>
      </c>
      <c r="S166" s="7" t="n">
        <v>1</v>
      </c>
      <c r="T166" s="7" t="n">
        <v>1</v>
      </c>
      <c r="U166" s="7" t="n">
        <v>1</v>
      </c>
      <c r="V166" s="7" t="n">
        <v>1</v>
      </c>
      <c r="W166" s="7" t="n">
        <v>1</v>
      </c>
      <c r="X166" s="7" t="n"/>
      <c r="Y166" s="7" t="n"/>
      <c r="Z166" s="7" t="n"/>
      <c r="AA166" s="7" t="n"/>
      <c r="AB166" s="7" t="n"/>
      <c r="AC166" s="175" t="n">
        <v>2</v>
      </c>
    </row>
    <row r="167">
      <c r="A167" s="6" t="inlineStr">
        <is>
          <t>работник 653</t>
        </is>
      </c>
      <c r="B167" s="6" t="inlineStr">
        <is>
          <t>Машинист подземных самоходных машин | Машинист погрузочно-доставочной машины (занятый на транспортировании горной массы в технологическом процессе)</t>
        </is>
      </c>
      <c r="C167" s="6" t="inlineStr">
        <is>
          <t>Машинист подземных самоходных машин | Машинист погрузочно-доставочной машины (занятый на транспортировании горной массы в технологическом процессе)</t>
        </is>
      </c>
      <c r="D167" s="6" t="inlineStr">
        <is>
          <t>ОБЩЕСТВО С ОГРАНИЧЕННОЙ ОТВЕТСТВЕННОСТЬЮ "АМУР ЗОЛОТО"</t>
        </is>
      </c>
      <c r="E167" s="6" t="inlineStr">
        <is>
          <t>2708001686</t>
        </is>
      </c>
      <c r="F167" s="6" t="inlineStr">
        <is>
          <t>ООО "Амур Золото"</t>
        </is>
      </c>
      <c r="G167" s="6" t="inlineStr">
        <is>
          <t>2708001686</t>
        </is>
      </c>
      <c r="H167" s="6" t="inlineStr">
        <is>
          <t>175826234; 175826235; 214421377; 214421378; 214421379</t>
        </is>
      </c>
      <c r="I167" s="6" t="inlineStr">
        <is>
          <t>12935952; 15411209</t>
        </is>
      </c>
      <c r="J167" s="6" t="inlineStr">
        <is>
          <t>ОТ № ЮГОК ПГУ 26-19; ЮГОК ПГУ 26-27</t>
        </is>
      </c>
      <c r="K167" s="6" t="inlineStr">
        <is>
          <t>19.02.2026; 23.07.2026</t>
        </is>
      </c>
      <c r="L167" s="6" t="inlineStr">
        <is>
          <t>Успешно</t>
        </is>
      </c>
      <c r="M167" s="6" t="inlineStr">
        <is>
          <t>Пользовательский интерфейс</t>
        </is>
      </c>
      <c r="N167" s="7" t="n">
        <v>5</v>
      </c>
      <c r="O167" s="7" t="n">
        <v>2</v>
      </c>
      <c r="P167" s="7" t="n"/>
      <c r="Q167" s="175" t="n">
        <v>2</v>
      </c>
      <c r="R167" s="7" t="n"/>
      <c r="S167" s="7" t="n"/>
      <c r="T167" s="7" t="n"/>
      <c r="U167" s="7" t="n"/>
      <c r="V167" s="7" t="n"/>
      <c r="W167" s="7" t="n"/>
      <c r="X167" s="7" t="n"/>
      <c r="Y167" s="7" t="n"/>
      <c r="Z167" s="7" t="n"/>
      <c r="AA167" s="7" t="n"/>
      <c r="AB167" s="7" t="n">
        <v>1</v>
      </c>
      <c r="AC167" s="175" t="n">
        <v>2</v>
      </c>
    </row>
    <row r="168">
      <c r="A168" s="6" t="inlineStr">
        <is>
          <t>работник 638</t>
        </is>
      </c>
      <c r="B168" s="6" t="inlineStr">
        <is>
          <t>Грузчик</t>
        </is>
      </c>
      <c r="C168" s="6" t="inlineStr">
        <is>
          <t>Грузчик</t>
        </is>
      </c>
      <c r="D168" s="6" t="inlineStr">
        <is>
          <t>ОБЩЕСТВО С ОГРАНИЧЕННОЙ ОТВЕТСТВЕННОСТЬЮ "АМУР ЗОЛОТО"</t>
        </is>
      </c>
      <c r="E168" s="6" t="inlineStr">
        <is>
          <t>2708001686</t>
        </is>
      </c>
      <c r="F168" s="6" t="inlineStr">
        <is>
          <t>ООО "Амур Золото"</t>
        </is>
      </c>
      <c r="G168" s="6" t="inlineStr">
        <is>
          <t>2708001686</t>
        </is>
      </c>
      <c r="H168" s="6" t="inlineStr">
        <is>
          <t>175826204; 175826205; 214421338; 214421339; 214421340</t>
        </is>
      </c>
      <c r="I168" s="6" t="inlineStr">
        <is>
          <t>12935952; 15411209</t>
        </is>
      </c>
      <c r="J168" s="6" t="inlineStr">
        <is>
          <t>ОТ № ЮГОК ЗИОФ 26-01; ЮГОК ЗИОФ 26-42</t>
        </is>
      </c>
      <c r="K168" s="6" t="inlineStr">
        <is>
          <t>19.02.2026; 29.07.2026</t>
        </is>
      </c>
      <c r="L168" s="6" t="inlineStr">
        <is>
          <t>Успешно</t>
        </is>
      </c>
      <c r="M168" s="6" t="inlineStr">
        <is>
          <t>Пользовательский интерфейс</t>
        </is>
      </c>
      <c r="N168" s="7" t="n">
        <v>5</v>
      </c>
      <c r="O168" s="7" t="n">
        <v>2</v>
      </c>
      <c r="P168" s="7" t="n"/>
      <c r="Q168" s="175" t="n">
        <v>2</v>
      </c>
      <c r="R168" s="7" t="n"/>
      <c r="S168" s="7" t="n"/>
      <c r="T168" s="7" t="n"/>
      <c r="U168" s="7" t="n"/>
      <c r="V168" s="7" t="n"/>
      <c r="W168" s="7" t="n"/>
      <c r="X168" s="7" t="n"/>
      <c r="Y168" s="7" t="n"/>
      <c r="Z168" s="7" t="n"/>
      <c r="AA168" s="7" t="n"/>
      <c r="AB168" s="7" t="n">
        <v>1</v>
      </c>
      <c r="AC168" s="175" t="n">
        <v>2</v>
      </c>
    </row>
    <row r="169">
      <c r="A169" s="6" t="inlineStr">
        <is>
          <t>работник 613</t>
        </is>
      </c>
      <c r="B169" s="6" t="inlineStr">
        <is>
          <t>Дробильщик</t>
        </is>
      </c>
      <c r="C169" s="6" t="inlineStr">
        <is>
          <t>Дробильщик</t>
        </is>
      </c>
      <c r="D169" s="6" t="inlineStr">
        <is>
          <t>ОБЩЕСТВО С ОГРАНИЧЕННОЙ ОТВЕТСТВЕННОСТЬЮ "АМУР ЗОЛОТО"</t>
        </is>
      </c>
      <c r="E169" s="6" t="inlineStr">
        <is>
          <t>2708001686</t>
        </is>
      </c>
      <c r="F169" s="6" t="inlineStr">
        <is>
          <t>ООО "Амур Золото"</t>
        </is>
      </c>
      <c r="G169" s="6" t="inlineStr">
        <is>
          <t>2708001686</t>
        </is>
      </c>
      <c r="H169" s="6" t="inlineStr">
        <is>
          <t>163550873; 163550874; 223283020; 223283021; 223283022</t>
        </is>
      </c>
      <c r="I169" s="6" t="inlineStr">
        <is>
          <t>12120704; 15995643</t>
        </is>
      </c>
      <c r="J169" s="6" t="inlineStr">
        <is>
          <t>ОТ № ЮГОК ПГУ 25-35; ЮГОК ЗИОФ 26-54</t>
        </is>
      </c>
      <c r="K169" s="6" t="inlineStr">
        <is>
          <t>31.10.2025; 05.09.2026</t>
        </is>
      </c>
      <c r="L169" s="6" t="inlineStr">
        <is>
          <t>Успешно</t>
        </is>
      </c>
      <c r="M169" s="6" t="inlineStr">
        <is>
          <t>Пользовательский интерфейс</t>
        </is>
      </c>
      <c r="N169" s="7" t="n">
        <v>5</v>
      </c>
      <c r="O169" s="7" t="n">
        <v>2</v>
      </c>
      <c r="P169" s="7" t="n"/>
      <c r="Q169" s="175" t="n">
        <v>2</v>
      </c>
      <c r="R169" s="7" t="n"/>
      <c r="S169" s="7" t="n"/>
      <c r="T169" s="7" t="n"/>
      <c r="U169" s="7" t="n"/>
      <c r="V169" s="7" t="n"/>
      <c r="W169" s="7" t="n"/>
      <c r="X169" s="7" t="n"/>
      <c r="Y169" s="7" t="n"/>
      <c r="Z169" s="7" t="n"/>
      <c r="AA169" s="7" t="n"/>
      <c r="AB169" s="7" t="n">
        <v>1</v>
      </c>
      <c r="AC169" s="175" t="n">
        <v>2</v>
      </c>
    </row>
    <row r="170">
      <c r="A170" s="6" t="inlineStr">
        <is>
          <t>работник 169</t>
        </is>
      </c>
      <c r="B170" s="6" t="inlineStr">
        <is>
          <t>Машинист подземно-доставочной машины | Машинист погрузочно-доставочной машины (занятый на транспортировании горной массы в технологическом процессе)</t>
        </is>
      </c>
      <c r="C170" s="6" t="inlineStr">
        <is>
          <t>Машинист подземно-доставочной машины | Машинист погрузочно-доставочной машины (занятый на транспортировании горной массы в технологическом процессе)</t>
        </is>
      </c>
      <c r="D170" s="6" t="inlineStr">
        <is>
          <t>ОБЩЕСТВО С ОГРАНИЧЕННОЙ ОТВЕТСТВЕННОСТЬЮ "АМУР ЗОЛОТО"</t>
        </is>
      </c>
      <c r="E170" s="6" t="inlineStr">
        <is>
          <t>2708001686</t>
        </is>
      </c>
      <c r="F170" s="6" t="inlineStr">
        <is>
          <t>ООО "Амур Золото"</t>
        </is>
      </c>
      <c r="G170" s="6" t="inlineStr">
        <is>
          <t>2708001686</t>
        </is>
      </c>
      <c r="H170" s="6" t="inlineStr">
        <is>
          <t>37117806; 37117807; 37117808; 87544984; 87544985</t>
        </is>
      </c>
      <c r="I170" s="6" t="inlineStr">
        <is>
          <t>2978778; 6719954</t>
        </is>
      </c>
      <c r="J170" s="6" t="inlineStr">
        <is>
          <t>ОТ № ЮГОК ПГУ 24-01; ОТ № ЮГОК ПГУ 24-23</t>
        </is>
      </c>
      <c r="K170" s="6" t="inlineStr">
        <is>
          <t>19.01.2024; 12.11.2024</t>
        </is>
      </c>
      <c r="L170" s="6" t="inlineStr">
        <is>
          <t>Успешно</t>
        </is>
      </c>
      <c r="M170" s="6" t="inlineStr">
        <is>
          <t>Пользовательский интерфейс</t>
        </is>
      </c>
      <c r="N170" s="7" t="n">
        <v>5</v>
      </c>
      <c r="O170" s="7" t="n">
        <v>2</v>
      </c>
      <c r="P170" s="7" t="n"/>
      <c r="Q170" s="175" t="n">
        <v>2</v>
      </c>
      <c r="R170" s="7" t="n"/>
      <c r="S170" s="7" t="n"/>
      <c r="T170" s="7" t="n"/>
      <c r="U170" s="7" t="n"/>
      <c r="V170" s="7" t="n"/>
      <c r="W170" s="7" t="n"/>
      <c r="X170" s="7" t="n"/>
      <c r="Y170" s="7" t="n"/>
      <c r="Z170" s="7" t="n"/>
      <c r="AA170" s="7" t="n"/>
      <c r="AB170" s="7" t="n">
        <v>1</v>
      </c>
      <c r="AC170" s="175" t="n">
        <v>2</v>
      </c>
    </row>
    <row r="171">
      <c r="A171" s="6" t="inlineStr">
        <is>
          <t>работник 82</t>
        </is>
      </c>
      <c r="B171" s="6" t="inlineStr">
        <is>
          <t>Электрогазосварщик</t>
        </is>
      </c>
      <c r="C171" s="6" t="inlineStr">
        <is>
          <t>Электрогазосварщик (занятый на резке и ручной сварке) | Газоэлектросварщик</t>
        </is>
      </c>
      <c r="D171" s="6" t="inlineStr">
        <is>
          <t>ОБЩЕСТВО С ОГРАНИЧЕННОЙ ОТВЕТСТВЕННОСТЬЮ "АМУР ЗОЛОТО"</t>
        </is>
      </c>
      <c r="E171" s="6" t="inlineStr">
        <is>
          <t>2708001686</t>
        </is>
      </c>
      <c r="F171" s="6" t="inlineStr">
        <is>
          <t>ООО "Амур Золото"</t>
        </is>
      </c>
      <c r="G171" s="6" t="inlineStr">
        <is>
          <t>2708001686</t>
        </is>
      </c>
      <c r="H171" s="6" t="inlineStr">
        <is>
          <t>37117478; 37117479; 37117480; 37117507; 37117508; 37117509; 99714074; 99714075</t>
        </is>
      </c>
      <c r="I171" s="6" t="inlineStr">
        <is>
          <t>2978778; 7576385</t>
        </is>
      </c>
      <c r="J171" s="6" t="inlineStr">
        <is>
          <t>ОТ № ЮГОК РСУ 23-01; ОТ № ЮГОК РСУ 23-02; ОТ № ЮГОК РСУ 24-12</t>
        </is>
      </c>
      <c r="K171" s="6" t="inlineStr">
        <is>
          <t>23.11.2023; 24.11.2023; 28.12.2024</t>
        </is>
      </c>
      <c r="L171" s="6" t="inlineStr">
        <is>
          <t>Успешно</t>
        </is>
      </c>
      <c r="M171" s="6" t="inlineStr">
        <is>
          <t>Пользовательский интерфейс</t>
        </is>
      </c>
      <c r="N171" s="7" t="n">
        <v>8</v>
      </c>
      <c r="O171" s="7" t="n">
        <v>2</v>
      </c>
      <c r="P171" s="7" t="n"/>
      <c r="Q171" s="175" t="n">
        <v>2</v>
      </c>
      <c r="R171" s="7" t="n">
        <v>1</v>
      </c>
      <c r="S171" s="7" t="n"/>
      <c r="T171" s="7" t="n"/>
      <c r="U171" s="7" t="n"/>
      <c r="V171" s="7" t="n"/>
      <c r="W171" s="7" t="n"/>
      <c r="X171" s="7" t="n"/>
      <c r="Y171" s="7" t="n">
        <v>1</v>
      </c>
      <c r="Z171" s="7" t="n">
        <v>1</v>
      </c>
      <c r="AA171" s="7" t="n"/>
      <c r="AB171" s="7" t="n">
        <v>1</v>
      </c>
      <c r="AC171" s="175" t="n">
        <v>2</v>
      </c>
    </row>
    <row r="172">
      <c r="A172" s="6" t="inlineStr">
        <is>
          <t>работник 170</t>
        </is>
      </c>
      <c r="B172" s="6" t="inlineStr">
        <is>
          <t>Горный диспетчер</t>
        </is>
      </c>
      <c r="C172" s="6" t="inlineStr">
        <is>
          <t>Горный диспетчер</t>
        </is>
      </c>
      <c r="D172" s="6" t="inlineStr">
        <is>
          <t>ОБЩЕСТВО С ОГРАНИЧЕННОЙ ОТВЕТСТВЕННОСТЬЮ "АМУР ЗОЛОТО"</t>
        </is>
      </c>
      <c r="E172" s="6" t="inlineStr">
        <is>
          <t>2708001686</t>
        </is>
      </c>
      <c r="F172" s="6" t="inlineStr">
        <is>
          <t>ООО "Амур Золото"</t>
        </is>
      </c>
      <c r="G172" s="6" t="inlineStr">
        <is>
          <t>2708001686</t>
        </is>
      </c>
      <c r="H172" s="6" t="inlineStr">
        <is>
          <t>37117809; 37117810; 37117811; 87544988; 87544989; 216771209; 216771210; 216771211</t>
        </is>
      </c>
      <c r="I172" s="6" t="inlineStr">
        <is>
          <t>2978778; 6719954; 15571832</t>
        </is>
      </c>
      <c r="J172" s="6" t="inlineStr">
        <is>
          <t>ОТ № ЮГОК ПГУ 24-01; ОТ № ЮГОК ПГУ 24-23; ЮГОК ПГУ 26-53</t>
        </is>
      </c>
      <c r="K172" s="6" t="inlineStr">
        <is>
          <t>19.01.2024; 12.11.2024; 18.08.2026</t>
        </is>
      </c>
      <c r="L172" s="6" t="inlineStr">
        <is>
          <t>Успешно</t>
        </is>
      </c>
      <c r="M172" s="6" t="inlineStr">
        <is>
          <t>Пользовательский интерфейс</t>
        </is>
      </c>
      <c r="N172" s="7" t="n">
        <v>8</v>
      </c>
      <c r="O172" s="7" t="n">
        <v>3</v>
      </c>
      <c r="P172" s="7" t="n"/>
      <c r="Q172" s="175" t="n">
        <v>3</v>
      </c>
      <c r="R172" s="7" t="n"/>
      <c r="S172" s="7" t="n"/>
      <c r="T172" s="7" t="n"/>
      <c r="U172" s="7" t="n"/>
      <c r="V172" s="7" t="n"/>
      <c r="W172" s="7" t="n"/>
      <c r="X172" s="7" t="n"/>
      <c r="Y172" s="7" t="n"/>
      <c r="Z172" s="7" t="n"/>
      <c r="AA172" s="7" t="n"/>
      <c r="AB172" s="175" t="n">
        <v>2</v>
      </c>
      <c r="AC172" s="175" t="n">
        <v>3</v>
      </c>
    </row>
    <row r="173">
      <c r="A173" s="6" t="inlineStr">
        <is>
          <t>работник 603</t>
        </is>
      </c>
      <c r="B173" s="6" t="inlineStr">
        <is>
          <t>Машинист насосных установок | Помощник машиниста самоходной буровой установки (с исполнением обязанностей пробоотборщика)</t>
        </is>
      </c>
      <c r="C173" s="6" t="inlineStr">
        <is>
          <t>Машинист насосных установок | Помощник машиниста самоходной буровой установки (с исполнением обязанностей пробоотборщика)</t>
        </is>
      </c>
      <c r="D173" s="6" t="inlineStr">
        <is>
          <t>ОБЩЕСТВО С ОГРАНИЧЕННОЙ ОТВЕТСТВЕННОСТЬЮ "АМУР ЗОЛОТО"</t>
        </is>
      </c>
      <c r="E173" s="6" t="inlineStr">
        <is>
          <t>2708001686</t>
        </is>
      </c>
      <c r="F173" s="6" t="inlineStr">
        <is>
          <t>ООО "Амур Золото"</t>
        </is>
      </c>
      <c r="G173" s="6" t="inlineStr">
        <is>
          <t>2708001686</t>
        </is>
      </c>
      <c r="H173" s="6" t="inlineStr">
        <is>
          <t>148627016; 148627017; 214421435; 214421436; 214421437</t>
        </is>
      </c>
      <c r="I173" s="6" t="inlineStr">
        <is>
          <t>11125717; 15411209</t>
        </is>
      </c>
      <c r="J173" s="6" t="inlineStr">
        <is>
          <t>ОТ № ЮГОК ПГУ 38-25; ЮГОК ПГУ 26-30</t>
        </is>
      </c>
      <c r="K173" s="6" t="inlineStr">
        <is>
          <t>04.10.2025; 26.07.2026</t>
        </is>
      </c>
      <c r="L173" s="6" t="inlineStr">
        <is>
          <t>Успешно</t>
        </is>
      </c>
      <c r="M173" s="6" t="inlineStr">
        <is>
          <t>Пользовательский интерфейс</t>
        </is>
      </c>
      <c r="N173" s="7" t="n">
        <v>5</v>
      </c>
      <c r="O173" s="7" t="n">
        <v>2</v>
      </c>
      <c r="P173" s="7" t="n"/>
      <c r="Q173" s="175" t="n">
        <v>2</v>
      </c>
      <c r="R173" s="7" t="n"/>
      <c r="S173" s="7" t="n"/>
      <c r="T173" s="7" t="n"/>
      <c r="U173" s="7" t="n"/>
      <c r="V173" s="7" t="n"/>
      <c r="W173" s="7" t="n"/>
      <c r="X173" s="7" t="n"/>
      <c r="Y173" s="7" t="n"/>
      <c r="Z173" s="7" t="n"/>
      <c r="AA173" s="7" t="n"/>
      <c r="AB173" s="7" t="n">
        <v>1</v>
      </c>
      <c r="AC173" s="175" t="n">
        <v>2</v>
      </c>
    </row>
    <row r="174">
      <c r="A174" s="6" t="inlineStr">
        <is>
          <t>работник 172</t>
        </is>
      </c>
      <c r="B174" s="6" t="inlineStr">
        <is>
          <t>Машинист подземно-доставочной машины | Машинист погрузочно-доставочной машины (занятый на транспортировании горной массы в технологическом процессе)</t>
        </is>
      </c>
      <c r="C174" s="6" t="inlineStr">
        <is>
          <t>Машинист подземно-доставочной машины | Машинист погрузочно-доставочной машины (занятый на транспортировании горной массы в технологическом процессе)</t>
        </is>
      </c>
      <c r="D174" s="6" t="inlineStr">
        <is>
          <t>ОБЩЕСТВО С ОГРАНИЧЕННОЙ ОТВЕТСТВЕННОСТЬЮ "АМУР ЗОЛОТО"</t>
        </is>
      </c>
      <c r="E174" s="6" t="inlineStr">
        <is>
          <t>2708001686</t>
        </is>
      </c>
      <c r="F174" s="6" t="inlineStr">
        <is>
          <t>ООО "Амур Золото"</t>
        </is>
      </c>
      <c r="G174" s="6" t="inlineStr">
        <is>
          <t>2708001686</t>
        </is>
      </c>
      <c r="H174" s="6" t="inlineStr">
        <is>
          <t>37117815; 37117816; 37117817; 87544990; 87544991; 216771179; 216771180; 216771181</t>
        </is>
      </c>
      <c r="I174" s="6" t="inlineStr">
        <is>
          <t>2978778; 6719954; 15571832</t>
        </is>
      </c>
      <c r="J174" s="6" t="inlineStr">
        <is>
          <t>ОТ № ЮГОК ПГУ 24-01; ОТ № ЮГОК ПГУ 24-23; ЮГОК ПГУ 26-50</t>
        </is>
      </c>
      <c r="K174" s="6" t="inlineStr">
        <is>
          <t>19.01.2024; 12.11.2024; 16.08.2026</t>
        </is>
      </c>
      <c r="L174" s="6" t="inlineStr">
        <is>
          <t>Успешно</t>
        </is>
      </c>
      <c r="M174" s="6" t="inlineStr">
        <is>
          <t>Пользовательский интерфейс</t>
        </is>
      </c>
      <c r="N174" s="7" t="n">
        <v>8</v>
      </c>
      <c r="O174" s="7" t="n">
        <v>3</v>
      </c>
      <c r="P174" s="7" t="n"/>
      <c r="Q174" s="175" t="n">
        <v>3</v>
      </c>
      <c r="R174" s="7" t="n"/>
      <c r="S174" s="7" t="n"/>
      <c r="T174" s="7" t="n"/>
      <c r="U174" s="7" t="n"/>
      <c r="V174" s="7" t="n"/>
      <c r="W174" s="7" t="n"/>
      <c r="X174" s="7" t="n"/>
      <c r="Y174" s="7" t="n"/>
      <c r="Z174" s="7" t="n"/>
      <c r="AA174" s="7" t="n"/>
      <c r="AB174" s="175" t="n">
        <v>2</v>
      </c>
      <c r="AC174" s="175" t="n">
        <v>3</v>
      </c>
    </row>
    <row r="175">
      <c r="A175" s="6" t="inlineStr">
        <is>
          <t>работник 427</t>
        </is>
      </c>
      <c r="B175" s="6" t="inlineStr">
        <is>
          <t>Аппаратчик-гидрометаллург</t>
        </is>
      </c>
      <c r="C175" s="6" t="inlineStr">
        <is>
          <t>Аппаратчик-гидрометаллург</t>
        </is>
      </c>
      <c r="D175" s="6" t="inlineStr">
        <is>
          <t>ОБЩЕСТВО С ОГРАНИЧЕННОЙ ОТВЕТСТВЕННОСТЬЮ "АМУР ЗОЛОТО"</t>
        </is>
      </c>
      <c r="E175" s="6" t="inlineStr">
        <is>
          <t>2708001686</t>
        </is>
      </c>
      <c r="F175" s="6" t="inlineStr">
        <is>
          <t>ООО "Амур Золото"</t>
        </is>
      </c>
      <c r="G175" s="6" t="inlineStr">
        <is>
          <t>2708001686</t>
        </is>
      </c>
      <c r="H175" s="6" t="inlineStr">
        <is>
          <t>85344272; 85344273; 90580091; 110446285; 110446286</t>
        </is>
      </c>
      <c r="I175" s="6" t="inlineStr">
        <is>
          <t>6554154; 6934388; 8371772</t>
        </is>
      </c>
      <c r="J175" s="6" t="inlineStr">
        <is>
          <t>ОТ № ЮГОК ЗИОФ 24-33; ОТ № ЮГОК ЗИОФ 24-38; ОТ № ЮГОК ЗИОФ 25-06</t>
        </is>
      </c>
      <c r="K175" s="6" t="inlineStr">
        <is>
          <t>25.10.2024; 25.11.2024; 18.02.2025</t>
        </is>
      </c>
      <c r="L175" s="6" t="inlineStr">
        <is>
          <t>Успешно</t>
        </is>
      </c>
      <c r="M175" s="6" t="inlineStr">
        <is>
          <t>Пользовательский интерфейс</t>
        </is>
      </c>
      <c r="N175" s="7" t="n">
        <v>5</v>
      </c>
      <c r="O175" s="7" t="n">
        <v>2</v>
      </c>
      <c r="P175" s="7" t="n"/>
      <c r="Q175" s="175" t="n">
        <v>3</v>
      </c>
      <c r="R175" s="7" t="n"/>
      <c r="S175" s="7" t="n"/>
      <c r="T175" s="7" t="n"/>
      <c r="U175" s="7" t="n"/>
      <c r="V175" s="7" t="n"/>
      <c r="W175" s="7" t="n"/>
      <c r="X175" s="7" t="n"/>
      <c r="Y175" s="7" t="n"/>
      <c r="Z175" s="7" t="n"/>
      <c r="AA175" s="7" t="n"/>
      <c r="AB175" s="7" t="n"/>
      <c r="AC175" s="175" t="n">
        <v>2</v>
      </c>
    </row>
    <row r="176">
      <c r="A176" s="6" t="inlineStr">
        <is>
          <t>работник 52</t>
        </is>
      </c>
      <c r="B176" s="6" t="inlineStr">
        <is>
          <t>Машинист двигателей внутреннего сгорания</t>
        </is>
      </c>
      <c r="C176" s="6" t="inlineStr">
        <is>
          <t>Машинист ДВС | Машинист двигателей внутреннего сгорания</t>
        </is>
      </c>
      <c r="D176" s="6" t="inlineStr">
        <is>
          <t>ОБЩЕСТВО С ОГРАНИЧЕННОЙ ОТВЕТСТВЕННОСТЬЮ "АМУР ЗОЛОТО"</t>
        </is>
      </c>
      <c r="E176" s="6" t="inlineStr">
        <is>
          <t>2708001686</t>
        </is>
      </c>
      <c r="F176" s="6" t="inlineStr">
        <is>
          <t>ООО "Амур Золото"</t>
        </is>
      </c>
      <c r="G176" s="6" t="inlineStr">
        <is>
          <t>2708001686</t>
        </is>
      </c>
      <c r="H176" s="6" t="inlineStr">
        <is>
          <t>37117386; 37117387; 37117388; 222717316; 222717329; 222717330</t>
        </is>
      </c>
      <c r="I176" s="6" t="inlineStr">
        <is>
          <t>2978778; 15953442</t>
        </is>
      </c>
      <c r="J176" s="6" t="inlineStr">
        <is>
          <t>ОТ № ЮГОК ЭУ 23-01; ЮГОК ЭУ 26-20</t>
        </is>
      </c>
      <c r="K176" s="6" t="inlineStr">
        <is>
          <t>23.11.2023; 23.08.2026</t>
        </is>
      </c>
      <c r="L176" s="6" t="inlineStr">
        <is>
          <t>Успешно</t>
        </is>
      </c>
      <c r="M176" s="6" t="inlineStr">
        <is>
          <t>Пользовательский интерфейс</t>
        </is>
      </c>
      <c r="N176" s="7" t="n">
        <v>6</v>
      </c>
      <c r="O176" s="7" t="n">
        <v>3</v>
      </c>
      <c r="P176" s="7" t="n"/>
      <c r="Q176" s="175" t="n">
        <v>2</v>
      </c>
      <c r="R176" s="7" t="n"/>
      <c r="S176" s="7" t="n"/>
      <c r="T176" s="7" t="n"/>
      <c r="U176" s="7" t="n"/>
      <c r="V176" s="7" t="n"/>
      <c r="W176" s="7" t="n"/>
      <c r="X176" s="7" t="n"/>
      <c r="Y176" s="7" t="n"/>
      <c r="Z176" s="7" t="n"/>
      <c r="AA176" s="7" t="n"/>
      <c r="AB176" s="175" t="n">
        <v>2</v>
      </c>
      <c r="AC176" s="175" t="n">
        <v>2</v>
      </c>
    </row>
    <row r="177">
      <c r="A177" s="6" t="inlineStr">
        <is>
          <t>работник 91</t>
        </is>
      </c>
      <c r="B177" s="6" t="inlineStr">
        <is>
          <t>Машинист насосных установок | Стропальщик (с исполнением обязанностей грузчика) | Стропальщик</t>
        </is>
      </c>
      <c r="C177" s="6" t="inlineStr">
        <is>
          <t>Машинист насосных установок | Стропальщик (с исполнением обязанностей грузчика) | Стропальщик</t>
        </is>
      </c>
      <c r="D177" s="6" t="inlineStr">
        <is>
          <t>ОБЩЕСТВО С ОГРАНИЧЕННОЙ ОТВЕТСТВЕННОСТЬЮ "АМУР ЗОЛОТО"</t>
        </is>
      </c>
      <c r="E177" s="6" t="inlineStr">
        <is>
          <t>2708001686</t>
        </is>
      </c>
      <c r="F177" s="6" t="inlineStr">
        <is>
          <t>ООО "Амур Золото"</t>
        </is>
      </c>
      <c r="G177" s="6" t="inlineStr">
        <is>
          <t>2708001686</t>
        </is>
      </c>
      <c r="H177" s="6" t="inlineStr">
        <is>
          <t>37117536; 37117537; 37117538; 163550863; 163550864; 222717284; 222717285; 222717286; 222717340; 222717341; 222717342</t>
        </is>
      </c>
      <c r="I177" s="6" t="inlineStr">
        <is>
          <t>2978778; 12120704; 15953442</t>
        </is>
      </c>
      <c r="J177" s="6" t="inlineStr">
        <is>
          <t>ОТ № ЮГОК ЭУ 23-05; ОТ № ЮГОК ПГУ 25-21; ЮГОК МТО 26-14; ЮГОК ЭУ 26-21</t>
        </is>
      </c>
      <c r="K177" s="6" t="inlineStr">
        <is>
          <t>07.12.2023; 13.12.2025; 25.08.2026; 24.08.2026</t>
        </is>
      </c>
      <c r="L177" s="6" t="inlineStr">
        <is>
          <t>Успешно</t>
        </is>
      </c>
      <c r="M177" s="6" t="inlineStr">
        <is>
          <t>Пользовательский интерфейс</t>
        </is>
      </c>
      <c r="N177" s="7" t="n">
        <v>11</v>
      </c>
      <c r="O177" s="7" t="n">
        <v>3</v>
      </c>
      <c r="P177" s="7" t="n"/>
      <c r="Q177" s="175" t="n">
        <v>4</v>
      </c>
      <c r="R177" s="7" t="n"/>
      <c r="S177" s="7" t="n"/>
      <c r="T177" s="7" t="n"/>
      <c r="U177" s="7" t="n"/>
      <c r="V177" s="7" t="n"/>
      <c r="W177" s="7" t="n"/>
      <c r="X177" s="7" t="n"/>
      <c r="Y177" s="7" t="n"/>
      <c r="Z177" s="7" t="n"/>
      <c r="AA177" s="7" t="n"/>
      <c r="AB177" s="175" t="n">
        <v>3</v>
      </c>
      <c r="AC177" s="175" t="n">
        <v>4</v>
      </c>
    </row>
    <row r="178">
      <c r="A178" s="6" t="inlineStr">
        <is>
          <t>работник 131</t>
        </is>
      </c>
      <c r="B178" s="6" t="inlineStr">
        <is>
          <t>Электрогазосварщик</t>
        </is>
      </c>
      <c r="C178" s="6" t="inlineStr">
        <is>
          <t>Электрогазосварщик | Электрогазосварщик (занятый на резке и ручной сварке) | Электрогазосварщик, занятый на резке и ручной сварке</t>
        </is>
      </c>
      <c r="D178" s="6" t="inlineStr">
        <is>
          <t>ОБЩЕСТВО С ОГРАНИЧЕННОЙ ОТВЕТСТВЕННОСТЬЮ "АМУР ЗОЛОТО"</t>
        </is>
      </c>
      <c r="E178" s="6" t="inlineStr">
        <is>
          <t>2708001686</t>
        </is>
      </c>
      <c r="F178" s="6" t="inlineStr">
        <is>
          <t>ООО "Амур Золото"</t>
        </is>
      </c>
      <c r="G178" s="6" t="inlineStr">
        <is>
          <t>2708001686</t>
        </is>
      </c>
      <c r="H178" s="6" t="inlineStr">
        <is>
          <t>37117657; 37117658; 37117659; 37117668; 37117682; 37117683; 37117684; 37117685; 37117686; 96539142; 96539143; 96539144; 96539145; 96539146; 96539147; 223282984; 223282985; 223282986</t>
        </is>
      </c>
      <c r="I178" s="6" t="inlineStr">
        <is>
          <t>2978778; 7135797; 15995643</t>
        </is>
      </c>
      <c r="J178" s="6" t="inlineStr">
        <is>
          <t>ОТ ЮГОК ЗИОФ 23-04; ОТ ЮГОК ЗИОФ 23-05; ОТ № ЮГОК ЗИОФ 24-41; ЮГОК ЗИОФ 26-49</t>
        </is>
      </c>
      <c r="K178" s="6" t="inlineStr">
        <is>
          <t>11.12.2023; 10.12.2024; 26.08.2026</t>
        </is>
      </c>
      <c r="L178" s="6" t="inlineStr">
        <is>
          <t>Успешно</t>
        </is>
      </c>
      <c r="M178" s="6" t="inlineStr">
        <is>
          <t>Пользовательский интерфейс</t>
        </is>
      </c>
      <c r="N178" s="7" t="n">
        <v>18</v>
      </c>
      <c r="O178" s="7" t="n">
        <v>9</v>
      </c>
      <c r="P178" s="7" t="n"/>
      <c r="Q178" s="175" t="n">
        <v>2</v>
      </c>
      <c r="R178" s="175" t="n">
        <v>2</v>
      </c>
      <c r="S178" s="175" t="n">
        <v>2</v>
      </c>
      <c r="T178" s="175" t="n">
        <v>2</v>
      </c>
      <c r="U178" s="175" t="n">
        <v>2</v>
      </c>
      <c r="V178" s="175" t="n">
        <v>2</v>
      </c>
      <c r="W178" s="175" t="n">
        <v>2</v>
      </c>
      <c r="X178" s="7" t="n"/>
      <c r="Y178" s="7" t="n"/>
      <c r="Z178" s="7" t="n"/>
      <c r="AA178" s="7" t="n"/>
      <c r="AB178" s="175" t="n">
        <v>2</v>
      </c>
      <c r="AC178" s="175" t="n">
        <v>2</v>
      </c>
    </row>
    <row r="179">
      <c r="A179" s="6" t="inlineStr">
        <is>
          <t>работник 502</t>
        </is>
      </c>
      <c r="B179" s="6" t="inlineStr">
        <is>
          <t>Кухонный рабочий | Подсобный рабочий | Контролер продукции обогащения</t>
        </is>
      </c>
      <c r="C179" s="6" t="inlineStr">
        <is>
          <t>Кухонный рабочий | Подсобный рабочий | Контролёр продукции обогащения | Контролер продукции обогащения</t>
        </is>
      </c>
      <c r="D179" s="6" t="inlineStr">
        <is>
          <t>ОБЩЕСТВО С ОГРАНИЧЕННОЙ ОТВЕТСТВЕННОСТЬЮ "АМУР ЗОЛОТО"</t>
        </is>
      </c>
      <c r="E179" s="6" t="inlineStr">
        <is>
          <t>2708001686</t>
        </is>
      </c>
      <c r="F179" s="6" t="inlineStr">
        <is>
          <t>ООО "Амур Золото"</t>
        </is>
      </c>
      <c r="G179" s="6" t="inlineStr">
        <is>
          <t>2708001686</t>
        </is>
      </c>
      <c r="H179" s="6" t="inlineStr">
        <is>
          <t>87545018; 87545019; 110446275; 110446276; 185555888; 185555889; 214421749; 214421750; 214421752</t>
        </is>
      </c>
      <c r="I179" s="6" t="inlineStr">
        <is>
          <t>6719954; 8371772; 13535161; 15411233</t>
        </is>
      </c>
      <c r="J179" s="6" t="inlineStr">
        <is>
          <t>ОТ № ЮГОК СТ 24-04; ОТ № ЮГОК ЗИОФ 25-02; ОТ № ЮГОК ОТК 26-03; ЮГОК ОТК 26-05</t>
        </is>
      </c>
      <c r="K179" s="6" t="inlineStr">
        <is>
          <t>13.11.2024; 18.01.2025; 16.03.2026; 02.08.2026</t>
        </is>
      </c>
      <c r="L179" s="6" t="inlineStr">
        <is>
          <t>Успешно</t>
        </is>
      </c>
      <c r="M179" s="6" t="inlineStr">
        <is>
          <t>Пользовательский интерфейс</t>
        </is>
      </c>
      <c r="N179" s="7" t="n">
        <v>9</v>
      </c>
      <c r="O179" s="7" t="n">
        <v>2</v>
      </c>
      <c r="P179" s="7" t="n"/>
      <c r="Q179" s="175" t="n">
        <v>4</v>
      </c>
      <c r="R179" s="7" t="n"/>
      <c r="S179" s="7" t="n"/>
      <c r="T179" s="7" t="n"/>
      <c r="U179" s="7" t="n"/>
      <c r="V179" s="7" t="n"/>
      <c r="W179" s="7" t="n"/>
      <c r="X179" s="7" t="n"/>
      <c r="Y179" s="7" t="n"/>
      <c r="Z179" s="7" t="n"/>
      <c r="AA179" s="7" t="n"/>
      <c r="AB179" s="7" t="n">
        <v>1</v>
      </c>
      <c r="AC179" s="175" t="n">
        <v>4</v>
      </c>
    </row>
    <row r="180">
      <c r="A180" s="6" t="inlineStr">
        <is>
          <t>работник 189</t>
        </is>
      </c>
      <c r="B180" s="6" t="inlineStr">
        <is>
          <t>Водитель погрузчика</t>
        </is>
      </c>
      <c r="C180" s="6" t="inlineStr">
        <is>
          <t>Водитель погрузчика</t>
        </is>
      </c>
      <c r="D180" s="6" t="inlineStr">
        <is>
          <t>ОБЩЕСТВО С ОГРАНИЧЕННОЙ ОТВЕТСТВЕННОСТЬЮ "АМУР ЗОЛОТО"</t>
        </is>
      </c>
      <c r="E180" s="6" t="inlineStr">
        <is>
          <t>2708001686</t>
        </is>
      </c>
      <c r="F180" s="6" t="inlineStr">
        <is>
          <t>ООО "Амур Золото"</t>
        </is>
      </c>
      <c r="G180" s="6" t="inlineStr">
        <is>
          <t>2708001686</t>
        </is>
      </c>
      <c r="H180" s="6" t="inlineStr">
        <is>
          <t>41372005; 41372006; 41372007; 222717212; 222717213; 222717214</t>
        </is>
      </c>
      <c r="I180" s="6" t="inlineStr">
        <is>
          <t>3335316; 15953442</t>
        </is>
      </c>
      <c r="J180" s="6" t="inlineStr">
        <is>
          <t>ОТ № ЮГОК АТЦ 23-03; ЮГОК АТЦ 26-20</t>
        </is>
      </c>
      <c r="K180" s="6" t="inlineStr">
        <is>
          <t>03.12.2023; 18.08.2026</t>
        </is>
      </c>
      <c r="L180" s="6" t="inlineStr">
        <is>
          <t>Успешно</t>
        </is>
      </c>
      <c r="M180" s="6" t="inlineStr">
        <is>
          <t>Пользовательский интерфейс</t>
        </is>
      </c>
      <c r="N180" s="7" t="n">
        <v>6</v>
      </c>
      <c r="O180" s="7" t="n">
        <v>3</v>
      </c>
      <c r="P180" s="7" t="n"/>
      <c r="Q180" s="175" t="n">
        <v>2</v>
      </c>
      <c r="R180" s="7" t="n"/>
      <c r="S180" s="7" t="n"/>
      <c r="T180" s="7" t="n"/>
      <c r="U180" s="7" t="n"/>
      <c r="V180" s="7" t="n"/>
      <c r="W180" s="7" t="n"/>
      <c r="X180" s="7" t="n"/>
      <c r="Y180" s="7" t="n"/>
      <c r="Z180" s="7" t="n"/>
      <c r="AA180" s="7" t="n"/>
      <c r="AB180" s="175" t="n">
        <v>2</v>
      </c>
      <c r="AC180" s="175" t="n">
        <v>2</v>
      </c>
    </row>
    <row r="181">
      <c r="A181" s="6" t="inlineStr">
        <is>
          <t>работник 226</t>
        </is>
      </c>
      <c r="B181" s="6" t="inlineStr">
        <is>
          <t>Кладовщик | Пробоотборщик</t>
        </is>
      </c>
      <c r="C181" s="6" t="inlineStr">
        <is>
          <t>Кладовщик | Пробоотборщик</t>
        </is>
      </c>
      <c r="D181" s="6" t="inlineStr">
        <is>
          <t>ОБЩЕСТВО С ОГРАНИЧЕННОЙ ОТВЕТСТВЕННОСТЬЮ "АМУР ЗОЛОТО"</t>
        </is>
      </c>
      <c r="E181" s="6" t="inlineStr">
        <is>
          <t>2708001686</t>
        </is>
      </c>
      <c r="F181" s="6" t="inlineStr">
        <is>
          <t>ООО "Амур Золото"</t>
        </is>
      </c>
      <c r="G181" s="6" t="inlineStr">
        <is>
          <t>2708001686</t>
        </is>
      </c>
      <c r="H181" s="6" t="inlineStr">
        <is>
          <t>41372119; 41372120; 41372121; 76186433; 76186434; 223283028; 223283042; 223283043</t>
        </is>
      </c>
      <c r="I181" s="6" t="inlineStr">
        <is>
          <t>3335316; 5868791; 15995643</t>
        </is>
      </c>
      <c r="J181" s="6" t="inlineStr">
        <is>
          <t>ОТ № ЮГОК СК 24-02; ОТ №ЮГОК ОТК 24-04; ЮГОК МТО 26-11</t>
        </is>
      </c>
      <c r="K181" s="6" t="inlineStr">
        <is>
          <t>23.02.2024; 23.08.2024; 26.08.2026</t>
        </is>
      </c>
      <c r="L181" s="6" t="inlineStr">
        <is>
          <t>Успешно</t>
        </is>
      </c>
      <c r="M181" s="6" t="inlineStr">
        <is>
          <t>Пользовательский интерфейс</t>
        </is>
      </c>
      <c r="N181" s="7" t="n">
        <v>8</v>
      </c>
      <c r="O181" s="7" t="n">
        <v>3</v>
      </c>
      <c r="P181" s="7" t="n"/>
      <c r="Q181" s="175" t="n">
        <v>3</v>
      </c>
      <c r="R181" s="7" t="n"/>
      <c r="S181" s="7" t="n"/>
      <c r="T181" s="7" t="n"/>
      <c r="U181" s="7" t="n"/>
      <c r="V181" s="7" t="n"/>
      <c r="W181" s="7" t="n"/>
      <c r="X181" s="7" t="n"/>
      <c r="Y181" s="7" t="n"/>
      <c r="Z181" s="7" t="n"/>
      <c r="AA181" s="7" t="n"/>
      <c r="AB181" s="175" t="n">
        <v>2</v>
      </c>
      <c r="AC181" s="175" t="n">
        <v>3</v>
      </c>
    </row>
    <row r="182">
      <c r="A182" s="6" t="inlineStr">
        <is>
          <t>работник 329</t>
        </is>
      </c>
      <c r="B182" s="6" t="inlineStr">
        <is>
          <t>Машинист мельниц</t>
        </is>
      </c>
      <c r="C182" s="6" t="inlineStr">
        <is>
          <t>Машинист мельниц</t>
        </is>
      </c>
      <c r="D182" s="6" t="inlineStr">
        <is>
          <t>ОБЩЕСТВО С ОГРАНИЧЕННОЙ ОТВЕТСТВЕННОСТЬЮ "АМУР ЗОЛОТО"</t>
        </is>
      </c>
      <c r="E182" s="6" t="inlineStr">
        <is>
          <t>2708001686</t>
        </is>
      </c>
      <c r="F182" s="6" t="inlineStr">
        <is>
          <t>ООО "Амур Золото"</t>
        </is>
      </c>
      <c r="G182" s="6" t="inlineStr">
        <is>
          <t>2708001686</t>
        </is>
      </c>
      <c r="H182" s="6" t="inlineStr">
        <is>
          <t>47664820; 47664821; 47664822; 131313232; 131313233</t>
        </is>
      </c>
      <c r="I182" s="6" t="inlineStr">
        <is>
          <t>3785399; 9873379</t>
        </is>
      </c>
      <c r="J182" s="6" t="inlineStr">
        <is>
          <t>ОТ ЮГОК ЗИОФ 24-19; ОТ № ЮГОК ЗИОФ 25-20</t>
        </is>
      </c>
      <c r="K182" s="6" t="inlineStr">
        <is>
          <t>11.03.2024; 21.06.2025</t>
        </is>
      </c>
      <c r="L182" s="6" t="inlineStr">
        <is>
          <t>Успешно</t>
        </is>
      </c>
      <c r="M182" s="6" t="inlineStr">
        <is>
          <t>Пользовательский интерфейс</t>
        </is>
      </c>
      <c r="N182" s="7" t="n">
        <v>5</v>
      </c>
      <c r="O182" s="7" t="n">
        <v>2</v>
      </c>
      <c r="P182" s="7" t="n"/>
      <c r="Q182" s="175" t="n">
        <v>2</v>
      </c>
      <c r="R182" s="7" t="n"/>
      <c r="S182" s="7" t="n"/>
      <c r="T182" s="7" t="n"/>
      <c r="U182" s="7" t="n"/>
      <c r="V182" s="7" t="n"/>
      <c r="W182" s="7" t="n"/>
      <c r="X182" s="7" t="n"/>
      <c r="Y182" s="7" t="n"/>
      <c r="Z182" s="7" t="n"/>
      <c r="AA182" s="7" t="n"/>
      <c r="AB182" s="7" t="n">
        <v>1</v>
      </c>
      <c r="AC182" s="175" t="n">
        <v>2</v>
      </c>
    </row>
    <row r="183">
      <c r="A183" s="6" t="inlineStr">
        <is>
          <t>работник 350</t>
        </is>
      </c>
      <c r="B183" s="6" t="inlineStr">
        <is>
          <t>Ламповщик | Уборщик производственных и служебных помещений</t>
        </is>
      </c>
      <c r="C183" s="6" t="inlineStr">
        <is>
          <t>Ламповщик | Уборщик производственных и служебных помещений</t>
        </is>
      </c>
      <c r="D183" s="6" t="inlineStr">
        <is>
          <t>ОБЩЕСТВО С ОГРАНИЧЕННОЙ ОТВЕТСТВЕННОСТЬЮ "АМУР ЗОЛОТО"</t>
        </is>
      </c>
      <c r="E183" s="6" t="inlineStr">
        <is>
          <t>2708001686</t>
        </is>
      </c>
      <c r="F183" s="6" t="inlineStr">
        <is>
          <t>ООО "Амур Золото"</t>
        </is>
      </c>
      <c r="G183" s="6" t="inlineStr">
        <is>
          <t>2708001686</t>
        </is>
      </c>
      <c r="H183" s="6" t="inlineStr">
        <is>
          <t>58069258; 58069259; 58069260; 214421728; 214421729; 214421730</t>
        </is>
      </c>
      <c r="I183" s="6" t="inlineStr">
        <is>
          <t>4506532; 15411233</t>
        </is>
      </c>
      <c r="J183" s="6" t="inlineStr">
        <is>
          <t>ОТ № ЮГОК ПГУ 24-06; ЮГОК АХЧ 26-43</t>
        </is>
      </c>
      <c r="K183" s="6" t="inlineStr">
        <is>
          <t>25.04.2024; 02.07.2026</t>
        </is>
      </c>
      <c r="L183" s="6" t="inlineStr">
        <is>
          <t>Успешно</t>
        </is>
      </c>
      <c r="M183" s="6" t="inlineStr">
        <is>
          <t>Пользовательский интерфейс</t>
        </is>
      </c>
      <c r="N183" s="7" t="n">
        <v>6</v>
      </c>
      <c r="O183" s="7" t="n">
        <v>3</v>
      </c>
      <c r="P183" s="7" t="n"/>
      <c r="Q183" s="175" t="n">
        <v>2</v>
      </c>
      <c r="R183" s="7" t="n"/>
      <c r="S183" s="7" t="n"/>
      <c r="T183" s="7" t="n"/>
      <c r="U183" s="7" t="n"/>
      <c r="V183" s="7" t="n"/>
      <c r="W183" s="7" t="n"/>
      <c r="X183" s="7" t="n"/>
      <c r="Y183" s="7" t="n"/>
      <c r="Z183" s="7" t="n"/>
      <c r="AA183" s="7" t="n"/>
      <c r="AB183" s="175" t="n">
        <v>2</v>
      </c>
      <c r="AC183" s="175" t="n">
        <v>2</v>
      </c>
    </row>
    <row r="184">
      <c r="A184" s="6" t="inlineStr">
        <is>
          <t>работник 194</t>
        </is>
      </c>
      <c r="B184" s="6" t="inlineStr">
        <is>
          <t>Машинист экскаватора</t>
        </is>
      </c>
      <c r="C184" s="6" t="inlineStr">
        <is>
          <t>Машинист экскаватора</t>
        </is>
      </c>
      <c r="D184" s="6" t="inlineStr">
        <is>
          <t>ОБЩЕСТВО С ОГРАНИЧЕННОЙ ОТВЕТСТВЕННОСТЬЮ "АМУР ЗОЛОТО"</t>
        </is>
      </c>
      <c r="E184" s="6" t="inlineStr">
        <is>
          <t>2708001686</t>
        </is>
      </c>
      <c r="F184" s="6" t="inlineStr">
        <is>
          <t>ООО "Амур Золото"</t>
        </is>
      </c>
      <c r="G184" s="6" t="inlineStr">
        <is>
          <t>2708001686</t>
        </is>
      </c>
      <c r="H184" s="6" t="inlineStr">
        <is>
          <t>41372020; 41372021; 41372022; 222717167; 222717168; 222717169</t>
        </is>
      </c>
      <c r="I184" s="6" t="inlineStr">
        <is>
          <t>3335316; 15953442</t>
        </is>
      </c>
      <c r="J184" s="6" t="inlineStr">
        <is>
          <t>ОТ № ЮГОК АТЦ 23-03; ЮГОК АТЦ 26-17</t>
        </is>
      </c>
      <c r="K184" s="6" t="inlineStr">
        <is>
          <t>03.12.2023; 17.08.2026</t>
        </is>
      </c>
      <c r="L184" s="6" t="inlineStr">
        <is>
          <t>Успешно</t>
        </is>
      </c>
      <c r="M184" s="6" t="inlineStr">
        <is>
          <t>Пользовательский интерфейс</t>
        </is>
      </c>
      <c r="N184" s="7" t="n">
        <v>6</v>
      </c>
      <c r="O184" s="7" t="n">
        <v>3</v>
      </c>
      <c r="P184" s="7" t="n"/>
      <c r="Q184" s="175" t="n">
        <v>2</v>
      </c>
      <c r="R184" s="7" t="n"/>
      <c r="S184" s="7" t="n"/>
      <c r="T184" s="7" t="n"/>
      <c r="U184" s="7" t="n"/>
      <c r="V184" s="7" t="n"/>
      <c r="W184" s="7" t="n"/>
      <c r="X184" s="7" t="n"/>
      <c r="Y184" s="7" t="n"/>
      <c r="Z184" s="7" t="n"/>
      <c r="AA184" s="7" t="n"/>
      <c r="AB184" s="175" t="n">
        <v>2</v>
      </c>
      <c r="AC184" s="175" t="n">
        <v>2</v>
      </c>
    </row>
    <row r="185">
      <c r="A185" s="6" t="inlineStr">
        <is>
          <t>работник 388</t>
        </is>
      </c>
      <c r="B185" s="6" t="inlineStr">
        <is>
          <t>Дробильщик</t>
        </is>
      </c>
      <c r="C185" s="6" t="inlineStr">
        <is>
          <t>Дробильщик</t>
        </is>
      </c>
      <c r="D185" s="6" t="inlineStr">
        <is>
          <t>ОБЩЕСТВО С ОГРАНИЧЕННОЙ ОТВЕТСТВЕННОСТЬЮ "АМУР ЗОЛОТО"</t>
        </is>
      </c>
      <c r="E185" s="6" t="inlineStr">
        <is>
          <t>2708001686</t>
        </is>
      </c>
      <c r="F185" s="6" t="inlineStr">
        <is>
          <t>ООО "Амур Золото"</t>
        </is>
      </c>
      <c r="G185" s="6" t="inlineStr">
        <is>
          <t>2708001686</t>
        </is>
      </c>
      <c r="H185" s="6" t="inlineStr">
        <is>
          <t>71599959; 71599960; 71599961; 214421243; 214421244; 214421245</t>
        </is>
      </c>
      <c r="I185" s="6" t="inlineStr">
        <is>
          <t>5518427; 15411209</t>
        </is>
      </c>
      <c r="J185" s="6" t="inlineStr">
        <is>
          <t>ОТ №ЮГОК ЗИОФ 24-35; ЮГОК ЗИОФ 26-31</t>
        </is>
      </c>
      <c r="K185" s="6" t="inlineStr">
        <is>
          <t>05.08.2024; 29.07.2026</t>
        </is>
      </c>
      <c r="L185" s="6" t="inlineStr">
        <is>
          <t>Успешно</t>
        </is>
      </c>
      <c r="M185" s="6" t="inlineStr">
        <is>
          <t>Пользовательский интерфейс</t>
        </is>
      </c>
      <c r="N185" s="7" t="n">
        <v>6</v>
      </c>
      <c r="O185" s="7" t="n">
        <v>3</v>
      </c>
      <c r="P185" s="7" t="n"/>
      <c r="Q185" s="175" t="n">
        <v>2</v>
      </c>
      <c r="R185" s="7" t="n"/>
      <c r="S185" s="7" t="n"/>
      <c r="T185" s="7" t="n"/>
      <c r="U185" s="7" t="n"/>
      <c r="V185" s="7" t="n"/>
      <c r="W185" s="7" t="n"/>
      <c r="X185" s="7" t="n"/>
      <c r="Y185" s="7" t="n"/>
      <c r="Z185" s="7" t="n"/>
      <c r="AA185" s="7" t="n"/>
      <c r="AB185" s="175" t="n">
        <v>2</v>
      </c>
      <c r="AC185" s="175" t="n">
        <v>2</v>
      </c>
    </row>
    <row r="186">
      <c r="A186" s="6" t="inlineStr">
        <is>
          <t>работник 92</t>
        </is>
      </c>
      <c r="B186" s="6" t="inlineStr">
        <is>
          <t>Машинист насосных установок</t>
        </is>
      </c>
      <c r="C186" s="6" t="inlineStr">
        <is>
          <t>Машинист насосных установок</t>
        </is>
      </c>
      <c r="D186" s="6" t="inlineStr">
        <is>
          <t>ОБЩЕСТВО С ОГРАНИЧЕННОЙ ОТВЕТСТВЕННОСТЬЮ "АМУР ЗОЛОТО"</t>
        </is>
      </c>
      <c r="E186" s="6" t="inlineStr">
        <is>
          <t>2708001686</t>
        </is>
      </c>
      <c r="F186" s="6" t="inlineStr">
        <is>
          <t>ООО "Амур Золото"</t>
        </is>
      </c>
      <c r="G186" s="6" t="inlineStr">
        <is>
          <t>2708001686</t>
        </is>
      </c>
      <c r="H186" s="6" t="inlineStr">
        <is>
          <t>37117539; 37117540; 37117541; 222717337; 222717338; 222717339</t>
        </is>
      </c>
      <c r="I186" s="6" t="inlineStr">
        <is>
          <t>2978778; 15953442</t>
        </is>
      </c>
      <c r="J186" s="6" t="inlineStr">
        <is>
          <t>ОТ № ЮГОК ЭУ 23-05; ЮГОК ЭУ 26-21</t>
        </is>
      </c>
      <c r="K186" s="6" t="inlineStr">
        <is>
          <t>07.12.2023; 24.08.2026</t>
        </is>
      </c>
      <c r="L186" s="6" t="inlineStr">
        <is>
          <t>Успешно</t>
        </is>
      </c>
      <c r="M186" s="6" t="inlineStr">
        <is>
          <t>Пользовательский интерфейс</t>
        </is>
      </c>
      <c r="N186" s="7" t="n">
        <v>6</v>
      </c>
      <c r="O186" s="7" t="n">
        <v>3</v>
      </c>
      <c r="P186" s="7" t="n"/>
      <c r="Q186" s="175" t="n">
        <v>2</v>
      </c>
      <c r="R186" s="7" t="n"/>
      <c r="S186" s="7" t="n"/>
      <c r="T186" s="7" t="n"/>
      <c r="U186" s="7" t="n"/>
      <c r="V186" s="7" t="n"/>
      <c r="W186" s="7" t="n"/>
      <c r="X186" s="7" t="n"/>
      <c r="Y186" s="7" t="n"/>
      <c r="Z186" s="7" t="n"/>
      <c r="AA186" s="7" t="n"/>
      <c r="AB186" s="175" t="n">
        <v>2</v>
      </c>
      <c r="AC186" s="175" t="n">
        <v>2</v>
      </c>
    </row>
    <row r="187">
      <c r="A187" s="6" t="inlineStr">
        <is>
          <t>работник 120</t>
        </is>
      </c>
      <c r="B187" s="6" t="inlineStr">
        <is>
          <t>Фильтровальщик | Дробильщик</t>
        </is>
      </c>
      <c r="C187" s="6" t="inlineStr">
        <is>
          <t>Фильтровальщик | Дробильщик</t>
        </is>
      </c>
      <c r="D187" s="6" t="inlineStr">
        <is>
          <t>ОБЩЕСТВО С ОГРАНИЧЕННОЙ ОТВЕТСТВЕННОСТЬЮ "АМУР ЗОЛОТО"</t>
        </is>
      </c>
      <c r="E187" s="6" t="inlineStr">
        <is>
          <t>2708001686</t>
        </is>
      </c>
      <c r="F187" s="6" t="inlineStr">
        <is>
          <t>ООО "Амур Золото"</t>
        </is>
      </c>
      <c r="G187" s="6" t="inlineStr">
        <is>
          <t>2708001686</t>
        </is>
      </c>
      <c r="H187" s="6" t="inlineStr">
        <is>
          <t>37117623; 37117624; 37117625; 214421767; 214421768; 214421769</t>
        </is>
      </c>
      <c r="I187" s="6" t="inlineStr">
        <is>
          <t>2978778; 15411233</t>
        </is>
      </c>
      <c r="J187" s="6" t="inlineStr">
        <is>
          <t>ОТ ЮГОК ЗИОФ 23-04; ЮГОК ПАЛ 26-09</t>
        </is>
      </c>
      <c r="K187" s="6" t="inlineStr">
        <is>
          <t>11.12.2023; 02.08.2026</t>
        </is>
      </c>
      <c r="L187" s="6" t="inlineStr">
        <is>
          <t>Успешно</t>
        </is>
      </c>
      <c r="M187" s="6" t="inlineStr">
        <is>
          <t>Пользовательский интерфейс</t>
        </is>
      </c>
      <c r="N187" s="7" t="n">
        <v>6</v>
      </c>
      <c r="O187" s="7" t="n">
        <v>3</v>
      </c>
      <c r="P187" s="7" t="n"/>
      <c r="Q187" s="175" t="n">
        <v>2</v>
      </c>
      <c r="R187" s="7" t="n"/>
      <c r="S187" s="7" t="n"/>
      <c r="T187" s="7" t="n"/>
      <c r="U187" s="7" t="n"/>
      <c r="V187" s="7" t="n"/>
      <c r="W187" s="7" t="n"/>
      <c r="X187" s="7" t="n"/>
      <c r="Y187" s="7" t="n"/>
      <c r="Z187" s="7" t="n"/>
      <c r="AA187" s="7" t="n"/>
      <c r="AB187" s="175" t="n">
        <v>2</v>
      </c>
      <c r="AC187" s="175" t="n">
        <v>2</v>
      </c>
    </row>
    <row r="188">
      <c r="A188" s="6" t="inlineStr">
        <is>
          <t>работник 83</t>
        </is>
      </c>
      <c r="B188" s="6" t="inlineStr">
        <is>
          <t>Плотник</t>
        </is>
      </c>
      <c r="C188" s="6" t="inlineStr">
        <is>
          <t>Плотник</t>
        </is>
      </c>
      <c r="D188" s="6" t="inlineStr">
        <is>
          <t>ОБЩЕСТВО С ОГРАНИЧЕННОЙ ОТВЕТСТВЕННОСТЬЮ "АМУР ЗОЛОТО"</t>
        </is>
      </c>
      <c r="E188" s="6" t="inlineStr">
        <is>
          <t>2708001686</t>
        </is>
      </c>
      <c r="F188" s="6" t="inlineStr">
        <is>
          <t>ООО "Амур Золото"</t>
        </is>
      </c>
      <c r="G188" s="6" t="inlineStr">
        <is>
          <t>2708001686</t>
        </is>
      </c>
      <c r="H188" s="6" t="inlineStr">
        <is>
          <t>37117481; 37117482; 37117483; 37117510; 37117511; 37117512; 197822342; 197822343</t>
        </is>
      </c>
      <c r="I188" s="6" t="inlineStr">
        <is>
          <t>2978778; 14313480</t>
        </is>
      </c>
      <c r="J188" s="6" t="inlineStr">
        <is>
          <t>ОТ № ЮГОК РСУ 23-01; ОТ № ЮГОК РСУ 23-02; ЮГОК ОКС (РСУ) 26-01</t>
        </is>
      </c>
      <c r="K188" s="6" t="inlineStr">
        <is>
          <t>23.11.2023; 24.11.2023; 23.05.2026</t>
        </is>
      </c>
      <c r="L188" s="6" t="inlineStr">
        <is>
          <t>Успешно</t>
        </is>
      </c>
      <c r="M188" s="6" t="inlineStr">
        <is>
          <t>Пользовательский интерфейс</t>
        </is>
      </c>
      <c r="N188" s="7" t="n">
        <v>8</v>
      </c>
      <c r="O188" s="7" t="n">
        <v>2</v>
      </c>
      <c r="P188" s="7" t="n"/>
      <c r="Q188" s="175" t="n">
        <v>2</v>
      </c>
      <c r="R188" s="7" t="n">
        <v>1</v>
      </c>
      <c r="S188" s="7" t="n"/>
      <c r="T188" s="7" t="n"/>
      <c r="U188" s="7" t="n"/>
      <c r="V188" s="7" t="n"/>
      <c r="W188" s="7" t="n"/>
      <c r="X188" s="7" t="n"/>
      <c r="Y188" s="7" t="n">
        <v>1</v>
      </c>
      <c r="Z188" s="7" t="n">
        <v>1</v>
      </c>
      <c r="AA188" s="7" t="n"/>
      <c r="AB188" s="7" t="n">
        <v>1</v>
      </c>
      <c r="AC188" s="175" t="n">
        <v>2</v>
      </c>
    </row>
    <row r="189">
      <c r="A189" s="6" t="inlineStr">
        <is>
          <t>работник 450</t>
        </is>
      </c>
      <c r="B189" s="6" t="inlineStr">
        <is>
          <t>Бункеровщик | Аппаратчик-гидрометаллург</t>
        </is>
      </c>
      <c r="C189" s="6" t="inlineStr">
        <is>
          <t>Бункеровщик | Аппаратчик-гидрометаллург</t>
        </is>
      </c>
      <c r="D189" s="6" t="inlineStr">
        <is>
          <t>ОБЩЕСТВО С ОГРАНИЧЕННОЙ ОТВЕТСТВЕННОСТЬЮ "АМУР ЗОЛОТО"</t>
        </is>
      </c>
      <c r="E189" s="6" t="inlineStr">
        <is>
          <t>2708001686</t>
        </is>
      </c>
      <c r="F189" s="6" t="inlineStr">
        <is>
          <t>ООО "Амур Золото"</t>
        </is>
      </c>
      <c r="G189" s="6" t="inlineStr">
        <is>
          <t>2708001686</t>
        </is>
      </c>
      <c r="H189" s="6" t="inlineStr">
        <is>
          <t>85344322; 85344323; 121097077; 121097078</t>
        </is>
      </c>
      <c r="I189" s="6" t="inlineStr">
        <is>
          <t>6554154; 9114030</t>
        </is>
      </c>
      <c r="J189" s="6" t="inlineStr">
        <is>
          <t>ОТ № ЮГОК ЗИОФ 24-34; ОТ № ЮГОК ЗИОФ 25-11</t>
        </is>
      </c>
      <c r="K189" s="6" t="inlineStr">
        <is>
          <t>25.10.2024; 01.04.2025</t>
        </is>
      </c>
      <c r="L189" s="6" t="inlineStr">
        <is>
          <t>Успешно</t>
        </is>
      </c>
      <c r="M189" s="6" t="inlineStr">
        <is>
          <t>Пользовательский интерфейс</t>
        </is>
      </c>
      <c r="N189" s="7" t="n">
        <v>4</v>
      </c>
      <c r="O189" s="7" t="n">
        <v>2</v>
      </c>
      <c r="P189" s="7" t="n"/>
      <c r="Q189" s="175" t="n">
        <v>2</v>
      </c>
      <c r="R189" s="7" t="n"/>
      <c r="S189" s="7" t="n"/>
      <c r="T189" s="7" t="n"/>
      <c r="U189" s="7" t="n"/>
      <c r="V189" s="7" t="n"/>
      <c r="W189" s="7" t="n"/>
      <c r="X189" s="7" t="n"/>
      <c r="Y189" s="7" t="n"/>
      <c r="Z189" s="7" t="n"/>
      <c r="AA189" s="7" t="n"/>
      <c r="AB189" s="7" t="n"/>
      <c r="AC189" s="175" t="n">
        <v>2</v>
      </c>
    </row>
    <row r="190">
      <c r="A190" s="6" t="inlineStr">
        <is>
          <t>работник 245</t>
        </is>
      </c>
      <c r="B190" s="6" t="inlineStr">
        <is>
          <t>Растворщик реагентов | Промывальщик геологических проб</t>
        </is>
      </c>
      <c r="C190" s="6" t="inlineStr">
        <is>
          <t>Растворщик реагентов | Промывальщик геологических проб</t>
        </is>
      </c>
      <c r="D190" s="6" t="inlineStr">
        <is>
          <t>ОБЩЕСТВО С ОГРАНИЧЕННОЙ ОТВЕТСТВЕННОСТЬЮ "АМУР ЗОЛОТО"</t>
        </is>
      </c>
      <c r="E190" s="6" t="inlineStr">
        <is>
          <t>2708001686</t>
        </is>
      </c>
      <c r="F190" s="6" t="inlineStr">
        <is>
          <t>ООО "Амур Золото"</t>
        </is>
      </c>
      <c r="G190" s="6" t="inlineStr">
        <is>
          <t>2708001686</t>
        </is>
      </c>
      <c r="H190" s="6" t="inlineStr">
        <is>
          <t>41372179; 41372180; 41372181; 197822407; 197822408</t>
        </is>
      </c>
      <c r="I190" s="6" t="inlineStr">
        <is>
          <t>3335316; 14313485</t>
        </is>
      </c>
      <c r="J190" s="6" t="inlineStr">
        <is>
          <t>ОТ ЮГОК ЗИОФ 24-05; ЮГОК ГРР 26-01</t>
        </is>
      </c>
      <c r="K190" s="6" t="inlineStr">
        <is>
          <t>01.02.2024; 23.05.2026</t>
        </is>
      </c>
      <c r="L190" s="6" t="inlineStr">
        <is>
          <t>Успешно</t>
        </is>
      </c>
      <c r="M190" s="6" t="inlineStr">
        <is>
          <t>Пользовательский интерфейс</t>
        </is>
      </c>
      <c r="N190" s="7" t="n">
        <v>5</v>
      </c>
      <c r="O190" s="7" t="n">
        <v>2</v>
      </c>
      <c r="P190" s="7" t="n"/>
      <c r="Q190" s="175" t="n">
        <v>2</v>
      </c>
      <c r="R190" s="7" t="n"/>
      <c r="S190" s="7" t="n"/>
      <c r="T190" s="7" t="n"/>
      <c r="U190" s="7" t="n"/>
      <c r="V190" s="7" t="n"/>
      <c r="W190" s="7" t="n"/>
      <c r="X190" s="7" t="n"/>
      <c r="Y190" s="7" t="n"/>
      <c r="Z190" s="7" t="n"/>
      <c r="AA190" s="7" t="n"/>
      <c r="AB190" s="7" t="n">
        <v>1</v>
      </c>
      <c r="AC190" s="175" t="n">
        <v>2</v>
      </c>
    </row>
    <row r="191">
      <c r="A191" s="6" t="inlineStr">
        <is>
          <t>работник 561</t>
        </is>
      </c>
      <c r="B191" s="6" t="inlineStr">
        <is>
          <t>Помощник машиниста самоходной буровой установки (с исполнением обязанностей пробоотборщика) (Очистное)</t>
        </is>
      </c>
      <c r="C191" s="6" t="inlineStr">
        <is>
          <t>Помощник машиниста самоходной буровой установки (с исполнением обязанностей пробоотборщика) (Очистное)</t>
        </is>
      </c>
      <c r="D191" s="6" t="inlineStr">
        <is>
          <t>ОБЩЕСТВО С ОГРАНИЧЕННОЙ ОТВЕТСТВЕННОСТЬЮ "АМУР ЗОЛОТО"</t>
        </is>
      </c>
      <c r="E191" s="6" t="inlineStr">
        <is>
          <t>2708001686</t>
        </is>
      </c>
      <c r="F191" s="6" t="inlineStr">
        <is>
          <t>ООО "Амур Золото"</t>
        </is>
      </c>
      <c r="G191" s="6" t="inlineStr">
        <is>
          <t>2708001686</t>
        </is>
      </c>
      <c r="H191" s="6" t="inlineStr">
        <is>
          <t>124493953; 124493954; 131313246; 131313247</t>
        </is>
      </c>
      <c r="I191" s="6" t="inlineStr">
        <is>
          <t>9387075; 9873379</t>
        </is>
      </c>
      <c r="J191" s="6" t="inlineStr">
        <is>
          <t>ОТ № ЮГОК ПГУ 17-25; ОТ № ЮГОК ПГУ 19-25</t>
        </is>
      </c>
      <c r="K191" s="6" t="inlineStr">
        <is>
          <t>26.05.2025</t>
        </is>
      </c>
      <c r="L191" s="6" t="inlineStr">
        <is>
          <t>Успешно</t>
        </is>
      </c>
      <c r="M191" s="6" t="inlineStr"/>
      <c r="N191" s="7" t="n">
        <v>4</v>
      </c>
      <c r="O191" s="7" t="n">
        <v>2</v>
      </c>
      <c r="P191" s="7" t="n"/>
      <c r="Q191" s="175" t="n">
        <v>2</v>
      </c>
      <c r="R191" s="7" t="n"/>
      <c r="S191" s="7" t="n"/>
      <c r="T191" s="7" t="n"/>
      <c r="U191" s="7" t="n"/>
      <c r="V191" s="7" t="n"/>
      <c r="W191" s="7" t="n"/>
      <c r="X191" s="7" t="n"/>
      <c r="Y191" s="7" t="n"/>
      <c r="Z191" s="7" t="n"/>
      <c r="AA191" s="7" t="n"/>
      <c r="AB191" s="7" t="n"/>
      <c r="AC191" s="175" t="n">
        <v>2</v>
      </c>
    </row>
    <row r="192">
      <c r="A192" s="6" t="inlineStr">
        <is>
          <t>работник 493</t>
        </is>
      </c>
      <c r="B192" s="6" t="inlineStr">
        <is>
          <t>Машинист погрузочно-доставочной машины</t>
        </is>
      </c>
      <c r="C192" s="6" t="inlineStr">
        <is>
          <t>Машинист погрузочно-доставочной машины</t>
        </is>
      </c>
      <c r="D192" s="6" t="inlineStr">
        <is>
          <t>ОБЩЕСТВО С ОГРАНИЧЕННОЙ ОТВЕТСТВЕННОСТЬЮ "АМУР ЗОЛОТО"</t>
        </is>
      </c>
      <c r="E192" s="6" t="inlineStr">
        <is>
          <t>2708001686</t>
        </is>
      </c>
      <c r="F192" s="6" t="inlineStr">
        <is>
          <t>ООО "Амур Золото"</t>
        </is>
      </c>
      <c r="G192" s="6" t="inlineStr">
        <is>
          <t>2708001686</t>
        </is>
      </c>
      <c r="H192" s="6" t="inlineStr">
        <is>
          <t>87544994; 87544995; 200897088; 216771131; 216771132; 216771133</t>
        </is>
      </c>
      <c r="I192" s="6" t="inlineStr">
        <is>
          <t>6719954; 14513218; 15571832</t>
        </is>
      </c>
      <c r="J192" s="6" t="inlineStr">
        <is>
          <t>ОТ № ЮГОК ПГУ 24-23; ЮГОК ПГУ 26-01; ЮГОК ПГУ 26-47</t>
        </is>
      </c>
      <c r="K192" s="6" t="inlineStr">
        <is>
          <t>12.11.2024; 04.06.2026; 15.08.2026</t>
        </is>
      </c>
      <c r="L192" s="6" t="inlineStr">
        <is>
          <t>Успешно</t>
        </is>
      </c>
      <c r="M192" s="6" t="inlineStr">
        <is>
          <t>Пользовательский интерфейс</t>
        </is>
      </c>
      <c r="N192" s="7" t="n">
        <v>6</v>
      </c>
      <c r="O192" s="7" t="n">
        <v>3</v>
      </c>
      <c r="P192" s="7" t="n"/>
      <c r="Q192" s="175" t="n">
        <v>2</v>
      </c>
      <c r="R192" s="7" t="n"/>
      <c r="S192" s="7" t="n"/>
      <c r="T192" s="7" t="n"/>
      <c r="U192" s="7" t="n"/>
      <c r="V192" s="7" t="n"/>
      <c r="W192" s="7" t="n"/>
      <c r="X192" s="7" t="n"/>
      <c r="Y192" s="7" t="n"/>
      <c r="Z192" s="7" t="n"/>
      <c r="AA192" s="7" t="n"/>
      <c r="AB192" s="175" t="n">
        <v>2</v>
      </c>
      <c r="AC192" s="175" t="n">
        <v>2</v>
      </c>
    </row>
    <row r="193">
      <c r="A193" s="6" t="inlineStr">
        <is>
          <t>работник 673</t>
        </is>
      </c>
      <c r="B193" s="6" t="inlineStr">
        <is>
          <t>Слесарь-ремонтник (по ремонту обогатительного оборудования)</t>
        </is>
      </c>
      <c r="C193" s="6" t="inlineStr">
        <is>
          <t>Слесарь-ремонтник по ремонту обогатительного оборудования | Слесарь-ремонтник (по ремонту обогатительного оборудования)</t>
        </is>
      </c>
      <c r="D193" s="6" t="inlineStr">
        <is>
          <t>ОБЩЕСТВО С ОГРАНИЧЕННОЙ ОТВЕТСТВЕННОСТЬЮ "АМУР ЗОЛОТО"</t>
        </is>
      </c>
      <c r="E193" s="6" t="inlineStr">
        <is>
          <t>2708001686</t>
        </is>
      </c>
      <c r="F193" s="6" t="inlineStr">
        <is>
          <t>ООО "Амур Золото"</t>
        </is>
      </c>
      <c r="G193" s="6" t="inlineStr">
        <is>
          <t>2708001686</t>
        </is>
      </c>
      <c r="H193" s="6" t="inlineStr">
        <is>
          <t>189084981; 189084982; 223283017; 223283018; 223283019</t>
        </is>
      </c>
      <c r="I193" s="6" t="inlineStr">
        <is>
          <t>13661981; 15995643</t>
        </is>
      </c>
      <c r="J193" s="6" t="inlineStr">
        <is>
          <t>ОТ № ЮГОК ЗИОФ 26-08; ЮГОК ЗИОФ 26-53</t>
        </is>
      </c>
      <c r="K193" s="6" t="inlineStr">
        <is>
          <t>06.04.2026; 09.09.2026</t>
        </is>
      </c>
      <c r="L193" s="6" t="inlineStr">
        <is>
          <t>Успешно</t>
        </is>
      </c>
      <c r="M193" s="6" t="inlineStr">
        <is>
          <t>Пользовательский интерфейс</t>
        </is>
      </c>
      <c r="N193" s="7" t="n">
        <v>5</v>
      </c>
      <c r="O193" s="7" t="n">
        <v>2</v>
      </c>
      <c r="P193" s="7" t="n"/>
      <c r="Q193" s="175" t="n">
        <v>2</v>
      </c>
      <c r="R193" s="7" t="n"/>
      <c r="S193" s="7" t="n"/>
      <c r="T193" s="7" t="n"/>
      <c r="U193" s="7" t="n"/>
      <c r="V193" s="7" t="n"/>
      <c r="W193" s="7" t="n"/>
      <c r="X193" s="7" t="n"/>
      <c r="Y193" s="7" t="n"/>
      <c r="Z193" s="7" t="n"/>
      <c r="AA193" s="7" t="n"/>
      <c r="AB193" s="7" t="n">
        <v>1</v>
      </c>
      <c r="AC193" s="175" t="n">
        <v>2</v>
      </c>
    </row>
    <row r="194">
      <c r="A194" s="6" t="inlineStr">
        <is>
          <t>работник 585</t>
        </is>
      </c>
      <c r="B194" s="6" t="inlineStr">
        <is>
          <t>Фильтровальщик | Аппаратчик-гидрометаллург</t>
        </is>
      </c>
      <c r="C194" s="6" t="inlineStr">
        <is>
          <t>Фильтровальщик | Аппаратчик-гидрометаллург</t>
        </is>
      </c>
      <c r="D194" s="6" t="inlineStr">
        <is>
          <t>ОБЩЕСТВО С ОГРАНИЧЕННОЙ ОТВЕТСТВЕННОСТЬЮ "АМУР ЗОЛОТО"</t>
        </is>
      </c>
      <c r="E194" s="6" t="inlineStr">
        <is>
          <t>2708001686</t>
        </is>
      </c>
      <c r="F194" s="6" t="inlineStr">
        <is>
          <t>ООО "Амур Золото"</t>
        </is>
      </c>
      <c r="G194" s="6" t="inlineStr">
        <is>
          <t>2708001686</t>
        </is>
      </c>
      <c r="H194" s="6" t="inlineStr">
        <is>
          <t>144713855; 144713856; 200897010; 200897011; 214421283; 214421284; 214421285</t>
        </is>
      </c>
      <c r="I194" s="6" t="inlineStr">
        <is>
          <t>10845617; 14513218; 15411209</t>
        </is>
      </c>
      <c r="J194" s="6" t="inlineStr">
        <is>
          <t>ОТ № ЮГОК ЗИОФ 25-29; ЮГОК ЗИОФ 26-01; ЮГОК ЗИОФ 26-34</t>
        </is>
      </c>
      <c r="K194" s="6" t="inlineStr">
        <is>
          <t>13.09.2025; 05.06.2026; 29.07.2026</t>
        </is>
      </c>
      <c r="L194" s="6" t="inlineStr">
        <is>
          <t>Успешно</t>
        </is>
      </c>
      <c r="M194" s="6" t="inlineStr">
        <is>
          <t>Пользовательский интерфейс</t>
        </is>
      </c>
      <c r="N194" s="7" t="n">
        <v>7</v>
      </c>
      <c r="O194" s="7" t="n">
        <v>2</v>
      </c>
      <c r="P194" s="7" t="n"/>
      <c r="Q194" s="175" t="n">
        <v>2</v>
      </c>
      <c r="R194" s="7" t="n">
        <v>1</v>
      </c>
      <c r="S194" s="7" t="n"/>
      <c r="T194" s="7" t="n">
        <v>1</v>
      </c>
      <c r="U194" s="7" t="n"/>
      <c r="V194" s="7" t="n"/>
      <c r="W194" s="7" t="n"/>
      <c r="X194" s="7" t="n"/>
      <c r="Y194" s="7" t="n"/>
      <c r="Z194" s="7" t="n"/>
      <c r="AA194" s="7" t="n"/>
      <c r="AB194" s="7" t="n">
        <v>1</v>
      </c>
      <c r="AC194" s="175" t="n">
        <v>2</v>
      </c>
    </row>
    <row r="195">
      <c r="A195" s="6" t="inlineStr">
        <is>
          <t>работник 375</t>
        </is>
      </c>
      <c r="B195" s="6" t="inlineStr">
        <is>
          <t>Крепильщик</t>
        </is>
      </c>
      <c r="C195" s="6" t="inlineStr">
        <is>
          <t>Крепильщик</t>
        </is>
      </c>
      <c r="D195" s="6" t="inlineStr">
        <is>
          <t>ОБЩЕСТВО С ОГРАНИЧЕННОЙ ОТВЕТСТВЕННОСТЬЮ "АМУР ЗОЛОТО"</t>
        </is>
      </c>
      <c r="E195" s="6" t="inlineStr">
        <is>
          <t>2708001686</t>
        </is>
      </c>
      <c r="F195" s="6" t="inlineStr">
        <is>
          <t>ООО "Амур Золото"</t>
        </is>
      </c>
      <c r="G195" s="6" t="inlineStr">
        <is>
          <t>2708001686</t>
        </is>
      </c>
      <c r="H195" s="6" t="inlineStr">
        <is>
          <t>68090132; 68090133; 68090134; 214421404; 214421474; 214421475</t>
        </is>
      </c>
      <c r="I195" s="6" t="inlineStr">
        <is>
          <t>5245589; 15411209</t>
        </is>
      </c>
      <c r="J195" s="6" t="inlineStr">
        <is>
          <t>ОТ № ЮГОК ПГУ 24-09; ЮГОК ПГУ 26-29; ЮГОК ПГУ 26-33</t>
        </is>
      </c>
      <c r="K195" s="6" t="inlineStr">
        <is>
          <t>19.07.2024; 25.07.2026; 24.07.2026</t>
        </is>
      </c>
      <c r="L195" s="6" t="inlineStr">
        <is>
          <t>Успешно</t>
        </is>
      </c>
      <c r="M195" s="6" t="inlineStr">
        <is>
          <t>Пользовательский интерфейс</t>
        </is>
      </c>
      <c r="N195" s="7" t="n">
        <v>6</v>
      </c>
      <c r="O195" s="7" t="n">
        <v>3</v>
      </c>
      <c r="P195" s="7" t="n"/>
      <c r="Q195" s="175" t="n">
        <v>2</v>
      </c>
      <c r="R195" s="7" t="n"/>
      <c r="S195" s="7" t="n"/>
      <c r="T195" s="7" t="n"/>
      <c r="U195" s="7" t="n"/>
      <c r="V195" s="7" t="n"/>
      <c r="W195" s="7" t="n"/>
      <c r="X195" s="7" t="n"/>
      <c r="Y195" s="7" t="n"/>
      <c r="Z195" s="7" t="n"/>
      <c r="AA195" s="7" t="n"/>
      <c r="AB195" s="175" t="n">
        <v>2</v>
      </c>
      <c r="AC195" s="175" t="n">
        <v>2</v>
      </c>
    </row>
    <row r="196">
      <c r="A196" s="6" t="inlineStr">
        <is>
          <t>работник 389</t>
        </is>
      </c>
      <c r="B196" s="6" t="inlineStr">
        <is>
          <t>Пробоотборщик | Контролер продукции обогащения</t>
        </is>
      </c>
      <c r="C196" s="6" t="inlineStr">
        <is>
          <t>Пробоотборщик | Контролер продукции обогащения</t>
        </is>
      </c>
      <c r="D196" s="6" t="inlineStr">
        <is>
          <t>ОБЩЕСТВО С ОГРАНИЧЕННОЙ ОТВЕТСТВЕННОСТЬЮ "АМУР ЗОЛОТО"</t>
        </is>
      </c>
      <c r="E196" s="6" t="inlineStr">
        <is>
          <t>2708001686</t>
        </is>
      </c>
      <c r="F196" s="6" t="inlineStr">
        <is>
          <t>ООО "Амур Золото"</t>
        </is>
      </c>
      <c r="G196" s="6" t="inlineStr">
        <is>
          <t>2708001686</t>
        </is>
      </c>
      <c r="H196" s="6" t="inlineStr">
        <is>
          <t>71599962; 71599963; 71599964; 214421746; 214421747; 214421748</t>
        </is>
      </c>
      <c r="I196" s="6" t="inlineStr">
        <is>
          <t>5518427; 15411233</t>
        </is>
      </c>
      <c r="J196" s="6" t="inlineStr">
        <is>
          <t>ОТ №ЮГОК ОТК 24-03; ЮГОК ОТК 26-05</t>
        </is>
      </c>
      <c r="K196" s="6" t="inlineStr">
        <is>
          <t>12.08.2024; 02.08.2026</t>
        </is>
      </c>
      <c r="L196" s="6" t="inlineStr">
        <is>
          <t>Успешно</t>
        </is>
      </c>
      <c r="M196" s="6" t="inlineStr">
        <is>
          <t>Пользовательский интерфейс</t>
        </is>
      </c>
      <c r="N196" s="7" t="n">
        <v>6</v>
      </c>
      <c r="O196" s="7" t="n">
        <v>3</v>
      </c>
      <c r="P196" s="7" t="n"/>
      <c r="Q196" s="175" t="n">
        <v>2</v>
      </c>
      <c r="R196" s="7" t="n"/>
      <c r="S196" s="7" t="n"/>
      <c r="T196" s="7" t="n"/>
      <c r="U196" s="7" t="n"/>
      <c r="V196" s="7" t="n"/>
      <c r="W196" s="7" t="n"/>
      <c r="X196" s="7" t="n"/>
      <c r="Y196" s="7" t="n"/>
      <c r="Z196" s="7" t="n"/>
      <c r="AA196" s="7" t="n"/>
      <c r="AB196" s="175" t="n">
        <v>2</v>
      </c>
      <c r="AC196" s="175" t="n">
        <v>2</v>
      </c>
    </row>
    <row r="197">
      <c r="A197" s="6" t="inlineStr">
        <is>
          <t>работник 596</t>
        </is>
      </c>
      <c r="B197" s="6" t="inlineStr">
        <is>
          <t>Слесарь-ремонтник (по ремонту самоходной техники)</t>
        </is>
      </c>
      <c r="C197" s="6" t="inlineStr">
        <is>
          <t>Слесарь-ремонтник (по ремонту самоходной техники)</t>
        </is>
      </c>
      <c r="D197" s="6" t="inlineStr">
        <is>
          <t>ОБЩЕСТВО С ОГРАНИЧЕННОЙ ОТВЕТСТВЕННОСТЬЮ "АМУР ЗОЛОТО"</t>
        </is>
      </c>
      <c r="E197" s="6" t="inlineStr">
        <is>
          <t>2708001686</t>
        </is>
      </c>
      <c r="F197" s="6" t="inlineStr">
        <is>
          <t>ООО "Амур Золото"</t>
        </is>
      </c>
      <c r="G197" s="6" t="inlineStr">
        <is>
          <t>2708001686</t>
        </is>
      </c>
      <c r="H197" s="6" t="inlineStr">
        <is>
          <t>148626995; 148626996; 214421489; 214421490; 214421491</t>
        </is>
      </c>
      <c r="I197" s="6" t="inlineStr">
        <is>
          <t>11125717; 15411209</t>
        </is>
      </c>
      <c r="J197" s="6" t="inlineStr">
        <is>
          <t>ОТ № ЮГОК ПГУ 28-25; ЮГОК ПГУ 26-35</t>
        </is>
      </c>
      <c r="K197" s="6" t="inlineStr">
        <is>
          <t>10.08.2025; 25.07.2026</t>
        </is>
      </c>
      <c r="L197" s="6" t="inlineStr">
        <is>
          <t>Успешно</t>
        </is>
      </c>
      <c r="M197" s="6" t="inlineStr">
        <is>
          <t>Пользовательский интерфейс</t>
        </is>
      </c>
      <c r="N197" s="7" t="n">
        <v>5</v>
      </c>
      <c r="O197" s="7" t="n">
        <v>2</v>
      </c>
      <c r="P197" s="7" t="n"/>
      <c r="Q197" s="175" t="n">
        <v>2</v>
      </c>
      <c r="R197" s="7" t="n"/>
      <c r="S197" s="7" t="n"/>
      <c r="T197" s="7" t="n"/>
      <c r="U197" s="7" t="n"/>
      <c r="V197" s="7" t="n"/>
      <c r="W197" s="7" t="n"/>
      <c r="X197" s="7" t="n"/>
      <c r="Y197" s="7" t="n"/>
      <c r="Z197" s="7" t="n"/>
      <c r="AA197" s="7" t="n"/>
      <c r="AB197" s="7" t="n">
        <v>1</v>
      </c>
      <c r="AC197" s="175" t="n">
        <v>2</v>
      </c>
    </row>
    <row r="198">
      <c r="A198" s="6" t="inlineStr">
        <is>
          <t>работник 812</t>
        </is>
      </c>
      <c r="B198" s="6" t="inlineStr">
        <is>
          <t>Дробильщик</t>
        </is>
      </c>
      <c r="C198" s="6" t="inlineStr">
        <is>
          <t>дробильщик | Дробильщик</t>
        </is>
      </c>
      <c r="D198" s="6" t="inlineStr">
        <is>
          <t>ОБЩЕСТВО С ОГРАНИЧЕННОЙ ОТВЕТСТВЕННОСТЬЮ "АМУР ЗОЛОТО"</t>
        </is>
      </c>
      <c r="E198" s="6" t="inlineStr">
        <is>
          <t>2708001686</t>
        </is>
      </c>
      <c r="F198" s="6" t="inlineStr">
        <is>
          <t>ООО "Амур Золото"</t>
        </is>
      </c>
      <c r="G198" s="6" t="inlineStr">
        <is>
          <t>2708001686</t>
        </is>
      </c>
      <c r="H198" s="6" t="inlineStr">
        <is>
          <t>207616918; 207616919; 214421252; 214421253; 214421254</t>
        </is>
      </c>
      <c r="I198" s="6" t="inlineStr">
        <is>
          <t>14965340; 15411209</t>
        </is>
      </c>
      <c r="J198" s="6" t="inlineStr">
        <is>
          <t>ЮГОК ЗИОФ-15; ЮГОК ЗИОФ 26-31</t>
        </is>
      </c>
      <c r="K198" s="6" t="inlineStr">
        <is>
          <t>01.07.2026; 29.07.2026</t>
        </is>
      </c>
      <c r="L198" s="6" t="inlineStr">
        <is>
          <t>Успешно</t>
        </is>
      </c>
      <c r="M198" s="6" t="inlineStr">
        <is>
          <t>Пользовательский интерфейс</t>
        </is>
      </c>
      <c r="N198" s="7" t="n">
        <v>5</v>
      </c>
      <c r="O198" s="7" t="n">
        <v>2</v>
      </c>
      <c r="P198" s="7" t="n"/>
      <c r="Q198" s="175" t="n">
        <v>2</v>
      </c>
      <c r="R198" s="7" t="n"/>
      <c r="S198" s="7" t="n"/>
      <c r="T198" s="7" t="n"/>
      <c r="U198" s="7" t="n"/>
      <c r="V198" s="7" t="n"/>
      <c r="W198" s="7" t="n"/>
      <c r="X198" s="7" t="n"/>
      <c r="Y198" s="7" t="n"/>
      <c r="Z198" s="7" t="n"/>
      <c r="AA198" s="7" t="n"/>
      <c r="AB198" s="7" t="n">
        <v>1</v>
      </c>
      <c r="AC198" s="175" t="n">
        <v>2</v>
      </c>
    </row>
    <row r="199">
      <c r="A199" s="6" t="inlineStr">
        <is>
          <t>работник 174</t>
        </is>
      </c>
      <c r="B199" s="6" t="inlineStr">
        <is>
          <t>Машинист подземно-доставочной машины | Машинист погрузочно-доставочной машины (занятый на транспортировании горной массы в технологическом процессе)</t>
        </is>
      </c>
      <c r="C199" s="6" t="inlineStr">
        <is>
          <t>Машинист подземно-доставочной машины | Машинист погрузочно-доставочной машины (занятый на транспортировании горной массы в технологическом процессе)</t>
        </is>
      </c>
      <c r="D199" s="6" t="inlineStr">
        <is>
          <t>ОБЩЕСТВО С ОГРАНИЧЕННОЙ ОТВЕТСТВЕННОСТЬЮ "АМУР ЗОЛОТО"</t>
        </is>
      </c>
      <c r="E199" s="6" t="inlineStr">
        <is>
          <t>2708001686</t>
        </is>
      </c>
      <c r="F199" s="6" t="inlineStr">
        <is>
          <t>ООО "Амур Золото"</t>
        </is>
      </c>
      <c r="G199" s="6" t="inlineStr">
        <is>
          <t>2708001686</t>
        </is>
      </c>
      <c r="H199" s="6" t="inlineStr">
        <is>
          <t>37117821; 37117822; 37117823; 87544996; 87544997; 214421350; 214421351; 214421352</t>
        </is>
      </c>
      <c r="I199" s="6" t="inlineStr">
        <is>
          <t>2978778; 6719954; 15411209</t>
        </is>
      </c>
      <c r="J199" s="6" t="inlineStr">
        <is>
          <t>ОТ № ЮГОК ПГУ 24-01; ОТ № ЮГОК ПГУ 24-23; ЮГОК ПГУ 26-27</t>
        </is>
      </c>
      <c r="K199" s="6" t="inlineStr">
        <is>
          <t>19.01.2024; 12.11.2024; 23.07.2026</t>
        </is>
      </c>
      <c r="L199" s="6" t="inlineStr">
        <is>
          <t>Успешно</t>
        </is>
      </c>
      <c r="M199" s="6" t="inlineStr">
        <is>
          <t>Пользовательский интерфейс</t>
        </is>
      </c>
      <c r="N199" s="7" t="n">
        <v>8</v>
      </c>
      <c r="O199" s="7" t="n">
        <v>3</v>
      </c>
      <c r="P199" s="7" t="n"/>
      <c r="Q199" s="175" t="n">
        <v>3</v>
      </c>
      <c r="R199" s="7" t="n"/>
      <c r="S199" s="7" t="n"/>
      <c r="T199" s="7" t="n"/>
      <c r="U199" s="7" t="n"/>
      <c r="V199" s="7" t="n"/>
      <c r="W199" s="7" t="n"/>
      <c r="X199" s="7" t="n"/>
      <c r="Y199" s="7" t="n"/>
      <c r="Z199" s="7" t="n"/>
      <c r="AA199" s="7" t="n"/>
      <c r="AB199" s="175" t="n">
        <v>2</v>
      </c>
      <c r="AC199" s="175" t="n">
        <v>3</v>
      </c>
    </row>
    <row r="200">
      <c r="A200" s="6" t="inlineStr">
        <is>
          <t>работник 290</t>
        </is>
      </c>
      <c r="B200" s="6" t="inlineStr">
        <is>
          <t>Водитель погрузчика</t>
        </is>
      </c>
      <c r="C200" s="6" t="inlineStr">
        <is>
          <t>Водитель погрузчика</t>
        </is>
      </c>
      <c r="D200" s="6" t="inlineStr">
        <is>
          <t>ОБЩЕСТВО С ОГРАНИЧЕННОЙ ОТВЕТСТВЕННОСТЬЮ "АМУР ЗОЛОТО"</t>
        </is>
      </c>
      <c r="E200" s="6" t="inlineStr">
        <is>
          <t>2708001686</t>
        </is>
      </c>
      <c r="F200" s="6" t="inlineStr">
        <is>
          <t>ООО "Амур Золото"</t>
        </is>
      </c>
      <c r="G200" s="6" t="inlineStr">
        <is>
          <t>2708001686</t>
        </is>
      </c>
      <c r="H200" s="6" t="inlineStr">
        <is>
          <t>42252421; 42252422; 42252423; 222717201; 222717202; 222717203</t>
        </is>
      </c>
      <c r="I200" s="6" t="inlineStr">
        <is>
          <t>3404353; 15953442</t>
        </is>
      </c>
      <c r="J200" s="6" t="inlineStr">
        <is>
          <t>ОТ № ЮГОК АТЦ 24-04; ЮГОК АТЦ 26-20</t>
        </is>
      </c>
      <c r="K200" s="6" t="inlineStr">
        <is>
          <t>23.02.2024; 18.08.2026</t>
        </is>
      </c>
      <c r="L200" s="6" t="inlineStr">
        <is>
          <t>Успешно</t>
        </is>
      </c>
      <c r="M200" s="6" t="inlineStr">
        <is>
          <t>Пользовательский интерфейс</t>
        </is>
      </c>
      <c r="N200" s="7" t="n">
        <v>6</v>
      </c>
      <c r="O200" s="7" t="n">
        <v>3</v>
      </c>
      <c r="P200" s="7" t="n"/>
      <c r="Q200" s="175" t="n">
        <v>2</v>
      </c>
      <c r="R200" s="7" t="n"/>
      <c r="S200" s="7" t="n"/>
      <c r="T200" s="7" t="n"/>
      <c r="U200" s="7" t="n"/>
      <c r="V200" s="7" t="n"/>
      <c r="W200" s="7" t="n"/>
      <c r="X200" s="7" t="n"/>
      <c r="Y200" s="7" t="n"/>
      <c r="Z200" s="7" t="n"/>
      <c r="AA200" s="7" t="n"/>
      <c r="AB200" s="175" t="n">
        <v>2</v>
      </c>
      <c r="AC200" s="175" t="n">
        <v>2</v>
      </c>
    </row>
    <row r="201">
      <c r="A201" s="6" t="inlineStr">
        <is>
          <t>работник 772</t>
        </is>
      </c>
      <c r="B201" s="6" t="inlineStr">
        <is>
          <t>Машинист погрузочно-доставочной машины</t>
        </is>
      </c>
      <c r="C201" s="6" t="inlineStr">
        <is>
          <t>Машинист погрузочно-доставочной машины</t>
        </is>
      </c>
      <c r="D201" s="6" t="inlineStr">
        <is>
          <t>ОБЩЕСТВО С ОГРАНИЧЕННОЙ ОТВЕТСТВЕННОСТЬЮ "АМУР ЗОЛОТО"</t>
        </is>
      </c>
      <c r="E201" s="6" t="inlineStr">
        <is>
          <t>2708001686</t>
        </is>
      </c>
      <c r="F201" s="6" t="inlineStr">
        <is>
          <t>ООО "Амур Золото"</t>
        </is>
      </c>
      <c r="G201" s="6" t="inlineStr">
        <is>
          <t>2708001686</t>
        </is>
      </c>
      <c r="H201" s="6" t="inlineStr">
        <is>
          <t>200897089; 200897090; 200897091; 214421401; 214421402; 214421403</t>
        </is>
      </c>
      <c r="I201" s="6" t="inlineStr">
        <is>
          <t>14513218; 15411209</t>
        </is>
      </c>
      <c r="J201" s="6" t="inlineStr">
        <is>
          <t>ЮГОК ПГУ 26-01; ЮГОК ПГУ 26-28</t>
        </is>
      </c>
      <c r="K201" s="6" t="inlineStr">
        <is>
          <t>04.06.2026; 23.07.2026</t>
        </is>
      </c>
      <c r="L201" s="6" t="inlineStr">
        <is>
          <t>Успешно</t>
        </is>
      </c>
      <c r="M201" s="6" t="inlineStr">
        <is>
          <t>Пользовательский интерфейс</t>
        </is>
      </c>
      <c r="N201" s="7" t="n">
        <v>6</v>
      </c>
      <c r="O201" s="7" t="n">
        <v>3</v>
      </c>
      <c r="P201" s="7" t="n"/>
      <c r="Q201" s="175" t="n">
        <v>2</v>
      </c>
      <c r="R201" s="7" t="n"/>
      <c r="S201" s="7" t="n"/>
      <c r="T201" s="7" t="n"/>
      <c r="U201" s="7" t="n"/>
      <c r="V201" s="7" t="n"/>
      <c r="W201" s="7" t="n"/>
      <c r="X201" s="7" t="n"/>
      <c r="Y201" s="7" t="n"/>
      <c r="Z201" s="7" t="n"/>
      <c r="AA201" s="7" t="n"/>
      <c r="AB201" s="175" t="n">
        <v>2</v>
      </c>
      <c r="AC201" s="175" t="n">
        <v>2</v>
      </c>
    </row>
    <row r="202">
      <c r="A202" s="6" t="inlineStr">
        <is>
          <t>работник 65</t>
        </is>
      </c>
      <c r="B202" s="6" t="inlineStr">
        <is>
          <t>Электрослесарь (слесарь) | Электрослесарь (слесарь) дежурный и по ремонту оборудования подземного горного участка | Помощник машиниста самоходной буровой установки</t>
        </is>
      </c>
      <c r="C202" s="6" t="inlineStr">
        <is>
          <t>Электрослесарь (слесарь) | Электрослесарь (слесарь) дежурный и по ремонту оборудования подземного горного участка | Помошник машиниста самоходной буровой установки</t>
        </is>
      </c>
      <c r="D202" s="6" t="inlineStr">
        <is>
          <t>ОБЩЕСТВО С ОГРАНИЧЕННОЙ ОТВЕТСТВЕННОСТЬЮ "АМУР ЗОЛОТО"</t>
        </is>
      </c>
      <c r="E202" s="6" t="inlineStr">
        <is>
          <t>2708001686</t>
        </is>
      </c>
      <c r="F202" s="6" t="inlineStr">
        <is>
          <t>ООО "Амур Золото"</t>
        </is>
      </c>
      <c r="G202" s="6" t="inlineStr">
        <is>
          <t>2708001686</t>
        </is>
      </c>
      <c r="H202" s="6" t="inlineStr">
        <is>
          <t>37117423; 37117424; 37117425; 43299760; 43299761; 43299762; 68090135; 68090136; 68090137</t>
        </is>
      </c>
      <c r="I202" s="6" t="inlineStr">
        <is>
          <t>2978778; 3474285; 5245589</t>
        </is>
      </c>
      <c r="J202" s="6" t="inlineStr">
        <is>
          <t>ОТ № ЮГОК ЭУ 23-01; ОТ № ЮГОК ПГУ 24-05; ОТ № ЮГОК ПГУ 24-10</t>
        </is>
      </c>
      <c r="K202" s="6" t="inlineStr">
        <is>
          <t>23.11.2023; 05.03.2024; 19.07.2024</t>
        </is>
      </c>
      <c r="L202" s="6" t="inlineStr">
        <is>
          <t>Успешно</t>
        </is>
      </c>
      <c r="M202" s="6" t="inlineStr">
        <is>
          <t>Пользовательский интерфейс</t>
        </is>
      </c>
      <c r="N202" s="7" t="n">
        <v>9</v>
      </c>
      <c r="O202" s="7" t="n">
        <v>3</v>
      </c>
      <c r="P202" s="7" t="n"/>
      <c r="Q202" s="175" t="n">
        <v>3</v>
      </c>
      <c r="R202" s="7" t="n"/>
      <c r="S202" s="7" t="n"/>
      <c r="T202" s="7" t="n"/>
      <c r="U202" s="7" t="n"/>
      <c r="V202" s="7" t="n"/>
      <c r="W202" s="7" t="n"/>
      <c r="X202" s="7" t="n"/>
      <c r="Y202" s="7" t="n"/>
      <c r="Z202" s="7" t="n"/>
      <c r="AA202" s="7" t="n"/>
      <c r="AB202" s="175" t="n">
        <v>3</v>
      </c>
      <c r="AC202" s="175" t="n">
        <v>3</v>
      </c>
    </row>
    <row r="203">
      <c r="A203" s="6" t="inlineStr">
        <is>
          <t>работник 674</t>
        </is>
      </c>
      <c r="B203" s="6" t="inlineStr">
        <is>
          <t>Растворщик реагентов</t>
        </is>
      </c>
      <c r="C203" s="6" t="inlineStr">
        <is>
          <t>Растворщик-реагентов | Растворщик реагентов</t>
        </is>
      </c>
      <c r="D203" s="6" t="inlineStr">
        <is>
          <t>ОБЩЕСТВО С ОГРАНИЧЕННОЙ ОТВЕТСТВЕННОСТЬЮ "АМУР ЗОЛОТО"</t>
        </is>
      </c>
      <c r="E203" s="6" t="inlineStr">
        <is>
          <t>2708001686</t>
        </is>
      </c>
      <c r="F203" s="6" t="inlineStr">
        <is>
          <t>ООО "Амур Золото"</t>
        </is>
      </c>
      <c r="G203" s="6" t="inlineStr">
        <is>
          <t>2708001686</t>
        </is>
      </c>
      <c r="H203" s="6" t="inlineStr">
        <is>
          <t>189085497; 189085498; 214421332; 214421333; 214421334</t>
        </is>
      </c>
      <c r="I203" s="6" t="inlineStr">
        <is>
          <t>13752947; 15411209</t>
        </is>
      </c>
      <c r="J203" s="6" t="inlineStr">
        <is>
          <t>ОТ № ЮГОК ЗИОФ 26-10; ЮГОК ЗИОФ 26-41</t>
        </is>
      </c>
      <c r="K203" s="6" t="inlineStr">
        <is>
          <t>06.04.2026; 29.07.2026</t>
        </is>
      </c>
      <c r="L203" s="6" t="inlineStr">
        <is>
          <t>Успешно</t>
        </is>
      </c>
      <c r="M203" s="6" t="inlineStr">
        <is>
          <t>Пользовательский интерфейс</t>
        </is>
      </c>
      <c r="N203" s="7" t="n">
        <v>5</v>
      </c>
      <c r="O203" s="7" t="n">
        <v>2</v>
      </c>
      <c r="P203" s="7" t="n"/>
      <c r="Q203" s="175" t="n">
        <v>2</v>
      </c>
      <c r="R203" s="7" t="n"/>
      <c r="S203" s="7" t="n"/>
      <c r="T203" s="7" t="n"/>
      <c r="U203" s="7" t="n"/>
      <c r="V203" s="7" t="n"/>
      <c r="W203" s="7" t="n"/>
      <c r="X203" s="7" t="n"/>
      <c r="Y203" s="7" t="n"/>
      <c r="Z203" s="7" t="n"/>
      <c r="AA203" s="7" t="n"/>
      <c r="AB203" s="7" t="n">
        <v>1</v>
      </c>
      <c r="AC203" s="175" t="n">
        <v>2</v>
      </c>
    </row>
    <row r="204">
      <c r="A204" s="6" t="inlineStr">
        <is>
          <t>работник 764</t>
        </is>
      </c>
      <c r="B204" s="6" t="inlineStr">
        <is>
          <t>Машинист погрузочно-доставочной машины (занятый на транспортировании горной массы в технологическом процессе)</t>
        </is>
      </c>
      <c r="C204" s="6" t="inlineStr">
        <is>
          <t>Машинист погрузочно-доставочной машины (занятый на транспортировании горной массы в технологическом процессе)</t>
        </is>
      </c>
      <c r="D204" s="6" t="inlineStr">
        <is>
          <t>ОБЩЕСТВО С ОГРАНИЧЕННОЙ ОТВЕТСТВЕННОСТЬЮ "АМУР ЗОЛОТО"</t>
        </is>
      </c>
      <c r="E204" s="6" t="inlineStr">
        <is>
          <t>2708001686</t>
        </is>
      </c>
      <c r="F204" s="6" t="inlineStr">
        <is>
          <t>ООО "Амур Золото"</t>
        </is>
      </c>
      <c r="G204" s="6" t="inlineStr">
        <is>
          <t>2708001686</t>
        </is>
      </c>
      <c r="H204" s="6" t="inlineStr">
        <is>
          <t>200897068; 200897069; 200897071; 214421380; 214421381; 214421382</t>
        </is>
      </c>
      <c r="I204" s="6" t="inlineStr">
        <is>
          <t>14513218; 15411209</t>
        </is>
      </c>
      <c r="J204" s="6" t="inlineStr">
        <is>
          <t>ЮГОК ПГУ 26-01; ЮГОК ПГУ 26-27</t>
        </is>
      </c>
      <c r="K204" s="6" t="inlineStr">
        <is>
          <t>04.06.2026; 23.07.2026</t>
        </is>
      </c>
      <c r="L204" s="6" t="inlineStr">
        <is>
          <t>Успешно</t>
        </is>
      </c>
      <c r="M204" s="6" t="inlineStr">
        <is>
          <t>Пользовательский интерфейс</t>
        </is>
      </c>
      <c r="N204" s="7" t="n">
        <v>6</v>
      </c>
      <c r="O204" s="7" t="n">
        <v>3</v>
      </c>
      <c r="P204" s="7" t="n"/>
      <c r="Q204" s="175" t="n">
        <v>2</v>
      </c>
      <c r="R204" s="7" t="n"/>
      <c r="S204" s="7" t="n"/>
      <c r="T204" s="7" t="n"/>
      <c r="U204" s="7" t="n"/>
      <c r="V204" s="7" t="n"/>
      <c r="W204" s="7" t="n"/>
      <c r="X204" s="7" t="n"/>
      <c r="Y204" s="7" t="n"/>
      <c r="Z204" s="7" t="n"/>
      <c r="AA204" s="7" t="n"/>
      <c r="AB204" s="175" t="n">
        <v>2</v>
      </c>
      <c r="AC204" s="175" t="n">
        <v>2</v>
      </c>
    </row>
    <row r="205">
      <c r="A205" s="6" t="inlineStr">
        <is>
          <t>работник 366</t>
        </is>
      </c>
      <c r="B205" s="6" t="inlineStr">
        <is>
          <t>Ламповщик</t>
        </is>
      </c>
      <c r="C205" s="6" t="inlineStr">
        <is>
          <t>Ламповщик</t>
        </is>
      </c>
      <c r="D205" s="6" t="inlineStr">
        <is>
          <t>ОБЩЕСТВО С ОГРАНИЧЕННОЙ ОТВЕТСТВЕННОСТЬЮ "АМУР ЗОЛОТО"</t>
        </is>
      </c>
      <c r="E205" s="6" t="inlineStr">
        <is>
          <t>2708001686</t>
        </is>
      </c>
      <c r="F205" s="6" t="inlineStr">
        <is>
          <t>ООО "Амур Золото"</t>
        </is>
      </c>
      <c r="G205" s="6" t="inlineStr">
        <is>
          <t>2708001686</t>
        </is>
      </c>
      <c r="H205" s="6" t="inlineStr">
        <is>
          <t>66544992; 66544993; 66544994; 214421344; 214421345; 214421346</t>
        </is>
      </c>
      <c r="I205" s="6" t="inlineStr">
        <is>
          <t>5129076; 15411209</t>
        </is>
      </c>
      <c r="J205" s="6" t="inlineStr">
        <is>
          <t>ОТ №ЮГОК ПГУ 24-08; ЮГОК ПГУ 26-26</t>
        </is>
      </c>
      <c r="K205" s="6" t="inlineStr">
        <is>
          <t>08.06.2024; 28.07.2026</t>
        </is>
      </c>
      <c r="L205" s="6" t="inlineStr">
        <is>
          <t>Успешно</t>
        </is>
      </c>
      <c r="M205" s="6" t="inlineStr">
        <is>
          <t>Пользовательский интерфейс</t>
        </is>
      </c>
      <c r="N205" s="7" t="n">
        <v>6</v>
      </c>
      <c r="O205" s="7" t="n">
        <v>3</v>
      </c>
      <c r="P205" s="7" t="n"/>
      <c r="Q205" s="175" t="n">
        <v>2</v>
      </c>
      <c r="R205" s="7" t="n"/>
      <c r="S205" s="7" t="n"/>
      <c r="T205" s="7" t="n"/>
      <c r="U205" s="7" t="n"/>
      <c r="V205" s="7" t="n"/>
      <c r="W205" s="7" t="n"/>
      <c r="X205" s="7" t="n"/>
      <c r="Y205" s="7" t="n"/>
      <c r="Z205" s="7" t="n"/>
      <c r="AA205" s="7" t="n"/>
      <c r="AB205" s="175" t="n">
        <v>2</v>
      </c>
      <c r="AC205" s="175" t="n">
        <v>2</v>
      </c>
    </row>
    <row r="206">
      <c r="A206" s="6" t="inlineStr">
        <is>
          <t>работник 651</t>
        </is>
      </c>
      <c r="B206" s="6" t="inlineStr">
        <is>
          <t>Машинист самоходной буровой установки (Проходка) | Машинист погрузочно-доставочной машины</t>
        </is>
      </c>
      <c r="C206" s="6" t="inlineStr">
        <is>
          <t>Машинист самоходной буровой установки (Проходка) | Машинист погрузочно-доставочной машины</t>
        </is>
      </c>
      <c r="D206" s="6" t="inlineStr">
        <is>
          <t>ОБЩЕСТВО С ОГРАНИЧЕННОЙ ОТВЕТСТВЕННОСТЬЮ "АМУР ЗОЛОТО"</t>
        </is>
      </c>
      <c r="E206" s="6" t="inlineStr">
        <is>
          <t>2708001686</t>
        </is>
      </c>
      <c r="F206" s="6" t="inlineStr">
        <is>
          <t>ООО "Амур Золото"</t>
        </is>
      </c>
      <c r="G206" s="6" t="inlineStr">
        <is>
          <t>2708001686</t>
        </is>
      </c>
      <c r="H206" s="6" t="inlineStr">
        <is>
          <t>175826230; 175826231; 216771149; 216771150; 216771151</t>
        </is>
      </c>
      <c r="I206" s="6" t="inlineStr">
        <is>
          <t>12935952; 15571832</t>
        </is>
      </c>
      <c r="J206" s="6" t="inlineStr">
        <is>
          <t>ОТ № ЮГОК ПГУ 26-18; ЮГОК ПГУ 26-47</t>
        </is>
      </c>
      <c r="K206" s="6" t="inlineStr">
        <is>
          <t>18.02.2026; 15.08.2026</t>
        </is>
      </c>
      <c r="L206" s="6" t="inlineStr">
        <is>
          <t>Успешно</t>
        </is>
      </c>
      <c r="M206" s="6" t="inlineStr">
        <is>
          <t>Пользовательский интерфейс</t>
        </is>
      </c>
      <c r="N206" s="7" t="n">
        <v>5</v>
      </c>
      <c r="O206" s="7" t="n">
        <v>2</v>
      </c>
      <c r="P206" s="7" t="n"/>
      <c r="Q206" s="175" t="n">
        <v>2</v>
      </c>
      <c r="R206" s="7" t="n"/>
      <c r="S206" s="7" t="n"/>
      <c r="T206" s="7" t="n"/>
      <c r="U206" s="7" t="n"/>
      <c r="V206" s="7" t="n"/>
      <c r="W206" s="7" t="n"/>
      <c r="X206" s="7" t="n"/>
      <c r="Y206" s="7" t="n"/>
      <c r="Z206" s="7" t="n"/>
      <c r="AA206" s="7" t="n"/>
      <c r="AB206" s="7" t="n">
        <v>1</v>
      </c>
      <c r="AC206" s="175" t="n">
        <v>2</v>
      </c>
    </row>
    <row r="207">
      <c r="A207" s="6" t="inlineStr">
        <is>
          <t>работник 765</t>
        </is>
      </c>
      <c r="B207" s="6" t="inlineStr">
        <is>
          <t>Машинист погрузочно-доставочной машины (занятый на транспортировании горной массы в технологическом процессе)</t>
        </is>
      </c>
      <c r="C207" s="6" t="inlineStr">
        <is>
          <t>Машинист погрузочно-доставочной машины (занятый на транспортировании горной массы в технологическом процессе)</t>
        </is>
      </c>
      <c r="D207" s="6" t="inlineStr">
        <is>
          <t>ОБЩЕСТВО С ОГРАНИЧЕННОЙ ОТВЕТСТВЕННОСТЬЮ "АМУР ЗОЛОТО"</t>
        </is>
      </c>
      <c r="E207" s="6" t="inlineStr">
        <is>
          <t>2708001686</t>
        </is>
      </c>
      <c r="F207" s="6" t="inlineStr">
        <is>
          <t>ООО "Амур Золото"</t>
        </is>
      </c>
      <c r="G207" s="6" t="inlineStr">
        <is>
          <t>2708001686</t>
        </is>
      </c>
      <c r="H207" s="6" t="inlineStr">
        <is>
          <t>200897072; 200897073; 200897074; 214421347; 214421348; 214421349</t>
        </is>
      </c>
      <c r="I207" s="6" t="inlineStr">
        <is>
          <t>14513218; 15411209</t>
        </is>
      </c>
      <c r="J207" s="6" t="inlineStr">
        <is>
          <t>ЮГОК ПГУ 26-01; ЮГОК ПГУ 26-27</t>
        </is>
      </c>
      <c r="K207" s="6" t="inlineStr">
        <is>
          <t>04.06.2026; 23.07.2026</t>
        </is>
      </c>
      <c r="L207" s="6" t="inlineStr">
        <is>
          <t>Успешно</t>
        </is>
      </c>
      <c r="M207" s="6" t="inlineStr">
        <is>
          <t>Пользовательский интерфейс</t>
        </is>
      </c>
      <c r="N207" s="7" t="n">
        <v>6</v>
      </c>
      <c r="O207" s="7" t="n">
        <v>3</v>
      </c>
      <c r="P207" s="7" t="n"/>
      <c r="Q207" s="175" t="n">
        <v>2</v>
      </c>
      <c r="R207" s="7" t="n"/>
      <c r="S207" s="7" t="n"/>
      <c r="T207" s="7" t="n"/>
      <c r="U207" s="7" t="n"/>
      <c r="V207" s="7" t="n"/>
      <c r="W207" s="7" t="n"/>
      <c r="X207" s="7" t="n"/>
      <c r="Y207" s="7" t="n"/>
      <c r="Z207" s="7" t="n"/>
      <c r="AA207" s="7" t="n"/>
      <c r="AB207" s="175" t="n">
        <v>2</v>
      </c>
      <c r="AC207" s="175" t="n">
        <v>2</v>
      </c>
    </row>
    <row r="208">
      <c r="A208" s="6" t="inlineStr">
        <is>
          <t>работник 20</t>
        </is>
      </c>
      <c r="B208" s="6" t="inlineStr">
        <is>
          <t>Водитель погрузчика</t>
        </is>
      </c>
      <c r="C208" s="6" t="inlineStr">
        <is>
          <t>Водитель погрузчика</t>
        </is>
      </c>
      <c r="D208" s="6" t="inlineStr">
        <is>
          <t>ОБЩЕСТВО С ОГРАНИЧЕННОЙ ОТВЕТСТВЕННОСТЬЮ "АМУР ЗОЛОТО"</t>
        </is>
      </c>
      <c r="E208" s="6" t="inlineStr">
        <is>
          <t>2708001686</t>
        </is>
      </c>
      <c r="F208" s="6" t="inlineStr">
        <is>
          <t>ООО "Амур Золото"</t>
        </is>
      </c>
      <c r="G208" s="6" t="inlineStr">
        <is>
          <t>2708001686</t>
        </is>
      </c>
      <c r="H208" s="6" t="inlineStr">
        <is>
          <t>37117269; 37117270; 37117271; 42252433; 42252434; 42252435</t>
        </is>
      </c>
      <c r="I208" s="6" t="inlineStr">
        <is>
          <t>2978778; 3404353</t>
        </is>
      </c>
      <c r="J208" s="6" t="inlineStr">
        <is>
          <t>ОТ № ЮГОК АТЦ 23-01; ОТ № ЮГОК АТЦ 24-04</t>
        </is>
      </c>
      <c r="K208" s="6" t="inlineStr">
        <is>
          <t>02.10.2023; 23.02.2024</t>
        </is>
      </c>
      <c r="L208" s="6" t="inlineStr">
        <is>
          <t>Успешно</t>
        </is>
      </c>
      <c r="M208" s="6" t="inlineStr">
        <is>
          <t>Пользовательский интерфейс</t>
        </is>
      </c>
      <c r="N208" s="7" t="n">
        <v>6</v>
      </c>
      <c r="O208" s="7" t="n">
        <v>3</v>
      </c>
      <c r="P208" s="7" t="n"/>
      <c r="Q208" s="175" t="n">
        <v>2</v>
      </c>
      <c r="R208" s="7" t="n"/>
      <c r="S208" s="7" t="n"/>
      <c r="T208" s="7" t="n"/>
      <c r="U208" s="7" t="n"/>
      <c r="V208" s="7" t="n"/>
      <c r="W208" s="7" t="n"/>
      <c r="X208" s="7" t="n"/>
      <c r="Y208" s="7" t="n"/>
      <c r="Z208" s="7" t="n"/>
      <c r="AA208" s="7" t="n"/>
      <c r="AB208" s="175" t="n">
        <v>2</v>
      </c>
      <c r="AC208" s="175" t="n">
        <v>2</v>
      </c>
    </row>
    <row r="209">
      <c r="A209" s="6" t="inlineStr">
        <is>
          <t>работник 532</t>
        </is>
      </c>
      <c r="B209" s="6" t="inlineStr">
        <is>
          <t>Машинист самоходной буровой установки (Очистное) | Машинист самоходной буровой установки</t>
        </is>
      </c>
      <c r="C209" s="6" t="inlineStr">
        <is>
          <t>Машинист самоходной буровой установки (Очистное) | Машинист самоходной буровой установки</t>
        </is>
      </c>
      <c r="D209" s="6" t="inlineStr">
        <is>
          <t>ОБЩЕСТВО С ОГРАНИЧЕННОЙ ОТВЕТСТВЕННОСТЬЮ "АМУР ЗОЛОТО"</t>
        </is>
      </c>
      <c r="E209" s="6" t="inlineStr">
        <is>
          <t>2708001686</t>
        </is>
      </c>
      <c r="F209" s="6" t="inlineStr">
        <is>
          <t>ООО "Амур Золото"</t>
        </is>
      </c>
      <c r="G209" s="6" t="inlineStr">
        <is>
          <t>2708001686</t>
        </is>
      </c>
      <c r="H209" s="6" t="inlineStr">
        <is>
          <t>110446301; 110446302; 214421507; 214421508; 214421509</t>
        </is>
      </c>
      <c r="I209" s="6" t="inlineStr">
        <is>
          <t>8371772; 15411209</t>
        </is>
      </c>
      <c r="J209" s="6" t="inlineStr">
        <is>
          <t>ОТ № ЮГОК ПГУ 03-25; ЮГОК ПГУ 26-38</t>
        </is>
      </c>
      <c r="K209" s="6" t="inlineStr">
        <is>
          <t>06.02.2025; 22.07.2026</t>
        </is>
      </c>
      <c r="L209" s="6" t="inlineStr">
        <is>
          <t>Успешно</t>
        </is>
      </c>
      <c r="M209" s="6" t="inlineStr">
        <is>
          <t>Пользовательский интерфейс</t>
        </is>
      </c>
      <c r="N209" s="7" t="n">
        <v>5</v>
      </c>
      <c r="O209" s="7" t="n">
        <v>2</v>
      </c>
      <c r="P209" s="7" t="n"/>
      <c r="Q209" s="175" t="n">
        <v>2</v>
      </c>
      <c r="R209" s="7" t="n"/>
      <c r="S209" s="7" t="n"/>
      <c r="T209" s="7" t="n"/>
      <c r="U209" s="7" t="n"/>
      <c r="V209" s="7" t="n"/>
      <c r="W209" s="7" t="n"/>
      <c r="X209" s="7" t="n"/>
      <c r="Y209" s="7" t="n"/>
      <c r="Z209" s="7" t="n"/>
      <c r="AA209" s="7" t="n"/>
      <c r="AB209" s="7" t="n">
        <v>1</v>
      </c>
      <c r="AC209" s="175" t="n">
        <v>2</v>
      </c>
    </row>
    <row r="210">
      <c r="A210" s="6" t="inlineStr">
        <is>
          <t>работник 128</t>
        </is>
      </c>
      <c r="B210" s="6" t="inlineStr">
        <is>
          <t>Машинист конвейера</t>
        </is>
      </c>
      <c r="C210" s="6" t="inlineStr">
        <is>
          <t>машинист конвейра | Машинист конвейера</t>
        </is>
      </c>
      <c r="D210" s="6" t="inlineStr">
        <is>
          <t>ОБЩЕСТВО С ОГРАНИЧЕННОЙ ОТВЕТСТВЕННОСТЬЮ "АМУР ЗОЛОТО"</t>
        </is>
      </c>
      <c r="E210" s="6" t="inlineStr">
        <is>
          <t>2708001686</t>
        </is>
      </c>
      <c r="F210" s="6" t="inlineStr">
        <is>
          <t>ООО "Амур Золото"</t>
        </is>
      </c>
      <c r="G210" s="6" t="inlineStr">
        <is>
          <t>2708001686</t>
        </is>
      </c>
      <c r="H210" s="6" t="inlineStr">
        <is>
          <t>37117649; 37117650; 37117651; 200896968; 200896969</t>
        </is>
      </c>
      <c r="I210" s="6" t="inlineStr">
        <is>
          <t>2978778; 14513218</t>
        </is>
      </c>
      <c r="J210" s="6" t="inlineStr">
        <is>
          <t>ОТ ЮГОК ЗИОФ 23-04; ЮГОК ЗИОФ 26-01</t>
        </is>
      </c>
      <c r="K210" s="6" t="inlineStr">
        <is>
          <t>11.12.2023; 05.06.2026</t>
        </is>
      </c>
      <c r="L210" s="6" t="inlineStr">
        <is>
          <t>Успешно</t>
        </is>
      </c>
      <c r="M210" s="6" t="inlineStr">
        <is>
          <t>Пользовательский интерфейс</t>
        </is>
      </c>
      <c r="N210" s="7" t="n">
        <v>5</v>
      </c>
      <c r="O210" s="7" t="n">
        <v>2</v>
      </c>
      <c r="P210" s="7" t="n"/>
      <c r="Q210" s="175" t="n">
        <v>2</v>
      </c>
      <c r="R210" s="7" t="n"/>
      <c r="S210" s="7" t="n"/>
      <c r="T210" s="7" t="n"/>
      <c r="U210" s="7" t="n"/>
      <c r="V210" s="7" t="n"/>
      <c r="W210" s="7" t="n"/>
      <c r="X210" s="7" t="n"/>
      <c r="Y210" s="7" t="n"/>
      <c r="Z210" s="7" t="n"/>
      <c r="AA210" s="7" t="n"/>
      <c r="AB210" s="7" t="n">
        <v>1</v>
      </c>
      <c r="AC210" s="175" t="n">
        <v>2</v>
      </c>
    </row>
    <row r="211">
      <c r="A211" s="6" t="inlineStr">
        <is>
          <t>работник 683</t>
        </is>
      </c>
      <c r="B211" s="6" t="inlineStr">
        <is>
          <t>Оператор дизельных котлов</t>
        </is>
      </c>
      <c r="C211" s="6" t="inlineStr">
        <is>
          <t>Оператор дизельных котлов</t>
        </is>
      </c>
      <c r="D211" s="6" t="inlineStr">
        <is>
          <t>ОБЩЕСТВО С ОГРАНИЧЕННОЙ ОТВЕТСТВЕННОСТЬЮ "АМУР ЗОЛОТО"</t>
        </is>
      </c>
      <c r="E211" s="6" t="inlineStr">
        <is>
          <t>2708001686</t>
        </is>
      </c>
      <c r="F211" s="6" t="inlineStr">
        <is>
          <t>ООО "Амур Золото"</t>
        </is>
      </c>
      <c r="G211" s="6" t="inlineStr">
        <is>
          <t>2708001686</t>
        </is>
      </c>
      <c r="H211" s="6" t="inlineStr">
        <is>
          <t>190374709; 190374710; 222717326; 222717327; 222717328</t>
        </is>
      </c>
      <c r="I211" s="6" t="inlineStr">
        <is>
          <t>13835122; 15953442</t>
        </is>
      </c>
      <c r="J211" s="6" t="inlineStr">
        <is>
          <t>ОТ № ЮГОК ЭУ 07-26; ЮГОК ЭУ 26-19</t>
        </is>
      </c>
      <c r="K211" s="6" t="inlineStr">
        <is>
          <t>20.04.2026; 23.08.2026</t>
        </is>
      </c>
      <c r="L211" s="6" t="inlineStr">
        <is>
          <t>Успешно</t>
        </is>
      </c>
      <c r="M211" s="6" t="inlineStr">
        <is>
          <t>Пользовательский интерфейс</t>
        </is>
      </c>
      <c r="N211" s="7" t="n">
        <v>5</v>
      </c>
      <c r="O211" s="7" t="n">
        <v>2</v>
      </c>
      <c r="P211" s="7" t="n"/>
      <c r="Q211" s="175" t="n">
        <v>2</v>
      </c>
      <c r="R211" s="7" t="n"/>
      <c r="S211" s="7" t="n"/>
      <c r="T211" s="7" t="n"/>
      <c r="U211" s="7" t="n"/>
      <c r="V211" s="7" t="n"/>
      <c r="W211" s="7" t="n"/>
      <c r="X211" s="7" t="n"/>
      <c r="Y211" s="7" t="n"/>
      <c r="Z211" s="7" t="n"/>
      <c r="AA211" s="7" t="n"/>
      <c r="AB211" s="7" t="n">
        <v>1</v>
      </c>
      <c r="AC211" s="175" t="n">
        <v>2</v>
      </c>
    </row>
    <row r="212">
      <c r="A212" s="6" t="inlineStr">
        <is>
          <t>работник 176</t>
        </is>
      </c>
      <c r="B212" s="6" t="inlineStr">
        <is>
          <t>Машинист самоходной буровой установки | Проходчик (с исполнением обязанностей взрывника)</t>
        </is>
      </c>
      <c r="C212" s="6" t="inlineStr">
        <is>
          <t>Машинист самоходной буровой установки | Проходчик (с исполнением обязанностей взрывника)</t>
        </is>
      </c>
      <c r="D212" s="6" t="inlineStr">
        <is>
          <t>ОБЩЕСТВО С ОГРАНИЧЕННОЙ ОТВЕТСТВЕННОСТЬЮ "АМУР ЗОЛОТО"</t>
        </is>
      </c>
      <c r="E212" s="6" t="inlineStr">
        <is>
          <t>2708001686</t>
        </is>
      </c>
      <c r="F212" s="6" t="inlineStr">
        <is>
          <t>ООО "Амур Золото"</t>
        </is>
      </c>
      <c r="G212" s="6" t="inlineStr">
        <is>
          <t>2708001686</t>
        </is>
      </c>
      <c r="H212" s="6" t="inlineStr">
        <is>
          <t>37117827; 37117828; 37117829; 87544998; 87544999</t>
        </is>
      </c>
      <c r="I212" s="6" t="inlineStr">
        <is>
          <t>2978778; 6719954</t>
        </is>
      </c>
      <c r="J212" s="6" t="inlineStr">
        <is>
          <t>ОТ № ЮГОК ПГУ 24-01; ОТ № ЮГОК ПГУ 24-23</t>
        </is>
      </c>
      <c r="K212" s="6" t="inlineStr">
        <is>
          <t>19.01.2024; 12.11.2024</t>
        </is>
      </c>
      <c r="L212" s="6" t="inlineStr">
        <is>
          <t>Успешно</t>
        </is>
      </c>
      <c r="M212" s="6" t="inlineStr">
        <is>
          <t>Пользовательский интерфейс</t>
        </is>
      </c>
      <c r="N212" s="7" t="n">
        <v>5</v>
      </c>
      <c r="O212" s="7" t="n">
        <v>2</v>
      </c>
      <c r="P212" s="7" t="n"/>
      <c r="Q212" s="175" t="n">
        <v>2</v>
      </c>
      <c r="R212" s="7" t="n"/>
      <c r="S212" s="7" t="n"/>
      <c r="T212" s="7" t="n"/>
      <c r="U212" s="7" t="n"/>
      <c r="V212" s="7" t="n"/>
      <c r="W212" s="7" t="n"/>
      <c r="X212" s="7" t="n"/>
      <c r="Y212" s="7" t="n"/>
      <c r="Z212" s="7" t="n"/>
      <c r="AA212" s="7" t="n"/>
      <c r="AB212" s="7" t="n">
        <v>1</v>
      </c>
      <c r="AC212" s="175" t="n">
        <v>2</v>
      </c>
    </row>
    <row r="213">
      <c r="A213" s="6" t="inlineStr">
        <is>
          <t>работник 145</t>
        </is>
      </c>
      <c r="B213" s="6" t="inlineStr">
        <is>
          <t>Машинист мельниц | Фильтровальщик</t>
        </is>
      </c>
      <c r="C213" s="6" t="inlineStr">
        <is>
          <t>Машинист мельницы | Фильтровальщик</t>
        </is>
      </c>
      <c r="D213" s="6" t="inlineStr">
        <is>
          <t>ОБЩЕСТВО С ОГРАНИЧЕННОЙ ОТВЕТСТВЕННОСТЬЮ "АМУР ЗОЛОТО"</t>
        </is>
      </c>
      <c r="E213" s="6" t="inlineStr">
        <is>
          <t>2708001686</t>
        </is>
      </c>
      <c r="F213" s="6" t="inlineStr">
        <is>
          <t>ООО "Амур Золото"</t>
        </is>
      </c>
      <c r="G213" s="6" t="inlineStr">
        <is>
          <t>2708001686</t>
        </is>
      </c>
      <c r="H213" s="6" t="inlineStr">
        <is>
          <t>37117734; 37117735; 37117736; 207616914; 207616915; 214421207; 214421208; 214421209</t>
        </is>
      </c>
      <c r="I213" s="6" t="inlineStr">
        <is>
          <t>2978778; 14965340; 15411209</t>
        </is>
      </c>
      <c r="J213" s="6" t="inlineStr">
        <is>
          <t>ОТ № ЮГОК ЗИОФ 23-08; ЮГОК ЗИОФ-15; ЮГОК ЗИОФ 26-28</t>
        </is>
      </c>
      <c r="K213" s="6" t="inlineStr">
        <is>
          <t>29.12.2023; 01.07.2026; 29.07.2026</t>
        </is>
      </c>
      <c r="L213" s="6" t="inlineStr">
        <is>
          <t>Успешно</t>
        </is>
      </c>
      <c r="M213" s="6" t="inlineStr">
        <is>
          <t>Пользовательский интерфейс</t>
        </is>
      </c>
      <c r="N213" s="7" t="n">
        <v>8</v>
      </c>
      <c r="O213" s="7" t="n">
        <v>3</v>
      </c>
      <c r="P213" s="7" t="n"/>
      <c r="Q213" s="175" t="n">
        <v>3</v>
      </c>
      <c r="R213" s="7" t="n"/>
      <c r="S213" s="7" t="n"/>
      <c r="T213" s="7" t="n"/>
      <c r="U213" s="7" t="n"/>
      <c r="V213" s="7" t="n"/>
      <c r="W213" s="7" t="n"/>
      <c r="X213" s="7" t="n"/>
      <c r="Y213" s="7" t="n"/>
      <c r="Z213" s="7" t="n"/>
      <c r="AA213" s="7" t="n"/>
      <c r="AB213" s="175" t="n">
        <v>2</v>
      </c>
      <c r="AC213" s="175" t="n">
        <v>3</v>
      </c>
    </row>
    <row r="214">
      <c r="A214" s="6" t="inlineStr">
        <is>
          <t>работник 827</t>
        </is>
      </c>
      <c r="B214" s="6" t="inlineStr">
        <is>
          <t>Фильтровальщик</t>
        </is>
      </c>
      <c r="C214" s="6" t="inlineStr">
        <is>
          <t>Фильтровальщик</t>
        </is>
      </c>
      <c r="D214" s="6" t="inlineStr">
        <is>
          <t>ОБЩЕСТВО С ОГРАНИЧЕННОЙ ОТВЕТСТВЕННОСТЬЮ "АМУР ЗОЛОТО"</t>
        </is>
      </c>
      <c r="E214" s="6" t="inlineStr">
        <is>
          <t>2708001686</t>
        </is>
      </c>
      <c r="F214" s="6" t="inlineStr">
        <is>
          <t>ООО "Амур Золото"</t>
        </is>
      </c>
      <c r="G214" s="6" t="inlineStr">
        <is>
          <t>2708001686</t>
        </is>
      </c>
      <c r="H214" s="6" t="inlineStr">
        <is>
          <t>214421216; 214421217; 214421219; 222717256; 222717257; 222717258</t>
        </is>
      </c>
      <c r="I214" s="6" t="inlineStr">
        <is>
          <t>15411209; 15953442</t>
        </is>
      </c>
      <c r="J214" s="6" t="inlineStr">
        <is>
          <t>ЮГОК ЗИОФ 26-28; ЮГОК ЗИОФ 26-15</t>
        </is>
      </c>
      <c r="K214" s="6" t="inlineStr">
        <is>
          <t>29.07.2026; 01.07.2026</t>
        </is>
      </c>
      <c r="L214" s="6" t="inlineStr">
        <is>
          <t>Успешно</t>
        </is>
      </c>
      <c r="M214" s="6" t="inlineStr">
        <is>
          <t>Пользовательский интерфейс</t>
        </is>
      </c>
      <c r="N214" s="7" t="n">
        <v>6</v>
      </c>
      <c r="O214" s="7" t="n">
        <v>3</v>
      </c>
      <c r="P214" s="7" t="n"/>
      <c r="Q214" s="175" t="n">
        <v>2</v>
      </c>
      <c r="R214" s="7" t="n"/>
      <c r="S214" s="7" t="n"/>
      <c r="T214" s="7" t="n"/>
      <c r="U214" s="7" t="n"/>
      <c r="V214" s="7" t="n"/>
      <c r="W214" s="7" t="n"/>
      <c r="X214" s="7" t="n"/>
      <c r="Y214" s="7" t="n"/>
      <c r="Z214" s="7" t="n"/>
      <c r="AA214" s="7" t="n"/>
      <c r="AB214" s="175" t="n">
        <v>2</v>
      </c>
      <c r="AC214" s="175" t="n">
        <v>2</v>
      </c>
    </row>
    <row r="215">
      <c r="A215" s="6" t="inlineStr">
        <is>
          <t>работник 236</t>
        </is>
      </c>
      <c r="B215" s="6" t="inlineStr">
        <is>
          <t>Дробильщик</t>
        </is>
      </c>
      <c r="C215" s="6" t="inlineStr">
        <is>
          <t>Дробильщик</t>
        </is>
      </c>
      <c r="D215" s="6" t="inlineStr">
        <is>
          <t>ОБЩЕСТВО С ОГРАНИЧЕННОЙ ОТВЕТСТВЕННОСТЬЮ "АМУР ЗОЛОТО"</t>
        </is>
      </c>
      <c r="E215" s="6" t="inlineStr">
        <is>
          <t>2708001686</t>
        </is>
      </c>
      <c r="F215" s="6" t="inlineStr">
        <is>
          <t>ООО "Амур Золото"</t>
        </is>
      </c>
      <c r="G215" s="6" t="inlineStr">
        <is>
          <t>2708001686</t>
        </is>
      </c>
      <c r="H215" s="6" t="inlineStr">
        <is>
          <t>41372152; 41372153; 41372154; 110446293; 110446294</t>
        </is>
      </c>
      <c r="I215" s="6" t="inlineStr">
        <is>
          <t>3335316; 8371772</t>
        </is>
      </c>
      <c r="J215" s="6" t="inlineStr">
        <is>
          <t>ОТ № ЮГОК ПАЛ 24-02; ОТ № ЮГОК ПАЛ 25-01</t>
        </is>
      </c>
      <c r="K215" s="6" t="inlineStr">
        <is>
          <t>23.02.2024; 08.02.2025</t>
        </is>
      </c>
      <c r="L215" s="6" t="inlineStr">
        <is>
          <t>Успешно</t>
        </is>
      </c>
      <c r="M215" s="6" t="inlineStr">
        <is>
          <t>Пользовательский интерфейс</t>
        </is>
      </c>
      <c r="N215" s="7" t="n">
        <v>5</v>
      </c>
      <c r="O215" s="7" t="n">
        <v>2</v>
      </c>
      <c r="P215" s="7" t="n"/>
      <c r="Q215" s="175" t="n">
        <v>2</v>
      </c>
      <c r="R215" s="7" t="n"/>
      <c r="S215" s="7" t="n"/>
      <c r="T215" s="7" t="n"/>
      <c r="U215" s="7" t="n"/>
      <c r="V215" s="7" t="n"/>
      <c r="W215" s="7" t="n"/>
      <c r="X215" s="7" t="n"/>
      <c r="Y215" s="7" t="n"/>
      <c r="Z215" s="7" t="n"/>
      <c r="AA215" s="7" t="n"/>
      <c r="AB215" s="7" t="n">
        <v>1</v>
      </c>
      <c r="AC215" s="175" t="n">
        <v>2</v>
      </c>
    </row>
    <row r="216">
      <c r="A216" s="6" t="inlineStr">
        <is>
          <t>работник 477</t>
        </is>
      </c>
      <c r="B216" s="6" t="inlineStr">
        <is>
          <t>Слесарь-ремонтник (по ремонту обогатительного оборудования) | Слесарь-ремонтник</t>
        </is>
      </c>
      <c r="C216" s="6" t="inlineStr">
        <is>
          <t>Слесарь ремонтник по ремонту обоготительного оборудования | Слесарь-ремонтник | Слесарь-ремонтник (по ремонту обогатительного оборудования)</t>
        </is>
      </c>
      <c r="D216" s="6" t="inlineStr">
        <is>
          <t>ОБЩЕСТВО С ОГРАНИЧЕННОЙ ОТВЕТСТВЕННОСТЬЮ "АМУР ЗОЛОТО"</t>
        </is>
      </c>
      <c r="E216" s="6" t="inlineStr">
        <is>
          <t>2708001686</t>
        </is>
      </c>
      <c r="F216" s="6" t="inlineStr">
        <is>
          <t>ООО "Амур Золото"</t>
        </is>
      </c>
      <c r="G216" s="6" t="inlineStr">
        <is>
          <t>2708001686</t>
        </is>
      </c>
      <c r="H216" s="6" t="inlineStr">
        <is>
          <t>87544918; 87544919; 96539094; 96539095; 96539096; 96539097; 96539098; 96539099; 200897035; 200897036; 200897037</t>
        </is>
      </c>
      <c r="I216" s="6" t="inlineStr">
        <is>
          <t>6719954; 7135797; 14513218</t>
        </is>
      </c>
      <c r="J216" s="6" t="inlineStr">
        <is>
          <t>ОТ № ЮГОК ЗИОФ 24-37; ОТ № ЮГОК ЗИОФ 24-40; ЮГОК ЗИОФ 26-01</t>
        </is>
      </c>
      <c r="K216" s="6" t="inlineStr">
        <is>
          <t>13.11.2024; 10.12.2024; 05.06.2026</t>
        </is>
      </c>
      <c r="L216" s="6" t="inlineStr">
        <is>
          <t>Успешно</t>
        </is>
      </c>
      <c r="M216" s="6" t="inlineStr">
        <is>
          <t>Пользовательский интерфейс</t>
        </is>
      </c>
      <c r="N216" s="7" t="n">
        <v>11</v>
      </c>
      <c r="O216" s="7" t="n">
        <v>3</v>
      </c>
      <c r="P216" s="7" t="n"/>
      <c r="Q216" s="7" t="n">
        <v>1</v>
      </c>
      <c r="R216" s="175" t="n">
        <v>2</v>
      </c>
      <c r="S216" s="175" t="n">
        <v>2</v>
      </c>
      <c r="T216" s="175" t="n">
        <v>2</v>
      </c>
      <c r="U216" s="7" t="n">
        <v>1</v>
      </c>
      <c r="V216" s="7" t="n">
        <v>1</v>
      </c>
      <c r="W216" s="7" t="n">
        <v>1</v>
      </c>
      <c r="X216" s="7" t="n"/>
      <c r="Y216" s="7" t="n"/>
      <c r="Z216" s="7" t="n"/>
      <c r="AA216" s="7" t="n"/>
      <c r="AB216" s="7" t="n"/>
      <c r="AC216" s="7" t="n">
        <v>1</v>
      </c>
    </row>
    <row r="217">
      <c r="A217" s="6" t="inlineStr">
        <is>
          <t>работник 37</t>
        </is>
      </c>
      <c r="B217" s="6" t="inlineStr">
        <is>
          <t>Дробильщик</t>
        </is>
      </c>
      <c r="C217" s="6" t="inlineStr">
        <is>
          <t>Дробильщик</t>
        </is>
      </c>
      <c r="D217" s="6" t="inlineStr">
        <is>
          <t>ОБЩЕСТВО С ОГРАНИЧЕННОЙ ОТВЕТСТВЕННОСТЬЮ "АМУР ЗОЛОТО"</t>
        </is>
      </c>
      <c r="E217" s="6" t="inlineStr">
        <is>
          <t>2708001686</t>
        </is>
      </c>
      <c r="F217" s="6" t="inlineStr">
        <is>
          <t>ООО "Амур Золото"</t>
        </is>
      </c>
      <c r="G217" s="6" t="inlineStr">
        <is>
          <t>2708001686</t>
        </is>
      </c>
      <c r="H217" s="6" t="inlineStr">
        <is>
          <t>37117337; 37117338; 37117339; 175079852; 175079853; 214421743; 214421744; 214421745</t>
        </is>
      </c>
      <c r="I217" s="6" t="inlineStr">
        <is>
          <t>2978778; 12845512; 15411233</t>
        </is>
      </c>
      <c r="J217" s="6" t="inlineStr">
        <is>
          <t>ОТ № ЮГОК ПАЛ 23-01; ОТ № ЮГОК ПАЛ 26-02; ЮГОК ОТК 26-05</t>
        </is>
      </c>
      <c r="K217" s="6" t="inlineStr">
        <is>
          <t>24.11.2023; 15.02.2026; 02.08.2026</t>
        </is>
      </c>
      <c r="L217" s="6" t="inlineStr">
        <is>
          <t>Успешно</t>
        </is>
      </c>
      <c r="M217" s="6" t="inlineStr">
        <is>
          <t>Пользовательский интерфейс</t>
        </is>
      </c>
      <c r="N217" s="7" t="n">
        <v>8</v>
      </c>
      <c r="O217" s="7" t="n">
        <v>3</v>
      </c>
      <c r="P217" s="7" t="n"/>
      <c r="Q217" s="175" t="n">
        <v>3</v>
      </c>
      <c r="R217" s="7" t="n"/>
      <c r="S217" s="7" t="n"/>
      <c r="T217" s="7" t="n"/>
      <c r="U217" s="7" t="n"/>
      <c r="V217" s="7" t="n"/>
      <c r="W217" s="7" t="n"/>
      <c r="X217" s="7" t="n"/>
      <c r="Y217" s="7" t="n"/>
      <c r="Z217" s="7" t="n"/>
      <c r="AA217" s="7" t="n"/>
      <c r="AB217" s="175" t="n">
        <v>2</v>
      </c>
      <c r="AC217" s="175" t="n">
        <v>3</v>
      </c>
    </row>
    <row r="218">
      <c r="A218" s="6" t="inlineStr">
        <is>
          <t>работник 560</t>
        </is>
      </c>
      <c r="B218" s="6" t="inlineStr">
        <is>
          <t>Электрослесарь (слесарь) дежурный и по ремонту оборудования подземного горного участка | Электрослесарь (слесарь) дежурный и по ремонту оборудования</t>
        </is>
      </c>
      <c r="C218" s="6" t="inlineStr">
        <is>
          <t>Электрослесарь (слесарь) дежурный и по ремонту оборудования подземного горного участка | Электрослесарь (слесарь) дежурный и по ремонту оборудования</t>
        </is>
      </c>
      <c r="D218" s="6" t="inlineStr">
        <is>
          <t>ОБЩЕСТВО С ОГРАНИЧЕННОЙ ОТВЕТСТВЕННОСТЬЮ "АМУР ЗОЛОТО"</t>
        </is>
      </c>
      <c r="E218" s="6" t="inlineStr">
        <is>
          <t>2708001686</t>
        </is>
      </c>
      <c r="F218" s="6" t="inlineStr">
        <is>
          <t>ООО "Амур Золото"</t>
        </is>
      </c>
      <c r="G218" s="6" t="inlineStr">
        <is>
          <t>2708001686</t>
        </is>
      </c>
      <c r="H218" s="6" t="inlineStr">
        <is>
          <t>124493951; 124493952; 131313244; 131313245; 214421459; 214421460; 214421461</t>
        </is>
      </c>
      <c r="I218" s="6" t="inlineStr">
        <is>
          <t>9387075; 9873379; 15411209</t>
        </is>
      </c>
      <c r="J218" s="6" t="inlineStr">
        <is>
          <t>ОТ № ЮГОК ПГУ 16-25; ОТ № ЮГОК ПГУ 18-25; ЮГОК ПГУ 26-32</t>
        </is>
      </c>
      <c r="K218" s="6" t="inlineStr">
        <is>
          <t>21.05.2025; 28.07.2026</t>
        </is>
      </c>
      <c r="L218" s="6" t="inlineStr">
        <is>
          <t>Успешно</t>
        </is>
      </c>
      <c r="M218" s="6" t="inlineStr">
        <is>
          <t>Пользовательский интерфейс</t>
        </is>
      </c>
      <c r="N218" s="7" t="n">
        <v>7</v>
      </c>
      <c r="O218" s="7" t="n">
        <v>2</v>
      </c>
      <c r="P218" s="7" t="n"/>
      <c r="Q218" s="175" t="n">
        <v>3</v>
      </c>
      <c r="R218" s="7" t="n"/>
      <c r="S218" s="7" t="n"/>
      <c r="T218" s="7" t="n"/>
      <c r="U218" s="7" t="n"/>
      <c r="V218" s="7" t="n"/>
      <c r="W218" s="7" t="n"/>
      <c r="X218" s="7" t="n"/>
      <c r="Y218" s="7" t="n"/>
      <c r="Z218" s="7" t="n"/>
      <c r="AA218" s="7" t="n"/>
      <c r="AB218" s="7" t="n">
        <v>1</v>
      </c>
      <c r="AC218" s="175" t="n">
        <v>3</v>
      </c>
    </row>
    <row r="219">
      <c r="A219" s="6" t="inlineStr">
        <is>
          <t>работник 438</t>
        </is>
      </c>
      <c r="B219" s="6" t="inlineStr">
        <is>
          <t>Аппаратчик-гидрометаллург | Аппаратчик сгустителей</t>
        </is>
      </c>
      <c r="C219" s="6" t="inlineStr">
        <is>
          <t>Аппаратчик-гидрометаллург | Аппаратчик сгустителей</t>
        </is>
      </c>
      <c r="D219" s="6" t="inlineStr">
        <is>
          <t>ОБЩЕСТВО С ОГРАНИЧЕННОЙ ОТВЕТСТВЕННОСТЬЮ "АМУР ЗОЛОТО"</t>
        </is>
      </c>
      <c r="E219" s="6" t="inlineStr">
        <is>
          <t>2708001686</t>
        </is>
      </c>
      <c r="F219" s="6" t="inlineStr">
        <is>
          <t>ООО "Амур Золото"</t>
        </is>
      </c>
      <c r="G219" s="6" t="inlineStr">
        <is>
          <t>2708001686</t>
        </is>
      </c>
      <c r="H219" s="6" t="inlineStr">
        <is>
          <t>85344298; 85344299; 189085503; 189085504; 214421273; 214421274; 214421276</t>
        </is>
      </c>
      <c r="I219" s="6" t="inlineStr">
        <is>
          <t>6554154; 13752947; 15411209</t>
        </is>
      </c>
      <c r="J219" s="6" t="inlineStr">
        <is>
          <t>ОТ № ЮГОК ЗИОФ 24-34; ОТ № ЮГОК ЗИОФ 26-13; ЮГОК ЗИОФ 26-33</t>
        </is>
      </c>
      <c r="K219" s="6" t="inlineStr">
        <is>
          <t>25.10.2024; 08.04.2026; 29.07.2026</t>
        </is>
      </c>
      <c r="L219" s="6" t="inlineStr">
        <is>
          <t>Успешно</t>
        </is>
      </c>
      <c r="M219" s="6" t="inlineStr">
        <is>
          <t>Пользовательский интерфейс</t>
        </is>
      </c>
      <c r="N219" s="7" t="n">
        <v>7</v>
      </c>
      <c r="O219" s="7" t="n">
        <v>2</v>
      </c>
      <c r="P219" s="7" t="n"/>
      <c r="Q219" s="175" t="n">
        <v>3</v>
      </c>
      <c r="R219" s="7" t="n"/>
      <c r="S219" s="7" t="n"/>
      <c r="T219" s="7" t="n"/>
      <c r="U219" s="7" t="n"/>
      <c r="V219" s="7" t="n"/>
      <c r="W219" s="7" t="n"/>
      <c r="X219" s="7" t="n"/>
      <c r="Y219" s="7" t="n"/>
      <c r="Z219" s="7" t="n"/>
      <c r="AA219" s="7" t="n"/>
      <c r="AB219" s="7" t="n">
        <v>1</v>
      </c>
      <c r="AC219" s="175" t="n">
        <v>3</v>
      </c>
    </row>
    <row r="220">
      <c r="A220" s="6" t="inlineStr">
        <is>
          <t>работник 546</t>
        </is>
      </c>
      <c r="B220" s="6" t="inlineStr">
        <is>
          <t>Машинист погрузочно-доставочной машины</t>
        </is>
      </c>
      <c r="C220" s="6" t="inlineStr">
        <is>
          <t>Машинист погрузочно-доставочной машины</t>
        </is>
      </c>
      <c r="D220" s="6" t="inlineStr">
        <is>
          <t>ОБЩЕСТВО С ОГРАНИЧЕННОЙ ОТВЕТСТВЕННОСТЬЮ "АМУР ЗОЛОТО"</t>
        </is>
      </c>
      <c r="E220" s="6" t="inlineStr">
        <is>
          <t>2708001686</t>
        </is>
      </c>
      <c r="F220" s="6" t="inlineStr">
        <is>
          <t>ООО "Амур Золото"</t>
        </is>
      </c>
      <c r="G220" s="6" t="inlineStr">
        <is>
          <t>2708001686</t>
        </is>
      </c>
      <c r="H220" s="6" t="inlineStr">
        <is>
          <t>121097103; 121097104; 136189681; 136189682; 216771140; 216771141; 216771142</t>
        </is>
      </c>
      <c r="I220" s="6" t="inlineStr">
        <is>
          <t>9114030; 10216156; 15571832</t>
        </is>
      </c>
      <c r="J220" s="6" t="inlineStr">
        <is>
          <t>ОТ № ЮГОК ПГУ 07-25; ОТ № ЮГОК ПГУ 24-25; ЮГОК ПГУ 26-47</t>
        </is>
      </c>
      <c r="K220" s="6" t="inlineStr">
        <is>
          <t>01.03.2025; 01.08.2025; 15.08.2026</t>
        </is>
      </c>
      <c r="L220" s="6" t="inlineStr">
        <is>
          <t>Успешно</t>
        </is>
      </c>
      <c r="M220" s="6" t="inlineStr">
        <is>
          <t>Пользовательский интерфейс</t>
        </is>
      </c>
      <c r="N220" s="7" t="n">
        <v>7</v>
      </c>
      <c r="O220" s="7" t="n">
        <v>2</v>
      </c>
      <c r="P220" s="7" t="n"/>
      <c r="Q220" s="175" t="n">
        <v>3</v>
      </c>
      <c r="R220" s="7" t="n"/>
      <c r="S220" s="7" t="n"/>
      <c r="T220" s="7" t="n"/>
      <c r="U220" s="7" t="n"/>
      <c r="V220" s="7" t="n"/>
      <c r="W220" s="7" t="n"/>
      <c r="X220" s="7" t="n"/>
      <c r="Y220" s="7" t="n"/>
      <c r="Z220" s="7" t="n"/>
      <c r="AA220" s="7" t="n"/>
      <c r="AB220" s="7" t="n">
        <v>1</v>
      </c>
      <c r="AC220" s="175" t="n">
        <v>3</v>
      </c>
    </row>
    <row r="221">
      <c r="A221" s="6" t="inlineStr">
        <is>
          <t>работник 63</t>
        </is>
      </c>
      <c r="B221" s="6" t="inlineStr">
        <is>
          <t>Горнорабочий | Горнорабочий на геологических работах</t>
        </is>
      </c>
      <c r="C221" s="6" t="inlineStr">
        <is>
          <t>Горнорабочий | Горнорабочий на геологических работах</t>
        </is>
      </c>
      <c r="D221" s="6" t="inlineStr">
        <is>
          <t>ОБЩЕСТВО С ОГРАНИЧЕННОЙ ОТВЕТСТВЕННОСТЬЮ "АМУР ЗОЛОТО"</t>
        </is>
      </c>
      <c r="E221" s="6" t="inlineStr">
        <is>
          <t>2708001686</t>
        </is>
      </c>
      <c r="F221" s="6" t="inlineStr">
        <is>
          <t>ООО "Амур Золото"</t>
        </is>
      </c>
      <c r="G221" s="6" t="inlineStr">
        <is>
          <t>2708001686</t>
        </is>
      </c>
      <c r="H221" s="6" t="inlineStr">
        <is>
          <t>37117418; 37117516; 37117517; 121097071; 121097072</t>
        </is>
      </c>
      <c r="I221" s="6" t="inlineStr">
        <is>
          <t>2978778; 9114030</t>
        </is>
      </c>
      <c r="J221" s="6" t="inlineStr">
        <is>
          <t>ОТ № ЮГОК ГМО 23-01; ОТ № ЮГОК ГМО 25-04</t>
        </is>
      </c>
      <c r="K221" s="6" t="inlineStr">
        <is>
          <t>03.12.2023; 26.01.2025</t>
        </is>
      </c>
      <c r="L221" s="6" t="inlineStr">
        <is>
          <t>Успешно</t>
        </is>
      </c>
      <c r="M221" s="6" t="inlineStr">
        <is>
          <t>Пользовательский интерфейс</t>
        </is>
      </c>
      <c r="N221" s="7" t="n">
        <v>5</v>
      </c>
      <c r="O221" s="7" t="n">
        <v>2</v>
      </c>
      <c r="P221" s="7" t="n"/>
      <c r="Q221" s="175" t="n">
        <v>2</v>
      </c>
      <c r="R221" s="7" t="n"/>
      <c r="S221" s="7" t="n"/>
      <c r="T221" s="7" t="n"/>
      <c r="U221" s="7" t="n"/>
      <c r="V221" s="7" t="n"/>
      <c r="W221" s="7" t="n"/>
      <c r="X221" s="7" t="n"/>
      <c r="Y221" s="7" t="n"/>
      <c r="Z221" s="7" t="n"/>
      <c r="AA221" s="7" t="n"/>
      <c r="AB221" s="7" t="n">
        <v>1</v>
      </c>
      <c r="AC221" s="175" t="n">
        <v>2</v>
      </c>
    </row>
    <row r="222">
      <c r="A222" s="6" t="inlineStr">
        <is>
          <t>работник 571</t>
        </is>
      </c>
      <c r="B222" s="6" t="inlineStr">
        <is>
          <t>Слесарь-ремонтник (по ремонту горно-шахтного оборудования)</t>
        </is>
      </c>
      <c r="C222" s="6" t="inlineStr">
        <is>
          <t>Слесарь-ремонтник (по ремонту горно-шахтного оборудования)</t>
        </is>
      </c>
      <c r="D222" s="6" t="inlineStr">
        <is>
          <t>ОБЩЕСТВО С ОГРАНИЧЕННОЙ ОТВЕТСТВЕННОСТЬЮ "АМУР ЗОЛОТО"</t>
        </is>
      </c>
      <c r="E222" s="6" t="inlineStr">
        <is>
          <t>2708001686</t>
        </is>
      </c>
      <c r="F222" s="6" t="inlineStr">
        <is>
          <t>ООО "Амур Золото"</t>
        </is>
      </c>
      <c r="G222" s="6" t="inlineStr">
        <is>
          <t>2708001686</t>
        </is>
      </c>
      <c r="H222" s="6" t="inlineStr">
        <is>
          <t>131313250; 131313251; 214421498; 214421499; 214421500</t>
        </is>
      </c>
      <c r="I222" s="6" t="inlineStr">
        <is>
          <t>9873379; 15411209</t>
        </is>
      </c>
      <c r="J222" s="6" t="inlineStr">
        <is>
          <t>ОТ № ЮГОК ПГУ 21-25; ЮГОК ПГУ 26-35</t>
        </is>
      </c>
      <c r="K222" s="6" t="inlineStr">
        <is>
          <t>11.06.2025; 28.07.2026</t>
        </is>
      </c>
      <c r="L222" s="6" t="inlineStr">
        <is>
          <t>Успешно</t>
        </is>
      </c>
      <c r="M222" s="6" t="inlineStr">
        <is>
          <t>Пользовательский интерфейс</t>
        </is>
      </c>
      <c r="N222" s="7" t="n">
        <v>5</v>
      </c>
      <c r="O222" s="7" t="n">
        <v>2</v>
      </c>
      <c r="P222" s="7" t="n"/>
      <c r="Q222" s="175" t="n">
        <v>2</v>
      </c>
      <c r="R222" s="7" t="n"/>
      <c r="S222" s="7" t="n"/>
      <c r="T222" s="7" t="n"/>
      <c r="U222" s="7" t="n"/>
      <c r="V222" s="7" t="n"/>
      <c r="W222" s="7" t="n"/>
      <c r="X222" s="7" t="n"/>
      <c r="Y222" s="7" t="n"/>
      <c r="Z222" s="7" t="n"/>
      <c r="AA222" s="7" t="n"/>
      <c r="AB222" s="7" t="n">
        <v>1</v>
      </c>
      <c r="AC222" s="175" t="n">
        <v>2</v>
      </c>
    </row>
    <row r="223">
      <c r="A223" s="6" t="inlineStr">
        <is>
          <t>работник 540</t>
        </is>
      </c>
      <c r="B223" s="6" t="inlineStr">
        <is>
          <t>Бункеровщик</t>
        </is>
      </c>
      <c r="C223" s="6" t="inlineStr">
        <is>
          <t>Бункеровщик</t>
        </is>
      </c>
      <c r="D223" s="6" t="inlineStr">
        <is>
          <t>ОБЩЕСТВО С ОГРАНИЧЕННОЙ ОТВЕТСТВЕННОСТЬЮ "АМУР ЗОЛОТО"</t>
        </is>
      </c>
      <c r="E223" s="6" t="inlineStr">
        <is>
          <t>2708001686</t>
        </is>
      </c>
      <c r="F223" s="6" t="inlineStr">
        <is>
          <t>ООО "Амур Золото"</t>
        </is>
      </c>
      <c r="G223" s="6" t="inlineStr">
        <is>
          <t>2708001686</t>
        </is>
      </c>
      <c r="H223" s="6" t="inlineStr">
        <is>
          <t>121097087; 121097088; 214421267; 214421268; 214421269</t>
        </is>
      </c>
      <c r="I223" s="6" t="inlineStr">
        <is>
          <t>9114030; 15411209</t>
        </is>
      </c>
      <c r="J223" s="6" t="inlineStr">
        <is>
          <t>ОТ № ЮГОК ЗИОФ 25-16; ЮГОК ЗИОФ 26-32</t>
        </is>
      </c>
      <c r="K223" s="6" t="inlineStr">
        <is>
          <t>21.04.2025; 29.07.2026</t>
        </is>
      </c>
      <c r="L223" s="6" t="inlineStr">
        <is>
          <t>Успешно</t>
        </is>
      </c>
      <c r="M223" s="6" t="inlineStr">
        <is>
          <t>Пользовательский интерфейс</t>
        </is>
      </c>
      <c r="N223" s="7" t="n">
        <v>5</v>
      </c>
      <c r="O223" s="7" t="n">
        <v>2</v>
      </c>
      <c r="P223" s="7" t="n"/>
      <c r="Q223" s="175" t="n">
        <v>2</v>
      </c>
      <c r="R223" s="7" t="n"/>
      <c r="S223" s="7" t="n"/>
      <c r="T223" s="7" t="n"/>
      <c r="U223" s="7" t="n"/>
      <c r="V223" s="7" t="n"/>
      <c r="W223" s="7" t="n"/>
      <c r="X223" s="7" t="n"/>
      <c r="Y223" s="7" t="n"/>
      <c r="Z223" s="7" t="n"/>
      <c r="AA223" s="7" t="n"/>
      <c r="AB223" s="7" t="n">
        <v>1</v>
      </c>
      <c r="AC223" s="175" t="n">
        <v>2</v>
      </c>
    </row>
    <row r="224">
      <c r="A224" s="6" t="inlineStr">
        <is>
          <t>работник 494</t>
        </is>
      </c>
      <c r="B224" s="6" t="inlineStr">
        <is>
          <t>Машинист самоходной буровой установки (Проходка) | Машинист самоходной буровой установки</t>
        </is>
      </c>
      <c r="C224" s="6" t="inlineStr">
        <is>
          <t>Машинист самоходной буровой установки (Проходка) | Машинист самоходной буровой установки</t>
        </is>
      </c>
      <c r="D224" s="6" t="inlineStr">
        <is>
          <t>ОБЩЕСТВО С ОГРАНИЧЕННОЙ ОТВЕТСТВЕННОСТЬЮ "АМУР ЗОЛОТО"</t>
        </is>
      </c>
      <c r="E224" s="6" t="inlineStr">
        <is>
          <t>2708001686</t>
        </is>
      </c>
      <c r="F224" s="6" t="inlineStr">
        <is>
          <t>ООО "Амур Золото"</t>
        </is>
      </c>
      <c r="G224" s="6" t="inlineStr">
        <is>
          <t>2708001686</t>
        </is>
      </c>
      <c r="H224" s="6" t="inlineStr">
        <is>
          <t>87545000; 87545001; 214421408; 214421409; 214421410</t>
        </is>
      </c>
      <c r="I224" s="6" t="inlineStr">
        <is>
          <t>6719954; 15411209</t>
        </is>
      </c>
      <c r="J224" s="6" t="inlineStr">
        <is>
          <t>ОТ № ЮГОК ПГУ 24-23; ЮГОК ПГУ 26-29</t>
        </is>
      </c>
      <c r="K224" s="6" t="inlineStr">
        <is>
          <t>12.11.2024; 25.07.2026</t>
        </is>
      </c>
      <c r="L224" s="6" t="inlineStr">
        <is>
          <t>Успешно</t>
        </is>
      </c>
      <c r="M224" s="6" t="inlineStr">
        <is>
          <t>Пользовательский интерфейс</t>
        </is>
      </c>
      <c r="N224" s="7" t="n">
        <v>5</v>
      </c>
      <c r="O224" s="7" t="n">
        <v>2</v>
      </c>
      <c r="P224" s="7" t="n"/>
      <c r="Q224" s="175" t="n">
        <v>2</v>
      </c>
      <c r="R224" s="7" t="n"/>
      <c r="S224" s="7" t="n"/>
      <c r="T224" s="7" t="n"/>
      <c r="U224" s="7" t="n"/>
      <c r="V224" s="7" t="n"/>
      <c r="W224" s="7" t="n"/>
      <c r="X224" s="7" t="n"/>
      <c r="Y224" s="7" t="n"/>
      <c r="Z224" s="7" t="n"/>
      <c r="AA224" s="7" t="n"/>
      <c r="AB224" s="7" t="n">
        <v>1</v>
      </c>
      <c r="AC224" s="175" t="n">
        <v>2</v>
      </c>
    </row>
    <row r="225">
      <c r="A225" s="6" t="inlineStr">
        <is>
          <t>работник 431</t>
        </is>
      </c>
      <c r="B225" s="6" t="inlineStr">
        <is>
          <t>Аппаратчик-гидрометаллург</t>
        </is>
      </c>
      <c r="C225" s="6" t="inlineStr">
        <is>
          <t>Аппаратчик-гидрометаллург</t>
        </is>
      </c>
      <c r="D225" s="6" t="inlineStr">
        <is>
          <t>ОБЩЕСТВО С ОГРАНИЧЕННОЙ ОТВЕТСТВЕННОСТЬЮ "АМУР ЗОЛОТО"</t>
        </is>
      </c>
      <c r="E225" s="6" t="inlineStr">
        <is>
          <t>2708001686</t>
        </is>
      </c>
      <c r="F225" s="6" t="inlineStr">
        <is>
          <t>ООО "Амур Золото"</t>
        </is>
      </c>
      <c r="G225" s="6" t="inlineStr">
        <is>
          <t>2708001686</t>
        </is>
      </c>
      <c r="H225" s="6" t="inlineStr">
        <is>
          <t>85344284; 85344285; 90580090</t>
        </is>
      </c>
      <c r="I225" s="6" t="inlineStr">
        <is>
          <t>6554154; 6934388</t>
        </is>
      </c>
      <c r="J225" s="6" t="inlineStr">
        <is>
          <t>ОТ № ЮГОК ЗИОФ 24-33; ОТ № ЮГОК ЗИОФ 24-38</t>
        </is>
      </c>
      <c r="K225" s="6" t="inlineStr">
        <is>
          <t>25.10.2024; 25.11.2024</t>
        </is>
      </c>
      <c r="L225" s="6" t="inlineStr">
        <is>
          <t>Успешно</t>
        </is>
      </c>
      <c r="M225" s="6" t="inlineStr">
        <is>
          <t>Пользовательский интерфейс</t>
        </is>
      </c>
      <c r="N225" s="7" t="n">
        <v>3</v>
      </c>
      <c r="O225" s="7" t="n">
        <v>1</v>
      </c>
      <c r="P225" s="7" t="n"/>
      <c r="Q225" s="175" t="n">
        <v>2</v>
      </c>
      <c r="R225" s="7" t="n"/>
      <c r="S225" s="7" t="n"/>
      <c r="T225" s="7" t="n"/>
      <c r="U225" s="7" t="n"/>
      <c r="V225" s="7" t="n"/>
      <c r="W225" s="7" t="n"/>
      <c r="X225" s="7" t="n"/>
      <c r="Y225" s="7" t="n"/>
      <c r="Z225" s="7" t="n"/>
      <c r="AA225" s="7" t="n"/>
      <c r="AB225" s="7" t="n"/>
      <c r="AC225" s="7" t="n">
        <v>1</v>
      </c>
    </row>
    <row r="226">
      <c r="A226" s="6" t="inlineStr">
        <is>
          <t>работник 425</t>
        </is>
      </c>
      <c r="B226" s="6" t="inlineStr">
        <is>
          <t>Слесарь-ремонтник (по ремонту обогатительного оборудования) | Слесарь-ремонтник | Аппаратчик-гидрометаллург | Аппаратчик сгустителей</t>
        </is>
      </c>
      <c r="C226" s="6" t="inlineStr">
        <is>
          <t>Слесарь по ремонту обогатительного оборудования | Слесарь-ремонтник | Аппаратчик-гидрометаллург | Аппаратчик сгустителей</t>
        </is>
      </c>
      <c r="D226" s="6" t="inlineStr">
        <is>
          <t>ОБЩЕСТВО С ОГРАНИЧЕННОЙ ОТВЕТСТВЕННОСТЬЮ "АМУР ЗОЛОТО"</t>
        </is>
      </c>
      <c r="E226" s="6" t="inlineStr">
        <is>
          <t>2708001686</t>
        </is>
      </c>
      <c r="F226" s="6" t="inlineStr">
        <is>
          <t>ООО "Амур Золото"</t>
        </is>
      </c>
      <c r="G226" s="6" t="inlineStr">
        <is>
          <t>2708001686</t>
        </is>
      </c>
      <c r="H226" s="6" t="inlineStr">
        <is>
          <t>85344266; 85344267; 96539100; 96539101; 96539102; 96539103; 96539104; 96539105; 148626987; 148626988; 200896956; 200896957; 214421286; 214421287; 214421288</t>
        </is>
      </c>
      <c r="I226" s="6" t="inlineStr">
        <is>
          <t>6554154; 7135797; 11125717; 14513218; 15411209</t>
        </is>
      </c>
      <c r="J226" s="6" t="inlineStr">
        <is>
          <t>ОТ № ЮГОК ЗИОФ 24-32; ОТ № ЮГОК ЗИОФ 24-40; ОТ № ЮГОК ЗИОФ 25-30; ЮГОК ЗИОФ 26-01; ЮГОК ЗИОФ 26-34</t>
        </is>
      </c>
      <c r="K226" s="6" t="inlineStr">
        <is>
          <t>20.10.2024; 10.12.2024; 02.10.2025; 05.06.2026; 29.07.2026</t>
        </is>
      </c>
      <c r="L226" s="6" t="inlineStr">
        <is>
          <t>Успешно</t>
        </is>
      </c>
      <c r="M226" s="6" t="inlineStr">
        <is>
          <t>Пользовательский интерфейс</t>
        </is>
      </c>
      <c r="N226" s="7" t="n">
        <v>15</v>
      </c>
      <c r="O226" s="7" t="n">
        <v>4</v>
      </c>
      <c r="P226" s="7" t="n"/>
      <c r="Q226" s="175" t="n">
        <v>3</v>
      </c>
      <c r="R226" s="175" t="n">
        <v>2</v>
      </c>
      <c r="S226" s="7" t="n">
        <v>1</v>
      </c>
      <c r="T226" s="175" t="n">
        <v>2</v>
      </c>
      <c r="U226" s="7" t="n">
        <v>1</v>
      </c>
      <c r="V226" s="7" t="n">
        <v>1</v>
      </c>
      <c r="W226" s="7" t="n">
        <v>1</v>
      </c>
      <c r="X226" s="7" t="n"/>
      <c r="Y226" s="7" t="n"/>
      <c r="Z226" s="7" t="n"/>
      <c r="AA226" s="7" t="n"/>
      <c r="AB226" s="7" t="n">
        <v>1</v>
      </c>
      <c r="AC226" s="175" t="n">
        <v>3</v>
      </c>
    </row>
    <row r="227">
      <c r="A227" s="6" t="inlineStr">
        <is>
          <t>работник 630</t>
        </is>
      </c>
      <c r="B227" s="6" t="inlineStr">
        <is>
          <t>Горнорабочий на маркшейдерских работах</t>
        </is>
      </c>
      <c r="C227" s="6" t="inlineStr">
        <is>
          <t>Горнорабочий на маркшейдерских работах</t>
        </is>
      </c>
      <c r="D227" s="6" t="inlineStr">
        <is>
          <t>ОБЩЕСТВО С ОГРАНИЧЕННОЙ ОТВЕТСТВЕННОСТЬЮ "АМУР ЗОЛОТО"</t>
        </is>
      </c>
      <c r="E227" s="6" t="inlineStr">
        <is>
          <t>2708001686</t>
        </is>
      </c>
      <c r="F227" s="6" t="inlineStr">
        <is>
          <t>ООО "Амур Золото"</t>
        </is>
      </c>
      <c r="G227" s="6" t="inlineStr">
        <is>
          <t>2708001686</t>
        </is>
      </c>
      <c r="H227" s="6" t="inlineStr">
        <is>
          <t>173160791; 173160792; 173160793; 222717305; 222717306; 222717307</t>
        </is>
      </c>
      <c r="I227" s="6" t="inlineStr">
        <is>
          <t>12768377; 15953442</t>
        </is>
      </c>
      <c r="J227" s="6" t="inlineStr">
        <is>
          <t>ОТ № ЮГОК ГМО 26-30; ОТ № ЮГОК ГМО 26-31; ЮГОК ОГМ 26-05</t>
        </is>
      </c>
      <c r="K227" s="6" t="inlineStr">
        <is>
          <t>09.02.2026; 25.08.2026</t>
        </is>
      </c>
      <c r="L227" s="6" t="inlineStr">
        <is>
          <t>Успешно</t>
        </is>
      </c>
      <c r="M227" s="6" t="inlineStr">
        <is>
          <t>Пользовательский интерфейс</t>
        </is>
      </c>
      <c r="N227" s="7" t="n">
        <v>6</v>
      </c>
      <c r="O227" s="7" t="n">
        <v>2</v>
      </c>
      <c r="P227" s="7" t="n"/>
      <c r="Q227" s="175" t="n">
        <v>2</v>
      </c>
      <c r="R227" s="7" t="n"/>
      <c r="S227" s="7" t="n"/>
      <c r="T227" s="7" t="n"/>
      <c r="U227" s="7" t="n"/>
      <c r="V227" s="7" t="n"/>
      <c r="W227" s="7" t="n"/>
      <c r="X227" s="7" t="n"/>
      <c r="Y227" s="7" t="n"/>
      <c r="Z227" s="7" t="n"/>
      <c r="AA227" s="7" t="n">
        <v>1</v>
      </c>
      <c r="AB227" s="7" t="n">
        <v>1</v>
      </c>
      <c r="AC227" s="175" t="n">
        <v>2</v>
      </c>
    </row>
    <row r="228">
      <c r="A228" s="6" t="inlineStr">
        <is>
          <t>работник 597</t>
        </is>
      </c>
      <c r="B228" s="6" t="inlineStr">
        <is>
          <t>Слесарь-ремонтник (по ремонту горно-шахтного оборудования) | Слесарь-ремонтник (по ремонту самоходной техники)</t>
        </is>
      </c>
      <c r="C228" s="6" t="inlineStr">
        <is>
          <t>Слесарь-ремонтник (по ремонту горно-шахтного оборудования) | Слесарь-ремонтник (по ремонту самоходной техники)</t>
        </is>
      </c>
      <c r="D228" s="6" t="inlineStr">
        <is>
          <t>ОБЩЕСТВО С ОГРАНИЧЕННОЙ ОТВЕТСТВЕННОСТЬЮ "АМУР ЗОЛОТО"</t>
        </is>
      </c>
      <c r="E228" s="6" t="inlineStr">
        <is>
          <t>2708001686</t>
        </is>
      </c>
      <c r="F228" s="6" t="inlineStr">
        <is>
          <t>ООО "Амур Золото"</t>
        </is>
      </c>
      <c r="G228" s="6" t="inlineStr">
        <is>
          <t>2708001686</t>
        </is>
      </c>
      <c r="H228" s="6" t="inlineStr">
        <is>
          <t>148626997; 148626999; 214421492; 214421493; 214421494</t>
        </is>
      </c>
      <c r="I228" s="6" t="inlineStr">
        <is>
          <t>11125717; 15411209</t>
        </is>
      </c>
      <c r="J228" s="6" t="inlineStr">
        <is>
          <t>ОТ № ЮГОК ПГУ 29-25; ЮГОК ПГУ 26-35</t>
        </is>
      </c>
      <c r="K228" s="6" t="inlineStr">
        <is>
          <t>10.08.2025; 25.07.2026</t>
        </is>
      </c>
      <c r="L228" s="6" t="inlineStr">
        <is>
          <t>Успешно</t>
        </is>
      </c>
      <c r="M228" s="6" t="inlineStr">
        <is>
          <t>Пользовательский интерфейс</t>
        </is>
      </c>
      <c r="N228" s="7" t="n">
        <v>5</v>
      </c>
      <c r="O228" s="7" t="n">
        <v>2</v>
      </c>
      <c r="P228" s="7" t="n"/>
      <c r="Q228" s="175" t="n">
        <v>2</v>
      </c>
      <c r="R228" s="7" t="n"/>
      <c r="S228" s="7" t="n"/>
      <c r="T228" s="7" t="n"/>
      <c r="U228" s="7" t="n"/>
      <c r="V228" s="7" t="n"/>
      <c r="W228" s="7" t="n"/>
      <c r="X228" s="7" t="n"/>
      <c r="Y228" s="7" t="n"/>
      <c r="Z228" s="7" t="n"/>
      <c r="AA228" s="7" t="n"/>
      <c r="AB228" s="7" t="n">
        <v>1</v>
      </c>
      <c r="AC228" s="175" t="n">
        <v>2</v>
      </c>
    </row>
    <row r="229">
      <c r="A229" s="6" t="inlineStr">
        <is>
          <t>работник 403</t>
        </is>
      </c>
      <c r="B229" s="6" t="inlineStr">
        <is>
          <t>Лаборант пробирного анализа</t>
        </is>
      </c>
      <c r="C229" s="6" t="inlineStr">
        <is>
          <t>Лаборант пробирного анализа</t>
        </is>
      </c>
      <c r="D229" s="6" t="inlineStr">
        <is>
          <t>ОБЩЕСТВО С ОГРАНИЧЕННОЙ ОТВЕТСТВЕННОСТЬЮ "АМУР ЗОЛОТО"</t>
        </is>
      </c>
      <c r="E229" s="6" t="inlineStr">
        <is>
          <t>2708001686</t>
        </is>
      </c>
      <c r="F229" s="6" t="inlineStr">
        <is>
          <t>ООО "Амур Золото"</t>
        </is>
      </c>
      <c r="G229" s="6" t="inlineStr">
        <is>
          <t>2708001686</t>
        </is>
      </c>
      <c r="H229" s="6" t="inlineStr">
        <is>
          <t>76186439; 76186440; 193670791; 193670792; 214421756; 214421757; 214421758</t>
        </is>
      </c>
      <c r="I229" s="6" t="inlineStr">
        <is>
          <t>5868791; 14012155; 15411233</t>
        </is>
      </c>
      <c r="J229" s="6" t="inlineStr">
        <is>
          <t>ОТ №ЮГОК ПАЛ 24-04; ОТ № ЮГОК ПАЛ 26-04; ЮГОК ПАЛ 26-08</t>
        </is>
      </c>
      <c r="K229" s="6" t="inlineStr">
        <is>
          <t>03.08.2024; 21.04.2026; 02.08.2026</t>
        </is>
      </c>
      <c r="L229" s="6" t="inlineStr">
        <is>
          <t>Успешно</t>
        </is>
      </c>
      <c r="M229" s="6" t="inlineStr">
        <is>
          <t>Пользовательский интерфейс</t>
        </is>
      </c>
      <c r="N229" s="7" t="n">
        <v>7</v>
      </c>
      <c r="O229" s="7" t="n">
        <v>2</v>
      </c>
      <c r="P229" s="7" t="n"/>
      <c r="Q229" s="175" t="n">
        <v>3</v>
      </c>
      <c r="R229" s="7" t="n"/>
      <c r="S229" s="7" t="n"/>
      <c r="T229" s="7" t="n"/>
      <c r="U229" s="7" t="n"/>
      <c r="V229" s="7" t="n"/>
      <c r="W229" s="7" t="n"/>
      <c r="X229" s="7" t="n"/>
      <c r="Y229" s="7" t="n"/>
      <c r="Z229" s="7" t="n"/>
      <c r="AA229" s="7" t="n"/>
      <c r="AB229" s="7" t="n">
        <v>1</v>
      </c>
      <c r="AC229" s="175" t="n">
        <v>3</v>
      </c>
    </row>
    <row r="230">
      <c r="A230" s="6" t="inlineStr">
        <is>
          <t>работник 359</t>
        </is>
      </c>
      <c r="B230" s="6" t="inlineStr">
        <is>
          <t>Дробильщик</t>
        </is>
      </c>
      <c r="C230" s="6" t="inlineStr">
        <is>
          <t>Дробильщик</t>
        </is>
      </c>
      <c r="D230" s="6" t="inlineStr">
        <is>
          <t>ОБЩЕСТВО С ОГРАНИЧЕННОЙ ОТВЕТСТВЕННОСТЬЮ "АМУР ЗОЛОТО"</t>
        </is>
      </c>
      <c r="E230" s="6" t="inlineStr">
        <is>
          <t>2708001686</t>
        </is>
      </c>
      <c r="F230" s="6" t="inlineStr">
        <is>
          <t>ООО "Амур Золото"</t>
        </is>
      </c>
      <c r="G230" s="6" t="inlineStr">
        <is>
          <t>2708001686</t>
        </is>
      </c>
      <c r="H230" s="6" t="inlineStr">
        <is>
          <t>66544971; 66544972; 66544973; 136189676; 136189677</t>
        </is>
      </c>
      <c r="I230" s="6" t="inlineStr">
        <is>
          <t>5129076; 10216156</t>
        </is>
      </c>
      <c r="J230" s="6" t="inlineStr">
        <is>
          <t>ОТ № ЮГОК ПАЛ 24-04; ОТ № ЮГОК ПАЛ 25-06</t>
        </is>
      </c>
      <c r="K230" s="6" t="inlineStr">
        <is>
          <t>29.06.2024; 13.07.2025</t>
        </is>
      </c>
      <c r="L230" s="6" t="inlineStr">
        <is>
          <t>Успешно</t>
        </is>
      </c>
      <c r="M230" s="6" t="inlineStr">
        <is>
          <t>Пользовательский интерфейс</t>
        </is>
      </c>
      <c r="N230" s="7" t="n">
        <v>5</v>
      </c>
      <c r="O230" s="7" t="n">
        <v>2</v>
      </c>
      <c r="P230" s="7" t="n"/>
      <c r="Q230" s="175" t="n">
        <v>2</v>
      </c>
      <c r="R230" s="7" t="n"/>
      <c r="S230" s="7" t="n"/>
      <c r="T230" s="7" t="n"/>
      <c r="U230" s="7" t="n"/>
      <c r="V230" s="7" t="n"/>
      <c r="W230" s="7" t="n"/>
      <c r="X230" s="7" t="n"/>
      <c r="Y230" s="7" t="n"/>
      <c r="Z230" s="7" t="n"/>
      <c r="AA230" s="7" t="n"/>
      <c r="AB230" s="7" t="n">
        <v>1</v>
      </c>
      <c r="AC230" s="175" t="n">
        <v>2</v>
      </c>
    </row>
    <row r="231">
      <c r="A231" s="6" t="inlineStr">
        <is>
          <t>работник 23</t>
        </is>
      </c>
      <c r="B231" s="6" t="inlineStr">
        <is>
          <t>Слесарь-ремонтник | Слесарь-ремонтник (по ремонту обогатительного оборудования)</t>
        </is>
      </c>
      <c r="C231" s="6" t="inlineStr">
        <is>
          <t>Слесарь-ремонтник | Слесарь-ремонтник ( по ремонту обогатительного оборудования) | Слесарь-ремонтник (по ремонту обогатительного оборудования)</t>
        </is>
      </c>
      <c r="D231" s="6" t="inlineStr">
        <is>
          <t>ОБЩЕСТВО С ОГРАНИЧЕННОЙ ОТВЕТСТВЕННОСТЬЮ "АМУР ЗОЛОТО"</t>
        </is>
      </c>
      <c r="E231" s="6" t="inlineStr">
        <is>
          <t>2708001686</t>
        </is>
      </c>
      <c r="F231" s="6" t="inlineStr">
        <is>
          <t>ООО "Амур Золото"</t>
        </is>
      </c>
      <c r="G231" s="6" t="inlineStr">
        <is>
          <t>2708001686</t>
        </is>
      </c>
      <c r="H231" s="6" t="inlineStr">
        <is>
          <t>37117278; 37117279; 37117280; 37117281; 37117282; 37117283; 90580095; 96539064; 96539065; 96539066; 96539067; 96539068; 96539069; 200897038; 200897039; 200897040; 200897041; 214421316; 214421317; 214421318</t>
        </is>
      </c>
      <c r="I231" s="6" t="inlineStr">
        <is>
          <t>2978778; 6934388; 7135797; 14513218; 15411209</t>
        </is>
      </c>
      <c r="J231" s="6" t="inlineStr">
        <is>
          <t>ОТ № ЮГОК ЗИОФ 23-02; ОТ № ЮГОК ЗИОФ 24-38; ОТ № ЮГОК ЗИОФ 24-40; ЮГОК ЗИОФ 26-01; ЮГОК ЗИОФ 26-38</t>
        </is>
      </c>
      <c r="K231" s="6" t="inlineStr">
        <is>
          <t>24.11.2023; 25.11.2024; 10.12.2024; 05.06.2026; 29.07.2026</t>
        </is>
      </c>
      <c r="L231" s="6" t="inlineStr">
        <is>
          <t>Успешно</t>
        </is>
      </c>
      <c r="M231" s="6" t="inlineStr">
        <is>
          <t>Пользовательский интерфейс</t>
        </is>
      </c>
      <c r="N231" s="7" t="n">
        <v>20</v>
      </c>
      <c r="O231" s="7" t="n">
        <v>8</v>
      </c>
      <c r="P231" s="7" t="n"/>
      <c r="Q231" s="175" t="n">
        <v>2</v>
      </c>
      <c r="R231" s="175" t="n">
        <v>3</v>
      </c>
      <c r="S231" s="175" t="n">
        <v>3</v>
      </c>
      <c r="T231" s="175" t="n">
        <v>3</v>
      </c>
      <c r="U231" s="175" t="n">
        <v>2</v>
      </c>
      <c r="V231" s="175" t="n">
        <v>2</v>
      </c>
      <c r="W231" s="175" t="n">
        <v>2</v>
      </c>
      <c r="X231" s="7" t="n"/>
      <c r="Y231" s="7" t="n"/>
      <c r="Z231" s="7" t="n"/>
      <c r="AA231" s="7" t="n"/>
      <c r="AB231" s="7" t="n">
        <v>1</v>
      </c>
      <c r="AC231" s="175" t="n">
        <v>2</v>
      </c>
    </row>
    <row r="232">
      <c r="A232" s="6" t="inlineStr">
        <is>
          <t>работник 402</t>
        </is>
      </c>
      <c r="B232" s="6" t="inlineStr">
        <is>
          <t>Лаборант пробирного анализа</t>
        </is>
      </c>
      <c r="C232" s="6" t="inlineStr">
        <is>
          <t>Лаборант пробирного анализа</t>
        </is>
      </c>
      <c r="D232" s="6" t="inlineStr">
        <is>
          <t>ОБЩЕСТВО С ОГРАНИЧЕННОЙ ОТВЕТСТВЕННОСТЬЮ "АМУР ЗОЛОТО"</t>
        </is>
      </c>
      <c r="E232" s="6" t="inlineStr">
        <is>
          <t>2708001686</t>
        </is>
      </c>
      <c r="F232" s="6" t="inlineStr">
        <is>
          <t>ООО "Амур Золото"</t>
        </is>
      </c>
      <c r="G232" s="6" t="inlineStr">
        <is>
          <t>2708001686</t>
        </is>
      </c>
      <c r="H232" s="6" t="inlineStr">
        <is>
          <t>76186437; 76186438; 121097097; 121097098; 144713857; 144713858; 214421753; 214421754; 214421755</t>
        </is>
      </c>
      <c r="I232" s="6" t="inlineStr">
        <is>
          <t>5868791; 9114030; 10845617; 15411233</t>
        </is>
      </c>
      <c r="J232" s="6" t="inlineStr">
        <is>
          <t>ОТ №ЮГОК ПАЛ 24-04; ОТ № ЮГОК ПАЛ 25-03; ОТ № ЮГОК ПАЛ 25-07; ЮГОК ПАЛ 26-08</t>
        </is>
      </c>
      <c r="K232" s="6" t="inlineStr">
        <is>
          <t>03.08.2024; 28.03.2025; 26.07.2025; 02.08.2026</t>
        </is>
      </c>
      <c r="L232" s="6" t="inlineStr">
        <is>
          <t>Успешно</t>
        </is>
      </c>
      <c r="M232" s="6" t="inlineStr">
        <is>
          <t>Пользовательский интерфейс</t>
        </is>
      </c>
      <c r="N232" s="7" t="n">
        <v>9</v>
      </c>
      <c r="O232" s="7" t="n">
        <v>2</v>
      </c>
      <c r="P232" s="7" t="n"/>
      <c r="Q232" s="175" t="n">
        <v>4</v>
      </c>
      <c r="R232" s="7" t="n"/>
      <c r="S232" s="7" t="n"/>
      <c r="T232" s="7" t="n"/>
      <c r="U232" s="7" t="n"/>
      <c r="V232" s="7" t="n"/>
      <c r="W232" s="7" t="n"/>
      <c r="X232" s="7" t="n"/>
      <c r="Y232" s="7" t="n"/>
      <c r="Z232" s="7" t="n"/>
      <c r="AA232" s="7" t="n"/>
      <c r="AB232" s="7" t="n">
        <v>1</v>
      </c>
      <c r="AC232" s="175" t="n">
        <v>4</v>
      </c>
    </row>
    <row r="233">
      <c r="A233" s="6" t="inlineStr">
        <is>
          <t>работник 614</t>
        </is>
      </c>
      <c r="B233" s="6" t="inlineStr">
        <is>
          <t>Фильтровальщик</t>
        </is>
      </c>
      <c r="C233" s="6" t="inlineStr">
        <is>
          <t>Фильтровальщик</t>
        </is>
      </c>
      <c r="D233" s="6" t="inlineStr">
        <is>
          <t>ОБЩЕСТВО С ОГРАНИЧЕННОЙ ОТВЕТСТВЕННОСТЬЮ "АМУР ЗОЛОТО"</t>
        </is>
      </c>
      <c r="E233" s="6" t="inlineStr">
        <is>
          <t>2708001686</t>
        </is>
      </c>
      <c r="F233" s="6" t="inlineStr">
        <is>
          <t>ООО "Амур Золото"</t>
        </is>
      </c>
      <c r="G233" s="6" t="inlineStr">
        <is>
          <t>2708001686</t>
        </is>
      </c>
      <c r="H233" s="6" t="inlineStr">
        <is>
          <t>163550875; 163550876; 214421210; 214421211; 214421212</t>
        </is>
      </c>
      <c r="I233" s="6" t="inlineStr">
        <is>
          <t>12120704; 15411209</t>
        </is>
      </c>
      <c r="J233" s="6" t="inlineStr">
        <is>
          <t>ОТ № ЮГОК ПГУ 25-36; ЮГОК ЗИОФ 26-28</t>
        </is>
      </c>
      <c r="K233" s="6" t="inlineStr">
        <is>
          <t>01.11.2025; 29.07.2026</t>
        </is>
      </c>
      <c r="L233" s="6" t="inlineStr">
        <is>
          <t>Успешно</t>
        </is>
      </c>
      <c r="M233" s="6" t="inlineStr">
        <is>
          <t>Пользовательский интерфейс</t>
        </is>
      </c>
      <c r="N233" s="7" t="n">
        <v>5</v>
      </c>
      <c r="O233" s="7" t="n">
        <v>2</v>
      </c>
      <c r="P233" s="7" t="n"/>
      <c r="Q233" s="175" t="n">
        <v>2</v>
      </c>
      <c r="R233" s="7" t="n"/>
      <c r="S233" s="7" t="n"/>
      <c r="T233" s="7" t="n"/>
      <c r="U233" s="7" t="n"/>
      <c r="V233" s="7" t="n"/>
      <c r="W233" s="7" t="n"/>
      <c r="X233" s="7" t="n"/>
      <c r="Y233" s="7" t="n"/>
      <c r="Z233" s="7" t="n"/>
      <c r="AA233" s="7" t="n"/>
      <c r="AB233" s="7" t="n">
        <v>1</v>
      </c>
      <c r="AC233" s="175" t="n">
        <v>2</v>
      </c>
    </row>
    <row r="234">
      <c r="A234" s="6" t="inlineStr">
        <is>
          <t>работник 294</t>
        </is>
      </c>
      <c r="B234" s="6" t="inlineStr">
        <is>
          <t>Машинист экскаватора</t>
        </is>
      </c>
      <c r="C234" s="6" t="inlineStr">
        <is>
          <t>Машинист экскаватора</t>
        </is>
      </c>
      <c r="D234" s="6" t="inlineStr">
        <is>
          <t>ОБЩЕСТВО С ОГРАНИЧЕННОЙ ОТВЕТСТВЕННОСТЬЮ "АМУР ЗОЛОТО"</t>
        </is>
      </c>
      <c r="E234" s="6" t="inlineStr">
        <is>
          <t>2708001686</t>
        </is>
      </c>
      <c r="F234" s="6" t="inlineStr">
        <is>
          <t>ООО "Амур Золото"</t>
        </is>
      </c>
      <c r="G234" s="6" t="inlineStr">
        <is>
          <t>2708001686</t>
        </is>
      </c>
      <c r="H234" s="6" t="inlineStr">
        <is>
          <t>42252436; 42252437; 42252438; 222717170; 222717171; 222717172</t>
        </is>
      </c>
      <c r="I234" s="6" t="inlineStr">
        <is>
          <t>3404353; 15953442</t>
        </is>
      </c>
      <c r="J234" s="6" t="inlineStr">
        <is>
          <t>ОТ № ЮГОК АТЦ 24-04; ЮГОК АТЦ 26-17</t>
        </is>
      </c>
      <c r="K234" s="6" t="inlineStr">
        <is>
          <t>23.02.2024; 17.08.2026</t>
        </is>
      </c>
      <c r="L234" s="6" t="inlineStr">
        <is>
          <t>Успешно</t>
        </is>
      </c>
      <c r="M234" s="6" t="inlineStr">
        <is>
          <t>Пользовательский интерфейс</t>
        </is>
      </c>
      <c r="N234" s="7" t="n">
        <v>6</v>
      </c>
      <c r="O234" s="7" t="n">
        <v>3</v>
      </c>
      <c r="P234" s="7" t="n"/>
      <c r="Q234" s="175" t="n">
        <v>2</v>
      </c>
      <c r="R234" s="7" t="n"/>
      <c r="S234" s="7" t="n"/>
      <c r="T234" s="7" t="n"/>
      <c r="U234" s="7" t="n"/>
      <c r="V234" s="7" t="n"/>
      <c r="W234" s="7" t="n"/>
      <c r="X234" s="7" t="n"/>
      <c r="Y234" s="7" t="n"/>
      <c r="Z234" s="7" t="n"/>
      <c r="AA234" s="7" t="n"/>
      <c r="AB234" s="175" t="n">
        <v>2</v>
      </c>
      <c r="AC234" s="175" t="n">
        <v>2</v>
      </c>
    </row>
    <row r="235">
      <c r="A235" s="6" t="inlineStr">
        <is>
          <t>работник 225</t>
        </is>
      </c>
      <c r="B235" s="6" t="inlineStr">
        <is>
          <t>Машинист бульдозера</t>
        </is>
      </c>
      <c r="C235" s="6" t="inlineStr">
        <is>
          <t>Машинист бульдозера</t>
        </is>
      </c>
      <c r="D235" s="6" t="inlineStr">
        <is>
          <t>ОБЩЕСТВО С ОГРАНИЧЕННОЙ ОТВЕТСТВЕННОСТЬЮ "АМУР ЗОЛОТО"</t>
        </is>
      </c>
      <c r="E235" s="6" t="inlineStr">
        <is>
          <t>2708001686</t>
        </is>
      </c>
      <c r="F235" s="6" t="inlineStr">
        <is>
          <t>ООО "Амур Золото"</t>
        </is>
      </c>
      <c r="G235" s="6" t="inlineStr">
        <is>
          <t>2708001686</t>
        </is>
      </c>
      <c r="H235" s="6" t="inlineStr">
        <is>
          <t>41372116; 41372117; 41372118; 71599943; 71599944; 71599945</t>
        </is>
      </c>
      <c r="I235" s="6" t="inlineStr">
        <is>
          <t>3335316; 5518427</t>
        </is>
      </c>
      <c r="J235" s="6" t="inlineStr">
        <is>
          <t>ОТ № ЮГОК АТЦ 23-03; ОТ №ЮГОК АТЦ 24-07</t>
        </is>
      </c>
      <c r="K235" s="6" t="inlineStr">
        <is>
          <t>03.12.2023; 11.08.2024</t>
        </is>
      </c>
      <c r="L235" s="6" t="inlineStr">
        <is>
          <t>Успешно</t>
        </is>
      </c>
      <c r="M235" s="6" t="inlineStr">
        <is>
          <t>Пользовательский интерфейс</t>
        </is>
      </c>
      <c r="N235" s="7" t="n">
        <v>6</v>
      </c>
      <c r="O235" s="7" t="n">
        <v>3</v>
      </c>
      <c r="P235" s="7" t="n"/>
      <c r="Q235" s="175" t="n">
        <v>2</v>
      </c>
      <c r="R235" s="7" t="n"/>
      <c r="S235" s="7" t="n"/>
      <c r="T235" s="7" t="n"/>
      <c r="U235" s="7" t="n"/>
      <c r="V235" s="7" t="n"/>
      <c r="W235" s="7" t="n"/>
      <c r="X235" s="7" t="n"/>
      <c r="Y235" s="7" t="n"/>
      <c r="Z235" s="7" t="n"/>
      <c r="AA235" s="7" t="n"/>
      <c r="AB235" s="175" t="n">
        <v>2</v>
      </c>
      <c r="AC235" s="175" t="n">
        <v>2</v>
      </c>
    </row>
    <row r="236">
      <c r="A236" s="6" t="inlineStr">
        <is>
          <t>работник 363</t>
        </is>
      </c>
      <c r="B236" s="6" t="inlineStr">
        <is>
          <t>Подсобный рабочий | Уборщик производственных и служебных помещений</t>
        </is>
      </c>
      <c r="C236" s="6" t="inlineStr">
        <is>
          <t>Подсобный рабочий | Уборщик производственных и служебных помещений</t>
        </is>
      </c>
      <c r="D236" s="6" t="inlineStr">
        <is>
          <t>ОБЩЕСТВО С ОГРАНИЧЕННОЙ ОТВЕТСТВЕННОСТЬЮ "АМУР ЗОЛОТО"</t>
        </is>
      </c>
      <c r="E236" s="6" t="inlineStr">
        <is>
          <t>2708001686</t>
        </is>
      </c>
      <c r="F236" s="6" t="inlineStr">
        <is>
          <t>ООО "Амур Золото"</t>
        </is>
      </c>
      <c r="G236" s="6" t="inlineStr">
        <is>
          <t>2708001686</t>
        </is>
      </c>
      <c r="H236" s="6" t="inlineStr">
        <is>
          <t>66544983; 66544984; 66544985; 216771049; 216771050; 216771051</t>
        </is>
      </c>
      <c r="I236" s="6" t="inlineStr">
        <is>
          <t>5129076; 15571832</t>
        </is>
      </c>
      <c r="J236" s="6" t="inlineStr">
        <is>
          <t>ОТ № ЮГОК УОП 24-04; ЮГОК АХЧ 26-46</t>
        </is>
      </c>
      <c r="K236" s="6" t="inlineStr">
        <is>
          <t>30.06.2024; 15.08.2026</t>
        </is>
      </c>
      <c r="L236" s="6" t="inlineStr">
        <is>
          <t>Успешно</t>
        </is>
      </c>
      <c r="M236" s="6" t="inlineStr">
        <is>
          <t>Пользовательский интерфейс</t>
        </is>
      </c>
      <c r="N236" s="7" t="n">
        <v>6</v>
      </c>
      <c r="O236" s="7" t="n">
        <v>3</v>
      </c>
      <c r="P236" s="7" t="n"/>
      <c r="Q236" s="175" t="n">
        <v>2</v>
      </c>
      <c r="R236" s="7" t="n"/>
      <c r="S236" s="7" t="n"/>
      <c r="T236" s="7" t="n"/>
      <c r="U236" s="7" t="n"/>
      <c r="V236" s="7" t="n"/>
      <c r="W236" s="7" t="n"/>
      <c r="X236" s="7" t="n"/>
      <c r="Y236" s="7" t="n"/>
      <c r="Z236" s="7" t="n"/>
      <c r="AA236" s="7" t="n"/>
      <c r="AB236" s="175" t="n">
        <v>2</v>
      </c>
      <c r="AC236" s="175" t="n">
        <v>2</v>
      </c>
    </row>
    <row r="237">
      <c r="A237" s="6" t="inlineStr">
        <is>
          <t>работник 495</t>
        </is>
      </c>
      <c r="B237" s="6" t="inlineStr">
        <is>
          <t>Машинист подземных самоходных машин | Машинист погрузочно-доставочной машины (занятый на транспортировании горной массы в технологическом процессе)</t>
        </is>
      </c>
      <c r="C237" s="6" t="inlineStr">
        <is>
          <t>Машинист подземных самоходных машин | Машинист погрузочно-доставочной машины (занятый на транспортировании горной массы в технологическом процессе)</t>
        </is>
      </c>
      <c r="D237" s="6" t="inlineStr">
        <is>
          <t>ОБЩЕСТВО С ОГРАНИЧЕННОЙ ОТВЕТСТВЕННОСТЬЮ "АМУР ЗОЛОТО"</t>
        </is>
      </c>
      <c r="E237" s="6" t="inlineStr">
        <is>
          <t>2708001686</t>
        </is>
      </c>
      <c r="F237" s="6" t="inlineStr">
        <is>
          <t>ООО "Амур Золото"</t>
        </is>
      </c>
      <c r="G237" s="6" t="inlineStr">
        <is>
          <t>2708001686</t>
        </is>
      </c>
      <c r="H237" s="6" t="inlineStr">
        <is>
          <t>87545002; 87545003; 216771192; 216771193; 216771194</t>
        </is>
      </c>
      <c r="I237" s="6" t="inlineStr">
        <is>
          <t>6719954; 15571832</t>
        </is>
      </c>
      <c r="J237" s="6" t="inlineStr">
        <is>
          <t>ОТ № ЮГОК ПГУ 24-23; ЮГОК ПГУ 26-50</t>
        </is>
      </c>
      <c r="K237" s="6" t="inlineStr">
        <is>
          <t>12.11.2024; 16.08.2026</t>
        </is>
      </c>
      <c r="L237" s="6" t="inlineStr">
        <is>
          <t>Успешно</t>
        </is>
      </c>
      <c r="M237" s="6" t="inlineStr">
        <is>
          <t>Пользовательский интерфейс</t>
        </is>
      </c>
      <c r="N237" s="7" t="n">
        <v>5</v>
      </c>
      <c r="O237" s="7" t="n">
        <v>2</v>
      </c>
      <c r="P237" s="7" t="n"/>
      <c r="Q237" s="175" t="n">
        <v>2</v>
      </c>
      <c r="R237" s="7" t="n"/>
      <c r="S237" s="7" t="n"/>
      <c r="T237" s="7" t="n"/>
      <c r="U237" s="7" t="n"/>
      <c r="V237" s="7" t="n"/>
      <c r="W237" s="7" t="n"/>
      <c r="X237" s="7" t="n"/>
      <c r="Y237" s="7" t="n"/>
      <c r="Z237" s="7" t="n"/>
      <c r="AA237" s="7" t="n"/>
      <c r="AB237" s="7" t="n">
        <v>1</v>
      </c>
      <c r="AC237" s="175" t="n">
        <v>2</v>
      </c>
    </row>
    <row r="238">
      <c r="A238" s="6" t="inlineStr">
        <is>
          <t>работник 437</t>
        </is>
      </c>
      <c r="B238" s="6" t="inlineStr">
        <is>
          <t>Растворщик реагентов</t>
        </is>
      </c>
      <c r="C238" s="6" t="inlineStr">
        <is>
          <t>Растворщик реагентов</t>
        </is>
      </c>
      <c r="D238" s="6" t="inlineStr">
        <is>
          <t>ОБЩЕСТВО С ОГРАНИЧЕННОЙ ОТВЕТСТВЕННОСТЬЮ "АМУР ЗОЛОТО"</t>
        </is>
      </c>
      <c r="E238" s="6" t="inlineStr">
        <is>
          <t>2708001686</t>
        </is>
      </c>
      <c r="F238" s="6" t="inlineStr">
        <is>
          <t>ООО "Амур Золото"</t>
        </is>
      </c>
      <c r="G238" s="6" t="inlineStr">
        <is>
          <t>2708001686</t>
        </is>
      </c>
      <c r="H238" s="6" t="inlineStr">
        <is>
          <t>85344296; 85344297; 90580093</t>
        </is>
      </c>
      <c r="I238" s="6" t="inlineStr">
        <is>
          <t>6554154; 6934388</t>
        </is>
      </c>
      <c r="J238" s="6" t="inlineStr">
        <is>
          <t>ОТ № ЮГОК ЗИОФ 24-34; ОТ № ЮГОК ЗИОФ 24-38</t>
        </is>
      </c>
      <c r="K238" s="6" t="inlineStr">
        <is>
          <t>25.10.2024; 25.11.2024</t>
        </is>
      </c>
      <c r="L238" s="6" t="inlineStr">
        <is>
          <t>Успешно</t>
        </is>
      </c>
      <c r="M238" s="6" t="inlineStr">
        <is>
          <t>Пользовательский интерфейс</t>
        </is>
      </c>
      <c r="N238" s="7" t="n">
        <v>3</v>
      </c>
      <c r="O238" s="7" t="n">
        <v>1</v>
      </c>
      <c r="P238" s="7" t="n"/>
      <c r="Q238" s="175" t="n">
        <v>2</v>
      </c>
      <c r="R238" s="7" t="n"/>
      <c r="S238" s="7" t="n"/>
      <c r="T238" s="7" t="n"/>
      <c r="U238" s="7" t="n"/>
      <c r="V238" s="7" t="n"/>
      <c r="W238" s="7" t="n"/>
      <c r="X238" s="7" t="n"/>
      <c r="Y238" s="7" t="n"/>
      <c r="Z238" s="7" t="n"/>
      <c r="AA238" s="7" t="n"/>
      <c r="AB238" s="7" t="n"/>
      <c r="AC238" s="7" t="n">
        <v>1</v>
      </c>
    </row>
    <row r="239">
      <c r="A239" s="6" t="inlineStr">
        <is>
          <t>работник 462</t>
        </is>
      </c>
      <c r="B239" s="6" t="inlineStr">
        <is>
          <t>Электрогазосварщик</t>
        </is>
      </c>
      <c r="C239" s="6" t="inlineStr">
        <is>
          <t>Электрогазосварщик (занятый на резке и ручной сварке)</t>
        </is>
      </c>
      <c r="D239" s="6" t="inlineStr">
        <is>
          <t>ОБЩЕСТВО С ОГРАНИЧЕННОЙ ОТВЕТСТВЕННОСТЬЮ "АМУР ЗОЛОТО"</t>
        </is>
      </c>
      <c r="E239" s="6" t="inlineStr">
        <is>
          <t>2708001686</t>
        </is>
      </c>
      <c r="F239" s="6" t="inlineStr">
        <is>
          <t>ООО "Амур Золото"</t>
        </is>
      </c>
      <c r="G239" s="6" t="inlineStr">
        <is>
          <t>2708001686</t>
        </is>
      </c>
      <c r="H239" s="6" t="inlineStr">
        <is>
          <t>86265111; 86265112; 222717182; 222717183; 222717184; 222717185</t>
        </is>
      </c>
      <c r="I239" s="6" t="inlineStr">
        <is>
          <t>6621561; 15953442</t>
        </is>
      </c>
      <c r="J239" s="6" t="inlineStr">
        <is>
          <t>ОТ № ЮГОК АТЦ 24-15; ЮГОК АТЦ 26-18</t>
        </is>
      </c>
      <c r="K239" s="6" t="inlineStr">
        <is>
          <t>04.11.2024; 18.08.2026</t>
        </is>
      </c>
      <c r="L239" s="6" t="inlineStr">
        <is>
          <t>Успешно</t>
        </is>
      </c>
      <c r="M239" s="6" t="inlineStr">
        <is>
          <t>Пользовательский интерфейс</t>
        </is>
      </c>
      <c r="N239" s="7" t="n">
        <v>6</v>
      </c>
      <c r="O239" s="7" t="n">
        <v>2</v>
      </c>
      <c r="P239" s="7" t="n"/>
      <c r="Q239" s="175" t="n">
        <v>2</v>
      </c>
      <c r="R239" s="7" t="n"/>
      <c r="S239" s="7" t="n">
        <v>1</v>
      </c>
      <c r="T239" s="7" t="n"/>
      <c r="U239" s="7" t="n"/>
      <c r="V239" s="7" t="n"/>
      <c r="W239" s="7" t="n"/>
      <c r="X239" s="7" t="n"/>
      <c r="Y239" s="7" t="n"/>
      <c r="Z239" s="7" t="n"/>
      <c r="AA239" s="7" t="n"/>
      <c r="AB239" s="7" t="n">
        <v>1</v>
      </c>
      <c r="AC239" s="175" t="n">
        <v>2</v>
      </c>
    </row>
    <row r="240">
      <c r="A240" s="6" t="inlineStr">
        <is>
          <t>работник 66</t>
        </is>
      </c>
      <c r="B240" s="6" t="inlineStr">
        <is>
          <t>Электрослесарь (слесарь) | Электрослесарь (слесарь) дежурный и по ремонту оборудования подземного горного участка</t>
        </is>
      </c>
      <c r="C240" s="6" t="inlineStr">
        <is>
          <t>Электрослесарь (слесарь) | Электрослесарь (слесарь) дежурный и по ремонту оборудования подземного горного участка</t>
        </is>
      </c>
      <c r="D240" s="6" t="inlineStr">
        <is>
          <t>ОБЩЕСТВО С ОГРАНИЧЕННОЙ ОТВЕТСТВЕННОСТЬЮ "АМУР ЗОЛОТО"</t>
        </is>
      </c>
      <c r="E240" s="6" t="inlineStr">
        <is>
          <t>2708001686</t>
        </is>
      </c>
      <c r="F240" s="6" t="inlineStr">
        <is>
          <t>ООО "Амур Золото"</t>
        </is>
      </c>
      <c r="G240" s="6" t="inlineStr">
        <is>
          <t>2708001686</t>
        </is>
      </c>
      <c r="H240" s="6" t="inlineStr">
        <is>
          <t>37117426; 37117427; 37117428; 43299763; 43299764; 43299765; 216771204; 216771205; 216771206</t>
        </is>
      </c>
      <c r="I240" s="6" t="inlineStr">
        <is>
          <t>2978778; 3474285; 15571832</t>
        </is>
      </c>
      <c r="J240" s="6" t="inlineStr">
        <is>
          <t>ОТ № ЮГОК ЭУ 23-01; ОТ № ЮГОК ПГУ 24-05; ЮГОК ПГУ 26-52</t>
        </is>
      </c>
      <c r="K240" s="6" t="inlineStr">
        <is>
          <t>23.11.2023; 05.03.2024; 18.08.2026</t>
        </is>
      </c>
      <c r="L240" s="6" t="inlineStr">
        <is>
          <t>Успешно</t>
        </is>
      </c>
      <c r="M240" s="6" t="inlineStr">
        <is>
          <t>Пользовательский интерфейс</t>
        </is>
      </c>
      <c r="N240" s="7" t="n">
        <v>9</v>
      </c>
      <c r="O240" s="7" t="n">
        <v>3</v>
      </c>
      <c r="P240" s="7" t="n"/>
      <c r="Q240" s="175" t="n">
        <v>3</v>
      </c>
      <c r="R240" s="7" t="n"/>
      <c r="S240" s="7" t="n"/>
      <c r="T240" s="7" t="n"/>
      <c r="U240" s="7" t="n"/>
      <c r="V240" s="7" t="n"/>
      <c r="W240" s="7" t="n"/>
      <c r="X240" s="7" t="n"/>
      <c r="Y240" s="7" t="n"/>
      <c r="Z240" s="7" t="n"/>
      <c r="AA240" s="7" t="n"/>
      <c r="AB240" s="175" t="n">
        <v>3</v>
      </c>
      <c r="AC240" s="175" t="n">
        <v>3</v>
      </c>
    </row>
    <row r="241">
      <c r="A241" s="6" t="inlineStr">
        <is>
          <t>работник 370</t>
        </is>
      </c>
      <c r="B241" s="6" t="inlineStr">
        <is>
          <t>Водитель погрузчика | Машинист бульдозера</t>
        </is>
      </c>
      <c r="C241" s="6" t="inlineStr">
        <is>
          <t>Водитель погрузчика | Машинист бульдозера</t>
        </is>
      </c>
      <c r="D241" s="6" t="inlineStr">
        <is>
          <t>ОБЩЕСТВО С ОГРАНИЧЕННОЙ ОТВЕТСТВЕННОСТЬЮ "АМУР ЗОЛОТО"</t>
        </is>
      </c>
      <c r="E241" s="6" t="inlineStr">
        <is>
          <t>2708001686</t>
        </is>
      </c>
      <c r="F241" s="6" t="inlineStr">
        <is>
          <t>ООО "Амур Золото"</t>
        </is>
      </c>
      <c r="G241" s="6" t="inlineStr">
        <is>
          <t>2708001686</t>
        </is>
      </c>
      <c r="H241" s="6" t="inlineStr">
        <is>
          <t>68090117; 68090118; 68090119; 222717186; 222717187; 222717188</t>
        </is>
      </c>
      <c r="I241" s="6" t="inlineStr">
        <is>
          <t>5245589; 15953442</t>
        </is>
      </c>
      <c r="J241" s="6" t="inlineStr">
        <is>
          <t>ОТ № ЮГОК АТЦ 24-06; ЮГОК АТЦ 26-19</t>
        </is>
      </c>
      <c r="K241" s="6" t="inlineStr">
        <is>
          <t>18.07.2024; 18.08.2026</t>
        </is>
      </c>
      <c r="L241" s="6" t="inlineStr">
        <is>
          <t>Успешно</t>
        </is>
      </c>
      <c r="M241" s="6" t="inlineStr">
        <is>
          <t>Пользовательский интерфейс</t>
        </is>
      </c>
      <c r="N241" s="7" t="n">
        <v>6</v>
      </c>
      <c r="O241" s="7" t="n">
        <v>3</v>
      </c>
      <c r="P241" s="7" t="n"/>
      <c r="Q241" s="175" t="n">
        <v>2</v>
      </c>
      <c r="R241" s="7" t="n"/>
      <c r="S241" s="7" t="n"/>
      <c r="T241" s="7" t="n"/>
      <c r="U241" s="7" t="n"/>
      <c r="V241" s="7" t="n"/>
      <c r="W241" s="7" t="n"/>
      <c r="X241" s="7" t="n"/>
      <c r="Y241" s="7" t="n"/>
      <c r="Z241" s="7" t="n"/>
      <c r="AA241" s="7" t="n"/>
      <c r="AB241" s="175" t="n">
        <v>2</v>
      </c>
      <c r="AC241" s="175" t="n">
        <v>2</v>
      </c>
    </row>
    <row r="242">
      <c r="A242" s="6" t="inlineStr">
        <is>
          <t>работник 297</t>
        </is>
      </c>
      <c r="B242" s="6" t="inlineStr">
        <is>
          <t>Машинист крана автомобильного</t>
        </is>
      </c>
      <c r="C242" s="6" t="inlineStr">
        <is>
          <t>Машинист крана автомобильного</t>
        </is>
      </c>
      <c r="D242" s="6" t="inlineStr">
        <is>
          <t>ОБЩЕСТВО С ОГРАНИЧЕННОЙ ОТВЕТСТВЕННОСТЬЮ "АМУР ЗОЛОТО"</t>
        </is>
      </c>
      <c r="E242" s="6" t="inlineStr">
        <is>
          <t>2708001686</t>
        </is>
      </c>
      <c r="F242" s="6" t="inlineStr">
        <is>
          <t>ООО "Амур Золото"</t>
        </is>
      </c>
      <c r="G242" s="6" t="inlineStr">
        <is>
          <t>2708001686</t>
        </is>
      </c>
      <c r="H242" s="6" t="inlineStr">
        <is>
          <t>42252446; 42252447; 42252448; 222717236; 222717237; 222717238</t>
        </is>
      </c>
      <c r="I242" s="6" t="inlineStr">
        <is>
          <t>3404353; 15953442</t>
        </is>
      </c>
      <c r="J242" s="6" t="inlineStr">
        <is>
          <t>ОТ № ЮГОК АТЦ 24-04; ЮГОК АТЦ 26-26</t>
        </is>
      </c>
      <c r="K242" s="6" t="inlineStr">
        <is>
          <t>23.02.2024; 19.08.2026</t>
        </is>
      </c>
      <c r="L242" s="6" t="inlineStr">
        <is>
          <t>Успешно</t>
        </is>
      </c>
      <c r="M242" s="6" t="inlineStr">
        <is>
          <t>Пользовательский интерфейс</t>
        </is>
      </c>
      <c r="N242" s="7" t="n">
        <v>6</v>
      </c>
      <c r="O242" s="7" t="n">
        <v>3</v>
      </c>
      <c r="P242" s="7" t="n"/>
      <c r="Q242" s="175" t="n">
        <v>2</v>
      </c>
      <c r="R242" s="7" t="n"/>
      <c r="S242" s="7" t="n"/>
      <c r="T242" s="7" t="n"/>
      <c r="U242" s="7" t="n"/>
      <c r="V242" s="7" t="n"/>
      <c r="W242" s="7" t="n"/>
      <c r="X242" s="7" t="n"/>
      <c r="Y242" s="7" t="n"/>
      <c r="Z242" s="7" t="n"/>
      <c r="AA242" s="7" t="n"/>
      <c r="AB242" s="175" t="n">
        <v>2</v>
      </c>
      <c r="AC242" s="175" t="n">
        <v>2</v>
      </c>
    </row>
    <row r="243">
      <c r="A243" s="6" t="inlineStr">
        <is>
          <t>работник 518</t>
        </is>
      </c>
      <c r="B243" s="6" t="inlineStr">
        <is>
          <t>Водитель автомобиля (категория Д)</t>
        </is>
      </c>
      <c r="C243" s="6" t="inlineStr">
        <is>
          <t>Водитель автомобиля (категория D)</t>
        </is>
      </c>
      <c r="D243" s="6" t="inlineStr">
        <is>
          <t>ОБЩЕСТВО С ОГРАНИЧЕННОЙ ОТВЕТСТВЕННОСТЬЮ "АМУР ЗОЛОТО"</t>
        </is>
      </c>
      <c r="E243" s="6" t="inlineStr">
        <is>
          <t>2708001686</t>
        </is>
      </c>
      <c r="F243" s="6" t="inlineStr">
        <is>
          <t>ООО "Амур Золото"</t>
        </is>
      </c>
      <c r="G243" s="6" t="inlineStr">
        <is>
          <t>2708001686</t>
        </is>
      </c>
      <c r="H243" s="6" t="inlineStr">
        <is>
          <t>110446263; 110446264; 222717160; 222717161; 222717162</t>
        </is>
      </c>
      <c r="I243" s="6" t="inlineStr">
        <is>
          <t>8371772; 15953442</t>
        </is>
      </c>
      <c r="J243" s="6" t="inlineStr">
        <is>
          <t>ОТ № ЮГОК АТЦ 25-05; ЮГОК АТЦ 26-16</t>
        </is>
      </c>
      <c r="K243" s="6" t="inlineStr">
        <is>
          <t>23.02.2025; 17.08.2026</t>
        </is>
      </c>
      <c r="L243" s="6" t="inlineStr">
        <is>
          <t>Успешно</t>
        </is>
      </c>
      <c r="M243" s="6" t="inlineStr">
        <is>
          <t>Пользовательский интерфейс</t>
        </is>
      </c>
      <c r="N243" s="7" t="n">
        <v>5</v>
      </c>
      <c r="O243" s="7" t="n">
        <v>2</v>
      </c>
      <c r="P243" s="7" t="n"/>
      <c r="Q243" s="175" t="n">
        <v>2</v>
      </c>
      <c r="R243" s="7" t="n"/>
      <c r="S243" s="7" t="n"/>
      <c r="T243" s="7" t="n"/>
      <c r="U243" s="7" t="n"/>
      <c r="V243" s="7" t="n"/>
      <c r="W243" s="7" t="n"/>
      <c r="X243" s="7" t="n"/>
      <c r="Y243" s="7" t="n"/>
      <c r="Z243" s="7" t="n"/>
      <c r="AA243" s="7" t="n"/>
      <c r="AB243" s="7" t="n">
        <v>1</v>
      </c>
      <c r="AC243" s="175" t="n">
        <v>2</v>
      </c>
    </row>
    <row r="244">
      <c r="A244" s="6" t="inlineStr">
        <is>
          <t>работник 371</t>
        </is>
      </c>
      <c r="B244" s="6" t="inlineStr">
        <is>
          <t>Водитель автомобиля (занятый на транспортировании горной массы в технологическом процессе)</t>
        </is>
      </c>
      <c r="C244" s="6" t="inlineStr">
        <is>
          <t>Водитель автомобиля (занятый на транспортировании горной массы в технологическом процессе)</t>
        </is>
      </c>
      <c r="D244" s="6" t="inlineStr">
        <is>
          <t>ОБЩЕСТВО С ОГРАНИЧЕННОЙ ОТВЕТСТВЕННОСТЬЮ "АМУР ЗОЛОТО"</t>
        </is>
      </c>
      <c r="E244" s="6" t="inlineStr">
        <is>
          <t>2708001686</t>
        </is>
      </c>
      <c r="F244" s="6" t="inlineStr">
        <is>
          <t>ООО "Амур Золото"</t>
        </is>
      </c>
      <c r="G244" s="6" t="inlineStr">
        <is>
          <t>2708001686</t>
        </is>
      </c>
      <c r="H244" s="6" t="inlineStr">
        <is>
          <t>68090120; 68090121; 68090122; 222717141; 222717142; 222717143</t>
        </is>
      </c>
      <c r="I244" s="6" t="inlineStr">
        <is>
          <t>5245589; 15953442</t>
        </is>
      </c>
      <c r="J244" s="6" t="inlineStr">
        <is>
          <t>ОТ № ЮГОК АТЦ 24-06; ЮГОК АТЦ 26-15</t>
        </is>
      </c>
      <c r="K244" s="6" t="inlineStr">
        <is>
          <t>18.07.2024; 17.08.2026</t>
        </is>
      </c>
      <c r="L244" s="6" t="inlineStr">
        <is>
          <t>Успешно</t>
        </is>
      </c>
      <c r="M244" s="6" t="inlineStr">
        <is>
          <t>Пользовательский интерфейс</t>
        </is>
      </c>
      <c r="N244" s="7" t="n">
        <v>6</v>
      </c>
      <c r="O244" s="7" t="n">
        <v>3</v>
      </c>
      <c r="P244" s="7" t="n"/>
      <c r="Q244" s="175" t="n">
        <v>2</v>
      </c>
      <c r="R244" s="7" t="n"/>
      <c r="S244" s="7" t="n"/>
      <c r="T244" s="7" t="n"/>
      <c r="U244" s="7" t="n"/>
      <c r="V244" s="7" t="n"/>
      <c r="W244" s="7" t="n"/>
      <c r="X244" s="7" t="n"/>
      <c r="Y244" s="7" t="n"/>
      <c r="Z244" s="7" t="n"/>
      <c r="AA244" s="7" t="n"/>
      <c r="AB244" s="175" t="n">
        <v>2</v>
      </c>
      <c r="AC244" s="175" t="n">
        <v>2</v>
      </c>
    </row>
    <row r="245">
      <c r="A245" s="6" t="inlineStr">
        <is>
          <t>работник 334</t>
        </is>
      </c>
      <c r="B245" s="6" t="inlineStr">
        <is>
          <t>Электромонтер по ремонту и обслуживанию электрооборудования</t>
        </is>
      </c>
      <c r="C245" s="6" t="inlineStr">
        <is>
          <t>Электромонтер по ремонту и обслуживанию электрооборудования</t>
        </is>
      </c>
      <c r="D245" s="6" t="inlineStr">
        <is>
          <t>ОБЩЕСТВО С ОГРАНИЧЕННОЙ ОТВЕТСТВЕННОСТЬЮ "АМУР ЗОЛОТО"</t>
        </is>
      </c>
      <c r="E245" s="6" t="inlineStr">
        <is>
          <t>2708001686</t>
        </is>
      </c>
      <c r="F245" s="6" t="inlineStr">
        <is>
          <t>ООО "Амур Золото"</t>
        </is>
      </c>
      <c r="G245" s="6" t="inlineStr">
        <is>
          <t>2708001686</t>
        </is>
      </c>
      <c r="H245" s="6" t="inlineStr">
        <is>
          <t>47664835; 47664836; 47664837; 85344340; 85344341</t>
        </is>
      </c>
      <c r="I245" s="6" t="inlineStr">
        <is>
          <t>3785399; 6554154</t>
        </is>
      </c>
      <c r="J245" s="6" t="inlineStr">
        <is>
          <t>ОТ № ЮГОК ЭУ 23-08; ОТ № ЮГОК ЭУ 24-24</t>
        </is>
      </c>
      <c r="K245" s="6" t="inlineStr">
        <is>
          <t>15.12.2023; 11.10.2024</t>
        </is>
      </c>
      <c r="L245" s="6" t="inlineStr">
        <is>
          <t>Успешно</t>
        </is>
      </c>
      <c r="M245" s="6" t="inlineStr">
        <is>
          <t>Пользовательский интерфейс</t>
        </is>
      </c>
      <c r="N245" s="7" t="n">
        <v>5</v>
      </c>
      <c r="O245" s="7" t="n">
        <v>2</v>
      </c>
      <c r="P245" s="7" t="n"/>
      <c r="Q245" s="175" t="n">
        <v>2</v>
      </c>
      <c r="R245" s="7" t="n"/>
      <c r="S245" s="7" t="n"/>
      <c r="T245" s="7" t="n"/>
      <c r="U245" s="7" t="n"/>
      <c r="V245" s="7" t="n"/>
      <c r="W245" s="7" t="n"/>
      <c r="X245" s="7" t="n"/>
      <c r="Y245" s="7" t="n"/>
      <c r="Z245" s="7" t="n"/>
      <c r="AA245" s="7" t="n"/>
      <c r="AB245" s="7" t="n">
        <v>1</v>
      </c>
      <c r="AC245" s="175" t="n">
        <v>2</v>
      </c>
    </row>
    <row r="246">
      <c r="A246" s="6" t="inlineStr">
        <is>
          <t>работник 766</t>
        </is>
      </c>
      <c r="B246" s="6" t="inlineStr">
        <is>
          <t>Машинист погрузочно-доставочной машины (занятый на транспортировании горной массы в технологическом процессе)</t>
        </is>
      </c>
      <c r="C246" s="6" t="inlineStr">
        <is>
          <t>Машинист погрузочно-доставочной машины (занятый на транспортировании горной массы в технологическом процессе)</t>
        </is>
      </c>
      <c r="D246" s="6" t="inlineStr">
        <is>
          <t>ОБЩЕСТВО С ОГРАНИЧЕННОЙ ОТВЕТСТВЕННОСТЬЮ "АМУР ЗОЛОТО"</t>
        </is>
      </c>
      <c r="E246" s="6" t="inlineStr">
        <is>
          <t>2708001686</t>
        </is>
      </c>
      <c r="F246" s="6" t="inlineStr">
        <is>
          <t>ООО "Амур Золото"</t>
        </is>
      </c>
      <c r="G246" s="6" t="inlineStr">
        <is>
          <t>2708001686</t>
        </is>
      </c>
      <c r="H246" s="6" t="inlineStr">
        <is>
          <t>200897075; 200897076; 200897077; 214421356; 214421357; 214421358</t>
        </is>
      </c>
      <c r="I246" s="6" t="inlineStr">
        <is>
          <t>14513218; 15411209</t>
        </is>
      </c>
      <c r="J246" s="6" t="inlineStr">
        <is>
          <t>ЮГОК ПГУ 26-01; ЮГОК ПГУ 26-27</t>
        </is>
      </c>
      <c r="K246" s="6" t="inlineStr">
        <is>
          <t>04.06.2026; 23.07.2026</t>
        </is>
      </c>
      <c r="L246" s="6" t="inlineStr">
        <is>
          <t>Успешно</t>
        </is>
      </c>
      <c r="M246" s="6" t="inlineStr">
        <is>
          <t>Пользовательский интерфейс</t>
        </is>
      </c>
      <c r="N246" s="7" t="n">
        <v>6</v>
      </c>
      <c r="O246" s="7" t="n">
        <v>3</v>
      </c>
      <c r="P246" s="7" t="n"/>
      <c r="Q246" s="175" t="n">
        <v>2</v>
      </c>
      <c r="R246" s="7" t="n"/>
      <c r="S246" s="7" t="n"/>
      <c r="T246" s="7" t="n"/>
      <c r="U246" s="7" t="n"/>
      <c r="V246" s="7" t="n"/>
      <c r="W246" s="7" t="n"/>
      <c r="X246" s="7" t="n"/>
      <c r="Y246" s="7" t="n"/>
      <c r="Z246" s="7" t="n"/>
      <c r="AA246" s="7" t="n"/>
      <c r="AB246" s="175" t="n">
        <v>2</v>
      </c>
      <c r="AC246" s="175" t="n">
        <v>2</v>
      </c>
    </row>
    <row r="247">
      <c r="A247" s="6" t="inlineStr">
        <is>
          <t>работник 103</t>
        </is>
      </c>
      <c r="B247" s="6" t="inlineStr">
        <is>
          <t>Повар</t>
        </is>
      </c>
      <c r="C247" s="6" t="inlineStr">
        <is>
          <t>Повар</t>
        </is>
      </c>
      <c r="D247" s="6" t="inlineStr">
        <is>
          <t>ОБЩЕСТВО С ОГРАНИЧЕННОЙ ОТВЕТСТВЕННОСТЬЮ "АМУР ЗОЛОТО"</t>
        </is>
      </c>
      <c r="E247" s="6" t="inlineStr">
        <is>
          <t>2708001686</t>
        </is>
      </c>
      <c r="F247" s="6" t="inlineStr">
        <is>
          <t>ООО "Амур Золото"</t>
        </is>
      </c>
      <c r="G247" s="6" t="inlineStr">
        <is>
          <t>2708001686</t>
        </is>
      </c>
      <c r="H247" s="6" t="inlineStr">
        <is>
          <t>37117574; 37117575; 37117576; 144713865; 144713866</t>
        </is>
      </c>
      <c r="I247" s="6" t="inlineStr">
        <is>
          <t>2978778; 10845617</t>
        </is>
      </c>
      <c r="J247" s="6" t="inlineStr">
        <is>
          <t>ОТ № ЮГОК Столовая 23-01; ОТ № ЮГОК УОП 25-04</t>
        </is>
      </c>
      <c r="K247" s="6" t="inlineStr">
        <is>
          <t>09.12.2023; 11.05.2025</t>
        </is>
      </c>
      <c r="L247" s="6" t="inlineStr">
        <is>
          <t>Успешно</t>
        </is>
      </c>
      <c r="M247" s="6" t="inlineStr">
        <is>
          <t>Пользовательский интерфейс</t>
        </is>
      </c>
      <c r="N247" s="7" t="n">
        <v>5</v>
      </c>
      <c r="O247" s="7" t="n">
        <v>2</v>
      </c>
      <c r="P247" s="7" t="n"/>
      <c r="Q247" s="175" t="n">
        <v>2</v>
      </c>
      <c r="R247" s="7" t="n"/>
      <c r="S247" s="7" t="n"/>
      <c r="T247" s="7" t="n"/>
      <c r="U247" s="7" t="n"/>
      <c r="V247" s="7" t="n"/>
      <c r="W247" s="7" t="n"/>
      <c r="X247" s="7" t="n"/>
      <c r="Y247" s="7" t="n"/>
      <c r="Z247" s="7" t="n"/>
      <c r="AA247" s="7" t="n"/>
      <c r="AB247" s="7" t="n">
        <v>1</v>
      </c>
      <c r="AC247" s="175" t="n">
        <v>2</v>
      </c>
    </row>
    <row r="248">
      <c r="A248" s="6" t="inlineStr">
        <is>
          <t>работник 823</t>
        </is>
      </c>
      <c r="B248" s="6" t="inlineStr">
        <is>
          <t>Слесарь по ремонту автомобилей и тяжелой техники | Слесарь по ремонту автомобилей</t>
        </is>
      </c>
      <c r="C248" s="6" t="inlineStr">
        <is>
          <t>Слесарь по ремонту автомобилей и тяжелой техники | Слесарь по ремонту автомобилей</t>
        </is>
      </c>
      <c r="D248" s="6" t="inlineStr">
        <is>
          <t>ОБЩЕСТВО С ОГРАНИЧЕННОЙ ОТВЕТСТВЕННОСТЬЮ "АМУР ЗОЛОТО"</t>
        </is>
      </c>
      <c r="E248" s="6" t="inlineStr">
        <is>
          <t>2708001686</t>
        </is>
      </c>
      <c r="F248" s="6" t="inlineStr">
        <is>
          <t>ООО "Амур Золото"</t>
        </is>
      </c>
      <c r="G248" s="6" t="inlineStr">
        <is>
          <t>2708001686</t>
        </is>
      </c>
      <c r="H248" s="6" t="inlineStr">
        <is>
          <t>211159406; 211159407; 211159408; 211159409; 222717140; 222717222; 222717223</t>
        </is>
      </c>
      <c r="I248" s="6" t="inlineStr">
        <is>
          <t>15197910; 15953442</t>
        </is>
      </c>
      <c r="J248" s="6" t="inlineStr">
        <is>
          <t>ЮГОК АТЦ 26-05; ЮГОК АТЦ 26-21</t>
        </is>
      </c>
      <c r="K248" s="6" t="inlineStr">
        <is>
          <t>30.06.2026; 18.08.2026</t>
        </is>
      </c>
      <c r="L248" s="6" t="inlineStr">
        <is>
          <t>Успешно</t>
        </is>
      </c>
      <c r="M248" s="6" t="inlineStr">
        <is>
          <t>Пользовательский интерфейс</t>
        </is>
      </c>
      <c r="N248" s="7" t="n">
        <v>7</v>
      </c>
      <c r="O248" s="7" t="n">
        <v>3</v>
      </c>
      <c r="P248" s="7" t="n"/>
      <c r="Q248" s="175" t="n">
        <v>2</v>
      </c>
      <c r="R248" s="7" t="n"/>
      <c r="S248" s="7" t="n">
        <v>1</v>
      </c>
      <c r="T248" s="7" t="n"/>
      <c r="U248" s="7" t="n"/>
      <c r="V248" s="7" t="n"/>
      <c r="W248" s="7" t="n"/>
      <c r="X248" s="7" t="n"/>
      <c r="Y248" s="7" t="n"/>
      <c r="Z248" s="7" t="n"/>
      <c r="AA248" s="7" t="n"/>
      <c r="AB248" s="175" t="n">
        <v>2</v>
      </c>
      <c r="AC248" s="175" t="n">
        <v>2</v>
      </c>
    </row>
    <row r="249">
      <c r="A249" s="6" t="inlineStr">
        <is>
          <t>работник 122</t>
        </is>
      </c>
      <c r="B249" s="6" t="inlineStr">
        <is>
          <t>Дробильщик</t>
        </is>
      </c>
      <c r="C249" s="6" t="inlineStr">
        <is>
          <t>Дробильщик | Дробильщики</t>
        </is>
      </c>
      <c r="D249" s="6" t="inlineStr">
        <is>
          <t>ОБЩЕСТВО С ОГРАНИЧЕННОЙ ОТВЕТСТВЕННОСТЬЮ "АМУР ЗОЛОТО"</t>
        </is>
      </c>
      <c r="E249" s="6" t="inlineStr">
        <is>
          <t>2708001686</t>
        </is>
      </c>
      <c r="F249" s="6" t="inlineStr">
        <is>
          <t>ООО "Амур Золото"</t>
        </is>
      </c>
      <c r="G249" s="6" t="inlineStr">
        <is>
          <t>2708001686</t>
        </is>
      </c>
      <c r="H249" s="6" t="inlineStr">
        <is>
          <t>37117631; 37117632; 37117633; 223283009; 223283010; 223283011</t>
        </is>
      </c>
      <c r="I249" s="6" t="inlineStr">
        <is>
          <t>2978778; 15995643</t>
        </is>
      </c>
      <c r="J249" s="6" t="inlineStr">
        <is>
          <t>ОТ ЮГОК ЗИОФ 23-04; ЮГОК ЗИОФ 26-51</t>
        </is>
      </c>
      <c r="K249" s="6" t="inlineStr">
        <is>
          <t>11.12.2023; 26.08.2026</t>
        </is>
      </c>
      <c r="L249" s="6" t="inlineStr">
        <is>
          <t>Успешно</t>
        </is>
      </c>
      <c r="M249" s="6" t="inlineStr">
        <is>
          <t>Пользовательский интерфейс</t>
        </is>
      </c>
      <c r="N249" s="7" t="n">
        <v>6</v>
      </c>
      <c r="O249" s="7" t="n">
        <v>3</v>
      </c>
      <c r="P249" s="7" t="n"/>
      <c r="Q249" s="175" t="n">
        <v>2</v>
      </c>
      <c r="R249" s="7" t="n"/>
      <c r="S249" s="7" t="n"/>
      <c r="T249" s="7" t="n"/>
      <c r="U249" s="7" t="n"/>
      <c r="V249" s="7" t="n"/>
      <c r="W249" s="7" t="n"/>
      <c r="X249" s="7" t="n"/>
      <c r="Y249" s="7" t="n"/>
      <c r="Z249" s="7" t="n"/>
      <c r="AA249" s="7" t="n"/>
      <c r="AB249" s="175" t="n">
        <v>2</v>
      </c>
      <c r="AC249" s="175" t="n">
        <v>2</v>
      </c>
    </row>
    <row r="250">
      <c r="A250" s="6" t="inlineStr">
        <is>
          <t>работник 24</t>
        </is>
      </c>
      <c r="B250" s="6" t="inlineStr">
        <is>
          <t>Слесарь-ремонтник | Слесарь-ремонтник (по ремонту обогатительного оборудования)</t>
        </is>
      </c>
      <c r="C250" s="6" t="inlineStr">
        <is>
          <t>Слесарь-ремонтник | Слесарь-ремонтник ( по ремонту обогатительного оборудования) | Слесарь-ремонтник (по ремонту обогатительного оборудования)</t>
        </is>
      </c>
      <c r="D250" s="6" t="inlineStr">
        <is>
          <t>ОБЩЕСТВО С ОГРАНИЧЕННОЙ ОТВЕТСТВЕННОСТЬЮ "АМУР ЗОЛОТО"</t>
        </is>
      </c>
      <c r="E250" s="6" t="inlineStr">
        <is>
          <t>2708001686</t>
        </is>
      </c>
      <c r="F250" s="6" t="inlineStr">
        <is>
          <t>ООО "Амур Золото"</t>
        </is>
      </c>
      <c r="G250" s="6" t="inlineStr">
        <is>
          <t>2708001686</t>
        </is>
      </c>
      <c r="H250" s="6" t="inlineStr">
        <is>
          <t>37117284; 37117285; 37117286; 37117287; 37117288; 37117289; 90580096; 96539070; 96539071; 96539072; 96539073; 96539074; 96539075; 200897042; 200897043; 200897044; 200897045; 214421312; 214421313; 214421315</t>
        </is>
      </c>
      <c r="I250" s="6" t="inlineStr">
        <is>
          <t>2978778; 6934388; 7135797; 14513218; 15411209</t>
        </is>
      </c>
      <c r="J250" s="6" t="inlineStr">
        <is>
          <t>ОТ № ЮГОК ЗИОФ 23-02; ОТ № ЮГОК ЗИОФ 24-38; ОТ № ЮГОК ЗИОФ 24-40; ЮГОК ЗИОФ 26-01; ЮГОК ЗИОФ 26-38</t>
        </is>
      </c>
      <c r="K250" s="6" t="inlineStr">
        <is>
          <t>24.11.2023; 25.11.2024; 10.12.2024; 05.06.2026; 29.07.2026</t>
        </is>
      </c>
      <c r="L250" s="6" t="inlineStr">
        <is>
          <t>Успешно</t>
        </is>
      </c>
      <c r="M250" s="6" t="inlineStr">
        <is>
          <t>Пользовательский интерфейс</t>
        </is>
      </c>
      <c r="N250" s="7" t="n">
        <v>20</v>
      </c>
      <c r="O250" s="7" t="n">
        <v>8</v>
      </c>
      <c r="P250" s="7" t="n"/>
      <c r="Q250" s="175" t="n">
        <v>2</v>
      </c>
      <c r="R250" s="175" t="n">
        <v>3</v>
      </c>
      <c r="S250" s="175" t="n">
        <v>3</v>
      </c>
      <c r="T250" s="175" t="n">
        <v>3</v>
      </c>
      <c r="U250" s="175" t="n">
        <v>2</v>
      </c>
      <c r="V250" s="175" t="n">
        <v>2</v>
      </c>
      <c r="W250" s="175" t="n">
        <v>2</v>
      </c>
      <c r="X250" s="7" t="n"/>
      <c r="Y250" s="7" t="n"/>
      <c r="Z250" s="7" t="n"/>
      <c r="AA250" s="7" t="n"/>
      <c r="AB250" s="7" t="n">
        <v>1</v>
      </c>
      <c r="AC250" s="175" t="n">
        <v>2</v>
      </c>
    </row>
    <row r="251">
      <c r="A251" s="6" t="inlineStr">
        <is>
          <t>работник 183</t>
        </is>
      </c>
      <c r="B251" s="6" t="inlineStr">
        <is>
          <t>Слесарь-ремонтник (по ремонту самоходной техники) | Машинист экскаватора</t>
        </is>
      </c>
      <c r="C251" s="6" t="inlineStr">
        <is>
          <t>Слесарь по ремонту самоходной техники | Машинист экскаватора</t>
        </is>
      </c>
      <c r="D251" s="6" t="inlineStr">
        <is>
          <t>ОБЩЕСТВО С ОГРАНИЧЕННОЙ ОТВЕТСТВЕННОСТЬЮ "АМУР ЗОЛОТО"</t>
        </is>
      </c>
      <c r="E251" s="6" t="inlineStr">
        <is>
          <t>2708001686</t>
        </is>
      </c>
      <c r="F251" s="6" t="inlineStr">
        <is>
          <t>ООО "Амур Золото"</t>
        </is>
      </c>
      <c r="G251" s="6" t="inlineStr">
        <is>
          <t>2708001686</t>
        </is>
      </c>
      <c r="H251" s="6" t="inlineStr">
        <is>
          <t>40476935; 40476936; 40476937; 222717176; 222717177; 222717178</t>
        </is>
      </c>
      <c r="I251" s="6" t="inlineStr">
        <is>
          <t>3264049; 15953442</t>
        </is>
      </c>
      <c r="J251" s="6" t="inlineStr">
        <is>
          <t>ОТ № ЮГОК ПГР 24-02; ЮГОК АТЦ 26-17</t>
        </is>
      </c>
      <c r="K251" s="6" t="inlineStr">
        <is>
          <t>06.02.2024; 17.08.2026</t>
        </is>
      </c>
      <c r="L251" s="6" t="inlineStr">
        <is>
          <t>Успешно</t>
        </is>
      </c>
      <c r="M251" s="6" t="inlineStr">
        <is>
          <t>Пользовательский интерфейс</t>
        </is>
      </c>
      <c r="N251" s="7" t="n">
        <v>6</v>
      </c>
      <c r="O251" s="7" t="n">
        <v>3</v>
      </c>
      <c r="P251" s="7" t="n"/>
      <c r="Q251" s="175" t="n">
        <v>2</v>
      </c>
      <c r="R251" s="7" t="n"/>
      <c r="S251" s="7" t="n"/>
      <c r="T251" s="7" t="n"/>
      <c r="U251" s="7" t="n"/>
      <c r="V251" s="7" t="n"/>
      <c r="W251" s="7" t="n"/>
      <c r="X251" s="7" t="n"/>
      <c r="Y251" s="7" t="n"/>
      <c r="Z251" s="7" t="n"/>
      <c r="AA251" s="7" t="n"/>
      <c r="AB251" s="175" t="n">
        <v>2</v>
      </c>
      <c r="AC251" s="175" t="n">
        <v>2</v>
      </c>
    </row>
    <row r="252">
      <c r="A252" s="6" t="inlineStr">
        <is>
          <t>работник 656</t>
        </is>
      </c>
      <c r="B252" s="6" t="inlineStr">
        <is>
          <t>Слесарь по ремонту автомобилей и тяжелой техники | Слесарь по ремонту автомобилей</t>
        </is>
      </c>
      <c r="C252" s="6" t="inlineStr">
        <is>
          <t>Слесарь по ремонту автомобилей и тяжелой техники | Слесарь по ремонту автомобилей</t>
        </is>
      </c>
      <c r="D252" s="6" t="inlineStr">
        <is>
          <t>ОБЩЕСТВО С ОГРАНИЧЕННОЙ ОТВЕТСТВЕННОСТЬЮ "АМУР ЗОЛОТО"</t>
        </is>
      </c>
      <c r="E252" s="6" t="inlineStr">
        <is>
          <t>2708001686</t>
        </is>
      </c>
      <c r="F252" s="6" t="inlineStr">
        <is>
          <t>ООО "Амур Золото"</t>
        </is>
      </c>
      <c r="G252" s="6" t="inlineStr">
        <is>
          <t>2708001686</t>
        </is>
      </c>
      <c r="H252" s="6" t="inlineStr">
        <is>
          <t>180849731; 180849732; 222717224; 222717225; 222717226</t>
        </is>
      </c>
      <c r="I252" s="6" t="inlineStr">
        <is>
          <t>13246997; 15953442</t>
        </is>
      </c>
      <c r="J252" s="6" t="inlineStr">
        <is>
          <t>ОТ № ЮГОК АТЦ 26-02; ЮГОК АТЦ 26-21</t>
        </is>
      </c>
      <c r="K252" s="6" t="inlineStr">
        <is>
          <t>07.03.2026; 18.08.2026</t>
        </is>
      </c>
      <c r="L252" s="6" t="inlineStr">
        <is>
          <t>Успешно</t>
        </is>
      </c>
      <c r="M252" s="6" t="inlineStr">
        <is>
          <t>Пользовательский интерфейс</t>
        </is>
      </c>
      <c r="N252" s="7" t="n">
        <v>5</v>
      </c>
      <c r="O252" s="7" t="n">
        <v>2</v>
      </c>
      <c r="P252" s="7" t="n"/>
      <c r="Q252" s="175" t="n">
        <v>2</v>
      </c>
      <c r="R252" s="7" t="n"/>
      <c r="S252" s="7" t="n"/>
      <c r="T252" s="7" t="n"/>
      <c r="U252" s="7" t="n"/>
      <c r="V252" s="7" t="n"/>
      <c r="W252" s="7" t="n"/>
      <c r="X252" s="7" t="n"/>
      <c r="Y252" s="7" t="n"/>
      <c r="Z252" s="7" t="n"/>
      <c r="AA252" s="7" t="n"/>
      <c r="AB252" s="7" t="n">
        <v>1</v>
      </c>
      <c r="AC252" s="175" t="n">
        <v>2</v>
      </c>
    </row>
    <row r="253">
      <c r="A253" s="6" t="inlineStr">
        <is>
          <t>работник 72</t>
        </is>
      </c>
      <c r="B253" s="6" t="inlineStr">
        <is>
          <t>Подсобный рабочий | Бункеровщик</t>
        </is>
      </c>
      <c r="C253" s="6" t="inlineStr">
        <is>
          <t>Подсобный рабочий | Бункеровщик</t>
        </is>
      </c>
      <c r="D253" s="6" t="inlineStr">
        <is>
          <t>ОБЩЕСТВО С ОГРАНИЧЕННОЙ ОТВЕТСТВЕННОСТЬЮ "АМУР ЗОЛОТО"</t>
        </is>
      </c>
      <c r="E253" s="6" t="inlineStr">
        <is>
          <t>2708001686</t>
        </is>
      </c>
      <c r="F253" s="6" t="inlineStr">
        <is>
          <t>ООО "Амур Золото"</t>
        </is>
      </c>
      <c r="G253" s="6" t="inlineStr">
        <is>
          <t>2708001686</t>
        </is>
      </c>
      <c r="H253" s="6" t="inlineStr">
        <is>
          <t>37117447; 37117448; 37117449; 37117728; 37117729; 37117730</t>
        </is>
      </c>
      <c r="I253" s="6" t="inlineStr">
        <is>
          <t>2978778</t>
        </is>
      </c>
      <c r="J253" s="6" t="inlineStr">
        <is>
          <t>ОТ № ЮГОК УОП 23-01; ОТ № ЮГОК ЗИОФ 23-07</t>
        </is>
      </c>
      <c r="K253" s="6" t="inlineStr">
        <is>
          <t>30.11.2023; 25.12.2023</t>
        </is>
      </c>
      <c r="L253" s="6" t="inlineStr">
        <is>
          <t>Успешно</t>
        </is>
      </c>
      <c r="M253" s="6" t="inlineStr">
        <is>
          <t>Пользовательский интерфейс</t>
        </is>
      </c>
      <c r="N253" s="7" t="n">
        <v>6</v>
      </c>
      <c r="O253" s="7" t="n">
        <v>3</v>
      </c>
      <c r="P253" s="7" t="n"/>
      <c r="Q253" s="175" t="n">
        <v>2</v>
      </c>
      <c r="R253" s="7" t="n"/>
      <c r="S253" s="7" t="n"/>
      <c r="T253" s="7" t="n"/>
      <c r="U253" s="7" t="n"/>
      <c r="V253" s="7" t="n"/>
      <c r="W253" s="7" t="n"/>
      <c r="X253" s="7" t="n"/>
      <c r="Y253" s="7" t="n"/>
      <c r="Z253" s="7" t="n"/>
      <c r="AA253" s="7" t="n"/>
      <c r="AB253" s="175" t="n">
        <v>2</v>
      </c>
      <c r="AC253" s="175" t="n">
        <v>2</v>
      </c>
    </row>
    <row r="254">
      <c r="A254" s="6" t="inlineStr">
        <is>
          <t>работник 234</t>
        </is>
      </c>
      <c r="B254" s="6" t="inlineStr">
        <is>
          <t>Лаборант пробирного анализа</t>
        </is>
      </c>
      <c r="C254" s="6" t="inlineStr">
        <is>
          <t>Лаборант пробирного анализа</t>
        </is>
      </c>
      <c r="D254" s="6" t="inlineStr">
        <is>
          <t>ОБЩЕСТВО С ОГРАНИЧЕННОЙ ОТВЕТСТВЕННОСТЬЮ "АМУР ЗОЛОТО"</t>
        </is>
      </c>
      <c r="E254" s="6" t="inlineStr">
        <is>
          <t>2708001686</t>
        </is>
      </c>
      <c r="F254" s="6" t="inlineStr">
        <is>
          <t>ООО "Амур Золото"</t>
        </is>
      </c>
      <c r="G254" s="6" t="inlineStr">
        <is>
          <t>2708001686</t>
        </is>
      </c>
      <c r="H254" s="6" t="inlineStr">
        <is>
          <t>41372146; 41372147; 41372148; 110446295; 110446296</t>
        </is>
      </c>
      <c r="I254" s="6" t="inlineStr">
        <is>
          <t>3335316; 8371772</t>
        </is>
      </c>
      <c r="J254" s="6" t="inlineStr">
        <is>
          <t>ОТ № ЮГОК ПАЛ 24-02; ОТ № ЮГОК ПАЛ 25-02</t>
        </is>
      </c>
      <c r="K254" s="6" t="inlineStr">
        <is>
          <t>23.02.2024; 15.02.2025</t>
        </is>
      </c>
      <c r="L254" s="6" t="inlineStr">
        <is>
          <t>Успешно</t>
        </is>
      </c>
      <c r="M254" s="6" t="inlineStr">
        <is>
          <t>Пользовательский интерфейс</t>
        </is>
      </c>
      <c r="N254" s="7" t="n">
        <v>5</v>
      </c>
      <c r="O254" s="7" t="n">
        <v>2</v>
      </c>
      <c r="P254" s="7" t="n"/>
      <c r="Q254" s="175" t="n">
        <v>2</v>
      </c>
      <c r="R254" s="7" t="n"/>
      <c r="S254" s="7" t="n"/>
      <c r="T254" s="7" t="n"/>
      <c r="U254" s="7" t="n"/>
      <c r="V254" s="7" t="n"/>
      <c r="W254" s="7" t="n"/>
      <c r="X254" s="7" t="n"/>
      <c r="Y254" s="7" t="n"/>
      <c r="Z254" s="7" t="n"/>
      <c r="AA254" s="7" t="n"/>
      <c r="AB254" s="7" t="n">
        <v>1</v>
      </c>
      <c r="AC254" s="175" t="n">
        <v>2</v>
      </c>
    </row>
    <row r="255">
      <c r="A255" s="6" t="inlineStr">
        <is>
          <t>работник 199</t>
        </is>
      </c>
      <c r="B255" s="6" t="inlineStr">
        <is>
          <t>Машинист бульдозера</t>
        </is>
      </c>
      <c r="C255" s="6" t="inlineStr">
        <is>
          <t>Машинист бульдозера</t>
        </is>
      </c>
      <c r="D255" s="6" t="inlineStr">
        <is>
          <t>ОБЩЕСТВО С ОГРАНИЧЕННОЙ ОТВЕТСТВЕННОСТЬЮ "АМУР ЗОЛОТО"</t>
        </is>
      </c>
      <c r="E255" s="6" t="inlineStr">
        <is>
          <t>2708001686</t>
        </is>
      </c>
      <c r="F255" s="6" t="inlineStr">
        <is>
          <t>ООО "Амур Золото"</t>
        </is>
      </c>
      <c r="G255" s="6" t="inlineStr">
        <is>
          <t>2708001686</t>
        </is>
      </c>
      <c r="H255" s="6" t="inlineStr">
        <is>
          <t>41372035; 41372036; 41372037; 197822426; 197822427</t>
        </is>
      </c>
      <c r="I255" s="6" t="inlineStr">
        <is>
          <t>3335316; 14313485</t>
        </is>
      </c>
      <c r="J255" s="6" t="inlineStr">
        <is>
          <t>ОТ № ЮГОК АТЦ 23-03; ЮГОК ГРР 26-01</t>
        </is>
      </c>
      <c r="K255" s="6" t="inlineStr">
        <is>
          <t>03.12.2023; 23.05.2026</t>
        </is>
      </c>
      <c r="L255" s="6" t="inlineStr">
        <is>
          <t>Успешно</t>
        </is>
      </c>
      <c r="M255" s="6" t="inlineStr">
        <is>
          <t>Пользовательский интерфейс</t>
        </is>
      </c>
      <c r="N255" s="7" t="n">
        <v>5</v>
      </c>
      <c r="O255" s="7" t="n">
        <v>2</v>
      </c>
      <c r="P255" s="7" t="n"/>
      <c r="Q255" s="175" t="n">
        <v>2</v>
      </c>
      <c r="R255" s="7" t="n"/>
      <c r="S255" s="7" t="n"/>
      <c r="T255" s="7" t="n"/>
      <c r="U255" s="7" t="n"/>
      <c r="V255" s="7" t="n"/>
      <c r="W255" s="7" t="n"/>
      <c r="X255" s="7" t="n"/>
      <c r="Y255" s="7" t="n"/>
      <c r="Z255" s="7" t="n"/>
      <c r="AA255" s="7" t="n"/>
      <c r="AB255" s="7" t="n">
        <v>1</v>
      </c>
      <c r="AC255" s="175" t="n">
        <v>2</v>
      </c>
    </row>
    <row r="256">
      <c r="A256" s="6" t="inlineStr">
        <is>
          <t>работник 552</t>
        </is>
      </c>
      <c r="B256" s="6" t="inlineStr">
        <is>
          <t>Проходчик (с исполнением обязанностей взрывника)</t>
        </is>
      </c>
      <c r="C256" s="6" t="inlineStr">
        <is>
          <t>Проходчик (с исполнением обязанностей взрывника)</t>
        </is>
      </c>
      <c r="D256" s="6" t="inlineStr">
        <is>
          <t>ОБЩЕСТВО С ОГРАНИЧЕННОЙ ОТВЕТСТВЕННОСТЬЮ "АМУР ЗОЛОТО"</t>
        </is>
      </c>
      <c r="E256" s="6" t="inlineStr">
        <is>
          <t>2708001686</t>
        </is>
      </c>
      <c r="F256" s="6" t="inlineStr">
        <is>
          <t>ООО "Амур Золото"</t>
        </is>
      </c>
      <c r="G256" s="6" t="inlineStr">
        <is>
          <t>2708001686</t>
        </is>
      </c>
      <c r="H256" s="6" t="inlineStr">
        <is>
          <t>121097115; 121097116; 214421441; 214421442; 214421443</t>
        </is>
      </c>
      <c r="I256" s="6" t="inlineStr">
        <is>
          <t>9114030; 15411209</t>
        </is>
      </c>
      <c r="J256" s="6" t="inlineStr">
        <is>
          <t>ОТ № ЮГОК ПГУ 14-25; ЮГОК ПГУ 26-31</t>
        </is>
      </c>
      <c r="K256" s="6" t="inlineStr">
        <is>
          <t>19.04.2025; 22.07.2026</t>
        </is>
      </c>
      <c r="L256" s="6" t="inlineStr">
        <is>
          <t>Успешно</t>
        </is>
      </c>
      <c r="M256" s="6" t="inlineStr">
        <is>
          <t>Пользовательский интерфейс</t>
        </is>
      </c>
      <c r="N256" s="7" t="n">
        <v>5</v>
      </c>
      <c r="O256" s="7" t="n">
        <v>2</v>
      </c>
      <c r="P256" s="7" t="n"/>
      <c r="Q256" s="175" t="n">
        <v>2</v>
      </c>
      <c r="R256" s="7" t="n"/>
      <c r="S256" s="7" t="n"/>
      <c r="T256" s="7" t="n"/>
      <c r="U256" s="7" t="n"/>
      <c r="V256" s="7" t="n"/>
      <c r="W256" s="7" t="n"/>
      <c r="X256" s="7" t="n"/>
      <c r="Y256" s="7" t="n"/>
      <c r="Z256" s="7" t="n"/>
      <c r="AA256" s="7" t="n"/>
      <c r="AB256" s="7" t="n">
        <v>1</v>
      </c>
      <c r="AC256" s="175" t="n">
        <v>2</v>
      </c>
    </row>
    <row r="257">
      <c r="A257" s="6" t="inlineStr">
        <is>
          <t>работник 811</t>
        </is>
      </c>
      <c r="B257" s="6" t="inlineStr">
        <is>
          <t>Машинист конвейера</t>
        </is>
      </c>
      <c r="C257" s="6" t="inlineStr">
        <is>
          <t>Машинист конвейера</t>
        </is>
      </c>
      <c r="D257" s="6" t="inlineStr">
        <is>
          <t>ОБЩЕСТВО С ОГРАНИЧЕННОЙ ОТВЕТСТВЕННОСТЬЮ "АМУР ЗОЛОТО"</t>
        </is>
      </c>
      <c r="E257" s="6" t="inlineStr">
        <is>
          <t>2708001686</t>
        </is>
      </c>
      <c r="F257" s="6" t="inlineStr">
        <is>
          <t>ООО "Амур Золото"</t>
        </is>
      </c>
      <c r="G257" s="6" t="inlineStr">
        <is>
          <t>2708001686</t>
        </is>
      </c>
      <c r="H257" s="6" t="inlineStr">
        <is>
          <t>207616916; 207616917; 214421218; 214421232; 214421233</t>
        </is>
      </c>
      <c r="I257" s="6" t="inlineStr">
        <is>
          <t>14965340; 15411209</t>
        </is>
      </c>
      <c r="J257" s="6" t="inlineStr">
        <is>
          <t>ЮГОК ЗИОФ-15; ЮГОК ЗИОФ 26-30</t>
        </is>
      </c>
      <c r="K257" s="6" t="inlineStr">
        <is>
          <t>01.07.2026; 29.07.2026</t>
        </is>
      </c>
      <c r="L257" s="6" t="inlineStr">
        <is>
          <t>Успешно</t>
        </is>
      </c>
      <c r="M257" s="6" t="inlineStr">
        <is>
          <t>Пользовательский интерфейс</t>
        </is>
      </c>
      <c r="N257" s="7" t="n">
        <v>5</v>
      </c>
      <c r="O257" s="7" t="n">
        <v>2</v>
      </c>
      <c r="P257" s="7" t="n"/>
      <c r="Q257" s="175" t="n">
        <v>2</v>
      </c>
      <c r="R257" s="7" t="n"/>
      <c r="S257" s="7" t="n"/>
      <c r="T257" s="7" t="n"/>
      <c r="U257" s="7" t="n"/>
      <c r="V257" s="7" t="n"/>
      <c r="W257" s="7" t="n"/>
      <c r="X257" s="7" t="n"/>
      <c r="Y257" s="7" t="n"/>
      <c r="Z257" s="7" t="n"/>
      <c r="AA257" s="7" t="n"/>
      <c r="AB257" s="7" t="n">
        <v>1</v>
      </c>
      <c r="AC257" s="175" t="n">
        <v>2</v>
      </c>
    </row>
    <row r="258">
      <c r="A258" s="6" t="inlineStr">
        <is>
          <t>работник 535</t>
        </is>
      </c>
      <c r="B258" s="6" t="inlineStr">
        <is>
          <t>Водитель автомобиля (категория Д)</t>
        </is>
      </c>
      <c r="C258" s="6" t="inlineStr">
        <is>
          <t>Водитель автомобиля (категория D)</t>
        </is>
      </c>
      <c r="D258" s="6" t="inlineStr">
        <is>
          <t>ОБЩЕСТВО С ОГРАНИЧЕННОЙ ОТВЕТСТВЕННОСТЬЮ "АМУР ЗОЛОТО"</t>
        </is>
      </c>
      <c r="E258" s="6" t="inlineStr">
        <is>
          <t>2708001686</t>
        </is>
      </c>
      <c r="F258" s="6" t="inlineStr">
        <is>
          <t>ООО "Амур Золото"</t>
        </is>
      </c>
      <c r="G258" s="6" t="inlineStr">
        <is>
          <t>2708001686</t>
        </is>
      </c>
      <c r="H258" s="6" t="inlineStr">
        <is>
          <t>121097069; 121097070; 222717163; 222717164; 222717166</t>
        </is>
      </c>
      <c r="I258" s="6" t="inlineStr">
        <is>
          <t>9114030; 15953442</t>
        </is>
      </c>
      <c r="J258" s="6" t="inlineStr">
        <is>
          <t>ОТ № ЮГОК АТЦ 25-08; ЮГОК АТЦ 26-16; ЮГОК АТЦ 26-17</t>
        </is>
      </c>
      <c r="K258" s="6" t="inlineStr">
        <is>
          <t>18.03.2025; 17.08.2026</t>
        </is>
      </c>
      <c r="L258" s="6" t="inlineStr">
        <is>
          <t>Успешно</t>
        </is>
      </c>
      <c r="M258" s="6" t="inlineStr">
        <is>
          <t>Пользовательский интерфейс</t>
        </is>
      </c>
      <c r="N258" s="7" t="n">
        <v>5</v>
      </c>
      <c r="O258" s="7" t="n">
        <v>2</v>
      </c>
      <c r="P258" s="7" t="n"/>
      <c r="Q258" s="175" t="n">
        <v>2</v>
      </c>
      <c r="R258" s="7" t="n"/>
      <c r="S258" s="7" t="n"/>
      <c r="T258" s="7" t="n"/>
      <c r="U258" s="7" t="n"/>
      <c r="V258" s="7" t="n"/>
      <c r="W258" s="7" t="n"/>
      <c r="X258" s="7" t="n"/>
      <c r="Y258" s="7" t="n"/>
      <c r="Z258" s="7" t="n"/>
      <c r="AA258" s="7" t="n"/>
      <c r="AB258" s="7" t="n">
        <v>1</v>
      </c>
      <c r="AC258" s="175" t="n">
        <v>2</v>
      </c>
    </row>
    <row r="259">
      <c r="A259" s="6" t="inlineStr">
        <is>
          <t>работник 177</t>
        </is>
      </c>
      <c r="B259" s="6" t="inlineStr">
        <is>
          <t>Слесарь-ремонтник (по ремонту горно-шахтного оборудования) | Слесарь-сантехник</t>
        </is>
      </c>
      <c r="C259" s="6" t="inlineStr">
        <is>
          <t>Слесарь по ремонту горно-шахтного оборудования | Cлесарь-сантехник</t>
        </is>
      </c>
      <c r="D259" s="6" t="inlineStr">
        <is>
          <t>ОБЩЕСТВО С ОГРАНИЧЕННОЙ ОТВЕТСТВЕННОСТЬЮ "АМУР ЗОЛОТО"</t>
        </is>
      </c>
      <c r="E259" s="6" t="inlineStr">
        <is>
          <t>2708001686</t>
        </is>
      </c>
      <c r="F259" s="6" t="inlineStr">
        <is>
          <t>ООО "Амур Золото"</t>
        </is>
      </c>
      <c r="G259" s="6" t="inlineStr">
        <is>
          <t>2708001686</t>
        </is>
      </c>
      <c r="H259" s="6" t="inlineStr">
        <is>
          <t>37117830; 37117831; 37117832; 58069273; 58069274; 58069275</t>
        </is>
      </c>
      <c r="I259" s="6" t="inlineStr">
        <is>
          <t>2978778; 4506532</t>
        </is>
      </c>
      <c r="J259" s="6" t="inlineStr">
        <is>
          <t>ОТ № ЮГОК ПГУ 24-01; ОТ № ЮГОК ЭУ 24-18</t>
        </is>
      </c>
      <c r="K259" s="6" t="inlineStr">
        <is>
          <t>19.01.2024; 18.05.2024</t>
        </is>
      </c>
      <c r="L259" s="6" t="inlineStr">
        <is>
          <t>Успешно</t>
        </is>
      </c>
      <c r="M259" s="6" t="inlineStr">
        <is>
          <t>Пользовательский интерфейс</t>
        </is>
      </c>
      <c r="N259" s="7" t="n">
        <v>6</v>
      </c>
      <c r="O259" s="7" t="n">
        <v>3</v>
      </c>
      <c r="P259" s="7" t="n"/>
      <c r="Q259" s="175" t="n">
        <v>2</v>
      </c>
      <c r="R259" s="7" t="n"/>
      <c r="S259" s="7" t="n"/>
      <c r="T259" s="7" t="n"/>
      <c r="U259" s="7" t="n"/>
      <c r="V259" s="7" t="n"/>
      <c r="W259" s="7" t="n"/>
      <c r="X259" s="7" t="n"/>
      <c r="Y259" s="7" t="n"/>
      <c r="Z259" s="7" t="n"/>
      <c r="AA259" s="7" t="n"/>
      <c r="AB259" s="175" t="n">
        <v>2</v>
      </c>
      <c r="AC259" s="175" t="n">
        <v>2</v>
      </c>
    </row>
    <row r="260">
      <c r="A260" s="6" t="inlineStr">
        <is>
          <t>работник 178</t>
        </is>
      </c>
      <c r="B260" s="6" t="inlineStr">
        <is>
          <t>Машинист подземно-доставочной машины | Машинист погрузочно-доставочной машины (занятый на транспортировании горной массы в технологическом процессе)</t>
        </is>
      </c>
      <c r="C260" s="6" t="inlineStr">
        <is>
          <t>Машинист подземно-доставочной машины | Машинист погрузочно-доставочной машины (занятый на транспортировании горной массы в технологическом процессе)</t>
        </is>
      </c>
      <c r="D260" s="6" t="inlineStr">
        <is>
          <t>ОБЩЕСТВО С ОГРАНИЧЕННОЙ ОТВЕТСТВЕННОСТЬЮ "АМУР ЗОЛОТО"</t>
        </is>
      </c>
      <c r="E260" s="6" t="inlineStr">
        <is>
          <t>2708001686</t>
        </is>
      </c>
      <c r="F260" s="6" t="inlineStr">
        <is>
          <t>ООО "Амур Золото"</t>
        </is>
      </c>
      <c r="G260" s="6" t="inlineStr">
        <is>
          <t>2708001686</t>
        </is>
      </c>
      <c r="H260" s="6" t="inlineStr">
        <is>
          <t>37117833; 37117834; 37117835; 216771173; 216771174; 216771175</t>
        </is>
      </c>
      <c r="I260" s="6" t="inlineStr">
        <is>
          <t>2978778; 15571832</t>
        </is>
      </c>
      <c r="J260" s="6" t="inlineStr">
        <is>
          <t>ОТ № ЮГОК ПГУ 24-01; ЮГОК ПГУ 26-50</t>
        </is>
      </c>
      <c r="K260" s="6" t="inlineStr">
        <is>
          <t>19.01.2024; 16.08.2026</t>
        </is>
      </c>
      <c r="L260" s="6" t="inlineStr">
        <is>
          <t>Успешно</t>
        </is>
      </c>
      <c r="M260" s="6" t="inlineStr">
        <is>
          <t>Пользовательский интерфейс</t>
        </is>
      </c>
      <c r="N260" s="7" t="n">
        <v>6</v>
      </c>
      <c r="O260" s="7" t="n">
        <v>3</v>
      </c>
      <c r="P260" s="7" t="n"/>
      <c r="Q260" s="175" t="n">
        <v>2</v>
      </c>
      <c r="R260" s="7" t="n"/>
      <c r="S260" s="7" t="n"/>
      <c r="T260" s="7" t="n"/>
      <c r="U260" s="7" t="n"/>
      <c r="V260" s="7" t="n"/>
      <c r="W260" s="7" t="n"/>
      <c r="X260" s="7" t="n"/>
      <c r="Y260" s="7" t="n"/>
      <c r="Z260" s="7" t="n"/>
      <c r="AA260" s="7" t="n"/>
      <c r="AB260" s="175" t="n">
        <v>2</v>
      </c>
      <c r="AC260" s="175" t="n">
        <v>2</v>
      </c>
    </row>
    <row r="261">
      <c r="A261" s="6" t="inlineStr">
        <is>
          <t>работник 556</t>
        </is>
      </c>
      <c r="B261" s="6" t="inlineStr">
        <is>
          <t>Электромонтер по ремонту и обслуживанию электрооборудования</t>
        </is>
      </c>
      <c r="C261" s="6" t="inlineStr">
        <is>
          <t>Электромонтер по ремонту и обслуживанию электрооборудования</t>
        </is>
      </c>
      <c r="D261" s="6" t="inlineStr">
        <is>
          <t>ОБЩЕСТВО С ОГРАНИЧЕННОЙ ОТВЕТСТВЕННОСТЬЮ "АМУР ЗОЛОТО"</t>
        </is>
      </c>
      <c r="E261" s="6" t="inlineStr">
        <is>
          <t>2708001686</t>
        </is>
      </c>
      <c r="F261" s="6" t="inlineStr">
        <is>
          <t>ООО "Амур Золото"</t>
        </is>
      </c>
      <c r="G261" s="6" t="inlineStr">
        <is>
          <t>2708001686</t>
        </is>
      </c>
      <c r="H261" s="6" t="inlineStr">
        <is>
          <t>124493943; 124493944; 136189666; 136189667</t>
        </is>
      </c>
      <c r="I261" s="6" t="inlineStr">
        <is>
          <t>9387075; 10216156</t>
        </is>
      </c>
      <c r="J261" s="6" t="inlineStr">
        <is>
          <t>ОТ № ЮГОК ЗИОФ 25-17; ОТ № ЮГОК ЗИОФ 25-23</t>
        </is>
      </c>
      <c r="K261" s="6" t="inlineStr">
        <is>
          <t>28.05.2025; 22.07.2025</t>
        </is>
      </c>
      <c r="L261" s="6" t="inlineStr">
        <is>
          <t>Успешно</t>
        </is>
      </c>
      <c r="M261" s="6" t="inlineStr">
        <is>
          <t>Пользовательский интерфейс</t>
        </is>
      </c>
      <c r="N261" s="7" t="n">
        <v>4</v>
      </c>
      <c r="O261" s="7" t="n">
        <v>2</v>
      </c>
      <c r="P261" s="7" t="n"/>
      <c r="Q261" s="175" t="n">
        <v>2</v>
      </c>
      <c r="R261" s="7" t="n"/>
      <c r="S261" s="7" t="n"/>
      <c r="T261" s="7" t="n"/>
      <c r="U261" s="7" t="n"/>
      <c r="V261" s="7" t="n"/>
      <c r="W261" s="7" t="n"/>
      <c r="X261" s="7" t="n"/>
      <c r="Y261" s="7" t="n"/>
      <c r="Z261" s="7" t="n"/>
      <c r="AA261" s="7" t="n"/>
      <c r="AB261" s="7" t="n"/>
      <c r="AC261" s="175" t="n">
        <v>2</v>
      </c>
    </row>
    <row r="262">
      <c r="A262" s="6" t="inlineStr">
        <is>
          <t>работник 180</t>
        </is>
      </c>
      <c r="B262" s="6" t="inlineStr">
        <is>
          <t>Электрогазосварщик</t>
        </is>
      </c>
      <c r="C262" s="6" t="inlineStr">
        <is>
          <t>Электрогазосварщик | Электрогазосварщик (занятый на резке и ручной сварке)</t>
        </is>
      </c>
      <c r="D262" s="6" t="inlineStr">
        <is>
          <t>ОБЩЕСТВО С ОГРАНИЧЕННОЙ ОТВЕТСТВЕННОСТЬЮ "АМУР ЗОЛОТО"</t>
        </is>
      </c>
      <c r="E262" s="6" t="inlineStr">
        <is>
          <t>2708001686</t>
        </is>
      </c>
      <c r="F262" s="6" t="inlineStr">
        <is>
          <t>ООО "Амур Золото"</t>
        </is>
      </c>
      <c r="G262" s="6" t="inlineStr">
        <is>
          <t>2708001686</t>
        </is>
      </c>
      <c r="H262" s="6" t="inlineStr">
        <is>
          <t>37117839; 37117840; 37117841; 87545008; 87545009; 216771106; 216771107; 216771108; 216771109</t>
        </is>
      </c>
      <c r="I262" s="6" t="inlineStr">
        <is>
          <t>2978778; 6719954; 15571832</t>
        </is>
      </c>
      <c r="J262" s="6" t="inlineStr">
        <is>
          <t>ОТ № ЮГОК ПГУ 24-01; ОТ № ЮГОК ПГУ 24-23; ЮГОК ПГУ 26-44</t>
        </is>
      </c>
      <c r="K262" s="6" t="inlineStr">
        <is>
          <t>19.01.2024; 12.11.2024; 14.08.2026</t>
        </is>
      </c>
      <c r="L262" s="6" t="inlineStr">
        <is>
          <t>Успешно</t>
        </is>
      </c>
      <c r="M262" s="6" t="inlineStr">
        <is>
          <t>Пользовательский интерфейс</t>
        </is>
      </c>
      <c r="N262" s="7" t="n">
        <v>9</v>
      </c>
      <c r="O262" s="7" t="n">
        <v>3</v>
      </c>
      <c r="P262" s="7" t="n"/>
      <c r="Q262" s="175" t="n">
        <v>3</v>
      </c>
      <c r="R262" s="7" t="n"/>
      <c r="S262" s="7" t="n">
        <v>1</v>
      </c>
      <c r="T262" s="7" t="n"/>
      <c r="U262" s="7" t="n"/>
      <c r="V262" s="7" t="n"/>
      <c r="W262" s="7" t="n"/>
      <c r="X262" s="7" t="n"/>
      <c r="Y262" s="7" t="n"/>
      <c r="Z262" s="7" t="n"/>
      <c r="AA262" s="7" t="n"/>
      <c r="AB262" s="175" t="n">
        <v>2</v>
      </c>
      <c r="AC262" s="175" t="n">
        <v>3</v>
      </c>
    </row>
    <row r="263">
      <c r="A263" s="6" t="inlineStr">
        <is>
          <t>работник 119</t>
        </is>
      </c>
      <c r="B263" s="6" t="inlineStr">
        <is>
          <t>Пробоотборщик | Контролер продукции обогащения</t>
        </is>
      </c>
      <c r="C263" s="6" t="inlineStr">
        <is>
          <t>Пробоотборщик | Контролер продукции обогащения</t>
        </is>
      </c>
      <c r="D263" s="6" t="inlineStr">
        <is>
          <t>ОБЩЕСТВО С ОГРАНИЧЕННОЙ ОТВЕТСТВЕННОСТЬЮ "АМУР ЗОЛОТО"</t>
        </is>
      </c>
      <c r="E263" s="6" t="inlineStr">
        <is>
          <t>2708001686</t>
        </is>
      </c>
      <c r="F263" s="6" t="inlineStr">
        <is>
          <t>ООО "Амур Золото"</t>
        </is>
      </c>
      <c r="G263" s="6" t="inlineStr">
        <is>
          <t>2708001686</t>
        </is>
      </c>
      <c r="H263" s="6" t="inlineStr">
        <is>
          <t>37117620; 37117621; 37117622; 223283053; 223283054; 223283055</t>
        </is>
      </c>
      <c r="I263" s="6" t="inlineStr">
        <is>
          <t>2978778; 15995643</t>
        </is>
      </c>
      <c r="J263" s="6" t="inlineStr">
        <is>
          <t>ОТ № ЮГОК ОТК 23-01; ЮГОК ОТК 26-10</t>
        </is>
      </c>
      <c r="K263" s="6" t="inlineStr">
        <is>
          <t>11.12.2023; 27.08.2026</t>
        </is>
      </c>
      <c r="L263" s="6" t="inlineStr">
        <is>
          <t>Успешно</t>
        </is>
      </c>
      <c r="M263" s="6" t="inlineStr">
        <is>
          <t>Пользовательский интерфейс</t>
        </is>
      </c>
      <c r="N263" s="7" t="n">
        <v>6</v>
      </c>
      <c r="O263" s="7" t="n">
        <v>3</v>
      </c>
      <c r="P263" s="7" t="n"/>
      <c r="Q263" s="175" t="n">
        <v>2</v>
      </c>
      <c r="R263" s="7" t="n"/>
      <c r="S263" s="7" t="n"/>
      <c r="T263" s="7" t="n"/>
      <c r="U263" s="7" t="n"/>
      <c r="V263" s="7" t="n"/>
      <c r="W263" s="7" t="n"/>
      <c r="X263" s="7" t="n"/>
      <c r="Y263" s="7" t="n"/>
      <c r="Z263" s="7" t="n"/>
      <c r="AA263" s="7" t="n"/>
      <c r="AB263" s="175" t="n">
        <v>2</v>
      </c>
      <c r="AC263" s="175" t="n">
        <v>2</v>
      </c>
    </row>
    <row r="265" ht="24" customHeight="1">
      <c r="A265" s="44" t="inlineStr">
        <is>
          <t>Просроченное обучение</t>
        </is>
      </c>
    </row>
    <row r="266" ht="96" customHeight="1">
      <c r="A266" s="163" t="inlineStr">
        <is>
          <t>Норма: 46а, 46б, СИЗ, первая помощь, работы на высоте и работы в ОЗП — раз в 3 года. Остальные программы 46в — раз в год. Точка отсчёта каждого работника — дата его первого обучения по любой программе: её принимаем за дату приёма. Конец реестра — 17.09.2026. Вновь принятому не считаем просрочку за срок до его появления в реестре. Просрочка — интервал строго больше нормы: между обучениями одной программы или от последнего обучения до 17.09.2026. На один день больше уже просрочка, в день срока — нет. Короче нормы можно: повтор через 2 года 9 месяцев вместо 3 лет (или через 9 месяцев вместо года) — это обучение заранее, а не просрочка. Записи в один день считаются одним обучением. Состав этой таблицы от личной точки отсчёта не изменился: просрочку смотрим от даты обучения, а не от даты приёма. По программам: 46а — 14, 46б — 14, 46в. Огневые — 26, 46в. Подъемные сооружения — 25, 46в. Сосуды — 25, 46в. Оборудование — 24, 46в. Электроустановки — 8, 46в. Стройка — 11, 46в. Здания — 10, Первая помощь — 14, СИЗ — 14. В строке «Итого» в столбце «Профессия» — число случаев, в «Дней сверх нормы» — наибольшая просрочка.</t>
        </is>
      </c>
    </row>
    <row r="267" ht="36" customHeight="1">
      <c r="A267" s="135" t="inlineStr">
        <is>
          <t>FIO</t>
        </is>
      </c>
      <c r="B267" s="135" t="inlineStr">
        <is>
          <t>Профессия</t>
        </is>
      </c>
      <c r="C267" s="135" t="inlineStr">
        <is>
          <t>Программа</t>
        </is>
      </c>
      <c r="D267" s="135" t="inlineStr">
        <is>
          <t>Периодичность</t>
        </is>
      </c>
      <c r="E267" s="135" t="inlineStr">
        <is>
          <t>Дней сверх нормы</t>
        </is>
      </c>
      <c r="F267" s="135" t="inlineStr">
        <is>
          <t>Обучений</t>
        </is>
      </c>
      <c r="G267" s="135" t="inlineStr">
        <is>
          <t>Даты проверки</t>
        </is>
      </c>
      <c r="H267" s="135" t="inlineStr">
        <is>
          <t>В чём просрочка</t>
        </is>
      </c>
      <c r="I267" s="135" t="inlineStr">
        <is>
          <t>Дата первого обучения</t>
        </is>
      </c>
    </row>
    <row r="268" ht="20" customHeight="1">
      <c r="A268" s="45" t="inlineStr">
        <is>
          <t>работник 5</t>
        </is>
      </c>
      <c r="B268" s="45" t="inlineStr">
        <is>
          <t>Механик по ремонту самоходного транспорта</t>
        </is>
      </c>
      <c r="C268" s="45" t="inlineStr">
        <is>
          <t>46а</t>
        </is>
      </c>
      <c r="D268" s="170" t="inlineStr">
        <is>
          <t>раз в 3 года</t>
        </is>
      </c>
      <c r="E268" s="171" t="n">
        <v>114</v>
      </c>
      <c r="F268" s="171" t="n">
        <v>1</v>
      </c>
      <c r="G268" s="45" t="inlineStr">
        <is>
          <t>26.05.2023</t>
        </is>
      </c>
      <c r="H268" s="45" t="inlineStr">
        <is>
          <t>После 26.05.2023 до конца реестра 17.09.2026 прошло 3 г. 114 дн., норма — 3 г.</t>
        </is>
      </c>
      <c r="I268" s="170" t="inlineStr">
        <is>
          <t>26.05.2023</t>
        </is>
      </c>
    </row>
    <row r="269" ht="20" customHeight="1">
      <c r="A269" s="45" t="inlineStr">
        <is>
          <t>работник 8</t>
        </is>
      </c>
      <c r="B269" s="45" t="inlineStr">
        <is>
          <t>Начальник золотоизвлекательной фабрики</t>
        </is>
      </c>
      <c r="C269" s="45" t="inlineStr">
        <is>
          <t>46а</t>
        </is>
      </c>
      <c r="D269" s="170" t="inlineStr">
        <is>
          <t>раз в 3 года</t>
        </is>
      </c>
      <c r="E269" s="171" t="n">
        <v>114</v>
      </c>
      <c r="F269" s="171" t="n">
        <v>1</v>
      </c>
      <c r="G269" s="45" t="inlineStr">
        <is>
          <t>26.05.2023</t>
        </is>
      </c>
      <c r="H269" s="45" t="inlineStr">
        <is>
          <t>После 26.05.2023 до конца реестра 17.09.2026 прошло 3 г. 114 дн., норма — 3 г.</t>
        </is>
      </c>
      <c r="I269" s="170" t="inlineStr">
        <is>
          <t>26.05.2023</t>
        </is>
      </c>
    </row>
    <row r="270" ht="20" customHeight="1">
      <c r="A270" s="45" t="inlineStr">
        <is>
          <t>работник 3</t>
        </is>
      </c>
      <c r="B270" s="45" t="inlineStr">
        <is>
          <t>Инженер по промышленной безопасности и охране труда</t>
        </is>
      </c>
      <c r="C270" s="45" t="inlineStr">
        <is>
          <t>46а</t>
        </is>
      </c>
      <c r="D270" s="170" t="inlineStr">
        <is>
          <t>раз в 3 года</t>
        </is>
      </c>
      <c r="E270" s="171" t="n">
        <v>114</v>
      </c>
      <c r="F270" s="171" t="n">
        <v>1</v>
      </c>
      <c r="G270" s="45" t="inlineStr">
        <is>
          <t>26.05.2023</t>
        </is>
      </c>
      <c r="H270" s="45" t="inlineStr">
        <is>
          <t>После 26.05.2023 до конца реестра 17.09.2026 прошло 3 г. 114 дн., норма — 3 г.</t>
        </is>
      </c>
      <c r="I270" s="170" t="inlineStr">
        <is>
          <t>26.05.2023</t>
        </is>
      </c>
    </row>
    <row r="271" ht="20" customHeight="1">
      <c r="A271" s="45" t="inlineStr">
        <is>
          <t>работник 1</t>
        </is>
      </c>
      <c r="B271" s="45" t="inlineStr">
        <is>
          <t>Директор</t>
        </is>
      </c>
      <c r="C271" s="45" t="inlineStr">
        <is>
          <t>46а</t>
        </is>
      </c>
      <c r="D271" s="170" t="inlineStr">
        <is>
          <t>раз в 3 года</t>
        </is>
      </c>
      <c r="E271" s="171" t="n">
        <v>114</v>
      </c>
      <c r="F271" s="171" t="n">
        <v>1</v>
      </c>
      <c r="G271" s="45" t="inlineStr">
        <is>
          <t>26.05.2023</t>
        </is>
      </c>
      <c r="H271" s="45" t="inlineStr">
        <is>
          <t>После 26.05.2023 до конца реестра 17.09.2026 прошло 3 г. 114 дн., норма — 3 г.</t>
        </is>
      </c>
      <c r="I271" s="170" t="inlineStr">
        <is>
          <t>26.05.2023</t>
        </is>
      </c>
    </row>
    <row r="272" ht="20" customHeight="1">
      <c r="A272" s="45" t="inlineStr">
        <is>
          <t>работник 4</t>
        </is>
      </c>
      <c r="B272" s="45" t="inlineStr">
        <is>
          <t>Инженер по промышленной безопасности и охране труда</t>
        </is>
      </c>
      <c r="C272" s="45" t="inlineStr">
        <is>
          <t>46а</t>
        </is>
      </c>
      <c r="D272" s="170" t="inlineStr">
        <is>
          <t>раз в 3 года</t>
        </is>
      </c>
      <c r="E272" s="171" t="n">
        <v>114</v>
      </c>
      <c r="F272" s="171" t="n">
        <v>1</v>
      </c>
      <c r="G272" s="45" t="inlineStr">
        <is>
          <t>26.05.2023</t>
        </is>
      </c>
      <c r="H272" s="45" t="inlineStr">
        <is>
          <t>После 26.05.2023 до конца реестра 17.09.2026 прошло 3 г. 114 дн., норма — 3 г.</t>
        </is>
      </c>
      <c r="I272" s="170" t="inlineStr">
        <is>
          <t>26.05.2023</t>
        </is>
      </c>
    </row>
    <row r="273" ht="20" customHeight="1">
      <c r="A273" s="45" t="inlineStr">
        <is>
          <t>работник 9</t>
        </is>
      </c>
      <c r="B273" s="45" t="inlineStr">
        <is>
          <t>Заместитель начальника золотоизвлекательной фабрики</t>
        </is>
      </c>
      <c r="C273" s="45" t="inlineStr">
        <is>
          <t>46а</t>
        </is>
      </c>
      <c r="D273" s="170" t="inlineStr">
        <is>
          <t>раз в 3 года</t>
        </is>
      </c>
      <c r="E273" s="171" t="n">
        <v>114</v>
      </c>
      <c r="F273" s="171" t="n">
        <v>1</v>
      </c>
      <c r="G273" s="45" t="inlineStr">
        <is>
          <t>26.05.2023</t>
        </is>
      </c>
      <c r="H273" s="45" t="inlineStr">
        <is>
          <t>После 26.05.2023 до конца реестра 17.09.2026 прошло 3 г. 114 дн., норма — 3 г.</t>
        </is>
      </c>
      <c r="I273" s="170" t="inlineStr">
        <is>
          <t>26.05.2023</t>
        </is>
      </c>
    </row>
    <row r="274" ht="20" customHeight="1">
      <c r="A274" s="45" t="inlineStr">
        <is>
          <t>работник 6</t>
        </is>
      </c>
      <c r="B274" s="45" t="inlineStr">
        <is>
          <t>Заместитель начальника участка по буровзрывным работам</t>
        </is>
      </c>
      <c r="C274" s="45" t="inlineStr">
        <is>
          <t>46а</t>
        </is>
      </c>
      <c r="D274" s="170" t="inlineStr">
        <is>
          <t>раз в 3 года</t>
        </is>
      </c>
      <c r="E274" s="171" t="n">
        <v>114</v>
      </c>
      <c r="F274" s="171" t="n">
        <v>1</v>
      </c>
      <c r="G274" s="45" t="inlineStr">
        <is>
          <t>26.05.2023</t>
        </is>
      </c>
      <c r="H274" s="45" t="inlineStr">
        <is>
          <t>После 26.05.2023 до конца реестра 17.09.2026 прошло 3 г. 114 дн., норма — 3 г.</t>
        </is>
      </c>
      <c r="I274" s="170" t="inlineStr">
        <is>
          <t>26.05.2023</t>
        </is>
      </c>
    </row>
    <row r="275" ht="20" customHeight="1">
      <c r="A275" s="45" t="inlineStr">
        <is>
          <t>работник 14</t>
        </is>
      </c>
      <c r="B275" s="45" t="inlineStr">
        <is>
          <t>Начальник автотранспортного цеха</t>
        </is>
      </c>
      <c r="C275" s="45" t="inlineStr">
        <is>
          <t>46а</t>
        </is>
      </c>
      <c r="D275" s="170" t="inlineStr">
        <is>
          <t>раз в 3 года</t>
        </is>
      </c>
      <c r="E275" s="171" t="n">
        <v>114</v>
      </c>
      <c r="F275" s="171" t="n">
        <v>1</v>
      </c>
      <c r="G275" s="45" t="inlineStr">
        <is>
          <t>26.05.2023</t>
        </is>
      </c>
      <c r="H275" s="45" t="inlineStr">
        <is>
          <t>После 26.05.2023 до конца реестра 17.09.2026 прошло 3 г. 114 дн., норма — 3 г.</t>
        </is>
      </c>
      <c r="I275" s="170" t="inlineStr">
        <is>
          <t>26.05.2023</t>
        </is>
      </c>
    </row>
    <row r="276" ht="20" customHeight="1">
      <c r="A276" s="45" t="inlineStr">
        <is>
          <t>работник 12</t>
        </is>
      </c>
      <c r="B276" s="45" t="inlineStr">
        <is>
          <t>Электромеханик подземного горного участка</t>
        </is>
      </c>
      <c r="C276" s="45" t="inlineStr">
        <is>
          <t>46а</t>
        </is>
      </c>
      <c r="D276" s="170" t="inlineStr">
        <is>
          <t>раз в 3 года</t>
        </is>
      </c>
      <c r="E276" s="171" t="n">
        <v>114</v>
      </c>
      <c r="F276" s="171" t="n">
        <v>1</v>
      </c>
      <c r="G276" s="45" t="inlineStr">
        <is>
          <t>26.05.2023</t>
        </is>
      </c>
      <c r="H276" s="45" t="inlineStr">
        <is>
          <t>После 26.05.2023 до конца реестра 17.09.2026 прошло 3 г. 114 дн., норма — 3 г.</t>
        </is>
      </c>
      <c r="I276" s="170" t="inlineStr">
        <is>
          <t>26.05.2023</t>
        </is>
      </c>
    </row>
    <row r="277" ht="20" customHeight="1">
      <c r="A277" s="45" t="inlineStr">
        <is>
          <t>работник 10</t>
        </is>
      </c>
      <c r="B277" s="45" t="inlineStr">
        <is>
          <t>Главный энергетик</t>
        </is>
      </c>
      <c r="C277" s="45" t="inlineStr">
        <is>
          <t>46а</t>
        </is>
      </c>
      <c r="D277" s="170" t="inlineStr">
        <is>
          <t>раз в 3 года</t>
        </is>
      </c>
      <c r="E277" s="171" t="n">
        <v>114</v>
      </c>
      <c r="F277" s="171" t="n">
        <v>1</v>
      </c>
      <c r="G277" s="45" t="inlineStr">
        <is>
          <t>26.05.2023</t>
        </is>
      </c>
      <c r="H277" s="45" t="inlineStr">
        <is>
          <t>После 26.05.2023 до конца реестра 17.09.2026 прошло 3 г. 114 дн., норма — 3 г.</t>
        </is>
      </c>
      <c r="I277" s="170" t="inlineStr">
        <is>
          <t>26.05.2023</t>
        </is>
      </c>
    </row>
    <row r="278" ht="20" customHeight="1">
      <c r="A278" s="45" t="inlineStr">
        <is>
          <t>работник 2</t>
        </is>
      </c>
      <c r="B278" s="45" t="inlineStr">
        <is>
          <t>Заместитель директора горно-обогатительного комплекса по производству</t>
        </is>
      </c>
      <c r="C278" s="45" t="inlineStr">
        <is>
          <t>46а</t>
        </is>
      </c>
      <c r="D278" s="170" t="inlineStr">
        <is>
          <t>раз в 3 года</t>
        </is>
      </c>
      <c r="E278" s="171" t="n">
        <v>114</v>
      </c>
      <c r="F278" s="171" t="n">
        <v>1</v>
      </c>
      <c r="G278" s="45" t="inlineStr">
        <is>
          <t>26.05.2023</t>
        </is>
      </c>
      <c r="H278" s="45" t="inlineStr">
        <is>
          <t>После 26.05.2023 до конца реестра 17.09.2026 прошло 3 г. 114 дн., норма — 3 г.</t>
        </is>
      </c>
      <c r="I278" s="170" t="inlineStr">
        <is>
          <t>26.05.2023</t>
        </is>
      </c>
    </row>
    <row r="279" ht="20" customHeight="1">
      <c r="A279" s="45" t="inlineStr">
        <is>
          <t>работник 7</t>
        </is>
      </c>
      <c r="B279" s="45" t="inlineStr">
        <is>
          <t>Главный технолог</t>
        </is>
      </c>
      <c r="C279" s="45" t="inlineStr">
        <is>
          <t>46а</t>
        </is>
      </c>
      <c r="D279" s="170" t="inlineStr">
        <is>
          <t>раз в 3 года</t>
        </is>
      </c>
      <c r="E279" s="171" t="n">
        <v>114</v>
      </c>
      <c r="F279" s="171" t="n">
        <v>1</v>
      </c>
      <c r="G279" s="45" t="inlineStr">
        <is>
          <t>26.05.2023</t>
        </is>
      </c>
      <c r="H279" s="45" t="inlineStr">
        <is>
          <t>После 26.05.2023 до конца реестра 17.09.2026 прошло 3 г. 114 дн., норма — 3 г.</t>
        </is>
      </c>
      <c r="I279" s="170" t="inlineStr">
        <is>
          <t>26.05.2023</t>
        </is>
      </c>
    </row>
    <row r="280" ht="20" customHeight="1">
      <c r="A280" s="45" t="inlineStr">
        <is>
          <t>работник 13</t>
        </is>
      </c>
      <c r="B280" s="45" t="inlineStr">
        <is>
          <t>Старший геолог</t>
        </is>
      </c>
      <c r="C280" s="45" t="inlineStr">
        <is>
          <t>46а</t>
        </is>
      </c>
      <c r="D280" s="170" t="inlineStr">
        <is>
          <t>раз в 3 года</t>
        </is>
      </c>
      <c r="E280" s="171" t="n">
        <v>114</v>
      </c>
      <c r="F280" s="171" t="n">
        <v>1</v>
      </c>
      <c r="G280" s="45" t="inlineStr">
        <is>
          <t>26.05.2023</t>
        </is>
      </c>
      <c r="H280" s="45" t="inlineStr">
        <is>
          <t>После 26.05.2023 до конца реестра 17.09.2026 прошло 3 г. 114 дн., норма — 3 г.</t>
        </is>
      </c>
      <c r="I280" s="170" t="inlineStr">
        <is>
          <t>26.05.2023</t>
        </is>
      </c>
    </row>
    <row r="281" ht="20" customHeight="1">
      <c r="A281" s="45" t="inlineStr">
        <is>
          <t>работник 11</t>
        </is>
      </c>
      <c r="B281" s="45" t="inlineStr">
        <is>
          <t>Теплотехник</t>
        </is>
      </c>
      <c r="C281" s="45" t="inlineStr">
        <is>
          <t>46а</t>
        </is>
      </c>
      <c r="D281" s="170" t="inlineStr">
        <is>
          <t>раз в 3 года</t>
        </is>
      </c>
      <c r="E281" s="171" t="n">
        <v>114</v>
      </c>
      <c r="F281" s="171" t="n">
        <v>1</v>
      </c>
      <c r="G281" s="45" t="inlineStr">
        <is>
          <t>26.05.2023</t>
        </is>
      </c>
      <c r="H281" s="45" t="inlineStr">
        <is>
          <t>После 26.05.2023 до конца реестра 17.09.2026 прошло 3 г. 114 дн., норма — 3 г.</t>
        </is>
      </c>
      <c r="I281" s="170" t="inlineStr">
        <is>
          <t>26.05.2023</t>
        </is>
      </c>
    </row>
    <row r="282" ht="20" customHeight="1">
      <c r="A282" s="45" t="inlineStr">
        <is>
          <t>работник 5</t>
        </is>
      </c>
      <c r="B282" s="45" t="inlineStr">
        <is>
          <t>Механик по ремонту самоходного транспорта</t>
        </is>
      </c>
      <c r="C282" s="45" t="inlineStr">
        <is>
          <t>46б</t>
        </is>
      </c>
      <c r="D282" s="170" t="inlineStr">
        <is>
          <t>раз в 3 года</t>
        </is>
      </c>
      <c r="E282" s="171" t="n">
        <v>114</v>
      </c>
      <c r="F282" s="171" t="n">
        <v>1</v>
      </c>
      <c r="G282" s="45" t="inlineStr">
        <is>
          <t>26.05.2023</t>
        </is>
      </c>
      <c r="H282" s="45" t="inlineStr">
        <is>
          <t>После 26.05.2023 до конца реестра 17.09.2026 прошло 3 г. 114 дн., норма — 3 г.</t>
        </is>
      </c>
      <c r="I282" s="170" t="inlineStr">
        <is>
          <t>26.05.2023</t>
        </is>
      </c>
    </row>
    <row r="283" ht="20" customHeight="1">
      <c r="A283" s="45" t="inlineStr">
        <is>
          <t>работник 8</t>
        </is>
      </c>
      <c r="B283" s="45" t="inlineStr">
        <is>
          <t>Начальник золотоизвлекательной фабрики</t>
        </is>
      </c>
      <c r="C283" s="45" t="inlineStr">
        <is>
          <t>46б</t>
        </is>
      </c>
      <c r="D283" s="170" t="inlineStr">
        <is>
          <t>раз в 3 года</t>
        </is>
      </c>
      <c r="E283" s="171" t="n">
        <v>114</v>
      </c>
      <c r="F283" s="171" t="n">
        <v>1</v>
      </c>
      <c r="G283" s="45" t="inlineStr">
        <is>
          <t>26.05.2023</t>
        </is>
      </c>
      <c r="H283" s="45" t="inlineStr">
        <is>
          <t>После 26.05.2023 до конца реестра 17.09.2026 прошло 3 г. 114 дн., норма — 3 г.</t>
        </is>
      </c>
      <c r="I283" s="170" t="inlineStr">
        <is>
          <t>26.05.2023</t>
        </is>
      </c>
    </row>
    <row r="284" ht="20" customHeight="1">
      <c r="A284" s="45" t="inlineStr">
        <is>
          <t>работник 3</t>
        </is>
      </c>
      <c r="B284" s="45" t="inlineStr">
        <is>
          <t>Инженер по промышленной безопасности и охране труда</t>
        </is>
      </c>
      <c r="C284" s="45" t="inlineStr">
        <is>
          <t>46б</t>
        </is>
      </c>
      <c r="D284" s="170" t="inlineStr">
        <is>
          <t>раз в 3 года</t>
        </is>
      </c>
      <c r="E284" s="171" t="n">
        <v>114</v>
      </c>
      <c r="F284" s="171" t="n">
        <v>1</v>
      </c>
      <c r="G284" s="45" t="inlineStr">
        <is>
          <t>26.05.2023</t>
        </is>
      </c>
      <c r="H284" s="45" t="inlineStr">
        <is>
          <t>После 26.05.2023 до конца реестра 17.09.2026 прошло 3 г. 114 дн., норма — 3 г.</t>
        </is>
      </c>
      <c r="I284" s="170" t="inlineStr">
        <is>
          <t>26.05.2023</t>
        </is>
      </c>
    </row>
    <row r="285" ht="20" customHeight="1">
      <c r="A285" s="45" t="inlineStr">
        <is>
          <t>работник 1</t>
        </is>
      </c>
      <c r="B285" s="45" t="inlineStr">
        <is>
          <t>Директор</t>
        </is>
      </c>
      <c r="C285" s="45" t="inlineStr">
        <is>
          <t>46б</t>
        </is>
      </c>
      <c r="D285" s="170" t="inlineStr">
        <is>
          <t>раз в 3 года</t>
        </is>
      </c>
      <c r="E285" s="171" t="n">
        <v>114</v>
      </c>
      <c r="F285" s="171" t="n">
        <v>1</v>
      </c>
      <c r="G285" s="45" t="inlineStr">
        <is>
          <t>26.05.2023</t>
        </is>
      </c>
      <c r="H285" s="45" t="inlineStr">
        <is>
          <t>После 26.05.2023 до конца реестра 17.09.2026 прошло 3 г. 114 дн., норма — 3 г.</t>
        </is>
      </c>
      <c r="I285" s="170" t="inlineStr">
        <is>
          <t>26.05.2023</t>
        </is>
      </c>
    </row>
    <row r="286" ht="20" customHeight="1">
      <c r="A286" s="45" t="inlineStr">
        <is>
          <t>работник 4</t>
        </is>
      </c>
      <c r="B286" s="45" t="inlineStr">
        <is>
          <t>Инженер по промышленной безопасности и охране труда</t>
        </is>
      </c>
      <c r="C286" s="45" t="inlineStr">
        <is>
          <t>46б</t>
        </is>
      </c>
      <c r="D286" s="170" t="inlineStr">
        <is>
          <t>раз в 3 года</t>
        </is>
      </c>
      <c r="E286" s="171" t="n">
        <v>114</v>
      </c>
      <c r="F286" s="171" t="n">
        <v>1</v>
      </c>
      <c r="G286" s="45" t="inlineStr">
        <is>
          <t>26.05.2023</t>
        </is>
      </c>
      <c r="H286" s="45" t="inlineStr">
        <is>
          <t>После 26.05.2023 до конца реестра 17.09.2026 прошло 3 г. 114 дн., норма — 3 г.</t>
        </is>
      </c>
      <c r="I286" s="170" t="inlineStr">
        <is>
          <t>26.05.2023</t>
        </is>
      </c>
    </row>
    <row r="287" ht="20" customHeight="1">
      <c r="A287" s="45" t="inlineStr">
        <is>
          <t>работник 9</t>
        </is>
      </c>
      <c r="B287" s="45" t="inlineStr">
        <is>
          <t>Заместитель начальника золотоизвлекательной фабрики</t>
        </is>
      </c>
      <c r="C287" s="45" t="inlineStr">
        <is>
          <t>46б</t>
        </is>
      </c>
      <c r="D287" s="170" t="inlineStr">
        <is>
          <t>раз в 3 года</t>
        </is>
      </c>
      <c r="E287" s="171" t="n">
        <v>114</v>
      </c>
      <c r="F287" s="171" t="n">
        <v>1</v>
      </c>
      <c r="G287" s="45" t="inlineStr">
        <is>
          <t>26.05.2023</t>
        </is>
      </c>
      <c r="H287" s="45" t="inlineStr">
        <is>
          <t>После 26.05.2023 до конца реестра 17.09.2026 прошло 3 г. 114 дн., норма — 3 г.</t>
        </is>
      </c>
      <c r="I287" s="170" t="inlineStr">
        <is>
          <t>26.05.2023</t>
        </is>
      </c>
    </row>
    <row r="288" ht="20" customHeight="1">
      <c r="A288" s="45" t="inlineStr">
        <is>
          <t>работник 6</t>
        </is>
      </c>
      <c r="B288" s="45" t="inlineStr">
        <is>
          <t>Заместитель начальника участка по буровзрывным работам</t>
        </is>
      </c>
      <c r="C288" s="45" t="inlineStr">
        <is>
          <t>46б</t>
        </is>
      </c>
      <c r="D288" s="170" t="inlineStr">
        <is>
          <t>раз в 3 года</t>
        </is>
      </c>
      <c r="E288" s="171" t="n">
        <v>114</v>
      </c>
      <c r="F288" s="171" t="n">
        <v>1</v>
      </c>
      <c r="G288" s="45" t="inlineStr">
        <is>
          <t>26.05.2023</t>
        </is>
      </c>
      <c r="H288" s="45" t="inlineStr">
        <is>
          <t>После 26.05.2023 до конца реестра 17.09.2026 прошло 3 г. 114 дн., норма — 3 г.</t>
        </is>
      </c>
      <c r="I288" s="170" t="inlineStr">
        <is>
          <t>26.05.2023</t>
        </is>
      </c>
    </row>
    <row r="289" ht="20" customHeight="1">
      <c r="A289" s="45" t="inlineStr">
        <is>
          <t>работник 14</t>
        </is>
      </c>
      <c r="B289" s="45" t="inlineStr">
        <is>
          <t>Начальник автотранспортного цеха</t>
        </is>
      </c>
      <c r="C289" s="45" t="inlineStr">
        <is>
          <t>46б</t>
        </is>
      </c>
      <c r="D289" s="170" t="inlineStr">
        <is>
          <t>раз в 3 года</t>
        </is>
      </c>
      <c r="E289" s="171" t="n">
        <v>114</v>
      </c>
      <c r="F289" s="171" t="n">
        <v>1</v>
      </c>
      <c r="G289" s="45" t="inlineStr">
        <is>
          <t>26.05.2023</t>
        </is>
      </c>
      <c r="H289" s="45" t="inlineStr">
        <is>
          <t>После 26.05.2023 до конца реестра 17.09.2026 прошло 3 г. 114 дн., норма — 3 г.</t>
        </is>
      </c>
      <c r="I289" s="170" t="inlineStr">
        <is>
          <t>26.05.2023</t>
        </is>
      </c>
    </row>
    <row r="290" ht="20" customHeight="1">
      <c r="A290" s="45" t="inlineStr">
        <is>
          <t>работник 12</t>
        </is>
      </c>
      <c r="B290" s="45" t="inlineStr">
        <is>
          <t>Электромеханик подземного горного участка</t>
        </is>
      </c>
      <c r="C290" s="45" t="inlineStr">
        <is>
          <t>46б</t>
        </is>
      </c>
      <c r="D290" s="170" t="inlineStr">
        <is>
          <t>раз в 3 года</t>
        </is>
      </c>
      <c r="E290" s="171" t="n">
        <v>114</v>
      </c>
      <c r="F290" s="171" t="n">
        <v>1</v>
      </c>
      <c r="G290" s="45" t="inlineStr">
        <is>
          <t>26.05.2023</t>
        </is>
      </c>
      <c r="H290" s="45" t="inlineStr">
        <is>
          <t>После 26.05.2023 до конца реестра 17.09.2026 прошло 3 г. 114 дн., норма — 3 г.</t>
        </is>
      </c>
      <c r="I290" s="170" t="inlineStr">
        <is>
          <t>26.05.2023</t>
        </is>
      </c>
    </row>
    <row r="291" ht="20" customHeight="1">
      <c r="A291" s="45" t="inlineStr">
        <is>
          <t>работник 10</t>
        </is>
      </c>
      <c r="B291" s="45" t="inlineStr">
        <is>
          <t>Главный энергетик</t>
        </is>
      </c>
      <c r="C291" s="45" t="inlineStr">
        <is>
          <t>46б</t>
        </is>
      </c>
      <c r="D291" s="170" t="inlineStr">
        <is>
          <t>раз в 3 года</t>
        </is>
      </c>
      <c r="E291" s="171" t="n">
        <v>114</v>
      </c>
      <c r="F291" s="171" t="n">
        <v>1</v>
      </c>
      <c r="G291" s="45" t="inlineStr">
        <is>
          <t>26.05.2023</t>
        </is>
      </c>
      <c r="H291" s="45" t="inlineStr">
        <is>
          <t>После 26.05.2023 до конца реестра 17.09.2026 прошло 3 г. 114 дн., норма — 3 г.</t>
        </is>
      </c>
      <c r="I291" s="170" t="inlineStr">
        <is>
          <t>26.05.2023</t>
        </is>
      </c>
    </row>
    <row r="292" ht="20" customHeight="1">
      <c r="A292" s="45" t="inlineStr">
        <is>
          <t>работник 2</t>
        </is>
      </c>
      <c r="B292" s="45" t="inlineStr">
        <is>
          <t>Заместитель директора горно-обогатительного комплекса по производству</t>
        </is>
      </c>
      <c r="C292" s="45" t="inlineStr">
        <is>
          <t>46б</t>
        </is>
      </c>
      <c r="D292" s="170" t="inlineStr">
        <is>
          <t>раз в 3 года</t>
        </is>
      </c>
      <c r="E292" s="171" t="n">
        <v>114</v>
      </c>
      <c r="F292" s="171" t="n">
        <v>1</v>
      </c>
      <c r="G292" s="45" t="inlineStr">
        <is>
          <t>26.05.2023</t>
        </is>
      </c>
      <c r="H292" s="45" t="inlineStr">
        <is>
          <t>После 26.05.2023 до конца реестра 17.09.2026 прошло 3 г. 114 дн., норма — 3 г.</t>
        </is>
      </c>
      <c r="I292" s="170" t="inlineStr">
        <is>
          <t>26.05.2023</t>
        </is>
      </c>
    </row>
    <row r="293" ht="20" customHeight="1">
      <c r="A293" s="45" t="inlineStr">
        <is>
          <t>работник 7</t>
        </is>
      </c>
      <c r="B293" s="45" t="inlineStr">
        <is>
          <t>Главный технолог</t>
        </is>
      </c>
      <c r="C293" s="45" t="inlineStr">
        <is>
          <t>46б</t>
        </is>
      </c>
      <c r="D293" s="170" t="inlineStr">
        <is>
          <t>раз в 3 года</t>
        </is>
      </c>
      <c r="E293" s="171" t="n">
        <v>114</v>
      </c>
      <c r="F293" s="171" t="n">
        <v>1</v>
      </c>
      <c r="G293" s="45" t="inlineStr">
        <is>
          <t>26.05.2023</t>
        </is>
      </c>
      <c r="H293" s="45" t="inlineStr">
        <is>
          <t>После 26.05.2023 до конца реестра 17.09.2026 прошло 3 г. 114 дн., норма — 3 г.</t>
        </is>
      </c>
      <c r="I293" s="170" t="inlineStr">
        <is>
          <t>26.05.2023</t>
        </is>
      </c>
    </row>
    <row r="294" ht="20" customHeight="1">
      <c r="A294" s="45" t="inlineStr">
        <is>
          <t>работник 13</t>
        </is>
      </c>
      <c r="B294" s="45" t="inlineStr">
        <is>
          <t>Старший геолог</t>
        </is>
      </c>
      <c r="C294" s="45" t="inlineStr">
        <is>
          <t>46б</t>
        </is>
      </c>
      <c r="D294" s="170" t="inlineStr">
        <is>
          <t>раз в 3 года</t>
        </is>
      </c>
      <c r="E294" s="171" t="n">
        <v>114</v>
      </c>
      <c r="F294" s="171" t="n">
        <v>1</v>
      </c>
      <c r="G294" s="45" t="inlineStr">
        <is>
          <t>26.05.2023</t>
        </is>
      </c>
      <c r="H294" s="45" t="inlineStr">
        <is>
          <t>После 26.05.2023 до конца реестра 17.09.2026 прошло 3 г. 114 дн., норма — 3 г.</t>
        </is>
      </c>
      <c r="I294" s="170" t="inlineStr">
        <is>
          <t>26.05.2023</t>
        </is>
      </c>
    </row>
    <row r="295" ht="20" customHeight="1">
      <c r="A295" s="45" t="inlineStr">
        <is>
          <t>работник 11</t>
        </is>
      </c>
      <c r="B295" s="45" t="inlineStr">
        <is>
          <t>Теплотехник</t>
        </is>
      </c>
      <c r="C295" s="45" t="inlineStr">
        <is>
          <t>46б</t>
        </is>
      </c>
      <c r="D295" s="170" t="inlineStr">
        <is>
          <t>раз в 3 года</t>
        </is>
      </c>
      <c r="E295" s="171" t="n">
        <v>114</v>
      </c>
      <c r="F295" s="171" t="n">
        <v>1</v>
      </c>
      <c r="G295" s="45" t="inlineStr">
        <is>
          <t>26.05.2023</t>
        </is>
      </c>
      <c r="H295" s="45" t="inlineStr">
        <is>
          <t>После 26.05.2023 до конца реестра 17.09.2026 прошло 3 г. 114 дн., норма — 3 г.</t>
        </is>
      </c>
      <c r="I295" s="170" t="inlineStr">
        <is>
          <t>26.05.2023</t>
        </is>
      </c>
    </row>
    <row r="296" ht="20" customHeight="1">
      <c r="A296" s="45" t="inlineStr">
        <is>
          <t>работник 25</t>
        </is>
      </c>
      <c r="B296" s="45" t="inlineStr">
        <is>
          <t>Слесарь-ремонтник</t>
        </is>
      </c>
      <c r="C296" s="45" t="inlineStr">
        <is>
          <t>46в. Огневые</t>
        </is>
      </c>
      <c r="D296" s="170" t="inlineStr">
        <is>
          <t>раз в год</t>
        </is>
      </c>
      <c r="E296" s="171" t="n">
        <v>662</v>
      </c>
      <c r="F296" s="171" t="n">
        <v>1</v>
      </c>
      <c r="G296" s="45" t="inlineStr">
        <is>
          <t>24.11.2023</t>
        </is>
      </c>
      <c r="H296" s="45" t="inlineStr">
        <is>
          <t>После 24.11.2023 до конца реестра 17.09.2026 прошло 2 г. 297 дн., норма — 1 г.</t>
        </is>
      </c>
      <c r="I296" s="170" t="inlineStr">
        <is>
          <t>24.11.2023</t>
        </is>
      </c>
    </row>
    <row r="297" ht="20" customHeight="1">
      <c r="A297" s="45" t="inlineStr">
        <is>
          <t>работник 29</t>
        </is>
      </c>
      <c r="B297" s="45" t="inlineStr">
        <is>
          <t>Электрогазосварщик</t>
        </is>
      </c>
      <c r="C297" s="45" t="inlineStr">
        <is>
          <t>46в. Огневые</t>
        </is>
      </c>
      <c r="D297" s="170" t="inlineStr">
        <is>
          <t>раз в год</t>
        </is>
      </c>
      <c r="E297" s="171" t="n">
        <v>662</v>
      </c>
      <c r="F297" s="171" t="n">
        <v>1</v>
      </c>
      <c r="G297" s="45" t="inlineStr">
        <is>
          <t>24.11.2023</t>
        </is>
      </c>
      <c r="H297" s="45" t="inlineStr">
        <is>
          <t>После 24.11.2023 до конца реестра 17.09.2026 прошло 2 г. 297 дн., норма — 1 г.</t>
        </is>
      </c>
      <c r="I297" s="170" t="inlineStr">
        <is>
          <t>24.11.2023</t>
        </is>
      </c>
    </row>
    <row r="298" ht="20" customHeight="1">
      <c r="A298" s="45" t="inlineStr">
        <is>
          <t>работник 27</t>
        </is>
      </c>
      <c r="B298" s="45" t="inlineStr">
        <is>
          <t>Электрогазосварщик</t>
        </is>
      </c>
      <c r="C298" s="45" t="inlineStr">
        <is>
          <t>46в. Огневые</t>
        </is>
      </c>
      <c r="D298" s="170" t="inlineStr">
        <is>
          <t>раз в год</t>
        </is>
      </c>
      <c r="E298" s="171" t="n">
        <v>662</v>
      </c>
      <c r="F298" s="171" t="n">
        <v>1</v>
      </c>
      <c r="G298" s="45" t="inlineStr">
        <is>
          <t>24.11.2023</t>
        </is>
      </c>
      <c r="H298" s="45" t="inlineStr">
        <is>
          <t>После 24.11.2023 до конца реестра 17.09.2026 прошло 2 г. 297 дн., норма — 1 г.</t>
        </is>
      </c>
      <c r="I298" s="170" t="inlineStr">
        <is>
          <t>24.11.2023</t>
        </is>
      </c>
    </row>
    <row r="299" ht="20" customHeight="1">
      <c r="A299" s="45" t="inlineStr">
        <is>
          <t>работник 67</t>
        </is>
      </c>
      <c r="B299" s="45" t="inlineStr">
        <is>
          <t>Электрогазосварщик</t>
        </is>
      </c>
      <c r="C299" s="45" t="inlineStr">
        <is>
          <t>46в. Огневые</t>
        </is>
      </c>
      <c r="D299" s="170" t="inlineStr">
        <is>
          <t>раз в год</t>
        </is>
      </c>
      <c r="E299" s="171" t="n">
        <v>656</v>
      </c>
      <c r="F299" s="171" t="n">
        <v>1</v>
      </c>
      <c r="G299" s="45" t="inlineStr">
        <is>
          <t>30.11.2023</t>
        </is>
      </c>
      <c r="H299" s="45" t="inlineStr">
        <is>
          <t>После 30.11.2023 до конца реестра 17.09.2026 прошло 2 г. 291 дн., норма — 1 г.</t>
        </is>
      </c>
      <c r="I299" s="170" t="inlineStr">
        <is>
          <t>23.11.2023</t>
        </is>
      </c>
    </row>
    <row r="300" ht="20" customHeight="1">
      <c r="A300" s="45" t="inlineStr">
        <is>
          <t>работник 129</t>
        </is>
      </c>
      <c r="B300" s="45" t="inlineStr">
        <is>
          <t>Слесарь-ремонтник</t>
        </is>
      </c>
      <c r="C300" s="45" t="inlineStr">
        <is>
          <t>46в. Огневые</t>
        </is>
      </c>
      <c r="D300" s="170" t="inlineStr">
        <is>
          <t>раз в год</t>
        </is>
      </c>
      <c r="E300" s="171" t="n">
        <v>645</v>
      </c>
      <c r="F300" s="171" t="n">
        <v>1</v>
      </c>
      <c r="G300" s="45" t="inlineStr">
        <is>
          <t>11.12.2023</t>
        </is>
      </c>
      <c r="H300" s="45" t="inlineStr">
        <is>
          <t>После 11.12.2023 до конца реестра 17.09.2026 прошло 2 г. 280 дн., норма — 1 г.</t>
        </is>
      </c>
      <c r="I300" s="170" t="inlineStr">
        <is>
          <t>11.12.2023</t>
        </is>
      </c>
    </row>
    <row r="301" ht="20" customHeight="1">
      <c r="A301" s="45" t="inlineStr">
        <is>
          <t>работник 130</t>
        </is>
      </c>
      <c r="B301" s="45" t="inlineStr">
        <is>
          <t>Слесарь-ремонтник</t>
        </is>
      </c>
      <c r="C301" s="45" t="inlineStr">
        <is>
          <t>46в. Огневые</t>
        </is>
      </c>
      <c r="D301" s="170" t="inlineStr">
        <is>
          <t>раз в год</t>
        </is>
      </c>
      <c r="E301" s="171" t="n">
        <v>645</v>
      </c>
      <c r="F301" s="171" t="n">
        <v>1</v>
      </c>
      <c r="G301" s="45" t="inlineStr">
        <is>
          <t>11.12.2023</t>
        </is>
      </c>
      <c r="H301" s="45" t="inlineStr">
        <is>
          <t>После 11.12.2023 до конца реестра 17.09.2026 прошло 2 г. 280 дн., норма — 1 г.</t>
        </is>
      </c>
      <c r="I301" s="170" t="inlineStr">
        <is>
          <t>11.12.2023</t>
        </is>
      </c>
    </row>
    <row r="302" ht="20" customHeight="1">
      <c r="A302" s="45" t="inlineStr">
        <is>
          <t>работник 247</t>
        </is>
      </c>
      <c r="B302" s="45" t="inlineStr">
        <is>
          <t>Электрогазосварщик</t>
        </is>
      </c>
      <c r="C302" s="45" t="inlineStr">
        <is>
          <t>46в. Огневые</t>
        </is>
      </c>
      <c r="D302" s="170" t="inlineStr">
        <is>
          <t>раз в год</t>
        </is>
      </c>
      <c r="E302" s="171" t="n">
        <v>595</v>
      </c>
      <c r="F302" s="171" t="n">
        <v>1</v>
      </c>
      <c r="G302" s="45" t="inlineStr">
        <is>
          <t>30.01.2024</t>
        </is>
      </c>
      <c r="H302" s="45" t="inlineStr">
        <is>
          <t>После 30.01.2024 до конца реестра 17.09.2026 прошло 2 г. 230 дн., норма — 1 г.</t>
        </is>
      </c>
      <c r="I302" s="170" t="inlineStr">
        <is>
          <t>30.01.2024</t>
        </is>
      </c>
    </row>
    <row r="303" ht="20" customHeight="1">
      <c r="A303" s="45" t="inlineStr">
        <is>
          <t>работник 246</t>
        </is>
      </c>
      <c r="B303" s="45" t="inlineStr">
        <is>
          <t>Слесарь-ремонтник</t>
        </is>
      </c>
      <c r="C303" s="45" t="inlineStr">
        <is>
          <t>46в. Огневые</t>
        </is>
      </c>
      <c r="D303" s="170" t="inlineStr">
        <is>
          <t>раз в год</t>
        </is>
      </c>
      <c r="E303" s="171" t="n">
        <v>582</v>
      </c>
      <c r="F303" s="171" t="n">
        <v>1</v>
      </c>
      <c r="G303" s="45" t="inlineStr">
        <is>
          <t>12.02.2024</t>
        </is>
      </c>
      <c r="H303" s="45" t="inlineStr">
        <is>
          <t>После 12.02.2024 до конца реестра 17.09.2026 прошло 2 г. 217 дн., норма — 1 г.</t>
        </is>
      </c>
      <c r="I303" s="170" t="inlineStr">
        <is>
          <t>01.02.2024</t>
        </is>
      </c>
    </row>
    <row r="304" ht="20" customHeight="1">
      <c r="A304" s="45" t="inlineStr">
        <is>
          <t>работник 32</t>
        </is>
      </c>
      <c r="B304" s="45" t="inlineStr">
        <is>
          <t>Электромонтер по ремонту и обслуживанию электрооборудования</t>
        </is>
      </c>
      <c r="C304" s="45" t="inlineStr">
        <is>
          <t>46в. Огневые</t>
        </is>
      </c>
      <c r="D304" s="170" t="inlineStr">
        <is>
          <t>раз в год</t>
        </is>
      </c>
      <c r="E304" s="171" t="n">
        <v>281</v>
      </c>
      <c r="F304" s="171" t="n">
        <v>1</v>
      </c>
      <c r="G304" s="45" t="inlineStr">
        <is>
          <t>10.12.2024</t>
        </is>
      </c>
      <c r="H304" s="45" t="inlineStr">
        <is>
          <t>После 10.12.2024 до конца реестра 17.09.2026 прошло 1 г. 281 дн., норма — 1 г.</t>
        </is>
      </c>
      <c r="I304" s="170" t="inlineStr">
        <is>
          <t>24.11.2023</t>
        </is>
      </c>
    </row>
    <row r="305" ht="20" customHeight="1">
      <c r="A305" s="45" t="inlineStr">
        <is>
          <t>работник 305</t>
        </is>
      </c>
      <c r="B305" s="45" t="inlineStr">
        <is>
          <t>Электромонтер по ремонту и обслуживанию электрооборудования</t>
        </is>
      </c>
      <c r="C305" s="45" t="inlineStr">
        <is>
          <t>46в. Огневые</t>
        </is>
      </c>
      <c r="D305" s="170" t="inlineStr">
        <is>
          <t>раз в год</t>
        </is>
      </c>
      <c r="E305" s="171" t="n">
        <v>281</v>
      </c>
      <c r="F305" s="171" t="n">
        <v>1</v>
      </c>
      <c r="G305" s="45" t="inlineStr">
        <is>
          <t>10.12.2024</t>
        </is>
      </c>
      <c r="H305" s="45" t="inlineStr">
        <is>
          <t>После 10.12.2024 до конца реестра 17.09.2026 прошло 1 г. 281 дн., норма — 1 г.</t>
        </is>
      </c>
      <c r="I305" s="170" t="inlineStr">
        <is>
          <t>06.03.2024</t>
        </is>
      </c>
    </row>
    <row r="306" ht="32" customHeight="1">
      <c r="A306" s="45" t="inlineStr">
        <is>
          <t>работник 26</t>
        </is>
      </c>
      <c r="B306" s="45" t="inlineStr">
        <is>
          <t>Электрогазосварщик</t>
        </is>
      </c>
      <c r="C306" s="45" t="inlineStr">
        <is>
          <t>46в. Огневые</t>
        </is>
      </c>
      <c r="D306" s="170" t="inlineStr">
        <is>
          <t>раз в год</t>
        </is>
      </c>
      <c r="E306" s="171" t="n">
        <v>281</v>
      </c>
      <c r="F306" s="171" t="n">
        <v>2</v>
      </c>
      <c r="G306" s="45" t="inlineStr">
        <is>
          <t>24.11.2023; 10.12.2024</t>
        </is>
      </c>
      <c r="H306" s="45" t="inlineStr">
        <is>
          <t>Между 24.11.2023 и 10.12.2024 прошло 1 г. 16 дн., норма — 1 г. После 10.12.2024 до конца реестра 17.09.2026 прошло 1 г. 281 дн., норма — 1 г.</t>
        </is>
      </c>
      <c r="I306" s="170" t="inlineStr">
        <is>
          <t>24.11.2023</t>
        </is>
      </c>
    </row>
    <row r="307" ht="32" customHeight="1">
      <c r="A307" s="45" t="inlineStr">
        <is>
          <t>работник 28</t>
        </is>
      </c>
      <c r="B307" s="45" t="inlineStr">
        <is>
          <t>Электрогазосварщик</t>
        </is>
      </c>
      <c r="C307" s="45" t="inlineStr">
        <is>
          <t>46в. Огневые</t>
        </is>
      </c>
      <c r="D307" s="170" t="inlineStr">
        <is>
          <t>раз в год</t>
        </is>
      </c>
      <c r="E307" s="171" t="n">
        <v>281</v>
      </c>
      <c r="F307" s="171" t="n">
        <v>2</v>
      </c>
      <c r="G307" s="45" t="inlineStr">
        <is>
          <t>24.11.2023; 10.12.2024</t>
        </is>
      </c>
      <c r="H307" s="45" t="inlineStr">
        <is>
          <t>Между 24.11.2023 и 10.12.2024 прошло 1 г. 16 дн., норма — 1 г. После 10.12.2024 до конца реестра 17.09.2026 прошло 1 г. 281 дн., норма — 1 г.</t>
        </is>
      </c>
      <c r="I307" s="170" t="inlineStr">
        <is>
          <t>24.11.2023</t>
        </is>
      </c>
    </row>
    <row r="308" ht="20" customHeight="1">
      <c r="A308" s="45" t="inlineStr">
        <is>
          <t>работник 444</t>
        </is>
      </c>
      <c r="B308" s="45" t="inlineStr">
        <is>
          <t>Слесарь-ремонтник</t>
        </is>
      </c>
      <c r="C308" s="45" t="inlineStr">
        <is>
          <t>46в. Огневые</t>
        </is>
      </c>
      <c r="D308" s="170" t="inlineStr">
        <is>
          <t>раз в год</t>
        </is>
      </c>
      <c r="E308" s="171" t="n">
        <v>281</v>
      </c>
      <c r="F308" s="171" t="n">
        <v>1</v>
      </c>
      <c r="G308" s="45" t="inlineStr">
        <is>
          <t>10.12.2024</t>
        </is>
      </c>
      <c r="H308" s="45" t="inlineStr">
        <is>
          <t>После 10.12.2024 до конца реестра 17.09.2026 прошло 1 г. 281 дн., норма — 1 г.</t>
        </is>
      </c>
      <c r="I308" s="170" t="inlineStr">
        <is>
          <t>25.10.2024</t>
        </is>
      </c>
    </row>
    <row r="309" ht="20" customHeight="1">
      <c r="A309" s="45" t="inlineStr">
        <is>
          <t>работник 31</t>
        </is>
      </c>
      <c r="B309" s="45" t="inlineStr">
        <is>
          <t>Электромонтер по ремонту и обслуживанию электрооборудования</t>
        </is>
      </c>
      <c r="C309" s="45" t="inlineStr">
        <is>
          <t>46в. Огневые</t>
        </is>
      </c>
      <c r="D309" s="170" t="inlineStr">
        <is>
          <t>раз в год</t>
        </is>
      </c>
      <c r="E309" s="171" t="n">
        <v>281</v>
      </c>
      <c r="F309" s="171" t="n">
        <v>1</v>
      </c>
      <c r="G309" s="45" t="inlineStr">
        <is>
          <t>10.12.2024</t>
        </is>
      </c>
      <c r="H309" s="45" t="inlineStr">
        <is>
          <t>После 10.12.2024 до конца реестра 17.09.2026 прошло 1 г. 281 дн., норма — 1 г.</t>
        </is>
      </c>
      <c r="I309" s="170" t="inlineStr">
        <is>
          <t>24.11.2023</t>
        </is>
      </c>
    </row>
    <row r="310" ht="20" customHeight="1">
      <c r="A310" s="45" t="inlineStr">
        <is>
          <t>работник 132</t>
        </is>
      </c>
      <c r="B310" s="45" t="inlineStr">
        <is>
          <t>Электрогазосварщик</t>
        </is>
      </c>
      <c r="C310" s="45" t="inlineStr">
        <is>
          <t>46в. Огневые</t>
        </is>
      </c>
      <c r="D310" s="170" t="inlineStr">
        <is>
          <t>раз в год</t>
        </is>
      </c>
      <c r="E310" s="171" t="n">
        <v>281</v>
      </c>
      <c r="F310" s="171" t="n">
        <v>2</v>
      </c>
      <c r="G310" s="45" t="inlineStr">
        <is>
          <t>11.12.2023; 10.12.2024</t>
        </is>
      </c>
      <c r="H310" s="45" t="inlineStr">
        <is>
          <t>После 10.12.2024 до конца реестра 17.09.2026 прошло 1 г. 281 дн., норма — 1 г.</t>
        </is>
      </c>
      <c r="I310" s="170" t="inlineStr">
        <is>
          <t>11.12.2023</t>
        </is>
      </c>
    </row>
    <row r="311" ht="20" customHeight="1">
      <c r="A311" s="45" t="inlineStr">
        <is>
          <t>работник 432</t>
        </is>
      </c>
      <c r="B311" s="45" t="inlineStr">
        <is>
          <t>Слесарь-ремонтник</t>
        </is>
      </c>
      <c r="C311" s="45" t="inlineStr">
        <is>
          <t>46в. Огневые</t>
        </is>
      </c>
      <c r="D311" s="170" t="inlineStr">
        <is>
          <t>раз в год</t>
        </is>
      </c>
      <c r="E311" s="171" t="n">
        <v>281</v>
      </c>
      <c r="F311" s="171" t="n">
        <v>1</v>
      </c>
      <c r="G311" s="45" t="inlineStr">
        <is>
          <t>10.12.2024</t>
        </is>
      </c>
      <c r="H311" s="45" t="inlineStr">
        <is>
          <t>После 10.12.2024 до конца реестра 17.09.2026 прошло 1 г. 281 дн., норма — 1 г.</t>
        </is>
      </c>
      <c r="I311" s="170" t="inlineStr">
        <is>
          <t>25.10.2024</t>
        </is>
      </c>
    </row>
    <row r="312" ht="20" customHeight="1">
      <c r="A312" s="45" t="inlineStr">
        <is>
          <t>работник 448</t>
        </is>
      </c>
      <c r="B312" s="45" t="inlineStr">
        <is>
          <t>Слесарь по контрольно-измерительным приборам и автоматике</t>
        </is>
      </c>
      <c r="C312" s="45" t="inlineStr">
        <is>
          <t>46в. Огневые</t>
        </is>
      </c>
      <c r="D312" s="170" t="inlineStr">
        <is>
          <t>раз в год</t>
        </is>
      </c>
      <c r="E312" s="171" t="n">
        <v>281</v>
      </c>
      <c r="F312" s="171" t="n">
        <v>1</v>
      </c>
      <c r="G312" s="45" t="inlineStr">
        <is>
          <t>10.12.2024</t>
        </is>
      </c>
      <c r="H312" s="45" t="inlineStr">
        <is>
          <t>После 10.12.2024 до конца реестра 17.09.2026 прошло 1 г. 281 дн., норма — 1 г.</t>
        </is>
      </c>
      <c r="I312" s="170" t="inlineStr">
        <is>
          <t>25.10.2024</t>
        </is>
      </c>
    </row>
    <row r="313" ht="20" customHeight="1">
      <c r="A313" s="45" t="inlineStr">
        <is>
          <t>работник 449</t>
        </is>
      </c>
      <c r="B313" s="45" t="inlineStr">
        <is>
          <t>Слесарь-ремонтник</t>
        </is>
      </c>
      <c r="C313" s="45" t="inlineStr">
        <is>
          <t>46в. Огневые</t>
        </is>
      </c>
      <c r="D313" s="170" t="inlineStr">
        <is>
          <t>раз в год</t>
        </is>
      </c>
      <c r="E313" s="171" t="n">
        <v>281</v>
      </c>
      <c r="F313" s="171" t="n">
        <v>1</v>
      </c>
      <c r="G313" s="45" t="inlineStr">
        <is>
          <t>10.12.2024</t>
        </is>
      </c>
      <c r="H313" s="45" t="inlineStr">
        <is>
          <t>После 10.12.2024 до конца реестра 17.09.2026 прошло 1 г. 281 дн., норма — 1 г.</t>
        </is>
      </c>
      <c r="I313" s="170" t="inlineStr">
        <is>
          <t>25.10.2024</t>
        </is>
      </c>
    </row>
    <row r="314" ht="20" customHeight="1">
      <c r="A314" s="45" t="inlineStr">
        <is>
          <t>работник 131</t>
        </is>
      </c>
      <c r="B314" s="45" t="inlineStr">
        <is>
          <t>Электрогазосварщик</t>
        </is>
      </c>
      <c r="C314" s="45" t="inlineStr">
        <is>
          <t>46в. Огневые</t>
        </is>
      </c>
      <c r="D314" s="170" t="inlineStr">
        <is>
          <t>раз в год</t>
        </is>
      </c>
      <c r="E314" s="171" t="n">
        <v>281</v>
      </c>
      <c r="F314" s="171" t="n">
        <v>2</v>
      </c>
      <c r="G314" s="45" t="inlineStr">
        <is>
          <t>11.12.2023; 10.12.2024</t>
        </is>
      </c>
      <c r="H314" s="45" t="inlineStr">
        <is>
          <t>После 10.12.2024 до конца реестра 17.09.2026 прошло 1 г. 281 дн., норма — 1 г.</t>
        </is>
      </c>
      <c r="I314" s="170" t="inlineStr">
        <is>
          <t>11.12.2023</t>
        </is>
      </c>
    </row>
    <row r="315" ht="20" customHeight="1">
      <c r="A315" s="45" t="inlineStr">
        <is>
          <t>работник 425</t>
        </is>
      </c>
      <c r="B315" s="45" t="inlineStr">
        <is>
          <t>Слесарь-ремонтник</t>
        </is>
      </c>
      <c r="C315" s="45" t="inlineStr">
        <is>
          <t>46в. Огневые</t>
        </is>
      </c>
      <c r="D315" s="170" t="inlineStr">
        <is>
          <t>раз в год</t>
        </is>
      </c>
      <c r="E315" s="171" t="n">
        <v>281</v>
      </c>
      <c r="F315" s="171" t="n">
        <v>1</v>
      </c>
      <c r="G315" s="45" t="inlineStr">
        <is>
          <t>10.12.2024</t>
        </is>
      </c>
      <c r="H315" s="45" t="inlineStr">
        <is>
          <t>После 10.12.2024 до конца реестра 17.09.2026 прошло 1 г. 281 дн., норма — 1 г.</t>
        </is>
      </c>
      <c r="I315" s="170" t="inlineStr">
        <is>
          <t>20.10.2024</t>
        </is>
      </c>
    </row>
    <row r="316" ht="20" customHeight="1">
      <c r="A316" s="45" t="inlineStr">
        <is>
          <t>работник 507</t>
        </is>
      </c>
      <c r="B316" s="45" t="inlineStr">
        <is>
          <t>Электрогазосварщик</t>
        </is>
      </c>
      <c r="C316" s="45" t="inlineStr">
        <is>
          <t>46в. Огневые</t>
        </is>
      </c>
      <c r="D316" s="170" t="inlineStr">
        <is>
          <t>раз в год</t>
        </is>
      </c>
      <c r="E316" s="171" t="n">
        <v>225</v>
      </c>
      <c r="F316" s="171" t="n">
        <v>2</v>
      </c>
      <c r="G316" s="45" t="inlineStr">
        <is>
          <t>10.12.2024; 23.07.2026</t>
        </is>
      </c>
      <c r="H316" s="45" t="inlineStr">
        <is>
          <t>Между 10.12.2024 и 23.07.2026 прошло 1 г. 225 дн., норма — 1 г.</t>
        </is>
      </c>
      <c r="I316" s="170" t="inlineStr">
        <is>
          <t>10.12.2024</t>
        </is>
      </c>
    </row>
    <row r="317" ht="20" customHeight="1">
      <c r="A317" s="45" t="inlineStr">
        <is>
          <t>работник 504</t>
        </is>
      </c>
      <c r="B317" s="45" t="inlineStr">
        <is>
          <t>Электрогазосварщик</t>
        </is>
      </c>
      <c r="C317" s="45" t="inlineStr">
        <is>
          <t>46в. Огневые</t>
        </is>
      </c>
      <c r="D317" s="170" t="inlineStr">
        <is>
          <t>раз в год</t>
        </is>
      </c>
      <c r="E317" s="171" t="n">
        <v>177</v>
      </c>
      <c r="F317" s="171" t="n">
        <v>2</v>
      </c>
      <c r="G317" s="45" t="inlineStr">
        <is>
          <t>10.12.2024; 05.06.2026</t>
        </is>
      </c>
      <c r="H317" s="45" t="inlineStr">
        <is>
          <t>Между 10.12.2024 и 05.06.2026 прошло 1 г. 177 дн., норма — 1 г.</t>
        </is>
      </c>
      <c r="I317" s="170" t="inlineStr">
        <is>
          <t>25.11.2024</t>
        </is>
      </c>
    </row>
    <row r="318" ht="20" customHeight="1">
      <c r="A318" s="45" t="inlineStr">
        <is>
          <t>работник 133</t>
        </is>
      </c>
      <c r="B318" s="45" t="inlineStr">
        <is>
          <t>Электрогазосварщик</t>
        </is>
      </c>
      <c r="C318" s="45" t="inlineStr">
        <is>
          <t>46в. Огневые</t>
        </is>
      </c>
      <c r="D318" s="170" t="inlineStr">
        <is>
          <t>раз в год</t>
        </is>
      </c>
      <c r="E318" s="171" t="n">
        <v>177</v>
      </c>
      <c r="F318" s="171" t="n">
        <v>3</v>
      </c>
      <c r="G318" s="45" t="inlineStr">
        <is>
          <t>11.12.2023; 10.12.2024; 05.06.2026</t>
        </is>
      </c>
      <c r="H318" s="45" t="inlineStr">
        <is>
          <t>Между 10.12.2024 и 05.06.2026 прошло 1 г. 177 дн., норма — 1 г.</t>
        </is>
      </c>
      <c r="I318" s="170" t="inlineStr">
        <is>
          <t>11.12.2023</t>
        </is>
      </c>
    </row>
    <row r="319" ht="20" customHeight="1">
      <c r="A319" s="45" t="inlineStr">
        <is>
          <t>работник 477</t>
        </is>
      </c>
      <c r="B319" s="45" t="inlineStr">
        <is>
          <t>Слесарь-ремонтник / Слесарь-ремонтник (по ремонту обогатительного оборудования)</t>
        </is>
      </c>
      <c r="C319" s="45" t="inlineStr">
        <is>
          <t>46в. Огневые</t>
        </is>
      </c>
      <c r="D319" s="170" t="inlineStr">
        <is>
          <t>раз в год</t>
        </is>
      </c>
      <c r="E319" s="171" t="n">
        <v>177</v>
      </c>
      <c r="F319" s="171" t="n">
        <v>2</v>
      </c>
      <c r="G319" s="45" t="inlineStr">
        <is>
          <t>10.12.2024; 05.06.2026</t>
        </is>
      </c>
      <c r="H319" s="45" t="inlineStr">
        <is>
          <t>Между 10.12.2024 и 05.06.2026 прошло 1 г. 177 дн., норма — 1 г.</t>
        </is>
      </c>
      <c r="I319" s="170" t="inlineStr">
        <is>
          <t>13.11.2024</t>
        </is>
      </c>
    </row>
    <row r="320" ht="32" customHeight="1">
      <c r="A320" s="45" t="inlineStr">
        <is>
          <t>работник 23</t>
        </is>
      </c>
      <c r="B320" s="45" t="inlineStr">
        <is>
          <t>Слесарь-ремонтник / Слесарь-ремонтник (по ремонту обогатительного оборудования)</t>
        </is>
      </c>
      <c r="C320" s="45" t="inlineStr">
        <is>
          <t>46в. Огневые</t>
        </is>
      </c>
      <c r="D320" s="170" t="inlineStr">
        <is>
          <t>раз в год</t>
        </is>
      </c>
      <c r="E320" s="171" t="n">
        <v>177</v>
      </c>
      <c r="F320" s="171" t="n">
        <v>3</v>
      </c>
      <c r="G320" s="45" t="inlineStr">
        <is>
          <t>24.11.2023; 10.12.2024; 05.06.2026</t>
        </is>
      </c>
      <c r="H320" s="45" t="inlineStr">
        <is>
          <t>Между 24.11.2023 и 10.12.2024 прошло 1 г. 16 дн., норма — 1 г. Между 10.12.2024 и 05.06.2026 прошло 1 г. 177 дн., норма — 1 г.</t>
        </is>
      </c>
      <c r="I320" s="170" t="inlineStr">
        <is>
          <t>24.11.2023</t>
        </is>
      </c>
    </row>
    <row r="321" ht="32" customHeight="1">
      <c r="A321" s="45" t="inlineStr">
        <is>
          <t>работник 24</t>
        </is>
      </c>
      <c r="B321" s="45" t="inlineStr">
        <is>
          <t>Слесарь-ремонтник / Слесарь-ремонтник (по ремонту обогатительного оборудования)</t>
        </is>
      </c>
      <c r="C321" s="45" t="inlineStr">
        <is>
          <t>46в. Огневые</t>
        </is>
      </c>
      <c r="D321" s="170" t="inlineStr">
        <is>
          <t>раз в год</t>
        </is>
      </c>
      <c r="E321" s="171" t="n">
        <v>177</v>
      </c>
      <c r="F321" s="171" t="n">
        <v>3</v>
      </c>
      <c r="G321" s="45" t="inlineStr">
        <is>
          <t>24.11.2023; 10.12.2024; 05.06.2026</t>
        </is>
      </c>
      <c r="H321" s="45" t="inlineStr">
        <is>
          <t>Между 24.11.2023 и 10.12.2024 прошло 1 г. 16 дн., норма — 1 г. Между 10.12.2024 и 05.06.2026 прошло 1 г. 177 дн., норма — 1 г.</t>
        </is>
      </c>
      <c r="I321" s="170" t="inlineStr">
        <is>
          <t>24.11.2023</t>
        </is>
      </c>
    </row>
    <row r="322" ht="20" customHeight="1">
      <c r="A322" s="45" t="inlineStr">
        <is>
          <t>работник 25</t>
        </is>
      </c>
      <c r="B322" s="45" t="inlineStr">
        <is>
          <t>Слесарь-ремонтник</t>
        </is>
      </c>
      <c r="C322" s="45" t="inlineStr">
        <is>
          <t>46в. Подъемные сооружения</t>
        </is>
      </c>
      <c r="D322" s="170" t="inlineStr">
        <is>
          <t>раз в год</t>
        </is>
      </c>
      <c r="E322" s="171" t="n">
        <v>662</v>
      </c>
      <c r="F322" s="171" t="n">
        <v>1</v>
      </c>
      <c r="G322" s="45" t="inlineStr">
        <is>
          <t>24.11.2023</t>
        </is>
      </c>
      <c r="H322" s="45" t="inlineStr">
        <is>
          <t>После 24.11.2023 до конца реестра 17.09.2026 прошло 2 г. 297 дн., норма — 1 г.</t>
        </is>
      </c>
      <c r="I322" s="170" t="inlineStr">
        <is>
          <t>24.11.2023</t>
        </is>
      </c>
    </row>
    <row r="323" ht="20" customHeight="1">
      <c r="A323" s="45" t="inlineStr">
        <is>
          <t>работник 29</t>
        </is>
      </c>
      <c r="B323" s="45" t="inlineStr">
        <is>
          <t>Электрогазосварщик</t>
        </is>
      </c>
      <c r="C323" s="45" t="inlineStr">
        <is>
          <t>46в. Подъемные сооружения</t>
        </is>
      </c>
      <c r="D323" s="170" t="inlineStr">
        <is>
          <t>раз в год</t>
        </is>
      </c>
      <c r="E323" s="171" t="n">
        <v>662</v>
      </c>
      <c r="F323" s="171" t="n">
        <v>1</v>
      </c>
      <c r="G323" s="45" t="inlineStr">
        <is>
          <t>24.11.2023</t>
        </is>
      </c>
      <c r="H323" s="45" t="inlineStr">
        <is>
          <t>После 24.11.2023 до конца реестра 17.09.2026 прошло 2 г. 297 дн., норма — 1 г.</t>
        </is>
      </c>
      <c r="I323" s="170" t="inlineStr">
        <is>
          <t>24.11.2023</t>
        </is>
      </c>
    </row>
    <row r="324" ht="20" customHeight="1">
      <c r="A324" s="45" t="inlineStr">
        <is>
          <t>работник 27</t>
        </is>
      </c>
      <c r="B324" s="45" t="inlineStr">
        <is>
          <t>Электрогазосварщик</t>
        </is>
      </c>
      <c r="C324" s="45" t="inlineStr">
        <is>
          <t>46в. Подъемные сооружения</t>
        </is>
      </c>
      <c r="D324" s="170" t="inlineStr">
        <is>
          <t>раз в год</t>
        </is>
      </c>
      <c r="E324" s="171" t="n">
        <v>662</v>
      </c>
      <c r="F324" s="171" t="n">
        <v>1</v>
      </c>
      <c r="G324" s="45" t="inlineStr">
        <is>
          <t>24.11.2023</t>
        </is>
      </c>
      <c r="H324" s="45" t="inlineStr">
        <is>
          <t>После 24.11.2023 до конца реестра 17.09.2026 прошло 2 г. 297 дн., норма — 1 г.</t>
        </is>
      </c>
      <c r="I324" s="170" t="inlineStr">
        <is>
          <t>24.11.2023</t>
        </is>
      </c>
    </row>
    <row r="325" ht="20" customHeight="1">
      <c r="A325" s="45" t="inlineStr">
        <is>
          <t>работник 129</t>
        </is>
      </c>
      <c r="B325" s="45" t="inlineStr">
        <is>
          <t>Слесарь-ремонтник</t>
        </is>
      </c>
      <c r="C325" s="45" t="inlineStr">
        <is>
          <t>46в. Подъемные сооружения</t>
        </is>
      </c>
      <c r="D325" s="170" t="inlineStr">
        <is>
          <t>раз в год</t>
        </is>
      </c>
      <c r="E325" s="171" t="n">
        <v>645</v>
      </c>
      <c r="F325" s="171" t="n">
        <v>1</v>
      </c>
      <c r="G325" s="45" t="inlineStr">
        <is>
          <t>11.12.2023</t>
        </is>
      </c>
      <c r="H325" s="45" t="inlineStr">
        <is>
          <t>После 11.12.2023 до конца реестра 17.09.2026 прошло 2 г. 280 дн., норма — 1 г.</t>
        </is>
      </c>
      <c r="I325" s="170" t="inlineStr">
        <is>
          <t>11.12.2023</t>
        </is>
      </c>
    </row>
    <row r="326" ht="20" customHeight="1">
      <c r="A326" s="45" t="inlineStr">
        <is>
          <t>работник 130</t>
        </is>
      </c>
      <c r="B326" s="45" t="inlineStr">
        <is>
          <t>Слесарь-ремонтник</t>
        </is>
      </c>
      <c r="C326" s="45" t="inlineStr">
        <is>
          <t>46в. Подъемные сооружения</t>
        </is>
      </c>
      <c r="D326" s="170" t="inlineStr">
        <is>
          <t>раз в год</t>
        </is>
      </c>
      <c r="E326" s="171" t="n">
        <v>645</v>
      </c>
      <c r="F326" s="171" t="n">
        <v>1</v>
      </c>
      <c r="G326" s="45" t="inlineStr">
        <is>
          <t>11.12.2023</t>
        </is>
      </c>
      <c r="H326" s="45" t="inlineStr">
        <is>
          <t>После 11.12.2023 до конца реестра 17.09.2026 прошло 2 г. 280 дн., норма — 1 г.</t>
        </is>
      </c>
      <c r="I326" s="170" t="inlineStr">
        <is>
          <t>11.12.2023</t>
        </is>
      </c>
    </row>
    <row r="327" ht="20" customHeight="1">
      <c r="A327" s="45" t="inlineStr">
        <is>
          <t>работник 247</t>
        </is>
      </c>
      <c r="B327" s="45" t="inlineStr">
        <is>
          <t>Электрогазосварщик</t>
        </is>
      </c>
      <c r="C327" s="45" t="inlineStr">
        <is>
          <t>46в. Подъемные сооружения</t>
        </is>
      </c>
      <c r="D327" s="170" t="inlineStr">
        <is>
          <t>раз в год</t>
        </is>
      </c>
      <c r="E327" s="171" t="n">
        <v>595</v>
      </c>
      <c r="F327" s="171" t="n">
        <v>1</v>
      </c>
      <c r="G327" s="45" t="inlineStr">
        <is>
          <t>30.01.2024</t>
        </is>
      </c>
      <c r="H327" s="45" t="inlineStr">
        <is>
          <t>После 30.01.2024 до конца реестра 17.09.2026 прошло 2 г. 230 дн., норма — 1 г.</t>
        </is>
      </c>
      <c r="I327" s="170" t="inlineStr">
        <is>
          <t>30.01.2024</t>
        </is>
      </c>
    </row>
    <row r="328" ht="20" customHeight="1">
      <c r="A328" s="45" t="inlineStr">
        <is>
          <t>работник 246</t>
        </is>
      </c>
      <c r="B328" s="45" t="inlineStr">
        <is>
          <t>Слесарь-ремонтник</t>
        </is>
      </c>
      <c r="C328" s="45" t="inlineStr">
        <is>
          <t>46в. Подъемные сооружения</t>
        </is>
      </c>
      <c r="D328" s="170" t="inlineStr">
        <is>
          <t>раз в год</t>
        </is>
      </c>
      <c r="E328" s="171" t="n">
        <v>582</v>
      </c>
      <c r="F328" s="171" t="n">
        <v>1</v>
      </c>
      <c r="G328" s="45" t="inlineStr">
        <is>
          <t>12.02.2024</t>
        </is>
      </c>
      <c r="H328" s="45" t="inlineStr">
        <is>
          <t>После 12.02.2024 до конца реестра 17.09.2026 прошло 2 г. 217 дн., норма — 1 г.</t>
        </is>
      </c>
      <c r="I328" s="170" t="inlineStr">
        <is>
          <t>01.02.2024</t>
        </is>
      </c>
    </row>
    <row r="329" ht="20" customHeight="1">
      <c r="A329" s="45" t="inlineStr">
        <is>
          <t>работник 32</t>
        </is>
      </c>
      <c r="B329" s="45" t="inlineStr">
        <is>
          <t>Электромонтер по ремонту и обслуживанию электрооборудования</t>
        </is>
      </c>
      <c r="C329" s="45" t="inlineStr">
        <is>
          <t>46в. Подъемные сооружения</t>
        </is>
      </c>
      <c r="D329" s="170" t="inlineStr">
        <is>
          <t>раз в год</t>
        </is>
      </c>
      <c r="E329" s="171" t="n">
        <v>281</v>
      </c>
      <c r="F329" s="171" t="n">
        <v>1</v>
      </c>
      <c r="G329" s="45" t="inlineStr">
        <is>
          <t>10.12.2024</t>
        </is>
      </c>
      <c r="H329" s="45" t="inlineStr">
        <is>
          <t>После 10.12.2024 до конца реестра 17.09.2026 прошло 1 г. 281 дн., норма — 1 г.</t>
        </is>
      </c>
      <c r="I329" s="170" t="inlineStr">
        <is>
          <t>24.11.2023</t>
        </is>
      </c>
    </row>
    <row r="330" ht="20" customHeight="1">
      <c r="A330" s="45" t="inlineStr">
        <is>
          <t>работник 507</t>
        </is>
      </c>
      <c r="B330" s="45" t="inlineStr">
        <is>
          <t>Электрогазосварщик</t>
        </is>
      </c>
      <c r="C330" s="45" t="inlineStr">
        <is>
          <t>46в. Подъемные сооружения</t>
        </is>
      </c>
      <c r="D330" s="170" t="inlineStr">
        <is>
          <t>раз в год</t>
        </is>
      </c>
      <c r="E330" s="171" t="n">
        <v>281</v>
      </c>
      <c r="F330" s="171" t="n">
        <v>1</v>
      </c>
      <c r="G330" s="45" t="inlineStr">
        <is>
          <t>10.12.2024</t>
        </is>
      </c>
      <c r="H330" s="45" t="inlineStr">
        <is>
          <t>После 10.12.2024 до конца реестра 17.09.2026 прошло 1 г. 281 дн., норма — 1 г.</t>
        </is>
      </c>
      <c r="I330" s="170" t="inlineStr">
        <is>
          <t>10.12.2024</t>
        </is>
      </c>
    </row>
    <row r="331" ht="20" customHeight="1">
      <c r="A331" s="45" t="inlineStr">
        <is>
          <t>работник 305</t>
        </is>
      </c>
      <c r="B331" s="45" t="inlineStr">
        <is>
          <t>Электромонтер по ремонту и обслуживанию электрооборудования</t>
        </is>
      </c>
      <c r="C331" s="45" t="inlineStr">
        <is>
          <t>46в. Подъемные сооружения</t>
        </is>
      </c>
      <c r="D331" s="170" t="inlineStr">
        <is>
          <t>раз в год</t>
        </is>
      </c>
      <c r="E331" s="171" t="n">
        <v>281</v>
      </c>
      <c r="F331" s="171" t="n">
        <v>1</v>
      </c>
      <c r="G331" s="45" t="inlineStr">
        <is>
          <t>10.12.2024</t>
        </is>
      </c>
      <c r="H331" s="45" t="inlineStr">
        <is>
          <t>После 10.12.2024 до конца реестра 17.09.2026 прошло 1 г. 281 дн., норма — 1 г.</t>
        </is>
      </c>
      <c r="I331" s="170" t="inlineStr">
        <is>
          <t>06.03.2024</t>
        </is>
      </c>
    </row>
    <row r="332" ht="20" customHeight="1">
      <c r="A332" s="45" t="inlineStr">
        <is>
          <t>работник 504</t>
        </is>
      </c>
      <c r="B332" s="45" t="inlineStr">
        <is>
          <t>Электрогазосварщик</t>
        </is>
      </c>
      <c r="C332" s="45" t="inlineStr">
        <is>
          <t>46в. Подъемные сооружения</t>
        </is>
      </c>
      <c r="D332" s="170" t="inlineStr">
        <is>
          <t>раз в год</t>
        </is>
      </c>
      <c r="E332" s="171" t="n">
        <v>281</v>
      </c>
      <c r="F332" s="171" t="n">
        <v>1</v>
      </c>
      <c r="G332" s="45" t="inlineStr">
        <is>
          <t>10.12.2024</t>
        </is>
      </c>
      <c r="H332" s="45" t="inlineStr">
        <is>
          <t>После 10.12.2024 до конца реестра 17.09.2026 прошло 1 г. 281 дн., норма — 1 г.</t>
        </is>
      </c>
      <c r="I332" s="170" t="inlineStr">
        <is>
          <t>25.11.2024</t>
        </is>
      </c>
    </row>
    <row r="333" ht="32" customHeight="1">
      <c r="A333" s="45" t="inlineStr">
        <is>
          <t>работник 26</t>
        </is>
      </c>
      <c r="B333" s="45" t="inlineStr">
        <is>
          <t>Электрогазосварщик</t>
        </is>
      </c>
      <c r="C333" s="45" t="inlineStr">
        <is>
          <t>46в. Подъемные сооружения</t>
        </is>
      </c>
      <c r="D333" s="170" t="inlineStr">
        <is>
          <t>раз в год</t>
        </is>
      </c>
      <c r="E333" s="171" t="n">
        <v>281</v>
      </c>
      <c r="F333" s="171" t="n">
        <v>2</v>
      </c>
      <c r="G333" s="45" t="inlineStr">
        <is>
          <t>24.11.2023; 10.12.2024</t>
        </is>
      </c>
      <c r="H333" s="45" t="inlineStr">
        <is>
          <t>Между 24.11.2023 и 10.12.2024 прошло 1 г. 16 дн., норма — 1 г. После 10.12.2024 до конца реестра 17.09.2026 прошло 1 г. 281 дн., норма — 1 г.</t>
        </is>
      </c>
      <c r="I333" s="170" t="inlineStr">
        <is>
          <t>24.11.2023</t>
        </is>
      </c>
    </row>
    <row r="334" ht="32" customHeight="1">
      <c r="A334" s="45" t="inlineStr">
        <is>
          <t>работник 28</t>
        </is>
      </c>
      <c r="B334" s="45" t="inlineStr">
        <is>
          <t>Электрогазосварщик</t>
        </is>
      </c>
      <c r="C334" s="45" t="inlineStr">
        <is>
          <t>46в. Подъемные сооружения</t>
        </is>
      </c>
      <c r="D334" s="170" t="inlineStr">
        <is>
          <t>раз в год</t>
        </is>
      </c>
      <c r="E334" s="171" t="n">
        <v>281</v>
      </c>
      <c r="F334" s="171" t="n">
        <v>2</v>
      </c>
      <c r="G334" s="45" t="inlineStr">
        <is>
          <t>24.11.2023; 10.12.2024</t>
        </is>
      </c>
      <c r="H334" s="45" t="inlineStr">
        <is>
          <t>Между 24.11.2023 и 10.12.2024 прошло 1 г. 16 дн., норма — 1 г. После 10.12.2024 до конца реестра 17.09.2026 прошло 1 г. 281 дн., норма — 1 г.</t>
        </is>
      </c>
      <c r="I334" s="170" t="inlineStr">
        <is>
          <t>24.11.2023</t>
        </is>
      </c>
    </row>
    <row r="335" ht="20" customHeight="1">
      <c r="A335" s="45" t="inlineStr">
        <is>
          <t>работник 444</t>
        </is>
      </c>
      <c r="B335" s="45" t="inlineStr">
        <is>
          <t>Слесарь-ремонтник</t>
        </is>
      </c>
      <c r="C335" s="45" t="inlineStr">
        <is>
          <t>46в. Подъемные сооружения</t>
        </is>
      </c>
      <c r="D335" s="170" t="inlineStr">
        <is>
          <t>раз в год</t>
        </is>
      </c>
      <c r="E335" s="171" t="n">
        <v>281</v>
      </c>
      <c r="F335" s="171" t="n">
        <v>1</v>
      </c>
      <c r="G335" s="45" t="inlineStr">
        <is>
          <t>10.12.2024</t>
        </is>
      </c>
      <c r="H335" s="45" t="inlineStr">
        <is>
          <t>После 10.12.2024 до конца реестра 17.09.2026 прошло 1 г. 281 дн., норма — 1 г.</t>
        </is>
      </c>
      <c r="I335" s="170" t="inlineStr">
        <is>
          <t>25.10.2024</t>
        </is>
      </c>
    </row>
    <row r="336" ht="20" customHeight="1">
      <c r="A336" s="45" t="inlineStr">
        <is>
          <t>работник 31</t>
        </is>
      </c>
      <c r="B336" s="45" t="inlineStr">
        <is>
          <t>Электромонтер по ремонту и обслуживанию электрооборудования</t>
        </is>
      </c>
      <c r="C336" s="45" t="inlineStr">
        <is>
          <t>46в. Подъемные сооружения</t>
        </is>
      </c>
      <c r="D336" s="170" t="inlineStr">
        <is>
          <t>раз в год</t>
        </is>
      </c>
      <c r="E336" s="171" t="n">
        <v>281</v>
      </c>
      <c r="F336" s="171" t="n">
        <v>1</v>
      </c>
      <c r="G336" s="45" t="inlineStr">
        <is>
          <t>10.12.2024</t>
        </is>
      </c>
      <c r="H336" s="45" t="inlineStr">
        <is>
          <t>После 10.12.2024 до конца реестра 17.09.2026 прошло 1 г. 281 дн., норма — 1 г.</t>
        </is>
      </c>
      <c r="I336" s="170" t="inlineStr">
        <is>
          <t>24.11.2023</t>
        </is>
      </c>
    </row>
    <row r="337" ht="20" customHeight="1">
      <c r="A337" s="45" t="inlineStr">
        <is>
          <t>работник 132</t>
        </is>
      </c>
      <c r="B337" s="45" t="inlineStr">
        <is>
          <t>Электрогазосварщик</t>
        </is>
      </c>
      <c r="C337" s="45" t="inlineStr">
        <is>
          <t>46в. Подъемные сооружения</t>
        </is>
      </c>
      <c r="D337" s="170" t="inlineStr">
        <is>
          <t>раз в год</t>
        </is>
      </c>
      <c r="E337" s="171" t="n">
        <v>281</v>
      </c>
      <c r="F337" s="171" t="n">
        <v>2</v>
      </c>
      <c r="G337" s="45" t="inlineStr">
        <is>
          <t>11.12.2023; 10.12.2024</t>
        </is>
      </c>
      <c r="H337" s="45" t="inlineStr">
        <is>
          <t>После 10.12.2024 до конца реестра 17.09.2026 прошло 1 г. 281 дн., норма — 1 г.</t>
        </is>
      </c>
      <c r="I337" s="170" t="inlineStr">
        <is>
          <t>11.12.2023</t>
        </is>
      </c>
    </row>
    <row r="338" ht="20" customHeight="1">
      <c r="A338" s="45" t="inlineStr">
        <is>
          <t>работник 133</t>
        </is>
      </c>
      <c r="B338" s="45" t="inlineStr">
        <is>
          <t>Электрогазосварщик</t>
        </is>
      </c>
      <c r="C338" s="45" t="inlineStr">
        <is>
          <t>46в. Подъемные сооружения</t>
        </is>
      </c>
      <c r="D338" s="170" t="inlineStr">
        <is>
          <t>раз в год</t>
        </is>
      </c>
      <c r="E338" s="171" t="n">
        <v>281</v>
      </c>
      <c r="F338" s="171" t="n">
        <v>2</v>
      </c>
      <c r="G338" s="45" t="inlineStr">
        <is>
          <t>11.12.2023; 10.12.2024</t>
        </is>
      </c>
      <c r="H338" s="45" t="inlineStr">
        <is>
          <t>После 10.12.2024 до конца реестра 17.09.2026 прошло 1 г. 281 дн., норма — 1 г.</t>
        </is>
      </c>
      <c r="I338" s="170" t="inlineStr">
        <is>
          <t>11.12.2023</t>
        </is>
      </c>
    </row>
    <row r="339" ht="20" customHeight="1">
      <c r="A339" s="45" t="inlineStr">
        <is>
          <t>работник 432</t>
        </is>
      </c>
      <c r="B339" s="45" t="inlineStr">
        <is>
          <t>Слесарь-ремонтник</t>
        </is>
      </c>
      <c r="C339" s="45" t="inlineStr">
        <is>
          <t>46в. Подъемные сооружения</t>
        </is>
      </c>
      <c r="D339" s="170" t="inlineStr">
        <is>
          <t>раз в год</t>
        </is>
      </c>
      <c r="E339" s="171" t="n">
        <v>281</v>
      </c>
      <c r="F339" s="171" t="n">
        <v>1</v>
      </c>
      <c r="G339" s="45" t="inlineStr">
        <is>
          <t>10.12.2024</t>
        </is>
      </c>
      <c r="H339" s="45" t="inlineStr">
        <is>
          <t>После 10.12.2024 до конца реестра 17.09.2026 прошло 1 г. 281 дн., норма — 1 г.</t>
        </is>
      </c>
      <c r="I339" s="170" t="inlineStr">
        <is>
          <t>25.10.2024</t>
        </is>
      </c>
    </row>
    <row r="340" ht="20" customHeight="1">
      <c r="A340" s="45" t="inlineStr">
        <is>
          <t>работник 448</t>
        </is>
      </c>
      <c r="B340" s="45" t="inlineStr">
        <is>
          <t>Слесарь по контрольно-измерительным приборам и автоматике</t>
        </is>
      </c>
      <c r="C340" s="45" t="inlineStr">
        <is>
          <t>46в. Подъемные сооружения</t>
        </is>
      </c>
      <c r="D340" s="170" t="inlineStr">
        <is>
          <t>раз в год</t>
        </is>
      </c>
      <c r="E340" s="171" t="n">
        <v>281</v>
      </c>
      <c r="F340" s="171" t="n">
        <v>1</v>
      </c>
      <c r="G340" s="45" t="inlineStr">
        <is>
          <t>10.12.2024</t>
        </is>
      </c>
      <c r="H340" s="45" t="inlineStr">
        <is>
          <t>После 10.12.2024 до конца реестра 17.09.2026 прошло 1 г. 281 дн., норма — 1 г.</t>
        </is>
      </c>
      <c r="I340" s="170" t="inlineStr">
        <is>
          <t>25.10.2024</t>
        </is>
      </c>
    </row>
    <row r="341" ht="20" customHeight="1">
      <c r="A341" s="45" t="inlineStr">
        <is>
          <t>работник 449</t>
        </is>
      </c>
      <c r="B341" s="45" t="inlineStr">
        <is>
          <t>Слесарь-ремонтник</t>
        </is>
      </c>
      <c r="C341" s="45" t="inlineStr">
        <is>
          <t>46в. Подъемные сооружения</t>
        </is>
      </c>
      <c r="D341" s="170" t="inlineStr">
        <is>
          <t>раз в год</t>
        </is>
      </c>
      <c r="E341" s="171" t="n">
        <v>281</v>
      </c>
      <c r="F341" s="171" t="n">
        <v>1</v>
      </c>
      <c r="G341" s="45" t="inlineStr">
        <is>
          <t>10.12.2024</t>
        </is>
      </c>
      <c r="H341" s="45" t="inlineStr">
        <is>
          <t>После 10.12.2024 до конца реестра 17.09.2026 прошло 1 г. 281 дн., норма — 1 г.</t>
        </is>
      </c>
      <c r="I341" s="170" t="inlineStr">
        <is>
          <t>25.10.2024</t>
        </is>
      </c>
    </row>
    <row r="342" ht="20" customHeight="1">
      <c r="A342" s="45" t="inlineStr">
        <is>
          <t>работник 131</t>
        </is>
      </c>
      <c r="B342" s="45" t="inlineStr">
        <is>
          <t>Электрогазосварщик</t>
        </is>
      </c>
      <c r="C342" s="45" t="inlineStr">
        <is>
          <t>46в. Подъемные сооружения</t>
        </is>
      </c>
      <c r="D342" s="170" t="inlineStr">
        <is>
          <t>раз в год</t>
        </is>
      </c>
      <c r="E342" s="171" t="n">
        <v>281</v>
      </c>
      <c r="F342" s="171" t="n">
        <v>2</v>
      </c>
      <c r="G342" s="45" t="inlineStr">
        <is>
          <t>11.12.2023; 10.12.2024</t>
        </is>
      </c>
      <c r="H342" s="45" t="inlineStr">
        <is>
          <t>После 10.12.2024 до конца реестра 17.09.2026 прошло 1 г. 281 дн., норма — 1 г.</t>
        </is>
      </c>
      <c r="I342" s="170" t="inlineStr">
        <is>
          <t>11.12.2023</t>
        </is>
      </c>
    </row>
    <row r="343" ht="20" customHeight="1">
      <c r="A343" s="45" t="inlineStr">
        <is>
          <t>работник 477</t>
        </is>
      </c>
      <c r="B343" s="45" t="inlineStr">
        <is>
          <t>Слесарь-ремонтник</t>
        </is>
      </c>
      <c r="C343" s="45" t="inlineStr">
        <is>
          <t>46в. Подъемные сооружения</t>
        </is>
      </c>
      <c r="D343" s="170" t="inlineStr">
        <is>
          <t>раз в год</t>
        </is>
      </c>
      <c r="E343" s="171" t="n">
        <v>281</v>
      </c>
      <c r="F343" s="171" t="n">
        <v>1</v>
      </c>
      <c r="G343" s="45" t="inlineStr">
        <is>
          <t>10.12.2024</t>
        </is>
      </c>
      <c r="H343" s="45" t="inlineStr">
        <is>
          <t>После 10.12.2024 до конца реестра 17.09.2026 прошло 1 г. 281 дн., норма — 1 г.</t>
        </is>
      </c>
      <c r="I343" s="170" t="inlineStr">
        <is>
          <t>13.11.2024</t>
        </is>
      </c>
    </row>
    <row r="344" ht="20" customHeight="1">
      <c r="A344" s="45" t="inlineStr">
        <is>
          <t>работник 425</t>
        </is>
      </c>
      <c r="B344" s="45" t="inlineStr">
        <is>
          <t>Слесарь-ремонтник</t>
        </is>
      </c>
      <c r="C344" s="45" t="inlineStr">
        <is>
          <t>46в. Подъемные сооружения</t>
        </is>
      </c>
      <c r="D344" s="170" t="inlineStr">
        <is>
          <t>раз в год</t>
        </is>
      </c>
      <c r="E344" s="171" t="n">
        <v>281</v>
      </c>
      <c r="F344" s="171" t="n">
        <v>1</v>
      </c>
      <c r="G344" s="45" t="inlineStr">
        <is>
          <t>10.12.2024</t>
        </is>
      </c>
      <c r="H344" s="45" t="inlineStr">
        <is>
          <t>После 10.12.2024 до конца реестра 17.09.2026 прошло 1 г. 281 дн., норма — 1 г.</t>
        </is>
      </c>
      <c r="I344" s="170" t="inlineStr">
        <is>
          <t>20.10.2024</t>
        </is>
      </c>
    </row>
    <row r="345" ht="32" customHeight="1">
      <c r="A345" s="45" t="inlineStr">
        <is>
          <t>работник 23</t>
        </is>
      </c>
      <c r="B345" s="45" t="inlineStr">
        <is>
          <t>Слесарь-ремонтник</t>
        </is>
      </c>
      <c r="C345" s="45" t="inlineStr">
        <is>
          <t>46в. Подъемные сооружения</t>
        </is>
      </c>
      <c r="D345" s="170" t="inlineStr">
        <is>
          <t>раз в год</t>
        </is>
      </c>
      <c r="E345" s="171" t="n">
        <v>281</v>
      </c>
      <c r="F345" s="171" t="n">
        <v>2</v>
      </c>
      <c r="G345" s="45" t="inlineStr">
        <is>
          <t>24.11.2023; 10.12.2024</t>
        </is>
      </c>
      <c r="H345" s="45" t="inlineStr">
        <is>
          <t>Между 24.11.2023 и 10.12.2024 прошло 1 г. 16 дн., норма — 1 г. После 10.12.2024 до конца реестра 17.09.2026 прошло 1 г. 281 дн., норма — 1 г.</t>
        </is>
      </c>
      <c r="I345" s="170" t="inlineStr">
        <is>
          <t>24.11.2023</t>
        </is>
      </c>
    </row>
    <row r="346" ht="32" customHeight="1">
      <c r="A346" s="45" t="inlineStr">
        <is>
          <t>работник 24</t>
        </is>
      </c>
      <c r="B346" s="45" t="inlineStr">
        <is>
          <t>Слесарь-ремонтник</t>
        </is>
      </c>
      <c r="C346" s="45" t="inlineStr">
        <is>
          <t>46в. Подъемные сооружения</t>
        </is>
      </c>
      <c r="D346" s="170" t="inlineStr">
        <is>
          <t>раз в год</t>
        </is>
      </c>
      <c r="E346" s="171" t="n">
        <v>281</v>
      </c>
      <c r="F346" s="171" t="n">
        <v>2</v>
      </c>
      <c r="G346" s="45" t="inlineStr">
        <is>
          <t>24.11.2023; 10.12.2024</t>
        </is>
      </c>
      <c r="H346" s="45" t="inlineStr">
        <is>
          <t>Между 24.11.2023 и 10.12.2024 прошло 1 г. 16 дн., норма — 1 г. После 10.12.2024 до конца реестра 17.09.2026 прошло 1 г. 281 дн., норма — 1 г.</t>
        </is>
      </c>
      <c r="I346" s="170" t="inlineStr">
        <is>
          <t>24.11.2023</t>
        </is>
      </c>
    </row>
    <row r="347" ht="20" customHeight="1">
      <c r="A347" s="45" t="inlineStr">
        <is>
          <t>работник 25</t>
        </is>
      </c>
      <c r="B347" s="45" t="inlineStr">
        <is>
          <t>Слесарь-ремонтник</t>
        </is>
      </c>
      <c r="C347" s="45" t="inlineStr">
        <is>
          <t>46в. Сосуды</t>
        </is>
      </c>
      <c r="D347" s="170" t="inlineStr">
        <is>
          <t>раз в год</t>
        </is>
      </c>
      <c r="E347" s="171" t="n">
        <v>662</v>
      </c>
      <c r="F347" s="171" t="n">
        <v>1</v>
      </c>
      <c r="G347" s="45" t="inlineStr">
        <is>
          <t>24.11.2023</t>
        </is>
      </c>
      <c r="H347" s="45" t="inlineStr">
        <is>
          <t>После 24.11.2023 до конца реестра 17.09.2026 прошло 2 г. 297 дн., норма — 1 г.</t>
        </is>
      </c>
      <c r="I347" s="170" t="inlineStr">
        <is>
          <t>24.11.2023</t>
        </is>
      </c>
    </row>
    <row r="348" ht="20" customHeight="1">
      <c r="A348" s="45" t="inlineStr">
        <is>
          <t>работник 29</t>
        </is>
      </c>
      <c r="B348" s="45" t="inlineStr">
        <is>
          <t>Электрогазосварщик</t>
        </is>
      </c>
      <c r="C348" s="45" t="inlineStr">
        <is>
          <t>46в. Сосуды</t>
        </is>
      </c>
      <c r="D348" s="170" t="inlineStr">
        <is>
          <t>раз в год</t>
        </is>
      </c>
      <c r="E348" s="171" t="n">
        <v>662</v>
      </c>
      <c r="F348" s="171" t="n">
        <v>1</v>
      </c>
      <c r="G348" s="45" t="inlineStr">
        <is>
          <t>24.11.2023</t>
        </is>
      </c>
      <c r="H348" s="45" t="inlineStr">
        <is>
          <t>После 24.11.2023 до конца реестра 17.09.2026 прошло 2 г. 297 дн., норма — 1 г.</t>
        </is>
      </c>
      <c r="I348" s="170" t="inlineStr">
        <is>
          <t>24.11.2023</t>
        </is>
      </c>
    </row>
    <row r="349" ht="20" customHeight="1">
      <c r="A349" s="45" t="inlineStr">
        <is>
          <t>работник 27</t>
        </is>
      </c>
      <c r="B349" s="45" t="inlineStr">
        <is>
          <t>Электрогазосварщик</t>
        </is>
      </c>
      <c r="C349" s="45" t="inlineStr">
        <is>
          <t>46в. Сосуды</t>
        </is>
      </c>
      <c r="D349" s="170" t="inlineStr">
        <is>
          <t>раз в год</t>
        </is>
      </c>
      <c r="E349" s="171" t="n">
        <v>662</v>
      </c>
      <c r="F349" s="171" t="n">
        <v>1</v>
      </c>
      <c r="G349" s="45" t="inlineStr">
        <is>
          <t>24.11.2023</t>
        </is>
      </c>
      <c r="H349" s="45" t="inlineStr">
        <is>
          <t>После 24.11.2023 до конца реестра 17.09.2026 прошло 2 г. 297 дн., норма — 1 г.</t>
        </is>
      </c>
      <c r="I349" s="170" t="inlineStr">
        <is>
          <t>24.11.2023</t>
        </is>
      </c>
    </row>
    <row r="350" ht="20" customHeight="1">
      <c r="A350" s="45" t="inlineStr">
        <is>
          <t>работник 129</t>
        </is>
      </c>
      <c r="B350" s="45" t="inlineStr">
        <is>
          <t>Слесарь-ремонтник</t>
        </is>
      </c>
      <c r="C350" s="45" t="inlineStr">
        <is>
          <t>46в. Сосуды</t>
        </is>
      </c>
      <c r="D350" s="170" t="inlineStr">
        <is>
          <t>раз в год</t>
        </is>
      </c>
      <c r="E350" s="171" t="n">
        <v>645</v>
      </c>
      <c r="F350" s="171" t="n">
        <v>1</v>
      </c>
      <c r="G350" s="45" t="inlineStr">
        <is>
          <t>11.12.2023</t>
        </is>
      </c>
      <c r="H350" s="45" t="inlineStr">
        <is>
          <t>После 11.12.2023 до конца реестра 17.09.2026 прошло 2 г. 280 дн., норма — 1 г.</t>
        </is>
      </c>
      <c r="I350" s="170" t="inlineStr">
        <is>
          <t>11.12.2023</t>
        </is>
      </c>
    </row>
    <row r="351" ht="20" customHeight="1">
      <c r="A351" s="45" t="inlineStr">
        <is>
          <t>работник 130</t>
        </is>
      </c>
      <c r="B351" s="45" t="inlineStr">
        <is>
          <t>Слесарь-ремонтник</t>
        </is>
      </c>
      <c r="C351" s="45" t="inlineStr">
        <is>
          <t>46в. Сосуды</t>
        </is>
      </c>
      <c r="D351" s="170" t="inlineStr">
        <is>
          <t>раз в год</t>
        </is>
      </c>
      <c r="E351" s="171" t="n">
        <v>645</v>
      </c>
      <c r="F351" s="171" t="n">
        <v>1</v>
      </c>
      <c r="G351" s="45" t="inlineStr">
        <is>
          <t>11.12.2023</t>
        </is>
      </c>
      <c r="H351" s="45" t="inlineStr">
        <is>
          <t>После 11.12.2023 до конца реестра 17.09.2026 прошло 2 г. 280 дн., норма — 1 г.</t>
        </is>
      </c>
      <c r="I351" s="170" t="inlineStr">
        <is>
          <t>11.12.2023</t>
        </is>
      </c>
    </row>
    <row r="352" ht="20" customHeight="1">
      <c r="A352" s="45" t="inlineStr">
        <is>
          <t>работник 247</t>
        </is>
      </c>
      <c r="B352" s="45" t="inlineStr">
        <is>
          <t>Электрогазосварщик</t>
        </is>
      </c>
      <c r="C352" s="45" t="inlineStr">
        <is>
          <t>46в. Сосуды</t>
        </is>
      </c>
      <c r="D352" s="170" t="inlineStr">
        <is>
          <t>раз в год</t>
        </is>
      </c>
      <c r="E352" s="171" t="n">
        <v>595</v>
      </c>
      <c r="F352" s="171" t="n">
        <v>1</v>
      </c>
      <c r="G352" s="45" t="inlineStr">
        <is>
          <t>30.01.2024</t>
        </is>
      </c>
      <c r="H352" s="45" t="inlineStr">
        <is>
          <t>После 30.01.2024 до конца реестра 17.09.2026 прошло 2 г. 230 дн., норма — 1 г.</t>
        </is>
      </c>
      <c r="I352" s="170" t="inlineStr">
        <is>
          <t>30.01.2024</t>
        </is>
      </c>
    </row>
    <row r="353" ht="20" customHeight="1">
      <c r="A353" s="45" t="inlineStr">
        <is>
          <t>работник 246</t>
        </is>
      </c>
      <c r="B353" s="45" t="inlineStr">
        <is>
          <t>Слесарь-ремонтник</t>
        </is>
      </c>
      <c r="C353" s="45" t="inlineStr">
        <is>
          <t>46в. Сосуды</t>
        </is>
      </c>
      <c r="D353" s="170" t="inlineStr">
        <is>
          <t>раз в год</t>
        </is>
      </c>
      <c r="E353" s="171" t="n">
        <v>582</v>
      </c>
      <c r="F353" s="171" t="n">
        <v>1</v>
      </c>
      <c r="G353" s="45" t="inlineStr">
        <is>
          <t>12.02.2024</t>
        </is>
      </c>
      <c r="H353" s="45" t="inlineStr">
        <is>
          <t>После 12.02.2024 до конца реестра 17.09.2026 прошло 2 г. 217 дн., норма — 1 г.</t>
        </is>
      </c>
      <c r="I353" s="170" t="inlineStr">
        <is>
          <t>01.02.2024</t>
        </is>
      </c>
    </row>
    <row r="354" ht="20" customHeight="1">
      <c r="A354" s="45" t="inlineStr">
        <is>
          <t>работник 32</t>
        </is>
      </c>
      <c r="B354" s="45" t="inlineStr">
        <is>
          <t>Электромонтер по ремонту и обслуживанию электрооборудования</t>
        </is>
      </c>
      <c r="C354" s="45" t="inlineStr">
        <is>
          <t>46в. Сосуды</t>
        </is>
      </c>
      <c r="D354" s="170" t="inlineStr">
        <is>
          <t>раз в год</t>
        </is>
      </c>
      <c r="E354" s="171" t="n">
        <v>281</v>
      </c>
      <c r="F354" s="171" t="n">
        <v>1</v>
      </c>
      <c r="G354" s="45" t="inlineStr">
        <is>
          <t>10.12.2024</t>
        </is>
      </c>
      <c r="H354" s="45" t="inlineStr">
        <is>
          <t>После 10.12.2024 до конца реестра 17.09.2026 прошло 1 г. 281 дн., норма — 1 г.</t>
        </is>
      </c>
      <c r="I354" s="170" t="inlineStr">
        <is>
          <t>24.11.2023</t>
        </is>
      </c>
    </row>
    <row r="355" ht="20" customHeight="1">
      <c r="A355" s="45" t="inlineStr">
        <is>
          <t>работник 507</t>
        </is>
      </c>
      <c r="B355" s="45" t="inlineStr">
        <is>
          <t>Электрогазосварщик</t>
        </is>
      </c>
      <c r="C355" s="45" t="inlineStr">
        <is>
          <t>46в. Сосуды</t>
        </is>
      </c>
      <c r="D355" s="170" t="inlineStr">
        <is>
          <t>раз в год</t>
        </is>
      </c>
      <c r="E355" s="171" t="n">
        <v>281</v>
      </c>
      <c r="F355" s="171" t="n">
        <v>1</v>
      </c>
      <c r="G355" s="45" t="inlineStr">
        <is>
          <t>10.12.2024</t>
        </is>
      </c>
      <c r="H355" s="45" t="inlineStr">
        <is>
          <t>После 10.12.2024 до конца реестра 17.09.2026 прошло 1 г. 281 дн., норма — 1 г.</t>
        </is>
      </c>
      <c r="I355" s="170" t="inlineStr">
        <is>
          <t>10.12.2024</t>
        </is>
      </c>
    </row>
    <row r="356" ht="20" customHeight="1">
      <c r="A356" s="45" t="inlineStr">
        <is>
          <t>работник 305</t>
        </is>
      </c>
      <c r="B356" s="45" t="inlineStr">
        <is>
          <t>Электромонтер по ремонту и обслуживанию электрооборудования</t>
        </is>
      </c>
      <c r="C356" s="45" t="inlineStr">
        <is>
          <t>46в. Сосуды</t>
        </is>
      </c>
      <c r="D356" s="170" t="inlineStr">
        <is>
          <t>раз в год</t>
        </is>
      </c>
      <c r="E356" s="171" t="n">
        <v>281</v>
      </c>
      <c r="F356" s="171" t="n">
        <v>1</v>
      </c>
      <c r="G356" s="45" t="inlineStr">
        <is>
          <t>10.12.2024</t>
        </is>
      </c>
      <c r="H356" s="45" t="inlineStr">
        <is>
          <t>После 10.12.2024 до конца реестра 17.09.2026 прошло 1 г. 281 дн., норма — 1 г.</t>
        </is>
      </c>
      <c r="I356" s="170" t="inlineStr">
        <is>
          <t>06.03.2024</t>
        </is>
      </c>
    </row>
    <row r="357" ht="20" customHeight="1">
      <c r="A357" s="45" t="inlineStr">
        <is>
          <t>работник 504</t>
        </is>
      </c>
      <c r="B357" s="45" t="inlineStr">
        <is>
          <t>Электрогазосварщик</t>
        </is>
      </c>
      <c r="C357" s="45" t="inlineStr">
        <is>
          <t>46в. Сосуды</t>
        </is>
      </c>
      <c r="D357" s="170" t="inlineStr">
        <is>
          <t>раз в год</t>
        </is>
      </c>
      <c r="E357" s="171" t="n">
        <v>281</v>
      </c>
      <c r="F357" s="171" t="n">
        <v>1</v>
      </c>
      <c r="G357" s="45" t="inlineStr">
        <is>
          <t>10.12.2024</t>
        </is>
      </c>
      <c r="H357" s="45" t="inlineStr">
        <is>
          <t>После 10.12.2024 до конца реестра 17.09.2026 прошло 1 г. 281 дн., норма — 1 г.</t>
        </is>
      </c>
      <c r="I357" s="170" t="inlineStr">
        <is>
          <t>25.11.2024</t>
        </is>
      </c>
    </row>
    <row r="358" ht="32" customHeight="1">
      <c r="A358" s="45" t="inlineStr">
        <is>
          <t>работник 26</t>
        </is>
      </c>
      <c r="B358" s="45" t="inlineStr">
        <is>
          <t>Электрогазосварщик</t>
        </is>
      </c>
      <c r="C358" s="45" t="inlineStr">
        <is>
          <t>46в. Сосуды</t>
        </is>
      </c>
      <c r="D358" s="170" t="inlineStr">
        <is>
          <t>раз в год</t>
        </is>
      </c>
      <c r="E358" s="171" t="n">
        <v>281</v>
      </c>
      <c r="F358" s="171" t="n">
        <v>2</v>
      </c>
      <c r="G358" s="45" t="inlineStr">
        <is>
          <t>24.11.2023; 10.12.2024</t>
        </is>
      </c>
      <c r="H358" s="45" t="inlineStr">
        <is>
          <t>Между 24.11.2023 и 10.12.2024 прошло 1 г. 16 дн., норма — 1 г. После 10.12.2024 до конца реестра 17.09.2026 прошло 1 г. 281 дн., норма — 1 г.</t>
        </is>
      </c>
      <c r="I358" s="170" t="inlineStr">
        <is>
          <t>24.11.2023</t>
        </is>
      </c>
    </row>
    <row r="359" ht="32" customHeight="1">
      <c r="A359" s="45" t="inlineStr">
        <is>
          <t>работник 28</t>
        </is>
      </c>
      <c r="B359" s="45" t="inlineStr">
        <is>
          <t>Электрогазосварщик</t>
        </is>
      </c>
      <c r="C359" s="45" t="inlineStr">
        <is>
          <t>46в. Сосуды</t>
        </is>
      </c>
      <c r="D359" s="170" t="inlineStr">
        <is>
          <t>раз в год</t>
        </is>
      </c>
      <c r="E359" s="171" t="n">
        <v>281</v>
      </c>
      <c r="F359" s="171" t="n">
        <v>2</v>
      </c>
      <c r="G359" s="45" t="inlineStr">
        <is>
          <t>24.11.2023; 10.12.2024</t>
        </is>
      </c>
      <c r="H359" s="45" t="inlineStr">
        <is>
          <t>Между 24.11.2023 и 10.12.2024 прошло 1 г. 16 дн., норма — 1 г. После 10.12.2024 до конца реестра 17.09.2026 прошло 1 г. 281 дн., норма — 1 г.</t>
        </is>
      </c>
      <c r="I359" s="170" t="inlineStr">
        <is>
          <t>24.11.2023</t>
        </is>
      </c>
    </row>
    <row r="360" ht="20" customHeight="1">
      <c r="A360" s="45" t="inlineStr">
        <is>
          <t>работник 444</t>
        </is>
      </c>
      <c r="B360" s="45" t="inlineStr">
        <is>
          <t>Слесарь-ремонтник</t>
        </is>
      </c>
      <c r="C360" s="45" t="inlineStr">
        <is>
          <t>46в. Сосуды</t>
        </is>
      </c>
      <c r="D360" s="170" t="inlineStr">
        <is>
          <t>раз в год</t>
        </is>
      </c>
      <c r="E360" s="171" t="n">
        <v>281</v>
      </c>
      <c r="F360" s="171" t="n">
        <v>1</v>
      </c>
      <c r="G360" s="45" t="inlineStr">
        <is>
          <t>10.12.2024</t>
        </is>
      </c>
      <c r="H360" s="45" t="inlineStr">
        <is>
          <t>После 10.12.2024 до конца реестра 17.09.2026 прошло 1 г. 281 дн., норма — 1 г.</t>
        </is>
      </c>
      <c r="I360" s="170" t="inlineStr">
        <is>
          <t>25.10.2024</t>
        </is>
      </c>
    </row>
    <row r="361" ht="20" customHeight="1">
      <c r="A361" s="45" t="inlineStr">
        <is>
          <t>работник 31</t>
        </is>
      </c>
      <c r="B361" s="45" t="inlineStr">
        <is>
          <t>Электромонтер по ремонту и обслуживанию электрооборудования</t>
        </is>
      </c>
      <c r="C361" s="45" t="inlineStr">
        <is>
          <t>46в. Сосуды</t>
        </is>
      </c>
      <c r="D361" s="170" t="inlineStr">
        <is>
          <t>раз в год</t>
        </is>
      </c>
      <c r="E361" s="171" t="n">
        <v>281</v>
      </c>
      <c r="F361" s="171" t="n">
        <v>1</v>
      </c>
      <c r="G361" s="45" t="inlineStr">
        <is>
          <t>10.12.2024</t>
        </is>
      </c>
      <c r="H361" s="45" t="inlineStr">
        <is>
          <t>После 10.12.2024 до конца реестра 17.09.2026 прошло 1 г. 281 дн., норма — 1 г.</t>
        </is>
      </c>
      <c r="I361" s="170" t="inlineStr">
        <is>
          <t>24.11.2023</t>
        </is>
      </c>
    </row>
    <row r="362" ht="20" customHeight="1">
      <c r="A362" s="45" t="inlineStr">
        <is>
          <t>работник 132</t>
        </is>
      </c>
      <c r="B362" s="45" t="inlineStr">
        <is>
          <t>Электрогазосварщик</t>
        </is>
      </c>
      <c r="C362" s="45" t="inlineStr">
        <is>
          <t>46в. Сосуды</t>
        </is>
      </c>
      <c r="D362" s="170" t="inlineStr">
        <is>
          <t>раз в год</t>
        </is>
      </c>
      <c r="E362" s="171" t="n">
        <v>281</v>
      </c>
      <c r="F362" s="171" t="n">
        <v>2</v>
      </c>
      <c r="G362" s="45" t="inlineStr">
        <is>
          <t>11.12.2023; 10.12.2024</t>
        </is>
      </c>
      <c r="H362" s="45" t="inlineStr">
        <is>
          <t>После 10.12.2024 до конца реестра 17.09.2026 прошло 1 г. 281 дн., норма — 1 г.</t>
        </is>
      </c>
      <c r="I362" s="170" t="inlineStr">
        <is>
          <t>11.12.2023</t>
        </is>
      </c>
    </row>
    <row r="363" ht="20" customHeight="1">
      <c r="A363" s="45" t="inlineStr">
        <is>
          <t>работник 133</t>
        </is>
      </c>
      <c r="B363" s="45" t="inlineStr">
        <is>
          <t>Электрогазосварщик</t>
        </is>
      </c>
      <c r="C363" s="45" t="inlineStr">
        <is>
          <t>46в. Сосуды</t>
        </is>
      </c>
      <c r="D363" s="170" t="inlineStr">
        <is>
          <t>раз в год</t>
        </is>
      </c>
      <c r="E363" s="171" t="n">
        <v>281</v>
      </c>
      <c r="F363" s="171" t="n">
        <v>2</v>
      </c>
      <c r="G363" s="45" t="inlineStr">
        <is>
          <t>11.12.2023; 10.12.2024</t>
        </is>
      </c>
      <c r="H363" s="45" t="inlineStr">
        <is>
          <t>После 10.12.2024 до конца реестра 17.09.2026 прошло 1 г. 281 дн., норма — 1 г.</t>
        </is>
      </c>
      <c r="I363" s="170" t="inlineStr">
        <is>
          <t>11.12.2023</t>
        </is>
      </c>
    </row>
    <row r="364" ht="20" customHeight="1">
      <c r="A364" s="45" t="inlineStr">
        <is>
          <t>работник 432</t>
        </is>
      </c>
      <c r="B364" s="45" t="inlineStr">
        <is>
          <t>Слесарь-ремонтник</t>
        </is>
      </c>
      <c r="C364" s="45" t="inlineStr">
        <is>
          <t>46в. Сосуды</t>
        </is>
      </c>
      <c r="D364" s="170" t="inlineStr">
        <is>
          <t>раз в год</t>
        </is>
      </c>
      <c r="E364" s="171" t="n">
        <v>281</v>
      </c>
      <c r="F364" s="171" t="n">
        <v>1</v>
      </c>
      <c r="G364" s="45" t="inlineStr">
        <is>
          <t>10.12.2024</t>
        </is>
      </c>
      <c r="H364" s="45" t="inlineStr">
        <is>
          <t>После 10.12.2024 до конца реестра 17.09.2026 прошло 1 г. 281 дн., норма — 1 г.</t>
        </is>
      </c>
      <c r="I364" s="170" t="inlineStr">
        <is>
          <t>25.10.2024</t>
        </is>
      </c>
    </row>
    <row r="365" ht="20" customHeight="1">
      <c r="A365" s="45" t="inlineStr">
        <is>
          <t>работник 448</t>
        </is>
      </c>
      <c r="B365" s="45" t="inlineStr">
        <is>
          <t>Слесарь по контрольно-измерительным приборам и автоматике</t>
        </is>
      </c>
      <c r="C365" s="45" t="inlineStr">
        <is>
          <t>46в. Сосуды</t>
        </is>
      </c>
      <c r="D365" s="170" t="inlineStr">
        <is>
          <t>раз в год</t>
        </is>
      </c>
      <c r="E365" s="171" t="n">
        <v>281</v>
      </c>
      <c r="F365" s="171" t="n">
        <v>1</v>
      </c>
      <c r="G365" s="45" t="inlineStr">
        <is>
          <t>10.12.2024</t>
        </is>
      </c>
      <c r="H365" s="45" t="inlineStr">
        <is>
          <t>После 10.12.2024 до конца реестра 17.09.2026 прошло 1 г. 281 дн., норма — 1 г.</t>
        </is>
      </c>
      <c r="I365" s="170" t="inlineStr">
        <is>
          <t>25.10.2024</t>
        </is>
      </c>
    </row>
    <row r="366" ht="20" customHeight="1">
      <c r="A366" s="45" t="inlineStr">
        <is>
          <t>работник 449</t>
        </is>
      </c>
      <c r="B366" s="45" t="inlineStr">
        <is>
          <t>Слесарь-ремонтник</t>
        </is>
      </c>
      <c r="C366" s="45" t="inlineStr">
        <is>
          <t>46в. Сосуды</t>
        </is>
      </c>
      <c r="D366" s="170" t="inlineStr">
        <is>
          <t>раз в год</t>
        </is>
      </c>
      <c r="E366" s="171" t="n">
        <v>281</v>
      </c>
      <c r="F366" s="171" t="n">
        <v>1</v>
      </c>
      <c r="G366" s="45" t="inlineStr">
        <is>
          <t>10.12.2024</t>
        </is>
      </c>
      <c r="H366" s="45" t="inlineStr">
        <is>
          <t>После 10.12.2024 до конца реестра 17.09.2026 прошло 1 г. 281 дн., норма — 1 г.</t>
        </is>
      </c>
      <c r="I366" s="170" t="inlineStr">
        <is>
          <t>25.10.2024</t>
        </is>
      </c>
    </row>
    <row r="367" ht="20" customHeight="1">
      <c r="A367" s="45" t="inlineStr">
        <is>
          <t>работник 131</t>
        </is>
      </c>
      <c r="B367" s="45" t="inlineStr">
        <is>
          <t>Электрогазосварщик</t>
        </is>
      </c>
      <c r="C367" s="45" t="inlineStr">
        <is>
          <t>46в. Сосуды</t>
        </is>
      </c>
      <c r="D367" s="170" t="inlineStr">
        <is>
          <t>раз в год</t>
        </is>
      </c>
      <c r="E367" s="171" t="n">
        <v>281</v>
      </c>
      <c r="F367" s="171" t="n">
        <v>2</v>
      </c>
      <c r="G367" s="45" t="inlineStr">
        <is>
          <t>11.12.2023; 10.12.2024</t>
        </is>
      </c>
      <c r="H367" s="45" t="inlineStr">
        <is>
          <t>После 10.12.2024 до конца реестра 17.09.2026 прошло 1 г. 281 дн., норма — 1 г.</t>
        </is>
      </c>
      <c r="I367" s="170" t="inlineStr">
        <is>
          <t>11.12.2023</t>
        </is>
      </c>
    </row>
    <row r="368" ht="20" customHeight="1">
      <c r="A368" s="45" t="inlineStr">
        <is>
          <t>работник 477</t>
        </is>
      </c>
      <c r="B368" s="45" t="inlineStr">
        <is>
          <t>Слесарь-ремонтник</t>
        </is>
      </c>
      <c r="C368" s="45" t="inlineStr">
        <is>
          <t>46в. Сосуды</t>
        </is>
      </c>
      <c r="D368" s="170" t="inlineStr">
        <is>
          <t>раз в год</t>
        </is>
      </c>
      <c r="E368" s="171" t="n">
        <v>281</v>
      </c>
      <c r="F368" s="171" t="n">
        <v>1</v>
      </c>
      <c r="G368" s="45" t="inlineStr">
        <is>
          <t>10.12.2024</t>
        </is>
      </c>
      <c r="H368" s="45" t="inlineStr">
        <is>
          <t>После 10.12.2024 до конца реестра 17.09.2026 прошло 1 г. 281 дн., норма — 1 г.</t>
        </is>
      </c>
      <c r="I368" s="170" t="inlineStr">
        <is>
          <t>13.11.2024</t>
        </is>
      </c>
    </row>
    <row r="369" ht="20" customHeight="1">
      <c r="A369" s="45" t="inlineStr">
        <is>
          <t>работник 425</t>
        </is>
      </c>
      <c r="B369" s="45" t="inlineStr">
        <is>
          <t>Слесарь-ремонтник</t>
        </is>
      </c>
      <c r="C369" s="45" t="inlineStr">
        <is>
          <t>46в. Сосуды</t>
        </is>
      </c>
      <c r="D369" s="170" t="inlineStr">
        <is>
          <t>раз в год</t>
        </is>
      </c>
      <c r="E369" s="171" t="n">
        <v>281</v>
      </c>
      <c r="F369" s="171" t="n">
        <v>1</v>
      </c>
      <c r="G369" s="45" t="inlineStr">
        <is>
          <t>10.12.2024</t>
        </is>
      </c>
      <c r="H369" s="45" t="inlineStr">
        <is>
          <t>После 10.12.2024 до конца реестра 17.09.2026 прошло 1 г. 281 дн., норма — 1 г.</t>
        </is>
      </c>
      <c r="I369" s="170" t="inlineStr">
        <is>
          <t>20.10.2024</t>
        </is>
      </c>
    </row>
    <row r="370" ht="32" customHeight="1">
      <c r="A370" s="45" t="inlineStr">
        <is>
          <t>работник 23</t>
        </is>
      </c>
      <c r="B370" s="45" t="inlineStr">
        <is>
          <t>Слесарь-ремонтник</t>
        </is>
      </c>
      <c r="C370" s="45" t="inlineStr">
        <is>
          <t>46в. Сосуды</t>
        </is>
      </c>
      <c r="D370" s="170" t="inlineStr">
        <is>
          <t>раз в год</t>
        </is>
      </c>
      <c r="E370" s="171" t="n">
        <v>281</v>
      </c>
      <c r="F370" s="171" t="n">
        <v>2</v>
      </c>
      <c r="G370" s="45" t="inlineStr">
        <is>
          <t>24.11.2023; 10.12.2024</t>
        </is>
      </c>
      <c r="H370" s="45" t="inlineStr">
        <is>
          <t>Между 24.11.2023 и 10.12.2024 прошло 1 г. 16 дн., норма — 1 г. После 10.12.2024 до конца реестра 17.09.2026 прошло 1 г. 281 дн., норма — 1 г.</t>
        </is>
      </c>
      <c r="I370" s="170" t="inlineStr">
        <is>
          <t>24.11.2023</t>
        </is>
      </c>
    </row>
    <row r="371" ht="32" customHeight="1">
      <c r="A371" s="45" t="inlineStr">
        <is>
          <t>работник 24</t>
        </is>
      </c>
      <c r="B371" s="45" t="inlineStr">
        <is>
          <t>Слесарь-ремонтник</t>
        </is>
      </c>
      <c r="C371" s="45" t="inlineStr">
        <is>
          <t>46в. Сосуды</t>
        </is>
      </c>
      <c r="D371" s="170" t="inlineStr">
        <is>
          <t>раз в год</t>
        </is>
      </c>
      <c r="E371" s="171" t="n">
        <v>281</v>
      </c>
      <c r="F371" s="171" t="n">
        <v>2</v>
      </c>
      <c r="G371" s="45" t="inlineStr">
        <is>
          <t>24.11.2023; 10.12.2024</t>
        </is>
      </c>
      <c r="H371" s="45" t="inlineStr">
        <is>
          <t>Между 24.11.2023 и 10.12.2024 прошло 1 г. 16 дн., норма — 1 г. После 10.12.2024 до конца реестра 17.09.2026 прошло 1 г. 281 дн., норма — 1 г.</t>
        </is>
      </c>
      <c r="I371" s="170" t="inlineStr">
        <is>
          <t>24.11.2023</t>
        </is>
      </c>
    </row>
    <row r="372" ht="20" customHeight="1">
      <c r="A372" s="45" t="inlineStr">
        <is>
          <t>работник 25</t>
        </is>
      </c>
      <c r="B372" s="45" t="inlineStr">
        <is>
          <t>Слесарь-ремонтник</t>
        </is>
      </c>
      <c r="C372" s="45" t="inlineStr">
        <is>
          <t>46в. Оборудование</t>
        </is>
      </c>
      <c r="D372" s="170" t="inlineStr">
        <is>
          <t>раз в год</t>
        </is>
      </c>
      <c r="E372" s="171" t="n">
        <v>662</v>
      </c>
      <c r="F372" s="171" t="n">
        <v>1</v>
      </c>
      <c r="G372" s="45" t="inlineStr">
        <is>
          <t>24.11.2023</t>
        </is>
      </c>
      <c r="H372" s="45" t="inlineStr">
        <is>
          <t>После 24.11.2023 до конца реестра 17.09.2026 прошло 2 г. 297 дн., норма — 1 г.</t>
        </is>
      </c>
      <c r="I372" s="170" t="inlineStr">
        <is>
          <t>24.11.2023</t>
        </is>
      </c>
    </row>
    <row r="373" ht="20" customHeight="1">
      <c r="A373" s="45" t="inlineStr">
        <is>
          <t>работник 29</t>
        </is>
      </c>
      <c r="B373" s="45" t="inlineStr">
        <is>
          <t>Электрогазосварщик</t>
        </is>
      </c>
      <c r="C373" s="45" t="inlineStr">
        <is>
          <t>46в. Оборудование</t>
        </is>
      </c>
      <c r="D373" s="170" t="inlineStr">
        <is>
          <t>раз в год</t>
        </is>
      </c>
      <c r="E373" s="171" t="n">
        <v>662</v>
      </c>
      <c r="F373" s="171" t="n">
        <v>1</v>
      </c>
      <c r="G373" s="45" t="inlineStr">
        <is>
          <t>24.11.2023</t>
        </is>
      </c>
      <c r="H373" s="45" t="inlineStr">
        <is>
          <t>После 24.11.2023 до конца реестра 17.09.2026 прошло 2 г. 297 дн., норма — 1 г.</t>
        </is>
      </c>
      <c r="I373" s="170" t="inlineStr">
        <is>
          <t>24.11.2023</t>
        </is>
      </c>
    </row>
    <row r="374" ht="20" customHeight="1">
      <c r="A374" s="45" t="inlineStr">
        <is>
          <t>работник 129</t>
        </is>
      </c>
      <c r="B374" s="45" t="inlineStr">
        <is>
          <t>Слесарь-ремонтник</t>
        </is>
      </c>
      <c r="C374" s="45" t="inlineStr">
        <is>
          <t>46в. Оборудование</t>
        </is>
      </c>
      <c r="D374" s="170" t="inlineStr">
        <is>
          <t>раз в год</t>
        </is>
      </c>
      <c r="E374" s="171" t="n">
        <v>645</v>
      </c>
      <c r="F374" s="171" t="n">
        <v>1</v>
      </c>
      <c r="G374" s="45" t="inlineStr">
        <is>
          <t>11.12.2023</t>
        </is>
      </c>
      <c r="H374" s="45" t="inlineStr">
        <is>
          <t>После 11.12.2023 до конца реестра 17.09.2026 прошло 2 г. 280 дн., норма — 1 г.</t>
        </is>
      </c>
      <c r="I374" s="170" t="inlineStr">
        <is>
          <t>11.12.2023</t>
        </is>
      </c>
    </row>
    <row r="375" ht="20" customHeight="1">
      <c r="A375" s="45" t="inlineStr">
        <is>
          <t>работник 130</t>
        </is>
      </c>
      <c r="B375" s="45" t="inlineStr">
        <is>
          <t>Слесарь-ремонтник</t>
        </is>
      </c>
      <c r="C375" s="45" t="inlineStr">
        <is>
          <t>46в. Оборудование</t>
        </is>
      </c>
      <c r="D375" s="170" t="inlineStr">
        <is>
          <t>раз в год</t>
        </is>
      </c>
      <c r="E375" s="171" t="n">
        <v>645</v>
      </c>
      <c r="F375" s="171" t="n">
        <v>1</v>
      </c>
      <c r="G375" s="45" t="inlineStr">
        <is>
          <t>11.12.2023</t>
        </is>
      </c>
      <c r="H375" s="45" t="inlineStr">
        <is>
          <t>После 11.12.2023 до конца реестра 17.09.2026 прошло 2 г. 280 дн., норма — 1 г.</t>
        </is>
      </c>
      <c r="I375" s="170" t="inlineStr">
        <is>
          <t>11.12.2023</t>
        </is>
      </c>
    </row>
    <row r="376" ht="20" customHeight="1">
      <c r="A376" s="45" t="inlineStr">
        <is>
          <t>работник 246</t>
        </is>
      </c>
      <c r="B376" s="45" t="inlineStr">
        <is>
          <t>Слесарь-ремонтник</t>
        </is>
      </c>
      <c r="C376" s="45" t="inlineStr">
        <is>
          <t>46в. Оборудование</t>
        </is>
      </c>
      <c r="D376" s="170" t="inlineStr">
        <is>
          <t>раз в год</t>
        </is>
      </c>
      <c r="E376" s="171" t="n">
        <v>593</v>
      </c>
      <c r="F376" s="171" t="n">
        <v>1</v>
      </c>
      <c r="G376" s="45" t="inlineStr">
        <is>
          <t>01.02.2024</t>
        </is>
      </c>
      <c r="H376" s="45" t="inlineStr">
        <is>
          <t>После 01.02.2024 до конца реестра 17.09.2026 прошло 2 г. 228 дн., норма — 1 г.</t>
        </is>
      </c>
      <c r="I376" s="170" t="inlineStr">
        <is>
          <t>01.02.2024</t>
        </is>
      </c>
    </row>
    <row r="377" ht="20" customHeight="1">
      <c r="A377" s="45" t="inlineStr">
        <is>
          <t>работник 247</t>
        </is>
      </c>
      <c r="B377" s="45" t="inlineStr">
        <is>
          <t>Электрогазосварщик</t>
        </is>
      </c>
      <c r="C377" s="45" t="inlineStr">
        <is>
          <t>46в. Оборудование</t>
        </is>
      </c>
      <c r="D377" s="170" t="inlineStr">
        <is>
          <t>раз в год</t>
        </is>
      </c>
      <c r="E377" s="171" t="n">
        <v>582</v>
      </c>
      <c r="F377" s="171" t="n">
        <v>1</v>
      </c>
      <c r="G377" s="45" t="inlineStr">
        <is>
          <t>12.02.2024</t>
        </is>
      </c>
      <c r="H377" s="45" t="inlineStr">
        <is>
          <t>После 12.02.2024 до конца реестра 17.09.2026 прошло 2 г. 217 дн., норма — 1 г.</t>
        </is>
      </c>
      <c r="I377" s="170" t="inlineStr">
        <is>
          <t>30.01.2024</t>
        </is>
      </c>
    </row>
    <row r="378" ht="20" customHeight="1">
      <c r="A378" s="45" t="inlineStr">
        <is>
          <t>работник 32</t>
        </is>
      </c>
      <c r="B378" s="45" t="inlineStr">
        <is>
          <t>Электромонтер по ремонту и обслуживанию электрооборудования</t>
        </is>
      </c>
      <c r="C378" s="45" t="inlineStr">
        <is>
          <t>46в. Оборудование</t>
        </is>
      </c>
      <c r="D378" s="170" t="inlineStr">
        <is>
          <t>раз в год</t>
        </is>
      </c>
      <c r="E378" s="171" t="n">
        <v>281</v>
      </c>
      <c r="F378" s="171" t="n">
        <v>1</v>
      </c>
      <c r="G378" s="45" t="inlineStr">
        <is>
          <t>10.12.2024</t>
        </is>
      </c>
      <c r="H378" s="45" t="inlineStr">
        <is>
          <t>После 10.12.2024 до конца реестра 17.09.2026 прошло 1 г. 281 дн., норма — 1 г.</t>
        </is>
      </c>
      <c r="I378" s="170" t="inlineStr">
        <is>
          <t>24.11.2023</t>
        </is>
      </c>
    </row>
    <row r="379" ht="20" customHeight="1">
      <c r="A379" s="45" t="inlineStr">
        <is>
          <t>работник 507</t>
        </is>
      </c>
      <c r="B379" s="45" t="inlineStr">
        <is>
          <t>Электрогазосварщик</t>
        </is>
      </c>
      <c r="C379" s="45" t="inlineStr">
        <is>
          <t>46в. Оборудование</t>
        </is>
      </c>
      <c r="D379" s="170" t="inlineStr">
        <is>
          <t>раз в год</t>
        </is>
      </c>
      <c r="E379" s="171" t="n">
        <v>281</v>
      </c>
      <c r="F379" s="171" t="n">
        <v>1</v>
      </c>
      <c r="G379" s="45" t="inlineStr">
        <is>
          <t>10.12.2024</t>
        </is>
      </c>
      <c r="H379" s="45" t="inlineStr">
        <is>
          <t>После 10.12.2024 до конца реестра 17.09.2026 прошло 1 г. 281 дн., норма — 1 г.</t>
        </is>
      </c>
      <c r="I379" s="170" t="inlineStr">
        <is>
          <t>10.12.2024</t>
        </is>
      </c>
    </row>
    <row r="380" ht="20" customHeight="1">
      <c r="A380" s="45" t="inlineStr">
        <is>
          <t>работник 305</t>
        </is>
      </c>
      <c r="B380" s="45" t="inlineStr">
        <is>
          <t>Электромонтер по ремонту и обслуживанию электрооборудования</t>
        </is>
      </c>
      <c r="C380" s="45" t="inlineStr">
        <is>
          <t>46в. Оборудование</t>
        </is>
      </c>
      <c r="D380" s="170" t="inlineStr">
        <is>
          <t>раз в год</t>
        </is>
      </c>
      <c r="E380" s="171" t="n">
        <v>281</v>
      </c>
      <c r="F380" s="171" t="n">
        <v>1</v>
      </c>
      <c r="G380" s="45" t="inlineStr">
        <is>
          <t>10.12.2024</t>
        </is>
      </c>
      <c r="H380" s="45" t="inlineStr">
        <is>
          <t>После 10.12.2024 до конца реестра 17.09.2026 прошло 1 г. 281 дн., норма — 1 г.</t>
        </is>
      </c>
      <c r="I380" s="170" t="inlineStr">
        <is>
          <t>06.03.2024</t>
        </is>
      </c>
    </row>
    <row r="381" ht="20" customHeight="1">
      <c r="A381" s="45" t="inlineStr">
        <is>
          <t>работник 504</t>
        </is>
      </c>
      <c r="B381" s="45" t="inlineStr">
        <is>
          <t>Электрогазосварщик</t>
        </is>
      </c>
      <c r="C381" s="45" t="inlineStr">
        <is>
          <t>46в. Оборудование</t>
        </is>
      </c>
      <c r="D381" s="170" t="inlineStr">
        <is>
          <t>раз в год</t>
        </is>
      </c>
      <c r="E381" s="171" t="n">
        <v>281</v>
      </c>
      <c r="F381" s="171" t="n">
        <v>1</v>
      </c>
      <c r="G381" s="45" t="inlineStr">
        <is>
          <t>10.12.2024</t>
        </is>
      </c>
      <c r="H381" s="45" t="inlineStr">
        <is>
          <t>После 10.12.2024 до конца реестра 17.09.2026 прошло 1 г. 281 дн., норма — 1 г.</t>
        </is>
      </c>
      <c r="I381" s="170" t="inlineStr">
        <is>
          <t>25.11.2024</t>
        </is>
      </c>
    </row>
    <row r="382" ht="32" customHeight="1">
      <c r="A382" s="45" t="inlineStr">
        <is>
          <t>работник 26</t>
        </is>
      </c>
      <c r="B382" s="45" t="inlineStr">
        <is>
          <t>Электрогазосварщик</t>
        </is>
      </c>
      <c r="C382" s="45" t="inlineStr">
        <is>
          <t>46в. Оборудование</t>
        </is>
      </c>
      <c r="D382" s="170" t="inlineStr">
        <is>
          <t>раз в год</t>
        </is>
      </c>
      <c r="E382" s="171" t="n">
        <v>281</v>
      </c>
      <c r="F382" s="171" t="n">
        <v>2</v>
      </c>
      <c r="G382" s="45" t="inlineStr">
        <is>
          <t>24.11.2023; 10.12.2024</t>
        </is>
      </c>
      <c r="H382" s="45" t="inlineStr">
        <is>
          <t>Между 24.11.2023 и 10.12.2024 прошло 1 г. 16 дн., норма — 1 г. После 10.12.2024 до конца реестра 17.09.2026 прошло 1 г. 281 дн., норма — 1 г.</t>
        </is>
      </c>
      <c r="I382" s="170" t="inlineStr">
        <is>
          <t>24.11.2023</t>
        </is>
      </c>
    </row>
    <row r="383" ht="32" customHeight="1">
      <c r="A383" s="45" t="inlineStr">
        <is>
          <t>работник 28</t>
        </is>
      </c>
      <c r="B383" s="45" t="inlineStr">
        <is>
          <t>Электрогазосварщик</t>
        </is>
      </c>
      <c r="C383" s="45" t="inlineStr">
        <is>
          <t>46в. Оборудование</t>
        </is>
      </c>
      <c r="D383" s="170" t="inlineStr">
        <is>
          <t>раз в год</t>
        </is>
      </c>
      <c r="E383" s="171" t="n">
        <v>281</v>
      </c>
      <c r="F383" s="171" t="n">
        <v>2</v>
      </c>
      <c r="G383" s="45" t="inlineStr">
        <is>
          <t>24.11.2023; 10.12.2024</t>
        </is>
      </c>
      <c r="H383" s="45" t="inlineStr">
        <is>
          <t>Между 24.11.2023 и 10.12.2024 прошло 1 г. 16 дн., норма — 1 г. После 10.12.2024 до конца реестра 17.09.2026 прошло 1 г. 281 дн., норма — 1 г.</t>
        </is>
      </c>
      <c r="I383" s="170" t="inlineStr">
        <is>
          <t>24.11.2023</t>
        </is>
      </c>
    </row>
    <row r="384" ht="20" customHeight="1">
      <c r="A384" s="45" t="inlineStr">
        <is>
          <t>работник 444</t>
        </is>
      </c>
      <c r="B384" s="45" t="inlineStr">
        <is>
          <t>Слесарь-ремонтник</t>
        </is>
      </c>
      <c r="C384" s="45" t="inlineStr">
        <is>
          <t>46в. Оборудование</t>
        </is>
      </c>
      <c r="D384" s="170" t="inlineStr">
        <is>
          <t>раз в год</t>
        </is>
      </c>
      <c r="E384" s="171" t="n">
        <v>281</v>
      </c>
      <c r="F384" s="171" t="n">
        <v>1</v>
      </c>
      <c r="G384" s="45" t="inlineStr">
        <is>
          <t>10.12.2024</t>
        </is>
      </c>
      <c r="H384" s="45" t="inlineStr">
        <is>
          <t>После 10.12.2024 до конца реестра 17.09.2026 прошло 1 г. 281 дн., норма — 1 г.</t>
        </is>
      </c>
      <c r="I384" s="170" t="inlineStr">
        <is>
          <t>25.10.2024</t>
        </is>
      </c>
    </row>
    <row r="385" ht="20" customHeight="1">
      <c r="A385" s="45" t="inlineStr">
        <is>
          <t>работник 31</t>
        </is>
      </c>
      <c r="B385" s="45" t="inlineStr">
        <is>
          <t>Электромонтер по ремонту и обслуживанию электрооборудования</t>
        </is>
      </c>
      <c r="C385" s="45" t="inlineStr">
        <is>
          <t>46в. Оборудование</t>
        </is>
      </c>
      <c r="D385" s="170" t="inlineStr">
        <is>
          <t>раз в год</t>
        </is>
      </c>
      <c r="E385" s="171" t="n">
        <v>281</v>
      </c>
      <c r="F385" s="171" t="n">
        <v>1</v>
      </c>
      <c r="G385" s="45" t="inlineStr">
        <is>
          <t>10.12.2024</t>
        </is>
      </c>
      <c r="H385" s="45" t="inlineStr">
        <is>
          <t>После 10.12.2024 до конца реестра 17.09.2026 прошло 1 г. 281 дн., норма — 1 г.</t>
        </is>
      </c>
      <c r="I385" s="170" t="inlineStr">
        <is>
          <t>24.11.2023</t>
        </is>
      </c>
    </row>
    <row r="386" ht="20" customHeight="1">
      <c r="A386" s="45" t="inlineStr">
        <is>
          <t>работник 132</t>
        </is>
      </c>
      <c r="B386" s="45" t="inlineStr">
        <is>
          <t>Электрогазосварщик</t>
        </is>
      </c>
      <c r="C386" s="45" t="inlineStr">
        <is>
          <t>46в. Оборудование</t>
        </is>
      </c>
      <c r="D386" s="170" t="inlineStr">
        <is>
          <t>раз в год</t>
        </is>
      </c>
      <c r="E386" s="171" t="n">
        <v>281</v>
      </c>
      <c r="F386" s="171" t="n">
        <v>2</v>
      </c>
      <c r="G386" s="45" t="inlineStr">
        <is>
          <t>11.12.2023; 10.12.2024</t>
        </is>
      </c>
      <c r="H386" s="45" t="inlineStr">
        <is>
          <t>После 10.12.2024 до конца реестра 17.09.2026 прошло 1 г. 281 дн., норма — 1 г.</t>
        </is>
      </c>
      <c r="I386" s="170" t="inlineStr">
        <is>
          <t>11.12.2023</t>
        </is>
      </c>
    </row>
    <row r="387" ht="20" customHeight="1">
      <c r="A387" s="45" t="inlineStr">
        <is>
          <t>работник 133</t>
        </is>
      </c>
      <c r="B387" s="45" t="inlineStr">
        <is>
          <t>Электрогазосварщик</t>
        </is>
      </c>
      <c r="C387" s="45" t="inlineStr">
        <is>
          <t>46в. Оборудование</t>
        </is>
      </c>
      <c r="D387" s="170" t="inlineStr">
        <is>
          <t>раз в год</t>
        </is>
      </c>
      <c r="E387" s="171" t="n">
        <v>281</v>
      </c>
      <c r="F387" s="171" t="n">
        <v>2</v>
      </c>
      <c r="G387" s="45" t="inlineStr">
        <is>
          <t>11.12.2023; 10.12.2024</t>
        </is>
      </c>
      <c r="H387" s="45" t="inlineStr">
        <is>
          <t>После 10.12.2024 до конца реестра 17.09.2026 прошло 1 г. 281 дн., норма — 1 г.</t>
        </is>
      </c>
      <c r="I387" s="170" t="inlineStr">
        <is>
          <t>11.12.2023</t>
        </is>
      </c>
    </row>
    <row r="388" ht="20" customHeight="1">
      <c r="A388" s="45" t="inlineStr">
        <is>
          <t>работник 432</t>
        </is>
      </c>
      <c r="B388" s="45" t="inlineStr">
        <is>
          <t>Слесарь-ремонтник</t>
        </is>
      </c>
      <c r="C388" s="45" t="inlineStr">
        <is>
          <t>46в. Оборудование</t>
        </is>
      </c>
      <c r="D388" s="170" t="inlineStr">
        <is>
          <t>раз в год</t>
        </is>
      </c>
      <c r="E388" s="171" t="n">
        <v>281</v>
      </c>
      <c r="F388" s="171" t="n">
        <v>1</v>
      </c>
      <c r="G388" s="45" t="inlineStr">
        <is>
          <t>10.12.2024</t>
        </is>
      </c>
      <c r="H388" s="45" t="inlineStr">
        <is>
          <t>После 10.12.2024 до конца реестра 17.09.2026 прошло 1 г. 281 дн., норма — 1 г.</t>
        </is>
      </c>
      <c r="I388" s="170" t="inlineStr">
        <is>
          <t>25.10.2024</t>
        </is>
      </c>
    </row>
    <row r="389" ht="20" customHeight="1">
      <c r="A389" s="45" t="inlineStr">
        <is>
          <t>работник 448</t>
        </is>
      </c>
      <c r="B389" s="45" t="inlineStr">
        <is>
          <t>Слесарь по контрольно-измерительным приборам и автоматике</t>
        </is>
      </c>
      <c r="C389" s="45" t="inlineStr">
        <is>
          <t>46в. Оборудование</t>
        </is>
      </c>
      <c r="D389" s="170" t="inlineStr">
        <is>
          <t>раз в год</t>
        </is>
      </c>
      <c r="E389" s="171" t="n">
        <v>281</v>
      </c>
      <c r="F389" s="171" t="n">
        <v>1</v>
      </c>
      <c r="G389" s="45" t="inlineStr">
        <is>
          <t>10.12.2024</t>
        </is>
      </c>
      <c r="H389" s="45" t="inlineStr">
        <is>
          <t>После 10.12.2024 до конца реестра 17.09.2026 прошло 1 г. 281 дн., норма — 1 г.</t>
        </is>
      </c>
      <c r="I389" s="170" t="inlineStr">
        <is>
          <t>25.10.2024</t>
        </is>
      </c>
    </row>
    <row r="390" ht="20" customHeight="1">
      <c r="A390" s="45" t="inlineStr">
        <is>
          <t>работник 449</t>
        </is>
      </c>
      <c r="B390" s="45" t="inlineStr">
        <is>
          <t>Слесарь-ремонтник</t>
        </is>
      </c>
      <c r="C390" s="45" t="inlineStr">
        <is>
          <t>46в. Оборудование</t>
        </is>
      </c>
      <c r="D390" s="170" t="inlineStr">
        <is>
          <t>раз в год</t>
        </is>
      </c>
      <c r="E390" s="171" t="n">
        <v>281</v>
      </c>
      <c r="F390" s="171" t="n">
        <v>1</v>
      </c>
      <c r="G390" s="45" t="inlineStr">
        <is>
          <t>10.12.2024</t>
        </is>
      </c>
      <c r="H390" s="45" t="inlineStr">
        <is>
          <t>После 10.12.2024 до конца реестра 17.09.2026 прошло 1 г. 281 дн., норма — 1 г.</t>
        </is>
      </c>
      <c r="I390" s="170" t="inlineStr">
        <is>
          <t>25.10.2024</t>
        </is>
      </c>
    </row>
    <row r="391" ht="20" customHeight="1">
      <c r="A391" s="45" t="inlineStr">
        <is>
          <t>работник 131</t>
        </is>
      </c>
      <c r="B391" s="45" t="inlineStr">
        <is>
          <t>Электрогазосварщик</t>
        </is>
      </c>
      <c r="C391" s="45" t="inlineStr">
        <is>
          <t>46в. Оборудование</t>
        </is>
      </c>
      <c r="D391" s="170" t="inlineStr">
        <is>
          <t>раз в год</t>
        </is>
      </c>
      <c r="E391" s="171" t="n">
        <v>281</v>
      </c>
      <c r="F391" s="171" t="n">
        <v>2</v>
      </c>
      <c r="G391" s="45" t="inlineStr">
        <is>
          <t>11.12.2023; 10.12.2024</t>
        </is>
      </c>
      <c r="H391" s="45" t="inlineStr">
        <is>
          <t>После 10.12.2024 до конца реестра 17.09.2026 прошло 1 г. 281 дн., норма — 1 г.</t>
        </is>
      </c>
      <c r="I391" s="170" t="inlineStr">
        <is>
          <t>11.12.2023</t>
        </is>
      </c>
    </row>
    <row r="392" ht="20" customHeight="1">
      <c r="A392" s="45" t="inlineStr">
        <is>
          <t>работник 477</t>
        </is>
      </c>
      <c r="B392" s="45" t="inlineStr">
        <is>
          <t>Слесарь-ремонтник</t>
        </is>
      </c>
      <c r="C392" s="45" t="inlineStr">
        <is>
          <t>46в. Оборудование</t>
        </is>
      </c>
      <c r="D392" s="170" t="inlineStr">
        <is>
          <t>раз в год</t>
        </is>
      </c>
      <c r="E392" s="171" t="n">
        <v>281</v>
      </c>
      <c r="F392" s="171" t="n">
        <v>1</v>
      </c>
      <c r="G392" s="45" t="inlineStr">
        <is>
          <t>10.12.2024</t>
        </is>
      </c>
      <c r="H392" s="45" t="inlineStr">
        <is>
          <t>После 10.12.2024 до конца реестра 17.09.2026 прошло 1 г. 281 дн., норма — 1 г.</t>
        </is>
      </c>
      <c r="I392" s="170" t="inlineStr">
        <is>
          <t>13.11.2024</t>
        </is>
      </c>
    </row>
    <row r="393" ht="20" customHeight="1">
      <c r="A393" s="45" t="inlineStr">
        <is>
          <t>работник 425</t>
        </is>
      </c>
      <c r="B393" s="45" t="inlineStr">
        <is>
          <t>Слесарь-ремонтник</t>
        </is>
      </c>
      <c r="C393" s="45" t="inlineStr">
        <is>
          <t>46в. Оборудование</t>
        </is>
      </c>
      <c r="D393" s="170" t="inlineStr">
        <is>
          <t>раз в год</t>
        </is>
      </c>
      <c r="E393" s="171" t="n">
        <v>281</v>
      </c>
      <c r="F393" s="171" t="n">
        <v>1</v>
      </c>
      <c r="G393" s="45" t="inlineStr">
        <is>
          <t>10.12.2024</t>
        </is>
      </c>
      <c r="H393" s="45" t="inlineStr">
        <is>
          <t>После 10.12.2024 до конца реестра 17.09.2026 прошло 1 г. 281 дн., норма — 1 г.</t>
        </is>
      </c>
      <c r="I393" s="170" t="inlineStr">
        <is>
          <t>20.10.2024</t>
        </is>
      </c>
    </row>
    <row r="394" ht="32" customHeight="1">
      <c r="A394" s="45" t="inlineStr">
        <is>
          <t>работник 23</t>
        </is>
      </c>
      <c r="B394" s="45" t="inlineStr">
        <is>
          <t>Слесарь-ремонтник</t>
        </is>
      </c>
      <c r="C394" s="45" t="inlineStr">
        <is>
          <t>46в. Оборудование</t>
        </is>
      </c>
      <c r="D394" s="170" t="inlineStr">
        <is>
          <t>раз в год</t>
        </is>
      </c>
      <c r="E394" s="171" t="n">
        <v>281</v>
      </c>
      <c r="F394" s="171" t="n">
        <v>2</v>
      </c>
      <c r="G394" s="45" t="inlineStr">
        <is>
          <t>24.11.2023; 10.12.2024</t>
        </is>
      </c>
      <c r="H394" s="45" t="inlineStr">
        <is>
          <t>Между 24.11.2023 и 10.12.2024 прошло 1 г. 16 дн., норма — 1 г. После 10.12.2024 до конца реестра 17.09.2026 прошло 1 г. 281 дн., норма — 1 г.</t>
        </is>
      </c>
      <c r="I394" s="170" t="inlineStr">
        <is>
          <t>24.11.2023</t>
        </is>
      </c>
    </row>
    <row r="395" ht="32" customHeight="1">
      <c r="A395" s="45" t="inlineStr">
        <is>
          <t>работник 24</t>
        </is>
      </c>
      <c r="B395" s="45" t="inlineStr">
        <is>
          <t>Слесарь-ремонтник</t>
        </is>
      </c>
      <c r="C395" s="45" t="inlineStr">
        <is>
          <t>46в. Оборудование</t>
        </is>
      </c>
      <c r="D395" s="170" t="inlineStr">
        <is>
          <t>раз в год</t>
        </is>
      </c>
      <c r="E395" s="171" t="n">
        <v>281</v>
      </c>
      <c r="F395" s="171" t="n">
        <v>2</v>
      </c>
      <c r="G395" s="45" t="inlineStr">
        <is>
          <t>24.11.2023; 10.12.2024</t>
        </is>
      </c>
      <c r="H395" s="45" t="inlineStr">
        <is>
          <t>Между 24.11.2023 и 10.12.2024 прошло 1 г. 16 дн., норма — 1 г. После 10.12.2024 до конца реестра 17.09.2026 прошло 1 г. 281 дн., норма — 1 г.</t>
        </is>
      </c>
      <c r="I395" s="170" t="inlineStr">
        <is>
          <t>24.11.2023</t>
        </is>
      </c>
    </row>
    <row r="396" ht="20" customHeight="1">
      <c r="A396" s="45" t="inlineStr">
        <is>
          <t>работник 31</t>
        </is>
      </c>
      <c r="B396" s="45" t="inlineStr">
        <is>
          <t>Электромонтер</t>
        </is>
      </c>
      <c r="C396" s="45" t="inlineStr">
        <is>
          <t>46в. Электроустановки</t>
        </is>
      </c>
      <c r="D396" s="170" t="inlineStr">
        <is>
          <t>раз в год</t>
        </is>
      </c>
      <c r="E396" s="171" t="n">
        <v>662</v>
      </c>
      <c r="F396" s="171" t="n">
        <v>1</v>
      </c>
      <c r="G396" s="45" t="inlineStr">
        <is>
          <t>24.11.2023</t>
        </is>
      </c>
      <c r="H396" s="45" t="inlineStr">
        <is>
          <t>После 24.11.2023 до конца реестра 17.09.2026 прошло 2 г. 297 дн., норма — 1 г.</t>
        </is>
      </c>
      <c r="I396" s="170" t="inlineStr">
        <is>
          <t>24.11.2023</t>
        </is>
      </c>
    </row>
    <row r="397" ht="20" customHeight="1">
      <c r="A397" s="45" t="inlineStr">
        <is>
          <t>работник 30</t>
        </is>
      </c>
      <c r="B397" s="45" t="inlineStr">
        <is>
          <t>Электромонтер</t>
        </is>
      </c>
      <c r="C397" s="45" t="inlineStr">
        <is>
          <t>46в. Электроустановки</t>
        </is>
      </c>
      <c r="D397" s="170" t="inlineStr">
        <is>
          <t>раз в год</t>
        </is>
      </c>
      <c r="E397" s="171" t="n">
        <v>662</v>
      </c>
      <c r="F397" s="171" t="n">
        <v>1</v>
      </c>
      <c r="G397" s="45" t="inlineStr">
        <is>
          <t>24.11.2023</t>
        </is>
      </c>
      <c r="H397" s="45" t="inlineStr">
        <is>
          <t>После 24.11.2023 до конца реестра 17.09.2026 прошло 2 г. 297 дн., норма — 1 г.</t>
        </is>
      </c>
      <c r="I397" s="170" t="inlineStr">
        <is>
          <t>24.11.2023</t>
        </is>
      </c>
    </row>
    <row r="398" ht="20" customHeight="1">
      <c r="A398" s="45" t="inlineStr">
        <is>
          <t>работник 44</t>
        </is>
      </c>
      <c r="B398" s="45" t="inlineStr">
        <is>
          <t>Электромонтер по ремонту и обслуживанию электрооборудования</t>
        </is>
      </c>
      <c r="C398" s="45" t="inlineStr">
        <is>
          <t>46в. Электроустановки</t>
        </is>
      </c>
      <c r="D398" s="170" t="inlineStr">
        <is>
          <t>раз в год</t>
        </is>
      </c>
      <c r="E398" s="171" t="n">
        <v>656</v>
      </c>
      <c r="F398" s="171" t="n">
        <v>2</v>
      </c>
      <c r="G398" s="45" t="inlineStr">
        <is>
          <t>29.11.2023; 30.11.2023</t>
        </is>
      </c>
      <c r="H398" s="45" t="inlineStr">
        <is>
          <t>После 30.11.2023 до конца реестра 17.09.2026 прошло 2 г. 291 дн., норма — 1 г.</t>
        </is>
      </c>
      <c r="I398" s="170" t="inlineStr">
        <is>
          <t>23.11.2023</t>
        </is>
      </c>
    </row>
    <row r="399" ht="20" customHeight="1">
      <c r="A399" s="45" t="inlineStr">
        <is>
          <t>работник 45</t>
        </is>
      </c>
      <c r="B399" s="45" t="inlineStr">
        <is>
          <t>Электромонтер по ремонту и обслуживанию электрооборудования</t>
        </is>
      </c>
      <c r="C399" s="45" t="inlineStr">
        <is>
          <t>46в. Электроустановки</t>
        </is>
      </c>
      <c r="D399" s="170" t="inlineStr">
        <is>
          <t>раз в год</t>
        </is>
      </c>
      <c r="E399" s="171" t="n">
        <v>656</v>
      </c>
      <c r="F399" s="171" t="n">
        <v>2</v>
      </c>
      <c r="G399" s="45" t="inlineStr">
        <is>
          <t>29.11.2023; 30.11.2023</t>
        </is>
      </c>
      <c r="H399" s="45" t="inlineStr">
        <is>
          <t>После 30.11.2023 до конца реестра 17.09.2026 прошло 2 г. 291 дн., норма — 1 г.</t>
        </is>
      </c>
      <c r="I399" s="170" t="inlineStr">
        <is>
          <t>23.11.2023</t>
        </is>
      </c>
    </row>
    <row r="400" ht="20" customHeight="1">
      <c r="A400" s="45" t="inlineStr">
        <is>
          <t>работник 90</t>
        </is>
      </c>
      <c r="B400" s="45" t="inlineStr">
        <is>
          <t>Электромонтер по ремонту и обслуживанию электрооборудования</t>
        </is>
      </c>
      <c r="C400" s="45" t="inlineStr">
        <is>
          <t>46в. Электроустановки</t>
        </is>
      </c>
      <c r="D400" s="170" t="inlineStr">
        <is>
          <t>раз в год</t>
        </is>
      </c>
      <c r="E400" s="171" t="n">
        <v>647</v>
      </c>
      <c r="F400" s="171" t="n">
        <v>1</v>
      </c>
      <c r="G400" s="45" t="inlineStr">
        <is>
          <t>09.12.2023</t>
        </is>
      </c>
      <c r="H400" s="45" t="inlineStr">
        <is>
          <t>После 09.12.2023 до конца реестра 17.09.2026 прошло 2 г. 282 дн., норма — 1 г.</t>
        </is>
      </c>
      <c r="I400" s="170" t="inlineStr">
        <is>
          <t>09.12.2023</t>
        </is>
      </c>
    </row>
    <row r="401" ht="20" customHeight="1">
      <c r="A401" s="45" t="inlineStr">
        <is>
          <t>работник 134</t>
        </is>
      </c>
      <c r="B401" s="45" t="inlineStr">
        <is>
          <t>Электромонтер</t>
        </is>
      </c>
      <c r="C401" s="45" t="inlineStr">
        <is>
          <t>46в. Электроустановки</t>
        </is>
      </c>
      <c r="D401" s="170" t="inlineStr">
        <is>
          <t>раз в год</t>
        </is>
      </c>
      <c r="E401" s="171" t="n">
        <v>644</v>
      </c>
      <c r="F401" s="171" t="n">
        <v>1</v>
      </c>
      <c r="G401" s="45" t="inlineStr">
        <is>
          <t>12.12.2023</t>
        </is>
      </c>
      <c r="H401" s="45" t="inlineStr">
        <is>
          <t>После 12.12.2023 до конца реестра 17.09.2026 прошло 2 г. 279 дн., норма — 1 г.</t>
        </is>
      </c>
      <c r="I401" s="170" t="inlineStr">
        <is>
          <t>11.12.2023</t>
        </is>
      </c>
    </row>
    <row r="402" ht="20" customHeight="1">
      <c r="A402" s="45" t="inlineStr">
        <is>
          <t>работник 305</t>
        </is>
      </c>
      <c r="B402" s="45" t="inlineStr">
        <is>
          <t>Электромонтер</t>
        </is>
      </c>
      <c r="C402" s="45" t="inlineStr">
        <is>
          <t>46в. Электроустановки</t>
        </is>
      </c>
      <c r="D402" s="170" t="inlineStr">
        <is>
          <t>раз в год</t>
        </is>
      </c>
      <c r="E402" s="171" t="n">
        <v>560</v>
      </c>
      <c r="F402" s="171" t="n">
        <v>1</v>
      </c>
      <c r="G402" s="45" t="inlineStr">
        <is>
          <t>06.03.2024</t>
        </is>
      </c>
      <c r="H402" s="45" t="inlineStr">
        <is>
          <t>После 06.03.2024 до конца реестра 17.09.2026 прошло 2 г. 195 дн., норма — 1 г.</t>
        </is>
      </c>
      <c r="I402" s="170" t="inlineStr">
        <is>
          <t>06.03.2024</t>
        </is>
      </c>
    </row>
    <row r="403" ht="20" customHeight="1">
      <c r="A403" s="45" t="inlineStr">
        <is>
          <t>работник 32</t>
        </is>
      </c>
      <c r="B403" s="45" t="inlineStr">
        <is>
          <t>Электромонтер / Электромонтер по ремонту и обслуживанию электрооборудования</t>
        </is>
      </c>
      <c r="C403" s="45" t="inlineStr">
        <is>
          <t>46в. Электроустановки</t>
        </is>
      </c>
      <c r="D403" s="170" t="inlineStr">
        <is>
          <t>раз в год</t>
        </is>
      </c>
      <c r="E403" s="171" t="n">
        <v>558</v>
      </c>
      <c r="F403" s="171" t="n">
        <v>2</v>
      </c>
      <c r="G403" s="45" t="inlineStr">
        <is>
          <t>24.11.2023; 05.06.2026</t>
        </is>
      </c>
      <c r="H403" s="45" t="inlineStr">
        <is>
          <t>Между 24.11.2023 и 05.06.2026 прошло 2 г. 193 дн., норма — 1 г.</t>
        </is>
      </c>
      <c r="I403" s="170" t="inlineStr">
        <is>
          <t>24.11.2023</t>
        </is>
      </c>
    </row>
    <row r="404" ht="20" customHeight="1">
      <c r="A404" s="45" t="inlineStr">
        <is>
          <t>работник 78</t>
        </is>
      </c>
      <c r="B404" s="45" t="inlineStr">
        <is>
          <t>Электрогазосварщик</t>
        </is>
      </c>
      <c r="C404" s="45" t="inlineStr">
        <is>
          <t>46в. Стройка</t>
        </is>
      </c>
      <c r="D404" s="170" t="inlineStr">
        <is>
          <t>раз в год</t>
        </is>
      </c>
      <c r="E404" s="171" t="n">
        <v>662</v>
      </c>
      <c r="F404" s="171" t="n">
        <v>1</v>
      </c>
      <c r="G404" s="45" t="inlineStr">
        <is>
          <t>24.11.2023</t>
        </is>
      </c>
      <c r="H404" s="45" t="inlineStr">
        <is>
          <t>После 24.11.2023 до конца реестра 17.09.2026 прошло 2 г. 297 дн., норма — 1 г.</t>
        </is>
      </c>
      <c r="I404" s="170" t="inlineStr">
        <is>
          <t>23.11.2023</t>
        </is>
      </c>
    </row>
    <row r="405" ht="20" customHeight="1">
      <c r="A405" s="45" t="inlineStr">
        <is>
          <t>работник 77</t>
        </is>
      </c>
      <c r="B405" s="45" t="inlineStr">
        <is>
          <t>Плотник</t>
        </is>
      </c>
      <c r="C405" s="45" t="inlineStr">
        <is>
          <t>46в. Стройка</t>
        </is>
      </c>
      <c r="D405" s="170" t="inlineStr">
        <is>
          <t>раз в год</t>
        </is>
      </c>
      <c r="E405" s="171" t="n">
        <v>662</v>
      </c>
      <c r="F405" s="171" t="n">
        <v>1</v>
      </c>
      <c r="G405" s="45" t="inlineStr">
        <is>
          <t>24.11.2023</t>
        </is>
      </c>
      <c r="H405" s="45" t="inlineStr">
        <is>
          <t>После 24.11.2023 до конца реестра 17.09.2026 прошло 2 г. 297 дн., норма — 1 г.</t>
        </is>
      </c>
      <c r="I405" s="170" t="inlineStr">
        <is>
          <t>23.11.2023</t>
        </is>
      </c>
    </row>
    <row r="406" ht="20" customHeight="1">
      <c r="A406" s="45" t="inlineStr">
        <is>
          <t>работник 76</t>
        </is>
      </c>
      <c r="B406" s="45" t="inlineStr">
        <is>
          <t>Монтажник по монтажу стальных и железобетонных конструкций</t>
        </is>
      </c>
      <c r="C406" s="45" t="inlineStr">
        <is>
          <t>46в. Стройка</t>
        </is>
      </c>
      <c r="D406" s="170" t="inlineStr">
        <is>
          <t>раз в год</t>
        </is>
      </c>
      <c r="E406" s="171" t="n">
        <v>662</v>
      </c>
      <c r="F406" s="171" t="n">
        <v>1</v>
      </c>
      <c r="G406" s="45" t="inlineStr">
        <is>
          <t>24.11.2023</t>
        </is>
      </c>
      <c r="H406" s="45" t="inlineStr">
        <is>
          <t>После 24.11.2023 до конца реестра 17.09.2026 прошло 2 г. 297 дн., норма — 1 г.</t>
        </is>
      </c>
      <c r="I406" s="170" t="inlineStr">
        <is>
          <t>23.11.2023</t>
        </is>
      </c>
    </row>
    <row r="407" ht="20" customHeight="1">
      <c r="A407" s="45" t="inlineStr">
        <is>
          <t>работник 75</t>
        </is>
      </c>
      <c r="B407" s="45" t="inlineStr">
        <is>
          <t>Плотник</t>
        </is>
      </c>
      <c r="C407" s="45" t="inlineStr">
        <is>
          <t>46в. Стройка</t>
        </is>
      </c>
      <c r="D407" s="170" t="inlineStr">
        <is>
          <t>раз в год</t>
        </is>
      </c>
      <c r="E407" s="171" t="n">
        <v>662</v>
      </c>
      <c r="F407" s="171" t="n">
        <v>1</v>
      </c>
      <c r="G407" s="45" t="inlineStr">
        <is>
          <t>24.11.2023</t>
        </is>
      </c>
      <c r="H407" s="45" t="inlineStr">
        <is>
          <t>После 24.11.2023 до конца реестра 17.09.2026 прошло 2 г. 297 дн., норма — 1 г.</t>
        </is>
      </c>
      <c r="I407" s="170" t="inlineStr">
        <is>
          <t>23.11.2023</t>
        </is>
      </c>
    </row>
    <row r="408" ht="20" customHeight="1">
      <c r="A408" s="45" t="inlineStr">
        <is>
          <t>работник 79</t>
        </is>
      </c>
      <c r="B408" s="45" t="inlineStr">
        <is>
          <t>Плотник</t>
        </is>
      </c>
      <c r="C408" s="45" t="inlineStr">
        <is>
          <t>46в. Стройка</t>
        </is>
      </c>
      <c r="D408" s="170" t="inlineStr">
        <is>
          <t>раз в год</t>
        </is>
      </c>
      <c r="E408" s="171" t="n">
        <v>662</v>
      </c>
      <c r="F408" s="171" t="n">
        <v>1</v>
      </c>
      <c r="G408" s="45" t="inlineStr">
        <is>
          <t>24.11.2023</t>
        </is>
      </c>
      <c r="H408" s="45" t="inlineStr">
        <is>
          <t>После 24.11.2023 до конца реестра 17.09.2026 прошло 2 г. 297 дн., норма — 1 г.</t>
        </is>
      </c>
      <c r="I408" s="170" t="inlineStr">
        <is>
          <t>23.11.2023</t>
        </is>
      </c>
    </row>
    <row r="409" ht="20" customHeight="1">
      <c r="A409" s="45" t="inlineStr">
        <is>
          <t>работник 80</t>
        </is>
      </c>
      <c r="B409" s="45" t="inlineStr">
        <is>
          <t>Плотник</t>
        </is>
      </c>
      <c r="C409" s="45" t="inlineStr">
        <is>
          <t>46в. Стройка</t>
        </is>
      </c>
      <c r="D409" s="170" t="inlineStr">
        <is>
          <t>раз в год</t>
        </is>
      </c>
      <c r="E409" s="171" t="n">
        <v>662</v>
      </c>
      <c r="F409" s="171" t="n">
        <v>1</v>
      </c>
      <c r="G409" s="45" t="inlineStr">
        <is>
          <t>24.11.2023</t>
        </is>
      </c>
      <c r="H409" s="45" t="inlineStr">
        <is>
          <t>После 24.11.2023 до конца реестра 17.09.2026 прошло 2 г. 297 дн., норма — 1 г.</t>
        </is>
      </c>
      <c r="I409" s="170" t="inlineStr">
        <is>
          <t>23.11.2023</t>
        </is>
      </c>
    </row>
    <row r="410" ht="20" customHeight="1">
      <c r="A410" s="45" t="inlineStr">
        <is>
          <t>работник 81</t>
        </is>
      </c>
      <c r="B410" s="45" t="inlineStr">
        <is>
          <t>Плотник</t>
        </is>
      </c>
      <c r="C410" s="45" t="inlineStr">
        <is>
          <t>46в. Стройка</t>
        </is>
      </c>
      <c r="D410" s="170" t="inlineStr">
        <is>
          <t>раз в год</t>
        </is>
      </c>
      <c r="E410" s="171" t="n">
        <v>662</v>
      </c>
      <c r="F410" s="171" t="n">
        <v>1</v>
      </c>
      <c r="G410" s="45" t="inlineStr">
        <is>
          <t>24.11.2023</t>
        </is>
      </c>
      <c r="H410" s="45" t="inlineStr">
        <is>
          <t>После 24.11.2023 до конца реестра 17.09.2026 прошло 2 г. 297 дн., норма — 1 г.</t>
        </is>
      </c>
      <c r="I410" s="170" t="inlineStr">
        <is>
          <t>23.11.2023</t>
        </is>
      </c>
    </row>
    <row r="411" ht="20" customHeight="1">
      <c r="A411" s="45" t="inlineStr">
        <is>
          <t>работник 82</t>
        </is>
      </c>
      <c r="B411" s="45" t="inlineStr">
        <is>
          <t>Электрогазосварщик</t>
        </is>
      </c>
      <c r="C411" s="45" t="inlineStr">
        <is>
          <t>46в. Стройка</t>
        </is>
      </c>
      <c r="D411" s="170" t="inlineStr">
        <is>
          <t>раз в год</t>
        </is>
      </c>
      <c r="E411" s="171" t="n">
        <v>662</v>
      </c>
      <c r="F411" s="171" t="n">
        <v>1</v>
      </c>
      <c r="G411" s="45" t="inlineStr">
        <is>
          <t>24.11.2023</t>
        </is>
      </c>
      <c r="H411" s="45" t="inlineStr">
        <is>
          <t>После 24.11.2023 до конца реестра 17.09.2026 прошло 2 г. 297 дн., норма — 1 г.</t>
        </is>
      </c>
      <c r="I411" s="170" t="inlineStr">
        <is>
          <t>23.11.2023</t>
        </is>
      </c>
    </row>
    <row r="412" ht="20" customHeight="1">
      <c r="A412" s="45" t="inlineStr">
        <is>
          <t>работник 83</t>
        </is>
      </c>
      <c r="B412" s="45" t="inlineStr">
        <is>
          <t>Плотник</t>
        </is>
      </c>
      <c r="C412" s="45" t="inlineStr">
        <is>
          <t>46в. Стройка</t>
        </is>
      </c>
      <c r="D412" s="170" t="inlineStr">
        <is>
          <t>раз в год</t>
        </is>
      </c>
      <c r="E412" s="171" t="n">
        <v>662</v>
      </c>
      <c r="F412" s="171" t="n">
        <v>1</v>
      </c>
      <c r="G412" s="45" t="inlineStr">
        <is>
          <t>24.11.2023</t>
        </is>
      </c>
      <c r="H412" s="45" t="inlineStr">
        <is>
          <t>После 24.11.2023 до конца реестра 17.09.2026 прошло 2 г. 297 дн., норма — 1 г.</t>
        </is>
      </c>
      <c r="I412" s="170" t="inlineStr">
        <is>
          <t>23.11.2023</t>
        </is>
      </c>
    </row>
    <row r="413" ht="20" customHeight="1">
      <c r="A413" s="45" t="inlineStr">
        <is>
          <t>работник 84</t>
        </is>
      </c>
      <c r="B413" s="45" t="inlineStr">
        <is>
          <t>Плотник</t>
        </is>
      </c>
      <c r="C413" s="45" t="inlineStr">
        <is>
          <t>46в. Стройка</t>
        </is>
      </c>
      <c r="D413" s="170" t="inlineStr">
        <is>
          <t>раз в год</t>
        </is>
      </c>
      <c r="E413" s="171" t="n">
        <v>662</v>
      </c>
      <c r="F413" s="171" t="n">
        <v>1</v>
      </c>
      <c r="G413" s="45" t="inlineStr">
        <is>
          <t>24.11.2023</t>
        </is>
      </c>
      <c r="H413" s="45" t="inlineStr">
        <is>
          <t>После 24.11.2023 до конца реестра 17.09.2026 прошло 2 г. 297 дн., норма — 1 г.</t>
        </is>
      </c>
      <c r="I413" s="170" t="inlineStr">
        <is>
          <t>23.11.2023</t>
        </is>
      </c>
    </row>
    <row r="414" ht="20" customHeight="1">
      <c r="A414" s="45" t="inlineStr">
        <is>
          <t>работник 67</t>
        </is>
      </c>
      <c r="B414" s="45" t="inlineStr">
        <is>
          <t>Электрогазосварщик</t>
        </is>
      </c>
      <c r="C414" s="45" t="inlineStr">
        <is>
          <t>46в. Стройка</t>
        </is>
      </c>
      <c r="D414" s="170" t="inlineStr">
        <is>
          <t>раз в год</t>
        </is>
      </c>
      <c r="E414" s="171" t="n">
        <v>656</v>
      </c>
      <c r="F414" s="171" t="n">
        <v>1</v>
      </c>
      <c r="G414" s="45" t="inlineStr">
        <is>
          <t>30.11.2023</t>
        </is>
      </c>
      <c r="H414" s="45" t="inlineStr">
        <is>
          <t>После 30.11.2023 до конца реестра 17.09.2026 прошло 2 г. 291 дн., норма — 1 г.</t>
        </is>
      </c>
      <c r="I414" s="170" t="inlineStr">
        <is>
          <t>23.11.2023</t>
        </is>
      </c>
    </row>
    <row r="415" ht="20" customHeight="1">
      <c r="A415" s="45" t="inlineStr">
        <is>
          <t>работник 78</t>
        </is>
      </c>
      <c r="B415" s="45" t="inlineStr">
        <is>
          <t>Электрогазосварщик</t>
        </is>
      </c>
      <c r="C415" s="45" t="inlineStr">
        <is>
          <t>46в. Здания</t>
        </is>
      </c>
      <c r="D415" s="170" t="inlineStr">
        <is>
          <t>раз в год</t>
        </is>
      </c>
      <c r="E415" s="171" t="n">
        <v>662</v>
      </c>
      <c r="F415" s="171" t="n">
        <v>1</v>
      </c>
      <c r="G415" s="45" t="inlineStr">
        <is>
          <t>24.11.2023</t>
        </is>
      </c>
      <c r="H415" s="45" t="inlineStr">
        <is>
          <t>После 24.11.2023 до конца реестра 17.09.2026 прошло 2 г. 297 дн., норма — 1 г.</t>
        </is>
      </c>
      <c r="I415" s="170" t="inlineStr">
        <is>
          <t>23.11.2023</t>
        </is>
      </c>
    </row>
    <row r="416" ht="20" customHeight="1">
      <c r="A416" s="45" t="inlineStr">
        <is>
          <t>работник 77</t>
        </is>
      </c>
      <c r="B416" s="45" t="inlineStr">
        <is>
          <t>Плотник</t>
        </is>
      </c>
      <c r="C416" s="45" t="inlineStr">
        <is>
          <t>46в. Здания</t>
        </is>
      </c>
      <c r="D416" s="170" t="inlineStr">
        <is>
          <t>раз в год</t>
        </is>
      </c>
      <c r="E416" s="171" t="n">
        <v>662</v>
      </c>
      <c r="F416" s="171" t="n">
        <v>1</v>
      </c>
      <c r="G416" s="45" t="inlineStr">
        <is>
          <t>24.11.2023</t>
        </is>
      </c>
      <c r="H416" s="45" t="inlineStr">
        <is>
          <t>После 24.11.2023 до конца реестра 17.09.2026 прошло 2 г. 297 дн., норма — 1 г.</t>
        </is>
      </c>
      <c r="I416" s="170" t="inlineStr">
        <is>
          <t>23.11.2023</t>
        </is>
      </c>
    </row>
    <row r="417" ht="20" customHeight="1">
      <c r="A417" s="45" t="inlineStr">
        <is>
          <t>работник 76</t>
        </is>
      </c>
      <c r="B417" s="45" t="inlineStr">
        <is>
          <t>Монтажник по монтажу стальных и железобетонных конструкций</t>
        </is>
      </c>
      <c r="C417" s="45" t="inlineStr">
        <is>
          <t>46в. Здания</t>
        </is>
      </c>
      <c r="D417" s="170" t="inlineStr">
        <is>
          <t>раз в год</t>
        </is>
      </c>
      <c r="E417" s="171" t="n">
        <v>662</v>
      </c>
      <c r="F417" s="171" t="n">
        <v>1</v>
      </c>
      <c r="G417" s="45" t="inlineStr">
        <is>
          <t>24.11.2023</t>
        </is>
      </c>
      <c r="H417" s="45" t="inlineStr">
        <is>
          <t>После 24.11.2023 до конца реестра 17.09.2026 прошло 2 г. 297 дн., норма — 1 г.</t>
        </is>
      </c>
      <c r="I417" s="170" t="inlineStr">
        <is>
          <t>23.11.2023</t>
        </is>
      </c>
    </row>
    <row r="418" ht="20" customHeight="1">
      <c r="A418" s="45" t="inlineStr">
        <is>
          <t>работник 75</t>
        </is>
      </c>
      <c r="B418" s="45" t="inlineStr">
        <is>
          <t>Плотник</t>
        </is>
      </c>
      <c r="C418" s="45" t="inlineStr">
        <is>
          <t>46в. Здания</t>
        </is>
      </c>
      <c r="D418" s="170" t="inlineStr">
        <is>
          <t>раз в год</t>
        </is>
      </c>
      <c r="E418" s="171" t="n">
        <v>662</v>
      </c>
      <c r="F418" s="171" t="n">
        <v>1</v>
      </c>
      <c r="G418" s="45" t="inlineStr">
        <is>
          <t>24.11.2023</t>
        </is>
      </c>
      <c r="H418" s="45" t="inlineStr">
        <is>
          <t>После 24.11.2023 до конца реестра 17.09.2026 прошло 2 г. 297 дн., норма — 1 г.</t>
        </is>
      </c>
      <c r="I418" s="170" t="inlineStr">
        <is>
          <t>23.11.2023</t>
        </is>
      </c>
    </row>
    <row r="419" ht="20" customHeight="1">
      <c r="A419" s="45" t="inlineStr">
        <is>
          <t>работник 79</t>
        </is>
      </c>
      <c r="B419" s="45" t="inlineStr">
        <is>
          <t>Плотник</t>
        </is>
      </c>
      <c r="C419" s="45" t="inlineStr">
        <is>
          <t>46в. Здания</t>
        </is>
      </c>
      <c r="D419" s="170" t="inlineStr">
        <is>
          <t>раз в год</t>
        </is>
      </c>
      <c r="E419" s="171" t="n">
        <v>662</v>
      </c>
      <c r="F419" s="171" t="n">
        <v>1</v>
      </c>
      <c r="G419" s="45" t="inlineStr">
        <is>
          <t>24.11.2023</t>
        </is>
      </c>
      <c r="H419" s="45" t="inlineStr">
        <is>
          <t>После 24.11.2023 до конца реестра 17.09.2026 прошло 2 г. 297 дн., норма — 1 г.</t>
        </is>
      </c>
      <c r="I419" s="170" t="inlineStr">
        <is>
          <t>23.11.2023</t>
        </is>
      </c>
    </row>
    <row r="420" ht="20" customHeight="1">
      <c r="A420" s="45" t="inlineStr">
        <is>
          <t>работник 80</t>
        </is>
      </c>
      <c r="B420" s="45" t="inlineStr">
        <is>
          <t>Плотник</t>
        </is>
      </c>
      <c r="C420" s="45" t="inlineStr">
        <is>
          <t>46в. Здания</t>
        </is>
      </c>
      <c r="D420" s="170" t="inlineStr">
        <is>
          <t>раз в год</t>
        </is>
      </c>
      <c r="E420" s="171" t="n">
        <v>662</v>
      </c>
      <c r="F420" s="171" t="n">
        <v>1</v>
      </c>
      <c r="G420" s="45" t="inlineStr">
        <is>
          <t>24.11.2023</t>
        </is>
      </c>
      <c r="H420" s="45" t="inlineStr">
        <is>
          <t>После 24.11.2023 до конца реестра 17.09.2026 прошло 2 г. 297 дн., норма — 1 г.</t>
        </is>
      </c>
      <c r="I420" s="170" t="inlineStr">
        <is>
          <t>23.11.2023</t>
        </is>
      </c>
    </row>
    <row r="421" ht="20" customHeight="1">
      <c r="A421" s="45" t="inlineStr">
        <is>
          <t>работник 81</t>
        </is>
      </c>
      <c r="B421" s="45" t="inlineStr">
        <is>
          <t>Плотник</t>
        </is>
      </c>
      <c r="C421" s="45" t="inlineStr">
        <is>
          <t>46в. Здания</t>
        </is>
      </c>
      <c r="D421" s="170" t="inlineStr">
        <is>
          <t>раз в год</t>
        </is>
      </c>
      <c r="E421" s="171" t="n">
        <v>662</v>
      </c>
      <c r="F421" s="171" t="n">
        <v>1</v>
      </c>
      <c r="G421" s="45" t="inlineStr">
        <is>
          <t>24.11.2023</t>
        </is>
      </c>
      <c r="H421" s="45" t="inlineStr">
        <is>
          <t>После 24.11.2023 до конца реестра 17.09.2026 прошло 2 г. 297 дн., норма — 1 г.</t>
        </is>
      </c>
      <c r="I421" s="170" t="inlineStr">
        <is>
          <t>23.11.2023</t>
        </is>
      </c>
    </row>
    <row r="422" ht="20" customHeight="1">
      <c r="A422" s="45" t="inlineStr">
        <is>
          <t>работник 82</t>
        </is>
      </c>
      <c r="B422" s="45" t="inlineStr">
        <is>
          <t>Электрогазосварщик</t>
        </is>
      </c>
      <c r="C422" s="45" t="inlineStr">
        <is>
          <t>46в. Здания</t>
        </is>
      </c>
      <c r="D422" s="170" t="inlineStr">
        <is>
          <t>раз в год</t>
        </is>
      </c>
      <c r="E422" s="171" t="n">
        <v>662</v>
      </c>
      <c r="F422" s="171" t="n">
        <v>1</v>
      </c>
      <c r="G422" s="45" t="inlineStr">
        <is>
          <t>24.11.2023</t>
        </is>
      </c>
      <c r="H422" s="45" t="inlineStr">
        <is>
          <t>После 24.11.2023 до конца реестра 17.09.2026 прошло 2 г. 297 дн., норма — 1 г.</t>
        </is>
      </c>
      <c r="I422" s="170" t="inlineStr">
        <is>
          <t>23.11.2023</t>
        </is>
      </c>
    </row>
    <row r="423" ht="20" customHeight="1">
      <c r="A423" s="45" t="inlineStr">
        <is>
          <t>работник 83</t>
        </is>
      </c>
      <c r="B423" s="45" t="inlineStr">
        <is>
          <t>Плотник</t>
        </is>
      </c>
      <c r="C423" s="45" t="inlineStr">
        <is>
          <t>46в. Здания</t>
        </is>
      </c>
      <c r="D423" s="170" t="inlineStr">
        <is>
          <t>раз в год</t>
        </is>
      </c>
      <c r="E423" s="171" t="n">
        <v>662</v>
      </c>
      <c r="F423" s="171" t="n">
        <v>1</v>
      </c>
      <c r="G423" s="45" t="inlineStr">
        <is>
          <t>24.11.2023</t>
        </is>
      </c>
      <c r="H423" s="45" t="inlineStr">
        <is>
          <t>После 24.11.2023 до конца реестра 17.09.2026 прошло 2 г. 297 дн., норма — 1 г.</t>
        </is>
      </c>
      <c r="I423" s="170" t="inlineStr">
        <is>
          <t>23.11.2023</t>
        </is>
      </c>
    </row>
    <row r="424" ht="20" customHeight="1">
      <c r="A424" s="45" t="inlineStr">
        <is>
          <t>работник 84</t>
        </is>
      </c>
      <c r="B424" s="45" t="inlineStr">
        <is>
          <t>Плотник</t>
        </is>
      </c>
      <c r="C424" s="45" t="inlineStr">
        <is>
          <t>46в. Здания</t>
        </is>
      </c>
      <c r="D424" s="170" t="inlineStr">
        <is>
          <t>раз в год</t>
        </is>
      </c>
      <c r="E424" s="171" t="n">
        <v>662</v>
      </c>
      <c r="F424" s="171" t="n">
        <v>1</v>
      </c>
      <c r="G424" s="45" t="inlineStr">
        <is>
          <t>24.11.2023</t>
        </is>
      </c>
      <c r="H424" s="45" t="inlineStr">
        <is>
          <t>После 24.11.2023 до конца реестра 17.09.2026 прошло 2 г. 297 дн., норма — 1 г.</t>
        </is>
      </c>
      <c r="I424" s="170" t="inlineStr">
        <is>
          <t>23.11.2023</t>
        </is>
      </c>
    </row>
    <row r="425" ht="20" customHeight="1">
      <c r="A425" s="45" t="inlineStr">
        <is>
          <t>работник 5</t>
        </is>
      </c>
      <c r="B425" s="45" t="inlineStr">
        <is>
          <t>Механик по ремонту самоходного транспорта</t>
        </is>
      </c>
      <c r="C425" s="45" t="inlineStr">
        <is>
          <t>Первая помощь</t>
        </is>
      </c>
      <c r="D425" s="170" t="inlineStr">
        <is>
          <t>раз в 3 года</t>
        </is>
      </c>
      <c r="E425" s="171" t="n">
        <v>114</v>
      </c>
      <c r="F425" s="171" t="n">
        <v>1</v>
      </c>
      <c r="G425" s="45" t="inlineStr">
        <is>
          <t>26.05.2023</t>
        </is>
      </c>
      <c r="H425" s="45" t="inlineStr">
        <is>
          <t>После 26.05.2023 до конца реестра 17.09.2026 прошло 3 г. 114 дн., норма — 3 г.</t>
        </is>
      </c>
      <c r="I425" s="170" t="inlineStr">
        <is>
          <t>26.05.2023</t>
        </is>
      </c>
    </row>
    <row r="426" ht="20" customHeight="1">
      <c r="A426" s="45" t="inlineStr">
        <is>
          <t>работник 8</t>
        </is>
      </c>
      <c r="B426" s="45" t="inlineStr">
        <is>
          <t>Начальник золотоизвлекательной фабрики</t>
        </is>
      </c>
      <c r="C426" s="45" t="inlineStr">
        <is>
          <t>Первая помощь</t>
        </is>
      </c>
      <c r="D426" s="170" t="inlineStr">
        <is>
          <t>раз в 3 года</t>
        </is>
      </c>
      <c r="E426" s="171" t="n">
        <v>114</v>
      </c>
      <c r="F426" s="171" t="n">
        <v>1</v>
      </c>
      <c r="G426" s="45" t="inlineStr">
        <is>
          <t>26.05.2023</t>
        </is>
      </c>
      <c r="H426" s="45" t="inlineStr">
        <is>
          <t>После 26.05.2023 до конца реестра 17.09.2026 прошло 3 г. 114 дн., норма — 3 г.</t>
        </is>
      </c>
      <c r="I426" s="170" t="inlineStr">
        <is>
          <t>26.05.2023</t>
        </is>
      </c>
    </row>
    <row r="427" ht="20" customHeight="1">
      <c r="A427" s="45" t="inlineStr">
        <is>
          <t>работник 3</t>
        </is>
      </c>
      <c r="B427" s="45" t="inlineStr">
        <is>
          <t>Инженер по промышленной безопасности и охране труда</t>
        </is>
      </c>
      <c r="C427" s="45" t="inlineStr">
        <is>
          <t>Первая помощь</t>
        </is>
      </c>
      <c r="D427" s="170" t="inlineStr">
        <is>
          <t>раз в 3 года</t>
        </is>
      </c>
      <c r="E427" s="171" t="n">
        <v>114</v>
      </c>
      <c r="F427" s="171" t="n">
        <v>1</v>
      </c>
      <c r="G427" s="45" t="inlineStr">
        <is>
          <t>26.05.2023</t>
        </is>
      </c>
      <c r="H427" s="45" t="inlineStr">
        <is>
          <t>После 26.05.2023 до конца реестра 17.09.2026 прошло 3 г. 114 дн., норма — 3 г.</t>
        </is>
      </c>
      <c r="I427" s="170" t="inlineStr">
        <is>
          <t>26.05.2023</t>
        </is>
      </c>
    </row>
    <row r="428" ht="20" customHeight="1">
      <c r="A428" s="45" t="inlineStr">
        <is>
          <t>работник 1</t>
        </is>
      </c>
      <c r="B428" s="45" t="inlineStr">
        <is>
          <t>Директор</t>
        </is>
      </c>
      <c r="C428" s="45" t="inlineStr">
        <is>
          <t>Первая помощь</t>
        </is>
      </c>
      <c r="D428" s="170" t="inlineStr">
        <is>
          <t>раз в 3 года</t>
        </is>
      </c>
      <c r="E428" s="171" t="n">
        <v>114</v>
      </c>
      <c r="F428" s="171" t="n">
        <v>1</v>
      </c>
      <c r="G428" s="45" t="inlineStr">
        <is>
          <t>26.05.2023</t>
        </is>
      </c>
      <c r="H428" s="45" t="inlineStr">
        <is>
          <t>После 26.05.2023 до конца реестра 17.09.2026 прошло 3 г. 114 дн., норма — 3 г.</t>
        </is>
      </c>
      <c r="I428" s="170" t="inlineStr">
        <is>
          <t>26.05.2023</t>
        </is>
      </c>
    </row>
    <row r="429" ht="20" customHeight="1">
      <c r="A429" s="45" t="inlineStr">
        <is>
          <t>работник 4</t>
        </is>
      </c>
      <c r="B429" s="45" t="inlineStr">
        <is>
          <t>Инженер по промышленной безопасности и охране труда</t>
        </is>
      </c>
      <c r="C429" s="45" t="inlineStr">
        <is>
          <t>Первая помощь</t>
        </is>
      </c>
      <c r="D429" s="170" t="inlineStr">
        <is>
          <t>раз в 3 года</t>
        </is>
      </c>
      <c r="E429" s="171" t="n">
        <v>114</v>
      </c>
      <c r="F429" s="171" t="n">
        <v>1</v>
      </c>
      <c r="G429" s="45" t="inlineStr">
        <is>
          <t>26.05.2023</t>
        </is>
      </c>
      <c r="H429" s="45" t="inlineStr">
        <is>
          <t>После 26.05.2023 до конца реестра 17.09.2026 прошло 3 г. 114 дн., норма — 3 г.</t>
        </is>
      </c>
      <c r="I429" s="170" t="inlineStr">
        <is>
          <t>26.05.2023</t>
        </is>
      </c>
    </row>
    <row r="430" ht="20" customHeight="1">
      <c r="A430" s="45" t="inlineStr">
        <is>
          <t>работник 9</t>
        </is>
      </c>
      <c r="B430" s="45" t="inlineStr">
        <is>
          <t>Заместитель начальника золотоизвлекательной фабрики</t>
        </is>
      </c>
      <c r="C430" s="45" t="inlineStr">
        <is>
          <t>Первая помощь</t>
        </is>
      </c>
      <c r="D430" s="170" t="inlineStr">
        <is>
          <t>раз в 3 года</t>
        </is>
      </c>
      <c r="E430" s="171" t="n">
        <v>114</v>
      </c>
      <c r="F430" s="171" t="n">
        <v>1</v>
      </c>
      <c r="G430" s="45" t="inlineStr">
        <is>
          <t>26.05.2023</t>
        </is>
      </c>
      <c r="H430" s="45" t="inlineStr">
        <is>
          <t>После 26.05.2023 до конца реестра 17.09.2026 прошло 3 г. 114 дн., норма — 3 г.</t>
        </is>
      </c>
      <c r="I430" s="170" t="inlineStr">
        <is>
          <t>26.05.2023</t>
        </is>
      </c>
    </row>
    <row r="431" ht="20" customHeight="1">
      <c r="A431" s="45" t="inlineStr">
        <is>
          <t>работник 6</t>
        </is>
      </c>
      <c r="B431" s="45" t="inlineStr">
        <is>
          <t>Заместитель начальника участка по буровзрывным работам</t>
        </is>
      </c>
      <c r="C431" s="45" t="inlineStr">
        <is>
          <t>Первая помощь</t>
        </is>
      </c>
      <c r="D431" s="170" t="inlineStr">
        <is>
          <t>раз в 3 года</t>
        </is>
      </c>
      <c r="E431" s="171" t="n">
        <v>114</v>
      </c>
      <c r="F431" s="171" t="n">
        <v>1</v>
      </c>
      <c r="G431" s="45" t="inlineStr">
        <is>
          <t>26.05.2023</t>
        </is>
      </c>
      <c r="H431" s="45" t="inlineStr">
        <is>
          <t>После 26.05.2023 до конца реестра 17.09.2026 прошло 3 г. 114 дн., норма — 3 г.</t>
        </is>
      </c>
      <c r="I431" s="170" t="inlineStr">
        <is>
          <t>26.05.2023</t>
        </is>
      </c>
    </row>
    <row r="432" ht="20" customHeight="1">
      <c r="A432" s="45" t="inlineStr">
        <is>
          <t>работник 14</t>
        </is>
      </c>
      <c r="B432" s="45" t="inlineStr">
        <is>
          <t>Начальник автотранспортного цеха</t>
        </is>
      </c>
      <c r="C432" s="45" t="inlineStr">
        <is>
          <t>Первая помощь</t>
        </is>
      </c>
      <c r="D432" s="170" t="inlineStr">
        <is>
          <t>раз в 3 года</t>
        </is>
      </c>
      <c r="E432" s="171" t="n">
        <v>114</v>
      </c>
      <c r="F432" s="171" t="n">
        <v>1</v>
      </c>
      <c r="G432" s="45" t="inlineStr">
        <is>
          <t>26.05.2023</t>
        </is>
      </c>
      <c r="H432" s="45" t="inlineStr">
        <is>
          <t>После 26.05.2023 до конца реестра 17.09.2026 прошло 3 г. 114 дн., норма — 3 г.</t>
        </is>
      </c>
      <c r="I432" s="170" t="inlineStr">
        <is>
          <t>26.05.2023</t>
        </is>
      </c>
    </row>
    <row r="433" ht="20" customHeight="1">
      <c r="A433" s="45" t="inlineStr">
        <is>
          <t>работник 12</t>
        </is>
      </c>
      <c r="B433" s="45" t="inlineStr">
        <is>
          <t>Электромеханик подземного горного участка</t>
        </is>
      </c>
      <c r="C433" s="45" t="inlineStr">
        <is>
          <t>Первая помощь</t>
        </is>
      </c>
      <c r="D433" s="170" t="inlineStr">
        <is>
          <t>раз в 3 года</t>
        </is>
      </c>
      <c r="E433" s="171" t="n">
        <v>114</v>
      </c>
      <c r="F433" s="171" t="n">
        <v>1</v>
      </c>
      <c r="G433" s="45" t="inlineStr">
        <is>
          <t>26.05.2023</t>
        </is>
      </c>
      <c r="H433" s="45" t="inlineStr">
        <is>
          <t>После 26.05.2023 до конца реестра 17.09.2026 прошло 3 г. 114 дн., норма — 3 г.</t>
        </is>
      </c>
      <c r="I433" s="170" t="inlineStr">
        <is>
          <t>26.05.2023</t>
        </is>
      </c>
    </row>
    <row r="434" ht="20" customHeight="1">
      <c r="A434" s="45" t="inlineStr">
        <is>
          <t>работник 10</t>
        </is>
      </c>
      <c r="B434" s="45" t="inlineStr">
        <is>
          <t>Главный энергетик</t>
        </is>
      </c>
      <c r="C434" s="45" t="inlineStr">
        <is>
          <t>Первая помощь</t>
        </is>
      </c>
      <c r="D434" s="170" t="inlineStr">
        <is>
          <t>раз в 3 года</t>
        </is>
      </c>
      <c r="E434" s="171" t="n">
        <v>114</v>
      </c>
      <c r="F434" s="171" t="n">
        <v>1</v>
      </c>
      <c r="G434" s="45" t="inlineStr">
        <is>
          <t>26.05.2023</t>
        </is>
      </c>
      <c r="H434" s="45" t="inlineStr">
        <is>
          <t>После 26.05.2023 до конца реестра 17.09.2026 прошло 3 г. 114 дн., норма — 3 г.</t>
        </is>
      </c>
      <c r="I434" s="170" t="inlineStr">
        <is>
          <t>26.05.2023</t>
        </is>
      </c>
    </row>
    <row r="435" ht="20" customHeight="1">
      <c r="A435" s="45" t="inlineStr">
        <is>
          <t>работник 2</t>
        </is>
      </c>
      <c r="B435" s="45" t="inlineStr">
        <is>
          <t>Заместитель директора горно-обогатительного комплекса по производству</t>
        </is>
      </c>
      <c r="C435" s="45" t="inlineStr">
        <is>
          <t>Первая помощь</t>
        </is>
      </c>
      <c r="D435" s="170" t="inlineStr">
        <is>
          <t>раз в 3 года</t>
        </is>
      </c>
      <c r="E435" s="171" t="n">
        <v>114</v>
      </c>
      <c r="F435" s="171" t="n">
        <v>1</v>
      </c>
      <c r="G435" s="45" t="inlineStr">
        <is>
          <t>26.05.2023</t>
        </is>
      </c>
      <c r="H435" s="45" t="inlineStr">
        <is>
          <t>После 26.05.2023 до конца реестра 17.09.2026 прошло 3 г. 114 дн., норма — 3 г.</t>
        </is>
      </c>
      <c r="I435" s="170" t="inlineStr">
        <is>
          <t>26.05.2023</t>
        </is>
      </c>
    </row>
    <row r="436" ht="20" customHeight="1">
      <c r="A436" s="45" t="inlineStr">
        <is>
          <t>работник 7</t>
        </is>
      </c>
      <c r="B436" s="45" t="inlineStr">
        <is>
          <t>Главный технолог</t>
        </is>
      </c>
      <c r="C436" s="45" t="inlineStr">
        <is>
          <t>Первая помощь</t>
        </is>
      </c>
      <c r="D436" s="170" t="inlineStr">
        <is>
          <t>раз в 3 года</t>
        </is>
      </c>
      <c r="E436" s="171" t="n">
        <v>114</v>
      </c>
      <c r="F436" s="171" t="n">
        <v>1</v>
      </c>
      <c r="G436" s="45" t="inlineStr">
        <is>
          <t>26.05.2023</t>
        </is>
      </c>
      <c r="H436" s="45" t="inlineStr">
        <is>
          <t>После 26.05.2023 до конца реестра 17.09.2026 прошло 3 г. 114 дн., норма — 3 г.</t>
        </is>
      </c>
      <c r="I436" s="170" t="inlineStr">
        <is>
          <t>26.05.2023</t>
        </is>
      </c>
    </row>
    <row r="437" ht="20" customHeight="1">
      <c r="A437" s="45" t="inlineStr">
        <is>
          <t>работник 13</t>
        </is>
      </c>
      <c r="B437" s="45" t="inlineStr">
        <is>
          <t>Старший геолог</t>
        </is>
      </c>
      <c r="C437" s="45" t="inlineStr">
        <is>
          <t>Первая помощь</t>
        </is>
      </c>
      <c r="D437" s="170" t="inlineStr">
        <is>
          <t>раз в 3 года</t>
        </is>
      </c>
      <c r="E437" s="171" t="n">
        <v>114</v>
      </c>
      <c r="F437" s="171" t="n">
        <v>1</v>
      </c>
      <c r="G437" s="45" t="inlineStr">
        <is>
          <t>26.05.2023</t>
        </is>
      </c>
      <c r="H437" s="45" t="inlineStr">
        <is>
          <t>После 26.05.2023 до конца реестра 17.09.2026 прошло 3 г. 114 дн., норма — 3 г.</t>
        </is>
      </c>
      <c r="I437" s="170" t="inlineStr">
        <is>
          <t>26.05.2023</t>
        </is>
      </c>
    </row>
    <row r="438" ht="20" customHeight="1">
      <c r="A438" s="45" t="inlineStr">
        <is>
          <t>работник 11</t>
        </is>
      </c>
      <c r="B438" s="45" t="inlineStr">
        <is>
          <t>Теплотехник</t>
        </is>
      </c>
      <c r="C438" s="45" t="inlineStr">
        <is>
          <t>Первая помощь</t>
        </is>
      </c>
      <c r="D438" s="170" t="inlineStr">
        <is>
          <t>раз в 3 года</t>
        </is>
      </c>
      <c r="E438" s="171" t="n">
        <v>114</v>
      </c>
      <c r="F438" s="171" t="n">
        <v>1</v>
      </c>
      <c r="G438" s="45" t="inlineStr">
        <is>
          <t>26.05.2023</t>
        </is>
      </c>
      <c r="H438" s="45" t="inlineStr">
        <is>
          <t>После 26.05.2023 до конца реестра 17.09.2026 прошло 3 г. 114 дн., норма — 3 г.</t>
        </is>
      </c>
      <c r="I438" s="170" t="inlineStr">
        <is>
          <t>26.05.2023</t>
        </is>
      </c>
    </row>
    <row r="439" ht="20" customHeight="1">
      <c r="A439" s="45" t="inlineStr">
        <is>
          <t>работник 5</t>
        </is>
      </c>
      <c r="B439" s="45" t="inlineStr">
        <is>
          <t>Механик по ремонту самоходного транспорта</t>
        </is>
      </c>
      <c r="C439" s="45" t="inlineStr">
        <is>
          <t>СИЗ</t>
        </is>
      </c>
      <c r="D439" s="170" t="inlineStr">
        <is>
          <t>раз в 3 года</t>
        </is>
      </c>
      <c r="E439" s="171" t="n">
        <v>114</v>
      </c>
      <c r="F439" s="171" t="n">
        <v>1</v>
      </c>
      <c r="G439" s="45" t="inlineStr">
        <is>
          <t>26.05.2023</t>
        </is>
      </c>
      <c r="H439" s="45" t="inlineStr">
        <is>
          <t>После 26.05.2023 до конца реестра 17.09.2026 прошло 3 г. 114 дн., норма — 3 г.</t>
        </is>
      </c>
      <c r="I439" s="170" t="inlineStr">
        <is>
          <t>26.05.2023</t>
        </is>
      </c>
    </row>
    <row r="440" ht="20" customHeight="1">
      <c r="A440" s="45" t="inlineStr">
        <is>
          <t>работник 8</t>
        </is>
      </c>
      <c r="B440" s="45" t="inlineStr">
        <is>
          <t>Начальник золотоизвлекательной фабрики</t>
        </is>
      </c>
      <c r="C440" s="45" t="inlineStr">
        <is>
          <t>СИЗ</t>
        </is>
      </c>
      <c r="D440" s="170" t="inlineStr">
        <is>
          <t>раз в 3 года</t>
        </is>
      </c>
      <c r="E440" s="171" t="n">
        <v>114</v>
      </c>
      <c r="F440" s="171" t="n">
        <v>1</v>
      </c>
      <c r="G440" s="45" t="inlineStr">
        <is>
          <t>26.05.2023</t>
        </is>
      </c>
      <c r="H440" s="45" t="inlineStr">
        <is>
          <t>После 26.05.2023 до конца реестра 17.09.2026 прошло 3 г. 114 дн., норма — 3 г.</t>
        </is>
      </c>
      <c r="I440" s="170" t="inlineStr">
        <is>
          <t>26.05.2023</t>
        </is>
      </c>
    </row>
    <row r="441" ht="20" customHeight="1">
      <c r="A441" s="45" t="inlineStr">
        <is>
          <t>работник 3</t>
        </is>
      </c>
      <c r="B441" s="45" t="inlineStr">
        <is>
          <t>Инженер по промышленной безопасности и охране труда</t>
        </is>
      </c>
      <c r="C441" s="45" t="inlineStr">
        <is>
          <t>СИЗ</t>
        </is>
      </c>
      <c r="D441" s="170" t="inlineStr">
        <is>
          <t>раз в 3 года</t>
        </is>
      </c>
      <c r="E441" s="171" t="n">
        <v>114</v>
      </c>
      <c r="F441" s="171" t="n">
        <v>1</v>
      </c>
      <c r="G441" s="45" t="inlineStr">
        <is>
          <t>26.05.2023</t>
        </is>
      </c>
      <c r="H441" s="45" t="inlineStr">
        <is>
          <t>После 26.05.2023 до конца реестра 17.09.2026 прошло 3 г. 114 дн., норма — 3 г.</t>
        </is>
      </c>
      <c r="I441" s="170" t="inlineStr">
        <is>
          <t>26.05.2023</t>
        </is>
      </c>
    </row>
    <row r="442" ht="20" customHeight="1">
      <c r="A442" s="45" t="inlineStr">
        <is>
          <t>работник 1</t>
        </is>
      </c>
      <c r="B442" s="45" t="inlineStr">
        <is>
          <t>Директор</t>
        </is>
      </c>
      <c r="C442" s="45" t="inlineStr">
        <is>
          <t>СИЗ</t>
        </is>
      </c>
      <c r="D442" s="170" t="inlineStr">
        <is>
          <t>раз в 3 года</t>
        </is>
      </c>
      <c r="E442" s="171" t="n">
        <v>114</v>
      </c>
      <c r="F442" s="171" t="n">
        <v>1</v>
      </c>
      <c r="G442" s="45" t="inlineStr">
        <is>
          <t>26.05.2023</t>
        </is>
      </c>
      <c r="H442" s="45" t="inlineStr">
        <is>
          <t>После 26.05.2023 до конца реестра 17.09.2026 прошло 3 г. 114 дн., норма — 3 г.</t>
        </is>
      </c>
      <c r="I442" s="170" t="inlineStr">
        <is>
          <t>26.05.2023</t>
        </is>
      </c>
    </row>
    <row r="443" ht="20" customHeight="1">
      <c r="A443" s="45" t="inlineStr">
        <is>
          <t>работник 4</t>
        </is>
      </c>
      <c r="B443" s="45" t="inlineStr">
        <is>
          <t>Инженер по промышленной безопасности и охране труда</t>
        </is>
      </c>
      <c r="C443" s="45" t="inlineStr">
        <is>
          <t>СИЗ</t>
        </is>
      </c>
      <c r="D443" s="170" t="inlineStr">
        <is>
          <t>раз в 3 года</t>
        </is>
      </c>
      <c r="E443" s="171" t="n">
        <v>114</v>
      </c>
      <c r="F443" s="171" t="n">
        <v>1</v>
      </c>
      <c r="G443" s="45" t="inlineStr">
        <is>
          <t>26.05.2023</t>
        </is>
      </c>
      <c r="H443" s="45" t="inlineStr">
        <is>
          <t>После 26.05.2023 до конца реестра 17.09.2026 прошло 3 г. 114 дн., норма — 3 г.</t>
        </is>
      </c>
      <c r="I443" s="170" t="inlineStr">
        <is>
          <t>26.05.2023</t>
        </is>
      </c>
    </row>
    <row r="444" ht="20" customHeight="1">
      <c r="A444" s="45" t="inlineStr">
        <is>
          <t>работник 9</t>
        </is>
      </c>
      <c r="B444" s="45" t="inlineStr">
        <is>
          <t>Заместитель начальника золотоизвлекательной фабрики</t>
        </is>
      </c>
      <c r="C444" s="45" t="inlineStr">
        <is>
          <t>СИЗ</t>
        </is>
      </c>
      <c r="D444" s="170" t="inlineStr">
        <is>
          <t>раз в 3 года</t>
        </is>
      </c>
      <c r="E444" s="171" t="n">
        <v>114</v>
      </c>
      <c r="F444" s="171" t="n">
        <v>1</v>
      </c>
      <c r="G444" s="45" t="inlineStr">
        <is>
          <t>26.05.2023</t>
        </is>
      </c>
      <c r="H444" s="45" t="inlineStr">
        <is>
          <t>После 26.05.2023 до конца реестра 17.09.2026 прошло 3 г. 114 дн., норма — 3 г.</t>
        </is>
      </c>
      <c r="I444" s="170" t="inlineStr">
        <is>
          <t>26.05.2023</t>
        </is>
      </c>
    </row>
    <row r="445" ht="20" customHeight="1">
      <c r="A445" s="45" t="inlineStr">
        <is>
          <t>работник 6</t>
        </is>
      </c>
      <c r="B445" s="45" t="inlineStr">
        <is>
          <t>Заместитель начальника участка по буровзрывным работам</t>
        </is>
      </c>
      <c r="C445" s="45" t="inlineStr">
        <is>
          <t>СИЗ</t>
        </is>
      </c>
      <c r="D445" s="170" t="inlineStr">
        <is>
          <t>раз в 3 года</t>
        </is>
      </c>
      <c r="E445" s="171" t="n">
        <v>114</v>
      </c>
      <c r="F445" s="171" t="n">
        <v>1</v>
      </c>
      <c r="G445" s="45" t="inlineStr">
        <is>
          <t>26.05.2023</t>
        </is>
      </c>
      <c r="H445" s="45" t="inlineStr">
        <is>
          <t>После 26.05.2023 до конца реестра 17.09.2026 прошло 3 г. 114 дн., норма — 3 г.</t>
        </is>
      </c>
      <c r="I445" s="170" t="inlineStr">
        <is>
          <t>26.05.2023</t>
        </is>
      </c>
    </row>
    <row r="446" ht="20" customHeight="1">
      <c r="A446" s="45" t="inlineStr">
        <is>
          <t>работник 14</t>
        </is>
      </c>
      <c r="B446" s="45" t="inlineStr">
        <is>
          <t>Начальник автотранспортного цеха</t>
        </is>
      </c>
      <c r="C446" s="45" t="inlineStr">
        <is>
          <t>СИЗ</t>
        </is>
      </c>
      <c r="D446" s="170" t="inlineStr">
        <is>
          <t>раз в 3 года</t>
        </is>
      </c>
      <c r="E446" s="171" t="n">
        <v>114</v>
      </c>
      <c r="F446" s="171" t="n">
        <v>1</v>
      </c>
      <c r="G446" s="45" t="inlineStr">
        <is>
          <t>26.05.2023</t>
        </is>
      </c>
      <c r="H446" s="45" t="inlineStr">
        <is>
          <t>После 26.05.2023 до конца реестра 17.09.2026 прошло 3 г. 114 дн., норма — 3 г.</t>
        </is>
      </c>
      <c r="I446" s="170" t="inlineStr">
        <is>
          <t>26.05.2023</t>
        </is>
      </c>
    </row>
    <row r="447" ht="20" customHeight="1">
      <c r="A447" s="45" t="inlineStr">
        <is>
          <t>работник 12</t>
        </is>
      </c>
      <c r="B447" s="45" t="inlineStr">
        <is>
          <t>Электромеханик подземного горного участка</t>
        </is>
      </c>
      <c r="C447" s="45" t="inlineStr">
        <is>
          <t>СИЗ</t>
        </is>
      </c>
      <c r="D447" s="170" t="inlineStr">
        <is>
          <t>раз в 3 года</t>
        </is>
      </c>
      <c r="E447" s="171" t="n">
        <v>114</v>
      </c>
      <c r="F447" s="171" t="n">
        <v>1</v>
      </c>
      <c r="G447" s="45" t="inlineStr">
        <is>
          <t>26.05.2023</t>
        </is>
      </c>
      <c r="H447" s="45" t="inlineStr">
        <is>
          <t>После 26.05.2023 до конца реестра 17.09.2026 прошло 3 г. 114 дн., норма — 3 г.</t>
        </is>
      </c>
      <c r="I447" s="170" t="inlineStr">
        <is>
          <t>26.05.2023</t>
        </is>
      </c>
    </row>
    <row r="448" ht="20" customHeight="1">
      <c r="A448" s="45" t="inlineStr">
        <is>
          <t>работник 10</t>
        </is>
      </c>
      <c r="B448" s="45" t="inlineStr">
        <is>
          <t>Главный энергетик</t>
        </is>
      </c>
      <c r="C448" s="45" t="inlineStr">
        <is>
          <t>СИЗ</t>
        </is>
      </c>
      <c r="D448" s="170" t="inlineStr">
        <is>
          <t>раз в 3 года</t>
        </is>
      </c>
      <c r="E448" s="171" t="n">
        <v>114</v>
      </c>
      <c r="F448" s="171" t="n">
        <v>1</v>
      </c>
      <c r="G448" s="45" t="inlineStr">
        <is>
          <t>26.05.2023</t>
        </is>
      </c>
      <c r="H448" s="45" t="inlineStr">
        <is>
          <t>После 26.05.2023 до конца реестра 17.09.2026 прошло 3 г. 114 дн., норма — 3 г.</t>
        </is>
      </c>
      <c r="I448" s="170" t="inlineStr">
        <is>
          <t>26.05.2023</t>
        </is>
      </c>
    </row>
    <row r="449" ht="20" customHeight="1">
      <c r="A449" s="45" t="inlineStr">
        <is>
          <t>работник 2</t>
        </is>
      </c>
      <c r="B449" s="45" t="inlineStr">
        <is>
          <t>Заместитель директора горно-обогатительного комплекса по производству</t>
        </is>
      </c>
      <c r="C449" s="45" t="inlineStr">
        <is>
          <t>СИЗ</t>
        </is>
      </c>
      <c r="D449" s="170" t="inlineStr">
        <is>
          <t>раз в 3 года</t>
        </is>
      </c>
      <c r="E449" s="171" t="n">
        <v>114</v>
      </c>
      <c r="F449" s="171" t="n">
        <v>1</v>
      </c>
      <c r="G449" s="45" t="inlineStr">
        <is>
          <t>26.05.2023</t>
        </is>
      </c>
      <c r="H449" s="45" t="inlineStr">
        <is>
          <t>После 26.05.2023 до конца реестра 17.09.2026 прошло 3 г. 114 дн., норма — 3 г.</t>
        </is>
      </c>
      <c r="I449" s="170" t="inlineStr">
        <is>
          <t>26.05.2023</t>
        </is>
      </c>
    </row>
    <row r="450" ht="20" customHeight="1">
      <c r="A450" s="45" t="inlineStr">
        <is>
          <t>работник 7</t>
        </is>
      </c>
      <c r="B450" s="45" t="inlineStr">
        <is>
          <t>Главный технолог</t>
        </is>
      </c>
      <c r="C450" s="45" t="inlineStr">
        <is>
          <t>СИЗ</t>
        </is>
      </c>
      <c r="D450" s="170" t="inlineStr">
        <is>
          <t>раз в 3 года</t>
        </is>
      </c>
      <c r="E450" s="171" t="n">
        <v>114</v>
      </c>
      <c r="F450" s="171" t="n">
        <v>1</v>
      </c>
      <c r="G450" s="45" t="inlineStr">
        <is>
          <t>26.05.2023</t>
        </is>
      </c>
      <c r="H450" s="45" t="inlineStr">
        <is>
          <t>После 26.05.2023 до конца реестра 17.09.2026 прошло 3 г. 114 дн., норма — 3 г.</t>
        </is>
      </c>
      <c r="I450" s="170" t="inlineStr">
        <is>
          <t>26.05.2023</t>
        </is>
      </c>
    </row>
    <row r="451" ht="20" customHeight="1">
      <c r="A451" s="45" t="inlineStr">
        <is>
          <t>работник 13</t>
        </is>
      </c>
      <c r="B451" s="45" t="inlineStr">
        <is>
          <t>Старший геолог</t>
        </is>
      </c>
      <c r="C451" s="45" t="inlineStr">
        <is>
          <t>СИЗ</t>
        </is>
      </c>
      <c r="D451" s="170" t="inlineStr">
        <is>
          <t>раз в 3 года</t>
        </is>
      </c>
      <c r="E451" s="171" t="n">
        <v>114</v>
      </c>
      <c r="F451" s="171" t="n">
        <v>1</v>
      </c>
      <c r="G451" s="45" t="inlineStr">
        <is>
          <t>26.05.2023</t>
        </is>
      </c>
      <c r="H451" s="45" t="inlineStr">
        <is>
          <t>После 26.05.2023 до конца реестра 17.09.2026 прошло 3 г. 114 дн., норма — 3 г.</t>
        </is>
      </c>
      <c r="I451" s="170" t="inlineStr">
        <is>
          <t>26.05.2023</t>
        </is>
      </c>
    </row>
    <row r="452" ht="20" customHeight="1">
      <c r="A452" s="45" t="inlineStr">
        <is>
          <t>работник 11</t>
        </is>
      </c>
      <c r="B452" s="45" t="inlineStr">
        <is>
          <t>Теплотехник</t>
        </is>
      </c>
      <c r="C452" s="45" t="inlineStr">
        <is>
          <t>СИЗ</t>
        </is>
      </c>
      <c r="D452" s="170" t="inlineStr">
        <is>
          <t>раз в 3 года</t>
        </is>
      </c>
      <c r="E452" s="171" t="n">
        <v>114</v>
      </c>
      <c r="F452" s="171" t="n">
        <v>1</v>
      </c>
      <c r="G452" s="45" t="inlineStr">
        <is>
          <t>26.05.2023</t>
        </is>
      </c>
      <c r="H452" s="45" t="inlineStr">
        <is>
          <t>После 26.05.2023 до конца реестра 17.09.2026 прошло 3 г. 114 дн., норма — 3 г.</t>
        </is>
      </c>
      <c r="I452" s="170" t="inlineStr">
        <is>
          <t>26.05.2023</t>
        </is>
      </c>
    </row>
    <row r="453" ht="22" customHeight="1">
      <c r="A453" s="173" t="inlineStr">
        <is>
          <t>Итого</t>
        </is>
      </c>
      <c r="B453" s="160">
        <f>COUNTA(A268:A452)</f>
        <v/>
      </c>
      <c r="C453" s="160" t="n"/>
      <c r="D453" s="160" t="n"/>
      <c r="E453" s="160">
        <f>MAX(E268:E452)</f>
        <v/>
      </c>
      <c r="F453" s="160" t="n"/>
      <c r="G453" s="160" t="n"/>
      <c r="H453" s="160" t="n"/>
      <c r="I453" s="160" t="n"/>
    </row>
    <row r="454" ht="36" customHeight="1">
      <c r="A454" s="176" t="inlineStr">
        <is>
          <t>Уникальных работников в этой таблице</t>
        </is>
      </c>
      <c r="B454" s="177">
        <f>SUMPRODUCT((A268:A452&lt;&gt;"")/COUNTIF(A268:A452,A268:A452&amp;""))</f>
        <v/>
      </c>
      <c r="C454" s="176" t="n"/>
      <c r="D454" s="176" t="n"/>
      <c r="E454" s="176" t="n"/>
      <c r="F454" s="176" t="n"/>
      <c r="G454" s="176" t="n"/>
      <c r="H454" s="176" t="n"/>
      <c r="I454" s="176" t="n"/>
    </row>
    <row r="455" ht="24" customHeight="1">
      <c r="A455" s="44" t="inlineStr">
        <is>
          <t>Избыток повторного обучения</t>
        </is>
      </c>
    </row>
    <row r="456" ht="110" customHeight="1">
      <c r="A456" s="163" t="inlineStr">
        <is>
          <t>Сколько обучений нужно, считаем от даты первого обучения работника (это дата приёма) до 17.09.2026, а не от 26.05.2023 для всех. Вновь принятому не ставим норму за весь срок реестра. При норме раз в 3 года второе обучение нужно, когда с приёма прошло больше 3 лет; при норме раз в год — после каждого полного года. Если до очередного срока осталось не больше 3 месяцев, обучение заранее засчитываем как это очередное. Повтор через 2 года 9 месяцев при норме 3 года или через 9 месяцев при норме год не избыток, если за весь срок работника число обучений как раз нужное. Дольше нормы нельзя. Пар, где повтор уже был, но число за личный срок не превышено и в эту таблицу они не вошли: 145. Из них интервал короче нормы не больше чем на 3 месяца: 9. По программам: 46б — 206, 46в. Высота — 7, 46в. ОЗП — 6, Первая помощь — 81, СИЗ — 199. В строке «Итого» — число случаев и сумма лишних обучений.</t>
        </is>
      </c>
    </row>
    <row r="457" ht="36" customHeight="1">
      <c r="A457" s="135" t="inlineStr">
        <is>
          <t>FIO</t>
        </is>
      </c>
      <c r="B457" s="135" t="inlineStr">
        <is>
          <t>Профессия</t>
        </is>
      </c>
      <c r="C457" s="135" t="inlineStr">
        <is>
          <t>Программа</t>
        </is>
      </c>
      <c r="D457" s="135" t="inlineStr">
        <is>
          <t>Периодичность</t>
        </is>
      </c>
      <c r="E457" s="135" t="inlineStr">
        <is>
          <t>Нужно</t>
        </is>
      </c>
      <c r="F457" s="135" t="inlineStr">
        <is>
          <t>Фактически</t>
        </is>
      </c>
      <c r="G457" s="135" t="inlineStr">
        <is>
          <t>Избыток</t>
        </is>
      </c>
      <c r="H457" s="135" t="inlineStr">
        <is>
          <t>Даты проверки</t>
        </is>
      </c>
      <c r="I457" s="135" t="inlineStr">
        <is>
          <t>Дата первого обучения</t>
        </is>
      </c>
    </row>
    <row r="458" ht="32" customHeight="1">
      <c r="A458" s="45" t="inlineStr">
        <is>
          <t>работник 243</t>
        </is>
      </c>
      <c r="B458" s="45" t="inlineStr">
        <is>
          <t>Слесарь по контрольно-измерительным приборам и автоматике / Фильтровальщик</t>
        </is>
      </c>
      <c r="C458" s="45" t="inlineStr">
        <is>
          <t>46б</t>
        </is>
      </c>
      <c r="D458" s="170" t="inlineStr">
        <is>
          <t>раз в 3 года</t>
        </is>
      </c>
      <c r="E458" s="171" t="n">
        <v>1</v>
      </c>
      <c r="F458" s="171" t="n">
        <v>4</v>
      </c>
      <c r="G458" s="171" t="n">
        <v>3</v>
      </c>
      <c r="H458" s="45" t="inlineStr">
        <is>
          <t>28.01.2024; 12.04.2025; 08.04.2026; 29.07.2026</t>
        </is>
      </c>
      <c r="I458" s="170" t="inlineStr">
        <is>
          <t>28.01.2024</t>
        </is>
      </c>
    </row>
    <row r="459" ht="32" customHeight="1">
      <c r="A459" s="45" t="inlineStr">
        <is>
          <t>работник 508</t>
        </is>
      </c>
      <c r="B459" s="45" t="inlineStr">
        <is>
          <t>Горнорабочий на геологических работах / Горнорабочий на маркшейдерских работах / Помощник машиниста самоходной буровой установки (с исполнением обязанностей пробоотборщика) / Помощник машиниста самоходной буровой установки (с исполнением обязанностей пробоотборщика) (Очистное)</t>
        </is>
      </c>
      <c r="C459" s="45" t="inlineStr">
        <is>
          <t>46б</t>
        </is>
      </c>
      <c r="D459" s="170" t="inlineStr">
        <is>
          <t>раз в 3 года</t>
        </is>
      </c>
      <c r="E459" s="171" t="n">
        <v>1</v>
      </c>
      <c r="F459" s="171" t="n">
        <v>4</v>
      </c>
      <c r="G459" s="171" t="n">
        <v>3</v>
      </c>
      <c r="H459" s="45" t="inlineStr">
        <is>
          <t>25.12.2024; 08.09.2025; 02.10.2025; 26.07.2026</t>
        </is>
      </c>
      <c r="I459" s="170" t="inlineStr">
        <is>
          <t>25.12.2024</t>
        </is>
      </c>
    </row>
    <row r="460" ht="32" customHeight="1">
      <c r="A460" s="45" t="inlineStr">
        <is>
          <t>работник 502</t>
        </is>
      </c>
      <c r="B460" s="45" t="inlineStr">
        <is>
          <t>Контролер продукции обогащения / Кухонный рабочий / Подсобный рабочий</t>
        </is>
      </c>
      <c r="C460" s="45" t="inlineStr">
        <is>
          <t>46б</t>
        </is>
      </c>
      <c r="D460" s="170" t="inlineStr">
        <is>
          <t>раз в 3 года</t>
        </is>
      </c>
      <c r="E460" s="171" t="n">
        <v>1</v>
      </c>
      <c r="F460" s="171" t="n">
        <v>4</v>
      </c>
      <c r="G460" s="171" t="n">
        <v>3</v>
      </c>
      <c r="H460" s="45" t="inlineStr">
        <is>
          <t>13.11.2024; 18.01.2025; 16.03.2026; 02.08.2026</t>
        </is>
      </c>
      <c r="I460" s="170" t="inlineStr">
        <is>
          <t>13.11.2024</t>
        </is>
      </c>
    </row>
    <row r="461" ht="20" customHeight="1">
      <c r="A461" s="45" t="inlineStr">
        <is>
          <t>работник 402</t>
        </is>
      </c>
      <c r="B461" s="45" t="inlineStr">
        <is>
          <t>Лаборант пробирного анализа</t>
        </is>
      </c>
      <c r="C461" s="45" t="inlineStr">
        <is>
          <t>46б</t>
        </is>
      </c>
      <c r="D461" s="170" t="inlineStr">
        <is>
          <t>раз в 3 года</t>
        </is>
      </c>
      <c r="E461" s="171" t="n">
        <v>1</v>
      </c>
      <c r="F461" s="171" t="n">
        <v>4</v>
      </c>
      <c r="G461" s="171" t="n">
        <v>3</v>
      </c>
      <c r="H461" s="45" t="inlineStr">
        <is>
          <t>03.08.2024; 28.03.2025; 26.07.2025; 02.08.2026</t>
        </is>
      </c>
      <c r="I461" s="170" t="inlineStr">
        <is>
          <t>03.08.2024</t>
        </is>
      </c>
    </row>
    <row r="462" ht="20" customHeight="1">
      <c r="A462" s="45" t="inlineStr">
        <is>
          <t>работник 78</t>
        </is>
      </c>
      <c r="B462" s="45" t="inlineStr">
        <is>
          <t>Сварщик / Электрогазосварщик</t>
        </is>
      </c>
      <c r="C462" s="45" t="inlineStr">
        <is>
          <t>46б</t>
        </is>
      </c>
      <c r="D462" s="170" t="inlineStr">
        <is>
          <t>раз в 3 года</t>
        </is>
      </c>
      <c r="E462" s="171" t="n">
        <v>2</v>
      </c>
      <c r="F462" s="171" t="n">
        <v>4</v>
      </c>
      <c r="G462" s="171" t="n">
        <v>2</v>
      </c>
      <c r="H462" s="45" t="inlineStr">
        <is>
          <t>23.11.2023; 29.01.2025; 23.08.2025; 23.05.2026</t>
        </is>
      </c>
      <c r="I462" s="170" t="inlineStr">
        <is>
          <t>23.11.2023</t>
        </is>
      </c>
    </row>
    <row r="463" ht="20" customHeight="1">
      <c r="A463" s="45" t="inlineStr">
        <is>
          <t>работник 147</t>
        </is>
      </c>
      <c r="B463" s="45" t="inlineStr">
        <is>
          <t>Крепильщик</t>
        </is>
      </c>
      <c r="C463" s="45" t="inlineStr">
        <is>
          <t>46б</t>
        </is>
      </c>
      <c r="D463" s="170" t="inlineStr">
        <is>
          <t>раз в 3 года</t>
        </is>
      </c>
      <c r="E463" s="171" t="n">
        <v>1</v>
      </c>
      <c r="F463" s="171" t="n">
        <v>3</v>
      </c>
      <c r="G463" s="171" t="n">
        <v>2</v>
      </c>
      <c r="H463" s="45" t="inlineStr">
        <is>
          <t>19.01.2024; 12.11.2024; 24.07.2026</t>
        </is>
      </c>
      <c r="I463" s="170" t="inlineStr">
        <is>
          <t>19.01.2024</t>
        </is>
      </c>
    </row>
    <row r="464" ht="20" customHeight="1">
      <c r="A464" s="45" t="inlineStr">
        <is>
          <t>работник 424</t>
        </is>
      </c>
      <c r="B464" s="45" t="inlineStr">
        <is>
          <t>Аппаратчик-гидрометаллург / Фильтровальщик</t>
        </is>
      </c>
      <c r="C464" s="45" t="inlineStr">
        <is>
          <t>46б</t>
        </is>
      </c>
      <c r="D464" s="170" t="inlineStr">
        <is>
          <t>раз в 3 года</t>
        </is>
      </c>
      <c r="E464" s="171" t="n">
        <v>1</v>
      </c>
      <c r="F464" s="171" t="n">
        <v>3</v>
      </c>
      <c r="G464" s="171" t="n">
        <v>2</v>
      </c>
      <c r="H464" s="45" t="inlineStr">
        <is>
          <t>20.10.2024; 26.08.2026; 07.09.2026</t>
        </is>
      </c>
      <c r="I464" s="170" t="inlineStr">
        <is>
          <t>20.10.2024</t>
        </is>
      </c>
    </row>
    <row r="465" ht="32" customHeight="1">
      <c r="A465" s="45" t="inlineStr">
        <is>
          <t>работник 149</t>
        </is>
      </c>
      <c r="B465" s="45" t="inlineStr">
        <is>
          <t>Машинист погрузочно-доставочной машины / Машинист подземно-доставочной машины</t>
        </is>
      </c>
      <c r="C465" s="45" t="inlineStr">
        <is>
          <t>46б</t>
        </is>
      </c>
      <c r="D465" s="170" t="inlineStr">
        <is>
          <t>раз в 3 года</t>
        </is>
      </c>
      <c r="E465" s="171" t="n">
        <v>1</v>
      </c>
      <c r="F465" s="171" t="n">
        <v>3</v>
      </c>
      <c r="G465" s="171" t="n">
        <v>2</v>
      </c>
      <c r="H465" s="45" t="inlineStr">
        <is>
          <t>19.01.2024; 12.11.2024; 15.08.2026</t>
        </is>
      </c>
      <c r="I465" s="170" t="inlineStr">
        <is>
          <t>19.01.2024</t>
        </is>
      </c>
    </row>
    <row r="466" ht="32" customHeight="1">
      <c r="A466" s="45" t="inlineStr">
        <is>
          <t>работник 151</t>
        </is>
      </c>
      <c r="B466" s="45" t="inlineStr">
        <is>
          <t>Машинист погрузочно-доставочной машины (занятый на транспортировании горной массы в технологическом процессе) / Машинист подземно-доставочной машины</t>
        </is>
      </c>
      <c r="C466" s="45" t="inlineStr">
        <is>
          <t>46б</t>
        </is>
      </c>
      <c r="D466" s="170" t="inlineStr">
        <is>
          <t>раз в 3 года</t>
        </is>
      </c>
      <c r="E466" s="171" t="n">
        <v>1</v>
      </c>
      <c r="F466" s="171" t="n">
        <v>3</v>
      </c>
      <c r="G466" s="171" t="n">
        <v>2</v>
      </c>
      <c r="H466" s="45" t="inlineStr">
        <is>
          <t>19.01.2024; 12.11.2024; 16.08.2026</t>
        </is>
      </c>
      <c r="I466" s="170" t="inlineStr">
        <is>
          <t>19.01.2024</t>
        </is>
      </c>
    </row>
    <row r="467" ht="32" customHeight="1">
      <c r="A467" s="45" t="inlineStr">
        <is>
          <t>работник 154</t>
        </is>
      </c>
      <c r="B467" s="45" t="inlineStr">
        <is>
          <t>Машинист погрузочно-доставочной машины / Машинист подземно-доставочной машины</t>
        </is>
      </c>
      <c r="C467" s="45" t="inlineStr">
        <is>
          <t>46б</t>
        </is>
      </c>
      <c r="D467" s="170" t="inlineStr">
        <is>
          <t>раз в 3 года</t>
        </is>
      </c>
      <c r="E467" s="171" t="n">
        <v>1</v>
      </c>
      <c r="F467" s="171" t="n">
        <v>3</v>
      </c>
      <c r="G467" s="171" t="n">
        <v>2</v>
      </c>
      <c r="H467" s="45" t="inlineStr">
        <is>
          <t>19.01.2024; 12.11.2024; 23.07.2026</t>
        </is>
      </c>
      <c r="I467" s="170" t="inlineStr">
        <is>
          <t>19.01.2024</t>
        </is>
      </c>
    </row>
    <row r="468" ht="20" customHeight="1">
      <c r="A468" s="45" t="inlineStr">
        <is>
          <t>работник 144</t>
        </is>
      </c>
      <c r="B468" s="45" t="inlineStr">
        <is>
          <t>Бункеровщик / Машинист мельниц</t>
        </is>
      </c>
      <c r="C468" s="45" t="inlineStr">
        <is>
          <t>46б</t>
        </is>
      </c>
      <c r="D468" s="170" t="inlineStr">
        <is>
          <t>раз в 3 года</t>
        </is>
      </c>
      <c r="E468" s="171" t="n">
        <v>1</v>
      </c>
      <c r="F468" s="171" t="n">
        <v>3</v>
      </c>
      <c r="G468" s="171" t="n">
        <v>2</v>
      </c>
      <c r="H468" s="45" t="inlineStr">
        <is>
          <t>25.12.2023; 23.02.2024; 29.07.2026</t>
        </is>
      </c>
      <c r="I468" s="170" t="inlineStr">
        <is>
          <t>25.12.2023</t>
        </is>
      </c>
    </row>
    <row r="469" ht="20" customHeight="1">
      <c r="A469" s="45" t="inlineStr">
        <is>
          <t>работник 433</t>
        </is>
      </c>
      <c r="B469" s="45" t="inlineStr">
        <is>
          <t>Плавильщик</t>
        </is>
      </c>
      <c r="C469" s="45" t="inlineStr">
        <is>
          <t>46б</t>
        </is>
      </c>
      <c r="D469" s="170" t="inlineStr">
        <is>
          <t>раз в 3 года</t>
        </is>
      </c>
      <c r="E469" s="171" t="n">
        <v>1</v>
      </c>
      <c r="F469" s="171" t="n">
        <v>3</v>
      </c>
      <c r="G469" s="171" t="n">
        <v>2</v>
      </c>
      <c r="H469" s="45" t="inlineStr">
        <is>
          <t>25.10.2024; 25.11.2024; 29.07.2026</t>
        </is>
      </c>
      <c r="I469" s="170" t="inlineStr">
        <is>
          <t>25.10.2024</t>
        </is>
      </c>
    </row>
    <row r="470" ht="20" customHeight="1">
      <c r="A470" s="45" t="inlineStr">
        <is>
          <t>работник 663</t>
        </is>
      </c>
      <c r="B470" s="45" t="inlineStr">
        <is>
          <t>Проходчик (с исполнением обязанностей взрывника)</t>
        </is>
      </c>
      <c r="C470" s="45" t="inlineStr">
        <is>
          <t>46б</t>
        </is>
      </c>
      <c r="D470" s="170" t="inlineStr">
        <is>
          <t>раз в 3 года</t>
        </is>
      </c>
      <c r="E470" s="171" t="n">
        <v>1</v>
      </c>
      <c r="F470" s="171" t="n">
        <v>3</v>
      </c>
      <c r="G470" s="171" t="n">
        <v>2</v>
      </c>
      <c r="H470" s="45" t="inlineStr">
        <is>
          <t>26.02.2026; 28.07.2026; 16.08.2026</t>
        </is>
      </c>
      <c r="I470" s="170" t="inlineStr">
        <is>
          <t>26.02.2026</t>
        </is>
      </c>
    </row>
    <row r="471" ht="20" customHeight="1">
      <c r="A471" s="45" t="inlineStr">
        <is>
          <t>работник 636</t>
        </is>
      </c>
      <c r="B471" s="45" t="inlineStr">
        <is>
          <t>Аппаратчик-гидрометаллург / Грузчик</t>
        </is>
      </c>
      <c r="C471" s="45" t="inlineStr">
        <is>
          <t>46б</t>
        </is>
      </c>
      <c r="D471" s="170" t="inlineStr">
        <is>
          <t>раз в 3 года</t>
        </is>
      </c>
      <c r="E471" s="171" t="n">
        <v>1</v>
      </c>
      <c r="F471" s="171" t="n">
        <v>3</v>
      </c>
      <c r="G471" s="171" t="n">
        <v>2</v>
      </c>
      <c r="H471" s="45" t="inlineStr">
        <is>
          <t>19.02.2026; 29.07.2026; 10.09.2026</t>
        </is>
      </c>
      <c r="I471" s="170" t="inlineStr">
        <is>
          <t>19.02.2026</t>
        </is>
      </c>
    </row>
    <row r="472" ht="32" customHeight="1">
      <c r="A472" s="45" t="inlineStr">
        <is>
          <t>работник 161</t>
        </is>
      </c>
      <c r="B472" s="45" t="inlineStr">
        <is>
          <t>Машинист погрузочно-доставочной машины / Машинист подземно-доставочной машины / Машинист самоходной буровой установки</t>
        </is>
      </c>
      <c r="C472" s="45" t="inlineStr">
        <is>
          <t>46б</t>
        </is>
      </c>
      <c r="D472" s="170" t="inlineStr">
        <is>
          <t>раз в 3 года</t>
        </is>
      </c>
      <c r="E472" s="171" t="n">
        <v>1</v>
      </c>
      <c r="F472" s="171" t="n">
        <v>3</v>
      </c>
      <c r="G472" s="171" t="n">
        <v>2</v>
      </c>
      <c r="H472" s="45" t="inlineStr">
        <is>
          <t>19.01.2024; 20.09.2024; 23.07.2026</t>
        </is>
      </c>
      <c r="I472" s="170" t="inlineStr">
        <is>
          <t>19.01.2024</t>
        </is>
      </c>
    </row>
    <row r="473" ht="20" customHeight="1">
      <c r="A473" s="45" t="inlineStr">
        <is>
          <t>работник 162</t>
        </is>
      </c>
      <c r="B473" s="45" t="inlineStr">
        <is>
          <t>Проходчик (с исполнением обязанностей взрывника)</t>
        </is>
      </c>
      <c r="C473" s="45" t="inlineStr">
        <is>
          <t>46б</t>
        </is>
      </c>
      <c r="D473" s="170" t="inlineStr">
        <is>
          <t>раз в 3 года</t>
        </is>
      </c>
      <c r="E473" s="171" t="n">
        <v>1</v>
      </c>
      <c r="F473" s="171" t="n">
        <v>3</v>
      </c>
      <c r="G473" s="171" t="n">
        <v>2</v>
      </c>
      <c r="H473" s="45" t="inlineStr">
        <is>
          <t>19.01.2024; 12.11.2024; 22.07.2026</t>
        </is>
      </c>
      <c r="I473" s="170" t="inlineStr">
        <is>
          <t>19.01.2024</t>
        </is>
      </c>
    </row>
    <row r="474" ht="20" customHeight="1">
      <c r="A474" s="45" t="inlineStr">
        <is>
          <t>работник 238</t>
        </is>
      </c>
      <c r="B474" s="45" t="inlineStr">
        <is>
          <t>Лаборант пробирного анализа</t>
        </is>
      </c>
      <c r="C474" s="45" t="inlineStr">
        <is>
          <t>46б</t>
        </is>
      </c>
      <c r="D474" s="170" t="inlineStr">
        <is>
          <t>раз в 3 года</t>
        </is>
      </c>
      <c r="E474" s="171" t="n">
        <v>1</v>
      </c>
      <c r="F474" s="171" t="n">
        <v>3</v>
      </c>
      <c r="G474" s="171" t="n">
        <v>2</v>
      </c>
      <c r="H474" s="45" t="inlineStr">
        <is>
          <t>23.02.2024; 08.07.2025; 17.09.2026</t>
        </is>
      </c>
      <c r="I474" s="170" t="inlineStr">
        <is>
          <t>23.02.2024</t>
        </is>
      </c>
    </row>
    <row r="475" ht="20" customHeight="1">
      <c r="A475" s="45" t="inlineStr">
        <is>
          <t>работник 22</t>
        </is>
      </c>
      <c r="B475" s="45" t="inlineStr">
        <is>
          <t>Электрогазосварщик</t>
        </is>
      </c>
      <c r="C475" s="45" t="inlineStr">
        <is>
          <t>46б</t>
        </is>
      </c>
      <c r="D475" s="170" t="inlineStr">
        <is>
          <t>раз в 3 года</t>
        </is>
      </c>
      <c r="E475" s="171" t="n">
        <v>2</v>
      </c>
      <c r="F475" s="171" t="n">
        <v>4</v>
      </c>
      <c r="G475" s="171" t="n">
        <v>2</v>
      </c>
      <c r="H475" s="45" t="inlineStr">
        <is>
          <t>02.10.2023; 03.12.2023; 23.02.2024; 18.08.2026</t>
        </is>
      </c>
      <c r="I475" s="170" t="inlineStr">
        <is>
          <t>02.10.2023</t>
        </is>
      </c>
    </row>
    <row r="476" ht="32" customHeight="1">
      <c r="A476" s="45" t="inlineStr">
        <is>
          <t>работник 451</t>
        </is>
      </c>
      <c r="B476" s="45" t="inlineStr">
        <is>
          <t>Аппаратчик-гидрометаллург / Монтажник по монтажу стальных и железобетонных конструкций / Фильтровальщик</t>
        </is>
      </c>
      <c r="C476" s="45" t="inlineStr">
        <is>
          <t>46б</t>
        </is>
      </c>
      <c r="D476" s="170" t="inlineStr">
        <is>
          <t>раз в 3 года</t>
        </is>
      </c>
      <c r="E476" s="171" t="n">
        <v>1</v>
      </c>
      <c r="F476" s="171" t="n">
        <v>3</v>
      </c>
      <c r="G476" s="171" t="n">
        <v>2</v>
      </c>
      <c r="H476" s="45" t="inlineStr">
        <is>
          <t>25.10.2024; 23.05.2026; 29.07.2026</t>
        </is>
      </c>
      <c r="I476" s="170" t="inlineStr">
        <is>
          <t>25.10.2024</t>
        </is>
      </c>
    </row>
    <row r="477" ht="20" customHeight="1">
      <c r="A477" s="45" t="inlineStr">
        <is>
          <t>работник 436</t>
        </is>
      </c>
      <c r="B477" s="45" t="inlineStr">
        <is>
          <t>Дробильщик</t>
        </is>
      </c>
      <c r="C477" s="45" t="inlineStr">
        <is>
          <t>46б</t>
        </is>
      </c>
      <c r="D477" s="170" t="inlineStr">
        <is>
          <t>раз в 3 года</t>
        </is>
      </c>
      <c r="E477" s="171" t="n">
        <v>1</v>
      </c>
      <c r="F477" s="171" t="n">
        <v>3</v>
      </c>
      <c r="G477" s="171" t="n">
        <v>2</v>
      </c>
      <c r="H477" s="45" t="inlineStr">
        <is>
          <t>25.10.2024; 25.11.2024; 29.07.2026</t>
        </is>
      </c>
      <c r="I477" s="170" t="inlineStr">
        <is>
          <t>25.10.2024</t>
        </is>
      </c>
    </row>
    <row r="478" ht="32" customHeight="1">
      <c r="A478" s="45" t="inlineStr">
        <is>
          <t>работник 164</t>
        </is>
      </c>
      <c r="B478" s="45" t="inlineStr">
        <is>
          <t>Машинист самоходной буровой установки / Машинист самоходной буровой установки (Проходка)</t>
        </is>
      </c>
      <c r="C478" s="45" t="inlineStr">
        <is>
          <t>46б</t>
        </is>
      </c>
      <c r="D478" s="170" t="inlineStr">
        <is>
          <t>раз в 3 года</t>
        </is>
      </c>
      <c r="E478" s="171" t="n">
        <v>1</v>
      </c>
      <c r="F478" s="171" t="n">
        <v>3</v>
      </c>
      <c r="G478" s="171" t="n">
        <v>2</v>
      </c>
      <c r="H478" s="45" t="inlineStr">
        <is>
          <t>19.01.2024; 12.11.2024; 25.07.2026</t>
        </is>
      </c>
      <c r="I478" s="170" t="inlineStr">
        <is>
          <t>19.01.2024</t>
        </is>
      </c>
    </row>
    <row r="479" ht="32" customHeight="1">
      <c r="A479" s="45" t="inlineStr">
        <is>
          <t>работник 302</t>
        </is>
      </c>
      <c r="B479" s="45" t="inlineStr">
        <is>
          <t>Машинист погрузочно-доставочной машины / Машинист погрузочно-доставочной машины (ТГМ)</t>
        </is>
      </c>
      <c r="C479" s="45" t="inlineStr">
        <is>
          <t>46б</t>
        </is>
      </c>
      <c r="D479" s="170" t="inlineStr">
        <is>
          <t>раз в 3 года</t>
        </is>
      </c>
      <c r="E479" s="171" t="n">
        <v>1</v>
      </c>
      <c r="F479" s="171" t="n">
        <v>3</v>
      </c>
      <c r="G479" s="171" t="n">
        <v>2</v>
      </c>
      <c r="H479" s="45" t="inlineStr">
        <is>
          <t>12.02.2024; 23.07.2026; 26.07.2026</t>
        </is>
      </c>
      <c r="I479" s="170" t="inlineStr">
        <is>
          <t>12.02.2024</t>
        </is>
      </c>
    </row>
    <row r="480" ht="20" customHeight="1">
      <c r="A480" s="45" t="inlineStr">
        <is>
          <t>работник 170</t>
        </is>
      </c>
      <c r="B480" s="45" t="inlineStr">
        <is>
          <t>Горный диспетчер</t>
        </is>
      </c>
      <c r="C480" s="45" t="inlineStr">
        <is>
          <t>46б</t>
        </is>
      </c>
      <c r="D480" s="170" t="inlineStr">
        <is>
          <t>раз в 3 года</t>
        </is>
      </c>
      <c r="E480" s="171" t="n">
        <v>1</v>
      </c>
      <c r="F480" s="171" t="n">
        <v>3</v>
      </c>
      <c r="G480" s="171" t="n">
        <v>2</v>
      </c>
      <c r="H480" s="45" t="inlineStr">
        <is>
          <t>19.01.2024; 12.11.2024; 18.08.2026</t>
        </is>
      </c>
      <c r="I480" s="170" t="inlineStr">
        <is>
          <t>19.01.2024</t>
        </is>
      </c>
    </row>
    <row r="481" ht="32" customHeight="1">
      <c r="A481" s="45" t="inlineStr">
        <is>
          <t>работник 172</t>
        </is>
      </c>
      <c r="B481" s="45" t="inlineStr">
        <is>
          <t>Машинист погрузочно-доставочной машины (занятый на транспортировании горной массы в технологическом процессе) / Машинист подземно-доставочной машины</t>
        </is>
      </c>
      <c r="C481" s="45" t="inlineStr">
        <is>
          <t>46б</t>
        </is>
      </c>
      <c r="D481" s="170" t="inlineStr">
        <is>
          <t>раз в 3 года</t>
        </is>
      </c>
      <c r="E481" s="171" t="n">
        <v>1</v>
      </c>
      <c r="F481" s="171" t="n">
        <v>3</v>
      </c>
      <c r="G481" s="171" t="n">
        <v>2</v>
      </c>
      <c r="H481" s="45" t="inlineStr">
        <is>
          <t>19.01.2024; 12.11.2024; 16.08.2026</t>
        </is>
      </c>
      <c r="I481" s="170" t="inlineStr">
        <is>
          <t>19.01.2024</t>
        </is>
      </c>
    </row>
    <row r="482" ht="20" customHeight="1">
      <c r="A482" s="45" t="inlineStr">
        <is>
          <t>работник 427</t>
        </is>
      </c>
      <c r="B482" s="45" t="inlineStr">
        <is>
          <t>Аппаратчик-гидрометаллург</t>
        </is>
      </c>
      <c r="C482" s="45" t="inlineStr">
        <is>
          <t>46б</t>
        </is>
      </c>
      <c r="D482" s="170" t="inlineStr">
        <is>
          <t>раз в 3 года</t>
        </is>
      </c>
      <c r="E482" s="171" t="n">
        <v>1</v>
      </c>
      <c r="F482" s="171" t="n">
        <v>3</v>
      </c>
      <c r="G482" s="171" t="n">
        <v>2</v>
      </c>
      <c r="H482" s="45" t="inlineStr">
        <is>
          <t>25.10.2024; 25.11.2024; 18.02.2025</t>
        </is>
      </c>
      <c r="I482" s="170" t="inlineStr">
        <is>
          <t>25.10.2024</t>
        </is>
      </c>
    </row>
    <row r="483" ht="32" customHeight="1">
      <c r="A483" s="45" t="inlineStr">
        <is>
          <t>работник 91</t>
        </is>
      </c>
      <c r="B483" s="45" t="inlineStr">
        <is>
          <t>Машинист насосных установок / Стропальщик / Стропальщик (с исполнением обязанностей грузчика)</t>
        </is>
      </c>
      <c r="C483" s="45" t="inlineStr">
        <is>
          <t>46б</t>
        </is>
      </c>
      <c r="D483" s="170" t="inlineStr">
        <is>
          <t>раз в 3 года</t>
        </is>
      </c>
      <c r="E483" s="171" t="n">
        <v>2</v>
      </c>
      <c r="F483" s="171" t="n">
        <v>4</v>
      </c>
      <c r="G483" s="171" t="n">
        <v>2</v>
      </c>
      <c r="H483" s="45" t="inlineStr">
        <is>
          <t>07.12.2023; 13.12.2025; 24.08.2026; 25.08.2026</t>
        </is>
      </c>
      <c r="I483" s="170" t="inlineStr">
        <is>
          <t>07.12.2023</t>
        </is>
      </c>
    </row>
    <row r="484" ht="20" customHeight="1">
      <c r="A484" s="45" t="inlineStr">
        <is>
          <t>работник 226</t>
        </is>
      </c>
      <c r="B484" s="45" t="inlineStr">
        <is>
          <t>Кладовщик / Пробоотборщик</t>
        </is>
      </c>
      <c r="C484" s="45" t="inlineStr">
        <is>
          <t>46б</t>
        </is>
      </c>
      <c r="D484" s="170" t="inlineStr">
        <is>
          <t>раз в 3 года</t>
        </is>
      </c>
      <c r="E484" s="171" t="n">
        <v>1</v>
      </c>
      <c r="F484" s="171" t="n">
        <v>3</v>
      </c>
      <c r="G484" s="171" t="n">
        <v>2</v>
      </c>
      <c r="H484" s="45" t="inlineStr">
        <is>
          <t>23.02.2024; 23.08.2024; 26.08.2026</t>
        </is>
      </c>
      <c r="I484" s="170" t="inlineStr">
        <is>
          <t>23.02.2024</t>
        </is>
      </c>
    </row>
    <row r="485" ht="32" customHeight="1">
      <c r="A485" s="45" t="inlineStr">
        <is>
          <t>работник 174</t>
        </is>
      </c>
      <c r="B485" s="45" t="inlineStr">
        <is>
          <t>Машинист погрузочно-доставочной машины (занятый на транспортировании горной массы в технологическом процессе) / Машинист подземно-доставочной машины</t>
        </is>
      </c>
      <c r="C485" s="45" t="inlineStr">
        <is>
          <t>46б</t>
        </is>
      </c>
      <c r="D485" s="170" t="inlineStr">
        <is>
          <t>раз в 3 года</t>
        </is>
      </c>
      <c r="E485" s="171" t="n">
        <v>1</v>
      </c>
      <c r="F485" s="171" t="n">
        <v>3</v>
      </c>
      <c r="G485" s="171" t="n">
        <v>2</v>
      </c>
      <c r="H485" s="45" t="inlineStr">
        <is>
          <t>19.01.2024; 12.11.2024; 23.07.2026</t>
        </is>
      </c>
      <c r="I485" s="170" t="inlineStr">
        <is>
          <t>19.01.2024</t>
        </is>
      </c>
    </row>
    <row r="486" ht="20" customHeight="1">
      <c r="A486" s="45" t="inlineStr">
        <is>
          <t>работник 145</t>
        </is>
      </c>
      <c r="B486" s="45" t="inlineStr">
        <is>
          <t>Машинист мельниц / Фильтровальщик</t>
        </is>
      </c>
      <c r="C486" s="45" t="inlineStr">
        <is>
          <t>46б</t>
        </is>
      </c>
      <c r="D486" s="170" t="inlineStr">
        <is>
          <t>раз в 3 года</t>
        </is>
      </c>
      <c r="E486" s="171" t="n">
        <v>1</v>
      </c>
      <c r="F486" s="171" t="n">
        <v>3</v>
      </c>
      <c r="G486" s="171" t="n">
        <v>2</v>
      </c>
      <c r="H486" s="45" t="inlineStr">
        <is>
          <t>29.12.2023; 01.07.2026; 29.07.2026</t>
        </is>
      </c>
      <c r="I486" s="170" t="inlineStr">
        <is>
          <t>29.12.2023</t>
        </is>
      </c>
    </row>
    <row r="487" ht="32" customHeight="1">
      <c r="A487" s="45" t="inlineStr">
        <is>
          <t>работник 438</t>
        </is>
      </c>
      <c r="B487" s="45" t="inlineStr">
        <is>
          <t>Аппаратчик сгустителей / Аппаратчик-гидрометаллург</t>
        </is>
      </c>
      <c r="C487" s="45" t="inlineStr">
        <is>
          <t>46б</t>
        </is>
      </c>
      <c r="D487" s="170" t="inlineStr">
        <is>
          <t>раз в 3 года</t>
        </is>
      </c>
      <c r="E487" s="171" t="n">
        <v>1</v>
      </c>
      <c r="F487" s="171" t="n">
        <v>3</v>
      </c>
      <c r="G487" s="171" t="n">
        <v>2</v>
      </c>
      <c r="H487" s="45" t="inlineStr">
        <is>
          <t>25.10.2024; 08.04.2026; 29.07.2026</t>
        </is>
      </c>
      <c r="I487" s="170" t="inlineStr">
        <is>
          <t>25.10.2024</t>
        </is>
      </c>
    </row>
    <row r="488" ht="20" customHeight="1">
      <c r="A488" s="45" t="inlineStr">
        <is>
          <t>работник 546</t>
        </is>
      </c>
      <c r="B488" s="45" t="inlineStr">
        <is>
          <t>Машинист погрузочно-доставочной машины</t>
        </is>
      </c>
      <c r="C488" s="45" t="inlineStr">
        <is>
          <t>46б</t>
        </is>
      </c>
      <c r="D488" s="170" t="inlineStr">
        <is>
          <t>раз в 3 года</t>
        </is>
      </c>
      <c r="E488" s="171" t="n">
        <v>1</v>
      </c>
      <c r="F488" s="171" t="n">
        <v>3</v>
      </c>
      <c r="G488" s="171" t="n">
        <v>2</v>
      </c>
      <c r="H488" s="45" t="inlineStr">
        <is>
          <t>01.03.2025; 01.08.2025; 15.08.2026</t>
        </is>
      </c>
      <c r="I488" s="170" t="inlineStr">
        <is>
          <t>01.03.2025</t>
        </is>
      </c>
    </row>
    <row r="489" ht="32" customHeight="1">
      <c r="A489" s="45" t="inlineStr">
        <is>
          <t>работник 425</t>
        </is>
      </c>
      <c r="B489" s="45" t="inlineStr">
        <is>
          <t>Аппаратчик-гидрометаллург / Слесарь-ремонтник (по ремонту обогатительного оборудования)</t>
        </is>
      </c>
      <c r="C489" s="45" t="inlineStr">
        <is>
          <t>46б</t>
        </is>
      </c>
      <c r="D489" s="170" t="inlineStr">
        <is>
          <t>раз в 3 года</t>
        </is>
      </c>
      <c r="E489" s="171" t="n">
        <v>1</v>
      </c>
      <c r="F489" s="171" t="n">
        <v>3</v>
      </c>
      <c r="G489" s="171" t="n">
        <v>2</v>
      </c>
      <c r="H489" s="45" t="inlineStr">
        <is>
          <t>20.10.2024; 02.10.2025; 29.07.2026</t>
        </is>
      </c>
      <c r="I489" s="170" t="inlineStr">
        <is>
          <t>20.10.2024</t>
        </is>
      </c>
    </row>
    <row r="490" ht="20" customHeight="1">
      <c r="A490" s="45" t="inlineStr">
        <is>
          <t>работник 403</t>
        </is>
      </c>
      <c r="B490" s="45" t="inlineStr">
        <is>
          <t>Лаборант пробирного анализа</t>
        </is>
      </c>
      <c r="C490" s="45" t="inlineStr">
        <is>
          <t>46б</t>
        </is>
      </c>
      <c r="D490" s="170" t="inlineStr">
        <is>
          <t>раз в 3 года</t>
        </is>
      </c>
      <c r="E490" s="171" t="n">
        <v>1</v>
      </c>
      <c r="F490" s="171" t="n">
        <v>3</v>
      </c>
      <c r="G490" s="171" t="n">
        <v>2</v>
      </c>
      <c r="H490" s="45" t="inlineStr">
        <is>
          <t>03.08.2024; 21.04.2026; 02.08.2026</t>
        </is>
      </c>
      <c r="I490" s="170" t="inlineStr">
        <is>
          <t>03.08.2024</t>
        </is>
      </c>
    </row>
    <row r="491" ht="20" customHeight="1">
      <c r="A491" s="45" t="inlineStr">
        <is>
          <t>работник 180</t>
        </is>
      </c>
      <c r="B491" s="45" t="inlineStr">
        <is>
          <t>Электрогазосварщик</t>
        </is>
      </c>
      <c r="C491" s="45" t="inlineStr">
        <is>
          <t>46б</t>
        </is>
      </c>
      <c r="D491" s="170" t="inlineStr">
        <is>
          <t>раз в 3 года</t>
        </is>
      </c>
      <c r="E491" s="171" t="n">
        <v>1</v>
      </c>
      <c r="F491" s="171" t="n">
        <v>3</v>
      </c>
      <c r="G491" s="171" t="n">
        <v>2</v>
      </c>
      <c r="H491" s="45" t="inlineStr">
        <is>
          <t>19.01.2024; 12.11.2024; 14.08.2026</t>
        </is>
      </c>
      <c r="I491" s="170" t="inlineStr">
        <is>
          <t>19.01.2024</t>
        </is>
      </c>
    </row>
    <row r="492" ht="20" customHeight="1">
      <c r="A492" s="45" t="inlineStr">
        <is>
          <t>работник 406</t>
        </is>
      </c>
      <c r="B492" s="45" t="inlineStr">
        <is>
          <t>Водитель автомобиля (категория С)</t>
        </is>
      </c>
      <c r="C492" s="45" t="inlineStr">
        <is>
          <t>46б</t>
        </is>
      </c>
      <c r="D492" s="170" t="inlineStr">
        <is>
          <t>раз в 3 года</t>
        </is>
      </c>
      <c r="E492" s="171" t="n">
        <v>1</v>
      </c>
      <c r="F492" s="171" t="n">
        <v>2</v>
      </c>
      <c r="G492" s="171" t="n">
        <v>1</v>
      </c>
      <c r="H492" s="45" t="inlineStr">
        <is>
          <t>08.09.2024; 19.08.2026</t>
        </is>
      </c>
      <c r="I492" s="170" t="inlineStr">
        <is>
          <t>08.09.2024</t>
        </is>
      </c>
    </row>
    <row r="493" ht="20" customHeight="1">
      <c r="A493" s="45" t="inlineStr">
        <is>
          <t>работник 146</t>
        </is>
      </c>
      <c r="B493" s="45" t="inlineStr">
        <is>
          <t>Проходчик (с исполнением обязанностей взрывника)</t>
        </is>
      </c>
      <c r="C493" s="45" t="inlineStr">
        <is>
          <t>46б</t>
        </is>
      </c>
      <c r="D493" s="170" t="inlineStr">
        <is>
          <t>раз в 3 года</t>
        </is>
      </c>
      <c r="E493" s="171" t="n">
        <v>1</v>
      </c>
      <c r="F493" s="171" t="n">
        <v>2</v>
      </c>
      <c r="G493" s="171" t="n">
        <v>1</v>
      </c>
      <c r="H493" s="45" t="inlineStr">
        <is>
          <t>19.01.2024; 12.11.2024</t>
        </is>
      </c>
      <c r="I493" s="170" t="inlineStr">
        <is>
          <t>19.01.2024</t>
        </is>
      </c>
    </row>
    <row r="494" ht="20" customHeight="1">
      <c r="A494" s="45" t="inlineStr">
        <is>
          <t>работник 606</t>
        </is>
      </c>
      <c r="B494" s="45" t="inlineStr">
        <is>
          <t>Кухонный рабочий / Лаборант химического анализа</t>
        </is>
      </c>
      <c r="C494" s="45" t="inlineStr">
        <is>
          <t>46б</t>
        </is>
      </c>
      <c r="D494" s="170" t="inlineStr">
        <is>
          <t>раз в 3 года</t>
        </is>
      </c>
      <c r="E494" s="171" t="n">
        <v>1</v>
      </c>
      <c r="F494" s="171" t="n">
        <v>2</v>
      </c>
      <c r="G494" s="171" t="n">
        <v>1</v>
      </c>
      <c r="H494" s="45" t="inlineStr">
        <is>
          <t>25.09.2025; 09.09.2026</t>
        </is>
      </c>
      <c r="I494" s="170" t="inlineStr">
        <is>
          <t>25.09.2025</t>
        </is>
      </c>
    </row>
    <row r="495" ht="32" customHeight="1">
      <c r="A495" s="45" t="inlineStr">
        <is>
          <t>работник 32</t>
        </is>
      </c>
      <c r="B495" s="45" t="inlineStr">
        <is>
          <t>Проходчик (с исполнением обязанностей взрывника) / Электромонтер по ремонту и обслуживанию электрооборудования</t>
        </is>
      </c>
      <c r="C495" s="45" t="inlineStr">
        <is>
          <t>46б</t>
        </is>
      </c>
      <c r="D495" s="170" t="inlineStr">
        <is>
          <t>раз в 3 года</t>
        </is>
      </c>
      <c r="E495" s="171" t="n">
        <v>2</v>
      </c>
      <c r="F495" s="171" t="n">
        <v>3</v>
      </c>
      <c r="G495" s="171" t="n">
        <v>1</v>
      </c>
      <c r="H495" s="45" t="inlineStr">
        <is>
          <t>25.10.2024; 25.11.2024; 21.09.2025</t>
        </is>
      </c>
      <c r="I495" s="170" t="inlineStr">
        <is>
          <t>24.11.2023</t>
        </is>
      </c>
    </row>
    <row r="496" ht="32" customHeight="1">
      <c r="A496" s="45" t="inlineStr">
        <is>
          <t>работник 666</t>
        </is>
      </c>
      <c r="B496" s="45" t="inlineStr">
        <is>
          <t>Электрослесарь (слесарь) дежурный и по ремонту оборудования</t>
        </is>
      </c>
      <c r="C496" s="45" t="inlineStr">
        <is>
          <t>46б</t>
        </is>
      </c>
      <c r="D496" s="170" t="inlineStr">
        <is>
          <t>раз в 3 года</t>
        </is>
      </c>
      <c r="E496" s="171" t="n">
        <v>1</v>
      </c>
      <c r="F496" s="171" t="n">
        <v>2</v>
      </c>
      <c r="G496" s="171" t="n">
        <v>1</v>
      </c>
      <c r="H496" s="45" t="inlineStr">
        <is>
          <t>09.03.2026; 28.07.2026</t>
        </is>
      </c>
      <c r="I496" s="170" t="inlineStr">
        <is>
          <t>09.03.2026</t>
        </is>
      </c>
    </row>
    <row r="497" ht="20" customHeight="1">
      <c r="A497" s="45" t="inlineStr">
        <is>
          <t>работник 507</t>
        </is>
      </c>
      <c r="B497" s="45" t="inlineStr">
        <is>
          <t>Электрогазосварщик</t>
        </is>
      </c>
      <c r="C497" s="45" t="inlineStr">
        <is>
          <t>46б</t>
        </is>
      </c>
      <c r="D497" s="170" t="inlineStr">
        <is>
          <t>раз в 3 года</t>
        </is>
      </c>
      <c r="E497" s="171" t="n">
        <v>1</v>
      </c>
      <c r="F497" s="171" t="n">
        <v>2</v>
      </c>
      <c r="G497" s="171" t="n">
        <v>1</v>
      </c>
      <c r="H497" s="45" t="inlineStr">
        <is>
          <t>17.09.2025; 23.07.2026</t>
        </is>
      </c>
      <c r="I497" s="170" t="inlineStr">
        <is>
          <t>10.12.2024</t>
        </is>
      </c>
    </row>
    <row r="498" ht="32" customHeight="1">
      <c r="A498" s="45" t="inlineStr">
        <is>
          <t>работник 351</t>
        </is>
      </c>
      <c r="B498" s="45" t="inlineStr">
        <is>
          <t>Кладовщик / Стропальщик (с исполнением обязанностей грузчика)</t>
        </is>
      </c>
      <c r="C498" s="45" t="inlineStr">
        <is>
          <t>46б</t>
        </is>
      </c>
      <c r="D498" s="170" t="inlineStr">
        <is>
          <t>раз в 3 года</t>
        </is>
      </c>
      <c r="E498" s="171" t="n">
        <v>1</v>
      </c>
      <c r="F498" s="171" t="n">
        <v>2</v>
      </c>
      <c r="G498" s="171" t="n">
        <v>1</v>
      </c>
      <c r="H498" s="45" t="inlineStr">
        <is>
          <t>15.04.2024; 16.09.2024</t>
        </is>
      </c>
      <c r="I498" s="170" t="inlineStr">
        <is>
          <t>15.04.2024</t>
        </is>
      </c>
    </row>
    <row r="499" ht="20" customHeight="1">
      <c r="A499" s="45" t="inlineStr">
        <is>
          <t>работник 524</t>
        </is>
      </c>
      <c r="B499" s="45" t="inlineStr">
        <is>
          <t>Машинист конвейера / Машинист мельниц</t>
        </is>
      </c>
      <c r="C499" s="45" t="inlineStr">
        <is>
          <t>46б</t>
        </is>
      </c>
      <c r="D499" s="170" t="inlineStr">
        <is>
          <t>раз в 3 года</t>
        </is>
      </c>
      <c r="E499" s="171" t="n">
        <v>1</v>
      </c>
      <c r="F499" s="171" t="n">
        <v>2</v>
      </c>
      <c r="G499" s="171" t="n">
        <v>1</v>
      </c>
      <c r="H499" s="45" t="inlineStr">
        <is>
          <t>01.02.2025; 29.07.2026</t>
        </is>
      </c>
      <c r="I499" s="170" t="inlineStr">
        <is>
          <t>01.02.2025</t>
        </is>
      </c>
    </row>
    <row r="500" ht="32" customHeight="1">
      <c r="A500" s="45" t="inlineStr">
        <is>
          <t>работник 76</t>
        </is>
      </c>
      <c r="B500" s="45" t="inlineStr">
        <is>
          <t>Монтажник по монтажу стальных и железобетонных конструкций</t>
        </is>
      </c>
      <c r="C500" s="45" t="inlineStr">
        <is>
          <t>46б</t>
        </is>
      </c>
      <c r="D500" s="170" t="inlineStr">
        <is>
          <t>раз в 3 года</t>
        </is>
      </c>
      <c r="E500" s="171" t="n">
        <v>2</v>
      </c>
      <c r="F500" s="171" t="n">
        <v>3</v>
      </c>
      <c r="G500" s="171" t="n">
        <v>1</v>
      </c>
      <c r="H500" s="45" t="inlineStr">
        <is>
          <t>23.11.2023; 05.10.2024; 23.05.2026</t>
        </is>
      </c>
      <c r="I500" s="170" t="inlineStr">
        <is>
          <t>23.11.2023</t>
        </is>
      </c>
    </row>
    <row r="501" ht="20" customHeight="1">
      <c r="A501" s="45" t="inlineStr">
        <is>
          <t>работник 75</t>
        </is>
      </c>
      <c r="B501" s="45" t="inlineStr">
        <is>
          <t>Плотник</t>
        </is>
      </c>
      <c r="C501" s="45" t="inlineStr">
        <is>
          <t>46б</t>
        </is>
      </c>
      <c r="D501" s="170" t="inlineStr">
        <is>
          <t>раз в 3 года</t>
        </is>
      </c>
      <c r="E501" s="171" t="n">
        <v>2</v>
      </c>
      <c r="F501" s="171" t="n">
        <v>3</v>
      </c>
      <c r="G501" s="171" t="n">
        <v>1</v>
      </c>
      <c r="H501" s="45" t="inlineStr">
        <is>
          <t>23.11.2023; 27.06.2025; 23.05.2026</t>
        </is>
      </c>
      <c r="I501" s="170" t="inlineStr">
        <is>
          <t>23.11.2023</t>
        </is>
      </c>
    </row>
    <row r="502" ht="20" customHeight="1">
      <c r="A502" s="45" t="inlineStr">
        <is>
          <t>работник 672</t>
        </is>
      </c>
      <c r="B502" s="45" t="inlineStr">
        <is>
          <t>Горнорабочий на маркшейдерских работах</t>
        </is>
      </c>
      <c r="C502" s="45" t="inlineStr">
        <is>
          <t>46б</t>
        </is>
      </c>
      <c r="D502" s="170" t="inlineStr">
        <is>
          <t>раз в 3 года</t>
        </is>
      </c>
      <c r="E502" s="171" t="n">
        <v>1</v>
      </c>
      <c r="F502" s="171" t="n">
        <v>2</v>
      </c>
      <c r="G502" s="171" t="n">
        <v>1</v>
      </c>
      <c r="H502" s="45" t="inlineStr">
        <is>
          <t>06.04.2026; 25.08.2026</t>
        </is>
      </c>
      <c r="I502" s="170" t="inlineStr">
        <is>
          <t>06.04.2026</t>
        </is>
      </c>
    </row>
    <row r="503" ht="32" customHeight="1">
      <c r="A503" s="45" t="inlineStr">
        <is>
          <t>работник 655</t>
        </is>
      </c>
      <c r="B503" s="45" t="inlineStr">
        <is>
          <t>Слесарь по ремонту автомобилей / Слесарь по ремонту автомобилей и тяжелой техники</t>
        </is>
      </c>
      <c r="C503" s="45" t="inlineStr">
        <is>
          <t>46б</t>
        </is>
      </c>
      <c r="D503" s="170" t="inlineStr">
        <is>
          <t>раз в 3 года</t>
        </is>
      </c>
      <c r="E503" s="171" t="n">
        <v>1</v>
      </c>
      <c r="F503" s="171" t="n">
        <v>2</v>
      </c>
      <c r="G503" s="171" t="n">
        <v>1</v>
      </c>
      <c r="H503" s="45" t="inlineStr">
        <is>
          <t>07.03.2026; 18.08.2026</t>
        </is>
      </c>
      <c r="I503" s="170" t="inlineStr">
        <is>
          <t>07.03.2026</t>
        </is>
      </c>
    </row>
    <row r="504" ht="32" customHeight="1">
      <c r="A504" s="45" t="inlineStr">
        <is>
          <t>работник 354</t>
        </is>
      </c>
      <c r="B504" s="45" t="inlineStr">
        <is>
          <t>Водитель автомобиля (занятый на транспортировании горной массы в технологическом процессе)</t>
        </is>
      </c>
      <c r="C504" s="45" t="inlineStr">
        <is>
          <t>46б</t>
        </is>
      </c>
      <c r="D504" s="170" t="inlineStr">
        <is>
          <t>раз в 3 года</t>
        </is>
      </c>
      <c r="E504" s="171" t="n">
        <v>1</v>
      </c>
      <c r="F504" s="171" t="n">
        <v>2</v>
      </c>
      <c r="G504" s="171" t="n">
        <v>1</v>
      </c>
      <c r="H504" s="45" t="inlineStr">
        <is>
          <t>30.06.2024; 05.10.2024</t>
        </is>
      </c>
      <c r="I504" s="170" t="inlineStr">
        <is>
          <t>30.06.2024</t>
        </is>
      </c>
    </row>
    <row r="505" ht="32" customHeight="1">
      <c r="A505" s="45" t="inlineStr">
        <is>
          <t>работник 773</t>
        </is>
      </c>
      <c r="B505" s="45" t="inlineStr">
        <is>
          <t>Слесарь-ремонтник (по ремонту горно-шахтного оборудования)</t>
        </is>
      </c>
      <c r="C505" s="45" t="inlineStr">
        <is>
          <t>46б</t>
        </is>
      </c>
      <c r="D505" s="170" t="inlineStr">
        <is>
          <t>раз в 3 года</t>
        </is>
      </c>
      <c r="E505" s="171" t="n">
        <v>1</v>
      </c>
      <c r="F505" s="171" t="n">
        <v>2</v>
      </c>
      <c r="G505" s="171" t="n">
        <v>1</v>
      </c>
      <c r="H505" s="45" t="inlineStr">
        <is>
          <t>04.06.2026; 17.08.2026</t>
        </is>
      </c>
      <c r="I505" s="170" t="inlineStr">
        <is>
          <t>04.06.2026</t>
        </is>
      </c>
    </row>
    <row r="506" ht="32" customHeight="1">
      <c r="A506" s="45" t="inlineStr">
        <is>
          <t>работник 148</t>
        </is>
      </c>
      <c r="B506" s="45" t="inlineStr">
        <is>
          <t>Машинист погрузочно-доставочной машины (занятый на транспортировании горной массы в технологическом процессе) / Машинист подземно-доставочной машины</t>
        </is>
      </c>
      <c r="C506" s="45" t="inlineStr">
        <is>
          <t>46б</t>
        </is>
      </c>
      <c r="D506" s="170" t="inlineStr">
        <is>
          <t>раз в 3 года</t>
        </is>
      </c>
      <c r="E506" s="171" t="n">
        <v>1</v>
      </c>
      <c r="F506" s="171" t="n">
        <v>2</v>
      </c>
      <c r="G506" s="171" t="n">
        <v>1</v>
      </c>
      <c r="H506" s="45" t="inlineStr">
        <is>
          <t>19.01.2024; 12.11.2024</t>
        </is>
      </c>
      <c r="I506" s="170" t="inlineStr">
        <is>
          <t>19.01.2024</t>
        </is>
      </c>
    </row>
    <row r="507" ht="20" customHeight="1">
      <c r="A507" s="45" t="inlineStr">
        <is>
          <t>работник 504</t>
        </is>
      </c>
      <c r="B507" s="45" t="inlineStr">
        <is>
          <t>Электрогазосварщик</t>
        </is>
      </c>
      <c r="C507" s="45" t="inlineStr">
        <is>
          <t>46б</t>
        </is>
      </c>
      <c r="D507" s="170" t="inlineStr">
        <is>
          <t>раз в 3 года</t>
        </is>
      </c>
      <c r="E507" s="171" t="n">
        <v>1</v>
      </c>
      <c r="F507" s="171" t="n">
        <v>2</v>
      </c>
      <c r="G507" s="171" t="n">
        <v>1</v>
      </c>
      <c r="H507" s="45" t="inlineStr">
        <is>
          <t>25.11.2024; 29.07.2026</t>
        </is>
      </c>
      <c r="I507" s="170" t="inlineStr">
        <is>
          <t>25.11.2024</t>
        </is>
      </c>
    </row>
    <row r="508" ht="32" customHeight="1">
      <c r="A508" s="45" t="inlineStr">
        <is>
          <t>работник 150</t>
        </is>
      </c>
      <c r="B508" s="45" t="inlineStr">
        <is>
          <t>Помощник машиниста самоходной буровой установки / Помощник машиниста самоходной буровой установки (с исполнением обязанностей пробоотборщика) (Очистное)</t>
        </is>
      </c>
      <c r="C508" s="45" t="inlineStr">
        <is>
          <t>46б</t>
        </is>
      </c>
      <c r="D508" s="170" t="inlineStr">
        <is>
          <t>раз в 3 года</t>
        </is>
      </c>
      <c r="E508" s="171" t="n">
        <v>1</v>
      </c>
      <c r="F508" s="171" t="n">
        <v>2</v>
      </c>
      <c r="G508" s="171" t="n">
        <v>1</v>
      </c>
      <c r="H508" s="45" t="inlineStr">
        <is>
          <t>19.01.2024; 12.11.2024</t>
        </is>
      </c>
      <c r="I508" s="170" t="inlineStr">
        <is>
          <t>19.01.2024</t>
        </is>
      </c>
    </row>
    <row r="509" ht="32" customHeight="1">
      <c r="A509" s="45" t="inlineStr">
        <is>
          <t>работник 94</t>
        </is>
      </c>
      <c r="B509" s="45" t="inlineStr">
        <is>
          <t>Горнорабочий на геологических работах / Кухонный рабочий</t>
        </is>
      </c>
      <c r="C509" s="45" t="inlineStr">
        <is>
          <t>46б</t>
        </is>
      </c>
      <c r="D509" s="170" t="inlineStr">
        <is>
          <t>раз в 3 года</t>
        </is>
      </c>
      <c r="E509" s="171" t="n">
        <v>2</v>
      </c>
      <c r="F509" s="171" t="n">
        <v>3</v>
      </c>
      <c r="G509" s="171" t="n">
        <v>1</v>
      </c>
      <c r="H509" s="45" t="inlineStr">
        <is>
          <t>09.12.2023; 10.12.2024; 25.08.2026</t>
        </is>
      </c>
      <c r="I509" s="170" t="inlineStr">
        <is>
          <t>09.12.2023</t>
        </is>
      </c>
    </row>
    <row r="510" ht="20" customHeight="1">
      <c r="A510" s="45" t="inlineStr">
        <is>
          <t>работник 627</t>
        </is>
      </c>
      <c r="B510" s="45" t="inlineStr">
        <is>
          <t>Подсобный рабочий</t>
        </is>
      </c>
      <c r="C510" s="45" t="inlineStr">
        <is>
          <t>46б</t>
        </is>
      </c>
      <c r="D510" s="170" t="inlineStr">
        <is>
          <t>раз в 3 года</t>
        </is>
      </c>
      <c r="E510" s="171" t="n">
        <v>1</v>
      </c>
      <c r="F510" s="171" t="n">
        <v>2</v>
      </c>
      <c r="G510" s="171" t="n">
        <v>1</v>
      </c>
      <c r="H510" s="45" t="inlineStr">
        <is>
          <t>01.02.2026; 16.08.2026</t>
        </is>
      </c>
      <c r="I510" s="170" t="inlineStr">
        <is>
          <t>01.02.2026</t>
        </is>
      </c>
    </row>
    <row r="511" ht="32" customHeight="1">
      <c r="A511" s="45" t="inlineStr">
        <is>
          <t>работник 260</t>
        </is>
      </c>
      <c r="B511" s="45" t="inlineStr">
        <is>
          <t>Водитель автомобиля (занятый на транспортировании горной массы в технологическом процессе)</t>
        </is>
      </c>
      <c r="C511" s="45" t="inlineStr">
        <is>
          <t>46б</t>
        </is>
      </c>
      <c r="D511" s="170" t="inlineStr">
        <is>
          <t>раз в 3 года</t>
        </is>
      </c>
      <c r="E511" s="171" t="n">
        <v>1</v>
      </c>
      <c r="F511" s="171" t="n">
        <v>2</v>
      </c>
      <c r="G511" s="171" t="n">
        <v>1</v>
      </c>
      <c r="H511" s="45" t="inlineStr">
        <is>
          <t>23.02.2024; 17.08.2026</t>
        </is>
      </c>
      <c r="I511" s="170" t="inlineStr">
        <is>
          <t>23.02.2024</t>
        </is>
      </c>
    </row>
    <row r="512" ht="32" customHeight="1">
      <c r="A512" s="45" t="inlineStr">
        <is>
          <t>работник 152</t>
        </is>
      </c>
      <c r="B512" s="45" t="inlineStr">
        <is>
          <t>Машинист погрузочно-доставочной машины (занятый на транспортировании горной массы в технологическом процессе) / Машинист подземно-доставочной машины</t>
        </is>
      </c>
      <c r="C512" s="45" t="inlineStr">
        <is>
          <t>46б</t>
        </is>
      </c>
      <c r="D512" s="170" t="inlineStr">
        <is>
          <t>раз в 3 года</t>
        </is>
      </c>
      <c r="E512" s="171" t="n">
        <v>1</v>
      </c>
      <c r="F512" s="171" t="n">
        <v>2</v>
      </c>
      <c r="G512" s="171" t="n">
        <v>1</v>
      </c>
      <c r="H512" s="45" t="inlineStr">
        <is>
          <t>19.01.2024; 12.11.2024</t>
        </is>
      </c>
      <c r="I512" s="170" t="inlineStr">
        <is>
          <t>19.01.2024</t>
        </is>
      </c>
    </row>
    <row r="513" ht="32" customHeight="1">
      <c r="A513" s="45" t="inlineStr">
        <is>
          <t>работник 308</t>
        </is>
      </c>
      <c r="B513" s="45" t="inlineStr">
        <is>
          <t>Электрослесарь (слесарь) дежурный и по ремонту оборудования подземного горного участка</t>
        </is>
      </c>
      <c r="C513" s="45" t="inlineStr">
        <is>
          <t>46б</t>
        </is>
      </c>
      <c r="D513" s="170" t="inlineStr">
        <is>
          <t>раз в 3 года</t>
        </is>
      </c>
      <c r="E513" s="171" t="n">
        <v>1</v>
      </c>
      <c r="F513" s="171" t="n">
        <v>2</v>
      </c>
      <c r="G513" s="171" t="n">
        <v>1</v>
      </c>
      <c r="H513" s="45" t="inlineStr">
        <is>
          <t>05.03.2024; 12.11.2024</t>
        </is>
      </c>
      <c r="I513" s="170" t="inlineStr">
        <is>
          <t>05.03.2024</t>
        </is>
      </c>
    </row>
    <row r="514" ht="20" customHeight="1">
      <c r="A514" s="45" t="inlineStr">
        <is>
          <t>работник 479</t>
        </is>
      </c>
      <c r="B514" s="45" t="inlineStr">
        <is>
          <t>Машинист подземных самоходных машин</t>
        </is>
      </c>
      <c r="C514" s="45" t="inlineStr">
        <is>
          <t>46б</t>
        </is>
      </c>
      <c r="D514" s="170" t="inlineStr">
        <is>
          <t>раз в 3 года</t>
        </is>
      </c>
      <c r="E514" s="171" t="n">
        <v>1</v>
      </c>
      <c r="F514" s="171" t="n">
        <v>2</v>
      </c>
      <c r="G514" s="171" t="n">
        <v>1</v>
      </c>
      <c r="H514" s="45" t="inlineStr">
        <is>
          <t>12.11.2024; 05.02.2026</t>
        </is>
      </c>
      <c r="I514" s="170" t="inlineStr">
        <is>
          <t>12.11.2024</t>
        </is>
      </c>
    </row>
    <row r="515" ht="20" customHeight="1">
      <c r="A515" s="45" t="inlineStr">
        <is>
          <t>работник 261</t>
        </is>
      </c>
      <c r="B515" s="45" t="inlineStr">
        <is>
          <t>Машинист бульдозера</t>
        </is>
      </c>
      <c r="C515" s="45" t="inlineStr">
        <is>
          <t>46б</t>
        </is>
      </c>
      <c r="D515" s="170" t="inlineStr">
        <is>
          <t>раз в 3 года</t>
        </is>
      </c>
      <c r="E515" s="171" t="n">
        <v>1</v>
      </c>
      <c r="F515" s="171" t="n">
        <v>2</v>
      </c>
      <c r="G515" s="171" t="n">
        <v>1</v>
      </c>
      <c r="H515" s="45" t="inlineStr">
        <is>
          <t>23.02.2024; 18.08.2026</t>
        </is>
      </c>
      <c r="I515" s="170" t="inlineStr">
        <is>
          <t>23.02.2024</t>
        </is>
      </c>
    </row>
    <row r="516" ht="20" customHeight="1">
      <c r="A516" s="45" t="inlineStr">
        <is>
          <t>работник 262</t>
        </is>
      </c>
      <c r="B516" s="45" t="inlineStr">
        <is>
          <t>Электрогазосварщик</t>
        </is>
      </c>
      <c r="C516" s="45" t="inlineStr">
        <is>
          <t>46б</t>
        </is>
      </c>
      <c r="D516" s="170" t="inlineStr">
        <is>
          <t>раз в 3 года</t>
        </is>
      </c>
      <c r="E516" s="171" t="n">
        <v>1</v>
      </c>
      <c r="F516" s="171" t="n">
        <v>2</v>
      </c>
      <c r="G516" s="171" t="n">
        <v>1</v>
      </c>
      <c r="H516" s="45" t="inlineStr">
        <is>
          <t>23.02.2024; 06.06.2026</t>
        </is>
      </c>
      <c r="I516" s="170" t="inlineStr">
        <is>
          <t>23.02.2024</t>
        </is>
      </c>
    </row>
    <row r="517" ht="32" customHeight="1">
      <c r="A517" s="45" t="inlineStr">
        <is>
          <t>работник 155</t>
        </is>
      </c>
      <c r="B517" s="45" t="inlineStr">
        <is>
          <t>Машинист самоходной буровой установки / Машинист самоходной буровой установки (Проходка)</t>
        </is>
      </c>
      <c r="C517" s="45" t="inlineStr">
        <is>
          <t>46б</t>
        </is>
      </c>
      <c r="D517" s="170" t="inlineStr">
        <is>
          <t>раз в 3 года</t>
        </is>
      </c>
      <c r="E517" s="171" t="n">
        <v>1</v>
      </c>
      <c r="F517" s="171" t="n">
        <v>2</v>
      </c>
      <c r="G517" s="171" t="n">
        <v>1</v>
      </c>
      <c r="H517" s="45" t="inlineStr">
        <is>
          <t>19.01.2024; 12.11.2024</t>
        </is>
      </c>
      <c r="I517" s="170" t="inlineStr">
        <is>
          <t>19.01.2024</t>
        </is>
      </c>
    </row>
    <row r="518" ht="32" customHeight="1">
      <c r="A518" s="45" t="inlineStr">
        <is>
          <t>работник 761</t>
        </is>
      </c>
      <c r="B518" s="45" t="inlineStr">
        <is>
          <t>Машинист погрузочно-доставочной машины (занятый на транспортировании горной массы в технологическом процессе)</t>
        </is>
      </c>
      <c r="C518" s="45" t="inlineStr">
        <is>
          <t>46б</t>
        </is>
      </c>
      <c r="D518" s="170" t="inlineStr">
        <is>
          <t>раз в 3 года</t>
        </is>
      </c>
      <c r="E518" s="171" t="n">
        <v>1</v>
      </c>
      <c r="F518" s="171" t="n">
        <v>2</v>
      </c>
      <c r="G518" s="171" t="n">
        <v>1</v>
      </c>
      <c r="H518" s="45" t="inlineStr">
        <is>
          <t>04.06.2026; 23.07.2026</t>
        </is>
      </c>
      <c r="I518" s="170" t="inlineStr">
        <is>
          <t>04.06.2026</t>
        </is>
      </c>
    </row>
    <row r="519" ht="32" customHeight="1">
      <c r="A519" s="45" t="inlineStr">
        <is>
          <t>работник 633</t>
        </is>
      </c>
      <c r="B519" s="45" t="inlineStr">
        <is>
          <t>Помощник машиниста самоходной буровой установки (с исполнением обязанностей пробоотборщика) / Помощник машиниста самоходной буровой установки (с исполнением обязанностей пробоотборщика) (Очистное)</t>
        </is>
      </c>
      <c r="C519" s="45" t="inlineStr">
        <is>
          <t>46б</t>
        </is>
      </c>
      <c r="D519" s="170" t="inlineStr">
        <is>
          <t>раз в 3 года</t>
        </is>
      </c>
      <c r="E519" s="171" t="n">
        <v>1</v>
      </c>
      <c r="F519" s="171" t="n">
        <v>2</v>
      </c>
      <c r="G519" s="171" t="n">
        <v>1</v>
      </c>
      <c r="H519" s="45" t="inlineStr">
        <is>
          <t>05.02.2026; 26.07.2026</t>
        </is>
      </c>
      <c r="I519" s="170" t="inlineStr">
        <is>
          <t>05.02.2026</t>
        </is>
      </c>
    </row>
    <row r="520" ht="20" customHeight="1">
      <c r="A520" s="45" t="inlineStr">
        <is>
          <t>работник 331</t>
        </is>
      </c>
      <c r="B520" s="45" t="inlineStr">
        <is>
          <t>Пробоотборщик / Флотатор</t>
        </is>
      </c>
      <c r="C520" s="45" t="inlineStr">
        <is>
          <t>46б</t>
        </is>
      </c>
      <c r="D520" s="170" t="inlineStr">
        <is>
          <t>раз в 3 года</t>
        </is>
      </c>
      <c r="E520" s="171" t="n">
        <v>1</v>
      </c>
      <c r="F520" s="171" t="n">
        <v>2</v>
      </c>
      <c r="G520" s="171" t="n">
        <v>1</v>
      </c>
      <c r="H520" s="45" t="inlineStr">
        <is>
          <t>18.03.2024; 12.08.2024</t>
        </is>
      </c>
      <c r="I520" s="170" t="inlineStr">
        <is>
          <t>18.03.2024</t>
        </is>
      </c>
    </row>
    <row r="521" ht="20" customHeight="1">
      <c r="A521" s="45" t="inlineStr">
        <is>
          <t>работник 368</t>
        </is>
      </c>
      <c r="B521" s="45" t="inlineStr">
        <is>
          <t>Машинист бульдозера</t>
        </is>
      </c>
      <c r="C521" s="45" t="inlineStr">
        <is>
          <t>46б</t>
        </is>
      </c>
      <c r="D521" s="170" t="inlineStr">
        <is>
          <t>раз в 3 года</t>
        </is>
      </c>
      <c r="E521" s="171" t="n">
        <v>1</v>
      </c>
      <c r="F521" s="171" t="n">
        <v>2</v>
      </c>
      <c r="G521" s="171" t="n">
        <v>1</v>
      </c>
      <c r="H521" s="45" t="inlineStr">
        <is>
          <t>18.07.2024; 08.10.2024</t>
        </is>
      </c>
      <c r="I521" s="170" t="inlineStr">
        <is>
          <t>18.07.2024</t>
        </is>
      </c>
    </row>
    <row r="522" ht="32" customHeight="1">
      <c r="A522" s="45" t="inlineStr">
        <is>
          <t>работник 671</t>
        </is>
      </c>
      <c r="B522" s="45" t="inlineStr">
        <is>
          <t>Лаборант пробирного анализа / Лаборант химического анализа</t>
        </is>
      </c>
      <c r="C522" s="45" t="inlineStr">
        <is>
          <t>46б</t>
        </is>
      </c>
      <c r="D522" s="170" t="inlineStr">
        <is>
          <t>раз в 3 года</t>
        </is>
      </c>
      <c r="E522" s="171" t="n">
        <v>1</v>
      </c>
      <c r="F522" s="171" t="n">
        <v>2</v>
      </c>
      <c r="G522" s="171" t="n">
        <v>1</v>
      </c>
      <c r="H522" s="45" t="inlineStr">
        <is>
          <t>02.03.2026; 02.08.2026</t>
        </is>
      </c>
      <c r="I522" s="170" t="inlineStr">
        <is>
          <t>02.03.2026</t>
        </is>
      </c>
    </row>
    <row r="523" ht="20" customHeight="1">
      <c r="A523" s="45" t="inlineStr">
        <is>
          <t>работник 404</t>
        </is>
      </c>
      <c r="B523" s="45" t="inlineStr">
        <is>
          <t>Машинист подземных самоходных машин</t>
        </is>
      </c>
      <c r="C523" s="45" t="inlineStr">
        <is>
          <t>46б</t>
        </is>
      </c>
      <c r="D523" s="170" t="inlineStr">
        <is>
          <t>раз в 3 года</t>
        </is>
      </c>
      <c r="E523" s="171" t="n">
        <v>1</v>
      </c>
      <c r="F523" s="171" t="n">
        <v>2</v>
      </c>
      <c r="G523" s="171" t="n">
        <v>1</v>
      </c>
      <c r="H523" s="45" t="inlineStr">
        <is>
          <t>18.08.2024; 24.07.2026</t>
        </is>
      </c>
      <c r="I523" s="170" t="inlineStr">
        <is>
          <t>18.08.2024</t>
        </is>
      </c>
    </row>
    <row r="524" ht="32" customHeight="1">
      <c r="A524" s="45" t="inlineStr">
        <is>
          <t>работник 156</t>
        </is>
      </c>
      <c r="B524" s="45" t="inlineStr">
        <is>
          <t>Проходчик (с исполнением обязанностей взрывника) / Электрогазосварщик</t>
        </is>
      </c>
      <c r="C524" s="45" t="inlineStr">
        <is>
          <t>46б</t>
        </is>
      </c>
      <c r="D524" s="170" t="inlineStr">
        <is>
          <t>раз в 3 года</t>
        </is>
      </c>
      <c r="E524" s="171" t="n">
        <v>1</v>
      </c>
      <c r="F524" s="171" t="n">
        <v>2</v>
      </c>
      <c r="G524" s="171" t="n">
        <v>1</v>
      </c>
      <c r="H524" s="45" t="inlineStr">
        <is>
          <t>19.01.2024; 22.09.2024</t>
        </is>
      </c>
      <c r="I524" s="170" t="inlineStr">
        <is>
          <t>19.01.2024</t>
        </is>
      </c>
    </row>
    <row r="525" ht="32" customHeight="1">
      <c r="A525" s="45" t="inlineStr">
        <is>
          <t>работник 220</t>
        </is>
      </c>
      <c r="B525" s="45" t="inlineStr">
        <is>
          <t>Водитель автомобиля (занятый на транспортировании горной массы в технологическом процессе)</t>
        </is>
      </c>
      <c r="C525" s="45" t="inlineStr">
        <is>
          <t>46б</t>
        </is>
      </c>
      <c r="D525" s="170" t="inlineStr">
        <is>
          <t>раз в 3 года</t>
        </is>
      </c>
      <c r="E525" s="171" t="n">
        <v>2</v>
      </c>
      <c r="F525" s="171" t="n">
        <v>3</v>
      </c>
      <c r="G525" s="171" t="n">
        <v>1</v>
      </c>
      <c r="H525" s="45" t="inlineStr">
        <is>
          <t>03.12.2023; 25.11.2024; 17.08.2026</t>
        </is>
      </c>
      <c r="I525" s="170" t="inlineStr">
        <is>
          <t>03.12.2023</t>
        </is>
      </c>
    </row>
    <row r="526" ht="20" customHeight="1">
      <c r="A526" s="45" t="inlineStr">
        <is>
          <t>работник 401</t>
        </is>
      </c>
      <c r="B526" s="45" t="inlineStr">
        <is>
          <t>Весовщик / Контролер продукции обогащения</t>
        </is>
      </c>
      <c r="C526" s="45" t="inlineStr">
        <is>
          <t>46б</t>
        </is>
      </c>
      <c r="D526" s="170" t="inlineStr">
        <is>
          <t>раз в 3 года</t>
        </is>
      </c>
      <c r="E526" s="171" t="n">
        <v>1</v>
      </c>
      <c r="F526" s="171" t="n">
        <v>2</v>
      </c>
      <c r="G526" s="171" t="n">
        <v>1</v>
      </c>
      <c r="H526" s="45" t="inlineStr">
        <is>
          <t>23.08.2024; 27.08.2026</t>
        </is>
      </c>
      <c r="I526" s="170" t="inlineStr">
        <is>
          <t>23.08.2024</t>
        </is>
      </c>
    </row>
    <row r="527" ht="32" customHeight="1">
      <c r="A527" s="45" t="inlineStr">
        <is>
          <t>работник 634</t>
        </is>
      </c>
      <c r="B527" s="45" t="inlineStr">
        <is>
          <t>Помощник машиниста самоходной буровой установки (с исполнением обязанностей пробоотборщика) / Помощник машиниста самоходной буровой установки (с исполнением обязанностей пробоотборщика) (Очистное)</t>
        </is>
      </c>
      <c r="C527" s="45" t="inlineStr">
        <is>
          <t>46б</t>
        </is>
      </c>
      <c r="D527" s="170" t="inlineStr">
        <is>
          <t>раз в 3 года</t>
        </is>
      </c>
      <c r="E527" s="171" t="n">
        <v>1</v>
      </c>
      <c r="F527" s="171" t="n">
        <v>2</v>
      </c>
      <c r="G527" s="171" t="n">
        <v>1</v>
      </c>
      <c r="H527" s="45" t="inlineStr">
        <is>
          <t>05.02.2026; 26.07.2026</t>
        </is>
      </c>
      <c r="I527" s="170" t="inlineStr">
        <is>
          <t>05.02.2026</t>
        </is>
      </c>
    </row>
    <row r="528" ht="32" customHeight="1">
      <c r="A528" s="45" t="inlineStr">
        <is>
          <t>работник 762</t>
        </is>
      </c>
      <c r="B528" s="45" t="inlineStr">
        <is>
          <t>Машинист погрузочно-доставочной машины (занятый на транспортировании горной массы в технологическом процессе)</t>
        </is>
      </c>
      <c r="C528" s="45" t="inlineStr">
        <is>
          <t>46б</t>
        </is>
      </c>
      <c r="D528" s="170" t="inlineStr">
        <is>
          <t>раз в 3 года</t>
        </is>
      </c>
      <c r="E528" s="171" t="n">
        <v>1</v>
      </c>
      <c r="F528" s="171" t="n">
        <v>2</v>
      </c>
      <c r="G528" s="171" t="n">
        <v>1</v>
      </c>
      <c r="H528" s="45" t="inlineStr">
        <is>
          <t>04.06.2026; 23.07.2026</t>
        </is>
      </c>
      <c r="I528" s="170" t="inlineStr">
        <is>
          <t>04.06.2026</t>
        </is>
      </c>
    </row>
    <row r="529" ht="32" customHeight="1">
      <c r="A529" s="45" t="inlineStr">
        <is>
          <t>работник 530</t>
        </is>
      </c>
      <c r="B529" s="45" t="inlineStr">
        <is>
          <t>Крепильщик / Проходчик (с исполнением обязанностей взрывника)</t>
        </is>
      </c>
      <c r="C529" s="45" t="inlineStr">
        <is>
          <t>46б</t>
        </is>
      </c>
      <c r="D529" s="170" t="inlineStr">
        <is>
          <t>раз в 3 года</t>
        </is>
      </c>
      <c r="E529" s="171" t="n">
        <v>1</v>
      </c>
      <c r="F529" s="171" t="n">
        <v>2</v>
      </c>
      <c r="G529" s="171" t="n">
        <v>1</v>
      </c>
      <c r="H529" s="45" t="inlineStr">
        <is>
          <t>25.01.2025; 22.07.2026</t>
        </is>
      </c>
      <c r="I529" s="170" t="inlineStr">
        <is>
          <t>25.01.2025</t>
        </is>
      </c>
    </row>
    <row r="530" ht="32" customHeight="1">
      <c r="A530" s="45" t="inlineStr">
        <is>
          <t>работник 386</t>
        </is>
      </c>
      <c r="B530" s="45" t="inlineStr">
        <is>
          <t>Горнорабочий на геологических работах / Пробоотборщик</t>
        </is>
      </c>
      <c r="C530" s="45" t="inlineStr">
        <is>
          <t>46б</t>
        </is>
      </c>
      <c r="D530" s="170" t="inlineStr">
        <is>
          <t>раз в 3 года</t>
        </is>
      </c>
      <c r="E530" s="171" t="n">
        <v>1</v>
      </c>
      <c r="F530" s="171" t="n">
        <v>2</v>
      </c>
      <c r="G530" s="171" t="n">
        <v>1</v>
      </c>
      <c r="H530" s="45" t="inlineStr">
        <is>
          <t>08.08.2024; 25.08.2026</t>
        </is>
      </c>
      <c r="I530" s="170" t="inlineStr">
        <is>
          <t>08.08.2024</t>
        </is>
      </c>
    </row>
    <row r="531" ht="20" customHeight="1">
      <c r="A531" s="45" t="inlineStr">
        <is>
          <t>работник 610</t>
        </is>
      </c>
      <c r="B531" s="45" t="inlineStr">
        <is>
          <t>Аппаратчик воздухоразделения</t>
        </is>
      </c>
      <c r="C531" s="45" t="inlineStr">
        <is>
          <t>46б</t>
        </is>
      </c>
      <c r="D531" s="170" t="inlineStr">
        <is>
          <t>раз в 3 года</t>
        </is>
      </c>
      <c r="E531" s="171" t="n">
        <v>1</v>
      </c>
      <c r="F531" s="171" t="n">
        <v>2</v>
      </c>
      <c r="G531" s="171" t="n">
        <v>1</v>
      </c>
      <c r="H531" s="45" t="inlineStr">
        <is>
          <t>14.12.2025; 21.08.2026</t>
        </is>
      </c>
      <c r="I531" s="170" t="inlineStr">
        <is>
          <t>14.12.2025</t>
        </is>
      </c>
    </row>
    <row r="532" ht="20" customHeight="1">
      <c r="A532" s="45" t="inlineStr">
        <is>
          <t>работник 157</t>
        </is>
      </c>
      <c r="B532" s="45" t="inlineStr">
        <is>
          <t>Проходчик (с исполнением обязанностей взрывника)</t>
        </is>
      </c>
      <c r="C532" s="45" t="inlineStr">
        <is>
          <t>46б</t>
        </is>
      </c>
      <c r="D532" s="170" t="inlineStr">
        <is>
          <t>раз в 3 года</t>
        </is>
      </c>
      <c r="E532" s="171" t="n">
        <v>1</v>
      </c>
      <c r="F532" s="171" t="n">
        <v>2</v>
      </c>
      <c r="G532" s="171" t="n">
        <v>1</v>
      </c>
      <c r="H532" s="45" t="inlineStr">
        <is>
          <t>19.01.2024; 12.11.2024</t>
        </is>
      </c>
      <c r="I532" s="170" t="inlineStr">
        <is>
          <t>19.01.2024</t>
        </is>
      </c>
    </row>
    <row r="533" ht="20" customHeight="1">
      <c r="A533" s="45" t="inlineStr">
        <is>
          <t>работник 158</t>
        </is>
      </c>
      <c r="B533" s="45" t="inlineStr">
        <is>
          <t>Горный диспетчер</t>
        </is>
      </c>
      <c r="C533" s="45" t="inlineStr">
        <is>
          <t>46б</t>
        </is>
      </c>
      <c r="D533" s="170" t="inlineStr">
        <is>
          <t>раз в 3 года</t>
        </is>
      </c>
      <c r="E533" s="171" t="n">
        <v>1</v>
      </c>
      <c r="F533" s="171" t="n">
        <v>2</v>
      </c>
      <c r="G533" s="171" t="n">
        <v>1</v>
      </c>
      <c r="H533" s="45" t="inlineStr">
        <is>
          <t>19.01.2024; 28.07.2026</t>
        </is>
      </c>
      <c r="I533" s="170" t="inlineStr">
        <is>
          <t>19.01.2024</t>
        </is>
      </c>
    </row>
    <row r="534" ht="32" customHeight="1">
      <c r="A534" s="45" t="inlineStr">
        <is>
          <t>работник 679</t>
        </is>
      </c>
      <c r="B534" s="45" t="inlineStr">
        <is>
          <t>Электрослесарь (слесарь) дежурный и по ремонту оборудования</t>
        </is>
      </c>
      <c r="C534" s="45" t="inlineStr">
        <is>
          <t>46б</t>
        </is>
      </c>
      <c r="D534" s="170" t="inlineStr">
        <is>
          <t>раз в 3 года</t>
        </is>
      </c>
      <c r="E534" s="171" t="n">
        <v>1</v>
      </c>
      <c r="F534" s="171" t="n">
        <v>2</v>
      </c>
      <c r="G534" s="171" t="n">
        <v>1</v>
      </c>
      <c r="H534" s="45" t="inlineStr">
        <is>
          <t>13.04.2026; 24.08.2026</t>
        </is>
      </c>
      <c r="I534" s="170" t="inlineStr">
        <is>
          <t>13.04.2026</t>
        </is>
      </c>
    </row>
    <row r="535" ht="20" customHeight="1">
      <c r="A535" s="45" t="inlineStr">
        <is>
          <t>работник 268</t>
        </is>
      </c>
      <c r="B535" s="45" t="inlineStr">
        <is>
          <t>Машинист экскаватора</t>
        </is>
      </c>
      <c r="C535" s="45" t="inlineStr">
        <is>
          <t>46б</t>
        </is>
      </c>
      <c r="D535" s="170" t="inlineStr">
        <is>
          <t>раз в 3 года</t>
        </is>
      </c>
      <c r="E535" s="171" t="n">
        <v>1</v>
      </c>
      <c r="F535" s="171" t="n">
        <v>2</v>
      </c>
      <c r="G535" s="171" t="n">
        <v>1</v>
      </c>
      <c r="H535" s="45" t="inlineStr">
        <is>
          <t>23.02.2024; 17.08.2026</t>
        </is>
      </c>
      <c r="I535" s="170" t="inlineStr">
        <is>
          <t>23.02.2024</t>
        </is>
      </c>
    </row>
    <row r="536" ht="20" customHeight="1">
      <c r="A536" s="45" t="inlineStr">
        <is>
          <t>работник 159</t>
        </is>
      </c>
      <c r="B536" s="45" t="inlineStr">
        <is>
          <t>Проходчик (с исполнением обязанностей взрывника)</t>
        </is>
      </c>
      <c r="C536" s="45" t="inlineStr">
        <is>
          <t>46б</t>
        </is>
      </c>
      <c r="D536" s="170" t="inlineStr">
        <is>
          <t>раз в 3 года</t>
        </is>
      </c>
      <c r="E536" s="171" t="n">
        <v>1</v>
      </c>
      <c r="F536" s="171" t="n">
        <v>2</v>
      </c>
      <c r="G536" s="171" t="n">
        <v>1</v>
      </c>
      <c r="H536" s="45" t="inlineStr">
        <is>
          <t>19.01.2024; 12.11.2024</t>
        </is>
      </c>
      <c r="I536" s="170" t="inlineStr">
        <is>
          <t>19.01.2024</t>
        </is>
      </c>
    </row>
    <row r="537" ht="32" customHeight="1">
      <c r="A537" s="45" t="inlineStr">
        <is>
          <t>работник 208</t>
        </is>
      </c>
      <c r="B537" s="45" t="inlineStr">
        <is>
          <t>Водитель погрузчика / Машинист погрузочно-доставочной машины (ТГМ) / Машинист погрузочно-доставочной машины (занятый на транспортировании горной массы в технологическом процессе)</t>
        </is>
      </c>
      <c r="C537" s="45" t="inlineStr">
        <is>
          <t>46б</t>
        </is>
      </c>
      <c r="D537" s="170" t="inlineStr">
        <is>
          <t>раз в 3 года</t>
        </is>
      </c>
      <c r="E537" s="171" t="n">
        <v>2</v>
      </c>
      <c r="F537" s="171" t="n">
        <v>3</v>
      </c>
      <c r="G537" s="171" t="n">
        <v>1</v>
      </c>
      <c r="H537" s="45" t="inlineStr">
        <is>
          <t>03.12.2023; 25.02.2024; 23.07.2026</t>
        </is>
      </c>
      <c r="I537" s="170" t="inlineStr">
        <is>
          <t>03.12.2023</t>
        </is>
      </c>
    </row>
    <row r="538" ht="32" customHeight="1">
      <c r="A538" s="45" t="inlineStr">
        <is>
          <t>работник 311</t>
        </is>
      </c>
      <c r="B538" s="45" t="inlineStr">
        <is>
          <t>Помощник машиниста самоходной буровой установки (с исполнением обязанностей пробоотборщика) / Помощник машиниста самоходной буровой установки (с исполнением обязанностей пробоотборщика) (Очистное)</t>
        </is>
      </c>
      <c r="C538" s="45" t="inlineStr">
        <is>
          <t>46б</t>
        </is>
      </c>
      <c r="D538" s="170" t="inlineStr">
        <is>
          <t>раз в 3 года</t>
        </is>
      </c>
      <c r="E538" s="171" t="n">
        <v>1</v>
      </c>
      <c r="F538" s="171" t="n">
        <v>2</v>
      </c>
      <c r="G538" s="171" t="n">
        <v>1</v>
      </c>
      <c r="H538" s="45" t="inlineStr">
        <is>
          <t>05.03.2024; 14.08.2026</t>
        </is>
      </c>
      <c r="I538" s="170" t="inlineStr">
        <is>
          <t>05.03.2024</t>
        </is>
      </c>
    </row>
    <row r="539" ht="20" customHeight="1">
      <c r="A539" s="45" t="inlineStr">
        <is>
          <t>работник 250</t>
        </is>
      </c>
      <c r="B539" s="45" t="inlineStr">
        <is>
          <t>Аппаратчик-гидрометаллург / Флотатор</t>
        </is>
      </c>
      <c r="C539" s="45" t="inlineStr">
        <is>
          <t>46б</t>
        </is>
      </c>
      <c r="D539" s="170" t="inlineStr">
        <is>
          <t>раз в 3 года</t>
        </is>
      </c>
      <c r="E539" s="171" t="n">
        <v>1</v>
      </c>
      <c r="F539" s="171" t="n">
        <v>2</v>
      </c>
      <c r="G539" s="171" t="n">
        <v>1</v>
      </c>
      <c r="H539" s="45" t="inlineStr">
        <is>
          <t>22.02.2024; 29.07.2026</t>
        </is>
      </c>
      <c r="I539" s="170" t="inlineStr">
        <is>
          <t>12.02.2024</t>
        </is>
      </c>
    </row>
    <row r="540" ht="20" customHeight="1">
      <c r="A540" s="45" t="inlineStr">
        <is>
          <t>работник 680</t>
        </is>
      </c>
      <c r="B540" s="45" t="inlineStr">
        <is>
          <t>Слесарь-сантехник</t>
        </is>
      </c>
      <c r="C540" s="45" t="inlineStr">
        <is>
          <t>46б</t>
        </is>
      </c>
      <c r="D540" s="170" t="inlineStr">
        <is>
          <t>раз в 3 года</t>
        </is>
      </c>
      <c r="E540" s="171" t="n">
        <v>1</v>
      </c>
      <c r="F540" s="171" t="n">
        <v>2</v>
      </c>
      <c r="G540" s="171" t="n">
        <v>1</v>
      </c>
      <c r="H540" s="45" t="inlineStr">
        <is>
          <t>13.04.2026; 25.08.2026</t>
        </is>
      </c>
      <c r="I540" s="170" t="inlineStr">
        <is>
          <t>13.04.2026</t>
        </is>
      </c>
    </row>
    <row r="541" ht="20" customHeight="1">
      <c r="A541" s="45" t="inlineStr">
        <is>
          <t>работник 534</t>
        </is>
      </c>
      <c r="B541" s="45" t="inlineStr">
        <is>
          <t>Проходчик (с исполнением обязанностей взрывника)</t>
        </is>
      </c>
      <c r="C541" s="45" t="inlineStr">
        <is>
          <t>46б</t>
        </is>
      </c>
      <c r="D541" s="170" t="inlineStr">
        <is>
          <t>раз в 3 года</t>
        </is>
      </c>
      <c r="E541" s="171" t="n">
        <v>1</v>
      </c>
      <c r="F541" s="171" t="n">
        <v>2</v>
      </c>
      <c r="G541" s="171" t="n">
        <v>1</v>
      </c>
      <c r="H541" s="45" t="inlineStr">
        <is>
          <t>19.02.2025; 16.08.2026</t>
        </is>
      </c>
      <c r="I541" s="170" t="inlineStr">
        <is>
          <t>19.02.2025</t>
        </is>
      </c>
    </row>
    <row r="542" ht="20" customHeight="1">
      <c r="A542" s="45" t="inlineStr">
        <is>
          <t>работник 455</t>
        </is>
      </c>
      <c r="B542" s="45" t="inlineStr">
        <is>
          <t>Дробильщик / Фильтровальщик</t>
        </is>
      </c>
      <c r="C542" s="45" t="inlineStr">
        <is>
          <t>46б</t>
        </is>
      </c>
      <c r="D542" s="170" t="inlineStr">
        <is>
          <t>раз в 3 года</t>
        </is>
      </c>
      <c r="E542" s="171" t="n">
        <v>1</v>
      </c>
      <c r="F542" s="171" t="n">
        <v>2</v>
      </c>
      <c r="G542" s="171" t="n">
        <v>1</v>
      </c>
      <c r="H542" s="45" t="inlineStr">
        <is>
          <t>25.10.2024; 09.03.2026</t>
        </is>
      </c>
      <c r="I542" s="170" t="inlineStr">
        <is>
          <t>25.10.2024</t>
        </is>
      </c>
    </row>
    <row r="543" ht="20" customHeight="1">
      <c r="A543" s="45" t="inlineStr">
        <is>
          <t>работник 271</t>
        </is>
      </c>
      <c r="B543" s="45" t="inlineStr">
        <is>
          <t>Машинист бульдозера</t>
        </is>
      </c>
      <c r="C543" s="45" t="inlineStr">
        <is>
          <t>46б</t>
        </is>
      </c>
      <c r="D543" s="170" t="inlineStr">
        <is>
          <t>раз в 3 года</t>
        </is>
      </c>
      <c r="E543" s="171" t="n">
        <v>1</v>
      </c>
      <c r="F543" s="171" t="n">
        <v>2</v>
      </c>
      <c r="G543" s="171" t="n">
        <v>1</v>
      </c>
      <c r="H543" s="45" t="inlineStr">
        <is>
          <t>23.02.2024; 18.08.2026</t>
        </is>
      </c>
      <c r="I543" s="170" t="inlineStr">
        <is>
          <t>23.02.2024</t>
        </is>
      </c>
    </row>
    <row r="544" ht="32" customHeight="1">
      <c r="A544" s="45" t="inlineStr">
        <is>
          <t>работник 272</t>
        </is>
      </c>
      <c r="B544" s="45" t="inlineStr">
        <is>
          <t>Водитель автомобиля (занятый на транспортировании горной массы в технологическом процессе) / Водитель погрузчика</t>
        </is>
      </c>
      <c r="C544" s="45" t="inlineStr">
        <is>
          <t>46б</t>
        </is>
      </c>
      <c r="D544" s="170" t="inlineStr">
        <is>
          <t>раз в 3 года</t>
        </is>
      </c>
      <c r="E544" s="171" t="n">
        <v>1</v>
      </c>
      <c r="F544" s="171" t="n">
        <v>2</v>
      </c>
      <c r="G544" s="171" t="n">
        <v>1</v>
      </c>
      <c r="H544" s="45" t="inlineStr">
        <is>
          <t>23.02.2024; 17.08.2026</t>
        </is>
      </c>
      <c r="I544" s="170" t="inlineStr">
        <is>
          <t>23.02.2024</t>
        </is>
      </c>
    </row>
    <row r="545" ht="20" customHeight="1">
      <c r="A545" s="45" t="inlineStr">
        <is>
          <t>работник 439</t>
        </is>
      </c>
      <c r="B545" s="45" t="inlineStr">
        <is>
          <t>Машинист конвейера</t>
        </is>
      </c>
      <c r="C545" s="45" t="inlineStr">
        <is>
          <t>46б</t>
        </is>
      </c>
      <c r="D545" s="170" t="inlineStr">
        <is>
          <t>раз в 3 года</t>
        </is>
      </c>
      <c r="E545" s="171" t="n">
        <v>1</v>
      </c>
      <c r="F545" s="171" t="n">
        <v>2</v>
      </c>
      <c r="G545" s="171" t="n">
        <v>1</v>
      </c>
      <c r="H545" s="45" t="inlineStr">
        <is>
          <t>25.10.2024; 29.07.2026</t>
        </is>
      </c>
      <c r="I545" s="170" t="inlineStr">
        <is>
          <t>25.10.2024</t>
        </is>
      </c>
    </row>
    <row r="546" ht="32" customHeight="1">
      <c r="A546" s="45" t="inlineStr">
        <is>
          <t>работник 833</t>
        </is>
      </c>
      <c r="B546" s="45" t="inlineStr">
        <is>
          <t>Электромонтер по ремонту и обслуживанию электрооборудования</t>
        </is>
      </c>
      <c r="C546" s="45" t="inlineStr">
        <is>
          <t>46б</t>
        </is>
      </c>
      <c r="D546" s="170" t="inlineStr">
        <is>
          <t>раз в 3 года</t>
        </is>
      </c>
      <c r="E546" s="171" t="n">
        <v>1</v>
      </c>
      <c r="F546" s="171" t="n">
        <v>2</v>
      </c>
      <c r="G546" s="171" t="n">
        <v>1</v>
      </c>
      <c r="H546" s="45" t="inlineStr">
        <is>
          <t>01.07.2026; 29.07.2026</t>
        </is>
      </c>
      <c r="I546" s="170" t="inlineStr">
        <is>
          <t>01.07.2026</t>
        </is>
      </c>
    </row>
    <row r="547" ht="20" customHeight="1">
      <c r="A547" s="45" t="inlineStr">
        <is>
          <t>работник 342</t>
        </is>
      </c>
      <c r="B547" s="45" t="inlineStr">
        <is>
          <t>Бункеровщик / Машинист мельниц</t>
        </is>
      </c>
      <c r="C547" s="45" t="inlineStr">
        <is>
          <t>46б</t>
        </is>
      </c>
      <c r="D547" s="170" t="inlineStr">
        <is>
          <t>раз в 3 года</t>
        </is>
      </c>
      <c r="E547" s="171" t="n">
        <v>1</v>
      </c>
      <c r="F547" s="171" t="n">
        <v>2</v>
      </c>
      <c r="G547" s="171" t="n">
        <v>1</v>
      </c>
      <c r="H547" s="45" t="inlineStr">
        <is>
          <t>19.04.2024; 29.07.2026</t>
        </is>
      </c>
      <c r="I547" s="170" t="inlineStr">
        <is>
          <t>19.04.2024</t>
        </is>
      </c>
    </row>
    <row r="548" ht="20" customHeight="1">
      <c r="A548" s="45" t="inlineStr">
        <is>
          <t>работник 543</t>
        </is>
      </c>
      <c r="B548" s="45" t="inlineStr">
        <is>
          <t>Контролер продукции обогащения / Пробоотборщик</t>
        </is>
      </c>
      <c r="C548" s="45" t="inlineStr">
        <is>
          <t>46б</t>
        </is>
      </c>
      <c r="D548" s="170" t="inlineStr">
        <is>
          <t>раз в 3 года</t>
        </is>
      </c>
      <c r="E548" s="171" t="n">
        <v>1</v>
      </c>
      <c r="F548" s="171" t="n">
        <v>2</v>
      </c>
      <c r="G548" s="171" t="n">
        <v>1</v>
      </c>
      <c r="H548" s="45" t="inlineStr">
        <is>
          <t>20.04.2025; 21.08.2026</t>
        </is>
      </c>
      <c r="I548" s="170" t="inlineStr">
        <is>
          <t>20.04.2025</t>
        </is>
      </c>
    </row>
    <row r="549" ht="20" customHeight="1">
      <c r="A549" s="45" t="inlineStr">
        <is>
          <t>работник 382</t>
        </is>
      </c>
      <c r="B549" s="45" t="inlineStr">
        <is>
          <t>Растворщик реагентов</t>
        </is>
      </c>
      <c r="C549" s="45" t="inlineStr">
        <is>
          <t>46б</t>
        </is>
      </c>
      <c r="D549" s="170" t="inlineStr">
        <is>
          <t>раз в 3 года</t>
        </is>
      </c>
      <c r="E549" s="171" t="n">
        <v>1</v>
      </c>
      <c r="F549" s="171" t="n">
        <v>2</v>
      </c>
      <c r="G549" s="171" t="n">
        <v>1</v>
      </c>
      <c r="H549" s="45" t="inlineStr">
        <is>
          <t>20.06.2024; 18.02.2025</t>
        </is>
      </c>
      <c r="I549" s="170" t="inlineStr">
        <is>
          <t>20.06.2024</t>
        </is>
      </c>
    </row>
    <row r="550" ht="20" customHeight="1">
      <c r="A550" s="45" t="inlineStr">
        <is>
          <t>работник 486</t>
        </is>
      </c>
      <c r="B550" s="45" t="inlineStr">
        <is>
          <t>Машинист погрузочно-доставочной машины</t>
        </is>
      </c>
      <c r="C550" s="45" t="inlineStr">
        <is>
          <t>46б</t>
        </is>
      </c>
      <c r="D550" s="170" t="inlineStr">
        <is>
          <t>раз в 3 года</t>
        </is>
      </c>
      <c r="E550" s="171" t="n">
        <v>1</v>
      </c>
      <c r="F550" s="171" t="n">
        <v>2</v>
      </c>
      <c r="G550" s="171" t="n">
        <v>1</v>
      </c>
      <c r="H550" s="45" t="inlineStr">
        <is>
          <t>12.11.2024; 15.08.2026</t>
        </is>
      </c>
      <c r="I550" s="170" t="inlineStr">
        <is>
          <t>12.11.2024</t>
        </is>
      </c>
    </row>
    <row r="551" ht="32" customHeight="1">
      <c r="A551" s="45" t="inlineStr">
        <is>
          <t>работник 315</t>
        </is>
      </c>
      <c r="B551" s="45" t="inlineStr">
        <is>
          <t>Крепильщик / Помощник машиниста самоходной буровой установки (с исполнением обязанностей пробоотборщика) (Очистное)</t>
        </is>
      </c>
      <c r="C551" s="45" t="inlineStr">
        <is>
          <t>46б</t>
        </is>
      </c>
      <c r="D551" s="170" t="inlineStr">
        <is>
          <t>раз в 3 года</t>
        </is>
      </c>
      <c r="E551" s="171" t="n">
        <v>1</v>
      </c>
      <c r="F551" s="171" t="n">
        <v>2</v>
      </c>
      <c r="G551" s="171" t="n">
        <v>1</v>
      </c>
      <c r="H551" s="45" t="inlineStr">
        <is>
          <t>05.03.2024; 10.06.2025</t>
        </is>
      </c>
      <c r="I551" s="170" t="inlineStr">
        <is>
          <t>05.03.2024</t>
        </is>
      </c>
    </row>
    <row r="552" ht="20" customHeight="1">
      <c r="A552" s="45" t="inlineStr">
        <is>
          <t>работник 670</t>
        </is>
      </c>
      <c r="B552" s="45" t="inlineStr">
        <is>
          <t>Лаборант пробирного анализа</t>
        </is>
      </c>
      <c r="C552" s="45" t="inlineStr">
        <is>
          <t>46б</t>
        </is>
      </c>
      <c r="D552" s="170" t="inlineStr">
        <is>
          <t>раз в 3 года</t>
        </is>
      </c>
      <c r="E552" s="171" t="n">
        <v>1</v>
      </c>
      <c r="F552" s="171" t="n">
        <v>2</v>
      </c>
      <c r="G552" s="171" t="n">
        <v>1</v>
      </c>
      <c r="H552" s="45" t="inlineStr">
        <is>
          <t>20.03.2026; 02.08.2026</t>
        </is>
      </c>
      <c r="I552" s="170" t="inlineStr">
        <is>
          <t>20.03.2026</t>
        </is>
      </c>
    </row>
    <row r="553" ht="32" customHeight="1">
      <c r="A553" s="45" t="inlineStr">
        <is>
          <t>работник 782</t>
        </is>
      </c>
      <c r="B553" s="45" t="inlineStr">
        <is>
          <t>Электрослесарь (слесарь) дежурный и по ремонту оборудования / Электрослесарь (слесарь) дежурный и по ремонту оборудования подземного горного участка</t>
        </is>
      </c>
      <c r="C553" s="45" t="inlineStr">
        <is>
          <t>46б</t>
        </is>
      </c>
      <c r="D553" s="170" t="inlineStr">
        <is>
          <t>раз в 3 года</t>
        </is>
      </c>
      <c r="E553" s="171" t="n">
        <v>1</v>
      </c>
      <c r="F553" s="171" t="n">
        <v>2</v>
      </c>
      <c r="G553" s="171" t="n">
        <v>1</v>
      </c>
      <c r="H553" s="45" t="inlineStr">
        <is>
          <t>04.06.2026; 28.07.2026</t>
        </is>
      </c>
      <c r="I553" s="170" t="inlineStr">
        <is>
          <t>04.06.2026</t>
        </is>
      </c>
    </row>
    <row r="554" ht="20" customHeight="1">
      <c r="A554" s="45" t="inlineStr">
        <is>
          <t>работник 659</t>
        </is>
      </c>
      <c r="B554" s="45" t="inlineStr">
        <is>
          <t>Электрогазосварщик</t>
        </is>
      </c>
      <c r="C554" s="45" t="inlineStr">
        <is>
          <t>46б</t>
        </is>
      </c>
      <c r="D554" s="170" t="inlineStr">
        <is>
          <t>раз в 3 года</t>
        </is>
      </c>
      <c r="E554" s="171" t="n">
        <v>1</v>
      </c>
      <c r="F554" s="171" t="n">
        <v>2</v>
      </c>
      <c r="G554" s="171" t="n">
        <v>1</v>
      </c>
      <c r="H554" s="45" t="inlineStr">
        <is>
          <t>27.02.2026; 29.07.2026</t>
        </is>
      </c>
      <c r="I554" s="170" t="inlineStr">
        <is>
          <t>27.02.2026</t>
        </is>
      </c>
    </row>
    <row r="555" ht="32" customHeight="1">
      <c r="A555" s="45" t="inlineStr">
        <is>
          <t>работник 593</t>
        </is>
      </c>
      <c r="B555" s="45" t="inlineStr">
        <is>
          <t>Крепильщик / Помощник машиниста самоходной буровой установки (с исполнением обязанностей пробоотборщика) (Очистное)</t>
        </is>
      </c>
      <c r="C555" s="45" t="inlineStr">
        <is>
          <t>46б</t>
        </is>
      </c>
      <c r="D555" s="170" t="inlineStr">
        <is>
          <t>раз в 3 года</t>
        </is>
      </c>
      <c r="E555" s="171" t="n">
        <v>1</v>
      </c>
      <c r="F555" s="171" t="n">
        <v>2</v>
      </c>
      <c r="G555" s="171" t="n">
        <v>1</v>
      </c>
      <c r="H555" s="45" t="inlineStr">
        <is>
          <t>22.07.2025; 18.08.2026</t>
        </is>
      </c>
      <c r="I555" s="170" t="inlineStr">
        <is>
          <t>22.07.2025</t>
        </is>
      </c>
    </row>
    <row r="556" ht="20" customHeight="1">
      <c r="A556" s="45" t="inlineStr">
        <is>
          <t>работник 806</t>
        </is>
      </c>
      <c r="B556" s="45" t="inlineStr">
        <is>
          <t>Повар</t>
        </is>
      </c>
      <c r="C556" s="45" t="inlineStr">
        <is>
          <t>46б</t>
        </is>
      </c>
      <c r="D556" s="170" t="inlineStr">
        <is>
          <t>раз в 3 года</t>
        </is>
      </c>
      <c r="E556" s="171" t="n">
        <v>1</v>
      </c>
      <c r="F556" s="171" t="n">
        <v>2</v>
      </c>
      <c r="G556" s="171" t="n">
        <v>1</v>
      </c>
      <c r="H556" s="45" t="inlineStr">
        <is>
          <t>03.07.2026; 20.08.2026</t>
        </is>
      </c>
      <c r="I556" s="170" t="inlineStr">
        <is>
          <t>03.07.2026</t>
        </is>
      </c>
    </row>
    <row r="557" ht="20" customHeight="1">
      <c r="A557" s="45" t="inlineStr">
        <is>
          <t>работник 81</t>
        </is>
      </c>
      <c r="B557" s="45" t="inlineStr">
        <is>
          <t>Плотник</t>
        </is>
      </c>
      <c r="C557" s="45" t="inlineStr">
        <is>
          <t>46б</t>
        </is>
      </c>
      <c r="D557" s="170" t="inlineStr">
        <is>
          <t>раз в 3 года</t>
        </is>
      </c>
      <c r="E557" s="171" t="n">
        <v>2</v>
      </c>
      <c r="F557" s="171" t="n">
        <v>3</v>
      </c>
      <c r="G557" s="171" t="n">
        <v>1</v>
      </c>
      <c r="H557" s="45" t="inlineStr">
        <is>
          <t>23.11.2023; 26.10.2024; 23.05.2026</t>
        </is>
      </c>
      <c r="I557" s="170" t="inlineStr">
        <is>
          <t>23.11.2023</t>
        </is>
      </c>
    </row>
    <row r="558" ht="32" customHeight="1">
      <c r="A558" s="45" t="inlineStr">
        <is>
          <t>работник 421</t>
        </is>
      </c>
      <c r="B558" s="45" t="inlineStr">
        <is>
          <t>Горнорабочий на маркшейдерских работах / Помощник машиниста самоходной буровой установки (с исполнением обязанностей пробоотборщика) (Очистное)</t>
        </is>
      </c>
      <c r="C558" s="45" t="inlineStr">
        <is>
          <t>46б</t>
        </is>
      </c>
      <c r="D558" s="170" t="inlineStr">
        <is>
          <t>раз в 3 года</t>
        </is>
      </c>
      <c r="E558" s="171" t="n">
        <v>1</v>
      </c>
      <c r="F558" s="171" t="n">
        <v>2</v>
      </c>
      <c r="G558" s="171" t="n">
        <v>1</v>
      </c>
      <c r="H558" s="45" t="inlineStr">
        <is>
          <t>14.10.2024; 11.06.2025</t>
        </is>
      </c>
      <c r="I558" s="170" t="inlineStr">
        <is>
          <t>14.10.2024</t>
        </is>
      </c>
    </row>
    <row r="559" ht="20" customHeight="1">
      <c r="A559" s="45" t="inlineStr">
        <is>
          <t>работник 620</t>
        </is>
      </c>
      <c r="B559" s="45" t="inlineStr">
        <is>
          <t>Машинист двигателей внутреннего сгорания</t>
        </is>
      </c>
      <c r="C559" s="45" t="inlineStr">
        <is>
          <t>46б</t>
        </is>
      </c>
      <c r="D559" s="170" t="inlineStr">
        <is>
          <t>раз в 3 года</t>
        </is>
      </c>
      <c r="E559" s="171" t="n">
        <v>1</v>
      </c>
      <c r="F559" s="171" t="n">
        <v>2</v>
      </c>
      <c r="G559" s="171" t="n">
        <v>1</v>
      </c>
      <c r="H559" s="45" t="inlineStr">
        <is>
          <t>25.12.2025; 26.08.2026</t>
        </is>
      </c>
      <c r="I559" s="170" t="inlineStr">
        <is>
          <t>25.12.2025</t>
        </is>
      </c>
    </row>
    <row r="560" ht="20" customHeight="1">
      <c r="A560" s="45" t="inlineStr">
        <is>
          <t>работник 227</t>
        </is>
      </c>
      <c r="B560" s="45" t="inlineStr">
        <is>
          <t>Кладовщик</t>
        </is>
      </c>
      <c r="C560" s="45" t="inlineStr">
        <is>
          <t>46б</t>
        </is>
      </c>
      <c r="D560" s="170" t="inlineStr">
        <is>
          <t>раз в 3 года</t>
        </is>
      </c>
      <c r="E560" s="171" t="n">
        <v>1</v>
      </c>
      <c r="F560" s="171" t="n">
        <v>2</v>
      </c>
      <c r="G560" s="171" t="n">
        <v>1</v>
      </c>
      <c r="H560" s="45" t="inlineStr">
        <is>
          <t>23.02.2024; 26.08.2026</t>
        </is>
      </c>
      <c r="I560" s="170" t="inlineStr">
        <is>
          <t>23.02.2024</t>
        </is>
      </c>
    </row>
    <row r="561" ht="32" customHeight="1">
      <c r="A561" s="45" t="inlineStr">
        <is>
          <t>работник 165</t>
        </is>
      </c>
      <c r="B561" s="45" t="inlineStr">
        <is>
          <t>Крепильщик / Крепильщик (пылевентиляционная служба)</t>
        </is>
      </c>
      <c r="C561" s="45" t="inlineStr">
        <is>
          <t>46б</t>
        </is>
      </c>
      <c r="D561" s="170" t="inlineStr">
        <is>
          <t>раз в 3 года</t>
        </is>
      </c>
      <c r="E561" s="171" t="n">
        <v>1</v>
      </c>
      <c r="F561" s="171" t="n">
        <v>2</v>
      </c>
      <c r="G561" s="171" t="n">
        <v>1</v>
      </c>
      <c r="H561" s="45" t="inlineStr">
        <is>
          <t>19.01.2024; 12.11.2024</t>
        </is>
      </c>
      <c r="I561" s="170" t="inlineStr">
        <is>
          <t>19.01.2024</t>
        </is>
      </c>
    </row>
    <row r="562" ht="32" customHeight="1">
      <c r="A562" s="45" t="inlineStr">
        <is>
          <t>работник 600</t>
        </is>
      </c>
      <c r="B562" s="45" t="inlineStr">
        <is>
          <t>Слесарь-ремонтник (по ремонту самоходной техники)</t>
        </is>
      </c>
      <c r="C562" s="45" t="inlineStr">
        <is>
          <t>46б</t>
        </is>
      </c>
      <c r="D562" s="170" t="inlineStr">
        <is>
          <t>раз в 3 года</t>
        </is>
      </c>
      <c r="E562" s="171" t="n">
        <v>1</v>
      </c>
      <c r="F562" s="171" t="n">
        <v>2</v>
      </c>
      <c r="G562" s="171" t="n">
        <v>1</v>
      </c>
      <c r="H562" s="45" t="inlineStr">
        <is>
          <t>19.09.2025; 25.07.2026</t>
        </is>
      </c>
      <c r="I562" s="170" t="inlineStr">
        <is>
          <t>19.09.2025</t>
        </is>
      </c>
    </row>
    <row r="563" ht="20" customHeight="1">
      <c r="A563" s="45" t="inlineStr">
        <is>
          <t>работник 641</t>
        </is>
      </c>
      <c r="B563" s="45" t="inlineStr">
        <is>
          <t>Аппаратчик-гидрометаллург</t>
        </is>
      </c>
      <c r="C563" s="45" t="inlineStr">
        <is>
          <t>46б</t>
        </is>
      </c>
      <c r="D563" s="170" t="inlineStr">
        <is>
          <t>раз в 3 года</t>
        </is>
      </c>
      <c r="E563" s="171" t="n">
        <v>1</v>
      </c>
      <c r="F563" s="171" t="n">
        <v>2</v>
      </c>
      <c r="G563" s="171" t="n">
        <v>1</v>
      </c>
      <c r="H563" s="45" t="inlineStr">
        <is>
          <t>19.02.2026; 29.07.2026</t>
        </is>
      </c>
      <c r="I563" s="170" t="inlineStr">
        <is>
          <t>19.02.2026</t>
        </is>
      </c>
    </row>
    <row r="564" ht="32" customHeight="1">
      <c r="A564" s="45" t="inlineStr">
        <is>
          <t>работник 319</t>
        </is>
      </c>
      <c r="B564" s="45" t="inlineStr">
        <is>
          <t>Машинист погрузочно-доставочной машины (занятый на транспортировании горной массы в технологическом процессе)</t>
        </is>
      </c>
      <c r="C564" s="45" t="inlineStr">
        <is>
          <t>46б</t>
        </is>
      </c>
      <c r="D564" s="170" t="inlineStr">
        <is>
          <t>раз в 3 года</t>
        </is>
      </c>
      <c r="E564" s="171" t="n">
        <v>1</v>
      </c>
      <c r="F564" s="171" t="n">
        <v>2</v>
      </c>
      <c r="G564" s="171" t="n">
        <v>1</v>
      </c>
      <c r="H564" s="45" t="inlineStr">
        <is>
          <t>05.03.2024; 16.08.2026</t>
        </is>
      </c>
      <c r="I564" s="170" t="inlineStr">
        <is>
          <t>05.03.2024</t>
        </is>
      </c>
    </row>
    <row r="565" ht="20" customHeight="1">
      <c r="A565" s="45" t="inlineStr">
        <is>
          <t>работник 637</t>
        </is>
      </c>
      <c r="B565" s="45" t="inlineStr">
        <is>
          <t>Дробильщик</t>
        </is>
      </c>
      <c r="C565" s="45" t="inlineStr">
        <is>
          <t>46б</t>
        </is>
      </c>
      <c r="D565" s="170" t="inlineStr">
        <is>
          <t>раз в 3 года</t>
        </is>
      </c>
      <c r="E565" s="171" t="n">
        <v>1</v>
      </c>
      <c r="F565" s="171" t="n">
        <v>2</v>
      </c>
      <c r="G565" s="171" t="n">
        <v>1</v>
      </c>
      <c r="H565" s="45" t="inlineStr">
        <is>
          <t>19.02.2026; 29.07.2026</t>
        </is>
      </c>
      <c r="I565" s="170" t="inlineStr">
        <is>
          <t>19.02.2026</t>
        </is>
      </c>
    </row>
    <row r="566" ht="20" customHeight="1">
      <c r="A566" s="45" t="inlineStr">
        <is>
          <t>работник 487</t>
        </is>
      </c>
      <c r="B566" s="45" t="inlineStr">
        <is>
          <t>Машинист самоходной буровой установки (Проходка)</t>
        </is>
      </c>
      <c r="C566" s="45" t="inlineStr">
        <is>
          <t>46б</t>
        </is>
      </c>
      <c r="D566" s="170" t="inlineStr">
        <is>
          <t>раз в 3 года</t>
        </is>
      </c>
      <c r="E566" s="171" t="n">
        <v>1</v>
      </c>
      <c r="F566" s="171" t="n">
        <v>2</v>
      </c>
      <c r="G566" s="171" t="n">
        <v>1</v>
      </c>
      <c r="H566" s="45" t="inlineStr">
        <is>
          <t>12.11.2024; 16.08.2026</t>
        </is>
      </c>
      <c r="I566" s="170" t="inlineStr">
        <is>
          <t>12.11.2024</t>
        </is>
      </c>
    </row>
    <row r="567" ht="32" customHeight="1">
      <c r="A567" s="45" t="inlineStr">
        <is>
          <t>работник 46</t>
        </is>
      </c>
      <c r="B567" s="45" t="inlineStr">
        <is>
          <t>Машинист двигателей внутреннего сгорания / Механик холодильных установок</t>
        </is>
      </c>
      <c r="C567" s="45" t="inlineStr">
        <is>
          <t>46б</t>
        </is>
      </c>
      <c r="D567" s="170" t="inlineStr">
        <is>
          <t>раз в 3 года</t>
        </is>
      </c>
      <c r="E567" s="171" t="n">
        <v>2</v>
      </c>
      <c r="F567" s="171" t="n">
        <v>3</v>
      </c>
      <c r="G567" s="171" t="n">
        <v>1</v>
      </c>
      <c r="H567" s="45" t="inlineStr">
        <is>
          <t>23.11.2023; 18.05.2024; 30.05.2025</t>
        </is>
      </c>
      <c r="I567" s="170" t="inlineStr">
        <is>
          <t>23.11.2023</t>
        </is>
      </c>
    </row>
    <row r="568" ht="20" customHeight="1">
      <c r="A568" s="45" t="inlineStr">
        <is>
          <t>работник 752</t>
        </is>
      </c>
      <c r="B568" s="45" t="inlineStr">
        <is>
          <t>Фильтровальщик</t>
        </is>
      </c>
      <c r="C568" s="45" t="inlineStr">
        <is>
          <t>46б</t>
        </is>
      </c>
      <c r="D568" s="170" t="inlineStr">
        <is>
          <t>раз в 3 года</t>
        </is>
      </c>
      <c r="E568" s="171" t="n">
        <v>1</v>
      </c>
      <c r="F568" s="171" t="n">
        <v>2</v>
      </c>
      <c r="G568" s="171" t="n">
        <v>1</v>
      </c>
      <c r="H568" s="45" t="inlineStr">
        <is>
          <t>05.06.2026; 29.07.2026</t>
        </is>
      </c>
      <c r="I568" s="170" t="inlineStr">
        <is>
          <t>05.06.2026</t>
        </is>
      </c>
    </row>
    <row r="569" ht="20" customHeight="1">
      <c r="A569" s="45" t="inlineStr">
        <is>
          <t>работник 652</t>
        </is>
      </c>
      <c r="B569" s="45" t="inlineStr">
        <is>
          <t>Электрогазосварщик</t>
        </is>
      </c>
      <c r="C569" s="45" t="inlineStr">
        <is>
          <t>46б</t>
        </is>
      </c>
      <c r="D569" s="170" t="inlineStr">
        <is>
          <t>раз в 3 года</t>
        </is>
      </c>
      <c r="E569" s="171" t="n">
        <v>1</v>
      </c>
      <c r="F569" s="171" t="n">
        <v>2</v>
      </c>
      <c r="G569" s="171" t="n">
        <v>1</v>
      </c>
      <c r="H569" s="45" t="inlineStr">
        <is>
          <t>19.02.2026; 04.06.2026</t>
        </is>
      </c>
      <c r="I569" s="170" t="inlineStr">
        <is>
          <t>19.02.2026</t>
        </is>
      </c>
    </row>
    <row r="570" ht="20" customHeight="1">
      <c r="A570" s="45" t="inlineStr">
        <is>
          <t>работник 353</t>
        </is>
      </c>
      <c r="B570" s="45" t="inlineStr">
        <is>
          <t>Машинист двигателей внутреннего сгорания</t>
        </is>
      </c>
      <c r="C570" s="45" t="inlineStr">
        <is>
          <t>46б</t>
        </is>
      </c>
      <c r="D570" s="170" t="inlineStr">
        <is>
          <t>раз в 3 года</t>
        </is>
      </c>
      <c r="E570" s="171" t="n">
        <v>1</v>
      </c>
      <c r="F570" s="171" t="n">
        <v>2</v>
      </c>
      <c r="G570" s="171" t="n">
        <v>1</v>
      </c>
      <c r="H570" s="45" t="inlineStr">
        <is>
          <t>12.04.2024; 23.08.2026</t>
        </is>
      </c>
      <c r="I570" s="170" t="inlineStr">
        <is>
          <t>12.04.2024</t>
        </is>
      </c>
    </row>
    <row r="571" ht="20" customHeight="1">
      <c r="A571" s="45" t="inlineStr">
        <is>
          <t>работник 770</t>
        </is>
      </c>
      <c r="B571" s="45" t="inlineStr">
        <is>
          <t>Машинист погрузочно-доставочной машины</t>
        </is>
      </c>
      <c r="C571" s="45" t="inlineStr">
        <is>
          <t>46б</t>
        </is>
      </c>
      <c r="D571" s="170" t="inlineStr">
        <is>
          <t>раз в 3 года</t>
        </is>
      </c>
      <c r="E571" s="171" t="n">
        <v>1</v>
      </c>
      <c r="F571" s="171" t="n">
        <v>2</v>
      </c>
      <c r="G571" s="171" t="n">
        <v>1</v>
      </c>
      <c r="H571" s="45" t="inlineStr">
        <is>
          <t>04.06.2026; 23.07.2026</t>
        </is>
      </c>
      <c r="I571" s="170" t="inlineStr">
        <is>
          <t>04.06.2026</t>
        </is>
      </c>
    </row>
    <row r="572" ht="20" customHeight="1">
      <c r="A572" s="45" t="inlineStr">
        <is>
          <t>работник 517</t>
        </is>
      </c>
      <c r="B572" s="45" t="inlineStr">
        <is>
          <t>Водитель автомобиля (категория Д)</t>
        </is>
      </c>
      <c r="C572" s="45" t="inlineStr">
        <is>
          <t>46б</t>
        </is>
      </c>
      <c r="D572" s="170" t="inlineStr">
        <is>
          <t>раз в 3 года</t>
        </is>
      </c>
      <c r="E572" s="171" t="n">
        <v>1</v>
      </c>
      <c r="F572" s="171" t="n">
        <v>2</v>
      </c>
      <c r="G572" s="171" t="n">
        <v>1</v>
      </c>
      <c r="H572" s="45" t="inlineStr">
        <is>
          <t>23.02.2025; 17.08.2026</t>
        </is>
      </c>
      <c r="I572" s="170" t="inlineStr">
        <is>
          <t>23.02.2025</t>
        </is>
      </c>
    </row>
    <row r="573" ht="32" customHeight="1">
      <c r="A573" s="45" t="inlineStr">
        <is>
          <t>работник 167</t>
        </is>
      </c>
      <c r="B573" s="45" t="inlineStr">
        <is>
          <t>Машинист погрузочно-доставочной машины (занятый на транспортировании горной массы в технологическом процессе) / Машинист подземно-доставочной машины</t>
        </is>
      </c>
      <c r="C573" s="45" t="inlineStr">
        <is>
          <t>46б</t>
        </is>
      </c>
      <c r="D573" s="170" t="inlineStr">
        <is>
          <t>раз в 3 года</t>
        </is>
      </c>
      <c r="E573" s="171" t="n">
        <v>1</v>
      </c>
      <c r="F573" s="171" t="n">
        <v>2</v>
      </c>
      <c r="G573" s="171" t="n">
        <v>1</v>
      </c>
      <c r="H573" s="45" t="inlineStr">
        <is>
          <t>19.01.2024; 12.11.2024</t>
        </is>
      </c>
      <c r="I573" s="170" t="inlineStr">
        <is>
          <t>19.01.2024</t>
        </is>
      </c>
    </row>
    <row r="574" ht="20" customHeight="1">
      <c r="A574" s="45" t="inlineStr">
        <is>
          <t>работник 70</t>
        </is>
      </c>
      <c r="B574" s="45" t="inlineStr">
        <is>
          <t>Оператор дизельных котлов / Подсобный рабочий</t>
        </is>
      </c>
      <c r="C574" s="45" t="inlineStr">
        <is>
          <t>46б</t>
        </is>
      </c>
      <c r="D574" s="170" t="inlineStr">
        <is>
          <t>раз в 3 года</t>
        </is>
      </c>
      <c r="E574" s="171" t="n">
        <v>2</v>
      </c>
      <c r="F574" s="171" t="n">
        <v>3</v>
      </c>
      <c r="G574" s="171" t="n">
        <v>1</v>
      </c>
      <c r="H574" s="45" t="inlineStr">
        <is>
          <t>30.11.2023; 20.10.2024; 23.08.2026</t>
        </is>
      </c>
      <c r="I574" s="170" t="inlineStr">
        <is>
          <t>30.11.2023</t>
        </is>
      </c>
    </row>
    <row r="575" ht="32" customHeight="1">
      <c r="A575" s="45" t="inlineStr">
        <is>
          <t>работник 31</t>
        </is>
      </c>
      <c r="B575" s="45" t="inlineStr">
        <is>
          <t>Электромонтер по ремонту и обслуживанию электрооборудования</t>
        </is>
      </c>
      <c r="C575" s="45" t="inlineStr">
        <is>
          <t>46б</t>
        </is>
      </c>
      <c r="D575" s="170" t="inlineStr">
        <is>
          <t>раз в 3 года</t>
        </is>
      </c>
      <c r="E575" s="171" t="n">
        <v>2</v>
      </c>
      <c r="F575" s="171" t="n">
        <v>3</v>
      </c>
      <c r="G575" s="171" t="n">
        <v>1</v>
      </c>
      <c r="H575" s="45" t="inlineStr">
        <is>
          <t>25.10.2024; 25.11.2024; 29.07.2026</t>
        </is>
      </c>
      <c r="I575" s="170" t="inlineStr">
        <is>
          <t>24.11.2023</t>
        </is>
      </c>
    </row>
    <row r="576" ht="32" customHeight="1">
      <c r="A576" s="45" t="inlineStr">
        <is>
          <t>работник 45</t>
        </is>
      </c>
      <c r="B576" s="45" t="inlineStr">
        <is>
          <t>Электрогазосварщик / Электромонтер по ремонту и обслуживанию электрооборудования</t>
        </is>
      </c>
      <c r="C576" s="45" t="inlineStr">
        <is>
          <t>46б</t>
        </is>
      </c>
      <c r="D576" s="170" t="inlineStr">
        <is>
          <t>раз в 3 года</t>
        </is>
      </c>
      <c r="E576" s="171" t="n">
        <v>2</v>
      </c>
      <c r="F576" s="171" t="n">
        <v>3</v>
      </c>
      <c r="G576" s="171" t="n">
        <v>1</v>
      </c>
      <c r="H576" s="45" t="inlineStr">
        <is>
          <t>23.11.2023; 22.09.2024; 22.08.2026</t>
        </is>
      </c>
      <c r="I576" s="170" t="inlineStr">
        <is>
          <t>23.11.2023</t>
        </is>
      </c>
    </row>
    <row r="577" ht="20" customHeight="1">
      <c r="A577" s="45" t="inlineStr">
        <is>
          <t>работник 387</t>
        </is>
      </c>
      <c r="B577" s="45" t="inlineStr">
        <is>
          <t>Дробильщик</t>
        </is>
      </c>
      <c r="C577" s="45" t="inlineStr">
        <is>
          <t>46б</t>
        </is>
      </c>
      <c r="D577" s="170" t="inlineStr">
        <is>
          <t>раз в 3 года</t>
        </is>
      </c>
      <c r="E577" s="171" t="n">
        <v>1</v>
      </c>
      <c r="F577" s="171" t="n">
        <v>2</v>
      </c>
      <c r="G577" s="171" t="n">
        <v>1</v>
      </c>
      <c r="H577" s="45" t="inlineStr">
        <is>
          <t>05.08.2024; 29.07.2026</t>
        </is>
      </c>
      <c r="I577" s="170" t="inlineStr">
        <is>
          <t>05.08.2024</t>
        </is>
      </c>
    </row>
    <row r="578" ht="32" customHeight="1">
      <c r="A578" s="45" t="inlineStr">
        <is>
          <t>работник 503</t>
        </is>
      </c>
      <c r="B578" s="45" t="inlineStr">
        <is>
          <t>Аппаратчик-гидрометаллург / Слесарь-ремонтник (по ремонту обогатительного оборудования)</t>
        </is>
      </c>
      <c r="C578" s="45" t="inlineStr">
        <is>
          <t>46б</t>
        </is>
      </c>
      <c r="D578" s="170" t="inlineStr">
        <is>
          <t>раз в 3 года</t>
        </is>
      </c>
      <c r="E578" s="171" t="n">
        <v>1</v>
      </c>
      <c r="F578" s="171" t="n">
        <v>2</v>
      </c>
      <c r="G578" s="171" t="n">
        <v>1</v>
      </c>
      <c r="H578" s="45" t="inlineStr">
        <is>
          <t>25.11.2024; 26.08.2026</t>
        </is>
      </c>
      <c r="I578" s="170" t="inlineStr">
        <is>
          <t>25.11.2024</t>
        </is>
      </c>
    </row>
    <row r="579" ht="32" customHeight="1">
      <c r="A579" s="45" t="inlineStr">
        <is>
          <t>работник 763</t>
        </is>
      </c>
      <c r="B579" s="45" t="inlineStr">
        <is>
          <t>Машинист погрузочно-доставочной машины (занятый на транспортировании горной массы в технологическом процессе)</t>
        </is>
      </c>
      <c r="C579" s="45" t="inlineStr">
        <is>
          <t>46б</t>
        </is>
      </c>
      <c r="D579" s="170" t="inlineStr">
        <is>
          <t>раз в 3 года</t>
        </is>
      </c>
      <c r="E579" s="171" t="n">
        <v>1</v>
      </c>
      <c r="F579" s="171" t="n">
        <v>2</v>
      </c>
      <c r="G579" s="171" t="n">
        <v>1</v>
      </c>
      <c r="H579" s="45" t="inlineStr">
        <is>
          <t>04.06.2026; 23.07.2026</t>
        </is>
      </c>
      <c r="I579" s="170" t="inlineStr">
        <is>
          <t>04.06.2026</t>
        </is>
      </c>
    </row>
    <row r="580" ht="32" customHeight="1">
      <c r="A580" s="45" t="inlineStr">
        <is>
          <t>работник 608</t>
        </is>
      </c>
      <c r="B580" s="45" t="inlineStr">
        <is>
          <t>Стропальщик / Стропальщик (с исполнением обязанностей грузчика)</t>
        </is>
      </c>
      <c r="C580" s="45" t="inlineStr">
        <is>
          <t>46б</t>
        </is>
      </c>
      <c r="D580" s="170" t="inlineStr">
        <is>
          <t>раз в 3 года</t>
        </is>
      </c>
      <c r="E580" s="171" t="n">
        <v>1</v>
      </c>
      <c r="F580" s="171" t="n">
        <v>2</v>
      </c>
      <c r="G580" s="171" t="n">
        <v>1</v>
      </c>
      <c r="H580" s="45" t="inlineStr">
        <is>
          <t>13.12.2025; 25.08.2026</t>
        </is>
      </c>
      <c r="I580" s="170" t="inlineStr">
        <is>
          <t>13.12.2025</t>
        </is>
      </c>
    </row>
    <row r="581" ht="32" customHeight="1">
      <c r="A581" s="45" t="inlineStr">
        <is>
          <t>работник 432</t>
        </is>
      </c>
      <c r="B581" s="45" t="inlineStr">
        <is>
          <t>Слесарь-ремонтник (по ремонту обогатительного оборудования)</t>
        </is>
      </c>
      <c r="C581" s="45" t="inlineStr">
        <is>
          <t>46б</t>
        </is>
      </c>
      <c r="D581" s="170" t="inlineStr">
        <is>
          <t>раз в 3 года</t>
        </is>
      </c>
      <c r="E581" s="171" t="n">
        <v>1</v>
      </c>
      <c r="F581" s="171" t="n">
        <v>2</v>
      </c>
      <c r="G581" s="171" t="n">
        <v>1</v>
      </c>
      <c r="H581" s="45" t="inlineStr">
        <is>
          <t>25.10.2024; 26.08.2026</t>
        </is>
      </c>
      <c r="I581" s="170" t="inlineStr">
        <is>
          <t>25.10.2024</t>
        </is>
      </c>
    </row>
    <row r="582" ht="20" customHeight="1">
      <c r="A582" s="45" t="inlineStr">
        <is>
          <t>работник 430</t>
        </is>
      </c>
      <c r="B582" s="45" t="inlineStr">
        <is>
          <t>Машинист мельниц</t>
        </is>
      </c>
      <c r="C582" s="45" t="inlineStr">
        <is>
          <t>46б</t>
        </is>
      </c>
      <c r="D582" s="170" t="inlineStr">
        <is>
          <t>раз в 3 года</t>
        </is>
      </c>
      <c r="E582" s="171" t="n">
        <v>1</v>
      </c>
      <c r="F582" s="171" t="n">
        <v>2</v>
      </c>
      <c r="G582" s="171" t="n">
        <v>1</v>
      </c>
      <c r="H582" s="45" t="inlineStr">
        <is>
          <t>25.10.2024; 25.11.2024</t>
        </is>
      </c>
      <c r="I582" s="170" t="inlineStr">
        <is>
          <t>25.10.2024</t>
        </is>
      </c>
    </row>
    <row r="583" ht="20" customHeight="1">
      <c r="A583" s="45" t="inlineStr">
        <is>
          <t>работник 771</t>
        </is>
      </c>
      <c r="B583" s="45" t="inlineStr">
        <is>
          <t>Машинист погрузочно-доставочной машины</t>
        </is>
      </c>
      <c r="C583" s="45" t="inlineStr">
        <is>
          <t>46б</t>
        </is>
      </c>
      <c r="D583" s="170" t="inlineStr">
        <is>
          <t>раз в 3 года</t>
        </is>
      </c>
      <c r="E583" s="171" t="n">
        <v>1</v>
      </c>
      <c r="F583" s="171" t="n">
        <v>2</v>
      </c>
      <c r="G583" s="171" t="n">
        <v>1</v>
      </c>
      <c r="H583" s="45" t="inlineStr">
        <is>
          <t>04.06.2026; 23.07.2026</t>
        </is>
      </c>
      <c r="I583" s="170" t="inlineStr">
        <is>
          <t>04.06.2026</t>
        </is>
      </c>
    </row>
    <row r="584" ht="20" customHeight="1">
      <c r="A584" s="45" t="inlineStr">
        <is>
          <t>работник 435</t>
        </is>
      </c>
      <c r="B584" s="45" t="inlineStr">
        <is>
          <t>Дробильщик</t>
        </is>
      </c>
      <c r="C584" s="45" t="inlineStr">
        <is>
          <t>46б</t>
        </is>
      </c>
      <c r="D584" s="170" t="inlineStr">
        <is>
          <t>раз в 3 года</t>
        </is>
      </c>
      <c r="E584" s="171" t="n">
        <v>1</v>
      </c>
      <c r="F584" s="171" t="n">
        <v>2</v>
      </c>
      <c r="G584" s="171" t="n">
        <v>1</v>
      </c>
      <c r="H584" s="45" t="inlineStr">
        <is>
          <t>25.10.2024; 25.11.2024</t>
        </is>
      </c>
      <c r="I584" s="170" t="inlineStr">
        <is>
          <t>25.10.2024</t>
        </is>
      </c>
    </row>
    <row r="585" ht="20" customHeight="1">
      <c r="A585" s="45" t="inlineStr">
        <is>
          <t>работник 522</t>
        </is>
      </c>
      <c r="B585" s="45" t="inlineStr">
        <is>
          <t>Аппаратчик сгустителей / Фильтровальщик</t>
        </is>
      </c>
      <c r="C585" s="45" t="inlineStr">
        <is>
          <t>46б</t>
        </is>
      </c>
      <c r="D585" s="170" t="inlineStr">
        <is>
          <t>раз в 3 года</t>
        </is>
      </c>
      <c r="E585" s="171" t="n">
        <v>1</v>
      </c>
      <c r="F585" s="171" t="n">
        <v>2</v>
      </c>
      <c r="G585" s="171" t="n">
        <v>1</v>
      </c>
      <c r="H585" s="45" t="inlineStr">
        <is>
          <t>16.01.2025; 29.07.2026</t>
        </is>
      </c>
      <c r="I585" s="170" t="inlineStr">
        <is>
          <t>16.01.2025</t>
        </is>
      </c>
    </row>
    <row r="586" ht="20" customHeight="1">
      <c r="A586" s="45" t="inlineStr">
        <is>
          <t>работник 445</t>
        </is>
      </c>
      <c r="B586" s="45" t="inlineStr">
        <is>
          <t>Дробильщик</t>
        </is>
      </c>
      <c r="C586" s="45" t="inlineStr">
        <is>
          <t>46б</t>
        </is>
      </c>
      <c r="D586" s="170" t="inlineStr">
        <is>
          <t>раз в 3 года</t>
        </is>
      </c>
      <c r="E586" s="171" t="n">
        <v>1</v>
      </c>
      <c r="F586" s="171" t="n">
        <v>2</v>
      </c>
      <c r="G586" s="171" t="n">
        <v>1</v>
      </c>
      <c r="H586" s="45" t="inlineStr">
        <is>
          <t>25.10.2024; 26.08.2026</t>
        </is>
      </c>
      <c r="I586" s="170" t="inlineStr">
        <is>
          <t>25.10.2024</t>
        </is>
      </c>
    </row>
    <row r="587" ht="20" customHeight="1">
      <c r="A587" s="45" t="inlineStr">
        <is>
          <t>работник 326</t>
        </is>
      </c>
      <c r="B587" s="45" t="inlineStr">
        <is>
          <t>Машинист погрузочно-доставочной машины</t>
        </is>
      </c>
      <c r="C587" s="45" t="inlineStr">
        <is>
          <t>46б</t>
        </is>
      </c>
      <c r="D587" s="170" t="inlineStr">
        <is>
          <t>раз в 3 года</t>
        </is>
      </c>
      <c r="E587" s="171" t="n">
        <v>1</v>
      </c>
      <c r="F587" s="171" t="n">
        <v>2</v>
      </c>
      <c r="G587" s="171" t="n">
        <v>1</v>
      </c>
      <c r="H587" s="45" t="inlineStr">
        <is>
          <t>05.03.2024; 23.07.2026</t>
        </is>
      </c>
      <c r="I587" s="170" t="inlineStr">
        <is>
          <t>05.03.2024</t>
        </is>
      </c>
    </row>
    <row r="588" ht="20" customHeight="1">
      <c r="A588" s="45" t="inlineStr">
        <is>
          <t>работник 168</t>
        </is>
      </c>
      <c r="B588" s="45" t="inlineStr">
        <is>
          <t>Проходчик (с исполнением обязанностей взрывника)</t>
        </is>
      </c>
      <c r="C588" s="45" t="inlineStr">
        <is>
          <t>46б</t>
        </is>
      </c>
      <c r="D588" s="170" t="inlineStr">
        <is>
          <t>раз в 3 года</t>
        </is>
      </c>
      <c r="E588" s="171" t="n">
        <v>1</v>
      </c>
      <c r="F588" s="171" t="n">
        <v>2</v>
      </c>
      <c r="G588" s="171" t="n">
        <v>1</v>
      </c>
      <c r="H588" s="45" t="inlineStr">
        <is>
          <t>19.01.2024; 12.11.2024</t>
        </is>
      </c>
      <c r="I588" s="170" t="inlineStr">
        <is>
          <t>19.01.2024</t>
        </is>
      </c>
    </row>
    <row r="589" ht="20" customHeight="1">
      <c r="A589" s="45" t="inlineStr">
        <is>
          <t>работник 332</t>
        </is>
      </c>
      <c r="B589" s="45" t="inlineStr">
        <is>
          <t>Дробильщик</t>
        </is>
      </c>
      <c r="C589" s="45" t="inlineStr">
        <is>
          <t>46б</t>
        </is>
      </c>
      <c r="D589" s="170" t="inlineStr">
        <is>
          <t>раз в 3 года</t>
        </is>
      </c>
      <c r="E589" s="171" t="n">
        <v>1</v>
      </c>
      <c r="F589" s="171" t="n">
        <v>2</v>
      </c>
      <c r="G589" s="171" t="n">
        <v>1</v>
      </c>
      <c r="H589" s="45" t="inlineStr">
        <is>
          <t>21.03.2024; 29.07.2026</t>
        </is>
      </c>
      <c r="I589" s="170" t="inlineStr">
        <is>
          <t>21.03.2024</t>
        </is>
      </c>
    </row>
    <row r="590" ht="20" customHeight="1">
      <c r="A590" s="45" t="inlineStr">
        <is>
          <t>работник 343</t>
        </is>
      </c>
      <c r="B590" s="45" t="inlineStr">
        <is>
          <t>Дробильщик</t>
        </is>
      </c>
      <c r="C590" s="45" t="inlineStr">
        <is>
          <t>46б</t>
        </is>
      </c>
      <c r="D590" s="170" t="inlineStr">
        <is>
          <t>раз в 3 года</t>
        </is>
      </c>
      <c r="E590" s="171" t="n">
        <v>1</v>
      </c>
      <c r="F590" s="171" t="n">
        <v>2</v>
      </c>
      <c r="G590" s="171" t="n">
        <v>1</v>
      </c>
      <c r="H590" s="45" t="inlineStr">
        <is>
          <t>28.04.2024; 26.08.2026</t>
        </is>
      </c>
      <c r="I590" s="170" t="inlineStr">
        <is>
          <t>28.04.2024</t>
        </is>
      </c>
    </row>
    <row r="591" ht="32" customHeight="1">
      <c r="A591" s="45" t="inlineStr">
        <is>
          <t>работник 85</t>
        </is>
      </c>
      <c r="B591" s="45" t="inlineStr">
        <is>
          <t>Водитель автомобиля (занятый на транспортировании горной массы в технологическом процессе) / Водитель автомобиля (категория С) / Горнорабочий</t>
        </is>
      </c>
      <c r="C591" s="45" t="inlineStr">
        <is>
          <t>46б</t>
        </is>
      </c>
      <c r="D591" s="170" t="inlineStr">
        <is>
          <t>раз в 3 года</t>
        </is>
      </c>
      <c r="E591" s="171" t="n">
        <v>2</v>
      </c>
      <c r="F591" s="171" t="n">
        <v>3</v>
      </c>
      <c r="G591" s="171" t="n">
        <v>1</v>
      </c>
      <c r="H591" s="45" t="inlineStr">
        <is>
          <t>03.12.2023; 23.02.2024; 17.08.2026</t>
        </is>
      </c>
      <c r="I591" s="170" t="inlineStr">
        <is>
          <t>03.12.2023</t>
        </is>
      </c>
    </row>
    <row r="592" ht="20" customHeight="1">
      <c r="A592" s="45" t="inlineStr">
        <is>
          <t>работник 544</t>
        </is>
      </c>
      <c r="B592" s="45" t="inlineStr">
        <is>
          <t>Дробильщик</t>
        </is>
      </c>
      <c r="C592" s="45" t="inlineStr">
        <is>
          <t>46б</t>
        </is>
      </c>
      <c r="D592" s="170" t="inlineStr">
        <is>
          <t>раз в 3 года</t>
        </is>
      </c>
      <c r="E592" s="171" t="n">
        <v>1</v>
      </c>
      <c r="F592" s="171" t="n">
        <v>2</v>
      </c>
      <c r="G592" s="171" t="n">
        <v>1</v>
      </c>
      <c r="H592" s="45" t="inlineStr">
        <is>
          <t>28.03.2025; 09.09.2026</t>
        </is>
      </c>
      <c r="I592" s="170" t="inlineStr">
        <is>
          <t>28.03.2025</t>
        </is>
      </c>
    </row>
    <row r="593" ht="20" customHeight="1">
      <c r="A593" s="45" t="inlineStr">
        <is>
          <t>работник 780</t>
        </is>
      </c>
      <c r="B593" s="45" t="inlineStr">
        <is>
          <t>Горный диспетчер</t>
        </is>
      </c>
      <c r="C593" s="45" t="inlineStr">
        <is>
          <t>46б</t>
        </is>
      </c>
      <c r="D593" s="170" t="inlineStr">
        <is>
          <t>раз в 3 года</t>
        </is>
      </c>
      <c r="E593" s="171" t="n">
        <v>1</v>
      </c>
      <c r="F593" s="171" t="n">
        <v>2</v>
      </c>
      <c r="G593" s="171" t="n">
        <v>1</v>
      </c>
      <c r="H593" s="45" t="inlineStr">
        <is>
          <t>04.06.2026; 28.07.2026</t>
        </is>
      </c>
      <c r="I593" s="170" t="inlineStr">
        <is>
          <t>04.06.2026</t>
        </is>
      </c>
    </row>
    <row r="594" ht="32" customHeight="1">
      <c r="A594" s="45" t="inlineStr">
        <is>
          <t>работник 594</t>
        </is>
      </c>
      <c r="B594" s="45" t="inlineStr">
        <is>
          <t>Машинист насосных установок / Помощник машиниста самоходной буровой установки (с исполнением обязанностей пробоотборщика)</t>
        </is>
      </c>
      <c r="C594" s="45" t="inlineStr">
        <is>
          <t>46б</t>
        </is>
      </c>
      <c r="D594" s="170" t="inlineStr">
        <is>
          <t>раз в 3 года</t>
        </is>
      </c>
      <c r="E594" s="171" t="n">
        <v>1</v>
      </c>
      <c r="F594" s="171" t="n">
        <v>2</v>
      </c>
      <c r="G594" s="171" t="n">
        <v>1</v>
      </c>
      <c r="H594" s="45" t="inlineStr">
        <is>
          <t>22.07.2025; 26.07.2026</t>
        </is>
      </c>
      <c r="I594" s="170" t="inlineStr">
        <is>
          <t>22.07.2025</t>
        </is>
      </c>
    </row>
    <row r="595" ht="32" customHeight="1">
      <c r="A595" s="45" t="inlineStr">
        <is>
          <t>работник 466</t>
        </is>
      </c>
      <c r="B595" s="45" t="inlineStr">
        <is>
          <t>Водитель автомобиля (занятый на транспортировании горной массы в технологическом процессе)</t>
        </is>
      </c>
      <c r="C595" s="45" t="inlineStr">
        <is>
          <t>46б</t>
        </is>
      </c>
      <c r="D595" s="170" t="inlineStr">
        <is>
          <t>раз в 3 года</t>
        </is>
      </c>
      <c r="E595" s="171" t="n">
        <v>1</v>
      </c>
      <c r="F595" s="171" t="n">
        <v>2</v>
      </c>
      <c r="G595" s="171" t="n">
        <v>1</v>
      </c>
      <c r="H595" s="45" t="inlineStr">
        <is>
          <t>04.11.2024; 17.08.2026</t>
        </is>
      </c>
      <c r="I595" s="170" t="inlineStr">
        <is>
          <t>04.11.2024</t>
        </is>
      </c>
    </row>
    <row r="596" ht="32" customHeight="1">
      <c r="A596" s="45" t="inlineStr">
        <is>
          <t>работник 758</t>
        </is>
      </c>
      <c r="B596" s="45" t="inlineStr">
        <is>
          <t>Слесарь-ремонтник (по ремонту обогатительного оборудования)</t>
        </is>
      </c>
      <c r="C596" s="45" t="inlineStr">
        <is>
          <t>46б</t>
        </is>
      </c>
      <c r="D596" s="170" t="inlineStr">
        <is>
          <t>раз в 3 года</t>
        </is>
      </c>
      <c r="E596" s="171" t="n">
        <v>1</v>
      </c>
      <c r="F596" s="171" t="n">
        <v>2</v>
      </c>
      <c r="G596" s="171" t="n">
        <v>1</v>
      </c>
      <c r="H596" s="45" t="inlineStr">
        <is>
          <t>05.06.2026; 29.07.2026</t>
        </is>
      </c>
      <c r="I596" s="170" t="inlineStr">
        <is>
          <t>05.06.2026</t>
        </is>
      </c>
    </row>
    <row r="597" ht="20" customHeight="1">
      <c r="A597" s="45" t="inlineStr">
        <is>
          <t>работник 755</t>
        </is>
      </c>
      <c r="B597" s="45" t="inlineStr">
        <is>
          <t>Фильтровальщик</t>
        </is>
      </c>
      <c r="C597" s="45" t="inlineStr">
        <is>
          <t>46б</t>
        </is>
      </c>
      <c r="D597" s="170" t="inlineStr">
        <is>
          <t>раз в 3 года</t>
        </is>
      </c>
      <c r="E597" s="171" t="n">
        <v>1</v>
      </c>
      <c r="F597" s="171" t="n">
        <v>2</v>
      </c>
      <c r="G597" s="171" t="n">
        <v>1</v>
      </c>
      <c r="H597" s="45" t="inlineStr">
        <is>
          <t>05.06.2026; 29.07.2026</t>
        </is>
      </c>
      <c r="I597" s="170" t="inlineStr">
        <is>
          <t>05.06.2026</t>
        </is>
      </c>
    </row>
    <row r="598" ht="20" customHeight="1">
      <c r="A598" s="45" t="inlineStr">
        <is>
          <t>работник 71</t>
        </is>
      </c>
      <c r="B598" s="45" t="inlineStr">
        <is>
          <t>Оператор дизельных котлов / Подсобный рабочий</t>
        </is>
      </c>
      <c r="C598" s="45" t="inlineStr">
        <is>
          <t>46б</t>
        </is>
      </c>
      <c r="D598" s="170" t="inlineStr">
        <is>
          <t>раз в 3 года</t>
        </is>
      </c>
      <c r="E598" s="171" t="n">
        <v>2</v>
      </c>
      <c r="F598" s="171" t="n">
        <v>3</v>
      </c>
      <c r="G598" s="171" t="n">
        <v>1</v>
      </c>
      <c r="H598" s="45" t="inlineStr">
        <is>
          <t>30.11.2023; 22.08.2024; 26.08.2026</t>
        </is>
      </c>
      <c r="I598" s="170" t="inlineStr">
        <is>
          <t>30.11.2023</t>
        </is>
      </c>
    </row>
    <row r="599" ht="32" customHeight="1">
      <c r="A599" s="45" t="inlineStr">
        <is>
          <t>работник 786</t>
        </is>
      </c>
      <c r="B599" s="45" t="inlineStr">
        <is>
          <t>Водитель автомобиля (занятый на транспортировании горной массы в технологическом процессе) / Машинист двигателей внутреннего сгорания (с исполнением обязанностей машиниста компрессорных установок)</t>
        </is>
      </c>
      <c r="C599" s="45" t="inlineStr">
        <is>
          <t>46б</t>
        </is>
      </c>
      <c r="D599" s="170" t="inlineStr">
        <is>
          <t>раз в 3 года</t>
        </is>
      </c>
      <c r="E599" s="171" t="n">
        <v>1</v>
      </c>
      <c r="F599" s="171" t="n">
        <v>2</v>
      </c>
      <c r="G599" s="171" t="n">
        <v>1</v>
      </c>
      <c r="H599" s="45" t="inlineStr">
        <is>
          <t>06.06.2026; 24.08.2026</t>
        </is>
      </c>
      <c r="I599" s="170" t="inlineStr">
        <is>
          <t>06.06.2026</t>
        </is>
      </c>
    </row>
    <row r="600" ht="32" customHeight="1">
      <c r="A600" s="45" t="inlineStr">
        <is>
          <t>работник 567</t>
        </is>
      </c>
      <c r="B600" s="45" t="inlineStr">
        <is>
          <t>Слесарь-ремонтник (по ремонту обогатительного оборудования)</t>
        </is>
      </c>
      <c r="C600" s="45" t="inlineStr">
        <is>
          <t>46б</t>
        </is>
      </c>
      <c r="D600" s="170" t="inlineStr">
        <is>
          <t>раз в 3 года</t>
        </is>
      </c>
      <c r="E600" s="171" t="n">
        <v>1</v>
      </c>
      <c r="F600" s="171" t="n">
        <v>2</v>
      </c>
      <c r="G600" s="171" t="n">
        <v>1</v>
      </c>
      <c r="H600" s="45" t="inlineStr">
        <is>
          <t>04.07.2025; 26.08.2026</t>
        </is>
      </c>
      <c r="I600" s="170" t="inlineStr">
        <is>
          <t>04.07.2025</t>
        </is>
      </c>
    </row>
    <row r="601" ht="32" customHeight="1">
      <c r="A601" s="45" t="inlineStr">
        <is>
          <t>работник 551</t>
        </is>
      </c>
      <c r="B601" s="45" t="inlineStr">
        <is>
          <t>Кладовщик (с исполнением обязанностей ламповщика) / Ламповщик</t>
        </is>
      </c>
      <c r="C601" s="45" t="inlineStr">
        <is>
          <t>46б</t>
        </is>
      </c>
      <c r="D601" s="170" t="inlineStr">
        <is>
          <t>раз в 3 года</t>
        </is>
      </c>
      <c r="E601" s="171" t="n">
        <v>1</v>
      </c>
      <c r="F601" s="171" t="n">
        <v>2</v>
      </c>
      <c r="G601" s="171" t="n">
        <v>1</v>
      </c>
      <c r="H601" s="45" t="inlineStr">
        <is>
          <t>15.04.2025; 14.08.2026</t>
        </is>
      </c>
      <c r="I601" s="170" t="inlineStr">
        <is>
          <t>15.04.2025</t>
        </is>
      </c>
    </row>
    <row r="602" ht="32" customHeight="1">
      <c r="A602" s="45" t="inlineStr">
        <is>
          <t>работник 449</t>
        </is>
      </c>
      <c r="B602" s="45" t="inlineStr">
        <is>
          <t>Аппаратчик-гидрометаллург / Слесарь-ремонтник (по ремонту обогатительного оборудования)</t>
        </is>
      </c>
      <c r="C602" s="45" t="inlineStr">
        <is>
          <t>46б</t>
        </is>
      </c>
      <c r="D602" s="170" t="inlineStr">
        <is>
          <t>раз в 3 года</t>
        </is>
      </c>
      <c r="E602" s="171" t="n">
        <v>1</v>
      </c>
      <c r="F602" s="171" t="n">
        <v>2</v>
      </c>
      <c r="G602" s="171" t="n">
        <v>1</v>
      </c>
      <c r="H602" s="45" t="inlineStr">
        <is>
          <t>25.10.2024; 01.04.2025</t>
        </is>
      </c>
      <c r="I602" s="170" t="inlineStr">
        <is>
          <t>25.10.2024</t>
        </is>
      </c>
    </row>
    <row r="603" ht="32" customHeight="1">
      <c r="A603" s="45" t="inlineStr">
        <is>
          <t>работник 653</t>
        </is>
      </c>
      <c r="B603" s="45" t="inlineStr">
        <is>
          <t>Машинист погрузочно-доставочной машины (занятый на транспортировании горной массы в технологическом процессе) / Машинист подземных самоходных машин</t>
        </is>
      </c>
      <c r="C603" s="45" t="inlineStr">
        <is>
          <t>46б</t>
        </is>
      </c>
      <c r="D603" s="170" t="inlineStr">
        <is>
          <t>раз в 3 года</t>
        </is>
      </c>
      <c r="E603" s="171" t="n">
        <v>1</v>
      </c>
      <c r="F603" s="171" t="n">
        <v>2</v>
      </c>
      <c r="G603" s="171" t="n">
        <v>1</v>
      </c>
      <c r="H603" s="45" t="inlineStr">
        <is>
          <t>19.02.2026; 23.07.2026</t>
        </is>
      </c>
      <c r="I603" s="170" t="inlineStr">
        <is>
          <t>19.02.2026</t>
        </is>
      </c>
    </row>
    <row r="604" ht="20" customHeight="1">
      <c r="A604" s="45" t="inlineStr">
        <is>
          <t>работник 638</t>
        </is>
      </c>
      <c r="B604" s="45" t="inlineStr">
        <is>
          <t>Грузчик</t>
        </is>
      </c>
      <c r="C604" s="45" t="inlineStr">
        <is>
          <t>46б</t>
        </is>
      </c>
      <c r="D604" s="170" t="inlineStr">
        <is>
          <t>раз в 3 года</t>
        </is>
      </c>
      <c r="E604" s="171" t="n">
        <v>1</v>
      </c>
      <c r="F604" s="171" t="n">
        <v>2</v>
      </c>
      <c r="G604" s="171" t="n">
        <v>1</v>
      </c>
      <c r="H604" s="45" t="inlineStr">
        <is>
          <t>19.02.2026; 29.07.2026</t>
        </is>
      </c>
      <c r="I604" s="170" t="inlineStr">
        <is>
          <t>19.02.2026</t>
        </is>
      </c>
    </row>
    <row r="605" ht="20" customHeight="1">
      <c r="A605" s="45" t="inlineStr">
        <is>
          <t>работник 613</t>
        </is>
      </c>
      <c r="B605" s="45" t="inlineStr">
        <is>
          <t>Дробильщик</t>
        </is>
      </c>
      <c r="C605" s="45" t="inlineStr">
        <is>
          <t>46б</t>
        </is>
      </c>
      <c r="D605" s="170" t="inlineStr">
        <is>
          <t>раз в 3 года</t>
        </is>
      </c>
      <c r="E605" s="171" t="n">
        <v>1</v>
      </c>
      <c r="F605" s="171" t="n">
        <v>2</v>
      </c>
      <c r="G605" s="171" t="n">
        <v>1</v>
      </c>
      <c r="H605" s="45" t="inlineStr">
        <is>
          <t>31.10.2025; 05.09.2026</t>
        </is>
      </c>
      <c r="I605" s="170" t="inlineStr">
        <is>
          <t>31.10.2025</t>
        </is>
      </c>
    </row>
    <row r="606" ht="32" customHeight="1">
      <c r="A606" s="45" t="inlineStr">
        <is>
          <t>работник 169</t>
        </is>
      </c>
      <c r="B606" s="45" t="inlineStr">
        <is>
          <t>Машинист погрузочно-доставочной машины (занятый на транспортировании горной массы в технологическом процессе) / Машинист подземно-доставочной машины</t>
        </is>
      </c>
      <c r="C606" s="45" t="inlineStr">
        <is>
          <t>46б</t>
        </is>
      </c>
      <c r="D606" s="170" t="inlineStr">
        <is>
          <t>раз в 3 года</t>
        </is>
      </c>
      <c r="E606" s="171" t="n">
        <v>1</v>
      </c>
      <c r="F606" s="171" t="n">
        <v>2</v>
      </c>
      <c r="G606" s="171" t="n">
        <v>1</v>
      </c>
      <c r="H606" s="45" t="inlineStr">
        <is>
          <t>19.01.2024; 12.11.2024</t>
        </is>
      </c>
      <c r="I606" s="170" t="inlineStr">
        <is>
          <t>19.01.2024</t>
        </is>
      </c>
    </row>
    <row r="607" ht="32" customHeight="1">
      <c r="A607" s="45" t="inlineStr">
        <is>
          <t>работник 603</t>
        </is>
      </c>
      <c r="B607" s="45" t="inlineStr">
        <is>
          <t>Машинист насосных установок / Помощник машиниста самоходной буровой установки (с исполнением обязанностей пробоотборщика)</t>
        </is>
      </c>
      <c r="C607" s="45" t="inlineStr">
        <is>
          <t>46б</t>
        </is>
      </c>
      <c r="D607" s="170" t="inlineStr">
        <is>
          <t>раз в 3 года</t>
        </is>
      </c>
      <c r="E607" s="171" t="n">
        <v>1</v>
      </c>
      <c r="F607" s="171" t="n">
        <v>2</v>
      </c>
      <c r="G607" s="171" t="n">
        <v>1</v>
      </c>
      <c r="H607" s="45" t="inlineStr">
        <is>
          <t>04.10.2025; 26.07.2026</t>
        </is>
      </c>
      <c r="I607" s="170" t="inlineStr">
        <is>
          <t>04.10.2025</t>
        </is>
      </c>
    </row>
    <row r="608" ht="20" customHeight="1">
      <c r="A608" s="45" t="inlineStr">
        <is>
          <t>работник 329</t>
        </is>
      </c>
      <c r="B608" s="45" t="inlineStr">
        <is>
          <t>Машинист мельниц</t>
        </is>
      </c>
      <c r="C608" s="45" t="inlineStr">
        <is>
          <t>46б</t>
        </is>
      </c>
      <c r="D608" s="170" t="inlineStr">
        <is>
          <t>раз в 3 года</t>
        </is>
      </c>
      <c r="E608" s="171" t="n">
        <v>1</v>
      </c>
      <c r="F608" s="171" t="n">
        <v>2</v>
      </c>
      <c r="G608" s="171" t="n">
        <v>1</v>
      </c>
      <c r="H608" s="45" t="inlineStr">
        <is>
          <t>11.03.2024; 21.06.2025</t>
        </is>
      </c>
      <c r="I608" s="170" t="inlineStr">
        <is>
          <t>11.03.2024</t>
        </is>
      </c>
    </row>
    <row r="609" ht="32" customHeight="1">
      <c r="A609" s="45" t="inlineStr">
        <is>
          <t>работник 350</t>
        </is>
      </c>
      <c r="B609" s="45" t="inlineStr">
        <is>
          <t>Ламповщик / Уборщик производственных и служебных помещений</t>
        </is>
      </c>
      <c r="C609" s="45" t="inlineStr">
        <is>
          <t>46б</t>
        </is>
      </c>
      <c r="D609" s="170" t="inlineStr">
        <is>
          <t>раз в 3 года</t>
        </is>
      </c>
      <c r="E609" s="171" t="n">
        <v>1</v>
      </c>
      <c r="F609" s="171" t="n">
        <v>2</v>
      </c>
      <c r="G609" s="171" t="n">
        <v>1</v>
      </c>
      <c r="H609" s="45" t="inlineStr">
        <is>
          <t>25.04.2024; 02.07.2026</t>
        </is>
      </c>
      <c r="I609" s="170" t="inlineStr">
        <is>
          <t>25.04.2024</t>
        </is>
      </c>
    </row>
    <row r="610" ht="20" customHeight="1">
      <c r="A610" s="45" t="inlineStr">
        <is>
          <t>работник 388</t>
        </is>
      </c>
      <c r="B610" s="45" t="inlineStr">
        <is>
          <t>Дробильщик</t>
        </is>
      </c>
      <c r="C610" s="45" t="inlineStr">
        <is>
          <t>46б</t>
        </is>
      </c>
      <c r="D610" s="170" t="inlineStr">
        <is>
          <t>раз в 3 года</t>
        </is>
      </c>
      <c r="E610" s="171" t="n">
        <v>1</v>
      </c>
      <c r="F610" s="171" t="n">
        <v>2</v>
      </c>
      <c r="G610" s="171" t="n">
        <v>1</v>
      </c>
      <c r="H610" s="45" t="inlineStr">
        <is>
          <t>05.08.2024; 29.07.2026</t>
        </is>
      </c>
      <c r="I610" s="170" t="inlineStr">
        <is>
          <t>05.08.2024</t>
        </is>
      </c>
    </row>
    <row r="611" ht="20" customHeight="1">
      <c r="A611" s="45" t="inlineStr">
        <is>
          <t>работник 450</t>
        </is>
      </c>
      <c r="B611" s="45" t="inlineStr">
        <is>
          <t>Аппаратчик-гидрометаллург / Бункеровщик</t>
        </is>
      </c>
      <c r="C611" s="45" t="inlineStr">
        <is>
          <t>46б</t>
        </is>
      </c>
      <c r="D611" s="170" t="inlineStr">
        <is>
          <t>раз в 3 года</t>
        </is>
      </c>
      <c r="E611" s="171" t="n">
        <v>1</v>
      </c>
      <c r="F611" s="171" t="n">
        <v>2</v>
      </c>
      <c r="G611" s="171" t="n">
        <v>1</v>
      </c>
      <c r="H611" s="45" t="inlineStr">
        <is>
          <t>25.10.2024; 01.04.2025</t>
        </is>
      </c>
      <c r="I611" s="170" t="inlineStr">
        <is>
          <t>25.10.2024</t>
        </is>
      </c>
    </row>
    <row r="612" ht="32" customHeight="1">
      <c r="A612" s="45" t="inlineStr">
        <is>
          <t>работник 245</t>
        </is>
      </c>
      <c r="B612" s="45" t="inlineStr">
        <is>
          <t>Промывальщик геологических проб / Растворщик реагентов</t>
        </is>
      </c>
      <c r="C612" s="45" t="inlineStr">
        <is>
          <t>46б</t>
        </is>
      </c>
      <c r="D612" s="170" t="inlineStr">
        <is>
          <t>раз в 3 года</t>
        </is>
      </c>
      <c r="E612" s="171" t="n">
        <v>1</v>
      </c>
      <c r="F612" s="171" t="n">
        <v>2</v>
      </c>
      <c r="G612" s="171" t="n">
        <v>1</v>
      </c>
      <c r="H612" s="45" t="inlineStr">
        <is>
          <t>01.02.2024; 23.05.2026</t>
        </is>
      </c>
      <c r="I612" s="170" t="inlineStr">
        <is>
          <t>01.02.2024</t>
        </is>
      </c>
    </row>
    <row r="613" ht="20" customHeight="1">
      <c r="A613" s="45" t="inlineStr">
        <is>
          <t>работник 493</t>
        </is>
      </c>
      <c r="B613" s="45" t="inlineStr">
        <is>
          <t>Машинист погрузочно-доставочной машины</t>
        </is>
      </c>
      <c r="C613" s="45" t="inlineStr">
        <is>
          <t>46б</t>
        </is>
      </c>
      <c r="D613" s="170" t="inlineStr">
        <is>
          <t>раз в 3 года</t>
        </is>
      </c>
      <c r="E613" s="171" t="n">
        <v>1</v>
      </c>
      <c r="F613" s="171" t="n">
        <v>2</v>
      </c>
      <c r="G613" s="171" t="n">
        <v>1</v>
      </c>
      <c r="H613" s="45" t="inlineStr">
        <is>
          <t>12.11.2024; 15.08.2026</t>
        </is>
      </c>
      <c r="I613" s="170" t="inlineStr">
        <is>
          <t>12.11.2024</t>
        </is>
      </c>
    </row>
    <row r="614" ht="32" customHeight="1">
      <c r="A614" s="45" t="inlineStr">
        <is>
          <t>работник 673</t>
        </is>
      </c>
      <c r="B614" s="45" t="inlineStr">
        <is>
          <t>Слесарь-ремонтник (по ремонту обогатительного оборудования)</t>
        </is>
      </c>
      <c r="C614" s="45" t="inlineStr">
        <is>
          <t>46б</t>
        </is>
      </c>
      <c r="D614" s="170" t="inlineStr">
        <is>
          <t>раз в 3 года</t>
        </is>
      </c>
      <c r="E614" s="171" t="n">
        <v>1</v>
      </c>
      <c r="F614" s="171" t="n">
        <v>2</v>
      </c>
      <c r="G614" s="171" t="n">
        <v>1</v>
      </c>
      <c r="H614" s="45" t="inlineStr">
        <is>
          <t>06.04.2026; 09.09.2026</t>
        </is>
      </c>
      <c r="I614" s="170" t="inlineStr">
        <is>
          <t>06.04.2026</t>
        </is>
      </c>
    </row>
    <row r="615" ht="20" customHeight="1">
      <c r="A615" s="45" t="inlineStr">
        <is>
          <t>работник 585</t>
        </is>
      </c>
      <c r="B615" s="45" t="inlineStr">
        <is>
          <t>Аппаратчик-гидрометаллург / Фильтровальщик</t>
        </is>
      </c>
      <c r="C615" s="45" t="inlineStr">
        <is>
          <t>46б</t>
        </is>
      </c>
      <c r="D615" s="170" t="inlineStr">
        <is>
          <t>раз в 3 года</t>
        </is>
      </c>
      <c r="E615" s="171" t="n">
        <v>1</v>
      </c>
      <c r="F615" s="171" t="n">
        <v>2</v>
      </c>
      <c r="G615" s="171" t="n">
        <v>1</v>
      </c>
      <c r="H615" s="45" t="inlineStr">
        <is>
          <t>13.09.2025; 29.07.2026</t>
        </is>
      </c>
      <c r="I615" s="170" t="inlineStr">
        <is>
          <t>13.09.2025</t>
        </is>
      </c>
    </row>
    <row r="616" ht="20" customHeight="1">
      <c r="A616" s="45" t="inlineStr">
        <is>
          <t>работник 375</t>
        </is>
      </c>
      <c r="B616" s="45" t="inlineStr">
        <is>
          <t>Крепильщик</t>
        </is>
      </c>
      <c r="C616" s="45" t="inlineStr">
        <is>
          <t>46б</t>
        </is>
      </c>
      <c r="D616" s="170" t="inlineStr">
        <is>
          <t>раз в 3 года</t>
        </is>
      </c>
      <c r="E616" s="171" t="n">
        <v>1</v>
      </c>
      <c r="F616" s="171" t="n">
        <v>2</v>
      </c>
      <c r="G616" s="171" t="n">
        <v>1</v>
      </c>
      <c r="H616" s="45" t="inlineStr">
        <is>
          <t>19.07.2024; 25.07.2026</t>
        </is>
      </c>
      <c r="I616" s="170" t="inlineStr">
        <is>
          <t>19.07.2024</t>
        </is>
      </c>
    </row>
    <row r="617" ht="20" customHeight="1">
      <c r="A617" s="45" t="inlineStr">
        <is>
          <t>работник 389</t>
        </is>
      </c>
      <c r="B617" s="45" t="inlineStr">
        <is>
          <t>Контролер продукции обогащения / Пробоотборщик</t>
        </is>
      </c>
      <c r="C617" s="45" t="inlineStr">
        <is>
          <t>46б</t>
        </is>
      </c>
      <c r="D617" s="170" t="inlineStr">
        <is>
          <t>раз в 3 года</t>
        </is>
      </c>
      <c r="E617" s="171" t="n">
        <v>1</v>
      </c>
      <c r="F617" s="171" t="n">
        <v>2</v>
      </c>
      <c r="G617" s="171" t="n">
        <v>1</v>
      </c>
      <c r="H617" s="45" t="inlineStr">
        <is>
          <t>12.08.2024; 02.08.2026</t>
        </is>
      </c>
      <c r="I617" s="170" t="inlineStr">
        <is>
          <t>12.08.2024</t>
        </is>
      </c>
    </row>
    <row r="618" ht="32" customHeight="1">
      <c r="A618" s="45" t="inlineStr">
        <is>
          <t>работник 596</t>
        </is>
      </c>
      <c r="B618" s="45" t="inlineStr">
        <is>
          <t>Слесарь-ремонтник (по ремонту самоходной техники)</t>
        </is>
      </c>
      <c r="C618" s="45" t="inlineStr">
        <is>
          <t>46б</t>
        </is>
      </c>
      <c r="D618" s="170" t="inlineStr">
        <is>
          <t>раз в 3 года</t>
        </is>
      </c>
      <c r="E618" s="171" t="n">
        <v>1</v>
      </c>
      <c r="F618" s="171" t="n">
        <v>2</v>
      </c>
      <c r="G618" s="171" t="n">
        <v>1</v>
      </c>
      <c r="H618" s="45" t="inlineStr">
        <is>
          <t>10.08.2025; 25.07.2026</t>
        </is>
      </c>
      <c r="I618" s="170" t="inlineStr">
        <is>
          <t>10.08.2025</t>
        </is>
      </c>
    </row>
    <row r="619" ht="20" customHeight="1">
      <c r="A619" s="45" t="inlineStr">
        <is>
          <t>работник 812</t>
        </is>
      </c>
      <c r="B619" s="45" t="inlineStr">
        <is>
          <t>Дробильщик</t>
        </is>
      </c>
      <c r="C619" s="45" t="inlineStr">
        <is>
          <t>46б</t>
        </is>
      </c>
      <c r="D619" s="170" t="inlineStr">
        <is>
          <t>раз в 3 года</t>
        </is>
      </c>
      <c r="E619" s="171" t="n">
        <v>1</v>
      </c>
      <c r="F619" s="171" t="n">
        <v>2</v>
      </c>
      <c r="G619" s="171" t="n">
        <v>1</v>
      </c>
      <c r="H619" s="45" t="inlineStr">
        <is>
          <t>01.07.2026; 29.07.2026</t>
        </is>
      </c>
      <c r="I619" s="170" t="inlineStr">
        <is>
          <t>01.07.2026</t>
        </is>
      </c>
    </row>
    <row r="620" ht="20" customHeight="1">
      <c r="A620" s="45" t="inlineStr">
        <is>
          <t>работник 290</t>
        </is>
      </c>
      <c r="B620" s="45" t="inlineStr">
        <is>
          <t>Водитель погрузчика</t>
        </is>
      </c>
      <c r="C620" s="45" t="inlineStr">
        <is>
          <t>46б</t>
        </is>
      </c>
      <c r="D620" s="170" t="inlineStr">
        <is>
          <t>раз в 3 года</t>
        </is>
      </c>
      <c r="E620" s="171" t="n">
        <v>1</v>
      </c>
      <c r="F620" s="171" t="n">
        <v>2</v>
      </c>
      <c r="G620" s="171" t="n">
        <v>1</v>
      </c>
      <c r="H620" s="45" t="inlineStr">
        <is>
          <t>23.02.2024; 18.08.2026</t>
        </is>
      </c>
      <c r="I620" s="170" t="inlineStr">
        <is>
          <t>23.02.2024</t>
        </is>
      </c>
    </row>
    <row r="621" ht="20" customHeight="1">
      <c r="A621" s="45" t="inlineStr">
        <is>
          <t>работник 772</t>
        </is>
      </c>
      <c r="B621" s="45" t="inlineStr">
        <is>
          <t>Машинист погрузочно-доставочной машины</t>
        </is>
      </c>
      <c r="C621" s="45" t="inlineStr">
        <is>
          <t>46б</t>
        </is>
      </c>
      <c r="D621" s="170" t="inlineStr">
        <is>
          <t>раз в 3 года</t>
        </is>
      </c>
      <c r="E621" s="171" t="n">
        <v>1</v>
      </c>
      <c r="F621" s="171" t="n">
        <v>2</v>
      </c>
      <c r="G621" s="171" t="n">
        <v>1</v>
      </c>
      <c r="H621" s="45" t="inlineStr">
        <is>
          <t>04.06.2026; 23.07.2026</t>
        </is>
      </c>
      <c r="I621" s="170" t="inlineStr">
        <is>
          <t>04.06.2026</t>
        </is>
      </c>
    </row>
    <row r="622" ht="32" customHeight="1">
      <c r="A622" s="45" t="inlineStr">
        <is>
          <t>работник 65</t>
        </is>
      </c>
      <c r="B622" s="45" t="inlineStr">
        <is>
          <t>Помощник машиниста самоходной буровой установки / Электрослесарь (слесарь) / Электрослесарь (слесарь) дежурный и по ремонту оборудования подземного горного участка</t>
        </is>
      </c>
      <c r="C622" s="45" t="inlineStr">
        <is>
          <t>46б</t>
        </is>
      </c>
      <c r="D622" s="170" t="inlineStr">
        <is>
          <t>раз в 3 года</t>
        </is>
      </c>
      <c r="E622" s="171" t="n">
        <v>2</v>
      </c>
      <c r="F622" s="171" t="n">
        <v>3</v>
      </c>
      <c r="G622" s="171" t="n">
        <v>1</v>
      </c>
      <c r="H622" s="45" t="inlineStr">
        <is>
          <t>23.11.2023; 05.03.2024; 19.07.2024</t>
        </is>
      </c>
      <c r="I622" s="170" t="inlineStr">
        <is>
          <t>23.11.2023</t>
        </is>
      </c>
    </row>
    <row r="623" ht="20" customHeight="1">
      <c r="A623" s="45" t="inlineStr">
        <is>
          <t>работник 674</t>
        </is>
      </c>
      <c r="B623" s="45" t="inlineStr">
        <is>
          <t>Растворщик реагентов</t>
        </is>
      </c>
      <c r="C623" s="45" t="inlineStr">
        <is>
          <t>46б</t>
        </is>
      </c>
      <c r="D623" s="170" t="inlineStr">
        <is>
          <t>раз в 3 года</t>
        </is>
      </c>
      <c r="E623" s="171" t="n">
        <v>1</v>
      </c>
      <c r="F623" s="171" t="n">
        <v>2</v>
      </c>
      <c r="G623" s="171" t="n">
        <v>1</v>
      </c>
      <c r="H623" s="45" t="inlineStr">
        <is>
          <t>06.04.2026; 29.07.2026</t>
        </is>
      </c>
      <c r="I623" s="170" t="inlineStr">
        <is>
          <t>06.04.2026</t>
        </is>
      </c>
    </row>
    <row r="624" ht="32" customHeight="1">
      <c r="A624" s="45" t="inlineStr">
        <is>
          <t>работник 764</t>
        </is>
      </c>
      <c r="B624" s="45" t="inlineStr">
        <is>
          <t>Машинист погрузочно-доставочной машины (занятый на транспортировании горной массы в технологическом процессе)</t>
        </is>
      </c>
      <c r="C624" s="45" t="inlineStr">
        <is>
          <t>46б</t>
        </is>
      </c>
      <c r="D624" s="170" t="inlineStr">
        <is>
          <t>раз в 3 года</t>
        </is>
      </c>
      <c r="E624" s="171" t="n">
        <v>1</v>
      </c>
      <c r="F624" s="171" t="n">
        <v>2</v>
      </c>
      <c r="G624" s="171" t="n">
        <v>1</v>
      </c>
      <c r="H624" s="45" t="inlineStr">
        <is>
          <t>04.06.2026; 23.07.2026</t>
        </is>
      </c>
      <c r="I624" s="170" t="inlineStr">
        <is>
          <t>04.06.2026</t>
        </is>
      </c>
    </row>
    <row r="625" ht="20" customHeight="1">
      <c r="A625" s="45" t="inlineStr">
        <is>
          <t>работник 366</t>
        </is>
      </c>
      <c r="B625" s="45" t="inlineStr">
        <is>
          <t>Ламповщик</t>
        </is>
      </c>
      <c r="C625" s="45" t="inlineStr">
        <is>
          <t>46б</t>
        </is>
      </c>
      <c r="D625" s="170" t="inlineStr">
        <is>
          <t>раз в 3 года</t>
        </is>
      </c>
      <c r="E625" s="171" t="n">
        <v>1</v>
      </c>
      <c r="F625" s="171" t="n">
        <v>2</v>
      </c>
      <c r="G625" s="171" t="n">
        <v>1</v>
      </c>
      <c r="H625" s="45" t="inlineStr">
        <is>
          <t>08.06.2024; 28.07.2026</t>
        </is>
      </c>
      <c r="I625" s="170" t="inlineStr">
        <is>
          <t>08.06.2024</t>
        </is>
      </c>
    </row>
    <row r="626" ht="32" customHeight="1">
      <c r="A626" s="45" t="inlineStr">
        <is>
          <t>работник 651</t>
        </is>
      </c>
      <c r="B626" s="45" t="inlineStr">
        <is>
          <t>Машинист погрузочно-доставочной машины / Машинист самоходной буровой установки (Проходка)</t>
        </is>
      </c>
      <c r="C626" s="45" t="inlineStr">
        <is>
          <t>46б</t>
        </is>
      </c>
      <c r="D626" s="170" t="inlineStr">
        <is>
          <t>раз в 3 года</t>
        </is>
      </c>
      <c r="E626" s="171" t="n">
        <v>1</v>
      </c>
      <c r="F626" s="171" t="n">
        <v>2</v>
      </c>
      <c r="G626" s="171" t="n">
        <v>1</v>
      </c>
      <c r="H626" s="45" t="inlineStr">
        <is>
          <t>18.02.2026; 15.08.2026</t>
        </is>
      </c>
      <c r="I626" s="170" t="inlineStr">
        <is>
          <t>18.02.2026</t>
        </is>
      </c>
    </row>
    <row r="627" ht="32" customHeight="1">
      <c r="A627" s="45" t="inlineStr">
        <is>
          <t>работник 765</t>
        </is>
      </c>
      <c r="B627" s="45" t="inlineStr">
        <is>
          <t>Машинист погрузочно-доставочной машины (занятый на транспортировании горной массы в технологическом процессе)</t>
        </is>
      </c>
      <c r="C627" s="45" t="inlineStr">
        <is>
          <t>46б</t>
        </is>
      </c>
      <c r="D627" s="170" t="inlineStr">
        <is>
          <t>раз в 3 года</t>
        </is>
      </c>
      <c r="E627" s="171" t="n">
        <v>1</v>
      </c>
      <c r="F627" s="171" t="n">
        <v>2</v>
      </c>
      <c r="G627" s="171" t="n">
        <v>1</v>
      </c>
      <c r="H627" s="45" t="inlineStr">
        <is>
          <t>04.06.2026; 23.07.2026</t>
        </is>
      </c>
      <c r="I627" s="170" t="inlineStr">
        <is>
          <t>04.06.2026</t>
        </is>
      </c>
    </row>
    <row r="628" ht="32" customHeight="1">
      <c r="A628" s="45" t="inlineStr">
        <is>
          <t>работник 532</t>
        </is>
      </c>
      <c r="B628" s="45" t="inlineStr">
        <is>
          <t>Машинист самоходной буровой установки / Машинист самоходной буровой установки (Очистное)</t>
        </is>
      </c>
      <c r="C628" s="45" t="inlineStr">
        <is>
          <t>46б</t>
        </is>
      </c>
      <c r="D628" s="170" t="inlineStr">
        <is>
          <t>раз в 3 года</t>
        </is>
      </c>
      <c r="E628" s="171" t="n">
        <v>1</v>
      </c>
      <c r="F628" s="171" t="n">
        <v>2</v>
      </c>
      <c r="G628" s="171" t="n">
        <v>1</v>
      </c>
      <c r="H628" s="45" t="inlineStr">
        <is>
          <t>06.02.2025; 22.07.2026</t>
        </is>
      </c>
      <c r="I628" s="170" t="inlineStr">
        <is>
          <t>06.02.2025</t>
        </is>
      </c>
    </row>
    <row r="629" ht="20" customHeight="1">
      <c r="A629" s="45" t="inlineStr">
        <is>
          <t>работник 683</t>
        </is>
      </c>
      <c r="B629" s="45" t="inlineStr">
        <is>
          <t>Оператор дизельных котлов</t>
        </is>
      </c>
      <c r="C629" s="45" t="inlineStr">
        <is>
          <t>46б</t>
        </is>
      </c>
      <c r="D629" s="170" t="inlineStr">
        <is>
          <t>раз в 3 года</t>
        </is>
      </c>
      <c r="E629" s="171" t="n">
        <v>1</v>
      </c>
      <c r="F629" s="171" t="n">
        <v>2</v>
      </c>
      <c r="G629" s="171" t="n">
        <v>1</v>
      </c>
      <c r="H629" s="45" t="inlineStr">
        <is>
          <t>20.04.2026; 23.08.2026</t>
        </is>
      </c>
      <c r="I629" s="170" t="inlineStr">
        <is>
          <t>20.04.2026</t>
        </is>
      </c>
    </row>
    <row r="630" ht="32" customHeight="1">
      <c r="A630" s="45" t="inlineStr">
        <is>
          <t>работник 176</t>
        </is>
      </c>
      <c r="B630" s="45" t="inlineStr">
        <is>
          <t>Машинист самоходной буровой установки / Проходчик (с исполнением обязанностей взрывника)</t>
        </is>
      </c>
      <c r="C630" s="45" t="inlineStr">
        <is>
          <t>46б</t>
        </is>
      </c>
      <c r="D630" s="170" t="inlineStr">
        <is>
          <t>раз в 3 года</t>
        </is>
      </c>
      <c r="E630" s="171" t="n">
        <v>1</v>
      </c>
      <c r="F630" s="171" t="n">
        <v>2</v>
      </c>
      <c r="G630" s="171" t="n">
        <v>1</v>
      </c>
      <c r="H630" s="45" t="inlineStr">
        <is>
          <t>19.01.2024; 12.11.2024</t>
        </is>
      </c>
      <c r="I630" s="170" t="inlineStr">
        <is>
          <t>19.01.2024</t>
        </is>
      </c>
    </row>
    <row r="631" ht="20" customHeight="1">
      <c r="A631" s="45" t="inlineStr">
        <is>
          <t>работник 827</t>
        </is>
      </c>
      <c r="B631" s="45" t="inlineStr">
        <is>
          <t>Фильтровальщик</t>
        </is>
      </c>
      <c r="C631" s="45" t="inlineStr">
        <is>
          <t>46б</t>
        </is>
      </c>
      <c r="D631" s="170" t="inlineStr">
        <is>
          <t>раз в 3 года</t>
        </is>
      </c>
      <c r="E631" s="171" t="n">
        <v>1</v>
      </c>
      <c r="F631" s="171" t="n">
        <v>2</v>
      </c>
      <c r="G631" s="171" t="n">
        <v>1</v>
      </c>
      <c r="H631" s="45" t="inlineStr">
        <is>
          <t>01.07.2026; 29.07.2026</t>
        </is>
      </c>
      <c r="I631" s="170" t="inlineStr">
        <is>
          <t>01.07.2026</t>
        </is>
      </c>
    </row>
    <row r="632" ht="20" customHeight="1">
      <c r="A632" s="45" t="inlineStr">
        <is>
          <t>работник 236</t>
        </is>
      </c>
      <c r="B632" s="45" t="inlineStr">
        <is>
          <t>Дробильщик</t>
        </is>
      </c>
      <c r="C632" s="45" t="inlineStr">
        <is>
          <t>46б</t>
        </is>
      </c>
      <c r="D632" s="170" t="inlineStr">
        <is>
          <t>раз в 3 года</t>
        </is>
      </c>
      <c r="E632" s="171" t="n">
        <v>1</v>
      </c>
      <c r="F632" s="171" t="n">
        <v>2</v>
      </c>
      <c r="G632" s="171" t="n">
        <v>1</v>
      </c>
      <c r="H632" s="45" t="inlineStr">
        <is>
          <t>23.02.2024; 08.02.2025</t>
        </is>
      </c>
      <c r="I632" s="170" t="inlineStr">
        <is>
          <t>23.02.2024</t>
        </is>
      </c>
    </row>
    <row r="633" ht="20" customHeight="1">
      <c r="A633" s="45" t="inlineStr">
        <is>
          <t>работник 37</t>
        </is>
      </c>
      <c r="B633" s="45" t="inlineStr">
        <is>
          <t>Дробильщик</t>
        </is>
      </c>
      <c r="C633" s="45" t="inlineStr">
        <is>
          <t>46б</t>
        </is>
      </c>
      <c r="D633" s="170" t="inlineStr">
        <is>
          <t>раз в 3 года</t>
        </is>
      </c>
      <c r="E633" s="171" t="n">
        <v>2</v>
      </c>
      <c r="F633" s="171" t="n">
        <v>3</v>
      </c>
      <c r="G633" s="171" t="n">
        <v>1</v>
      </c>
      <c r="H633" s="45" t="inlineStr">
        <is>
          <t>24.11.2023; 15.02.2026; 02.08.2026</t>
        </is>
      </c>
      <c r="I633" s="170" t="inlineStr">
        <is>
          <t>24.11.2023</t>
        </is>
      </c>
    </row>
    <row r="634" ht="32" customHeight="1">
      <c r="A634" s="45" t="inlineStr">
        <is>
          <t>работник 560</t>
        </is>
      </c>
      <c r="B634" s="45" t="inlineStr">
        <is>
          <t>Электрослесарь (слесарь) дежурный и по ремонту оборудования / Электрослесарь (слесарь) дежурный и по ремонту оборудования подземного горного участка</t>
        </is>
      </c>
      <c r="C634" s="45" t="inlineStr">
        <is>
          <t>46б</t>
        </is>
      </c>
      <c r="D634" s="170" t="inlineStr">
        <is>
          <t>раз в 3 года</t>
        </is>
      </c>
      <c r="E634" s="171" t="n">
        <v>1</v>
      </c>
      <c r="F634" s="171" t="n">
        <v>2</v>
      </c>
      <c r="G634" s="171" t="n">
        <v>1</v>
      </c>
      <c r="H634" s="45" t="inlineStr">
        <is>
          <t>21.05.2025; 28.07.2026</t>
        </is>
      </c>
      <c r="I634" s="170" t="inlineStr">
        <is>
          <t>21.05.2025</t>
        </is>
      </c>
    </row>
    <row r="635" ht="32" customHeight="1">
      <c r="A635" s="45" t="inlineStr">
        <is>
          <t>работник 571</t>
        </is>
      </c>
      <c r="B635" s="45" t="inlineStr">
        <is>
          <t>Слесарь-ремонтник (по ремонту горно-шахтного оборудования)</t>
        </is>
      </c>
      <c r="C635" s="45" t="inlineStr">
        <is>
          <t>46б</t>
        </is>
      </c>
      <c r="D635" s="170" t="inlineStr">
        <is>
          <t>раз в 3 года</t>
        </is>
      </c>
      <c r="E635" s="171" t="n">
        <v>1</v>
      </c>
      <c r="F635" s="171" t="n">
        <v>2</v>
      </c>
      <c r="G635" s="171" t="n">
        <v>1</v>
      </c>
      <c r="H635" s="45" t="inlineStr">
        <is>
          <t>11.06.2025; 28.07.2026</t>
        </is>
      </c>
      <c r="I635" s="170" t="inlineStr">
        <is>
          <t>11.06.2025</t>
        </is>
      </c>
    </row>
    <row r="636" ht="20" customHeight="1">
      <c r="A636" s="45" t="inlineStr">
        <is>
          <t>работник 540</t>
        </is>
      </c>
      <c r="B636" s="45" t="inlineStr">
        <is>
          <t>Бункеровщик</t>
        </is>
      </c>
      <c r="C636" s="45" t="inlineStr">
        <is>
          <t>46б</t>
        </is>
      </c>
      <c r="D636" s="170" t="inlineStr">
        <is>
          <t>раз в 3 года</t>
        </is>
      </c>
      <c r="E636" s="171" t="n">
        <v>1</v>
      </c>
      <c r="F636" s="171" t="n">
        <v>2</v>
      </c>
      <c r="G636" s="171" t="n">
        <v>1</v>
      </c>
      <c r="H636" s="45" t="inlineStr">
        <is>
          <t>21.04.2025; 29.07.2026</t>
        </is>
      </c>
      <c r="I636" s="170" t="inlineStr">
        <is>
          <t>21.04.2025</t>
        </is>
      </c>
    </row>
    <row r="637" ht="32" customHeight="1">
      <c r="A637" s="45" t="inlineStr">
        <is>
          <t>работник 494</t>
        </is>
      </c>
      <c r="B637" s="45" t="inlineStr">
        <is>
          <t>Машинист самоходной буровой установки / Машинист самоходной буровой установки (Проходка)</t>
        </is>
      </c>
      <c r="C637" s="45" t="inlineStr">
        <is>
          <t>46б</t>
        </is>
      </c>
      <c r="D637" s="170" t="inlineStr">
        <is>
          <t>раз в 3 года</t>
        </is>
      </c>
      <c r="E637" s="171" t="n">
        <v>1</v>
      </c>
      <c r="F637" s="171" t="n">
        <v>2</v>
      </c>
      <c r="G637" s="171" t="n">
        <v>1</v>
      </c>
      <c r="H637" s="45" t="inlineStr">
        <is>
          <t>12.11.2024; 25.07.2026</t>
        </is>
      </c>
      <c r="I637" s="170" t="inlineStr">
        <is>
          <t>12.11.2024</t>
        </is>
      </c>
    </row>
    <row r="638" ht="20" customHeight="1">
      <c r="A638" s="45" t="inlineStr">
        <is>
          <t>работник 431</t>
        </is>
      </c>
      <c r="B638" s="45" t="inlineStr">
        <is>
          <t>Аппаратчик-гидрометаллург</t>
        </is>
      </c>
      <c r="C638" s="45" t="inlineStr">
        <is>
          <t>46б</t>
        </is>
      </c>
      <c r="D638" s="170" t="inlineStr">
        <is>
          <t>раз в 3 года</t>
        </is>
      </c>
      <c r="E638" s="171" t="n">
        <v>1</v>
      </c>
      <c r="F638" s="171" t="n">
        <v>2</v>
      </c>
      <c r="G638" s="171" t="n">
        <v>1</v>
      </c>
      <c r="H638" s="45" t="inlineStr">
        <is>
          <t>25.10.2024; 25.11.2024</t>
        </is>
      </c>
      <c r="I638" s="170" t="inlineStr">
        <is>
          <t>25.10.2024</t>
        </is>
      </c>
    </row>
    <row r="639" ht="20" customHeight="1">
      <c r="A639" s="45" t="inlineStr">
        <is>
          <t>работник 630</t>
        </is>
      </c>
      <c r="B639" s="45" t="inlineStr">
        <is>
          <t>Горнорабочий на маркшейдерских работах</t>
        </is>
      </c>
      <c r="C639" s="45" t="inlineStr">
        <is>
          <t>46б</t>
        </is>
      </c>
      <c r="D639" s="170" t="inlineStr">
        <is>
          <t>раз в 3 года</t>
        </is>
      </c>
      <c r="E639" s="171" t="n">
        <v>1</v>
      </c>
      <c r="F639" s="171" t="n">
        <v>2</v>
      </c>
      <c r="G639" s="171" t="n">
        <v>1</v>
      </c>
      <c r="H639" s="45" t="inlineStr">
        <is>
          <t>09.02.2026; 25.08.2026</t>
        </is>
      </c>
      <c r="I639" s="170" t="inlineStr">
        <is>
          <t>09.02.2026</t>
        </is>
      </c>
    </row>
    <row r="640" ht="32" customHeight="1">
      <c r="A640" s="45" t="inlineStr">
        <is>
          <t>работник 597</t>
        </is>
      </c>
      <c r="B640" s="45" t="inlineStr">
        <is>
          <t>Слесарь-ремонтник (по ремонту горно-шахтного оборудования) / Слесарь-ремонтник (по ремонту самоходной техники)</t>
        </is>
      </c>
      <c r="C640" s="45" t="inlineStr">
        <is>
          <t>46б</t>
        </is>
      </c>
      <c r="D640" s="170" t="inlineStr">
        <is>
          <t>раз в 3 года</t>
        </is>
      </c>
      <c r="E640" s="171" t="n">
        <v>1</v>
      </c>
      <c r="F640" s="171" t="n">
        <v>2</v>
      </c>
      <c r="G640" s="171" t="n">
        <v>1</v>
      </c>
      <c r="H640" s="45" t="inlineStr">
        <is>
          <t>10.08.2025; 25.07.2026</t>
        </is>
      </c>
      <c r="I640" s="170" t="inlineStr">
        <is>
          <t>10.08.2025</t>
        </is>
      </c>
    </row>
    <row r="641" ht="20" customHeight="1">
      <c r="A641" s="45" t="inlineStr">
        <is>
          <t>работник 359</t>
        </is>
      </c>
      <c r="B641" s="45" t="inlineStr">
        <is>
          <t>Дробильщик</t>
        </is>
      </c>
      <c r="C641" s="45" t="inlineStr">
        <is>
          <t>46б</t>
        </is>
      </c>
      <c r="D641" s="170" t="inlineStr">
        <is>
          <t>раз в 3 года</t>
        </is>
      </c>
      <c r="E641" s="171" t="n">
        <v>1</v>
      </c>
      <c r="F641" s="171" t="n">
        <v>2</v>
      </c>
      <c r="G641" s="171" t="n">
        <v>1</v>
      </c>
      <c r="H641" s="45" t="inlineStr">
        <is>
          <t>29.06.2024; 13.07.2025</t>
        </is>
      </c>
      <c r="I641" s="170" t="inlineStr">
        <is>
          <t>29.06.2024</t>
        </is>
      </c>
    </row>
    <row r="642" ht="20" customHeight="1">
      <c r="A642" s="45" t="inlineStr">
        <is>
          <t>работник 614</t>
        </is>
      </c>
      <c r="B642" s="45" t="inlineStr">
        <is>
          <t>Фильтровальщик</t>
        </is>
      </c>
      <c r="C642" s="45" t="inlineStr">
        <is>
          <t>46б</t>
        </is>
      </c>
      <c r="D642" s="170" t="inlineStr">
        <is>
          <t>раз в 3 года</t>
        </is>
      </c>
      <c r="E642" s="171" t="n">
        <v>1</v>
      </c>
      <c r="F642" s="171" t="n">
        <v>2</v>
      </c>
      <c r="G642" s="171" t="n">
        <v>1</v>
      </c>
      <c r="H642" s="45" t="inlineStr">
        <is>
          <t>01.11.2025; 29.07.2026</t>
        </is>
      </c>
      <c r="I642" s="170" t="inlineStr">
        <is>
          <t>01.11.2025</t>
        </is>
      </c>
    </row>
    <row r="643" ht="20" customHeight="1">
      <c r="A643" s="45" t="inlineStr">
        <is>
          <t>работник 294</t>
        </is>
      </c>
      <c r="B643" s="45" t="inlineStr">
        <is>
          <t>Машинист экскаватора</t>
        </is>
      </c>
      <c r="C643" s="45" t="inlineStr">
        <is>
          <t>46б</t>
        </is>
      </c>
      <c r="D643" s="170" t="inlineStr">
        <is>
          <t>раз в 3 года</t>
        </is>
      </c>
      <c r="E643" s="171" t="n">
        <v>1</v>
      </c>
      <c r="F643" s="171" t="n">
        <v>2</v>
      </c>
      <c r="G643" s="171" t="n">
        <v>1</v>
      </c>
      <c r="H643" s="45" t="inlineStr">
        <is>
          <t>23.02.2024; 17.08.2026</t>
        </is>
      </c>
      <c r="I643" s="170" t="inlineStr">
        <is>
          <t>23.02.2024</t>
        </is>
      </c>
    </row>
    <row r="644" ht="32" customHeight="1">
      <c r="A644" s="45" t="inlineStr">
        <is>
          <t>работник 363</t>
        </is>
      </c>
      <c r="B644" s="45" t="inlineStr">
        <is>
          <t>Подсобный рабочий / Уборщик производственных и служебных помещений</t>
        </is>
      </c>
      <c r="C644" s="45" t="inlineStr">
        <is>
          <t>46б</t>
        </is>
      </c>
      <c r="D644" s="170" t="inlineStr">
        <is>
          <t>раз в 3 года</t>
        </is>
      </c>
      <c r="E644" s="171" t="n">
        <v>1</v>
      </c>
      <c r="F644" s="171" t="n">
        <v>2</v>
      </c>
      <c r="G644" s="171" t="n">
        <v>1</v>
      </c>
      <c r="H644" s="45" t="inlineStr">
        <is>
          <t>30.06.2024; 15.08.2026</t>
        </is>
      </c>
      <c r="I644" s="170" t="inlineStr">
        <is>
          <t>30.06.2024</t>
        </is>
      </c>
    </row>
    <row r="645" ht="32" customHeight="1">
      <c r="A645" s="45" t="inlineStr">
        <is>
          <t>работник 495</t>
        </is>
      </c>
      <c r="B645" s="45" t="inlineStr">
        <is>
          <t>Машинист погрузочно-доставочной машины (занятый на транспортировании горной массы в технологическом процессе) / Машинист подземных самоходных машин</t>
        </is>
      </c>
      <c r="C645" s="45" t="inlineStr">
        <is>
          <t>46б</t>
        </is>
      </c>
      <c r="D645" s="170" t="inlineStr">
        <is>
          <t>раз в 3 года</t>
        </is>
      </c>
      <c r="E645" s="171" t="n">
        <v>1</v>
      </c>
      <c r="F645" s="171" t="n">
        <v>2</v>
      </c>
      <c r="G645" s="171" t="n">
        <v>1</v>
      </c>
      <c r="H645" s="45" t="inlineStr">
        <is>
          <t>12.11.2024; 16.08.2026</t>
        </is>
      </c>
      <c r="I645" s="170" t="inlineStr">
        <is>
          <t>12.11.2024</t>
        </is>
      </c>
    </row>
    <row r="646" ht="20" customHeight="1">
      <c r="A646" s="45" t="inlineStr">
        <is>
          <t>работник 437</t>
        </is>
      </c>
      <c r="B646" s="45" t="inlineStr">
        <is>
          <t>Растворщик реагентов</t>
        </is>
      </c>
      <c r="C646" s="45" t="inlineStr">
        <is>
          <t>46б</t>
        </is>
      </c>
      <c r="D646" s="170" t="inlineStr">
        <is>
          <t>раз в 3 года</t>
        </is>
      </c>
      <c r="E646" s="171" t="n">
        <v>1</v>
      </c>
      <c r="F646" s="171" t="n">
        <v>2</v>
      </c>
      <c r="G646" s="171" t="n">
        <v>1</v>
      </c>
      <c r="H646" s="45" t="inlineStr">
        <is>
          <t>25.10.2024; 25.11.2024</t>
        </is>
      </c>
      <c r="I646" s="170" t="inlineStr">
        <is>
          <t>25.10.2024</t>
        </is>
      </c>
    </row>
    <row r="647" ht="20" customHeight="1">
      <c r="A647" s="45" t="inlineStr">
        <is>
          <t>работник 462</t>
        </is>
      </c>
      <c r="B647" s="45" t="inlineStr">
        <is>
          <t>Электрогазосварщик</t>
        </is>
      </c>
      <c r="C647" s="45" t="inlineStr">
        <is>
          <t>46б</t>
        </is>
      </c>
      <c r="D647" s="170" t="inlineStr">
        <is>
          <t>раз в 3 года</t>
        </is>
      </c>
      <c r="E647" s="171" t="n">
        <v>1</v>
      </c>
      <c r="F647" s="171" t="n">
        <v>2</v>
      </c>
      <c r="G647" s="171" t="n">
        <v>1</v>
      </c>
      <c r="H647" s="45" t="inlineStr">
        <is>
          <t>04.11.2024; 18.08.2026</t>
        </is>
      </c>
      <c r="I647" s="170" t="inlineStr">
        <is>
          <t>04.11.2024</t>
        </is>
      </c>
    </row>
    <row r="648" ht="32" customHeight="1">
      <c r="A648" s="45" t="inlineStr">
        <is>
          <t>работник 66</t>
        </is>
      </c>
      <c r="B648" s="45" t="inlineStr">
        <is>
          <t>Электрослесарь (слесарь) / Электрослесарь (слесарь) дежурный и по ремонту оборудования подземного горного участка</t>
        </is>
      </c>
      <c r="C648" s="45" t="inlineStr">
        <is>
          <t>46б</t>
        </is>
      </c>
      <c r="D648" s="170" t="inlineStr">
        <is>
          <t>раз в 3 года</t>
        </is>
      </c>
      <c r="E648" s="171" t="n">
        <v>2</v>
      </c>
      <c r="F648" s="171" t="n">
        <v>3</v>
      </c>
      <c r="G648" s="171" t="n">
        <v>1</v>
      </c>
      <c r="H648" s="45" t="inlineStr">
        <is>
          <t>23.11.2023; 05.03.2024; 18.08.2026</t>
        </is>
      </c>
      <c r="I648" s="170" t="inlineStr">
        <is>
          <t>23.11.2023</t>
        </is>
      </c>
    </row>
    <row r="649" ht="20" customHeight="1">
      <c r="A649" s="45" t="inlineStr">
        <is>
          <t>работник 370</t>
        </is>
      </c>
      <c r="B649" s="45" t="inlineStr">
        <is>
          <t>Водитель погрузчика / Машинист бульдозера</t>
        </is>
      </c>
      <c r="C649" s="45" t="inlineStr">
        <is>
          <t>46б</t>
        </is>
      </c>
      <c r="D649" s="170" t="inlineStr">
        <is>
          <t>раз в 3 года</t>
        </is>
      </c>
      <c r="E649" s="171" t="n">
        <v>1</v>
      </c>
      <c r="F649" s="171" t="n">
        <v>2</v>
      </c>
      <c r="G649" s="171" t="n">
        <v>1</v>
      </c>
      <c r="H649" s="45" t="inlineStr">
        <is>
          <t>18.07.2024; 18.08.2026</t>
        </is>
      </c>
      <c r="I649" s="170" t="inlineStr">
        <is>
          <t>18.07.2024</t>
        </is>
      </c>
    </row>
    <row r="650" ht="20" customHeight="1">
      <c r="A650" s="45" t="inlineStr">
        <is>
          <t>работник 297</t>
        </is>
      </c>
      <c r="B650" s="45" t="inlineStr">
        <is>
          <t>Машинист крана автомобильного</t>
        </is>
      </c>
      <c r="C650" s="45" t="inlineStr">
        <is>
          <t>46б</t>
        </is>
      </c>
      <c r="D650" s="170" t="inlineStr">
        <is>
          <t>раз в 3 года</t>
        </is>
      </c>
      <c r="E650" s="171" t="n">
        <v>1</v>
      </c>
      <c r="F650" s="171" t="n">
        <v>2</v>
      </c>
      <c r="G650" s="171" t="n">
        <v>1</v>
      </c>
      <c r="H650" s="45" t="inlineStr">
        <is>
          <t>23.02.2024; 19.08.2026</t>
        </is>
      </c>
      <c r="I650" s="170" t="inlineStr">
        <is>
          <t>23.02.2024</t>
        </is>
      </c>
    </row>
    <row r="651" ht="20" customHeight="1">
      <c r="A651" s="45" t="inlineStr">
        <is>
          <t>работник 518</t>
        </is>
      </c>
      <c r="B651" s="45" t="inlineStr">
        <is>
          <t>Водитель автомобиля (категория Д)</t>
        </is>
      </c>
      <c r="C651" s="45" t="inlineStr">
        <is>
          <t>46б</t>
        </is>
      </c>
      <c r="D651" s="170" t="inlineStr">
        <is>
          <t>раз в 3 года</t>
        </is>
      </c>
      <c r="E651" s="171" t="n">
        <v>1</v>
      </c>
      <c r="F651" s="171" t="n">
        <v>2</v>
      </c>
      <c r="G651" s="171" t="n">
        <v>1</v>
      </c>
      <c r="H651" s="45" t="inlineStr">
        <is>
          <t>23.02.2025; 17.08.2026</t>
        </is>
      </c>
      <c r="I651" s="170" t="inlineStr">
        <is>
          <t>23.02.2025</t>
        </is>
      </c>
    </row>
    <row r="652" ht="32" customHeight="1">
      <c r="A652" s="45" t="inlineStr">
        <is>
          <t>работник 371</t>
        </is>
      </c>
      <c r="B652" s="45" t="inlineStr">
        <is>
          <t>Водитель автомобиля (занятый на транспортировании горной массы в технологическом процессе)</t>
        </is>
      </c>
      <c r="C652" s="45" t="inlineStr">
        <is>
          <t>46б</t>
        </is>
      </c>
      <c r="D652" s="170" t="inlineStr">
        <is>
          <t>раз в 3 года</t>
        </is>
      </c>
      <c r="E652" s="171" t="n">
        <v>1</v>
      </c>
      <c r="F652" s="171" t="n">
        <v>2</v>
      </c>
      <c r="G652" s="171" t="n">
        <v>1</v>
      </c>
      <c r="H652" s="45" t="inlineStr">
        <is>
          <t>18.07.2024; 17.08.2026</t>
        </is>
      </c>
      <c r="I652" s="170" t="inlineStr">
        <is>
          <t>18.07.2024</t>
        </is>
      </c>
    </row>
    <row r="653" ht="32" customHeight="1">
      <c r="A653" s="45" t="inlineStr">
        <is>
          <t>работник 766</t>
        </is>
      </c>
      <c r="B653" s="45" t="inlineStr">
        <is>
          <t>Машинист погрузочно-доставочной машины (занятый на транспортировании горной массы в технологическом процессе)</t>
        </is>
      </c>
      <c r="C653" s="45" t="inlineStr">
        <is>
          <t>46б</t>
        </is>
      </c>
      <c r="D653" s="170" t="inlineStr">
        <is>
          <t>раз в 3 года</t>
        </is>
      </c>
      <c r="E653" s="171" t="n">
        <v>1</v>
      </c>
      <c r="F653" s="171" t="n">
        <v>2</v>
      </c>
      <c r="G653" s="171" t="n">
        <v>1</v>
      </c>
      <c r="H653" s="45" t="inlineStr">
        <is>
          <t>04.06.2026; 23.07.2026</t>
        </is>
      </c>
      <c r="I653" s="170" t="inlineStr">
        <is>
          <t>04.06.2026</t>
        </is>
      </c>
    </row>
    <row r="654" ht="32" customHeight="1">
      <c r="A654" s="45" t="inlineStr">
        <is>
          <t>работник 823</t>
        </is>
      </c>
      <c r="B654" s="45" t="inlineStr">
        <is>
          <t>Слесарь по ремонту автомобилей / Слесарь по ремонту автомобилей и тяжелой техники</t>
        </is>
      </c>
      <c r="C654" s="45" t="inlineStr">
        <is>
          <t>46б</t>
        </is>
      </c>
      <c r="D654" s="170" t="inlineStr">
        <is>
          <t>раз в 3 года</t>
        </is>
      </c>
      <c r="E654" s="171" t="n">
        <v>1</v>
      </c>
      <c r="F654" s="171" t="n">
        <v>2</v>
      </c>
      <c r="G654" s="171" t="n">
        <v>1</v>
      </c>
      <c r="H654" s="45" t="inlineStr">
        <is>
          <t>30.06.2026; 18.08.2026</t>
        </is>
      </c>
      <c r="I654" s="170" t="inlineStr">
        <is>
          <t>30.06.2026</t>
        </is>
      </c>
    </row>
    <row r="655" ht="32" customHeight="1">
      <c r="A655" s="45" t="inlineStr">
        <is>
          <t>работник 183</t>
        </is>
      </c>
      <c r="B655" s="45" t="inlineStr">
        <is>
          <t>Машинист экскаватора / Слесарь-ремонтник (по ремонту самоходной техники)</t>
        </is>
      </c>
      <c r="C655" s="45" t="inlineStr">
        <is>
          <t>46б</t>
        </is>
      </c>
      <c r="D655" s="170" t="inlineStr">
        <is>
          <t>раз в 3 года</t>
        </is>
      </c>
      <c r="E655" s="171" t="n">
        <v>1</v>
      </c>
      <c r="F655" s="171" t="n">
        <v>2</v>
      </c>
      <c r="G655" s="171" t="n">
        <v>1</v>
      </c>
      <c r="H655" s="45" t="inlineStr">
        <is>
          <t>06.02.2024; 17.08.2026</t>
        </is>
      </c>
      <c r="I655" s="170" t="inlineStr">
        <is>
          <t>06.02.2024</t>
        </is>
      </c>
    </row>
    <row r="656" ht="32" customHeight="1">
      <c r="A656" s="45" t="inlineStr">
        <is>
          <t>работник 656</t>
        </is>
      </c>
      <c r="B656" s="45" t="inlineStr">
        <is>
          <t>Слесарь по ремонту автомобилей / Слесарь по ремонту автомобилей и тяжелой техники</t>
        </is>
      </c>
      <c r="C656" s="45" t="inlineStr">
        <is>
          <t>46б</t>
        </is>
      </c>
      <c r="D656" s="170" t="inlineStr">
        <is>
          <t>раз в 3 года</t>
        </is>
      </c>
      <c r="E656" s="171" t="n">
        <v>1</v>
      </c>
      <c r="F656" s="171" t="n">
        <v>2</v>
      </c>
      <c r="G656" s="171" t="n">
        <v>1</v>
      </c>
      <c r="H656" s="45" t="inlineStr">
        <is>
          <t>07.03.2026; 18.08.2026</t>
        </is>
      </c>
      <c r="I656" s="170" t="inlineStr">
        <is>
          <t>07.03.2026</t>
        </is>
      </c>
    </row>
    <row r="657" ht="20" customHeight="1">
      <c r="A657" s="45" t="inlineStr">
        <is>
          <t>работник 234</t>
        </is>
      </c>
      <c r="B657" s="45" t="inlineStr">
        <is>
          <t>Лаборант пробирного анализа</t>
        </is>
      </c>
      <c r="C657" s="45" t="inlineStr">
        <is>
          <t>46б</t>
        </is>
      </c>
      <c r="D657" s="170" t="inlineStr">
        <is>
          <t>раз в 3 года</t>
        </is>
      </c>
      <c r="E657" s="171" t="n">
        <v>1</v>
      </c>
      <c r="F657" s="171" t="n">
        <v>2</v>
      </c>
      <c r="G657" s="171" t="n">
        <v>1</v>
      </c>
      <c r="H657" s="45" t="inlineStr">
        <is>
          <t>23.02.2024; 15.02.2025</t>
        </is>
      </c>
      <c r="I657" s="170" t="inlineStr">
        <is>
          <t>23.02.2024</t>
        </is>
      </c>
    </row>
    <row r="658" ht="20" customHeight="1">
      <c r="A658" s="45" t="inlineStr">
        <is>
          <t>работник 552</t>
        </is>
      </c>
      <c r="B658" s="45" t="inlineStr">
        <is>
          <t>Проходчик (с исполнением обязанностей взрывника)</t>
        </is>
      </c>
      <c r="C658" s="45" t="inlineStr">
        <is>
          <t>46б</t>
        </is>
      </c>
      <c r="D658" s="170" t="inlineStr">
        <is>
          <t>раз в 3 года</t>
        </is>
      </c>
      <c r="E658" s="171" t="n">
        <v>1</v>
      </c>
      <c r="F658" s="171" t="n">
        <v>2</v>
      </c>
      <c r="G658" s="171" t="n">
        <v>1</v>
      </c>
      <c r="H658" s="45" t="inlineStr">
        <is>
          <t>19.04.2025; 22.07.2026</t>
        </is>
      </c>
      <c r="I658" s="170" t="inlineStr">
        <is>
          <t>19.04.2025</t>
        </is>
      </c>
    </row>
    <row r="659" ht="20" customHeight="1">
      <c r="A659" s="45" t="inlineStr">
        <is>
          <t>работник 811</t>
        </is>
      </c>
      <c r="B659" s="45" t="inlineStr">
        <is>
          <t>Машинист конвейера</t>
        </is>
      </c>
      <c r="C659" s="45" t="inlineStr">
        <is>
          <t>46б</t>
        </is>
      </c>
      <c r="D659" s="170" t="inlineStr">
        <is>
          <t>раз в 3 года</t>
        </is>
      </c>
      <c r="E659" s="171" t="n">
        <v>1</v>
      </c>
      <c r="F659" s="171" t="n">
        <v>2</v>
      </c>
      <c r="G659" s="171" t="n">
        <v>1</v>
      </c>
      <c r="H659" s="45" t="inlineStr">
        <is>
          <t>01.07.2026; 29.07.2026</t>
        </is>
      </c>
      <c r="I659" s="170" t="inlineStr">
        <is>
          <t>01.07.2026</t>
        </is>
      </c>
    </row>
    <row r="660" ht="20" customHeight="1">
      <c r="A660" s="45" t="inlineStr">
        <is>
          <t>работник 535</t>
        </is>
      </c>
      <c r="B660" s="45" t="inlineStr">
        <is>
          <t>Водитель автомобиля (категория Д)</t>
        </is>
      </c>
      <c r="C660" s="45" t="inlineStr">
        <is>
          <t>46б</t>
        </is>
      </c>
      <c r="D660" s="170" t="inlineStr">
        <is>
          <t>раз в 3 года</t>
        </is>
      </c>
      <c r="E660" s="171" t="n">
        <v>1</v>
      </c>
      <c r="F660" s="171" t="n">
        <v>2</v>
      </c>
      <c r="G660" s="171" t="n">
        <v>1</v>
      </c>
      <c r="H660" s="45" t="inlineStr">
        <is>
          <t>18.03.2025; 17.08.2026</t>
        </is>
      </c>
      <c r="I660" s="170" t="inlineStr">
        <is>
          <t>18.03.2025</t>
        </is>
      </c>
    </row>
    <row r="661" ht="32" customHeight="1">
      <c r="A661" s="45" t="inlineStr">
        <is>
          <t>работник 177</t>
        </is>
      </c>
      <c r="B661" s="45" t="inlineStr">
        <is>
          <t>Слесарь-ремонтник (по ремонту горно-шахтного оборудования) / Слесарь-сантехник</t>
        </is>
      </c>
      <c r="C661" s="45" t="inlineStr">
        <is>
          <t>46б</t>
        </is>
      </c>
      <c r="D661" s="170" t="inlineStr">
        <is>
          <t>раз в 3 года</t>
        </is>
      </c>
      <c r="E661" s="171" t="n">
        <v>1</v>
      </c>
      <c r="F661" s="171" t="n">
        <v>2</v>
      </c>
      <c r="G661" s="171" t="n">
        <v>1</v>
      </c>
      <c r="H661" s="45" t="inlineStr">
        <is>
          <t>19.01.2024; 18.05.2024</t>
        </is>
      </c>
      <c r="I661" s="170" t="inlineStr">
        <is>
          <t>19.01.2024</t>
        </is>
      </c>
    </row>
    <row r="662" ht="32" customHeight="1">
      <c r="A662" s="45" t="inlineStr">
        <is>
          <t>работник 178</t>
        </is>
      </c>
      <c r="B662" s="45" t="inlineStr">
        <is>
          <t>Машинист погрузочно-доставочной машины (занятый на транспортировании горной массы в технологическом процессе) / Машинист подземно-доставочной машины</t>
        </is>
      </c>
      <c r="C662" s="45" t="inlineStr">
        <is>
          <t>46б</t>
        </is>
      </c>
      <c r="D662" s="170" t="inlineStr">
        <is>
          <t>раз в 3 года</t>
        </is>
      </c>
      <c r="E662" s="171" t="n">
        <v>1</v>
      </c>
      <c r="F662" s="171" t="n">
        <v>2</v>
      </c>
      <c r="G662" s="171" t="n">
        <v>1</v>
      </c>
      <c r="H662" s="45" t="inlineStr">
        <is>
          <t>19.01.2024; 16.08.2026</t>
        </is>
      </c>
      <c r="I662" s="170" t="inlineStr">
        <is>
          <t>19.01.2024</t>
        </is>
      </c>
    </row>
    <row r="663" ht="32" customHeight="1">
      <c r="A663" s="45" t="inlineStr">
        <is>
          <t>работник 556</t>
        </is>
      </c>
      <c r="B663" s="45" t="inlineStr">
        <is>
          <t>Электромонтер по ремонту и обслуживанию электрооборудования</t>
        </is>
      </c>
      <c r="C663" s="45" t="inlineStr">
        <is>
          <t>46б</t>
        </is>
      </c>
      <c r="D663" s="170" t="inlineStr">
        <is>
          <t>раз в 3 года</t>
        </is>
      </c>
      <c r="E663" s="171" t="n">
        <v>1</v>
      </c>
      <c r="F663" s="171" t="n">
        <v>2</v>
      </c>
      <c r="G663" s="171" t="n">
        <v>1</v>
      </c>
      <c r="H663" s="45" t="inlineStr">
        <is>
          <t>28.05.2025; 22.07.2025</t>
        </is>
      </c>
      <c r="I663" s="170" t="inlineStr">
        <is>
          <t>28.05.2025</t>
        </is>
      </c>
    </row>
    <row r="664" ht="32" customHeight="1">
      <c r="A664" s="45" t="inlineStr">
        <is>
          <t>работник 305</t>
        </is>
      </c>
      <c r="B664" s="45" t="inlineStr">
        <is>
          <t>Электромонтер / Электромонтер по ремонту и обслуживанию электрооборудования</t>
        </is>
      </c>
      <c r="C664" s="45" t="inlineStr">
        <is>
          <t>46в. Высота</t>
        </is>
      </c>
      <c r="D664" s="170" t="inlineStr">
        <is>
          <t>раз в 3 года</t>
        </is>
      </c>
      <c r="E664" s="171" t="n">
        <v>1</v>
      </c>
      <c r="F664" s="171" t="n">
        <v>2</v>
      </c>
      <c r="G664" s="171" t="n">
        <v>1</v>
      </c>
      <c r="H664" s="45" t="inlineStr">
        <is>
          <t>06.03.2024; 10.12.2024</t>
        </is>
      </c>
      <c r="I664" s="170" t="inlineStr">
        <is>
          <t>06.03.2024</t>
        </is>
      </c>
    </row>
    <row r="665" ht="20" customHeight="1">
      <c r="A665" s="45" t="inlineStr">
        <is>
          <t>работник 504</t>
        </is>
      </c>
      <c r="B665" s="45" t="inlineStr">
        <is>
          <t>Электрогазосварщик</t>
        </is>
      </c>
      <c r="C665" s="45" t="inlineStr">
        <is>
          <t>46в. Высота</t>
        </is>
      </c>
      <c r="D665" s="170" t="inlineStr">
        <is>
          <t>раз в 3 года</t>
        </is>
      </c>
      <c r="E665" s="171" t="n">
        <v>1</v>
      </c>
      <c r="F665" s="171" t="n">
        <v>2</v>
      </c>
      <c r="G665" s="171" t="n">
        <v>1</v>
      </c>
      <c r="H665" s="45" t="inlineStr">
        <is>
          <t>10.12.2024; 05.06.2026</t>
        </is>
      </c>
      <c r="I665" s="170" t="inlineStr">
        <is>
          <t>25.11.2024</t>
        </is>
      </c>
    </row>
    <row r="666" ht="20" customHeight="1">
      <c r="A666" s="45" t="inlineStr">
        <is>
          <t>работник 133</t>
        </is>
      </c>
      <c r="B666" s="45" t="inlineStr">
        <is>
          <t>Электрогазосварщик</t>
        </is>
      </c>
      <c r="C666" s="45" t="inlineStr">
        <is>
          <t>46в. Высота</t>
        </is>
      </c>
      <c r="D666" s="170" t="inlineStr">
        <is>
          <t>раз в 3 года</t>
        </is>
      </c>
      <c r="E666" s="171" t="n">
        <v>2</v>
      </c>
      <c r="F666" s="171" t="n">
        <v>3</v>
      </c>
      <c r="G666" s="171" t="n">
        <v>1</v>
      </c>
      <c r="H666" s="45" t="inlineStr">
        <is>
          <t>11.12.2023; 10.12.2024; 05.06.2026</t>
        </is>
      </c>
      <c r="I666" s="170" t="inlineStr">
        <is>
          <t>11.12.2023</t>
        </is>
      </c>
    </row>
    <row r="667" ht="32" customHeight="1">
      <c r="A667" s="45" t="inlineStr">
        <is>
          <t>работник 477</t>
        </is>
      </c>
      <c r="B667" s="45" t="inlineStr">
        <is>
          <t>Слесарь-ремонтник / Слесарь-ремонтник (по ремонту обогатительного оборудования)</t>
        </is>
      </c>
      <c r="C667" s="45" t="inlineStr">
        <is>
          <t>46в. Высота</t>
        </is>
      </c>
      <c r="D667" s="170" t="inlineStr">
        <is>
          <t>раз в 3 года</t>
        </is>
      </c>
      <c r="E667" s="171" t="n">
        <v>1</v>
      </c>
      <c r="F667" s="171" t="n">
        <v>2</v>
      </c>
      <c r="G667" s="171" t="n">
        <v>1</v>
      </c>
      <c r="H667" s="45" t="inlineStr">
        <is>
          <t>10.12.2024; 05.06.2026</t>
        </is>
      </c>
      <c r="I667" s="170" t="inlineStr">
        <is>
          <t>13.11.2024</t>
        </is>
      </c>
    </row>
    <row r="668" ht="20" customHeight="1">
      <c r="A668" s="45" t="inlineStr">
        <is>
          <t>работник 425</t>
        </is>
      </c>
      <c r="B668" s="45" t="inlineStr">
        <is>
          <t>Аппаратчик сгустителей / Слесарь-ремонтник</t>
        </is>
      </c>
      <c r="C668" s="45" t="inlineStr">
        <is>
          <t>46в. Высота</t>
        </is>
      </c>
      <c r="D668" s="170" t="inlineStr">
        <is>
          <t>раз в 3 года</t>
        </is>
      </c>
      <c r="E668" s="171" t="n">
        <v>1</v>
      </c>
      <c r="F668" s="171" t="n">
        <v>2</v>
      </c>
      <c r="G668" s="171" t="n">
        <v>1</v>
      </c>
      <c r="H668" s="45" t="inlineStr">
        <is>
          <t>10.12.2024; 05.06.2026</t>
        </is>
      </c>
      <c r="I668" s="170" t="inlineStr">
        <is>
          <t>20.10.2024</t>
        </is>
      </c>
    </row>
    <row r="669" ht="32" customHeight="1">
      <c r="A669" s="45" t="inlineStr">
        <is>
          <t>работник 23</t>
        </is>
      </c>
      <c r="B669" s="45" t="inlineStr">
        <is>
          <t>Слесарь-ремонтник / Слесарь-ремонтник (по ремонту обогатительного оборудования)</t>
        </is>
      </c>
      <c r="C669" s="45" t="inlineStr">
        <is>
          <t>46в. Высота</t>
        </is>
      </c>
      <c r="D669" s="170" t="inlineStr">
        <is>
          <t>раз в 3 года</t>
        </is>
      </c>
      <c r="E669" s="171" t="n">
        <v>2</v>
      </c>
      <c r="F669" s="171" t="n">
        <v>3</v>
      </c>
      <c r="G669" s="171" t="n">
        <v>1</v>
      </c>
      <c r="H669" s="45" t="inlineStr">
        <is>
          <t>24.11.2023; 10.12.2024; 05.06.2026</t>
        </is>
      </c>
      <c r="I669" s="170" t="inlineStr">
        <is>
          <t>24.11.2023</t>
        </is>
      </c>
    </row>
    <row r="670" ht="32" customHeight="1">
      <c r="A670" s="45" t="inlineStr">
        <is>
          <t>работник 24</t>
        </is>
      </c>
      <c r="B670" s="45" t="inlineStr">
        <is>
          <t>Слесарь-ремонтник / Слесарь-ремонтник (по ремонту обогатительного оборудования)</t>
        </is>
      </c>
      <c r="C670" s="45" t="inlineStr">
        <is>
          <t>46в. Высота</t>
        </is>
      </c>
      <c r="D670" s="170" t="inlineStr">
        <is>
          <t>раз в 3 года</t>
        </is>
      </c>
      <c r="E670" s="171" t="n">
        <v>2</v>
      </c>
      <c r="F670" s="171" t="n">
        <v>3</v>
      </c>
      <c r="G670" s="171" t="n">
        <v>1</v>
      </c>
      <c r="H670" s="45" t="inlineStr">
        <is>
          <t>24.11.2023; 10.12.2024; 05.06.2026</t>
        </is>
      </c>
      <c r="I670" s="170" t="inlineStr">
        <is>
          <t>24.11.2023</t>
        </is>
      </c>
    </row>
    <row r="671" ht="20" customHeight="1">
      <c r="A671" s="45" t="inlineStr">
        <is>
          <t>работник 504</t>
        </is>
      </c>
      <c r="B671" s="45" t="inlineStr">
        <is>
          <t>Электрогазосварщик</t>
        </is>
      </c>
      <c r="C671" s="45" t="inlineStr">
        <is>
          <t>46в. ОЗП</t>
        </is>
      </c>
      <c r="D671" s="170" t="inlineStr">
        <is>
          <t>раз в 3 года</t>
        </is>
      </c>
      <c r="E671" s="171" t="n">
        <v>1</v>
      </c>
      <c r="F671" s="171" t="n">
        <v>2</v>
      </c>
      <c r="G671" s="171" t="n">
        <v>1</v>
      </c>
      <c r="H671" s="45" t="inlineStr">
        <is>
          <t>10.12.2024; 05.06.2026</t>
        </is>
      </c>
      <c r="I671" s="170" t="inlineStr">
        <is>
          <t>25.11.2024</t>
        </is>
      </c>
    </row>
    <row r="672" ht="20" customHeight="1">
      <c r="A672" s="45" t="inlineStr">
        <is>
          <t>работник 133</t>
        </is>
      </c>
      <c r="B672" s="45" t="inlineStr">
        <is>
          <t>Электрогазосварщик</t>
        </is>
      </c>
      <c r="C672" s="45" t="inlineStr">
        <is>
          <t>46в. ОЗП</t>
        </is>
      </c>
      <c r="D672" s="170" t="inlineStr">
        <is>
          <t>раз в 3 года</t>
        </is>
      </c>
      <c r="E672" s="171" t="n">
        <v>2</v>
      </c>
      <c r="F672" s="171" t="n">
        <v>3</v>
      </c>
      <c r="G672" s="171" t="n">
        <v>1</v>
      </c>
      <c r="H672" s="45" t="inlineStr">
        <is>
          <t>11.12.2023; 10.12.2024; 05.06.2026</t>
        </is>
      </c>
      <c r="I672" s="170" t="inlineStr">
        <is>
          <t>11.12.2023</t>
        </is>
      </c>
    </row>
    <row r="673" ht="32" customHeight="1">
      <c r="A673" s="45" t="inlineStr">
        <is>
          <t>работник 477</t>
        </is>
      </c>
      <c r="B673" s="45" t="inlineStr">
        <is>
          <t>Слесарь-ремонтник / Слесарь-ремонтник (по ремонту обогатительного оборудования)</t>
        </is>
      </c>
      <c r="C673" s="45" t="inlineStr">
        <is>
          <t>46в. ОЗП</t>
        </is>
      </c>
      <c r="D673" s="170" t="inlineStr">
        <is>
          <t>раз в 3 года</t>
        </is>
      </c>
      <c r="E673" s="171" t="n">
        <v>1</v>
      </c>
      <c r="F673" s="171" t="n">
        <v>2</v>
      </c>
      <c r="G673" s="171" t="n">
        <v>1</v>
      </c>
      <c r="H673" s="45" t="inlineStr">
        <is>
          <t>10.12.2024; 05.06.2026</t>
        </is>
      </c>
      <c r="I673" s="170" t="inlineStr">
        <is>
          <t>13.11.2024</t>
        </is>
      </c>
    </row>
    <row r="674" ht="20" customHeight="1">
      <c r="A674" s="45" t="inlineStr">
        <is>
          <t>работник 425</t>
        </is>
      </c>
      <c r="B674" s="45" t="inlineStr">
        <is>
          <t>Аппаратчик сгустителей / Слесарь-ремонтник</t>
        </is>
      </c>
      <c r="C674" s="45" t="inlineStr">
        <is>
          <t>46в. ОЗП</t>
        </is>
      </c>
      <c r="D674" s="170" t="inlineStr">
        <is>
          <t>раз в 3 года</t>
        </is>
      </c>
      <c r="E674" s="171" t="n">
        <v>1</v>
      </c>
      <c r="F674" s="171" t="n">
        <v>2</v>
      </c>
      <c r="G674" s="171" t="n">
        <v>1</v>
      </c>
      <c r="H674" s="45" t="inlineStr">
        <is>
          <t>10.12.2024; 05.06.2026</t>
        </is>
      </c>
      <c r="I674" s="170" t="inlineStr">
        <is>
          <t>20.10.2024</t>
        </is>
      </c>
    </row>
    <row r="675" ht="32" customHeight="1">
      <c r="A675" s="45" t="inlineStr">
        <is>
          <t>работник 23</t>
        </is>
      </c>
      <c r="B675" s="45" t="inlineStr">
        <is>
          <t>Слесарь-ремонтник / Слесарь-ремонтник (по ремонту обогатительного оборудования)</t>
        </is>
      </c>
      <c r="C675" s="45" t="inlineStr">
        <is>
          <t>46в. ОЗП</t>
        </is>
      </c>
      <c r="D675" s="170" t="inlineStr">
        <is>
          <t>раз в 3 года</t>
        </is>
      </c>
      <c r="E675" s="171" t="n">
        <v>2</v>
      </c>
      <c r="F675" s="171" t="n">
        <v>3</v>
      </c>
      <c r="G675" s="171" t="n">
        <v>1</v>
      </c>
      <c r="H675" s="45" t="inlineStr">
        <is>
          <t>24.11.2023; 10.12.2024; 05.06.2026</t>
        </is>
      </c>
      <c r="I675" s="170" t="inlineStr">
        <is>
          <t>24.11.2023</t>
        </is>
      </c>
    </row>
    <row r="676" ht="32" customHeight="1">
      <c r="A676" s="45" t="inlineStr">
        <is>
          <t>работник 24</t>
        </is>
      </c>
      <c r="B676" s="45" t="inlineStr">
        <is>
          <t>Слесарь-ремонтник / Слесарь-ремонтник (по ремонту обогатительного оборудования)</t>
        </is>
      </c>
      <c r="C676" s="45" t="inlineStr">
        <is>
          <t>46в. ОЗП</t>
        </is>
      </c>
      <c r="D676" s="170" t="inlineStr">
        <is>
          <t>раз в 3 года</t>
        </is>
      </c>
      <c r="E676" s="171" t="n">
        <v>2</v>
      </c>
      <c r="F676" s="171" t="n">
        <v>3</v>
      </c>
      <c r="G676" s="171" t="n">
        <v>1</v>
      </c>
      <c r="H676" s="45" t="inlineStr">
        <is>
          <t>24.11.2023; 10.12.2024; 05.06.2026</t>
        </is>
      </c>
      <c r="I676" s="170" t="inlineStr">
        <is>
          <t>24.11.2023</t>
        </is>
      </c>
    </row>
    <row r="677" ht="20" customHeight="1">
      <c r="A677" s="45" t="inlineStr">
        <is>
          <t>работник 144</t>
        </is>
      </c>
      <c r="B677" s="45" t="inlineStr">
        <is>
          <t>Бункеровщик / Машинист мельниц</t>
        </is>
      </c>
      <c r="C677" s="45" t="inlineStr">
        <is>
          <t>Первая помощь</t>
        </is>
      </c>
      <c r="D677" s="170" t="inlineStr">
        <is>
          <t>раз в 3 года</t>
        </is>
      </c>
      <c r="E677" s="171" t="n">
        <v>1</v>
      </c>
      <c r="F677" s="171" t="n">
        <v>3</v>
      </c>
      <c r="G677" s="171" t="n">
        <v>2</v>
      </c>
      <c r="H677" s="45" t="inlineStr">
        <is>
          <t>25.12.2023; 23.02.2024; 29.07.2026</t>
        </is>
      </c>
      <c r="I677" s="170" t="inlineStr">
        <is>
          <t>25.12.2023</t>
        </is>
      </c>
    </row>
    <row r="678" ht="20" customHeight="1">
      <c r="A678" s="45" t="inlineStr">
        <is>
          <t>работник 22</t>
        </is>
      </c>
      <c r="B678" s="45" t="inlineStr">
        <is>
          <t>Электрогазосварщик</t>
        </is>
      </c>
      <c r="C678" s="45" t="inlineStr">
        <is>
          <t>Первая помощь</t>
        </is>
      </c>
      <c r="D678" s="170" t="inlineStr">
        <is>
          <t>раз в 3 года</t>
        </is>
      </c>
      <c r="E678" s="171" t="n">
        <v>2</v>
      </c>
      <c r="F678" s="171" t="n">
        <v>4</v>
      </c>
      <c r="G678" s="171" t="n">
        <v>2</v>
      </c>
      <c r="H678" s="45" t="inlineStr">
        <is>
          <t>02.10.2023; 03.12.2023; 23.02.2024; 18.08.2026</t>
        </is>
      </c>
      <c r="I678" s="170" t="inlineStr">
        <is>
          <t>02.10.2023</t>
        </is>
      </c>
    </row>
    <row r="679" ht="32" customHeight="1">
      <c r="A679" s="45" t="inlineStr">
        <is>
          <t>работник 302</t>
        </is>
      </c>
      <c r="B679" s="45" t="inlineStr">
        <is>
          <t>Машинист погрузочно-доставочной машины / Машинист погрузочно-доставочной машины (ТГМ)</t>
        </is>
      </c>
      <c r="C679" s="45" t="inlineStr">
        <is>
          <t>Первая помощь</t>
        </is>
      </c>
      <c r="D679" s="170" t="inlineStr">
        <is>
          <t>раз в 3 года</t>
        </is>
      </c>
      <c r="E679" s="171" t="n">
        <v>1</v>
      </c>
      <c r="F679" s="171" t="n">
        <v>3</v>
      </c>
      <c r="G679" s="171" t="n">
        <v>2</v>
      </c>
      <c r="H679" s="45" t="inlineStr">
        <is>
          <t>12.02.2024; 23.07.2026; 26.07.2026</t>
        </is>
      </c>
      <c r="I679" s="170" t="inlineStr">
        <is>
          <t>12.02.2024</t>
        </is>
      </c>
    </row>
    <row r="680" ht="20" customHeight="1">
      <c r="A680" s="45" t="inlineStr">
        <is>
          <t>работник 147</t>
        </is>
      </c>
      <c r="B680" s="45" t="inlineStr">
        <is>
          <t>Крепильщик</t>
        </is>
      </c>
      <c r="C680" s="45" t="inlineStr">
        <is>
          <t>Первая помощь</t>
        </is>
      </c>
      <c r="D680" s="170" t="inlineStr">
        <is>
          <t>раз в 3 года</t>
        </is>
      </c>
      <c r="E680" s="171" t="n">
        <v>1</v>
      </c>
      <c r="F680" s="171" t="n">
        <v>2</v>
      </c>
      <c r="G680" s="171" t="n">
        <v>1</v>
      </c>
      <c r="H680" s="45" t="inlineStr">
        <is>
          <t>19.01.2024; 24.07.2026</t>
        </is>
      </c>
      <c r="I680" s="170" t="inlineStr">
        <is>
          <t>19.01.2024</t>
        </is>
      </c>
    </row>
    <row r="681" ht="20" customHeight="1">
      <c r="A681" s="45" t="inlineStr">
        <is>
          <t>работник 424</t>
        </is>
      </c>
      <c r="B681" s="45" t="inlineStr">
        <is>
          <t>Аппаратчик-гидрометаллург / Фильтровальщик</t>
        </is>
      </c>
      <c r="C681" s="45" t="inlineStr">
        <is>
          <t>Первая помощь</t>
        </is>
      </c>
      <c r="D681" s="170" t="inlineStr">
        <is>
          <t>раз в 3 года</t>
        </is>
      </c>
      <c r="E681" s="171" t="n">
        <v>1</v>
      </c>
      <c r="F681" s="171" t="n">
        <v>2</v>
      </c>
      <c r="G681" s="171" t="n">
        <v>1</v>
      </c>
      <c r="H681" s="45" t="inlineStr">
        <is>
          <t>26.08.2026; 07.09.2026</t>
        </is>
      </c>
      <c r="I681" s="170" t="inlineStr">
        <is>
          <t>20.10.2024</t>
        </is>
      </c>
    </row>
    <row r="682" ht="32" customHeight="1">
      <c r="A682" s="45" t="inlineStr">
        <is>
          <t>работник 773</t>
        </is>
      </c>
      <c r="B682" s="45" t="inlineStr">
        <is>
          <t>Слесарь-ремонтник (по ремонту горно-шахтного оборудования)</t>
        </is>
      </c>
      <c r="C682" s="45" t="inlineStr">
        <is>
          <t>Первая помощь</t>
        </is>
      </c>
      <c r="D682" s="170" t="inlineStr">
        <is>
          <t>раз в 3 года</t>
        </is>
      </c>
      <c r="E682" s="171" t="n">
        <v>1</v>
      </c>
      <c r="F682" s="171" t="n">
        <v>2</v>
      </c>
      <c r="G682" s="171" t="n">
        <v>1</v>
      </c>
      <c r="H682" s="45" t="inlineStr">
        <is>
          <t>04.06.2026; 17.08.2026</t>
        </is>
      </c>
      <c r="I682" s="170" t="inlineStr">
        <is>
          <t>04.06.2026</t>
        </is>
      </c>
    </row>
    <row r="683" ht="32" customHeight="1">
      <c r="A683" s="45" t="inlineStr">
        <is>
          <t>работник 149</t>
        </is>
      </c>
      <c r="B683" s="45" t="inlineStr">
        <is>
          <t>Машинист погрузочно-доставочной машины / Машинист подземно-доставочной машины</t>
        </is>
      </c>
      <c r="C683" s="45" t="inlineStr">
        <is>
          <t>Первая помощь</t>
        </is>
      </c>
      <c r="D683" s="170" t="inlineStr">
        <is>
          <t>раз в 3 года</t>
        </is>
      </c>
      <c r="E683" s="171" t="n">
        <v>1</v>
      </c>
      <c r="F683" s="171" t="n">
        <v>2</v>
      </c>
      <c r="G683" s="171" t="n">
        <v>1</v>
      </c>
      <c r="H683" s="45" t="inlineStr">
        <is>
          <t>19.01.2024; 15.08.2026</t>
        </is>
      </c>
      <c r="I683" s="170" t="inlineStr">
        <is>
          <t>19.01.2024</t>
        </is>
      </c>
    </row>
    <row r="684" ht="32" customHeight="1">
      <c r="A684" s="45" t="inlineStr">
        <is>
          <t>работник 151</t>
        </is>
      </c>
      <c r="B684" s="45" t="inlineStr">
        <is>
          <t>Машинист погрузочно-доставочной машины (занятый на транспортировании горной массы в технологическом процессе) / Машинист подземно-доставочной машины</t>
        </is>
      </c>
      <c r="C684" s="45" t="inlineStr">
        <is>
          <t>Первая помощь</t>
        </is>
      </c>
      <c r="D684" s="170" t="inlineStr">
        <is>
          <t>раз в 3 года</t>
        </is>
      </c>
      <c r="E684" s="171" t="n">
        <v>1</v>
      </c>
      <c r="F684" s="171" t="n">
        <v>2</v>
      </c>
      <c r="G684" s="171" t="n">
        <v>1</v>
      </c>
      <c r="H684" s="45" t="inlineStr">
        <is>
          <t>19.01.2024; 16.08.2026</t>
        </is>
      </c>
      <c r="I684" s="170" t="inlineStr">
        <is>
          <t>19.01.2024</t>
        </is>
      </c>
    </row>
    <row r="685" ht="32" customHeight="1">
      <c r="A685" s="45" t="inlineStr">
        <is>
          <t>работник 260</t>
        </is>
      </c>
      <c r="B685" s="45" t="inlineStr">
        <is>
          <t>Водитель автомобиля (занятый на транспортировании горной массы в технологическом процессе)</t>
        </is>
      </c>
      <c r="C685" s="45" t="inlineStr">
        <is>
          <t>Первая помощь</t>
        </is>
      </c>
      <c r="D685" s="170" t="inlineStr">
        <is>
          <t>раз в 3 года</t>
        </is>
      </c>
      <c r="E685" s="171" t="n">
        <v>1</v>
      </c>
      <c r="F685" s="171" t="n">
        <v>2</v>
      </c>
      <c r="G685" s="171" t="n">
        <v>1</v>
      </c>
      <c r="H685" s="45" t="inlineStr">
        <is>
          <t>23.02.2024; 17.08.2026</t>
        </is>
      </c>
      <c r="I685" s="170" t="inlineStr">
        <is>
          <t>23.02.2024</t>
        </is>
      </c>
    </row>
    <row r="686" ht="20" customHeight="1">
      <c r="A686" s="45" t="inlineStr">
        <is>
          <t>работник 261</t>
        </is>
      </c>
      <c r="B686" s="45" t="inlineStr">
        <is>
          <t>Машинист бульдозера</t>
        </is>
      </c>
      <c r="C686" s="45" t="inlineStr">
        <is>
          <t>Первая помощь</t>
        </is>
      </c>
      <c r="D686" s="170" t="inlineStr">
        <is>
          <t>раз в 3 года</t>
        </is>
      </c>
      <c r="E686" s="171" t="n">
        <v>1</v>
      </c>
      <c r="F686" s="171" t="n">
        <v>2</v>
      </c>
      <c r="G686" s="171" t="n">
        <v>1</v>
      </c>
      <c r="H686" s="45" t="inlineStr">
        <is>
          <t>23.02.2024; 18.08.2026</t>
        </is>
      </c>
      <c r="I686" s="170" t="inlineStr">
        <is>
          <t>23.02.2024</t>
        </is>
      </c>
    </row>
    <row r="687" ht="20" customHeight="1">
      <c r="A687" s="45" t="inlineStr">
        <is>
          <t>работник 262</t>
        </is>
      </c>
      <c r="B687" s="45" t="inlineStr">
        <is>
          <t>Электрогазосварщик</t>
        </is>
      </c>
      <c r="C687" s="45" t="inlineStr">
        <is>
          <t>Первая помощь</t>
        </is>
      </c>
      <c r="D687" s="170" t="inlineStr">
        <is>
          <t>раз в 3 года</t>
        </is>
      </c>
      <c r="E687" s="171" t="n">
        <v>1</v>
      </c>
      <c r="F687" s="171" t="n">
        <v>2</v>
      </c>
      <c r="G687" s="171" t="n">
        <v>1</v>
      </c>
      <c r="H687" s="45" t="inlineStr">
        <is>
          <t>23.02.2024; 06.06.2026</t>
        </is>
      </c>
      <c r="I687" s="170" t="inlineStr">
        <is>
          <t>23.02.2024</t>
        </is>
      </c>
    </row>
    <row r="688" ht="32" customHeight="1">
      <c r="A688" s="45" t="inlineStr">
        <is>
          <t>работник 154</t>
        </is>
      </c>
      <c r="B688" s="45" t="inlineStr">
        <is>
          <t>Машинист погрузочно-доставочной машины / Машинист подземно-доставочной машины</t>
        </is>
      </c>
      <c r="C688" s="45" t="inlineStr">
        <is>
          <t>Первая помощь</t>
        </is>
      </c>
      <c r="D688" s="170" t="inlineStr">
        <is>
          <t>раз в 3 года</t>
        </is>
      </c>
      <c r="E688" s="171" t="n">
        <v>1</v>
      </c>
      <c r="F688" s="171" t="n">
        <v>2</v>
      </c>
      <c r="G688" s="171" t="n">
        <v>1</v>
      </c>
      <c r="H688" s="45" t="inlineStr">
        <is>
          <t>19.01.2024; 23.07.2026</t>
        </is>
      </c>
      <c r="I688" s="170" t="inlineStr">
        <is>
          <t>19.01.2024</t>
        </is>
      </c>
    </row>
    <row r="689" ht="32" customHeight="1">
      <c r="A689" s="45" t="inlineStr">
        <is>
          <t>работник 761</t>
        </is>
      </c>
      <c r="B689" s="45" t="inlineStr">
        <is>
          <t>Машинист погрузочно-доставочной машины (занятый на транспортировании горной массы в технологическом процессе)</t>
        </is>
      </c>
      <c r="C689" s="45" t="inlineStr">
        <is>
          <t>Первая помощь</t>
        </is>
      </c>
      <c r="D689" s="170" t="inlineStr">
        <is>
          <t>раз в 3 года</t>
        </is>
      </c>
      <c r="E689" s="171" t="n">
        <v>1</v>
      </c>
      <c r="F689" s="171" t="n">
        <v>2</v>
      </c>
      <c r="G689" s="171" t="n">
        <v>1</v>
      </c>
      <c r="H689" s="45" t="inlineStr">
        <is>
          <t>04.06.2026; 23.07.2026</t>
        </is>
      </c>
      <c r="I689" s="170" t="inlineStr">
        <is>
          <t>04.06.2026</t>
        </is>
      </c>
    </row>
    <row r="690" ht="20" customHeight="1">
      <c r="A690" s="45" t="inlineStr">
        <is>
          <t>работник 331</t>
        </is>
      </c>
      <c r="B690" s="45" t="inlineStr">
        <is>
          <t>Пробоотборщик / Флотатор</t>
        </is>
      </c>
      <c r="C690" s="45" t="inlineStr">
        <is>
          <t>Первая помощь</t>
        </is>
      </c>
      <c r="D690" s="170" t="inlineStr">
        <is>
          <t>раз в 3 года</t>
        </is>
      </c>
      <c r="E690" s="171" t="n">
        <v>1</v>
      </c>
      <c r="F690" s="171" t="n">
        <v>2</v>
      </c>
      <c r="G690" s="171" t="n">
        <v>1</v>
      </c>
      <c r="H690" s="45" t="inlineStr">
        <is>
          <t>18.03.2024; 12.08.2024</t>
        </is>
      </c>
      <c r="I690" s="170" t="inlineStr">
        <is>
          <t>18.03.2024</t>
        </is>
      </c>
    </row>
    <row r="691" ht="20" customHeight="1">
      <c r="A691" s="45" t="inlineStr">
        <is>
          <t>работник 404</t>
        </is>
      </c>
      <c r="B691" s="45" t="inlineStr">
        <is>
          <t>Машинист подземных самоходных машин</t>
        </is>
      </c>
      <c r="C691" s="45" t="inlineStr">
        <is>
          <t>Первая помощь</t>
        </is>
      </c>
      <c r="D691" s="170" t="inlineStr">
        <is>
          <t>раз в 3 года</t>
        </is>
      </c>
      <c r="E691" s="171" t="n">
        <v>1</v>
      </c>
      <c r="F691" s="171" t="n">
        <v>2</v>
      </c>
      <c r="G691" s="171" t="n">
        <v>1</v>
      </c>
      <c r="H691" s="45" t="inlineStr">
        <is>
          <t>04.06.2026; 24.07.2026</t>
        </is>
      </c>
      <c r="I691" s="170" t="inlineStr">
        <is>
          <t>18.08.2024</t>
        </is>
      </c>
    </row>
    <row r="692" ht="32" customHeight="1">
      <c r="A692" s="45" t="inlineStr">
        <is>
          <t>работник 220</t>
        </is>
      </c>
      <c r="B692" s="45" t="inlineStr">
        <is>
          <t>Водитель автомобиля (занятый на транспортировании горной массы в технологическом процессе)</t>
        </is>
      </c>
      <c r="C692" s="45" t="inlineStr">
        <is>
          <t>Первая помощь</t>
        </is>
      </c>
      <c r="D692" s="170" t="inlineStr">
        <is>
          <t>раз в 3 года</t>
        </is>
      </c>
      <c r="E692" s="171" t="n">
        <v>2</v>
      </c>
      <c r="F692" s="171" t="n">
        <v>3</v>
      </c>
      <c r="G692" s="171" t="n">
        <v>1</v>
      </c>
      <c r="H692" s="45" t="inlineStr">
        <is>
          <t>03.12.2023; 25.11.2024; 17.08.2026</t>
        </is>
      </c>
      <c r="I692" s="170" t="inlineStr">
        <is>
          <t>03.12.2023</t>
        </is>
      </c>
    </row>
    <row r="693" ht="32" customHeight="1">
      <c r="A693" s="45" t="inlineStr">
        <is>
          <t>работник 762</t>
        </is>
      </c>
      <c r="B693" s="45" t="inlineStr">
        <is>
          <t>Машинист погрузочно-доставочной машины (занятый на транспортировании горной массы в технологическом процессе)</t>
        </is>
      </c>
      <c r="C693" s="45" t="inlineStr">
        <is>
          <t>Первая помощь</t>
        </is>
      </c>
      <c r="D693" s="170" t="inlineStr">
        <is>
          <t>раз в 3 года</t>
        </is>
      </c>
      <c r="E693" s="171" t="n">
        <v>1</v>
      </c>
      <c r="F693" s="171" t="n">
        <v>2</v>
      </c>
      <c r="G693" s="171" t="n">
        <v>1</v>
      </c>
      <c r="H693" s="45" t="inlineStr">
        <is>
          <t>04.06.2026; 23.07.2026</t>
        </is>
      </c>
      <c r="I693" s="170" t="inlineStr">
        <is>
          <t>04.06.2026</t>
        </is>
      </c>
    </row>
    <row r="694" ht="32" customHeight="1">
      <c r="A694" s="45" t="inlineStr">
        <is>
          <t>работник 386</t>
        </is>
      </c>
      <c r="B694" s="45" t="inlineStr">
        <is>
          <t>Горнорабочий на геологических работах / Пробоотборщик</t>
        </is>
      </c>
      <c r="C694" s="45" t="inlineStr">
        <is>
          <t>Первая помощь</t>
        </is>
      </c>
      <c r="D694" s="170" t="inlineStr">
        <is>
          <t>раз в 3 года</t>
        </is>
      </c>
      <c r="E694" s="171" t="n">
        <v>1</v>
      </c>
      <c r="F694" s="171" t="n">
        <v>2</v>
      </c>
      <c r="G694" s="171" t="n">
        <v>1</v>
      </c>
      <c r="H694" s="45" t="inlineStr">
        <is>
          <t>08.08.2024; 25.08.2026</t>
        </is>
      </c>
      <c r="I694" s="170" t="inlineStr">
        <is>
          <t>08.08.2024</t>
        </is>
      </c>
    </row>
    <row r="695" ht="20" customHeight="1">
      <c r="A695" s="45" t="inlineStr">
        <is>
          <t>работник 158</t>
        </is>
      </c>
      <c r="B695" s="45" t="inlineStr">
        <is>
          <t>Горный диспетчер</t>
        </is>
      </c>
      <c r="C695" s="45" t="inlineStr">
        <is>
          <t>Первая помощь</t>
        </is>
      </c>
      <c r="D695" s="170" t="inlineStr">
        <is>
          <t>раз в 3 года</t>
        </is>
      </c>
      <c r="E695" s="171" t="n">
        <v>1</v>
      </c>
      <c r="F695" s="171" t="n">
        <v>2</v>
      </c>
      <c r="G695" s="171" t="n">
        <v>1</v>
      </c>
      <c r="H695" s="45" t="inlineStr">
        <is>
          <t>19.01.2024; 28.07.2026</t>
        </is>
      </c>
      <c r="I695" s="170" t="inlineStr">
        <is>
          <t>19.01.2024</t>
        </is>
      </c>
    </row>
    <row r="696" ht="20" customHeight="1">
      <c r="A696" s="45" t="inlineStr">
        <is>
          <t>работник 268</t>
        </is>
      </c>
      <c r="B696" s="45" t="inlineStr">
        <is>
          <t>Машинист экскаватора</t>
        </is>
      </c>
      <c r="C696" s="45" t="inlineStr">
        <is>
          <t>Первая помощь</t>
        </is>
      </c>
      <c r="D696" s="170" t="inlineStr">
        <is>
          <t>раз в 3 года</t>
        </is>
      </c>
      <c r="E696" s="171" t="n">
        <v>1</v>
      </c>
      <c r="F696" s="171" t="n">
        <v>2</v>
      </c>
      <c r="G696" s="171" t="n">
        <v>1</v>
      </c>
      <c r="H696" s="45" t="inlineStr">
        <is>
          <t>23.02.2024; 17.08.2026</t>
        </is>
      </c>
      <c r="I696" s="170" t="inlineStr">
        <is>
          <t>23.02.2024</t>
        </is>
      </c>
    </row>
    <row r="697" ht="20" customHeight="1">
      <c r="A697" s="45" t="inlineStr">
        <is>
          <t>работник 663</t>
        </is>
      </c>
      <c r="B697" s="45" t="inlineStr">
        <is>
          <t>Проходчик (с исполнением обязанностей взрывника)</t>
        </is>
      </c>
      <c r="C697" s="45" t="inlineStr">
        <is>
          <t>Первая помощь</t>
        </is>
      </c>
      <c r="D697" s="170" t="inlineStr">
        <is>
          <t>раз в 3 года</t>
        </is>
      </c>
      <c r="E697" s="171" t="n">
        <v>1</v>
      </c>
      <c r="F697" s="171" t="n">
        <v>2</v>
      </c>
      <c r="G697" s="171" t="n">
        <v>1</v>
      </c>
      <c r="H697" s="45" t="inlineStr">
        <is>
          <t>28.07.2026; 16.08.2026</t>
        </is>
      </c>
      <c r="I697" s="170" t="inlineStr">
        <is>
          <t>26.02.2026</t>
        </is>
      </c>
    </row>
    <row r="698" ht="32" customHeight="1">
      <c r="A698" s="45" t="inlineStr">
        <is>
          <t>работник 208</t>
        </is>
      </c>
      <c r="B698" s="45" t="inlineStr">
        <is>
          <t>Водитель погрузчика / Машинист погрузочно-доставочной машины (ТГМ) / Машинист погрузочно-доставочной машины (занятый на транспортировании горной массы в технологическом процессе)</t>
        </is>
      </c>
      <c r="C698" s="45" t="inlineStr">
        <is>
          <t>Первая помощь</t>
        </is>
      </c>
      <c r="D698" s="170" t="inlineStr">
        <is>
          <t>раз в 3 года</t>
        </is>
      </c>
      <c r="E698" s="171" t="n">
        <v>2</v>
      </c>
      <c r="F698" s="171" t="n">
        <v>3</v>
      </c>
      <c r="G698" s="171" t="n">
        <v>1</v>
      </c>
      <c r="H698" s="45" t="inlineStr">
        <is>
          <t>03.12.2023; 25.02.2024; 23.07.2026</t>
        </is>
      </c>
      <c r="I698" s="170" t="inlineStr">
        <is>
          <t>03.12.2023</t>
        </is>
      </c>
    </row>
    <row r="699" ht="32" customHeight="1">
      <c r="A699" s="45" t="inlineStr">
        <is>
          <t>работник 311</t>
        </is>
      </c>
      <c r="B699" s="45" t="inlineStr">
        <is>
          <t>Помощник машиниста самоходной буровой установки (с исполнением обязанностей пробоотборщика) / Помощник машиниста самоходной буровой установки (с исполнением обязанностей пробоотборщика) (Очистное)</t>
        </is>
      </c>
      <c r="C699" s="45" t="inlineStr">
        <is>
          <t>Первая помощь</t>
        </is>
      </c>
      <c r="D699" s="170" t="inlineStr">
        <is>
          <t>раз в 3 года</t>
        </is>
      </c>
      <c r="E699" s="171" t="n">
        <v>1</v>
      </c>
      <c r="F699" s="171" t="n">
        <v>2</v>
      </c>
      <c r="G699" s="171" t="n">
        <v>1</v>
      </c>
      <c r="H699" s="45" t="inlineStr">
        <is>
          <t>05.03.2024; 14.08.2026</t>
        </is>
      </c>
      <c r="I699" s="170" t="inlineStr">
        <is>
          <t>05.03.2024</t>
        </is>
      </c>
    </row>
    <row r="700" ht="32" customHeight="1">
      <c r="A700" s="45" t="inlineStr">
        <is>
          <t>работник 243</t>
        </is>
      </c>
      <c r="B700" s="45" t="inlineStr">
        <is>
          <t>Слесарь по контрольно-измерительным приборам и автоматике / Фильтровальщик</t>
        </is>
      </c>
      <c r="C700" s="45" t="inlineStr">
        <is>
          <t>Первая помощь</t>
        </is>
      </c>
      <c r="D700" s="170" t="inlineStr">
        <is>
          <t>раз в 3 года</t>
        </is>
      </c>
      <c r="E700" s="171" t="n">
        <v>1</v>
      </c>
      <c r="F700" s="171" t="n">
        <v>2</v>
      </c>
      <c r="G700" s="171" t="n">
        <v>1</v>
      </c>
      <c r="H700" s="45" t="inlineStr">
        <is>
          <t>28.01.2024; 29.07.2026</t>
        </is>
      </c>
      <c r="I700" s="170" t="inlineStr">
        <is>
          <t>28.01.2024</t>
        </is>
      </c>
    </row>
    <row r="701" ht="20" customHeight="1">
      <c r="A701" s="45" t="inlineStr">
        <is>
          <t>работник 250</t>
        </is>
      </c>
      <c r="B701" s="45" t="inlineStr">
        <is>
          <t>Аппаратчик-гидрометаллург / Флотатор</t>
        </is>
      </c>
      <c r="C701" s="45" t="inlineStr">
        <is>
          <t>Первая помощь</t>
        </is>
      </c>
      <c r="D701" s="170" t="inlineStr">
        <is>
          <t>раз в 3 года</t>
        </is>
      </c>
      <c r="E701" s="171" t="n">
        <v>1</v>
      </c>
      <c r="F701" s="171" t="n">
        <v>2</v>
      </c>
      <c r="G701" s="171" t="n">
        <v>1</v>
      </c>
      <c r="H701" s="45" t="inlineStr">
        <is>
          <t>12.02.2024; 29.07.2026</t>
        </is>
      </c>
      <c r="I701" s="170" t="inlineStr">
        <is>
          <t>12.02.2024</t>
        </is>
      </c>
    </row>
    <row r="702" ht="20" customHeight="1">
      <c r="A702" s="45" t="inlineStr">
        <is>
          <t>работник 636</t>
        </is>
      </c>
      <c r="B702" s="45" t="inlineStr">
        <is>
          <t>Аппаратчик-гидрометаллург / Грузчик</t>
        </is>
      </c>
      <c r="C702" s="45" t="inlineStr">
        <is>
          <t>Первая помощь</t>
        </is>
      </c>
      <c r="D702" s="170" t="inlineStr">
        <is>
          <t>раз в 3 года</t>
        </is>
      </c>
      <c r="E702" s="171" t="n">
        <v>1</v>
      </c>
      <c r="F702" s="171" t="n">
        <v>2</v>
      </c>
      <c r="G702" s="171" t="n">
        <v>1</v>
      </c>
      <c r="H702" s="45" t="inlineStr">
        <is>
          <t>29.07.2026; 10.09.2026</t>
        </is>
      </c>
      <c r="I702" s="170" t="inlineStr">
        <is>
          <t>19.02.2026</t>
        </is>
      </c>
    </row>
    <row r="703" ht="32" customHeight="1">
      <c r="A703" s="45" t="inlineStr">
        <is>
          <t>работник 161</t>
        </is>
      </c>
      <c r="B703" s="45" t="inlineStr">
        <is>
          <t>Машинист погрузочно-доставочной машины / Машинист подземно-доставочной машины</t>
        </is>
      </c>
      <c r="C703" s="45" t="inlineStr">
        <is>
          <t>Первая помощь</t>
        </is>
      </c>
      <c r="D703" s="170" t="inlineStr">
        <is>
          <t>раз в 3 года</t>
        </is>
      </c>
      <c r="E703" s="171" t="n">
        <v>1</v>
      </c>
      <c r="F703" s="171" t="n">
        <v>2</v>
      </c>
      <c r="G703" s="171" t="n">
        <v>1</v>
      </c>
      <c r="H703" s="45" t="inlineStr">
        <is>
          <t>19.01.2024; 23.07.2026</t>
        </is>
      </c>
      <c r="I703" s="170" t="inlineStr">
        <is>
          <t>19.01.2024</t>
        </is>
      </c>
    </row>
    <row r="704" ht="20" customHeight="1">
      <c r="A704" s="45" t="inlineStr">
        <is>
          <t>работник 271</t>
        </is>
      </c>
      <c r="B704" s="45" t="inlineStr">
        <is>
          <t>Машинист бульдозера</t>
        </is>
      </c>
      <c r="C704" s="45" t="inlineStr">
        <is>
          <t>Первая помощь</t>
        </is>
      </c>
      <c r="D704" s="170" t="inlineStr">
        <is>
          <t>раз в 3 года</t>
        </is>
      </c>
      <c r="E704" s="171" t="n">
        <v>1</v>
      </c>
      <c r="F704" s="171" t="n">
        <v>2</v>
      </c>
      <c r="G704" s="171" t="n">
        <v>1</v>
      </c>
      <c r="H704" s="45" t="inlineStr">
        <is>
          <t>23.02.2024; 18.08.2026</t>
        </is>
      </c>
      <c r="I704" s="170" t="inlineStr">
        <is>
          <t>23.02.2024</t>
        </is>
      </c>
    </row>
    <row r="705" ht="32" customHeight="1">
      <c r="A705" s="45" t="inlineStr">
        <is>
          <t>работник 272</t>
        </is>
      </c>
      <c r="B705" s="45" t="inlineStr">
        <is>
          <t>Водитель автомобиля (занятый на транспортировании горной массы в технологическом процессе) / Водитель погрузчика</t>
        </is>
      </c>
      <c r="C705" s="45" t="inlineStr">
        <is>
          <t>Первая помощь</t>
        </is>
      </c>
      <c r="D705" s="170" t="inlineStr">
        <is>
          <t>раз в 3 года</t>
        </is>
      </c>
      <c r="E705" s="171" t="n">
        <v>1</v>
      </c>
      <c r="F705" s="171" t="n">
        <v>2</v>
      </c>
      <c r="G705" s="171" t="n">
        <v>1</v>
      </c>
      <c r="H705" s="45" t="inlineStr">
        <is>
          <t>23.02.2024; 17.08.2026</t>
        </is>
      </c>
      <c r="I705" s="170" t="inlineStr">
        <is>
          <t>23.02.2024</t>
        </is>
      </c>
    </row>
    <row r="706" ht="20" customHeight="1">
      <c r="A706" s="45" t="inlineStr">
        <is>
          <t>работник 162</t>
        </is>
      </c>
      <c r="B706" s="45" t="inlineStr">
        <is>
          <t>Проходчик (с исполнением обязанностей взрывника)</t>
        </is>
      </c>
      <c r="C706" s="45" t="inlineStr">
        <is>
          <t>Первая помощь</t>
        </is>
      </c>
      <c r="D706" s="170" t="inlineStr">
        <is>
          <t>раз в 3 года</t>
        </is>
      </c>
      <c r="E706" s="171" t="n">
        <v>1</v>
      </c>
      <c r="F706" s="171" t="n">
        <v>2</v>
      </c>
      <c r="G706" s="171" t="n">
        <v>1</v>
      </c>
      <c r="H706" s="45" t="inlineStr">
        <is>
          <t>19.01.2024; 22.07.2026</t>
        </is>
      </c>
      <c r="I706" s="170" t="inlineStr">
        <is>
          <t>19.01.2024</t>
        </is>
      </c>
    </row>
    <row r="707" ht="32" customHeight="1">
      <c r="A707" s="45" t="inlineStr">
        <is>
          <t>работник 833</t>
        </is>
      </c>
      <c r="B707" s="45" t="inlineStr">
        <is>
          <t>Электромонтер по ремонту и обслуживанию электрооборудования</t>
        </is>
      </c>
      <c r="C707" s="45" t="inlineStr">
        <is>
          <t>Первая помощь</t>
        </is>
      </c>
      <c r="D707" s="170" t="inlineStr">
        <is>
          <t>раз в 3 года</t>
        </is>
      </c>
      <c r="E707" s="171" t="n">
        <v>1</v>
      </c>
      <c r="F707" s="171" t="n">
        <v>2</v>
      </c>
      <c r="G707" s="171" t="n">
        <v>1</v>
      </c>
      <c r="H707" s="45" t="inlineStr">
        <is>
          <t>01.07.2026; 29.07.2026</t>
        </is>
      </c>
      <c r="I707" s="170" t="inlineStr">
        <is>
          <t>01.07.2026</t>
        </is>
      </c>
    </row>
    <row r="708" ht="20" customHeight="1">
      <c r="A708" s="45" t="inlineStr">
        <is>
          <t>работник 342</t>
        </is>
      </c>
      <c r="B708" s="45" t="inlineStr">
        <is>
          <t>Бункеровщик / Машинист мельниц</t>
        </is>
      </c>
      <c r="C708" s="45" t="inlineStr">
        <is>
          <t>Первая помощь</t>
        </is>
      </c>
      <c r="D708" s="170" t="inlineStr">
        <is>
          <t>раз в 3 года</t>
        </is>
      </c>
      <c r="E708" s="171" t="n">
        <v>1</v>
      </c>
      <c r="F708" s="171" t="n">
        <v>2</v>
      </c>
      <c r="G708" s="171" t="n">
        <v>1</v>
      </c>
      <c r="H708" s="45" t="inlineStr">
        <is>
          <t>19.04.2024; 29.07.2026</t>
        </is>
      </c>
      <c r="I708" s="170" t="inlineStr">
        <is>
          <t>19.04.2024</t>
        </is>
      </c>
    </row>
    <row r="709" ht="32" customHeight="1">
      <c r="A709" s="45" t="inlineStr">
        <is>
          <t>работник 782</t>
        </is>
      </c>
      <c r="B709" s="45" t="inlineStr">
        <is>
          <t>Электрослесарь (слесарь) дежурный и по ремонту оборудования / Электрослесарь (слесарь) дежурный и по ремонту оборудования подземного горного участка</t>
        </is>
      </c>
      <c r="C709" s="45" t="inlineStr">
        <is>
          <t>Первая помощь</t>
        </is>
      </c>
      <c r="D709" s="170" t="inlineStr">
        <is>
          <t>раз в 3 года</t>
        </is>
      </c>
      <c r="E709" s="171" t="n">
        <v>1</v>
      </c>
      <c r="F709" s="171" t="n">
        <v>2</v>
      </c>
      <c r="G709" s="171" t="n">
        <v>1</v>
      </c>
      <c r="H709" s="45" t="inlineStr">
        <is>
          <t>04.06.2026; 28.07.2026</t>
        </is>
      </c>
      <c r="I709" s="170" t="inlineStr">
        <is>
          <t>04.06.2026</t>
        </is>
      </c>
    </row>
    <row r="710" ht="20" customHeight="1">
      <c r="A710" s="45" t="inlineStr">
        <is>
          <t>работник 238</t>
        </is>
      </c>
      <c r="B710" s="45" t="inlineStr">
        <is>
          <t>Лаборант пробирного анализа</t>
        </is>
      </c>
      <c r="C710" s="45" t="inlineStr">
        <is>
          <t>Первая помощь</t>
        </is>
      </c>
      <c r="D710" s="170" t="inlineStr">
        <is>
          <t>раз в 3 года</t>
        </is>
      </c>
      <c r="E710" s="171" t="n">
        <v>1</v>
      </c>
      <c r="F710" s="171" t="n">
        <v>2</v>
      </c>
      <c r="G710" s="171" t="n">
        <v>1</v>
      </c>
      <c r="H710" s="45" t="inlineStr">
        <is>
          <t>23.02.2024; 17.09.2026</t>
        </is>
      </c>
      <c r="I710" s="170" t="inlineStr">
        <is>
          <t>23.02.2024</t>
        </is>
      </c>
    </row>
    <row r="711" ht="20" customHeight="1">
      <c r="A711" s="45" t="inlineStr">
        <is>
          <t>работник 227</t>
        </is>
      </c>
      <c r="B711" s="45" t="inlineStr">
        <is>
          <t>Кладовщик</t>
        </is>
      </c>
      <c r="C711" s="45" t="inlineStr">
        <is>
          <t>Первая помощь</t>
        </is>
      </c>
      <c r="D711" s="170" t="inlineStr">
        <is>
          <t>раз в 3 года</t>
        </is>
      </c>
      <c r="E711" s="171" t="n">
        <v>1</v>
      </c>
      <c r="F711" s="171" t="n">
        <v>2</v>
      </c>
      <c r="G711" s="171" t="n">
        <v>1</v>
      </c>
      <c r="H711" s="45" t="inlineStr">
        <is>
          <t>23.02.2024; 26.08.2026</t>
        </is>
      </c>
      <c r="I711" s="170" t="inlineStr">
        <is>
          <t>23.02.2024</t>
        </is>
      </c>
    </row>
    <row r="712" ht="32" customHeight="1">
      <c r="A712" s="45" t="inlineStr">
        <is>
          <t>работник 319</t>
        </is>
      </c>
      <c r="B712" s="45" t="inlineStr">
        <is>
          <t>Машинист погрузочно-доставочной машины (занятый на транспортировании горной массы в технологическом процессе)</t>
        </is>
      </c>
      <c r="C712" s="45" t="inlineStr">
        <is>
          <t>Первая помощь</t>
        </is>
      </c>
      <c r="D712" s="170" t="inlineStr">
        <is>
          <t>раз в 3 года</t>
        </is>
      </c>
      <c r="E712" s="171" t="n">
        <v>1</v>
      </c>
      <c r="F712" s="171" t="n">
        <v>2</v>
      </c>
      <c r="G712" s="171" t="n">
        <v>1</v>
      </c>
      <c r="H712" s="45" t="inlineStr">
        <is>
          <t>05.03.2024; 16.08.2026</t>
        </is>
      </c>
      <c r="I712" s="170" t="inlineStr">
        <is>
          <t>05.03.2024</t>
        </is>
      </c>
    </row>
    <row r="713" ht="20" customHeight="1">
      <c r="A713" s="45" t="inlineStr">
        <is>
          <t>работник 752</t>
        </is>
      </c>
      <c r="B713" s="45" t="inlineStr">
        <is>
          <t>Фильтровальщик</t>
        </is>
      </c>
      <c r="C713" s="45" t="inlineStr">
        <is>
          <t>Первая помощь</t>
        </is>
      </c>
      <c r="D713" s="170" t="inlineStr">
        <is>
          <t>раз в 3 года</t>
        </is>
      </c>
      <c r="E713" s="171" t="n">
        <v>1</v>
      </c>
      <c r="F713" s="171" t="n">
        <v>2</v>
      </c>
      <c r="G713" s="171" t="n">
        <v>1</v>
      </c>
      <c r="H713" s="45" t="inlineStr">
        <is>
          <t>05.06.2026; 29.07.2026</t>
        </is>
      </c>
      <c r="I713" s="170" t="inlineStr">
        <is>
          <t>05.06.2026</t>
        </is>
      </c>
    </row>
    <row r="714" ht="20" customHeight="1">
      <c r="A714" s="45" t="inlineStr">
        <is>
          <t>работник 353</t>
        </is>
      </c>
      <c r="B714" s="45" t="inlineStr">
        <is>
          <t>Машинист двигателей внутреннего сгорания</t>
        </is>
      </c>
      <c r="C714" s="45" t="inlineStr">
        <is>
          <t>Первая помощь</t>
        </is>
      </c>
      <c r="D714" s="170" t="inlineStr">
        <is>
          <t>раз в 3 года</t>
        </is>
      </c>
      <c r="E714" s="171" t="n">
        <v>1</v>
      </c>
      <c r="F714" s="171" t="n">
        <v>2</v>
      </c>
      <c r="G714" s="171" t="n">
        <v>1</v>
      </c>
      <c r="H714" s="45" t="inlineStr">
        <is>
          <t>12.04.2024; 23.08.2026</t>
        </is>
      </c>
      <c r="I714" s="170" t="inlineStr">
        <is>
          <t>12.04.2024</t>
        </is>
      </c>
    </row>
    <row r="715" ht="20" customHeight="1">
      <c r="A715" s="45" t="inlineStr">
        <is>
          <t>работник 770</t>
        </is>
      </c>
      <c r="B715" s="45" t="inlineStr">
        <is>
          <t>Машинист погрузочно-доставочной машины</t>
        </is>
      </c>
      <c r="C715" s="45" t="inlineStr">
        <is>
          <t>Первая помощь</t>
        </is>
      </c>
      <c r="D715" s="170" t="inlineStr">
        <is>
          <t>раз в 3 года</t>
        </is>
      </c>
      <c r="E715" s="171" t="n">
        <v>1</v>
      </c>
      <c r="F715" s="171" t="n">
        <v>2</v>
      </c>
      <c r="G715" s="171" t="n">
        <v>1</v>
      </c>
      <c r="H715" s="45" t="inlineStr">
        <is>
          <t>04.06.2026; 23.07.2026</t>
        </is>
      </c>
      <c r="I715" s="170" t="inlineStr">
        <is>
          <t>04.06.2026</t>
        </is>
      </c>
    </row>
    <row r="716" ht="20" customHeight="1">
      <c r="A716" s="45" t="inlineStr">
        <is>
          <t>работник 387</t>
        </is>
      </c>
      <c r="B716" s="45" t="inlineStr">
        <is>
          <t>Дробильщик</t>
        </is>
      </c>
      <c r="C716" s="45" t="inlineStr">
        <is>
          <t>Первая помощь</t>
        </is>
      </c>
      <c r="D716" s="170" t="inlineStr">
        <is>
          <t>раз в 3 года</t>
        </is>
      </c>
      <c r="E716" s="171" t="n">
        <v>1</v>
      </c>
      <c r="F716" s="171" t="n">
        <v>2</v>
      </c>
      <c r="G716" s="171" t="n">
        <v>1</v>
      </c>
      <c r="H716" s="45" t="inlineStr">
        <is>
          <t>05.08.2024; 29.07.2026</t>
        </is>
      </c>
      <c r="I716" s="170" t="inlineStr">
        <is>
          <t>05.08.2024</t>
        </is>
      </c>
    </row>
    <row r="717" ht="32" customHeight="1">
      <c r="A717" s="45" t="inlineStr">
        <is>
          <t>работник 763</t>
        </is>
      </c>
      <c r="B717" s="45" t="inlineStr">
        <is>
          <t>Машинист погрузочно-доставочной машины (занятый на транспортировании горной массы в технологическом процессе)</t>
        </is>
      </c>
      <c r="C717" s="45" t="inlineStr">
        <is>
          <t>Первая помощь</t>
        </is>
      </c>
      <c r="D717" s="170" t="inlineStr">
        <is>
          <t>раз в 3 года</t>
        </is>
      </c>
      <c r="E717" s="171" t="n">
        <v>1</v>
      </c>
      <c r="F717" s="171" t="n">
        <v>2</v>
      </c>
      <c r="G717" s="171" t="n">
        <v>1</v>
      </c>
      <c r="H717" s="45" t="inlineStr">
        <is>
          <t>04.06.2026; 23.07.2026</t>
        </is>
      </c>
      <c r="I717" s="170" t="inlineStr">
        <is>
          <t>04.06.2026</t>
        </is>
      </c>
    </row>
    <row r="718" ht="20" customHeight="1">
      <c r="A718" s="45" t="inlineStr">
        <is>
          <t>работник 771</t>
        </is>
      </c>
      <c r="B718" s="45" t="inlineStr">
        <is>
          <t>Машинист погрузочно-доставочной машины</t>
        </is>
      </c>
      <c r="C718" s="45" t="inlineStr">
        <is>
          <t>Первая помощь</t>
        </is>
      </c>
      <c r="D718" s="170" t="inlineStr">
        <is>
          <t>раз в 3 года</t>
        </is>
      </c>
      <c r="E718" s="171" t="n">
        <v>1</v>
      </c>
      <c r="F718" s="171" t="n">
        <v>2</v>
      </c>
      <c r="G718" s="171" t="n">
        <v>1</v>
      </c>
      <c r="H718" s="45" t="inlineStr">
        <is>
          <t>04.06.2026; 23.07.2026</t>
        </is>
      </c>
      <c r="I718" s="170" t="inlineStr">
        <is>
          <t>04.06.2026</t>
        </is>
      </c>
    </row>
    <row r="719" ht="20" customHeight="1">
      <c r="A719" s="45" t="inlineStr">
        <is>
          <t>работник 445</t>
        </is>
      </c>
      <c r="B719" s="45" t="inlineStr">
        <is>
          <t>Дробильщик</t>
        </is>
      </c>
      <c r="C719" s="45" t="inlineStr">
        <is>
          <t>Первая помощь</t>
        </is>
      </c>
      <c r="D719" s="170" t="inlineStr">
        <is>
          <t>раз в 3 года</t>
        </is>
      </c>
      <c r="E719" s="171" t="n">
        <v>1</v>
      </c>
      <c r="F719" s="171" t="n">
        <v>2</v>
      </c>
      <c r="G719" s="171" t="n">
        <v>1</v>
      </c>
      <c r="H719" s="45" t="inlineStr">
        <is>
          <t>05.06.2026; 26.08.2026</t>
        </is>
      </c>
      <c r="I719" s="170" t="inlineStr">
        <is>
          <t>25.10.2024</t>
        </is>
      </c>
    </row>
    <row r="720" ht="20" customHeight="1">
      <c r="A720" s="45" t="inlineStr">
        <is>
          <t>работник 326</t>
        </is>
      </c>
      <c r="B720" s="45" t="inlineStr">
        <is>
          <t>Машинист погрузочно-доставочной машины</t>
        </is>
      </c>
      <c r="C720" s="45" t="inlineStr">
        <is>
          <t>Первая помощь</t>
        </is>
      </c>
      <c r="D720" s="170" t="inlineStr">
        <is>
          <t>раз в 3 года</t>
        </is>
      </c>
      <c r="E720" s="171" t="n">
        <v>1</v>
      </c>
      <c r="F720" s="171" t="n">
        <v>2</v>
      </c>
      <c r="G720" s="171" t="n">
        <v>1</v>
      </c>
      <c r="H720" s="45" t="inlineStr">
        <is>
          <t>05.03.2024; 23.07.2026</t>
        </is>
      </c>
      <c r="I720" s="170" t="inlineStr">
        <is>
          <t>05.03.2024</t>
        </is>
      </c>
    </row>
    <row r="721" ht="20" customHeight="1">
      <c r="A721" s="45" t="inlineStr">
        <is>
          <t>работник 332</t>
        </is>
      </c>
      <c r="B721" s="45" t="inlineStr">
        <is>
          <t>Дробильщик</t>
        </is>
      </c>
      <c r="C721" s="45" t="inlineStr">
        <is>
          <t>Первая помощь</t>
        </is>
      </c>
      <c r="D721" s="170" t="inlineStr">
        <is>
          <t>раз в 3 года</t>
        </is>
      </c>
      <c r="E721" s="171" t="n">
        <v>1</v>
      </c>
      <c r="F721" s="171" t="n">
        <v>2</v>
      </c>
      <c r="G721" s="171" t="n">
        <v>1</v>
      </c>
      <c r="H721" s="45" t="inlineStr">
        <is>
          <t>21.03.2024; 29.07.2026</t>
        </is>
      </c>
      <c r="I721" s="170" t="inlineStr">
        <is>
          <t>21.03.2024</t>
        </is>
      </c>
    </row>
    <row r="722" ht="20" customHeight="1">
      <c r="A722" s="45" t="inlineStr">
        <is>
          <t>работник 343</t>
        </is>
      </c>
      <c r="B722" s="45" t="inlineStr">
        <is>
          <t>Дробильщик</t>
        </is>
      </c>
      <c r="C722" s="45" t="inlineStr">
        <is>
          <t>Первая помощь</t>
        </is>
      </c>
      <c r="D722" s="170" t="inlineStr">
        <is>
          <t>раз в 3 года</t>
        </is>
      </c>
      <c r="E722" s="171" t="n">
        <v>1</v>
      </c>
      <c r="F722" s="171" t="n">
        <v>2</v>
      </c>
      <c r="G722" s="171" t="n">
        <v>1</v>
      </c>
      <c r="H722" s="45" t="inlineStr">
        <is>
          <t>28.04.2024; 26.08.2026</t>
        </is>
      </c>
      <c r="I722" s="170" t="inlineStr">
        <is>
          <t>28.04.2024</t>
        </is>
      </c>
    </row>
    <row r="723" ht="32" customHeight="1">
      <c r="A723" s="45" t="inlineStr">
        <is>
          <t>работник 85</t>
        </is>
      </c>
      <c r="B723" s="45" t="inlineStr">
        <is>
          <t>Водитель автомобиля (занятый на транспортировании горной массы в технологическом процессе) / Водитель автомобиля (категория С) / Горнорабочий</t>
        </is>
      </c>
      <c r="C723" s="45" t="inlineStr">
        <is>
          <t>Первая помощь</t>
        </is>
      </c>
      <c r="D723" s="170" t="inlineStr">
        <is>
          <t>раз в 3 года</t>
        </is>
      </c>
      <c r="E723" s="171" t="n">
        <v>2</v>
      </c>
      <c r="F723" s="171" t="n">
        <v>3</v>
      </c>
      <c r="G723" s="171" t="n">
        <v>1</v>
      </c>
      <c r="H723" s="45" t="inlineStr">
        <is>
          <t>03.12.2023; 23.02.2024; 17.08.2026</t>
        </is>
      </c>
      <c r="I723" s="170" t="inlineStr">
        <is>
          <t>03.12.2023</t>
        </is>
      </c>
    </row>
    <row r="724" ht="20" customHeight="1">
      <c r="A724" s="45" t="inlineStr">
        <is>
          <t>работник 164</t>
        </is>
      </c>
      <c r="B724" s="45" t="inlineStr">
        <is>
          <t>Машинист самоходной буровой установки</t>
        </is>
      </c>
      <c r="C724" s="45" t="inlineStr">
        <is>
          <t>Первая помощь</t>
        </is>
      </c>
      <c r="D724" s="170" t="inlineStr">
        <is>
          <t>раз в 3 года</t>
        </is>
      </c>
      <c r="E724" s="171" t="n">
        <v>1</v>
      </c>
      <c r="F724" s="171" t="n">
        <v>2</v>
      </c>
      <c r="G724" s="171" t="n">
        <v>1</v>
      </c>
      <c r="H724" s="45" t="inlineStr">
        <is>
          <t>19.01.2024; 25.07.2026</t>
        </is>
      </c>
      <c r="I724" s="170" t="inlineStr">
        <is>
          <t>19.01.2024</t>
        </is>
      </c>
    </row>
    <row r="725" ht="32" customHeight="1">
      <c r="A725" s="45" t="inlineStr">
        <is>
          <t>работник 758</t>
        </is>
      </c>
      <c r="B725" s="45" t="inlineStr">
        <is>
          <t>Слесарь-ремонтник (по ремонту обогатительного оборудования)</t>
        </is>
      </c>
      <c r="C725" s="45" t="inlineStr">
        <is>
          <t>Первая помощь</t>
        </is>
      </c>
      <c r="D725" s="170" t="inlineStr">
        <is>
          <t>раз в 3 года</t>
        </is>
      </c>
      <c r="E725" s="171" t="n">
        <v>1</v>
      </c>
      <c r="F725" s="171" t="n">
        <v>2</v>
      </c>
      <c r="G725" s="171" t="n">
        <v>1</v>
      </c>
      <c r="H725" s="45" t="inlineStr">
        <is>
          <t>05.06.2026; 29.07.2026</t>
        </is>
      </c>
      <c r="I725" s="170" t="inlineStr">
        <is>
          <t>05.06.2026</t>
        </is>
      </c>
    </row>
    <row r="726" ht="20" customHeight="1">
      <c r="A726" s="45" t="inlineStr">
        <is>
          <t>работник 755</t>
        </is>
      </c>
      <c r="B726" s="45" t="inlineStr">
        <is>
          <t>Фильтровальщик</t>
        </is>
      </c>
      <c r="C726" s="45" t="inlineStr">
        <is>
          <t>Первая помощь</t>
        </is>
      </c>
      <c r="D726" s="170" t="inlineStr">
        <is>
          <t>раз в 3 года</t>
        </is>
      </c>
      <c r="E726" s="171" t="n">
        <v>1</v>
      </c>
      <c r="F726" s="171" t="n">
        <v>2</v>
      </c>
      <c r="G726" s="171" t="n">
        <v>1</v>
      </c>
      <c r="H726" s="45" t="inlineStr">
        <is>
          <t>05.06.2026; 29.07.2026</t>
        </is>
      </c>
      <c r="I726" s="170" t="inlineStr">
        <is>
          <t>05.06.2026</t>
        </is>
      </c>
    </row>
    <row r="727" ht="32" customHeight="1">
      <c r="A727" s="45" t="inlineStr">
        <is>
          <t>работник 786</t>
        </is>
      </c>
      <c r="B727" s="45" t="inlineStr">
        <is>
          <t>Водитель автомобиля (занятый на транспортировании горной массы в технологическом процессе) / Машинист двигателей внутреннего сгорания (с исполнением обязанностей машиниста компрессорных установок)</t>
        </is>
      </c>
      <c r="C727" s="45" t="inlineStr">
        <is>
          <t>Первая помощь</t>
        </is>
      </c>
      <c r="D727" s="170" t="inlineStr">
        <is>
          <t>раз в 3 года</t>
        </is>
      </c>
      <c r="E727" s="171" t="n">
        <v>1</v>
      </c>
      <c r="F727" s="171" t="n">
        <v>2</v>
      </c>
      <c r="G727" s="171" t="n">
        <v>1</v>
      </c>
      <c r="H727" s="45" t="inlineStr">
        <is>
          <t>06.06.2026; 24.08.2026</t>
        </is>
      </c>
      <c r="I727" s="170" t="inlineStr">
        <is>
          <t>06.06.2026</t>
        </is>
      </c>
    </row>
    <row r="728" ht="20" customHeight="1">
      <c r="A728" s="45" t="inlineStr">
        <is>
          <t>работник 170</t>
        </is>
      </c>
      <c r="B728" s="45" t="inlineStr">
        <is>
          <t>Горный диспетчер</t>
        </is>
      </c>
      <c r="C728" s="45" t="inlineStr">
        <is>
          <t>Первая помощь</t>
        </is>
      </c>
      <c r="D728" s="170" t="inlineStr">
        <is>
          <t>раз в 3 года</t>
        </is>
      </c>
      <c r="E728" s="171" t="n">
        <v>1</v>
      </c>
      <c r="F728" s="171" t="n">
        <v>2</v>
      </c>
      <c r="G728" s="171" t="n">
        <v>1</v>
      </c>
      <c r="H728" s="45" t="inlineStr">
        <is>
          <t>19.01.2024; 18.08.2026</t>
        </is>
      </c>
      <c r="I728" s="170" t="inlineStr">
        <is>
          <t>19.01.2024</t>
        </is>
      </c>
    </row>
    <row r="729" ht="32" customHeight="1">
      <c r="A729" s="45" t="inlineStr">
        <is>
          <t>работник 172</t>
        </is>
      </c>
      <c r="B729" s="45" t="inlineStr">
        <is>
          <t>Машинист погрузочно-доставочной машины (занятый на транспортировании горной массы в технологическом процессе) / Машинист подземно-доставочной машины</t>
        </is>
      </c>
      <c r="C729" s="45" t="inlineStr">
        <is>
          <t>Первая помощь</t>
        </is>
      </c>
      <c r="D729" s="170" t="inlineStr">
        <is>
          <t>раз в 3 года</t>
        </is>
      </c>
      <c r="E729" s="171" t="n">
        <v>1</v>
      </c>
      <c r="F729" s="171" t="n">
        <v>2</v>
      </c>
      <c r="G729" s="171" t="n">
        <v>1</v>
      </c>
      <c r="H729" s="45" t="inlineStr">
        <is>
          <t>19.01.2024; 16.08.2026</t>
        </is>
      </c>
      <c r="I729" s="170" t="inlineStr">
        <is>
          <t>19.01.2024</t>
        </is>
      </c>
    </row>
    <row r="730" ht="20" customHeight="1">
      <c r="A730" s="45" t="inlineStr">
        <is>
          <t>работник 91</t>
        </is>
      </c>
      <c r="B730" s="45" t="inlineStr">
        <is>
          <t>Машинист насосных установок / Стропальщик</t>
        </is>
      </c>
      <c r="C730" s="45" t="inlineStr">
        <is>
          <t>Первая помощь</t>
        </is>
      </c>
      <c r="D730" s="170" t="inlineStr">
        <is>
          <t>раз в 3 года</t>
        </is>
      </c>
      <c r="E730" s="171" t="n">
        <v>2</v>
      </c>
      <c r="F730" s="171" t="n">
        <v>3</v>
      </c>
      <c r="G730" s="171" t="n">
        <v>1</v>
      </c>
      <c r="H730" s="45" t="inlineStr">
        <is>
          <t>07.12.2023; 24.08.2026; 25.08.2026</t>
        </is>
      </c>
      <c r="I730" s="170" t="inlineStr">
        <is>
          <t>07.12.2023</t>
        </is>
      </c>
    </row>
    <row r="731" ht="20" customHeight="1">
      <c r="A731" s="45" t="inlineStr">
        <is>
          <t>работник 226</t>
        </is>
      </c>
      <c r="B731" s="45" t="inlineStr">
        <is>
          <t>Кладовщик</t>
        </is>
      </c>
      <c r="C731" s="45" t="inlineStr">
        <is>
          <t>Первая помощь</t>
        </is>
      </c>
      <c r="D731" s="170" t="inlineStr">
        <is>
          <t>раз в 3 года</t>
        </is>
      </c>
      <c r="E731" s="171" t="n">
        <v>1</v>
      </c>
      <c r="F731" s="171" t="n">
        <v>2</v>
      </c>
      <c r="G731" s="171" t="n">
        <v>1</v>
      </c>
      <c r="H731" s="45" t="inlineStr">
        <is>
          <t>23.02.2024; 26.08.2026</t>
        </is>
      </c>
      <c r="I731" s="170" t="inlineStr">
        <is>
          <t>23.02.2024</t>
        </is>
      </c>
    </row>
    <row r="732" ht="32" customHeight="1">
      <c r="A732" s="45" t="inlineStr">
        <is>
          <t>работник 350</t>
        </is>
      </c>
      <c r="B732" s="45" t="inlineStr">
        <is>
          <t>Ламповщик / Уборщик производственных и служебных помещений</t>
        </is>
      </c>
      <c r="C732" s="45" t="inlineStr">
        <is>
          <t>Первая помощь</t>
        </is>
      </c>
      <c r="D732" s="170" t="inlineStr">
        <is>
          <t>раз в 3 года</t>
        </is>
      </c>
      <c r="E732" s="171" t="n">
        <v>1</v>
      </c>
      <c r="F732" s="171" t="n">
        <v>2</v>
      </c>
      <c r="G732" s="171" t="n">
        <v>1</v>
      </c>
      <c r="H732" s="45" t="inlineStr">
        <is>
          <t>25.04.2024; 02.07.2026</t>
        </is>
      </c>
      <c r="I732" s="170" t="inlineStr">
        <is>
          <t>25.04.2024</t>
        </is>
      </c>
    </row>
    <row r="733" ht="20" customHeight="1">
      <c r="A733" s="45" t="inlineStr">
        <is>
          <t>работник 388</t>
        </is>
      </c>
      <c r="B733" s="45" t="inlineStr">
        <is>
          <t>Дробильщик</t>
        </is>
      </c>
      <c r="C733" s="45" t="inlineStr">
        <is>
          <t>Первая помощь</t>
        </is>
      </c>
      <c r="D733" s="170" t="inlineStr">
        <is>
          <t>раз в 3 года</t>
        </is>
      </c>
      <c r="E733" s="171" t="n">
        <v>1</v>
      </c>
      <c r="F733" s="171" t="n">
        <v>2</v>
      </c>
      <c r="G733" s="171" t="n">
        <v>1</v>
      </c>
      <c r="H733" s="45" t="inlineStr">
        <is>
          <t>05.08.2024; 29.07.2026</t>
        </is>
      </c>
      <c r="I733" s="170" t="inlineStr">
        <is>
          <t>05.08.2024</t>
        </is>
      </c>
    </row>
    <row r="734" ht="20" customHeight="1">
      <c r="A734" s="45" t="inlineStr">
        <is>
          <t>работник 493</t>
        </is>
      </c>
      <c r="B734" s="45" t="inlineStr">
        <is>
          <t>Машинист погрузочно-доставочной машины</t>
        </is>
      </c>
      <c r="C734" s="45" t="inlineStr">
        <is>
          <t>Первая помощь</t>
        </is>
      </c>
      <c r="D734" s="170" t="inlineStr">
        <is>
          <t>раз в 3 года</t>
        </is>
      </c>
      <c r="E734" s="171" t="n">
        <v>1</v>
      </c>
      <c r="F734" s="171" t="n">
        <v>2</v>
      </c>
      <c r="G734" s="171" t="n">
        <v>1</v>
      </c>
      <c r="H734" s="45" t="inlineStr">
        <is>
          <t>04.06.2026; 15.08.2026</t>
        </is>
      </c>
      <c r="I734" s="170" t="inlineStr">
        <is>
          <t>12.11.2024</t>
        </is>
      </c>
    </row>
    <row r="735" ht="20" customHeight="1">
      <c r="A735" s="45" t="inlineStr">
        <is>
          <t>работник 375</t>
        </is>
      </c>
      <c r="B735" s="45" t="inlineStr">
        <is>
          <t>Крепильщик</t>
        </is>
      </c>
      <c r="C735" s="45" t="inlineStr">
        <is>
          <t>Первая помощь</t>
        </is>
      </c>
      <c r="D735" s="170" t="inlineStr">
        <is>
          <t>раз в 3 года</t>
        </is>
      </c>
      <c r="E735" s="171" t="n">
        <v>1</v>
      </c>
      <c r="F735" s="171" t="n">
        <v>2</v>
      </c>
      <c r="G735" s="171" t="n">
        <v>1</v>
      </c>
      <c r="H735" s="45" t="inlineStr">
        <is>
          <t>19.07.2024; 24.07.2026</t>
        </is>
      </c>
      <c r="I735" s="170" t="inlineStr">
        <is>
          <t>19.07.2024</t>
        </is>
      </c>
    </row>
    <row r="736" ht="20" customHeight="1">
      <c r="A736" s="45" t="inlineStr">
        <is>
          <t>работник 389</t>
        </is>
      </c>
      <c r="B736" s="45" t="inlineStr">
        <is>
          <t>Контролер продукции обогащения / Пробоотборщик</t>
        </is>
      </c>
      <c r="C736" s="45" t="inlineStr">
        <is>
          <t>Первая помощь</t>
        </is>
      </c>
      <c r="D736" s="170" t="inlineStr">
        <is>
          <t>раз в 3 года</t>
        </is>
      </c>
      <c r="E736" s="171" t="n">
        <v>1</v>
      </c>
      <c r="F736" s="171" t="n">
        <v>2</v>
      </c>
      <c r="G736" s="171" t="n">
        <v>1</v>
      </c>
      <c r="H736" s="45" t="inlineStr">
        <is>
          <t>12.08.2024; 02.08.2026</t>
        </is>
      </c>
      <c r="I736" s="170" t="inlineStr">
        <is>
          <t>12.08.2024</t>
        </is>
      </c>
    </row>
    <row r="737" ht="32" customHeight="1">
      <c r="A737" s="45" t="inlineStr">
        <is>
          <t>работник 174</t>
        </is>
      </c>
      <c r="B737" s="45" t="inlineStr">
        <is>
          <t>Машинист погрузочно-доставочной машины (занятый на транспортировании горной массы в технологическом процессе) / Машинист подземно-доставочной машины</t>
        </is>
      </c>
      <c r="C737" s="45" t="inlineStr">
        <is>
          <t>Первая помощь</t>
        </is>
      </c>
      <c r="D737" s="170" t="inlineStr">
        <is>
          <t>раз в 3 года</t>
        </is>
      </c>
      <c r="E737" s="171" t="n">
        <v>1</v>
      </c>
      <c r="F737" s="171" t="n">
        <v>2</v>
      </c>
      <c r="G737" s="171" t="n">
        <v>1</v>
      </c>
      <c r="H737" s="45" t="inlineStr">
        <is>
          <t>19.01.2024; 23.07.2026</t>
        </is>
      </c>
      <c r="I737" s="170" t="inlineStr">
        <is>
          <t>19.01.2024</t>
        </is>
      </c>
    </row>
    <row r="738" ht="20" customHeight="1">
      <c r="A738" s="45" t="inlineStr">
        <is>
          <t>работник 290</t>
        </is>
      </c>
      <c r="B738" s="45" t="inlineStr">
        <is>
          <t>Водитель погрузчика</t>
        </is>
      </c>
      <c r="C738" s="45" t="inlineStr">
        <is>
          <t>Первая помощь</t>
        </is>
      </c>
      <c r="D738" s="170" t="inlineStr">
        <is>
          <t>раз в 3 года</t>
        </is>
      </c>
      <c r="E738" s="171" t="n">
        <v>1</v>
      </c>
      <c r="F738" s="171" t="n">
        <v>2</v>
      </c>
      <c r="G738" s="171" t="n">
        <v>1</v>
      </c>
      <c r="H738" s="45" t="inlineStr">
        <is>
          <t>23.02.2024; 18.08.2026</t>
        </is>
      </c>
      <c r="I738" s="170" t="inlineStr">
        <is>
          <t>23.02.2024</t>
        </is>
      </c>
    </row>
    <row r="739" ht="20" customHeight="1">
      <c r="A739" s="45" t="inlineStr">
        <is>
          <t>работник 772</t>
        </is>
      </c>
      <c r="B739" s="45" t="inlineStr">
        <is>
          <t>Машинист погрузочно-доставочной машины</t>
        </is>
      </c>
      <c r="C739" s="45" t="inlineStr">
        <is>
          <t>Первая помощь</t>
        </is>
      </c>
      <c r="D739" s="170" t="inlineStr">
        <is>
          <t>раз в 3 года</t>
        </is>
      </c>
      <c r="E739" s="171" t="n">
        <v>1</v>
      </c>
      <c r="F739" s="171" t="n">
        <v>2</v>
      </c>
      <c r="G739" s="171" t="n">
        <v>1</v>
      </c>
      <c r="H739" s="45" t="inlineStr">
        <is>
          <t>04.06.2026; 23.07.2026</t>
        </is>
      </c>
      <c r="I739" s="170" t="inlineStr">
        <is>
          <t>04.06.2026</t>
        </is>
      </c>
    </row>
    <row r="740" ht="32" customHeight="1">
      <c r="A740" s="45" t="inlineStr">
        <is>
          <t>работник 65</t>
        </is>
      </c>
      <c r="B740" s="45" t="inlineStr">
        <is>
          <t>Помощник машиниста самоходной буровой установки / Электрослесарь (слесарь) / Электрослесарь (слесарь) дежурный и по ремонту оборудования подземного горного участка</t>
        </is>
      </c>
      <c r="C740" s="45" t="inlineStr">
        <is>
          <t>Первая помощь</t>
        </is>
      </c>
      <c r="D740" s="170" t="inlineStr">
        <is>
          <t>раз в 3 года</t>
        </is>
      </c>
      <c r="E740" s="171" t="n">
        <v>2</v>
      </c>
      <c r="F740" s="171" t="n">
        <v>3</v>
      </c>
      <c r="G740" s="171" t="n">
        <v>1</v>
      </c>
      <c r="H740" s="45" t="inlineStr">
        <is>
          <t>23.11.2023; 05.03.2024; 19.07.2024</t>
        </is>
      </c>
      <c r="I740" s="170" t="inlineStr">
        <is>
          <t>23.11.2023</t>
        </is>
      </c>
    </row>
    <row r="741" ht="32" customHeight="1">
      <c r="A741" s="45" t="inlineStr">
        <is>
          <t>работник 764</t>
        </is>
      </c>
      <c r="B741" s="45" t="inlineStr">
        <is>
          <t>Машинист погрузочно-доставочной машины (занятый на транспортировании горной массы в технологическом процессе)</t>
        </is>
      </c>
      <c r="C741" s="45" t="inlineStr">
        <is>
          <t>Первая помощь</t>
        </is>
      </c>
      <c r="D741" s="170" t="inlineStr">
        <is>
          <t>раз в 3 года</t>
        </is>
      </c>
      <c r="E741" s="171" t="n">
        <v>1</v>
      </c>
      <c r="F741" s="171" t="n">
        <v>2</v>
      </c>
      <c r="G741" s="171" t="n">
        <v>1</v>
      </c>
      <c r="H741" s="45" t="inlineStr">
        <is>
          <t>04.06.2026; 23.07.2026</t>
        </is>
      </c>
      <c r="I741" s="170" t="inlineStr">
        <is>
          <t>04.06.2026</t>
        </is>
      </c>
    </row>
    <row r="742" ht="20" customHeight="1">
      <c r="A742" s="45" t="inlineStr">
        <is>
          <t>работник 366</t>
        </is>
      </c>
      <c r="B742" s="45" t="inlineStr">
        <is>
          <t>Ламповщик</t>
        </is>
      </c>
      <c r="C742" s="45" t="inlineStr">
        <is>
          <t>Первая помощь</t>
        </is>
      </c>
      <c r="D742" s="170" t="inlineStr">
        <is>
          <t>раз в 3 года</t>
        </is>
      </c>
      <c r="E742" s="171" t="n">
        <v>1</v>
      </c>
      <c r="F742" s="171" t="n">
        <v>2</v>
      </c>
      <c r="G742" s="171" t="n">
        <v>1</v>
      </c>
      <c r="H742" s="45" t="inlineStr">
        <is>
          <t>08.06.2024; 28.07.2026</t>
        </is>
      </c>
      <c r="I742" s="170" t="inlineStr">
        <is>
          <t>08.06.2024</t>
        </is>
      </c>
    </row>
    <row r="743" ht="32" customHeight="1">
      <c r="A743" s="45" t="inlineStr">
        <is>
          <t>работник 765</t>
        </is>
      </c>
      <c r="B743" s="45" t="inlineStr">
        <is>
          <t>Машинист погрузочно-доставочной машины (занятый на транспортировании горной массы в технологическом процессе)</t>
        </is>
      </c>
      <c r="C743" s="45" t="inlineStr">
        <is>
          <t>Первая помощь</t>
        </is>
      </c>
      <c r="D743" s="170" t="inlineStr">
        <is>
          <t>раз в 3 года</t>
        </is>
      </c>
      <c r="E743" s="171" t="n">
        <v>1</v>
      </c>
      <c r="F743" s="171" t="n">
        <v>2</v>
      </c>
      <c r="G743" s="171" t="n">
        <v>1</v>
      </c>
      <c r="H743" s="45" t="inlineStr">
        <is>
          <t>04.06.2026; 23.07.2026</t>
        </is>
      </c>
      <c r="I743" s="170" t="inlineStr">
        <is>
          <t>04.06.2026</t>
        </is>
      </c>
    </row>
    <row r="744" ht="20" customHeight="1">
      <c r="A744" s="45" t="inlineStr">
        <is>
          <t>работник 145</t>
        </is>
      </c>
      <c r="B744" s="45" t="inlineStr">
        <is>
          <t>Машинист мельниц / Фильтровальщик</t>
        </is>
      </c>
      <c r="C744" s="45" t="inlineStr">
        <is>
          <t>Первая помощь</t>
        </is>
      </c>
      <c r="D744" s="170" t="inlineStr">
        <is>
          <t>раз в 3 года</t>
        </is>
      </c>
      <c r="E744" s="171" t="n">
        <v>1</v>
      </c>
      <c r="F744" s="171" t="n">
        <v>2</v>
      </c>
      <c r="G744" s="171" t="n">
        <v>1</v>
      </c>
      <c r="H744" s="45" t="inlineStr">
        <is>
          <t>29.12.2023; 29.07.2026</t>
        </is>
      </c>
      <c r="I744" s="170" t="inlineStr">
        <is>
          <t>29.12.2023</t>
        </is>
      </c>
    </row>
    <row r="745" ht="20" customHeight="1">
      <c r="A745" s="45" t="inlineStr">
        <is>
          <t>работник 827</t>
        </is>
      </c>
      <c r="B745" s="45" t="inlineStr">
        <is>
          <t>Фильтровальщик</t>
        </is>
      </c>
      <c r="C745" s="45" t="inlineStr">
        <is>
          <t>Первая помощь</t>
        </is>
      </c>
      <c r="D745" s="170" t="inlineStr">
        <is>
          <t>раз в 3 года</t>
        </is>
      </c>
      <c r="E745" s="171" t="n">
        <v>1</v>
      </c>
      <c r="F745" s="171" t="n">
        <v>2</v>
      </c>
      <c r="G745" s="171" t="n">
        <v>1</v>
      </c>
      <c r="H745" s="45" t="inlineStr">
        <is>
          <t>01.07.2026; 29.07.2026</t>
        </is>
      </c>
      <c r="I745" s="170" t="inlineStr">
        <is>
          <t>01.07.2026</t>
        </is>
      </c>
    </row>
    <row r="746" ht="20" customHeight="1">
      <c r="A746" s="45" t="inlineStr">
        <is>
          <t>работник 294</t>
        </is>
      </c>
      <c r="B746" s="45" t="inlineStr">
        <is>
          <t>Машинист экскаватора</t>
        </is>
      </c>
      <c r="C746" s="45" t="inlineStr">
        <is>
          <t>Первая помощь</t>
        </is>
      </c>
      <c r="D746" s="170" t="inlineStr">
        <is>
          <t>раз в 3 года</t>
        </is>
      </c>
      <c r="E746" s="171" t="n">
        <v>1</v>
      </c>
      <c r="F746" s="171" t="n">
        <v>2</v>
      </c>
      <c r="G746" s="171" t="n">
        <v>1</v>
      </c>
      <c r="H746" s="45" t="inlineStr">
        <is>
          <t>23.02.2024; 17.08.2026</t>
        </is>
      </c>
      <c r="I746" s="170" t="inlineStr">
        <is>
          <t>23.02.2024</t>
        </is>
      </c>
    </row>
    <row r="747" ht="32" customHeight="1">
      <c r="A747" s="45" t="inlineStr">
        <is>
          <t>работник 363</t>
        </is>
      </c>
      <c r="B747" s="45" t="inlineStr">
        <is>
          <t>Подсобный рабочий / Уборщик производственных и служебных помещений</t>
        </is>
      </c>
      <c r="C747" s="45" t="inlineStr">
        <is>
          <t>Первая помощь</t>
        </is>
      </c>
      <c r="D747" s="170" t="inlineStr">
        <is>
          <t>раз в 3 года</t>
        </is>
      </c>
      <c r="E747" s="171" t="n">
        <v>1</v>
      </c>
      <c r="F747" s="171" t="n">
        <v>2</v>
      </c>
      <c r="G747" s="171" t="n">
        <v>1</v>
      </c>
      <c r="H747" s="45" t="inlineStr">
        <is>
          <t>30.06.2024; 15.08.2026</t>
        </is>
      </c>
      <c r="I747" s="170" t="inlineStr">
        <is>
          <t>30.06.2024</t>
        </is>
      </c>
    </row>
    <row r="748" ht="32" customHeight="1">
      <c r="A748" s="45" t="inlineStr">
        <is>
          <t>работник 66</t>
        </is>
      </c>
      <c r="B748" s="45" t="inlineStr">
        <is>
          <t>Электрослесарь (слесарь) / Электрослесарь (слесарь) дежурный и по ремонту оборудования подземного горного участка</t>
        </is>
      </c>
      <c r="C748" s="45" t="inlineStr">
        <is>
          <t>Первая помощь</t>
        </is>
      </c>
      <c r="D748" s="170" t="inlineStr">
        <is>
          <t>раз в 3 года</t>
        </is>
      </c>
      <c r="E748" s="171" t="n">
        <v>2</v>
      </c>
      <c r="F748" s="171" t="n">
        <v>3</v>
      </c>
      <c r="G748" s="171" t="n">
        <v>1</v>
      </c>
      <c r="H748" s="45" t="inlineStr">
        <is>
          <t>23.11.2023; 05.03.2024; 18.08.2026</t>
        </is>
      </c>
      <c r="I748" s="170" t="inlineStr">
        <is>
          <t>23.11.2023</t>
        </is>
      </c>
    </row>
    <row r="749" ht="20" customHeight="1">
      <c r="A749" s="45" t="inlineStr">
        <is>
          <t>работник 370</t>
        </is>
      </c>
      <c r="B749" s="45" t="inlineStr">
        <is>
          <t>Водитель погрузчика / Машинист бульдозера</t>
        </is>
      </c>
      <c r="C749" s="45" t="inlineStr">
        <is>
          <t>Первая помощь</t>
        </is>
      </c>
      <c r="D749" s="170" t="inlineStr">
        <is>
          <t>раз в 3 года</t>
        </is>
      </c>
      <c r="E749" s="171" t="n">
        <v>1</v>
      </c>
      <c r="F749" s="171" t="n">
        <v>2</v>
      </c>
      <c r="G749" s="171" t="n">
        <v>1</v>
      </c>
      <c r="H749" s="45" t="inlineStr">
        <is>
          <t>18.07.2024; 18.08.2026</t>
        </is>
      </c>
      <c r="I749" s="170" t="inlineStr">
        <is>
          <t>18.07.2024</t>
        </is>
      </c>
    </row>
    <row r="750" ht="20" customHeight="1">
      <c r="A750" s="45" t="inlineStr">
        <is>
          <t>работник 297</t>
        </is>
      </c>
      <c r="B750" s="45" t="inlineStr">
        <is>
          <t>Машинист крана автомобильного</t>
        </is>
      </c>
      <c r="C750" s="45" t="inlineStr">
        <is>
          <t>Первая помощь</t>
        </is>
      </c>
      <c r="D750" s="170" t="inlineStr">
        <is>
          <t>раз в 3 года</t>
        </is>
      </c>
      <c r="E750" s="171" t="n">
        <v>1</v>
      </c>
      <c r="F750" s="171" t="n">
        <v>2</v>
      </c>
      <c r="G750" s="171" t="n">
        <v>1</v>
      </c>
      <c r="H750" s="45" t="inlineStr">
        <is>
          <t>23.02.2024; 19.08.2026</t>
        </is>
      </c>
      <c r="I750" s="170" t="inlineStr">
        <is>
          <t>23.02.2024</t>
        </is>
      </c>
    </row>
    <row r="751" ht="32" customHeight="1">
      <c r="A751" s="45" t="inlineStr">
        <is>
          <t>работник 371</t>
        </is>
      </c>
      <c r="B751" s="45" t="inlineStr">
        <is>
          <t>Водитель автомобиля (занятый на транспортировании горной массы в технологическом процессе)</t>
        </is>
      </c>
      <c r="C751" s="45" t="inlineStr">
        <is>
          <t>Первая помощь</t>
        </is>
      </c>
      <c r="D751" s="170" t="inlineStr">
        <is>
          <t>раз в 3 года</t>
        </is>
      </c>
      <c r="E751" s="171" t="n">
        <v>1</v>
      </c>
      <c r="F751" s="171" t="n">
        <v>2</v>
      </c>
      <c r="G751" s="171" t="n">
        <v>1</v>
      </c>
      <c r="H751" s="45" t="inlineStr">
        <is>
          <t>18.07.2024; 17.08.2026</t>
        </is>
      </c>
      <c r="I751" s="170" t="inlineStr">
        <is>
          <t>18.07.2024</t>
        </is>
      </c>
    </row>
    <row r="752" ht="32" customHeight="1">
      <c r="A752" s="45" t="inlineStr">
        <is>
          <t>работник 766</t>
        </is>
      </c>
      <c r="B752" s="45" t="inlineStr">
        <is>
          <t>Машинист погрузочно-доставочной машины (занятый на транспортировании горной массы в технологическом процессе)</t>
        </is>
      </c>
      <c r="C752" s="45" t="inlineStr">
        <is>
          <t>Первая помощь</t>
        </is>
      </c>
      <c r="D752" s="170" t="inlineStr">
        <is>
          <t>раз в 3 года</t>
        </is>
      </c>
      <c r="E752" s="171" t="n">
        <v>1</v>
      </c>
      <c r="F752" s="171" t="n">
        <v>2</v>
      </c>
      <c r="G752" s="171" t="n">
        <v>1</v>
      </c>
      <c r="H752" s="45" t="inlineStr">
        <is>
          <t>04.06.2026; 23.07.2026</t>
        </is>
      </c>
      <c r="I752" s="170" t="inlineStr">
        <is>
          <t>04.06.2026</t>
        </is>
      </c>
    </row>
    <row r="753" ht="32" customHeight="1">
      <c r="A753" s="45" t="inlineStr">
        <is>
          <t>работник 823</t>
        </is>
      </c>
      <c r="B753" s="45" t="inlineStr">
        <is>
          <t>Слесарь по ремонту автомобилей / Слесарь по ремонту автомобилей и тяжелой техники</t>
        </is>
      </c>
      <c r="C753" s="45" t="inlineStr">
        <is>
          <t>Первая помощь</t>
        </is>
      </c>
      <c r="D753" s="170" t="inlineStr">
        <is>
          <t>раз в 3 года</t>
        </is>
      </c>
      <c r="E753" s="171" t="n">
        <v>1</v>
      </c>
      <c r="F753" s="171" t="n">
        <v>2</v>
      </c>
      <c r="G753" s="171" t="n">
        <v>1</v>
      </c>
      <c r="H753" s="45" t="inlineStr">
        <is>
          <t>30.06.2026; 18.08.2026</t>
        </is>
      </c>
      <c r="I753" s="170" t="inlineStr">
        <is>
          <t>30.06.2026</t>
        </is>
      </c>
    </row>
    <row r="754" ht="32" customHeight="1">
      <c r="A754" s="45" t="inlineStr">
        <is>
          <t>работник 183</t>
        </is>
      </c>
      <c r="B754" s="45" t="inlineStr">
        <is>
          <t>Машинист экскаватора / Слесарь-ремонтник (по ремонту самоходной техники)</t>
        </is>
      </c>
      <c r="C754" s="45" t="inlineStr">
        <is>
          <t>Первая помощь</t>
        </is>
      </c>
      <c r="D754" s="170" t="inlineStr">
        <is>
          <t>раз в 3 года</t>
        </is>
      </c>
      <c r="E754" s="171" t="n">
        <v>1</v>
      </c>
      <c r="F754" s="171" t="n">
        <v>2</v>
      </c>
      <c r="G754" s="171" t="n">
        <v>1</v>
      </c>
      <c r="H754" s="45" t="inlineStr">
        <is>
          <t>06.02.2024; 17.08.2026</t>
        </is>
      </c>
      <c r="I754" s="170" t="inlineStr">
        <is>
          <t>06.02.2024</t>
        </is>
      </c>
    </row>
    <row r="755" ht="32" customHeight="1">
      <c r="A755" s="45" t="inlineStr">
        <is>
          <t>работник 177</t>
        </is>
      </c>
      <c r="B755" s="45" t="inlineStr">
        <is>
          <t>Слесарь-ремонтник (по ремонту горно-шахтного оборудования) / Слесарь-сантехник</t>
        </is>
      </c>
      <c r="C755" s="45" t="inlineStr">
        <is>
          <t>Первая помощь</t>
        </is>
      </c>
      <c r="D755" s="170" t="inlineStr">
        <is>
          <t>раз в 3 года</t>
        </is>
      </c>
      <c r="E755" s="171" t="n">
        <v>1</v>
      </c>
      <c r="F755" s="171" t="n">
        <v>2</v>
      </c>
      <c r="G755" s="171" t="n">
        <v>1</v>
      </c>
      <c r="H755" s="45" t="inlineStr">
        <is>
          <t>19.01.2024; 18.05.2024</t>
        </is>
      </c>
      <c r="I755" s="170" t="inlineStr">
        <is>
          <t>19.01.2024</t>
        </is>
      </c>
    </row>
    <row r="756" ht="32" customHeight="1">
      <c r="A756" s="45" t="inlineStr">
        <is>
          <t>работник 178</t>
        </is>
      </c>
      <c r="B756" s="45" t="inlineStr">
        <is>
          <t>Машинист погрузочно-доставочной машины (занятый на транспортировании горной массы в технологическом процессе) / Машинист подземно-доставочной машины</t>
        </is>
      </c>
      <c r="C756" s="45" t="inlineStr">
        <is>
          <t>Первая помощь</t>
        </is>
      </c>
      <c r="D756" s="170" t="inlineStr">
        <is>
          <t>раз в 3 года</t>
        </is>
      </c>
      <c r="E756" s="171" t="n">
        <v>1</v>
      </c>
      <c r="F756" s="171" t="n">
        <v>2</v>
      </c>
      <c r="G756" s="171" t="n">
        <v>1</v>
      </c>
      <c r="H756" s="45" t="inlineStr">
        <is>
          <t>19.01.2024; 16.08.2026</t>
        </is>
      </c>
      <c r="I756" s="170" t="inlineStr">
        <is>
          <t>19.01.2024</t>
        </is>
      </c>
    </row>
    <row r="757" ht="20" customHeight="1">
      <c r="A757" s="45" t="inlineStr">
        <is>
          <t>работник 180</t>
        </is>
      </c>
      <c r="B757" s="45" t="inlineStr">
        <is>
          <t>Электрогазосварщик</t>
        </is>
      </c>
      <c r="C757" s="45" t="inlineStr">
        <is>
          <t>Первая помощь</t>
        </is>
      </c>
      <c r="D757" s="170" t="inlineStr">
        <is>
          <t>раз в 3 года</t>
        </is>
      </c>
      <c r="E757" s="171" t="n">
        <v>1</v>
      </c>
      <c r="F757" s="171" t="n">
        <v>2</v>
      </c>
      <c r="G757" s="171" t="n">
        <v>1</v>
      </c>
      <c r="H757" s="45" t="inlineStr">
        <is>
          <t>19.01.2024; 14.08.2026</t>
        </is>
      </c>
      <c r="I757" s="170" t="inlineStr">
        <is>
          <t>19.01.2024</t>
        </is>
      </c>
    </row>
    <row r="758" ht="32" customHeight="1">
      <c r="A758" s="45" t="inlineStr">
        <is>
          <t>работник 243</t>
        </is>
      </c>
      <c r="B758" s="45" t="inlineStr">
        <is>
          <t>Слесарь по контрольно-измерительным приборам и автоматике / Фильтровальщик</t>
        </is>
      </c>
      <c r="C758" s="45" t="inlineStr">
        <is>
          <t>СИЗ</t>
        </is>
      </c>
      <c r="D758" s="170" t="inlineStr">
        <is>
          <t>раз в 3 года</t>
        </is>
      </c>
      <c r="E758" s="171" t="n">
        <v>1</v>
      </c>
      <c r="F758" s="171" t="n">
        <v>4</v>
      </c>
      <c r="G758" s="171" t="n">
        <v>3</v>
      </c>
      <c r="H758" s="45" t="inlineStr">
        <is>
          <t>28.01.2024; 12.04.2025; 08.04.2026; 29.07.2026</t>
        </is>
      </c>
      <c r="I758" s="170" t="inlineStr">
        <is>
          <t>28.01.2024</t>
        </is>
      </c>
    </row>
    <row r="759" ht="32" customHeight="1">
      <c r="A759" s="45" t="inlineStr">
        <is>
          <t>работник 508</t>
        </is>
      </c>
      <c r="B759" s="45" t="inlineStr">
        <is>
          <t>Горнорабочий на геологических работах / Горнорабочий на маркшейдерских работах / Помощник машиниста самоходной буровой установки (с исполнением обязанностей пробоотборщика) / Помощник машиниста самоходной буровой установки (с исполнением обязанностей пробоотборщика) (Очистное)</t>
        </is>
      </c>
      <c r="C759" s="45" t="inlineStr">
        <is>
          <t>СИЗ</t>
        </is>
      </c>
      <c r="D759" s="170" t="inlineStr">
        <is>
          <t>раз в 3 года</t>
        </is>
      </c>
      <c r="E759" s="171" t="n">
        <v>1</v>
      </c>
      <c r="F759" s="171" t="n">
        <v>4</v>
      </c>
      <c r="G759" s="171" t="n">
        <v>3</v>
      </c>
      <c r="H759" s="45" t="inlineStr">
        <is>
          <t>25.12.2024; 08.09.2025; 02.10.2025; 26.07.2026</t>
        </is>
      </c>
      <c r="I759" s="170" t="inlineStr">
        <is>
          <t>25.12.2024</t>
        </is>
      </c>
    </row>
    <row r="760" ht="32" customHeight="1">
      <c r="A760" s="45" t="inlineStr">
        <is>
          <t>работник 502</t>
        </is>
      </c>
      <c r="B760" s="45" t="inlineStr">
        <is>
          <t>Контролер продукции обогащения / Кухонный рабочий / Подсобный рабочий</t>
        </is>
      </c>
      <c r="C760" s="45" t="inlineStr">
        <is>
          <t>СИЗ</t>
        </is>
      </c>
      <c r="D760" s="170" t="inlineStr">
        <is>
          <t>раз в 3 года</t>
        </is>
      </c>
      <c r="E760" s="171" t="n">
        <v>1</v>
      </c>
      <c r="F760" s="171" t="n">
        <v>4</v>
      </c>
      <c r="G760" s="171" t="n">
        <v>3</v>
      </c>
      <c r="H760" s="45" t="inlineStr">
        <is>
          <t>13.11.2024; 18.01.2025; 16.03.2026; 02.08.2026</t>
        </is>
      </c>
      <c r="I760" s="170" t="inlineStr">
        <is>
          <t>13.11.2024</t>
        </is>
      </c>
    </row>
    <row r="761" ht="20" customHeight="1">
      <c r="A761" s="45" t="inlineStr">
        <is>
          <t>работник 402</t>
        </is>
      </c>
      <c r="B761" s="45" t="inlineStr">
        <is>
          <t>Лаборант пробирного анализа</t>
        </is>
      </c>
      <c r="C761" s="45" t="inlineStr">
        <is>
          <t>СИЗ</t>
        </is>
      </c>
      <c r="D761" s="170" t="inlineStr">
        <is>
          <t>раз в 3 года</t>
        </is>
      </c>
      <c r="E761" s="171" t="n">
        <v>1</v>
      </c>
      <c r="F761" s="171" t="n">
        <v>4</v>
      </c>
      <c r="G761" s="171" t="n">
        <v>3</v>
      </c>
      <c r="H761" s="45" t="inlineStr">
        <is>
          <t>03.08.2024; 28.03.2025; 26.07.2025; 02.08.2026</t>
        </is>
      </c>
      <c r="I761" s="170" t="inlineStr">
        <is>
          <t>03.08.2024</t>
        </is>
      </c>
    </row>
    <row r="762" ht="20" customHeight="1">
      <c r="A762" s="45" t="inlineStr">
        <is>
          <t>работник 78</t>
        </is>
      </c>
      <c r="B762" s="45" t="inlineStr">
        <is>
          <t>Сварщик / Электрогазосварщик</t>
        </is>
      </c>
      <c r="C762" s="45" t="inlineStr">
        <is>
          <t>СИЗ</t>
        </is>
      </c>
      <c r="D762" s="170" t="inlineStr">
        <is>
          <t>раз в 3 года</t>
        </is>
      </c>
      <c r="E762" s="171" t="n">
        <v>2</v>
      </c>
      <c r="F762" s="171" t="n">
        <v>4</v>
      </c>
      <c r="G762" s="171" t="n">
        <v>2</v>
      </c>
      <c r="H762" s="45" t="inlineStr">
        <is>
          <t>23.11.2023; 29.01.2025; 23.08.2025; 23.05.2026</t>
        </is>
      </c>
      <c r="I762" s="170" t="inlineStr">
        <is>
          <t>23.11.2023</t>
        </is>
      </c>
    </row>
    <row r="763" ht="20" customHeight="1">
      <c r="A763" s="45" t="inlineStr">
        <is>
          <t>работник 147</t>
        </is>
      </c>
      <c r="B763" s="45" t="inlineStr">
        <is>
          <t>Крепильщик</t>
        </is>
      </c>
      <c r="C763" s="45" t="inlineStr">
        <is>
          <t>СИЗ</t>
        </is>
      </c>
      <c r="D763" s="170" t="inlineStr">
        <is>
          <t>раз в 3 года</t>
        </is>
      </c>
      <c r="E763" s="171" t="n">
        <v>1</v>
      </c>
      <c r="F763" s="171" t="n">
        <v>3</v>
      </c>
      <c r="G763" s="171" t="n">
        <v>2</v>
      </c>
      <c r="H763" s="45" t="inlineStr">
        <is>
          <t>19.01.2024; 12.11.2024; 24.07.2026</t>
        </is>
      </c>
      <c r="I763" s="170" t="inlineStr">
        <is>
          <t>19.01.2024</t>
        </is>
      </c>
    </row>
    <row r="764" ht="20" customHeight="1">
      <c r="A764" s="45" t="inlineStr">
        <is>
          <t>работник 424</t>
        </is>
      </c>
      <c r="B764" s="45" t="inlineStr">
        <is>
          <t>Аппаратчик-гидрометаллург / Фильтровальщик</t>
        </is>
      </c>
      <c r="C764" s="45" t="inlineStr">
        <is>
          <t>СИЗ</t>
        </is>
      </c>
      <c r="D764" s="170" t="inlineStr">
        <is>
          <t>раз в 3 года</t>
        </is>
      </c>
      <c r="E764" s="171" t="n">
        <v>1</v>
      </c>
      <c r="F764" s="171" t="n">
        <v>3</v>
      </c>
      <c r="G764" s="171" t="n">
        <v>2</v>
      </c>
      <c r="H764" s="45" t="inlineStr">
        <is>
          <t>20.10.2024; 26.08.2026; 07.09.2026</t>
        </is>
      </c>
      <c r="I764" s="170" t="inlineStr">
        <is>
          <t>20.10.2024</t>
        </is>
      </c>
    </row>
    <row r="765" ht="32" customHeight="1">
      <c r="A765" s="45" t="inlineStr">
        <is>
          <t>работник 149</t>
        </is>
      </c>
      <c r="B765" s="45" t="inlineStr">
        <is>
          <t>Машинист погрузочно-доставочной машины / Машинист подземно-доставочной машины</t>
        </is>
      </c>
      <c r="C765" s="45" t="inlineStr">
        <is>
          <t>СИЗ</t>
        </is>
      </c>
      <c r="D765" s="170" t="inlineStr">
        <is>
          <t>раз в 3 года</t>
        </is>
      </c>
      <c r="E765" s="171" t="n">
        <v>1</v>
      </c>
      <c r="F765" s="171" t="n">
        <v>3</v>
      </c>
      <c r="G765" s="171" t="n">
        <v>2</v>
      </c>
      <c r="H765" s="45" t="inlineStr">
        <is>
          <t>19.01.2024; 12.11.2024; 15.08.2026</t>
        </is>
      </c>
      <c r="I765" s="170" t="inlineStr">
        <is>
          <t>19.01.2024</t>
        </is>
      </c>
    </row>
    <row r="766" ht="32" customHeight="1">
      <c r="A766" s="45" t="inlineStr">
        <is>
          <t>работник 151</t>
        </is>
      </c>
      <c r="B766" s="45" t="inlineStr">
        <is>
          <t>Машинист погрузочно-доставочной машины (занятый на транспортировании горной массы в технологическом процессе) / Машинист подземно-доставочной машины</t>
        </is>
      </c>
      <c r="C766" s="45" t="inlineStr">
        <is>
          <t>СИЗ</t>
        </is>
      </c>
      <c r="D766" s="170" t="inlineStr">
        <is>
          <t>раз в 3 года</t>
        </is>
      </c>
      <c r="E766" s="171" t="n">
        <v>1</v>
      </c>
      <c r="F766" s="171" t="n">
        <v>3</v>
      </c>
      <c r="G766" s="171" t="n">
        <v>2</v>
      </c>
      <c r="H766" s="45" t="inlineStr">
        <is>
          <t>19.01.2024; 12.11.2024; 16.08.2026</t>
        </is>
      </c>
      <c r="I766" s="170" t="inlineStr">
        <is>
          <t>19.01.2024</t>
        </is>
      </c>
    </row>
    <row r="767" ht="32" customHeight="1">
      <c r="A767" s="45" t="inlineStr">
        <is>
          <t>работник 154</t>
        </is>
      </c>
      <c r="B767" s="45" t="inlineStr">
        <is>
          <t>Машинист погрузочно-доставочной машины / Машинист подземно-доставочной машины</t>
        </is>
      </c>
      <c r="C767" s="45" t="inlineStr">
        <is>
          <t>СИЗ</t>
        </is>
      </c>
      <c r="D767" s="170" t="inlineStr">
        <is>
          <t>раз в 3 года</t>
        </is>
      </c>
      <c r="E767" s="171" t="n">
        <v>1</v>
      </c>
      <c r="F767" s="171" t="n">
        <v>3</v>
      </c>
      <c r="G767" s="171" t="n">
        <v>2</v>
      </c>
      <c r="H767" s="45" t="inlineStr">
        <is>
          <t>19.01.2024; 12.11.2024; 23.07.2026</t>
        </is>
      </c>
      <c r="I767" s="170" t="inlineStr">
        <is>
          <t>19.01.2024</t>
        </is>
      </c>
    </row>
    <row r="768" ht="20" customHeight="1">
      <c r="A768" s="45" t="inlineStr">
        <is>
          <t>работник 144</t>
        </is>
      </c>
      <c r="B768" s="45" t="inlineStr">
        <is>
          <t>Бункеровщик / Машинист мельниц</t>
        </is>
      </c>
      <c r="C768" s="45" t="inlineStr">
        <is>
          <t>СИЗ</t>
        </is>
      </c>
      <c r="D768" s="170" t="inlineStr">
        <is>
          <t>раз в 3 года</t>
        </is>
      </c>
      <c r="E768" s="171" t="n">
        <v>1</v>
      </c>
      <c r="F768" s="171" t="n">
        <v>3</v>
      </c>
      <c r="G768" s="171" t="n">
        <v>2</v>
      </c>
      <c r="H768" s="45" t="inlineStr">
        <is>
          <t>25.12.2023; 23.02.2024; 29.07.2026</t>
        </is>
      </c>
      <c r="I768" s="170" t="inlineStr">
        <is>
          <t>25.12.2023</t>
        </is>
      </c>
    </row>
    <row r="769" ht="20" customHeight="1">
      <c r="A769" s="45" t="inlineStr">
        <is>
          <t>работник 663</t>
        </is>
      </c>
      <c r="B769" s="45" t="inlineStr">
        <is>
          <t>Проходчик (с исполнением обязанностей взрывника)</t>
        </is>
      </c>
      <c r="C769" s="45" t="inlineStr">
        <is>
          <t>СИЗ</t>
        </is>
      </c>
      <c r="D769" s="170" t="inlineStr">
        <is>
          <t>раз в 3 года</t>
        </is>
      </c>
      <c r="E769" s="171" t="n">
        <v>1</v>
      </c>
      <c r="F769" s="171" t="n">
        <v>3</v>
      </c>
      <c r="G769" s="171" t="n">
        <v>2</v>
      </c>
      <c r="H769" s="45" t="inlineStr">
        <is>
          <t>26.02.2026; 28.07.2026; 16.08.2026</t>
        </is>
      </c>
      <c r="I769" s="170" t="inlineStr">
        <is>
          <t>26.02.2026</t>
        </is>
      </c>
    </row>
    <row r="770" ht="20" customHeight="1">
      <c r="A770" s="45" t="inlineStr">
        <is>
          <t>работник 636</t>
        </is>
      </c>
      <c r="B770" s="45" t="inlineStr">
        <is>
          <t>Аппаратчик-гидрометаллург / Грузчик</t>
        </is>
      </c>
      <c r="C770" s="45" t="inlineStr">
        <is>
          <t>СИЗ</t>
        </is>
      </c>
      <c r="D770" s="170" t="inlineStr">
        <is>
          <t>раз в 3 года</t>
        </is>
      </c>
      <c r="E770" s="171" t="n">
        <v>1</v>
      </c>
      <c r="F770" s="171" t="n">
        <v>3</v>
      </c>
      <c r="G770" s="171" t="n">
        <v>2</v>
      </c>
      <c r="H770" s="45" t="inlineStr">
        <is>
          <t>19.02.2026; 29.07.2026; 10.09.2026</t>
        </is>
      </c>
      <c r="I770" s="170" t="inlineStr">
        <is>
          <t>19.02.2026</t>
        </is>
      </c>
    </row>
    <row r="771" ht="32" customHeight="1">
      <c r="A771" s="45" t="inlineStr">
        <is>
          <t>работник 161</t>
        </is>
      </c>
      <c r="B771" s="45" t="inlineStr">
        <is>
          <t>Машинист погрузочно-доставочной машины / Машинист подземно-доставочной машины / Машинист самоходной буровой установки</t>
        </is>
      </c>
      <c r="C771" s="45" t="inlineStr">
        <is>
          <t>СИЗ</t>
        </is>
      </c>
      <c r="D771" s="170" t="inlineStr">
        <is>
          <t>раз в 3 года</t>
        </is>
      </c>
      <c r="E771" s="171" t="n">
        <v>1</v>
      </c>
      <c r="F771" s="171" t="n">
        <v>3</v>
      </c>
      <c r="G771" s="171" t="n">
        <v>2</v>
      </c>
      <c r="H771" s="45" t="inlineStr">
        <is>
          <t>19.01.2024; 20.09.2024; 23.07.2026</t>
        </is>
      </c>
      <c r="I771" s="170" t="inlineStr">
        <is>
          <t>19.01.2024</t>
        </is>
      </c>
    </row>
    <row r="772" ht="20" customHeight="1">
      <c r="A772" s="45" t="inlineStr">
        <is>
          <t>работник 162</t>
        </is>
      </c>
      <c r="B772" s="45" t="inlineStr">
        <is>
          <t>Проходчик (с исполнением обязанностей взрывника)</t>
        </is>
      </c>
      <c r="C772" s="45" t="inlineStr">
        <is>
          <t>СИЗ</t>
        </is>
      </c>
      <c r="D772" s="170" t="inlineStr">
        <is>
          <t>раз в 3 года</t>
        </is>
      </c>
      <c r="E772" s="171" t="n">
        <v>1</v>
      </c>
      <c r="F772" s="171" t="n">
        <v>3</v>
      </c>
      <c r="G772" s="171" t="n">
        <v>2</v>
      </c>
      <c r="H772" s="45" t="inlineStr">
        <is>
          <t>19.01.2024; 12.11.2024; 22.07.2026</t>
        </is>
      </c>
      <c r="I772" s="170" t="inlineStr">
        <is>
          <t>19.01.2024</t>
        </is>
      </c>
    </row>
    <row r="773" ht="20" customHeight="1">
      <c r="A773" s="45" t="inlineStr">
        <is>
          <t>работник 238</t>
        </is>
      </c>
      <c r="B773" s="45" t="inlineStr">
        <is>
          <t>Лаборант пробирного анализа</t>
        </is>
      </c>
      <c r="C773" s="45" t="inlineStr">
        <is>
          <t>СИЗ</t>
        </is>
      </c>
      <c r="D773" s="170" t="inlineStr">
        <is>
          <t>раз в 3 года</t>
        </is>
      </c>
      <c r="E773" s="171" t="n">
        <v>1</v>
      </c>
      <c r="F773" s="171" t="n">
        <v>3</v>
      </c>
      <c r="G773" s="171" t="n">
        <v>2</v>
      </c>
      <c r="H773" s="45" t="inlineStr">
        <is>
          <t>23.02.2024; 08.07.2025; 17.09.2026</t>
        </is>
      </c>
      <c r="I773" s="170" t="inlineStr">
        <is>
          <t>23.02.2024</t>
        </is>
      </c>
    </row>
    <row r="774" ht="20" customHeight="1">
      <c r="A774" s="45" t="inlineStr">
        <is>
          <t>работник 22</t>
        </is>
      </c>
      <c r="B774" s="45" t="inlineStr">
        <is>
          <t>Электрогазосварщик</t>
        </is>
      </c>
      <c r="C774" s="45" t="inlineStr">
        <is>
          <t>СИЗ</t>
        </is>
      </c>
      <c r="D774" s="170" t="inlineStr">
        <is>
          <t>раз в 3 года</t>
        </is>
      </c>
      <c r="E774" s="171" t="n">
        <v>2</v>
      </c>
      <c r="F774" s="171" t="n">
        <v>4</v>
      </c>
      <c r="G774" s="171" t="n">
        <v>2</v>
      </c>
      <c r="H774" s="45" t="inlineStr">
        <is>
          <t>02.10.2023; 03.12.2023; 23.02.2024; 18.08.2026</t>
        </is>
      </c>
      <c r="I774" s="170" t="inlineStr">
        <is>
          <t>02.10.2023</t>
        </is>
      </c>
    </row>
    <row r="775" ht="32" customHeight="1">
      <c r="A775" s="45" t="inlineStr">
        <is>
          <t>работник 451</t>
        </is>
      </c>
      <c r="B775" s="45" t="inlineStr">
        <is>
          <t>Аппаратчик-гидрометаллург / Монтажник по монтажу стальных и железобетонных конструкций / Фильтровальщик</t>
        </is>
      </c>
      <c r="C775" s="45" t="inlineStr">
        <is>
          <t>СИЗ</t>
        </is>
      </c>
      <c r="D775" s="170" t="inlineStr">
        <is>
          <t>раз в 3 года</t>
        </is>
      </c>
      <c r="E775" s="171" t="n">
        <v>1</v>
      </c>
      <c r="F775" s="171" t="n">
        <v>3</v>
      </c>
      <c r="G775" s="171" t="n">
        <v>2</v>
      </c>
      <c r="H775" s="45" t="inlineStr">
        <is>
          <t>25.10.2024; 23.05.2026; 29.07.2026</t>
        </is>
      </c>
      <c r="I775" s="170" t="inlineStr">
        <is>
          <t>25.10.2024</t>
        </is>
      </c>
    </row>
    <row r="776" ht="32" customHeight="1">
      <c r="A776" s="45" t="inlineStr">
        <is>
          <t>работник 164</t>
        </is>
      </c>
      <c r="B776" s="45" t="inlineStr">
        <is>
          <t>Машинист самоходной буровой установки / Машинист самоходной буровой установки (Проходка)</t>
        </is>
      </c>
      <c r="C776" s="45" t="inlineStr">
        <is>
          <t>СИЗ</t>
        </is>
      </c>
      <c r="D776" s="170" t="inlineStr">
        <is>
          <t>раз в 3 года</t>
        </is>
      </c>
      <c r="E776" s="171" t="n">
        <v>1</v>
      </c>
      <c r="F776" s="171" t="n">
        <v>3</v>
      </c>
      <c r="G776" s="171" t="n">
        <v>2</v>
      </c>
      <c r="H776" s="45" t="inlineStr">
        <is>
          <t>19.01.2024; 12.11.2024; 25.07.2026</t>
        </is>
      </c>
      <c r="I776" s="170" t="inlineStr">
        <is>
          <t>19.01.2024</t>
        </is>
      </c>
    </row>
    <row r="777" ht="32" customHeight="1">
      <c r="A777" s="45" t="inlineStr">
        <is>
          <t>работник 302</t>
        </is>
      </c>
      <c r="B777" s="45" t="inlineStr">
        <is>
          <t>Машинист погрузочно-доставочной машины / Машинист погрузочно-доставочной машины (ТГМ)</t>
        </is>
      </c>
      <c r="C777" s="45" t="inlineStr">
        <is>
          <t>СИЗ</t>
        </is>
      </c>
      <c r="D777" s="170" t="inlineStr">
        <is>
          <t>раз в 3 года</t>
        </is>
      </c>
      <c r="E777" s="171" t="n">
        <v>1</v>
      </c>
      <c r="F777" s="171" t="n">
        <v>3</v>
      </c>
      <c r="G777" s="171" t="n">
        <v>2</v>
      </c>
      <c r="H777" s="45" t="inlineStr">
        <is>
          <t>12.02.2024; 23.07.2026; 26.07.2026</t>
        </is>
      </c>
      <c r="I777" s="170" t="inlineStr">
        <is>
          <t>12.02.2024</t>
        </is>
      </c>
    </row>
    <row r="778" ht="20" customHeight="1">
      <c r="A778" s="45" t="inlineStr">
        <is>
          <t>работник 170</t>
        </is>
      </c>
      <c r="B778" s="45" t="inlineStr">
        <is>
          <t>Горный диспетчер</t>
        </is>
      </c>
      <c r="C778" s="45" t="inlineStr">
        <is>
          <t>СИЗ</t>
        </is>
      </c>
      <c r="D778" s="170" t="inlineStr">
        <is>
          <t>раз в 3 года</t>
        </is>
      </c>
      <c r="E778" s="171" t="n">
        <v>1</v>
      </c>
      <c r="F778" s="171" t="n">
        <v>3</v>
      </c>
      <c r="G778" s="171" t="n">
        <v>2</v>
      </c>
      <c r="H778" s="45" t="inlineStr">
        <is>
          <t>19.01.2024; 12.11.2024; 18.08.2026</t>
        </is>
      </c>
      <c r="I778" s="170" t="inlineStr">
        <is>
          <t>19.01.2024</t>
        </is>
      </c>
    </row>
    <row r="779" ht="32" customHeight="1">
      <c r="A779" s="45" t="inlineStr">
        <is>
          <t>работник 172</t>
        </is>
      </c>
      <c r="B779" s="45" t="inlineStr">
        <is>
          <t>Машинист погрузочно-доставочной машины (занятый на транспортировании горной массы в технологическом процессе) / Машинист подземно-доставочной машины</t>
        </is>
      </c>
      <c r="C779" s="45" t="inlineStr">
        <is>
          <t>СИЗ</t>
        </is>
      </c>
      <c r="D779" s="170" t="inlineStr">
        <is>
          <t>раз в 3 года</t>
        </is>
      </c>
      <c r="E779" s="171" t="n">
        <v>1</v>
      </c>
      <c r="F779" s="171" t="n">
        <v>3</v>
      </c>
      <c r="G779" s="171" t="n">
        <v>2</v>
      </c>
      <c r="H779" s="45" t="inlineStr">
        <is>
          <t>19.01.2024; 12.11.2024; 16.08.2026</t>
        </is>
      </c>
      <c r="I779" s="170" t="inlineStr">
        <is>
          <t>19.01.2024</t>
        </is>
      </c>
    </row>
    <row r="780" ht="32" customHeight="1">
      <c r="A780" s="45" t="inlineStr">
        <is>
          <t>работник 91</t>
        </is>
      </c>
      <c r="B780" s="45" t="inlineStr">
        <is>
          <t>Машинист насосных установок / Стропальщик / Стропальщик (с исполнением обязанностей грузчика)</t>
        </is>
      </c>
      <c r="C780" s="45" t="inlineStr">
        <is>
          <t>СИЗ</t>
        </is>
      </c>
      <c r="D780" s="170" t="inlineStr">
        <is>
          <t>раз в 3 года</t>
        </is>
      </c>
      <c r="E780" s="171" t="n">
        <v>2</v>
      </c>
      <c r="F780" s="171" t="n">
        <v>4</v>
      </c>
      <c r="G780" s="171" t="n">
        <v>2</v>
      </c>
      <c r="H780" s="45" t="inlineStr">
        <is>
          <t>07.12.2023; 13.12.2025; 24.08.2026; 25.08.2026</t>
        </is>
      </c>
      <c r="I780" s="170" t="inlineStr">
        <is>
          <t>07.12.2023</t>
        </is>
      </c>
    </row>
    <row r="781" ht="20" customHeight="1">
      <c r="A781" s="45" t="inlineStr">
        <is>
          <t>работник 226</t>
        </is>
      </c>
      <c r="B781" s="45" t="inlineStr">
        <is>
          <t>Кладовщик / Пробоотборщик</t>
        </is>
      </c>
      <c r="C781" s="45" t="inlineStr">
        <is>
          <t>СИЗ</t>
        </is>
      </c>
      <c r="D781" s="170" t="inlineStr">
        <is>
          <t>раз в 3 года</t>
        </is>
      </c>
      <c r="E781" s="171" t="n">
        <v>1</v>
      </c>
      <c r="F781" s="171" t="n">
        <v>3</v>
      </c>
      <c r="G781" s="171" t="n">
        <v>2</v>
      </c>
      <c r="H781" s="45" t="inlineStr">
        <is>
          <t>23.02.2024; 23.08.2024; 26.08.2026</t>
        </is>
      </c>
      <c r="I781" s="170" t="inlineStr">
        <is>
          <t>23.02.2024</t>
        </is>
      </c>
    </row>
    <row r="782" ht="32" customHeight="1">
      <c r="A782" s="45" t="inlineStr">
        <is>
          <t>работник 174</t>
        </is>
      </c>
      <c r="B782" s="45" t="inlineStr">
        <is>
          <t>Машинист погрузочно-доставочной машины (занятый на транспортировании горной массы в технологическом процессе) / Машинист подземно-доставочной машины</t>
        </is>
      </c>
      <c r="C782" s="45" t="inlineStr">
        <is>
          <t>СИЗ</t>
        </is>
      </c>
      <c r="D782" s="170" t="inlineStr">
        <is>
          <t>раз в 3 года</t>
        </is>
      </c>
      <c r="E782" s="171" t="n">
        <v>1</v>
      </c>
      <c r="F782" s="171" t="n">
        <v>3</v>
      </c>
      <c r="G782" s="171" t="n">
        <v>2</v>
      </c>
      <c r="H782" s="45" t="inlineStr">
        <is>
          <t>19.01.2024; 12.11.2024; 23.07.2026</t>
        </is>
      </c>
      <c r="I782" s="170" t="inlineStr">
        <is>
          <t>19.01.2024</t>
        </is>
      </c>
    </row>
    <row r="783" ht="20" customHeight="1">
      <c r="A783" s="45" t="inlineStr">
        <is>
          <t>работник 145</t>
        </is>
      </c>
      <c r="B783" s="45" t="inlineStr">
        <is>
          <t>Машинист мельниц / Фильтровальщик</t>
        </is>
      </c>
      <c r="C783" s="45" t="inlineStr">
        <is>
          <t>СИЗ</t>
        </is>
      </c>
      <c r="D783" s="170" t="inlineStr">
        <is>
          <t>раз в 3 года</t>
        </is>
      </c>
      <c r="E783" s="171" t="n">
        <v>1</v>
      </c>
      <c r="F783" s="171" t="n">
        <v>3</v>
      </c>
      <c r="G783" s="171" t="n">
        <v>2</v>
      </c>
      <c r="H783" s="45" t="inlineStr">
        <is>
          <t>29.12.2023; 01.07.2026; 29.07.2026</t>
        </is>
      </c>
      <c r="I783" s="170" t="inlineStr">
        <is>
          <t>29.12.2023</t>
        </is>
      </c>
    </row>
    <row r="784" ht="32" customHeight="1">
      <c r="A784" s="45" t="inlineStr">
        <is>
          <t>работник 438</t>
        </is>
      </c>
      <c r="B784" s="45" t="inlineStr">
        <is>
          <t>Аппаратчик сгустителей / Аппаратчик-гидрометаллург</t>
        </is>
      </c>
      <c r="C784" s="45" t="inlineStr">
        <is>
          <t>СИЗ</t>
        </is>
      </c>
      <c r="D784" s="170" t="inlineStr">
        <is>
          <t>раз в 3 года</t>
        </is>
      </c>
      <c r="E784" s="171" t="n">
        <v>1</v>
      </c>
      <c r="F784" s="171" t="n">
        <v>3</v>
      </c>
      <c r="G784" s="171" t="n">
        <v>2</v>
      </c>
      <c r="H784" s="45" t="inlineStr">
        <is>
          <t>25.10.2024; 08.04.2026; 29.07.2026</t>
        </is>
      </c>
      <c r="I784" s="170" t="inlineStr">
        <is>
          <t>25.10.2024</t>
        </is>
      </c>
    </row>
    <row r="785" ht="20" customHeight="1">
      <c r="A785" s="45" t="inlineStr">
        <is>
          <t>работник 546</t>
        </is>
      </c>
      <c r="B785" s="45" t="inlineStr">
        <is>
          <t>Машинист погрузочно-доставочной машины</t>
        </is>
      </c>
      <c r="C785" s="45" t="inlineStr">
        <is>
          <t>СИЗ</t>
        </is>
      </c>
      <c r="D785" s="170" t="inlineStr">
        <is>
          <t>раз в 3 года</t>
        </is>
      </c>
      <c r="E785" s="171" t="n">
        <v>1</v>
      </c>
      <c r="F785" s="171" t="n">
        <v>3</v>
      </c>
      <c r="G785" s="171" t="n">
        <v>2</v>
      </c>
      <c r="H785" s="45" t="inlineStr">
        <is>
          <t>01.03.2025; 01.08.2025; 15.08.2026</t>
        </is>
      </c>
      <c r="I785" s="170" t="inlineStr">
        <is>
          <t>01.03.2025</t>
        </is>
      </c>
    </row>
    <row r="786" ht="32" customHeight="1">
      <c r="A786" s="45" t="inlineStr">
        <is>
          <t>работник 425</t>
        </is>
      </c>
      <c r="B786" s="45" t="inlineStr">
        <is>
          <t>Аппаратчик-гидрометаллург / Слесарь-ремонтник (по ремонту обогатительного оборудования)</t>
        </is>
      </c>
      <c r="C786" s="45" t="inlineStr">
        <is>
          <t>СИЗ</t>
        </is>
      </c>
      <c r="D786" s="170" t="inlineStr">
        <is>
          <t>раз в 3 года</t>
        </is>
      </c>
      <c r="E786" s="171" t="n">
        <v>1</v>
      </c>
      <c r="F786" s="171" t="n">
        <v>3</v>
      </c>
      <c r="G786" s="171" t="n">
        <v>2</v>
      </c>
      <c r="H786" s="45" t="inlineStr">
        <is>
          <t>20.10.2024; 02.10.2025; 29.07.2026</t>
        </is>
      </c>
      <c r="I786" s="170" t="inlineStr">
        <is>
          <t>20.10.2024</t>
        </is>
      </c>
    </row>
    <row r="787" ht="20" customHeight="1">
      <c r="A787" s="45" t="inlineStr">
        <is>
          <t>работник 403</t>
        </is>
      </c>
      <c r="B787" s="45" t="inlineStr">
        <is>
          <t>Лаборант пробирного анализа</t>
        </is>
      </c>
      <c r="C787" s="45" t="inlineStr">
        <is>
          <t>СИЗ</t>
        </is>
      </c>
      <c r="D787" s="170" t="inlineStr">
        <is>
          <t>раз в 3 года</t>
        </is>
      </c>
      <c r="E787" s="171" t="n">
        <v>1</v>
      </c>
      <c r="F787" s="171" t="n">
        <v>3</v>
      </c>
      <c r="G787" s="171" t="n">
        <v>2</v>
      </c>
      <c r="H787" s="45" t="inlineStr">
        <is>
          <t>03.08.2024; 21.04.2026; 02.08.2026</t>
        </is>
      </c>
      <c r="I787" s="170" t="inlineStr">
        <is>
          <t>03.08.2024</t>
        </is>
      </c>
    </row>
    <row r="788" ht="20" customHeight="1">
      <c r="A788" s="45" t="inlineStr">
        <is>
          <t>работник 180</t>
        </is>
      </c>
      <c r="B788" s="45" t="inlineStr">
        <is>
          <t>Электрогазосварщик</t>
        </is>
      </c>
      <c r="C788" s="45" t="inlineStr">
        <is>
          <t>СИЗ</t>
        </is>
      </c>
      <c r="D788" s="170" t="inlineStr">
        <is>
          <t>раз в 3 года</t>
        </is>
      </c>
      <c r="E788" s="171" t="n">
        <v>1</v>
      </c>
      <c r="F788" s="171" t="n">
        <v>3</v>
      </c>
      <c r="G788" s="171" t="n">
        <v>2</v>
      </c>
      <c r="H788" s="45" t="inlineStr">
        <is>
          <t>19.01.2024; 12.11.2024; 14.08.2026</t>
        </is>
      </c>
      <c r="I788" s="170" t="inlineStr">
        <is>
          <t>19.01.2024</t>
        </is>
      </c>
    </row>
    <row r="789" ht="20" customHeight="1">
      <c r="A789" s="45" t="inlineStr">
        <is>
          <t>работник 406</t>
        </is>
      </c>
      <c r="B789" s="45" t="inlineStr">
        <is>
          <t>Водитель автомобиля (категория С)</t>
        </is>
      </c>
      <c r="C789" s="45" t="inlineStr">
        <is>
          <t>СИЗ</t>
        </is>
      </c>
      <c r="D789" s="170" t="inlineStr">
        <is>
          <t>раз в 3 года</t>
        </is>
      </c>
      <c r="E789" s="171" t="n">
        <v>1</v>
      </c>
      <c r="F789" s="171" t="n">
        <v>2</v>
      </c>
      <c r="G789" s="171" t="n">
        <v>1</v>
      </c>
      <c r="H789" s="45" t="inlineStr">
        <is>
          <t>08.09.2024; 19.08.2026</t>
        </is>
      </c>
      <c r="I789" s="170" t="inlineStr">
        <is>
          <t>08.09.2024</t>
        </is>
      </c>
    </row>
    <row r="790" ht="20" customHeight="1">
      <c r="A790" s="45" t="inlineStr">
        <is>
          <t>работник 146</t>
        </is>
      </c>
      <c r="B790" s="45" t="inlineStr">
        <is>
          <t>Проходчик (с исполнением обязанностей взрывника)</t>
        </is>
      </c>
      <c r="C790" s="45" t="inlineStr">
        <is>
          <t>СИЗ</t>
        </is>
      </c>
      <c r="D790" s="170" t="inlineStr">
        <is>
          <t>раз в 3 года</t>
        </is>
      </c>
      <c r="E790" s="171" t="n">
        <v>1</v>
      </c>
      <c r="F790" s="171" t="n">
        <v>2</v>
      </c>
      <c r="G790" s="171" t="n">
        <v>1</v>
      </c>
      <c r="H790" s="45" t="inlineStr">
        <is>
          <t>19.01.2024; 12.11.2024</t>
        </is>
      </c>
      <c r="I790" s="170" t="inlineStr">
        <is>
          <t>19.01.2024</t>
        </is>
      </c>
    </row>
    <row r="791" ht="20" customHeight="1">
      <c r="A791" s="45" t="inlineStr">
        <is>
          <t>работник 606</t>
        </is>
      </c>
      <c r="B791" s="45" t="inlineStr">
        <is>
          <t>Кухонный рабочий / Лаборант химического анализа</t>
        </is>
      </c>
      <c r="C791" s="45" t="inlineStr">
        <is>
          <t>СИЗ</t>
        </is>
      </c>
      <c r="D791" s="170" t="inlineStr">
        <is>
          <t>раз в 3 года</t>
        </is>
      </c>
      <c r="E791" s="171" t="n">
        <v>1</v>
      </c>
      <c r="F791" s="171" t="n">
        <v>2</v>
      </c>
      <c r="G791" s="171" t="n">
        <v>1</v>
      </c>
      <c r="H791" s="45" t="inlineStr">
        <is>
          <t>25.09.2025; 09.09.2026</t>
        </is>
      </c>
      <c r="I791" s="170" t="inlineStr">
        <is>
          <t>25.09.2025</t>
        </is>
      </c>
    </row>
    <row r="792" ht="32" customHeight="1">
      <c r="A792" s="45" t="inlineStr">
        <is>
          <t>работник 666</t>
        </is>
      </c>
      <c r="B792" s="45" t="inlineStr">
        <is>
          <t>Электрослесарь (слесарь) дежурный и по ремонту оборудования</t>
        </is>
      </c>
      <c r="C792" s="45" t="inlineStr">
        <is>
          <t>СИЗ</t>
        </is>
      </c>
      <c r="D792" s="170" t="inlineStr">
        <is>
          <t>раз в 3 года</t>
        </is>
      </c>
      <c r="E792" s="171" t="n">
        <v>1</v>
      </c>
      <c r="F792" s="171" t="n">
        <v>2</v>
      </c>
      <c r="G792" s="171" t="n">
        <v>1</v>
      </c>
      <c r="H792" s="45" t="inlineStr">
        <is>
          <t>09.03.2026; 28.07.2026</t>
        </is>
      </c>
      <c r="I792" s="170" t="inlineStr">
        <is>
          <t>09.03.2026</t>
        </is>
      </c>
    </row>
    <row r="793" ht="20" customHeight="1">
      <c r="A793" s="45" t="inlineStr">
        <is>
          <t>работник 507</t>
        </is>
      </c>
      <c r="B793" s="45" t="inlineStr">
        <is>
          <t>Электрогазосварщик</t>
        </is>
      </c>
      <c r="C793" s="45" t="inlineStr">
        <is>
          <t>СИЗ</t>
        </is>
      </c>
      <c r="D793" s="170" t="inlineStr">
        <is>
          <t>раз в 3 года</t>
        </is>
      </c>
      <c r="E793" s="171" t="n">
        <v>1</v>
      </c>
      <c r="F793" s="171" t="n">
        <v>2</v>
      </c>
      <c r="G793" s="171" t="n">
        <v>1</v>
      </c>
      <c r="H793" s="45" t="inlineStr">
        <is>
          <t>17.09.2025; 23.07.2026</t>
        </is>
      </c>
      <c r="I793" s="170" t="inlineStr">
        <is>
          <t>10.12.2024</t>
        </is>
      </c>
    </row>
    <row r="794" ht="32" customHeight="1">
      <c r="A794" s="45" t="inlineStr">
        <is>
          <t>работник 351</t>
        </is>
      </c>
      <c r="B794" s="45" t="inlineStr">
        <is>
          <t>Кладовщик / Стропальщик (с исполнением обязанностей грузчика)</t>
        </is>
      </c>
      <c r="C794" s="45" t="inlineStr">
        <is>
          <t>СИЗ</t>
        </is>
      </c>
      <c r="D794" s="170" t="inlineStr">
        <is>
          <t>раз в 3 года</t>
        </is>
      </c>
      <c r="E794" s="171" t="n">
        <v>1</v>
      </c>
      <c r="F794" s="171" t="n">
        <v>2</v>
      </c>
      <c r="G794" s="171" t="n">
        <v>1</v>
      </c>
      <c r="H794" s="45" t="inlineStr">
        <is>
          <t>15.04.2024; 16.09.2024</t>
        </is>
      </c>
      <c r="I794" s="170" t="inlineStr">
        <is>
          <t>15.04.2024</t>
        </is>
      </c>
    </row>
    <row r="795" ht="20" customHeight="1">
      <c r="A795" s="45" t="inlineStr">
        <is>
          <t>работник 524</t>
        </is>
      </c>
      <c r="B795" s="45" t="inlineStr">
        <is>
          <t>Машинист конвейера / Машинист мельниц</t>
        </is>
      </c>
      <c r="C795" s="45" t="inlineStr">
        <is>
          <t>СИЗ</t>
        </is>
      </c>
      <c r="D795" s="170" t="inlineStr">
        <is>
          <t>раз в 3 года</t>
        </is>
      </c>
      <c r="E795" s="171" t="n">
        <v>1</v>
      </c>
      <c r="F795" s="171" t="n">
        <v>2</v>
      </c>
      <c r="G795" s="171" t="n">
        <v>1</v>
      </c>
      <c r="H795" s="45" t="inlineStr">
        <is>
          <t>01.02.2025; 29.07.2026</t>
        </is>
      </c>
      <c r="I795" s="170" t="inlineStr">
        <is>
          <t>01.02.2025</t>
        </is>
      </c>
    </row>
    <row r="796" ht="32" customHeight="1">
      <c r="A796" s="45" t="inlineStr">
        <is>
          <t>работник 76</t>
        </is>
      </c>
      <c r="B796" s="45" t="inlineStr">
        <is>
          <t>Монтажник по монтажу стальных и железобетонных конструкций</t>
        </is>
      </c>
      <c r="C796" s="45" t="inlineStr">
        <is>
          <t>СИЗ</t>
        </is>
      </c>
      <c r="D796" s="170" t="inlineStr">
        <is>
          <t>раз в 3 года</t>
        </is>
      </c>
      <c r="E796" s="171" t="n">
        <v>2</v>
      </c>
      <c r="F796" s="171" t="n">
        <v>3</v>
      </c>
      <c r="G796" s="171" t="n">
        <v>1</v>
      </c>
      <c r="H796" s="45" t="inlineStr">
        <is>
          <t>23.11.2023; 05.10.2024; 23.05.2026</t>
        </is>
      </c>
      <c r="I796" s="170" t="inlineStr">
        <is>
          <t>23.11.2023</t>
        </is>
      </c>
    </row>
    <row r="797" ht="20" customHeight="1">
      <c r="A797" s="45" t="inlineStr">
        <is>
          <t>работник 75</t>
        </is>
      </c>
      <c r="B797" s="45" t="inlineStr">
        <is>
          <t>Плотник</t>
        </is>
      </c>
      <c r="C797" s="45" t="inlineStr">
        <is>
          <t>СИЗ</t>
        </is>
      </c>
      <c r="D797" s="170" t="inlineStr">
        <is>
          <t>раз в 3 года</t>
        </is>
      </c>
      <c r="E797" s="171" t="n">
        <v>2</v>
      </c>
      <c r="F797" s="171" t="n">
        <v>3</v>
      </c>
      <c r="G797" s="171" t="n">
        <v>1</v>
      </c>
      <c r="H797" s="45" t="inlineStr">
        <is>
          <t>23.11.2023; 27.06.2025; 23.05.2026</t>
        </is>
      </c>
      <c r="I797" s="170" t="inlineStr">
        <is>
          <t>23.11.2023</t>
        </is>
      </c>
    </row>
    <row r="798" ht="20" customHeight="1">
      <c r="A798" s="45" t="inlineStr">
        <is>
          <t>работник 672</t>
        </is>
      </c>
      <c r="B798" s="45" t="inlineStr">
        <is>
          <t>Горнорабочий на маркшейдерских работах</t>
        </is>
      </c>
      <c r="C798" s="45" t="inlineStr">
        <is>
          <t>СИЗ</t>
        </is>
      </c>
      <c r="D798" s="170" t="inlineStr">
        <is>
          <t>раз в 3 года</t>
        </is>
      </c>
      <c r="E798" s="171" t="n">
        <v>1</v>
      </c>
      <c r="F798" s="171" t="n">
        <v>2</v>
      </c>
      <c r="G798" s="171" t="n">
        <v>1</v>
      </c>
      <c r="H798" s="45" t="inlineStr">
        <is>
          <t>06.04.2026; 25.08.2026</t>
        </is>
      </c>
      <c r="I798" s="170" t="inlineStr">
        <is>
          <t>06.04.2026</t>
        </is>
      </c>
    </row>
    <row r="799" ht="32" customHeight="1">
      <c r="A799" s="45" t="inlineStr">
        <is>
          <t>работник 655</t>
        </is>
      </c>
      <c r="B799" s="45" t="inlineStr">
        <is>
          <t>Слесарь по ремонту автомобилей / Слесарь по ремонту автомобилей и тяжелой техники</t>
        </is>
      </c>
      <c r="C799" s="45" t="inlineStr">
        <is>
          <t>СИЗ</t>
        </is>
      </c>
      <c r="D799" s="170" t="inlineStr">
        <is>
          <t>раз в 3 года</t>
        </is>
      </c>
      <c r="E799" s="171" t="n">
        <v>1</v>
      </c>
      <c r="F799" s="171" t="n">
        <v>2</v>
      </c>
      <c r="G799" s="171" t="n">
        <v>1</v>
      </c>
      <c r="H799" s="45" t="inlineStr">
        <is>
          <t>07.03.2026; 18.08.2026</t>
        </is>
      </c>
      <c r="I799" s="170" t="inlineStr">
        <is>
          <t>07.03.2026</t>
        </is>
      </c>
    </row>
    <row r="800" ht="32" customHeight="1">
      <c r="A800" s="45" t="inlineStr">
        <is>
          <t>работник 354</t>
        </is>
      </c>
      <c r="B800" s="45" t="inlineStr">
        <is>
          <t>Водитель автомобиля (занятый на транспортировании горной массы в технологическом процессе)</t>
        </is>
      </c>
      <c r="C800" s="45" t="inlineStr">
        <is>
          <t>СИЗ</t>
        </is>
      </c>
      <c r="D800" s="170" t="inlineStr">
        <is>
          <t>раз в 3 года</t>
        </is>
      </c>
      <c r="E800" s="171" t="n">
        <v>1</v>
      </c>
      <c r="F800" s="171" t="n">
        <v>2</v>
      </c>
      <c r="G800" s="171" t="n">
        <v>1</v>
      </c>
      <c r="H800" s="45" t="inlineStr">
        <is>
          <t>30.06.2024; 05.10.2024</t>
        </is>
      </c>
      <c r="I800" s="170" t="inlineStr">
        <is>
          <t>30.06.2024</t>
        </is>
      </c>
    </row>
    <row r="801" ht="32" customHeight="1">
      <c r="A801" s="45" t="inlineStr">
        <is>
          <t>работник 773</t>
        </is>
      </c>
      <c r="B801" s="45" t="inlineStr">
        <is>
          <t>Слесарь-ремонтник (по ремонту горно-шахтного оборудования)</t>
        </is>
      </c>
      <c r="C801" s="45" t="inlineStr">
        <is>
          <t>СИЗ</t>
        </is>
      </c>
      <c r="D801" s="170" t="inlineStr">
        <is>
          <t>раз в 3 года</t>
        </is>
      </c>
      <c r="E801" s="171" t="n">
        <v>1</v>
      </c>
      <c r="F801" s="171" t="n">
        <v>2</v>
      </c>
      <c r="G801" s="171" t="n">
        <v>1</v>
      </c>
      <c r="H801" s="45" t="inlineStr">
        <is>
          <t>04.06.2026; 17.08.2026</t>
        </is>
      </c>
      <c r="I801" s="170" t="inlineStr">
        <is>
          <t>04.06.2026</t>
        </is>
      </c>
    </row>
    <row r="802" ht="32" customHeight="1">
      <c r="A802" s="45" t="inlineStr">
        <is>
          <t>работник 148</t>
        </is>
      </c>
      <c r="B802" s="45" t="inlineStr">
        <is>
          <t>Машинист погрузочно-доставочной машины (занятый на транспортировании горной массы в технологическом процессе) / Машинист подземно-доставочной машины</t>
        </is>
      </c>
      <c r="C802" s="45" t="inlineStr">
        <is>
          <t>СИЗ</t>
        </is>
      </c>
      <c r="D802" s="170" t="inlineStr">
        <is>
          <t>раз в 3 года</t>
        </is>
      </c>
      <c r="E802" s="171" t="n">
        <v>1</v>
      </c>
      <c r="F802" s="171" t="n">
        <v>2</v>
      </c>
      <c r="G802" s="171" t="n">
        <v>1</v>
      </c>
      <c r="H802" s="45" t="inlineStr">
        <is>
          <t>19.01.2024; 12.11.2024</t>
        </is>
      </c>
      <c r="I802" s="170" t="inlineStr">
        <is>
          <t>19.01.2024</t>
        </is>
      </c>
    </row>
    <row r="803" ht="20" customHeight="1">
      <c r="A803" s="45" t="inlineStr">
        <is>
          <t>работник 504</t>
        </is>
      </c>
      <c r="B803" s="45" t="inlineStr">
        <is>
          <t>Электрогазосварщик</t>
        </is>
      </c>
      <c r="C803" s="45" t="inlineStr">
        <is>
          <t>СИЗ</t>
        </is>
      </c>
      <c r="D803" s="170" t="inlineStr">
        <is>
          <t>раз в 3 года</t>
        </is>
      </c>
      <c r="E803" s="171" t="n">
        <v>1</v>
      </c>
      <c r="F803" s="171" t="n">
        <v>2</v>
      </c>
      <c r="G803" s="171" t="n">
        <v>1</v>
      </c>
      <c r="H803" s="45" t="inlineStr">
        <is>
          <t>25.11.2024; 29.07.2026</t>
        </is>
      </c>
      <c r="I803" s="170" t="inlineStr">
        <is>
          <t>25.11.2024</t>
        </is>
      </c>
    </row>
    <row r="804" ht="32" customHeight="1">
      <c r="A804" s="45" t="inlineStr">
        <is>
          <t>работник 150</t>
        </is>
      </c>
      <c r="B804" s="45" t="inlineStr">
        <is>
          <t>Помощник машиниста самоходной буровой установки / Помощник машиниста самоходной буровой установки (с исполнением обязанностей пробоотборщика) (Очистное)</t>
        </is>
      </c>
      <c r="C804" s="45" t="inlineStr">
        <is>
          <t>СИЗ</t>
        </is>
      </c>
      <c r="D804" s="170" t="inlineStr">
        <is>
          <t>раз в 3 года</t>
        </is>
      </c>
      <c r="E804" s="171" t="n">
        <v>1</v>
      </c>
      <c r="F804" s="171" t="n">
        <v>2</v>
      </c>
      <c r="G804" s="171" t="n">
        <v>1</v>
      </c>
      <c r="H804" s="45" t="inlineStr">
        <is>
          <t>19.01.2024; 12.11.2024</t>
        </is>
      </c>
      <c r="I804" s="170" t="inlineStr">
        <is>
          <t>19.01.2024</t>
        </is>
      </c>
    </row>
    <row r="805" ht="32" customHeight="1">
      <c r="A805" s="45" t="inlineStr">
        <is>
          <t>работник 94</t>
        </is>
      </c>
      <c r="B805" s="45" t="inlineStr">
        <is>
          <t>Горнорабочий на геологических работах / Кухонный рабочий</t>
        </is>
      </c>
      <c r="C805" s="45" t="inlineStr">
        <is>
          <t>СИЗ</t>
        </is>
      </c>
      <c r="D805" s="170" t="inlineStr">
        <is>
          <t>раз в 3 года</t>
        </is>
      </c>
      <c r="E805" s="171" t="n">
        <v>2</v>
      </c>
      <c r="F805" s="171" t="n">
        <v>3</v>
      </c>
      <c r="G805" s="171" t="n">
        <v>1</v>
      </c>
      <c r="H805" s="45" t="inlineStr">
        <is>
          <t>09.12.2023; 10.12.2024; 25.08.2026</t>
        </is>
      </c>
      <c r="I805" s="170" t="inlineStr">
        <is>
          <t>09.12.2023</t>
        </is>
      </c>
    </row>
    <row r="806" ht="20" customHeight="1">
      <c r="A806" s="45" t="inlineStr">
        <is>
          <t>работник 627</t>
        </is>
      </c>
      <c r="B806" s="45" t="inlineStr">
        <is>
          <t>Подсобный рабочий</t>
        </is>
      </c>
      <c r="C806" s="45" t="inlineStr">
        <is>
          <t>СИЗ</t>
        </is>
      </c>
      <c r="D806" s="170" t="inlineStr">
        <is>
          <t>раз в 3 года</t>
        </is>
      </c>
      <c r="E806" s="171" t="n">
        <v>1</v>
      </c>
      <c r="F806" s="171" t="n">
        <v>2</v>
      </c>
      <c r="G806" s="171" t="n">
        <v>1</v>
      </c>
      <c r="H806" s="45" t="inlineStr">
        <is>
          <t>01.02.2026; 16.08.2026</t>
        </is>
      </c>
      <c r="I806" s="170" t="inlineStr">
        <is>
          <t>01.02.2026</t>
        </is>
      </c>
    </row>
    <row r="807" ht="32" customHeight="1">
      <c r="A807" s="45" t="inlineStr">
        <is>
          <t>работник 260</t>
        </is>
      </c>
      <c r="B807" s="45" t="inlineStr">
        <is>
          <t>Водитель автомобиля (занятый на транспортировании горной массы в технологическом процессе)</t>
        </is>
      </c>
      <c r="C807" s="45" t="inlineStr">
        <is>
          <t>СИЗ</t>
        </is>
      </c>
      <c r="D807" s="170" t="inlineStr">
        <is>
          <t>раз в 3 года</t>
        </is>
      </c>
      <c r="E807" s="171" t="n">
        <v>1</v>
      </c>
      <c r="F807" s="171" t="n">
        <v>2</v>
      </c>
      <c r="G807" s="171" t="n">
        <v>1</v>
      </c>
      <c r="H807" s="45" t="inlineStr">
        <is>
          <t>23.02.2024; 17.08.2026</t>
        </is>
      </c>
      <c r="I807" s="170" t="inlineStr">
        <is>
          <t>23.02.2024</t>
        </is>
      </c>
    </row>
    <row r="808" ht="32" customHeight="1">
      <c r="A808" s="45" t="inlineStr">
        <is>
          <t>работник 152</t>
        </is>
      </c>
      <c r="B808" s="45" t="inlineStr">
        <is>
          <t>Машинист погрузочно-доставочной машины (занятый на транспортировании горной массы в технологическом процессе) / Машинист подземно-доставочной машины</t>
        </is>
      </c>
      <c r="C808" s="45" t="inlineStr">
        <is>
          <t>СИЗ</t>
        </is>
      </c>
      <c r="D808" s="170" t="inlineStr">
        <is>
          <t>раз в 3 года</t>
        </is>
      </c>
      <c r="E808" s="171" t="n">
        <v>1</v>
      </c>
      <c r="F808" s="171" t="n">
        <v>2</v>
      </c>
      <c r="G808" s="171" t="n">
        <v>1</v>
      </c>
      <c r="H808" s="45" t="inlineStr">
        <is>
          <t>19.01.2024; 12.11.2024</t>
        </is>
      </c>
      <c r="I808" s="170" t="inlineStr">
        <is>
          <t>19.01.2024</t>
        </is>
      </c>
    </row>
    <row r="809" ht="32" customHeight="1">
      <c r="A809" s="45" t="inlineStr">
        <is>
          <t>работник 308</t>
        </is>
      </c>
      <c r="B809" s="45" t="inlineStr">
        <is>
          <t>Электрослесарь (слесарь) дежурный и по ремонту оборудования подземного горного участка</t>
        </is>
      </c>
      <c r="C809" s="45" t="inlineStr">
        <is>
          <t>СИЗ</t>
        </is>
      </c>
      <c r="D809" s="170" t="inlineStr">
        <is>
          <t>раз в 3 года</t>
        </is>
      </c>
      <c r="E809" s="171" t="n">
        <v>1</v>
      </c>
      <c r="F809" s="171" t="n">
        <v>2</v>
      </c>
      <c r="G809" s="171" t="n">
        <v>1</v>
      </c>
      <c r="H809" s="45" t="inlineStr">
        <is>
          <t>05.03.2024; 12.11.2024</t>
        </is>
      </c>
      <c r="I809" s="170" t="inlineStr">
        <is>
          <t>05.03.2024</t>
        </is>
      </c>
    </row>
    <row r="810" ht="20" customHeight="1">
      <c r="A810" s="45" t="inlineStr">
        <is>
          <t>работник 479</t>
        </is>
      </c>
      <c r="B810" s="45" t="inlineStr">
        <is>
          <t>Машинист подземных самоходных машин</t>
        </is>
      </c>
      <c r="C810" s="45" t="inlineStr">
        <is>
          <t>СИЗ</t>
        </is>
      </c>
      <c r="D810" s="170" t="inlineStr">
        <is>
          <t>раз в 3 года</t>
        </is>
      </c>
      <c r="E810" s="171" t="n">
        <v>1</v>
      </c>
      <c r="F810" s="171" t="n">
        <v>2</v>
      </c>
      <c r="G810" s="171" t="n">
        <v>1</v>
      </c>
      <c r="H810" s="45" t="inlineStr">
        <is>
          <t>12.11.2024; 05.02.2026</t>
        </is>
      </c>
      <c r="I810" s="170" t="inlineStr">
        <is>
          <t>12.11.2024</t>
        </is>
      </c>
    </row>
    <row r="811" ht="20" customHeight="1">
      <c r="A811" s="45" t="inlineStr">
        <is>
          <t>работник 261</t>
        </is>
      </c>
      <c r="B811" s="45" t="inlineStr">
        <is>
          <t>Машинист бульдозера</t>
        </is>
      </c>
      <c r="C811" s="45" t="inlineStr">
        <is>
          <t>СИЗ</t>
        </is>
      </c>
      <c r="D811" s="170" t="inlineStr">
        <is>
          <t>раз в 3 года</t>
        </is>
      </c>
      <c r="E811" s="171" t="n">
        <v>1</v>
      </c>
      <c r="F811" s="171" t="n">
        <v>2</v>
      </c>
      <c r="G811" s="171" t="n">
        <v>1</v>
      </c>
      <c r="H811" s="45" t="inlineStr">
        <is>
          <t>23.02.2024; 18.08.2026</t>
        </is>
      </c>
      <c r="I811" s="170" t="inlineStr">
        <is>
          <t>23.02.2024</t>
        </is>
      </c>
    </row>
    <row r="812" ht="20" customHeight="1">
      <c r="A812" s="45" t="inlineStr">
        <is>
          <t>работник 262</t>
        </is>
      </c>
      <c r="B812" s="45" t="inlineStr">
        <is>
          <t>Электрогазосварщик</t>
        </is>
      </c>
      <c r="C812" s="45" t="inlineStr">
        <is>
          <t>СИЗ</t>
        </is>
      </c>
      <c r="D812" s="170" t="inlineStr">
        <is>
          <t>раз в 3 года</t>
        </is>
      </c>
      <c r="E812" s="171" t="n">
        <v>1</v>
      </c>
      <c r="F812" s="171" t="n">
        <v>2</v>
      </c>
      <c r="G812" s="171" t="n">
        <v>1</v>
      </c>
      <c r="H812" s="45" t="inlineStr">
        <is>
          <t>23.02.2024; 06.06.2026</t>
        </is>
      </c>
      <c r="I812" s="170" t="inlineStr">
        <is>
          <t>23.02.2024</t>
        </is>
      </c>
    </row>
    <row r="813" ht="32" customHeight="1">
      <c r="A813" s="45" t="inlineStr">
        <is>
          <t>работник 155</t>
        </is>
      </c>
      <c r="B813" s="45" t="inlineStr">
        <is>
          <t>Машинист самоходной буровой установки / Машинист самоходной буровой установки (Проходка)</t>
        </is>
      </c>
      <c r="C813" s="45" t="inlineStr">
        <is>
          <t>СИЗ</t>
        </is>
      </c>
      <c r="D813" s="170" t="inlineStr">
        <is>
          <t>раз в 3 года</t>
        </is>
      </c>
      <c r="E813" s="171" t="n">
        <v>1</v>
      </c>
      <c r="F813" s="171" t="n">
        <v>2</v>
      </c>
      <c r="G813" s="171" t="n">
        <v>1</v>
      </c>
      <c r="H813" s="45" t="inlineStr">
        <is>
          <t>19.01.2024; 12.11.2024</t>
        </is>
      </c>
      <c r="I813" s="170" t="inlineStr">
        <is>
          <t>19.01.2024</t>
        </is>
      </c>
    </row>
    <row r="814" ht="32" customHeight="1">
      <c r="A814" s="45" t="inlineStr">
        <is>
          <t>работник 761</t>
        </is>
      </c>
      <c r="B814" s="45" t="inlineStr">
        <is>
          <t>Машинист погрузочно-доставочной машины (занятый на транспортировании горной массы в технологическом процессе)</t>
        </is>
      </c>
      <c r="C814" s="45" t="inlineStr">
        <is>
          <t>СИЗ</t>
        </is>
      </c>
      <c r="D814" s="170" t="inlineStr">
        <is>
          <t>раз в 3 года</t>
        </is>
      </c>
      <c r="E814" s="171" t="n">
        <v>1</v>
      </c>
      <c r="F814" s="171" t="n">
        <v>2</v>
      </c>
      <c r="G814" s="171" t="n">
        <v>1</v>
      </c>
      <c r="H814" s="45" t="inlineStr">
        <is>
          <t>04.06.2026; 23.07.2026</t>
        </is>
      </c>
      <c r="I814" s="170" t="inlineStr">
        <is>
          <t>04.06.2026</t>
        </is>
      </c>
    </row>
    <row r="815" ht="32" customHeight="1">
      <c r="A815" s="45" t="inlineStr">
        <is>
          <t>работник 633</t>
        </is>
      </c>
      <c r="B815" s="45" t="inlineStr">
        <is>
          <t>Помощник машиниста самоходной буровой установки (с исполнением обязанностей пробоотборщика) / Помощник машиниста самоходной буровой установки (с исполнением обязанностей пробоотборщика) (Очистное)</t>
        </is>
      </c>
      <c r="C815" s="45" t="inlineStr">
        <is>
          <t>СИЗ</t>
        </is>
      </c>
      <c r="D815" s="170" t="inlineStr">
        <is>
          <t>раз в 3 года</t>
        </is>
      </c>
      <c r="E815" s="171" t="n">
        <v>1</v>
      </c>
      <c r="F815" s="171" t="n">
        <v>2</v>
      </c>
      <c r="G815" s="171" t="n">
        <v>1</v>
      </c>
      <c r="H815" s="45" t="inlineStr">
        <is>
          <t>05.02.2026; 26.07.2026</t>
        </is>
      </c>
      <c r="I815" s="170" t="inlineStr">
        <is>
          <t>05.02.2026</t>
        </is>
      </c>
    </row>
    <row r="816" ht="20" customHeight="1">
      <c r="A816" s="45" t="inlineStr">
        <is>
          <t>работник 331</t>
        </is>
      </c>
      <c r="B816" s="45" t="inlineStr">
        <is>
          <t>Пробоотборщик / Флотатор</t>
        </is>
      </c>
      <c r="C816" s="45" t="inlineStr">
        <is>
          <t>СИЗ</t>
        </is>
      </c>
      <c r="D816" s="170" t="inlineStr">
        <is>
          <t>раз в 3 года</t>
        </is>
      </c>
      <c r="E816" s="171" t="n">
        <v>1</v>
      </c>
      <c r="F816" s="171" t="n">
        <v>2</v>
      </c>
      <c r="G816" s="171" t="n">
        <v>1</v>
      </c>
      <c r="H816" s="45" t="inlineStr">
        <is>
          <t>18.03.2024; 12.08.2024</t>
        </is>
      </c>
      <c r="I816" s="170" t="inlineStr">
        <is>
          <t>18.03.2024</t>
        </is>
      </c>
    </row>
    <row r="817" ht="20" customHeight="1">
      <c r="A817" s="45" t="inlineStr">
        <is>
          <t>работник 368</t>
        </is>
      </c>
      <c r="B817" s="45" t="inlineStr">
        <is>
          <t>Машинист бульдозера</t>
        </is>
      </c>
      <c r="C817" s="45" t="inlineStr">
        <is>
          <t>СИЗ</t>
        </is>
      </c>
      <c r="D817" s="170" t="inlineStr">
        <is>
          <t>раз в 3 года</t>
        </is>
      </c>
      <c r="E817" s="171" t="n">
        <v>1</v>
      </c>
      <c r="F817" s="171" t="n">
        <v>2</v>
      </c>
      <c r="G817" s="171" t="n">
        <v>1</v>
      </c>
      <c r="H817" s="45" t="inlineStr">
        <is>
          <t>18.07.2024; 08.10.2024</t>
        </is>
      </c>
      <c r="I817" s="170" t="inlineStr">
        <is>
          <t>18.07.2024</t>
        </is>
      </c>
    </row>
    <row r="818" ht="32" customHeight="1">
      <c r="A818" s="45" t="inlineStr">
        <is>
          <t>работник 671</t>
        </is>
      </c>
      <c r="B818" s="45" t="inlineStr">
        <is>
          <t>Лаборант пробирного анализа / Лаборант химического анализа</t>
        </is>
      </c>
      <c r="C818" s="45" t="inlineStr">
        <is>
          <t>СИЗ</t>
        </is>
      </c>
      <c r="D818" s="170" t="inlineStr">
        <is>
          <t>раз в 3 года</t>
        </is>
      </c>
      <c r="E818" s="171" t="n">
        <v>1</v>
      </c>
      <c r="F818" s="171" t="n">
        <v>2</v>
      </c>
      <c r="G818" s="171" t="n">
        <v>1</v>
      </c>
      <c r="H818" s="45" t="inlineStr">
        <is>
          <t>02.03.2026; 02.08.2026</t>
        </is>
      </c>
      <c r="I818" s="170" t="inlineStr">
        <is>
          <t>02.03.2026</t>
        </is>
      </c>
    </row>
    <row r="819" ht="20" customHeight="1">
      <c r="A819" s="45" t="inlineStr">
        <is>
          <t>работник 404</t>
        </is>
      </c>
      <c r="B819" s="45" t="inlineStr">
        <is>
          <t>Машинист подземных самоходных машин</t>
        </is>
      </c>
      <c r="C819" s="45" t="inlineStr">
        <is>
          <t>СИЗ</t>
        </is>
      </c>
      <c r="D819" s="170" t="inlineStr">
        <is>
          <t>раз в 3 года</t>
        </is>
      </c>
      <c r="E819" s="171" t="n">
        <v>1</v>
      </c>
      <c r="F819" s="171" t="n">
        <v>2</v>
      </c>
      <c r="G819" s="171" t="n">
        <v>1</v>
      </c>
      <c r="H819" s="45" t="inlineStr">
        <is>
          <t>18.08.2024; 24.07.2026</t>
        </is>
      </c>
      <c r="I819" s="170" t="inlineStr">
        <is>
          <t>18.08.2024</t>
        </is>
      </c>
    </row>
    <row r="820" ht="20" customHeight="1">
      <c r="A820" s="45" t="inlineStr">
        <is>
          <t>работник 433</t>
        </is>
      </c>
      <c r="B820" s="45" t="inlineStr">
        <is>
          <t>Плавильщик</t>
        </is>
      </c>
      <c r="C820" s="45" t="inlineStr">
        <is>
          <t>СИЗ</t>
        </is>
      </c>
      <c r="D820" s="170" t="inlineStr">
        <is>
          <t>раз в 3 года</t>
        </is>
      </c>
      <c r="E820" s="171" t="n">
        <v>1</v>
      </c>
      <c r="F820" s="171" t="n">
        <v>2</v>
      </c>
      <c r="G820" s="171" t="n">
        <v>1</v>
      </c>
      <c r="H820" s="45" t="inlineStr">
        <is>
          <t>25.10.2024; 29.07.2026</t>
        </is>
      </c>
      <c r="I820" s="170" t="inlineStr">
        <is>
          <t>25.10.2024</t>
        </is>
      </c>
    </row>
    <row r="821" ht="32" customHeight="1">
      <c r="A821" s="45" t="inlineStr">
        <is>
          <t>работник 156</t>
        </is>
      </c>
      <c r="B821" s="45" t="inlineStr">
        <is>
          <t>Проходчик (с исполнением обязанностей взрывника) / Электрогазосварщик</t>
        </is>
      </c>
      <c r="C821" s="45" t="inlineStr">
        <is>
          <t>СИЗ</t>
        </is>
      </c>
      <c r="D821" s="170" t="inlineStr">
        <is>
          <t>раз в 3 года</t>
        </is>
      </c>
      <c r="E821" s="171" t="n">
        <v>1</v>
      </c>
      <c r="F821" s="171" t="n">
        <v>2</v>
      </c>
      <c r="G821" s="171" t="n">
        <v>1</v>
      </c>
      <c r="H821" s="45" t="inlineStr">
        <is>
          <t>19.01.2024; 22.09.2024</t>
        </is>
      </c>
      <c r="I821" s="170" t="inlineStr">
        <is>
          <t>19.01.2024</t>
        </is>
      </c>
    </row>
    <row r="822" ht="32" customHeight="1">
      <c r="A822" s="45" t="inlineStr">
        <is>
          <t>работник 220</t>
        </is>
      </c>
      <c r="B822" s="45" t="inlineStr">
        <is>
          <t>Водитель автомобиля (занятый на транспортировании горной массы в технологическом процессе)</t>
        </is>
      </c>
      <c r="C822" s="45" t="inlineStr">
        <is>
          <t>СИЗ</t>
        </is>
      </c>
      <c r="D822" s="170" t="inlineStr">
        <is>
          <t>раз в 3 года</t>
        </is>
      </c>
      <c r="E822" s="171" t="n">
        <v>2</v>
      </c>
      <c r="F822" s="171" t="n">
        <v>3</v>
      </c>
      <c r="G822" s="171" t="n">
        <v>1</v>
      </c>
      <c r="H822" s="45" t="inlineStr">
        <is>
          <t>03.12.2023; 25.11.2024; 17.08.2026</t>
        </is>
      </c>
      <c r="I822" s="170" t="inlineStr">
        <is>
          <t>03.12.2023</t>
        </is>
      </c>
    </row>
    <row r="823" ht="20" customHeight="1">
      <c r="A823" s="45" t="inlineStr">
        <is>
          <t>работник 401</t>
        </is>
      </c>
      <c r="B823" s="45" t="inlineStr">
        <is>
          <t>Весовщик / Контролер продукции обогащения</t>
        </is>
      </c>
      <c r="C823" s="45" t="inlineStr">
        <is>
          <t>СИЗ</t>
        </is>
      </c>
      <c r="D823" s="170" t="inlineStr">
        <is>
          <t>раз в 3 года</t>
        </is>
      </c>
      <c r="E823" s="171" t="n">
        <v>1</v>
      </c>
      <c r="F823" s="171" t="n">
        <v>2</v>
      </c>
      <c r="G823" s="171" t="n">
        <v>1</v>
      </c>
      <c r="H823" s="45" t="inlineStr">
        <is>
          <t>23.08.2024; 27.08.2026</t>
        </is>
      </c>
      <c r="I823" s="170" t="inlineStr">
        <is>
          <t>23.08.2024</t>
        </is>
      </c>
    </row>
    <row r="824" ht="32" customHeight="1">
      <c r="A824" s="45" t="inlineStr">
        <is>
          <t>работник 634</t>
        </is>
      </c>
      <c r="B824" s="45" t="inlineStr">
        <is>
          <t>Помощник машиниста самоходной буровой установки (с исполнением обязанностей пробоотборщика) / Помощник машиниста самоходной буровой установки (с исполнением обязанностей пробоотборщика) (Очистное)</t>
        </is>
      </c>
      <c r="C824" s="45" t="inlineStr">
        <is>
          <t>СИЗ</t>
        </is>
      </c>
      <c r="D824" s="170" t="inlineStr">
        <is>
          <t>раз в 3 года</t>
        </is>
      </c>
      <c r="E824" s="171" t="n">
        <v>1</v>
      </c>
      <c r="F824" s="171" t="n">
        <v>2</v>
      </c>
      <c r="G824" s="171" t="n">
        <v>1</v>
      </c>
      <c r="H824" s="45" t="inlineStr">
        <is>
          <t>05.02.2026; 26.07.2026</t>
        </is>
      </c>
      <c r="I824" s="170" t="inlineStr">
        <is>
          <t>05.02.2026</t>
        </is>
      </c>
    </row>
    <row r="825" ht="32" customHeight="1">
      <c r="A825" s="45" t="inlineStr">
        <is>
          <t>работник 762</t>
        </is>
      </c>
      <c r="B825" s="45" t="inlineStr">
        <is>
          <t>Машинист погрузочно-доставочной машины (занятый на транспортировании горной массы в технологическом процессе)</t>
        </is>
      </c>
      <c r="C825" s="45" t="inlineStr">
        <is>
          <t>СИЗ</t>
        </is>
      </c>
      <c r="D825" s="170" t="inlineStr">
        <is>
          <t>раз в 3 года</t>
        </is>
      </c>
      <c r="E825" s="171" t="n">
        <v>1</v>
      </c>
      <c r="F825" s="171" t="n">
        <v>2</v>
      </c>
      <c r="G825" s="171" t="n">
        <v>1</v>
      </c>
      <c r="H825" s="45" t="inlineStr">
        <is>
          <t>04.06.2026; 23.07.2026</t>
        </is>
      </c>
      <c r="I825" s="170" t="inlineStr">
        <is>
          <t>04.06.2026</t>
        </is>
      </c>
    </row>
    <row r="826" ht="32" customHeight="1">
      <c r="A826" s="45" t="inlineStr">
        <is>
          <t>работник 530</t>
        </is>
      </c>
      <c r="B826" s="45" t="inlineStr">
        <is>
          <t>Крепильщик / Проходчик (с исполнением обязанностей взрывника)</t>
        </is>
      </c>
      <c r="C826" s="45" t="inlineStr">
        <is>
          <t>СИЗ</t>
        </is>
      </c>
      <c r="D826" s="170" t="inlineStr">
        <is>
          <t>раз в 3 года</t>
        </is>
      </c>
      <c r="E826" s="171" t="n">
        <v>1</v>
      </c>
      <c r="F826" s="171" t="n">
        <v>2</v>
      </c>
      <c r="G826" s="171" t="n">
        <v>1</v>
      </c>
      <c r="H826" s="45" t="inlineStr">
        <is>
          <t>25.01.2025; 22.07.2026</t>
        </is>
      </c>
      <c r="I826" s="170" t="inlineStr">
        <is>
          <t>25.01.2025</t>
        </is>
      </c>
    </row>
    <row r="827" ht="32" customHeight="1">
      <c r="A827" s="45" t="inlineStr">
        <is>
          <t>работник 386</t>
        </is>
      </c>
      <c r="B827" s="45" t="inlineStr">
        <is>
          <t>Горнорабочий на геологических работах / Пробоотборщик</t>
        </is>
      </c>
      <c r="C827" s="45" t="inlineStr">
        <is>
          <t>СИЗ</t>
        </is>
      </c>
      <c r="D827" s="170" t="inlineStr">
        <is>
          <t>раз в 3 года</t>
        </is>
      </c>
      <c r="E827" s="171" t="n">
        <v>1</v>
      </c>
      <c r="F827" s="171" t="n">
        <v>2</v>
      </c>
      <c r="G827" s="171" t="n">
        <v>1</v>
      </c>
      <c r="H827" s="45" t="inlineStr">
        <is>
          <t>08.08.2024; 25.08.2026</t>
        </is>
      </c>
      <c r="I827" s="170" t="inlineStr">
        <is>
          <t>08.08.2024</t>
        </is>
      </c>
    </row>
    <row r="828" ht="20" customHeight="1">
      <c r="A828" s="45" t="inlineStr">
        <is>
          <t>работник 610</t>
        </is>
      </c>
      <c r="B828" s="45" t="inlineStr">
        <is>
          <t>Аппаратчик воздухоразделения</t>
        </is>
      </c>
      <c r="C828" s="45" t="inlineStr">
        <is>
          <t>СИЗ</t>
        </is>
      </c>
      <c r="D828" s="170" t="inlineStr">
        <is>
          <t>раз в 3 года</t>
        </is>
      </c>
      <c r="E828" s="171" t="n">
        <v>1</v>
      </c>
      <c r="F828" s="171" t="n">
        <v>2</v>
      </c>
      <c r="G828" s="171" t="n">
        <v>1</v>
      </c>
      <c r="H828" s="45" t="inlineStr">
        <is>
          <t>14.12.2025; 21.08.2026</t>
        </is>
      </c>
      <c r="I828" s="170" t="inlineStr">
        <is>
          <t>14.12.2025</t>
        </is>
      </c>
    </row>
    <row r="829" ht="20" customHeight="1">
      <c r="A829" s="45" t="inlineStr">
        <is>
          <t>работник 157</t>
        </is>
      </c>
      <c r="B829" s="45" t="inlineStr">
        <is>
          <t>Проходчик (с исполнением обязанностей взрывника)</t>
        </is>
      </c>
      <c r="C829" s="45" t="inlineStr">
        <is>
          <t>СИЗ</t>
        </is>
      </c>
      <c r="D829" s="170" t="inlineStr">
        <is>
          <t>раз в 3 года</t>
        </is>
      </c>
      <c r="E829" s="171" t="n">
        <v>1</v>
      </c>
      <c r="F829" s="171" t="n">
        <v>2</v>
      </c>
      <c r="G829" s="171" t="n">
        <v>1</v>
      </c>
      <c r="H829" s="45" t="inlineStr">
        <is>
          <t>19.01.2024; 12.11.2024</t>
        </is>
      </c>
      <c r="I829" s="170" t="inlineStr">
        <is>
          <t>19.01.2024</t>
        </is>
      </c>
    </row>
    <row r="830" ht="20" customHeight="1">
      <c r="A830" s="45" t="inlineStr">
        <is>
          <t>работник 158</t>
        </is>
      </c>
      <c r="B830" s="45" t="inlineStr">
        <is>
          <t>Горный диспетчер</t>
        </is>
      </c>
      <c r="C830" s="45" t="inlineStr">
        <is>
          <t>СИЗ</t>
        </is>
      </c>
      <c r="D830" s="170" t="inlineStr">
        <is>
          <t>раз в 3 года</t>
        </is>
      </c>
      <c r="E830" s="171" t="n">
        <v>1</v>
      </c>
      <c r="F830" s="171" t="n">
        <v>2</v>
      </c>
      <c r="G830" s="171" t="n">
        <v>1</v>
      </c>
      <c r="H830" s="45" t="inlineStr">
        <is>
          <t>19.01.2024; 28.07.2026</t>
        </is>
      </c>
      <c r="I830" s="170" t="inlineStr">
        <is>
          <t>19.01.2024</t>
        </is>
      </c>
    </row>
    <row r="831" ht="32" customHeight="1">
      <c r="A831" s="45" t="inlineStr">
        <is>
          <t>работник 679</t>
        </is>
      </c>
      <c r="B831" s="45" t="inlineStr">
        <is>
          <t>Электрослесарь (слесарь) дежурный и по ремонту оборудования</t>
        </is>
      </c>
      <c r="C831" s="45" t="inlineStr">
        <is>
          <t>СИЗ</t>
        </is>
      </c>
      <c r="D831" s="170" t="inlineStr">
        <is>
          <t>раз в 3 года</t>
        </is>
      </c>
      <c r="E831" s="171" t="n">
        <v>1</v>
      </c>
      <c r="F831" s="171" t="n">
        <v>2</v>
      </c>
      <c r="G831" s="171" t="n">
        <v>1</v>
      </c>
      <c r="H831" s="45" t="inlineStr">
        <is>
          <t>13.04.2026; 24.08.2026</t>
        </is>
      </c>
      <c r="I831" s="170" t="inlineStr">
        <is>
          <t>13.04.2026</t>
        </is>
      </c>
    </row>
    <row r="832" ht="20" customHeight="1">
      <c r="A832" s="45" t="inlineStr">
        <is>
          <t>работник 268</t>
        </is>
      </c>
      <c r="B832" s="45" t="inlineStr">
        <is>
          <t>Машинист экскаватора</t>
        </is>
      </c>
      <c r="C832" s="45" t="inlineStr">
        <is>
          <t>СИЗ</t>
        </is>
      </c>
      <c r="D832" s="170" t="inlineStr">
        <is>
          <t>раз в 3 года</t>
        </is>
      </c>
      <c r="E832" s="171" t="n">
        <v>1</v>
      </c>
      <c r="F832" s="171" t="n">
        <v>2</v>
      </c>
      <c r="G832" s="171" t="n">
        <v>1</v>
      </c>
      <c r="H832" s="45" t="inlineStr">
        <is>
          <t>23.02.2024; 17.08.2026</t>
        </is>
      </c>
      <c r="I832" s="170" t="inlineStr">
        <is>
          <t>23.02.2024</t>
        </is>
      </c>
    </row>
    <row r="833" ht="20" customHeight="1">
      <c r="A833" s="45" t="inlineStr">
        <is>
          <t>работник 159</t>
        </is>
      </c>
      <c r="B833" s="45" t="inlineStr">
        <is>
          <t>Проходчик (с исполнением обязанностей взрывника)</t>
        </is>
      </c>
      <c r="C833" s="45" t="inlineStr">
        <is>
          <t>СИЗ</t>
        </is>
      </c>
      <c r="D833" s="170" t="inlineStr">
        <is>
          <t>раз в 3 года</t>
        </is>
      </c>
      <c r="E833" s="171" t="n">
        <v>1</v>
      </c>
      <c r="F833" s="171" t="n">
        <v>2</v>
      </c>
      <c r="G833" s="171" t="n">
        <v>1</v>
      </c>
      <c r="H833" s="45" t="inlineStr">
        <is>
          <t>19.01.2024; 12.11.2024</t>
        </is>
      </c>
      <c r="I833" s="170" t="inlineStr">
        <is>
          <t>19.01.2024</t>
        </is>
      </c>
    </row>
    <row r="834" ht="32" customHeight="1">
      <c r="A834" s="45" t="inlineStr">
        <is>
          <t>работник 208</t>
        </is>
      </c>
      <c r="B834" s="45" t="inlineStr">
        <is>
          <t>Водитель погрузчика / Машинист погрузочно-доставочной машины (ТГМ) / Машинист погрузочно-доставочной машины (занятый на транспортировании горной массы в технологическом процессе)</t>
        </is>
      </c>
      <c r="C834" s="45" t="inlineStr">
        <is>
          <t>СИЗ</t>
        </is>
      </c>
      <c r="D834" s="170" t="inlineStr">
        <is>
          <t>раз в 3 года</t>
        </is>
      </c>
      <c r="E834" s="171" t="n">
        <v>2</v>
      </c>
      <c r="F834" s="171" t="n">
        <v>3</v>
      </c>
      <c r="G834" s="171" t="n">
        <v>1</v>
      </c>
      <c r="H834" s="45" t="inlineStr">
        <is>
          <t>03.12.2023; 25.02.2024; 23.07.2026</t>
        </is>
      </c>
      <c r="I834" s="170" t="inlineStr">
        <is>
          <t>03.12.2023</t>
        </is>
      </c>
    </row>
    <row r="835" ht="32" customHeight="1">
      <c r="A835" s="45" t="inlineStr">
        <is>
          <t>работник 311</t>
        </is>
      </c>
      <c r="B835" s="45" t="inlineStr">
        <is>
          <t>Помощник машиниста самоходной буровой установки (с исполнением обязанностей пробоотборщика) / Помощник машиниста самоходной буровой установки (с исполнением обязанностей пробоотборщика) (Очистное)</t>
        </is>
      </c>
      <c r="C835" s="45" t="inlineStr">
        <is>
          <t>СИЗ</t>
        </is>
      </c>
      <c r="D835" s="170" t="inlineStr">
        <is>
          <t>раз в 3 года</t>
        </is>
      </c>
      <c r="E835" s="171" t="n">
        <v>1</v>
      </c>
      <c r="F835" s="171" t="n">
        <v>2</v>
      </c>
      <c r="G835" s="171" t="n">
        <v>1</v>
      </c>
      <c r="H835" s="45" t="inlineStr">
        <is>
          <t>05.03.2024; 14.08.2026</t>
        </is>
      </c>
      <c r="I835" s="170" t="inlineStr">
        <is>
          <t>05.03.2024</t>
        </is>
      </c>
    </row>
    <row r="836" ht="20" customHeight="1">
      <c r="A836" s="45" t="inlineStr">
        <is>
          <t>работник 250</t>
        </is>
      </c>
      <c r="B836" s="45" t="inlineStr">
        <is>
          <t>Аппаратчик-гидрометаллург / Флотатор</t>
        </is>
      </c>
      <c r="C836" s="45" t="inlineStr">
        <is>
          <t>СИЗ</t>
        </is>
      </c>
      <c r="D836" s="170" t="inlineStr">
        <is>
          <t>раз в 3 года</t>
        </is>
      </c>
      <c r="E836" s="171" t="n">
        <v>1</v>
      </c>
      <c r="F836" s="171" t="n">
        <v>2</v>
      </c>
      <c r="G836" s="171" t="n">
        <v>1</v>
      </c>
      <c r="H836" s="45" t="inlineStr">
        <is>
          <t>12.02.2024; 29.07.2026</t>
        </is>
      </c>
      <c r="I836" s="170" t="inlineStr">
        <is>
          <t>12.02.2024</t>
        </is>
      </c>
    </row>
    <row r="837" ht="20" customHeight="1">
      <c r="A837" s="45" t="inlineStr">
        <is>
          <t>работник 680</t>
        </is>
      </c>
      <c r="B837" s="45" t="inlineStr">
        <is>
          <t>Слесарь-сантехник</t>
        </is>
      </c>
      <c r="C837" s="45" t="inlineStr">
        <is>
          <t>СИЗ</t>
        </is>
      </c>
      <c r="D837" s="170" t="inlineStr">
        <is>
          <t>раз в 3 года</t>
        </is>
      </c>
      <c r="E837" s="171" t="n">
        <v>1</v>
      </c>
      <c r="F837" s="171" t="n">
        <v>2</v>
      </c>
      <c r="G837" s="171" t="n">
        <v>1</v>
      </c>
      <c r="H837" s="45" t="inlineStr">
        <is>
          <t>13.04.2026; 25.08.2026</t>
        </is>
      </c>
      <c r="I837" s="170" t="inlineStr">
        <is>
          <t>13.04.2026</t>
        </is>
      </c>
    </row>
    <row r="838" ht="20" customHeight="1">
      <c r="A838" s="45" t="inlineStr">
        <is>
          <t>работник 534</t>
        </is>
      </c>
      <c r="B838" s="45" t="inlineStr">
        <is>
          <t>Проходчик (с исполнением обязанностей взрывника)</t>
        </is>
      </c>
      <c r="C838" s="45" t="inlineStr">
        <is>
          <t>СИЗ</t>
        </is>
      </c>
      <c r="D838" s="170" t="inlineStr">
        <is>
          <t>раз в 3 года</t>
        </is>
      </c>
      <c r="E838" s="171" t="n">
        <v>1</v>
      </c>
      <c r="F838" s="171" t="n">
        <v>2</v>
      </c>
      <c r="G838" s="171" t="n">
        <v>1</v>
      </c>
      <c r="H838" s="45" t="inlineStr">
        <is>
          <t>19.02.2025; 16.08.2026</t>
        </is>
      </c>
      <c r="I838" s="170" t="inlineStr">
        <is>
          <t>19.02.2025</t>
        </is>
      </c>
    </row>
    <row r="839" ht="20" customHeight="1">
      <c r="A839" s="45" t="inlineStr">
        <is>
          <t>работник 455</t>
        </is>
      </c>
      <c r="B839" s="45" t="inlineStr">
        <is>
          <t>Дробильщик / Фильтровальщик</t>
        </is>
      </c>
      <c r="C839" s="45" t="inlineStr">
        <is>
          <t>СИЗ</t>
        </is>
      </c>
      <c r="D839" s="170" t="inlineStr">
        <is>
          <t>раз в 3 года</t>
        </is>
      </c>
      <c r="E839" s="171" t="n">
        <v>1</v>
      </c>
      <c r="F839" s="171" t="n">
        <v>2</v>
      </c>
      <c r="G839" s="171" t="n">
        <v>1</v>
      </c>
      <c r="H839" s="45" t="inlineStr">
        <is>
          <t>25.10.2024; 09.03.2026</t>
        </is>
      </c>
      <c r="I839" s="170" t="inlineStr">
        <is>
          <t>25.10.2024</t>
        </is>
      </c>
    </row>
    <row r="840" ht="20" customHeight="1">
      <c r="A840" s="45" t="inlineStr">
        <is>
          <t>работник 271</t>
        </is>
      </c>
      <c r="B840" s="45" t="inlineStr">
        <is>
          <t>Машинист бульдозера</t>
        </is>
      </c>
      <c r="C840" s="45" t="inlineStr">
        <is>
          <t>СИЗ</t>
        </is>
      </c>
      <c r="D840" s="170" t="inlineStr">
        <is>
          <t>раз в 3 года</t>
        </is>
      </c>
      <c r="E840" s="171" t="n">
        <v>1</v>
      </c>
      <c r="F840" s="171" t="n">
        <v>2</v>
      </c>
      <c r="G840" s="171" t="n">
        <v>1</v>
      </c>
      <c r="H840" s="45" t="inlineStr">
        <is>
          <t>23.02.2024; 18.08.2026</t>
        </is>
      </c>
      <c r="I840" s="170" t="inlineStr">
        <is>
          <t>23.02.2024</t>
        </is>
      </c>
    </row>
    <row r="841" ht="32" customHeight="1">
      <c r="A841" s="45" t="inlineStr">
        <is>
          <t>работник 272</t>
        </is>
      </c>
      <c r="B841" s="45" t="inlineStr">
        <is>
          <t>Водитель автомобиля (занятый на транспортировании горной массы в технологическом процессе) / Водитель погрузчика</t>
        </is>
      </c>
      <c r="C841" s="45" t="inlineStr">
        <is>
          <t>СИЗ</t>
        </is>
      </c>
      <c r="D841" s="170" t="inlineStr">
        <is>
          <t>раз в 3 года</t>
        </is>
      </c>
      <c r="E841" s="171" t="n">
        <v>1</v>
      </c>
      <c r="F841" s="171" t="n">
        <v>2</v>
      </c>
      <c r="G841" s="171" t="n">
        <v>1</v>
      </c>
      <c r="H841" s="45" t="inlineStr">
        <is>
          <t>23.02.2024; 17.08.2026</t>
        </is>
      </c>
      <c r="I841" s="170" t="inlineStr">
        <is>
          <t>23.02.2024</t>
        </is>
      </c>
    </row>
    <row r="842" ht="20" customHeight="1">
      <c r="A842" s="45" t="inlineStr">
        <is>
          <t>работник 439</t>
        </is>
      </c>
      <c r="B842" s="45" t="inlineStr">
        <is>
          <t>Машинист конвейера</t>
        </is>
      </c>
      <c r="C842" s="45" t="inlineStr">
        <is>
          <t>СИЗ</t>
        </is>
      </c>
      <c r="D842" s="170" t="inlineStr">
        <is>
          <t>раз в 3 года</t>
        </is>
      </c>
      <c r="E842" s="171" t="n">
        <v>1</v>
      </c>
      <c r="F842" s="171" t="n">
        <v>2</v>
      </c>
      <c r="G842" s="171" t="n">
        <v>1</v>
      </c>
      <c r="H842" s="45" t="inlineStr">
        <is>
          <t>25.10.2024; 29.07.2026</t>
        </is>
      </c>
      <c r="I842" s="170" t="inlineStr">
        <is>
          <t>25.10.2024</t>
        </is>
      </c>
    </row>
    <row r="843" ht="32" customHeight="1">
      <c r="A843" s="45" t="inlineStr">
        <is>
          <t>работник 833</t>
        </is>
      </c>
      <c r="B843" s="45" t="inlineStr">
        <is>
          <t>Электромонтер по ремонту и обслуживанию электрооборудования</t>
        </is>
      </c>
      <c r="C843" s="45" t="inlineStr">
        <is>
          <t>СИЗ</t>
        </is>
      </c>
      <c r="D843" s="170" t="inlineStr">
        <is>
          <t>раз в 3 года</t>
        </is>
      </c>
      <c r="E843" s="171" t="n">
        <v>1</v>
      </c>
      <c r="F843" s="171" t="n">
        <v>2</v>
      </c>
      <c r="G843" s="171" t="n">
        <v>1</v>
      </c>
      <c r="H843" s="45" t="inlineStr">
        <is>
          <t>01.07.2026; 29.07.2026</t>
        </is>
      </c>
      <c r="I843" s="170" t="inlineStr">
        <is>
          <t>01.07.2026</t>
        </is>
      </c>
    </row>
    <row r="844" ht="20" customHeight="1">
      <c r="A844" s="45" t="inlineStr">
        <is>
          <t>работник 342</t>
        </is>
      </c>
      <c r="B844" s="45" t="inlineStr">
        <is>
          <t>Бункеровщик / Машинист мельниц</t>
        </is>
      </c>
      <c r="C844" s="45" t="inlineStr">
        <is>
          <t>СИЗ</t>
        </is>
      </c>
      <c r="D844" s="170" t="inlineStr">
        <is>
          <t>раз в 3 года</t>
        </is>
      </c>
      <c r="E844" s="171" t="n">
        <v>1</v>
      </c>
      <c r="F844" s="171" t="n">
        <v>2</v>
      </c>
      <c r="G844" s="171" t="n">
        <v>1</v>
      </c>
      <c r="H844" s="45" t="inlineStr">
        <is>
          <t>19.04.2024; 29.07.2026</t>
        </is>
      </c>
      <c r="I844" s="170" t="inlineStr">
        <is>
          <t>19.04.2024</t>
        </is>
      </c>
    </row>
    <row r="845" ht="20" customHeight="1">
      <c r="A845" s="45" t="inlineStr">
        <is>
          <t>работник 543</t>
        </is>
      </c>
      <c r="B845" s="45" t="inlineStr">
        <is>
          <t>Контролер продукции обогащения / Пробоотборщик</t>
        </is>
      </c>
      <c r="C845" s="45" t="inlineStr">
        <is>
          <t>СИЗ</t>
        </is>
      </c>
      <c r="D845" s="170" t="inlineStr">
        <is>
          <t>раз в 3 года</t>
        </is>
      </c>
      <c r="E845" s="171" t="n">
        <v>1</v>
      </c>
      <c r="F845" s="171" t="n">
        <v>2</v>
      </c>
      <c r="G845" s="171" t="n">
        <v>1</v>
      </c>
      <c r="H845" s="45" t="inlineStr">
        <is>
          <t>20.04.2025; 21.08.2026</t>
        </is>
      </c>
      <c r="I845" s="170" t="inlineStr">
        <is>
          <t>20.04.2025</t>
        </is>
      </c>
    </row>
    <row r="846" ht="20" customHeight="1">
      <c r="A846" s="45" t="inlineStr">
        <is>
          <t>работник 382</t>
        </is>
      </c>
      <c r="B846" s="45" t="inlineStr">
        <is>
          <t>Растворщик реагентов</t>
        </is>
      </c>
      <c r="C846" s="45" t="inlineStr">
        <is>
          <t>СИЗ</t>
        </is>
      </c>
      <c r="D846" s="170" t="inlineStr">
        <is>
          <t>раз в 3 года</t>
        </is>
      </c>
      <c r="E846" s="171" t="n">
        <v>1</v>
      </c>
      <c r="F846" s="171" t="n">
        <v>2</v>
      </c>
      <c r="G846" s="171" t="n">
        <v>1</v>
      </c>
      <c r="H846" s="45" t="inlineStr">
        <is>
          <t>20.06.2024; 18.02.2025</t>
        </is>
      </c>
      <c r="I846" s="170" t="inlineStr">
        <is>
          <t>20.06.2024</t>
        </is>
      </c>
    </row>
    <row r="847" ht="20" customHeight="1">
      <c r="A847" s="45" t="inlineStr">
        <is>
          <t>работник 486</t>
        </is>
      </c>
      <c r="B847" s="45" t="inlineStr">
        <is>
          <t>Машинист погрузочно-доставочной машины</t>
        </is>
      </c>
      <c r="C847" s="45" t="inlineStr">
        <is>
          <t>СИЗ</t>
        </is>
      </c>
      <c r="D847" s="170" t="inlineStr">
        <is>
          <t>раз в 3 года</t>
        </is>
      </c>
      <c r="E847" s="171" t="n">
        <v>1</v>
      </c>
      <c r="F847" s="171" t="n">
        <v>2</v>
      </c>
      <c r="G847" s="171" t="n">
        <v>1</v>
      </c>
      <c r="H847" s="45" t="inlineStr">
        <is>
          <t>12.11.2024; 15.08.2026</t>
        </is>
      </c>
      <c r="I847" s="170" t="inlineStr">
        <is>
          <t>12.11.2024</t>
        </is>
      </c>
    </row>
    <row r="848" ht="32" customHeight="1">
      <c r="A848" s="45" t="inlineStr">
        <is>
          <t>работник 315</t>
        </is>
      </c>
      <c r="B848" s="45" t="inlineStr">
        <is>
          <t>Крепильщик / Помощник машиниста самоходной буровой установки (с исполнением обязанностей пробоотборщика) (Очистное)</t>
        </is>
      </c>
      <c r="C848" s="45" t="inlineStr">
        <is>
          <t>СИЗ</t>
        </is>
      </c>
      <c r="D848" s="170" t="inlineStr">
        <is>
          <t>раз в 3 года</t>
        </is>
      </c>
      <c r="E848" s="171" t="n">
        <v>1</v>
      </c>
      <c r="F848" s="171" t="n">
        <v>2</v>
      </c>
      <c r="G848" s="171" t="n">
        <v>1</v>
      </c>
      <c r="H848" s="45" t="inlineStr">
        <is>
          <t>05.03.2024; 10.06.2025</t>
        </is>
      </c>
      <c r="I848" s="170" t="inlineStr">
        <is>
          <t>05.03.2024</t>
        </is>
      </c>
    </row>
    <row r="849" ht="20" customHeight="1">
      <c r="A849" s="45" t="inlineStr">
        <is>
          <t>работник 670</t>
        </is>
      </c>
      <c r="B849" s="45" t="inlineStr">
        <is>
          <t>Лаборант пробирного анализа</t>
        </is>
      </c>
      <c r="C849" s="45" t="inlineStr">
        <is>
          <t>СИЗ</t>
        </is>
      </c>
      <c r="D849" s="170" t="inlineStr">
        <is>
          <t>раз в 3 года</t>
        </is>
      </c>
      <c r="E849" s="171" t="n">
        <v>1</v>
      </c>
      <c r="F849" s="171" t="n">
        <v>2</v>
      </c>
      <c r="G849" s="171" t="n">
        <v>1</v>
      </c>
      <c r="H849" s="45" t="inlineStr">
        <is>
          <t>20.03.2026; 02.08.2026</t>
        </is>
      </c>
      <c r="I849" s="170" t="inlineStr">
        <is>
          <t>20.03.2026</t>
        </is>
      </c>
    </row>
    <row r="850" ht="32" customHeight="1">
      <c r="A850" s="45" t="inlineStr">
        <is>
          <t>работник 782</t>
        </is>
      </c>
      <c r="B850" s="45" t="inlineStr">
        <is>
          <t>Электрослесарь (слесарь) дежурный и по ремонту оборудования / Электрослесарь (слесарь) дежурный и по ремонту оборудования подземного горного участка</t>
        </is>
      </c>
      <c r="C850" s="45" t="inlineStr">
        <is>
          <t>СИЗ</t>
        </is>
      </c>
      <c r="D850" s="170" t="inlineStr">
        <is>
          <t>раз в 3 года</t>
        </is>
      </c>
      <c r="E850" s="171" t="n">
        <v>1</v>
      </c>
      <c r="F850" s="171" t="n">
        <v>2</v>
      </c>
      <c r="G850" s="171" t="n">
        <v>1</v>
      </c>
      <c r="H850" s="45" t="inlineStr">
        <is>
          <t>04.06.2026; 28.07.2026</t>
        </is>
      </c>
      <c r="I850" s="170" t="inlineStr">
        <is>
          <t>04.06.2026</t>
        </is>
      </c>
    </row>
    <row r="851" ht="32" customHeight="1">
      <c r="A851" s="45" t="inlineStr">
        <is>
          <t>работник 593</t>
        </is>
      </c>
      <c r="B851" s="45" t="inlineStr">
        <is>
          <t>Крепильщик / Помощник машиниста самоходной буровой установки (с исполнением обязанностей пробоотборщика) (Очистное)</t>
        </is>
      </c>
      <c r="C851" s="45" t="inlineStr">
        <is>
          <t>СИЗ</t>
        </is>
      </c>
      <c r="D851" s="170" t="inlineStr">
        <is>
          <t>раз в 3 года</t>
        </is>
      </c>
      <c r="E851" s="171" t="n">
        <v>1</v>
      </c>
      <c r="F851" s="171" t="n">
        <v>2</v>
      </c>
      <c r="G851" s="171" t="n">
        <v>1</v>
      </c>
      <c r="H851" s="45" t="inlineStr">
        <is>
          <t>22.07.2025; 18.08.2026</t>
        </is>
      </c>
      <c r="I851" s="170" t="inlineStr">
        <is>
          <t>22.07.2025</t>
        </is>
      </c>
    </row>
    <row r="852" ht="20" customHeight="1">
      <c r="A852" s="45" t="inlineStr">
        <is>
          <t>работник 806</t>
        </is>
      </c>
      <c r="B852" s="45" t="inlineStr">
        <is>
          <t>Повар</t>
        </is>
      </c>
      <c r="C852" s="45" t="inlineStr">
        <is>
          <t>СИЗ</t>
        </is>
      </c>
      <c r="D852" s="170" t="inlineStr">
        <is>
          <t>раз в 3 года</t>
        </is>
      </c>
      <c r="E852" s="171" t="n">
        <v>1</v>
      </c>
      <c r="F852" s="171" t="n">
        <v>2</v>
      </c>
      <c r="G852" s="171" t="n">
        <v>1</v>
      </c>
      <c r="H852" s="45" t="inlineStr">
        <is>
          <t>03.07.2026; 20.08.2026</t>
        </is>
      </c>
      <c r="I852" s="170" t="inlineStr">
        <is>
          <t>03.07.2026</t>
        </is>
      </c>
    </row>
    <row r="853" ht="20" customHeight="1">
      <c r="A853" s="45" t="inlineStr">
        <is>
          <t>работник 81</t>
        </is>
      </c>
      <c r="B853" s="45" t="inlineStr">
        <is>
          <t>Плотник</t>
        </is>
      </c>
      <c r="C853" s="45" t="inlineStr">
        <is>
          <t>СИЗ</t>
        </is>
      </c>
      <c r="D853" s="170" t="inlineStr">
        <is>
          <t>раз в 3 года</t>
        </is>
      </c>
      <c r="E853" s="171" t="n">
        <v>2</v>
      </c>
      <c r="F853" s="171" t="n">
        <v>3</v>
      </c>
      <c r="G853" s="171" t="n">
        <v>1</v>
      </c>
      <c r="H853" s="45" t="inlineStr">
        <is>
          <t>23.11.2023; 26.10.2024; 23.05.2026</t>
        </is>
      </c>
      <c r="I853" s="170" t="inlineStr">
        <is>
          <t>23.11.2023</t>
        </is>
      </c>
    </row>
    <row r="854" ht="32" customHeight="1">
      <c r="A854" s="45" t="inlineStr">
        <is>
          <t>работник 421</t>
        </is>
      </c>
      <c r="B854" s="45" t="inlineStr">
        <is>
          <t>Горнорабочий на маркшейдерских работах / Помощник машиниста самоходной буровой установки (с исполнением обязанностей пробоотборщика) (Очистное)</t>
        </is>
      </c>
      <c r="C854" s="45" t="inlineStr">
        <is>
          <t>СИЗ</t>
        </is>
      </c>
      <c r="D854" s="170" t="inlineStr">
        <is>
          <t>раз в 3 года</t>
        </is>
      </c>
      <c r="E854" s="171" t="n">
        <v>1</v>
      </c>
      <c r="F854" s="171" t="n">
        <v>2</v>
      </c>
      <c r="G854" s="171" t="n">
        <v>1</v>
      </c>
      <c r="H854" s="45" t="inlineStr">
        <is>
          <t>14.10.2024; 11.06.2025</t>
        </is>
      </c>
      <c r="I854" s="170" t="inlineStr">
        <is>
          <t>14.10.2024</t>
        </is>
      </c>
    </row>
    <row r="855" ht="20" customHeight="1">
      <c r="A855" s="45" t="inlineStr">
        <is>
          <t>работник 620</t>
        </is>
      </c>
      <c r="B855" s="45" t="inlineStr">
        <is>
          <t>Машинист двигателей внутреннего сгорания</t>
        </is>
      </c>
      <c r="C855" s="45" t="inlineStr">
        <is>
          <t>СИЗ</t>
        </is>
      </c>
      <c r="D855" s="170" t="inlineStr">
        <is>
          <t>раз в 3 года</t>
        </is>
      </c>
      <c r="E855" s="171" t="n">
        <v>1</v>
      </c>
      <c r="F855" s="171" t="n">
        <v>2</v>
      </c>
      <c r="G855" s="171" t="n">
        <v>1</v>
      </c>
      <c r="H855" s="45" t="inlineStr">
        <is>
          <t>25.12.2025; 26.08.2026</t>
        </is>
      </c>
      <c r="I855" s="170" t="inlineStr">
        <is>
          <t>25.12.2025</t>
        </is>
      </c>
    </row>
    <row r="856" ht="20" customHeight="1">
      <c r="A856" s="45" t="inlineStr">
        <is>
          <t>работник 227</t>
        </is>
      </c>
      <c r="B856" s="45" t="inlineStr">
        <is>
          <t>Кладовщик</t>
        </is>
      </c>
      <c r="C856" s="45" t="inlineStr">
        <is>
          <t>СИЗ</t>
        </is>
      </c>
      <c r="D856" s="170" t="inlineStr">
        <is>
          <t>раз в 3 года</t>
        </is>
      </c>
      <c r="E856" s="171" t="n">
        <v>1</v>
      </c>
      <c r="F856" s="171" t="n">
        <v>2</v>
      </c>
      <c r="G856" s="171" t="n">
        <v>1</v>
      </c>
      <c r="H856" s="45" t="inlineStr">
        <is>
          <t>23.02.2024; 26.08.2026</t>
        </is>
      </c>
      <c r="I856" s="170" t="inlineStr">
        <is>
          <t>23.02.2024</t>
        </is>
      </c>
    </row>
    <row r="857" ht="32" customHeight="1">
      <c r="A857" s="45" t="inlineStr">
        <is>
          <t>работник 165</t>
        </is>
      </c>
      <c r="B857" s="45" t="inlineStr">
        <is>
          <t>Крепильщик / Крепильщик (пылевентиляционная служба)</t>
        </is>
      </c>
      <c r="C857" s="45" t="inlineStr">
        <is>
          <t>СИЗ</t>
        </is>
      </c>
      <c r="D857" s="170" t="inlineStr">
        <is>
          <t>раз в 3 года</t>
        </is>
      </c>
      <c r="E857" s="171" t="n">
        <v>1</v>
      </c>
      <c r="F857" s="171" t="n">
        <v>2</v>
      </c>
      <c r="G857" s="171" t="n">
        <v>1</v>
      </c>
      <c r="H857" s="45" t="inlineStr">
        <is>
          <t>19.01.2024; 12.11.2024</t>
        </is>
      </c>
      <c r="I857" s="170" t="inlineStr">
        <is>
          <t>19.01.2024</t>
        </is>
      </c>
    </row>
    <row r="858" ht="32" customHeight="1">
      <c r="A858" s="45" t="inlineStr">
        <is>
          <t>работник 600</t>
        </is>
      </c>
      <c r="B858" s="45" t="inlineStr">
        <is>
          <t>Слесарь-ремонтник (по ремонту самоходной техники)</t>
        </is>
      </c>
      <c r="C858" s="45" t="inlineStr">
        <is>
          <t>СИЗ</t>
        </is>
      </c>
      <c r="D858" s="170" t="inlineStr">
        <is>
          <t>раз в 3 года</t>
        </is>
      </c>
      <c r="E858" s="171" t="n">
        <v>1</v>
      </c>
      <c r="F858" s="171" t="n">
        <v>2</v>
      </c>
      <c r="G858" s="171" t="n">
        <v>1</v>
      </c>
      <c r="H858" s="45" t="inlineStr">
        <is>
          <t>19.09.2025; 25.07.2026</t>
        </is>
      </c>
      <c r="I858" s="170" t="inlineStr">
        <is>
          <t>19.09.2025</t>
        </is>
      </c>
    </row>
    <row r="859" ht="20" customHeight="1">
      <c r="A859" s="45" t="inlineStr">
        <is>
          <t>работник 641</t>
        </is>
      </c>
      <c r="B859" s="45" t="inlineStr">
        <is>
          <t>Аппаратчик-гидрометаллург</t>
        </is>
      </c>
      <c r="C859" s="45" t="inlineStr">
        <is>
          <t>СИЗ</t>
        </is>
      </c>
      <c r="D859" s="170" t="inlineStr">
        <is>
          <t>раз в 3 года</t>
        </is>
      </c>
      <c r="E859" s="171" t="n">
        <v>1</v>
      </c>
      <c r="F859" s="171" t="n">
        <v>2</v>
      </c>
      <c r="G859" s="171" t="n">
        <v>1</v>
      </c>
      <c r="H859" s="45" t="inlineStr">
        <is>
          <t>19.02.2026; 29.07.2026</t>
        </is>
      </c>
      <c r="I859" s="170" t="inlineStr">
        <is>
          <t>19.02.2026</t>
        </is>
      </c>
    </row>
    <row r="860" ht="32" customHeight="1">
      <c r="A860" s="45" t="inlineStr">
        <is>
          <t>работник 319</t>
        </is>
      </c>
      <c r="B860" s="45" t="inlineStr">
        <is>
          <t>Машинист погрузочно-доставочной машины (занятый на транспортировании горной массы в технологическом процессе)</t>
        </is>
      </c>
      <c r="C860" s="45" t="inlineStr">
        <is>
          <t>СИЗ</t>
        </is>
      </c>
      <c r="D860" s="170" t="inlineStr">
        <is>
          <t>раз в 3 года</t>
        </is>
      </c>
      <c r="E860" s="171" t="n">
        <v>1</v>
      </c>
      <c r="F860" s="171" t="n">
        <v>2</v>
      </c>
      <c r="G860" s="171" t="n">
        <v>1</v>
      </c>
      <c r="H860" s="45" t="inlineStr">
        <is>
          <t>05.03.2024; 16.08.2026</t>
        </is>
      </c>
      <c r="I860" s="170" t="inlineStr">
        <is>
          <t>05.03.2024</t>
        </is>
      </c>
    </row>
    <row r="861" ht="20" customHeight="1">
      <c r="A861" s="45" t="inlineStr">
        <is>
          <t>работник 637</t>
        </is>
      </c>
      <c r="B861" s="45" t="inlineStr">
        <is>
          <t>Дробильщик</t>
        </is>
      </c>
      <c r="C861" s="45" t="inlineStr">
        <is>
          <t>СИЗ</t>
        </is>
      </c>
      <c r="D861" s="170" t="inlineStr">
        <is>
          <t>раз в 3 года</t>
        </is>
      </c>
      <c r="E861" s="171" t="n">
        <v>1</v>
      </c>
      <c r="F861" s="171" t="n">
        <v>2</v>
      </c>
      <c r="G861" s="171" t="n">
        <v>1</v>
      </c>
      <c r="H861" s="45" t="inlineStr">
        <is>
          <t>19.02.2026; 29.07.2026</t>
        </is>
      </c>
      <c r="I861" s="170" t="inlineStr">
        <is>
          <t>19.02.2026</t>
        </is>
      </c>
    </row>
    <row r="862" ht="20" customHeight="1">
      <c r="A862" s="45" t="inlineStr">
        <is>
          <t>работник 487</t>
        </is>
      </c>
      <c r="B862" s="45" t="inlineStr">
        <is>
          <t>Машинист самоходной буровой установки (Проходка)</t>
        </is>
      </c>
      <c r="C862" s="45" t="inlineStr">
        <is>
          <t>СИЗ</t>
        </is>
      </c>
      <c r="D862" s="170" t="inlineStr">
        <is>
          <t>раз в 3 года</t>
        </is>
      </c>
      <c r="E862" s="171" t="n">
        <v>1</v>
      </c>
      <c r="F862" s="171" t="n">
        <v>2</v>
      </c>
      <c r="G862" s="171" t="n">
        <v>1</v>
      </c>
      <c r="H862" s="45" t="inlineStr">
        <is>
          <t>12.11.2024; 16.08.2026</t>
        </is>
      </c>
      <c r="I862" s="170" t="inlineStr">
        <is>
          <t>12.11.2024</t>
        </is>
      </c>
    </row>
    <row r="863" ht="32" customHeight="1">
      <c r="A863" s="45" t="inlineStr">
        <is>
          <t>работник 46</t>
        </is>
      </c>
      <c r="B863" s="45" t="inlineStr">
        <is>
          <t>Машинист двигателей внутреннего сгорания / Механик холодильных установок</t>
        </is>
      </c>
      <c r="C863" s="45" t="inlineStr">
        <is>
          <t>СИЗ</t>
        </is>
      </c>
      <c r="D863" s="170" t="inlineStr">
        <is>
          <t>раз в 3 года</t>
        </is>
      </c>
      <c r="E863" s="171" t="n">
        <v>2</v>
      </c>
      <c r="F863" s="171" t="n">
        <v>3</v>
      </c>
      <c r="G863" s="171" t="n">
        <v>1</v>
      </c>
      <c r="H863" s="45" t="inlineStr">
        <is>
          <t>23.11.2023; 18.05.2024; 30.05.2025</t>
        </is>
      </c>
      <c r="I863" s="170" t="inlineStr">
        <is>
          <t>23.11.2023</t>
        </is>
      </c>
    </row>
    <row r="864" ht="20" customHeight="1">
      <c r="A864" s="45" t="inlineStr">
        <is>
          <t>работник 752</t>
        </is>
      </c>
      <c r="B864" s="45" t="inlineStr">
        <is>
          <t>Фильтровальщик</t>
        </is>
      </c>
      <c r="C864" s="45" t="inlineStr">
        <is>
          <t>СИЗ</t>
        </is>
      </c>
      <c r="D864" s="170" t="inlineStr">
        <is>
          <t>раз в 3 года</t>
        </is>
      </c>
      <c r="E864" s="171" t="n">
        <v>1</v>
      </c>
      <c r="F864" s="171" t="n">
        <v>2</v>
      </c>
      <c r="G864" s="171" t="n">
        <v>1</v>
      </c>
      <c r="H864" s="45" t="inlineStr">
        <is>
          <t>05.06.2026; 29.07.2026</t>
        </is>
      </c>
      <c r="I864" s="170" t="inlineStr">
        <is>
          <t>05.06.2026</t>
        </is>
      </c>
    </row>
    <row r="865" ht="20" customHeight="1">
      <c r="A865" s="45" t="inlineStr">
        <is>
          <t>работник 652</t>
        </is>
      </c>
      <c r="B865" s="45" t="inlineStr">
        <is>
          <t>Электрогазосварщик</t>
        </is>
      </c>
      <c r="C865" s="45" t="inlineStr">
        <is>
          <t>СИЗ</t>
        </is>
      </c>
      <c r="D865" s="170" t="inlineStr">
        <is>
          <t>раз в 3 года</t>
        </is>
      </c>
      <c r="E865" s="171" t="n">
        <v>1</v>
      </c>
      <c r="F865" s="171" t="n">
        <v>2</v>
      </c>
      <c r="G865" s="171" t="n">
        <v>1</v>
      </c>
      <c r="H865" s="45" t="inlineStr">
        <is>
          <t>19.02.2026; 04.06.2026</t>
        </is>
      </c>
      <c r="I865" s="170" t="inlineStr">
        <is>
          <t>19.02.2026</t>
        </is>
      </c>
    </row>
    <row r="866" ht="20" customHeight="1">
      <c r="A866" s="45" t="inlineStr">
        <is>
          <t>работник 353</t>
        </is>
      </c>
      <c r="B866" s="45" t="inlineStr">
        <is>
          <t>Машинист двигателей внутреннего сгорания</t>
        </is>
      </c>
      <c r="C866" s="45" t="inlineStr">
        <is>
          <t>СИЗ</t>
        </is>
      </c>
      <c r="D866" s="170" t="inlineStr">
        <is>
          <t>раз в 3 года</t>
        </is>
      </c>
      <c r="E866" s="171" t="n">
        <v>1</v>
      </c>
      <c r="F866" s="171" t="n">
        <v>2</v>
      </c>
      <c r="G866" s="171" t="n">
        <v>1</v>
      </c>
      <c r="H866" s="45" t="inlineStr">
        <is>
          <t>12.04.2024; 23.08.2026</t>
        </is>
      </c>
      <c r="I866" s="170" t="inlineStr">
        <is>
          <t>12.04.2024</t>
        </is>
      </c>
    </row>
    <row r="867" ht="20" customHeight="1">
      <c r="A867" s="45" t="inlineStr">
        <is>
          <t>работник 436</t>
        </is>
      </c>
      <c r="B867" s="45" t="inlineStr">
        <is>
          <t>Дробильщик</t>
        </is>
      </c>
      <c r="C867" s="45" t="inlineStr">
        <is>
          <t>СИЗ</t>
        </is>
      </c>
      <c r="D867" s="170" t="inlineStr">
        <is>
          <t>раз в 3 года</t>
        </is>
      </c>
      <c r="E867" s="171" t="n">
        <v>1</v>
      </c>
      <c r="F867" s="171" t="n">
        <v>2</v>
      </c>
      <c r="G867" s="171" t="n">
        <v>1</v>
      </c>
      <c r="H867" s="45" t="inlineStr">
        <is>
          <t>25.10.2024; 29.07.2026</t>
        </is>
      </c>
      <c r="I867" s="170" t="inlineStr">
        <is>
          <t>25.10.2024</t>
        </is>
      </c>
    </row>
    <row r="868" ht="20" customHeight="1">
      <c r="A868" s="45" t="inlineStr">
        <is>
          <t>работник 770</t>
        </is>
      </c>
      <c r="B868" s="45" t="inlineStr">
        <is>
          <t>Машинист погрузочно-доставочной машины</t>
        </is>
      </c>
      <c r="C868" s="45" t="inlineStr">
        <is>
          <t>СИЗ</t>
        </is>
      </c>
      <c r="D868" s="170" t="inlineStr">
        <is>
          <t>раз в 3 года</t>
        </is>
      </c>
      <c r="E868" s="171" t="n">
        <v>1</v>
      </c>
      <c r="F868" s="171" t="n">
        <v>2</v>
      </c>
      <c r="G868" s="171" t="n">
        <v>1</v>
      </c>
      <c r="H868" s="45" t="inlineStr">
        <is>
          <t>04.06.2026; 23.07.2026</t>
        </is>
      </c>
      <c r="I868" s="170" t="inlineStr">
        <is>
          <t>04.06.2026</t>
        </is>
      </c>
    </row>
    <row r="869" ht="20" customHeight="1">
      <c r="A869" s="45" t="inlineStr">
        <is>
          <t>работник 517</t>
        </is>
      </c>
      <c r="B869" s="45" t="inlineStr">
        <is>
          <t>Водитель автомобиля (категория Д)</t>
        </is>
      </c>
      <c r="C869" s="45" t="inlineStr">
        <is>
          <t>СИЗ</t>
        </is>
      </c>
      <c r="D869" s="170" t="inlineStr">
        <is>
          <t>раз в 3 года</t>
        </is>
      </c>
      <c r="E869" s="171" t="n">
        <v>1</v>
      </c>
      <c r="F869" s="171" t="n">
        <v>2</v>
      </c>
      <c r="G869" s="171" t="n">
        <v>1</v>
      </c>
      <c r="H869" s="45" t="inlineStr">
        <is>
          <t>23.02.2025; 17.08.2026</t>
        </is>
      </c>
      <c r="I869" s="170" t="inlineStr">
        <is>
          <t>23.02.2025</t>
        </is>
      </c>
    </row>
    <row r="870" ht="32" customHeight="1">
      <c r="A870" s="45" t="inlineStr">
        <is>
          <t>работник 167</t>
        </is>
      </c>
      <c r="B870" s="45" t="inlineStr">
        <is>
          <t>Машинист погрузочно-доставочной машины (занятый на транспортировании горной массы в технологическом процессе) / Машинист подземно-доставочной машины</t>
        </is>
      </c>
      <c r="C870" s="45" t="inlineStr">
        <is>
          <t>СИЗ</t>
        </is>
      </c>
      <c r="D870" s="170" t="inlineStr">
        <is>
          <t>раз в 3 года</t>
        </is>
      </c>
      <c r="E870" s="171" t="n">
        <v>1</v>
      </c>
      <c r="F870" s="171" t="n">
        <v>2</v>
      </c>
      <c r="G870" s="171" t="n">
        <v>1</v>
      </c>
      <c r="H870" s="45" t="inlineStr">
        <is>
          <t>19.01.2024; 12.11.2024</t>
        </is>
      </c>
      <c r="I870" s="170" t="inlineStr">
        <is>
          <t>19.01.2024</t>
        </is>
      </c>
    </row>
    <row r="871" ht="20" customHeight="1">
      <c r="A871" s="45" t="inlineStr">
        <is>
          <t>работник 70</t>
        </is>
      </c>
      <c r="B871" s="45" t="inlineStr">
        <is>
          <t>Оператор дизельных котлов / Подсобный рабочий</t>
        </is>
      </c>
      <c r="C871" s="45" t="inlineStr">
        <is>
          <t>СИЗ</t>
        </is>
      </c>
      <c r="D871" s="170" t="inlineStr">
        <is>
          <t>раз в 3 года</t>
        </is>
      </c>
      <c r="E871" s="171" t="n">
        <v>2</v>
      </c>
      <c r="F871" s="171" t="n">
        <v>3</v>
      </c>
      <c r="G871" s="171" t="n">
        <v>1</v>
      </c>
      <c r="H871" s="45" t="inlineStr">
        <is>
          <t>30.11.2023; 20.10.2024; 23.08.2026</t>
        </is>
      </c>
      <c r="I871" s="170" t="inlineStr">
        <is>
          <t>30.11.2023</t>
        </is>
      </c>
    </row>
    <row r="872" ht="32" customHeight="1">
      <c r="A872" s="45" t="inlineStr">
        <is>
          <t>работник 45</t>
        </is>
      </c>
      <c r="B872" s="45" t="inlineStr">
        <is>
          <t>Электрогазосварщик / Электромонтер по ремонту и обслуживанию электрооборудования</t>
        </is>
      </c>
      <c r="C872" s="45" t="inlineStr">
        <is>
          <t>СИЗ</t>
        </is>
      </c>
      <c r="D872" s="170" t="inlineStr">
        <is>
          <t>раз в 3 года</t>
        </is>
      </c>
      <c r="E872" s="171" t="n">
        <v>2</v>
      </c>
      <c r="F872" s="171" t="n">
        <v>3</v>
      </c>
      <c r="G872" s="171" t="n">
        <v>1</v>
      </c>
      <c r="H872" s="45" t="inlineStr">
        <is>
          <t>23.11.2023; 22.09.2024; 22.08.2026</t>
        </is>
      </c>
      <c r="I872" s="170" t="inlineStr">
        <is>
          <t>23.11.2023</t>
        </is>
      </c>
    </row>
    <row r="873" ht="20" customHeight="1">
      <c r="A873" s="45" t="inlineStr">
        <is>
          <t>работник 387</t>
        </is>
      </c>
      <c r="B873" s="45" t="inlineStr">
        <is>
          <t>Дробильщик</t>
        </is>
      </c>
      <c r="C873" s="45" t="inlineStr">
        <is>
          <t>СИЗ</t>
        </is>
      </c>
      <c r="D873" s="170" t="inlineStr">
        <is>
          <t>раз в 3 года</t>
        </is>
      </c>
      <c r="E873" s="171" t="n">
        <v>1</v>
      </c>
      <c r="F873" s="171" t="n">
        <v>2</v>
      </c>
      <c r="G873" s="171" t="n">
        <v>1</v>
      </c>
      <c r="H873" s="45" t="inlineStr">
        <is>
          <t>05.08.2024; 29.07.2026</t>
        </is>
      </c>
      <c r="I873" s="170" t="inlineStr">
        <is>
          <t>05.08.2024</t>
        </is>
      </c>
    </row>
    <row r="874" ht="32" customHeight="1">
      <c r="A874" s="45" t="inlineStr">
        <is>
          <t>работник 503</t>
        </is>
      </c>
      <c r="B874" s="45" t="inlineStr">
        <is>
          <t>Аппаратчик-гидрометаллург / Слесарь-ремонтник (по ремонту обогатительного оборудования)</t>
        </is>
      </c>
      <c r="C874" s="45" t="inlineStr">
        <is>
          <t>СИЗ</t>
        </is>
      </c>
      <c r="D874" s="170" t="inlineStr">
        <is>
          <t>раз в 3 года</t>
        </is>
      </c>
      <c r="E874" s="171" t="n">
        <v>1</v>
      </c>
      <c r="F874" s="171" t="n">
        <v>2</v>
      </c>
      <c r="G874" s="171" t="n">
        <v>1</v>
      </c>
      <c r="H874" s="45" t="inlineStr">
        <is>
          <t>25.11.2024; 26.08.2026</t>
        </is>
      </c>
      <c r="I874" s="170" t="inlineStr">
        <is>
          <t>25.11.2024</t>
        </is>
      </c>
    </row>
    <row r="875" ht="32" customHeight="1">
      <c r="A875" s="45" t="inlineStr">
        <is>
          <t>работник 763</t>
        </is>
      </c>
      <c r="B875" s="45" t="inlineStr">
        <is>
          <t>Машинист погрузочно-доставочной машины (занятый на транспортировании горной массы в технологическом процессе)</t>
        </is>
      </c>
      <c r="C875" s="45" t="inlineStr">
        <is>
          <t>СИЗ</t>
        </is>
      </c>
      <c r="D875" s="170" t="inlineStr">
        <is>
          <t>раз в 3 года</t>
        </is>
      </c>
      <c r="E875" s="171" t="n">
        <v>1</v>
      </c>
      <c r="F875" s="171" t="n">
        <v>2</v>
      </c>
      <c r="G875" s="171" t="n">
        <v>1</v>
      </c>
      <c r="H875" s="45" t="inlineStr">
        <is>
          <t>04.06.2026; 23.07.2026</t>
        </is>
      </c>
      <c r="I875" s="170" t="inlineStr">
        <is>
          <t>04.06.2026</t>
        </is>
      </c>
    </row>
    <row r="876" ht="32" customHeight="1">
      <c r="A876" s="45" t="inlineStr">
        <is>
          <t>работник 608</t>
        </is>
      </c>
      <c r="B876" s="45" t="inlineStr">
        <is>
          <t>Стропальщик / Стропальщик (с исполнением обязанностей грузчика)</t>
        </is>
      </c>
      <c r="C876" s="45" t="inlineStr">
        <is>
          <t>СИЗ</t>
        </is>
      </c>
      <c r="D876" s="170" t="inlineStr">
        <is>
          <t>раз в 3 года</t>
        </is>
      </c>
      <c r="E876" s="171" t="n">
        <v>1</v>
      </c>
      <c r="F876" s="171" t="n">
        <v>2</v>
      </c>
      <c r="G876" s="171" t="n">
        <v>1</v>
      </c>
      <c r="H876" s="45" t="inlineStr">
        <is>
          <t>13.12.2025; 25.08.2026</t>
        </is>
      </c>
      <c r="I876" s="170" t="inlineStr">
        <is>
          <t>13.12.2025</t>
        </is>
      </c>
    </row>
    <row r="877" ht="32" customHeight="1">
      <c r="A877" s="45" t="inlineStr">
        <is>
          <t>работник 432</t>
        </is>
      </c>
      <c r="B877" s="45" t="inlineStr">
        <is>
          <t>Слесарь-ремонтник (по ремонту обогатительного оборудования)</t>
        </is>
      </c>
      <c r="C877" s="45" t="inlineStr">
        <is>
          <t>СИЗ</t>
        </is>
      </c>
      <c r="D877" s="170" t="inlineStr">
        <is>
          <t>раз в 3 года</t>
        </is>
      </c>
      <c r="E877" s="171" t="n">
        <v>1</v>
      </c>
      <c r="F877" s="171" t="n">
        <v>2</v>
      </c>
      <c r="G877" s="171" t="n">
        <v>1</v>
      </c>
      <c r="H877" s="45" t="inlineStr">
        <is>
          <t>25.10.2024; 26.08.2026</t>
        </is>
      </c>
      <c r="I877" s="170" t="inlineStr">
        <is>
          <t>25.10.2024</t>
        </is>
      </c>
    </row>
    <row r="878" ht="20" customHeight="1">
      <c r="A878" s="45" t="inlineStr">
        <is>
          <t>работник 771</t>
        </is>
      </c>
      <c r="B878" s="45" t="inlineStr">
        <is>
          <t>Машинист погрузочно-доставочной машины</t>
        </is>
      </c>
      <c r="C878" s="45" t="inlineStr">
        <is>
          <t>СИЗ</t>
        </is>
      </c>
      <c r="D878" s="170" t="inlineStr">
        <is>
          <t>раз в 3 года</t>
        </is>
      </c>
      <c r="E878" s="171" t="n">
        <v>1</v>
      </c>
      <c r="F878" s="171" t="n">
        <v>2</v>
      </c>
      <c r="G878" s="171" t="n">
        <v>1</v>
      </c>
      <c r="H878" s="45" t="inlineStr">
        <is>
          <t>04.06.2026; 23.07.2026</t>
        </is>
      </c>
      <c r="I878" s="170" t="inlineStr">
        <is>
          <t>04.06.2026</t>
        </is>
      </c>
    </row>
    <row r="879" ht="20" customHeight="1">
      <c r="A879" s="45" t="inlineStr">
        <is>
          <t>работник 522</t>
        </is>
      </c>
      <c r="B879" s="45" t="inlineStr">
        <is>
          <t>Аппаратчик сгустителей / Фильтровальщик</t>
        </is>
      </c>
      <c r="C879" s="45" t="inlineStr">
        <is>
          <t>СИЗ</t>
        </is>
      </c>
      <c r="D879" s="170" t="inlineStr">
        <is>
          <t>раз в 3 года</t>
        </is>
      </c>
      <c r="E879" s="171" t="n">
        <v>1</v>
      </c>
      <c r="F879" s="171" t="n">
        <v>2</v>
      </c>
      <c r="G879" s="171" t="n">
        <v>1</v>
      </c>
      <c r="H879" s="45" t="inlineStr">
        <is>
          <t>16.01.2025; 29.07.2026</t>
        </is>
      </c>
      <c r="I879" s="170" t="inlineStr">
        <is>
          <t>16.01.2025</t>
        </is>
      </c>
    </row>
    <row r="880" ht="20" customHeight="1">
      <c r="A880" s="45" t="inlineStr">
        <is>
          <t>работник 445</t>
        </is>
      </c>
      <c r="B880" s="45" t="inlineStr">
        <is>
          <t>Дробильщик</t>
        </is>
      </c>
      <c r="C880" s="45" t="inlineStr">
        <is>
          <t>СИЗ</t>
        </is>
      </c>
      <c r="D880" s="170" t="inlineStr">
        <is>
          <t>раз в 3 года</t>
        </is>
      </c>
      <c r="E880" s="171" t="n">
        <v>1</v>
      </c>
      <c r="F880" s="171" t="n">
        <v>2</v>
      </c>
      <c r="G880" s="171" t="n">
        <v>1</v>
      </c>
      <c r="H880" s="45" t="inlineStr">
        <is>
          <t>25.10.2024; 26.08.2026</t>
        </is>
      </c>
      <c r="I880" s="170" t="inlineStr">
        <is>
          <t>25.10.2024</t>
        </is>
      </c>
    </row>
    <row r="881" ht="20" customHeight="1">
      <c r="A881" s="45" t="inlineStr">
        <is>
          <t>работник 326</t>
        </is>
      </c>
      <c r="B881" s="45" t="inlineStr">
        <is>
          <t>Машинист погрузочно-доставочной машины</t>
        </is>
      </c>
      <c r="C881" s="45" t="inlineStr">
        <is>
          <t>СИЗ</t>
        </is>
      </c>
      <c r="D881" s="170" t="inlineStr">
        <is>
          <t>раз в 3 года</t>
        </is>
      </c>
      <c r="E881" s="171" t="n">
        <v>1</v>
      </c>
      <c r="F881" s="171" t="n">
        <v>2</v>
      </c>
      <c r="G881" s="171" t="n">
        <v>1</v>
      </c>
      <c r="H881" s="45" t="inlineStr">
        <is>
          <t>05.03.2024; 23.07.2026</t>
        </is>
      </c>
      <c r="I881" s="170" t="inlineStr">
        <is>
          <t>05.03.2024</t>
        </is>
      </c>
    </row>
    <row r="882" ht="20" customHeight="1">
      <c r="A882" s="45" t="inlineStr">
        <is>
          <t>работник 168</t>
        </is>
      </c>
      <c r="B882" s="45" t="inlineStr">
        <is>
          <t>Проходчик (с исполнением обязанностей взрывника)</t>
        </is>
      </c>
      <c r="C882" s="45" t="inlineStr">
        <is>
          <t>СИЗ</t>
        </is>
      </c>
      <c r="D882" s="170" t="inlineStr">
        <is>
          <t>раз в 3 года</t>
        </is>
      </c>
      <c r="E882" s="171" t="n">
        <v>1</v>
      </c>
      <c r="F882" s="171" t="n">
        <v>2</v>
      </c>
      <c r="G882" s="171" t="n">
        <v>1</v>
      </c>
      <c r="H882" s="45" t="inlineStr">
        <is>
          <t>19.01.2024; 12.11.2024</t>
        </is>
      </c>
      <c r="I882" s="170" t="inlineStr">
        <is>
          <t>19.01.2024</t>
        </is>
      </c>
    </row>
    <row r="883" ht="20" customHeight="1">
      <c r="A883" s="45" t="inlineStr">
        <is>
          <t>работник 332</t>
        </is>
      </c>
      <c r="B883" s="45" t="inlineStr">
        <is>
          <t>Дробильщик</t>
        </is>
      </c>
      <c r="C883" s="45" t="inlineStr">
        <is>
          <t>СИЗ</t>
        </is>
      </c>
      <c r="D883" s="170" t="inlineStr">
        <is>
          <t>раз в 3 года</t>
        </is>
      </c>
      <c r="E883" s="171" t="n">
        <v>1</v>
      </c>
      <c r="F883" s="171" t="n">
        <v>2</v>
      </c>
      <c r="G883" s="171" t="n">
        <v>1</v>
      </c>
      <c r="H883" s="45" t="inlineStr">
        <is>
          <t>21.03.2024; 29.07.2026</t>
        </is>
      </c>
      <c r="I883" s="170" t="inlineStr">
        <is>
          <t>21.03.2024</t>
        </is>
      </c>
    </row>
    <row r="884" ht="20" customHeight="1">
      <c r="A884" s="45" t="inlineStr">
        <is>
          <t>работник 343</t>
        </is>
      </c>
      <c r="B884" s="45" t="inlineStr">
        <is>
          <t>Дробильщик</t>
        </is>
      </c>
      <c r="C884" s="45" t="inlineStr">
        <is>
          <t>СИЗ</t>
        </is>
      </c>
      <c r="D884" s="170" t="inlineStr">
        <is>
          <t>раз в 3 года</t>
        </is>
      </c>
      <c r="E884" s="171" t="n">
        <v>1</v>
      </c>
      <c r="F884" s="171" t="n">
        <v>2</v>
      </c>
      <c r="G884" s="171" t="n">
        <v>1</v>
      </c>
      <c r="H884" s="45" t="inlineStr">
        <is>
          <t>28.04.2024; 26.08.2026</t>
        </is>
      </c>
      <c r="I884" s="170" t="inlineStr">
        <is>
          <t>28.04.2024</t>
        </is>
      </c>
    </row>
    <row r="885" ht="32" customHeight="1">
      <c r="A885" s="45" t="inlineStr">
        <is>
          <t>работник 85</t>
        </is>
      </c>
      <c r="B885" s="45" t="inlineStr">
        <is>
          <t>Водитель автомобиля (занятый на транспортировании горной массы в технологическом процессе) / Водитель автомобиля (категория С) / Горнорабочий</t>
        </is>
      </c>
      <c r="C885" s="45" t="inlineStr">
        <is>
          <t>СИЗ</t>
        </is>
      </c>
      <c r="D885" s="170" t="inlineStr">
        <is>
          <t>раз в 3 года</t>
        </is>
      </c>
      <c r="E885" s="171" t="n">
        <v>2</v>
      </c>
      <c r="F885" s="171" t="n">
        <v>3</v>
      </c>
      <c r="G885" s="171" t="n">
        <v>1</v>
      </c>
      <c r="H885" s="45" t="inlineStr">
        <is>
          <t>03.12.2023; 23.02.2024; 17.08.2026</t>
        </is>
      </c>
      <c r="I885" s="170" t="inlineStr">
        <is>
          <t>03.12.2023</t>
        </is>
      </c>
    </row>
    <row r="886" ht="20" customHeight="1">
      <c r="A886" s="45" t="inlineStr">
        <is>
          <t>работник 544</t>
        </is>
      </c>
      <c r="B886" s="45" t="inlineStr">
        <is>
          <t>Дробильщик</t>
        </is>
      </c>
      <c r="C886" s="45" t="inlineStr">
        <is>
          <t>СИЗ</t>
        </is>
      </c>
      <c r="D886" s="170" t="inlineStr">
        <is>
          <t>раз в 3 года</t>
        </is>
      </c>
      <c r="E886" s="171" t="n">
        <v>1</v>
      </c>
      <c r="F886" s="171" t="n">
        <v>2</v>
      </c>
      <c r="G886" s="171" t="n">
        <v>1</v>
      </c>
      <c r="H886" s="45" t="inlineStr">
        <is>
          <t>28.03.2025; 09.09.2026</t>
        </is>
      </c>
      <c r="I886" s="170" t="inlineStr">
        <is>
          <t>28.03.2025</t>
        </is>
      </c>
    </row>
    <row r="887" ht="20" customHeight="1">
      <c r="A887" s="45" t="inlineStr">
        <is>
          <t>работник 780</t>
        </is>
      </c>
      <c r="B887" s="45" t="inlineStr">
        <is>
          <t>Горный диспетчер</t>
        </is>
      </c>
      <c r="C887" s="45" t="inlineStr">
        <is>
          <t>СИЗ</t>
        </is>
      </c>
      <c r="D887" s="170" t="inlineStr">
        <is>
          <t>раз в 3 года</t>
        </is>
      </c>
      <c r="E887" s="171" t="n">
        <v>1</v>
      </c>
      <c r="F887" s="171" t="n">
        <v>2</v>
      </c>
      <c r="G887" s="171" t="n">
        <v>1</v>
      </c>
      <c r="H887" s="45" t="inlineStr">
        <is>
          <t>04.06.2026; 28.07.2026</t>
        </is>
      </c>
      <c r="I887" s="170" t="inlineStr">
        <is>
          <t>04.06.2026</t>
        </is>
      </c>
    </row>
    <row r="888" ht="32" customHeight="1">
      <c r="A888" s="45" t="inlineStr">
        <is>
          <t>работник 594</t>
        </is>
      </c>
      <c r="B888" s="45" t="inlineStr">
        <is>
          <t>Машинист насосных установок / Помощник машиниста самоходной буровой установки (с исполнением обязанностей пробоотборщика)</t>
        </is>
      </c>
      <c r="C888" s="45" t="inlineStr">
        <is>
          <t>СИЗ</t>
        </is>
      </c>
      <c r="D888" s="170" t="inlineStr">
        <is>
          <t>раз в 3 года</t>
        </is>
      </c>
      <c r="E888" s="171" t="n">
        <v>1</v>
      </c>
      <c r="F888" s="171" t="n">
        <v>2</v>
      </c>
      <c r="G888" s="171" t="n">
        <v>1</v>
      </c>
      <c r="H888" s="45" t="inlineStr">
        <is>
          <t>22.07.2025; 26.07.2026</t>
        </is>
      </c>
      <c r="I888" s="170" t="inlineStr">
        <is>
          <t>22.07.2025</t>
        </is>
      </c>
    </row>
    <row r="889" ht="32" customHeight="1">
      <c r="A889" s="45" t="inlineStr">
        <is>
          <t>работник 466</t>
        </is>
      </c>
      <c r="B889" s="45" t="inlineStr">
        <is>
          <t>Водитель автомобиля (занятый на транспортировании горной массы в технологическом процессе)</t>
        </is>
      </c>
      <c r="C889" s="45" t="inlineStr">
        <is>
          <t>СИЗ</t>
        </is>
      </c>
      <c r="D889" s="170" t="inlineStr">
        <is>
          <t>раз в 3 года</t>
        </is>
      </c>
      <c r="E889" s="171" t="n">
        <v>1</v>
      </c>
      <c r="F889" s="171" t="n">
        <v>2</v>
      </c>
      <c r="G889" s="171" t="n">
        <v>1</v>
      </c>
      <c r="H889" s="45" t="inlineStr">
        <is>
          <t>04.11.2024; 17.08.2026</t>
        </is>
      </c>
      <c r="I889" s="170" t="inlineStr">
        <is>
          <t>04.11.2024</t>
        </is>
      </c>
    </row>
    <row r="890" ht="32" customHeight="1">
      <c r="A890" s="45" t="inlineStr">
        <is>
          <t>работник 758</t>
        </is>
      </c>
      <c r="B890" s="45" t="inlineStr">
        <is>
          <t>Слесарь-ремонтник (по ремонту обогатительного оборудования)</t>
        </is>
      </c>
      <c r="C890" s="45" t="inlineStr">
        <is>
          <t>СИЗ</t>
        </is>
      </c>
      <c r="D890" s="170" t="inlineStr">
        <is>
          <t>раз в 3 года</t>
        </is>
      </c>
      <c r="E890" s="171" t="n">
        <v>1</v>
      </c>
      <c r="F890" s="171" t="n">
        <v>2</v>
      </c>
      <c r="G890" s="171" t="n">
        <v>1</v>
      </c>
      <c r="H890" s="45" t="inlineStr">
        <is>
          <t>05.06.2026; 29.07.2026</t>
        </is>
      </c>
      <c r="I890" s="170" t="inlineStr">
        <is>
          <t>05.06.2026</t>
        </is>
      </c>
    </row>
    <row r="891" ht="20" customHeight="1">
      <c r="A891" s="45" t="inlineStr">
        <is>
          <t>работник 755</t>
        </is>
      </c>
      <c r="B891" s="45" t="inlineStr">
        <is>
          <t>Фильтровальщик</t>
        </is>
      </c>
      <c r="C891" s="45" t="inlineStr">
        <is>
          <t>СИЗ</t>
        </is>
      </c>
      <c r="D891" s="170" t="inlineStr">
        <is>
          <t>раз в 3 года</t>
        </is>
      </c>
      <c r="E891" s="171" t="n">
        <v>1</v>
      </c>
      <c r="F891" s="171" t="n">
        <v>2</v>
      </c>
      <c r="G891" s="171" t="n">
        <v>1</v>
      </c>
      <c r="H891" s="45" t="inlineStr">
        <is>
          <t>05.06.2026; 29.07.2026</t>
        </is>
      </c>
      <c r="I891" s="170" t="inlineStr">
        <is>
          <t>05.06.2026</t>
        </is>
      </c>
    </row>
    <row r="892" ht="20" customHeight="1">
      <c r="A892" s="45" t="inlineStr">
        <is>
          <t>работник 71</t>
        </is>
      </c>
      <c r="B892" s="45" t="inlineStr">
        <is>
          <t>Оператор дизельных котлов / Подсобный рабочий</t>
        </is>
      </c>
      <c r="C892" s="45" t="inlineStr">
        <is>
          <t>СИЗ</t>
        </is>
      </c>
      <c r="D892" s="170" t="inlineStr">
        <is>
          <t>раз в 3 года</t>
        </is>
      </c>
      <c r="E892" s="171" t="n">
        <v>2</v>
      </c>
      <c r="F892" s="171" t="n">
        <v>3</v>
      </c>
      <c r="G892" s="171" t="n">
        <v>1</v>
      </c>
      <c r="H892" s="45" t="inlineStr">
        <is>
          <t>30.11.2023; 22.08.2024; 26.08.2026</t>
        </is>
      </c>
      <c r="I892" s="170" t="inlineStr">
        <is>
          <t>30.11.2023</t>
        </is>
      </c>
    </row>
    <row r="893" ht="32" customHeight="1">
      <c r="A893" s="45" t="inlineStr">
        <is>
          <t>работник 786</t>
        </is>
      </c>
      <c r="B893" s="45" t="inlineStr">
        <is>
          <t>Водитель автомобиля (занятый на транспортировании горной массы в технологическом процессе) / Машинист двигателей внутреннего сгорания (с исполнением обязанностей машиниста компрессорных установок)</t>
        </is>
      </c>
      <c r="C893" s="45" t="inlineStr">
        <is>
          <t>СИЗ</t>
        </is>
      </c>
      <c r="D893" s="170" t="inlineStr">
        <is>
          <t>раз в 3 года</t>
        </is>
      </c>
      <c r="E893" s="171" t="n">
        <v>1</v>
      </c>
      <c r="F893" s="171" t="n">
        <v>2</v>
      </c>
      <c r="G893" s="171" t="n">
        <v>1</v>
      </c>
      <c r="H893" s="45" t="inlineStr">
        <is>
          <t>06.06.2026; 24.08.2026</t>
        </is>
      </c>
      <c r="I893" s="170" t="inlineStr">
        <is>
          <t>06.06.2026</t>
        </is>
      </c>
    </row>
    <row r="894" ht="32" customHeight="1">
      <c r="A894" s="45" t="inlineStr">
        <is>
          <t>работник 567</t>
        </is>
      </c>
      <c r="B894" s="45" t="inlineStr">
        <is>
          <t>Слесарь-ремонтник (по ремонту обогатительного оборудования)</t>
        </is>
      </c>
      <c r="C894" s="45" t="inlineStr">
        <is>
          <t>СИЗ</t>
        </is>
      </c>
      <c r="D894" s="170" t="inlineStr">
        <is>
          <t>раз в 3 года</t>
        </is>
      </c>
      <c r="E894" s="171" t="n">
        <v>1</v>
      </c>
      <c r="F894" s="171" t="n">
        <v>2</v>
      </c>
      <c r="G894" s="171" t="n">
        <v>1</v>
      </c>
      <c r="H894" s="45" t="inlineStr">
        <is>
          <t>04.07.2025; 26.08.2026</t>
        </is>
      </c>
      <c r="I894" s="170" t="inlineStr">
        <is>
          <t>04.07.2025</t>
        </is>
      </c>
    </row>
    <row r="895" ht="32" customHeight="1">
      <c r="A895" s="45" t="inlineStr">
        <is>
          <t>работник 551</t>
        </is>
      </c>
      <c r="B895" s="45" t="inlineStr">
        <is>
          <t>Кладовщик (с исполнением обязанностей ламповщика) / Ламповщик</t>
        </is>
      </c>
      <c r="C895" s="45" t="inlineStr">
        <is>
          <t>СИЗ</t>
        </is>
      </c>
      <c r="D895" s="170" t="inlineStr">
        <is>
          <t>раз в 3 года</t>
        </is>
      </c>
      <c r="E895" s="171" t="n">
        <v>1</v>
      </c>
      <c r="F895" s="171" t="n">
        <v>2</v>
      </c>
      <c r="G895" s="171" t="n">
        <v>1</v>
      </c>
      <c r="H895" s="45" t="inlineStr">
        <is>
          <t>15.04.2025; 14.08.2026</t>
        </is>
      </c>
      <c r="I895" s="170" t="inlineStr">
        <is>
          <t>15.04.2025</t>
        </is>
      </c>
    </row>
    <row r="896" ht="32" customHeight="1">
      <c r="A896" s="45" t="inlineStr">
        <is>
          <t>работник 449</t>
        </is>
      </c>
      <c r="B896" s="45" t="inlineStr">
        <is>
          <t>Аппаратчик-гидрометаллург / Слесарь-ремонтник (по ремонту обогатительного оборудования)</t>
        </is>
      </c>
      <c r="C896" s="45" t="inlineStr">
        <is>
          <t>СИЗ</t>
        </is>
      </c>
      <c r="D896" s="170" t="inlineStr">
        <is>
          <t>раз в 3 года</t>
        </is>
      </c>
      <c r="E896" s="171" t="n">
        <v>1</v>
      </c>
      <c r="F896" s="171" t="n">
        <v>2</v>
      </c>
      <c r="G896" s="171" t="n">
        <v>1</v>
      </c>
      <c r="H896" s="45" t="inlineStr">
        <is>
          <t>25.10.2024; 01.04.2025</t>
        </is>
      </c>
      <c r="I896" s="170" t="inlineStr">
        <is>
          <t>25.10.2024</t>
        </is>
      </c>
    </row>
    <row r="897" ht="32" customHeight="1">
      <c r="A897" s="45" t="inlineStr">
        <is>
          <t>работник 653</t>
        </is>
      </c>
      <c r="B897" s="45" t="inlineStr">
        <is>
          <t>Машинист погрузочно-доставочной машины (занятый на транспортировании горной массы в технологическом процессе) / Машинист подземных самоходных машин</t>
        </is>
      </c>
      <c r="C897" s="45" t="inlineStr">
        <is>
          <t>СИЗ</t>
        </is>
      </c>
      <c r="D897" s="170" t="inlineStr">
        <is>
          <t>раз в 3 года</t>
        </is>
      </c>
      <c r="E897" s="171" t="n">
        <v>1</v>
      </c>
      <c r="F897" s="171" t="n">
        <v>2</v>
      </c>
      <c r="G897" s="171" t="n">
        <v>1</v>
      </c>
      <c r="H897" s="45" t="inlineStr">
        <is>
          <t>19.02.2026; 23.07.2026</t>
        </is>
      </c>
      <c r="I897" s="170" t="inlineStr">
        <is>
          <t>19.02.2026</t>
        </is>
      </c>
    </row>
    <row r="898" ht="20" customHeight="1">
      <c r="A898" s="45" t="inlineStr">
        <is>
          <t>работник 638</t>
        </is>
      </c>
      <c r="B898" s="45" t="inlineStr">
        <is>
          <t>Грузчик</t>
        </is>
      </c>
      <c r="C898" s="45" t="inlineStr">
        <is>
          <t>СИЗ</t>
        </is>
      </c>
      <c r="D898" s="170" t="inlineStr">
        <is>
          <t>раз в 3 года</t>
        </is>
      </c>
      <c r="E898" s="171" t="n">
        <v>1</v>
      </c>
      <c r="F898" s="171" t="n">
        <v>2</v>
      </c>
      <c r="G898" s="171" t="n">
        <v>1</v>
      </c>
      <c r="H898" s="45" t="inlineStr">
        <is>
          <t>19.02.2026; 29.07.2026</t>
        </is>
      </c>
      <c r="I898" s="170" t="inlineStr">
        <is>
          <t>19.02.2026</t>
        </is>
      </c>
    </row>
    <row r="899" ht="20" customHeight="1">
      <c r="A899" s="45" t="inlineStr">
        <is>
          <t>работник 613</t>
        </is>
      </c>
      <c r="B899" s="45" t="inlineStr">
        <is>
          <t>Дробильщик</t>
        </is>
      </c>
      <c r="C899" s="45" t="inlineStr">
        <is>
          <t>СИЗ</t>
        </is>
      </c>
      <c r="D899" s="170" t="inlineStr">
        <is>
          <t>раз в 3 года</t>
        </is>
      </c>
      <c r="E899" s="171" t="n">
        <v>1</v>
      </c>
      <c r="F899" s="171" t="n">
        <v>2</v>
      </c>
      <c r="G899" s="171" t="n">
        <v>1</v>
      </c>
      <c r="H899" s="45" t="inlineStr">
        <is>
          <t>31.10.2025; 05.09.2026</t>
        </is>
      </c>
      <c r="I899" s="170" t="inlineStr">
        <is>
          <t>31.10.2025</t>
        </is>
      </c>
    </row>
    <row r="900" ht="32" customHeight="1">
      <c r="A900" s="45" t="inlineStr">
        <is>
          <t>работник 169</t>
        </is>
      </c>
      <c r="B900" s="45" t="inlineStr">
        <is>
          <t>Машинист погрузочно-доставочной машины (занятый на транспортировании горной массы в технологическом процессе) / Машинист подземно-доставочной машины</t>
        </is>
      </c>
      <c r="C900" s="45" t="inlineStr">
        <is>
          <t>СИЗ</t>
        </is>
      </c>
      <c r="D900" s="170" t="inlineStr">
        <is>
          <t>раз в 3 года</t>
        </is>
      </c>
      <c r="E900" s="171" t="n">
        <v>1</v>
      </c>
      <c r="F900" s="171" t="n">
        <v>2</v>
      </c>
      <c r="G900" s="171" t="n">
        <v>1</v>
      </c>
      <c r="H900" s="45" t="inlineStr">
        <is>
          <t>19.01.2024; 12.11.2024</t>
        </is>
      </c>
      <c r="I900" s="170" t="inlineStr">
        <is>
          <t>19.01.2024</t>
        </is>
      </c>
    </row>
    <row r="901" ht="32" customHeight="1">
      <c r="A901" s="45" t="inlineStr">
        <is>
          <t>работник 603</t>
        </is>
      </c>
      <c r="B901" s="45" t="inlineStr">
        <is>
          <t>Машинист насосных установок / Помощник машиниста самоходной буровой установки (с исполнением обязанностей пробоотборщика)</t>
        </is>
      </c>
      <c r="C901" s="45" t="inlineStr">
        <is>
          <t>СИЗ</t>
        </is>
      </c>
      <c r="D901" s="170" t="inlineStr">
        <is>
          <t>раз в 3 года</t>
        </is>
      </c>
      <c r="E901" s="171" t="n">
        <v>1</v>
      </c>
      <c r="F901" s="171" t="n">
        <v>2</v>
      </c>
      <c r="G901" s="171" t="n">
        <v>1</v>
      </c>
      <c r="H901" s="45" t="inlineStr">
        <is>
          <t>04.10.2025; 26.07.2026</t>
        </is>
      </c>
      <c r="I901" s="170" t="inlineStr">
        <is>
          <t>04.10.2025</t>
        </is>
      </c>
    </row>
    <row r="902" ht="20" customHeight="1">
      <c r="A902" s="45" t="inlineStr">
        <is>
          <t>работник 427</t>
        </is>
      </c>
      <c r="B902" s="45" t="inlineStr">
        <is>
          <t>Аппаратчик-гидрометаллург</t>
        </is>
      </c>
      <c r="C902" s="45" t="inlineStr">
        <is>
          <t>СИЗ</t>
        </is>
      </c>
      <c r="D902" s="170" t="inlineStr">
        <is>
          <t>раз в 3 года</t>
        </is>
      </c>
      <c r="E902" s="171" t="n">
        <v>1</v>
      </c>
      <c r="F902" s="171" t="n">
        <v>2</v>
      </c>
      <c r="G902" s="171" t="n">
        <v>1</v>
      </c>
      <c r="H902" s="45" t="inlineStr">
        <is>
          <t>25.10.2024; 18.02.2025</t>
        </is>
      </c>
      <c r="I902" s="170" t="inlineStr">
        <is>
          <t>25.10.2024</t>
        </is>
      </c>
    </row>
    <row r="903" ht="20" customHeight="1">
      <c r="A903" s="45" t="inlineStr">
        <is>
          <t>работник 329</t>
        </is>
      </c>
      <c r="B903" s="45" t="inlineStr">
        <is>
          <t>Машинист мельниц</t>
        </is>
      </c>
      <c r="C903" s="45" t="inlineStr">
        <is>
          <t>СИЗ</t>
        </is>
      </c>
      <c r="D903" s="170" t="inlineStr">
        <is>
          <t>раз в 3 года</t>
        </is>
      </c>
      <c r="E903" s="171" t="n">
        <v>1</v>
      </c>
      <c r="F903" s="171" t="n">
        <v>2</v>
      </c>
      <c r="G903" s="171" t="n">
        <v>1</v>
      </c>
      <c r="H903" s="45" t="inlineStr">
        <is>
          <t>11.03.2024; 21.06.2025</t>
        </is>
      </c>
      <c r="I903" s="170" t="inlineStr">
        <is>
          <t>11.03.2024</t>
        </is>
      </c>
    </row>
    <row r="904" ht="32" customHeight="1">
      <c r="A904" s="45" t="inlineStr">
        <is>
          <t>работник 350</t>
        </is>
      </c>
      <c r="B904" s="45" t="inlineStr">
        <is>
          <t>Ламповщик / Уборщик производственных и служебных помещений</t>
        </is>
      </c>
      <c r="C904" s="45" t="inlineStr">
        <is>
          <t>СИЗ</t>
        </is>
      </c>
      <c r="D904" s="170" t="inlineStr">
        <is>
          <t>раз в 3 года</t>
        </is>
      </c>
      <c r="E904" s="171" t="n">
        <v>1</v>
      </c>
      <c r="F904" s="171" t="n">
        <v>2</v>
      </c>
      <c r="G904" s="171" t="n">
        <v>1</v>
      </c>
      <c r="H904" s="45" t="inlineStr">
        <is>
          <t>25.04.2024; 02.07.2026</t>
        </is>
      </c>
      <c r="I904" s="170" t="inlineStr">
        <is>
          <t>25.04.2024</t>
        </is>
      </c>
    </row>
    <row r="905" ht="20" customHeight="1">
      <c r="A905" s="45" t="inlineStr">
        <is>
          <t>работник 388</t>
        </is>
      </c>
      <c r="B905" s="45" t="inlineStr">
        <is>
          <t>Дробильщик</t>
        </is>
      </c>
      <c r="C905" s="45" t="inlineStr">
        <is>
          <t>СИЗ</t>
        </is>
      </c>
      <c r="D905" s="170" t="inlineStr">
        <is>
          <t>раз в 3 года</t>
        </is>
      </c>
      <c r="E905" s="171" t="n">
        <v>1</v>
      </c>
      <c r="F905" s="171" t="n">
        <v>2</v>
      </c>
      <c r="G905" s="171" t="n">
        <v>1</v>
      </c>
      <c r="H905" s="45" t="inlineStr">
        <is>
          <t>05.08.2024; 29.07.2026</t>
        </is>
      </c>
      <c r="I905" s="170" t="inlineStr">
        <is>
          <t>05.08.2024</t>
        </is>
      </c>
    </row>
    <row r="906" ht="20" customHeight="1">
      <c r="A906" s="45" t="inlineStr">
        <is>
          <t>работник 450</t>
        </is>
      </c>
      <c r="B906" s="45" t="inlineStr">
        <is>
          <t>Аппаратчик-гидрометаллург / Бункеровщик</t>
        </is>
      </c>
      <c r="C906" s="45" t="inlineStr">
        <is>
          <t>СИЗ</t>
        </is>
      </c>
      <c r="D906" s="170" t="inlineStr">
        <is>
          <t>раз в 3 года</t>
        </is>
      </c>
      <c r="E906" s="171" t="n">
        <v>1</v>
      </c>
      <c r="F906" s="171" t="n">
        <v>2</v>
      </c>
      <c r="G906" s="171" t="n">
        <v>1</v>
      </c>
      <c r="H906" s="45" t="inlineStr">
        <is>
          <t>25.10.2024; 01.04.2025</t>
        </is>
      </c>
      <c r="I906" s="170" t="inlineStr">
        <is>
          <t>25.10.2024</t>
        </is>
      </c>
    </row>
    <row r="907" ht="32" customHeight="1">
      <c r="A907" s="45" t="inlineStr">
        <is>
          <t>работник 245</t>
        </is>
      </c>
      <c r="B907" s="45" t="inlineStr">
        <is>
          <t>Промывальщик геологических проб / Растворщик реагентов</t>
        </is>
      </c>
      <c r="C907" s="45" t="inlineStr">
        <is>
          <t>СИЗ</t>
        </is>
      </c>
      <c r="D907" s="170" t="inlineStr">
        <is>
          <t>раз в 3 года</t>
        </is>
      </c>
      <c r="E907" s="171" t="n">
        <v>1</v>
      </c>
      <c r="F907" s="171" t="n">
        <v>2</v>
      </c>
      <c r="G907" s="171" t="n">
        <v>1</v>
      </c>
      <c r="H907" s="45" t="inlineStr">
        <is>
          <t>01.02.2024; 23.05.2026</t>
        </is>
      </c>
      <c r="I907" s="170" t="inlineStr">
        <is>
          <t>01.02.2024</t>
        </is>
      </c>
    </row>
    <row r="908" ht="20" customHeight="1">
      <c r="A908" s="45" t="inlineStr">
        <is>
          <t>работник 493</t>
        </is>
      </c>
      <c r="B908" s="45" t="inlineStr">
        <is>
          <t>Машинист погрузочно-доставочной машины</t>
        </is>
      </c>
      <c r="C908" s="45" t="inlineStr">
        <is>
          <t>СИЗ</t>
        </is>
      </c>
      <c r="D908" s="170" t="inlineStr">
        <is>
          <t>раз в 3 года</t>
        </is>
      </c>
      <c r="E908" s="171" t="n">
        <v>1</v>
      </c>
      <c r="F908" s="171" t="n">
        <v>2</v>
      </c>
      <c r="G908" s="171" t="n">
        <v>1</v>
      </c>
      <c r="H908" s="45" t="inlineStr">
        <is>
          <t>12.11.2024; 15.08.2026</t>
        </is>
      </c>
      <c r="I908" s="170" t="inlineStr">
        <is>
          <t>12.11.2024</t>
        </is>
      </c>
    </row>
    <row r="909" ht="32" customHeight="1">
      <c r="A909" s="45" t="inlineStr">
        <is>
          <t>работник 673</t>
        </is>
      </c>
      <c r="B909" s="45" t="inlineStr">
        <is>
          <t>Слесарь-ремонтник (по ремонту обогатительного оборудования)</t>
        </is>
      </c>
      <c r="C909" s="45" t="inlineStr">
        <is>
          <t>СИЗ</t>
        </is>
      </c>
      <c r="D909" s="170" t="inlineStr">
        <is>
          <t>раз в 3 года</t>
        </is>
      </c>
      <c r="E909" s="171" t="n">
        <v>1</v>
      </c>
      <c r="F909" s="171" t="n">
        <v>2</v>
      </c>
      <c r="G909" s="171" t="n">
        <v>1</v>
      </c>
      <c r="H909" s="45" t="inlineStr">
        <is>
          <t>06.04.2026; 09.09.2026</t>
        </is>
      </c>
      <c r="I909" s="170" t="inlineStr">
        <is>
          <t>06.04.2026</t>
        </is>
      </c>
    </row>
    <row r="910" ht="20" customHeight="1">
      <c r="A910" s="45" t="inlineStr">
        <is>
          <t>работник 585</t>
        </is>
      </c>
      <c r="B910" s="45" t="inlineStr">
        <is>
          <t>Аппаратчик-гидрометаллург / Фильтровальщик</t>
        </is>
      </c>
      <c r="C910" s="45" t="inlineStr">
        <is>
          <t>СИЗ</t>
        </is>
      </c>
      <c r="D910" s="170" t="inlineStr">
        <is>
          <t>раз в 3 года</t>
        </is>
      </c>
      <c r="E910" s="171" t="n">
        <v>1</v>
      </c>
      <c r="F910" s="171" t="n">
        <v>2</v>
      </c>
      <c r="G910" s="171" t="n">
        <v>1</v>
      </c>
      <c r="H910" s="45" t="inlineStr">
        <is>
          <t>13.09.2025; 29.07.2026</t>
        </is>
      </c>
      <c r="I910" s="170" t="inlineStr">
        <is>
          <t>13.09.2025</t>
        </is>
      </c>
    </row>
    <row r="911" ht="20" customHeight="1">
      <c r="A911" s="45" t="inlineStr">
        <is>
          <t>работник 375</t>
        </is>
      </c>
      <c r="B911" s="45" t="inlineStr">
        <is>
          <t>Крепильщик</t>
        </is>
      </c>
      <c r="C911" s="45" t="inlineStr">
        <is>
          <t>СИЗ</t>
        </is>
      </c>
      <c r="D911" s="170" t="inlineStr">
        <is>
          <t>раз в 3 года</t>
        </is>
      </c>
      <c r="E911" s="171" t="n">
        <v>1</v>
      </c>
      <c r="F911" s="171" t="n">
        <v>2</v>
      </c>
      <c r="G911" s="171" t="n">
        <v>1</v>
      </c>
      <c r="H911" s="45" t="inlineStr">
        <is>
          <t>19.07.2024; 24.07.2026</t>
        </is>
      </c>
      <c r="I911" s="170" t="inlineStr">
        <is>
          <t>19.07.2024</t>
        </is>
      </c>
    </row>
    <row r="912" ht="20" customHeight="1">
      <c r="A912" s="45" t="inlineStr">
        <is>
          <t>работник 389</t>
        </is>
      </c>
      <c r="B912" s="45" t="inlineStr">
        <is>
          <t>Контролер продукции обогащения / Пробоотборщик</t>
        </is>
      </c>
      <c r="C912" s="45" t="inlineStr">
        <is>
          <t>СИЗ</t>
        </is>
      </c>
      <c r="D912" s="170" t="inlineStr">
        <is>
          <t>раз в 3 года</t>
        </is>
      </c>
      <c r="E912" s="171" t="n">
        <v>1</v>
      </c>
      <c r="F912" s="171" t="n">
        <v>2</v>
      </c>
      <c r="G912" s="171" t="n">
        <v>1</v>
      </c>
      <c r="H912" s="45" t="inlineStr">
        <is>
          <t>12.08.2024; 02.08.2026</t>
        </is>
      </c>
      <c r="I912" s="170" t="inlineStr">
        <is>
          <t>12.08.2024</t>
        </is>
      </c>
    </row>
    <row r="913" ht="32" customHeight="1">
      <c r="A913" s="45" t="inlineStr">
        <is>
          <t>работник 596</t>
        </is>
      </c>
      <c r="B913" s="45" t="inlineStr">
        <is>
          <t>Слесарь-ремонтник (по ремонту самоходной техники)</t>
        </is>
      </c>
      <c r="C913" s="45" t="inlineStr">
        <is>
          <t>СИЗ</t>
        </is>
      </c>
      <c r="D913" s="170" t="inlineStr">
        <is>
          <t>раз в 3 года</t>
        </is>
      </c>
      <c r="E913" s="171" t="n">
        <v>1</v>
      </c>
      <c r="F913" s="171" t="n">
        <v>2</v>
      </c>
      <c r="G913" s="171" t="n">
        <v>1</v>
      </c>
      <c r="H913" s="45" t="inlineStr">
        <is>
          <t>10.08.2025; 25.07.2026</t>
        </is>
      </c>
      <c r="I913" s="170" t="inlineStr">
        <is>
          <t>10.08.2025</t>
        </is>
      </c>
    </row>
    <row r="914" ht="20" customHeight="1">
      <c r="A914" s="45" t="inlineStr">
        <is>
          <t>работник 812</t>
        </is>
      </c>
      <c r="B914" s="45" t="inlineStr">
        <is>
          <t>Дробильщик</t>
        </is>
      </c>
      <c r="C914" s="45" t="inlineStr">
        <is>
          <t>СИЗ</t>
        </is>
      </c>
      <c r="D914" s="170" t="inlineStr">
        <is>
          <t>раз в 3 года</t>
        </is>
      </c>
      <c r="E914" s="171" t="n">
        <v>1</v>
      </c>
      <c r="F914" s="171" t="n">
        <v>2</v>
      </c>
      <c r="G914" s="171" t="n">
        <v>1</v>
      </c>
      <c r="H914" s="45" t="inlineStr">
        <is>
          <t>01.07.2026; 29.07.2026</t>
        </is>
      </c>
      <c r="I914" s="170" t="inlineStr">
        <is>
          <t>01.07.2026</t>
        </is>
      </c>
    </row>
    <row r="915" ht="20" customHeight="1">
      <c r="A915" s="45" t="inlineStr">
        <is>
          <t>работник 290</t>
        </is>
      </c>
      <c r="B915" s="45" t="inlineStr">
        <is>
          <t>Водитель погрузчика</t>
        </is>
      </c>
      <c r="C915" s="45" t="inlineStr">
        <is>
          <t>СИЗ</t>
        </is>
      </c>
      <c r="D915" s="170" t="inlineStr">
        <is>
          <t>раз в 3 года</t>
        </is>
      </c>
      <c r="E915" s="171" t="n">
        <v>1</v>
      </c>
      <c r="F915" s="171" t="n">
        <v>2</v>
      </c>
      <c r="G915" s="171" t="n">
        <v>1</v>
      </c>
      <c r="H915" s="45" t="inlineStr">
        <is>
          <t>23.02.2024; 18.08.2026</t>
        </is>
      </c>
      <c r="I915" s="170" t="inlineStr">
        <is>
          <t>23.02.2024</t>
        </is>
      </c>
    </row>
    <row r="916" ht="20" customHeight="1">
      <c r="A916" s="45" t="inlineStr">
        <is>
          <t>работник 772</t>
        </is>
      </c>
      <c r="B916" s="45" t="inlineStr">
        <is>
          <t>Машинист погрузочно-доставочной машины</t>
        </is>
      </c>
      <c r="C916" s="45" t="inlineStr">
        <is>
          <t>СИЗ</t>
        </is>
      </c>
      <c r="D916" s="170" t="inlineStr">
        <is>
          <t>раз в 3 года</t>
        </is>
      </c>
      <c r="E916" s="171" t="n">
        <v>1</v>
      </c>
      <c r="F916" s="171" t="n">
        <v>2</v>
      </c>
      <c r="G916" s="171" t="n">
        <v>1</v>
      </c>
      <c r="H916" s="45" t="inlineStr">
        <is>
          <t>04.06.2026; 23.07.2026</t>
        </is>
      </c>
      <c r="I916" s="170" t="inlineStr">
        <is>
          <t>04.06.2026</t>
        </is>
      </c>
    </row>
    <row r="917" ht="32" customHeight="1">
      <c r="A917" s="45" t="inlineStr">
        <is>
          <t>работник 65</t>
        </is>
      </c>
      <c r="B917" s="45" t="inlineStr">
        <is>
          <t>Помощник машиниста самоходной буровой установки / Электрослесарь (слесарь) / Электрослесарь (слесарь) дежурный и по ремонту оборудования подземного горного участка</t>
        </is>
      </c>
      <c r="C917" s="45" t="inlineStr">
        <is>
          <t>СИЗ</t>
        </is>
      </c>
      <c r="D917" s="170" t="inlineStr">
        <is>
          <t>раз в 3 года</t>
        </is>
      </c>
      <c r="E917" s="171" t="n">
        <v>2</v>
      </c>
      <c r="F917" s="171" t="n">
        <v>3</v>
      </c>
      <c r="G917" s="171" t="n">
        <v>1</v>
      </c>
      <c r="H917" s="45" t="inlineStr">
        <is>
          <t>23.11.2023; 05.03.2024; 19.07.2024</t>
        </is>
      </c>
      <c r="I917" s="170" t="inlineStr">
        <is>
          <t>23.11.2023</t>
        </is>
      </c>
    </row>
    <row r="918" ht="20" customHeight="1">
      <c r="A918" s="45" t="inlineStr">
        <is>
          <t>работник 674</t>
        </is>
      </c>
      <c r="B918" s="45" t="inlineStr">
        <is>
          <t>Растворщик реагентов</t>
        </is>
      </c>
      <c r="C918" s="45" t="inlineStr">
        <is>
          <t>СИЗ</t>
        </is>
      </c>
      <c r="D918" s="170" t="inlineStr">
        <is>
          <t>раз в 3 года</t>
        </is>
      </c>
      <c r="E918" s="171" t="n">
        <v>1</v>
      </c>
      <c r="F918" s="171" t="n">
        <v>2</v>
      </c>
      <c r="G918" s="171" t="n">
        <v>1</v>
      </c>
      <c r="H918" s="45" t="inlineStr">
        <is>
          <t>06.04.2026; 29.07.2026</t>
        </is>
      </c>
      <c r="I918" s="170" t="inlineStr">
        <is>
          <t>06.04.2026</t>
        </is>
      </c>
    </row>
    <row r="919" ht="32" customHeight="1">
      <c r="A919" s="45" t="inlineStr">
        <is>
          <t>работник 764</t>
        </is>
      </c>
      <c r="B919" s="45" t="inlineStr">
        <is>
          <t>Машинист погрузочно-доставочной машины (занятый на транспортировании горной массы в технологическом процессе)</t>
        </is>
      </c>
      <c r="C919" s="45" t="inlineStr">
        <is>
          <t>СИЗ</t>
        </is>
      </c>
      <c r="D919" s="170" t="inlineStr">
        <is>
          <t>раз в 3 года</t>
        </is>
      </c>
      <c r="E919" s="171" t="n">
        <v>1</v>
      </c>
      <c r="F919" s="171" t="n">
        <v>2</v>
      </c>
      <c r="G919" s="171" t="n">
        <v>1</v>
      </c>
      <c r="H919" s="45" t="inlineStr">
        <is>
          <t>04.06.2026; 23.07.2026</t>
        </is>
      </c>
      <c r="I919" s="170" t="inlineStr">
        <is>
          <t>04.06.2026</t>
        </is>
      </c>
    </row>
    <row r="920" ht="20" customHeight="1">
      <c r="A920" s="45" t="inlineStr">
        <is>
          <t>работник 366</t>
        </is>
      </c>
      <c r="B920" s="45" t="inlineStr">
        <is>
          <t>Ламповщик</t>
        </is>
      </c>
      <c r="C920" s="45" t="inlineStr">
        <is>
          <t>СИЗ</t>
        </is>
      </c>
      <c r="D920" s="170" t="inlineStr">
        <is>
          <t>раз в 3 года</t>
        </is>
      </c>
      <c r="E920" s="171" t="n">
        <v>1</v>
      </c>
      <c r="F920" s="171" t="n">
        <v>2</v>
      </c>
      <c r="G920" s="171" t="n">
        <v>1</v>
      </c>
      <c r="H920" s="45" t="inlineStr">
        <is>
          <t>08.06.2024; 28.07.2026</t>
        </is>
      </c>
      <c r="I920" s="170" t="inlineStr">
        <is>
          <t>08.06.2024</t>
        </is>
      </c>
    </row>
    <row r="921" ht="32" customHeight="1">
      <c r="A921" s="45" t="inlineStr">
        <is>
          <t>работник 651</t>
        </is>
      </c>
      <c r="B921" s="45" t="inlineStr">
        <is>
          <t>Машинист погрузочно-доставочной машины / Машинист самоходной буровой установки (Проходка)</t>
        </is>
      </c>
      <c r="C921" s="45" t="inlineStr">
        <is>
          <t>СИЗ</t>
        </is>
      </c>
      <c r="D921" s="170" t="inlineStr">
        <is>
          <t>раз в 3 года</t>
        </is>
      </c>
      <c r="E921" s="171" t="n">
        <v>1</v>
      </c>
      <c r="F921" s="171" t="n">
        <v>2</v>
      </c>
      <c r="G921" s="171" t="n">
        <v>1</v>
      </c>
      <c r="H921" s="45" t="inlineStr">
        <is>
          <t>18.02.2026; 15.08.2026</t>
        </is>
      </c>
      <c r="I921" s="170" t="inlineStr">
        <is>
          <t>18.02.2026</t>
        </is>
      </c>
    </row>
    <row r="922" ht="32" customHeight="1">
      <c r="A922" s="45" t="inlineStr">
        <is>
          <t>работник 765</t>
        </is>
      </c>
      <c r="B922" s="45" t="inlineStr">
        <is>
          <t>Машинист погрузочно-доставочной машины (занятый на транспортировании горной массы в технологическом процессе)</t>
        </is>
      </c>
      <c r="C922" s="45" t="inlineStr">
        <is>
          <t>СИЗ</t>
        </is>
      </c>
      <c r="D922" s="170" t="inlineStr">
        <is>
          <t>раз в 3 года</t>
        </is>
      </c>
      <c r="E922" s="171" t="n">
        <v>1</v>
      </c>
      <c r="F922" s="171" t="n">
        <v>2</v>
      </c>
      <c r="G922" s="171" t="n">
        <v>1</v>
      </c>
      <c r="H922" s="45" t="inlineStr">
        <is>
          <t>04.06.2026; 23.07.2026</t>
        </is>
      </c>
      <c r="I922" s="170" t="inlineStr">
        <is>
          <t>04.06.2026</t>
        </is>
      </c>
    </row>
    <row r="923" ht="32" customHeight="1">
      <c r="A923" s="45" t="inlineStr">
        <is>
          <t>работник 532</t>
        </is>
      </c>
      <c r="B923" s="45" t="inlineStr">
        <is>
          <t>Машинист самоходной буровой установки / Машинист самоходной буровой установки (Очистное)</t>
        </is>
      </c>
      <c r="C923" s="45" t="inlineStr">
        <is>
          <t>СИЗ</t>
        </is>
      </c>
      <c r="D923" s="170" t="inlineStr">
        <is>
          <t>раз в 3 года</t>
        </is>
      </c>
      <c r="E923" s="171" t="n">
        <v>1</v>
      </c>
      <c r="F923" s="171" t="n">
        <v>2</v>
      </c>
      <c r="G923" s="171" t="n">
        <v>1</v>
      </c>
      <c r="H923" s="45" t="inlineStr">
        <is>
          <t>06.02.2025; 22.07.2026</t>
        </is>
      </c>
      <c r="I923" s="170" t="inlineStr">
        <is>
          <t>06.02.2025</t>
        </is>
      </c>
    </row>
    <row r="924" ht="20" customHeight="1">
      <c r="A924" s="45" t="inlineStr">
        <is>
          <t>работник 683</t>
        </is>
      </c>
      <c r="B924" s="45" t="inlineStr">
        <is>
          <t>Оператор дизельных котлов</t>
        </is>
      </c>
      <c r="C924" s="45" t="inlineStr">
        <is>
          <t>СИЗ</t>
        </is>
      </c>
      <c r="D924" s="170" t="inlineStr">
        <is>
          <t>раз в 3 года</t>
        </is>
      </c>
      <c r="E924" s="171" t="n">
        <v>1</v>
      </c>
      <c r="F924" s="171" t="n">
        <v>2</v>
      </c>
      <c r="G924" s="171" t="n">
        <v>1</v>
      </c>
      <c r="H924" s="45" t="inlineStr">
        <is>
          <t>20.04.2026; 23.08.2026</t>
        </is>
      </c>
      <c r="I924" s="170" t="inlineStr">
        <is>
          <t>20.04.2026</t>
        </is>
      </c>
    </row>
    <row r="925" ht="32" customHeight="1">
      <c r="A925" s="45" t="inlineStr">
        <is>
          <t>работник 176</t>
        </is>
      </c>
      <c r="B925" s="45" t="inlineStr">
        <is>
          <t>Машинист самоходной буровой установки / Проходчик (с исполнением обязанностей взрывника)</t>
        </is>
      </c>
      <c r="C925" s="45" t="inlineStr">
        <is>
          <t>СИЗ</t>
        </is>
      </c>
      <c r="D925" s="170" t="inlineStr">
        <is>
          <t>раз в 3 года</t>
        </is>
      </c>
      <c r="E925" s="171" t="n">
        <v>1</v>
      </c>
      <c r="F925" s="171" t="n">
        <v>2</v>
      </c>
      <c r="G925" s="171" t="n">
        <v>1</v>
      </c>
      <c r="H925" s="45" t="inlineStr">
        <is>
          <t>19.01.2024; 12.11.2024</t>
        </is>
      </c>
      <c r="I925" s="170" t="inlineStr">
        <is>
          <t>19.01.2024</t>
        </is>
      </c>
    </row>
    <row r="926" ht="20" customHeight="1">
      <c r="A926" s="45" t="inlineStr">
        <is>
          <t>работник 827</t>
        </is>
      </c>
      <c r="B926" s="45" t="inlineStr">
        <is>
          <t>Фильтровальщик</t>
        </is>
      </c>
      <c r="C926" s="45" t="inlineStr">
        <is>
          <t>СИЗ</t>
        </is>
      </c>
      <c r="D926" s="170" t="inlineStr">
        <is>
          <t>раз в 3 года</t>
        </is>
      </c>
      <c r="E926" s="171" t="n">
        <v>1</v>
      </c>
      <c r="F926" s="171" t="n">
        <v>2</v>
      </c>
      <c r="G926" s="171" t="n">
        <v>1</v>
      </c>
      <c r="H926" s="45" t="inlineStr">
        <is>
          <t>01.07.2026; 29.07.2026</t>
        </is>
      </c>
      <c r="I926" s="170" t="inlineStr">
        <is>
          <t>01.07.2026</t>
        </is>
      </c>
    </row>
    <row r="927" ht="20" customHeight="1">
      <c r="A927" s="45" t="inlineStr">
        <is>
          <t>работник 236</t>
        </is>
      </c>
      <c r="B927" s="45" t="inlineStr">
        <is>
          <t>Дробильщик</t>
        </is>
      </c>
      <c r="C927" s="45" t="inlineStr">
        <is>
          <t>СИЗ</t>
        </is>
      </c>
      <c r="D927" s="170" t="inlineStr">
        <is>
          <t>раз в 3 года</t>
        </is>
      </c>
      <c r="E927" s="171" t="n">
        <v>1</v>
      </c>
      <c r="F927" s="171" t="n">
        <v>2</v>
      </c>
      <c r="G927" s="171" t="n">
        <v>1</v>
      </c>
      <c r="H927" s="45" t="inlineStr">
        <is>
          <t>23.02.2024; 08.02.2025</t>
        </is>
      </c>
      <c r="I927" s="170" t="inlineStr">
        <is>
          <t>23.02.2024</t>
        </is>
      </c>
    </row>
    <row r="928" ht="20" customHeight="1">
      <c r="A928" s="45" t="inlineStr">
        <is>
          <t>работник 37</t>
        </is>
      </c>
      <c r="B928" s="45" t="inlineStr">
        <is>
          <t>Дробильщик</t>
        </is>
      </c>
      <c r="C928" s="45" t="inlineStr">
        <is>
          <t>СИЗ</t>
        </is>
      </c>
      <c r="D928" s="170" t="inlineStr">
        <is>
          <t>раз в 3 года</t>
        </is>
      </c>
      <c r="E928" s="171" t="n">
        <v>2</v>
      </c>
      <c r="F928" s="171" t="n">
        <v>3</v>
      </c>
      <c r="G928" s="171" t="n">
        <v>1</v>
      </c>
      <c r="H928" s="45" t="inlineStr">
        <is>
          <t>24.11.2023; 15.02.2026; 02.08.2026</t>
        </is>
      </c>
      <c r="I928" s="170" t="inlineStr">
        <is>
          <t>24.11.2023</t>
        </is>
      </c>
    </row>
    <row r="929" ht="32" customHeight="1">
      <c r="A929" s="45" t="inlineStr">
        <is>
          <t>работник 560</t>
        </is>
      </c>
      <c r="B929" s="45" t="inlineStr">
        <is>
          <t>Электрослесарь (слесарь) дежурный и по ремонту оборудования / Электрослесарь (слесарь) дежурный и по ремонту оборудования подземного горного участка</t>
        </is>
      </c>
      <c r="C929" s="45" t="inlineStr">
        <is>
          <t>СИЗ</t>
        </is>
      </c>
      <c r="D929" s="170" t="inlineStr">
        <is>
          <t>раз в 3 года</t>
        </is>
      </c>
      <c r="E929" s="171" t="n">
        <v>1</v>
      </c>
      <c r="F929" s="171" t="n">
        <v>2</v>
      </c>
      <c r="G929" s="171" t="n">
        <v>1</v>
      </c>
      <c r="H929" s="45" t="inlineStr">
        <is>
          <t>21.05.2025; 28.07.2026</t>
        </is>
      </c>
      <c r="I929" s="170" t="inlineStr">
        <is>
          <t>21.05.2025</t>
        </is>
      </c>
    </row>
    <row r="930" ht="32" customHeight="1">
      <c r="A930" s="45" t="inlineStr">
        <is>
          <t>работник 571</t>
        </is>
      </c>
      <c r="B930" s="45" t="inlineStr">
        <is>
          <t>Слесарь-ремонтник (по ремонту горно-шахтного оборудования)</t>
        </is>
      </c>
      <c r="C930" s="45" t="inlineStr">
        <is>
          <t>СИЗ</t>
        </is>
      </c>
      <c r="D930" s="170" t="inlineStr">
        <is>
          <t>раз в 3 года</t>
        </is>
      </c>
      <c r="E930" s="171" t="n">
        <v>1</v>
      </c>
      <c r="F930" s="171" t="n">
        <v>2</v>
      </c>
      <c r="G930" s="171" t="n">
        <v>1</v>
      </c>
      <c r="H930" s="45" t="inlineStr">
        <is>
          <t>11.06.2025; 28.07.2026</t>
        </is>
      </c>
      <c r="I930" s="170" t="inlineStr">
        <is>
          <t>11.06.2025</t>
        </is>
      </c>
    </row>
    <row r="931" ht="20" customHeight="1">
      <c r="A931" s="45" t="inlineStr">
        <is>
          <t>работник 540</t>
        </is>
      </c>
      <c r="B931" s="45" t="inlineStr">
        <is>
          <t>Бункеровщик</t>
        </is>
      </c>
      <c r="C931" s="45" t="inlineStr">
        <is>
          <t>СИЗ</t>
        </is>
      </c>
      <c r="D931" s="170" t="inlineStr">
        <is>
          <t>раз в 3 года</t>
        </is>
      </c>
      <c r="E931" s="171" t="n">
        <v>1</v>
      </c>
      <c r="F931" s="171" t="n">
        <v>2</v>
      </c>
      <c r="G931" s="171" t="n">
        <v>1</v>
      </c>
      <c r="H931" s="45" t="inlineStr">
        <is>
          <t>21.04.2025; 29.07.2026</t>
        </is>
      </c>
      <c r="I931" s="170" t="inlineStr">
        <is>
          <t>21.04.2025</t>
        </is>
      </c>
    </row>
    <row r="932" ht="32" customHeight="1">
      <c r="A932" s="45" t="inlineStr">
        <is>
          <t>работник 494</t>
        </is>
      </c>
      <c r="B932" s="45" t="inlineStr">
        <is>
          <t>Машинист самоходной буровой установки / Машинист самоходной буровой установки (Проходка)</t>
        </is>
      </c>
      <c r="C932" s="45" t="inlineStr">
        <is>
          <t>СИЗ</t>
        </is>
      </c>
      <c r="D932" s="170" t="inlineStr">
        <is>
          <t>раз в 3 года</t>
        </is>
      </c>
      <c r="E932" s="171" t="n">
        <v>1</v>
      </c>
      <c r="F932" s="171" t="n">
        <v>2</v>
      </c>
      <c r="G932" s="171" t="n">
        <v>1</v>
      </c>
      <c r="H932" s="45" t="inlineStr">
        <is>
          <t>12.11.2024; 25.07.2026</t>
        </is>
      </c>
      <c r="I932" s="170" t="inlineStr">
        <is>
          <t>12.11.2024</t>
        </is>
      </c>
    </row>
    <row r="933" ht="20" customHeight="1">
      <c r="A933" s="45" t="inlineStr">
        <is>
          <t>работник 630</t>
        </is>
      </c>
      <c r="B933" s="45" t="inlineStr">
        <is>
          <t>Горнорабочий на маркшейдерских работах</t>
        </is>
      </c>
      <c r="C933" s="45" t="inlineStr">
        <is>
          <t>СИЗ</t>
        </is>
      </c>
      <c r="D933" s="170" t="inlineStr">
        <is>
          <t>раз в 3 года</t>
        </is>
      </c>
      <c r="E933" s="171" t="n">
        <v>1</v>
      </c>
      <c r="F933" s="171" t="n">
        <v>2</v>
      </c>
      <c r="G933" s="171" t="n">
        <v>1</v>
      </c>
      <c r="H933" s="45" t="inlineStr">
        <is>
          <t>09.02.2026; 25.08.2026</t>
        </is>
      </c>
      <c r="I933" s="170" t="inlineStr">
        <is>
          <t>09.02.2026</t>
        </is>
      </c>
    </row>
    <row r="934" ht="32" customHeight="1">
      <c r="A934" s="45" t="inlineStr">
        <is>
          <t>работник 597</t>
        </is>
      </c>
      <c r="B934" s="45" t="inlineStr">
        <is>
          <t>Слесарь-ремонтник (по ремонту горно-шахтного оборудования) / Слесарь-ремонтник (по ремонту самоходной техники)</t>
        </is>
      </c>
      <c r="C934" s="45" t="inlineStr">
        <is>
          <t>СИЗ</t>
        </is>
      </c>
      <c r="D934" s="170" t="inlineStr">
        <is>
          <t>раз в 3 года</t>
        </is>
      </c>
      <c r="E934" s="171" t="n">
        <v>1</v>
      </c>
      <c r="F934" s="171" t="n">
        <v>2</v>
      </c>
      <c r="G934" s="171" t="n">
        <v>1</v>
      </c>
      <c r="H934" s="45" t="inlineStr">
        <is>
          <t>10.08.2025; 25.07.2026</t>
        </is>
      </c>
      <c r="I934" s="170" t="inlineStr">
        <is>
          <t>10.08.2025</t>
        </is>
      </c>
    </row>
    <row r="935" ht="20" customHeight="1">
      <c r="A935" s="45" t="inlineStr">
        <is>
          <t>работник 359</t>
        </is>
      </c>
      <c r="B935" s="45" t="inlineStr">
        <is>
          <t>Дробильщик</t>
        </is>
      </c>
      <c r="C935" s="45" t="inlineStr">
        <is>
          <t>СИЗ</t>
        </is>
      </c>
      <c r="D935" s="170" t="inlineStr">
        <is>
          <t>раз в 3 года</t>
        </is>
      </c>
      <c r="E935" s="171" t="n">
        <v>1</v>
      </c>
      <c r="F935" s="171" t="n">
        <v>2</v>
      </c>
      <c r="G935" s="171" t="n">
        <v>1</v>
      </c>
      <c r="H935" s="45" t="inlineStr">
        <is>
          <t>29.06.2024; 13.07.2025</t>
        </is>
      </c>
      <c r="I935" s="170" t="inlineStr">
        <is>
          <t>29.06.2024</t>
        </is>
      </c>
    </row>
    <row r="936" ht="20" customHeight="1">
      <c r="A936" s="45" t="inlineStr">
        <is>
          <t>работник 614</t>
        </is>
      </c>
      <c r="B936" s="45" t="inlineStr">
        <is>
          <t>Фильтровальщик</t>
        </is>
      </c>
      <c r="C936" s="45" t="inlineStr">
        <is>
          <t>СИЗ</t>
        </is>
      </c>
      <c r="D936" s="170" t="inlineStr">
        <is>
          <t>раз в 3 года</t>
        </is>
      </c>
      <c r="E936" s="171" t="n">
        <v>1</v>
      </c>
      <c r="F936" s="171" t="n">
        <v>2</v>
      </c>
      <c r="G936" s="171" t="n">
        <v>1</v>
      </c>
      <c r="H936" s="45" t="inlineStr">
        <is>
          <t>01.11.2025; 29.07.2026</t>
        </is>
      </c>
      <c r="I936" s="170" t="inlineStr">
        <is>
          <t>01.11.2025</t>
        </is>
      </c>
    </row>
    <row r="937" ht="20" customHeight="1">
      <c r="A937" s="45" t="inlineStr">
        <is>
          <t>работник 294</t>
        </is>
      </c>
      <c r="B937" s="45" t="inlineStr">
        <is>
          <t>Машинист экскаватора</t>
        </is>
      </c>
      <c r="C937" s="45" t="inlineStr">
        <is>
          <t>СИЗ</t>
        </is>
      </c>
      <c r="D937" s="170" t="inlineStr">
        <is>
          <t>раз в 3 года</t>
        </is>
      </c>
      <c r="E937" s="171" t="n">
        <v>1</v>
      </c>
      <c r="F937" s="171" t="n">
        <v>2</v>
      </c>
      <c r="G937" s="171" t="n">
        <v>1</v>
      </c>
      <c r="H937" s="45" t="inlineStr">
        <is>
          <t>23.02.2024; 17.08.2026</t>
        </is>
      </c>
      <c r="I937" s="170" t="inlineStr">
        <is>
          <t>23.02.2024</t>
        </is>
      </c>
    </row>
    <row r="938" ht="32" customHeight="1">
      <c r="A938" s="45" t="inlineStr">
        <is>
          <t>работник 363</t>
        </is>
      </c>
      <c r="B938" s="45" t="inlineStr">
        <is>
          <t>Подсобный рабочий / Уборщик производственных и служебных помещений</t>
        </is>
      </c>
      <c r="C938" s="45" t="inlineStr">
        <is>
          <t>СИЗ</t>
        </is>
      </c>
      <c r="D938" s="170" t="inlineStr">
        <is>
          <t>раз в 3 года</t>
        </is>
      </c>
      <c r="E938" s="171" t="n">
        <v>1</v>
      </c>
      <c r="F938" s="171" t="n">
        <v>2</v>
      </c>
      <c r="G938" s="171" t="n">
        <v>1</v>
      </c>
      <c r="H938" s="45" t="inlineStr">
        <is>
          <t>30.06.2024; 15.08.2026</t>
        </is>
      </c>
      <c r="I938" s="170" t="inlineStr">
        <is>
          <t>30.06.2024</t>
        </is>
      </c>
    </row>
    <row r="939" ht="32" customHeight="1">
      <c r="A939" s="45" t="inlineStr">
        <is>
          <t>работник 495</t>
        </is>
      </c>
      <c r="B939" s="45" t="inlineStr">
        <is>
          <t>Машинист погрузочно-доставочной машины (занятый на транспортировании горной массы в технологическом процессе) / Машинист подземных самоходных машин</t>
        </is>
      </c>
      <c r="C939" s="45" t="inlineStr">
        <is>
          <t>СИЗ</t>
        </is>
      </c>
      <c r="D939" s="170" t="inlineStr">
        <is>
          <t>раз в 3 года</t>
        </is>
      </c>
      <c r="E939" s="171" t="n">
        <v>1</v>
      </c>
      <c r="F939" s="171" t="n">
        <v>2</v>
      </c>
      <c r="G939" s="171" t="n">
        <v>1</v>
      </c>
      <c r="H939" s="45" t="inlineStr">
        <is>
          <t>12.11.2024; 16.08.2026</t>
        </is>
      </c>
      <c r="I939" s="170" t="inlineStr">
        <is>
          <t>12.11.2024</t>
        </is>
      </c>
    </row>
    <row r="940" ht="20" customHeight="1">
      <c r="A940" s="45" t="inlineStr">
        <is>
          <t>работник 462</t>
        </is>
      </c>
      <c r="B940" s="45" t="inlineStr">
        <is>
          <t>Электрогазосварщик</t>
        </is>
      </c>
      <c r="C940" s="45" t="inlineStr">
        <is>
          <t>СИЗ</t>
        </is>
      </c>
      <c r="D940" s="170" t="inlineStr">
        <is>
          <t>раз в 3 года</t>
        </is>
      </c>
      <c r="E940" s="171" t="n">
        <v>1</v>
      </c>
      <c r="F940" s="171" t="n">
        <v>2</v>
      </c>
      <c r="G940" s="171" t="n">
        <v>1</v>
      </c>
      <c r="H940" s="45" t="inlineStr">
        <is>
          <t>04.11.2024; 18.08.2026</t>
        </is>
      </c>
      <c r="I940" s="170" t="inlineStr">
        <is>
          <t>04.11.2024</t>
        </is>
      </c>
    </row>
    <row r="941" ht="32" customHeight="1">
      <c r="A941" s="45" t="inlineStr">
        <is>
          <t>работник 66</t>
        </is>
      </c>
      <c r="B941" s="45" t="inlineStr">
        <is>
          <t>Электрослесарь (слесарь) / Электрослесарь (слесарь) дежурный и по ремонту оборудования подземного горного участка</t>
        </is>
      </c>
      <c r="C941" s="45" t="inlineStr">
        <is>
          <t>СИЗ</t>
        </is>
      </c>
      <c r="D941" s="170" t="inlineStr">
        <is>
          <t>раз в 3 года</t>
        </is>
      </c>
      <c r="E941" s="171" t="n">
        <v>2</v>
      </c>
      <c r="F941" s="171" t="n">
        <v>3</v>
      </c>
      <c r="G941" s="171" t="n">
        <v>1</v>
      </c>
      <c r="H941" s="45" t="inlineStr">
        <is>
          <t>23.11.2023; 05.03.2024; 18.08.2026</t>
        </is>
      </c>
      <c r="I941" s="170" t="inlineStr">
        <is>
          <t>23.11.2023</t>
        </is>
      </c>
    </row>
    <row r="942" ht="20" customHeight="1">
      <c r="A942" s="45" t="inlineStr">
        <is>
          <t>работник 370</t>
        </is>
      </c>
      <c r="B942" s="45" t="inlineStr">
        <is>
          <t>Водитель погрузчика / Машинист бульдозера</t>
        </is>
      </c>
      <c r="C942" s="45" t="inlineStr">
        <is>
          <t>СИЗ</t>
        </is>
      </c>
      <c r="D942" s="170" t="inlineStr">
        <is>
          <t>раз в 3 года</t>
        </is>
      </c>
      <c r="E942" s="171" t="n">
        <v>1</v>
      </c>
      <c r="F942" s="171" t="n">
        <v>2</v>
      </c>
      <c r="G942" s="171" t="n">
        <v>1</v>
      </c>
      <c r="H942" s="45" t="inlineStr">
        <is>
          <t>18.07.2024; 18.08.2026</t>
        </is>
      </c>
      <c r="I942" s="170" t="inlineStr">
        <is>
          <t>18.07.2024</t>
        </is>
      </c>
    </row>
    <row r="943" ht="20" customHeight="1">
      <c r="A943" s="45" t="inlineStr">
        <is>
          <t>работник 297</t>
        </is>
      </c>
      <c r="B943" s="45" t="inlineStr">
        <is>
          <t>Машинист крана автомобильного</t>
        </is>
      </c>
      <c r="C943" s="45" t="inlineStr">
        <is>
          <t>СИЗ</t>
        </is>
      </c>
      <c r="D943" s="170" t="inlineStr">
        <is>
          <t>раз в 3 года</t>
        </is>
      </c>
      <c r="E943" s="171" t="n">
        <v>1</v>
      </c>
      <c r="F943" s="171" t="n">
        <v>2</v>
      </c>
      <c r="G943" s="171" t="n">
        <v>1</v>
      </c>
      <c r="H943" s="45" t="inlineStr">
        <is>
          <t>23.02.2024; 19.08.2026</t>
        </is>
      </c>
      <c r="I943" s="170" t="inlineStr">
        <is>
          <t>23.02.2024</t>
        </is>
      </c>
    </row>
    <row r="944" ht="20" customHeight="1">
      <c r="A944" s="45" t="inlineStr">
        <is>
          <t>работник 518</t>
        </is>
      </c>
      <c r="B944" s="45" t="inlineStr">
        <is>
          <t>Водитель автомобиля (категория Д)</t>
        </is>
      </c>
      <c r="C944" s="45" t="inlineStr">
        <is>
          <t>СИЗ</t>
        </is>
      </c>
      <c r="D944" s="170" t="inlineStr">
        <is>
          <t>раз в 3 года</t>
        </is>
      </c>
      <c r="E944" s="171" t="n">
        <v>1</v>
      </c>
      <c r="F944" s="171" t="n">
        <v>2</v>
      </c>
      <c r="G944" s="171" t="n">
        <v>1</v>
      </c>
      <c r="H944" s="45" t="inlineStr">
        <is>
          <t>23.02.2025; 17.08.2026</t>
        </is>
      </c>
      <c r="I944" s="170" t="inlineStr">
        <is>
          <t>23.02.2025</t>
        </is>
      </c>
    </row>
    <row r="945" ht="32" customHeight="1">
      <c r="A945" s="45" t="inlineStr">
        <is>
          <t>работник 371</t>
        </is>
      </c>
      <c r="B945" s="45" t="inlineStr">
        <is>
          <t>Водитель автомобиля (занятый на транспортировании горной массы в технологическом процессе)</t>
        </is>
      </c>
      <c r="C945" s="45" t="inlineStr">
        <is>
          <t>СИЗ</t>
        </is>
      </c>
      <c r="D945" s="170" t="inlineStr">
        <is>
          <t>раз в 3 года</t>
        </is>
      </c>
      <c r="E945" s="171" t="n">
        <v>1</v>
      </c>
      <c r="F945" s="171" t="n">
        <v>2</v>
      </c>
      <c r="G945" s="171" t="n">
        <v>1</v>
      </c>
      <c r="H945" s="45" t="inlineStr">
        <is>
          <t>18.07.2024; 17.08.2026</t>
        </is>
      </c>
      <c r="I945" s="170" t="inlineStr">
        <is>
          <t>18.07.2024</t>
        </is>
      </c>
    </row>
    <row r="946" ht="32" customHeight="1">
      <c r="A946" s="45" t="inlineStr">
        <is>
          <t>работник 766</t>
        </is>
      </c>
      <c r="B946" s="45" t="inlineStr">
        <is>
          <t>Машинист погрузочно-доставочной машины (занятый на транспортировании горной массы в технологическом процессе)</t>
        </is>
      </c>
      <c r="C946" s="45" t="inlineStr">
        <is>
          <t>СИЗ</t>
        </is>
      </c>
      <c r="D946" s="170" t="inlineStr">
        <is>
          <t>раз в 3 года</t>
        </is>
      </c>
      <c r="E946" s="171" t="n">
        <v>1</v>
      </c>
      <c r="F946" s="171" t="n">
        <v>2</v>
      </c>
      <c r="G946" s="171" t="n">
        <v>1</v>
      </c>
      <c r="H946" s="45" t="inlineStr">
        <is>
          <t>04.06.2026; 23.07.2026</t>
        </is>
      </c>
      <c r="I946" s="170" t="inlineStr">
        <is>
          <t>04.06.2026</t>
        </is>
      </c>
    </row>
    <row r="947" ht="32" customHeight="1">
      <c r="A947" s="45" t="inlineStr">
        <is>
          <t>работник 823</t>
        </is>
      </c>
      <c r="B947" s="45" t="inlineStr">
        <is>
          <t>Слесарь по ремонту автомобилей / Слесарь по ремонту автомобилей и тяжелой техники</t>
        </is>
      </c>
      <c r="C947" s="45" t="inlineStr">
        <is>
          <t>СИЗ</t>
        </is>
      </c>
      <c r="D947" s="170" t="inlineStr">
        <is>
          <t>раз в 3 года</t>
        </is>
      </c>
      <c r="E947" s="171" t="n">
        <v>1</v>
      </c>
      <c r="F947" s="171" t="n">
        <v>2</v>
      </c>
      <c r="G947" s="171" t="n">
        <v>1</v>
      </c>
      <c r="H947" s="45" t="inlineStr">
        <is>
          <t>30.06.2026; 18.08.2026</t>
        </is>
      </c>
      <c r="I947" s="170" t="inlineStr">
        <is>
          <t>30.06.2026</t>
        </is>
      </c>
    </row>
    <row r="948" ht="32" customHeight="1">
      <c r="A948" s="45" t="inlineStr">
        <is>
          <t>работник 183</t>
        </is>
      </c>
      <c r="B948" s="45" t="inlineStr">
        <is>
          <t>Машинист экскаватора / Слесарь-ремонтник (по ремонту самоходной техники)</t>
        </is>
      </c>
      <c r="C948" s="45" t="inlineStr">
        <is>
          <t>СИЗ</t>
        </is>
      </c>
      <c r="D948" s="170" t="inlineStr">
        <is>
          <t>раз в 3 года</t>
        </is>
      </c>
      <c r="E948" s="171" t="n">
        <v>1</v>
      </c>
      <c r="F948" s="171" t="n">
        <v>2</v>
      </c>
      <c r="G948" s="171" t="n">
        <v>1</v>
      </c>
      <c r="H948" s="45" t="inlineStr">
        <is>
          <t>06.02.2024; 17.08.2026</t>
        </is>
      </c>
      <c r="I948" s="170" t="inlineStr">
        <is>
          <t>06.02.2024</t>
        </is>
      </c>
    </row>
    <row r="949" ht="32" customHeight="1">
      <c r="A949" s="45" t="inlineStr">
        <is>
          <t>работник 656</t>
        </is>
      </c>
      <c r="B949" s="45" t="inlineStr">
        <is>
          <t>Слесарь по ремонту автомобилей / Слесарь по ремонту автомобилей и тяжелой техники</t>
        </is>
      </c>
      <c r="C949" s="45" t="inlineStr">
        <is>
          <t>СИЗ</t>
        </is>
      </c>
      <c r="D949" s="170" t="inlineStr">
        <is>
          <t>раз в 3 года</t>
        </is>
      </c>
      <c r="E949" s="171" t="n">
        <v>1</v>
      </c>
      <c r="F949" s="171" t="n">
        <v>2</v>
      </c>
      <c r="G949" s="171" t="n">
        <v>1</v>
      </c>
      <c r="H949" s="45" t="inlineStr">
        <is>
          <t>07.03.2026; 18.08.2026</t>
        </is>
      </c>
      <c r="I949" s="170" t="inlineStr">
        <is>
          <t>07.03.2026</t>
        </is>
      </c>
    </row>
    <row r="950" ht="20" customHeight="1">
      <c r="A950" s="45" t="inlineStr">
        <is>
          <t>работник 234</t>
        </is>
      </c>
      <c r="B950" s="45" t="inlineStr">
        <is>
          <t>Лаборант пробирного анализа</t>
        </is>
      </c>
      <c r="C950" s="45" t="inlineStr">
        <is>
          <t>СИЗ</t>
        </is>
      </c>
      <c r="D950" s="170" t="inlineStr">
        <is>
          <t>раз в 3 года</t>
        </is>
      </c>
      <c r="E950" s="171" t="n">
        <v>1</v>
      </c>
      <c r="F950" s="171" t="n">
        <v>2</v>
      </c>
      <c r="G950" s="171" t="n">
        <v>1</v>
      </c>
      <c r="H950" s="45" t="inlineStr">
        <is>
          <t>23.02.2024; 15.02.2025</t>
        </is>
      </c>
      <c r="I950" s="170" t="inlineStr">
        <is>
          <t>23.02.2024</t>
        </is>
      </c>
    </row>
    <row r="951" ht="20" customHeight="1">
      <c r="A951" s="45" t="inlineStr">
        <is>
          <t>работник 552</t>
        </is>
      </c>
      <c r="B951" s="45" t="inlineStr">
        <is>
          <t>Проходчик (с исполнением обязанностей взрывника)</t>
        </is>
      </c>
      <c r="C951" s="45" t="inlineStr">
        <is>
          <t>СИЗ</t>
        </is>
      </c>
      <c r="D951" s="170" t="inlineStr">
        <is>
          <t>раз в 3 года</t>
        </is>
      </c>
      <c r="E951" s="171" t="n">
        <v>1</v>
      </c>
      <c r="F951" s="171" t="n">
        <v>2</v>
      </c>
      <c r="G951" s="171" t="n">
        <v>1</v>
      </c>
      <c r="H951" s="45" t="inlineStr">
        <is>
          <t>19.04.2025; 22.07.2026</t>
        </is>
      </c>
      <c r="I951" s="170" t="inlineStr">
        <is>
          <t>19.04.2025</t>
        </is>
      </c>
    </row>
    <row r="952" ht="20" customHeight="1">
      <c r="A952" s="45" t="inlineStr">
        <is>
          <t>работник 811</t>
        </is>
      </c>
      <c r="B952" s="45" t="inlineStr">
        <is>
          <t>Машинист конвейера</t>
        </is>
      </c>
      <c r="C952" s="45" t="inlineStr">
        <is>
          <t>СИЗ</t>
        </is>
      </c>
      <c r="D952" s="170" t="inlineStr">
        <is>
          <t>раз в 3 года</t>
        </is>
      </c>
      <c r="E952" s="171" t="n">
        <v>1</v>
      </c>
      <c r="F952" s="171" t="n">
        <v>2</v>
      </c>
      <c r="G952" s="171" t="n">
        <v>1</v>
      </c>
      <c r="H952" s="45" t="inlineStr">
        <is>
          <t>01.07.2026; 29.07.2026</t>
        </is>
      </c>
      <c r="I952" s="170" t="inlineStr">
        <is>
          <t>01.07.2026</t>
        </is>
      </c>
    </row>
    <row r="953" ht="20" customHeight="1">
      <c r="A953" s="45" t="inlineStr">
        <is>
          <t>работник 535</t>
        </is>
      </c>
      <c r="B953" s="45" t="inlineStr">
        <is>
          <t>Водитель автомобиля (категория Д)</t>
        </is>
      </c>
      <c r="C953" s="45" t="inlineStr">
        <is>
          <t>СИЗ</t>
        </is>
      </c>
      <c r="D953" s="170" t="inlineStr">
        <is>
          <t>раз в 3 года</t>
        </is>
      </c>
      <c r="E953" s="171" t="n">
        <v>1</v>
      </c>
      <c r="F953" s="171" t="n">
        <v>2</v>
      </c>
      <c r="G953" s="171" t="n">
        <v>1</v>
      </c>
      <c r="H953" s="45" t="inlineStr">
        <is>
          <t>18.03.2025; 17.08.2026</t>
        </is>
      </c>
      <c r="I953" s="170" t="inlineStr">
        <is>
          <t>18.03.2025</t>
        </is>
      </c>
    </row>
    <row r="954" ht="32" customHeight="1">
      <c r="A954" s="45" t="inlineStr">
        <is>
          <t>работник 177</t>
        </is>
      </c>
      <c r="B954" s="45" t="inlineStr">
        <is>
          <t>Слесарь-ремонтник (по ремонту горно-шахтного оборудования) / Слесарь-сантехник</t>
        </is>
      </c>
      <c r="C954" s="45" t="inlineStr">
        <is>
          <t>СИЗ</t>
        </is>
      </c>
      <c r="D954" s="170" t="inlineStr">
        <is>
          <t>раз в 3 года</t>
        </is>
      </c>
      <c r="E954" s="171" t="n">
        <v>1</v>
      </c>
      <c r="F954" s="171" t="n">
        <v>2</v>
      </c>
      <c r="G954" s="171" t="n">
        <v>1</v>
      </c>
      <c r="H954" s="45" t="inlineStr">
        <is>
          <t>19.01.2024; 18.05.2024</t>
        </is>
      </c>
      <c r="I954" s="170" t="inlineStr">
        <is>
          <t>19.01.2024</t>
        </is>
      </c>
    </row>
    <row r="955" ht="32" customHeight="1">
      <c r="A955" s="45" t="inlineStr">
        <is>
          <t>работник 178</t>
        </is>
      </c>
      <c r="B955" s="45" t="inlineStr">
        <is>
          <t>Машинист погрузочно-доставочной машины (занятый на транспортировании горной массы в технологическом процессе) / Машинист подземно-доставочной машины</t>
        </is>
      </c>
      <c r="C955" s="45" t="inlineStr">
        <is>
          <t>СИЗ</t>
        </is>
      </c>
      <c r="D955" s="170" t="inlineStr">
        <is>
          <t>раз в 3 года</t>
        </is>
      </c>
      <c r="E955" s="171" t="n">
        <v>1</v>
      </c>
      <c r="F955" s="171" t="n">
        <v>2</v>
      </c>
      <c r="G955" s="171" t="n">
        <v>1</v>
      </c>
      <c r="H955" s="45" t="inlineStr">
        <is>
          <t>19.01.2024; 16.08.2026</t>
        </is>
      </c>
      <c r="I955" s="170" t="inlineStr">
        <is>
          <t>19.01.2024</t>
        </is>
      </c>
    </row>
    <row r="956" ht="32" customHeight="1">
      <c r="A956" s="45" t="inlineStr">
        <is>
          <t>работник 556</t>
        </is>
      </c>
      <c r="B956" s="45" t="inlineStr">
        <is>
          <t>Электромонтер по ремонту и обслуживанию электрооборудования</t>
        </is>
      </c>
      <c r="C956" s="45" t="inlineStr">
        <is>
          <t>СИЗ</t>
        </is>
      </c>
      <c r="D956" s="170" t="inlineStr">
        <is>
          <t>раз в 3 года</t>
        </is>
      </c>
      <c r="E956" s="171" t="n">
        <v>1</v>
      </c>
      <c r="F956" s="171" t="n">
        <v>2</v>
      </c>
      <c r="G956" s="171" t="n">
        <v>1</v>
      </c>
      <c r="H956" s="45" t="inlineStr">
        <is>
          <t>28.05.2025; 22.07.2025</t>
        </is>
      </c>
      <c r="I956" s="170" t="inlineStr">
        <is>
          <t>28.05.2025</t>
        </is>
      </c>
    </row>
    <row r="957" ht="22" customHeight="1">
      <c r="A957" s="173" t="inlineStr">
        <is>
          <t>Итого</t>
        </is>
      </c>
      <c r="B957" s="160">
        <f>COUNTA(A458:A956)</f>
        <v/>
      </c>
      <c r="C957" s="160" t="n"/>
      <c r="D957" s="160" t="n"/>
      <c r="E957" s="160">
        <f>SUM(E458:E956)</f>
        <v/>
      </c>
      <c r="F957" s="160">
        <f>SUM(F458:F956)</f>
        <v/>
      </c>
      <c r="G957" s="160">
        <f>SUM(G458:G956)</f>
        <v/>
      </c>
      <c r="H957" s="160" t="n"/>
      <c r="I957" s="160" t="n"/>
    </row>
    <row r="958" ht="36" customHeight="1">
      <c r="A958" s="176" t="inlineStr">
        <is>
          <t>Уникальных работников в этой таблице</t>
        </is>
      </c>
      <c r="B958" s="177">
        <f>SUMPRODUCT((A458:A956&lt;&gt;"")/COUNTIF(A458:A956,A458:A956&amp;""))</f>
        <v/>
      </c>
      <c r="C958" s="176" t="n"/>
      <c r="D958" s="176" t="n"/>
      <c r="E958" s="176" t="n"/>
      <c r="F958" s="176" t="n"/>
      <c r="G958" s="176" t="n"/>
      <c r="H958" s="176" t="n"/>
      <c r="I958" s="176" t="n"/>
    </row>
    <row r="959" ht="24" customHeight="1">
      <c r="A959" s="44" t="inlineStr">
        <is>
          <t>Просрочено по программам</t>
        </is>
      </c>
    </row>
    <row r="960" ht="32" customHeight="1">
      <c r="A960" s="135" t="inlineStr">
        <is>
          <t>Программа</t>
        </is>
      </c>
      <c r="B960" s="135" t="inlineStr">
        <is>
          <t>Норма</t>
        </is>
      </c>
      <c r="C960" s="135" t="inlineStr">
        <is>
          <t>Случаев</t>
        </is>
      </c>
    </row>
    <row r="961" ht="20" customHeight="1">
      <c r="A961" s="45" t="inlineStr">
        <is>
          <t>46а</t>
        </is>
      </c>
      <c r="B961" s="170" t="inlineStr">
        <is>
          <t>раз в 3 года</t>
        </is>
      </c>
      <c r="C961" s="171">
        <f>COUNTIF($C$268:$C$452,A961)</f>
        <v/>
      </c>
    </row>
    <row r="962" ht="20" customHeight="1">
      <c r="A962" s="45" t="inlineStr">
        <is>
          <t>46б</t>
        </is>
      </c>
      <c r="B962" s="170" t="inlineStr">
        <is>
          <t>раз в 3 года</t>
        </is>
      </c>
      <c r="C962" s="171">
        <f>COUNTIF($C$268:$C$452,A962)</f>
        <v/>
      </c>
    </row>
    <row r="963" ht="20" customHeight="1">
      <c r="A963" s="45" t="inlineStr">
        <is>
          <t>Первая помощь</t>
        </is>
      </c>
      <c r="B963" s="170" t="inlineStr">
        <is>
          <t>раз в 3 года</t>
        </is>
      </c>
      <c r="C963" s="171">
        <f>COUNTIF($C$268:$C$452,A963)</f>
        <v/>
      </c>
    </row>
    <row r="964" ht="20" customHeight="1">
      <c r="A964" s="45" t="inlineStr">
        <is>
          <t>СИЗ</t>
        </is>
      </c>
      <c r="B964" s="170" t="inlineStr">
        <is>
          <t>раз в 3 года</t>
        </is>
      </c>
      <c r="C964" s="171">
        <f>COUNTIF($C$268:$C$452,A964)</f>
        <v/>
      </c>
    </row>
    <row r="965" ht="20" customHeight="1">
      <c r="A965" s="45" t="inlineStr">
        <is>
          <t>46в. Огневые</t>
        </is>
      </c>
      <c r="B965" s="170" t="inlineStr">
        <is>
          <t>раз в год</t>
        </is>
      </c>
      <c r="C965" s="171">
        <f>COUNTIF($C$268:$C$452,A965)</f>
        <v/>
      </c>
    </row>
    <row r="966" ht="20" customHeight="1">
      <c r="A966" s="45" t="inlineStr">
        <is>
          <t>46в. Подъемные сооружения</t>
        </is>
      </c>
      <c r="B966" s="170" t="inlineStr">
        <is>
          <t>раз в год</t>
        </is>
      </c>
      <c r="C966" s="171">
        <f>COUNTIF($C$268:$C$452,A966)</f>
        <v/>
      </c>
    </row>
    <row r="967" ht="20" customHeight="1">
      <c r="A967" s="45" t="inlineStr">
        <is>
          <t>46в. Сосуды</t>
        </is>
      </c>
      <c r="B967" s="170" t="inlineStr">
        <is>
          <t>раз в год</t>
        </is>
      </c>
      <c r="C967" s="171">
        <f>COUNTIF($C$268:$C$452,A967)</f>
        <v/>
      </c>
    </row>
    <row r="968" ht="20" customHeight="1">
      <c r="A968" s="45" t="inlineStr">
        <is>
          <t>46в. Оборудование</t>
        </is>
      </c>
      <c r="B968" s="170" t="inlineStr">
        <is>
          <t>раз в год</t>
        </is>
      </c>
      <c r="C968" s="171">
        <f>COUNTIF($C$268:$C$452,A968)</f>
        <v/>
      </c>
    </row>
    <row r="969" ht="20" customHeight="1">
      <c r="A969" s="45" t="inlineStr">
        <is>
          <t>46в. Стройка</t>
        </is>
      </c>
      <c r="B969" s="170" t="inlineStr">
        <is>
          <t>раз в год</t>
        </is>
      </c>
      <c r="C969" s="171">
        <f>COUNTIF($C$268:$C$452,A969)</f>
        <v/>
      </c>
    </row>
    <row r="970" ht="20" customHeight="1">
      <c r="A970" s="45" t="inlineStr">
        <is>
          <t>46в. Здания</t>
        </is>
      </c>
      <c r="B970" s="170" t="inlineStr">
        <is>
          <t>раз в год</t>
        </is>
      </c>
      <c r="C970" s="171">
        <f>COUNTIF($C$268:$C$452,A970)</f>
        <v/>
      </c>
    </row>
    <row r="971" ht="20" customHeight="1">
      <c r="A971" s="45" t="inlineStr">
        <is>
          <t>46в. Электроустановки</t>
        </is>
      </c>
      <c r="B971" s="170" t="inlineStr">
        <is>
          <t>раз в год</t>
        </is>
      </c>
      <c r="C971" s="171">
        <f>COUNTIF($C$268:$C$452,A971)</f>
        <v/>
      </c>
    </row>
    <row r="972" ht="22" customHeight="1">
      <c r="A972" s="173" t="inlineStr">
        <is>
          <t>Итого</t>
        </is>
      </c>
      <c r="B972" s="160" t="n"/>
      <c r="C972" s="160">
        <f>SUM(C961:C971)</f>
        <v/>
      </c>
    </row>
    <row r="974" ht="24" customHeight="1">
      <c r="A974" s="44" t="inlineStr">
        <is>
          <t>Избыток повторного обучения по программам</t>
        </is>
      </c>
    </row>
    <row r="975" ht="32" customHeight="1">
      <c r="A975" s="135" t="inlineStr">
        <is>
          <t>Программа</t>
        </is>
      </c>
      <c r="B975" s="135" t="inlineStr">
        <is>
          <t>Норма</t>
        </is>
      </c>
      <c r="C975" s="135" t="inlineStr">
        <is>
          <t>Случаев</t>
        </is>
      </c>
      <c r="D975" s="135" t="inlineStr">
        <is>
          <t>Лишних обучений</t>
        </is>
      </c>
    </row>
    <row r="976" ht="20" customHeight="1">
      <c r="A976" s="45" t="inlineStr">
        <is>
          <t>46б</t>
        </is>
      </c>
      <c r="B976" s="170" t="inlineStr">
        <is>
          <t>раз в 3 года</t>
        </is>
      </c>
      <c r="C976" s="171">
        <f>COUNTIF($C$458:$C$956,A976)</f>
        <v/>
      </c>
      <c r="D976" s="171">
        <f>SUMIF($C$458:$C$956,A976,$G$458:$G$956)</f>
        <v/>
      </c>
    </row>
    <row r="977" ht="20" customHeight="1">
      <c r="A977" s="45" t="inlineStr">
        <is>
          <t>СИЗ</t>
        </is>
      </c>
      <c r="B977" s="170" t="inlineStr">
        <is>
          <t>раз в 3 года</t>
        </is>
      </c>
      <c r="C977" s="171">
        <f>COUNTIF($C$458:$C$956,A977)</f>
        <v/>
      </c>
      <c r="D977" s="171">
        <f>SUMIF($C$458:$C$956,A977,$G$458:$G$956)</f>
        <v/>
      </c>
    </row>
    <row r="978" ht="20" customHeight="1">
      <c r="A978" s="45" t="inlineStr">
        <is>
          <t>Первая помощь</t>
        </is>
      </c>
      <c r="B978" s="170" t="inlineStr">
        <is>
          <t>раз в 3 года</t>
        </is>
      </c>
      <c r="C978" s="171">
        <f>COUNTIF($C$458:$C$956,A978)</f>
        <v/>
      </c>
      <c r="D978" s="171">
        <f>SUMIF($C$458:$C$956,A978,$G$458:$G$956)</f>
        <v/>
      </c>
    </row>
    <row r="979" ht="20" customHeight="1">
      <c r="A979" s="45" t="inlineStr">
        <is>
          <t>46в. Высота</t>
        </is>
      </c>
      <c r="B979" s="170" t="inlineStr">
        <is>
          <t>раз в 3 года</t>
        </is>
      </c>
      <c r="C979" s="171">
        <f>COUNTIF($C$458:$C$956,A979)</f>
        <v/>
      </c>
      <c r="D979" s="171">
        <f>SUMIF($C$458:$C$956,A979,$G$458:$G$956)</f>
        <v/>
      </c>
    </row>
    <row r="980" ht="20" customHeight="1">
      <c r="A980" s="45" t="inlineStr">
        <is>
          <t>46в. ОЗП</t>
        </is>
      </c>
      <c r="B980" s="170" t="inlineStr">
        <is>
          <t>раз в 3 года</t>
        </is>
      </c>
      <c r="C980" s="171">
        <f>COUNTIF($C$458:$C$956,A980)</f>
        <v/>
      </c>
      <c r="D980" s="171">
        <f>SUMIF($C$458:$C$956,A980,$G$458:$G$956)</f>
        <v/>
      </c>
    </row>
    <row r="981" ht="22" customHeight="1">
      <c r="A981" s="173" t="inlineStr">
        <is>
          <t>Итого</t>
        </is>
      </c>
      <c r="B981" s="160" t="n"/>
      <c r="C981" s="160">
        <f>SUM(C976:C980)</f>
        <v/>
      </c>
      <c r="D981" s="160">
        <f>SUM(D976:D980)</f>
        <v/>
      </c>
    </row>
  </sheetData>
  <autoFilter ref="A2:AC263"/>
  <mergeCells count="7">
    <mergeCell ref="A455:I455"/>
    <mergeCell ref="A1:AC1"/>
    <mergeCell ref="A265:I265"/>
    <mergeCell ref="A974:D974"/>
    <mergeCell ref="A456:I456"/>
    <mergeCell ref="A959:C959"/>
    <mergeCell ref="A266:I266"/>
  </mergeCells>
  <pageMargins left="0.4" right="0.4" top="0.7" bottom="0.5" header="0.5" footer="0.5"/>
  <pageSetup orientation="landscape" paperSize="9" fitToHeight="0" fitToWidth="1"/>
  <headerFooter>
    <oddHeader>&amp;LПовторные обучения · число прохождений программы</oddHeader>
    <oddFooter>&amp;RСтраница &amp;P из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S956"/>
  <sheetViews>
    <sheetView view="normal" zoomScale="110" workbookViewId="0">
      <pane xSplit="3" ySplit="2" topLeftCell="D3"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46" customWidth="1" min="2" max="2"/>
    <col width="42"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6" customWidth="1" min="16" max="16"/>
    <col width="14" customWidth="1" min="17" max="17"/>
    <col width="12" customWidth="1" min="18" max="18"/>
    <col width="12" customWidth="1" min="19" max="19"/>
  </cols>
  <sheetData>
    <row r="1" ht="78" customHeight="1">
      <c r="A1" s="163" t="inlineStr">
        <is>
          <t>Столбец E исходных данных — работодатель, столбец H — кто проводил обучение. ООО «Амур Золото» в столбце H — внутреннее обучение у работодателя. АНО ДПО «Перспектива» — внешний учебный центр. По п. 44 Порядка № 2464 программы 46а, 46б и все программы 46в во внешнем центре проходят руководители (директор, начальник, заведующий, руководитель, мастер и их заместители: к ним относятся и те, кто проводит инструктаж, и члены комиссии) и специалисты по охране труда. Первую помощь и СИЗ можно проводить у работодателя. Красная ячейка — программу прошли у работодателя, а нужно было во внешнем центре. Зелёная — программу прошли в «Перспективе», хотя её можно было пройти внутри. Без заливки место обучения правилу соответствует. Если среди должностей работника есть руководитель или специалист по охране труда, внешний центр обязателен для всех его программ 46а, 46б и 46в.</t>
        </is>
      </c>
    </row>
    <row r="2" ht="36" customHeight="1">
      <c r="A2" s="135" t="inlineStr">
        <is>
          <t>FIO</t>
        </is>
      </c>
      <c r="B2" s="135" t="inlineStr">
        <is>
          <t>Должность</t>
        </is>
      </c>
      <c r="C2" s="135" t="inlineStr">
        <is>
          <t>Кто должен учиться во внешнем УЦ</t>
        </is>
      </c>
      <c r="D2" s="135" t="inlineStr">
        <is>
          <t>46а</t>
        </is>
      </c>
      <c r="E2" s="135" t="inlineStr">
        <is>
          <t>46б</t>
        </is>
      </c>
      <c r="F2" s="135" t="inlineStr">
        <is>
          <t>Высота</t>
        </is>
      </c>
      <c r="G2" s="135" t="inlineStr">
        <is>
          <t>Огневые</t>
        </is>
      </c>
      <c r="H2" s="135" t="inlineStr">
        <is>
          <t>ОЗП</t>
        </is>
      </c>
      <c r="I2" s="135" t="inlineStr">
        <is>
          <t>ПС</t>
        </is>
      </c>
      <c r="J2" s="135" t="inlineStr">
        <is>
          <t>Сосуды</t>
        </is>
      </c>
      <c r="K2" s="135" t="inlineStr">
        <is>
          <t>Оборуд.</t>
        </is>
      </c>
      <c r="L2" s="135" t="inlineStr">
        <is>
          <t>Электро</t>
        </is>
      </c>
      <c r="M2" s="135" t="inlineStr">
        <is>
          <t>Стройка</t>
        </is>
      </c>
      <c r="N2" s="135" t="inlineStr">
        <is>
          <t>Здания</t>
        </is>
      </c>
      <c r="O2" s="135" t="inlineStr">
        <is>
          <t>Земля</t>
        </is>
      </c>
      <c r="P2" s="135" t="inlineStr">
        <is>
          <t>Первая помощь</t>
        </is>
      </c>
      <c r="Q2" s="135" t="inlineStr">
        <is>
          <t>СИЗ</t>
        </is>
      </c>
      <c r="R2" s="135" t="inlineStr">
        <is>
          <t>Красных</t>
        </is>
      </c>
      <c r="S2" s="135" t="inlineStr">
        <is>
          <t>Зелёных</t>
        </is>
      </c>
    </row>
    <row r="3" ht="18" customHeight="1">
      <c r="A3" s="45" t="inlineStr">
        <is>
          <t>работник 216</t>
        </is>
      </c>
      <c r="B3" s="178" t="inlineStr">
        <is>
          <t>Водитель автомобиля (категория Д)</t>
        </is>
      </c>
      <c r="C3" s="178" t="inlineStr"/>
      <c r="D3" s="179" t="n"/>
      <c r="E3" s="179" t="inlineStr">
        <is>
          <t>внутр</t>
        </is>
      </c>
      <c r="F3" s="179" t="n"/>
      <c r="G3" s="179" t="n"/>
      <c r="H3" s="179" t="n"/>
      <c r="I3" s="179" t="n"/>
      <c r="J3" s="179" t="n"/>
      <c r="K3" s="179" t="n"/>
      <c r="L3" s="179" t="n"/>
      <c r="M3" s="179" t="n"/>
      <c r="N3" s="179" t="n"/>
      <c r="O3" s="179" t="n"/>
      <c r="P3" s="179" t="inlineStr">
        <is>
          <t>внутр</t>
        </is>
      </c>
      <c r="Q3" s="179" t="inlineStr">
        <is>
          <t>внутр</t>
        </is>
      </c>
      <c r="R3" s="171" t="n"/>
      <c r="S3" s="171" t="n"/>
    </row>
    <row r="4" ht="18" customHeight="1">
      <c r="A4" s="45" t="inlineStr">
        <is>
          <t>работник 464</t>
        </is>
      </c>
      <c r="B4" s="178" t="inlineStr">
        <is>
          <t>Водитель автомобиля (категория D)</t>
        </is>
      </c>
      <c r="C4" s="178" t="inlineStr"/>
      <c r="D4" s="179" t="n"/>
      <c r="E4" s="179" t="inlineStr">
        <is>
          <t>внутр</t>
        </is>
      </c>
      <c r="F4" s="179" t="n"/>
      <c r="G4" s="179" t="n"/>
      <c r="H4" s="179" t="n"/>
      <c r="I4" s="179" t="n"/>
      <c r="J4" s="179" t="n"/>
      <c r="K4" s="179" t="n"/>
      <c r="L4" s="179" t="n"/>
      <c r="M4" s="179" t="n"/>
      <c r="N4" s="179" t="n"/>
      <c r="O4" s="179" t="n"/>
      <c r="P4" s="179" t="n"/>
      <c r="Q4" s="179" t="inlineStr">
        <is>
          <t>внутр</t>
        </is>
      </c>
      <c r="R4" s="171" t="n"/>
      <c r="S4" s="171" t="n"/>
    </row>
    <row r="5" ht="18" customHeight="1">
      <c r="A5" s="45" t="inlineStr">
        <is>
          <t>работник 406</t>
        </is>
      </c>
      <c r="B5" s="178" t="inlineStr">
        <is>
          <t>Водитель автомобиля кат. С | Водитель автомобиля (категория С)</t>
        </is>
      </c>
      <c r="C5" s="178" t="inlineStr"/>
      <c r="D5" s="179" t="n"/>
      <c r="E5" s="179" t="inlineStr">
        <is>
          <t>внутр</t>
        </is>
      </c>
      <c r="F5" s="179" t="n"/>
      <c r="G5" s="179" t="n"/>
      <c r="H5" s="179" t="n"/>
      <c r="I5" s="179" t="n"/>
      <c r="J5" s="179" t="n"/>
      <c r="K5" s="179" t="n"/>
      <c r="L5" s="179" t="n"/>
      <c r="M5" s="179" t="n"/>
      <c r="N5" s="179" t="n"/>
      <c r="O5" s="179" t="n"/>
      <c r="P5" s="179" t="inlineStr">
        <is>
          <t>внутр</t>
        </is>
      </c>
      <c r="Q5" s="179" t="inlineStr">
        <is>
          <t>внутр</t>
        </is>
      </c>
      <c r="R5" s="171" t="n"/>
      <c r="S5" s="171" t="n"/>
    </row>
    <row r="6" ht="18" customHeight="1">
      <c r="A6" s="45" t="inlineStr">
        <is>
          <t>работник 146</t>
        </is>
      </c>
      <c r="B6" s="178" t="inlineStr">
        <is>
          <t>Проходчик (с исполнением обязанностей взрывника)</t>
        </is>
      </c>
      <c r="C6" s="178" t="inlineStr"/>
      <c r="D6" s="179" t="n"/>
      <c r="E6" s="179" t="inlineStr">
        <is>
          <t>внутр</t>
        </is>
      </c>
      <c r="F6" s="179" t="n"/>
      <c r="G6" s="179" t="n"/>
      <c r="H6" s="179" t="n"/>
      <c r="I6" s="179" t="n"/>
      <c r="J6" s="179" t="n"/>
      <c r="K6" s="179" t="n"/>
      <c r="L6" s="179" t="n"/>
      <c r="M6" s="179" t="n"/>
      <c r="N6" s="179" t="n"/>
      <c r="O6" s="179" t="n"/>
      <c r="P6" s="179" t="inlineStr">
        <is>
          <t>внутр</t>
        </is>
      </c>
      <c r="Q6" s="179" t="inlineStr">
        <is>
          <t>внутр</t>
        </is>
      </c>
      <c r="R6" s="171" t="n"/>
      <c r="S6" s="171" t="n"/>
    </row>
    <row r="7" ht="18" customHeight="1">
      <c r="A7" s="45" t="inlineStr">
        <is>
          <t>работник 606</t>
        </is>
      </c>
      <c r="B7" s="178" t="inlineStr">
        <is>
          <t>Кухонный рабочий | Лаборант химического анализа</t>
        </is>
      </c>
      <c r="C7" s="178" t="inlineStr"/>
      <c r="D7" s="179" t="n"/>
      <c r="E7" s="179" t="inlineStr">
        <is>
          <t>внутр</t>
        </is>
      </c>
      <c r="F7" s="179" t="n"/>
      <c r="G7" s="179" t="n"/>
      <c r="H7" s="179" t="n"/>
      <c r="I7" s="179" t="n"/>
      <c r="J7" s="179" t="n"/>
      <c r="K7" s="179" t="n"/>
      <c r="L7" s="179" t="n"/>
      <c r="M7" s="179" t="n"/>
      <c r="N7" s="179" t="n"/>
      <c r="O7" s="179" t="n"/>
      <c r="P7" s="179" t="inlineStr">
        <is>
          <t>внутр</t>
        </is>
      </c>
      <c r="Q7" s="179" t="inlineStr">
        <is>
          <t>внутр</t>
        </is>
      </c>
      <c r="R7" s="171" t="n"/>
      <c r="S7" s="171" t="n"/>
    </row>
    <row r="8" ht="18" customHeight="1">
      <c r="A8" s="45" t="inlineStr">
        <is>
          <t>работник 32</t>
        </is>
      </c>
      <c r="B8" s="178" t="inlineStr">
        <is>
          <t>Электромантер | Электромонтер по ремонту и обслуживанию электрооборудования | Электромонтер по ремонту и обслуживанию электрооборудованию | Проходчик (с исполнением обязанностей взрывника)</t>
        </is>
      </c>
      <c r="C8" s="178" t="inlineStr"/>
      <c r="D8" s="179" t="n"/>
      <c r="E8" s="179" t="inlineStr">
        <is>
          <t>внутр</t>
        </is>
      </c>
      <c r="F8" s="179" t="inlineStr">
        <is>
          <t>внутр</t>
        </is>
      </c>
      <c r="G8" s="179" t="inlineStr">
        <is>
          <t>внутр</t>
        </is>
      </c>
      <c r="H8" s="179" t="inlineStr">
        <is>
          <t>внутр</t>
        </is>
      </c>
      <c r="I8" s="179" t="inlineStr">
        <is>
          <t>внутр</t>
        </is>
      </c>
      <c r="J8" s="179" t="inlineStr">
        <is>
          <t>внутр</t>
        </is>
      </c>
      <c r="K8" s="179" t="inlineStr">
        <is>
          <t>внутр</t>
        </is>
      </c>
      <c r="L8" s="179" t="inlineStr">
        <is>
          <t>внутр</t>
        </is>
      </c>
      <c r="M8" s="179" t="n"/>
      <c r="N8" s="179" t="n"/>
      <c r="O8" s="179" t="n"/>
      <c r="P8" s="179" t="n"/>
      <c r="Q8" s="179" t="inlineStr">
        <is>
          <t>внутр</t>
        </is>
      </c>
      <c r="R8" s="171" t="n"/>
      <c r="S8" s="171" t="n"/>
    </row>
    <row r="9" ht="18" customHeight="1">
      <c r="A9" s="45" t="inlineStr">
        <is>
          <t>работник 306</t>
        </is>
      </c>
      <c r="B9" s="178" t="inlineStr">
        <is>
          <t>Машинист  самоходной буровой установки</t>
        </is>
      </c>
      <c r="C9" s="178" t="inlineStr"/>
      <c r="D9" s="179" t="n"/>
      <c r="E9" s="179" t="inlineStr">
        <is>
          <t>внутр</t>
        </is>
      </c>
      <c r="F9" s="179" t="n"/>
      <c r="G9" s="179" t="n"/>
      <c r="H9" s="179" t="n"/>
      <c r="I9" s="179" t="n"/>
      <c r="J9" s="179" t="n"/>
      <c r="K9" s="179" t="n"/>
      <c r="L9" s="179" t="n"/>
      <c r="M9" s="179" t="n"/>
      <c r="N9" s="179" t="n"/>
      <c r="O9" s="179" t="n"/>
      <c r="P9" s="179" t="inlineStr">
        <is>
          <t>внутр</t>
        </is>
      </c>
      <c r="Q9" s="179" t="inlineStr">
        <is>
          <t>внутр</t>
        </is>
      </c>
      <c r="R9" s="171" t="n"/>
      <c r="S9" s="171" t="n"/>
    </row>
    <row r="10" ht="18" customHeight="1">
      <c r="A10" s="45" t="inlineStr">
        <is>
          <t>работник 572</t>
        </is>
      </c>
      <c r="B10" s="178" t="inlineStr">
        <is>
          <t>Электромонтер по ремонту и обслуживанию электрооборудования</t>
        </is>
      </c>
      <c r="C10" s="178" t="inlineStr"/>
      <c r="D10" s="179" t="n"/>
      <c r="E10" s="179" t="inlineStr">
        <is>
          <t>внутр</t>
        </is>
      </c>
      <c r="F10" s="179" t="n"/>
      <c r="G10" s="179" t="n"/>
      <c r="H10" s="179" t="n"/>
      <c r="I10" s="179" t="n"/>
      <c r="J10" s="179" t="n"/>
      <c r="K10" s="179" t="n"/>
      <c r="L10" s="179" t="n"/>
      <c r="M10" s="179" t="n"/>
      <c r="N10" s="179" t="n"/>
      <c r="O10" s="179" t="n"/>
      <c r="P10" s="179" t="n"/>
      <c r="Q10" s="179" t="inlineStr">
        <is>
          <t>внутр</t>
        </is>
      </c>
      <c r="R10" s="171" t="n"/>
      <c r="S10" s="171" t="n"/>
    </row>
    <row r="11" ht="18" customHeight="1">
      <c r="A11" s="45" t="inlineStr">
        <is>
          <t>работник 126</t>
        </is>
      </c>
      <c r="B11" s="178" t="inlineStr">
        <is>
          <t>Дробильщик | Дробильщики</t>
        </is>
      </c>
      <c r="C11" s="178" t="inlineStr"/>
      <c r="D11" s="179" t="n"/>
      <c r="E11" s="179" t="inlineStr">
        <is>
          <t>внутр</t>
        </is>
      </c>
      <c r="F11" s="179" t="n"/>
      <c r="G11" s="179" t="n"/>
      <c r="H11" s="179" t="n"/>
      <c r="I11" s="179" t="n"/>
      <c r="J11" s="179" t="n"/>
      <c r="K11" s="179" t="n"/>
      <c r="L11" s="179" t="n"/>
      <c r="M11" s="179" t="n"/>
      <c r="N11" s="179" t="n"/>
      <c r="O11" s="179" t="n"/>
      <c r="P11" s="179" t="inlineStr">
        <is>
          <t>внутр</t>
        </is>
      </c>
      <c r="Q11" s="179" t="inlineStr">
        <is>
          <t>внутр</t>
        </is>
      </c>
      <c r="R11" s="171" t="n"/>
      <c r="S11" s="171" t="n"/>
    </row>
    <row r="12" ht="18" customHeight="1">
      <c r="A12" s="45" t="inlineStr">
        <is>
          <t>работник 78</t>
        </is>
      </c>
      <c r="B12" s="178" t="inlineStr">
        <is>
          <t>Электрогазосварщик (занятый на резке и ручной сварке) | Сварщик | Электрогазосварщик</t>
        </is>
      </c>
      <c r="C12" s="178" t="inlineStr"/>
      <c r="D12" s="179" t="n"/>
      <c r="E12" s="179" t="inlineStr">
        <is>
          <t>внутр</t>
        </is>
      </c>
      <c r="F12" s="179" t="inlineStr">
        <is>
          <t>внутр</t>
        </is>
      </c>
      <c r="G12" s="179" t="inlineStr">
        <is>
          <t>внутр</t>
        </is>
      </c>
      <c r="H12" s="179" t="n"/>
      <c r="I12" s="179" t="n"/>
      <c r="J12" s="179" t="n"/>
      <c r="K12" s="179" t="n"/>
      <c r="L12" s="179" t="n"/>
      <c r="M12" s="179" t="inlineStr">
        <is>
          <t>внутр</t>
        </is>
      </c>
      <c r="N12" s="179" t="inlineStr">
        <is>
          <t>внутр</t>
        </is>
      </c>
      <c r="O12" s="179" t="n"/>
      <c r="P12" s="179" t="inlineStr">
        <is>
          <t>внутр</t>
        </is>
      </c>
      <c r="Q12" s="179" t="inlineStr">
        <is>
          <t>внутр</t>
        </is>
      </c>
      <c r="R12" s="171" t="n"/>
      <c r="S12" s="171" t="n"/>
    </row>
    <row r="13" ht="18" customHeight="1">
      <c r="A13" s="45" t="inlineStr">
        <is>
          <t>работник 666</t>
        </is>
      </c>
      <c r="B13" s="178" t="inlineStr">
        <is>
          <t>Электрослесарь (слесарь) дежурный и по ремонту оборудования</t>
        </is>
      </c>
      <c r="C13" s="178" t="inlineStr"/>
      <c r="D13" s="179" t="n"/>
      <c r="E13" s="179" t="inlineStr">
        <is>
          <t>внутр</t>
        </is>
      </c>
      <c r="F13" s="179" t="n"/>
      <c r="G13" s="179" t="n"/>
      <c r="H13" s="179" t="n"/>
      <c r="I13" s="179" t="n"/>
      <c r="J13" s="179" t="n"/>
      <c r="K13" s="179" t="n"/>
      <c r="L13" s="179" t="n"/>
      <c r="M13" s="179" t="n"/>
      <c r="N13" s="179" t="n"/>
      <c r="O13" s="179" t="n"/>
      <c r="P13" s="179" t="inlineStr">
        <is>
          <t>внутр</t>
        </is>
      </c>
      <c r="Q13" s="179" t="inlineStr">
        <is>
          <t>внутр</t>
        </is>
      </c>
      <c r="R13" s="171" t="n"/>
      <c r="S13" s="171" t="n"/>
    </row>
    <row r="14" ht="18" customHeight="1">
      <c r="A14" s="45" t="inlineStr">
        <is>
          <t>работник 825</t>
        </is>
      </c>
      <c r="B14" s="178" t="inlineStr">
        <is>
          <t>Уборщик производственных и служебных помещений</t>
        </is>
      </c>
      <c r="C14" s="178" t="inlineStr"/>
      <c r="D14" s="179" t="n"/>
      <c r="E14" s="179" t="inlineStr">
        <is>
          <t>внутр</t>
        </is>
      </c>
      <c r="F14" s="179" t="n"/>
      <c r="G14" s="179" t="n"/>
      <c r="H14" s="179" t="n"/>
      <c r="I14" s="179" t="n"/>
      <c r="J14" s="179" t="n"/>
      <c r="K14" s="179" t="n"/>
      <c r="L14" s="179" t="n"/>
      <c r="M14" s="179" t="n"/>
      <c r="N14" s="179" t="n"/>
      <c r="O14" s="179" t="n"/>
      <c r="P14" s="179" t="n"/>
      <c r="Q14" s="179" t="inlineStr">
        <is>
          <t>внутр</t>
        </is>
      </c>
      <c r="R14" s="171" t="n"/>
      <c r="S14" s="171" t="n"/>
    </row>
    <row r="15" ht="18" customHeight="1">
      <c r="A15" s="45" t="inlineStr">
        <is>
          <t>работник 147</t>
        </is>
      </c>
      <c r="B15" s="178" t="inlineStr">
        <is>
          <t>Крепильщик</t>
        </is>
      </c>
      <c r="C15" s="178" t="inlineStr"/>
      <c r="D15" s="179" t="n"/>
      <c r="E15" s="179" t="inlineStr">
        <is>
          <t>внутр</t>
        </is>
      </c>
      <c r="F15" s="179" t="n"/>
      <c r="G15" s="179" t="n"/>
      <c r="H15" s="179" t="n"/>
      <c r="I15" s="179" t="n"/>
      <c r="J15" s="179" t="n"/>
      <c r="K15" s="179" t="n"/>
      <c r="L15" s="179" t="n"/>
      <c r="M15" s="179" t="n"/>
      <c r="N15" s="179" t="n"/>
      <c r="O15" s="179" t="n"/>
      <c r="P15" s="179" t="inlineStr">
        <is>
          <t>внутр</t>
        </is>
      </c>
      <c r="Q15" s="179" t="inlineStr">
        <is>
          <t>внутр</t>
        </is>
      </c>
      <c r="R15" s="171" t="n"/>
      <c r="S15" s="171" t="n"/>
    </row>
    <row r="16" ht="18" customHeight="1">
      <c r="A16" s="45" t="inlineStr">
        <is>
          <t>работник 746</t>
        </is>
      </c>
      <c r="B16" s="178" t="inlineStr">
        <is>
          <t>Начальник по рудному направлению</t>
        </is>
      </c>
      <c r="C16" s="178" t="inlineStr">
        <is>
          <t>Руководитель</t>
        </is>
      </c>
      <c r="D16" s="180" t="inlineStr">
        <is>
          <t>внутр</t>
        </is>
      </c>
      <c r="E16" s="180" t="inlineStr">
        <is>
          <t>внутр</t>
        </is>
      </c>
      <c r="F16" s="179" t="n"/>
      <c r="G16" s="179" t="n"/>
      <c r="H16" s="179" t="n"/>
      <c r="I16" s="179" t="n"/>
      <c r="J16" s="179" t="n"/>
      <c r="K16" s="179" t="n"/>
      <c r="L16" s="179" t="n"/>
      <c r="M16" s="179" t="n"/>
      <c r="N16" s="179" t="n"/>
      <c r="O16" s="179" t="n"/>
      <c r="P16" s="179" t="n"/>
      <c r="Q16" s="179" t="inlineStr">
        <is>
          <t>внутр</t>
        </is>
      </c>
      <c r="R16" s="171" t="n">
        <v>2</v>
      </c>
      <c r="S16" s="171" t="n"/>
    </row>
    <row r="17" ht="18" customHeight="1">
      <c r="A17" s="45" t="inlineStr">
        <is>
          <t>работник 341</t>
        </is>
      </c>
      <c r="B17" s="178" t="inlineStr">
        <is>
          <t>Электрогазосварщик</t>
        </is>
      </c>
      <c r="C17" s="178" t="inlineStr"/>
      <c r="D17" s="179" t="n"/>
      <c r="E17" s="179" t="inlineStr">
        <is>
          <t>внутр</t>
        </is>
      </c>
      <c r="F17" s="179" t="n"/>
      <c r="G17" s="179" t="n"/>
      <c r="H17" s="179" t="n"/>
      <c r="I17" s="179" t="n"/>
      <c r="J17" s="179" t="n"/>
      <c r="K17" s="179" t="n"/>
      <c r="L17" s="179" t="n"/>
      <c r="M17" s="179" t="n"/>
      <c r="N17" s="179" t="n"/>
      <c r="O17" s="179" t="n"/>
      <c r="P17" s="179" t="inlineStr">
        <is>
          <t>внутр</t>
        </is>
      </c>
      <c r="Q17" s="179" t="inlineStr">
        <is>
          <t>внутр</t>
        </is>
      </c>
      <c r="R17" s="171" t="n"/>
      <c r="S17" s="171" t="n"/>
    </row>
    <row r="18" ht="18" customHeight="1">
      <c r="A18" s="45" t="inlineStr">
        <is>
          <t>работник 507</t>
        </is>
      </c>
      <c r="B18" s="178" t="inlineStr">
        <is>
          <t>Электрогазосварщик (занятый на резке и ручной сварке)</t>
        </is>
      </c>
      <c r="C18" s="178" t="inlineStr"/>
      <c r="D18" s="179" t="n"/>
      <c r="E18" s="179" t="inlineStr">
        <is>
          <t>внутр</t>
        </is>
      </c>
      <c r="F18" s="179" t="inlineStr">
        <is>
          <t>внутр</t>
        </is>
      </c>
      <c r="G18" s="179" t="inlineStr">
        <is>
          <t>внутр</t>
        </is>
      </c>
      <c r="H18" s="179" t="inlineStr">
        <is>
          <t>внутр</t>
        </is>
      </c>
      <c r="I18" s="179" t="inlineStr">
        <is>
          <t>внутр</t>
        </is>
      </c>
      <c r="J18" s="179" t="inlineStr">
        <is>
          <t>внутр</t>
        </is>
      </c>
      <c r="K18" s="179" t="inlineStr">
        <is>
          <t>внутр</t>
        </is>
      </c>
      <c r="L18" s="179" t="n"/>
      <c r="M18" s="179" t="n"/>
      <c r="N18" s="179" t="n"/>
      <c r="O18" s="179" t="n"/>
      <c r="P18" s="179" t="inlineStr">
        <is>
          <t>внутр</t>
        </is>
      </c>
      <c r="Q18" s="179" t="inlineStr">
        <is>
          <t>внутр</t>
        </is>
      </c>
      <c r="R18" s="171" t="n"/>
      <c r="S18" s="171" t="n"/>
    </row>
    <row r="19" ht="18" customHeight="1">
      <c r="A19" s="45" t="inlineStr">
        <is>
          <t>работник 352</t>
        </is>
      </c>
      <c r="B19" s="178" t="inlineStr">
        <is>
          <t>Подсобный рабочий</t>
        </is>
      </c>
      <c r="C19" s="178" t="inlineStr"/>
      <c r="D19" s="179" t="n"/>
      <c r="E19" s="179" t="inlineStr">
        <is>
          <t>внутр</t>
        </is>
      </c>
      <c r="F19" s="179" t="n"/>
      <c r="G19" s="179" t="n"/>
      <c r="H19" s="179" t="n"/>
      <c r="I19" s="179" t="n"/>
      <c r="J19" s="179" t="n"/>
      <c r="K19" s="179" t="n"/>
      <c r="L19" s="179" t="n"/>
      <c r="M19" s="179" t="n"/>
      <c r="N19" s="179" t="n"/>
      <c r="O19" s="179" t="n"/>
      <c r="P19" s="179" t="inlineStr">
        <is>
          <t>внутр</t>
        </is>
      </c>
      <c r="Q19" s="179" t="inlineStr">
        <is>
          <t>внутр</t>
        </is>
      </c>
      <c r="R19" s="171" t="n"/>
      <c r="S19" s="171" t="n"/>
    </row>
    <row r="20" ht="18" customHeight="1">
      <c r="A20" s="45" t="inlineStr">
        <is>
          <t>работник 77</t>
        </is>
      </c>
      <c r="B20" s="178" t="inlineStr">
        <is>
          <t>Плотник</t>
        </is>
      </c>
      <c r="C20" s="178" t="inlineStr"/>
      <c r="D20" s="179" t="n"/>
      <c r="E20" s="179" t="inlineStr">
        <is>
          <t>внутр</t>
        </is>
      </c>
      <c r="F20" s="179" t="inlineStr">
        <is>
          <t>внутр</t>
        </is>
      </c>
      <c r="G20" s="179" t="n"/>
      <c r="H20" s="179" t="n"/>
      <c r="I20" s="179" t="n"/>
      <c r="J20" s="179" t="n"/>
      <c r="K20" s="179" t="n"/>
      <c r="L20" s="179" t="n"/>
      <c r="M20" s="179" t="inlineStr">
        <is>
          <t>внутр</t>
        </is>
      </c>
      <c r="N20" s="179" t="inlineStr">
        <is>
          <t>внутр</t>
        </is>
      </c>
      <c r="O20" s="179" t="n"/>
      <c r="P20" s="179" t="inlineStr">
        <is>
          <t>внутр</t>
        </is>
      </c>
      <c r="Q20" s="179" t="inlineStr">
        <is>
          <t>внутр</t>
        </is>
      </c>
      <c r="R20" s="171" t="n"/>
      <c r="S20" s="171" t="n"/>
    </row>
    <row r="21" ht="18" customHeight="1">
      <c r="A21" s="45" t="inlineStr">
        <is>
          <t>работник 747</t>
        </is>
      </c>
      <c r="B21" s="178" t="inlineStr">
        <is>
          <t>Водитель автомобиля (с правом управления КМУ)</t>
        </is>
      </c>
      <c r="C21" s="178" t="inlineStr"/>
      <c r="D21" s="179" t="n"/>
      <c r="E21" s="179" t="inlineStr">
        <is>
          <t>внутр</t>
        </is>
      </c>
      <c r="F21" s="179" t="n"/>
      <c r="G21" s="179" t="n"/>
      <c r="H21" s="179" t="n"/>
      <c r="I21" s="179" t="n"/>
      <c r="J21" s="179" t="n"/>
      <c r="K21" s="179" t="n"/>
      <c r="L21" s="179" t="n"/>
      <c r="M21" s="179" t="n"/>
      <c r="N21" s="179" t="n"/>
      <c r="O21" s="179" t="n"/>
      <c r="P21" s="179" t="n"/>
      <c r="Q21" s="179" t="inlineStr">
        <is>
          <t>внутр</t>
        </is>
      </c>
      <c r="R21" s="171" t="n"/>
      <c r="S21" s="171" t="n"/>
    </row>
    <row r="22" ht="18" customHeight="1">
      <c r="A22" s="45" t="inlineStr">
        <is>
          <t>работник 48</t>
        </is>
      </c>
      <c r="B22" s="178" t="inlineStr">
        <is>
          <t>Машинист ДВС</t>
        </is>
      </c>
      <c r="C22" s="178" t="inlineStr"/>
      <c r="D22" s="179" t="n"/>
      <c r="E22" s="179" t="inlineStr">
        <is>
          <t>внутр</t>
        </is>
      </c>
      <c r="F22" s="179" t="n"/>
      <c r="G22" s="179" t="n"/>
      <c r="H22" s="179" t="n"/>
      <c r="I22" s="179" t="n"/>
      <c r="J22" s="179" t="n"/>
      <c r="K22" s="179" t="n"/>
      <c r="L22" s="179" t="n"/>
      <c r="M22" s="179" t="n"/>
      <c r="N22" s="179" t="n"/>
      <c r="O22" s="179" t="n"/>
      <c r="P22" s="179" t="inlineStr">
        <is>
          <t>внутр</t>
        </is>
      </c>
      <c r="Q22" s="179" t="inlineStr">
        <is>
          <t>внутр</t>
        </is>
      </c>
      <c r="R22" s="171" t="n"/>
      <c r="S22" s="171" t="n"/>
    </row>
    <row r="23" ht="18" customHeight="1">
      <c r="A23" s="45" t="inlineStr">
        <is>
          <t>работник 351</t>
        </is>
      </c>
      <c r="B23" s="178" t="inlineStr">
        <is>
          <t>Стропальщик (с исполнением обязанностей грузчика) | Кладовщик</t>
        </is>
      </c>
      <c r="C23" s="178" t="inlineStr"/>
      <c r="D23" s="179" t="n"/>
      <c r="E23" s="179" t="inlineStr">
        <is>
          <t>внутр</t>
        </is>
      </c>
      <c r="F23" s="179" t="n"/>
      <c r="G23" s="179" t="n"/>
      <c r="H23" s="179" t="n"/>
      <c r="I23" s="179" t="n"/>
      <c r="J23" s="179" t="n"/>
      <c r="K23" s="179" t="n"/>
      <c r="L23" s="179" t="n"/>
      <c r="M23" s="179" t="n"/>
      <c r="N23" s="179" t="n"/>
      <c r="O23" s="179" t="n"/>
      <c r="P23" s="179" t="inlineStr">
        <is>
          <t>внутр</t>
        </is>
      </c>
      <c r="Q23" s="179" t="inlineStr">
        <is>
          <t>внутр</t>
        </is>
      </c>
      <c r="R23" s="171" t="n"/>
      <c r="S23" s="171" t="n"/>
    </row>
    <row r="24" ht="18" customHeight="1">
      <c r="A24" s="45" t="inlineStr">
        <is>
          <t>работник 524</t>
        </is>
      </c>
      <c r="B24" s="178" t="inlineStr">
        <is>
          <t>Машинист конвейера | Машинист мельниц</t>
        </is>
      </c>
      <c r="C24" s="178" t="inlineStr"/>
      <c r="D24" s="179" t="n"/>
      <c r="E24" s="179" t="inlineStr">
        <is>
          <t>внутр</t>
        </is>
      </c>
      <c r="F24" s="179" t="n"/>
      <c r="G24" s="179" t="n"/>
      <c r="H24" s="179" t="n"/>
      <c r="I24" s="179" t="n"/>
      <c r="J24" s="179" t="n"/>
      <c r="K24" s="179" t="n"/>
      <c r="L24" s="179" t="n"/>
      <c r="M24" s="179" t="n"/>
      <c r="N24" s="179" t="n"/>
      <c r="O24" s="179" t="n"/>
      <c r="P24" s="179" t="inlineStr">
        <is>
          <t>внутр</t>
        </is>
      </c>
      <c r="Q24" s="179" t="inlineStr">
        <is>
          <t>внутр</t>
        </is>
      </c>
      <c r="R24" s="171" t="n"/>
      <c r="S24" s="171" t="n"/>
    </row>
    <row r="25" ht="18" customHeight="1">
      <c r="A25" s="45" t="inlineStr">
        <is>
          <t>работник 409</t>
        </is>
      </c>
      <c r="B25" s="178" t="inlineStr">
        <is>
          <t>Водитель автомобиля (занятый на транспортировании горной массы в технологическом процессе)</t>
        </is>
      </c>
      <c r="C25" s="178" t="inlineStr"/>
      <c r="D25" s="179" t="n"/>
      <c r="E25" s="179" t="inlineStr">
        <is>
          <t>внутр</t>
        </is>
      </c>
      <c r="F25" s="179" t="n"/>
      <c r="G25" s="179" t="n"/>
      <c r="H25" s="179" t="n"/>
      <c r="I25" s="179" t="n"/>
      <c r="J25" s="179" t="n"/>
      <c r="K25" s="179" t="n"/>
      <c r="L25" s="179" t="n"/>
      <c r="M25" s="179" t="n"/>
      <c r="N25" s="179" t="n"/>
      <c r="O25" s="179" t="n"/>
      <c r="P25" s="179" t="n"/>
      <c r="Q25" s="179" t="inlineStr">
        <is>
          <t>внутр</t>
        </is>
      </c>
      <c r="R25" s="171" t="n"/>
      <c r="S25" s="171" t="n"/>
    </row>
    <row r="26" ht="18" customHeight="1">
      <c r="A26" s="45" t="inlineStr">
        <is>
          <t>работник 76</t>
        </is>
      </c>
      <c r="B26" s="178" t="inlineStr">
        <is>
          <t>Монтажник по монтажу стальных и железобетонных конструкций | Монтажник ж/б и м/к</t>
        </is>
      </c>
      <c r="C26" s="178" t="inlineStr"/>
      <c r="D26" s="179" t="n"/>
      <c r="E26" s="179" t="inlineStr">
        <is>
          <t>внутр</t>
        </is>
      </c>
      <c r="F26" s="179" t="inlineStr">
        <is>
          <t>внутр</t>
        </is>
      </c>
      <c r="G26" s="179" t="n"/>
      <c r="H26" s="179" t="n"/>
      <c r="I26" s="179" t="n"/>
      <c r="J26" s="179" t="n"/>
      <c r="K26" s="179" t="n"/>
      <c r="L26" s="179" t="n"/>
      <c r="M26" s="179" t="inlineStr">
        <is>
          <t>внутр</t>
        </is>
      </c>
      <c r="N26" s="179" t="inlineStr">
        <is>
          <t>внутр</t>
        </is>
      </c>
      <c r="O26" s="179" t="n"/>
      <c r="P26" s="179" t="inlineStr">
        <is>
          <t>внутр</t>
        </is>
      </c>
      <c r="Q26" s="179" t="inlineStr">
        <is>
          <t>внутр</t>
        </is>
      </c>
      <c r="R26" s="171" t="n"/>
      <c r="S26" s="171" t="n"/>
    </row>
    <row r="27" ht="18" customHeight="1">
      <c r="A27" s="45" t="inlineStr">
        <is>
          <t>работник 424</t>
        </is>
      </c>
      <c r="B27" s="178" t="inlineStr">
        <is>
          <t>Аппаратчик-гидрометаллург | Фильтровальщик</t>
        </is>
      </c>
      <c r="C27" s="178" t="inlineStr"/>
      <c r="D27" s="179" t="n"/>
      <c r="E27" s="179" t="inlineStr">
        <is>
          <t>внутр</t>
        </is>
      </c>
      <c r="F27" s="179" t="n"/>
      <c r="G27" s="179" t="n"/>
      <c r="H27" s="179" t="n"/>
      <c r="I27" s="179" t="n"/>
      <c r="J27" s="179" t="n"/>
      <c r="K27" s="179" t="n"/>
      <c r="L27" s="179" t="n"/>
      <c r="M27" s="179" t="n"/>
      <c r="N27" s="179" t="n"/>
      <c r="O27" s="179" t="n"/>
      <c r="P27" s="179" t="inlineStr">
        <is>
          <t>внутр</t>
        </is>
      </c>
      <c r="Q27" s="179" t="inlineStr">
        <is>
          <t>внутр</t>
        </is>
      </c>
      <c r="R27" s="171" t="n"/>
      <c r="S27" s="171" t="n"/>
    </row>
    <row r="28" ht="18" customHeight="1">
      <c r="A28" s="45" t="inlineStr">
        <is>
          <t>работник 75</t>
        </is>
      </c>
      <c r="B28" s="178" t="inlineStr">
        <is>
          <t>Плотник</t>
        </is>
      </c>
      <c r="C28" s="178" t="inlineStr"/>
      <c r="D28" s="179" t="n"/>
      <c r="E28" s="179" t="inlineStr">
        <is>
          <t>внутр</t>
        </is>
      </c>
      <c r="F28" s="179" t="inlineStr">
        <is>
          <t>внутр</t>
        </is>
      </c>
      <c r="G28" s="179" t="n"/>
      <c r="H28" s="179" t="n"/>
      <c r="I28" s="179" t="n"/>
      <c r="J28" s="179" t="n"/>
      <c r="K28" s="179" t="n"/>
      <c r="L28" s="179" t="n"/>
      <c r="M28" s="179" t="inlineStr">
        <is>
          <t>внутр</t>
        </is>
      </c>
      <c r="N28" s="179" t="inlineStr">
        <is>
          <t>внутр</t>
        </is>
      </c>
      <c r="O28" s="179" t="n"/>
      <c r="P28" s="179" t="inlineStr">
        <is>
          <t>внутр</t>
        </is>
      </c>
      <c r="Q28" s="179" t="inlineStr">
        <is>
          <t>внутр</t>
        </is>
      </c>
      <c r="R28" s="171" t="n"/>
      <c r="S28" s="171" t="n"/>
    </row>
    <row r="29" ht="18" customHeight="1">
      <c r="A29" s="45" t="inlineStr">
        <is>
          <t>работник 62</t>
        </is>
      </c>
      <c r="B29" s="178" t="inlineStr">
        <is>
          <t>Машинист ДВС с обязанностями компрессорщик | Машинист двигателей внутреннего сгорания (с исполнением обязанностей машиниста компрессорных установок)</t>
        </is>
      </c>
      <c r="C29" s="178" t="inlineStr"/>
      <c r="D29" s="179" t="n"/>
      <c r="E29" s="179" t="inlineStr">
        <is>
          <t>внутр</t>
        </is>
      </c>
      <c r="F29" s="179" t="n"/>
      <c r="G29" s="179" t="n"/>
      <c r="H29" s="179" t="n"/>
      <c r="I29" s="179" t="n"/>
      <c r="J29" s="179" t="n"/>
      <c r="K29" s="179" t="n"/>
      <c r="L29" s="179" t="n"/>
      <c r="M29" s="179" t="n"/>
      <c r="N29" s="179" t="n"/>
      <c r="O29" s="179" t="n"/>
      <c r="P29" s="179" t="inlineStr">
        <is>
          <t>внутр</t>
        </is>
      </c>
      <c r="Q29" s="179" t="inlineStr">
        <is>
          <t>внутр</t>
        </is>
      </c>
      <c r="R29" s="171" t="n"/>
      <c r="S29" s="171" t="n"/>
    </row>
    <row r="30" ht="18" customHeight="1">
      <c r="A30" s="45" t="inlineStr">
        <is>
          <t>работник 104</t>
        </is>
      </c>
      <c r="B30" s="178" t="inlineStr">
        <is>
          <t>Повар</t>
        </is>
      </c>
      <c r="C30" s="178" t="inlineStr"/>
      <c r="D30" s="179" t="n"/>
      <c r="E30" s="179" t="inlineStr">
        <is>
          <t>внутр</t>
        </is>
      </c>
      <c r="F30" s="179" t="n"/>
      <c r="G30" s="179" t="n"/>
      <c r="H30" s="179" t="n"/>
      <c r="I30" s="179" t="n"/>
      <c r="J30" s="179" t="n"/>
      <c r="K30" s="179" t="n"/>
      <c r="L30" s="179" t="n"/>
      <c r="M30" s="179" t="n"/>
      <c r="N30" s="179" t="n"/>
      <c r="O30" s="179" t="n"/>
      <c r="P30" s="179" t="inlineStr">
        <is>
          <t>внутр</t>
        </is>
      </c>
      <c r="Q30" s="179" t="inlineStr">
        <is>
          <t>внутр</t>
        </is>
      </c>
      <c r="R30" s="171" t="n"/>
      <c r="S30" s="171" t="n"/>
    </row>
    <row r="31" ht="18" customHeight="1">
      <c r="A31" s="45" t="inlineStr">
        <is>
          <t>работник 305</t>
        </is>
      </c>
      <c r="B31" s="178" t="inlineStr">
        <is>
          <t>Электромонтер | Электромонтер по ремонту и обслуживанию электрооборудования | Электромонтер по ремонту и обслуживанию электрооборудованию</t>
        </is>
      </c>
      <c r="C31" s="178" t="inlineStr"/>
      <c r="D31" s="179" t="n"/>
      <c r="E31" s="179" t="inlineStr">
        <is>
          <t>внутр</t>
        </is>
      </c>
      <c r="F31" s="179" t="inlineStr">
        <is>
          <t>внутр</t>
        </is>
      </c>
      <c r="G31" s="179" t="inlineStr">
        <is>
          <t>внутр</t>
        </is>
      </c>
      <c r="H31" s="179" t="inlineStr">
        <is>
          <t>внутр</t>
        </is>
      </c>
      <c r="I31" s="179" t="inlineStr">
        <is>
          <t>внутр</t>
        </is>
      </c>
      <c r="J31" s="179" t="inlineStr">
        <is>
          <t>внутр</t>
        </is>
      </c>
      <c r="K31" s="179" t="inlineStr">
        <is>
          <t>внутр</t>
        </is>
      </c>
      <c r="L31" s="179" t="inlineStr">
        <is>
          <t>внутр</t>
        </is>
      </c>
      <c r="M31" s="179" t="n"/>
      <c r="N31" s="179" t="n"/>
      <c r="O31" s="179" t="n"/>
      <c r="P31" s="179" t="n"/>
      <c r="Q31" s="179" t="inlineStr">
        <is>
          <t>внутр</t>
        </is>
      </c>
      <c r="R31" s="171" t="n"/>
      <c r="S31" s="171" t="n"/>
    </row>
    <row r="32" ht="18" customHeight="1">
      <c r="A32" s="45" t="inlineStr">
        <is>
          <t>работник 249</t>
        </is>
      </c>
      <c r="B32" s="178" t="inlineStr">
        <is>
          <t>Бункеровщик</t>
        </is>
      </c>
      <c r="C32" s="178" t="inlineStr"/>
      <c r="D32" s="179" t="n"/>
      <c r="E32" s="179" t="inlineStr">
        <is>
          <t>внутр</t>
        </is>
      </c>
      <c r="F32" s="179" t="n"/>
      <c r="G32" s="179" t="n"/>
      <c r="H32" s="179" t="n"/>
      <c r="I32" s="179" t="n"/>
      <c r="J32" s="179" t="n"/>
      <c r="K32" s="179" t="n"/>
      <c r="L32" s="179" t="n"/>
      <c r="M32" s="179" t="n"/>
      <c r="N32" s="179" t="n"/>
      <c r="O32" s="179" t="n"/>
      <c r="P32" s="179" t="inlineStr">
        <is>
          <t>внутр</t>
        </is>
      </c>
      <c r="Q32" s="179" t="inlineStr">
        <is>
          <t>внутр</t>
        </is>
      </c>
      <c r="R32" s="171" t="n"/>
      <c r="S32" s="171" t="n"/>
    </row>
    <row r="33" ht="18" customHeight="1">
      <c r="A33" s="45" t="inlineStr">
        <is>
          <t>работник 16</t>
        </is>
      </c>
      <c r="B33" s="178" t="inlineStr">
        <is>
          <t>Машинист буровой установки (НКР)</t>
        </is>
      </c>
      <c r="C33" s="178" t="inlineStr"/>
      <c r="D33" s="179" t="n"/>
      <c r="E33" s="179" t="inlineStr">
        <is>
          <t>внутр</t>
        </is>
      </c>
      <c r="F33" s="179" t="n"/>
      <c r="G33" s="179" t="n"/>
      <c r="H33" s="179" t="n"/>
      <c r="I33" s="179" t="n"/>
      <c r="J33" s="179" t="n"/>
      <c r="K33" s="179" t="n"/>
      <c r="L33" s="179" t="n"/>
      <c r="M33" s="179" t="n"/>
      <c r="N33" s="179" t="n"/>
      <c r="O33" s="179" t="n"/>
      <c r="P33" s="179" t="inlineStr">
        <is>
          <t>внутр</t>
        </is>
      </c>
      <c r="Q33" s="179" t="inlineStr">
        <is>
          <t>внутр</t>
        </is>
      </c>
      <c r="R33" s="171" t="n"/>
      <c r="S33" s="171" t="n"/>
    </row>
    <row r="34" ht="18" customHeight="1">
      <c r="A34" s="45" t="inlineStr">
        <is>
          <t>работник 135</t>
        </is>
      </c>
      <c r="B34" s="178" t="inlineStr">
        <is>
          <t>Горнорабочий</t>
        </is>
      </c>
      <c r="C34" s="178" t="inlineStr"/>
      <c r="D34" s="179" t="n"/>
      <c r="E34" s="179" t="inlineStr">
        <is>
          <t>внутр</t>
        </is>
      </c>
      <c r="F34" s="179" t="n"/>
      <c r="G34" s="179" t="n"/>
      <c r="H34" s="179" t="n"/>
      <c r="I34" s="179" t="n"/>
      <c r="J34" s="179" t="n"/>
      <c r="K34" s="179" t="n"/>
      <c r="L34" s="179" t="n"/>
      <c r="M34" s="179" t="n"/>
      <c r="N34" s="179" t="n"/>
      <c r="O34" s="179" t="n"/>
      <c r="P34" s="179" t="inlineStr">
        <is>
          <t>внутр</t>
        </is>
      </c>
      <c r="Q34" s="179" t="inlineStr">
        <is>
          <t>внутр</t>
        </is>
      </c>
      <c r="R34" s="171" t="n"/>
      <c r="S34" s="171" t="n"/>
    </row>
    <row r="35" ht="18" customHeight="1">
      <c r="A35" s="45" t="inlineStr">
        <is>
          <t>работник 899</t>
        </is>
      </c>
      <c r="B35" s="178" t="inlineStr">
        <is>
          <t>Водитель автомобиля (занятый на транспортировании горной массы в технологическом процессе)</t>
        </is>
      </c>
      <c r="C35" s="178" t="inlineStr"/>
      <c r="D35" s="179" t="n"/>
      <c r="E35" s="179" t="inlineStr">
        <is>
          <t>внутр</t>
        </is>
      </c>
      <c r="F35" s="179" t="n"/>
      <c r="G35" s="179" t="n"/>
      <c r="H35" s="179" t="n"/>
      <c r="I35" s="179" t="n"/>
      <c r="J35" s="179" t="n"/>
      <c r="K35" s="179" t="n"/>
      <c r="L35" s="179" t="n"/>
      <c r="M35" s="179" t="n"/>
      <c r="N35" s="179" t="n"/>
      <c r="O35" s="179" t="n"/>
      <c r="P35" s="179" t="inlineStr">
        <is>
          <t>внутр</t>
        </is>
      </c>
      <c r="Q35" s="179" t="inlineStr">
        <is>
          <t>внутр</t>
        </is>
      </c>
      <c r="R35" s="171" t="n"/>
      <c r="S35" s="171" t="n"/>
    </row>
    <row r="36" ht="18" customHeight="1">
      <c r="A36" s="45" t="inlineStr">
        <is>
          <t>работник 672</t>
        </is>
      </c>
      <c r="B36" s="178" t="inlineStr">
        <is>
          <t>Горнорабочий на маркшейдерских работах</t>
        </is>
      </c>
      <c r="C36" s="178" t="inlineStr"/>
      <c r="D36" s="179" t="n"/>
      <c r="E36" s="179" t="inlineStr">
        <is>
          <t>внутр</t>
        </is>
      </c>
      <c r="F36" s="179" t="n"/>
      <c r="G36" s="179" t="n"/>
      <c r="H36" s="179" t="n"/>
      <c r="I36" s="179" t="n"/>
      <c r="J36" s="179" t="n"/>
      <c r="K36" s="179" t="n"/>
      <c r="L36" s="179" t="n"/>
      <c r="M36" s="179" t="n"/>
      <c r="N36" s="179" t="n"/>
      <c r="O36" s="179" t="n"/>
      <c r="P36" s="179" t="inlineStr">
        <is>
          <t>внутр</t>
        </is>
      </c>
      <c r="Q36" s="179" t="inlineStr">
        <is>
          <t>внутр</t>
        </is>
      </c>
      <c r="R36" s="171" t="n"/>
      <c r="S36" s="171" t="n"/>
    </row>
    <row r="37" ht="18" customHeight="1">
      <c r="A37" s="45" t="inlineStr">
        <is>
          <t>работник 5</t>
        </is>
      </c>
      <c r="B37" s="178" t="inlineStr">
        <is>
          <t>Механик по ремонту самоходного транспорта</t>
        </is>
      </c>
      <c r="C37" s="178" t="inlineStr"/>
      <c r="D37" s="181" t="inlineStr">
        <is>
          <t>внеш</t>
        </is>
      </c>
      <c r="E37" s="181" t="inlineStr">
        <is>
          <t>внеш</t>
        </is>
      </c>
      <c r="F37" s="179" t="n"/>
      <c r="G37" s="179" t="n"/>
      <c r="H37" s="179" t="n"/>
      <c r="I37" s="179" t="n"/>
      <c r="J37" s="179" t="n"/>
      <c r="K37" s="179" t="n"/>
      <c r="L37" s="179" t="n"/>
      <c r="M37" s="179" t="n"/>
      <c r="N37" s="179" t="n"/>
      <c r="O37" s="179" t="n"/>
      <c r="P37" s="181" t="inlineStr">
        <is>
          <t>внеш</t>
        </is>
      </c>
      <c r="Q37" s="181" t="inlineStr">
        <is>
          <t>внеш</t>
        </is>
      </c>
      <c r="R37" s="171" t="n"/>
      <c r="S37" s="171" t="n">
        <v>4</v>
      </c>
    </row>
    <row r="38" ht="18" customHeight="1">
      <c r="A38" s="45" t="inlineStr">
        <is>
          <t>работник 655</t>
        </is>
      </c>
      <c r="B38" s="178" t="inlineStr">
        <is>
          <t>Слесарь по ремонту автомобилей и тяжелой техники | Слесарь по ремонту автомобилей</t>
        </is>
      </c>
      <c r="C38" s="178" t="inlineStr"/>
      <c r="D38" s="179" t="n"/>
      <c r="E38" s="179" t="inlineStr">
        <is>
          <t>внутр</t>
        </is>
      </c>
      <c r="F38" s="179" t="n"/>
      <c r="G38" s="179" t="n"/>
      <c r="H38" s="179" t="n"/>
      <c r="I38" s="179" t="n"/>
      <c r="J38" s="179" t="n"/>
      <c r="K38" s="179" t="n"/>
      <c r="L38" s="179" t="n"/>
      <c r="M38" s="179" t="n"/>
      <c r="N38" s="179" t="n"/>
      <c r="O38" s="179" t="n"/>
      <c r="P38" s="179" t="inlineStr">
        <is>
          <t>внутр</t>
        </is>
      </c>
      <c r="Q38" s="179" t="inlineStr">
        <is>
          <t>внутр</t>
        </is>
      </c>
      <c r="R38" s="171" t="n"/>
      <c r="S38" s="171" t="n"/>
    </row>
    <row r="39" ht="18" customHeight="1">
      <c r="A39" s="45" t="inlineStr">
        <is>
          <t>работник 53</t>
        </is>
      </c>
      <c r="B39" s="178" t="inlineStr">
        <is>
          <t>Машинист ДВС</t>
        </is>
      </c>
      <c r="C39" s="178" t="inlineStr"/>
      <c r="D39" s="179" t="n"/>
      <c r="E39" s="179" t="inlineStr">
        <is>
          <t>внутр</t>
        </is>
      </c>
      <c r="F39" s="179" t="n"/>
      <c r="G39" s="179" t="n"/>
      <c r="H39" s="179" t="n"/>
      <c r="I39" s="179" t="n"/>
      <c r="J39" s="179" t="n"/>
      <c r="K39" s="179" t="n"/>
      <c r="L39" s="179" t="n"/>
      <c r="M39" s="179" t="n"/>
      <c r="N39" s="179" t="n"/>
      <c r="O39" s="179" t="n"/>
      <c r="P39" s="179" t="inlineStr">
        <is>
          <t>внутр</t>
        </is>
      </c>
      <c r="Q39" s="179" t="inlineStr">
        <is>
          <t>внутр</t>
        </is>
      </c>
      <c r="R39" s="171" t="n"/>
      <c r="S39" s="171" t="n"/>
    </row>
    <row r="40" ht="18" customHeight="1">
      <c r="A40" s="45" t="inlineStr">
        <is>
          <t>работник 354</t>
        </is>
      </c>
      <c r="B40" s="178" t="inlineStr">
        <is>
          <t>Водитель автомобиля (занятый на транспортировании горной массы в технологическом процессе)</t>
        </is>
      </c>
      <c r="C40" s="178" t="inlineStr"/>
      <c r="D40" s="179" t="n"/>
      <c r="E40" s="179" t="inlineStr">
        <is>
          <t>внутр</t>
        </is>
      </c>
      <c r="F40" s="179" t="n"/>
      <c r="G40" s="179" t="n"/>
      <c r="H40" s="179" t="n"/>
      <c r="I40" s="179" t="n"/>
      <c r="J40" s="179" t="n"/>
      <c r="K40" s="179" t="n"/>
      <c r="L40" s="179" t="n"/>
      <c r="M40" s="179" t="n"/>
      <c r="N40" s="179" t="n"/>
      <c r="O40" s="179" t="n"/>
      <c r="P40" s="179" t="inlineStr">
        <is>
          <t>внутр</t>
        </is>
      </c>
      <c r="Q40" s="179" t="inlineStr">
        <is>
          <t>внутр</t>
        </is>
      </c>
      <c r="R40" s="171" t="n"/>
      <c r="S40" s="171" t="n"/>
    </row>
    <row r="41" ht="18" customHeight="1">
      <c r="A41" s="45" t="inlineStr">
        <is>
          <t>работник 200</t>
        </is>
      </c>
      <c r="B41" s="178" t="inlineStr">
        <is>
          <t>Водитель автомобиля для перевозки взрывчатых материалов</t>
        </is>
      </c>
      <c r="C41" s="178" t="inlineStr"/>
      <c r="D41" s="179" t="n"/>
      <c r="E41" s="179" t="inlineStr">
        <is>
          <t>внутр</t>
        </is>
      </c>
      <c r="F41" s="179" t="n"/>
      <c r="G41" s="179" t="n"/>
      <c r="H41" s="179" t="n"/>
      <c r="I41" s="179" t="n"/>
      <c r="J41" s="179" t="n"/>
      <c r="K41" s="179" t="n"/>
      <c r="L41" s="179" t="n"/>
      <c r="M41" s="179" t="n"/>
      <c r="N41" s="179" t="n"/>
      <c r="O41" s="179" t="n"/>
      <c r="P41" s="179" t="inlineStr">
        <is>
          <t>внутр</t>
        </is>
      </c>
      <c r="Q41" s="179" t="inlineStr">
        <is>
          <t>внутр</t>
        </is>
      </c>
      <c r="R41" s="171" t="n"/>
      <c r="S41" s="171" t="n"/>
    </row>
    <row r="42" ht="18" customHeight="1">
      <c r="A42" s="45" t="inlineStr">
        <is>
          <t>работник 784</t>
        </is>
      </c>
      <c r="B42" s="178" t="inlineStr">
        <is>
          <t>Водитель автомобиля (занятый на транспортировании горной массы в технологическом процессе)</t>
        </is>
      </c>
      <c r="C42" s="178" t="inlineStr"/>
      <c r="D42" s="179" t="n"/>
      <c r="E42" s="179" t="inlineStr">
        <is>
          <t>внутр</t>
        </is>
      </c>
      <c r="F42" s="179" t="n"/>
      <c r="G42" s="179" t="n"/>
      <c r="H42" s="179" t="n"/>
      <c r="I42" s="179" t="n"/>
      <c r="J42" s="179" t="n"/>
      <c r="K42" s="179" t="n"/>
      <c r="L42" s="179" t="n"/>
      <c r="M42" s="179" t="n"/>
      <c r="N42" s="179" t="n"/>
      <c r="O42" s="179" t="n"/>
      <c r="P42" s="179" t="inlineStr">
        <is>
          <t>внутр</t>
        </is>
      </c>
      <c r="Q42" s="179" t="inlineStr">
        <is>
          <t>внутр</t>
        </is>
      </c>
      <c r="R42" s="171" t="n"/>
      <c r="S42" s="171" t="n"/>
    </row>
    <row r="43" ht="18" customHeight="1">
      <c r="A43" s="45" t="inlineStr">
        <is>
          <t>работник 367</t>
        </is>
      </c>
      <c r="B43" s="178" t="inlineStr">
        <is>
          <t>Водитель автомобиля (занятый на транспортировании горной массы в технологическом процессе)</t>
        </is>
      </c>
      <c r="C43" s="178" t="inlineStr"/>
      <c r="D43" s="179" t="n"/>
      <c r="E43" s="179" t="inlineStr">
        <is>
          <t>внутр</t>
        </is>
      </c>
      <c r="F43" s="179" t="n"/>
      <c r="G43" s="179" t="n"/>
      <c r="H43" s="179" t="n"/>
      <c r="I43" s="179" t="n"/>
      <c r="J43" s="179" t="n"/>
      <c r="K43" s="179" t="n"/>
      <c r="L43" s="179" t="n"/>
      <c r="M43" s="179" t="n"/>
      <c r="N43" s="179" t="n"/>
      <c r="O43" s="179" t="n"/>
      <c r="P43" s="179" t="inlineStr">
        <is>
          <t>внутр</t>
        </is>
      </c>
      <c r="Q43" s="179" t="inlineStr">
        <is>
          <t>внутр</t>
        </is>
      </c>
      <c r="R43" s="171" t="n"/>
      <c r="S43" s="171" t="n"/>
    </row>
    <row r="44" ht="18" customHeight="1">
      <c r="A44" s="45" t="inlineStr">
        <is>
          <t>работник 816</t>
        </is>
      </c>
      <c r="B44" s="178" t="inlineStr">
        <is>
          <t>Водитель автомобиля (категория D)</t>
        </is>
      </c>
      <c r="C44" s="178" t="inlineStr"/>
      <c r="D44" s="179" t="n"/>
      <c r="E44" s="179" t="inlineStr">
        <is>
          <t>внутр</t>
        </is>
      </c>
      <c r="F44" s="179" t="n"/>
      <c r="G44" s="179" t="n"/>
      <c r="H44" s="179" t="n"/>
      <c r="I44" s="179" t="n"/>
      <c r="J44" s="179" t="n"/>
      <c r="K44" s="179" t="n"/>
      <c r="L44" s="179" t="n"/>
      <c r="M44" s="179" t="n"/>
      <c r="N44" s="179" t="n"/>
      <c r="O44" s="179" t="n"/>
      <c r="P44" s="179" t="n"/>
      <c r="Q44" s="179" t="inlineStr">
        <is>
          <t>внутр</t>
        </is>
      </c>
      <c r="R44" s="171" t="n"/>
      <c r="S44" s="171" t="n"/>
    </row>
    <row r="45" ht="18" customHeight="1">
      <c r="A45" s="45" t="inlineStr">
        <is>
          <t>работник 356</t>
        </is>
      </c>
      <c r="B45" s="178" t="inlineStr">
        <is>
          <t>Водитель погрузчика</t>
        </is>
      </c>
      <c r="C45" s="178" t="inlineStr"/>
      <c r="D45" s="179" t="n"/>
      <c r="E45" s="179" t="inlineStr">
        <is>
          <t>внутр</t>
        </is>
      </c>
      <c r="F45" s="179" t="n"/>
      <c r="G45" s="179" t="n"/>
      <c r="H45" s="179" t="n"/>
      <c r="I45" s="179" t="n"/>
      <c r="J45" s="179" t="n"/>
      <c r="K45" s="179" t="n"/>
      <c r="L45" s="179" t="n"/>
      <c r="M45" s="179" t="n"/>
      <c r="N45" s="179" t="n"/>
      <c r="O45" s="179" t="n"/>
      <c r="P45" s="179" t="inlineStr">
        <is>
          <t>внутр</t>
        </is>
      </c>
      <c r="Q45" s="179" t="inlineStr">
        <is>
          <t>внутр</t>
        </is>
      </c>
      <c r="R45" s="171" t="n"/>
      <c r="S45" s="171" t="n"/>
    </row>
    <row r="46" ht="18" customHeight="1">
      <c r="A46" s="45" t="inlineStr">
        <is>
          <t>работник 773</t>
        </is>
      </c>
      <c r="B46" s="178" t="inlineStr">
        <is>
          <t>Слесарь-ремонтник (по ремонту горно-шахтного оборудования)</t>
        </is>
      </c>
      <c r="C46" s="178" t="inlineStr"/>
      <c r="D46" s="179" t="n"/>
      <c r="E46" s="179" t="inlineStr">
        <is>
          <t>внутр</t>
        </is>
      </c>
      <c r="F46" s="179" t="n"/>
      <c r="G46" s="179" t="inlineStr">
        <is>
          <t>внутр</t>
        </is>
      </c>
      <c r="H46" s="179" t="n"/>
      <c r="I46" s="179" t="n"/>
      <c r="J46" s="179" t="n"/>
      <c r="K46" s="179" t="n"/>
      <c r="L46" s="179" t="n"/>
      <c r="M46" s="179" t="n"/>
      <c r="N46" s="179" t="n"/>
      <c r="O46" s="179" t="n"/>
      <c r="P46" s="179" t="inlineStr">
        <is>
          <t>внутр</t>
        </is>
      </c>
      <c r="Q46" s="179" t="inlineStr">
        <is>
          <t>внутр</t>
        </is>
      </c>
      <c r="R46" s="171" t="n"/>
      <c r="S46" s="171" t="n"/>
    </row>
    <row r="47" ht="18" customHeight="1">
      <c r="A47" s="45" t="inlineStr">
        <is>
          <t>работник 148</t>
        </is>
      </c>
      <c r="B47" s="178" t="inlineStr">
        <is>
          <t>Машинист подземно-доставочной машины | Машинист погрузочно-доставочной машины (занятый на транспортировании горной массы в технологическом процессе)</t>
        </is>
      </c>
      <c r="C47" s="178" t="inlineStr"/>
      <c r="D47" s="179" t="n"/>
      <c r="E47" s="179" t="inlineStr">
        <is>
          <t>внутр</t>
        </is>
      </c>
      <c r="F47" s="179" t="n"/>
      <c r="G47" s="179" t="n"/>
      <c r="H47" s="179" t="n"/>
      <c r="I47" s="179" t="n"/>
      <c r="J47" s="179" t="n"/>
      <c r="K47" s="179" t="n"/>
      <c r="L47" s="179" t="n"/>
      <c r="M47" s="179" t="n"/>
      <c r="N47" s="179" t="n"/>
      <c r="O47" s="179" t="n"/>
      <c r="P47" s="179" t="inlineStr">
        <is>
          <t>внутр</t>
        </is>
      </c>
      <c r="Q47" s="179" t="inlineStr">
        <is>
          <t>внутр</t>
        </is>
      </c>
      <c r="R47" s="171" t="n"/>
      <c r="S47" s="171" t="n"/>
    </row>
    <row r="48" ht="18" customHeight="1">
      <c r="A48" s="45" t="inlineStr">
        <is>
          <t>работник 831</t>
        </is>
      </c>
      <c r="B48" s="178" t="inlineStr">
        <is>
          <t>Бункеровщик</t>
        </is>
      </c>
      <c r="C48" s="178" t="inlineStr"/>
      <c r="D48" s="179" t="n"/>
      <c r="E48" s="179" t="inlineStr">
        <is>
          <t>внутр</t>
        </is>
      </c>
      <c r="F48" s="179" t="n"/>
      <c r="G48" s="179" t="n"/>
      <c r="H48" s="179" t="n"/>
      <c r="I48" s="179" t="n"/>
      <c r="J48" s="179" t="n"/>
      <c r="K48" s="179" t="n"/>
      <c r="L48" s="179" t="n"/>
      <c r="M48" s="179" t="n"/>
      <c r="N48" s="179" t="n"/>
      <c r="O48" s="179" t="n"/>
      <c r="P48" s="179" t="inlineStr">
        <is>
          <t>внутр</t>
        </is>
      </c>
      <c r="Q48" s="179" t="inlineStr">
        <is>
          <t>внутр</t>
        </is>
      </c>
      <c r="R48" s="171" t="n"/>
      <c r="S48" s="171" t="n"/>
    </row>
    <row r="49" ht="18" customHeight="1">
      <c r="A49" s="45" t="inlineStr">
        <is>
          <t>работник 840</t>
        </is>
      </c>
      <c r="B49" s="178" t="inlineStr">
        <is>
          <t>Машинист погрузочно-доставочной машины (занятый на транспортировании горной массы в технологическом процессе)</t>
        </is>
      </c>
      <c r="C49" s="178" t="inlineStr"/>
      <c r="D49" s="179" t="n"/>
      <c r="E49" s="179" t="inlineStr">
        <is>
          <t>внутр</t>
        </is>
      </c>
      <c r="F49" s="179" t="n"/>
      <c r="G49" s="179" t="n"/>
      <c r="H49" s="179" t="n"/>
      <c r="I49" s="179" t="n"/>
      <c r="J49" s="179" t="n"/>
      <c r="K49" s="179" t="n"/>
      <c r="L49" s="179" t="n"/>
      <c r="M49" s="179" t="n"/>
      <c r="N49" s="179" t="n"/>
      <c r="O49" s="179" t="n"/>
      <c r="P49" s="179" t="inlineStr">
        <is>
          <t>внутр</t>
        </is>
      </c>
      <c r="Q49" s="179" t="inlineStr">
        <is>
          <t>внутр</t>
        </is>
      </c>
      <c r="R49" s="171" t="n"/>
      <c r="S49" s="171" t="n"/>
    </row>
    <row r="50" ht="18" customHeight="1">
      <c r="A50" s="45" t="inlineStr">
        <is>
          <t>работник 56</t>
        </is>
      </c>
      <c r="B50" s="178" t="inlineStr">
        <is>
          <t>Машинист насосных установок</t>
        </is>
      </c>
      <c r="C50" s="178" t="inlineStr"/>
      <c r="D50" s="179" t="n"/>
      <c r="E50" s="179" t="inlineStr">
        <is>
          <t>внутр</t>
        </is>
      </c>
      <c r="F50" s="179" t="n"/>
      <c r="G50" s="179" t="n"/>
      <c r="H50" s="179" t="n"/>
      <c r="I50" s="179" t="n"/>
      <c r="J50" s="179" t="n"/>
      <c r="K50" s="179" t="n"/>
      <c r="L50" s="179" t="n"/>
      <c r="M50" s="179" t="n"/>
      <c r="N50" s="179" t="n"/>
      <c r="O50" s="179" t="n"/>
      <c r="P50" s="179" t="inlineStr">
        <is>
          <t>внутр</t>
        </is>
      </c>
      <c r="Q50" s="179" t="inlineStr">
        <is>
          <t>внутр</t>
        </is>
      </c>
      <c r="R50" s="171" t="n"/>
      <c r="S50" s="171" t="n"/>
    </row>
    <row r="51" ht="18" customHeight="1">
      <c r="A51" s="45" t="inlineStr">
        <is>
          <t>работник 687</t>
        </is>
      </c>
      <c r="B51" s="178" t="inlineStr">
        <is>
          <t>Заместитель начальника участка</t>
        </is>
      </c>
      <c r="C51" s="178" t="inlineStr">
        <is>
          <t>Руководитель</t>
        </is>
      </c>
      <c r="D51" s="179" t="n"/>
      <c r="E51" s="179" t="n"/>
      <c r="F51" s="179" t="n"/>
      <c r="G51" s="180" t="inlineStr">
        <is>
          <t>внутр</t>
        </is>
      </c>
      <c r="H51" s="179" t="n"/>
      <c r="I51" s="179" t="n"/>
      <c r="J51" s="179" t="n"/>
      <c r="K51" s="179" t="n"/>
      <c r="L51" s="179" t="n"/>
      <c r="M51" s="179" t="n"/>
      <c r="N51" s="179" t="n"/>
      <c r="O51" s="179" t="n"/>
      <c r="P51" s="179" t="n"/>
      <c r="Q51" s="179" t="n"/>
      <c r="R51" s="171" t="n">
        <v>1</v>
      </c>
      <c r="S51" s="171" t="n"/>
    </row>
    <row r="52" ht="18" customHeight="1">
      <c r="A52" s="45" t="inlineStr">
        <is>
          <t>работник 504</t>
        </is>
      </c>
      <c r="B52" s="178" t="inlineStr">
        <is>
          <t>Электрогазосварщик | Электрогазосварщик (занятый на резке и ручной сварке)</t>
        </is>
      </c>
      <c r="C52" s="178" t="inlineStr"/>
      <c r="D52" s="179" t="n"/>
      <c r="E52" s="179" t="inlineStr">
        <is>
          <t>внутр</t>
        </is>
      </c>
      <c r="F52" s="179" t="inlineStr">
        <is>
          <t>внутр</t>
        </is>
      </c>
      <c r="G52" s="179" t="inlineStr">
        <is>
          <t>внутр</t>
        </is>
      </c>
      <c r="H52" s="179" t="inlineStr">
        <is>
          <t>внутр</t>
        </is>
      </c>
      <c r="I52" s="179" t="inlineStr">
        <is>
          <t>внутр</t>
        </is>
      </c>
      <c r="J52" s="179" t="inlineStr">
        <is>
          <t>внутр</t>
        </is>
      </c>
      <c r="K52" s="179" t="inlineStr">
        <is>
          <t>внутр</t>
        </is>
      </c>
      <c r="L52" s="179" t="n"/>
      <c r="M52" s="179" t="n"/>
      <c r="N52" s="179" t="n"/>
      <c r="O52" s="179" t="n"/>
      <c r="P52" s="179" t="inlineStr">
        <is>
          <t>внутр</t>
        </is>
      </c>
      <c r="Q52" s="179" t="inlineStr">
        <is>
          <t>внутр</t>
        </is>
      </c>
      <c r="R52" s="171" t="n"/>
      <c r="S52" s="171" t="n"/>
    </row>
    <row r="53" ht="18" customHeight="1">
      <c r="A53" s="45" t="inlineStr">
        <is>
          <t>работник 79</t>
        </is>
      </c>
      <c r="B53" s="178" t="inlineStr">
        <is>
          <t>Плотник</t>
        </is>
      </c>
      <c r="C53" s="178" t="inlineStr"/>
      <c r="D53" s="179" t="n"/>
      <c r="E53" s="179" t="inlineStr">
        <is>
          <t>внутр</t>
        </is>
      </c>
      <c r="F53" s="179" t="inlineStr">
        <is>
          <t>внутр</t>
        </is>
      </c>
      <c r="G53" s="179" t="n"/>
      <c r="H53" s="179" t="n"/>
      <c r="I53" s="179" t="n"/>
      <c r="J53" s="179" t="n"/>
      <c r="K53" s="179" t="n"/>
      <c r="L53" s="179" t="n"/>
      <c r="M53" s="179" t="inlineStr">
        <is>
          <t>внутр</t>
        </is>
      </c>
      <c r="N53" s="179" t="inlineStr">
        <is>
          <t>внутр</t>
        </is>
      </c>
      <c r="O53" s="179" t="n"/>
      <c r="P53" s="179" t="inlineStr">
        <is>
          <t>внутр</t>
        </is>
      </c>
      <c r="Q53" s="179" t="inlineStr">
        <is>
          <t>внутр</t>
        </is>
      </c>
      <c r="R53" s="171" t="n"/>
      <c r="S53" s="171" t="n"/>
    </row>
    <row r="54" ht="18" customHeight="1">
      <c r="A54" s="45" t="inlineStr">
        <is>
          <t>работник 149</t>
        </is>
      </c>
      <c r="B54" s="178" t="inlineStr">
        <is>
          <t>Машинист подземно-доставочной машины | Машинист погрузочно-доставочной машины</t>
        </is>
      </c>
      <c r="C54" s="178" t="inlineStr"/>
      <c r="D54" s="179" t="n"/>
      <c r="E54" s="179" t="inlineStr">
        <is>
          <t>внутр</t>
        </is>
      </c>
      <c r="F54" s="179" t="n"/>
      <c r="G54" s="179" t="n"/>
      <c r="H54" s="179" t="n"/>
      <c r="I54" s="179" t="n"/>
      <c r="J54" s="179" t="n"/>
      <c r="K54" s="179" t="n"/>
      <c r="L54" s="179" t="n"/>
      <c r="M54" s="179" t="n"/>
      <c r="N54" s="179" t="n"/>
      <c r="O54" s="179" t="n"/>
      <c r="P54" s="179" t="inlineStr">
        <is>
          <t>внутр</t>
        </is>
      </c>
      <c r="Q54" s="179" t="inlineStr">
        <is>
          <t>внутр</t>
        </is>
      </c>
      <c r="R54" s="171" t="n"/>
      <c r="S54" s="171" t="n"/>
    </row>
    <row r="55" ht="18" customHeight="1">
      <c r="A55" s="45" t="inlineStr">
        <is>
          <t>работник 150</t>
        </is>
      </c>
      <c r="B55" s="178" t="inlineStr">
        <is>
          <t>Помощник машиниста самоходной буровой установки | Помощник машиниста  самоходной буровой установки (с исполнением обязанностей пробоотборщика) (Очистное)</t>
        </is>
      </c>
      <c r="C55" s="178" t="inlineStr"/>
      <c r="D55" s="179" t="n"/>
      <c r="E55" s="179" t="inlineStr">
        <is>
          <t>внутр</t>
        </is>
      </c>
      <c r="F55" s="179" t="n"/>
      <c r="G55" s="179" t="n"/>
      <c r="H55" s="179" t="n"/>
      <c r="I55" s="179" t="n"/>
      <c r="J55" s="179" t="n"/>
      <c r="K55" s="179" t="n"/>
      <c r="L55" s="179" t="n"/>
      <c r="M55" s="179" t="n"/>
      <c r="N55" s="179" t="n"/>
      <c r="O55" s="179" t="n"/>
      <c r="P55" s="179" t="inlineStr">
        <is>
          <t>внутр</t>
        </is>
      </c>
      <c r="Q55" s="179" t="inlineStr">
        <is>
          <t>внутр</t>
        </is>
      </c>
      <c r="R55" s="171" t="n"/>
      <c r="S55" s="171" t="n"/>
    </row>
    <row r="56" ht="18" customHeight="1">
      <c r="A56" s="45" t="inlineStr">
        <is>
          <t>работник 151</t>
        </is>
      </c>
      <c r="B56" s="178" t="inlineStr">
        <is>
          <t>Машинист подземно-доставочной машины | Машинист погрузочно-доставочной машины (занятый на транспортировании горной массы в технологическом процессе)</t>
        </is>
      </c>
      <c r="C56" s="178" t="inlineStr"/>
      <c r="D56" s="179" t="n"/>
      <c r="E56" s="179" t="inlineStr">
        <is>
          <t>внутр</t>
        </is>
      </c>
      <c r="F56" s="179" t="n"/>
      <c r="G56" s="179" t="n"/>
      <c r="H56" s="179" t="n"/>
      <c r="I56" s="179" t="n"/>
      <c r="J56" s="179" t="n"/>
      <c r="K56" s="179" t="n"/>
      <c r="L56" s="179" t="n"/>
      <c r="M56" s="179" t="n"/>
      <c r="N56" s="179" t="n"/>
      <c r="O56" s="179" t="n"/>
      <c r="P56" s="179" t="inlineStr">
        <is>
          <t>внутр</t>
        </is>
      </c>
      <c r="Q56" s="179" t="inlineStr">
        <is>
          <t>внутр</t>
        </is>
      </c>
      <c r="R56" s="171" t="n"/>
      <c r="S56" s="171" t="n"/>
    </row>
    <row r="57" ht="18" customHeight="1">
      <c r="A57" s="45" t="inlineStr">
        <is>
          <t>работник 109</t>
        </is>
      </c>
      <c r="B57" s="178" t="inlineStr">
        <is>
          <t>Повар</t>
        </is>
      </c>
      <c r="C57" s="178" t="inlineStr"/>
      <c r="D57" s="179" t="n"/>
      <c r="E57" s="179" t="inlineStr">
        <is>
          <t>внутр</t>
        </is>
      </c>
      <c r="F57" s="179" t="n"/>
      <c r="G57" s="179" t="n"/>
      <c r="H57" s="179" t="n"/>
      <c r="I57" s="179" t="n"/>
      <c r="J57" s="179" t="n"/>
      <c r="K57" s="179" t="n"/>
      <c r="L57" s="179" t="n"/>
      <c r="M57" s="179" t="n"/>
      <c r="N57" s="179" t="n"/>
      <c r="O57" s="179" t="n"/>
      <c r="P57" s="179" t="inlineStr">
        <is>
          <t>внутр</t>
        </is>
      </c>
      <c r="Q57" s="179" t="inlineStr">
        <is>
          <t>внутр</t>
        </is>
      </c>
      <c r="R57" s="171" t="n"/>
      <c r="S57" s="171" t="n"/>
    </row>
    <row r="58" ht="18" customHeight="1">
      <c r="A58" s="45" t="inlineStr">
        <is>
          <t>работник 94</t>
        </is>
      </c>
      <c r="B58" s="178" t="inlineStr">
        <is>
          <t>Кухонный рабочий | Горнорабочий на геологических работах</t>
        </is>
      </c>
      <c r="C58" s="178" t="inlineStr"/>
      <c r="D58" s="179" t="n"/>
      <c r="E58" s="179" t="inlineStr">
        <is>
          <t>внутр</t>
        </is>
      </c>
      <c r="F58" s="179" t="n"/>
      <c r="G58" s="179" t="n"/>
      <c r="H58" s="179" t="n"/>
      <c r="I58" s="179" t="n"/>
      <c r="J58" s="179" t="n"/>
      <c r="K58" s="179" t="n"/>
      <c r="L58" s="179" t="n"/>
      <c r="M58" s="179" t="n"/>
      <c r="N58" s="179" t="n"/>
      <c r="O58" s="179" t="n"/>
      <c r="P58" s="179" t="inlineStr">
        <is>
          <t>внутр</t>
        </is>
      </c>
      <c r="Q58" s="179" t="inlineStr">
        <is>
          <t>внутр</t>
        </is>
      </c>
      <c r="R58" s="171" t="n"/>
      <c r="S58" s="171" t="n"/>
    </row>
    <row r="59" ht="18" customHeight="1">
      <c r="A59" s="45" t="inlineStr">
        <is>
          <t>работник 905</t>
        </is>
      </c>
      <c r="B59" s="178" t="inlineStr">
        <is>
          <t>Водитель автомобиля (категория С)</t>
        </is>
      </c>
      <c r="C59" s="178" t="inlineStr"/>
      <c r="D59" s="179" t="n"/>
      <c r="E59" s="179" t="inlineStr">
        <is>
          <t>внутр</t>
        </is>
      </c>
      <c r="F59" s="179" t="n"/>
      <c r="G59" s="179" t="n"/>
      <c r="H59" s="179" t="n"/>
      <c r="I59" s="179" t="n"/>
      <c r="J59" s="179" t="n"/>
      <c r="K59" s="179" t="n"/>
      <c r="L59" s="179" t="n"/>
      <c r="M59" s="179" t="n"/>
      <c r="N59" s="179" t="n"/>
      <c r="O59" s="179" t="n"/>
      <c r="P59" s="179" t="inlineStr">
        <is>
          <t>внутр</t>
        </is>
      </c>
      <c r="Q59" s="179" t="inlineStr">
        <is>
          <t>внутр</t>
        </is>
      </c>
      <c r="R59" s="171" t="n"/>
      <c r="S59" s="171" t="n"/>
    </row>
    <row r="60" ht="18" customHeight="1">
      <c r="A60" s="45" t="inlineStr">
        <is>
          <t>работник 779</t>
        </is>
      </c>
      <c r="B60" s="178" t="inlineStr">
        <is>
          <t>Помощник машиниста самоходной буровой установки (с исполнением обязанностей пробоотборщика)</t>
        </is>
      </c>
      <c r="C60" s="178" t="inlineStr"/>
      <c r="D60" s="179" t="n"/>
      <c r="E60" s="179" t="inlineStr">
        <is>
          <t>внутр</t>
        </is>
      </c>
      <c r="F60" s="179" t="n"/>
      <c r="G60" s="179" t="n"/>
      <c r="H60" s="179" t="n"/>
      <c r="I60" s="179" t="n"/>
      <c r="J60" s="179" t="n"/>
      <c r="K60" s="179" t="n"/>
      <c r="L60" s="179" t="n"/>
      <c r="M60" s="179" t="n"/>
      <c r="N60" s="179" t="n"/>
      <c r="O60" s="179" t="n"/>
      <c r="P60" s="179" t="inlineStr">
        <is>
          <t>внутр</t>
        </is>
      </c>
      <c r="Q60" s="179" t="inlineStr">
        <is>
          <t>внутр</t>
        </is>
      </c>
      <c r="R60" s="171" t="n"/>
      <c r="S60" s="171" t="n"/>
    </row>
    <row r="61" ht="18" customHeight="1">
      <c r="A61" s="45" t="inlineStr">
        <is>
          <t>работник 627</t>
        </is>
      </c>
      <c r="B61" s="178" t="inlineStr">
        <is>
          <t>Подсобный рабочий</t>
        </is>
      </c>
      <c r="C61" s="178" t="inlineStr"/>
      <c r="D61" s="179" t="n"/>
      <c r="E61" s="179" t="inlineStr">
        <is>
          <t>внутр</t>
        </is>
      </c>
      <c r="F61" s="179" t="n"/>
      <c r="G61" s="179" t="n"/>
      <c r="H61" s="179" t="n"/>
      <c r="I61" s="179" t="n"/>
      <c r="J61" s="179" t="n"/>
      <c r="K61" s="179" t="n"/>
      <c r="L61" s="179" t="n"/>
      <c r="M61" s="179" t="n"/>
      <c r="N61" s="179" t="n"/>
      <c r="O61" s="179" t="n"/>
      <c r="P61" s="179" t="inlineStr">
        <is>
          <t>внутр</t>
        </is>
      </c>
      <c r="Q61" s="179" t="inlineStr">
        <is>
          <t>внутр</t>
        </is>
      </c>
      <c r="R61" s="171" t="n"/>
      <c r="S61" s="171" t="n"/>
    </row>
    <row r="62" ht="18" customHeight="1">
      <c r="A62" s="45" t="inlineStr">
        <is>
          <t>работник 471</t>
        </is>
      </c>
      <c r="B62" s="178" t="inlineStr">
        <is>
          <t>Контролер</t>
        </is>
      </c>
      <c r="C62" s="178" t="inlineStr"/>
      <c r="D62" s="179" t="n"/>
      <c r="E62" s="179" t="inlineStr">
        <is>
          <t>внутр</t>
        </is>
      </c>
      <c r="F62" s="179" t="n"/>
      <c r="G62" s="179" t="n"/>
      <c r="H62" s="179" t="n"/>
      <c r="I62" s="179" t="n"/>
      <c r="J62" s="179" t="n"/>
      <c r="K62" s="179" t="n"/>
      <c r="L62" s="179" t="n"/>
      <c r="M62" s="179" t="n"/>
      <c r="N62" s="179" t="n"/>
      <c r="O62" s="179" t="n"/>
      <c r="P62" s="179" t="n"/>
      <c r="Q62" s="179" t="inlineStr">
        <is>
          <t>внутр</t>
        </is>
      </c>
      <c r="R62" s="171" t="n"/>
      <c r="S62" s="171" t="n"/>
    </row>
    <row r="63" ht="18" customHeight="1">
      <c r="A63" s="45" t="inlineStr">
        <is>
          <t>работник 260</t>
        </is>
      </c>
      <c r="B63" s="178" t="inlineStr">
        <is>
          <t>Водитель автомобиля (занятый на транспортировании горной массы в технологическом процессе)</t>
        </is>
      </c>
      <c r="C63" s="178" t="inlineStr"/>
      <c r="D63" s="179" t="n"/>
      <c r="E63" s="179" t="inlineStr">
        <is>
          <t>внутр</t>
        </is>
      </c>
      <c r="F63" s="179" t="n"/>
      <c r="G63" s="179" t="n"/>
      <c r="H63" s="179" t="n"/>
      <c r="I63" s="179" t="n"/>
      <c r="J63" s="179" t="n"/>
      <c r="K63" s="179" t="n"/>
      <c r="L63" s="179" t="n"/>
      <c r="M63" s="179" t="n"/>
      <c r="N63" s="179" t="n"/>
      <c r="O63" s="179" t="n"/>
      <c r="P63" s="179" t="inlineStr">
        <is>
          <t>внутр</t>
        </is>
      </c>
      <c r="Q63" s="179" t="inlineStr">
        <is>
          <t>внутр</t>
        </is>
      </c>
      <c r="R63" s="171" t="n"/>
      <c r="S63" s="171" t="n"/>
    </row>
    <row r="64" ht="18" customHeight="1">
      <c r="A64" s="45" t="inlineStr">
        <is>
          <t>работник 152</t>
        </is>
      </c>
      <c r="B64" s="178" t="inlineStr">
        <is>
          <t>Машинист подземно-доставочной машины | Машинист погрузочно-доставочной машины (занятый на транспортировании горной массы в технологическом процессе)</t>
        </is>
      </c>
      <c r="C64" s="178" t="inlineStr"/>
      <c r="D64" s="179" t="n"/>
      <c r="E64" s="179" t="inlineStr">
        <is>
          <t>внутр</t>
        </is>
      </c>
      <c r="F64" s="179" t="n"/>
      <c r="G64" s="179" t="n"/>
      <c r="H64" s="179" t="n"/>
      <c r="I64" s="179" t="n"/>
      <c r="J64" s="179" t="n"/>
      <c r="K64" s="179" t="n"/>
      <c r="L64" s="179" t="n"/>
      <c r="M64" s="179" t="n"/>
      <c r="N64" s="179" t="n"/>
      <c r="O64" s="179" t="n"/>
      <c r="P64" s="179" t="inlineStr">
        <is>
          <t>внутр</t>
        </is>
      </c>
      <c r="Q64" s="179" t="inlineStr">
        <is>
          <t>внутр</t>
        </is>
      </c>
      <c r="R64" s="171" t="n"/>
      <c r="S64" s="171" t="n"/>
    </row>
    <row r="65" ht="18" customHeight="1">
      <c r="A65" s="45" t="inlineStr">
        <is>
          <t>работник 688</t>
        </is>
      </c>
      <c r="B65" s="178" t="inlineStr">
        <is>
          <t>Монтажник по монтажу стальных и железобетонных конструкций</t>
        </is>
      </c>
      <c r="C65" s="178" t="inlineStr"/>
      <c r="D65" s="179" t="n"/>
      <c r="E65" s="179" t="inlineStr">
        <is>
          <t>внутр</t>
        </is>
      </c>
      <c r="F65" s="179" t="n"/>
      <c r="G65" s="179" t="n"/>
      <c r="H65" s="179" t="n"/>
      <c r="I65" s="179" t="n"/>
      <c r="J65" s="179" t="n"/>
      <c r="K65" s="179" t="n"/>
      <c r="L65" s="179" t="n"/>
      <c r="M65" s="179" t="n"/>
      <c r="N65" s="179" t="n"/>
      <c r="O65" s="179" t="n"/>
      <c r="P65" s="179" t="n"/>
      <c r="Q65" s="179" t="inlineStr">
        <is>
          <t>внутр</t>
        </is>
      </c>
      <c r="R65" s="171" t="n"/>
      <c r="S65" s="171" t="n"/>
    </row>
    <row r="66" ht="18" customHeight="1">
      <c r="A66" s="45" t="inlineStr">
        <is>
          <t>работник 223</t>
        </is>
      </c>
      <c r="B66" s="178" t="inlineStr">
        <is>
          <t>Водитель автомобиля (категория Д)</t>
        </is>
      </c>
      <c r="C66" s="178" t="inlineStr"/>
      <c r="D66" s="179" t="n"/>
      <c r="E66" s="179" t="inlineStr">
        <is>
          <t>внутр</t>
        </is>
      </c>
      <c r="F66" s="179" t="n"/>
      <c r="G66" s="179" t="n"/>
      <c r="H66" s="179" t="n"/>
      <c r="I66" s="179" t="n"/>
      <c r="J66" s="179" t="n"/>
      <c r="K66" s="179" t="n"/>
      <c r="L66" s="179" t="n"/>
      <c r="M66" s="179" t="n"/>
      <c r="N66" s="179" t="n"/>
      <c r="O66" s="179" t="n"/>
      <c r="P66" s="179" t="inlineStr">
        <is>
          <t>внутр</t>
        </is>
      </c>
      <c r="Q66" s="179" t="inlineStr">
        <is>
          <t>внутр</t>
        </is>
      </c>
      <c r="R66" s="171" t="n"/>
      <c r="S66" s="171" t="n"/>
    </row>
    <row r="67" ht="18" customHeight="1">
      <c r="A67" s="45" t="inlineStr">
        <is>
          <t>работник 153</t>
        </is>
      </c>
      <c r="B67" s="178" t="inlineStr">
        <is>
          <t>Машинист подземно-доставочной машины</t>
        </is>
      </c>
      <c r="C67" s="178" t="inlineStr"/>
      <c r="D67" s="179" t="n"/>
      <c r="E67" s="179" t="inlineStr">
        <is>
          <t>внутр</t>
        </is>
      </c>
      <c r="F67" s="179" t="n"/>
      <c r="G67" s="179" t="n"/>
      <c r="H67" s="179" t="n"/>
      <c r="I67" s="179" t="n"/>
      <c r="J67" s="179" t="n"/>
      <c r="K67" s="179" t="n"/>
      <c r="L67" s="179" t="n"/>
      <c r="M67" s="179" t="n"/>
      <c r="N67" s="179" t="n"/>
      <c r="O67" s="179" t="n"/>
      <c r="P67" s="179" t="inlineStr">
        <is>
          <t>внутр</t>
        </is>
      </c>
      <c r="Q67" s="179" t="inlineStr">
        <is>
          <t>внутр</t>
        </is>
      </c>
      <c r="R67" s="171" t="n"/>
      <c r="S67" s="171" t="n"/>
    </row>
    <row r="68" ht="18" customHeight="1">
      <c r="A68" s="45" t="inlineStr">
        <is>
          <t>работник 307</t>
        </is>
      </c>
      <c r="B68" s="178" t="inlineStr">
        <is>
          <t>Электрослесарь (слесарь) дежурный и по ремонту оборудования подземного горного участка</t>
        </is>
      </c>
      <c r="C68" s="178" t="inlineStr"/>
      <c r="D68" s="179" t="n"/>
      <c r="E68" s="179" t="inlineStr">
        <is>
          <t>внутр</t>
        </is>
      </c>
      <c r="F68" s="179" t="n"/>
      <c r="G68" s="179" t="n"/>
      <c r="H68" s="179" t="n"/>
      <c r="I68" s="179" t="n"/>
      <c r="J68" s="179" t="n"/>
      <c r="K68" s="179" t="n"/>
      <c r="L68" s="179" t="n"/>
      <c r="M68" s="179" t="n"/>
      <c r="N68" s="179" t="n"/>
      <c r="O68" s="179" t="n"/>
      <c r="P68" s="179" t="inlineStr">
        <is>
          <t>внутр</t>
        </is>
      </c>
      <c r="Q68" s="179" t="inlineStr">
        <is>
          <t>внутр</t>
        </is>
      </c>
      <c r="R68" s="171" t="n"/>
      <c r="S68" s="171" t="n"/>
    </row>
    <row r="69" ht="18" customHeight="1">
      <c r="A69" s="45" t="inlineStr">
        <is>
          <t>работник 230</t>
        </is>
      </c>
      <c r="B69" s="178" t="inlineStr">
        <is>
          <t>Кладовщик</t>
        </is>
      </c>
      <c r="C69" s="178" t="inlineStr"/>
      <c r="D69" s="179" t="n"/>
      <c r="E69" s="179" t="inlineStr">
        <is>
          <t>внутр</t>
        </is>
      </c>
      <c r="F69" s="179" t="n"/>
      <c r="G69" s="179" t="n"/>
      <c r="H69" s="179" t="n"/>
      <c r="I69" s="179" t="n"/>
      <c r="J69" s="179" t="n"/>
      <c r="K69" s="179" t="n"/>
      <c r="L69" s="179" t="n"/>
      <c r="M69" s="179" t="n"/>
      <c r="N69" s="179" t="n"/>
      <c r="O69" s="179" t="n"/>
      <c r="P69" s="179" t="inlineStr">
        <is>
          <t>внутр</t>
        </is>
      </c>
      <c r="Q69" s="179" t="inlineStr">
        <is>
          <t>внутр</t>
        </is>
      </c>
      <c r="R69" s="171" t="n"/>
      <c r="S69" s="171" t="n"/>
    </row>
    <row r="70" ht="18" customHeight="1">
      <c r="A70" s="45" t="inlineStr">
        <is>
          <t>работник 308</t>
        </is>
      </c>
      <c r="B70" s="178" t="inlineStr">
        <is>
          <t>Электрослесарь (слесарь) дежурный и по ремонту оборудования подземного горного участка</t>
        </is>
      </c>
      <c r="C70" s="178" t="inlineStr"/>
      <c r="D70" s="179" t="n"/>
      <c r="E70" s="179" t="inlineStr">
        <is>
          <t>внутр</t>
        </is>
      </c>
      <c r="F70" s="179" t="n"/>
      <c r="G70" s="179" t="n"/>
      <c r="H70" s="179" t="n"/>
      <c r="I70" s="179" t="n"/>
      <c r="J70" s="179" t="n"/>
      <c r="K70" s="179" t="n"/>
      <c r="L70" s="179" t="n"/>
      <c r="M70" s="179" t="n"/>
      <c r="N70" s="179" t="n"/>
      <c r="O70" s="179" t="n"/>
      <c r="P70" s="179" t="inlineStr">
        <is>
          <t>внутр</t>
        </is>
      </c>
      <c r="Q70" s="179" t="inlineStr">
        <is>
          <t>внутр</t>
        </is>
      </c>
      <c r="R70" s="171" t="n"/>
      <c r="S70" s="171" t="n"/>
    </row>
    <row r="71" ht="18" customHeight="1">
      <c r="A71" s="45" t="inlineStr">
        <is>
          <t>работник 64</t>
        </is>
      </c>
      <c r="B71" s="178" t="inlineStr">
        <is>
          <t>Электрослесарь (слесарь)</t>
        </is>
      </c>
      <c r="C71" s="178" t="inlineStr"/>
      <c r="D71" s="179" t="n"/>
      <c r="E71" s="179" t="inlineStr">
        <is>
          <t>внутр</t>
        </is>
      </c>
      <c r="F71" s="179" t="n"/>
      <c r="G71" s="179" t="n"/>
      <c r="H71" s="179" t="n"/>
      <c r="I71" s="179" t="n"/>
      <c r="J71" s="179" t="n"/>
      <c r="K71" s="179" t="n"/>
      <c r="L71" s="179" t="n"/>
      <c r="M71" s="179" t="n"/>
      <c r="N71" s="179" t="n"/>
      <c r="O71" s="179" t="n"/>
      <c r="P71" s="179" t="inlineStr">
        <is>
          <t>внутр</t>
        </is>
      </c>
      <c r="Q71" s="179" t="inlineStr">
        <is>
          <t>внутр</t>
        </is>
      </c>
      <c r="R71" s="171" t="n"/>
      <c r="S71" s="171" t="n"/>
    </row>
    <row r="72" ht="18" customHeight="1">
      <c r="A72" s="45" t="inlineStr">
        <is>
          <t>работник 47</t>
        </is>
      </c>
      <c r="B72" s="178" t="inlineStr">
        <is>
          <t>Механик холодильных установок</t>
        </is>
      </c>
      <c r="C72" s="178" t="inlineStr"/>
      <c r="D72" s="179" t="n"/>
      <c r="E72" s="179" t="inlineStr">
        <is>
          <t>внутр</t>
        </is>
      </c>
      <c r="F72" s="179" t="n"/>
      <c r="G72" s="179" t="n"/>
      <c r="H72" s="179" t="n"/>
      <c r="I72" s="179" t="n"/>
      <c r="J72" s="179" t="n"/>
      <c r="K72" s="179" t="n"/>
      <c r="L72" s="179" t="n"/>
      <c r="M72" s="179" t="n"/>
      <c r="N72" s="179" t="n"/>
      <c r="O72" s="179" t="n"/>
      <c r="P72" s="179" t="inlineStr">
        <is>
          <t>внутр</t>
        </is>
      </c>
      <c r="Q72" s="179" t="inlineStr">
        <is>
          <t>внутр</t>
        </is>
      </c>
      <c r="R72" s="171" t="n"/>
      <c r="S72" s="171" t="n"/>
    </row>
    <row r="73" ht="18" customHeight="1">
      <c r="A73" s="45" t="inlineStr">
        <is>
          <t>работник 479</t>
        </is>
      </c>
      <c r="B73" s="178" t="inlineStr">
        <is>
          <t>Машинист подземных самоходных машин</t>
        </is>
      </c>
      <c r="C73" s="178" t="inlineStr"/>
      <c r="D73" s="179" t="n"/>
      <c r="E73" s="179" t="inlineStr">
        <is>
          <t>внутр</t>
        </is>
      </c>
      <c r="F73" s="179" t="n"/>
      <c r="G73" s="179" t="n"/>
      <c r="H73" s="179" t="n"/>
      <c r="I73" s="179" t="n"/>
      <c r="J73" s="179" t="n"/>
      <c r="K73" s="179" t="n"/>
      <c r="L73" s="179" t="n"/>
      <c r="M73" s="179" t="n"/>
      <c r="N73" s="179" t="n"/>
      <c r="O73" s="179" t="n"/>
      <c r="P73" s="179" t="n"/>
      <c r="Q73" s="179" t="inlineStr">
        <is>
          <t>внутр</t>
        </is>
      </c>
      <c r="R73" s="171" t="n"/>
      <c r="S73" s="171" t="n"/>
    </row>
    <row r="74" ht="18" customHeight="1">
      <c r="A74" s="45" t="inlineStr">
        <is>
          <t>работник 261</t>
        </is>
      </c>
      <c r="B74" s="178" t="inlineStr">
        <is>
          <t>Машинист бульдозера</t>
        </is>
      </c>
      <c r="C74" s="178" t="inlineStr"/>
      <c r="D74" s="179" t="n"/>
      <c r="E74" s="179" t="inlineStr">
        <is>
          <t>внутр</t>
        </is>
      </c>
      <c r="F74" s="179" t="n"/>
      <c r="G74" s="179" t="n"/>
      <c r="H74" s="179" t="n"/>
      <c r="I74" s="179" t="n"/>
      <c r="J74" s="179" t="n"/>
      <c r="K74" s="179" t="n"/>
      <c r="L74" s="179" t="n"/>
      <c r="M74" s="179" t="n"/>
      <c r="N74" s="179" t="n"/>
      <c r="O74" s="179" t="n"/>
      <c r="P74" s="179" t="inlineStr">
        <is>
          <t>внутр</t>
        </is>
      </c>
      <c r="Q74" s="179" t="inlineStr">
        <is>
          <t>внутр</t>
        </is>
      </c>
      <c r="R74" s="171" t="n"/>
      <c r="S74" s="171" t="n"/>
    </row>
    <row r="75" ht="18" customHeight="1">
      <c r="A75" s="45" t="inlineStr">
        <is>
          <t>работник 836</t>
        </is>
      </c>
      <c r="B75" s="178" t="inlineStr">
        <is>
          <t>Растворщик реагентов</t>
        </is>
      </c>
      <c r="C75" s="178" t="inlineStr"/>
      <c r="D75" s="179" t="n"/>
      <c r="E75" s="179" t="inlineStr">
        <is>
          <t>внутр</t>
        </is>
      </c>
      <c r="F75" s="179" t="n"/>
      <c r="G75" s="179" t="n"/>
      <c r="H75" s="179" t="n"/>
      <c r="I75" s="179" t="n"/>
      <c r="J75" s="179" t="n"/>
      <c r="K75" s="179" t="n"/>
      <c r="L75" s="179" t="n"/>
      <c r="M75" s="179" t="n"/>
      <c r="N75" s="179" t="n"/>
      <c r="O75" s="179" t="n"/>
      <c r="P75" s="179" t="inlineStr">
        <is>
          <t>внутр</t>
        </is>
      </c>
      <c r="Q75" s="179" t="inlineStr">
        <is>
          <t>внутр</t>
        </is>
      </c>
      <c r="R75" s="171" t="n"/>
      <c r="S75" s="171" t="n"/>
    </row>
    <row r="76" ht="18" customHeight="1">
      <c r="A76" s="45" t="inlineStr">
        <is>
          <t>работник 262</t>
        </is>
      </c>
      <c r="B76" s="178" t="inlineStr">
        <is>
          <t>Электрогазосварщик (занятый на резке и ручной сварке)</t>
        </is>
      </c>
      <c r="C76" s="178" t="inlineStr"/>
      <c r="D76" s="179" t="n"/>
      <c r="E76" s="179" t="inlineStr">
        <is>
          <t>внутр</t>
        </is>
      </c>
      <c r="F76" s="179" t="inlineStr">
        <is>
          <t>внутр</t>
        </is>
      </c>
      <c r="G76" s="179" t="inlineStr">
        <is>
          <t>внутр</t>
        </is>
      </c>
      <c r="H76" s="179" t="n"/>
      <c r="I76" s="179" t="n"/>
      <c r="J76" s="179" t="n"/>
      <c r="K76" s="179" t="n"/>
      <c r="L76" s="179" t="n"/>
      <c r="M76" s="179" t="n"/>
      <c r="N76" s="179" t="n"/>
      <c r="O76" s="179" t="n"/>
      <c r="P76" s="179" t="inlineStr">
        <is>
          <t>внутр</t>
        </is>
      </c>
      <c r="Q76" s="179" t="inlineStr">
        <is>
          <t>внутр</t>
        </is>
      </c>
      <c r="R76" s="171" t="n"/>
      <c r="S76" s="171" t="n"/>
    </row>
    <row r="77" ht="18" customHeight="1">
      <c r="A77" s="45" t="inlineStr">
        <is>
          <t>работник 55</t>
        </is>
      </c>
      <c r="B77" s="178" t="inlineStr">
        <is>
          <t>Машинист насосных установок</t>
        </is>
      </c>
      <c r="C77" s="178" t="inlineStr"/>
      <c r="D77" s="179" t="n"/>
      <c r="E77" s="179" t="inlineStr">
        <is>
          <t>внутр</t>
        </is>
      </c>
      <c r="F77" s="179" t="n"/>
      <c r="G77" s="179" t="n"/>
      <c r="H77" s="179" t="n"/>
      <c r="I77" s="179" t="n"/>
      <c r="J77" s="179" t="n"/>
      <c r="K77" s="179" t="n"/>
      <c r="L77" s="179" t="n"/>
      <c r="M77" s="179" t="n"/>
      <c r="N77" s="179" t="n"/>
      <c r="O77" s="179" t="n"/>
      <c r="P77" s="179" t="inlineStr">
        <is>
          <t>внутр</t>
        </is>
      </c>
      <c r="Q77" s="179" t="inlineStr">
        <is>
          <t>внутр</t>
        </is>
      </c>
      <c r="R77" s="171" t="n"/>
      <c r="S77" s="171" t="n"/>
    </row>
    <row r="78" ht="18" customHeight="1">
      <c r="A78" s="45" t="inlineStr">
        <is>
          <t>работник 263</t>
        </is>
      </c>
      <c r="B78" s="178" t="inlineStr">
        <is>
          <t>Водитель погрузчика</t>
        </is>
      </c>
      <c r="C78" s="178" t="inlineStr"/>
      <c r="D78" s="179" t="n"/>
      <c r="E78" s="179" t="inlineStr">
        <is>
          <t>внутр</t>
        </is>
      </c>
      <c r="F78" s="179" t="n"/>
      <c r="G78" s="179" t="n"/>
      <c r="H78" s="179" t="n"/>
      <c r="I78" s="179" t="n"/>
      <c r="J78" s="179" t="n"/>
      <c r="K78" s="179" t="n"/>
      <c r="L78" s="179" t="n"/>
      <c r="M78" s="179" t="n"/>
      <c r="N78" s="179" t="n"/>
      <c r="O78" s="179" t="n"/>
      <c r="P78" s="179" t="inlineStr">
        <is>
          <t>внутр</t>
        </is>
      </c>
      <c r="Q78" s="179" t="inlineStr">
        <is>
          <t>внутр</t>
        </is>
      </c>
      <c r="R78" s="171" t="n"/>
      <c r="S78" s="171" t="n"/>
    </row>
    <row r="79" ht="18" customHeight="1">
      <c r="A79" s="45" t="inlineStr">
        <is>
          <t>работник 15</t>
        </is>
      </c>
      <c r="B79" s="178" t="inlineStr">
        <is>
          <t>Проходчик (с исполнением обязанностей взрывника)</t>
        </is>
      </c>
      <c r="C79" s="178" t="inlineStr"/>
      <c r="D79" s="179" t="n"/>
      <c r="E79" s="179" t="inlineStr">
        <is>
          <t>внутр</t>
        </is>
      </c>
      <c r="F79" s="179" t="n"/>
      <c r="G79" s="179" t="n"/>
      <c r="H79" s="179" t="n"/>
      <c r="I79" s="179" t="n"/>
      <c r="J79" s="179" t="n"/>
      <c r="K79" s="179" t="n"/>
      <c r="L79" s="179" t="n"/>
      <c r="M79" s="179" t="n"/>
      <c r="N79" s="179" t="n"/>
      <c r="O79" s="179" t="n"/>
      <c r="P79" s="179" t="inlineStr">
        <is>
          <t>внутр</t>
        </is>
      </c>
      <c r="Q79" s="179" t="inlineStr">
        <is>
          <t>внутр</t>
        </is>
      </c>
      <c r="R79" s="171" t="n"/>
      <c r="S79" s="171" t="n"/>
    </row>
    <row r="80" ht="18" customHeight="1">
      <c r="A80" s="45" t="inlineStr">
        <is>
          <t>работник 841</t>
        </is>
      </c>
      <c r="B80" s="178" t="inlineStr">
        <is>
          <t>Машинист самоходной буровой установки</t>
        </is>
      </c>
      <c r="C80" s="178" t="inlineStr"/>
      <c r="D80" s="179" t="n"/>
      <c r="E80" s="179" t="inlineStr">
        <is>
          <t>внутр</t>
        </is>
      </c>
      <c r="F80" s="179" t="n"/>
      <c r="G80" s="179" t="n"/>
      <c r="H80" s="179" t="n"/>
      <c r="I80" s="179" t="n"/>
      <c r="J80" s="179" t="n"/>
      <c r="K80" s="179" t="n"/>
      <c r="L80" s="179" t="n"/>
      <c r="M80" s="179" t="n"/>
      <c r="N80" s="179" t="n"/>
      <c r="O80" s="179" t="n"/>
      <c r="P80" s="179" t="inlineStr">
        <is>
          <t>внутр</t>
        </is>
      </c>
      <c r="Q80" s="179" t="inlineStr">
        <is>
          <t>внутр</t>
        </is>
      </c>
      <c r="R80" s="171" t="n"/>
      <c r="S80" s="171" t="n"/>
    </row>
    <row r="81" ht="18" customHeight="1">
      <c r="A81" s="45" t="inlineStr">
        <is>
          <t>работник 893</t>
        </is>
      </c>
      <c r="B81" s="178" t="inlineStr">
        <is>
          <t>Машинист погрузочно-доставочной машины (занятый на транспортировании горной массы в технологическом процессе)</t>
        </is>
      </c>
      <c r="C81" s="178" t="inlineStr"/>
      <c r="D81" s="179" t="n"/>
      <c r="E81" s="179" t="inlineStr">
        <is>
          <t>внутр</t>
        </is>
      </c>
      <c r="F81" s="179" t="n"/>
      <c r="G81" s="179" t="n"/>
      <c r="H81" s="179" t="n"/>
      <c r="I81" s="179" t="n"/>
      <c r="J81" s="179" t="n"/>
      <c r="K81" s="179" t="n"/>
      <c r="L81" s="179" t="n"/>
      <c r="M81" s="179" t="n"/>
      <c r="N81" s="179" t="n"/>
      <c r="O81" s="179" t="n"/>
      <c r="P81" s="179" t="inlineStr">
        <is>
          <t>внутр</t>
        </is>
      </c>
      <c r="Q81" s="179" t="inlineStr">
        <is>
          <t>внутр</t>
        </is>
      </c>
      <c r="R81" s="171" t="n"/>
      <c r="S81" s="171" t="n"/>
    </row>
    <row r="82" ht="18" customHeight="1">
      <c r="A82" s="45" t="inlineStr">
        <is>
          <t>работник 871</t>
        </is>
      </c>
      <c r="B82" s="178" t="inlineStr">
        <is>
          <t>Повар</t>
        </is>
      </c>
      <c r="C82" s="178" t="inlineStr"/>
      <c r="D82" s="179" t="n"/>
      <c r="E82" s="179" t="inlineStr">
        <is>
          <t>внутр</t>
        </is>
      </c>
      <c r="F82" s="179" t="n"/>
      <c r="G82" s="179" t="n"/>
      <c r="H82" s="179" t="n"/>
      <c r="I82" s="179" t="n"/>
      <c r="J82" s="179" t="n"/>
      <c r="K82" s="179" t="n"/>
      <c r="L82" s="179" t="n"/>
      <c r="M82" s="179" t="n"/>
      <c r="N82" s="179" t="n"/>
      <c r="O82" s="179" t="n"/>
      <c r="P82" s="179" t="inlineStr">
        <is>
          <t>внутр</t>
        </is>
      </c>
      <c r="Q82" s="179" t="inlineStr">
        <is>
          <t>внутр</t>
        </is>
      </c>
      <c r="R82" s="171" t="n"/>
      <c r="S82" s="171" t="n"/>
    </row>
    <row r="83" ht="18" customHeight="1">
      <c r="A83" s="45" t="inlineStr">
        <is>
          <t>работник 154</t>
        </is>
      </c>
      <c r="B83" s="178" t="inlineStr">
        <is>
          <t>Машинист подземно-доставочной машины | Машинист погрузочно-доставочной машины</t>
        </is>
      </c>
      <c r="C83" s="178" t="inlineStr"/>
      <c r="D83" s="179" t="n"/>
      <c r="E83" s="179" t="inlineStr">
        <is>
          <t>внутр</t>
        </is>
      </c>
      <c r="F83" s="179" t="n"/>
      <c r="G83" s="179" t="n"/>
      <c r="H83" s="179" t="n"/>
      <c r="I83" s="179" t="n"/>
      <c r="J83" s="179" t="n"/>
      <c r="K83" s="179" t="n"/>
      <c r="L83" s="179" t="n"/>
      <c r="M83" s="179" t="n"/>
      <c r="N83" s="179" t="n"/>
      <c r="O83" s="179" t="n"/>
      <c r="P83" s="179" t="inlineStr">
        <is>
          <t>внутр</t>
        </is>
      </c>
      <c r="Q83" s="179" t="inlineStr">
        <is>
          <t>внутр</t>
        </is>
      </c>
      <c r="R83" s="171" t="n"/>
      <c r="S83" s="171" t="n"/>
    </row>
    <row r="84" ht="18" customHeight="1">
      <c r="A84" s="45" t="inlineStr">
        <is>
          <t>работник 155</t>
        </is>
      </c>
      <c r="B84" s="178" t="inlineStr">
        <is>
          <t>Машинист самоходной буровой установки | Машинист  самоходной буровой установки (Проходка)</t>
        </is>
      </c>
      <c r="C84" s="178" t="inlineStr"/>
      <c r="D84" s="179" t="n"/>
      <c r="E84" s="179" t="inlineStr">
        <is>
          <t>внутр</t>
        </is>
      </c>
      <c r="F84" s="179" t="n"/>
      <c r="G84" s="179" t="n"/>
      <c r="H84" s="179" t="n"/>
      <c r="I84" s="179" t="n"/>
      <c r="J84" s="179" t="n"/>
      <c r="K84" s="179" t="n"/>
      <c r="L84" s="179" t="n"/>
      <c r="M84" s="179" t="n"/>
      <c r="N84" s="179" t="n"/>
      <c r="O84" s="179" t="n"/>
      <c r="P84" s="179" t="inlineStr">
        <is>
          <t>внутр</t>
        </is>
      </c>
      <c r="Q84" s="179" t="inlineStr">
        <is>
          <t>внутр</t>
        </is>
      </c>
      <c r="R84" s="171" t="n"/>
      <c r="S84" s="171" t="n"/>
    </row>
    <row r="85" ht="18" customHeight="1">
      <c r="A85" s="45" t="inlineStr">
        <is>
          <t>работник 110</t>
        </is>
      </c>
      <c r="B85" s="178" t="inlineStr">
        <is>
          <t>Весовщик | Пробоотборщик</t>
        </is>
      </c>
      <c r="C85" s="178" t="inlineStr"/>
      <c r="D85" s="179" t="n"/>
      <c r="E85" s="179" t="inlineStr">
        <is>
          <t>внутр</t>
        </is>
      </c>
      <c r="F85" s="179" t="n"/>
      <c r="G85" s="179" t="n"/>
      <c r="H85" s="179" t="n"/>
      <c r="I85" s="179" t="n"/>
      <c r="J85" s="179" t="n"/>
      <c r="K85" s="179" t="n"/>
      <c r="L85" s="179" t="n"/>
      <c r="M85" s="179" t="n"/>
      <c r="N85" s="179" t="n"/>
      <c r="O85" s="179" t="n"/>
      <c r="P85" s="179" t="inlineStr">
        <is>
          <t>внутр</t>
        </is>
      </c>
      <c r="Q85" s="179" t="inlineStr">
        <is>
          <t>внутр</t>
        </is>
      </c>
      <c r="R85" s="171" t="n"/>
      <c r="S85" s="171" t="n"/>
    </row>
    <row r="86" ht="18" customHeight="1">
      <c r="A86" s="45" t="inlineStr">
        <is>
          <t>работник 309</t>
        </is>
      </c>
      <c r="B86" s="178" t="inlineStr">
        <is>
          <t>Крепильщик</t>
        </is>
      </c>
      <c r="C86" s="178" t="inlineStr"/>
      <c r="D86" s="179" t="n"/>
      <c r="E86" s="179" t="inlineStr">
        <is>
          <t>внутр</t>
        </is>
      </c>
      <c r="F86" s="179" t="n"/>
      <c r="G86" s="179" t="n"/>
      <c r="H86" s="179" t="n"/>
      <c r="I86" s="179" t="n"/>
      <c r="J86" s="179" t="n"/>
      <c r="K86" s="179" t="n"/>
      <c r="L86" s="179" t="n"/>
      <c r="M86" s="179" t="n"/>
      <c r="N86" s="179" t="n"/>
      <c r="O86" s="179" t="n"/>
      <c r="P86" s="179" t="inlineStr">
        <is>
          <t>внутр</t>
        </is>
      </c>
      <c r="Q86" s="179" t="inlineStr">
        <is>
          <t>внутр</t>
        </is>
      </c>
      <c r="R86" s="171" t="n"/>
      <c r="S86" s="171" t="n"/>
    </row>
    <row r="87" ht="18" customHeight="1">
      <c r="A87" s="45" t="inlineStr">
        <is>
          <t>работник 896</t>
        </is>
      </c>
      <c r="B87" s="178" t="inlineStr">
        <is>
          <t>Крепильщик</t>
        </is>
      </c>
      <c r="C87" s="178" t="inlineStr"/>
      <c r="D87" s="179" t="n"/>
      <c r="E87" s="179" t="inlineStr">
        <is>
          <t>внутр</t>
        </is>
      </c>
      <c r="F87" s="179" t="n"/>
      <c r="G87" s="179" t="n"/>
      <c r="H87" s="179" t="n"/>
      <c r="I87" s="179" t="n"/>
      <c r="J87" s="179" t="n"/>
      <c r="K87" s="179" t="n"/>
      <c r="L87" s="179" t="n"/>
      <c r="M87" s="179" t="n"/>
      <c r="N87" s="179" t="n"/>
      <c r="O87" s="179" t="n"/>
      <c r="P87" s="179" t="inlineStr">
        <is>
          <t>внутр</t>
        </is>
      </c>
      <c r="Q87" s="179" t="inlineStr">
        <is>
          <t>внутр</t>
        </is>
      </c>
      <c r="R87" s="171" t="n"/>
      <c r="S87" s="171" t="n"/>
    </row>
    <row r="88" ht="18" customHeight="1">
      <c r="A88" s="45" t="inlineStr">
        <is>
          <t>работник 60</t>
        </is>
      </c>
      <c r="B88" s="178" t="inlineStr">
        <is>
          <t>Слесарь-сантехник</t>
        </is>
      </c>
      <c r="C88" s="178" t="inlineStr"/>
      <c r="D88" s="179" t="n"/>
      <c r="E88" s="179" t="inlineStr">
        <is>
          <t>внутр</t>
        </is>
      </c>
      <c r="F88" s="179" t="n"/>
      <c r="G88" s="179" t="n"/>
      <c r="H88" s="179" t="n"/>
      <c r="I88" s="179" t="n"/>
      <c r="J88" s="179" t="n"/>
      <c r="K88" s="179" t="n"/>
      <c r="L88" s="179" t="n"/>
      <c r="M88" s="179" t="n"/>
      <c r="N88" s="179" t="n"/>
      <c r="O88" s="179" t="n"/>
      <c r="P88" s="179" t="inlineStr">
        <is>
          <t>внутр</t>
        </is>
      </c>
      <c r="Q88" s="179" t="inlineStr">
        <is>
          <t>внутр</t>
        </is>
      </c>
      <c r="R88" s="171" t="n"/>
      <c r="S88" s="171" t="n"/>
    </row>
    <row r="89" ht="18" customHeight="1">
      <c r="A89" s="45" t="inlineStr">
        <is>
          <t>работник 761</t>
        </is>
      </c>
      <c r="B89" s="178" t="inlineStr">
        <is>
          <t>Машинист погрузочно-доставочной машины (занятый на транспортировании горной массы в технологическом процессе)</t>
        </is>
      </c>
      <c r="C89" s="178" t="inlineStr"/>
      <c r="D89" s="179" t="n"/>
      <c r="E89" s="179" t="inlineStr">
        <is>
          <t>внутр</t>
        </is>
      </c>
      <c r="F89" s="179" t="n"/>
      <c r="G89" s="179" t="n"/>
      <c r="H89" s="179" t="n"/>
      <c r="I89" s="179" t="n"/>
      <c r="J89" s="179" t="n"/>
      <c r="K89" s="179" t="n"/>
      <c r="L89" s="179" t="n"/>
      <c r="M89" s="179" t="n"/>
      <c r="N89" s="179" t="n"/>
      <c r="O89" s="179" t="n"/>
      <c r="P89" s="179" t="inlineStr">
        <is>
          <t>внутр</t>
        </is>
      </c>
      <c r="Q89" s="179" t="inlineStr">
        <is>
          <t>внутр</t>
        </is>
      </c>
      <c r="R89" s="171" t="n"/>
      <c r="S89" s="171" t="n"/>
    </row>
    <row r="90" ht="18" customHeight="1">
      <c r="A90" s="45" t="inlineStr">
        <is>
          <t>работник 891</t>
        </is>
      </c>
      <c r="B90" s="178" t="inlineStr">
        <is>
          <t>Машинист погрузочно-доставочной машины (занятый на транспортировании горной массы в технологическом процессе)</t>
        </is>
      </c>
      <c r="C90" s="178" t="inlineStr"/>
      <c r="D90" s="179" t="n"/>
      <c r="E90" s="179" t="inlineStr">
        <is>
          <t>внутр</t>
        </is>
      </c>
      <c r="F90" s="179" t="n"/>
      <c r="G90" s="179" t="n"/>
      <c r="H90" s="179" t="n"/>
      <c r="I90" s="179" t="n"/>
      <c r="J90" s="179" t="n"/>
      <c r="K90" s="179" t="n"/>
      <c r="L90" s="179" t="n"/>
      <c r="M90" s="179" t="n"/>
      <c r="N90" s="179" t="n"/>
      <c r="O90" s="179" t="n"/>
      <c r="P90" s="179" t="inlineStr">
        <is>
          <t>внутр</t>
        </is>
      </c>
      <c r="Q90" s="179" t="inlineStr">
        <is>
          <t>внутр</t>
        </is>
      </c>
      <c r="R90" s="171" t="n"/>
      <c r="S90" s="171" t="n"/>
    </row>
    <row r="91" ht="18" customHeight="1">
      <c r="A91" s="45" t="inlineStr">
        <is>
          <t>работник 785</t>
        </is>
      </c>
      <c r="B91" s="178" t="inlineStr">
        <is>
          <t>Водитель автомобиля (занятый на транспортировании горной массы в технологическом процессе)</t>
        </is>
      </c>
      <c r="C91" s="178" t="inlineStr"/>
      <c r="D91" s="179" t="n"/>
      <c r="E91" s="179" t="inlineStr">
        <is>
          <t>внутр</t>
        </is>
      </c>
      <c r="F91" s="179" t="n"/>
      <c r="G91" s="179" t="n"/>
      <c r="H91" s="179" t="n"/>
      <c r="I91" s="179" t="n"/>
      <c r="J91" s="179" t="n"/>
      <c r="K91" s="179" t="n"/>
      <c r="L91" s="179" t="n"/>
      <c r="M91" s="179" t="n"/>
      <c r="N91" s="179" t="n"/>
      <c r="O91" s="179" t="n"/>
      <c r="P91" s="179" t="inlineStr">
        <is>
          <t>внутр</t>
        </is>
      </c>
      <c r="Q91" s="179" t="inlineStr">
        <is>
          <t>внутр</t>
        </is>
      </c>
      <c r="R91" s="171" t="n"/>
      <c r="S91" s="171" t="n"/>
    </row>
    <row r="92" ht="18" customHeight="1">
      <c r="A92" s="45" t="inlineStr">
        <is>
          <t>работник 144</t>
        </is>
      </c>
      <c r="B92" s="178" t="inlineStr">
        <is>
          <t>Бункеровщик | Машинист мельниц</t>
        </is>
      </c>
      <c r="C92" s="178" t="inlineStr"/>
      <c r="D92" s="179" t="n"/>
      <c r="E92" s="179" t="inlineStr">
        <is>
          <t>внутр</t>
        </is>
      </c>
      <c r="F92" s="179" t="n"/>
      <c r="G92" s="179" t="n"/>
      <c r="H92" s="179" t="n"/>
      <c r="I92" s="179" t="n"/>
      <c r="J92" s="179" t="n"/>
      <c r="K92" s="179" t="n"/>
      <c r="L92" s="179" t="n"/>
      <c r="M92" s="179" t="n"/>
      <c r="N92" s="179" t="n"/>
      <c r="O92" s="179" t="n"/>
      <c r="P92" s="179" t="inlineStr">
        <is>
          <t>внутр</t>
        </is>
      </c>
      <c r="Q92" s="179" t="inlineStr">
        <is>
          <t>внутр</t>
        </is>
      </c>
      <c r="R92" s="171" t="n"/>
      <c r="S92" s="171" t="n"/>
    </row>
    <row r="93" ht="18" customHeight="1">
      <c r="A93" s="45" t="inlineStr">
        <is>
          <t>работник 241</t>
        </is>
      </c>
      <c r="B93" s="178" t="inlineStr">
        <is>
          <t>Аппаратчик-гидрометаллург</t>
        </is>
      </c>
      <c r="C93" s="178" t="inlineStr"/>
      <c r="D93" s="179" t="n"/>
      <c r="E93" s="179" t="inlineStr">
        <is>
          <t>внутр</t>
        </is>
      </c>
      <c r="F93" s="179" t="n"/>
      <c r="G93" s="179" t="n"/>
      <c r="H93" s="179" t="n"/>
      <c r="I93" s="179" t="n"/>
      <c r="J93" s="179" t="n"/>
      <c r="K93" s="179" t="n"/>
      <c r="L93" s="179" t="n"/>
      <c r="M93" s="179" t="n"/>
      <c r="N93" s="179" t="n"/>
      <c r="O93" s="179" t="n"/>
      <c r="P93" s="179" t="inlineStr">
        <is>
          <t>внутр</t>
        </is>
      </c>
      <c r="Q93" s="179" t="inlineStr">
        <is>
          <t>внутр</t>
        </is>
      </c>
      <c r="R93" s="171" t="n"/>
      <c r="S93" s="171" t="n"/>
    </row>
    <row r="94" ht="18" customHeight="1">
      <c r="A94" s="45" t="inlineStr">
        <is>
          <t>работник 301</t>
        </is>
      </c>
      <c r="B94" s="178" t="inlineStr">
        <is>
          <t>Слесарь-ремонтник (по ремонту самоходной техники)</t>
        </is>
      </c>
      <c r="C94" s="178" t="inlineStr"/>
      <c r="D94" s="179" t="n"/>
      <c r="E94" s="179" t="inlineStr">
        <is>
          <t>внутр</t>
        </is>
      </c>
      <c r="F94" s="179" t="n"/>
      <c r="G94" s="179" t="n"/>
      <c r="H94" s="179" t="n"/>
      <c r="I94" s="179" t="n"/>
      <c r="J94" s="179" t="n"/>
      <c r="K94" s="179" t="n"/>
      <c r="L94" s="179" t="n"/>
      <c r="M94" s="179" t="n"/>
      <c r="N94" s="179" t="n"/>
      <c r="O94" s="179" t="n"/>
      <c r="P94" s="179" t="inlineStr">
        <is>
          <t>внутр</t>
        </is>
      </c>
      <c r="Q94" s="179" t="inlineStr">
        <is>
          <t>внутр</t>
        </is>
      </c>
      <c r="R94" s="171" t="n"/>
      <c r="S94" s="171" t="n"/>
    </row>
    <row r="95" ht="18" customHeight="1">
      <c r="A95" s="45" t="inlineStr">
        <is>
          <t>работник 631</t>
        </is>
      </c>
      <c r="B95" s="178" t="inlineStr">
        <is>
          <t>Кладовщик</t>
        </is>
      </c>
      <c r="C95" s="178" t="inlineStr"/>
      <c r="D95" s="179" t="n"/>
      <c r="E95" s="179" t="inlineStr">
        <is>
          <t>внутр</t>
        </is>
      </c>
      <c r="F95" s="179" t="n"/>
      <c r="G95" s="179" t="n"/>
      <c r="H95" s="179" t="n"/>
      <c r="I95" s="179" t="n"/>
      <c r="J95" s="179" t="n"/>
      <c r="K95" s="179" t="n"/>
      <c r="L95" s="179" t="n"/>
      <c r="M95" s="179" t="n"/>
      <c r="N95" s="179" t="n"/>
      <c r="O95" s="179" t="n"/>
      <c r="P95" s="179" t="n"/>
      <c r="Q95" s="179" t="inlineStr">
        <is>
          <t>внутр</t>
        </is>
      </c>
      <c r="R95" s="171" t="n"/>
      <c r="S95" s="171" t="n"/>
    </row>
    <row r="96" ht="18" customHeight="1">
      <c r="A96" s="45" t="inlineStr">
        <is>
          <t>работник 441</t>
        </is>
      </c>
      <c r="B96" s="178" t="inlineStr">
        <is>
          <t>Фильтровальщик</t>
        </is>
      </c>
      <c r="C96" s="178" t="inlineStr"/>
      <c r="D96" s="179" t="n"/>
      <c r="E96" s="179" t="inlineStr">
        <is>
          <t>внутр</t>
        </is>
      </c>
      <c r="F96" s="179" t="n"/>
      <c r="G96" s="179" t="n"/>
      <c r="H96" s="179" t="n"/>
      <c r="I96" s="179" t="n"/>
      <c r="J96" s="179" t="n"/>
      <c r="K96" s="179" t="n"/>
      <c r="L96" s="179" t="n"/>
      <c r="M96" s="179" t="n"/>
      <c r="N96" s="179" t="n"/>
      <c r="O96" s="179" t="n"/>
      <c r="P96" s="179" t="n"/>
      <c r="Q96" s="179" t="inlineStr">
        <is>
          <t>внутр</t>
        </is>
      </c>
      <c r="R96" s="171" t="n"/>
      <c r="S96" s="171" t="n"/>
    </row>
    <row r="97" ht="18" customHeight="1">
      <c r="A97" s="45" t="inlineStr">
        <is>
          <t>работник 310</t>
        </is>
      </c>
      <c r="B97" s="178" t="inlineStr">
        <is>
          <t>Проходчик (с исполнением обязанностей взрывника)</t>
        </is>
      </c>
      <c r="C97" s="178" t="inlineStr"/>
      <c r="D97" s="179" t="n"/>
      <c r="E97" s="179" t="inlineStr">
        <is>
          <t>внутр</t>
        </is>
      </c>
      <c r="F97" s="179" t="n"/>
      <c r="G97" s="179" t="n"/>
      <c r="H97" s="179" t="n"/>
      <c r="I97" s="179" t="n"/>
      <c r="J97" s="179" t="n"/>
      <c r="K97" s="179" t="n"/>
      <c r="L97" s="179" t="n"/>
      <c r="M97" s="179" t="n"/>
      <c r="N97" s="179" t="n"/>
      <c r="O97" s="179" t="n"/>
      <c r="P97" s="179" t="inlineStr">
        <is>
          <t>внутр</t>
        </is>
      </c>
      <c r="Q97" s="179" t="inlineStr">
        <is>
          <t>внутр</t>
        </is>
      </c>
      <c r="R97" s="171" t="n"/>
      <c r="S97" s="171" t="n"/>
    </row>
    <row r="98" ht="18" customHeight="1">
      <c r="A98" s="45" t="inlineStr">
        <is>
          <t>работник 531</t>
        </is>
      </c>
      <c r="B98" s="178" t="inlineStr">
        <is>
          <t>Крепильщик</t>
        </is>
      </c>
      <c r="C98" s="178" t="inlineStr"/>
      <c r="D98" s="179" t="n"/>
      <c r="E98" s="179" t="inlineStr">
        <is>
          <t>внутр</t>
        </is>
      </c>
      <c r="F98" s="179" t="n"/>
      <c r="G98" s="179" t="n"/>
      <c r="H98" s="179" t="n"/>
      <c r="I98" s="179" t="n"/>
      <c r="J98" s="179" t="n"/>
      <c r="K98" s="179" t="n"/>
      <c r="L98" s="179" t="n"/>
      <c r="M98" s="179" t="n"/>
      <c r="N98" s="179" t="n"/>
      <c r="O98" s="179" t="n"/>
      <c r="P98" s="179" t="n"/>
      <c r="Q98" s="179" t="inlineStr">
        <is>
          <t>внутр</t>
        </is>
      </c>
      <c r="R98" s="171" t="n"/>
      <c r="S98" s="171" t="n"/>
    </row>
    <row r="99" ht="18" customHeight="1">
      <c r="A99" s="45" t="inlineStr">
        <is>
          <t>работник 684</t>
        </is>
      </c>
      <c r="B99" s="178" t="inlineStr">
        <is>
          <t>Машинист ДВС</t>
        </is>
      </c>
      <c r="C99" s="178" t="inlineStr"/>
      <c r="D99" s="179" t="n"/>
      <c r="E99" s="179" t="inlineStr">
        <is>
          <t>внутр</t>
        </is>
      </c>
      <c r="F99" s="179" t="n"/>
      <c r="G99" s="179" t="n"/>
      <c r="H99" s="179" t="n"/>
      <c r="I99" s="179" t="n"/>
      <c r="J99" s="179" t="n"/>
      <c r="K99" s="179" t="n"/>
      <c r="L99" s="179" t="n"/>
      <c r="M99" s="179" t="n"/>
      <c r="N99" s="179" t="n"/>
      <c r="O99" s="179" t="n"/>
      <c r="P99" s="179" t="n"/>
      <c r="Q99" s="179" t="inlineStr">
        <is>
          <t>внутр</t>
        </is>
      </c>
      <c r="R99" s="171" t="n"/>
      <c r="S99" s="171" t="n"/>
    </row>
    <row r="100" ht="18" customHeight="1">
      <c r="A100" s="45" t="inlineStr">
        <is>
          <t>работник 513</t>
        </is>
      </c>
      <c r="B100" s="178" t="inlineStr">
        <is>
          <t>Оператор дизельных котлов</t>
        </is>
      </c>
      <c r="C100" s="178" t="inlineStr"/>
      <c r="D100" s="179" t="n"/>
      <c r="E100" s="179" t="inlineStr">
        <is>
          <t>внутр</t>
        </is>
      </c>
      <c r="F100" s="179" t="n"/>
      <c r="G100" s="179" t="n"/>
      <c r="H100" s="179" t="n"/>
      <c r="I100" s="179" t="n"/>
      <c r="J100" s="179" t="n"/>
      <c r="K100" s="179" t="n"/>
      <c r="L100" s="179" t="n"/>
      <c r="M100" s="179" t="n"/>
      <c r="N100" s="179" t="n"/>
      <c r="O100" s="179" t="n"/>
      <c r="P100" s="179" t="inlineStr">
        <is>
          <t>внутр</t>
        </is>
      </c>
      <c r="Q100" s="179" t="inlineStr">
        <is>
          <t>внутр</t>
        </is>
      </c>
      <c r="R100" s="171" t="n"/>
      <c r="S100" s="171" t="n"/>
    </row>
    <row r="101" ht="18" customHeight="1">
      <c r="A101" s="45" t="inlineStr">
        <is>
          <t>работник 457</t>
        </is>
      </c>
      <c r="B101" s="178" t="inlineStr">
        <is>
          <t>Подсобный рабочий</t>
        </is>
      </c>
      <c r="C101" s="178" t="inlineStr"/>
      <c r="D101" s="179" t="n"/>
      <c r="E101" s="179" t="inlineStr">
        <is>
          <t>внутр</t>
        </is>
      </c>
      <c r="F101" s="179" t="n"/>
      <c r="G101" s="179" t="n"/>
      <c r="H101" s="179" t="n"/>
      <c r="I101" s="179" t="n"/>
      <c r="J101" s="179" t="n"/>
      <c r="K101" s="179" t="n"/>
      <c r="L101" s="179" t="n"/>
      <c r="M101" s="179" t="n"/>
      <c r="N101" s="179" t="n"/>
      <c r="O101" s="179" t="n"/>
      <c r="P101" s="179" t="n"/>
      <c r="Q101" s="179" t="inlineStr">
        <is>
          <t>внутр</t>
        </is>
      </c>
      <c r="R101" s="171" t="n"/>
      <c r="S101" s="171" t="n"/>
    </row>
    <row r="102" ht="18" customHeight="1">
      <c r="A102" s="45" t="inlineStr">
        <is>
          <t>работник 868</t>
        </is>
      </c>
      <c r="B102" s="178" t="inlineStr">
        <is>
          <t>Кухонный рабочий</t>
        </is>
      </c>
      <c r="C102" s="178" t="inlineStr"/>
      <c r="D102" s="179" t="n"/>
      <c r="E102" s="179" t="inlineStr">
        <is>
          <t>внутр</t>
        </is>
      </c>
      <c r="F102" s="179" t="n"/>
      <c r="G102" s="179" t="n"/>
      <c r="H102" s="179" t="n"/>
      <c r="I102" s="179" t="n"/>
      <c r="J102" s="179" t="n"/>
      <c r="K102" s="179" t="n"/>
      <c r="L102" s="179" t="n"/>
      <c r="M102" s="179" t="n"/>
      <c r="N102" s="179" t="n"/>
      <c r="O102" s="179" t="n"/>
      <c r="P102" s="179" t="inlineStr">
        <is>
          <t>внутр</t>
        </is>
      </c>
      <c r="Q102" s="179" t="inlineStr">
        <is>
          <t>внутр</t>
        </is>
      </c>
      <c r="R102" s="171" t="n"/>
      <c r="S102" s="171" t="n"/>
    </row>
    <row r="103" ht="18" customHeight="1">
      <c r="A103" s="45" t="inlineStr">
        <is>
          <t>работник 229</t>
        </is>
      </c>
      <c r="B103" s="178" t="inlineStr">
        <is>
          <t>Кладовщик</t>
        </is>
      </c>
      <c r="C103" s="178" t="inlineStr"/>
      <c r="D103" s="179" t="n"/>
      <c r="E103" s="179" t="inlineStr">
        <is>
          <t>внутр</t>
        </is>
      </c>
      <c r="F103" s="179" t="n"/>
      <c r="G103" s="179" t="n"/>
      <c r="H103" s="179" t="n"/>
      <c r="I103" s="179" t="n"/>
      <c r="J103" s="179" t="n"/>
      <c r="K103" s="179" t="n"/>
      <c r="L103" s="179" t="n"/>
      <c r="M103" s="179" t="n"/>
      <c r="N103" s="179" t="n"/>
      <c r="O103" s="179" t="n"/>
      <c r="P103" s="179" t="inlineStr">
        <is>
          <t>внутр</t>
        </is>
      </c>
      <c r="Q103" s="179" t="inlineStr">
        <is>
          <t>внутр</t>
        </is>
      </c>
      <c r="R103" s="171" t="n"/>
      <c r="S103" s="171" t="n"/>
    </row>
    <row r="104" ht="18" customHeight="1">
      <c r="A104" s="45" t="inlineStr">
        <is>
          <t>работник 43</t>
        </is>
      </c>
      <c r="B104" s="178" t="inlineStr">
        <is>
          <t>Стропальщик | Весовщик</t>
        </is>
      </c>
      <c r="C104" s="178" t="inlineStr"/>
      <c r="D104" s="179" t="n"/>
      <c r="E104" s="179" t="inlineStr">
        <is>
          <t>внутр</t>
        </is>
      </c>
      <c r="F104" s="179" t="n"/>
      <c r="G104" s="179" t="n"/>
      <c r="H104" s="179" t="n"/>
      <c r="I104" s="179" t="n"/>
      <c r="J104" s="179" t="n"/>
      <c r="K104" s="179" t="n"/>
      <c r="L104" s="179" t="n"/>
      <c r="M104" s="179" t="n"/>
      <c r="N104" s="179" t="n"/>
      <c r="O104" s="179" t="n"/>
      <c r="P104" s="179" t="inlineStr">
        <is>
          <t>внутр</t>
        </is>
      </c>
      <c r="Q104" s="179" t="inlineStr">
        <is>
          <t>внутр</t>
        </is>
      </c>
      <c r="R104" s="171" t="n"/>
      <c r="S104" s="171" t="n"/>
    </row>
    <row r="105" ht="18" customHeight="1">
      <c r="A105" s="45" t="inlineStr">
        <is>
          <t>работник 633</t>
        </is>
      </c>
      <c r="B105" s="178" t="inlineStr">
        <is>
          <t>Помощник машиниста самоходной буровой установки (с исполнением обязанностей пробоотборщика) (Очистное) | Помощник машиниста самоходной буровой установки (с исполнением обязанностей пробоотборщика)</t>
        </is>
      </c>
      <c r="C105" s="178" t="inlineStr"/>
      <c r="D105" s="179" t="n"/>
      <c r="E105" s="179" t="inlineStr">
        <is>
          <t>внутр</t>
        </is>
      </c>
      <c r="F105" s="179" t="n"/>
      <c r="G105" s="179" t="n"/>
      <c r="H105" s="179" t="inlineStr">
        <is>
          <t>внутр</t>
        </is>
      </c>
      <c r="I105" s="179" t="n"/>
      <c r="J105" s="179" t="n"/>
      <c r="K105" s="179" t="n"/>
      <c r="L105" s="179" t="n"/>
      <c r="M105" s="179" t="n"/>
      <c r="N105" s="179" t="n"/>
      <c r="O105" s="179" t="n"/>
      <c r="P105" s="179" t="inlineStr">
        <is>
          <t>внутр</t>
        </is>
      </c>
      <c r="Q105" s="179" t="inlineStr">
        <is>
          <t>внутр</t>
        </is>
      </c>
      <c r="R105" s="171" t="n"/>
      <c r="S105" s="171" t="n"/>
    </row>
    <row r="106" ht="18" customHeight="1">
      <c r="A106" s="45" t="inlineStr">
        <is>
          <t>работник 654</t>
        </is>
      </c>
      <c r="B106" s="178" t="inlineStr">
        <is>
          <t>Механик</t>
        </is>
      </c>
      <c r="C106" s="178" t="inlineStr"/>
      <c r="D106" s="179" t="n"/>
      <c r="E106" s="179" t="inlineStr">
        <is>
          <t>внутр</t>
        </is>
      </c>
      <c r="F106" s="179" t="n"/>
      <c r="G106" s="179" t="n"/>
      <c r="H106" s="179" t="n"/>
      <c r="I106" s="179" t="n"/>
      <c r="J106" s="179" t="n"/>
      <c r="K106" s="179" t="n"/>
      <c r="L106" s="179" t="n"/>
      <c r="M106" s="179" t="n"/>
      <c r="N106" s="179" t="n"/>
      <c r="O106" s="179" t="n"/>
      <c r="P106" s="179" t="n"/>
      <c r="Q106" s="179" t="inlineStr">
        <is>
          <t>внутр</t>
        </is>
      </c>
      <c r="R106" s="171" t="n"/>
      <c r="S106" s="171" t="n"/>
    </row>
    <row r="107" ht="18" customHeight="1">
      <c r="A107" s="45" t="inlineStr">
        <is>
          <t>работник 44</t>
        </is>
      </c>
      <c r="B107" s="178" t="inlineStr">
        <is>
          <t>Электромонтер по ремонту и обслуживанию электрооборудования</t>
        </is>
      </c>
      <c r="C107" s="178" t="inlineStr"/>
      <c r="D107" s="179" t="n"/>
      <c r="E107" s="179" t="inlineStr">
        <is>
          <t>внутр</t>
        </is>
      </c>
      <c r="F107" s="179" t="inlineStr">
        <is>
          <t>внутр</t>
        </is>
      </c>
      <c r="G107" s="179" t="n"/>
      <c r="H107" s="179" t="n"/>
      <c r="I107" s="179" t="n"/>
      <c r="J107" s="179" t="n"/>
      <c r="K107" s="179" t="n"/>
      <c r="L107" s="179" t="inlineStr">
        <is>
          <t>внутр</t>
        </is>
      </c>
      <c r="M107" s="179" t="n"/>
      <c r="N107" s="179" t="n"/>
      <c r="O107" s="179" t="n"/>
      <c r="P107" s="179" t="inlineStr">
        <is>
          <t>внутр</t>
        </is>
      </c>
      <c r="Q107" s="179" t="inlineStr">
        <is>
          <t>внутр</t>
        </is>
      </c>
      <c r="R107" s="171" t="n"/>
      <c r="S107" s="171" t="n"/>
    </row>
    <row r="108" ht="18" customHeight="1">
      <c r="A108" s="45" t="inlineStr">
        <is>
          <t>работник 61</t>
        </is>
      </c>
      <c r="B108" s="178" t="inlineStr">
        <is>
          <t>Машинист ДВС с обязанностями компрессорщик</t>
        </is>
      </c>
      <c r="C108" s="178" t="inlineStr"/>
      <c r="D108" s="179" t="n"/>
      <c r="E108" s="179" t="inlineStr">
        <is>
          <t>внутр</t>
        </is>
      </c>
      <c r="F108" s="179" t="n"/>
      <c r="G108" s="179" t="n"/>
      <c r="H108" s="179" t="n"/>
      <c r="I108" s="179" t="n"/>
      <c r="J108" s="179" t="n"/>
      <c r="K108" s="179" t="n"/>
      <c r="L108" s="179" t="n"/>
      <c r="M108" s="179" t="n"/>
      <c r="N108" s="179" t="n"/>
      <c r="O108" s="179" t="n"/>
      <c r="P108" s="179" t="inlineStr">
        <is>
          <t>внутр</t>
        </is>
      </c>
      <c r="Q108" s="179" t="inlineStr">
        <is>
          <t>внутр</t>
        </is>
      </c>
      <c r="R108" s="171" t="n"/>
      <c r="S108" s="171" t="n"/>
    </row>
    <row r="109" ht="18" customHeight="1">
      <c r="A109" s="45" t="inlineStr">
        <is>
          <t>работник 331</t>
        </is>
      </c>
      <c r="B109" s="178" t="inlineStr">
        <is>
          <t>Флотатор | Пробоотборщик</t>
        </is>
      </c>
      <c r="C109" s="178" t="inlineStr"/>
      <c r="D109" s="179" t="n"/>
      <c r="E109" s="179" t="inlineStr">
        <is>
          <t>внутр</t>
        </is>
      </c>
      <c r="F109" s="179" t="n"/>
      <c r="G109" s="179" t="n"/>
      <c r="H109" s="179" t="n"/>
      <c r="I109" s="179" t="n"/>
      <c r="J109" s="179" t="n"/>
      <c r="K109" s="179" t="n"/>
      <c r="L109" s="179" t="n"/>
      <c r="M109" s="179" t="n"/>
      <c r="N109" s="179" t="n"/>
      <c r="O109" s="179" t="n"/>
      <c r="P109" s="179" t="inlineStr">
        <is>
          <t>внутр</t>
        </is>
      </c>
      <c r="Q109" s="179" t="inlineStr">
        <is>
          <t>внутр</t>
        </is>
      </c>
      <c r="R109" s="171" t="n"/>
      <c r="S109" s="171" t="n"/>
    </row>
    <row r="110" ht="18" customHeight="1">
      <c r="A110" s="45" t="inlineStr">
        <is>
          <t>работник 689</t>
        </is>
      </c>
      <c r="B110" s="178" t="inlineStr">
        <is>
          <t>Ведущий инженер-геодезист</t>
        </is>
      </c>
      <c r="C110" s="178" t="inlineStr"/>
      <c r="D110" s="179" t="n"/>
      <c r="E110" s="179" t="inlineStr">
        <is>
          <t>внутр</t>
        </is>
      </c>
      <c r="F110" s="179" t="n"/>
      <c r="G110" s="179" t="n"/>
      <c r="H110" s="179" t="n"/>
      <c r="I110" s="179" t="n"/>
      <c r="J110" s="179" t="n"/>
      <c r="K110" s="179" t="n"/>
      <c r="L110" s="179" t="n"/>
      <c r="M110" s="179" t="n"/>
      <c r="N110" s="179" t="n"/>
      <c r="O110" s="179" t="n"/>
      <c r="P110" s="179" t="n"/>
      <c r="Q110" s="179" t="inlineStr">
        <is>
          <t>внутр</t>
        </is>
      </c>
      <c r="R110" s="171" t="n"/>
      <c r="S110" s="171" t="n"/>
    </row>
    <row r="111" ht="18" customHeight="1">
      <c r="A111" s="45" t="inlineStr">
        <is>
          <t>работник 509</t>
        </is>
      </c>
      <c r="B111" s="178" t="inlineStr">
        <is>
          <t>Горнорабочиий на маркшейдерских работах</t>
        </is>
      </c>
      <c r="C111" s="178" t="inlineStr"/>
      <c r="D111" s="179" t="n"/>
      <c r="E111" s="179" t="inlineStr">
        <is>
          <t>внутр</t>
        </is>
      </c>
      <c r="F111" s="179" t="n"/>
      <c r="G111" s="179" t="n"/>
      <c r="H111" s="179" t="n"/>
      <c r="I111" s="179" t="n"/>
      <c r="J111" s="179" t="n"/>
      <c r="K111" s="179" t="n"/>
      <c r="L111" s="179" t="n"/>
      <c r="M111" s="179" t="n"/>
      <c r="N111" s="179" t="n"/>
      <c r="O111" s="179" t="n"/>
      <c r="P111" s="179" t="n"/>
      <c r="Q111" s="179" t="inlineStr">
        <is>
          <t>внутр</t>
        </is>
      </c>
      <c r="R111" s="171" t="n"/>
      <c r="S111" s="171" t="n"/>
    </row>
    <row r="112" ht="18" customHeight="1">
      <c r="A112" s="45" t="inlineStr">
        <is>
          <t>работник 629</t>
        </is>
      </c>
      <c r="B112" s="178" t="inlineStr">
        <is>
          <t>Горнорабочий на маркшейдерских работах</t>
        </is>
      </c>
      <c r="C112" s="178" t="inlineStr"/>
      <c r="D112" s="179" t="n"/>
      <c r="E112" s="179" t="inlineStr">
        <is>
          <t>внутр</t>
        </is>
      </c>
      <c r="F112" s="179" t="n"/>
      <c r="G112" s="179" t="n"/>
      <c r="H112" s="179" t="n"/>
      <c r="I112" s="179" t="n"/>
      <c r="J112" s="179" t="n"/>
      <c r="K112" s="179" t="n"/>
      <c r="L112" s="179" t="n"/>
      <c r="M112" s="179" t="n"/>
      <c r="N112" s="179" t="n"/>
      <c r="O112" s="179" t="inlineStr">
        <is>
          <t>внутр</t>
        </is>
      </c>
      <c r="P112" s="179" t="n"/>
      <c r="Q112" s="179" t="inlineStr">
        <is>
          <t>внутр</t>
        </is>
      </c>
      <c r="R112" s="171" t="n"/>
      <c r="S112" s="171" t="n"/>
    </row>
    <row r="113" ht="18" customHeight="1">
      <c r="A113" s="45" t="inlineStr">
        <is>
          <t>работник 690</t>
        </is>
      </c>
      <c r="B113" s="178" t="inlineStr">
        <is>
          <t>Монтажник по монтажу стальных и железобетонных конструкций</t>
        </is>
      </c>
      <c r="C113" s="178" t="inlineStr"/>
      <c r="D113" s="179" t="n"/>
      <c r="E113" s="179" t="inlineStr">
        <is>
          <t>внутр</t>
        </is>
      </c>
      <c r="F113" s="179" t="n"/>
      <c r="G113" s="179" t="n"/>
      <c r="H113" s="179" t="n"/>
      <c r="I113" s="179" t="n"/>
      <c r="J113" s="179" t="n"/>
      <c r="K113" s="179" t="n"/>
      <c r="L113" s="179" t="n"/>
      <c r="M113" s="179" t="n"/>
      <c r="N113" s="179" t="n"/>
      <c r="O113" s="179" t="n"/>
      <c r="P113" s="179" t="n"/>
      <c r="Q113" s="179" t="inlineStr">
        <is>
          <t>внутр</t>
        </is>
      </c>
      <c r="R113" s="171" t="n"/>
      <c r="S113" s="171" t="n"/>
    </row>
    <row r="114" ht="18" customHeight="1">
      <c r="A114" s="45" t="inlineStr">
        <is>
          <t>работник 344</t>
        </is>
      </c>
      <c r="B114" s="178" t="inlineStr">
        <is>
          <t>Аппаратчик-гидрометаллург</t>
        </is>
      </c>
      <c r="C114" s="178" t="inlineStr"/>
      <c r="D114" s="179" t="n"/>
      <c r="E114" s="179" t="inlineStr">
        <is>
          <t>внутр</t>
        </is>
      </c>
      <c r="F114" s="179" t="n"/>
      <c r="G114" s="179" t="n"/>
      <c r="H114" s="179" t="n"/>
      <c r="I114" s="179" t="n"/>
      <c r="J114" s="179" t="n"/>
      <c r="K114" s="179" t="n"/>
      <c r="L114" s="179" t="n"/>
      <c r="M114" s="179" t="n"/>
      <c r="N114" s="179" t="n"/>
      <c r="O114" s="179" t="n"/>
      <c r="P114" s="179" t="inlineStr">
        <is>
          <t>внутр</t>
        </is>
      </c>
      <c r="Q114" s="179" t="inlineStr">
        <is>
          <t>внутр</t>
        </is>
      </c>
      <c r="R114" s="171" t="n"/>
      <c r="S114" s="171" t="n"/>
    </row>
    <row r="115" ht="18" customHeight="1">
      <c r="A115" s="45" t="inlineStr">
        <is>
          <t>работник 202</t>
        </is>
      </c>
      <c r="B115" s="178" t="inlineStr">
        <is>
          <t>Водитель автомобиля(занятый на траспортировании горной массы в технологическом процессе) | Водитель автомобиля (занятый на транспортировании горной массы в технологическом процессе)</t>
        </is>
      </c>
      <c r="C115" s="178" t="inlineStr"/>
      <c r="D115" s="179" t="n"/>
      <c r="E115" s="179" t="inlineStr">
        <is>
          <t>внутр</t>
        </is>
      </c>
      <c r="F115" s="179" t="n"/>
      <c r="G115" s="179" t="n"/>
      <c r="H115" s="179" t="n"/>
      <c r="I115" s="179" t="n"/>
      <c r="J115" s="179" t="n"/>
      <c r="K115" s="179" t="n"/>
      <c r="L115" s="179" t="n"/>
      <c r="M115" s="179" t="n"/>
      <c r="N115" s="179" t="n"/>
      <c r="O115" s="179" t="n"/>
      <c r="P115" s="179" t="inlineStr">
        <is>
          <t>внутр</t>
        </is>
      </c>
      <c r="Q115" s="179" t="inlineStr">
        <is>
          <t>внутр</t>
        </is>
      </c>
      <c r="R115" s="171" t="n"/>
      <c r="S115" s="171" t="n"/>
    </row>
    <row r="116" ht="18" customHeight="1">
      <c r="A116" s="45" t="inlineStr">
        <is>
          <t>работник 252</t>
        </is>
      </c>
      <c r="B116" s="178" t="inlineStr">
        <is>
          <t>Растворщик реагентов</t>
        </is>
      </c>
      <c r="C116" s="178" t="inlineStr"/>
      <c r="D116" s="179" t="n"/>
      <c r="E116" s="179" t="inlineStr">
        <is>
          <t>внутр</t>
        </is>
      </c>
      <c r="F116" s="179" t="n"/>
      <c r="G116" s="179" t="n"/>
      <c r="H116" s="179" t="n"/>
      <c r="I116" s="179" t="n"/>
      <c r="J116" s="179" t="n"/>
      <c r="K116" s="179" t="n"/>
      <c r="L116" s="179" t="n"/>
      <c r="M116" s="179" t="n"/>
      <c r="N116" s="179" t="n"/>
      <c r="O116" s="179" t="n"/>
      <c r="P116" s="179" t="inlineStr">
        <is>
          <t>внутр</t>
        </is>
      </c>
      <c r="Q116" s="179" t="inlineStr">
        <is>
          <t>внутр</t>
        </is>
      </c>
      <c r="R116" s="171" t="n"/>
      <c r="S116" s="171" t="n"/>
    </row>
    <row r="117" ht="18" customHeight="1">
      <c r="A117" s="45" t="inlineStr">
        <is>
          <t>работник 196</t>
        </is>
      </c>
      <c r="B117" s="178" t="inlineStr">
        <is>
          <t>Водитель автомобиля (категория Д)</t>
        </is>
      </c>
      <c r="C117" s="178" t="inlineStr"/>
      <c r="D117" s="179" t="n"/>
      <c r="E117" s="179" t="inlineStr">
        <is>
          <t>внутр</t>
        </is>
      </c>
      <c r="F117" s="179" t="n"/>
      <c r="G117" s="179" t="n"/>
      <c r="H117" s="179" t="n"/>
      <c r="I117" s="179" t="n"/>
      <c r="J117" s="179" t="n"/>
      <c r="K117" s="179" t="n"/>
      <c r="L117" s="179" t="n"/>
      <c r="M117" s="179" t="n"/>
      <c r="N117" s="179" t="n"/>
      <c r="O117" s="179" t="n"/>
      <c r="P117" s="179" t="inlineStr">
        <is>
          <t>внутр</t>
        </is>
      </c>
      <c r="Q117" s="179" t="inlineStr">
        <is>
          <t>внутр</t>
        </is>
      </c>
      <c r="R117" s="171" t="n"/>
      <c r="S117" s="171" t="n"/>
    </row>
    <row r="118" ht="18" customHeight="1">
      <c r="A118" s="45" t="inlineStr">
        <is>
          <t>работник 368</t>
        </is>
      </c>
      <c r="B118" s="178" t="inlineStr">
        <is>
          <t>Машинист бульдозера</t>
        </is>
      </c>
      <c r="C118" s="178" t="inlineStr"/>
      <c r="D118" s="179" t="n"/>
      <c r="E118" s="179" t="inlineStr">
        <is>
          <t>внутр</t>
        </is>
      </c>
      <c r="F118" s="179" t="n"/>
      <c r="G118" s="179" t="n"/>
      <c r="H118" s="179" t="n"/>
      <c r="I118" s="179" t="n"/>
      <c r="J118" s="179" t="n"/>
      <c r="K118" s="179" t="n"/>
      <c r="L118" s="179" t="n"/>
      <c r="M118" s="179" t="n"/>
      <c r="N118" s="179" t="n"/>
      <c r="O118" s="179" t="n"/>
      <c r="P118" s="179" t="inlineStr">
        <is>
          <t>внутр</t>
        </is>
      </c>
      <c r="Q118" s="179" t="inlineStr">
        <is>
          <t>внутр</t>
        </is>
      </c>
      <c r="R118" s="171" t="n"/>
      <c r="S118" s="171" t="n"/>
    </row>
    <row r="119" ht="18" customHeight="1">
      <c r="A119" s="45" t="inlineStr">
        <is>
          <t>работник 339</t>
        </is>
      </c>
      <c r="B119" s="178" t="inlineStr">
        <is>
          <t>Флотатор</t>
        </is>
      </c>
      <c r="C119" s="178" t="inlineStr"/>
      <c r="D119" s="179" t="n"/>
      <c r="E119" s="179" t="inlineStr">
        <is>
          <t>внутр</t>
        </is>
      </c>
      <c r="F119" s="179" t="n"/>
      <c r="G119" s="179" t="n"/>
      <c r="H119" s="179" t="n"/>
      <c r="I119" s="179" t="n"/>
      <c r="J119" s="179" t="n"/>
      <c r="K119" s="179" t="n"/>
      <c r="L119" s="179" t="n"/>
      <c r="M119" s="179" t="n"/>
      <c r="N119" s="179" t="n"/>
      <c r="O119" s="179" t="n"/>
      <c r="P119" s="179" t="inlineStr">
        <is>
          <t>внутр</t>
        </is>
      </c>
      <c r="Q119" s="179" t="inlineStr">
        <is>
          <t>внутр</t>
        </is>
      </c>
      <c r="R119" s="171" t="n"/>
      <c r="S119" s="171" t="n"/>
    </row>
    <row r="120" ht="18" customHeight="1">
      <c r="A120" s="45" t="inlineStr">
        <is>
          <t>работник 480</t>
        </is>
      </c>
      <c r="B120" s="178" t="inlineStr">
        <is>
          <t>Помощник машиниста  самоходной буровой установки (с исполнением обязанностей пробоотборщика) (Очистное)</t>
        </is>
      </c>
      <c r="C120" s="178" t="inlineStr"/>
      <c r="D120" s="179" t="n"/>
      <c r="E120" s="179" t="inlineStr">
        <is>
          <t>внутр</t>
        </is>
      </c>
      <c r="F120" s="179" t="n"/>
      <c r="G120" s="179" t="n"/>
      <c r="H120" s="179" t="n"/>
      <c r="I120" s="179" t="n"/>
      <c r="J120" s="179" t="n"/>
      <c r="K120" s="179" t="n"/>
      <c r="L120" s="179" t="n"/>
      <c r="M120" s="179" t="n"/>
      <c r="N120" s="179" t="n"/>
      <c r="O120" s="179" t="n"/>
      <c r="P120" s="179" t="n"/>
      <c r="Q120" s="179" t="inlineStr">
        <is>
          <t>внутр</t>
        </is>
      </c>
      <c r="R120" s="171" t="n"/>
      <c r="S120" s="171" t="n"/>
    </row>
    <row r="121" ht="18" customHeight="1">
      <c r="A121" s="45" t="inlineStr">
        <is>
          <t>работник 671</t>
        </is>
      </c>
      <c r="B121" s="178" t="inlineStr">
        <is>
          <t>Лаборант химического анализа | Лаборант пробирного анализа</t>
        </is>
      </c>
      <c r="C121" s="178" t="inlineStr"/>
      <c r="D121" s="179" t="n"/>
      <c r="E121" s="179" t="inlineStr">
        <is>
          <t>внутр</t>
        </is>
      </c>
      <c r="F121" s="179" t="n"/>
      <c r="G121" s="179" t="n"/>
      <c r="H121" s="179" t="n"/>
      <c r="I121" s="179" t="n"/>
      <c r="J121" s="179" t="n"/>
      <c r="K121" s="179" t="n"/>
      <c r="L121" s="179" t="n"/>
      <c r="M121" s="179" t="n"/>
      <c r="N121" s="179" t="n"/>
      <c r="O121" s="179" t="n"/>
      <c r="P121" s="179" t="inlineStr">
        <is>
          <t>внутр</t>
        </is>
      </c>
      <c r="Q121" s="179" t="inlineStr">
        <is>
          <t>внутр</t>
        </is>
      </c>
      <c r="R121" s="171" t="n"/>
      <c r="S121" s="171" t="n"/>
    </row>
    <row r="122" ht="18" customHeight="1">
      <c r="A122" s="45" t="inlineStr">
        <is>
          <t>работник 404</t>
        </is>
      </c>
      <c r="B122" s="178" t="inlineStr">
        <is>
          <t>Машинист подземных самоходных машин</t>
        </is>
      </c>
      <c r="C122" s="178" t="inlineStr"/>
      <c r="D122" s="179" t="n"/>
      <c r="E122" s="179" t="inlineStr">
        <is>
          <t>внутр</t>
        </is>
      </c>
      <c r="F122" s="179" t="n"/>
      <c r="G122" s="179" t="n"/>
      <c r="H122" s="179" t="n"/>
      <c r="I122" s="179" t="n"/>
      <c r="J122" s="179" t="n"/>
      <c r="K122" s="179" t="n"/>
      <c r="L122" s="179" t="n"/>
      <c r="M122" s="179" t="n"/>
      <c r="N122" s="179" t="n"/>
      <c r="O122" s="179" t="n"/>
      <c r="P122" s="179" t="inlineStr">
        <is>
          <t>внутр</t>
        </is>
      </c>
      <c r="Q122" s="179" t="inlineStr">
        <is>
          <t>внутр</t>
        </is>
      </c>
      <c r="R122" s="171" t="n"/>
      <c r="S122" s="171" t="n"/>
    </row>
    <row r="123" ht="18" customHeight="1">
      <c r="A123" s="45" t="inlineStr">
        <is>
          <t>работник 433</t>
        </is>
      </c>
      <c r="B123" s="178" t="inlineStr">
        <is>
          <t>Плавильщик</t>
        </is>
      </c>
      <c r="C123" s="178" t="inlineStr"/>
      <c r="D123" s="179" t="n"/>
      <c r="E123" s="179" t="inlineStr">
        <is>
          <t>внутр</t>
        </is>
      </c>
      <c r="F123" s="179" t="n"/>
      <c r="G123" s="179" t="n"/>
      <c r="H123" s="179" t="n"/>
      <c r="I123" s="179" t="n"/>
      <c r="J123" s="179" t="n"/>
      <c r="K123" s="179" t="n"/>
      <c r="L123" s="179" t="n"/>
      <c r="M123" s="179" t="n"/>
      <c r="N123" s="179" t="n"/>
      <c r="O123" s="179" t="n"/>
      <c r="P123" s="179" t="inlineStr">
        <is>
          <t>внутр</t>
        </is>
      </c>
      <c r="Q123" s="179" t="inlineStr">
        <is>
          <t>внутр</t>
        </is>
      </c>
      <c r="R123" s="171" t="n"/>
      <c r="S123" s="171" t="n"/>
    </row>
    <row r="124" ht="18" customHeight="1">
      <c r="A124" s="45" t="inlineStr">
        <is>
          <t>работник 586</t>
        </is>
      </c>
      <c r="B124" s="178" t="inlineStr">
        <is>
          <t>Лаборант химического анализа</t>
        </is>
      </c>
      <c r="C124" s="178" t="inlineStr"/>
      <c r="D124" s="179" t="n"/>
      <c r="E124" s="179" t="inlineStr">
        <is>
          <t>внутр</t>
        </is>
      </c>
      <c r="F124" s="179" t="n"/>
      <c r="G124" s="179" t="n"/>
      <c r="H124" s="179" t="n"/>
      <c r="I124" s="179" t="n"/>
      <c r="J124" s="179" t="n"/>
      <c r="K124" s="179" t="n"/>
      <c r="L124" s="179" t="n"/>
      <c r="M124" s="179" t="n"/>
      <c r="N124" s="179" t="n"/>
      <c r="O124" s="179" t="n"/>
      <c r="P124" s="179" t="n"/>
      <c r="Q124" s="179" t="inlineStr">
        <is>
          <t>внутр</t>
        </is>
      </c>
      <c r="R124" s="171" t="n"/>
      <c r="S124" s="171" t="n"/>
    </row>
    <row r="125" ht="18" customHeight="1">
      <c r="A125" s="45" t="inlineStr">
        <is>
          <t>работник 839</t>
        </is>
      </c>
      <c r="B125" s="178" t="inlineStr">
        <is>
          <t>Машинист погрузочно-доставочной машины (занятый на транспортировании горной массы в технологическом процессе)</t>
        </is>
      </c>
      <c r="C125" s="178" t="inlineStr"/>
      <c r="D125" s="179" t="n"/>
      <c r="E125" s="179" t="inlineStr">
        <is>
          <t>внутр</t>
        </is>
      </c>
      <c r="F125" s="179" t="n"/>
      <c r="G125" s="179" t="n"/>
      <c r="H125" s="179" t="n"/>
      <c r="I125" s="179" t="n"/>
      <c r="J125" s="179" t="n"/>
      <c r="K125" s="179" t="n"/>
      <c r="L125" s="179" t="n"/>
      <c r="M125" s="179" t="n"/>
      <c r="N125" s="179" t="n"/>
      <c r="O125" s="179" t="n"/>
      <c r="P125" s="179" t="inlineStr">
        <is>
          <t>внутр</t>
        </is>
      </c>
      <c r="Q125" s="179" t="inlineStr">
        <is>
          <t>внутр</t>
        </is>
      </c>
      <c r="R125" s="171" t="n"/>
      <c r="S125" s="171" t="n"/>
    </row>
    <row r="126" ht="18" customHeight="1">
      <c r="A126" s="45" t="inlineStr">
        <is>
          <t>работник 844</t>
        </is>
      </c>
      <c r="B126" s="178" t="inlineStr">
        <is>
          <t>Помощник машиниста самоходной буровой установки (с исполнением обязанностей пробоотборщика)</t>
        </is>
      </c>
      <c r="C126" s="178" t="inlineStr"/>
      <c r="D126" s="179" t="n"/>
      <c r="E126" s="179" t="inlineStr">
        <is>
          <t>внутр</t>
        </is>
      </c>
      <c r="F126" s="179" t="n"/>
      <c r="G126" s="179" t="n"/>
      <c r="H126" s="179" t="n"/>
      <c r="I126" s="179" t="n"/>
      <c r="J126" s="179" t="n"/>
      <c r="K126" s="179" t="n"/>
      <c r="L126" s="179" t="n"/>
      <c r="M126" s="179" t="n"/>
      <c r="N126" s="179" t="n"/>
      <c r="O126" s="179" t="n"/>
      <c r="P126" s="179" t="inlineStr">
        <is>
          <t>внутр</t>
        </is>
      </c>
      <c r="Q126" s="179" t="inlineStr">
        <is>
          <t>внутр</t>
        </is>
      </c>
      <c r="R126" s="171" t="n"/>
      <c r="S126" s="171" t="n"/>
    </row>
    <row r="127" ht="18" customHeight="1">
      <c r="A127" s="45" t="inlineStr">
        <is>
          <t>работник 156</t>
        </is>
      </c>
      <c r="B127" s="178" t="inlineStr">
        <is>
          <t>Проходчик (с исполнением обязанностей взрывника) | Электрогазосварщик (занятый на резке и ручной сварке)</t>
        </is>
      </c>
      <c r="C127" s="178" t="inlineStr"/>
      <c r="D127" s="179" t="n"/>
      <c r="E127" s="179" t="inlineStr">
        <is>
          <t>внутр</t>
        </is>
      </c>
      <c r="F127" s="179" t="n"/>
      <c r="G127" s="179" t="n"/>
      <c r="H127" s="179" t="n"/>
      <c r="I127" s="179" t="n"/>
      <c r="J127" s="179" t="n"/>
      <c r="K127" s="179" t="n"/>
      <c r="L127" s="179" t="n"/>
      <c r="M127" s="179" t="n"/>
      <c r="N127" s="179" t="n"/>
      <c r="O127" s="179" t="n"/>
      <c r="P127" s="179" t="inlineStr">
        <is>
          <t>внутр</t>
        </is>
      </c>
      <c r="Q127" s="179" t="inlineStr">
        <is>
          <t>внутр</t>
        </is>
      </c>
      <c r="R127" s="171" t="n"/>
      <c r="S127" s="171" t="n"/>
    </row>
    <row r="128" ht="18" customHeight="1">
      <c r="A128" s="45" t="inlineStr">
        <is>
          <t>работник 795</t>
        </is>
      </c>
      <c r="B128" s="178" t="inlineStr">
        <is>
          <t>Водитель автомобиля (топливозаправщик)</t>
        </is>
      </c>
      <c r="C128" s="178" t="inlineStr"/>
      <c r="D128" s="179" t="n"/>
      <c r="E128" s="179" t="inlineStr">
        <is>
          <t>внутр</t>
        </is>
      </c>
      <c r="F128" s="179" t="n"/>
      <c r="G128" s="179" t="n"/>
      <c r="H128" s="179" t="n"/>
      <c r="I128" s="179" t="n"/>
      <c r="J128" s="179" t="n"/>
      <c r="K128" s="179" t="n"/>
      <c r="L128" s="179" t="n"/>
      <c r="M128" s="179" t="n"/>
      <c r="N128" s="179" t="n"/>
      <c r="O128" s="179" t="n"/>
      <c r="P128" s="179" t="inlineStr">
        <is>
          <t>внутр</t>
        </is>
      </c>
      <c r="Q128" s="179" t="inlineStr">
        <is>
          <t>внутр</t>
        </is>
      </c>
      <c r="R128" s="171" t="n"/>
      <c r="S128" s="171" t="n"/>
    </row>
    <row r="129" ht="18" customHeight="1">
      <c r="A129" s="45" t="inlineStr">
        <is>
          <t>работник 815</t>
        </is>
      </c>
      <c r="B129" s="178" t="inlineStr">
        <is>
          <t>Машинист крана автомобильного (КМУ)</t>
        </is>
      </c>
      <c r="C129" s="178" t="inlineStr"/>
      <c r="D129" s="179" t="n"/>
      <c r="E129" s="179" t="inlineStr">
        <is>
          <t>внутр</t>
        </is>
      </c>
      <c r="F129" s="179" t="n"/>
      <c r="G129" s="179" t="n"/>
      <c r="H129" s="179" t="n"/>
      <c r="I129" s="179" t="n"/>
      <c r="J129" s="179" t="n"/>
      <c r="K129" s="179" t="n"/>
      <c r="L129" s="179" t="n"/>
      <c r="M129" s="179" t="n"/>
      <c r="N129" s="179" t="n"/>
      <c r="O129" s="179" t="n"/>
      <c r="P129" s="179" t="n"/>
      <c r="Q129" s="179" t="inlineStr">
        <is>
          <t>внутр</t>
        </is>
      </c>
      <c r="R129" s="171" t="n"/>
      <c r="S129" s="171" t="n"/>
    </row>
    <row r="130" ht="18" customHeight="1">
      <c r="A130" s="45" t="inlineStr">
        <is>
          <t>работник 873</t>
        </is>
      </c>
      <c r="B130" s="178" t="inlineStr">
        <is>
          <t>Кухонный рабочий</t>
        </is>
      </c>
      <c r="C130" s="178" t="inlineStr"/>
      <c r="D130" s="179" t="n"/>
      <c r="E130" s="179" t="inlineStr">
        <is>
          <t>внутр</t>
        </is>
      </c>
      <c r="F130" s="179" t="n"/>
      <c r="G130" s="179" t="n"/>
      <c r="H130" s="179" t="n"/>
      <c r="I130" s="179" t="n"/>
      <c r="J130" s="179" t="n"/>
      <c r="K130" s="179" t="n"/>
      <c r="L130" s="179" t="n"/>
      <c r="M130" s="179" t="n"/>
      <c r="N130" s="179" t="n"/>
      <c r="O130" s="179" t="n"/>
      <c r="P130" s="179" t="inlineStr">
        <is>
          <t>внутр</t>
        </is>
      </c>
      <c r="Q130" s="179" t="inlineStr">
        <is>
          <t>внутр</t>
        </is>
      </c>
      <c r="R130" s="171" t="n"/>
      <c r="S130" s="171" t="n"/>
    </row>
    <row r="131" ht="18" customHeight="1">
      <c r="A131" s="45" t="inlineStr">
        <is>
          <t>работник 220</t>
        </is>
      </c>
      <c r="B131" s="178" t="inlineStr">
        <is>
          <t>Водитель автомобиля(занятый на траспортировании горной массы в технологическом процессе) | Водитель автомобиля (занятый на транспортировании горной массы в технологическом процессе)</t>
        </is>
      </c>
      <c r="C131" s="178" t="inlineStr"/>
      <c r="D131" s="179" t="n"/>
      <c r="E131" s="179" t="inlineStr">
        <is>
          <t>внутр</t>
        </is>
      </c>
      <c r="F131" s="179" t="n"/>
      <c r="G131" s="179" t="n"/>
      <c r="H131" s="179" t="n"/>
      <c r="I131" s="179" t="n"/>
      <c r="J131" s="179" t="n"/>
      <c r="K131" s="179" t="n"/>
      <c r="L131" s="179" t="n"/>
      <c r="M131" s="179" t="n"/>
      <c r="N131" s="179" t="n"/>
      <c r="O131" s="179" t="n"/>
      <c r="P131" s="179" t="inlineStr">
        <is>
          <t>внутр</t>
        </is>
      </c>
      <c r="Q131" s="179" t="inlineStr">
        <is>
          <t>внутр</t>
        </is>
      </c>
      <c r="R131" s="171" t="n"/>
      <c r="S131" s="171" t="n"/>
    </row>
    <row r="132" ht="18" customHeight="1">
      <c r="A132" s="45" t="inlineStr">
        <is>
          <t>работник 902</t>
        </is>
      </c>
      <c r="B132" s="178" t="inlineStr">
        <is>
          <t>Водитель погрузчика</t>
        </is>
      </c>
      <c r="C132" s="178" t="inlineStr"/>
      <c r="D132" s="179" t="n"/>
      <c r="E132" s="179" t="inlineStr">
        <is>
          <t>внутр</t>
        </is>
      </c>
      <c r="F132" s="179" t="n"/>
      <c r="G132" s="179" t="n"/>
      <c r="H132" s="179" t="n"/>
      <c r="I132" s="179" t="n"/>
      <c r="J132" s="179" t="n"/>
      <c r="K132" s="179" t="n"/>
      <c r="L132" s="179" t="n"/>
      <c r="M132" s="179" t="n"/>
      <c r="N132" s="179" t="n"/>
      <c r="O132" s="179" t="n"/>
      <c r="P132" s="179" t="inlineStr">
        <is>
          <t>внутр</t>
        </is>
      </c>
      <c r="Q132" s="179" t="inlineStr">
        <is>
          <t>внутр</t>
        </is>
      </c>
      <c r="R132" s="171" t="n"/>
      <c r="S132" s="171" t="n"/>
    </row>
    <row r="133" ht="18" customHeight="1">
      <c r="A133" s="45" t="inlineStr">
        <is>
          <t>работник 691</t>
        </is>
      </c>
      <c r="B133" s="178" t="inlineStr">
        <is>
          <t>Плотник</t>
        </is>
      </c>
      <c r="C133" s="178" t="inlineStr"/>
      <c r="D133" s="179" t="n"/>
      <c r="E133" s="179" t="inlineStr">
        <is>
          <t>внутр</t>
        </is>
      </c>
      <c r="F133" s="179" t="n"/>
      <c r="G133" s="179" t="n"/>
      <c r="H133" s="179" t="n"/>
      <c r="I133" s="179" t="n"/>
      <c r="J133" s="179" t="n"/>
      <c r="K133" s="179" t="n"/>
      <c r="L133" s="179" t="n"/>
      <c r="M133" s="179" t="n"/>
      <c r="N133" s="179" t="n"/>
      <c r="O133" s="179" t="n"/>
      <c r="P133" s="179" t="n"/>
      <c r="Q133" s="179" t="inlineStr">
        <is>
          <t>внутр</t>
        </is>
      </c>
      <c r="R133" s="171" t="n"/>
      <c r="S133" s="171" t="n"/>
    </row>
    <row r="134" ht="18" customHeight="1">
      <c r="A134" s="45" t="inlineStr">
        <is>
          <t>работник 401</t>
        </is>
      </c>
      <c r="B134" s="178" t="inlineStr">
        <is>
          <t>Весовщик | Контролер продукции обогащения</t>
        </is>
      </c>
      <c r="C134" s="178" t="inlineStr"/>
      <c r="D134" s="179" t="n"/>
      <c r="E134" s="179" t="inlineStr">
        <is>
          <t>внутр</t>
        </is>
      </c>
      <c r="F134" s="179" t="n"/>
      <c r="G134" s="179" t="n"/>
      <c r="H134" s="179" t="n"/>
      <c r="I134" s="179" t="n"/>
      <c r="J134" s="179" t="n"/>
      <c r="K134" s="179" t="n"/>
      <c r="L134" s="179" t="n"/>
      <c r="M134" s="179" t="n"/>
      <c r="N134" s="179" t="n"/>
      <c r="O134" s="179" t="n"/>
      <c r="P134" s="179" t="inlineStr">
        <is>
          <t>внутр</t>
        </is>
      </c>
      <c r="Q134" s="179" t="inlineStr">
        <is>
          <t>внутр</t>
        </is>
      </c>
      <c r="R134" s="171" t="n"/>
      <c r="S134" s="171" t="n"/>
    </row>
    <row r="135" ht="18" customHeight="1">
      <c r="A135" s="45" t="inlineStr">
        <is>
          <t>работник 817</t>
        </is>
      </c>
      <c r="B135" s="178" t="inlineStr">
        <is>
          <t>Машинист крана автомобильного</t>
        </is>
      </c>
      <c r="C135" s="178" t="inlineStr"/>
      <c r="D135" s="179" t="n"/>
      <c r="E135" s="179" t="inlineStr">
        <is>
          <t>внутр</t>
        </is>
      </c>
      <c r="F135" s="179" t="n"/>
      <c r="G135" s="179" t="n"/>
      <c r="H135" s="179" t="n"/>
      <c r="I135" s="179" t="n"/>
      <c r="J135" s="179" t="n"/>
      <c r="K135" s="179" t="n"/>
      <c r="L135" s="179" t="n"/>
      <c r="M135" s="179" t="n"/>
      <c r="N135" s="179" t="n"/>
      <c r="O135" s="179" t="n"/>
      <c r="P135" s="179" t="n"/>
      <c r="Q135" s="179" t="inlineStr">
        <is>
          <t>внутр</t>
        </is>
      </c>
      <c r="R135" s="171" t="n"/>
      <c r="S135" s="171" t="n"/>
    </row>
    <row r="136" ht="18" customHeight="1">
      <c r="A136" s="45" t="inlineStr">
        <is>
          <t>работник 481</t>
        </is>
      </c>
      <c r="B136" s="178" t="inlineStr">
        <is>
          <t>Помощник машиниста  самоходной буровой установки (с исполнением обязанностей пробоотборщика) (Очистное)</t>
        </is>
      </c>
      <c r="C136" s="178" t="inlineStr"/>
      <c r="D136" s="179" t="n"/>
      <c r="E136" s="179" t="inlineStr">
        <is>
          <t>внутр</t>
        </is>
      </c>
      <c r="F136" s="179" t="n"/>
      <c r="G136" s="179" t="n"/>
      <c r="H136" s="179" t="n"/>
      <c r="I136" s="179" t="n"/>
      <c r="J136" s="179" t="n"/>
      <c r="K136" s="179" t="n"/>
      <c r="L136" s="179" t="n"/>
      <c r="M136" s="179" t="n"/>
      <c r="N136" s="179" t="n"/>
      <c r="O136" s="179" t="n"/>
      <c r="P136" s="179" t="n"/>
      <c r="Q136" s="179" t="inlineStr">
        <is>
          <t>внутр</t>
        </is>
      </c>
      <c r="R136" s="171" t="n"/>
      <c r="S136" s="171" t="n"/>
    </row>
    <row r="137" ht="18" customHeight="1">
      <c r="A137" s="45" t="inlineStr">
        <is>
          <t>работник 874</t>
        </is>
      </c>
      <c r="B137" s="178" t="inlineStr">
        <is>
          <t>Кухонный рабочий</t>
        </is>
      </c>
      <c r="C137" s="178" t="inlineStr"/>
      <c r="D137" s="179" t="n"/>
      <c r="E137" s="179" t="inlineStr">
        <is>
          <t>внутр</t>
        </is>
      </c>
      <c r="F137" s="179" t="n"/>
      <c r="G137" s="179" t="n"/>
      <c r="H137" s="179" t="n"/>
      <c r="I137" s="179" t="n"/>
      <c r="J137" s="179" t="n"/>
      <c r="K137" s="179" t="n"/>
      <c r="L137" s="179" t="n"/>
      <c r="M137" s="179" t="n"/>
      <c r="N137" s="179" t="n"/>
      <c r="O137" s="179" t="n"/>
      <c r="P137" s="179" t="inlineStr">
        <is>
          <t>внутр</t>
        </is>
      </c>
      <c r="Q137" s="179" t="inlineStr">
        <is>
          <t>внутр</t>
        </is>
      </c>
      <c r="R137" s="171" t="n"/>
      <c r="S137" s="171" t="n"/>
    </row>
    <row r="138" ht="18" customHeight="1">
      <c r="A138" s="45" t="inlineStr">
        <is>
          <t>работник 872</t>
        </is>
      </c>
      <c r="B138" s="178" t="inlineStr">
        <is>
          <t>Повар (кондитер)</t>
        </is>
      </c>
      <c r="C138" s="178" t="inlineStr"/>
      <c r="D138" s="179" t="n"/>
      <c r="E138" s="179" t="inlineStr">
        <is>
          <t>внутр</t>
        </is>
      </c>
      <c r="F138" s="179" t="n"/>
      <c r="G138" s="179" t="n"/>
      <c r="H138" s="179" t="n"/>
      <c r="I138" s="179" t="n"/>
      <c r="J138" s="179" t="n"/>
      <c r="K138" s="179" t="n"/>
      <c r="L138" s="179" t="n"/>
      <c r="M138" s="179" t="n"/>
      <c r="N138" s="179" t="n"/>
      <c r="O138" s="179" t="n"/>
      <c r="P138" s="179" t="inlineStr">
        <is>
          <t>внутр</t>
        </is>
      </c>
      <c r="Q138" s="179" t="inlineStr">
        <is>
          <t>внутр</t>
        </is>
      </c>
      <c r="R138" s="171" t="n"/>
      <c r="S138" s="171" t="n"/>
    </row>
    <row r="139" ht="18" customHeight="1">
      <c r="A139" s="45" t="inlineStr">
        <is>
          <t>работник 634</t>
        </is>
      </c>
      <c r="B139" s="178" t="inlineStr">
        <is>
          <t>Помощник машиниста самоходной буровой установки (с исполнением обязанностей пробоотборщика) (Очистное) | Помощник машиниста самоходной буровой установки (с исполнением обязанностей пробоотборщика)</t>
        </is>
      </c>
      <c r="C139" s="178" t="inlineStr"/>
      <c r="D139" s="179" t="n"/>
      <c r="E139" s="179" t="inlineStr">
        <is>
          <t>внутр</t>
        </is>
      </c>
      <c r="F139" s="179" t="n"/>
      <c r="G139" s="179" t="n"/>
      <c r="H139" s="179" t="inlineStr">
        <is>
          <t>внутр</t>
        </is>
      </c>
      <c r="I139" s="179" t="n"/>
      <c r="J139" s="179" t="n"/>
      <c r="K139" s="179" t="n"/>
      <c r="L139" s="179" t="n"/>
      <c r="M139" s="179" t="n"/>
      <c r="N139" s="179" t="n"/>
      <c r="O139" s="179" t="n"/>
      <c r="P139" s="179" t="inlineStr">
        <is>
          <t>внутр</t>
        </is>
      </c>
      <c r="Q139" s="179" t="inlineStr">
        <is>
          <t>внутр</t>
        </is>
      </c>
      <c r="R139" s="171" t="n"/>
      <c r="S139" s="171" t="n"/>
    </row>
    <row r="140" ht="18" customHeight="1">
      <c r="A140" s="45" t="inlineStr">
        <is>
          <t>работник 648</t>
        </is>
      </c>
      <c r="B140" s="178" t="inlineStr">
        <is>
          <t>Заведующий складом аварийно химически опасных веществ</t>
        </is>
      </c>
      <c r="C140" s="178" t="inlineStr">
        <is>
          <t>Руководитель</t>
        </is>
      </c>
      <c r="D140" s="179" t="n"/>
      <c r="E140" s="180" t="inlineStr">
        <is>
          <t>внутр</t>
        </is>
      </c>
      <c r="F140" s="179" t="n"/>
      <c r="G140" s="179" t="n"/>
      <c r="H140" s="179" t="n"/>
      <c r="I140" s="179" t="n"/>
      <c r="J140" s="179" t="n"/>
      <c r="K140" s="179" t="n"/>
      <c r="L140" s="179" t="n"/>
      <c r="M140" s="179" t="n"/>
      <c r="N140" s="179" t="n"/>
      <c r="O140" s="179" t="n"/>
      <c r="P140" s="179" t="n"/>
      <c r="Q140" s="179" t="inlineStr">
        <is>
          <t>внутр</t>
        </is>
      </c>
      <c r="R140" s="171" t="n">
        <v>1</v>
      </c>
      <c r="S140" s="171" t="n"/>
    </row>
    <row r="141" ht="18" customHeight="1">
      <c r="A141" s="45" t="inlineStr">
        <is>
          <t>работник 460</t>
        </is>
      </c>
      <c r="B141" s="178" t="inlineStr">
        <is>
          <t>Электрогазосварщик</t>
        </is>
      </c>
      <c r="C141" s="178" t="inlineStr"/>
      <c r="D141" s="179" t="n"/>
      <c r="E141" s="179" t="inlineStr">
        <is>
          <t>внутр</t>
        </is>
      </c>
      <c r="F141" s="179" t="n"/>
      <c r="G141" s="179" t="n"/>
      <c r="H141" s="179" t="n"/>
      <c r="I141" s="179" t="n"/>
      <c r="J141" s="179" t="n"/>
      <c r="K141" s="179" t="n"/>
      <c r="L141" s="179" t="n"/>
      <c r="M141" s="179" t="n"/>
      <c r="N141" s="179" t="n"/>
      <c r="O141" s="179" t="n"/>
      <c r="P141" s="179" t="n"/>
      <c r="Q141" s="179" t="inlineStr">
        <is>
          <t>внутр</t>
        </is>
      </c>
      <c r="R141" s="171" t="n"/>
      <c r="S141" s="171" t="n"/>
    </row>
    <row r="142" ht="18" customHeight="1">
      <c r="A142" s="45" t="inlineStr">
        <is>
          <t>работник 511</t>
        </is>
      </c>
      <c r="B142" s="178" t="inlineStr">
        <is>
          <t>Весовщик</t>
        </is>
      </c>
      <c r="C142" s="178" t="inlineStr"/>
      <c r="D142" s="179" t="n"/>
      <c r="E142" s="179" t="inlineStr">
        <is>
          <t>внутр</t>
        </is>
      </c>
      <c r="F142" s="179" t="n"/>
      <c r="G142" s="179" t="n"/>
      <c r="H142" s="179" t="n"/>
      <c r="I142" s="179" t="n"/>
      <c r="J142" s="179" t="n"/>
      <c r="K142" s="179" t="n"/>
      <c r="L142" s="179" t="n"/>
      <c r="M142" s="179" t="n"/>
      <c r="N142" s="179" t="n"/>
      <c r="O142" s="179" t="n"/>
      <c r="P142" s="179" t="n"/>
      <c r="Q142" s="179" t="inlineStr">
        <is>
          <t>внутр</t>
        </is>
      </c>
      <c r="R142" s="171" t="n"/>
      <c r="S142" s="171" t="n"/>
    </row>
    <row r="143" ht="18" customHeight="1">
      <c r="A143" s="45" t="inlineStr">
        <is>
          <t>работник 93</t>
        </is>
      </c>
      <c r="B143" s="178" t="inlineStr">
        <is>
          <t>Кухонный рабочий</t>
        </is>
      </c>
      <c r="C143" s="178" t="inlineStr"/>
      <c r="D143" s="179" t="n"/>
      <c r="E143" s="179" t="inlineStr">
        <is>
          <t>внутр</t>
        </is>
      </c>
      <c r="F143" s="179" t="n"/>
      <c r="G143" s="179" t="n"/>
      <c r="H143" s="179" t="n"/>
      <c r="I143" s="179" t="n"/>
      <c r="J143" s="179" t="n"/>
      <c r="K143" s="179" t="n"/>
      <c r="L143" s="179" t="n"/>
      <c r="M143" s="179" t="n"/>
      <c r="N143" s="179" t="n"/>
      <c r="O143" s="179" t="n"/>
      <c r="P143" s="179" t="inlineStr">
        <is>
          <t>внутр</t>
        </is>
      </c>
      <c r="Q143" s="179" t="inlineStr">
        <is>
          <t>внутр</t>
        </is>
      </c>
      <c r="R143" s="171" t="n"/>
      <c r="S143" s="171" t="n"/>
    </row>
    <row r="144" ht="18" customHeight="1">
      <c r="A144" s="45" t="inlineStr">
        <is>
          <t>работник 912</t>
        </is>
      </c>
      <c r="B144" s="178" t="inlineStr">
        <is>
          <t>Делопроизводитель</t>
        </is>
      </c>
      <c r="C144" s="178" t="inlineStr"/>
      <c r="D144" s="179" t="inlineStr">
        <is>
          <t>внутр</t>
        </is>
      </c>
      <c r="E144" s="179" t="n"/>
      <c r="F144" s="179" t="n"/>
      <c r="G144" s="179" t="n"/>
      <c r="H144" s="179" t="n"/>
      <c r="I144" s="179" t="n"/>
      <c r="J144" s="179" t="n"/>
      <c r="K144" s="179" t="n"/>
      <c r="L144" s="179" t="n"/>
      <c r="M144" s="179" t="n"/>
      <c r="N144" s="179" t="n"/>
      <c r="O144" s="179" t="n"/>
      <c r="P144" s="179" t="inlineStr">
        <is>
          <t>внутр</t>
        </is>
      </c>
      <c r="Q144" s="179" t="inlineStr">
        <is>
          <t>внутр</t>
        </is>
      </c>
      <c r="R144" s="171" t="n"/>
      <c r="S144" s="171" t="n"/>
    </row>
    <row r="145" ht="18" customHeight="1">
      <c r="A145" s="45" t="inlineStr">
        <is>
          <t>работник 762</t>
        </is>
      </c>
      <c r="B145" s="178" t="inlineStr">
        <is>
          <t>Машинист погрузочно-доставочной машины (занятый на транспортировании горной массы в технологическом процессе)</t>
        </is>
      </c>
      <c r="C145" s="178" t="inlineStr"/>
      <c r="D145" s="179" t="n"/>
      <c r="E145" s="179" t="inlineStr">
        <is>
          <t>внутр</t>
        </is>
      </c>
      <c r="F145" s="179" t="n"/>
      <c r="G145" s="179" t="n"/>
      <c r="H145" s="179" t="n"/>
      <c r="I145" s="179" t="n"/>
      <c r="J145" s="179" t="n"/>
      <c r="K145" s="179" t="n"/>
      <c r="L145" s="179" t="n"/>
      <c r="M145" s="179" t="n"/>
      <c r="N145" s="179" t="n"/>
      <c r="O145" s="179" t="n"/>
      <c r="P145" s="179" t="inlineStr">
        <is>
          <t>внутр</t>
        </is>
      </c>
      <c r="Q145" s="179" t="inlineStr">
        <is>
          <t>внутр</t>
        </is>
      </c>
      <c r="R145" s="171" t="n"/>
      <c r="S145" s="171" t="n"/>
    </row>
    <row r="146" ht="18" customHeight="1">
      <c r="A146" s="45" t="inlineStr">
        <is>
          <t>работник 530</t>
        </is>
      </c>
      <c r="B146" s="178" t="inlineStr">
        <is>
          <t>Крепильщик | Проходчик (с исполнением обязанностей взрывника)</t>
        </is>
      </c>
      <c r="C146" s="178" t="inlineStr"/>
      <c r="D146" s="179" t="n"/>
      <c r="E146" s="179" t="inlineStr">
        <is>
          <t>внутр</t>
        </is>
      </c>
      <c r="F146" s="179" t="n"/>
      <c r="G146" s="179" t="n"/>
      <c r="H146" s="179" t="n"/>
      <c r="I146" s="179" t="n"/>
      <c r="J146" s="179" t="n"/>
      <c r="K146" s="179" t="n"/>
      <c r="L146" s="179" t="n"/>
      <c r="M146" s="179" t="n"/>
      <c r="N146" s="179" t="n"/>
      <c r="O146" s="179" t="n"/>
      <c r="P146" s="179" t="inlineStr">
        <is>
          <t>внутр</t>
        </is>
      </c>
      <c r="Q146" s="179" t="inlineStr">
        <is>
          <t>внутр</t>
        </is>
      </c>
      <c r="R146" s="171" t="n"/>
      <c r="S146" s="171" t="n"/>
    </row>
    <row r="147" ht="18" customHeight="1">
      <c r="A147" s="45" t="inlineStr">
        <is>
          <t>работник 264</t>
        </is>
      </c>
      <c r="B147" s="178" t="inlineStr">
        <is>
          <t>Машинист крана автомобильного (КМУ)</t>
        </is>
      </c>
      <c r="C147" s="178" t="inlineStr"/>
      <c r="D147" s="179" t="n"/>
      <c r="E147" s="179" t="inlineStr">
        <is>
          <t>внутр</t>
        </is>
      </c>
      <c r="F147" s="179" t="n"/>
      <c r="G147" s="179" t="n"/>
      <c r="H147" s="179" t="n"/>
      <c r="I147" s="179" t="n"/>
      <c r="J147" s="179" t="n"/>
      <c r="K147" s="179" t="n"/>
      <c r="L147" s="179" t="n"/>
      <c r="M147" s="179" t="n"/>
      <c r="N147" s="179" t="n"/>
      <c r="O147" s="179" t="n"/>
      <c r="P147" s="179" t="inlineStr">
        <is>
          <t>внутр</t>
        </is>
      </c>
      <c r="Q147" s="179" t="inlineStr">
        <is>
          <t>внутр</t>
        </is>
      </c>
      <c r="R147" s="171" t="n"/>
      <c r="S147" s="171" t="n"/>
    </row>
    <row r="148" ht="18" customHeight="1">
      <c r="A148" s="45" t="inlineStr">
        <is>
          <t>работник 335</t>
        </is>
      </c>
      <c r="B148" s="178" t="inlineStr">
        <is>
          <t>Машинист ДВС с обязанностями компрессорщик | Машинист двигателей внутреннего сгорания (с исполнением обязанностей машиниста компрессорных установок)</t>
        </is>
      </c>
      <c r="C148" s="178" t="inlineStr"/>
      <c r="D148" s="179" t="n"/>
      <c r="E148" s="179" t="inlineStr">
        <is>
          <t>внутр</t>
        </is>
      </c>
      <c r="F148" s="179" t="n"/>
      <c r="G148" s="179" t="n"/>
      <c r="H148" s="179" t="n"/>
      <c r="I148" s="179" t="n"/>
      <c r="J148" s="179" t="n"/>
      <c r="K148" s="179" t="n"/>
      <c r="L148" s="179" t="n"/>
      <c r="M148" s="179" t="n"/>
      <c r="N148" s="179" t="n"/>
      <c r="O148" s="179" t="n"/>
      <c r="P148" s="179" t="inlineStr">
        <is>
          <t>внутр</t>
        </is>
      </c>
      <c r="Q148" s="179" t="inlineStr">
        <is>
          <t>внутр</t>
        </is>
      </c>
      <c r="R148" s="171" t="n"/>
      <c r="S148" s="171" t="n"/>
    </row>
    <row r="149" ht="18" customHeight="1">
      <c r="A149" s="45" t="inlineStr">
        <is>
          <t>работник 379</t>
        </is>
      </c>
      <c r="B149" s="178" t="inlineStr">
        <is>
          <t>Машинист двигателей внутреннего сгорания</t>
        </is>
      </c>
      <c r="C149" s="178" t="inlineStr"/>
      <c r="D149" s="179" t="n"/>
      <c r="E149" s="179" t="inlineStr">
        <is>
          <t>внутр</t>
        </is>
      </c>
      <c r="F149" s="179" t="n"/>
      <c r="G149" s="179" t="n"/>
      <c r="H149" s="179" t="n"/>
      <c r="I149" s="179" t="n"/>
      <c r="J149" s="179" t="n"/>
      <c r="K149" s="179" t="n"/>
      <c r="L149" s="179" t="n"/>
      <c r="M149" s="179" t="n"/>
      <c r="N149" s="179" t="n"/>
      <c r="O149" s="179" t="n"/>
      <c r="P149" s="179" t="inlineStr">
        <is>
          <t>внутр</t>
        </is>
      </c>
      <c r="Q149" s="179" t="inlineStr">
        <is>
          <t>внутр</t>
        </is>
      </c>
      <c r="R149" s="171" t="n"/>
      <c r="S149" s="171" t="n"/>
    </row>
    <row r="150" ht="18" customHeight="1">
      <c r="A150" s="45" t="inlineStr">
        <is>
          <t>работник 214</t>
        </is>
      </c>
      <c r="B150" s="178" t="inlineStr">
        <is>
          <t>Водитель погрузчика</t>
        </is>
      </c>
      <c r="C150" s="178" t="inlineStr"/>
      <c r="D150" s="179" t="n"/>
      <c r="E150" s="179" t="inlineStr">
        <is>
          <t>внутр</t>
        </is>
      </c>
      <c r="F150" s="179" t="n"/>
      <c r="G150" s="179" t="n"/>
      <c r="H150" s="179" t="n"/>
      <c r="I150" s="179" t="n"/>
      <c r="J150" s="179" t="n"/>
      <c r="K150" s="179" t="n"/>
      <c r="L150" s="179" t="n"/>
      <c r="M150" s="179" t="n"/>
      <c r="N150" s="179" t="n"/>
      <c r="O150" s="179" t="n"/>
      <c r="P150" s="179" t="inlineStr">
        <is>
          <t>внутр</t>
        </is>
      </c>
      <c r="Q150" s="179" t="inlineStr">
        <is>
          <t>внутр</t>
        </is>
      </c>
      <c r="R150" s="171" t="n"/>
      <c r="S150" s="171" t="n"/>
    </row>
    <row r="151" ht="18" customHeight="1">
      <c r="A151" s="45" t="inlineStr">
        <is>
          <t>работник 708</t>
        </is>
      </c>
      <c r="B151" s="178" t="inlineStr">
        <is>
          <t>Промывальщик геологических проб</t>
        </is>
      </c>
      <c r="C151" s="178" t="inlineStr"/>
      <c r="D151" s="179" t="n"/>
      <c r="E151" s="179" t="inlineStr">
        <is>
          <t>внутр</t>
        </is>
      </c>
      <c r="F151" s="179" t="n"/>
      <c r="G151" s="179" t="n"/>
      <c r="H151" s="179" t="n"/>
      <c r="I151" s="179" t="n"/>
      <c r="J151" s="179" t="n"/>
      <c r="K151" s="179" t="n"/>
      <c r="L151" s="179" t="n"/>
      <c r="M151" s="179" t="n"/>
      <c r="N151" s="179" t="n"/>
      <c r="O151" s="179" t="n"/>
      <c r="P151" s="179" t="n"/>
      <c r="Q151" s="179" t="inlineStr">
        <is>
          <t>внутр</t>
        </is>
      </c>
      <c r="R151" s="171" t="n"/>
      <c r="S151" s="171" t="n"/>
    </row>
    <row r="152" ht="18" customHeight="1">
      <c r="A152" s="45" t="inlineStr">
        <is>
          <t>работник 676</t>
        </is>
      </c>
      <c r="B152" s="178" t="inlineStr">
        <is>
          <t>Грузчик</t>
        </is>
      </c>
      <c r="C152" s="178" t="inlineStr"/>
      <c r="D152" s="179" t="n"/>
      <c r="E152" s="179" t="inlineStr">
        <is>
          <t>внутр</t>
        </is>
      </c>
      <c r="F152" s="179" t="n"/>
      <c r="G152" s="179" t="n"/>
      <c r="H152" s="179" t="n"/>
      <c r="I152" s="179" t="n"/>
      <c r="J152" s="179" t="n"/>
      <c r="K152" s="179" t="n"/>
      <c r="L152" s="179" t="n"/>
      <c r="M152" s="179" t="n"/>
      <c r="N152" s="179" t="n"/>
      <c r="O152" s="179" t="n"/>
      <c r="P152" s="179" t="n"/>
      <c r="Q152" s="179" t="inlineStr">
        <is>
          <t>внутр</t>
        </is>
      </c>
      <c r="R152" s="171" t="n"/>
      <c r="S152" s="171" t="n"/>
    </row>
    <row r="153" ht="18" customHeight="1">
      <c r="A153" s="45" t="inlineStr">
        <is>
          <t>работник 541</t>
        </is>
      </c>
      <c r="B153" s="178" t="inlineStr">
        <is>
          <t>Весовщик</t>
        </is>
      </c>
      <c r="C153" s="178" t="inlineStr"/>
      <c r="D153" s="179" t="n"/>
      <c r="E153" s="179" t="inlineStr">
        <is>
          <t>внутр</t>
        </is>
      </c>
      <c r="F153" s="179" t="n"/>
      <c r="G153" s="179" t="n"/>
      <c r="H153" s="179" t="n"/>
      <c r="I153" s="179" t="n"/>
      <c r="J153" s="179" t="n"/>
      <c r="K153" s="179" t="n"/>
      <c r="L153" s="179" t="n"/>
      <c r="M153" s="179" t="n"/>
      <c r="N153" s="179" t="n"/>
      <c r="O153" s="179" t="n"/>
      <c r="P153" s="179" t="n"/>
      <c r="Q153" s="179" t="inlineStr">
        <is>
          <t>внутр</t>
        </is>
      </c>
      <c r="R153" s="171" t="n"/>
      <c r="S153" s="171" t="n"/>
    </row>
    <row r="154" ht="18" customHeight="1">
      <c r="A154" s="45" t="inlineStr">
        <is>
          <t>работник 265</t>
        </is>
      </c>
      <c r="B154" s="178" t="inlineStr">
        <is>
          <t>Водитель автомобиля (занятый на транспортировании горной массы в технологическом процессе)</t>
        </is>
      </c>
      <c r="C154" s="178" t="inlineStr"/>
      <c r="D154" s="179" t="n"/>
      <c r="E154" s="179" t="inlineStr">
        <is>
          <t>внутр</t>
        </is>
      </c>
      <c r="F154" s="179" t="n"/>
      <c r="G154" s="179" t="n"/>
      <c r="H154" s="179" t="n"/>
      <c r="I154" s="179" t="n"/>
      <c r="J154" s="179" t="n"/>
      <c r="K154" s="179" t="n"/>
      <c r="L154" s="179" t="n"/>
      <c r="M154" s="179" t="n"/>
      <c r="N154" s="179" t="n"/>
      <c r="O154" s="179" t="n"/>
      <c r="P154" s="179" t="inlineStr">
        <is>
          <t>внутр</t>
        </is>
      </c>
      <c r="Q154" s="179" t="inlineStr">
        <is>
          <t>внутр</t>
        </is>
      </c>
      <c r="R154" s="171" t="n"/>
      <c r="S154" s="171" t="n"/>
    </row>
    <row r="155" ht="18" customHeight="1">
      <c r="A155" s="45" t="inlineStr">
        <is>
          <t>работник 901</t>
        </is>
      </c>
      <c r="B155" s="178" t="inlineStr">
        <is>
          <t>Машинист бульдозера</t>
        </is>
      </c>
      <c r="C155" s="178" t="inlineStr"/>
      <c r="D155" s="179" t="n"/>
      <c r="E155" s="179" t="inlineStr">
        <is>
          <t>внутр</t>
        </is>
      </c>
      <c r="F155" s="179" t="n"/>
      <c r="G155" s="179" t="n"/>
      <c r="H155" s="179" t="n"/>
      <c r="I155" s="179" t="n"/>
      <c r="J155" s="179" t="n"/>
      <c r="K155" s="179" t="n"/>
      <c r="L155" s="179" t="n"/>
      <c r="M155" s="179" t="n"/>
      <c r="N155" s="179" t="n"/>
      <c r="O155" s="179" t="n"/>
      <c r="P155" s="179" t="inlineStr">
        <is>
          <t>внутр</t>
        </is>
      </c>
      <c r="Q155" s="179" t="inlineStr">
        <is>
          <t>внутр</t>
        </is>
      </c>
      <c r="R155" s="171" t="n"/>
      <c r="S155" s="171" t="n"/>
    </row>
    <row r="156" ht="18" customHeight="1">
      <c r="A156" s="45" t="inlineStr">
        <is>
          <t>работник 242</t>
        </is>
      </c>
      <c r="B156" s="178" t="inlineStr">
        <is>
          <t>Фильтровальщик</t>
        </is>
      </c>
      <c r="C156" s="178" t="inlineStr"/>
      <c r="D156" s="179" t="n"/>
      <c r="E156" s="179" t="inlineStr">
        <is>
          <t>внутр</t>
        </is>
      </c>
      <c r="F156" s="179" t="n"/>
      <c r="G156" s="179" t="n"/>
      <c r="H156" s="179" t="n"/>
      <c r="I156" s="179" t="n"/>
      <c r="J156" s="179" t="n"/>
      <c r="K156" s="179" t="n"/>
      <c r="L156" s="179" t="n"/>
      <c r="M156" s="179" t="n"/>
      <c r="N156" s="179" t="n"/>
      <c r="O156" s="179" t="n"/>
      <c r="P156" s="179" t="inlineStr">
        <is>
          <t>внутр</t>
        </is>
      </c>
      <c r="Q156" s="179" t="inlineStr">
        <is>
          <t>внутр</t>
        </is>
      </c>
      <c r="R156" s="171" t="n"/>
      <c r="S156" s="171" t="n"/>
    </row>
    <row r="157" ht="18" customHeight="1">
      <c r="A157" s="45" t="inlineStr">
        <is>
          <t>работник 105</t>
        </is>
      </c>
      <c r="B157" s="178" t="inlineStr">
        <is>
          <t>Повар</t>
        </is>
      </c>
      <c r="C157" s="178" t="inlineStr"/>
      <c r="D157" s="179" t="n"/>
      <c r="E157" s="179" t="inlineStr">
        <is>
          <t>внутр</t>
        </is>
      </c>
      <c r="F157" s="179" t="n"/>
      <c r="G157" s="179" t="n"/>
      <c r="H157" s="179" t="n"/>
      <c r="I157" s="179" t="n"/>
      <c r="J157" s="179" t="n"/>
      <c r="K157" s="179" t="n"/>
      <c r="L157" s="179" t="n"/>
      <c r="M157" s="179" t="n"/>
      <c r="N157" s="179" t="n"/>
      <c r="O157" s="179" t="n"/>
      <c r="P157" s="179" t="inlineStr">
        <is>
          <t>внутр</t>
        </is>
      </c>
      <c r="Q157" s="179" t="inlineStr">
        <is>
          <t>внутр</t>
        </is>
      </c>
      <c r="R157" s="171" t="n"/>
      <c r="S157" s="171" t="n"/>
    </row>
    <row r="158" ht="18" customHeight="1">
      <c r="A158" s="45" t="inlineStr">
        <is>
          <t>работник 929</t>
        </is>
      </c>
      <c r="B158" s="178" t="inlineStr">
        <is>
          <t>Фильтровальщик</t>
        </is>
      </c>
      <c r="C158" s="178" t="inlineStr"/>
      <c r="D158" s="179" t="n"/>
      <c r="E158" s="179" t="inlineStr">
        <is>
          <t>внутр</t>
        </is>
      </c>
      <c r="F158" s="179" t="n"/>
      <c r="G158" s="179" t="n"/>
      <c r="H158" s="179" t="n"/>
      <c r="I158" s="179" t="n"/>
      <c r="J158" s="179" t="n"/>
      <c r="K158" s="179" t="n"/>
      <c r="L158" s="179" t="n"/>
      <c r="M158" s="179" t="n"/>
      <c r="N158" s="179" t="n"/>
      <c r="O158" s="179" t="n"/>
      <c r="P158" s="179" t="inlineStr">
        <is>
          <t>внутр</t>
        </is>
      </c>
      <c r="Q158" s="179" t="inlineStr">
        <is>
          <t>внутр</t>
        </is>
      </c>
      <c r="R158" s="171" t="n"/>
      <c r="S158" s="171" t="n"/>
    </row>
    <row r="159" ht="18" customHeight="1">
      <c r="A159" s="45" t="inlineStr">
        <is>
          <t>работник 386</t>
        </is>
      </c>
      <c r="B159" s="178" t="inlineStr">
        <is>
          <t>Пробоотборщик | Горнорабочий на геологических работах</t>
        </is>
      </c>
      <c r="C159" s="178" t="inlineStr"/>
      <c r="D159" s="179" t="n"/>
      <c r="E159" s="179" t="inlineStr">
        <is>
          <t>внутр</t>
        </is>
      </c>
      <c r="F159" s="179" t="n"/>
      <c r="G159" s="179" t="n"/>
      <c r="H159" s="179" t="n"/>
      <c r="I159" s="179" t="n"/>
      <c r="J159" s="179" t="n"/>
      <c r="K159" s="179" t="n"/>
      <c r="L159" s="179" t="n"/>
      <c r="M159" s="179" t="n"/>
      <c r="N159" s="179" t="n"/>
      <c r="O159" s="179" t="n"/>
      <c r="P159" s="179" t="inlineStr">
        <is>
          <t>внутр</t>
        </is>
      </c>
      <c r="Q159" s="179" t="inlineStr">
        <is>
          <t>внутр</t>
        </is>
      </c>
      <c r="R159" s="171" t="n"/>
      <c r="S159" s="171" t="n"/>
    </row>
    <row r="160" ht="18" customHeight="1">
      <c r="A160" s="45" t="inlineStr">
        <is>
          <t>работник 619</t>
        </is>
      </c>
      <c r="B160" s="178" t="inlineStr">
        <is>
          <t>Электрослесарь (слесарь) дежурный и по ремонту оборудования</t>
        </is>
      </c>
      <c r="C160" s="178" t="inlineStr"/>
      <c r="D160" s="179" t="n"/>
      <c r="E160" s="179" t="inlineStr">
        <is>
          <t>внутр</t>
        </is>
      </c>
      <c r="F160" s="179" t="n"/>
      <c r="G160" s="179" t="n"/>
      <c r="H160" s="179" t="n"/>
      <c r="I160" s="179" t="n"/>
      <c r="J160" s="179" t="n"/>
      <c r="K160" s="179" t="n"/>
      <c r="L160" s="179" t="n"/>
      <c r="M160" s="179" t="n"/>
      <c r="N160" s="179" t="n"/>
      <c r="O160" s="179" t="n"/>
      <c r="P160" s="179" t="n"/>
      <c r="Q160" s="179" t="inlineStr">
        <is>
          <t>внутр</t>
        </is>
      </c>
      <c r="R160" s="171" t="n"/>
      <c r="S160" s="171" t="n"/>
    </row>
    <row r="161" ht="18" customHeight="1">
      <c r="A161" s="45" t="inlineStr">
        <is>
          <t>работник 709</t>
        </is>
      </c>
      <c r="B161" s="178" t="inlineStr">
        <is>
          <t>Машинист бульдозера</t>
        </is>
      </c>
      <c r="C161" s="178" t="inlineStr"/>
      <c r="D161" s="179" t="n"/>
      <c r="E161" s="179" t="inlineStr">
        <is>
          <t>внутр</t>
        </is>
      </c>
      <c r="F161" s="179" t="n"/>
      <c r="G161" s="179" t="n"/>
      <c r="H161" s="179" t="n"/>
      <c r="I161" s="179" t="n"/>
      <c r="J161" s="179" t="n"/>
      <c r="K161" s="179" t="n"/>
      <c r="L161" s="179" t="n"/>
      <c r="M161" s="179" t="n"/>
      <c r="N161" s="179" t="n"/>
      <c r="O161" s="179" t="n"/>
      <c r="P161" s="179" t="n"/>
      <c r="Q161" s="179" t="inlineStr">
        <is>
          <t>внутр</t>
        </is>
      </c>
      <c r="R161" s="171" t="n"/>
      <c r="S161" s="171" t="n"/>
    </row>
    <row r="162" ht="18" customHeight="1">
      <c r="A162" s="45" t="inlineStr">
        <is>
          <t>работник 397</t>
        </is>
      </c>
      <c r="B162" s="178" t="inlineStr">
        <is>
          <t>Водитель автомобиля (занятый на транспортировании горной массы в технологическом процессе)</t>
        </is>
      </c>
      <c r="C162" s="178" t="inlineStr"/>
      <c r="D162" s="179" t="n"/>
      <c r="E162" s="179" t="inlineStr">
        <is>
          <t>внутр</t>
        </is>
      </c>
      <c r="F162" s="179" t="n"/>
      <c r="G162" s="179" t="n"/>
      <c r="H162" s="179" t="n"/>
      <c r="I162" s="179" t="n"/>
      <c r="J162" s="179" t="n"/>
      <c r="K162" s="179" t="n"/>
      <c r="L162" s="179" t="n"/>
      <c r="M162" s="179" t="n"/>
      <c r="N162" s="179" t="n"/>
      <c r="O162" s="179" t="n"/>
      <c r="P162" s="179" t="n"/>
      <c r="Q162" s="179" t="inlineStr">
        <is>
          <t>внутр</t>
        </is>
      </c>
      <c r="R162" s="171" t="n"/>
      <c r="S162" s="171" t="n"/>
    </row>
    <row r="163" ht="18" customHeight="1">
      <c r="A163" s="45" t="inlineStr">
        <is>
          <t>работник 710</t>
        </is>
      </c>
      <c r="B163" s="178" t="inlineStr">
        <is>
          <t>Участковый геолог</t>
        </is>
      </c>
      <c r="C163" s="178" t="inlineStr"/>
      <c r="D163" s="179" t="n"/>
      <c r="E163" s="179" t="inlineStr">
        <is>
          <t>внутр</t>
        </is>
      </c>
      <c r="F163" s="179" t="n"/>
      <c r="G163" s="179" t="n"/>
      <c r="H163" s="179" t="n"/>
      <c r="I163" s="179" t="n"/>
      <c r="J163" s="179" t="n"/>
      <c r="K163" s="179" t="n"/>
      <c r="L163" s="179" t="n"/>
      <c r="M163" s="179" t="n"/>
      <c r="N163" s="179" t="n"/>
      <c r="O163" s="179" t="n"/>
      <c r="P163" s="179" t="n"/>
      <c r="Q163" s="179" t="inlineStr">
        <is>
          <t>внутр</t>
        </is>
      </c>
      <c r="R163" s="171" t="n"/>
      <c r="S163" s="171" t="n"/>
    </row>
    <row r="164" ht="18" customHeight="1">
      <c r="A164" s="45" t="inlineStr">
        <is>
          <t>работник 610</t>
        </is>
      </c>
      <c r="B164" s="178" t="inlineStr">
        <is>
          <t>Аппаратчик воздухоразделения</t>
        </is>
      </c>
      <c r="C164" s="178" t="inlineStr"/>
      <c r="D164" s="179" t="n"/>
      <c r="E164" s="179" t="inlineStr">
        <is>
          <t>внутр</t>
        </is>
      </c>
      <c r="F164" s="179" t="n"/>
      <c r="G164" s="179" t="n"/>
      <c r="H164" s="179" t="n"/>
      <c r="I164" s="179" t="n"/>
      <c r="J164" s="179" t="n"/>
      <c r="K164" s="179" t="n"/>
      <c r="L164" s="179" t="n"/>
      <c r="M164" s="179" t="n"/>
      <c r="N164" s="179" t="n"/>
      <c r="O164" s="179" t="n"/>
      <c r="P164" s="179" t="n"/>
      <c r="Q164" s="179" t="inlineStr">
        <is>
          <t>внутр</t>
        </is>
      </c>
      <c r="R164" s="171" t="n"/>
      <c r="S164" s="171" t="n"/>
    </row>
    <row r="165" ht="18" customHeight="1">
      <c r="A165" s="45" t="inlineStr">
        <is>
          <t>работник 711</t>
        </is>
      </c>
      <c r="B165" s="178" t="inlineStr">
        <is>
          <t>Электрогазосварщик (занятый на резке и ручной сварке)</t>
        </is>
      </c>
      <c r="C165" s="178" t="inlineStr"/>
      <c r="D165" s="179" t="n"/>
      <c r="E165" s="179" t="inlineStr">
        <is>
          <t>внутр</t>
        </is>
      </c>
      <c r="F165" s="179" t="n"/>
      <c r="G165" s="179" t="inlineStr">
        <is>
          <t>внутр</t>
        </is>
      </c>
      <c r="H165" s="179" t="n"/>
      <c r="I165" s="179" t="n"/>
      <c r="J165" s="179" t="n"/>
      <c r="K165" s="179" t="n"/>
      <c r="L165" s="179" t="n"/>
      <c r="M165" s="179" t="n"/>
      <c r="N165" s="179" t="n"/>
      <c r="O165" s="179" t="n"/>
      <c r="P165" s="179" t="n"/>
      <c r="Q165" s="179" t="inlineStr">
        <is>
          <t>внутр</t>
        </is>
      </c>
      <c r="R165" s="171" t="n"/>
      <c r="S165" s="171" t="n"/>
    </row>
    <row r="166" ht="18" customHeight="1">
      <c r="A166" s="45" t="inlineStr">
        <is>
          <t>работник 59</t>
        </is>
      </c>
      <c r="B166" s="178" t="inlineStr">
        <is>
          <t>Машинист кочегар котельной | Оператор дизельных котлов</t>
        </is>
      </c>
      <c r="C166" s="178" t="inlineStr"/>
      <c r="D166" s="179" t="n"/>
      <c r="E166" s="179" t="inlineStr">
        <is>
          <t>внутр</t>
        </is>
      </c>
      <c r="F166" s="179" t="n"/>
      <c r="G166" s="179" t="n"/>
      <c r="H166" s="179" t="n"/>
      <c r="I166" s="179" t="n"/>
      <c r="J166" s="179" t="n"/>
      <c r="K166" s="179" t="n"/>
      <c r="L166" s="179" t="n"/>
      <c r="M166" s="179" t="n"/>
      <c r="N166" s="179" t="n"/>
      <c r="O166" s="179" t="n"/>
      <c r="P166" s="179" t="inlineStr">
        <is>
          <t>внутр</t>
        </is>
      </c>
      <c r="Q166" s="179" t="inlineStr">
        <is>
          <t>внутр</t>
        </is>
      </c>
      <c r="R166" s="171" t="n"/>
      <c r="S166" s="171" t="n"/>
    </row>
    <row r="167" ht="18" customHeight="1">
      <c r="A167" s="45" t="inlineStr">
        <is>
          <t>работник 134</t>
        </is>
      </c>
      <c r="B167" s="178" t="inlineStr">
        <is>
          <t>Электромонтер</t>
        </is>
      </c>
      <c r="C167" s="178" t="inlineStr"/>
      <c r="D167" s="179" t="n"/>
      <c r="E167" s="179" t="inlineStr">
        <is>
          <t>внутр</t>
        </is>
      </c>
      <c r="F167" s="179" t="inlineStr">
        <is>
          <t>внутр</t>
        </is>
      </c>
      <c r="G167" s="179" t="n"/>
      <c r="H167" s="179" t="n"/>
      <c r="I167" s="179" t="n"/>
      <c r="J167" s="179" t="n"/>
      <c r="K167" s="179" t="n"/>
      <c r="L167" s="179" t="inlineStr">
        <is>
          <t>внутр</t>
        </is>
      </c>
      <c r="M167" s="179" t="n"/>
      <c r="N167" s="179" t="n"/>
      <c r="O167" s="179" t="n"/>
      <c r="P167" s="179" t="inlineStr">
        <is>
          <t>внутр</t>
        </is>
      </c>
      <c r="Q167" s="179" t="inlineStr">
        <is>
          <t>внутр</t>
        </is>
      </c>
      <c r="R167" s="171" t="n"/>
      <c r="S167" s="171" t="n"/>
    </row>
    <row r="168" ht="18" customHeight="1">
      <c r="A168" s="45" t="inlineStr">
        <is>
          <t>работник 590</t>
        </is>
      </c>
      <c r="B168" s="178" t="inlineStr">
        <is>
          <t>Кухонный рабочий</t>
        </is>
      </c>
      <c r="C168" s="178" t="inlineStr"/>
      <c r="D168" s="179" t="n"/>
      <c r="E168" s="179" t="inlineStr">
        <is>
          <t>внутр</t>
        </is>
      </c>
      <c r="F168" s="179" t="n"/>
      <c r="G168" s="179" t="n"/>
      <c r="H168" s="179" t="n"/>
      <c r="I168" s="179" t="n"/>
      <c r="J168" s="179" t="n"/>
      <c r="K168" s="179" t="n"/>
      <c r="L168" s="179" t="n"/>
      <c r="M168" s="179" t="n"/>
      <c r="N168" s="179" t="n"/>
      <c r="O168" s="179" t="n"/>
      <c r="P168" s="179" t="n"/>
      <c r="Q168" s="179" t="inlineStr">
        <is>
          <t>внутр</t>
        </is>
      </c>
      <c r="R168" s="171" t="n"/>
      <c r="S168" s="171" t="n"/>
    </row>
    <row r="169" ht="18" customHeight="1">
      <c r="A169" s="45" t="inlineStr">
        <is>
          <t>работник 583</t>
        </is>
      </c>
      <c r="B169" s="178" t="inlineStr">
        <is>
          <t>Аппаратчик-гидрометаллург</t>
        </is>
      </c>
      <c r="C169" s="178" t="inlineStr"/>
      <c r="D169" s="179" t="n"/>
      <c r="E169" s="179" t="inlineStr">
        <is>
          <t>внутр</t>
        </is>
      </c>
      <c r="F169" s="179" t="n"/>
      <c r="G169" s="179" t="n"/>
      <c r="H169" s="179" t="n"/>
      <c r="I169" s="179" t="n"/>
      <c r="J169" s="179" t="n"/>
      <c r="K169" s="179" t="n"/>
      <c r="L169" s="179" t="n"/>
      <c r="M169" s="179" t="n"/>
      <c r="N169" s="179" t="n"/>
      <c r="O169" s="179" t="n"/>
      <c r="P169" s="179" t="n"/>
      <c r="Q169" s="179" t="inlineStr">
        <is>
          <t>внутр</t>
        </is>
      </c>
      <c r="R169" s="171" t="n"/>
      <c r="S169" s="171" t="n"/>
    </row>
    <row r="170" ht="18" customHeight="1">
      <c r="A170" s="45" t="inlineStr">
        <is>
          <t>работник 712</t>
        </is>
      </c>
      <c r="B170" s="178" t="inlineStr">
        <is>
          <t>Машинист буровой установки</t>
        </is>
      </c>
      <c r="C170" s="178" t="inlineStr"/>
      <c r="D170" s="179" t="n"/>
      <c r="E170" s="179" t="inlineStr">
        <is>
          <t>внутр</t>
        </is>
      </c>
      <c r="F170" s="179" t="n"/>
      <c r="G170" s="179" t="n"/>
      <c r="H170" s="179" t="n"/>
      <c r="I170" s="179" t="n"/>
      <c r="J170" s="179" t="n"/>
      <c r="K170" s="179" t="n"/>
      <c r="L170" s="179" t="n"/>
      <c r="M170" s="179" t="n"/>
      <c r="N170" s="179" t="n"/>
      <c r="O170" s="179" t="n"/>
      <c r="P170" s="179" t="n"/>
      <c r="Q170" s="179" t="inlineStr">
        <is>
          <t>внутр</t>
        </is>
      </c>
      <c r="R170" s="171" t="n"/>
      <c r="S170" s="171" t="n"/>
    </row>
    <row r="171" ht="18" customHeight="1">
      <c r="A171" s="45" t="inlineStr">
        <is>
          <t>работник 623</t>
        </is>
      </c>
      <c r="B171" s="178" t="inlineStr">
        <is>
          <t>Горнорабочий на маркшейдерских работах</t>
        </is>
      </c>
      <c r="C171" s="178" t="inlineStr"/>
      <c r="D171" s="179" t="n"/>
      <c r="E171" s="179" t="inlineStr">
        <is>
          <t>внутр</t>
        </is>
      </c>
      <c r="F171" s="179" t="n"/>
      <c r="G171" s="179" t="n"/>
      <c r="H171" s="179" t="n"/>
      <c r="I171" s="179" t="n"/>
      <c r="J171" s="179" t="n"/>
      <c r="K171" s="179" t="n"/>
      <c r="L171" s="179" t="n"/>
      <c r="M171" s="179" t="n"/>
      <c r="N171" s="179" t="n"/>
      <c r="O171" s="179" t="n"/>
      <c r="P171" s="179" t="n"/>
      <c r="Q171" s="179" t="inlineStr">
        <is>
          <t>внутр</t>
        </is>
      </c>
      <c r="R171" s="171" t="n"/>
      <c r="S171" s="171" t="n"/>
    </row>
    <row r="172" ht="18" customHeight="1">
      <c r="A172" s="45" t="inlineStr">
        <is>
          <t>работник 913</t>
        </is>
      </c>
      <c r="B172" s="178" t="inlineStr">
        <is>
          <t>Ведущий инженер ППР</t>
        </is>
      </c>
      <c r="C172" s="178" t="inlineStr"/>
      <c r="D172" s="179" t="inlineStr">
        <is>
          <t>внутр</t>
        </is>
      </c>
      <c r="E172" s="179" t="n"/>
      <c r="F172" s="179" t="n"/>
      <c r="G172" s="179" t="n"/>
      <c r="H172" s="179" t="n"/>
      <c r="I172" s="179" t="n"/>
      <c r="J172" s="179" t="n"/>
      <c r="K172" s="179" t="n"/>
      <c r="L172" s="179" t="n"/>
      <c r="M172" s="179" t="n"/>
      <c r="N172" s="179" t="n"/>
      <c r="O172" s="179" t="n"/>
      <c r="P172" s="179" t="inlineStr">
        <is>
          <t>внутр</t>
        </is>
      </c>
      <c r="Q172" s="179" t="inlineStr">
        <is>
          <t>внутр</t>
        </is>
      </c>
      <c r="R172" s="171" t="n"/>
      <c r="S172" s="171" t="n"/>
    </row>
    <row r="173" ht="18" customHeight="1">
      <c r="A173" s="45" t="inlineStr">
        <is>
          <t>работник 157</t>
        </is>
      </c>
      <c r="B173" s="178" t="inlineStr">
        <is>
          <t>Проходчик (с исполнением обязанностей взрывника)</t>
        </is>
      </c>
      <c r="C173" s="178" t="inlineStr"/>
      <c r="D173" s="179" t="n"/>
      <c r="E173" s="179" t="inlineStr">
        <is>
          <t>внутр</t>
        </is>
      </c>
      <c r="F173" s="179" t="n"/>
      <c r="G173" s="179" t="n"/>
      <c r="H173" s="179" t="n"/>
      <c r="I173" s="179" t="n"/>
      <c r="J173" s="179" t="n"/>
      <c r="K173" s="179" t="n"/>
      <c r="L173" s="179" t="n"/>
      <c r="M173" s="179" t="n"/>
      <c r="N173" s="179" t="n"/>
      <c r="O173" s="179" t="n"/>
      <c r="P173" s="179" t="inlineStr">
        <is>
          <t>внутр</t>
        </is>
      </c>
      <c r="Q173" s="179" t="inlineStr">
        <is>
          <t>внутр</t>
        </is>
      </c>
      <c r="R173" s="171" t="n"/>
      <c r="S173" s="171" t="n"/>
    </row>
    <row r="174" ht="18" customHeight="1">
      <c r="A174" s="45" t="inlineStr">
        <is>
          <t>работник 790</t>
        </is>
      </c>
      <c r="B174" s="178" t="inlineStr">
        <is>
          <t>Машинист экскаватора</t>
        </is>
      </c>
      <c r="C174" s="178" t="inlineStr"/>
      <c r="D174" s="179" t="n"/>
      <c r="E174" s="179" t="inlineStr">
        <is>
          <t>внутр</t>
        </is>
      </c>
      <c r="F174" s="179" t="n"/>
      <c r="G174" s="179" t="n"/>
      <c r="H174" s="179" t="n"/>
      <c r="I174" s="179" t="n"/>
      <c r="J174" s="179" t="n"/>
      <c r="K174" s="179" t="n"/>
      <c r="L174" s="179" t="n"/>
      <c r="M174" s="179" t="n"/>
      <c r="N174" s="179" t="n"/>
      <c r="O174" s="179" t="n"/>
      <c r="P174" s="179" t="inlineStr">
        <is>
          <t>внутр</t>
        </is>
      </c>
      <c r="Q174" s="179" t="inlineStr">
        <is>
          <t>внутр</t>
        </is>
      </c>
      <c r="R174" s="171" t="n"/>
      <c r="S174" s="171" t="n"/>
    </row>
    <row r="175" ht="18" customHeight="1">
      <c r="A175" s="45" t="inlineStr">
        <is>
          <t>работник 80</t>
        </is>
      </c>
      <c r="B175" s="178" t="inlineStr">
        <is>
          <t>Плотник</t>
        </is>
      </c>
      <c r="C175" s="178" t="inlineStr"/>
      <c r="D175" s="179" t="n"/>
      <c r="E175" s="179" t="inlineStr">
        <is>
          <t>внутр</t>
        </is>
      </c>
      <c r="F175" s="179" t="inlineStr">
        <is>
          <t>внутр</t>
        </is>
      </c>
      <c r="G175" s="179" t="n"/>
      <c r="H175" s="179" t="n"/>
      <c r="I175" s="179" t="n"/>
      <c r="J175" s="179" t="n"/>
      <c r="K175" s="179" t="n"/>
      <c r="L175" s="179" t="n"/>
      <c r="M175" s="179" t="inlineStr">
        <is>
          <t>внутр</t>
        </is>
      </c>
      <c r="N175" s="179" t="inlineStr">
        <is>
          <t>внутр</t>
        </is>
      </c>
      <c r="O175" s="179" t="n"/>
      <c r="P175" s="179" t="inlineStr">
        <is>
          <t>внутр</t>
        </is>
      </c>
      <c r="Q175" s="179" t="inlineStr">
        <is>
          <t>внутр</t>
        </is>
      </c>
      <c r="R175" s="171" t="n"/>
      <c r="S175" s="171" t="n"/>
    </row>
    <row r="176" ht="18" customHeight="1">
      <c r="A176" s="45" t="inlineStr">
        <is>
          <t>работник 860</t>
        </is>
      </c>
      <c r="B176" s="178" t="inlineStr">
        <is>
          <t>Машинист самоходной буровой установки</t>
        </is>
      </c>
      <c r="C176" s="178" t="inlineStr"/>
      <c r="D176" s="179" t="n"/>
      <c r="E176" s="179" t="inlineStr">
        <is>
          <t>внутр</t>
        </is>
      </c>
      <c r="F176" s="179" t="n"/>
      <c r="G176" s="179" t="n"/>
      <c r="H176" s="179" t="n"/>
      <c r="I176" s="179" t="n"/>
      <c r="J176" s="179" t="n"/>
      <c r="K176" s="179" t="n"/>
      <c r="L176" s="179" t="n"/>
      <c r="M176" s="179" t="n"/>
      <c r="N176" s="179" t="n"/>
      <c r="O176" s="179" t="n"/>
      <c r="P176" s="179" t="inlineStr">
        <is>
          <t>внутр</t>
        </is>
      </c>
      <c r="Q176" s="179" t="inlineStr">
        <is>
          <t>внутр</t>
        </is>
      </c>
      <c r="R176" s="171" t="n"/>
      <c r="S176" s="171" t="n"/>
    </row>
    <row r="177" ht="18" customHeight="1">
      <c r="A177" s="45" t="inlineStr">
        <is>
          <t>работник 219</t>
        </is>
      </c>
      <c r="B177" s="178" t="inlineStr">
        <is>
          <t>Водитель автомобиля(занятый на траспортировании горной массы в технологическом процессе)</t>
        </is>
      </c>
      <c r="C177" s="178" t="inlineStr"/>
      <c r="D177" s="179" t="n"/>
      <c r="E177" s="179" t="inlineStr">
        <is>
          <t>внутр</t>
        </is>
      </c>
      <c r="F177" s="179" t="n"/>
      <c r="G177" s="179" t="n"/>
      <c r="H177" s="179" t="n"/>
      <c r="I177" s="179" t="n"/>
      <c r="J177" s="179" t="n"/>
      <c r="K177" s="179" t="n"/>
      <c r="L177" s="179" t="n"/>
      <c r="M177" s="179" t="n"/>
      <c r="N177" s="179" t="n"/>
      <c r="O177" s="179" t="n"/>
      <c r="P177" s="179" t="inlineStr">
        <is>
          <t>внутр</t>
        </is>
      </c>
      <c r="Q177" s="179" t="inlineStr">
        <is>
          <t>внутр</t>
        </is>
      </c>
      <c r="R177" s="171" t="n"/>
      <c r="S177" s="171" t="n"/>
    </row>
    <row r="178" ht="18" customHeight="1">
      <c r="A178" s="45" t="inlineStr">
        <is>
          <t>работник 266</t>
        </is>
      </c>
      <c r="B178" s="178" t="inlineStr">
        <is>
          <t>Водитель автомобиля (топливозаправщик)</t>
        </is>
      </c>
      <c r="C178" s="178" t="inlineStr"/>
      <c r="D178" s="179" t="n"/>
      <c r="E178" s="179" t="inlineStr">
        <is>
          <t>внутр</t>
        </is>
      </c>
      <c r="F178" s="179" t="n"/>
      <c r="G178" s="179" t="n"/>
      <c r="H178" s="179" t="n"/>
      <c r="I178" s="179" t="n"/>
      <c r="J178" s="179" t="n"/>
      <c r="K178" s="179" t="n"/>
      <c r="L178" s="179" t="n"/>
      <c r="M178" s="179" t="n"/>
      <c r="N178" s="179" t="n"/>
      <c r="O178" s="179" t="n"/>
      <c r="P178" s="179" t="inlineStr">
        <is>
          <t>внутр</t>
        </is>
      </c>
      <c r="Q178" s="179" t="inlineStr">
        <is>
          <t>внутр</t>
        </is>
      </c>
      <c r="R178" s="171" t="n"/>
      <c r="S178" s="171" t="n"/>
    </row>
    <row r="179" ht="18" customHeight="1">
      <c r="A179" s="45" t="inlineStr">
        <is>
          <t>работник 527</t>
        </is>
      </c>
      <c r="B179" s="178" t="inlineStr">
        <is>
          <t>Аппаратчик-сгустителей</t>
        </is>
      </c>
      <c r="C179" s="178" t="inlineStr"/>
      <c r="D179" s="179" t="n"/>
      <c r="E179" s="179" t="inlineStr">
        <is>
          <t>внутр</t>
        </is>
      </c>
      <c r="F179" s="179" t="n"/>
      <c r="G179" s="179" t="n"/>
      <c r="H179" s="179" t="n"/>
      <c r="I179" s="179" t="n"/>
      <c r="J179" s="179" t="n"/>
      <c r="K179" s="179" t="n"/>
      <c r="L179" s="179" t="n"/>
      <c r="M179" s="179" t="n"/>
      <c r="N179" s="179" t="n"/>
      <c r="O179" s="179" t="n"/>
      <c r="P179" s="179" t="n"/>
      <c r="Q179" s="179" t="inlineStr">
        <is>
          <t>внутр</t>
        </is>
      </c>
      <c r="R179" s="171" t="n"/>
      <c r="S179" s="171" t="n"/>
    </row>
    <row r="180" ht="18" customHeight="1">
      <c r="A180" s="45" t="inlineStr">
        <is>
          <t>работник 413</t>
        </is>
      </c>
      <c r="B180" s="178" t="inlineStr">
        <is>
          <t>Слесарь ремонтник самоходной техники | Слесарь-ремонтник (по ремонту самоходной техники)</t>
        </is>
      </c>
      <c r="C180" s="178" t="inlineStr"/>
      <c r="D180" s="179" t="n"/>
      <c r="E180" s="179" t="inlineStr">
        <is>
          <t>внутр</t>
        </is>
      </c>
      <c r="F180" s="179" t="n"/>
      <c r="G180" s="179" t="inlineStr">
        <is>
          <t>внутр</t>
        </is>
      </c>
      <c r="H180" s="179" t="n"/>
      <c r="I180" s="179" t="n"/>
      <c r="J180" s="179" t="n"/>
      <c r="K180" s="179" t="n"/>
      <c r="L180" s="179" t="n"/>
      <c r="M180" s="179" t="n"/>
      <c r="N180" s="179" t="n"/>
      <c r="O180" s="179" t="n"/>
      <c r="P180" s="179" t="inlineStr">
        <is>
          <t>внутр</t>
        </is>
      </c>
      <c r="Q180" s="179" t="inlineStr">
        <is>
          <t>внутр</t>
        </is>
      </c>
      <c r="R180" s="171" t="n"/>
      <c r="S180" s="171" t="n"/>
    </row>
    <row r="181" ht="18" customHeight="1">
      <c r="A181" s="45" t="inlineStr">
        <is>
          <t>работник 917</t>
        </is>
      </c>
      <c r="B181" s="178" t="inlineStr">
        <is>
          <t>Стропальщик</t>
        </is>
      </c>
      <c r="C181" s="178" t="inlineStr"/>
      <c r="D181" s="179" t="n"/>
      <c r="E181" s="179" t="inlineStr">
        <is>
          <t>внутр</t>
        </is>
      </c>
      <c r="F181" s="179" t="n"/>
      <c r="G181" s="179" t="n"/>
      <c r="H181" s="179" t="n"/>
      <c r="I181" s="179" t="n"/>
      <c r="J181" s="179" t="n"/>
      <c r="K181" s="179" t="n"/>
      <c r="L181" s="179" t="n"/>
      <c r="M181" s="179" t="n"/>
      <c r="N181" s="179" t="n"/>
      <c r="O181" s="179" t="n"/>
      <c r="P181" s="179" t="inlineStr">
        <is>
          <t>внутр</t>
        </is>
      </c>
      <c r="Q181" s="179" t="inlineStr">
        <is>
          <t>внутр</t>
        </is>
      </c>
      <c r="R181" s="171" t="n"/>
      <c r="S181" s="171" t="n"/>
    </row>
    <row r="182" ht="18" customHeight="1">
      <c r="A182" s="45" t="inlineStr">
        <is>
          <t>работник 158</t>
        </is>
      </c>
      <c r="B182" s="178" t="inlineStr">
        <is>
          <t>Горный диспетчер</t>
        </is>
      </c>
      <c r="C182" s="178" t="inlineStr"/>
      <c r="D182" s="179" t="n"/>
      <c r="E182" s="179" t="inlineStr">
        <is>
          <t>внутр</t>
        </is>
      </c>
      <c r="F182" s="179" t="n"/>
      <c r="G182" s="179" t="n"/>
      <c r="H182" s="179" t="n"/>
      <c r="I182" s="179" t="n"/>
      <c r="J182" s="179" t="n"/>
      <c r="K182" s="179" t="n"/>
      <c r="L182" s="179" t="n"/>
      <c r="M182" s="179" t="n"/>
      <c r="N182" s="179" t="n"/>
      <c r="O182" s="179" t="n"/>
      <c r="P182" s="179" t="inlineStr">
        <is>
          <t>внутр</t>
        </is>
      </c>
      <c r="Q182" s="179" t="inlineStr">
        <is>
          <t>внутр</t>
        </is>
      </c>
      <c r="R182" s="171" t="n"/>
      <c r="S182" s="171" t="n"/>
    </row>
    <row r="183" ht="18" customHeight="1">
      <c r="A183" s="45" t="inlineStr">
        <is>
          <t>работник 267</t>
        </is>
      </c>
      <c r="B183" s="178" t="inlineStr">
        <is>
          <t>Водитель автомобиля (категория D)</t>
        </is>
      </c>
      <c r="C183" s="178" t="inlineStr"/>
      <c r="D183" s="179" t="n"/>
      <c r="E183" s="179" t="inlineStr">
        <is>
          <t>внутр</t>
        </is>
      </c>
      <c r="F183" s="179" t="n"/>
      <c r="G183" s="179" t="n"/>
      <c r="H183" s="179" t="n"/>
      <c r="I183" s="179" t="n"/>
      <c r="J183" s="179" t="n"/>
      <c r="K183" s="179" t="n"/>
      <c r="L183" s="179" t="n"/>
      <c r="M183" s="179" t="n"/>
      <c r="N183" s="179" t="n"/>
      <c r="O183" s="179" t="n"/>
      <c r="P183" s="179" t="inlineStr">
        <is>
          <t>внутр</t>
        </is>
      </c>
      <c r="Q183" s="179" t="inlineStr">
        <is>
          <t>внутр</t>
        </is>
      </c>
      <c r="R183" s="171" t="n"/>
      <c r="S183" s="171" t="n"/>
    </row>
    <row r="184" ht="18" customHeight="1">
      <c r="A184" s="45" t="inlineStr">
        <is>
          <t>работник 139</t>
        </is>
      </c>
      <c r="B184" s="178" t="inlineStr">
        <is>
          <t>Слесарь-сантехник</t>
        </is>
      </c>
      <c r="C184" s="178" t="inlineStr"/>
      <c r="D184" s="179" t="n"/>
      <c r="E184" s="179" t="inlineStr">
        <is>
          <t>внутр</t>
        </is>
      </c>
      <c r="F184" s="179" t="n"/>
      <c r="G184" s="179" t="n"/>
      <c r="H184" s="179" t="n"/>
      <c r="I184" s="179" t="n"/>
      <c r="J184" s="179" t="n"/>
      <c r="K184" s="179" t="n"/>
      <c r="L184" s="179" t="n"/>
      <c r="M184" s="179" t="n"/>
      <c r="N184" s="179" t="n"/>
      <c r="O184" s="179" t="n"/>
      <c r="P184" s="179" t="inlineStr">
        <is>
          <t>внутр</t>
        </is>
      </c>
      <c r="Q184" s="179" t="inlineStr">
        <is>
          <t>внутр</t>
        </is>
      </c>
      <c r="R184" s="171" t="n"/>
      <c r="S184" s="171" t="n"/>
    </row>
    <row r="185" ht="18" customHeight="1">
      <c r="A185" s="45" t="inlineStr">
        <is>
          <t>работник 591</t>
        </is>
      </c>
      <c r="B185" s="178" t="inlineStr">
        <is>
          <t>Кухонный рабочий</t>
        </is>
      </c>
      <c r="C185" s="178" t="inlineStr"/>
      <c r="D185" s="179" t="n"/>
      <c r="E185" s="179" t="inlineStr">
        <is>
          <t>внутр</t>
        </is>
      </c>
      <c r="F185" s="179" t="n"/>
      <c r="G185" s="179" t="n"/>
      <c r="H185" s="179" t="n"/>
      <c r="I185" s="179" t="n"/>
      <c r="J185" s="179" t="n"/>
      <c r="K185" s="179" t="n"/>
      <c r="L185" s="179" t="n"/>
      <c r="M185" s="179" t="n"/>
      <c r="N185" s="179" t="n"/>
      <c r="O185" s="179" t="n"/>
      <c r="P185" s="179" t="n"/>
      <c r="Q185" s="179" t="inlineStr">
        <is>
          <t>внутр</t>
        </is>
      </c>
      <c r="R185" s="171" t="n"/>
      <c r="S185" s="171" t="n"/>
    </row>
    <row r="186" ht="18" customHeight="1">
      <c r="A186" s="45" t="inlineStr">
        <is>
          <t>работник 887</t>
        </is>
      </c>
      <c r="B186" s="178" t="inlineStr">
        <is>
          <t>Машинист погрузочно-доставочной машины</t>
        </is>
      </c>
      <c r="C186" s="178" t="inlineStr"/>
      <c r="D186" s="179" t="n"/>
      <c r="E186" s="179" t="inlineStr">
        <is>
          <t>внутр</t>
        </is>
      </c>
      <c r="F186" s="179" t="n"/>
      <c r="G186" s="179" t="n"/>
      <c r="H186" s="179" t="n"/>
      <c r="I186" s="179" t="n"/>
      <c r="J186" s="179" t="n"/>
      <c r="K186" s="179" t="n"/>
      <c r="L186" s="179" t="n"/>
      <c r="M186" s="179" t="n"/>
      <c r="N186" s="179" t="n"/>
      <c r="O186" s="179" t="n"/>
      <c r="P186" s="179" t="inlineStr">
        <is>
          <t>внутр</t>
        </is>
      </c>
      <c r="Q186" s="179" t="inlineStr">
        <is>
          <t>внутр</t>
        </is>
      </c>
      <c r="R186" s="171" t="n"/>
      <c r="S186" s="171" t="n"/>
    </row>
    <row r="187" ht="18" customHeight="1">
      <c r="A187" s="45" t="inlineStr">
        <is>
          <t>работник 57</t>
        </is>
      </c>
      <c r="B187" s="178" t="inlineStr">
        <is>
          <t>Оператор дизельных котлов</t>
        </is>
      </c>
      <c r="C187" s="178" t="inlineStr"/>
      <c r="D187" s="179" t="n"/>
      <c r="E187" s="179" t="inlineStr">
        <is>
          <t>внутр</t>
        </is>
      </c>
      <c r="F187" s="179" t="n"/>
      <c r="G187" s="179" t="n"/>
      <c r="H187" s="179" t="n"/>
      <c r="I187" s="179" t="n"/>
      <c r="J187" s="179" t="n"/>
      <c r="K187" s="179" t="n"/>
      <c r="L187" s="179" t="n"/>
      <c r="M187" s="179" t="n"/>
      <c r="N187" s="179" t="n"/>
      <c r="O187" s="179" t="n"/>
      <c r="P187" s="179" t="inlineStr">
        <is>
          <t>внутр</t>
        </is>
      </c>
      <c r="Q187" s="179" t="inlineStr">
        <is>
          <t>внутр</t>
        </is>
      </c>
      <c r="R187" s="171" t="n"/>
      <c r="S187" s="171" t="n"/>
    </row>
    <row r="188" ht="18" customHeight="1">
      <c r="A188" s="45" t="inlineStr">
        <is>
          <t>работник 679</t>
        </is>
      </c>
      <c r="B188" s="178" t="inlineStr">
        <is>
          <t>Электрослесарь (слесарь) дежурный и по ремонту оборудования</t>
        </is>
      </c>
      <c r="C188" s="178" t="inlineStr"/>
      <c r="D188" s="179" t="n"/>
      <c r="E188" s="179" t="inlineStr">
        <is>
          <t>внутр</t>
        </is>
      </c>
      <c r="F188" s="179" t="n"/>
      <c r="G188" s="179" t="n"/>
      <c r="H188" s="179" t="n"/>
      <c r="I188" s="179" t="n"/>
      <c r="J188" s="179" t="n"/>
      <c r="K188" s="179" t="n"/>
      <c r="L188" s="179" t="n"/>
      <c r="M188" s="179" t="n"/>
      <c r="N188" s="179" t="n"/>
      <c r="O188" s="179" t="n"/>
      <c r="P188" s="179" t="inlineStr">
        <is>
          <t>внутр</t>
        </is>
      </c>
      <c r="Q188" s="179" t="inlineStr">
        <is>
          <t>внутр</t>
        </is>
      </c>
      <c r="R188" s="171" t="n"/>
      <c r="S188" s="171" t="n"/>
    </row>
    <row r="189" ht="18" customHeight="1">
      <c r="A189" s="45" t="inlineStr">
        <is>
          <t>работник 268</t>
        </is>
      </c>
      <c r="B189" s="178" t="inlineStr">
        <is>
          <t>Машинист экскаватора</t>
        </is>
      </c>
      <c r="C189" s="178" t="inlineStr"/>
      <c r="D189" s="179" t="n"/>
      <c r="E189" s="179" t="inlineStr">
        <is>
          <t>внутр</t>
        </is>
      </c>
      <c r="F189" s="179" t="n"/>
      <c r="G189" s="179" t="n"/>
      <c r="H189" s="179" t="n"/>
      <c r="I189" s="179" t="n"/>
      <c r="J189" s="179" t="n"/>
      <c r="K189" s="179" t="n"/>
      <c r="L189" s="179" t="n"/>
      <c r="M189" s="179" t="n"/>
      <c r="N189" s="179" t="n"/>
      <c r="O189" s="179" t="n"/>
      <c r="P189" s="179" t="inlineStr">
        <is>
          <t>внутр</t>
        </is>
      </c>
      <c r="Q189" s="179" t="inlineStr">
        <is>
          <t>внутр</t>
        </is>
      </c>
      <c r="R189" s="171" t="n"/>
      <c r="S189" s="171" t="n"/>
    </row>
    <row r="190" ht="18" customHeight="1">
      <c r="A190" s="45" t="inlineStr">
        <is>
          <t>работник 663</t>
        </is>
      </c>
      <c r="B190" s="178" t="inlineStr">
        <is>
          <t>Проходчик (с исполнением обязанностей взрывника)</t>
        </is>
      </c>
      <c r="C190" s="178" t="inlineStr"/>
      <c r="D190" s="179" t="n"/>
      <c r="E190" s="179" t="inlineStr">
        <is>
          <t>внутр</t>
        </is>
      </c>
      <c r="F190" s="179" t="n"/>
      <c r="G190" s="179" t="n"/>
      <c r="H190" s="179" t="inlineStr">
        <is>
          <t>внутр</t>
        </is>
      </c>
      <c r="I190" s="179" t="n"/>
      <c r="J190" s="179" t="n"/>
      <c r="K190" s="179" t="n"/>
      <c r="L190" s="179" t="n"/>
      <c r="M190" s="179" t="n"/>
      <c r="N190" s="179" t="n"/>
      <c r="O190" s="179" t="n"/>
      <c r="P190" s="179" t="inlineStr">
        <is>
          <t>внутр</t>
        </is>
      </c>
      <c r="Q190" s="179" t="inlineStr">
        <is>
          <t>внутр</t>
        </is>
      </c>
      <c r="R190" s="171" t="n"/>
      <c r="S190" s="171" t="n"/>
    </row>
    <row r="191" ht="18" customHeight="1">
      <c r="A191" s="45" t="inlineStr">
        <is>
          <t>работник 692</t>
        </is>
      </c>
      <c r="B191" s="178" t="inlineStr">
        <is>
          <t>Начальник участка</t>
        </is>
      </c>
      <c r="C191" s="178" t="inlineStr">
        <is>
          <t>Руководитель</t>
        </is>
      </c>
      <c r="D191" s="179" t="n"/>
      <c r="E191" s="179" t="n"/>
      <c r="F191" s="179" t="n"/>
      <c r="G191" s="180" t="inlineStr">
        <is>
          <t>внутр</t>
        </is>
      </c>
      <c r="H191" s="179" t="n"/>
      <c r="I191" s="179" t="n"/>
      <c r="J191" s="179" t="n"/>
      <c r="K191" s="179" t="n"/>
      <c r="L191" s="179" t="n"/>
      <c r="M191" s="179" t="n"/>
      <c r="N191" s="179" t="n"/>
      <c r="O191" s="179" t="n"/>
      <c r="P191" s="179" t="n"/>
      <c r="Q191" s="179" t="n"/>
      <c r="R191" s="171" t="n">
        <v>1</v>
      </c>
      <c r="S191" s="171" t="n"/>
    </row>
    <row r="192" ht="18" customHeight="1">
      <c r="A192" s="45" t="inlineStr">
        <is>
          <t>работник 377</t>
        </is>
      </c>
      <c r="B192" s="178" t="inlineStr">
        <is>
          <t>Стропальщик (с исполнением обязанностей грузчика</t>
        </is>
      </c>
      <c r="C192" s="178" t="inlineStr"/>
      <c r="D192" s="179" t="n"/>
      <c r="E192" s="179" t="inlineStr">
        <is>
          <t>внутр</t>
        </is>
      </c>
      <c r="F192" s="179" t="n"/>
      <c r="G192" s="179" t="n"/>
      <c r="H192" s="179" t="n"/>
      <c r="I192" s="179" t="n"/>
      <c r="J192" s="179" t="n"/>
      <c r="K192" s="179" t="n"/>
      <c r="L192" s="179" t="n"/>
      <c r="M192" s="179" t="n"/>
      <c r="N192" s="179" t="n"/>
      <c r="O192" s="179" t="n"/>
      <c r="P192" s="179" t="inlineStr">
        <is>
          <t>внутр</t>
        </is>
      </c>
      <c r="Q192" s="179" t="inlineStr">
        <is>
          <t>внутр</t>
        </is>
      </c>
      <c r="R192" s="171" t="n"/>
      <c r="S192" s="171" t="n"/>
    </row>
    <row r="193" ht="18" customHeight="1">
      <c r="A193" s="45" t="inlineStr">
        <is>
          <t>работник 34</t>
        </is>
      </c>
      <c r="B193" s="178" t="inlineStr">
        <is>
          <t>Лаборант пробирного анализа</t>
        </is>
      </c>
      <c r="C193" s="178" t="inlineStr"/>
      <c r="D193" s="179" t="n"/>
      <c r="E193" s="179" t="inlineStr">
        <is>
          <t>внутр</t>
        </is>
      </c>
      <c r="F193" s="179" t="n"/>
      <c r="G193" s="179" t="n"/>
      <c r="H193" s="179" t="n"/>
      <c r="I193" s="179" t="n"/>
      <c r="J193" s="179" t="n"/>
      <c r="K193" s="179" t="n"/>
      <c r="L193" s="179" t="n"/>
      <c r="M193" s="179" t="n"/>
      <c r="N193" s="179" t="n"/>
      <c r="O193" s="179" t="n"/>
      <c r="P193" s="179" t="inlineStr">
        <is>
          <t>внутр</t>
        </is>
      </c>
      <c r="Q193" s="179" t="inlineStr">
        <is>
          <t>внутр</t>
        </is>
      </c>
      <c r="R193" s="171" t="n"/>
      <c r="S193" s="171" t="n"/>
    </row>
    <row r="194" ht="18" customHeight="1">
      <c r="A194" s="45" t="inlineStr">
        <is>
          <t>работник 237</t>
        </is>
      </c>
      <c r="B194" s="178" t="inlineStr">
        <is>
          <t>Инженер пробирного анализа</t>
        </is>
      </c>
      <c r="C194" s="178" t="inlineStr"/>
      <c r="D194" s="179" t="n"/>
      <c r="E194" s="179" t="inlineStr">
        <is>
          <t>внутр</t>
        </is>
      </c>
      <c r="F194" s="179" t="n"/>
      <c r="G194" s="179" t="n"/>
      <c r="H194" s="179" t="n"/>
      <c r="I194" s="179" t="n"/>
      <c r="J194" s="179" t="n"/>
      <c r="K194" s="179" t="n"/>
      <c r="L194" s="179" t="n"/>
      <c r="M194" s="179" t="n"/>
      <c r="N194" s="179" t="n"/>
      <c r="O194" s="179" t="n"/>
      <c r="P194" s="179" t="inlineStr">
        <is>
          <t>внутр</t>
        </is>
      </c>
      <c r="Q194" s="179" t="inlineStr">
        <is>
          <t>внутр</t>
        </is>
      </c>
      <c r="R194" s="171" t="n"/>
      <c r="S194" s="171" t="n"/>
    </row>
    <row r="195" ht="18" customHeight="1">
      <c r="A195" s="45" t="inlineStr">
        <is>
          <t>работник 159</t>
        </is>
      </c>
      <c r="B195" s="178" t="inlineStr">
        <is>
          <t>Проходчик (с исполнением обязанностей взрывника)</t>
        </is>
      </c>
      <c r="C195" s="178" t="inlineStr"/>
      <c r="D195" s="179" t="n"/>
      <c r="E195" s="179" t="inlineStr">
        <is>
          <t>внутр</t>
        </is>
      </c>
      <c r="F195" s="179" t="n"/>
      <c r="G195" s="179" t="n"/>
      <c r="H195" s="179" t="n"/>
      <c r="I195" s="179" t="n"/>
      <c r="J195" s="179" t="n"/>
      <c r="K195" s="179" t="n"/>
      <c r="L195" s="179" t="n"/>
      <c r="M195" s="179" t="n"/>
      <c r="N195" s="179" t="n"/>
      <c r="O195" s="179" t="n"/>
      <c r="P195" s="179" t="inlineStr">
        <is>
          <t>внутр</t>
        </is>
      </c>
      <c r="Q195" s="179" t="inlineStr">
        <is>
          <t>внутр</t>
        </is>
      </c>
      <c r="R195" s="171" t="n"/>
      <c r="S195" s="171" t="n"/>
    </row>
    <row r="196" ht="18" customHeight="1">
      <c r="A196" s="45" t="inlineStr">
        <is>
          <t>работник 114</t>
        </is>
      </c>
      <c r="B196" s="178" t="inlineStr">
        <is>
          <t>Пробоотборщик | Лаборант химического анализа</t>
        </is>
      </c>
      <c r="C196" s="178" t="inlineStr"/>
      <c r="D196" s="179" t="n"/>
      <c r="E196" s="179" t="inlineStr">
        <is>
          <t>внутр</t>
        </is>
      </c>
      <c r="F196" s="179" t="n"/>
      <c r="G196" s="179" t="n"/>
      <c r="H196" s="179" t="n"/>
      <c r="I196" s="179" t="n"/>
      <c r="J196" s="179" t="n"/>
      <c r="K196" s="179" t="n"/>
      <c r="L196" s="179" t="n"/>
      <c r="M196" s="179" t="n"/>
      <c r="N196" s="179" t="n"/>
      <c r="O196" s="179" t="n"/>
      <c r="P196" s="179" t="inlineStr">
        <is>
          <t>внутр</t>
        </is>
      </c>
      <c r="Q196" s="179" t="inlineStr">
        <is>
          <t>внутр</t>
        </is>
      </c>
      <c r="R196" s="171" t="n"/>
      <c r="S196" s="171" t="n"/>
    </row>
    <row r="197" ht="18" customHeight="1">
      <c r="A197" s="45" t="inlineStr">
        <is>
          <t>работник 483</t>
        </is>
      </c>
      <c r="B197" s="178" t="inlineStr">
        <is>
          <t>Проходчик (с исполнением обязанностей взрывника)</t>
        </is>
      </c>
      <c r="C197" s="178" t="inlineStr"/>
      <c r="D197" s="179" t="n"/>
      <c r="E197" s="179" t="inlineStr">
        <is>
          <t>внутр</t>
        </is>
      </c>
      <c r="F197" s="179" t="n"/>
      <c r="G197" s="179" t="n"/>
      <c r="H197" s="179" t="n"/>
      <c r="I197" s="179" t="n"/>
      <c r="J197" s="179" t="n"/>
      <c r="K197" s="179" t="n"/>
      <c r="L197" s="179" t="n"/>
      <c r="M197" s="179" t="n"/>
      <c r="N197" s="179" t="n"/>
      <c r="O197" s="179" t="n"/>
      <c r="P197" s="179" t="n"/>
      <c r="Q197" s="179" t="inlineStr">
        <is>
          <t>внутр</t>
        </is>
      </c>
      <c r="R197" s="171" t="n"/>
      <c r="S197" s="171" t="n"/>
    </row>
    <row r="198" ht="18" customHeight="1">
      <c r="A198" s="45" t="inlineStr">
        <is>
          <t>работник 381</t>
        </is>
      </c>
      <c r="B198" s="178" t="inlineStr">
        <is>
          <t>Фильтровальщик</t>
        </is>
      </c>
      <c r="C198" s="178" t="inlineStr"/>
      <c r="D198" s="179" t="n"/>
      <c r="E198" s="179" t="inlineStr">
        <is>
          <t>внутр</t>
        </is>
      </c>
      <c r="F198" s="179" t="n"/>
      <c r="G198" s="179" t="n"/>
      <c r="H198" s="179" t="n"/>
      <c r="I198" s="179" t="n"/>
      <c r="J198" s="179" t="n"/>
      <c r="K198" s="179" t="n"/>
      <c r="L198" s="179" t="n"/>
      <c r="M198" s="179" t="n"/>
      <c r="N198" s="179" t="n"/>
      <c r="O198" s="179" t="n"/>
      <c r="P198" s="179" t="inlineStr">
        <is>
          <t>внутр</t>
        </is>
      </c>
      <c r="Q198" s="179" t="inlineStr">
        <is>
          <t>внутр</t>
        </is>
      </c>
      <c r="R198" s="171" t="n"/>
      <c r="S198" s="171" t="n"/>
    </row>
    <row r="199" ht="18" customHeight="1">
      <c r="A199" s="45" t="inlineStr">
        <is>
          <t>работник 668</t>
        </is>
      </c>
      <c r="B199" s="178" t="inlineStr">
        <is>
          <t>Стропальщик (с исполнением обязанностей грузчика)</t>
        </is>
      </c>
      <c r="C199" s="178" t="inlineStr"/>
      <c r="D199" s="179" t="n"/>
      <c r="E199" s="179" t="inlineStr">
        <is>
          <t>внутр</t>
        </is>
      </c>
      <c r="F199" s="179" t="n"/>
      <c r="G199" s="179" t="n"/>
      <c r="H199" s="179" t="n"/>
      <c r="I199" s="179" t="n"/>
      <c r="J199" s="179" t="n"/>
      <c r="K199" s="179" t="n"/>
      <c r="L199" s="179" t="n"/>
      <c r="M199" s="179" t="n"/>
      <c r="N199" s="179" t="n"/>
      <c r="O199" s="179" t="n"/>
      <c r="P199" s="179" t="n"/>
      <c r="Q199" s="179" t="inlineStr">
        <is>
          <t>внутр</t>
        </is>
      </c>
      <c r="R199" s="171" t="n"/>
      <c r="S199" s="171" t="n"/>
    </row>
    <row r="200" ht="18" customHeight="1">
      <c r="A200" s="45" t="inlineStr">
        <is>
          <t>работник 304</t>
        </is>
      </c>
      <c r="B200" s="178" t="inlineStr">
        <is>
          <t>Помощник машиниста СБУ (с исполнением обязанностей пробоотборщика)</t>
        </is>
      </c>
      <c r="C200" s="178" t="inlineStr"/>
      <c r="D200" s="179" t="n"/>
      <c r="E200" s="179" t="inlineStr">
        <is>
          <t>внутр</t>
        </is>
      </c>
      <c r="F200" s="179" t="n"/>
      <c r="G200" s="179" t="n"/>
      <c r="H200" s="179" t="n"/>
      <c r="I200" s="179" t="n"/>
      <c r="J200" s="179" t="n"/>
      <c r="K200" s="179" t="n"/>
      <c r="L200" s="179" t="n"/>
      <c r="M200" s="179" t="n"/>
      <c r="N200" s="179" t="n"/>
      <c r="O200" s="179" t="n"/>
      <c r="P200" s="179" t="inlineStr">
        <is>
          <t>внутр</t>
        </is>
      </c>
      <c r="Q200" s="179" t="inlineStr">
        <is>
          <t>внутр</t>
        </is>
      </c>
      <c r="R200" s="171" t="n"/>
      <c r="S200" s="171" t="n"/>
    </row>
    <row r="201" ht="18" customHeight="1">
      <c r="A201" s="45" t="inlineStr">
        <is>
          <t>работник 693</t>
        </is>
      </c>
      <c r="B201" s="178" t="inlineStr">
        <is>
          <t>Плотник</t>
        </is>
      </c>
      <c r="C201" s="178" t="inlineStr"/>
      <c r="D201" s="179" t="n"/>
      <c r="E201" s="179" t="inlineStr">
        <is>
          <t>внутр</t>
        </is>
      </c>
      <c r="F201" s="179" t="n"/>
      <c r="G201" s="179" t="n"/>
      <c r="H201" s="179" t="n"/>
      <c r="I201" s="179" t="n"/>
      <c r="J201" s="179" t="n"/>
      <c r="K201" s="179" t="n"/>
      <c r="L201" s="179" t="n"/>
      <c r="M201" s="179" t="n"/>
      <c r="N201" s="179" t="n"/>
      <c r="O201" s="179" t="n"/>
      <c r="P201" s="179" t="n"/>
      <c r="Q201" s="179" t="inlineStr">
        <is>
          <t>внутр</t>
        </is>
      </c>
      <c r="R201" s="171" t="n"/>
      <c r="S201" s="171" t="n"/>
    </row>
    <row r="202" ht="18" customHeight="1">
      <c r="A202" s="45" t="inlineStr">
        <is>
          <t>работник 789</t>
        </is>
      </c>
      <c r="B202" s="178" t="inlineStr">
        <is>
          <t>Машинист экскаватора</t>
        </is>
      </c>
      <c r="C202" s="178" t="inlineStr"/>
      <c r="D202" s="179" t="n"/>
      <c r="E202" s="179" t="inlineStr">
        <is>
          <t>внутр</t>
        </is>
      </c>
      <c r="F202" s="179" t="n"/>
      <c r="G202" s="179" t="n"/>
      <c r="H202" s="179" t="n"/>
      <c r="I202" s="179" t="n"/>
      <c r="J202" s="179" t="n"/>
      <c r="K202" s="179" t="n"/>
      <c r="L202" s="179" t="n"/>
      <c r="M202" s="179" t="n"/>
      <c r="N202" s="179" t="n"/>
      <c r="O202" s="179" t="n"/>
      <c r="P202" s="179" t="inlineStr">
        <is>
          <t>внутр</t>
        </is>
      </c>
      <c r="Q202" s="179" t="inlineStr">
        <is>
          <t>внутр</t>
        </is>
      </c>
      <c r="R202" s="171" t="n"/>
      <c r="S202" s="171" t="n"/>
    </row>
    <row r="203" ht="18" customHeight="1">
      <c r="A203" s="45" t="inlineStr">
        <is>
          <t>работник 453</t>
        </is>
      </c>
      <c r="B203" s="178" t="inlineStr">
        <is>
          <t>Аппаратчик-гидрометаллург</t>
        </is>
      </c>
      <c r="C203" s="178" t="inlineStr"/>
      <c r="D203" s="179" t="n"/>
      <c r="E203" s="179" t="inlineStr">
        <is>
          <t>внутр</t>
        </is>
      </c>
      <c r="F203" s="179" t="n"/>
      <c r="G203" s="179" t="n"/>
      <c r="H203" s="179" t="n"/>
      <c r="I203" s="179" t="n"/>
      <c r="J203" s="179" t="n"/>
      <c r="K203" s="179" t="n"/>
      <c r="L203" s="179" t="n"/>
      <c r="M203" s="179" t="n"/>
      <c r="N203" s="179" t="n"/>
      <c r="O203" s="179" t="n"/>
      <c r="P203" s="179" t="n"/>
      <c r="Q203" s="179" t="inlineStr">
        <is>
          <t>внутр</t>
        </is>
      </c>
      <c r="R203" s="171" t="n"/>
      <c r="S203" s="171" t="n"/>
    </row>
    <row r="204" ht="18" customHeight="1">
      <c r="A204" s="45" t="inlineStr">
        <is>
          <t>работник 365</t>
        </is>
      </c>
      <c r="B204" s="178" t="inlineStr">
        <is>
          <t>Электрогазосварщик (занятый на резке и ручной сварке)</t>
        </is>
      </c>
      <c r="C204" s="178" t="inlineStr"/>
      <c r="D204" s="179" t="n"/>
      <c r="E204" s="179" t="inlineStr">
        <is>
          <t>внутр</t>
        </is>
      </c>
      <c r="F204" s="179" t="n"/>
      <c r="G204" s="179" t="n"/>
      <c r="H204" s="179" t="n"/>
      <c r="I204" s="179" t="n"/>
      <c r="J204" s="179" t="n"/>
      <c r="K204" s="179" t="n"/>
      <c r="L204" s="179" t="n"/>
      <c r="M204" s="179" t="n"/>
      <c r="N204" s="179" t="n"/>
      <c r="O204" s="179" t="n"/>
      <c r="P204" s="179" t="inlineStr">
        <is>
          <t>внутр</t>
        </is>
      </c>
      <c r="Q204" s="179" t="inlineStr">
        <is>
          <t>внутр</t>
        </is>
      </c>
      <c r="R204" s="171" t="n"/>
      <c r="S204" s="171" t="n"/>
    </row>
    <row r="205" ht="18" customHeight="1">
      <c r="A205" s="45" t="inlineStr">
        <is>
          <t>работник 584</t>
        </is>
      </c>
      <c r="B205" s="178" t="inlineStr">
        <is>
          <t>Растворщик реагентов</t>
        </is>
      </c>
      <c r="C205" s="178" t="inlineStr"/>
      <c r="D205" s="179" t="n"/>
      <c r="E205" s="179" t="inlineStr">
        <is>
          <t>внутр</t>
        </is>
      </c>
      <c r="F205" s="179" t="inlineStr">
        <is>
          <t>внутр</t>
        </is>
      </c>
      <c r="G205" s="179" t="n"/>
      <c r="H205" s="179" t="inlineStr">
        <is>
          <t>внутр</t>
        </is>
      </c>
      <c r="I205" s="179" t="n"/>
      <c r="J205" s="179" t="n"/>
      <c r="K205" s="179" t="n"/>
      <c r="L205" s="179" t="n"/>
      <c r="M205" s="179" t="n"/>
      <c r="N205" s="179" t="n"/>
      <c r="O205" s="179" t="n"/>
      <c r="P205" s="179" t="n"/>
      <c r="Q205" s="179" t="inlineStr">
        <is>
          <t>внутр</t>
        </is>
      </c>
      <c r="R205" s="171" t="n"/>
      <c r="S205" s="171" t="n"/>
    </row>
    <row r="206" ht="18" customHeight="1">
      <c r="A206" s="45" t="inlineStr">
        <is>
          <t>работник 160</t>
        </is>
      </c>
      <c r="B206" s="178" t="inlineStr">
        <is>
          <t>Машинист буровой установки (НКР)</t>
        </is>
      </c>
      <c r="C206" s="178" t="inlineStr"/>
      <c r="D206" s="179" t="n"/>
      <c r="E206" s="179" t="inlineStr">
        <is>
          <t>внутр</t>
        </is>
      </c>
      <c r="F206" s="179" t="n"/>
      <c r="G206" s="179" t="n"/>
      <c r="H206" s="179" t="n"/>
      <c r="I206" s="179" t="n"/>
      <c r="J206" s="179" t="n"/>
      <c r="K206" s="179" t="n"/>
      <c r="L206" s="179" t="n"/>
      <c r="M206" s="179" t="n"/>
      <c r="N206" s="179" t="n"/>
      <c r="O206" s="179" t="n"/>
      <c r="P206" s="179" t="inlineStr">
        <is>
          <t>внутр</t>
        </is>
      </c>
      <c r="Q206" s="179" t="inlineStr">
        <is>
          <t>внутр</t>
        </is>
      </c>
      <c r="R206" s="171" t="n"/>
      <c r="S206" s="171" t="n"/>
    </row>
    <row r="207" ht="18" customHeight="1">
      <c r="A207" s="45" t="inlineStr">
        <is>
          <t>работник 378</t>
        </is>
      </c>
      <c r="B207" s="178" t="inlineStr">
        <is>
          <t>Стопальщик</t>
        </is>
      </c>
      <c r="C207" s="178" t="inlineStr"/>
      <c r="D207" s="179" t="n"/>
      <c r="E207" s="179" t="inlineStr">
        <is>
          <t>внутр</t>
        </is>
      </c>
      <c r="F207" s="179" t="n"/>
      <c r="G207" s="179" t="n"/>
      <c r="H207" s="179" t="n"/>
      <c r="I207" s="179" t="n"/>
      <c r="J207" s="179" t="n"/>
      <c r="K207" s="179" t="n"/>
      <c r="L207" s="179" t="n"/>
      <c r="M207" s="179" t="n"/>
      <c r="N207" s="179" t="n"/>
      <c r="O207" s="179" t="n"/>
      <c r="P207" s="179" t="inlineStr">
        <is>
          <t>внутр</t>
        </is>
      </c>
      <c r="Q207" s="179" t="inlineStr">
        <is>
          <t>внутр</t>
        </is>
      </c>
      <c r="R207" s="171" t="n"/>
      <c r="S207" s="171" t="n"/>
    </row>
    <row r="208" ht="18" customHeight="1">
      <c r="A208" s="45" t="inlineStr">
        <is>
          <t>работник 205</t>
        </is>
      </c>
      <c r="B208" s="178" t="inlineStr">
        <is>
          <t>Водитель автомобиля(занятый на траспортировании горной массы в технологическом процессе)</t>
        </is>
      </c>
      <c r="C208" s="178" t="inlineStr"/>
      <c r="D208" s="179" t="n"/>
      <c r="E208" s="179" t="inlineStr">
        <is>
          <t>внутр</t>
        </is>
      </c>
      <c r="F208" s="179" t="n"/>
      <c r="G208" s="179" t="n"/>
      <c r="H208" s="179" t="n"/>
      <c r="I208" s="179" t="n"/>
      <c r="J208" s="179" t="n"/>
      <c r="K208" s="179" t="n"/>
      <c r="L208" s="179" t="n"/>
      <c r="M208" s="179" t="n"/>
      <c r="N208" s="179" t="n"/>
      <c r="O208" s="179" t="n"/>
      <c r="P208" s="179" t="inlineStr">
        <is>
          <t>внутр</t>
        </is>
      </c>
      <c r="Q208" s="179" t="inlineStr">
        <is>
          <t>внутр</t>
        </is>
      </c>
      <c r="R208" s="171" t="n"/>
      <c r="S208" s="171" t="n"/>
    </row>
    <row r="209" ht="18" customHeight="1">
      <c r="A209" s="45" t="inlineStr">
        <is>
          <t>работник 484</t>
        </is>
      </c>
      <c r="B209" s="178" t="inlineStr">
        <is>
          <t>Электрослесарь (слесарь) дежурный и по ремонту оборудования подземного горного участка</t>
        </is>
      </c>
      <c r="C209" s="178" t="inlineStr"/>
      <c r="D209" s="179" t="n"/>
      <c r="E209" s="179" t="inlineStr">
        <is>
          <t>внутр</t>
        </is>
      </c>
      <c r="F209" s="179" t="n"/>
      <c r="G209" s="179" t="n"/>
      <c r="H209" s="179" t="n"/>
      <c r="I209" s="179" t="n"/>
      <c r="J209" s="179" t="n"/>
      <c r="K209" s="179" t="n"/>
      <c r="L209" s="179" t="n"/>
      <c r="M209" s="179" t="n"/>
      <c r="N209" s="179" t="n"/>
      <c r="O209" s="179" t="n"/>
      <c r="P209" s="179" t="n"/>
      <c r="Q209" s="179" t="inlineStr">
        <is>
          <t>внутр</t>
        </is>
      </c>
      <c r="R209" s="171" t="n"/>
      <c r="S209" s="171" t="n"/>
    </row>
    <row r="210" ht="18" customHeight="1">
      <c r="A210" s="45" t="inlineStr">
        <is>
          <t>работник 847</t>
        </is>
      </c>
      <c r="B210" s="178" t="inlineStr">
        <is>
          <t>Проходчик (с исполнением обязанностей взрывника)</t>
        </is>
      </c>
      <c r="C210" s="178" t="inlineStr"/>
      <c r="D210" s="179" t="n"/>
      <c r="E210" s="179" t="inlineStr">
        <is>
          <t>внутр</t>
        </is>
      </c>
      <c r="F210" s="179" t="n"/>
      <c r="G210" s="179" t="n"/>
      <c r="H210" s="179" t="n"/>
      <c r="I210" s="179" t="n"/>
      <c r="J210" s="179" t="n"/>
      <c r="K210" s="179" t="n"/>
      <c r="L210" s="179" t="n"/>
      <c r="M210" s="179" t="n"/>
      <c r="N210" s="179" t="n"/>
      <c r="O210" s="179" t="n"/>
      <c r="P210" s="179" t="inlineStr">
        <is>
          <t>внутр</t>
        </is>
      </c>
      <c r="Q210" s="179" t="inlineStr">
        <is>
          <t>внутр</t>
        </is>
      </c>
      <c r="R210" s="171" t="n"/>
      <c r="S210" s="171" t="n"/>
    </row>
    <row r="211" ht="18" customHeight="1">
      <c r="A211" s="45" t="inlineStr">
        <is>
          <t>работник 516</t>
        </is>
      </c>
      <c r="B211" s="178" t="inlineStr">
        <is>
          <t>Водитель автомобиля (категория D)</t>
        </is>
      </c>
      <c r="C211" s="178" t="inlineStr"/>
      <c r="D211" s="179" t="n"/>
      <c r="E211" s="179" t="inlineStr">
        <is>
          <t>внутр</t>
        </is>
      </c>
      <c r="F211" s="179" t="n"/>
      <c r="G211" s="179" t="n"/>
      <c r="H211" s="179" t="n"/>
      <c r="I211" s="179" t="n"/>
      <c r="J211" s="179" t="n"/>
      <c r="K211" s="179" t="n"/>
      <c r="L211" s="179" t="n"/>
      <c r="M211" s="179" t="n"/>
      <c r="N211" s="179" t="n"/>
      <c r="O211" s="179" t="n"/>
      <c r="P211" s="179" t="n"/>
      <c r="Q211" s="179" t="inlineStr">
        <is>
          <t>внутр</t>
        </is>
      </c>
      <c r="R211" s="171" t="n"/>
      <c r="S211" s="171" t="n"/>
    </row>
    <row r="212" ht="18" customHeight="1">
      <c r="A212" s="45" t="inlineStr">
        <is>
          <t>работник 100</t>
        </is>
      </c>
      <c r="B212" s="178" t="inlineStr">
        <is>
          <t>Кухонный рабочий</t>
        </is>
      </c>
      <c r="C212" s="178" t="inlineStr"/>
      <c r="D212" s="179" t="n"/>
      <c r="E212" s="179" t="inlineStr">
        <is>
          <t>внутр</t>
        </is>
      </c>
      <c r="F212" s="179" t="n"/>
      <c r="G212" s="179" t="n"/>
      <c r="H212" s="179" t="n"/>
      <c r="I212" s="179" t="n"/>
      <c r="J212" s="179" t="n"/>
      <c r="K212" s="179" t="n"/>
      <c r="L212" s="179" t="n"/>
      <c r="M212" s="179" t="n"/>
      <c r="N212" s="179" t="n"/>
      <c r="O212" s="179" t="n"/>
      <c r="P212" s="179" t="inlineStr">
        <is>
          <t>внутр</t>
        </is>
      </c>
      <c r="Q212" s="179" t="inlineStr">
        <is>
          <t>внутр</t>
        </is>
      </c>
      <c r="R212" s="171" t="n"/>
      <c r="S212" s="171" t="n"/>
    </row>
    <row r="213" ht="18" customHeight="1">
      <c r="A213" s="45" t="inlineStr">
        <is>
          <t>работник 208</t>
        </is>
      </c>
      <c r="B213" s="178" t="inlineStr">
        <is>
          <t>Водитель погрузчика | Машинист погрузочно-доставочной машины (ТГМ) | Машинист погрузочно-доставочной машины (занятый на транспортировании горной массы в технологическом процессе)</t>
        </is>
      </c>
      <c r="C213" s="178" t="inlineStr"/>
      <c r="D213" s="179" t="n"/>
      <c r="E213" s="179" t="inlineStr">
        <is>
          <t>внутр</t>
        </is>
      </c>
      <c r="F213" s="179" t="n"/>
      <c r="G213" s="179" t="n"/>
      <c r="H213" s="179" t="n"/>
      <c r="I213" s="179" t="n"/>
      <c r="J213" s="179" t="n"/>
      <c r="K213" s="179" t="n"/>
      <c r="L213" s="179" t="n"/>
      <c r="M213" s="179" t="n"/>
      <c r="N213" s="179" t="n"/>
      <c r="O213" s="179" t="n"/>
      <c r="P213" s="179" t="inlineStr">
        <is>
          <t>внутр</t>
        </is>
      </c>
      <c r="Q213" s="179" t="inlineStr">
        <is>
          <t>внутр</t>
        </is>
      </c>
      <c r="R213" s="171" t="n"/>
      <c r="S213" s="171" t="n"/>
    </row>
    <row r="214" ht="18" customHeight="1">
      <c r="A214" s="45" t="inlineStr">
        <is>
          <t>работник 911</t>
        </is>
      </c>
      <c r="B214" s="178" t="inlineStr">
        <is>
          <t>Инженер-исследователь</t>
        </is>
      </c>
      <c r="C214" s="178" t="inlineStr"/>
      <c r="D214" s="179" t="n"/>
      <c r="E214" s="179" t="inlineStr">
        <is>
          <t>внутр</t>
        </is>
      </c>
      <c r="F214" s="179" t="n"/>
      <c r="G214" s="179" t="n"/>
      <c r="H214" s="179" t="n"/>
      <c r="I214" s="179" t="n"/>
      <c r="J214" s="179" t="n"/>
      <c r="K214" s="179" t="n"/>
      <c r="L214" s="179" t="n"/>
      <c r="M214" s="179" t="n"/>
      <c r="N214" s="179" t="n"/>
      <c r="O214" s="179" t="n"/>
      <c r="P214" s="179" t="inlineStr">
        <is>
          <t>внутр</t>
        </is>
      </c>
      <c r="Q214" s="179" t="inlineStr">
        <is>
          <t>внутр</t>
        </is>
      </c>
      <c r="R214" s="171" t="n"/>
      <c r="S214" s="171" t="n"/>
    </row>
    <row r="215" ht="18" customHeight="1">
      <c r="A215" s="45" t="inlineStr">
        <is>
          <t>работник 311</t>
        </is>
      </c>
      <c r="B215" s="178" t="inlineStr">
        <is>
          <t>Помощник машиниста  самоходной буровой установки (с исполнением обязанностей пробоотборщика) (Очистное) | Помощник машиниста самоходной буровой установки (с исполнением обязанностей пробоотборщика)</t>
        </is>
      </c>
      <c r="C215" s="178" t="inlineStr"/>
      <c r="D215" s="179" t="n"/>
      <c r="E215" s="179" t="inlineStr">
        <is>
          <t>внутр</t>
        </is>
      </c>
      <c r="F215" s="179" t="n"/>
      <c r="G215" s="179" t="n"/>
      <c r="H215" s="179" t="n"/>
      <c r="I215" s="179" t="n"/>
      <c r="J215" s="179" t="n"/>
      <c r="K215" s="179" t="n"/>
      <c r="L215" s="179" t="n"/>
      <c r="M215" s="179" t="n"/>
      <c r="N215" s="179" t="n"/>
      <c r="O215" s="179" t="n"/>
      <c r="P215" s="179" t="inlineStr">
        <is>
          <t>внутр</t>
        </is>
      </c>
      <c r="Q215" s="179" t="inlineStr">
        <is>
          <t>внутр</t>
        </is>
      </c>
      <c r="R215" s="171" t="n"/>
      <c r="S215" s="171" t="n"/>
    </row>
    <row r="216" ht="18" customHeight="1">
      <c r="A216" s="45" t="inlineStr">
        <is>
          <t>работник 142</t>
        </is>
      </c>
      <c r="B216" s="178" t="inlineStr">
        <is>
          <t>Машинист двигателей внутреннего сгорания</t>
        </is>
      </c>
      <c r="C216" s="178" t="inlineStr"/>
      <c r="D216" s="179" t="n"/>
      <c r="E216" s="179" t="inlineStr">
        <is>
          <t>внутр</t>
        </is>
      </c>
      <c r="F216" s="179" t="n"/>
      <c r="G216" s="179" t="n"/>
      <c r="H216" s="179" t="n"/>
      <c r="I216" s="179" t="n"/>
      <c r="J216" s="179" t="n"/>
      <c r="K216" s="179" t="n"/>
      <c r="L216" s="179" t="n"/>
      <c r="M216" s="179" t="n"/>
      <c r="N216" s="179" t="n"/>
      <c r="O216" s="179" t="n"/>
      <c r="P216" s="179" t="inlineStr">
        <is>
          <t>внутр</t>
        </is>
      </c>
      <c r="Q216" s="179" t="inlineStr">
        <is>
          <t>внутр</t>
        </is>
      </c>
      <c r="R216" s="171" t="n"/>
      <c r="S216" s="171" t="n"/>
    </row>
    <row r="217" ht="18" customHeight="1">
      <c r="A217" s="45" t="inlineStr">
        <is>
          <t>работник 312</t>
        </is>
      </c>
      <c r="B217" s="178" t="inlineStr">
        <is>
          <t>Проходчик</t>
        </is>
      </c>
      <c r="C217" s="178" t="inlineStr"/>
      <c r="D217" s="179" t="n"/>
      <c r="E217" s="179" t="inlineStr">
        <is>
          <t>внутр</t>
        </is>
      </c>
      <c r="F217" s="179" t="n"/>
      <c r="G217" s="179" t="n"/>
      <c r="H217" s="179" t="n"/>
      <c r="I217" s="179" t="n"/>
      <c r="J217" s="179" t="n"/>
      <c r="K217" s="179" t="n"/>
      <c r="L217" s="179" t="n"/>
      <c r="M217" s="179" t="n"/>
      <c r="N217" s="179" t="n"/>
      <c r="O217" s="179" t="n"/>
      <c r="P217" s="179" t="inlineStr">
        <is>
          <t>внутр</t>
        </is>
      </c>
      <c r="Q217" s="179" t="inlineStr">
        <is>
          <t>внутр</t>
        </is>
      </c>
      <c r="R217" s="171" t="n"/>
      <c r="S217" s="171" t="n"/>
    </row>
    <row r="218" ht="18" customHeight="1">
      <c r="A218" s="45" t="inlineStr">
        <is>
          <t>работник 243</t>
        </is>
      </c>
      <c r="B218" s="178" t="inlineStr">
        <is>
          <t>Фильтровальщик | Слесарь по контрольно-измерительным приборам и автоматике</t>
        </is>
      </c>
      <c r="C218" s="178" t="inlineStr"/>
      <c r="D218" s="179" t="n"/>
      <c r="E218" s="179" t="inlineStr">
        <is>
          <t>внутр</t>
        </is>
      </c>
      <c r="F218" s="179" t="n"/>
      <c r="G218" s="179" t="n"/>
      <c r="H218" s="179" t="n"/>
      <c r="I218" s="179" t="n"/>
      <c r="J218" s="179" t="n"/>
      <c r="K218" s="179" t="n"/>
      <c r="L218" s="179" t="n"/>
      <c r="M218" s="179" t="n"/>
      <c r="N218" s="179" t="n"/>
      <c r="O218" s="179" t="n"/>
      <c r="P218" s="179" t="inlineStr">
        <is>
          <t>внутр</t>
        </is>
      </c>
      <c r="Q218" s="179" t="inlineStr">
        <is>
          <t>внутр</t>
        </is>
      </c>
      <c r="R218" s="171" t="n"/>
      <c r="S218" s="171" t="n"/>
    </row>
    <row r="219" ht="18" customHeight="1">
      <c r="A219" s="45" t="inlineStr">
        <is>
          <t>работник 640</t>
        </is>
      </c>
      <c r="B219" s="178" t="inlineStr">
        <is>
          <t>Аппаратчик-сгустителей | Аппаратчик сгустителей</t>
        </is>
      </c>
      <c r="C219" s="178" t="inlineStr"/>
      <c r="D219" s="179" t="n"/>
      <c r="E219" s="179" t="inlineStr">
        <is>
          <t>внутр</t>
        </is>
      </c>
      <c r="F219" s="179" t="inlineStr">
        <is>
          <t>внутр</t>
        </is>
      </c>
      <c r="G219" s="179" t="n"/>
      <c r="H219" s="179" t="inlineStr">
        <is>
          <t>внутр</t>
        </is>
      </c>
      <c r="I219" s="179" t="n"/>
      <c r="J219" s="179" t="n"/>
      <c r="K219" s="179" t="n"/>
      <c r="L219" s="179" t="n"/>
      <c r="M219" s="179" t="n"/>
      <c r="N219" s="179" t="n"/>
      <c r="O219" s="179" t="n"/>
      <c r="P219" s="179" t="n"/>
      <c r="Q219" s="179" t="inlineStr">
        <is>
          <t>внутр</t>
        </is>
      </c>
      <c r="R219" s="171" t="n"/>
      <c r="S219" s="171" t="n"/>
    </row>
    <row r="220" ht="18" customHeight="1">
      <c r="A220" s="45" t="inlineStr">
        <is>
          <t>работник 916</t>
        </is>
      </c>
      <c r="B220" s="178" t="inlineStr">
        <is>
          <t>Фильтровальщик</t>
        </is>
      </c>
      <c r="C220" s="178" t="inlineStr"/>
      <c r="D220" s="179" t="n"/>
      <c r="E220" s="179" t="inlineStr">
        <is>
          <t>внутр</t>
        </is>
      </c>
      <c r="F220" s="179" t="n"/>
      <c r="G220" s="179" t="n"/>
      <c r="H220" s="179" t="n"/>
      <c r="I220" s="179" t="n"/>
      <c r="J220" s="179" t="n"/>
      <c r="K220" s="179" t="n"/>
      <c r="L220" s="179" t="n"/>
      <c r="M220" s="179" t="n"/>
      <c r="N220" s="179" t="n"/>
      <c r="O220" s="179" t="n"/>
      <c r="P220" s="179" t="inlineStr">
        <is>
          <t>внутр</t>
        </is>
      </c>
      <c r="Q220" s="179" t="inlineStr">
        <is>
          <t>внутр</t>
        </is>
      </c>
      <c r="R220" s="171" t="n"/>
      <c r="S220" s="171" t="n"/>
    </row>
    <row r="221" ht="18" customHeight="1">
      <c r="A221" s="45" t="inlineStr">
        <is>
          <t>работник 209</t>
        </is>
      </c>
      <c r="B221" s="178" t="inlineStr">
        <is>
          <t>Водитель автомобиля(занятый на траспортировании горной массы в технологическом процессе)</t>
        </is>
      </c>
      <c r="C221" s="178" t="inlineStr"/>
      <c r="D221" s="179" t="n"/>
      <c r="E221" s="179" t="inlineStr">
        <is>
          <t>внутр</t>
        </is>
      </c>
      <c r="F221" s="179" t="n"/>
      <c r="G221" s="179" t="n"/>
      <c r="H221" s="179" t="n"/>
      <c r="I221" s="179" t="n"/>
      <c r="J221" s="179" t="n"/>
      <c r="K221" s="179" t="n"/>
      <c r="L221" s="179" t="n"/>
      <c r="M221" s="179" t="n"/>
      <c r="N221" s="179" t="n"/>
      <c r="O221" s="179" t="n"/>
      <c r="P221" s="179" t="inlineStr">
        <is>
          <t>внутр</t>
        </is>
      </c>
      <c r="Q221" s="179" t="inlineStr">
        <is>
          <t>внутр</t>
        </is>
      </c>
      <c r="R221" s="171" t="n"/>
      <c r="S221" s="171" t="n"/>
    </row>
    <row r="222" ht="18" customHeight="1">
      <c r="A222" s="45" t="inlineStr">
        <is>
          <t>работник 805</t>
        </is>
      </c>
      <c r="B222" s="178" t="inlineStr">
        <is>
          <t>Машинист экскаватора</t>
        </is>
      </c>
      <c r="C222" s="178" t="inlineStr"/>
      <c r="D222" s="179" t="n"/>
      <c r="E222" s="179" t="inlineStr">
        <is>
          <t>внутр</t>
        </is>
      </c>
      <c r="F222" s="179" t="n"/>
      <c r="G222" s="179" t="n"/>
      <c r="H222" s="179" t="n"/>
      <c r="I222" s="179" t="n"/>
      <c r="J222" s="179" t="n"/>
      <c r="K222" s="179" t="n"/>
      <c r="L222" s="179" t="n"/>
      <c r="M222" s="179" t="n"/>
      <c r="N222" s="179" t="n"/>
      <c r="O222" s="179" t="n"/>
      <c r="P222" s="179" t="n"/>
      <c r="Q222" s="179" t="inlineStr">
        <is>
          <t>внутр</t>
        </is>
      </c>
      <c r="R222" s="171" t="n"/>
      <c r="S222" s="171" t="n"/>
    </row>
    <row r="223" ht="18" customHeight="1">
      <c r="A223" s="45" t="inlineStr">
        <is>
          <t>работник 928</t>
        </is>
      </c>
      <c r="B223" s="178" t="inlineStr">
        <is>
          <t>Фильтровальщик</t>
        </is>
      </c>
      <c r="C223" s="178" t="inlineStr"/>
      <c r="D223" s="179" t="n"/>
      <c r="E223" s="179" t="inlineStr">
        <is>
          <t>внутр</t>
        </is>
      </c>
      <c r="F223" s="179" t="n"/>
      <c r="G223" s="179" t="n"/>
      <c r="H223" s="179" t="n"/>
      <c r="I223" s="179" t="n"/>
      <c r="J223" s="179" t="n"/>
      <c r="K223" s="179" t="n"/>
      <c r="L223" s="179" t="n"/>
      <c r="M223" s="179" t="n"/>
      <c r="N223" s="179" t="n"/>
      <c r="O223" s="179" t="n"/>
      <c r="P223" s="179" t="inlineStr">
        <is>
          <t>внутр</t>
        </is>
      </c>
      <c r="Q223" s="179" t="inlineStr">
        <is>
          <t>внутр</t>
        </is>
      </c>
      <c r="R223" s="171" t="n"/>
      <c r="S223" s="171" t="n"/>
    </row>
    <row r="224" ht="18" customHeight="1">
      <c r="A224" s="45" t="inlineStr">
        <is>
          <t>работник 685</t>
        </is>
      </c>
      <c r="B224" s="178" t="inlineStr">
        <is>
          <t>Подсобный рабочий</t>
        </is>
      </c>
      <c r="C224" s="178" t="inlineStr"/>
      <c r="D224" s="179" t="n"/>
      <c r="E224" s="179" t="inlineStr">
        <is>
          <t>внутр</t>
        </is>
      </c>
      <c r="F224" s="179" t="n"/>
      <c r="G224" s="179" t="n"/>
      <c r="H224" s="179" t="n"/>
      <c r="I224" s="179" t="n"/>
      <c r="J224" s="179" t="n"/>
      <c r="K224" s="179" t="n"/>
      <c r="L224" s="179" t="n"/>
      <c r="M224" s="179" t="n"/>
      <c r="N224" s="179" t="n"/>
      <c r="O224" s="179" t="n"/>
      <c r="P224" s="179" t="n"/>
      <c r="Q224" s="179" t="inlineStr">
        <is>
          <t>внутр</t>
        </is>
      </c>
      <c r="R224" s="171" t="n"/>
      <c r="S224" s="171" t="n"/>
    </row>
    <row r="225" ht="18" customHeight="1">
      <c r="A225" s="45" t="inlineStr">
        <is>
          <t>работник 419</t>
        </is>
      </c>
      <c r="B225" s="178" t="inlineStr">
        <is>
          <t>Плотник</t>
        </is>
      </c>
      <c r="C225" s="178" t="inlineStr"/>
      <c r="D225" s="179" t="n"/>
      <c r="E225" s="179" t="inlineStr">
        <is>
          <t>внутр</t>
        </is>
      </c>
      <c r="F225" s="179" t="n"/>
      <c r="G225" s="179" t="n"/>
      <c r="H225" s="179" t="n"/>
      <c r="I225" s="179" t="n"/>
      <c r="J225" s="179" t="n"/>
      <c r="K225" s="179" t="n"/>
      <c r="L225" s="179" t="n"/>
      <c r="M225" s="179" t="n"/>
      <c r="N225" s="179" t="n"/>
      <c r="O225" s="179" t="n"/>
      <c r="P225" s="179" t="n"/>
      <c r="Q225" s="179" t="inlineStr">
        <is>
          <t>внутр</t>
        </is>
      </c>
      <c r="R225" s="171" t="n"/>
      <c r="S225" s="171" t="n"/>
    </row>
    <row r="226" ht="18" customHeight="1">
      <c r="A226" s="45" t="inlineStr">
        <is>
          <t>работник 400</t>
        </is>
      </c>
      <c r="B226" s="178" t="inlineStr">
        <is>
          <t>Водитель погрузчика</t>
        </is>
      </c>
      <c r="C226" s="178" t="inlineStr"/>
      <c r="D226" s="179" t="n"/>
      <c r="E226" s="179" t="inlineStr">
        <is>
          <t>внутр</t>
        </is>
      </c>
      <c r="F226" s="179" t="n"/>
      <c r="G226" s="179" t="n"/>
      <c r="H226" s="179" t="n"/>
      <c r="I226" s="179" t="n"/>
      <c r="J226" s="179" t="n"/>
      <c r="K226" s="179" t="n"/>
      <c r="L226" s="179" t="n"/>
      <c r="M226" s="179" t="n"/>
      <c r="N226" s="179" t="n"/>
      <c r="O226" s="179" t="n"/>
      <c r="P226" s="179" t="n"/>
      <c r="Q226" s="179" t="inlineStr">
        <is>
          <t>внутр</t>
        </is>
      </c>
      <c r="R226" s="171" t="n"/>
      <c r="S226" s="171" t="n"/>
    </row>
    <row r="227" ht="18" customHeight="1">
      <c r="A227" s="45" t="inlineStr">
        <is>
          <t>работник 904</t>
        </is>
      </c>
      <c r="B227" s="178" t="inlineStr">
        <is>
          <t>Водитель автомобиля для перевозки взрывчатых материалов</t>
        </is>
      </c>
      <c r="C227" s="178" t="inlineStr"/>
      <c r="D227" s="179" t="n"/>
      <c r="E227" s="179" t="inlineStr">
        <is>
          <t>внутр</t>
        </is>
      </c>
      <c r="F227" s="179" t="n"/>
      <c r="G227" s="179" t="n"/>
      <c r="H227" s="179" t="n"/>
      <c r="I227" s="179" t="n"/>
      <c r="J227" s="179" t="n"/>
      <c r="K227" s="179" t="n"/>
      <c r="L227" s="179" t="n"/>
      <c r="M227" s="179" t="n"/>
      <c r="N227" s="179" t="n"/>
      <c r="O227" s="179" t="n"/>
      <c r="P227" s="179" t="inlineStr">
        <is>
          <t>внутр</t>
        </is>
      </c>
      <c r="Q227" s="179" t="inlineStr">
        <is>
          <t>внутр</t>
        </is>
      </c>
      <c r="R227" s="171" t="n"/>
      <c r="S227" s="171" t="n"/>
    </row>
    <row r="228" ht="18" customHeight="1">
      <c r="A228" s="45" t="inlineStr">
        <is>
          <t>работник 184</t>
        </is>
      </c>
      <c r="B228" s="178" t="inlineStr">
        <is>
          <t>Водитель погрузчика | Водитель автомобиля (занятый на транспортировании горной массы в технологическом процессе)</t>
        </is>
      </c>
      <c r="C228" s="178" t="inlineStr"/>
      <c r="D228" s="179" t="n"/>
      <c r="E228" s="179" t="inlineStr">
        <is>
          <t>внутр</t>
        </is>
      </c>
      <c r="F228" s="179" t="n"/>
      <c r="G228" s="179" t="n"/>
      <c r="H228" s="179" t="n"/>
      <c r="I228" s="179" t="n"/>
      <c r="J228" s="179" t="n"/>
      <c r="K228" s="179" t="n"/>
      <c r="L228" s="179" t="n"/>
      <c r="M228" s="179" t="n"/>
      <c r="N228" s="179" t="n"/>
      <c r="O228" s="179" t="n"/>
      <c r="P228" s="179" t="inlineStr">
        <is>
          <t>внутр</t>
        </is>
      </c>
      <c r="Q228" s="179" t="inlineStr">
        <is>
          <t>внутр</t>
        </is>
      </c>
      <c r="R228" s="171" t="n"/>
      <c r="S228" s="171" t="n"/>
    </row>
    <row r="229" ht="18" customHeight="1">
      <c r="A229" s="45" t="inlineStr">
        <is>
          <t>работник 197</t>
        </is>
      </c>
      <c r="B229" s="178" t="inlineStr">
        <is>
          <t>Водитель автомобиля(занятый на траспортировании горной массы в технологическом процессе) | Водитель автомобиля (занятый на транспортировании горной массы в технологическом процессе</t>
        </is>
      </c>
      <c r="C229" s="178" t="inlineStr"/>
      <c r="D229" s="179" t="n"/>
      <c r="E229" s="179" t="inlineStr">
        <is>
          <t>внутр</t>
        </is>
      </c>
      <c r="F229" s="179" t="n"/>
      <c r="G229" s="179" t="n"/>
      <c r="H229" s="179" t="n"/>
      <c r="I229" s="179" t="n"/>
      <c r="J229" s="179" t="n"/>
      <c r="K229" s="179" t="n"/>
      <c r="L229" s="179" t="n"/>
      <c r="M229" s="179" t="n"/>
      <c r="N229" s="179" t="n"/>
      <c r="O229" s="179" t="n"/>
      <c r="P229" s="179" t="inlineStr">
        <is>
          <t>внутр</t>
        </is>
      </c>
      <c r="Q229" s="179" t="inlineStr">
        <is>
          <t>внутр</t>
        </is>
      </c>
      <c r="R229" s="171" t="n"/>
      <c r="S229" s="171" t="n"/>
    </row>
    <row r="230" ht="18" customHeight="1">
      <c r="A230" s="45" t="inlineStr">
        <is>
          <t>работник 515</t>
        </is>
      </c>
      <c r="B230" s="178" t="inlineStr">
        <is>
          <t>Машинист бульдозера</t>
        </is>
      </c>
      <c r="C230" s="178" t="inlineStr"/>
      <c r="D230" s="179" t="n"/>
      <c r="E230" s="179" t="inlineStr">
        <is>
          <t>внутр</t>
        </is>
      </c>
      <c r="F230" s="179" t="n"/>
      <c r="G230" s="179" t="n"/>
      <c r="H230" s="179" t="n"/>
      <c r="I230" s="179" t="n"/>
      <c r="J230" s="179" t="n"/>
      <c r="K230" s="179" t="n"/>
      <c r="L230" s="179" t="n"/>
      <c r="M230" s="179" t="n"/>
      <c r="N230" s="179" t="n"/>
      <c r="O230" s="179" t="n"/>
      <c r="P230" s="179" t="n"/>
      <c r="Q230" s="179" t="inlineStr">
        <is>
          <t>внутр</t>
        </is>
      </c>
      <c r="R230" s="171" t="n"/>
      <c r="S230" s="171" t="n"/>
    </row>
    <row r="231" ht="18" customHeight="1">
      <c r="A231" s="45" t="inlineStr">
        <is>
          <t>работник 143</t>
        </is>
      </c>
      <c r="B231" s="178" t="inlineStr">
        <is>
          <t>Оператор дизельных котлов</t>
        </is>
      </c>
      <c r="C231" s="178" t="inlineStr"/>
      <c r="D231" s="179" t="n"/>
      <c r="E231" s="179" t="inlineStr">
        <is>
          <t>внутр</t>
        </is>
      </c>
      <c r="F231" s="179" t="n"/>
      <c r="G231" s="179" t="n"/>
      <c r="H231" s="179" t="n"/>
      <c r="I231" s="179" t="n"/>
      <c r="J231" s="179" t="n"/>
      <c r="K231" s="179" t="n"/>
      <c r="L231" s="179" t="n"/>
      <c r="M231" s="179" t="n"/>
      <c r="N231" s="179" t="n"/>
      <c r="O231" s="179" t="n"/>
      <c r="P231" s="179" t="inlineStr">
        <is>
          <t>внутр</t>
        </is>
      </c>
      <c r="Q231" s="179" t="inlineStr">
        <is>
          <t>внутр</t>
        </is>
      </c>
      <c r="R231" s="171" t="n"/>
      <c r="S231" s="171" t="n"/>
    </row>
    <row r="232" ht="18" customHeight="1">
      <c r="A232" s="45" t="inlineStr">
        <is>
          <t>работник 250</t>
        </is>
      </c>
      <c r="B232" s="178" t="inlineStr">
        <is>
          <t>Флотатор | Аппаратчик-гидрометаллург</t>
        </is>
      </c>
      <c r="C232" s="178" t="inlineStr"/>
      <c r="D232" s="179" t="n"/>
      <c r="E232" s="179" t="inlineStr">
        <is>
          <t>внутр</t>
        </is>
      </c>
      <c r="F232" s="179" t="n"/>
      <c r="G232" s="179" t="n"/>
      <c r="H232" s="179" t="n"/>
      <c r="I232" s="179" t="n"/>
      <c r="J232" s="179" t="n"/>
      <c r="K232" s="179" t="n"/>
      <c r="L232" s="179" t="n"/>
      <c r="M232" s="179" t="n"/>
      <c r="N232" s="179" t="n"/>
      <c r="O232" s="179" t="n"/>
      <c r="P232" s="179" t="inlineStr">
        <is>
          <t>внутр</t>
        </is>
      </c>
      <c r="Q232" s="179" t="inlineStr">
        <is>
          <t>внутр</t>
        </is>
      </c>
      <c r="R232" s="171" t="n"/>
      <c r="S232" s="171" t="n"/>
    </row>
    <row r="233" ht="18" customHeight="1">
      <c r="A233" s="45" t="inlineStr">
        <is>
          <t>работник 639</t>
        </is>
      </c>
      <c r="B233" s="178" t="inlineStr">
        <is>
          <t>Фильтровальщик</t>
        </is>
      </c>
      <c r="C233" s="178" t="inlineStr"/>
      <c r="D233" s="179" t="n"/>
      <c r="E233" s="179" t="inlineStr">
        <is>
          <t>внутр</t>
        </is>
      </c>
      <c r="F233" s="179" t="n"/>
      <c r="G233" s="179" t="n"/>
      <c r="H233" s="179" t="n"/>
      <c r="I233" s="179" t="n"/>
      <c r="J233" s="179" t="n"/>
      <c r="K233" s="179" t="n"/>
      <c r="L233" s="179" t="n"/>
      <c r="M233" s="179" t="n"/>
      <c r="N233" s="179" t="n"/>
      <c r="O233" s="179" t="n"/>
      <c r="P233" s="179" t="n"/>
      <c r="Q233" s="179" t="inlineStr">
        <is>
          <t>внутр</t>
        </is>
      </c>
      <c r="R233" s="171" t="n"/>
      <c r="S233" s="171" t="n"/>
    </row>
    <row r="234" ht="18" customHeight="1">
      <c r="A234" s="45" t="inlineStr">
        <is>
          <t>работник 636</t>
        </is>
      </c>
      <c r="B234" s="178" t="inlineStr">
        <is>
          <t>Грузчик | Аппаратчик-гидрометаллург</t>
        </is>
      </c>
      <c r="C234" s="178" t="inlineStr"/>
      <c r="D234" s="179" t="n"/>
      <c r="E234" s="179" t="inlineStr">
        <is>
          <t>внутр</t>
        </is>
      </c>
      <c r="F234" s="179" t="n"/>
      <c r="G234" s="179" t="n"/>
      <c r="H234" s="179" t="n"/>
      <c r="I234" s="179" t="n"/>
      <c r="J234" s="179" t="n"/>
      <c r="K234" s="179" t="n"/>
      <c r="L234" s="179" t="n"/>
      <c r="M234" s="179" t="n"/>
      <c r="N234" s="179" t="n"/>
      <c r="O234" s="179" t="n"/>
      <c r="P234" s="179" t="inlineStr">
        <is>
          <t>внутр</t>
        </is>
      </c>
      <c r="Q234" s="179" t="inlineStr">
        <is>
          <t>внутр</t>
        </is>
      </c>
      <c r="R234" s="171" t="n"/>
      <c r="S234" s="171" t="n"/>
    </row>
    <row r="235" ht="18" customHeight="1">
      <c r="A235" s="45" t="inlineStr">
        <is>
          <t>работник 791</t>
        </is>
      </c>
      <c r="B235" s="178" t="inlineStr">
        <is>
          <t>Машинист экскаватора</t>
        </is>
      </c>
      <c r="C235" s="178" t="inlineStr"/>
      <c r="D235" s="179" t="n"/>
      <c r="E235" s="179" t="inlineStr">
        <is>
          <t>внутр</t>
        </is>
      </c>
      <c r="F235" s="179" t="n"/>
      <c r="G235" s="179" t="n"/>
      <c r="H235" s="179" t="n"/>
      <c r="I235" s="179" t="n"/>
      <c r="J235" s="179" t="n"/>
      <c r="K235" s="179" t="n"/>
      <c r="L235" s="179" t="n"/>
      <c r="M235" s="179" t="n"/>
      <c r="N235" s="179" t="n"/>
      <c r="O235" s="179" t="n"/>
      <c r="P235" s="179" t="inlineStr">
        <is>
          <t>внутр</t>
        </is>
      </c>
      <c r="Q235" s="179" t="inlineStr">
        <is>
          <t>внутр</t>
        </is>
      </c>
      <c r="R235" s="171" t="n"/>
      <c r="S235" s="171" t="n"/>
    </row>
    <row r="236" ht="18" customHeight="1">
      <c r="A236" s="45" t="inlineStr">
        <is>
          <t>работник 446</t>
        </is>
      </c>
      <c r="B236" s="178" t="inlineStr">
        <is>
          <t>Бункеровщик</t>
        </is>
      </c>
      <c r="C236" s="178" t="inlineStr"/>
      <c r="D236" s="179" t="n"/>
      <c r="E236" s="179" t="inlineStr">
        <is>
          <t>внутр</t>
        </is>
      </c>
      <c r="F236" s="179" t="n"/>
      <c r="G236" s="179" t="n"/>
      <c r="H236" s="179" t="n"/>
      <c r="I236" s="179" t="n"/>
      <c r="J236" s="179" t="n"/>
      <c r="K236" s="179" t="n"/>
      <c r="L236" s="179" t="n"/>
      <c r="M236" s="179" t="n"/>
      <c r="N236" s="179" t="n"/>
      <c r="O236" s="179" t="n"/>
      <c r="P236" s="179" t="n"/>
      <c r="Q236" s="179" t="inlineStr">
        <is>
          <t>внутр</t>
        </is>
      </c>
      <c r="R236" s="171" t="n"/>
      <c r="S236" s="171" t="n"/>
    </row>
    <row r="237" ht="18" customHeight="1">
      <c r="A237" s="45" t="inlineStr">
        <is>
          <t>работник 830</t>
        </is>
      </c>
      <c r="B237" s="178" t="inlineStr">
        <is>
          <t>Дробильщик</t>
        </is>
      </c>
      <c r="C237" s="178" t="inlineStr"/>
      <c r="D237" s="179" t="n"/>
      <c r="E237" s="179" t="inlineStr">
        <is>
          <t>внутр</t>
        </is>
      </c>
      <c r="F237" s="179" t="n"/>
      <c r="G237" s="179" t="n"/>
      <c r="H237" s="179" t="n"/>
      <c r="I237" s="179" t="n"/>
      <c r="J237" s="179" t="n"/>
      <c r="K237" s="179" t="n"/>
      <c r="L237" s="179" t="n"/>
      <c r="M237" s="179" t="n"/>
      <c r="N237" s="179" t="n"/>
      <c r="O237" s="179" t="n"/>
      <c r="P237" s="179" t="inlineStr">
        <is>
          <t>внутр</t>
        </is>
      </c>
      <c r="Q237" s="179" t="inlineStr">
        <is>
          <t>внутр</t>
        </is>
      </c>
      <c r="R237" s="171" t="n"/>
      <c r="S237" s="171" t="n"/>
    </row>
    <row r="238" ht="18" customHeight="1">
      <c r="A238" s="45" t="inlineStr">
        <is>
          <t>работник 888</t>
        </is>
      </c>
      <c r="B238" s="178" t="inlineStr">
        <is>
          <t>Машинист погрузочно-доставочной машины</t>
        </is>
      </c>
      <c r="C238" s="178" t="inlineStr"/>
      <c r="D238" s="179" t="n"/>
      <c r="E238" s="179" t="inlineStr">
        <is>
          <t>внутр</t>
        </is>
      </c>
      <c r="F238" s="179" t="n"/>
      <c r="G238" s="179" t="n"/>
      <c r="H238" s="179" t="n"/>
      <c r="I238" s="179" t="n"/>
      <c r="J238" s="179" t="n"/>
      <c r="K238" s="179" t="n"/>
      <c r="L238" s="179" t="n"/>
      <c r="M238" s="179" t="n"/>
      <c r="N238" s="179" t="n"/>
      <c r="O238" s="179" t="n"/>
      <c r="P238" s="179" t="inlineStr">
        <is>
          <t>внутр</t>
        </is>
      </c>
      <c r="Q238" s="179" t="inlineStr">
        <is>
          <t>внутр</t>
        </is>
      </c>
      <c r="R238" s="171" t="n"/>
      <c r="S238" s="171" t="n"/>
    </row>
    <row r="239" ht="18" customHeight="1">
      <c r="A239" s="45" t="inlineStr">
        <is>
          <t>работник 434</t>
        </is>
      </c>
      <c r="B239" s="178" t="inlineStr">
        <is>
          <t>Машинист мельниц</t>
        </is>
      </c>
      <c r="C239" s="178" t="inlineStr"/>
      <c r="D239" s="179" t="n"/>
      <c r="E239" s="179" t="inlineStr">
        <is>
          <t>внутр</t>
        </is>
      </c>
      <c r="F239" s="179" t="n"/>
      <c r="G239" s="179" t="n"/>
      <c r="H239" s="179" t="n"/>
      <c r="I239" s="179" t="n"/>
      <c r="J239" s="179" t="n"/>
      <c r="K239" s="179" t="n"/>
      <c r="L239" s="179" t="n"/>
      <c r="M239" s="179" t="n"/>
      <c r="N239" s="179" t="n"/>
      <c r="O239" s="179" t="n"/>
      <c r="P239" s="179" t="n"/>
      <c r="Q239" s="179" t="inlineStr">
        <is>
          <t>внутр</t>
        </is>
      </c>
      <c r="R239" s="171" t="n"/>
      <c r="S239" s="171" t="n"/>
    </row>
    <row r="240" ht="18" customHeight="1">
      <c r="A240" s="45" t="inlineStr">
        <is>
          <t>работник 136</t>
        </is>
      </c>
      <c r="B240" s="178" t="inlineStr">
        <is>
          <t>Горнорабочий | Крепильщик</t>
        </is>
      </c>
      <c r="C240" s="178" t="inlineStr"/>
      <c r="D240" s="179" t="n"/>
      <c r="E240" s="179" t="inlineStr">
        <is>
          <t>внутр</t>
        </is>
      </c>
      <c r="F240" s="179" t="n"/>
      <c r="G240" s="179" t="n"/>
      <c r="H240" s="179" t="n"/>
      <c r="I240" s="179" t="n"/>
      <c r="J240" s="179" t="n"/>
      <c r="K240" s="179" t="n"/>
      <c r="L240" s="179" t="n"/>
      <c r="M240" s="179" t="n"/>
      <c r="N240" s="179" t="n"/>
      <c r="O240" s="179" t="n"/>
      <c r="P240" s="179" t="inlineStr">
        <is>
          <t>внутр</t>
        </is>
      </c>
      <c r="Q240" s="179" t="inlineStr">
        <is>
          <t>внутр</t>
        </is>
      </c>
      <c r="R240" s="171" t="n"/>
      <c r="S240" s="171" t="n"/>
    </row>
    <row r="241" ht="18" customHeight="1">
      <c r="A241" s="45" t="inlineStr">
        <is>
          <t>работник 269</t>
        </is>
      </c>
      <c r="B241" s="178" t="inlineStr">
        <is>
          <t>Водитель автомобиля (топливозаправщик)</t>
        </is>
      </c>
      <c r="C241" s="178" t="inlineStr"/>
      <c r="D241" s="179" t="n"/>
      <c r="E241" s="179" t="inlineStr">
        <is>
          <t>внутр</t>
        </is>
      </c>
      <c r="F241" s="179" t="n"/>
      <c r="G241" s="179" t="n"/>
      <c r="H241" s="179" t="n"/>
      <c r="I241" s="179" t="n"/>
      <c r="J241" s="179" t="n"/>
      <c r="K241" s="179" t="n"/>
      <c r="L241" s="179" t="n"/>
      <c r="M241" s="179" t="n"/>
      <c r="N241" s="179" t="n"/>
      <c r="O241" s="179" t="n"/>
      <c r="P241" s="179" t="inlineStr">
        <is>
          <t>внутр</t>
        </is>
      </c>
      <c r="Q241" s="179" t="inlineStr">
        <is>
          <t>внутр</t>
        </is>
      </c>
      <c r="R241" s="171" t="n"/>
      <c r="S241" s="171" t="n"/>
    </row>
    <row r="242" ht="18" customHeight="1">
      <c r="A242" s="45" t="inlineStr">
        <is>
          <t>работник 680</t>
        </is>
      </c>
      <c r="B242" s="178" t="inlineStr">
        <is>
          <t>Слесарь-сантехник</t>
        </is>
      </c>
      <c r="C242" s="178" t="inlineStr"/>
      <c r="D242" s="179" t="n"/>
      <c r="E242" s="179" t="inlineStr">
        <is>
          <t>внутр</t>
        </is>
      </c>
      <c r="F242" s="179" t="n"/>
      <c r="G242" s="179" t="n"/>
      <c r="H242" s="179" t="n"/>
      <c r="I242" s="179" t="n"/>
      <c r="J242" s="179" t="n"/>
      <c r="K242" s="179" t="n"/>
      <c r="L242" s="179" t="n"/>
      <c r="M242" s="179" t="n"/>
      <c r="N242" s="179" t="n"/>
      <c r="O242" s="179" t="n"/>
      <c r="P242" s="179" t="inlineStr">
        <is>
          <t>внутр</t>
        </is>
      </c>
      <c r="Q242" s="179" t="inlineStr">
        <is>
          <t>внутр</t>
        </is>
      </c>
      <c r="R242" s="171" t="n"/>
      <c r="S242" s="171" t="n"/>
    </row>
    <row r="243" ht="18" customHeight="1">
      <c r="A243" s="45" t="inlineStr">
        <is>
          <t>работник 536</t>
        </is>
      </c>
      <c r="B243" s="178" t="inlineStr">
        <is>
          <t>Растворщик реагентов</t>
        </is>
      </c>
      <c r="C243" s="178" t="inlineStr"/>
      <c r="D243" s="179" t="n"/>
      <c r="E243" s="179" t="inlineStr">
        <is>
          <t>внутр</t>
        </is>
      </c>
      <c r="F243" s="179" t="n"/>
      <c r="G243" s="179" t="n"/>
      <c r="H243" s="179" t="n"/>
      <c r="I243" s="179" t="n"/>
      <c r="J243" s="179" t="n"/>
      <c r="K243" s="179" t="n"/>
      <c r="L243" s="179" t="n"/>
      <c r="M243" s="179" t="n"/>
      <c r="N243" s="179" t="n"/>
      <c r="O243" s="179" t="n"/>
      <c r="P243" s="179" t="n"/>
      <c r="Q243" s="179" t="inlineStr">
        <is>
          <t>внутр</t>
        </is>
      </c>
      <c r="R243" s="171" t="n"/>
      <c r="S243" s="171" t="n"/>
    </row>
    <row r="244" ht="18" customHeight="1">
      <c r="A244" s="45" t="inlineStr">
        <is>
          <t>работник 161</t>
        </is>
      </c>
      <c r="B244" s="178" t="inlineStr">
        <is>
          <t>Машинист подземно-доставочной машины | Машинист самоходной буровой установки | Машинист погрузочно-доставочной машины</t>
        </is>
      </c>
      <c r="C244" s="178" t="inlineStr"/>
      <c r="D244" s="179" t="n"/>
      <c r="E244" s="179" t="inlineStr">
        <is>
          <t>внутр</t>
        </is>
      </c>
      <c r="F244" s="179" t="n"/>
      <c r="G244" s="179" t="n"/>
      <c r="H244" s="179" t="n"/>
      <c r="I244" s="179" t="n"/>
      <c r="J244" s="179" t="n"/>
      <c r="K244" s="179" t="n"/>
      <c r="L244" s="179" t="n"/>
      <c r="M244" s="179" t="n"/>
      <c r="N244" s="179" t="n"/>
      <c r="O244" s="179" t="n"/>
      <c r="P244" s="179" t="inlineStr">
        <is>
          <t>внутр</t>
        </is>
      </c>
      <c r="Q244" s="179" t="inlineStr">
        <is>
          <t>внутр</t>
        </is>
      </c>
      <c r="R244" s="171" t="n"/>
      <c r="S244" s="171" t="n"/>
    </row>
    <row r="245" ht="18" customHeight="1">
      <c r="A245" s="45" t="inlineStr">
        <is>
          <t>работник 102</t>
        </is>
      </c>
      <c r="B245" s="178" t="inlineStr">
        <is>
          <t>Повар</t>
        </is>
      </c>
      <c r="C245" s="178" t="inlineStr"/>
      <c r="D245" s="179" t="n"/>
      <c r="E245" s="179" t="inlineStr">
        <is>
          <t>внутр</t>
        </is>
      </c>
      <c r="F245" s="179" t="n"/>
      <c r="G245" s="179" t="n"/>
      <c r="H245" s="179" t="n"/>
      <c r="I245" s="179" t="n"/>
      <c r="J245" s="179" t="n"/>
      <c r="K245" s="179" t="n"/>
      <c r="L245" s="179" t="n"/>
      <c r="M245" s="179" t="n"/>
      <c r="N245" s="179" t="n"/>
      <c r="O245" s="179" t="n"/>
      <c r="P245" s="179" t="inlineStr">
        <is>
          <t>внутр</t>
        </is>
      </c>
      <c r="Q245" s="179" t="inlineStr">
        <is>
          <t>внутр</t>
        </is>
      </c>
      <c r="R245" s="171" t="n"/>
      <c r="S245" s="171" t="n"/>
    </row>
    <row r="246" ht="18" customHeight="1">
      <c r="A246" s="45" t="inlineStr">
        <is>
          <t>работник 534</t>
        </is>
      </c>
      <c r="B246" s="178" t="inlineStr">
        <is>
          <t>Проходчик (с исполнением обязанностей взрывника)</t>
        </is>
      </c>
      <c r="C246" s="178" t="inlineStr"/>
      <c r="D246" s="179" t="n"/>
      <c r="E246" s="179" t="inlineStr">
        <is>
          <t>внутр</t>
        </is>
      </c>
      <c r="F246" s="179" t="n"/>
      <c r="G246" s="179" t="n"/>
      <c r="H246" s="179" t="n"/>
      <c r="I246" s="179" t="n"/>
      <c r="J246" s="179" t="n"/>
      <c r="K246" s="179" t="n"/>
      <c r="L246" s="179" t="n"/>
      <c r="M246" s="179" t="n"/>
      <c r="N246" s="179" t="n"/>
      <c r="O246" s="179" t="n"/>
      <c r="P246" s="179" t="inlineStr">
        <is>
          <t>внутр</t>
        </is>
      </c>
      <c r="Q246" s="179" t="inlineStr">
        <is>
          <t>внутр</t>
        </is>
      </c>
      <c r="R246" s="171" t="n"/>
      <c r="S246" s="171" t="n"/>
    </row>
    <row r="247" ht="18" customHeight="1">
      <c r="A247" s="45" t="inlineStr">
        <is>
          <t>работник 505</t>
        </is>
      </c>
      <c r="B247" s="178" t="inlineStr">
        <is>
          <t>Инженер-исследователь</t>
        </is>
      </c>
      <c r="C247" s="178" t="inlineStr"/>
      <c r="D247" s="179" t="n"/>
      <c r="E247" s="179" t="inlineStr">
        <is>
          <t>внутр</t>
        </is>
      </c>
      <c r="F247" s="179" t="n"/>
      <c r="G247" s="179" t="n"/>
      <c r="H247" s="179" t="n"/>
      <c r="I247" s="179" t="n"/>
      <c r="J247" s="179" t="n"/>
      <c r="K247" s="179" t="n"/>
      <c r="L247" s="179" t="n"/>
      <c r="M247" s="179" t="n"/>
      <c r="N247" s="179" t="n"/>
      <c r="O247" s="179" t="n"/>
      <c r="P247" s="179" t="n"/>
      <c r="Q247" s="179" t="n"/>
      <c r="R247" s="171" t="n"/>
      <c r="S247" s="171" t="n"/>
    </row>
    <row r="248" ht="18" customHeight="1">
      <c r="A248" s="45" t="inlineStr">
        <is>
          <t>работник 395</t>
        </is>
      </c>
      <c r="B248" s="178" t="inlineStr">
        <is>
          <t>Кухонный рабочий</t>
        </is>
      </c>
      <c r="C248" s="178" t="inlineStr"/>
      <c r="D248" s="179" t="n"/>
      <c r="E248" s="179" t="inlineStr">
        <is>
          <t>внутр</t>
        </is>
      </c>
      <c r="F248" s="179" t="n"/>
      <c r="G248" s="179" t="n"/>
      <c r="H248" s="179" t="n"/>
      <c r="I248" s="179" t="n"/>
      <c r="J248" s="179" t="n"/>
      <c r="K248" s="179" t="n"/>
      <c r="L248" s="179" t="n"/>
      <c r="M248" s="179" t="n"/>
      <c r="N248" s="179" t="n"/>
      <c r="O248" s="179" t="n"/>
      <c r="P248" s="179" t="inlineStr">
        <is>
          <t>внутр</t>
        </is>
      </c>
      <c r="Q248" s="179" t="inlineStr">
        <is>
          <t>внутр</t>
        </is>
      </c>
      <c r="R248" s="171" t="n"/>
      <c r="S248" s="171" t="n"/>
    </row>
    <row r="249" ht="18" customHeight="1">
      <c r="A249" s="45" t="inlineStr">
        <is>
          <t>работник 346</t>
        </is>
      </c>
      <c r="B249" s="178" t="inlineStr">
        <is>
          <t>Машинист  насосной установки</t>
        </is>
      </c>
      <c r="C249" s="178" t="inlineStr"/>
      <c r="D249" s="179" t="n"/>
      <c r="E249" s="179" t="inlineStr">
        <is>
          <t>внутр</t>
        </is>
      </c>
      <c r="F249" s="179" t="n"/>
      <c r="G249" s="179" t="n"/>
      <c r="H249" s="179" t="n"/>
      <c r="I249" s="179" t="n"/>
      <c r="J249" s="179" t="n"/>
      <c r="K249" s="179" t="n"/>
      <c r="L249" s="179" t="n"/>
      <c r="M249" s="179" t="n"/>
      <c r="N249" s="179" t="n"/>
      <c r="O249" s="179" t="n"/>
      <c r="P249" s="179" t="inlineStr">
        <is>
          <t>внутр</t>
        </is>
      </c>
      <c r="Q249" s="179" t="inlineStr">
        <is>
          <t>внутр</t>
        </is>
      </c>
      <c r="R249" s="171" t="n"/>
      <c r="S249" s="171" t="n"/>
    </row>
    <row r="250" ht="18" customHeight="1">
      <c r="A250" s="45" t="inlineStr">
        <is>
          <t>работник 270</t>
        </is>
      </c>
      <c r="B250" s="178" t="inlineStr">
        <is>
          <t>Водитель погрузчика</t>
        </is>
      </c>
      <c r="C250" s="178" t="inlineStr"/>
      <c r="D250" s="179" t="n"/>
      <c r="E250" s="179" t="inlineStr">
        <is>
          <t>внутр</t>
        </is>
      </c>
      <c r="F250" s="179" t="n"/>
      <c r="G250" s="179" t="n"/>
      <c r="H250" s="179" t="n"/>
      <c r="I250" s="179" t="n"/>
      <c r="J250" s="179" t="n"/>
      <c r="K250" s="179" t="n"/>
      <c r="L250" s="179" t="n"/>
      <c r="M250" s="179" t="n"/>
      <c r="N250" s="179" t="n"/>
      <c r="O250" s="179" t="n"/>
      <c r="P250" s="179" t="inlineStr">
        <is>
          <t>внутр</t>
        </is>
      </c>
      <c r="Q250" s="179" t="inlineStr">
        <is>
          <t>внутр</t>
        </is>
      </c>
      <c r="R250" s="171" t="n"/>
      <c r="S250" s="171" t="n"/>
    </row>
    <row r="251" ht="18" customHeight="1">
      <c r="A251" s="45" t="inlineStr">
        <is>
          <t>работник 26</t>
        </is>
      </c>
      <c r="B251" s="178" t="inlineStr">
        <is>
          <t>Электрогазосварщик | Электрогазосварщик (занятый на резке и ручной сварке)</t>
        </is>
      </c>
      <c r="C251" s="178" t="inlineStr"/>
      <c r="D251" s="179" t="n"/>
      <c r="E251" s="179" t="inlineStr">
        <is>
          <t>внутр</t>
        </is>
      </c>
      <c r="F251" s="179" t="inlineStr">
        <is>
          <t>внутр</t>
        </is>
      </c>
      <c r="G251" s="179" t="inlineStr">
        <is>
          <t>внутр</t>
        </is>
      </c>
      <c r="H251" s="179" t="inlineStr">
        <is>
          <t>внутр</t>
        </is>
      </c>
      <c r="I251" s="179" t="inlineStr">
        <is>
          <t>внутр</t>
        </is>
      </c>
      <c r="J251" s="179" t="inlineStr">
        <is>
          <t>внутр</t>
        </is>
      </c>
      <c r="K251" s="179" t="inlineStr">
        <is>
          <t>внутр</t>
        </is>
      </c>
      <c r="L251" s="179" t="n"/>
      <c r="M251" s="179" t="n"/>
      <c r="N251" s="179" t="n"/>
      <c r="O251" s="179" t="n"/>
      <c r="P251" s="179" t="inlineStr">
        <is>
          <t>внутр</t>
        </is>
      </c>
      <c r="Q251" s="179" t="inlineStr">
        <is>
          <t>внутр</t>
        </is>
      </c>
      <c r="R251" s="171" t="n"/>
      <c r="S251" s="171" t="n"/>
    </row>
    <row r="252" ht="18" customHeight="1">
      <c r="A252" s="45" t="inlineStr">
        <is>
          <t>работник 472</t>
        </is>
      </c>
      <c r="B252" s="178" t="inlineStr">
        <is>
          <t>Контролер (золото-приемной кассы)</t>
        </is>
      </c>
      <c r="C252" s="178" t="inlineStr"/>
      <c r="D252" s="179" t="n"/>
      <c r="E252" s="179" t="inlineStr">
        <is>
          <t>внутр</t>
        </is>
      </c>
      <c r="F252" s="179" t="n"/>
      <c r="G252" s="179" t="n"/>
      <c r="H252" s="179" t="n"/>
      <c r="I252" s="179" t="n"/>
      <c r="J252" s="179" t="n"/>
      <c r="K252" s="179" t="n"/>
      <c r="L252" s="179" t="n"/>
      <c r="M252" s="179" t="n"/>
      <c r="N252" s="179" t="n"/>
      <c r="O252" s="179" t="n"/>
      <c r="P252" s="179" t="n"/>
      <c r="Q252" s="179" t="inlineStr">
        <is>
          <t>внутр</t>
        </is>
      </c>
      <c r="R252" s="171" t="n"/>
      <c r="S252" s="171" t="n"/>
    </row>
    <row r="253" ht="18" customHeight="1">
      <c r="A253" s="45" t="inlineStr">
        <is>
          <t>работник 455</t>
        </is>
      </c>
      <c r="B253" s="178" t="inlineStr">
        <is>
          <t>Дробильщик | Фильтровальщик</t>
        </is>
      </c>
      <c r="C253" s="178" t="inlineStr"/>
      <c r="D253" s="179" t="n"/>
      <c r="E253" s="179" t="inlineStr">
        <is>
          <t>внутр</t>
        </is>
      </c>
      <c r="F253" s="179" t="n"/>
      <c r="G253" s="179" t="n"/>
      <c r="H253" s="179" t="n"/>
      <c r="I253" s="179" t="n"/>
      <c r="J253" s="179" t="n"/>
      <c r="K253" s="179" t="n"/>
      <c r="L253" s="179" t="n"/>
      <c r="M253" s="179" t="n"/>
      <c r="N253" s="179" t="n"/>
      <c r="O253" s="179" t="n"/>
      <c r="P253" s="179" t="n"/>
      <c r="Q253" s="179" t="inlineStr">
        <is>
          <t>внутр</t>
        </is>
      </c>
      <c r="R253" s="171" t="n"/>
      <c r="S253" s="171" t="n"/>
    </row>
    <row r="254" ht="18" customHeight="1">
      <c r="A254" s="45" t="inlineStr">
        <is>
          <t>работник 140</t>
        </is>
      </c>
      <c r="B254" s="178" t="inlineStr">
        <is>
          <t>Машинист (кочегар) котельной</t>
        </is>
      </c>
      <c r="C254" s="178" t="inlineStr"/>
      <c r="D254" s="179" t="n"/>
      <c r="E254" s="179" t="inlineStr">
        <is>
          <t>внутр</t>
        </is>
      </c>
      <c r="F254" s="179" t="n"/>
      <c r="G254" s="179" t="n"/>
      <c r="H254" s="179" t="n"/>
      <c r="I254" s="179" t="n"/>
      <c r="J254" s="179" t="n"/>
      <c r="K254" s="179" t="n"/>
      <c r="L254" s="179" t="n"/>
      <c r="M254" s="179" t="n"/>
      <c r="N254" s="179" t="n"/>
      <c r="O254" s="179" t="n"/>
      <c r="P254" s="179" t="inlineStr">
        <is>
          <t>внутр</t>
        </is>
      </c>
      <c r="Q254" s="179" t="inlineStr">
        <is>
          <t>внутр</t>
        </is>
      </c>
      <c r="R254" s="171" t="n"/>
      <c r="S254" s="171" t="n"/>
    </row>
    <row r="255" ht="18" customHeight="1">
      <c r="A255" s="45" t="inlineStr">
        <is>
          <t>работник 271</t>
        </is>
      </c>
      <c r="B255" s="178" t="inlineStr">
        <is>
          <t>Машинист бульдозера</t>
        </is>
      </c>
      <c r="C255" s="178" t="inlineStr"/>
      <c r="D255" s="179" t="n"/>
      <c r="E255" s="179" t="inlineStr">
        <is>
          <t>внутр</t>
        </is>
      </c>
      <c r="F255" s="179" t="n"/>
      <c r="G255" s="179" t="n"/>
      <c r="H255" s="179" t="n"/>
      <c r="I255" s="179" t="n"/>
      <c r="J255" s="179" t="n"/>
      <c r="K255" s="179" t="n"/>
      <c r="L255" s="179" t="n"/>
      <c r="M255" s="179" t="n"/>
      <c r="N255" s="179" t="n"/>
      <c r="O255" s="179" t="n"/>
      <c r="P255" s="179" t="inlineStr">
        <is>
          <t>внутр</t>
        </is>
      </c>
      <c r="Q255" s="179" t="inlineStr">
        <is>
          <t>внутр</t>
        </is>
      </c>
      <c r="R255" s="171" t="n"/>
      <c r="S255" s="171" t="n"/>
    </row>
    <row r="256" ht="18" customHeight="1">
      <c r="A256" s="45" t="inlineStr">
        <is>
          <t>работник 340</t>
        </is>
      </c>
      <c r="B256" s="178" t="inlineStr">
        <is>
          <t>Фильтровальщик | Аппаратчик сгустителей</t>
        </is>
      </c>
      <c r="C256" s="178" t="inlineStr"/>
      <c r="D256" s="179" t="n"/>
      <c r="E256" s="179" t="inlineStr">
        <is>
          <t>внутр</t>
        </is>
      </c>
      <c r="F256" s="179" t="inlineStr">
        <is>
          <t>внутр</t>
        </is>
      </c>
      <c r="G256" s="179" t="n"/>
      <c r="H256" s="179" t="inlineStr">
        <is>
          <t>внутр</t>
        </is>
      </c>
      <c r="I256" s="179" t="n"/>
      <c r="J256" s="179" t="n"/>
      <c r="K256" s="179" t="n"/>
      <c r="L256" s="179" t="n"/>
      <c r="M256" s="179" t="n"/>
      <c r="N256" s="179" t="n"/>
      <c r="O256" s="179" t="n"/>
      <c r="P256" s="179" t="inlineStr">
        <is>
          <t>внутр</t>
        </is>
      </c>
      <c r="Q256" s="179" t="inlineStr">
        <is>
          <t>внутр</t>
        </is>
      </c>
      <c r="R256" s="171" t="n"/>
      <c r="S256" s="171" t="n"/>
    </row>
    <row r="257" ht="18" customHeight="1">
      <c r="A257" s="45" t="inlineStr">
        <is>
          <t>работник 8</t>
        </is>
      </c>
      <c r="B257" s="178" t="inlineStr">
        <is>
          <t>Начальник золотоизвлекательной фабрики</t>
        </is>
      </c>
      <c r="C257" s="178" t="inlineStr">
        <is>
          <t>Руководитель</t>
        </is>
      </c>
      <c r="D257" s="179" t="inlineStr">
        <is>
          <t>внеш</t>
        </is>
      </c>
      <c r="E257" s="179" t="inlineStr">
        <is>
          <t>внеш</t>
        </is>
      </c>
      <c r="F257" s="179" t="n"/>
      <c r="G257" s="179" t="n"/>
      <c r="H257" s="179" t="n"/>
      <c r="I257" s="179" t="n"/>
      <c r="J257" s="179" t="n"/>
      <c r="K257" s="179" t="n"/>
      <c r="L257" s="179" t="n"/>
      <c r="M257" s="179" t="n"/>
      <c r="N257" s="179" t="n"/>
      <c r="O257" s="179" t="n"/>
      <c r="P257" s="181" t="inlineStr">
        <is>
          <t>внеш</t>
        </is>
      </c>
      <c r="Q257" s="181" t="inlineStr">
        <is>
          <t>внеш</t>
        </is>
      </c>
      <c r="R257" s="171" t="n"/>
      <c r="S257" s="171" t="n">
        <v>2</v>
      </c>
    </row>
    <row r="258" ht="18" customHeight="1">
      <c r="A258" s="45" t="inlineStr">
        <is>
          <t>работник 115</t>
        </is>
      </c>
      <c r="B258" s="178" t="inlineStr">
        <is>
          <t>Пробоотборщик</t>
        </is>
      </c>
      <c r="C258" s="178" t="inlineStr"/>
      <c r="D258" s="179" t="n"/>
      <c r="E258" s="179" t="inlineStr">
        <is>
          <t>внутр</t>
        </is>
      </c>
      <c r="F258" s="179" t="n"/>
      <c r="G258" s="179" t="n"/>
      <c r="H258" s="179" t="n"/>
      <c r="I258" s="179" t="n"/>
      <c r="J258" s="179" t="n"/>
      <c r="K258" s="179" t="n"/>
      <c r="L258" s="179" t="n"/>
      <c r="M258" s="179" t="n"/>
      <c r="N258" s="179" t="n"/>
      <c r="O258" s="179" t="n"/>
      <c r="P258" s="179" t="inlineStr">
        <is>
          <t>внутр</t>
        </is>
      </c>
      <c r="Q258" s="179" t="inlineStr">
        <is>
          <t>внутр</t>
        </is>
      </c>
      <c r="R258" s="171" t="n"/>
      <c r="S258" s="171" t="n"/>
    </row>
    <row r="259" ht="18" customHeight="1">
      <c r="A259" s="45" t="inlineStr">
        <is>
          <t>работник 542</t>
        </is>
      </c>
      <c r="B259" s="178" t="inlineStr">
        <is>
          <t>Пробоотборщик</t>
        </is>
      </c>
      <c r="C259" s="178" t="inlineStr"/>
      <c r="D259" s="179" t="n"/>
      <c r="E259" s="179" t="inlineStr">
        <is>
          <t>внутр</t>
        </is>
      </c>
      <c r="F259" s="179" t="n"/>
      <c r="G259" s="179" t="n"/>
      <c r="H259" s="179" t="n"/>
      <c r="I259" s="179" t="n"/>
      <c r="J259" s="179" t="n"/>
      <c r="K259" s="179" t="n"/>
      <c r="L259" s="179" t="n"/>
      <c r="M259" s="179" t="n"/>
      <c r="N259" s="179" t="n"/>
      <c r="O259" s="179" t="n"/>
      <c r="P259" s="179" t="n"/>
      <c r="Q259" s="179" t="inlineStr">
        <is>
          <t>внутр</t>
        </is>
      </c>
      <c r="R259" s="171" t="n"/>
      <c r="S259" s="171" t="n"/>
    </row>
    <row r="260" ht="18" customHeight="1">
      <c r="A260" s="45" t="inlineStr">
        <is>
          <t>работник 675</t>
        </is>
      </c>
      <c r="B260" s="178" t="inlineStr">
        <is>
          <t>Аппаратчик-гидрометаллург</t>
        </is>
      </c>
      <c r="C260" s="178" t="inlineStr"/>
      <c r="D260" s="179" t="n"/>
      <c r="E260" s="179" t="inlineStr">
        <is>
          <t>внутр</t>
        </is>
      </c>
      <c r="F260" s="179" t="n"/>
      <c r="G260" s="179" t="n"/>
      <c r="H260" s="179" t="n"/>
      <c r="I260" s="179" t="n"/>
      <c r="J260" s="179" t="n"/>
      <c r="K260" s="179" t="n"/>
      <c r="L260" s="179" t="n"/>
      <c r="M260" s="179" t="n"/>
      <c r="N260" s="179" t="n"/>
      <c r="O260" s="179" t="n"/>
      <c r="P260" s="179" t="n"/>
      <c r="Q260" s="179" t="inlineStr">
        <is>
          <t>внутр</t>
        </is>
      </c>
      <c r="R260" s="171" t="n"/>
      <c r="S260" s="171" t="n"/>
    </row>
    <row r="261" ht="18" customHeight="1">
      <c r="A261" s="45" t="inlineStr">
        <is>
          <t>работник 879</t>
        </is>
      </c>
      <c r="B261" s="178" t="inlineStr">
        <is>
          <t>Крепильщик</t>
        </is>
      </c>
      <c r="C261" s="178" t="inlineStr"/>
      <c r="D261" s="179" t="n"/>
      <c r="E261" s="179" t="inlineStr">
        <is>
          <t>внутр</t>
        </is>
      </c>
      <c r="F261" s="179" t="n"/>
      <c r="G261" s="179" t="n"/>
      <c r="H261" s="179" t="n"/>
      <c r="I261" s="179" t="n"/>
      <c r="J261" s="179" t="n"/>
      <c r="K261" s="179" t="n"/>
      <c r="L261" s="179" t="n"/>
      <c r="M261" s="179" t="n"/>
      <c r="N261" s="179" t="n"/>
      <c r="O261" s="179" t="n"/>
      <c r="P261" s="179" t="inlineStr">
        <is>
          <t>внутр</t>
        </is>
      </c>
      <c r="Q261" s="179" t="inlineStr">
        <is>
          <t>внутр</t>
        </is>
      </c>
      <c r="R261" s="171" t="n"/>
      <c r="S261" s="171" t="n"/>
    </row>
    <row r="262" ht="18" customHeight="1">
      <c r="A262" s="45" t="inlineStr">
        <is>
          <t>работник 313</t>
        </is>
      </c>
      <c r="B262" s="178" t="inlineStr">
        <is>
          <t>Электрослесарь (слесарь) дежурный и по ремонту оборудования подземного горного участка</t>
        </is>
      </c>
      <c r="C262" s="178" t="inlineStr"/>
      <c r="D262" s="179" t="n"/>
      <c r="E262" s="179" t="inlineStr">
        <is>
          <t>внутр</t>
        </is>
      </c>
      <c r="F262" s="179" t="n"/>
      <c r="G262" s="179" t="n"/>
      <c r="H262" s="179" t="n"/>
      <c r="I262" s="179" t="n"/>
      <c r="J262" s="179" t="n"/>
      <c r="K262" s="179" t="n"/>
      <c r="L262" s="179" t="n"/>
      <c r="M262" s="179" t="n"/>
      <c r="N262" s="179" t="n"/>
      <c r="O262" s="179" t="n"/>
      <c r="P262" s="179" t="inlineStr">
        <is>
          <t>внутр</t>
        </is>
      </c>
      <c r="Q262" s="179" t="inlineStr">
        <is>
          <t>внутр</t>
        </is>
      </c>
      <c r="R262" s="171" t="n"/>
      <c r="S262" s="171" t="n"/>
    </row>
    <row r="263" ht="18" customHeight="1">
      <c r="A263" s="45" t="inlineStr">
        <is>
          <t>работник 582</t>
        </is>
      </c>
      <c r="B263" s="178" t="inlineStr">
        <is>
          <t>Бункеровщик</t>
        </is>
      </c>
      <c r="C263" s="178" t="inlineStr"/>
      <c r="D263" s="179" t="n"/>
      <c r="E263" s="179" t="inlineStr">
        <is>
          <t>внутр</t>
        </is>
      </c>
      <c r="F263" s="179" t="n"/>
      <c r="G263" s="179" t="n"/>
      <c r="H263" s="179" t="n"/>
      <c r="I263" s="179" t="n"/>
      <c r="J263" s="179" t="n"/>
      <c r="K263" s="179" t="n"/>
      <c r="L263" s="179" t="n"/>
      <c r="M263" s="179" t="n"/>
      <c r="N263" s="179" t="n"/>
      <c r="O263" s="179" t="n"/>
      <c r="P263" s="179" t="n"/>
      <c r="Q263" s="179" t="inlineStr">
        <is>
          <t>внутр</t>
        </is>
      </c>
      <c r="R263" s="171" t="n"/>
      <c r="S263" s="171" t="n"/>
    </row>
    <row r="264" ht="18" customHeight="1">
      <c r="A264" s="45" t="inlineStr">
        <is>
          <t>работник 897</t>
        </is>
      </c>
      <c r="B264" s="178" t="inlineStr">
        <is>
          <t>машинист автогрейдера</t>
        </is>
      </c>
      <c r="C264" s="178" t="inlineStr"/>
      <c r="D264" s="179" t="n"/>
      <c r="E264" s="179" t="inlineStr">
        <is>
          <t>внутр</t>
        </is>
      </c>
      <c r="F264" s="179" t="n"/>
      <c r="G264" s="179" t="n"/>
      <c r="H264" s="179" t="n"/>
      <c r="I264" s="179" t="n"/>
      <c r="J264" s="179" t="n"/>
      <c r="K264" s="179" t="n"/>
      <c r="L264" s="179" t="n"/>
      <c r="M264" s="179" t="n"/>
      <c r="N264" s="179" t="n"/>
      <c r="O264" s="179" t="n"/>
      <c r="P264" s="179" t="n"/>
      <c r="Q264" s="179" t="inlineStr">
        <is>
          <t>внутр</t>
        </is>
      </c>
      <c r="R264" s="171" t="n"/>
      <c r="S264" s="171" t="n"/>
    </row>
    <row r="265" ht="18" customHeight="1">
      <c r="A265" s="45" t="inlineStr">
        <is>
          <t>работник 694</t>
        </is>
      </c>
      <c r="B265" s="178" t="inlineStr">
        <is>
          <t>Руководитель строительства группы объектов</t>
        </is>
      </c>
      <c r="C265" s="178" t="inlineStr">
        <is>
          <t>Руководитель</t>
        </is>
      </c>
      <c r="D265" s="179" t="n"/>
      <c r="E265" s="180" t="inlineStr">
        <is>
          <t>внутр</t>
        </is>
      </c>
      <c r="F265" s="179" t="n"/>
      <c r="G265" s="179" t="n"/>
      <c r="H265" s="179" t="n"/>
      <c r="I265" s="179" t="n"/>
      <c r="J265" s="179" t="n"/>
      <c r="K265" s="179" t="n"/>
      <c r="L265" s="179" t="n"/>
      <c r="M265" s="179" t="n"/>
      <c r="N265" s="179" t="n"/>
      <c r="O265" s="179" t="n"/>
      <c r="P265" s="179" t="n"/>
      <c r="Q265" s="179" t="inlineStr">
        <is>
          <t>внутр</t>
        </is>
      </c>
      <c r="R265" s="171" t="n">
        <v>1</v>
      </c>
      <c r="S265" s="171" t="n"/>
    </row>
    <row r="266" ht="18" customHeight="1">
      <c r="A266" s="45" t="inlineStr">
        <is>
          <t>работник 646</t>
        </is>
      </c>
      <c r="B266" s="178" t="inlineStr">
        <is>
          <t>Растворщик реагентов</t>
        </is>
      </c>
      <c r="C266" s="178" t="inlineStr"/>
      <c r="D266" s="179" t="n"/>
      <c r="E266" s="179" t="inlineStr">
        <is>
          <t>внутр</t>
        </is>
      </c>
      <c r="F266" s="179" t="inlineStr">
        <is>
          <t>внутр</t>
        </is>
      </c>
      <c r="G266" s="179" t="n"/>
      <c r="H266" s="179" t="inlineStr">
        <is>
          <t>внутр</t>
        </is>
      </c>
      <c r="I266" s="179" t="n"/>
      <c r="J266" s="179" t="n"/>
      <c r="K266" s="179" t="n"/>
      <c r="L266" s="179" t="n"/>
      <c r="M266" s="179" t="n"/>
      <c r="N266" s="179" t="n"/>
      <c r="O266" s="179" t="n"/>
      <c r="P266" s="179" t="n"/>
      <c r="Q266" s="179" t="inlineStr">
        <is>
          <t>внутр</t>
        </is>
      </c>
      <c r="R266" s="171" t="n"/>
      <c r="S266" s="171" t="n"/>
    </row>
    <row r="267" ht="18" customHeight="1">
      <c r="A267" s="45" t="inlineStr">
        <is>
          <t>работник 713</t>
        </is>
      </c>
      <c r="B267" s="178" t="inlineStr">
        <is>
          <t>Слесарь-электрик по ремонту электрооборудования</t>
        </is>
      </c>
      <c r="C267" s="178" t="inlineStr"/>
      <c r="D267" s="179" t="n"/>
      <c r="E267" s="179" t="inlineStr">
        <is>
          <t>внутр</t>
        </is>
      </c>
      <c r="F267" s="179" t="n"/>
      <c r="G267" s="179" t="n"/>
      <c r="H267" s="179" t="n"/>
      <c r="I267" s="179" t="n"/>
      <c r="J267" s="179" t="n"/>
      <c r="K267" s="179" t="n"/>
      <c r="L267" s="179" t="n"/>
      <c r="M267" s="179" t="n"/>
      <c r="N267" s="179" t="n"/>
      <c r="O267" s="179" t="n"/>
      <c r="P267" s="179" t="n"/>
      <c r="Q267" s="179" t="inlineStr">
        <is>
          <t>внутр</t>
        </is>
      </c>
      <c r="R267" s="171" t="n"/>
      <c r="S267" s="171" t="n"/>
    </row>
    <row r="268" ht="18" customHeight="1">
      <c r="A268" s="45" t="inlineStr">
        <is>
          <t>работник 68</t>
        </is>
      </c>
      <c r="B268" s="178" t="inlineStr">
        <is>
          <t>Подсобный рабочий | Стропальщик (с исполнением обязанностей грузчика)</t>
        </is>
      </c>
      <c r="C268" s="178" t="inlineStr"/>
      <c r="D268" s="179" t="n"/>
      <c r="E268" s="179" t="inlineStr">
        <is>
          <t>внутр</t>
        </is>
      </c>
      <c r="F268" s="179" t="n"/>
      <c r="G268" s="179" t="n"/>
      <c r="H268" s="179" t="n"/>
      <c r="I268" s="179" t="n"/>
      <c r="J268" s="179" t="n"/>
      <c r="K268" s="179" t="n"/>
      <c r="L268" s="179" t="n"/>
      <c r="M268" s="179" t="n"/>
      <c r="N268" s="179" t="n"/>
      <c r="O268" s="179" t="n"/>
      <c r="P268" s="179" t="inlineStr">
        <is>
          <t>внутр</t>
        </is>
      </c>
      <c r="Q268" s="179" t="inlineStr">
        <is>
          <t>внутр</t>
        </is>
      </c>
      <c r="R268" s="171" t="n"/>
      <c r="S268" s="171" t="n"/>
    </row>
    <row r="269" ht="18" customHeight="1">
      <c r="A269" s="45" t="inlineStr">
        <is>
          <t>работник 272</t>
        </is>
      </c>
      <c r="B269" s="178" t="inlineStr">
        <is>
          <t>Водитель погрузчика | Водитель автомобиля (занятый на транспортировании горной массы в технологическом процессе)</t>
        </is>
      </c>
      <c r="C269" s="178" t="inlineStr"/>
      <c r="D269" s="179" t="n"/>
      <c r="E269" s="179" t="inlineStr">
        <is>
          <t>внутр</t>
        </is>
      </c>
      <c r="F269" s="179" t="n"/>
      <c r="G269" s="179" t="n"/>
      <c r="H269" s="179" t="n"/>
      <c r="I269" s="179" t="n"/>
      <c r="J269" s="179" t="n"/>
      <c r="K269" s="179" t="n"/>
      <c r="L269" s="179" t="n"/>
      <c r="M269" s="179" t="n"/>
      <c r="N269" s="179" t="n"/>
      <c r="O269" s="179" t="n"/>
      <c r="P269" s="179" t="inlineStr">
        <is>
          <t>внутр</t>
        </is>
      </c>
      <c r="Q269" s="179" t="inlineStr">
        <is>
          <t>внутр</t>
        </is>
      </c>
      <c r="R269" s="171" t="n"/>
      <c r="S269" s="171" t="n"/>
    </row>
    <row r="270" ht="18" customHeight="1">
      <c r="A270" s="45" t="inlineStr">
        <is>
          <t>работник 162</t>
        </is>
      </c>
      <c r="B270" s="178" t="inlineStr">
        <is>
          <t>Проходчик (с исполнением обязанностей взрывника)</t>
        </is>
      </c>
      <c r="C270" s="178" t="inlineStr"/>
      <c r="D270" s="179" t="n"/>
      <c r="E270" s="179" t="inlineStr">
        <is>
          <t>внутр</t>
        </is>
      </c>
      <c r="F270" s="179" t="n"/>
      <c r="G270" s="179" t="n"/>
      <c r="H270" s="179" t="n"/>
      <c r="I270" s="179" t="n"/>
      <c r="J270" s="179" t="n"/>
      <c r="K270" s="179" t="n"/>
      <c r="L270" s="179" t="n"/>
      <c r="M270" s="179" t="n"/>
      <c r="N270" s="179" t="n"/>
      <c r="O270" s="179" t="n"/>
      <c r="P270" s="179" t="inlineStr">
        <is>
          <t>внутр</t>
        </is>
      </c>
      <c r="Q270" s="179" t="inlineStr">
        <is>
          <t>внутр</t>
        </is>
      </c>
      <c r="R270" s="171" t="n"/>
      <c r="S270" s="171" t="n"/>
    </row>
    <row r="271" ht="18" customHeight="1">
      <c r="A271" s="45" t="inlineStr">
        <is>
          <t>работник 919</t>
        </is>
      </c>
      <c r="B271" s="178" t="inlineStr">
        <is>
          <t>Стропальщик</t>
        </is>
      </c>
      <c r="C271" s="178" t="inlineStr"/>
      <c r="D271" s="179" t="n"/>
      <c r="E271" s="179" t="inlineStr">
        <is>
          <t>внутр</t>
        </is>
      </c>
      <c r="F271" s="179" t="n"/>
      <c r="G271" s="179" t="n"/>
      <c r="H271" s="179" t="n"/>
      <c r="I271" s="179" t="n"/>
      <c r="J271" s="179" t="n"/>
      <c r="K271" s="179" t="n"/>
      <c r="L271" s="179" t="n"/>
      <c r="M271" s="179" t="n"/>
      <c r="N271" s="179" t="n"/>
      <c r="O271" s="179" t="n"/>
      <c r="P271" s="179" t="inlineStr">
        <is>
          <t>внутр</t>
        </is>
      </c>
      <c r="Q271" s="179" t="inlineStr">
        <is>
          <t>внутр</t>
        </is>
      </c>
      <c r="R271" s="171" t="n"/>
      <c r="S271" s="171" t="n"/>
    </row>
    <row r="272" ht="18" customHeight="1">
      <c r="A272" s="45" t="inlineStr">
        <is>
          <t>работник 182</t>
        </is>
      </c>
      <c r="B272" s="178" t="inlineStr">
        <is>
          <t>Ламповщик</t>
        </is>
      </c>
      <c r="C272" s="178" t="inlineStr"/>
      <c r="D272" s="179" t="n"/>
      <c r="E272" s="179" t="inlineStr">
        <is>
          <t>внутр</t>
        </is>
      </c>
      <c r="F272" s="179" t="n"/>
      <c r="G272" s="179" t="n"/>
      <c r="H272" s="179" t="n"/>
      <c r="I272" s="179" t="n"/>
      <c r="J272" s="179" t="n"/>
      <c r="K272" s="179" t="n"/>
      <c r="L272" s="179" t="n"/>
      <c r="M272" s="179" t="n"/>
      <c r="N272" s="179" t="n"/>
      <c r="O272" s="179" t="n"/>
      <c r="P272" s="179" t="inlineStr">
        <is>
          <t>внутр</t>
        </is>
      </c>
      <c r="Q272" s="179" t="inlineStr">
        <is>
          <t>внутр</t>
        </is>
      </c>
      <c r="R272" s="171" t="n"/>
      <c r="S272" s="171" t="n"/>
    </row>
    <row r="273" ht="18" customHeight="1">
      <c r="A273" s="45" t="inlineStr">
        <is>
          <t>работник 349</t>
        </is>
      </c>
      <c r="B273" s="178" t="inlineStr">
        <is>
          <t>Крепильщик</t>
        </is>
      </c>
      <c r="C273" s="178" t="inlineStr"/>
      <c r="D273" s="179" t="n"/>
      <c r="E273" s="179" t="inlineStr">
        <is>
          <t>внутр</t>
        </is>
      </c>
      <c r="F273" s="179" t="n"/>
      <c r="G273" s="179" t="n"/>
      <c r="H273" s="179" t="n"/>
      <c r="I273" s="179" t="n"/>
      <c r="J273" s="179" t="n"/>
      <c r="K273" s="179" t="n"/>
      <c r="L273" s="179" t="n"/>
      <c r="M273" s="179" t="n"/>
      <c r="N273" s="179" t="n"/>
      <c r="O273" s="179" t="n"/>
      <c r="P273" s="179" t="inlineStr">
        <is>
          <t>внутр</t>
        </is>
      </c>
      <c r="Q273" s="179" t="inlineStr">
        <is>
          <t>внутр</t>
        </is>
      </c>
      <c r="R273" s="171" t="n"/>
      <c r="S273" s="171" t="n"/>
    </row>
    <row r="274" ht="18" customHeight="1">
      <c r="A274" s="45" t="inlineStr">
        <is>
          <t>работник 218</t>
        </is>
      </c>
      <c r="B274" s="178" t="inlineStr">
        <is>
          <t>Водитель автомобиля(занятый на траспортировании горной массы в технологическом процессе)</t>
        </is>
      </c>
      <c r="C274" s="178" t="inlineStr"/>
      <c r="D274" s="179" t="n"/>
      <c r="E274" s="179" t="inlineStr">
        <is>
          <t>внутр</t>
        </is>
      </c>
      <c r="F274" s="179" t="n"/>
      <c r="G274" s="179" t="n"/>
      <c r="H274" s="179" t="n"/>
      <c r="I274" s="179" t="n"/>
      <c r="J274" s="179" t="n"/>
      <c r="K274" s="179" t="n"/>
      <c r="L274" s="179" t="n"/>
      <c r="M274" s="179" t="n"/>
      <c r="N274" s="179" t="n"/>
      <c r="O274" s="179" t="n"/>
      <c r="P274" s="179" t="inlineStr">
        <is>
          <t>внутр</t>
        </is>
      </c>
      <c r="Q274" s="179" t="inlineStr">
        <is>
          <t>внутр</t>
        </is>
      </c>
      <c r="R274" s="171" t="n"/>
      <c r="S274" s="171" t="n"/>
    </row>
    <row r="275" ht="18" customHeight="1">
      <c r="A275" s="45" t="inlineStr">
        <is>
          <t>работник 715</t>
        </is>
      </c>
      <c r="B275" s="178" t="inlineStr">
        <is>
          <t>Промывальщик геологических проб</t>
        </is>
      </c>
      <c r="C275" s="178" t="inlineStr"/>
      <c r="D275" s="179" t="n"/>
      <c r="E275" s="179" t="inlineStr">
        <is>
          <t>внутр</t>
        </is>
      </c>
      <c r="F275" s="179" t="n"/>
      <c r="G275" s="179" t="n"/>
      <c r="H275" s="179" t="n"/>
      <c r="I275" s="179" t="n"/>
      <c r="J275" s="179" t="n"/>
      <c r="K275" s="179" t="n"/>
      <c r="L275" s="179" t="n"/>
      <c r="M275" s="179" t="n"/>
      <c r="N275" s="179" t="n"/>
      <c r="O275" s="179" t="n"/>
      <c r="P275" s="179" t="n"/>
      <c r="Q275" s="179" t="inlineStr">
        <is>
          <t>внутр</t>
        </is>
      </c>
      <c r="R275" s="171" t="n"/>
      <c r="S275" s="171" t="n"/>
    </row>
    <row r="276" ht="18" customHeight="1">
      <c r="A276" s="45" t="inlineStr">
        <is>
          <t>работник 337</t>
        </is>
      </c>
      <c r="B276" s="178" t="inlineStr">
        <is>
          <t>Теплотехник</t>
        </is>
      </c>
      <c r="C276" s="178" t="inlineStr"/>
      <c r="D276" s="179" t="n"/>
      <c r="E276" s="179" t="inlineStr">
        <is>
          <t>внутр</t>
        </is>
      </c>
      <c r="F276" s="179" t="n"/>
      <c r="G276" s="179" t="n"/>
      <c r="H276" s="179" t="n"/>
      <c r="I276" s="179" t="n"/>
      <c r="J276" s="179" t="n"/>
      <c r="K276" s="179" t="n"/>
      <c r="L276" s="179" t="n"/>
      <c r="M276" s="179" t="n"/>
      <c r="N276" s="179" t="n"/>
      <c r="O276" s="179" t="n"/>
      <c r="P276" s="179" t="inlineStr">
        <is>
          <t>внутр</t>
        </is>
      </c>
      <c r="Q276" s="179" t="inlineStr">
        <is>
          <t>внутр</t>
        </is>
      </c>
      <c r="R276" s="171" t="n"/>
      <c r="S276" s="171" t="n"/>
    </row>
    <row r="277" ht="18" customHeight="1">
      <c r="A277" s="45" t="inlineStr">
        <is>
          <t>работник 783</t>
        </is>
      </c>
      <c r="B277" s="178" t="inlineStr">
        <is>
          <t>Машинист автогрейдера</t>
        </is>
      </c>
      <c r="C277" s="178" t="inlineStr"/>
      <c r="D277" s="179" t="n"/>
      <c r="E277" s="179" t="inlineStr">
        <is>
          <t>внутр</t>
        </is>
      </c>
      <c r="F277" s="179" t="n"/>
      <c r="G277" s="179" t="n"/>
      <c r="H277" s="179" t="n"/>
      <c r="I277" s="179" t="n"/>
      <c r="J277" s="179" t="n"/>
      <c r="K277" s="179" t="n"/>
      <c r="L277" s="179" t="n"/>
      <c r="M277" s="179" t="n"/>
      <c r="N277" s="179" t="n"/>
      <c r="O277" s="179" t="n"/>
      <c r="P277" s="179" t="inlineStr">
        <is>
          <t>внутр</t>
        </is>
      </c>
      <c r="Q277" s="179" t="inlineStr">
        <is>
          <t>внутр</t>
        </is>
      </c>
      <c r="R277" s="171" t="n"/>
      <c r="S277" s="171" t="n"/>
    </row>
    <row r="278" ht="18" customHeight="1">
      <c r="A278" s="45" t="inlineStr">
        <is>
          <t>работник 439</t>
        </is>
      </c>
      <c r="B278" s="178" t="inlineStr">
        <is>
          <t>Машинист конвейера</t>
        </is>
      </c>
      <c r="C278" s="178" t="inlineStr"/>
      <c r="D278" s="179" t="n"/>
      <c r="E278" s="179" t="inlineStr">
        <is>
          <t>внутр</t>
        </is>
      </c>
      <c r="F278" s="179" t="n"/>
      <c r="G278" s="179" t="n"/>
      <c r="H278" s="179" t="n"/>
      <c r="I278" s="179" t="n"/>
      <c r="J278" s="179" t="n"/>
      <c r="K278" s="179" t="n"/>
      <c r="L278" s="179" t="n"/>
      <c r="M278" s="179" t="n"/>
      <c r="N278" s="179" t="n"/>
      <c r="O278" s="179" t="n"/>
      <c r="P278" s="179" t="inlineStr">
        <is>
          <t>внутр</t>
        </is>
      </c>
      <c r="Q278" s="179" t="inlineStr">
        <is>
          <t>внутр</t>
        </is>
      </c>
      <c r="R278" s="171" t="n"/>
      <c r="S278" s="171" t="n"/>
    </row>
    <row r="279" ht="18" customHeight="1">
      <c r="A279" s="45" t="inlineStr">
        <is>
          <t>работник 628</t>
        </is>
      </c>
      <c r="B279" s="178" t="inlineStr">
        <is>
          <t>Подсобный рабочий</t>
        </is>
      </c>
      <c r="C279" s="178" t="inlineStr"/>
      <c r="D279" s="179" t="n"/>
      <c r="E279" s="179" t="inlineStr">
        <is>
          <t>внутр</t>
        </is>
      </c>
      <c r="F279" s="179" t="n"/>
      <c r="G279" s="179" t="n"/>
      <c r="H279" s="179" t="n"/>
      <c r="I279" s="179" t="n"/>
      <c r="J279" s="179" t="n"/>
      <c r="K279" s="179" t="n"/>
      <c r="L279" s="179" t="n"/>
      <c r="M279" s="179" t="n"/>
      <c r="N279" s="179" t="n"/>
      <c r="O279" s="179" t="n"/>
      <c r="P279" s="179" t="n"/>
      <c r="Q279" s="179" t="inlineStr">
        <is>
          <t>внутр</t>
        </is>
      </c>
      <c r="R279" s="171" t="n"/>
      <c r="S279" s="171" t="n"/>
    </row>
    <row r="280" ht="18" customHeight="1">
      <c r="A280" s="45" t="inlineStr">
        <is>
          <t>работник 833</t>
        </is>
      </c>
      <c r="B280" s="178" t="inlineStr">
        <is>
          <t>Электромонтер по ремонту и обслуживанию электрооборудования</t>
        </is>
      </c>
      <c r="C280" s="178" t="inlineStr"/>
      <c r="D280" s="179" t="n"/>
      <c r="E280" s="179" t="inlineStr">
        <is>
          <t>внутр</t>
        </is>
      </c>
      <c r="F280" s="179" t="n"/>
      <c r="G280" s="179" t="n"/>
      <c r="H280" s="179" t="n"/>
      <c r="I280" s="179" t="n"/>
      <c r="J280" s="179" t="n"/>
      <c r="K280" s="179" t="n"/>
      <c r="L280" s="179" t="inlineStr">
        <is>
          <t>внутр</t>
        </is>
      </c>
      <c r="M280" s="179" t="n"/>
      <c r="N280" s="179" t="n"/>
      <c r="O280" s="179" t="n"/>
      <c r="P280" s="179" t="inlineStr">
        <is>
          <t>внутр</t>
        </is>
      </c>
      <c r="Q280" s="179" t="inlineStr">
        <is>
          <t>внутр</t>
        </is>
      </c>
      <c r="R280" s="171" t="n"/>
      <c r="S280" s="171" t="n"/>
    </row>
    <row r="281" ht="18" customHeight="1">
      <c r="A281" s="45" t="inlineStr">
        <is>
          <t>работник 314</t>
        </is>
      </c>
      <c r="B281" s="178" t="inlineStr">
        <is>
          <t>Помощник машиниста  самоходной буровой установки (с исполнением обязанностей пробоотборщика) (Очистное)</t>
        </is>
      </c>
      <c r="C281" s="178" t="inlineStr"/>
      <c r="D281" s="179" t="n"/>
      <c r="E281" s="179" t="inlineStr">
        <is>
          <t>внутр</t>
        </is>
      </c>
      <c r="F281" s="179" t="n"/>
      <c r="G281" s="179" t="n"/>
      <c r="H281" s="179" t="n"/>
      <c r="I281" s="179" t="n"/>
      <c r="J281" s="179" t="n"/>
      <c r="K281" s="179" t="n"/>
      <c r="L281" s="179" t="n"/>
      <c r="M281" s="179" t="n"/>
      <c r="N281" s="179" t="n"/>
      <c r="O281" s="179" t="n"/>
      <c r="P281" s="179" t="inlineStr">
        <is>
          <t>внутр</t>
        </is>
      </c>
      <c r="Q281" s="179" t="inlineStr">
        <is>
          <t>внутр</t>
        </is>
      </c>
      <c r="R281" s="171" t="n"/>
      <c r="S281" s="171" t="n"/>
    </row>
    <row r="282" ht="18" customHeight="1">
      <c r="A282" s="45" t="inlineStr">
        <is>
          <t>работник 342</t>
        </is>
      </c>
      <c r="B282" s="178" t="inlineStr">
        <is>
          <t>Бункеровщик | Машинист мельниц</t>
        </is>
      </c>
      <c r="C282" s="178" t="inlineStr"/>
      <c r="D282" s="179" t="n"/>
      <c r="E282" s="179" t="inlineStr">
        <is>
          <t>внутр</t>
        </is>
      </c>
      <c r="F282" s="179" t="n"/>
      <c r="G282" s="179" t="n"/>
      <c r="H282" s="179" t="n"/>
      <c r="I282" s="179" t="n"/>
      <c r="J282" s="179" t="n"/>
      <c r="K282" s="179" t="n"/>
      <c r="L282" s="179" t="n"/>
      <c r="M282" s="179" t="n"/>
      <c r="N282" s="179" t="n"/>
      <c r="O282" s="179" t="n"/>
      <c r="P282" s="179" t="inlineStr">
        <is>
          <t>внутр</t>
        </is>
      </c>
      <c r="Q282" s="179" t="inlineStr">
        <is>
          <t>внутр</t>
        </is>
      </c>
      <c r="R282" s="171" t="n"/>
      <c r="S282" s="171" t="n"/>
    </row>
    <row r="283" ht="18" customHeight="1">
      <c r="A283" s="45" t="inlineStr">
        <is>
          <t>работник 605</t>
        </is>
      </c>
      <c r="B283" s="178" t="inlineStr">
        <is>
          <t>Раздатчик взрывчатых материалов</t>
        </is>
      </c>
      <c r="C283" s="178" t="inlineStr"/>
      <c r="D283" s="179" t="n"/>
      <c r="E283" s="179" t="inlineStr">
        <is>
          <t>внутр</t>
        </is>
      </c>
      <c r="F283" s="179" t="n"/>
      <c r="G283" s="179" t="n"/>
      <c r="H283" s="179" t="n"/>
      <c r="I283" s="179" t="n"/>
      <c r="J283" s="179" t="n"/>
      <c r="K283" s="179" t="n"/>
      <c r="L283" s="179" t="n"/>
      <c r="M283" s="179" t="n"/>
      <c r="N283" s="179" t="n"/>
      <c r="O283" s="179" t="n"/>
      <c r="P283" s="179" t="n"/>
      <c r="Q283" s="179" t="inlineStr">
        <is>
          <t>внутр</t>
        </is>
      </c>
      <c r="R283" s="171" t="n"/>
      <c r="S283" s="171" t="n"/>
    </row>
    <row r="284" ht="18" customHeight="1">
      <c r="A284" s="45" t="inlineStr">
        <is>
          <t>работник 163</t>
        </is>
      </c>
      <c r="B284" s="178" t="inlineStr">
        <is>
          <t>Машинист подземно-доставочной машины</t>
        </is>
      </c>
      <c r="C284" s="178" t="inlineStr"/>
      <c r="D284" s="179" t="n"/>
      <c r="E284" s="179" t="inlineStr">
        <is>
          <t>внутр</t>
        </is>
      </c>
      <c r="F284" s="179" t="n"/>
      <c r="G284" s="179" t="n"/>
      <c r="H284" s="179" t="n"/>
      <c r="I284" s="179" t="n"/>
      <c r="J284" s="179" t="n"/>
      <c r="K284" s="179" t="n"/>
      <c r="L284" s="179" t="n"/>
      <c r="M284" s="179" t="n"/>
      <c r="N284" s="179" t="n"/>
      <c r="O284" s="179" t="n"/>
      <c r="P284" s="179" t="inlineStr">
        <is>
          <t>внутр</t>
        </is>
      </c>
      <c r="Q284" s="179" t="inlineStr">
        <is>
          <t>внутр</t>
        </is>
      </c>
      <c r="R284" s="171" t="n"/>
      <c r="S284" s="171" t="n"/>
    </row>
    <row r="285" ht="18" customHeight="1">
      <c r="A285" s="45" t="inlineStr">
        <is>
          <t>работник 231</t>
        </is>
      </c>
      <c r="B285" s="178" t="inlineStr">
        <is>
          <t>Стропальщик (с исполнением обязанностей грузчика)</t>
        </is>
      </c>
      <c r="C285" s="178" t="inlineStr"/>
      <c r="D285" s="179" t="n"/>
      <c r="E285" s="179" t="inlineStr">
        <is>
          <t>внутр</t>
        </is>
      </c>
      <c r="F285" s="179" t="n"/>
      <c r="G285" s="179" t="n"/>
      <c r="H285" s="179" t="n"/>
      <c r="I285" s="179" t="n"/>
      <c r="J285" s="179" t="n"/>
      <c r="K285" s="179" t="n"/>
      <c r="L285" s="179" t="n"/>
      <c r="M285" s="179" t="n"/>
      <c r="N285" s="179" t="n"/>
      <c r="O285" s="179" t="n"/>
      <c r="P285" s="179" t="inlineStr">
        <is>
          <t>внутр</t>
        </is>
      </c>
      <c r="Q285" s="179" t="inlineStr">
        <is>
          <t>внутр</t>
        </is>
      </c>
      <c r="R285" s="171" t="n"/>
      <c r="S285" s="171" t="n"/>
    </row>
    <row r="286" ht="18" customHeight="1">
      <c r="A286" s="45" t="inlineStr">
        <is>
          <t>работник 543</t>
        </is>
      </c>
      <c r="B286" s="178" t="inlineStr">
        <is>
          <t>Пробоотборщик | Контролер продукции обогащения</t>
        </is>
      </c>
      <c r="C286" s="178" t="inlineStr"/>
      <c r="D286" s="179" t="n"/>
      <c r="E286" s="179" t="inlineStr">
        <is>
          <t>внутр</t>
        </is>
      </c>
      <c r="F286" s="179" t="n"/>
      <c r="G286" s="179" t="n"/>
      <c r="H286" s="179" t="n"/>
      <c r="I286" s="179" t="n"/>
      <c r="J286" s="179" t="n"/>
      <c r="K286" s="179" t="n"/>
      <c r="L286" s="179" t="n"/>
      <c r="M286" s="179" t="n"/>
      <c r="N286" s="179" t="n"/>
      <c r="O286" s="179" t="n"/>
      <c r="P286" s="179" t="inlineStr">
        <is>
          <t>внутр</t>
        </is>
      </c>
      <c r="Q286" s="179" t="inlineStr">
        <is>
          <t>внутр</t>
        </is>
      </c>
      <c r="R286" s="171" t="n"/>
      <c r="S286" s="171" t="n"/>
    </row>
    <row r="287" ht="18" customHeight="1">
      <c r="A287" s="45" t="inlineStr">
        <is>
          <t>работник 273</t>
        </is>
      </c>
      <c r="B287" s="178" t="inlineStr">
        <is>
          <t>Водитель автомобиля (занятый на транспортировании горной массы в технологическом процессе)</t>
        </is>
      </c>
      <c r="C287" s="178" t="inlineStr"/>
      <c r="D287" s="179" t="n"/>
      <c r="E287" s="179" t="inlineStr">
        <is>
          <t>внутр</t>
        </is>
      </c>
      <c r="F287" s="179" t="n"/>
      <c r="G287" s="179" t="n"/>
      <c r="H287" s="179" t="n"/>
      <c r="I287" s="179" t="n"/>
      <c r="J287" s="179" t="n"/>
      <c r="K287" s="179" t="n"/>
      <c r="L287" s="179" t="n"/>
      <c r="M287" s="179" t="n"/>
      <c r="N287" s="179" t="n"/>
      <c r="O287" s="179" t="n"/>
      <c r="P287" s="179" t="inlineStr">
        <is>
          <t>внутр</t>
        </is>
      </c>
      <c r="Q287" s="179" t="inlineStr">
        <is>
          <t>внутр</t>
        </is>
      </c>
      <c r="R287" s="171" t="n"/>
      <c r="S287" s="171" t="n"/>
    </row>
    <row r="288" ht="18" customHeight="1">
      <c r="A288" s="45" t="inlineStr">
        <is>
          <t>работник 40</t>
        </is>
      </c>
      <c r="B288" s="178" t="inlineStr">
        <is>
          <t>Лаборант химического анализа</t>
        </is>
      </c>
      <c r="C288" s="178" t="inlineStr"/>
      <c r="D288" s="179" t="n"/>
      <c r="E288" s="179" t="inlineStr">
        <is>
          <t>внутр</t>
        </is>
      </c>
      <c r="F288" s="179" t="n"/>
      <c r="G288" s="179" t="n"/>
      <c r="H288" s="179" t="n"/>
      <c r="I288" s="179" t="n"/>
      <c r="J288" s="179" t="n"/>
      <c r="K288" s="179" t="n"/>
      <c r="L288" s="179" t="n"/>
      <c r="M288" s="179" t="n"/>
      <c r="N288" s="179" t="n"/>
      <c r="O288" s="179" t="n"/>
      <c r="P288" s="179" t="inlineStr">
        <is>
          <t>внутр</t>
        </is>
      </c>
      <c r="Q288" s="179" t="inlineStr">
        <is>
          <t>внутр</t>
        </is>
      </c>
      <c r="R288" s="171" t="n"/>
      <c r="S288" s="171" t="n"/>
    </row>
    <row r="289" ht="18" customHeight="1">
      <c r="A289" s="45" t="inlineStr">
        <is>
          <t>работник 485</t>
        </is>
      </c>
      <c r="B289" s="178" t="inlineStr">
        <is>
          <t>Машинист подземных самоходных машин</t>
        </is>
      </c>
      <c r="C289" s="178" t="inlineStr"/>
      <c r="D289" s="179" t="n"/>
      <c r="E289" s="179" t="inlineStr">
        <is>
          <t>внутр</t>
        </is>
      </c>
      <c r="F289" s="179" t="n"/>
      <c r="G289" s="179" t="n"/>
      <c r="H289" s="179" t="n"/>
      <c r="I289" s="179" t="n"/>
      <c r="J289" s="179" t="n"/>
      <c r="K289" s="179" t="n"/>
      <c r="L289" s="179" t="n"/>
      <c r="M289" s="179" t="n"/>
      <c r="N289" s="179" t="n"/>
      <c r="O289" s="179" t="n"/>
      <c r="P289" s="179" t="n"/>
      <c r="Q289" s="179" t="inlineStr">
        <is>
          <t>внутр</t>
        </is>
      </c>
      <c r="R289" s="171" t="n"/>
      <c r="S289" s="171" t="n"/>
    </row>
    <row r="290" ht="18" customHeight="1">
      <c r="A290" s="45" t="inlineStr">
        <is>
          <t>работник 382</t>
        </is>
      </c>
      <c r="B290" s="178" t="inlineStr">
        <is>
          <t>Растворщик реагентов</t>
        </is>
      </c>
      <c r="C290" s="178" t="inlineStr"/>
      <c r="D290" s="179" t="n"/>
      <c r="E290" s="179" t="inlineStr">
        <is>
          <t>внутр</t>
        </is>
      </c>
      <c r="F290" s="179" t="n"/>
      <c r="G290" s="179" t="n"/>
      <c r="H290" s="179" t="n"/>
      <c r="I290" s="179" t="n"/>
      <c r="J290" s="179" t="n"/>
      <c r="K290" s="179" t="n"/>
      <c r="L290" s="179" t="n"/>
      <c r="M290" s="179" t="n"/>
      <c r="N290" s="179" t="n"/>
      <c r="O290" s="179" t="n"/>
      <c r="P290" s="179" t="inlineStr">
        <is>
          <t>внутр</t>
        </is>
      </c>
      <c r="Q290" s="179" t="inlineStr">
        <is>
          <t>внутр</t>
        </is>
      </c>
      <c r="R290" s="171" t="n"/>
      <c r="S290" s="171" t="n"/>
    </row>
    <row r="291" ht="18" customHeight="1">
      <c r="A291" s="45" t="inlineStr">
        <is>
          <t>работник 486</t>
        </is>
      </c>
      <c r="B291" s="178" t="inlineStr">
        <is>
          <t>Машинист погрузочно-доставочной машины</t>
        </is>
      </c>
      <c r="C291" s="178" t="inlineStr"/>
      <c r="D291" s="179" t="n"/>
      <c r="E291" s="179" t="inlineStr">
        <is>
          <t>внутр</t>
        </is>
      </c>
      <c r="F291" s="179" t="n"/>
      <c r="G291" s="179" t="n"/>
      <c r="H291" s="179" t="n"/>
      <c r="I291" s="179" t="n"/>
      <c r="J291" s="179" t="n"/>
      <c r="K291" s="179" t="n"/>
      <c r="L291" s="179" t="n"/>
      <c r="M291" s="179" t="n"/>
      <c r="N291" s="179" t="n"/>
      <c r="O291" s="179" t="n"/>
      <c r="P291" s="179" t="inlineStr">
        <is>
          <t>внутр</t>
        </is>
      </c>
      <c r="Q291" s="179" t="inlineStr">
        <is>
          <t>внутр</t>
        </is>
      </c>
      <c r="R291" s="171" t="n"/>
      <c r="S291" s="171" t="n"/>
    </row>
    <row r="292" ht="18" customHeight="1">
      <c r="A292" s="45" t="inlineStr">
        <is>
          <t>работник 695</t>
        </is>
      </c>
      <c r="B292" s="178" t="inlineStr">
        <is>
          <t>Монтажник по монтажу стальных и железобетонных конструкций</t>
        </is>
      </c>
      <c r="C292" s="178" t="inlineStr"/>
      <c r="D292" s="179" t="n"/>
      <c r="E292" s="179" t="inlineStr">
        <is>
          <t>внутр</t>
        </is>
      </c>
      <c r="F292" s="179" t="n"/>
      <c r="G292" s="179" t="n"/>
      <c r="H292" s="179" t="n"/>
      <c r="I292" s="179" t="n"/>
      <c r="J292" s="179" t="n"/>
      <c r="K292" s="179" t="n"/>
      <c r="L292" s="179" t="n"/>
      <c r="M292" s="179" t="n"/>
      <c r="N292" s="179" t="n"/>
      <c r="O292" s="179" t="n"/>
      <c r="P292" s="179" t="n"/>
      <c r="Q292" s="179" t="inlineStr">
        <is>
          <t>внутр</t>
        </is>
      </c>
      <c r="R292" s="171" t="n"/>
      <c r="S292" s="171" t="n"/>
    </row>
    <row r="293" ht="18" customHeight="1">
      <c r="A293" s="45" t="inlineStr">
        <is>
          <t>работник 274</t>
        </is>
      </c>
      <c r="B293" s="178" t="inlineStr">
        <is>
          <t>Механик</t>
        </is>
      </c>
      <c r="C293" s="178" t="inlineStr"/>
      <c r="D293" s="179" t="n"/>
      <c r="E293" s="179" t="inlineStr">
        <is>
          <t>внутр</t>
        </is>
      </c>
      <c r="F293" s="179" t="n"/>
      <c r="G293" s="179" t="n"/>
      <c r="H293" s="179" t="n"/>
      <c r="I293" s="179" t="n"/>
      <c r="J293" s="179" t="n"/>
      <c r="K293" s="179" t="n"/>
      <c r="L293" s="179" t="n"/>
      <c r="M293" s="179" t="n"/>
      <c r="N293" s="179" t="n"/>
      <c r="O293" s="179" t="n"/>
      <c r="P293" s="179" t="inlineStr">
        <is>
          <t>внутр</t>
        </is>
      </c>
      <c r="Q293" s="179" t="inlineStr">
        <is>
          <t>внутр</t>
        </is>
      </c>
      <c r="R293" s="171" t="n"/>
      <c r="S293" s="171" t="n"/>
    </row>
    <row r="294" ht="18" customHeight="1">
      <c r="A294" s="45" t="inlineStr">
        <is>
          <t>работник 315</t>
        </is>
      </c>
      <c r="B294" s="178" t="inlineStr">
        <is>
          <t>Крепильщик | Помощник машиниста самоходной буровой установки (с исполнением обязанностей пробоотборщика) (Очистное)</t>
        </is>
      </c>
      <c r="C294" s="178" t="inlineStr"/>
      <c r="D294" s="179" t="n"/>
      <c r="E294" s="179" t="inlineStr">
        <is>
          <t>внутр</t>
        </is>
      </c>
      <c r="F294" s="179" t="n"/>
      <c r="G294" s="179" t="n"/>
      <c r="H294" s="179" t="n"/>
      <c r="I294" s="179" t="n"/>
      <c r="J294" s="179" t="n"/>
      <c r="K294" s="179" t="n"/>
      <c r="L294" s="179" t="n"/>
      <c r="M294" s="179" t="n"/>
      <c r="N294" s="179" t="n"/>
      <c r="O294" s="179" t="n"/>
      <c r="P294" s="179" t="inlineStr">
        <is>
          <t>внутр</t>
        </is>
      </c>
      <c r="Q294" s="179" t="inlineStr">
        <is>
          <t>внутр</t>
        </is>
      </c>
      <c r="R294" s="171" t="n"/>
      <c r="S294" s="171" t="n"/>
    </row>
    <row r="295" ht="18" customHeight="1">
      <c r="A295" s="45" t="inlineStr">
        <is>
          <t>работник 316</t>
        </is>
      </c>
      <c r="B295" s="178" t="inlineStr">
        <is>
          <t>Проходчик (с исполнением обязанностей взрывника)</t>
        </is>
      </c>
      <c r="C295" s="178" t="inlineStr"/>
      <c r="D295" s="179" t="n"/>
      <c r="E295" s="179" t="inlineStr">
        <is>
          <t>внутр</t>
        </is>
      </c>
      <c r="F295" s="179" t="n"/>
      <c r="G295" s="179" t="n"/>
      <c r="H295" s="179" t="n"/>
      <c r="I295" s="179" t="n"/>
      <c r="J295" s="179" t="n"/>
      <c r="K295" s="179" t="n"/>
      <c r="L295" s="179" t="n"/>
      <c r="M295" s="179" t="n"/>
      <c r="N295" s="179" t="n"/>
      <c r="O295" s="179" t="n"/>
      <c r="P295" s="179" t="inlineStr">
        <is>
          <t>внутр</t>
        </is>
      </c>
      <c r="Q295" s="179" t="inlineStr">
        <is>
          <t>внутр</t>
        </is>
      </c>
      <c r="R295" s="171" t="n"/>
      <c r="S295" s="171" t="n"/>
    </row>
    <row r="296" ht="18" customHeight="1">
      <c r="A296" s="45" t="inlineStr">
        <is>
          <t>работник 201</t>
        </is>
      </c>
      <c r="B296" s="178" t="inlineStr">
        <is>
          <t>Водитель автомобиля (категория С)</t>
        </is>
      </c>
      <c r="C296" s="178" t="inlineStr"/>
      <c r="D296" s="179" t="n"/>
      <c r="E296" s="179" t="inlineStr">
        <is>
          <t>внутр</t>
        </is>
      </c>
      <c r="F296" s="179" t="n"/>
      <c r="G296" s="179" t="n"/>
      <c r="H296" s="179" t="n"/>
      <c r="I296" s="179" t="n"/>
      <c r="J296" s="179" t="n"/>
      <c r="K296" s="179" t="n"/>
      <c r="L296" s="179" t="n"/>
      <c r="M296" s="179" t="n"/>
      <c r="N296" s="179" t="n"/>
      <c r="O296" s="179" t="n"/>
      <c r="P296" s="179" t="inlineStr">
        <is>
          <t>внутр</t>
        </is>
      </c>
      <c r="Q296" s="179" t="inlineStr">
        <is>
          <t>внутр</t>
        </is>
      </c>
      <c r="R296" s="171" t="n"/>
      <c r="S296" s="171" t="n"/>
    </row>
    <row r="297" ht="18" customHeight="1">
      <c r="A297" s="45" t="inlineStr">
        <is>
          <t>работник 884</t>
        </is>
      </c>
      <c r="B297" s="178" t="inlineStr">
        <is>
          <t>Помощник машиниста самоходной буровой установки (с исполнением обязанностей пробоотборщика)</t>
        </is>
      </c>
      <c r="C297" s="178" t="inlineStr"/>
      <c r="D297" s="179" t="n"/>
      <c r="E297" s="179" t="inlineStr">
        <is>
          <t>внутр</t>
        </is>
      </c>
      <c r="F297" s="179" t="n"/>
      <c r="G297" s="179" t="n"/>
      <c r="H297" s="179" t="n"/>
      <c r="I297" s="179" t="n"/>
      <c r="J297" s="179" t="n"/>
      <c r="K297" s="179" t="n"/>
      <c r="L297" s="179" t="n"/>
      <c r="M297" s="179" t="n"/>
      <c r="N297" s="179" t="n"/>
      <c r="O297" s="179" t="n"/>
      <c r="P297" s="179" t="inlineStr">
        <is>
          <t>внутр</t>
        </is>
      </c>
      <c r="Q297" s="179" t="inlineStr">
        <is>
          <t>внутр</t>
        </is>
      </c>
      <c r="R297" s="171" t="n"/>
      <c r="S297" s="171" t="n"/>
    </row>
    <row r="298" ht="18" customHeight="1">
      <c r="A298" s="45" t="inlineStr">
        <is>
          <t>работник 794</t>
        </is>
      </c>
      <c r="B298" s="178" t="inlineStr">
        <is>
          <t>Водитель погрузчика</t>
        </is>
      </c>
      <c r="C298" s="178" t="inlineStr"/>
      <c r="D298" s="179" t="n"/>
      <c r="E298" s="179" t="inlineStr">
        <is>
          <t>внутр</t>
        </is>
      </c>
      <c r="F298" s="179" t="n"/>
      <c r="G298" s="179" t="n"/>
      <c r="H298" s="179" t="n"/>
      <c r="I298" s="179" t="n"/>
      <c r="J298" s="179" t="n"/>
      <c r="K298" s="179" t="n"/>
      <c r="L298" s="179" t="n"/>
      <c r="M298" s="179" t="n"/>
      <c r="N298" s="179" t="n"/>
      <c r="O298" s="179" t="n"/>
      <c r="P298" s="179" t="n"/>
      <c r="Q298" s="179" t="inlineStr">
        <is>
          <t>внутр</t>
        </is>
      </c>
      <c r="R298" s="171" t="n"/>
      <c r="S298" s="171" t="n"/>
    </row>
    <row r="299" ht="18" customHeight="1">
      <c r="A299" s="45" t="inlineStr">
        <is>
          <t>работник 416</t>
        </is>
      </c>
      <c r="B299" s="178" t="inlineStr">
        <is>
          <t>Повар</t>
        </is>
      </c>
      <c r="C299" s="178" t="inlineStr"/>
      <c r="D299" s="179" t="n"/>
      <c r="E299" s="179" t="inlineStr">
        <is>
          <t>внутр</t>
        </is>
      </c>
      <c r="F299" s="179" t="n"/>
      <c r="G299" s="179" t="n"/>
      <c r="H299" s="179" t="n"/>
      <c r="I299" s="179" t="n"/>
      <c r="J299" s="179" t="n"/>
      <c r="K299" s="179" t="n"/>
      <c r="L299" s="179" t="n"/>
      <c r="M299" s="179" t="n"/>
      <c r="N299" s="179" t="n"/>
      <c r="O299" s="179" t="n"/>
      <c r="P299" s="179" t="n"/>
      <c r="Q299" s="179" t="inlineStr">
        <is>
          <t>внутр</t>
        </is>
      </c>
      <c r="R299" s="171" t="n"/>
      <c r="S299" s="171" t="n"/>
    </row>
    <row r="300" ht="18" customHeight="1">
      <c r="A300" s="45" t="inlineStr">
        <is>
          <t>работник 869</t>
        </is>
      </c>
      <c r="B300" s="178" t="inlineStr">
        <is>
          <t>Повар</t>
        </is>
      </c>
      <c r="C300" s="178" t="inlineStr"/>
      <c r="D300" s="179" t="n"/>
      <c r="E300" s="179" t="inlineStr">
        <is>
          <t>внутр</t>
        </is>
      </c>
      <c r="F300" s="179" t="n"/>
      <c r="G300" s="179" t="n"/>
      <c r="H300" s="179" t="n"/>
      <c r="I300" s="179" t="n"/>
      <c r="J300" s="179" t="n"/>
      <c r="K300" s="179" t="n"/>
      <c r="L300" s="179" t="n"/>
      <c r="M300" s="179" t="n"/>
      <c r="N300" s="179" t="n"/>
      <c r="O300" s="179" t="n"/>
      <c r="P300" s="179" t="inlineStr">
        <is>
          <t>внутр</t>
        </is>
      </c>
      <c r="Q300" s="179" t="inlineStr">
        <is>
          <t>внутр</t>
        </is>
      </c>
      <c r="R300" s="171" t="n"/>
      <c r="S300" s="171" t="n"/>
    </row>
    <row r="301" ht="18" customHeight="1">
      <c r="A301" s="45" t="inlineStr">
        <is>
          <t>работник 865</t>
        </is>
      </c>
      <c r="B301" s="178" t="inlineStr">
        <is>
          <t>Подсобный рабочий</t>
        </is>
      </c>
      <c r="C301" s="178" t="inlineStr"/>
      <c r="D301" s="179" t="n"/>
      <c r="E301" s="179" t="inlineStr">
        <is>
          <t>внутр</t>
        </is>
      </c>
      <c r="F301" s="179" t="n"/>
      <c r="G301" s="179" t="n"/>
      <c r="H301" s="179" t="n"/>
      <c r="I301" s="179" t="n"/>
      <c r="J301" s="179" t="n"/>
      <c r="K301" s="179" t="n"/>
      <c r="L301" s="179" t="n"/>
      <c r="M301" s="179" t="n"/>
      <c r="N301" s="179" t="n"/>
      <c r="O301" s="179" t="n"/>
      <c r="P301" s="179" t="inlineStr">
        <is>
          <t>внутр</t>
        </is>
      </c>
      <c r="Q301" s="179" t="inlineStr">
        <is>
          <t>внутр</t>
        </is>
      </c>
      <c r="R301" s="171" t="n"/>
      <c r="S301" s="171" t="n"/>
    </row>
    <row r="302" ht="18" customHeight="1">
      <c r="A302" s="45" t="inlineStr">
        <is>
          <t>работник 275</t>
        </is>
      </c>
      <c r="B302" s="178" t="inlineStr">
        <is>
          <t>Слесарь-электрик по ремонту электрооборудования</t>
        </is>
      </c>
      <c r="C302" s="178" t="inlineStr"/>
      <c r="D302" s="179" t="n"/>
      <c r="E302" s="179" t="inlineStr">
        <is>
          <t>внутр</t>
        </is>
      </c>
      <c r="F302" s="179" t="n"/>
      <c r="G302" s="179" t="n"/>
      <c r="H302" s="179" t="n"/>
      <c r="I302" s="179" t="n"/>
      <c r="J302" s="179" t="n"/>
      <c r="K302" s="179" t="n"/>
      <c r="L302" s="179" t="n"/>
      <c r="M302" s="179" t="n"/>
      <c r="N302" s="179" t="n"/>
      <c r="O302" s="179" t="n"/>
      <c r="P302" s="179" t="inlineStr">
        <is>
          <t>внутр</t>
        </is>
      </c>
      <c r="Q302" s="179" t="inlineStr">
        <is>
          <t>внутр</t>
        </is>
      </c>
      <c r="R302" s="171" t="n"/>
      <c r="S302" s="171" t="n"/>
    </row>
    <row r="303" ht="18" customHeight="1">
      <c r="A303" s="45" t="inlineStr">
        <is>
          <t>работник 837</t>
        </is>
      </c>
      <c r="B303" s="178" t="inlineStr">
        <is>
          <t>Ламповщик</t>
        </is>
      </c>
      <c r="C303" s="178" t="inlineStr"/>
      <c r="D303" s="179" t="n"/>
      <c r="E303" s="179" t="inlineStr">
        <is>
          <t>внутр</t>
        </is>
      </c>
      <c r="F303" s="179" t="n"/>
      <c r="G303" s="179" t="n"/>
      <c r="H303" s="179" t="n"/>
      <c r="I303" s="179" t="n"/>
      <c r="J303" s="179" t="n"/>
      <c r="K303" s="179" t="n"/>
      <c r="L303" s="179" t="n"/>
      <c r="M303" s="179" t="n"/>
      <c r="N303" s="179" t="n"/>
      <c r="O303" s="179" t="n"/>
      <c r="P303" s="179" t="inlineStr">
        <is>
          <t>внутр</t>
        </is>
      </c>
      <c r="Q303" s="179" t="inlineStr">
        <is>
          <t>внутр</t>
        </is>
      </c>
      <c r="R303" s="171" t="n"/>
      <c r="S303" s="171" t="n"/>
    </row>
    <row r="304" ht="18" customHeight="1">
      <c r="A304" s="45" t="inlineStr">
        <is>
          <t>работник 575</t>
        </is>
      </c>
      <c r="B304" s="178" t="inlineStr">
        <is>
          <t>Механик холодильных установок</t>
        </is>
      </c>
      <c r="C304" s="178" t="inlineStr"/>
      <c r="D304" s="179" t="n"/>
      <c r="E304" s="179" t="inlineStr">
        <is>
          <t>внутр</t>
        </is>
      </c>
      <c r="F304" s="179" t="n"/>
      <c r="G304" s="179" t="n"/>
      <c r="H304" s="179" t="n"/>
      <c r="I304" s="179" t="n"/>
      <c r="J304" s="179" t="n"/>
      <c r="K304" s="179" t="n"/>
      <c r="L304" s="179" t="n"/>
      <c r="M304" s="179" t="n"/>
      <c r="N304" s="179" t="n"/>
      <c r="O304" s="179" t="n"/>
      <c r="P304" s="179" t="n"/>
      <c r="Q304" s="179" t="inlineStr">
        <is>
          <t>внутр</t>
        </is>
      </c>
      <c r="R304" s="171" t="n"/>
      <c r="S304" s="171" t="n"/>
    </row>
    <row r="305" ht="18" customHeight="1">
      <c r="A305" s="45" t="inlineStr">
        <is>
          <t>работник 670</t>
        </is>
      </c>
      <c r="B305" s="178" t="inlineStr">
        <is>
          <t>Лаборант пробирного анализа</t>
        </is>
      </c>
      <c r="C305" s="178" t="inlineStr"/>
      <c r="D305" s="179" t="n"/>
      <c r="E305" s="179" t="inlineStr">
        <is>
          <t>внутр</t>
        </is>
      </c>
      <c r="F305" s="179" t="n"/>
      <c r="G305" s="179" t="n"/>
      <c r="H305" s="179" t="n"/>
      <c r="I305" s="179" t="n"/>
      <c r="J305" s="179" t="n"/>
      <c r="K305" s="179" t="n"/>
      <c r="L305" s="179" t="n"/>
      <c r="M305" s="179" t="n"/>
      <c r="N305" s="179" t="n"/>
      <c r="O305" s="179" t="n"/>
      <c r="P305" s="179" t="inlineStr">
        <is>
          <t>внутр</t>
        </is>
      </c>
      <c r="Q305" s="179" t="inlineStr">
        <is>
          <t>внутр</t>
        </is>
      </c>
      <c r="R305" s="171" t="n"/>
      <c r="S305" s="171" t="n"/>
    </row>
    <row r="306" ht="18" customHeight="1">
      <c r="A306" s="45" t="inlineStr">
        <is>
          <t>работник 38</t>
        </is>
      </c>
      <c r="B306" s="178" t="inlineStr">
        <is>
          <t>Дробильщик</t>
        </is>
      </c>
      <c r="C306" s="178" t="inlineStr"/>
      <c r="D306" s="179" t="n"/>
      <c r="E306" s="179" t="inlineStr">
        <is>
          <t>внутр</t>
        </is>
      </c>
      <c r="F306" s="179" t="n"/>
      <c r="G306" s="179" t="n"/>
      <c r="H306" s="179" t="n"/>
      <c r="I306" s="179" t="n"/>
      <c r="J306" s="179" t="n"/>
      <c r="K306" s="179" t="n"/>
      <c r="L306" s="179" t="n"/>
      <c r="M306" s="179" t="n"/>
      <c r="N306" s="179" t="n"/>
      <c r="O306" s="179" t="n"/>
      <c r="P306" s="179" t="inlineStr">
        <is>
          <t>внутр</t>
        </is>
      </c>
      <c r="Q306" s="179" t="inlineStr">
        <is>
          <t>внутр</t>
        </is>
      </c>
      <c r="R306" s="171" t="n"/>
      <c r="S306" s="171" t="n"/>
    </row>
    <row r="307" ht="18" customHeight="1">
      <c r="A307" s="45" t="inlineStr">
        <is>
          <t>работник 716</t>
        </is>
      </c>
      <c r="B307" s="178" t="inlineStr">
        <is>
          <t>Слесарь-электрик по ремонту электрооборудования</t>
        </is>
      </c>
      <c r="C307" s="178" t="inlineStr"/>
      <c r="D307" s="179" t="n"/>
      <c r="E307" s="179" t="inlineStr">
        <is>
          <t>внутр</t>
        </is>
      </c>
      <c r="F307" s="179" t="n"/>
      <c r="G307" s="179" t="n"/>
      <c r="H307" s="179" t="n"/>
      <c r="I307" s="179" t="n"/>
      <c r="J307" s="179" t="n"/>
      <c r="K307" s="179" t="n"/>
      <c r="L307" s="179" t="n"/>
      <c r="M307" s="179" t="n"/>
      <c r="N307" s="179" t="n"/>
      <c r="O307" s="179" t="n"/>
      <c r="P307" s="179" t="n"/>
      <c r="Q307" s="179" t="inlineStr">
        <is>
          <t>внутр</t>
        </is>
      </c>
      <c r="R307" s="171" t="n"/>
      <c r="S307" s="171" t="n"/>
    </row>
    <row r="308" ht="18" customHeight="1">
      <c r="A308" s="45" t="inlineStr">
        <is>
          <t>работник 393</t>
        </is>
      </c>
      <c r="B308" s="178" t="inlineStr">
        <is>
          <t>Кухонный рабочий</t>
        </is>
      </c>
      <c r="C308" s="178" t="inlineStr"/>
      <c r="D308" s="179" t="n"/>
      <c r="E308" s="179" t="inlineStr">
        <is>
          <t>внутр</t>
        </is>
      </c>
      <c r="F308" s="179" t="n"/>
      <c r="G308" s="179" t="n"/>
      <c r="H308" s="179" t="n"/>
      <c r="I308" s="179" t="n"/>
      <c r="J308" s="179" t="n"/>
      <c r="K308" s="179" t="n"/>
      <c r="L308" s="179" t="n"/>
      <c r="M308" s="179" t="n"/>
      <c r="N308" s="179" t="n"/>
      <c r="O308" s="179" t="n"/>
      <c r="P308" s="179" t="inlineStr">
        <is>
          <t>внутр</t>
        </is>
      </c>
      <c r="Q308" s="179" t="inlineStr">
        <is>
          <t>внутр</t>
        </is>
      </c>
      <c r="R308" s="171" t="n"/>
      <c r="S308" s="171" t="n"/>
    </row>
    <row r="309" ht="18" customHeight="1">
      <c r="A309" s="45" t="inlineStr">
        <is>
          <t>работник 782</t>
        </is>
      </c>
      <c r="B309" s="178" t="inlineStr">
        <is>
          <t>Электрослесарь (слесарь) дежурный и по ремонту оборудования подземного горного участка | Электрослесарь (слесарь) дежурный и по ремонту оборудования</t>
        </is>
      </c>
      <c r="C309" s="178" t="inlineStr"/>
      <c r="D309" s="179" t="n"/>
      <c r="E309" s="179" t="inlineStr">
        <is>
          <t>внутр</t>
        </is>
      </c>
      <c r="F309" s="179" t="n"/>
      <c r="G309" s="179" t="n"/>
      <c r="H309" s="179" t="n"/>
      <c r="I309" s="179" t="n"/>
      <c r="J309" s="179" t="n"/>
      <c r="K309" s="179" t="n"/>
      <c r="L309" s="179" t="inlineStr">
        <is>
          <t>внутр</t>
        </is>
      </c>
      <c r="M309" s="179" t="n"/>
      <c r="N309" s="179" t="n"/>
      <c r="O309" s="179" t="n"/>
      <c r="P309" s="179" t="inlineStr">
        <is>
          <t>внутр</t>
        </is>
      </c>
      <c r="Q309" s="179" t="inlineStr">
        <is>
          <t>внутр</t>
        </is>
      </c>
      <c r="R309" s="171" t="n"/>
      <c r="S309" s="171" t="n"/>
    </row>
    <row r="310" ht="18" customHeight="1">
      <c r="A310" s="45" t="inlineStr">
        <is>
          <t>работник 659</t>
        </is>
      </c>
      <c r="B310" s="178" t="inlineStr">
        <is>
          <t>Электрогазосварщик (занятый на резке и ручной сварке)</t>
        </is>
      </c>
      <c r="C310" s="178" t="inlineStr"/>
      <c r="D310" s="179" t="n"/>
      <c r="E310" s="179" t="inlineStr">
        <is>
          <t>внутр</t>
        </is>
      </c>
      <c r="F310" s="179" t="n"/>
      <c r="G310" s="179" t="n"/>
      <c r="H310" s="179" t="n"/>
      <c r="I310" s="179" t="n"/>
      <c r="J310" s="179" t="n"/>
      <c r="K310" s="179" t="n"/>
      <c r="L310" s="179" t="n"/>
      <c r="M310" s="179" t="n"/>
      <c r="N310" s="179" t="n"/>
      <c r="O310" s="179" t="n"/>
      <c r="P310" s="179" t="inlineStr">
        <is>
          <t>внутр</t>
        </is>
      </c>
      <c r="Q310" s="179" t="inlineStr">
        <is>
          <t>внутр</t>
        </is>
      </c>
      <c r="R310" s="171" t="n"/>
      <c r="S310" s="171" t="n"/>
    </row>
    <row r="311" ht="18" customHeight="1">
      <c r="A311" s="45" t="inlineStr">
        <is>
          <t>работник 788</t>
        </is>
      </c>
      <c r="B311" s="178" t="inlineStr">
        <is>
          <t>Машинист экскаватора</t>
        </is>
      </c>
      <c r="C311" s="178" t="inlineStr"/>
      <c r="D311" s="179" t="n"/>
      <c r="E311" s="179" t="inlineStr">
        <is>
          <t>внутр</t>
        </is>
      </c>
      <c r="F311" s="179" t="n"/>
      <c r="G311" s="179" t="n"/>
      <c r="H311" s="179" t="n"/>
      <c r="I311" s="179" t="n"/>
      <c r="J311" s="179" t="n"/>
      <c r="K311" s="179" t="n"/>
      <c r="L311" s="179" t="n"/>
      <c r="M311" s="179" t="n"/>
      <c r="N311" s="179" t="n"/>
      <c r="O311" s="179" t="n"/>
      <c r="P311" s="179" t="inlineStr">
        <is>
          <t>внутр</t>
        </is>
      </c>
      <c r="Q311" s="179" t="inlineStr">
        <is>
          <t>внутр</t>
        </is>
      </c>
      <c r="R311" s="171" t="n"/>
      <c r="S311" s="171" t="n"/>
    </row>
    <row r="312" ht="18" customHeight="1">
      <c r="A312" s="45" t="inlineStr">
        <is>
          <t>работник 802</t>
        </is>
      </c>
      <c r="B312" s="178" t="inlineStr">
        <is>
          <t>Слесарь по ремонту автомобилей и тяжелой техники</t>
        </is>
      </c>
      <c r="C312" s="178" t="inlineStr"/>
      <c r="D312" s="179" t="n"/>
      <c r="E312" s="179" t="inlineStr">
        <is>
          <t>внутр</t>
        </is>
      </c>
      <c r="F312" s="179" t="n"/>
      <c r="G312" s="179" t="inlineStr">
        <is>
          <t>внутр</t>
        </is>
      </c>
      <c r="H312" s="179" t="n"/>
      <c r="I312" s="179" t="n"/>
      <c r="J312" s="179" t="n"/>
      <c r="K312" s="179" t="n"/>
      <c r="L312" s="179" t="n"/>
      <c r="M312" s="179" t="n"/>
      <c r="N312" s="179" t="n"/>
      <c r="O312" s="179" t="n"/>
      <c r="P312" s="179" t="inlineStr">
        <is>
          <t>внутр</t>
        </is>
      </c>
      <c r="Q312" s="179" t="inlineStr">
        <is>
          <t>внутр</t>
        </is>
      </c>
      <c r="R312" s="171" t="n"/>
      <c r="S312" s="171" t="n"/>
    </row>
    <row r="313" ht="18" customHeight="1">
      <c r="A313" s="45" t="inlineStr">
        <is>
          <t>работник 918</t>
        </is>
      </c>
      <c r="B313" s="178" t="inlineStr">
        <is>
          <t>Стропальщик</t>
        </is>
      </c>
      <c r="C313" s="178" t="inlineStr"/>
      <c r="D313" s="179" t="n"/>
      <c r="E313" s="179" t="inlineStr">
        <is>
          <t>внутр</t>
        </is>
      </c>
      <c r="F313" s="179" t="n"/>
      <c r="G313" s="179" t="n"/>
      <c r="H313" s="179" t="n"/>
      <c r="I313" s="179" t="n"/>
      <c r="J313" s="179" t="n"/>
      <c r="K313" s="179" t="n"/>
      <c r="L313" s="179" t="n"/>
      <c r="M313" s="179" t="n"/>
      <c r="N313" s="179" t="n"/>
      <c r="O313" s="179" t="n"/>
      <c r="P313" s="179" t="inlineStr">
        <is>
          <t>внутр</t>
        </is>
      </c>
      <c r="Q313" s="179" t="inlineStr">
        <is>
          <t>внутр</t>
        </is>
      </c>
      <c r="R313" s="171" t="n"/>
      <c r="S313" s="171" t="n"/>
    </row>
    <row r="314" ht="18" customHeight="1">
      <c r="A314" s="45" t="inlineStr">
        <is>
          <t>работник 818</t>
        </is>
      </c>
      <c r="B314" s="178" t="inlineStr">
        <is>
          <t>Водитель автомобиля (занятый на транспортировании горной массы в технологическом процессе)</t>
        </is>
      </c>
      <c r="C314" s="178" t="inlineStr"/>
      <c r="D314" s="179" t="n"/>
      <c r="E314" s="179" t="inlineStr">
        <is>
          <t>внутр</t>
        </is>
      </c>
      <c r="F314" s="179" t="n"/>
      <c r="G314" s="179" t="n"/>
      <c r="H314" s="179" t="n"/>
      <c r="I314" s="179" t="n"/>
      <c r="J314" s="179" t="n"/>
      <c r="K314" s="179" t="n"/>
      <c r="L314" s="179" t="n"/>
      <c r="M314" s="179" t="n"/>
      <c r="N314" s="179" t="n"/>
      <c r="O314" s="179" t="n"/>
      <c r="P314" s="179" t="n"/>
      <c r="Q314" s="179" t="inlineStr">
        <is>
          <t>внутр</t>
        </is>
      </c>
      <c r="R314" s="171" t="n"/>
      <c r="S314" s="171" t="n"/>
    </row>
    <row r="315" ht="18" customHeight="1">
      <c r="A315" s="45" t="inlineStr">
        <is>
          <t>работник 908</t>
        </is>
      </c>
      <c r="B315" s="178" t="inlineStr">
        <is>
          <t>Повар</t>
        </is>
      </c>
      <c r="C315" s="178" t="inlineStr"/>
      <c r="D315" s="179" t="n"/>
      <c r="E315" s="179" t="inlineStr">
        <is>
          <t>внутр</t>
        </is>
      </c>
      <c r="F315" s="179" t="n"/>
      <c r="G315" s="179" t="n"/>
      <c r="H315" s="179" t="n"/>
      <c r="I315" s="179" t="n"/>
      <c r="J315" s="179" t="n"/>
      <c r="K315" s="179" t="n"/>
      <c r="L315" s="179" t="n"/>
      <c r="M315" s="179" t="n"/>
      <c r="N315" s="179" t="n"/>
      <c r="O315" s="179" t="n"/>
      <c r="P315" s="179" t="inlineStr">
        <is>
          <t>внутр</t>
        </is>
      </c>
      <c r="Q315" s="179" t="inlineStr">
        <is>
          <t>внутр</t>
        </is>
      </c>
      <c r="R315" s="171" t="n"/>
      <c r="S315" s="171" t="n"/>
    </row>
    <row r="316" ht="18" customHeight="1">
      <c r="A316" s="45" t="inlineStr">
        <is>
          <t>работник 593</t>
        </is>
      </c>
      <c r="B316" s="178" t="inlineStr">
        <is>
          <t>Помощник машиниста самоходной буровой установки (с исполнением обязанностей пробоотборщика) (Очистное) | Крепильщик</t>
        </is>
      </c>
      <c r="C316" s="178" t="inlineStr"/>
      <c r="D316" s="179" t="n"/>
      <c r="E316" s="179" t="inlineStr">
        <is>
          <t>внутр</t>
        </is>
      </c>
      <c r="F316" s="179" t="n"/>
      <c r="G316" s="179" t="n"/>
      <c r="H316" s="179" t="n"/>
      <c r="I316" s="179" t="n"/>
      <c r="J316" s="179" t="n"/>
      <c r="K316" s="179" t="n"/>
      <c r="L316" s="179" t="n"/>
      <c r="M316" s="179" t="n"/>
      <c r="N316" s="179" t="n"/>
      <c r="O316" s="179" t="n"/>
      <c r="P316" s="179" t="inlineStr">
        <is>
          <t>внутр</t>
        </is>
      </c>
      <c r="Q316" s="179" t="inlineStr">
        <is>
          <t>внутр</t>
        </is>
      </c>
      <c r="R316" s="171" t="n"/>
      <c r="S316" s="171" t="n"/>
    </row>
    <row r="317" ht="18" customHeight="1">
      <c r="A317" s="45" t="inlineStr">
        <is>
          <t>работник 932</t>
        </is>
      </c>
      <c r="B317" s="178" t="inlineStr">
        <is>
          <t>Кладовщик</t>
        </is>
      </c>
      <c r="C317" s="178" t="inlineStr"/>
      <c r="D317" s="179" t="n"/>
      <c r="E317" s="179" t="inlineStr">
        <is>
          <t>внутр</t>
        </is>
      </c>
      <c r="F317" s="179" t="n"/>
      <c r="G317" s="179" t="n"/>
      <c r="H317" s="179" t="n"/>
      <c r="I317" s="179" t="n"/>
      <c r="J317" s="179" t="n"/>
      <c r="K317" s="179" t="n"/>
      <c r="L317" s="179" t="n"/>
      <c r="M317" s="179" t="n"/>
      <c r="N317" s="179" t="n"/>
      <c r="O317" s="179" t="n"/>
      <c r="P317" s="179" t="inlineStr">
        <is>
          <t>внутр</t>
        </is>
      </c>
      <c r="Q317" s="179" t="inlineStr">
        <is>
          <t>внутр</t>
        </is>
      </c>
      <c r="R317" s="171" t="n"/>
      <c r="S317" s="171" t="n"/>
    </row>
    <row r="318" ht="18" customHeight="1">
      <c r="A318" s="45" t="inlineStr">
        <is>
          <t>работник 69</t>
        </is>
      </c>
      <c r="B318" s="178" t="inlineStr">
        <is>
          <t>Подсобный рабочий</t>
        </is>
      </c>
      <c r="C318" s="178" t="inlineStr"/>
      <c r="D318" s="179" t="n"/>
      <c r="E318" s="179" t="inlineStr">
        <is>
          <t>внутр</t>
        </is>
      </c>
      <c r="F318" s="179" t="n"/>
      <c r="G318" s="179" t="n"/>
      <c r="H318" s="179" t="n"/>
      <c r="I318" s="179" t="n"/>
      <c r="J318" s="179" t="n"/>
      <c r="K318" s="179" t="n"/>
      <c r="L318" s="179" t="n"/>
      <c r="M318" s="179" t="n"/>
      <c r="N318" s="179" t="n"/>
      <c r="O318" s="179" t="n"/>
      <c r="P318" s="179" t="inlineStr">
        <is>
          <t>внутр</t>
        </is>
      </c>
      <c r="Q318" s="179" t="inlineStr">
        <is>
          <t>внутр</t>
        </is>
      </c>
      <c r="R318" s="171" t="n"/>
      <c r="S318" s="171" t="n"/>
    </row>
    <row r="319" ht="18" customHeight="1">
      <c r="A319" s="45" t="inlineStr">
        <is>
          <t>работник 806</t>
        </is>
      </c>
      <c r="B319" s="178" t="inlineStr">
        <is>
          <t>повар | Повар</t>
        </is>
      </c>
      <c r="C319" s="178" t="inlineStr"/>
      <c r="D319" s="179" t="n"/>
      <c r="E319" s="179" t="inlineStr">
        <is>
          <t>внутр</t>
        </is>
      </c>
      <c r="F319" s="179" t="n"/>
      <c r="G319" s="179" t="n"/>
      <c r="H319" s="179" t="n"/>
      <c r="I319" s="179" t="n"/>
      <c r="J319" s="179" t="n"/>
      <c r="K319" s="179" t="n"/>
      <c r="L319" s="179" t="n"/>
      <c r="M319" s="179" t="n"/>
      <c r="N319" s="179" t="n"/>
      <c r="O319" s="179" t="n"/>
      <c r="P319" s="179" t="inlineStr">
        <is>
          <t>внутр</t>
        </is>
      </c>
      <c r="Q319" s="179" t="inlineStr">
        <is>
          <t>внутр</t>
        </is>
      </c>
      <c r="R319" s="171" t="n"/>
      <c r="S319" s="171" t="n"/>
    </row>
    <row r="320" ht="18" customHeight="1">
      <c r="A320" s="45" t="inlineStr">
        <is>
          <t>работник 215</t>
        </is>
      </c>
      <c r="B320" s="178" t="inlineStr">
        <is>
          <t>Водитель автомобиля(занятый на траспортировании горной массы в технологическом процессе)</t>
        </is>
      </c>
      <c r="C320" s="178" t="inlineStr"/>
      <c r="D320" s="179" t="n"/>
      <c r="E320" s="179" t="inlineStr">
        <is>
          <t>внутр</t>
        </is>
      </c>
      <c r="F320" s="179" t="n"/>
      <c r="G320" s="179" t="n"/>
      <c r="H320" s="179" t="n"/>
      <c r="I320" s="179" t="n"/>
      <c r="J320" s="179" t="n"/>
      <c r="K320" s="179" t="n"/>
      <c r="L320" s="179" t="n"/>
      <c r="M320" s="179" t="n"/>
      <c r="N320" s="179" t="n"/>
      <c r="O320" s="179" t="n"/>
      <c r="P320" s="179" t="inlineStr">
        <is>
          <t>внутр</t>
        </is>
      </c>
      <c r="Q320" s="179" t="inlineStr">
        <is>
          <t>внутр</t>
        </is>
      </c>
      <c r="R320" s="171" t="n"/>
      <c r="S320" s="171" t="n"/>
    </row>
    <row r="321" ht="18" customHeight="1">
      <c r="A321" s="45" t="inlineStr">
        <is>
          <t>работник 81</t>
        </is>
      </c>
      <c r="B321" s="178" t="inlineStr">
        <is>
          <t>Плотник</t>
        </is>
      </c>
      <c r="C321" s="178" t="inlineStr"/>
      <c r="D321" s="179" t="n"/>
      <c r="E321" s="179" t="inlineStr">
        <is>
          <t>внутр</t>
        </is>
      </c>
      <c r="F321" s="179" t="inlineStr">
        <is>
          <t>внутр</t>
        </is>
      </c>
      <c r="G321" s="179" t="n"/>
      <c r="H321" s="179" t="n"/>
      <c r="I321" s="179" t="n"/>
      <c r="J321" s="179" t="n"/>
      <c r="K321" s="179" t="n"/>
      <c r="L321" s="179" t="n"/>
      <c r="M321" s="179" t="inlineStr">
        <is>
          <t>внутр</t>
        </is>
      </c>
      <c r="N321" s="179" t="inlineStr">
        <is>
          <t>внутр</t>
        </is>
      </c>
      <c r="O321" s="179" t="n"/>
      <c r="P321" s="179" t="inlineStr">
        <is>
          <t>внутр</t>
        </is>
      </c>
      <c r="Q321" s="179" t="inlineStr">
        <is>
          <t>внутр</t>
        </is>
      </c>
      <c r="R321" s="171" t="n"/>
      <c r="S321" s="171" t="n"/>
    </row>
    <row r="322" ht="18" customHeight="1">
      <c r="A322" s="45" t="inlineStr">
        <is>
          <t>работник 421</t>
        </is>
      </c>
      <c r="B322" s="178" t="inlineStr">
        <is>
          <t>Горнорабочий на маркшейдерских работах | Помощник машиниста самоходной буровой установки (с исполнением обязанностей пробоотборщика) (Очистное)</t>
        </is>
      </c>
      <c r="C322" s="178" t="inlineStr"/>
      <c r="D322" s="179" t="n"/>
      <c r="E322" s="179" t="inlineStr">
        <is>
          <t>внутр</t>
        </is>
      </c>
      <c r="F322" s="179" t="n"/>
      <c r="G322" s="179" t="n"/>
      <c r="H322" s="179" t="n"/>
      <c r="I322" s="179" t="n"/>
      <c r="J322" s="179" t="n"/>
      <c r="K322" s="179" t="n"/>
      <c r="L322" s="179" t="n"/>
      <c r="M322" s="179" t="n"/>
      <c r="N322" s="179" t="n"/>
      <c r="O322" s="179" t="n"/>
      <c r="P322" s="179" t="n"/>
      <c r="Q322" s="179" t="inlineStr">
        <is>
          <t>внутр</t>
        </is>
      </c>
      <c r="R322" s="171" t="n"/>
      <c r="S322" s="171" t="n"/>
    </row>
    <row r="323" ht="18" customHeight="1">
      <c r="A323" s="45" t="inlineStr">
        <is>
          <t>работник 238</t>
        </is>
      </c>
      <c r="B323" s="178" t="inlineStr">
        <is>
          <t>Лаборант пробирного анализа</t>
        </is>
      </c>
      <c r="C323" s="178" t="inlineStr"/>
      <c r="D323" s="179" t="n"/>
      <c r="E323" s="179" t="inlineStr">
        <is>
          <t>внутр</t>
        </is>
      </c>
      <c r="F323" s="179" t="n"/>
      <c r="G323" s="179" t="n"/>
      <c r="H323" s="179" t="n"/>
      <c r="I323" s="179" t="n"/>
      <c r="J323" s="179" t="n"/>
      <c r="K323" s="179" t="n"/>
      <c r="L323" s="179" t="n"/>
      <c r="M323" s="179" t="n"/>
      <c r="N323" s="179" t="n"/>
      <c r="O323" s="179" t="n"/>
      <c r="P323" s="179" t="inlineStr">
        <is>
          <t>внутр</t>
        </is>
      </c>
      <c r="Q323" s="179" t="inlineStr">
        <is>
          <t>внутр</t>
        </is>
      </c>
      <c r="R323" s="171" t="n"/>
      <c r="S323" s="171" t="n"/>
    </row>
    <row r="324" ht="18" customHeight="1">
      <c r="A324" s="45" t="inlineStr">
        <is>
          <t>работник 188</t>
        </is>
      </c>
      <c r="B324" s="178" t="inlineStr">
        <is>
          <t>Водитель автомобиля(занятый на траспортировании горной массы в технологическом процессе)</t>
        </is>
      </c>
      <c r="C324" s="178" t="inlineStr"/>
      <c r="D324" s="179" t="n"/>
      <c r="E324" s="179" t="inlineStr">
        <is>
          <t>внутр</t>
        </is>
      </c>
      <c r="F324" s="179" t="n"/>
      <c r="G324" s="179" t="n"/>
      <c r="H324" s="179" t="n"/>
      <c r="I324" s="179" t="n"/>
      <c r="J324" s="179" t="n"/>
      <c r="K324" s="179" t="n"/>
      <c r="L324" s="179" t="n"/>
      <c r="M324" s="179" t="n"/>
      <c r="N324" s="179" t="n"/>
      <c r="O324" s="179" t="n"/>
      <c r="P324" s="179" t="inlineStr">
        <is>
          <t>внутр</t>
        </is>
      </c>
      <c r="Q324" s="179" t="inlineStr">
        <is>
          <t>внутр</t>
        </is>
      </c>
      <c r="R324" s="171" t="n"/>
      <c r="S324" s="171" t="n"/>
    </row>
    <row r="325" ht="18" customHeight="1">
      <c r="A325" s="45" t="inlineStr">
        <is>
          <t>работник 751</t>
        </is>
      </c>
      <c r="B325" s="178" t="inlineStr">
        <is>
          <t>Фильтровальщик</t>
        </is>
      </c>
      <c r="C325" s="178" t="inlineStr"/>
      <c r="D325" s="179" t="n"/>
      <c r="E325" s="179" t="inlineStr">
        <is>
          <t>внутр</t>
        </is>
      </c>
      <c r="F325" s="179" t="inlineStr">
        <is>
          <t>внутр</t>
        </is>
      </c>
      <c r="G325" s="179" t="n"/>
      <c r="H325" s="179" t="inlineStr">
        <is>
          <t>внутр</t>
        </is>
      </c>
      <c r="I325" s="179" t="n"/>
      <c r="J325" s="179" t="n"/>
      <c r="K325" s="179" t="n"/>
      <c r="L325" s="179" t="n"/>
      <c r="M325" s="179" t="n"/>
      <c r="N325" s="179" t="n"/>
      <c r="O325" s="179" t="n"/>
      <c r="P325" s="179" t="inlineStr">
        <is>
          <t>внутр</t>
        </is>
      </c>
      <c r="Q325" s="179" t="inlineStr">
        <is>
          <t>внутр</t>
        </is>
      </c>
      <c r="R325" s="171" t="n"/>
      <c r="S325" s="171" t="n"/>
    </row>
    <row r="326" ht="18" customHeight="1">
      <c r="A326" s="45" t="inlineStr">
        <is>
          <t>работник 620</t>
        </is>
      </c>
      <c r="B326" s="178" t="inlineStr">
        <is>
          <t>Машинист двигателей внутреннего сгорания</t>
        </is>
      </c>
      <c r="C326" s="178" t="inlineStr"/>
      <c r="D326" s="179" t="n"/>
      <c r="E326" s="179" t="inlineStr">
        <is>
          <t>внутр</t>
        </is>
      </c>
      <c r="F326" s="179" t="n"/>
      <c r="G326" s="179" t="n"/>
      <c r="H326" s="179" t="n"/>
      <c r="I326" s="179" t="n"/>
      <c r="J326" s="179" t="n"/>
      <c r="K326" s="179" t="n"/>
      <c r="L326" s="179" t="n"/>
      <c r="M326" s="179" t="n"/>
      <c r="N326" s="179" t="n"/>
      <c r="O326" s="179" t="n"/>
      <c r="P326" s="179" t="inlineStr">
        <is>
          <t>внутр</t>
        </is>
      </c>
      <c r="Q326" s="179" t="inlineStr">
        <is>
          <t>внутр</t>
        </is>
      </c>
      <c r="R326" s="171" t="n"/>
      <c r="S326" s="171" t="n"/>
    </row>
    <row r="327" ht="18" customHeight="1">
      <c r="A327" s="45" t="inlineStr">
        <is>
          <t>работник 717</t>
        </is>
      </c>
      <c r="B327" s="178" t="inlineStr">
        <is>
          <t>Водитель автомобиля (категория С)</t>
        </is>
      </c>
      <c r="C327" s="178" t="inlineStr"/>
      <c r="D327" s="179" t="n"/>
      <c r="E327" s="179" t="inlineStr">
        <is>
          <t>внутр</t>
        </is>
      </c>
      <c r="F327" s="179" t="n"/>
      <c r="G327" s="179" t="n"/>
      <c r="H327" s="179" t="n"/>
      <c r="I327" s="179" t="n"/>
      <c r="J327" s="179" t="n"/>
      <c r="K327" s="179" t="n"/>
      <c r="L327" s="179" t="n"/>
      <c r="M327" s="179" t="n"/>
      <c r="N327" s="179" t="n"/>
      <c r="O327" s="179" t="n"/>
      <c r="P327" s="179" t="n"/>
      <c r="Q327" s="179" t="inlineStr">
        <is>
          <t>внутр</t>
        </is>
      </c>
      <c r="R327" s="171" t="n"/>
      <c r="S327" s="171" t="n"/>
    </row>
    <row r="328" ht="18" customHeight="1">
      <c r="A328" s="45" t="inlineStr">
        <is>
          <t>работник 578</t>
        </is>
      </c>
      <c r="B328" s="178" t="inlineStr">
        <is>
          <t>Пробоотборщик</t>
        </is>
      </c>
      <c r="C328" s="178" t="inlineStr"/>
      <c r="D328" s="179" t="n"/>
      <c r="E328" s="179" t="inlineStr">
        <is>
          <t>внутр</t>
        </is>
      </c>
      <c r="F328" s="179" t="n"/>
      <c r="G328" s="179" t="n"/>
      <c r="H328" s="179" t="n"/>
      <c r="I328" s="179" t="n"/>
      <c r="J328" s="179" t="n"/>
      <c r="K328" s="179" t="n"/>
      <c r="L328" s="179" t="n"/>
      <c r="M328" s="179" t="n"/>
      <c r="N328" s="179" t="n"/>
      <c r="O328" s="179" t="n"/>
      <c r="P328" s="179" t="n"/>
      <c r="Q328" s="179" t="inlineStr">
        <is>
          <t>внутр</t>
        </is>
      </c>
      <c r="R328" s="171" t="n"/>
      <c r="S328" s="171" t="n"/>
    </row>
    <row r="329" ht="18" customHeight="1">
      <c r="A329" s="45" t="inlineStr">
        <is>
          <t>работник 592</t>
        </is>
      </c>
      <c r="B329" s="178" t="inlineStr">
        <is>
          <t>Горничная</t>
        </is>
      </c>
      <c r="C329" s="178" t="inlineStr"/>
      <c r="D329" s="179" t="n"/>
      <c r="E329" s="179" t="inlineStr">
        <is>
          <t>внутр</t>
        </is>
      </c>
      <c r="F329" s="179" t="n"/>
      <c r="G329" s="179" t="n"/>
      <c r="H329" s="179" t="n"/>
      <c r="I329" s="179" t="n"/>
      <c r="J329" s="179" t="n"/>
      <c r="K329" s="179" t="n"/>
      <c r="L329" s="179" t="n"/>
      <c r="M329" s="179" t="n"/>
      <c r="N329" s="179" t="n"/>
      <c r="O329" s="179" t="n"/>
      <c r="P329" s="179" t="n"/>
      <c r="Q329" s="179" t="inlineStr">
        <is>
          <t>внутр</t>
        </is>
      </c>
      <c r="R329" s="171" t="n"/>
      <c r="S329" s="171" t="n"/>
    </row>
    <row r="330" ht="18" customHeight="1">
      <c r="A330" s="45" t="inlineStr">
        <is>
          <t>работник 127</t>
        </is>
      </c>
      <c r="B330" s="178" t="inlineStr">
        <is>
          <t>Машинист мельниц</t>
        </is>
      </c>
      <c r="C330" s="178" t="inlineStr"/>
      <c r="D330" s="179" t="n"/>
      <c r="E330" s="179" t="inlineStr">
        <is>
          <t>внутр</t>
        </is>
      </c>
      <c r="F330" s="179" t="n"/>
      <c r="G330" s="179" t="n"/>
      <c r="H330" s="179" t="n"/>
      <c r="I330" s="179" t="n"/>
      <c r="J330" s="179" t="n"/>
      <c r="K330" s="179" t="n"/>
      <c r="L330" s="179" t="n"/>
      <c r="M330" s="179" t="n"/>
      <c r="N330" s="179" t="n"/>
      <c r="O330" s="179" t="n"/>
      <c r="P330" s="179" t="inlineStr">
        <is>
          <t>внутр</t>
        </is>
      </c>
      <c r="Q330" s="179" t="inlineStr">
        <is>
          <t>внутр</t>
        </is>
      </c>
      <c r="R330" s="171" t="n"/>
      <c r="S330" s="171" t="n"/>
    </row>
    <row r="331" ht="18" customHeight="1">
      <c r="A331" s="45" t="inlineStr">
        <is>
          <t>работник 336</t>
        </is>
      </c>
      <c r="B331" s="178" t="inlineStr">
        <is>
          <t>Машинист ДВС с обязанностями компрессорщик</t>
        </is>
      </c>
      <c r="C331" s="178" t="inlineStr"/>
      <c r="D331" s="179" t="n"/>
      <c r="E331" s="179" t="inlineStr">
        <is>
          <t>внутр</t>
        </is>
      </c>
      <c r="F331" s="179" t="n"/>
      <c r="G331" s="179" t="n"/>
      <c r="H331" s="179" t="n"/>
      <c r="I331" s="179" t="n"/>
      <c r="J331" s="179" t="n"/>
      <c r="K331" s="179" t="n"/>
      <c r="L331" s="179" t="n"/>
      <c r="M331" s="179" t="n"/>
      <c r="N331" s="179" t="n"/>
      <c r="O331" s="179" t="n"/>
      <c r="P331" s="179" t="inlineStr">
        <is>
          <t>внутр</t>
        </is>
      </c>
      <c r="Q331" s="179" t="inlineStr">
        <is>
          <t>внутр</t>
        </is>
      </c>
      <c r="R331" s="171" t="n"/>
      <c r="S331" s="171" t="n"/>
    </row>
    <row r="332" ht="18" customHeight="1">
      <c r="A332" s="45" t="inlineStr">
        <is>
          <t>работник 277</t>
        </is>
      </c>
      <c r="B332" s="178" t="inlineStr">
        <is>
          <t>Машинист крана автомобильного</t>
        </is>
      </c>
      <c r="C332" s="178" t="inlineStr"/>
      <c r="D332" s="179" t="n"/>
      <c r="E332" s="179" t="inlineStr">
        <is>
          <t>внутр</t>
        </is>
      </c>
      <c r="F332" s="179" t="n"/>
      <c r="G332" s="179" t="n"/>
      <c r="H332" s="179" t="n"/>
      <c r="I332" s="179" t="n"/>
      <c r="J332" s="179" t="n"/>
      <c r="K332" s="179" t="n"/>
      <c r="L332" s="179" t="n"/>
      <c r="M332" s="179" t="n"/>
      <c r="N332" s="179" t="n"/>
      <c r="O332" s="179" t="n"/>
      <c r="P332" s="179" t="inlineStr">
        <is>
          <t>внутр</t>
        </is>
      </c>
      <c r="Q332" s="179" t="inlineStr">
        <is>
          <t>внутр</t>
        </is>
      </c>
      <c r="R332" s="171" t="n"/>
      <c r="S332" s="171" t="n"/>
    </row>
    <row r="333" ht="18" customHeight="1">
      <c r="A333" s="45" t="inlineStr">
        <is>
          <t>работник 662</t>
        </is>
      </c>
      <c r="B333" s="178" t="inlineStr">
        <is>
          <t>Фильтровальщик</t>
        </is>
      </c>
      <c r="C333" s="178" t="inlineStr"/>
      <c r="D333" s="179" t="n"/>
      <c r="E333" s="179" t="inlineStr">
        <is>
          <t>внутр</t>
        </is>
      </c>
      <c r="F333" s="179" t="n"/>
      <c r="G333" s="179" t="n"/>
      <c r="H333" s="179" t="n"/>
      <c r="I333" s="179" t="n"/>
      <c r="J333" s="179" t="n"/>
      <c r="K333" s="179" t="n"/>
      <c r="L333" s="179" t="n"/>
      <c r="M333" s="179" t="n"/>
      <c r="N333" s="179" t="n"/>
      <c r="O333" s="179" t="n"/>
      <c r="P333" s="179" t="n"/>
      <c r="Q333" s="179" t="inlineStr">
        <is>
          <t>внутр</t>
        </is>
      </c>
      <c r="R333" s="171" t="n"/>
      <c r="S333" s="171" t="n"/>
    </row>
    <row r="334" ht="18" customHeight="1">
      <c r="A334" s="45" t="inlineStr">
        <is>
          <t>работник 240</t>
        </is>
      </c>
      <c r="B334" s="178" t="inlineStr">
        <is>
          <t>Дробильщик</t>
        </is>
      </c>
      <c r="C334" s="178" t="inlineStr"/>
      <c r="D334" s="179" t="n"/>
      <c r="E334" s="179" t="inlineStr">
        <is>
          <t>внутр</t>
        </is>
      </c>
      <c r="F334" s="179" t="n"/>
      <c r="G334" s="179" t="n"/>
      <c r="H334" s="179" t="n"/>
      <c r="I334" s="179" t="n"/>
      <c r="J334" s="179" t="n"/>
      <c r="K334" s="179" t="n"/>
      <c r="L334" s="179" t="n"/>
      <c r="M334" s="179" t="n"/>
      <c r="N334" s="179" t="n"/>
      <c r="O334" s="179" t="n"/>
      <c r="P334" s="179" t="inlineStr">
        <is>
          <t>внутр</t>
        </is>
      </c>
      <c r="Q334" s="179" t="inlineStr">
        <is>
          <t>внутр</t>
        </is>
      </c>
      <c r="R334" s="171" t="n"/>
      <c r="S334" s="171" t="n"/>
    </row>
    <row r="335" ht="18" customHeight="1">
      <c r="A335" s="45" t="inlineStr">
        <is>
          <t>работник 227</t>
        </is>
      </c>
      <c r="B335" s="178" t="inlineStr">
        <is>
          <t>Кладовщик</t>
        </is>
      </c>
      <c r="C335" s="178" t="inlineStr"/>
      <c r="D335" s="179" t="n"/>
      <c r="E335" s="179" t="inlineStr">
        <is>
          <t>внутр</t>
        </is>
      </c>
      <c r="F335" s="179" t="n"/>
      <c r="G335" s="179" t="n"/>
      <c r="H335" s="179" t="n"/>
      <c r="I335" s="179" t="n"/>
      <c r="J335" s="179" t="n"/>
      <c r="K335" s="179" t="n"/>
      <c r="L335" s="179" t="n"/>
      <c r="M335" s="179" t="n"/>
      <c r="N335" s="179" t="n"/>
      <c r="O335" s="179" t="n"/>
      <c r="P335" s="179" t="inlineStr">
        <is>
          <t>внутр</t>
        </is>
      </c>
      <c r="Q335" s="179" t="inlineStr">
        <is>
          <t>внутр</t>
        </is>
      </c>
      <c r="R335" s="171" t="n"/>
      <c r="S335" s="171" t="n"/>
    </row>
    <row r="336" ht="18" customHeight="1">
      <c r="A336" s="45" t="inlineStr">
        <is>
          <t>работник 74</t>
        </is>
      </c>
      <c r="B336" s="178" t="inlineStr">
        <is>
          <t>Подсобный рабочий</t>
        </is>
      </c>
      <c r="C336" s="178" t="inlineStr"/>
      <c r="D336" s="179" t="n"/>
      <c r="E336" s="179" t="inlineStr">
        <is>
          <t>внутр</t>
        </is>
      </c>
      <c r="F336" s="179" t="n"/>
      <c r="G336" s="179" t="n"/>
      <c r="H336" s="179" t="n"/>
      <c r="I336" s="179" t="n"/>
      <c r="J336" s="179" t="n"/>
      <c r="K336" s="179" t="n"/>
      <c r="L336" s="179" t="n"/>
      <c r="M336" s="179" t="n"/>
      <c r="N336" s="179" t="n"/>
      <c r="O336" s="179" t="n"/>
      <c r="P336" s="179" t="inlineStr">
        <is>
          <t>внутр</t>
        </is>
      </c>
      <c r="Q336" s="179" t="inlineStr">
        <is>
          <t>внутр</t>
        </is>
      </c>
      <c r="R336" s="171" t="n"/>
      <c r="S336" s="171" t="n"/>
    </row>
    <row r="337" ht="18" customHeight="1">
      <c r="A337" s="45" t="inlineStr">
        <is>
          <t>работник 165</t>
        </is>
      </c>
      <c r="B337" s="178" t="inlineStr">
        <is>
          <t>Крепильщик | Крепильщик (пылевентиляционная служба)</t>
        </is>
      </c>
      <c r="C337" s="178" t="inlineStr"/>
      <c r="D337" s="179" t="n"/>
      <c r="E337" s="179" t="inlineStr">
        <is>
          <t>внутр</t>
        </is>
      </c>
      <c r="F337" s="179" t="n"/>
      <c r="G337" s="179" t="n"/>
      <c r="H337" s="179" t="n"/>
      <c r="I337" s="179" t="n"/>
      <c r="J337" s="179" t="n"/>
      <c r="K337" s="179" t="n"/>
      <c r="L337" s="179" t="n"/>
      <c r="M337" s="179" t="n"/>
      <c r="N337" s="179" t="n"/>
      <c r="O337" s="179" t="n"/>
      <c r="P337" s="179" t="inlineStr">
        <is>
          <t>внутр</t>
        </is>
      </c>
      <c r="Q337" s="179" t="inlineStr">
        <is>
          <t>внутр</t>
        </is>
      </c>
      <c r="R337" s="171" t="n"/>
      <c r="S337" s="171" t="n"/>
    </row>
    <row r="338" ht="18" customHeight="1">
      <c r="A338" s="45" t="inlineStr">
        <is>
          <t>работник 317</t>
        </is>
      </c>
      <c r="B338" s="178" t="inlineStr">
        <is>
          <t>Машинист  самоходной буровой установки (Очистное)</t>
        </is>
      </c>
      <c r="C338" s="178" t="inlineStr"/>
      <c r="D338" s="179" t="n"/>
      <c r="E338" s="179" t="inlineStr">
        <is>
          <t>внутр</t>
        </is>
      </c>
      <c r="F338" s="179" t="n"/>
      <c r="G338" s="179" t="n"/>
      <c r="H338" s="179" t="n"/>
      <c r="I338" s="179" t="n"/>
      <c r="J338" s="179" t="n"/>
      <c r="K338" s="179" t="n"/>
      <c r="L338" s="179" t="n"/>
      <c r="M338" s="179" t="n"/>
      <c r="N338" s="179" t="n"/>
      <c r="O338" s="179" t="n"/>
      <c r="P338" s="179" t="inlineStr">
        <is>
          <t>внутр</t>
        </is>
      </c>
      <c r="Q338" s="179" t="inlineStr">
        <is>
          <t>внутр</t>
        </is>
      </c>
      <c r="R338" s="171" t="n"/>
      <c r="S338" s="171" t="n"/>
    </row>
    <row r="339" ht="18" customHeight="1">
      <c r="A339" s="45" t="inlineStr">
        <is>
          <t>работник 600</t>
        </is>
      </c>
      <c r="B339" s="178" t="inlineStr">
        <is>
          <t>Слесарь-ремонтник (по ремонту самоходной техники)</t>
        </is>
      </c>
      <c r="C339" s="178" t="inlineStr"/>
      <c r="D339" s="179" t="n"/>
      <c r="E339" s="179" t="inlineStr">
        <is>
          <t>внутр</t>
        </is>
      </c>
      <c r="F339" s="179" t="n"/>
      <c r="G339" s="179" t="n"/>
      <c r="H339" s="179" t="n"/>
      <c r="I339" s="179" t="n"/>
      <c r="J339" s="179" t="n"/>
      <c r="K339" s="179" t="n"/>
      <c r="L339" s="179" t="n"/>
      <c r="M339" s="179" t="n"/>
      <c r="N339" s="179" t="n"/>
      <c r="O339" s="179" t="n"/>
      <c r="P339" s="179" t="inlineStr">
        <is>
          <t>внутр</t>
        </is>
      </c>
      <c r="Q339" s="179" t="inlineStr">
        <is>
          <t>внутр</t>
        </is>
      </c>
      <c r="R339" s="171" t="n"/>
      <c r="S339" s="171" t="n"/>
    </row>
    <row r="340" ht="18" customHeight="1">
      <c r="A340" s="45" t="inlineStr">
        <is>
          <t>работник 318</t>
        </is>
      </c>
      <c r="B340" s="178" t="inlineStr">
        <is>
          <t>Помощник машиниста  самоходной буровой установки (с исполнением обязанностей пробоотборщика)</t>
        </is>
      </c>
      <c r="C340" s="178" t="inlineStr"/>
      <c r="D340" s="179" t="n"/>
      <c r="E340" s="179" t="inlineStr">
        <is>
          <t>внутр</t>
        </is>
      </c>
      <c r="F340" s="179" t="n"/>
      <c r="G340" s="179" t="n"/>
      <c r="H340" s="179" t="n"/>
      <c r="I340" s="179" t="n"/>
      <c r="J340" s="179" t="n"/>
      <c r="K340" s="179" t="n"/>
      <c r="L340" s="179" t="n"/>
      <c r="M340" s="179" t="n"/>
      <c r="N340" s="179" t="n"/>
      <c r="O340" s="179" t="n"/>
      <c r="P340" s="179" t="inlineStr">
        <is>
          <t>внутр</t>
        </is>
      </c>
      <c r="Q340" s="179" t="inlineStr">
        <is>
          <t>внутр</t>
        </is>
      </c>
      <c r="R340" s="171" t="n"/>
      <c r="S340" s="171" t="n"/>
    </row>
    <row r="341" ht="18" customHeight="1">
      <c r="A341" s="45" t="inlineStr">
        <is>
          <t>работник 645</t>
        </is>
      </c>
      <c r="B341" s="178" t="inlineStr">
        <is>
          <t>Фильтровальщик</t>
        </is>
      </c>
      <c r="C341" s="178" t="inlineStr"/>
      <c r="D341" s="179" t="n"/>
      <c r="E341" s="179" t="inlineStr">
        <is>
          <t>внутр</t>
        </is>
      </c>
      <c r="F341" s="179" t="n"/>
      <c r="G341" s="179" t="n"/>
      <c r="H341" s="179" t="n"/>
      <c r="I341" s="179" t="n"/>
      <c r="J341" s="179" t="n"/>
      <c r="K341" s="179" t="n"/>
      <c r="L341" s="179" t="n"/>
      <c r="M341" s="179" t="n"/>
      <c r="N341" s="179" t="n"/>
      <c r="O341" s="179" t="n"/>
      <c r="P341" s="179" t="n"/>
      <c r="Q341" s="179" t="inlineStr">
        <is>
          <t>внутр</t>
        </is>
      </c>
      <c r="R341" s="171" t="n"/>
      <c r="S341" s="171" t="n"/>
    </row>
    <row r="342" ht="18" customHeight="1">
      <c r="A342" s="45" t="inlineStr">
        <is>
          <t>работник 641</t>
        </is>
      </c>
      <c r="B342" s="178" t="inlineStr">
        <is>
          <t>Аппаратчик-гидрометалург | Аппаратчик-гидрометаллург</t>
        </is>
      </c>
      <c r="C342" s="178" t="inlineStr"/>
      <c r="D342" s="179" t="n"/>
      <c r="E342" s="179" t="inlineStr">
        <is>
          <t>внутр</t>
        </is>
      </c>
      <c r="F342" s="179" t="n"/>
      <c r="G342" s="179" t="n"/>
      <c r="H342" s="179" t="n"/>
      <c r="I342" s="179" t="n"/>
      <c r="J342" s="179" t="n"/>
      <c r="K342" s="179" t="n"/>
      <c r="L342" s="179" t="n"/>
      <c r="M342" s="179" t="n"/>
      <c r="N342" s="179" t="n"/>
      <c r="O342" s="179" t="n"/>
      <c r="P342" s="179" t="inlineStr">
        <is>
          <t>внутр</t>
        </is>
      </c>
      <c r="Q342" s="179" t="inlineStr">
        <is>
          <t>внутр</t>
        </is>
      </c>
      <c r="R342" s="171" t="n"/>
      <c r="S342" s="171" t="n"/>
    </row>
    <row r="343" ht="18" customHeight="1">
      <c r="A343" s="45" t="inlineStr">
        <is>
          <t>работник 278</t>
        </is>
      </c>
      <c r="B343" s="178" t="inlineStr">
        <is>
          <t>Машинист экскаватора</t>
        </is>
      </c>
      <c r="C343" s="178" t="inlineStr"/>
      <c r="D343" s="179" t="n"/>
      <c r="E343" s="179" t="inlineStr">
        <is>
          <t>внутр</t>
        </is>
      </c>
      <c r="F343" s="179" t="n"/>
      <c r="G343" s="179" t="n"/>
      <c r="H343" s="179" t="n"/>
      <c r="I343" s="179" t="n"/>
      <c r="J343" s="179" t="n"/>
      <c r="K343" s="179" t="n"/>
      <c r="L343" s="179" t="n"/>
      <c r="M343" s="179" t="n"/>
      <c r="N343" s="179" t="n"/>
      <c r="O343" s="179" t="n"/>
      <c r="P343" s="179" t="inlineStr">
        <is>
          <t>внутр</t>
        </is>
      </c>
      <c r="Q343" s="179" t="inlineStr">
        <is>
          <t>внутр</t>
        </is>
      </c>
      <c r="R343" s="171" t="n"/>
      <c r="S343" s="171" t="n"/>
    </row>
    <row r="344" ht="18" customHeight="1">
      <c r="A344" s="45" t="inlineStr">
        <is>
          <t>работник 319</t>
        </is>
      </c>
      <c r="B344" s="178" t="inlineStr">
        <is>
          <t>Машинист погрузочно-доставочной машины (занятый на транспортировании горной массы в технологическом процессе)</t>
        </is>
      </c>
      <c r="C344" s="178" t="inlineStr"/>
      <c r="D344" s="179" t="n"/>
      <c r="E344" s="179" t="inlineStr">
        <is>
          <t>внутр</t>
        </is>
      </c>
      <c r="F344" s="179" t="n"/>
      <c r="G344" s="179" t="n"/>
      <c r="H344" s="179" t="n"/>
      <c r="I344" s="179" t="n"/>
      <c r="J344" s="179" t="n"/>
      <c r="K344" s="179" t="n"/>
      <c r="L344" s="179" t="n"/>
      <c r="M344" s="179" t="n"/>
      <c r="N344" s="179" t="n"/>
      <c r="O344" s="179" t="n"/>
      <c r="P344" s="179" t="inlineStr">
        <is>
          <t>внутр</t>
        </is>
      </c>
      <c r="Q344" s="179" t="inlineStr">
        <is>
          <t>внутр</t>
        </is>
      </c>
      <c r="R344" s="171" t="n"/>
      <c r="S344" s="171" t="n"/>
    </row>
    <row r="345" ht="18" customHeight="1">
      <c r="A345" s="45" t="inlineStr">
        <is>
          <t>работник 819</t>
        </is>
      </c>
      <c r="B345" s="178" t="inlineStr">
        <is>
          <t>Водитель погрузчика</t>
        </is>
      </c>
      <c r="C345" s="178" t="inlineStr"/>
      <c r="D345" s="179" t="n"/>
      <c r="E345" s="179" t="inlineStr">
        <is>
          <t>внутр</t>
        </is>
      </c>
      <c r="F345" s="179" t="n"/>
      <c r="G345" s="179" t="n"/>
      <c r="H345" s="179" t="n"/>
      <c r="I345" s="179" t="n"/>
      <c r="J345" s="179" t="n"/>
      <c r="K345" s="179" t="n"/>
      <c r="L345" s="179" t="n"/>
      <c r="M345" s="179" t="n"/>
      <c r="N345" s="179" t="n"/>
      <c r="O345" s="179" t="n"/>
      <c r="P345" s="179" t="n"/>
      <c r="Q345" s="179" t="inlineStr">
        <is>
          <t>внутр</t>
        </is>
      </c>
      <c r="R345" s="171" t="n"/>
      <c r="S345" s="171" t="n"/>
    </row>
    <row r="346" ht="18" customHeight="1">
      <c r="A346" s="45" t="inlineStr">
        <is>
          <t>работник 637</t>
        </is>
      </c>
      <c r="B346" s="178" t="inlineStr">
        <is>
          <t>Дробильщик</t>
        </is>
      </c>
      <c r="C346" s="178" t="inlineStr"/>
      <c r="D346" s="179" t="n"/>
      <c r="E346" s="179" t="inlineStr">
        <is>
          <t>внутр</t>
        </is>
      </c>
      <c r="F346" s="179" t="n"/>
      <c r="G346" s="179" t="n"/>
      <c r="H346" s="179" t="n"/>
      <c r="I346" s="179" t="n"/>
      <c r="J346" s="179" t="n"/>
      <c r="K346" s="179" t="n"/>
      <c r="L346" s="179" t="n"/>
      <c r="M346" s="179" t="n"/>
      <c r="N346" s="179" t="n"/>
      <c r="O346" s="179" t="n"/>
      <c r="P346" s="179" t="inlineStr">
        <is>
          <t>внутр</t>
        </is>
      </c>
      <c r="Q346" s="179" t="inlineStr">
        <is>
          <t>внутр</t>
        </is>
      </c>
      <c r="R346" s="171" t="n"/>
      <c r="S346" s="171" t="n"/>
    </row>
    <row r="347" ht="18" customHeight="1">
      <c r="A347" s="45" t="inlineStr">
        <is>
          <t>работник 487</t>
        </is>
      </c>
      <c r="B347" s="178" t="inlineStr">
        <is>
          <t>Машинист  самоходной буровой установки (Проходка | Машинист самоходной буровой установки (Проходка)</t>
        </is>
      </c>
      <c r="C347" s="178" t="inlineStr"/>
      <c r="D347" s="179" t="n"/>
      <c r="E347" s="179" t="inlineStr">
        <is>
          <t>внутр</t>
        </is>
      </c>
      <c r="F347" s="179" t="n"/>
      <c r="G347" s="179" t="n"/>
      <c r="H347" s="179" t="n"/>
      <c r="I347" s="179" t="n"/>
      <c r="J347" s="179" t="n"/>
      <c r="K347" s="179" t="n"/>
      <c r="L347" s="179" t="n"/>
      <c r="M347" s="179" t="n"/>
      <c r="N347" s="179" t="n"/>
      <c r="O347" s="179" t="n"/>
      <c r="P347" s="179" t="inlineStr">
        <is>
          <t>внутр</t>
        </is>
      </c>
      <c r="Q347" s="179" t="inlineStr">
        <is>
          <t>внутр</t>
        </is>
      </c>
      <c r="R347" s="171" t="n"/>
      <c r="S347" s="171" t="n"/>
    </row>
    <row r="348" ht="18" customHeight="1">
      <c r="A348" s="45" t="inlineStr">
        <is>
          <t>работник 643</t>
        </is>
      </c>
      <c r="B348" s="178" t="inlineStr">
        <is>
          <t>Начальник смены</t>
        </is>
      </c>
      <c r="C348" s="178" t="inlineStr">
        <is>
          <t>Руководитель</t>
        </is>
      </c>
      <c r="D348" s="179" t="n"/>
      <c r="E348" s="180" t="inlineStr">
        <is>
          <t>внутр</t>
        </is>
      </c>
      <c r="F348" s="179" t="n"/>
      <c r="G348" s="179" t="n"/>
      <c r="H348" s="179" t="n"/>
      <c r="I348" s="179" t="n"/>
      <c r="J348" s="179" t="n"/>
      <c r="K348" s="179" t="n"/>
      <c r="L348" s="179" t="n"/>
      <c r="M348" s="179" t="n"/>
      <c r="N348" s="179" t="n"/>
      <c r="O348" s="179" t="n"/>
      <c r="P348" s="179" t="n"/>
      <c r="Q348" s="179" t="inlineStr">
        <is>
          <t>внутр</t>
        </is>
      </c>
      <c r="R348" s="171" t="n">
        <v>1</v>
      </c>
      <c r="S348" s="171" t="n"/>
    </row>
    <row r="349" ht="18" customHeight="1">
      <c r="A349" s="45" t="inlineStr">
        <is>
          <t>работник 35</t>
        </is>
      </c>
      <c r="B349" s="178" t="inlineStr">
        <is>
          <t>Лаборант пробирного анализа | Водитель погрузчика</t>
        </is>
      </c>
      <c r="C349" s="178" t="inlineStr"/>
      <c r="D349" s="179" t="n"/>
      <c r="E349" s="179" t="inlineStr">
        <is>
          <t>внутр</t>
        </is>
      </c>
      <c r="F349" s="179" t="n"/>
      <c r="G349" s="179" t="n"/>
      <c r="H349" s="179" t="n"/>
      <c r="I349" s="179" t="n"/>
      <c r="J349" s="179" t="n"/>
      <c r="K349" s="179" t="n"/>
      <c r="L349" s="179" t="n"/>
      <c r="M349" s="179" t="n"/>
      <c r="N349" s="179" t="n"/>
      <c r="O349" s="179" t="n"/>
      <c r="P349" s="179" t="inlineStr">
        <is>
          <t>внутр</t>
        </is>
      </c>
      <c r="Q349" s="179" t="inlineStr">
        <is>
          <t>внутр</t>
        </is>
      </c>
      <c r="R349" s="171" t="n"/>
      <c r="S349" s="171" t="n"/>
    </row>
    <row r="350" ht="18" customHeight="1">
      <c r="A350" s="45" t="inlineStr">
        <is>
          <t>работник 333</t>
        </is>
      </c>
      <c r="B350" s="178" t="inlineStr">
        <is>
          <t>Дробильщик</t>
        </is>
      </c>
      <c r="C350" s="178" t="inlineStr"/>
      <c r="D350" s="179" t="n"/>
      <c r="E350" s="179" t="inlineStr">
        <is>
          <t>внутр</t>
        </is>
      </c>
      <c r="F350" s="179" t="n"/>
      <c r="G350" s="179" t="n"/>
      <c r="H350" s="179" t="n"/>
      <c r="I350" s="179" t="n"/>
      <c r="J350" s="179" t="n"/>
      <c r="K350" s="179" t="n"/>
      <c r="L350" s="179" t="n"/>
      <c r="M350" s="179" t="n"/>
      <c r="N350" s="179" t="n"/>
      <c r="O350" s="179" t="n"/>
      <c r="P350" s="179" t="inlineStr">
        <is>
          <t>внутр</t>
        </is>
      </c>
      <c r="Q350" s="179" t="inlineStr">
        <is>
          <t>внутр</t>
        </is>
      </c>
      <c r="R350" s="171" t="n"/>
      <c r="S350" s="171" t="n"/>
    </row>
    <row r="351" ht="18" customHeight="1">
      <c r="A351" s="45" t="inlineStr">
        <is>
          <t>работник 21</t>
        </is>
      </c>
      <c r="B351" s="178" t="inlineStr">
        <is>
          <t>Машинист бульдозера</t>
        </is>
      </c>
      <c r="C351" s="178" t="inlineStr"/>
      <c r="D351" s="179" t="n"/>
      <c r="E351" s="179" t="inlineStr">
        <is>
          <t>внутр</t>
        </is>
      </c>
      <c r="F351" s="179" t="n"/>
      <c r="G351" s="179" t="n"/>
      <c r="H351" s="179" t="n"/>
      <c r="I351" s="179" t="n"/>
      <c r="J351" s="179" t="n"/>
      <c r="K351" s="179" t="n"/>
      <c r="L351" s="179" t="n"/>
      <c r="M351" s="179" t="n"/>
      <c r="N351" s="179" t="n"/>
      <c r="O351" s="179" t="n"/>
      <c r="P351" s="179" t="inlineStr">
        <is>
          <t>внутр</t>
        </is>
      </c>
      <c r="Q351" s="179" t="inlineStr">
        <is>
          <t>внутр</t>
        </is>
      </c>
      <c r="R351" s="171" t="n"/>
      <c r="S351" s="171" t="n"/>
    </row>
    <row r="352" ht="18" customHeight="1">
      <c r="A352" s="45" t="inlineStr">
        <is>
          <t>работник 22</t>
        </is>
      </c>
      <c r="B352" s="178" t="inlineStr">
        <is>
          <t>Электрогазосварщик (занятый на резке и ручной сварке) | Электрогазосварщик(занятый на резке и ручной сварке)</t>
        </is>
      </c>
      <c r="C352" s="178" t="inlineStr"/>
      <c r="D352" s="179" t="n"/>
      <c r="E352" s="179" t="inlineStr">
        <is>
          <t>внутр</t>
        </is>
      </c>
      <c r="F352" s="179" t="n"/>
      <c r="G352" s="179" t="inlineStr">
        <is>
          <t>внутр</t>
        </is>
      </c>
      <c r="H352" s="179" t="n"/>
      <c r="I352" s="179" t="n"/>
      <c r="J352" s="179" t="n"/>
      <c r="K352" s="179" t="n"/>
      <c r="L352" s="179" t="n"/>
      <c r="M352" s="179" t="n"/>
      <c r="N352" s="179" t="n"/>
      <c r="O352" s="179" t="n"/>
      <c r="P352" s="179" t="inlineStr">
        <is>
          <t>внутр</t>
        </is>
      </c>
      <c r="Q352" s="179" t="inlineStr">
        <is>
          <t>внутр</t>
        </is>
      </c>
      <c r="R352" s="171" t="n"/>
      <c r="S352" s="171" t="n"/>
    </row>
    <row r="353" ht="18" customHeight="1">
      <c r="A353" s="45" t="inlineStr">
        <is>
          <t>работник 46</t>
        </is>
      </c>
      <c r="B353" s="178" t="inlineStr">
        <is>
          <t>Механик холодильных установок | Машинист двигателей внутреннего сгорания</t>
        </is>
      </c>
      <c r="C353" s="178" t="inlineStr"/>
      <c r="D353" s="179" t="n"/>
      <c r="E353" s="179" t="inlineStr">
        <is>
          <t>внутр</t>
        </is>
      </c>
      <c r="F353" s="179" t="n"/>
      <c r="G353" s="179" t="n"/>
      <c r="H353" s="179" t="n"/>
      <c r="I353" s="179" t="n"/>
      <c r="J353" s="179" t="n"/>
      <c r="K353" s="179" t="n"/>
      <c r="L353" s="179" t="n"/>
      <c r="M353" s="179" t="n"/>
      <c r="N353" s="179" t="n"/>
      <c r="O353" s="179" t="n"/>
      <c r="P353" s="179" t="inlineStr">
        <is>
          <t>внутр</t>
        </is>
      </c>
      <c r="Q353" s="179" t="inlineStr">
        <is>
          <t>внутр</t>
        </is>
      </c>
      <c r="R353" s="171" t="n"/>
      <c r="S353" s="171" t="n"/>
    </row>
    <row r="354" ht="18" customHeight="1">
      <c r="A354" s="45" t="inlineStr">
        <is>
          <t>работник 17</t>
        </is>
      </c>
      <c r="B354" s="178" t="inlineStr">
        <is>
          <t>Проходчик (с исполнением обязанностей взрывника)</t>
        </is>
      </c>
      <c r="C354" s="178" t="inlineStr"/>
      <c r="D354" s="179" t="n"/>
      <c r="E354" s="179" t="inlineStr">
        <is>
          <t>внутр</t>
        </is>
      </c>
      <c r="F354" s="179" t="n"/>
      <c r="G354" s="179" t="n"/>
      <c r="H354" s="179" t="n"/>
      <c r="I354" s="179" t="n"/>
      <c r="J354" s="179" t="n"/>
      <c r="K354" s="179" t="n"/>
      <c r="L354" s="179" t="n"/>
      <c r="M354" s="179" t="n"/>
      <c r="N354" s="179" t="n"/>
      <c r="O354" s="179" t="n"/>
      <c r="P354" s="179" t="inlineStr">
        <is>
          <t>внутр</t>
        </is>
      </c>
      <c r="Q354" s="179" t="inlineStr">
        <is>
          <t>внутр</t>
        </is>
      </c>
      <c r="R354" s="171" t="n"/>
      <c r="S354" s="171" t="n"/>
    </row>
    <row r="355" ht="18" customHeight="1">
      <c r="A355" s="45" t="inlineStr">
        <is>
          <t>работник 28</t>
        </is>
      </c>
      <c r="B355" s="178" t="inlineStr">
        <is>
          <t>Электрогазосварщик | Электрогазосварщик (занятый на резке и ручной сварке)</t>
        </is>
      </c>
      <c r="C355" s="178" t="inlineStr"/>
      <c r="D355" s="179" t="n"/>
      <c r="E355" s="179" t="n"/>
      <c r="F355" s="179" t="inlineStr">
        <is>
          <t>внутр</t>
        </is>
      </c>
      <c r="G355" s="179" t="inlineStr">
        <is>
          <t>внутр</t>
        </is>
      </c>
      <c r="H355" s="179" t="inlineStr">
        <is>
          <t>внутр</t>
        </is>
      </c>
      <c r="I355" s="179" t="inlineStr">
        <is>
          <t>внутр</t>
        </is>
      </c>
      <c r="J355" s="179" t="inlineStr">
        <is>
          <t>внутр</t>
        </is>
      </c>
      <c r="K355" s="179" t="inlineStr">
        <is>
          <t>внутр</t>
        </is>
      </c>
      <c r="L355" s="179" t="n"/>
      <c r="M355" s="179" t="n"/>
      <c r="N355" s="179" t="n"/>
      <c r="O355" s="179" t="n"/>
      <c r="P355" s="179" t="n"/>
      <c r="Q355" s="179" t="n"/>
      <c r="R355" s="171" t="n"/>
      <c r="S355" s="171" t="n"/>
    </row>
    <row r="356" ht="18" customHeight="1">
      <c r="A356" s="45" t="inlineStr">
        <is>
          <t>работник 752</t>
        </is>
      </c>
      <c r="B356" s="178" t="inlineStr">
        <is>
          <t>Фильтровальщик</t>
        </is>
      </c>
      <c r="C356" s="178" t="inlineStr"/>
      <c r="D356" s="179" t="n"/>
      <c r="E356" s="179" t="inlineStr">
        <is>
          <t>внутр</t>
        </is>
      </c>
      <c r="F356" s="179" t="inlineStr">
        <is>
          <t>внутр</t>
        </is>
      </c>
      <c r="G356" s="179" t="n"/>
      <c r="H356" s="179" t="inlineStr">
        <is>
          <t>внутр</t>
        </is>
      </c>
      <c r="I356" s="179" t="n"/>
      <c r="J356" s="179" t="n"/>
      <c r="K356" s="179" t="n"/>
      <c r="L356" s="179" t="n"/>
      <c r="M356" s="179" t="n"/>
      <c r="N356" s="179" t="n"/>
      <c r="O356" s="179" t="n"/>
      <c r="P356" s="179" t="inlineStr">
        <is>
          <t>внутр</t>
        </is>
      </c>
      <c r="Q356" s="179" t="inlineStr">
        <is>
          <t>внутр</t>
        </is>
      </c>
      <c r="R356" s="171" t="n"/>
      <c r="S356" s="171" t="n"/>
    </row>
    <row r="357" ht="18" customHeight="1">
      <c r="A357" s="45" t="inlineStr">
        <is>
          <t>работник 247</t>
        </is>
      </c>
      <c r="B357" s="178" t="inlineStr">
        <is>
          <t>Электрогазосварщик</t>
        </is>
      </c>
      <c r="C357" s="178" t="inlineStr"/>
      <c r="D357" s="179" t="n"/>
      <c r="E357" s="179" t="n"/>
      <c r="F357" s="179" t="inlineStr">
        <is>
          <t>внутр</t>
        </is>
      </c>
      <c r="G357" s="179" t="inlineStr">
        <is>
          <t>внутр</t>
        </is>
      </c>
      <c r="H357" s="179" t="inlineStr">
        <is>
          <t>внутр</t>
        </is>
      </c>
      <c r="I357" s="179" t="inlineStr">
        <is>
          <t>внутр</t>
        </is>
      </c>
      <c r="J357" s="179" t="inlineStr">
        <is>
          <t>внутр</t>
        </is>
      </c>
      <c r="K357" s="179" t="inlineStr">
        <is>
          <t>внутр</t>
        </is>
      </c>
      <c r="L357" s="179" t="n"/>
      <c r="M357" s="179" t="n"/>
      <c r="N357" s="179" t="n"/>
      <c r="O357" s="179" t="n"/>
      <c r="P357" s="179" t="n"/>
      <c r="Q357" s="179" t="n"/>
      <c r="R357" s="171" t="n"/>
      <c r="S357" s="171" t="n"/>
    </row>
    <row r="358" ht="18" customHeight="1">
      <c r="A358" s="45" t="inlineStr">
        <is>
          <t>работник 510</t>
        </is>
      </c>
      <c r="B358" s="178" t="inlineStr">
        <is>
          <t>Слесарь КИПиА</t>
        </is>
      </c>
      <c r="C358" s="178" t="inlineStr"/>
      <c r="D358" s="179" t="n"/>
      <c r="E358" s="179" t="inlineStr">
        <is>
          <t>внутр</t>
        </is>
      </c>
      <c r="F358" s="179" t="n"/>
      <c r="G358" s="179" t="n"/>
      <c r="H358" s="179" t="n"/>
      <c r="I358" s="179" t="n"/>
      <c r="J358" s="179" t="n"/>
      <c r="K358" s="179" t="n"/>
      <c r="L358" s="179" t="n"/>
      <c r="M358" s="179" t="n"/>
      <c r="N358" s="179" t="n"/>
      <c r="O358" s="179" t="n"/>
      <c r="P358" s="179" t="n"/>
      <c r="Q358" s="179" t="inlineStr">
        <is>
          <t>внутр</t>
        </is>
      </c>
      <c r="R358" s="171" t="n"/>
      <c r="S358" s="171" t="n"/>
    </row>
    <row r="359" ht="18" customHeight="1">
      <c r="A359" s="45" t="inlineStr">
        <is>
          <t>работник 408</t>
        </is>
      </c>
      <c r="B359" s="178" t="inlineStr">
        <is>
          <t>Машинист бульдозера</t>
        </is>
      </c>
      <c r="C359" s="178" t="inlineStr"/>
      <c r="D359" s="179" t="n"/>
      <c r="E359" s="179" t="inlineStr">
        <is>
          <t>внутр</t>
        </is>
      </c>
      <c r="F359" s="179" t="n"/>
      <c r="G359" s="179" t="n"/>
      <c r="H359" s="179" t="n"/>
      <c r="I359" s="179" t="n"/>
      <c r="J359" s="179" t="n"/>
      <c r="K359" s="179" t="n"/>
      <c r="L359" s="179" t="n"/>
      <c r="M359" s="179" t="n"/>
      <c r="N359" s="179" t="n"/>
      <c r="O359" s="179" t="n"/>
      <c r="P359" s="179" t="n"/>
      <c r="Q359" s="179" t="inlineStr">
        <is>
          <t>внутр</t>
        </is>
      </c>
      <c r="R359" s="171" t="n"/>
      <c r="S359" s="171" t="n"/>
    </row>
    <row r="360" ht="18" customHeight="1">
      <c r="A360" s="45" t="inlineStr">
        <is>
          <t>работник 828</t>
        </is>
      </c>
      <c r="B360" s="178" t="inlineStr">
        <is>
          <t>Дробильщик</t>
        </is>
      </c>
      <c r="C360" s="178" t="inlineStr"/>
      <c r="D360" s="179" t="n"/>
      <c r="E360" s="179" t="inlineStr">
        <is>
          <t>внутр</t>
        </is>
      </c>
      <c r="F360" s="179" t="n"/>
      <c r="G360" s="179" t="n"/>
      <c r="H360" s="179" t="n"/>
      <c r="I360" s="179" t="n"/>
      <c r="J360" s="179" t="n"/>
      <c r="K360" s="179" t="n"/>
      <c r="L360" s="179" t="n"/>
      <c r="M360" s="179" t="n"/>
      <c r="N360" s="179" t="n"/>
      <c r="O360" s="179" t="n"/>
      <c r="P360" s="179" t="inlineStr">
        <is>
          <t>внутр</t>
        </is>
      </c>
      <c r="Q360" s="179" t="inlineStr">
        <is>
          <t>внутр</t>
        </is>
      </c>
      <c r="R360" s="171" t="n"/>
      <c r="S360" s="171" t="n"/>
    </row>
    <row r="361" ht="18" customHeight="1">
      <c r="A361" s="45" t="inlineStr">
        <is>
          <t>работник 528</t>
        </is>
      </c>
      <c r="B361" s="178" t="inlineStr">
        <is>
          <t>Дробильщик</t>
        </is>
      </c>
      <c r="C361" s="178" t="inlineStr"/>
      <c r="D361" s="179" t="n"/>
      <c r="E361" s="179" t="inlineStr">
        <is>
          <t>внутр</t>
        </is>
      </c>
      <c r="F361" s="179" t="n"/>
      <c r="G361" s="179" t="n"/>
      <c r="H361" s="179" t="n"/>
      <c r="I361" s="179" t="n"/>
      <c r="J361" s="179" t="n"/>
      <c r="K361" s="179" t="n"/>
      <c r="L361" s="179" t="n"/>
      <c r="M361" s="179" t="n"/>
      <c r="N361" s="179" t="n"/>
      <c r="O361" s="179" t="n"/>
      <c r="P361" s="179" t="n"/>
      <c r="Q361" s="179" t="inlineStr">
        <is>
          <t>внутр</t>
        </is>
      </c>
      <c r="R361" s="171" t="n"/>
      <c r="S361" s="171" t="n"/>
    </row>
    <row r="362" ht="18" customHeight="1">
      <c r="A362" s="45" t="inlineStr">
        <is>
          <t>работник 232</t>
        </is>
      </c>
      <c r="B362" s="178" t="inlineStr">
        <is>
          <t>Лаборант пробирного анализа</t>
        </is>
      </c>
      <c r="C362" s="178" t="inlineStr"/>
      <c r="D362" s="179" t="n"/>
      <c r="E362" s="179" t="inlineStr">
        <is>
          <t>внутр</t>
        </is>
      </c>
      <c r="F362" s="179" t="n"/>
      <c r="G362" s="179" t="n"/>
      <c r="H362" s="179" t="n"/>
      <c r="I362" s="179" t="n"/>
      <c r="J362" s="179" t="n"/>
      <c r="K362" s="179" t="n"/>
      <c r="L362" s="179" t="n"/>
      <c r="M362" s="179" t="n"/>
      <c r="N362" s="179" t="n"/>
      <c r="O362" s="179" t="n"/>
      <c r="P362" s="179" t="inlineStr">
        <is>
          <t>внутр</t>
        </is>
      </c>
      <c r="Q362" s="179" t="inlineStr">
        <is>
          <t>внутр</t>
        </is>
      </c>
      <c r="R362" s="171" t="n"/>
      <c r="S362" s="171" t="n"/>
    </row>
    <row r="363" ht="18" customHeight="1">
      <c r="A363" s="45" t="inlineStr">
        <is>
          <t>работник 279</t>
        </is>
      </c>
      <c r="B363" s="178" t="inlineStr">
        <is>
          <t>Водитель погрузчика</t>
        </is>
      </c>
      <c r="C363" s="178" t="inlineStr"/>
      <c r="D363" s="179" t="n"/>
      <c r="E363" s="179" t="inlineStr">
        <is>
          <t>внутр</t>
        </is>
      </c>
      <c r="F363" s="179" t="n"/>
      <c r="G363" s="179" t="n"/>
      <c r="H363" s="179" t="n"/>
      <c r="I363" s="179" t="n"/>
      <c r="J363" s="179" t="n"/>
      <c r="K363" s="179" t="n"/>
      <c r="L363" s="179" t="n"/>
      <c r="M363" s="179" t="n"/>
      <c r="N363" s="179" t="n"/>
      <c r="O363" s="179" t="n"/>
      <c r="P363" s="179" t="inlineStr">
        <is>
          <t>внутр</t>
        </is>
      </c>
      <c r="Q363" s="179" t="inlineStr">
        <is>
          <t>внутр</t>
        </is>
      </c>
      <c r="R363" s="171" t="n"/>
      <c r="S363" s="171" t="n"/>
    </row>
    <row r="364" ht="18" customHeight="1">
      <c r="A364" s="45" t="inlineStr">
        <is>
          <t>работник 718</t>
        </is>
      </c>
      <c r="B364" s="178" t="inlineStr">
        <is>
          <t>Горнорабочий</t>
        </is>
      </c>
      <c r="C364" s="178" t="inlineStr"/>
      <c r="D364" s="179" t="n"/>
      <c r="E364" s="179" t="inlineStr">
        <is>
          <t>внутр</t>
        </is>
      </c>
      <c r="F364" s="179" t="n"/>
      <c r="G364" s="179" t="n"/>
      <c r="H364" s="179" t="n"/>
      <c r="I364" s="179" t="n"/>
      <c r="J364" s="179" t="n"/>
      <c r="K364" s="179" t="n"/>
      <c r="L364" s="179" t="n"/>
      <c r="M364" s="179" t="n"/>
      <c r="N364" s="179" t="n"/>
      <c r="O364" s="179" t="n"/>
      <c r="P364" s="179" t="n"/>
      <c r="Q364" s="179" t="inlineStr">
        <is>
          <t>внутр</t>
        </is>
      </c>
      <c r="R364" s="171" t="n"/>
      <c r="S364" s="171" t="n"/>
    </row>
    <row r="365" ht="18" customHeight="1">
      <c r="A365" s="45" t="inlineStr">
        <is>
          <t>работник 508</t>
        </is>
      </c>
      <c r="B365" s="178" t="inlineStr">
        <is>
          <t>Горнорабочиий на маркшейдерских работах | Горнорабочий на геологических работах | Помощник машиниста самоходной буровой установки (с исполнением обязанностей пробоотборщика) (Очистное) | Помощник машиниста самоходной буровой установки (с исполнением обязанностей пробоотборщика)</t>
        </is>
      </c>
      <c r="C365" s="178" t="inlineStr"/>
      <c r="D365" s="179" t="n"/>
      <c r="E365" s="179" t="inlineStr">
        <is>
          <t>внутр</t>
        </is>
      </c>
      <c r="F365" s="179" t="n"/>
      <c r="G365" s="179" t="n"/>
      <c r="H365" s="179" t="n"/>
      <c r="I365" s="179" t="n"/>
      <c r="J365" s="179" t="n"/>
      <c r="K365" s="179" t="n"/>
      <c r="L365" s="179" t="n"/>
      <c r="M365" s="179" t="n"/>
      <c r="N365" s="179" t="n"/>
      <c r="O365" s="179" t="n"/>
      <c r="P365" s="179" t="inlineStr">
        <is>
          <t>внутр</t>
        </is>
      </c>
      <c r="Q365" s="179" t="inlineStr">
        <is>
          <t>внутр</t>
        </is>
      </c>
      <c r="R365" s="171" t="n"/>
      <c r="S365" s="171" t="n"/>
    </row>
    <row r="366" ht="18" customHeight="1">
      <c r="A366" s="45" t="inlineStr">
        <is>
          <t>работник 777</t>
        </is>
      </c>
      <c r="B366" s="178" t="inlineStr">
        <is>
          <t>Машинист самоходной буровой установки</t>
        </is>
      </c>
      <c r="C366" s="178" t="inlineStr"/>
      <c r="D366" s="179" t="n"/>
      <c r="E366" s="179" t="inlineStr">
        <is>
          <t>внутр</t>
        </is>
      </c>
      <c r="F366" s="179" t="n"/>
      <c r="G366" s="179" t="n"/>
      <c r="H366" s="179" t="n"/>
      <c r="I366" s="179" t="n"/>
      <c r="J366" s="179" t="n"/>
      <c r="K366" s="179" t="n"/>
      <c r="L366" s="179" t="n"/>
      <c r="M366" s="179" t="n"/>
      <c r="N366" s="179" t="n"/>
      <c r="O366" s="179" t="n"/>
      <c r="P366" s="179" t="n"/>
      <c r="Q366" s="179" t="inlineStr">
        <is>
          <t>внутр</t>
        </is>
      </c>
      <c r="R366" s="171" t="n"/>
      <c r="S366" s="171" t="n"/>
    </row>
    <row r="367" ht="18" customHeight="1">
      <c r="A367" s="45" t="inlineStr">
        <is>
          <t>работник 391</t>
        </is>
      </c>
      <c r="B367" s="178" t="inlineStr">
        <is>
          <t>Машинист насосных установок</t>
        </is>
      </c>
      <c r="C367" s="178" t="inlineStr"/>
      <c r="D367" s="179" t="n"/>
      <c r="E367" s="179" t="inlineStr">
        <is>
          <t>внутр</t>
        </is>
      </c>
      <c r="F367" s="179" t="n"/>
      <c r="G367" s="179" t="n"/>
      <c r="H367" s="179" t="n"/>
      <c r="I367" s="179" t="n"/>
      <c r="J367" s="179" t="n"/>
      <c r="K367" s="179" t="n"/>
      <c r="L367" s="179" t="n"/>
      <c r="M367" s="179" t="n"/>
      <c r="N367" s="179" t="n"/>
      <c r="O367" s="179" t="n"/>
      <c r="P367" s="179" t="inlineStr">
        <is>
          <t>внутр</t>
        </is>
      </c>
      <c r="Q367" s="179" t="inlineStr">
        <is>
          <t>внутр</t>
        </is>
      </c>
      <c r="R367" s="171" t="n"/>
      <c r="S367" s="171" t="n"/>
    </row>
    <row r="368" ht="18" customHeight="1">
      <c r="A368" s="45" t="inlineStr">
        <is>
          <t>работник 838</t>
        </is>
      </c>
      <c r="B368" s="178" t="inlineStr">
        <is>
          <t>Машинист погрузочно-доставочной машины (занятый на транспортировании горной массы в технологическом процессе)</t>
        </is>
      </c>
      <c r="C368" s="178" t="inlineStr"/>
      <c r="D368" s="179" t="n"/>
      <c r="E368" s="179" t="inlineStr">
        <is>
          <t>внутр</t>
        </is>
      </c>
      <c r="F368" s="179" t="n"/>
      <c r="G368" s="179" t="n"/>
      <c r="H368" s="179" t="n"/>
      <c r="I368" s="179" t="n"/>
      <c r="J368" s="179" t="n"/>
      <c r="K368" s="179" t="n"/>
      <c r="L368" s="179" t="n"/>
      <c r="M368" s="179" t="n"/>
      <c r="N368" s="179" t="n"/>
      <c r="O368" s="179" t="n"/>
      <c r="P368" s="179" t="inlineStr">
        <is>
          <t>внутр</t>
        </is>
      </c>
      <c r="Q368" s="179" t="inlineStr">
        <is>
          <t>внутр</t>
        </is>
      </c>
      <c r="R368" s="171" t="n"/>
      <c r="S368" s="171" t="n"/>
    </row>
    <row r="369" ht="18" customHeight="1">
      <c r="A369" s="45" t="inlineStr">
        <is>
          <t>работник 857</t>
        </is>
      </c>
      <c r="B369" s="178" t="inlineStr">
        <is>
          <t>Уборщик производственных и служебных помещений</t>
        </is>
      </c>
      <c r="C369" s="178" t="inlineStr"/>
      <c r="D369" s="179" t="n"/>
      <c r="E369" s="179" t="inlineStr">
        <is>
          <t>внутр</t>
        </is>
      </c>
      <c r="F369" s="179" t="n"/>
      <c r="G369" s="179" t="n"/>
      <c r="H369" s="179" t="n"/>
      <c r="I369" s="179" t="n"/>
      <c r="J369" s="179" t="n"/>
      <c r="K369" s="179" t="n"/>
      <c r="L369" s="179" t="n"/>
      <c r="M369" s="179" t="n"/>
      <c r="N369" s="179" t="n"/>
      <c r="O369" s="179" t="n"/>
      <c r="P369" s="179" t="inlineStr">
        <is>
          <t>внутр</t>
        </is>
      </c>
      <c r="Q369" s="179" t="inlineStr">
        <is>
          <t>внутр</t>
        </is>
      </c>
      <c r="R369" s="171" t="n"/>
      <c r="S369" s="171" t="n"/>
    </row>
    <row r="370" ht="18" customHeight="1">
      <c r="A370" s="45" t="inlineStr">
        <is>
          <t>работник 195</t>
        </is>
      </c>
      <c r="B370" s="178" t="inlineStr">
        <is>
          <t>Водитель автомобиля (категория Д)</t>
        </is>
      </c>
      <c r="C370" s="178" t="inlineStr"/>
      <c r="D370" s="179" t="n"/>
      <c r="E370" s="179" t="inlineStr">
        <is>
          <t>внутр</t>
        </is>
      </c>
      <c r="F370" s="179" t="n"/>
      <c r="G370" s="179" t="n"/>
      <c r="H370" s="179" t="n"/>
      <c r="I370" s="179" t="n"/>
      <c r="J370" s="179" t="n"/>
      <c r="K370" s="179" t="n"/>
      <c r="L370" s="179" t="n"/>
      <c r="M370" s="179" t="n"/>
      <c r="N370" s="179" t="n"/>
      <c r="O370" s="179" t="n"/>
      <c r="P370" s="179" t="inlineStr">
        <is>
          <t>внутр</t>
        </is>
      </c>
      <c r="Q370" s="179" t="inlineStr">
        <is>
          <t>внутр</t>
        </is>
      </c>
      <c r="R370" s="171" t="n"/>
      <c r="S370" s="171" t="n"/>
    </row>
    <row r="371" ht="18" customHeight="1">
      <c r="A371" s="45" t="inlineStr">
        <is>
          <t>работник 809</t>
        </is>
      </c>
      <c r="B371" s="178" t="inlineStr">
        <is>
          <t>повар</t>
        </is>
      </c>
      <c r="C371" s="178" t="inlineStr"/>
      <c r="D371" s="179" t="n"/>
      <c r="E371" s="179" t="inlineStr">
        <is>
          <t>внутр</t>
        </is>
      </c>
      <c r="F371" s="179" t="n"/>
      <c r="G371" s="179" t="n"/>
      <c r="H371" s="179" t="n"/>
      <c r="I371" s="179" t="n"/>
      <c r="J371" s="179" t="n"/>
      <c r="K371" s="179" t="n"/>
      <c r="L371" s="179" t="n"/>
      <c r="M371" s="179" t="n"/>
      <c r="N371" s="179" t="n"/>
      <c r="O371" s="179" t="n"/>
      <c r="P371" s="179" t="n"/>
      <c r="Q371" s="179" t="inlineStr">
        <is>
          <t>внутр</t>
        </is>
      </c>
      <c r="R371" s="171" t="n"/>
      <c r="S371" s="171" t="n"/>
    </row>
    <row r="372" ht="18" customHeight="1">
      <c r="A372" s="45" t="inlineStr">
        <is>
          <t>работник 108</t>
        </is>
      </c>
      <c r="B372" s="178" t="inlineStr">
        <is>
          <t>Повар</t>
        </is>
      </c>
      <c r="C372" s="178" t="inlineStr"/>
      <c r="D372" s="179" t="n"/>
      <c r="E372" s="179" t="inlineStr">
        <is>
          <t>внутр</t>
        </is>
      </c>
      <c r="F372" s="179" t="n"/>
      <c r="G372" s="179" t="n"/>
      <c r="H372" s="179" t="n"/>
      <c r="I372" s="179" t="n"/>
      <c r="J372" s="179" t="n"/>
      <c r="K372" s="179" t="n"/>
      <c r="L372" s="179" t="n"/>
      <c r="M372" s="179" t="n"/>
      <c r="N372" s="179" t="n"/>
      <c r="O372" s="179" t="n"/>
      <c r="P372" s="179" t="inlineStr">
        <is>
          <t>внутр</t>
        </is>
      </c>
      <c r="Q372" s="179" t="inlineStr">
        <is>
          <t>внутр</t>
        </is>
      </c>
      <c r="R372" s="171" t="n"/>
      <c r="S372" s="171" t="n"/>
    </row>
    <row r="373" ht="18" customHeight="1">
      <c r="A373" s="45" t="inlineStr">
        <is>
          <t>работник 926</t>
        </is>
      </c>
      <c r="B373" s="178" t="inlineStr">
        <is>
          <t>Плавильщик</t>
        </is>
      </c>
      <c r="C373" s="178" t="inlineStr"/>
      <c r="D373" s="179" t="n"/>
      <c r="E373" s="179" t="inlineStr">
        <is>
          <t>внутр</t>
        </is>
      </c>
      <c r="F373" s="179" t="n"/>
      <c r="G373" s="179" t="n"/>
      <c r="H373" s="179" t="n"/>
      <c r="I373" s="179" t="n"/>
      <c r="J373" s="179" t="n"/>
      <c r="K373" s="179" t="n"/>
      <c r="L373" s="179" t="n"/>
      <c r="M373" s="179" t="n"/>
      <c r="N373" s="179" t="n"/>
      <c r="O373" s="179" t="n"/>
      <c r="P373" s="179" t="inlineStr">
        <is>
          <t>внутр</t>
        </is>
      </c>
      <c r="Q373" s="179" t="inlineStr">
        <is>
          <t>внутр</t>
        </is>
      </c>
      <c r="R373" s="171" t="n"/>
      <c r="S373" s="171" t="n"/>
    </row>
    <row r="374" ht="18" customHeight="1">
      <c r="A374" s="45" t="inlineStr">
        <is>
          <t>работник 451</t>
        </is>
      </c>
      <c r="B374" s="178" t="inlineStr">
        <is>
          <t>Фильтровальщик | Монтажник по монтажу стальных и железобетонных конструкций | Аппаратчик-гидрометаллург</t>
        </is>
      </c>
      <c r="C374" s="178" t="inlineStr"/>
      <c r="D374" s="179" t="n"/>
      <c r="E374" s="179" t="inlineStr">
        <is>
          <t>внутр</t>
        </is>
      </c>
      <c r="F374" s="179" t="n"/>
      <c r="G374" s="179" t="n"/>
      <c r="H374" s="179" t="n"/>
      <c r="I374" s="179" t="n"/>
      <c r="J374" s="179" t="n"/>
      <c r="K374" s="179" t="n"/>
      <c r="L374" s="179" t="n"/>
      <c r="M374" s="179" t="n"/>
      <c r="N374" s="179" t="n"/>
      <c r="O374" s="179" t="n"/>
      <c r="P374" s="179" t="inlineStr">
        <is>
          <t>внутр</t>
        </is>
      </c>
      <c r="Q374" s="179" t="inlineStr">
        <is>
          <t>внутр</t>
        </is>
      </c>
      <c r="R374" s="171" t="n"/>
      <c r="S374" s="171" t="n"/>
    </row>
    <row r="375" ht="18" customHeight="1">
      <c r="A375" s="45" t="inlineStr">
        <is>
          <t>работник 207</t>
        </is>
      </c>
      <c r="B375" s="178" t="inlineStr">
        <is>
          <t>Водитель автомобиля(занятый на траспортировании горной массы в технологическом процессе)</t>
        </is>
      </c>
      <c r="C375" s="178" t="inlineStr"/>
      <c r="D375" s="179" t="n"/>
      <c r="E375" s="179" t="inlineStr">
        <is>
          <t>внутр</t>
        </is>
      </c>
      <c r="F375" s="179" t="n"/>
      <c r="G375" s="179" t="n"/>
      <c r="H375" s="179" t="n"/>
      <c r="I375" s="179" t="n"/>
      <c r="J375" s="179" t="n"/>
      <c r="K375" s="179" t="n"/>
      <c r="L375" s="179" t="n"/>
      <c r="M375" s="179" t="n"/>
      <c r="N375" s="179" t="n"/>
      <c r="O375" s="179" t="n"/>
      <c r="P375" s="179" t="inlineStr">
        <is>
          <t>внутр</t>
        </is>
      </c>
      <c r="Q375" s="179" t="inlineStr">
        <is>
          <t>внутр</t>
        </is>
      </c>
      <c r="R375" s="171" t="n"/>
      <c r="S375" s="171" t="n"/>
    </row>
    <row r="376" ht="18" customHeight="1">
      <c r="A376" s="45" t="inlineStr">
        <is>
          <t>работник 212</t>
        </is>
      </c>
      <c r="B376" s="178" t="inlineStr">
        <is>
          <t>Водитель автомобиля(занятый на траспортировании горной массы в технологическом процессе)</t>
        </is>
      </c>
      <c r="C376" s="178" t="inlineStr"/>
      <c r="D376" s="179" t="n"/>
      <c r="E376" s="179" t="inlineStr">
        <is>
          <t>внутр</t>
        </is>
      </c>
      <c r="F376" s="179" t="n"/>
      <c r="G376" s="179" t="n"/>
      <c r="H376" s="179" t="n"/>
      <c r="I376" s="179" t="n"/>
      <c r="J376" s="179" t="n"/>
      <c r="K376" s="179" t="n"/>
      <c r="L376" s="179" t="n"/>
      <c r="M376" s="179" t="n"/>
      <c r="N376" s="179" t="n"/>
      <c r="O376" s="179" t="n"/>
      <c r="P376" s="179" t="inlineStr">
        <is>
          <t>внутр</t>
        </is>
      </c>
      <c r="Q376" s="179" t="inlineStr">
        <is>
          <t>внутр</t>
        </is>
      </c>
      <c r="R376" s="171" t="n"/>
      <c r="S376" s="171" t="n"/>
    </row>
    <row r="377" ht="18" customHeight="1">
      <c r="A377" s="45" t="inlineStr">
        <is>
          <t>работник 185</t>
        </is>
      </c>
      <c r="B377" s="178" t="inlineStr">
        <is>
          <t>Водитель автомобиля(занятый на траспортировании горной массы в технологическом процессе)</t>
        </is>
      </c>
      <c r="C377" s="178" t="inlineStr"/>
      <c r="D377" s="179" t="n"/>
      <c r="E377" s="179" t="inlineStr">
        <is>
          <t>внутр</t>
        </is>
      </c>
      <c r="F377" s="179" t="n"/>
      <c r="G377" s="179" t="n"/>
      <c r="H377" s="179" t="n"/>
      <c r="I377" s="179" t="n"/>
      <c r="J377" s="179" t="n"/>
      <c r="K377" s="179" t="n"/>
      <c r="L377" s="179" t="n"/>
      <c r="M377" s="179" t="n"/>
      <c r="N377" s="179" t="n"/>
      <c r="O377" s="179" t="n"/>
      <c r="P377" s="179" t="inlineStr">
        <is>
          <t>внутр</t>
        </is>
      </c>
      <c r="Q377" s="179" t="inlineStr">
        <is>
          <t>внутр</t>
        </is>
      </c>
      <c r="R377" s="171" t="n"/>
      <c r="S377" s="171" t="n"/>
    </row>
    <row r="378" ht="18" customHeight="1">
      <c r="A378" s="45" t="inlineStr">
        <is>
          <t>работник 851</t>
        </is>
      </c>
      <c r="B378" s="178" t="inlineStr">
        <is>
          <t>Электрогазосварщик (занятый на резке и ручной сварке)</t>
        </is>
      </c>
      <c r="C378" s="178" t="inlineStr"/>
      <c r="D378" s="179" t="n"/>
      <c r="E378" s="179" t="inlineStr">
        <is>
          <t>внутр</t>
        </is>
      </c>
      <c r="F378" s="179" t="n"/>
      <c r="G378" s="179" t="inlineStr">
        <is>
          <t>внутр</t>
        </is>
      </c>
      <c r="H378" s="179" t="n"/>
      <c r="I378" s="179" t="n"/>
      <c r="J378" s="179" t="n"/>
      <c r="K378" s="179" t="n"/>
      <c r="L378" s="179" t="n"/>
      <c r="M378" s="179" t="n"/>
      <c r="N378" s="179" t="n"/>
      <c r="O378" s="179" t="n"/>
      <c r="P378" s="179" t="inlineStr">
        <is>
          <t>внутр</t>
        </is>
      </c>
      <c r="Q378" s="179" t="inlineStr">
        <is>
          <t>внутр</t>
        </is>
      </c>
      <c r="R378" s="171" t="n"/>
      <c r="S378" s="171" t="n"/>
    </row>
    <row r="379" ht="18" customHeight="1">
      <c r="A379" s="45" t="inlineStr">
        <is>
          <t>работник 652</t>
        </is>
      </c>
      <c r="B379" s="178" t="inlineStr">
        <is>
          <t>Электрогазосварщик | Электрогазосварщик (занятый на резке и ручной сварке)</t>
        </is>
      </c>
      <c r="C379" s="178" t="inlineStr"/>
      <c r="D379" s="179" t="n"/>
      <c r="E379" s="179" t="inlineStr">
        <is>
          <t>внутр</t>
        </is>
      </c>
      <c r="F379" s="179" t="n"/>
      <c r="G379" s="179" t="inlineStr">
        <is>
          <t>внутр</t>
        </is>
      </c>
      <c r="H379" s="179" t="n"/>
      <c r="I379" s="179" t="n"/>
      <c r="J379" s="179" t="n"/>
      <c r="K379" s="179" t="n"/>
      <c r="L379" s="179" t="n"/>
      <c r="M379" s="179" t="n"/>
      <c r="N379" s="179" t="n"/>
      <c r="O379" s="179" t="n"/>
      <c r="P379" s="179" t="inlineStr">
        <is>
          <t>внутр</t>
        </is>
      </c>
      <c r="Q379" s="179" t="inlineStr">
        <is>
          <t>внутр</t>
        </is>
      </c>
      <c r="R379" s="171" t="n"/>
      <c r="S379" s="171" t="n"/>
    </row>
    <row r="380" ht="18" customHeight="1">
      <c r="A380" s="45" t="inlineStr">
        <is>
          <t>работник 579</t>
        </is>
      </c>
      <c r="B380" s="178" t="inlineStr">
        <is>
          <t>Помощник машиниста самоходной буровой установки (с исполнением обязанностей пробоотборщика) (Очистное)</t>
        </is>
      </c>
      <c r="C380" s="178" t="inlineStr"/>
      <c r="D380" s="179" t="n"/>
      <c r="E380" s="179" t="inlineStr">
        <is>
          <t>внутр</t>
        </is>
      </c>
      <c r="F380" s="179" t="n"/>
      <c r="G380" s="179" t="n"/>
      <c r="H380" s="179" t="n"/>
      <c r="I380" s="179" t="n"/>
      <c r="J380" s="179" t="n"/>
      <c r="K380" s="179" t="n"/>
      <c r="L380" s="179" t="n"/>
      <c r="M380" s="179" t="n"/>
      <c r="N380" s="179" t="n"/>
      <c r="O380" s="179" t="n"/>
      <c r="P380" s="179" t="n"/>
      <c r="Q380" s="179" t="inlineStr">
        <is>
          <t>внутр</t>
        </is>
      </c>
      <c r="R380" s="171" t="n"/>
      <c r="S380" s="171" t="n"/>
    </row>
    <row r="381" ht="18" customHeight="1">
      <c r="A381" s="45" t="inlineStr">
        <is>
          <t>работник 125</t>
        </is>
      </c>
      <c r="B381" s="178" t="inlineStr">
        <is>
          <t>Дробильщик</t>
        </is>
      </c>
      <c r="C381" s="178" t="inlineStr"/>
      <c r="D381" s="179" t="n"/>
      <c r="E381" s="179" t="inlineStr">
        <is>
          <t>внутр</t>
        </is>
      </c>
      <c r="F381" s="179" t="n"/>
      <c r="G381" s="179" t="n"/>
      <c r="H381" s="179" t="n"/>
      <c r="I381" s="179" t="n"/>
      <c r="J381" s="179" t="n"/>
      <c r="K381" s="179" t="n"/>
      <c r="L381" s="179" t="n"/>
      <c r="M381" s="179" t="n"/>
      <c r="N381" s="179" t="n"/>
      <c r="O381" s="179" t="n"/>
      <c r="P381" s="179" t="inlineStr">
        <is>
          <t>внутр</t>
        </is>
      </c>
      <c r="Q381" s="179" t="inlineStr">
        <is>
          <t>внутр</t>
        </is>
      </c>
      <c r="R381" s="171" t="n"/>
      <c r="S381" s="171" t="n"/>
    </row>
    <row r="382" ht="18" customHeight="1">
      <c r="A382" s="45" t="inlineStr">
        <is>
          <t>работник 353</t>
        </is>
      </c>
      <c r="B382" s="178" t="inlineStr">
        <is>
          <t>Машинист двигателей внутреннего сгорания</t>
        </is>
      </c>
      <c r="C382" s="178" t="inlineStr"/>
      <c r="D382" s="179" t="n"/>
      <c r="E382" s="179" t="inlineStr">
        <is>
          <t>внутр</t>
        </is>
      </c>
      <c r="F382" s="179" t="n"/>
      <c r="G382" s="179" t="n"/>
      <c r="H382" s="179" t="n"/>
      <c r="I382" s="179" t="n"/>
      <c r="J382" s="179" t="n"/>
      <c r="K382" s="179" t="n"/>
      <c r="L382" s="179" t="n"/>
      <c r="M382" s="179" t="n"/>
      <c r="N382" s="179" t="n"/>
      <c r="O382" s="179" t="n"/>
      <c r="P382" s="179" t="inlineStr">
        <is>
          <t>внутр</t>
        </is>
      </c>
      <c r="Q382" s="179" t="inlineStr">
        <is>
          <t>внутр</t>
        </is>
      </c>
      <c r="R382" s="171" t="n"/>
      <c r="S382" s="171" t="n"/>
    </row>
    <row r="383" ht="18" customHeight="1">
      <c r="A383" s="45" t="inlineStr">
        <is>
          <t>работник 923</t>
        </is>
      </c>
      <c r="B383" s="178" t="inlineStr">
        <is>
          <t>Машинист двигателей внутреннего сгорания</t>
        </is>
      </c>
      <c r="C383" s="178" t="inlineStr"/>
      <c r="D383" s="179" t="n"/>
      <c r="E383" s="179" t="inlineStr">
        <is>
          <t>внутр</t>
        </is>
      </c>
      <c r="F383" s="179" t="n"/>
      <c r="G383" s="179" t="n"/>
      <c r="H383" s="179" t="n"/>
      <c r="I383" s="179" t="n"/>
      <c r="J383" s="179" t="n"/>
      <c r="K383" s="179" t="n"/>
      <c r="L383" s="179" t="n"/>
      <c r="M383" s="179" t="n"/>
      <c r="N383" s="179" t="n"/>
      <c r="O383" s="179" t="n"/>
      <c r="P383" s="179" t="inlineStr">
        <is>
          <t>внутр</t>
        </is>
      </c>
      <c r="Q383" s="179" t="inlineStr">
        <is>
          <t>внутр</t>
        </is>
      </c>
      <c r="R383" s="171" t="n"/>
      <c r="S383" s="171" t="n"/>
    </row>
    <row r="384" ht="18" customHeight="1">
      <c r="A384" s="45" t="inlineStr">
        <is>
          <t>работник 467</t>
        </is>
      </c>
      <c r="B384" s="178" t="inlineStr">
        <is>
          <t>Водитель автомобиля (занятый на транспортировании горной массы в технологическом процессе)</t>
        </is>
      </c>
      <c r="C384" s="178" t="inlineStr"/>
      <c r="D384" s="179" t="n"/>
      <c r="E384" s="179" t="inlineStr">
        <is>
          <t>внутр</t>
        </is>
      </c>
      <c r="F384" s="179" t="n"/>
      <c r="G384" s="179" t="n"/>
      <c r="H384" s="179" t="n"/>
      <c r="I384" s="179" t="n"/>
      <c r="J384" s="179" t="n"/>
      <c r="K384" s="179" t="n"/>
      <c r="L384" s="179" t="n"/>
      <c r="M384" s="179" t="n"/>
      <c r="N384" s="179" t="n"/>
      <c r="O384" s="179" t="n"/>
      <c r="P384" s="179" t="n"/>
      <c r="Q384" s="179" t="inlineStr">
        <is>
          <t>внутр</t>
        </is>
      </c>
      <c r="R384" s="171" t="n"/>
      <c r="S384" s="171" t="n"/>
    </row>
    <row r="385" ht="18" customHeight="1">
      <c r="A385" s="45" t="inlineStr">
        <is>
          <t>работник 436</t>
        </is>
      </c>
      <c r="B385" s="178" t="inlineStr">
        <is>
          <t>Дробильщик</t>
        </is>
      </c>
      <c r="C385" s="178" t="inlineStr"/>
      <c r="D385" s="179" t="n"/>
      <c r="E385" s="179" t="inlineStr">
        <is>
          <t>внутр</t>
        </is>
      </c>
      <c r="F385" s="179" t="n"/>
      <c r="G385" s="179" t="n"/>
      <c r="H385" s="179" t="n"/>
      <c r="I385" s="179" t="n"/>
      <c r="J385" s="179" t="n"/>
      <c r="K385" s="179" t="n"/>
      <c r="L385" s="179" t="n"/>
      <c r="M385" s="179" t="n"/>
      <c r="N385" s="179" t="n"/>
      <c r="O385" s="179" t="n"/>
      <c r="P385" s="179" t="inlineStr">
        <is>
          <t>внутр</t>
        </is>
      </c>
      <c r="Q385" s="179" t="inlineStr">
        <is>
          <t>внутр</t>
        </is>
      </c>
      <c r="R385" s="171" t="n"/>
      <c r="S385" s="171" t="n"/>
    </row>
    <row r="386" ht="18" customHeight="1">
      <c r="A386" s="45" t="inlineStr">
        <is>
          <t>работник 770</t>
        </is>
      </c>
      <c r="B386" s="178" t="inlineStr">
        <is>
          <t>Машинист погрузочно-доставочной машины</t>
        </is>
      </c>
      <c r="C386" s="178" t="inlineStr"/>
      <c r="D386" s="179" t="n"/>
      <c r="E386" s="179" t="inlineStr">
        <is>
          <t>внутр</t>
        </is>
      </c>
      <c r="F386" s="179" t="n"/>
      <c r="G386" s="179" t="n"/>
      <c r="H386" s="179" t="n"/>
      <c r="I386" s="179" t="n"/>
      <c r="J386" s="179" t="n"/>
      <c r="K386" s="179" t="n"/>
      <c r="L386" s="179" t="n"/>
      <c r="M386" s="179" t="n"/>
      <c r="N386" s="179" t="n"/>
      <c r="O386" s="179" t="n"/>
      <c r="P386" s="179" t="inlineStr">
        <is>
          <t>внутр</t>
        </is>
      </c>
      <c r="Q386" s="179" t="inlineStr">
        <is>
          <t>внутр</t>
        </is>
      </c>
      <c r="R386" s="171" t="n"/>
      <c r="S386" s="171" t="n"/>
    </row>
    <row r="387" ht="18" customHeight="1">
      <c r="A387" s="45" t="inlineStr">
        <is>
          <t>работник 748</t>
        </is>
      </c>
      <c r="B387" s="178" t="inlineStr">
        <is>
          <t>Аппаратчик сгустителей</t>
        </is>
      </c>
      <c r="C387" s="178" t="inlineStr"/>
      <c r="D387" s="179" t="n"/>
      <c r="E387" s="179" t="inlineStr">
        <is>
          <t>внутр</t>
        </is>
      </c>
      <c r="F387" s="179" t="inlineStr">
        <is>
          <t>внутр</t>
        </is>
      </c>
      <c r="G387" s="179" t="n"/>
      <c r="H387" s="179" t="inlineStr">
        <is>
          <t>внутр</t>
        </is>
      </c>
      <c r="I387" s="179" t="n"/>
      <c r="J387" s="179" t="n"/>
      <c r="K387" s="179" t="n"/>
      <c r="L387" s="179" t="n"/>
      <c r="M387" s="179" t="n"/>
      <c r="N387" s="179" t="n"/>
      <c r="O387" s="179" t="n"/>
      <c r="P387" s="179" t="inlineStr">
        <is>
          <t>внутр</t>
        </is>
      </c>
      <c r="Q387" s="179" t="inlineStr">
        <is>
          <t>внутр</t>
        </is>
      </c>
      <c r="R387" s="171" t="n"/>
      <c r="S387" s="171" t="n"/>
    </row>
    <row r="388" ht="18" customHeight="1">
      <c r="A388" s="45" t="inlineStr">
        <is>
          <t>работник 320</t>
        </is>
      </c>
      <c r="B388" s="178" t="inlineStr">
        <is>
          <t>Машинист погрузочно-доставочной машины</t>
        </is>
      </c>
      <c r="C388" s="178" t="inlineStr"/>
      <c r="D388" s="179" t="n"/>
      <c r="E388" s="179" t="inlineStr">
        <is>
          <t>внутр</t>
        </is>
      </c>
      <c r="F388" s="179" t="n"/>
      <c r="G388" s="179" t="n"/>
      <c r="H388" s="179" t="n"/>
      <c r="I388" s="179" t="n"/>
      <c r="J388" s="179" t="n"/>
      <c r="K388" s="179" t="n"/>
      <c r="L388" s="179" t="n"/>
      <c r="M388" s="179" t="n"/>
      <c r="N388" s="179" t="n"/>
      <c r="O388" s="179" t="n"/>
      <c r="P388" s="179" t="inlineStr">
        <is>
          <t>внутр</t>
        </is>
      </c>
      <c r="Q388" s="179" t="inlineStr">
        <is>
          <t>внутр</t>
        </is>
      </c>
      <c r="R388" s="171" t="n"/>
      <c r="S388" s="171" t="n"/>
    </row>
    <row r="389" ht="18" customHeight="1">
      <c r="A389" s="45" t="inlineStr">
        <is>
          <t>работник 498</t>
        </is>
      </c>
      <c r="B389" s="178" t="inlineStr">
        <is>
          <t>Кухонный рабочий</t>
        </is>
      </c>
      <c r="C389" s="178" t="inlineStr"/>
      <c r="D389" s="179" t="n"/>
      <c r="E389" s="179" t="inlineStr">
        <is>
          <t>внутр</t>
        </is>
      </c>
      <c r="F389" s="179" t="n"/>
      <c r="G389" s="179" t="n"/>
      <c r="H389" s="179" t="n"/>
      <c r="I389" s="179" t="n"/>
      <c r="J389" s="179" t="n"/>
      <c r="K389" s="179" t="n"/>
      <c r="L389" s="179" t="n"/>
      <c r="M389" s="179" t="n"/>
      <c r="N389" s="179" t="n"/>
      <c r="O389" s="179" t="n"/>
      <c r="P389" s="179" t="n"/>
      <c r="Q389" s="179" t="inlineStr">
        <is>
          <t>внутр</t>
        </is>
      </c>
      <c r="R389" s="171" t="n"/>
      <c r="S389" s="171" t="n"/>
    </row>
    <row r="390" ht="18" customHeight="1">
      <c r="A390" s="45" t="inlineStr">
        <is>
          <t>работник 517</t>
        </is>
      </c>
      <c r="B390" s="178" t="inlineStr">
        <is>
          <t>Водитель автомобиля (категория D)</t>
        </is>
      </c>
      <c r="C390" s="178" t="inlineStr"/>
      <c r="D390" s="179" t="n"/>
      <c r="E390" s="179" t="inlineStr">
        <is>
          <t>внутр</t>
        </is>
      </c>
      <c r="F390" s="179" t="n"/>
      <c r="G390" s="179" t="n"/>
      <c r="H390" s="179" t="n"/>
      <c r="I390" s="179" t="n"/>
      <c r="J390" s="179" t="n"/>
      <c r="K390" s="179" t="n"/>
      <c r="L390" s="179" t="n"/>
      <c r="M390" s="179" t="n"/>
      <c r="N390" s="179" t="n"/>
      <c r="O390" s="179" t="n"/>
      <c r="P390" s="179" t="inlineStr">
        <is>
          <t>внутр</t>
        </is>
      </c>
      <c r="Q390" s="179" t="inlineStr">
        <is>
          <t>внутр</t>
        </is>
      </c>
      <c r="R390" s="171" t="n"/>
      <c r="S390" s="171" t="n"/>
    </row>
    <row r="391" ht="18" customHeight="1">
      <c r="A391" s="45" t="inlineStr">
        <is>
          <t>работник 280</t>
        </is>
      </c>
      <c r="B391" s="178" t="inlineStr">
        <is>
          <t>Водитель автомобиля (занятый на транспортировании горной массы в технологическом процессе)</t>
        </is>
      </c>
      <c r="C391" s="178" t="inlineStr"/>
      <c r="D391" s="179" t="n"/>
      <c r="E391" s="179" t="inlineStr">
        <is>
          <t>внутр</t>
        </is>
      </c>
      <c r="F391" s="179" t="n"/>
      <c r="G391" s="179" t="n"/>
      <c r="H391" s="179" t="n"/>
      <c r="I391" s="179" t="n"/>
      <c r="J391" s="179" t="n"/>
      <c r="K391" s="179" t="n"/>
      <c r="L391" s="179" t="n"/>
      <c r="M391" s="179" t="n"/>
      <c r="N391" s="179" t="n"/>
      <c r="O391" s="179" t="n"/>
      <c r="P391" s="179" t="inlineStr">
        <is>
          <t>внутр</t>
        </is>
      </c>
      <c r="Q391" s="179" t="inlineStr">
        <is>
          <t>внутр</t>
        </is>
      </c>
      <c r="R391" s="171" t="n"/>
      <c r="S391" s="171" t="n"/>
    </row>
    <row r="392" ht="18" customHeight="1">
      <c r="A392" s="45" t="inlineStr">
        <is>
          <t>работник 361</t>
        </is>
      </c>
      <c r="B392" s="178" t="inlineStr">
        <is>
          <t>Кухонный рабочий</t>
        </is>
      </c>
      <c r="C392" s="178" t="inlineStr"/>
      <c r="D392" s="179" t="n"/>
      <c r="E392" s="179" t="inlineStr">
        <is>
          <t>внутр</t>
        </is>
      </c>
      <c r="F392" s="179" t="n"/>
      <c r="G392" s="179" t="n"/>
      <c r="H392" s="179" t="n"/>
      <c r="I392" s="179" t="n"/>
      <c r="J392" s="179" t="n"/>
      <c r="K392" s="179" t="n"/>
      <c r="L392" s="179" t="n"/>
      <c r="M392" s="179" t="n"/>
      <c r="N392" s="179" t="n"/>
      <c r="O392" s="179" t="n"/>
      <c r="P392" s="179" t="inlineStr">
        <is>
          <t>внутр</t>
        </is>
      </c>
      <c r="Q392" s="179" t="inlineStr">
        <is>
          <t>внутр</t>
        </is>
      </c>
      <c r="R392" s="171" t="n"/>
      <c r="S392" s="171" t="n"/>
    </row>
    <row r="393" ht="18" customHeight="1">
      <c r="A393" s="45" t="inlineStr">
        <is>
          <t>работник 281</t>
        </is>
      </c>
      <c r="B393" s="178" t="inlineStr">
        <is>
          <t>Водитель автомобиля (категория D)</t>
        </is>
      </c>
      <c r="C393" s="178" t="inlineStr"/>
      <c r="D393" s="179" t="n"/>
      <c r="E393" s="179" t="inlineStr">
        <is>
          <t>внутр</t>
        </is>
      </c>
      <c r="F393" s="179" t="n"/>
      <c r="G393" s="179" t="n"/>
      <c r="H393" s="179" t="n"/>
      <c r="I393" s="179" t="n"/>
      <c r="J393" s="179" t="n"/>
      <c r="K393" s="179" t="n"/>
      <c r="L393" s="179" t="n"/>
      <c r="M393" s="179" t="n"/>
      <c r="N393" s="179" t="n"/>
      <c r="O393" s="179" t="n"/>
      <c r="P393" s="179" t="inlineStr">
        <is>
          <t>внутр</t>
        </is>
      </c>
      <c r="Q393" s="179" t="inlineStr">
        <is>
          <t>внутр</t>
        </is>
      </c>
      <c r="R393" s="171" t="n"/>
      <c r="S393" s="171" t="n"/>
    </row>
    <row r="394" ht="18" customHeight="1">
      <c r="A394" s="45" t="inlineStr">
        <is>
          <t>работник 321</t>
        </is>
      </c>
      <c r="B394" s="178" t="inlineStr">
        <is>
          <t>Помощник машиниста  самоходной буровой установки (с исполнением обязанностей пробоотборщика)</t>
        </is>
      </c>
      <c r="C394" s="178" t="inlineStr"/>
      <c r="D394" s="179" t="n"/>
      <c r="E394" s="179" t="inlineStr">
        <is>
          <t>внутр</t>
        </is>
      </c>
      <c r="F394" s="179" t="n"/>
      <c r="G394" s="179" t="n"/>
      <c r="H394" s="179" t="n"/>
      <c r="I394" s="179" t="n"/>
      <c r="J394" s="179" t="n"/>
      <c r="K394" s="179" t="n"/>
      <c r="L394" s="179" t="n"/>
      <c r="M394" s="179" t="n"/>
      <c r="N394" s="179" t="n"/>
      <c r="O394" s="179" t="n"/>
      <c r="P394" s="179" t="inlineStr">
        <is>
          <t>внутр</t>
        </is>
      </c>
      <c r="Q394" s="179" t="inlineStr">
        <is>
          <t>внутр</t>
        </is>
      </c>
      <c r="R394" s="171" t="n"/>
      <c r="S394" s="171" t="n"/>
    </row>
    <row r="395" ht="18" customHeight="1">
      <c r="A395" s="45" t="inlineStr">
        <is>
          <t>работник 463</t>
        </is>
      </c>
      <c r="B395" s="178" t="inlineStr">
        <is>
          <t>Машинист крана автомобильного</t>
        </is>
      </c>
      <c r="C395" s="178" t="inlineStr"/>
      <c r="D395" s="179" t="n"/>
      <c r="E395" s="179" t="inlineStr">
        <is>
          <t>внутр</t>
        </is>
      </c>
      <c r="F395" s="179" t="n"/>
      <c r="G395" s="179" t="n"/>
      <c r="H395" s="179" t="n"/>
      <c r="I395" s="179" t="n"/>
      <c r="J395" s="179" t="n"/>
      <c r="K395" s="179" t="n"/>
      <c r="L395" s="179" t="n"/>
      <c r="M395" s="179" t="n"/>
      <c r="N395" s="179" t="n"/>
      <c r="O395" s="179" t="n"/>
      <c r="P395" s="179" t="n"/>
      <c r="Q395" s="179" t="inlineStr">
        <is>
          <t>внутр</t>
        </is>
      </c>
      <c r="R395" s="171" t="n"/>
      <c r="S395" s="171" t="n"/>
    </row>
    <row r="396" ht="18" customHeight="1">
      <c r="A396" s="45" t="inlineStr">
        <is>
          <t>работник 554</t>
        </is>
      </c>
      <c r="B396" s="178" t="inlineStr">
        <is>
          <t>Плотник</t>
        </is>
      </c>
      <c r="C396" s="178" t="inlineStr"/>
      <c r="D396" s="179" t="n"/>
      <c r="E396" s="179" t="inlineStr">
        <is>
          <t>внутр</t>
        </is>
      </c>
      <c r="F396" s="179" t="n"/>
      <c r="G396" s="179" t="n"/>
      <c r="H396" s="179" t="n"/>
      <c r="I396" s="179" t="n"/>
      <c r="J396" s="179" t="n"/>
      <c r="K396" s="179" t="n"/>
      <c r="L396" s="179" t="n"/>
      <c r="M396" s="179" t="n"/>
      <c r="N396" s="179" t="n"/>
      <c r="O396" s="179" t="n"/>
      <c r="P396" s="179" t="n"/>
      <c r="Q396" s="179" t="inlineStr">
        <is>
          <t>внутр</t>
        </is>
      </c>
      <c r="R396" s="171" t="n"/>
      <c r="S396" s="171" t="n"/>
    </row>
    <row r="397" ht="18" customHeight="1">
      <c r="A397" s="45" t="inlineStr">
        <is>
          <t>работник 282</t>
        </is>
      </c>
      <c r="B397" s="178" t="inlineStr">
        <is>
          <t>Машинист бульдозера</t>
        </is>
      </c>
      <c r="C397" s="178" t="inlineStr"/>
      <c r="D397" s="179" t="n"/>
      <c r="E397" s="179" t="inlineStr">
        <is>
          <t>внутр</t>
        </is>
      </c>
      <c r="F397" s="179" t="n"/>
      <c r="G397" s="179" t="n"/>
      <c r="H397" s="179" t="n"/>
      <c r="I397" s="179" t="n"/>
      <c r="J397" s="179" t="n"/>
      <c r="K397" s="179" t="n"/>
      <c r="L397" s="179" t="n"/>
      <c r="M397" s="179" t="n"/>
      <c r="N397" s="179" t="n"/>
      <c r="O397" s="179" t="n"/>
      <c r="P397" s="179" t="inlineStr">
        <is>
          <t>внутр</t>
        </is>
      </c>
      <c r="Q397" s="179" t="inlineStr">
        <is>
          <t>внутр</t>
        </is>
      </c>
      <c r="R397" s="171" t="n"/>
      <c r="S397" s="171" t="n"/>
    </row>
    <row r="398" ht="18" customHeight="1">
      <c r="A398" s="45" t="inlineStr">
        <is>
          <t>работник 166</t>
        </is>
      </c>
      <c r="B398" s="178" t="inlineStr">
        <is>
          <t>Машинист подземно-доставочной машины</t>
        </is>
      </c>
      <c r="C398" s="178" t="inlineStr"/>
      <c r="D398" s="179" t="n"/>
      <c r="E398" s="179" t="inlineStr">
        <is>
          <t>внутр</t>
        </is>
      </c>
      <c r="F398" s="179" t="n"/>
      <c r="G398" s="179" t="n"/>
      <c r="H398" s="179" t="n"/>
      <c r="I398" s="179" t="n"/>
      <c r="J398" s="179" t="n"/>
      <c r="K398" s="179" t="n"/>
      <c r="L398" s="179" t="n"/>
      <c r="M398" s="179" t="n"/>
      <c r="N398" s="179" t="n"/>
      <c r="O398" s="179" t="n"/>
      <c r="P398" s="179" t="inlineStr">
        <is>
          <t>внутр</t>
        </is>
      </c>
      <c r="Q398" s="179" t="inlineStr">
        <is>
          <t>внутр</t>
        </is>
      </c>
      <c r="R398" s="171" t="n"/>
      <c r="S398" s="171" t="n"/>
    </row>
    <row r="399" ht="18" customHeight="1">
      <c r="A399" s="45" t="inlineStr">
        <is>
          <t>работник 488</t>
        </is>
      </c>
      <c r="B399" s="178" t="inlineStr">
        <is>
          <t>Машинист погрузочно-доставочной машины (занятый на транспортировании горной массы в технологическом процессе)</t>
        </is>
      </c>
      <c r="C399" s="178" t="inlineStr"/>
      <c r="D399" s="179" t="n"/>
      <c r="E399" s="179" t="inlineStr">
        <is>
          <t>внутр</t>
        </is>
      </c>
      <c r="F399" s="179" t="n"/>
      <c r="G399" s="179" t="n"/>
      <c r="H399" s="179" t="n"/>
      <c r="I399" s="179" t="n"/>
      <c r="J399" s="179" t="n"/>
      <c r="K399" s="179" t="n"/>
      <c r="L399" s="179" t="n"/>
      <c r="M399" s="179" t="n"/>
      <c r="N399" s="179" t="n"/>
      <c r="O399" s="179" t="n"/>
      <c r="P399" s="179" t="n"/>
      <c r="Q399" s="179" t="inlineStr">
        <is>
          <t>внутр</t>
        </is>
      </c>
      <c r="R399" s="171" t="n"/>
      <c r="S399" s="171" t="n"/>
    </row>
    <row r="400" ht="18" customHeight="1">
      <c r="A400" s="45" t="inlineStr">
        <is>
          <t>работник 863</t>
        </is>
      </c>
      <c r="B400" s="178" t="inlineStr">
        <is>
          <t>Подсобный рабочий</t>
        </is>
      </c>
      <c r="C400" s="178" t="inlineStr"/>
      <c r="D400" s="179" t="n"/>
      <c r="E400" s="179" t="inlineStr">
        <is>
          <t>внутр</t>
        </is>
      </c>
      <c r="F400" s="179" t="n"/>
      <c r="G400" s="179" t="n"/>
      <c r="H400" s="179" t="n"/>
      <c r="I400" s="179" t="n"/>
      <c r="J400" s="179" t="n"/>
      <c r="K400" s="179" t="n"/>
      <c r="L400" s="179" t="n"/>
      <c r="M400" s="179" t="n"/>
      <c r="N400" s="179" t="n"/>
      <c r="O400" s="179" t="n"/>
      <c r="P400" s="179" t="inlineStr">
        <is>
          <t>внутр</t>
        </is>
      </c>
      <c r="Q400" s="179" t="inlineStr">
        <is>
          <t>внутр</t>
        </is>
      </c>
      <c r="R400" s="171" t="n"/>
      <c r="S400" s="171" t="n"/>
    </row>
    <row r="401" ht="18" customHeight="1">
      <c r="A401" s="45" t="inlineStr">
        <is>
          <t>работник 444</t>
        </is>
      </c>
      <c r="B401" s="178" t="inlineStr">
        <is>
          <t>Слесарь-ремонтник (по ремонту обогатительного оборудования) | Слесарь-ремонтник</t>
        </is>
      </c>
      <c r="C401" s="178" t="inlineStr"/>
      <c r="D401" s="179" t="n"/>
      <c r="E401" s="179" t="inlineStr">
        <is>
          <t>внутр</t>
        </is>
      </c>
      <c r="F401" s="179" t="inlineStr">
        <is>
          <t>внутр</t>
        </is>
      </c>
      <c r="G401" s="179" t="inlineStr">
        <is>
          <t>внутр</t>
        </is>
      </c>
      <c r="H401" s="179" t="inlineStr">
        <is>
          <t>внутр</t>
        </is>
      </c>
      <c r="I401" s="179" t="inlineStr">
        <is>
          <t>внутр</t>
        </is>
      </c>
      <c r="J401" s="179" t="inlineStr">
        <is>
          <t>внутр</t>
        </is>
      </c>
      <c r="K401" s="179" t="inlineStr">
        <is>
          <t>внутр</t>
        </is>
      </c>
      <c r="L401" s="179" t="n"/>
      <c r="M401" s="179" t="n"/>
      <c r="N401" s="179" t="n"/>
      <c r="O401" s="179" t="n"/>
      <c r="P401" s="179" t="n"/>
      <c r="Q401" s="179" t="inlineStr">
        <is>
          <t>внутр</t>
        </is>
      </c>
      <c r="R401" s="171" t="n"/>
      <c r="S401" s="171" t="n"/>
    </row>
    <row r="402" ht="18" customHeight="1">
      <c r="A402" s="45" t="inlineStr">
        <is>
          <t>работник 322</t>
        </is>
      </c>
      <c r="B402" s="178" t="inlineStr">
        <is>
          <t>Машинист  самоходной буровой установки</t>
        </is>
      </c>
      <c r="C402" s="178" t="inlineStr"/>
      <c r="D402" s="179" t="n"/>
      <c r="E402" s="179" t="inlineStr">
        <is>
          <t>внутр</t>
        </is>
      </c>
      <c r="F402" s="179" t="n"/>
      <c r="G402" s="179" t="n"/>
      <c r="H402" s="179" t="n"/>
      <c r="I402" s="179" t="n"/>
      <c r="J402" s="179" t="n"/>
      <c r="K402" s="179" t="n"/>
      <c r="L402" s="179" t="n"/>
      <c r="M402" s="179" t="n"/>
      <c r="N402" s="179" t="n"/>
      <c r="O402" s="179" t="n"/>
      <c r="P402" s="179" t="inlineStr">
        <is>
          <t>внутр</t>
        </is>
      </c>
      <c r="Q402" s="179" t="inlineStr">
        <is>
          <t>внутр</t>
        </is>
      </c>
      <c r="R402" s="171" t="n"/>
      <c r="S402" s="171" t="n"/>
    </row>
    <row r="403" ht="18" customHeight="1">
      <c r="A403" s="45" t="inlineStr">
        <is>
          <t>работник 563</t>
        </is>
      </c>
      <c r="B403" s="178" t="inlineStr">
        <is>
          <t>Слесарь по ремонту автомобилей  (ДВС)</t>
        </is>
      </c>
      <c r="C403" s="178" t="inlineStr"/>
      <c r="D403" s="179" t="n"/>
      <c r="E403" s="179" t="inlineStr">
        <is>
          <t>внутр</t>
        </is>
      </c>
      <c r="F403" s="179" t="n"/>
      <c r="G403" s="179" t="n"/>
      <c r="H403" s="179" t="n"/>
      <c r="I403" s="179" t="n"/>
      <c r="J403" s="179" t="n"/>
      <c r="K403" s="179" t="n"/>
      <c r="L403" s="179" t="n"/>
      <c r="M403" s="179" t="n"/>
      <c r="N403" s="179" t="n"/>
      <c r="O403" s="179" t="n"/>
      <c r="P403" s="179" t="n"/>
      <c r="Q403" s="179" t="inlineStr">
        <is>
          <t>внутр</t>
        </is>
      </c>
      <c r="R403" s="171" t="n"/>
      <c r="S403" s="171" t="n"/>
    </row>
    <row r="404" ht="18" customHeight="1">
      <c r="A404" s="45" t="inlineStr">
        <is>
          <t>работник 553</t>
        </is>
      </c>
      <c r="B404" s="178" t="inlineStr">
        <is>
          <t>Проходчик (с исполнением обязанностей взрывника)</t>
        </is>
      </c>
      <c r="C404" s="178" t="inlineStr"/>
      <c r="D404" s="179" t="n"/>
      <c r="E404" s="179" t="inlineStr">
        <is>
          <t>внутр</t>
        </is>
      </c>
      <c r="F404" s="179" t="n"/>
      <c r="G404" s="179" t="n"/>
      <c r="H404" s="179" t="n"/>
      <c r="I404" s="179" t="n"/>
      <c r="J404" s="179" t="n"/>
      <c r="K404" s="179" t="n"/>
      <c r="L404" s="179" t="n"/>
      <c r="M404" s="179" t="n"/>
      <c r="N404" s="179" t="n"/>
      <c r="O404" s="179" t="n"/>
      <c r="P404" s="179" t="n"/>
      <c r="Q404" s="179" t="inlineStr">
        <is>
          <t>внутр</t>
        </is>
      </c>
      <c r="R404" s="171" t="n"/>
      <c r="S404" s="171" t="n"/>
    </row>
    <row r="405" ht="18" customHeight="1">
      <c r="A405" s="45" t="inlineStr">
        <is>
          <t>работник 719</t>
        </is>
      </c>
      <c r="B405" s="178" t="inlineStr">
        <is>
          <t>Водитель автомобиля (с правом управления КМУ)</t>
        </is>
      </c>
      <c r="C405" s="178" t="inlineStr"/>
      <c r="D405" s="179" t="n"/>
      <c r="E405" s="179" t="inlineStr">
        <is>
          <t>внутр</t>
        </is>
      </c>
      <c r="F405" s="179" t="n"/>
      <c r="G405" s="179" t="n"/>
      <c r="H405" s="179" t="n"/>
      <c r="I405" s="179" t="n"/>
      <c r="J405" s="179" t="n"/>
      <c r="K405" s="179" t="n"/>
      <c r="L405" s="179" t="n"/>
      <c r="M405" s="179" t="n"/>
      <c r="N405" s="179" t="n"/>
      <c r="O405" s="179" t="n"/>
      <c r="P405" s="179" t="n"/>
      <c r="Q405" s="179" t="inlineStr">
        <is>
          <t>внутр</t>
        </is>
      </c>
      <c r="R405" s="171" t="n"/>
      <c r="S405" s="171" t="n"/>
    </row>
    <row r="406" ht="18" customHeight="1">
      <c r="A406" s="45" t="inlineStr">
        <is>
          <t>работник 696</t>
        </is>
      </c>
      <c r="B406" s="178" t="inlineStr">
        <is>
          <t>Инженер строительного контроля</t>
        </is>
      </c>
      <c r="C406" s="178" t="inlineStr"/>
      <c r="D406" s="179" t="n"/>
      <c r="E406" s="179" t="inlineStr">
        <is>
          <t>внутр</t>
        </is>
      </c>
      <c r="F406" s="179" t="n"/>
      <c r="G406" s="179" t="n"/>
      <c r="H406" s="179" t="n"/>
      <c r="I406" s="179" t="n"/>
      <c r="J406" s="179" t="n"/>
      <c r="K406" s="179" t="n"/>
      <c r="L406" s="179" t="n"/>
      <c r="M406" s="179" t="n"/>
      <c r="N406" s="179" t="n"/>
      <c r="O406" s="179" t="n"/>
      <c r="P406" s="179" t="n"/>
      <c r="Q406" s="179" t="inlineStr">
        <is>
          <t>внутр</t>
        </is>
      </c>
      <c r="R406" s="171" t="n"/>
      <c r="S406" s="171" t="n"/>
    </row>
    <row r="407" ht="18" customHeight="1">
      <c r="A407" s="45" t="inlineStr">
        <is>
          <t>работник 482</t>
        </is>
      </c>
      <c r="B407" s="178" t="inlineStr">
        <is>
          <t>Машинист погрузочно-доставочной машины (занятый на транспортировании горной массы в технологическом процессе)</t>
        </is>
      </c>
      <c r="C407" s="178" t="inlineStr"/>
      <c r="D407" s="179" t="n"/>
      <c r="E407" s="179" t="inlineStr">
        <is>
          <t>внутр</t>
        </is>
      </c>
      <c r="F407" s="179" t="n"/>
      <c r="G407" s="179" t="n"/>
      <c r="H407" s="179" t="n"/>
      <c r="I407" s="179" t="n"/>
      <c r="J407" s="179" t="n"/>
      <c r="K407" s="179" t="n"/>
      <c r="L407" s="179" t="n"/>
      <c r="M407" s="179" t="n"/>
      <c r="N407" s="179" t="n"/>
      <c r="O407" s="179" t="n"/>
      <c r="P407" s="179" t="n"/>
      <c r="Q407" s="179" t="inlineStr">
        <is>
          <t>внутр</t>
        </is>
      </c>
      <c r="R407" s="171" t="n"/>
      <c r="S407" s="171" t="n"/>
    </row>
    <row r="408" ht="18" customHeight="1">
      <c r="A408" s="45" t="inlineStr">
        <is>
          <t>работник 420</t>
        </is>
      </c>
      <c r="B408" s="178" t="inlineStr">
        <is>
          <t>Машинист двигателей внутреннего сгорания</t>
        </is>
      </c>
      <c r="C408" s="178" t="inlineStr"/>
      <c r="D408" s="179" t="n"/>
      <c r="E408" s="179" t="inlineStr">
        <is>
          <t>внутр</t>
        </is>
      </c>
      <c r="F408" s="179" t="n"/>
      <c r="G408" s="179" t="n"/>
      <c r="H408" s="179" t="n"/>
      <c r="I408" s="179" t="n"/>
      <c r="J408" s="179" t="n"/>
      <c r="K408" s="179" t="n"/>
      <c r="L408" s="179" t="n"/>
      <c r="M408" s="179" t="n"/>
      <c r="N408" s="179" t="n"/>
      <c r="O408" s="179" t="n"/>
      <c r="P408" s="179" t="n"/>
      <c r="Q408" s="179" t="inlineStr">
        <is>
          <t>внутр</t>
        </is>
      </c>
      <c r="R408" s="171" t="n"/>
      <c r="S408" s="171" t="n"/>
    </row>
    <row r="409" ht="18" customHeight="1">
      <c r="A409" s="45" t="inlineStr">
        <is>
          <t>работник 167</t>
        </is>
      </c>
      <c r="B409" s="178" t="inlineStr">
        <is>
          <t>Машинист подземно-доставочной машины | Машинист погрузочно-доставочной машины (занятый на транспортировании горной массы в технологическом процессе)</t>
        </is>
      </c>
      <c r="C409" s="178" t="inlineStr"/>
      <c r="D409" s="179" t="n"/>
      <c r="E409" s="179" t="inlineStr">
        <is>
          <t>внутр</t>
        </is>
      </c>
      <c r="F409" s="179" t="n"/>
      <c r="G409" s="179" t="n"/>
      <c r="H409" s="179" t="n"/>
      <c r="I409" s="179" t="n"/>
      <c r="J409" s="179" t="n"/>
      <c r="K409" s="179" t="n"/>
      <c r="L409" s="179" t="n"/>
      <c r="M409" s="179" t="n"/>
      <c r="N409" s="179" t="n"/>
      <c r="O409" s="179" t="n"/>
      <c r="P409" s="179" t="inlineStr">
        <is>
          <t>внутр</t>
        </is>
      </c>
      <c r="Q409" s="179" t="inlineStr">
        <is>
          <t>внутр</t>
        </is>
      </c>
      <c r="R409" s="171" t="n"/>
      <c r="S409" s="171" t="n"/>
    </row>
    <row r="410" ht="18" customHeight="1">
      <c r="A410" s="45" t="inlineStr">
        <is>
          <t>работник 644</t>
        </is>
      </c>
      <c r="B410" s="178" t="inlineStr">
        <is>
          <t>Дробильщик</t>
        </is>
      </c>
      <c r="C410" s="178" t="inlineStr"/>
      <c r="D410" s="179" t="n"/>
      <c r="E410" s="179" t="inlineStr">
        <is>
          <t>внутр</t>
        </is>
      </c>
      <c r="F410" s="179" t="n"/>
      <c r="G410" s="179" t="n"/>
      <c r="H410" s="179" t="n"/>
      <c r="I410" s="179" t="n"/>
      <c r="J410" s="179" t="n"/>
      <c r="K410" s="179" t="n"/>
      <c r="L410" s="179" t="n"/>
      <c r="M410" s="179" t="n"/>
      <c r="N410" s="179" t="n"/>
      <c r="O410" s="179" t="n"/>
      <c r="P410" s="179" t="n"/>
      <c r="Q410" s="179" t="inlineStr">
        <is>
          <t>внутр</t>
        </is>
      </c>
      <c r="R410" s="171" t="n"/>
      <c r="S410" s="171" t="n"/>
    </row>
    <row r="411" ht="18" customHeight="1">
      <c r="A411" s="45" t="inlineStr">
        <is>
          <t>работник 720</t>
        </is>
      </c>
      <c r="B411" s="178" t="inlineStr">
        <is>
          <t>Помощник машиниста буровой установки</t>
        </is>
      </c>
      <c r="C411" s="178" t="inlineStr"/>
      <c r="D411" s="179" t="n"/>
      <c r="E411" s="179" t="inlineStr">
        <is>
          <t>внутр</t>
        </is>
      </c>
      <c r="F411" s="179" t="n"/>
      <c r="G411" s="179" t="n"/>
      <c r="H411" s="179" t="n"/>
      <c r="I411" s="179" t="n"/>
      <c r="J411" s="179" t="n"/>
      <c r="K411" s="179" t="n"/>
      <c r="L411" s="179" t="n"/>
      <c r="M411" s="179" t="n"/>
      <c r="N411" s="179" t="n"/>
      <c r="O411" s="179" t="n"/>
      <c r="P411" s="179" t="n"/>
      <c r="Q411" s="179" t="inlineStr">
        <is>
          <t>внутр</t>
        </is>
      </c>
      <c r="R411" s="171" t="n"/>
      <c r="S411" s="171" t="n"/>
    </row>
    <row r="412" ht="18" customHeight="1">
      <c r="A412" s="45" t="inlineStr">
        <is>
          <t>работник 86</t>
        </is>
      </c>
      <c r="B412" s="178" t="inlineStr">
        <is>
          <t>Пробоотборщик</t>
        </is>
      </c>
      <c r="C412" s="178" t="inlineStr"/>
      <c r="D412" s="179" t="n"/>
      <c r="E412" s="179" t="inlineStr">
        <is>
          <t>внутр</t>
        </is>
      </c>
      <c r="F412" s="179" t="n"/>
      <c r="G412" s="179" t="n"/>
      <c r="H412" s="179" t="n"/>
      <c r="I412" s="179" t="n"/>
      <c r="J412" s="179" t="n"/>
      <c r="K412" s="179" t="n"/>
      <c r="L412" s="179" t="n"/>
      <c r="M412" s="179" t="n"/>
      <c r="N412" s="179" t="n"/>
      <c r="O412" s="179" t="n"/>
      <c r="P412" s="179" t="inlineStr">
        <is>
          <t>внутр</t>
        </is>
      </c>
      <c r="Q412" s="179" t="inlineStr">
        <is>
          <t>внутр</t>
        </is>
      </c>
      <c r="R412" s="171" t="n"/>
      <c r="S412" s="171" t="n"/>
    </row>
    <row r="413" ht="18" customHeight="1">
      <c r="A413" s="45" t="inlineStr">
        <is>
          <t>работник 792</t>
        </is>
      </c>
      <c r="B413" s="178" t="inlineStr">
        <is>
          <t>Машинист экскаватора</t>
        </is>
      </c>
      <c r="C413" s="178" t="inlineStr"/>
      <c r="D413" s="179" t="n"/>
      <c r="E413" s="179" t="inlineStr">
        <is>
          <t>внутр</t>
        </is>
      </c>
      <c r="F413" s="179" t="n"/>
      <c r="G413" s="179" t="n"/>
      <c r="H413" s="179" t="n"/>
      <c r="I413" s="179" t="n"/>
      <c r="J413" s="179" t="n"/>
      <c r="K413" s="179" t="n"/>
      <c r="L413" s="179" t="n"/>
      <c r="M413" s="179" t="n"/>
      <c r="N413" s="179" t="n"/>
      <c r="O413" s="179" t="n"/>
      <c r="P413" s="179" t="inlineStr">
        <is>
          <t>внутр</t>
        </is>
      </c>
      <c r="Q413" s="179" t="inlineStr">
        <is>
          <t>внутр</t>
        </is>
      </c>
      <c r="R413" s="171" t="n"/>
      <c r="S413" s="171" t="n"/>
    </row>
    <row r="414" ht="18" customHeight="1">
      <c r="A414" s="45" t="inlineStr">
        <is>
          <t>работник 70</t>
        </is>
      </c>
      <c r="B414" s="178" t="inlineStr">
        <is>
          <t>Подсобный рабочий | Оператор дизельных котлов</t>
        </is>
      </c>
      <c r="C414" s="178" t="inlineStr"/>
      <c r="D414" s="179" t="n"/>
      <c r="E414" s="179" t="inlineStr">
        <is>
          <t>внутр</t>
        </is>
      </c>
      <c r="F414" s="179" t="n"/>
      <c r="G414" s="179" t="n"/>
      <c r="H414" s="179" t="n"/>
      <c r="I414" s="179" t="n"/>
      <c r="J414" s="179" t="n"/>
      <c r="K414" s="179" t="n"/>
      <c r="L414" s="179" t="n"/>
      <c r="M414" s="179" t="n"/>
      <c r="N414" s="179" t="n"/>
      <c r="O414" s="179" t="n"/>
      <c r="P414" s="179" t="inlineStr">
        <is>
          <t>внутр</t>
        </is>
      </c>
      <c r="Q414" s="179" t="inlineStr">
        <is>
          <t>внутр</t>
        </is>
      </c>
      <c r="R414" s="171" t="n"/>
      <c r="S414" s="171" t="n"/>
    </row>
    <row r="415" ht="18" customHeight="1">
      <c r="A415" s="45" t="inlineStr">
        <is>
          <t>работник 456</t>
        </is>
      </c>
      <c r="B415" s="178" t="inlineStr">
        <is>
          <t>Подсобный рабочий</t>
        </is>
      </c>
      <c r="C415" s="178" t="inlineStr"/>
      <c r="D415" s="179" t="n"/>
      <c r="E415" s="179" t="inlineStr">
        <is>
          <t>внутр</t>
        </is>
      </c>
      <c r="F415" s="179" t="n"/>
      <c r="G415" s="179" t="n"/>
      <c r="H415" s="179" t="n"/>
      <c r="I415" s="179" t="n"/>
      <c r="J415" s="179" t="n"/>
      <c r="K415" s="179" t="n"/>
      <c r="L415" s="179" t="n"/>
      <c r="M415" s="179" t="n"/>
      <c r="N415" s="179" t="n"/>
      <c r="O415" s="179" t="n"/>
      <c r="P415" s="179" t="n"/>
      <c r="Q415" s="179" t="inlineStr">
        <is>
          <t>внутр</t>
        </is>
      </c>
      <c r="R415" s="171" t="n"/>
      <c r="S415" s="171" t="n"/>
    </row>
    <row r="416" ht="18" customHeight="1">
      <c r="A416" s="45" t="inlineStr">
        <is>
          <t>работник 797</t>
        </is>
      </c>
      <c r="B416" s="178" t="inlineStr">
        <is>
          <t>Водитель автомобиля (категория D)</t>
        </is>
      </c>
      <c r="C416" s="178" t="inlineStr"/>
      <c r="D416" s="179" t="n"/>
      <c r="E416" s="179" t="inlineStr">
        <is>
          <t>внутр</t>
        </is>
      </c>
      <c r="F416" s="179" t="n"/>
      <c r="G416" s="179" t="n"/>
      <c r="H416" s="179" t="n"/>
      <c r="I416" s="179" t="n"/>
      <c r="J416" s="179" t="n"/>
      <c r="K416" s="179" t="n"/>
      <c r="L416" s="179" t="n"/>
      <c r="M416" s="179" t="n"/>
      <c r="N416" s="179" t="n"/>
      <c r="O416" s="179" t="n"/>
      <c r="P416" s="179" t="inlineStr">
        <is>
          <t>внутр</t>
        </is>
      </c>
      <c r="Q416" s="179" t="inlineStr">
        <is>
          <t>внутр</t>
        </is>
      </c>
      <c r="R416" s="171" t="n"/>
      <c r="S416" s="171" t="n"/>
    </row>
    <row r="417" ht="18" customHeight="1">
      <c r="A417" s="45" t="inlineStr">
        <is>
          <t>работник 559</t>
        </is>
      </c>
      <c r="B417" s="178" t="inlineStr">
        <is>
          <t>Весовщик</t>
        </is>
      </c>
      <c r="C417" s="178" t="inlineStr"/>
      <c r="D417" s="179" t="n"/>
      <c r="E417" s="179" t="inlineStr">
        <is>
          <t>внутр</t>
        </is>
      </c>
      <c r="F417" s="179" t="n"/>
      <c r="G417" s="179" t="n"/>
      <c r="H417" s="179" t="n"/>
      <c r="I417" s="179" t="n"/>
      <c r="J417" s="179" t="n"/>
      <c r="K417" s="179" t="n"/>
      <c r="L417" s="179" t="n"/>
      <c r="M417" s="179" t="n"/>
      <c r="N417" s="179" t="n"/>
      <c r="O417" s="179" t="n"/>
      <c r="P417" s="179" t="n"/>
      <c r="Q417" s="179" t="inlineStr">
        <is>
          <t>внутр</t>
        </is>
      </c>
      <c r="R417" s="171" t="n"/>
      <c r="S417" s="171" t="n"/>
    </row>
    <row r="418" ht="18" customHeight="1">
      <c r="A418" s="45" t="inlineStr">
        <is>
          <t>работник 499</t>
        </is>
      </c>
      <c r="B418" s="178" t="inlineStr">
        <is>
          <t>Повар</t>
        </is>
      </c>
      <c r="C418" s="178" t="inlineStr"/>
      <c r="D418" s="179" t="n"/>
      <c r="E418" s="179" t="inlineStr">
        <is>
          <t>внутр</t>
        </is>
      </c>
      <c r="F418" s="179" t="n"/>
      <c r="G418" s="179" t="n"/>
      <c r="H418" s="179" t="n"/>
      <c r="I418" s="179" t="n"/>
      <c r="J418" s="179" t="n"/>
      <c r="K418" s="179" t="n"/>
      <c r="L418" s="179" t="n"/>
      <c r="M418" s="179" t="n"/>
      <c r="N418" s="179" t="n"/>
      <c r="O418" s="179" t="n"/>
      <c r="P418" s="179" t="n"/>
      <c r="Q418" s="179" t="inlineStr">
        <is>
          <t>внутр</t>
        </is>
      </c>
      <c r="R418" s="171" t="n"/>
      <c r="S418" s="171" t="n"/>
    </row>
    <row r="419" ht="18" customHeight="1">
      <c r="A419" s="45" t="inlineStr">
        <is>
          <t>работник 500</t>
        </is>
      </c>
      <c r="B419" s="178" t="inlineStr">
        <is>
          <t>Кухонный рабочий</t>
        </is>
      </c>
      <c r="C419" s="178" t="inlineStr"/>
      <c r="D419" s="179" t="n"/>
      <c r="E419" s="179" t="inlineStr">
        <is>
          <t>внутр</t>
        </is>
      </c>
      <c r="F419" s="179" t="n"/>
      <c r="G419" s="179" t="n"/>
      <c r="H419" s="179" t="n"/>
      <c r="I419" s="179" t="n"/>
      <c r="J419" s="179" t="n"/>
      <c r="K419" s="179" t="n"/>
      <c r="L419" s="179" t="n"/>
      <c r="M419" s="179" t="n"/>
      <c r="N419" s="179" t="n"/>
      <c r="O419" s="179" t="n"/>
      <c r="P419" s="179" t="n"/>
      <c r="Q419" s="179" t="inlineStr">
        <is>
          <t>внутр</t>
        </is>
      </c>
      <c r="R419" s="171" t="n"/>
      <c r="S419" s="171" t="n"/>
    </row>
    <row r="420" ht="18" customHeight="1">
      <c r="A420" s="45" t="inlineStr">
        <is>
          <t>работник 101</t>
        </is>
      </c>
      <c r="B420" s="178" t="inlineStr">
        <is>
          <t>Повар</t>
        </is>
      </c>
      <c r="C420" s="178" t="inlineStr"/>
      <c r="D420" s="179" t="n"/>
      <c r="E420" s="179" t="inlineStr">
        <is>
          <t>внутр</t>
        </is>
      </c>
      <c r="F420" s="179" t="n"/>
      <c r="G420" s="179" t="n"/>
      <c r="H420" s="179" t="n"/>
      <c r="I420" s="179" t="n"/>
      <c r="J420" s="179" t="n"/>
      <c r="K420" s="179" t="n"/>
      <c r="L420" s="179" t="n"/>
      <c r="M420" s="179" t="n"/>
      <c r="N420" s="179" t="n"/>
      <c r="O420" s="179" t="n"/>
      <c r="P420" s="179" t="inlineStr">
        <is>
          <t>внутр</t>
        </is>
      </c>
      <c r="Q420" s="179" t="inlineStr">
        <is>
          <t>внутр</t>
        </is>
      </c>
      <c r="R420" s="171" t="n"/>
      <c r="S420" s="171" t="n"/>
    </row>
    <row r="421" ht="18" customHeight="1">
      <c r="A421" s="45" t="inlineStr">
        <is>
          <t>работник 697</t>
        </is>
      </c>
      <c r="B421" s="178" t="inlineStr">
        <is>
          <t>Бетонщик</t>
        </is>
      </c>
      <c r="C421" s="178" t="inlineStr"/>
      <c r="D421" s="179" t="n"/>
      <c r="E421" s="179" t="inlineStr">
        <is>
          <t>внутр</t>
        </is>
      </c>
      <c r="F421" s="179" t="n"/>
      <c r="G421" s="179" t="n"/>
      <c r="H421" s="179" t="n"/>
      <c r="I421" s="179" t="n"/>
      <c r="J421" s="179" t="n"/>
      <c r="K421" s="179" t="n"/>
      <c r="L421" s="179" t="n"/>
      <c r="M421" s="179" t="n"/>
      <c r="N421" s="179" t="n"/>
      <c r="O421" s="179" t="n"/>
      <c r="P421" s="179" t="n"/>
      <c r="Q421" s="179" t="inlineStr">
        <is>
          <t>внутр</t>
        </is>
      </c>
      <c r="R421" s="171" t="n"/>
      <c r="S421" s="171" t="n"/>
    </row>
    <row r="422" ht="18" customHeight="1">
      <c r="A422" s="45" t="inlineStr">
        <is>
          <t>работник 698</t>
        </is>
      </c>
      <c r="B422" s="178" t="inlineStr">
        <is>
          <t>Бетонщик</t>
        </is>
      </c>
      <c r="C422" s="178" t="inlineStr"/>
      <c r="D422" s="179" t="n"/>
      <c r="E422" s="179" t="inlineStr">
        <is>
          <t>внутр</t>
        </is>
      </c>
      <c r="F422" s="179" t="n"/>
      <c r="G422" s="179" t="n"/>
      <c r="H422" s="179" t="n"/>
      <c r="I422" s="179" t="n"/>
      <c r="J422" s="179" t="n"/>
      <c r="K422" s="179" t="n"/>
      <c r="L422" s="179" t="n"/>
      <c r="M422" s="179" t="n"/>
      <c r="N422" s="179" t="n"/>
      <c r="O422" s="179" t="n"/>
      <c r="P422" s="179" t="n"/>
      <c r="Q422" s="179" t="inlineStr">
        <is>
          <t>внутр</t>
        </is>
      </c>
      <c r="R422" s="171" t="n"/>
      <c r="S422" s="171" t="n"/>
    </row>
    <row r="423" ht="18" customHeight="1">
      <c r="A423" s="45" t="inlineStr">
        <is>
          <t>работник 31</t>
        </is>
      </c>
      <c r="B423" s="178" t="inlineStr">
        <is>
          <t>Электромантер | Электромонтер по ремонту и обслуживанию электрооборудования | Электромонтер по ремонту и обслуживанию электрооборудованию</t>
        </is>
      </c>
      <c r="C423" s="178" t="inlineStr"/>
      <c r="D423" s="179" t="n"/>
      <c r="E423" s="179" t="inlineStr">
        <is>
          <t>внутр</t>
        </is>
      </c>
      <c r="F423" s="179" t="inlineStr">
        <is>
          <t>внутр</t>
        </is>
      </c>
      <c r="G423" s="179" t="inlineStr">
        <is>
          <t>внутр</t>
        </is>
      </c>
      <c r="H423" s="179" t="inlineStr">
        <is>
          <t>внутр</t>
        </is>
      </c>
      <c r="I423" s="179" t="inlineStr">
        <is>
          <t>внутр</t>
        </is>
      </c>
      <c r="J423" s="179" t="inlineStr">
        <is>
          <t>внутр</t>
        </is>
      </c>
      <c r="K423" s="179" t="inlineStr">
        <is>
          <t>внутр</t>
        </is>
      </c>
      <c r="L423" s="179" t="inlineStr">
        <is>
          <t>внутр</t>
        </is>
      </c>
      <c r="M423" s="179" t="n"/>
      <c r="N423" s="179" t="n"/>
      <c r="O423" s="179" t="n"/>
      <c r="P423" s="179" t="inlineStr">
        <is>
          <t>внутр</t>
        </is>
      </c>
      <c r="Q423" s="179" t="inlineStr">
        <is>
          <t>внутр</t>
        </is>
      </c>
      <c r="R423" s="171" t="n"/>
      <c r="S423" s="171" t="n"/>
    </row>
    <row r="424" ht="18" customHeight="1">
      <c r="A424" s="45" t="inlineStr">
        <is>
          <t>работник 398</t>
        </is>
      </c>
      <c r="B424" s="178" t="inlineStr">
        <is>
          <t>Водитель автомобиля (занятый на транспортировании горной массы в технологическом процессе) | Машинист крана автомобильного</t>
        </is>
      </c>
      <c r="C424" s="178" t="inlineStr"/>
      <c r="D424" s="179" t="n"/>
      <c r="E424" s="179" t="inlineStr">
        <is>
          <t>внутр</t>
        </is>
      </c>
      <c r="F424" s="179" t="n"/>
      <c r="G424" s="179" t="n"/>
      <c r="H424" s="179" t="n"/>
      <c r="I424" s="179" t="n"/>
      <c r="J424" s="179" t="n"/>
      <c r="K424" s="179" t="n"/>
      <c r="L424" s="179" t="n"/>
      <c r="M424" s="179" t="n"/>
      <c r="N424" s="179" t="n"/>
      <c r="O424" s="179" t="n"/>
      <c r="P424" s="179" t="inlineStr">
        <is>
          <t>внутр</t>
        </is>
      </c>
      <c r="Q424" s="179" t="inlineStr">
        <is>
          <t>внутр</t>
        </is>
      </c>
      <c r="R424" s="171" t="n"/>
      <c r="S424" s="171" t="n"/>
    </row>
    <row r="425" ht="18" customHeight="1">
      <c r="A425" s="45" t="inlineStr">
        <is>
          <t>работник 458</t>
        </is>
      </c>
      <c r="B425" s="178" t="inlineStr">
        <is>
          <t>Подсобный рабочий</t>
        </is>
      </c>
      <c r="C425" s="178" t="inlineStr"/>
      <c r="D425" s="179" t="n"/>
      <c r="E425" s="179" t="inlineStr">
        <is>
          <t>внутр</t>
        </is>
      </c>
      <c r="F425" s="179" t="n"/>
      <c r="G425" s="179" t="n"/>
      <c r="H425" s="179" t="n"/>
      <c r="I425" s="179" t="n"/>
      <c r="J425" s="179" t="n"/>
      <c r="K425" s="179" t="n"/>
      <c r="L425" s="179" t="n"/>
      <c r="M425" s="179" t="n"/>
      <c r="N425" s="179" t="n"/>
      <c r="O425" s="179" t="n"/>
      <c r="P425" s="179" t="n"/>
      <c r="Q425" s="179" t="inlineStr">
        <is>
          <t>внутр</t>
        </is>
      </c>
      <c r="R425" s="171" t="n"/>
      <c r="S425" s="171" t="n"/>
    </row>
    <row r="426" ht="18" customHeight="1">
      <c r="A426" s="45" t="inlineStr">
        <is>
          <t>работник 132</t>
        </is>
      </c>
      <c r="B426" s="178" t="inlineStr">
        <is>
          <t>Электрогазосварщик | Электрогазосварщик (занятый на резке и ручной сварке) | Электрогазосварщик, занятый на резке и ручной сварке</t>
        </is>
      </c>
      <c r="C426" s="178" t="inlineStr"/>
      <c r="D426" s="179" t="n"/>
      <c r="E426" s="179" t="inlineStr">
        <is>
          <t>внутр</t>
        </is>
      </c>
      <c r="F426" s="179" t="inlineStr">
        <is>
          <t>внутр</t>
        </is>
      </c>
      <c r="G426" s="179" t="inlineStr">
        <is>
          <t>внутр</t>
        </is>
      </c>
      <c r="H426" s="179" t="inlineStr">
        <is>
          <t>внутр</t>
        </is>
      </c>
      <c r="I426" s="179" t="inlineStr">
        <is>
          <t>внутр</t>
        </is>
      </c>
      <c r="J426" s="179" t="inlineStr">
        <is>
          <t>внутр</t>
        </is>
      </c>
      <c r="K426" s="179" t="inlineStr">
        <is>
          <t>внутр</t>
        </is>
      </c>
      <c r="L426" s="179" t="n"/>
      <c r="M426" s="179" t="n"/>
      <c r="N426" s="179" t="n"/>
      <c r="O426" s="179" t="n"/>
      <c r="P426" s="179" t="inlineStr">
        <is>
          <t>внутр</t>
        </is>
      </c>
      <c r="Q426" s="179" t="inlineStr">
        <is>
          <t>внутр</t>
        </is>
      </c>
      <c r="R426" s="171" t="n"/>
      <c r="S426" s="171" t="n"/>
    </row>
    <row r="427" ht="18" customHeight="1">
      <c r="A427" s="45" t="inlineStr">
        <is>
          <t>работник 133</t>
        </is>
      </c>
      <c r="B427" s="178" t="inlineStr">
        <is>
          <t>Электрогазосварщик | Электрогазосварщик (занятый на резке и ручной сварке)</t>
        </is>
      </c>
      <c r="C427" s="178" t="inlineStr"/>
      <c r="D427" s="179" t="n"/>
      <c r="E427" s="179" t="inlineStr">
        <is>
          <t>внутр</t>
        </is>
      </c>
      <c r="F427" s="179" t="inlineStr">
        <is>
          <t>внутр</t>
        </is>
      </c>
      <c r="G427" s="179" t="inlineStr">
        <is>
          <t>внутр</t>
        </is>
      </c>
      <c r="H427" s="179" t="inlineStr">
        <is>
          <t>внутр</t>
        </is>
      </c>
      <c r="I427" s="179" t="inlineStr">
        <is>
          <t>внутр</t>
        </is>
      </c>
      <c r="J427" s="179" t="inlineStr">
        <is>
          <t>внутр</t>
        </is>
      </c>
      <c r="K427" s="179" t="inlineStr">
        <is>
          <t>внутр</t>
        </is>
      </c>
      <c r="L427" s="179" t="n"/>
      <c r="M427" s="179" t="n"/>
      <c r="N427" s="179" t="n"/>
      <c r="O427" s="179" t="n"/>
      <c r="P427" s="179" t="inlineStr">
        <is>
          <t>внутр</t>
        </is>
      </c>
      <c r="Q427" s="179" t="inlineStr">
        <is>
          <t>внутр</t>
        </is>
      </c>
      <c r="R427" s="171" t="n"/>
      <c r="S427" s="171" t="n"/>
    </row>
    <row r="428" ht="18" customHeight="1">
      <c r="A428" s="45" t="inlineStr">
        <is>
          <t>работник 678</t>
        </is>
      </c>
      <c r="B428" s="178" t="inlineStr">
        <is>
          <t>Контролёр продукции обогащения</t>
        </is>
      </c>
      <c r="C428" s="178" t="inlineStr"/>
      <c r="D428" s="179" t="n"/>
      <c r="E428" s="179" t="inlineStr">
        <is>
          <t>внутр</t>
        </is>
      </c>
      <c r="F428" s="179" t="n"/>
      <c r="G428" s="179" t="n"/>
      <c r="H428" s="179" t="n"/>
      <c r="I428" s="179" t="n"/>
      <c r="J428" s="179" t="n"/>
      <c r="K428" s="179" t="n"/>
      <c r="L428" s="179" t="n"/>
      <c r="M428" s="179" t="n"/>
      <c r="N428" s="179" t="n"/>
      <c r="O428" s="179" t="n"/>
      <c r="P428" s="179" t="n"/>
      <c r="Q428" s="179" t="inlineStr">
        <is>
          <t>внутр</t>
        </is>
      </c>
      <c r="R428" s="171" t="n"/>
      <c r="S428" s="171" t="n"/>
    </row>
    <row r="429" ht="18" customHeight="1">
      <c r="A429" s="45" t="inlineStr">
        <is>
          <t>работник 489</t>
        </is>
      </c>
      <c r="B429" s="178" t="inlineStr">
        <is>
          <t>Электрогазосварщик (занятый на резке и ручной сварке)</t>
        </is>
      </c>
      <c r="C429" s="178" t="inlineStr"/>
      <c r="D429" s="179" t="n"/>
      <c r="E429" s="179" t="inlineStr">
        <is>
          <t>внутр</t>
        </is>
      </c>
      <c r="F429" s="179" t="n"/>
      <c r="G429" s="179" t="n"/>
      <c r="H429" s="179" t="n"/>
      <c r="I429" s="179" t="n"/>
      <c r="J429" s="179" t="n"/>
      <c r="K429" s="179" t="n"/>
      <c r="L429" s="179" t="n"/>
      <c r="M429" s="179" t="n"/>
      <c r="N429" s="179" t="n"/>
      <c r="O429" s="179" t="n"/>
      <c r="P429" s="179" t="n"/>
      <c r="Q429" s="179" t="inlineStr">
        <is>
          <t>внутр</t>
        </is>
      </c>
      <c r="R429" s="171" t="n"/>
      <c r="S429" s="171" t="n"/>
    </row>
    <row r="430" ht="18" customHeight="1">
      <c r="A430" s="45" t="inlineStr">
        <is>
          <t>работник 45</t>
        </is>
      </c>
      <c r="B430" s="178" t="inlineStr">
        <is>
          <t>Электромонтер по ремонту и обслуживанию электрооборудования | Электрогазосварщик (занятый на резке и ручной сварке)</t>
        </is>
      </c>
      <c r="C430" s="178" t="inlineStr"/>
      <c r="D430" s="179" t="n"/>
      <c r="E430" s="179" t="inlineStr">
        <is>
          <t>внутр</t>
        </is>
      </c>
      <c r="F430" s="179" t="inlineStr">
        <is>
          <t>внутр</t>
        </is>
      </c>
      <c r="G430" s="179" t="n"/>
      <c r="H430" s="179" t="n"/>
      <c r="I430" s="179" t="n"/>
      <c r="J430" s="179" t="n"/>
      <c r="K430" s="179" t="n"/>
      <c r="L430" s="179" t="inlineStr">
        <is>
          <t>внутр</t>
        </is>
      </c>
      <c r="M430" s="179" t="n"/>
      <c r="N430" s="179" t="n"/>
      <c r="O430" s="179" t="n"/>
      <c r="P430" s="179" t="inlineStr">
        <is>
          <t>внутр</t>
        </is>
      </c>
      <c r="Q430" s="179" t="inlineStr">
        <is>
          <t>внутр</t>
        </is>
      </c>
      <c r="R430" s="171" t="n"/>
      <c r="S430" s="171" t="n"/>
    </row>
    <row r="431" ht="18" customHeight="1">
      <c r="A431" s="45" t="inlineStr">
        <is>
          <t>работник 303</t>
        </is>
      </c>
      <c r="B431" s="178" t="inlineStr">
        <is>
          <t>Машинист погрузочно-доставочной машины</t>
        </is>
      </c>
      <c r="C431" s="178" t="inlineStr"/>
      <c r="D431" s="179" t="n"/>
      <c r="E431" s="179" t="inlineStr">
        <is>
          <t>внутр</t>
        </is>
      </c>
      <c r="F431" s="179" t="n"/>
      <c r="G431" s="179" t="n"/>
      <c r="H431" s="179" t="n"/>
      <c r="I431" s="179" t="n"/>
      <c r="J431" s="179" t="n"/>
      <c r="K431" s="179" t="n"/>
      <c r="L431" s="179" t="n"/>
      <c r="M431" s="179" t="n"/>
      <c r="N431" s="179" t="n"/>
      <c r="O431" s="179" t="n"/>
      <c r="P431" s="179" t="inlineStr">
        <is>
          <t>внутр</t>
        </is>
      </c>
      <c r="Q431" s="179" t="inlineStr">
        <is>
          <t>внутр</t>
        </is>
      </c>
      <c r="R431" s="171" t="n"/>
      <c r="S431" s="171" t="n"/>
    </row>
    <row r="432" ht="18" customHeight="1">
      <c r="A432" s="45" t="inlineStr">
        <is>
          <t>работник 3</t>
        </is>
      </c>
      <c r="B432" s="178" t="inlineStr">
        <is>
          <t>Инженер по промышленной безопасности и охране труда</t>
        </is>
      </c>
      <c r="C432" s="178" t="inlineStr">
        <is>
          <t>Специалист по охране труда</t>
        </is>
      </c>
      <c r="D432" s="179" t="inlineStr">
        <is>
          <t>внеш</t>
        </is>
      </c>
      <c r="E432" s="179" t="inlineStr">
        <is>
          <t>внеш</t>
        </is>
      </c>
      <c r="F432" s="179" t="n"/>
      <c r="G432" s="179" t="n"/>
      <c r="H432" s="179" t="n"/>
      <c r="I432" s="179" t="n"/>
      <c r="J432" s="179" t="n"/>
      <c r="K432" s="179" t="n"/>
      <c r="L432" s="179" t="n"/>
      <c r="M432" s="179" t="n"/>
      <c r="N432" s="179" t="n"/>
      <c r="O432" s="179" t="n"/>
      <c r="P432" s="181" t="inlineStr">
        <is>
          <t>внеш</t>
        </is>
      </c>
      <c r="Q432" s="181" t="inlineStr">
        <is>
          <t>внеш</t>
        </is>
      </c>
      <c r="R432" s="171" t="n"/>
      <c r="S432" s="171" t="n">
        <v>2</v>
      </c>
    </row>
    <row r="433" ht="18" customHeight="1">
      <c r="A433" s="45" t="inlineStr">
        <is>
          <t>работник 90</t>
        </is>
      </c>
      <c r="B433" s="178" t="inlineStr">
        <is>
          <t>Электромонтер по ремонту и обслуживанию электрооборудования</t>
        </is>
      </c>
      <c r="C433" s="178" t="inlineStr"/>
      <c r="D433" s="179" t="n"/>
      <c r="E433" s="179" t="inlineStr">
        <is>
          <t>внутр</t>
        </is>
      </c>
      <c r="F433" s="179" t="inlineStr">
        <is>
          <t>внутр</t>
        </is>
      </c>
      <c r="G433" s="179" t="n"/>
      <c r="H433" s="179" t="n"/>
      <c r="I433" s="179" t="n"/>
      <c r="J433" s="179" t="n"/>
      <c r="K433" s="179" t="n"/>
      <c r="L433" s="179" t="inlineStr">
        <is>
          <t>внутр</t>
        </is>
      </c>
      <c r="M433" s="179" t="n"/>
      <c r="N433" s="179" t="n"/>
      <c r="O433" s="179" t="n"/>
      <c r="P433" s="179" t="inlineStr">
        <is>
          <t>внутр</t>
        </is>
      </c>
      <c r="Q433" s="179" t="inlineStr">
        <is>
          <t>внутр</t>
        </is>
      </c>
      <c r="R433" s="171" t="n"/>
      <c r="S433" s="171" t="n"/>
    </row>
    <row r="434" ht="18" customHeight="1">
      <c r="A434" s="45" t="inlineStr">
        <is>
          <t>работник 539</t>
        </is>
      </c>
      <c r="B434" s="178" t="inlineStr">
        <is>
          <t>Электромонтер по ремонту и обслуживанию электрооборудования</t>
        </is>
      </c>
      <c r="C434" s="178" t="inlineStr"/>
      <c r="D434" s="179" t="n"/>
      <c r="E434" s="179" t="inlineStr">
        <is>
          <t>внутр</t>
        </is>
      </c>
      <c r="F434" s="179" t="n"/>
      <c r="G434" s="179" t="n"/>
      <c r="H434" s="179" t="n"/>
      <c r="I434" s="179" t="n"/>
      <c r="J434" s="179" t="n"/>
      <c r="K434" s="179" t="n"/>
      <c r="L434" s="179" t="n"/>
      <c r="M434" s="179" t="n"/>
      <c r="N434" s="179" t="n"/>
      <c r="O434" s="179" t="n"/>
      <c r="P434" s="179" t="n"/>
      <c r="Q434" s="179" t="inlineStr">
        <is>
          <t>внутр</t>
        </is>
      </c>
      <c r="R434" s="171" t="n"/>
      <c r="S434" s="171" t="n"/>
    </row>
    <row r="435" ht="18" customHeight="1">
      <c r="A435" s="45" t="inlineStr">
        <is>
          <t>работник 699</t>
        </is>
      </c>
      <c r="B435" s="178" t="inlineStr">
        <is>
          <t>Электрогазосварщик</t>
        </is>
      </c>
      <c r="C435" s="178" t="inlineStr"/>
      <c r="D435" s="179" t="n"/>
      <c r="E435" s="179" t="inlineStr">
        <is>
          <t>внутр</t>
        </is>
      </c>
      <c r="F435" s="179" t="n"/>
      <c r="G435" s="179" t="inlineStr">
        <is>
          <t>внутр</t>
        </is>
      </c>
      <c r="H435" s="179" t="n"/>
      <c r="I435" s="179" t="n"/>
      <c r="J435" s="179" t="n"/>
      <c r="K435" s="179" t="n"/>
      <c r="L435" s="179" t="n"/>
      <c r="M435" s="179" t="n"/>
      <c r="N435" s="179" t="n"/>
      <c r="O435" s="179" t="n"/>
      <c r="P435" s="179" t="n"/>
      <c r="Q435" s="179" t="inlineStr">
        <is>
          <t>внутр</t>
        </is>
      </c>
      <c r="R435" s="171" t="n"/>
      <c r="S435" s="171" t="n"/>
    </row>
    <row r="436" ht="18" customHeight="1">
      <c r="A436" s="45" t="inlineStr">
        <is>
          <t>работник 283</t>
        </is>
      </c>
      <c r="B436" s="178" t="inlineStr">
        <is>
          <t>Водитель автомобиля (занятый на транспортировании горной массы в технологическом процессе)</t>
        </is>
      </c>
      <c r="C436" s="178" t="inlineStr"/>
      <c r="D436" s="179" t="n"/>
      <c r="E436" s="179" t="inlineStr">
        <is>
          <t>внутр</t>
        </is>
      </c>
      <c r="F436" s="179" t="n"/>
      <c r="G436" s="179" t="n"/>
      <c r="H436" s="179" t="n"/>
      <c r="I436" s="179" t="n"/>
      <c r="J436" s="179" t="n"/>
      <c r="K436" s="179" t="n"/>
      <c r="L436" s="179" t="n"/>
      <c r="M436" s="179" t="n"/>
      <c r="N436" s="179" t="n"/>
      <c r="O436" s="179" t="n"/>
      <c r="P436" s="179" t="inlineStr">
        <is>
          <t>внутр</t>
        </is>
      </c>
      <c r="Q436" s="179" t="inlineStr">
        <is>
          <t>внутр</t>
        </is>
      </c>
      <c r="R436" s="171" t="n"/>
      <c r="S436" s="171" t="n"/>
    </row>
    <row r="437" ht="18" customHeight="1">
      <c r="A437" s="45" t="inlineStr">
        <is>
          <t>работник 700</t>
        </is>
      </c>
      <c r="B437" s="178" t="inlineStr">
        <is>
          <t>Плотник</t>
        </is>
      </c>
      <c r="C437" s="178" t="inlineStr"/>
      <c r="D437" s="179" t="n"/>
      <c r="E437" s="179" t="inlineStr">
        <is>
          <t>внутр</t>
        </is>
      </c>
      <c r="F437" s="179" t="n"/>
      <c r="G437" s="179" t="n"/>
      <c r="H437" s="179" t="n"/>
      <c r="I437" s="179" t="n"/>
      <c r="J437" s="179" t="n"/>
      <c r="K437" s="179" t="n"/>
      <c r="L437" s="179" t="n"/>
      <c r="M437" s="179" t="n"/>
      <c r="N437" s="179" t="n"/>
      <c r="O437" s="179" t="n"/>
      <c r="P437" s="179" t="n"/>
      <c r="Q437" s="179" t="inlineStr">
        <is>
          <t>внутр</t>
        </is>
      </c>
      <c r="R437" s="171" t="n"/>
      <c r="S437" s="171" t="n"/>
    </row>
    <row r="438" ht="18" customHeight="1">
      <c r="A438" s="45" t="inlineStr">
        <is>
          <t>работник 387</t>
        </is>
      </c>
      <c r="B438" s="178" t="inlineStr">
        <is>
          <t>Дробильщик</t>
        </is>
      </c>
      <c r="C438" s="178" t="inlineStr"/>
      <c r="D438" s="179" t="n"/>
      <c r="E438" s="179" t="inlineStr">
        <is>
          <t>внутр</t>
        </is>
      </c>
      <c r="F438" s="179" t="n"/>
      <c r="G438" s="179" t="n"/>
      <c r="H438" s="179" t="n"/>
      <c r="I438" s="179" t="n"/>
      <c r="J438" s="179" t="n"/>
      <c r="K438" s="179" t="n"/>
      <c r="L438" s="179" t="n"/>
      <c r="M438" s="179" t="n"/>
      <c r="N438" s="179" t="n"/>
      <c r="O438" s="179" t="n"/>
      <c r="P438" s="179" t="inlineStr">
        <is>
          <t>внутр</t>
        </is>
      </c>
      <c r="Q438" s="179" t="inlineStr">
        <is>
          <t>внутр</t>
        </is>
      </c>
      <c r="R438" s="171" t="n"/>
      <c r="S438" s="171" t="n"/>
    </row>
    <row r="439" ht="18" customHeight="1">
      <c r="A439" s="45" t="inlineStr">
        <is>
          <t>работник 721</t>
        </is>
      </c>
      <c r="B439" s="178" t="inlineStr">
        <is>
          <t>Топограф</t>
        </is>
      </c>
      <c r="C439" s="178" t="inlineStr"/>
      <c r="D439" s="179" t="n"/>
      <c r="E439" s="179" t="inlineStr">
        <is>
          <t>внутр</t>
        </is>
      </c>
      <c r="F439" s="179" t="n"/>
      <c r="G439" s="179" t="n"/>
      <c r="H439" s="179" t="n"/>
      <c r="I439" s="179" t="n"/>
      <c r="J439" s="179" t="n"/>
      <c r="K439" s="179" t="n"/>
      <c r="L439" s="179" t="n"/>
      <c r="M439" s="179" t="n"/>
      <c r="N439" s="179" t="n"/>
      <c r="O439" s="179" t="n"/>
      <c r="P439" s="179" t="n"/>
      <c r="Q439" s="179" t="inlineStr">
        <is>
          <t>внутр</t>
        </is>
      </c>
      <c r="R439" s="171" t="n"/>
      <c r="S439" s="171" t="n"/>
    </row>
    <row r="440" ht="18" customHeight="1">
      <c r="A440" s="45" t="inlineStr">
        <is>
          <t>работник 255</t>
        </is>
      </c>
      <c r="B440" s="178" t="inlineStr">
        <is>
          <t>Фильтровальщик</t>
        </is>
      </c>
      <c r="C440" s="178" t="inlineStr"/>
      <c r="D440" s="179" t="n"/>
      <c r="E440" s="179" t="inlineStr">
        <is>
          <t>внутр</t>
        </is>
      </c>
      <c r="F440" s="179" t="n"/>
      <c r="G440" s="179" t="n"/>
      <c r="H440" s="179" t="n"/>
      <c r="I440" s="179" t="n"/>
      <c r="J440" s="179" t="n"/>
      <c r="K440" s="179" t="n"/>
      <c r="L440" s="179" t="n"/>
      <c r="M440" s="179" t="n"/>
      <c r="N440" s="179" t="n"/>
      <c r="O440" s="179" t="n"/>
      <c r="P440" s="179" t="inlineStr">
        <is>
          <t>внутр</t>
        </is>
      </c>
      <c r="Q440" s="179" t="inlineStr">
        <is>
          <t>внутр</t>
        </is>
      </c>
      <c r="R440" s="171" t="n"/>
      <c r="S440" s="171" t="n"/>
    </row>
    <row r="441" ht="18" customHeight="1">
      <c r="A441" s="45" t="inlineStr">
        <is>
          <t>работник 576</t>
        </is>
      </c>
      <c r="B441" s="178" t="inlineStr">
        <is>
          <t>Фильтровальщик</t>
        </is>
      </c>
      <c r="C441" s="178" t="inlineStr"/>
      <c r="D441" s="179" t="n"/>
      <c r="E441" s="179" t="inlineStr">
        <is>
          <t>внутр</t>
        </is>
      </c>
      <c r="F441" s="179" t="n"/>
      <c r="G441" s="179" t="n"/>
      <c r="H441" s="179" t="n"/>
      <c r="I441" s="179" t="n"/>
      <c r="J441" s="179" t="n"/>
      <c r="K441" s="179" t="n"/>
      <c r="L441" s="179" t="n"/>
      <c r="M441" s="179" t="n"/>
      <c r="N441" s="179" t="n"/>
      <c r="O441" s="179" t="n"/>
      <c r="P441" s="179" t="n"/>
      <c r="Q441" s="179" t="inlineStr">
        <is>
          <t>внутр</t>
        </is>
      </c>
      <c r="R441" s="171" t="n"/>
      <c r="S441" s="171" t="n"/>
    </row>
    <row r="442" ht="18" customHeight="1">
      <c r="A442" s="45" t="inlineStr">
        <is>
          <t>работник 503</t>
        </is>
      </c>
      <c r="B442" s="178" t="inlineStr">
        <is>
          <t>Аппаратчик-гидрометаллург | Слесарь-ремонтник (по ремонту обогатительного оборудования)</t>
        </is>
      </c>
      <c r="C442" s="178" t="inlineStr"/>
      <c r="D442" s="179" t="n"/>
      <c r="E442" s="179" t="inlineStr">
        <is>
          <t>внутр</t>
        </is>
      </c>
      <c r="F442" s="179" t="n"/>
      <c r="G442" s="179" t="n"/>
      <c r="H442" s="179" t="n"/>
      <c r="I442" s="179" t="n"/>
      <c r="J442" s="179" t="n"/>
      <c r="K442" s="179" t="n"/>
      <c r="L442" s="179" t="n"/>
      <c r="M442" s="179" t="n"/>
      <c r="N442" s="179" t="n"/>
      <c r="O442" s="179" t="n"/>
      <c r="P442" s="179" t="inlineStr">
        <is>
          <t>внутр</t>
        </is>
      </c>
      <c r="Q442" s="179" t="inlineStr">
        <is>
          <t>внутр</t>
        </is>
      </c>
      <c r="R442" s="171" t="n"/>
      <c r="S442" s="171" t="n"/>
    </row>
    <row r="443" ht="18" customHeight="1">
      <c r="A443" s="45" t="inlineStr">
        <is>
          <t>работник 722</t>
        </is>
      </c>
      <c r="B443" s="178" t="inlineStr">
        <is>
          <t>Помощник машиниста буровой установки</t>
        </is>
      </c>
      <c r="C443" s="178" t="inlineStr"/>
      <c r="D443" s="179" t="n"/>
      <c r="E443" s="179" t="inlineStr">
        <is>
          <t>внутр</t>
        </is>
      </c>
      <c r="F443" s="179" t="n"/>
      <c r="G443" s="179" t="n"/>
      <c r="H443" s="179" t="n"/>
      <c r="I443" s="179" t="n"/>
      <c r="J443" s="179" t="n"/>
      <c r="K443" s="179" t="n"/>
      <c r="L443" s="179" t="n"/>
      <c r="M443" s="179" t="n"/>
      <c r="N443" s="179" t="n"/>
      <c r="O443" s="179" t="n"/>
      <c r="P443" s="179" t="n"/>
      <c r="Q443" s="179" t="inlineStr">
        <is>
          <t>внутр</t>
        </is>
      </c>
      <c r="R443" s="171" t="n"/>
      <c r="S443" s="171" t="n"/>
    </row>
    <row r="444" ht="18" customHeight="1">
      <c r="A444" s="45" t="inlineStr">
        <is>
          <t>работник 723</t>
        </is>
      </c>
      <c r="B444" s="178" t="inlineStr">
        <is>
          <t>Участковый геолог</t>
        </is>
      </c>
      <c r="C444" s="178" t="inlineStr"/>
      <c r="D444" s="179" t="n"/>
      <c r="E444" s="179" t="inlineStr">
        <is>
          <t>внутр</t>
        </is>
      </c>
      <c r="F444" s="179" t="n"/>
      <c r="G444" s="179" t="n"/>
      <c r="H444" s="179" t="n"/>
      <c r="I444" s="179" t="n"/>
      <c r="J444" s="179" t="n"/>
      <c r="K444" s="179" t="n"/>
      <c r="L444" s="179" t="n"/>
      <c r="M444" s="179" t="n"/>
      <c r="N444" s="179" t="n"/>
      <c r="O444" s="179" t="n"/>
      <c r="P444" s="179" t="n"/>
      <c r="Q444" s="179" t="inlineStr">
        <is>
          <t>внутр</t>
        </is>
      </c>
      <c r="R444" s="171" t="n"/>
      <c r="S444" s="171" t="n"/>
    </row>
    <row r="445" ht="18" customHeight="1">
      <c r="A445" s="45" t="inlineStr">
        <is>
          <t>работник 665</t>
        </is>
      </c>
      <c r="B445" s="178" t="inlineStr">
        <is>
          <t>Механик по ремонту самоходного транспорта (с правом выпуска на линию)</t>
        </is>
      </c>
      <c r="C445" s="178" t="inlineStr"/>
      <c r="D445" s="179" t="n"/>
      <c r="E445" s="179" t="inlineStr">
        <is>
          <t>внутр</t>
        </is>
      </c>
      <c r="F445" s="179" t="n"/>
      <c r="G445" s="179" t="n"/>
      <c r="H445" s="179" t="n"/>
      <c r="I445" s="179" t="n"/>
      <c r="J445" s="179" t="n"/>
      <c r="K445" s="179" t="n"/>
      <c r="L445" s="179" t="n"/>
      <c r="M445" s="179" t="n"/>
      <c r="N445" s="179" t="n"/>
      <c r="O445" s="179" t="n"/>
      <c r="P445" s="179" t="n"/>
      <c r="Q445" s="179" t="inlineStr">
        <is>
          <t>внутр</t>
        </is>
      </c>
      <c r="R445" s="171" t="n"/>
      <c r="S445" s="171" t="n"/>
    </row>
    <row r="446" ht="18" customHeight="1">
      <c r="A446" s="45" t="inlineStr">
        <is>
          <t>работник 323</t>
        </is>
      </c>
      <c r="B446" s="178" t="inlineStr">
        <is>
          <t>Проходчик (с исполнением обязанностей взрывника)</t>
        </is>
      </c>
      <c r="C446" s="178" t="inlineStr"/>
      <c r="D446" s="179" t="n"/>
      <c r="E446" s="179" t="inlineStr">
        <is>
          <t>внутр</t>
        </is>
      </c>
      <c r="F446" s="179" t="n"/>
      <c r="G446" s="179" t="n"/>
      <c r="H446" s="179" t="n"/>
      <c r="I446" s="179" t="n"/>
      <c r="J446" s="179" t="n"/>
      <c r="K446" s="179" t="n"/>
      <c r="L446" s="179" t="n"/>
      <c r="M446" s="179" t="n"/>
      <c r="N446" s="179" t="n"/>
      <c r="O446" s="179" t="n"/>
      <c r="P446" s="179" t="inlineStr">
        <is>
          <t>внутр</t>
        </is>
      </c>
      <c r="Q446" s="179" t="inlineStr">
        <is>
          <t>внутр</t>
        </is>
      </c>
      <c r="R446" s="171" t="n"/>
      <c r="S446" s="171" t="n"/>
    </row>
    <row r="447" ht="18" customHeight="1">
      <c r="A447" s="45" t="inlineStr">
        <is>
          <t>работник 111</t>
        </is>
      </c>
      <c r="B447" s="178" t="inlineStr">
        <is>
          <t>Весовщик | Машинист конвейера</t>
        </is>
      </c>
      <c r="C447" s="178" t="inlineStr"/>
      <c r="D447" s="179" t="n"/>
      <c r="E447" s="179" t="inlineStr">
        <is>
          <t>внутр</t>
        </is>
      </c>
      <c r="F447" s="179" t="n"/>
      <c r="G447" s="179" t="n"/>
      <c r="H447" s="179" t="n"/>
      <c r="I447" s="179" t="n"/>
      <c r="J447" s="179" t="n"/>
      <c r="K447" s="179" t="n"/>
      <c r="L447" s="179" t="n"/>
      <c r="M447" s="179" t="n"/>
      <c r="N447" s="179" t="n"/>
      <c r="O447" s="179" t="n"/>
      <c r="P447" s="179" t="inlineStr">
        <is>
          <t>внутр</t>
        </is>
      </c>
      <c r="Q447" s="179" t="inlineStr">
        <is>
          <t>внутр</t>
        </is>
      </c>
      <c r="R447" s="171" t="n"/>
      <c r="S447" s="171" t="n"/>
    </row>
    <row r="448" ht="18" customHeight="1">
      <c r="A448" s="45" t="inlineStr">
        <is>
          <t>работник 256</t>
        </is>
      </c>
      <c r="B448" s="178" t="inlineStr">
        <is>
          <t>Аппаратчик-гидрометаллург | аппаратчик-гидрометаллург</t>
        </is>
      </c>
      <c r="C448" s="178" t="inlineStr"/>
      <c r="D448" s="179" t="n"/>
      <c r="E448" s="179" t="inlineStr">
        <is>
          <t>внутр</t>
        </is>
      </c>
      <c r="F448" s="179" t="n"/>
      <c r="G448" s="179" t="n"/>
      <c r="H448" s="179" t="n"/>
      <c r="I448" s="179" t="n"/>
      <c r="J448" s="179" t="n"/>
      <c r="K448" s="179" t="n"/>
      <c r="L448" s="179" t="n"/>
      <c r="M448" s="179" t="n"/>
      <c r="N448" s="179" t="n"/>
      <c r="O448" s="179" t="n"/>
      <c r="P448" s="179" t="inlineStr">
        <is>
          <t>внутр</t>
        </is>
      </c>
      <c r="Q448" s="179" t="inlineStr">
        <is>
          <t>внутр</t>
        </is>
      </c>
      <c r="R448" s="171" t="n"/>
      <c r="S448" s="171" t="n"/>
    </row>
    <row r="449" ht="18" customHeight="1">
      <c r="A449" s="45" t="inlineStr">
        <is>
          <t>работник 763</t>
        </is>
      </c>
      <c r="B449" s="178" t="inlineStr">
        <is>
          <t>Машинист погрузочно-доставочной машины (занятый на транспортировании горной массы в технологическом процессе)</t>
        </is>
      </c>
      <c r="C449" s="178" t="inlineStr"/>
      <c r="D449" s="179" t="n"/>
      <c r="E449" s="179" t="inlineStr">
        <is>
          <t>внутр</t>
        </is>
      </c>
      <c r="F449" s="179" t="n"/>
      <c r="G449" s="179" t="n"/>
      <c r="H449" s="179" t="n"/>
      <c r="I449" s="179" t="n"/>
      <c r="J449" s="179" t="n"/>
      <c r="K449" s="179" t="n"/>
      <c r="L449" s="179" t="n"/>
      <c r="M449" s="179" t="n"/>
      <c r="N449" s="179" t="n"/>
      <c r="O449" s="179" t="n"/>
      <c r="P449" s="179" t="inlineStr">
        <is>
          <t>внутр</t>
        </is>
      </c>
      <c r="Q449" s="179" t="inlineStr">
        <is>
          <t>внутр</t>
        </is>
      </c>
      <c r="R449" s="171" t="n"/>
      <c r="S449" s="171" t="n"/>
    </row>
    <row r="450" ht="18" customHeight="1">
      <c r="A450" s="45" t="inlineStr">
        <is>
          <t>работник 557</t>
        </is>
      </c>
      <c r="B450" s="178" t="inlineStr">
        <is>
          <t>Аппаратчик-гидрометаллург | Аппаратчик сгустителей</t>
        </is>
      </c>
      <c r="C450" s="178" t="inlineStr"/>
      <c r="D450" s="179" t="n"/>
      <c r="E450" s="179" t="inlineStr">
        <is>
          <t>внутр</t>
        </is>
      </c>
      <c r="F450" s="179" t="inlineStr">
        <is>
          <t>внутр</t>
        </is>
      </c>
      <c r="G450" s="179" t="n"/>
      <c r="H450" s="179" t="inlineStr">
        <is>
          <t>внутр</t>
        </is>
      </c>
      <c r="I450" s="179" t="n"/>
      <c r="J450" s="179" t="n"/>
      <c r="K450" s="179" t="n"/>
      <c r="L450" s="179" t="n"/>
      <c r="M450" s="179" t="n"/>
      <c r="N450" s="179" t="n"/>
      <c r="O450" s="179" t="n"/>
      <c r="P450" s="179" t="inlineStr">
        <is>
          <t>внутр</t>
        </is>
      </c>
      <c r="Q450" s="179" t="inlineStr">
        <is>
          <t>внутр</t>
        </is>
      </c>
      <c r="R450" s="171" t="n"/>
      <c r="S450" s="171" t="n"/>
    </row>
    <row r="451" ht="18" customHeight="1">
      <c r="A451" s="45" t="inlineStr">
        <is>
          <t>работник 533</t>
        </is>
      </c>
      <c r="B451" s="178" t="inlineStr">
        <is>
          <t>Машинист погрузочно-доставочной машины (занятый на транспортировании горной массы в технологическом процессе)</t>
        </is>
      </c>
      <c r="C451" s="178" t="inlineStr"/>
      <c r="D451" s="179" t="n"/>
      <c r="E451" s="179" t="inlineStr">
        <is>
          <t>внутр</t>
        </is>
      </c>
      <c r="F451" s="179" t="n"/>
      <c r="G451" s="179" t="n"/>
      <c r="H451" s="179" t="n"/>
      <c r="I451" s="179" t="n"/>
      <c r="J451" s="179" t="n"/>
      <c r="K451" s="179" t="n"/>
      <c r="L451" s="179" t="n"/>
      <c r="M451" s="179" t="n"/>
      <c r="N451" s="179" t="n"/>
      <c r="O451" s="179" t="n"/>
      <c r="P451" s="179" t="n"/>
      <c r="Q451" s="179" t="inlineStr">
        <is>
          <t>внутр</t>
        </is>
      </c>
      <c r="R451" s="171" t="n"/>
      <c r="S451" s="171" t="n"/>
    </row>
    <row r="452" ht="18" customHeight="1">
      <c r="A452" s="45" t="inlineStr">
        <is>
          <t>работник 877</t>
        </is>
      </c>
      <c r="B452" s="178" t="inlineStr">
        <is>
          <t>Машинист мельниц</t>
        </is>
      </c>
      <c r="C452" s="178" t="inlineStr"/>
      <c r="D452" s="179" t="n"/>
      <c r="E452" s="179" t="inlineStr">
        <is>
          <t>внутр</t>
        </is>
      </c>
      <c r="F452" s="179" t="n"/>
      <c r="G452" s="179" t="n"/>
      <c r="H452" s="179" t="n"/>
      <c r="I452" s="179" t="n"/>
      <c r="J452" s="179" t="n"/>
      <c r="K452" s="179" t="n"/>
      <c r="L452" s="179" t="n"/>
      <c r="M452" s="179" t="n"/>
      <c r="N452" s="179" t="n"/>
      <c r="O452" s="179" t="n"/>
      <c r="P452" s="179" t="inlineStr">
        <is>
          <t>внутр</t>
        </is>
      </c>
      <c r="Q452" s="179" t="inlineStr">
        <is>
          <t>внутр</t>
        </is>
      </c>
      <c r="R452" s="171" t="n"/>
      <c r="S452" s="171" t="n"/>
    </row>
    <row r="453" ht="18" customHeight="1">
      <c r="A453" s="45" t="inlineStr">
        <is>
          <t>работник 910</t>
        </is>
      </c>
      <c r="B453" s="178" t="inlineStr">
        <is>
          <t>Инженер по планированию</t>
        </is>
      </c>
      <c r="C453" s="178" t="inlineStr"/>
      <c r="D453" s="179" t="n"/>
      <c r="E453" s="179" t="inlineStr">
        <is>
          <t>внутр</t>
        </is>
      </c>
      <c r="F453" s="179" t="n"/>
      <c r="G453" s="179" t="n"/>
      <c r="H453" s="179" t="n"/>
      <c r="I453" s="179" t="n"/>
      <c r="J453" s="179" t="n"/>
      <c r="K453" s="179" t="n"/>
      <c r="L453" s="179" t="n"/>
      <c r="M453" s="179" t="n"/>
      <c r="N453" s="179" t="n"/>
      <c r="O453" s="179" t="n"/>
      <c r="P453" s="179" t="inlineStr">
        <is>
          <t>внутр</t>
        </is>
      </c>
      <c r="Q453" s="179" t="inlineStr">
        <is>
          <t>внутр</t>
        </is>
      </c>
      <c r="R453" s="171" t="n"/>
      <c r="S453" s="171" t="n"/>
    </row>
    <row r="454" ht="18" customHeight="1">
      <c r="A454" s="45" t="inlineStr">
        <is>
          <t>работник 415</t>
        </is>
      </c>
      <c r="B454" s="178" t="inlineStr">
        <is>
          <t>Машинист самоходной буровой установки</t>
        </is>
      </c>
      <c r="C454" s="178" t="inlineStr"/>
      <c r="D454" s="179" t="n"/>
      <c r="E454" s="179" t="inlineStr">
        <is>
          <t>внутр</t>
        </is>
      </c>
      <c r="F454" s="179" t="n"/>
      <c r="G454" s="179" t="n"/>
      <c r="H454" s="179" t="n"/>
      <c r="I454" s="179" t="n"/>
      <c r="J454" s="179" t="n"/>
      <c r="K454" s="179" t="n"/>
      <c r="L454" s="179" t="n"/>
      <c r="M454" s="179" t="n"/>
      <c r="N454" s="179" t="n"/>
      <c r="O454" s="179" t="n"/>
      <c r="P454" s="179" t="n"/>
      <c r="Q454" s="179" t="inlineStr">
        <is>
          <t>внутр</t>
        </is>
      </c>
      <c r="R454" s="171" t="n"/>
      <c r="S454" s="171" t="n"/>
    </row>
    <row r="455" ht="18" customHeight="1">
      <c r="A455" s="45" t="inlineStr">
        <is>
          <t>работник 883</t>
        </is>
      </c>
      <c r="B455" s="178" t="inlineStr">
        <is>
          <t>Помощник машиниста самоходной буровой установки (с исполнением обязанностей пробоотборщика)</t>
        </is>
      </c>
      <c r="C455" s="178" t="inlineStr"/>
      <c r="D455" s="179" t="n"/>
      <c r="E455" s="179" t="inlineStr">
        <is>
          <t>внутр</t>
        </is>
      </c>
      <c r="F455" s="179" t="n"/>
      <c r="G455" s="179" t="n"/>
      <c r="H455" s="179" t="n"/>
      <c r="I455" s="179" t="n"/>
      <c r="J455" s="179" t="n"/>
      <c r="K455" s="179" t="n"/>
      <c r="L455" s="179" t="n"/>
      <c r="M455" s="179" t="n"/>
      <c r="N455" s="179" t="n"/>
      <c r="O455" s="179" t="n"/>
      <c r="P455" s="179" t="inlineStr">
        <is>
          <t>внутр</t>
        </is>
      </c>
      <c r="Q455" s="179" t="inlineStr">
        <is>
          <t>внутр</t>
        </is>
      </c>
      <c r="R455" s="171" t="n"/>
      <c r="S455" s="171" t="n"/>
    </row>
    <row r="456" ht="18" customHeight="1">
      <c r="A456" s="45" t="inlineStr">
        <is>
          <t>работник 411</t>
        </is>
      </c>
      <c r="B456" s="178" t="inlineStr">
        <is>
          <t>Водитель погрузчика</t>
        </is>
      </c>
      <c r="C456" s="178" t="inlineStr"/>
      <c r="D456" s="179" t="n"/>
      <c r="E456" s="179" t="inlineStr">
        <is>
          <t>внутр</t>
        </is>
      </c>
      <c r="F456" s="179" t="n"/>
      <c r="G456" s="179" t="n"/>
      <c r="H456" s="179" t="n"/>
      <c r="I456" s="179" t="n"/>
      <c r="J456" s="179" t="n"/>
      <c r="K456" s="179" t="n"/>
      <c r="L456" s="179" t="n"/>
      <c r="M456" s="179" t="n"/>
      <c r="N456" s="179" t="n"/>
      <c r="O456" s="179" t="n"/>
      <c r="P456" s="179" t="n"/>
      <c r="Q456" s="179" t="inlineStr">
        <is>
          <t>внутр</t>
        </is>
      </c>
      <c r="R456" s="171" t="n"/>
      <c r="S456" s="171" t="n"/>
    </row>
    <row r="457" ht="18" customHeight="1">
      <c r="A457" s="45" t="inlineStr">
        <is>
          <t>работник 358</t>
        </is>
      </c>
      <c r="B457" s="178" t="inlineStr">
        <is>
          <t>Водитель погрузчика</t>
        </is>
      </c>
      <c r="C457" s="178" t="inlineStr"/>
      <c r="D457" s="179" t="n"/>
      <c r="E457" s="179" t="inlineStr">
        <is>
          <t>внутр</t>
        </is>
      </c>
      <c r="F457" s="179" t="n"/>
      <c r="G457" s="179" t="n"/>
      <c r="H457" s="179" t="n"/>
      <c r="I457" s="179" t="n"/>
      <c r="J457" s="179" t="n"/>
      <c r="K457" s="179" t="n"/>
      <c r="L457" s="179" t="n"/>
      <c r="M457" s="179" t="n"/>
      <c r="N457" s="179" t="n"/>
      <c r="O457" s="179" t="n"/>
      <c r="P457" s="179" t="inlineStr">
        <is>
          <t>внутр</t>
        </is>
      </c>
      <c r="Q457" s="179" t="inlineStr">
        <is>
          <t>внутр</t>
        </is>
      </c>
      <c r="R457" s="171" t="n"/>
      <c r="S457" s="171" t="n"/>
    </row>
    <row r="458" ht="18" customHeight="1">
      <c r="A458" s="45" t="inlineStr">
        <is>
          <t>работник 520</t>
        </is>
      </c>
      <c r="B458" s="178" t="inlineStr">
        <is>
          <t>Водитель автомобиля (занятый на транспортировании горной массы в технологическом процессе)</t>
        </is>
      </c>
      <c r="C458" s="178" t="inlineStr"/>
      <c r="D458" s="179" t="n"/>
      <c r="E458" s="179" t="inlineStr">
        <is>
          <t>внутр</t>
        </is>
      </c>
      <c r="F458" s="179" t="n"/>
      <c r="G458" s="179" t="n"/>
      <c r="H458" s="179" t="n"/>
      <c r="I458" s="179" t="n"/>
      <c r="J458" s="179" t="n"/>
      <c r="K458" s="179" t="n"/>
      <c r="L458" s="179" t="n"/>
      <c r="M458" s="179" t="n"/>
      <c r="N458" s="179" t="n"/>
      <c r="O458" s="179" t="n"/>
      <c r="P458" s="179" t="n"/>
      <c r="Q458" s="179" t="inlineStr">
        <is>
          <t>внутр</t>
        </is>
      </c>
      <c r="R458" s="171" t="n"/>
      <c r="S458" s="171" t="n"/>
    </row>
    <row r="459" ht="18" customHeight="1">
      <c r="A459" s="45" t="inlineStr">
        <is>
          <t>работник 324</t>
        </is>
      </c>
      <c r="B459" s="178" t="inlineStr">
        <is>
          <t>Машинист  самоходной буровой установки</t>
        </is>
      </c>
      <c r="C459" s="178" t="inlineStr"/>
      <c r="D459" s="179" t="n"/>
      <c r="E459" s="179" t="inlineStr">
        <is>
          <t>внутр</t>
        </is>
      </c>
      <c r="F459" s="179" t="n"/>
      <c r="G459" s="179" t="n"/>
      <c r="H459" s="179" t="n"/>
      <c r="I459" s="179" t="n"/>
      <c r="J459" s="179" t="n"/>
      <c r="K459" s="179" t="n"/>
      <c r="L459" s="179" t="n"/>
      <c r="M459" s="179" t="n"/>
      <c r="N459" s="179" t="n"/>
      <c r="O459" s="179" t="n"/>
      <c r="P459" s="179" t="inlineStr">
        <is>
          <t>внутр</t>
        </is>
      </c>
      <c r="Q459" s="179" t="inlineStr">
        <is>
          <t>внутр</t>
        </is>
      </c>
      <c r="R459" s="171" t="n"/>
      <c r="S459" s="171" t="n"/>
    </row>
    <row r="460" ht="18" customHeight="1">
      <c r="A460" s="45" t="inlineStr">
        <is>
          <t>работник 549</t>
        </is>
      </c>
      <c r="B460" s="178" t="inlineStr">
        <is>
          <t>Машинист самоходной буровой установки (Проходка)</t>
        </is>
      </c>
      <c r="C460" s="178" t="inlineStr"/>
      <c r="D460" s="179" t="n"/>
      <c r="E460" s="179" t="inlineStr">
        <is>
          <t>внутр</t>
        </is>
      </c>
      <c r="F460" s="179" t="n"/>
      <c r="G460" s="179" t="n"/>
      <c r="H460" s="179" t="n"/>
      <c r="I460" s="179" t="n"/>
      <c r="J460" s="179" t="n"/>
      <c r="K460" s="179" t="n"/>
      <c r="L460" s="179" t="n"/>
      <c r="M460" s="179" t="n"/>
      <c r="N460" s="179" t="n"/>
      <c r="O460" s="179" t="n"/>
      <c r="P460" s="179" t="n"/>
      <c r="Q460" s="179" t="inlineStr">
        <is>
          <t>внутр</t>
        </is>
      </c>
      <c r="R460" s="171" t="n"/>
      <c r="S460" s="171" t="n"/>
    </row>
    <row r="461" ht="18" customHeight="1">
      <c r="A461" s="45" t="inlineStr">
        <is>
          <t>работник 1</t>
        </is>
      </c>
      <c r="B461" s="178" t="inlineStr">
        <is>
          <t>Директор</t>
        </is>
      </c>
      <c r="C461" s="178" t="inlineStr">
        <is>
          <t>Руководитель</t>
        </is>
      </c>
      <c r="D461" s="179" t="inlineStr">
        <is>
          <t>внеш</t>
        </is>
      </c>
      <c r="E461" s="179" t="inlineStr">
        <is>
          <t>внеш</t>
        </is>
      </c>
      <c r="F461" s="179" t="n"/>
      <c r="G461" s="179" t="n"/>
      <c r="H461" s="179" t="n"/>
      <c r="I461" s="179" t="n"/>
      <c r="J461" s="179" t="n"/>
      <c r="K461" s="179" t="n"/>
      <c r="L461" s="179" t="n"/>
      <c r="M461" s="179" t="n"/>
      <c r="N461" s="179" t="n"/>
      <c r="O461" s="179" t="n"/>
      <c r="P461" s="181" t="inlineStr">
        <is>
          <t>внеш</t>
        </is>
      </c>
      <c r="Q461" s="181" t="inlineStr">
        <is>
          <t>внеш</t>
        </is>
      </c>
      <c r="R461" s="171" t="n"/>
      <c r="S461" s="171" t="n">
        <v>2</v>
      </c>
    </row>
    <row r="462" ht="18" customHeight="1">
      <c r="A462" s="45" t="inlineStr">
        <is>
          <t>работник 284</t>
        </is>
      </c>
      <c r="B462" s="178" t="inlineStr">
        <is>
          <t>Водитель погрузчика</t>
        </is>
      </c>
      <c r="C462" s="178" t="inlineStr"/>
      <c r="D462" s="179" t="n"/>
      <c r="E462" s="179" t="inlineStr">
        <is>
          <t>внутр</t>
        </is>
      </c>
      <c r="F462" s="179" t="n"/>
      <c r="G462" s="179" t="n"/>
      <c r="H462" s="179" t="n"/>
      <c r="I462" s="179" t="n"/>
      <c r="J462" s="179" t="n"/>
      <c r="K462" s="179" t="n"/>
      <c r="L462" s="179" t="n"/>
      <c r="M462" s="179" t="n"/>
      <c r="N462" s="179" t="n"/>
      <c r="O462" s="179" t="n"/>
      <c r="P462" s="179" t="inlineStr">
        <is>
          <t>внутр</t>
        </is>
      </c>
      <c r="Q462" s="179" t="inlineStr">
        <is>
          <t>внутр</t>
        </is>
      </c>
      <c r="R462" s="171" t="n"/>
      <c r="S462" s="171" t="n"/>
    </row>
    <row r="463" ht="18" customHeight="1">
      <c r="A463" s="45" t="inlineStr">
        <is>
          <t>работник 429</t>
        </is>
      </c>
      <c r="B463" s="178" t="inlineStr">
        <is>
          <t>Бункеровщик</t>
        </is>
      </c>
      <c r="C463" s="178" t="inlineStr"/>
      <c r="D463" s="179" t="n"/>
      <c r="E463" s="179" t="inlineStr">
        <is>
          <t>внутр</t>
        </is>
      </c>
      <c r="F463" s="179" t="n"/>
      <c r="G463" s="179" t="n"/>
      <c r="H463" s="179" t="n"/>
      <c r="I463" s="179" t="n"/>
      <c r="J463" s="179" t="n"/>
      <c r="K463" s="179" t="n"/>
      <c r="L463" s="179" t="n"/>
      <c r="M463" s="179" t="n"/>
      <c r="N463" s="179" t="n"/>
      <c r="O463" s="179" t="n"/>
      <c r="P463" s="179" t="n"/>
      <c r="Q463" s="179" t="inlineStr">
        <is>
          <t>внутр</t>
        </is>
      </c>
      <c r="R463" s="171" t="n"/>
      <c r="S463" s="171" t="n"/>
    </row>
    <row r="464" ht="18" customHeight="1">
      <c r="A464" s="45" t="inlineStr">
        <is>
          <t>работник 774</t>
        </is>
      </c>
      <c r="B464" s="178" t="inlineStr">
        <is>
          <t>Машинист подземных самоходных машин</t>
        </is>
      </c>
      <c r="C464" s="178" t="inlineStr"/>
      <c r="D464" s="179" t="n"/>
      <c r="E464" s="179" t="inlineStr">
        <is>
          <t>внутр</t>
        </is>
      </c>
      <c r="F464" s="179" t="n"/>
      <c r="G464" s="179" t="n"/>
      <c r="H464" s="179" t="n"/>
      <c r="I464" s="179" t="n"/>
      <c r="J464" s="179" t="n"/>
      <c r="K464" s="179" t="n"/>
      <c r="L464" s="179" t="n"/>
      <c r="M464" s="179" t="n"/>
      <c r="N464" s="179" t="n"/>
      <c r="O464" s="179" t="n"/>
      <c r="P464" s="179" t="inlineStr">
        <is>
          <t>внутр</t>
        </is>
      </c>
      <c r="Q464" s="179" t="inlineStr">
        <is>
          <t>внутр</t>
        </is>
      </c>
      <c r="R464" s="171" t="n"/>
      <c r="S464" s="171" t="n"/>
    </row>
    <row r="465" ht="18" customHeight="1">
      <c r="A465" s="45" t="inlineStr">
        <is>
          <t>работник 30</t>
        </is>
      </c>
      <c r="B465" s="178" t="inlineStr">
        <is>
          <t>Электромантер</t>
        </is>
      </c>
      <c r="C465" s="178" t="inlineStr"/>
      <c r="D465" s="179" t="n"/>
      <c r="E465" s="179" t="n"/>
      <c r="F465" s="179" t="inlineStr">
        <is>
          <t>внутр</t>
        </is>
      </c>
      <c r="G465" s="179" t="n"/>
      <c r="H465" s="179" t="n"/>
      <c r="I465" s="179" t="n"/>
      <c r="J465" s="179" t="n"/>
      <c r="K465" s="179" t="n"/>
      <c r="L465" s="179" t="inlineStr">
        <is>
          <t>внутр</t>
        </is>
      </c>
      <c r="M465" s="179" t="n"/>
      <c r="N465" s="179" t="n"/>
      <c r="O465" s="179" t="n"/>
      <c r="P465" s="179" t="n"/>
      <c r="Q465" s="179" t="n"/>
      <c r="R465" s="171" t="n"/>
      <c r="S465" s="171" t="n"/>
    </row>
    <row r="466" ht="18" customHeight="1">
      <c r="A466" s="45" t="inlineStr">
        <is>
          <t>работник 330</t>
        </is>
      </c>
      <c r="B466" s="178" t="inlineStr">
        <is>
          <t>Дробильщик</t>
        </is>
      </c>
      <c r="C466" s="178" t="inlineStr"/>
      <c r="D466" s="179" t="n"/>
      <c r="E466" s="179" t="inlineStr">
        <is>
          <t>внутр</t>
        </is>
      </c>
      <c r="F466" s="179" t="n"/>
      <c r="G466" s="179" t="n"/>
      <c r="H466" s="179" t="n"/>
      <c r="I466" s="179" t="n"/>
      <c r="J466" s="179" t="n"/>
      <c r="K466" s="179" t="n"/>
      <c r="L466" s="179" t="n"/>
      <c r="M466" s="179" t="n"/>
      <c r="N466" s="179" t="n"/>
      <c r="O466" s="179" t="n"/>
      <c r="P466" s="179" t="inlineStr">
        <is>
          <t>внутр</t>
        </is>
      </c>
      <c r="Q466" s="179" t="inlineStr">
        <is>
          <t>внутр</t>
        </is>
      </c>
      <c r="R466" s="171" t="n"/>
      <c r="S466" s="171" t="n"/>
    </row>
    <row r="467" ht="18" customHeight="1">
      <c r="A467" s="45" t="inlineStr">
        <is>
          <t>работник 701</t>
        </is>
      </c>
      <c r="B467" s="178" t="inlineStr">
        <is>
          <t>Электрогазосварщик</t>
        </is>
      </c>
      <c r="C467" s="178" t="inlineStr"/>
      <c r="D467" s="179" t="n"/>
      <c r="E467" s="179" t="inlineStr">
        <is>
          <t>внутр</t>
        </is>
      </c>
      <c r="F467" s="179" t="n"/>
      <c r="G467" s="179" t="inlineStr">
        <is>
          <t>внутр</t>
        </is>
      </c>
      <c r="H467" s="179" t="n"/>
      <c r="I467" s="179" t="n"/>
      <c r="J467" s="179" t="n"/>
      <c r="K467" s="179" t="n"/>
      <c r="L467" s="179" t="n"/>
      <c r="M467" s="179" t="n"/>
      <c r="N467" s="179" t="n"/>
      <c r="O467" s="179" t="n"/>
      <c r="P467" s="179" t="n"/>
      <c r="Q467" s="179" t="inlineStr">
        <is>
          <t>внутр</t>
        </is>
      </c>
      <c r="R467" s="171" t="n"/>
      <c r="S467" s="171" t="n"/>
    </row>
    <row r="468" ht="18" customHeight="1">
      <c r="A468" s="45" t="inlineStr">
        <is>
          <t>работник 826</t>
        </is>
      </c>
      <c r="B468" s="178" t="inlineStr">
        <is>
          <t>Лаборант пробирного анализа</t>
        </is>
      </c>
      <c r="C468" s="178" t="inlineStr"/>
      <c r="D468" s="179" t="n"/>
      <c r="E468" s="179" t="inlineStr">
        <is>
          <t>внутр</t>
        </is>
      </c>
      <c r="F468" s="179" t="n"/>
      <c r="G468" s="179" t="n"/>
      <c r="H468" s="179" t="n"/>
      <c r="I468" s="179" t="n"/>
      <c r="J468" s="179" t="n"/>
      <c r="K468" s="179" t="n"/>
      <c r="L468" s="179" t="n"/>
      <c r="M468" s="179" t="n"/>
      <c r="N468" s="179" t="n"/>
      <c r="O468" s="179" t="n"/>
      <c r="P468" s="179" t="n"/>
      <c r="Q468" s="179" t="inlineStr">
        <is>
          <t>внутр</t>
        </is>
      </c>
      <c r="R468" s="171" t="n"/>
      <c r="S468" s="171" t="n"/>
    </row>
    <row r="469" ht="18" customHeight="1">
      <c r="A469" s="45" t="inlineStr">
        <is>
          <t>работник 845</t>
        </is>
      </c>
      <c r="B469" s="178" t="inlineStr">
        <is>
          <t>Проходчик (с исполнением обязанностей взрывника)</t>
        </is>
      </c>
      <c r="C469" s="178" t="inlineStr"/>
      <c r="D469" s="179" t="n"/>
      <c r="E469" s="179" t="inlineStr">
        <is>
          <t>внутр</t>
        </is>
      </c>
      <c r="F469" s="179" t="n"/>
      <c r="G469" s="179" t="n"/>
      <c r="H469" s="179" t="n"/>
      <c r="I469" s="179" t="n"/>
      <c r="J469" s="179" t="n"/>
      <c r="K469" s="179" t="n"/>
      <c r="L469" s="179" t="n"/>
      <c r="M469" s="179" t="n"/>
      <c r="N469" s="179" t="n"/>
      <c r="O469" s="179" t="n"/>
      <c r="P469" s="179" t="inlineStr">
        <is>
          <t>внутр</t>
        </is>
      </c>
      <c r="Q469" s="179" t="inlineStr">
        <is>
          <t>внутр</t>
        </is>
      </c>
      <c r="R469" s="171" t="n"/>
      <c r="S469" s="171" t="n"/>
    </row>
    <row r="470" ht="18" customHeight="1">
      <c r="A470" s="45" t="inlineStr">
        <is>
          <t>работник 914</t>
        </is>
      </c>
      <c r="B470" s="178" t="inlineStr">
        <is>
          <t>Слесарь-ремонтник (по ремонту обогатительного оборудования)</t>
        </is>
      </c>
      <c r="C470" s="178" t="inlineStr"/>
      <c r="D470" s="179" t="n"/>
      <c r="E470" s="179" t="inlineStr">
        <is>
          <t>внутр</t>
        </is>
      </c>
      <c r="F470" s="179" t="n"/>
      <c r="G470" s="179" t="n"/>
      <c r="H470" s="179" t="n"/>
      <c r="I470" s="179" t="n"/>
      <c r="J470" s="179" t="n"/>
      <c r="K470" s="179" t="n"/>
      <c r="L470" s="179" t="n"/>
      <c r="M470" s="179" t="n"/>
      <c r="N470" s="179" t="n"/>
      <c r="O470" s="179" t="n"/>
      <c r="P470" s="179" t="inlineStr">
        <is>
          <t>внутр</t>
        </is>
      </c>
      <c r="Q470" s="179" t="inlineStr">
        <is>
          <t>внутр</t>
        </is>
      </c>
      <c r="R470" s="171" t="n"/>
      <c r="S470" s="171" t="n"/>
    </row>
    <row r="471" ht="18" customHeight="1">
      <c r="A471" s="45" t="inlineStr">
        <is>
          <t>работник 760</t>
        </is>
      </c>
      <c r="B471" s="178" t="inlineStr">
        <is>
          <t>Раздатчик взрывчатых материалов (с исполнением обязанностей аппаратчика по изготовлению взрывчатых материалов)</t>
        </is>
      </c>
      <c r="C471" s="178" t="inlineStr"/>
      <c r="D471" s="179" t="n"/>
      <c r="E471" s="179" t="inlineStr">
        <is>
          <t>внутр</t>
        </is>
      </c>
      <c r="F471" s="179" t="n"/>
      <c r="G471" s="179" t="n"/>
      <c r="H471" s="179" t="n"/>
      <c r="I471" s="179" t="n"/>
      <c r="J471" s="179" t="n"/>
      <c r="K471" s="179" t="n"/>
      <c r="L471" s="179" t="n"/>
      <c r="M471" s="179" t="n"/>
      <c r="N471" s="179" t="n"/>
      <c r="O471" s="179" t="n"/>
      <c r="P471" s="179" t="inlineStr">
        <is>
          <t>внутр</t>
        </is>
      </c>
      <c r="Q471" s="179" t="inlineStr">
        <is>
          <t>внутр</t>
        </is>
      </c>
      <c r="R471" s="171" t="n"/>
      <c r="S471" s="171" t="n"/>
    </row>
    <row r="472" ht="18" customHeight="1">
      <c r="A472" s="45" t="inlineStr">
        <is>
          <t>работник 724</t>
        </is>
      </c>
      <c r="B472" s="178" t="inlineStr">
        <is>
          <t>Машинист бульдозера</t>
        </is>
      </c>
      <c r="C472" s="178" t="inlineStr"/>
      <c r="D472" s="179" t="n"/>
      <c r="E472" s="179" t="inlineStr">
        <is>
          <t>внутр</t>
        </is>
      </c>
      <c r="F472" s="179" t="n"/>
      <c r="G472" s="179" t="n"/>
      <c r="H472" s="179" t="n"/>
      <c r="I472" s="179" t="n"/>
      <c r="J472" s="179" t="n"/>
      <c r="K472" s="179" t="n"/>
      <c r="L472" s="179" t="n"/>
      <c r="M472" s="179" t="n"/>
      <c r="N472" s="179" t="n"/>
      <c r="O472" s="179" t="n"/>
      <c r="P472" s="179" t="n"/>
      <c r="Q472" s="179" t="inlineStr">
        <is>
          <t>внутр</t>
        </is>
      </c>
      <c r="R472" s="171" t="n"/>
      <c r="S472" s="171" t="n"/>
    </row>
    <row r="473" ht="18" customHeight="1">
      <c r="A473" s="45" t="inlineStr">
        <is>
          <t>работник 25</t>
        </is>
      </c>
      <c r="B473" s="178" t="inlineStr">
        <is>
          <t>Слесарь-ремонтник</t>
        </is>
      </c>
      <c r="C473" s="178" t="inlineStr"/>
      <c r="D473" s="179" t="n"/>
      <c r="E473" s="179" t="n"/>
      <c r="F473" s="179" t="inlineStr">
        <is>
          <t>внутр</t>
        </is>
      </c>
      <c r="G473" s="179" t="inlineStr">
        <is>
          <t>внутр</t>
        </is>
      </c>
      <c r="H473" s="179" t="inlineStr">
        <is>
          <t>внутр</t>
        </is>
      </c>
      <c r="I473" s="179" t="inlineStr">
        <is>
          <t>внутр</t>
        </is>
      </c>
      <c r="J473" s="179" t="inlineStr">
        <is>
          <t>внутр</t>
        </is>
      </c>
      <c r="K473" s="179" t="inlineStr">
        <is>
          <t>внутр</t>
        </is>
      </c>
      <c r="L473" s="179" t="n"/>
      <c r="M473" s="179" t="n"/>
      <c r="N473" s="179" t="n"/>
      <c r="O473" s="179" t="n"/>
      <c r="P473" s="179" t="n"/>
      <c r="Q473" s="179" t="n"/>
      <c r="R473" s="171" t="n"/>
      <c r="S473" s="171" t="n"/>
    </row>
    <row r="474" ht="18" customHeight="1">
      <c r="A474" s="45" t="inlineStr">
        <is>
          <t>работник 67</t>
        </is>
      </c>
      <c r="B474" s="178" t="inlineStr">
        <is>
          <t>Электрогазосварщик (занятый на резке и ручной сварке</t>
        </is>
      </c>
      <c r="C474" s="178" t="inlineStr"/>
      <c r="D474" s="179" t="n"/>
      <c r="E474" s="179" t="inlineStr">
        <is>
          <t>внутр</t>
        </is>
      </c>
      <c r="F474" s="179" t="n"/>
      <c r="G474" s="179" t="inlineStr">
        <is>
          <t>внутр</t>
        </is>
      </c>
      <c r="H474" s="179" t="inlineStr">
        <is>
          <t>внутр</t>
        </is>
      </c>
      <c r="I474" s="179" t="n"/>
      <c r="J474" s="179" t="n"/>
      <c r="K474" s="179" t="n"/>
      <c r="L474" s="179" t="n"/>
      <c r="M474" s="179" t="inlineStr">
        <is>
          <t>внутр</t>
        </is>
      </c>
      <c r="N474" s="179" t="n"/>
      <c r="O474" s="179" t="n"/>
      <c r="P474" s="179" t="inlineStr">
        <is>
          <t>внутр</t>
        </is>
      </c>
      <c r="Q474" s="179" t="inlineStr">
        <is>
          <t>внутр</t>
        </is>
      </c>
      <c r="R474" s="171" t="n"/>
      <c r="S474" s="171" t="n"/>
    </row>
    <row r="475" ht="18" customHeight="1">
      <c r="A475" s="45" t="inlineStr">
        <is>
          <t>работник 808</t>
        </is>
      </c>
      <c r="B475" s="178" t="inlineStr">
        <is>
          <t>повар</t>
        </is>
      </c>
      <c r="C475" s="178" t="inlineStr"/>
      <c r="D475" s="179" t="n"/>
      <c r="E475" s="179" t="inlineStr">
        <is>
          <t>внутр</t>
        </is>
      </c>
      <c r="F475" s="179" t="n"/>
      <c r="G475" s="179" t="n"/>
      <c r="H475" s="179" t="n"/>
      <c r="I475" s="179" t="n"/>
      <c r="J475" s="179" t="n"/>
      <c r="K475" s="179" t="n"/>
      <c r="L475" s="179" t="n"/>
      <c r="M475" s="179" t="n"/>
      <c r="N475" s="179" t="n"/>
      <c r="O475" s="179" t="n"/>
      <c r="P475" s="179" t="n"/>
      <c r="Q475" s="179" t="inlineStr">
        <is>
          <t>внутр</t>
        </is>
      </c>
      <c r="R475" s="171" t="n"/>
      <c r="S475" s="171" t="n"/>
    </row>
    <row r="476" ht="18" customHeight="1">
      <c r="A476" s="45" t="inlineStr">
        <is>
          <t>работник 470</t>
        </is>
      </c>
      <c r="B476" s="178" t="inlineStr">
        <is>
          <t>Водитель погрузчика</t>
        </is>
      </c>
      <c r="C476" s="178" t="inlineStr"/>
      <c r="D476" s="179" t="n"/>
      <c r="E476" s="179" t="inlineStr">
        <is>
          <t>внутр</t>
        </is>
      </c>
      <c r="F476" s="179" t="n"/>
      <c r="G476" s="179" t="n"/>
      <c r="H476" s="179" t="n"/>
      <c r="I476" s="179" t="n"/>
      <c r="J476" s="179" t="n"/>
      <c r="K476" s="179" t="n"/>
      <c r="L476" s="179" t="n"/>
      <c r="M476" s="179" t="n"/>
      <c r="N476" s="179" t="n"/>
      <c r="O476" s="179" t="n"/>
      <c r="P476" s="179" t="n"/>
      <c r="Q476" s="179" t="inlineStr">
        <is>
          <t>внутр</t>
        </is>
      </c>
      <c r="R476" s="171" t="n"/>
      <c r="S476" s="171" t="n"/>
    </row>
    <row r="477" ht="18" customHeight="1">
      <c r="A477" s="45" t="inlineStr">
        <is>
          <t>работник 73</t>
        </is>
      </c>
      <c r="B477" s="178" t="inlineStr">
        <is>
          <t>Подсобный рабочий</t>
        </is>
      </c>
      <c r="C477" s="178" t="inlineStr"/>
      <c r="D477" s="179" t="n"/>
      <c r="E477" s="179" t="inlineStr">
        <is>
          <t>внутр</t>
        </is>
      </c>
      <c r="F477" s="179" t="n"/>
      <c r="G477" s="179" t="n"/>
      <c r="H477" s="179" t="n"/>
      <c r="I477" s="179" t="n"/>
      <c r="J477" s="179" t="n"/>
      <c r="K477" s="179" t="n"/>
      <c r="L477" s="179" t="n"/>
      <c r="M477" s="179" t="n"/>
      <c r="N477" s="179" t="n"/>
      <c r="O477" s="179" t="n"/>
      <c r="P477" s="179" t="inlineStr">
        <is>
          <t>внутр</t>
        </is>
      </c>
      <c r="Q477" s="179" t="inlineStr">
        <is>
          <t>внутр</t>
        </is>
      </c>
      <c r="R477" s="171" t="n"/>
      <c r="S477" s="171" t="n"/>
    </row>
    <row r="478" ht="18" customHeight="1">
      <c r="A478" s="45" t="inlineStr">
        <is>
          <t>работник 192</t>
        </is>
      </c>
      <c r="B478" s="178" t="inlineStr">
        <is>
          <t>Водитель погрузчика</t>
        </is>
      </c>
      <c r="C478" s="178" t="inlineStr"/>
      <c r="D478" s="179" t="n"/>
      <c r="E478" s="179" t="inlineStr">
        <is>
          <t>внутр</t>
        </is>
      </c>
      <c r="F478" s="179" t="n"/>
      <c r="G478" s="179" t="n"/>
      <c r="H478" s="179" t="n"/>
      <c r="I478" s="179" t="n"/>
      <c r="J478" s="179" t="n"/>
      <c r="K478" s="179" t="n"/>
      <c r="L478" s="179" t="n"/>
      <c r="M478" s="179" t="n"/>
      <c r="N478" s="179" t="n"/>
      <c r="O478" s="179" t="n"/>
      <c r="P478" s="179" t="inlineStr">
        <is>
          <t>внутр</t>
        </is>
      </c>
      <c r="Q478" s="179" t="inlineStr">
        <is>
          <t>внутр</t>
        </is>
      </c>
      <c r="R478" s="171" t="n"/>
      <c r="S478" s="171" t="n"/>
    </row>
    <row r="479" ht="18" customHeight="1">
      <c r="A479" s="45" t="inlineStr">
        <is>
          <t>работник 181</t>
        </is>
      </c>
      <c r="B479" s="178" t="inlineStr">
        <is>
          <t>Машинист самоходный буровой установки | Машинист самоходной буровой установки</t>
        </is>
      </c>
      <c r="C479" s="178" t="inlineStr"/>
      <c r="D479" s="179" t="n"/>
      <c r="E479" s="179" t="inlineStr">
        <is>
          <t>внутр</t>
        </is>
      </c>
      <c r="F479" s="179" t="n"/>
      <c r="G479" s="179" t="n"/>
      <c r="H479" s="179" t="n"/>
      <c r="I479" s="179" t="n"/>
      <c r="J479" s="179" t="n"/>
      <c r="K479" s="179" t="n"/>
      <c r="L479" s="179" t="n"/>
      <c r="M479" s="179" t="n"/>
      <c r="N479" s="179" t="n"/>
      <c r="O479" s="179" t="n"/>
      <c r="P479" s="179" t="inlineStr">
        <is>
          <t>внутр</t>
        </is>
      </c>
      <c r="Q479" s="179" t="inlineStr">
        <is>
          <t>внутр</t>
        </is>
      </c>
      <c r="R479" s="171" t="n"/>
      <c r="S479" s="171" t="n"/>
    </row>
    <row r="480" ht="18" customHeight="1">
      <c r="A480" s="45" t="inlineStr">
        <is>
          <t>работник 390</t>
        </is>
      </c>
      <c r="B480" s="178" t="inlineStr">
        <is>
          <t>Пробоотборщик</t>
        </is>
      </c>
      <c r="C480" s="178" t="inlineStr"/>
      <c r="D480" s="179" t="n"/>
      <c r="E480" s="179" t="inlineStr">
        <is>
          <t>внутр</t>
        </is>
      </c>
      <c r="F480" s="179" t="n"/>
      <c r="G480" s="179" t="n"/>
      <c r="H480" s="179" t="n"/>
      <c r="I480" s="179" t="n"/>
      <c r="J480" s="179" t="n"/>
      <c r="K480" s="179" t="n"/>
      <c r="L480" s="179" t="n"/>
      <c r="M480" s="179" t="n"/>
      <c r="N480" s="179" t="n"/>
      <c r="O480" s="179" t="n"/>
      <c r="P480" s="179" t="inlineStr">
        <is>
          <t>внутр</t>
        </is>
      </c>
      <c r="Q480" s="179" t="inlineStr">
        <is>
          <t>внутр</t>
        </is>
      </c>
      <c r="R480" s="171" t="n"/>
      <c r="S480" s="171" t="n"/>
    </row>
    <row r="481" ht="18" customHeight="1">
      <c r="A481" s="45" t="inlineStr">
        <is>
          <t>работник 512</t>
        </is>
      </c>
      <c r="B481" s="178" t="inlineStr">
        <is>
          <t>Оператор дизельных котлов</t>
        </is>
      </c>
      <c r="C481" s="178" t="inlineStr"/>
      <c r="D481" s="179" t="n"/>
      <c r="E481" s="179" t="inlineStr">
        <is>
          <t>внутр</t>
        </is>
      </c>
      <c r="F481" s="179" t="n"/>
      <c r="G481" s="179" t="n"/>
      <c r="H481" s="179" t="n"/>
      <c r="I481" s="179" t="n"/>
      <c r="J481" s="179" t="n"/>
      <c r="K481" s="179" t="n"/>
      <c r="L481" s="179" t="n"/>
      <c r="M481" s="179" t="n"/>
      <c r="N481" s="179" t="n"/>
      <c r="O481" s="179" t="n"/>
      <c r="P481" s="179" t="n"/>
      <c r="Q481" s="179" t="inlineStr">
        <is>
          <t>внутр</t>
        </is>
      </c>
      <c r="R481" s="171" t="n"/>
      <c r="S481" s="171" t="n"/>
    </row>
    <row r="482" ht="18" customHeight="1">
      <c r="A482" s="45" t="inlineStr">
        <is>
          <t>работник 490</t>
        </is>
      </c>
      <c r="B482" s="178" t="inlineStr">
        <is>
          <t>Машинист  самоходной буровой установки (Очистное</t>
        </is>
      </c>
      <c r="C482" s="178" t="inlineStr"/>
      <c r="D482" s="179" t="n"/>
      <c r="E482" s="179" t="inlineStr">
        <is>
          <t>внутр</t>
        </is>
      </c>
      <c r="F482" s="179" t="n"/>
      <c r="G482" s="179" t="n"/>
      <c r="H482" s="179" t="n"/>
      <c r="I482" s="179" t="n"/>
      <c r="J482" s="179" t="n"/>
      <c r="K482" s="179" t="n"/>
      <c r="L482" s="179" t="n"/>
      <c r="M482" s="179" t="n"/>
      <c r="N482" s="179" t="n"/>
      <c r="O482" s="179" t="n"/>
      <c r="P482" s="179" t="n"/>
      <c r="Q482" s="179" t="inlineStr">
        <is>
          <t>внутр</t>
        </is>
      </c>
      <c r="R482" s="171" t="n"/>
      <c r="S482" s="171" t="n"/>
    </row>
    <row r="483" ht="18" customHeight="1">
      <c r="A483" s="45" t="inlineStr">
        <is>
          <t>работник 852</t>
        </is>
      </c>
      <c r="B483" s="178" t="inlineStr">
        <is>
          <t>Машинист самоходной буровой установки</t>
        </is>
      </c>
      <c r="C483" s="178" t="inlineStr"/>
      <c r="D483" s="179" t="n"/>
      <c r="E483" s="179" t="inlineStr">
        <is>
          <t>внутр</t>
        </is>
      </c>
      <c r="F483" s="179" t="n"/>
      <c r="G483" s="179" t="n"/>
      <c r="H483" s="179" t="n"/>
      <c r="I483" s="179" t="n"/>
      <c r="J483" s="179" t="n"/>
      <c r="K483" s="179" t="n"/>
      <c r="L483" s="179" t="n"/>
      <c r="M483" s="179" t="n"/>
      <c r="N483" s="179" t="n"/>
      <c r="O483" s="179" t="n"/>
      <c r="P483" s="179" t="inlineStr">
        <is>
          <t>внутр</t>
        </is>
      </c>
      <c r="Q483" s="179" t="inlineStr">
        <is>
          <t>внутр</t>
        </is>
      </c>
      <c r="R483" s="171" t="n"/>
      <c r="S483" s="171" t="n"/>
    </row>
    <row r="484" ht="18" customHeight="1">
      <c r="A484" s="45" t="inlineStr">
        <is>
          <t>работник 608</t>
        </is>
      </c>
      <c r="B484" s="178" t="inlineStr">
        <is>
          <t>Стропальщик (с исполнением обязанностей грузчика) | Стропальщик</t>
        </is>
      </c>
      <c r="C484" s="178" t="inlineStr"/>
      <c r="D484" s="179" t="n"/>
      <c r="E484" s="179" t="inlineStr">
        <is>
          <t>внутр</t>
        </is>
      </c>
      <c r="F484" s="179" t="n"/>
      <c r="G484" s="179" t="n"/>
      <c r="H484" s="179" t="n"/>
      <c r="I484" s="179" t="n"/>
      <c r="J484" s="179" t="n"/>
      <c r="K484" s="179" t="n"/>
      <c r="L484" s="179" t="n"/>
      <c r="M484" s="179" t="n"/>
      <c r="N484" s="179" t="n"/>
      <c r="O484" s="179" t="n"/>
      <c r="P484" s="179" t="inlineStr">
        <is>
          <t>внутр</t>
        </is>
      </c>
      <c r="Q484" s="179" t="inlineStr">
        <is>
          <t>внутр</t>
        </is>
      </c>
      <c r="R484" s="171" t="n"/>
      <c r="S484" s="171" t="n"/>
    </row>
    <row r="485" ht="18" customHeight="1">
      <c r="A485" s="45" t="inlineStr">
        <is>
          <t>работник 432</t>
        </is>
      </c>
      <c r="B485" s="178" t="inlineStr">
        <is>
          <t>Слесарь-ремонтник (по ремонту обогатительного оборудования) | Слесарь-ремонтник</t>
        </is>
      </c>
      <c r="C485" s="178" t="inlineStr"/>
      <c r="D485" s="179" t="n"/>
      <c r="E485" s="179" t="inlineStr">
        <is>
          <t>внутр</t>
        </is>
      </c>
      <c r="F485" s="179" t="inlineStr">
        <is>
          <t>внутр</t>
        </is>
      </c>
      <c r="G485" s="179" t="inlineStr">
        <is>
          <t>внутр</t>
        </is>
      </c>
      <c r="H485" s="179" t="inlineStr">
        <is>
          <t>внутр</t>
        </is>
      </c>
      <c r="I485" s="179" t="inlineStr">
        <is>
          <t>внутр</t>
        </is>
      </c>
      <c r="J485" s="179" t="inlineStr">
        <is>
          <t>внутр</t>
        </is>
      </c>
      <c r="K485" s="179" t="inlineStr">
        <is>
          <t>внутр</t>
        </is>
      </c>
      <c r="L485" s="179" t="n"/>
      <c r="M485" s="179" t="n"/>
      <c r="N485" s="179" t="n"/>
      <c r="O485" s="179" t="n"/>
      <c r="P485" s="179" t="inlineStr">
        <is>
          <t>внутр</t>
        </is>
      </c>
      <c r="Q485" s="179" t="inlineStr">
        <is>
          <t>внутр</t>
        </is>
      </c>
      <c r="R485" s="171" t="n"/>
      <c r="S485" s="171" t="n"/>
    </row>
    <row r="486" ht="18" customHeight="1">
      <c r="A486" s="45" t="inlineStr">
        <is>
          <t>работник 430</t>
        </is>
      </c>
      <c r="B486" s="178" t="inlineStr">
        <is>
          <t>Машинист мельниц | Машинист мельницы</t>
        </is>
      </c>
      <c r="C486" s="178" t="inlineStr"/>
      <c r="D486" s="179" t="n"/>
      <c r="E486" s="179" t="inlineStr">
        <is>
          <t>внутр</t>
        </is>
      </c>
      <c r="F486" s="179" t="n"/>
      <c r="G486" s="179" t="n"/>
      <c r="H486" s="179" t="n"/>
      <c r="I486" s="179" t="n"/>
      <c r="J486" s="179" t="n"/>
      <c r="K486" s="179" t="n"/>
      <c r="L486" s="179" t="n"/>
      <c r="M486" s="179" t="n"/>
      <c r="N486" s="179" t="n"/>
      <c r="O486" s="179" t="n"/>
      <c r="P486" s="179" t="n"/>
      <c r="Q486" s="179" t="inlineStr">
        <is>
          <t>внутр</t>
        </is>
      </c>
      <c r="R486" s="171" t="n"/>
      <c r="S486" s="171" t="n"/>
    </row>
    <row r="487" ht="18" customHeight="1">
      <c r="A487" s="45" t="inlineStr">
        <is>
          <t>работник 558</t>
        </is>
      </c>
      <c r="B487" s="178" t="inlineStr">
        <is>
          <t>Растворщик реагентов</t>
        </is>
      </c>
      <c r="C487" s="178" t="inlineStr"/>
      <c r="D487" s="179" t="n"/>
      <c r="E487" s="179" t="inlineStr">
        <is>
          <t>внутр</t>
        </is>
      </c>
      <c r="F487" s="179" t="n"/>
      <c r="G487" s="179" t="n"/>
      <c r="H487" s="179" t="n"/>
      <c r="I487" s="179" t="n"/>
      <c r="J487" s="179" t="n"/>
      <c r="K487" s="179" t="n"/>
      <c r="L487" s="179" t="n"/>
      <c r="M487" s="179" t="n"/>
      <c r="N487" s="179" t="n"/>
      <c r="O487" s="179" t="n"/>
      <c r="P487" s="179" t="n"/>
      <c r="Q487" s="179" t="inlineStr">
        <is>
          <t>внутр</t>
        </is>
      </c>
      <c r="R487" s="171" t="n"/>
      <c r="S487" s="171" t="n"/>
    </row>
    <row r="488" ht="18" customHeight="1">
      <c r="A488" s="45" t="inlineStr">
        <is>
          <t>работник 650</t>
        </is>
      </c>
      <c r="B488" s="178" t="inlineStr">
        <is>
          <t>Слесарь-ремонтник (по ремонту обогатительного оборудования)</t>
        </is>
      </c>
      <c r="C488" s="178" t="inlineStr"/>
      <c r="D488" s="179" t="n"/>
      <c r="E488" s="179" t="inlineStr">
        <is>
          <t>внутр</t>
        </is>
      </c>
      <c r="F488" s="179" t="n"/>
      <c r="G488" s="179" t="n"/>
      <c r="H488" s="179" t="n"/>
      <c r="I488" s="179" t="n"/>
      <c r="J488" s="179" t="n"/>
      <c r="K488" s="179" t="n"/>
      <c r="L488" s="179" t="n"/>
      <c r="M488" s="179" t="n"/>
      <c r="N488" s="179" t="n"/>
      <c r="O488" s="179" t="n"/>
      <c r="P488" s="179" t="n"/>
      <c r="Q488" s="179" t="inlineStr">
        <is>
          <t>внутр</t>
        </is>
      </c>
      <c r="R488" s="171" t="n"/>
      <c r="S488" s="171" t="n"/>
    </row>
    <row r="489" ht="18" customHeight="1">
      <c r="A489" s="45" t="inlineStr">
        <is>
          <t>работник 137</t>
        </is>
      </c>
      <c r="B489" s="178" t="inlineStr">
        <is>
          <t>Пробоотборщик | Горнорабочий на геологических работах</t>
        </is>
      </c>
      <c r="C489" s="178" t="inlineStr"/>
      <c r="D489" s="179" t="n"/>
      <c r="E489" s="179" t="inlineStr">
        <is>
          <t>внутр</t>
        </is>
      </c>
      <c r="F489" s="179" t="n"/>
      <c r="G489" s="179" t="n"/>
      <c r="H489" s="179" t="n"/>
      <c r="I489" s="179" t="n"/>
      <c r="J489" s="179" t="n"/>
      <c r="K489" s="179" t="n"/>
      <c r="L489" s="179" t="n"/>
      <c r="M489" s="179" t="n"/>
      <c r="N489" s="179" t="n"/>
      <c r="O489" s="179" t="n"/>
      <c r="P489" s="179" t="inlineStr">
        <is>
          <t>внутр</t>
        </is>
      </c>
      <c r="Q489" s="179" t="inlineStr">
        <is>
          <t>внутр</t>
        </is>
      </c>
      <c r="R489" s="171" t="n"/>
      <c r="S489" s="171" t="n"/>
    </row>
    <row r="490" ht="18" customHeight="1">
      <c r="A490" s="45" t="inlineStr">
        <is>
          <t>работник 771</t>
        </is>
      </c>
      <c r="B490" s="178" t="inlineStr">
        <is>
          <t>Машинист погрузочно-доставочной машины</t>
        </is>
      </c>
      <c r="C490" s="178" t="inlineStr"/>
      <c r="D490" s="179" t="n"/>
      <c r="E490" s="179" t="inlineStr">
        <is>
          <t>внутр</t>
        </is>
      </c>
      <c r="F490" s="179" t="n"/>
      <c r="G490" s="179" t="n"/>
      <c r="H490" s="179" t="n"/>
      <c r="I490" s="179" t="n"/>
      <c r="J490" s="179" t="n"/>
      <c r="K490" s="179" t="n"/>
      <c r="L490" s="179" t="n"/>
      <c r="M490" s="179" t="n"/>
      <c r="N490" s="179" t="n"/>
      <c r="O490" s="179" t="n"/>
      <c r="P490" s="179" t="inlineStr">
        <is>
          <t>внутр</t>
        </is>
      </c>
      <c r="Q490" s="179" t="inlineStr">
        <is>
          <t>внутр</t>
        </is>
      </c>
      <c r="R490" s="171" t="n"/>
      <c r="S490" s="171" t="n"/>
    </row>
    <row r="491" ht="18" customHeight="1">
      <c r="A491" s="45" t="inlineStr">
        <is>
          <t>работник 803</t>
        </is>
      </c>
      <c r="B491" s="178" t="inlineStr">
        <is>
          <t>Слесарь по ремонту автомобилей и тяжелой техники</t>
        </is>
      </c>
      <c r="C491" s="178" t="inlineStr"/>
      <c r="D491" s="179" t="n"/>
      <c r="E491" s="179" t="inlineStr">
        <is>
          <t>внутр</t>
        </is>
      </c>
      <c r="F491" s="179" t="n"/>
      <c r="G491" s="179" t="inlineStr">
        <is>
          <t>внутр</t>
        </is>
      </c>
      <c r="H491" s="179" t="n"/>
      <c r="I491" s="179" t="n"/>
      <c r="J491" s="179" t="n"/>
      <c r="K491" s="179" t="n"/>
      <c r="L491" s="179" t="n"/>
      <c r="M491" s="179" t="n"/>
      <c r="N491" s="179" t="n"/>
      <c r="O491" s="179" t="n"/>
      <c r="P491" s="179" t="inlineStr">
        <is>
          <t>внутр</t>
        </is>
      </c>
      <c r="Q491" s="179" t="inlineStr">
        <is>
          <t>внутр</t>
        </is>
      </c>
      <c r="R491" s="171" t="n"/>
      <c r="S491" s="171" t="n"/>
    </row>
    <row r="492" ht="18" customHeight="1">
      <c r="A492" s="45" t="inlineStr">
        <is>
          <t>работник 890</t>
        </is>
      </c>
      <c r="B492" s="178" t="inlineStr">
        <is>
          <t>Машинист погрузочно-доставочной машины (занятый на транспортировании горной массы в технологическом процессе)</t>
        </is>
      </c>
      <c r="C492" s="178" t="inlineStr"/>
      <c r="D492" s="179" t="n"/>
      <c r="E492" s="179" t="inlineStr">
        <is>
          <t>внутр</t>
        </is>
      </c>
      <c r="F492" s="179" t="n"/>
      <c r="G492" s="179" t="n"/>
      <c r="H492" s="179" t="n"/>
      <c r="I492" s="179" t="n"/>
      <c r="J492" s="179" t="n"/>
      <c r="K492" s="179" t="n"/>
      <c r="L492" s="179" t="n"/>
      <c r="M492" s="179" t="n"/>
      <c r="N492" s="179" t="n"/>
      <c r="O492" s="179" t="n"/>
      <c r="P492" s="179" t="inlineStr">
        <is>
          <t>внутр</t>
        </is>
      </c>
      <c r="Q492" s="179" t="inlineStr">
        <is>
          <t>внутр</t>
        </is>
      </c>
      <c r="R492" s="171" t="n"/>
      <c r="S492" s="171" t="n"/>
    </row>
    <row r="493" ht="18" customHeight="1">
      <c r="A493" s="45" t="inlineStr">
        <is>
          <t>работник 384</t>
        </is>
      </c>
      <c r="B493" s="178" t="inlineStr">
        <is>
          <t>Геолог</t>
        </is>
      </c>
      <c r="C493" s="178" t="inlineStr"/>
      <c r="D493" s="179" t="n"/>
      <c r="E493" s="179" t="n"/>
      <c r="F493" s="179" t="n"/>
      <c r="G493" s="179" t="n"/>
      <c r="H493" s="179" t="n"/>
      <c r="I493" s="179" t="n"/>
      <c r="J493" s="179" t="n"/>
      <c r="K493" s="179" t="n"/>
      <c r="L493" s="179" t="n"/>
      <c r="M493" s="179" t="n"/>
      <c r="N493" s="179" t="n"/>
      <c r="O493" s="179" t="n"/>
      <c r="P493" s="179" t="inlineStr">
        <is>
          <t>внутр</t>
        </is>
      </c>
      <c r="Q493" s="179" t="inlineStr">
        <is>
          <t>внутр</t>
        </is>
      </c>
      <c r="R493" s="171" t="n"/>
      <c r="S493" s="171" t="n"/>
    </row>
    <row r="494" ht="18" customHeight="1">
      <c r="A494" s="45" t="inlineStr">
        <is>
          <t>работник 325</t>
        </is>
      </c>
      <c r="B494" s="178" t="inlineStr">
        <is>
          <t>Электрогазосварщик (занятый на резке и ручной сварке)</t>
        </is>
      </c>
      <c r="C494" s="178" t="inlineStr"/>
      <c r="D494" s="179" t="n"/>
      <c r="E494" s="179" t="inlineStr">
        <is>
          <t>внутр</t>
        </is>
      </c>
      <c r="F494" s="179" t="n"/>
      <c r="G494" s="179" t="n"/>
      <c r="H494" s="179" t="n"/>
      <c r="I494" s="179" t="n"/>
      <c r="J494" s="179" t="n"/>
      <c r="K494" s="179" t="n"/>
      <c r="L494" s="179" t="n"/>
      <c r="M494" s="179" t="n"/>
      <c r="N494" s="179" t="n"/>
      <c r="O494" s="179" t="n"/>
      <c r="P494" s="179" t="inlineStr">
        <is>
          <t>внутр</t>
        </is>
      </c>
      <c r="Q494" s="179" t="inlineStr">
        <is>
          <t>внутр</t>
        </is>
      </c>
      <c r="R494" s="171" t="n"/>
      <c r="S494" s="171" t="n"/>
    </row>
    <row r="495" ht="18" customHeight="1">
      <c r="A495" s="45" t="inlineStr">
        <is>
          <t>работник 362</t>
        </is>
      </c>
      <c r="B495" s="178" t="inlineStr">
        <is>
          <t>Кухонный рабочий</t>
        </is>
      </c>
      <c r="C495" s="178" t="inlineStr"/>
      <c r="D495" s="179" t="n"/>
      <c r="E495" s="179" t="inlineStr">
        <is>
          <t>внутр</t>
        </is>
      </c>
      <c r="F495" s="179" t="n"/>
      <c r="G495" s="179" t="n"/>
      <c r="H495" s="179" t="n"/>
      <c r="I495" s="179" t="n"/>
      <c r="J495" s="179" t="n"/>
      <c r="K495" s="179" t="n"/>
      <c r="L495" s="179" t="n"/>
      <c r="M495" s="179" t="n"/>
      <c r="N495" s="179" t="n"/>
      <c r="O495" s="179" t="n"/>
      <c r="P495" s="179" t="inlineStr">
        <is>
          <t>внутр</t>
        </is>
      </c>
      <c r="Q495" s="179" t="inlineStr">
        <is>
          <t>внутр</t>
        </is>
      </c>
      <c r="R495" s="171" t="n"/>
      <c r="S495" s="171" t="n"/>
    </row>
    <row r="496" ht="18" customHeight="1">
      <c r="A496" s="45" t="inlineStr">
        <is>
          <t>работник 258</t>
        </is>
      </c>
      <c r="B496" s="178" t="inlineStr">
        <is>
          <t>Подсобный рабочий</t>
        </is>
      </c>
      <c r="C496" s="178" t="inlineStr"/>
      <c r="D496" s="179" t="n"/>
      <c r="E496" s="179" t="inlineStr">
        <is>
          <t>внутр</t>
        </is>
      </c>
      <c r="F496" s="179" t="n"/>
      <c r="G496" s="179" t="n"/>
      <c r="H496" s="179" t="n"/>
      <c r="I496" s="179" t="n"/>
      <c r="J496" s="179" t="n"/>
      <c r="K496" s="179" t="n"/>
      <c r="L496" s="179" t="n"/>
      <c r="M496" s="179" t="n"/>
      <c r="N496" s="179" t="n"/>
      <c r="O496" s="179" t="n"/>
      <c r="P496" s="179" t="inlineStr">
        <is>
          <t>внутр</t>
        </is>
      </c>
      <c r="Q496" s="179" t="inlineStr">
        <is>
          <t>внутр</t>
        </is>
      </c>
      <c r="R496" s="171" t="n"/>
      <c r="S496" s="171" t="n"/>
    </row>
    <row r="497" ht="18" customHeight="1">
      <c r="A497" s="45" t="inlineStr">
        <is>
          <t>работник 435</t>
        </is>
      </c>
      <c r="B497" s="178" t="inlineStr">
        <is>
          <t>Дробильщик</t>
        </is>
      </c>
      <c r="C497" s="178" t="inlineStr"/>
      <c r="D497" s="179" t="n"/>
      <c r="E497" s="179" t="inlineStr">
        <is>
          <t>внутр</t>
        </is>
      </c>
      <c r="F497" s="179" t="n"/>
      <c r="G497" s="179" t="n"/>
      <c r="H497" s="179" t="n"/>
      <c r="I497" s="179" t="n"/>
      <c r="J497" s="179" t="n"/>
      <c r="K497" s="179" t="n"/>
      <c r="L497" s="179" t="n"/>
      <c r="M497" s="179" t="n"/>
      <c r="N497" s="179" t="n"/>
      <c r="O497" s="179" t="n"/>
      <c r="P497" s="179" t="n"/>
      <c r="Q497" s="179" t="inlineStr">
        <is>
          <t>внутр</t>
        </is>
      </c>
      <c r="R497" s="171" t="n"/>
      <c r="S497" s="171" t="n"/>
    </row>
    <row r="498" ht="18" customHeight="1">
      <c r="A498" s="45" t="inlineStr">
        <is>
          <t>работник 221</t>
        </is>
      </c>
      <c r="B498" s="178" t="inlineStr">
        <is>
          <t>Водитель автомобиля(занятый на траспортировании горной массы в технологическом процессе) | Водитель автомобиля для перевозки взрывчатых материалов</t>
        </is>
      </c>
      <c r="C498" s="178" t="inlineStr"/>
      <c r="D498" s="179" t="n"/>
      <c r="E498" s="179" t="inlineStr">
        <is>
          <t>внутр</t>
        </is>
      </c>
      <c r="F498" s="179" t="n"/>
      <c r="G498" s="179" t="n"/>
      <c r="H498" s="179" t="n"/>
      <c r="I498" s="179" t="n"/>
      <c r="J498" s="179" t="n"/>
      <c r="K498" s="179" t="n"/>
      <c r="L498" s="179" t="n"/>
      <c r="M498" s="179" t="n"/>
      <c r="N498" s="179" t="n"/>
      <c r="O498" s="179" t="n"/>
      <c r="P498" s="179" t="inlineStr">
        <is>
          <t>внутр</t>
        </is>
      </c>
      <c r="Q498" s="179" t="inlineStr">
        <is>
          <t>внутр</t>
        </is>
      </c>
      <c r="R498" s="171" t="n"/>
      <c r="S498" s="171" t="n"/>
    </row>
    <row r="499" ht="18" customHeight="1">
      <c r="A499" s="45" t="inlineStr">
        <is>
          <t>работник 522</t>
        </is>
      </c>
      <c r="B499" s="178" t="inlineStr">
        <is>
          <t>Фильтровальщик | Аппаратчик сгустителей</t>
        </is>
      </c>
      <c r="C499" s="178" t="inlineStr"/>
      <c r="D499" s="179" t="n"/>
      <c r="E499" s="179" t="inlineStr">
        <is>
          <t>внутр</t>
        </is>
      </c>
      <c r="F499" s="179" t="n"/>
      <c r="G499" s="179" t="n"/>
      <c r="H499" s="179" t="n"/>
      <c r="I499" s="179" t="n"/>
      <c r="J499" s="179" t="n"/>
      <c r="K499" s="179" t="n"/>
      <c r="L499" s="179" t="n"/>
      <c r="M499" s="179" t="n"/>
      <c r="N499" s="179" t="n"/>
      <c r="O499" s="179" t="n"/>
      <c r="P499" s="179" t="inlineStr">
        <is>
          <t>внутр</t>
        </is>
      </c>
      <c r="Q499" s="179" t="inlineStr">
        <is>
          <t>внутр</t>
        </is>
      </c>
      <c r="R499" s="171" t="n"/>
      <c r="S499" s="171" t="n"/>
    </row>
    <row r="500" ht="18" customHeight="1">
      <c r="A500" s="45" t="inlineStr">
        <is>
          <t>работник 89</t>
        </is>
      </c>
      <c r="B500" s="178" t="inlineStr">
        <is>
          <t>Повар</t>
        </is>
      </c>
      <c r="C500" s="178" t="inlineStr"/>
      <c r="D500" s="179" t="n"/>
      <c r="E500" s="179" t="inlineStr">
        <is>
          <t>внутр</t>
        </is>
      </c>
      <c r="F500" s="179" t="n"/>
      <c r="G500" s="179" t="n"/>
      <c r="H500" s="179" t="n"/>
      <c r="I500" s="179" t="n"/>
      <c r="J500" s="179" t="n"/>
      <c r="K500" s="179" t="n"/>
      <c r="L500" s="179" t="n"/>
      <c r="M500" s="179" t="n"/>
      <c r="N500" s="179" t="n"/>
      <c r="O500" s="179" t="n"/>
      <c r="P500" s="179" t="inlineStr">
        <is>
          <t>внутр</t>
        </is>
      </c>
      <c r="Q500" s="179" t="inlineStr">
        <is>
          <t>внутр</t>
        </is>
      </c>
      <c r="R500" s="171" t="n"/>
      <c r="S500" s="171" t="n"/>
    </row>
    <row r="501" ht="18" customHeight="1">
      <c r="A501" s="45" t="inlineStr">
        <is>
          <t>работник 686</t>
        </is>
      </c>
      <c r="B501" s="178" t="inlineStr">
        <is>
          <t>Участковый маркшейдер</t>
        </is>
      </c>
      <c r="C501" s="178" t="inlineStr"/>
      <c r="D501" s="179" t="n"/>
      <c r="E501" s="179" t="inlineStr">
        <is>
          <t>внутр</t>
        </is>
      </c>
      <c r="F501" s="179" t="n"/>
      <c r="G501" s="179" t="n"/>
      <c r="H501" s="179" t="n"/>
      <c r="I501" s="179" t="n"/>
      <c r="J501" s="179" t="n"/>
      <c r="K501" s="179" t="n"/>
      <c r="L501" s="179" t="n"/>
      <c r="M501" s="179" t="n"/>
      <c r="N501" s="179" t="n"/>
      <c r="O501" s="179" t="n"/>
      <c r="P501" s="179" t="n"/>
      <c r="Q501" s="179" t="inlineStr">
        <is>
          <t>внутр</t>
        </is>
      </c>
      <c r="R501" s="171" t="n"/>
      <c r="S501" s="171" t="n"/>
    </row>
    <row r="502" ht="18" customHeight="1">
      <c r="A502" s="45" t="inlineStr">
        <is>
          <t>работник 473</t>
        </is>
      </c>
      <c r="B502" s="178" t="inlineStr">
        <is>
          <t>Контролер</t>
        </is>
      </c>
      <c r="C502" s="178" t="inlineStr"/>
      <c r="D502" s="179" t="n"/>
      <c r="E502" s="179" t="inlineStr">
        <is>
          <t>внутр</t>
        </is>
      </c>
      <c r="F502" s="179" t="n"/>
      <c r="G502" s="179" t="n"/>
      <c r="H502" s="179" t="n"/>
      <c r="I502" s="179" t="n"/>
      <c r="J502" s="179" t="n"/>
      <c r="K502" s="179" t="n"/>
      <c r="L502" s="179" t="n"/>
      <c r="M502" s="179" t="n"/>
      <c r="N502" s="179" t="n"/>
      <c r="O502" s="179" t="n"/>
      <c r="P502" s="179" t="n"/>
      <c r="Q502" s="179" t="inlineStr">
        <is>
          <t>внутр</t>
        </is>
      </c>
      <c r="R502" s="171" t="n"/>
      <c r="S502" s="171" t="n"/>
    </row>
    <row r="503" ht="18" customHeight="1">
      <c r="A503" s="45" t="inlineStr">
        <is>
          <t>работник 445</t>
        </is>
      </c>
      <c r="B503" s="178" t="inlineStr">
        <is>
          <t>Дробильщик | Дробильщики</t>
        </is>
      </c>
      <c r="C503" s="178" t="inlineStr"/>
      <c r="D503" s="179" t="n"/>
      <c r="E503" s="179" t="inlineStr">
        <is>
          <t>внутр</t>
        </is>
      </c>
      <c r="F503" s="179" t="n"/>
      <c r="G503" s="179" t="n"/>
      <c r="H503" s="179" t="n"/>
      <c r="I503" s="179" t="n"/>
      <c r="J503" s="179" t="n"/>
      <c r="K503" s="179" t="n"/>
      <c r="L503" s="179" t="n"/>
      <c r="M503" s="179" t="n"/>
      <c r="N503" s="179" t="n"/>
      <c r="O503" s="179" t="n"/>
      <c r="P503" s="179" t="inlineStr">
        <is>
          <t>внутр</t>
        </is>
      </c>
      <c r="Q503" s="179" t="inlineStr">
        <is>
          <t>внутр</t>
        </is>
      </c>
      <c r="R503" s="171" t="n"/>
      <c r="S503" s="171" t="n"/>
    </row>
    <row r="504" ht="18" customHeight="1">
      <c r="A504" s="45" t="inlineStr">
        <is>
          <t>работник 4</t>
        </is>
      </c>
      <c r="B504" s="178" t="inlineStr">
        <is>
          <t>Инженер по промышленной безопасности и охране труда</t>
        </is>
      </c>
      <c r="C504" s="178" t="inlineStr">
        <is>
          <t>Специалист по охране труда</t>
        </is>
      </c>
      <c r="D504" s="179" t="inlineStr">
        <is>
          <t>внеш</t>
        </is>
      </c>
      <c r="E504" s="179" t="inlineStr">
        <is>
          <t>внеш</t>
        </is>
      </c>
      <c r="F504" s="179" t="n"/>
      <c r="G504" s="179" t="n"/>
      <c r="H504" s="179" t="n"/>
      <c r="I504" s="179" t="n"/>
      <c r="J504" s="179" t="n"/>
      <c r="K504" s="179" t="n"/>
      <c r="L504" s="179" t="n"/>
      <c r="M504" s="179" t="n"/>
      <c r="N504" s="179" t="n"/>
      <c r="O504" s="179" t="n"/>
      <c r="P504" s="181" t="inlineStr">
        <is>
          <t>внеш</t>
        </is>
      </c>
      <c r="Q504" s="181" t="inlineStr">
        <is>
          <t>внеш</t>
        </is>
      </c>
      <c r="R504" s="171" t="n"/>
      <c r="S504" s="171" t="n">
        <v>2</v>
      </c>
    </row>
    <row r="505" ht="18" customHeight="1">
      <c r="A505" s="45" t="inlineStr">
        <is>
          <t>работник 820</t>
        </is>
      </c>
      <c r="B505" s="178" t="inlineStr">
        <is>
          <t>Токарь (с исполнением обязанностей фрезеровщика)</t>
        </is>
      </c>
      <c r="C505" s="178" t="inlineStr"/>
      <c r="D505" s="179" t="n"/>
      <c r="E505" s="179" t="inlineStr">
        <is>
          <t>внутр</t>
        </is>
      </c>
      <c r="F505" s="179" t="n"/>
      <c r="G505" s="179" t="n"/>
      <c r="H505" s="179" t="n"/>
      <c r="I505" s="179" t="n"/>
      <c r="J505" s="179" t="n"/>
      <c r="K505" s="179" t="n"/>
      <c r="L505" s="179" t="n"/>
      <c r="M505" s="179" t="n"/>
      <c r="N505" s="179" t="n"/>
      <c r="O505" s="179" t="n"/>
      <c r="P505" s="179" t="n"/>
      <c r="Q505" s="179" t="inlineStr">
        <is>
          <t>внутр</t>
        </is>
      </c>
      <c r="R505" s="171" t="n"/>
      <c r="S505" s="171" t="n"/>
    </row>
    <row r="506" ht="18" customHeight="1">
      <c r="A506" s="45" t="inlineStr">
        <is>
          <t>работник 190</t>
        </is>
      </c>
      <c r="B506" s="178" t="inlineStr">
        <is>
          <t>Машинист крана автомобильного</t>
        </is>
      </c>
      <c r="C506" s="178" t="inlineStr"/>
      <c r="D506" s="179" t="n"/>
      <c r="E506" s="179" t="inlineStr">
        <is>
          <t>внутр</t>
        </is>
      </c>
      <c r="F506" s="179" t="n"/>
      <c r="G506" s="179" t="n"/>
      <c r="H506" s="179" t="n"/>
      <c r="I506" s="179" t="n"/>
      <c r="J506" s="179" t="n"/>
      <c r="K506" s="179" t="n"/>
      <c r="L506" s="179" t="n"/>
      <c r="M506" s="179" t="n"/>
      <c r="N506" s="179" t="n"/>
      <c r="O506" s="179" t="n"/>
      <c r="P506" s="179" t="inlineStr">
        <is>
          <t>внутр</t>
        </is>
      </c>
      <c r="Q506" s="179" t="inlineStr">
        <is>
          <t>внутр</t>
        </is>
      </c>
      <c r="R506" s="171" t="n"/>
      <c r="S506" s="171" t="n"/>
    </row>
    <row r="507" ht="18" customHeight="1">
      <c r="A507" s="45" t="inlineStr">
        <is>
          <t>работник 326</t>
        </is>
      </c>
      <c r="B507" s="178" t="inlineStr">
        <is>
          <t>Машинист погрузочно-доставочной машины</t>
        </is>
      </c>
      <c r="C507" s="178" t="inlineStr"/>
      <c r="D507" s="179" t="n"/>
      <c r="E507" s="179" t="inlineStr">
        <is>
          <t>внутр</t>
        </is>
      </c>
      <c r="F507" s="179" t="n"/>
      <c r="G507" s="179" t="n"/>
      <c r="H507" s="179" t="n"/>
      <c r="I507" s="179" t="n"/>
      <c r="J507" s="179" t="n"/>
      <c r="K507" s="179" t="n"/>
      <c r="L507" s="179" t="n"/>
      <c r="M507" s="179" t="n"/>
      <c r="N507" s="179" t="n"/>
      <c r="O507" s="179" t="n"/>
      <c r="P507" s="179" t="inlineStr">
        <is>
          <t>внутр</t>
        </is>
      </c>
      <c r="Q507" s="179" t="inlineStr">
        <is>
          <t>внутр</t>
        </is>
      </c>
      <c r="R507" s="171" t="n"/>
      <c r="S507" s="171" t="n"/>
    </row>
    <row r="508" ht="18" customHeight="1">
      <c r="A508" s="45" t="inlineStr">
        <is>
          <t>работник 649</t>
        </is>
      </c>
      <c r="B508" s="178" t="inlineStr">
        <is>
          <t>Слесарь-ремонтник (по ремонту обогатительного оборудования)</t>
        </is>
      </c>
      <c r="C508" s="178" t="inlineStr"/>
      <c r="D508" s="179" t="n"/>
      <c r="E508" s="179" t="inlineStr">
        <is>
          <t>внутр</t>
        </is>
      </c>
      <c r="F508" s="179" t="n"/>
      <c r="G508" s="179" t="n"/>
      <c r="H508" s="179" t="n"/>
      <c r="I508" s="179" t="n"/>
      <c r="J508" s="179" t="n"/>
      <c r="K508" s="179" t="n"/>
      <c r="L508" s="179" t="n"/>
      <c r="M508" s="179" t="n"/>
      <c r="N508" s="179" t="n"/>
      <c r="O508" s="179" t="n"/>
      <c r="P508" s="179" t="n"/>
      <c r="Q508" s="179" t="inlineStr">
        <is>
          <t>внутр</t>
        </is>
      </c>
      <c r="R508" s="171" t="n"/>
      <c r="S508" s="171" t="n"/>
    </row>
    <row r="509" ht="18" customHeight="1">
      <c r="A509" s="45" t="inlineStr">
        <is>
          <t>работник 383</t>
        </is>
      </c>
      <c r="B509" s="178" t="inlineStr">
        <is>
          <t>Машинист бульдозера</t>
        </is>
      </c>
      <c r="C509" s="178" t="inlineStr"/>
      <c r="D509" s="179" t="n"/>
      <c r="E509" s="179" t="inlineStr">
        <is>
          <t>внутр</t>
        </is>
      </c>
      <c r="F509" s="179" t="n"/>
      <c r="G509" s="179" t="n"/>
      <c r="H509" s="179" t="n"/>
      <c r="I509" s="179" t="n"/>
      <c r="J509" s="179" t="n"/>
      <c r="K509" s="179" t="n"/>
      <c r="L509" s="179" t="n"/>
      <c r="M509" s="179" t="n"/>
      <c r="N509" s="179" t="n"/>
      <c r="O509" s="179" t="n"/>
      <c r="P509" s="179" t="inlineStr">
        <is>
          <t>внутр</t>
        </is>
      </c>
      <c r="Q509" s="179" t="inlineStr">
        <is>
          <t>внутр</t>
        </is>
      </c>
      <c r="R509" s="171" t="n"/>
      <c r="S509" s="171" t="n"/>
    </row>
    <row r="510" ht="18" customHeight="1">
      <c r="A510" s="45" t="inlineStr">
        <is>
          <t>работник 285</t>
        </is>
      </c>
      <c r="B510" s="178" t="inlineStr">
        <is>
          <t>Водитель погрузчика</t>
        </is>
      </c>
      <c r="C510" s="178" t="inlineStr"/>
      <c r="D510" s="179" t="n"/>
      <c r="E510" s="179" t="inlineStr">
        <is>
          <t>внутр</t>
        </is>
      </c>
      <c r="F510" s="179" t="n"/>
      <c r="G510" s="179" t="n"/>
      <c r="H510" s="179" t="n"/>
      <c r="I510" s="179" t="n"/>
      <c r="J510" s="179" t="n"/>
      <c r="K510" s="179" t="n"/>
      <c r="L510" s="179" t="n"/>
      <c r="M510" s="179" t="n"/>
      <c r="N510" s="179" t="n"/>
      <c r="O510" s="179" t="n"/>
      <c r="P510" s="179" t="inlineStr">
        <is>
          <t>внутр</t>
        </is>
      </c>
      <c r="Q510" s="179" t="inlineStr">
        <is>
          <t>внутр</t>
        </is>
      </c>
      <c r="R510" s="171" t="n"/>
      <c r="S510" s="171" t="n"/>
    </row>
    <row r="511" ht="18" customHeight="1">
      <c r="A511" s="45" t="inlineStr">
        <is>
          <t>работник 587</t>
        </is>
      </c>
      <c r="B511" s="178" t="inlineStr">
        <is>
          <t>Повар</t>
        </is>
      </c>
      <c r="C511" s="178" t="inlineStr"/>
      <c r="D511" s="179" t="n"/>
      <c r="E511" s="179" t="inlineStr">
        <is>
          <t>внутр</t>
        </is>
      </c>
      <c r="F511" s="179" t="n"/>
      <c r="G511" s="179" t="n"/>
      <c r="H511" s="179" t="n"/>
      <c r="I511" s="179" t="n"/>
      <c r="J511" s="179" t="n"/>
      <c r="K511" s="179" t="n"/>
      <c r="L511" s="179" t="n"/>
      <c r="M511" s="179" t="n"/>
      <c r="N511" s="179" t="n"/>
      <c r="O511" s="179" t="n"/>
      <c r="P511" s="179" t="n"/>
      <c r="Q511" s="179" t="inlineStr">
        <is>
          <t>внутр</t>
        </is>
      </c>
      <c r="R511" s="171" t="n"/>
      <c r="S511" s="171" t="n"/>
    </row>
    <row r="512" ht="18" customHeight="1">
      <c r="A512" s="45" t="inlineStr">
        <is>
          <t>работник 867</t>
        </is>
      </c>
      <c r="B512" s="178" t="inlineStr">
        <is>
          <t>Оператор стиральных машин (с исполнением обязанностей рабочего по ремонту спецодежды)</t>
        </is>
      </c>
      <c r="C512" s="178" t="inlineStr"/>
      <c r="D512" s="179" t="n"/>
      <c r="E512" s="179" t="inlineStr">
        <is>
          <t>внутр</t>
        </is>
      </c>
      <c r="F512" s="179" t="n"/>
      <c r="G512" s="179" t="n"/>
      <c r="H512" s="179" t="n"/>
      <c r="I512" s="179" t="n"/>
      <c r="J512" s="179" t="n"/>
      <c r="K512" s="179" t="n"/>
      <c r="L512" s="179" t="n"/>
      <c r="M512" s="179" t="n"/>
      <c r="N512" s="179" t="n"/>
      <c r="O512" s="179" t="n"/>
      <c r="P512" s="179" t="inlineStr">
        <is>
          <t>внутр</t>
        </is>
      </c>
      <c r="Q512" s="179" t="inlineStr">
        <is>
          <t>внутр</t>
        </is>
      </c>
      <c r="R512" s="171" t="n"/>
      <c r="S512" s="171" t="n"/>
    </row>
    <row r="513" ht="18" customHeight="1">
      <c r="A513" s="45" t="inlineStr">
        <is>
          <t>работник 394</t>
        </is>
      </c>
      <c r="B513" s="178" t="inlineStr">
        <is>
          <t>Кухонный рабочий</t>
        </is>
      </c>
      <c r="C513" s="178" t="inlineStr"/>
      <c r="D513" s="179" t="n"/>
      <c r="E513" s="179" t="inlineStr">
        <is>
          <t>внутр</t>
        </is>
      </c>
      <c r="F513" s="179" t="n"/>
      <c r="G513" s="179" t="n"/>
      <c r="H513" s="179" t="n"/>
      <c r="I513" s="179" t="n"/>
      <c r="J513" s="179" t="n"/>
      <c r="K513" s="179" t="n"/>
      <c r="L513" s="179" t="n"/>
      <c r="M513" s="179" t="n"/>
      <c r="N513" s="179" t="n"/>
      <c r="O513" s="179" t="n"/>
      <c r="P513" s="179" t="inlineStr">
        <is>
          <t>внутр</t>
        </is>
      </c>
      <c r="Q513" s="179" t="inlineStr">
        <is>
          <t>внутр</t>
        </is>
      </c>
      <c r="R513" s="171" t="n"/>
      <c r="S513" s="171" t="n"/>
    </row>
    <row r="514" ht="18" customHeight="1">
      <c r="A514" s="45" t="inlineStr">
        <is>
          <t>работник 168</t>
        </is>
      </c>
      <c r="B514" s="178" t="inlineStr">
        <is>
          <t>Проходчик (с исполнением обязанностей взрывника)</t>
        </is>
      </c>
      <c r="C514" s="178" t="inlineStr"/>
      <c r="D514" s="179" t="n"/>
      <c r="E514" s="179" t="inlineStr">
        <is>
          <t>внутр</t>
        </is>
      </c>
      <c r="F514" s="179" t="n"/>
      <c r="G514" s="179" t="n"/>
      <c r="H514" s="179" t="n"/>
      <c r="I514" s="179" t="n"/>
      <c r="J514" s="179" t="n"/>
      <c r="K514" s="179" t="n"/>
      <c r="L514" s="179" t="n"/>
      <c r="M514" s="179" t="n"/>
      <c r="N514" s="179" t="n"/>
      <c r="O514" s="179" t="n"/>
      <c r="P514" s="179" t="inlineStr">
        <is>
          <t>внутр</t>
        </is>
      </c>
      <c r="Q514" s="179" t="inlineStr">
        <is>
          <t>внутр</t>
        </is>
      </c>
      <c r="R514" s="171" t="n"/>
      <c r="S514" s="171" t="n"/>
    </row>
    <row r="515" ht="18" customHeight="1">
      <c r="A515" s="45" t="inlineStr">
        <is>
          <t>работник 332</t>
        </is>
      </c>
      <c r="B515" s="178" t="inlineStr">
        <is>
          <t>Дробильщик</t>
        </is>
      </c>
      <c r="C515" s="178" t="inlineStr"/>
      <c r="D515" s="179" t="n"/>
      <c r="E515" s="179" t="inlineStr">
        <is>
          <t>внутр</t>
        </is>
      </c>
      <c r="F515" s="179" t="n"/>
      <c r="G515" s="179" t="n"/>
      <c r="H515" s="179" t="n"/>
      <c r="I515" s="179" t="n"/>
      <c r="J515" s="179" t="n"/>
      <c r="K515" s="179" t="n"/>
      <c r="L515" s="179" t="n"/>
      <c r="M515" s="179" t="n"/>
      <c r="N515" s="179" t="n"/>
      <c r="O515" s="179" t="n"/>
      <c r="P515" s="179" t="inlineStr">
        <is>
          <t>внутр</t>
        </is>
      </c>
      <c r="Q515" s="179" t="inlineStr">
        <is>
          <t>внутр</t>
        </is>
      </c>
      <c r="R515" s="171" t="n"/>
      <c r="S515" s="171" t="n"/>
    </row>
    <row r="516" ht="18" customHeight="1">
      <c r="A516" s="45" t="inlineStr">
        <is>
          <t>работник 832</t>
        </is>
      </c>
      <c r="B516" s="178" t="inlineStr">
        <is>
          <t>Растворщик реагентов</t>
        </is>
      </c>
      <c r="C516" s="178" t="inlineStr"/>
      <c r="D516" s="179" t="n"/>
      <c r="E516" s="179" t="inlineStr">
        <is>
          <t>внутр</t>
        </is>
      </c>
      <c r="F516" s="179" t="n"/>
      <c r="G516" s="179" t="n"/>
      <c r="H516" s="179" t="n"/>
      <c r="I516" s="179" t="n"/>
      <c r="J516" s="179" t="n"/>
      <c r="K516" s="179" t="n"/>
      <c r="L516" s="179" t="n"/>
      <c r="M516" s="179" t="n"/>
      <c r="N516" s="179" t="n"/>
      <c r="O516" s="179" t="n"/>
      <c r="P516" s="179" t="inlineStr">
        <is>
          <t>внутр</t>
        </is>
      </c>
      <c r="Q516" s="179" t="inlineStr">
        <is>
          <t>внутр</t>
        </is>
      </c>
      <c r="R516" s="171" t="n"/>
      <c r="S516" s="171" t="n"/>
    </row>
    <row r="517" ht="18" customHeight="1">
      <c r="A517" s="45" t="inlineStr">
        <is>
          <t>работник 491</t>
        </is>
      </c>
      <c r="B517" s="178" t="inlineStr">
        <is>
          <t>Машинист погрузочно-доставочной машины</t>
        </is>
      </c>
      <c r="C517" s="178" t="inlineStr"/>
      <c r="D517" s="179" t="n"/>
      <c r="E517" s="179" t="inlineStr">
        <is>
          <t>внутр</t>
        </is>
      </c>
      <c r="F517" s="179" t="n"/>
      <c r="G517" s="179" t="n"/>
      <c r="H517" s="179" t="n"/>
      <c r="I517" s="179" t="n"/>
      <c r="J517" s="179" t="n"/>
      <c r="K517" s="179" t="n"/>
      <c r="L517" s="179" t="n"/>
      <c r="M517" s="179" t="n"/>
      <c r="N517" s="179" t="n"/>
      <c r="O517" s="179" t="n"/>
      <c r="P517" s="179" t="inlineStr">
        <is>
          <t>внутр</t>
        </is>
      </c>
      <c r="Q517" s="179" t="inlineStr">
        <is>
          <t>внутр</t>
        </is>
      </c>
      <c r="R517" s="171" t="n"/>
      <c r="S517" s="171" t="n"/>
    </row>
    <row r="518" ht="18" customHeight="1">
      <c r="A518" s="45" t="inlineStr">
        <is>
          <t>работник 725</t>
        </is>
      </c>
      <c r="B518" s="178" t="inlineStr">
        <is>
          <t>Участковый геолог</t>
        </is>
      </c>
      <c r="C518" s="178" t="inlineStr"/>
      <c r="D518" s="179" t="n"/>
      <c r="E518" s="179" t="inlineStr">
        <is>
          <t>внутр</t>
        </is>
      </c>
      <c r="F518" s="179" t="n"/>
      <c r="G518" s="179" t="n"/>
      <c r="H518" s="179" t="n"/>
      <c r="I518" s="179" t="n"/>
      <c r="J518" s="179" t="n"/>
      <c r="K518" s="179" t="n"/>
      <c r="L518" s="179" t="n"/>
      <c r="M518" s="179" t="n"/>
      <c r="N518" s="179" t="n"/>
      <c r="O518" s="179" t="n"/>
      <c r="P518" s="179" t="n"/>
      <c r="Q518" s="179" t="inlineStr">
        <is>
          <t>внутр</t>
        </is>
      </c>
      <c r="R518" s="171" t="n"/>
      <c r="S518" s="171" t="n"/>
    </row>
    <row r="519" ht="18" customHeight="1">
      <c r="A519" s="45" t="inlineStr">
        <is>
          <t>работник 807</t>
        </is>
      </c>
      <c r="B519" s="178" t="inlineStr">
        <is>
          <t>повар</t>
        </is>
      </c>
      <c r="C519" s="178" t="inlineStr"/>
      <c r="D519" s="179" t="n"/>
      <c r="E519" s="179" t="inlineStr">
        <is>
          <t>внутр</t>
        </is>
      </c>
      <c r="F519" s="179" t="n"/>
      <c r="G519" s="179" t="n"/>
      <c r="H519" s="179" t="n"/>
      <c r="I519" s="179" t="n"/>
      <c r="J519" s="179" t="n"/>
      <c r="K519" s="179" t="n"/>
      <c r="L519" s="179" t="n"/>
      <c r="M519" s="179" t="n"/>
      <c r="N519" s="179" t="n"/>
      <c r="O519" s="179" t="n"/>
      <c r="P519" s="179" t="n"/>
      <c r="Q519" s="179" t="inlineStr">
        <is>
          <t>внутр</t>
        </is>
      </c>
      <c r="R519" s="171" t="n"/>
      <c r="S519" s="171" t="n"/>
    </row>
    <row r="520" ht="18" customHeight="1">
      <c r="A520" s="45" t="inlineStr">
        <is>
          <t>работник 843</t>
        </is>
      </c>
      <c r="B520" s="178" t="inlineStr">
        <is>
          <t>Машинист самоходной буровой установки</t>
        </is>
      </c>
      <c r="C520" s="178" t="inlineStr"/>
      <c r="D520" s="179" t="n"/>
      <c r="E520" s="179" t="inlineStr">
        <is>
          <t>внутр</t>
        </is>
      </c>
      <c r="F520" s="179" t="n"/>
      <c r="G520" s="179" t="n"/>
      <c r="H520" s="179" t="n"/>
      <c r="I520" s="179" t="n"/>
      <c r="J520" s="179" t="n"/>
      <c r="K520" s="179" t="n"/>
      <c r="L520" s="179" t="n"/>
      <c r="M520" s="179" t="n"/>
      <c r="N520" s="179" t="n"/>
      <c r="O520" s="179" t="n"/>
      <c r="P520" s="179" t="inlineStr">
        <is>
          <t>внутр</t>
        </is>
      </c>
      <c r="Q520" s="179" t="inlineStr">
        <is>
          <t>внутр</t>
        </is>
      </c>
      <c r="R520" s="171" t="n"/>
      <c r="S520" s="171" t="n"/>
    </row>
    <row r="521" ht="18" customHeight="1">
      <c r="A521" s="45" t="inlineStr">
        <is>
          <t>работник 702</t>
        </is>
      </c>
      <c r="B521" s="178" t="inlineStr">
        <is>
          <t>Ведущий инженер-геодезист</t>
        </is>
      </c>
      <c r="C521" s="178" t="inlineStr"/>
      <c r="D521" s="179" t="n"/>
      <c r="E521" s="179" t="inlineStr">
        <is>
          <t>внутр</t>
        </is>
      </c>
      <c r="F521" s="179" t="n"/>
      <c r="G521" s="179" t="n"/>
      <c r="H521" s="179" t="n"/>
      <c r="I521" s="179" t="n"/>
      <c r="J521" s="179" t="n"/>
      <c r="K521" s="179" t="n"/>
      <c r="L521" s="179" t="n"/>
      <c r="M521" s="179" t="n"/>
      <c r="N521" s="179" t="n"/>
      <c r="O521" s="179" t="n"/>
      <c r="P521" s="179" t="n"/>
      <c r="Q521" s="179" t="inlineStr">
        <is>
          <t>внутр</t>
        </is>
      </c>
      <c r="R521" s="171" t="n"/>
      <c r="S521" s="171" t="n"/>
    </row>
    <row r="522" ht="18" customHeight="1">
      <c r="A522" s="45" t="inlineStr">
        <is>
          <t>работник 343</t>
        </is>
      </c>
      <c r="B522" s="178" t="inlineStr">
        <is>
          <t>Дробильщик | Дробильщики</t>
        </is>
      </c>
      <c r="C522" s="178" t="inlineStr"/>
      <c r="D522" s="179" t="n"/>
      <c r="E522" s="179" t="inlineStr">
        <is>
          <t>внутр</t>
        </is>
      </c>
      <c r="F522" s="179" t="n"/>
      <c r="G522" s="179" t="n"/>
      <c r="H522" s="179" t="n"/>
      <c r="I522" s="179" t="n"/>
      <c r="J522" s="179" t="n"/>
      <c r="K522" s="179" t="n"/>
      <c r="L522" s="179" t="n"/>
      <c r="M522" s="179" t="n"/>
      <c r="N522" s="179" t="n"/>
      <c r="O522" s="179" t="n"/>
      <c r="P522" s="179" t="inlineStr">
        <is>
          <t>внутр</t>
        </is>
      </c>
      <c r="Q522" s="179" t="inlineStr">
        <is>
          <t>внутр</t>
        </is>
      </c>
      <c r="R522" s="171" t="n"/>
      <c r="S522" s="171" t="n"/>
    </row>
    <row r="523" ht="18" customHeight="1">
      <c r="A523" s="45" t="inlineStr">
        <is>
          <t>работник 661</t>
        </is>
      </c>
      <c r="B523" s="178" t="inlineStr">
        <is>
          <t>Подсобный рабочий</t>
        </is>
      </c>
      <c r="C523" s="178" t="inlineStr"/>
      <c r="D523" s="179" t="n"/>
      <c r="E523" s="179" t="inlineStr">
        <is>
          <t>внутр</t>
        </is>
      </c>
      <c r="F523" s="179" t="n"/>
      <c r="G523" s="179" t="n"/>
      <c r="H523" s="179" t="n"/>
      <c r="I523" s="179" t="n"/>
      <c r="J523" s="179" t="n"/>
      <c r="K523" s="179" t="n"/>
      <c r="L523" s="179" t="n"/>
      <c r="M523" s="179" t="n"/>
      <c r="N523" s="179" t="n"/>
      <c r="O523" s="179" t="n"/>
      <c r="P523" s="179" t="n"/>
      <c r="Q523" s="179" t="inlineStr">
        <is>
          <t>внутр</t>
        </is>
      </c>
      <c r="R523" s="171" t="n"/>
      <c r="S523" s="171" t="n"/>
    </row>
    <row r="524" ht="18" customHeight="1">
      <c r="A524" s="45" t="inlineStr">
        <is>
          <t>работник 410</t>
        </is>
      </c>
      <c r="B524" s="178" t="inlineStr">
        <is>
          <t>Токарь( с исполнением  обязаности фрейзеровщика)</t>
        </is>
      </c>
      <c r="C524" s="178" t="inlineStr"/>
      <c r="D524" s="179" t="n"/>
      <c r="E524" s="179" t="inlineStr">
        <is>
          <t>внутр</t>
        </is>
      </c>
      <c r="F524" s="179" t="n"/>
      <c r="G524" s="179" t="n"/>
      <c r="H524" s="179" t="n"/>
      <c r="I524" s="179" t="n"/>
      <c r="J524" s="179" t="n"/>
      <c r="K524" s="179" t="n"/>
      <c r="L524" s="179" t="n"/>
      <c r="M524" s="179" t="n"/>
      <c r="N524" s="179" t="n"/>
      <c r="O524" s="179" t="n"/>
      <c r="P524" s="179" t="n"/>
      <c r="Q524" s="179" t="inlineStr">
        <is>
          <t>внутр</t>
        </is>
      </c>
      <c r="R524" s="171" t="n"/>
      <c r="S524" s="171" t="n"/>
    </row>
    <row r="525" ht="18" customHeight="1">
      <c r="A525" s="45" t="inlineStr">
        <is>
          <t>работник 58</t>
        </is>
      </c>
      <c r="B525" s="178" t="inlineStr">
        <is>
          <t>Оператор дизельных котлов | Машинист насосных установок</t>
        </is>
      </c>
      <c r="C525" s="178" t="inlineStr"/>
      <c r="D525" s="179" t="n"/>
      <c r="E525" s="179" t="inlineStr">
        <is>
          <t>внутр</t>
        </is>
      </c>
      <c r="F525" s="179" t="n"/>
      <c r="G525" s="179" t="n"/>
      <c r="H525" s="179" t="n"/>
      <c r="I525" s="179" t="n"/>
      <c r="J525" s="179" t="n"/>
      <c r="K525" s="179" t="n"/>
      <c r="L525" s="179" t="n"/>
      <c r="M525" s="179" t="n"/>
      <c r="N525" s="179" t="n"/>
      <c r="O525" s="179" t="n"/>
      <c r="P525" s="179" t="inlineStr">
        <is>
          <t>внутр</t>
        </is>
      </c>
      <c r="Q525" s="179" t="inlineStr">
        <is>
          <t>внутр</t>
        </is>
      </c>
      <c r="R525" s="171" t="n"/>
      <c r="S525" s="171" t="n"/>
    </row>
    <row r="526" ht="18" customHeight="1">
      <c r="A526" s="45" t="inlineStr">
        <is>
          <t>работник 856</t>
        </is>
      </c>
      <c r="B526" s="178" t="inlineStr">
        <is>
          <t>Подсобный рабочий</t>
        </is>
      </c>
      <c r="C526" s="178" t="inlineStr"/>
      <c r="D526" s="179" t="n"/>
      <c r="E526" s="179" t="inlineStr">
        <is>
          <t>внутр</t>
        </is>
      </c>
      <c r="F526" s="179" t="n"/>
      <c r="G526" s="179" t="n"/>
      <c r="H526" s="179" t="n"/>
      <c r="I526" s="179" t="n"/>
      <c r="J526" s="179" t="n"/>
      <c r="K526" s="179" t="n"/>
      <c r="L526" s="179" t="n"/>
      <c r="M526" s="179" t="n"/>
      <c r="N526" s="179" t="n"/>
      <c r="O526" s="179" t="n"/>
      <c r="P526" s="179" t="inlineStr">
        <is>
          <t>внутр</t>
        </is>
      </c>
      <c r="Q526" s="179" t="inlineStr">
        <is>
          <t>внутр</t>
        </is>
      </c>
      <c r="R526" s="171" t="n"/>
      <c r="S526" s="171" t="n"/>
    </row>
    <row r="527" ht="18" customHeight="1">
      <c r="A527" s="45" t="inlineStr">
        <is>
          <t>работник 233</t>
        </is>
      </c>
      <c r="B527" s="178" t="inlineStr">
        <is>
          <t>Лаборант химического анализа</t>
        </is>
      </c>
      <c r="C527" s="178" t="inlineStr"/>
      <c r="D527" s="179" t="n"/>
      <c r="E527" s="179" t="inlineStr">
        <is>
          <t>внутр</t>
        </is>
      </c>
      <c r="F527" s="179" t="n"/>
      <c r="G527" s="179" t="n"/>
      <c r="H527" s="179" t="n"/>
      <c r="I527" s="179" t="n"/>
      <c r="J527" s="179" t="n"/>
      <c r="K527" s="179" t="n"/>
      <c r="L527" s="179" t="n"/>
      <c r="M527" s="179" t="n"/>
      <c r="N527" s="179" t="n"/>
      <c r="O527" s="179" t="n"/>
      <c r="P527" s="179" t="inlineStr">
        <is>
          <t>внутр</t>
        </is>
      </c>
      <c r="Q527" s="179" t="inlineStr">
        <is>
          <t>внутр</t>
        </is>
      </c>
      <c r="R527" s="171" t="n"/>
      <c r="S527" s="171" t="n"/>
    </row>
    <row r="528" ht="18" customHeight="1">
      <c r="A528" s="45" t="inlineStr">
        <is>
          <t>работник 726</t>
        </is>
      </c>
      <c r="B528" s="178" t="inlineStr">
        <is>
          <t>Машинист буровой установки</t>
        </is>
      </c>
      <c r="C528" s="178" t="inlineStr"/>
      <c r="D528" s="179" t="n"/>
      <c r="E528" s="179" t="inlineStr">
        <is>
          <t>внутр</t>
        </is>
      </c>
      <c r="F528" s="179" t="n"/>
      <c r="G528" s="179" t="n"/>
      <c r="H528" s="179" t="n"/>
      <c r="I528" s="179" t="n"/>
      <c r="J528" s="179" t="n"/>
      <c r="K528" s="179" t="n"/>
      <c r="L528" s="179" t="n"/>
      <c r="M528" s="179" t="n"/>
      <c r="N528" s="179" t="n"/>
      <c r="O528" s="179" t="n"/>
      <c r="P528" s="179" t="n"/>
      <c r="Q528" s="179" t="inlineStr">
        <is>
          <t>внутр</t>
        </is>
      </c>
      <c r="R528" s="171" t="n"/>
      <c r="S528" s="171" t="n"/>
    </row>
    <row r="529" ht="18" customHeight="1">
      <c r="A529" s="45" t="inlineStr">
        <is>
          <t>работник 523</t>
        </is>
      </c>
      <c r="B529" s="178" t="inlineStr">
        <is>
          <t>Фильтровальщик</t>
        </is>
      </c>
      <c r="C529" s="178" t="inlineStr"/>
      <c r="D529" s="179" t="n"/>
      <c r="E529" s="179" t="inlineStr">
        <is>
          <t>внутр</t>
        </is>
      </c>
      <c r="F529" s="179" t="n"/>
      <c r="G529" s="179" t="n"/>
      <c r="H529" s="179" t="n"/>
      <c r="I529" s="179" t="n"/>
      <c r="J529" s="179" t="n"/>
      <c r="K529" s="179" t="n"/>
      <c r="L529" s="179" t="n"/>
      <c r="M529" s="179" t="n"/>
      <c r="N529" s="179" t="n"/>
      <c r="O529" s="179" t="n"/>
      <c r="P529" s="179" t="n"/>
      <c r="Q529" s="179" t="inlineStr">
        <is>
          <t>внутр</t>
        </is>
      </c>
      <c r="R529" s="171" t="n"/>
      <c r="S529" s="171" t="n"/>
    </row>
    <row r="530" ht="18" customHeight="1">
      <c r="A530" s="45" t="inlineStr">
        <is>
          <t>работник 85</t>
        </is>
      </c>
      <c r="B530" s="178" t="inlineStr">
        <is>
          <t>Горнорабочий | Водитель автомобиля (категория С) | Водитель автомобиля (занятый на транспортировании горной массы в технологическом процессе)</t>
        </is>
      </c>
      <c r="C530" s="178" t="inlineStr"/>
      <c r="D530" s="179" t="n"/>
      <c r="E530" s="179" t="inlineStr">
        <is>
          <t>внутр</t>
        </is>
      </c>
      <c r="F530" s="179" t="n"/>
      <c r="G530" s="179" t="n"/>
      <c r="H530" s="179" t="n"/>
      <c r="I530" s="179" t="n"/>
      <c r="J530" s="179" t="n"/>
      <c r="K530" s="179" t="n"/>
      <c r="L530" s="179" t="n"/>
      <c r="M530" s="179" t="n"/>
      <c r="N530" s="179" t="n"/>
      <c r="O530" s="179" t="n"/>
      <c r="P530" s="179" t="inlineStr">
        <is>
          <t>внутр</t>
        </is>
      </c>
      <c r="Q530" s="179" t="inlineStr">
        <is>
          <t>внутр</t>
        </is>
      </c>
      <c r="R530" s="171" t="n"/>
      <c r="S530" s="171" t="n"/>
    </row>
    <row r="531" ht="18" customHeight="1">
      <c r="A531" s="45" t="inlineStr">
        <is>
          <t>работник 525</t>
        </is>
      </c>
      <c r="B531" s="178" t="inlineStr">
        <is>
          <t>Аппаратчик-гидрометаллург</t>
        </is>
      </c>
      <c r="C531" s="178" t="inlineStr"/>
      <c r="D531" s="179" t="n"/>
      <c r="E531" s="179" t="inlineStr">
        <is>
          <t>внутр</t>
        </is>
      </c>
      <c r="F531" s="179" t="n"/>
      <c r="G531" s="179" t="n"/>
      <c r="H531" s="179" t="n"/>
      <c r="I531" s="179" t="n"/>
      <c r="J531" s="179" t="n"/>
      <c r="K531" s="179" t="n"/>
      <c r="L531" s="179" t="n"/>
      <c r="M531" s="179" t="n"/>
      <c r="N531" s="179" t="n"/>
      <c r="O531" s="179" t="n"/>
      <c r="P531" s="179" t="n"/>
      <c r="Q531" s="179" t="inlineStr">
        <is>
          <t>внутр</t>
        </is>
      </c>
      <c r="R531" s="171" t="n"/>
      <c r="S531" s="171" t="n"/>
    </row>
    <row r="532" ht="18" customHeight="1">
      <c r="A532" s="45" t="inlineStr">
        <is>
          <t>работник 373</t>
        </is>
      </c>
      <c r="B532" s="178" t="inlineStr">
        <is>
          <t>Инженр хемического анариза</t>
        </is>
      </c>
      <c r="C532" s="178" t="inlineStr"/>
      <c r="D532" s="179" t="n"/>
      <c r="E532" s="179" t="inlineStr">
        <is>
          <t>внутр</t>
        </is>
      </c>
      <c r="F532" s="179" t="n"/>
      <c r="G532" s="179" t="n"/>
      <c r="H532" s="179" t="n"/>
      <c r="I532" s="179" t="n"/>
      <c r="J532" s="179" t="n"/>
      <c r="K532" s="179" t="n"/>
      <c r="L532" s="179" t="n"/>
      <c r="M532" s="179" t="n"/>
      <c r="N532" s="179" t="n"/>
      <c r="O532" s="179" t="n"/>
      <c r="P532" s="179" t="inlineStr">
        <is>
          <t>внутр</t>
        </is>
      </c>
      <c r="Q532" s="179" t="inlineStr">
        <is>
          <t>внутр</t>
        </is>
      </c>
      <c r="R532" s="171" t="n"/>
      <c r="S532" s="171" t="n"/>
    </row>
    <row r="533" ht="18" customHeight="1">
      <c r="A533" s="45" t="inlineStr">
        <is>
          <t>работник 853</t>
        </is>
      </c>
      <c r="B533" s="178" t="inlineStr">
        <is>
          <t>Машинист насосных установок</t>
        </is>
      </c>
      <c r="C533" s="178" t="inlineStr"/>
      <c r="D533" s="179" t="n"/>
      <c r="E533" s="179" t="inlineStr">
        <is>
          <t>внутр</t>
        </is>
      </c>
      <c r="F533" s="179" t="n"/>
      <c r="G533" s="179" t="n"/>
      <c r="H533" s="179" t="n"/>
      <c r="I533" s="179" t="n"/>
      <c r="J533" s="179" t="n"/>
      <c r="K533" s="179" t="n"/>
      <c r="L533" s="179" t="n"/>
      <c r="M533" s="179" t="n"/>
      <c r="N533" s="179" t="n"/>
      <c r="O533" s="179" t="n"/>
      <c r="P533" s="179" t="inlineStr">
        <is>
          <t>внутр</t>
        </is>
      </c>
      <c r="Q533" s="179" t="inlineStr">
        <is>
          <t>внутр</t>
        </is>
      </c>
      <c r="R533" s="171" t="n"/>
      <c r="S533" s="171" t="n"/>
    </row>
    <row r="534" ht="18" customHeight="1">
      <c r="A534" s="45" t="inlineStr">
        <is>
          <t>работник 537</t>
        </is>
      </c>
      <c r="B534" s="178" t="inlineStr">
        <is>
          <t>Фильтровальщик</t>
        </is>
      </c>
      <c r="C534" s="178" t="inlineStr"/>
      <c r="D534" s="179" t="n"/>
      <c r="E534" s="179" t="inlineStr">
        <is>
          <t>внутр</t>
        </is>
      </c>
      <c r="F534" s="179" t="n"/>
      <c r="G534" s="179" t="n"/>
      <c r="H534" s="179" t="n"/>
      <c r="I534" s="179" t="n"/>
      <c r="J534" s="179" t="n"/>
      <c r="K534" s="179" t="n"/>
      <c r="L534" s="179" t="n"/>
      <c r="M534" s="179" t="n"/>
      <c r="N534" s="179" t="n"/>
      <c r="O534" s="179" t="n"/>
      <c r="P534" s="179" t="n"/>
      <c r="Q534" s="179" t="inlineStr">
        <is>
          <t>внутр</t>
        </is>
      </c>
      <c r="R534" s="171" t="n"/>
      <c r="S534" s="171" t="n"/>
    </row>
    <row r="535" ht="18" customHeight="1">
      <c r="A535" s="45" t="inlineStr">
        <is>
          <t>работник 892</t>
        </is>
      </c>
      <c r="B535" s="178" t="inlineStr">
        <is>
          <t>Машинист погрузочно-доставочной машины (занятый на транспортировании горной массы в технологическом процессе)</t>
        </is>
      </c>
      <c r="C535" s="178" t="inlineStr"/>
      <c r="D535" s="179" t="n"/>
      <c r="E535" s="179" t="inlineStr">
        <is>
          <t>внутр</t>
        </is>
      </c>
      <c r="F535" s="179" t="n"/>
      <c r="G535" s="179" t="n"/>
      <c r="H535" s="179" t="n"/>
      <c r="I535" s="179" t="n"/>
      <c r="J535" s="179" t="n"/>
      <c r="K535" s="179" t="n"/>
      <c r="L535" s="179" t="n"/>
      <c r="M535" s="179" t="n"/>
      <c r="N535" s="179" t="n"/>
      <c r="O535" s="179" t="n"/>
      <c r="P535" s="179" t="inlineStr">
        <is>
          <t>внутр</t>
        </is>
      </c>
      <c r="Q535" s="179" t="inlineStr">
        <is>
          <t>внутр</t>
        </is>
      </c>
      <c r="R535" s="171" t="n"/>
      <c r="S535" s="171" t="n"/>
    </row>
    <row r="536" ht="18" customHeight="1">
      <c r="A536" s="45" t="inlineStr">
        <is>
          <t>работник 611</t>
        </is>
      </c>
      <c r="B536" s="178" t="inlineStr">
        <is>
          <t>Машинист двигателей внутреннего сгорания</t>
        </is>
      </c>
      <c r="C536" s="178" t="inlineStr"/>
      <c r="D536" s="179" t="n"/>
      <c r="E536" s="179" t="inlineStr">
        <is>
          <t>внутр</t>
        </is>
      </c>
      <c r="F536" s="179" t="n"/>
      <c r="G536" s="179" t="n"/>
      <c r="H536" s="179" t="n"/>
      <c r="I536" s="179" t="n"/>
      <c r="J536" s="179" t="n"/>
      <c r="K536" s="179" t="n"/>
      <c r="L536" s="179" t="n"/>
      <c r="M536" s="179" t="n"/>
      <c r="N536" s="179" t="n"/>
      <c r="O536" s="179" t="n"/>
      <c r="P536" s="179" t="n"/>
      <c r="Q536" s="179" t="inlineStr">
        <is>
          <t>внутр</t>
        </is>
      </c>
      <c r="R536" s="171" t="n"/>
      <c r="S536" s="171" t="n"/>
    </row>
    <row r="537" ht="18" customHeight="1">
      <c r="A537" s="45" t="inlineStr">
        <is>
          <t>работник 29</t>
        </is>
      </c>
      <c r="B537" s="178" t="inlineStr">
        <is>
          <t>Электрогазосварщик</t>
        </is>
      </c>
      <c r="C537" s="178" t="inlineStr"/>
      <c r="D537" s="179" t="n"/>
      <c r="E537" s="179" t="n"/>
      <c r="F537" s="179" t="inlineStr">
        <is>
          <t>внутр</t>
        </is>
      </c>
      <c r="G537" s="179" t="inlineStr">
        <is>
          <t>внутр</t>
        </is>
      </c>
      <c r="H537" s="179" t="inlineStr">
        <is>
          <t>внутр</t>
        </is>
      </c>
      <c r="I537" s="179" t="inlineStr">
        <is>
          <t>внутр</t>
        </is>
      </c>
      <c r="J537" s="179" t="inlineStr">
        <is>
          <t>внутр</t>
        </is>
      </c>
      <c r="K537" s="179" t="inlineStr">
        <is>
          <t>внутр</t>
        </is>
      </c>
      <c r="L537" s="179" t="n"/>
      <c r="M537" s="179" t="n"/>
      <c r="N537" s="179" t="n"/>
      <c r="O537" s="179" t="n"/>
      <c r="P537" s="179" t="n"/>
      <c r="Q537" s="179" t="n"/>
      <c r="R537" s="171" t="n"/>
      <c r="S537" s="171" t="n"/>
    </row>
    <row r="538" ht="18" customHeight="1">
      <c r="A538" s="45" t="inlineStr">
        <is>
          <t>работник 544</t>
        </is>
      </c>
      <c r="B538" s="178" t="inlineStr">
        <is>
          <t>Дробильщик</t>
        </is>
      </c>
      <c r="C538" s="178" t="inlineStr"/>
      <c r="D538" s="179" t="n"/>
      <c r="E538" s="179" t="inlineStr">
        <is>
          <t>внутр</t>
        </is>
      </c>
      <c r="F538" s="179" t="n"/>
      <c r="G538" s="179" t="n"/>
      <c r="H538" s="179" t="n"/>
      <c r="I538" s="179" t="n"/>
      <c r="J538" s="179" t="n"/>
      <c r="K538" s="179" t="n"/>
      <c r="L538" s="179" t="n"/>
      <c r="M538" s="179" t="n"/>
      <c r="N538" s="179" t="n"/>
      <c r="O538" s="179" t="n"/>
      <c r="P538" s="179" t="inlineStr">
        <is>
          <t>внутр</t>
        </is>
      </c>
      <c r="Q538" s="179" t="inlineStr">
        <is>
          <t>внутр</t>
        </is>
      </c>
      <c r="R538" s="171" t="n"/>
      <c r="S538" s="171" t="n"/>
    </row>
    <row r="539" ht="18" customHeight="1">
      <c r="A539" s="45" t="inlineStr">
        <is>
          <t>работник 810</t>
        </is>
      </c>
      <c r="B539" s="178" t="inlineStr">
        <is>
          <t>Раздатчик взрывчатых материалов (с исполнением обязанностей аппаратчика по изготовлению взрывчатых материалов)</t>
        </is>
      </c>
      <c r="C539" s="178" t="inlineStr"/>
      <c r="D539" s="179" t="n"/>
      <c r="E539" s="179" t="inlineStr">
        <is>
          <t>внутр</t>
        </is>
      </c>
      <c r="F539" s="179" t="n"/>
      <c r="G539" s="179" t="n"/>
      <c r="H539" s="179" t="n"/>
      <c r="I539" s="179" t="n"/>
      <c r="J539" s="179" t="n"/>
      <c r="K539" s="179" t="n"/>
      <c r="L539" s="179" t="n"/>
      <c r="M539" s="179" t="n"/>
      <c r="N539" s="179" t="n"/>
      <c r="O539" s="179" t="n"/>
      <c r="P539" s="179" t="n"/>
      <c r="Q539" s="179" t="inlineStr">
        <is>
          <t>внутр</t>
        </is>
      </c>
      <c r="R539" s="171" t="n"/>
      <c r="S539" s="171" t="n"/>
    </row>
    <row r="540" ht="18" customHeight="1">
      <c r="A540" s="45" t="inlineStr">
        <is>
          <t>работник 749</t>
        </is>
      </c>
      <c r="B540" s="178" t="inlineStr">
        <is>
          <t>Бункеровщик</t>
        </is>
      </c>
      <c r="C540" s="178" t="inlineStr"/>
      <c r="D540" s="179" t="n"/>
      <c r="E540" s="179" t="inlineStr">
        <is>
          <t>внутр</t>
        </is>
      </c>
      <c r="F540" s="179" t="inlineStr">
        <is>
          <t>внутр</t>
        </is>
      </c>
      <c r="G540" s="179" t="n"/>
      <c r="H540" s="179" t="inlineStr">
        <is>
          <t>внутр</t>
        </is>
      </c>
      <c r="I540" s="179" t="n"/>
      <c r="J540" s="179" t="n"/>
      <c r="K540" s="179" t="n"/>
      <c r="L540" s="179" t="n"/>
      <c r="M540" s="179" t="n"/>
      <c r="N540" s="179" t="n"/>
      <c r="O540" s="179" t="n"/>
      <c r="P540" s="179" t="inlineStr">
        <is>
          <t>внутр</t>
        </is>
      </c>
      <c r="Q540" s="179" t="inlineStr">
        <is>
          <t>внутр</t>
        </is>
      </c>
      <c r="R540" s="171" t="n"/>
      <c r="S540" s="171" t="n"/>
    </row>
    <row r="541" ht="18" customHeight="1">
      <c r="A541" s="45" t="inlineStr">
        <is>
          <t>работник 210</t>
        </is>
      </c>
      <c r="B541" s="178" t="inlineStr">
        <is>
          <t>Слесарь по ремонту автомобилей</t>
        </is>
      </c>
      <c r="C541" s="178" t="inlineStr"/>
      <c r="D541" s="179" t="n"/>
      <c r="E541" s="179" t="inlineStr">
        <is>
          <t>внутр</t>
        </is>
      </c>
      <c r="F541" s="179" t="n"/>
      <c r="G541" s="179" t="n"/>
      <c r="H541" s="179" t="n"/>
      <c r="I541" s="179" t="n"/>
      <c r="J541" s="179" t="n"/>
      <c r="K541" s="179" t="n"/>
      <c r="L541" s="179" t="n"/>
      <c r="M541" s="179" t="n"/>
      <c r="N541" s="179" t="n"/>
      <c r="O541" s="179" t="n"/>
      <c r="P541" s="179" t="inlineStr">
        <is>
          <t>внутр</t>
        </is>
      </c>
      <c r="Q541" s="179" t="inlineStr">
        <is>
          <t>внутр</t>
        </is>
      </c>
      <c r="R541" s="171" t="n"/>
      <c r="S541" s="171" t="n"/>
    </row>
    <row r="542" ht="18" customHeight="1">
      <c r="A542" s="45" t="inlineStr">
        <is>
          <t>работник 538</t>
        </is>
      </c>
      <c r="B542" s="178" t="inlineStr">
        <is>
          <t>Электромонтер по ремонту и обслуживанию электрооборудования</t>
        </is>
      </c>
      <c r="C542" s="178" t="inlineStr"/>
      <c r="D542" s="179" t="n"/>
      <c r="E542" s="179" t="inlineStr">
        <is>
          <t>внутр</t>
        </is>
      </c>
      <c r="F542" s="179" t="n"/>
      <c r="G542" s="179" t="n"/>
      <c r="H542" s="179" t="n"/>
      <c r="I542" s="179" t="n"/>
      <c r="J542" s="179" t="n"/>
      <c r="K542" s="179" t="n"/>
      <c r="L542" s="179" t="n"/>
      <c r="M542" s="179" t="n"/>
      <c r="N542" s="179" t="n"/>
      <c r="O542" s="179" t="n"/>
      <c r="P542" s="179" t="n"/>
      <c r="Q542" s="179" t="inlineStr">
        <is>
          <t>внутр</t>
        </is>
      </c>
      <c r="R542" s="171" t="n"/>
      <c r="S542" s="171" t="n"/>
    </row>
    <row r="543" ht="18" customHeight="1">
      <c r="A543" s="45" t="inlineStr">
        <is>
          <t>работник 677</t>
        </is>
      </c>
      <c r="B543" s="178" t="inlineStr">
        <is>
          <t>Фильтровальщик</t>
        </is>
      </c>
      <c r="C543" s="178" t="inlineStr"/>
      <c r="D543" s="179" t="n"/>
      <c r="E543" s="179" t="inlineStr">
        <is>
          <t>внутр</t>
        </is>
      </c>
      <c r="F543" s="179" t="n"/>
      <c r="G543" s="179" t="n"/>
      <c r="H543" s="179" t="n"/>
      <c r="I543" s="179" t="n"/>
      <c r="J543" s="179" t="n"/>
      <c r="K543" s="179" t="n"/>
      <c r="L543" s="179" t="n"/>
      <c r="M543" s="179" t="n"/>
      <c r="N543" s="179" t="n"/>
      <c r="O543" s="179" t="n"/>
      <c r="P543" s="179" t="n"/>
      <c r="Q543" s="179" t="inlineStr">
        <is>
          <t>внутр</t>
        </is>
      </c>
      <c r="R543" s="171" t="n"/>
      <c r="S543" s="171" t="n"/>
    </row>
    <row r="544" ht="18" customHeight="1">
      <c r="A544" s="45" t="inlineStr">
        <is>
          <t>работник 780</t>
        </is>
      </c>
      <c r="B544" s="178" t="inlineStr">
        <is>
          <t>Горный диспетчер</t>
        </is>
      </c>
      <c r="C544" s="178" t="inlineStr"/>
      <c r="D544" s="179" t="inlineStr">
        <is>
          <t>внутр</t>
        </is>
      </c>
      <c r="E544" s="179" t="inlineStr">
        <is>
          <t>внутр</t>
        </is>
      </c>
      <c r="F544" s="179" t="n"/>
      <c r="G544" s="179" t="n"/>
      <c r="H544" s="179" t="n"/>
      <c r="I544" s="179" t="n"/>
      <c r="J544" s="179" t="n"/>
      <c r="K544" s="179" t="n"/>
      <c r="L544" s="179" t="n"/>
      <c r="M544" s="179" t="n"/>
      <c r="N544" s="179" t="n"/>
      <c r="O544" s="179" t="n"/>
      <c r="P544" s="179" t="inlineStr">
        <is>
          <t>внутр</t>
        </is>
      </c>
      <c r="Q544" s="179" t="inlineStr">
        <is>
          <t>внутр</t>
        </is>
      </c>
      <c r="R544" s="171" t="n"/>
      <c r="S544" s="171" t="n"/>
    </row>
    <row r="545" ht="18" customHeight="1">
      <c r="A545" s="45" t="inlineStr">
        <is>
          <t>работник 617</t>
        </is>
      </c>
      <c r="B545" s="178" t="inlineStr">
        <is>
          <t>Фильтровальщик</t>
        </is>
      </c>
      <c r="C545" s="178" t="inlineStr"/>
      <c r="D545" s="179" t="n"/>
      <c r="E545" s="179" t="inlineStr">
        <is>
          <t>внутр</t>
        </is>
      </c>
      <c r="F545" s="179" t="inlineStr">
        <is>
          <t>внутр</t>
        </is>
      </c>
      <c r="G545" s="179" t="n"/>
      <c r="H545" s="179" t="inlineStr">
        <is>
          <t>внутр</t>
        </is>
      </c>
      <c r="I545" s="179" t="n"/>
      <c r="J545" s="179" t="n"/>
      <c r="K545" s="179" t="n"/>
      <c r="L545" s="179" t="n"/>
      <c r="M545" s="179" t="n"/>
      <c r="N545" s="179" t="n"/>
      <c r="O545" s="179" t="n"/>
      <c r="P545" s="179" t="inlineStr">
        <is>
          <t>внутр</t>
        </is>
      </c>
      <c r="Q545" s="179" t="inlineStr">
        <is>
          <t>внутр</t>
        </is>
      </c>
      <c r="R545" s="171" t="n"/>
      <c r="S545" s="171" t="n"/>
    </row>
    <row r="546" ht="18" customHeight="1">
      <c r="A546" s="45" t="inlineStr">
        <is>
          <t>работник 357</t>
        </is>
      </c>
      <c r="B546" s="178" t="inlineStr">
        <is>
          <t>Водитель автомобиля (занятый на транспортировании горной массы в технологическом процессе)</t>
        </is>
      </c>
      <c r="C546" s="178" t="inlineStr"/>
      <c r="D546" s="179" t="n"/>
      <c r="E546" s="179" t="inlineStr">
        <is>
          <t>внутр</t>
        </is>
      </c>
      <c r="F546" s="179" t="n"/>
      <c r="G546" s="179" t="n"/>
      <c r="H546" s="179" t="n"/>
      <c r="I546" s="179" t="n"/>
      <c r="J546" s="179" t="n"/>
      <c r="K546" s="179" t="n"/>
      <c r="L546" s="179" t="n"/>
      <c r="M546" s="179" t="n"/>
      <c r="N546" s="179" t="n"/>
      <c r="O546" s="179" t="n"/>
      <c r="P546" s="179" t="inlineStr">
        <is>
          <t>внутр</t>
        </is>
      </c>
      <c r="Q546" s="179" t="inlineStr">
        <is>
          <t>внутр</t>
        </is>
      </c>
      <c r="R546" s="171" t="n"/>
      <c r="S546" s="171" t="n"/>
    </row>
    <row r="547" ht="18" customHeight="1">
      <c r="A547" s="45" t="inlineStr">
        <is>
          <t>работник 842</t>
        </is>
      </c>
      <c r="B547" s="178" t="inlineStr">
        <is>
          <t>Машинист самоходной буровой установки</t>
        </is>
      </c>
      <c r="C547" s="178" t="inlineStr"/>
      <c r="D547" s="179" t="n"/>
      <c r="E547" s="179" t="inlineStr">
        <is>
          <t>внутр</t>
        </is>
      </c>
      <c r="F547" s="179" t="n"/>
      <c r="G547" s="179" t="n"/>
      <c r="H547" s="179" t="n"/>
      <c r="I547" s="179" t="n"/>
      <c r="J547" s="179" t="n"/>
      <c r="K547" s="179" t="n"/>
      <c r="L547" s="179" t="n"/>
      <c r="M547" s="179" t="n"/>
      <c r="N547" s="179" t="n"/>
      <c r="O547" s="179" t="n"/>
      <c r="P547" s="179" t="inlineStr">
        <is>
          <t>внутр</t>
        </is>
      </c>
      <c r="Q547" s="179" t="inlineStr">
        <is>
          <t>внутр</t>
        </is>
      </c>
      <c r="R547" s="171" t="n"/>
      <c r="S547" s="171" t="n"/>
    </row>
    <row r="548" ht="18" customHeight="1">
      <c r="A548" s="45" t="inlineStr">
        <is>
          <t>работник 164</t>
        </is>
      </c>
      <c r="B548" s="178" t="inlineStr">
        <is>
          <t>Машинист самоходной буровой установки | Машинист  самоходной буровой установки (Проходка)</t>
        </is>
      </c>
      <c r="C548" s="178" t="inlineStr"/>
      <c r="D548" s="179" t="n"/>
      <c r="E548" s="179" t="inlineStr">
        <is>
          <t>внутр</t>
        </is>
      </c>
      <c r="F548" s="179" t="n"/>
      <c r="G548" s="179" t="n"/>
      <c r="H548" s="179" t="n"/>
      <c r="I548" s="179" t="n"/>
      <c r="J548" s="179" t="n"/>
      <c r="K548" s="179" t="n"/>
      <c r="L548" s="179" t="n"/>
      <c r="M548" s="179" t="n"/>
      <c r="N548" s="179" t="n"/>
      <c r="O548" s="179" t="n"/>
      <c r="P548" s="179" t="inlineStr">
        <is>
          <t>внутр</t>
        </is>
      </c>
      <c r="Q548" s="179" t="inlineStr">
        <is>
          <t>внутр</t>
        </is>
      </c>
      <c r="R548" s="171" t="n"/>
      <c r="S548" s="171" t="n"/>
    </row>
    <row r="549" ht="18" customHeight="1">
      <c r="A549" s="45" t="inlineStr">
        <is>
          <t>работник 514</t>
        </is>
      </c>
      <c r="B549" s="178" t="inlineStr">
        <is>
          <t>Горнорабочиий на маркшейдерских работах</t>
        </is>
      </c>
      <c r="C549" s="178" t="inlineStr"/>
      <c r="D549" s="179" t="n"/>
      <c r="E549" s="179" t="inlineStr">
        <is>
          <t>внутр</t>
        </is>
      </c>
      <c r="F549" s="179" t="n"/>
      <c r="G549" s="179" t="n"/>
      <c r="H549" s="179" t="n"/>
      <c r="I549" s="179" t="n"/>
      <c r="J549" s="179" t="n"/>
      <c r="K549" s="179" t="n"/>
      <c r="L549" s="179" t="n"/>
      <c r="M549" s="179" t="n"/>
      <c r="N549" s="179" t="n"/>
      <c r="O549" s="179" t="n"/>
      <c r="P549" s="179" t="n"/>
      <c r="Q549" s="179" t="inlineStr">
        <is>
          <t>внутр</t>
        </is>
      </c>
      <c r="R549" s="171" t="n"/>
      <c r="S549" s="171" t="n"/>
    </row>
    <row r="550" ht="18" customHeight="1">
      <c r="A550" s="45" t="inlineStr">
        <is>
          <t>работник 98</t>
        </is>
      </c>
      <c r="B550" s="178" t="inlineStr">
        <is>
          <t>Кухонный рабочий</t>
        </is>
      </c>
      <c r="C550" s="178" t="inlineStr"/>
      <c r="D550" s="179" t="n"/>
      <c r="E550" s="179" t="inlineStr">
        <is>
          <t>внутр</t>
        </is>
      </c>
      <c r="F550" s="179" t="n"/>
      <c r="G550" s="179" t="n"/>
      <c r="H550" s="179" t="n"/>
      <c r="I550" s="179" t="n"/>
      <c r="J550" s="179" t="n"/>
      <c r="K550" s="179" t="n"/>
      <c r="L550" s="179" t="n"/>
      <c r="M550" s="179" t="n"/>
      <c r="N550" s="179" t="n"/>
      <c r="O550" s="179" t="n"/>
      <c r="P550" s="179" t="inlineStr">
        <is>
          <t>внутр</t>
        </is>
      </c>
      <c r="Q550" s="179" t="inlineStr">
        <is>
          <t>внутр</t>
        </is>
      </c>
      <c r="R550" s="171" t="n"/>
      <c r="S550" s="171" t="n"/>
    </row>
    <row r="551" ht="18" customHeight="1">
      <c r="A551" s="45" t="inlineStr">
        <is>
          <t>работник 594</t>
        </is>
      </c>
      <c r="B551" s="178" t="inlineStr">
        <is>
          <t>Машинист насосных установок | Помощник машиниста самоходной буровой установки (с исполнением обязанностей пробоотборщика)</t>
        </is>
      </c>
      <c r="C551" s="178" t="inlineStr"/>
      <c r="D551" s="179" t="n"/>
      <c r="E551" s="179" t="inlineStr">
        <is>
          <t>внутр</t>
        </is>
      </c>
      <c r="F551" s="179" t="n"/>
      <c r="G551" s="179" t="n"/>
      <c r="H551" s="179" t="n"/>
      <c r="I551" s="179" t="n"/>
      <c r="J551" s="179" t="n"/>
      <c r="K551" s="179" t="n"/>
      <c r="L551" s="179" t="n"/>
      <c r="M551" s="179" t="n"/>
      <c r="N551" s="179" t="n"/>
      <c r="O551" s="179" t="n"/>
      <c r="P551" s="179" t="inlineStr">
        <is>
          <t>внутр</t>
        </is>
      </c>
      <c r="Q551" s="179" t="inlineStr">
        <is>
          <t>внутр</t>
        </is>
      </c>
      <c r="R551" s="171" t="n"/>
      <c r="S551" s="171" t="n"/>
    </row>
    <row r="552" ht="18" customHeight="1">
      <c r="A552" s="45" t="inlineStr">
        <is>
          <t>работник 204</t>
        </is>
      </c>
      <c r="B552" s="178" t="inlineStr">
        <is>
          <t>Машинист бульдозера</t>
        </is>
      </c>
      <c r="C552" s="178" t="inlineStr"/>
      <c r="D552" s="179" t="n"/>
      <c r="E552" s="179" t="inlineStr">
        <is>
          <t>внутр</t>
        </is>
      </c>
      <c r="F552" s="179" t="n"/>
      <c r="G552" s="179" t="n"/>
      <c r="H552" s="179" t="n"/>
      <c r="I552" s="179" t="n"/>
      <c r="J552" s="179" t="n"/>
      <c r="K552" s="179" t="n"/>
      <c r="L552" s="179" t="n"/>
      <c r="M552" s="179" t="n"/>
      <c r="N552" s="179" t="n"/>
      <c r="O552" s="179" t="n"/>
      <c r="P552" s="179" t="inlineStr">
        <is>
          <t>внутр</t>
        </is>
      </c>
      <c r="Q552" s="179" t="inlineStr">
        <is>
          <t>внутр</t>
        </is>
      </c>
      <c r="R552" s="171" t="n"/>
      <c r="S552" s="171" t="n"/>
    </row>
    <row r="553" ht="18" customHeight="1">
      <c r="A553" s="45" t="inlineStr">
        <is>
          <t>работник 895</t>
        </is>
      </c>
      <c r="B553" s="178" t="inlineStr">
        <is>
          <t>Электрослесарь (слесарь) дежурный и по ремонту оборудования подземного горного участка</t>
        </is>
      </c>
      <c r="C553" s="178" t="inlineStr"/>
      <c r="D553" s="179" t="n"/>
      <c r="E553" s="179" t="inlineStr">
        <is>
          <t>внутр</t>
        </is>
      </c>
      <c r="F553" s="179" t="n"/>
      <c r="G553" s="179" t="n"/>
      <c r="H553" s="179" t="n"/>
      <c r="I553" s="179" t="n"/>
      <c r="J553" s="179" t="n"/>
      <c r="K553" s="179" t="n"/>
      <c r="L553" s="179" t="n"/>
      <c r="M553" s="179" t="n"/>
      <c r="N553" s="179" t="n"/>
      <c r="O553" s="179" t="n"/>
      <c r="P553" s="179" t="inlineStr">
        <is>
          <t>внутр</t>
        </is>
      </c>
      <c r="Q553" s="179" t="inlineStr">
        <is>
          <t>внутр</t>
        </is>
      </c>
      <c r="R553" s="171" t="n"/>
      <c r="S553" s="171" t="n"/>
    </row>
    <row r="554" ht="18" customHeight="1">
      <c r="A554" s="45" t="inlineStr">
        <is>
          <t>работник 478</t>
        </is>
      </c>
      <c r="B554" s="178" t="inlineStr">
        <is>
          <t>Весовщик</t>
        </is>
      </c>
      <c r="C554" s="178" t="inlineStr"/>
      <c r="D554" s="179" t="n"/>
      <c r="E554" s="179" t="inlineStr">
        <is>
          <t>внутр</t>
        </is>
      </c>
      <c r="F554" s="179" t="n"/>
      <c r="G554" s="179" t="n"/>
      <c r="H554" s="179" t="n"/>
      <c r="I554" s="179" t="n"/>
      <c r="J554" s="179" t="n"/>
      <c r="K554" s="179" t="n"/>
      <c r="L554" s="179" t="n"/>
      <c r="M554" s="179" t="n"/>
      <c r="N554" s="179" t="n"/>
      <c r="O554" s="179" t="n"/>
      <c r="P554" s="179" t="n"/>
      <c r="Q554" s="179" t="inlineStr">
        <is>
          <t>внутр</t>
        </is>
      </c>
      <c r="R554" s="171" t="n"/>
      <c r="S554" s="171" t="n"/>
    </row>
    <row r="555" ht="18" customHeight="1">
      <c r="A555" s="45" t="inlineStr">
        <is>
          <t>работник 632</t>
        </is>
      </c>
      <c r="B555" s="178" t="inlineStr">
        <is>
          <t>Горный диспетчер</t>
        </is>
      </c>
      <c r="C555" s="178" t="inlineStr"/>
      <c r="D555" s="179" t="n"/>
      <c r="E555" s="179" t="inlineStr">
        <is>
          <t>внутр</t>
        </is>
      </c>
      <c r="F555" s="179" t="n"/>
      <c r="G555" s="179" t="n"/>
      <c r="H555" s="179" t="n"/>
      <c r="I555" s="179" t="n"/>
      <c r="J555" s="179" t="n"/>
      <c r="K555" s="179" t="n"/>
      <c r="L555" s="179" t="n"/>
      <c r="M555" s="179" t="n"/>
      <c r="N555" s="179" t="n"/>
      <c r="O555" s="179" t="n"/>
      <c r="P555" s="179" t="n"/>
      <c r="Q555" s="179" t="inlineStr">
        <is>
          <t>внутр</t>
        </is>
      </c>
      <c r="R555" s="171" t="n"/>
      <c r="S555" s="171" t="n"/>
    </row>
    <row r="556" ht="18" customHeight="1">
      <c r="A556" s="45" t="inlineStr">
        <is>
          <t>работник 418</t>
        </is>
      </c>
      <c r="B556" s="178" t="inlineStr">
        <is>
          <t>Машинист ТГМ</t>
        </is>
      </c>
      <c r="C556" s="178" t="inlineStr"/>
      <c r="D556" s="179" t="n"/>
      <c r="E556" s="179" t="inlineStr">
        <is>
          <t>внутр</t>
        </is>
      </c>
      <c r="F556" s="179" t="n"/>
      <c r="G556" s="179" t="n"/>
      <c r="H556" s="179" t="n"/>
      <c r="I556" s="179" t="n"/>
      <c r="J556" s="179" t="n"/>
      <c r="K556" s="179" t="n"/>
      <c r="L556" s="179" t="n"/>
      <c r="M556" s="179" t="n"/>
      <c r="N556" s="179" t="n"/>
      <c r="O556" s="179" t="n"/>
      <c r="P556" s="179" t="n"/>
      <c r="Q556" s="179" t="inlineStr">
        <is>
          <t>внутр</t>
        </is>
      </c>
      <c r="R556" s="171" t="n"/>
      <c r="S556" s="171" t="n"/>
    </row>
    <row r="557" ht="18" customHeight="1">
      <c r="A557" s="45" t="inlineStr">
        <is>
          <t>работник 727</t>
        </is>
      </c>
      <c r="B557" s="178" t="inlineStr">
        <is>
          <t>Машинист бульдозера</t>
        </is>
      </c>
      <c r="C557" s="178" t="inlineStr"/>
      <c r="D557" s="179" t="n"/>
      <c r="E557" s="179" t="inlineStr">
        <is>
          <t>внутр</t>
        </is>
      </c>
      <c r="F557" s="179" t="n"/>
      <c r="G557" s="179" t="n"/>
      <c r="H557" s="179" t="n"/>
      <c r="I557" s="179" t="n"/>
      <c r="J557" s="179" t="n"/>
      <c r="K557" s="179" t="n"/>
      <c r="L557" s="179" t="n"/>
      <c r="M557" s="179" t="n"/>
      <c r="N557" s="179" t="n"/>
      <c r="O557" s="179" t="n"/>
      <c r="P557" s="179" t="n"/>
      <c r="Q557" s="179" t="inlineStr">
        <is>
          <t>внутр</t>
        </is>
      </c>
      <c r="R557" s="171" t="n"/>
      <c r="S557" s="171" t="n"/>
    </row>
    <row r="558" ht="18" customHeight="1">
      <c r="A558" s="45" t="inlineStr">
        <is>
          <t>работник 447</t>
        </is>
      </c>
      <c r="B558" s="178" t="inlineStr">
        <is>
          <t>Фильтровальщик</t>
        </is>
      </c>
      <c r="C558" s="178" t="inlineStr"/>
      <c r="D558" s="179" t="n"/>
      <c r="E558" s="179" t="inlineStr">
        <is>
          <t>внутр</t>
        </is>
      </c>
      <c r="F558" s="179" t="n"/>
      <c r="G558" s="179" t="n"/>
      <c r="H558" s="179" t="n"/>
      <c r="I558" s="179" t="n"/>
      <c r="J558" s="179" t="n"/>
      <c r="K558" s="179" t="n"/>
      <c r="L558" s="179" t="n"/>
      <c r="M558" s="179" t="n"/>
      <c r="N558" s="179" t="n"/>
      <c r="O558" s="179" t="n"/>
      <c r="P558" s="179" t="n"/>
      <c r="Q558" s="179" t="inlineStr">
        <is>
          <t>внутр</t>
        </is>
      </c>
      <c r="R558" s="171" t="n"/>
      <c r="S558" s="171" t="n"/>
    </row>
    <row r="559" ht="18" customHeight="1">
      <c r="A559" s="45" t="inlineStr">
        <is>
          <t>работник 753</t>
        </is>
      </c>
      <c r="B559" s="178" t="inlineStr">
        <is>
          <t>Фильтровальщик</t>
        </is>
      </c>
      <c r="C559" s="178" t="inlineStr"/>
      <c r="D559" s="179" t="n"/>
      <c r="E559" s="179" t="inlineStr">
        <is>
          <t>внутр</t>
        </is>
      </c>
      <c r="F559" s="179" t="inlineStr">
        <is>
          <t>внутр</t>
        </is>
      </c>
      <c r="G559" s="179" t="n"/>
      <c r="H559" s="179" t="inlineStr">
        <is>
          <t>внутр</t>
        </is>
      </c>
      <c r="I559" s="179" t="n"/>
      <c r="J559" s="179" t="n"/>
      <c r="K559" s="179" t="n"/>
      <c r="L559" s="179" t="n"/>
      <c r="M559" s="179" t="n"/>
      <c r="N559" s="179" t="n"/>
      <c r="O559" s="179" t="n"/>
      <c r="P559" s="179" t="inlineStr">
        <is>
          <t>внутр</t>
        </is>
      </c>
      <c r="Q559" s="179" t="inlineStr">
        <is>
          <t>внутр</t>
        </is>
      </c>
      <c r="R559" s="171" t="n"/>
      <c r="S559" s="171" t="n"/>
    </row>
    <row r="560" ht="18" customHeight="1">
      <c r="A560" s="45" t="inlineStr">
        <is>
          <t>работник 259</t>
        </is>
      </c>
      <c r="B560" s="178" t="inlineStr">
        <is>
          <t>Подсобный рабочий</t>
        </is>
      </c>
      <c r="C560" s="178" t="inlineStr"/>
      <c r="D560" s="179" t="n"/>
      <c r="E560" s="179" t="inlineStr">
        <is>
          <t>внутр</t>
        </is>
      </c>
      <c r="F560" s="179" t="n"/>
      <c r="G560" s="179" t="n"/>
      <c r="H560" s="179" t="n"/>
      <c r="I560" s="179" t="n"/>
      <c r="J560" s="179" t="n"/>
      <c r="K560" s="179" t="n"/>
      <c r="L560" s="179" t="n"/>
      <c r="M560" s="179" t="n"/>
      <c r="N560" s="179" t="n"/>
      <c r="O560" s="179" t="n"/>
      <c r="P560" s="179" t="inlineStr">
        <is>
          <t>внутр</t>
        </is>
      </c>
      <c r="Q560" s="179" t="inlineStr">
        <is>
          <t>внутр</t>
        </is>
      </c>
      <c r="R560" s="171" t="n"/>
      <c r="S560" s="171" t="n"/>
    </row>
    <row r="561" ht="18" customHeight="1">
      <c r="A561" s="45" t="inlineStr">
        <is>
          <t>работник 474</t>
        </is>
      </c>
      <c r="B561" s="178" t="inlineStr">
        <is>
          <t>Контролер</t>
        </is>
      </c>
      <c r="C561" s="178" t="inlineStr"/>
      <c r="D561" s="179" t="n"/>
      <c r="E561" s="179" t="inlineStr">
        <is>
          <t>внутр</t>
        </is>
      </c>
      <c r="F561" s="179" t="n"/>
      <c r="G561" s="179" t="n"/>
      <c r="H561" s="179" t="n"/>
      <c r="I561" s="179" t="n"/>
      <c r="J561" s="179" t="n"/>
      <c r="K561" s="179" t="n"/>
      <c r="L561" s="179" t="n"/>
      <c r="M561" s="179" t="n"/>
      <c r="N561" s="179" t="n"/>
      <c r="O561" s="179" t="n"/>
      <c r="P561" s="179" t="n"/>
      <c r="Q561" s="179" t="inlineStr">
        <is>
          <t>внутр</t>
        </is>
      </c>
      <c r="R561" s="171" t="n"/>
      <c r="S561" s="171" t="n"/>
    </row>
    <row r="562" ht="18" customHeight="1">
      <c r="A562" s="45" t="inlineStr">
        <is>
          <t>работник 745</t>
        </is>
      </c>
      <c r="B562" s="178" t="inlineStr">
        <is>
          <t>Водитель автомобиля (категория С)</t>
        </is>
      </c>
      <c r="C562" s="178" t="inlineStr"/>
      <c r="D562" s="179" t="n"/>
      <c r="E562" s="179" t="inlineStr">
        <is>
          <t>внутр</t>
        </is>
      </c>
      <c r="F562" s="179" t="n"/>
      <c r="G562" s="179" t="n"/>
      <c r="H562" s="179" t="n"/>
      <c r="I562" s="179" t="n"/>
      <c r="J562" s="179" t="n"/>
      <c r="K562" s="179" t="n"/>
      <c r="L562" s="179" t="n"/>
      <c r="M562" s="179" t="n"/>
      <c r="N562" s="179" t="n"/>
      <c r="O562" s="179" t="n"/>
      <c r="P562" s="179" t="n"/>
      <c r="Q562" s="179" t="inlineStr">
        <is>
          <t>внутр</t>
        </is>
      </c>
      <c r="R562" s="171" t="n"/>
      <c r="S562" s="171" t="n"/>
    </row>
    <row r="563" ht="18" customHeight="1">
      <c r="A563" s="45" t="inlineStr">
        <is>
          <t>работник 372</t>
        </is>
      </c>
      <c r="B563" s="178" t="inlineStr">
        <is>
          <t>Токарь (с исполнением   фрезеровщика)</t>
        </is>
      </c>
      <c r="C563" s="178" t="inlineStr"/>
      <c r="D563" s="179" t="n"/>
      <c r="E563" s="179" t="inlineStr">
        <is>
          <t>внутр</t>
        </is>
      </c>
      <c r="F563" s="179" t="n"/>
      <c r="G563" s="179" t="n"/>
      <c r="H563" s="179" t="n"/>
      <c r="I563" s="179" t="n"/>
      <c r="J563" s="179" t="n"/>
      <c r="K563" s="179" t="n"/>
      <c r="L563" s="179" t="n"/>
      <c r="M563" s="179" t="n"/>
      <c r="N563" s="179" t="n"/>
      <c r="O563" s="179" t="n"/>
      <c r="P563" s="179" t="inlineStr">
        <is>
          <t>внутр</t>
        </is>
      </c>
      <c r="Q563" s="179" t="inlineStr">
        <is>
          <t>внутр</t>
        </is>
      </c>
      <c r="R563" s="171" t="n"/>
      <c r="S563" s="171" t="n"/>
    </row>
    <row r="564" ht="18" customHeight="1">
      <c r="A564" s="45" t="inlineStr">
        <is>
          <t>работник 622</t>
        </is>
      </c>
      <c r="B564" s="178" t="inlineStr">
        <is>
          <t>Повар</t>
        </is>
      </c>
      <c r="C564" s="178" t="inlineStr"/>
      <c r="D564" s="179" t="n"/>
      <c r="E564" s="179" t="inlineStr">
        <is>
          <t>внутр</t>
        </is>
      </c>
      <c r="F564" s="179" t="n"/>
      <c r="G564" s="179" t="n"/>
      <c r="H564" s="179" t="n"/>
      <c r="I564" s="179" t="n"/>
      <c r="J564" s="179" t="n"/>
      <c r="K564" s="179" t="n"/>
      <c r="L564" s="179" t="n"/>
      <c r="M564" s="179" t="n"/>
      <c r="N564" s="179" t="n"/>
      <c r="O564" s="179" t="n"/>
      <c r="P564" s="179" t="n"/>
      <c r="Q564" s="179" t="inlineStr">
        <is>
          <t>внутр</t>
        </is>
      </c>
      <c r="R564" s="171" t="n"/>
      <c r="S564" s="171" t="n"/>
    </row>
    <row r="565" ht="18" customHeight="1">
      <c r="A565" s="45" t="inlineStr">
        <is>
          <t>работник 141</t>
        </is>
      </c>
      <c r="B565" s="178" t="inlineStr">
        <is>
          <t>Машинист (кочегар) котельной</t>
        </is>
      </c>
      <c r="C565" s="178" t="inlineStr"/>
      <c r="D565" s="179" t="n"/>
      <c r="E565" s="179" t="inlineStr">
        <is>
          <t>внутр</t>
        </is>
      </c>
      <c r="F565" s="179" t="n"/>
      <c r="G565" s="179" t="n"/>
      <c r="H565" s="179" t="n"/>
      <c r="I565" s="179" t="n"/>
      <c r="J565" s="179" t="n"/>
      <c r="K565" s="179" t="n"/>
      <c r="L565" s="179" t="n"/>
      <c r="M565" s="179" t="n"/>
      <c r="N565" s="179" t="n"/>
      <c r="O565" s="179" t="n"/>
      <c r="P565" s="179" t="inlineStr">
        <is>
          <t>внутр</t>
        </is>
      </c>
      <c r="Q565" s="179" t="inlineStr">
        <is>
          <t>внутр</t>
        </is>
      </c>
      <c r="R565" s="171" t="n"/>
      <c r="S565" s="171" t="n"/>
    </row>
    <row r="566" ht="18" customHeight="1">
      <c r="A566" s="45" t="inlineStr">
        <is>
          <t>работник 909</t>
        </is>
      </c>
      <c r="B566" s="178" t="inlineStr">
        <is>
          <t>Кухонный рабочий</t>
        </is>
      </c>
      <c r="C566" s="178" t="inlineStr"/>
      <c r="D566" s="179" t="n"/>
      <c r="E566" s="179" t="inlineStr">
        <is>
          <t>внутр</t>
        </is>
      </c>
      <c r="F566" s="179" t="n"/>
      <c r="G566" s="179" t="n"/>
      <c r="H566" s="179" t="n"/>
      <c r="I566" s="179" t="n"/>
      <c r="J566" s="179" t="n"/>
      <c r="K566" s="179" t="n"/>
      <c r="L566" s="179" t="n"/>
      <c r="M566" s="179" t="n"/>
      <c r="N566" s="179" t="n"/>
      <c r="O566" s="179" t="n"/>
      <c r="P566" s="179" t="inlineStr">
        <is>
          <t>внутр</t>
        </is>
      </c>
      <c r="Q566" s="179" t="inlineStr">
        <is>
          <t>внутр</t>
        </is>
      </c>
      <c r="R566" s="171" t="n"/>
      <c r="S566" s="171" t="n"/>
    </row>
    <row r="567" ht="18" customHeight="1">
      <c r="A567" s="45" t="inlineStr">
        <is>
          <t>работник 461</t>
        </is>
      </c>
      <c r="B567" s="178" t="inlineStr">
        <is>
          <t>Электромонтер по ремонту и обслуживанию электрооборудования</t>
        </is>
      </c>
      <c r="C567" s="178" t="inlineStr"/>
      <c r="D567" s="179" t="n"/>
      <c r="E567" s="179" t="inlineStr">
        <is>
          <t>внутр</t>
        </is>
      </c>
      <c r="F567" s="179" t="n"/>
      <c r="G567" s="179" t="n"/>
      <c r="H567" s="179" t="n"/>
      <c r="I567" s="179" t="n"/>
      <c r="J567" s="179" t="n"/>
      <c r="K567" s="179" t="n"/>
      <c r="L567" s="179" t="n"/>
      <c r="M567" s="179" t="n"/>
      <c r="N567" s="179" t="n"/>
      <c r="O567" s="179" t="n"/>
      <c r="P567" s="179" t="n"/>
      <c r="Q567" s="179" t="inlineStr">
        <is>
          <t>внутр</t>
        </is>
      </c>
      <c r="R567" s="171" t="n"/>
      <c r="S567" s="171" t="n"/>
    </row>
    <row r="568" ht="18" customHeight="1">
      <c r="A568" s="45" t="inlineStr">
        <is>
          <t>работник 191</t>
        </is>
      </c>
      <c r="B568" s="178" t="inlineStr">
        <is>
          <t>Машинист катка | Водитель погрузчика</t>
        </is>
      </c>
      <c r="C568" s="178" t="inlineStr"/>
      <c r="D568" s="179" t="n"/>
      <c r="E568" s="179" t="inlineStr">
        <is>
          <t>внутр</t>
        </is>
      </c>
      <c r="F568" s="179" t="n"/>
      <c r="G568" s="179" t="n"/>
      <c r="H568" s="179" t="n"/>
      <c r="I568" s="179" t="n"/>
      <c r="J568" s="179" t="n"/>
      <c r="K568" s="179" t="n"/>
      <c r="L568" s="179" t="n"/>
      <c r="M568" s="179" t="n"/>
      <c r="N568" s="179" t="n"/>
      <c r="O568" s="179" t="n"/>
      <c r="P568" s="179" t="inlineStr">
        <is>
          <t>внутр</t>
        </is>
      </c>
      <c r="Q568" s="179" t="inlineStr">
        <is>
          <t>внутр</t>
        </is>
      </c>
      <c r="R568" s="171" t="n"/>
      <c r="S568" s="171" t="n"/>
    </row>
    <row r="569" ht="18" customHeight="1">
      <c r="A569" s="45" t="inlineStr">
        <is>
          <t>работник 835</t>
        </is>
      </c>
      <c r="B569" s="178" t="inlineStr">
        <is>
          <t>подсобный рабочий</t>
        </is>
      </c>
      <c r="C569" s="178" t="inlineStr"/>
      <c r="D569" s="179" t="n"/>
      <c r="E569" s="179" t="inlineStr">
        <is>
          <t>внутр</t>
        </is>
      </c>
      <c r="F569" s="179" t="n"/>
      <c r="G569" s="179" t="n"/>
      <c r="H569" s="179" t="n"/>
      <c r="I569" s="179" t="n"/>
      <c r="J569" s="179" t="n"/>
      <c r="K569" s="179" t="n"/>
      <c r="L569" s="179" t="n"/>
      <c r="M569" s="179" t="n"/>
      <c r="N569" s="179" t="n"/>
      <c r="O569" s="179" t="n"/>
      <c r="P569" s="179" t="inlineStr">
        <is>
          <t>внутр</t>
        </is>
      </c>
      <c r="Q569" s="179" t="inlineStr">
        <is>
          <t>внутр</t>
        </is>
      </c>
      <c r="R569" s="171" t="n"/>
      <c r="S569" s="171" t="n"/>
    </row>
    <row r="570" ht="18" customHeight="1">
      <c r="A570" s="45" t="inlineStr">
        <is>
          <t>работник 861</t>
        </is>
      </c>
      <c r="B570" s="178" t="inlineStr">
        <is>
          <t>Уборщик производственных и служебных помещений</t>
        </is>
      </c>
      <c r="C570" s="178" t="inlineStr"/>
      <c r="D570" s="179" t="n"/>
      <c r="E570" s="179" t="inlineStr">
        <is>
          <t>внутр</t>
        </is>
      </c>
      <c r="F570" s="179" t="n"/>
      <c r="G570" s="179" t="n"/>
      <c r="H570" s="179" t="n"/>
      <c r="I570" s="179" t="n"/>
      <c r="J570" s="179" t="n"/>
      <c r="K570" s="179" t="n"/>
      <c r="L570" s="179" t="n"/>
      <c r="M570" s="179" t="n"/>
      <c r="N570" s="179" t="n"/>
      <c r="O570" s="179" t="n"/>
      <c r="P570" s="179" t="inlineStr">
        <is>
          <t>внутр</t>
        </is>
      </c>
      <c r="Q570" s="179" t="inlineStr">
        <is>
          <t>внутр</t>
        </is>
      </c>
      <c r="R570" s="171" t="n"/>
      <c r="S570" s="171" t="n"/>
    </row>
    <row r="571" ht="18" customHeight="1">
      <c r="A571" s="45" t="inlineStr">
        <is>
          <t>работник 864</t>
        </is>
      </c>
      <c r="B571" s="178" t="inlineStr">
        <is>
          <t>Подсобный рабочий</t>
        </is>
      </c>
      <c r="C571" s="178" t="inlineStr"/>
      <c r="D571" s="179" t="n"/>
      <c r="E571" s="179" t="inlineStr">
        <is>
          <t>внутр</t>
        </is>
      </c>
      <c r="F571" s="179" t="n"/>
      <c r="G571" s="179" t="n"/>
      <c r="H571" s="179" t="n"/>
      <c r="I571" s="179" t="n"/>
      <c r="J571" s="179" t="n"/>
      <c r="K571" s="179" t="n"/>
      <c r="L571" s="179" t="n"/>
      <c r="M571" s="179" t="n"/>
      <c r="N571" s="179" t="n"/>
      <c r="O571" s="179" t="n"/>
      <c r="P571" s="179" t="inlineStr">
        <is>
          <t>внутр</t>
        </is>
      </c>
      <c r="Q571" s="179" t="inlineStr">
        <is>
          <t>внутр</t>
        </is>
      </c>
      <c r="R571" s="171" t="n"/>
      <c r="S571" s="171" t="n"/>
    </row>
    <row r="572" ht="18" customHeight="1">
      <c r="A572" s="45" t="inlineStr">
        <is>
          <t>работник 800</t>
        </is>
      </c>
      <c r="B572" s="178" t="inlineStr">
        <is>
          <t>Слесарь по ремонту автомобилей (ДВС)</t>
        </is>
      </c>
      <c r="C572" s="178" t="inlineStr"/>
      <c r="D572" s="179" t="n"/>
      <c r="E572" s="179" t="inlineStr">
        <is>
          <t>внутр</t>
        </is>
      </c>
      <c r="F572" s="179" t="n"/>
      <c r="G572" s="179" t="n"/>
      <c r="H572" s="179" t="n"/>
      <c r="I572" s="179" t="n"/>
      <c r="J572" s="179" t="n"/>
      <c r="K572" s="179" t="n"/>
      <c r="L572" s="179" t="n"/>
      <c r="M572" s="179" t="n"/>
      <c r="N572" s="179" t="n"/>
      <c r="O572" s="179" t="n"/>
      <c r="P572" s="179" t="n"/>
      <c r="Q572" s="179" t="inlineStr">
        <is>
          <t>внутр</t>
        </is>
      </c>
      <c r="R572" s="171" t="n"/>
      <c r="S572" s="171" t="n"/>
    </row>
    <row r="573" ht="18" customHeight="1">
      <c r="A573" s="45" t="inlineStr">
        <is>
          <t>работник 9</t>
        </is>
      </c>
      <c r="B573" s="178" t="inlineStr">
        <is>
          <t>Заместитель начальника золотоизвлекательной фабрики</t>
        </is>
      </c>
      <c r="C573" s="178" t="inlineStr">
        <is>
          <t>Руководитель</t>
        </is>
      </c>
      <c r="D573" s="179" t="inlineStr">
        <is>
          <t>внеш</t>
        </is>
      </c>
      <c r="E573" s="179" t="inlineStr">
        <is>
          <t>внеш</t>
        </is>
      </c>
      <c r="F573" s="179" t="n"/>
      <c r="G573" s="179" t="n"/>
      <c r="H573" s="179" t="n"/>
      <c r="I573" s="179" t="n"/>
      <c r="J573" s="179" t="n"/>
      <c r="K573" s="179" t="n"/>
      <c r="L573" s="179" t="n"/>
      <c r="M573" s="179" t="n"/>
      <c r="N573" s="179" t="n"/>
      <c r="O573" s="179" t="n"/>
      <c r="P573" s="181" t="inlineStr">
        <is>
          <t>внеш</t>
        </is>
      </c>
      <c r="Q573" s="181" t="inlineStr">
        <is>
          <t>внеш</t>
        </is>
      </c>
      <c r="R573" s="171" t="n"/>
      <c r="S573" s="171" t="n">
        <v>2</v>
      </c>
    </row>
    <row r="574" ht="18" customHeight="1">
      <c r="A574" s="45" t="inlineStr">
        <is>
          <t>работник 407</t>
        </is>
      </c>
      <c r="B574" s="178" t="inlineStr">
        <is>
          <t>Водитель автомобиля (занятый на транспортировании горной массы в технологическом процессе)</t>
        </is>
      </c>
      <c r="C574" s="178" t="inlineStr"/>
      <c r="D574" s="179" t="n"/>
      <c r="E574" s="179" t="inlineStr">
        <is>
          <t>внутр</t>
        </is>
      </c>
      <c r="F574" s="179" t="n"/>
      <c r="G574" s="179" t="n"/>
      <c r="H574" s="179" t="n"/>
      <c r="I574" s="179" t="n"/>
      <c r="J574" s="179" t="n"/>
      <c r="K574" s="179" t="n"/>
      <c r="L574" s="179" t="n"/>
      <c r="M574" s="179" t="n"/>
      <c r="N574" s="179" t="n"/>
      <c r="O574" s="179" t="n"/>
      <c r="P574" s="179" t="n"/>
      <c r="Q574" s="179" t="inlineStr">
        <is>
          <t>внутр</t>
        </is>
      </c>
      <c r="R574" s="171" t="n"/>
      <c r="S574" s="171" t="n"/>
    </row>
    <row r="575" ht="18" customHeight="1">
      <c r="A575" s="45" t="inlineStr">
        <is>
          <t>работник 246</t>
        </is>
      </c>
      <c r="B575" s="178" t="inlineStr">
        <is>
          <t>Слесарь-ремонтник</t>
        </is>
      </c>
      <c r="C575" s="178" t="inlineStr"/>
      <c r="D575" s="179" t="n"/>
      <c r="E575" s="179" t="n"/>
      <c r="F575" s="179" t="inlineStr">
        <is>
          <t>внутр</t>
        </is>
      </c>
      <c r="G575" s="179" t="inlineStr">
        <is>
          <t>внутр</t>
        </is>
      </c>
      <c r="H575" s="179" t="inlineStr">
        <is>
          <t>внутр</t>
        </is>
      </c>
      <c r="I575" s="179" t="inlineStr">
        <is>
          <t>внутр</t>
        </is>
      </c>
      <c r="J575" s="179" t="inlineStr">
        <is>
          <t>внутр</t>
        </is>
      </c>
      <c r="K575" s="179" t="inlineStr">
        <is>
          <t>внутр</t>
        </is>
      </c>
      <c r="L575" s="179" t="n"/>
      <c r="M575" s="179" t="n"/>
      <c r="N575" s="179" t="n"/>
      <c r="O575" s="179" t="n"/>
      <c r="P575" s="179" t="n"/>
      <c r="Q575" s="179" t="n"/>
      <c r="R575" s="171" t="n"/>
      <c r="S575" s="171" t="n"/>
    </row>
    <row r="576" ht="18" customHeight="1">
      <c r="A576" s="45" t="inlineStr">
        <is>
          <t>работник 728</t>
        </is>
      </c>
      <c r="B576" s="178" t="inlineStr">
        <is>
          <t>Машинист буровой установки</t>
        </is>
      </c>
      <c r="C576" s="178" t="inlineStr"/>
      <c r="D576" s="179" t="n"/>
      <c r="E576" s="179" t="inlineStr">
        <is>
          <t>внутр</t>
        </is>
      </c>
      <c r="F576" s="179" t="n"/>
      <c r="G576" s="179" t="n"/>
      <c r="H576" s="179" t="n"/>
      <c r="I576" s="179" t="n"/>
      <c r="J576" s="179" t="n"/>
      <c r="K576" s="179" t="n"/>
      <c r="L576" s="179" t="n"/>
      <c r="M576" s="179" t="n"/>
      <c r="N576" s="179" t="n"/>
      <c r="O576" s="179" t="n"/>
      <c r="P576" s="179" t="n"/>
      <c r="Q576" s="179" t="inlineStr">
        <is>
          <t>внутр</t>
        </is>
      </c>
      <c r="R576" s="171" t="n"/>
      <c r="S576" s="171" t="n"/>
    </row>
    <row r="577" ht="18" customHeight="1">
      <c r="A577" s="45" t="inlineStr">
        <is>
          <t>работник 41</t>
        </is>
      </c>
      <c r="B577" s="178" t="inlineStr">
        <is>
          <t>Стропальщик</t>
        </is>
      </c>
      <c r="C577" s="178" t="inlineStr"/>
      <c r="D577" s="179" t="n"/>
      <c r="E577" s="179" t="inlineStr">
        <is>
          <t>внутр</t>
        </is>
      </c>
      <c r="F577" s="179" t="n"/>
      <c r="G577" s="179" t="n"/>
      <c r="H577" s="179" t="n"/>
      <c r="I577" s="179" t="n"/>
      <c r="J577" s="179" t="n"/>
      <c r="K577" s="179" t="n"/>
      <c r="L577" s="179" t="n"/>
      <c r="M577" s="179" t="n"/>
      <c r="N577" s="179" t="n"/>
      <c r="O577" s="179" t="n"/>
      <c r="P577" s="179" t="inlineStr">
        <is>
          <t>внутр</t>
        </is>
      </c>
      <c r="Q577" s="179" t="inlineStr">
        <is>
          <t>внутр</t>
        </is>
      </c>
      <c r="R577" s="171" t="n"/>
      <c r="S577" s="171" t="n"/>
    </row>
    <row r="578" ht="18" customHeight="1">
      <c r="A578" s="45" t="inlineStr">
        <is>
          <t>работник 466</t>
        </is>
      </c>
      <c r="B578" s="178" t="inlineStr">
        <is>
          <t>Водитель автомобиля (занятый на транспортировании горной массы в технологическом процессе)</t>
        </is>
      </c>
      <c r="C578" s="178" t="inlineStr"/>
      <c r="D578" s="179" t="n"/>
      <c r="E578" s="179" t="inlineStr">
        <is>
          <t>внутр</t>
        </is>
      </c>
      <c r="F578" s="179" t="n"/>
      <c r="G578" s="179" t="n"/>
      <c r="H578" s="179" t="n"/>
      <c r="I578" s="179" t="n"/>
      <c r="J578" s="179" t="n"/>
      <c r="K578" s="179" t="n"/>
      <c r="L578" s="179" t="n"/>
      <c r="M578" s="179" t="n"/>
      <c r="N578" s="179" t="n"/>
      <c r="O578" s="179" t="n"/>
      <c r="P578" s="179" t="inlineStr">
        <is>
          <t>внутр</t>
        </is>
      </c>
      <c r="Q578" s="179" t="inlineStr">
        <is>
          <t>внутр</t>
        </is>
      </c>
      <c r="R578" s="171" t="n"/>
      <c r="S578" s="171" t="n"/>
    </row>
    <row r="579" ht="18" customHeight="1">
      <c r="A579" s="45" t="inlineStr">
        <is>
          <t>работник 758</t>
        </is>
      </c>
      <c r="B579" s="178" t="inlineStr">
        <is>
          <t>Слесарь-ремонтник (по ремонту обогатительного оборудования)</t>
        </is>
      </c>
      <c r="C579" s="178" t="inlineStr"/>
      <c r="D579" s="179" t="n"/>
      <c r="E579" s="179" t="inlineStr">
        <is>
          <t>внутр</t>
        </is>
      </c>
      <c r="F579" s="179" t="inlineStr">
        <is>
          <t>внутр</t>
        </is>
      </c>
      <c r="G579" s="179" t="inlineStr">
        <is>
          <t>внутр</t>
        </is>
      </c>
      <c r="H579" s="179" t="inlineStr">
        <is>
          <t>внутр</t>
        </is>
      </c>
      <c r="I579" s="179" t="n"/>
      <c r="J579" s="179" t="n"/>
      <c r="K579" s="179" t="n"/>
      <c r="L579" s="179" t="n"/>
      <c r="M579" s="179" t="n"/>
      <c r="N579" s="179" t="n"/>
      <c r="O579" s="179" t="n"/>
      <c r="P579" s="179" t="inlineStr">
        <is>
          <t>внутр</t>
        </is>
      </c>
      <c r="Q579" s="179" t="inlineStr">
        <is>
          <t>внутр</t>
        </is>
      </c>
      <c r="R579" s="171" t="n"/>
      <c r="S579" s="171" t="n"/>
    </row>
    <row r="580" ht="18" customHeight="1">
      <c r="A580" s="45" t="inlineStr">
        <is>
          <t>работник 193</t>
        </is>
      </c>
      <c r="B580" s="178" t="inlineStr">
        <is>
          <t>Водитель автомобиля (категория Д) | Водитель автомобиля (категория D)</t>
        </is>
      </c>
      <c r="C580" s="178" t="inlineStr"/>
      <c r="D580" s="179" t="n"/>
      <c r="E580" s="179" t="inlineStr">
        <is>
          <t>внутр</t>
        </is>
      </c>
      <c r="F580" s="179" t="n"/>
      <c r="G580" s="179" t="n"/>
      <c r="H580" s="179" t="n"/>
      <c r="I580" s="179" t="n"/>
      <c r="J580" s="179" t="n"/>
      <c r="K580" s="179" t="n"/>
      <c r="L580" s="179" t="n"/>
      <c r="M580" s="179" t="n"/>
      <c r="N580" s="179" t="n"/>
      <c r="O580" s="179" t="n"/>
      <c r="P580" s="179" t="inlineStr">
        <is>
          <t>внутр</t>
        </is>
      </c>
      <c r="Q580" s="179" t="inlineStr">
        <is>
          <t>внутр</t>
        </is>
      </c>
      <c r="R580" s="171" t="n"/>
      <c r="S580" s="171" t="n"/>
    </row>
    <row r="581" ht="18" customHeight="1">
      <c r="A581" s="45" t="inlineStr">
        <is>
          <t>работник 755</t>
        </is>
      </c>
      <c r="B581" s="178" t="inlineStr">
        <is>
          <t>Фильтровальщик</t>
        </is>
      </c>
      <c r="C581" s="178" t="inlineStr"/>
      <c r="D581" s="179" t="n"/>
      <c r="E581" s="179" t="inlineStr">
        <is>
          <t>внутр</t>
        </is>
      </c>
      <c r="F581" s="179" t="inlineStr">
        <is>
          <t>внутр</t>
        </is>
      </c>
      <c r="G581" s="179" t="n"/>
      <c r="H581" s="179" t="inlineStr">
        <is>
          <t>внутр</t>
        </is>
      </c>
      <c r="I581" s="179" t="n"/>
      <c r="J581" s="179" t="n"/>
      <c r="K581" s="179" t="n"/>
      <c r="L581" s="179" t="n"/>
      <c r="M581" s="179" t="n"/>
      <c r="N581" s="179" t="n"/>
      <c r="O581" s="179" t="n"/>
      <c r="P581" s="179" t="inlineStr">
        <is>
          <t>внутр</t>
        </is>
      </c>
      <c r="Q581" s="179" t="inlineStr">
        <is>
          <t>внутр</t>
        </is>
      </c>
      <c r="R581" s="171" t="n"/>
      <c r="S581" s="171" t="n"/>
    </row>
    <row r="582" ht="18" customHeight="1">
      <c r="A582" s="45" t="inlineStr">
        <is>
          <t>работник 71</t>
        </is>
      </c>
      <c r="B582" s="178" t="inlineStr">
        <is>
          <t>Подсобный рабочий | Оператор дизельных котлов</t>
        </is>
      </c>
      <c r="C582" s="178" t="inlineStr"/>
      <c r="D582" s="179" t="n"/>
      <c r="E582" s="179" t="inlineStr">
        <is>
          <t>внутр</t>
        </is>
      </c>
      <c r="F582" s="179" t="n"/>
      <c r="G582" s="179" t="n"/>
      <c r="H582" s="179" t="n"/>
      <c r="I582" s="179" t="n"/>
      <c r="J582" s="179" t="n"/>
      <c r="K582" s="179" t="n"/>
      <c r="L582" s="179" t="n"/>
      <c r="M582" s="179" t="n"/>
      <c r="N582" s="179" t="n"/>
      <c r="O582" s="179" t="n"/>
      <c r="P582" s="179" t="inlineStr">
        <is>
          <t>внутр</t>
        </is>
      </c>
      <c r="Q582" s="179" t="inlineStr">
        <is>
          <t>внутр</t>
        </is>
      </c>
      <c r="R582" s="171" t="n"/>
      <c r="S582" s="171" t="n"/>
    </row>
    <row r="583" ht="18" customHeight="1">
      <c r="A583" s="45" t="inlineStr">
        <is>
          <t>работник 786</t>
        </is>
      </c>
      <c r="B583" s="178" t="inlineStr">
        <is>
          <t>Водитель автомобиля (занятый на транспортировании горной массы в технологическом процессе) | Машинист двигателей внутреннего сгорания (с исполнением обязанностей машиниста компрессорных установок)</t>
        </is>
      </c>
      <c r="C583" s="178" t="inlineStr"/>
      <c r="D583" s="179" t="n"/>
      <c r="E583" s="179" t="inlineStr">
        <is>
          <t>внутр</t>
        </is>
      </c>
      <c r="F583" s="179" t="n"/>
      <c r="G583" s="179" t="n"/>
      <c r="H583" s="179" t="n"/>
      <c r="I583" s="179" t="n"/>
      <c r="J583" s="179" t="n"/>
      <c r="K583" s="179" t="n"/>
      <c r="L583" s="179" t="n"/>
      <c r="M583" s="179" t="n"/>
      <c r="N583" s="179" t="n"/>
      <c r="O583" s="179" t="n"/>
      <c r="P583" s="179" t="inlineStr">
        <is>
          <t>внутр</t>
        </is>
      </c>
      <c r="Q583" s="179" t="inlineStr">
        <is>
          <t>внутр</t>
        </is>
      </c>
      <c r="R583" s="171" t="n"/>
      <c r="S583" s="171" t="n"/>
    </row>
    <row r="584" ht="18" customHeight="1">
      <c r="A584" s="45" t="inlineStr">
        <is>
          <t>работник 380</t>
        </is>
      </c>
      <c r="B584" s="178" t="inlineStr">
        <is>
          <t>Машинист двигателей внутреннего сгорания c обязанностями компрессорщика</t>
        </is>
      </c>
      <c r="C584" s="178" t="inlineStr"/>
      <c r="D584" s="179" t="n"/>
      <c r="E584" s="179" t="inlineStr">
        <is>
          <t>внутр</t>
        </is>
      </c>
      <c r="F584" s="179" t="n"/>
      <c r="G584" s="179" t="n"/>
      <c r="H584" s="179" t="n"/>
      <c r="I584" s="179" t="n"/>
      <c r="J584" s="179" t="n"/>
      <c r="K584" s="179" t="n"/>
      <c r="L584" s="179" t="n"/>
      <c r="M584" s="179" t="n"/>
      <c r="N584" s="179" t="n"/>
      <c r="O584" s="179" t="n"/>
      <c r="P584" s="179" t="inlineStr">
        <is>
          <t>внутр</t>
        </is>
      </c>
      <c r="Q584" s="179" t="inlineStr">
        <is>
          <t>внутр</t>
        </is>
      </c>
      <c r="R584" s="171" t="n"/>
      <c r="S584" s="171" t="n"/>
    </row>
    <row r="585" ht="18" customHeight="1">
      <c r="A585" s="45" t="inlineStr">
        <is>
          <t>работник 567</t>
        </is>
      </c>
      <c r="B585" s="178" t="inlineStr">
        <is>
          <t>Слесарь-ремонтник (по ремонту обогатительного оборудования)</t>
        </is>
      </c>
      <c r="C585" s="178" t="inlineStr"/>
      <c r="D585" s="179" t="n"/>
      <c r="E585" s="179" t="inlineStr">
        <is>
          <t>внутр</t>
        </is>
      </c>
      <c r="F585" s="179" t="n"/>
      <c r="G585" s="179" t="n"/>
      <c r="H585" s="179" t="n"/>
      <c r="I585" s="179" t="n"/>
      <c r="J585" s="179" t="n"/>
      <c r="K585" s="179" t="n"/>
      <c r="L585" s="179" t="n"/>
      <c r="M585" s="179" t="n"/>
      <c r="N585" s="179" t="n"/>
      <c r="O585" s="179" t="n"/>
      <c r="P585" s="179" t="inlineStr">
        <is>
          <t>внутр</t>
        </is>
      </c>
      <c r="Q585" s="179" t="inlineStr">
        <is>
          <t>внутр</t>
        </is>
      </c>
      <c r="R585" s="171" t="n"/>
      <c r="S585" s="171" t="n"/>
    </row>
    <row r="586" ht="18" customHeight="1">
      <c r="A586" s="45" t="inlineStr">
        <is>
          <t>работник 551</t>
        </is>
      </c>
      <c r="B586" s="178" t="inlineStr">
        <is>
          <t>Кладовщик (с исполнением обязанностей ламповщика) | Ламповщик</t>
        </is>
      </c>
      <c r="C586" s="178" t="inlineStr"/>
      <c r="D586" s="179" t="n"/>
      <c r="E586" s="179" t="inlineStr">
        <is>
          <t>внутр</t>
        </is>
      </c>
      <c r="F586" s="179" t="n"/>
      <c r="G586" s="179" t="n"/>
      <c r="H586" s="179" t="n"/>
      <c r="I586" s="179" t="n"/>
      <c r="J586" s="179" t="n"/>
      <c r="K586" s="179" t="n"/>
      <c r="L586" s="179" t="n"/>
      <c r="M586" s="179" t="n"/>
      <c r="N586" s="179" t="n"/>
      <c r="O586" s="179" t="n"/>
      <c r="P586" s="179" t="inlineStr">
        <is>
          <t>внутр</t>
        </is>
      </c>
      <c r="Q586" s="179" t="inlineStr">
        <is>
          <t>внутр</t>
        </is>
      </c>
      <c r="R586" s="171" t="n"/>
      <c r="S586" s="171" t="n"/>
    </row>
    <row r="587" ht="18" customHeight="1">
      <c r="A587" s="45" t="inlineStr">
        <is>
          <t>работник 19</t>
        </is>
      </c>
      <c r="B587" s="178" t="inlineStr">
        <is>
          <t>Водитель автомобиля (категория D) | Водитель автомобиля (категория Д)</t>
        </is>
      </c>
      <c r="C587" s="178" t="inlineStr"/>
      <c r="D587" s="179" t="n"/>
      <c r="E587" s="179" t="inlineStr">
        <is>
          <t>внутр</t>
        </is>
      </c>
      <c r="F587" s="179" t="n"/>
      <c r="G587" s="179" t="n"/>
      <c r="H587" s="179" t="n"/>
      <c r="I587" s="179" t="n"/>
      <c r="J587" s="179" t="n"/>
      <c r="K587" s="179" t="n"/>
      <c r="L587" s="179" t="n"/>
      <c r="M587" s="179" t="n"/>
      <c r="N587" s="179" t="n"/>
      <c r="O587" s="179" t="n"/>
      <c r="P587" s="179" t="inlineStr">
        <is>
          <t>внутр</t>
        </is>
      </c>
      <c r="Q587" s="179" t="inlineStr">
        <is>
          <t>внутр</t>
        </is>
      </c>
      <c r="R587" s="171" t="n"/>
      <c r="S587" s="171" t="n"/>
    </row>
    <row r="588" ht="18" customHeight="1">
      <c r="A588" s="45" t="inlineStr">
        <is>
          <t>работник 729</t>
        </is>
      </c>
      <c r="B588" s="178" t="inlineStr">
        <is>
          <t>Промывальщик геологических проб</t>
        </is>
      </c>
      <c r="C588" s="178" t="inlineStr"/>
      <c r="D588" s="179" t="n"/>
      <c r="E588" s="179" t="inlineStr">
        <is>
          <t>внутр</t>
        </is>
      </c>
      <c r="F588" s="179" t="n"/>
      <c r="G588" s="179" t="n"/>
      <c r="H588" s="179" t="n"/>
      <c r="I588" s="179" t="n"/>
      <c r="J588" s="179" t="n"/>
      <c r="K588" s="179" t="n"/>
      <c r="L588" s="179" t="n"/>
      <c r="M588" s="179" t="n"/>
      <c r="N588" s="179" t="n"/>
      <c r="O588" s="179" t="n"/>
      <c r="P588" s="179" t="n"/>
      <c r="Q588" s="179" t="inlineStr">
        <is>
          <t>внутр</t>
        </is>
      </c>
      <c r="R588" s="171" t="n"/>
      <c r="S588" s="171" t="n"/>
    </row>
    <row r="589" ht="18" customHeight="1">
      <c r="A589" s="45" t="inlineStr">
        <is>
          <t>работник 428</t>
        </is>
      </c>
      <c r="B589" s="178" t="inlineStr">
        <is>
          <t>Плавильщик</t>
        </is>
      </c>
      <c r="C589" s="178" t="inlineStr"/>
      <c r="D589" s="179" t="n"/>
      <c r="E589" s="179" t="inlineStr">
        <is>
          <t>внутр</t>
        </is>
      </c>
      <c r="F589" s="179" t="n"/>
      <c r="G589" s="179" t="n"/>
      <c r="H589" s="179" t="n"/>
      <c r="I589" s="179" t="n"/>
      <c r="J589" s="179" t="n"/>
      <c r="K589" s="179" t="n"/>
      <c r="L589" s="179" t="n"/>
      <c r="M589" s="179" t="n"/>
      <c r="N589" s="179" t="n"/>
      <c r="O589" s="179" t="n"/>
      <c r="P589" s="179" t="n"/>
      <c r="Q589" s="179" t="inlineStr">
        <is>
          <t>внутр</t>
        </is>
      </c>
      <c r="R589" s="171" t="n"/>
      <c r="S589" s="171" t="n"/>
    </row>
    <row r="590" ht="18" customHeight="1">
      <c r="A590" s="45" t="inlineStr">
        <is>
          <t>работник 754</t>
        </is>
      </c>
      <c r="B590" s="178" t="inlineStr">
        <is>
          <t>Фильтровальщик</t>
        </is>
      </c>
      <c r="C590" s="178" t="inlineStr"/>
      <c r="D590" s="179" t="n"/>
      <c r="E590" s="179" t="inlineStr">
        <is>
          <t>внутр</t>
        </is>
      </c>
      <c r="F590" s="179" t="inlineStr">
        <is>
          <t>внутр</t>
        </is>
      </c>
      <c r="G590" s="179" t="n"/>
      <c r="H590" s="179" t="inlineStr">
        <is>
          <t>внутр</t>
        </is>
      </c>
      <c r="I590" s="179" t="n"/>
      <c r="J590" s="179" t="n"/>
      <c r="K590" s="179" t="n"/>
      <c r="L590" s="179" t="n"/>
      <c r="M590" s="179" t="n"/>
      <c r="N590" s="179" t="n"/>
      <c r="O590" s="179" t="n"/>
      <c r="P590" s="179" t="inlineStr">
        <is>
          <t>внутр</t>
        </is>
      </c>
      <c r="Q590" s="179" t="inlineStr">
        <is>
          <t>внутр</t>
        </is>
      </c>
      <c r="R590" s="171" t="n"/>
      <c r="S590" s="171" t="n"/>
    </row>
    <row r="591" ht="18" customHeight="1">
      <c r="A591" s="45" t="inlineStr">
        <is>
          <t>работник 448</t>
        </is>
      </c>
      <c r="B591" s="178" t="inlineStr">
        <is>
          <t>Слесарь по контрольно-измерительным приборам и автоматике</t>
        </is>
      </c>
      <c r="C591" s="178" t="inlineStr"/>
      <c r="D591" s="179" t="n"/>
      <c r="E591" s="179" t="inlineStr">
        <is>
          <t>внутр</t>
        </is>
      </c>
      <c r="F591" s="179" t="inlineStr">
        <is>
          <t>внутр</t>
        </is>
      </c>
      <c r="G591" s="179" t="inlineStr">
        <is>
          <t>внутр</t>
        </is>
      </c>
      <c r="H591" s="179" t="inlineStr">
        <is>
          <t>внутр</t>
        </is>
      </c>
      <c r="I591" s="179" t="inlineStr">
        <is>
          <t>внутр</t>
        </is>
      </c>
      <c r="J591" s="179" t="inlineStr">
        <is>
          <t>внутр</t>
        </is>
      </c>
      <c r="K591" s="179" t="inlineStr">
        <is>
          <t>внутр</t>
        </is>
      </c>
      <c r="L591" s="179" t="inlineStr">
        <is>
          <t>внутр</t>
        </is>
      </c>
      <c r="M591" s="179" t="n"/>
      <c r="N591" s="179" t="n"/>
      <c r="O591" s="179" t="n"/>
      <c r="P591" s="179" t="n"/>
      <c r="Q591" s="179" t="inlineStr">
        <is>
          <t>внутр</t>
        </is>
      </c>
      <c r="R591" s="171" t="n"/>
      <c r="S591" s="171" t="n"/>
    </row>
    <row r="592" ht="18" customHeight="1">
      <c r="A592" s="45" t="inlineStr">
        <is>
          <t>работник 866</t>
        </is>
      </c>
      <c r="B592" s="178" t="inlineStr">
        <is>
          <t>Продавец</t>
        </is>
      </c>
      <c r="C592" s="178" t="inlineStr"/>
      <c r="D592" s="179" t="n"/>
      <c r="E592" s="179" t="inlineStr">
        <is>
          <t>внутр</t>
        </is>
      </c>
      <c r="F592" s="179" t="n"/>
      <c r="G592" s="179" t="n"/>
      <c r="H592" s="179" t="n"/>
      <c r="I592" s="179" t="n"/>
      <c r="J592" s="179" t="n"/>
      <c r="K592" s="179" t="n"/>
      <c r="L592" s="179" t="n"/>
      <c r="M592" s="179" t="n"/>
      <c r="N592" s="179" t="n"/>
      <c r="O592" s="179" t="n"/>
      <c r="P592" s="179" t="inlineStr">
        <is>
          <t>внутр</t>
        </is>
      </c>
      <c r="Q592" s="179" t="inlineStr">
        <is>
          <t>внутр</t>
        </is>
      </c>
      <c r="R592" s="171" t="n"/>
      <c r="S592" s="171" t="n"/>
    </row>
    <row r="593" ht="18" customHeight="1">
      <c r="A593" s="45" t="inlineStr">
        <is>
          <t>работник 6</t>
        </is>
      </c>
      <c r="B593" s="178" t="inlineStr">
        <is>
          <t>Заместитель начальника участка по буровзрывным работам</t>
        </is>
      </c>
      <c r="C593" s="178" t="inlineStr">
        <is>
          <t>Руководитель</t>
        </is>
      </c>
      <c r="D593" s="179" t="inlineStr">
        <is>
          <t>внеш</t>
        </is>
      </c>
      <c r="E593" s="179" t="inlineStr">
        <is>
          <t>внеш</t>
        </is>
      </c>
      <c r="F593" s="179" t="n"/>
      <c r="G593" s="179" t="n"/>
      <c r="H593" s="179" t="n"/>
      <c r="I593" s="179" t="n"/>
      <c r="J593" s="179" t="n"/>
      <c r="K593" s="179" t="n"/>
      <c r="L593" s="179" t="n"/>
      <c r="M593" s="179" t="n"/>
      <c r="N593" s="179" t="n"/>
      <c r="O593" s="179" t="n"/>
      <c r="P593" s="181" t="inlineStr">
        <is>
          <t>внеш</t>
        </is>
      </c>
      <c r="Q593" s="181" t="inlineStr">
        <is>
          <t>внеш</t>
        </is>
      </c>
      <c r="R593" s="171" t="n"/>
      <c r="S593" s="171" t="n">
        <v>2</v>
      </c>
    </row>
    <row r="594" ht="18" customHeight="1">
      <c r="A594" s="45" t="inlineStr">
        <is>
          <t>работник 300</t>
        </is>
      </c>
      <c r="B594" s="178" t="inlineStr">
        <is>
          <t>Бункеровщик</t>
        </is>
      </c>
      <c r="C594" s="178" t="inlineStr"/>
      <c r="D594" s="179" t="n"/>
      <c r="E594" s="179" t="inlineStr">
        <is>
          <t>внутр</t>
        </is>
      </c>
      <c r="F594" s="179" t="n"/>
      <c r="G594" s="179" t="n"/>
      <c r="H594" s="179" t="n"/>
      <c r="I594" s="179" t="n"/>
      <c r="J594" s="179" t="n"/>
      <c r="K594" s="179" t="n"/>
      <c r="L594" s="179" t="n"/>
      <c r="M594" s="179" t="n"/>
      <c r="N594" s="179" t="n"/>
      <c r="O594" s="179" t="n"/>
      <c r="P594" s="179" t="inlineStr">
        <is>
          <t>внутр</t>
        </is>
      </c>
      <c r="Q594" s="179" t="inlineStr">
        <is>
          <t>внутр</t>
        </is>
      </c>
      <c r="R594" s="171" t="n"/>
      <c r="S594" s="171" t="n"/>
    </row>
    <row r="595" ht="18" customHeight="1">
      <c r="A595" s="45" t="inlineStr">
        <is>
          <t>работник 302</t>
        </is>
      </c>
      <c r="B595" s="178" t="inlineStr">
        <is>
          <t>Машинист погрузочно-доставочной машины (ТГМ) | Машинист погрузочно-доставочной машины</t>
        </is>
      </c>
      <c r="C595" s="178" t="inlineStr"/>
      <c r="D595" s="179" t="n"/>
      <c r="E595" s="179" t="inlineStr">
        <is>
          <t>внутр</t>
        </is>
      </c>
      <c r="F595" s="179" t="n"/>
      <c r="G595" s="179" t="n"/>
      <c r="H595" s="179" t="n"/>
      <c r="I595" s="179" t="n"/>
      <c r="J595" s="179" t="n"/>
      <c r="K595" s="179" t="n"/>
      <c r="L595" s="179" t="n"/>
      <c r="M595" s="179" t="n"/>
      <c r="N595" s="179" t="n"/>
      <c r="O595" s="179" t="n"/>
      <c r="P595" s="179" t="inlineStr">
        <is>
          <t>внутр</t>
        </is>
      </c>
      <c r="Q595" s="179" t="inlineStr">
        <is>
          <t>внутр</t>
        </is>
      </c>
      <c r="R595" s="171" t="n"/>
      <c r="S595" s="171" t="n"/>
    </row>
    <row r="596" ht="18" customHeight="1">
      <c r="A596" s="45" t="inlineStr">
        <is>
          <t>работник 42</t>
        </is>
      </c>
      <c r="B596" s="178" t="inlineStr">
        <is>
          <t>Стропальщик</t>
        </is>
      </c>
      <c r="C596" s="178" t="inlineStr"/>
      <c r="D596" s="179" t="n"/>
      <c r="E596" s="179" t="inlineStr">
        <is>
          <t>внутр</t>
        </is>
      </c>
      <c r="F596" s="179" t="n"/>
      <c r="G596" s="179" t="n"/>
      <c r="H596" s="179" t="n"/>
      <c r="I596" s="179" t="n"/>
      <c r="J596" s="179" t="n"/>
      <c r="K596" s="179" t="n"/>
      <c r="L596" s="179" t="n"/>
      <c r="M596" s="179" t="n"/>
      <c r="N596" s="179" t="n"/>
      <c r="O596" s="179" t="n"/>
      <c r="P596" s="179" t="inlineStr">
        <is>
          <t>внутр</t>
        </is>
      </c>
      <c r="Q596" s="179" t="inlineStr">
        <is>
          <t>внутр</t>
        </is>
      </c>
      <c r="R596" s="171" t="n"/>
      <c r="S596" s="171" t="n"/>
    </row>
    <row r="597" ht="18" customHeight="1">
      <c r="A597" s="45" t="inlineStr">
        <is>
          <t>работник 449</t>
        </is>
      </c>
      <c r="B597" s="178" t="inlineStr">
        <is>
          <t>Слесарь-ремонтник (по ремонту обогатительного оборудования) | Слесарь-ремонтник | Аппаратчик-гидрометаллург</t>
        </is>
      </c>
      <c r="C597" s="178" t="inlineStr"/>
      <c r="D597" s="179" t="n"/>
      <c r="E597" s="179" t="inlineStr">
        <is>
          <t>внутр</t>
        </is>
      </c>
      <c r="F597" s="179" t="inlineStr">
        <is>
          <t>внутр</t>
        </is>
      </c>
      <c r="G597" s="179" t="inlineStr">
        <is>
          <t>внутр</t>
        </is>
      </c>
      <c r="H597" s="179" t="inlineStr">
        <is>
          <t>внутр</t>
        </is>
      </c>
      <c r="I597" s="179" t="inlineStr">
        <is>
          <t>внутр</t>
        </is>
      </c>
      <c r="J597" s="179" t="inlineStr">
        <is>
          <t>внутр</t>
        </is>
      </c>
      <c r="K597" s="179" t="inlineStr">
        <is>
          <t>внутр</t>
        </is>
      </c>
      <c r="L597" s="179" t="n"/>
      <c r="M597" s="179" t="n"/>
      <c r="N597" s="179" t="n"/>
      <c r="O597" s="179" t="n"/>
      <c r="P597" s="179" t="n"/>
      <c r="Q597" s="179" t="inlineStr">
        <is>
          <t>внутр</t>
        </is>
      </c>
      <c r="R597" s="171" t="n"/>
      <c r="S597" s="171" t="n"/>
    </row>
    <row r="598" ht="18" customHeight="1">
      <c r="A598" s="45" t="inlineStr">
        <is>
          <t>работник 574</t>
        </is>
      </c>
      <c r="B598" s="178" t="inlineStr">
        <is>
          <t>Оператор дизельных котлов</t>
        </is>
      </c>
      <c r="C598" s="178" t="inlineStr"/>
      <c r="D598" s="179" t="n"/>
      <c r="E598" s="179" t="inlineStr">
        <is>
          <t>внутр</t>
        </is>
      </c>
      <c r="F598" s="179" t="n"/>
      <c r="G598" s="179" t="n"/>
      <c r="H598" s="179" t="n"/>
      <c r="I598" s="179" t="n"/>
      <c r="J598" s="179" t="n"/>
      <c r="K598" s="179" t="n"/>
      <c r="L598" s="179" t="n"/>
      <c r="M598" s="179" t="n"/>
      <c r="N598" s="179" t="n"/>
      <c r="O598" s="179" t="n"/>
      <c r="P598" s="179" t="n"/>
      <c r="Q598" s="179" t="inlineStr">
        <is>
          <t>внутр</t>
        </is>
      </c>
      <c r="R598" s="171" t="n"/>
      <c r="S598" s="171" t="n"/>
    </row>
    <row r="599" ht="18" customHeight="1">
      <c r="A599" s="45" t="inlineStr">
        <is>
          <t>работник 653</t>
        </is>
      </c>
      <c r="B599" s="178" t="inlineStr">
        <is>
          <t>Машинист подземных самоходных машин | Машинист погрузочно-доставочной машины (занятый на транспортировании горной массы в технологическом процессе)</t>
        </is>
      </c>
      <c r="C599" s="178" t="inlineStr"/>
      <c r="D599" s="179" t="n"/>
      <c r="E599" s="179" t="inlineStr">
        <is>
          <t>внутр</t>
        </is>
      </c>
      <c r="F599" s="179" t="n"/>
      <c r="G599" s="179" t="n"/>
      <c r="H599" s="179" t="n"/>
      <c r="I599" s="179" t="n"/>
      <c r="J599" s="179" t="n"/>
      <c r="K599" s="179" t="n"/>
      <c r="L599" s="179" t="n"/>
      <c r="M599" s="179" t="n"/>
      <c r="N599" s="179" t="n"/>
      <c r="O599" s="179" t="n"/>
      <c r="P599" s="179" t="inlineStr">
        <is>
          <t>внутр</t>
        </is>
      </c>
      <c r="Q599" s="179" t="inlineStr">
        <is>
          <t>внутр</t>
        </is>
      </c>
      <c r="R599" s="171" t="n"/>
      <c r="S599" s="171" t="n"/>
    </row>
    <row r="600" ht="18" customHeight="1">
      <c r="A600" s="45" t="inlineStr">
        <is>
          <t>работник 647</t>
        </is>
      </c>
      <c r="B600" s="178" t="inlineStr">
        <is>
          <t>Подсобный рабочий</t>
        </is>
      </c>
      <c r="C600" s="178" t="inlineStr"/>
      <c r="D600" s="179" t="n"/>
      <c r="E600" s="179" t="inlineStr">
        <is>
          <t>внутр</t>
        </is>
      </c>
      <c r="F600" s="179" t="n"/>
      <c r="G600" s="179" t="n"/>
      <c r="H600" s="179" t="n"/>
      <c r="I600" s="179" t="n"/>
      <c r="J600" s="179" t="n"/>
      <c r="K600" s="179" t="n"/>
      <c r="L600" s="179" t="n"/>
      <c r="M600" s="179" t="n"/>
      <c r="N600" s="179" t="n"/>
      <c r="O600" s="179" t="n"/>
      <c r="P600" s="179" t="n"/>
      <c r="Q600" s="179" t="inlineStr">
        <is>
          <t>внутр</t>
        </is>
      </c>
      <c r="R600" s="171" t="n"/>
      <c r="S600" s="171" t="n"/>
    </row>
    <row r="601" ht="18" customHeight="1">
      <c r="A601" s="45" t="inlineStr">
        <is>
          <t>работник 778</t>
        </is>
      </c>
      <c r="B601" s="178" t="inlineStr">
        <is>
          <t>Машинист самоходной буровой установки</t>
        </is>
      </c>
      <c r="C601" s="178" t="inlineStr"/>
      <c r="D601" s="179" t="n"/>
      <c r="E601" s="179" t="inlineStr">
        <is>
          <t>внутр</t>
        </is>
      </c>
      <c r="F601" s="179" t="n"/>
      <c r="G601" s="179" t="n"/>
      <c r="H601" s="179" t="n"/>
      <c r="I601" s="179" t="n"/>
      <c r="J601" s="179" t="n"/>
      <c r="K601" s="179" t="n"/>
      <c r="L601" s="179" t="n"/>
      <c r="M601" s="179" t="n"/>
      <c r="N601" s="179" t="n"/>
      <c r="O601" s="179" t="n"/>
      <c r="P601" s="179" t="n"/>
      <c r="Q601" s="179" t="inlineStr">
        <is>
          <t>внутр</t>
        </is>
      </c>
      <c r="R601" s="171" t="n"/>
      <c r="S601" s="171" t="n"/>
    </row>
    <row r="602" ht="18" customHeight="1">
      <c r="A602" s="45" t="inlineStr">
        <is>
          <t>работник 99</t>
        </is>
      </c>
      <c r="B602" s="178" t="inlineStr">
        <is>
          <t>Кухонный рабочий</t>
        </is>
      </c>
      <c r="C602" s="178" t="inlineStr"/>
      <c r="D602" s="179" t="n"/>
      <c r="E602" s="179" t="inlineStr">
        <is>
          <t>внутр</t>
        </is>
      </c>
      <c r="F602" s="179" t="n"/>
      <c r="G602" s="179" t="n"/>
      <c r="H602" s="179" t="n"/>
      <c r="I602" s="179" t="n"/>
      <c r="J602" s="179" t="n"/>
      <c r="K602" s="179" t="n"/>
      <c r="L602" s="179" t="n"/>
      <c r="M602" s="179" t="n"/>
      <c r="N602" s="179" t="n"/>
      <c r="O602" s="179" t="n"/>
      <c r="P602" s="179" t="inlineStr">
        <is>
          <t>внутр</t>
        </is>
      </c>
      <c r="Q602" s="179" t="inlineStr">
        <is>
          <t>внутр</t>
        </is>
      </c>
      <c r="R602" s="171" t="n"/>
      <c r="S602" s="171" t="n"/>
    </row>
    <row r="603" ht="18" customHeight="1">
      <c r="A603" s="45" t="inlineStr">
        <is>
          <t>работник 599</t>
        </is>
      </c>
      <c r="B603" s="178" t="inlineStr">
        <is>
          <t>Мастер горный</t>
        </is>
      </c>
      <c r="C603" s="178" t="inlineStr">
        <is>
          <t>Руководитель</t>
        </is>
      </c>
      <c r="D603" s="179" t="n"/>
      <c r="E603" s="180" t="inlineStr">
        <is>
          <t>внутр</t>
        </is>
      </c>
      <c r="F603" s="179" t="n"/>
      <c r="G603" s="179" t="n"/>
      <c r="H603" s="179" t="n"/>
      <c r="I603" s="179" t="n"/>
      <c r="J603" s="179" t="n"/>
      <c r="K603" s="179" t="n"/>
      <c r="L603" s="179" t="n"/>
      <c r="M603" s="179" t="n"/>
      <c r="N603" s="179" t="n"/>
      <c r="O603" s="179" t="n"/>
      <c r="P603" s="179" t="n"/>
      <c r="Q603" s="179" t="inlineStr">
        <is>
          <t>внутр</t>
        </is>
      </c>
      <c r="R603" s="171" t="n">
        <v>1</v>
      </c>
      <c r="S603" s="171" t="n"/>
    </row>
    <row r="604" ht="18" customHeight="1">
      <c r="A604" s="45" t="inlineStr">
        <is>
          <t>работник 601</t>
        </is>
      </c>
      <c r="B604" s="178" t="inlineStr">
        <is>
          <t>Проходчик (с исполнением обязанностей взрывника)</t>
        </is>
      </c>
      <c r="C604" s="178" t="inlineStr"/>
      <c r="D604" s="179" t="n"/>
      <c r="E604" s="179" t="inlineStr">
        <is>
          <t>внутр</t>
        </is>
      </c>
      <c r="F604" s="179" t="n"/>
      <c r="G604" s="179" t="n"/>
      <c r="H604" s="179" t="n"/>
      <c r="I604" s="179" t="n"/>
      <c r="J604" s="179" t="n"/>
      <c r="K604" s="179" t="n"/>
      <c r="L604" s="179" t="n"/>
      <c r="M604" s="179" t="n"/>
      <c r="N604" s="179" t="n"/>
      <c r="O604" s="179" t="n"/>
      <c r="P604" s="179" t="n"/>
      <c r="Q604" s="179" t="inlineStr">
        <is>
          <t>внутр</t>
        </is>
      </c>
      <c r="R604" s="171" t="n"/>
      <c r="S604" s="171" t="n"/>
    </row>
    <row r="605" ht="18" customHeight="1">
      <c r="A605" s="45" t="inlineStr">
        <is>
          <t>работник 469</t>
        </is>
      </c>
      <c r="B605" s="178" t="inlineStr">
        <is>
          <t>Слесарь-электрик по ремонту электрооборудования</t>
        </is>
      </c>
      <c r="C605" s="178" t="inlineStr"/>
      <c r="D605" s="179" t="n"/>
      <c r="E605" s="179" t="inlineStr">
        <is>
          <t>внутр</t>
        </is>
      </c>
      <c r="F605" s="179" t="n"/>
      <c r="G605" s="179" t="n"/>
      <c r="H605" s="179" t="n"/>
      <c r="I605" s="179" t="n"/>
      <c r="J605" s="179" t="n"/>
      <c r="K605" s="179" t="n"/>
      <c r="L605" s="179" t="n"/>
      <c r="M605" s="179" t="n"/>
      <c r="N605" s="179" t="n"/>
      <c r="O605" s="179" t="n"/>
      <c r="P605" s="179" t="n"/>
      <c r="Q605" s="179" t="inlineStr">
        <is>
          <t>внутр</t>
        </is>
      </c>
      <c r="R605" s="171" t="n"/>
      <c r="S605" s="171" t="n"/>
    </row>
    <row r="606" ht="18" customHeight="1">
      <c r="A606" s="45" t="inlineStr">
        <is>
          <t>работник 638</t>
        </is>
      </c>
      <c r="B606" s="178" t="inlineStr">
        <is>
          <t>Грузчик</t>
        </is>
      </c>
      <c r="C606" s="178" t="inlineStr"/>
      <c r="D606" s="179" t="n"/>
      <c r="E606" s="179" t="inlineStr">
        <is>
          <t>внутр</t>
        </is>
      </c>
      <c r="F606" s="179" t="n"/>
      <c r="G606" s="179" t="n"/>
      <c r="H606" s="179" t="n"/>
      <c r="I606" s="179" t="n"/>
      <c r="J606" s="179" t="n"/>
      <c r="K606" s="179" t="n"/>
      <c r="L606" s="179" t="n"/>
      <c r="M606" s="179" t="n"/>
      <c r="N606" s="179" t="n"/>
      <c r="O606" s="179" t="n"/>
      <c r="P606" s="179" t="inlineStr">
        <is>
          <t>внутр</t>
        </is>
      </c>
      <c r="Q606" s="179" t="inlineStr">
        <is>
          <t>внутр</t>
        </is>
      </c>
      <c r="R606" s="171" t="n"/>
      <c r="S606" s="171" t="n"/>
    </row>
    <row r="607" ht="18" customHeight="1">
      <c r="A607" s="45" t="inlineStr">
        <is>
          <t>работник 613</t>
        </is>
      </c>
      <c r="B607" s="178" t="inlineStr">
        <is>
          <t>Дробильщик</t>
        </is>
      </c>
      <c r="C607" s="178" t="inlineStr"/>
      <c r="D607" s="179" t="n"/>
      <c r="E607" s="179" t="inlineStr">
        <is>
          <t>внутр</t>
        </is>
      </c>
      <c r="F607" s="179" t="n"/>
      <c r="G607" s="179" t="n"/>
      <c r="H607" s="179" t="n"/>
      <c r="I607" s="179" t="n"/>
      <c r="J607" s="179" t="n"/>
      <c r="K607" s="179" t="n"/>
      <c r="L607" s="179" t="n"/>
      <c r="M607" s="179" t="n"/>
      <c r="N607" s="179" t="n"/>
      <c r="O607" s="179" t="n"/>
      <c r="P607" s="179" t="inlineStr">
        <is>
          <t>внутр</t>
        </is>
      </c>
      <c r="Q607" s="179" t="inlineStr">
        <is>
          <t>внутр</t>
        </is>
      </c>
      <c r="R607" s="171" t="n"/>
      <c r="S607" s="171" t="n"/>
    </row>
    <row r="608" ht="18" customHeight="1">
      <c r="A608" s="45" t="inlineStr">
        <is>
          <t>работник 169</t>
        </is>
      </c>
      <c r="B608" s="178" t="inlineStr">
        <is>
          <t>Машинист подземно-доставочной машины | Машинист погрузочно-доставочной машины (занятый на транспортировании горной массы в технологическом процессе)</t>
        </is>
      </c>
      <c r="C608" s="178" t="inlineStr"/>
      <c r="D608" s="179" t="n"/>
      <c r="E608" s="179" t="inlineStr">
        <is>
          <t>внутр</t>
        </is>
      </c>
      <c r="F608" s="179" t="n"/>
      <c r="G608" s="179" t="n"/>
      <c r="H608" s="179" t="n"/>
      <c r="I608" s="179" t="n"/>
      <c r="J608" s="179" t="n"/>
      <c r="K608" s="179" t="n"/>
      <c r="L608" s="179" t="n"/>
      <c r="M608" s="179" t="n"/>
      <c r="N608" s="179" t="n"/>
      <c r="O608" s="179" t="n"/>
      <c r="P608" s="179" t="inlineStr">
        <is>
          <t>внутр</t>
        </is>
      </c>
      <c r="Q608" s="179" t="inlineStr">
        <is>
          <t>внутр</t>
        </is>
      </c>
      <c r="R608" s="171" t="n"/>
      <c r="S608" s="171" t="n"/>
    </row>
    <row r="609" ht="18" customHeight="1">
      <c r="A609" s="45" t="inlineStr">
        <is>
          <t>работник 730</t>
        </is>
      </c>
      <c r="B609" s="178" t="inlineStr">
        <is>
          <t>Вальщик леса</t>
        </is>
      </c>
      <c r="C609" s="178" t="inlineStr"/>
      <c r="D609" s="179" t="n"/>
      <c r="E609" s="179" t="inlineStr">
        <is>
          <t>внутр</t>
        </is>
      </c>
      <c r="F609" s="179" t="n"/>
      <c r="G609" s="179" t="n"/>
      <c r="H609" s="179" t="n"/>
      <c r="I609" s="179" t="n"/>
      <c r="J609" s="179" t="n"/>
      <c r="K609" s="179" t="n"/>
      <c r="L609" s="179" t="n"/>
      <c r="M609" s="179" t="n"/>
      <c r="N609" s="179" t="n"/>
      <c r="O609" s="179" t="n"/>
      <c r="P609" s="179" t="n"/>
      <c r="Q609" s="179" t="inlineStr">
        <is>
          <t>внутр</t>
        </is>
      </c>
      <c r="R609" s="171" t="n"/>
      <c r="S609" s="171" t="n"/>
    </row>
    <row r="610" ht="18" customHeight="1">
      <c r="A610" s="45" t="inlineStr">
        <is>
          <t>работник 475</t>
        </is>
      </c>
      <c r="B610" s="178" t="inlineStr">
        <is>
          <t>Контролер</t>
        </is>
      </c>
      <c r="C610" s="178" t="inlineStr"/>
      <c r="D610" s="179" t="n"/>
      <c r="E610" s="179" t="inlineStr">
        <is>
          <t>внутр</t>
        </is>
      </c>
      <c r="F610" s="179" t="n"/>
      <c r="G610" s="179" t="n"/>
      <c r="H610" s="179" t="n"/>
      <c r="I610" s="179" t="n"/>
      <c r="J610" s="179" t="n"/>
      <c r="K610" s="179" t="n"/>
      <c r="L610" s="179" t="n"/>
      <c r="M610" s="179" t="n"/>
      <c r="N610" s="179" t="n"/>
      <c r="O610" s="179" t="n"/>
      <c r="P610" s="179" t="n"/>
      <c r="Q610" s="179" t="inlineStr">
        <is>
          <t>внутр</t>
        </is>
      </c>
      <c r="R610" s="171" t="n"/>
      <c r="S610" s="171" t="n"/>
    </row>
    <row r="611" ht="18" customHeight="1">
      <c r="A611" s="45" t="inlineStr">
        <is>
          <t>работник 744</t>
        </is>
      </c>
      <c r="B611" s="178" t="inlineStr">
        <is>
          <t>Механик</t>
        </is>
      </c>
      <c r="C611" s="178" t="inlineStr"/>
      <c r="D611" s="179" t="n"/>
      <c r="E611" s="179" t="inlineStr">
        <is>
          <t>внутр</t>
        </is>
      </c>
      <c r="F611" s="179" t="n"/>
      <c r="G611" s="179" t="inlineStr">
        <is>
          <t>внутр</t>
        </is>
      </c>
      <c r="H611" s="179" t="n"/>
      <c r="I611" s="179" t="n"/>
      <c r="J611" s="179" t="n"/>
      <c r="K611" s="179" t="n"/>
      <c r="L611" s="179" t="n"/>
      <c r="M611" s="179" t="n"/>
      <c r="N611" s="179" t="n"/>
      <c r="O611" s="179" t="n"/>
      <c r="P611" s="179" t="n"/>
      <c r="Q611" s="179" t="inlineStr">
        <is>
          <t>внутр</t>
        </is>
      </c>
      <c r="R611" s="171" t="n"/>
      <c r="S611" s="171" t="n"/>
    </row>
    <row r="612" ht="18" customHeight="1">
      <c r="A612" s="45" t="inlineStr">
        <is>
          <t>работник 731</t>
        </is>
      </c>
      <c r="B612" s="178" t="inlineStr">
        <is>
          <t>Машинист бульдозера</t>
        </is>
      </c>
      <c r="C612" s="178" t="inlineStr"/>
      <c r="D612" s="179" t="n"/>
      <c r="E612" s="179" t="inlineStr">
        <is>
          <t>внутр</t>
        </is>
      </c>
      <c r="F612" s="179" t="n"/>
      <c r="G612" s="179" t="n"/>
      <c r="H612" s="179" t="n"/>
      <c r="I612" s="179" t="n"/>
      <c r="J612" s="179" t="n"/>
      <c r="K612" s="179" t="n"/>
      <c r="L612" s="179" t="n"/>
      <c r="M612" s="179" t="n"/>
      <c r="N612" s="179" t="n"/>
      <c r="O612" s="179" t="n"/>
      <c r="P612" s="179" t="n"/>
      <c r="Q612" s="179" t="inlineStr">
        <is>
          <t>внутр</t>
        </is>
      </c>
      <c r="R612" s="171" t="n"/>
      <c r="S612" s="171" t="n"/>
    </row>
    <row r="613" ht="18" customHeight="1">
      <c r="A613" s="45" t="inlineStr">
        <is>
          <t>работник 82</t>
        </is>
      </c>
      <c r="B613" s="178" t="inlineStr">
        <is>
          <t>Электрогазосварщик (занятый на резке и ручной сварке) | Газоэлектросварщик</t>
        </is>
      </c>
      <c r="C613" s="178" t="inlineStr"/>
      <c r="D613" s="179" t="n"/>
      <c r="E613" s="179" t="inlineStr">
        <is>
          <t>внутр</t>
        </is>
      </c>
      <c r="F613" s="179" t="inlineStr">
        <is>
          <t>внутр</t>
        </is>
      </c>
      <c r="G613" s="179" t="n"/>
      <c r="H613" s="179" t="n"/>
      <c r="I613" s="179" t="n"/>
      <c r="J613" s="179" t="n"/>
      <c r="K613" s="179" t="n"/>
      <c r="L613" s="179" t="n"/>
      <c r="M613" s="179" t="inlineStr">
        <is>
          <t>внутр</t>
        </is>
      </c>
      <c r="N613" s="179" t="inlineStr">
        <is>
          <t>внутр</t>
        </is>
      </c>
      <c r="O613" s="179" t="n"/>
      <c r="P613" s="179" t="inlineStr">
        <is>
          <t>внутр</t>
        </is>
      </c>
      <c r="Q613" s="179" t="inlineStr">
        <is>
          <t>внутр</t>
        </is>
      </c>
      <c r="R613" s="171" t="n"/>
      <c r="S613" s="171" t="n"/>
    </row>
    <row r="614" ht="18" customHeight="1">
      <c r="A614" s="45" t="inlineStr">
        <is>
          <t>работник 399</t>
        </is>
      </c>
      <c r="B614" s="178" t="inlineStr">
        <is>
          <t>Водитель автомобиля (занятый на транспортировании горной массы в технологическом процессе)</t>
        </is>
      </c>
      <c r="C614" s="178" t="inlineStr"/>
      <c r="D614" s="179" t="n"/>
      <c r="E614" s="179" t="inlineStr">
        <is>
          <t>внутр</t>
        </is>
      </c>
      <c r="F614" s="179" t="n"/>
      <c r="G614" s="179" t="n"/>
      <c r="H614" s="179" t="n"/>
      <c r="I614" s="179" t="n"/>
      <c r="J614" s="179" t="n"/>
      <c r="K614" s="179" t="n"/>
      <c r="L614" s="179" t="n"/>
      <c r="M614" s="179" t="n"/>
      <c r="N614" s="179" t="n"/>
      <c r="O614" s="179" t="n"/>
      <c r="P614" s="179" t="n"/>
      <c r="Q614" s="179" t="inlineStr">
        <is>
          <t>внутр</t>
        </is>
      </c>
      <c r="R614" s="171" t="n"/>
      <c r="S614" s="171" t="n"/>
    </row>
    <row r="615" ht="18" customHeight="1">
      <c r="A615" s="45" t="inlineStr">
        <is>
          <t>работник 244</t>
        </is>
      </c>
      <c r="B615" s="178" t="inlineStr">
        <is>
          <t>Регулировщик хвостового хозяйства</t>
        </is>
      </c>
      <c r="C615" s="178" t="inlineStr"/>
      <c r="D615" s="179" t="n"/>
      <c r="E615" s="179" t="inlineStr">
        <is>
          <t>внутр</t>
        </is>
      </c>
      <c r="F615" s="179" t="n"/>
      <c r="G615" s="179" t="n"/>
      <c r="H615" s="179" t="n"/>
      <c r="I615" s="179" t="n"/>
      <c r="J615" s="179" t="n"/>
      <c r="K615" s="179" t="n"/>
      <c r="L615" s="179" t="n"/>
      <c r="M615" s="179" t="n"/>
      <c r="N615" s="179" t="n"/>
      <c r="O615" s="179" t="n"/>
      <c r="P615" s="179" t="inlineStr">
        <is>
          <t>внутр</t>
        </is>
      </c>
      <c r="Q615" s="179" t="inlineStr">
        <is>
          <t>внутр</t>
        </is>
      </c>
      <c r="R615" s="171" t="n"/>
      <c r="S615" s="171" t="n"/>
    </row>
    <row r="616" ht="18" customHeight="1">
      <c r="A616" s="45" t="inlineStr">
        <is>
          <t>работник 170</t>
        </is>
      </c>
      <c r="B616" s="178" t="inlineStr">
        <is>
          <t>Горный диспетчер</t>
        </is>
      </c>
      <c r="C616" s="178" t="inlineStr"/>
      <c r="D616" s="179" t="n"/>
      <c r="E616" s="179" t="inlineStr">
        <is>
          <t>внутр</t>
        </is>
      </c>
      <c r="F616" s="179" t="n"/>
      <c r="G616" s="179" t="n"/>
      <c r="H616" s="179" t="n"/>
      <c r="I616" s="179" t="n"/>
      <c r="J616" s="179" t="n"/>
      <c r="K616" s="179" t="n"/>
      <c r="L616" s="179" t="n"/>
      <c r="M616" s="179" t="n"/>
      <c r="N616" s="179" t="n"/>
      <c r="O616" s="179" t="n"/>
      <c r="P616" s="179" t="inlineStr">
        <is>
          <t>внутр</t>
        </is>
      </c>
      <c r="Q616" s="179" t="inlineStr">
        <is>
          <t>внутр</t>
        </is>
      </c>
      <c r="R616" s="171" t="n"/>
      <c r="S616" s="171" t="n"/>
    </row>
    <row r="617" ht="18" customHeight="1">
      <c r="A617" s="45" t="inlineStr">
        <is>
          <t>работник 327</t>
        </is>
      </c>
      <c r="B617" s="178" t="inlineStr">
        <is>
          <t>Крепильщик (пылевентиляционная служба)</t>
        </is>
      </c>
      <c r="C617" s="178" t="inlineStr"/>
      <c r="D617" s="179" t="n"/>
      <c r="E617" s="179" t="inlineStr">
        <is>
          <t>внутр</t>
        </is>
      </c>
      <c r="F617" s="179" t="n"/>
      <c r="G617" s="179" t="n"/>
      <c r="H617" s="179" t="n"/>
      <c r="I617" s="179" t="n"/>
      <c r="J617" s="179" t="n"/>
      <c r="K617" s="179" t="n"/>
      <c r="L617" s="179" t="n"/>
      <c r="M617" s="179" t="n"/>
      <c r="N617" s="179" t="n"/>
      <c r="O617" s="179" t="n"/>
      <c r="P617" s="179" t="inlineStr">
        <is>
          <t>внутр</t>
        </is>
      </c>
      <c r="Q617" s="179" t="inlineStr">
        <is>
          <t>внутр</t>
        </is>
      </c>
      <c r="R617" s="171" t="n"/>
      <c r="S617" s="171" t="n"/>
    </row>
    <row r="618" ht="18" customHeight="1">
      <c r="A618" s="45" t="inlineStr">
        <is>
          <t>работник 124</t>
        </is>
      </c>
      <c r="B618" s="178" t="inlineStr">
        <is>
          <t>Дробильщик</t>
        </is>
      </c>
      <c r="C618" s="178" t="inlineStr"/>
      <c r="D618" s="179" t="n"/>
      <c r="E618" s="179" t="inlineStr">
        <is>
          <t>внутр</t>
        </is>
      </c>
      <c r="F618" s="179" t="n"/>
      <c r="G618" s="179" t="n"/>
      <c r="H618" s="179" t="n"/>
      <c r="I618" s="179" t="n"/>
      <c r="J618" s="179" t="n"/>
      <c r="K618" s="179" t="n"/>
      <c r="L618" s="179" t="n"/>
      <c r="M618" s="179" t="n"/>
      <c r="N618" s="179" t="n"/>
      <c r="O618" s="179" t="n"/>
      <c r="P618" s="179" t="inlineStr">
        <is>
          <t>внутр</t>
        </is>
      </c>
      <c r="Q618" s="179" t="inlineStr">
        <is>
          <t>внутр</t>
        </is>
      </c>
      <c r="R618" s="171" t="n"/>
      <c r="S618" s="171" t="n"/>
    </row>
    <row r="619" ht="18" customHeight="1">
      <c r="A619" s="45" t="inlineStr">
        <is>
          <t>работник 878</t>
        </is>
      </c>
      <c r="B619" s="178" t="inlineStr">
        <is>
          <t>Аппаратчик-гидрометаллург</t>
        </is>
      </c>
      <c r="C619" s="178" t="inlineStr"/>
      <c r="D619" s="179" t="n"/>
      <c r="E619" s="179" t="inlineStr">
        <is>
          <t>внутр</t>
        </is>
      </c>
      <c r="F619" s="179" t="n"/>
      <c r="G619" s="179" t="n"/>
      <c r="H619" s="179" t="n"/>
      <c r="I619" s="179" t="n"/>
      <c r="J619" s="179" t="n"/>
      <c r="K619" s="179" t="n"/>
      <c r="L619" s="179" t="n"/>
      <c r="M619" s="179" t="n"/>
      <c r="N619" s="179" t="n"/>
      <c r="O619" s="179" t="n"/>
      <c r="P619" s="179" t="inlineStr">
        <is>
          <t>внутр</t>
        </is>
      </c>
      <c r="Q619" s="179" t="inlineStr">
        <is>
          <t>внутр</t>
        </is>
      </c>
      <c r="R619" s="171" t="n"/>
      <c r="S619" s="171" t="n"/>
    </row>
    <row r="620" ht="18" customHeight="1">
      <c r="A620" s="45" t="inlineStr">
        <is>
          <t>работник 171</t>
        </is>
      </c>
      <c r="B620" s="178" t="inlineStr">
        <is>
          <t>Машинист подземно-доставочной машины</t>
        </is>
      </c>
      <c r="C620" s="178" t="inlineStr"/>
      <c r="D620" s="179" t="n"/>
      <c r="E620" s="179" t="inlineStr">
        <is>
          <t>внутр</t>
        </is>
      </c>
      <c r="F620" s="179" t="n"/>
      <c r="G620" s="179" t="n"/>
      <c r="H620" s="179" t="n"/>
      <c r="I620" s="179" t="n"/>
      <c r="J620" s="179" t="n"/>
      <c r="K620" s="179" t="n"/>
      <c r="L620" s="179" t="n"/>
      <c r="M620" s="179" t="n"/>
      <c r="N620" s="179" t="n"/>
      <c r="O620" s="179" t="n"/>
      <c r="P620" s="179" t="inlineStr">
        <is>
          <t>внутр</t>
        </is>
      </c>
      <c r="Q620" s="179" t="inlineStr">
        <is>
          <t>внутр</t>
        </is>
      </c>
      <c r="R620" s="171" t="n"/>
      <c r="S620" s="171" t="n"/>
    </row>
    <row r="621" ht="18" customHeight="1">
      <c r="A621" s="45" t="inlineStr">
        <is>
          <t>работник 603</t>
        </is>
      </c>
      <c r="B621" s="178" t="inlineStr">
        <is>
          <t>Машинист насосных установок | Помощник машиниста самоходной буровой установки (с исполнением обязанностей пробоотборщика)</t>
        </is>
      </c>
      <c r="C621" s="178" t="inlineStr"/>
      <c r="D621" s="179" t="n"/>
      <c r="E621" s="179" t="inlineStr">
        <is>
          <t>внутр</t>
        </is>
      </c>
      <c r="F621" s="179" t="n"/>
      <c r="G621" s="179" t="n"/>
      <c r="H621" s="179" t="n"/>
      <c r="I621" s="179" t="n"/>
      <c r="J621" s="179" t="n"/>
      <c r="K621" s="179" t="n"/>
      <c r="L621" s="179" t="n"/>
      <c r="M621" s="179" t="n"/>
      <c r="N621" s="179" t="n"/>
      <c r="O621" s="179" t="n"/>
      <c r="P621" s="179" t="inlineStr">
        <is>
          <t>внутр</t>
        </is>
      </c>
      <c r="Q621" s="179" t="inlineStr">
        <is>
          <t>внутр</t>
        </is>
      </c>
      <c r="R621" s="171" t="n"/>
      <c r="S621" s="171" t="n"/>
    </row>
    <row r="622" ht="18" customHeight="1">
      <c r="A622" s="45" t="inlineStr">
        <is>
          <t>работник 14</t>
        </is>
      </c>
      <c r="B622" s="178" t="inlineStr">
        <is>
          <t>Начальник автотранспортного цеха</t>
        </is>
      </c>
      <c r="C622" s="178" t="inlineStr">
        <is>
          <t>Руководитель</t>
        </is>
      </c>
      <c r="D622" s="179" t="inlineStr">
        <is>
          <t>внеш</t>
        </is>
      </c>
      <c r="E622" s="179" t="inlineStr">
        <is>
          <t>внеш</t>
        </is>
      </c>
      <c r="F622" s="179" t="n"/>
      <c r="G622" s="179" t="n"/>
      <c r="H622" s="179" t="n"/>
      <c r="I622" s="179" t="n"/>
      <c r="J622" s="179" t="n"/>
      <c r="K622" s="179" t="n"/>
      <c r="L622" s="179" t="n"/>
      <c r="M622" s="179" t="n"/>
      <c r="N622" s="179" t="n"/>
      <c r="O622" s="179" t="n"/>
      <c r="P622" s="181" t="inlineStr">
        <is>
          <t>внеш</t>
        </is>
      </c>
      <c r="Q622" s="181" t="inlineStr">
        <is>
          <t>внеш</t>
        </is>
      </c>
      <c r="R622" s="171" t="n"/>
      <c r="S622" s="171" t="n">
        <v>2</v>
      </c>
    </row>
    <row r="623" ht="18" customHeight="1">
      <c r="A623" s="45" t="inlineStr">
        <is>
          <t>работник 112</t>
        </is>
      </c>
      <c r="B623" s="178" t="inlineStr">
        <is>
          <t>Весовщик</t>
        </is>
      </c>
      <c r="C623" s="178" t="inlineStr"/>
      <c r="D623" s="179" t="n"/>
      <c r="E623" s="179" t="inlineStr">
        <is>
          <t>внутр</t>
        </is>
      </c>
      <c r="F623" s="179" t="n"/>
      <c r="G623" s="179" t="n"/>
      <c r="H623" s="179" t="n"/>
      <c r="I623" s="179" t="n"/>
      <c r="J623" s="179" t="n"/>
      <c r="K623" s="179" t="n"/>
      <c r="L623" s="179" t="n"/>
      <c r="M623" s="179" t="n"/>
      <c r="N623" s="179" t="n"/>
      <c r="O623" s="179" t="n"/>
      <c r="P623" s="179" t="inlineStr">
        <is>
          <t>внутр</t>
        </is>
      </c>
      <c r="Q623" s="179" t="inlineStr">
        <is>
          <t>внутр</t>
        </is>
      </c>
      <c r="R623" s="171" t="n"/>
      <c r="S623" s="171" t="n"/>
    </row>
    <row r="624" ht="18" customHeight="1">
      <c r="A624" s="45" t="inlineStr">
        <is>
          <t>работник 172</t>
        </is>
      </c>
      <c r="B624" s="178" t="inlineStr">
        <is>
          <t>Машинист подземно-доставочной машины | Машинист погрузочно-доставочной машины (занятый на транспортировании горной массы в технологическом процессе)</t>
        </is>
      </c>
      <c r="C624" s="178" t="inlineStr"/>
      <c r="D624" s="179" t="n"/>
      <c r="E624" s="179" t="inlineStr">
        <is>
          <t>внутр</t>
        </is>
      </c>
      <c r="F624" s="179" t="n"/>
      <c r="G624" s="179" t="n"/>
      <c r="H624" s="179" t="n"/>
      <c r="I624" s="179" t="n"/>
      <c r="J624" s="179" t="n"/>
      <c r="K624" s="179" t="n"/>
      <c r="L624" s="179" t="n"/>
      <c r="M624" s="179" t="n"/>
      <c r="N624" s="179" t="n"/>
      <c r="O624" s="179" t="n"/>
      <c r="P624" s="179" t="inlineStr">
        <is>
          <t>внутр</t>
        </is>
      </c>
      <c r="Q624" s="179" t="inlineStr">
        <is>
          <t>внутр</t>
        </is>
      </c>
      <c r="R624" s="171" t="n"/>
      <c r="S624" s="171" t="n"/>
    </row>
    <row r="625" ht="18" customHeight="1">
      <c r="A625" s="45" t="inlineStr">
        <is>
          <t>работник 427</t>
        </is>
      </c>
      <c r="B625" s="178" t="inlineStr">
        <is>
          <t>Аппаратчик-гидрометаллург</t>
        </is>
      </c>
      <c r="C625" s="178" t="inlineStr"/>
      <c r="D625" s="179" t="n"/>
      <c r="E625" s="179" t="inlineStr">
        <is>
          <t>внутр</t>
        </is>
      </c>
      <c r="F625" s="179" t="n"/>
      <c r="G625" s="179" t="n"/>
      <c r="H625" s="179" t="n"/>
      <c r="I625" s="179" t="n"/>
      <c r="J625" s="179" t="n"/>
      <c r="K625" s="179" t="n"/>
      <c r="L625" s="179" t="n"/>
      <c r="M625" s="179" t="n"/>
      <c r="N625" s="179" t="n"/>
      <c r="O625" s="179" t="n"/>
      <c r="P625" s="179" t="n"/>
      <c r="Q625" s="179" t="inlineStr">
        <is>
          <t>внутр</t>
        </is>
      </c>
      <c r="R625" s="171" t="n"/>
      <c r="S625" s="171" t="n"/>
    </row>
    <row r="626" ht="18" customHeight="1">
      <c r="A626" s="45" t="inlineStr">
        <is>
          <t>работник 52</t>
        </is>
      </c>
      <c r="B626" s="178" t="inlineStr">
        <is>
          <t>Машинист ДВС | Машинист двигателей внутреннего сгорания</t>
        </is>
      </c>
      <c r="C626" s="178" t="inlineStr"/>
      <c r="D626" s="179" t="n"/>
      <c r="E626" s="179" t="inlineStr">
        <is>
          <t>внутр</t>
        </is>
      </c>
      <c r="F626" s="179" t="n"/>
      <c r="G626" s="179" t="n"/>
      <c r="H626" s="179" t="n"/>
      <c r="I626" s="179" t="n"/>
      <c r="J626" s="179" t="n"/>
      <c r="K626" s="179" t="n"/>
      <c r="L626" s="179" t="n"/>
      <c r="M626" s="179" t="n"/>
      <c r="N626" s="179" t="n"/>
      <c r="O626" s="179" t="n"/>
      <c r="P626" s="179" t="inlineStr">
        <is>
          <t>внутр</t>
        </is>
      </c>
      <c r="Q626" s="179" t="inlineStr">
        <is>
          <t>внутр</t>
        </is>
      </c>
      <c r="R626" s="171" t="n"/>
      <c r="S626" s="171" t="n"/>
    </row>
    <row r="627" ht="18" customHeight="1">
      <c r="A627" s="45" t="inlineStr">
        <is>
          <t>работник 91</t>
        </is>
      </c>
      <c r="B627" s="178" t="inlineStr">
        <is>
          <t>Машинист насосных установок | Стропальщик (с исполнением обязанностей грузчика) | Стропальщик</t>
        </is>
      </c>
      <c r="C627" s="178" t="inlineStr"/>
      <c r="D627" s="179" t="n"/>
      <c r="E627" s="179" t="inlineStr">
        <is>
          <t>внутр</t>
        </is>
      </c>
      <c r="F627" s="179" t="n"/>
      <c r="G627" s="179" t="n"/>
      <c r="H627" s="179" t="n"/>
      <c r="I627" s="179" t="n"/>
      <c r="J627" s="179" t="n"/>
      <c r="K627" s="179" t="n"/>
      <c r="L627" s="179" t="n"/>
      <c r="M627" s="179" t="n"/>
      <c r="N627" s="179" t="n"/>
      <c r="O627" s="179" t="n"/>
      <c r="P627" s="179" t="inlineStr">
        <is>
          <t>внутр</t>
        </is>
      </c>
      <c r="Q627" s="179" t="inlineStr">
        <is>
          <t>внутр</t>
        </is>
      </c>
      <c r="R627" s="171" t="n"/>
      <c r="S627" s="171" t="n"/>
    </row>
    <row r="628" ht="18" customHeight="1">
      <c r="A628" s="45" t="inlineStr">
        <is>
          <t>работник 775</t>
        </is>
      </c>
      <c r="B628" s="178" t="inlineStr">
        <is>
          <t>Машинист самоходной буровой установки</t>
        </is>
      </c>
      <c r="C628" s="178" t="inlineStr"/>
      <c r="D628" s="179" t="n"/>
      <c r="E628" s="179" t="inlineStr">
        <is>
          <t>внутр</t>
        </is>
      </c>
      <c r="F628" s="179" t="n"/>
      <c r="G628" s="179" t="n"/>
      <c r="H628" s="179" t="n"/>
      <c r="I628" s="179" t="n"/>
      <c r="J628" s="179" t="n"/>
      <c r="K628" s="179" t="n"/>
      <c r="L628" s="179" t="n"/>
      <c r="M628" s="179" t="n"/>
      <c r="N628" s="179" t="n"/>
      <c r="O628" s="179" t="n"/>
      <c r="P628" s="179" t="n"/>
      <c r="Q628" s="179" t="inlineStr">
        <is>
          <t>внутр</t>
        </is>
      </c>
      <c r="R628" s="171" t="n"/>
      <c r="S628" s="171" t="n"/>
    </row>
    <row r="629" ht="18" customHeight="1">
      <c r="A629" s="45" t="inlineStr">
        <is>
          <t>работник 131</t>
        </is>
      </c>
      <c r="B629" s="178" t="inlineStr">
        <is>
          <t>Электрогазосварщик | Электрогазосварщик (занятый на резке и ручной сварке) | Электрогазосварщик, занятый на резке и ручной сварке</t>
        </is>
      </c>
      <c r="C629" s="178" t="inlineStr"/>
      <c r="D629" s="179" t="n"/>
      <c r="E629" s="179" t="inlineStr">
        <is>
          <t>внутр</t>
        </is>
      </c>
      <c r="F629" s="179" t="inlineStr">
        <is>
          <t>внутр</t>
        </is>
      </c>
      <c r="G629" s="179" t="inlineStr">
        <is>
          <t>внутр</t>
        </is>
      </c>
      <c r="H629" s="179" t="inlineStr">
        <is>
          <t>внутр</t>
        </is>
      </c>
      <c r="I629" s="179" t="inlineStr">
        <is>
          <t>внутр</t>
        </is>
      </c>
      <c r="J629" s="179" t="inlineStr">
        <is>
          <t>внутр</t>
        </is>
      </c>
      <c r="K629" s="179" t="inlineStr">
        <is>
          <t>внутр</t>
        </is>
      </c>
      <c r="L629" s="179" t="n"/>
      <c r="M629" s="179" t="n"/>
      <c r="N629" s="179" t="n"/>
      <c r="O629" s="179" t="n"/>
      <c r="P629" s="179" t="inlineStr">
        <is>
          <t>внутр</t>
        </is>
      </c>
      <c r="Q629" s="179" t="inlineStr">
        <is>
          <t>внутр</t>
        </is>
      </c>
      <c r="R629" s="171" t="n"/>
      <c r="S629" s="171" t="n"/>
    </row>
    <row r="630" ht="18" customHeight="1">
      <c r="A630" s="45" t="inlineStr">
        <is>
          <t>работник 113</t>
        </is>
      </c>
      <c r="B630" s="178" t="inlineStr">
        <is>
          <t>Весовщик</t>
        </is>
      </c>
      <c r="C630" s="178" t="inlineStr"/>
      <c r="D630" s="179" t="n"/>
      <c r="E630" s="179" t="inlineStr">
        <is>
          <t>внутр</t>
        </is>
      </c>
      <c r="F630" s="179" t="n"/>
      <c r="G630" s="179" t="n"/>
      <c r="H630" s="179" t="n"/>
      <c r="I630" s="179" t="n"/>
      <c r="J630" s="179" t="n"/>
      <c r="K630" s="179" t="n"/>
      <c r="L630" s="179" t="n"/>
      <c r="M630" s="179" t="n"/>
      <c r="N630" s="179" t="n"/>
      <c r="O630" s="179" t="n"/>
      <c r="P630" s="179" t="inlineStr">
        <is>
          <t>внутр</t>
        </is>
      </c>
      <c r="Q630" s="179" t="inlineStr">
        <is>
          <t>внутр</t>
        </is>
      </c>
      <c r="R630" s="171" t="n"/>
      <c r="S630" s="171" t="n"/>
    </row>
    <row r="631" ht="18" customHeight="1">
      <c r="A631" s="45" t="inlineStr">
        <is>
          <t>работник 589</t>
        </is>
      </c>
      <c r="B631" s="178" t="inlineStr">
        <is>
          <t>Повар</t>
        </is>
      </c>
      <c r="C631" s="178" t="inlineStr"/>
      <c r="D631" s="179" t="n"/>
      <c r="E631" s="179" t="inlineStr">
        <is>
          <t>внутр</t>
        </is>
      </c>
      <c r="F631" s="179" t="n"/>
      <c r="G631" s="179" t="n"/>
      <c r="H631" s="179" t="n"/>
      <c r="I631" s="179" t="n"/>
      <c r="J631" s="179" t="n"/>
      <c r="K631" s="179" t="n"/>
      <c r="L631" s="179" t="n"/>
      <c r="M631" s="179" t="n"/>
      <c r="N631" s="179" t="n"/>
      <c r="O631" s="179" t="n"/>
      <c r="P631" s="179" t="n"/>
      <c r="Q631" s="179" t="inlineStr">
        <is>
          <t>внутр</t>
        </is>
      </c>
      <c r="R631" s="171" t="n"/>
      <c r="S631" s="171" t="n"/>
    </row>
    <row r="632" ht="18" customHeight="1">
      <c r="A632" s="45" t="inlineStr">
        <is>
          <t>работник 501</t>
        </is>
      </c>
      <c r="B632" s="178" t="inlineStr">
        <is>
          <t>Повар</t>
        </is>
      </c>
      <c r="C632" s="178" t="inlineStr"/>
      <c r="D632" s="179" t="n"/>
      <c r="E632" s="179" t="inlineStr">
        <is>
          <t>внутр</t>
        </is>
      </c>
      <c r="F632" s="179" t="n"/>
      <c r="G632" s="179" t="n"/>
      <c r="H632" s="179" t="n"/>
      <c r="I632" s="179" t="n"/>
      <c r="J632" s="179" t="n"/>
      <c r="K632" s="179" t="n"/>
      <c r="L632" s="179" t="n"/>
      <c r="M632" s="179" t="n"/>
      <c r="N632" s="179" t="n"/>
      <c r="O632" s="179" t="n"/>
      <c r="P632" s="179" t="n"/>
      <c r="Q632" s="179" t="inlineStr">
        <is>
          <t>внутр</t>
        </is>
      </c>
      <c r="R632" s="171" t="n"/>
      <c r="S632" s="171" t="n"/>
    </row>
    <row r="633" ht="18" customHeight="1">
      <c r="A633" s="45" t="inlineStr">
        <is>
          <t>работник 804</t>
        </is>
      </c>
      <c r="B633" s="178" t="inlineStr">
        <is>
          <t>Слесарь по ремонту автомобилей и тяжелой техники</t>
        </is>
      </c>
      <c r="C633" s="178" t="inlineStr"/>
      <c r="D633" s="179" t="n"/>
      <c r="E633" s="179" t="inlineStr">
        <is>
          <t>внутр</t>
        </is>
      </c>
      <c r="F633" s="179" t="n"/>
      <c r="G633" s="179" t="inlineStr">
        <is>
          <t>внутр</t>
        </is>
      </c>
      <c r="H633" s="179" t="n"/>
      <c r="I633" s="179" t="n"/>
      <c r="J633" s="179" t="n"/>
      <c r="K633" s="179" t="n"/>
      <c r="L633" s="179" t="n"/>
      <c r="M633" s="179" t="n"/>
      <c r="N633" s="179" t="n"/>
      <c r="O633" s="179" t="n"/>
      <c r="P633" s="179" t="inlineStr">
        <is>
          <t>внутр</t>
        </is>
      </c>
      <c r="Q633" s="179" t="inlineStr">
        <is>
          <t>внутр</t>
        </is>
      </c>
      <c r="R633" s="171" t="n"/>
      <c r="S633" s="171" t="n"/>
    </row>
    <row r="634" ht="18" customHeight="1">
      <c r="A634" s="45" t="inlineStr">
        <is>
          <t>работник 443</t>
        </is>
      </c>
      <c r="B634" s="178" t="inlineStr">
        <is>
          <t>Аппаратчик-гидрометаллург</t>
        </is>
      </c>
      <c r="C634" s="178" t="inlineStr"/>
      <c r="D634" s="179" t="n"/>
      <c r="E634" s="179" t="inlineStr">
        <is>
          <t>внутр</t>
        </is>
      </c>
      <c r="F634" s="179" t="n"/>
      <c r="G634" s="179" t="n"/>
      <c r="H634" s="179" t="n"/>
      <c r="I634" s="179" t="n"/>
      <c r="J634" s="179" t="n"/>
      <c r="K634" s="179" t="n"/>
      <c r="L634" s="179" t="n"/>
      <c r="M634" s="179" t="n"/>
      <c r="N634" s="179" t="n"/>
      <c r="O634" s="179" t="n"/>
      <c r="P634" s="179" t="n"/>
      <c r="Q634" s="179" t="inlineStr">
        <is>
          <t>внутр</t>
        </is>
      </c>
      <c r="R634" s="171" t="n"/>
      <c r="S634" s="171" t="n"/>
    </row>
    <row r="635" ht="18" customHeight="1">
      <c r="A635" s="45" t="inlineStr">
        <is>
          <t>работник 502</t>
        </is>
      </c>
      <c r="B635" s="178" t="inlineStr">
        <is>
          <t>Кухонный рабочий | Подсобный рабочий | Контролёр продукции обогащения | Контролер продукции обогащения</t>
        </is>
      </c>
      <c r="C635" s="178" t="inlineStr"/>
      <c r="D635" s="179" t="n"/>
      <c r="E635" s="179" t="inlineStr">
        <is>
          <t>внутр</t>
        </is>
      </c>
      <c r="F635" s="179" t="n"/>
      <c r="G635" s="179" t="n"/>
      <c r="H635" s="179" t="n"/>
      <c r="I635" s="179" t="n"/>
      <c r="J635" s="179" t="n"/>
      <c r="K635" s="179" t="n"/>
      <c r="L635" s="179" t="n"/>
      <c r="M635" s="179" t="n"/>
      <c r="N635" s="179" t="n"/>
      <c r="O635" s="179" t="n"/>
      <c r="P635" s="179" t="inlineStr">
        <is>
          <t>внутр</t>
        </is>
      </c>
      <c r="Q635" s="179" t="inlineStr">
        <is>
          <t>внутр</t>
        </is>
      </c>
      <c r="R635" s="171" t="n"/>
      <c r="S635" s="171" t="n"/>
    </row>
    <row r="636" ht="18" customHeight="1">
      <c r="A636" s="45" t="inlineStr">
        <is>
          <t>работник 189</t>
        </is>
      </c>
      <c r="B636" s="178" t="inlineStr">
        <is>
          <t>Водитель погрузчика</t>
        </is>
      </c>
      <c r="C636" s="178" t="inlineStr"/>
      <c r="D636" s="179" t="n"/>
      <c r="E636" s="179" t="inlineStr">
        <is>
          <t>внутр</t>
        </is>
      </c>
      <c r="F636" s="179" t="n"/>
      <c r="G636" s="179" t="n"/>
      <c r="H636" s="179" t="n"/>
      <c r="I636" s="179" t="n"/>
      <c r="J636" s="179" t="n"/>
      <c r="K636" s="179" t="n"/>
      <c r="L636" s="179" t="n"/>
      <c r="M636" s="179" t="n"/>
      <c r="N636" s="179" t="n"/>
      <c r="O636" s="179" t="n"/>
      <c r="P636" s="179" t="inlineStr">
        <is>
          <t>внутр</t>
        </is>
      </c>
      <c r="Q636" s="179" t="inlineStr">
        <is>
          <t>внутр</t>
        </is>
      </c>
      <c r="R636" s="171" t="n"/>
      <c r="S636" s="171" t="n"/>
    </row>
    <row r="637" ht="18" customHeight="1">
      <c r="A637" s="45" t="inlineStr">
        <is>
          <t>работник 129</t>
        </is>
      </c>
      <c r="B637" s="178" t="inlineStr">
        <is>
          <t>Слесарь-ремонтник</t>
        </is>
      </c>
      <c r="C637" s="178" t="inlineStr"/>
      <c r="D637" s="179" t="n"/>
      <c r="E637" s="179" t="inlineStr">
        <is>
          <t>внутр</t>
        </is>
      </c>
      <c r="F637" s="179" t="inlineStr">
        <is>
          <t>внутр</t>
        </is>
      </c>
      <c r="G637" s="179" t="inlineStr">
        <is>
          <t>внутр</t>
        </is>
      </c>
      <c r="H637" s="179" t="inlineStr">
        <is>
          <t>внутр</t>
        </is>
      </c>
      <c r="I637" s="179" t="inlineStr">
        <is>
          <t>внутр</t>
        </is>
      </c>
      <c r="J637" s="179" t="inlineStr">
        <is>
          <t>внутр</t>
        </is>
      </c>
      <c r="K637" s="179" t="inlineStr">
        <is>
          <t>внутр</t>
        </is>
      </c>
      <c r="L637" s="179" t="n"/>
      <c r="M637" s="179" t="n"/>
      <c r="N637" s="179" t="n"/>
      <c r="O637" s="179" t="n"/>
      <c r="P637" s="179" t="n"/>
      <c r="Q637" s="179" t="inlineStr">
        <is>
          <t>внутр</t>
        </is>
      </c>
      <c r="R637" s="171" t="n"/>
      <c r="S637" s="171" t="n"/>
    </row>
    <row r="638" ht="18" customHeight="1">
      <c r="A638" s="45" t="inlineStr">
        <is>
          <t>работник 492</t>
        </is>
      </c>
      <c r="B638" s="178" t="inlineStr">
        <is>
          <t>Горный диспетчер</t>
        </is>
      </c>
      <c r="C638" s="178" t="inlineStr"/>
      <c r="D638" s="179" t="n"/>
      <c r="E638" s="179" t="inlineStr">
        <is>
          <t>внутр</t>
        </is>
      </c>
      <c r="F638" s="179" t="n"/>
      <c r="G638" s="179" t="n"/>
      <c r="H638" s="179" t="n"/>
      <c r="I638" s="179" t="n"/>
      <c r="J638" s="179" t="n"/>
      <c r="K638" s="179" t="n"/>
      <c r="L638" s="179" t="n"/>
      <c r="M638" s="179" t="n"/>
      <c r="N638" s="179" t="n"/>
      <c r="O638" s="179" t="n"/>
      <c r="P638" s="179" t="n"/>
      <c r="Q638" s="179" t="inlineStr">
        <is>
          <t>внутр</t>
        </is>
      </c>
      <c r="R638" s="171" t="n"/>
      <c r="S638" s="171" t="n"/>
    </row>
    <row r="639" ht="18" customHeight="1">
      <c r="A639" s="45" t="inlineStr">
        <is>
          <t>работник 615</t>
        </is>
      </c>
      <c r="B639" s="178" t="inlineStr">
        <is>
          <t>Бункеровщик</t>
        </is>
      </c>
      <c r="C639" s="178" t="inlineStr"/>
      <c r="D639" s="179" t="n"/>
      <c r="E639" s="179" t="inlineStr">
        <is>
          <t>внутр</t>
        </is>
      </c>
      <c r="F639" s="179" t="n"/>
      <c r="G639" s="179" t="n"/>
      <c r="H639" s="179" t="n"/>
      <c r="I639" s="179" t="n"/>
      <c r="J639" s="179" t="n"/>
      <c r="K639" s="179" t="n"/>
      <c r="L639" s="179" t="n"/>
      <c r="M639" s="179" t="n"/>
      <c r="N639" s="179" t="n"/>
      <c r="O639" s="179" t="n"/>
      <c r="P639" s="179" t="n"/>
      <c r="Q639" s="179" t="inlineStr">
        <is>
          <t>внутр</t>
        </is>
      </c>
      <c r="R639" s="171" t="n"/>
      <c r="S639" s="171" t="n"/>
    </row>
    <row r="640" ht="18" customHeight="1">
      <c r="A640" s="45" t="inlineStr">
        <is>
          <t>работник 226</t>
        </is>
      </c>
      <c r="B640" s="178" t="inlineStr">
        <is>
          <t>Кладовщик | Пробоотборщик</t>
        </is>
      </c>
      <c r="C640" s="178" t="inlineStr"/>
      <c r="D640" s="179" t="n"/>
      <c r="E640" s="179" t="inlineStr">
        <is>
          <t>внутр</t>
        </is>
      </c>
      <c r="F640" s="179" t="n"/>
      <c r="G640" s="179" t="n"/>
      <c r="H640" s="179" t="n"/>
      <c r="I640" s="179" t="n"/>
      <c r="J640" s="179" t="n"/>
      <c r="K640" s="179" t="n"/>
      <c r="L640" s="179" t="n"/>
      <c r="M640" s="179" t="n"/>
      <c r="N640" s="179" t="n"/>
      <c r="O640" s="179" t="n"/>
      <c r="P640" s="179" t="inlineStr">
        <is>
          <t>внутр</t>
        </is>
      </c>
      <c r="Q640" s="179" t="inlineStr">
        <is>
          <t>внутр</t>
        </is>
      </c>
      <c r="R640" s="171" t="n"/>
      <c r="S640" s="171" t="n"/>
    </row>
    <row r="641" ht="18" customHeight="1">
      <c r="A641" s="45" t="inlineStr">
        <is>
          <t>работник 526</t>
        </is>
      </c>
      <c r="B641" s="178" t="inlineStr">
        <is>
          <t>Фильтровальщик</t>
        </is>
      </c>
      <c r="C641" s="178" t="inlineStr"/>
      <c r="D641" s="179" t="n"/>
      <c r="E641" s="179" t="inlineStr">
        <is>
          <t>внутр</t>
        </is>
      </c>
      <c r="F641" s="179" t="n"/>
      <c r="G641" s="179" t="n"/>
      <c r="H641" s="179" t="n"/>
      <c r="I641" s="179" t="n"/>
      <c r="J641" s="179" t="n"/>
      <c r="K641" s="179" t="n"/>
      <c r="L641" s="179" t="n"/>
      <c r="M641" s="179" t="n"/>
      <c r="N641" s="179" t="n"/>
      <c r="O641" s="179" t="n"/>
      <c r="P641" s="179" t="n"/>
      <c r="Q641" s="179" t="inlineStr">
        <is>
          <t>внутр</t>
        </is>
      </c>
      <c r="R641" s="171" t="n"/>
      <c r="S641" s="171" t="n"/>
    </row>
    <row r="642" ht="18" customHeight="1">
      <c r="A642" s="45" t="inlineStr">
        <is>
          <t>работник 286</t>
        </is>
      </c>
      <c r="B642" s="178" t="inlineStr">
        <is>
          <t>Водитель автомобиля (занятый на транспортировании горной массы в технологическом процессе)</t>
        </is>
      </c>
      <c r="C642" s="178" t="inlineStr"/>
      <c r="D642" s="179" t="n"/>
      <c r="E642" s="179" t="inlineStr">
        <is>
          <t>внутр</t>
        </is>
      </c>
      <c r="F642" s="179" t="n"/>
      <c r="G642" s="179" t="n"/>
      <c r="H642" s="179" t="n"/>
      <c r="I642" s="179" t="n"/>
      <c r="J642" s="179" t="n"/>
      <c r="K642" s="179" t="n"/>
      <c r="L642" s="179" t="n"/>
      <c r="M642" s="179" t="n"/>
      <c r="N642" s="179" t="n"/>
      <c r="O642" s="179" t="n"/>
      <c r="P642" s="179" t="inlineStr">
        <is>
          <t>внутр</t>
        </is>
      </c>
      <c r="Q642" s="179" t="inlineStr">
        <is>
          <t>внутр</t>
        </is>
      </c>
      <c r="R642" s="171" t="n"/>
      <c r="S642" s="171" t="n"/>
    </row>
    <row r="643" ht="18" customHeight="1">
      <c r="A643" s="45" t="inlineStr">
        <is>
          <t>работник 36</t>
        </is>
      </c>
      <c r="B643" s="178" t="inlineStr">
        <is>
          <t>Дробильщик</t>
        </is>
      </c>
      <c r="C643" s="178" t="inlineStr"/>
      <c r="D643" s="179" t="n"/>
      <c r="E643" s="179" t="inlineStr">
        <is>
          <t>внутр</t>
        </is>
      </c>
      <c r="F643" s="179" t="n"/>
      <c r="G643" s="179" t="n"/>
      <c r="H643" s="179" t="n"/>
      <c r="I643" s="179" t="n"/>
      <c r="J643" s="179" t="n"/>
      <c r="K643" s="179" t="n"/>
      <c r="L643" s="179" t="n"/>
      <c r="M643" s="179" t="n"/>
      <c r="N643" s="179" t="n"/>
      <c r="O643" s="179" t="n"/>
      <c r="P643" s="179" t="inlineStr">
        <is>
          <t>внутр</t>
        </is>
      </c>
      <c r="Q643" s="179" t="inlineStr">
        <is>
          <t>внутр</t>
        </is>
      </c>
      <c r="R643" s="171" t="n"/>
      <c r="S643" s="171" t="n"/>
    </row>
    <row r="644" ht="18" customHeight="1">
      <c r="A644" s="45" t="inlineStr">
        <is>
          <t>работник 907</t>
        </is>
      </c>
      <c r="B644" s="178" t="inlineStr">
        <is>
          <t>Слесарь по ремонту автомобилей (ДВС)</t>
        </is>
      </c>
      <c r="C644" s="178" t="inlineStr"/>
      <c r="D644" s="179" t="n"/>
      <c r="E644" s="179" t="inlineStr">
        <is>
          <t>внутр</t>
        </is>
      </c>
      <c r="F644" s="179" t="n"/>
      <c r="G644" s="179" t="n"/>
      <c r="H644" s="179" t="n"/>
      <c r="I644" s="179" t="n"/>
      <c r="J644" s="179" t="n"/>
      <c r="K644" s="179" t="n"/>
      <c r="L644" s="179" t="n"/>
      <c r="M644" s="179" t="n"/>
      <c r="N644" s="179" t="n"/>
      <c r="O644" s="179" t="n"/>
      <c r="P644" s="179" t="inlineStr">
        <is>
          <t>внутр</t>
        </is>
      </c>
      <c r="Q644" s="179" t="inlineStr">
        <is>
          <t>внутр</t>
        </is>
      </c>
      <c r="R644" s="171" t="n"/>
      <c r="S644" s="171" t="n"/>
    </row>
    <row r="645" ht="18" customHeight="1">
      <c r="A645" s="45" t="inlineStr">
        <is>
          <t>работник 732</t>
        </is>
      </c>
      <c r="B645" s="178" t="inlineStr">
        <is>
          <t>Машинист бульдозера</t>
        </is>
      </c>
      <c r="C645" s="178" t="inlineStr"/>
      <c r="D645" s="179" t="n"/>
      <c r="E645" s="179" t="inlineStr">
        <is>
          <t>внутр</t>
        </is>
      </c>
      <c r="F645" s="179" t="n"/>
      <c r="G645" s="179" t="n"/>
      <c r="H645" s="179" t="n"/>
      <c r="I645" s="179" t="n"/>
      <c r="J645" s="179" t="n"/>
      <c r="K645" s="179" t="n"/>
      <c r="L645" s="179" t="n"/>
      <c r="M645" s="179" t="n"/>
      <c r="N645" s="179" t="n"/>
      <c r="O645" s="179" t="n"/>
      <c r="P645" s="179" t="n"/>
      <c r="Q645" s="179" t="inlineStr">
        <is>
          <t>внутр</t>
        </is>
      </c>
      <c r="R645" s="171" t="n"/>
      <c r="S645" s="171" t="n"/>
    </row>
    <row r="646" ht="18" customHeight="1">
      <c r="A646" s="45" t="inlineStr">
        <is>
          <t>работник 442</t>
        </is>
      </c>
      <c r="B646" s="178" t="inlineStr">
        <is>
          <t>Аппаратчик-гидрометаллург</t>
        </is>
      </c>
      <c r="C646" s="178" t="inlineStr"/>
      <c r="D646" s="179" t="n"/>
      <c r="E646" s="179" t="inlineStr">
        <is>
          <t>внутр</t>
        </is>
      </c>
      <c r="F646" s="179" t="n"/>
      <c r="G646" s="179" t="n"/>
      <c r="H646" s="179" t="n"/>
      <c r="I646" s="179" t="n"/>
      <c r="J646" s="179" t="n"/>
      <c r="K646" s="179" t="n"/>
      <c r="L646" s="179" t="n"/>
      <c r="M646" s="179" t="n"/>
      <c r="N646" s="179" t="n"/>
      <c r="O646" s="179" t="n"/>
      <c r="P646" s="179" t="n"/>
      <c r="Q646" s="179" t="inlineStr">
        <is>
          <t>внутр</t>
        </is>
      </c>
      <c r="R646" s="171" t="n"/>
      <c r="S646" s="171" t="n"/>
    </row>
    <row r="647" ht="18" customHeight="1">
      <c r="A647" s="45" t="inlineStr">
        <is>
          <t>работник 588</t>
        </is>
      </c>
      <c r="B647" s="178" t="inlineStr">
        <is>
          <t>Горничная</t>
        </is>
      </c>
      <c r="C647" s="178" t="inlineStr"/>
      <c r="D647" s="179" t="n"/>
      <c r="E647" s="179" t="inlineStr">
        <is>
          <t>внутр</t>
        </is>
      </c>
      <c r="F647" s="179" t="n"/>
      <c r="G647" s="179" t="n"/>
      <c r="H647" s="179" t="n"/>
      <c r="I647" s="179" t="n"/>
      <c r="J647" s="179" t="n"/>
      <c r="K647" s="179" t="n"/>
      <c r="L647" s="179" t="n"/>
      <c r="M647" s="179" t="n"/>
      <c r="N647" s="179" t="n"/>
      <c r="O647" s="179" t="n"/>
      <c r="P647" s="179" t="n"/>
      <c r="Q647" s="179" t="inlineStr">
        <is>
          <t>внутр</t>
        </is>
      </c>
      <c r="R647" s="171" t="n"/>
      <c r="S647" s="171" t="n"/>
    </row>
    <row r="648" ht="18" customHeight="1">
      <c r="A648" s="45" t="inlineStr">
        <is>
          <t>работник 848</t>
        </is>
      </c>
      <c r="B648" s="178" t="inlineStr">
        <is>
          <t>Проходчик (с исполнением обязанностей взрывника)</t>
        </is>
      </c>
      <c r="C648" s="178" t="inlineStr"/>
      <c r="D648" s="179" t="n"/>
      <c r="E648" s="179" t="inlineStr">
        <is>
          <t>внутр</t>
        </is>
      </c>
      <c r="F648" s="179" t="n"/>
      <c r="G648" s="179" t="n"/>
      <c r="H648" s="179" t="n"/>
      <c r="I648" s="179" t="n"/>
      <c r="J648" s="179" t="n"/>
      <c r="K648" s="179" t="n"/>
      <c r="L648" s="179" t="n"/>
      <c r="M648" s="179" t="n"/>
      <c r="N648" s="179" t="n"/>
      <c r="O648" s="179" t="n"/>
      <c r="P648" s="179" t="inlineStr">
        <is>
          <t>внутр</t>
        </is>
      </c>
      <c r="Q648" s="179" t="inlineStr">
        <is>
          <t>внутр</t>
        </is>
      </c>
      <c r="R648" s="171" t="n"/>
      <c r="S648" s="171" t="n"/>
    </row>
    <row r="649" ht="18" customHeight="1">
      <c r="A649" s="45" t="inlineStr">
        <is>
          <t>работник 669</t>
        </is>
      </c>
      <c r="B649" s="178" t="inlineStr">
        <is>
          <t>Участковый маркшейдер</t>
        </is>
      </c>
      <c r="C649" s="178" t="inlineStr"/>
      <c r="D649" s="179" t="n"/>
      <c r="E649" s="179" t="inlineStr">
        <is>
          <t>внутр</t>
        </is>
      </c>
      <c r="F649" s="179" t="n"/>
      <c r="G649" s="179" t="n"/>
      <c r="H649" s="179" t="n"/>
      <c r="I649" s="179" t="n"/>
      <c r="J649" s="179" t="n"/>
      <c r="K649" s="179" t="n"/>
      <c r="L649" s="179" t="n"/>
      <c r="M649" s="179" t="n"/>
      <c r="N649" s="179" t="n"/>
      <c r="O649" s="179" t="n"/>
      <c r="P649" s="179" t="n"/>
      <c r="Q649" s="179" t="inlineStr">
        <is>
          <t>внутр</t>
        </is>
      </c>
      <c r="R649" s="171" t="n"/>
      <c r="S649" s="171" t="n"/>
    </row>
    <row r="650" ht="18" customHeight="1">
      <c r="A650" s="45" t="inlineStr">
        <is>
          <t>работник 138</t>
        </is>
      </c>
      <c r="B650" s="178" t="inlineStr">
        <is>
          <t>Пробоотборщик</t>
        </is>
      </c>
      <c r="C650" s="178" t="inlineStr"/>
      <c r="D650" s="179" t="n"/>
      <c r="E650" s="179" t="inlineStr">
        <is>
          <t>внутр</t>
        </is>
      </c>
      <c r="F650" s="179" t="n"/>
      <c r="G650" s="179" t="n"/>
      <c r="H650" s="179" t="n"/>
      <c r="I650" s="179" t="n"/>
      <c r="J650" s="179" t="n"/>
      <c r="K650" s="179" t="n"/>
      <c r="L650" s="179" t="n"/>
      <c r="M650" s="179" t="n"/>
      <c r="N650" s="179" t="n"/>
      <c r="O650" s="179" t="n"/>
      <c r="P650" s="179" t="inlineStr">
        <is>
          <t>внутр</t>
        </is>
      </c>
      <c r="Q650" s="179" t="inlineStr">
        <is>
          <t>внутр</t>
        </is>
      </c>
      <c r="R650" s="171" t="n"/>
      <c r="S650" s="171" t="n"/>
    </row>
    <row r="651" ht="18" customHeight="1">
      <c r="A651" s="45" t="inlineStr">
        <is>
          <t>работник 329</t>
        </is>
      </c>
      <c r="B651" s="178" t="inlineStr">
        <is>
          <t>Машинист мельниц</t>
        </is>
      </c>
      <c r="C651" s="178" t="inlineStr"/>
      <c r="D651" s="179" t="n"/>
      <c r="E651" s="179" t="inlineStr">
        <is>
          <t>внутр</t>
        </is>
      </c>
      <c r="F651" s="179" t="n"/>
      <c r="G651" s="179" t="n"/>
      <c r="H651" s="179" t="n"/>
      <c r="I651" s="179" t="n"/>
      <c r="J651" s="179" t="n"/>
      <c r="K651" s="179" t="n"/>
      <c r="L651" s="179" t="n"/>
      <c r="M651" s="179" t="n"/>
      <c r="N651" s="179" t="n"/>
      <c r="O651" s="179" t="n"/>
      <c r="P651" s="179" t="inlineStr">
        <is>
          <t>внутр</t>
        </is>
      </c>
      <c r="Q651" s="179" t="inlineStr">
        <is>
          <t>внутр</t>
        </is>
      </c>
      <c r="R651" s="171" t="n"/>
      <c r="S651" s="171" t="n"/>
    </row>
    <row r="652" ht="18" customHeight="1">
      <c r="A652" s="45" t="inlineStr">
        <is>
          <t>работник 350</t>
        </is>
      </c>
      <c r="B652" s="178" t="inlineStr">
        <is>
          <t>Ламповщик | Уборщик производственных и служебных помещений</t>
        </is>
      </c>
      <c r="C652" s="178" t="inlineStr"/>
      <c r="D652" s="179" t="n"/>
      <c r="E652" s="179" t="inlineStr">
        <is>
          <t>внутр</t>
        </is>
      </c>
      <c r="F652" s="179" t="n"/>
      <c r="G652" s="179" t="n"/>
      <c r="H652" s="179" t="n"/>
      <c r="I652" s="179" t="n"/>
      <c r="J652" s="179" t="n"/>
      <c r="K652" s="179" t="n"/>
      <c r="L652" s="179" t="n"/>
      <c r="M652" s="179" t="n"/>
      <c r="N652" s="179" t="n"/>
      <c r="O652" s="179" t="n"/>
      <c r="P652" s="179" t="inlineStr">
        <is>
          <t>внутр</t>
        </is>
      </c>
      <c r="Q652" s="179" t="inlineStr">
        <is>
          <t>внутр</t>
        </is>
      </c>
      <c r="R652" s="171" t="n"/>
      <c r="S652" s="171" t="n"/>
    </row>
    <row r="653" ht="18" customHeight="1">
      <c r="A653" s="45" t="inlineStr">
        <is>
          <t>работник 573</t>
        </is>
      </c>
      <c r="B653" s="178" t="inlineStr">
        <is>
          <t>Машинист двигателей внутреннего сгорания</t>
        </is>
      </c>
      <c r="C653" s="178" t="inlineStr"/>
      <c r="D653" s="179" t="n"/>
      <c r="E653" s="179" t="inlineStr">
        <is>
          <t>внутр</t>
        </is>
      </c>
      <c r="F653" s="179" t="n"/>
      <c r="G653" s="179" t="n"/>
      <c r="H653" s="179" t="n"/>
      <c r="I653" s="179" t="n"/>
      <c r="J653" s="179" t="n"/>
      <c r="K653" s="179" t="n"/>
      <c r="L653" s="179" t="n"/>
      <c r="M653" s="179" t="n"/>
      <c r="N653" s="179" t="n"/>
      <c r="O653" s="179" t="n"/>
      <c r="P653" s="179" t="n"/>
      <c r="Q653" s="179" t="inlineStr">
        <is>
          <t>внутр</t>
        </is>
      </c>
      <c r="R653" s="171" t="n"/>
      <c r="S653" s="171" t="n"/>
    </row>
    <row r="654" ht="18" customHeight="1">
      <c r="A654" s="45" t="inlineStr">
        <is>
          <t>работник 396</t>
        </is>
      </c>
      <c r="B654" s="178" t="inlineStr">
        <is>
          <t>Кухонный рабочий</t>
        </is>
      </c>
      <c r="C654" s="178" t="inlineStr"/>
      <c r="D654" s="179" t="n"/>
      <c r="E654" s="179" t="inlineStr">
        <is>
          <t>внутр</t>
        </is>
      </c>
      <c r="F654" s="179" t="n"/>
      <c r="G654" s="179" t="n"/>
      <c r="H654" s="179" t="n"/>
      <c r="I654" s="179" t="n"/>
      <c r="J654" s="179" t="n"/>
      <c r="K654" s="179" t="n"/>
      <c r="L654" s="179" t="n"/>
      <c r="M654" s="179" t="n"/>
      <c r="N654" s="179" t="n"/>
      <c r="O654" s="179" t="n"/>
      <c r="P654" s="179" t="inlineStr">
        <is>
          <t>внутр</t>
        </is>
      </c>
      <c r="Q654" s="179" t="inlineStr">
        <is>
          <t>внутр</t>
        </is>
      </c>
      <c r="R654" s="171" t="n"/>
      <c r="S654" s="171" t="n"/>
    </row>
    <row r="655" ht="18" customHeight="1">
      <c r="A655" s="45" t="inlineStr">
        <is>
          <t>работник 194</t>
        </is>
      </c>
      <c r="B655" s="178" t="inlineStr">
        <is>
          <t>Машинист экскаватора</t>
        </is>
      </c>
      <c r="C655" s="178" t="inlineStr"/>
      <c r="D655" s="179" t="n"/>
      <c r="E655" s="179" t="inlineStr">
        <is>
          <t>внутр</t>
        </is>
      </c>
      <c r="F655" s="179" t="n"/>
      <c r="G655" s="179" t="n"/>
      <c r="H655" s="179" t="n"/>
      <c r="I655" s="179" t="n"/>
      <c r="J655" s="179" t="n"/>
      <c r="K655" s="179" t="n"/>
      <c r="L655" s="179" t="n"/>
      <c r="M655" s="179" t="n"/>
      <c r="N655" s="179" t="n"/>
      <c r="O655" s="179" t="n"/>
      <c r="P655" s="179" t="inlineStr">
        <is>
          <t>внутр</t>
        </is>
      </c>
      <c r="Q655" s="179" t="inlineStr">
        <is>
          <t>внутр</t>
        </is>
      </c>
      <c r="R655" s="171" t="n"/>
      <c r="S655" s="171" t="n"/>
    </row>
    <row r="656" ht="18" customHeight="1">
      <c r="A656" s="45" t="inlineStr">
        <is>
          <t>работник 388</t>
        </is>
      </c>
      <c r="B656" s="178" t="inlineStr">
        <is>
          <t>Дробильщик</t>
        </is>
      </c>
      <c r="C656" s="178" t="inlineStr"/>
      <c r="D656" s="179" t="n"/>
      <c r="E656" s="179" t="inlineStr">
        <is>
          <t>внутр</t>
        </is>
      </c>
      <c r="F656" s="179" t="n"/>
      <c r="G656" s="179" t="n"/>
      <c r="H656" s="179" t="n"/>
      <c r="I656" s="179" t="n"/>
      <c r="J656" s="179" t="n"/>
      <c r="K656" s="179" t="n"/>
      <c r="L656" s="179" t="n"/>
      <c r="M656" s="179" t="n"/>
      <c r="N656" s="179" t="n"/>
      <c r="O656" s="179" t="n"/>
      <c r="P656" s="179" t="inlineStr">
        <is>
          <t>внутр</t>
        </is>
      </c>
      <c r="Q656" s="179" t="inlineStr">
        <is>
          <t>внутр</t>
        </is>
      </c>
      <c r="R656" s="171" t="n"/>
      <c r="S656" s="171" t="n"/>
    </row>
    <row r="657" ht="18" customHeight="1">
      <c r="A657" s="45" t="inlineStr">
        <is>
          <t>работник 577</t>
        </is>
      </c>
      <c r="B657" s="178" t="inlineStr">
        <is>
          <t>Аппаратчик-гидрометаллург</t>
        </is>
      </c>
      <c r="C657" s="178" t="inlineStr"/>
      <c r="D657" s="179" t="n"/>
      <c r="E657" s="179" t="inlineStr">
        <is>
          <t>внутр</t>
        </is>
      </c>
      <c r="F657" s="179" t="n"/>
      <c r="G657" s="179" t="n"/>
      <c r="H657" s="179" t="n"/>
      <c r="I657" s="179" t="n"/>
      <c r="J657" s="179" t="n"/>
      <c r="K657" s="179" t="n"/>
      <c r="L657" s="179" t="n"/>
      <c r="M657" s="179" t="n"/>
      <c r="N657" s="179" t="n"/>
      <c r="O657" s="179" t="n"/>
      <c r="P657" s="179" t="n"/>
      <c r="Q657" s="179" t="inlineStr">
        <is>
          <t>внутр</t>
        </is>
      </c>
      <c r="R657" s="171" t="n"/>
      <c r="S657" s="171" t="n"/>
    </row>
    <row r="658" ht="18" customHeight="1">
      <c r="A658" s="45" t="inlineStr">
        <is>
          <t>работник 598</t>
        </is>
      </c>
      <c r="B658" s="178" t="inlineStr">
        <is>
          <t>Мастер горный</t>
        </is>
      </c>
      <c r="C658" s="178" t="inlineStr">
        <is>
          <t>Руководитель</t>
        </is>
      </c>
      <c r="D658" s="179" t="n"/>
      <c r="E658" s="180" t="inlineStr">
        <is>
          <t>внутр</t>
        </is>
      </c>
      <c r="F658" s="179" t="n"/>
      <c r="G658" s="179" t="n"/>
      <c r="H658" s="179" t="n"/>
      <c r="I658" s="179" t="n"/>
      <c r="J658" s="179" t="n"/>
      <c r="K658" s="179" t="n"/>
      <c r="L658" s="179" t="n"/>
      <c r="M658" s="179" t="n"/>
      <c r="N658" s="179" t="n"/>
      <c r="O658" s="179" t="n"/>
      <c r="P658" s="179" t="n"/>
      <c r="Q658" s="179" t="inlineStr">
        <is>
          <t>внутр</t>
        </is>
      </c>
      <c r="R658" s="171" t="n">
        <v>1</v>
      </c>
      <c r="S658" s="171" t="n"/>
    </row>
    <row r="659" ht="18" customHeight="1">
      <c r="A659" s="45" t="inlineStr">
        <is>
          <t>работник 96</t>
        </is>
      </c>
      <c r="B659" s="178" t="inlineStr">
        <is>
          <t>Кухонный рабочий</t>
        </is>
      </c>
      <c r="C659" s="178" t="inlineStr"/>
      <c r="D659" s="179" t="n"/>
      <c r="E659" s="179" t="inlineStr">
        <is>
          <t>внутр</t>
        </is>
      </c>
      <c r="F659" s="179" t="n"/>
      <c r="G659" s="179" t="n"/>
      <c r="H659" s="179" t="n"/>
      <c r="I659" s="179" t="n"/>
      <c r="J659" s="179" t="n"/>
      <c r="K659" s="179" t="n"/>
      <c r="L659" s="179" t="n"/>
      <c r="M659" s="179" t="n"/>
      <c r="N659" s="179" t="n"/>
      <c r="O659" s="179" t="n"/>
      <c r="P659" s="179" t="inlineStr">
        <is>
          <t>внутр</t>
        </is>
      </c>
      <c r="Q659" s="179" t="inlineStr">
        <is>
          <t>внутр</t>
        </is>
      </c>
      <c r="R659" s="171" t="n"/>
      <c r="S659" s="171" t="n"/>
    </row>
    <row r="660" ht="18" customHeight="1">
      <c r="A660" s="45" t="inlineStr">
        <is>
          <t>работник 92</t>
        </is>
      </c>
      <c r="B660" s="178" t="inlineStr">
        <is>
          <t>Машинист насосных установок</t>
        </is>
      </c>
      <c r="C660" s="178" t="inlineStr"/>
      <c r="D660" s="179" t="n"/>
      <c r="E660" s="179" t="inlineStr">
        <is>
          <t>внутр</t>
        </is>
      </c>
      <c r="F660" s="179" t="n"/>
      <c r="G660" s="179" t="n"/>
      <c r="H660" s="179" t="n"/>
      <c r="I660" s="179" t="n"/>
      <c r="J660" s="179" t="n"/>
      <c r="K660" s="179" t="n"/>
      <c r="L660" s="179" t="n"/>
      <c r="M660" s="179" t="n"/>
      <c r="N660" s="179" t="n"/>
      <c r="O660" s="179" t="n"/>
      <c r="P660" s="179" t="inlineStr">
        <is>
          <t>внутр</t>
        </is>
      </c>
      <c r="Q660" s="179" t="inlineStr">
        <is>
          <t>внутр</t>
        </is>
      </c>
      <c r="R660" s="171" t="n"/>
      <c r="S660" s="171" t="n"/>
    </row>
    <row r="661" ht="18" customHeight="1">
      <c r="A661" s="45" t="inlineStr">
        <is>
          <t>работник 906</t>
        </is>
      </c>
      <c r="B661" s="178" t="inlineStr">
        <is>
          <t>Слесарь-электрик по ремонту электрооборудования</t>
        </is>
      </c>
      <c r="C661" s="178" t="inlineStr"/>
      <c r="D661" s="179" t="n"/>
      <c r="E661" s="179" t="inlineStr">
        <is>
          <t>внутр</t>
        </is>
      </c>
      <c r="F661" s="179" t="n"/>
      <c r="G661" s="179" t="n"/>
      <c r="H661" s="179" t="n"/>
      <c r="I661" s="179" t="n"/>
      <c r="J661" s="179" t="n"/>
      <c r="K661" s="179" t="n"/>
      <c r="L661" s="179" t="n"/>
      <c r="M661" s="179" t="n"/>
      <c r="N661" s="179" t="n"/>
      <c r="O661" s="179" t="n"/>
      <c r="P661" s="179" t="inlineStr">
        <is>
          <t>внутр</t>
        </is>
      </c>
      <c r="Q661" s="179" t="inlineStr">
        <is>
          <t>внутр</t>
        </is>
      </c>
      <c r="R661" s="171" t="n"/>
      <c r="S661" s="171" t="n"/>
    </row>
    <row r="662" ht="18" customHeight="1">
      <c r="A662" s="45" t="inlineStr">
        <is>
          <t>работник 206</t>
        </is>
      </c>
      <c r="B662" s="178" t="inlineStr">
        <is>
          <t>Машинист бульдозера</t>
        </is>
      </c>
      <c r="C662" s="178" t="inlineStr"/>
      <c r="D662" s="179" t="n"/>
      <c r="E662" s="179" t="inlineStr">
        <is>
          <t>внутр</t>
        </is>
      </c>
      <c r="F662" s="179" t="n"/>
      <c r="G662" s="179" t="n"/>
      <c r="H662" s="179" t="n"/>
      <c r="I662" s="179" t="n"/>
      <c r="J662" s="179" t="n"/>
      <c r="K662" s="179" t="n"/>
      <c r="L662" s="179" t="n"/>
      <c r="M662" s="179" t="n"/>
      <c r="N662" s="179" t="n"/>
      <c r="O662" s="179" t="n"/>
      <c r="P662" s="179" t="inlineStr">
        <is>
          <t>внутр</t>
        </is>
      </c>
      <c r="Q662" s="179" t="inlineStr">
        <is>
          <t>внутр</t>
        </is>
      </c>
      <c r="R662" s="171" t="n"/>
      <c r="S662" s="171" t="n"/>
    </row>
    <row r="663" ht="18" customHeight="1">
      <c r="A663" s="45" t="inlineStr">
        <is>
          <t>работник 287</t>
        </is>
      </c>
      <c r="B663" s="178" t="inlineStr">
        <is>
          <t>Машинист бульдозера</t>
        </is>
      </c>
      <c r="C663" s="178" t="inlineStr"/>
      <c r="D663" s="179" t="n"/>
      <c r="E663" s="179" t="inlineStr">
        <is>
          <t>внутр</t>
        </is>
      </c>
      <c r="F663" s="179" t="n"/>
      <c r="G663" s="179" t="n"/>
      <c r="H663" s="179" t="n"/>
      <c r="I663" s="179" t="n"/>
      <c r="J663" s="179" t="n"/>
      <c r="K663" s="179" t="n"/>
      <c r="L663" s="179" t="n"/>
      <c r="M663" s="179" t="n"/>
      <c r="N663" s="179" t="n"/>
      <c r="O663" s="179" t="n"/>
      <c r="P663" s="179" t="inlineStr">
        <is>
          <t>внутр</t>
        </is>
      </c>
      <c r="Q663" s="179" t="inlineStr">
        <is>
          <t>внутр</t>
        </is>
      </c>
      <c r="R663" s="171" t="n"/>
      <c r="S663" s="171" t="n"/>
    </row>
    <row r="664" ht="18" customHeight="1">
      <c r="A664" s="45" t="inlineStr">
        <is>
          <t>работник 750</t>
        </is>
      </c>
      <c r="B664" s="178" t="inlineStr">
        <is>
          <t>Машинист мельниц</t>
        </is>
      </c>
      <c r="C664" s="178" t="inlineStr"/>
      <c r="D664" s="179" t="n"/>
      <c r="E664" s="179" t="inlineStr">
        <is>
          <t>внутр</t>
        </is>
      </c>
      <c r="F664" s="179" t="inlineStr">
        <is>
          <t>внутр</t>
        </is>
      </c>
      <c r="G664" s="179" t="n"/>
      <c r="H664" s="179" t="inlineStr">
        <is>
          <t>внутр</t>
        </is>
      </c>
      <c r="I664" s="179" t="n"/>
      <c r="J664" s="179" t="n"/>
      <c r="K664" s="179" t="n"/>
      <c r="L664" s="179" t="n"/>
      <c r="M664" s="179" t="n"/>
      <c r="N664" s="179" t="n"/>
      <c r="O664" s="179" t="n"/>
      <c r="P664" s="179" t="inlineStr">
        <is>
          <t>внутр</t>
        </is>
      </c>
      <c r="Q664" s="179" t="inlineStr">
        <is>
          <t>внутр</t>
        </is>
      </c>
      <c r="R664" s="171" t="n"/>
      <c r="S664" s="171" t="n"/>
    </row>
    <row r="665" ht="18" customHeight="1">
      <c r="A665" s="45" t="inlineStr">
        <is>
          <t>работник 120</t>
        </is>
      </c>
      <c r="B665" s="178" t="inlineStr">
        <is>
          <t>Фильтровальщик | Дробильщик</t>
        </is>
      </c>
      <c r="C665" s="178" t="inlineStr"/>
      <c r="D665" s="179" t="n"/>
      <c r="E665" s="179" t="inlineStr">
        <is>
          <t>внутр</t>
        </is>
      </c>
      <c r="F665" s="179" t="n"/>
      <c r="G665" s="179" t="n"/>
      <c r="H665" s="179" t="n"/>
      <c r="I665" s="179" t="n"/>
      <c r="J665" s="179" t="n"/>
      <c r="K665" s="179" t="n"/>
      <c r="L665" s="179" t="n"/>
      <c r="M665" s="179" t="n"/>
      <c r="N665" s="179" t="n"/>
      <c r="O665" s="179" t="n"/>
      <c r="P665" s="179" t="inlineStr">
        <is>
          <t>внутр</t>
        </is>
      </c>
      <c r="Q665" s="179" t="inlineStr">
        <is>
          <t>внутр</t>
        </is>
      </c>
      <c r="R665" s="171" t="n"/>
      <c r="S665" s="171" t="n"/>
    </row>
    <row r="666" ht="18" customHeight="1">
      <c r="A666" s="45" t="inlineStr">
        <is>
          <t>работник 930</t>
        </is>
      </c>
      <c r="B666" s="178" t="inlineStr">
        <is>
          <t>Бункеровщик</t>
        </is>
      </c>
      <c r="C666" s="178" t="inlineStr"/>
      <c r="D666" s="179" t="n"/>
      <c r="E666" s="179" t="inlineStr">
        <is>
          <t>внутр</t>
        </is>
      </c>
      <c r="F666" s="179" t="n"/>
      <c r="G666" s="179" t="n"/>
      <c r="H666" s="179" t="n"/>
      <c r="I666" s="179" t="n"/>
      <c r="J666" s="179" t="n"/>
      <c r="K666" s="179" t="n"/>
      <c r="L666" s="179" t="n"/>
      <c r="M666" s="179" t="n"/>
      <c r="N666" s="179" t="n"/>
      <c r="O666" s="179" t="n"/>
      <c r="P666" s="179" t="inlineStr">
        <is>
          <t>внутр</t>
        </is>
      </c>
      <c r="Q666" s="179" t="inlineStr">
        <is>
          <t>внутр</t>
        </is>
      </c>
      <c r="R666" s="171" t="n"/>
      <c r="S666" s="171" t="n"/>
    </row>
    <row r="667" ht="18" customHeight="1">
      <c r="A667" s="45" t="inlineStr">
        <is>
          <t>работник 555</t>
        </is>
      </c>
      <c r="B667" s="178" t="inlineStr">
        <is>
          <t>Электромонтер по ремонту и обслуживанию электрооборудования</t>
        </is>
      </c>
      <c r="C667" s="178" t="inlineStr"/>
      <c r="D667" s="179" t="n"/>
      <c r="E667" s="179" t="inlineStr">
        <is>
          <t>внутр</t>
        </is>
      </c>
      <c r="F667" s="179" t="n"/>
      <c r="G667" s="179" t="n"/>
      <c r="H667" s="179" t="n"/>
      <c r="I667" s="179" t="n"/>
      <c r="J667" s="179" t="n"/>
      <c r="K667" s="179" t="n"/>
      <c r="L667" s="179" t="n"/>
      <c r="M667" s="179" t="n"/>
      <c r="N667" s="179" t="n"/>
      <c r="O667" s="179" t="n"/>
      <c r="P667" s="179" t="n"/>
      <c r="Q667" s="179" t="inlineStr">
        <is>
          <t>внутр</t>
        </is>
      </c>
      <c r="R667" s="171" t="n"/>
      <c r="S667" s="171" t="n"/>
    </row>
    <row r="668" ht="18" customHeight="1">
      <c r="A668" s="45" t="inlineStr">
        <is>
          <t>работник 733</t>
        </is>
      </c>
      <c r="B668" s="178" t="inlineStr">
        <is>
          <t>Машинист бульдозера</t>
        </is>
      </c>
      <c r="C668" s="178" t="inlineStr"/>
      <c r="D668" s="179" t="n"/>
      <c r="E668" s="179" t="inlineStr">
        <is>
          <t>внутр</t>
        </is>
      </c>
      <c r="F668" s="179" t="n"/>
      <c r="G668" s="179" t="n"/>
      <c r="H668" s="179" t="n"/>
      <c r="I668" s="179" t="n"/>
      <c r="J668" s="179" t="n"/>
      <c r="K668" s="179" t="n"/>
      <c r="L668" s="179" t="n"/>
      <c r="M668" s="179" t="n"/>
      <c r="N668" s="179" t="n"/>
      <c r="O668" s="179" t="n"/>
      <c r="P668" s="179" t="n"/>
      <c r="Q668" s="179" t="inlineStr">
        <is>
          <t>внутр</t>
        </is>
      </c>
      <c r="R668" s="171" t="n"/>
      <c r="S668" s="171" t="n"/>
    </row>
    <row r="669" ht="18" customHeight="1">
      <c r="A669" s="45" t="inlineStr">
        <is>
          <t>работник 364</t>
        </is>
      </c>
      <c r="B669" s="178" t="inlineStr">
        <is>
          <t>Подсобный рабочий</t>
        </is>
      </c>
      <c r="C669" s="178" t="inlineStr"/>
      <c r="D669" s="179" t="n"/>
      <c r="E669" s="179" t="inlineStr">
        <is>
          <t>внутр</t>
        </is>
      </c>
      <c r="F669" s="179" t="n"/>
      <c r="G669" s="179" t="n"/>
      <c r="H669" s="179" t="n"/>
      <c r="I669" s="179" t="n"/>
      <c r="J669" s="179" t="n"/>
      <c r="K669" s="179" t="n"/>
      <c r="L669" s="179" t="n"/>
      <c r="M669" s="179" t="n"/>
      <c r="N669" s="179" t="n"/>
      <c r="O669" s="179" t="n"/>
      <c r="P669" s="179" t="inlineStr">
        <is>
          <t>внутр</t>
        </is>
      </c>
      <c r="Q669" s="179" t="inlineStr">
        <is>
          <t>внутр</t>
        </is>
      </c>
      <c r="R669" s="171" t="n"/>
      <c r="S669" s="171" t="n"/>
    </row>
    <row r="670" ht="18" customHeight="1">
      <c r="A670" s="45" t="inlineStr">
        <is>
          <t>работник 660</t>
        </is>
      </c>
      <c r="B670" s="178" t="inlineStr">
        <is>
          <t>Аппаратчик-гидрометаллург</t>
        </is>
      </c>
      <c r="C670" s="178" t="inlineStr"/>
      <c r="D670" s="179" t="n"/>
      <c r="E670" s="179" t="inlineStr">
        <is>
          <t>внутр</t>
        </is>
      </c>
      <c r="F670" s="179" t="n"/>
      <c r="G670" s="179" t="n"/>
      <c r="H670" s="179" t="n"/>
      <c r="I670" s="179" t="n"/>
      <c r="J670" s="179" t="n"/>
      <c r="K670" s="179" t="n"/>
      <c r="L670" s="179" t="n"/>
      <c r="M670" s="179" t="n"/>
      <c r="N670" s="179" t="n"/>
      <c r="O670" s="179" t="n"/>
      <c r="P670" s="179" t="n"/>
      <c r="Q670" s="179" t="inlineStr">
        <is>
          <t>внутр</t>
        </is>
      </c>
      <c r="R670" s="171" t="n"/>
      <c r="S670" s="171" t="n"/>
    </row>
    <row r="671" ht="18" customHeight="1">
      <c r="A671" s="45" t="inlineStr">
        <is>
          <t>работник 658</t>
        </is>
      </c>
      <c r="B671" s="178" t="inlineStr">
        <is>
          <t>Уборщик производственных и служебных помещений</t>
        </is>
      </c>
      <c r="C671" s="178" t="inlineStr"/>
      <c r="D671" s="179" t="n"/>
      <c r="E671" s="179" t="inlineStr">
        <is>
          <t>внутр</t>
        </is>
      </c>
      <c r="F671" s="179" t="n"/>
      <c r="G671" s="179" t="n"/>
      <c r="H671" s="179" t="n"/>
      <c r="I671" s="179" t="n"/>
      <c r="J671" s="179" t="n"/>
      <c r="K671" s="179" t="n"/>
      <c r="L671" s="179" t="n"/>
      <c r="M671" s="179" t="n"/>
      <c r="N671" s="179" t="n"/>
      <c r="O671" s="179" t="n"/>
      <c r="P671" s="179" t="n"/>
      <c r="Q671" s="179" t="inlineStr">
        <is>
          <t>внутр</t>
        </is>
      </c>
      <c r="R671" s="171" t="n"/>
      <c r="S671" s="171" t="n"/>
    </row>
    <row r="672" ht="18" customHeight="1">
      <c r="A672" s="45" t="inlineStr">
        <is>
          <t>работник 83</t>
        </is>
      </c>
      <c r="B672" s="178" t="inlineStr">
        <is>
          <t>Плотник</t>
        </is>
      </c>
      <c r="C672" s="178" t="inlineStr"/>
      <c r="D672" s="179" t="n"/>
      <c r="E672" s="179" t="inlineStr">
        <is>
          <t>внутр</t>
        </is>
      </c>
      <c r="F672" s="179" t="inlineStr">
        <is>
          <t>внутр</t>
        </is>
      </c>
      <c r="G672" s="179" t="n"/>
      <c r="H672" s="179" t="n"/>
      <c r="I672" s="179" t="n"/>
      <c r="J672" s="179" t="n"/>
      <c r="K672" s="179" t="n"/>
      <c r="L672" s="179" t="n"/>
      <c r="M672" s="179" t="inlineStr">
        <is>
          <t>внутр</t>
        </is>
      </c>
      <c r="N672" s="179" t="inlineStr">
        <is>
          <t>внутр</t>
        </is>
      </c>
      <c r="O672" s="179" t="n"/>
      <c r="P672" s="179" t="inlineStr">
        <is>
          <t>внутр</t>
        </is>
      </c>
      <c r="Q672" s="179" t="inlineStr">
        <is>
          <t>внутр</t>
        </is>
      </c>
      <c r="R672" s="171" t="n"/>
      <c r="S672" s="171" t="n"/>
    </row>
    <row r="673" ht="18" customHeight="1">
      <c r="A673" s="45" t="inlineStr">
        <is>
          <t>работник 703</t>
        </is>
      </c>
      <c r="B673" s="178" t="inlineStr">
        <is>
          <t>Бетонщик</t>
        </is>
      </c>
      <c r="C673" s="178" t="inlineStr"/>
      <c r="D673" s="179" t="n"/>
      <c r="E673" s="179" t="inlineStr">
        <is>
          <t>внутр</t>
        </is>
      </c>
      <c r="F673" s="179" t="n"/>
      <c r="G673" s="179" t="n"/>
      <c r="H673" s="179" t="n"/>
      <c r="I673" s="179" t="n"/>
      <c r="J673" s="179" t="n"/>
      <c r="K673" s="179" t="n"/>
      <c r="L673" s="179" t="n"/>
      <c r="M673" s="179" t="n"/>
      <c r="N673" s="179" t="n"/>
      <c r="O673" s="179" t="n"/>
      <c r="P673" s="179" t="n"/>
      <c r="Q673" s="179" t="inlineStr">
        <is>
          <t>внутр</t>
        </is>
      </c>
      <c r="R673" s="171" t="n"/>
      <c r="S673" s="171" t="n"/>
    </row>
    <row r="674" ht="18" customHeight="1">
      <c r="A674" s="45" t="inlineStr">
        <is>
          <t>работник 450</t>
        </is>
      </c>
      <c r="B674" s="178" t="inlineStr">
        <is>
          <t>Бункеровщик | Аппаратчик-гидрометаллург</t>
        </is>
      </c>
      <c r="C674" s="178" t="inlineStr"/>
      <c r="D674" s="179" t="n"/>
      <c r="E674" s="179" t="inlineStr">
        <is>
          <t>внутр</t>
        </is>
      </c>
      <c r="F674" s="179" t="n"/>
      <c r="G674" s="179" t="n"/>
      <c r="H674" s="179" t="n"/>
      <c r="I674" s="179" t="n"/>
      <c r="J674" s="179" t="n"/>
      <c r="K674" s="179" t="n"/>
      <c r="L674" s="179" t="n"/>
      <c r="M674" s="179" t="n"/>
      <c r="N674" s="179" t="n"/>
      <c r="O674" s="179" t="n"/>
      <c r="P674" s="179" t="n"/>
      <c r="Q674" s="179" t="inlineStr">
        <is>
          <t>внутр</t>
        </is>
      </c>
      <c r="R674" s="171" t="n"/>
      <c r="S674" s="171" t="n"/>
    </row>
    <row r="675" ht="18" customHeight="1">
      <c r="A675" s="45" t="inlineStr">
        <is>
          <t>работник 347</t>
        </is>
      </c>
      <c r="B675" s="178" t="inlineStr">
        <is>
          <t>Горный мастер</t>
        </is>
      </c>
      <c r="C675" s="178" t="inlineStr">
        <is>
          <t>Руководитель</t>
        </is>
      </c>
      <c r="D675" s="179" t="n"/>
      <c r="E675" s="180" t="inlineStr">
        <is>
          <t>внутр</t>
        </is>
      </c>
      <c r="F675" s="179" t="n"/>
      <c r="G675" s="179" t="n"/>
      <c r="H675" s="179" t="n"/>
      <c r="I675" s="179" t="n"/>
      <c r="J675" s="179" t="n"/>
      <c r="K675" s="179" t="n"/>
      <c r="L675" s="179" t="n"/>
      <c r="M675" s="179" t="n"/>
      <c r="N675" s="179" t="n"/>
      <c r="O675" s="179" t="n"/>
      <c r="P675" s="179" t="inlineStr">
        <is>
          <t>внутр</t>
        </is>
      </c>
      <c r="Q675" s="179" t="inlineStr">
        <is>
          <t>внутр</t>
        </is>
      </c>
      <c r="R675" s="171" t="n">
        <v>1</v>
      </c>
      <c r="S675" s="171" t="n"/>
    </row>
    <row r="676" ht="18" customHeight="1">
      <c r="A676" s="45" t="inlineStr">
        <is>
          <t>работник 245</t>
        </is>
      </c>
      <c r="B676" s="178" t="inlineStr">
        <is>
          <t>Растворщик реагентов | Промывальщик геологических проб</t>
        </is>
      </c>
      <c r="C676" s="178" t="inlineStr"/>
      <c r="D676" s="179" t="n"/>
      <c r="E676" s="179" t="inlineStr">
        <is>
          <t>внутр</t>
        </is>
      </c>
      <c r="F676" s="179" t="n"/>
      <c r="G676" s="179" t="n"/>
      <c r="H676" s="179" t="n"/>
      <c r="I676" s="179" t="n"/>
      <c r="J676" s="179" t="n"/>
      <c r="K676" s="179" t="n"/>
      <c r="L676" s="179" t="n"/>
      <c r="M676" s="179" t="n"/>
      <c r="N676" s="179" t="n"/>
      <c r="O676" s="179" t="n"/>
      <c r="P676" s="179" t="inlineStr">
        <is>
          <t>внутр</t>
        </is>
      </c>
      <c r="Q676" s="179" t="inlineStr">
        <is>
          <t>внутр</t>
        </is>
      </c>
      <c r="R676" s="171" t="n"/>
      <c r="S676" s="171" t="n"/>
    </row>
    <row r="677" ht="18" customHeight="1">
      <c r="A677" s="45" t="inlineStr">
        <is>
          <t>работник 757</t>
        </is>
      </c>
      <c r="B677" s="178" t="inlineStr">
        <is>
          <t>Фильтровальщик</t>
        </is>
      </c>
      <c r="C677" s="178" t="inlineStr"/>
      <c r="D677" s="179" t="n"/>
      <c r="E677" s="179" t="inlineStr">
        <is>
          <t>внутр</t>
        </is>
      </c>
      <c r="F677" s="179" t="inlineStr">
        <is>
          <t>внутр</t>
        </is>
      </c>
      <c r="G677" s="179" t="n"/>
      <c r="H677" s="179" t="inlineStr">
        <is>
          <t>внутр</t>
        </is>
      </c>
      <c r="I677" s="179" t="n"/>
      <c r="J677" s="179" t="n"/>
      <c r="K677" s="179" t="n"/>
      <c r="L677" s="179" t="n"/>
      <c r="M677" s="179" t="n"/>
      <c r="N677" s="179" t="n"/>
      <c r="O677" s="179" t="n"/>
      <c r="P677" s="179" t="inlineStr">
        <is>
          <t>внутр</t>
        </is>
      </c>
      <c r="Q677" s="179" t="inlineStr">
        <is>
          <t>внутр</t>
        </is>
      </c>
      <c r="R677" s="171" t="n"/>
      <c r="S677" s="171" t="n"/>
    </row>
    <row r="678" ht="18" customHeight="1">
      <c r="A678" s="45" t="inlineStr">
        <is>
          <t>работник 822</t>
        </is>
      </c>
      <c r="B678" s="178" t="inlineStr">
        <is>
          <t>Водитель автомобиля (занятый на транспортировании горной массы в технологическом процессе)</t>
        </is>
      </c>
      <c r="C678" s="178" t="inlineStr"/>
      <c r="D678" s="179" t="n"/>
      <c r="E678" s="179" t="inlineStr">
        <is>
          <t>внутр</t>
        </is>
      </c>
      <c r="F678" s="179" t="n"/>
      <c r="G678" s="179" t="n"/>
      <c r="H678" s="179" t="n"/>
      <c r="I678" s="179" t="n"/>
      <c r="J678" s="179" t="n"/>
      <c r="K678" s="179" t="n"/>
      <c r="L678" s="179" t="n"/>
      <c r="M678" s="179" t="n"/>
      <c r="N678" s="179" t="n"/>
      <c r="O678" s="179" t="n"/>
      <c r="P678" s="179" t="inlineStr">
        <is>
          <t>внутр</t>
        </is>
      </c>
      <c r="Q678" s="179" t="inlineStr">
        <is>
          <t>внутр</t>
        </is>
      </c>
      <c r="R678" s="171" t="n"/>
      <c r="S678" s="171" t="n"/>
    </row>
    <row r="679" ht="18" customHeight="1">
      <c r="A679" s="45" t="inlineStr">
        <is>
          <t>работник 562</t>
        </is>
      </c>
      <c r="B679" s="178" t="inlineStr">
        <is>
          <t>Машинист погрузочно-доставочной машины</t>
        </is>
      </c>
      <c r="C679" s="178" t="inlineStr"/>
      <c r="D679" s="179" t="n"/>
      <c r="E679" s="179" t="inlineStr">
        <is>
          <t>внутр</t>
        </is>
      </c>
      <c r="F679" s="179" t="n"/>
      <c r="G679" s="179" t="n"/>
      <c r="H679" s="179" t="n"/>
      <c r="I679" s="179" t="n"/>
      <c r="J679" s="179" t="n"/>
      <c r="K679" s="179" t="n"/>
      <c r="L679" s="179" t="n"/>
      <c r="M679" s="179" t="n"/>
      <c r="N679" s="179" t="n"/>
      <c r="O679" s="179" t="n"/>
      <c r="P679" s="179" t="n"/>
      <c r="Q679" s="179" t="inlineStr">
        <is>
          <t>внутр</t>
        </is>
      </c>
      <c r="R679" s="171" t="n"/>
      <c r="S679" s="171" t="n"/>
    </row>
    <row r="680" ht="18" customHeight="1">
      <c r="A680" s="45" t="inlineStr">
        <is>
          <t>работник 561</t>
        </is>
      </c>
      <c r="B680" s="178" t="inlineStr">
        <is>
          <t>Помощник машиниста самоходной буровой установки (с исполнением обязанностей пробоотборщика) (Очистное)</t>
        </is>
      </c>
      <c r="C680" s="178" t="inlineStr"/>
      <c r="D680" s="179" t="n"/>
      <c r="E680" s="179" t="inlineStr">
        <is>
          <t>внутр</t>
        </is>
      </c>
      <c r="F680" s="179" t="n"/>
      <c r="G680" s="179" t="n"/>
      <c r="H680" s="179" t="n"/>
      <c r="I680" s="179" t="n"/>
      <c r="J680" s="179" t="n"/>
      <c r="K680" s="179" t="n"/>
      <c r="L680" s="179" t="n"/>
      <c r="M680" s="179" t="n"/>
      <c r="N680" s="179" t="n"/>
      <c r="O680" s="179" t="n"/>
      <c r="P680" s="179" t="n"/>
      <c r="Q680" s="179" t="inlineStr">
        <is>
          <t>внутр</t>
        </is>
      </c>
      <c r="R680" s="171" t="n"/>
      <c r="S680" s="171" t="n"/>
    </row>
    <row r="681" ht="18" customHeight="1">
      <c r="A681" s="45" t="inlineStr">
        <is>
          <t>работник 493</t>
        </is>
      </c>
      <c r="B681" s="178" t="inlineStr">
        <is>
          <t>Машинист погрузочно-доставочной машины</t>
        </is>
      </c>
      <c r="C681" s="178" t="inlineStr"/>
      <c r="D681" s="179" t="n"/>
      <c r="E681" s="179" t="inlineStr">
        <is>
          <t>внутр</t>
        </is>
      </c>
      <c r="F681" s="179" t="n"/>
      <c r="G681" s="179" t="n"/>
      <c r="H681" s="179" t="n"/>
      <c r="I681" s="179" t="n"/>
      <c r="J681" s="179" t="n"/>
      <c r="K681" s="179" t="n"/>
      <c r="L681" s="179" t="n"/>
      <c r="M681" s="179" t="n"/>
      <c r="N681" s="179" t="n"/>
      <c r="O681" s="179" t="n"/>
      <c r="P681" s="179" t="inlineStr">
        <is>
          <t>внутр</t>
        </is>
      </c>
      <c r="Q681" s="179" t="inlineStr">
        <is>
          <t>внутр</t>
        </is>
      </c>
      <c r="R681" s="171" t="n"/>
      <c r="S681" s="171" t="n"/>
    </row>
    <row r="682" ht="18" customHeight="1">
      <c r="A682" s="45" t="inlineStr">
        <is>
          <t>работник 547</t>
        </is>
      </c>
      <c r="B682" s="178" t="inlineStr">
        <is>
          <t>Слесарь-ремонтник (по ремонту самоходной техники)</t>
        </is>
      </c>
      <c r="C682" s="178" t="inlineStr"/>
      <c r="D682" s="179" t="n"/>
      <c r="E682" s="179" t="inlineStr">
        <is>
          <t>внутр</t>
        </is>
      </c>
      <c r="F682" s="179" t="n"/>
      <c r="G682" s="179" t="n"/>
      <c r="H682" s="179" t="n"/>
      <c r="I682" s="179" t="n"/>
      <c r="J682" s="179" t="n"/>
      <c r="K682" s="179" t="n"/>
      <c r="L682" s="179" t="n"/>
      <c r="M682" s="179" t="n"/>
      <c r="N682" s="179" t="n"/>
      <c r="O682" s="179" t="n"/>
      <c r="P682" s="179" t="n"/>
      <c r="Q682" s="179" t="inlineStr">
        <is>
          <t>внутр</t>
        </is>
      </c>
      <c r="R682" s="171" t="n"/>
      <c r="S682" s="171" t="n"/>
    </row>
    <row r="683" ht="18" customHeight="1">
      <c r="A683" s="45" t="inlineStr">
        <is>
          <t>работник 12</t>
        </is>
      </c>
      <c r="B683" s="178" t="inlineStr">
        <is>
          <t>Электромеханик подземного горного участка</t>
        </is>
      </c>
      <c r="C683" s="178" t="inlineStr"/>
      <c r="D683" s="181" t="inlineStr">
        <is>
          <t>внеш</t>
        </is>
      </c>
      <c r="E683" s="181" t="inlineStr">
        <is>
          <t>внеш</t>
        </is>
      </c>
      <c r="F683" s="179" t="n"/>
      <c r="G683" s="179" t="n"/>
      <c r="H683" s="179" t="n"/>
      <c r="I683" s="179" t="n"/>
      <c r="J683" s="179" t="n"/>
      <c r="K683" s="179" t="n"/>
      <c r="L683" s="179" t="n"/>
      <c r="M683" s="179" t="n"/>
      <c r="N683" s="179" t="n"/>
      <c r="O683" s="179" t="n"/>
      <c r="P683" s="181" t="inlineStr">
        <is>
          <t>внеш</t>
        </is>
      </c>
      <c r="Q683" s="181" t="inlineStr">
        <is>
          <t>внеш</t>
        </is>
      </c>
      <c r="R683" s="171" t="n"/>
      <c r="S683" s="171" t="n">
        <v>4</v>
      </c>
    </row>
    <row r="684" ht="18" customHeight="1">
      <c r="A684" s="45" t="inlineStr">
        <is>
          <t>работник 27</t>
        </is>
      </c>
      <c r="B684" s="178" t="inlineStr">
        <is>
          <t>Электрогазосварщик</t>
        </is>
      </c>
      <c r="C684" s="178" t="inlineStr"/>
      <c r="D684" s="179" t="n"/>
      <c r="E684" s="179" t="n"/>
      <c r="F684" s="179" t="inlineStr">
        <is>
          <t>внутр</t>
        </is>
      </c>
      <c r="G684" s="179" t="inlineStr">
        <is>
          <t>внутр</t>
        </is>
      </c>
      <c r="H684" s="179" t="inlineStr">
        <is>
          <t>внутр</t>
        </is>
      </c>
      <c r="I684" s="179" t="inlineStr">
        <is>
          <t>внутр</t>
        </is>
      </c>
      <c r="J684" s="179" t="inlineStr">
        <is>
          <t>внутр</t>
        </is>
      </c>
      <c r="K684" s="179" t="n"/>
      <c r="L684" s="179" t="n"/>
      <c r="M684" s="179" t="n"/>
      <c r="N684" s="179" t="n"/>
      <c r="O684" s="179" t="n"/>
      <c r="P684" s="179" t="n"/>
      <c r="Q684" s="179" t="n"/>
      <c r="R684" s="171" t="n"/>
      <c r="S684" s="171" t="n"/>
    </row>
    <row r="685" ht="18" customHeight="1">
      <c r="A685" s="45" t="inlineStr">
        <is>
          <t>работник 609</t>
        </is>
      </c>
      <c r="B685" s="178" t="inlineStr">
        <is>
          <t>Слесарь-сантехник</t>
        </is>
      </c>
      <c r="C685" s="178" t="inlineStr"/>
      <c r="D685" s="179" t="n"/>
      <c r="E685" s="179" t="inlineStr">
        <is>
          <t>внутр</t>
        </is>
      </c>
      <c r="F685" s="179" t="n"/>
      <c r="G685" s="179" t="n"/>
      <c r="H685" s="179" t="n"/>
      <c r="I685" s="179" t="n"/>
      <c r="J685" s="179" t="n"/>
      <c r="K685" s="179" t="n"/>
      <c r="L685" s="179" t="n"/>
      <c r="M685" s="179" t="n"/>
      <c r="N685" s="179" t="n"/>
      <c r="O685" s="179" t="n"/>
      <c r="P685" s="179" t="n"/>
      <c r="Q685" s="179" t="inlineStr">
        <is>
          <t>внутр</t>
        </is>
      </c>
      <c r="R685" s="171" t="n"/>
      <c r="S685" s="171" t="n"/>
    </row>
    <row r="686" ht="18" customHeight="1">
      <c r="A686" s="45" t="inlineStr">
        <is>
          <t>работник 581</t>
        </is>
      </c>
      <c r="B686" s="178" t="inlineStr">
        <is>
          <t>Электромонтер по ремонту и обслуживанию электрооборудования</t>
        </is>
      </c>
      <c r="C686" s="178" t="inlineStr"/>
      <c r="D686" s="179" t="n"/>
      <c r="E686" s="179" t="inlineStr">
        <is>
          <t>внутр</t>
        </is>
      </c>
      <c r="F686" s="179" t="n"/>
      <c r="G686" s="179" t="n"/>
      <c r="H686" s="179" t="n"/>
      <c r="I686" s="179" t="n"/>
      <c r="J686" s="179" t="n"/>
      <c r="K686" s="179" t="n"/>
      <c r="L686" s="179" t="inlineStr">
        <is>
          <t>внутр</t>
        </is>
      </c>
      <c r="M686" s="179" t="n"/>
      <c r="N686" s="179" t="n"/>
      <c r="O686" s="179" t="n"/>
      <c r="P686" s="179" t="n"/>
      <c r="Q686" s="179" t="inlineStr">
        <is>
          <t>внутр</t>
        </is>
      </c>
      <c r="R686" s="171" t="n"/>
      <c r="S686" s="171" t="n"/>
    </row>
    <row r="687" ht="18" customHeight="1">
      <c r="A687" s="45" t="inlineStr">
        <is>
          <t>работник 793</t>
        </is>
      </c>
      <c r="B687" s="178" t="inlineStr">
        <is>
          <t>Водитель погрузчика</t>
        </is>
      </c>
      <c r="C687" s="178" t="inlineStr"/>
      <c r="D687" s="179" t="n"/>
      <c r="E687" s="179" t="inlineStr">
        <is>
          <t>внутр</t>
        </is>
      </c>
      <c r="F687" s="179" t="n"/>
      <c r="G687" s="179" t="n"/>
      <c r="H687" s="179" t="n"/>
      <c r="I687" s="179" t="n"/>
      <c r="J687" s="179" t="n"/>
      <c r="K687" s="179" t="n"/>
      <c r="L687" s="179" t="n"/>
      <c r="M687" s="179" t="n"/>
      <c r="N687" s="179" t="n"/>
      <c r="O687" s="179" t="n"/>
      <c r="P687" s="179" t="inlineStr">
        <is>
          <t>внутр</t>
        </is>
      </c>
      <c r="Q687" s="179" t="inlineStr">
        <is>
          <t>внутр</t>
        </is>
      </c>
      <c r="R687" s="171" t="n"/>
      <c r="S687" s="171" t="n"/>
    </row>
    <row r="688" ht="18" customHeight="1">
      <c r="A688" s="45" t="inlineStr">
        <is>
          <t>работник 876</t>
        </is>
      </c>
      <c r="B688" s="178" t="inlineStr">
        <is>
          <t>Фильтровальщик</t>
        </is>
      </c>
      <c r="C688" s="178" t="inlineStr"/>
      <c r="D688" s="179" t="n"/>
      <c r="E688" s="179" t="inlineStr">
        <is>
          <t>внутр</t>
        </is>
      </c>
      <c r="F688" s="179" t="n"/>
      <c r="G688" s="179" t="n"/>
      <c r="H688" s="179" t="n"/>
      <c r="I688" s="179" t="n"/>
      <c r="J688" s="179" t="n"/>
      <c r="K688" s="179" t="n"/>
      <c r="L688" s="179" t="n"/>
      <c r="M688" s="179" t="n"/>
      <c r="N688" s="179" t="n"/>
      <c r="O688" s="179" t="n"/>
      <c r="P688" s="179" t="inlineStr">
        <is>
          <t>внутр</t>
        </is>
      </c>
      <c r="Q688" s="179" t="inlineStr">
        <is>
          <t>внутр</t>
        </is>
      </c>
      <c r="R688" s="171" t="n"/>
      <c r="S688" s="171" t="n"/>
    </row>
    <row r="689" ht="18" customHeight="1">
      <c r="A689" s="45" t="inlineStr">
        <is>
          <t>работник 673</t>
        </is>
      </c>
      <c r="B689" s="178" t="inlineStr">
        <is>
          <t>Слесарь-ремонтник по ремонту обогатительного оборудования | Слесарь-ремонтник (по ремонту обогатительного оборудования)</t>
        </is>
      </c>
      <c r="C689" s="178" t="inlineStr"/>
      <c r="D689" s="179" t="n"/>
      <c r="E689" s="179" t="inlineStr">
        <is>
          <t>внутр</t>
        </is>
      </c>
      <c r="F689" s="179" t="n"/>
      <c r="G689" s="179" t="n"/>
      <c r="H689" s="179" t="n"/>
      <c r="I689" s="179" t="n"/>
      <c r="J689" s="179" t="n"/>
      <c r="K689" s="179" t="n"/>
      <c r="L689" s="179" t="n"/>
      <c r="M689" s="179" t="n"/>
      <c r="N689" s="179" t="n"/>
      <c r="O689" s="179" t="n"/>
      <c r="P689" s="179" t="inlineStr">
        <is>
          <t>внутр</t>
        </is>
      </c>
      <c r="Q689" s="179" t="inlineStr">
        <is>
          <t>внутр</t>
        </is>
      </c>
      <c r="R689" s="171" t="n"/>
      <c r="S689" s="171" t="n"/>
    </row>
    <row r="690" ht="18" customHeight="1">
      <c r="A690" s="45" t="inlineStr">
        <is>
          <t>работник 585</t>
        </is>
      </c>
      <c r="B690" s="178" t="inlineStr">
        <is>
          <t>Фильтровальщик | Аппаратчик-гидрометаллург</t>
        </is>
      </c>
      <c r="C690" s="178" t="inlineStr"/>
      <c r="D690" s="179" t="n"/>
      <c r="E690" s="179" t="inlineStr">
        <is>
          <t>внутр</t>
        </is>
      </c>
      <c r="F690" s="179" t="inlineStr">
        <is>
          <t>внутр</t>
        </is>
      </c>
      <c r="G690" s="179" t="n"/>
      <c r="H690" s="179" t="inlineStr">
        <is>
          <t>внутр</t>
        </is>
      </c>
      <c r="I690" s="179" t="n"/>
      <c r="J690" s="179" t="n"/>
      <c r="K690" s="179" t="n"/>
      <c r="L690" s="179" t="n"/>
      <c r="M690" s="179" t="n"/>
      <c r="N690" s="179" t="n"/>
      <c r="O690" s="179" t="n"/>
      <c r="P690" s="179" t="inlineStr">
        <is>
          <t>внутр</t>
        </is>
      </c>
      <c r="Q690" s="179" t="inlineStr">
        <is>
          <t>внутр</t>
        </is>
      </c>
      <c r="R690" s="171" t="n"/>
      <c r="S690" s="171" t="n"/>
    </row>
    <row r="691" ht="18" customHeight="1">
      <c r="A691" s="45" t="inlineStr">
        <is>
          <t>работник 116</t>
        </is>
      </c>
      <c r="B691" s="178" t="inlineStr">
        <is>
          <t>Фильтровальщик</t>
        </is>
      </c>
      <c r="C691" s="178" t="inlineStr"/>
      <c r="D691" s="179" t="n"/>
      <c r="E691" s="179" t="inlineStr">
        <is>
          <t>внутр</t>
        </is>
      </c>
      <c r="F691" s="179" t="n"/>
      <c r="G691" s="179" t="n"/>
      <c r="H691" s="179" t="n"/>
      <c r="I691" s="179" t="n"/>
      <c r="J691" s="179" t="n"/>
      <c r="K691" s="179" t="n"/>
      <c r="L691" s="179" t="n"/>
      <c r="M691" s="179" t="n"/>
      <c r="N691" s="179" t="n"/>
      <c r="O691" s="179" t="n"/>
      <c r="P691" s="179" t="inlineStr">
        <is>
          <t>внутр</t>
        </is>
      </c>
      <c r="Q691" s="179" t="inlineStr">
        <is>
          <t>внутр</t>
        </is>
      </c>
      <c r="R691" s="171" t="n"/>
      <c r="S691" s="171" t="n"/>
    </row>
    <row r="692" ht="18" customHeight="1">
      <c r="A692" s="45" t="inlineStr">
        <is>
          <t>работник 506</t>
        </is>
      </c>
      <c r="B692" s="178" t="inlineStr">
        <is>
          <t>Филтровальщик</t>
        </is>
      </c>
      <c r="C692" s="178" t="inlineStr"/>
      <c r="D692" s="179" t="n"/>
      <c r="E692" s="179" t="inlineStr">
        <is>
          <t>внутр</t>
        </is>
      </c>
      <c r="F692" s="179" t="n"/>
      <c r="G692" s="179" t="n"/>
      <c r="H692" s="179" t="n"/>
      <c r="I692" s="179" t="n"/>
      <c r="J692" s="179" t="n"/>
      <c r="K692" s="179" t="n"/>
      <c r="L692" s="179" t="n"/>
      <c r="M692" s="179" t="n"/>
      <c r="N692" s="179" t="n"/>
      <c r="O692" s="179" t="n"/>
      <c r="P692" s="179" t="n"/>
      <c r="Q692" s="179" t="inlineStr">
        <is>
          <t>внутр</t>
        </is>
      </c>
      <c r="R692" s="171" t="n"/>
      <c r="S692" s="171" t="n"/>
    </row>
    <row r="693" ht="18" customHeight="1">
      <c r="A693" s="45" t="inlineStr">
        <is>
          <t>работник 414</t>
        </is>
      </c>
      <c r="B693" s="178" t="inlineStr">
        <is>
          <t>Машинист самоходной буровой установки</t>
        </is>
      </c>
      <c r="C693" s="178" t="inlineStr"/>
      <c r="D693" s="179" t="n"/>
      <c r="E693" s="179" t="inlineStr">
        <is>
          <t>внутр</t>
        </is>
      </c>
      <c r="F693" s="179" t="n"/>
      <c r="G693" s="179" t="n"/>
      <c r="H693" s="179" t="n"/>
      <c r="I693" s="179" t="n"/>
      <c r="J693" s="179" t="n"/>
      <c r="K693" s="179" t="n"/>
      <c r="L693" s="179" t="n"/>
      <c r="M693" s="179" t="n"/>
      <c r="N693" s="179" t="n"/>
      <c r="O693" s="179" t="n"/>
      <c r="P693" s="179" t="n"/>
      <c r="Q693" s="179" t="inlineStr">
        <is>
          <t>внутр</t>
        </is>
      </c>
      <c r="R693" s="171" t="n"/>
      <c r="S693" s="171" t="n"/>
    </row>
    <row r="694" ht="18" customHeight="1">
      <c r="A694" s="45" t="inlineStr">
        <is>
          <t>работник 734</t>
        </is>
      </c>
      <c r="B694" s="178" t="inlineStr">
        <is>
          <t>Горнорабочий</t>
        </is>
      </c>
      <c r="C694" s="178" t="inlineStr"/>
      <c r="D694" s="179" t="n"/>
      <c r="E694" s="179" t="inlineStr">
        <is>
          <t>внутр</t>
        </is>
      </c>
      <c r="F694" s="179" t="n"/>
      <c r="G694" s="179" t="n"/>
      <c r="H694" s="179" t="n"/>
      <c r="I694" s="179" t="n"/>
      <c r="J694" s="179" t="n"/>
      <c r="K694" s="179" t="n"/>
      <c r="L694" s="179" t="n"/>
      <c r="M694" s="179" t="n"/>
      <c r="N694" s="179" t="n"/>
      <c r="O694" s="179" t="n"/>
      <c r="P694" s="179" t="n"/>
      <c r="Q694" s="179" t="inlineStr">
        <is>
          <t>внутр</t>
        </is>
      </c>
      <c r="R694" s="171" t="n"/>
      <c r="S694" s="171" t="n"/>
    </row>
    <row r="695" ht="18" customHeight="1">
      <c r="A695" s="45" t="inlineStr">
        <is>
          <t>работник 203</t>
        </is>
      </c>
      <c r="B695" s="178" t="inlineStr">
        <is>
          <t>Водитель автомобиля(занятый на траспортировании горной массы в технологическом процессе)</t>
        </is>
      </c>
      <c r="C695" s="178" t="inlineStr"/>
      <c r="D695" s="179" t="n"/>
      <c r="E695" s="179" t="inlineStr">
        <is>
          <t>внутр</t>
        </is>
      </c>
      <c r="F695" s="179" t="n"/>
      <c r="G695" s="179" t="n"/>
      <c r="H695" s="179" t="n"/>
      <c r="I695" s="179" t="n"/>
      <c r="J695" s="179" t="n"/>
      <c r="K695" s="179" t="n"/>
      <c r="L695" s="179" t="n"/>
      <c r="M695" s="179" t="n"/>
      <c r="N695" s="179" t="n"/>
      <c r="O695" s="179" t="n"/>
      <c r="P695" s="179" t="inlineStr">
        <is>
          <t>внутр</t>
        </is>
      </c>
      <c r="Q695" s="179" t="inlineStr">
        <is>
          <t>внутр</t>
        </is>
      </c>
      <c r="R695" s="171" t="n"/>
      <c r="S695" s="171" t="n"/>
    </row>
    <row r="696" ht="18" customHeight="1">
      <c r="A696" s="45" t="inlineStr">
        <is>
          <t>работник 173</t>
        </is>
      </c>
      <c r="B696" s="178" t="inlineStr">
        <is>
          <t>Проходчик (с исполнением обязанностей взрывника)</t>
        </is>
      </c>
      <c r="C696" s="178" t="inlineStr"/>
      <c r="D696" s="179" t="n"/>
      <c r="E696" s="179" t="inlineStr">
        <is>
          <t>внутр</t>
        </is>
      </c>
      <c r="F696" s="179" t="n"/>
      <c r="G696" s="179" t="n"/>
      <c r="H696" s="179" t="n"/>
      <c r="I696" s="179" t="n"/>
      <c r="J696" s="179" t="n"/>
      <c r="K696" s="179" t="n"/>
      <c r="L696" s="179" t="n"/>
      <c r="M696" s="179" t="n"/>
      <c r="N696" s="179" t="n"/>
      <c r="O696" s="179" t="n"/>
      <c r="P696" s="179" t="inlineStr">
        <is>
          <t>внутр</t>
        </is>
      </c>
      <c r="Q696" s="179" t="inlineStr">
        <is>
          <t>внутр</t>
        </is>
      </c>
      <c r="R696" s="171" t="n"/>
      <c r="S696" s="171" t="n"/>
    </row>
    <row r="697" ht="18" customHeight="1">
      <c r="A697" s="45" t="inlineStr">
        <is>
          <t>работник 51</t>
        </is>
      </c>
      <c r="B697" s="178" t="inlineStr">
        <is>
          <t>Машинист ДВС</t>
        </is>
      </c>
      <c r="C697" s="178" t="inlineStr"/>
      <c r="D697" s="179" t="n"/>
      <c r="E697" s="179" t="inlineStr">
        <is>
          <t>внутр</t>
        </is>
      </c>
      <c r="F697" s="179" t="n"/>
      <c r="G697" s="179" t="n"/>
      <c r="H697" s="179" t="n"/>
      <c r="I697" s="179" t="n"/>
      <c r="J697" s="179" t="n"/>
      <c r="K697" s="179" t="n"/>
      <c r="L697" s="179" t="n"/>
      <c r="M697" s="179" t="n"/>
      <c r="N697" s="179" t="n"/>
      <c r="O697" s="179" t="n"/>
      <c r="P697" s="179" t="inlineStr">
        <is>
          <t>внутр</t>
        </is>
      </c>
      <c r="Q697" s="179" t="inlineStr">
        <is>
          <t>внутр</t>
        </is>
      </c>
      <c r="R697" s="171" t="n"/>
      <c r="S697" s="171" t="n"/>
    </row>
    <row r="698" ht="18" customHeight="1">
      <c r="A698" s="45" t="inlineStr">
        <is>
          <t>работник 375</t>
        </is>
      </c>
      <c r="B698" s="178" t="inlineStr">
        <is>
          <t>Крепильщик</t>
        </is>
      </c>
      <c r="C698" s="178" t="inlineStr"/>
      <c r="D698" s="179" t="n"/>
      <c r="E698" s="179" t="inlineStr">
        <is>
          <t>внутр</t>
        </is>
      </c>
      <c r="F698" s="179" t="n"/>
      <c r="G698" s="179" t="n"/>
      <c r="H698" s="179" t="n"/>
      <c r="I698" s="179" t="n"/>
      <c r="J698" s="179" t="n"/>
      <c r="K698" s="179" t="n"/>
      <c r="L698" s="179" t="n"/>
      <c r="M698" s="179" t="n"/>
      <c r="N698" s="179" t="n"/>
      <c r="O698" s="179" t="n"/>
      <c r="P698" s="179" t="inlineStr">
        <is>
          <t>внутр</t>
        </is>
      </c>
      <c r="Q698" s="179" t="inlineStr">
        <is>
          <t>внутр</t>
        </is>
      </c>
      <c r="R698" s="171" t="n"/>
      <c r="S698" s="171" t="n"/>
    </row>
    <row r="699" ht="18" customHeight="1">
      <c r="A699" s="45" t="inlineStr">
        <is>
          <t>работник 10</t>
        </is>
      </c>
      <c r="B699" s="178" t="inlineStr">
        <is>
          <t>Главный энергетик</t>
        </is>
      </c>
      <c r="C699" s="178" t="inlineStr"/>
      <c r="D699" s="181" t="inlineStr">
        <is>
          <t>внеш</t>
        </is>
      </c>
      <c r="E699" s="181" t="inlineStr">
        <is>
          <t>внеш</t>
        </is>
      </c>
      <c r="F699" s="179" t="n"/>
      <c r="G699" s="179" t="n"/>
      <c r="H699" s="179" t="n"/>
      <c r="I699" s="179" t="n"/>
      <c r="J699" s="179" t="n"/>
      <c r="K699" s="179" t="n"/>
      <c r="L699" s="179" t="n"/>
      <c r="M699" s="179" t="n"/>
      <c r="N699" s="179" t="n"/>
      <c r="O699" s="179" t="n"/>
      <c r="P699" s="181" t="inlineStr">
        <is>
          <t>внеш</t>
        </is>
      </c>
      <c r="Q699" s="181" t="inlineStr">
        <is>
          <t>внеш</t>
        </is>
      </c>
      <c r="R699" s="171" t="n"/>
      <c r="S699" s="171" t="n">
        <v>4</v>
      </c>
    </row>
    <row r="700" ht="18" customHeight="1">
      <c r="A700" s="45" t="inlineStr">
        <is>
          <t>работник 880</t>
        </is>
      </c>
      <c r="B700" s="178" t="inlineStr">
        <is>
          <t>Ламповщик</t>
        </is>
      </c>
      <c r="C700" s="178" t="inlineStr"/>
      <c r="D700" s="179" t="n"/>
      <c r="E700" s="179" t="inlineStr">
        <is>
          <t>внутр</t>
        </is>
      </c>
      <c r="F700" s="179" t="n"/>
      <c r="G700" s="179" t="n"/>
      <c r="H700" s="179" t="n"/>
      <c r="I700" s="179" t="n"/>
      <c r="J700" s="179" t="n"/>
      <c r="K700" s="179" t="n"/>
      <c r="L700" s="179" t="n"/>
      <c r="M700" s="179" t="n"/>
      <c r="N700" s="179" t="n"/>
      <c r="O700" s="179" t="n"/>
      <c r="P700" s="179" t="inlineStr">
        <is>
          <t>внутр</t>
        </is>
      </c>
      <c r="Q700" s="179" t="inlineStr">
        <is>
          <t>внутр</t>
        </is>
      </c>
      <c r="R700" s="171" t="n"/>
      <c r="S700" s="171" t="n"/>
    </row>
    <row r="701" ht="18" customHeight="1">
      <c r="A701" s="45" t="inlineStr">
        <is>
          <t>работник 33</t>
        </is>
      </c>
      <c r="B701" s="178" t="inlineStr">
        <is>
          <t>Лаборант пробирного анализа</t>
        </is>
      </c>
      <c r="C701" s="178" t="inlineStr"/>
      <c r="D701" s="179" t="n"/>
      <c r="E701" s="179" t="inlineStr">
        <is>
          <t>внутр</t>
        </is>
      </c>
      <c r="F701" s="179" t="n"/>
      <c r="G701" s="179" t="n"/>
      <c r="H701" s="179" t="n"/>
      <c r="I701" s="179" t="n"/>
      <c r="J701" s="179" t="n"/>
      <c r="K701" s="179" t="n"/>
      <c r="L701" s="179" t="n"/>
      <c r="M701" s="179" t="n"/>
      <c r="N701" s="179" t="n"/>
      <c r="O701" s="179" t="n"/>
      <c r="P701" s="179" t="inlineStr">
        <is>
          <t>внутр</t>
        </is>
      </c>
      <c r="Q701" s="179" t="inlineStr">
        <is>
          <t>внутр</t>
        </is>
      </c>
      <c r="R701" s="171" t="n"/>
      <c r="S701" s="171" t="n"/>
    </row>
    <row r="702" ht="18" customHeight="1">
      <c r="A702" s="45" t="inlineStr">
        <is>
          <t>работник 392</t>
        </is>
      </c>
      <c r="B702" s="178" t="inlineStr">
        <is>
          <t>Повар</t>
        </is>
      </c>
      <c r="C702" s="178" t="inlineStr"/>
      <c r="D702" s="179" t="n"/>
      <c r="E702" s="179" t="inlineStr">
        <is>
          <t>внутр</t>
        </is>
      </c>
      <c r="F702" s="179" t="n"/>
      <c r="G702" s="179" t="n"/>
      <c r="H702" s="179" t="n"/>
      <c r="I702" s="179" t="n"/>
      <c r="J702" s="179" t="n"/>
      <c r="K702" s="179" t="n"/>
      <c r="L702" s="179" t="n"/>
      <c r="M702" s="179" t="n"/>
      <c r="N702" s="179" t="n"/>
      <c r="O702" s="179" t="n"/>
      <c r="P702" s="179" t="inlineStr">
        <is>
          <t>внутр</t>
        </is>
      </c>
      <c r="Q702" s="179" t="inlineStr">
        <is>
          <t>внутр</t>
        </is>
      </c>
      <c r="R702" s="171" t="n"/>
      <c r="S702" s="171" t="n"/>
    </row>
    <row r="703" ht="18" customHeight="1">
      <c r="A703" s="45" t="inlineStr">
        <is>
          <t>работник 123</t>
        </is>
      </c>
      <c r="B703" s="178" t="inlineStr">
        <is>
          <t>Дробильщик</t>
        </is>
      </c>
      <c r="C703" s="178" t="inlineStr"/>
      <c r="D703" s="179" t="n"/>
      <c r="E703" s="179" t="inlineStr">
        <is>
          <t>внутр</t>
        </is>
      </c>
      <c r="F703" s="179" t="n"/>
      <c r="G703" s="179" t="n"/>
      <c r="H703" s="179" t="n"/>
      <c r="I703" s="179" t="n"/>
      <c r="J703" s="179" t="n"/>
      <c r="K703" s="179" t="n"/>
      <c r="L703" s="179" t="n"/>
      <c r="M703" s="179" t="n"/>
      <c r="N703" s="179" t="n"/>
      <c r="O703" s="179" t="n"/>
      <c r="P703" s="179" t="inlineStr">
        <is>
          <t>внутр</t>
        </is>
      </c>
      <c r="Q703" s="179" t="inlineStr">
        <is>
          <t>внутр</t>
        </is>
      </c>
      <c r="R703" s="171" t="n"/>
      <c r="S703" s="171" t="n"/>
    </row>
    <row r="704" ht="18" customHeight="1">
      <c r="A704" s="45" t="inlineStr">
        <is>
          <t>работник 459</t>
        </is>
      </c>
      <c r="B704" s="178" t="inlineStr">
        <is>
          <t>Машинист двигателей внутреннего сгорания</t>
        </is>
      </c>
      <c r="C704" s="178" t="inlineStr"/>
      <c r="D704" s="179" t="n"/>
      <c r="E704" s="179" t="inlineStr">
        <is>
          <t>внутр</t>
        </is>
      </c>
      <c r="F704" s="179" t="n"/>
      <c r="G704" s="179" t="n"/>
      <c r="H704" s="179" t="n"/>
      <c r="I704" s="179" t="n"/>
      <c r="J704" s="179" t="n"/>
      <c r="K704" s="179" t="n"/>
      <c r="L704" s="179" t="n"/>
      <c r="M704" s="179" t="n"/>
      <c r="N704" s="179" t="n"/>
      <c r="O704" s="179" t="n"/>
      <c r="P704" s="179" t="n"/>
      <c r="Q704" s="179" t="inlineStr">
        <is>
          <t>внутр</t>
        </is>
      </c>
      <c r="R704" s="171" t="n"/>
      <c r="S704" s="171" t="n"/>
    </row>
    <row r="705" ht="18" customHeight="1">
      <c r="A705" s="45" t="inlineStr">
        <is>
          <t>работник 850</t>
        </is>
      </c>
      <c r="B705" s="178" t="inlineStr">
        <is>
          <t>Электрогазосварщик (занятый на резке и ручной сварке)</t>
        </is>
      </c>
      <c r="C705" s="178" t="inlineStr"/>
      <c r="D705" s="179" t="n"/>
      <c r="E705" s="179" t="inlineStr">
        <is>
          <t>внутр</t>
        </is>
      </c>
      <c r="F705" s="179" t="n"/>
      <c r="G705" s="179" t="inlineStr">
        <is>
          <t>внутр</t>
        </is>
      </c>
      <c r="H705" s="179" t="n"/>
      <c r="I705" s="179" t="n"/>
      <c r="J705" s="179" t="n"/>
      <c r="K705" s="179" t="n"/>
      <c r="L705" s="179" t="n"/>
      <c r="M705" s="179" t="n"/>
      <c r="N705" s="179" t="n"/>
      <c r="O705" s="179" t="n"/>
      <c r="P705" s="179" t="inlineStr">
        <is>
          <t>внутр</t>
        </is>
      </c>
      <c r="Q705" s="179" t="inlineStr">
        <is>
          <t>внутр</t>
        </is>
      </c>
      <c r="R705" s="171" t="n"/>
      <c r="S705" s="171" t="n"/>
    </row>
    <row r="706" ht="18" customHeight="1">
      <c r="A706" s="45" t="inlineStr">
        <is>
          <t>работник 355</t>
        </is>
      </c>
      <c r="B706" s="178" t="inlineStr">
        <is>
          <t>Водитель автомобиля (категория D)</t>
        </is>
      </c>
      <c r="C706" s="178" t="inlineStr"/>
      <c r="D706" s="179" t="n"/>
      <c r="E706" s="179" t="inlineStr">
        <is>
          <t>внутр</t>
        </is>
      </c>
      <c r="F706" s="179" t="n"/>
      <c r="G706" s="179" t="n"/>
      <c r="H706" s="179" t="n"/>
      <c r="I706" s="179" t="n"/>
      <c r="J706" s="179" t="n"/>
      <c r="K706" s="179" t="n"/>
      <c r="L706" s="179" t="n"/>
      <c r="M706" s="179" t="n"/>
      <c r="N706" s="179" t="n"/>
      <c r="O706" s="179" t="n"/>
      <c r="P706" s="179" t="inlineStr">
        <is>
          <t>внутр</t>
        </is>
      </c>
      <c r="Q706" s="179" t="inlineStr">
        <is>
          <t>внутр</t>
        </is>
      </c>
      <c r="R706" s="171" t="n"/>
      <c r="S706" s="171" t="n"/>
    </row>
    <row r="707" ht="18" customHeight="1">
      <c r="A707" s="45" t="inlineStr">
        <is>
          <t>работник 799</t>
        </is>
      </c>
      <c r="B707" s="178" t="inlineStr">
        <is>
          <t>Слесарь-электрик по ремонту электрооборудования</t>
        </is>
      </c>
      <c r="C707" s="178" t="inlineStr"/>
      <c r="D707" s="179" t="n"/>
      <c r="E707" s="179" t="inlineStr">
        <is>
          <t>внутр</t>
        </is>
      </c>
      <c r="F707" s="179" t="n"/>
      <c r="G707" s="179" t="n"/>
      <c r="H707" s="179" t="n"/>
      <c r="I707" s="179" t="n"/>
      <c r="J707" s="179" t="n"/>
      <c r="K707" s="179" t="n"/>
      <c r="L707" s="179" t="n"/>
      <c r="M707" s="179" t="n"/>
      <c r="N707" s="179" t="n"/>
      <c r="O707" s="179" t="n"/>
      <c r="P707" s="179" t="inlineStr">
        <is>
          <t>внутр</t>
        </is>
      </c>
      <c r="Q707" s="179" t="inlineStr">
        <is>
          <t>внутр</t>
        </is>
      </c>
      <c r="R707" s="171" t="n"/>
      <c r="S707" s="171" t="n"/>
    </row>
    <row r="708" ht="18" customHeight="1">
      <c r="A708" s="45" t="inlineStr">
        <is>
          <t>работник 743</t>
        </is>
      </c>
      <c r="B708" s="178" t="inlineStr">
        <is>
          <t>Водитель автомобиля (категория С)</t>
        </is>
      </c>
      <c r="C708" s="178" t="inlineStr"/>
      <c r="D708" s="179" t="n"/>
      <c r="E708" s="179" t="inlineStr">
        <is>
          <t>внутр</t>
        </is>
      </c>
      <c r="F708" s="179" t="n"/>
      <c r="G708" s="179" t="n"/>
      <c r="H708" s="179" t="n"/>
      <c r="I708" s="179" t="n"/>
      <c r="J708" s="179" t="n"/>
      <c r="K708" s="179" t="n"/>
      <c r="L708" s="179" t="n"/>
      <c r="M708" s="179" t="n"/>
      <c r="N708" s="179" t="n"/>
      <c r="O708" s="179" t="n"/>
      <c r="P708" s="179" t="n"/>
      <c r="Q708" s="179" t="inlineStr">
        <is>
          <t>внутр</t>
        </is>
      </c>
      <c r="R708" s="171" t="n"/>
      <c r="S708" s="171" t="n"/>
    </row>
    <row r="709" ht="18" customHeight="1">
      <c r="A709" s="45" t="inlineStr">
        <is>
          <t>работник 602</t>
        </is>
      </c>
      <c r="B709" s="178" t="inlineStr">
        <is>
          <t>Слесарь-ремонтник (по ремонту самоходной техники)</t>
        </is>
      </c>
      <c r="C709" s="178" t="inlineStr"/>
      <c r="D709" s="179" t="n"/>
      <c r="E709" s="179" t="inlineStr">
        <is>
          <t>внутр</t>
        </is>
      </c>
      <c r="F709" s="179" t="n"/>
      <c r="G709" s="179" t="n"/>
      <c r="H709" s="179" t="n"/>
      <c r="I709" s="179" t="n"/>
      <c r="J709" s="179" t="n"/>
      <c r="K709" s="179" t="n"/>
      <c r="L709" s="179" t="n"/>
      <c r="M709" s="179" t="n"/>
      <c r="N709" s="179" t="n"/>
      <c r="O709" s="179" t="n"/>
      <c r="P709" s="179" t="n"/>
      <c r="Q709" s="179" t="inlineStr">
        <is>
          <t>внутр</t>
        </is>
      </c>
      <c r="R709" s="171" t="n"/>
      <c r="S709" s="171" t="n"/>
    </row>
    <row r="710" ht="18" customHeight="1">
      <c r="A710" s="45" t="inlineStr">
        <is>
          <t>работник 849</t>
        </is>
      </c>
      <c r="B710" s="178" t="inlineStr">
        <is>
          <t>Крепильщик</t>
        </is>
      </c>
      <c r="C710" s="178" t="inlineStr"/>
      <c r="D710" s="179" t="n"/>
      <c r="E710" s="179" t="inlineStr">
        <is>
          <t>внутр</t>
        </is>
      </c>
      <c r="F710" s="179" t="n"/>
      <c r="G710" s="179" t="n"/>
      <c r="H710" s="179" t="n"/>
      <c r="I710" s="179" t="n"/>
      <c r="J710" s="179" t="n"/>
      <c r="K710" s="179" t="n"/>
      <c r="L710" s="179" t="n"/>
      <c r="M710" s="179" t="n"/>
      <c r="N710" s="179" t="n"/>
      <c r="O710" s="179" t="n"/>
      <c r="P710" s="179" t="inlineStr">
        <is>
          <t>внутр</t>
        </is>
      </c>
      <c r="Q710" s="179" t="inlineStr">
        <is>
          <t>внутр</t>
        </is>
      </c>
      <c r="R710" s="171" t="n"/>
      <c r="S710" s="171" t="n"/>
    </row>
    <row r="711" ht="18" customHeight="1">
      <c r="A711" s="45" t="inlineStr">
        <is>
          <t>работник 389</t>
        </is>
      </c>
      <c r="B711" s="178" t="inlineStr">
        <is>
          <t>Пробоотборщик | Контролер продукции обогащения</t>
        </is>
      </c>
      <c r="C711" s="178" t="inlineStr"/>
      <c r="D711" s="179" t="n"/>
      <c r="E711" s="179" t="inlineStr">
        <is>
          <t>внутр</t>
        </is>
      </c>
      <c r="F711" s="179" t="n"/>
      <c r="G711" s="179" t="n"/>
      <c r="H711" s="179" t="n"/>
      <c r="I711" s="179" t="n"/>
      <c r="J711" s="179" t="n"/>
      <c r="K711" s="179" t="n"/>
      <c r="L711" s="179" t="n"/>
      <c r="M711" s="179" t="n"/>
      <c r="N711" s="179" t="n"/>
      <c r="O711" s="179" t="n"/>
      <c r="P711" s="179" t="inlineStr">
        <is>
          <t>внутр</t>
        </is>
      </c>
      <c r="Q711" s="179" t="inlineStr">
        <is>
          <t>внутр</t>
        </is>
      </c>
      <c r="R711" s="171" t="n"/>
      <c r="S711" s="171" t="n"/>
    </row>
    <row r="712" ht="18" customHeight="1">
      <c r="A712" s="45" t="inlineStr">
        <is>
          <t>работник 288</t>
        </is>
      </c>
      <c r="B712" s="178" t="inlineStr">
        <is>
          <t>Водитель автомобиля (занятый на транспортировании горной массы в технологическом процессе)</t>
        </is>
      </c>
      <c r="C712" s="178" t="inlineStr"/>
      <c r="D712" s="179" t="n"/>
      <c r="E712" s="179" t="inlineStr">
        <is>
          <t>внутр</t>
        </is>
      </c>
      <c r="F712" s="179" t="n"/>
      <c r="G712" s="179" t="n"/>
      <c r="H712" s="179" t="n"/>
      <c r="I712" s="179" t="n"/>
      <c r="J712" s="179" t="n"/>
      <c r="K712" s="179" t="n"/>
      <c r="L712" s="179" t="n"/>
      <c r="M712" s="179" t="n"/>
      <c r="N712" s="179" t="n"/>
      <c r="O712" s="179" t="n"/>
      <c r="P712" s="179" t="inlineStr">
        <is>
          <t>внутр</t>
        </is>
      </c>
      <c r="Q712" s="179" t="inlineStr">
        <is>
          <t>внутр</t>
        </is>
      </c>
      <c r="R712" s="171" t="n"/>
      <c r="S712" s="171" t="n"/>
    </row>
    <row r="713" ht="18" customHeight="1">
      <c r="A713" s="45" t="inlineStr">
        <is>
          <t>работник 814</t>
        </is>
      </c>
      <c r="B713" s="178" t="inlineStr">
        <is>
          <t>Машинист самоходной буровой установки (Проходка)</t>
        </is>
      </c>
      <c r="C713" s="178" t="inlineStr"/>
      <c r="D713" s="179" t="n"/>
      <c r="E713" s="179" t="inlineStr">
        <is>
          <t>внутр</t>
        </is>
      </c>
      <c r="F713" s="179" t="n"/>
      <c r="G713" s="179" t="n"/>
      <c r="H713" s="179" t="n"/>
      <c r="I713" s="179" t="n"/>
      <c r="J713" s="179" t="n"/>
      <c r="K713" s="179" t="n"/>
      <c r="L713" s="179" t="n"/>
      <c r="M713" s="179" t="n"/>
      <c r="N713" s="179" t="n"/>
      <c r="O713" s="179" t="n"/>
      <c r="P713" s="179" t="n"/>
      <c r="Q713" s="179" t="inlineStr">
        <is>
          <t>внутр</t>
        </is>
      </c>
      <c r="R713" s="171" t="n"/>
      <c r="S713" s="171" t="n"/>
    </row>
    <row r="714" ht="18" customHeight="1">
      <c r="A714" s="45" t="inlineStr">
        <is>
          <t>работник 289</t>
        </is>
      </c>
      <c r="B714" s="178" t="inlineStr">
        <is>
          <t>Водитель автомобиля (топливозаправщик)</t>
        </is>
      </c>
      <c r="C714" s="178" t="inlineStr"/>
      <c r="D714" s="179" t="n"/>
      <c r="E714" s="179" t="inlineStr">
        <is>
          <t>внутр</t>
        </is>
      </c>
      <c r="F714" s="179" t="n"/>
      <c r="G714" s="179" t="n"/>
      <c r="H714" s="179" t="n"/>
      <c r="I714" s="179" t="n"/>
      <c r="J714" s="179" t="n"/>
      <c r="K714" s="179" t="n"/>
      <c r="L714" s="179" t="n"/>
      <c r="M714" s="179" t="n"/>
      <c r="N714" s="179" t="n"/>
      <c r="O714" s="179" t="n"/>
      <c r="P714" s="179" t="inlineStr">
        <is>
          <t>внутр</t>
        </is>
      </c>
      <c r="Q714" s="179" t="inlineStr">
        <is>
          <t>внутр</t>
        </is>
      </c>
      <c r="R714" s="171" t="n"/>
      <c r="S714" s="171" t="n"/>
    </row>
    <row r="715" ht="18" customHeight="1">
      <c r="A715" s="45" t="inlineStr">
        <is>
          <t>работник 596</t>
        </is>
      </c>
      <c r="B715" s="178" t="inlineStr">
        <is>
          <t>Слесарь-ремонтник (по ремонту самоходной техники)</t>
        </is>
      </c>
      <c r="C715" s="178" t="inlineStr"/>
      <c r="D715" s="179" t="n"/>
      <c r="E715" s="179" t="inlineStr">
        <is>
          <t>внутр</t>
        </is>
      </c>
      <c r="F715" s="179" t="n"/>
      <c r="G715" s="179" t="n"/>
      <c r="H715" s="179" t="n"/>
      <c r="I715" s="179" t="n"/>
      <c r="J715" s="179" t="n"/>
      <c r="K715" s="179" t="n"/>
      <c r="L715" s="179" t="n"/>
      <c r="M715" s="179" t="n"/>
      <c r="N715" s="179" t="n"/>
      <c r="O715" s="179" t="n"/>
      <c r="P715" s="179" t="inlineStr">
        <is>
          <t>внутр</t>
        </is>
      </c>
      <c r="Q715" s="179" t="inlineStr">
        <is>
          <t>внутр</t>
        </is>
      </c>
      <c r="R715" s="171" t="n"/>
      <c r="S715" s="171" t="n"/>
    </row>
    <row r="716" ht="18" customHeight="1">
      <c r="A716" s="45" t="inlineStr">
        <is>
          <t>работник 2</t>
        </is>
      </c>
      <c r="B716" s="178" t="inlineStr">
        <is>
          <t>Заместитель директора горно-обогатительного комплекса по производству</t>
        </is>
      </c>
      <c r="C716" s="178" t="inlineStr">
        <is>
          <t>Руководитель</t>
        </is>
      </c>
      <c r="D716" s="179" t="inlineStr">
        <is>
          <t>внеш</t>
        </is>
      </c>
      <c r="E716" s="179" t="inlineStr">
        <is>
          <t>внеш</t>
        </is>
      </c>
      <c r="F716" s="179" t="n"/>
      <c r="G716" s="179" t="n"/>
      <c r="H716" s="179" t="n"/>
      <c r="I716" s="179" t="n"/>
      <c r="J716" s="179" t="n"/>
      <c r="K716" s="179" t="n"/>
      <c r="L716" s="179" t="n"/>
      <c r="M716" s="179" t="n"/>
      <c r="N716" s="179" t="n"/>
      <c r="O716" s="179" t="n"/>
      <c r="P716" s="181" t="inlineStr">
        <is>
          <t>внеш</t>
        </is>
      </c>
      <c r="Q716" s="181" t="inlineStr">
        <is>
          <t>внеш</t>
        </is>
      </c>
      <c r="R716" s="171" t="n"/>
      <c r="S716" s="171" t="n">
        <v>2</v>
      </c>
    </row>
    <row r="717" ht="18" customHeight="1">
      <c r="A717" s="45" t="inlineStr">
        <is>
          <t>работник 704</t>
        </is>
      </c>
      <c r="B717" s="178" t="inlineStr">
        <is>
          <t>Плотник</t>
        </is>
      </c>
      <c r="C717" s="178" t="inlineStr"/>
      <c r="D717" s="179" t="n"/>
      <c r="E717" s="179" t="inlineStr">
        <is>
          <t>внутр</t>
        </is>
      </c>
      <c r="F717" s="179" t="n"/>
      <c r="G717" s="179" t="n"/>
      <c r="H717" s="179" t="n"/>
      <c r="I717" s="179" t="n"/>
      <c r="J717" s="179" t="n"/>
      <c r="K717" s="179" t="n"/>
      <c r="L717" s="179" t="n"/>
      <c r="M717" s="179" t="n"/>
      <c r="N717" s="179" t="n"/>
      <c r="O717" s="179" t="n"/>
      <c r="P717" s="179" t="n"/>
      <c r="Q717" s="179" t="inlineStr">
        <is>
          <t>внутр</t>
        </is>
      </c>
      <c r="R717" s="171" t="n"/>
      <c r="S717" s="171" t="n"/>
    </row>
    <row r="718" ht="18" customHeight="1">
      <c r="A718" s="45" t="inlineStr">
        <is>
          <t>работник 625</t>
        </is>
      </c>
      <c r="B718" s="178" t="inlineStr">
        <is>
          <t>Повар (кондитер)</t>
        </is>
      </c>
      <c r="C718" s="178" t="inlineStr"/>
      <c r="D718" s="179" t="n"/>
      <c r="E718" s="179" t="inlineStr">
        <is>
          <t>внутр</t>
        </is>
      </c>
      <c r="F718" s="179" t="n"/>
      <c r="G718" s="179" t="n"/>
      <c r="H718" s="179" t="n"/>
      <c r="I718" s="179" t="n"/>
      <c r="J718" s="179" t="n"/>
      <c r="K718" s="179" t="n"/>
      <c r="L718" s="179" t="n"/>
      <c r="M718" s="179" t="n"/>
      <c r="N718" s="179" t="n"/>
      <c r="O718" s="179" t="n"/>
      <c r="P718" s="179" t="n"/>
      <c r="Q718" s="179" t="inlineStr">
        <is>
          <t>внутр</t>
        </is>
      </c>
      <c r="R718" s="171" t="n"/>
      <c r="S718" s="171" t="n"/>
    </row>
    <row r="719" ht="18" customHeight="1">
      <c r="A719" s="45" t="inlineStr">
        <is>
          <t>работник 812</t>
        </is>
      </c>
      <c r="B719" s="178" t="inlineStr">
        <is>
          <t>дробильщик | Дробильщик</t>
        </is>
      </c>
      <c r="C719" s="178" t="inlineStr"/>
      <c r="D719" s="179" t="n"/>
      <c r="E719" s="179" t="inlineStr">
        <is>
          <t>внутр</t>
        </is>
      </c>
      <c r="F719" s="179" t="n"/>
      <c r="G719" s="179" t="n"/>
      <c r="H719" s="179" t="n"/>
      <c r="I719" s="179" t="n"/>
      <c r="J719" s="179" t="n"/>
      <c r="K719" s="179" t="n"/>
      <c r="L719" s="179" t="n"/>
      <c r="M719" s="179" t="n"/>
      <c r="N719" s="179" t="n"/>
      <c r="O719" s="179" t="n"/>
      <c r="P719" s="179" t="inlineStr">
        <is>
          <t>внутр</t>
        </is>
      </c>
      <c r="Q719" s="179" t="inlineStr">
        <is>
          <t>внутр</t>
        </is>
      </c>
      <c r="R719" s="171" t="n"/>
      <c r="S719" s="171" t="n"/>
    </row>
    <row r="720" ht="18" customHeight="1">
      <c r="A720" s="45" t="inlineStr">
        <is>
          <t>работник 566</t>
        </is>
      </c>
      <c r="B720" s="178" t="inlineStr">
        <is>
          <t>Слесарь-ремонтник (по ремонту обогатительного оборудования)</t>
        </is>
      </c>
      <c r="C720" s="178" t="inlineStr"/>
      <c r="D720" s="179" t="n"/>
      <c r="E720" s="179" t="inlineStr">
        <is>
          <t>внутр</t>
        </is>
      </c>
      <c r="F720" s="179" t="n"/>
      <c r="G720" s="179" t="n"/>
      <c r="H720" s="179" t="n"/>
      <c r="I720" s="179" t="n"/>
      <c r="J720" s="179" t="n"/>
      <c r="K720" s="179" t="n"/>
      <c r="L720" s="179" t="n"/>
      <c r="M720" s="179" t="n"/>
      <c r="N720" s="179" t="n"/>
      <c r="O720" s="179" t="n"/>
      <c r="P720" s="179" t="n"/>
      <c r="Q720" s="179" t="inlineStr">
        <is>
          <t>внутр</t>
        </is>
      </c>
      <c r="R720" s="171" t="n"/>
      <c r="S720" s="171" t="n"/>
    </row>
    <row r="721" ht="18" customHeight="1">
      <c r="A721" s="45" t="inlineStr">
        <is>
          <t>работник 813</t>
        </is>
      </c>
      <c r="B721" s="178" t="inlineStr">
        <is>
          <t>Электрогазосварщик</t>
        </is>
      </c>
      <c r="C721" s="178" t="inlineStr"/>
      <c r="D721" s="179" t="n"/>
      <c r="E721" s="179" t="inlineStr">
        <is>
          <t>внутр</t>
        </is>
      </c>
      <c r="F721" s="179" t="n"/>
      <c r="G721" s="179" t="inlineStr">
        <is>
          <t>внутр</t>
        </is>
      </c>
      <c r="H721" s="179" t="n"/>
      <c r="I721" s="179" t="n"/>
      <c r="J721" s="179" t="n"/>
      <c r="K721" s="179" t="n"/>
      <c r="L721" s="179" t="n"/>
      <c r="M721" s="179" t="n"/>
      <c r="N721" s="179" t="n"/>
      <c r="O721" s="179" t="n"/>
      <c r="P721" s="179" t="n"/>
      <c r="Q721" s="179" t="inlineStr">
        <is>
          <t>внутр</t>
        </is>
      </c>
      <c r="R721" s="171" t="n"/>
      <c r="S721" s="171" t="n"/>
    </row>
    <row r="722" ht="18" customHeight="1">
      <c r="A722" s="45" t="inlineStr">
        <is>
          <t>работник 681</t>
        </is>
      </c>
      <c r="B722" s="178" t="inlineStr">
        <is>
          <t>Грузчик</t>
        </is>
      </c>
      <c r="C722" s="178" t="inlineStr"/>
      <c r="D722" s="179" t="n"/>
      <c r="E722" s="179" t="inlineStr">
        <is>
          <t>внутр</t>
        </is>
      </c>
      <c r="F722" s="179" t="n"/>
      <c r="G722" s="179" t="n"/>
      <c r="H722" s="179" t="n"/>
      <c r="I722" s="179" t="n"/>
      <c r="J722" s="179" t="n"/>
      <c r="K722" s="179" t="n"/>
      <c r="L722" s="179" t="n"/>
      <c r="M722" s="179" t="n"/>
      <c r="N722" s="179" t="n"/>
      <c r="O722" s="179" t="n"/>
      <c r="P722" s="179" t="n"/>
      <c r="Q722" s="179" t="inlineStr">
        <is>
          <t>внутр</t>
        </is>
      </c>
      <c r="R722" s="171" t="n"/>
      <c r="S722" s="171" t="n"/>
    </row>
    <row r="723" ht="18" customHeight="1">
      <c r="A723" s="45" t="inlineStr">
        <is>
          <t>работник 476</t>
        </is>
      </c>
      <c r="B723" s="178" t="inlineStr">
        <is>
          <t>Контролер</t>
        </is>
      </c>
      <c r="C723" s="178" t="inlineStr"/>
      <c r="D723" s="179" t="n"/>
      <c r="E723" s="179" t="inlineStr">
        <is>
          <t>внутр</t>
        </is>
      </c>
      <c r="F723" s="179" t="n"/>
      <c r="G723" s="179" t="n"/>
      <c r="H723" s="179" t="n"/>
      <c r="I723" s="179" t="n"/>
      <c r="J723" s="179" t="n"/>
      <c r="K723" s="179" t="n"/>
      <c r="L723" s="179" t="n"/>
      <c r="M723" s="179" t="n"/>
      <c r="N723" s="179" t="n"/>
      <c r="O723" s="179" t="n"/>
      <c r="P723" s="179" t="n"/>
      <c r="Q723" s="179" t="inlineStr">
        <is>
          <t>внутр</t>
        </is>
      </c>
      <c r="R723" s="171" t="n"/>
      <c r="S723" s="171" t="n"/>
    </row>
    <row r="724" ht="18" customHeight="1">
      <c r="A724" s="45" t="inlineStr">
        <is>
          <t>работник 667</t>
        </is>
      </c>
      <c r="B724" s="178" t="inlineStr">
        <is>
          <t>Стропальщик (с исполнением обязанностей грузчика)</t>
        </is>
      </c>
      <c r="C724" s="178" t="inlineStr"/>
      <c r="D724" s="179" t="n"/>
      <c r="E724" s="179" t="inlineStr">
        <is>
          <t>внутр</t>
        </is>
      </c>
      <c r="F724" s="179" t="n"/>
      <c r="G724" s="179" t="n"/>
      <c r="H724" s="179" t="n"/>
      <c r="I724" s="179" t="n"/>
      <c r="J724" s="179" t="n"/>
      <c r="K724" s="179" t="n"/>
      <c r="L724" s="179" t="n"/>
      <c r="M724" s="179" t="n"/>
      <c r="N724" s="179" t="n"/>
      <c r="O724" s="179" t="n"/>
      <c r="P724" s="179" t="n"/>
      <c r="Q724" s="179" t="inlineStr">
        <is>
          <t>внутр</t>
        </is>
      </c>
      <c r="R724" s="171" t="n"/>
      <c r="S724" s="171" t="n"/>
    </row>
    <row r="725" ht="18" customHeight="1">
      <c r="A725" s="45" t="inlineStr">
        <is>
          <t>работник 621</t>
        </is>
      </c>
      <c r="B725" s="178" t="inlineStr">
        <is>
          <t>Повар</t>
        </is>
      </c>
      <c r="C725" s="178" t="inlineStr"/>
      <c r="D725" s="179" t="n"/>
      <c r="E725" s="179" t="inlineStr">
        <is>
          <t>внутр</t>
        </is>
      </c>
      <c r="F725" s="179" t="n"/>
      <c r="G725" s="179" t="n"/>
      <c r="H725" s="179" t="n"/>
      <c r="I725" s="179" t="n"/>
      <c r="J725" s="179" t="n"/>
      <c r="K725" s="179" t="n"/>
      <c r="L725" s="179" t="n"/>
      <c r="M725" s="179" t="n"/>
      <c r="N725" s="179" t="n"/>
      <c r="O725" s="179" t="n"/>
      <c r="P725" s="179" t="n"/>
      <c r="Q725" s="179" t="inlineStr">
        <is>
          <t>внутр</t>
        </is>
      </c>
      <c r="R725" s="171" t="n"/>
      <c r="S725" s="171" t="n"/>
    </row>
    <row r="726" ht="18" customHeight="1">
      <c r="A726" s="45" t="inlineStr">
        <is>
          <t>работник 174</t>
        </is>
      </c>
      <c r="B726" s="178" t="inlineStr">
        <is>
          <t>Машинист подземно-доставочной машины | Машинист погрузочно-доставочной машины (занятый на транспортировании горной массы в технологическом процессе)</t>
        </is>
      </c>
      <c r="C726" s="178" t="inlineStr"/>
      <c r="D726" s="179" t="n"/>
      <c r="E726" s="179" t="inlineStr">
        <is>
          <t>внутр</t>
        </is>
      </c>
      <c r="F726" s="179" t="n"/>
      <c r="G726" s="179" t="n"/>
      <c r="H726" s="179" t="n"/>
      <c r="I726" s="179" t="n"/>
      <c r="J726" s="179" t="n"/>
      <c r="K726" s="179" t="n"/>
      <c r="L726" s="179" t="n"/>
      <c r="M726" s="179" t="n"/>
      <c r="N726" s="179" t="n"/>
      <c r="O726" s="179" t="n"/>
      <c r="P726" s="179" t="inlineStr">
        <is>
          <t>внутр</t>
        </is>
      </c>
      <c r="Q726" s="179" t="inlineStr">
        <is>
          <t>внутр</t>
        </is>
      </c>
      <c r="R726" s="171" t="n"/>
      <c r="S726" s="171" t="n"/>
    </row>
    <row r="727" ht="18" customHeight="1">
      <c r="A727" s="45" t="inlineStr">
        <is>
          <t>работник 50</t>
        </is>
      </c>
      <c r="B727" s="178" t="inlineStr">
        <is>
          <t>Машинист ДВС</t>
        </is>
      </c>
      <c r="C727" s="178" t="inlineStr"/>
      <c r="D727" s="179" t="n"/>
      <c r="E727" s="179" t="inlineStr">
        <is>
          <t>внутр</t>
        </is>
      </c>
      <c r="F727" s="179" t="n"/>
      <c r="G727" s="179" t="n"/>
      <c r="H727" s="179" t="n"/>
      <c r="I727" s="179" t="n"/>
      <c r="J727" s="179" t="n"/>
      <c r="K727" s="179" t="n"/>
      <c r="L727" s="179" t="n"/>
      <c r="M727" s="179" t="n"/>
      <c r="N727" s="179" t="n"/>
      <c r="O727" s="179" t="n"/>
      <c r="P727" s="179" t="inlineStr">
        <is>
          <t>внутр</t>
        </is>
      </c>
      <c r="Q727" s="179" t="inlineStr">
        <is>
          <t>внутр</t>
        </is>
      </c>
      <c r="R727" s="171" t="n"/>
      <c r="S727" s="171" t="n"/>
    </row>
    <row r="728" ht="18" customHeight="1">
      <c r="A728" s="45" t="inlineStr">
        <is>
          <t>работник 290</t>
        </is>
      </c>
      <c r="B728" s="178" t="inlineStr">
        <is>
          <t>Водитель погрузчика</t>
        </is>
      </c>
      <c r="C728" s="178" t="inlineStr"/>
      <c r="D728" s="179" t="n"/>
      <c r="E728" s="179" t="inlineStr">
        <is>
          <t>внутр</t>
        </is>
      </c>
      <c r="F728" s="179" t="n"/>
      <c r="G728" s="179" t="n"/>
      <c r="H728" s="179" t="n"/>
      <c r="I728" s="179" t="n"/>
      <c r="J728" s="179" t="n"/>
      <c r="K728" s="179" t="n"/>
      <c r="L728" s="179" t="n"/>
      <c r="M728" s="179" t="n"/>
      <c r="N728" s="179" t="n"/>
      <c r="O728" s="179" t="n"/>
      <c r="P728" s="179" t="inlineStr">
        <is>
          <t>внутр</t>
        </is>
      </c>
      <c r="Q728" s="179" t="inlineStr">
        <is>
          <t>внутр</t>
        </is>
      </c>
      <c r="R728" s="171" t="n"/>
      <c r="S728" s="171" t="n"/>
    </row>
    <row r="729" ht="18" customHeight="1">
      <c r="A729" s="45" t="inlineStr">
        <is>
          <t>работник 291</t>
        </is>
      </c>
      <c r="B729" s="178" t="inlineStr">
        <is>
          <t>Водитель автомобиля для перевозки взрывчатых материалов</t>
        </is>
      </c>
      <c r="C729" s="178" t="inlineStr"/>
      <c r="D729" s="179" t="n"/>
      <c r="E729" s="179" t="inlineStr">
        <is>
          <t>внутр</t>
        </is>
      </c>
      <c r="F729" s="179" t="n"/>
      <c r="G729" s="179" t="n"/>
      <c r="H729" s="179" t="n"/>
      <c r="I729" s="179" t="n"/>
      <c r="J729" s="179" t="n"/>
      <c r="K729" s="179" t="n"/>
      <c r="L729" s="179" t="n"/>
      <c r="M729" s="179" t="n"/>
      <c r="N729" s="179" t="n"/>
      <c r="O729" s="179" t="n"/>
      <c r="P729" s="179" t="inlineStr">
        <is>
          <t>внутр</t>
        </is>
      </c>
      <c r="Q729" s="179" t="inlineStr">
        <is>
          <t>внутр</t>
        </is>
      </c>
      <c r="R729" s="171" t="n"/>
      <c r="S729" s="171" t="n"/>
    </row>
    <row r="730" ht="18" customHeight="1">
      <c r="A730" s="45" t="inlineStr">
        <is>
          <t>работник 900</t>
        </is>
      </c>
      <c r="B730" s="178" t="inlineStr">
        <is>
          <t>Водитель погрузчика</t>
        </is>
      </c>
      <c r="C730" s="178" t="inlineStr"/>
      <c r="D730" s="179" t="n"/>
      <c r="E730" s="179" t="inlineStr">
        <is>
          <t>внутр</t>
        </is>
      </c>
      <c r="F730" s="179" t="n"/>
      <c r="G730" s="179" t="n"/>
      <c r="H730" s="179" t="n"/>
      <c r="I730" s="179" t="n"/>
      <c r="J730" s="179" t="n"/>
      <c r="K730" s="179" t="n"/>
      <c r="L730" s="179" t="n"/>
      <c r="M730" s="179" t="n"/>
      <c r="N730" s="179" t="n"/>
      <c r="O730" s="179" t="n"/>
      <c r="P730" s="179" t="inlineStr">
        <is>
          <t>внутр</t>
        </is>
      </c>
      <c r="Q730" s="179" t="inlineStr">
        <is>
          <t>внутр</t>
        </is>
      </c>
      <c r="R730" s="171" t="n"/>
      <c r="S730" s="171" t="n"/>
    </row>
    <row r="731" ht="18" customHeight="1">
      <c r="A731" s="45" t="inlineStr">
        <is>
          <t>работник 801</t>
        </is>
      </c>
      <c r="B731" s="178" t="inlineStr">
        <is>
          <t>Слесарь по ремонту автомобилей и тяжелой техники</t>
        </is>
      </c>
      <c r="C731" s="178" t="inlineStr"/>
      <c r="D731" s="179" t="n"/>
      <c r="E731" s="179" t="inlineStr">
        <is>
          <t>внутр</t>
        </is>
      </c>
      <c r="F731" s="179" t="n"/>
      <c r="G731" s="179" t="inlineStr">
        <is>
          <t>внутр</t>
        </is>
      </c>
      <c r="H731" s="179" t="n"/>
      <c r="I731" s="179" t="n"/>
      <c r="J731" s="179" t="n"/>
      <c r="K731" s="179" t="n"/>
      <c r="L731" s="179" t="n"/>
      <c r="M731" s="179" t="n"/>
      <c r="N731" s="179" t="n"/>
      <c r="O731" s="179" t="n"/>
      <c r="P731" s="179" t="inlineStr">
        <is>
          <t>внутр</t>
        </is>
      </c>
      <c r="Q731" s="179" t="inlineStr">
        <is>
          <t>внутр</t>
        </is>
      </c>
      <c r="R731" s="171" t="n"/>
      <c r="S731" s="171" t="n"/>
    </row>
    <row r="732" ht="18" customHeight="1">
      <c r="A732" s="45" t="inlineStr">
        <is>
          <t>работник 862</t>
        </is>
      </c>
      <c r="B732" s="178" t="inlineStr">
        <is>
          <t>Уборщик производственных и служебных помещений</t>
        </is>
      </c>
      <c r="C732" s="178" t="inlineStr"/>
      <c r="D732" s="179" t="n"/>
      <c r="E732" s="179" t="inlineStr">
        <is>
          <t>внутр</t>
        </is>
      </c>
      <c r="F732" s="179" t="n"/>
      <c r="G732" s="179" t="n"/>
      <c r="H732" s="179" t="n"/>
      <c r="I732" s="179" t="n"/>
      <c r="J732" s="179" t="n"/>
      <c r="K732" s="179" t="n"/>
      <c r="L732" s="179" t="n"/>
      <c r="M732" s="179" t="n"/>
      <c r="N732" s="179" t="n"/>
      <c r="O732" s="179" t="n"/>
      <c r="P732" s="179" t="inlineStr">
        <is>
          <t>внутр</t>
        </is>
      </c>
      <c r="Q732" s="179" t="inlineStr">
        <is>
          <t>внутр</t>
        </is>
      </c>
      <c r="R732" s="171" t="n"/>
      <c r="S732" s="171" t="n"/>
    </row>
    <row r="733" ht="18" customHeight="1">
      <c r="A733" s="45" t="inlineStr">
        <is>
          <t>работник 829</t>
        </is>
      </c>
      <c r="B733" s="178" t="inlineStr">
        <is>
          <t>Дробильщик</t>
        </is>
      </c>
      <c r="C733" s="178" t="inlineStr"/>
      <c r="D733" s="179" t="n"/>
      <c r="E733" s="179" t="inlineStr">
        <is>
          <t>внутр</t>
        </is>
      </c>
      <c r="F733" s="179" t="n"/>
      <c r="G733" s="179" t="n"/>
      <c r="H733" s="179" t="n"/>
      <c r="I733" s="179" t="n"/>
      <c r="J733" s="179" t="n"/>
      <c r="K733" s="179" t="n"/>
      <c r="L733" s="179" t="n"/>
      <c r="M733" s="179" t="n"/>
      <c r="N733" s="179" t="n"/>
      <c r="O733" s="179" t="n"/>
      <c r="P733" s="179" t="inlineStr">
        <is>
          <t>внутр</t>
        </is>
      </c>
      <c r="Q733" s="179" t="inlineStr">
        <is>
          <t>внутр</t>
        </is>
      </c>
      <c r="R733" s="171" t="n"/>
      <c r="S733" s="171" t="n"/>
    </row>
    <row r="734" ht="18" customHeight="1">
      <c r="A734" s="45" t="inlineStr">
        <is>
          <t>работник 889</t>
        </is>
      </c>
      <c r="B734" s="178" t="inlineStr">
        <is>
          <t>Машинист самоходной буровой установки (Проходка)</t>
        </is>
      </c>
      <c r="C734" s="178" t="inlineStr"/>
      <c r="D734" s="179" t="n"/>
      <c r="E734" s="179" t="inlineStr">
        <is>
          <t>внутр</t>
        </is>
      </c>
      <c r="F734" s="179" t="n"/>
      <c r="G734" s="179" t="n"/>
      <c r="H734" s="179" t="n"/>
      <c r="I734" s="179" t="n"/>
      <c r="J734" s="179" t="n"/>
      <c r="K734" s="179" t="n"/>
      <c r="L734" s="179" t="n"/>
      <c r="M734" s="179" t="n"/>
      <c r="N734" s="179" t="n"/>
      <c r="O734" s="179" t="n"/>
      <c r="P734" s="179" t="inlineStr">
        <is>
          <t>внутр</t>
        </is>
      </c>
      <c r="Q734" s="179" t="inlineStr">
        <is>
          <t>внутр</t>
        </is>
      </c>
      <c r="R734" s="171" t="n"/>
      <c r="S734" s="171" t="n"/>
    </row>
    <row r="735" ht="18" customHeight="1">
      <c r="A735" s="45" t="inlineStr">
        <is>
          <t>работник 886</t>
        </is>
      </c>
      <c r="B735" s="178" t="inlineStr">
        <is>
          <t>Машинист погрузочно-доставочной машины</t>
        </is>
      </c>
      <c r="C735" s="178" t="inlineStr"/>
      <c r="D735" s="179" t="n"/>
      <c r="E735" s="179" t="inlineStr">
        <is>
          <t>внутр</t>
        </is>
      </c>
      <c r="F735" s="179" t="n"/>
      <c r="G735" s="179" t="n"/>
      <c r="H735" s="179" t="n"/>
      <c r="I735" s="179" t="n"/>
      <c r="J735" s="179" t="n"/>
      <c r="K735" s="179" t="n"/>
      <c r="L735" s="179" t="n"/>
      <c r="M735" s="179" t="n"/>
      <c r="N735" s="179" t="n"/>
      <c r="O735" s="179" t="n"/>
      <c r="P735" s="179" t="inlineStr">
        <is>
          <t>внутр</t>
        </is>
      </c>
      <c r="Q735" s="179" t="inlineStr">
        <is>
          <t>внутр</t>
        </is>
      </c>
      <c r="R735" s="171" t="n"/>
      <c r="S735" s="171" t="n"/>
    </row>
    <row r="736" ht="18" customHeight="1">
      <c r="A736" s="45" t="inlineStr">
        <is>
          <t>работник 735</t>
        </is>
      </c>
      <c r="B736" s="178" t="inlineStr">
        <is>
          <t>Машинист бульдозера</t>
        </is>
      </c>
      <c r="C736" s="178" t="inlineStr"/>
      <c r="D736" s="179" t="n"/>
      <c r="E736" s="179" t="inlineStr">
        <is>
          <t>внутр</t>
        </is>
      </c>
      <c r="F736" s="179" t="n"/>
      <c r="G736" s="179" t="n"/>
      <c r="H736" s="179" t="n"/>
      <c r="I736" s="179" t="n"/>
      <c r="J736" s="179" t="n"/>
      <c r="K736" s="179" t="n"/>
      <c r="L736" s="179" t="n"/>
      <c r="M736" s="179" t="n"/>
      <c r="N736" s="179" t="n"/>
      <c r="O736" s="179" t="n"/>
      <c r="P736" s="179" t="n"/>
      <c r="Q736" s="179" t="inlineStr">
        <is>
          <t>внутр</t>
        </is>
      </c>
      <c r="R736" s="171" t="n"/>
      <c r="S736" s="171" t="n"/>
    </row>
    <row r="737" ht="18" customHeight="1">
      <c r="A737" s="45" t="inlineStr">
        <is>
          <t>работник 781</t>
        </is>
      </c>
      <c r="B737" s="178" t="inlineStr">
        <is>
          <t>Слесарь-ремонтник (по ремонту самоходной техники)</t>
        </is>
      </c>
      <c r="C737" s="178" t="inlineStr"/>
      <c r="D737" s="179" t="n"/>
      <c r="E737" s="179" t="inlineStr">
        <is>
          <t>внутр</t>
        </is>
      </c>
      <c r="F737" s="179" t="n"/>
      <c r="G737" s="179" t="inlineStr">
        <is>
          <t>внутр</t>
        </is>
      </c>
      <c r="H737" s="179" t="n"/>
      <c r="I737" s="179" t="n"/>
      <c r="J737" s="179" t="n"/>
      <c r="K737" s="179" t="n"/>
      <c r="L737" s="179" t="n"/>
      <c r="M737" s="179" t="n"/>
      <c r="N737" s="179" t="n"/>
      <c r="O737" s="179" t="n"/>
      <c r="P737" s="179" t="n"/>
      <c r="Q737" s="179" t="inlineStr">
        <is>
          <t>внутр</t>
        </is>
      </c>
      <c r="R737" s="171" t="n"/>
      <c r="S737" s="171" t="n"/>
    </row>
    <row r="738" ht="18" customHeight="1">
      <c r="A738" s="45" t="inlineStr">
        <is>
          <t>работник 564</t>
        </is>
      </c>
      <c r="B738" s="178" t="inlineStr">
        <is>
          <t>Слесарь ремонтник</t>
        </is>
      </c>
      <c r="C738" s="178" t="inlineStr"/>
      <c r="D738" s="179" t="n"/>
      <c r="E738" s="179" t="inlineStr">
        <is>
          <t>внутр</t>
        </is>
      </c>
      <c r="F738" s="179" t="n"/>
      <c r="G738" s="179" t="n"/>
      <c r="H738" s="179" t="n"/>
      <c r="I738" s="179" t="n"/>
      <c r="J738" s="179" t="n"/>
      <c r="K738" s="179" t="n"/>
      <c r="L738" s="179" t="n"/>
      <c r="M738" s="179" t="n"/>
      <c r="N738" s="179" t="n"/>
      <c r="O738" s="179" t="n"/>
      <c r="P738" s="179" t="n"/>
      <c r="Q738" s="179" t="inlineStr">
        <is>
          <t>внутр</t>
        </is>
      </c>
      <c r="R738" s="171" t="n"/>
      <c r="S738" s="171" t="n"/>
    </row>
    <row r="739" ht="18" customHeight="1">
      <c r="A739" s="45" t="inlineStr">
        <is>
          <t>работник 924</t>
        </is>
      </c>
      <c r="B739" s="178" t="inlineStr">
        <is>
          <t>Повар</t>
        </is>
      </c>
      <c r="C739" s="178" t="inlineStr"/>
      <c r="D739" s="179" t="n"/>
      <c r="E739" s="179" t="inlineStr">
        <is>
          <t>внутр</t>
        </is>
      </c>
      <c r="F739" s="179" t="n"/>
      <c r="G739" s="179" t="n"/>
      <c r="H739" s="179" t="n"/>
      <c r="I739" s="179" t="n"/>
      <c r="J739" s="179" t="n"/>
      <c r="K739" s="179" t="n"/>
      <c r="L739" s="179" t="n"/>
      <c r="M739" s="179" t="n"/>
      <c r="N739" s="179" t="n"/>
      <c r="O739" s="179" t="n"/>
      <c r="P739" s="179" t="n"/>
      <c r="Q739" s="179" t="inlineStr">
        <is>
          <t>внутр</t>
        </is>
      </c>
      <c r="R739" s="171" t="n"/>
      <c r="S739" s="171" t="n"/>
    </row>
    <row r="740" ht="18" customHeight="1">
      <c r="A740" s="45" t="inlineStr">
        <is>
          <t>работник 772</t>
        </is>
      </c>
      <c r="B740" s="178" t="inlineStr">
        <is>
          <t>Машинист погрузочно-доставочной машины</t>
        </is>
      </c>
      <c r="C740" s="178" t="inlineStr"/>
      <c r="D740" s="179" t="n"/>
      <c r="E740" s="179" t="inlineStr">
        <is>
          <t>внутр</t>
        </is>
      </c>
      <c r="F740" s="179" t="n"/>
      <c r="G740" s="179" t="n"/>
      <c r="H740" s="179" t="n"/>
      <c r="I740" s="179" t="n"/>
      <c r="J740" s="179" t="n"/>
      <c r="K740" s="179" t="n"/>
      <c r="L740" s="179" t="n"/>
      <c r="M740" s="179" t="n"/>
      <c r="N740" s="179" t="n"/>
      <c r="O740" s="179" t="n"/>
      <c r="P740" s="179" t="inlineStr">
        <is>
          <t>внутр</t>
        </is>
      </c>
      <c r="Q740" s="179" t="inlineStr">
        <is>
          <t>внутр</t>
        </is>
      </c>
      <c r="R740" s="171" t="n"/>
      <c r="S740" s="171" t="n"/>
    </row>
    <row r="741" ht="18" customHeight="1">
      <c r="A741" s="45" t="inlineStr">
        <is>
          <t>работник 65</t>
        </is>
      </c>
      <c r="B741" s="178" t="inlineStr">
        <is>
          <t>Электрослесарь (слесарь) | Электрослесарь (слесарь) дежурный и по ремонту оборудования подземного горного участка | Помошник машиниста самоходной буровой установки</t>
        </is>
      </c>
      <c r="C741" s="178" t="inlineStr"/>
      <c r="D741" s="179" t="n"/>
      <c r="E741" s="179" t="inlineStr">
        <is>
          <t>внутр</t>
        </is>
      </c>
      <c r="F741" s="179" t="n"/>
      <c r="G741" s="179" t="n"/>
      <c r="H741" s="179" t="n"/>
      <c r="I741" s="179" t="n"/>
      <c r="J741" s="179" t="n"/>
      <c r="K741" s="179" t="n"/>
      <c r="L741" s="179" t="n"/>
      <c r="M741" s="179" t="n"/>
      <c r="N741" s="179" t="n"/>
      <c r="O741" s="179" t="n"/>
      <c r="P741" s="179" t="inlineStr">
        <is>
          <t>внутр</t>
        </is>
      </c>
      <c r="Q741" s="179" t="inlineStr">
        <is>
          <t>внутр</t>
        </is>
      </c>
      <c r="R741" s="171" t="n"/>
      <c r="S741" s="171" t="n"/>
    </row>
    <row r="742" ht="18" customHeight="1">
      <c r="A742" s="45" t="inlineStr">
        <is>
          <t>работник 175</t>
        </is>
      </c>
      <c r="B742" s="178" t="inlineStr">
        <is>
          <t>Машинист подземно-доставочной машины</t>
        </is>
      </c>
      <c r="C742" s="178" t="inlineStr"/>
      <c r="D742" s="179" t="n"/>
      <c r="E742" s="179" t="inlineStr">
        <is>
          <t>внутр</t>
        </is>
      </c>
      <c r="F742" s="179" t="n"/>
      <c r="G742" s="179" t="n"/>
      <c r="H742" s="179" t="n"/>
      <c r="I742" s="179" t="n"/>
      <c r="J742" s="179" t="n"/>
      <c r="K742" s="179" t="n"/>
      <c r="L742" s="179" t="n"/>
      <c r="M742" s="179" t="n"/>
      <c r="N742" s="179" t="n"/>
      <c r="O742" s="179" t="n"/>
      <c r="P742" s="179" t="inlineStr">
        <is>
          <t>внутр</t>
        </is>
      </c>
      <c r="Q742" s="179" t="inlineStr">
        <is>
          <t>внутр</t>
        </is>
      </c>
      <c r="R742" s="171" t="n"/>
      <c r="S742" s="171" t="n"/>
    </row>
    <row r="743" ht="18" customHeight="1">
      <c r="A743" s="45" t="inlineStr">
        <is>
          <t>работник 117</t>
        </is>
      </c>
      <c r="B743" s="178" t="inlineStr">
        <is>
          <t>Пробоотборщик</t>
        </is>
      </c>
      <c r="C743" s="178" t="inlineStr"/>
      <c r="D743" s="179" t="n"/>
      <c r="E743" s="179" t="inlineStr">
        <is>
          <t>внутр</t>
        </is>
      </c>
      <c r="F743" s="179" t="n"/>
      <c r="G743" s="179" t="n"/>
      <c r="H743" s="179" t="n"/>
      <c r="I743" s="179" t="n"/>
      <c r="J743" s="179" t="n"/>
      <c r="K743" s="179" t="n"/>
      <c r="L743" s="179" t="n"/>
      <c r="M743" s="179" t="n"/>
      <c r="N743" s="179" t="n"/>
      <c r="O743" s="179" t="n"/>
      <c r="P743" s="179" t="inlineStr">
        <is>
          <t>внутр</t>
        </is>
      </c>
      <c r="Q743" s="179" t="inlineStr">
        <is>
          <t>внутр</t>
        </is>
      </c>
      <c r="R743" s="171" t="n"/>
      <c r="S743" s="171" t="n"/>
    </row>
    <row r="744" ht="18" customHeight="1">
      <c r="A744" s="45" t="inlineStr">
        <is>
          <t>работник 345</t>
        </is>
      </c>
      <c r="B744" s="178" t="inlineStr">
        <is>
          <t>Растворщик реагентов</t>
        </is>
      </c>
      <c r="C744" s="178" t="inlineStr"/>
      <c r="D744" s="179" t="n"/>
      <c r="E744" s="179" t="inlineStr">
        <is>
          <t>внутр</t>
        </is>
      </c>
      <c r="F744" s="179" t="n"/>
      <c r="G744" s="179" t="n"/>
      <c r="H744" s="179" t="n"/>
      <c r="I744" s="179" t="n"/>
      <c r="J744" s="179" t="n"/>
      <c r="K744" s="179" t="n"/>
      <c r="L744" s="179" t="n"/>
      <c r="M744" s="179" t="n"/>
      <c r="N744" s="179" t="n"/>
      <c r="O744" s="179" t="n"/>
      <c r="P744" s="179" t="inlineStr">
        <is>
          <t>внутр</t>
        </is>
      </c>
      <c r="Q744" s="179" t="inlineStr">
        <is>
          <t>внутр</t>
        </is>
      </c>
      <c r="R744" s="171" t="n"/>
      <c r="S744" s="171" t="n"/>
    </row>
    <row r="745" ht="18" customHeight="1">
      <c r="A745" s="45" t="inlineStr">
        <is>
          <t>работник 674</t>
        </is>
      </c>
      <c r="B745" s="178" t="inlineStr">
        <is>
          <t>Растворщик-реагентов | Растворщик реагентов</t>
        </is>
      </c>
      <c r="C745" s="178" t="inlineStr"/>
      <c r="D745" s="179" t="n"/>
      <c r="E745" s="179" t="inlineStr">
        <is>
          <t>внутр</t>
        </is>
      </c>
      <c r="F745" s="179" t="n"/>
      <c r="G745" s="179" t="n"/>
      <c r="H745" s="179" t="n"/>
      <c r="I745" s="179" t="n"/>
      <c r="J745" s="179" t="n"/>
      <c r="K745" s="179" t="n"/>
      <c r="L745" s="179" t="n"/>
      <c r="M745" s="179" t="n"/>
      <c r="N745" s="179" t="n"/>
      <c r="O745" s="179" t="n"/>
      <c r="P745" s="179" t="inlineStr">
        <is>
          <t>внутр</t>
        </is>
      </c>
      <c r="Q745" s="179" t="inlineStr">
        <is>
          <t>внутр</t>
        </is>
      </c>
      <c r="R745" s="171" t="n"/>
      <c r="S745" s="171" t="n"/>
    </row>
    <row r="746" ht="18" customHeight="1">
      <c r="A746" s="45" t="inlineStr">
        <is>
          <t>работник 642</t>
        </is>
      </c>
      <c r="B746" s="178" t="inlineStr">
        <is>
          <t>Растворщик реагентов</t>
        </is>
      </c>
      <c r="C746" s="178" t="inlineStr"/>
      <c r="D746" s="179" t="n"/>
      <c r="E746" s="179" t="inlineStr">
        <is>
          <t>внутр</t>
        </is>
      </c>
      <c r="F746" s="179" t="inlineStr">
        <is>
          <t>внутр</t>
        </is>
      </c>
      <c r="G746" s="179" t="n"/>
      <c r="H746" s="179" t="inlineStr">
        <is>
          <t>внутр</t>
        </is>
      </c>
      <c r="I746" s="179" t="n"/>
      <c r="J746" s="179" t="n"/>
      <c r="K746" s="179" t="n"/>
      <c r="L746" s="179" t="n"/>
      <c r="M746" s="179" t="n"/>
      <c r="N746" s="179" t="n"/>
      <c r="O746" s="179" t="n"/>
      <c r="P746" s="179" t="n"/>
      <c r="Q746" s="179" t="inlineStr">
        <is>
          <t>внутр</t>
        </is>
      </c>
      <c r="R746" s="171" t="n"/>
      <c r="S746" s="171" t="n"/>
    </row>
    <row r="747" ht="18" customHeight="1">
      <c r="A747" s="45" t="inlineStr">
        <is>
          <t>работник 764</t>
        </is>
      </c>
      <c r="B747" s="178" t="inlineStr">
        <is>
          <t>Машинист погрузочно-доставочной машины (занятый на транспортировании горной массы в технологическом процессе)</t>
        </is>
      </c>
      <c r="C747" s="178" t="inlineStr"/>
      <c r="D747" s="179" t="n"/>
      <c r="E747" s="179" t="inlineStr">
        <is>
          <t>внутр</t>
        </is>
      </c>
      <c r="F747" s="179" t="n"/>
      <c r="G747" s="179" t="n"/>
      <c r="H747" s="179" t="n"/>
      <c r="I747" s="179" t="n"/>
      <c r="J747" s="179" t="n"/>
      <c r="K747" s="179" t="n"/>
      <c r="L747" s="179" t="n"/>
      <c r="M747" s="179" t="n"/>
      <c r="N747" s="179" t="n"/>
      <c r="O747" s="179" t="n"/>
      <c r="P747" s="179" t="inlineStr">
        <is>
          <t>внутр</t>
        </is>
      </c>
      <c r="Q747" s="179" t="inlineStr">
        <is>
          <t>внутр</t>
        </is>
      </c>
      <c r="R747" s="171" t="n"/>
      <c r="S747" s="171" t="n"/>
    </row>
    <row r="748" ht="18" customHeight="1">
      <c r="A748" s="45" t="inlineStr">
        <is>
          <t>работник 366</t>
        </is>
      </c>
      <c r="B748" s="178" t="inlineStr">
        <is>
          <t>Ламповщик</t>
        </is>
      </c>
      <c r="C748" s="178" t="inlineStr"/>
      <c r="D748" s="179" t="n"/>
      <c r="E748" s="179" t="inlineStr">
        <is>
          <t>внутр</t>
        </is>
      </c>
      <c r="F748" s="179" t="n"/>
      <c r="G748" s="179" t="n"/>
      <c r="H748" s="179" t="n"/>
      <c r="I748" s="179" t="n"/>
      <c r="J748" s="179" t="n"/>
      <c r="K748" s="179" t="n"/>
      <c r="L748" s="179" t="n"/>
      <c r="M748" s="179" t="n"/>
      <c r="N748" s="179" t="n"/>
      <c r="O748" s="179" t="n"/>
      <c r="P748" s="179" t="inlineStr">
        <is>
          <t>внутр</t>
        </is>
      </c>
      <c r="Q748" s="179" t="inlineStr">
        <is>
          <t>внутр</t>
        </is>
      </c>
      <c r="R748" s="171" t="n"/>
      <c r="S748" s="171" t="n"/>
    </row>
    <row r="749" ht="18" customHeight="1">
      <c r="A749" s="45" t="inlineStr">
        <is>
          <t>работник 651</t>
        </is>
      </c>
      <c r="B749" s="178" t="inlineStr">
        <is>
          <t>Машинист самоходной буровой установки (Проходка) | Машинист погрузочно-доставочной машины</t>
        </is>
      </c>
      <c r="C749" s="178" t="inlineStr"/>
      <c r="D749" s="179" t="n"/>
      <c r="E749" s="179" t="inlineStr">
        <is>
          <t>внутр</t>
        </is>
      </c>
      <c r="F749" s="179" t="n"/>
      <c r="G749" s="179" t="n"/>
      <c r="H749" s="179" t="n"/>
      <c r="I749" s="179" t="n"/>
      <c r="J749" s="179" t="n"/>
      <c r="K749" s="179" t="n"/>
      <c r="L749" s="179" t="n"/>
      <c r="M749" s="179" t="n"/>
      <c r="N749" s="179" t="n"/>
      <c r="O749" s="179" t="n"/>
      <c r="P749" s="179" t="inlineStr">
        <is>
          <t>внутр</t>
        </is>
      </c>
      <c r="Q749" s="179" t="inlineStr">
        <is>
          <t>внутр</t>
        </is>
      </c>
      <c r="R749" s="171" t="n"/>
      <c r="S749" s="171" t="n"/>
    </row>
    <row r="750" ht="18" customHeight="1">
      <c r="A750" s="45" t="inlineStr">
        <is>
          <t>работник 736</t>
        </is>
      </c>
      <c r="B750" s="178" t="inlineStr">
        <is>
          <t>Машинист буровой установки</t>
        </is>
      </c>
      <c r="C750" s="178" t="inlineStr"/>
      <c r="D750" s="179" t="n"/>
      <c r="E750" s="179" t="inlineStr">
        <is>
          <t>внутр</t>
        </is>
      </c>
      <c r="F750" s="179" t="n"/>
      <c r="G750" s="179" t="n"/>
      <c r="H750" s="179" t="n"/>
      <c r="I750" s="179" t="n"/>
      <c r="J750" s="179" t="n"/>
      <c r="K750" s="179" t="n"/>
      <c r="L750" s="179" t="n"/>
      <c r="M750" s="179" t="n"/>
      <c r="N750" s="179" t="n"/>
      <c r="O750" s="179" t="n"/>
      <c r="P750" s="179" t="n"/>
      <c r="Q750" s="179" t="inlineStr">
        <is>
          <t>внутр</t>
        </is>
      </c>
      <c r="R750" s="171" t="n"/>
      <c r="S750" s="171" t="n"/>
    </row>
    <row r="751" ht="18" customHeight="1">
      <c r="A751" s="45" t="inlineStr">
        <is>
          <t>работник 765</t>
        </is>
      </c>
      <c r="B751" s="178" t="inlineStr">
        <is>
          <t>Машинист погрузочно-доставочной машины (занятый на транспортировании горной массы в технологическом процессе)</t>
        </is>
      </c>
      <c r="C751" s="178" t="inlineStr"/>
      <c r="D751" s="179" t="n"/>
      <c r="E751" s="179" t="inlineStr">
        <is>
          <t>внутр</t>
        </is>
      </c>
      <c r="F751" s="179" t="n"/>
      <c r="G751" s="179" t="n"/>
      <c r="H751" s="179" t="n"/>
      <c r="I751" s="179" t="n"/>
      <c r="J751" s="179" t="n"/>
      <c r="K751" s="179" t="n"/>
      <c r="L751" s="179" t="n"/>
      <c r="M751" s="179" t="n"/>
      <c r="N751" s="179" t="n"/>
      <c r="O751" s="179" t="n"/>
      <c r="P751" s="179" t="inlineStr">
        <is>
          <t>внутр</t>
        </is>
      </c>
      <c r="Q751" s="179" t="inlineStr">
        <is>
          <t>внутр</t>
        </is>
      </c>
      <c r="R751" s="171" t="n"/>
      <c r="S751" s="171" t="n"/>
    </row>
    <row r="752" ht="18" customHeight="1">
      <c r="A752" s="45" t="inlineStr">
        <is>
          <t>работник 624</t>
        </is>
      </c>
      <c r="B752" s="178" t="inlineStr">
        <is>
          <t>Повар</t>
        </is>
      </c>
      <c r="C752" s="178" t="inlineStr"/>
      <c r="D752" s="179" t="n"/>
      <c r="E752" s="179" t="inlineStr">
        <is>
          <t>внутр</t>
        </is>
      </c>
      <c r="F752" s="179" t="n"/>
      <c r="G752" s="179" t="n"/>
      <c r="H752" s="179" t="n"/>
      <c r="I752" s="179" t="n"/>
      <c r="J752" s="179" t="n"/>
      <c r="K752" s="179" t="n"/>
      <c r="L752" s="179" t="n"/>
      <c r="M752" s="179" t="n"/>
      <c r="N752" s="179" t="n"/>
      <c r="O752" s="179" t="n"/>
      <c r="P752" s="179" t="n"/>
      <c r="Q752" s="179" t="inlineStr">
        <is>
          <t>внутр</t>
        </is>
      </c>
      <c r="R752" s="171" t="n"/>
      <c r="S752" s="171" t="n"/>
    </row>
    <row r="753" ht="18" customHeight="1">
      <c r="A753" s="45" t="inlineStr">
        <is>
          <t>работник 248</t>
        </is>
      </c>
      <c r="B753" s="178" t="inlineStr">
        <is>
          <t>Аппаратчик-гидрометаллург</t>
        </is>
      </c>
      <c r="C753" s="178" t="inlineStr"/>
      <c r="D753" s="179" t="n"/>
      <c r="E753" s="179" t="inlineStr">
        <is>
          <t>внутр</t>
        </is>
      </c>
      <c r="F753" s="179" t="n"/>
      <c r="G753" s="179" t="n"/>
      <c r="H753" s="179" t="n"/>
      <c r="I753" s="179" t="n"/>
      <c r="J753" s="179" t="n"/>
      <c r="K753" s="179" t="n"/>
      <c r="L753" s="179" t="n"/>
      <c r="M753" s="179" t="n"/>
      <c r="N753" s="179" t="n"/>
      <c r="O753" s="179" t="n"/>
      <c r="P753" s="179" t="inlineStr">
        <is>
          <t>внутр</t>
        </is>
      </c>
      <c r="Q753" s="179" t="inlineStr">
        <is>
          <t>внутр</t>
        </is>
      </c>
      <c r="R753" s="171" t="n"/>
      <c r="S753" s="171" t="n"/>
    </row>
    <row r="754" ht="18" customHeight="1">
      <c r="A754" s="45" t="inlineStr">
        <is>
          <t>работник 130</t>
        </is>
      </c>
      <c r="B754" s="178" t="inlineStr">
        <is>
          <t>Слесарь-ремонтник</t>
        </is>
      </c>
      <c r="C754" s="178" t="inlineStr"/>
      <c r="D754" s="179" t="n"/>
      <c r="E754" s="179" t="inlineStr">
        <is>
          <t>внутр</t>
        </is>
      </c>
      <c r="F754" s="179" t="inlineStr">
        <is>
          <t>внутр</t>
        </is>
      </c>
      <c r="G754" s="179" t="inlineStr">
        <is>
          <t>внутр</t>
        </is>
      </c>
      <c r="H754" s="179" t="inlineStr">
        <is>
          <t>внутр</t>
        </is>
      </c>
      <c r="I754" s="179" t="inlineStr">
        <is>
          <t>внутр</t>
        </is>
      </c>
      <c r="J754" s="179" t="inlineStr">
        <is>
          <t>внутр</t>
        </is>
      </c>
      <c r="K754" s="179" t="inlineStr">
        <is>
          <t>внутр</t>
        </is>
      </c>
      <c r="L754" s="179" t="n"/>
      <c r="M754" s="179" t="n"/>
      <c r="N754" s="179" t="n"/>
      <c r="O754" s="179" t="n"/>
      <c r="P754" s="179" t="inlineStr">
        <is>
          <t>внутр</t>
        </is>
      </c>
      <c r="Q754" s="179" t="inlineStr">
        <is>
          <t>внутр</t>
        </is>
      </c>
      <c r="R754" s="171" t="n"/>
      <c r="S754" s="171" t="n"/>
    </row>
    <row r="755" ht="18" customHeight="1">
      <c r="A755" s="45" t="inlineStr">
        <is>
          <t>работник 454</t>
        </is>
      </c>
      <c r="B755" s="178" t="inlineStr">
        <is>
          <t>Бункеровщик</t>
        </is>
      </c>
      <c r="C755" s="178" t="inlineStr"/>
      <c r="D755" s="179" t="n"/>
      <c r="E755" s="179" t="inlineStr">
        <is>
          <t>внутр</t>
        </is>
      </c>
      <c r="F755" s="179" t="n"/>
      <c r="G755" s="179" t="n"/>
      <c r="H755" s="179" t="n"/>
      <c r="I755" s="179" t="n"/>
      <c r="J755" s="179" t="n"/>
      <c r="K755" s="179" t="n"/>
      <c r="L755" s="179" t="n"/>
      <c r="M755" s="179" t="n"/>
      <c r="N755" s="179" t="n"/>
      <c r="O755" s="179" t="n"/>
      <c r="P755" s="179" t="n"/>
      <c r="Q755" s="179" t="inlineStr">
        <is>
          <t>внутр</t>
        </is>
      </c>
      <c r="R755" s="171" t="n"/>
      <c r="S755" s="171" t="n"/>
    </row>
    <row r="756" ht="18" customHeight="1">
      <c r="A756" s="45" t="inlineStr">
        <is>
          <t>работник 292</t>
        </is>
      </c>
      <c r="B756" s="178" t="inlineStr">
        <is>
          <t>Водитель автомобиля (занятый на транспортировании горной массы в технологическом процессе)</t>
        </is>
      </c>
      <c r="C756" s="178" t="inlineStr"/>
      <c r="D756" s="179" t="n"/>
      <c r="E756" s="179" t="inlineStr">
        <is>
          <t>внутр</t>
        </is>
      </c>
      <c r="F756" s="179" t="n"/>
      <c r="G756" s="179" t="n"/>
      <c r="H756" s="179" t="n"/>
      <c r="I756" s="179" t="n"/>
      <c r="J756" s="179" t="n"/>
      <c r="K756" s="179" t="n"/>
      <c r="L756" s="179" t="n"/>
      <c r="M756" s="179" t="n"/>
      <c r="N756" s="179" t="n"/>
      <c r="O756" s="179" t="n"/>
      <c r="P756" s="179" t="inlineStr">
        <is>
          <t>внутр</t>
        </is>
      </c>
      <c r="Q756" s="179" t="inlineStr">
        <is>
          <t>внутр</t>
        </is>
      </c>
      <c r="R756" s="171" t="n"/>
      <c r="S756" s="171" t="n"/>
    </row>
    <row r="757" ht="18" customHeight="1">
      <c r="A757" s="45" t="inlineStr">
        <is>
          <t>работник 604</t>
        </is>
      </c>
      <c r="B757" s="178" t="inlineStr">
        <is>
          <t>Машинист насосных установок</t>
        </is>
      </c>
      <c r="C757" s="178" t="inlineStr"/>
      <c r="D757" s="179" t="n"/>
      <c r="E757" s="179" t="inlineStr">
        <is>
          <t>внутр</t>
        </is>
      </c>
      <c r="F757" s="179" t="n"/>
      <c r="G757" s="179" t="n"/>
      <c r="H757" s="179" t="n"/>
      <c r="I757" s="179" t="n"/>
      <c r="J757" s="179" t="n"/>
      <c r="K757" s="179" t="n"/>
      <c r="L757" s="179" t="n"/>
      <c r="M757" s="179" t="n"/>
      <c r="N757" s="179" t="n"/>
      <c r="O757" s="179" t="n"/>
      <c r="P757" s="179" t="n"/>
      <c r="Q757" s="179" t="inlineStr">
        <is>
          <t>внутр</t>
        </is>
      </c>
      <c r="R757" s="171" t="n"/>
      <c r="S757" s="171" t="n"/>
    </row>
    <row r="758" ht="18" customHeight="1">
      <c r="A758" s="45" t="inlineStr">
        <is>
          <t>работник 20</t>
        </is>
      </c>
      <c r="B758" s="178" t="inlineStr">
        <is>
          <t>Водитель погрузчика</t>
        </is>
      </c>
      <c r="C758" s="178" t="inlineStr"/>
      <c r="D758" s="179" t="n"/>
      <c r="E758" s="179" t="inlineStr">
        <is>
          <t>внутр</t>
        </is>
      </c>
      <c r="F758" s="179" t="n"/>
      <c r="G758" s="179" t="n"/>
      <c r="H758" s="179" t="n"/>
      <c r="I758" s="179" t="n"/>
      <c r="J758" s="179" t="n"/>
      <c r="K758" s="179" t="n"/>
      <c r="L758" s="179" t="n"/>
      <c r="M758" s="179" t="n"/>
      <c r="N758" s="179" t="n"/>
      <c r="O758" s="179" t="n"/>
      <c r="P758" s="179" t="inlineStr">
        <is>
          <t>внутр</t>
        </is>
      </c>
      <c r="Q758" s="179" t="inlineStr">
        <is>
          <t>внутр</t>
        </is>
      </c>
      <c r="R758" s="171" t="n"/>
      <c r="S758" s="171" t="n"/>
    </row>
    <row r="759" ht="18" customHeight="1">
      <c r="A759" s="45" t="inlineStr">
        <is>
          <t>работник 532</t>
        </is>
      </c>
      <c r="B759" s="178" t="inlineStr">
        <is>
          <t>Машинист самоходной буровой установки (Очистное) | Машинист самоходной буровой установки</t>
        </is>
      </c>
      <c r="C759" s="178" t="inlineStr"/>
      <c r="D759" s="179" t="n"/>
      <c r="E759" s="179" t="inlineStr">
        <is>
          <t>внутр</t>
        </is>
      </c>
      <c r="F759" s="179" t="n"/>
      <c r="G759" s="179" t="n"/>
      <c r="H759" s="179" t="n"/>
      <c r="I759" s="179" t="n"/>
      <c r="J759" s="179" t="n"/>
      <c r="K759" s="179" t="n"/>
      <c r="L759" s="179" t="n"/>
      <c r="M759" s="179" t="n"/>
      <c r="N759" s="179" t="n"/>
      <c r="O759" s="179" t="n"/>
      <c r="P759" s="179" t="inlineStr">
        <is>
          <t>внутр</t>
        </is>
      </c>
      <c r="Q759" s="179" t="inlineStr">
        <is>
          <t>внутр</t>
        </is>
      </c>
      <c r="R759" s="171" t="n"/>
      <c r="S759" s="171" t="n"/>
    </row>
    <row r="760" ht="18" customHeight="1">
      <c r="A760" s="45" t="inlineStr">
        <is>
          <t>работник 49</t>
        </is>
      </c>
      <c r="B760" s="178" t="inlineStr">
        <is>
          <t>Машинист ДВС</t>
        </is>
      </c>
      <c r="C760" s="178" t="inlineStr"/>
      <c r="D760" s="179" t="n"/>
      <c r="E760" s="179" t="inlineStr">
        <is>
          <t>внутр</t>
        </is>
      </c>
      <c r="F760" s="179" t="n"/>
      <c r="G760" s="179" t="n"/>
      <c r="H760" s="179" t="n"/>
      <c r="I760" s="179" t="n"/>
      <c r="J760" s="179" t="n"/>
      <c r="K760" s="179" t="n"/>
      <c r="L760" s="179" t="n"/>
      <c r="M760" s="179" t="n"/>
      <c r="N760" s="179" t="n"/>
      <c r="O760" s="179" t="n"/>
      <c r="P760" s="179" t="inlineStr">
        <is>
          <t>внутр</t>
        </is>
      </c>
      <c r="Q760" s="179" t="inlineStr">
        <is>
          <t>внутр</t>
        </is>
      </c>
      <c r="R760" s="171" t="n"/>
      <c r="S760" s="171" t="n"/>
    </row>
    <row r="761" ht="18" customHeight="1">
      <c r="A761" s="45" t="inlineStr">
        <is>
          <t>работник 198</t>
        </is>
      </c>
      <c r="B761" s="178" t="inlineStr">
        <is>
          <t>Водитель автомобиля(занятый на траспортировании горной массы в технологическом процессе)</t>
        </is>
      </c>
      <c r="C761" s="178" t="inlineStr"/>
      <c r="D761" s="179" t="n"/>
      <c r="E761" s="179" t="inlineStr">
        <is>
          <t>внутр</t>
        </is>
      </c>
      <c r="F761" s="179" t="n"/>
      <c r="G761" s="179" t="n"/>
      <c r="H761" s="179" t="n"/>
      <c r="I761" s="179" t="n"/>
      <c r="J761" s="179" t="n"/>
      <c r="K761" s="179" t="n"/>
      <c r="L761" s="179" t="n"/>
      <c r="M761" s="179" t="n"/>
      <c r="N761" s="179" t="n"/>
      <c r="O761" s="179" t="n"/>
      <c r="P761" s="179" t="inlineStr">
        <is>
          <t>внутр</t>
        </is>
      </c>
      <c r="Q761" s="179" t="inlineStr">
        <is>
          <t>внутр</t>
        </is>
      </c>
      <c r="R761" s="171" t="n"/>
      <c r="S761" s="171" t="n"/>
    </row>
    <row r="762" ht="18" customHeight="1">
      <c r="A762" s="45" t="inlineStr">
        <is>
          <t>работник 128</t>
        </is>
      </c>
      <c r="B762" s="178" t="inlineStr">
        <is>
          <t>машинист конвейра | Машинист конвейера</t>
        </is>
      </c>
      <c r="C762" s="178" t="inlineStr"/>
      <c r="D762" s="179" t="n"/>
      <c r="E762" s="179" t="inlineStr">
        <is>
          <t>внутр</t>
        </is>
      </c>
      <c r="F762" s="179" t="n"/>
      <c r="G762" s="179" t="n"/>
      <c r="H762" s="179" t="n"/>
      <c r="I762" s="179" t="n"/>
      <c r="J762" s="179" t="n"/>
      <c r="K762" s="179" t="n"/>
      <c r="L762" s="179" t="n"/>
      <c r="M762" s="179" t="n"/>
      <c r="N762" s="179" t="n"/>
      <c r="O762" s="179" t="n"/>
      <c r="P762" s="179" t="inlineStr">
        <is>
          <t>внутр</t>
        </is>
      </c>
      <c r="Q762" s="179" t="inlineStr">
        <is>
          <t>внутр</t>
        </is>
      </c>
      <c r="R762" s="171" t="n"/>
      <c r="S762" s="171" t="n"/>
    </row>
    <row r="763" ht="18" customHeight="1">
      <c r="A763" s="45" t="inlineStr">
        <is>
          <t>работник 683</t>
        </is>
      </c>
      <c r="B763" s="178" t="inlineStr">
        <is>
          <t>Оператор дизельных котлов</t>
        </is>
      </c>
      <c r="C763" s="178" t="inlineStr"/>
      <c r="D763" s="179" t="n"/>
      <c r="E763" s="179" t="inlineStr">
        <is>
          <t>внутр</t>
        </is>
      </c>
      <c r="F763" s="179" t="n"/>
      <c r="G763" s="179" t="n"/>
      <c r="H763" s="179" t="n"/>
      <c r="I763" s="179" t="n"/>
      <c r="J763" s="179" t="n"/>
      <c r="K763" s="179" t="n"/>
      <c r="L763" s="179" t="n"/>
      <c r="M763" s="179" t="n"/>
      <c r="N763" s="179" t="n"/>
      <c r="O763" s="179" t="n"/>
      <c r="P763" s="179" t="inlineStr">
        <is>
          <t>внутр</t>
        </is>
      </c>
      <c r="Q763" s="179" t="inlineStr">
        <is>
          <t>внутр</t>
        </is>
      </c>
      <c r="R763" s="171" t="n"/>
      <c r="S763" s="171" t="n"/>
    </row>
    <row r="764" ht="18" customHeight="1">
      <c r="A764" s="45" t="inlineStr">
        <is>
          <t>работник 176</t>
        </is>
      </c>
      <c r="B764" s="178" t="inlineStr">
        <is>
          <t>Машинист самоходной буровой установки | Проходчик (с исполнением обязанностей взрывника)</t>
        </is>
      </c>
      <c r="C764" s="178" t="inlineStr"/>
      <c r="D764" s="179" t="n"/>
      <c r="E764" s="179" t="inlineStr">
        <is>
          <t>внутр</t>
        </is>
      </c>
      <c r="F764" s="179" t="n"/>
      <c r="G764" s="179" t="n"/>
      <c r="H764" s="179" t="n"/>
      <c r="I764" s="179" t="n"/>
      <c r="J764" s="179" t="n"/>
      <c r="K764" s="179" t="n"/>
      <c r="L764" s="179" t="n"/>
      <c r="M764" s="179" t="n"/>
      <c r="N764" s="179" t="n"/>
      <c r="O764" s="179" t="n"/>
      <c r="P764" s="179" t="inlineStr">
        <is>
          <t>внутр</t>
        </is>
      </c>
      <c r="Q764" s="179" t="inlineStr">
        <is>
          <t>внутр</t>
        </is>
      </c>
      <c r="R764" s="171" t="n"/>
      <c r="S764" s="171" t="n"/>
    </row>
    <row r="765" ht="18" customHeight="1">
      <c r="A765" s="45" t="inlineStr">
        <is>
          <t>работник 254</t>
        </is>
      </c>
      <c r="B765" s="178" t="inlineStr">
        <is>
          <t>Фильтровальщик</t>
        </is>
      </c>
      <c r="C765" s="178" t="inlineStr"/>
      <c r="D765" s="179" t="n"/>
      <c r="E765" s="179" t="inlineStr">
        <is>
          <t>внутр</t>
        </is>
      </c>
      <c r="F765" s="179" t="n"/>
      <c r="G765" s="179" t="n"/>
      <c r="H765" s="179" t="n"/>
      <c r="I765" s="179" t="n"/>
      <c r="J765" s="179" t="n"/>
      <c r="K765" s="179" t="n"/>
      <c r="L765" s="179" t="n"/>
      <c r="M765" s="179" t="n"/>
      <c r="N765" s="179" t="n"/>
      <c r="O765" s="179" t="n"/>
      <c r="P765" s="179" t="inlineStr">
        <is>
          <t>внутр</t>
        </is>
      </c>
      <c r="Q765" s="179" t="inlineStr">
        <is>
          <t>внутр</t>
        </is>
      </c>
      <c r="R765" s="171" t="n"/>
      <c r="S765" s="171" t="n"/>
    </row>
    <row r="766" ht="18" customHeight="1">
      <c r="A766" s="45" t="inlineStr">
        <is>
          <t>работник 224</t>
        </is>
      </c>
      <c r="B766" s="178" t="inlineStr">
        <is>
          <t>Электрогазосварщик(занятый на резке и ручной сварке)</t>
        </is>
      </c>
      <c r="C766" s="178" t="inlineStr"/>
      <c r="D766" s="179" t="n"/>
      <c r="E766" s="179" t="inlineStr">
        <is>
          <t>внутр</t>
        </is>
      </c>
      <c r="F766" s="179" t="n"/>
      <c r="G766" s="179" t="n"/>
      <c r="H766" s="179" t="n"/>
      <c r="I766" s="179" t="n"/>
      <c r="J766" s="179" t="n"/>
      <c r="K766" s="179" t="n"/>
      <c r="L766" s="179" t="n"/>
      <c r="M766" s="179" t="n"/>
      <c r="N766" s="179" t="n"/>
      <c r="O766" s="179" t="n"/>
      <c r="P766" s="179" t="inlineStr">
        <is>
          <t>внутр</t>
        </is>
      </c>
      <c r="Q766" s="179" t="inlineStr">
        <is>
          <t>внутр</t>
        </is>
      </c>
      <c r="R766" s="171" t="n"/>
      <c r="S766" s="171" t="n"/>
    </row>
    <row r="767" ht="18" customHeight="1">
      <c r="A767" s="45" t="inlineStr">
        <is>
          <t>работник 145</t>
        </is>
      </c>
      <c r="B767" s="178" t="inlineStr">
        <is>
          <t>Машинист мельницы | Фильтровальщик</t>
        </is>
      </c>
      <c r="C767" s="178" t="inlineStr"/>
      <c r="D767" s="179" t="n"/>
      <c r="E767" s="179" t="inlineStr">
        <is>
          <t>внутр</t>
        </is>
      </c>
      <c r="F767" s="179" t="n"/>
      <c r="G767" s="179" t="n"/>
      <c r="H767" s="179" t="n"/>
      <c r="I767" s="179" t="n"/>
      <c r="J767" s="179" t="n"/>
      <c r="K767" s="179" t="n"/>
      <c r="L767" s="179" t="n"/>
      <c r="M767" s="179" t="n"/>
      <c r="N767" s="179" t="n"/>
      <c r="O767" s="179" t="n"/>
      <c r="P767" s="179" t="inlineStr">
        <is>
          <t>внутр</t>
        </is>
      </c>
      <c r="Q767" s="179" t="inlineStr">
        <is>
          <t>внутр</t>
        </is>
      </c>
      <c r="R767" s="171" t="n"/>
      <c r="S767" s="171" t="n"/>
    </row>
    <row r="768" ht="18" customHeight="1">
      <c r="A768" s="45" t="inlineStr">
        <is>
          <t>работник 626</t>
        </is>
      </c>
      <c r="B768" s="178" t="inlineStr">
        <is>
          <t>Кухонный рабочий</t>
        </is>
      </c>
      <c r="C768" s="178" t="inlineStr"/>
      <c r="D768" s="179" t="n"/>
      <c r="E768" s="179" t="inlineStr">
        <is>
          <t>внутр</t>
        </is>
      </c>
      <c r="F768" s="179" t="n"/>
      <c r="G768" s="179" t="n"/>
      <c r="H768" s="179" t="n"/>
      <c r="I768" s="179" t="n"/>
      <c r="J768" s="179" t="n"/>
      <c r="K768" s="179" t="n"/>
      <c r="L768" s="179" t="n"/>
      <c r="M768" s="179" t="n"/>
      <c r="N768" s="179" t="n"/>
      <c r="O768" s="179" t="n"/>
      <c r="P768" s="179" t="n"/>
      <c r="Q768" s="179" t="inlineStr">
        <is>
          <t>внутр</t>
        </is>
      </c>
      <c r="R768" s="171" t="n"/>
      <c r="S768" s="171" t="n"/>
    </row>
    <row r="769" ht="18" customHeight="1">
      <c r="A769" s="45" t="inlineStr">
        <is>
          <t>работник 882</t>
        </is>
      </c>
      <c r="B769" s="178" t="inlineStr">
        <is>
          <t>Помощник машиниста самоходной буровой установки (с исполнением обязанностей пробоотборщика)</t>
        </is>
      </c>
      <c r="C769" s="178" t="inlineStr"/>
      <c r="D769" s="179" t="n"/>
      <c r="E769" s="179" t="inlineStr">
        <is>
          <t>внутр</t>
        </is>
      </c>
      <c r="F769" s="179" t="n"/>
      <c r="G769" s="179" t="n"/>
      <c r="H769" s="179" t="n"/>
      <c r="I769" s="179" t="n"/>
      <c r="J769" s="179" t="n"/>
      <c r="K769" s="179" t="n"/>
      <c r="L769" s="179" t="n"/>
      <c r="M769" s="179" t="n"/>
      <c r="N769" s="179" t="n"/>
      <c r="O769" s="179" t="n"/>
      <c r="P769" s="179" t="inlineStr">
        <is>
          <t>внутр</t>
        </is>
      </c>
      <c r="Q769" s="179" t="inlineStr">
        <is>
          <t>внутр</t>
        </is>
      </c>
      <c r="R769" s="171" t="n"/>
      <c r="S769" s="171" t="n"/>
    </row>
    <row r="770" ht="18" customHeight="1">
      <c r="A770" s="45" t="inlineStr">
        <is>
          <t>работник 18</t>
        </is>
      </c>
      <c r="B770" s="178" t="inlineStr">
        <is>
          <t>Машинист буровой установки (НКР)</t>
        </is>
      </c>
      <c r="C770" s="178" t="inlineStr"/>
      <c r="D770" s="179" t="n"/>
      <c r="E770" s="179" t="inlineStr">
        <is>
          <t>внутр</t>
        </is>
      </c>
      <c r="F770" s="179" t="n"/>
      <c r="G770" s="179" t="n"/>
      <c r="H770" s="179" t="n"/>
      <c r="I770" s="179" t="n"/>
      <c r="J770" s="179" t="n"/>
      <c r="K770" s="179" t="n"/>
      <c r="L770" s="179" t="n"/>
      <c r="M770" s="179" t="n"/>
      <c r="N770" s="179" t="n"/>
      <c r="O770" s="179" t="n"/>
      <c r="P770" s="179" t="inlineStr">
        <is>
          <t>внутр</t>
        </is>
      </c>
      <c r="Q770" s="179" t="inlineStr">
        <is>
          <t>внутр</t>
        </is>
      </c>
      <c r="R770" s="171" t="n"/>
      <c r="S770" s="171" t="n"/>
    </row>
    <row r="771" ht="18" customHeight="1">
      <c r="A771" s="45" t="inlineStr">
        <is>
          <t>работник 827</t>
        </is>
      </c>
      <c r="B771" s="178" t="inlineStr">
        <is>
          <t>Фильтровальщик</t>
        </is>
      </c>
      <c r="C771" s="178" t="inlineStr"/>
      <c r="D771" s="179" t="n"/>
      <c r="E771" s="179" t="inlineStr">
        <is>
          <t>внутр</t>
        </is>
      </c>
      <c r="F771" s="179" t="n"/>
      <c r="G771" s="179" t="n"/>
      <c r="H771" s="179" t="n"/>
      <c r="I771" s="179" t="n"/>
      <c r="J771" s="179" t="n"/>
      <c r="K771" s="179" t="n"/>
      <c r="L771" s="179" t="n"/>
      <c r="M771" s="179" t="n"/>
      <c r="N771" s="179" t="n"/>
      <c r="O771" s="179" t="n"/>
      <c r="P771" s="179" t="inlineStr">
        <is>
          <t>внутр</t>
        </is>
      </c>
      <c r="Q771" s="179" t="inlineStr">
        <is>
          <t>внутр</t>
        </is>
      </c>
      <c r="R771" s="171" t="n"/>
      <c r="S771" s="171" t="n"/>
    </row>
    <row r="772" ht="18" customHeight="1">
      <c r="A772" s="45" t="inlineStr">
        <is>
          <t>работник 903</t>
        </is>
      </c>
      <c r="B772" s="178" t="inlineStr">
        <is>
          <t>Слесарь по ремонту автомобилей</t>
        </is>
      </c>
      <c r="C772" s="178" t="inlineStr"/>
      <c r="D772" s="179" t="n"/>
      <c r="E772" s="179" t="inlineStr">
        <is>
          <t>внутр</t>
        </is>
      </c>
      <c r="F772" s="179" t="n"/>
      <c r="G772" s="179" t="n"/>
      <c r="H772" s="179" t="n"/>
      <c r="I772" s="179" t="n"/>
      <c r="J772" s="179" t="n"/>
      <c r="K772" s="179" t="n"/>
      <c r="L772" s="179" t="n"/>
      <c r="M772" s="179" t="n"/>
      <c r="N772" s="179" t="n"/>
      <c r="O772" s="179" t="n"/>
      <c r="P772" s="179" t="inlineStr">
        <is>
          <t>внутр</t>
        </is>
      </c>
      <c r="Q772" s="179" t="inlineStr">
        <is>
          <t>внутр</t>
        </is>
      </c>
      <c r="R772" s="171" t="n"/>
      <c r="S772" s="171" t="n"/>
    </row>
    <row r="773" ht="18" customHeight="1">
      <c r="A773" s="45" t="inlineStr">
        <is>
          <t>работник 664</t>
        </is>
      </c>
      <c r="B773" s="178" t="inlineStr">
        <is>
          <t>Заместитель начальника пылевентиляционной службы</t>
        </is>
      </c>
      <c r="C773" s="178" t="inlineStr">
        <is>
          <t>Руководитель</t>
        </is>
      </c>
      <c r="D773" s="179" t="n"/>
      <c r="E773" s="180" t="inlineStr">
        <is>
          <t>внутр</t>
        </is>
      </c>
      <c r="F773" s="179" t="n"/>
      <c r="G773" s="179" t="n"/>
      <c r="H773" s="179" t="n"/>
      <c r="I773" s="179" t="n"/>
      <c r="J773" s="179" t="n"/>
      <c r="K773" s="179" t="n"/>
      <c r="L773" s="179" t="n"/>
      <c r="M773" s="179" t="n"/>
      <c r="N773" s="179" t="n"/>
      <c r="O773" s="179" t="n"/>
      <c r="P773" s="179" t="n"/>
      <c r="Q773" s="179" t="inlineStr">
        <is>
          <t>внутр</t>
        </is>
      </c>
      <c r="R773" s="171" t="n">
        <v>1</v>
      </c>
      <c r="S773" s="171" t="n"/>
    </row>
    <row r="774" ht="18" customHeight="1">
      <c r="A774" s="45" t="inlineStr">
        <is>
          <t>работник 635</t>
        </is>
      </c>
      <c r="B774" s="178" t="inlineStr">
        <is>
          <t>Раздатчик взрывчатых материалов</t>
        </is>
      </c>
      <c r="C774" s="178" t="inlineStr"/>
      <c r="D774" s="179" t="n"/>
      <c r="E774" s="179" t="inlineStr">
        <is>
          <t>внутр</t>
        </is>
      </c>
      <c r="F774" s="179" t="n"/>
      <c r="G774" s="179" t="n"/>
      <c r="H774" s="179" t="n"/>
      <c r="I774" s="179" t="n"/>
      <c r="J774" s="179" t="n"/>
      <c r="K774" s="179" t="n"/>
      <c r="L774" s="179" t="n"/>
      <c r="M774" s="179" t="n"/>
      <c r="N774" s="179" t="n"/>
      <c r="O774" s="179" t="n"/>
      <c r="P774" s="179" t="n"/>
      <c r="Q774" s="179" t="inlineStr">
        <is>
          <t>внутр</t>
        </is>
      </c>
      <c r="R774" s="171" t="n"/>
      <c r="S774" s="171" t="n"/>
    </row>
    <row r="775" ht="18" customHeight="1">
      <c r="A775" s="45" t="inlineStr">
        <is>
          <t>работник 787</t>
        </is>
      </c>
      <c r="B775" s="178" t="inlineStr">
        <is>
          <t>Машинист бульдозера</t>
        </is>
      </c>
      <c r="C775" s="178" t="inlineStr"/>
      <c r="D775" s="179" t="n"/>
      <c r="E775" s="179" t="inlineStr">
        <is>
          <t>внутр</t>
        </is>
      </c>
      <c r="F775" s="179" t="n"/>
      <c r="G775" s="179" t="n"/>
      <c r="H775" s="179" t="n"/>
      <c r="I775" s="179" t="n"/>
      <c r="J775" s="179" t="n"/>
      <c r="K775" s="179" t="n"/>
      <c r="L775" s="179" t="n"/>
      <c r="M775" s="179" t="n"/>
      <c r="N775" s="179" t="n"/>
      <c r="O775" s="179" t="n"/>
      <c r="P775" s="179" t="inlineStr">
        <is>
          <t>внутр</t>
        </is>
      </c>
      <c r="Q775" s="179" t="inlineStr">
        <is>
          <t>внутр</t>
        </is>
      </c>
      <c r="R775" s="171" t="n"/>
      <c r="S775" s="171" t="n"/>
    </row>
    <row r="776" ht="18" customHeight="1">
      <c r="A776" s="45" t="inlineStr">
        <is>
          <t>работник 236</t>
        </is>
      </c>
      <c r="B776" s="178" t="inlineStr">
        <is>
          <t>Дробильщик</t>
        </is>
      </c>
      <c r="C776" s="178" t="inlineStr"/>
      <c r="D776" s="179" t="n"/>
      <c r="E776" s="179" t="inlineStr">
        <is>
          <t>внутр</t>
        </is>
      </c>
      <c r="F776" s="179" t="n"/>
      <c r="G776" s="179" t="n"/>
      <c r="H776" s="179" t="n"/>
      <c r="I776" s="179" t="n"/>
      <c r="J776" s="179" t="n"/>
      <c r="K776" s="179" t="n"/>
      <c r="L776" s="179" t="n"/>
      <c r="M776" s="179" t="n"/>
      <c r="N776" s="179" t="n"/>
      <c r="O776" s="179" t="n"/>
      <c r="P776" s="179" t="inlineStr">
        <is>
          <t>внутр</t>
        </is>
      </c>
      <c r="Q776" s="179" t="inlineStr">
        <is>
          <t>внутр</t>
        </is>
      </c>
      <c r="R776" s="171" t="n"/>
      <c r="S776" s="171" t="n"/>
    </row>
    <row r="777" ht="18" customHeight="1">
      <c r="A777" s="45" t="inlineStr">
        <is>
          <t>работник 477</t>
        </is>
      </c>
      <c r="B777" s="178" t="inlineStr">
        <is>
          <t>Слесарь ремонтник по ремонту обоготительного оборудования | Слесарь-ремонтник | Слесарь-ремонтник (по ремонту обогатительного оборудования)</t>
        </is>
      </c>
      <c r="C777" s="178" t="inlineStr"/>
      <c r="D777" s="179" t="n"/>
      <c r="E777" s="179" t="inlineStr">
        <is>
          <t>внутр</t>
        </is>
      </c>
      <c r="F777" s="179" t="inlineStr">
        <is>
          <t>внутр</t>
        </is>
      </c>
      <c r="G777" s="179" t="inlineStr">
        <is>
          <t>внутр</t>
        </is>
      </c>
      <c r="H777" s="179" t="inlineStr">
        <is>
          <t>внутр</t>
        </is>
      </c>
      <c r="I777" s="179" t="inlineStr">
        <is>
          <t>внутр</t>
        </is>
      </c>
      <c r="J777" s="179" t="inlineStr">
        <is>
          <t>внутр</t>
        </is>
      </c>
      <c r="K777" s="179" t="inlineStr">
        <is>
          <t>внутр</t>
        </is>
      </c>
      <c r="L777" s="179" t="n"/>
      <c r="M777" s="179" t="n"/>
      <c r="N777" s="179" t="n"/>
      <c r="O777" s="179" t="n"/>
      <c r="P777" s="179" t="n"/>
      <c r="Q777" s="179" t="inlineStr">
        <is>
          <t>внутр</t>
        </is>
      </c>
      <c r="R777" s="171" t="n"/>
      <c r="S777" s="171" t="n"/>
    </row>
    <row r="778" ht="18" customHeight="1">
      <c r="A778" s="45" t="inlineStr">
        <is>
          <t>работник 37</t>
        </is>
      </c>
      <c r="B778" s="178" t="inlineStr">
        <is>
          <t>Дробильщик</t>
        </is>
      </c>
      <c r="C778" s="178" t="inlineStr"/>
      <c r="D778" s="179" t="n"/>
      <c r="E778" s="179" t="inlineStr">
        <is>
          <t>внутр</t>
        </is>
      </c>
      <c r="F778" s="179" t="n"/>
      <c r="G778" s="179" t="n"/>
      <c r="H778" s="179" t="n"/>
      <c r="I778" s="179" t="n"/>
      <c r="J778" s="179" t="n"/>
      <c r="K778" s="179" t="n"/>
      <c r="L778" s="179" t="n"/>
      <c r="M778" s="179" t="n"/>
      <c r="N778" s="179" t="n"/>
      <c r="O778" s="179" t="n"/>
      <c r="P778" s="179" t="inlineStr">
        <is>
          <t>внутр</t>
        </is>
      </c>
      <c r="Q778" s="179" t="inlineStr">
        <is>
          <t>внутр</t>
        </is>
      </c>
      <c r="R778" s="171" t="n"/>
      <c r="S778" s="171" t="n"/>
    </row>
    <row r="779" ht="18" customHeight="1">
      <c r="A779" s="45" t="inlineStr">
        <is>
          <t>работник 798</t>
        </is>
      </c>
      <c r="B779" s="178" t="inlineStr">
        <is>
          <t>Водитель автомобиля (категория D)</t>
        </is>
      </c>
      <c r="C779" s="178" t="inlineStr"/>
      <c r="D779" s="179" t="n"/>
      <c r="E779" s="179" t="inlineStr">
        <is>
          <t>внутр</t>
        </is>
      </c>
      <c r="F779" s="179" t="n"/>
      <c r="G779" s="179" t="n"/>
      <c r="H779" s="179" t="n"/>
      <c r="I779" s="179" t="n"/>
      <c r="J779" s="179" t="n"/>
      <c r="K779" s="179" t="n"/>
      <c r="L779" s="179" t="n"/>
      <c r="M779" s="179" t="n"/>
      <c r="N779" s="179" t="n"/>
      <c r="O779" s="179" t="n"/>
      <c r="P779" s="179" t="inlineStr">
        <is>
          <t>внутр</t>
        </is>
      </c>
      <c r="Q779" s="179" t="inlineStr">
        <is>
          <t>внутр</t>
        </is>
      </c>
      <c r="R779" s="171" t="n"/>
      <c r="S779" s="171" t="n"/>
    </row>
    <row r="780" ht="18" customHeight="1">
      <c r="A780" s="45" t="inlineStr">
        <is>
          <t>работник 921</t>
        </is>
      </c>
      <c r="B780" s="178" t="inlineStr">
        <is>
          <t>Оператор дизельных котлов</t>
        </is>
      </c>
      <c r="C780" s="178" t="inlineStr"/>
      <c r="D780" s="179" t="n"/>
      <c r="E780" s="179" t="inlineStr">
        <is>
          <t>внутр</t>
        </is>
      </c>
      <c r="F780" s="179" t="n"/>
      <c r="G780" s="179" t="n"/>
      <c r="H780" s="179" t="n"/>
      <c r="I780" s="179" t="n"/>
      <c r="J780" s="179" t="n"/>
      <c r="K780" s="179" t="n"/>
      <c r="L780" s="179" t="n"/>
      <c r="M780" s="179" t="n"/>
      <c r="N780" s="179" t="n"/>
      <c r="O780" s="179" t="n"/>
      <c r="P780" s="179" t="n"/>
      <c r="Q780" s="179" t="inlineStr">
        <is>
          <t>внутр</t>
        </is>
      </c>
      <c r="R780" s="171" t="n"/>
      <c r="S780" s="171" t="n"/>
    </row>
    <row r="781" ht="18" customHeight="1">
      <c r="A781" s="45" t="inlineStr">
        <is>
          <t>работник 824</t>
        </is>
      </c>
      <c r="B781" s="178" t="inlineStr">
        <is>
          <t>Уборщик производственных и служебных помещений</t>
        </is>
      </c>
      <c r="C781" s="178" t="inlineStr"/>
      <c r="D781" s="179" t="n"/>
      <c r="E781" s="179" t="inlineStr">
        <is>
          <t>внутр</t>
        </is>
      </c>
      <c r="F781" s="179" t="n"/>
      <c r="G781" s="179" t="n"/>
      <c r="H781" s="179" t="n"/>
      <c r="I781" s="179" t="n"/>
      <c r="J781" s="179" t="n"/>
      <c r="K781" s="179" t="n"/>
      <c r="L781" s="179" t="n"/>
      <c r="M781" s="179" t="n"/>
      <c r="N781" s="179" t="n"/>
      <c r="O781" s="179" t="n"/>
      <c r="P781" s="179" t="n"/>
      <c r="Q781" s="179" t="inlineStr">
        <is>
          <t>внутр</t>
        </is>
      </c>
      <c r="R781" s="171" t="n"/>
      <c r="S781" s="171" t="n"/>
    </row>
    <row r="782" ht="18" customHeight="1">
      <c r="A782" s="45" t="inlineStr">
        <is>
          <t>работник 580</t>
        </is>
      </c>
      <c r="B782" s="178" t="inlineStr">
        <is>
          <t>Контролер</t>
        </is>
      </c>
      <c r="C782" s="178" t="inlineStr"/>
      <c r="D782" s="179" t="n"/>
      <c r="E782" s="179" t="inlineStr">
        <is>
          <t>внутр</t>
        </is>
      </c>
      <c r="F782" s="179" t="n"/>
      <c r="G782" s="179" t="n"/>
      <c r="H782" s="179" t="n"/>
      <c r="I782" s="179" t="n"/>
      <c r="J782" s="179" t="n"/>
      <c r="K782" s="179" t="n"/>
      <c r="L782" s="179" t="n"/>
      <c r="M782" s="179" t="n"/>
      <c r="N782" s="179" t="n"/>
      <c r="O782" s="179" t="n"/>
      <c r="P782" s="179" t="n"/>
      <c r="Q782" s="179" t="inlineStr">
        <is>
          <t>внутр</t>
        </is>
      </c>
      <c r="R782" s="171" t="n"/>
      <c r="S782" s="171" t="n"/>
    </row>
    <row r="783" ht="18" customHeight="1">
      <c r="A783" s="45" t="inlineStr">
        <is>
          <t>работник 338</t>
        </is>
      </c>
      <c r="B783" s="178" t="inlineStr">
        <is>
          <t>Бункеровщик</t>
        </is>
      </c>
      <c r="C783" s="178" t="inlineStr"/>
      <c r="D783" s="179" t="n"/>
      <c r="E783" s="179" t="inlineStr">
        <is>
          <t>внутр</t>
        </is>
      </c>
      <c r="F783" s="179" t="n"/>
      <c r="G783" s="179" t="n"/>
      <c r="H783" s="179" t="n"/>
      <c r="I783" s="179" t="n"/>
      <c r="J783" s="179" t="n"/>
      <c r="K783" s="179" t="n"/>
      <c r="L783" s="179" t="n"/>
      <c r="M783" s="179" t="n"/>
      <c r="N783" s="179" t="n"/>
      <c r="O783" s="179" t="n"/>
      <c r="P783" s="179" t="inlineStr">
        <is>
          <t>внутр</t>
        </is>
      </c>
      <c r="Q783" s="179" t="inlineStr">
        <is>
          <t>внутр</t>
        </is>
      </c>
      <c r="R783" s="171" t="n"/>
      <c r="S783" s="171" t="n"/>
    </row>
    <row r="784" ht="18" customHeight="1">
      <c r="A784" s="45" t="inlineStr">
        <is>
          <t>работник 7</t>
        </is>
      </c>
      <c r="B784" s="178" t="inlineStr">
        <is>
          <t>Главный технолог</t>
        </is>
      </c>
      <c r="C784" s="178" t="inlineStr"/>
      <c r="D784" s="181" t="inlineStr">
        <is>
          <t>внеш</t>
        </is>
      </c>
      <c r="E784" s="181" t="inlineStr">
        <is>
          <t>внеш</t>
        </is>
      </c>
      <c r="F784" s="179" t="n"/>
      <c r="G784" s="179" t="n"/>
      <c r="H784" s="179" t="n"/>
      <c r="I784" s="179" t="n"/>
      <c r="J784" s="179" t="n"/>
      <c r="K784" s="179" t="n"/>
      <c r="L784" s="179" t="n"/>
      <c r="M784" s="179" t="n"/>
      <c r="N784" s="179" t="n"/>
      <c r="O784" s="179" t="n"/>
      <c r="P784" s="181" t="inlineStr">
        <is>
          <t>внеш</t>
        </is>
      </c>
      <c r="Q784" s="181" t="inlineStr">
        <is>
          <t>внеш</t>
        </is>
      </c>
      <c r="R784" s="171" t="n"/>
      <c r="S784" s="171" t="n">
        <v>4</v>
      </c>
    </row>
    <row r="785" ht="18" customHeight="1">
      <c r="A785" s="45" t="inlineStr">
        <is>
          <t>работник 858</t>
        </is>
      </c>
      <c r="B785" s="178" t="inlineStr">
        <is>
          <t>Раздатчик взрывчатых материалов</t>
        </is>
      </c>
      <c r="C785" s="178" t="inlineStr"/>
      <c r="D785" s="179" t="n"/>
      <c r="E785" s="179" t="inlineStr">
        <is>
          <t>внутр</t>
        </is>
      </c>
      <c r="F785" s="179" t="n"/>
      <c r="G785" s="179" t="n"/>
      <c r="H785" s="179" t="n"/>
      <c r="I785" s="179" t="n"/>
      <c r="J785" s="179" t="n"/>
      <c r="K785" s="179" t="n"/>
      <c r="L785" s="179" t="n"/>
      <c r="M785" s="179" t="n"/>
      <c r="N785" s="179" t="n"/>
      <c r="O785" s="179" t="n"/>
      <c r="P785" s="179" t="inlineStr">
        <is>
          <t>внутр</t>
        </is>
      </c>
      <c r="Q785" s="179" t="inlineStr">
        <is>
          <t>внутр</t>
        </is>
      </c>
      <c r="R785" s="171" t="n"/>
      <c r="S785" s="171" t="n"/>
    </row>
    <row r="786" ht="18" customHeight="1">
      <c r="A786" s="45" t="inlineStr">
        <is>
          <t>работник 422</t>
        </is>
      </c>
      <c r="B786" s="178" t="inlineStr">
        <is>
          <t>Горнорабочий на геологических работах</t>
        </is>
      </c>
      <c r="C786" s="178" t="inlineStr"/>
      <c r="D786" s="179" t="n"/>
      <c r="E786" s="179" t="inlineStr">
        <is>
          <t>внутр</t>
        </is>
      </c>
      <c r="F786" s="179" t="n"/>
      <c r="G786" s="179" t="n"/>
      <c r="H786" s="179" t="n"/>
      <c r="I786" s="179" t="n"/>
      <c r="J786" s="179" t="n"/>
      <c r="K786" s="179" t="n"/>
      <c r="L786" s="179" t="n"/>
      <c r="M786" s="179" t="n"/>
      <c r="N786" s="179" t="n"/>
      <c r="O786" s="179" t="n"/>
      <c r="P786" s="179" t="n"/>
      <c r="Q786" s="179" t="inlineStr">
        <is>
          <t>внутр</t>
        </is>
      </c>
      <c r="R786" s="171" t="n"/>
      <c r="S786" s="171" t="n"/>
    </row>
    <row r="787" ht="18" customHeight="1">
      <c r="A787" s="45" t="inlineStr">
        <is>
          <t>работник 560</t>
        </is>
      </c>
      <c r="B787" s="178" t="inlineStr">
        <is>
          <t>Электрослесарь (слесарь) дежурный и по ремонту оборудования подземного горного участка | Электрослесарь (слесарь) дежурный и по ремонту оборудования</t>
        </is>
      </c>
      <c r="C787" s="178" t="inlineStr"/>
      <c r="D787" s="179" t="n"/>
      <c r="E787" s="179" t="inlineStr">
        <is>
          <t>внутр</t>
        </is>
      </c>
      <c r="F787" s="179" t="n"/>
      <c r="G787" s="179" t="n"/>
      <c r="H787" s="179" t="n"/>
      <c r="I787" s="179" t="n"/>
      <c r="J787" s="179" t="n"/>
      <c r="K787" s="179" t="n"/>
      <c r="L787" s="179" t="n"/>
      <c r="M787" s="179" t="n"/>
      <c r="N787" s="179" t="n"/>
      <c r="O787" s="179" t="n"/>
      <c r="P787" s="179" t="inlineStr">
        <is>
          <t>внутр</t>
        </is>
      </c>
      <c r="Q787" s="179" t="inlineStr">
        <is>
          <t>внутр</t>
        </is>
      </c>
      <c r="R787" s="171" t="n"/>
      <c r="S787" s="171" t="n"/>
    </row>
    <row r="788" ht="18" customHeight="1">
      <c r="A788" s="45" t="inlineStr">
        <is>
          <t>работник 385</t>
        </is>
      </c>
      <c r="B788" s="178" t="inlineStr">
        <is>
          <t>Геолог</t>
        </is>
      </c>
      <c r="C788" s="178" t="inlineStr"/>
      <c r="D788" s="179" t="n"/>
      <c r="E788" s="179" t="n"/>
      <c r="F788" s="179" t="n"/>
      <c r="G788" s="179" t="n"/>
      <c r="H788" s="179" t="n"/>
      <c r="I788" s="179" t="n"/>
      <c r="J788" s="179" t="n"/>
      <c r="K788" s="179" t="n"/>
      <c r="L788" s="179" t="n"/>
      <c r="M788" s="179" t="n"/>
      <c r="N788" s="179" t="n"/>
      <c r="O788" s="179" t="n"/>
      <c r="P788" s="179" t="inlineStr">
        <is>
          <t>внутр</t>
        </is>
      </c>
      <c r="Q788" s="179" t="inlineStr">
        <is>
          <t>внутр</t>
        </is>
      </c>
      <c r="R788" s="171" t="n"/>
      <c r="S788" s="171" t="n"/>
    </row>
    <row r="789" ht="18" customHeight="1">
      <c r="A789" s="45" t="inlineStr">
        <is>
          <t>работник 438</t>
        </is>
      </c>
      <c r="B789" s="178" t="inlineStr">
        <is>
          <t>Аппаратчик-гидрометаллург | Аппаратчик сгустителей</t>
        </is>
      </c>
      <c r="C789" s="178" t="inlineStr"/>
      <c r="D789" s="179" t="n"/>
      <c r="E789" s="179" t="inlineStr">
        <is>
          <t>внутр</t>
        </is>
      </c>
      <c r="F789" s="179" t="n"/>
      <c r="G789" s="179" t="n"/>
      <c r="H789" s="179" t="n"/>
      <c r="I789" s="179" t="n"/>
      <c r="J789" s="179" t="n"/>
      <c r="K789" s="179" t="n"/>
      <c r="L789" s="179" t="n"/>
      <c r="M789" s="179" t="n"/>
      <c r="N789" s="179" t="n"/>
      <c r="O789" s="179" t="n"/>
      <c r="P789" s="179" t="inlineStr">
        <is>
          <t>внутр</t>
        </is>
      </c>
      <c r="Q789" s="179" t="inlineStr">
        <is>
          <t>внутр</t>
        </is>
      </c>
      <c r="R789" s="171" t="n"/>
      <c r="S789" s="171" t="n"/>
    </row>
    <row r="790" ht="18" customHeight="1">
      <c r="A790" s="45" t="inlineStr">
        <is>
          <t>работник 253</t>
        </is>
      </c>
      <c r="B790" s="178" t="inlineStr">
        <is>
          <t>Аппаратчик-гидрометаллург</t>
        </is>
      </c>
      <c r="C790" s="178" t="inlineStr"/>
      <c r="D790" s="179" t="n"/>
      <c r="E790" s="179" t="inlineStr">
        <is>
          <t>внутр</t>
        </is>
      </c>
      <c r="F790" s="179" t="n"/>
      <c r="G790" s="179" t="n"/>
      <c r="H790" s="179" t="n"/>
      <c r="I790" s="179" t="n"/>
      <c r="J790" s="179" t="n"/>
      <c r="K790" s="179" t="n"/>
      <c r="L790" s="179" t="n"/>
      <c r="M790" s="179" t="n"/>
      <c r="N790" s="179" t="n"/>
      <c r="O790" s="179" t="n"/>
      <c r="P790" s="179" t="inlineStr">
        <is>
          <t>внутр</t>
        </is>
      </c>
      <c r="Q790" s="179" t="inlineStr">
        <is>
          <t>внутр</t>
        </is>
      </c>
      <c r="R790" s="171" t="n"/>
      <c r="S790" s="171" t="n"/>
    </row>
    <row r="791" ht="18" customHeight="1">
      <c r="A791" s="45" t="inlineStr">
        <is>
          <t>работник 565</t>
        </is>
      </c>
      <c r="B791" s="178" t="inlineStr">
        <is>
          <t>Аппаратчик-гидрометаллург</t>
        </is>
      </c>
      <c r="C791" s="178" t="inlineStr"/>
      <c r="D791" s="179" t="n"/>
      <c r="E791" s="179" t="inlineStr">
        <is>
          <t>внутр</t>
        </is>
      </c>
      <c r="F791" s="179" t="n"/>
      <c r="G791" s="179" t="n"/>
      <c r="H791" s="179" t="n"/>
      <c r="I791" s="179" t="n"/>
      <c r="J791" s="179" t="n"/>
      <c r="K791" s="179" t="n"/>
      <c r="L791" s="179" t="n"/>
      <c r="M791" s="179" t="n"/>
      <c r="N791" s="179" t="n"/>
      <c r="O791" s="179" t="n"/>
      <c r="P791" s="179" t="n"/>
      <c r="Q791" s="179" t="inlineStr">
        <is>
          <t>внутр</t>
        </is>
      </c>
      <c r="R791" s="171" t="n"/>
      <c r="S791" s="171" t="n"/>
    </row>
    <row r="792" ht="18" customHeight="1">
      <c r="A792" s="45" t="inlineStr">
        <is>
          <t>работник 468</t>
        </is>
      </c>
      <c r="B792" s="178" t="inlineStr">
        <is>
          <t>Слесарь по ремонту автомобилей. ДВС</t>
        </is>
      </c>
      <c r="C792" s="178" t="inlineStr"/>
      <c r="D792" s="179" t="n"/>
      <c r="E792" s="179" t="inlineStr">
        <is>
          <t>внутр</t>
        </is>
      </c>
      <c r="F792" s="179" t="n"/>
      <c r="G792" s="179" t="n"/>
      <c r="H792" s="179" t="n"/>
      <c r="I792" s="179" t="n"/>
      <c r="J792" s="179" t="n"/>
      <c r="K792" s="179" t="n"/>
      <c r="L792" s="179" t="n"/>
      <c r="M792" s="179" t="n"/>
      <c r="N792" s="179" t="n"/>
      <c r="O792" s="179" t="n"/>
      <c r="P792" s="179" t="n"/>
      <c r="Q792" s="179" t="inlineStr">
        <is>
          <t>внутр</t>
        </is>
      </c>
      <c r="R792" s="171" t="n"/>
      <c r="S792" s="171" t="n"/>
    </row>
    <row r="793" ht="18" customHeight="1">
      <c r="A793" s="45" t="inlineStr">
        <is>
          <t>работник 211</t>
        </is>
      </c>
      <c r="B793" s="178" t="inlineStr">
        <is>
          <t>Машинист автогрейдера</t>
        </is>
      </c>
      <c r="C793" s="178" t="inlineStr"/>
      <c r="D793" s="179" t="n"/>
      <c r="E793" s="179" t="inlineStr">
        <is>
          <t>внутр</t>
        </is>
      </c>
      <c r="F793" s="179" t="n"/>
      <c r="G793" s="179" t="n"/>
      <c r="H793" s="179" t="n"/>
      <c r="I793" s="179" t="n"/>
      <c r="J793" s="179" t="n"/>
      <c r="K793" s="179" t="n"/>
      <c r="L793" s="179" t="n"/>
      <c r="M793" s="179" t="n"/>
      <c r="N793" s="179" t="n"/>
      <c r="O793" s="179" t="n"/>
      <c r="P793" s="179" t="inlineStr">
        <is>
          <t>внутр</t>
        </is>
      </c>
      <c r="Q793" s="179" t="inlineStr">
        <is>
          <t>внутр</t>
        </is>
      </c>
      <c r="R793" s="171" t="n"/>
      <c r="S793" s="171" t="n"/>
    </row>
    <row r="794" ht="18" customHeight="1">
      <c r="A794" s="45" t="inlineStr">
        <is>
          <t>работник 546</t>
        </is>
      </c>
      <c r="B794" s="178" t="inlineStr">
        <is>
          <t>Машинист погрузочно-доставочной машины</t>
        </is>
      </c>
      <c r="C794" s="178" t="inlineStr"/>
      <c r="D794" s="179" t="n"/>
      <c r="E794" s="179" t="inlineStr">
        <is>
          <t>внутр</t>
        </is>
      </c>
      <c r="F794" s="179" t="n"/>
      <c r="G794" s="179" t="n"/>
      <c r="H794" s="179" t="n"/>
      <c r="I794" s="179" t="n"/>
      <c r="J794" s="179" t="n"/>
      <c r="K794" s="179" t="n"/>
      <c r="L794" s="179" t="n"/>
      <c r="M794" s="179" t="n"/>
      <c r="N794" s="179" t="n"/>
      <c r="O794" s="179" t="n"/>
      <c r="P794" s="179" t="inlineStr">
        <is>
          <t>внутр</t>
        </is>
      </c>
      <c r="Q794" s="179" t="inlineStr">
        <is>
          <t>внутр</t>
        </is>
      </c>
      <c r="R794" s="171" t="n"/>
      <c r="S794" s="171" t="n"/>
    </row>
    <row r="795" ht="18" customHeight="1">
      <c r="A795" s="45" t="inlineStr">
        <is>
          <t>работник 13</t>
        </is>
      </c>
      <c r="B795" s="178" t="inlineStr">
        <is>
          <t>Старший геолог</t>
        </is>
      </c>
      <c r="C795" s="178" t="inlineStr"/>
      <c r="D795" s="181" t="inlineStr">
        <is>
          <t>внеш</t>
        </is>
      </c>
      <c r="E795" s="181" t="inlineStr">
        <is>
          <t>внеш</t>
        </is>
      </c>
      <c r="F795" s="179" t="n"/>
      <c r="G795" s="179" t="n"/>
      <c r="H795" s="179" t="n"/>
      <c r="I795" s="179" t="n"/>
      <c r="J795" s="179" t="n"/>
      <c r="K795" s="179" t="n"/>
      <c r="L795" s="179" t="n"/>
      <c r="M795" s="179" t="n"/>
      <c r="N795" s="179" t="n"/>
      <c r="O795" s="179" t="n"/>
      <c r="P795" s="181" t="inlineStr">
        <is>
          <t>внеш</t>
        </is>
      </c>
      <c r="Q795" s="181" t="inlineStr">
        <is>
          <t>внеш</t>
        </is>
      </c>
      <c r="R795" s="171" t="n"/>
      <c r="S795" s="171" t="n">
        <v>4</v>
      </c>
    </row>
    <row r="796" ht="18" customHeight="1">
      <c r="A796" s="45" t="inlineStr">
        <is>
          <t>работник 63</t>
        </is>
      </c>
      <c r="B796" s="178" t="inlineStr">
        <is>
          <t>Горнорабочий | Горнорабочий на геологических работах</t>
        </is>
      </c>
      <c r="C796" s="178" t="inlineStr"/>
      <c r="D796" s="179" t="n"/>
      <c r="E796" s="179" t="inlineStr">
        <is>
          <t>внутр</t>
        </is>
      </c>
      <c r="F796" s="179" t="n"/>
      <c r="G796" s="179" t="n"/>
      <c r="H796" s="179" t="n"/>
      <c r="I796" s="179" t="n"/>
      <c r="J796" s="179" t="n"/>
      <c r="K796" s="179" t="n"/>
      <c r="L796" s="179" t="n"/>
      <c r="M796" s="179" t="n"/>
      <c r="N796" s="179" t="n"/>
      <c r="O796" s="179" t="n"/>
      <c r="P796" s="179" t="inlineStr">
        <is>
          <t>внутр</t>
        </is>
      </c>
      <c r="Q796" s="179" t="inlineStr">
        <is>
          <t>внутр</t>
        </is>
      </c>
      <c r="R796" s="171" t="n"/>
      <c r="S796" s="171" t="n"/>
    </row>
    <row r="797" ht="18" customHeight="1">
      <c r="A797" s="45" t="inlineStr">
        <is>
          <t>работник 571</t>
        </is>
      </c>
      <c r="B797" s="178" t="inlineStr">
        <is>
          <t>Слесарь-ремонтник (по ремонту горно-шахтного оборудования)</t>
        </is>
      </c>
      <c r="C797" s="178" t="inlineStr"/>
      <c r="D797" s="179" t="n"/>
      <c r="E797" s="179" t="inlineStr">
        <is>
          <t>внутр</t>
        </is>
      </c>
      <c r="F797" s="179" t="n"/>
      <c r="G797" s="179" t="n"/>
      <c r="H797" s="179" t="n"/>
      <c r="I797" s="179" t="n"/>
      <c r="J797" s="179" t="n"/>
      <c r="K797" s="179" t="n"/>
      <c r="L797" s="179" t="n"/>
      <c r="M797" s="179" t="n"/>
      <c r="N797" s="179" t="n"/>
      <c r="O797" s="179" t="n"/>
      <c r="P797" s="179" t="inlineStr">
        <is>
          <t>внутр</t>
        </is>
      </c>
      <c r="Q797" s="179" t="inlineStr">
        <is>
          <t>внутр</t>
        </is>
      </c>
      <c r="R797" s="171" t="n"/>
      <c r="S797" s="171" t="n"/>
    </row>
    <row r="798" ht="18" customHeight="1">
      <c r="A798" s="45" t="inlineStr">
        <is>
          <t>работник 376</t>
        </is>
      </c>
      <c r="B798" s="178" t="inlineStr">
        <is>
          <t>Кладовщик</t>
        </is>
      </c>
      <c r="C798" s="178" t="inlineStr"/>
      <c r="D798" s="179" t="n"/>
      <c r="E798" s="179" t="inlineStr">
        <is>
          <t>внутр</t>
        </is>
      </c>
      <c r="F798" s="179" t="n"/>
      <c r="G798" s="179" t="n"/>
      <c r="H798" s="179" t="n"/>
      <c r="I798" s="179" t="n"/>
      <c r="J798" s="179" t="n"/>
      <c r="K798" s="179" t="n"/>
      <c r="L798" s="179" t="n"/>
      <c r="M798" s="179" t="n"/>
      <c r="N798" s="179" t="n"/>
      <c r="O798" s="179" t="n"/>
      <c r="P798" s="179" t="inlineStr">
        <is>
          <t>внутр</t>
        </is>
      </c>
      <c r="Q798" s="179" t="inlineStr">
        <is>
          <t>внутр</t>
        </is>
      </c>
      <c r="R798" s="171" t="n"/>
      <c r="S798" s="171" t="n"/>
    </row>
    <row r="799" ht="18" customHeight="1">
      <c r="A799" s="45" t="inlineStr">
        <is>
          <t>работник 540</t>
        </is>
      </c>
      <c r="B799" s="178" t="inlineStr">
        <is>
          <t>Бункеровщик</t>
        </is>
      </c>
      <c r="C799" s="178" t="inlineStr"/>
      <c r="D799" s="179" t="n"/>
      <c r="E799" s="179" t="inlineStr">
        <is>
          <t>внутр</t>
        </is>
      </c>
      <c r="F799" s="179" t="n"/>
      <c r="G799" s="179" t="n"/>
      <c r="H799" s="179" t="n"/>
      <c r="I799" s="179" t="n"/>
      <c r="J799" s="179" t="n"/>
      <c r="K799" s="179" t="n"/>
      <c r="L799" s="179" t="n"/>
      <c r="M799" s="179" t="n"/>
      <c r="N799" s="179" t="n"/>
      <c r="O799" s="179" t="n"/>
      <c r="P799" s="179" t="inlineStr">
        <is>
          <t>внутр</t>
        </is>
      </c>
      <c r="Q799" s="179" t="inlineStr">
        <is>
          <t>внутр</t>
        </is>
      </c>
      <c r="R799" s="171" t="n"/>
      <c r="S799" s="171" t="n"/>
    </row>
    <row r="800" ht="18" customHeight="1">
      <c r="A800" s="45" t="inlineStr">
        <is>
          <t>работник 186</t>
        </is>
      </c>
      <c r="B800" s="178" t="inlineStr">
        <is>
          <t>Водитель погрузчика</t>
        </is>
      </c>
      <c r="C800" s="178" t="inlineStr"/>
      <c r="D800" s="179" t="n"/>
      <c r="E800" s="179" t="inlineStr">
        <is>
          <t>внутр</t>
        </is>
      </c>
      <c r="F800" s="179" t="n"/>
      <c r="G800" s="179" t="n"/>
      <c r="H800" s="179" t="n"/>
      <c r="I800" s="179" t="n"/>
      <c r="J800" s="179" t="n"/>
      <c r="K800" s="179" t="n"/>
      <c r="L800" s="179" t="n"/>
      <c r="M800" s="179" t="n"/>
      <c r="N800" s="179" t="n"/>
      <c r="O800" s="179" t="n"/>
      <c r="P800" s="179" t="inlineStr">
        <is>
          <t>внутр</t>
        </is>
      </c>
      <c r="Q800" s="179" t="inlineStr">
        <is>
          <t>внутр</t>
        </is>
      </c>
      <c r="R800" s="171" t="n"/>
      <c r="S800" s="171" t="n"/>
    </row>
    <row r="801" ht="18" customHeight="1">
      <c r="A801" s="45" t="inlineStr">
        <is>
          <t>работник 931</t>
        </is>
      </c>
      <c r="B801" s="178" t="inlineStr">
        <is>
          <t>Подсобный рабочий</t>
        </is>
      </c>
      <c r="C801" s="178" t="inlineStr"/>
      <c r="D801" s="179" t="n"/>
      <c r="E801" s="179" t="inlineStr">
        <is>
          <t>внутр</t>
        </is>
      </c>
      <c r="F801" s="179" t="n"/>
      <c r="G801" s="179" t="n"/>
      <c r="H801" s="179" t="n"/>
      <c r="I801" s="179" t="n"/>
      <c r="J801" s="179" t="n"/>
      <c r="K801" s="179" t="n"/>
      <c r="L801" s="179" t="n"/>
      <c r="M801" s="179" t="n"/>
      <c r="N801" s="179" t="n"/>
      <c r="O801" s="179" t="n"/>
      <c r="P801" s="179" t="inlineStr">
        <is>
          <t>внутр</t>
        </is>
      </c>
      <c r="Q801" s="179" t="inlineStr">
        <is>
          <t>внутр</t>
        </is>
      </c>
      <c r="R801" s="171" t="n"/>
      <c r="S801" s="171" t="n"/>
    </row>
    <row r="802" ht="18" customHeight="1">
      <c r="A802" s="45" t="inlineStr">
        <is>
          <t>работник 97</t>
        </is>
      </c>
      <c r="B802" s="178" t="inlineStr">
        <is>
          <t>Кухонный рабочий</t>
        </is>
      </c>
      <c r="C802" s="178" t="inlineStr"/>
      <c r="D802" s="179" t="n"/>
      <c r="E802" s="179" t="inlineStr">
        <is>
          <t>внутр</t>
        </is>
      </c>
      <c r="F802" s="179" t="n"/>
      <c r="G802" s="179" t="n"/>
      <c r="H802" s="179" t="n"/>
      <c r="I802" s="179" t="n"/>
      <c r="J802" s="179" t="n"/>
      <c r="K802" s="179" t="n"/>
      <c r="L802" s="179" t="n"/>
      <c r="M802" s="179" t="n"/>
      <c r="N802" s="179" t="n"/>
      <c r="O802" s="179" t="n"/>
      <c r="P802" s="179" t="inlineStr">
        <is>
          <t>внутр</t>
        </is>
      </c>
      <c r="Q802" s="179" t="inlineStr">
        <is>
          <t>внутр</t>
        </is>
      </c>
      <c r="R802" s="171" t="n"/>
      <c r="S802" s="171" t="n"/>
    </row>
    <row r="803" ht="18" customHeight="1">
      <c r="A803" s="45" t="inlineStr">
        <is>
          <t>работник 494</t>
        </is>
      </c>
      <c r="B803" s="178" t="inlineStr">
        <is>
          <t>Машинист  самоходной буровой установки (Проходка) | Машинист самоходной буровой установки</t>
        </is>
      </c>
      <c r="C803" s="178" t="inlineStr"/>
      <c r="D803" s="179" t="n"/>
      <c r="E803" s="179" t="inlineStr">
        <is>
          <t>внутр</t>
        </is>
      </c>
      <c r="F803" s="179" t="n"/>
      <c r="G803" s="179" t="n"/>
      <c r="H803" s="179" t="n"/>
      <c r="I803" s="179" t="n"/>
      <c r="J803" s="179" t="n"/>
      <c r="K803" s="179" t="n"/>
      <c r="L803" s="179" t="n"/>
      <c r="M803" s="179" t="n"/>
      <c r="N803" s="179" t="n"/>
      <c r="O803" s="179" t="n"/>
      <c r="P803" s="179" t="inlineStr">
        <is>
          <t>внутр</t>
        </is>
      </c>
      <c r="Q803" s="179" t="inlineStr">
        <is>
          <t>внутр</t>
        </is>
      </c>
      <c r="R803" s="171" t="n"/>
      <c r="S803" s="171" t="n"/>
    </row>
    <row r="804" ht="18" customHeight="1">
      <c r="A804" s="45" t="inlineStr">
        <is>
          <t>работник 875</t>
        </is>
      </c>
      <c r="B804" s="178" t="inlineStr">
        <is>
          <t>Кухонный рабочий</t>
        </is>
      </c>
      <c r="C804" s="178" t="inlineStr"/>
      <c r="D804" s="179" t="n"/>
      <c r="E804" s="179" t="inlineStr">
        <is>
          <t>внутр</t>
        </is>
      </c>
      <c r="F804" s="179" t="n"/>
      <c r="G804" s="179" t="n"/>
      <c r="H804" s="179" t="n"/>
      <c r="I804" s="179" t="n"/>
      <c r="J804" s="179" t="n"/>
      <c r="K804" s="179" t="n"/>
      <c r="L804" s="179" t="n"/>
      <c r="M804" s="179" t="n"/>
      <c r="N804" s="179" t="n"/>
      <c r="O804" s="179" t="n"/>
      <c r="P804" s="179" t="inlineStr">
        <is>
          <t>внутр</t>
        </is>
      </c>
      <c r="Q804" s="179" t="inlineStr">
        <is>
          <t>внутр</t>
        </is>
      </c>
      <c r="R804" s="171" t="n"/>
      <c r="S804" s="171" t="n"/>
    </row>
    <row r="805" ht="18" customHeight="1">
      <c r="A805" s="45" t="inlineStr">
        <is>
          <t>работник 431</t>
        </is>
      </c>
      <c r="B805" s="178" t="inlineStr">
        <is>
          <t>Аппаратчик-гидрометаллург</t>
        </is>
      </c>
      <c r="C805" s="178" t="inlineStr"/>
      <c r="D805" s="179" t="n"/>
      <c r="E805" s="179" t="inlineStr">
        <is>
          <t>внутр</t>
        </is>
      </c>
      <c r="F805" s="179" t="n"/>
      <c r="G805" s="179" t="n"/>
      <c r="H805" s="179" t="n"/>
      <c r="I805" s="179" t="n"/>
      <c r="J805" s="179" t="n"/>
      <c r="K805" s="179" t="n"/>
      <c r="L805" s="179" t="n"/>
      <c r="M805" s="179" t="n"/>
      <c r="N805" s="179" t="n"/>
      <c r="O805" s="179" t="n"/>
      <c r="P805" s="179" t="n"/>
      <c r="Q805" s="179" t="inlineStr">
        <is>
          <t>внутр</t>
        </is>
      </c>
      <c r="R805" s="171" t="n"/>
      <c r="S805" s="171" t="n"/>
    </row>
    <row r="806" ht="18" customHeight="1">
      <c r="A806" s="45" t="inlineStr">
        <is>
          <t>работник 548</t>
        </is>
      </c>
      <c r="B806" s="178" t="inlineStr">
        <is>
          <t>Помощник машиниста самоходной буровой установки (с исполнением обязанностей пробоотборщика) (Очистное)</t>
        </is>
      </c>
      <c r="C806" s="178" t="inlineStr"/>
      <c r="D806" s="179" t="n"/>
      <c r="E806" s="179" t="inlineStr">
        <is>
          <t>внутр</t>
        </is>
      </c>
      <c r="F806" s="179" t="n"/>
      <c r="G806" s="179" t="n"/>
      <c r="H806" s="179" t="n"/>
      <c r="I806" s="179" t="n"/>
      <c r="J806" s="179" t="n"/>
      <c r="K806" s="179" t="n"/>
      <c r="L806" s="179" t="n"/>
      <c r="M806" s="179" t="n"/>
      <c r="N806" s="179" t="n"/>
      <c r="O806" s="179" t="n"/>
      <c r="P806" s="179" t="n"/>
      <c r="Q806" s="179" t="inlineStr">
        <is>
          <t>внутр</t>
        </is>
      </c>
      <c r="R806" s="171" t="n"/>
      <c r="S806" s="171" t="n"/>
    </row>
    <row r="807" ht="18" customHeight="1">
      <c r="A807" s="45" t="inlineStr">
        <is>
          <t>работник 595</t>
        </is>
      </c>
      <c r="B807" s="178" t="inlineStr">
        <is>
          <t>Машинист погрузочно-доставочной машины</t>
        </is>
      </c>
      <c r="C807" s="178" t="inlineStr"/>
      <c r="D807" s="179" t="n"/>
      <c r="E807" s="179" t="inlineStr">
        <is>
          <t>внутр</t>
        </is>
      </c>
      <c r="F807" s="179" t="n"/>
      <c r="G807" s="179" t="n"/>
      <c r="H807" s="179" t="n"/>
      <c r="I807" s="179" t="n"/>
      <c r="J807" s="179" t="n"/>
      <c r="K807" s="179" t="n"/>
      <c r="L807" s="179" t="n"/>
      <c r="M807" s="179" t="n"/>
      <c r="N807" s="179" t="n"/>
      <c r="O807" s="179" t="n"/>
      <c r="P807" s="179" t="n"/>
      <c r="Q807" s="179" t="inlineStr">
        <is>
          <t>внутр</t>
        </is>
      </c>
      <c r="R807" s="171" t="n"/>
      <c r="S807" s="171" t="n"/>
    </row>
    <row r="808" ht="18" customHeight="1">
      <c r="A808" s="45" t="inlineStr">
        <is>
          <t>работник 881</t>
        </is>
      </c>
      <c r="B808" s="178" t="inlineStr">
        <is>
          <t>Помощник машиниста самоходной буровой установки (с исполнением обязанностей пробоотборщика)</t>
        </is>
      </c>
      <c r="C808" s="178" t="inlineStr"/>
      <c r="D808" s="179" t="n"/>
      <c r="E808" s="179" t="inlineStr">
        <is>
          <t>внутр</t>
        </is>
      </c>
      <c r="F808" s="179" t="n"/>
      <c r="G808" s="179" t="n"/>
      <c r="H808" s="179" t="n"/>
      <c r="I808" s="179" t="n"/>
      <c r="J808" s="179" t="n"/>
      <c r="K808" s="179" t="n"/>
      <c r="L808" s="179" t="n"/>
      <c r="M808" s="179" t="n"/>
      <c r="N808" s="179" t="n"/>
      <c r="O808" s="179" t="n"/>
      <c r="P808" s="179" t="inlineStr">
        <is>
          <t>внутр</t>
        </is>
      </c>
      <c r="Q808" s="179" t="inlineStr">
        <is>
          <t>внутр</t>
        </is>
      </c>
      <c r="R808" s="171" t="n"/>
      <c r="S808" s="171" t="n"/>
    </row>
    <row r="809" ht="18" customHeight="1">
      <c r="A809" s="45" t="inlineStr">
        <is>
          <t>работник 425</t>
        </is>
      </c>
      <c r="B809" s="178" t="inlineStr">
        <is>
          <t>Слесарь по ремонту обогатительного оборудования | Слесарь-ремонтник | Аппаратчик-гидрометаллург | Аппаратчик сгустителей</t>
        </is>
      </c>
      <c r="C809" s="178" t="inlineStr"/>
      <c r="D809" s="179" t="n"/>
      <c r="E809" s="179" t="inlineStr">
        <is>
          <t>внутр</t>
        </is>
      </c>
      <c r="F809" s="179" t="inlineStr">
        <is>
          <t>внутр</t>
        </is>
      </c>
      <c r="G809" s="179" t="inlineStr">
        <is>
          <t>внутр</t>
        </is>
      </c>
      <c r="H809" s="179" t="inlineStr">
        <is>
          <t>внутр</t>
        </is>
      </c>
      <c r="I809" s="179" t="inlineStr">
        <is>
          <t>внутр</t>
        </is>
      </c>
      <c r="J809" s="179" t="inlineStr">
        <is>
          <t>внутр</t>
        </is>
      </c>
      <c r="K809" s="179" t="inlineStr">
        <is>
          <t>внутр</t>
        </is>
      </c>
      <c r="L809" s="179" t="n"/>
      <c r="M809" s="179" t="n"/>
      <c r="N809" s="179" t="n"/>
      <c r="O809" s="179" t="n"/>
      <c r="P809" s="179" t="inlineStr">
        <is>
          <t>внутр</t>
        </is>
      </c>
      <c r="Q809" s="179" t="inlineStr">
        <is>
          <t>внутр</t>
        </is>
      </c>
      <c r="R809" s="171" t="n"/>
      <c r="S809" s="171" t="n"/>
    </row>
    <row r="810" ht="18" customHeight="1">
      <c r="A810" s="45" t="inlineStr">
        <is>
          <t>работник 705</t>
        </is>
      </c>
      <c r="B810" s="178" t="inlineStr">
        <is>
          <t>Плотник</t>
        </is>
      </c>
      <c r="C810" s="178" t="inlineStr"/>
      <c r="D810" s="179" t="n"/>
      <c r="E810" s="179" t="inlineStr">
        <is>
          <t>внутр</t>
        </is>
      </c>
      <c r="F810" s="179" t="n"/>
      <c r="G810" s="179" t="n"/>
      <c r="H810" s="179" t="n"/>
      <c r="I810" s="179" t="n"/>
      <c r="J810" s="179" t="n"/>
      <c r="K810" s="179" t="n"/>
      <c r="L810" s="179" t="n"/>
      <c r="M810" s="179" t="n"/>
      <c r="N810" s="179" t="n"/>
      <c r="O810" s="179" t="n"/>
      <c r="P810" s="179" t="n"/>
      <c r="Q810" s="179" t="inlineStr">
        <is>
          <t>внутр</t>
        </is>
      </c>
      <c r="R810" s="171" t="n"/>
      <c r="S810" s="171" t="n"/>
    </row>
    <row r="811" ht="18" customHeight="1">
      <c r="A811" s="45" t="inlineStr">
        <is>
          <t>работник 417</t>
        </is>
      </c>
      <c r="B811" s="178" t="inlineStr">
        <is>
          <t>Машинист подземных самоходных машин</t>
        </is>
      </c>
      <c r="C811" s="178" t="inlineStr"/>
      <c r="D811" s="179" t="n"/>
      <c r="E811" s="179" t="inlineStr">
        <is>
          <t>внутр</t>
        </is>
      </c>
      <c r="F811" s="179" t="n"/>
      <c r="G811" s="179" t="n"/>
      <c r="H811" s="179" t="n"/>
      <c r="I811" s="179" t="n"/>
      <c r="J811" s="179" t="n"/>
      <c r="K811" s="179" t="n"/>
      <c r="L811" s="179" t="n"/>
      <c r="M811" s="179" t="n"/>
      <c r="N811" s="179" t="n"/>
      <c r="O811" s="179" t="n"/>
      <c r="P811" s="179" t="n"/>
      <c r="Q811" s="179" t="inlineStr">
        <is>
          <t>внутр</t>
        </is>
      </c>
      <c r="R811" s="171" t="n"/>
      <c r="S811" s="171" t="n"/>
    </row>
    <row r="812" ht="18" customHeight="1">
      <c r="A812" s="45" t="inlineStr">
        <is>
          <t>работник 54</t>
        </is>
      </c>
      <c r="B812" s="178" t="inlineStr">
        <is>
          <t>Оператор дизельных котлов</t>
        </is>
      </c>
      <c r="C812" s="178" t="inlineStr"/>
      <c r="D812" s="179" t="n"/>
      <c r="E812" s="179" t="inlineStr">
        <is>
          <t>внутр</t>
        </is>
      </c>
      <c r="F812" s="179" t="n"/>
      <c r="G812" s="179" t="n"/>
      <c r="H812" s="179" t="n"/>
      <c r="I812" s="179" t="n"/>
      <c r="J812" s="179" t="n"/>
      <c r="K812" s="179" t="n"/>
      <c r="L812" s="179" t="n"/>
      <c r="M812" s="179" t="n"/>
      <c r="N812" s="179" t="n"/>
      <c r="O812" s="179" t="n"/>
      <c r="P812" s="179" t="inlineStr">
        <is>
          <t>внутр</t>
        </is>
      </c>
      <c r="Q812" s="179" t="inlineStr">
        <is>
          <t>внутр</t>
        </is>
      </c>
      <c r="R812" s="171" t="n"/>
      <c r="S812" s="171" t="n"/>
    </row>
    <row r="813" ht="18" customHeight="1">
      <c r="A813" s="45" t="inlineStr">
        <is>
          <t>работник 737</t>
        </is>
      </c>
      <c r="B813" s="178" t="inlineStr">
        <is>
          <t>Помощник машиниста буровой установки</t>
        </is>
      </c>
      <c r="C813" s="178" t="inlineStr"/>
      <c r="D813" s="179" t="n"/>
      <c r="E813" s="179" t="inlineStr">
        <is>
          <t>внутр</t>
        </is>
      </c>
      <c r="F813" s="179" t="n"/>
      <c r="G813" s="179" t="n"/>
      <c r="H813" s="179" t="n"/>
      <c r="I813" s="179" t="n"/>
      <c r="J813" s="179" t="n"/>
      <c r="K813" s="179" t="n"/>
      <c r="L813" s="179" t="n"/>
      <c r="M813" s="179" t="n"/>
      <c r="N813" s="179" t="n"/>
      <c r="O813" s="179" t="n"/>
      <c r="P813" s="179" t="n"/>
      <c r="Q813" s="179" t="inlineStr">
        <is>
          <t>внутр</t>
        </is>
      </c>
      <c r="R813" s="171" t="n"/>
      <c r="S813" s="171" t="n"/>
    </row>
    <row r="814" ht="18" customHeight="1">
      <c r="A814" s="45" t="inlineStr">
        <is>
          <t>работник 239</t>
        </is>
      </c>
      <c r="B814" s="178" t="inlineStr">
        <is>
          <t>Инженер химического анализа</t>
        </is>
      </c>
      <c r="C814" s="178" t="inlineStr"/>
      <c r="D814" s="179" t="n"/>
      <c r="E814" s="179" t="inlineStr">
        <is>
          <t>внутр</t>
        </is>
      </c>
      <c r="F814" s="179" t="n"/>
      <c r="G814" s="179" t="n"/>
      <c r="H814" s="179" t="n"/>
      <c r="I814" s="179" t="n"/>
      <c r="J814" s="179" t="n"/>
      <c r="K814" s="179" t="n"/>
      <c r="L814" s="179" t="n"/>
      <c r="M814" s="179" t="n"/>
      <c r="N814" s="179" t="n"/>
      <c r="O814" s="179" t="n"/>
      <c r="P814" s="179" t="inlineStr">
        <is>
          <t>внутр</t>
        </is>
      </c>
      <c r="Q814" s="179" t="inlineStr">
        <is>
          <t>внутр</t>
        </is>
      </c>
      <c r="R814" s="171" t="n"/>
      <c r="S814" s="171" t="n"/>
    </row>
    <row r="815" ht="18" customHeight="1">
      <c r="A815" s="45" t="inlineStr">
        <is>
          <t>работник 118</t>
        </is>
      </c>
      <c r="B815" s="178" t="inlineStr">
        <is>
          <t>Пробоотборщик</t>
        </is>
      </c>
      <c r="C815" s="178" t="inlineStr"/>
      <c r="D815" s="179" t="n"/>
      <c r="E815" s="179" t="inlineStr">
        <is>
          <t>внутр</t>
        </is>
      </c>
      <c r="F815" s="179" t="n"/>
      <c r="G815" s="179" t="n"/>
      <c r="H815" s="179" t="n"/>
      <c r="I815" s="179" t="n"/>
      <c r="J815" s="179" t="n"/>
      <c r="K815" s="179" t="n"/>
      <c r="L815" s="179" t="n"/>
      <c r="M815" s="179" t="n"/>
      <c r="N815" s="179" t="n"/>
      <c r="O815" s="179" t="n"/>
      <c r="P815" s="179" t="inlineStr">
        <is>
          <t>внутр</t>
        </is>
      </c>
      <c r="Q815" s="179" t="inlineStr">
        <is>
          <t>внутр</t>
        </is>
      </c>
      <c r="R815" s="171" t="n"/>
      <c r="S815" s="171" t="n"/>
    </row>
    <row r="816" ht="18" customHeight="1">
      <c r="A816" s="45" t="inlineStr">
        <is>
          <t>работник 630</t>
        </is>
      </c>
      <c r="B816" s="178" t="inlineStr">
        <is>
          <t>Горнорабочий на маркшейдерских работах</t>
        </is>
      </c>
      <c r="C816" s="178" t="inlineStr"/>
      <c r="D816" s="179" t="n"/>
      <c r="E816" s="179" t="inlineStr">
        <is>
          <t>внутр</t>
        </is>
      </c>
      <c r="F816" s="179" t="n"/>
      <c r="G816" s="179" t="n"/>
      <c r="H816" s="179" t="n"/>
      <c r="I816" s="179" t="n"/>
      <c r="J816" s="179" t="n"/>
      <c r="K816" s="179" t="n"/>
      <c r="L816" s="179" t="n"/>
      <c r="M816" s="179" t="n"/>
      <c r="N816" s="179" t="n"/>
      <c r="O816" s="179" t="inlineStr">
        <is>
          <t>внутр</t>
        </is>
      </c>
      <c r="P816" s="179" t="inlineStr">
        <is>
          <t>внутр</t>
        </is>
      </c>
      <c r="Q816" s="179" t="inlineStr">
        <is>
          <t>внутр</t>
        </is>
      </c>
      <c r="R816" s="171" t="n"/>
      <c r="S816" s="171" t="n"/>
    </row>
    <row r="817" ht="18" customHeight="1">
      <c r="A817" s="45" t="inlineStr">
        <is>
          <t>работник 597</t>
        </is>
      </c>
      <c r="B817" s="178" t="inlineStr">
        <is>
          <t>Слесарь-ремонтник (по ремонту горно-шахтного оборудования) | Слесарь-ремонтник (по ремонту самоходной техники)</t>
        </is>
      </c>
      <c r="C817" s="178" t="inlineStr"/>
      <c r="D817" s="179" t="n"/>
      <c r="E817" s="179" t="inlineStr">
        <is>
          <t>внутр</t>
        </is>
      </c>
      <c r="F817" s="179" t="n"/>
      <c r="G817" s="179" t="n"/>
      <c r="H817" s="179" t="n"/>
      <c r="I817" s="179" t="n"/>
      <c r="J817" s="179" t="n"/>
      <c r="K817" s="179" t="n"/>
      <c r="L817" s="179" t="n"/>
      <c r="M817" s="179" t="n"/>
      <c r="N817" s="179" t="n"/>
      <c r="O817" s="179" t="n"/>
      <c r="P817" s="179" t="inlineStr">
        <is>
          <t>внутр</t>
        </is>
      </c>
      <c r="Q817" s="179" t="inlineStr">
        <is>
          <t>внутр</t>
        </is>
      </c>
      <c r="R817" s="171" t="n"/>
      <c r="S817" s="171" t="n"/>
    </row>
    <row r="818" ht="18" customHeight="1">
      <c r="A818" s="45" t="inlineStr">
        <is>
          <t>работник 738</t>
        </is>
      </c>
      <c r="B818" s="178" t="inlineStr">
        <is>
          <t>Помощник машиниста буровой установки</t>
        </is>
      </c>
      <c r="C818" s="178" t="inlineStr"/>
      <c r="D818" s="179" t="n"/>
      <c r="E818" s="179" t="inlineStr">
        <is>
          <t>внутр</t>
        </is>
      </c>
      <c r="F818" s="179" t="n"/>
      <c r="G818" s="179" t="n"/>
      <c r="H818" s="179" t="n"/>
      <c r="I818" s="179" t="n"/>
      <c r="J818" s="179" t="n"/>
      <c r="K818" s="179" t="n"/>
      <c r="L818" s="179" t="n"/>
      <c r="M818" s="179" t="n"/>
      <c r="N818" s="179" t="n"/>
      <c r="O818" s="179" t="n"/>
      <c r="P818" s="179" t="n"/>
      <c r="Q818" s="179" t="inlineStr">
        <is>
          <t>внутр</t>
        </is>
      </c>
      <c r="R818" s="171" t="n"/>
      <c r="S818" s="171" t="n"/>
    </row>
    <row r="819" ht="18" customHeight="1">
      <c r="A819" s="45" t="inlineStr">
        <is>
          <t>работник 569</t>
        </is>
      </c>
      <c r="B819" s="178" t="inlineStr">
        <is>
          <t>Лаборант пробирного анализа</t>
        </is>
      </c>
      <c r="C819" s="178" t="inlineStr"/>
      <c r="D819" s="179" t="n"/>
      <c r="E819" s="179" t="inlineStr">
        <is>
          <t>внутр</t>
        </is>
      </c>
      <c r="F819" s="179" t="n"/>
      <c r="G819" s="179" t="n"/>
      <c r="H819" s="179" t="n"/>
      <c r="I819" s="179" t="n"/>
      <c r="J819" s="179" t="n"/>
      <c r="K819" s="179" t="n"/>
      <c r="L819" s="179" t="n"/>
      <c r="M819" s="179" t="n"/>
      <c r="N819" s="179" t="n"/>
      <c r="O819" s="179" t="n"/>
      <c r="P819" s="179" t="n"/>
      <c r="Q819" s="179" t="inlineStr">
        <is>
          <t>внутр</t>
        </is>
      </c>
      <c r="R819" s="171" t="n"/>
      <c r="S819" s="171" t="n"/>
    </row>
    <row r="820" ht="18" customHeight="1">
      <c r="A820" s="45" t="inlineStr">
        <is>
          <t>работник 403</t>
        </is>
      </c>
      <c r="B820" s="178" t="inlineStr">
        <is>
          <t>Лаборант пробирного анализа</t>
        </is>
      </c>
      <c r="C820" s="178" t="inlineStr"/>
      <c r="D820" s="179" t="n"/>
      <c r="E820" s="179" t="inlineStr">
        <is>
          <t>внутр</t>
        </is>
      </c>
      <c r="F820" s="179" t="n"/>
      <c r="G820" s="179" t="n"/>
      <c r="H820" s="179" t="n"/>
      <c r="I820" s="179" t="n"/>
      <c r="J820" s="179" t="n"/>
      <c r="K820" s="179" t="n"/>
      <c r="L820" s="179" t="n"/>
      <c r="M820" s="179" t="n"/>
      <c r="N820" s="179" t="n"/>
      <c r="O820" s="179" t="n"/>
      <c r="P820" s="179" t="inlineStr">
        <is>
          <t>внутр</t>
        </is>
      </c>
      <c r="Q820" s="179" t="inlineStr">
        <is>
          <t>внутр</t>
        </is>
      </c>
      <c r="R820" s="171" t="n"/>
      <c r="S820" s="171" t="n"/>
    </row>
    <row r="821" ht="18" customHeight="1">
      <c r="A821" s="45" t="inlineStr">
        <is>
          <t>работник 359</t>
        </is>
      </c>
      <c r="B821" s="178" t="inlineStr">
        <is>
          <t>Дробильщик</t>
        </is>
      </c>
      <c r="C821" s="178" t="inlineStr"/>
      <c r="D821" s="179" t="n"/>
      <c r="E821" s="179" t="inlineStr">
        <is>
          <t>внутр</t>
        </is>
      </c>
      <c r="F821" s="179" t="n"/>
      <c r="G821" s="179" t="n"/>
      <c r="H821" s="179" t="n"/>
      <c r="I821" s="179" t="n"/>
      <c r="J821" s="179" t="n"/>
      <c r="K821" s="179" t="n"/>
      <c r="L821" s="179" t="n"/>
      <c r="M821" s="179" t="n"/>
      <c r="N821" s="179" t="n"/>
      <c r="O821" s="179" t="n"/>
      <c r="P821" s="179" t="inlineStr">
        <is>
          <t>внутр</t>
        </is>
      </c>
      <c r="Q821" s="179" t="inlineStr">
        <is>
          <t>внутр</t>
        </is>
      </c>
      <c r="R821" s="171" t="n"/>
      <c r="S821" s="171" t="n"/>
    </row>
    <row r="822" ht="18" customHeight="1">
      <c r="A822" s="45" t="inlineStr">
        <is>
          <t>работник 925</t>
        </is>
      </c>
      <c r="B822" s="178" t="inlineStr">
        <is>
          <t>Повар</t>
        </is>
      </c>
      <c r="C822" s="178" t="inlineStr"/>
      <c r="D822" s="179" t="n"/>
      <c r="E822" s="179" t="inlineStr">
        <is>
          <t>внутр</t>
        </is>
      </c>
      <c r="F822" s="179" t="n"/>
      <c r="G822" s="179" t="n"/>
      <c r="H822" s="179" t="n"/>
      <c r="I822" s="179" t="n"/>
      <c r="J822" s="179" t="n"/>
      <c r="K822" s="179" t="n"/>
      <c r="L822" s="179" t="n"/>
      <c r="M822" s="179" t="n"/>
      <c r="N822" s="179" t="n"/>
      <c r="O822" s="179" t="n"/>
      <c r="P822" s="179" t="n"/>
      <c r="Q822" s="179" t="inlineStr">
        <is>
          <t>внутр</t>
        </is>
      </c>
      <c r="R822" s="171" t="n"/>
      <c r="S822" s="171" t="n"/>
    </row>
    <row r="823" ht="18" customHeight="1">
      <c r="A823" s="45" t="inlineStr">
        <is>
          <t>работник 23</t>
        </is>
      </c>
      <c r="B823" s="178" t="inlineStr">
        <is>
          <t>Слесарь-ремонтник | Слесарь-ремонтник ( по ремонту обогатительного оборудования) | Слесарь-ремонтник (по ремонту обогатительного оборудования)</t>
        </is>
      </c>
      <c r="C823" s="178" t="inlineStr"/>
      <c r="D823" s="179" t="n"/>
      <c r="E823" s="179" t="inlineStr">
        <is>
          <t>внутр</t>
        </is>
      </c>
      <c r="F823" s="179" t="inlineStr">
        <is>
          <t>внутр</t>
        </is>
      </c>
      <c r="G823" s="179" t="inlineStr">
        <is>
          <t>внутр</t>
        </is>
      </c>
      <c r="H823" s="179" t="inlineStr">
        <is>
          <t>внутр</t>
        </is>
      </c>
      <c r="I823" s="179" t="inlineStr">
        <is>
          <t>внутр</t>
        </is>
      </c>
      <c r="J823" s="179" t="inlineStr">
        <is>
          <t>внутр</t>
        </is>
      </c>
      <c r="K823" s="179" t="inlineStr">
        <is>
          <t>внутр</t>
        </is>
      </c>
      <c r="L823" s="179" t="n"/>
      <c r="M823" s="179" t="n"/>
      <c r="N823" s="179" t="n"/>
      <c r="O823" s="179" t="n"/>
      <c r="P823" s="179" t="inlineStr">
        <is>
          <t>внутр</t>
        </is>
      </c>
      <c r="Q823" s="179" t="inlineStr">
        <is>
          <t>внутр</t>
        </is>
      </c>
      <c r="R823" s="171" t="n"/>
      <c r="S823" s="171" t="n"/>
    </row>
    <row r="824" ht="18" customHeight="1">
      <c r="A824" s="45" t="inlineStr">
        <is>
          <t>работник 898</t>
        </is>
      </c>
      <c r="B824" s="178" t="inlineStr">
        <is>
          <t>Водитель автомобиля (занятый на транспортировании горной массы в технологическом процессе)</t>
        </is>
      </c>
      <c r="C824" s="178" t="inlineStr"/>
      <c r="D824" s="179" t="n"/>
      <c r="E824" s="179" t="inlineStr">
        <is>
          <t>внутр</t>
        </is>
      </c>
      <c r="F824" s="179" t="n"/>
      <c r="G824" s="179" t="n"/>
      <c r="H824" s="179" t="n"/>
      <c r="I824" s="179" t="n"/>
      <c r="J824" s="179" t="n"/>
      <c r="K824" s="179" t="n"/>
      <c r="L824" s="179" t="n"/>
      <c r="M824" s="179" t="n"/>
      <c r="N824" s="179" t="n"/>
      <c r="O824" s="179" t="n"/>
      <c r="P824" s="179" t="inlineStr">
        <is>
          <t>внутр</t>
        </is>
      </c>
      <c r="Q824" s="179" t="inlineStr">
        <is>
          <t>внутр</t>
        </is>
      </c>
      <c r="R824" s="171" t="n"/>
      <c r="S824" s="171" t="n"/>
    </row>
    <row r="825" ht="18" customHeight="1">
      <c r="A825" s="45" t="inlineStr">
        <is>
          <t>работник 402</t>
        </is>
      </c>
      <c r="B825" s="178" t="inlineStr">
        <is>
          <t>Лаборант пробирного анализа</t>
        </is>
      </c>
      <c r="C825" s="178" t="inlineStr"/>
      <c r="D825" s="179" t="n"/>
      <c r="E825" s="179" t="inlineStr">
        <is>
          <t>внутр</t>
        </is>
      </c>
      <c r="F825" s="179" t="n"/>
      <c r="G825" s="179" t="n"/>
      <c r="H825" s="179" t="n"/>
      <c r="I825" s="179" t="n"/>
      <c r="J825" s="179" t="n"/>
      <c r="K825" s="179" t="n"/>
      <c r="L825" s="179" t="n"/>
      <c r="M825" s="179" t="n"/>
      <c r="N825" s="179" t="n"/>
      <c r="O825" s="179" t="n"/>
      <c r="P825" s="179" t="inlineStr">
        <is>
          <t>внутр</t>
        </is>
      </c>
      <c r="Q825" s="179" t="inlineStr">
        <is>
          <t>внутр</t>
        </is>
      </c>
      <c r="R825" s="171" t="n"/>
      <c r="S825" s="171" t="n"/>
    </row>
    <row r="826" ht="18" customHeight="1">
      <c r="A826" s="45" t="inlineStr">
        <is>
          <t>работник 614</t>
        </is>
      </c>
      <c r="B826" s="178" t="inlineStr">
        <is>
          <t>Фильтровальщик</t>
        </is>
      </c>
      <c r="C826" s="178" t="inlineStr"/>
      <c r="D826" s="179" t="n"/>
      <c r="E826" s="179" t="inlineStr">
        <is>
          <t>внутр</t>
        </is>
      </c>
      <c r="F826" s="179" t="n"/>
      <c r="G826" s="179" t="n"/>
      <c r="H826" s="179" t="n"/>
      <c r="I826" s="179" t="n"/>
      <c r="J826" s="179" t="n"/>
      <c r="K826" s="179" t="n"/>
      <c r="L826" s="179" t="n"/>
      <c r="M826" s="179" t="n"/>
      <c r="N826" s="179" t="n"/>
      <c r="O826" s="179" t="n"/>
      <c r="P826" s="179" t="inlineStr">
        <is>
          <t>внутр</t>
        </is>
      </c>
      <c r="Q826" s="179" t="inlineStr">
        <is>
          <t>внутр</t>
        </is>
      </c>
      <c r="R826" s="171" t="n"/>
      <c r="S826" s="171" t="n"/>
    </row>
    <row r="827" ht="18" customHeight="1">
      <c r="A827" s="45" t="inlineStr">
        <is>
          <t>работник 121</t>
        </is>
      </c>
      <c r="B827" s="178" t="inlineStr">
        <is>
          <t>Фильтровальщик</t>
        </is>
      </c>
      <c r="C827" s="178" t="inlineStr"/>
      <c r="D827" s="179" t="n"/>
      <c r="E827" s="179" t="inlineStr">
        <is>
          <t>внутр</t>
        </is>
      </c>
      <c r="F827" s="179" t="n"/>
      <c r="G827" s="179" t="n"/>
      <c r="H827" s="179" t="n"/>
      <c r="I827" s="179" t="n"/>
      <c r="J827" s="179" t="n"/>
      <c r="K827" s="179" t="n"/>
      <c r="L827" s="179" t="n"/>
      <c r="M827" s="179" t="n"/>
      <c r="N827" s="179" t="n"/>
      <c r="O827" s="179" t="n"/>
      <c r="P827" s="179" t="inlineStr">
        <is>
          <t>внутр</t>
        </is>
      </c>
      <c r="Q827" s="179" t="inlineStr">
        <is>
          <t>внутр</t>
        </is>
      </c>
      <c r="R827" s="171" t="n"/>
      <c r="S827" s="171" t="n"/>
    </row>
    <row r="828" ht="18" customHeight="1">
      <c r="A828" s="45" t="inlineStr">
        <is>
          <t>работник 618</t>
        </is>
      </c>
      <c r="B828" s="178" t="inlineStr">
        <is>
          <t>Бункеровщик</t>
        </is>
      </c>
      <c r="C828" s="178" t="inlineStr"/>
      <c r="D828" s="179" t="n"/>
      <c r="E828" s="179" t="inlineStr">
        <is>
          <t>внутр</t>
        </is>
      </c>
      <c r="F828" s="179" t="n"/>
      <c r="G828" s="179" t="n"/>
      <c r="H828" s="179" t="n"/>
      <c r="I828" s="179" t="n"/>
      <c r="J828" s="179" t="n"/>
      <c r="K828" s="179" t="n"/>
      <c r="L828" s="179" t="n"/>
      <c r="M828" s="179" t="n"/>
      <c r="N828" s="179" t="n"/>
      <c r="O828" s="179" t="n"/>
      <c r="P828" s="179" t="n"/>
      <c r="Q828" s="179" t="inlineStr">
        <is>
          <t>внутр</t>
        </is>
      </c>
      <c r="R828" s="171" t="n"/>
      <c r="S828" s="171" t="n"/>
    </row>
    <row r="829" ht="18" customHeight="1">
      <c r="A829" s="45" t="inlineStr">
        <is>
          <t>работник 187</t>
        </is>
      </c>
      <c r="B829" s="178" t="inlineStr">
        <is>
          <t>Водитель автомобиля(занятый на траспортировании горной массы в технологическом процессе)</t>
        </is>
      </c>
      <c r="C829" s="178" t="inlineStr"/>
      <c r="D829" s="179" t="n"/>
      <c r="E829" s="179" t="inlineStr">
        <is>
          <t>внутр</t>
        </is>
      </c>
      <c r="F829" s="179" t="n"/>
      <c r="G829" s="179" t="n"/>
      <c r="H829" s="179" t="n"/>
      <c r="I829" s="179" t="n"/>
      <c r="J829" s="179" t="n"/>
      <c r="K829" s="179" t="n"/>
      <c r="L829" s="179" t="n"/>
      <c r="M829" s="179" t="n"/>
      <c r="N829" s="179" t="n"/>
      <c r="O829" s="179" t="n"/>
      <c r="P829" s="179" t="inlineStr">
        <is>
          <t>внутр</t>
        </is>
      </c>
      <c r="Q829" s="179" t="inlineStr">
        <is>
          <t>внутр</t>
        </is>
      </c>
      <c r="R829" s="171" t="n"/>
      <c r="S829" s="171" t="n"/>
    </row>
    <row r="830" ht="18" customHeight="1">
      <c r="A830" s="45" t="inlineStr">
        <is>
          <t>работник 894</t>
        </is>
      </c>
      <c r="B830" s="178" t="inlineStr">
        <is>
          <t>Горный диспетчер</t>
        </is>
      </c>
      <c r="C830" s="178" t="inlineStr"/>
      <c r="D830" s="179" t="n"/>
      <c r="E830" s="179" t="inlineStr">
        <is>
          <t>внутр</t>
        </is>
      </c>
      <c r="F830" s="179" t="n"/>
      <c r="G830" s="179" t="n"/>
      <c r="H830" s="179" t="n"/>
      <c r="I830" s="179" t="n"/>
      <c r="J830" s="179" t="n"/>
      <c r="K830" s="179" t="n"/>
      <c r="L830" s="179" t="n"/>
      <c r="M830" s="179" t="n"/>
      <c r="N830" s="179" t="n"/>
      <c r="O830" s="179" t="n"/>
      <c r="P830" s="179" t="inlineStr">
        <is>
          <t>внутр</t>
        </is>
      </c>
      <c r="Q830" s="179" t="inlineStr">
        <is>
          <t>внутр</t>
        </is>
      </c>
      <c r="R830" s="171" t="n"/>
      <c r="S830" s="171" t="n"/>
    </row>
    <row r="831" ht="18" customHeight="1">
      <c r="A831" s="45" t="inlineStr">
        <is>
          <t>работник 854</t>
        </is>
      </c>
      <c r="B831" s="178" t="inlineStr">
        <is>
          <t>Уборщик производственных и служебных помещений</t>
        </is>
      </c>
      <c r="C831" s="178" t="inlineStr"/>
      <c r="D831" s="179" t="n"/>
      <c r="E831" s="179" t="inlineStr">
        <is>
          <t>внутр</t>
        </is>
      </c>
      <c r="F831" s="179" t="n"/>
      <c r="G831" s="179" t="n"/>
      <c r="H831" s="179" t="n"/>
      <c r="I831" s="179" t="n"/>
      <c r="J831" s="179" t="n"/>
      <c r="K831" s="179" t="n"/>
      <c r="L831" s="179" t="n"/>
      <c r="M831" s="179" t="n"/>
      <c r="N831" s="179" t="n"/>
      <c r="O831" s="179" t="n"/>
      <c r="P831" s="179" t="inlineStr">
        <is>
          <t>внутр</t>
        </is>
      </c>
      <c r="Q831" s="179" t="inlineStr">
        <is>
          <t>внутр</t>
        </is>
      </c>
      <c r="R831" s="171" t="n"/>
      <c r="S831" s="171" t="n"/>
    </row>
    <row r="832" ht="18" customHeight="1">
      <c r="A832" s="45" t="inlineStr">
        <is>
          <t>работник 294</t>
        </is>
      </c>
      <c r="B832" s="178" t="inlineStr">
        <is>
          <t>Машинист экскаватора</t>
        </is>
      </c>
      <c r="C832" s="178" t="inlineStr"/>
      <c r="D832" s="179" t="n"/>
      <c r="E832" s="179" t="inlineStr">
        <is>
          <t>внутр</t>
        </is>
      </c>
      <c r="F832" s="179" t="n"/>
      <c r="G832" s="179" t="n"/>
      <c r="H832" s="179" t="n"/>
      <c r="I832" s="179" t="n"/>
      <c r="J832" s="179" t="n"/>
      <c r="K832" s="179" t="n"/>
      <c r="L832" s="179" t="n"/>
      <c r="M832" s="179" t="n"/>
      <c r="N832" s="179" t="n"/>
      <c r="O832" s="179" t="n"/>
      <c r="P832" s="179" t="inlineStr">
        <is>
          <t>внутр</t>
        </is>
      </c>
      <c r="Q832" s="179" t="inlineStr">
        <is>
          <t>внутр</t>
        </is>
      </c>
      <c r="R832" s="171" t="n"/>
      <c r="S832" s="171" t="n"/>
    </row>
    <row r="833" ht="18" customHeight="1">
      <c r="A833" s="45" t="inlineStr">
        <is>
          <t>работник 225</t>
        </is>
      </c>
      <c r="B833" s="178" t="inlineStr">
        <is>
          <t>Машинист бульдозера</t>
        </is>
      </c>
      <c r="C833" s="178" t="inlineStr"/>
      <c r="D833" s="179" t="n"/>
      <c r="E833" s="179" t="inlineStr">
        <is>
          <t>внутр</t>
        </is>
      </c>
      <c r="F833" s="179" t="n"/>
      <c r="G833" s="179" t="n"/>
      <c r="H833" s="179" t="n"/>
      <c r="I833" s="179" t="n"/>
      <c r="J833" s="179" t="n"/>
      <c r="K833" s="179" t="n"/>
      <c r="L833" s="179" t="n"/>
      <c r="M833" s="179" t="n"/>
      <c r="N833" s="179" t="n"/>
      <c r="O833" s="179" t="n"/>
      <c r="P833" s="179" t="inlineStr">
        <is>
          <t>внутр</t>
        </is>
      </c>
      <c r="Q833" s="179" t="inlineStr">
        <is>
          <t>внутр</t>
        </is>
      </c>
      <c r="R833" s="171" t="n"/>
      <c r="S833" s="171" t="n"/>
    </row>
    <row r="834" ht="18" customHeight="1">
      <c r="A834" s="45" t="inlineStr">
        <is>
          <t>работник 217</t>
        </is>
      </c>
      <c r="B834" s="178" t="inlineStr">
        <is>
          <t>Водитель автомобиля(занятый на траспортировании горной массы в технологическом процессе)</t>
        </is>
      </c>
      <c r="C834" s="178" t="inlineStr"/>
      <c r="D834" s="179" t="n"/>
      <c r="E834" s="179" t="inlineStr">
        <is>
          <t>внутр</t>
        </is>
      </c>
      <c r="F834" s="179" t="n"/>
      <c r="G834" s="179" t="n"/>
      <c r="H834" s="179" t="n"/>
      <c r="I834" s="179" t="n"/>
      <c r="J834" s="179" t="n"/>
      <c r="K834" s="179" t="n"/>
      <c r="L834" s="179" t="n"/>
      <c r="M834" s="179" t="n"/>
      <c r="N834" s="179" t="n"/>
      <c r="O834" s="179" t="n"/>
      <c r="P834" s="179" t="inlineStr">
        <is>
          <t>внутр</t>
        </is>
      </c>
      <c r="Q834" s="179" t="inlineStr">
        <is>
          <t>внутр</t>
        </is>
      </c>
      <c r="R834" s="171" t="n"/>
      <c r="S834" s="171" t="n"/>
    </row>
    <row r="835" ht="18" customHeight="1">
      <c r="A835" s="45" t="inlineStr">
        <is>
          <t>работник 363</t>
        </is>
      </c>
      <c r="B835" s="178" t="inlineStr">
        <is>
          <t>Подсобный рабочий | Уборщик производственных и служебных помещений</t>
        </is>
      </c>
      <c r="C835" s="178" t="inlineStr"/>
      <c r="D835" s="179" t="n"/>
      <c r="E835" s="179" t="inlineStr">
        <is>
          <t>внутр</t>
        </is>
      </c>
      <c r="F835" s="179" t="n"/>
      <c r="G835" s="179" t="n"/>
      <c r="H835" s="179" t="n"/>
      <c r="I835" s="179" t="n"/>
      <c r="J835" s="179" t="n"/>
      <c r="K835" s="179" t="n"/>
      <c r="L835" s="179" t="n"/>
      <c r="M835" s="179" t="n"/>
      <c r="N835" s="179" t="n"/>
      <c r="O835" s="179" t="n"/>
      <c r="P835" s="179" t="inlineStr">
        <is>
          <t>внутр</t>
        </is>
      </c>
      <c r="Q835" s="179" t="inlineStr">
        <is>
          <t>внутр</t>
        </is>
      </c>
      <c r="R835" s="171" t="n"/>
      <c r="S835" s="171" t="n"/>
    </row>
    <row r="836" ht="18" customHeight="1">
      <c r="A836" s="45" t="inlineStr">
        <is>
          <t>работник 295</t>
        </is>
      </c>
      <c r="B836" s="178" t="inlineStr">
        <is>
          <t>Механик</t>
        </is>
      </c>
      <c r="C836" s="178" t="inlineStr"/>
      <c r="D836" s="179" t="n"/>
      <c r="E836" s="179" t="inlineStr">
        <is>
          <t>внутр</t>
        </is>
      </c>
      <c r="F836" s="179" t="n"/>
      <c r="G836" s="179" t="n"/>
      <c r="H836" s="179" t="n"/>
      <c r="I836" s="179" t="n"/>
      <c r="J836" s="179" t="n"/>
      <c r="K836" s="179" t="n"/>
      <c r="L836" s="179" t="n"/>
      <c r="M836" s="179" t="n"/>
      <c r="N836" s="179" t="n"/>
      <c r="O836" s="179" t="n"/>
      <c r="P836" s="179" t="inlineStr">
        <is>
          <t>внутр</t>
        </is>
      </c>
      <c r="Q836" s="179" t="inlineStr">
        <is>
          <t>внутр</t>
        </is>
      </c>
      <c r="R836" s="171" t="n"/>
      <c r="S836" s="171" t="n"/>
    </row>
    <row r="837" ht="18" customHeight="1">
      <c r="A837" s="45" t="inlineStr">
        <is>
          <t>работник 859</t>
        </is>
      </c>
      <c r="B837" s="178" t="inlineStr">
        <is>
          <t>Лаборант пробирного анализа</t>
        </is>
      </c>
      <c r="C837" s="178" t="inlineStr"/>
      <c r="D837" s="179" t="n"/>
      <c r="E837" s="179" t="inlineStr">
        <is>
          <t>внутр</t>
        </is>
      </c>
      <c r="F837" s="179" t="n"/>
      <c r="G837" s="179" t="n"/>
      <c r="H837" s="179" t="n"/>
      <c r="I837" s="179" t="n"/>
      <c r="J837" s="179" t="n"/>
      <c r="K837" s="179" t="n"/>
      <c r="L837" s="179" t="n"/>
      <c r="M837" s="179" t="n"/>
      <c r="N837" s="179" t="n"/>
      <c r="O837" s="179" t="n"/>
      <c r="P837" s="179" t="inlineStr">
        <is>
          <t>внутр</t>
        </is>
      </c>
      <c r="Q837" s="179" t="inlineStr">
        <is>
          <t>внутр</t>
        </is>
      </c>
      <c r="R837" s="171" t="n"/>
      <c r="S837" s="171" t="n"/>
    </row>
    <row r="838" ht="18" customHeight="1">
      <c r="A838" s="45" t="inlineStr">
        <is>
          <t>работник 87</t>
        </is>
      </c>
      <c r="B838" s="178" t="inlineStr">
        <is>
          <t>оператор дизельных котлов</t>
        </is>
      </c>
      <c r="C838" s="178" t="inlineStr"/>
      <c r="D838" s="179" t="n"/>
      <c r="E838" s="179" t="inlineStr">
        <is>
          <t>внутр</t>
        </is>
      </c>
      <c r="F838" s="179" t="n"/>
      <c r="G838" s="179" t="n"/>
      <c r="H838" s="179" t="n"/>
      <c r="I838" s="179" t="n"/>
      <c r="J838" s="179" t="n"/>
      <c r="K838" s="179" t="n"/>
      <c r="L838" s="179" t="n"/>
      <c r="M838" s="179" t="n"/>
      <c r="N838" s="179" t="n"/>
      <c r="O838" s="179" t="n"/>
      <c r="P838" s="179" t="inlineStr">
        <is>
          <t>внутр</t>
        </is>
      </c>
      <c r="Q838" s="179" t="inlineStr">
        <is>
          <t>внутр</t>
        </is>
      </c>
      <c r="R838" s="171" t="n"/>
      <c r="S838" s="171" t="n"/>
    </row>
    <row r="839" ht="18" customHeight="1">
      <c r="A839" s="45" t="inlineStr">
        <is>
          <t>работник 440</t>
        </is>
      </c>
      <c r="B839" s="178" t="inlineStr">
        <is>
          <t>Растворщик реагентов</t>
        </is>
      </c>
      <c r="C839" s="178" t="inlineStr"/>
      <c r="D839" s="179" t="n"/>
      <c r="E839" s="179" t="inlineStr">
        <is>
          <t>внутр</t>
        </is>
      </c>
      <c r="F839" s="179" t="n"/>
      <c r="G839" s="179" t="n"/>
      <c r="H839" s="179" t="n"/>
      <c r="I839" s="179" t="n"/>
      <c r="J839" s="179" t="n"/>
      <c r="K839" s="179" t="n"/>
      <c r="L839" s="179" t="n"/>
      <c r="M839" s="179" t="n"/>
      <c r="N839" s="179" t="n"/>
      <c r="O839" s="179" t="n"/>
      <c r="P839" s="179" t="n"/>
      <c r="Q839" s="179" t="inlineStr">
        <is>
          <t>внутр</t>
        </is>
      </c>
      <c r="R839" s="171" t="n"/>
      <c r="S839" s="171" t="n"/>
    </row>
    <row r="840" ht="18" customHeight="1">
      <c r="A840" s="45" t="inlineStr">
        <is>
          <t>работник 821</t>
        </is>
      </c>
      <c r="B840" s="178" t="inlineStr">
        <is>
          <t>Водитель автомобиля (занятый на транспортировании горной массы в технологическом процессе)</t>
        </is>
      </c>
      <c r="C840" s="178" t="inlineStr"/>
      <c r="D840" s="179" t="n"/>
      <c r="E840" s="179" t="inlineStr">
        <is>
          <t>внутр</t>
        </is>
      </c>
      <c r="F840" s="179" t="n"/>
      <c r="G840" s="179" t="n"/>
      <c r="H840" s="179" t="n"/>
      <c r="I840" s="179" t="n"/>
      <c r="J840" s="179" t="n"/>
      <c r="K840" s="179" t="n"/>
      <c r="L840" s="179" t="n"/>
      <c r="M840" s="179" t="n"/>
      <c r="N840" s="179" t="n"/>
      <c r="O840" s="179" t="n"/>
      <c r="P840" s="179" t="n"/>
      <c r="Q840" s="179" t="inlineStr">
        <is>
          <t>внутр</t>
        </is>
      </c>
      <c r="R840" s="171" t="n"/>
      <c r="S840" s="171" t="n"/>
    </row>
    <row r="841" ht="18" customHeight="1">
      <c r="A841" s="45" t="inlineStr">
        <is>
          <t>работник 529</t>
        </is>
      </c>
      <c r="B841" s="178" t="inlineStr">
        <is>
          <t>Растворщик реагентов</t>
        </is>
      </c>
      <c r="C841" s="178" t="inlineStr"/>
      <c r="D841" s="179" t="n"/>
      <c r="E841" s="179" t="inlineStr">
        <is>
          <t>внутр</t>
        </is>
      </c>
      <c r="F841" s="179" t="n"/>
      <c r="G841" s="179" t="n"/>
      <c r="H841" s="179" t="n"/>
      <c r="I841" s="179" t="n"/>
      <c r="J841" s="179" t="n"/>
      <c r="K841" s="179" t="n"/>
      <c r="L841" s="179" t="n"/>
      <c r="M841" s="179" t="n"/>
      <c r="N841" s="179" t="n"/>
      <c r="O841" s="179" t="n"/>
      <c r="P841" s="179" t="n"/>
      <c r="Q841" s="179" t="inlineStr">
        <is>
          <t>внутр</t>
        </is>
      </c>
      <c r="R841" s="171" t="n"/>
      <c r="S841" s="171" t="n"/>
    </row>
    <row r="842" ht="18" customHeight="1">
      <c r="A842" s="45" t="inlineStr">
        <is>
          <t>работник 276</t>
        </is>
      </c>
      <c r="B842" s="178" t="inlineStr">
        <is>
          <t>Машинист бульдозера</t>
        </is>
      </c>
      <c r="C842" s="178" t="inlineStr"/>
      <c r="D842" s="179" t="n"/>
      <c r="E842" s="179" t="inlineStr">
        <is>
          <t>внутр</t>
        </is>
      </c>
      <c r="F842" s="179" t="n"/>
      <c r="G842" s="179" t="n"/>
      <c r="H842" s="179" t="n"/>
      <c r="I842" s="179" t="n"/>
      <c r="J842" s="179" t="n"/>
      <c r="K842" s="179" t="n"/>
      <c r="L842" s="179" t="n"/>
      <c r="M842" s="179" t="n"/>
      <c r="N842" s="179" t="n"/>
      <c r="O842" s="179" t="n"/>
      <c r="P842" s="179" t="inlineStr">
        <is>
          <t>внутр</t>
        </is>
      </c>
      <c r="Q842" s="179" t="inlineStr">
        <is>
          <t>внутр</t>
        </is>
      </c>
      <c r="R842" s="171" t="n"/>
      <c r="S842" s="171" t="n"/>
    </row>
    <row r="843" ht="18" customHeight="1">
      <c r="A843" s="45" t="inlineStr">
        <is>
          <t>работник 296</t>
        </is>
      </c>
      <c r="B843" s="178" t="inlineStr">
        <is>
          <t>Водитель автомобиля (занятый на транспортировании горной массы в технологическом процессе)</t>
        </is>
      </c>
      <c r="C843" s="178" t="inlineStr"/>
      <c r="D843" s="179" t="n"/>
      <c r="E843" s="179" t="inlineStr">
        <is>
          <t>внутр</t>
        </is>
      </c>
      <c r="F843" s="179" t="n"/>
      <c r="G843" s="179" t="n"/>
      <c r="H843" s="179" t="n"/>
      <c r="I843" s="179" t="n"/>
      <c r="J843" s="179" t="n"/>
      <c r="K843" s="179" t="n"/>
      <c r="L843" s="179" t="n"/>
      <c r="M843" s="179" t="n"/>
      <c r="N843" s="179" t="n"/>
      <c r="O843" s="179" t="n"/>
      <c r="P843" s="179" t="inlineStr">
        <is>
          <t>внутр</t>
        </is>
      </c>
      <c r="Q843" s="179" t="inlineStr">
        <is>
          <t>внутр</t>
        </is>
      </c>
      <c r="R843" s="171" t="n"/>
      <c r="S843" s="171" t="n"/>
    </row>
    <row r="844" ht="18" customHeight="1">
      <c r="A844" s="45" t="inlineStr">
        <is>
          <t>работник 796</t>
        </is>
      </c>
      <c r="B844" s="178" t="inlineStr">
        <is>
          <t>Водитель автомобиля (топливозаправщик)</t>
        </is>
      </c>
      <c r="C844" s="178" t="inlineStr"/>
      <c r="D844" s="179" t="n"/>
      <c r="E844" s="179" t="inlineStr">
        <is>
          <t>внутр</t>
        </is>
      </c>
      <c r="F844" s="179" t="n"/>
      <c r="G844" s="179" t="n"/>
      <c r="H844" s="179" t="n"/>
      <c r="I844" s="179" t="n"/>
      <c r="J844" s="179" t="n"/>
      <c r="K844" s="179" t="n"/>
      <c r="L844" s="179" t="n"/>
      <c r="M844" s="179" t="n"/>
      <c r="N844" s="179" t="n"/>
      <c r="O844" s="179" t="n"/>
      <c r="P844" s="179" t="inlineStr">
        <is>
          <t>внутр</t>
        </is>
      </c>
      <c r="Q844" s="179" t="inlineStr">
        <is>
          <t>внутр</t>
        </is>
      </c>
      <c r="R844" s="171" t="n"/>
      <c r="S844" s="171" t="n"/>
    </row>
    <row r="845" ht="18" customHeight="1">
      <c r="A845" s="45" t="inlineStr">
        <is>
          <t>работник 495</t>
        </is>
      </c>
      <c r="B845" s="178" t="inlineStr">
        <is>
          <t>Машинист подземных самоходных машин | Машинист погрузочно-доставочной машины (занятый на транспортировании горной массы в технологическом процессе)</t>
        </is>
      </c>
      <c r="C845" s="178" t="inlineStr"/>
      <c r="D845" s="179" t="n"/>
      <c r="E845" s="179" t="inlineStr">
        <is>
          <t>внутр</t>
        </is>
      </c>
      <c r="F845" s="179" t="n"/>
      <c r="G845" s="179" t="n"/>
      <c r="H845" s="179" t="n"/>
      <c r="I845" s="179" t="n"/>
      <c r="J845" s="179" t="n"/>
      <c r="K845" s="179" t="n"/>
      <c r="L845" s="179" t="n"/>
      <c r="M845" s="179" t="n"/>
      <c r="N845" s="179" t="n"/>
      <c r="O845" s="179" t="n"/>
      <c r="P845" s="179" t="inlineStr">
        <is>
          <t>внутр</t>
        </is>
      </c>
      <c r="Q845" s="179" t="inlineStr">
        <is>
          <t>внутр</t>
        </is>
      </c>
      <c r="R845" s="171" t="n"/>
      <c r="S845" s="171" t="n"/>
    </row>
    <row r="846" ht="18" customHeight="1">
      <c r="A846" s="45" t="inlineStr">
        <is>
          <t>работник 437</t>
        </is>
      </c>
      <c r="B846" s="178" t="inlineStr">
        <is>
          <t>Растворщик реагентов</t>
        </is>
      </c>
      <c r="C846" s="178" t="inlineStr"/>
      <c r="D846" s="179" t="n"/>
      <c r="E846" s="179" t="inlineStr">
        <is>
          <t>внутр</t>
        </is>
      </c>
      <c r="F846" s="179" t="n"/>
      <c r="G846" s="179" t="n"/>
      <c r="H846" s="179" t="n"/>
      <c r="I846" s="179" t="n"/>
      <c r="J846" s="179" t="n"/>
      <c r="K846" s="179" t="n"/>
      <c r="L846" s="179" t="n"/>
      <c r="M846" s="179" t="n"/>
      <c r="N846" s="179" t="n"/>
      <c r="O846" s="179" t="n"/>
      <c r="P846" s="179" t="n"/>
      <c r="Q846" s="179" t="inlineStr">
        <is>
          <t>внутр</t>
        </is>
      </c>
      <c r="R846" s="171" t="n"/>
      <c r="S846" s="171" t="n"/>
    </row>
    <row r="847" ht="18" customHeight="1">
      <c r="A847" s="45" t="inlineStr">
        <is>
          <t>работник 452</t>
        </is>
      </c>
      <c r="B847" s="178" t="inlineStr">
        <is>
          <t>Фильтровальщик</t>
        </is>
      </c>
      <c r="C847" s="178" t="inlineStr"/>
      <c r="D847" s="179" t="n"/>
      <c r="E847" s="179" t="inlineStr">
        <is>
          <t>внутр</t>
        </is>
      </c>
      <c r="F847" s="179" t="inlineStr">
        <is>
          <t>внутр</t>
        </is>
      </c>
      <c r="G847" s="179" t="n"/>
      <c r="H847" s="179" t="inlineStr">
        <is>
          <t>внутр</t>
        </is>
      </c>
      <c r="I847" s="179" t="n"/>
      <c r="J847" s="179" t="n"/>
      <c r="K847" s="179" t="n"/>
      <c r="L847" s="179" t="n"/>
      <c r="M847" s="179" t="n"/>
      <c r="N847" s="179" t="n"/>
      <c r="O847" s="179" t="n"/>
      <c r="P847" s="179" t="n"/>
      <c r="Q847" s="179" t="inlineStr">
        <is>
          <t>внутр</t>
        </is>
      </c>
      <c r="R847" s="171" t="n"/>
      <c r="S847" s="171" t="n"/>
    </row>
    <row r="848" ht="18" customHeight="1">
      <c r="A848" s="45" t="inlineStr">
        <is>
          <t>работник 767</t>
        </is>
      </c>
      <c r="B848" s="178" t="inlineStr">
        <is>
          <t>Проходчик (с исполнением обязанностей взрывника)</t>
        </is>
      </c>
      <c r="C848" s="178" t="inlineStr"/>
      <c r="D848" s="179" t="n"/>
      <c r="E848" s="179" t="n"/>
      <c r="F848" s="179" t="n"/>
      <c r="G848" s="179" t="n"/>
      <c r="H848" s="179" t="n"/>
      <c r="I848" s="179" t="n"/>
      <c r="J848" s="179" t="n"/>
      <c r="K848" s="179" t="n"/>
      <c r="L848" s="179" t="n"/>
      <c r="M848" s="179" t="n"/>
      <c r="N848" s="179" t="n"/>
      <c r="O848" s="179" t="n"/>
      <c r="P848" s="179" t="inlineStr">
        <is>
          <t>внутр</t>
        </is>
      </c>
      <c r="Q848" s="179" t="n"/>
      <c r="R848" s="171" t="n"/>
      <c r="S848" s="171" t="n"/>
    </row>
    <row r="849" ht="18" customHeight="1">
      <c r="A849" s="45" t="inlineStr">
        <is>
          <t>работник 405</t>
        </is>
      </c>
      <c r="B849" s="178" t="inlineStr">
        <is>
          <t>Машинист погрузочно-доставочной машины</t>
        </is>
      </c>
      <c r="C849" s="178" t="inlineStr"/>
      <c r="D849" s="179" t="n"/>
      <c r="E849" s="179" t="inlineStr">
        <is>
          <t>внутр</t>
        </is>
      </c>
      <c r="F849" s="179" t="n"/>
      <c r="G849" s="179" t="n"/>
      <c r="H849" s="179" t="n"/>
      <c r="I849" s="179" t="n"/>
      <c r="J849" s="179" t="n"/>
      <c r="K849" s="179" t="n"/>
      <c r="L849" s="179" t="n"/>
      <c r="M849" s="179" t="n"/>
      <c r="N849" s="179" t="n"/>
      <c r="O849" s="179" t="n"/>
      <c r="P849" s="179" t="n"/>
      <c r="Q849" s="179" t="inlineStr">
        <is>
          <t>внутр</t>
        </is>
      </c>
      <c r="R849" s="171" t="n"/>
      <c r="S849" s="171" t="n"/>
    </row>
    <row r="850" ht="18" customHeight="1">
      <c r="A850" s="45" t="inlineStr">
        <is>
          <t>работник 462</t>
        </is>
      </c>
      <c r="B850" s="178" t="inlineStr">
        <is>
          <t>Электрогазосварщик (занятый на резке и ручной сварке)</t>
        </is>
      </c>
      <c r="C850" s="178" t="inlineStr"/>
      <c r="D850" s="179" t="n"/>
      <c r="E850" s="179" t="inlineStr">
        <is>
          <t>внутр</t>
        </is>
      </c>
      <c r="F850" s="179" t="n"/>
      <c r="G850" s="179" t="inlineStr">
        <is>
          <t>внутр</t>
        </is>
      </c>
      <c r="H850" s="179" t="n"/>
      <c r="I850" s="179" t="n"/>
      <c r="J850" s="179" t="n"/>
      <c r="K850" s="179" t="n"/>
      <c r="L850" s="179" t="n"/>
      <c r="M850" s="179" t="n"/>
      <c r="N850" s="179" t="n"/>
      <c r="O850" s="179" t="n"/>
      <c r="P850" s="179" t="inlineStr">
        <is>
          <t>внутр</t>
        </is>
      </c>
      <c r="Q850" s="179" t="inlineStr">
        <is>
          <t>внутр</t>
        </is>
      </c>
      <c r="R850" s="171" t="n"/>
      <c r="S850" s="171" t="n"/>
    </row>
    <row r="851" ht="18" customHeight="1">
      <c r="A851" s="45" t="inlineStr">
        <is>
          <t>работник 66</t>
        </is>
      </c>
      <c r="B851" s="178" t="inlineStr">
        <is>
          <t>Электрослесарь (слесарь) | Электрослесарь (слесарь) дежурный и по ремонту оборудования подземного горного участка</t>
        </is>
      </c>
      <c r="C851" s="178" t="inlineStr"/>
      <c r="D851" s="179" t="n"/>
      <c r="E851" s="179" t="inlineStr">
        <is>
          <t>внутр</t>
        </is>
      </c>
      <c r="F851" s="179" t="n"/>
      <c r="G851" s="179" t="n"/>
      <c r="H851" s="179" t="n"/>
      <c r="I851" s="179" t="n"/>
      <c r="J851" s="179" t="n"/>
      <c r="K851" s="179" t="n"/>
      <c r="L851" s="179" t="n"/>
      <c r="M851" s="179" t="n"/>
      <c r="N851" s="179" t="n"/>
      <c r="O851" s="179" t="n"/>
      <c r="P851" s="179" t="inlineStr">
        <is>
          <t>внутр</t>
        </is>
      </c>
      <c r="Q851" s="179" t="inlineStr">
        <is>
          <t>внутр</t>
        </is>
      </c>
      <c r="R851" s="171" t="n"/>
      <c r="S851" s="171" t="n"/>
    </row>
    <row r="852" ht="18" customHeight="1">
      <c r="A852" s="45" t="inlineStr">
        <is>
          <t>работник 870</t>
        </is>
      </c>
      <c r="B852" s="178" t="inlineStr">
        <is>
          <t>Повар</t>
        </is>
      </c>
      <c r="C852" s="178" t="inlineStr"/>
      <c r="D852" s="179" t="n"/>
      <c r="E852" s="179" t="inlineStr">
        <is>
          <t>внутр</t>
        </is>
      </c>
      <c r="F852" s="179" t="n"/>
      <c r="G852" s="179" t="n"/>
      <c r="H852" s="179" t="n"/>
      <c r="I852" s="179" t="n"/>
      <c r="J852" s="179" t="n"/>
      <c r="K852" s="179" t="n"/>
      <c r="L852" s="179" t="n"/>
      <c r="M852" s="179" t="n"/>
      <c r="N852" s="179" t="n"/>
      <c r="O852" s="179" t="n"/>
      <c r="P852" s="179" t="inlineStr">
        <is>
          <t>внутр</t>
        </is>
      </c>
      <c r="Q852" s="179" t="inlineStr">
        <is>
          <t>внутр</t>
        </is>
      </c>
      <c r="R852" s="171" t="n"/>
      <c r="S852" s="171" t="n"/>
    </row>
    <row r="853" ht="18" customHeight="1">
      <c r="A853" s="45" t="inlineStr">
        <is>
          <t>работник 550</t>
        </is>
      </c>
      <c r="B853" s="178" t="inlineStr">
        <is>
          <t>Проходчик (с исполнением обязанностей взрывника)</t>
        </is>
      </c>
      <c r="C853" s="178" t="inlineStr"/>
      <c r="D853" s="179" t="n"/>
      <c r="E853" s="179" t="inlineStr">
        <is>
          <t>внутр</t>
        </is>
      </c>
      <c r="F853" s="179" t="n"/>
      <c r="G853" s="179" t="n"/>
      <c r="H853" s="179" t="n"/>
      <c r="I853" s="179" t="n"/>
      <c r="J853" s="179" t="n"/>
      <c r="K853" s="179" t="n"/>
      <c r="L853" s="179" t="n"/>
      <c r="M853" s="179" t="n"/>
      <c r="N853" s="179" t="n"/>
      <c r="O853" s="179" t="n"/>
      <c r="P853" s="179" t="n"/>
      <c r="Q853" s="179" t="inlineStr">
        <is>
          <t>внутр</t>
        </is>
      </c>
      <c r="R853" s="171" t="n"/>
      <c r="S853" s="171" t="n"/>
    </row>
    <row r="854" ht="18" customHeight="1">
      <c r="A854" s="45" t="inlineStr">
        <is>
          <t>работник 739</t>
        </is>
      </c>
      <c r="B854" s="178" t="inlineStr">
        <is>
          <t>Вальщик леса</t>
        </is>
      </c>
      <c r="C854" s="178" t="inlineStr"/>
      <c r="D854" s="179" t="n"/>
      <c r="E854" s="179" t="inlineStr">
        <is>
          <t>внутр</t>
        </is>
      </c>
      <c r="F854" s="179" t="n"/>
      <c r="G854" s="179" t="n"/>
      <c r="H854" s="179" t="n"/>
      <c r="I854" s="179" t="n"/>
      <c r="J854" s="179" t="n"/>
      <c r="K854" s="179" t="n"/>
      <c r="L854" s="179" t="n"/>
      <c r="M854" s="179" t="n"/>
      <c r="N854" s="179" t="n"/>
      <c r="O854" s="179" t="n"/>
      <c r="P854" s="179" t="n"/>
      <c r="Q854" s="179" t="inlineStr">
        <is>
          <t>внутр</t>
        </is>
      </c>
      <c r="R854" s="171" t="n"/>
      <c r="S854" s="171" t="n"/>
    </row>
    <row r="855" ht="18" customHeight="1">
      <c r="A855" s="45" t="inlineStr">
        <is>
          <t>работник 545</t>
        </is>
      </c>
      <c r="B855" s="178" t="inlineStr">
        <is>
          <t>Помощник машиниста самоходной буровой установки (с исполнением обязанностей пробоотборщика) (Очистное)</t>
        </is>
      </c>
      <c r="C855" s="178" t="inlineStr"/>
      <c r="D855" s="179" t="n"/>
      <c r="E855" s="179" t="inlineStr">
        <is>
          <t>внутр</t>
        </is>
      </c>
      <c r="F855" s="179" t="n"/>
      <c r="G855" s="179" t="n"/>
      <c r="H855" s="179" t="n"/>
      <c r="I855" s="179" t="n"/>
      <c r="J855" s="179" t="n"/>
      <c r="K855" s="179" t="n"/>
      <c r="L855" s="179" t="n"/>
      <c r="M855" s="179" t="n"/>
      <c r="N855" s="179" t="n"/>
      <c r="O855" s="179" t="n"/>
      <c r="P855" s="179" t="n"/>
      <c r="Q855" s="179" t="inlineStr">
        <is>
          <t>внутр</t>
        </is>
      </c>
      <c r="R855" s="171" t="n"/>
      <c r="S855" s="171" t="n"/>
    </row>
    <row r="856" ht="18" customHeight="1">
      <c r="A856" s="45" t="inlineStr">
        <is>
          <t>работник 768</t>
        </is>
      </c>
      <c r="B856" s="178" t="inlineStr">
        <is>
          <t>Проходчик (с исполнением обязанностей взрывника)</t>
        </is>
      </c>
      <c r="C856" s="178" t="inlineStr"/>
      <c r="D856" s="179" t="n"/>
      <c r="E856" s="179" t="n"/>
      <c r="F856" s="179" t="n"/>
      <c r="G856" s="179" t="n"/>
      <c r="H856" s="179" t="n"/>
      <c r="I856" s="179" t="n"/>
      <c r="J856" s="179" t="n"/>
      <c r="K856" s="179" t="n"/>
      <c r="L856" s="179" t="n"/>
      <c r="M856" s="179" t="n"/>
      <c r="N856" s="179" t="n"/>
      <c r="O856" s="179" t="n"/>
      <c r="P856" s="179" t="inlineStr">
        <is>
          <t>внутр</t>
        </is>
      </c>
      <c r="Q856" s="179" t="n"/>
      <c r="R856" s="171" t="n"/>
      <c r="S856" s="171" t="n"/>
    </row>
    <row r="857" ht="18" customHeight="1">
      <c r="A857" s="45" t="inlineStr">
        <is>
          <t>работник 369</t>
        </is>
      </c>
      <c r="B857" s="178" t="inlineStr">
        <is>
          <t>Машинист крана автомобильного</t>
        </is>
      </c>
      <c r="C857" s="178" t="inlineStr"/>
      <c r="D857" s="179" t="n"/>
      <c r="E857" s="179" t="inlineStr">
        <is>
          <t>внутр</t>
        </is>
      </c>
      <c r="F857" s="179" t="n"/>
      <c r="G857" s="179" t="n"/>
      <c r="H857" s="179" t="n"/>
      <c r="I857" s="179" t="n"/>
      <c r="J857" s="179" t="n"/>
      <c r="K857" s="179" t="n"/>
      <c r="L857" s="179" t="n"/>
      <c r="M857" s="179" t="n"/>
      <c r="N857" s="179" t="n"/>
      <c r="O857" s="179" t="n"/>
      <c r="P857" s="179" t="inlineStr">
        <is>
          <t>внутр</t>
        </is>
      </c>
      <c r="Q857" s="179" t="inlineStr">
        <is>
          <t>внутр</t>
        </is>
      </c>
      <c r="R857" s="171" t="n"/>
      <c r="S857" s="171" t="n"/>
    </row>
    <row r="858" ht="18" customHeight="1">
      <c r="A858" s="45" t="inlineStr">
        <is>
          <t>работник 370</t>
        </is>
      </c>
      <c r="B858" s="178" t="inlineStr">
        <is>
          <t>Водитель погрузчика | Машинист бульдозера</t>
        </is>
      </c>
      <c r="C858" s="178" t="inlineStr"/>
      <c r="D858" s="179" t="n"/>
      <c r="E858" s="179" t="inlineStr">
        <is>
          <t>внутр</t>
        </is>
      </c>
      <c r="F858" s="179" t="n"/>
      <c r="G858" s="179" t="n"/>
      <c r="H858" s="179" t="n"/>
      <c r="I858" s="179" t="n"/>
      <c r="J858" s="179" t="n"/>
      <c r="K858" s="179" t="n"/>
      <c r="L858" s="179" t="n"/>
      <c r="M858" s="179" t="n"/>
      <c r="N858" s="179" t="n"/>
      <c r="O858" s="179" t="n"/>
      <c r="P858" s="179" t="inlineStr">
        <is>
          <t>внутр</t>
        </is>
      </c>
      <c r="Q858" s="179" t="inlineStr">
        <is>
          <t>внутр</t>
        </is>
      </c>
      <c r="R858" s="171" t="n"/>
      <c r="S858" s="171" t="n"/>
    </row>
    <row r="859" ht="18" customHeight="1">
      <c r="A859" s="45" t="inlineStr">
        <is>
          <t>работник 920</t>
        </is>
      </c>
      <c r="B859" s="178" t="inlineStr">
        <is>
          <t>Мастер погрузочно-разгрузочных работ</t>
        </is>
      </c>
      <c r="C859" s="178" t="inlineStr">
        <is>
          <t>Руководитель</t>
        </is>
      </c>
      <c r="D859" s="179" t="n"/>
      <c r="E859" s="180" t="inlineStr">
        <is>
          <t>внутр</t>
        </is>
      </c>
      <c r="F859" s="179" t="n"/>
      <c r="G859" s="179" t="n"/>
      <c r="H859" s="179" t="n"/>
      <c r="I859" s="179" t="n"/>
      <c r="J859" s="179" t="n"/>
      <c r="K859" s="179" t="n"/>
      <c r="L859" s="179" t="n"/>
      <c r="M859" s="179" t="n"/>
      <c r="N859" s="179" t="n"/>
      <c r="O859" s="179" t="n"/>
      <c r="P859" s="179" t="inlineStr">
        <is>
          <t>внутр</t>
        </is>
      </c>
      <c r="Q859" s="179" t="inlineStr">
        <is>
          <t>внутр</t>
        </is>
      </c>
      <c r="R859" s="171" t="n">
        <v>1</v>
      </c>
      <c r="S859" s="171" t="n"/>
    </row>
    <row r="860" ht="18" customHeight="1">
      <c r="A860" s="45" t="inlineStr">
        <is>
          <t>работник 682</t>
        </is>
      </c>
      <c r="B860" s="178" t="inlineStr">
        <is>
          <t>Оператор дизельных котлов</t>
        </is>
      </c>
      <c r="C860" s="178" t="inlineStr"/>
      <c r="D860" s="179" t="n"/>
      <c r="E860" s="179" t="inlineStr">
        <is>
          <t>внутр</t>
        </is>
      </c>
      <c r="F860" s="179" t="n"/>
      <c r="G860" s="179" t="n"/>
      <c r="H860" s="179" t="n"/>
      <c r="I860" s="179" t="n"/>
      <c r="J860" s="179" t="n"/>
      <c r="K860" s="179" t="n"/>
      <c r="L860" s="179" t="n"/>
      <c r="M860" s="179" t="n"/>
      <c r="N860" s="179" t="n"/>
      <c r="O860" s="179" t="n"/>
      <c r="P860" s="179" t="n"/>
      <c r="Q860" s="179" t="inlineStr">
        <is>
          <t>внутр</t>
        </is>
      </c>
      <c r="R860" s="171" t="n"/>
      <c r="S860" s="171" t="n"/>
    </row>
    <row r="861" ht="18" customHeight="1">
      <c r="A861" s="45" t="inlineStr">
        <is>
          <t>работник 568</t>
        </is>
      </c>
      <c r="B861" s="178" t="inlineStr">
        <is>
          <t>Пробоотборщик</t>
        </is>
      </c>
      <c r="C861" s="178" t="inlineStr"/>
      <c r="D861" s="179" t="n"/>
      <c r="E861" s="179" t="inlineStr">
        <is>
          <t>внутр</t>
        </is>
      </c>
      <c r="F861" s="179" t="n"/>
      <c r="G861" s="179" t="n"/>
      <c r="H861" s="179" t="n"/>
      <c r="I861" s="179" t="n"/>
      <c r="J861" s="179" t="n"/>
      <c r="K861" s="179" t="n"/>
      <c r="L861" s="179" t="n"/>
      <c r="M861" s="179" t="n"/>
      <c r="N861" s="179" t="n"/>
      <c r="O861" s="179" t="n"/>
      <c r="P861" s="179" t="n"/>
      <c r="Q861" s="179" t="inlineStr">
        <is>
          <t>внутр</t>
        </is>
      </c>
      <c r="R861" s="171" t="n"/>
      <c r="S861" s="171" t="n"/>
    </row>
    <row r="862" ht="18" customHeight="1">
      <c r="A862" s="45" t="inlineStr">
        <is>
          <t>работник 297</t>
        </is>
      </c>
      <c r="B862" s="178" t="inlineStr">
        <is>
          <t>Машинист крана автомобильного</t>
        </is>
      </c>
      <c r="C862" s="178" t="inlineStr"/>
      <c r="D862" s="179" t="n"/>
      <c r="E862" s="179" t="inlineStr">
        <is>
          <t>внутр</t>
        </is>
      </c>
      <c r="F862" s="179" t="n"/>
      <c r="G862" s="179" t="n"/>
      <c r="H862" s="179" t="n"/>
      <c r="I862" s="179" t="n"/>
      <c r="J862" s="179" t="n"/>
      <c r="K862" s="179" t="n"/>
      <c r="L862" s="179" t="n"/>
      <c r="M862" s="179" t="n"/>
      <c r="N862" s="179" t="n"/>
      <c r="O862" s="179" t="n"/>
      <c r="P862" s="179" t="inlineStr">
        <is>
          <t>внутр</t>
        </is>
      </c>
      <c r="Q862" s="179" t="inlineStr">
        <is>
          <t>внутр</t>
        </is>
      </c>
      <c r="R862" s="171" t="n"/>
      <c r="S862" s="171" t="n"/>
    </row>
    <row r="863" ht="18" customHeight="1">
      <c r="A863" s="45" t="inlineStr">
        <is>
          <t>работник 521</t>
        </is>
      </c>
      <c r="B863" s="178" t="inlineStr">
        <is>
          <t>Дробильщик</t>
        </is>
      </c>
      <c r="C863" s="178" t="inlineStr"/>
      <c r="D863" s="179" t="n"/>
      <c r="E863" s="179" t="inlineStr">
        <is>
          <t>внутр</t>
        </is>
      </c>
      <c r="F863" s="179" t="n"/>
      <c r="G863" s="179" t="n"/>
      <c r="H863" s="179" t="n"/>
      <c r="I863" s="179" t="n"/>
      <c r="J863" s="179" t="n"/>
      <c r="K863" s="179" t="n"/>
      <c r="L863" s="179" t="n"/>
      <c r="M863" s="179" t="n"/>
      <c r="N863" s="179" t="n"/>
      <c r="O863" s="179" t="n"/>
      <c r="P863" s="179" t="n"/>
      <c r="Q863" s="179" t="inlineStr">
        <is>
          <t>внутр</t>
        </is>
      </c>
      <c r="R863" s="171" t="n"/>
      <c r="S863" s="171" t="n"/>
    </row>
    <row r="864" ht="18" customHeight="1">
      <c r="A864" s="45" t="inlineStr">
        <is>
          <t>работник 298</t>
        </is>
      </c>
      <c r="B864" s="178" t="inlineStr">
        <is>
          <t>Водитель автомобиля (занятый на транспортировании горной массы в технологическом процессе)</t>
        </is>
      </c>
      <c r="C864" s="178" t="inlineStr"/>
      <c r="D864" s="179" t="n"/>
      <c r="E864" s="179" t="inlineStr">
        <is>
          <t>внутр</t>
        </is>
      </c>
      <c r="F864" s="179" t="n"/>
      <c r="G864" s="179" t="n"/>
      <c r="H864" s="179" t="n"/>
      <c r="I864" s="179" t="n"/>
      <c r="J864" s="179" t="n"/>
      <c r="K864" s="179" t="n"/>
      <c r="L864" s="179" t="n"/>
      <c r="M864" s="179" t="n"/>
      <c r="N864" s="179" t="n"/>
      <c r="O864" s="179" t="n"/>
      <c r="P864" s="179" t="inlineStr">
        <is>
          <t>внутр</t>
        </is>
      </c>
      <c r="Q864" s="179" t="inlineStr">
        <is>
          <t>внутр</t>
        </is>
      </c>
      <c r="R864" s="171" t="n"/>
      <c r="S864" s="171" t="n"/>
    </row>
    <row r="865" ht="18" customHeight="1">
      <c r="A865" s="45" t="inlineStr">
        <is>
          <t>работник 518</t>
        </is>
      </c>
      <c r="B865" s="178" t="inlineStr">
        <is>
          <t>Водитель автомобиля (категория D)</t>
        </is>
      </c>
      <c r="C865" s="178" t="inlineStr"/>
      <c r="D865" s="179" t="n"/>
      <c r="E865" s="179" t="inlineStr">
        <is>
          <t>внутр</t>
        </is>
      </c>
      <c r="F865" s="179" t="n"/>
      <c r="G865" s="179" t="n"/>
      <c r="H865" s="179" t="n"/>
      <c r="I865" s="179" t="n"/>
      <c r="J865" s="179" t="n"/>
      <c r="K865" s="179" t="n"/>
      <c r="L865" s="179" t="n"/>
      <c r="M865" s="179" t="n"/>
      <c r="N865" s="179" t="n"/>
      <c r="O865" s="179" t="n"/>
      <c r="P865" s="179" t="inlineStr">
        <is>
          <t>внутр</t>
        </is>
      </c>
      <c r="Q865" s="179" t="inlineStr">
        <is>
          <t>внутр</t>
        </is>
      </c>
      <c r="R865" s="171" t="n"/>
      <c r="S865" s="171" t="n"/>
    </row>
    <row r="866" ht="18" customHeight="1">
      <c r="A866" s="45" t="inlineStr">
        <is>
          <t>работник 371</t>
        </is>
      </c>
      <c r="B866" s="178" t="inlineStr">
        <is>
          <t>Водитель автомобиля (занятый на транспортировании горной массы в технологическом процессе)</t>
        </is>
      </c>
      <c r="C866" s="178" t="inlineStr"/>
      <c r="D866" s="179" t="n"/>
      <c r="E866" s="179" t="inlineStr">
        <is>
          <t>внутр</t>
        </is>
      </c>
      <c r="F866" s="179" t="n"/>
      <c r="G866" s="179" t="n"/>
      <c r="H866" s="179" t="n"/>
      <c r="I866" s="179" t="n"/>
      <c r="J866" s="179" t="n"/>
      <c r="K866" s="179" t="n"/>
      <c r="L866" s="179" t="n"/>
      <c r="M866" s="179" t="n"/>
      <c r="N866" s="179" t="n"/>
      <c r="O866" s="179" t="n"/>
      <c r="P866" s="179" t="inlineStr">
        <is>
          <t>внутр</t>
        </is>
      </c>
      <c r="Q866" s="179" t="inlineStr">
        <is>
          <t>внутр</t>
        </is>
      </c>
      <c r="R866" s="171" t="n"/>
      <c r="S866" s="171" t="n"/>
    </row>
    <row r="867" ht="18" customHeight="1">
      <c r="A867" s="45" t="inlineStr">
        <is>
          <t>работник 759</t>
        </is>
      </c>
      <c r="B867" s="178" t="inlineStr">
        <is>
          <t>Геолог по рудоконтролю</t>
        </is>
      </c>
      <c r="C867" s="178" t="inlineStr"/>
      <c r="D867" s="179" t="n"/>
      <c r="E867" s="179" t="inlineStr">
        <is>
          <t>внутр</t>
        </is>
      </c>
      <c r="F867" s="179" t="n"/>
      <c r="G867" s="179" t="n"/>
      <c r="H867" s="179" t="n"/>
      <c r="I867" s="179" t="n"/>
      <c r="J867" s="179" t="n"/>
      <c r="K867" s="179" t="n"/>
      <c r="L867" s="179" t="n"/>
      <c r="M867" s="179" t="n"/>
      <c r="N867" s="179" t="n"/>
      <c r="O867" s="179" t="n"/>
      <c r="P867" s="179" t="inlineStr">
        <is>
          <t>внутр</t>
        </is>
      </c>
      <c r="Q867" s="179" t="inlineStr">
        <is>
          <t>внутр</t>
        </is>
      </c>
      <c r="R867" s="171" t="n"/>
      <c r="S867" s="171" t="n"/>
    </row>
    <row r="868" ht="18" customHeight="1">
      <c r="A868" s="45" t="inlineStr">
        <is>
          <t>работник 106</t>
        </is>
      </c>
      <c r="B868" s="178" t="inlineStr">
        <is>
          <t>Повар</t>
        </is>
      </c>
      <c r="C868" s="178" t="inlineStr"/>
      <c r="D868" s="179" t="n"/>
      <c r="E868" s="179" t="inlineStr">
        <is>
          <t>внутр</t>
        </is>
      </c>
      <c r="F868" s="179" t="n"/>
      <c r="G868" s="179" t="n"/>
      <c r="H868" s="179" t="n"/>
      <c r="I868" s="179" t="n"/>
      <c r="J868" s="179" t="n"/>
      <c r="K868" s="179" t="n"/>
      <c r="L868" s="179" t="n"/>
      <c r="M868" s="179" t="n"/>
      <c r="N868" s="179" t="n"/>
      <c r="O868" s="179" t="n"/>
      <c r="P868" s="179" t="inlineStr">
        <is>
          <t>внутр</t>
        </is>
      </c>
      <c r="Q868" s="179" t="inlineStr">
        <is>
          <t>внутр</t>
        </is>
      </c>
      <c r="R868" s="171" t="n"/>
      <c r="S868" s="171" t="n"/>
    </row>
    <row r="869" ht="18" customHeight="1">
      <c r="A869" s="45" t="inlineStr">
        <is>
          <t>работник 423</t>
        </is>
      </c>
      <c r="B869" s="178" t="inlineStr">
        <is>
          <t>Горнорабочий на маркшейдерских работах</t>
        </is>
      </c>
      <c r="C869" s="178" t="inlineStr"/>
      <c r="D869" s="179" t="n"/>
      <c r="E869" s="179" t="inlineStr">
        <is>
          <t>внутр</t>
        </is>
      </c>
      <c r="F869" s="179" t="n"/>
      <c r="G869" s="179" t="n"/>
      <c r="H869" s="179" t="n"/>
      <c r="I869" s="179" t="n"/>
      <c r="J869" s="179" t="n"/>
      <c r="K869" s="179" t="n"/>
      <c r="L869" s="179" t="n"/>
      <c r="M869" s="179" t="n"/>
      <c r="N869" s="179" t="n"/>
      <c r="O869" s="179" t="n"/>
      <c r="P869" s="179" t="n"/>
      <c r="Q869" s="179" t="inlineStr">
        <is>
          <t>внутр</t>
        </is>
      </c>
      <c r="R869" s="171" t="n"/>
      <c r="S869" s="171" t="n"/>
    </row>
    <row r="870" ht="18" customHeight="1">
      <c r="A870" s="45" t="inlineStr">
        <is>
          <t>работник 756</t>
        </is>
      </c>
      <c r="B870" s="178" t="inlineStr">
        <is>
          <t>Фильтровальщик</t>
        </is>
      </c>
      <c r="C870" s="178" t="inlineStr"/>
      <c r="D870" s="179" t="n"/>
      <c r="E870" s="179" t="inlineStr">
        <is>
          <t>внутр</t>
        </is>
      </c>
      <c r="F870" s="179" t="inlineStr">
        <is>
          <t>внутр</t>
        </is>
      </c>
      <c r="G870" s="179" t="n"/>
      <c r="H870" s="179" t="inlineStr">
        <is>
          <t>внутр</t>
        </is>
      </c>
      <c r="I870" s="179" t="n"/>
      <c r="J870" s="179" t="n"/>
      <c r="K870" s="179" t="n"/>
      <c r="L870" s="179" t="n"/>
      <c r="M870" s="179" t="n"/>
      <c r="N870" s="179" t="n"/>
      <c r="O870" s="179" t="n"/>
      <c r="P870" s="179" t="inlineStr">
        <is>
          <t>внутр</t>
        </is>
      </c>
      <c r="Q870" s="179" t="inlineStr">
        <is>
          <t>внутр</t>
        </is>
      </c>
      <c r="R870" s="171" t="n"/>
      <c r="S870" s="171" t="n"/>
    </row>
    <row r="871" ht="18" customHeight="1">
      <c r="A871" s="45" t="inlineStr">
        <is>
          <t>работник 570</t>
        </is>
      </c>
      <c r="B871" s="178" t="inlineStr">
        <is>
          <t>Электрослесарь (слесарь) дежурный и по ремонту оборудования подземного горного участка</t>
        </is>
      </c>
      <c r="C871" s="178" t="inlineStr"/>
      <c r="D871" s="179" t="n"/>
      <c r="E871" s="179" t="inlineStr">
        <is>
          <t>внутр</t>
        </is>
      </c>
      <c r="F871" s="179" t="n"/>
      <c r="G871" s="179" t="n"/>
      <c r="H871" s="179" t="n"/>
      <c r="I871" s="179" t="n"/>
      <c r="J871" s="179" t="n"/>
      <c r="K871" s="179" t="n"/>
      <c r="L871" s="179" t="n"/>
      <c r="M871" s="179" t="n"/>
      <c r="N871" s="179" t="n"/>
      <c r="O871" s="179" t="n"/>
      <c r="P871" s="179" t="n"/>
      <c r="Q871" s="179" t="inlineStr">
        <is>
          <t>внутр</t>
        </is>
      </c>
      <c r="R871" s="171" t="n"/>
      <c r="S871" s="171" t="n"/>
    </row>
    <row r="872" ht="18" customHeight="1">
      <c r="A872" s="45" t="inlineStr">
        <is>
          <t>работник 334</t>
        </is>
      </c>
      <c r="B872" s="178" t="inlineStr">
        <is>
          <t>Электромонтер по ремонту и обслуживанию электрооборудования</t>
        </is>
      </c>
      <c r="C872" s="178" t="inlineStr"/>
      <c r="D872" s="179" t="n"/>
      <c r="E872" s="179" t="inlineStr">
        <is>
          <t>внутр</t>
        </is>
      </c>
      <c r="F872" s="179" t="n"/>
      <c r="G872" s="179" t="n"/>
      <c r="H872" s="179" t="n"/>
      <c r="I872" s="179" t="n"/>
      <c r="J872" s="179" t="n"/>
      <c r="K872" s="179" t="n"/>
      <c r="L872" s="179" t="n"/>
      <c r="M872" s="179" t="n"/>
      <c r="N872" s="179" t="n"/>
      <c r="O872" s="179" t="n"/>
      <c r="P872" s="179" t="inlineStr">
        <is>
          <t>внутр</t>
        </is>
      </c>
      <c r="Q872" s="179" t="inlineStr">
        <is>
          <t>внутр</t>
        </is>
      </c>
      <c r="R872" s="171" t="n"/>
      <c r="S872" s="171" t="n"/>
    </row>
    <row r="873" ht="18" customHeight="1">
      <c r="A873" s="45" t="inlineStr">
        <is>
          <t>работник 465</t>
        </is>
      </c>
      <c r="B873" s="178" t="inlineStr">
        <is>
          <t>Машинист крана автомобильного (КМУ) | Машинист крана автомобильного</t>
        </is>
      </c>
      <c r="C873" s="178" t="inlineStr"/>
      <c r="D873" s="179" t="n"/>
      <c r="E873" s="179" t="inlineStr">
        <is>
          <t>внутр</t>
        </is>
      </c>
      <c r="F873" s="179" t="n"/>
      <c r="G873" s="179" t="n"/>
      <c r="H873" s="179" t="n"/>
      <c r="I873" s="179" t="n"/>
      <c r="J873" s="179" t="n"/>
      <c r="K873" s="179" t="n"/>
      <c r="L873" s="179" t="n"/>
      <c r="M873" s="179" t="n"/>
      <c r="N873" s="179" t="n"/>
      <c r="O873" s="179" t="n"/>
      <c r="P873" s="179" t="inlineStr">
        <is>
          <t>внутр</t>
        </is>
      </c>
      <c r="Q873" s="179" t="inlineStr">
        <is>
          <t>внутр</t>
        </is>
      </c>
      <c r="R873" s="171" t="n"/>
      <c r="S873" s="171" t="n"/>
    </row>
    <row r="874" ht="18" customHeight="1">
      <c r="A874" s="45" t="inlineStr">
        <is>
          <t>работник 39</t>
        </is>
      </c>
      <c r="B874" s="178" t="inlineStr">
        <is>
          <t>Дробильщик</t>
        </is>
      </c>
      <c r="C874" s="178" t="inlineStr"/>
      <c r="D874" s="179" t="n"/>
      <c r="E874" s="179" t="inlineStr">
        <is>
          <t>внутр</t>
        </is>
      </c>
      <c r="F874" s="179" t="n"/>
      <c r="G874" s="179" t="n"/>
      <c r="H874" s="179" t="n"/>
      <c r="I874" s="179" t="n"/>
      <c r="J874" s="179" t="n"/>
      <c r="K874" s="179" t="n"/>
      <c r="L874" s="179" t="n"/>
      <c r="M874" s="179" t="n"/>
      <c r="N874" s="179" t="n"/>
      <c r="O874" s="179" t="n"/>
      <c r="P874" s="179" t="inlineStr">
        <is>
          <t>внутр</t>
        </is>
      </c>
      <c r="Q874" s="179" t="inlineStr">
        <is>
          <t>внутр</t>
        </is>
      </c>
      <c r="R874" s="171" t="n"/>
      <c r="S874" s="171" t="n"/>
    </row>
    <row r="875" ht="18" customHeight="1">
      <c r="A875" s="45" t="inlineStr">
        <is>
          <t>работник 607</t>
        </is>
      </c>
      <c r="B875" s="178" t="inlineStr">
        <is>
          <t>Весовщик</t>
        </is>
      </c>
      <c r="C875" s="178" t="inlineStr"/>
      <c r="D875" s="179" t="n"/>
      <c r="E875" s="179" t="inlineStr">
        <is>
          <t>внутр</t>
        </is>
      </c>
      <c r="F875" s="179" t="n"/>
      <c r="G875" s="179" t="n"/>
      <c r="H875" s="179" t="n"/>
      <c r="I875" s="179" t="n"/>
      <c r="J875" s="179" t="n"/>
      <c r="K875" s="179" t="n"/>
      <c r="L875" s="179" t="n"/>
      <c r="M875" s="179" t="n"/>
      <c r="N875" s="179" t="n"/>
      <c r="O875" s="179" t="n"/>
      <c r="P875" s="179" t="n"/>
      <c r="Q875" s="179" t="inlineStr">
        <is>
          <t>внутр</t>
        </is>
      </c>
      <c r="R875" s="171" t="n"/>
      <c r="S875" s="171" t="n"/>
    </row>
    <row r="876" ht="18" customHeight="1">
      <c r="A876" s="45" t="inlineStr">
        <is>
          <t>работник 412</t>
        </is>
      </c>
      <c r="B876" s="178" t="inlineStr">
        <is>
          <t>Весовщик</t>
        </is>
      </c>
      <c r="C876" s="178" t="inlineStr"/>
      <c r="D876" s="179" t="n"/>
      <c r="E876" s="179" t="inlineStr">
        <is>
          <t>внутр</t>
        </is>
      </c>
      <c r="F876" s="179" t="n"/>
      <c r="G876" s="179" t="n"/>
      <c r="H876" s="179" t="n"/>
      <c r="I876" s="179" t="n"/>
      <c r="J876" s="179" t="n"/>
      <c r="K876" s="179" t="n"/>
      <c r="L876" s="179" t="n"/>
      <c r="M876" s="179" t="n"/>
      <c r="N876" s="179" t="n"/>
      <c r="O876" s="179" t="n"/>
      <c r="P876" s="179" t="n"/>
      <c r="Q876" s="179" t="inlineStr">
        <is>
          <t>внутр</t>
        </is>
      </c>
      <c r="R876" s="171" t="n"/>
      <c r="S876" s="171" t="n"/>
    </row>
    <row r="877" ht="18" customHeight="1">
      <c r="A877" s="45" t="inlineStr">
        <is>
          <t>работник 766</t>
        </is>
      </c>
      <c r="B877" s="178" t="inlineStr">
        <is>
          <t>Машинист погрузочно-доставочной машины (занятый на транспортировании горной массы в технологическом процессе)</t>
        </is>
      </c>
      <c r="C877" s="178" t="inlineStr"/>
      <c r="D877" s="179" t="n"/>
      <c r="E877" s="179" t="inlineStr">
        <is>
          <t>внутр</t>
        </is>
      </c>
      <c r="F877" s="179" t="n"/>
      <c r="G877" s="179" t="n"/>
      <c r="H877" s="179" t="n"/>
      <c r="I877" s="179" t="n"/>
      <c r="J877" s="179" t="n"/>
      <c r="K877" s="179" t="n"/>
      <c r="L877" s="179" t="n"/>
      <c r="M877" s="179" t="n"/>
      <c r="N877" s="179" t="n"/>
      <c r="O877" s="179" t="n"/>
      <c r="P877" s="179" t="inlineStr">
        <is>
          <t>внутр</t>
        </is>
      </c>
      <c r="Q877" s="179" t="inlineStr">
        <is>
          <t>внутр</t>
        </is>
      </c>
      <c r="R877" s="171" t="n"/>
      <c r="S877" s="171" t="n"/>
    </row>
    <row r="878" ht="18" customHeight="1">
      <c r="A878" s="45" t="inlineStr">
        <is>
          <t>работник 740</t>
        </is>
      </c>
      <c r="B878" s="178" t="inlineStr">
        <is>
          <t>Участковый геолог</t>
        </is>
      </c>
      <c r="C878" s="178" t="inlineStr"/>
      <c r="D878" s="179" t="n"/>
      <c r="E878" s="179" t="inlineStr">
        <is>
          <t>внутр</t>
        </is>
      </c>
      <c r="F878" s="179" t="n"/>
      <c r="G878" s="179" t="n"/>
      <c r="H878" s="179" t="n"/>
      <c r="I878" s="179" t="n"/>
      <c r="J878" s="179" t="n"/>
      <c r="K878" s="179" t="n"/>
      <c r="L878" s="179" t="n"/>
      <c r="M878" s="179" t="n"/>
      <c r="N878" s="179" t="n"/>
      <c r="O878" s="179" t="n"/>
      <c r="P878" s="179" t="n"/>
      <c r="Q878" s="179" t="inlineStr">
        <is>
          <t>внутр</t>
        </is>
      </c>
      <c r="R878" s="171" t="n"/>
      <c r="S878" s="171" t="n"/>
    </row>
    <row r="879" ht="18" customHeight="1">
      <c r="A879" s="45" t="inlineStr">
        <is>
          <t>работник 706</t>
        </is>
      </c>
      <c r="B879" s="178" t="inlineStr">
        <is>
          <t>Монтажник по монтажу стальных и железобетонных конструкций</t>
        </is>
      </c>
      <c r="C879" s="178" t="inlineStr"/>
      <c r="D879" s="179" t="n"/>
      <c r="E879" s="179" t="inlineStr">
        <is>
          <t>внутр</t>
        </is>
      </c>
      <c r="F879" s="179" t="n"/>
      <c r="G879" s="179" t="n"/>
      <c r="H879" s="179" t="n"/>
      <c r="I879" s="179" t="n"/>
      <c r="J879" s="179" t="n"/>
      <c r="K879" s="179" t="n"/>
      <c r="L879" s="179" t="n"/>
      <c r="M879" s="179" t="n"/>
      <c r="N879" s="179" t="n"/>
      <c r="O879" s="179" t="n"/>
      <c r="P879" s="179" t="n"/>
      <c r="Q879" s="179" t="inlineStr">
        <is>
          <t>внутр</t>
        </is>
      </c>
      <c r="R879" s="171" t="n"/>
      <c r="S879" s="171" t="n"/>
    </row>
    <row r="880" ht="18" customHeight="1">
      <c r="A880" s="45" t="inlineStr">
        <is>
          <t>работник 103</t>
        </is>
      </c>
      <c r="B880" s="178" t="inlineStr">
        <is>
          <t>Повар</t>
        </is>
      </c>
      <c r="C880" s="178" t="inlineStr"/>
      <c r="D880" s="179" t="n"/>
      <c r="E880" s="179" t="inlineStr">
        <is>
          <t>внутр</t>
        </is>
      </c>
      <c r="F880" s="179" t="n"/>
      <c r="G880" s="179" t="n"/>
      <c r="H880" s="179" t="n"/>
      <c r="I880" s="179" t="n"/>
      <c r="J880" s="179" t="n"/>
      <c r="K880" s="179" t="n"/>
      <c r="L880" s="179" t="n"/>
      <c r="M880" s="179" t="n"/>
      <c r="N880" s="179" t="n"/>
      <c r="O880" s="179" t="n"/>
      <c r="P880" s="179" t="inlineStr">
        <is>
          <t>внутр</t>
        </is>
      </c>
      <c r="Q880" s="179" t="inlineStr">
        <is>
          <t>внутр</t>
        </is>
      </c>
      <c r="R880" s="171" t="n"/>
      <c r="S880" s="171" t="n"/>
    </row>
    <row r="881" ht="18" customHeight="1">
      <c r="A881" s="45" t="inlineStr">
        <is>
          <t>работник 823</t>
        </is>
      </c>
      <c r="B881" s="178" t="inlineStr">
        <is>
          <t>Слесарь по ремонту автомобилей и тяжелой техники | Слесарь по ремонту автомобилей</t>
        </is>
      </c>
      <c r="C881" s="178" t="inlineStr"/>
      <c r="D881" s="179" t="n"/>
      <c r="E881" s="179" t="inlineStr">
        <is>
          <t>внутр</t>
        </is>
      </c>
      <c r="F881" s="179" t="n"/>
      <c r="G881" s="179" t="inlineStr">
        <is>
          <t>внутр</t>
        </is>
      </c>
      <c r="H881" s="179" t="n"/>
      <c r="I881" s="179" t="n"/>
      <c r="J881" s="179" t="n"/>
      <c r="K881" s="179" t="n"/>
      <c r="L881" s="179" t="n"/>
      <c r="M881" s="179" t="n"/>
      <c r="N881" s="179" t="n"/>
      <c r="O881" s="179" t="n"/>
      <c r="P881" s="179" t="inlineStr">
        <is>
          <t>внутр</t>
        </is>
      </c>
      <c r="Q881" s="179" t="inlineStr">
        <is>
          <t>внутр</t>
        </is>
      </c>
      <c r="R881" s="171" t="n"/>
      <c r="S881" s="171" t="n"/>
    </row>
    <row r="882" ht="18" customHeight="1">
      <c r="A882" s="45" t="inlineStr">
        <is>
          <t>работник 122</t>
        </is>
      </c>
      <c r="B882" s="178" t="inlineStr">
        <is>
          <t>Дробильщик | Дробильщики</t>
        </is>
      </c>
      <c r="C882" s="178" t="inlineStr"/>
      <c r="D882" s="179" t="n"/>
      <c r="E882" s="179" t="inlineStr">
        <is>
          <t>внутр</t>
        </is>
      </c>
      <c r="F882" s="179" t="n"/>
      <c r="G882" s="179" t="n"/>
      <c r="H882" s="179" t="n"/>
      <c r="I882" s="179" t="n"/>
      <c r="J882" s="179" t="n"/>
      <c r="K882" s="179" t="n"/>
      <c r="L882" s="179" t="n"/>
      <c r="M882" s="179" t="n"/>
      <c r="N882" s="179" t="n"/>
      <c r="O882" s="179" t="n"/>
      <c r="P882" s="179" t="inlineStr">
        <is>
          <t>внутр</t>
        </is>
      </c>
      <c r="Q882" s="179" t="inlineStr">
        <is>
          <t>внутр</t>
        </is>
      </c>
      <c r="R882" s="171" t="n"/>
      <c r="S882" s="171" t="n"/>
    </row>
    <row r="883" ht="18" customHeight="1">
      <c r="A883" s="45" t="inlineStr">
        <is>
          <t>работник 707</t>
        </is>
      </c>
      <c r="B883" s="178" t="inlineStr">
        <is>
          <t>Монтажник по монтажу стальных и железобетонных конструкций</t>
        </is>
      </c>
      <c r="C883" s="178" t="inlineStr"/>
      <c r="D883" s="179" t="n"/>
      <c r="E883" s="179" t="inlineStr">
        <is>
          <t>внутр</t>
        </is>
      </c>
      <c r="F883" s="179" t="n"/>
      <c r="G883" s="179" t="n"/>
      <c r="H883" s="179" t="n"/>
      <c r="I883" s="179" t="n"/>
      <c r="J883" s="179" t="n"/>
      <c r="K883" s="179" t="n"/>
      <c r="L883" s="179" t="n"/>
      <c r="M883" s="179" t="n"/>
      <c r="N883" s="179" t="n"/>
      <c r="O883" s="179" t="n"/>
      <c r="P883" s="179" t="n"/>
      <c r="Q883" s="179" t="inlineStr">
        <is>
          <t>внутр</t>
        </is>
      </c>
      <c r="R883" s="171" t="n"/>
      <c r="S883" s="171" t="n"/>
    </row>
    <row r="884" ht="18" customHeight="1">
      <c r="A884" s="45" t="inlineStr">
        <is>
          <t>работник 24</t>
        </is>
      </c>
      <c r="B884" s="178" t="inlineStr">
        <is>
          <t>Слесарь-ремонтник | Слесарь-ремонтник ( по ремонту обогатительного оборудования) | Слесарь-ремонтник (по ремонту обогатительного оборудования)</t>
        </is>
      </c>
      <c r="C884" s="178" t="inlineStr"/>
      <c r="D884" s="179" t="n"/>
      <c r="E884" s="179" t="inlineStr">
        <is>
          <t>внутр</t>
        </is>
      </c>
      <c r="F884" s="179" t="inlineStr">
        <is>
          <t>внутр</t>
        </is>
      </c>
      <c r="G884" s="179" t="inlineStr">
        <is>
          <t>внутр</t>
        </is>
      </c>
      <c r="H884" s="179" t="inlineStr">
        <is>
          <t>внутр</t>
        </is>
      </c>
      <c r="I884" s="179" t="inlineStr">
        <is>
          <t>внутр</t>
        </is>
      </c>
      <c r="J884" s="179" t="inlineStr">
        <is>
          <t>внутр</t>
        </is>
      </c>
      <c r="K884" s="179" t="inlineStr">
        <is>
          <t>внутр</t>
        </is>
      </c>
      <c r="L884" s="179" t="n"/>
      <c r="M884" s="179" t="n"/>
      <c r="N884" s="179" t="n"/>
      <c r="O884" s="179" t="n"/>
      <c r="P884" s="179" t="inlineStr">
        <is>
          <t>внутр</t>
        </is>
      </c>
      <c r="Q884" s="179" t="inlineStr">
        <is>
          <t>внутр</t>
        </is>
      </c>
      <c r="R884" s="171" t="n"/>
      <c r="S884" s="171" t="n"/>
    </row>
    <row r="885" ht="18" customHeight="1">
      <c r="A885" s="45" t="inlineStr">
        <is>
          <t>работник 183</t>
        </is>
      </c>
      <c r="B885" s="178" t="inlineStr">
        <is>
          <t>Слесарь по ремонту самоходной техники | Машинист экскаватора</t>
        </is>
      </c>
      <c r="C885" s="178" t="inlineStr"/>
      <c r="D885" s="179" t="n"/>
      <c r="E885" s="179" t="inlineStr">
        <is>
          <t>внутр</t>
        </is>
      </c>
      <c r="F885" s="179" t="n"/>
      <c r="G885" s="179" t="n"/>
      <c r="H885" s="179" t="n"/>
      <c r="I885" s="179" t="n"/>
      <c r="J885" s="179" t="n"/>
      <c r="K885" s="179" t="n"/>
      <c r="L885" s="179" t="n"/>
      <c r="M885" s="179" t="n"/>
      <c r="N885" s="179" t="n"/>
      <c r="O885" s="179" t="n"/>
      <c r="P885" s="179" t="inlineStr">
        <is>
          <t>внутр</t>
        </is>
      </c>
      <c r="Q885" s="179" t="inlineStr">
        <is>
          <t>внутр</t>
        </is>
      </c>
      <c r="R885" s="171" t="n"/>
      <c r="S885" s="171" t="n"/>
    </row>
    <row r="886" ht="18" customHeight="1">
      <c r="A886" s="45" t="inlineStr">
        <is>
          <t>работник 228</t>
        </is>
      </c>
      <c r="B886" s="178" t="inlineStr">
        <is>
          <t>Стропальщик (с исполнением обязанностей грузчика)</t>
        </is>
      </c>
      <c r="C886" s="178" t="inlineStr"/>
      <c r="D886" s="179" t="n"/>
      <c r="E886" s="179" t="inlineStr">
        <is>
          <t>внутр</t>
        </is>
      </c>
      <c r="F886" s="179" t="n"/>
      <c r="G886" s="179" t="n"/>
      <c r="H886" s="179" t="n"/>
      <c r="I886" s="179" t="n"/>
      <c r="J886" s="179" t="n"/>
      <c r="K886" s="179" t="n"/>
      <c r="L886" s="179" t="n"/>
      <c r="M886" s="179" t="n"/>
      <c r="N886" s="179" t="n"/>
      <c r="O886" s="179" t="n"/>
      <c r="P886" s="179" t="inlineStr">
        <is>
          <t>внутр</t>
        </is>
      </c>
      <c r="Q886" s="179" t="inlineStr">
        <is>
          <t>внутр</t>
        </is>
      </c>
      <c r="R886" s="171" t="n"/>
      <c r="S886" s="171" t="n"/>
    </row>
    <row r="887" ht="18" customHeight="1">
      <c r="A887" s="45" t="inlineStr">
        <is>
          <t>работник 776</t>
        </is>
      </c>
      <c r="B887" s="178" t="inlineStr">
        <is>
          <t>Машинист самоходной буровой установки</t>
        </is>
      </c>
      <c r="C887" s="178" t="inlineStr"/>
      <c r="D887" s="179" t="n"/>
      <c r="E887" s="179" t="inlineStr">
        <is>
          <t>внутр</t>
        </is>
      </c>
      <c r="F887" s="179" t="n"/>
      <c r="G887" s="179" t="n"/>
      <c r="H887" s="179" t="n"/>
      <c r="I887" s="179" t="n"/>
      <c r="J887" s="179" t="n"/>
      <c r="K887" s="179" t="n"/>
      <c r="L887" s="179" t="n"/>
      <c r="M887" s="179" t="n"/>
      <c r="N887" s="179" t="n"/>
      <c r="O887" s="179" t="n"/>
      <c r="P887" s="179" t="inlineStr">
        <is>
          <t>внутр</t>
        </is>
      </c>
      <c r="Q887" s="179" t="inlineStr">
        <is>
          <t>внутр</t>
        </is>
      </c>
      <c r="R887" s="171" t="n"/>
      <c r="S887" s="171" t="n"/>
    </row>
    <row r="888" ht="18" customHeight="1">
      <c r="A888" s="45" t="inlineStr">
        <is>
          <t>работник 251</t>
        </is>
      </c>
      <c r="B888" s="178" t="inlineStr">
        <is>
          <t>Машинист конвейра</t>
        </is>
      </c>
      <c r="C888" s="178" t="inlineStr"/>
      <c r="D888" s="179" t="n"/>
      <c r="E888" s="179" t="inlineStr">
        <is>
          <t>внутр</t>
        </is>
      </c>
      <c r="F888" s="179" t="n"/>
      <c r="G888" s="179" t="n"/>
      <c r="H888" s="179" t="n"/>
      <c r="I888" s="179" t="n"/>
      <c r="J888" s="179" t="n"/>
      <c r="K888" s="179" t="n"/>
      <c r="L888" s="179" t="n"/>
      <c r="M888" s="179" t="n"/>
      <c r="N888" s="179" t="n"/>
      <c r="O888" s="179" t="n"/>
      <c r="P888" s="179" t="inlineStr">
        <is>
          <t>внутр</t>
        </is>
      </c>
      <c r="Q888" s="179" t="inlineStr">
        <is>
          <t>внутр</t>
        </is>
      </c>
      <c r="R888" s="171" t="n"/>
      <c r="S888" s="171" t="n"/>
    </row>
    <row r="889" ht="18" customHeight="1">
      <c r="A889" s="45" t="inlineStr">
        <is>
          <t>работник 222</t>
        </is>
      </c>
      <c r="B889" s="178" t="inlineStr">
        <is>
          <t>Водитель автомобиля (категория Д)</t>
        </is>
      </c>
      <c r="C889" s="178" t="inlineStr"/>
      <c r="D889" s="179" t="n"/>
      <c r="E889" s="179" t="inlineStr">
        <is>
          <t>внутр</t>
        </is>
      </c>
      <c r="F889" s="179" t="n"/>
      <c r="G889" s="179" t="n"/>
      <c r="H889" s="179" t="n"/>
      <c r="I889" s="179" t="n"/>
      <c r="J889" s="179" t="n"/>
      <c r="K889" s="179" t="n"/>
      <c r="L889" s="179" t="n"/>
      <c r="M889" s="179" t="n"/>
      <c r="N889" s="179" t="n"/>
      <c r="O889" s="179" t="n"/>
      <c r="P889" s="179" t="inlineStr">
        <is>
          <t>внутр</t>
        </is>
      </c>
      <c r="Q889" s="179" t="inlineStr">
        <is>
          <t>внутр</t>
        </is>
      </c>
      <c r="R889" s="171" t="n"/>
      <c r="S889" s="171" t="n"/>
    </row>
    <row r="890" ht="18" customHeight="1">
      <c r="A890" s="45" t="inlineStr">
        <is>
          <t>работник 612</t>
        </is>
      </c>
      <c r="B890" s="178" t="inlineStr">
        <is>
          <t>Электромонтер</t>
        </is>
      </c>
      <c r="C890" s="178" t="inlineStr"/>
      <c r="D890" s="179" t="n"/>
      <c r="E890" s="179" t="inlineStr">
        <is>
          <t>внутр</t>
        </is>
      </c>
      <c r="F890" s="179" t="n"/>
      <c r="G890" s="179" t="n"/>
      <c r="H890" s="179" t="n"/>
      <c r="I890" s="179" t="n"/>
      <c r="J890" s="179" t="n"/>
      <c r="K890" s="179" t="n"/>
      <c r="L890" s="179" t="n"/>
      <c r="M890" s="179" t="n"/>
      <c r="N890" s="179" t="n"/>
      <c r="O890" s="179" t="n"/>
      <c r="P890" s="179" t="n"/>
      <c r="Q890" s="179" t="inlineStr">
        <is>
          <t>внутр</t>
        </is>
      </c>
      <c r="R890" s="171" t="n"/>
      <c r="S890" s="171" t="n"/>
    </row>
    <row r="891" ht="18" customHeight="1">
      <c r="A891" s="45" t="inlineStr">
        <is>
          <t>работник 922</t>
        </is>
      </c>
      <c r="B891" s="178" t="inlineStr">
        <is>
          <t>Электромонтер по ремонту и обслуживанию электрооборудования</t>
        </is>
      </c>
      <c r="C891" s="178" t="inlineStr"/>
      <c r="D891" s="179" t="n"/>
      <c r="E891" s="179" t="inlineStr">
        <is>
          <t>внутр</t>
        </is>
      </c>
      <c r="F891" s="179" t="n"/>
      <c r="G891" s="179" t="n"/>
      <c r="H891" s="179" t="n"/>
      <c r="I891" s="179" t="n"/>
      <c r="J891" s="179" t="n"/>
      <c r="K891" s="179" t="n"/>
      <c r="L891" s="179" t="n"/>
      <c r="M891" s="179" t="n"/>
      <c r="N891" s="179" t="n"/>
      <c r="O891" s="179" t="n"/>
      <c r="P891" s="179" t="n"/>
      <c r="Q891" s="179" t="inlineStr">
        <is>
          <t>внутр</t>
        </is>
      </c>
      <c r="R891" s="171" t="n"/>
      <c r="S891" s="171" t="n"/>
    </row>
    <row r="892" ht="18" customHeight="1">
      <c r="A892" s="45" t="inlineStr">
        <is>
          <t>работник 616</t>
        </is>
      </c>
      <c r="B892" s="178" t="inlineStr">
        <is>
          <t>Электромонтер по ремонту и обслуживанию электрооборудования</t>
        </is>
      </c>
      <c r="C892" s="178" t="inlineStr"/>
      <c r="D892" s="179" t="n"/>
      <c r="E892" s="179" t="inlineStr">
        <is>
          <t>внутр</t>
        </is>
      </c>
      <c r="F892" s="179" t="n"/>
      <c r="G892" s="179" t="n"/>
      <c r="H892" s="179" t="n"/>
      <c r="I892" s="179" t="n"/>
      <c r="J892" s="179" t="n"/>
      <c r="K892" s="179" t="n"/>
      <c r="L892" s="179" t="n"/>
      <c r="M892" s="179" t="n"/>
      <c r="N892" s="179" t="n"/>
      <c r="O892" s="179" t="n"/>
      <c r="P892" s="179" t="n"/>
      <c r="Q892" s="179" t="inlineStr">
        <is>
          <t>внутр</t>
        </is>
      </c>
      <c r="R892" s="171" t="n"/>
      <c r="S892" s="171" t="n"/>
    </row>
    <row r="893" ht="18" customHeight="1">
      <c r="A893" s="45" t="inlineStr">
        <is>
          <t>работник 84</t>
        </is>
      </c>
      <c r="B893" s="178" t="inlineStr">
        <is>
          <t>Плотник</t>
        </is>
      </c>
      <c r="C893" s="178" t="inlineStr"/>
      <c r="D893" s="179" t="n"/>
      <c r="E893" s="179" t="inlineStr">
        <is>
          <t>внутр</t>
        </is>
      </c>
      <c r="F893" s="179" t="inlineStr">
        <is>
          <t>внутр</t>
        </is>
      </c>
      <c r="G893" s="179" t="n"/>
      <c r="H893" s="179" t="n"/>
      <c r="I893" s="179" t="n"/>
      <c r="J893" s="179" t="n"/>
      <c r="K893" s="179" t="n"/>
      <c r="L893" s="179" t="n"/>
      <c r="M893" s="179" t="inlineStr">
        <is>
          <t>внутр</t>
        </is>
      </c>
      <c r="N893" s="179" t="inlineStr">
        <is>
          <t>внутр</t>
        </is>
      </c>
      <c r="O893" s="179" t="n"/>
      <c r="P893" s="179" t="inlineStr">
        <is>
          <t>внутр</t>
        </is>
      </c>
      <c r="Q893" s="179" t="inlineStr">
        <is>
          <t>внутр</t>
        </is>
      </c>
      <c r="R893" s="171" t="n"/>
      <c r="S893" s="171" t="n"/>
    </row>
    <row r="894" ht="18" customHeight="1">
      <c r="A894" s="45" t="inlineStr">
        <is>
          <t>работник 107</t>
        </is>
      </c>
      <c r="B894" s="178" t="inlineStr">
        <is>
          <t>Повар</t>
        </is>
      </c>
      <c r="C894" s="178" t="inlineStr"/>
      <c r="D894" s="179" t="n"/>
      <c r="E894" s="179" t="inlineStr">
        <is>
          <t>внутр</t>
        </is>
      </c>
      <c r="F894" s="179" t="n"/>
      <c r="G894" s="179" t="n"/>
      <c r="H894" s="179" t="n"/>
      <c r="I894" s="179" t="n"/>
      <c r="J894" s="179" t="n"/>
      <c r="K894" s="179" t="n"/>
      <c r="L894" s="179" t="n"/>
      <c r="M894" s="179" t="n"/>
      <c r="N894" s="179" t="n"/>
      <c r="O894" s="179" t="n"/>
      <c r="P894" s="179" t="inlineStr">
        <is>
          <t>внутр</t>
        </is>
      </c>
      <c r="Q894" s="179" t="inlineStr">
        <is>
          <t>внутр</t>
        </is>
      </c>
      <c r="R894" s="171" t="n"/>
      <c r="S894" s="171" t="n"/>
    </row>
    <row r="895" ht="18" customHeight="1">
      <c r="A895" s="45" t="inlineStr">
        <is>
          <t>работник 213</t>
        </is>
      </c>
      <c r="B895" s="178" t="inlineStr">
        <is>
          <t>Электрогазосварщик(занятый на резке и ручной сварке)</t>
        </is>
      </c>
      <c r="C895" s="178" t="inlineStr"/>
      <c r="D895" s="179" t="n"/>
      <c r="E895" s="179" t="inlineStr">
        <is>
          <t>внутр</t>
        </is>
      </c>
      <c r="F895" s="179" t="n"/>
      <c r="G895" s="179" t="n"/>
      <c r="H895" s="179" t="n"/>
      <c r="I895" s="179" t="n"/>
      <c r="J895" s="179" t="n"/>
      <c r="K895" s="179" t="n"/>
      <c r="L895" s="179" t="n"/>
      <c r="M895" s="179" t="n"/>
      <c r="N895" s="179" t="n"/>
      <c r="O895" s="179" t="n"/>
      <c r="P895" s="179" t="inlineStr">
        <is>
          <t>внутр</t>
        </is>
      </c>
      <c r="Q895" s="179" t="inlineStr">
        <is>
          <t>внутр</t>
        </is>
      </c>
      <c r="R895" s="171" t="n"/>
      <c r="S895" s="171" t="n"/>
    </row>
    <row r="896" ht="18" customHeight="1">
      <c r="A896" s="45" t="inlineStr">
        <is>
          <t>работник 915</t>
        </is>
      </c>
      <c r="B896" s="178" t="inlineStr">
        <is>
          <t>Слесарь-ремонтник (по ремонту обогатительного оборудования)</t>
        </is>
      </c>
      <c r="C896" s="178" t="inlineStr"/>
      <c r="D896" s="179" t="n"/>
      <c r="E896" s="179" t="inlineStr">
        <is>
          <t>внутр</t>
        </is>
      </c>
      <c r="F896" s="179" t="n"/>
      <c r="G896" s="179" t="n"/>
      <c r="H896" s="179" t="n"/>
      <c r="I896" s="179" t="n"/>
      <c r="J896" s="179" t="n"/>
      <c r="K896" s="179" t="n"/>
      <c r="L896" s="179" t="n"/>
      <c r="M896" s="179" t="n"/>
      <c r="N896" s="179" t="n"/>
      <c r="O896" s="179" t="n"/>
      <c r="P896" s="179" t="inlineStr">
        <is>
          <t>внутр</t>
        </is>
      </c>
      <c r="Q896" s="179" t="inlineStr">
        <is>
          <t>внутр</t>
        </is>
      </c>
      <c r="R896" s="171" t="n"/>
      <c r="S896" s="171" t="n"/>
    </row>
    <row r="897" ht="18" customHeight="1">
      <c r="A897" s="45" t="inlineStr">
        <is>
          <t>работник 855</t>
        </is>
      </c>
      <c r="B897" s="178" t="inlineStr">
        <is>
          <t>Уборщик производственных и служебных помещений</t>
        </is>
      </c>
      <c r="C897" s="178" t="inlineStr"/>
      <c r="D897" s="179" t="n"/>
      <c r="E897" s="179" t="inlineStr">
        <is>
          <t>внутр</t>
        </is>
      </c>
      <c r="F897" s="179" t="n"/>
      <c r="G897" s="179" t="n"/>
      <c r="H897" s="179" t="n"/>
      <c r="I897" s="179" t="n"/>
      <c r="J897" s="179" t="n"/>
      <c r="K897" s="179" t="n"/>
      <c r="L897" s="179" t="n"/>
      <c r="M897" s="179" t="n"/>
      <c r="N897" s="179" t="n"/>
      <c r="O897" s="179" t="n"/>
      <c r="P897" s="179" t="inlineStr">
        <is>
          <t>внутр</t>
        </is>
      </c>
      <c r="Q897" s="179" t="inlineStr">
        <is>
          <t>внутр</t>
        </is>
      </c>
      <c r="R897" s="171" t="n"/>
      <c r="S897" s="171" t="n"/>
    </row>
    <row r="898" ht="18" customHeight="1">
      <c r="A898" s="45" t="inlineStr">
        <is>
          <t>работник 11</t>
        </is>
      </c>
      <c r="B898" s="178" t="inlineStr">
        <is>
          <t>Теплотехник</t>
        </is>
      </c>
      <c r="C898" s="178" t="inlineStr"/>
      <c r="D898" s="181" t="inlineStr">
        <is>
          <t>внеш</t>
        </is>
      </c>
      <c r="E898" s="181" t="inlineStr">
        <is>
          <t>внеш</t>
        </is>
      </c>
      <c r="F898" s="179" t="n"/>
      <c r="G898" s="179" t="n"/>
      <c r="H898" s="179" t="n"/>
      <c r="I898" s="179" t="n"/>
      <c r="J898" s="179" t="n"/>
      <c r="K898" s="179" t="n"/>
      <c r="L898" s="179" t="n"/>
      <c r="M898" s="179" t="n"/>
      <c r="N898" s="179" t="n"/>
      <c r="O898" s="179" t="n"/>
      <c r="P898" s="181" t="inlineStr">
        <is>
          <t>внеш</t>
        </is>
      </c>
      <c r="Q898" s="181" t="inlineStr">
        <is>
          <t>внеш</t>
        </is>
      </c>
      <c r="R898" s="171" t="n"/>
      <c r="S898" s="171" t="n">
        <v>4</v>
      </c>
    </row>
    <row r="899" ht="18" customHeight="1">
      <c r="A899" s="45" t="inlineStr">
        <is>
          <t>работник 656</t>
        </is>
      </c>
      <c r="B899" s="178" t="inlineStr">
        <is>
          <t>Слесарь по ремонту автомобилей и тяжелой техники | Слесарь по ремонту автомобилей</t>
        </is>
      </c>
      <c r="C899" s="178" t="inlineStr"/>
      <c r="D899" s="179" t="n"/>
      <c r="E899" s="179" t="inlineStr">
        <is>
          <t>внутр</t>
        </is>
      </c>
      <c r="F899" s="179" t="n"/>
      <c r="G899" s="179" t="n"/>
      <c r="H899" s="179" t="n"/>
      <c r="I899" s="179" t="n"/>
      <c r="J899" s="179" t="n"/>
      <c r="K899" s="179" t="n"/>
      <c r="L899" s="179" t="n"/>
      <c r="M899" s="179" t="n"/>
      <c r="N899" s="179" t="n"/>
      <c r="O899" s="179" t="n"/>
      <c r="P899" s="179" t="inlineStr">
        <is>
          <t>внутр</t>
        </is>
      </c>
      <c r="Q899" s="179" t="inlineStr">
        <is>
          <t>внутр</t>
        </is>
      </c>
      <c r="R899" s="171" t="n"/>
      <c r="S899" s="171" t="n"/>
    </row>
    <row r="900" ht="18" customHeight="1">
      <c r="A900" s="45" t="inlineStr">
        <is>
          <t>работник 741</t>
        </is>
      </c>
      <c r="B900" s="178" t="inlineStr">
        <is>
          <t>Электрогазосварщик (занятый на резке и ручной сварке)</t>
        </is>
      </c>
      <c r="C900" s="178" t="inlineStr"/>
      <c r="D900" s="179" t="n"/>
      <c r="E900" s="179" t="inlineStr">
        <is>
          <t>внутр</t>
        </is>
      </c>
      <c r="F900" s="179" t="n"/>
      <c r="G900" s="179" t="inlineStr">
        <is>
          <t>внутр</t>
        </is>
      </c>
      <c r="H900" s="179" t="n"/>
      <c r="I900" s="179" t="n"/>
      <c r="J900" s="179" t="n"/>
      <c r="K900" s="179" t="n"/>
      <c r="L900" s="179" t="n"/>
      <c r="M900" s="179" t="n"/>
      <c r="N900" s="179" t="n"/>
      <c r="O900" s="179" t="n"/>
      <c r="P900" s="179" t="n"/>
      <c r="Q900" s="179" t="inlineStr">
        <is>
          <t>внутр</t>
        </is>
      </c>
      <c r="R900" s="171" t="n"/>
      <c r="S900" s="171" t="n"/>
    </row>
    <row r="901" ht="18" customHeight="1">
      <c r="A901" s="45" t="inlineStr">
        <is>
          <t>работник 95</t>
        </is>
      </c>
      <c r="B901" s="178" t="inlineStr">
        <is>
          <t>Кухонный рабочий</t>
        </is>
      </c>
      <c r="C901" s="178" t="inlineStr"/>
      <c r="D901" s="179" t="n"/>
      <c r="E901" s="179" t="inlineStr">
        <is>
          <t>внутр</t>
        </is>
      </c>
      <c r="F901" s="179" t="n"/>
      <c r="G901" s="179" t="n"/>
      <c r="H901" s="179" t="n"/>
      <c r="I901" s="179" t="n"/>
      <c r="J901" s="179" t="n"/>
      <c r="K901" s="179" t="n"/>
      <c r="L901" s="179" t="n"/>
      <c r="M901" s="179" t="n"/>
      <c r="N901" s="179" t="n"/>
      <c r="O901" s="179" t="n"/>
      <c r="P901" s="179" t="inlineStr">
        <is>
          <t>внутр</t>
        </is>
      </c>
      <c r="Q901" s="179" t="inlineStr">
        <is>
          <t>внутр</t>
        </is>
      </c>
      <c r="R901" s="171" t="n"/>
      <c r="S901" s="171" t="n"/>
    </row>
    <row r="902" ht="18" customHeight="1">
      <c r="A902" s="45" t="inlineStr">
        <is>
          <t>работник 769</t>
        </is>
      </c>
      <c r="B902" s="178" t="inlineStr">
        <is>
          <t>Проходчик (с исполнением обязанностей взрывника)</t>
        </is>
      </c>
      <c r="C902" s="178" t="inlineStr"/>
      <c r="D902" s="179" t="n"/>
      <c r="E902" s="179" t="n"/>
      <c r="F902" s="179" t="n"/>
      <c r="G902" s="179" t="n"/>
      <c r="H902" s="179" t="n"/>
      <c r="I902" s="179" t="n"/>
      <c r="J902" s="179" t="n"/>
      <c r="K902" s="179" t="n"/>
      <c r="L902" s="179" t="n"/>
      <c r="M902" s="179" t="n"/>
      <c r="N902" s="179" t="n"/>
      <c r="O902" s="179" t="n"/>
      <c r="P902" s="179" t="inlineStr">
        <is>
          <t>внутр</t>
        </is>
      </c>
      <c r="Q902" s="179" t="n"/>
      <c r="R902" s="171" t="n"/>
      <c r="S902" s="171" t="n"/>
    </row>
    <row r="903" ht="18" customHeight="1">
      <c r="A903" s="45" t="inlineStr">
        <is>
          <t>работник 72</t>
        </is>
      </c>
      <c r="B903" s="178" t="inlineStr">
        <is>
          <t>Подсобный рабочий | Бункеровщик</t>
        </is>
      </c>
      <c r="C903" s="178" t="inlineStr"/>
      <c r="D903" s="179" t="n"/>
      <c r="E903" s="179" t="inlineStr">
        <is>
          <t>внутр</t>
        </is>
      </c>
      <c r="F903" s="179" t="n"/>
      <c r="G903" s="179" t="n"/>
      <c r="H903" s="179" t="n"/>
      <c r="I903" s="179" t="n"/>
      <c r="J903" s="179" t="n"/>
      <c r="K903" s="179" t="n"/>
      <c r="L903" s="179" t="n"/>
      <c r="M903" s="179" t="n"/>
      <c r="N903" s="179" t="n"/>
      <c r="O903" s="179" t="n"/>
      <c r="P903" s="179" t="inlineStr">
        <is>
          <t>внутр</t>
        </is>
      </c>
      <c r="Q903" s="179" t="inlineStr">
        <is>
          <t>внутр</t>
        </is>
      </c>
      <c r="R903" s="171" t="n"/>
      <c r="S903" s="171" t="n"/>
    </row>
    <row r="904" ht="18" customHeight="1">
      <c r="A904" s="45" t="inlineStr">
        <is>
          <t>работник 834</t>
        </is>
      </c>
      <c r="B904" s="178" t="inlineStr">
        <is>
          <t>подсобный рабочий</t>
        </is>
      </c>
      <c r="C904" s="178" t="inlineStr"/>
      <c r="D904" s="179" t="n"/>
      <c r="E904" s="179" t="inlineStr">
        <is>
          <t>внутр</t>
        </is>
      </c>
      <c r="F904" s="179" t="n"/>
      <c r="G904" s="179" t="n"/>
      <c r="H904" s="179" t="n"/>
      <c r="I904" s="179" t="n"/>
      <c r="J904" s="179" t="n"/>
      <c r="K904" s="179" t="n"/>
      <c r="L904" s="179" t="n"/>
      <c r="M904" s="179" t="n"/>
      <c r="N904" s="179" t="n"/>
      <c r="O904" s="179" t="n"/>
      <c r="P904" s="179" t="inlineStr">
        <is>
          <t>внутр</t>
        </is>
      </c>
      <c r="Q904" s="179" t="inlineStr">
        <is>
          <t>внутр</t>
        </is>
      </c>
      <c r="R904" s="171" t="n"/>
      <c r="S904" s="171" t="n"/>
    </row>
    <row r="905" ht="18" customHeight="1">
      <c r="A905" s="45" t="inlineStr">
        <is>
          <t>работник 496</t>
        </is>
      </c>
      <c r="B905" s="178" t="inlineStr">
        <is>
          <t>Машинист  самоходной буровой установки (Очистное)</t>
        </is>
      </c>
      <c r="C905" s="178" t="inlineStr"/>
      <c r="D905" s="179" t="n"/>
      <c r="E905" s="179" t="inlineStr">
        <is>
          <t>внутр</t>
        </is>
      </c>
      <c r="F905" s="179" t="n"/>
      <c r="G905" s="179" t="n"/>
      <c r="H905" s="179" t="n"/>
      <c r="I905" s="179" t="n"/>
      <c r="J905" s="179" t="n"/>
      <c r="K905" s="179" t="n"/>
      <c r="L905" s="179" t="n"/>
      <c r="M905" s="179" t="n"/>
      <c r="N905" s="179" t="n"/>
      <c r="O905" s="179" t="n"/>
      <c r="P905" s="179" t="n"/>
      <c r="Q905" s="179" t="inlineStr">
        <is>
          <t>внутр</t>
        </is>
      </c>
      <c r="R905" s="171" t="n"/>
      <c r="S905" s="171" t="n"/>
    </row>
    <row r="906" ht="18" customHeight="1">
      <c r="A906" s="45" t="inlineStr">
        <is>
          <t>работник 299</t>
        </is>
      </c>
      <c r="B906" s="178" t="inlineStr">
        <is>
          <t>Машинист экскаватора</t>
        </is>
      </c>
      <c r="C906" s="178" t="inlineStr"/>
      <c r="D906" s="179" t="n"/>
      <c r="E906" s="179" t="inlineStr">
        <is>
          <t>внутр</t>
        </is>
      </c>
      <c r="F906" s="179" t="n"/>
      <c r="G906" s="179" t="n"/>
      <c r="H906" s="179" t="n"/>
      <c r="I906" s="179" t="n"/>
      <c r="J906" s="179" t="n"/>
      <c r="K906" s="179" t="n"/>
      <c r="L906" s="179" t="n"/>
      <c r="M906" s="179" t="n"/>
      <c r="N906" s="179" t="n"/>
      <c r="O906" s="179" t="n"/>
      <c r="P906" s="179" t="inlineStr">
        <is>
          <t>внутр</t>
        </is>
      </c>
      <c r="Q906" s="179" t="inlineStr">
        <is>
          <t>внутр</t>
        </is>
      </c>
      <c r="R906" s="171" t="n"/>
      <c r="S906" s="171" t="n"/>
    </row>
    <row r="907" ht="18" customHeight="1">
      <c r="A907" s="45" t="inlineStr">
        <is>
          <t>работник 846</t>
        </is>
      </c>
      <c r="B907" s="178" t="inlineStr">
        <is>
          <t>Проходчик (с исполнением обязанностей взрывника)</t>
        </is>
      </c>
      <c r="C907" s="178" t="inlineStr"/>
      <c r="D907" s="179" t="n"/>
      <c r="E907" s="179" t="inlineStr">
        <is>
          <t>внутр</t>
        </is>
      </c>
      <c r="F907" s="179" t="n"/>
      <c r="G907" s="179" t="n"/>
      <c r="H907" s="179" t="n"/>
      <c r="I907" s="179" t="n"/>
      <c r="J907" s="179" t="n"/>
      <c r="K907" s="179" t="n"/>
      <c r="L907" s="179" t="n"/>
      <c r="M907" s="179" t="n"/>
      <c r="N907" s="179" t="n"/>
      <c r="O907" s="179" t="n"/>
      <c r="P907" s="179" t="inlineStr">
        <is>
          <t>внутр</t>
        </is>
      </c>
      <c r="Q907" s="179" t="inlineStr">
        <is>
          <t>внутр</t>
        </is>
      </c>
      <c r="R907" s="171" t="n"/>
      <c r="S907" s="171" t="n"/>
    </row>
    <row r="908" ht="18" customHeight="1">
      <c r="A908" s="45" t="inlineStr">
        <is>
          <t>работник 234</t>
        </is>
      </c>
      <c r="B908" s="178" t="inlineStr">
        <is>
          <t>Лаборант пробирного анализа</t>
        </is>
      </c>
      <c r="C908" s="178" t="inlineStr"/>
      <c r="D908" s="179" t="n"/>
      <c r="E908" s="179" t="inlineStr">
        <is>
          <t>внутр</t>
        </is>
      </c>
      <c r="F908" s="179" t="n"/>
      <c r="G908" s="179" t="n"/>
      <c r="H908" s="179" t="n"/>
      <c r="I908" s="179" t="n"/>
      <c r="J908" s="179" t="n"/>
      <c r="K908" s="179" t="n"/>
      <c r="L908" s="179" t="n"/>
      <c r="M908" s="179" t="n"/>
      <c r="N908" s="179" t="n"/>
      <c r="O908" s="179" t="n"/>
      <c r="P908" s="179" t="inlineStr">
        <is>
          <t>внутр</t>
        </is>
      </c>
      <c r="Q908" s="179" t="inlineStr">
        <is>
          <t>внутр</t>
        </is>
      </c>
      <c r="R908" s="171" t="n"/>
      <c r="S908" s="171" t="n"/>
    </row>
    <row r="909" ht="18" customHeight="1">
      <c r="A909" s="45" t="inlineStr">
        <is>
          <t>работник 199</t>
        </is>
      </c>
      <c r="B909" s="178" t="inlineStr">
        <is>
          <t>Машинист бульдозера</t>
        </is>
      </c>
      <c r="C909" s="178" t="inlineStr"/>
      <c r="D909" s="179" t="n"/>
      <c r="E909" s="179" t="inlineStr">
        <is>
          <t>внутр</t>
        </is>
      </c>
      <c r="F909" s="179" t="n"/>
      <c r="G909" s="179" t="n"/>
      <c r="H909" s="179" t="n"/>
      <c r="I909" s="179" t="n"/>
      <c r="J909" s="179" t="n"/>
      <c r="K909" s="179" t="n"/>
      <c r="L909" s="179" t="n"/>
      <c r="M909" s="179" t="n"/>
      <c r="N909" s="179" t="n"/>
      <c r="O909" s="179" t="n"/>
      <c r="P909" s="179" t="inlineStr">
        <is>
          <t>внутр</t>
        </is>
      </c>
      <c r="Q909" s="179" t="inlineStr">
        <is>
          <t>внутр</t>
        </is>
      </c>
      <c r="R909" s="171" t="n"/>
      <c r="S909" s="171" t="n"/>
    </row>
    <row r="910" ht="18" customHeight="1">
      <c r="A910" s="45" t="inlineStr">
        <is>
          <t>работник 293</t>
        </is>
      </c>
      <c r="B910" s="178" t="inlineStr">
        <is>
          <t>Водитель погрузчика</t>
        </is>
      </c>
      <c r="C910" s="178" t="inlineStr"/>
      <c r="D910" s="179" t="n"/>
      <c r="E910" s="179" t="inlineStr">
        <is>
          <t>внутр</t>
        </is>
      </c>
      <c r="F910" s="179" t="n"/>
      <c r="G910" s="179" t="n"/>
      <c r="H910" s="179" t="n"/>
      <c r="I910" s="179" t="n"/>
      <c r="J910" s="179" t="n"/>
      <c r="K910" s="179" t="n"/>
      <c r="L910" s="179" t="n"/>
      <c r="M910" s="179" t="n"/>
      <c r="N910" s="179" t="n"/>
      <c r="O910" s="179" t="n"/>
      <c r="P910" s="179" t="inlineStr">
        <is>
          <t>внутр</t>
        </is>
      </c>
      <c r="Q910" s="179" t="inlineStr">
        <is>
          <t>внутр</t>
        </is>
      </c>
      <c r="R910" s="171" t="n"/>
      <c r="S910" s="171" t="n"/>
    </row>
    <row r="911" ht="18" customHeight="1">
      <c r="A911" s="45" t="inlineStr">
        <is>
          <t>работник 257</t>
        </is>
      </c>
      <c r="B911" s="178" t="inlineStr">
        <is>
          <t>Аппаратчик-гидрометаллург</t>
        </is>
      </c>
      <c r="C911" s="178" t="inlineStr"/>
      <c r="D911" s="179" t="n"/>
      <c r="E911" s="179" t="inlineStr">
        <is>
          <t>внутр</t>
        </is>
      </c>
      <c r="F911" s="179" t="n"/>
      <c r="G911" s="179" t="n"/>
      <c r="H911" s="179" t="n"/>
      <c r="I911" s="179" t="n"/>
      <c r="J911" s="179" t="n"/>
      <c r="K911" s="179" t="n"/>
      <c r="L911" s="179" t="n"/>
      <c r="M911" s="179" t="n"/>
      <c r="N911" s="179" t="n"/>
      <c r="O911" s="179" t="n"/>
      <c r="P911" s="179" t="inlineStr">
        <is>
          <t>внутр</t>
        </is>
      </c>
      <c r="Q911" s="179" t="inlineStr">
        <is>
          <t>внутр</t>
        </is>
      </c>
      <c r="R911" s="171" t="n"/>
      <c r="S911" s="171" t="n"/>
    </row>
    <row r="912" ht="18" customHeight="1">
      <c r="A912" s="45" t="inlineStr">
        <is>
          <t>работник 497</t>
        </is>
      </c>
      <c r="B912" s="178" t="inlineStr">
        <is>
          <t>Машинист погрузочно-доставочной машины (занятый на транспортировании горной массы в технологическом процессе)</t>
        </is>
      </c>
      <c r="C912" s="178" t="inlineStr"/>
      <c r="D912" s="179" t="n"/>
      <c r="E912" s="179" t="inlineStr">
        <is>
          <t>внутр</t>
        </is>
      </c>
      <c r="F912" s="179" t="n"/>
      <c r="G912" s="179" t="n"/>
      <c r="H912" s="179" t="n"/>
      <c r="I912" s="179" t="n"/>
      <c r="J912" s="179" t="n"/>
      <c r="K912" s="179" t="n"/>
      <c r="L912" s="179" t="n"/>
      <c r="M912" s="179" t="n"/>
      <c r="N912" s="179" t="n"/>
      <c r="O912" s="179" t="n"/>
      <c r="P912" s="179" t="n"/>
      <c r="Q912" s="179" t="inlineStr">
        <is>
          <t>внутр</t>
        </is>
      </c>
      <c r="R912" s="171" t="n"/>
      <c r="S912" s="171" t="n"/>
    </row>
    <row r="913" ht="18" customHeight="1">
      <c r="A913" s="45" t="inlineStr">
        <is>
          <t>работник 927</t>
        </is>
      </c>
      <c r="B913" s="178" t="inlineStr">
        <is>
          <t>Слесарь-ремонтник (по ремонту обогатительного оборудования)</t>
        </is>
      </c>
      <c r="C913" s="178" t="inlineStr"/>
      <c r="D913" s="179" t="n"/>
      <c r="E913" s="179" t="inlineStr">
        <is>
          <t>внутр</t>
        </is>
      </c>
      <c r="F913" s="179" t="n"/>
      <c r="G913" s="179" t="n"/>
      <c r="H913" s="179" t="n"/>
      <c r="I913" s="179" t="n"/>
      <c r="J913" s="179" t="n"/>
      <c r="K913" s="179" t="n"/>
      <c r="L913" s="179" t="n"/>
      <c r="M913" s="179" t="n"/>
      <c r="N913" s="179" t="n"/>
      <c r="O913" s="179" t="n"/>
      <c r="P913" s="179" t="inlineStr">
        <is>
          <t>внутр</t>
        </is>
      </c>
      <c r="Q913" s="179" t="inlineStr">
        <is>
          <t>внутр</t>
        </is>
      </c>
      <c r="R913" s="171" t="n"/>
      <c r="S913" s="171" t="n"/>
    </row>
    <row r="914" ht="18" customHeight="1">
      <c r="A914" s="45" t="inlineStr">
        <is>
          <t>работник 426</t>
        </is>
      </c>
      <c r="B914" s="178" t="inlineStr">
        <is>
          <t>Дробильщик</t>
        </is>
      </c>
      <c r="C914" s="178" t="inlineStr"/>
      <c r="D914" s="179" t="n"/>
      <c r="E914" s="179" t="inlineStr">
        <is>
          <t>внутр</t>
        </is>
      </c>
      <c r="F914" s="179" t="n"/>
      <c r="G914" s="179" t="n"/>
      <c r="H914" s="179" t="n"/>
      <c r="I914" s="179" t="n"/>
      <c r="J914" s="179" t="n"/>
      <c r="K914" s="179" t="n"/>
      <c r="L914" s="179" t="n"/>
      <c r="M914" s="179" t="n"/>
      <c r="N914" s="179" t="n"/>
      <c r="O914" s="179" t="n"/>
      <c r="P914" s="179" t="n"/>
      <c r="Q914" s="179" t="inlineStr">
        <is>
          <t>внутр</t>
        </is>
      </c>
      <c r="R914" s="171" t="n"/>
      <c r="S914" s="171" t="n"/>
    </row>
    <row r="915" ht="18" customHeight="1">
      <c r="A915" s="45" t="inlineStr">
        <is>
          <t>работник 552</t>
        </is>
      </c>
      <c r="B915" s="178" t="inlineStr">
        <is>
          <t>Проходчик (с исполнением обязанностей взрывника)</t>
        </is>
      </c>
      <c r="C915" s="178" t="inlineStr"/>
      <c r="D915" s="179" t="n"/>
      <c r="E915" s="179" t="inlineStr">
        <is>
          <t>внутр</t>
        </is>
      </c>
      <c r="F915" s="179" t="n"/>
      <c r="G915" s="179" t="n"/>
      <c r="H915" s="179" t="n"/>
      <c r="I915" s="179" t="n"/>
      <c r="J915" s="179" t="n"/>
      <c r="K915" s="179" t="n"/>
      <c r="L915" s="179" t="n"/>
      <c r="M915" s="179" t="n"/>
      <c r="N915" s="179" t="n"/>
      <c r="O915" s="179" t="n"/>
      <c r="P915" s="179" t="inlineStr">
        <is>
          <t>внутр</t>
        </is>
      </c>
      <c r="Q915" s="179" t="inlineStr">
        <is>
          <t>внутр</t>
        </is>
      </c>
      <c r="R915" s="171" t="n"/>
      <c r="S915" s="171" t="n"/>
    </row>
    <row r="916" ht="18" customHeight="1">
      <c r="A916" s="45" t="inlineStr">
        <is>
          <t>работник 360</t>
        </is>
      </c>
      <c r="B916" s="178" t="inlineStr">
        <is>
          <t>Стропальщик (с исполнением обязанностей грузчика)</t>
        </is>
      </c>
      <c r="C916" s="178" t="inlineStr"/>
      <c r="D916" s="179" t="n"/>
      <c r="E916" s="179" t="inlineStr">
        <is>
          <t>внутр</t>
        </is>
      </c>
      <c r="F916" s="179" t="n"/>
      <c r="G916" s="179" t="n"/>
      <c r="H916" s="179" t="n"/>
      <c r="I916" s="179" t="n"/>
      <c r="J916" s="179" t="n"/>
      <c r="K916" s="179" t="n"/>
      <c r="L916" s="179" t="n"/>
      <c r="M916" s="179" t="n"/>
      <c r="N916" s="179" t="n"/>
      <c r="O916" s="179" t="n"/>
      <c r="P916" s="179" t="inlineStr">
        <is>
          <t>внутр</t>
        </is>
      </c>
      <c r="Q916" s="179" t="inlineStr">
        <is>
          <t>внутр</t>
        </is>
      </c>
      <c r="R916" s="171" t="n"/>
      <c r="S916" s="171" t="n"/>
    </row>
    <row r="917" ht="18" customHeight="1">
      <c r="A917" s="45" t="inlineStr">
        <is>
          <t>работник 519</t>
        </is>
      </c>
      <c r="B917" s="178" t="inlineStr">
        <is>
          <t>Водитель автомобиля (категория D)</t>
        </is>
      </c>
      <c r="C917" s="178" t="inlineStr"/>
      <c r="D917" s="179" t="n"/>
      <c r="E917" s="179" t="inlineStr">
        <is>
          <t>внутр</t>
        </is>
      </c>
      <c r="F917" s="179" t="n"/>
      <c r="G917" s="179" t="n"/>
      <c r="H917" s="179" t="n"/>
      <c r="I917" s="179" t="n"/>
      <c r="J917" s="179" t="n"/>
      <c r="K917" s="179" t="n"/>
      <c r="L917" s="179" t="n"/>
      <c r="M917" s="179" t="n"/>
      <c r="N917" s="179" t="n"/>
      <c r="O917" s="179" t="n"/>
      <c r="P917" s="179" t="n"/>
      <c r="Q917" s="179" t="inlineStr">
        <is>
          <t>внутр</t>
        </is>
      </c>
      <c r="R917" s="171" t="n"/>
      <c r="S917" s="171" t="n"/>
    </row>
    <row r="918" ht="18" customHeight="1">
      <c r="A918" s="45" t="inlineStr">
        <is>
          <t>работник 348</t>
        </is>
      </c>
      <c r="B918" s="178" t="inlineStr">
        <is>
          <t>Электромеханик</t>
        </is>
      </c>
      <c r="C918" s="178" t="inlineStr"/>
      <c r="D918" s="179" t="n"/>
      <c r="E918" s="179" t="inlineStr">
        <is>
          <t>внутр</t>
        </is>
      </c>
      <c r="F918" s="179" t="n"/>
      <c r="G918" s="179" t="n"/>
      <c r="H918" s="179" t="n"/>
      <c r="I918" s="179" t="n"/>
      <c r="J918" s="179" t="n"/>
      <c r="K918" s="179" t="n"/>
      <c r="L918" s="179" t="n"/>
      <c r="M918" s="179" t="n"/>
      <c r="N918" s="179" t="n"/>
      <c r="O918" s="179" t="n"/>
      <c r="P918" s="179" t="inlineStr">
        <is>
          <t>внутр</t>
        </is>
      </c>
      <c r="Q918" s="179" t="inlineStr">
        <is>
          <t>внутр</t>
        </is>
      </c>
      <c r="R918" s="171" t="n"/>
      <c r="S918" s="171" t="n"/>
    </row>
    <row r="919" ht="18" customHeight="1">
      <c r="A919" s="45" t="inlineStr">
        <is>
          <t>работник 374</t>
        </is>
      </c>
      <c r="B919" s="178" t="inlineStr">
        <is>
          <t>Помощник машиниста  самоходной буровой установки</t>
        </is>
      </c>
      <c r="C919" s="178" t="inlineStr"/>
      <c r="D919" s="179" t="n"/>
      <c r="E919" s="179" t="inlineStr">
        <is>
          <t>внутр</t>
        </is>
      </c>
      <c r="F919" s="179" t="n"/>
      <c r="G919" s="179" t="n"/>
      <c r="H919" s="179" t="n"/>
      <c r="I919" s="179" t="n"/>
      <c r="J919" s="179" t="n"/>
      <c r="K919" s="179" t="n"/>
      <c r="L919" s="179" t="n"/>
      <c r="M919" s="179" t="n"/>
      <c r="N919" s="179" t="n"/>
      <c r="O919" s="179" t="n"/>
      <c r="P919" s="179" t="inlineStr">
        <is>
          <t>внутр</t>
        </is>
      </c>
      <c r="Q919" s="179" t="inlineStr">
        <is>
          <t>внутр</t>
        </is>
      </c>
      <c r="R919" s="171" t="n"/>
      <c r="S919" s="171" t="n"/>
    </row>
    <row r="920" ht="18" customHeight="1">
      <c r="A920" s="45" t="inlineStr">
        <is>
          <t>работник 811</t>
        </is>
      </c>
      <c r="B920" s="178" t="inlineStr">
        <is>
          <t>Машинист конвейера</t>
        </is>
      </c>
      <c r="C920" s="178" t="inlineStr"/>
      <c r="D920" s="179" t="n"/>
      <c r="E920" s="179" t="inlineStr">
        <is>
          <t>внутр</t>
        </is>
      </c>
      <c r="F920" s="179" t="n"/>
      <c r="G920" s="179" t="n"/>
      <c r="H920" s="179" t="n"/>
      <c r="I920" s="179" t="n"/>
      <c r="J920" s="179" t="n"/>
      <c r="K920" s="179" t="n"/>
      <c r="L920" s="179" t="n"/>
      <c r="M920" s="179" t="n"/>
      <c r="N920" s="179" t="n"/>
      <c r="O920" s="179" t="n"/>
      <c r="P920" s="179" t="inlineStr">
        <is>
          <t>внутр</t>
        </is>
      </c>
      <c r="Q920" s="179" t="inlineStr">
        <is>
          <t>внутр</t>
        </is>
      </c>
      <c r="R920" s="171" t="n"/>
      <c r="S920" s="171" t="n"/>
    </row>
    <row r="921" ht="18" customHeight="1">
      <c r="A921" s="45" t="inlineStr">
        <is>
          <t>работник 714</t>
        </is>
      </c>
      <c r="B921" s="178" t="inlineStr">
        <is>
          <t>Повар</t>
        </is>
      </c>
      <c r="C921" s="178" t="inlineStr"/>
      <c r="D921" s="179" t="n"/>
      <c r="E921" s="179" t="inlineStr">
        <is>
          <t>внутр</t>
        </is>
      </c>
      <c r="F921" s="179" t="n"/>
      <c r="G921" s="179" t="n"/>
      <c r="H921" s="179" t="n"/>
      <c r="I921" s="179" t="n"/>
      <c r="J921" s="179" t="n"/>
      <c r="K921" s="179" t="n"/>
      <c r="L921" s="179" t="n"/>
      <c r="M921" s="179" t="n"/>
      <c r="N921" s="179" t="n"/>
      <c r="O921" s="179" t="n"/>
      <c r="P921" s="179" t="n"/>
      <c r="Q921" s="179" t="inlineStr">
        <is>
          <t>внутр</t>
        </is>
      </c>
      <c r="R921" s="171" t="n"/>
      <c r="S921" s="171" t="n"/>
    </row>
    <row r="922" ht="18" customHeight="1">
      <c r="A922" s="45" t="inlineStr">
        <is>
          <t>работник 742</t>
        </is>
      </c>
      <c r="B922" s="178" t="inlineStr">
        <is>
          <t>Повар</t>
        </is>
      </c>
      <c r="C922" s="178" t="inlineStr"/>
      <c r="D922" s="179" t="n"/>
      <c r="E922" s="179" t="inlineStr">
        <is>
          <t>внутр</t>
        </is>
      </c>
      <c r="F922" s="179" t="n"/>
      <c r="G922" s="179" t="n"/>
      <c r="H922" s="179" t="n"/>
      <c r="I922" s="179" t="n"/>
      <c r="J922" s="179" t="n"/>
      <c r="K922" s="179" t="n"/>
      <c r="L922" s="179" t="n"/>
      <c r="M922" s="179" t="n"/>
      <c r="N922" s="179" t="n"/>
      <c r="O922" s="179" t="n"/>
      <c r="P922" s="179" t="n"/>
      <c r="Q922" s="179" t="inlineStr">
        <is>
          <t>внутр</t>
        </is>
      </c>
      <c r="R922" s="171" t="n"/>
      <c r="S922" s="171" t="n"/>
    </row>
    <row r="923" ht="18" customHeight="1">
      <c r="A923" s="45" t="inlineStr">
        <is>
          <t>работник 657</t>
        </is>
      </c>
      <c r="B923" s="178" t="inlineStr">
        <is>
          <t>Заместитель главного механика</t>
        </is>
      </c>
      <c r="C923" s="178" t="inlineStr"/>
      <c r="D923" s="179" t="n"/>
      <c r="E923" s="179" t="inlineStr">
        <is>
          <t>внутр</t>
        </is>
      </c>
      <c r="F923" s="179" t="n"/>
      <c r="G923" s="179" t="n"/>
      <c r="H923" s="179" t="n"/>
      <c r="I923" s="179" t="n"/>
      <c r="J923" s="179" t="n"/>
      <c r="K923" s="179" t="n"/>
      <c r="L923" s="179" t="n"/>
      <c r="M923" s="179" t="n"/>
      <c r="N923" s="179" t="n"/>
      <c r="O923" s="179" t="n"/>
      <c r="P923" s="179" t="n"/>
      <c r="Q923" s="179" t="inlineStr">
        <is>
          <t>внутр</t>
        </is>
      </c>
      <c r="R923" s="171" t="n"/>
      <c r="S923" s="171" t="n"/>
    </row>
    <row r="924" ht="18" customHeight="1">
      <c r="A924" s="45" t="inlineStr">
        <is>
          <t>работник 535</t>
        </is>
      </c>
      <c r="B924" s="178" t="inlineStr">
        <is>
          <t>Водитель автомобиля (категория D)</t>
        </is>
      </c>
      <c r="C924" s="178" t="inlineStr"/>
      <c r="D924" s="179" t="n"/>
      <c r="E924" s="179" t="inlineStr">
        <is>
          <t>внутр</t>
        </is>
      </c>
      <c r="F924" s="179" t="n"/>
      <c r="G924" s="179" t="n"/>
      <c r="H924" s="179" t="n"/>
      <c r="I924" s="179" t="n"/>
      <c r="J924" s="179" t="n"/>
      <c r="K924" s="179" t="n"/>
      <c r="L924" s="179" t="n"/>
      <c r="M924" s="179" t="n"/>
      <c r="N924" s="179" t="n"/>
      <c r="O924" s="179" t="n"/>
      <c r="P924" s="179" t="inlineStr">
        <is>
          <t>внутр</t>
        </is>
      </c>
      <c r="Q924" s="179" t="inlineStr">
        <is>
          <t>внутр</t>
        </is>
      </c>
      <c r="R924" s="171" t="n"/>
      <c r="S924" s="171" t="n"/>
    </row>
    <row r="925" ht="18" customHeight="1">
      <c r="A925" s="45" t="inlineStr">
        <is>
          <t>работник 177</t>
        </is>
      </c>
      <c r="B925" s="178" t="inlineStr">
        <is>
          <t>Слесарь по ремонту горно-шахтного оборудования | Cлесарь-сантехник</t>
        </is>
      </c>
      <c r="C925" s="178" t="inlineStr"/>
      <c r="D925" s="179" t="n"/>
      <c r="E925" s="179" t="inlineStr">
        <is>
          <t>внутр</t>
        </is>
      </c>
      <c r="F925" s="179" t="n"/>
      <c r="G925" s="179" t="n"/>
      <c r="H925" s="179" t="n"/>
      <c r="I925" s="179" t="n"/>
      <c r="J925" s="179" t="n"/>
      <c r="K925" s="179" t="n"/>
      <c r="L925" s="179" t="n"/>
      <c r="M925" s="179" t="n"/>
      <c r="N925" s="179" t="n"/>
      <c r="O925" s="179" t="n"/>
      <c r="P925" s="179" t="inlineStr">
        <is>
          <t>внутр</t>
        </is>
      </c>
      <c r="Q925" s="179" t="inlineStr">
        <is>
          <t>внутр</t>
        </is>
      </c>
      <c r="R925" s="171" t="n"/>
      <c r="S925" s="171" t="n"/>
    </row>
    <row r="926" ht="18" customHeight="1">
      <c r="A926" s="45" t="inlineStr">
        <is>
          <t>работник 178</t>
        </is>
      </c>
      <c r="B926" s="178" t="inlineStr">
        <is>
          <t>Машинист подземно-доставочной машины | Машинист погрузочно-доставочной машины (занятый на транспортировании горной массы в технологическом процессе)</t>
        </is>
      </c>
      <c r="C926" s="178" t="inlineStr"/>
      <c r="D926" s="179" t="n"/>
      <c r="E926" s="179" t="inlineStr">
        <is>
          <t>внутр</t>
        </is>
      </c>
      <c r="F926" s="179" t="n"/>
      <c r="G926" s="179" t="n"/>
      <c r="H926" s="179" t="n"/>
      <c r="I926" s="179" t="n"/>
      <c r="J926" s="179" t="n"/>
      <c r="K926" s="179" t="n"/>
      <c r="L926" s="179" t="n"/>
      <c r="M926" s="179" t="n"/>
      <c r="N926" s="179" t="n"/>
      <c r="O926" s="179" t="n"/>
      <c r="P926" s="179" t="inlineStr">
        <is>
          <t>внутр</t>
        </is>
      </c>
      <c r="Q926" s="179" t="inlineStr">
        <is>
          <t>внутр</t>
        </is>
      </c>
      <c r="R926" s="171" t="n"/>
      <c r="S926" s="171" t="n"/>
    </row>
    <row r="927" ht="18" customHeight="1">
      <c r="A927" s="45" t="inlineStr">
        <is>
          <t>работник 235</t>
        </is>
      </c>
      <c r="B927" s="178" t="inlineStr">
        <is>
          <t>Лаборант химического анализа</t>
        </is>
      </c>
      <c r="C927" s="178" t="inlineStr"/>
      <c r="D927" s="179" t="n"/>
      <c r="E927" s="179" t="inlineStr">
        <is>
          <t>внутр</t>
        </is>
      </c>
      <c r="F927" s="179" t="n"/>
      <c r="G927" s="179" t="n"/>
      <c r="H927" s="179" t="n"/>
      <c r="I927" s="179" t="n"/>
      <c r="J927" s="179" t="n"/>
      <c r="K927" s="179" t="n"/>
      <c r="L927" s="179" t="n"/>
      <c r="M927" s="179" t="n"/>
      <c r="N927" s="179" t="n"/>
      <c r="O927" s="179" t="n"/>
      <c r="P927" s="179" t="inlineStr">
        <is>
          <t>внутр</t>
        </is>
      </c>
      <c r="Q927" s="179" t="inlineStr">
        <is>
          <t>внутр</t>
        </is>
      </c>
      <c r="R927" s="171" t="n"/>
      <c r="S927" s="171" t="n"/>
    </row>
    <row r="928" ht="18" customHeight="1">
      <c r="A928" s="45" t="inlineStr">
        <is>
          <t>работник 556</t>
        </is>
      </c>
      <c r="B928" s="178" t="inlineStr">
        <is>
          <t>Электромонтер по ремонту и обслуживанию электрооборудования</t>
        </is>
      </c>
      <c r="C928" s="178" t="inlineStr"/>
      <c r="D928" s="179" t="n"/>
      <c r="E928" s="179" t="inlineStr">
        <is>
          <t>внутр</t>
        </is>
      </c>
      <c r="F928" s="179" t="n"/>
      <c r="G928" s="179" t="n"/>
      <c r="H928" s="179" t="n"/>
      <c r="I928" s="179" t="n"/>
      <c r="J928" s="179" t="n"/>
      <c r="K928" s="179" t="n"/>
      <c r="L928" s="179" t="n"/>
      <c r="M928" s="179" t="n"/>
      <c r="N928" s="179" t="n"/>
      <c r="O928" s="179" t="n"/>
      <c r="P928" s="179" t="n"/>
      <c r="Q928" s="179" t="inlineStr">
        <is>
          <t>внутр</t>
        </is>
      </c>
      <c r="R928" s="171" t="n"/>
      <c r="S928" s="171" t="n"/>
    </row>
    <row r="929" ht="18" customHeight="1">
      <c r="A929" s="45" t="inlineStr">
        <is>
          <t>работник 328</t>
        </is>
      </c>
      <c r="B929" s="178" t="inlineStr">
        <is>
          <t>Крепильщик</t>
        </is>
      </c>
      <c r="C929" s="178" t="inlineStr"/>
      <c r="D929" s="179" t="n"/>
      <c r="E929" s="179" t="inlineStr">
        <is>
          <t>внутр</t>
        </is>
      </c>
      <c r="F929" s="179" t="n"/>
      <c r="G929" s="179" t="n"/>
      <c r="H929" s="179" t="n"/>
      <c r="I929" s="179" t="n"/>
      <c r="J929" s="179" t="n"/>
      <c r="K929" s="179" t="n"/>
      <c r="L929" s="179" t="n"/>
      <c r="M929" s="179" t="n"/>
      <c r="N929" s="179" t="n"/>
      <c r="O929" s="179" t="n"/>
      <c r="P929" s="179" t="inlineStr">
        <is>
          <t>внутр</t>
        </is>
      </c>
      <c r="Q929" s="179" t="inlineStr">
        <is>
          <t>внутр</t>
        </is>
      </c>
      <c r="R929" s="171" t="n"/>
      <c r="S929" s="171" t="n"/>
    </row>
    <row r="930" ht="18" customHeight="1">
      <c r="A930" s="45" t="inlineStr">
        <is>
          <t>работник 179</t>
        </is>
      </c>
      <c r="B930" s="178" t="inlineStr">
        <is>
          <t>Проходчик (с исполнением обязанностей взрывника)</t>
        </is>
      </c>
      <c r="C930" s="178" t="inlineStr"/>
      <c r="D930" s="179" t="n"/>
      <c r="E930" s="179" t="inlineStr">
        <is>
          <t>внутр</t>
        </is>
      </c>
      <c r="F930" s="179" t="n"/>
      <c r="G930" s="179" t="n"/>
      <c r="H930" s="179" t="n"/>
      <c r="I930" s="179" t="n"/>
      <c r="J930" s="179" t="n"/>
      <c r="K930" s="179" t="n"/>
      <c r="L930" s="179" t="n"/>
      <c r="M930" s="179" t="n"/>
      <c r="N930" s="179" t="n"/>
      <c r="O930" s="179" t="n"/>
      <c r="P930" s="179" t="inlineStr">
        <is>
          <t>внутр</t>
        </is>
      </c>
      <c r="Q930" s="179" t="inlineStr">
        <is>
          <t>внутр</t>
        </is>
      </c>
      <c r="R930" s="171" t="n"/>
      <c r="S930" s="171" t="n"/>
    </row>
    <row r="931" ht="18" customHeight="1">
      <c r="A931" s="45" t="inlineStr">
        <is>
          <t>работник 180</t>
        </is>
      </c>
      <c r="B931" s="178" t="inlineStr">
        <is>
          <t>Электрогазосварщик | Электрогазосварщик (занятый на резке и ручной сварке)</t>
        </is>
      </c>
      <c r="C931" s="178" t="inlineStr"/>
      <c r="D931" s="179" t="n"/>
      <c r="E931" s="179" t="inlineStr">
        <is>
          <t>внутр</t>
        </is>
      </c>
      <c r="F931" s="179" t="n"/>
      <c r="G931" s="179" t="inlineStr">
        <is>
          <t>внутр</t>
        </is>
      </c>
      <c r="H931" s="179" t="n"/>
      <c r="I931" s="179" t="n"/>
      <c r="J931" s="179" t="n"/>
      <c r="K931" s="179" t="n"/>
      <c r="L931" s="179" t="n"/>
      <c r="M931" s="179" t="n"/>
      <c r="N931" s="179" t="n"/>
      <c r="O931" s="179" t="n"/>
      <c r="P931" s="179" t="inlineStr">
        <is>
          <t>внутр</t>
        </is>
      </c>
      <c r="Q931" s="179" t="inlineStr">
        <is>
          <t>внутр</t>
        </is>
      </c>
      <c r="R931" s="171" t="n"/>
      <c r="S931" s="171" t="n"/>
    </row>
    <row r="932" ht="18" customHeight="1">
      <c r="A932" s="45" t="inlineStr">
        <is>
          <t>работник 885</t>
        </is>
      </c>
      <c r="B932" s="178" t="inlineStr">
        <is>
          <t>Машинист погрузочно-доставочной машины</t>
        </is>
      </c>
      <c r="C932" s="178" t="inlineStr"/>
      <c r="D932" s="179" t="n"/>
      <c r="E932" s="179" t="inlineStr">
        <is>
          <t>внутр</t>
        </is>
      </c>
      <c r="F932" s="179" t="n"/>
      <c r="G932" s="179" t="n"/>
      <c r="H932" s="179" t="n"/>
      <c r="I932" s="179" t="n"/>
      <c r="J932" s="179" t="n"/>
      <c r="K932" s="179" t="n"/>
      <c r="L932" s="179" t="n"/>
      <c r="M932" s="179" t="n"/>
      <c r="N932" s="179" t="n"/>
      <c r="O932" s="179" t="n"/>
      <c r="P932" s="179" t="inlineStr">
        <is>
          <t>внутр</t>
        </is>
      </c>
      <c r="Q932" s="179" t="inlineStr">
        <is>
          <t>внутр</t>
        </is>
      </c>
      <c r="R932" s="171" t="n"/>
      <c r="S932" s="171" t="n"/>
    </row>
    <row r="933" ht="18" customHeight="1">
      <c r="A933" s="45" t="inlineStr">
        <is>
          <t>работник 88</t>
        </is>
      </c>
      <c r="B933" s="178" t="inlineStr">
        <is>
          <t>Машинист двигателей внутрениго сгорания</t>
        </is>
      </c>
      <c r="C933" s="178" t="inlineStr"/>
      <c r="D933" s="179" t="n"/>
      <c r="E933" s="179" t="inlineStr">
        <is>
          <t>внутр</t>
        </is>
      </c>
      <c r="F933" s="179" t="n"/>
      <c r="G933" s="179" t="n"/>
      <c r="H933" s="179" t="n"/>
      <c r="I933" s="179" t="n"/>
      <c r="J933" s="179" t="n"/>
      <c r="K933" s="179" t="n"/>
      <c r="L933" s="179" t="n"/>
      <c r="M933" s="179" t="n"/>
      <c r="N933" s="179" t="n"/>
      <c r="O933" s="179" t="n"/>
      <c r="P933" s="179" t="inlineStr">
        <is>
          <t>внутр</t>
        </is>
      </c>
      <c r="Q933" s="179" t="inlineStr">
        <is>
          <t>внутр</t>
        </is>
      </c>
      <c r="R933" s="171" t="n"/>
      <c r="S933" s="171" t="n"/>
    </row>
    <row r="934" ht="18" customHeight="1">
      <c r="A934" s="45" t="inlineStr">
        <is>
          <t>работник 119</t>
        </is>
      </c>
      <c r="B934" s="178" t="inlineStr">
        <is>
          <t>Пробоотборщик | Контролер продукции обогащения</t>
        </is>
      </c>
      <c r="C934" s="178" t="inlineStr"/>
      <c r="D934" s="179" t="n"/>
      <c r="E934" s="179" t="inlineStr">
        <is>
          <t>внутр</t>
        </is>
      </c>
      <c r="F934" s="179" t="n"/>
      <c r="G934" s="179" t="n"/>
      <c r="H934" s="179" t="n"/>
      <c r="I934" s="179" t="n"/>
      <c r="J934" s="179" t="n"/>
      <c r="K934" s="179" t="n"/>
      <c r="L934" s="179" t="n"/>
      <c r="M934" s="179" t="n"/>
      <c r="N934" s="179" t="n"/>
      <c r="O934" s="179" t="n"/>
      <c r="P934" s="179" t="inlineStr">
        <is>
          <t>внутр</t>
        </is>
      </c>
      <c r="Q934" s="179" t="inlineStr">
        <is>
          <t>внутр</t>
        </is>
      </c>
      <c r="R934" s="171" t="n"/>
      <c r="S934" s="171" t="n"/>
    </row>
    <row r="935" ht="22" customHeight="1">
      <c r="A935" s="173" t="inlineStr">
        <is>
          <t>Итого</t>
        </is>
      </c>
      <c r="B935" s="160">
        <f>COUNTA(A3:A934)</f>
        <v/>
      </c>
      <c r="C935" s="160" t="n"/>
      <c r="D935" s="160" t="n"/>
      <c r="E935" s="160" t="n"/>
      <c r="F935" s="160" t="n"/>
      <c r="G935" s="160" t="n"/>
      <c r="H935" s="160" t="n"/>
      <c r="I935" s="160" t="n"/>
      <c r="J935" s="160" t="n"/>
      <c r="K935" s="160" t="n"/>
      <c r="L935" s="160" t="n"/>
      <c r="M935" s="160" t="n"/>
      <c r="N935" s="160" t="n"/>
      <c r="O935" s="160" t="n"/>
      <c r="P935" s="160" t="n"/>
      <c r="Q935" s="160" t="n"/>
      <c r="R935" s="160">
        <f>SUM(R3:R934)</f>
        <v/>
      </c>
      <c r="S935" s="160">
        <f>SUM(S3:S934)</f>
        <v/>
      </c>
    </row>
    <row r="937">
      <c r="A937" s="182" t="inlineStr">
        <is>
          <t>Работников с красной отметкой</t>
        </is>
      </c>
      <c r="B937" s="183">
        <f>COUNTIF(R3:R934,"&gt;0")</f>
        <v/>
      </c>
    </row>
    <row r="938">
      <c r="A938" s="182" t="inlineStr">
        <is>
          <t>Работников с зелёной отметкой</t>
        </is>
      </c>
      <c r="B938" s="183">
        <f>COUNTIF(S3:S934,"&gt;0")</f>
        <v/>
      </c>
    </row>
    <row r="940" ht="24" customHeight="1">
      <c r="A940" s="44" t="inlineStr">
        <is>
          <t>Итого по программам</t>
        </is>
      </c>
    </row>
    <row r="941" ht="32" customHeight="1">
      <c r="A941" s="135" t="inlineStr">
        <is>
          <t>Программа</t>
        </is>
      </c>
      <c r="B941" s="135" t="inlineStr">
        <is>
          <t>Красных: учились внутри, нужно вовне</t>
        </is>
      </c>
      <c r="C941" s="135" t="inlineStr">
        <is>
          <t>Зелёных: учились вовне, можно было внутри</t>
        </is>
      </c>
    </row>
    <row r="942" ht="20" customHeight="1">
      <c r="A942" s="45" t="inlineStr">
        <is>
          <t>46а</t>
        </is>
      </c>
      <c r="B942" s="171" t="n">
        <v>1</v>
      </c>
      <c r="C942" s="171" t="n">
        <v>6</v>
      </c>
    </row>
    <row r="943" ht="20" customHeight="1">
      <c r="A943" s="45" t="inlineStr">
        <is>
          <t>46б</t>
        </is>
      </c>
      <c r="B943" s="171" t="n">
        <v>9</v>
      </c>
      <c r="C943" s="171" t="n">
        <v>6</v>
      </c>
    </row>
    <row r="944" ht="20" customHeight="1">
      <c r="A944" s="45" t="inlineStr">
        <is>
          <t>Высота</t>
        </is>
      </c>
      <c r="B944" s="171" t="n"/>
      <c r="C944" s="171" t="n"/>
    </row>
    <row r="945" ht="20" customHeight="1">
      <c r="A945" s="45" t="inlineStr">
        <is>
          <t>Огневые</t>
        </is>
      </c>
      <c r="B945" s="171" t="n">
        <v>2</v>
      </c>
      <c r="C945" s="171" t="n"/>
    </row>
    <row r="946" ht="20" customHeight="1">
      <c r="A946" s="45" t="inlineStr">
        <is>
          <t>ОЗП</t>
        </is>
      </c>
      <c r="B946" s="171" t="n"/>
      <c r="C946" s="171" t="n"/>
    </row>
    <row r="947" ht="20" customHeight="1">
      <c r="A947" s="45" t="inlineStr">
        <is>
          <t>ПС</t>
        </is>
      </c>
      <c r="B947" s="171" t="n"/>
      <c r="C947" s="171" t="n"/>
    </row>
    <row r="948" ht="20" customHeight="1">
      <c r="A948" s="45" t="inlineStr">
        <is>
          <t>Сосуды</t>
        </is>
      </c>
      <c r="B948" s="171" t="n"/>
      <c r="C948" s="171" t="n"/>
    </row>
    <row r="949" ht="20" customHeight="1">
      <c r="A949" s="45" t="inlineStr">
        <is>
          <t>Оборуд.</t>
        </is>
      </c>
      <c r="B949" s="171" t="n"/>
      <c r="C949" s="171" t="n"/>
    </row>
    <row r="950" ht="20" customHeight="1">
      <c r="A950" s="45" t="inlineStr">
        <is>
          <t>Электро</t>
        </is>
      </c>
      <c r="B950" s="171" t="n"/>
      <c r="C950" s="171" t="n"/>
    </row>
    <row r="951" ht="20" customHeight="1">
      <c r="A951" s="45" t="inlineStr">
        <is>
          <t>Стройка</t>
        </is>
      </c>
      <c r="B951" s="171" t="n"/>
      <c r="C951" s="171" t="n"/>
    </row>
    <row r="952" ht="20" customHeight="1">
      <c r="A952" s="45" t="inlineStr">
        <is>
          <t>Здания</t>
        </is>
      </c>
      <c r="B952" s="171" t="n"/>
      <c r="C952" s="171" t="n"/>
    </row>
    <row r="953" ht="20" customHeight="1">
      <c r="A953" s="45" t="inlineStr">
        <is>
          <t>Земля</t>
        </is>
      </c>
      <c r="B953" s="171" t="n"/>
      <c r="C953" s="171" t="n"/>
    </row>
    <row r="954" ht="20" customHeight="1">
      <c r="A954" s="45" t="inlineStr">
        <is>
          <t>Первая помощь</t>
        </is>
      </c>
      <c r="B954" s="171" t="n"/>
      <c r="C954" s="171" t="n">
        <v>14</v>
      </c>
    </row>
    <row r="955" ht="20" customHeight="1">
      <c r="A955" s="45" t="inlineStr">
        <is>
          <t>СИЗ</t>
        </is>
      </c>
      <c r="B955" s="171" t="n"/>
      <c r="C955" s="171" t="n">
        <v>14</v>
      </c>
    </row>
    <row r="956" ht="22" customHeight="1">
      <c r="A956" s="173" t="inlineStr">
        <is>
          <t>Итого</t>
        </is>
      </c>
      <c r="B956" s="160">
        <f>SUM(B942:B955)</f>
        <v/>
      </c>
      <c r="C956" s="160">
        <f>SUM(C942:C955)</f>
        <v/>
      </c>
    </row>
  </sheetData>
  <autoFilter ref="A2:S934"/>
  <mergeCells count="2">
    <mergeCell ref="A940:C940"/>
    <mergeCell ref="A1:S1"/>
  </mergeCells>
  <pageMargins left="0.4" right="0.4" top="0.5" bottom="0.5"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D97"/>
  <sheetViews>
    <sheetView zoomScale="110" workbookViewId="0">
      <pane ySplit="3" topLeftCell="A4" activePane="bottomLeft" state="frozen"/>
      <selection pane="bottomLeft" activeCell="A1" sqref="A1"/>
    </sheetView>
  </sheetViews>
  <sheetFormatPr baseColWidth="8" defaultRowHeight="15"/>
  <cols>
    <col width="62" customWidth="1" min="1" max="1"/>
    <col width="22" customWidth="1" min="2" max="2"/>
    <col width="52" customWidth="1" min="3" max="3"/>
    <col width="20" customWidth="1" min="4" max="4"/>
  </cols>
  <sheetData>
    <row r="1" ht="26" customHeight="1">
      <c r="A1" s="184" t="inlineStr">
        <is>
          <t>Итог</t>
        </is>
      </c>
    </row>
    <row r="2" ht="58" customHeight="1">
      <c r="A2" s="163" t="inlineStr">
        <is>
          <t>Анализ выполнен на базе данных реестра обученных лиц, без учёта текучки персонала. Сводка по реестру. Числа — формулы со вкладок «Исходные данные», «Профессии», «Недостаток и избыток обучения», «Повторное обучение и просрочка» и «Распределение внешний внутр УЦ». Назначения — это записи реестра.</t>
        </is>
      </c>
    </row>
    <row r="4" ht="22" customHeight="1">
      <c r="A4" s="185" t="inlineStr">
        <is>
          <t>Общие сведения</t>
        </is>
      </c>
    </row>
    <row r="5" ht="30" customHeight="1">
      <c r="A5" s="135" t="inlineStr">
        <is>
          <t>Показатель</t>
        </is>
      </c>
      <c r="B5" s="135" t="inlineStr">
        <is>
          <t>Количество</t>
        </is>
      </c>
    </row>
    <row r="6" ht="20" customHeight="1">
      <c r="A6" s="45" t="inlineStr">
        <is>
          <t>Уникальных работников</t>
        </is>
      </c>
      <c r="B6" s="171">
        <f>'Сопоставление ФИО'!B935</f>
        <v/>
      </c>
    </row>
    <row r="7" ht="20" customHeight="1">
      <c r="A7" s="45" t="inlineStr">
        <is>
          <t>Уникальных профессий</t>
        </is>
      </c>
      <c r="B7" s="171">
        <f>COUNTA(Профессии!A3:A142)</f>
        <v/>
      </c>
    </row>
    <row r="8" ht="20" customHeight="1">
      <c r="A8" s="45" t="inlineStr">
        <is>
          <t>Назначений</t>
        </is>
      </c>
      <c r="B8" s="171">
        <f>Профессии!D143</f>
        <v/>
      </c>
    </row>
    <row r="9" ht="20" customHeight="1">
      <c r="A9" s="45" t="inlineStr">
        <is>
          <t>Программ обучения</t>
        </is>
      </c>
      <c r="B9" s="171">
        <f>SUMPRODUCT(('Исходные данные'!K2:K3565&lt;&gt;"")/COUNTIF('Исходные данные'!K2:K3565,'Исходные данные'!K2:K3565&amp;""))</f>
        <v/>
      </c>
    </row>
    <row r="10" ht="20" customHeight="1">
      <c r="A10" s="45" t="inlineStr">
        <is>
          <t>Обучений во внешнем учебном центре</t>
        </is>
      </c>
      <c r="B10" s="171">
        <f>COUNTIF('Исходные данные'!H2:H3565,"*Перспектива*")</f>
        <v/>
      </c>
    </row>
    <row r="11" ht="20" customHeight="1">
      <c r="A11" s="45" t="inlineStr">
        <is>
          <t>Обучений внутри, у работодателя</t>
        </is>
      </c>
      <c r="B11" s="171">
        <f>COUNTIF('Исходные данные'!H2:H3565,"*Амур Золото*")</f>
        <v/>
      </c>
    </row>
    <row r="12" ht="22" customHeight="1">
      <c r="A12" s="173" t="inlineStr">
        <is>
          <t>Внешние и внутренние вместе</t>
        </is>
      </c>
      <c r="B12" s="160">
        <f>B10+B11</f>
        <v/>
      </c>
    </row>
    <row r="14" ht="22" customHeight="1">
      <c r="A14" s="185" t="inlineStr">
        <is>
          <t>Недостаток обучения по программам в количестве человеко-программ (в отношении 341 работника)</t>
        </is>
      </c>
    </row>
    <row r="15" ht="30" customHeight="1">
      <c r="A15" s="135" t="inlineStr">
        <is>
          <t>Программа</t>
        </is>
      </c>
      <c r="B15" s="135" t="inlineStr">
        <is>
          <t>Недостаток</t>
        </is>
      </c>
    </row>
    <row r="16" ht="20" customHeight="1">
      <c r="A16" s="45">
        <f>'Недостаток и избыток обучения'!C3</f>
        <v/>
      </c>
      <c r="B16" s="171">
        <f>'Недостаток и избыток обучения'!C96</f>
        <v/>
      </c>
    </row>
    <row r="17" ht="20" customHeight="1">
      <c r="A17" s="45">
        <f>'Недостаток и избыток обучения'!D3</f>
        <v/>
      </c>
      <c r="B17" s="171">
        <f>'Недостаток и избыток обучения'!D96</f>
        <v/>
      </c>
    </row>
    <row r="18" ht="20" customHeight="1">
      <c r="A18" s="45">
        <f>'Недостаток и избыток обучения'!E3</f>
        <v/>
      </c>
      <c r="B18" s="171">
        <f>'Недостаток и избыток обучения'!E96</f>
        <v/>
      </c>
    </row>
    <row r="19" ht="20" customHeight="1">
      <c r="A19" s="45">
        <f>'Недостаток и избыток обучения'!F3</f>
        <v/>
      </c>
      <c r="B19" s="171">
        <f>'Недостаток и избыток обучения'!F96</f>
        <v/>
      </c>
    </row>
    <row r="20" ht="20" customHeight="1">
      <c r="A20" s="45">
        <f>'Недостаток и избыток обучения'!G3</f>
        <v/>
      </c>
      <c r="B20" s="171">
        <f>'Недостаток и избыток обучения'!G96</f>
        <v/>
      </c>
    </row>
    <row r="21" ht="20" customHeight="1">
      <c r="A21" s="45">
        <f>'Недостаток и избыток обучения'!H3</f>
        <v/>
      </c>
      <c r="B21" s="171">
        <f>'Недостаток и избыток обучения'!H96</f>
        <v/>
      </c>
    </row>
    <row r="22" ht="20" customHeight="1">
      <c r="A22" s="45">
        <f>'Недостаток и избыток обучения'!I3</f>
        <v/>
      </c>
      <c r="B22" s="171">
        <f>'Недостаток и избыток обучения'!I96</f>
        <v/>
      </c>
    </row>
    <row r="23" ht="20" customHeight="1">
      <c r="A23" s="45">
        <f>'Недостаток и избыток обучения'!J3</f>
        <v/>
      </c>
      <c r="B23" s="171">
        <f>'Недостаток и избыток обучения'!J96</f>
        <v/>
      </c>
    </row>
    <row r="24" ht="20" customHeight="1">
      <c r="A24" s="45">
        <f>'Недостаток и избыток обучения'!K3</f>
        <v/>
      </c>
      <c r="B24" s="171">
        <f>'Недостаток и избыток обучения'!K96</f>
        <v/>
      </c>
    </row>
    <row r="25" ht="20" customHeight="1">
      <c r="A25" s="45">
        <f>'Недостаток и избыток обучения'!L3</f>
        <v/>
      </c>
      <c r="B25" s="171">
        <f>'Недостаток и избыток обучения'!L96</f>
        <v/>
      </c>
    </row>
    <row r="26" ht="20" customHeight="1">
      <c r="A26" s="45">
        <f>'Недостаток и избыток обучения'!M3</f>
        <v/>
      </c>
      <c r="B26" s="171">
        <f>'Недостаток и избыток обучения'!M96</f>
        <v/>
      </c>
    </row>
    <row r="27" ht="20" customHeight="1">
      <c r="A27" s="45">
        <f>'Недостаток и избыток обучения'!N3</f>
        <v/>
      </c>
      <c r="B27" s="171">
        <f>'Недостаток и избыток обучения'!N96</f>
        <v/>
      </c>
    </row>
    <row r="28" ht="20" customHeight="1">
      <c r="A28" s="45">
        <f>'Недостаток и избыток обучения'!O3</f>
        <v/>
      </c>
      <c r="B28" s="171">
        <f>'Недостаток и избыток обучения'!O96</f>
        <v/>
      </c>
    </row>
    <row r="29" ht="20" customHeight="1">
      <c r="A29" s="45">
        <f>'Недостаток и избыток обучения'!P3</f>
        <v/>
      </c>
      <c r="B29" s="171">
        <f>'Недостаток и избыток обучения'!P96</f>
        <v/>
      </c>
    </row>
    <row r="30" ht="20" customHeight="1">
      <c r="A30" s="173">
        <f>'Недостаток и избыток обучения'!Q3</f>
        <v/>
      </c>
      <c r="B30" s="160">
        <f>'Недостаток и избыток обучения'!Q96</f>
        <v/>
      </c>
    </row>
    <row r="32" ht="22" customHeight="1">
      <c r="A32" s="185" t="inlineStr">
        <is>
          <t>Избыток обучения по программам в количестве человеко-программ (в отношении 102 работников)</t>
        </is>
      </c>
    </row>
    <row r="33" ht="30" customHeight="1">
      <c r="A33" s="135" t="inlineStr">
        <is>
          <t>Программа</t>
        </is>
      </c>
      <c r="B33" s="135" t="inlineStr">
        <is>
          <t>Избыток</t>
        </is>
      </c>
    </row>
    <row r="34" ht="20" customHeight="1">
      <c r="A34" s="45">
        <f>'Недостаток и избыток обучения'!C100</f>
        <v/>
      </c>
      <c r="B34" s="171">
        <f>'Недостаток и избыток обучения'!C124</f>
        <v/>
      </c>
    </row>
    <row r="35" ht="20" customHeight="1">
      <c r="A35" s="45">
        <f>'Недостаток и избыток обучения'!D100</f>
        <v/>
      </c>
      <c r="B35" s="171">
        <f>'Недостаток и избыток обучения'!D124</f>
        <v/>
      </c>
    </row>
    <row r="36" ht="20" customHeight="1">
      <c r="A36" s="45">
        <f>'Недостаток и избыток обучения'!E100</f>
        <v/>
      </c>
      <c r="B36" s="171">
        <f>'Недостаток и избыток обучения'!E124</f>
        <v/>
      </c>
    </row>
    <row r="37" ht="20" customHeight="1">
      <c r="A37" s="45">
        <f>'Недостаток и избыток обучения'!F100</f>
        <v/>
      </c>
      <c r="B37" s="171">
        <f>'Недостаток и избыток обучения'!F124</f>
        <v/>
      </c>
    </row>
    <row r="38" ht="20" customHeight="1">
      <c r="A38" s="173">
        <f>'Недостаток и избыток обучения'!G100</f>
        <v/>
      </c>
      <c r="B38" s="160">
        <f>'Недостаток и избыток обучения'!G124</f>
        <v/>
      </c>
    </row>
    <row r="40" ht="22" customHeight="1">
      <c r="A40" s="185" t="inlineStr">
        <is>
          <t>Просроченное обучение</t>
        </is>
      </c>
    </row>
    <row r="41" ht="30" customHeight="1">
      <c r="A41" s="135" t="inlineStr">
        <is>
          <t>Показатель</t>
        </is>
      </c>
      <c r="B41" s="135" t="inlineStr">
        <is>
          <t>Значение</t>
        </is>
      </c>
    </row>
    <row r="42" ht="20" customHeight="1">
      <c r="A42" s="45" t="inlineStr">
        <is>
          <t>Случаев</t>
        </is>
      </c>
      <c r="B42" s="171">
        <f>'Повторное обучение и просрочка'!B453</f>
        <v/>
      </c>
    </row>
    <row r="43" ht="20" customHeight="1">
      <c r="A43" s="45" t="inlineStr">
        <is>
          <t>Уникальных работников</t>
        </is>
      </c>
      <c r="B43" s="171">
        <f>'Повторное обучение и просрочка'!B454</f>
        <v/>
      </c>
    </row>
    <row r="45" ht="22" customHeight="1">
      <c r="A45" s="185" t="inlineStr">
        <is>
          <t>Избыток повторного обучения</t>
        </is>
      </c>
    </row>
    <row r="46" ht="30" customHeight="1">
      <c r="A46" s="135" t="inlineStr">
        <is>
          <t>Показатель</t>
        </is>
      </c>
      <c r="B46" s="135" t="inlineStr">
        <is>
          <t>Значение</t>
        </is>
      </c>
    </row>
    <row r="47" ht="20" customHeight="1">
      <c r="A47" s="45" t="inlineStr">
        <is>
          <t>Случаев</t>
        </is>
      </c>
      <c r="B47" s="171">
        <f>'Повторное обучение и просрочка'!B957</f>
        <v/>
      </c>
    </row>
    <row r="48" ht="20" customHeight="1">
      <c r="A48" s="45" t="inlineStr">
        <is>
          <t>Уникальных работников</t>
        </is>
      </c>
      <c r="B48" s="171">
        <f>'Повторное обучение и просрочка'!B958</f>
        <v/>
      </c>
    </row>
    <row r="49" ht="20" customHeight="1">
      <c r="A49" s="45" t="inlineStr">
        <is>
          <t>Нужно обучений</t>
        </is>
      </c>
      <c r="B49" s="171">
        <f>'Повторное обучение и просрочка'!E957</f>
        <v/>
      </c>
    </row>
    <row r="50" ht="20" customHeight="1">
      <c r="A50" s="45" t="inlineStr">
        <is>
          <t>Фактически обучений</t>
        </is>
      </c>
      <c r="B50" s="171">
        <f>'Повторное обучение и просрочка'!F957</f>
        <v/>
      </c>
    </row>
    <row r="51" ht="20" customHeight="1">
      <c r="A51" s="45" t="inlineStr">
        <is>
          <t>Лишних обучений</t>
        </is>
      </c>
      <c r="B51" s="171">
        <f>'Повторное обучение и просрочка'!G957</f>
        <v/>
      </c>
    </row>
    <row r="53" ht="22" customHeight="1">
      <c r="A53" s="185" t="inlineStr">
        <is>
          <t>Просрочено по программам</t>
        </is>
      </c>
    </row>
    <row r="54" ht="30" customHeight="1">
      <c r="A54" s="135" t="inlineStr">
        <is>
          <t>Программа</t>
        </is>
      </c>
      <c r="B54" s="135" t="inlineStr">
        <is>
          <t>Норма</t>
        </is>
      </c>
      <c r="C54" s="135" t="inlineStr">
        <is>
          <t>Случаев</t>
        </is>
      </c>
    </row>
    <row r="55" ht="20" customHeight="1">
      <c r="A55" s="45">
        <f>'Повторное обучение и просрочка'!A961</f>
        <v/>
      </c>
      <c r="B55" s="170">
        <f>'Повторное обучение и просрочка'!B961</f>
        <v/>
      </c>
      <c r="C55" s="171">
        <f>'Повторное обучение и просрочка'!C961</f>
        <v/>
      </c>
    </row>
    <row r="56" ht="20" customHeight="1">
      <c r="A56" s="45">
        <f>'Повторное обучение и просрочка'!A962</f>
        <v/>
      </c>
      <c r="B56" s="170">
        <f>'Повторное обучение и просрочка'!B962</f>
        <v/>
      </c>
      <c r="C56" s="171">
        <f>'Повторное обучение и просрочка'!C962</f>
        <v/>
      </c>
    </row>
    <row r="57" ht="20" customHeight="1">
      <c r="A57" s="45">
        <f>'Повторное обучение и просрочка'!A963</f>
        <v/>
      </c>
      <c r="B57" s="170">
        <f>'Повторное обучение и просрочка'!B963</f>
        <v/>
      </c>
      <c r="C57" s="171">
        <f>'Повторное обучение и просрочка'!C963</f>
        <v/>
      </c>
    </row>
    <row r="58" ht="20" customHeight="1">
      <c r="A58" s="45">
        <f>'Повторное обучение и просрочка'!A964</f>
        <v/>
      </c>
      <c r="B58" s="170">
        <f>'Повторное обучение и просрочка'!B964</f>
        <v/>
      </c>
      <c r="C58" s="171">
        <f>'Повторное обучение и просрочка'!C964</f>
        <v/>
      </c>
    </row>
    <row r="59" ht="20" customHeight="1">
      <c r="A59" s="45">
        <f>'Повторное обучение и просрочка'!A965</f>
        <v/>
      </c>
      <c r="B59" s="170">
        <f>'Повторное обучение и просрочка'!B965</f>
        <v/>
      </c>
      <c r="C59" s="171">
        <f>'Повторное обучение и просрочка'!C965</f>
        <v/>
      </c>
    </row>
    <row r="60" ht="20" customHeight="1">
      <c r="A60" s="45">
        <f>'Повторное обучение и просрочка'!A966</f>
        <v/>
      </c>
      <c r="B60" s="170">
        <f>'Повторное обучение и просрочка'!B966</f>
        <v/>
      </c>
      <c r="C60" s="171">
        <f>'Повторное обучение и просрочка'!C966</f>
        <v/>
      </c>
    </row>
    <row r="61" ht="20" customHeight="1">
      <c r="A61" s="45">
        <f>'Повторное обучение и просрочка'!A967</f>
        <v/>
      </c>
      <c r="B61" s="170">
        <f>'Повторное обучение и просрочка'!B967</f>
        <v/>
      </c>
      <c r="C61" s="171">
        <f>'Повторное обучение и просрочка'!C967</f>
        <v/>
      </c>
    </row>
    <row r="62" ht="20" customHeight="1">
      <c r="A62" s="45">
        <f>'Повторное обучение и просрочка'!A968</f>
        <v/>
      </c>
      <c r="B62" s="170">
        <f>'Повторное обучение и просрочка'!B968</f>
        <v/>
      </c>
      <c r="C62" s="171">
        <f>'Повторное обучение и просрочка'!C968</f>
        <v/>
      </c>
    </row>
    <row r="63" ht="20" customHeight="1">
      <c r="A63" s="45">
        <f>'Повторное обучение и просрочка'!A969</f>
        <v/>
      </c>
      <c r="B63" s="170">
        <f>'Повторное обучение и просрочка'!B969</f>
        <v/>
      </c>
      <c r="C63" s="171">
        <f>'Повторное обучение и просрочка'!C969</f>
        <v/>
      </c>
    </row>
    <row r="64" ht="20" customHeight="1">
      <c r="A64" s="45">
        <f>'Повторное обучение и просрочка'!A970</f>
        <v/>
      </c>
      <c r="B64" s="170">
        <f>'Повторное обучение и просрочка'!B970</f>
        <v/>
      </c>
      <c r="C64" s="171">
        <f>'Повторное обучение и просрочка'!C970</f>
        <v/>
      </c>
    </row>
    <row r="65" ht="20" customHeight="1">
      <c r="A65" s="45">
        <f>'Повторное обучение и просрочка'!A971</f>
        <v/>
      </c>
      <c r="B65" s="170">
        <f>'Повторное обучение и просрочка'!B971</f>
        <v/>
      </c>
      <c r="C65" s="171">
        <f>'Повторное обучение и просрочка'!C971</f>
        <v/>
      </c>
    </row>
    <row r="66" ht="22" customHeight="1">
      <c r="A66" s="173">
        <f>'Повторное обучение и просрочка'!A972</f>
        <v/>
      </c>
      <c r="B66" s="160" t="n"/>
      <c r="C66" s="160">
        <f>'Повторное обучение и просрочка'!C972</f>
        <v/>
      </c>
    </row>
    <row r="68" ht="22" customHeight="1">
      <c r="A68" s="185" t="inlineStr">
        <is>
          <t>Избыток повторного обучения по программам</t>
        </is>
      </c>
    </row>
    <row r="69" ht="30" customHeight="1">
      <c r="A69" s="135" t="inlineStr">
        <is>
          <t>Программа</t>
        </is>
      </c>
      <c r="B69" s="135" t="inlineStr">
        <is>
          <t>Норма</t>
        </is>
      </c>
      <c r="C69" s="135" t="inlineStr">
        <is>
          <t>Случаев</t>
        </is>
      </c>
      <c r="D69" s="135" t="inlineStr">
        <is>
          <t>Лишних обучений</t>
        </is>
      </c>
    </row>
    <row r="70" ht="20" customHeight="1">
      <c r="A70" s="45">
        <f>'Повторное обучение и просрочка'!A976</f>
        <v/>
      </c>
      <c r="B70" s="170">
        <f>'Повторное обучение и просрочка'!B976</f>
        <v/>
      </c>
      <c r="C70" s="171">
        <f>'Повторное обучение и просрочка'!C976</f>
        <v/>
      </c>
      <c r="D70" s="171">
        <f>'Повторное обучение и просрочка'!D976</f>
        <v/>
      </c>
    </row>
    <row r="71" ht="20" customHeight="1">
      <c r="A71" s="45">
        <f>'Повторное обучение и просрочка'!A977</f>
        <v/>
      </c>
      <c r="B71" s="170">
        <f>'Повторное обучение и просрочка'!B977</f>
        <v/>
      </c>
      <c r="C71" s="171">
        <f>'Повторное обучение и просрочка'!C977</f>
        <v/>
      </c>
      <c r="D71" s="171">
        <f>'Повторное обучение и просрочка'!D977</f>
        <v/>
      </c>
    </row>
    <row r="72" ht="20" customHeight="1">
      <c r="A72" s="45">
        <f>'Повторное обучение и просрочка'!A978</f>
        <v/>
      </c>
      <c r="B72" s="170">
        <f>'Повторное обучение и просрочка'!B978</f>
        <v/>
      </c>
      <c r="C72" s="171">
        <f>'Повторное обучение и просрочка'!C978</f>
        <v/>
      </c>
      <c r="D72" s="171">
        <f>'Повторное обучение и просрочка'!D978</f>
        <v/>
      </c>
    </row>
    <row r="73" ht="20" customHeight="1">
      <c r="A73" s="45">
        <f>'Повторное обучение и просрочка'!A979</f>
        <v/>
      </c>
      <c r="B73" s="170">
        <f>'Повторное обучение и просрочка'!B979</f>
        <v/>
      </c>
      <c r="C73" s="171">
        <f>'Повторное обучение и просрочка'!C979</f>
        <v/>
      </c>
      <c r="D73" s="171">
        <f>'Повторное обучение и просрочка'!D979</f>
        <v/>
      </c>
    </row>
    <row r="74" ht="20" customHeight="1">
      <c r="A74" s="45">
        <f>'Повторное обучение и просрочка'!A980</f>
        <v/>
      </c>
      <c r="B74" s="170">
        <f>'Повторное обучение и просрочка'!B980</f>
        <v/>
      </c>
      <c r="C74" s="171">
        <f>'Повторное обучение и просрочка'!C980</f>
        <v/>
      </c>
      <c r="D74" s="171">
        <f>'Повторное обучение и просрочка'!D980</f>
        <v/>
      </c>
    </row>
    <row r="75" ht="22" customHeight="1">
      <c r="A75" s="173">
        <f>'Повторное обучение и просрочка'!A981</f>
        <v/>
      </c>
      <c r="B75" s="160" t="n"/>
      <c r="C75" s="160">
        <f>'Повторное обучение и просрочка'!C981</f>
        <v/>
      </c>
      <c r="D75" s="160">
        <f>'Повторное обучение и просрочка'!D981</f>
        <v/>
      </c>
    </row>
    <row r="77" ht="22" customHeight="1">
      <c r="A77" s="185" t="inlineStr">
        <is>
          <t>Распределение внутренний и внешний учебный центр</t>
        </is>
      </c>
    </row>
    <row r="78" ht="30" customHeight="1">
      <c r="A78" s="135" t="inlineStr">
        <is>
          <t>Показатель</t>
        </is>
      </c>
      <c r="B78" s="135" t="inlineStr">
        <is>
          <t>Работников</t>
        </is>
      </c>
    </row>
    <row r="79" ht="22" customHeight="1">
      <c r="A79" s="45" t="inlineStr">
        <is>
          <t>С красной отметкой: учились внутри, нужно было вовне</t>
        </is>
      </c>
      <c r="B79" s="171">
        <f>'Распределение внешний внутр УЦ'!B937</f>
        <v/>
      </c>
    </row>
    <row r="80" ht="22" customHeight="1">
      <c r="A80" s="45" t="inlineStr">
        <is>
          <t>С зелёной отметкой: учились вовне, можно было внутри</t>
        </is>
      </c>
      <c r="B80" s="171">
        <f>'Распределение внешний внутр УЦ'!B938</f>
        <v/>
      </c>
    </row>
    <row r="82" ht="30" customHeight="1">
      <c r="A82" s="135" t="inlineStr">
        <is>
          <t>Программа</t>
        </is>
      </c>
      <c r="B82" s="135" t="inlineStr">
        <is>
          <t>Красных: учились внутри, нужно вовне</t>
        </is>
      </c>
      <c r="C82" s="135" t="inlineStr">
        <is>
          <t>Зелёных: учились вовне, можно было внутри</t>
        </is>
      </c>
    </row>
    <row r="83" ht="20" customHeight="1">
      <c r="A83" s="45">
        <f>'Распределение внешний внутр УЦ'!A942</f>
        <v/>
      </c>
      <c r="B83" s="171">
        <f>IF('Распределение внешний внутр УЦ'!B942="",0,'Распределение внешний внутр УЦ'!B942)</f>
        <v/>
      </c>
      <c r="C83" s="171">
        <f>IF('Распределение внешний внутр УЦ'!C942="",0,'Распределение внешний внутр УЦ'!C942)</f>
        <v/>
      </c>
    </row>
    <row r="84" ht="20" customHeight="1">
      <c r="A84" s="45">
        <f>'Распределение внешний внутр УЦ'!A943</f>
        <v/>
      </c>
      <c r="B84" s="171">
        <f>IF('Распределение внешний внутр УЦ'!B943="",0,'Распределение внешний внутр УЦ'!B943)</f>
        <v/>
      </c>
      <c r="C84" s="171">
        <f>IF('Распределение внешний внутр УЦ'!C943="",0,'Распределение внешний внутр УЦ'!C943)</f>
        <v/>
      </c>
    </row>
    <row r="85" ht="20" customHeight="1">
      <c r="A85" s="45">
        <f>'Распределение внешний внутр УЦ'!A944</f>
        <v/>
      </c>
      <c r="B85" s="171">
        <f>IF('Распределение внешний внутр УЦ'!B944="",0,'Распределение внешний внутр УЦ'!B944)</f>
        <v/>
      </c>
      <c r="C85" s="171">
        <f>IF('Распределение внешний внутр УЦ'!C944="",0,'Распределение внешний внутр УЦ'!C944)</f>
        <v/>
      </c>
    </row>
    <row r="86" ht="20" customHeight="1">
      <c r="A86" s="45">
        <f>'Распределение внешний внутр УЦ'!A945</f>
        <v/>
      </c>
      <c r="B86" s="171">
        <f>IF('Распределение внешний внутр УЦ'!B945="",0,'Распределение внешний внутр УЦ'!B945)</f>
        <v/>
      </c>
      <c r="C86" s="171">
        <f>IF('Распределение внешний внутр УЦ'!C945="",0,'Распределение внешний внутр УЦ'!C945)</f>
        <v/>
      </c>
    </row>
    <row r="87" ht="20" customHeight="1">
      <c r="A87" s="45">
        <f>'Распределение внешний внутр УЦ'!A946</f>
        <v/>
      </c>
      <c r="B87" s="171">
        <f>IF('Распределение внешний внутр УЦ'!B946="",0,'Распределение внешний внутр УЦ'!B946)</f>
        <v/>
      </c>
      <c r="C87" s="171">
        <f>IF('Распределение внешний внутр УЦ'!C946="",0,'Распределение внешний внутр УЦ'!C946)</f>
        <v/>
      </c>
    </row>
    <row r="88" ht="20" customHeight="1">
      <c r="A88" s="45">
        <f>'Распределение внешний внутр УЦ'!A947</f>
        <v/>
      </c>
      <c r="B88" s="171">
        <f>IF('Распределение внешний внутр УЦ'!B947="",0,'Распределение внешний внутр УЦ'!B947)</f>
        <v/>
      </c>
      <c r="C88" s="171">
        <f>IF('Распределение внешний внутр УЦ'!C947="",0,'Распределение внешний внутр УЦ'!C947)</f>
        <v/>
      </c>
    </row>
    <row r="89" ht="20" customHeight="1">
      <c r="A89" s="45">
        <f>'Распределение внешний внутр УЦ'!A948</f>
        <v/>
      </c>
      <c r="B89" s="171">
        <f>IF('Распределение внешний внутр УЦ'!B948="",0,'Распределение внешний внутр УЦ'!B948)</f>
        <v/>
      </c>
      <c r="C89" s="171">
        <f>IF('Распределение внешний внутр УЦ'!C948="",0,'Распределение внешний внутр УЦ'!C948)</f>
        <v/>
      </c>
    </row>
    <row r="90" ht="20" customHeight="1">
      <c r="A90" s="45">
        <f>'Распределение внешний внутр УЦ'!A949</f>
        <v/>
      </c>
      <c r="B90" s="171">
        <f>IF('Распределение внешний внутр УЦ'!B949="",0,'Распределение внешний внутр УЦ'!B949)</f>
        <v/>
      </c>
      <c r="C90" s="171">
        <f>IF('Распределение внешний внутр УЦ'!C949="",0,'Распределение внешний внутр УЦ'!C949)</f>
        <v/>
      </c>
    </row>
    <row r="91" ht="20" customHeight="1">
      <c r="A91" s="45">
        <f>'Распределение внешний внутр УЦ'!A950</f>
        <v/>
      </c>
      <c r="B91" s="171">
        <f>IF('Распределение внешний внутр УЦ'!B950="",0,'Распределение внешний внутр УЦ'!B950)</f>
        <v/>
      </c>
      <c r="C91" s="171">
        <f>IF('Распределение внешний внутр УЦ'!C950="",0,'Распределение внешний внутр УЦ'!C950)</f>
        <v/>
      </c>
    </row>
    <row r="92" ht="20" customHeight="1">
      <c r="A92" s="45">
        <f>'Распределение внешний внутр УЦ'!A951</f>
        <v/>
      </c>
      <c r="B92" s="171">
        <f>IF('Распределение внешний внутр УЦ'!B951="",0,'Распределение внешний внутр УЦ'!B951)</f>
        <v/>
      </c>
      <c r="C92" s="171">
        <f>IF('Распределение внешний внутр УЦ'!C951="",0,'Распределение внешний внутр УЦ'!C951)</f>
        <v/>
      </c>
    </row>
    <row r="93" ht="20" customHeight="1">
      <c r="A93" s="45">
        <f>'Распределение внешний внутр УЦ'!A952</f>
        <v/>
      </c>
      <c r="B93" s="171">
        <f>IF('Распределение внешний внутр УЦ'!B952="",0,'Распределение внешний внутр УЦ'!B952)</f>
        <v/>
      </c>
      <c r="C93" s="171">
        <f>IF('Распределение внешний внутр УЦ'!C952="",0,'Распределение внешний внутр УЦ'!C952)</f>
        <v/>
      </c>
    </row>
    <row r="94" ht="20" customHeight="1">
      <c r="A94" s="45">
        <f>'Распределение внешний внутр УЦ'!A953</f>
        <v/>
      </c>
      <c r="B94" s="171">
        <f>IF('Распределение внешний внутр УЦ'!B953="",0,'Распределение внешний внутр УЦ'!B953)</f>
        <v/>
      </c>
      <c r="C94" s="171">
        <f>IF('Распределение внешний внутр УЦ'!C953="",0,'Распределение внешний внутр УЦ'!C953)</f>
        <v/>
      </c>
    </row>
    <row r="95" ht="20" customHeight="1">
      <c r="A95" s="45">
        <f>'Распределение внешний внутр УЦ'!A954</f>
        <v/>
      </c>
      <c r="B95" s="171">
        <f>IF('Распределение внешний внутр УЦ'!B954="",0,'Распределение внешний внутр УЦ'!B954)</f>
        <v/>
      </c>
      <c r="C95" s="171">
        <f>IF('Распределение внешний внутр УЦ'!C954="",0,'Распределение внешний внутр УЦ'!C954)</f>
        <v/>
      </c>
    </row>
    <row r="96" ht="20" customHeight="1">
      <c r="A96" s="45">
        <f>'Распределение внешний внутр УЦ'!A955</f>
        <v/>
      </c>
      <c r="B96" s="171">
        <f>IF('Распределение внешний внутр УЦ'!B955="",0,'Распределение внешний внутр УЦ'!B955)</f>
        <v/>
      </c>
      <c r="C96" s="171">
        <f>IF('Распределение внешний внутр УЦ'!C955="",0,'Распределение внешний внутр УЦ'!C955)</f>
        <v/>
      </c>
    </row>
    <row r="97" ht="22" customHeight="1">
      <c r="A97" s="173">
        <f>'Распределение внешний внутр УЦ'!A956</f>
        <v/>
      </c>
      <c r="B97" s="160">
        <f>'Распределение внешний внутр УЦ'!B956</f>
        <v/>
      </c>
      <c r="C97" s="160">
        <f>'Распределение внешний внутр УЦ'!C956</f>
        <v/>
      </c>
    </row>
  </sheetData>
  <mergeCells count="10">
    <mergeCell ref="A1:D1"/>
    <mergeCell ref="A45:D45"/>
    <mergeCell ref="A40:D40"/>
    <mergeCell ref="A53:D53"/>
    <mergeCell ref="A77:D77"/>
    <mergeCell ref="A4:D4"/>
    <mergeCell ref="A2:D2"/>
    <mergeCell ref="A32:D32"/>
    <mergeCell ref="A68:D68"/>
    <mergeCell ref="A14:D14"/>
  </mergeCells>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J48"/>
  <sheetViews>
    <sheetView showGridLines="0" tabSelected="0" zoomScale="110" workbookViewId="0">
      <pane ySplit="3" topLeftCell="A4" activePane="bottomLeft" state="frozen"/>
      <selection pane="bottomLeft" activeCell="A1" sqref="A1"/>
    </sheetView>
  </sheetViews>
  <sheetFormatPr baseColWidth="8" defaultRowHeight="15"/>
  <cols>
    <col width="64" customWidth="1" min="1" max="1"/>
    <col width="16" customWidth="1" min="2" max="2"/>
    <col width="18" customWidth="1" min="3" max="3"/>
    <col width="18" customWidth="1" min="4" max="4"/>
    <col width="20" customWidth="1" min="5" max="5"/>
    <col width="20" customWidth="1" min="6" max="6"/>
    <col width="22" customWidth="1" min="7" max="7"/>
    <col width="16" customWidth="1" min="8" max="8"/>
    <col width="18" customWidth="1" min="9" max="9"/>
    <col width="28" customWidth="1" min="10" max="10"/>
  </cols>
  <sheetData>
    <row r="1" ht="26" customHeight="1">
      <c r="A1" s="44" t="inlineStr">
        <is>
          <t>Экономика</t>
        </is>
      </c>
    </row>
    <row r="2" ht="62" customHeight="1">
      <c r="A2" s="163" t="inlineStr">
        <is>
          <t>Модель на базе реестра обученных лиц, без учёта текучки персонала. Голубые ячейки можно менять: от них пересчитываются затраты и стоимость потерянного времени. Норма рабочего времени принята 21 день по 8 часов. Стоимость потерянного времени = часы / норма часов в месяц × заработная плата одного работника. Одно обучение — отдельная дата проверки знаний. Оплата внешнему учебному центру — обучения в АНО ДПО «Перспектива», внутри — у ООО «Амур Золото».</t>
        </is>
      </c>
    </row>
    <row r="4" ht="22" customHeight="1">
      <c r="A4" s="185" t="inlineStr">
        <is>
          <t>Исходные данные</t>
        </is>
      </c>
    </row>
    <row r="5" ht="36" customHeight="1">
      <c r="A5" s="135" t="inlineStr">
        <is>
          <t>Показатель</t>
        </is>
      </c>
      <c r="B5" s="135" t="inlineStr">
        <is>
          <t>Количество</t>
        </is>
      </c>
    </row>
    <row r="6" ht="20" customHeight="1">
      <c r="A6" s="45" t="inlineStr">
        <is>
          <t>Уникальных работников</t>
        </is>
      </c>
      <c r="B6" s="186">
        <f>Итог!B6</f>
        <v/>
      </c>
    </row>
    <row r="7" ht="20" customHeight="1">
      <c r="A7" s="45" t="inlineStr">
        <is>
          <t>Уникальных профессий</t>
        </is>
      </c>
      <c r="B7" s="186">
        <f>Итог!B7</f>
        <v/>
      </c>
    </row>
    <row r="8" ht="20" customHeight="1">
      <c r="A8" s="45" t="inlineStr">
        <is>
          <t>Назначений</t>
        </is>
      </c>
      <c r="B8" s="186">
        <f>Итог!B8</f>
        <v/>
      </c>
    </row>
    <row r="9" ht="20" customHeight="1">
      <c r="A9" s="45" t="inlineStr">
        <is>
          <t>Программ обучения</t>
        </is>
      </c>
      <c r="B9" s="186">
        <f>Итог!B9</f>
        <v/>
      </c>
    </row>
    <row r="10" ht="20" customHeight="1">
      <c r="A10" s="45" t="inlineStr">
        <is>
          <t>Обучений во внешнем учебном центре</t>
        </is>
      </c>
      <c r="B10" s="186">
        <f>Итог!B10</f>
        <v/>
      </c>
    </row>
    <row r="11" ht="20" customHeight="1">
      <c r="A11" s="45" t="inlineStr">
        <is>
          <t>Обучений внутри, у работодателя</t>
        </is>
      </c>
      <c r="B11" s="186">
        <f>Итог!B11</f>
        <v/>
      </c>
    </row>
    <row r="12" ht="20" customHeight="1">
      <c r="A12" s="173" t="inlineStr">
        <is>
          <t>Внешние и внутренние вместе</t>
        </is>
      </c>
      <c r="B12" s="187">
        <f>Итог!B12</f>
        <v/>
      </c>
    </row>
    <row r="14" ht="22" customHeight="1">
      <c r="A14" s="185" t="inlineStr">
        <is>
          <t>Условные данные</t>
        </is>
      </c>
    </row>
    <row r="15" ht="36" customHeight="1">
      <c r="A15" s="135" t="inlineStr">
        <is>
          <t>Показатель</t>
        </is>
      </c>
      <c r="B15" s="135" t="inlineStr">
        <is>
          <t>Значение</t>
        </is>
      </c>
    </row>
    <row r="16" ht="22" customHeight="1">
      <c r="A16" s="45" t="inlineStr">
        <is>
          <t>Заработная плата одного работника, руб. в месяц</t>
        </is>
      </c>
      <c r="B16" s="188" t="n">
        <v>100000</v>
      </c>
    </row>
    <row r="17" ht="22" customHeight="1">
      <c r="A17" s="45" t="inlineStr">
        <is>
          <t>Норма рабочего времени, часов в месяц</t>
        </is>
      </c>
      <c r="B17" s="188" t="n">
        <v>168</v>
      </c>
    </row>
    <row r="18" ht="22" customHeight="1">
      <c r="A18" s="45" t="inlineStr">
        <is>
          <t>Стоимость одного обучения одной человеко-программы, руб.</t>
        </is>
      </c>
      <c r="B18" s="188" t="n">
        <v>1500</v>
      </c>
    </row>
    <row r="20" ht="22" customHeight="1">
      <c r="A20" s="185" t="inlineStr">
        <is>
          <t>Длительность одной программы, часов</t>
        </is>
      </c>
    </row>
    <row r="21" ht="36" customHeight="1">
      <c r="A21" s="135" t="inlineStr">
        <is>
          <t>Программа</t>
        </is>
      </c>
      <c r="B21" s="135" t="inlineStr">
        <is>
          <t>Часов</t>
        </is>
      </c>
    </row>
    <row r="22" ht="20" customHeight="1">
      <c r="A22" s="45" t="inlineStr">
        <is>
          <t>46а</t>
        </is>
      </c>
      <c r="B22" s="189" t="n">
        <v>16</v>
      </c>
    </row>
    <row r="23" ht="20" customHeight="1">
      <c r="A23" s="45" t="inlineStr">
        <is>
          <t>46б</t>
        </is>
      </c>
      <c r="B23" s="189" t="n">
        <v>16</v>
      </c>
    </row>
    <row r="24" ht="20" customHeight="1">
      <c r="A24" s="45" t="inlineStr">
        <is>
          <t>Первая помощь</t>
        </is>
      </c>
      <c r="B24" s="189" t="n">
        <v>8</v>
      </c>
    </row>
    <row r="25" ht="20" customHeight="1">
      <c r="A25" s="45" t="inlineStr">
        <is>
          <t>СИЗ</t>
        </is>
      </c>
      <c r="B25" s="189" t="n">
        <v>4</v>
      </c>
    </row>
    <row r="26" ht="20" customHeight="1">
      <c r="A26" s="45" t="inlineStr">
        <is>
          <t>Высота</t>
        </is>
      </c>
      <c r="B26" s="189" t="n">
        <v>16</v>
      </c>
    </row>
    <row r="27" ht="20" customHeight="1">
      <c r="A27" s="45" t="inlineStr">
        <is>
          <t>ОЗП</t>
        </is>
      </c>
      <c r="B27" s="189" t="n">
        <v>16</v>
      </c>
    </row>
    <row r="29" ht="22" customHeight="1">
      <c r="A29" s="185" t="inlineStr">
        <is>
          <t>Избыток обучения: затраты и потерянное время</t>
        </is>
      </c>
    </row>
    <row r="30" ht="48" customHeight="1">
      <c r="A30" s="163" t="inlineStr">
        <is>
          <t>Программа работнику не требовалась, поэтому в затратах каждое её обучение. На «Итог» это 110 человеко-программ и 102 работника. Здесь 119 обучений: у 9 работников лишняя программа пройдена дважды. Из них внешнему учебному центру оплачены 8 обучений (4 по 46а и 4 по первой помощи), остальные 111 — у работодателя.</t>
        </is>
      </c>
    </row>
    <row r="31" ht="36" customHeight="1">
      <c r="A31" s="135" t="inlineStr">
        <is>
          <t>Программа</t>
        </is>
      </c>
      <c r="B31" s="135" t="inlineStr">
        <is>
          <t>Обучений</t>
        </is>
      </c>
      <c r="C31" s="135" t="inlineStr">
        <is>
          <t>Во внешнем учебном центре</t>
        </is>
      </c>
      <c r="D31" s="135" t="inlineStr">
        <is>
          <t>Внутри, у работодателя</t>
        </is>
      </c>
      <c r="E31" s="135" t="inlineStr">
        <is>
          <t>Затраты внешнему УЦ, руб.</t>
        </is>
      </c>
      <c r="F31" s="135" t="inlineStr">
        <is>
          <t>Затраты внутри, руб.</t>
        </is>
      </c>
      <c r="G31" s="135" t="inlineStr">
        <is>
          <t>Всего затрат на обучение, руб.</t>
        </is>
      </c>
      <c r="H31" s="135" t="inlineStr">
        <is>
          <t>Длительность, ч</t>
        </is>
      </c>
      <c r="I31" s="135" t="inlineStr">
        <is>
          <t>Потерянное время, ч</t>
        </is>
      </c>
      <c r="J31" s="135" t="inlineStr">
        <is>
          <t>Стоимость потерянного времени, руб.</t>
        </is>
      </c>
    </row>
    <row r="32" ht="22" customHeight="1">
      <c r="A32" s="45" t="inlineStr">
        <is>
          <t>46а</t>
        </is>
      </c>
      <c r="B32" s="186" t="n">
        <v>7</v>
      </c>
      <c r="C32" s="186" t="n">
        <v>4</v>
      </c>
      <c r="D32" s="186">
        <f>B32-C32</f>
        <v/>
      </c>
      <c r="E32" s="190">
        <f>C32*$B$18</f>
        <v/>
      </c>
      <c r="F32" s="190">
        <f>D32*$B$18</f>
        <v/>
      </c>
      <c r="G32" s="190">
        <f>E32+F32</f>
        <v/>
      </c>
      <c r="H32" s="191">
        <f>$B$22</f>
        <v/>
      </c>
      <c r="I32" s="186">
        <f>B32*H32</f>
        <v/>
      </c>
      <c r="J32" s="190">
        <f>IF($B$17=0,0,I32/$B$17*$B$16)</f>
        <v/>
      </c>
    </row>
    <row r="33" ht="22" customHeight="1">
      <c r="A33" s="45" t="inlineStr">
        <is>
          <t>46б</t>
        </is>
      </c>
      <c r="B33" s="186" t="n">
        <v>0</v>
      </c>
      <c r="C33" s="186" t="n">
        <v>0</v>
      </c>
      <c r="D33" s="186">
        <f>B33-C33</f>
        <v/>
      </c>
      <c r="E33" s="190">
        <f>C33*$B$18</f>
        <v/>
      </c>
      <c r="F33" s="190">
        <f>D33*$B$18</f>
        <v/>
      </c>
      <c r="G33" s="190">
        <f>E33+F33</f>
        <v/>
      </c>
      <c r="H33" s="191">
        <f>$B$23</f>
        <v/>
      </c>
      <c r="I33" s="186">
        <f>B33*H33</f>
        <v/>
      </c>
      <c r="J33" s="190">
        <f>IF($B$17=0,0,I33/$B$17*$B$16)</f>
        <v/>
      </c>
    </row>
    <row r="34" ht="22" customHeight="1">
      <c r="A34" s="45" t="inlineStr">
        <is>
          <t>Первая помощь</t>
        </is>
      </c>
      <c r="B34" s="186" t="n">
        <v>25</v>
      </c>
      <c r="C34" s="186" t="n">
        <v>4</v>
      </c>
      <c r="D34" s="186">
        <f>B34-C34</f>
        <v/>
      </c>
      <c r="E34" s="190">
        <f>C34*$B$18</f>
        <v/>
      </c>
      <c r="F34" s="190">
        <f>D34*$B$18</f>
        <v/>
      </c>
      <c r="G34" s="190">
        <f>E34+F34</f>
        <v/>
      </c>
      <c r="H34" s="191">
        <f>$B$24</f>
        <v/>
      </c>
      <c r="I34" s="186">
        <f>B34*H34</f>
        <v/>
      </c>
      <c r="J34" s="190">
        <f>IF($B$17=0,0,I34/$B$17*$B$16)</f>
        <v/>
      </c>
    </row>
    <row r="35" ht="22" customHeight="1">
      <c r="A35" s="45" t="inlineStr">
        <is>
          <t>СИЗ</t>
        </is>
      </c>
      <c r="B35" s="186" t="n">
        <v>87</v>
      </c>
      <c r="C35" s="186" t="n">
        <v>0</v>
      </c>
      <c r="D35" s="186">
        <f>B35-C35</f>
        <v/>
      </c>
      <c r="E35" s="190">
        <f>C35*$B$18</f>
        <v/>
      </c>
      <c r="F35" s="190">
        <f>D35*$B$18</f>
        <v/>
      </c>
      <c r="G35" s="190">
        <f>E35+F35</f>
        <v/>
      </c>
      <c r="H35" s="191">
        <f>$B$25</f>
        <v/>
      </c>
      <c r="I35" s="186">
        <f>B35*H35</f>
        <v/>
      </c>
      <c r="J35" s="190">
        <f>IF($B$17=0,0,I35/$B$17*$B$16)</f>
        <v/>
      </c>
    </row>
    <row r="36" ht="22" customHeight="1">
      <c r="A36" s="173" t="inlineStr">
        <is>
          <t>Итого</t>
        </is>
      </c>
      <c r="B36" s="187">
        <f>SUM(B32:B35)</f>
        <v/>
      </c>
      <c r="C36" s="187">
        <f>SUM(C32:C35)</f>
        <v/>
      </c>
      <c r="D36" s="187">
        <f>SUM(D32:D35)</f>
        <v/>
      </c>
      <c r="E36" s="192">
        <f>SUM(E32:E35)</f>
        <v/>
      </c>
      <c r="F36" s="192">
        <f>SUM(F32:F35)</f>
        <v/>
      </c>
      <c r="G36" s="192">
        <f>SUM(G32:G35)</f>
        <v/>
      </c>
      <c r="H36" s="173" t="n"/>
      <c r="I36" s="187">
        <f>SUM(I32:I35)</f>
        <v/>
      </c>
      <c r="J36" s="192">
        <f>SUM(J32:J35)</f>
        <v/>
      </c>
    </row>
    <row r="37" ht="22" customHeight="1">
      <c r="A37" s="173" t="inlineStr">
        <is>
          <t>Затраты на обучение и потерянное время вместе, руб.</t>
        </is>
      </c>
      <c r="B37" s="193" t="n"/>
      <c r="C37" s="193" t="n"/>
      <c r="D37" s="193" t="n"/>
      <c r="E37" s="193" t="n"/>
      <c r="F37" s="193" t="n"/>
      <c r="G37" s="193" t="n"/>
      <c r="H37" s="193" t="n"/>
      <c r="I37" s="193" t="n"/>
      <c r="J37" s="192">
        <f>G36+J36</f>
        <v/>
      </c>
    </row>
    <row r="39" ht="22" customHeight="1">
      <c r="A39" s="185" t="inlineStr">
        <is>
          <t>Избыток повторного обучения: затраты и потерянное время</t>
        </is>
      </c>
    </row>
    <row r="40" ht="52" customHeight="1">
      <c r="A40" s="163" t="inlineStr">
        <is>
          <t>Лишние повторы сверх личной нормы. Число обучений — формула со вкладки «Итог». Все эти обучения прошли у работодателя: внешний учебный центр был 26.05.2023, это первое обучение, в лишние оно не входит. 6 обучений (4 по СИЗ и 2 по первой помощи) относятся к работникам, которым сама программа не требовалась, и уже стоят в таблице избытка обучения выше. Две итоговые суммы лучше не складывать: эти 6 обучений попадут в обе.</t>
        </is>
      </c>
    </row>
    <row r="41" ht="36" customHeight="1">
      <c r="A41" s="135" t="inlineStr">
        <is>
          <t>Программа</t>
        </is>
      </c>
      <c r="B41" s="135" t="inlineStr">
        <is>
          <t>Обучений</t>
        </is>
      </c>
      <c r="C41" s="135" t="inlineStr">
        <is>
          <t>Во внешнем учебном центре</t>
        </is>
      </c>
      <c r="D41" s="135" t="inlineStr">
        <is>
          <t>Внутри, у работодателя</t>
        </is>
      </c>
      <c r="E41" s="135" t="inlineStr">
        <is>
          <t>Затраты внешнему УЦ, руб.</t>
        </is>
      </c>
      <c r="F41" s="135" t="inlineStr">
        <is>
          <t>Затраты внутри, руб.</t>
        </is>
      </c>
      <c r="G41" s="135" t="inlineStr">
        <is>
          <t>Всего затрат на обучение, руб.</t>
        </is>
      </c>
      <c r="H41" s="135" t="inlineStr">
        <is>
          <t>Длительность, ч</t>
        </is>
      </c>
      <c r="I41" s="135" t="inlineStr">
        <is>
          <t>Потерянное время, ч</t>
        </is>
      </c>
      <c r="J41" s="135" t="inlineStr">
        <is>
          <t>Стоимость потерянного времени, руб.</t>
        </is>
      </c>
    </row>
    <row r="42" ht="22" customHeight="1">
      <c r="A42" s="45" t="inlineStr">
        <is>
          <t>46б</t>
        </is>
      </c>
      <c r="B42" s="186">
        <f>Итог!D70</f>
        <v/>
      </c>
      <c r="C42" s="186" t="n">
        <v>0</v>
      </c>
      <c r="D42" s="186">
        <f>B42-C42</f>
        <v/>
      </c>
      <c r="E42" s="190">
        <f>C42*$B$18</f>
        <v/>
      </c>
      <c r="F42" s="190">
        <f>D42*$B$18</f>
        <v/>
      </c>
      <c r="G42" s="190">
        <f>E42+F42</f>
        <v/>
      </c>
      <c r="H42" s="191">
        <f>$B$23</f>
        <v/>
      </c>
      <c r="I42" s="186">
        <f>B42*H42</f>
        <v/>
      </c>
      <c r="J42" s="190">
        <f>IF($B$17=0,0,I42/$B$17*$B$16)</f>
        <v/>
      </c>
    </row>
    <row r="43" ht="22" customHeight="1">
      <c r="A43" s="45" t="inlineStr">
        <is>
          <t>СИЗ</t>
        </is>
      </c>
      <c r="B43" s="186">
        <f>Итог!D71</f>
        <v/>
      </c>
      <c r="C43" s="186" t="n">
        <v>0</v>
      </c>
      <c r="D43" s="186">
        <f>B43-C43</f>
        <v/>
      </c>
      <c r="E43" s="190">
        <f>C43*$B$18</f>
        <v/>
      </c>
      <c r="F43" s="190">
        <f>D43*$B$18</f>
        <v/>
      </c>
      <c r="G43" s="190">
        <f>E43+F43</f>
        <v/>
      </c>
      <c r="H43" s="191">
        <f>$B$25</f>
        <v/>
      </c>
      <c r="I43" s="186">
        <f>B43*H43</f>
        <v/>
      </c>
      <c r="J43" s="190">
        <f>IF($B$17=0,0,I43/$B$17*$B$16)</f>
        <v/>
      </c>
    </row>
    <row r="44" ht="22" customHeight="1">
      <c r="A44" s="45" t="inlineStr">
        <is>
          <t>Первая помощь</t>
        </is>
      </c>
      <c r="B44" s="186">
        <f>Итог!D72</f>
        <v/>
      </c>
      <c r="C44" s="186" t="n">
        <v>0</v>
      </c>
      <c r="D44" s="186">
        <f>B44-C44</f>
        <v/>
      </c>
      <c r="E44" s="190">
        <f>C44*$B$18</f>
        <v/>
      </c>
      <c r="F44" s="190">
        <f>D44*$B$18</f>
        <v/>
      </c>
      <c r="G44" s="190">
        <f>E44+F44</f>
        <v/>
      </c>
      <c r="H44" s="191">
        <f>$B$24</f>
        <v/>
      </c>
      <c r="I44" s="186">
        <f>B44*H44</f>
        <v/>
      </c>
      <c r="J44" s="190">
        <f>IF($B$17=0,0,I44/$B$17*$B$16)</f>
        <v/>
      </c>
    </row>
    <row r="45" ht="22" customHeight="1">
      <c r="A45" s="45" t="inlineStr">
        <is>
          <t>Высота</t>
        </is>
      </c>
      <c r="B45" s="186">
        <f>Итог!D73</f>
        <v/>
      </c>
      <c r="C45" s="186" t="n">
        <v>0</v>
      </c>
      <c r="D45" s="186">
        <f>B45-C45</f>
        <v/>
      </c>
      <c r="E45" s="190">
        <f>C45*$B$18</f>
        <v/>
      </c>
      <c r="F45" s="190">
        <f>D45*$B$18</f>
        <v/>
      </c>
      <c r="G45" s="190">
        <f>E45+F45</f>
        <v/>
      </c>
      <c r="H45" s="191">
        <f>$B$26</f>
        <v/>
      </c>
      <c r="I45" s="186">
        <f>B45*H45</f>
        <v/>
      </c>
      <c r="J45" s="190">
        <f>IF($B$17=0,0,I45/$B$17*$B$16)</f>
        <v/>
      </c>
    </row>
    <row r="46" ht="22" customHeight="1">
      <c r="A46" s="45" t="inlineStr">
        <is>
          <t>ОЗП</t>
        </is>
      </c>
      <c r="B46" s="186">
        <f>Итог!D74</f>
        <v/>
      </c>
      <c r="C46" s="186" t="n">
        <v>0</v>
      </c>
      <c r="D46" s="186">
        <f>B46-C46</f>
        <v/>
      </c>
      <c r="E46" s="190">
        <f>C46*$B$18</f>
        <v/>
      </c>
      <c r="F46" s="190">
        <f>D46*$B$18</f>
        <v/>
      </c>
      <c r="G46" s="190">
        <f>E46+F46</f>
        <v/>
      </c>
      <c r="H46" s="191">
        <f>$B$27</f>
        <v/>
      </c>
      <c r="I46" s="186">
        <f>B46*H46</f>
        <v/>
      </c>
      <c r="J46" s="190">
        <f>IF($B$17=0,0,I46/$B$17*$B$16)</f>
        <v/>
      </c>
    </row>
    <row r="47" ht="22" customHeight="1">
      <c r="A47" s="173" t="inlineStr">
        <is>
          <t>Итого</t>
        </is>
      </c>
      <c r="B47" s="187">
        <f>SUM(B42:B46)</f>
        <v/>
      </c>
      <c r="C47" s="187">
        <f>SUM(C42:C46)</f>
        <v/>
      </c>
      <c r="D47" s="187">
        <f>SUM(D42:D46)</f>
        <v/>
      </c>
      <c r="E47" s="192">
        <f>SUM(E42:E46)</f>
        <v/>
      </c>
      <c r="F47" s="192">
        <f>SUM(F42:F46)</f>
        <v/>
      </c>
      <c r="G47" s="192">
        <f>SUM(G42:G46)</f>
        <v/>
      </c>
      <c r="H47" s="193" t="n"/>
      <c r="I47" s="187">
        <f>SUM(I42:I46)</f>
        <v/>
      </c>
      <c r="J47" s="192">
        <f>SUM(J42:J46)</f>
        <v/>
      </c>
    </row>
    <row r="48" ht="22" customHeight="1">
      <c r="A48" s="173" t="inlineStr">
        <is>
          <t>Затраты на обучение и потерянное время вместе, руб.</t>
        </is>
      </c>
      <c r="B48" s="193" t="n"/>
      <c r="C48" s="193" t="n"/>
      <c r="D48" s="193" t="n"/>
      <c r="E48" s="193" t="n"/>
      <c r="F48" s="193" t="n"/>
      <c r="G48" s="193" t="n"/>
      <c r="H48" s="193" t="n"/>
      <c r="I48" s="193" t="n"/>
      <c r="J48" s="192">
        <f>G47+J47</f>
        <v/>
      </c>
    </row>
  </sheetData>
  <mergeCells count="9">
    <mergeCell ref="A4:B4"/>
    <mergeCell ref="A1:J1"/>
    <mergeCell ref="A20:B20"/>
    <mergeCell ref="A40:J40"/>
    <mergeCell ref="A30:J30"/>
    <mergeCell ref="A39:J39"/>
    <mergeCell ref="A29:J29"/>
    <mergeCell ref="A14:B14"/>
    <mergeCell ref="A2:J2"/>
  </mergeCells>
  <pageMargins left="0.4" right="0.4" top="0.5" bottom="0.5" header="0.5" footer="0.5"/>
  <pageSetup orientation="landscape" paperSize="9" fitToHeight="1" fitToWidth="1"/>
</worksheet>
</file>

<file path=xl/worksheets/sheet9.xml><?xml version="1.0" encoding="utf-8"?>
<worksheet xmlns="http://schemas.openxmlformats.org/spreadsheetml/2006/main">
  <sheetPr>
    <outlinePr summaryBelow="1" summaryRight="1"/>
    <pageSetUpPr fitToPage="1"/>
  </sheetPr>
  <dimension ref="A1:D13"/>
  <sheetViews>
    <sheetView showGridLines="0" zoomScale="110" workbookViewId="0">
      <pane ySplit="2" topLeftCell="A3" activePane="bottomLeft" state="frozen"/>
      <selection pane="bottomLeft" activeCell="A1" sqref="A1"/>
    </sheetView>
  </sheetViews>
  <sheetFormatPr baseColWidth="8" defaultRowHeight="15"/>
  <cols>
    <col width="6" customWidth="1" min="1" max="1"/>
    <col width="55" customWidth="1" min="2" max="2"/>
    <col width="22" customWidth="1" min="3" max="3"/>
    <col width="78" customWidth="1" min="4" max="4"/>
  </cols>
  <sheetData>
    <row r="1" ht="48" customHeight="1">
      <c r="A1" s="44" t="inlineStr">
        <is>
          <t>Несоответствия процесса обучения Правилам обучения по охране труда, утв. Постановлением Правительства РФ от 24.12.2021 № 2464</t>
        </is>
      </c>
    </row>
    <row r="2" ht="30" customHeight="1">
      <c r="A2" s="4" t="inlineStr">
        <is>
          <t>№</t>
        </is>
      </c>
      <c r="B2" s="4" t="inlineStr">
        <is>
          <t>Наблюдение</t>
        </is>
      </c>
      <c r="C2" s="4" t="inlineStr">
        <is>
          <t>Пункт Правил</t>
        </is>
      </c>
      <c r="D2" s="4" t="inlineStr">
        <is>
          <t>Требование ПП 2464</t>
        </is>
      </c>
    </row>
    <row r="3" ht="72" customHeight="1">
      <c r="A3" s="179" t="n">
        <v>1</v>
      </c>
      <c r="B3" s="178" t="inlineStr">
        <is>
          <t>Протокол ЮГОК без номера от 19 марта 2026 года для Гыргенова, программа 46б, длительность 330 часов.</t>
        </is>
      </c>
      <c r="C3" s="179" t="inlineStr">
        <is>
          <t>п. 118, п. 46</t>
        </is>
      </c>
      <c r="D3" s="178" t="inlineStr">
        <is>
          <t>В реестр обученных лиц передают номер протокола проверки знания. Протокол без номера это требование не выполняет. Продолжительность программы 46б — не менее 16 часов; верхнего предела нет, поэтому 330 часов сами по себе норме не противоречат.</t>
        </is>
      </c>
    </row>
    <row r="4" ht="72" customHeight="1">
      <c r="A4" s="179" t="n">
        <v>2</v>
      </c>
      <c r="B4" s="178" t="inlineStr">
        <is>
          <t>Нет номера записи в реестре. Протокол ЮГОК ПГУ 26-40, по программе 46б указано 77 часов.</t>
        </is>
      </c>
      <c r="C4" s="179" t="inlineStr">
        <is>
          <t>п. 92</t>
        </is>
      </c>
      <c r="D4" s="178" t="inlineStr">
        <is>
          <t>Регистрационный номер записи о прохождении проверки знания в реестре обученных лиц указывают в протоколе либо прикладывают подписанную электронной подписью выписку из реестра. 77 часов больше минимума в 16 часов и сами по себе не нарушение.</t>
        </is>
      </c>
    </row>
    <row r="5" ht="72" customHeight="1">
      <c r="A5" s="179" t="n">
        <v>3</v>
      </c>
      <c r="B5" s="178" t="inlineStr">
        <is>
          <t>К протоколу ЮГОК ПГУ 26-40 приложен лист стажировки: стажировку начали раньше, чем проверку знания.</t>
        </is>
      </c>
      <c r="C5" s="179" t="inlineStr">
        <is>
          <t>п. 25, п. 67</t>
        </is>
      </c>
      <c r="D5" s="178" t="inlineStr">
        <is>
          <t>К стажировке допускают работников, которые уже успешно прошли инструктаж по охране труда и обучение требованиям охраны труда по программам пункта 46. Обучение требованиям охраны труда заканчивается проверкой знания.</t>
        </is>
      </c>
    </row>
    <row r="6" ht="72" customHeight="1">
      <c r="A6" s="179" t="n">
        <v>4</v>
      </c>
      <c r="B6" s="178" t="inlineStr">
        <is>
          <t>Программы стажировки не подписаны и не утверждены (подпись отсутствует)</t>
        </is>
      </c>
      <c r="C6" s="179" t="inlineStr">
        <is>
          <t>п. 28</t>
        </is>
      </c>
      <c r="D6" s="178" t="inlineStr">
        <is>
          <t>Программу стажировки на рабочем месте или иной локальный акт, которым задан ее объем, утверждает работодатель.</t>
        </is>
      </c>
    </row>
    <row r="7" ht="72" customHeight="1">
      <c r="A7" s="179" t="n">
        <v>5</v>
      </c>
      <c r="B7" s="178" t="inlineStr">
        <is>
          <t>Программа 46а с 2023 года не утверждена.</t>
        </is>
      </c>
      <c r="C7" s="179" t="inlineStr">
        <is>
          <t>п. 48</t>
        </is>
      </c>
      <c r="D7" s="178" t="inlineStr">
        <is>
          <t>Программу обучения требованиям охраны труда утверждает руководитель обучающей организации либо работодатель, если обучение проводит он.</t>
        </is>
      </c>
    </row>
    <row r="8" ht="72" customHeight="1">
      <c r="A8" s="179" t="n">
        <v>6</v>
      </c>
      <c r="B8" s="178" t="inlineStr">
        <is>
          <t>На месте проведения обучения отсутствует и дополнительно не предоставлена программа 46б.</t>
        </is>
      </c>
      <c r="C8" s="179" t="inlineStr">
        <is>
          <t>п. 48, п. 96</t>
        </is>
      </c>
      <c r="D8" s="178" t="inlineStr">
        <is>
          <t>Программа обучения требованиям охраны труда должна быть разработана и утверждена. Работодатель, который обучает своих работников, обязан иметь программы и учебные материалы для каждой программы.</t>
        </is>
      </c>
    </row>
    <row r="9" ht="72" customHeight="1">
      <c r="A9" s="179" t="n">
        <v>7</v>
      </c>
      <c r="B9" s="178" t="inlineStr">
        <is>
          <t>В журнале первичного инструктажа на рабочем месте даты идут не в хронологическом порядке, имеются склеенные листы.</t>
        </is>
      </c>
      <c r="C9" s="179" t="inlineStr">
        <is>
          <t>п. 87, п. 88</t>
        </is>
      </c>
      <c r="D9" s="178" t="inlineStr">
        <is>
          <t>При регистрации инструктажа на рабочем месте указывают дату его проведения и остальные обязательные сведения. Порядок регистрации и форму утверждает работодатель. Запись должна позволять установить фактическую дату.</t>
        </is>
      </c>
    </row>
    <row r="10" ht="72" customHeight="1">
      <c r="A10" s="179" t="n">
        <v>8</v>
      </c>
      <c r="B10" s="178" t="inlineStr">
        <is>
          <t>Внеплановый инструктаж в связи с изменениями НПА в сентябре 2026 не проводился</t>
        </is>
      </c>
      <c r="C10" s="179" t="inlineStr">
        <is>
          <t>п. 16, п. 17</t>
        </is>
      </c>
      <c r="D10" s="178" t="inlineStr">
        <is>
          <t>Внеплановый инструктаж проводят, в частности, при изменении нормативных и локальных актов, которые затрагивают требования охраны труда и трудовые функции работника. Объем и сроки задает локальный акт работодателя.</t>
        </is>
      </c>
    </row>
    <row r="11" ht="72" customHeight="1">
      <c r="A11" s="179" t="n">
        <v>9</v>
      </c>
      <c r="B11" s="178" t="inlineStr">
        <is>
          <t>При проведении инструктажа на рабочем месте не осуществляется проверка знаний</t>
        </is>
      </c>
      <c r="C11" s="179" t="inlineStr">
        <is>
          <t>п. 23, п. 67, п. 70</t>
        </is>
      </c>
      <c r="D11" s="178" t="inlineStr">
        <is>
          <t>Инструктаж по охране труда заканчивается проверкой знания требований охраны труда. Обучение по охране труда тоже завершается проверкой знания.</t>
        </is>
      </c>
    </row>
    <row r="12" ht="72" customHeight="1">
      <c r="A12" s="179" t="n">
        <v>10</v>
      </c>
      <c r="B12" s="178" t="inlineStr">
        <is>
          <t>В отдельных протоколах проверки знания отсутствуют подписи обученных (см. Приложение)</t>
        </is>
      </c>
      <c r="C12" s="179" t="inlineStr">
        <is>
          <t>п. 93, п. 92</t>
        </is>
      </c>
      <c r="D12" s="178" t="inlineStr">
        <is>
          <t>Протокол подписывают председатель и члены комиссии. В протоколе также должна быть подпись работника, прошедшего проверку знания.</t>
        </is>
      </c>
    </row>
    <row r="13" ht="72" customHeight="1">
      <c r="A13" s="179" t="n">
        <v>11</v>
      </c>
      <c r="B13" s="178" t="inlineStr">
        <is>
          <t>Протокол ЮГОК ЭУ 26-26: программу 46б прошли по инструкции по охране труда.</t>
        </is>
      </c>
      <c r="C13" s="179" t="inlineStr">
        <is>
          <t>п. 46, п. 48, п. 18</t>
        </is>
      </c>
      <c r="D13" s="178" t="inlineStr">
        <is>
          <t>Программа 46б — обучение безопасным методам при вредных и опасных факторах продолжительностью не менее 16 часов. Ее разрабатывают по примерному перечню тем и утверждают. Инструкция по охране труда задает объем инструктажа на рабочем месте и программу 46б не заменяет.</t>
        </is>
      </c>
    </row>
  </sheetData>
  <autoFilter ref="A2:D13"/>
  <mergeCells count="1">
    <mergeCell ref="A1:D1"/>
  </mergeCells>
  <pageMargins left="0.4" right="0.4" top="0.5" bottom="0.5" header="0.2" footer="0.2"/>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A1:D5"/>
  <sheetViews>
    <sheetView showGridLines="0" zoomScale="110" workbookViewId="0">
      <pane ySplit="2" topLeftCell="A3" activePane="bottomLeft" state="frozen"/>
      <selection pane="bottomLeft" activeCell="A1" sqref="A1"/>
    </sheetView>
  </sheetViews>
  <sheetFormatPr baseColWidth="8" defaultRowHeight="15"/>
  <cols>
    <col width="6" customWidth="1" min="1" max="1"/>
    <col width="28" customWidth="1" min="2" max="2"/>
    <col width="62" customWidth="1" min="3" max="3"/>
    <col width="55" customWidth="1" min="4" max="4"/>
  </cols>
  <sheetData>
    <row r="1" ht="36" customHeight="1">
      <c r="A1" s="44" t="inlineStr">
        <is>
          <t>Пути развития процесса обучения</t>
        </is>
      </c>
    </row>
    <row r="2" ht="32" customHeight="1">
      <c r="A2" s="4" t="inlineStr">
        <is>
          <t>№</t>
        </is>
      </c>
      <c r="B2" s="4" t="inlineStr">
        <is>
          <t>Наименование способа</t>
        </is>
      </c>
      <c r="C2" s="4" t="inlineStr">
        <is>
          <t>Необходимые действия</t>
        </is>
      </c>
      <c r="D2" s="4" t="inlineStr">
        <is>
          <t>Ресурсы. Способы достижения цели</t>
        </is>
      </c>
    </row>
    <row r="3" ht="72" customHeight="1">
      <c r="A3" s="179" t="n">
        <v>1</v>
      </c>
      <c r="B3" s="178" t="inlineStr">
        <is>
          <t>Минимальный</t>
        </is>
      </c>
      <c r="C3" s="178" t="inlineStr">
        <is>
          <t>Приведение в соответствие процесса планирования обучения, устранение недостатков обучения согласно анализу реестра обученных лиц, исключение избытка обучения в будущем периоде.</t>
        </is>
      </c>
      <c r="D3" s="178" t="inlineStr">
        <is>
          <t>1. Автоматизация процесса
2. Закрепление ответственных по процессу, регулярный контроль</t>
        </is>
      </c>
    </row>
    <row r="4" ht="72" customHeight="1">
      <c r="A4" s="179" t="n">
        <v>2</v>
      </c>
      <c r="B4" s="178" t="inlineStr">
        <is>
          <t>Системный</t>
        </is>
      </c>
      <c r="C4" s="178" t="inlineStr">
        <is>
          <t>Необходимо в минимальном объеме откорректировать внутренний порядок обучения и обеспечить его внедрение. Особую роль уделить распределению ответственности. Создать матрицу ответственности по процессам.</t>
        </is>
      </c>
      <c r="D4" s="178" t="inlineStr">
        <is>
          <t>Административный ресурс</t>
        </is>
      </c>
    </row>
    <row r="5" ht="96" customHeight="1">
      <c r="A5" s="179" t="n">
        <v>3</v>
      </c>
      <c r="B5" s="178" t="inlineStr">
        <is>
          <t>Обеспечение качества процесса</t>
        </is>
      </c>
      <c r="C5" s="178" t="n"/>
      <c r="D5" s="178" t="inlineStr">
        <is>
          <t>1. Оснащение учебного класса
2. Адаптация программ обучения
3. Выделение человеческих ресурсов для проведения обучения в достаточном объеме
4. Взаимодействие с подрядчиком в части содержания программ обучения</t>
        </is>
      </c>
    </row>
  </sheetData>
  <autoFilter ref="A2:D5"/>
  <mergeCells count="1">
    <mergeCell ref="A1:D1"/>
  </mergeCells>
  <pageMargins left="0.4" right="0.4" top="0.5" bottom="0.5" header="0.2" footer="0.2"/>
  <pageSetup orientation="landscape" paperSize="9" fitToHeight="0" fitToWidth="1"/>
</worksheet>
</file>

<file path=xl/worksheets/sheet11.xml><?xml version="1.0" encoding="utf-8"?>
<worksheet xmlns="http://schemas.openxmlformats.org/spreadsheetml/2006/main">
  <sheetPr>
    <outlinePr summaryBelow="1" summaryRight="1"/>
    <pageSetUpPr fitToPage="1"/>
  </sheetPr>
  <dimension ref="A1:B935"/>
  <sheetViews>
    <sheetView zoomScale="110" workbookViewId="0">
      <pane ySplit="2" topLeftCell="A3" activePane="bottomLeft" state="frozen"/>
      <selection pane="bottomLeft" activeCell="A1" sqref="A1"/>
    </sheetView>
  </sheetViews>
  <sheetFormatPr baseColWidth="8" defaultRowHeight="15"/>
  <cols>
    <col width="16" customWidth="1" min="1" max="1"/>
    <col width="36" customWidth="1" min="2" max="2"/>
  </cols>
  <sheetData>
    <row r="1" ht="48" customHeight="1">
      <c r="A1" s="163" t="inlineStr">
        <is>
          <t>Сопоставление нового обозначения с кодом из реестра. Номер дан по порядку первого появления работника на вкладке «Исходные данные». Проверка дублей: 932 разных кода, одинаковых фамилии и имени под разными кодами нет, каждому коду один номер. На остальных вкладках фамилий, имён и кодов нет.</t>
        </is>
      </c>
    </row>
    <row r="2" ht="22" customHeight="1">
      <c r="A2" s="135" t="inlineStr">
        <is>
          <t>FIO</t>
        </is>
      </c>
      <c r="B2" s="135" t="inlineStr">
        <is>
          <t>Фамилия КОД</t>
        </is>
      </c>
    </row>
    <row r="3" ht="18" customHeight="1">
      <c r="A3" s="45" t="inlineStr">
        <is>
          <t>работник 1</t>
        </is>
      </c>
      <c r="B3" s="45" t="inlineStr">
        <is>
          <t>АТЛогачев7ВалерийП</t>
        </is>
      </c>
    </row>
    <row r="4" ht="18" customHeight="1">
      <c r="A4" s="45" t="inlineStr">
        <is>
          <t>работник 2</t>
        </is>
      </c>
      <c r="B4" s="45" t="inlineStr">
        <is>
          <t>АТСлупский7МихаилП</t>
        </is>
      </c>
    </row>
    <row r="5" ht="18" customHeight="1">
      <c r="A5" s="45" t="inlineStr">
        <is>
          <t>работник 3</t>
        </is>
      </c>
      <c r="B5" s="45" t="inlineStr">
        <is>
          <t>АТКуликов7КонстантинП</t>
        </is>
      </c>
    </row>
    <row r="6" ht="18" customHeight="1">
      <c r="A6" s="45" t="inlineStr">
        <is>
          <t>работник 4</t>
        </is>
      </c>
      <c r="B6" s="45" t="inlineStr">
        <is>
          <t>АТМинюшин7ВалерийП</t>
        </is>
      </c>
    </row>
    <row r="7" ht="18" customHeight="1">
      <c r="A7" s="45" t="inlineStr">
        <is>
          <t>работник 5</t>
        </is>
      </c>
      <c r="B7" s="45" t="inlineStr">
        <is>
          <t>АТАрхипов7ВиталийП</t>
        </is>
      </c>
    </row>
    <row r="8" ht="18" customHeight="1">
      <c r="A8" s="45" t="inlineStr">
        <is>
          <t>работник 6</t>
        </is>
      </c>
      <c r="B8" s="45" t="inlineStr">
        <is>
          <t>АТПенцак7ЯрославП</t>
        </is>
      </c>
    </row>
    <row r="9" ht="18" customHeight="1">
      <c r="A9" s="45" t="inlineStr">
        <is>
          <t>работник 7</t>
        </is>
      </c>
      <c r="B9" s="45" t="inlineStr">
        <is>
          <t>АТУльябаев7ИсламП</t>
        </is>
      </c>
    </row>
    <row r="10" ht="18" customHeight="1">
      <c r="A10" s="45" t="inlineStr">
        <is>
          <t>работник 8</t>
        </is>
      </c>
      <c r="B10" s="45" t="inlineStr">
        <is>
          <t>АТЕлгин7АлександрП</t>
        </is>
      </c>
    </row>
    <row r="11" ht="18" customHeight="1">
      <c r="A11" s="45" t="inlineStr">
        <is>
          <t>работник 9</t>
        </is>
      </c>
      <c r="B11" s="45" t="inlineStr">
        <is>
          <t>АТОнбаев7ЕрланП</t>
        </is>
      </c>
    </row>
    <row r="12" ht="18" customHeight="1">
      <c r="A12" s="45" t="inlineStr">
        <is>
          <t>работник 10</t>
        </is>
      </c>
      <c r="B12" s="45" t="inlineStr">
        <is>
          <t>АТСвятов7ПавелП</t>
        </is>
      </c>
    </row>
    <row r="13" ht="18" customHeight="1">
      <c r="A13" s="45" t="inlineStr">
        <is>
          <t>работник 11</t>
        </is>
      </c>
      <c r="B13" s="45" t="inlineStr">
        <is>
          <t>АТШималин7ДмитрийП</t>
        </is>
      </c>
    </row>
    <row r="14" ht="18" customHeight="1">
      <c r="A14" s="45" t="inlineStr">
        <is>
          <t>работник 12</t>
        </is>
      </c>
      <c r="B14" s="45" t="inlineStr">
        <is>
          <t>АТСамохвалов7НиколайП</t>
        </is>
      </c>
    </row>
    <row r="15" ht="18" customHeight="1">
      <c r="A15" s="45" t="inlineStr">
        <is>
          <t>работник 13</t>
        </is>
      </c>
      <c r="B15" s="45" t="inlineStr">
        <is>
          <t>АТФаличев7ВиталийП</t>
        </is>
      </c>
    </row>
    <row r="16" ht="18" customHeight="1">
      <c r="A16" s="45" t="inlineStr">
        <is>
          <t>работник 14</t>
        </is>
      </c>
      <c r="B16" s="45" t="inlineStr">
        <is>
          <t>АТПоляков7ВалерийП</t>
        </is>
      </c>
    </row>
    <row r="17" ht="18" customHeight="1">
      <c r="A17" s="45" t="inlineStr">
        <is>
          <t>работник 15</t>
        </is>
      </c>
      <c r="B17" s="45" t="inlineStr">
        <is>
          <t>АТБлизнюк7ИгорьП</t>
        </is>
      </c>
    </row>
    <row r="18" ht="18" customHeight="1">
      <c r="A18" s="45" t="inlineStr">
        <is>
          <t>работник 16</t>
        </is>
      </c>
      <c r="B18" s="45" t="inlineStr">
        <is>
          <t>АТАржевикин7АлександрП</t>
        </is>
      </c>
    </row>
    <row r="19" ht="18" customHeight="1">
      <c r="A19" s="45" t="inlineStr">
        <is>
          <t>работник 17</t>
        </is>
      </c>
      <c r="B19" s="45" t="inlineStr">
        <is>
          <t>АТКарягин7АлексейП</t>
        </is>
      </c>
    </row>
    <row r="20" ht="18" customHeight="1">
      <c r="A20" s="45" t="inlineStr">
        <is>
          <t>работник 18</t>
        </is>
      </c>
      <c r="B20" s="45" t="inlineStr">
        <is>
          <t>АТТрудов7РоманП</t>
        </is>
      </c>
    </row>
    <row r="21" ht="18" customHeight="1">
      <c r="A21" s="45" t="inlineStr">
        <is>
          <t>работник 19</t>
        </is>
      </c>
      <c r="B21" s="45" t="inlineStr">
        <is>
          <t>АТПанченко7РоманП</t>
        </is>
      </c>
    </row>
    <row r="22" ht="18" customHeight="1">
      <c r="A22" s="45" t="inlineStr">
        <is>
          <t>работник 20</t>
        </is>
      </c>
      <c r="B22" s="45" t="inlineStr">
        <is>
          <t>АТТимаков7АлександрП</t>
        </is>
      </c>
    </row>
    <row r="23" ht="18" customHeight="1">
      <c r="A23" s="45" t="inlineStr">
        <is>
          <t>работник 21</t>
        </is>
      </c>
      <c r="B23" s="45" t="inlineStr">
        <is>
          <t>АТКарелин7ВикторП</t>
        </is>
      </c>
    </row>
    <row r="24" ht="18" customHeight="1">
      <c r="A24" s="45" t="inlineStr">
        <is>
          <t>работник 22</t>
        </is>
      </c>
      <c r="B24" s="45" t="inlineStr">
        <is>
          <t>АТКарпенко7АлексейП</t>
        </is>
      </c>
    </row>
    <row r="25" ht="18" customHeight="1">
      <c r="A25" s="45" t="inlineStr">
        <is>
          <t>работник 23</t>
        </is>
      </c>
      <c r="B25" s="45" t="inlineStr">
        <is>
          <t>АТХамидулин7НиколайП</t>
        </is>
      </c>
    </row>
    <row r="26" ht="18" customHeight="1">
      <c r="A26" s="45" t="inlineStr">
        <is>
          <t>работник 24</t>
        </is>
      </c>
      <c r="B26" s="45" t="inlineStr">
        <is>
          <t>АТШвецов7СергейП</t>
        </is>
      </c>
    </row>
    <row r="27" ht="18" customHeight="1">
      <c r="A27" s="45" t="inlineStr">
        <is>
          <t>работник 25</t>
        </is>
      </c>
      <c r="B27" s="45" t="inlineStr">
        <is>
          <t>АТМакеев7СергейП</t>
        </is>
      </c>
    </row>
    <row r="28" ht="18" customHeight="1">
      <c r="A28" s="45" t="inlineStr">
        <is>
          <t>работник 26</t>
        </is>
      </c>
      <c r="B28" s="45" t="inlineStr">
        <is>
          <t>АТЕвсейчик7АлексейП</t>
        </is>
      </c>
    </row>
    <row r="29" ht="18" customHeight="1">
      <c r="A29" s="45" t="inlineStr">
        <is>
          <t>работник 27</t>
        </is>
      </c>
      <c r="B29" s="45" t="inlineStr">
        <is>
          <t>АТСамусенко7ЕвгенийП</t>
        </is>
      </c>
    </row>
    <row r="30" ht="18" customHeight="1">
      <c r="A30" s="45" t="inlineStr">
        <is>
          <t>работник 28</t>
        </is>
      </c>
      <c r="B30" s="45" t="inlineStr">
        <is>
          <t>АТКачмар7МихаилП</t>
        </is>
      </c>
    </row>
    <row r="31" ht="18" customHeight="1">
      <c r="A31" s="45" t="inlineStr">
        <is>
          <t>работник 29</t>
        </is>
      </c>
      <c r="B31" s="45" t="inlineStr">
        <is>
          <t>АТНазаров7АлександрП</t>
        </is>
      </c>
    </row>
    <row r="32" ht="18" customHeight="1">
      <c r="A32" s="45" t="inlineStr">
        <is>
          <t>работник 30</t>
        </is>
      </c>
      <c r="B32" s="45" t="inlineStr">
        <is>
          <t>АТЛукьяненко7МаксимП</t>
        </is>
      </c>
    </row>
    <row r="33" ht="18" customHeight="1">
      <c r="A33" s="45" t="inlineStr">
        <is>
          <t>работник 31</t>
        </is>
      </c>
      <c r="B33" s="45" t="inlineStr">
        <is>
          <t>АТКривецкий7АндрейП</t>
        </is>
      </c>
    </row>
    <row r="34" ht="18" customHeight="1">
      <c r="A34" s="45" t="inlineStr">
        <is>
          <t>работник 32</t>
        </is>
      </c>
      <c r="B34" s="45" t="inlineStr">
        <is>
          <t>АТАкимов7АлексейП</t>
        </is>
      </c>
    </row>
    <row r="35" ht="18" customHeight="1">
      <c r="A35" s="45" t="inlineStr">
        <is>
          <t>работник 33</t>
        </is>
      </c>
      <c r="B35" s="45" t="inlineStr">
        <is>
          <t>АТСгурский7АлександрП</t>
        </is>
      </c>
    </row>
    <row r="36" ht="18" customHeight="1">
      <c r="A36" s="45" t="inlineStr">
        <is>
          <t>работник 34</t>
        </is>
      </c>
      <c r="B36" s="45" t="inlineStr">
        <is>
          <t>АТГончаров7АлександрП</t>
        </is>
      </c>
    </row>
    <row r="37" ht="18" customHeight="1">
      <c r="A37" s="45" t="inlineStr">
        <is>
          <t>работник 35</t>
        </is>
      </c>
      <c r="B37" s="45" t="inlineStr">
        <is>
          <t>АТКапустников7АлександрП</t>
        </is>
      </c>
    </row>
    <row r="38" ht="18" customHeight="1">
      <c r="A38" s="45" t="inlineStr">
        <is>
          <t>работник 36</t>
        </is>
      </c>
      <c r="B38" s="45" t="inlineStr">
        <is>
          <t>АТРажабов7ЭлмуродП</t>
        </is>
      </c>
    </row>
    <row r="39" ht="18" customHeight="1">
      <c r="A39" s="45" t="inlineStr">
        <is>
          <t>работник 37</t>
        </is>
      </c>
      <c r="B39" s="45" t="inlineStr">
        <is>
          <t>АТТуробов7УлугбекП</t>
        </is>
      </c>
    </row>
    <row r="40" ht="18" customHeight="1">
      <c r="A40" s="45" t="inlineStr">
        <is>
          <t>работник 38</t>
        </is>
      </c>
      <c r="B40" s="45" t="inlineStr">
        <is>
          <t>АТЗанин7АлександрП</t>
        </is>
      </c>
    </row>
    <row r="41" ht="18" customHeight="1">
      <c r="A41" s="45" t="inlineStr">
        <is>
          <t>работник 39</t>
        </is>
      </c>
      <c r="B41" s="45" t="inlineStr">
        <is>
          <t>АТШагжиев7НиколайП</t>
        </is>
      </c>
    </row>
    <row r="42" ht="18" customHeight="1">
      <c r="A42" s="45" t="inlineStr">
        <is>
          <t>работник 40</t>
        </is>
      </c>
      <c r="B42" s="45" t="inlineStr">
        <is>
          <t>АТЖуравлева7ОльгаП</t>
        </is>
      </c>
    </row>
    <row r="43" ht="18" customHeight="1">
      <c r="A43" s="45" t="inlineStr">
        <is>
          <t>работник 41</t>
        </is>
      </c>
      <c r="B43" s="45" t="inlineStr">
        <is>
          <t>АТОсипов7ДмитрийП</t>
        </is>
      </c>
    </row>
    <row r="44" ht="18" customHeight="1">
      <c r="A44" s="45" t="inlineStr">
        <is>
          <t>работник 42</t>
        </is>
      </c>
      <c r="B44" s="45" t="inlineStr">
        <is>
          <t>АТПерминов7КириллП</t>
        </is>
      </c>
    </row>
    <row r="45" ht="18" customHeight="1">
      <c r="A45" s="45" t="inlineStr">
        <is>
          <t>работник 43</t>
        </is>
      </c>
      <c r="B45" s="45" t="inlineStr">
        <is>
          <t>АТБояндинов7РусланП</t>
        </is>
      </c>
    </row>
    <row r="46" ht="18" customHeight="1">
      <c r="A46" s="45" t="inlineStr">
        <is>
          <t>работник 44</t>
        </is>
      </c>
      <c r="B46" s="45" t="inlineStr">
        <is>
          <t>АТБредюк7СтаниславП</t>
        </is>
      </c>
    </row>
    <row r="47" ht="18" customHeight="1">
      <c r="A47" s="45" t="inlineStr">
        <is>
          <t>работник 45</t>
        </is>
      </c>
      <c r="B47" s="45" t="inlineStr">
        <is>
          <t>АТКузнецов7ЮрийП</t>
        </is>
      </c>
    </row>
    <row r="48" ht="18" customHeight="1">
      <c r="A48" s="45" t="inlineStr">
        <is>
          <t>работник 46</t>
        </is>
      </c>
      <c r="B48" s="45" t="inlineStr">
        <is>
          <t>АТКарповец7АлександрП</t>
        </is>
      </c>
    </row>
    <row r="49" ht="18" customHeight="1">
      <c r="A49" s="45" t="inlineStr">
        <is>
          <t>работник 47</t>
        </is>
      </c>
      <c r="B49" s="45" t="inlineStr">
        <is>
          <t>АТБелоусов7ЭдуардП</t>
        </is>
      </c>
    </row>
    <row r="50" ht="18" customHeight="1">
      <c r="A50" s="45" t="inlineStr">
        <is>
          <t>работник 48</t>
        </is>
      </c>
      <c r="B50" s="45" t="inlineStr">
        <is>
          <t>АТАндрияш7ВикторП</t>
        </is>
      </c>
    </row>
    <row r="51" ht="18" customHeight="1">
      <c r="A51" s="45" t="inlineStr">
        <is>
          <t>работник 49</t>
        </is>
      </c>
      <c r="B51" s="45" t="inlineStr">
        <is>
          <t>АТТимохин7ИванП</t>
        </is>
      </c>
    </row>
    <row r="52" ht="18" customHeight="1">
      <c r="A52" s="45" t="inlineStr">
        <is>
          <t>работник 50</t>
        </is>
      </c>
      <c r="B52" s="45" t="inlineStr">
        <is>
          <t>АТСолоп7ДмитрийП</t>
        </is>
      </c>
    </row>
    <row r="53" ht="18" customHeight="1">
      <c r="A53" s="45" t="inlineStr">
        <is>
          <t>работник 51</t>
        </is>
      </c>
      <c r="B53" s="45" t="inlineStr">
        <is>
          <t>АТСвистиков7СергейП</t>
        </is>
      </c>
    </row>
    <row r="54" ht="18" customHeight="1">
      <c r="A54" s="45" t="inlineStr">
        <is>
          <t>работник 52</t>
        </is>
      </c>
      <c r="B54" s="45" t="inlineStr">
        <is>
          <t>АТПопов7ПавелП</t>
        </is>
      </c>
    </row>
    <row r="55" ht="18" customHeight="1">
      <c r="A55" s="45" t="inlineStr">
        <is>
          <t>работник 53</t>
        </is>
      </c>
      <c r="B55" s="45" t="inlineStr">
        <is>
          <t>АТАрхипов7НиколайП</t>
        </is>
      </c>
    </row>
    <row r="56" ht="18" customHeight="1">
      <c r="A56" s="45" t="inlineStr">
        <is>
          <t>работник 54</t>
        </is>
      </c>
      <c r="B56" s="45" t="inlineStr">
        <is>
          <t>АТФролов7НиколайП</t>
        </is>
      </c>
    </row>
    <row r="57" ht="18" customHeight="1">
      <c r="A57" s="45" t="inlineStr">
        <is>
          <t>работник 55</t>
        </is>
      </c>
      <c r="B57" s="45" t="inlineStr">
        <is>
          <t>АТБибиков7МихаилП</t>
        </is>
      </c>
    </row>
    <row r="58" ht="18" customHeight="1">
      <c r="A58" s="45" t="inlineStr">
        <is>
          <t>работник 56</t>
        </is>
      </c>
      <c r="B58" s="45" t="inlineStr">
        <is>
          <t>АТБакшеев7ВладимирП</t>
        </is>
      </c>
    </row>
    <row r="59" ht="18" customHeight="1">
      <c r="A59" s="45" t="inlineStr">
        <is>
          <t>работник 57</t>
        </is>
      </c>
      <c r="B59" s="45" t="inlineStr">
        <is>
          <t>АТГоловин7ЕвгенийП</t>
        </is>
      </c>
    </row>
    <row r="60" ht="18" customHeight="1">
      <c r="A60" s="45" t="inlineStr">
        <is>
          <t>работник 58</t>
        </is>
      </c>
      <c r="B60" s="45" t="inlineStr">
        <is>
          <t>АТМорозов7АлександрП</t>
        </is>
      </c>
    </row>
    <row r="61" ht="18" customHeight="1">
      <c r="A61" s="45" t="inlineStr">
        <is>
          <t>работник 59</t>
        </is>
      </c>
      <c r="B61" s="45" t="inlineStr">
        <is>
          <t>АТВоротников7МихаилП</t>
        </is>
      </c>
    </row>
    <row r="62" ht="18" customHeight="1">
      <c r="A62" s="45" t="inlineStr">
        <is>
          <t>работник 60</t>
        </is>
      </c>
      <c r="B62" s="45" t="inlineStr">
        <is>
          <t>АТБойко7СергейП</t>
        </is>
      </c>
    </row>
    <row r="63" ht="18" customHeight="1">
      <c r="A63" s="45" t="inlineStr">
        <is>
          <t>работник 61</t>
        </is>
      </c>
      <c r="B63" s="45" t="inlineStr">
        <is>
          <t>АТБроваренко7ОлегП</t>
        </is>
      </c>
    </row>
    <row r="64" ht="18" customHeight="1">
      <c r="A64" s="45" t="inlineStr">
        <is>
          <t>работник 62</t>
        </is>
      </c>
      <c r="B64" s="45" t="inlineStr">
        <is>
          <t>АТАнтоненко7ВиталийП</t>
        </is>
      </c>
    </row>
    <row r="65" ht="18" customHeight="1">
      <c r="A65" s="45" t="inlineStr">
        <is>
          <t>работник 63</t>
        </is>
      </c>
      <c r="B65" s="45" t="inlineStr">
        <is>
          <t>АТФаличев7ДаниилП</t>
        </is>
      </c>
    </row>
    <row r="66" ht="18" customHeight="1">
      <c r="A66" s="45" t="inlineStr">
        <is>
          <t>работник 64</t>
        </is>
      </c>
      <c r="B66" s="45" t="inlineStr">
        <is>
          <t>АТБеломестов7РоманП</t>
        </is>
      </c>
    </row>
    <row r="67" ht="18" customHeight="1">
      <c r="A67" s="45" t="inlineStr">
        <is>
          <t>работник 65</t>
        </is>
      </c>
      <c r="B67" s="45" t="inlineStr">
        <is>
          <t>АТСуханов7АлександрП</t>
        </is>
      </c>
    </row>
    <row r="68" ht="18" customHeight="1">
      <c r="A68" s="45" t="inlineStr">
        <is>
          <t>работник 66</t>
        </is>
      </c>
      <c r="B68" s="45" t="inlineStr">
        <is>
          <t>АТЧервинский7МаксимП</t>
        </is>
      </c>
    </row>
    <row r="69" ht="18" customHeight="1">
      <c r="A69" s="45" t="inlineStr">
        <is>
          <t>работник 67</t>
        </is>
      </c>
      <c r="B69" s="45" t="inlineStr">
        <is>
          <t>АТМаккар7АндрейП</t>
        </is>
      </c>
    </row>
    <row r="70" ht="18" customHeight="1">
      <c r="A70" s="45" t="inlineStr">
        <is>
          <t>работник 68</t>
        </is>
      </c>
      <c r="B70" s="45" t="inlineStr">
        <is>
          <t>АТЖадков7ГригорийП</t>
        </is>
      </c>
    </row>
    <row r="71" ht="18" customHeight="1">
      <c r="A71" s="45" t="inlineStr">
        <is>
          <t>работник 69</t>
        </is>
      </c>
      <c r="B71" s="45" t="inlineStr">
        <is>
          <t>АТЗыков7НиколайП</t>
        </is>
      </c>
    </row>
    <row r="72" ht="18" customHeight="1">
      <c r="A72" s="45" t="inlineStr">
        <is>
          <t>работник 70</t>
        </is>
      </c>
      <c r="B72" s="45" t="inlineStr">
        <is>
          <t>АТКочурин7СергейП</t>
        </is>
      </c>
    </row>
    <row r="73" ht="18" customHeight="1">
      <c r="A73" s="45" t="inlineStr">
        <is>
          <t>работник 71</t>
        </is>
      </c>
      <c r="B73" s="45" t="inlineStr">
        <is>
          <t>АТПак7КонстантинП</t>
        </is>
      </c>
    </row>
    <row r="74" ht="18" customHeight="1">
      <c r="A74" s="45" t="inlineStr">
        <is>
          <t>работник 72</t>
        </is>
      </c>
      <c r="B74" s="45" t="inlineStr">
        <is>
          <t>АТШкрет7АлександрП</t>
        </is>
      </c>
    </row>
    <row r="75" ht="18" customHeight="1">
      <c r="A75" s="45" t="inlineStr">
        <is>
          <t>работник 73</t>
        </is>
      </c>
      <c r="B75" s="45" t="inlineStr">
        <is>
          <t>АТМамарахимова7ЗамирахонП</t>
        </is>
      </c>
    </row>
    <row r="76" ht="18" customHeight="1">
      <c r="A76" s="45" t="inlineStr">
        <is>
          <t>работник 74</t>
        </is>
      </c>
      <c r="B76" s="45" t="inlineStr">
        <is>
          <t>АТИльиных7АленаП</t>
        </is>
      </c>
    </row>
    <row r="77" ht="18" customHeight="1">
      <c r="A77" s="45" t="inlineStr">
        <is>
          <t>работник 75</t>
        </is>
      </c>
      <c r="B77" s="45" t="inlineStr">
        <is>
          <t>АТАнтипов7РоманП</t>
        </is>
      </c>
    </row>
    <row r="78" ht="18" customHeight="1">
      <c r="A78" s="45" t="inlineStr">
        <is>
          <t>работник 76</t>
        </is>
      </c>
      <c r="B78" s="45" t="inlineStr">
        <is>
          <t>АТАнтипин7ИванП</t>
        </is>
      </c>
    </row>
    <row r="79" ht="18" customHeight="1">
      <c r="A79" s="45" t="inlineStr">
        <is>
          <t>работник 77</t>
        </is>
      </c>
      <c r="B79" s="45" t="inlineStr">
        <is>
          <t>АТАндрейкин7СергейП</t>
        </is>
      </c>
    </row>
    <row r="80" ht="18" customHeight="1">
      <c r="A80" s="45" t="inlineStr">
        <is>
          <t>работник 78</t>
        </is>
      </c>
      <c r="B80" s="45" t="inlineStr">
        <is>
          <t>АТАлбитов7АлександрП</t>
        </is>
      </c>
    </row>
    <row r="81" ht="18" customHeight="1">
      <c r="A81" s="45" t="inlineStr">
        <is>
          <t>работник 79</t>
        </is>
      </c>
      <c r="B81" s="45" t="inlineStr">
        <is>
          <t>АТБальберг7СергейП</t>
        </is>
      </c>
    </row>
    <row r="82" ht="18" customHeight="1">
      <c r="A82" s="45" t="inlineStr">
        <is>
          <t>работник 80</t>
        </is>
      </c>
      <c r="B82" s="45" t="inlineStr">
        <is>
          <t>АТГанцев7ВикторП</t>
        </is>
      </c>
    </row>
    <row r="83" ht="18" customHeight="1">
      <c r="A83" s="45" t="inlineStr">
        <is>
          <t>работник 81</t>
        </is>
      </c>
      <c r="B83" s="45" t="inlineStr">
        <is>
          <t>АТИванов7ВадимП</t>
        </is>
      </c>
    </row>
    <row r="84" ht="18" customHeight="1">
      <c r="A84" s="45" t="inlineStr">
        <is>
          <t>работник 82</t>
        </is>
      </c>
      <c r="B84" s="45" t="inlineStr">
        <is>
          <t>АТПлешанов7АндрейП</t>
        </is>
      </c>
    </row>
    <row r="85" ht="18" customHeight="1">
      <c r="A85" s="45" t="inlineStr">
        <is>
          <t>работник 83</t>
        </is>
      </c>
      <c r="B85" s="45" t="inlineStr">
        <is>
          <t>АТРябов7ВикторП</t>
        </is>
      </c>
    </row>
    <row r="86" ht="18" customHeight="1">
      <c r="A86" s="45" t="inlineStr">
        <is>
          <t>работник 84</t>
        </is>
      </c>
      <c r="B86" s="45" t="inlineStr">
        <is>
          <t>АТШеремьев7ДенисП</t>
        </is>
      </c>
    </row>
    <row r="87" ht="18" customHeight="1">
      <c r="A87" s="45" t="inlineStr">
        <is>
          <t>работник 85</t>
        </is>
      </c>
      <c r="B87" s="45" t="inlineStr">
        <is>
          <t>АТМузаев7АмалханП</t>
        </is>
      </c>
    </row>
    <row r="88" ht="18" customHeight="1">
      <c r="A88" s="45" t="inlineStr">
        <is>
          <t>работник 86</t>
        </is>
      </c>
      <c r="B88" s="45" t="inlineStr">
        <is>
          <t>АТКостиков7АндрейП</t>
        </is>
      </c>
    </row>
    <row r="89" ht="18" customHeight="1">
      <c r="A89" s="45" t="inlineStr">
        <is>
          <t>работник 87</t>
        </is>
      </c>
      <c r="B89" s="45" t="inlineStr">
        <is>
          <t>АТЦеев7АлекейП</t>
        </is>
      </c>
    </row>
    <row r="90" ht="18" customHeight="1">
      <c r="A90" s="45" t="inlineStr">
        <is>
          <t>работник 88</t>
        </is>
      </c>
      <c r="B90" s="45" t="inlineStr">
        <is>
          <t>АТЯнтурин7РафикП</t>
        </is>
      </c>
    </row>
    <row r="91" ht="18" customHeight="1">
      <c r="A91" s="45" t="inlineStr">
        <is>
          <t>работник 89</t>
        </is>
      </c>
      <c r="B91" s="45" t="inlineStr">
        <is>
          <t>АТМетельский7ВладимирП</t>
        </is>
      </c>
    </row>
    <row r="92" ht="18" customHeight="1">
      <c r="A92" s="45" t="inlineStr">
        <is>
          <t>работник 90</t>
        </is>
      </c>
      <c r="B92" s="45" t="inlineStr">
        <is>
          <t>АТКулинич7АлексейП</t>
        </is>
      </c>
    </row>
    <row r="93" ht="18" customHeight="1">
      <c r="A93" s="45" t="inlineStr">
        <is>
          <t>работник 91</t>
        </is>
      </c>
      <c r="B93" s="45" t="inlineStr">
        <is>
          <t>АТПопов7СергейП</t>
        </is>
      </c>
    </row>
    <row r="94" ht="18" customHeight="1">
      <c r="A94" s="45" t="inlineStr">
        <is>
          <t>работник 92</t>
        </is>
      </c>
      <c r="B94" s="45" t="inlineStr">
        <is>
          <t>АТРоянов7ТалгатпекП</t>
        </is>
      </c>
    </row>
    <row r="95" ht="18" customHeight="1">
      <c r="A95" s="45" t="inlineStr">
        <is>
          <t>работник 93</t>
        </is>
      </c>
      <c r="B95" s="45" t="inlineStr">
        <is>
          <t>АТВерстюк7ЛюдмилаП</t>
        </is>
      </c>
    </row>
    <row r="96" ht="18" customHeight="1">
      <c r="A96" s="45" t="inlineStr">
        <is>
          <t>работник 94</t>
        </is>
      </c>
      <c r="B96" s="45" t="inlineStr">
        <is>
          <t>АТБарановский7ДмитрийП</t>
        </is>
      </c>
    </row>
    <row r="97" ht="18" customHeight="1">
      <c r="A97" s="45" t="inlineStr">
        <is>
          <t>работник 95</t>
        </is>
      </c>
      <c r="B97" s="45" t="inlineStr">
        <is>
          <t>АТШишкин7ИванП</t>
        </is>
      </c>
    </row>
    <row r="98" ht="18" customHeight="1">
      <c r="A98" s="45" t="inlineStr">
        <is>
          <t>работник 96</t>
        </is>
      </c>
      <c r="B98" s="45" t="inlineStr">
        <is>
          <t>АТРонжин7АнатолийП</t>
        </is>
      </c>
    </row>
    <row r="99" ht="18" customHeight="1">
      <c r="A99" s="45" t="inlineStr">
        <is>
          <t>работник 97</t>
        </is>
      </c>
      <c r="B99" s="45" t="inlineStr">
        <is>
          <t>АТФедотов7ВадимП</t>
        </is>
      </c>
    </row>
    <row r="100" ht="18" customHeight="1">
      <c r="A100" s="45" t="inlineStr">
        <is>
          <t>работник 98</t>
        </is>
      </c>
      <c r="B100" s="45" t="inlineStr">
        <is>
          <t>АТНикитина7ТатьянаП</t>
        </is>
      </c>
    </row>
    <row r="101" ht="18" customHeight="1">
      <c r="A101" s="45" t="inlineStr">
        <is>
          <t>работник 99</t>
        </is>
      </c>
      <c r="B101" s="45" t="inlineStr">
        <is>
          <t>АТПестов7АндрейП</t>
        </is>
      </c>
    </row>
    <row r="102" ht="18" customHeight="1">
      <c r="A102" s="45" t="inlineStr">
        <is>
          <t>работник 100</t>
        </is>
      </c>
      <c r="B102" s="45" t="inlineStr">
        <is>
          <t>АТДанилов7ВладимирП</t>
        </is>
      </c>
    </row>
    <row r="103" ht="18" customHeight="1">
      <c r="A103" s="45" t="inlineStr">
        <is>
          <t>работник 101</t>
        </is>
      </c>
      <c r="B103" s="45" t="inlineStr">
        <is>
          <t>АТКрасковский7ИванП</t>
        </is>
      </c>
    </row>
    <row r="104" ht="18" customHeight="1">
      <c r="A104" s="45" t="inlineStr">
        <is>
          <t>работник 102</t>
        </is>
      </c>
      <c r="B104" s="45" t="inlineStr">
        <is>
          <t>АТДудникова7АнтонинаП</t>
        </is>
      </c>
    </row>
    <row r="105" ht="18" customHeight="1">
      <c r="A105" s="45" t="inlineStr">
        <is>
          <t>работник 103</t>
        </is>
      </c>
      <c r="B105" s="45" t="inlineStr">
        <is>
          <t>АТШаропов7КомилП</t>
        </is>
      </c>
    </row>
    <row r="106" ht="18" customHeight="1">
      <c r="A106" s="45" t="inlineStr">
        <is>
          <t>работник 104</t>
        </is>
      </c>
      <c r="B106" s="45" t="inlineStr">
        <is>
          <t>АТАнтонов7ДенисП</t>
        </is>
      </c>
    </row>
    <row r="107" ht="18" customHeight="1">
      <c r="A107" s="45" t="inlineStr">
        <is>
          <t>работник 105</t>
        </is>
      </c>
      <c r="B107" s="45" t="inlineStr">
        <is>
          <t>АТВолодина7СветланаП</t>
        </is>
      </c>
    </row>
    <row r="108" ht="18" customHeight="1">
      <c r="A108" s="45" t="inlineStr">
        <is>
          <t>работник 106</t>
        </is>
      </c>
      <c r="B108" s="45" t="inlineStr">
        <is>
          <t>АТЧичик7ТатьянаП</t>
        </is>
      </c>
    </row>
    <row r="109" ht="18" customHeight="1">
      <c r="A109" s="45" t="inlineStr">
        <is>
          <t>работник 107</t>
        </is>
      </c>
      <c r="B109" s="45" t="inlineStr">
        <is>
          <t>АТШерошенко7АлексейП</t>
        </is>
      </c>
    </row>
    <row r="110" ht="18" customHeight="1">
      <c r="A110" s="45" t="inlineStr">
        <is>
          <t>работник 108</t>
        </is>
      </c>
      <c r="B110" s="45" t="inlineStr">
        <is>
          <t>АТКлочкова7ЕленаП</t>
        </is>
      </c>
    </row>
    <row r="111" ht="18" customHeight="1">
      <c r="A111" s="45" t="inlineStr">
        <is>
          <t>работник 109</t>
        </is>
      </c>
      <c r="B111" s="45" t="inlineStr">
        <is>
          <t>АТБаранов7АндрейП</t>
        </is>
      </c>
    </row>
    <row r="112" ht="18" customHeight="1">
      <c r="A112" s="45" t="inlineStr">
        <is>
          <t>работник 110</t>
        </is>
      </c>
      <c r="B112" s="45" t="inlineStr">
        <is>
          <t>АТБогомякова7КристинаП</t>
        </is>
      </c>
    </row>
    <row r="113" ht="18" customHeight="1">
      <c r="A113" s="45" t="inlineStr">
        <is>
          <t>работник 111</t>
        </is>
      </c>
      <c r="B113" s="45" t="inlineStr">
        <is>
          <t>АТЛевин7АнатолийП</t>
        </is>
      </c>
    </row>
    <row r="114" ht="18" customHeight="1">
      <c r="A114" s="45" t="inlineStr">
        <is>
          <t>работник 112</t>
        </is>
      </c>
      <c r="B114" s="45" t="inlineStr">
        <is>
          <t>АТПопов7АндрейП</t>
        </is>
      </c>
    </row>
    <row r="115" ht="18" customHeight="1">
      <c r="A115" s="45" t="inlineStr">
        <is>
          <t>работник 113</t>
        </is>
      </c>
      <c r="B115" s="45" t="inlineStr">
        <is>
          <t>АТПороткина7ЕкатеринаП</t>
        </is>
      </c>
    </row>
    <row r="116" ht="18" customHeight="1">
      <c r="A116" s="45" t="inlineStr">
        <is>
          <t>работник 114</t>
        </is>
      </c>
      <c r="B116" s="45" t="inlineStr">
        <is>
          <t>АТГордеева7ЕленаП</t>
        </is>
      </c>
    </row>
    <row r="117" ht="18" customHeight="1">
      <c r="A117" s="45" t="inlineStr">
        <is>
          <t>работник 115</t>
        </is>
      </c>
      <c r="B117" s="45" t="inlineStr">
        <is>
          <t>АТЕлистратов7АндрейП</t>
        </is>
      </c>
    </row>
    <row r="118" ht="18" customHeight="1">
      <c r="A118" s="45" t="inlineStr">
        <is>
          <t>работник 116</t>
        </is>
      </c>
      <c r="B118" s="45" t="inlineStr">
        <is>
          <t>АТСафаров7ИлёсП</t>
        </is>
      </c>
    </row>
    <row r="119" ht="18" customHeight="1">
      <c r="A119" s="45" t="inlineStr">
        <is>
          <t>работник 117</t>
        </is>
      </c>
      <c r="B119" s="45" t="inlineStr">
        <is>
          <t>АТСысун7ЛюбовьП</t>
        </is>
      </c>
    </row>
    <row r="120" ht="18" customHeight="1">
      <c r="A120" s="45" t="inlineStr">
        <is>
          <t>работник 118</t>
        </is>
      </c>
      <c r="B120" s="45" t="inlineStr">
        <is>
          <t>АТФурсеева7НаталияП</t>
        </is>
      </c>
    </row>
    <row r="121" ht="18" customHeight="1">
      <c r="A121" s="45" t="inlineStr">
        <is>
          <t>работник 119</t>
        </is>
      </c>
      <c r="B121" s="45" t="inlineStr">
        <is>
          <t>АТЯфизов7РоманП</t>
        </is>
      </c>
    </row>
    <row r="122" ht="18" customHeight="1">
      <c r="A122" s="45" t="inlineStr">
        <is>
          <t>работник 120</t>
        </is>
      </c>
      <c r="B122" s="45" t="inlineStr">
        <is>
          <t>АТРусин7ЮрийП</t>
        </is>
      </c>
    </row>
    <row r="123" ht="18" customHeight="1">
      <c r="A123" s="45" t="inlineStr">
        <is>
          <t>работник 121</t>
        </is>
      </c>
      <c r="B123" s="45" t="inlineStr">
        <is>
          <t>АТХаритонов7СергейП</t>
        </is>
      </c>
    </row>
    <row r="124" ht="18" customHeight="1">
      <c r="A124" s="45" t="inlineStr">
        <is>
          <t>работник 122</t>
        </is>
      </c>
      <c r="B124" s="45" t="inlineStr">
        <is>
          <t>АТШателюков7АлександрП</t>
        </is>
      </c>
    </row>
    <row r="125" ht="18" customHeight="1">
      <c r="A125" s="45" t="inlineStr">
        <is>
          <t>работник 123</t>
        </is>
      </c>
      <c r="B125" s="45" t="inlineStr">
        <is>
          <t>АТСеменов7ВикторП</t>
        </is>
      </c>
    </row>
    <row r="126" ht="18" customHeight="1">
      <c r="A126" s="45" t="inlineStr">
        <is>
          <t>работник 124</t>
        </is>
      </c>
      <c r="B126" s="45" t="inlineStr">
        <is>
          <t>АТПодшивалов7АлексейП</t>
        </is>
      </c>
    </row>
    <row r="127" ht="18" customHeight="1">
      <c r="A127" s="45" t="inlineStr">
        <is>
          <t>работник 125</t>
        </is>
      </c>
      <c r="B127" s="45" t="inlineStr">
        <is>
          <t>АТКозырев7ВиталийП</t>
        </is>
      </c>
    </row>
    <row r="128" ht="18" customHeight="1">
      <c r="A128" s="45" t="inlineStr">
        <is>
          <t>работник 126</t>
        </is>
      </c>
      <c r="B128" s="45" t="inlineStr">
        <is>
          <t>АТАкунка7ЕгорП</t>
        </is>
      </c>
    </row>
    <row r="129" ht="18" customHeight="1">
      <c r="A129" s="45" t="inlineStr">
        <is>
          <t>работник 127</t>
        </is>
      </c>
      <c r="B129" s="45" t="inlineStr">
        <is>
          <t>АТИванчуков7АндрейП</t>
        </is>
      </c>
    </row>
    <row r="130" ht="18" customHeight="1">
      <c r="A130" s="45" t="inlineStr">
        <is>
          <t>работник 128</t>
        </is>
      </c>
      <c r="B130" s="45" t="inlineStr">
        <is>
          <t>АТТимошин7АлексейП</t>
        </is>
      </c>
    </row>
    <row r="131" ht="18" customHeight="1">
      <c r="A131" s="45" t="inlineStr">
        <is>
          <t>работник 129</t>
        </is>
      </c>
      <c r="B131" s="45" t="inlineStr">
        <is>
          <t>АТПуртов7ВладимирП</t>
        </is>
      </c>
    </row>
    <row r="132" ht="18" customHeight="1">
      <c r="A132" s="45" t="inlineStr">
        <is>
          <t>работник 130</t>
        </is>
      </c>
      <c r="B132" s="45" t="inlineStr">
        <is>
          <t>АТТереньев7ИванП</t>
        </is>
      </c>
    </row>
    <row r="133" ht="18" customHeight="1">
      <c r="A133" s="45" t="inlineStr">
        <is>
          <t>работник 131</t>
        </is>
      </c>
      <c r="B133" s="45" t="inlineStr">
        <is>
          <t>АТПороткин7ВладимирП</t>
        </is>
      </c>
    </row>
    <row r="134" ht="18" customHeight="1">
      <c r="A134" s="45" t="inlineStr">
        <is>
          <t>работник 132</t>
        </is>
      </c>
      <c r="B134" s="45" t="inlineStr">
        <is>
          <t>АТКубряков7ИгорьП</t>
        </is>
      </c>
    </row>
    <row r="135" ht="18" customHeight="1">
      <c r="A135" s="45" t="inlineStr">
        <is>
          <t>работник 133</t>
        </is>
      </c>
      <c r="B135" s="45" t="inlineStr">
        <is>
          <t>АТКубряков7ПавелП</t>
        </is>
      </c>
    </row>
    <row r="136" ht="18" customHeight="1">
      <c r="A136" s="45" t="inlineStr">
        <is>
          <t>работник 134</t>
        </is>
      </c>
      <c r="B136" s="45" t="inlineStr">
        <is>
          <t>АТВысторопец7ЕвгенийП</t>
        </is>
      </c>
    </row>
    <row r="137" ht="18" customHeight="1">
      <c r="A137" s="45" t="inlineStr">
        <is>
          <t>работник 135</t>
        </is>
      </c>
      <c r="B137" s="45" t="inlineStr">
        <is>
          <t>АТАронов7КонстантинП</t>
        </is>
      </c>
    </row>
    <row r="138" ht="18" customHeight="1">
      <c r="A138" s="45" t="inlineStr">
        <is>
          <t>работник 136</t>
        </is>
      </c>
      <c r="B138" s="45" t="inlineStr">
        <is>
          <t>АТДубовицкий7АлексейП</t>
        </is>
      </c>
    </row>
    <row r="139" ht="18" customHeight="1">
      <c r="A139" s="45" t="inlineStr">
        <is>
          <t>работник 137</t>
        </is>
      </c>
      <c r="B139" s="45" t="inlineStr">
        <is>
          <t>АТМатушкин7ПетрП</t>
        </is>
      </c>
    </row>
    <row r="140" ht="18" customHeight="1">
      <c r="A140" s="45" t="inlineStr">
        <is>
          <t>работник 138</t>
        </is>
      </c>
      <c r="B140" s="45" t="inlineStr">
        <is>
          <t>АТРизаханов7СефиханП</t>
        </is>
      </c>
    </row>
    <row r="141" ht="18" customHeight="1">
      <c r="A141" s="45" t="inlineStr">
        <is>
          <t>работник 139</t>
        </is>
      </c>
      <c r="B141" s="45" t="inlineStr">
        <is>
          <t>АТГлинский7ОлегП</t>
        </is>
      </c>
    </row>
    <row r="142" ht="18" customHeight="1">
      <c r="A142" s="45" t="inlineStr">
        <is>
          <t>работник 140</t>
        </is>
      </c>
      <c r="B142" s="45" t="inlineStr">
        <is>
          <t>АТЕгоров7ВалерийП</t>
        </is>
      </c>
    </row>
    <row r="143" ht="18" customHeight="1">
      <c r="A143" s="45" t="inlineStr">
        <is>
          <t>работник 141</t>
        </is>
      </c>
      <c r="B143" s="45" t="inlineStr">
        <is>
          <t>АТОбидин7ДмитрийП</t>
        </is>
      </c>
    </row>
    <row r="144" ht="18" customHeight="1">
      <c r="A144" s="45" t="inlineStr">
        <is>
          <t>работник 142</t>
        </is>
      </c>
      <c r="B144" s="45" t="inlineStr">
        <is>
          <t>АТДахно7АлександрП</t>
        </is>
      </c>
    </row>
    <row r="145" ht="18" customHeight="1">
      <c r="A145" s="45" t="inlineStr">
        <is>
          <t>работник 143</t>
        </is>
      </c>
      <c r="B145" s="45" t="inlineStr">
        <is>
          <t>АТДимченко7АнатолийП</t>
        </is>
      </c>
    </row>
    <row r="146" ht="18" customHeight="1">
      <c r="A146" s="45" t="inlineStr">
        <is>
          <t>работник 144</t>
        </is>
      </c>
      <c r="B146" s="45" t="inlineStr">
        <is>
          <t>АТБоков7ВячеславП</t>
        </is>
      </c>
    </row>
    <row r="147" ht="18" customHeight="1">
      <c r="A147" s="45" t="inlineStr">
        <is>
          <t>работник 145</t>
        </is>
      </c>
      <c r="B147" s="45" t="inlineStr">
        <is>
          <t>АТТонких7ЭдуардП</t>
        </is>
      </c>
    </row>
    <row r="148" ht="18" customHeight="1">
      <c r="A148" s="45" t="inlineStr">
        <is>
          <t>работник 146</t>
        </is>
      </c>
      <c r="B148" s="45" t="inlineStr">
        <is>
          <t>АТАгафонов7ИванП</t>
        </is>
      </c>
    </row>
    <row r="149" ht="18" customHeight="1">
      <c r="A149" s="45" t="inlineStr">
        <is>
          <t>работник 147</t>
        </is>
      </c>
      <c r="B149" s="45" t="inlineStr">
        <is>
          <t>АТАлексеев7АлексейП</t>
        </is>
      </c>
    </row>
    <row r="150" ht="18" customHeight="1">
      <c r="A150" s="45" t="inlineStr">
        <is>
          <t>работник 148</t>
        </is>
      </c>
      <c r="B150" s="45" t="inlineStr">
        <is>
          <t>АТБаженов7КириллП</t>
        </is>
      </c>
    </row>
    <row r="151" ht="18" customHeight="1">
      <c r="A151" s="45" t="inlineStr">
        <is>
          <t>работник 149</t>
        </is>
      </c>
      <c r="B151" s="45" t="inlineStr">
        <is>
          <t>АТБанников7ВасилийП</t>
        </is>
      </c>
    </row>
    <row r="152" ht="18" customHeight="1">
      <c r="A152" s="45" t="inlineStr">
        <is>
          <t>работник 150</t>
        </is>
      </c>
      <c r="B152" s="45" t="inlineStr">
        <is>
          <t>АТБанников7СергейП</t>
        </is>
      </c>
    </row>
    <row r="153" ht="18" customHeight="1">
      <c r="A153" s="45" t="inlineStr">
        <is>
          <t>работник 151</t>
        </is>
      </c>
      <c r="B153" s="45" t="inlineStr">
        <is>
          <t>АТБанчук7МихаилП</t>
        </is>
      </c>
    </row>
    <row r="154" ht="18" customHeight="1">
      <c r="A154" s="45" t="inlineStr">
        <is>
          <t>работник 152</t>
        </is>
      </c>
      <c r="B154" s="45" t="inlineStr">
        <is>
          <t>АТБатурин7ГеннадийП</t>
        </is>
      </c>
    </row>
    <row r="155" ht="18" customHeight="1">
      <c r="A155" s="45" t="inlineStr">
        <is>
          <t>работник 153</t>
        </is>
      </c>
      <c r="B155" s="45" t="inlineStr">
        <is>
          <t>АТБедарев7ИгорьП</t>
        </is>
      </c>
    </row>
    <row r="156" ht="18" customHeight="1">
      <c r="A156" s="45" t="inlineStr">
        <is>
          <t>работник 154</t>
        </is>
      </c>
      <c r="B156" s="45" t="inlineStr">
        <is>
          <t>АТБогданов7АлександрП</t>
        </is>
      </c>
    </row>
    <row r="157" ht="18" customHeight="1">
      <c r="A157" s="45" t="inlineStr">
        <is>
          <t>работник 155</t>
        </is>
      </c>
      <c r="B157" s="45" t="inlineStr">
        <is>
          <t>АТБогданов7ВладимирП</t>
        </is>
      </c>
    </row>
    <row r="158" ht="18" customHeight="1">
      <c r="A158" s="45" t="inlineStr">
        <is>
          <t>работник 156</t>
        </is>
      </c>
      <c r="B158" s="45" t="inlineStr">
        <is>
          <t>АТВалеев7КириллП</t>
        </is>
      </c>
    </row>
    <row r="159" ht="18" customHeight="1">
      <c r="A159" s="45" t="inlineStr">
        <is>
          <t>работник 157</t>
        </is>
      </c>
      <c r="B159" s="45" t="inlineStr">
        <is>
          <t>АТГамзов7АлексейП</t>
        </is>
      </c>
    </row>
    <row r="160" ht="18" customHeight="1">
      <c r="A160" s="45" t="inlineStr">
        <is>
          <t>работник 158</t>
        </is>
      </c>
      <c r="B160" s="45" t="inlineStr">
        <is>
          <t>АТГенус7АлексейП</t>
        </is>
      </c>
    </row>
    <row r="161" ht="18" customHeight="1">
      <c r="A161" s="45" t="inlineStr">
        <is>
          <t>работник 159</t>
        </is>
      </c>
      <c r="B161" s="45" t="inlineStr">
        <is>
          <t>АТГорбунов7СергейП</t>
        </is>
      </c>
    </row>
    <row r="162" ht="18" customHeight="1">
      <c r="A162" s="45" t="inlineStr">
        <is>
          <t>работник 160</t>
        </is>
      </c>
      <c r="B162" s="45" t="inlineStr">
        <is>
          <t>АТГроссу7ВалерийП</t>
        </is>
      </c>
    </row>
    <row r="163" ht="18" customHeight="1">
      <c r="A163" s="45" t="inlineStr">
        <is>
          <t>работник 161</t>
        </is>
      </c>
      <c r="B163" s="45" t="inlineStr">
        <is>
          <t>АТДудник7ЮрийП</t>
        </is>
      </c>
    </row>
    <row r="164" ht="18" customHeight="1">
      <c r="A164" s="45" t="inlineStr">
        <is>
          <t>работник 162</t>
        </is>
      </c>
      <c r="B164" s="45" t="inlineStr">
        <is>
          <t>АТЖаргалов7АндрейП</t>
        </is>
      </c>
    </row>
    <row r="165" ht="18" customHeight="1">
      <c r="A165" s="45" t="inlineStr">
        <is>
          <t>работник 163</t>
        </is>
      </c>
      <c r="B165" s="45" t="inlineStr">
        <is>
          <t>АТЖуравлев7ВладимирП</t>
        </is>
      </c>
    </row>
    <row r="166" ht="18" customHeight="1">
      <c r="A166" s="45" t="inlineStr">
        <is>
          <t>работник 164</t>
        </is>
      </c>
      <c r="B166" s="45" t="inlineStr">
        <is>
          <t>АТНечаев7ЮрийП</t>
        </is>
      </c>
    </row>
    <row r="167" ht="18" customHeight="1">
      <c r="A167" s="45" t="inlineStr">
        <is>
          <t>работник 165</t>
        </is>
      </c>
      <c r="B167" s="45" t="inlineStr">
        <is>
          <t>АТИсаков7РоманП</t>
        </is>
      </c>
    </row>
    <row r="168" ht="18" customHeight="1">
      <c r="A168" s="45" t="inlineStr">
        <is>
          <t>работник 166</t>
        </is>
      </c>
      <c r="B168" s="45" t="inlineStr">
        <is>
          <t>АТКоноплин7ФедорП</t>
        </is>
      </c>
    </row>
    <row r="169" ht="18" customHeight="1">
      <c r="A169" s="45" t="inlineStr">
        <is>
          <t>работник 167</t>
        </is>
      </c>
      <c r="B169" s="45" t="inlineStr">
        <is>
          <t>АТКоротков7ВалентинП</t>
        </is>
      </c>
    </row>
    <row r="170" ht="18" customHeight="1">
      <c r="A170" s="45" t="inlineStr">
        <is>
          <t>работник 168</t>
        </is>
      </c>
      <c r="B170" s="45" t="inlineStr">
        <is>
          <t>АТМожаров7ПавелП</t>
        </is>
      </c>
    </row>
    <row r="171" ht="18" customHeight="1">
      <c r="A171" s="45" t="inlineStr">
        <is>
          <t>работник 169</t>
        </is>
      </c>
      <c r="B171" s="45" t="inlineStr">
        <is>
          <t>АТПидскальнюк7МаксимП</t>
        </is>
      </c>
    </row>
    <row r="172" ht="18" customHeight="1">
      <c r="A172" s="45" t="inlineStr">
        <is>
          <t>работник 170</t>
        </is>
      </c>
      <c r="B172" s="45" t="inlineStr">
        <is>
          <t>АТПодобная7ТатьянаП</t>
        </is>
      </c>
    </row>
    <row r="173" ht="18" customHeight="1">
      <c r="A173" s="45" t="inlineStr">
        <is>
          <t>работник 171</t>
        </is>
      </c>
      <c r="B173" s="45" t="inlineStr">
        <is>
          <t>АТПолоненко7НикитаП</t>
        </is>
      </c>
    </row>
    <row r="174" ht="18" customHeight="1">
      <c r="A174" s="45" t="inlineStr">
        <is>
          <t>работник 172</t>
        </is>
      </c>
      <c r="B174" s="45" t="inlineStr">
        <is>
          <t>АТПопов7ВячеславП</t>
        </is>
      </c>
    </row>
    <row r="175" ht="18" customHeight="1">
      <c r="A175" s="45" t="inlineStr">
        <is>
          <t>работник 173</t>
        </is>
      </c>
      <c r="B175" s="45" t="inlineStr">
        <is>
          <t>АТСвинин7ВладимирП</t>
        </is>
      </c>
    </row>
    <row r="176" ht="18" customHeight="1">
      <c r="A176" s="45" t="inlineStr">
        <is>
          <t>работник 174</t>
        </is>
      </c>
      <c r="B176" s="45" t="inlineStr">
        <is>
          <t>АТСоломинцев7АлександрП</t>
        </is>
      </c>
    </row>
    <row r="177" ht="18" customHeight="1">
      <c r="A177" s="45" t="inlineStr">
        <is>
          <t>работник 175</t>
        </is>
      </c>
      <c r="B177" s="45" t="inlineStr">
        <is>
          <t>АТСухих7ИльяП</t>
        </is>
      </c>
    </row>
    <row r="178" ht="18" customHeight="1">
      <c r="A178" s="45" t="inlineStr">
        <is>
          <t>работник 176</t>
        </is>
      </c>
      <c r="B178" s="45" t="inlineStr">
        <is>
          <t>АТТихтеев7АндрейП</t>
        </is>
      </c>
    </row>
    <row r="179" ht="18" customHeight="1">
      <c r="A179" s="45" t="inlineStr">
        <is>
          <t>работник 177</t>
        </is>
      </c>
      <c r="B179" s="45" t="inlineStr">
        <is>
          <t>АТЮрьев7АлександрП</t>
        </is>
      </c>
    </row>
    <row r="180" ht="18" customHeight="1">
      <c r="A180" s="45" t="inlineStr">
        <is>
          <t>работник 178</t>
        </is>
      </c>
      <c r="B180" s="45" t="inlineStr">
        <is>
          <t>АТЮшин7ВалерийП</t>
        </is>
      </c>
    </row>
    <row r="181" ht="18" customHeight="1">
      <c r="A181" s="45" t="inlineStr">
        <is>
          <t>работник 179</t>
        </is>
      </c>
      <c r="B181" s="45" t="inlineStr">
        <is>
          <t>АТЯкстеркин7АлександрП</t>
        </is>
      </c>
    </row>
    <row r="182" ht="18" customHeight="1">
      <c r="A182" s="45" t="inlineStr">
        <is>
          <t>работник 180</t>
        </is>
      </c>
      <c r="B182" s="45" t="inlineStr">
        <is>
          <t>АТЯкушев7СергейП</t>
        </is>
      </c>
    </row>
    <row r="183" ht="18" customHeight="1">
      <c r="A183" s="45" t="inlineStr">
        <is>
          <t>работник 181</t>
        </is>
      </c>
      <c r="B183" s="45" t="inlineStr">
        <is>
          <t>АТМардыко7ВячеславП</t>
        </is>
      </c>
    </row>
    <row r="184" ht="18" customHeight="1">
      <c r="A184" s="45" t="inlineStr">
        <is>
          <t>работник 182</t>
        </is>
      </c>
      <c r="B184" s="45" t="inlineStr">
        <is>
          <t>АТЖбанникова7ЛарисаП</t>
        </is>
      </c>
    </row>
    <row r="185" ht="18" customHeight="1">
      <c r="A185" s="45" t="inlineStr">
        <is>
          <t>работник 183</t>
        </is>
      </c>
      <c r="B185" s="45" t="inlineStr">
        <is>
          <t>АТШевляков7АндрейП</t>
        </is>
      </c>
    </row>
    <row r="186" ht="18" customHeight="1">
      <c r="A186" s="45" t="inlineStr">
        <is>
          <t>работник 184</t>
        </is>
      </c>
      <c r="B186" s="45" t="inlineStr">
        <is>
          <t>АТДжурабоев7ФирузджонП</t>
        </is>
      </c>
    </row>
    <row r="187" ht="18" customHeight="1">
      <c r="A187" s="45" t="inlineStr">
        <is>
          <t>работник 185</t>
        </is>
      </c>
      <c r="B187" s="45" t="inlineStr">
        <is>
          <t>АТКовраев7МаликП</t>
        </is>
      </c>
    </row>
    <row r="188" ht="18" customHeight="1">
      <c r="A188" s="45" t="inlineStr">
        <is>
          <t>работник 186</t>
        </is>
      </c>
      <c r="B188" s="45" t="inlineStr">
        <is>
          <t>АТФедосеев7АлександрП</t>
        </is>
      </c>
    </row>
    <row r="189" ht="18" customHeight="1">
      <c r="A189" s="45" t="inlineStr">
        <is>
          <t>работник 187</t>
        </is>
      </c>
      <c r="B189" s="45" t="inlineStr">
        <is>
          <t>АТХасанов7АббосП</t>
        </is>
      </c>
    </row>
    <row r="190" ht="18" customHeight="1">
      <c r="A190" s="45" t="inlineStr">
        <is>
          <t>работник 188</t>
        </is>
      </c>
      <c r="B190" s="45" t="inlineStr">
        <is>
          <t>АТИванов7ЕвгенийП</t>
        </is>
      </c>
    </row>
    <row r="191" ht="18" customHeight="1">
      <c r="A191" s="45" t="inlineStr">
        <is>
          <t>работник 189</t>
        </is>
      </c>
      <c r="B191" s="45" t="inlineStr">
        <is>
          <t>АТПрус7ДанилаП</t>
        </is>
      </c>
    </row>
    <row r="192" ht="18" customHeight="1">
      <c r="A192" s="45" t="inlineStr">
        <is>
          <t>работник 190</t>
        </is>
      </c>
      <c r="B192" s="45" t="inlineStr">
        <is>
          <t>АТМирошниченко7АндрейП</t>
        </is>
      </c>
    </row>
    <row r="193" ht="18" customHeight="1">
      <c r="A193" s="45" t="inlineStr">
        <is>
          <t>работник 191</t>
        </is>
      </c>
      <c r="B193" s="45" t="inlineStr">
        <is>
          <t>АТОдилов7ШахобП</t>
        </is>
      </c>
    </row>
    <row r="194" ht="18" customHeight="1">
      <c r="A194" s="45" t="inlineStr">
        <is>
          <t>работник 192</t>
        </is>
      </c>
      <c r="B194" s="45" t="inlineStr">
        <is>
          <t>АТМараховский7ВалентинП</t>
        </is>
      </c>
    </row>
    <row r="195" ht="18" customHeight="1">
      <c r="A195" s="45" t="inlineStr">
        <is>
          <t>работник 193</t>
        </is>
      </c>
      <c r="B195" s="45" t="inlineStr">
        <is>
          <t>АТОчкалов7АлексейП</t>
        </is>
      </c>
    </row>
    <row r="196" ht="18" customHeight="1">
      <c r="A196" s="45" t="inlineStr">
        <is>
          <t>работник 194</t>
        </is>
      </c>
      <c r="B196" s="45" t="inlineStr">
        <is>
          <t>АТРожнов7МихаилП</t>
        </is>
      </c>
    </row>
    <row r="197" ht="18" customHeight="1">
      <c r="A197" s="45" t="inlineStr">
        <is>
          <t>работник 195</t>
        </is>
      </c>
      <c r="B197" s="45" t="inlineStr">
        <is>
          <t>АТКлиновой7СергейП</t>
        </is>
      </c>
    </row>
    <row r="198" ht="18" customHeight="1">
      <c r="A198" s="45" t="inlineStr">
        <is>
          <t>работник 196</t>
        </is>
      </c>
      <c r="B198" s="45" t="inlineStr">
        <is>
          <t>АТБуранов7ШавкатП</t>
        </is>
      </c>
    </row>
    <row r="199" ht="18" customHeight="1">
      <c r="A199" s="45" t="inlineStr">
        <is>
          <t>работник 197</t>
        </is>
      </c>
      <c r="B199" s="45" t="inlineStr">
        <is>
          <t>АТДжураев7ГуломджонП</t>
        </is>
      </c>
    </row>
    <row r="200" ht="18" customHeight="1">
      <c r="A200" s="45" t="inlineStr">
        <is>
          <t>работник 198</t>
        </is>
      </c>
      <c r="B200" s="45" t="inlineStr">
        <is>
          <t>АТТимошенко7ИгорьП</t>
        </is>
      </c>
    </row>
    <row r="201" ht="18" customHeight="1">
      <c r="A201" s="45" t="inlineStr">
        <is>
          <t>работник 199</t>
        </is>
      </c>
      <c r="B201" s="45" t="inlineStr">
        <is>
          <t>АТШомуродов7ХуршидП</t>
        </is>
      </c>
    </row>
    <row r="202" ht="18" customHeight="1">
      <c r="A202" s="45" t="inlineStr">
        <is>
          <t>работник 200</t>
        </is>
      </c>
      <c r="B202" s="45" t="inlineStr">
        <is>
          <t>АТАсламов7ИванП</t>
        </is>
      </c>
    </row>
    <row r="203" ht="18" customHeight="1">
      <c r="A203" s="45" t="inlineStr">
        <is>
          <t>работник 201</t>
        </is>
      </c>
      <c r="B203" s="45" t="inlineStr">
        <is>
          <t>АТЗазымко7ЮрийП</t>
        </is>
      </c>
    </row>
    <row r="204" ht="18" customHeight="1">
      <c r="A204" s="45" t="inlineStr">
        <is>
          <t>работник 202</t>
        </is>
      </c>
      <c r="B204" s="45" t="inlineStr">
        <is>
          <t>АТБулгаков7ЕвгенийП</t>
        </is>
      </c>
    </row>
    <row r="205" ht="18" customHeight="1">
      <c r="A205" s="45" t="inlineStr">
        <is>
          <t>работник 203</t>
        </is>
      </c>
      <c r="B205" s="45" t="inlineStr">
        <is>
          <t>АТСбродов7ЕвгенийП</t>
        </is>
      </c>
    </row>
    <row r="206" ht="18" customHeight="1">
      <c r="A206" s="45" t="inlineStr">
        <is>
          <t>работник 204</t>
        </is>
      </c>
      <c r="B206" s="45" t="inlineStr">
        <is>
          <t>АТНикишин7ВладимирП</t>
        </is>
      </c>
    </row>
    <row r="207" ht="18" customHeight="1">
      <c r="A207" s="45" t="inlineStr">
        <is>
          <t>работник 205</t>
        </is>
      </c>
      <c r="B207" s="45" t="inlineStr">
        <is>
          <t>АТГулько7ВалерийП</t>
        </is>
      </c>
    </row>
    <row r="208" ht="18" customHeight="1">
      <c r="A208" s="45" t="inlineStr">
        <is>
          <t>работник 206</t>
        </is>
      </c>
      <c r="B208" s="45" t="inlineStr">
        <is>
          <t>АТРумянцев7МаксимП</t>
        </is>
      </c>
    </row>
    <row r="209" ht="18" customHeight="1">
      <c r="A209" s="45" t="inlineStr">
        <is>
          <t>работник 207</t>
        </is>
      </c>
      <c r="B209" s="45" t="inlineStr">
        <is>
          <t>АТКовкин7СергейП</t>
        </is>
      </c>
    </row>
    <row r="210" ht="18" customHeight="1">
      <c r="A210" s="45" t="inlineStr">
        <is>
          <t>работник 208</t>
        </is>
      </c>
      <c r="B210" s="45" t="inlineStr">
        <is>
          <t>АТДанилочкин7СергейП</t>
        </is>
      </c>
    </row>
    <row r="211" ht="18" customHeight="1">
      <c r="A211" s="45" t="inlineStr">
        <is>
          <t>работник 209</t>
        </is>
      </c>
      <c r="B211" s="45" t="inlineStr">
        <is>
          <t>АТДедюшко7АлександрП</t>
        </is>
      </c>
    </row>
    <row r="212" ht="18" customHeight="1">
      <c r="A212" s="45" t="inlineStr">
        <is>
          <t>работник 210</t>
        </is>
      </c>
      <c r="B212" s="45" t="inlineStr">
        <is>
          <t>АТНасибуллин7ИрикП</t>
        </is>
      </c>
    </row>
    <row r="213" ht="18" customHeight="1">
      <c r="A213" s="45" t="inlineStr">
        <is>
          <t>работник 211</t>
        </is>
      </c>
      <c r="B213" s="45" t="inlineStr">
        <is>
          <t>АТФайзулин7ЯковП</t>
        </is>
      </c>
    </row>
    <row r="214" ht="18" customHeight="1">
      <c r="A214" s="45" t="inlineStr">
        <is>
          <t>работник 212</t>
        </is>
      </c>
      <c r="B214" s="45" t="inlineStr">
        <is>
          <t>АТКовраев7МайрбекП</t>
        </is>
      </c>
    </row>
    <row r="215" ht="18" customHeight="1">
      <c r="A215" s="45" t="inlineStr">
        <is>
          <t>работник 213</t>
        </is>
      </c>
      <c r="B215" s="45" t="inlineStr">
        <is>
          <t>АТШерстнев7ЕвгенийП</t>
        </is>
      </c>
    </row>
    <row r="216" ht="18" customHeight="1">
      <c r="A216" s="45" t="inlineStr">
        <is>
          <t>работник 214</t>
        </is>
      </c>
      <c r="B216" s="45" t="inlineStr">
        <is>
          <t>АТВинокуров7АлександрП</t>
        </is>
      </c>
    </row>
    <row r="217" ht="18" customHeight="1">
      <c r="A217" s="45" t="inlineStr">
        <is>
          <t>работник 215</t>
        </is>
      </c>
      <c r="B217" s="45" t="inlineStr">
        <is>
          <t>АТИваненко7АнатолийП</t>
        </is>
      </c>
    </row>
    <row r="218" ht="18" customHeight="1">
      <c r="A218" s="45" t="inlineStr">
        <is>
          <t>работник 216</t>
        </is>
      </c>
      <c r="B218" s="45" t="inlineStr">
        <is>
          <t>АТАбдулаев7БахтиёрП</t>
        </is>
      </c>
    </row>
    <row r="219" ht="18" customHeight="1">
      <c r="A219" s="45" t="inlineStr">
        <is>
          <t>работник 217</t>
        </is>
      </c>
      <c r="B219" s="45" t="inlineStr">
        <is>
          <t>АТХудойбердиев7КувончбекП</t>
        </is>
      </c>
    </row>
    <row r="220" ht="18" customHeight="1">
      <c r="A220" s="45" t="inlineStr">
        <is>
          <t>работник 218</t>
        </is>
      </c>
      <c r="B220" s="45" t="inlineStr">
        <is>
          <t>АТЖелезнов7АнатолийП</t>
        </is>
      </c>
    </row>
    <row r="221" ht="18" customHeight="1">
      <c r="A221" s="45" t="inlineStr">
        <is>
          <t>работник 219</t>
        </is>
      </c>
      <c r="B221" s="45" t="inlineStr">
        <is>
          <t>АТГасратов7ГабибуллаП</t>
        </is>
      </c>
    </row>
    <row r="222" ht="18" customHeight="1">
      <c r="A222" s="45" t="inlineStr">
        <is>
          <t>работник 220</t>
        </is>
      </c>
      <c r="B222" s="45" t="inlineStr">
        <is>
          <t>АТВасильцов7СергейП</t>
        </is>
      </c>
    </row>
    <row r="223" ht="18" customHeight="1">
      <c r="A223" s="45" t="inlineStr">
        <is>
          <t>работник 221</t>
        </is>
      </c>
      <c r="B223" s="45" t="inlineStr">
        <is>
          <t>АТМерзоев7ИсламП</t>
        </is>
      </c>
    </row>
    <row r="224" ht="18" customHeight="1">
      <c r="A224" s="45" t="inlineStr">
        <is>
          <t>работник 222</t>
        </is>
      </c>
      <c r="B224" s="45" t="inlineStr">
        <is>
          <t>АТШелковников7АндрейП</t>
        </is>
      </c>
    </row>
    <row r="225" ht="18" customHeight="1">
      <c r="A225" s="45" t="inlineStr">
        <is>
          <t>работник 223</t>
        </is>
      </c>
      <c r="B225" s="45" t="inlineStr">
        <is>
          <t>АТБаумбах7ВалерийП</t>
        </is>
      </c>
    </row>
    <row r="226" ht="18" customHeight="1">
      <c r="A226" s="45" t="inlineStr">
        <is>
          <t>работник 224</t>
        </is>
      </c>
      <c r="B226" s="45" t="inlineStr">
        <is>
          <t>АТТомилов7ВячеславП</t>
        </is>
      </c>
    </row>
    <row r="227" ht="18" customHeight="1">
      <c r="A227" s="45" t="inlineStr">
        <is>
          <t>работник 225</t>
        </is>
      </c>
      <c r="B227" s="45" t="inlineStr">
        <is>
          <t>АТХохлов7АнтонП</t>
        </is>
      </c>
    </row>
    <row r="228" ht="18" customHeight="1">
      <c r="A228" s="45" t="inlineStr">
        <is>
          <t>работник 226</t>
        </is>
      </c>
      <c r="B228" s="45" t="inlineStr">
        <is>
          <t>АТРаевич7СергейП</t>
        </is>
      </c>
    </row>
    <row r="229" ht="18" customHeight="1">
      <c r="A229" s="45" t="inlineStr">
        <is>
          <t>работник 227</t>
        </is>
      </c>
      <c r="B229" s="45" t="inlineStr">
        <is>
          <t>АТИлларионов7СергейП</t>
        </is>
      </c>
    </row>
    <row r="230" ht="18" customHeight="1">
      <c r="A230" s="45" t="inlineStr">
        <is>
          <t>работник 228</t>
        </is>
      </c>
      <c r="B230" s="45" t="inlineStr">
        <is>
          <t>АТШевченко7АлександрП</t>
        </is>
      </c>
    </row>
    <row r="231" ht="18" customHeight="1">
      <c r="A231" s="45" t="inlineStr">
        <is>
          <t>работник 229</t>
        </is>
      </c>
      <c r="B231" s="45" t="inlineStr">
        <is>
          <t>АТБочкарев7АлексейП</t>
        </is>
      </c>
    </row>
    <row r="232" ht="18" customHeight="1">
      <c r="A232" s="45" t="inlineStr">
        <is>
          <t>работник 230</t>
        </is>
      </c>
      <c r="B232" s="45" t="inlineStr">
        <is>
          <t>АТБелозерцев7МаксимП</t>
        </is>
      </c>
    </row>
    <row r="233" ht="18" customHeight="1">
      <c r="A233" s="45" t="inlineStr">
        <is>
          <t>работник 231</t>
        </is>
      </c>
      <c r="B233" s="45" t="inlineStr">
        <is>
          <t>АТЖуравлев7ПавелП</t>
        </is>
      </c>
    </row>
    <row r="234" ht="18" customHeight="1">
      <c r="A234" s="45" t="inlineStr">
        <is>
          <t>работник 232</t>
        </is>
      </c>
      <c r="B234" s="45" t="inlineStr">
        <is>
          <t>АТКиреев7ЯрославП</t>
        </is>
      </c>
    </row>
    <row r="235" ht="18" customHeight="1">
      <c r="A235" s="45" t="inlineStr">
        <is>
          <t>работник 233</t>
        </is>
      </c>
      <c r="B235" s="45" t="inlineStr">
        <is>
          <t>АТМоскаленко7ЕленаП</t>
        </is>
      </c>
    </row>
    <row r="236" ht="18" customHeight="1">
      <c r="A236" s="45" t="inlineStr">
        <is>
          <t>работник 234</t>
        </is>
      </c>
      <c r="B236" s="45" t="inlineStr">
        <is>
          <t>АТШобоев7ЗориктоП</t>
        </is>
      </c>
    </row>
    <row r="237" ht="18" customHeight="1">
      <c r="A237" s="45" t="inlineStr">
        <is>
          <t>работник 235</t>
        </is>
      </c>
      <c r="B237" s="45" t="inlineStr">
        <is>
          <t>АТЯгодкина7МаринаП</t>
        </is>
      </c>
    </row>
    <row r="238" ht="18" customHeight="1">
      <c r="A238" s="45" t="inlineStr">
        <is>
          <t>работник 236</t>
        </is>
      </c>
      <c r="B238" s="45" t="inlineStr">
        <is>
          <t>АТТуробов7АнварбекП</t>
        </is>
      </c>
    </row>
    <row r="239" ht="18" customHeight="1">
      <c r="A239" s="45" t="inlineStr">
        <is>
          <t>работник 237</t>
        </is>
      </c>
      <c r="B239" s="45" t="inlineStr">
        <is>
          <t>АТГорбунов7АндрейП</t>
        </is>
      </c>
    </row>
    <row r="240" ht="18" customHeight="1">
      <c r="A240" s="45" t="inlineStr">
        <is>
          <t>работник 238</t>
        </is>
      </c>
      <c r="B240" s="45" t="inlineStr">
        <is>
          <t>АТИванов7ВячеславП</t>
        </is>
      </c>
    </row>
    <row r="241" ht="18" customHeight="1">
      <c r="A241" s="45" t="inlineStr">
        <is>
          <t>работник 239</t>
        </is>
      </c>
      <c r="B241" s="45" t="inlineStr">
        <is>
          <t>АТФролова7ЕленаП</t>
        </is>
      </c>
    </row>
    <row r="242" ht="18" customHeight="1">
      <c r="A242" s="45" t="inlineStr">
        <is>
          <t>работник 240</t>
        </is>
      </c>
      <c r="B242" s="45" t="inlineStr">
        <is>
          <t>АТИкромов7ОзодбекП</t>
        </is>
      </c>
    </row>
    <row r="243" ht="18" customHeight="1">
      <c r="A243" s="45" t="inlineStr">
        <is>
          <t>работник 241</t>
        </is>
      </c>
      <c r="B243" s="45" t="inlineStr">
        <is>
          <t>АТБондарчук7ВладиславП</t>
        </is>
      </c>
    </row>
    <row r="244" ht="18" customHeight="1">
      <c r="A244" s="45" t="inlineStr">
        <is>
          <t>работник 242</t>
        </is>
      </c>
      <c r="B244" s="45" t="inlineStr">
        <is>
          <t>АТВологдин7ПавелП</t>
        </is>
      </c>
    </row>
    <row r="245" ht="18" customHeight="1">
      <c r="A245" s="45" t="inlineStr">
        <is>
          <t>работник 243</t>
        </is>
      </c>
      <c r="B245" s="45" t="inlineStr">
        <is>
          <t>АТДворкин7ДмитрийП</t>
        </is>
      </c>
    </row>
    <row r="246" ht="18" customHeight="1">
      <c r="A246" s="45" t="inlineStr">
        <is>
          <t>работник 244</t>
        </is>
      </c>
      <c r="B246" s="45" t="inlineStr">
        <is>
          <t>АТПогодин7СергейП</t>
        </is>
      </c>
    </row>
    <row r="247" ht="18" customHeight="1">
      <c r="A247" s="45" t="inlineStr">
        <is>
          <t>работник 245</t>
        </is>
      </c>
      <c r="B247" s="45" t="inlineStr">
        <is>
          <t>АТСагуйченко7СергейП</t>
        </is>
      </c>
    </row>
    <row r="248" ht="18" customHeight="1">
      <c r="A248" s="45" t="inlineStr">
        <is>
          <t>работник 246</t>
        </is>
      </c>
      <c r="B248" s="45" t="inlineStr">
        <is>
          <t>АТОрлов7ГригорийП</t>
        </is>
      </c>
    </row>
    <row r="249" ht="18" customHeight="1">
      <c r="A249" s="45" t="inlineStr">
        <is>
          <t>работник 247</t>
        </is>
      </c>
      <c r="B249" s="45" t="inlineStr">
        <is>
          <t>АТКиберев7ИванП</t>
        </is>
      </c>
    </row>
    <row r="250" ht="18" customHeight="1">
      <c r="A250" s="45" t="inlineStr">
        <is>
          <t>работник 248</t>
        </is>
      </c>
      <c r="B250" s="45" t="inlineStr">
        <is>
          <t>АТТепляков7АртемП</t>
        </is>
      </c>
    </row>
    <row r="251" ht="18" customHeight="1">
      <c r="A251" s="45" t="inlineStr">
        <is>
          <t>работник 249</t>
        </is>
      </c>
      <c r="B251" s="45" t="inlineStr">
        <is>
          <t>АТАрабкаев7ГеннадийП</t>
        </is>
      </c>
    </row>
    <row r="252" ht="18" customHeight="1">
      <c r="A252" s="45" t="inlineStr">
        <is>
          <t>работник 250</t>
        </is>
      </c>
      <c r="B252" s="45" t="inlineStr">
        <is>
          <t>АТДмитриев7ЕвгенийП</t>
        </is>
      </c>
    </row>
    <row r="253" ht="18" customHeight="1">
      <c r="A253" s="45" t="inlineStr">
        <is>
          <t>работник 251</t>
        </is>
      </c>
      <c r="B253" s="45" t="inlineStr">
        <is>
          <t>АТШеин7ВладимирП</t>
        </is>
      </c>
    </row>
    <row r="254" ht="18" customHeight="1">
      <c r="A254" s="45" t="inlineStr">
        <is>
          <t>работник 252</t>
        </is>
      </c>
      <c r="B254" s="45" t="inlineStr">
        <is>
          <t>АТБураев7СаламбекП</t>
        </is>
      </c>
    </row>
    <row r="255" ht="18" customHeight="1">
      <c r="A255" s="45" t="inlineStr">
        <is>
          <t>работник 253</t>
        </is>
      </c>
      <c r="B255" s="45" t="inlineStr">
        <is>
          <t>АТФайзиев7ФеррузП</t>
        </is>
      </c>
    </row>
    <row r="256" ht="18" customHeight="1">
      <c r="A256" s="45" t="inlineStr">
        <is>
          <t>работник 254</t>
        </is>
      </c>
      <c r="B256" s="45" t="inlineStr">
        <is>
          <t>АТТкачев7ВладимирП</t>
        </is>
      </c>
    </row>
    <row r="257" ht="18" customHeight="1">
      <c r="A257" s="45" t="inlineStr">
        <is>
          <t>работник 255</t>
        </is>
      </c>
      <c r="B257" s="45" t="inlineStr">
        <is>
          <t>АТКученко7ВикторП</t>
        </is>
      </c>
    </row>
    <row r="258" ht="18" customHeight="1">
      <c r="A258" s="45" t="inlineStr">
        <is>
          <t>работник 256</t>
        </is>
      </c>
      <c r="B258" s="45" t="inlineStr">
        <is>
          <t>АТЛевин7АртемП</t>
        </is>
      </c>
    </row>
    <row r="259" ht="18" customHeight="1">
      <c r="A259" s="45" t="inlineStr">
        <is>
          <t>работник 257</t>
        </is>
      </c>
      <c r="B259" s="45" t="inlineStr">
        <is>
          <t>АТШукюров7РамильП</t>
        </is>
      </c>
    </row>
    <row r="260" ht="18" customHeight="1">
      <c r="A260" s="45" t="inlineStr">
        <is>
          <t>работник 258</t>
        </is>
      </c>
      <c r="B260" s="45" t="inlineStr">
        <is>
          <t>АТМельничук7НатальяП</t>
        </is>
      </c>
    </row>
    <row r="261" ht="18" customHeight="1">
      <c r="A261" s="45" t="inlineStr">
        <is>
          <t>работник 259</t>
        </is>
      </c>
      <c r="B261" s="45" t="inlineStr">
        <is>
          <t>АТНогин7ВячеславП</t>
        </is>
      </c>
    </row>
    <row r="262" ht="18" customHeight="1">
      <c r="A262" s="45" t="inlineStr">
        <is>
          <t>работник 260</t>
        </is>
      </c>
      <c r="B262" s="45" t="inlineStr">
        <is>
          <t>АТБатукаев7МартанП</t>
        </is>
      </c>
    </row>
    <row r="263" ht="18" customHeight="1">
      <c r="A263" s="45" t="inlineStr">
        <is>
          <t>работник 261</t>
        </is>
      </c>
      <c r="B263" s="45" t="inlineStr">
        <is>
          <t>АТБеляков7АлександрП</t>
        </is>
      </c>
    </row>
    <row r="264" ht="18" customHeight="1">
      <c r="A264" s="45" t="inlineStr">
        <is>
          <t>работник 262</t>
        </is>
      </c>
      <c r="B264" s="45" t="inlineStr">
        <is>
          <t>АТБессмертный7ЭдуардП</t>
        </is>
      </c>
    </row>
    <row r="265" ht="18" customHeight="1">
      <c r="A265" s="45" t="inlineStr">
        <is>
          <t>работник 263</t>
        </is>
      </c>
      <c r="B265" s="45" t="inlineStr">
        <is>
          <t>АТБицура7ВалерийП</t>
        </is>
      </c>
    </row>
    <row r="266" ht="18" customHeight="1">
      <c r="A266" s="45" t="inlineStr">
        <is>
          <t>работник 264</t>
        </is>
      </c>
      <c r="B266" s="45" t="inlineStr">
        <is>
          <t>АТВикулов7ОлегП</t>
        </is>
      </c>
    </row>
    <row r="267" ht="18" customHeight="1">
      <c r="A267" s="45" t="inlineStr">
        <is>
          <t>работник 265</t>
        </is>
      </c>
      <c r="B267" s="45" t="inlineStr">
        <is>
          <t>АТВойнов7АлексейП</t>
        </is>
      </c>
    </row>
    <row r="268" ht="18" customHeight="1">
      <c r="A268" s="45" t="inlineStr">
        <is>
          <t>работник 266</t>
        </is>
      </c>
      <c r="B268" s="45" t="inlineStr">
        <is>
          <t>АТГасратов7УружбекП</t>
        </is>
      </c>
    </row>
    <row r="269" ht="18" customHeight="1">
      <c r="A269" s="45" t="inlineStr">
        <is>
          <t>работник 267</t>
        </is>
      </c>
      <c r="B269" s="45" t="inlineStr">
        <is>
          <t>АТГладченко7ЕвгенийП</t>
        </is>
      </c>
    </row>
    <row r="270" ht="18" customHeight="1">
      <c r="A270" s="45" t="inlineStr">
        <is>
          <t>работник 268</t>
        </is>
      </c>
      <c r="B270" s="45" t="inlineStr">
        <is>
          <t>АТГоловченко7АнатолийП</t>
        </is>
      </c>
    </row>
    <row r="271" ht="18" customHeight="1">
      <c r="A271" s="45" t="inlineStr">
        <is>
          <t>работник 269</t>
        </is>
      </c>
      <c r="B271" s="45" t="inlineStr">
        <is>
          <t>АТДубровин7АлександрП</t>
        </is>
      </c>
    </row>
    <row r="272" ht="18" customHeight="1">
      <c r="A272" s="45" t="inlineStr">
        <is>
          <t>работник 270</t>
        </is>
      </c>
      <c r="B272" s="45" t="inlineStr">
        <is>
          <t>АТЕвсеев7СергейП</t>
        </is>
      </c>
    </row>
    <row r="273" ht="18" customHeight="1">
      <c r="A273" s="45" t="inlineStr">
        <is>
          <t>работник 271</t>
        </is>
      </c>
      <c r="B273" s="45" t="inlineStr">
        <is>
          <t>АТЕгоров7ВикторП</t>
        </is>
      </c>
    </row>
    <row r="274" ht="18" customHeight="1">
      <c r="A274" s="45" t="inlineStr">
        <is>
          <t>работник 272</t>
        </is>
      </c>
      <c r="B274" s="45" t="inlineStr">
        <is>
          <t>АТЖадовец7ДанилП</t>
        </is>
      </c>
    </row>
    <row r="275" ht="18" customHeight="1">
      <c r="A275" s="45" t="inlineStr">
        <is>
          <t>работник 273</t>
        </is>
      </c>
      <c r="B275" s="45" t="inlineStr">
        <is>
          <t>АТЖуравлев7ЮрийП</t>
        </is>
      </c>
    </row>
    <row r="276" ht="18" customHeight="1">
      <c r="A276" s="45" t="inlineStr">
        <is>
          <t>работник 274</t>
        </is>
      </c>
      <c r="B276" s="45" t="inlineStr">
        <is>
          <t>АТЗавалко7ИванП</t>
        </is>
      </c>
    </row>
    <row r="277" ht="18" customHeight="1">
      <c r="A277" s="45" t="inlineStr">
        <is>
          <t>работник 275</t>
        </is>
      </c>
      <c r="B277" s="45" t="inlineStr">
        <is>
          <t>АТЗакатеев7АлександрП</t>
        </is>
      </c>
    </row>
    <row r="278" ht="18" customHeight="1">
      <c r="A278" s="45" t="inlineStr">
        <is>
          <t>работник 276</t>
        </is>
      </c>
      <c r="B278" s="45" t="inlineStr">
        <is>
          <t>АТЦыбуля7ДенисП</t>
        </is>
      </c>
    </row>
    <row r="279" ht="18" customHeight="1">
      <c r="A279" s="45" t="inlineStr">
        <is>
          <t>работник 277</t>
        </is>
      </c>
      <c r="B279" s="45" t="inlineStr">
        <is>
          <t>АТИгнатович7ВячеславП</t>
        </is>
      </c>
    </row>
    <row r="280" ht="18" customHeight="1">
      <c r="A280" s="45" t="inlineStr">
        <is>
          <t>работник 278</t>
        </is>
      </c>
      <c r="B280" s="45" t="inlineStr">
        <is>
          <t>АТКазнадеев7АртемП</t>
        </is>
      </c>
    </row>
    <row r="281" ht="18" customHeight="1">
      <c r="A281" s="45" t="inlineStr">
        <is>
          <t>работник 279</t>
        </is>
      </c>
      <c r="B281" s="45" t="inlineStr">
        <is>
          <t>АТКирилин7ЕвгенийП</t>
        </is>
      </c>
    </row>
    <row r="282" ht="18" customHeight="1">
      <c r="A282" s="45" t="inlineStr">
        <is>
          <t>работник 280</t>
        </is>
      </c>
      <c r="B282" s="45" t="inlineStr">
        <is>
          <t>АТКолобов7АлексейП</t>
        </is>
      </c>
    </row>
    <row r="283" ht="18" customHeight="1">
      <c r="A283" s="45" t="inlineStr">
        <is>
          <t>работник 281</t>
        </is>
      </c>
      <c r="B283" s="45" t="inlineStr">
        <is>
          <t>АТКомышенко7АлександрП</t>
        </is>
      </c>
    </row>
    <row r="284" ht="18" customHeight="1">
      <c r="A284" s="45" t="inlineStr">
        <is>
          <t>работник 282</t>
        </is>
      </c>
      <c r="B284" s="45" t="inlineStr">
        <is>
          <t>АТКононец7АлексейП</t>
        </is>
      </c>
    </row>
    <row r="285" ht="18" customHeight="1">
      <c r="A285" s="45" t="inlineStr">
        <is>
          <t>работник 283</t>
        </is>
      </c>
      <c r="B285" s="45" t="inlineStr">
        <is>
          <t>АТКунтаев7КюраП</t>
        </is>
      </c>
    </row>
    <row r="286" ht="18" customHeight="1">
      <c r="A286" s="45" t="inlineStr">
        <is>
          <t>работник 284</t>
        </is>
      </c>
      <c r="B286" s="45" t="inlineStr">
        <is>
          <t>АТЛопатин7ЮрийП</t>
        </is>
      </c>
    </row>
    <row r="287" ht="18" customHeight="1">
      <c r="A287" s="45" t="inlineStr">
        <is>
          <t>работник 285</t>
        </is>
      </c>
      <c r="B287" s="45" t="inlineStr">
        <is>
          <t>АТМихайлюк7СергейП</t>
        </is>
      </c>
    </row>
    <row r="288" ht="18" customHeight="1">
      <c r="A288" s="45" t="inlineStr">
        <is>
          <t>работник 286</t>
        </is>
      </c>
      <c r="B288" s="45" t="inlineStr">
        <is>
          <t>АТРажабов7УктамП</t>
        </is>
      </c>
    </row>
    <row r="289" ht="18" customHeight="1">
      <c r="A289" s="45" t="inlineStr">
        <is>
          <t>работник 287</t>
        </is>
      </c>
      <c r="B289" s="45" t="inlineStr">
        <is>
          <t>АТРусин7АндрейП</t>
        </is>
      </c>
    </row>
    <row r="290" ht="18" customHeight="1">
      <c r="A290" s="45" t="inlineStr">
        <is>
          <t>работник 288</t>
        </is>
      </c>
      <c r="B290" s="45" t="inlineStr">
        <is>
          <t>АТСиротенко7АнтонП</t>
        </is>
      </c>
    </row>
    <row r="291" ht="18" customHeight="1">
      <c r="A291" s="45" t="inlineStr">
        <is>
          <t>работник 289</t>
        </is>
      </c>
      <c r="B291" s="45" t="inlineStr">
        <is>
          <t>АТСкидин7ВалерийП</t>
        </is>
      </c>
    </row>
    <row r="292" ht="18" customHeight="1">
      <c r="A292" s="45" t="inlineStr">
        <is>
          <t>работник 290</t>
        </is>
      </c>
      <c r="B292" s="45" t="inlineStr">
        <is>
          <t>АТСпивак7АлександрП</t>
        </is>
      </c>
    </row>
    <row r="293" ht="18" customHeight="1">
      <c r="A293" s="45" t="inlineStr">
        <is>
          <t>работник 291</t>
        </is>
      </c>
      <c r="B293" s="45" t="inlineStr">
        <is>
          <t>АТСпиркин7АлексейП</t>
        </is>
      </c>
    </row>
    <row r="294" ht="18" customHeight="1">
      <c r="A294" s="45" t="inlineStr">
        <is>
          <t>работник 292</t>
        </is>
      </c>
      <c r="B294" s="45" t="inlineStr">
        <is>
          <t>АТТибейкин7АндрейП</t>
        </is>
      </c>
    </row>
    <row r="295" ht="18" customHeight="1">
      <c r="A295" s="45" t="inlineStr">
        <is>
          <t>работник 293</t>
        </is>
      </c>
      <c r="B295" s="45" t="inlineStr">
        <is>
          <t>АТШтоль7АлександрП</t>
        </is>
      </c>
    </row>
    <row r="296" ht="18" customHeight="1">
      <c r="A296" s="45" t="inlineStr">
        <is>
          <t>работник 294</t>
        </is>
      </c>
      <c r="B296" s="45" t="inlineStr">
        <is>
          <t>АТХомченко7МихаилП</t>
        </is>
      </c>
    </row>
    <row r="297" ht="18" customHeight="1">
      <c r="A297" s="45" t="inlineStr">
        <is>
          <t>работник 295</t>
        </is>
      </c>
      <c r="B297" s="45" t="inlineStr">
        <is>
          <t>АТХудяков7ВладимирП</t>
        </is>
      </c>
    </row>
    <row r="298" ht="18" customHeight="1">
      <c r="A298" s="45" t="inlineStr">
        <is>
          <t>работник 296</t>
        </is>
      </c>
      <c r="B298" s="45" t="inlineStr">
        <is>
          <t>АТЧабханов7Магомед-РасулП</t>
        </is>
      </c>
    </row>
    <row r="299" ht="18" customHeight="1">
      <c r="A299" s="45" t="inlineStr">
        <is>
          <t>работник 297</t>
        </is>
      </c>
      <c r="B299" s="45" t="inlineStr">
        <is>
          <t>АТЧертков7АлексейП</t>
        </is>
      </c>
    </row>
    <row r="300" ht="18" customHeight="1">
      <c r="A300" s="45" t="inlineStr">
        <is>
          <t>работник 298</t>
        </is>
      </c>
      <c r="B300" s="45" t="inlineStr">
        <is>
          <t>АТЧетверик7ОлегП</t>
        </is>
      </c>
    </row>
    <row r="301" ht="18" customHeight="1">
      <c r="A301" s="45" t="inlineStr">
        <is>
          <t>работник 299</t>
        </is>
      </c>
      <c r="B301" s="45" t="inlineStr">
        <is>
          <t>АТШмелёв7ЕвгенийП</t>
        </is>
      </c>
    </row>
    <row r="302" ht="18" customHeight="1">
      <c r="A302" s="45" t="inlineStr">
        <is>
          <t>работник 300</t>
        </is>
      </c>
      <c r="B302" s="45" t="inlineStr">
        <is>
          <t>АТПервухин7ИванП</t>
        </is>
      </c>
    </row>
    <row r="303" ht="18" customHeight="1">
      <c r="A303" s="45" t="inlineStr">
        <is>
          <t>работник 301</t>
        </is>
      </c>
      <c r="B303" s="45" t="inlineStr">
        <is>
          <t>АТБонцаревич7ДмитрийП</t>
        </is>
      </c>
    </row>
    <row r="304" ht="18" customHeight="1">
      <c r="A304" s="45" t="inlineStr">
        <is>
          <t>работник 302</t>
        </is>
      </c>
      <c r="B304" s="45" t="inlineStr">
        <is>
          <t>АТПерекатиев7ВладимирП</t>
        </is>
      </c>
    </row>
    <row r="305" ht="18" customHeight="1">
      <c r="A305" s="45" t="inlineStr">
        <is>
          <t>работник 303</t>
        </is>
      </c>
      <c r="B305" s="45" t="inlineStr">
        <is>
          <t>АТКузьмин7ДенисП</t>
        </is>
      </c>
    </row>
    <row r="306" ht="18" customHeight="1">
      <c r="A306" s="45" t="inlineStr">
        <is>
          <t>работник 304</t>
        </is>
      </c>
      <c r="B306" s="45" t="inlineStr">
        <is>
          <t>АТГригоренко7НиколайП</t>
        </is>
      </c>
    </row>
    <row r="307" ht="18" customHeight="1">
      <c r="A307" s="45" t="inlineStr">
        <is>
          <t>работник 305</t>
        </is>
      </c>
      <c r="B307" s="45" t="inlineStr">
        <is>
          <t>АТАнуев7СергейП</t>
        </is>
      </c>
    </row>
    <row r="308" ht="18" customHeight="1">
      <c r="A308" s="45" t="inlineStr">
        <is>
          <t>работник 306</t>
        </is>
      </c>
      <c r="B308" s="45" t="inlineStr">
        <is>
          <t>АТАкимов7ВалерийП</t>
        </is>
      </c>
    </row>
    <row r="309" ht="18" customHeight="1">
      <c r="A309" s="45" t="inlineStr">
        <is>
          <t>работник 307</t>
        </is>
      </c>
      <c r="B309" s="45" t="inlineStr">
        <is>
          <t>АТБезручко7АндрейП</t>
        </is>
      </c>
    </row>
    <row r="310" ht="18" customHeight="1">
      <c r="A310" s="45" t="inlineStr">
        <is>
          <t>работник 308</t>
        </is>
      </c>
      <c r="B310" s="45" t="inlineStr">
        <is>
          <t>АТБеломестнов7РоманП</t>
        </is>
      </c>
    </row>
    <row r="311" ht="18" customHeight="1">
      <c r="A311" s="45" t="inlineStr">
        <is>
          <t>работник 309</t>
        </is>
      </c>
      <c r="B311" s="45" t="inlineStr">
        <is>
          <t>АТБодагов7АнатолийП</t>
        </is>
      </c>
    </row>
    <row r="312" ht="18" customHeight="1">
      <c r="A312" s="45" t="inlineStr">
        <is>
          <t>работник 310</t>
        </is>
      </c>
      <c r="B312" s="45" t="inlineStr">
        <is>
          <t>АТБорисенко7РоманП</t>
        </is>
      </c>
    </row>
    <row r="313" ht="18" customHeight="1">
      <c r="A313" s="45" t="inlineStr">
        <is>
          <t>работник 311</t>
        </is>
      </c>
      <c r="B313" s="45" t="inlineStr">
        <is>
          <t>АТДарбаков7ЭдуардП</t>
        </is>
      </c>
    </row>
    <row r="314" ht="18" customHeight="1">
      <c r="A314" s="45" t="inlineStr">
        <is>
          <t>работник 312</t>
        </is>
      </c>
      <c r="B314" s="45" t="inlineStr">
        <is>
          <t>АТДашинимаев7БаярП</t>
        </is>
      </c>
    </row>
    <row r="315" ht="18" customHeight="1">
      <c r="A315" s="45" t="inlineStr">
        <is>
          <t>работник 313</t>
        </is>
      </c>
      <c r="B315" s="45" t="inlineStr">
        <is>
          <t>АТЕрмаков7ДмитрийП</t>
        </is>
      </c>
    </row>
    <row r="316" ht="18" customHeight="1">
      <c r="A316" s="45" t="inlineStr">
        <is>
          <t>работник 314</t>
        </is>
      </c>
      <c r="B316" s="45" t="inlineStr">
        <is>
          <t>АТЖитников7АлександрП</t>
        </is>
      </c>
    </row>
    <row r="317" ht="18" customHeight="1">
      <c r="A317" s="45" t="inlineStr">
        <is>
          <t>работник 315</t>
        </is>
      </c>
      <c r="B317" s="45" t="inlineStr">
        <is>
          <t>АТЗаварзин7РоманП</t>
        </is>
      </c>
    </row>
    <row r="318" ht="18" customHeight="1">
      <c r="A318" s="45" t="inlineStr">
        <is>
          <t>работник 316</t>
        </is>
      </c>
      <c r="B318" s="45" t="inlineStr">
        <is>
          <t>АТЗадворнов7РоманП</t>
        </is>
      </c>
    </row>
    <row r="319" ht="18" customHeight="1">
      <c r="A319" s="45" t="inlineStr">
        <is>
          <t>работник 317</t>
        </is>
      </c>
      <c r="B319" s="45" t="inlineStr">
        <is>
          <t>АТИстомин7ДмитрийП</t>
        </is>
      </c>
    </row>
    <row r="320" ht="18" customHeight="1">
      <c r="A320" s="45" t="inlineStr">
        <is>
          <t>работник 318</t>
        </is>
      </c>
      <c r="B320" s="45" t="inlineStr">
        <is>
          <t>АТИтименев7ДмитрийП</t>
        </is>
      </c>
    </row>
    <row r="321" ht="18" customHeight="1">
      <c r="A321" s="45" t="inlineStr">
        <is>
          <t>работник 319</t>
        </is>
      </c>
      <c r="B321" s="45" t="inlineStr">
        <is>
          <t>АТКазённов7ВячеславП</t>
        </is>
      </c>
    </row>
    <row r="322" ht="18" customHeight="1">
      <c r="A322" s="45" t="inlineStr">
        <is>
          <t>работник 320</t>
        </is>
      </c>
      <c r="B322" s="45" t="inlineStr">
        <is>
          <t>АТКолесников7ВладимирП</t>
        </is>
      </c>
    </row>
    <row r="323" ht="18" customHeight="1">
      <c r="A323" s="45" t="inlineStr">
        <is>
          <t>работник 321</t>
        </is>
      </c>
      <c r="B323" s="45" t="inlineStr">
        <is>
          <t>АТКондратьев7ДенисП</t>
        </is>
      </c>
    </row>
    <row r="324" ht="18" customHeight="1">
      <c r="A324" s="45" t="inlineStr">
        <is>
          <t>работник 322</t>
        </is>
      </c>
      <c r="B324" s="45" t="inlineStr">
        <is>
          <t>АТКоренев7АнтонП</t>
        </is>
      </c>
    </row>
    <row r="325" ht="18" customHeight="1">
      <c r="A325" s="45" t="inlineStr">
        <is>
          <t>работник 323</t>
        </is>
      </c>
      <c r="B325" s="45" t="inlineStr">
        <is>
          <t>АТЛебедев7ВладимирП</t>
        </is>
      </c>
    </row>
    <row r="326" ht="18" customHeight="1">
      <c r="A326" s="45" t="inlineStr">
        <is>
          <t>работник 324</t>
        </is>
      </c>
      <c r="B326" s="45" t="inlineStr">
        <is>
          <t>АТЛисовский7ВладимирП</t>
        </is>
      </c>
    </row>
    <row r="327" ht="18" customHeight="1">
      <c r="A327" s="45" t="inlineStr">
        <is>
          <t>работник 325</t>
        </is>
      </c>
      <c r="B327" s="45" t="inlineStr">
        <is>
          <t>АТМединский7ЮрийП</t>
        </is>
      </c>
    </row>
    <row r="328" ht="18" customHeight="1">
      <c r="A328" s="45" t="inlineStr">
        <is>
          <t>работник 326</t>
        </is>
      </c>
      <c r="B328" s="45" t="inlineStr">
        <is>
          <t>АТМирошниченко7ВладиславП</t>
        </is>
      </c>
    </row>
    <row r="329" ht="18" customHeight="1">
      <c r="A329" s="45" t="inlineStr">
        <is>
          <t>работник 327</t>
        </is>
      </c>
      <c r="B329" s="45" t="inlineStr">
        <is>
          <t>АТПодстречный7АлександрП</t>
        </is>
      </c>
    </row>
    <row r="330" ht="18" customHeight="1">
      <c r="A330" s="45" t="inlineStr">
        <is>
          <t>работник 328</t>
        </is>
      </c>
      <c r="B330" s="45" t="inlineStr">
        <is>
          <t>АТЯковлев7ДмитрийП</t>
        </is>
      </c>
    </row>
    <row r="331" ht="18" customHeight="1">
      <c r="A331" s="45" t="inlineStr">
        <is>
          <t>работник 329</t>
        </is>
      </c>
      <c r="B331" s="45" t="inlineStr">
        <is>
          <t>АТРискулов7ЗохиджонП</t>
        </is>
      </c>
    </row>
    <row r="332" ht="18" customHeight="1">
      <c r="A332" s="45" t="inlineStr">
        <is>
          <t>работник 330</t>
        </is>
      </c>
      <c r="B332" s="45" t="inlineStr">
        <is>
          <t>АТЛукьянов7АнатолийП</t>
        </is>
      </c>
    </row>
    <row r="333" ht="18" customHeight="1">
      <c r="A333" s="45" t="inlineStr">
        <is>
          <t>работник 331</t>
        </is>
      </c>
      <c r="B333" s="45" t="inlineStr">
        <is>
          <t>АТБрусова7ВераП</t>
        </is>
      </c>
    </row>
    <row r="334" ht="18" customHeight="1">
      <c r="A334" s="45" t="inlineStr">
        <is>
          <t>работник 332</t>
        </is>
      </c>
      <c r="B334" s="45" t="inlineStr">
        <is>
          <t>АТМоисеев7ДенисП</t>
        </is>
      </c>
    </row>
    <row r="335" ht="18" customHeight="1">
      <c r="A335" s="45" t="inlineStr">
        <is>
          <t>работник 333</t>
        </is>
      </c>
      <c r="B335" s="45" t="inlineStr">
        <is>
          <t>АТКарацупа7РоманП</t>
        </is>
      </c>
    </row>
    <row r="336" ht="18" customHeight="1">
      <c r="A336" s="45" t="inlineStr">
        <is>
          <t>работник 334</t>
        </is>
      </c>
      <c r="B336" s="45" t="inlineStr">
        <is>
          <t>АТЧучманов7АлексейП</t>
        </is>
      </c>
    </row>
    <row r="337" ht="18" customHeight="1">
      <c r="A337" s="45" t="inlineStr">
        <is>
          <t>работник 335</t>
        </is>
      </c>
      <c r="B337" s="45" t="inlineStr">
        <is>
          <t>АТВильсон7ЭдуардП</t>
        </is>
      </c>
    </row>
    <row r="338" ht="18" customHeight="1">
      <c r="A338" s="45" t="inlineStr">
        <is>
          <t>работник 336</t>
        </is>
      </c>
      <c r="B338" s="45" t="inlineStr">
        <is>
          <t>АТИващенко7ИванП</t>
        </is>
      </c>
    </row>
    <row r="339" ht="18" customHeight="1">
      <c r="A339" s="45" t="inlineStr">
        <is>
          <t>работник 337</t>
        </is>
      </c>
      <c r="B339" s="45" t="inlineStr">
        <is>
          <t>АТЖелонкин7ИльяП</t>
        </is>
      </c>
    </row>
    <row r="340" ht="18" customHeight="1">
      <c r="A340" s="45" t="inlineStr">
        <is>
          <t>работник 338</t>
        </is>
      </c>
      <c r="B340" s="45" t="inlineStr">
        <is>
          <t>АТТётушкин7СергейП</t>
        </is>
      </c>
    </row>
    <row r="341" ht="18" customHeight="1">
      <c r="A341" s="45" t="inlineStr">
        <is>
          <t>работник 339</t>
        </is>
      </c>
      <c r="B341" s="45" t="inlineStr">
        <is>
          <t>АТБушмелева7КсенияП</t>
        </is>
      </c>
    </row>
    <row r="342" ht="18" customHeight="1">
      <c r="A342" s="45" t="inlineStr">
        <is>
          <t>работник 340</t>
        </is>
      </c>
      <c r="B342" s="45" t="inlineStr">
        <is>
          <t>АТЕгоров7СергейП</t>
        </is>
      </c>
    </row>
    <row r="343" ht="18" customHeight="1">
      <c r="A343" s="45" t="inlineStr">
        <is>
          <t>работник 341</t>
        </is>
      </c>
      <c r="B343" s="45" t="inlineStr">
        <is>
          <t>АТАлтангэрэлийн7Ган- СэленП</t>
        </is>
      </c>
    </row>
    <row r="344" ht="18" customHeight="1">
      <c r="A344" s="45" t="inlineStr">
        <is>
          <t>работник 342</t>
        </is>
      </c>
      <c r="B344" s="45" t="inlineStr">
        <is>
          <t>АТЖуков7АнатолийП</t>
        </is>
      </c>
    </row>
    <row r="345" ht="18" customHeight="1">
      <c r="A345" s="45" t="inlineStr">
        <is>
          <t>работник 343</t>
        </is>
      </c>
      <c r="B345" s="45" t="inlineStr">
        <is>
          <t>АТМордашов7ВалентинП</t>
        </is>
      </c>
    </row>
    <row r="346" ht="18" customHeight="1">
      <c r="A346" s="45" t="inlineStr">
        <is>
          <t>работник 344</t>
        </is>
      </c>
      <c r="B346" s="45" t="inlineStr">
        <is>
          <t>АТБузин7ДмитрийП</t>
        </is>
      </c>
    </row>
    <row r="347" ht="18" customHeight="1">
      <c r="A347" s="45" t="inlineStr">
        <is>
          <t>работник 345</t>
        </is>
      </c>
      <c r="B347" s="45" t="inlineStr">
        <is>
          <t>АТТанцев7СергейП</t>
        </is>
      </c>
    </row>
    <row r="348" ht="18" customHeight="1">
      <c r="A348" s="45" t="inlineStr">
        <is>
          <t>работник 346</t>
        </is>
      </c>
      <c r="B348" s="45" t="inlineStr">
        <is>
          <t>АТЕвдокимов7ИгорьП</t>
        </is>
      </c>
    </row>
    <row r="349" ht="18" customHeight="1">
      <c r="A349" s="45" t="inlineStr">
        <is>
          <t>работник 347</t>
        </is>
      </c>
      <c r="B349" s="45" t="inlineStr">
        <is>
          <t>АТСавченко7ДенисП</t>
        </is>
      </c>
    </row>
    <row r="350" ht="18" customHeight="1">
      <c r="A350" s="45" t="inlineStr">
        <is>
          <t>работник 348</t>
        </is>
      </c>
      <c r="B350" s="45" t="inlineStr">
        <is>
          <t>АТЭпов7ИванП</t>
        </is>
      </c>
    </row>
    <row r="351" ht="18" customHeight="1">
      <c r="A351" s="45" t="inlineStr">
        <is>
          <t>работник 349</t>
        </is>
      </c>
      <c r="B351" s="45" t="inlineStr">
        <is>
          <t>АТЖекоминов7АртемП</t>
        </is>
      </c>
    </row>
    <row r="352" ht="18" customHeight="1">
      <c r="A352" s="45" t="inlineStr">
        <is>
          <t>работник 350</t>
        </is>
      </c>
      <c r="B352" s="45" t="inlineStr">
        <is>
          <t>АТРоговская7ТатьянаП</t>
        </is>
      </c>
    </row>
    <row r="353" ht="18" customHeight="1">
      <c r="A353" s="45" t="inlineStr">
        <is>
          <t>работник 351</t>
        </is>
      </c>
      <c r="B353" s="45" t="inlineStr">
        <is>
          <t>АТАнисимов7ИванП</t>
        </is>
      </c>
    </row>
    <row r="354" ht="18" customHeight="1">
      <c r="A354" s="45" t="inlineStr">
        <is>
          <t>работник 352</t>
        </is>
      </c>
      <c r="B354" s="45" t="inlineStr">
        <is>
          <t>АТАндреев7ЕвгенийП</t>
        </is>
      </c>
    </row>
    <row r="355" ht="18" customHeight="1">
      <c r="A355" s="45" t="inlineStr">
        <is>
          <t>работник 353</t>
        </is>
      </c>
      <c r="B355" s="45" t="inlineStr">
        <is>
          <t>АТКозырь7МихаилП</t>
        </is>
      </c>
    </row>
    <row r="356" ht="18" customHeight="1">
      <c r="A356" s="45" t="inlineStr">
        <is>
          <t>работник 354</t>
        </is>
      </c>
      <c r="B356" s="45" t="inlineStr">
        <is>
          <t>АТАсадов7МухриддинП</t>
        </is>
      </c>
    </row>
    <row r="357" ht="18" customHeight="1">
      <c r="A357" s="45" t="inlineStr">
        <is>
          <t>работник 355</t>
        </is>
      </c>
      <c r="B357" s="45" t="inlineStr">
        <is>
          <t>АТСергеев7СергейП</t>
        </is>
      </c>
    </row>
    <row r="358" ht="18" customHeight="1">
      <c r="A358" s="45" t="inlineStr">
        <is>
          <t>работник 356</t>
        </is>
      </c>
      <c r="B358" s="45" t="inlineStr">
        <is>
          <t>АТБабарахимов7ШералиП</t>
        </is>
      </c>
    </row>
    <row r="359" ht="18" customHeight="1">
      <c r="A359" s="45" t="inlineStr">
        <is>
          <t>работник 357</t>
        </is>
      </c>
      <c r="B359" s="45" t="inlineStr">
        <is>
          <t>АТНемыкин7ДмитрийП</t>
        </is>
      </c>
    </row>
    <row r="360" ht="18" customHeight="1">
      <c r="A360" s="45" t="inlineStr">
        <is>
          <t>работник 358</t>
        </is>
      </c>
      <c r="B360" s="45" t="inlineStr">
        <is>
          <t>АТЛипский7АлександрП</t>
        </is>
      </c>
    </row>
    <row r="361" ht="18" customHeight="1">
      <c r="A361" s="45" t="inlineStr">
        <is>
          <t>работник 359</t>
        </is>
      </c>
      <c r="B361" s="45" t="inlineStr">
        <is>
          <t>АТХайдаров7СултонбекП</t>
        </is>
      </c>
    </row>
    <row r="362" ht="18" customHeight="1">
      <c r="A362" s="45" t="inlineStr">
        <is>
          <t>работник 360</t>
        </is>
      </c>
      <c r="B362" s="45" t="inlineStr">
        <is>
          <t>АТЭктов7АлександрП</t>
        </is>
      </c>
    </row>
    <row r="363" ht="18" customHeight="1">
      <c r="A363" s="45" t="inlineStr">
        <is>
          <t>работник 361</t>
        </is>
      </c>
      <c r="B363" s="45" t="inlineStr">
        <is>
          <t>АТКомиссарова7ИринаП</t>
        </is>
      </c>
    </row>
    <row r="364" ht="18" customHeight="1">
      <c r="A364" s="45" t="inlineStr">
        <is>
          <t>работник 362</t>
        </is>
      </c>
      <c r="B364" s="45" t="inlineStr">
        <is>
          <t>АТМельничук7КаринаП</t>
        </is>
      </c>
    </row>
    <row r="365" ht="18" customHeight="1">
      <c r="A365" s="45" t="inlineStr">
        <is>
          <t>работник 363</t>
        </is>
      </c>
      <c r="B365" s="45" t="inlineStr">
        <is>
          <t>АТХудокормова7НатальяП</t>
        </is>
      </c>
    </row>
    <row r="366" ht="18" customHeight="1">
      <c r="A366" s="45" t="inlineStr">
        <is>
          <t>работник 364</t>
        </is>
      </c>
      <c r="B366" s="45" t="inlineStr">
        <is>
          <t>АТРыков7ВикторП</t>
        </is>
      </c>
    </row>
    <row r="367" ht="18" customHeight="1">
      <c r="A367" s="45" t="inlineStr">
        <is>
          <t>работник 365</t>
        </is>
      </c>
      <c r="B367" s="45" t="inlineStr">
        <is>
          <t>АТГришин7ОлегП</t>
        </is>
      </c>
    </row>
    <row r="368" ht="18" customHeight="1">
      <c r="A368" s="45" t="inlineStr">
        <is>
          <t>работник 366</t>
        </is>
      </c>
      <c r="B368" s="45" t="inlineStr">
        <is>
          <t>АТТартачакова7КристинаП</t>
        </is>
      </c>
    </row>
    <row r="369" ht="18" customHeight="1">
      <c r="A369" s="45" t="inlineStr">
        <is>
          <t>работник 367</t>
        </is>
      </c>
      <c r="B369" s="45" t="inlineStr">
        <is>
          <t>АТАтаханов7УлугбекП</t>
        </is>
      </c>
    </row>
    <row r="370" ht="18" customHeight="1">
      <c r="A370" s="45" t="inlineStr">
        <is>
          <t>работник 368</t>
        </is>
      </c>
      <c r="B370" s="45" t="inlineStr">
        <is>
          <t>АТБуриев7АхматП</t>
        </is>
      </c>
    </row>
    <row r="371" ht="18" customHeight="1">
      <c r="A371" s="45" t="inlineStr">
        <is>
          <t>работник 369</t>
        </is>
      </c>
      <c r="B371" s="45" t="inlineStr">
        <is>
          <t>АТЧерников7СергейП</t>
        </is>
      </c>
    </row>
    <row r="372" ht="18" customHeight="1">
      <c r="A372" s="45" t="inlineStr">
        <is>
          <t>работник 370</t>
        </is>
      </c>
      <c r="B372" s="45" t="inlineStr">
        <is>
          <t>АТЧерничкин7ГригорийП</t>
        </is>
      </c>
    </row>
    <row r="373" ht="18" customHeight="1">
      <c r="A373" s="45" t="inlineStr">
        <is>
          <t>работник 371</t>
        </is>
      </c>
      <c r="B373" s="45" t="inlineStr">
        <is>
          <t>АТЧигарбиев7ИльясП</t>
        </is>
      </c>
    </row>
    <row r="374" ht="18" customHeight="1">
      <c r="A374" s="45" t="inlineStr">
        <is>
          <t>работник 372</t>
        </is>
      </c>
      <c r="B374" s="45" t="inlineStr">
        <is>
          <t>АТНынь7АлександрП</t>
        </is>
      </c>
    </row>
    <row r="375" ht="18" customHeight="1">
      <c r="A375" s="45" t="inlineStr">
        <is>
          <t>работник 373</t>
        </is>
      </c>
      <c r="B375" s="45" t="inlineStr">
        <is>
          <t>АТМурадова7ОльгаП</t>
        </is>
      </c>
    </row>
    <row r="376" ht="18" customHeight="1">
      <c r="A376" s="45" t="inlineStr">
        <is>
          <t>работник 374</t>
        </is>
      </c>
      <c r="B376" s="45" t="inlineStr">
        <is>
          <t>АТЮдин7АртемП</t>
        </is>
      </c>
    </row>
    <row r="377" ht="18" customHeight="1">
      <c r="A377" s="45" t="inlineStr">
        <is>
          <t>работник 375</t>
        </is>
      </c>
      <c r="B377" s="45" t="inlineStr">
        <is>
          <t>АТСвистунов7ВячеславП</t>
        </is>
      </c>
    </row>
    <row r="378" ht="18" customHeight="1">
      <c r="A378" s="45" t="inlineStr">
        <is>
          <t>работник 376</t>
        </is>
      </c>
      <c r="B378" s="45" t="inlineStr">
        <is>
          <t>АТФедоров7ВячеславП</t>
        </is>
      </c>
    </row>
    <row r="379" ht="18" customHeight="1">
      <c r="A379" s="45" t="inlineStr">
        <is>
          <t>работник 377</t>
        </is>
      </c>
      <c r="B379" s="45" t="inlineStr">
        <is>
          <t>АТГонтарь7ВадимП</t>
        </is>
      </c>
    </row>
    <row r="380" ht="18" customHeight="1">
      <c r="A380" s="45" t="inlineStr">
        <is>
          <t>работник 378</t>
        </is>
      </c>
      <c r="B380" s="45" t="inlineStr">
        <is>
          <t>АТГрёбенкин7ОлегП</t>
        </is>
      </c>
    </row>
    <row r="381" ht="18" customHeight="1">
      <c r="A381" s="45" t="inlineStr">
        <is>
          <t>работник 379</t>
        </is>
      </c>
      <c r="B381" s="45" t="inlineStr">
        <is>
          <t>АТВиницкий7ВалерийП</t>
        </is>
      </c>
    </row>
    <row r="382" ht="18" customHeight="1">
      <c r="A382" s="45" t="inlineStr">
        <is>
          <t>работник 380</t>
        </is>
      </c>
      <c r="B382" s="45" t="inlineStr">
        <is>
          <t>АТПанков7ГеннадийП</t>
        </is>
      </c>
    </row>
    <row r="383" ht="18" customHeight="1">
      <c r="A383" s="45" t="inlineStr">
        <is>
          <t>работник 381</t>
        </is>
      </c>
      <c r="B383" s="45" t="inlineStr">
        <is>
          <t>АТГорлачев7АлексейП</t>
        </is>
      </c>
    </row>
    <row r="384" ht="18" customHeight="1">
      <c r="A384" s="45" t="inlineStr">
        <is>
          <t>работник 382</t>
        </is>
      </c>
      <c r="B384" s="45" t="inlineStr">
        <is>
          <t>АТЖураев7ОлимжонП</t>
        </is>
      </c>
    </row>
    <row r="385" ht="18" customHeight="1">
      <c r="A385" s="45" t="inlineStr">
        <is>
          <t>работник 383</t>
        </is>
      </c>
      <c r="B385" s="45" t="inlineStr">
        <is>
          <t>АТМихайлов7ИванП</t>
        </is>
      </c>
    </row>
    <row r="386" ht="18" customHeight="1">
      <c r="A386" s="45" t="inlineStr">
        <is>
          <t>работник 384</t>
        </is>
      </c>
      <c r="B386" s="45" t="inlineStr">
        <is>
          <t>АТМашковцев7АндрейП</t>
        </is>
      </c>
    </row>
    <row r="387" ht="18" customHeight="1">
      <c r="A387" s="45" t="inlineStr">
        <is>
          <t>работник 385</t>
        </is>
      </c>
      <c r="B387" s="45" t="inlineStr">
        <is>
          <t>АТУсков7МаксимП</t>
        </is>
      </c>
    </row>
    <row r="388" ht="18" customHeight="1">
      <c r="A388" s="45" t="inlineStr">
        <is>
          <t>работник 386</t>
        </is>
      </c>
      <c r="B388" s="45" t="inlineStr">
        <is>
          <t>АТВолокитин7ДмитрийП</t>
        </is>
      </c>
    </row>
    <row r="389" ht="18" customHeight="1">
      <c r="A389" s="45" t="inlineStr">
        <is>
          <t>работник 387</t>
        </is>
      </c>
      <c r="B389" s="45" t="inlineStr">
        <is>
          <t>АТКурдюков7АлексейП</t>
        </is>
      </c>
    </row>
    <row r="390" ht="18" customHeight="1">
      <c r="A390" s="45" t="inlineStr">
        <is>
          <t>работник 388</t>
        </is>
      </c>
      <c r="B390" s="45" t="inlineStr">
        <is>
          <t>АТРоманов7РоманП</t>
        </is>
      </c>
    </row>
    <row r="391" ht="18" customHeight="1">
      <c r="A391" s="45" t="inlineStr">
        <is>
          <t>работник 389</t>
        </is>
      </c>
      <c r="B391" s="45" t="inlineStr">
        <is>
          <t>АТСимонов7АнтонП</t>
        </is>
      </c>
    </row>
    <row r="392" ht="18" customHeight="1">
      <c r="A392" s="45" t="inlineStr">
        <is>
          <t>работник 390</t>
        </is>
      </c>
      <c r="B392" s="45" t="inlineStr">
        <is>
          <t>АТМаркус7АндрейП</t>
        </is>
      </c>
    </row>
    <row r="393" ht="18" customHeight="1">
      <c r="A393" s="45" t="inlineStr">
        <is>
          <t>работник 391</t>
        </is>
      </c>
      <c r="B393" s="45" t="inlineStr">
        <is>
          <t>АТКиселев7РоманП</t>
        </is>
      </c>
    </row>
    <row r="394" ht="18" customHeight="1">
      <c r="A394" s="45" t="inlineStr">
        <is>
          <t>работник 392</t>
        </is>
      </c>
      <c r="B394" s="45" t="inlineStr">
        <is>
          <t>АТСеврюков7АлександрП</t>
        </is>
      </c>
    </row>
    <row r="395" ht="18" customHeight="1">
      <c r="A395" s="45" t="inlineStr">
        <is>
          <t>работник 393</t>
        </is>
      </c>
      <c r="B395" s="45" t="inlineStr">
        <is>
          <t>АТЗеленёва7МарияП</t>
        </is>
      </c>
    </row>
    <row r="396" ht="18" customHeight="1">
      <c r="A396" s="45" t="inlineStr">
        <is>
          <t>работник 394</t>
        </is>
      </c>
      <c r="B396" s="45" t="inlineStr">
        <is>
          <t>АТМихно7СнежанаП</t>
        </is>
      </c>
    </row>
    <row r="397" ht="18" customHeight="1">
      <c r="A397" s="45" t="inlineStr">
        <is>
          <t>работник 395</t>
        </is>
      </c>
      <c r="B397" s="45" t="inlineStr">
        <is>
          <t>АТДёмина7ОксанаП</t>
        </is>
      </c>
    </row>
    <row r="398" ht="18" customHeight="1">
      <c r="A398" s="45" t="inlineStr">
        <is>
          <t>работник 396</t>
        </is>
      </c>
      <c r="B398" s="45" t="inlineStr">
        <is>
          <t>АТРожкова7КаринаП</t>
        </is>
      </c>
    </row>
    <row r="399" ht="18" customHeight="1">
      <c r="A399" s="45" t="inlineStr">
        <is>
          <t>работник 397</t>
        </is>
      </c>
      <c r="B399" s="45" t="inlineStr">
        <is>
          <t>АТВоробьев7АнатолийП</t>
        </is>
      </c>
    </row>
    <row r="400" ht="18" customHeight="1">
      <c r="A400" s="45" t="inlineStr">
        <is>
          <t>работник 398</t>
        </is>
      </c>
      <c r="B400" s="45" t="inlineStr">
        <is>
          <t>АТКрохмаль7ВалерийП</t>
        </is>
      </c>
    </row>
    <row r="401" ht="18" customHeight="1">
      <c r="A401" s="45" t="inlineStr">
        <is>
          <t>работник 399</t>
        </is>
      </c>
      <c r="B401" s="45" t="inlineStr">
        <is>
          <t>АТПлотников7КириллП</t>
        </is>
      </c>
    </row>
    <row r="402" ht="18" customHeight="1">
      <c r="A402" s="45" t="inlineStr">
        <is>
          <t>работник 400</t>
        </is>
      </c>
      <c r="B402" s="45" t="inlineStr">
        <is>
          <t>АТДемышев7ДенисП</t>
        </is>
      </c>
    </row>
    <row r="403" ht="18" customHeight="1">
      <c r="A403" s="45" t="inlineStr">
        <is>
          <t>работник 401</t>
        </is>
      </c>
      <c r="B403" s="45" t="inlineStr">
        <is>
          <t>АТВаулин7ДмитрийП</t>
        </is>
      </c>
    </row>
    <row r="404" ht="18" customHeight="1">
      <c r="A404" s="45" t="inlineStr">
        <is>
          <t>работник 402</t>
        </is>
      </c>
      <c r="B404" s="45" t="inlineStr">
        <is>
          <t>АТХанин7МихаилП</t>
        </is>
      </c>
    </row>
    <row r="405" ht="18" customHeight="1">
      <c r="A405" s="45" t="inlineStr">
        <is>
          <t>работник 403</t>
        </is>
      </c>
      <c r="B405" s="45" t="inlineStr">
        <is>
          <t>АТХайдаров7ЛазизбекП</t>
        </is>
      </c>
    </row>
    <row r="406" ht="18" customHeight="1">
      <c r="A406" s="45" t="inlineStr">
        <is>
          <t>работник 404</t>
        </is>
      </c>
      <c r="B406" s="45" t="inlineStr">
        <is>
          <t>АТБыков7СергейП</t>
        </is>
      </c>
    </row>
    <row r="407" ht="18" customHeight="1">
      <c r="A407" s="45" t="inlineStr">
        <is>
          <t>работник 405</t>
        </is>
      </c>
      <c r="B407" s="45" t="inlineStr">
        <is>
          <t>АТЧелпанов7АртёмП</t>
        </is>
      </c>
    </row>
    <row r="408" ht="18" customHeight="1">
      <c r="A408" s="45" t="inlineStr">
        <is>
          <t>работник 406</t>
        </is>
      </c>
      <c r="B408" s="45" t="inlineStr">
        <is>
          <t>АТАблазов7АбдинасирП</t>
        </is>
      </c>
    </row>
    <row r="409" ht="18" customHeight="1">
      <c r="A409" s="45" t="inlineStr">
        <is>
          <t>работник 407</t>
        </is>
      </c>
      <c r="B409" s="45" t="inlineStr">
        <is>
          <t>АТОринкулов7СейилП</t>
        </is>
      </c>
    </row>
    <row r="410" ht="18" customHeight="1">
      <c r="A410" s="45" t="inlineStr">
        <is>
          <t>работник 408</t>
        </is>
      </c>
      <c r="B410" s="45" t="inlineStr">
        <is>
          <t>АТКизимов7СергейП</t>
        </is>
      </c>
    </row>
    <row r="411" ht="18" customHeight="1">
      <c r="A411" s="45" t="inlineStr">
        <is>
          <t>работник 409</t>
        </is>
      </c>
      <c r="B411" s="45" t="inlineStr">
        <is>
          <t>АТАнтипенко7ВладимирП</t>
        </is>
      </c>
    </row>
    <row r="412" ht="18" customHeight="1">
      <c r="A412" s="45" t="inlineStr">
        <is>
          <t>работник 410</t>
        </is>
      </c>
      <c r="B412" s="45" t="inlineStr">
        <is>
          <t>АТМорковкин7АлександрП</t>
        </is>
      </c>
    </row>
    <row r="413" ht="18" customHeight="1">
      <c r="A413" s="45" t="inlineStr">
        <is>
          <t>работник 411</t>
        </is>
      </c>
      <c r="B413" s="45" t="inlineStr">
        <is>
          <t>АТЛипатов7СергейП</t>
        </is>
      </c>
    </row>
    <row r="414" ht="18" customHeight="1">
      <c r="A414" s="45" t="inlineStr">
        <is>
          <t>работник 412</t>
        </is>
      </c>
      <c r="B414" s="45" t="inlineStr">
        <is>
          <t>АТШаповал7ПавелП</t>
        </is>
      </c>
    </row>
    <row r="415" ht="18" customHeight="1">
      <c r="A415" s="45" t="inlineStr">
        <is>
          <t>работник 413</t>
        </is>
      </c>
      <c r="B415" s="45" t="inlineStr">
        <is>
          <t>АТГекалов7ЕвгенийП</t>
        </is>
      </c>
    </row>
    <row r="416" ht="18" customHeight="1">
      <c r="A416" s="45" t="inlineStr">
        <is>
          <t>работник 414</t>
        </is>
      </c>
      <c r="B416" s="45" t="inlineStr">
        <is>
          <t>АТСафонов7СергейП</t>
        </is>
      </c>
    </row>
    <row r="417" ht="18" customHeight="1">
      <c r="A417" s="45" t="inlineStr">
        <is>
          <t>работник 415</t>
        </is>
      </c>
      <c r="B417" s="45" t="inlineStr">
        <is>
          <t>АТЛещёв7КонстантинП</t>
        </is>
      </c>
    </row>
    <row r="418" ht="18" customHeight="1">
      <c r="A418" s="45" t="inlineStr">
        <is>
          <t>работник 416</t>
        </is>
      </c>
      <c r="B418" s="45" t="inlineStr">
        <is>
          <t>АТЗайнидинова7СветланаП</t>
        </is>
      </c>
    </row>
    <row r="419" ht="18" customHeight="1">
      <c r="A419" s="45" t="inlineStr">
        <is>
          <t>работник 417</t>
        </is>
      </c>
      <c r="B419" s="45" t="inlineStr">
        <is>
          <t>АТФризен7МаксимП</t>
        </is>
      </c>
    </row>
    <row r="420" ht="18" customHeight="1">
      <c r="A420" s="45" t="inlineStr">
        <is>
          <t>работник 418</t>
        </is>
      </c>
      <c r="B420" s="45" t="inlineStr">
        <is>
          <t>АТНисковских7ВиталийП</t>
        </is>
      </c>
    </row>
    <row r="421" ht="18" customHeight="1">
      <c r="A421" s="45" t="inlineStr">
        <is>
          <t>работник 419</t>
        </is>
      </c>
      <c r="B421" s="45" t="inlineStr">
        <is>
          <t>АТДемирбеков7ХанбалаП</t>
        </is>
      </c>
    </row>
    <row r="422" ht="18" customHeight="1">
      <c r="A422" s="45" t="inlineStr">
        <is>
          <t>работник 420</t>
        </is>
      </c>
      <c r="B422" s="45" t="inlineStr">
        <is>
          <t>АТКоротков7АлександрП</t>
        </is>
      </c>
    </row>
    <row r="423" ht="18" customHeight="1">
      <c r="A423" s="45" t="inlineStr">
        <is>
          <t>работник 421</t>
        </is>
      </c>
      <c r="B423" s="45" t="inlineStr">
        <is>
          <t>АТИванов7ВладиславП</t>
        </is>
      </c>
    </row>
    <row r="424" ht="18" customHeight="1">
      <c r="A424" s="45" t="inlineStr">
        <is>
          <t>работник 422</t>
        </is>
      </c>
      <c r="B424" s="45" t="inlineStr">
        <is>
          <t>АТУрозматов7МансурП</t>
        </is>
      </c>
    </row>
    <row r="425" ht="18" customHeight="1">
      <c r="A425" s="45" t="inlineStr">
        <is>
          <t>работник 423</t>
        </is>
      </c>
      <c r="B425" s="45" t="inlineStr">
        <is>
          <t>АТЧуенко7НиколайП</t>
        </is>
      </c>
    </row>
    <row r="426" ht="18" customHeight="1">
      <c r="A426" s="45" t="inlineStr">
        <is>
          <t>работник 424</t>
        </is>
      </c>
      <c r="B426" s="45" t="inlineStr">
        <is>
          <t>АТАнтипов7МихаилП</t>
        </is>
      </c>
    </row>
    <row r="427" ht="18" customHeight="1">
      <c r="A427" s="45" t="inlineStr">
        <is>
          <t>работник 425</t>
        </is>
      </c>
      <c r="B427" s="45" t="inlineStr">
        <is>
          <t>АТФоменков7ЛеонидП</t>
        </is>
      </c>
    </row>
    <row r="428" ht="18" customHeight="1">
      <c r="A428" s="45" t="inlineStr">
        <is>
          <t>работник 426</t>
        </is>
      </c>
      <c r="B428" s="45" t="inlineStr">
        <is>
          <t>АТЩербань7АлександрП</t>
        </is>
      </c>
    </row>
    <row r="429" ht="18" customHeight="1">
      <c r="A429" s="45" t="inlineStr">
        <is>
          <t>работник 427</t>
        </is>
      </c>
      <c r="B429" s="45" t="inlineStr">
        <is>
          <t>АТПопов7НиколайП</t>
        </is>
      </c>
    </row>
    <row r="430" ht="18" customHeight="1">
      <c r="A430" s="45" t="inlineStr">
        <is>
          <t>работник 428</t>
        </is>
      </c>
      <c r="B430" s="45" t="inlineStr">
        <is>
          <t>АТПаршуков7ИванП</t>
        </is>
      </c>
    </row>
    <row r="431" ht="18" customHeight="1">
      <c r="A431" s="45" t="inlineStr">
        <is>
          <t>работник 429</t>
        </is>
      </c>
      <c r="B431" s="45" t="inlineStr">
        <is>
          <t>АТЛошманов7ДмитрийП</t>
        </is>
      </c>
    </row>
    <row r="432" ht="18" customHeight="1">
      <c r="A432" s="45" t="inlineStr">
        <is>
          <t>работник 430</t>
        </is>
      </c>
      <c r="B432" s="45" t="inlineStr">
        <is>
          <t>АТМарьянов7СергейП</t>
        </is>
      </c>
    </row>
    <row r="433" ht="18" customHeight="1">
      <c r="A433" s="45" t="inlineStr">
        <is>
          <t>работник 431</t>
        </is>
      </c>
      <c r="B433" s="45" t="inlineStr">
        <is>
          <t>АТФилинов7ИванП</t>
        </is>
      </c>
    </row>
    <row r="434" ht="18" customHeight="1">
      <c r="A434" s="45" t="inlineStr">
        <is>
          <t>работник 432</t>
        </is>
      </c>
      <c r="B434" s="45" t="inlineStr">
        <is>
          <t>АТМаршанин7ЕвгенийП</t>
        </is>
      </c>
    </row>
    <row r="435" ht="18" customHeight="1">
      <c r="A435" s="45" t="inlineStr">
        <is>
          <t>работник 433</t>
        </is>
      </c>
      <c r="B435" s="45" t="inlineStr">
        <is>
          <t>АТБычек7ЕвгенийП</t>
        </is>
      </c>
    </row>
    <row r="436" ht="18" customHeight="1">
      <c r="A436" s="45" t="inlineStr">
        <is>
          <t>работник 434</t>
        </is>
      </c>
      <c r="B436" s="45" t="inlineStr">
        <is>
          <t>АТДубинин7ЕвгенийП</t>
        </is>
      </c>
    </row>
    <row r="437" ht="18" customHeight="1">
      <c r="A437" s="45" t="inlineStr">
        <is>
          <t>работник 435</t>
        </is>
      </c>
      <c r="B437" s="45" t="inlineStr">
        <is>
          <t>АТМеньков7АлексейП</t>
        </is>
      </c>
    </row>
    <row r="438" ht="18" customHeight="1">
      <c r="A438" s="45" t="inlineStr">
        <is>
          <t>работник 436</t>
        </is>
      </c>
      <c r="B438" s="45" t="inlineStr">
        <is>
          <t>АТКокорин7ДенисП</t>
        </is>
      </c>
    </row>
    <row r="439" ht="18" customHeight="1">
      <c r="A439" s="45" t="inlineStr">
        <is>
          <t>работник 437</t>
        </is>
      </c>
      <c r="B439" s="45" t="inlineStr">
        <is>
          <t>АТЧегарбиев7АлимханП</t>
        </is>
      </c>
    </row>
    <row r="440" ht="18" customHeight="1">
      <c r="A440" s="45" t="inlineStr">
        <is>
          <t>работник 438</t>
        </is>
      </c>
      <c r="B440" s="45" t="inlineStr">
        <is>
          <t>АТУшаков7ВикторП</t>
        </is>
      </c>
    </row>
    <row r="441" ht="18" customHeight="1">
      <c r="A441" s="45" t="inlineStr">
        <is>
          <t>работник 439</t>
        </is>
      </c>
      <c r="B441" s="45" t="inlineStr">
        <is>
          <t>АТЖигалов7АнатолийП</t>
        </is>
      </c>
    </row>
    <row r="442" ht="18" customHeight="1">
      <c r="A442" s="45" t="inlineStr">
        <is>
          <t>работник 440</t>
        </is>
      </c>
      <c r="B442" s="45" t="inlineStr">
        <is>
          <t>АТЦокаев7АрсенП</t>
        </is>
      </c>
    </row>
    <row r="443" ht="18" customHeight="1">
      <c r="A443" s="45" t="inlineStr">
        <is>
          <t>работник 441</t>
        </is>
      </c>
      <c r="B443" s="45" t="inlineStr">
        <is>
          <t>АТБорисенко7НикитаП</t>
        </is>
      </c>
    </row>
    <row r="444" ht="18" customHeight="1">
      <c r="A444" s="45" t="inlineStr">
        <is>
          <t>работник 442</t>
        </is>
      </c>
      <c r="B444" s="45" t="inlineStr">
        <is>
          <t>АТРахматов7АлишерП</t>
        </is>
      </c>
    </row>
    <row r="445" ht="18" customHeight="1">
      <c r="A445" s="45" t="inlineStr">
        <is>
          <t>работник 443</t>
        </is>
      </c>
      <c r="B445" s="45" t="inlineStr">
        <is>
          <t>АТПроничев7АнатолийП</t>
        </is>
      </c>
    </row>
    <row r="446" ht="18" customHeight="1">
      <c r="A446" s="45" t="inlineStr">
        <is>
          <t>работник 444</t>
        </is>
      </c>
      <c r="B446" s="45" t="inlineStr">
        <is>
          <t>АТКорбан7АлександрП</t>
        </is>
      </c>
    </row>
    <row r="447" ht="18" customHeight="1">
      <c r="A447" s="45" t="inlineStr">
        <is>
          <t>работник 445</t>
        </is>
      </c>
      <c r="B447" s="45" t="inlineStr">
        <is>
          <t>АТМингазов7АльбертП</t>
        </is>
      </c>
    </row>
    <row r="448" ht="18" customHeight="1">
      <c r="A448" s="45" t="inlineStr">
        <is>
          <t>работник 446</t>
        </is>
      </c>
      <c r="B448" s="45" t="inlineStr">
        <is>
          <t>АТДресвянников7РоманП</t>
        </is>
      </c>
    </row>
    <row r="449" ht="18" customHeight="1">
      <c r="A449" s="45" t="inlineStr">
        <is>
          <t>работник 447</t>
        </is>
      </c>
      <c r="B449" s="45" t="inlineStr">
        <is>
          <t>АТНовиков7ИванП</t>
        </is>
      </c>
    </row>
    <row r="450" ht="18" customHeight="1">
      <c r="A450" s="45" t="inlineStr">
        <is>
          <t>работник 448</t>
        </is>
      </c>
      <c r="B450" s="45" t="inlineStr">
        <is>
          <t>АТПасечко7АндрейП</t>
        </is>
      </c>
    </row>
    <row r="451" ht="18" customHeight="1">
      <c r="A451" s="45" t="inlineStr">
        <is>
          <t>работник 449</t>
        </is>
      </c>
      <c r="B451" s="45" t="inlineStr">
        <is>
          <t>АТПерминов7НикитаП</t>
        </is>
      </c>
    </row>
    <row r="452" ht="18" customHeight="1">
      <c r="A452" s="45" t="inlineStr">
        <is>
          <t>работник 450</t>
        </is>
      </c>
      <c r="B452" s="45" t="inlineStr">
        <is>
          <t>АТСавин7ВладимирП</t>
        </is>
      </c>
    </row>
    <row r="453" ht="18" customHeight="1">
      <c r="A453" s="45" t="inlineStr">
        <is>
          <t>работник 451</t>
        </is>
      </c>
      <c r="B453" s="45" t="inlineStr">
        <is>
          <t>АТКовалев7АлександрП</t>
        </is>
      </c>
    </row>
    <row r="454" ht="18" customHeight="1">
      <c r="A454" s="45" t="inlineStr">
        <is>
          <t>работник 452</t>
        </is>
      </c>
      <c r="B454" s="45" t="inlineStr">
        <is>
          <t>АТЧегарбиев7ШамильханП</t>
        </is>
      </c>
    </row>
    <row r="455" ht="18" customHeight="1">
      <c r="A455" s="45" t="inlineStr">
        <is>
          <t>работник 453</t>
        </is>
      </c>
      <c r="B455" s="45" t="inlineStr">
        <is>
          <t>АТГринченко7ДанилП</t>
        </is>
      </c>
    </row>
    <row r="456" ht="18" customHeight="1">
      <c r="A456" s="45" t="inlineStr">
        <is>
          <t>работник 454</t>
        </is>
      </c>
      <c r="B456" s="45" t="inlineStr">
        <is>
          <t>АТТетушкин7СергейП</t>
        </is>
      </c>
    </row>
    <row r="457" ht="18" customHeight="1">
      <c r="A457" s="45" t="inlineStr">
        <is>
          <t>работник 455</t>
        </is>
      </c>
      <c r="B457" s="45" t="inlineStr">
        <is>
          <t>АТЕгоров7АлексейП</t>
        </is>
      </c>
    </row>
    <row r="458" ht="18" customHeight="1">
      <c r="A458" s="45" t="inlineStr">
        <is>
          <t>работник 456</t>
        </is>
      </c>
      <c r="B458" s="45" t="inlineStr">
        <is>
          <t>АТКошелев7АлександрП</t>
        </is>
      </c>
    </row>
    <row r="459" ht="18" customHeight="1">
      <c r="A459" s="45" t="inlineStr">
        <is>
          <t>работник 457</t>
        </is>
      </c>
      <c r="B459" s="45" t="inlineStr">
        <is>
          <t>АТБочаров7МаксимП</t>
        </is>
      </c>
    </row>
    <row r="460" ht="18" customHeight="1">
      <c r="A460" s="45" t="inlineStr">
        <is>
          <t>работник 458</t>
        </is>
      </c>
      <c r="B460" s="45" t="inlineStr">
        <is>
          <t>АТКрючкова7ВераП</t>
        </is>
      </c>
    </row>
    <row r="461" ht="18" customHeight="1">
      <c r="A461" s="45" t="inlineStr">
        <is>
          <t>работник 459</t>
        </is>
      </c>
      <c r="B461" s="45" t="inlineStr">
        <is>
          <t>АТСерга7ЕвгенийП</t>
        </is>
      </c>
    </row>
    <row r="462" ht="18" customHeight="1">
      <c r="A462" s="45" t="inlineStr">
        <is>
          <t>работник 460</t>
        </is>
      </c>
      <c r="B462" s="45" t="inlineStr">
        <is>
          <t>АТВенедиктов7АлександрП</t>
        </is>
      </c>
    </row>
    <row r="463" ht="18" customHeight="1">
      <c r="A463" s="45" t="inlineStr">
        <is>
          <t>работник 461</t>
        </is>
      </c>
      <c r="B463" s="45" t="inlineStr">
        <is>
          <t>АТОвчинников7МихаилП</t>
        </is>
      </c>
    </row>
    <row r="464" ht="18" customHeight="1">
      <c r="A464" s="45" t="inlineStr">
        <is>
          <t>работник 462</t>
        </is>
      </c>
      <c r="B464" s="45" t="inlineStr">
        <is>
          <t>АТЧепурин7ЕвгенийП</t>
        </is>
      </c>
    </row>
    <row r="465" ht="18" customHeight="1">
      <c r="A465" s="45" t="inlineStr">
        <is>
          <t>работник 463</t>
        </is>
      </c>
      <c r="B465" s="45" t="inlineStr">
        <is>
          <t>АТКондратьев7НиколайП</t>
        </is>
      </c>
    </row>
    <row r="466" ht="18" customHeight="1">
      <c r="A466" s="45" t="inlineStr">
        <is>
          <t>работник 464</t>
        </is>
      </c>
      <c r="B466" s="45" t="inlineStr">
        <is>
          <t>АТАбдуллаев7ИхтиёрП</t>
        </is>
      </c>
    </row>
    <row r="467" ht="18" customHeight="1">
      <c r="A467" s="45" t="inlineStr">
        <is>
          <t>работник 465</t>
        </is>
      </c>
      <c r="B467" s="45" t="inlineStr">
        <is>
          <t>АТШабатин7АндрейП</t>
        </is>
      </c>
    </row>
    <row r="468" ht="18" customHeight="1">
      <c r="A468" s="45" t="inlineStr">
        <is>
          <t>работник 466</t>
        </is>
      </c>
      <c r="B468" s="45" t="inlineStr">
        <is>
          <t>АТОсмаев7МагомедП</t>
        </is>
      </c>
    </row>
    <row r="469" ht="18" customHeight="1">
      <c r="A469" s="45" t="inlineStr">
        <is>
          <t>работник 467</t>
        </is>
      </c>
      <c r="B469" s="45" t="inlineStr">
        <is>
          <t>АТКойчуев7МуратП</t>
        </is>
      </c>
    </row>
    <row r="470" ht="18" customHeight="1">
      <c r="A470" s="45" t="inlineStr">
        <is>
          <t>работник 468</t>
        </is>
      </c>
      <c r="B470" s="45" t="inlineStr">
        <is>
          <t>АТФайзулин7ПетрП</t>
        </is>
      </c>
    </row>
    <row r="471" ht="18" customHeight="1">
      <c r="A471" s="45" t="inlineStr">
        <is>
          <t>работник 469</t>
        </is>
      </c>
      <c r="B471" s="45" t="inlineStr">
        <is>
          <t>АТПетров7НиколайП</t>
        </is>
      </c>
    </row>
    <row r="472" ht="18" customHeight="1">
      <c r="A472" s="45" t="inlineStr">
        <is>
          <t>работник 470</t>
        </is>
      </c>
      <c r="B472" s="45" t="inlineStr">
        <is>
          <t>АТМальцев7ВикторП</t>
        </is>
      </c>
    </row>
    <row r="473" ht="18" customHeight="1">
      <c r="A473" s="45" t="inlineStr">
        <is>
          <t>работник 471</t>
        </is>
      </c>
      <c r="B473" s="45" t="inlineStr">
        <is>
          <t>АТБасюк7ВладимирП</t>
        </is>
      </c>
    </row>
    <row r="474" ht="18" customHeight="1">
      <c r="A474" s="45" t="inlineStr">
        <is>
          <t>работник 472</t>
        </is>
      </c>
      <c r="B474" s="45" t="inlineStr">
        <is>
          <t>АТЕгоренков7ЕвгенийП</t>
        </is>
      </c>
    </row>
    <row r="475" ht="18" customHeight="1">
      <c r="A475" s="45" t="inlineStr">
        <is>
          <t>работник 473</t>
        </is>
      </c>
      <c r="B475" s="45" t="inlineStr">
        <is>
          <t>АТМикшин7ЕвгенийП</t>
        </is>
      </c>
    </row>
    <row r="476" ht="18" customHeight="1">
      <c r="A476" s="45" t="inlineStr">
        <is>
          <t>работник 474</t>
        </is>
      </c>
      <c r="B476" s="45" t="inlineStr">
        <is>
          <t>АТНосков7АндрейП</t>
        </is>
      </c>
    </row>
    <row r="477" ht="18" customHeight="1">
      <c r="A477" s="45" t="inlineStr">
        <is>
          <t>работник 475</t>
        </is>
      </c>
      <c r="B477" s="45" t="inlineStr">
        <is>
          <t>АТПилипенко7АндрейП</t>
        </is>
      </c>
    </row>
    <row r="478" ht="18" customHeight="1">
      <c r="A478" s="45" t="inlineStr">
        <is>
          <t>работник 476</t>
        </is>
      </c>
      <c r="B478" s="45" t="inlineStr">
        <is>
          <t>АТСоколовский7АлександрП</t>
        </is>
      </c>
    </row>
    <row r="479" ht="18" customHeight="1">
      <c r="A479" s="45" t="inlineStr">
        <is>
          <t>работник 477</t>
        </is>
      </c>
      <c r="B479" s="45" t="inlineStr">
        <is>
          <t>АТТуробов7ОйбекП</t>
        </is>
      </c>
    </row>
    <row r="480" ht="18" customHeight="1">
      <c r="A480" s="45" t="inlineStr">
        <is>
          <t>работник 478</t>
        </is>
      </c>
      <c r="B480" s="45" t="inlineStr">
        <is>
          <t>АТНиколаева7ТатьянаП</t>
        </is>
      </c>
    </row>
    <row r="481" ht="18" customHeight="1">
      <c r="A481" s="45" t="inlineStr">
        <is>
          <t>работник 479</t>
        </is>
      </c>
      <c r="B481" s="45" t="inlineStr">
        <is>
          <t>АТБелых7ДмитрийП</t>
        </is>
      </c>
    </row>
    <row r="482" ht="18" customHeight="1">
      <c r="A482" s="45" t="inlineStr">
        <is>
          <t>работник 480</t>
        </is>
      </c>
      <c r="B482" s="45" t="inlineStr">
        <is>
          <t>АТБушмелёв7ВладимирП</t>
        </is>
      </c>
    </row>
    <row r="483" ht="18" customHeight="1">
      <c r="A483" s="45" t="inlineStr">
        <is>
          <t>работник 481</t>
        </is>
      </c>
      <c r="B483" s="45" t="inlineStr">
        <is>
          <t>АТВедерников7ДаниилП</t>
        </is>
      </c>
    </row>
    <row r="484" ht="18" customHeight="1">
      <c r="A484" s="45" t="inlineStr">
        <is>
          <t>работник 482</t>
        </is>
      </c>
      <c r="B484" s="45" t="inlineStr">
        <is>
          <t>АТКоротких7СтаниславП</t>
        </is>
      </c>
    </row>
    <row r="485" ht="18" customHeight="1">
      <c r="A485" s="45" t="inlineStr">
        <is>
          <t>работник 483</t>
        </is>
      </c>
      <c r="B485" s="45" t="inlineStr">
        <is>
          <t>АТГоренков7ВикторП</t>
        </is>
      </c>
    </row>
    <row r="486" ht="18" customHeight="1">
      <c r="A486" s="45" t="inlineStr">
        <is>
          <t>работник 484</t>
        </is>
      </c>
      <c r="B486" s="45" t="inlineStr">
        <is>
          <t>АТГуренков7ИванП</t>
        </is>
      </c>
    </row>
    <row r="487" ht="18" customHeight="1">
      <c r="A487" s="45" t="inlineStr">
        <is>
          <t>работник 485</t>
        </is>
      </c>
      <c r="B487" s="45" t="inlineStr">
        <is>
          <t>АТЖуравлёв7ВладимирП</t>
        </is>
      </c>
    </row>
    <row r="488" ht="18" customHeight="1">
      <c r="A488" s="45" t="inlineStr">
        <is>
          <t>работник 486</t>
        </is>
      </c>
      <c r="B488" s="45" t="inlineStr">
        <is>
          <t>АТЖээнбеков7БакайбекП</t>
        </is>
      </c>
    </row>
    <row r="489" ht="18" customHeight="1">
      <c r="A489" s="45" t="inlineStr">
        <is>
          <t>работник 487</t>
        </is>
      </c>
      <c r="B489" s="45" t="inlineStr">
        <is>
          <t>АТКаняхметов7АскарП</t>
        </is>
      </c>
    </row>
    <row r="490" ht="18" customHeight="1">
      <c r="A490" s="45" t="inlineStr">
        <is>
          <t>работник 488</t>
        </is>
      </c>
      <c r="B490" s="45" t="inlineStr">
        <is>
          <t>АТКоноплин7ФёдорП</t>
        </is>
      </c>
    </row>
    <row r="491" ht="18" customHeight="1">
      <c r="A491" s="45" t="inlineStr">
        <is>
          <t>работник 489</t>
        </is>
      </c>
      <c r="B491" s="45" t="inlineStr">
        <is>
          <t>АТКузнецов7АлексейП</t>
        </is>
      </c>
    </row>
    <row r="492" ht="18" customHeight="1">
      <c r="A492" s="45" t="inlineStr">
        <is>
          <t>работник 490</t>
        </is>
      </c>
      <c r="B492" s="45" t="inlineStr">
        <is>
          <t>АТМартыничев7ДенисП</t>
        </is>
      </c>
    </row>
    <row r="493" ht="18" customHeight="1">
      <c r="A493" s="45" t="inlineStr">
        <is>
          <t>работник 491</t>
        </is>
      </c>
      <c r="B493" s="45" t="inlineStr">
        <is>
          <t>АТМоисеенко7ЮрийП</t>
        </is>
      </c>
    </row>
    <row r="494" ht="18" customHeight="1">
      <c r="A494" s="45" t="inlineStr">
        <is>
          <t>работник 492</t>
        </is>
      </c>
      <c r="B494" s="45" t="inlineStr">
        <is>
          <t>АТПустовалова7НадеждаП</t>
        </is>
      </c>
    </row>
    <row r="495" ht="18" customHeight="1">
      <c r="A495" s="45" t="inlineStr">
        <is>
          <t>работник 493</t>
        </is>
      </c>
      <c r="B495" s="45" t="inlineStr">
        <is>
          <t>АТСаламатов7ЭрикП</t>
        </is>
      </c>
    </row>
    <row r="496" ht="18" customHeight="1">
      <c r="A496" s="45" t="inlineStr">
        <is>
          <t>работник 494</t>
        </is>
      </c>
      <c r="B496" s="45" t="inlineStr">
        <is>
          <t>АТФещенко7ПавелП</t>
        </is>
      </c>
    </row>
    <row r="497" ht="18" customHeight="1">
      <c r="A497" s="45" t="inlineStr">
        <is>
          <t>работник 495</t>
        </is>
      </c>
      <c r="B497" s="45" t="inlineStr">
        <is>
          <t>АТЧебыкин7ДмитрийП</t>
        </is>
      </c>
    </row>
    <row r="498" ht="18" customHeight="1">
      <c r="A498" s="45" t="inlineStr">
        <is>
          <t>работник 496</t>
        </is>
      </c>
      <c r="B498" s="45" t="inlineStr">
        <is>
          <t>АТШкуро7АлексейП</t>
        </is>
      </c>
    </row>
    <row r="499" ht="18" customHeight="1">
      <c r="A499" s="45" t="inlineStr">
        <is>
          <t>работник 497</t>
        </is>
      </c>
      <c r="B499" s="45" t="inlineStr">
        <is>
          <t>АТШустов7ПавелП</t>
        </is>
      </c>
    </row>
    <row r="500" ht="18" customHeight="1">
      <c r="A500" s="45" t="inlineStr">
        <is>
          <t>работник 498</t>
        </is>
      </c>
      <c r="B500" s="45" t="inlineStr">
        <is>
          <t>АТКолесникова7СофьяП</t>
        </is>
      </c>
    </row>
    <row r="501" ht="18" customHeight="1">
      <c r="A501" s="45" t="inlineStr">
        <is>
          <t>работник 499</t>
        </is>
      </c>
      <c r="B501" s="45" t="inlineStr">
        <is>
          <t>АТКравцов7ЕвгенийП</t>
        </is>
      </c>
    </row>
    <row r="502" ht="18" customHeight="1">
      <c r="A502" s="45" t="inlineStr">
        <is>
          <t>работник 500</t>
        </is>
      </c>
      <c r="B502" s="45" t="inlineStr">
        <is>
          <t>АТКравченко7АнастасияП</t>
        </is>
      </c>
    </row>
    <row r="503" ht="18" customHeight="1">
      <c r="A503" s="45" t="inlineStr">
        <is>
          <t>работник 501</t>
        </is>
      </c>
      <c r="B503" s="45" t="inlineStr">
        <is>
          <t>АТПочинков7ЭдуардП</t>
        </is>
      </c>
    </row>
    <row r="504" ht="18" customHeight="1">
      <c r="A504" s="45" t="inlineStr">
        <is>
          <t>работник 502</t>
        </is>
      </c>
      <c r="B504" s="45" t="inlineStr">
        <is>
          <t>АТПроценко7ЛюбовьП</t>
        </is>
      </c>
    </row>
    <row r="505" ht="18" customHeight="1">
      <c r="A505" s="45" t="inlineStr">
        <is>
          <t>работник 503</t>
        </is>
      </c>
      <c r="B505" s="45" t="inlineStr">
        <is>
          <t>АТЛанцов7АнатолийП</t>
        </is>
      </c>
    </row>
    <row r="506" ht="18" customHeight="1">
      <c r="A506" s="45" t="inlineStr">
        <is>
          <t>работник 504</t>
        </is>
      </c>
      <c r="B506" s="45" t="inlineStr">
        <is>
          <t>АТБалашов7АлексейП</t>
        </is>
      </c>
    </row>
    <row r="507" ht="18" customHeight="1">
      <c r="A507" s="45" t="inlineStr">
        <is>
          <t>работник 505</t>
        </is>
      </c>
      <c r="B507" s="45" t="inlineStr">
        <is>
          <t>АТДухновсая7ВалерияП</t>
        </is>
      </c>
    </row>
    <row r="508" ht="18" customHeight="1">
      <c r="A508" s="45" t="inlineStr">
        <is>
          <t>работник 506</t>
        </is>
      </c>
      <c r="B508" s="45" t="inlineStr">
        <is>
          <t>АТСафаров7ОрифджонП</t>
        </is>
      </c>
    </row>
    <row r="509" ht="18" customHeight="1">
      <c r="A509" s="45" t="inlineStr">
        <is>
          <t>работник 507</t>
        </is>
      </c>
      <c r="B509" s="45" t="inlineStr">
        <is>
          <t>АТАлтангэрэлийн7Ган-СэлэмП</t>
        </is>
      </c>
    </row>
    <row r="510" ht="18" customHeight="1">
      <c r="A510" s="45" t="inlineStr">
        <is>
          <t>работник 508</t>
        </is>
      </c>
      <c r="B510" s="45" t="inlineStr">
        <is>
          <t>АТКириллов7ВиталийП</t>
        </is>
      </c>
    </row>
    <row r="511" ht="18" customHeight="1">
      <c r="A511" s="45" t="inlineStr">
        <is>
          <t>работник 509</t>
        </is>
      </c>
      <c r="B511" s="45" t="inlineStr">
        <is>
          <t>АТБудаев7БаярП</t>
        </is>
      </c>
    </row>
    <row r="512" ht="18" customHeight="1">
      <c r="A512" s="45" t="inlineStr">
        <is>
          <t>работник 510</t>
        </is>
      </c>
      <c r="B512" s="45" t="inlineStr">
        <is>
          <t>АТКиво7АлександрП</t>
        </is>
      </c>
    </row>
    <row r="513" ht="18" customHeight="1">
      <c r="A513" s="45" t="inlineStr">
        <is>
          <t>работник 511</t>
        </is>
      </c>
      <c r="B513" s="45" t="inlineStr">
        <is>
          <t>АТВерещак7ПавелП</t>
        </is>
      </c>
    </row>
    <row r="514" ht="18" customHeight="1">
      <c r="A514" s="45" t="inlineStr">
        <is>
          <t>работник 512</t>
        </is>
      </c>
      <c r="B514" s="45" t="inlineStr">
        <is>
          <t>АТМартыненко7АлександрП</t>
        </is>
      </c>
    </row>
    <row r="515" ht="18" customHeight="1">
      <c r="A515" s="45" t="inlineStr">
        <is>
          <t>работник 513</t>
        </is>
      </c>
      <c r="B515" s="45" t="inlineStr">
        <is>
          <t>АТБорщевский7СергейП</t>
        </is>
      </c>
    </row>
    <row r="516" ht="18" customHeight="1">
      <c r="A516" s="45" t="inlineStr">
        <is>
          <t>работник 514</t>
        </is>
      </c>
      <c r="B516" s="45" t="inlineStr">
        <is>
          <t>АТНикитин7ЯковП</t>
        </is>
      </c>
    </row>
    <row r="517" ht="18" customHeight="1">
      <c r="A517" s="45" t="inlineStr">
        <is>
          <t>работник 515</t>
        </is>
      </c>
      <c r="B517" s="45" t="inlineStr">
        <is>
          <t>АТДикун7НиколайП</t>
        </is>
      </c>
    </row>
    <row r="518" ht="18" customHeight="1">
      <c r="A518" s="45" t="inlineStr">
        <is>
          <t>работник 516</t>
        </is>
      </c>
      <c r="B518" s="45" t="inlineStr">
        <is>
          <t>АТДагиев7АсланбекП</t>
        </is>
      </c>
    </row>
    <row r="519" ht="18" customHeight="1">
      <c r="A519" s="45" t="inlineStr">
        <is>
          <t>работник 517</t>
        </is>
      </c>
      <c r="B519" s="45" t="inlineStr">
        <is>
          <t>АТКолисниченко7ДенисП</t>
        </is>
      </c>
    </row>
    <row r="520" ht="18" customHeight="1">
      <c r="A520" s="45" t="inlineStr">
        <is>
          <t>работник 518</t>
        </is>
      </c>
      <c r="B520" s="45" t="inlineStr">
        <is>
          <t>АТЧех7СергейП</t>
        </is>
      </c>
    </row>
    <row r="521" ht="18" customHeight="1">
      <c r="A521" s="45" t="inlineStr">
        <is>
          <t>работник 519</t>
        </is>
      </c>
      <c r="B521" s="45" t="inlineStr">
        <is>
          <t>АТЭпов7АлександрП</t>
        </is>
      </c>
    </row>
    <row r="522" ht="18" customHeight="1">
      <c r="A522" s="45" t="inlineStr">
        <is>
          <t>работник 520</t>
        </is>
      </c>
      <c r="B522" s="45" t="inlineStr">
        <is>
          <t>АТЛисица7СергейП</t>
        </is>
      </c>
    </row>
    <row r="523" ht="18" customHeight="1">
      <c r="A523" s="45" t="inlineStr">
        <is>
          <t>работник 521</t>
        </is>
      </c>
      <c r="B523" s="45" t="inlineStr">
        <is>
          <t>АТЧертов7МаксимП</t>
        </is>
      </c>
    </row>
    <row r="524" ht="18" customHeight="1">
      <c r="A524" s="45" t="inlineStr">
        <is>
          <t>работник 522</t>
        </is>
      </c>
      <c r="B524" s="45" t="inlineStr">
        <is>
          <t>АТМетальников7ВладиславП</t>
        </is>
      </c>
    </row>
    <row r="525" ht="18" customHeight="1">
      <c r="A525" s="45" t="inlineStr">
        <is>
          <t>работник 523</t>
        </is>
      </c>
      <c r="B525" s="45" t="inlineStr">
        <is>
          <t>АТМузаев7Абдул-МаликП</t>
        </is>
      </c>
    </row>
    <row r="526" ht="18" customHeight="1">
      <c r="A526" s="45" t="inlineStr">
        <is>
          <t>работник 524</t>
        </is>
      </c>
      <c r="B526" s="45" t="inlineStr">
        <is>
          <t>АТАнсимов7ЛеонидП</t>
        </is>
      </c>
    </row>
    <row r="527" ht="18" customHeight="1">
      <c r="A527" s="45" t="inlineStr">
        <is>
          <t>работник 525</t>
        </is>
      </c>
      <c r="B527" s="45" t="inlineStr">
        <is>
          <t>АТМукосеев7ОлегП</t>
        </is>
      </c>
    </row>
    <row r="528" ht="18" customHeight="1">
      <c r="A528" s="45" t="inlineStr">
        <is>
          <t>работник 526</t>
        </is>
      </c>
      <c r="B528" s="45" t="inlineStr">
        <is>
          <t>АТРажаббоев7ИхлосбекП</t>
        </is>
      </c>
    </row>
    <row r="529" ht="18" customHeight="1">
      <c r="A529" s="45" t="inlineStr">
        <is>
          <t>работник 527</t>
        </is>
      </c>
      <c r="B529" s="45" t="inlineStr">
        <is>
          <t>АТГвоздев7АртемП</t>
        </is>
      </c>
    </row>
    <row r="530" ht="18" customHeight="1">
      <c r="A530" s="45" t="inlineStr">
        <is>
          <t>работник 528</t>
        </is>
      </c>
      <c r="B530" s="45" t="inlineStr">
        <is>
          <t>АТКинжаков7ПётрП</t>
        </is>
      </c>
    </row>
    <row r="531" ht="18" customHeight="1">
      <c r="A531" s="45" t="inlineStr">
        <is>
          <t>работник 529</t>
        </is>
      </c>
      <c r="B531" s="45" t="inlineStr">
        <is>
          <t>АТЦыбенов7ЗоригтоП</t>
        </is>
      </c>
    </row>
    <row r="532" ht="18" customHeight="1">
      <c r="A532" s="45" t="inlineStr">
        <is>
          <t>работник 530</t>
        </is>
      </c>
      <c r="B532" s="45" t="inlineStr">
        <is>
          <t>АТВиданов7ДмитрийП</t>
        </is>
      </c>
    </row>
    <row r="533" ht="18" customHeight="1">
      <c r="A533" s="45" t="inlineStr">
        <is>
          <t>работник 531</t>
        </is>
      </c>
      <c r="B533" s="45" t="inlineStr">
        <is>
          <t>АТБорисов7ДмитрийП</t>
        </is>
      </c>
    </row>
    <row r="534" ht="18" customHeight="1">
      <c r="A534" s="45" t="inlineStr">
        <is>
          <t>работник 532</t>
        </is>
      </c>
      <c r="B534" s="45" t="inlineStr">
        <is>
          <t>АТТимофеев7ИльяП</t>
        </is>
      </c>
    </row>
    <row r="535" ht="18" customHeight="1">
      <c r="A535" s="45" t="inlineStr">
        <is>
          <t>работник 533</t>
        </is>
      </c>
      <c r="B535" s="45" t="inlineStr">
        <is>
          <t>АТЛегезин7СергейП</t>
        </is>
      </c>
    </row>
    <row r="536" ht="18" customHeight="1">
      <c r="A536" s="45" t="inlineStr">
        <is>
          <t>работник 534</t>
        </is>
      </c>
      <c r="B536" s="45" t="inlineStr">
        <is>
          <t>АТДуняшенко7АлексейП</t>
        </is>
      </c>
    </row>
    <row r="537" ht="18" customHeight="1">
      <c r="A537" s="45" t="inlineStr">
        <is>
          <t>работник 535</t>
        </is>
      </c>
      <c r="B537" s="45" t="inlineStr">
        <is>
          <t>АТЮрков7ДмитрийП</t>
        </is>
      </c>
    </row>
    <row r="538" ht="18" customHeight="1">
      <c r="A538" s="45" t="inlineStr">
        <is>
          <t>работник 536</t>
        </is>
      </c>
      <c r="B538" s="45" t="inlineStr">
        <is>
          <t>АТДудник7ВикторП</t>
        </is>
      </c>
    </row>
    <row r="539" ht="18" customHeight="1">
      <c r="A539" s="45" t="inlineStr">
        <is>
          <t>работник 537</t>
        </is>
      </c>
      <c r="B539" s="45" t="inlineStr">
        <is>
          <t>АТМышкин7РусланП</t>
        </is>
      </c>
    </row>
    <row r="540" ht="18" customHeight="1">
      <c r="A540" s="45" t="inlineStr">
        <is>
          <t>работник 538</t>
        </is>
      </c>
      <c r="B540" s="45" t="inlineStr">
        <is>
          <t>АТНасыров7РустамП</t>
        </is>
      </c>
    </row>
    <row r="541" ht="18" customHeight="1">
      <c r="A541" s="45" t="inlineStr">
        <is>
          <t>работник 539</t>
        </is>
      </c>
      <c r="B541" s="45" t="inlineStr">
        <is>
          <t>АТКулкин7АлександрП</t>
        </is>
      </c>
    </row>
    <row r="542" ht="18" customHeight="1">
      <c r="A542" s="45" t="inlineStr">
        <is>
          <t>работник 540</t>
        </is>
      </c>
      <c r="B542" s="45" t="inlineStr">
        <is>
          <t>АТФедоряев7КонстантинП</t>
        </is>
      </c>
    </row>
    <row r="543" ht="18" customHeight="1">
      <c r="A543" s="45" t="inlineStr">
        <is>
          <t>работник 541</t>
        </is>
      </c>
      <c r="B543" s="45" t="inlineStr">
        <is>
          <t>АТВоеводина7ЛарисаП</t>
        </is>
      </c>
    </row>
    <row r="544" ht="18" customHeight="1">
      <c r="A544" s="45" t="inlineStr">
        <is>
          <t>работник 542</t>
        </is>
      </c>
      <c r="B544" s="45" t="inlineStr">
        <is>
          <t>АТЕмельянов7АлександрП</t>
        </is>
      </c>
    </row>
    <row r="545" ht="18" customHeight="1">
      <c r="A545" s="45" t="inlineStr">
        <is>
          <t>работник 543</t>
        </is>
      </c>
      <c r="B545" s="45" t="inlineStr">
        <is>
          <t>АТЖуравлев7РоманП</t>
        </is>
      </c>
    </row>
    <row r="546" ht="18" customHeight="1">
      <c r="A546" s="45" t="inlineStr">
        <is>
          <t>работник 544</t>
        </is>
      </c>
      <c r="B546" s="45" t="inlineStr">
        <is>
          <t>АТНазаров7ФозилжонП</t>
        </is>
      </c>
    </row>
    <row r="547" ht="18" customHeight="1">
      <c r="A547" s="45" t="inlineStr">
        <is>
          <t>работник 545</t>
        </is>
      </c>
      <c r="B547" s="45" t="inlineStr">
        <is>
          <t>АТЧеркашин7ДанилаП</t>
        </is>
      </c>
    </row>
    <row r="548" ht="18" customHeight="1">
      <c r="A548" s="45" t="inlineStr">
        <is>
          <t>работник 546</t>
        </is>
      </c>
      <c r="B548" s="45" t="inlineStr">
        <is>
          <t>АТФайзуллин7РусланП</t>
        </is>
      </c>
    </row>
    <row r="549" ht="18" customHeight="1">
      <c r="A549" s="45" t="inlineStr">
        <is>
          <t>работник 547</t>
        </is>
      </c>
      <c r="B549" s="45" t="inlineStr">
        <is>
          <t>АТСалов7ВиталийП</t>
        </is>
      </c>
    </row>
    <row r="550" ht="18" customHeight="1">
      <c r="A550" s="45" t="inlineStr">
        <is>
          <t>работник 548</t>
        </is>
      </c>
      <c r="B550" s="45" t="inlineStr">
        <is>
          <t>АТФилиппов7АлександрП</t>
        </is>
      </c>
    </row>
    <row r="551" ht="18" customHeight="1">
      <c r="A551" s="45" t="inlineStr">
        <is>
          <t>работник 549</t>
        </is>
      </c>
      <c r="B551" s="45" t="inlineStr">
        <is>
          <t>АТЛитвинец7РоманП</t>
        </is>
      </c>
    </row>
    <row r="552" ht="18" customHeight="1">
      <c r="A552" s="45" t="inlineStr">
        <is>
          <t>работник 550</t>
        </is>
      </c>
      <c r="B552" s="45" t="inlineStr">
        <is>
          <t>АТЧерепанов7РоманП</t>
        </is>
      </c>
    </row>
    <row r="553" ht="18" customHeight="1">
      <c r="A553" s="45" t="inlineStr">
        <is>
          <t>работник 551</t>
        </is>
      </c>
      <c r="B553" s="45" t="inlineStr">
        <is>
          <t>АТПанфилова7ОльгаП</t>
        </is>
      </c>
    </row>
    <row r="554" ht="18" customHeight="1">
      <c r="A554" s="45" t="inlineStr">
        <is>
          <t>работник 552</t>
        </is>
      </c>
      <c r="B554" s="45" t="inlineStr">
        <is>
          <t>АТЩукин7АнатолийП</t>
        </is>
      </c>
    </row>
    <row r="555" ht="18" customHeight="1">
      <c r="A555" s="45" t="inlineStr">
        <is>
          <t>работник 553</t>
        </is>
      </c>
      <c r="B555" s="45" t="inlineStr">
        <is>
          <t>АТКоробченко7ИванП</t>
        </is>
      </c>
    </row>
    <row r="556" ht="18" customHeight="1">
      <c r="A556" s="45" t="inlineStr">
        <is>
          <t>работник 554</t>
        </is>
      </c>
      <c r="B556" s="45" t="inlineStr">
        <is>
          <t>АТКондюров7РоманП</t>
        </is>
      </c>
    </row>
    <row r="557" ht="18" customHeight="1">
      <c r="A557" s="45" t="inlineStr">
        <is>
          <t>работник 555</t>
        </is>
      </c>
      <c r="B557" s="45" t="inlineStr">
        <is>
          <t>АТРыженков7АлександрП</t>
        </is>
      </c>
    </row>
    <row r="558" ht="18" customHeight="1">
      <c r="A558" s="45" t="inlineStr">
        <is>
          <t>работник 556</t>
        </is>
      </c>
      <c r="B558" s="45" t="inlineStr">
        <is>
          <t>АТЯзев7АндрейП</t>
        </is>
      </c>
    </row>
    <row r="559" ht="18" customHeight="1">
      <c r="A559" s="45" t="inlineStr">
        <is>
          <t>работник 557</t>
        </is>
      </c>
      <c r="B559" s="45" t="inlineStr">
        <is>
          <t>АТЛегеза7АлександрП</t>
        </is>
      </c>
    </row>
    <row r="560" ht="18" customHeight="1">
      <c r="A560" s="45" t="inlineStr">
        <is>
          <t>работник 558</t>
        </is>
      </c>
      <c r="B560" s="45" t="inlineStr">
        <is>
          <t>АТМасаев7ЭльбекП</t>
        </is>
      </c>
    </row>
    <row r="561" ht="18" customHeight="1">
      <c r="A561" s="45" t="inlineStr">
        <is>
          <t>работник 559</t>
        </is>
      </c>
      <c r="B561" s="45" t="inlineStr">
        <is>
          <t>АТКошкарев7АлександрП</t>
        </is>
      </c>
    </row>
    <row r="562" ht="18" customHeight="1">
      <c r="A562" s="45" t="inlineStr">
        <is>
          <t>работник 560</t>
        </is>
      </c>
      <c r="B562" s="45" t="inlineStr">
        <is>
          <t>АТУскеев7СаянП</t>
        </is>
      </c>
    </row>
    <row r="563" ht="18" customHeight="1">
      <c r="A563" s="45" t="inlineStr">
        <is>
          <t>работник 561</t>
        </is>
      </c>
      <c r="B563" s="45" t="inlineStr">
        <is>
          <t>АТСакович7АндрейП</t>
        </is>
      </c>
    </row>
    <row r="564" ht="18" customHeight="1">
      <c r="A564" s="45" t="inlineStr">
        <is>
          <t>работник 562</t>
        </is>
      </c>
      <c r="B564" s="45" t="inlineStr">
        <is>
          <t>АТСай7АндрейП</t>
        </is>
      </c>
    </row>
    <row r="565" ht="18" customHeight="1">
      <c r="A565" s="45" t="inlineStr">
        <is>
          <t>работник 563</t>
        </is>
      </c>
      <c r="B565" s="45" t="inlineStr">
        <is>
          <t>АТКорнейчук7ИванП</t>
        </is>
      </c>
    </row>
    <row r="566" ht="18" customHeight="1">
      <c r="A566" s="45" t="inlineStr">
        <is>
          <t>работник 564</t>
        </is>
      </c>
      <c r="B566" s="45" t="inlineStr">
        <is>
          <t>АТСулаймонов7ДостонП</t>
        </is>
      </c>
    </row>
    <row r="567" ht="18" customHeight="1">
      <c r="A567" s="45" t="inlineStr">
        <is>
          <t>работник 565</t>
        </is>
      </c>
      <c r="B567" s="45" t="inlineStr">
        <is>
          <t>АТФайзиев7ФерузП</t>
        </is>
      </c>
    </row>
    <row r="568" ht="18" customHeight="1">
      <c r="A568" s="45" t="inlineStr">
        <is>
          <t>работник 566</t>
        </is>
      </c>
      <c r="B568" s="45" t="inlineStr">
        <is>
          <t>АТСобченко7АлександрП</t>
        </is>
      </c>
    </row>
    <row r="569" ht="18" customHeight="1">
      <c r="A569" s="45" t="inlineStr">
        <is>
          <t>работник 567</t>
        </is>
      </c>
      <c r="B569" s="45" t="inlineStr">
        <is>
          <t>АТПанферов7СергейП</t>
        </is>
      </c>
    </row>
    <row r="570" ht="18" customHeight="1">
      <c r="A570" s="45" t="inlineStr">
        <is>
          <t>работник 568</t>
        </is>
      </c>
      <c r="B570" s="45" t="inlineStr">
        <is>
          <t>АТЧерпак7ВладиславП</t>
        </is>
      </c>
    </row>
    <row r="571" ht="18" customHeight="1">
      <c r="A571" s="45" t="inlineStr">
        <is>
          <t>работник 569</t>
        </is>
      </c>
      <c r="B571" s="45" t="inlineStr">
        <is>
          <t>АТХайдаров7ИсломбекП</t>
        </is>
      </c>
    </row>
    <row r="572" ht="18" customHeight="1">
      <c r="A572" s="45" t="inlineStr">
        <is>
          <t>работник 570</t>
        </is>
      </c>
      <c r="B572" s="45" t="inlineStr">
        <is>
          <t>АТЧуравин7СтаниславП</t>
        </is>
      </c>
    </row>
    <row r="573" ht="18" customHeight="1">
      <c r="A573" s="45" t="inlineStr">
        <is>
          <t>работник 571</t>
        </is>
      </c>
      <c r="B573" s="45" t="inlineStr">
        <is>
          <t>АТФедоров7ВикторП</t>
        </is>
      </c>
    </row>
    <row r="574" ht="18" customHeight="1">
      <c r="A574" s="45" t="inlineStr">
        <is>
          <t>работник 572</t>
        </is>
      </c>
      <c r="B574" s="45" t="inlineStr">
        <is>
          <t>АТАксаментов7МаксимП</t>
        </is>
      </c>
    </row>
    <row r="575" ht="18" customHeight="1">
      <c r="A575" s="45" t="inlineStr">
        <is>
          <t>работник 573</t>
        </is>
      </c>
      <c r="B575" s="45" t="inlineStr">
        <is>
          <t>АТРожков7ЕвгенийП</t>
        </is>
      </c>
    </row>
    <row r="576" ht="18" customHeight="1">
      <c r="A576" s="45" t="inlineStr">
        <is>
          <t>работник 574</t>
        </is>
      </c>
      <c r="B576" s="45" t="inlineStr">
        <is>
          <t>АТПерсидский7ПавелП</t>
        </is>
      </c>
    </row>
    <row r="577" ht="18" customHeight="1">
      <c r="A577" s="45" t="inlineStr">
        <is>
          <t>работник 575</t>
        </is>
      </c>
      <c r="B577" s="45" t="inlineStr">
        <is>
          <t>АТЗакиров7АртурП</t>
        </is>
      </c>
    </row>
    <row r="578" ht="18" customHeight="1">
      <c r="A578" s="45" t="inlineStr">
        <is>
          <t>работник 576</t>
        </is>
      </c>
      <c r="B578" s="45" t="inlineStr">
        <is>
          <t>АТЛазарев7БогданП</t>
        </is>
      </c>
    </row>
    <row r="579" ht="18" customHeight="1">
      <c r="A579" s="45" t="inlineStr">
        <is>
          <t>работник 577</t>
        </is>
      </c>
      <c r="B579" s="45" t="inlineStr">
        <is>
          <t>АТРоманов7РусланП</t>
        </is>
      </c>
    </row>
    <row r="580" ht="18" customHeight="1">
      <c r="A580" s="45" t="inlineStr">
        <is>
          <t>работник 578</t>
        </is>
      </c>
      <c r="B580" s="45" t="inlineStr">
        <is>
          <t>АТИванова7ДарьяП</t>
        </is>
      </c>
    </row>
    <row r="581" ht="18" customHeight="1">
      <c r="A581" s="45" t="inlineStr">
        <is>
          <t>работник 579</t>
        </is>
      </c>
      <c r="B581" s="45" t="inlineStr">
        <is>
          <t>АТКозлов7ДмитрийП</t>
        </is>
      </c>
    </row>
    <row r="582" ht="18" customHeight="1">
      <c r="A582" s="45" t="inlineStr">
        <is>
          <t>работник 580</t>
        </is>
      </c>
      <c r="B582" s="45" t="inlineStr">
        <is>
          <t>АТТюфутин7АлексейП</t>
        </is>
      </c>
    </row>
    <row r="583" ht="18" customHeight="1">
      <c r="A583" s="45" t="inlineStr">
        <is>
          <t>работник 581</t>
        </is>
      </c>
      <c r="B583" s="45" t="inlineStr">
        <is>
          <t>АТСапожников7ВладиславП</t>
        </is>
      </c>
    </row>
    <row r="584" ht="18" customHeight="1">
      <c r="A584" s="45" t="inlineStr">
        <is>
          <t>работник 582</t>
        </is>
      </c>
      <c r="B584" s="45" t="inlineStr">
        <is>
          <t>АТЕрмошкин7АртемП</t>
        </is>
      </c>
    </row>
    <row r="585" ht="18" customHeight="1">
      <c r="A585" s="45" t="inlineStr">
        <is>
          <t>работник 583</t>
        </is>
      </c>
      <c r="B585" s="45" t="inlineStr">
        <is>
          <t>АТГагаркин7АртёмП</t>
        </is>
      </c>
    </row>
    <row r="586" ht="18" customHeight="1">
      <c r="A586" s="45" t="inlineStr">
        <is>
          <t>работник 584</t>
        </is>
      </c>
      <c r="B586" s="45" t="inlineStr">
        <is>
          <t>АТГрищук7СтепанП</t>
        </is>
      </c>
    </row>
    <row r="587" ht="18" customHeight="1">
      <c r="A587" s="45" t="inlineStr">
        <is>
          <t>работник 585</t>
        </is>
      </c>
      <c r="B587" s="45" t="inlineStr">
        <is>
          <t>АТСафаров7АртёмП</t>
        </is>
      </c>
    </row>
    <row r="588" ht="18" customHeight="1">
      <c r="A588" s="45" t="inlineStr">
        <is>
          <t>работник 586</t>
        </is>
      </c>
      <c r="B588" s="45" t="inlineStr">
        <is>
          <t>АТБэнэдэк7НикитаП</t>
        </is>
      </c>
    </row>
    <row r="589" ht="18" customHeight="1">
      <c r="A589" s="45" t="inlineStr">
        <is>
          <t>работник 587</t>
        </is>
      </c>
      <c r="B589" s="45" t="inlineStr">
        <is>
          <t>АТМихеев7ДмитрийП</t>
        </is>
      </c>
    </row>
    <row r="590" ht="18" customHeight="1">
      <c r="A590" s="45" t="inlineStr">
        <is>
          <t>работник 588</t>
        </is>
      </c>
      <c r="B590" s="45" t="inlineStr">
        <is>
          <t>АТРвачева7НатальяП</t>
        </is>
      </c>
    </row>
    <row r="591" ht="18" customHeight="1">
      <c r="A591" s="45" t="inlineStr">
        <is>
          <t>работник 589</t>
        </is>
      </c>
      <c r="B591" s="45" t="inlineStr">
        <is>
          <t>АТПорядина7ТатьянаП</t>
        </is>
      </c>
    </row>
    <row r="592" ht="18" customHeight="1">
      <c r="A592" s="45" t="inlineStr">
        <is>
          <t>работник 590</t>
        </is>
      </c>
      <c r="B592" s="45" t="inlineStr">
        <is>
          <t>АТГаврилов7ДмитрийП</t>
        </is>
      </c>
    </row>
    <row r="593" ht="18" customHeight="1">
      <c r="A593" s="45" t="inlineStr">
        <is>
          <t>работник 591</t>
        </is>
      </c>
      <c r="B593" s="45" t="inlineStr">
        <is>
          <t>АТГлушак7ЮрийП</t>
        </is>
      </c>
    </row>
    <row r="594" ht="18" customHeight="1">
      <c r="A594" s="45" t="inlineStr">
        <is>
          <t>работник 592</t>
        </is>
      </c>
      <c r="B594" s="45" t="inlineStr">
        <is>
          <t>АТИванова7ЖаннаП</t>
        </is>
      </c>
    </row>
    <row r="595" ht="18" customHeight="1">
      <c r="A595" s="45" t="inlineStr">
        <is>
          <t>работник 593</t>
        </is>
      </c>
      <c r="B595" s="45" t="inlineStr">
        <is>
          <t>АТЗубехин7НасимжанП</t>
        </is>
      </c>
    </row>
    <row r="596" ht="18" customHeight="1">
      <c r="A596" s="45" t="inlineStr">
        <is>
          <t>работник 594</t>
        </is>
      </c>
      <c r="B596" s="45" t="inlineStr">
        <is>
          <t>АТНикифоров7РоманП</t>
        </is>
      </c>
    </row>
    <row r="597" ht="18" customHeight="1">
      <c r="A597" s="45" t="inlineStr">
        <is>
          <t>работник 595</t>
        </is>
      </c>
      <c r="B597" s="45" t="inlineStr">
        <is>
          <t>АТФитисенко7АндрейП</t>
        </is>
      </c>
    </row>
    <row r="598" ht="18" customHeight="1">
      <c r="A598" s="45" t="inlineStr">
        <is>
          <t>работник 596</t>
        </is>
      </c>
      <c r="B598" s="45" t="inlineStr">
        <is>
          <t>АТСкобелкин7РоманП</t>
        </is>
      </c>
    </row>
    <row r="599" ht="18" customHeight="1">
      <c r="A599" s="45" t="inlineStr">
        <is>
          <t>работник 597</t>
        </is>
      </c>
      <c r="B599" s="45" t="inlineStr">
        <is>
          <t>АТХадисов7РустамП</t>
        </is>
      </c>
    </row>
    <row r="600" ht="18" customHeight="1">
      <c r="A600" s="45" t="inlineStr">
        <is>
          <t>работник 598</t>
        </is>
      </c>
      <c r="B600" s="45" t="inlineStr">
        <is>
          <t>АТРомановский7СергейП</t>
        </is>
      </c>
    </row>
    <row r="601" ht="18" customHeight="1">
      <c r="A601" s="45" t="inlineStr">
        <is>
          <t>работник 599</t>
        </is>
      </c>
      <c r="B601" s="45" t="inlineStr">
        <is>
          <t>АТПетров7АнтонП</t>
        </is>
      </c>
    </row>
    <row r="602" ht="18" customHeight="1">
      <c r="A602" s="45" t="inlineStr">
        <is>
          <t>работник 600</t>
        </is>
      </c>
      <c r="B602" s="45" t="inlineStr">
        <is>
          <t>АТИсхаков7ИльгизП</t>
        </is>
      </c>
    </row>
    <row r="603" ht="18" customHeight="1">
      <c r="A603" s="45" t="inlineStr">
        <is>
          <t>работник 601</t>
        </is>
      </c>
      <c r="B603" s="45" t="inlineStr">
        <is>
          <t>АТПетров7ИванП</t>
        </is>
      </c>
    </row>
    <row r="604" ht="18" customHeight="1">
      <c r="A604" s="45" t="inlineStr">
        <is>
          <t>работник 602</t>
        </is>
      </c>
      <c r="B604" s="45" t="inlineStr">
        <is>
          <t>АТСидоров7МаксимП</t>
        </is>
      </c>
    </row>
    <row r="605" ht="18" customHeight="1">
      <c r="A605" s="45" t="inlineStr">
        <is>
          <t>работник 603</t>
        </is>
      </c>
      <c r="B605" s="45" t="inlineStr">
        <is>
          <t>АТПольский7ДанилП</t>
        </is>
      </c>
    </row>
    <row r="606" ht="18" customHeight="1">
      <c r="A606" s="45" t="inlineStr">
        <is>
          <t>работник 604</t>
        </is>
      </c>
      <c r="B606" s="45" t="inlineStr">
        <is>
          <t>АТТибейкин7МатвейП</t>
        </is>
      </c>
    </row>
    <row r="607" ht="18" customHeight="1">
      <c r="A607" s="45" t="inlineStr">
        <is>
          <t>работник 605</t>
        </is>
      </c>
      <c r="B607" s="45" t="inlineStr">
        <is>
          <t>АТЖуланов7КонстантинП</t>
        </is>
      </c>
    </row>
    <row r="608" ht="18" customHeight="1">
      <c r="A608" s="45" t="inlineStr">
        <is>
          <t>работник 606</t>
        </is>
      </c>
      <c r="B608" s="45" t="inlineStr">
        <is>
          <t>АТАданикова7ЮлияП</t>
        </is>
      </c>
    </row>
    <row r="609" ht="18" customHeight="1">
      <c r="A609" s="45" t="inlineStr">
        <is>
          <t>работник 607</t>
        </is>
      </c>
      <c r="B609" s="45" t="inlineStr">
        <is>
          <t>АТШаньшин7МатвейП</t>
        </is>
      </c>
    </row>
    <row r="610" ht="18" customHeight="1">
      <c r="A610" s="45" t="inlineStr">
        <is>
          <t>работник 608</t>
        </is>
      </c>
      <c r="B610" s="45" t="inlineStr">
        <is>
          <t>АТМартынюк7АлексейП</t>
        </is>
      </c>
    </row>
    <row r="611" ht="18" customHeight="1">
      <c r="A611" s="45" t="inlineStr">
        <is>
          <t>работник 609</t>
        </is>
      </c>
      <c r="B611" s="45" t="inlineStr">
        <is>
          <t>АТСапожков7РоманП</t>
        </is>
      </c>
    </row>
    <row r="612" ht="18" customHeight="1">
      <c r="A612" s="45" t="inlineStr">
        <is>
          <t>работник 610</t>
        </is>
      </c>
      <c r="B612" s="45" t="inlineStr">
        <is>
          <t>АТВоронов7КириллП</t>
        </is>
      </c>
    </row>
    <row r="613" ht="18" customHeight="1">
      <c r="A613" s="45" t="inlineStr">
        <is>
          <t>работник 611</t>
        </is>
      </c>
      <c r="B613" s="45" t="inlineStr">
        <is>
          <t>АТНадршин7РашидП</t>
        </is>
      </c>
    </row>
    <row r="614" ht="18" customHeight="1">
      <c r="A614" s="45" t="inlineStr">
        <is>
          <t>работник 612</t>
        </is>
      </c>
      <c r="B614" s="45" t="inlineStr">
        <is>
          <t>АТШеломенцев7ДаниилП</t>
        </is>
      </c>
    </row>
    <row r="615" ht="18" customHeight="1">
      <c r="A615" s="45" t="inlineStr">
        <is>
          <t>работник 613</t>
        </is>
      </c>
      <c r="B615" s="45" t="inlineStr">
        <is>
          <t>АТПетухов7НикитаП</t>
        </is>
      </c>
    </row>
    <row r="616" ht="18" customHeight="1">
      <c r="A616" s="45" t="inlineStr">
        <is>
          <t>работник 614</t>
        </is>
      </c>
      <c r="B616" s="45" t="inlineStr">
        <is>
          <t>АТХарин7СергейП</t>
        </is>
      </c>
    </row>
    <row r="617" ht="18" customHeight="1">
      <c r="A617" s="45" t="inlineStr">
        <is>
          <t>работник 615</t>
        </is>
      </c>
      <c r="B617" s="45" t="inlineStr">
        <is>
          <t>АТРадегаст7ИванП</t>
        </is>
      </c>
    </row>
    <row r="618" ht="18" customHeight="1">
      <c r="A618" s="45" t="inlineStr">
        <is>
          <t>работник 616</t>
        </is>
      </c>
      <c r="B618" s="45" t="inlineStr">
        <is>
          <t>АТШереметьев7КириллП</t>
        </is>
      </c>
    </row>
    <row r="619" ht="18" customHeight="1">
      <c r="A619" s="45" t="inlineStr">
        <is>
          <t>работник 617</t>
        </is>
      </c>
      <c r="B619" s="45" t="inlineStr">
        <is>
          <t>АТНекрестов7АлексейП</t>
        </is>
      </c>
    </row>
    <row r="620" ht="18" customHeight="1">
      <c r="A620" s="45" t="inlineStr">
        <is>
          <t>работник 618</t>
        </is>
      </c>
      <c r="B620" s="45" t="inlineStr">
        <is>
          <t>АТХартов7ВладимирП</t>
        </is>
      </c>
    </row>
    <row r="621" ht="18" customHeight="1">
      <c r="A621" s="45" t="inlineStr">
        <is>
          <t>работник 619</t>
        </is>
      </c>
      <c r="B621" s="45" t="inlineStr">
        <is>
          <t>АТВолошин7ПавелП</t>
        </is>
      </c>
    </row>
    <row r="622" ht="18" customHeight="1">
      <c r="A622" s="45" t="inlineStr">
        <is>
          <t>работник 620</t>
        </is>
      </c>
      <c r="B622" s="45" t="inlineStr">
        <is>
          <t>АТИванов7МаксимП</t>
        </is>
      </c>
    </row>
    <row r="623" ht="18" customHeight="1">
      <c r="A623" s="45" t="inlineStr">
        <is>
          <t>работник 621</t>
        </is>
      </c>
      <c r="B623" s="45" t="inlineStr">
        <is>
          <t>АТСолодовников7ИванП</t>
        </is>
      </c>
    </row>
    <row r="624" ht="18" customHeight="1">
      <c r="A624" s="45" t="inlineStr">
        <is>
          <t>работник 622</t>
        </is>
      </c>
      <c r="B624" s="45" t="inlineStr">
        <is>
          <t>АТОберюхтина7ОльгаП</t>
        </is>
      </c>
    </row>
    <row r="625" ht="18" customHeight="1">
      <c r="A625" s="45" t="inlineStr">
        <is>
          <t>работник 623</t>
        </is>
      </c>
      <c r="B625" s="45" t="inlineStr">
        <is>
          <t>АТГазинский7АнтонП</t>
        </is>
      </c>
    </row>
    <row r="626" ht="18" customHeight="1">
      <c r="A626" s="45" t="inlineStr">
        <is>
          <t>работник 624</t>
        </is>
      </c>
      <c r="B626" s="45" t="inlineStr">
        <is>
          <t>АТТен7ГумП</t>
        </is>
      </c>
    </row>
    <row r="627" ht="18" customHeight="1">
      <c r="A627" s="45" t="inlineStr">
        <is>
          <t>работник 625</t>
        </is>
      </c>
      <c r="B627" s="45" t="inlineStr">
        <is>
          <t>АТСмирёнов7ДмитрийП</t>
        </is>
      </c>
    </row>
    <row r="628" ht="18" customHeight="1">
      <c r="A628" s="45" t="inlineStr">
        <is>
          <t>работник 626</t>
        </is>
      </c>
      <c r="B628" s="45" t="inlineStr">
        <is>
          <t>АТТрачук7НатальяП</t>
        </is>
      </c>
    </row>
    <row r="629" ht="18" customHeight="1">
      <c r="A629" s="45" t="inlineStr">
        <is>
          <t>работник 627</t>
        </is>
      </c>
      <c r="B629" s="45" t="inlineStr">
        <is>
          <t>АТБарышев7ВладимирП</t>
        </is>
      </c>
    </row>
    <row r="630" ht="18" customHeight="1">
      <c r="A630" s="45" t="inlineStr">
        <is>
          <t>работник 628</t>
        </is>
      </c>
      <c r="B630" s="45" t="inlineStr">
        <is>
          <t>АТЖилин7НикифорП</t>
        </is>
      </c>
    </row>
    <row r="631" ht="18" customHeight="1">
      <c r="A631" s="45" t="inlineStr">
        <is>
          <t>работник 629</t>
        </is>
      </c>
      <c r="B631" s="45" t="inlineStr">
        <is>
          <t>АТБудаев7ЗориктоП</t>
        </is>
      </c>
    </row>
    <row r="632" ht="18" customHeight="1">
      <c r="A632" s="45" t="inlineStr">
        <is>
          <t>работник 630</t>
        </is>
      </c>
      <c r="B632" s="45" t="inlineStr">
        <is>
          <t>АТХадаев7БазарП</t>
        </is>
      </c>
    </row>
    <row r="633" ht="18" customHeight="1">
      <c r="A633" s="45" t="inlineStr">
        <is>
          <t>работник 631</t>
        </is>
      </c>
      <c r="B633" s="45" t="inlineStr">
        <is>
          <t>АТБорисенко7АлексейП</t>
        </is>
      </c>
    </row>
    <row r="634" ht="18" customHeight="1">
      <c r="A634" s="45" t="inlineStr">
        <is>
          <t>работник 632</t>
        </is>
      </c>
      <c r="B634" s="45" t="inlineStr">
        <is>
          <t>АТНиконов7ИгорьП</t>
        </is>
      </c>
    </row>
    <row r="635" ht="18" customHeight="1">
      <c r="A635" s="45" t="inlineStr">
        <is>
          <t>работник 633</t>
        </is>
      </c>
      <c r="B635" s="45" t="inlineStr">
        <is>
          <t>АТБояркин7СтаниславП</t>
        </is>
      </c>
    </row>
    <row r="636" ht="18" customHeight="1">
      <c r="A636" s="45" t="inlineStr">
        <is>
          <t>работник 634</t>
        </is>
      </c>
      <c r="B636" s="45" t="inlineStr">
        <is>
          <t>АТВеликов7СергейП</t>
        </is>
      </c>
    </row>
    <row r="637" ht="18" customHeight="1">
      <c r="A637" s="45" t="inlineStr">
        <is>
          <t>работник 635</t>
        </is>
      </c>
      <c r="B637" s="45" t="inlineStr">
        <is>
          <t>АТТуранов7АртемП</t>
        </is>
      </c>
    </row>
    <row r="638" ht="18" customHeight="1">
      <c r="A638" s="45" t="inlineStr">
        <is>
          <t>работник 636</t>
        </is>
      </c>
      <c r="B638" s="45" t="inlineStr">
        <is>
          <t>АТДолгов7АнтонП</t>
        </is>
      </c>
    </row>
    <row r="639" ht="18" customHeight="1">
      <c r="A639" s="45" t="inlineStr">
        <is>
          <t>работник 637</t>
        </is>
      </c>
      <c r="B639" s="45" t="inlineStr">
        <is>
          <t>АТКамбалин7МихаилП</t>
        </is>
      </c>
    </row>
    <row r="640" ht="18" customHeight="1">
      <c r="A640" s="45" t="inlineStr">
        <is>
          <t>работник 638</t>
        </is>
      </c>
      <c r="B640" s="45" t="inlineStr">
        <is>
          <t>АТПетухов7ДмитрийП</t>
        </is>
      </c>
    </row>
    <row r="641" ht="18" customHeight="1">
      <c r="A641" s="45" t="inlineStr">
        <is>
          <t>работник 639</t>
        </is>
      </c>
      <c r="B641" s="45" t="inlineStr">
        <is>
          <t>АТДокин7АлексейП</t>
        </is>
      </c>
    </row>
    <row r="642" ht="18" customHeight="1">
      <c r="A642" s="45" t="inlineStr">
        <is>
          <t>работник 640</t>
        </is>
      </c>
      <c r="B642" s="45" t="inlineStr">
        <is>
          <t>АТДегтярев7КонстантинП</t>
        </is>
      </c>
    </row>
    <row r="643" ht="18" customHeight="1">
      <c r="A643" s="45" t="inlineStr">
        <is>
          <t>работник 641</t>
        </is>
      </c>
      <c r="B643" s="45" t="inlineStr">
        <is>
          <t>АТКазанцев7АндрейП</t>
        </is>
      </c>
    </row>
    <row r="644" ht="18" customHeight="1">
      <c r="A644" s="45" t="inlineStr">
        <is>
          <t>работник 642</t>
        </is>
      </c>
      <c r="B644" s="45" t="inlineStr">
        <is>
          <t>АТТармаев7ГеннадийП</t>
        </is>
      </c>
    </row>
    <row r="645" ht="18" customHeight="1">
      <c r="A645" s="45" t="inlineStr">
        <is>
          <t>работник 643</t>
        </is>
      </c>
      <c r="B645" s="45" t="inlineStr">
        <is>
          <t>АТКапустин7ЕвгенийП</t>
        </is>
      </c>
    </row>
    <row r="646" ht="18" customHeight="1">
      <c r="A646" s="45" t="inlineStr">
        <is>
          <t>работник 644</t>
        </is>
      </c>
      <c r="B646" s="45" t="inlineStr">
        <is>
          <t>АТКоршунов7ВладимирП</t>
        </is>
      </c>
    </row>
    <row r="647" ht="18" customHeight="1">
      <c r="A647" s="45" t="inlineStr">
        <is>
          <t>работник 645</t>
        </is>
      </c>
      <c r="B647" s="45" t="inlineStr">
        <is>
          <t>АТКазанов7АлександрП</t>
        </is>
      </c>
    </row>
    <row r="648" ht="18" customHeight="1">
      <c r="A648" s="45" t="inlineStr">
        <is>
          <t>работник 646</t>
        </is>
      </c>
      <c r="B648" s="45" t="inlineStr">
        <is>
          <t>АТЕрохин7ВалентинП</t>
        </is>
      </c>
    </row>
    <row r="649" ht="18" customHeight="1">
      <c r="A649" s="45" t="inlineStr">
        <is>
          <t>работник 647</t>
        </is>
      </c>
      <c r="B649" s="45" t="inlineStr">
        <is>
          <t>АТПерцев7АнатолийП</t>
        </is>
      </c>
    </row>
    <row r="650" ht="18" customHeight="1">
      <c r="A650" s="45" t="inlineStr">
        <is>
          <t>работник 648</t>
        </is>
      </c>
      <c r="B650" s="45" t="inlineStr">
        <is>
          <t>АТВеликосельская7ЮлияП</t>
        </is>
      </c>
    </row>
    <row r="651" ht="18" customHeight="1">
      <c r="A651" s="45" t="inlineStr">
        <is>
          <t>работник 649</t>
        </is>
      </c>
      <c r="B651" s="45" t="inlineStr">
        <is>
          <t>АТМихайлов7ЕгорП</t>
        </is>
      </c>
    </row>
    <row r="652" ht="18" customHeight="1">
      <c r="A652" s="45" t="inlineStr">
        <is>
          <t>работник 650</t>
        </is>
      </c>
      <c r="B652" s="45" t="inlineStr">
        <is>
          <t>АТМаслюченко7АлександрП</t>
        </is>
      </c>
    </row>
    <row r="653" ht="18" customHeight="1">
      <c r="A653" s="45" t="inlineStr">
        <is>
          <t>работник 651</t>
        </is>
      </c>
      <c r="B653" s="45" t="inlineStr">
        <is>
          <t>АТТархов7АлексейП</t>
        </is>
      </c>
    </row>
    <row r="654" ht="18" customHeight="1">
      <c r="A654" s="45" t="inlineStr">
        <is>
          <t>работник 652</t>
        </is>
      </c>
      <c r="B654" s="45" t="inlineStr">
        <is>
          <t>АТКожевников7АлексейП</t>
        </is>
      </c>
    </row>
    <row r="655" ht="18" customHeight="1">
      <c r="A655" s="45" t="inlineStr">
        <is>
          <t>работник 653</t>
        </is>
      </c>
      <c r="B655" s="45" t="inlineStr">
        <is>
          <t>АТПерушкин7ВладиславП</t>
        </is>
      </c>
    </row>
    <row r="656" ht="18" customHeight="1">
      <c r="A656" s="45" t="inlineStr">
        <is>
          <t>работник 654</t>
        </is>
      </c>
      <c r="B656" s="45" t="inlineStr">
        <is>
          <t>АТБоярских7СергейП</t>
        </is>
      </c>
    </row>
    <row r="657" ht="18" customHeight="1">
      <c r="A657" s="45" t="inlineStr">
        <is>
          <t>работник 655</t>
        </is>
      </c>
      <c r="B657" s="45" t="inlineStr">
        <is>
          <t>АТАрхипов7ИгорьП</t>
        </is>
      </c>
    </row>
    <row r="658" ht="18" customHeight="1">
      <c r="A658" s="45" t="inlineStr">
        <is>
          <t>работник 656</t>
        </is>
      </c>
      <c r="B658" s="45" t="inlineStr">
        <is>
          <t>АТШипилов7АлександрП</t>
        </is>
      </c>
    </row>
    <row r="659" ht="18" customHeight="1">
      <c r="A659" s="45" t="inlineStr">
        <is>
          <t>работник 657</t>
        </is>
      </c>
      <c r="B659" s="45" t="inlineStr">
        <is>
          <t>АТЮрк7ВалерийП</t>
        </is>
      </c>
    </row>
    <row r="660" ht="18" customHeight="1">
      <c r="A660" s="45" t="inlineStr">
        <is>
          <t>работник 658</t>
        </is>
      </c>
      <c r="B660" s="45" t="inlineStr">
        <is>
          <t>АТРябенкова7ОльгаП</t>
        </is>
      </c>
    </row>
    <row r="661" ht="18" customHeight="1">
      <c r="A661" s="45" t="inlineStr">
        <is>
          <t>работник 659</t>
        </is>
      </c>
      <c r="B661" s="45" t="inlineStr">
        <is>
          <t>АТЗизенко7АркадийП</t>
        </is>
      </c>
    </row>
    <row r="662" ht="18" customHeight="1">
      <c r="A662" s="45" t="inlineStr">
        <is>
          <t>работник 660</t>
        </is>
      </c>
      <c r="B662" s="45" t="inlineStr">
        <is>
          <t>АТРычагов7НиколайП</t>
        </is>
      </c>
    </row>
    <row r="663" ht="18" customHeight="1">
      <c r="A663" s="45" t="inlineStr">
        <is>
          <t>работник 661</t>
        </is>
      </c>
      <c r="B663" s="45" t="inlineStr">
        <is>
          <t>АТМордвинский7ДанилП</t>
        </is>
      </c>
    </row>
    <row r="664" ht="18" customHeight="1">
      <c r="A664" s="45" t="inlineStr">
        <is>
          <t>работник 662</t>
        </is>
      </c>
      <c r="B664" s="45" t="inlineStr">
        <is>
          <t>АТИгнатьев7СергейП</t>
        </is>
      </c>
    </row>
    <row r="665" ht="18" customHeight="1">
      <c r="A665" s="45" t="inlineStr">
        <is>
          <t>работник 663</t>
        </is>
      </c>
      <c r="B665" s="45" t="inlineStr">
        <is>
          <t>АТГолубев7ДмитрийП</t>
        </is>
      </c>
    </row>
    <row r="666" ht="18" customHeight="1">
      <c r="A666" s="45" t="inlineStr">
        <is>
          <t>работник 664</t>
        </is>
      </c>
      <c r="B666" s="45" t="inlineStr">
        <is>
          <t>АТТузовский7АлександрП</t>
        </is>
      </c>
    </row>
    <row r="667" ht="18" customHeight="1">
      <c r="A667" s="45" t="inlineStr">
        <is>
          <t>работник 665</t>
        </is>
      </c>
      <c r="B667" s="45" t="inlineStr">
        <is>
          <t>АТЛарченко7АлексейП</t>
        </is>
      </c>
    </row>
    <row r="668" ht="18" customHeight="1">
      <c r="A668" s="45" t="inlineStr">
        <is>
          <t>работник 666</t>
        </is>
      </c>
      <c r="B668" s="45" t="inlineStr">
        <is>
          <t>АТАлександров7АлексейП</t>
        </is>
      </c>
    </row>
    <row r="669" ht="18" customHeight="1">
      <c r="A669" s="45" t="inlineStr">
        <is>
          <t>работник 667</t>
        </is>
      </c>
      <c r="B669" s="45" t="inlineStr">
        <is>
          <t>АТСолдатенко7АлексейП</t>
        </is>
      </c>
    </row>
    <row r="670" ht="18" customHeight="1">
      <c r="A670" s="45" t="inlineStr">
        <is>
          <t>работник 668</t>
        </is>
      </c>
      <c r="B670" s="45" t="inlineStr">
        <is>
          <t>АТГорохов7ВикторП</t>
        </is>
      </c>
    </row>
    <row r="671" ht="18" customHeight="1">
      <c r="A671" s="45" t="inlineStr">
        <is>
          <t>работник 669</t>
        </is>
      </c>
      <c r="B671" s="45" t="inlineStr">
        <is>
          <t>АТРешетин7ИванП</t>
        </is>
      </c>
    </row>
    <row r="672" ht="18" customHeight="1">
      <c r="A672" s="45" t="inlineStr">
        <is>
          <t>работник 670</t>
        </is>
      </c>
      <c r="B672" s="45" t="inlineStr">
        <is>
          <t>АТЗалуцкий7КириллП</t>
        </is>
      </c>
    </row>
    <row r="673" ht="18" customHeight="1">
      <c r="A673" s="45" t="inlineStr">
        <is>
          <t>работник 671</t>
        </is>
      </c>
      <c r="B673" s="45" t="inlineStr">
        <is>
          <t>АТБуянтуева7ЭржэнаП</t>
        </is>
      </c>
    </row>
    <row r="674" ht="18" customHeight="1">
      <c r="A674" s="45" t="inlineStr">
        <is>
          <t>работник 672</t>
        </is>
      </c>
      <c r="B674" s="45" t="inlineStr">
        <is>
          <t>АТАртюхов7ДаниилП</t>
        </is>
      </c>
    </row>
    <row r="675" ht="18" customHeight="1">
      <c r="A675" s="45" t="inlineStr">
        <is>
          <t>работник 673</t>
        </is>
      </c>
      <c r="B675" s="45" t="inlineStr">
        <is>
          <t>АТСапрунов7СергейП</t>
        </is>
      </c>
    </row>
    <row r="676" ht="18" customHeight="1">
      <c r="A676" s="45" t="inlineStr">
        <is>
          <t>работник 674</t>
        </is>
      </c>
      <c r="B676" s="45" t="inlineStr">
        <is>
          <t>АТТарасенко7КириллП</t>
        </is>
      </c>
    </row>
    <row r="677" ht="18" customHeight="1">
      <c r="A677" s="45" t="inlineStr">
        <is>
          <t>работник 675</t>
        </is>
      </c>
      <c r="B677" s="45" t="inlineStr">
        <is>
          <t>АТЕмельянцев7ИванП</t>
        </is>
      </c>
    </row>
    <row r="678" ht="18" customHeight="1">
      <c r="A678" s="45" t="inlineStr">
        <is>
          <t>работник 676</t>
        </is>
      </c>
      <c r="B678" s="45" t="inlineStr">
        <is>
          <t>АТВласов7ФеликсП</t>
        </is>
      </c>
    </row>
    <row r="679" ht="18" customHeight="1">
      <c r="A679" s="45" t="inlineStr">
        <is>
          <t>работник 677</t>
        </is>
      </c>
      <c r="B679" s="45" t="inlineStr">
        <is>
          <t>АТНаумов7ДмитрийП</t>
        </is>
      </c>
    </row>
    <row r="680" ht="18" customHeight="1">
      <c r="A680" s="45" t="inlineStr">
        <is>
          <t>работник 678</t>
        </is>
      </c>
      <c r="B680" s="45" t="inlineStr">
        <is>
          <t>АТКудрова7НатальяП</t>
        </is>
      </c>
    </row>
    <row r="681" ht="18" customHeight="1">
      <c r="A681" s="45" t="inlineStr">
        <is>
          <t>работник 679</t>
        </is>
      </c>
      <c r="B681" s="45" t="inlineStr">
        <is>
          <t>АТГоловин7ИльяП</t>
        </is>
      </c>
    </row>
    <row r="682" ht="18" customHeight="1">
      <c r="A682" s="45" t="inlineStr">
        <is>
          <t>работник 680</t>
        </is>
      </c>
      <c r="B682" s="45" t="inlineStr">
        <is>
          <t>АТДугин7ВладимирП</t>
        </is>
      </c>
    </row>
    <row r="683" ht="18" customHeight="1">
      <c r="A683" s="45" t="inlineStr">
        <is>
          <t>работник 681</t>
        </is>
      </c>
      <c r="B683" s="45" t="inlineStr">
        <is>
          <t>АТСоколов7ДмитрийП</t>
        </is>
      </c>
    </row>
    <row r="684" ht="18" customHeight="1">
      <c r="A684" s="45" t="inlineStr">
        <is>
          <t>работник 682</t>
        </is>
      </c>
      <c r="B684" s="45" t="inlineStr">
        <is>
          <t>АТЧерняк7АлексейП</t>
        </is>
      </c>
    </row>
    <row r="685" ht="18" customHeight="1">
      <c r="A685" s="45" t="inlineStr">
        <is>
          <t>работник 683</t>
        </is>
      </c>
      <c r="B685" s="45" t="inlineStr">
        <is>
          <t>АТТитов7ЛеонидП</t>
        </is>
      </c>
    </row>
    <row r="686" ht="18" customHeight="1">
      <c r="A686" s="45" t="inlineStr">
        <is>
          <t>работник 684</t>
        </is>
      </c>
      <c r="B686" s="45" t="inlineStr">
        <is>
          <t>АТБоровков7ЕвгенийП</t>
        </is>
      </c>
    </row>
    <row r="687" ht="18" customHeight="1">
      <c r="A687" s="45" t="inlineStr">
        <is>
          <t>работник 685</t>
        </is>
      </c>
      <c r="B687" s="45" t="inlineStr">
        <is>
          <t>АТДемиденко7ДмитрийП</t>
        </is>
      </c>
    </row>
    <row r="688" ht="18" customHeight="1">
      <c r="A688" s="45" t="inlineStr">
        <is>
          <t>работник 686</t>
        </is>
      </c>
      <c r="B688" s="45" t="inlineStr">
        <is>
          <t>АТМикшин7АртурП</t>
        </is>
      </c>
    </row>
    <row r="689" ht="18" customHeight="1">
      <c r="A689" s="45" t="inlineStr">
        <is>
          <t>работник 687</t>
        </is>
      </c>
      <c r="B689" s="45" t="inlineStr">
        <is>
          <t>АТБалашов7АлександрП</t>
        </is>
      </c>
    </row>
    <row r="690" ht="18" customHeight="1">
      <c r="A690" s="45" t="inlineStr">
        <is>
          <t>работник 688</t>
        </is>
      </c>
      <c r="B690" s="45" t="inlineStr">
        <is>
          <t>АТБатясов7АлексейП</t>
        </is>
      </c>
    </row>
    <row r="691" ht="18" customHeight="1">
      <c r="A691" s="45" t="inlineStr">
        <is>
          <t>работник 689</t>
        </is>
      </c>
      <c r="B691" s="45" t="inlineStr">
        <is>
          <t>АТБуглак7НиколайП</t>
        </is>
      </c>
    </row>
    <row r="692" ht="18" customHeight="1">
      <c r="A692" s="45" t="inlineStr">
        <is>
          <t>работник 690</t>
        </is>
      </c>
      <c r="B692" s="45" t="inlineStr">
        <is>
          <t>АТБудаев7ПавелП</t>
        </is>
      </c>
    </row>
    <row r="693" ht="18" customHeight="1">
      <c r="A693" s="45" t="inlineStr">
        <is>
          <t>работник 691</t>
        </is>
      </c>
      <c r="B693" s="45" t="inlineStr">
        <is>
          <t>АТВаськов7ИгорьП</t>
        </is>
      </c>
    </row>
    <row r="694" ht="18" customHeight="1">
      <c r="A694" s="45" t="inlineStr">
        <is>
          <t>работник 692</t>
        </is>
      </c>
      <c r="B694" s="45" t="inlineStr">
        <is>
          <t>АТГоляка7ВладимирП</t>
        </is>
      </c>
    </row>
    <row r="695" ht="18" customHeight="1">
      <c r="A695" s="45" t="inlineStr">
        <is>
          <t>работник 693</t>
        </is>
      </c>
      <c r="B695" s="45" t="inlineStr">
        <is>
          <t>АТГригорьев7АнтонП</t>
        </is>
      </c>
    </row>
    <row r="696" ht="18" customHeight="1">
      <c r="A696" s="45" t="inlineStr">
        <is>
          <t>работник 694</t>
        </is>
      </c>
      <c r="B696" s="45" t="inlineStr">
        <is>
          <t>АТЕрохин7АртёмП</t>
        </is>
      </c>
    </row>
    <row r="697" ht="18" customHeight="1">
      <c r="A697" s="45" t="inlineStr">
        <is>
          <t>работник 695</t>
        </is>
      </c>
      <c r="B697" s="45" t="inlineStr">
        <is>
          <t>АТЗавалин7ДмитрийП</t>
        </is>
      </c>
    </row>
    <row r="698" ht="18" customHeight="1">
      <c r="A698" s="45" t="inlineStr">
        <is>
          <t>работник 696</t>
        </is>
      </c>
      <c r="B698" s="45" t="inlineStr">
        <is>
          <t>АТКороль7АнатолийП</t>
        </is>
      </c>
    </row>
    <row r="699" ht="18" customHeight="1">
      <c r="A699" s="45" t="inlineStr">
        <is>
          <t>работник 697</t>
        </is>
      </c>
      <c r="B699" s="45" t="inlineStr">
        <is>
          <t>АТКратько7СергейП</t>
        </is>
      </c>
    </row>
    <row r="700" ht="18" customHeight="1">
      <c r="A700" s="45" t="inlineStr">
        <is>
          <t>работник 698</t>
        </is>
      </c>
      <c r="B700" s="45" t="inlineStr">
        <is>
          <t>АТКратько7ЮрийП</t>
        </is>
      </c>
    </row>
    <row r="701" ht="18" customHeight="1">
      <c r="A701" s="45" t="inlineStr">
        <is>
          <t>работник 699</t>
        </is>
      </c>
      <c r="B701" s="45" t="inlineStr">
        <is>
          <t>АТКунафин7ТимурП</t>
        </is>
      </c>
    </row>
    <row r="702" ht="18" customHeight="1">
      <c r="A702" s="45" t="inlineStr">
        <is>
          <t>работник 700</t>
        </is>
      </c>
      <c r="B702" s="45" t="inlineStr">
        <is>
          <t>АТКурамшин7АльбертП</t>
        </is>
      </c>
    </row>
    <row r="703" ht="18" customHeight="1">
      <c r="A703" s="45" t="inlineStr">
        <is>
          <t>работник 701</t>
        </is>
      </c>
      <c r="B703" s="45" t="inlineStr">
        <is>
          <t>АТЛундышев7ЯрославП</t>
        </is>
      </c>
    </row>
    <row r="704" ht="18" customHeight="1">
      <c r="A704" s="45" t="inlineStr">
        <is>
          <t>работник 702</t>
        </is>
      </c>
      <c r="B704" s="45" t="inlineStr">
        <is>
          <t>АТМордаков7АндрейП</t>
        </is>
      </c>
    </row>
    <row r="705" ht="18" customHeight="1">
      <c r="A705" s="45" t="inlineStr">
        <is>
          <t>работник 703</t>
        </is>
      </c>
      <c r="B705" s="45" t="inlineStr">
        <is>
          <t>АТСабиров7АзаматП</t>
        </is>
      </c>
    </row>
    <row r="706" ht="18" customHeight="1">
      <c r="A706" s="45" t="inlineStr">
        <is>
          <t>работник 704</t>
        </is>
      </c>
      <c r="B706" s="45" t="inlineStr">
        <is>
          <t>АТСмирнов7АндрейП</t>
        </is>
      </c>
    </row>
    <row r="707" ht="18" customHeight="1">
      <c r="A707" s="45" t="inlineStr">
        <is>
          <t>работник 705</t>
        </is>
      </c>
      <c r="B707" s="45" t="inlineStr">
        <is>
          <t>АТФраснюк7ЕвгенийП</t>
        </is>
      </c>
    </row>
    <row r="708" ht="18" customHeight="1">
      <c r="A708" s="45" t="inlineStr">
        <is>
          <t>работник 706</t>
        </is>
      </c>
      <c r="B708" s="45" t="inlineStr">
        <is>
          <t>АТШаров7ИгорьП</t>
        </is>
      </c>
    </row>
    <row r="709" ht="18" customHeight="1">
      <c r="A709" s="45" t="inlineStr">
        <is>
          <t>работник 707</t>
        </is>
      </c>
      <c r="B709" s="45" t="inlineStr">
        <is>
          <t>АТШвец7АндрейП</t>
        </is>
      </c>
    </row>
    <row r="710" ht="18" customHeight="1">
      <c r="A710" s="45" t="inlineStr">
        <is>
          <t>работник 708</t>
        </is>
      </c>
      <c r="B710" s="45" t="inlineStr">
        <is>
          <t>АТВишневский7ВладимирП</t>
        </is>
      </c>
    </row>
    <row r="711" ht="18" customHeight="1">
      <c r="A711" s="45" t="inlineStr">
        <is>
          <t>работник 709</t>
        </is>
      </c>
      <c r="B711" s="45" t="inlineStr">
        <is>
          <t>АТВоробьев7АлексейП</t>
        </is>
      </c>
    </row>
    <row r="712" ht="18" customHeight="1">
      <c r="A712" s="45" t="inlineStr">
        <is>
          <t>работник 710</t>
        </is>
      </c>
      <c r="B712" s="45" t="inlineStr">
        <is>
          <t>АТВоробьёв7ПавелП</t>
        </is>
      </c>
    </row>
    <row r="713" ht="18" customHeight="1">
      <c r="A713" s="45" t="inlineStr">
        <is>
          <t>работник 711</t>
        </is>
      </c>
      <c r="B713" s="45" t="inlineStr">
        <is>
          <t>АТВорончихин7ИванП</t>
        </is>
      </c>
    </row>
    <row r="714" ht="18" customHeight="1">
      <c r="A714" s="45" t="inlineStr">
        <is>
          <t>работник 712</t>
        </is>
      </c>
      <c r="B714" s="45" t="inlineStr">
        <is>
          <t>АТГаер7АртурП</t>
        </is>
      </c>
    </row>
    <row r="715" ht="18" customHeight="1">
      <c r="A715" s="45" t="inlineStr">
        <is>
          <t>работник 713</t>
        </is>
      </c>
      <c r="B715" s="45" t="inlineStr">
        <is>
          <t>АТЕфремов7ЕвгенийП</t>
        </is>
      </c>
    </row>
    <row r="716" ht="18" customHeight="1">
      <c r="A716" s="45" t="inlineStr">
        <is>
          <t>работник 714</t>
        </is>
      </c>
      <c r="B716" s="45" t="inlineStr">
        <is>
          <t>АТЮдов7ДенисП</t>
        </is>
      </c>
    </row>
    <row r="717" ht="18" customHeight="1">
      <c r="A717" s="45" t="inlineStr">
        <is>
          <t>работник 715</t>
        </is>
      </c>
      <c r="B717" s="45" t="inlineStr">
        <is>
          <t>АТЖелезняк7РусланП</t>
        </is>
      </c>
    </row>
    <row r="718" ht="18" customHeight="1">
      <c r="A718" s="45" t="inlineStr">
        <is>
          <t>работник 716</t>
        </is>
      </c>
      <c r="B718" s="45" t="inlineStr">
        <is>
          <t>АТЗархозашвили7НукзарП</t>
        </is>
      </c>
    </row>
    <row r="719" ht="18" customHeight="1">
      <c r="A719" s="45" t="inlineStr">
        <is>
          <t>работник 717</t>
        </is>
      </c>
      <c r="B719" s="45" t="inlineStr">
        <is>
          <t>АТИванов7МихалП</t>
        </is>
      </c>
    </row>
    <row r="720" ht="18" customHeight="1">
      <c r="A720" s="45" t="inlineStr">
        <is>
          <t>работник 718</t>
        </is>
      </c>
      <c r="B720" s="45" t="inlineStr">
        <is>
          <t>АТКириллов7АндрейП</t>
        </is>
      </c>
    </row>
    <row r="721" ht="18" customHeight="1">
      <c r="A721" s="45" t="inlineStr">
        <is>
          <t>работник 719</t>
        </is>
      </c>
      <c r="B721" s="45" t="inlineStr">
        <is>
          <t>АТКоровин7АнатолийП</t>
        </is>
      </c>
    </row>
    <row r="722" ht="18" customHeight="1">
      <c r="A722" s="45" t="inlineStr">
        <is>
          <t>работник 720</t>
        </is>
      </c>
      <c r="B722" s="45" t="inlineStr">
        <is>
          <t>АТКосолапов7АндрейП</t>
        </is>
      </c>
    </row>
    <row r="723" ht="18" customHeight="1">
      <c r="A723" s="45" t="inlineStr">
        <is>
          <t>работник 721</t>
        </is>
      </c>
      <c r="B723" s="45" t="inlineStr">
        <is>
          <t>АТКуркин7АлексейП</t>
        </is>
      </c>
    </row>
    <row r="724" ht="18" customHeight="1">
      <c r="A724" s="45" t="inlineStr">
        <is>
          <t>работник 722</t>
        </is>
      </c>
      <c r="B724" s="45" t="inlineStr">
        <is>
          <t>АТЛаншаков7ВиталийП</t>
        </is>
      </c>
    </row>
    <row r="725" ht="18" customHeight="1">
      <c r="A725" s="45" t="inlineStr">
        <is>
          <t>работник 723</t>
        </is>
      </c>
      <c r="B725" s="45" t="inlineStr">
        <is>
          <t>АТЛарионов7НикитаП</t>
        </is>
      </c>
    </row>
    <row r="726" ht="18" customHeight="1">
      <c r="A726" s="45" t="inlineStr">
        <is>
          <t>работник 724</t>
        </is>
      </c>
      <c r="B726" s="45" t="inlineStr">
        <is>
          <t>АТМакаров7АлексейП</t>
        </is>
      </c>
    </row>
    <row r="727" ht="18" customHeight="1">
      <c r="A727" s="45" t="inlineStr">
        <is>
          <t>работник 725</t>
        </is>
      </c>
      <c r="B727" s="45" t="inlineStr">
        <is>
          <t>АТМокрушин7МихаилП</t>
        </is>
      </c>
    </row>
    <row r="728" ht="18" customHeight="1">
      <c r="A728" s="45" t="inlineStr">
        <is>
          <t>работник 726</t>
        </is>
      </c>
      <c r="B728" s="45" t="inlineStr">
        <is>
          <t>АТМошаев7ВладимирП</t>
        </is>
      </c>
    </row>
    <row r="729" ht="18" customHeight="1">
      <c r="A729" s="45" t="inlineStr">
        <is>
          <t>работник 727</t>
        </is>
      </c>
      <c r="B729" s="45" t="inlineStr">
        <is>
          <t>АТНовиков7АлександрП</t>
        </is>
      </c>
    </row>
    <row r="730" ht="18" customHeight="1">
      <c r="A730" s="45" t="inlineStr">
        <is>
          <t>работник 728</t>
        </is>
      </c>
      <c r="B730" s="45" t="inlineStr">
        <is>
          <t>АТОсиевский7АлексейП</t>
        </is>
      </c>
    </row>
    <row r="731" ht="18" customHeight="1">
      <c r="A731" s="45" t="inlineStr">
        <is>
          <t>работник 729</t>
        </is>
      </c>
      <c r="B731" s="45" t="inlineStr">
        <is>
          <t>АТПарфенов7РоманП</t>
        </is>
      </c>
    </row>
    <row r="732" ht="18" customHeight="1">
      <c r="A732" s="45" t="inlineStr">
        <is>
          <t>работник 730</t>
        </is>
      </c>
      <c r="B732" s="45" t="inlineStr">
        <is>
          <t>АТПилин7АлександрП</t>
        </is>
      </c>
    </row>
    <row r="733" ht="18" customHeight="1">
      <c r="A733" s="45" t="inlineStr">
        <is>
          <t>работник 731</t>
        </is>
      </c>
      <c r="B733" s="45" t="inlineStr">
        <is>
          <t>АТПлатонов7РоманП</t>
        </is>
      </c>
    </row>
    <row r="734" ht="18" customHeight="1">
      <c r="A734" s="45" t="inlineStr">
        <is>
          <t>работник 732</t>
        </is>
      </c>
      <c r="B734" s="45" t="inlineStr">
        <is>
          <t>АТРахимов7МансурП</t>
        </is>
      </c>
    </row>
    <row r="735" ht="18" customHeight="1">
      <c r="A735" s="45" t="inlineStr">
        <is>
          <t>работник 733</t>
        </is>
      </c>
      <c r="B735" s="45" t="inlineStr">
        <is>
          <t>АТРыжков7НиколайП</t>
        </is>
      </c>
    </row>
    <row r="736" ht="18" customHeight="1">
      <c r="A736" s="45" t="inlineStr">
        <is>
          <t>работник 734</t>
        </is>
      </c>
      <c r="B736" s="45" t="inlineStr">
        <is>
          <t>АТСафронов7ЕвгенийП</t>
        </is>
      </c>
    </row>
    <row r="737" ht="18" customHeight="1">
      <c r="A737" s="45" t="inlineStr">
        <is>
          <t>работник 735</t>
        </is>
      </c>
      <c r="B737" s="45" t="inlineStr">
        <is>
          <t>АТСтолетний7СергейП</t>
        </is>
      </c>
    </row>
    <row r="738" ht="18" customHeight="1">
      <c r="A738" s="45" t="inlineStr">
        <is>
          <t>работник 736</t>
        </is>
      </c>
      <c r="B738" s="45" t="inlineStr">
        <is>
          <t>АТТатаринов7АлексейП</t>
        </is>
      </c>
    </row>
    <row r="739" ht="18" customHeight="1">
      <c r="A739" s="45" t="inlineStr">
        <is>
          <t>работник 737</t>
        </is>
      </c>
      <c r="B739" s="45" t="inlineStr">
        <is>
          <t>АТФролов7ЮрийП</t>
        </is>
      </c>
    </row>
    <row r="740" ht="18" customHeight="1">
      <c r="A740" s="45" t="inlineStr">
        <is>
          <t>работник 738</t>
        </is>
      </c>
      <c r="B740" s="45" t="inlineStr">
        <is>
          <t>АТХадыев7ВадимП</t>
        </is>
      </c>
    </row>
    <row r="741" ht="18" customHeight="1">
      <c r="A741" s="45" t="inlineStr">
        <is>
          <t>работник 739</t>
        </is>
      </c>
      <c r="B741" s="45" t="inlineStr">
        <is>
          <t>АТЧерепанов7СергейП</t>
        </is>
      </c>
    </row>
    <row r="742" ht="18" customHeight="1">
      <c r="A742" s="45" t="inlineStr">
        <is>
          <t>работник 740</t>
        </is>
      </c>
      <c r="B742" s="45" t="inlineStr">
        <is>
          <t>АТШарифуллин7ИльдусП</t>
        </is>
      </c>
    </row>
    <row r="743" ht="18" customHeight="1">
      <c r="A743" s="45" t="inlineStr">
        <is>
          <t>работник 741</t>
        </is>
      </c>
      <c r="B743" s="45" t="inlineStr">
        <is>
          <t>АТШироков7АндрейП</t>
        </is>
      </c>
    </row>
    <row r="744" ht="18" customHeight="1">
      <c r="A744" s="45" t="inlineStr">
        <is>
          <t>работник 742</t>
        </is>
      </c>
      <c r="B744" s="45" t="inlineStr">
        <is>
          <t>АТЮнкин7РоманП</t>
        </is>
      </c>
    </row>
    <row r="745" ht="18" customHeight="1">
      <c r="A745" s="45" t="inlineStr">
        <is>
          <t>работник 743</t>
        </is>
      </c>
      <c r="B745" s="45" t="inlineStr">
        <is>
          <t>АТСиврюков7ИгорьП</t>
        </is>
      </c>
    </row>
    <row r="746" ht="18" customHeight="1">
      <c r="A746" s="45" t="inlineStr">
        <is>
          <t>работник 744</t>
        </is>
      </c>
      <c r="B746" s="45" t="inlineStr">
        <is>
          <t>АТПирожкин7ЕвгенийП</t>
        </is>
      </c>
    </row>
    <row r="747" ht="18" customHeight="1">
      <c r="A747" s="45" t="inlineStr">
        <is>
          <t>работник 745</t>
        </is>
      </c>
      <c r="B747" s="45" t="inlineStr">
        <is>
          <t>АТНуриддинов7БахромП</t>
        </is>
      </c>
    </row>
    <row r="748" ht="18" customHeight="1">
      <c r="A748" s="45" t="inlineStr">
        <is>
          <t>работник 746</t>
        </is>
      </c>
      <c r="B748" s="45" t="inlineStr">
        <is>
          <t>АТАлексеев7МаксимП</t>
        </is>
      </c>
    </row>
    <row r="749" ht="18" customHeight="1">
      <c r="A749" s="45" t="inlineStr">
        <is>
          <t>работник 747</t>
        </is>
      </c>
      <c r="B749" s="45" t="inlineStr">
        <is>
          <t>АТАндрейченко7ЕвгенийП</t>
        </is>
      </c>
    </row>
    <row r="750" ht="18" customHeight="1">
      <c r="A750" s="45" t="inlineStr">
        <is>
          <t>работник 748</t>
        </is>
      </c>
      <c r="B750" s="45" t="inlineStr">
        <is>
          <t>АТКолесников7ВикторП</t>
        </is>
      </c>
    </row>
    <row r="751" ht="18" customHeight="1">
      <c r="A751" s="45" t="inlineStr">
        <is>
          <t>работник 749</t>
        </is>
      </c>
      <c r="B751" s="45" t="inlineStr">
        <is>
          <t>АТНарышкин7АртурП</t>
        </is>
      </c>
    </row>
    <row r="752" ht="18" customHeight="1">
      <c r="A752" s="45" t="inlineStr">
        <is>
          <t>работник 750</t>
        </is>
      </c>
      <c r="B752" s="45" t="inlineStr">
        <is>
          <t>АТРусин7СергейП</t>
        </is>
      </c>
    </row>
    <row r="753" ht="18" customHeight="1">
      <c r="A753" s="45" t="inlineStr">
        <is>
          <t>работник 751</t>
        </is>
      </c>
      <c r="B753" s="45" t="inlineStr">
        <is>
          <t>АТИванов7ИванП</t>
        </is>
      </c>
    </row>
    <row r="754" ht="18" customHeight="1">
      <c r="A754" s="45" t="inlineStr">
        <is>
          <t>работник 752</t>
        </is>
      </c>
      <c r="B754" s="45" t="inlineStr">
        <is>
          <t>АТКеримов7РусланП</t>
        </is>
      </c>
    </row>
    <row r="755" ht="18" customHeight="1">
      <c r="A755" s="45" t="inlineStr">
        <is>
          <t>работник 753</t>
        </is>
      </c>
      <c r="B755" s="45" t="inlineStr">
        <is>
          <t>АТНовосельский7АлександрП</t>
        </is>
      </c>
    </row>
    <row r="756" ht="18" customHeight="1">
      <c r="A756" s="45" t="inlineStr">
        <is>
          <t>работник 754</t>
        </is>
      </c>
      <c r="B756" s="45" t="inlineStr">
        <is>
          <t>АТПасаев7АсламбекП</t>
        </is>
      </c>
    </row>
    <row r="757" ht="18" customHeight="1">
      <c r="A757" s="45" t="inlineStr">
        <is>
          <t>работник 755</t>
        </is>
      </c>
      <c r="B757" s="45" t="inlineStr">
        <is>
          <t>АТПавлиди7РусланП</t>
        </is>
      </c>
    </row>
    <row r="758" ht="18" customHeight="1">
      <c r="A758" s="45" t="inlineStr">
        <is>
          <t>работник 756</t>
        </is>
      </c>
      <c r="B758" s="45" t="inlineStr">
        <is>
          <t>АТЧуйко7ЕвгенийП</t>
        </is>
      </c>
    </row>
    <row r="759" ht="18" customHeight="1">
      <c r="A759" s="45" t="inlineStr">
        <is>
          <t>работник 757</t>
        </is>
      </c>
      <c r="B759" s="45" t="inlineStr">
        <is>
          <t>АТСадулаев7ГериханП</t>
        </is>
      </c>
    </row>
    <row r="760" ht="18" customHeight="1">
      <c r="A760" s="45" t="inlineStr">
        <is>
          <t>работник 758</t>
        </is>
      </c>
      <c r="B760" s="45" t="inlineStr">
        <is>
          <t>АТОсокин7АлександрП</t>
        </is>
      </c>
    </row>
    <row r="761" ht="18" customHeight="1">
      <c r="A761" s="45" t="inlineStr">
        <is>
          <t>работник 759</t>
        </is>
      </c>
      <c r="B761" s="45" t="inlineStr">
        <is>
          <t>АТЧинжалинов7ЭдуардП</t>
        </is>
      </c>
    </row>
    <row r="762" ht="18" customHeight="1">
      <c r="A762" s="45" t="inlineStr">
        <is>
          <t>работник 760</t>
        </is>
      </c>
      <c r="B762" s="45" t="inlineStr">
        <is>
          <t>АТМазуров7АндрейП</t>
        </is>
      </c>
    </row>
    <row r="763" ht="18" customHeight="1">
      <c r="A763" s="45" t="inlineStr">
        <is>
          <t>работник 761</t>
        </is>
      </c>
      <c r="B763" s="45" t="inlineStr">
        <is>
          <t>АТБойчук7ГерманП</t>
        </is>
      </c>
    </row>
    <row r="764" ht="18" customHeight="1">
      <c r="A764" s="45" t="inlineStr">
        <is>
          <t>работник 762</t>
        </is>
      </c>
      <c r="B764" s="45" t="inlineStr">
        <is>
          <t>АТВерхотуров7ИгорьП</t>
        </is>
      </c>
    </row>
    <row r="765" ht="18" customHeight="1">
      <c r="A765" s="45" t="inlineStr">
        <is>
          <t>работник 763</t>
        </is>
      </c>
      <c r="B765" s="45" t="inlineStr">
        <is>
          <t>АТЛевченко7АлександрП</t>
        </is>
      </c>
    </row>
    <row r="766" ht="18" customHeight="1">
      <c r="A766" s="45" t="inlineStr">
        <is>
          <t>работник 764</t>
        </is>
      </c>
      <c r="B766" s="45" t="inlineStr">
        <is>
          <t>АТТартачаков7АлександрП</t>
        </is>
      </c>
    </row>
    <row r="767" ht="18" customHeight="1">
      <c r="A767" s="45" t="inlineStr">
        <is>
          <t>работник 765</t>
        </is>
      </c>
      <c r="B767" s="45" t="inlineStr">
        <is>
          <t>АТТелегин7АнтонП</t>
        </is>
      </c>
    </row>
    <row r="768" ht="18" customHeight="1">
      <c r="A768" s="45" t="inlineStr">
        <is>
          <t>работник 766</t>
        </is>
      </c>
      <c r="B768" s="45" t="inlineStr">
        <is>
          <t>АТШаптала7СергейП</t>
        </is>
      </c>
    </row>
    <row r="769" ht="18" customHeight="1">
      <c r="A769" s="45" t="inlineStr">
        <is>
          <t>работник 767</t>
        </is>
      </c>
      <c r="B769" s="45" t="inlineStr">
        <is>
          <t>АТЧелпанов7АртемП</t>
        </is>
      </c>
    </row>
    <row r="770" ht="18" customHeight="1">
      <c r="A770" s="45" t="inlineStr">
        <is>
          <t>работник 768</t>
        </is>
      </c>
      <c r="B770" s="45" t="inlineStr">
        <is>
          <t>АТЧеркун7ИванП</t>
        </is>
      </c>
    </row>
    <row r="771" ht="18" customHeight="1">
      <c r="A771" s="45" t="inlineStr">
        <is>
          <t>работник 769</t>
        </is>
      </c>
      <c r="B771" s="45" t="inlineStr">
        <is>
          <t>АТШишков7ВадимП</t>
        </is>
      </c>
    </row>
    <row r="772" ht="18" customHeight="1">
      <c r="A772" s="45" t="inlineStr">
        <is>
          <t>работник 770</t>
        </is>
      </c>
      <c r="B772" s="45" t="inlineStr">
        <is>
          <t>АТКолесников7АндрейП</t>
        </is>
      </c>
    </row>
    <row r="773" ht="18" customHeight="1">
      <c r="A773" s="45" t="inlineStr">
        <is>
          <t>работник 771</t>
        </is>
      </c>
      <c r="B773" s="45" t="inlineStr">
        <is>
          <t>АТМатьянин7ИванП</t>
        </is>
      </c>
    </row>
    <row r="774" ht="18" customHeight="1">
      <c r="A774" s="45" t="inlineStr">
        <is>
          <t>работник 772</t>
        </is>
      </c>
      <c r="B774" s="45" t="inlineStr">
        <is>
          <t>АТСундуев7МихаилП</t>
        </is>
      </c>
    </row>
    <row r="775" ht="18" customHeight="1">
      <c r="A775" s="45" t="inlineStr">
        <is>
          <t>работник 773</t>
        </is>
      </c>
      <c r="B775" s="45" t="inlineStr">
        <is>
          <t>АТБагаутдинов7РинатП</t>
        </is>
      </c>
    </row>
    <row r="776" ht="18" customHeight="1">
      <c r="A776" s="45" t="inlineStr">
        <is>
          <t>работник 774</t>
        </is>
      </c>
      <c r="B776" s="45" t="inlineStr">
        <is>
          <t>АТЛубинский7АлексейП</t>
        </is>
      </c>
    </row>
    <row r="777" ht="18" customHeight="1">
      <c r="A777" s="45" t="inlineStr">
        <is>
          <t>работник 775</t>
        </is>
      </c>
      <c r="B777" s="45" t="inlineStr">
        <is>
          <t>АТПопов7ЭдуардП</t>
        </is>
      </c>
    </row>
    <row r="778" ht="18" customHeight="1">
      <c r="A778" s="45" t="inlineStr">
        <is>
          <t>работник 776</t>
        </is>
      </c>
      <c r="B778" s="45" t="inlineStr">
        <is>
          <t>АТШевченко7ЕвгенийП</t>
        </is>
      </c>
    </row>
    <row r="779" ht="18" customHeight="1">
      <c r="A779" s="45" t="inlineStr">
        <is>
          <t>работник 777</t>
        </is>
      </c>
      <c r="B779" s="45" t="inlineStr">
        <is>
          <t>АТКирпичников7ВладиславП</t>
        </is>
      </c>
    </row>
    <row r="780" ht="18" customHeight="1">
      <c r="A780" s="45" t="inlineStr">
        <is>
          <t>работник 778</t>
        </is>
      </c>
      <c r="B780" s="45" t="inlineStr">
        <is>
          <t>АТПесков7АлексейП</t>
        </is>
      </c>
    </row>
    <row r="781" ht="18" customHeight="1">
      <c r="A781" s="45" t="inlineStr">
        <is>
          <t>работник 779</t>
        </is>
      </c>
      <c r="B781" s="45" t="inlineStr">
        <is>
          <t>АТБаротов7ОйбекП</t>
        </is>
      </c>
    </row>
    <row r="782" ht="18" customHeight="1">
      <c r="A782" s="45" t="inlineStr">
        <is>
          <t>работник 780</t>
        </is>
      </c>
      <c r="B782" s="45" t="inlineStr">
        <is>
          <t>АТНафигов7ЕвгенийП</t>
        </is>
      </c>
    </row>
    <row r="783" ht="18" customHeight="1">
      <c r="A783" s="45" t="inlineStr">
        <is>
          <t>работник 781</t>
        </is>
      </c>
      <c r="B783" s="45" t="inlineStr">
        <is>
          <t>АТСтрелецкий7ОлегП</t>
        </is>
      </c>
    </row>
    <row r="784" ht="18" customHeight="1">
      <c r="A784" s="45" t="inlineStr">
        <is>
          <t>работник 782</t>
        </is>
      </c>
      <c r="B784" s="45" t="inlineStr">
        <is>
          <t>АТЗемсков7ЮрийП</t>
        </is>
      </c>
    </row>
    <row r="785" ht="18" customHeight="1">
      <c r="A785" s="45" t="inlineStr">
        <is>
          <t>работник 783</t>
        </is>
      </c>
      <c r="B785" s="45" t="inlineStr">
        <is>
          <t>АТЖигалин7АлексейП</t>
        </is>
      </c>
    </row>
    <row r="786" ht="18" customHeight="1">
      <c r="A786" s="45" t="inlineStr">
        <is>
          <t>работник 784</t>
        </is>
      </c>
      <c r="B786" s="45" t="inlineStr">
        <is>
          <t>АТАсуев7ИльясП</t>
        </is>
      </c>
    </row>
    <row r="787" ht="18" customHeight="1">
      <c r="A787" s="45" t="inlineStr">
        <is>
          <t>работник 785</t>
        </is>
      </c>
      <c r="B787" s="45" t="inlineStr">
        <is>
          <t>АТБойчук7РоманП</t>
        </is>
      </c>
    </row>
    <row r="788" ht="18" customHeight="1">
      <c r="A788" s="45" t="inlineStr">
        <is>
          <t>работник 786</t>
        </is>
      </c>
      <c r="B788" s="45" t="inlineStr">
        <is>
          <t>АТПанков7АлексейП</t>
        </is>
      </c>
    </row>
    <row r="789" ht="18" customHeight="1">
      <c r="A789" s="45" t="inlineStr">
        <is>
          <t>работник 787</t>
        </is>
      </c>
      <c r="B789" s="45" t="inlineStr">
        <is>
          <t>АТТурлаков7СергейП</t>
        </is>
      </c>
    </row>
    <row r="790" ht="18" customHeight="1">
      <c r="A790" s="45" t="inlineStr">
        <is>
          <t>работник 788</t>
        </is>
      </c>
      <c r="B790" s="45" t="inlineStr">
        <is>
          <t>АТЗинин7ЕвгенийП</t>
        </is>
      </c>
    </row>
    <row r="791" ht="18" customHeight="1">
      <c r="A791" s="45" t="inlineStr">
        <is>
          <t>работник 789</t>
        </is>
      </c>
      <c r="B791" s="45" t="inlineStr">
        <is>
          <t>АТГригорьев7РоманП</t>
        </is>
      </c>
    </row>
    <row r="792" ht="18" customHeight="1">
      <c r="A792" s="45" t="inlineStr">
        <is>
          <t>работник 790</t>
        </is>
      </c>
      <c r="B792" s="45" t="inlineStr">
        <is>
          <t>АТГанин7СергейП</t>
        </is>
      </c>
    </row>
    <row r="793" ht="18" customHeight="1">
      <c r="A793" s="45" t="inlineStr">
        <is>
          <t>работник 791</t>
        </is>
      </c>
      <c r="B793" s="45" t="inlineStr">
        <is>
          <t>АТДонцов7ПавелП</t>
        </is>
      </c>
    </row>
    <row r="794" ht="18" customHeight="1">
      <c r="A794" s="45" t="inlineStr">
        <is>
          <t>работник 792</t>
        </is>
      </c>
      <c r="B794" s="45" t="inlineStr">
        <is>
          <t>АТКотляров7ВиталийП</t>
        </is>
      </c>
    </row>
    <row r="795" ht="18" customHeight="1">
      <c r="A795" s="45" t="inlineStr">
        <is>
          <t>работник 793</t>
        </is>
      </c>
      <c r="B795" s="45" t="inlineStr">
        <is>
          <t>АТСапожников7ЛеонидП</t>
        </is>
      </c>
    </row>
    <row r="796" ht="18" customHeight="1">
      <c r="A796" s="45" t="inlineStr">
        <is>
          <t>работник 794</t>
        </is>
      </c>
      <c r="B796" s="45" t="inlineStr">
        <is>
          <t>АТЗайнер7ВладиславП</t>
        </is>
      </c>
    </row>
    <row r="797" ht="18" customHeight="1">
      <c r="A797" s="45" t="inlineStr">
        <is>
          <t>работник 795</t>
        </is>
      </c>
      <c r="B797" s="45" t="inlineStr">
        <is>
          <t>АТВальшмидт7СергейП</t>
        </is>
      </c>
    </row>
    <row r="798" ht="18" customHeight="1">
      <c r="A798" s="45" t="inlineStr">
        <is>
          <t>работник 796</t>
        </is>
      </c>
      <c r="B798" s="45" t="inlineStr">
        <is>
          <t>АТЧагдуров7ДмитрийП</t>
        </is>
      </c>
    </row>
    <row r="799" ht="18" customHeight="1">
      <c r="A799" s="45" t="inlineStr">
        <is>
          <t>работник 797</t>
        </is>
      </c>
      <c r="B799" s="45" t="inlineStr">
        <is>
          <t>АТКошелев7ДенисП</t>
        </is>
      </c>
    </row>
    <row r="800" ht="18" customHeight="1">
      <c r="A800" s="45" t="inlineStr">
        <is>
          <t>работник 798</t>
        </is>
      </c>
      <c r="B800" s="45" t="inlineStr">
        <is>
          <t>АТТурчин7РостиславП</t>
        </is>
      </c>
    </row>
    <row r="801" ht="18" customHeight="1">
      <c r="A801" s="45" t="inlineStr">
        <is>
          <t>работник 799</t>
        </is>
      </c>
      <c r="B801" s="45" t="inlineStr">
        <is>
          <t>АТСерегин7АлексейП</t>
        </is>
      </c>
    </row>
    <row r="802" ht="18" customHeight="1">
      <c r="A802" s="45" t="inlineStr">
        <is>
          <t>работник 800</t>
        </is>
      </c>
      <c r="B802" s="45" t="inlineStr">
        <is>
          <t>АТОмаров7ТемирханП</t>
        </is>
      </c>
    </row>
    <row r="803" ht="18" customHeight="1">
      <c r="A803" s="45" t="inlineStr">
        <is>
          <t>работник 801</t>
        </is>
      </c>
      <c r="B803" s="45" t="inlineStr">
        <is>
          <t>АТСтанишевский7СергейП</t>
        </is>
      </c>
    </row>
    <row r="804" ht="18" customHeight="1">
      <c r="A804" s="45" t="inlineStr">
        <is>
          <t>работник 802</t>
        </is>
      </c>
      <c r="B804" s="45" t="inlineStr">
        <is>
          <t>АТЗиновьев7ДмитрийП</t>
        </is>
      </c>
    </row>
    <row r="805" ht="18" customHeight="1">
      <c r="A805" s="45" t="inlineStr">
        <is>
          <t>работник 803</t>
        </is>
      </c>
      <c r="B805" s="45" t="inlineStr">
        <is>
          <t>АТМачалюк7ДенисП</t>
        </is>
      </c>
    </row>
    <row r="806" ht="18" customHeight="1">
      <c r="A806" s="45" t="inlineStr">
        <is>
          <t>работник 804</t>
        </is>
      </c>
      <c r="B806" s="45" t="inlineStr">
        <is>
          <t>АТПригнаев7ШирапП</t>
        </is>
      </c>
    </row>
    <row r="807" ht="18" customHeight="1">
      <c r="A807" s="45" t="inlineStr">
        <is>
          <t>работник 805</t>
        </is>
      </c>
      <c r="B807" s="45" t="inlineStr">
        <is>
          <t>АТДекин7ВадимП</t>
        </is>
      </c>
    </row>
    <row r="808" ht="18" customHeight="1">
      <c r="A808" s="45" t="inlineStr">
        <is>
          <t>работник 806</t>
        </is>
      </c>
      <c r="B808" s="45" t="inlineStr">
        <is>
          <t>АТЗюзин7МихаилП</t>
        </is>
      </c>
    </row>
    <row r="809" ht="18" customHeight="1">
      <c r="A809" s="45" t="inlineStr">
        <is>
          <t>работник 807</t>
        </is>
      </c>
      <c r="B809" s="45" t="inlineStr">
        <is>
          <t>АТМолоткова7ЕкатеринаП</t>
        </is>
      </c>
    </row>
    <row r="810" ht="18" customHeight="1">
      <c r="A810" s="45" t="inlineStr">
        <is>
          <t>работник 808</t>
        </is>
      </c>
      <c r="B810" s="45" t="inlineStr">
        <is>
          <t>АТМаксимов7ЮрийП</t>
        </is>
      </c>
    </row>
    <row r="811" ht="18" customHeight="1">
      <c r="A811" s="45" t="inlineStr">
        <is>
          <t>работник 809</t>
        </is>
      </c>
      <c r="B811" s="45" t="inlineStr">
        <is>
          <t>АТКлочков7АндрейП</t>
        </is>
      </c>
    </row>
    <row r="812" ht="18" customHeight="1">
      <c r="A812" s="45" t="inlineStr">
        <is>
          <t>работник 810</t>
        </is>
      </c>
      <c r="B812" s="45" t="inlineStr">
        <is>
          <t>АТНапалков7ИгорьП</t>
        </is>
      </c>
    </row>
    <row r="813" ht="18" customHeight="1">
      <c r="A813" s="45" t="inlineStr">
        <is>
          <t>работник 811</t>
        </is>
      </c>
      <c r="B813" s="45" t="inlineStr">
        <is>
          <t>АТЮдин7ЕвгенийП</t>
        </is>
      </c>
    </row>
    <row r="814" ht="18" customHeight="1">
      <c r="A814" s="45" t="inlineStr">
        <is>
          <t>работник 812</t>
        </is>
      </c>
      <c r="B814" s="45" t="inlineStr">
        <is>
          <t>АТСоболев7СергейП</t>
        </is>
      </c>
    </row>
    <row r="815" ht="18" customHeight="1">
      <c r="A815" s="45" t="inlineStr">
        <is>
          <t>работник 813</t>
        </is>
      </c>
      <c r="B815" s="45" t="inlineStr">
        <is>
          <t>АТСоковиков7АртемП</t>
        </is>
      </c>
    </row>
    <row r="816" ht="18" customHeight="1">
      <c r="A816" s="45" t="inlineStr">
        <is>
          <t>работник 814</t>
        </is>
      </c>
      <c r="B816" s="45" t="inlineStr">
        <is>
          <t>АТСитдиков7МаратП</t>
        </is>
      </c>
    </row>
    <row r="817" ht="18" customHeight="1">
      <c r="A817" s="45" t="inlineStr">
        <is>
          <t>работник 815</t>
        </is>
      </c>
      <c r="B817" s="45" t="inlineStr">
        <is>
          <t>АТВасильев7ДмитрийП</t>
        </is>
      </c>
    </row>
    <row r="818" ht="18" customHeight="1">
      <c r="A818" s="45" t="inlineStr">
        <is>
          <t>работник 816</t>
        </is>
      </c>
      <c r="B818" s="45" t="inlineStr">
        <is>
          <t>АТАфанасьев7ВикторП</t>
        </is>
      </c>
    </row>
    <row r="819" ht="18" customHeight="1">
      <c r="A819" s="45" t="inlineStr">
        <is>
          <t>работник 817</t>
        </is>
      </c>
      <c r="B819" s="45" t="inlineStr">
        <is>
          <t>АТВедерников7ВиталийП</t>
        </is>
      </c>
    </row>
    <row r="820" ht="18" customHeight="1">
      <c r="A820" s="45" t="inlineStr">
        <is>
          <t>работник 818</t>
        </is>
      </c>
      <c r="B820" s="45" t="inlineStr">
        <is>
          <t>АТЗубайраев7МурадП</t>
        </is>
      </c>
    </row>
    <row r="821" ht="18" customHeight="1">
      <c r="A821" s="45" t="inlineStr">
        <is>
          <t>работник 819</t>
        </is>
      </c>
      <c r="B821" s="45" t="inlineStr">
        <is>
          <t>АТКалинин7МихаилП</t>
        </is>
      </c>
    </row>
    <row r="822" ht="18" customHeight="1">
      <c r="A822" s="45" t="inlineStr">
        <is>
          <t>работник 820</t>
        </is>
      </c>
      <c r="B822" s="45" t="inlineStr">
        <is>
          <t>АТМирошин7АлексейП</t>
        </is>
      </c>
    </row>
    <row r="823" ht="18" customHeight="1">
      <c r="A823" s="45" t="inlineStr">
        <is>
          <t>работник 821</t>
        </is>
      </c>
      <c r="B823" s="45" t="inlineStr">
        <is>
          <t>АТЦугалов7АсланП</t>
        </is>
      </c>
    </row>
    <row r="824" ht="18" customHeight="1">
      <c r="A824" s="45" t="inlineStr">
        <is>
          <t>работник 822</t>
        </is>
      </c>
      <c r="B824" s="45" t="inlineStr">
        <is>
          <t>АТСадыков7АхамдиП</t>
        </is>
      </c>
    </row>
    <row r="825" ht="18" customHeight="1">
      <c r="A825" s="45" t="inlineStr">
        <is>
          <t>работник 823</t>
        </is>
      </c>
      <c r="B825" s="45" t="inlineStr">
        <is>
          <t>АТШарыпов7ИльяП</t>
        </is>
      </c>
    </row>
    <row r="826" ht="18" customHeight="1">
      <c r="A826" s="45" t="inlineStr">
        <is>
          <t>работник 824</t>
        </is>
      </c>
      <c r="B826" s="45" t="inlineStr">
        <is>
          <t>АТТюрикова7НатальяП</t>
        </is>
      </c>
    </row>
    <row r="827" ht="18" customHeight="1">
      <c r="A827" s="45" t="inlineStr">
        <is>
          <t>работник 825</t>
        </is>
      </c>
      <c r="B827" s="45" t="inlineStr">
        <is>
          <t>АТАлександрова7ИринаП</t>
        </is>
      </c>
    </row>
    <row r="828" ht="18" customHeight="1">
      <c r="A828" s="45" t="inlineStr">
        <is>
          <t>работник 826</t>
        </is>
      </c>
      <c r="B828" s="45" t="inlineStr">
        <is>
          <t>АТЛысый7ЯрославП</t>
        </is>
      </c>
    </row>
    <row r="829" ht="18" customHeight="1">
      <c r="A829" s="45" t="inlineStr">
        <is>
          <t>работник 827</t>
        </is>
      </c>
      <c r="B829" s="45" t="inlineStr">
        <is>
          <t>АТТрундов7НиколайП</t>
        </is>
      </c>
    </row>
    <row r="830" ht="18" customHeight="1">
      <c r="A830" s="45" t="inlineStr">
        <is>
          <t>работник 828</t>
        </is>
      </c>
      <c r="B830" s="45" t="inlineStr">
        <is>
          <t>АТКинжаков7ПетрП</t>
        </is>
      </c>
    </row>
    <row r="831" ht="18" customHeight="1">
      <c r="A831" s="45" t="inlineStr">
        <is>
          <t>работник 829</t>
        </is>
      </c>
      <c r="B831" s="45" t="inlineStr">
        <is>
          <t>АТСтепанов7АлександрП</t>
        </is>
      </c>
    </row>
    <row r="832" ht="18" customHeight="1">
      <c r="A832" s="45" t="inlineStr">
        <is>
          <t>работник 830</t>
        </is>
      </c>
      <c r="B832" s="45" t="inlineStr">
        <is>
          <t>АТДробахин7СергейП</t>
        </is>
      </c>
    </row>
    <row r="833" ht="18" customHeight="1">
      <c r="A833" s="45" t="inlineStr">
        <is>
          <t>работник 831</t>
        </is>
      </c>
      <c r="B833" s="45" t="inlineStr">
        <is>
          <t>АТБазалаев7АхьядП</t>
        </is>
      </c>
    </row>
    <row r="834" ht="18" customHeight="1">
      <c r="A834" s="45" t="inlineStr">
        <is>
          <t>работник 832</t>
        </is>
      </c>
      <c r="B834" s="45" t="inlineStr">
        <is>
          <t>АТМоисеев7ДмитрийП</t>
        </is>
      </c>
    </row>
    <row r="835" ht="18" customHeight="1">
      <c r="A835" s="45" t="inlineStr">
        <is>
          <t>работник 833</t>
        </is>
      </c>
      <c r="B835" s="45" t="inlineStr">
        <is>
          <t>АТЖиляев7НикитаП</t>
        </is>
      </c>
    </row>
    <row r="836" ht="18" customHeight="1">
      <c r="A836" s="45" t="inlineStr">
        <is>
          <t>работник 834</t>
        </is>
      </c>
      <c r="B836" s="45" t="inlineStr">
        <is>
          <t>АТШкрет7СергейП</t>
        </is>
      </c>
    </row>
    <row r="837" ht="18" customHeight="1">
      <c r="A837" s="45" t="inlineStr">
        <is>
          <t>работник 835</t>
        </is>
      </c>
      <c r="B837" s="45" t="inlineStr">
        <is>
          <t>АТОдинцов7ВладимирП</t>
        </is>
      </c>
    </row>
    <row r="838" ht="18" customHeight="1">
      <c r="A838" s="45" t="inlineStr">
        <is>
          <t>работник 836</t>
        </is>
      </c>
      <c r="B838" s="45" t="inlineStr">
        <is>
          <t>АТБеляков7ВладиславП</t>
        </is>
      </c>
    </row>
    <row r="839" ht="18" customHeight="1">
      <c r="A839" s="45" t="inlineStr">
        <is>
          <t>работник 837</t>
        </is>
      </c>
      <c r="B839" s="45" t="inlineStr">
        <is>
          <t>АТЗакатеева7АнжеликаП</t>
        </is>
      </c>
    </row>
    <row r="840" ht="18" customHeight="1">
      <c r="A840" s="45" t="inlineStr">
        <is>
          <t>работник 838</t>
        </is>
      </c>
      <c r="B840" s="45" t="inlineStr">
        <is>
          <t>АТКиш7ДенисП</t>
        </is>
      </c>
    </row>
    <row r="841" ht="18" customHeight="1">
      <c r="A841" s="45" t="inlineStr">
        <is>
          <t>работник 839</t>
        </is>
      </c>
      <c r="B841" s="45" t="inlineStr">
        <is>
          <t>АТВайкус7ЛевП</t>
        </is>
      </c>
    </row>
    <row r="842" ht="18" customHeight="1">
      <c r="A842" s="45" t="inlineStr">
        <is>
          <t>работник 840</t>
        </is>
      </c>
      <c r="B842" s="45" t="inlineStr">
        <is>
          <t>АТБайкалов7РоманП</t>
        </is>
      </c>
    </row>
    <row r="843" ht="18" customHeight="1">
      <c r="A843" s="45" t="inlineStr">
        <is>
          <t>работник 841</t>
        </is>
      </c>
      <c r="B843" s="45" t="inlineStr">
        <is>
          <t>АТБлинков7ЕвгенийП</t>
        </is>
      </c>
    </row>
    <row r="844" ht="18" customHeight="1">
      <c r="A844" s="45" t="inlineStr">
        <is>
          <t>работник 842</t>
        </is>
      </c>
      <c r="B844" s="45" t="inlineStr">
        <is>
          <t>АТНечаев7ВалерийП</t>
        </is>
      </c>
    </row>
    <row r="845" ht="18" customHeight="1">
      <c r="A845" s="45" t="inlineStr">
        <is>
          <t>работник 843</t>
        </is>
      </c>
      <c r="B845" s="45" t="inlineStr">
        <is>
          <t>АТМолявко7СергейП</t>
        </is>
      </c>
    </row>
    <row r="846" ht="18" customHeight="1">
      <c r="A846" s="45" t="inlineStr">
        <is>
          <t>работник 844</t>
        </is>
      </c>
      <c r="B846" s="45" t="inlineStr">
        <is>
          <t>АТВалеев7АндрейП</t>
        </is>
      </c>
    </row>
    <row r="847" ht="18" customHeight="1">
      <c r="A847" s="45" t="inlineStr">
        <is>
          <t>работник 845</t>
        </is>
      </c>
      <c r="B847" s="45" t="inlineStr">
        <is>
          <t>АТЛядский7АлексейП</t>
        </is>
      </c>
    </row>
    <row r="848" ht="18" customHeight="1">
      <c r="A848" s="45" t="inlineStr">
        <is>
          <t>работник 846</t>
        </is>
      </c>
      <c r="B848" s="45" t="inlineStr">
        <is>
          <t>АТШнайдер7АндрейП</t>
        </is>
      </c>
    </row>
    <row r="849" ht="18" customHeight="1">
      <c r="A849" s="45" t="inlineStr">
        <is>
          <t>работник 847</t>
        </is>
      </c>
      <c r="B849" s="45" t="inlineStr">
        <is>
          <t>АТГыргенов7ВладимирП</t>
        </is>
      </c>
    </row>
    <row r="850" ht="18" customHeight="1">
      <c r="A850" s="45" t="inlineStr">
        <is>
          <t>работник 848</t>
        </is>
      </c>
      <c r="B850" s="45" t="inlineStr">
        <is>
          <t>АТРечманов7ДенисП</t>
        </is>
      </c>
    </row>
    <row r="851" ht="18" customHeight="1">
      <c r="A851" s="45" t="inlineStr">
        <is>
          <t>работник 849</t>
        </is>
      </c>
      <c r="B851" s="45" t="inlineStr">
        <is>
          <t>АТСижук7ДмитрийП</t>
        </is>
      </c>
    </row>
    <row r="852" ht="18" customHeight="1">
      <c r="A852" s="45" t="inlineStr">
        <is>
          <t>работник 850</t>
        </is>
      </c>
      <c r="B852" s="45" t="inlineStr">
        <is>
          <t>АТСергеев7ВалерийП</t>
        </is>
      </c>
    </row>
    <row r="853" ht="18" customHeight="1">
      <c r="A853" s="45" t="inlineStr">
        <is>
          <t>работник 851</t>
        </is>
      </c>
      <c r="B853" s="45" t="inlineStr">
        <is>
          <t>АТКожевников Александр7АлексейП</t>
        </is>
      </c>
    </row>
    <row r="854" ht="18" customHeight="1">
      <c r="A854" s="45" t="inlineStr">
        <is>
          <t>работник 852</t>
        </is>
      </c>
      <c r="B854" s="45" t="inlineStr">
        <is>
          <t>АТМартынычев7ДенисП</t>
        </is>
      </c>
    </row>
    <row r="855" ht="18" customHeight="1">
      <c r="A855" s="45" t="inlineStr">
        <is>
          <t>работник 853</t>
        </is>
      </c>
      <c r="B855" s="45" t="inlineStr">
        <is>
          <t>АТМухтаров7РоманП</t>
        </is>
      </c>
    </row>
    <row r="856" ht="18" customHeight="1">
      <c r="A856" s="45" t="inlineStr">
        <is>
          <t>работник 854</t>
        </is>
      </c>
      <c r="B856" s="45" t="inlineStr">
        <is>
          <t>АТХомутянская7ДарьяП</t>
        </is>
      </c>
    </row>
    <row r="857" ht="18" customHeight="1">
      <c r="A857" s="45" t="inlineStr">
        <is>
          <t>работник 855</t>
        </is>
      </c>
      <c r="B857" s="45" t="inlineStr">
        <is>
          <t>АТШильникова7РиммаП</t>
        </is>
      </c>
    </row>
    <row r="858" ht="18" customHeight="1">
      <c r="A858" s="45" t="inlineStr">
        <is>
          <t>работник 856</t>
        </is>
      </c>
      <c r="B858" s="45" t="inlineStr">
        <is>
          <t>АТМорозов7РоманП</t>
        </is>
      </c>
    </row>
    <row r="859" ht="18" customHeight="1">
      <c r="A859" s="45" t="inlineStr">
        <is>
          <t>работник 857</t>
        </is>
      </c>
      <c r="B859" s="45" t="inlineStr">
        <is>
          <t>АТКлименко7ВераП</t>
        </is>
      </c>
    </row>
    <row r="860" ht="18" customHeight="1">
      <c r="A860" s="45" t="inlineStr">
        <is>
          <t>работник 858</t>
        </is>
      </c>
      <c r="B860" s="45" t="inlineStr">
        <is>
          <t>АТУрзюбов7АндрейП</t>
        </is>
      </c>
    </row>
    <row r="861" ht="18" customHeight="1">
      <c r="A861" s="45" t="inlineStr">
        <is>
          <t>работник 859</t>
        </is>
      </c>
      <c r="B861" s="45" t="inlineStr">
        <is>
          <t>АТХусаинов7ЕрланП</t>
        </is>
      </c>
    </row>
    <row r="862" ht="18" customHeight="1">
      <c r="A862" s="45" t="inlineStr">
        <is>
          <t>работник 860</t>
        </is>
      </c>
      <c r="B862" s="45" t="inlineStr">
        <is>
          <t>АТГаскаров7МуратП</t>
        </is>
      </c>
    </row>
    <row r="863" ht="18" customHeight="1">
      <c r="A863" s="45" t="inlineStr">
        <is>
          <t>работник 861</t>
        </is>
      </c>
      <c r="B863" s="45" t="inlineStr">
        <is>
          <t>АТОжегова7АлинаП</t>
        </is>
      </c>
    </row>
    <row r="864" ht="18" customHeight="1">
      <c r="A864" s="45" t="inlineStr">
        <is>
          <t>работник 862</t>
        </is>
      </c>
      <c r="B864" s="45" t="inlineStr">
        <is>
          <t>АТСтанкус7МаринаП</t>
        </is>
      </c>
    </row>
    <row r="865" ht="18" customHeight="1">
      <c r="A865" s="45" t="inlineStr">
        <is>
          <t>работник 863</t>
        </is>
      </c>
      <c r="B865" s="45" t="inlineStr">
        <is>
          <t>АТКоноплёв7ПавелП</t>
        </is>
      </c>
    </row>
    <row r="866" ht="18" customHeight="1">
      <c r="A866" s="45" t="inlineStr">
        <is>
          <t>работник 864</t>
        </is>
      </c>
      <c r="B866" s="45" t="inlineStr">
        <is>
          <t>АТОленев7ВладимирП</t>
        </is>
      </c>
    </row>
    <row r="867" ht="18" customHeight="1">
      <c r="A867" s="45" t="inlineStr">
        <is>
          <t>работник 865</t>
        </is>
      </c>
      <c r="B867" s="45" t="inlineStr">
        <is>
          <t>АТЗайченко7ИванП</t>
        </is>
      </c>
    </row>
    <row r="868" ht="18" customHeight="1">
      <c r="A868" s="45" t="inlineStr">
        <is>
          <t>работник 866</t>
        </is>
      </c>
      <c r="B868" s="45" t="inlineStr">
        <is>
          <t>АТПашкова7ЕленаП</t>
        </is>
      </c>
    </row>
    <row r="869" ht="18" customHeight="1">
      <c r="A869" s="45" t="inlineStr">
        <is>
          <t>работник 867</t>
        </is>
      </c>
      <c r="B869" s="45" t="inlineStr">
        <is>
          <t>АТМихно7НадеждаП</t>
        </is>
      </c>
    </row>
    <row r="870" ht="18" customHeight="1">
      <c r="A870" s="45" t="inlineStr">
        <is>
          <t>работник 868</t>
        </is>
      </c>
      <c r="B870" s="45" t="inlineStr">
        <is>
          <t>АТБочарова7НатальяП</t>
        </is>
      </c>
    </row>
    <row r="871" ht="18" customHeight="1">
      <c r="A871" s="45" t="inlineStr">
        <is>
          <t>работник 869</t>
        </is>
      </c>
      <c r="B871" s="45" t="inlineStr">
        <is>
          <t>АТЗайнитдинова7СветланаП</t>
        </is>
      </c>
    </row>
    <row r="872" ht="18" customHeight="1">
      <c r="A872" s="45" t="inlineStr">
        <is>
          <t>работник 870</t>
        </is>
      </c>
      <c r="B872" s="45" t="inlineStr">
        <is>
          <t>АТЧервоненко7ИльяП</t>
        </is>
      </c>
    </row>
    <row r="873" ht="18" customHeight="1">
      <c r="A873" s="45" t="inlineStr">
        <is>
          <t>работник 871</t>
        </is>
      </c>
      <c r="B873" s="45" t="inlineStr">
        <is>
          <t>АТБобылева7ТатьянаП</t>
        </is>
      </c>
    </row>
    <row r="874" ht="18" customHeight="1">
      <c r="A874" s="45" t="inlineStr">
        <is>
          <t>работник 872</t>
        </is>
      </c>
      <c r="B874" s="45" t="inlineStr">
        <is>
          <t>АТВедешкина7ЛарисаП</t>
        </is>
      </c>
    </row>
    <row r="875" ht="18" customHeight="1">
      <c r="A875" s="45" t="inlineStr">
        <is>
          <t>работник 873</t>
        </is>
      </c>
      <c r="B875" s="45" t="inlineStr">
        <is>
          <t>АТВасильева7ИринаП</t>
        </is>
      </c>
    </row>
    <row r="876" ht="18" customHeight="1">
      <c r="A876" s="45" t="inlineStr">
        <is>
          <t>работник 874</t>
        </is>
      </c>
      <c r="B876" s="45" t="inlineStr">
        <is>
          <t>АТВедерникова7СветланаП</t>
        </is>
      </c>
    </row>
    <row r="877" ht="18" customHeight="1">
      <c r="A877" s="45" t="inlineStr">
        <is>
          <t>работник 875</t>
        </is>
      </c>
      <c r="B877" s="45" t="inlineStr">
        <is>
          <t>АТФилатова7ПолинаП</t>
        </is>
      </c>
    </row>
    <row r="878" ht="18" customHeight="1">
      <c r="A878" s="45" t="inlineStr">
        <is>
          <t>работник 876</t>
        </is>
      </c>
      <c r="B878" s="45" t="inlineStr">
        <is>
          <t>АТСапожников7РоманП</t>
        </is>
      </c>
    </row>
    <row r="879" ht="18" customHeight="1">
      <c r="A879" s="45" t="inlineStr">
        <is>
          <t>работник 877</t>
        </is>
      </c>
      <c r="B879" s="45" t="inlineStr">
        <is>
          <t>АТЛеднев7ВладиславП</t>
        </is>
      </c>
    </row>
    <row r="880" ht="18" customHeight="1">
      <c r="A880" s="45" t="inlineStr">
        <is>
          <t>работник 878</t>
        </is>
      </c>
      <c r="B880" s="45" t="inlineStr">
        <is>
          <t>АТПозлутко7АлександрП</t>
        </is>
      </c>
    </row>
    <row r="881" ht="18" customHeight="1">
      <c r="A881" s="45" t="inlineStr">
        <is>
          <t>работник 879</t>
        </is>
      </c>
      <c r="B881" s="45" t="inlineStr">
        <is>
          <t>АТЕрин7НикитаП</t>
        </is>
      </c>
    </row>
    <row r="882" ht="18" customHeight="1">
      <c r="A882" s="45" t="inlineStr">
        <is>
          <t>работник 880</t>
        </is>
      </c>
      <c r="B882" s="45" t="inlineStr">
        <is>
          <t>АТСвятова7СветланаП</t>
        </is>
      </c>
    </row>
    <row r="883" ht="18" customHeight="1">
      <c r="A883" s="45" t="inlineStr">
        <is>
          <t>работник 881</t>
        </is>
      </c>
      <c r="B883" s="45" t="inlineStr">
        <is>
          <t>АТФитисенко7ИльяП</t>
        </is>
      </c>
    </row>
    <row r="884" ht="18" customHeight="1">
      <c r="A884" s="45" t="inlineStr">
        <is>
          <t>работник 882</t>
        </is>
      </c>
      <c r="B884" s="45" t="inlineStr">
        <is>
          <t>АТТрошкин7БорисП</t>
        </is>
      </c>
    </row>
    <row r="885" ht="18" customHeight="1">
      <c r="A885" s="45" t="inlineStr">
        <is>
          <t>работник 883</t>
        </is>
      </c>
      <c r="B885" s="45" t="inlineStr">
        <is>
          <t>АТЛиморенко7ИванП</t>
        </is>
      </c>
    </row>
    <row r="886" ht="18" customHeight="1">
      <c r="A886" s="45" t="inlineStr">
        <is>
          <t>работник 884</t>
        </is>
      </c>
      <c r="B886" s="45" t="inlineStr">
        <is>
          <t>АТЗаика7ИгорьП</t>
        </is>
      </c>
    </row>
    <row r="887" ht="18" customHeight="1">
      <c r="A887" s="45" t="inlineStr">
        <is>
          <t>работник 885</t>
        </is>
      </c>
      <c r="B887" s="45" t="inlineStr">
        <is>
          <t>АТЯлышев7МихаилП</t>
        </is>
      </c>
    </row>
    <row r="888" ht="18" customHeight="1">
      <c r="A888" s="45" t="inlineStr">
        <is>
          <t>работник 886</t>
        </is>
      </c>
      <c r="B888" s="45" t="inlineStr">
        <is>
          <t>АТСтепанов7СергейП</t>
        </is>
      </c>
    </row>
    <row r="889" ht="18" customHeight="1">
      <c r="A889" s="45" t="inlineStr">
        <is>
          <t>работник 887</t>
        </is>
      </c>
      <c r="B889" s="45" t="inlineStr">
        <is>
          <t>АТГоголь7ИгорьП</t>
        </is>
      </c>
    </row>
    <row r="890" ht="18" customHeight="1">
      <c r="A890" s="45" t="inlineStr">
        <is>
          <t>работник 888</t>
        </is>
      </c>
      <c r="B890" s="45" t="inlineStr">
        <is>
          <t>АТДубик7ИванП</t>
        </is>
      </c>
    </row>
    <row r="891" ht="18" customHeight="1">
      <c r="A891" s="45" t="inlineStr">
        <is>
          <t>работник 889</t>
        </is>
      </c>
      <c r="B891" s="45" t="inlineStr">
        <is>
          <t>АТСтепанов7ВадимП</t>
        </is>
      </c>
    </row>
    <row r="892" ht="18" customHeight="1">
      <c r="A892" s="45" t="inlineStr">
        <is>
          <t>работник 890</t>
        </is>
      </c>
      <c r="B892" s="45" t="inlineStr">
        <is>
          <t>АТМашанин7АлександрП</t>
        </is>
      </c>
    </row>
    <row r="893" ht="18" customHeight="1">
      <c r="A893" s="45" t="inlineStr">
        <is>
          <t>работник 891</t>
        </is>
      </c>
      <c r="B893" s="45" t="inlineStr">
        <is>
          <t>АТБойчук7МаркП</t>
        </is>
      </c>
    </row>
    <row r="894" ht="18" customHeight="1">
      <c r="A894" s="45" t="inlineStr">
        <is>
          <t>работник 892</t>
        </is>
      </c>
      <c r="B894" s="45" t="inlineStr">
        <is>
          <t>АТНагибин7ЮрийП</t>
        </is>
      </c>
    </row>
    <row r="895" ht="18" customHeight="1">
      <c r="A895" s="45" t="inlineStr">
        <is>
          <t>работник 893</t>
        </is>
      </c>
      <c r="B895" s="45" t="inlineStr">
        <is>
          <t>АТБлинков7ИванП</t>
        </is>
      </c>
    </row>
    <row r="896" ht="18" customHeight="1">
      <c r="A896" s="45" t="inlineStr">
        <is>
          <t>работник 894</t>
        </is>
      </c>
      <c r="B896" s="45" t="inlineStr">
        <is>
          <t>АТХоменко7АлександрП</t>
        </is>
      </c>
    </row>
    <row r="897" ht="18" customHeight="1">
      <c r="A897" s="45" t="inlineStr">
        <is>
          <t>работник 895</t>
        </is>
      </c>
      <c r="B897" s="45" t="inlineStr">
        <is>
          <t>АТНиколаев7РусланП</t>
        </is>
      </c>
    </row>
    <row r="898" ht="18" customHeight="1">
      <c r="A898" s="45" t="inlineStr">
        <is>
          <t>работник 896</t>
        </is>
      </c>
      <c r="B898" s="45" t="inlineStr">
        <is>
          <t>АТБойко7ВладимирП</t>
        </is>
      </c>
    </row>
    <row r="899" ht="18" customHeight="1">
      <c r="A899" s="45" t="inlineStr">
        <is>
          <t>работник 897</t>
        </is>
      </c>
      <c r="B899" s="45" t="inlineStr">
        <is>
          <t>АТЕров7МирзосаидП</t>
        </is>
      </c>
    </row>
    <row r="900" ht="18" customHeight="1">
      <c r="A900" s="45" t="inlineStr">
        <is>
          <t>работник 898</t>
        </is>
      </c>
      <c r="B900" s="45" t="inlineStr">
        <is>
          <t>АТХаналиев7ШемильП</t>
        </is>
      </c>
    </row>
    <row r="901" ht="18" customHeight="1">
      <c r="A901" s="45" t="inlineStr">
        <is>
          <t>работник 899</t>
        </is>
      </c>
      <c r="B901" s="45" t="inlineStr">
        <is>
          <t>АТАрсанукаев7АльбекП</t>
        </is>
      </c>
    </row>
    <row r="902" ht="18" customHeight="1">
      <c r="A902" s="45" t="inlineStr">
        <is>
          <t>работник 900</t>
        </is>
      </c>
      <c r="B902" s="45" t="inlineStr">
        <is>
          <t>АТСтаму7ДмитрийП</t>
        </is>
      </c>
    </row>
    <row r="903" ht="18" customHeight="1">
      <c r="A903" s="45" t="inlineStr">
        <is>
          <t>работник 901</t>
        </is>
      </c>
      <c r="B903" s="45" t="inlineStr">
        <is>
          <t>АТВолевок7СергейП</t>
        </is>
      </c>
    </row>
    <row r="904" ht="18" customHeight="1">
      <c r="A904" s="45" t="inlineStr">
        <is>
          <t>работник 902</t>
        </is>
      </c>
      <c r="B904" s="45" t="inlineStr">
        <is>
          <t>АТВасилюк7СергейП</t>
        </is>
      </c>
    </row>
    <row r="905" ht="18" customHeight="1">
      <c r="A905" s="45" t="inlineStr">
        <is>
          <t>работник 903</t>
        </is>
      </c>
      <c r="B905" s="45" t="inlineStr">
        <is>
          <t>АТТрусенко7ИванП</t>
        </is>
      </c>
    </row>
    <row r="906" ht="18" customHeight="1">
      <c r="A906" s="45" t="inlineStr">
        <is>
          <t>работник 904</t>
        </is>
      </c>
      <c r="B906" s="45" t="inlineStr">
        <is>
          <t>АТДеркун7АлександрП</t>
        </is>
      </c>
    </row>
    <row r="907" ht="18" customHeight="1">
      <c r="A907" s="45" t="inlineStr">
        <is>
          <t>работник 905</t>
        </is>
      </c>
      <c r="B907" s="45" t="inlineStr">
        <is>
          <t>АТБараханов7ДжамбулатП</t>
        </is>
      </c>
    </row>
    <row r="908" ht="18" customHeight="1">
      <c r="A908" s="45" t="inlineStr">
        <is>
          <t>работник 906</t>
        </is>
      </c>
      <c r="B908" s="45" t="inlineStr">
        <is>
          <t>АТРуденко7АнтонП</t>
        </is>
      </c>
    </row>
    <row r="909" ht="18" customHeight="1">
      <c r="A909" s="45" t="inlineStr">
        <is>
          <t>работник 907</t>
        </is>
      </c>
      <c r="B909" s="45" t="inlineStr">
        <is>
          <t>АТРазуваев7ДмитрийП</t>
        </is>
      </c>
    </row>
    <row r="910" ht="18" customHeight="1">
      <c r="A910" s="45" t="inlineStr">
        <is>
          <t>работник 908</t>
        </is>
      </c>
      <c r="B910" s="45" t="inlineStr">
        <is>
          <t>АТЗубенко7ТатьянаП</t>
        </is>
      </c>
    </row>
    <row r="911" ht="18" customHeight="1">
      <c r="A911" s="45" t="inlineStr">
        <is>
          <t>работник 909</t>
        </is>
      </c>
      <c r="B911" s="45" t="inlineStr">
        <is>
          <t>АТОвчинников7КириллП</t>
        </is>
      </c>
    </row>
    <row r="912" ht="18" customHeight="1">
      <c r="A912" s="45" t="inlineStr">
        <is>
          <t>работник 910</t>
        </is>
      </c>
      <c r="B912" s="45" t="inlineStr">
        <is>
          <t>АТЛеонтьев7ВалерийП</t>
        </is>
      </c>
    </row>
    <row r="913" ht="18" customHeight="1">
      <c r="A913" s="45" t="inlineStr">
        <is>
          <t>работник 911</t>
        </is>
      </c>
      <c r="B913" s="45" t="inlineStr">
        <is>
          <t>АТДанилочкина7КсенияП</t>
        </is>
      </c>
    </row>
    <row r="914" ht="18" customHeight="1">
      <c r="A914" s="45" t="inlineStr">
        <is>
          <t>работник 912</t>
        </is>
      </c>
      <c r="B914" s="45" t="inlineStr">
        <is>
          <t>АТВерховцева7НадеждаП</t>
        </is>
      </c>
    </row>
    <row r="915" ht="18" customHeight="1">
      <c r="A915" s="45" t="inlineStr">
        <is>
          <t>работник 913</t>
        </is>
      </c>
      <c r="B915" s="45" t="inlineStr">
        <is>
          <t>АТГамалей7МаксимП</t>
        </is>
      </c>
    </row>
    <row r="916" ht="18" customHeight="1">
      <c r="A916" s="45" t="inlineStr">
        <is>
          <t>работник 914</t>
        </is>
      </c>
      <c r="B916" s="45" t="inlineStr">
        <is>
          <t>АТМадоян7ГеворгП</t>
        </is>
      </c>
    </row>
    <row r="917" ht="18" customHeight="1">
      <c r="A917" s="45" t="inlineStr">
        <is>
          <t>работник 915</t>
        </is>
      </c>
      <c r="B917" s="45" t="inlineStr">
        <is>
          <t>АТШиленков7ИванП</t>
        </is>
      </c>
    </row>
    <row r="918" ht="18" customHeight="1">
      <c r="A918" s="45" t="inlineStr">
        <is>
          <t>работник 916</t>
        </is>
      </c>
      <c r="B918" s="45" t="inlineStr">
        <is>
          <t>АТДедов7ИгорьП</t>
        </is>
      </c>
    </row>
    <row r="919" ht="18" customHeight="1">
      <c r="A919" s="45" t="inlineStr">
        <is>
          <t>работник 917</t>
        </is>
      </c>
      <c r="B919" s="45" t="inlineStr">
        <is>
          <t>АТГенрих7ВикторП</t>
        </is>
      </c>
    </row>
    <row r="920" ht="18" customHeight="1">
      <c r="A920" s="45" t="inlineStr">
        <is>
          <t>работник 918</t>
        </is>
      </c>
      <c r="B920" s="45" t="inlineStr">
        <is>
          <t>АТЗлодеев7СергейП</t>
        </is>
      </c>
    </row>
    <row r="921" ht="18" customHeight="1">
      <c r="A921" s="45" t="inlineStr">
        <is>
          <t>работник 919</t>
        </is>
      </c>
      <c r="B921" s="45" t="inlineStr">
        <is>
          <t>АТЖарков7АнтонП</t>
        </is>
      </c>
    </row>
    <row r="922" ht="18" customHeight="1">
      <c r="A922" s="45" t="inlineStr">
        <is>
          <t>работник 920</t>
        </is>
      </c>
      <c r="B922" s="45" t="inlineStr">
        <is>
          <t>АТЧернышев7СергейП</t>
        </is>
      </c>
    </row>
    <row r="923" ht="18" customHeight="1">
      <c r="A923" s="45" t="inlineStr">
        <is>
          <t>работник 921</t>
        </is>
      </c>
      <c r="B923" s="45" t="inlineStr">
        <is>
          <t>АТТюлькина7ИринаП</t>
        </is>
      </c>
    </row>
    <row r="924" ht="18" customHeight="1">
      <c r="A924" s="45" t="inlineStr">
        <is>
          <t>работник 922</t>
        </is>
      </c>
      <c r="B924" s="45" t="inlineStr">
        <is>
          <t>АТШеломенцев7ДанилП</t>
        </is>
      </c>
    </row>
    <row r="925" ht="18" customHeight="1">
      <c r="A925" s="45" t="inlineStr">
        <is>
          <t>работник 923</t>
        </is>
      </c>
      <c r="B925" s="45" t="inlineStr">
        <is>
          <t>АТКозырь7ОлегП</t>
        </is>
      </c>
    </row>
    <row r="926" ht="18" customHeight="1">
      <c r="A926" s="45" t="inlineStr">
        <is>
          <t>работник 924</t>
        </is>
      </c>
      <c r="B926" s="45" t="inlineStr">
        <is>
          <t>АТСумина7ГульнараП</t>
        </is>
      </c>
    </row>
    <row r="927" ht="18" customHeight="1">
      <c r="A927" s="45" t="inlineStr">
        <is>
          <t>работник 925</t>
        </is>
      </c>
      <c r="B927" s="45" t="inlineStr">
        <is>
          <t>АТХакимова7АйгульП</t>
        </is>
      </c>
    </row>
    <row r="928" ht="18" customHeight="1">
      <c r="A928" s="45" t="inlineStr">
        <is>
          <t>работник 926</t>
        </is>
      </c>
      <c r="B928" s="45" t="inlineStr">
        <is>
          <t>АТКнязев7НиколайП</t>
        </is>
      </c>
    </row>
    <row r="929" ht="18" customHeight="1">
      <c r="A929" s="45" t="inlineStr">
        <is>
          <t>работник 927</t>
        </is>
      </c>
      <c r="B929" s="45" t="inlineStr">
        <is>
          <t>АТШутов7СергейП</t>
        </is>
      </c>
    </row>
    <row r="930" ht="18" customHeight="1">
      <c r="A930" s="45" t="inlineStr">
        <is>
          <t>работник 928</t>
        </is>
      </c>
      <c r="B930" s="45" t="inlineStr">
        <is>
          <t>АТДементьев7АлексейП</t>
        </is>
      </c>
    </row>
    <row r="931" ht="18" customHeight="1">
      <c r="A931" s="45" t="inlineStr">
        <is>
          <t>работник 929</t>
        </is>
      </c>
      <c r="B931" s="45" t="inlineStr">
        <is>
          <t>АТВолокитин7АлександрП</t>
        </is>
      </c>
    </row>
    <row r="932" ht="18" customHeight="1">
      <c r="A932" s="45" t="inlineStr">
        <is>
          <t>работник 930</t>
        </is>
      </c>
      <c r="B932" s="45" t="inlineStr">
        <is>
          <t>АТРучевский7КириллП</t>
        </is>
      </c>
    </row>
    <row r="933" ht="18" customHeight="1">
      <c r="A933" s="45" t="inlineStr">
        <is>
          <t>работник 931</t>
        </is>
      </c>
      <c r="B933" s="45" t="inlineStr">
        <is>
          <t>АТФедосеев7ДенисП</t>
        </is>
      </c>
    </row>
    <row r="934" ht="18" customHeight="1">
      <c r="A934" s="45" t="inlineStr">
        <is>
          <t>работник 932</t>
        </is>
      </c>
      <c r="B934" s="45" t="inlineStr">
        <is>
          <t>АТЗыков7ВладиславП</t>
        </is>
      </c>
    </row>
    <row r="935" ht="22" customHeight="1">
      <c r="A935" s="173" t="inlineStr">
        <is>
          <t>Итого</t>
        </is>
      </c>
      <c r="B935" s="160">
        <f>COUNTA(B3:B934)</f>
        <v/>
      </c>
    </row>
  </sheetData>
  <autoFilter ref="A2:B934"/>
  <mergeCells count="1">
    <mergeCell ref="A1:B1"/>
  </mergeCells>
  <pageMargins left="0.75" right="0.75" top="1" bottom="1" header="0.5" footer="0.5"/>
  <pageSetup orientation="portrait"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Алёна Титова</dc:creator>
  <dcterms:created xsi:type="dcterms:W3CDTF">2026-10-14T13:30:46Z</dcterms:created>
  <dcterms:modified xsi:type="dcterms:W3CDTF">2026-10-15T08:23:12Z</dcterms:modified>
  <cp:lastModifiedBy>Алёна Титова</cp:lastModifiedBy>
</cp:coreProperties>
</file>